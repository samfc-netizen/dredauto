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l\Desktop\DRE E DFC\"/>
    </mc:Choice>
  </mc:AlternateContent>
  <xr:revisionPtr revIDLastSave="0" documentId="13_ncr:1_{51847882-8220-488D-8E34-1680419EE2D3}" xr6:coauthVersionLast="47" xr6:coauthVersionMax="47" xr10:uidLastSave="{00000000-0000-0000-0000-000000000000}"/>
  <bookViews>
    <workbookView xWindow="-108" yWindow="-108" windowWidth="23256" windowHeight="12456" activeTab="6" xr2:uid="{D3F900F9-EF03-42BB-82E9-4DF8E41ED990}"/>
  </bookViews>
  <sheets>
    <sheet name="DRE" sheetId="1" r:id="rId1"/>
    <sheet name="IMPOSTOS E FOLHA" sheetId="6" r:id="rId2"/>
    <sheet name="CMV E FATURAMENTO" sheetId="7" r:id="rId3"/>
    <sheet name="COMPRAS" sheetId="12" r:id="rId4"/>
    <sheet name="DEVOLUÇÕES" sheetId="13" r:id="rId5"/>
    <sheet name="RECEBIMENTOS" sheetId="14" r:id="rId6"/>
    <sheet name="Planilha1" sheetId="15" r:id="rId7"/>
  </sheets>
  <externalReferences>
    <externalReference r:id="rId8"/>
  </externalReferences>
  <calcPr calcId="181029"/>
</workbook>
</file>

<file path=xl/calcChain.xml><?xml version="1.0" encoding="utf-8"?>
<calcChain xmlns="http://schemas.openxmlformats.org/spreadsheetml/2006/main">
  <c r="D2" i="7" l="1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D1793" i="7"/>
  <c r="D1794" i="7"/>
  <c r="D1795" i="7"/>
  <c r="D1796" i="7"/>
  <c r="D1797" i="7"/>
  <c r="D1798" i="7"/>
  <c r="D1799" i="7"/>
  <c r="D1800" i="7"/>
  <c r="D1801" i="7"/>
  <c r="D1802" i="7"/>
  <c r="D1803" i="7"/>
  <c r="D1804" i="7"/>
  <c r="D1805" i="7"/>
  <c r="D1806" i="7"/>
  <c r="D1807" i="7"/>
  <c r="D1808" i="7"/>
  <c r="D1809" i="7"/>
  <c r="D1810" i="7"/>
  <c r="D1811" i="7"/>
  <c r="D1812" i="7"/>
  <c r="D1813" i="7"/>
  <c r="D1814" i="7"/>
  <c r="D1815" i="7"/>
  <c r="D1816" i="7"/>
  <c r="D1817" i="7"/>
  <c r="D1818" i="7"/>
  <c r="D1819" i="7"/>
  <c r="D1820" i="7"/>
  <c r="D1821" i="7"/>
  <c r="D1822" i="7"/>
  <c r="D1823" i="7"/>
  <c r="D1824" i="7"/>
  <c r="D1825" i="7"/>
  <c r="D1826" i="7"/>
  <c r="D1827" i="7"/>
  <c r="D1828" i="7"/>
  <c r="D1829" i="7"/>
  <c r="D1830" i="7"/>
  <c r="D1831" i="7"/>
  <c r="D1832" i="7"/>
  <c r="D1833" i="7"/>
  <c r="D1834" i="7"/>
  <c r="D1835" i="7"/>
  <c r="D1836" i="7"/>
  <c r="D1837" i="7"/>
  <c r="D1838" i="7"/>
  <c r="D1839" i="7"/>
  <c r="D1840" i="7"/>
  <c r="D1841" i="7"/>
  <c r="D1842" i="7"/>
  <c r="D1843" i="7"/>
  <c r="D1844" i="7"/>
  <c r="D1845" i="7"/>
  <c r="D1846" i="7"/>
  <c r="D1847" i="7"/>
  <c r="D1848" i="7"/>
  <c r="D1849" i="7"/>
  <c r="D1850" i="7"/>
  <c r="D1851" i="7"/>
  <c r="D1852" i="7"/>
  <c r="D1853" i="7"/>
  <c r="D1854" i="7"/>
  <c r="D1855" i="7"/>
  <c r="D1856" i="7"/>
  <c r="D1857" i="7"/>
  <c r="D1858" i="7"/>
  <c r="D1859" i="7"/>
  <c r="D1860" i="7"/>
  <c r="D1861" i="7"/>
  <c r="D1862" i="7"/>
  <c r="D1863" i="7"/>
  <c r="D1864" i="7"/>
  <c r="D1865" i="7"/>
  <c r="D1866" i="7"/>
  <c r="D1867" i="7"/>
  <c r="D1868" i="7"/>
  <c r="D1869" i="7"/>
  <c r="D1870" i="7"/>
  <c r="D1871" i="7"/>
  <c r="D1872" i="7"/>
  <c r="D1873" i="7"/>
  <c r="D1874" i="7"/>
  <c r="D1875" i="7"/>
  <c r="D1876" i="7"/>
  <c r="D1877" i="7"/>
  <c r="D1878" i="7"/>
  <c r="D1879" i="7"/>
  <c r="D1880" i="7"/>
  <c r="D1881" i="7"/>
  <c r="D1882" i="7"/>
  <c r="D1883" i="7"/>
  <c r="D1884" i="7"/>
  <c r="D1885" i="7"/>
  <c r="D1886" i="7"/>
  <c r="D1887" i="7"/>
  <c r="D1888" i="7"/>
  <c r="D1889" i="7"/>
  <c r="D1890" i="7"/>
  <c r="D1891" i="7"/>
  <c r="D1892" i="7"/>
  <c r="D1893" i="7"/>
  <c r="D1894" i="7"/>
  <c r="D1895" i="7"/>
  <c r="D1896" i="7"/>
  <c r="D1897" i="7"/>
  <c r="D1898" i="7"/>
  <c r="D1899" i="7"/>
  <c r="D1900" i="7"/>
  <c r="D1901" i="7"/>
  <c r="D1902" i="7"/>
  <c r="D1903" i="7"/>
  <c r="D1904" i="7"/>
  <c r="D1905" i="7"/>
  <c r="D1906" i="7"/>
  <c r="D1907" i="7"/>
  <c r="D1908" i="7"/>
  <c r="D1909" i="7"/>
  <c r="D1910" i="7"/>
  <c r="D1911" i="7"/>
  <c r="D1912" i="7"/>
  <c r="D1913" i="7"/>
  <c r="D1914" i="7"/>
  <c r="D1915" i="7"/>
  <c r="D1916" i="7"/>
  <c r="D1917" i="7"/>
  <c r="D1918" i="7"/>
  <c r="D1919" i="7"/>
  <c r="D1920" i="7"/>
  <c r="D1921" i="7"/>
  <c r="D1922" i="7"/>
  <c r="D1923" i="7"/>
  <c r="D1924" i="7"/>
  <c r="D1925" i="7"/>
  <c r="D1926" i="7"/>
  <c r="D1927" i="7"/>
  <c r="D1928" i="7"/>
  <c r="D1929" i="7"/>
  <c r="D1930" i="7"/>
  <c r="D1931" i="7"/>
  <c r="D1932" i="7"/>
  <c r="D1933" i="7"/>
  <c r="D1934" i="7"/>
  <c r="D1935" i="7"/>
  <c r="D1936" i="7"/>
  <c r="D1937" i="7"/>
  <c r="D1938" i="7"/>
  <c r="D1939" i="7"/>
  <c r="D1940" i="7"/>
  <c r="D1941" i="7"/>
  <c r="D1942" i="7"/>
  <c r="D1943" i="7"/>
  <c r="D1944" i="7"/>
  <c r="D1945" i="7"/>
  <c r="D1946" i="7"/>
  <c r="D1947" i="7"/>
  <c r="D1948" i="7"/>
  <c r="D1949" i="7"/>
  <c r="D1950" i="7"/>
  <c r="D1951" i="7"/>
  <c r="D1952" i="7"/>
  <c r="D1953" i="7"/>
  <c r="D1954" i="7"/>
  <c r="D1955" i="7"/>
  <c r="D1956" i="7"/>
  <c r="D1957" i="7"/>
  <c r="D1958" i="7"/>
  <c r="D1959" i="7"/>
  <c r="D1960" i="7"/>
  <c r="D1961" i="7"/>
  <c r="D1962" i="7"/>
  <c r="D1963" i="7"/>
  <c r="D1964" i="7"/>
  <c r="D1965" i="7"/>
  <c r="D1966" i="7"/>
  <c r="D1967" i="7"/>
  <c r="D1968" i="7"/>
  <c r="D1969" i="7"/>
  <c r="D1970" i="7"/>
  <c r="D1971" i="7"/>
  <c r="D1972" i="7"/>
  <c r="D1973" i="7"/>
  <c r="D1974" i="7"/>
  <c r="D1975" i="7"/>
  <c r="D1976" i="7"/>
  <c r="D1977" i="7"/>
  <c r="D1978" i="7"/>
  <c r="D1979" i="7"/>
  <c r="D1980" i="7"/>
  <c r="D1981" i="7"/>
  <c r="D1982" i="7"/>
  <c r="D1983" i="7"/>
  <c r="D1984" i="7"/>
  <c r="D1985" i="7"/>
  <c r="D1986" i="7"/>
  <c r="D1987" i="7"/>
  <c r="D1988" i="7"/>
  <c r="D1989" i="7"/>
  <c r="D1990" i="7"/>
  <c r="D1991" i="7"/>
  <c r="D1992" i="7"/>
  <c r="D1993" i="7"/>
  <c r="D1994" i="7"/>
  <c r="D1995" i="7"/>
  <c r="D1996" i="7"/>
  <c r="D1997" i="7"/>
  <c r="D1998" i="7"/>
  <c r="D1999" i="7"/>
  <c r="D2000" i="7"/>
  <c r="D2001" i="7"/>
  <c r="D2002" i="7"/>
  <c r="D2003" i="7"/>
  <c r="D2004" i="7"/>
  <c r="D2005" i="7"/>
  <c r="D2006" i="7"/>
  <c r="D2007" i="7"/>
  <c r="D2008" i="7"/>
  <c r="D2009" i="7"/>
  <c r="D2010" i="7"/>
  <c r="D2011" i="7"/>
  <c r="D2012" i="7"/>
  <c r="D2013" i="7"/>
  <c r="D2014" i="7"/>
  <c r="D2015" i="7"/>
  <c r="D2016" i="7"/>
  <c r="D2017" i="7"/>
  <c r="D2018" i="7"/>
  <c r="D2019" i="7"/>
  <c r="D2020" i="7"/>
  <c r="D2021" i="7"/>
  <c r="D2022" i="7"/>
  <c r="D2023" i="7"/>
  <c r="D2024" i="7"/>
  <c r="D2025" i="7"/>
  <c r="D2026" i="7"/>
  <c r="D2027" i="7"/>
  <c r="D2028" i="7"/>
  <c r="D2029" i="7"/>
  <c r="D2030" i="7"/>
  <c r="D2031" i="7"/>
  <c r="D2032" i="7"/>
  <c r="D2033" i="7"/>
  <c r="D2034" i="7"/>
  <c r="D2035" i="7"/>
  <c r="D2036" i="7"/>
  <c r="D2037" i="7"/>
  <c r="D2038" i="7"/>
  <c r="D2039" i="7"/>
  <c r="D2040" i="7"/>
  <c r="D2041" i="7"/>
  <c r="D2042" i="7"/>
  <c r="D2043" i="7"/>
  <c r="D2044" i="7"/>
  <c r="D2045" i="7"/>
  <c r="D2046" i="7"/>
  <c r="D2047" i="7"/>
  <c r="D2048" i="7"/>
  <c r="D2049" i="7"/>
  <c r="D2050" i="7"/>
  <c r="D2051" i="7"/>
  <c r="D2052" i="7"/>
  <c r="D2053" i="7"/>
  <c r="D2054" i="7"/>
  <c r="D2055" i="7"/>
  <c r="D2056" i="7"/>
  <c r="D2057" i="7"/>
  <c r="D2058" i="7"/>
  <c r="D2059" i="7"/>
  <c r="D2060" i="7"/>
  <c r="D2061" i="7"/>
  <c r="D2062" i="7"/>
  <c r="D2063" i="7"/>
  <c r="D2064" i="7"/>
  <c r="D2065" i="7"/>
  <c r="D2066" i="7"/>
  <c r="D2067" i="7"/>
  <c r="D2068" i="7"/>
  <c r="D2069" i="7"/>
  <c r="D2070" i="7"/>
  <c r="D2071" i="7"/>
  <c r="D2072" i="7"/>
  <c r="D2073" i="7"/>
  <c r="D2074" i="7"/>
  <c r="D2075" i="7"/>
  <c r="D2076" i="7"/>
  <c r="D2077" i="7"/>
  <c r="D2078" i="7"/>
  <c r="D2079" i="7"/>
  <c r="D2080" i="7"/>
  <c r="D2081" i="7"/>
  <c r="D2082" i="7"/>
  <c r="D2083" i="7"/>
  <c r="D2084" i="7"/>
  <c r="D2085" i="7"/>
  <c r="D2086" i="7"/>
  <c r="D2087" i="7"/>
  <c r="D2088" i="7"/>
  <c r="D2089" i="7"/>
  <c r="D2090" i="7"/>
  <c r="D2091" i="7"/>
  <c r="D2092" i="7"/>
  <c r="D2093" i="7"/>
  <c r="D2094" i="7"/>
  <c r="D2095" i="7"/>
  <c r="D2096" i="7"/>
  <c r="D2097" i="7"/>
  <c r="D2098" i="7"/>
  <c r="D2099" i="7"/>
  <c r="D2100" i="7"/>
  <c r="D2101" i="7"/>
  <c r="D2102" i="7"/>
  <c r="D2103" i="7"/>
  <c r="D2104" i="7"/>
  <c r="D2105" i="7"/>
  <c r="D2106" i="7"/>
  <c r="D2107" i="7"/>
  <c r="D2108" i="7"/>
  <c r="D2109" i="7"/>
  <c r="D2110" i="7"/>
  <c r="D2111" i="7"/>
  <c r="D2112" i="7"/>
  <c r="D2113" i="7"/>
  <c r="D2114" i="7"/>
  <c r="D2115" i="7"/>
  <c r="D2116" i="7"/>
  <c r="D2117" i="7"/>
  <c r="D2118" i="7"/>
  <c r="D2119" i="7"/>
  <c r="D2120" i="7"/>
  <c r="D2121" i="7"/>
  <c r="D2122" i="7"/>
  <c r="D2123" i="7"/>
  <c r="D2124" i="7"/>
  <c r="D2125" i="7"/>
  <c r="D2126" i="7"/>
  <c r="D2127" i="7"/>
  <c r="D2128" i="7"/>
  <c r="D2129" i="7"/>
  <c r="D2130" i="7"/>
  <c r="D2131" i="7"/>
  <c r="D2132" i="7"/>
  <c r="D2133" i="7"/>
  <c r="D2134" i="7"/>
  <c r="D2135" i="7"/>
  <c r="D2136" i="7"/>
  <c r="D2137" i="7"/>
  <c r="D2138" i="7"/>
  <c r="D2139" i="7"/>
  <c r="D2140" i="7"/>
  <c r="D2141" i="7"/>
  <c r="D2142" i="7"/>
  <c r="D2143" i="7"/>
  <c r="D2144" i="7"/>
  <c r="D2145" i="7"/>
  <c r="D2146" i="7"/>
  <c r="D2147" i="7"/>
  <c r="D2148" i="7"/>
  <c r="D2149" i="7"/>
  <c r="D2150" i="7"/>
  <c r="D2151" i="7"/>
  <c r="D2152" i="7"/>
  <c r="D2153" i="7"/>
  <c r="D2154" i="7"/>
  <c r="D2155" i="7"/>
  <c r="D2156" i="7"/>
  <c r="D2157" i="7"/>
  <c r="D2158" i="7"/>
  <c r="D2159" i="7"/>
  <c r="D2160" i="7"/>
  <c r="D2161" i="7"/>
  <c r="D2162" i="7"/>
  <c r="D2163" i="7"/>
  <c r="D2164" i="7"/>
  <c r="D2165" i="7"/>
  <c r="D2166" i="7"/>
  <c r="D2167" i="7"/>
  <c r="D2168" i="7"/>
  <c r="D2169" i="7"/>
  <c r="D2170" i="7"/>
  <c r="D2171" i="7"/>
  <c r="D2172" i="7"/>
  <c r="D2173" i="7"/>
  <c r="D2174" i="7"/>
  <c r="D2175" i="7"/>
  <c r="D2176" i="7"/>
  <c r="D2177" i="7"/>
  <c r="D2178" i="7"/>
  <c r="D2179" i="7"/>
  <c r="D2180" i="7"/>
  <c r="D2181" i="7"/>
  <c r="D2182" i="7"/>
  <c r="D2183" i="7"/>
  <c r="D2184" i="7"/>
  <c r="D2185" i="7"/>
  <c r="D2186" i="7"/>
  <c r="D2187" i="7"/>
  <c r="D2188" i="7"/>
  <c r="D2189" i="7"/>
  <c r="D2190" i="7"/>
  <c r="D2191" i="7"/>
  <c r="D2192" i="7"/>
  <c r="D2193" i="7"/>
  <c r="D2194" i="7"/>
  <c r="D2195" i="7"/>
  <c r="D2196" i="7"/>
  <c r="D2197" i="7"/>
  <c r="D2198" i="7"/>
  <c r="D2199" i="7"/>
  <c r="D2200" i="7"/>
  <c r="D2201" i="7"/>
  <c r="D2202" i="7"/>
  <c r="D2203" i="7"/>
  <c r="D2204" i="7"/>
  <c r="D2205" i="7"/>
  <c r="D2206" i="7"/>
  <c r="D2207" i="7"/>
  <c r="D2208" i="7"/>
  <c r="D2209" i="7"/>
  <c r="D2210" i="7"/>
  <c r="D2211" i="7"/>
  <c r="D2212" i="7"/>
  <c r="D2213" i="7"/>
  <c r="D2214" i="7"/>
  <c r="D2215" i="7"/>
  <c r="D2216" i="7"/>
  <c r="D2217" i="7"/>
  <c r="D2218" i="7"/>
  <c r="D2219" i="7"/>
  <c r="D2220" i="7"/>
  <c r="D2221" i="7"/>
  <c r="D2222" i="7"/>
  <c r="D2223" i="7"/>
  <c r="D2224" i="7"/>
  <c r="D2225" i="7"/>
  <c r="D2226" i="7"/>
  <c r="D2227" i="7"/>
  <c r="D2228" i="7"/>
  <c r="D2229" i="7"/>
  <c r="D2230" i="7"/>
  <c r="D2231" i="7"/>
  <c r="D2232" i="7"/>
  <c r="D2233" i="7"/>
  <c r="D2234" i="7"/>
  <c r="D2235" i="7"/>
  <c r="D2236" i="7"/>
  <c r="D2237" i="7"/>
  <c r="D2238" i="7"/>
  <c r="D2239" i="7"/>
  <c r="D2240" i="7"/>
  <c r="D2241" i="7"/>
  <c r="D2242" i="7"/>
  <c r="D2243" i="7"/>
  <c r="D2244" i="7"/>
  <c r="D2245" i="7"/>
  <c r="D2246" i="7"/>
  <c r="D2247" i="7"/>
  <c r="D2248" i="7"/>
  <c r="D2249" i="7"/>
  <c r="D2250" i="7"/>
  <c r="D2251" i="7"/>
  <c r="D2252" i="7"/>
  <c r="D2253" i="7"/>
  <c r="D2254" i="7"/>
  <c r="D2255" i="7"/>
  <c r="D2256" i="7"/>
  <c r="D2257" i="7"/>
  <c r="D2258" i="7"/>
  <c r="D2259" i="7"/>
  <c r="D2260" i="7"/>
  <c r="D2261" i="7"/>
  <c r="D2262" i="7"/>
  <c r="D2263" i="7"/>
  <c r="D2264" i="7"/>
  <c r="D2265" i="7"/>
  <c r="D2266" i="7"/>
  <c r="D2267" i="7"/>
  <c r="D2268" i="7"/>
  <c r="D2269" i="7"/>
  <c r="D2270" i="7"/>
  <c r="D2271" i="7"/>
  <c r="D2272" i="7"/>
  <c r="D2273" i="7"/>
  <c r="D2274" i="7"/>
  <c r="D2275" i="7"/>
  <c r="D2276" i="7"/>
  <c r="D2277" i="7"/>
  <c r="D2278" i="7"/>
  <c r="D2279" i="7"/>
  <c r="D2280" i="7"/>
  <c r="D2281" i="7"/>
  <c r="D2282" i="7"/>
  <c r="D2283" i="7"/>
  <c r="D2284" i="7"/>
  <c r="D2285" i="7"/>
  <c r="D2286" i="7"/>
  <c r="D2287" i="7"/>
  <c r="D2288" i="7"/>
  <c r="D2289" i="7"/>
  <c r="D2290" i="7"/>
  <c r="D2291" i="7"/>
  <c r="D2292" i="7"/>
  <c r="D2293" i="7"/>
  <c r="D2294" i="7"/>
  <c r="D2295" i="7"/>
  <c r="D2296" i="7"/>
  <c r="D2297" i="7"/>
  <c r="D2298" i="7"/>
  <c r="D2299" i="7"/>
  <c r="D2300" i="7"/>
  <c r="D2301" i="7"/>
  <c r="D2302" i="7"/>
  <c r="D2303" i="7"/>
  <c r="D2304" i="7"/>
  <c r="D2305" i="7"/>
  <c r="D2306" i="7"/>
  <c r="D2307" i="7"/>
  <c r="D2308" i="7"/>
  <c r="D2309" i="7"/>
  <c r="D2310" i="7"/>
  <c r="D2311" i="7"/>
  <c r="D2312" i="7"/>
  <c r="D2313" i="7"/>
  <c r="D2314" i="7"/>
  <c r="D2315" i="7"/>
  <c r="D2316" i="7"/>
  <c r="D2317" i="7"/>
  <c r="D2318" i="7"/>
  <c r="D2319" i="7"/>
  <c r="D2320" i="7"/>
  <c r="D2321" i="7"/>
  <c r="D2322" i="7"/>
  <c r="D2323" i="7"/>
  <c r="D2324" i="7"/>
  <c r="D2325" i="7"/>
  <c r="D2326" i="7"/>
  <c r="D2327" i="7"/>
  <c r="D2328" i="7"/>
  <c r="D2329" i="7"/>
  <c r="D2330" i="7"/>
  <c r="D2331" i="7"/>
  <c r="D2332" i="7"/>
  <c r="D2333" i="7"/>
  <c r="D2334" i="7"/>
  <c r="D2335" i="7"/>
  <c r="D2336" i="7"/>
  <c r="D2337" i="7"/>
  <c r="D2338" i="7"/>
  <c r="D2339" i="7"/>
  <c r="D2340" i="7"/>
  <c r="D2341" i="7"/>
  <c r="D2342" i="7"/>
  <c r="D2343" i="7"/>
  <c r="D2344" i="7"/>
  <c r="D2345" i="7"/>
  <c r="D2346" i="7"/>
  <c r="D2347" i="7"/>
  <c r="D2348" i="7"/>
  <c r="D2349" i="7"/>
  <c r="D2350" i="7"/>
  <c r="D2351" i="7"/>
  <c r="D2352" i="7"/>
  <c r="D2353" i="7"/>
  <c r="D2354" i="7"/>
  <c r="D2355" i="7"/>
  <c r="D2356" i="7"/>
  <c r="D2357" i="7"/>
  <c r="D2358" i="7"/>
  <c r="D2359" i="7"/>
  <c r="D2360" i="7"/>
  <c r="D2361" i="7"/>
  <c r="D2362" i="7"/>
  <c r="D2363" i="7"/>
  <c r="D2364" i="7"/>
  <c r="D2365" i="7"/>
  <c r="D2366" i="7"/>
  <c r="D2367" i="7"/>
  <c r="D2368" i="7"/>
  <c r="D2369" i="7"/>
  <c r="D2370" i="7"/>
  <c r="D2371" i="7"/>
  <c r="D2372" i="7"/>
  <c r="D2373" i="7"/>
  <c r="D2374" i="7"/>
  <c r="D2375" i="7"/>
  <c r="D2376" i="7"/>
  <c r="D2377" i="7"/>
  <c r="D2378" i="7"/>
  <c r="D2379" i="7"/>
  <c r="D2380" i="7"/>
  <c r="D2381" i="7"/>
  <c r="D2382" i="7"/>
  <c r="D2383" i="7"/>
  <c r="D2384" i="7"/>
  <c r="D2385" i="7"/>
  <c r="D2386" i="7"/>
  <c r="D2387" i="7"/>
  <c r="D2388" i="7"/>
  <c r="D2389" i="7"/>
  <c r="D2390" i="7"/>
  <c r="D2391" i="7"/>
  <c r="D2392" i="7"/>
  <c r="D2393" i="7"/>
  <c r="D2394" i="7"/>
  <c r="D2395" i="7"/>
  <c r="D2396" i="7"/>
  <c r="D2397" i="7"/>
  <c r="D2398" i="7"/>
  <c r="D2399" i="7"/>
  <c r="D2400" i="7"/>
  <c r="D2401" i="7"/>
  <c r="D2402" i="7"/>
  <c r="D2403" i="7"/>
  <c r="D2404" i="7"/>
  <c r="D2405" i="7"/>
  <c r="D2406" i="7"/>
  <c r="D2407" i="7"/>
  <c r="D2408" i="7"/>
  <c r="D2409" i="7"/>
  <c r="D2410" i="7"/>
  <c r="D2411" i="7"/>
  <c r="D2412" i="7"/>
  <c r="D2413" i="7"/>
  <c r="D2414" i="7"/>
  <c r="D2415" i="7"/>
  <c r="D2416" i="7"/>
  <c r="D2417" i="7"/>
  <c r="D2418" i="7"/>
  <c r="D2419" i="7"/>
  <c r="D2420" i="7"/>
  <c r="D2421" i="7"/>
  <c r="D2422" i="7"/>
  <c r="D2423" i="7"/>
  <c r="D2424" i="7"/>
  <c r="D2425" i="7"/>
  <c r="D2426" i="7"/>
  <c r="D2427" i="7"/>
  <c r="D2428" i="7"/>
  <c r="D2429" i="7"/>
  <c r="D2430" i="7"/>
  <c r="D2431" i="7"/>
  <c r="D2432" i="7"/>
  <c r="D2433" i="7"/>
  <c r="D2434" i="7"/>
  <c r="D2435" i="7"/>
  <c r="D2436" i="7"/>
  <c r="D2437" i="7"/>
  <c r="D2438" i="7"/>
  <c r="D2439" i="7"/>
  <c r="D2440" i="7"/>
  <c r="D2441" i="7"/>
  <c r="D2442" i="7"/>
  <c r="D2443" i="7"/>
  <c r="D2444" i="7"/>
  <c r="D2445" i="7"/>
  <c r="D2446" i="7"/>
  <c r="D2447" i="7"/>
  <c r="D2448" i="7"/>
  <c r="D2449" i="7"/>
  <c r="D2450" i="7"/>
  <c r="D2451" i="7"/>
  <c r="D2452" i="7"/>
  <c r="D2453" i="7"/>
  <c r="D2454" i="7"/>
  <c r="D2455" i="7"/>
  <c r="D2456" i="7"/>
  <c r="D2457" i="7"/>
  <c r="D2458" i="7"/>
  <c r="D2459" i="7"/>
  <c r="D2460" i="7"/>
  <c r="D2461" i="7"/>
  <c r="D2462" i="7"/>
  <c r="D2463" i="7"/>
  <c r="D2464" i="7"/>
  <c r="D2465" i="7"/>
  <c r="D2466" i="7"/>
  <c r="D2467" i="7"/>
  <c r="D2468" i="7"/>
  <c r="D2469" i="7"/>
  <c r="D2470" i="7"/>
  <c r="D2471" i="7"/>
  <c r="D2472" i="7"/>
  <c r="D2473" i="7"/>
  <c r="D2474" i="7"/>
  <c r="D2475" i="7"/>
  <c r="D2476" i="7"/>
  <c r="D2477" i="7"/>
  <c r="D2478" i="7"/>
  <c r="D2479" i="7"/>
  <c r="D2480" i="7"/>
  <c r="D2481" i="7"/>
  <c r="D2482" i="7"/>
  <c r="D2483" i="7"/>
  <c r="D2484" i="7"/>
  <c r="D2485" i="7"/>
  <c r="D2486" i="7"/>
  <c r="D2487" i="7"/>
  <c r="D2488" i="7"/>
  <c r="D2489" i="7"/>
  <c r="D2490" i="7"/>
  <c r="D2491" i="7"/>
  <c r="D2492" i="7"/>
  <c r="D2493" i="7"/>
  <c r="D2494" i="7"/>
  <c r="D2495" i="7"/>
  <c r="D2496" i="7"/>
  <c r="D2497" i="7"/>
  <c r="D2498" i="7"/>
  <c r="D2499" i="7"/>
  <c r="D2500" i="7"/>
  <c r="D2501" i="7"/>
  <c r="D2502" i="7"/>
  <c r="D2503" i="7"/>
  <c r="D2504" i="7"/>
  <c r="D2505" i="7"/>
  <c r="D2506" i="7"/>
  <c r="D2507" i="7"/>
  <c r="D2508" i="7"/>
  <c r="D2509" i="7"/>
  <c r="D2510" i="7"/>
  <c r="D2511" i="7"/>
  <c r="D2512" i="7"/>
  <c r="D2513" i="7"/>
  <c r="D2514" i="7"/>
  <c r="D2515" i="7"/>
  <c r="D2516" i="7"/>
  <c r="D2517" i="7"/>
  <c r="D2518" i="7"/>
  <c r="D2519" i="7"/>
  <c r="D2520" i="7"/>
  <c r="D2521" i="7"/>
  <c r="D2522" i="7"/>
  <c r="D2523" i="7"/>
  <c r="D2524" i="7"/>
  <c r="D2525" i="7"/>
  <c r="D2526" i="7"/>
  <c r="D2527" i="7"/>
  <c r="D2528" i="7"/>
  <c r="D2529" i="7"/>
  <c r="D2530" i="7"/>
  <c r="D2531" i="7"/>
  <c r="D2532" i="7"/>
  <c r="D2533" i="7"/>
  <c r="D2534" i="7"/>
  <c r="D2535" i="7"/>
  <c r="D2536" i="7"/>
  <c r="D2537" i="7"/>
  <c r="D2538" i="7"/>
  <c r="D2539" i="7"/>
  <c r="D2540" i="7"/>
  <c r="D2541" i="7"/>
  <c r="D2542" i="7"/>
  <c r="D2543" i="7"/>
  <c r="D2544" i="7"/>
  <c r="D2545" i="7"/>
  <c r="D2546" i="7"/>
  <c r="D2547" i="7"/>
  <c r="D2548" i="7"/>
  <c r="D2549" i="7"/>
  <c r="D2550" i="7"/>
  <c r="D2551" i="7"/>
  <c r="D2552" i="7"/>
  <c r="D2553" i="7"/>
  <c r="D2554" i="7"/>
  <c r="D2555" i="7"/>
  <c r="D2556" i="7"/>
  <c r="D2557" i="7"/>
  <c r="D2558" i="7"/>
  <c r="D2559" i="7"/>
  <c r="D2560" i="7"/>
  <c r="D2561" i="7"/>
  <c r="D2562" i="7"/>
  <c r="D2563" i="7"/>
  <c r="D2564" i="7"/>
  <c r="D2565" i="7"/>
  <c r="D2566" i="7"/>
  <c r="D2567" i="7"/>
  <c r="D2568" i="7"/>
  <c r="D2569" i="7"/>
  <c r="D2570" i="7"/>
  <c r="D2571" i="7"/>
  <c r="D2572" i="7"/>
  <c r="D2573" i="7"/>
  <c r="D2574" i="7"/>
  <c r="D2575" i="7"/>
  <c r="D2576" i="7"/>
  <c r="D2577" i="7"/>
  <c r="D2578" i="7"/>
  <c r="D2579" i="7"/>
  <c r="D2580" i="7"/>
  <c r="D2581" i="7"/>
  <c r="D2582" i="7"/>
  <c r="D2583" i="7"/>
  <c r="D2584" i="7"/>
  <c r="D2585" i="7"/>
  <c r="D2586" i="7"/>
  <c r="D2587" i="7"/>
  <c r="D2588" i="7"/>
  <c r="D2589" i="7"/>
  <c r="D2590" i="7"/>
  <c r="D2591" i="7"/>
  <c r="D2592" i="7"/>
  <c r="D2593" i="7"/>
  <c r="D2594" i="7"/>
  <c r="D2595" i="7"/>
  <c r="D2596" i="7"/>
  <c r="D2597" i="7"/>
  <c r="D2598" i="7"/>
  <c r="D2599" i="7"/>
  <c r="D2600" i="7"/>
  <c r="D2601" i="7"/>
  <c r="D2602" i="7"/>
  <c r="D2603" i="7"/>
  <c r="D2604" i="7"/>
  <c r="D2605" i="7"/>
  <c r="D2606" i="7"/>
  <c r="D2607" i="7"/>
  <c r="D2608" i="7"/>
  <c r="D2609" i="7"/>
  <c r="D2610" i="7"/>
  <c r="D2611" i="7"/>
  <c r="D2612" i="7"/>
  <c r="D2613" i="7"/>
  <c r="D2614" i="7"/>
  <c r="D2615" i="7"/>
  <c r="D2616" i="7"/>
  <c r="D2617" i="7"/>
  <c r="D2618" i="7"/>
  <c r="D2619" i="7"/>
  <c r="D2620" i="7"/>
  <c r="D2621" i="7"/>
  <c r="D2622" i="7"/>
  <c r="D2623" i="7"/>
  <c r="D2624" i="7"/>
  <c r="D2625" i="7"/>
  <c r="D2626" i="7"/>
  <c r="D2627" i="7"/>
  <c r="D2628" i="7"/>
  <c r="D2629" i="7"/>
  <c r="D2630" i="7"/>
  <c r="D2631" i="7"/>
  <c r="D2632" i="7"/>
  <c r="D2633" i="7"/>
  <c r="D2634" i="7"/>
  <c r="D2635" i="7"/>
  <c r="D2636" i="7"/>
  <c r="D2637" i="7"/>
  <c r="D2638" i="7"/>
  <c r="D2639" i="7"/>
  <c r="D2640" i="7"/>
  <c r="D2641" i="7"/>
  <c r="D2642" i="7"/>
  <c r="D2643" i="7"/>
  <c r="D2644" i="7"/>
  <c r="D2645" i="7"/>
  <c r="D2646" i="7"/>
  <c r="D2647" i="7"/>
  <c r="D2648" i="7"/>
  <c r="D2649" i="7"/>
  <c r="D2650" i="7"/>
  <c r="D2651" i="7"/>
  <c r="D2652" i="7"/>
  <c r="D2653" i="7"/>
  <c r="D2654" i="7"/>
  <c r="D2655" i="7"/>
  <c r="D2656" i="7"/>
  <c r="D2657" i="7"/>
  <c r="D2658" i="7"/>
  <c r="D2659" i="7"/>
  <c r="D2660" i="7"/>
  <c r="D2661" i="7"/>
  <c r="D2662" i="7"/>
  <c r="D2663" i="7"/>
  <c r="D2664" i="7"/>
  <c r="D2665" i="7"/>
  <c r="D2666" i="7"/>
  <c r="D2667" i="7"/>
  <c r="D2668" i="7"/>
  <c r="D2669" i="7"/>
  <c r="D2670" i="7"/>
  <c r="D2671" i="7"/>
  <c r="D2672" i="7"/>
  <c r="D2673" i="7"/>
  <c r="D2674" i="7"/>
  <c r="D2675" i="7"/>
  <c r="D2676" i="7"/>
  <c r="D2677" i="7"/>
  <c r="D2678" i="7"/>
  <c r="D2679" i="7"/>
  <c r="D2680" i="7"/>
  <c r="D2681" i="7"/>
  <c r="D2682" i="7"/>
  <c r="D2683" i="7"/>
  <c r="D2684" i="7"/>
  <c r="D2685" i="7"/>
  <c r="D2686" i="7"/>
  <c r="D2687" i="7"/>
  <c r="D2688" i="7"/>
  <c r="D2689" i="7"/>
  <c r="D2690" i="7"/>
  <c r="D2691" i="7"/>
  <c r="D2692" i="7"/>
  <c r="D2693" i="7"/>
  <c r="D2694" i="7"/>
  <c r="D2695" i="7"/>
  <c r="D2696" i="7"/>
  <c r="D2697" i="7"/>
  <c r="D2698" i="7"/>
  <c r="D2699" i="7"/>
  <c r="D2700" i="7"/>
  <c r="D2701" i="7"/>
  <c r="D2702" i="7"/>
  <c r="D2703" i="7"/>
  <c r="D2704" i="7"/>
  <c r="D2705" i="7"/>
  <c r="D2706" i="7"/>
  <c r="D2707" i="7"/>
  <c r="D2708" i="7"/>
  <c r="D2709" i="7"/>
  <c r="D2710" i="7"/>
  <c r="D2711" i="7"/>
  <c r="D2712" i="7"/>
  <c r="D2713" i="7"/>
  <c r="D2714" i="7"/>
  <c r="D2715" i="7"/>
  <c r="D2716" i="7"/>
  <c r="D2717" i="7"/>
  <c r="D2718" i="7"/>
  <c r="D2719" i="7"/>
  <c r="D2720" i="7"/>
  <c r="D2721" i="7"/>
  <c r="D2722" i="7"/>
  <c r="D2723" i="7"/>
  <c r="D2724" i="7"/>
  <c r="D2725" i="7"/>
  <c r="D2726" i="7"/>
  <c r="D2727" i="7"/>
  <c r="D2728" i="7"/>
  <c r="D2729" i="7"/>
  <c r="D2730" i="7"/>
  <c r="D2731" i="7"/>
  <c r="D2732" i="7"/>
  <c r="D2733" i="7"/>
  <c r="D2734" i="7"/>
  <c r="D2735" i="7"/>
  <c r="D2736" i="7"/>
  <c r="D2737" i="7"/>
  <c r="D2738" i="7"/>
  <c r="D2739" i="7"/>
  <c r="D2740" i="7"/>
  <c r="D2741" i="7"/>
  <c r="D2742" i="7"/>
  <c r="D2743" i="7"/>
  <c r="D2744" i="7"/>
  <c r="D2745" i="7"/>
  <c r="D2746" i="7"/>
  <c r="D2747" i="7"/>
  <c r="D2748" i="7"/>
  <c r="D2749" i="7"/>
  <c r="D2750" i="7"/>
  <c r="D2751" i="7"/>
  <c r="D2752" i="7"/>
  <c r="D2753" i="7"/>
  <c r="D2754" i="7"/>
  <c r="D2755" i="7"/>
  <c r="D2756" i="7"/>
  <c r="D2757" i="7"/>
  <c r="D2758" i="7"/>
  <c r="D2759" i="7"/>
  <c r="D2760" i="7"/>
  <c r="D2761" i="7"/>
  <c r="D2762" i="7"/>
  <c r="D2763" i="7"/>
  <c r="D2764" i="7"/>
  <c r="D2765" i="7"/>
  <c r="D2766" i="7"/>
  <c r="D2767" i="7"/>
  <c r="D2768" i="7"/>
  <c r="D2769" i="7"/>
  <c r="D2770" i="7"/>
  <c r="D2771" i="7"/>
  <c r="D2772" i="7"/>
  <c r="D2773" i="7"/>
  <c r="D2774" i="7"/>
  <c r="D2775" i="7"/>
  <c r="D2776" i="7"/>
  <c r="D2777" i="7"/>
  <c r="D2778" i="7"/>
  <c r="D2779" i="7"/>
  <c r="D2780" i="7"/>
  <c r="D2781" i="7"/>
  <c r="D2782" i="7"/>
  <c r="D2783" i="7"/>
  <c r="D2784" i="7"/>
  <c r="D2785" i="7"/>
  <c r="D2786" i="7"/>
  <c r="D2787" i="7"/>
  <c r="D2788" i="7"/>
  <c r="D2789" i="7"/>
  <c r="D2790" i="7"/>
  <c r="D2791" i="7"/>
  <c r="D2792" i="7"/>
  <c r="D2793" i="7"/>
  <c r="D2794" i="7"/>
  <c r="D2795" i="7"/>
  <c r="D2796" i="7"/>
  <c r="D2797" i="7"/>
  <c r="D2798" i="7"/>
  <c r="D2799" i="7"/>
  <c r="D2800" i="7"/>
  <c r="D2801" i="7"/>
  <c r="D2802" i="7"/>
  <c r="D2803" i="7"/>
  <c r="D2804" i="7"/>
  <c r="D2805" i="7"/>
  <c r="D2806" i="7"/>
  <c r="D2807" i="7"/>
  <c r="D2808" i="7"/>
  <c r="D2809" i="7"/>
  <c r="D2810" i="7"/>
  <c r="D2811" i="7"/>
  <c r="D2812" i="7"/>
  <c r="D2813" i="7"/>
  <c r="D2814" i="7"/>
  <c r="D2815" i="7"/>
  <c r="D2816" i="7"/>
  <c r="D2817" i="7"/>
  <c r="D2818" i="7"/>
  <c r="D2819" i="7"/>
  <c r="D2820" i="7"/>
  <c r="D2821" i="7"/>
  <c r="D2822" i="7"/>
  <c r="D2823" i="7"/>
  <c r="D2824" i="7"/>
  <c r="D2825" i="7"/>
  <c r="D2826" i="7"/>
  <c r="D2827" i="7"/>
  <c r="D2828" i="7"/>
  <c r="D2829" i="7"/>
  <c r="D2830" i="7"/>
  <c r="D2831" i="7"/>
  <c r="D2832" i="7"/>
  <c r="D2833" i="7"/>
  <c r="D2834" i="7"/>
  <c r="D2835" i="7"/>
  <c r="D2836" i="7"/>
  <c r="D2837" i="7"/>
  <c r="D2838" i="7"/>
  <c r="D2839" i="7"/>
  <c r="D2840" i="7"/>
  <c r="D2841" i="7"/>
  <c r="D2842" i="7"/>
  <c r="D2843" i="7"/>
  <c r="D2844" i="7"/>
  <c r="D2845" i="7"/>
  <c r="D2846" i="7"/>
  <c r="D2847" i="7"/>
  <c r="D2848" i="7"/>
  <c r="D2849" i="7"/>
  <c r="D2850" i="7"/>
  <c r="D2851" i="7"/>
  <c r="D2852" i="7"/>
  <c r="D2853" i="7"/>
  <c r="D2854" i="7"/>
  <c r="D2855" i="7"/>
  <c r="D2856" i="7"/>
  <c r="D2857" i="7"/>
  <c r="D2858" i="7"/>
  <c r="D2859" i="7"/>
  <c r="D2860" i="7"/>
  <c r="D2861" i="7"/>
  <c r="D2862" i="7"/>
  <c r="D2863" i="7"/>
  <c r="D2864" i="7"/>
  <c r="D2865" i="7"/>
  <c r="D2866" i="7"/>
  <c r="D2867" i="7"/>
  <c r="D2868" i="7"/>
  <c r="D2869" i="7"/>
  <c r="D2870" i="7"/>
  <c r="D2871" i="7"/>
  <c r="D2872" i="7"/>
  <c r="D2873" i="7"/>
  <c r="D2874" i="7"/>
  <c r="D2875" i="7"/>
  <c r="D2876" i="7"/>
  <c r="D2877" i="7"/>
  <c r="D2878" i="7"/>
  <c r="D2879" i="7"/>
  <c r="D2880" i="7"/>
  <c r="D2881" i="7"/>
  <c r="D2882" i="7"/>
  <c r="D2883" i="7"/>
  <c r="D2884" i="7"/>
  <c r="D2885" i="7"/>
  <c r="D2886" i="7"/>
  <c r="D2887" i="7"/>
  <c r="D2888" i="7"/>
  <c r="D2889" i="7"/>
  <c r="D2890" i="7"/>
  <c r="D2891" i="7"/>
  <c r="D2892" i="7"/>
  <c r="D2893" i="7"/>
  <c r="D2894" i="7"/>
  <c r="D2895" i="7"/>
  <c r="D2896" i="7"/>
  <c r="D2897" i="7"/>
  <c r="D2898" i="7"/>
  <c r="D2899" i="7"/>
  <c r="D2900" i="7"/>
  <c r="D2901" i="7"/>
  <c r="D2902" i="7"/>
  <c r="D2903" i="7"/>
  <c r="D2904" i="7"/>
  <c r="D2905" i="7"/>
  <c r="D2906" i="7"/>
  <c r="D2907" i="7"/>
  <c r="D2908" i="7"/>
  <c r="D2909" i="7"/>
  <c r="D2910" i="7"/>
  <c r="D2911" i="7"/>
  <c r="D2912" i="7"/>
  <c r="D2913" i="7"/>
  <c r="D2914" i="7"/>
  <c r="D2915" i="7"/>
  <c r="D2916" i="7"/>
  <c r="D2917" i="7"/>
  <c r="D2918" i="7"/>
  <c r="D2919" i="7"/>
  <c r="D2920" i="7"/>
  <c r="D2921" i="7"/>
  <c r="D2922" i="7"/>
  <c r="D2923" i="7"/>
  <c r="D2924" i="7"/>
  <c r="D2925" i="7"/>
  <c r="D2926" i="7"/>
  <c r="D2927" i="7"/>
  <c r="D2928" i="7"/>
  <c r="D2929" i="7"/>
  <c r="D2930" i="7"/>
  <c r="D2931" i="7"/>
  <c r="D2932" i="7"/>
  <c r="D2933" i="7"/>
  <c r="D2934" i="7"/>
  <c r="D2935" i="7"/>
  <c r="D2936" i="7"/>
  <c r="D2937" i="7"/>
  <c r="D2938" i="7"/>
  <c r="D2939" i="7"/>
  <c r="D2940" i="7"/>
  <c r="D2941" i="7"/>
  <c r="D2942" i="7"/>
  <c r="D2943" i="7"/>
  <c r="D2944" i="7"/>
  <c r="D2945" i="7"/>
  <c r="D2946" i="7"/>
  <c r="D2947" i="7"/>
  <c r="D2948" i="7"/>
  <c r="D2949" i="7"/>
  <c r="D2950" i="7"/>
  <c r="D2951" i="7"/>
  <c r="D2952" i="7"/>
  <c r="D2953" i="7"/>
  <c r="D2954" i="7"/>
  <c r="D2955" i="7"/>
  <c r="D2956" i="7"/>
  <c r="D2957" i="7"/>
  <c r="D2958" i="7"/>
  <c r="D2959" i="7"/>
  <c r="D2960" i="7"/>
  <c r="D2961" i="7"/>
  <c r="D2962" i="7"/>
  <c r="D2963" i="7"/>
  <c r="D2964" i="7"/>
  <c r="D2965" i="7"/>
  <c r="D2966" i="7"/>
  <c r="D2967" i="7"/>
  <c r="D2968" i="7"/>
  <c r="D2969" i="7"/>
  <c r="D2970" i="7"/>
  <c r="D2971" i="7"/>
  <c r="D2972" i="7"/>
  <c r="D2973" i="7"/>
  <c r="D2974" i="7"/>
  <c r="D2975" i="7"/>
  <c r="D2976" i="7"/>
  <c r="D2977" i="7"/>
  <c r="D2978" i="7"/>
  <c r="D2979" i="7"/>
  <c r="D2980" i="7"/>
  <c r="D2981" i="7"/>
  <c r="D2982" i="7"/>
  <c r="D2983" i="7"/>
  <c r="D2984" i="7"/>
  <c r="D2985" i="7"/>
  <c r="D2986" i="7"/>
  <c r="D2987" i="7"/>
  <c r="D2988" i="7"/>
  <c r="D2989" i="7"/>
  <c r="D2990" i="7"/>
  <c r="D2991" i="7"/>
  <c r="D2992" i="7"/>
  <c r="D2993" i="7"/>
  <c r="D2994" i="7"/>
  <c r="D2995" i="7"/>
  <c r="D2996" i="7"/>
  <c r="D2997" i="7"/>
  <c r="D2998" i="7"/>
  <c r="D2999" i="7"/>
  <c r="D3000" i="7"/>
  <c r="D3001" i="7"/>
  <c r="D3002" i="7"/>
  <c r="D3003" i="7"/>
  <c r="D3004" i="7"/>
  <c r="D3005" i="7"/>
  <c r="D3006" i="7"/>
  <c r="D3007" i="7"/>
  <c r="D3008" i="7"/>
  <c r="D3009" i="7"/>
  <c r="D3010" i="7"/>
  <c r="D3011" i="7"/>
  <c r="D3012" i="7"/>
  <c r="D3013" i="7"/>
  <c r="D3014" i="7"/>
  <c r="D3015" i="7"/>
  <c r="D3016" i="7"/>
  <c r="D3017" i="7"/>
  <c r="D3018" i="7"/>
  <c r="D3019" i="7"/>
  <c r="D3020" i="7"/>
  <c r="D3021" i="7"/>
  <c r="D3022" i="7"/>
  <c r="D3023" i="7"/>
  <c r="D3024" i="7"/>
  <c r="D3025" i="7"/>
  <c r="D3026" i="7"/>
  <c r="D3027" i="7"/>
  <c r="D3028" i="7"/>
  <c r="D3029" i="7"/>
  <c r="D3030" i="7"/>
  <c r="D3031" i="7"/>
  <c r="D3032" i="7"/>
  <c r="D3033" i="7"/>
  <c r="D3034" i="7"/>
  <c r="D3035" i="7"/>
  <c r="D3036" i="7"/>
  <c r="D3037" i="7"/>
  <c r="D3038" i="7"/>
  <c r="D3039" i="7"/>
  <c r="D3040" i="7"/>
  <c r="D3041" i="7"/>
  <c r="D3042" i="7"/>
  <c r="D3043" i="7"/>
  <c r="D3044" i="7"/>
  <c r="D3045" i="7"/>
  <c r="D3046" i="7"/>
  <c r="D3047" i="7"/>
  <c r="D3048" i="7"/>
  <c r="D3049" i="7"/>
  <c r="D3050" i="7"/>
  <c r="D3051" i="7"/>
  <c r="D3052" i="7"/>
  <c r="D3053" i="7"/>
  <c r="D3054" i="7"/>
  <c r="D3055" i="7"/>
  <c r="D3056" i="7"/>
  <c r="D3057" i="7"/>
  <c r="D3058" i="7"/>
  <c r="D3059" i="7"/>
  <c r="D3060" i="7"/>
  <c r="D3061" i="7"/>
  <c r="D3062" i="7"/>
  <c r="D3063" i="7"/>
  <c r="D3064" i="7"/>
  <c r="D3065" i="7"/>
  <c r="D3066" i="7"/>
  <c r="D3067" i="7"/>
  <c r="D3068" i="7"/>
  <c r="D3069" i="7"/>
  <c r="D3070" i="7"/>
  <c r="D3071" i="7"/>
  <c r="D3072" i="7"/>
  <c r="D3073" i="7"/>
  <c r="D3074" i="7"/>
  <c r="D3075" i="7"/>
  <c r="D3076" i="7"/>
  <c r="D3077" i="7"/>
  <c r="D3078" i="7"/>
  <c r="D3079" i="7"/>
  <c r="D3080" i="7"/>
  <c r="D3081" i="7"/>
  <c r="D3082" i="7"/>
  <c r="D3083" i="7"/>
  <c r="D3084" i="7"/>
  <c r="D3085" i="7"/>
  <c r="D3086" i="7"/>
  <c r="D3087" i="7"/>
  <c r="D3088" i="7"/>
  <c r="D3089" i="7"/>
  <c r="D3090" i="7"/>
  <c r="D3091" i="7"/>
  <c r="D3092" i="7"/>
  <c r="D3093" i="7"/>
  <c r="D3094" i="7"/>
  <c r="D3095" i="7"/>
  <c r="D3096" i="7"/>
  <c r="D3097" i="7"/>
  <c r="D3098" i="7"/>
  <c r="D3099" i="7"/>
  <c r="D3100" i="7"/>
  <c r="D3101" i="7"/>
  <c r="D3102" i="7"/>
  <c r="D3103" i="7"/>
  <c r="D3104" i="7"/>
  <c r="D3105" i="7"/>
  <c r="D3106" i="7"/>
  <c r="D3107" i="7"/>
  <c r="D3108" i="7"/>
  <c r="D3109" i="7"/>
  <c r="D3110" i="7"/>
  <c r="D3111" i="7"/>
  <c r="D3112" i="7"/>
  <c r="D3113" i="7"/>
  <c r="D3114" i="7"/>
  <c r="D3115" i="7"/>
  <c r="D3116" i="7"/>
  <c r="D3117" i="7"/>
  <c r="D3118" i="7"/>
  <c r="D3119" i="7"/>
  <c r="D3120" i="7"/>
  <c r="D3121" i="7"/>
  <c r="D3122" i="7"/>
  <c r="D3123" i="7"/>
  <c r="D3124" i="7"/>
  <c r="D3125" i="7"/>
  <c r="D3126" i="7"/>
  <c r="D3127" i="7"/>
  <c r="D3128" i="7"/>
  <c r="D3129" i="7"/>
  <c r="D3130" i="7"/>
  <c r="D3131" i="7"/>
  <c r="D3132" i="7"/>
  <c r="D3133" i="7"/>
  <c r="D3134" i="7"/>
  <c r="D3135" i="7"/>
  <c r="D3136" i="7"/>
  <c r="D3137" i="7"/>
  <c r="D3138" i="7"/>
  <c r="D3139" i="7"/>
  <c r="D3140" i="7"/>
  <c r="D3141" i="7"/>
  <c r="D3142" i="7"/>
  <c r="D3143" i="7"/>
  <c r="D3144" i="7"/>
  <c r="D3145" i="7"/>
  <c r="D3146" i="7"/>
  <c r="D3147" i="7"/>
  <c r="D3148" i="7"/>
  <c r="D3149" i="7"/>
  <c r="D3150" i="7"/>
  <c r="D3151" i="7"/>
  <c r="D3152" i="7"/>
  <c r="D3153" i="7"/>
  <c r="D3154" i="7"/>
  <c r="D3155" i="7"/>
  <c r="D3156" i="7"/>
  <c r="D3157" i="7"/>
  <c r="D3158" i="7"/>
  <c r="D3159" i="7"/>
  <c r="D3160" i="7"/>
  <c r="D3161" i="7"/>
  <c r="D3162" i="7"/>
  <c r="D3163" i="7"/>
  <c r="D3164" i="7"/>
  <c r="D3165" i="7"/>
  <c r="D3166" i="7"/>
  <c r="D3167" i="7"/>
  <c r="D3168" i="7"/>
  <c r="D3169" i="7"/>
  <c r="D3170" i="7"/>
  <c r="D3171" i="7"/>
  <c r="D3172" i="7"/>
  <c r="D3173" i="7"/>
  <c r="D3174" i="7"/>
  <c r="D3175" i="7"/>
  <c r="D3176" i="7"/>
  <c r="D3177" i="7"/>
  <c r="D3178" i="7"/>
  <c r="D3179" i="7"/>
  <c r="D3180" i="7"/>
  <c r="D3181" i="7"/>
  <c r="D3182" i="7"/>
  <c r="D3183" i="7"/>
  <c r="D3184" i="7"/>
  <c r="D3185" i="7"/>
  <c r="D3186" i="7"/>
  <c r="D3187" i="7"/>
  <c r="D3188" i="7"/>
  <c r="D3189" i="7"/>
  <c r="D3190" i="7"/>
  <c r="D3191" i="7"/>
  <c r="D3192" i="7"/>
  <c r="D3193" i="7"/>
  <c r="D3194" i="7"/>
  <c r="D3195" i="7"/>
  <c r="D3196" i="7"/>
  <c r="D3197" i="7"/>
  <c r="D3198" i="7"/>
  <c r="D3199" i="7"/>
  <c r="D3200" i="7"/>
  <c r="D3201" i="7"/>
  <c r="D3202" i="7"/>
  <c r="D3203" i="7"/>
  <c r="D3204" i="7"/>
  <c r="D3205" i="7"/>
  <c r="D3206" i="7"/>
  <c r="D3207" i="7"/>
  <c r="D3208" i="7"/>
  <c r="D3209" i="7"/>
  <c r="D3210" i="7"/>
  <c r="D3211" i="7"/>
  <c r="D3212" i="7"/>
  <c r="D3213" i="7"/>
  <c r="D3214" i="7"/>
  <c r="D3215" i="7"/>
  <c r="D3216" i="7"/>
  <c r="D3217" i="7"/>
  <c r="D3218" i="7"/>
  <c r="D3219" i="7"/>
  <c r="D3220" i="7"/>
  <c r="D3221" i="7"/>
  <c r="D3222" i="7"/>
  <c r="D3223" i="7"/>
  <c r="D3224" i="7"/>
  <c r="D3225" i="7"/>
  <c r="D3226" i="7"/>
  <c r="D3227" i="7"/>
  <c r="D3228" i="7"/>
  <c r="D3229" i="7"/>
  <c r="D3230" i="7"/>
  <c r="D3231" i="7"/>
  <c r="D3232" i="7"/>
  <c r="D3233" i="7"/>
  <c r="D3234" i="7"/>
  <c r="D3235" i="7"/>
  <c r="D3236" i="7"/>
  <c r="D3237" i="7"/>
  <c r="D3238" i="7"/>
  <c r="D3239" i="7"/>
  <c r="D3240" i="7"/>
  <c r="D3241" i="7"/>
  <c r="D3242" i="7"/>
  <c r="D3243" i="7"/>
  <c r="D3244" i="7"/>
  <c r="D3245" i="7"/>
  <c r="D3246" i="7"/>
  <c r="D3247" i="7"/>
  <c r="D3248" i="7"/>
  <c r="D3249" i="7"/>
  <c r="D3250" i="7"/>
  <c r="D3251" i="7"/>
  <c r="D3252" i="7"/>
  <c r="D3253" i="7"/>
  <c r="D3254" i="7"/>
  <c r="D3255" i="7"/>
  <c r="D3256" i="7"/>
  <c r="D3257" i="7"/>
  <c r="D3258" i="7"/>
  <c r="D3259" i="7"/>
  <c r="D3260" i="7"/>
  <c r="D3261" i="7"/>
  <c r="D3262" i="7"/>
  <c r="D3263" i="7"/>
  <c r="D3264" i="7"/>
  <c r="D3265" i="7"/>
  <c r="D3266" i="7"/>
  <c r="D3267" i="7"/>
  <c r="D3268" i="7"/>
  <c r="D3269" i="7"/>
  <c r="D3270" i="7"/>
  <c r="D3271" i="7"/>
  <c r="D3272" i="7"/>
  <c r="D3273" i="7"/>
  <c r="D3274" i="7"/>
  <c r="D3275" i="7"/>
  <c r="D3276" i="7"/>
  <c r="D3277" i="7"/>
  <c r="D3278" i="7"/>
  <c r="D3279" i="7"/>
  <c r="D3280" i="7"/>
  <c r="D3281" i="7"/>
  <c r="D3282" i="7"/>
  <c r="D3283" i="7"/>
  <c r="D3284" i="7"/>
  <c r="D3285" i="7"/>
  <c r="D3286" i="7"/>
  <c r="D3287" i="7"/>
  <c r="D3288" i="7"/>
  <c r="D3289" i="7"/>
  <c r="D3290" i="7"/>
  <c r="D3291" i="7"/>
  <c r="D3292" i="7"/>
  <c r="D3293" i="7"/>
  <c r="D3294" i="7"/>
  <c r="D3295" i="7"/>
  <c r="D3296" i="7"/>
  <c r="D3297" i="7"/>
  <c r="D3298" i="7"/>
  <c r="D3299" i="7"/>
  <c r="D3300" i="7"/>
  <c r="D3301" i="7"/>
  <c r="D3302" i="7"/>
  <c r="D3303" i="7"/>
  <c r="D3304" i="7"/>
  <c r="D3305" i="7"/>
  <c r="D3306" i="7"/>
  <c r="D3307" i="7"/>
  <c r="D3308" i="7"/>
  <c r="D3309" i="7"/>
  <c r="D3310" i="7"/>
  <c r="D3311" i="7"/>
  <c r="D3312" i="7"/>
  <c r="D3313" i="7"/>
  <c r="D3314" i="7"/>
  <c r="D3315" i="7"/>
  <c r="D3316" i="7"/>
  <c r="D3317" i="7"/>
  <c r="D3318" i="7"/>
  <c r="D3319" i="7"/>
  <c r="D3320" i="7"/>
  <c r="D3321" i="7"/>
  <c r="D3322" i="7"/>
  <c r="D3323" i="7"/>
  <c r="D3324" i="7"/>
  <c r="D3325" i="7"/>
  <c r="D3326" i="7"/>
  <c r="D3327" i="7"/>
  <c r="D3328" i="7"/>
  <c r="D3329" i="7"/>
  <c r="D3330" i="7"/>
  <c r="D3331" i="7"/>
  <c r="D3332" i="7"/>
  <c r="D3333" i="7"/>
  <c r="D3334" i="7"/>
  <c r="D3335" i="7"/>
  <c r="D3336" i="7"/>
  <c r="D3337" i="7"/>
  <c r="D3338" i="7"/>
  <c r="D3339" i="7"/>
  <c r="D3340" i="7"/>
  <c r="D3341" i="7"/>
  <c r="D3342" i="7"/>
  <c r="D3343" i="7"/>
  <c r="D3344" i="7"/>
  <c r="D3345" i="7"/>
  <c r="D3346" i="7"/>
  <c r="D3347" i="7"/>
  <c r="D3348" i="7"/>
  <c r="D3349" i="7"/>
  <c r="D3350" i="7"/>
  <c r="D3351" i="7"/>
  <c r="D3352" i="7"/>
  <c r="D3353" i="7"/>
  <c r="D3354" i="7"/>
  <c r="D3355" i="7"/>
  <c r="D3356" i="7"/>
  <c r="D3357" i="7"/>
  <c r="D3358" i="7"/>
  <c r="D3359" i="7"/>
  <c r="D3360" i="7"/>
  <c r="D3361" i="7"/>
  <c r="D3362" i="7"/>
  <c r="D3363" i="7"/>
  <c r="D3364" i="7"/>
  <c r="D3365" i="7"/>
  <c r="D3366" i="7"/>
  <c r="D3367" i="7"/>
  <c r="D3368" i="7"/>
  <c r="D3369" i="7"/>
  <c r="D3370" i="7"/>
  <c r="D3371" i="7"/>
  <c r="D3372" i="7"/>
  <c r="D3373" i="7"/>
  <c r="D3374" i="7"/>
  <c r="D3375" i="7"/>
  <c r="D3376" i="7"/>
  <c r="D3377" i="7"/>
  <c r="D3378" i="7"/>
  <c r="D3379" i="7"/>
  <c r="D3380" i="7"/>
  <c r="D3381" i="7"/>
  <c r="D3382" i="7"/>
  <c r="D3383" i="7"/>
  <c r="D3384" i="7"/>
  <c r="D3385" i="7"/>
  <c r="D3386" i="7"/>
  <c r="D3387" i="7"/>
  <c r="D3388" i="7"/>
  <c r="D3389" i="7"/>
  <c r="D3390" i="7"/>
  <c r="D3391" i="7"/>
  <c r="D3392" i="7"/>
  <c r="D3393" i="7"/>
  <c r="D3394" i="7"/>
  <c r="D3395" i="7"/>
  <c r="D3396" i="7"/>
  <c r="D3397" i="7"/>
  <c r="D3398" i="7"/>
  <c r="D3399" i="7"/>
  <c r="D3400" i="7"/>
  <c r="D3401" i="7"/>
  <c r="D3402" i="7"/>
  <c r="D3403" i="7"/>
  <c r="D3404" i="7"/>
  <c r="D3405" i="7"/>
  <c r="D3406" i="7"/>
  <c r="D3407" i="7"/>
  <c r="D3408" i="7"/>
  <c r="D3409" i="7"/>
  <c r="D3410" i="7"/>
  <c r="D3411" i="7"/>
  <c r="D3412" i="7"/>
  <c r="D3413" i="7"/>
  <c r="D3414" i="7"/>
  <c r="D3415" i="7"/>
  <c r="D3416" i="7"/>
  <c r="D3417" i="7"/>
  <c r="D3418" i="7"/>
  <c r="D3419" i="7"/>
  <c r="D3420" i="7"/>
  <c r="D3421" i="7"/>
  <c r="D3422" i="7"/>
  <c r="D3423" i="7"/>
  <c r="D3424" i="7"/>
  <c r="D3425" i="7"/>
  <c r="D3426" i="7"/>
  <c r="D3427" i="7"/>
  <c r="D3428" i="7"/>
  <c r="D3429" i="7"/>
  <c r="D3430" i="7"/>
  <c r="D3431" i="7"/>
  <c r="D3432" i="7"/>
  <c r="D3433" i="7"/>
  <c r="D3434" i="7"/>
  <c r="D3435" i="7"/>
  <c r="D3436" i="7"/>
  <c r="D3437" i="7"/>
  <c r="D3438" i="7"/>
  <c r="D3439" i="7"/>
  <c r="D3440" i="7"/>
  <c r="D3441" i="7"/>
  <c r="D3442" i="7"/>
  <c r="D3443" i="7"/>
  <c r="D3444" i="7"/>
  <c r="D3445" i="7"/>
  <c r="D3446" i="7"/>
  <c r="D3447" i="7"/>
  <c r="D3448" i="7"/>
  <c r="D3449" i="7"/>
  <c r="D3450" i="7"/>
  <c r="D3451" i="7"/>
  <c r="D3452" i="7"/>
  <c r="D3453" i="7"/>
  <c r="D3454" i="7"/>
  <c r="D3455" i="7"/>
  <c r="D3456" i="7"/>
  <c r="D3457" i="7"/>
  <c r="D3458" i="7"/>
  <c r="D3459" i="7"/>
  <c r="D3460" i="7"/>
  <c r="D3461" i="7"/>
  <c r="D3462" i="7"/>
  <c r="D3463" i="7"/>
  <c r="D3464" i="7"/>
  <c r="D3465" i="7"/>
  <c r="D3466" i="7"/>
  <c r="D3467" i="7"/>
  <c r="D3468" i="7"/>
  <c r="D3469" i="7"/>
  <c r="D3470" i="7"/>
  <c r="D3471" i="7"/>
  <c r="D3472" i="7"/>
  <c r="D3473" i="7"/>
  <c r="D3474" i="7"/>
  <c r="D3475" i="7"/>
  <c r="D3476" i="7"/>
  <c r="D3477" i="7"/>
  <c r="D3478" i="7"/>
  <c r="D3479" i="7"/>
  <c r="D3480" i="7"/>
  <c r="D3481" i="7"/>
  <c r="D3482" i="7"/>
  <c r="D3483" i="7"/>
  <c r="D3484" i="7"/>
  <c r="D3485" i="7"/>
  <c r="D3486" i="7"/>
  <c r="D3487" i="7"/>
  <c r="D3488" i="7"/>
  <c r="D3489" i="7"/>
  <c r="D3490" i="7"/>
  <c r="D3491" i="7"/>
  <c r="D3492" i="7"/>
  <c r="D3493" i="7"/>
  <c r="D3494" i="7"/>
  <c r="D3495" i="7"/>
  <c r="D3496" i="7"/>
  <c r="D3497" i="7"/>
  <c r="D3498" i="7"/>
  <c r="D3499" i="7"/>
  <c r="D3500" i="7"/>
  <c r="D3501" i="7"/>
  <c r="D3502" i="7"/>
  <c r="D3503" i="7"/>
  <c r="D3504" i="7"/>
  <c r="D3505" i="7"/>
  <c r="D3506" i="7"/>
  <c r="D3507" i="7"/>
  <c r="D3508" i="7"/>
  <c r="D3509" i="7"/>
  <c r="D3510" i="7"/>
  <c r="D3511" i="7"/>
  <c r="D3512" i="7"/>
  <c r="D3513" i="7"/>
  <c r="D3514" i="7"/>
  <c r="D3515" i="7"/>
  <c r="D3516" i="7"/>
  <c r="D3517" i="7"/>
  <c r="D3518" i="7"/>
  <c r="D3519" i="7"/>
  <c r="D3520" i="7"/>
  <c r="D3521" i="7"/>
  <c r="D3522" i="7"/>
  <c r="D3523" i="7"/>
  <c r="D3524" i="7"/>
  <c r="D3525" i="7"/>
  <c r="D3526" i="7"/>
  <c r="D3527" i="7"/>
  <c r="D3528" i="7"/>
  <c r="D3529" i="7"/>
  <c r="D3530" i="7"/>
  <c r="D3531" i="7"/>
  <c r="D3532" i="7"/>
  <c r="D3533" i="7"/>
  <c r="D3534" i="7"/>
  <c r="D3535" i="7"/>
  <c r="D3536" i="7"/>
  <c r="D3537" i="7"/>
  <c r="D3538" i="7"/>
  <c r="D3539" i="7"/>
  <c r="D3540" i="7"/>
  <c r="D3541" i="7"/>
  <c r="D3542" i="7"/>
  <c r="D3543" i="7"/>
  <c r="D3544" i="7"/>
  <c r="D3545" i="7"/>
  <c r="D3546" i="7"/>
  <c r="D3547" i="7"/>
  <c r="D3548" i="7"/>
  <c r="D3549" i="7"/>
  <c r="D3550" i="7"/>
  <c r="D3551" i="7"/>
  <c r="D3552" i="7"/>
  <c r="D3553" i="7"/>
  <c r="D3554" i="7"/>
  <c r="D3555" i="7"/>
  <c r="D3556" i="7"/>
  <c r="D3557" i="7"/>
  <c r="D3558" i="7"/>
  <c r="D3559" i="7"/>
  <c r="D3560" i="7"/>
  <c r="D3561" i="7"/>
  <c r="D3562" i="7"/>
  <c r="D3563" i="7"/>
  <c r="D3564" i="7"/>
  <c r="D3565" i="7"/>
  <c r="D3566" i="7"/>
  <c r="D3567" i="7"/>
  <c r="D3568" i="7"/>
  <c r="D3569" i="7"/>
  <c r="D3570" i="7"/>
  <c r="D3571" i="7"/>
  <c r="D3572" i="7"/>
  <c r="D3573" i="7"/>
  <c r="D3574" i="7"/>
  <c r="D3575" i="7"/>
  <c r="D3576" i="7"/>
  <c r="D3577" i="7"/>
  <c r="D3578" i="7"/>
  <c r="D3579" i="7"/>
  <c r="D3580" i="7"/>
  <c r="D3581" i="7"/>
  <c r="D3582" i="7"/>
  <c r="D3583" i="7"/>
  <c r="D3584" i="7"/>
  <c r="D3585" i="7"/>
  <c r="D3586" i="7"/>
  <c r="D3587" i="7"/>
  <c r="D3588" i="7"/>
  <c r="D3589" i="7"/>
  <c r="D3590" i="7"/>
  <c r="D3591" i="7"/>
  <c r="D3592" i="7"/>
  <c r="D3593" i="7"/>
  <c r="D3594" i="7"/>
  <c r="D3595" i="7"/>
  <c r="D3596" i="7"/>
  <c r="D3597" i="7"/>
  <c r="D3598" i="7"/>
  <c r="D3599" i="7"/>
  <c r="D3600" i="7"/>
  <c r="D3601" i="7"/>
  <c r="D3602" i="7"/>
  <c r="D3603" i="7"/>
  <c r="D3604" i="7"/>
  <c r="D3605" i="7"/>
  <c r="D3606" i="7"/>
  <c r="D3607" i="7"/>
  <c r="D3608" i="7"/>
  <c r="D3609" i="7"/>
  <c r="D3610" i="7"/>
  <c r="D3611" i="7"/>
  <c r="D3612" i="7"/>
  <c r="D3613" i="7"/>
  <c r="D3614" i="7"/>
  <c r="D3615" i="7"/>
  <c r="D3616" i="7"/>
  <c r="D3617" i="7"/>
  <c r="D3618" i="7"/>
  <c r="D3619" i="7"/>
  <c r="D3620" i="7"/>
  <c r="D3621" i="7"/>
  <c r="D3622" i="7"/>
  <c r="D3623" i="7"/>
  <c r="D3624" i="7"/>
  <c r="D3625" i="7"/>
  <c r="D3626" i="7"/>
  <c r="D3627" i="7"/>
  <c r="D3628" i="7"/>
  <c r="D3629" i="7"/>
  <c r="D3630" i="7"/>
  <c r="D3631" i="7"/>
  <c r="D3632" i="7"/>
  <c r="D3633" i="7"/>
  <c r="D3634" i="7"/>
  <c r="D3635" i="7"/>
  <c r="D3636" i="7"/>
  <c r="D3637" i="7"/>
  <c r="D3638" i="7"/>
  <c r="D3639" i="7"/>
  <c r="D3640" i="7"/>
  <c r="D3641" i="7"/>
  <c r="D3642" i="7"/>
  <c r="D3643" i="7"/>
  <c r="D3644" i="7"/>
  <c r="D3645" i="7"/>
  <c r="D3646" i="7"/>
  <c r="D3647" i="7"/>
  <c r="D3648" i="7"/>
  <c r="D3649" i="7"/>
  <c r="D3650" i="7"/>
  <c r="D3651" i="7"/>
  <c r="D3652" i="7"/>
  <c r="D3653" i="7"/>
  <c r="D3654" i="7"/>
  <c r="D3655" i="7"/>
  <c r="D3656" i="7"/>
  <c r="D3657" i="7"/>
  <c r="D3658" i="7"/>
  <c r="D3659" i="7"/>
  <c r="D3660" i="7"/>
  <c r="D3661" i="7"/>
  <c r="D3662" i="7"/>
  <c r="D3663" i="7"/>
  <c r="D3664" i="7"/>
  <c r="D3665" i="7"/>
  <c r="D3666" i="7"/>
  <c r="D3667" i="7"/>
  <c r="D3668" i="7"/>
  <c r="D3669" i="7"/>
  <c r="D3670" i="7"/>
  <c r="D3671" i="7"/>
  <c r="D3672" i="7"/>
  <c r="D3673" i="7"/>
  <c r="D3674" i="7"/>
  <c r="D3675" i="7"/>
  <c r="D3676" i="7"/>
  <c r="D3677" i="7"/>
  <c r="D3678" i="7"/>
  <c r="D3679" i="7"/>
  <c r="D3680" i="7"/>
  <c r="D3681" i="7"/>
  <c r="D3682" i="7"/>
  <c r="D3683" i="7"/>
  <c r="D3684" i="7"/>
  <c r="D3685" i="7"/>
  <c r="D3686" i="7"/>
  <c r="D3687" i="7"/>
  <c r="D3688" i="7"/>
  <c r="D3689" i="7"/>
  <c r="D3690" i="7"/>
  <c r="D3691" i="7"/>
  <c r="D3692" i="7"/>
  <c r="D3693" i="7"/>
  <c r="D3694" i="7"/>
  <c r="D3695" i="7"/>
  <c r="D3696" i="7"/>
  <c r="D3697" i="7"/>
  <c r="D3698" i="7"/>
  <c r="D3699" i="7"/>
  <c r="D3700" i="7"/>
  <c r="D3701" i="7"/>
  <c r="D3702" i="7"/>
  <c r="D3703" i="7"/>
  <c r="D3704" i="7"/>
  <c r="D3705" i="7"/>
  <c r="D3706" i="7"/>
  <c r="D3707" i="7"/>
  <c r="D3708" i="7"/>
  <c r="D3709" i="7"/>
  <c r="D3710" i="7"/>
  <c r="D3711" i="7"/>
  <c r="D3712" i="7"/>
  <c r="D3713" i="7"/>
  <c r="D3714" i="7"/>
  <c r="D3715" i="7"/>
  <c r="D3716" i="7"/>
  <c r="D3717" i="7"/>
  <c r="D3718" i="7"/>
  <c r="D3719" i="7"/>
  <c r="D3720" i="7"/>
  <c r="D3721" i="7"/>
  <c r="D3722" i="7"/>
  <c r="D3723" i="7"/>
  <c r="D3724" i="7"/>
  <c r="D3725" i="7"/>
  <c r="D3726" i="7"/>
  <c r="D3727" i="7"/>
  <c r="D3728" i="7"/>
  <c r="D3729" i="7"/>
  <c r="D3730" i="7"/>
  <c r="D3731" i="7"/>
  <c r="D3732" i="7"/>
  <c r="D3733" i="7"/>
  <c r="D3734" i="7"/>
  <c r="D3735" i="7"/>
  <c r="D3736" i="7"/>
  <c r="D3737" i="7"/>
  <c r="D3738" i="7"/>
  <c r="D3739" i="7"/>
  <c r="D3740" i="7"/>
  <c r="D3741" i="7"/>
  <c r="D3742" i="7"/>
  <c r="D3743" i="7"/>
  <c r="D3744" i="7"/>
  <c r="D3745" i="7"/>
  <c r="D3746" i="7"/>
  <c r="D3747" i="7"/>
  <c r="D3748" i="7"/>
  <c r="D3749" i="7"/>
  <c r="D3750" i="7"/>
  <c r="D3751" i="7"/>
  <c r="D3752" i="7"/>
  <c r="D3753" i="7"/>
  <c r="D3754" i="7"/>
  <c r="D3755" i="7"/>
  <c r="D3756" i="7"/>
  <c r="D3757" i="7"/>
  <c r="D3758" i="7"/>
  <c r="D3759" i="7"/>
  <c r="D3760" i="7"/>
  <c r="D3761" i="7"/>
  <c r="D3762" i="7"/>
  <c r="D3763" i="7"/>
  <c r="D3764" i="7"/>
  <c r="D3765" i="7"/>
  <c r="D3766" i="7"/>
  <c r="D3767" i="7"/>
  <c r="D3768" i="7"/>
  <c r="D3769" i="7"/>
  <c r="D3770" i="7"/>
  <c r="D3771" i="7"/>
  <c r="D3772" i="7"/>
  <c r="D3773" i="7"/>
  <c r="D3774" i="7"/>
  <c r="D3775" i="7"/>
  <c r="D3776" i="7"/>
  <c r="D3777" i="7"/>
  <c r="D3778" i="7"/>
  <c r="D3779" i="7"/>
  <c r="D3780" i="7"/>
  <c r="D3781" i="7"/>
  <c r="D3782" i="7"/>
  <c r="D3783" i="7"/>
  <c r="D3784" i="7"/>
  <c r="D3785" i="7"/>
  <c r="D3786" i="7"/>
  <c r="D3787" i="7"/>
  <c r="D3788" i="7"/>
  <c r="D3789" i="7"/>
  <c r="D3790" i="7"/>
  <c r="D3791" i="7"/>
  <c r="D3792" i="7"/>
  <c r="D3793" i="7"/>
  <c r="D3794" i="7"/>
  <c r="D3795" i="7"/>
  <c r="D3796" i="7"/>
  <c r="D3797" i="7"/>
  <c r="D3798" i="7"/>
  <c r="D3799" i="7"/>
  <c r="D3800" i="7"/>
  <c r="D3801" i="7"/>
  <c r="D3802" i="7"/>
  <c r="D3803" i="7"/>
  <c r="D3804" i="7"/>
  <c r="D3805" i="7"/>
  <c r="D3806" i="7"/>
  <c r="D3807" i="7"/>
  <c r="D3808" i="7"/>
  <c r="D3809" i="7"/>
  <c r="D3810" i="7"/>
  <c r="D3811" i="7"/>
  <c r="D3812" i="7"/>
  <c r="D3813" i="7"/>
  <c r="D3814" i="7"/>
  <c r="D3815" i="7"/>
  <c r="D3816" i="7"/>
  <c r="D3817" i="7"/>
  <c r="D3818" i="7"/>
  <c r="D3819" i="7"/>
  <c r="D3820" i="7"/>
  <c r="D3821" i="7"/>
  <c r="D3822" i="7"/>
  <c r="D3823" i="7"/>
  <c r="D3824" i="7"/>
  <c r="D3825" i="7"/>
  <c r="D3826" i="7"/>
  <c r="D3827" i="7"/>
  <c r="D3828" i="7"/>
  <c r="D3829" i="7"/>
  <c r="D3830" i="7"/>
  <c r="D3831" i="7"/>
  <c r="D3832" i="7"/>
  <c r="D3833" i="7"/>
  <c r="D3834" i="7"/>
  <c r="D3835" i="7"/>
  <c r="D3836" i="7"/>
  <c r="D3837" i="7"/>
  <c r="D3838" i="7"/>
  <c r="D3839" i="7"/>
  <c r="D3840" i="7"/>
  <c r="D3841" i="7"/>
  <c r="D3842" i="7"/>
  <c r="D3843" i="7"/>
  <c r="D3844" i="7"/>
  <c r="D3845" i="7"/>
  <c r="D3846" i="7"/>
  <c r="D3847" i="7"/>
  <c r="D3848" i="7"/>
  <c r="D3849" i="7"/>
  <c r="D3850" i="7"/>
  <c r="D3851" i="7"/>
  <c r="D3852" i="7"/>
  <c r="D3853" i="7"/>
  <c r="D3854" i="7"/>
  <c r="D3855" i="7"/>
  <c r="D3856" i="7"/>
  <c r="D3857" i="7"/>
  <c r="D3858" i="7"/>
  <c r="D3859" i="7"/>
  <c r="D3860" i="7"/>
  <c r="D3861" i="7"/>
  <c r="D3862" i="7"/>
  <c r="D3863" i="7"/>
  <c r="D3864" i="7"/>
  <c r="D3865" i="7"/>
  <c r="D3866" i="7"/>
  <c r="D3867" i="7"/>
  <c r="D3868" i="7"/>
  <c r="D3869" i="7"/>
  <c r="D3870" i="7"/>
  <c r="D3871" i="7"/>
  <c r="D3872" i="7"/>
  <c r="D3873" i="7"/>
  <c r="D3874" i="7"/>
  <c r="D3875" i="7"/>
  <c r="D3876" i="7"/>
  <c r="D3877" i="7"/>
  <c r="D3878" i="7"/>
  <c r="D3879" i="7"/>
  <c r="D3880" i="7"/>
  <c r="D3881" i="7"/>
  <c r="D3882" i="7"/>
  <c r="D3883" i="7"/>
  <c r="D3884" i="7"/>
  <c r="D3885" i="7"/>
  <c r="D3886" i="7"/>
  <c r="D3887" i="7"/>
  <c r="D3888" i="7"/>
  <c r="D3889" i="7"/>
  <c r="D3890" i="7"/>
  <c r="D3891" i="7"/>
  <c r="D3892" i="7"/>
  <c r="D3893" i="7"/>
  <c r="D3894" i="7"/>
  <c r="D3895" i="7"/>
  <c r="D3896" i="7"/>
  <c r="D3897" i="7"/>
  <c r="D3898" i="7"/>
  <c r="D3899" i="7"/>
  <c r="D3900" i="7"/>
  <c r="D3901" i="7"/>
  <c r="D3902" i="7"/>
  <c r="D3903" i="7"/>
  <c r="D3904" i="7"/>
  <c r="D3905" i="7"/>
  <c r="D3906" i="7"/>
  <c r="D3907" i="7"/>
  <c r="D3908" i="7"/>
  <c r="D3909" i="7"/>
  <c r="D3910" i="7"/>
  <c r="D3911" i="7"/>
  <c r="D3912" i="7"/>
  <c r="D3913" i="7"/>
  <c r="D3914" i="7"/>
  <c r="D3915" i="7"/>
  <c r="D3916" i="7"/>
  <c r="D3917" i="7"/>
  <c r="D3918" i="7"/>
  <c r="D3919" i="7"/>
  <c r="D3920" i="7"/>
  <c r="D3921" i="7"/>
  <c r="D3922" i="7"/>
  <c r="D3923" i="7"/>
  <c r="D3924" i="7"/>
  <c r="D3925" i="7"/>
  <c r="D3926" i="7"/>
  <c r="D3927" i="7"/>
  <c r="D3928" i="7"/>
  <c r="D3929" i="7"/>
  <c r="D3930" i="7"/>
  <c r="D3931" i="7"/>
  <c r="D3932" i="7"/>
  <c r="D3933" i="7"/>
  <c r="D3934" i="7"/>
  <c r="D3935" i="7"/>
  <c r="D3936" i="7"/>
  <c r="D3937" i="7"/>
  <c r="D3938" i="7"/>
  <c r="D3939" i="7"/>
  <c r="D3940" i="7"/>
  <c r="D3941" i="7"/>
  <c r="D3942" i="7"/>
  <c r="D3943" i="7"/>
  <c r="D3944" i="7"/>
  <c r="D3945" i="7"/>
  <c r="D3946" i="7"/>
  <c r="D3947" i="7"/>
  <c r="D3948" i="7"/>
  <c r="D3949" i="7"/>
  <c r="D3950" i="7"/>
  <c r="D3951" i="7"/>
  <c r="D3952" i="7"/>
  <c r="D3953" i="7"/>
  <c r="D3954" i="7"/>
  <c r="D3955" i="7"/>
  <c r="D3956" i="7"/>
  <c r="D3957" i="7"/>
  <c r="D3958" i="7"/>
  <c r="D3959" i="7"/>
  <c r="D3960" i="7"/>
  <c r="D3961" i="7"/>
  <c r="D3962" i="7"/>
  <c r="D3963" i="7"/>
  <c r="D3964" i="7"/>
  <c r="D3965" i="7"/>
  <c r="D3966" i="7"/>
  <c r="D3967" i="7"/>
  <c r="D3968" i="7"/>
  <c r="D3969" i="7"/>
  <c r="D3970" i="7"/>
  <c r="D3971" i="7"/>
  <c r="D3972" i="7"/>
  <c r="D3973" i="7"/>
  <c r="D3974" i="7"/>
  <c r="D3975" i="7"/>
  <c r="D3976" i="7"/>
  <c r="D3977" i="7"/>
  <c r="D3978" i="7"/>
  <c r="D3979" i="7"/>
  <c r="D3980" i="7"/>
  <c r="D3981" i="7"/>
  <c r="D3982" i="7"/>
  <c r="D3983" i="7"/>
  <c r="D3984" i="7"/>
  <c r="D3985" i="7"/>
  <c r="D3986" i="7"/>
  <c r="D3987" i="7"/>
  <c r="D3988" i="7"/>
  <c r="D3989" i="7"/>
  <c r="D3990" i="7"/>
  <c r="D3991" i="7"/>
  <c r="D3992" i="7"/>
  <c r="D3993" i="7"/>
  <c r="D3994" i="7"/>
  <c r="D3995" i="7"/>
  <c r="D3996" i="7"/>
  <c r="D3997" i="7"/>
  <c r="D3998" i="7"/>
  <c r="D3999" i="7"/>
  <c r="D4000" i="7"/>
  <c r="D4001" i="7"/>
  <c r="D4002" i="7"/>
  <c r="D4003" i="7"/>
  <c r="D4004" i="7"/>
  <c r="D4005" i="7"/>
  <c r="D4006" i="7"/>
  <c r="D4007" i="7"/>
  <c r="D4008" i="7"/>
  <c r="D4009" i="7"/>
  <c r="D4010" i="7"/>
  <c r="D4011" i="7"/>
  <c r="D4012" i="7"/>
  <c r="D4013" i="7"/>
  <c r="D4014" i="7"/>
  <c r="D4015" i="7"/>
  <c r="D4016" i="7"/>
  <c r="D4017" i="7"/>
  <c r="D4018" i="7"/>
  <c r="D4019" i="7"/>
  <c r="D4020" i="7"/>
  <c r="D4021" i="7"/>
  <c r="D4022" i="7"/>
  <c r="D4023" i="7"/>
  <c r="D4024" i="7"/>
  <c r="D4025" i="7"/>
  <c r="D4026" i="7"/>
  <c r="D4027" i="7"/>
  <c r="D4028" i="7"/>
  <c r="D4029" i="7"/>
  <c r="D4030" i="7"/>
  <c r="D4031" i="7"/>
  <c r="D4032" i="7"/>
  <c r="D4033" i="7"/>
  <c r="D4034" i="7"/>
  <c r="D4035" i="7"/>
  <c r="D4036" i="7"/>
  <c r="D4037" i="7"/>
  <c r="D4038" i="7"/>
  <c r="D4039" i="7"/>
  <c r="D4040" i="7"/>
  <c r="D4041" i="7"/>
  <c r="D4042" i="7"/>
  <c r="D4043" i="7"/>
  <c r="D4044" i="7"/>
  <c r="D4045" i="7"/>
  <c r="D4046" i="7"/>
  <c r="D4047" i="7"/>
  <c r="D4048" i="7"/>
  <c r="D4049" i="7"/>
  <c r="D4050" i="7"/>
  <c r="D4051" i="7"/>
  <c r="D4052" i="7"/>
  <c r="D4053" i="7"/>
  <c r="D4054" i="7"/>
  <c r="D4055" i="7"/>
  <c r="D4056" i="7"/>
  <c r="D4057" i="7"/>
  <c r="D4058" i="7"/>
  <c r="D4059" i="7"/>
  <c r="D4060" i="7"/>
  <c r="D4061" i="7"/>
  <c r="D4062" i="7"/>
  <c r="D4063" i="7"/>
  <c r="D4064" i="7"/>
  <c r="D4065" i="7"/>
  <c r="D4066" i="7"/>
  <c r="D4067" i="7"/>
  <c r="D4068" i="7"/>
  <c r="D4069" i="7"/>
  <c r="D4070" i="7"/>
  <c r="D4071" i="7"/>
  <c r="D4072" i="7"/>
  <c r="D4073" i="7"/>
  <c r="D4074" i="7"/>
  <c r="D4075" i="7"/>
  <c r="D4076" i="7"/>
  <c r="D4077" i="7"/>
  <c r="D4078" i="7"/>
  <c r="D4079" i="7"/>
  <c r="D4080" i="7"/>
  <c r="D4081" i="7"/>
  <c r="D4082" i="7"/>
  <c r="D4083" i="7"/>
  <c r="D4084" i="7"/>
  <c r="D4085" i="7"/>
  <c r="D4086" i="7"/>
  <c r="D4087" i="7"/>
  <c r="D4088" i="7"/>
  <c r="D4089" i="7"/>
  <c r="D4090" i="7"/>
  <c r="D4091" i="7"/>
  <c r="D4092" i="7"/>
  <c r="D4093" i="7"/>
  <c r="D4094" i="7"/>
  <c r="D4095" i="7"/>
  <c r="D4096" i="7"/>
  <c r="D4097" i="7"/>
  <c r="D4098" i="7"/>
  <c r="D4099" i="7"/>
  <c r="D4100" i="7"/>
  <c r="D4101" i="7"/>
  <c r="D4102" i="7"/>
  <c r="D4103" i="7"/>
  <c r="D4104" i="7"/>
  <c r="D4105" i="7"/>
  <c r="D4106" i="7"/>
  <c r="D4107" i="7"/>
  <c r="D4108" i="7"/>
  <c r="D4109" i="7"/>
  <c r="D4110" i="7"/>
  <c r="D4111" i="7"/>
  <c r="D4112" i="7"/>
  <c r="D4113" i="7"/>
  <c r="D4114" i="7"/>
  <c r="D4115" i="7"/>
  <c r="D4116" i="7"/>
  <c r="D4117" i="7"/>
  <c r="D4118" i="7"/>
  <c r="D4119" i="7"/>
  <c r="D4120" i="7"/>
  <c r="D4121" i="7"/>
  <c r="D4122" i="7"/>
  <c r="D4123" i="7"/>
  <c r="D4124" i="7"/>
  <c r="D4125" i="7"/>
  <c r="D4126" i="7"/>
  <c r="D4127" i="7"/>
  <c r="D4128" i="7"/>
  <c r="D4129" i="7"/>
  <c r="D4130" i="7"/>
  <c r="D4131" i="7"/>
  <c r="D4132" i="7"/>
  <c r="D4133" i="7"/>
  <c r="D4134" i="7"/>
  <c r="D4135" i="7"/>
  <c r="D4136" i="7"/>
  <c r="D4137" i="7"/>
  <c r="D4138" i="7"/>
  <c r="D4139" i="7"/>
  <c r="D4140" i="7"/>
  <c r="D4141" i="7"/>
  <c r="D4142" i="7"/>
  <c r="D4143" i="7"/>
  <c r="D4144" i="7"/>
  <c r="D4145" i="7"/>
  <c r="D4146" i="7"/>
  <c r="D4147" i="7"/>
  <c r="D4148" i="7"/>
  <c r="D4149" i="7"/>
  <c r="D4150" i="7"/>
  <c r="D4151" i="7"/>
  <c r="D4152" i="7"/>
  <c r="D4153" i="7"/>
  <c r="D4154" i="7"/>
  <c r="D4155" i="7"/>
  <c r="D4156" i="7"/>
  <c r="D4157" i="7"/>
  <c r="D4158" i="7"/>
  <c r="D4159" i="7"/>
  <c r="D4160" i="7"/>
  <c r="D4161" i="7"/>
  <c r="D4162" i="7"/>
  <c r="D4163" i="7"/>
  <c r="D4164" i="7"/>
  <c r="D4165" i="7"/>
  <c r="D4166" i="7"/>
  <c r="D4167" i="7"/>
  <c r="D4168" i="7"/>
  <c r="D4169" i="7"/>
  <c r="D4170" i="7"/>
  <c r="D4171" i="7"/>
  <c r="D4172" i="7"/>
  <c r="D4173" i="7"/>
  <c r="D4174" i="7"/>
  <c r="D4175" i="7"/>
  <c r="D4176" i="7"/>
  <c r="D4177" i="7"/>
  <c r="D4178" i="7"/>
  <c r="D4179" i="7"/>
  <c r="D4180" i="7"/>
  <c r="D4181" i="7"/>
  <c r="D4182" i="7"/>
  <c r="D4183" i="7"/>
  <c r="D4184" i="7"/>
  <c r="D4185" i="7"/>
  <c r="D4186" i="7"/>
  <c r="D4187" i="7"/>
  <c r="D4188" i="7"/>
  <c r="D4189" i="7"/>
  <c r="D4190" i="7"/>
  <c r="D4191" i="7"/>
  <c r="D4192" i="7"/>
  <c r="D4193" i="7"/>
  <c r="D4194" i="7"/>
  <c r="D4195" i="7"/>
  <c r="D4196" i="7"/>
  <c r="D4197" i="7"/>
  <c r="D4198" i="7"/>
  <c r="D4199" i="7"/>
  <c r="D4200" i="7"/>
  <c r="D4201" i="7"/>
  <c r="D4202" i="7"/>
  <c r="D4203" i="7"/>
  <c r="D4204" i="7"/>
  <c r="D4205" i="7"/>
  <c r="D4206" i="7"/>
  <c r="D4207" i="7"/>
  <c r="D4208" i="7"/>
  <c r="D4209" i="7"/>
  <c r="D4210" i="7"/>
  <c r="D4211" i="7"/>
  <c r="D4212" i="7"/>
  <c r="D4213" i="7"/>
  <c r="D4214" i="7"/>
  <c r="D4215" i="7"/>
  <c r="D4216" i="7"/>
  <c r="D4217" i="7"/>
  <c r="D4218" i="7"/>
  <c r="D4219" i="7"/>
  <c r="D4220" i="7"/>
  <c r="D4221" i="7"/>
  <c r="D4222" i="7"/>
  <c r="D4223" i="7"/>
  <c r="D4224" i="7"/>
  <c r="D4225" i="7"/>
  <c r="D4226" i="7"/>
  <c r="D4227" i="7"/>
  <c r="D4228" i="7"/>
  <c r="D4229" i="7"/>
  <c r="D4230" i="7"/>
  <c r="D4231" i="7"/>
  <c r="D4232" i="7"/>
  <c r="D4233" i="7"/>
  <c r="D4234" i="7"/>
  <c r="D4235" i="7"/>
  <c r="D4236" i="7"/>
  <c r="D4237" i="7"/>
  <c r="D4238" i="7"/>
  <c r="D4239" i="7"/>
  <c r="D4240" i="7"/>
  <c r="D4241" i="7"/>
  <c r="D4242" i="7"/>
  <c r="D4243" i="7"/>
  <c r="D4244" i="7"/>
  <c r="D4245" i="7"/>
  <c r="D4246" i="7"/>
  <c r="D4247" i="7"/>
  <c r="D4248" i="7"/>
  <c r="D4249" i="7"/>
  <c r="D4250" i="7"/>
  <c r="D4251" i="7"/>
  <c r="D4252" i="7"/>
  <c r="D4253" i="7"/>
  <c r="D4254" i="7"/>
  <c r="D4255" i="7"/>
  <c r="D4256" i="7"/>
  <c r="D4257" i="7"/>
  <c r="D4258" i="7"/>
  <c r="D4259" i="7"/>
  <c r="D4260" i="7"/>
  <c r="D4261" i="7"/>
  <c r="D4262" i="7"/>
  <c r="D4263" i="7"/>
  <c r="D4264" i="7"/>
  <c r="D4265" i="7"/>
  <c r="D4266" i="7"/>
  <c r="D4267" i="7"/>
  <c r="D4268" i="7"/>
  <c r="D4269" i="7"/>
  <c r="D4270" i="7"/>
  <c r="D4271" i="7"/>
  <c r="D4272" i="7"/>
  <c r="D4273" i="7"/>
  <c r="D4274" i="7"/>
  <c r="D4275" i="7"/>
  <c r="D4276" i="7"/>
  <c r="D4277" i="7"/>
  <c r="D4278" i="7"/>
  <c r="D4279" i="7"/>
  <c r="D4280" i="7"/>
  <c r="D4281" i="7"/>
  <c r="D4282" i="7"/>
  <c r="D4283" i="7"/>
  <c r="D4284" i="7"/>
  <c r="D4285" i="7"/>
  <c r="D4286" i="7"/>
  <c r="D4287" i="7"/>
  <c r="D4288" i="7"/>
  <c r="D4289" i="7"/>
  <c r="D4290" i="7"/>
  <c r="D4291" i="7"/>
  <c r="D4292" i="7"/>
  <c r="D4293" i="7"/>
  <c r="D4294" i="7"/>
  <c r="D4295" i="7"/>
  <c r="D4296" i="7"/>
  <c r="D4297" i="7"/>
  <c r="D4298" i="7"/>
  <c r="D4299" i="7"/>
  <c r="D4300" i="7"/>
  <c r="D4301" i="7"/>
  <c r="D4302" i="7"/>
  <c r="D4303" i="7"/>
  <c r="D4304" i="7"/>
  <c r="D4305" i="7"/>
  <c r="D4306" i="7"/>
  <c r="D4307" i="7"/>
  <c r="D4308" i="7"/>
  <c r="D4309" i="7"/>
  <c r="D4310" i="7"/>
  <c r="D4311" i="7"/>
  <c r="D4312" i="7"/>
  <c r="D4313" i="7"/>
  <c r="D4314" i="7"/>
  <c r="D4315" i="7"/>
  <c r="D4316" i="7"/>
  <c r="D4317" i="7"/>
  <c r="D4318" i="7"/>
  <c r="D4319" i="7"/>
  <c r="D4320" i="7"/>
  <c r="D4321" i="7"/>
  <c r="D4322" i="7"/>
  <c r="D4323" i="7"/>
  <c r="D4324" i="7"/>
  <c r="D4325" i="7"/>
  <c r="D4326" i="7"/>
  <c r="D4327" i="7"/>
  <c r="D4328" i="7"/>
  <c r="D4329" i="7"/>
  <c r="D4330" i="7"/>
  <c r="D4331" i="7"/>
  <c r="D4332" i="7"/>
  <c r="D4333" i="7"/>
  <c r="D4334" i="7"/>
  <c r="D4335" i="7"/>
  <c r="D4336" i="7"/>
  <c r="D4337" i="7"/>
  <c r="D4338" i="7"/>
  <c r="D4339" i="7"/>
  <c r="D4340" i="7"/>
  <c r="D4341" i="7"/>
  <c r="D4342" i="7"/>
  <c r="D4343" i="7"/>
  <c r="D4344" i="7"/>
  <c r="D4345" i="7"/>
  <c r="D4346" i="7"/>
  <c r="D4347" i="7"/>
  <c r="D4348" i="7"/>
  <c r="D4349" i="7"/>
  <c r="D4350" i="7"/>
  <c r="D4351" i="7"/>
  <c r="D4352" i="7"/>
  <c r="D4353" i="7"/>
  <c r="D4354" i="7"/>
  <c r="D4355" i="7"/>
  <c r="D4356" i="7"/>
  <c r="D4357" i="7"/>
  <c r="D4358" i="7"/>
  <c r="D4359" i="7"/>
  <c r="D4360" i="7"/>
  <c r="D4361" i="7"/>
  <c r="D4362" i="7"/>
  <c r="D4363" i="7"/>
  <c r="D4364" i="7"/>
  <c r="D4365" i="7"/>
  <c r="D4366" i="7"/>
  <c r="D4367" i="7"/>
  <c r="D4368" i="7"/>
  <c r="D4369" i="7"/>
  <c r="D4370" i="7"/>
  <c r="D4371" i="7"/>
  <c r="D4372" i="7"/>
  <c r="D4373" i="7"/>
  <c r="D4374" i="7"/>
  <c r="D4375" i="7"/>
  <c r="D4376" i="7"/>
  <c r="D4377" i="7"/>
  <c r="D4378" i="7"/>
  <c r="D4379" i="7"/>
  <c r="D4380" i="7"/>
  <c r="D4381" i="7"/>
  <c r="D4382" i="7"/>
  <c r="D4383" i="7"/>
  <c r="D4384" i="7"/>
  <c r="D4385" i="7"/>
  <c r="D4386" i="7"/>
  <c r="D4387" i="7"/>
  <c r="D4388" i="7"/>
  <c r="D4389" i="7"/>
  <c r="D4390" i="7"/>
  <c r="D4391" i="7"/>
  <c r="D4392" i="7"/>
  <c r="D4393" i="7"/>
  <c r="D4394" i="7"/>
  <c r="D4395" i="7"/>
  <c r="D4396" i="7"/>
  <c r="D4397" i="7"/>
  <c r="D4398" i="7"/>
  <c r="D4399" i="7"/>
  <c r="D4400" i="7"/>
  <c r="D4401" i="7"/>
  <c r="D4402" i="7"/>
  <c r="D4403" i="7"/>
  <c r="D4404" i="7"/>
  <c r="D4405" i="7"/>
  <c r="D4406" i="7"/>
  <c r="D4407" i="7"/>
  <c r="D4408" i="7"/>
  <c r="D4409" i="7"/>
  <c r="D4410" i="7"/>
  <c r="D4411" i="7"/>
  <c r="D4412" i="7"/>
  <c r="D4413" i="7"/>
  <c r="D4414" i="7"/>
  <c r="D4415" i="7"/>
  <c r="D4416" i="7"/>
  <c r="D4417" i="7"/>
  <c r="D4418" i="7"/>
  <c r="D4419" i="7"/>
  <c r="D4420" i="7"/>
  <c r="D4421" i="7"/>
  <c r="D4422" i="7"/>
  <c r="D4423" i="7"/>
  <c r="D4424" i="7"/>
  <c r="D4425" i="7"/>
  <c r="D4426" i="7"/>
  <c r="D4427" i="7"/>
  <c r="D4428" i="7"/>
  <c r="D4429" i="7"/>
  <c r="D4430" i="7"/>
  <c r="D4431" i="7"/>
  <c r="D4432" i="7"/>
  <c r="D4433" i="7"/>
  <c r="D4434" i="7"/>
  <c r="D4435" i="7"/>
  <c r="D4436" i="7"/>
  <c r="D4437" i="7"/>
  <c r="D4438" i="7"/>
  <c r="D4439" i="7"/>
  <c r="D4440" i="7"/>
  <c r="D4441" i="7"/>
  <c r="D4442" i="7"/>
  <c r="D4443" i="7"/>
  <c r="D4444" i="7"/>
  <c r="D4445" i="7"/>
  <c r="D4446" i="7"/>
  <c r="D4447" i="7"/>
  <c r="D4448" i="7"/>
  <c r="D4449" i="7"/>
  <c r="D4450" i="7"/>
  <c r="D4451" i="7"/>
  <c r="D4452" i="7"/>
  <c r="D4453" i="7"/>
  <c r="D4454" i="7"/>
  <c r="D4455" i="7"/>
  <c r="D4456" i="7"/>
  <c r="D4457" i="7"/>
  <c r="D4458" i="7"/>
  <c r="D4459" i="7"/>
  <c r="D4460" i="7"/>
  <c r="D4461" i="7"/>
  <c r="D4462" i="7"/>
  <c r="D4463" i="7"/>
  <c r="D4464" i="7"/>
  <c r="D4465" i="7"/>
  <c r="D4466" i="7"/>
  <c r="D4467" i="7"/>
  <c r="D4468" i="7"/>
  <c r="D4469" i="7"/>
  <c r="D4470" i="7"/>
  <c r="D4471" i="7"/>
  <c r="D4472" i="7"/>
  <c r="D4473" i="7"/>
  <c r="D4474" i="7"/>
  <c r="D4475" i="7"/>
  <c r="D4476" i="7"/>
  <c r="D4477" i="7"/>
  <c r="D4478" i="7"/>
  <c r="D4479" i="7"/>
  <c r="D4480" i="7"/>
  <c r="D4481" i="7"/>
  <c r="D4482" i="7"/>
  <c r="D4483" i="7"/>
  <c r="D4484" i="7"/>
  <c r="D4485" i="7"/>
  <c r="D4486" i="7"/>
  <c r="D4487" i="7"/>
  <c r="D4488" i="7"/>
  <c r="D4489" i="7"/>
  <c r="D4490" i="7"/>
  <c r="D4491" i="7"/>
  <c r="D4492" i="7"/>
  <c r="D4493" i="7"/>
  <c r="D4494" i="7"/>
  <c r="D4495" i="7"/>
  <c r="D4496" i="7"/>
  <c r="D4497" i="7"/>
  <c r="D4498" i="7"/>
  <c r="D4499" i="7"/>
  <c r="D4500" i="7"/>
  <c r="D4501" i="7"/>
  <c r="D4502" i="7"/>
  <c r="D4503" i="7"/>
  <c r="D4504" i="7"/>
  <c r="D4505" i="7"/>
  <c r="D4506" i="7"/>
  <c r="D4507" i="7"/>
  <c r="D4508" i="7"/>
  <c r="D4509" i="7"/>
  <c r="D4510" i="7"/>
  <c r="D4511" i="7"/>
  <c r="D4512" i="7"/>
  <c r="D4513" i="7"/>
  <c r="D4514" i="7"/>
  <c r="D4515" i="7"/>
  <c r="D4516" i="7"/>
  <c r="D4517" i="7"/>
  <c r="D4518" i="7"/>
  <c r="D4519" i="7"/>
  <c r="D4520" i="7"/>
  <c r="D4521" i="7"/>
  <c r="D4522" i="7"/>
  <c r="D4523" i="7"/>
  <c r="D4524" i="7"/>
  <c r="D4525" i="7"/>
  <c r="D4526" i="7"/>
  <c r="D4527" i="7"/>
  <c r="D4528" i="7"/>
  <c r="D4529" i="7"/>
  <c r="D4530" i="7"/>
  <c r="D4531" i="7"/>
  <c r="D4532" i="7"/>
  <c r="D4533" i="7"/>
  <c r="D4534" i="7"/>
  <c r="D4535" i="7"/>
  <c r="D4536" i="7"/>
  <c r="D4537" i="7"/>
  <c r="D4538" i="7"/>
  <c r="D4539" i="7"/>
  <c r="D4540" i="7"/>
  <c r="D4541" i="7"/>
  <c r="D4542" i="7"/>
  <c r="D4543" i="7"/>
  <c r="D4544" i="7"/>
  <c r="D4545" i="7"/>
  <c r="D4546" i="7"/>
  <c r="D4547" i="7"/>
  <c r="D4548" i="7"/>
  <c r="D4549" i="7"/>
  <c r="D4550" i="7"/>
  <c r="D4551" i="7"/>
  <c r="D4552" i="7"/>
  <c r="D4553" i="7"/>
  <c r="D4554" i="7"/>
  <c r="D4555" i="7"/>
  <c r="D4556" i="7"/>
  <c r="D4557" i="7"/>
  <c r="D4558" i="7"/>
  <c r="D4559" i="7"/>
  <c r="D4560" i="7"/>
  <c r="D4561" i="7"/>
  <c r="D4562" i="7"/>
  <c r="D4563" i="7"/>
  <c r="D4564" i="7"/>
  <c r="D4565" i="7"/>
  <c r="D4566" i="7"/>
  <c r="D4567" i="7"/>
  <c r="D4568" i="7"/>
  <c r="D4569" i="7"/>
  <c r="D4570" i="7"/>
  <c r="D4571" i="7"/>
  <c r="D4572" i="7"/>
  <c r="D4573" i="7"/>
  <c r="D4574" i="7"/>
  <c r="D4575" i="7"/>
  <c r="D4576" i="7"/>
  <c r="D4577" i="7"/>
  <c r="D4578" i="7"/>
  <c r="D4579" i="7"/>
  <c r="D4580" i="7"/>
  <c r="D4581" i="7"/>
  <c r="D4582" i="7"/>
  <c r="D4583" i="7"/>
  <c r="D4584" i="7"/>
  <c r="D4585" i="7"/>
  <c r="D4586" i="7"/>
  <c r="D4587" i="7"/>
  <c r="D4588" i="7"/>
  <c r="D4589" i="7"/>
  <c r="D4590" i="7"/>
  <c r="D4591" i="7"/>
  <c r="D4592" i="7"/>
  <c r="D4593" i="7"/>
  <c r="D4594" i="7"/>
  <c r="D4595" i="7"/>
  <c r="D4596" i="7"/>
  <c r="D4597" i="7"/>
  <c r="D4598" i="7"/>
  <c r="D4599" i="7"/>
  <c r="D4600" i="7"/>
  <c r="D4601" i="7"/>
  <c r="D4602" i="7"/>
  <c r="D4603" i="7"/>
  <c r="D4604" i="7"/>
  <c r="D4605" i="7"/>
  <c r="D4606" i="7"/>
  <c r="D4607" i="7"/>
  <c r="D4608" i="7"/>
  <c r="D4609" i="7"/>
  <c r="D4610" i="7"/>
  <c r="D4611" i="7"/>
  <c r="D4612" i="7"/>
  <c r="D4613" i="7"/>
  <c r="D4614" i="7"/>
  <c r="D4615" i="7"/>
  <c r="D4616" i="7"/>
  <c r="D4617" i="7"/>
  <c r="D4618" i="7"/>
  <c r="D4619" i="7"/>
  <c r="D4620" i="7"/>
  <c r="D4621" i="7"/>
  <c r="D4622" i="7"/>
  <c r="D4623" i="7"/>
  <c r="D4624" i="7"/>
  <c r="D4625" i="7"/>
  <c r="D4626" i="7"/>
  <c r="D4627" i="7"/>
  <c r="D4628" i="7"/>
  <c r="D4629" i="7"/>
  <c r="D4630" i="7"/>
  <c r="D4631" i="7"/>
  <c r="D4632" i="7"/>
  <c r="D4633" i="7"/>
  <c r="D4634" i="7"/>
  <c r="D4635" i="7"/>
  <c r="D4636" i="7"/>
  <c r="D4637" i="7"/>
  <c r="D4638" i="7"/>
  <c r="D4639" i="7"/>
  <c r="D4640" i="7"/>
  <c r="D4641" i="7"/>
  <c r="D4642" i="7"/>
  <c r="D4643" i="7"/>
  <c r="D4644" i="7"/>
  <c r="D4645" i="7"/>
  <c r="D4646" i="7"/>
  <c r="D4647" i="7"/>
  <c r="D4648" i="7"/>
  <c r="D4649" i="7"/>
  <c r="D4650" i="7"/>
  <c r="D4651" i="7"/>
  <c r="D4652" i="7"/>
  <c r="D4653" i="7"/>
  <c r="D4654" i="7"/>
  <c r="D4655" i="7"/>
  <c r="D4656" i="7"/>
  <c r="D4657" i="7"/>
  <c r="D4658" i="7"/>
  <c r="D4659" i="7"/>
  <c r="D4660" i="7"/>
  <c r="D4661" i="7"/>
  <c r="D4662" i="7"/>
  <c r="D4663" i="7"/>
  <c r="D4664" i="7"/>
  <c r="D4665" i="7"/>
  <c r="D4666" i="7"/>
  <c r="D4667" i="7"/>
  <c r="D4668" i="7"/>
  <c r="D4669" i="7"/>
  <c r="D4670" i="7"/>
  <c r="D4671" i="7"/>
  <c r="D4672" i="7"/>
  <c r="D4673" i="7"/>
  <c r="D4674" i="7"/>
  <c r="D4675" i="7"/>
  <c r="D4676" i="7"/>
  <c r="D4677" i="7"/>
  <c r="D4678" i="7"/>
  <c r="D4679" i="7"/>
  <c r="D4680" i="7"/>
  <c r="D4681" i="7"/>
  <c r="D4682" i="7"/>
  <c r="D4683" i="7"/>
  <c r="D4684" i="7"/>
  <c r="D4685" i="7"/>
  <c r="D4686" i="7"/>
  <c r="D4687" i="7"/>
  <c r="D4688" i="7"/>
  <c r="D4689" i="7"/>
  <c r="D4690" i="7"/>
  <c r="D4691" i="7"/>
  <c r="D4692" i="7"/>
  <c r="D4693" i="7"/>
  <c r="D4694" i="7"/>
  <c r="D4695" i="7"/>
  <c r="D4696" i="7"/>
  <c r="D4697" i="7"/>
  <c r="D4698" i="7"/>
  <c r="D4699" i="7"/>
  <c r="D4700" i="7"/>
  <c r="D4701" i="7"/>
  <c r="D4702" i="7"/>
  <c r="D4703" i="7"/>
  <c r="D4704" i="7"/>
  <c r="D4705" i="7"/>
  <c r="D4706" i="7"/>
  <c r="D4707" i="7"/>
  <c r="D4708" i="7"/>
  <c r="D4709" i="7"/>
  <c r="D4710" i="7"/>
  <c r="D4711" i="7"/>
  <c r="D4712" i="7"/>
  <c r="D4713" i="7"/>
  <c r="D4714" i="7"/>
  <c r="D4715" i="7"/>
  <c r="D4716" i="7"/>
  <c r="D4717" i="7"/>
  <c r="D4718" i="7"/>
  <c r="D4719" i="7"/>
  <c r="D4720" i="7"/>
  <c r="D4721" i="7"/>
  <c r="D4722" i="7"/>
  <c r="D4723" i="7"/>
  <c r="D4724" i="7"/>
  <c r="D4725" i="7"/>
  <c r="D4726" i="7"/>
  <c r="D4727" i="7"/>
  <c r="D4728" i="7"/>
  <c r="D4729" i="7"/>
  <c r="D4730" i="7"/>
  <c r="D4731" i="7"/>
  <c r="D4732" i="7"/>
  <c r="D4733" i="7"/>
  <c r="D4734" i="7"/>
  <c r="D4735" i="7"/>
  <c r="D4736" i="7"/>
  <c r="D4737" i="7"/>
  <c r="D4738" i="7"/>
  <c r="D4739" i="7"/>
  <c r="D4740" i="7"/>
  <c r="D4741" i="7"/>
  <c r="D4742" i="7"/>
  <c r="D4743" i="7"/>
  <c r="D4744" i="7"/>
  <c r="D4745" i="7"/>
  <c r="D4746" i="7"/>
  <c r="D4747" i="7"/>
  <c r="D4748" i="7"/>
  <c r="D4749" i="7"/>
  <c r="D4750" i="7"/>
  <c r="D4751" i="7"/>
  <c r="D4752" i="7"/>
  <c r="D4753" i="7"/>
  <c r="D4754" i="7"/>
  <c r="D4755" i="7"/>
  <c r="D4756" i="7"/>
  <c r="D4757" i="7"/>
  <c r="D4758" i="7"/>
  <c r="D4759" i="7"/>
  <c r="D4760" i="7"/>
  <c r="D4761" i="7"/>
  <c r="D4762" i="7"/>
  <c r="D4763" i="7"/>
  <c r="D4764" i="7"/>
  <c r="D4765" i="7"/>
  <c r="D4766" i="7"/>
  <c r="D4767" i="7"/>
  <c r="D4768" i="7"/>
  <c r="D4769" i="7"/>
  <c r="D4770" i="7"/>
  <c r="D4771" i="7"/>
  <c r="D4772" i="7"/>
  <c r="D4773" i="7"/>
  <c r="D4774" i="7"/>
  <c r="D4775" i="7"/>
  <c r="D4776" i="7"/>
  <c r="D4777" i="7"/>
  <c r="D4778" i="7"/>
  <c r="D4779" i="7"/>
  <c r="D4780" i="7"/>
  <c r="D4781" i="7"/>
  <c r="D4782" i="7"/>
  <c r="D4783" i="7"/>
  <c r="D4784" i="7"/>
  <c r="D4785" i="7"/>
  <c r="D4786" i="7"/>
  <c r="D4787" i="7"/>
  <c r="D4788" i="7"/>
  <c r="D4789" i="7"/>
  <c r="D4790" i="7"/>
  <c r="D4791" i="7"/>
  <c r="D4792" i="7"/>
  <c r="D4793" i="7"/>
  <c r="D4794" i="7"/>
  <c r="D4795" i="7"/>
  <c r="D4796" i="7"/>
  <c r="D4797" i="7"/>
  <c r="D4798" i="7"/>
  <c r="D4799" i="7"/>
  <c r="D4800" i="7"/>
  <c r="D4801" i="7"/>
  <c r="D4802" i="7"/>
  <c r="D4803" i="7"/>
  <c r="D4804" i="7"/>
  <c r="D4805" i="7"/>
  <c r="D4806" i="7"/>
  <c r="D4807" i="7"/>
  <c r="D4808" i="7"/>
  <c r="D4809" i="7"/>
  <c r="D4810" i="7"/>
  <c r="D4811" i="7"/>
  <c r="D4812" i="7"/>
  <c r="D4813" i="7"/>
  <c r="D4814" i="7"/>
  <c r="D4815" i="7"/>
  <c r="D4816" i="7"/>
  <c r="D4817" i="7"/>
  <c r="D4818" i="7"/>
  <c r="D4819" i="7"/>
  <c r="D4820" i="7"/>
  <c r="D4821" i="7"/>
  <c r="D4822" i="7"/>
  <c r="D4823" i="7"/>
  <c r="D4824" i="7"/>
  <c r="D4825" i="7"/>
  <c r="D4826" i="7"/>
  <c r="D4827" i="7"/>
  <c r="D4828" i="7"/>
  <c r="D4829" i="7"/>
  <c r="D4830" i="7"/>
  <c r="D4831" i="7"/>
  <c r="D4832" i="7"/>
  <c r="D4833" i="7"/>
  <c r="D4834" i="7"/>
  <c r="D4835" i="7"/>
  <c r="D4836" i="7"/>
  <c r="D4837" i="7"/>
  <c r="D4838" i="7"/>
  <c r="D4839" i="7"/>
  <c r="D4840" i="7"/>
  <c r="D4841" i="7"/>
  <c r="D4842" i="7"/>
  <c r="D4843" i="7"/>
  <c r="D4844" i="7"/>
  <c r="D4845" i="7"/>
  <c r="D4846" i="7"/>
  <c r="D4847" i="7"/>
  <c r="D4848" i="7"/>
  <c r="D4849" i="7"/>
  <c r="D4850" i="7"/>
  <c r="D4851" i="7"/>
  <c r="D4852" i="7"/>
  <c r="D4853" i="7"/>
  <c r="D4854" i="7"/>
  <c r="D4855" i="7"/>
  <c r="D4856" i="7"/>
  <c r="D4857" i="7"/>
  <c r="D4858" i="7"/>
  <c r="D4859" i="7"/>
  <c r="D4860" i="7"/>
  <c r="D4861" i="7"/>
  <c r="D4862" i="7"/>
  <c r="D4863" i="7"/>
  <c r="D4864" i="7"/>
  <c r="D4865" i="7"/>
  <c r="D4866" i="7"/>
  <c r="D4867" i="7"/>
  <c r="D4868" i="7"/>
  <c r="D4869" i="7"/>
  <c r="D4870" i="7"/>
  <c r="D4871" i="7"/>
  <c r="D4872" i="7"/>
  <c r="D4873" i="7"/>
  <c r="D4874" i="7"/>
  <c r="D4875" i="7"/>
  <c r="D4876" i="7"/>
  <c r="D4877" i="7"/>
  <c r="D4878" i="7"/>
  <c r="D4879" i="7"/>
  <c r="D4880" i="7"/>
  <c r="D4881" i="7"/>
  <c r="D4882" i="7"/>
  <c r="D4883" i="7"/>
  <c r="D4884" i="7"/>
  <c r="D4885" i="7"/>
  <c r="D4886" i="7"/>
  <c r="D4887" i="7"/>
  <c r="D4888" i="7"/>
  <c r="D4889" i="7"/>
  <c r="D4890" i="7"/>
  <c r="D4891" i="7"/>
  <c r="D4892" i="7"/>
  <c r="D4893" i="7"/>
  <c r="D4894" i="7"/>
  <c r="D4895" i="7"/>
  <c r="D4896" i="7"/>
  <c r="D4897" i="7"/>
  <c r="D4898" i="7"/>
  <c r="D4899" i="7"/>
  <c r="D4900" i="7"/>
  <c r="D4901" i="7"/>
  <c r="D4902" i="7"/>
  <c r="D4903" i="7"/>
  <c r="D4904" i="7"/>
  <c r="D4905" i="7"/>
  <c r="D4906" i="7"/>
  <c r="D4907" i="7"/>
  <c r="D4908" i="7"/>
  <c r="D4909" i="7"/>
  <c r="D4910" i="7"/>
  <c r="D4911" i="7"/>
  <c r="D4912" i="7"/>
  <c r="D4913" i="7"/>
  <c r="D4914" i="7"/>
  <c r="D4915" i="7"/>
  <c r="D4916" i="7"/>
  <c r="D4917" i="7"/>
  <c r="D4918" i="7"/>
  <c r="D4919" i="7"/>
  <c r="D4920" i="7"/>
  <c r="D4921" i="7"/>
  <c r="D4922" i="7"/>
  <c r="D4923" i="7"/>
  <c r="D4924" i="7"/>
  <c r="D4925" i="7"/>
  <c r="D4926" i="7"/>
  <c r="D4927" i="7"/>
  <c r="D4928" i="7"/>
  <c r="D4929" i="7"/>
  <c r="D4930" i="7"/>
  <c r="D4931" i="7"/>
  <c r="D4932" i="7"/>
  <c r="D4933" i="7"/>
  <c r="D4934" i="7"/>
  <c r="D4935" i="7"/>
  <c r="D4936" i="7"/>
  <c r="D4937" i="7"/>
  <c r="D4938" i="7"/>
  <c r="D4939" i="7"/>
  <c r="D4940" i="7"/>
  <c r="D4941" i="7"/>
  <c r="D4942" i="7"/>
  <c r="D4943" i="7"/>
  <c r="D4944" i="7"/>
  <c r="D4945" i="7"/>
  <c r="D4946" i="7"/>
  <c r="D4947" i="7"/>
  <c r="D4948" i="7"/>
  <c r="D4949" i="7"/>
  <c r="D4950" i="7"/>
  <c r="D4951" i="7"/>
  <c r="D4952" i="7"/>
  <c r="D4953" i="7"/>
  <c r="D4954" i="7"/>
  <c r="D4955" i="7"/>
  <c r="D4956" i="7"/>
  <c r="D4957" i="7"/>
  <c r="D4958" i="7"/>
  <c r="D4959" i="7"/>
  <c r="D4960" i="7"/>
  <c r="D4961" i="7"/>
  <c r="D4962" i="7"/>
  <c r="D4963" i="7"/>
  <c r="D4964" i="7"/>
  <c r="D4965" i="7"/>
  <c r="D4966" i="7"/>
  <c r="D4967" i="7"/>
  <c r="D4968" i="7"/>
  <c r="D4969" i="7"/>
  <c r="D4970" i="7"/>
  <c r="D4971" i="7"/>
  <c r="D4972" i="7"/>
  <c r="D4973" i="7"/>
  <c r="D4974" i="7"/>
  <c r="D4975" i="7"/>
  <c r="D4976" i="7"/>
  <c r="D4977" i="7"/>
  <c r="D4978" i="7"/>
  <c r="D4979" i="7"/>
  <c r="D4980" i="7"/>
  <c r="D4981" i="7"/>
  <c r="D4982" i="7"/>
  <c r="D4983" i="7"/>
  <c r="D4984" i="7"/>
  <c r="D4985" i="7"/>
  <c r="D4986" i="7"/>
  <c r="D4987" i="7"/>
  <c r="D4988" i="7"/>
  <c r="D4989" i="7"/>
  <c r="D4990" i="7"/>
  <c r="D4991" i="7"/>
  <c r="D4992" i="7"/>
  <c r="D4993" i="7"/>
  <c r="D4994" i="7"/>
  <c r="D4995" i="7"/>
  <c r="D4996" i="7"/>
  <c r="D4997" i="7"/>
  <c r="D4998" i="7"/>
  <c r="D4999" i="7"/>
  <c r="D5000" i="7"/>
  <c r="D5001" i="7"/>
  <c r="D5002" i="7"/>
  <c r="D5003" i="7"/>
  <c r="D5004" i="7"/>
  <c r="D5005" i="7"/>
  <c r="D5006" i="7"/>
  <c r="D5007" i="7"/>
  <c r="D5008" i="7"/>
  <c r="D5009" i="7"/>
  <c r="D5010" i="7"/>
  <c r="D5011" i="7"/>
  <c r="D5012" i="7"/>
  <c r="D5013" i="7"/>
  <c r="D5014" i="7"/>
  <c r="D5015" i="7"/>
  <c r="D5016" i="7"/>
  <c r="D5017" i="7"/>
  <c r="D5018" i="7"/>
  <c r="D5019" i="7"/>
  <c r="D5020" i="7"/>
  <c r="D5021" i="7"/>
  <c r="D5022" i="7"/>
  <c r="D5023" i="7"/>
  <c r="D5024" i="7"/>
  <c r="D5025" i="7"/>
  <c r="D5026" i="7"/>
  <c r="D5027" i="7"/>
  <c r="D5028" i="7"/>
  <c r="D5029" i="7"/>
  <c r="D5030" i="7"/>
  <c r="D5031" i="7"/>
  <c r="D5032" i="7"/>
  <c r="D5033" i="7"/>
  <c r="D5034" i="7"/>
  <c r="D5035" i="7"/>
  <c r="D5036" i="7"/>
  <c r="D5037" i="7"/>
  <c r="D5038" i="7"/>
  <c r="D5039" i="7"/>
  <c r="D5040" i="7"/>
  <c r="D5041" i="7"/>
  <c r="D5042" i="7"/>
  <c r="D5043" i="7"/>
  <c r="D5044" i="7"/>
  <c r="D5045" i="7"/>
  <c r="D5046" i="7"/>
  <c r="D5047" i="7"/>
  <c r="D5048" i="7"/>
  <c r="D5049" i="7"/>
  <c r="D5050" i="7"/>
  <c r="D5051" i="7"/>
  <c r="D5052" i="7"/>
  <c r="D5053" i="7"/>
  <c r="D5054" i="7"/>
  <c r="D5055" i="7"/>
  <c r="D5056" i="7"/>
  <c r="D5057" i="7"/>
  <c r="D5058" i="7"/>
  <c r="D5059" i="7"/>
  <c r="D5060" i="7"/>
  <c r="D5061" i="7"/>
  <c r="D5062" i="7"/>
  <c r="D5063" i="7"/>
  <c r="D5064" i="7"/>
  <c r="D5065" i="7"/>
  <c r="D5066" i="7"/>
  <c r="D5067" i="7"/>
  <c r="D5068" i="7"/>
  <c r="D5069" i="7"/>
  <c r="D5070" i="7"/>
  <c r="D5071" i="7"/>
  <c r="D5072" i="7"/>
  <c r="D5073" i="7"/>
  <c r="D5074" i="7"/>
  <c r="D5075" i="7"/>
  <c r="D5076" i="7"/>
  <c r="D5077" i="7"/>
  <c r="D5078" i="7"/>
  <c r="D5079" i="7"/>
  <c r="D5080" i="7"/>
  <c r="D5081" i="7"/>
  <c r="D5082" i="7"/>
  <c r="D5083" i="7"/>
  <c r="D5084" i="7"/>
  <c r="D5085" i="7"/>
  <c r="D5086" i="7"/>
  <c r="D5087" i="7"/>
  <c r="D5088" i="7"/>
  <c r="D5089" i="7"/>
  <c r="D5090" i="7"/>
  <c r="D5091" i="7"/>
  <c r="D5092" i="7"/>
  <c r="D5093" i="7"/>
  <c r="D5094" i="7"/>
  <c r="D5095" i="7"/>
  <c r="D5096" i="7"/>
  <c r="D5097" i="7"/>
  <c r="D5098" i="7"/>
  <c r="D5099" i="7"/>
  <c r="D5100" i="7"/>
  <c r="D5101" i="7"/>
  <c r="D5102" i="7"/>
  <c r="D5103" i="7"/>
  <c r="D5104" i="7"/>
  <c r="D5105" i="7"/>
  <c r="D5106" i="7"/>
  <c r="D5107" i="7"/>
  <c r="D5108" i="7"/>
  <c r="D5109" i="7"/>
  <c r="D5110" i="7"/>
  <c r="D5111" i="7"/>
  <c r="D5112" i="7"/>
  <c r="D5113" i="7"/>
  <c r="D5114" i="7"/>
  <c r="D5115" i="7"/>
  <c r="D5116" i="7"/>
  <c r="D5117" i="7"/>
  <c r="D5118" i="7"/>
  <c r="D5119" i="7"/>
  <c r="D5120" i="7"/>
  <c r="D5121" i="7"/>
  <c r="D5122" i="7"/>
  <c r="D5123" i="7"/>
  <c r="D5124" i="7"/>
  <c r="D5125" i="7"/>
  <c r="D5126" i="7"/>
  <c r="D5127" i="7"/>
  <c r="D5128" i="7"/>
  <c r="D5129" i="7"/>
  <c r="D5130" i="7"/>
  <c r="D5131" i="7"/>
  <c r="D5132" i="7"/>
  <c r="D5133" i="7"/>
  <c r="D5134" i="7"/>
  <c r="D5135" i="7"/>
  <c r="D5136" i="7"/>
  <c r="D5137" i="7"/>
  <c r="D5138" i="7"/>
  <c r="D5139" i="7"/>
  <c r="D5140" i="7"/>
  <c r="D5141" i="7"/>
  <c r="D5142" i="7"/>
  <c r="D5143" i="7"/>
  <c r="D5144" i="7"/>
  <c r="D5145" i="7"/>
  <c r="D5146" i="7"/>
  <c r="D5147" i="7"/>
  <c r="D5148" i="7"/>
  <c r="D5149" i="7"/>
  <c r="D5150" i="7"/>
  <c r="D5151" i="7"/>
  <c r="D5152" i="7"/>
  <c r="D5153" i="7"/>
  <c r="D5154" i="7"/>
  <c r="D5155" i="7"/>
  <c r="D5156" i="7"/>
  <c r="D5157" i="7"/>
  <c r="D5158" i="7"/>
  <c r="D5159" i="7"/>
  <c r="D5160" i="7"/>
  <c r="D5161" i="7"/>
  <c r="D5162" i="7"/>
  <c r="D5163" i="7"/>
  <c r="D5164" i="7"/>
  <c r="D5165" i="7"/>
  <c r="D5166" i="7"/>
  <c r="D5167" i="7"/>
  <c r="D5168" i="7"/>
  <c r="D5169" i="7"/>
  <c r="D5170" i="7"/>
  <c r="D5171" i="7"/>
  <c r="D5172" i="7"/>
  <c r="D5173" i="7"/>
  <c r="D5174" i="7"/>
  <c r="D5175" i="7"/>
  <c r="D5176" i="7"/>
  <c r="D5177" i="7"/>
  <c r="D5178" i="7"/>
  <c r="D5179" i="7"/>
  <c r="D5180" i="7"/>
  <c r="D5181" i="7"/>
  <c r="D5182" i="7"/>
  <c r="D5183" i="7"/>
  <c r="D5184" i="7"/>
  <c r="D5185" i="7"/>
  <c r="D5186" i="7"/>
  <c r="D5187" i="7"/>
  <c r="D5188" i="7"/>
  <c r="D5189" i="7"/>
  <c r="D5190" i="7"/>
  <c r="D5191" i="7"/>
  <c r="D5192" i="7"/>
  <c r="D5193" i="7"/>
  <c r="D5194" i="7"/>
  <c r="D5195" i="7"/>
  <c r="D5196" i="7"/>
  <c r="D5197" i="7"/>
  <c r="D5198" i="7"/>
  <c r="D5199" i="7"/>
  <c r="D5200" i="7"/>
  <c r="D5201" i="7"/>
  <c r="D5202" i="7"/>
  <c r="D5203" i="7"/>
  <c r="D5204" i="7"/>
  <c r="D5205" i="7"/>
  <c r="D5206" i="7"/>
  <c r="D5207" i="7"/>
  <c r="D5208" i="7"/>
  <c r="D5209" i="7"/>
  <c r="D5210" i="7"/>
  <c r="D5211" i="7"/>
  <c r="D5212" i="7"/>
  <c r="D5213" i="7"/>
  <c r="D5214" i="7"/>
  <c r="D5215" i="7"/>
  <c r="D5216" i="7"/>
  <c r="D5217" i="7"/>
  <c r="D5218" i="7"/>
  <c r="D5219" i="7"/>
  <c r="D5220" i="7"/>
  <c r="D5221" i="7"/>
  <c r="D5222" i="7"/>
  <c r="D5223" i="7"/>
  <c r="D5224" i="7"/>
  <c r="D5225" i="7"/>
  <c r="D5226" i="7"/>
  <c r="D5227" i="7"/>
  <c r="D5228" i="7"/>
  <c r="D5229" i="7"/>
  <c r="D5230" i="7"/>
  <c r="D5231" i="7"/>
  <c r="D5232" i="7"/>
  <c r="D5233" i="7"/>
  <c r="D5234" i="7"/>
  <c r="D5235" i="7"/>
  <c r="D5236" i="7"/>
  <c r="D5237" i="7"/>
  <c r="D5238" i="7"/>
  <c r="D5239" i="7"/>
  <c r="D5240" i="7"/>
  <c r="D5241" i="7"/>
  <c r="D5242" i="7"/>
  <c r="D5243" i="7"/>
  <c r="D5244" i="7"/>
  <c r="D5245" i="7"/>
  <c r="D5246" i="7"/>
  <c r="D5247" i="7"/>
  <c r="D5248" i="7"/>
  <c r="D5249" i="7"/>
  <c r="D5250" i="7"/>
  <c r="D5251" i="7"/>
  <c r="D5252" i="7"/>
  <c r="D5253" i="7"/>
  <c r="D5254" i="7"/>
  <c r="D5255" i="7"/>
  <c r="D5256" i="7"/>
  <c r="D5257" i="7"/>
  <c r="D5258" i="7"/>
  <c r="D5259" i="7"/>
  <c r="D5260" i="7"/>
  <c r="D5261" i="7"/>
  <c r="D5262" i="7"/>
  <c r="D5263" i="7"/>
  <c r="D5264" i="7"/>
  <c r="D5265" i="7"/>
  <c r="D5266" i="7"/>
  <c r="D5267" i="7"/>
  <c r="D5268" i="7"/>
  <c r="D5269" i="7"/>
  <c r="D5270" i="7"/>
  <c r="D5271" i="7"/>
  <c r="D5272" i="7"/>
  <c r="D5273" i="7"/>
  <c r="D5274" i="7"/>
  <c r="D5275" i="7"/>
  <c r="D5276" i="7"/>
  <c r="D5277" i="7"/>
  <c r="D5278" i="7"/>
  <c r="D5279" i="7"/>
  <c r="D5280" i="7"/>
  <c r="D5281" i="7"/>
  <c r="D5282" i="7"/>
  <c r="D5283" i="7"/>
  <c r="D5284" i="7"/>
  <c r="D5285" i="7"/>
  <c r="D5286" i="7"/>
  <c r="D5287" i="7"/>
  <c r="D5288" i="7"/>
  <c r="D5289" i="7"/>
  <c r="D5290" i="7"/>
  <c r="D5291" i="7"/>
  <c r="D5292" i="7"/>
  <c r="D5293" i="7"/>
  <c r="D5294" i="7"/>
  <c r="D5295" i="7"/>
  <c r="D5296" i="7"/>
  <c r="D5297" i="7"/>
  <c r="D5298" i="7"/>
  <c r="D5299" i="7"/>
  <c r="D5300" i="7"/>
  <c r="D5301" i="7"/>
  <c r="D5302" i="7"/>
  <c r="D5303" i="7"/>
  <c r="D5304" i="7"/>
  <c r="D5305" i="7"/>
  <c r="D5306" i="7"/>
  <c r="D5307" i="7"/>
  <c r="D5308" i="7"/>
  <c r="D5309" i="7"/>
  <c r="D5310" i="7"/>
  <c r="D5311" i="7"/>
  <c r="D5312" i="7"/>
  <c r="D5313" i="7"/>
  <c r="D5314" i="7"/>
  <c r="D5315" i="7"/>
  <c r="D5316" i="7"/>
  <c r="D5317" i="7"/>
  <c r="D5318" i="7"/>
  <c r="D5319" i="7"/>
  <c r="D5320" i="7"/>
  <c r="D5321" i="7"/>
  <c r="D5322" i="7"/>
  <c r="D5323" i="7"/>
  <c r="D5324" i="7"/>
  <c r="D5325" i="7"/>
  <c r="D5326" i="7"/>
  <c r="D5327" i="7"/>
  <c r="D5328" i="7"/>
  <c r="D5329" i="7"/>
  <c r="D5330" i="7"/>
  <c r="D5331" i="7"/>
  <c r="D5332" i="7"/>
  <c r="D5333" i="7"/>
  <c r="D5334" i="7"/>
  <c r="D5335" i="7"/>
  <c r="D5336" i="7"/>
  <c r="D5337" i="7"/>
  <c r="D5338" i="7"/>
  <c r="D5339" i="7"/>
  <c r="D5340" i="7"/>
  <c r="D5341" i="7"/>
  <c r="D5342" i="7"/>
  <c r="D5343" i="7"/>
  <c r="D5344" i="7"/>
  <c r="D5345" i="7"/>
  <c r="D5346" i="7"/>
  <c r="D5347" i="7"/>
  <c r="D5348" i="7"/>
  <c r="D5349" i="7"/>
  <c r="D5350" i="7"/>
  <c r="D5351" i="7"/>
  <c r="D5352" i="7"/>
  <c r="D5353" i="7"/>
  <c r="D5354" i="7"/>
  <c r="D5355" i="7"/>
  <c r="D5356" i="7"/>
  <c r="D5357" i="7"/>
  <c r="D5358" i="7"/>
  <c r="D5359" i="7"/>
  <c r="D5360" i="7"/>
  <c r="D5361" i="7"/>
  <c r="D5362" i="7"/>
  <c r="D5363" i="7"/>
  <c r="D5364" i="7"/>
  <c r="D5365" i="7"/>
  <c r="D5366" i="7"/>
  <c r="D5367" i="7"/>
  <c r="D5368" i="7"/>
  <c r="D5369" i="7"/>
  <c r="D5370" i="7"/>
  <c r="D5371" i="7"/>
  <c r="D5372" i="7"/>
  <c r="D5373" i="7"/>
  <c r="D5374" i="7"/>
  <c r="D5375" i="7"/>
  <c r="D5376" i="7"/>
  <c r="D5377" i="7"/>
  <c r="D5378" i="7"/>
  <c r="D5379" i="7"/>
  <c r="D5380" i="7"/>
  <c r="D5381" i="7"/>
  <c r="D5382" i="7"/>
  <c r="D5383" i="7"/>
  <c r="D5384" i="7"/>
  <c r="D5385" i="7"/>
  <c r="D5386" i="7"/>
  <c r="D5387" i="7"/>
  <c r="D5388" i="7"/>
  <c r="D5389" i="7"/>
  <c r="D5390" i="7"/>
  <c r="D5391" i="7"/>
  <c r="D5392" i="7"/>
  <c r="D5393" i="7"/>
  <c r="D5394" i="7"/>
  <c r="D5395" i="7"/>
  <c r="D5396" i="7"/>
  <c r="D5397" i="7"/>
  <c r="D5398" i="7"/>
  <c r="D5399" i="7"/>
  <c r="D5400" i="7"/>
  <c r="D5401" i="7"/>
  <c r="D5402" i="7"/>
  <c r="D5403" i="7"/>
  <c r="D5404" i="7"/>
  <c r="D5405" i="7"/>
  <c r="D5406" i="7"/>
  <c r="D5407" i="7"/>
  <c r="D5408" i="7"/>
  <c r="D5409" i="7"/>
  <c r="D5410" i="7"/>
  <c r="D5411" i="7"/>
  <c r="D5412" i="7"/>
  <c r="D5413" i="7"/>
  <c r="D5414" i="7"/>
  <c r="D5415" i="7"/>
  <c r="D5416" i="7"/>
  <c r="D5417" i="7"/>
  <c r="D5418" i="7"/>
  <c r="D5419" i="7"/>
  <c r="D5420" i="7"/>
  <c r="D5421" i="7"/>
  <c r="D5422" i="7"/>
  <c r="D5423" i="7"/>
  <c r="D5424" i="7"/>
  <c r="D5425" i="7"/>
  <c r="D5426" i="7"/>
  <c r="D5427" i="7"/>
  <c r="D5428" i="7"/>
  <c r="D5429" i="7"/>
  <c r="D5430" i="7"/>
  <c r="D5431" i="7"/>
  <c r="D5432" i="7"/>
  <c r="D5433" i="7"/>
  <c r="D5434" i="7"/>
  <c r="D5435" i="7"/>
  <c r="D5436" i="7"/>
  <c r="D5437" i="7"/>
  <c r="D5438" i="7"/>
  <c r="D5439" i="7"/>
  <c r="D5440" i="7"/>
  <c r="D5441" i="7"/>
  <c r="D5442" i="7"/>
  <c r="D5443" i="7"/>
  <c r="D5444" i="7"/>
  <c r="D5445" i="7"/>
  <c r="D5446" i="7"/>
  <c r="D5447" i="7"/>
  <c r="D5448" i="7"/>
  <c r="D5449" i="7"/>
  <c r="D5450" i="7"/>
  <c r="D5451" i="7"/>
  <c r="D5452" i="7"/>
  <c r="D5453" i="7"/>
  <c r="D5454" i="7"/>
  <c r="D5455" i="7"/>
  <c r="D5456" i="7"/>
  <c r="D5457" i="7"/>
  <c r="D5458" i="7"/>
  <c r="D5459" i="7"/>
  <c r="D5460" i="7"/>
  <c r="D5461" i="7"/>
  <c r="D5462" i="7"/>
  <c r="D5463" i="7"/>
  <c r="D5464" i="7"/>
  <c r="D5465" i="7"/>
  <c r="D5466" i="7"/>
  <c r="D5467" i="7"/>
  <c r="D5468" i="7"/>
  <c r="D5469" i="7"/>
  <c r="D5470" i="7"/>
  <c r="D5471" i="7"/>
  <c r="D5472" i="7"/>
  <c r="D5473" i="7"/>
  <c r="D5474" i="7"/>
  <c r="D5475" i="7"/>
  <c r="D5476" i="7"/>
  <c r="D5477" i="7"/>
  <c r="D5478" i="7"/>
  <c r="D5479" i="7"/>
  <c r="D5480" i="7"/>
  <c r="D5481" i="7"/>
  <c r="D5482" i="7"/>
  <c r="D5483" i="7"/>
  <c r="D5484" i="7"/>
  <c r="D5485" i="7"/>
  <c r="D5486" i="7"/>
  <c r="D5487" i="7"/>
  <c r="D5488" i="7"/>
  <c r="D5489" i="7"/>
  <c r="D5490" i="7"/>
  <c r="D5491" i="7"/>
  <c r="D5492" i="7"/>
  <c r="D5493" i="7"/>
  <c r="D5494" i="7"/>
  <c r="D5495" i="7"/>
  <c r="D5496" i="7"/>
  <c r="D5497" i="7"/>
  <c r="D5498" i="7"/>
  <c r="D5499" i="7"/>
  <c r="D5500" i="7"/>
  <c r="D5501" i="7"/>
  <c r="D5502" i="7"/>
  <c r="D5503" i="7"/>
  <c r="D5504" i="7"/>
  <c r="D5505" i="7"/>
  <c r="D5506" i="7"/>
  <c r="D5507" i="7"/>
  <c r="D5508" i="7"/>
  <c r="D5509" i="7"/>
  <c r="D5510" i="7"/>
  <c r="D5511" i="7"/>
  <c r="D5512" i="7"/>
  <c r="D5513" i="7"/>
  <c r="D5514" i="7"/>
  <c r="D5515" i="7"/>
  <c r="D5516" i="7"/>
  <c r="D5517" i="7"/>
  <c r="D5518" i="7"/>
  <c r="D5519" i="7"/>
  <c r="D5520" i="7"/>
  <c r="D5521" i="7"/>
  <c r="D5522" i="7"/>
  <c r="D5523" i="7"/>
  <c r="D5524" i="7"/>
  <c r="D5525" i="7"/>
  <c r="D5526" i="7"/>
  <c r="D5527" i="7"/>
  <c r="D5528" i="7"/>
  <c r="D5529" i="7"/>
  <c r="D5530" i="7"/>
  <c r="D5531" i="7"/>
  <c r="D5532" i="7"/>
  <c r="D5533" i="7"/>
  <c r="D5534" i="7"/>
  <c r="D5535" i="7"/>
  <c r="D5536" i="7"/>
  <c r="D5537" i="7"/>
  <c r="D5538" i="7"/>
  <c r="D5539" i="7"/>
  <c r="D5540" i="7"/>
  <c r="D5541" i="7"/>
  <c r="D5542" i="7"/>
  <c r="D5543" i="7"/>
  <c r="D5544" i="7"/>
  <c r="D5545" i="7"/>
  <c r="D5546" i="7"/>
  <c r="D5547" i="7"/>
  <c r="D5548" i="7"/>
  <c r="D5549" i="7"/>
  <c r="D5550" i="7"/>
  <c r="D5551" i="7"/>
  <c r="D5552" i="7"/>
  <c r="D5553" i="7"/>
  <c r="D5554" i="7"/>
  <c r="D5555" i="7"/>
  <c r="D5556" i="7"/>
  <c r="D5557" i="7"/>
  <c r="D5558" i="7"/>
  <c r="D5559" i="7"/>
  <c r="D5560" i="7"/>
  <c r="D5561" i="7"/>
  <c r="D5562" i="7"/>
  <c r="D5563" i="7"/>
  <c r="D5564" i="7"/>
  <c r="D5565" i="7"/>
  <c r="D5566" i="7"/>
  <c r="D5567" i="7"/>
  <c r="D5568" i="7"/>
  <c r="D5569" i="7"/>
  <c r="D5570" i="7"/>
  <c r="D5571" i="7"/>
  <c r="D5572" i="7"/>
  <c r="D5573" i="7"/>
  <c r="D5574" i="7"/>
  <c r="D5575" i="7"/>
  <c r="D5576" i="7"/>
  <c r="D5577" i="7"/>
  <c r="D5578" i="7"/>
  <c r="D5579" i="7"/>
  <c r="D5580" i="7"/>
  <c r="D5581" i="7"/>
  <c r="D5582" i="7"/>
  <c r="D5583" i="7"/>
  <c r="D5584" i="7"/>
  <c r="D5585" i="7"/>
  <c r="D5586" i="7"/>
  <c r="D5587" i="7"/>
  <c r="D5588" i="7"/>
  <c r="D5589" i="7"/>
  <c r="D5590" i="7"/>
  <c r="D5591" i="7"/>
  <c r="D5592" i="7"/>
  <c r="D5593" i="7"/>
  <c r="D5594" i="7"/>
  <c r="D5595" i="7"/>
  <c r="D5596" i="7"/>
  <c r="D5597" i="7"/>
  <c r="D5598" i="7"/>
  <c r="D5599" i="7"/>
  <c r="D5600" i="7"/>
  <c r="D5601" i="7"/>
  <c r="D5602" i="7"/>
  <c r="D5603" i="7"/>
  <c r="D5604" i="7"/>
  <c r="D5605" i="7"/>
  <c r="D5606" i="7"/>
  <c r="D5607" i="7"/>
  <c r="D5608" i="7"/>
  <c r="D5609" i="7"/>
  <c r="D5610" i="7"/>
  <c r="D5611" i="7"/>
  <c r="D5612" i="7"/>
  <c r="D5613" i="7"/>
  <c r="D5614" i="7"/>
  <c r="D5615" i="7"/>
  <c r="D5616" i="7"/>
  <c r="D5617" i="7"/>
  <c r="D5618" i="7"/>
  <c r="D5619" i="7"/>
  <c r="D5620" i="7"/>
  <c r="D5621" i="7"/>
  <c r="D5622" i="7"/>
  <c r="D5623" i="7"/>
  <c r="D5624" i="7"/>
  <c r="D5625" i="7"/>
  <c r="D5626" i="7"/>
  <c r="D5627" i="7"/>
  <c r="D5628" i="7"/>
  <c r="D5629" i="7"/>
  <c r="D5630" i="7"/>
  <c r="D5631" i="7"/>
  <c r="D5632" i="7"/>
  <c r="D5633" i="7"/>
  <c r="D5634" i="7"/>
  <c r="D5635" i="7"/>
  <c r="D5636" i="7"/>
  <c r="D5637" i="7"/>
  <c r="D5638" i="7"/>
  <c r="D5639" i="7"/>
  <c r="D5640" i="7"/>
  <c r="D5641" i="7"/>
  <c r="D5642" i="7"/>
  <c r="D5643" i="7"/>
  <c r="D5644" i="7"/>
  <c r="D5645" i="7"/>
  <c r="D5646" i="7"/>
  <c r="D5647" i="7"/>
  <c r="D5648" i="7"/>
  <c r="D5649" i="7"/>
  <c r="D5650" i="7"/>
  <c r="D5651" i="7"/>
  <c r="D5652" i="7"/>
  <c r="D5653" i="7"/>
  <c r="D5654" i="7"/>
  <c r="D5655" i="7"/>
  <c r="D5656" i="7"/>
  <c r="D5657" i="7"/>
  <c r="D5658" i="7"/>
  <c r="D5659" i="7"/>
  <c r="D5660" i="7"/>
  <c r="D5661" i="7"/>
  <c r="D5662" i="7"/>
  <c r="D5663" i="7"/>
  <c r="D5664" i="7"/>
  <c r="D5665" i="7"/>
  <c r="D5666" i="7"/>
  <c r="D5667" i="7"/>
  <c r="D5668" i="7"/>
  <c r="D5669" i="7"/>
  <c r="D5670" i="7"/>
  <c r="D5671" i="7"/>
  <c r="D5672" i="7"/>
  <c r="D5673" i="7"/>
  <c r="D5674" i="7"/>
  <c r="D5675" i="7"/>
  <c r="D5676" i="7"/>
  <c r="D5677" i="7"/>
  <c r="D5678" i="7"/>
  <c r="D5679" i="7"/>
  <c r="D5680" i="7"/>
  <c r="D5681" i="7"/>
  <c r="D5682" i="7"/>
  <c r="D5683" i="7"/>
  <c r="D5684" i="7"/>
  <c r="D5685" i="7"/>
  <c r="D5686" i="7"/>
  <c r="D5687" i="7"/>
  <c r="D5688" i="7"/>
  <c r="D5689" i="7"/>
  <c r="D5690" i="7"/>
  <c r="D5691" i="7"/>
  <c r="D5692" i="7"/>
  <c r="D5693" i="7"/>
  <c r="D5694" i="7"/>
  <c r="D5695" i="7"/>
  <c r="D5696" i="7"/>
  <c r="D5697" i="7"/>
  <c r="D5698" i="7"/>
  <c r="D5699" i="7"/>
  <c r="D5700" i="7"/>
  <c r="D5701" i="7"/>
  <c r="D5702" i="7"/>
  <c r="D5703" i="7"/>
  <c r="D5704" i="7"/>
  <c r="D5705" i="7"/>
  <c r="D5706" i="7"/>
  <c r="D5707" i="7"/>
  <c r="D5708" i="7"/>
  <c r="D5709" i="7"/>
  <c r="D5710" i="7"/>
  <c r="D5711" i="7"/>
  <c r="D5712" i="7"/>
  <c r="D5713" i="7"/>
  <c r="D5714" i="7"/>
  <c r="D5715" i="7"/>
  <c r="D5716" i="7"/>
  <c r="D5717" i="7"/>
  <c r="D5718" i="7"/>
  <c r="D5719" i="7"/>
  <c r="D5720" i="7"/>
  <c r="D5721" i="7"/>
  <c r="D5722" i="7"/>
  <c r="D5723" i="7"/>
  <c r="D5724" i="7"/>
  <c r="D5725" i="7"/>
  <c r="D5726" i="7"/>
  <c r="D5727" i="7"/>
  <c r="D5728" i="7"/>
  <c r="D5729" i="7"/>
  <c r="D5730" i="7"/>
  <c r="D5731" i="7"/>
  <c r="D5732" i="7"/>
  <c r="D5733" i="7"/>
  <c r="D5734" i="7"/>
  <c r="D5735" i="7"/>
  <c r="D5736" i="7"/>
  <c r="D5737" i="7"/>
  <c r="D5738" i="7"/>
  <c r="D5739" i="7"/>
  <c r="D5740" i="7"/>
  <c r="D5741" i="7"/>
  <c r="D5742" i="7"/>
  <c r="D5743" i="7"/>
  <c r="D5744" i="7"/>
  <c r="D5745" i="7"/>
  <c r="D5746" i="7"/>
  <c r="D5747" i="7"/>
  <c r="D5748" i="7"/>
  <c r="D5749" i="7"/>
  <c r="D5750" i="7"/>
  <c r="D5751" i="7"/>
  <c r="D5752" i="7"/>
  <c r="D5753" i="7"/>
  <c r="D5754" i="7"/>
  <c r="D5755" i="7"/>
  <c r="D5756" i="7"/>
  <c r="D5757" i="7"/>
  <c r="D5758" i="7"/>
  <c r="D5759" i="7"/>
  <c r="D5760" i="7"/>
  <c r="D5761" i="7"/>
  <c r="D5762" i="7"/>
  <c r="D5763" i="7"/>
  <c r="D5764" i="7"/>
  <c r="D5765" i="7"/>
  <c r="D5766" i="7"/>
  <c r="D5767" i="7"/>
  <c r="D5768" i="7"/>
  <c r="D5769" i="7"/>
  <c r="D5770" i="7"/>
  <c r="D5771" i="7"/>
  <c r="D5772" i="7"/>
  <c r="D5773" i="7"/>
  <c r="D5774" i="7"/>
  <c r="D5775" i="7"/>
  <c r="D5776" i="7"/>
  <c r="D5777" i="7"/>
  <c r="D5778" i="7"/>
  <c r="D5779" i="7"/>
  <c r="D5780" i="7"/>
  <c r="D5781" i="7"/>
  <c r="D5782" i="7"/>
  <c r="D5783" i="7"/>
  <c r="D5784" i="7"/>
  <c r="D5785" i="7"/>
  <c r="D5786" i="7"/>
  <c r="D5787" i="7"/>
  <c r="D5788" i="7"/>
  <c r="D5789" i="7"/>
  <c r="D5790" i="7"/>
  <c r="D5791" i="7"/>
  <c r="D5792" i="7"/>
  <c r="D5793" i="7"/>
  <c r="D5794" i="7"/>
  <c r="D5795" i="7"/>
  <c r="D5796" i="7"/>
  <c r="D5797" i="7"/>
  <c r="D5798" i="7"/>
  <c r="D5799" i="7"/>
  <c r="D5800" i="7"/>
  <c r="D5801" i="7"/>
  <c r="D5802" i="7"/>
  <c r="D5803" i="7"/>
  <c r="D5804" i="7"/>
  <c r="D5805" i="7"/>
  <c r="D5806" i="7"/>
  <c r="D5807" i="7"/>
  <c r="D5808" i="7"/>
  <c r="D5809" i="7"/>
  <c r="D5810" i="7"/>
  <c r="D5811" i="7"/>
  <c r="D5812" i="7"/>
  <c r="D5813" i="7"/>
  <c r="D5814" i="7"/>
  <c r="D5815" i="7"/>
  <c r="D5816" i="7"/>
  <c r="D5817" i="7"/>
  <c r="D5818" i="7"/>
  <c r="D5819" i="7"/>
  <c r="D5820" i="7"/>
  <c r="D5821" i="7"/>
  <c r="D5822" i="7"/>
  <c r="D5823" i="7"/>
  <c r="D5824" i="7"/>
  <c r="D5825" i="7"/>
  <c r="D5826" i="7"/>
  <c r="D5827" i="7"/>
  <c r="D5828" i="7"/>
  <c r="D5829" i="7"/>
  <c r="D5830" i="7"/>
  <c r="D5831" i="7"/>
  <c r="D5832" i="7"/>
  <c r="D5833" i="7"/>
  <c r="D5834" i="7"/>
  <c r="D5835" i="7"/>
  <c r="D5836" i="7"/>
  <c r="D5837" i="7"/>
  <c r="D5838" i="7"/>
  <c r="D5839" i="7"/>
  <c r="D5840" i="7"/>
  <c r="D5841" i="7"/>
  <c r="D5842" i="7"/>
  <c r="D5843" i="7"/>
  <c r="D5844" i="7"/>
  <c r="D5845" i="7"/>
  <c r="D5846" i="7"/>
  <c r="D5847" i="7"/>
  <c r="D5848" i="7"/>
  <c r="D5849" i="7"/>
  <c r="D5850" i="7"/>
  <c r="D5851" i="7"/>
  <c r="D5852" i="7"/>
  <c r="D5853" i="7"/>
  <c r="D5854" i="7"/>
  <c r="D5855" i="7"/>
  <c r="D5856" i="7"/>
  <c r="D5857" i="7"/>
  <c r="D5858" i="7"/>
  <c r="D5859" i="7"/>
  <c r="D5860" i="7"/>
  <c r="D5861" i="7"/>
  <c r="D5862" i="7"/>
  <c r="D5863" i="7"/>
  <c r="D5864" i="7"/>
  <c r="D5865" i="7"/>
  <c r="D5866" i="7"/>
  <c r="D5867" i="7"/>
  <c r="D5868" i="7"/>
  <c r="D5869" i="7"/>
  <c r="D5870" i="7"/>
  <c r="D5871" i="7"/>
  <c r="D5872" i="7"/>
  <c r="D5873" i="7"/>
  <c r="D5874" i="7"/>
  <c r="D5875" i="7"/>
  <c r="D5876" i="7"/>
  <c r="D5877" i="7"/>
  <c r="D5878" i="7"/>
  <c r="D5879" i="7"/>
  <c r="D5880" i="7"/>
  <c r="D5881" i="7"/>
  <c r="D5882" i="7"/>
  <c r="D5883" i="7"/>
  <c r="D5884" i="7"/>
  <c r="D5885" i="7"/>
  <c r="D5886" i="7"/>
  <c r="D5887" i="7"/>
  <c r="D5888" i="7"/>
  <c r="D5889" i="7"/>
  <c r="D5890" i="7"/>
  <c r="D5891" i="7"/>
  <c r="D5892" i="7"/>
  <c r="D5893" i="7"/>
  <c r="D5894" i="7"/>
  <c r="D5895" i="7"/>
  <c r="D5896" i="7"/>
  <c r="D5897" i="7"/>
  <c r="D5898" i="7"/>
  <c r="D5899" i="7"/>
  <c r="D5900" i="7"/>
  <c r="D5901" i="7"/>
  <c r="D5902" i="7"/>
  <c r="D5903" i="7"/>
  <c r="D5904" i="7"/>
  <c r="D5905" i="7"/>
  <c r="D5906" i="7"/>
  <c r="D5907" i="7"/>
  <c r="D5908" i="7"/>
  <c r="D5909" i="7"/>
  <c r="D5910" i="7"/>
  <c r="D5911" i="7"/>
  <c r="D5912" i="7"/>
  <c r="D5913" i="7"/>
  <c r="D5914" i="7"/>
  <c r="D5915" i="7"/>
  <c r="D5916" i="7"/>
  <c r="D5917" i="7"/>
  <c r="D5918" i="7"/>
  <c r="D5919" i="7"/>
  <c r="D5920" i="7"/>
  <c r="D5921" i="7"/>
  <c r="D5922" i="7"/>
  <c r="D5923" i="7"/>
  <c r="D5924" i="7"/>
  <c r="D5925" i="7"/>
  <c r="D5926" i="7"/>
  <c r="D5927" i="7"/>
  <c r="D5928" i="7"/>
  <c r="D5929" i="7"/>
  <c r="D5930" i="7"/>
  <c r="D5931" i="7"/>
  <c r="D5932" i="7"/>
  <c r="D5933" i="7"/>
  <c r="D5934" i="7"/>
  <c r="D5935" i="7"/>
  <c r="D5936" i="7"/>
  <c r="D5937" i="7"/>
  <c r="D5938" i="7"/>
  <c r="D5939" i="7"/>
  <c r="D5940" i="7"/>
  <c r="D5941" i="7"/>
  <c r="D5942" i="7"/>
  <c r="D5943" i="7"/>
  <c r="D5944" i="7"/>
  <c r="D5945" i="7"/>
  <c r="D5946" i="7"/>
  <c r="D5947" i="7"/>
  <c r="D5948" i="7"/>
  <c r="D5949" i="7"/>
  <c r="D5950" i="7"/>
  <c r="D5951" i="7"/>
  <c r="D5952" i="7"/>
  <c r="D5953" i="7"/>
  <c r="D5954" i="7"/>
  <c r="D5955" i="7"/>
  <c r="D5956" i="7"/>
  <c r="D5957" i="7"/>
  <c r="D5958" i="7"/>
  <c r="D5959" i="7"/>
  <c r="D5960" i="7"/>
  <c r="D5961" i="7"/>
  <c r="D5962" i="7"/>
  <c r="D5963" i="7"/>
  <c r="D5964" i="7"/>
  <c r="D5965" i="7"/>
  <c r="D5966" i="7"/>
  <c r="D5967" i="7"/>
  <c r="D5968" i="7"/>
  <c r="D5969" i="7"/>
  <c r="D5970" i="7"/>
  <c r="D5971" i="7"/>
  <c r="D5972" i="7"/>
  <c r="D5973" i="7"/>
  <c r="D5974" i="7"/>
  <c r="D5975" i="7"/>
  <c r="D5976" i="7"/>
  <c r="D5977" i="7"/>
  <c r="D5978" i="7"/>
  <c r="D5979" i="7"/>
  <c r="D5980" i="7"/>
  <c r="D5981" i="7"/>
  <c r="D5982" i="7"/>
  <c r="D5983" i="7"/>
  <c r="D5984" i="7"/>
  <c r="D5985" i="7"/>
  <c r="D5986" i="7"/>
  <c r="D5987" i="7"/>
  <c r="D5988" i="7"/>
  <c r="D5989" i="7"/>
  <c r="D5990" i="7"/>
  <c r="D5991" i="7"/>
  <c r="D5992" i="7"/>
  <c r="D5993" i="7"/>
  <c r="D5994" i="7"/>
  <c r="D5995" i="7"/>
  <c r="D5996" i="7"/>
  <c r="D5997" i="7"/>
  <c r="D5998" i="7"/>
  <c r="D5999" i="7"/>
  <c r="D6000" i="7"/>
  <c r="D6001" i="7"/>
  <c r="D6002" i="7"/>
  <c r="D6003" i="7"/>
  <c r="D6004" i="7"/>
  <c r="D6005" i="7"/>
  <c r="D6006" i="7"/>
  <c r="D6007" i="7"/>
  <c r="D6008" i="7"/>
  <c r="D6009" i="7"/>
  <c r="D6010" i="7"/>
  <c r="D6011" i="7"/>
  <c r="D6012" i="7"/>
  <c r="D6013" i="7"/>
  <c r="D6014" i="7"/>
  <c r="D6015" i="7"/>
  <c r="D6016" i="7"/>
  <c r="D6017" i="7"/>
  <c r="D6018" i="7"/>
  <c r="D6019" i="7"/>
  <c r="D6020" i="7"/>
  <c r="D6021" i="7"/>
  <c r="D6022" i="7"/>
  <c r="D6023" i="7"/>
  <c r="D6024" i="7"/>
  <c r="D6025" i="7"/>
  <c r="D6026" i="7"/>
  <c r="D6027" i="7"/>
  <c r="D6028" i="7"/>
  <c r="D6029" i="7"/>
  <c r="D6030" i="7"/>
  <c r="D6031" i="7"/>
  <c r="D6032" i="7"/>
  <c r="D6033" i="7"/>
  <c r="D6034" i="7"/>
  <c r="D6035" i="7"/>
  <c r="D6036" i="7"/>
  <c r="D6037" i="7"/>
  <c r="D6038" i="7"/>
  <c r="D6039" i="7"/>
  <c r="D6040" i="7"/>
  <c r="D6041" i="7"/>
  <c r="D6042" i="7"/>
  <c r="D6043" i="7"/>
  <c r="D6044" i="7"/>
  <c r="D6045" i="7"/>
  <c r="D6046" i="7"/>
  <c r="D6047" i="7"/>
  <c r="D6048" i="7"/>
  <c r="D6049" i="7"/>
  <c r="D6050" i="7"/>
  <c r="D6051" i="7"/>
  <c r="D6052" i="7"/>
  <c r="D6053" i="7"/>
  <c r="D6054" i="7"/>
  <c r="D6055" i="7"/>
  <c r="D6056" i="7"/>
  <c r="D6057" i="7"/>
  <c r="D6058" i="7"/>
  <c r="D6059" i="7"/>
  <c r="D6060" i="7"/>
  <c r="D6061" i="7"/>
  <c r="D6062" i="7"/>
  <c r="D6063" i="7"/>
  <c r="D6064" i="7"/>
  <c r="D6065" i="7"/>
  <c r="D6066" i="7"/>
  <c r="D6067" i="7"/>
  <c r="D6068" i="7"/>
  <c r="D6069" i="7"/>
  <c r="D6070" i="7"/>
  <c r="D6071" i="7"/>
  <c r="D6072" i="7"/>
  <c r="D6073" i="7"/>
  <c r="D6074" i="7"/>
  <c r="D6075" i="7"/>
  <c r="D6076" i="7"/>
  <c r="D6077" i="7"/>
  <c r="D6078" i="7"/>
  <c r="D6079" i="7"/>
  <c r="D6080" i="7"/>
  <c r="D6081" i="7"/>
  <c r="D6082" i="7"/>
  <c r="D6083" i="7"/>
  <c r="D6084" i="7"/>
  <c r="D6085" i="7"/>
  <c r="D6086" i="7"/>
  <c r="D6087" i="7"/>
  <c r="D6088" i="7"/>
  <c r="D6089" i="7"/>
  <c r="D6090" i="7"/>
  <c r="D6091" i="7"/>
  <c r="D6092" i="7"/>
  <c r="D6093" i="7"/>
  <c r="D6094" i="7"/>
  <c r="D6095" i="7"/>
  <c r="D6096" i="7"/>
  <c r="D6097" i="7"/>
  <c r="D6098" i="7"/>
  <c r="D6099" i="7"/>
  <c r="D6100" i="7"/>
  <c r="D6101" i="7"/>
  <c r="D6102" i="7"/>
  <c r="D6103" i="7"/>
  <c r="D6104" i="7"/>
  <c r="D6105" i="7"/>
  <c r="D6106" i="7"/>
  <c r="D6107" i="7"/>
  <c r="D6108" i="7"/>
  <c r="D6109" i="7"/>
  <c r="D6110" i="7"/>
  <c r="D6111" i="7"/>
  <c r="D6112" i="7"/>
  <c r="D6113" i="7"/>
  <c r="D6114" i="7"/>
  <c r="D6115" i="7"/>
  <c r="D6116" i="7"/>
  <c r="D6117" i="7"/>
  <c r="D6118" i="7"/>
  <c r="D6119" i="7"/>
  <c r="D6120" i="7"/>
  <c r="D6121" i="7"/>
  <c r="D6122" i="7"/>
  <c r="D6123" i="7"/>
  <c r="D6124" i="7"/>
  <c r="D6125" i="7"/>
  <c r="D6126" i="7"/>
  <c r="D6127" i="7"/>
  <c r="D6128" i="7"/>
  <c r="D6129" i="7"/>
  <c r="D6130" i="7"/>
  <c r="D6131" i="7"/>
  <c r="D6132" i="7"/>
  <c r="D6133" i="7"/>
  <c r="D6134" i="7"/>
  <c r="D6135" i="7"/>
  <c r="D6136" i="7"/>
  <c r="D6137" i="7"/>
  <c r="D6138" i="7"/>
  <c r="D6139" i="7"/>
  <c r="D6140" i="7"/>
  <c r="D6141" i="7"/>
  <c r="D6142" i="7"/>
  <c r="D6143" i="7"/>
  <c r="D6144" i="7"/>
  <c r="D6145" i="7"/>
  <c r="D6146" i="7"/>
  <c r="D6147" i="7"/>
  <c r="D6148" i="7"/>
  <c r="D6149" i="7"/>
  <c r="D6150" i="7"/>
  <c r="D6151" i="7"/>
  <c r="D6152" i="7"/>
  <c r="D6153" i="7"/>
  <c r="D6154" i="7"/>
  <c r="D6155" i="7"/>
  <c r="D6156" i="7"/>
  <c r="D6157" i="7"/>
  <c r="D6158" i="7"/>
  <c r="D6159" i="7"/>
  <c r="D6160" i="7"/>
  <c r="D6161" i="7"/>
  <c r="D6162" i="7"/>
  <c r="D6163" i="7"/>
  <c r="D6164" i="7"/>
  <c r="D6165" i="7"/>
  <c r="D6166" i="7"/>
  <c r="D6167" i="7"/>
  <c r="D6168" i="7"/>
  <c r="D6169" i="7"/>
  <c r="D6170" i="7"/>
  <c r="D6171" i="7"/>
  <c r="D6172" i="7"/>
  <c r="D6173" i="7"/>
  <c r="D6174" i="7"/>
  <c r="D6175" i="7"/>
  <c r="D6176" i="7"/>
  <c r="D6177" i="7"/>
  <c r="D6178" i="7"/>
  <c r="D6179" i="7"/>
  <c r="D6180" i="7"/>
  <c r="D6181" i="7"/>
  <c r="D6182" i="7"/>
  <c r="D6183" i="7"/>
  <c r="D6184" i="7"/>
  <c r="D6185" i="7"/>
  <c r="D6186" i="7"/>
  <c r="D6187" i="7"/>
  <c r="D6188" i="7"/>
  <c r="D6189" i="7"/>
  <c r="D6190" i="7"/>
  <c r="D6191" i="7"/>
  <c r="D6192" i="7"/>
  <c r="D6193" i="7"/>
  <c r="D6194" i="7"/>
  <c r="D6195" i="7"/>
  <c r="D6196" i="7"/>
  <c r="D6197" i="7"/>
  <c r="D6198" i="7"/>
  <c r="D6199" i="7"/>
  <c r="D6200" i="7"/>
  <c r="D6201" i="7"/>
  <c r="D6202" i="7"/>
  <c r="D6203" i="7"/>
  <c r="D6204" i="7"/>
  <c r="D6205" i="7"/>
  <c r="D6206" i="7"/>
  <c r="D6207" i="7"/>
  <c r="D6208" i="7"/>
  <c r="D6209" i="7"/>
  <c r="D6210" i="7"/>
  <c r="D6211" i="7"/>
  <c r="D6212" i="7"/>
  <c r="D6213" i="7"/>
  <c r="D6214" i="7"/>
  <c r="D6215" i="7"/>
  <c r="D6216" i="7"/>
  <c r="D6217" i="7"/>
  <c r="D6218" i="7"/>
  <c r="D6219" i="7"/>
  <c r="D6220" i="7"/>
  <c r="D6221" i="7"/>
  <c r="D6222" i="7"/>
  <c r="D6223" i="7"/>
  <c r="D6224" i="7"/>
  <c r="D6225" i="7"/>
  <c r="D6226" i="7"/>
  <c r="D6227" i="7"/>
  <c r="D6228" i="7"/>
  <c r="D6229" i="7"/>
  <c r="D6230" i="7"/>
  <c r="D6231" i="7"/>
  <c r="D6232" i="7"/>
  <c r="D6233" i="7"/>
  <c r="D6234" i="7"/>
  <c r="D6235" i="7"/>
  <c r="D6236" i="7"/>
  <c r="D6237" i="7"/>
  <c r="D6238" i="7"/>
  <c r="D6239" i="7"/>
  <c r="D6240" i="7"/>
  <c r="D6241" i="7"/>
  <c r="D6242" i="7"/>
  <c r="D6243" i="7"/>
  <c r="D6244" i="7"/>
  <c r="D6245" i="7"/>
  <c r="D6246" i="7"/>
  <c r="D6247" i="7"/>
  <c r="D6248" i="7"/>
  <c r="D6249" i="7"/>
  <c r="D6250" i="7"/>
  <c r="D6251" i="7"/>
  <c r="D6252" i="7"/>
  <c r="D6253" i="7"/>
  <c r="D6254" i="7"/>
  <c r="D6255" i="7"/>
  <c r="D6256" i="7"/>
  <c r="D6257" i="7"/>
  <c r="D6258" i="7"/>
  <c r="D6259" i="7"/>
  <c r="D6260" i="7"/>
  <c r="D6261" i="7"/>
  <c r="D6262" i="7"/>
  <c r="D6263" i="7"/>
  <c r="D6264" i="7"/>
  <c r="D6265" i="7"/>
  <c r="D6266" i="7"/>
  <c r="D6267" i="7"/>
  <c r="D6268" i="7"/>
  <c r="D6269" i="7"/>
  <c r="D6270" i="7"/>
  <c r="D6271" i="7"/>
  <c r="D6272" i="7"/>
  <c r="D6273" i="7"/>
  <c r="D6274" i="7"/>
  <c r="D6275" i="7"/>
  <c r="D6276" i="7"/>
  <c r="D6277" i="7"/>
  <c r="D6278" i="7"/>
  <c r="D6279" i="7"/>
  <c r="D6280" i="7"/>
  <c r="D6281" i="7"/>
  <c r="D6282" i="7"/>
  <c r="D6283" i="7"/>
  <c r="D6284" i="7"/>
  <c r="D6285" i="7"/>
  <c r="D6286" i="7"/>
  <c r="D6287" i="7"/>
  <c r="D6288" i="7"/>
  <c r="D6289" i="7"/>
  <c r="D6290" i="7"/>
  <c r="D6291" i="7"/>
  <c r="D6292" i="7"/>
  <c r="D6293" i="7"/>
  <c r="D6294" i="7"/>
  <c r="D6295" i="7"/>
  <c r="D6296" i="7"/>
  <c r="D6297" i="7"/>
  <c r="D6298" i="7"/>
  <c r="D6299" i="7"/>
  <c r="D6300" i="7"/>
  <c r="D6301" i="7"/>
  <c r="D6302" i="7"/>
  <c r="D6303" i="7"/>
  <c r="D6304" i="7"/>
  <c r="D6305" i="7"/>
  <c r="D6306" i="7"/>
  <c r="D6307" i="7"/>
  <c r="D6308" i="7"/>
  <c r="D6309" i="7"/>
  <c r="D6310" i="7"/>
  <c r="D6311" i="7"/>
  <c r="D6312" i="7"/>
  <c r="D6313" i="7"/>
  <c r="D6314" i="7"/>
  <c r="D6315" i="7"/>
  <c r="D6316" i="7"/>
  <c r="D6317" i="7"/>
  <c r="D6318" i="7"/>
  <c r="D6319" i="7"/>
  <c r="D6320" i="7"/>
  <c r="D6321" i="7"/>
  <c r="D6322" i="7"/>
  <c r="D6323" i="7"/>
  <c r="D6324" i="7"/>
  <c r="D6325" i="7"/>
  <c r="D6326" i="7"/>
  <c r="D6327" i="7"/>
  <c r="D6328" i="7"/>
  <c r="D6329" i="7"/>
  <c r="D6330" i="7"/>
  <c r="D6331" i="7"/>
  <c r="D6332" i="7"/>
  <c r="D6333" i="7"/>
  <c r="D6334" i="7"/>
  <c r="D6335" i="7"/>
  <c r="D6336" i="7"/>
  <c r="D6337" i="7"/>
  <c r="D6338" i="7"/>
  <c r="D6339" i="7"/>
  <c r="D6340" i="7"/>
  <c r="D6341" i="7"/>
  <c r="D6342" i="7"/>
  <c r="D6343" i="7"/>
  <c r="D6344" i="7"/>
  <c r="D6345" i="7"/>
  <c r="D6346" i="7"/>
  <c r="D6347" i="7"/>
  <c r="D6348" i="7"/>
  <c r="D6349" i="7"/>
  <c r="D6350" i="7"/>
  <c r="D6351" i="7"/>
  <c r="D6352" i="7"/>
  <c r="D6353" i="7"/>
  <c r="D6354" i="7"/>
  <c r="D6355" i="7"/>
  <c r="D6356" i="7"/>
  <c r="D6357" i="7"/>
  <c r="D6358" i="7"/>
  <c r="D6359" i="7"/>
  <c r="D6360" i="7"/>
  <c r="D6361" i="7"/>
  <c r="D6362" i="7"/>
  <c r="D6363" i="7"/>
  <c r="D6364" i="7"/>
  <c r="D6365" i="7"/>
  <c r="D6366" i="7"/>
  <c r="D6367" i="7"/>
  <c r="D6368" i="7"/>
  <c r="D6369" i="7"/>
  <c r="D6370" i="7"/>
  <c r="D6371" i="7"/>
  <c r="D6372" i="7"/>
  <c r="D6373" i="7"/>
  <c r="D6374" i="7"/>
  <c r="D6375" i="7"/>
  <c r="D6376" i="7"/>
  <c r="D6377" i="7"/>
  <c r="D6378" i="7"/>
  <c r="D6379" i="7"/>
  <c r="D6380" i="7"/>
  <c r="D6381" i="7"/>
  <c r="D6382" i="7"/>
  <c r="D6383" i="7"/>
  <c r="D6384" i="7"/>
  <c r="D6385" i="7"/>
  <c r="D6386" i="7"/>
  <c r="D6387" i="7"/>
  <c r="D6388" i="7"/>
  <c r="D6389" i="7"/>
  <c r="D6390" i="7"/>
  <c r="D6391" i="7"/>
  <c r="D6392" i="7"/>
  <c r="D6393" i="7"/>
  <c r="D6394" i="7"/>
  <c r="D6395" i="7"/>
  <c r="D6396" i="7"/>
  <c r="D6397" i="7"/>
  <c r="D6398" i="7"/>
  <c r="D6399" i="7"/>
  <c r="D6400" i="7"/>
  <c r="D6401" i="7"/>
  <c r="D6402" i="7"/>
  <c r="D6403" i="7"/>
  <c r="D6404" i="7"/>
  <c r="D6405" i="7"/>
  <c r="D6406" i="7"/>
  <c r="D6407" i="7"/>
  <c r="D6408" i="7"/>
  <c r="D6409" i="7"/>
  <c r="D6410" i="7"/>
  <c r="D6411" i="7"/>
  <c r="D6412" i="7"/>
  <c r="D6413" i="7"/>
  <c r="D6414" i="7"/>
  <c r="D6415" i="7"/>
  <c r="D6416" i="7"/>
  <c r="D6417" i="7"/>
  <c r="D6418" i="7"/>
  <c r="D6419" i="7"/>
  <c r="D6420" i="7"/>
  <c r="D6421" i="7"/>
  <c r="D6422" i="7"/>
  <c r="D6423" i="7"/>
  <c r="D6424" i="7"/>
  <c r="D6425" i="7"/>
  <c r="D6426" i="7"/>
  <c r="D6427" i="7"/>
  <c r="D6428" i="7"/>
  <c r="D6429" i="7"/>
  <c r="D6430" i="7"/>
  <c r="D6431" i="7"/>
  <c r="D6432" i="7"/>
  <c r="D6433" i="7"/>
  <c r="D6434" i="7"/>
  <c r="D6435" i="7"/>
  <c r="D6436" i="7"/>
  <c r="D6437" i="7"/>
  <c r="D6438" i="7"/>
  <c r="D6439" i="7"/>
  <c r="D6440" i="7"/>
  <c r="D6441" i="7"/>
  <c r="D6442" i="7"/>
  <c r="D6443" i="7"/>
  <c r="D6444" i="7"/>
  <c r="D6445" i="7"/>
  <c r="D6446" i="7"/>
  <c r="D6447" i="7"/>
  <c r="D6448" i="7"/>
  <c r="D6449" i="7"/>
  <c r="D6450" i="7"/>
  <c r="D6451" i="7"/>
  <c r="D6452" i="7"/>
  <c r="D6453" i="7"/>
  <c r="D6454" i="7"/>
  <c r="D6455" i="7"/>
  <c r="D6456" i="7"/>
  <c r="D6457" i="7"/>
  <c r="D6458" i="7"/>
  <c r="D6459" i="7"/>
  <c r="D6460" i="7"/>
  <c r="D6461" i="7"/>
  <c r="D6462" i="7"/>
  <c r="D6463" i="7"/>
  <c r="D6464" i="7"/>
  <c r="D6465" i="7"/>
  <c r="D6466" i="7"/>
  <c r="D6467" i="7"/>
  <c r="D6468" i="7"/>
  <c r="D6469" i="7"/>
  <c r="D6470" i="7"/>
  <c r="D6471" i="7"/>
  <c r="D6472" i="7"/>
  <c r="D6473" i="7"/>
  <c r="D6474" i="7"/>
  <c r="D6475" i="7"/>
  <c r="D6476" i="7"/>
  <c r="D6477" i="7"/>
  <c r="D6478" i="7"/>
  <c r="D6479" i="7"/>
  <c r="D6480" i="7"/>
  <c r="D6481" i="7"/>
  <c r="D6482" i="7"/>
  <c r="D6483" i="7"/>
  <c r="D6484" i="7"/>
  <c r="D6485" i="7"/>
  <c r="D6486" i="7"/>
  <c r="D6487" i="7"/>
  <c r="D6488" i="7"/>
  <c r="D6489" i="7"/>
  <c r="D6490" i="7"/>
  <c r="D6491" i="7"/>
  <c r="D6492" i="7"/>
  <c r="D6493" i="7"/>
  <c r="D6494" i="7"/>
  <c r="D6495" i="7"/>
  <c r="D6496" i="7"/>
  <c r="D6497" i="7"/>
  <c r="D6498" i="7"/>
  <c r="D6499" i="7"/>
  <c r="D6500" i="7"/>
  <c r="D6501" i="7"/>
  <c r="D6502" i="7"/>
  <c r="D6503" i="7"/>
  <c r="D6504" i="7"/>
  <c r="D6505" i="7"/>
  <c r="D6506" i="7"/>
  <c r="D6507" i="7"/>
  <c r="D6508" i="7"/>
  <c r="D6509" i="7"/>
  <c r="D6510" i="7"/>
  <c r="D6511" i="7"/>
  <c r="D6512" i="7"/>
  <c r="D6513" i="7"/>
  <c r="D6514" i="7"/>
  <c r="D6515" i="7"/>
  <c r="D6516" i="7"/>
  <c r="D6517" i="7"/>
  <c r="D6518" i="7"/>
  <c r="D6519" i="7"/>
  <c r="D6520" i="7"/>
  <c r="D6521" i="7"/>
  <c r="D6522" i="7"/>
  <c r="D6523" i="7"/>
  <c r="D6524" i="7"/>
  <c r="D6525" i="7"/>
  <c r="D6526" i="7"/>
  <c r="D6527" i="7"/>
  <c r="D6528" i="7"/>
  <c r="D6529" i="7"/>
  <c r="D6530" i="7"/>
  <c r="D6531" i="7"/>
  <c r="D6532" i="7"/>
  <c r="D6533" i="7"/>
  <c r="D6534" i="7"/>
  <c r="D6535" i="7"/>
  <c r="D6536" i="7"/>
  <c r="D6537" i="7"/>
  <c r="D6538" i="7"/>
  <c r="D6539" i="7"/>
  <c r="D6540" i="7"/>
  <c r="D6541" i="7"/>
  <c r="D6542" i="7"/>
  <c r="D6543" i="7"/>
  <c r="D6544" i="7"/>
  <c r="D6545" i="7"/>
  <c r="D6546" i="7"/>
  <c r="D6547" i="7"/>
  <c r="D6548" i="7"/>
  <c r="D6549" i="7"/>
  <c r="D6550" i="7"/>
  <c r="D6551" i="7"/>
  <c r="D6552" i="7"/>
  <c r="D6553" i="7"/>
  <c r="D6554" i="7"/>
  <c r="D6555" i="7"/>
  <c r="D6556" i="7"/>
  <c r="D6557" i="7"/>
  <c r="D6558" i="7"/>
  <c r="D6559" i="7"/>
  <c r="D6560" i="7"/>
  <c r="D6561" i="7"/>
  <c r="D6562" i="7"/>
  <c r="D6563" i="7"/>
  <c r="D6564" i="7"/>
  <c r="D6565" i="7"/>
  <c r="D6566" i="7"/>
  <c r="D6567" i="7"/>
  <c r="D6568" i="7"/>
  <c r="D6569" i="7"/>
  <c r="D6570" i="7"/>
  <c r="D6571" i="7"/>
  <c r="D6572" i="7"/>
  <c r="D6573" i="7"/>
  <c r="D6574" i="7"/>
  <c r="D6575" i="7"/>
  <c r="D6576" i="7"/>
  <c r="D6577" i="7"/>
  <c r="D6578" i="7"/>
  <c r="D6579" i="7"/>
  <c r="D6580" i="7"/>
  <c r="D6581" i="7"/>
  <c r="D6582" i="7"/>
  <c r="D6583" i="7"/>
  <c r="D6584" i="7"/>
  <c r="D6585" i="7"/>
  <c r="D6586" i="7"/>
  <c r="D6587" i="7"/>
  <c r="D6588" i="7"/>
  <c r="D6589" i="7"/>
  <c r="D6590" i="7"/>
  <c r="D6591" i="7"/>
  <c r="D6592" i="7"/>
  <c r="D6593" i="7"/>
  <c r="D6594" i="7"/>
  <c r="D6595" i="7"/>
  <c r="D6596" i="7"/>
  <c r="D6597" i="7"/>
  <c r="D6598" i="7"/>
  <c r="D6599" i="7"/>
  <c r="D6600" i="7"/>
  <c r="D6601" i="7"/>
  <c r="D6602" i="7"/>
  <c r="D6603" i="7"/>
  <c r="D6604" i="7"/>
  <c r="D6605" i="7"/>
  <c r="D6606" i="7"/>
  <c r="D6607" i="7"/>
  <c r="D6608" i="7"/>
  <c r="D6609" i="7"/>
  <c r="D6610" i="7"/>
  <c r="D6611" i="7"/>
  <c r="D6612" i="7"/>
  <c r="D6613" i="7"/>
  <c r="D6614" i="7"/>
  <c r="D6615" i="7"/>
  <c r="D6616" i="7"/>
  <c r="D6617" i="7"/>
  <c r="D6618" i="7"/>
  <c r="D6619" i="7"/>
  <c r="D6620" i="7"/>
  <c r="D6621" i="7"/>
  <c r="D6622" i="7"/>
  <c r="D6623" i="7"/>
  <c r="D6624" i="7"/>
  <c r="D6625" i="7"/>
  <c r="D6626" i="7"/>
  <c r="D6627" i="7"/>
  <c r="D6628" i="7"/>
  <c r="D6629" i="7"/>
  <c r="D6630" i="7"/>
  <c r="D6631" i="7"/>
  <c r="D6632" i="7"/>
  <c r="D6633" i="7"/>
  <c r="D6634" i="7"/>
  <c r="D6635" i="7"/>
  <c r="D6636" i="7"/>
  <c r="D6637" i="7"/>
  <c r="D6638" i="7"/>
  <c r="D6639" i="7"/>
  <c r="D6640" i="7"/>
  <c r="D6641" i="7"/>
  <c r="D6642" i="7"/>
  <c r="D6643" i="7"/>
  <c r="D6644" i="7"/>
  <c r="D6645" i="7"/>
  <c r="D6646" i="7"/>
  <c r="D6647" i="7"/>
  <c r="D6648" i="7"/>
  <c r="D6649" i="7"/>
  <c r="D6650" i="7"/>
  <c r="D6651" i="7"/>
  <c r="D6652" i="7"/>
  <c r="D6653" i="7"/>
  <c r="D6654" i="7"/>
  <c r="D6655" i="7"/>
  <c r="D6656" i="7"/>
  <c r="D6657" i="7"/>
  <c r="D6658" i="7"/>
  <c r="D6659" i="7"/>
  <c r="D6660" i="7"/>
  <c r="D6661" i="7"/>
  <c r="D6662" i="7"/>
  <c r="D6663" i="7"/>
  <c r="D6664" i="7"/>
  <c r="D6665" i="7"/>
  <c r="D6666" i="7"/>
  <c r="D6667" i="7"/>
  <c r="D6668" i="7"/>
  <c r="D6669" i="7"/>
  <c r="D6670" i="7"/>
  <c r="D6671" i="7"/>
  <c r="D6672" i="7"/>
  <c r="D6673" i="7"/>
  <c r="D6674" i="7"/>
  <c r="D6675" i="7"/>
  <c r="D6676" i="7"/>
  <c r="D6677" i="7"/>
  <c r="D6678" i="7"/>
  <c r="D6679" i="7"/>
  <c r="D6680" i="7"/>
  <c r="D6681" i="7"/>
  <c r="D6682" i="7"/>
  <c r="D6683" i="7"/>
  <c r="D6684" i="7"/>
  <c r="D6685" i="7"/>
  <c r="D6686" i="7"/>
  <c r="D6687" i="7"/>
  <c r="D6688" i="7"/>
  <c r="D6689" i="7"/>
  <c r="D6690" i="7"/>
  <c r="D6691" i="7"/>
  <c r="D6692" i="7"/>
  <c r="D6693" i="7"/>
  <c r="D6694" i="7"/>
  <c r="D6695" i="7"/>
  <c r="D6696" i="7"/>
  <c r="D6697" i="7"/>
  <c r="D6698" i="7"/>
  <c r="D6699" i="7"/>
  <c r="D6700" i="7"/>
  <c r="D6701" i="7"/>
  <c r="D6702" i="7"/>
  <c r="D6703" i="7"/>
  <c r="D6704" i="7"/>
  <c r="D6705" i="7"/>
  <c r="D6706" i="7"/>
  <c r="D6707" i="7"/>
  <c r="D6708" i="7"/>
  <c r="D6709" i="7"/>
  <c r="D6710" i="7"/>
  <c r="D6711" i="7"/>
  <c r="D6712" i="7"/>
  <c r="D6713" i="7"/>
  <c r="D6714" i="7"/>
  <c r="D6715" i="7"/>
  <c r="D6716" i="7"/>
  <c r="D6717" i="7"/>
  <c r="D6718" i="7"/>
  <c r="D6719" i="7"/>
  <c r="D6720" i="7"/>
  <c r="D6721" i="7"/>
  <c r="D6722" i="7"/>
  <c r="D6723" i="7"/>
  <c r="D6724" i="7"/>
  <c r="D6725" i="7"/>
  <c r="D6726" i="7"/>
  <c r="D6727" i="7"/>
  <c r="D6728" i="7"/>
  <c r="D6729" i="7"/>
  <c r="D6730" i="7"/>
  <c r="D6731" i="7"/>
  <c r="D6732" i="7"/>
  <c r="D6733" i="7"/>
  <c r="D6734" i="7"/>
  <c r="D6735" i="7"/>
  <c r="D6736" i="7"/>
  <c r="D6737" i="7"/>
  <c r="D6738" i="7"/>
  <c r="D6739" i="7"/>
  <c r="D6740" i="7"/>
  <c r="D6741" i="7"/>
  <c r="D6742" i="7"/>
  <c r="D6743" i="7"/>
  <c r="D6744" i="7"/>
  <c r="D6745" i="7"/>
  <c r="D6746" i="7"/>
  <c r="D6747" i="7"/>
  <c r="D6748" i="7"/>
  <c r="D6749" i="7"/>
  <c r="D6750" i="7"/>
  <c r="D6751" i="7"/>
  <c r="D6752" i="7"/>
  <c r="D6753" i="7"/>
  <c r="D6754" i="7"/>
  <c r="D6755" i="7"/>
  <c r="D6756" i="7"/>
  <c r="D6757" i="7"/>
  <c r="D6758" i="7"/>
  <c r="D6759" i="7"/>
  <c r="D6760" i="7"/>
  <c r="D6761" i="7"/>
  <c r="D6762" i="7"/>
  <c r="D6763" i="7"/>
  <c r="D6764" i="7"/>
  <c r="D6765" i="7"/>
  <c r="D6766" i="7"/>
  <c r="D6767" i="7"/>
  <c r="D6768" i="7"/>
  <c r="D6769" i="7"/>
  <c r="D6770" i="7"/>
  <c r="D6771" i="7"/>
  <c r="D6772" i="7"/>
  <c r="D6773" i="7"/>
  <c r="D6774" i="7"/>
  <c r="D6775" i="7"/>
  <c r="D6776" i="7"/>
  <c r="D6777" i="7"/>
  <c r="D6778" i="7"/>
  <c r="D6779" i="7"/>
  <c r="D6780" i="7"/>
  <c r="D6781" i="7"/>
  <c r="D6782" i="7"/>
  <c r="D6783" i="7"/>
  <c r="D6784" i="7"/>
  <c r="D6785" i="7"/>
  <c r="D6786" i="7"/>
  <c r="D6787" i="7"/>
  <c r="D6788" i="7"/>
  <c r="D6789" i="7"/>
  <c r="D6790" i="7"/>
  <c r="D6791" i="7"/>
  <c r="D6792" i="7"/>
  <c r="D6793" i="7"/>
  <c r="D6794" i="7"/>
  <c r="D6795" i="7"/>
  <c r="D6796" i="7"/>
  <c r="D6797" i="7"/>
  <c r="D6798" i="7"/>
  <c r="D6799" i="7"/>
  <c r="D6800" i="7"/>
  <c r="D6801" i="7"/>
  <c r="D6802" i="7"/>
  <c r="D6803" i="7"/>
  <c r="D6804" i="7"/>
  <c r="D6805" i="7"/>
  <c r="D6806" i="7"/>
  <c r="D6807" i="7"/>
  <c r="D6808" i="7"/>
  <c r="D6809" i="7"/>
  <c r="D6810" i="7"/>
  <c r="D6811" i="7"/>
  <c r="D6812" i="7"/>
  <c r="D6813" i="7"/>
  <c r="D6814" i="7"/>
  <c r="D6815" i="7"/>
  <c r="D6816" i="7"/>
  <c r="D6817" i="7"/>
  <c r="D6818" i="7"/>
  <c r="D6819" i="7"/>
  <c r="D6820" i="7"/>
  <c r="D6821" i="7"/>
  <c r="D6822" i="7"/>
  <c r="D6823" i="7"/>
  <c r="D6824" i="7"/>
  <c r="D6825" i="7"/>
  <c r="D6826" i="7"/>
  <c r="D6827" i="7"/>
  <c r="D6828" i="7"/>
  <c r="D6829" i="7"/>
  <c r="D6830" i="7"/>
  <c r="D6831" i="7"/>
  <c r="D6832" i="7"/>
  <c r="D6833" i="7"/>
  <c r="D6834" i="7"/>
  <c r="D6835" i="7"/>
  <c r="D6836" i="7"/>
  <c r="D6837" i="7"/>
  <c r="D6838" i="7"/>
  <c r="D6839" i="7"/>
  <c r="D6840" i="7"/>
  <c r="D6841" i="7"/>
  <c r="D6842" i="7"/>
  <c r="D6843" i="7"/>
  <c r="D6844" i="7"/>
  <c r="D6845" i="7"/>
  <c r="D6846" i="7"/>
  <c r="D6847" i="7"/>
  <c r="D6848" i="7"/>
  <c r="D6849" i="7"/>
  <c r="D6850" i="7"/>
  <c r="D6851" i="7"/>
  <c r="D6852" i="7"/>
  <c r="D6853" i="7"/>
  <c r="D6854" i="7"/>
  <c r="D6855" i="7"/>
  <c r="D6856" i="7"/>
  <c r="D6857" i="7"/>
  <c r="D6858" i="7"/>
  <c r="D6859" i="7"/>
  <c r="D6860" i="7"/>
  <c r="D6861" i="7"/>
  <c r="D6862" i="7"/>
  <c r="D6863" i="7"/>
  <c r="D6864" i="7"/>
  <c r="D6865" i="7"/>
  <c r="D6866" i="7"/>
  <c r="D6867" i="7"/>
  <c r="D6868" i="7"/>
  <c r="D6869" i="7"/>
  <c r="D6870" i="7"/>
  <c r="D6871" i="7"/>
  <c r="D6872" i="7"/>
  <c r="D6873" i="7"/>
  <c r="D6874" i="7"/>
  <c r="D6875" i="7"/>
  <c r="D6876" i="7"/>
  <c r="D6877" i="7"/>
  <c r="D6878" i="7"/>
  <c r="D6879" i="7"/>
  <c r="D6880" i="7"/>
  <c r="D6881" i="7"/>
  <c r="D6882" i="7"/>
  <c r="D6883" i="7"/>
  <c r="D6884" i="7"/>
  <c r="D6885" i="7"/>
  <c r="D6886" i="7"/>
  <c r="D6887" i="7"/>
  <c r="D6888" i="7"/>
  <c r="D6889" i="7"/>
  <c r="D6890" i="7"/>
  <c r="D6891" i="7"/>
  <c r="D6892" i="7"/>
  <c r="D6893" i="7"/>
  <c r="D6894" i="7"/>
  <c r="D6895" i="7"/>
  <c r="D6896" i="7"/>
  <c r="D6897" i="7"/>
  <c r="D6898" i="7"/>
  <c r="D6899" i="7"/>
  <c r="D6900" i="7"/>
  <c r="D6901" i="7"/>
  <c r="D6902" i="7"/>
  <c r="D6903" i="7"/>
  <c r="D6904" i="7"/>
  <c r="D6905" i="7"/>
  <c r="D6906" i="7"/>
  <c r="D6907" i="7"/>
  <c r="D6908" i="7"/>
  <c r="D6909" i="7"/>
  <c r="D6910" i="7"/>
  <c r="D6911" i="7"/>
  <c r="D6912" i="7"/>
  <c r="D6913" i="7"/>
  <c r="D6914" i="7"/>
  <c r="D6915" i="7"/>
  <c r="D6916" i="7"/>
  <c r="D6917" i="7"/>
  <c r="D6918" i="7"/>
  <c r="D6919" i="7"/>
  <c r="D6920" i="7"/>
  <c r="D6921" i="7"/>
  <c r="D6922" i="7"/>
  <c r="D6923" i="7"/>
  <c r="D6924" i="7"/>
  <c r="D6925" i="7"/>
  <c r="D6926" i="7"/>
  <c r="D6927" i="7"/>
  <c r="D6928" i="7"/>
  <c r="D6929" i="7"/>
  <c r="D6930" i="7"/>
  <c r="D6931" i="7"/>
  <c r="D6932" i="7"/>
  <c r="D6933" i="7"/>
  <c r="D6934" i="7"/>
  <c r="D6935" i="7"/>
  <c r="D6936" i="7"/>
  <c r="D6937" i="7"/>
  <c r="D6938" i="7"/>
  <c r="D6939" i="7"/>
  <c r="D6940" i="7"/>
  <c r="D6941" i="7"/>
  <c r="D6942" i="7"/>
  <c r="D6943" i="7"/>
  <c r="D6944" i="7"/>
  <c r="D6945" i="7"/>
  <c r="D6946" i="7"/>
  <c r="D6947" i="7"/>
  <c r="D6948" i="7"/>
  <c r="D6949" i="7"/>
  <c r="D6950" i="7"/>
  <c r="D6951" i="7"/>
  <c r="D6952" i="7"/>
  <c r="D6953" i="7"/>
  <c r="D6954" i="7"/>
  <c r="D6955" i="7"/>
  <c r="D6956" i="7"/>
  <c r="D6957" i="7"/>
  <c r="D6958" i="7"/>
  <c r="D6959" i="7"/>
  <c r="D6960" i="7"/>
  <c r="D6961" i="7"/>
  <c r="D6962" i="7"/>
  <c r="D6963" i="7"/>
  <c r="D6964" i="7"/>
  <c r="D6965" i="7"/>
  <c r="D6966" i="7"/>
  <c r="D6967" i="7"/>
  <c r="D6968" i="7"/>
  <c r="D6969" i="7"/>
  <c r="D6970" i="7"/>
  <c r="D6971" i="7"/>
  <c r="D6972" i="7"/>
  <c r="D6973" i="7"/>
  <c r="D6974" i="7"/>
  <c r="D6975" i="7"/>
  <c r="D6976" i="7"/>
  <c r="D6977" i="7"/>
  <c r="D6978" i="7"/>
  <c r="D6979" i="7"/>
  <c r="D6980" i="7"/>
  <c r="D6981" i="7"/>
  <c r="D6982" i="7"/>
  <c r="D6983" i="7"/>
  <c r="D6984" i="7"/>
  <c r="D6985" i="7"/>
  <c r="D6986" i="7"/>
  <c r="D6987" i="7"/>
  <c r="D6988" i="7"/>
  <c r="D6989" i="7"/>
  <c r="D6990" i="7"/>
  <c r="D6991" i="7"/>
  <c r="D6992" i="7"/>
  <c r="D6993" i="7"/>
  <c r="D6994" i="7"/>
  <c r="D6995" i="7"/>
  <c r="D6996" i="7"/>
  <c r="D6997" i="7"/>
  <c r="D6998" i="7"/>
  <c r="D6999" i="7"/>
  <c r="D7000" i="7"/>
  <c r="D7001" i="7"/>
  <c r="D7002" i="7"/>
  <c r="D7003" i="7"/>
  <c r="D7004" i="7"/>
  <c r="D7005" i="7"/>
  <c r="D7006" i="7"/>
  <c r="D7007" i="7"/>
  <c r="D7008" i="7"/>
  <c r="D7009" i="7"/>
  <c r="D7010" i="7"/>
  <c r="D7011" i="7"/>
  <c r="D7012" i="7"/>
  <c r="D7013" i="7"/>
  <c r="D7014" i="7"/>
  <c r="D7015" i="7"/>
  <c r="D7016" i="7"/>
  <c r="D7017" i="7"/>
  <c r="D7018" i="7"/>
  <c r="D7019" i="7"/>
  <c r="D7020" i="7"/>
  <c r="D7021" i="7"/>
  <c r="D7022" i="7"/>
  <c r="D7023" i="7"/>
  <c r="D7024" i="7"/>
  <c r="D7025" i="7"/>
  <c r="D7026" i="7"/>
  <c r="D7027" i="7"/>
  <c r="D7028" i="7"/>
  <c r="D7029" i="7"/>
  <c r="D7030" i="7"/>
  <c r="D7031" i="7"/>
  <c r="D7032" i="7"/>
  <c r="D7033" i="7"/>
  <c r="D7034" i="7"/>
  <c r="D7035" i="7"/>
  <c r="D7036" i="7"/>
  <c r="D7037" i="7"/>
  <c r="D7038" i="7"/>
  <c r="D7039" i="7"/>
  <c r="D7040" i="7"/>
  <c r="D7041" i="7"/>
  <c r="D7042" i="7"/>
  <c r="D7043" i="7"/>
  <c r="D7044" i="7"/>
  <c r="D7045" i="7"/>
  <c r="D7046" i="7"/>
  <c r="D7047" i="7"/>
  <c r="D7048" i="7"/>
  <c r="D7049" i="7"/>
  <c r="D7050" i="7"/>
  <c r="D7051" i="7"/>
  <c r="D7052" i="7"/>
  <c r="D7053" i="7"/>
  <c r="D7054" i="7"/>
  <c r="D7055" i="7"/>
  <c r="D7056" i="7"/>
  <c r="D7057" i="7"/>
  <c r="D7058" i="7"/>
  <c r="D7059" i="7"/>
  <c r="D7060" i="7"/>
  <c r="D7061" i="7"/>
  <c r="D7062" i="7"/>
  <c r="D7063" i="7"/>
  <c r="D7064" i="7"/>
  <c r="D7065" i="7"/>
  <c r="D7066" i="7"/>
  <c r="D7067" i="7"/>
  <c r="D7068" i="7"/>
  <c r="D7069" i="7"/>
  <c r="D7070" i="7"/>
  <c r="D7071" i="7"/>
  <c r="D7072" i="7"/>
  <c r="D7073" i="7"/>
  <c r="D7074" i="7"/>
  <c r="D7075" i="7"/>
  <c r="D7076" i="7"/>
  <c r="D7077" i="7"/>
  <c r="D7078" i="7"/>
  <c r="D7079" i="7"/>
  <c r="D7080" i="7"/>
  <c r="D7081" i="7"/>
  <c r="D7082" i="7"/>
  <c r="D7083" i="7"/>
  <c r="D7084" i="7"/>
  <c r="D7085" i="7"/>
  <c r="D7086" i="7"/>
  <c r="D7087" i="7"/>
  <c r="D7088" i="7"/>
  <c r="D7089" i="7"/>
  <c r="D7090" i="7"/>
  <c r="D7091" i="7"/>
  <c r="D7092" i="7"/>
  <c r="D7093" i="7"/>
  <c r="D7094" i="7"/>
  <c r="D7095" i="7"/>
  <c r="D7096" i="7"/>
  <c r="D7097" i="7"/>
  <c r="D7098" i="7"/>
  <c r="D7099" i="7"/>
  <c r="D7100" i="7"/>
  <c r="D7101" i="7"/>
  <c r="D7102" i="7"/>
  <c r="D7103" i="7"/>
  <c r="D7104" i="7"/>
  <c r="D7105" i="7"/>
  <c r="D7106" i="7"/>
  <c r="D7107" i="7"/>
  <c r="D7108" i="7"/>
  <c r="D7109" i="7"/>
  <c r="D7110" i="7"/>
  <c r="D7111" i="7"/>
  <c r="D7112" i="7"/>
  <c r="D7113" i="7"/>
  <c r="D7114" i="7"/>
  <c r="D7115" i="7"/>
  <c r="D7116" i="7"/>
  <c r="D7117" i="7"/>
  <c r="D7118" i="7"/>
  <c r="D7119" i="7"/>
  <c r="D7120" i="7"/>
  <c r="D7121" i="7"/>
  <c r="D7122" i="7"/>
  <c r="D7123" i="7"/>
  <c r="D7124" i="7"/>
  <c r="D7125" i="7"/>
  <c r="D7126" i="7"/>
  <c r="D7127" i="7"/>
  <c r="D7128" i="7"/>
  <c r="D7129" i="7"/>
  <c r="D7130" i="7"/>
  <c r="D7131" i="7"/>
  <c r="D7132" i="7"/>
  <c r="D7133" i="7"/>
  <c r="D7134" i="7"/>
  <c r="D7135" i="7"/>
  <c r="D7136" i="7"/>
  <c r="D7137" i="7"/>
  <c r="D7138" i="7"/>
  <c r="D7139" i="7"/>
  <c r="D7140" i="7"/>
  <c r="D7141" i="7"/>
  <c r="D7142" i="7"/>
  <c r="D7143" i="7"/>
  <c r="D7144" i="7"/>
  <c r="D7145" i="7"/>
  <c r="D7146" i="7"/>
  <c r="D7147" i="7"/>
  <c r="D7148" i="7"/>
  <c r="D7149" i="7"/>
  <c r="D7150" i="7"/>
  <c r="D7151" i="7"/>
  <c r="D7152" i="7"/>
  <c r="D7153" i="7"/>
  <c r="D7154" i="7"/>
  <c r="D7155" i="7"/>
  <c r="D7156" i="7"/>
  <c r="D7157" i="7"/>
  <c r="D7158" i="7"/>
  <c r="D7159" i="7"/>
  <c r="D7160" i="7"/>
  <c r="D7161" i="7"/>
  <c r="D7162" i="7"/>
  <c r="D7163" i="7"/>
  <c r="D7164" i="7"/>
  <c r="D7165" i="7"/>
  <c r="D7166" i="7"/>
  <c r="D7167" i="7"/>
  <c r="D7168" i="7"/>
  <c r="D7169" i="7"/>
  <c r="D7170" i="7"/>
  <c r="D7171" i="7"/>
  <c r="D7172" i="7"/>
  <c r="D7173" i="7"/>
  <c r="D7174" i="7"/>
  <c r="D7175" i="7"/>
  <c r="D7176" i="7"/>
  <c r="D7177" i="7"/>
  <c r="D7178" i="7"/>
  <c r="D7179" i="7"/>
  <c r="D7180" i="7"/>
  <c r="D7181" i="7"/>
  <c r="D7182" i="7"/>
  <c r="D7183" i="7"/>
  <c r="D7184" i="7"/>
  <c r="D7185" i="7"/>
  <c r="D7186" i="7"/>
  <c r="D7187" i="7"/>
  <c r="D7188" i="7"/>
  <c r="D7189" i="7"/>
  <c r="D7190" i="7"/>
  <c r="D7191" i="7"/>
  <c r="D7192" i="7"/>
  <c r="D7193" i="7"/>
  <c r="D7194" i="7"/>
  <c r="D7195" i="7"/>
  <c r="D7196" i="7"/>
  <c r="D7197" i="7"/>
  <c r="D7198" i="7"/>
  <c r="D7199" i="7"/>
  <c r="D7200" i="7"/>
  <c r="D7201" i="7"/>
  <c r="D7202" i="7"/>
  <c r="D7203" i="7"/>
  <c r="D7204" i="7"/>
  <c r="D7205" i="7"/>
  <c r="D7206" i="7"/>
  <c r="D7207" i="7"/>
  <c r="D7208" i="7"/>
  <c r="D7209" i="7"/>
  <c r="D7210" i="7"/>
  <c r="D7211" i="7"/>
  <c r="D7212" i="7"/>
  <c r="D7213" i="7"/>
  <c r="D7214" i="7"/>
  <c r="D7215" i="7"/>
  <c r="D7216" i="7"/>
  <c r="D7217" i="7"/>
  <c r="D7218" i="7"/>
  <c r="D7219" i="7"/>
  <c r="D7220" i="7"/>
  <c r="D7221" i="7"/>
  <c r="D7222" i="7"/>
  <c r="D7223" i="7"/>
  <c r="D7224" i="7"/>
  <c r="D7225" i="7"/>
  <c r="D7226" i="7"/>
  <c r="D7227" i="7"/>
  <c r="D7228" i="7"/>
  <c r="D7229" i="7"/>
  <c r="D7230" i="7"/>
  <c r="D7231" i="7"/>
  <c r="D7232" i="7"/>
  <c r="D7233" i="7"/>
  <c r="D7234" i="7"/>
  <c r="D7235" i="7"/>
  <c r="D7236" i="7"/>
  <c r="D7237" i="7"/>
  <c r="D7238" i="7"/>
  <c r="D7239" i="7"/>
  <c r="D7240" i="7"/>
  <c r="D7241" i="7"/>
  <c r="D7242" i="7"/>
  <c r="D7243" i="7"/>
  <c r="D7244" i="7"/>
  <c r="D7245" i="7"/>
  <c r="D7246" i="7"/>
  <c r="D7247" i="7"/>
  <c r="D7248" i="7"/>
  <c r="D7249" i="7"/>
  <c r="D7250" i="7"/>
  <c r="D7251" i="7"/>
  <c r="D7252" i="7"/>
  <c r="D7253" i="7"/>
  <c r="D7254" i="7"/>
  <c r="D7255" i="7"/>
  <c r="D7256" i="7"/>
  <c r="D7257" i="7"/>
  <c r="D7258" i="7"/>
  <c r="D7259" i="7"/>
  <c r="D7260" i="7"/>
  <c r="D7261" i="7"/>
  <c r="D7262" i="7"/>
  <c r="D7263" i="7"/>
  <c r="D7264" i="7"/>
  <c r="D7265" i="7"/>
  <c r="D7266" i="7"/>
  <c r="D7267" i="7"/>
  <c r="D7268" i="7"/>
  <c r="D7269" i="7"/>
  <c r="D7270" i="7"/>
  <c r="D7271" i="7"/>
  <c r="D7272" i="7"/>
  <c r="D7273" i="7"/>
  <c r="D7274" i="7"/>
  <c r="D7275" i="7"/>
  <c r="D7276" i="7"/>
  <c r="D7277" i="7"/>
  <c r="D7278" i="7"/>
  <c r="D7279" i="7"/>
  <c r="D7280" i="7"/>
  <c r="D7281" i="7"/>
  <c r="D7282" i="7"/>
  <c r="D7283" i="7"/>
  <c r="D7284" i="7"/>
  <c r="D7285" i="7"/>
  <c r="D7286" i="7"/>
  <c r="D7287" i="7"/>
  <c r="D7288" i="7"/>
  <c r="D7289" i="7"/>
  <c r="D7290" i="7"/>
  <c r="D7291" i="7"/>
  <c r="D7292" i="7"/>
  <c r="D7293" i="7"/>
  <c r="D7294" i="7"/>
  <c r="D7295" i="7"/>
  <c r="D7296" i="7"/>
  <c r="D7297" i="7"/>
  <c r="D7298" i="7"/>
  <c r="D7299" i="7"/>
  <c r="D7300" i="7"/>
  <c r="D7301" i="7"/>
  <c r="D7302" i="7"/>
  <c r="D7303" i="7"/>
  <c r="D7304" i="7"/>
  <c r="D7305" i="7"/>
  <c r="D7306" i="7"/>
  <c r="D7307" i="7"/>
  <c r="D7308" i="7"/>
  <c r="D7309" i="7"/>
  <c r="D7310" i="7"/>
  <c r="D7311" i="7"/>
  <c r="D7312" i="7"/>
  <c r="D7313" i="7"/>
  <c r="D7314" i="7"/>
  <c r="D7315" i="7"/>
  <c r="D7316" i="7"/>
  <c r="D7317" i="7"/>
  <c r="D7318" i="7"/>
  <c r="D7319" i="7"/>
  <c r="D7320" i="7"/>
  <c r="D7321" i="7"/>
  <c r="D7322" i="7"/>
  <c r="D7323" i="7"/>
  <c r="D7324" i="7"/>
  <c r="D7325" i="7"/>
  <c r="D7326" i="7"/>
  <c r="D7327" i="7"/>
  <c r="D7328" i="7"/>
  <c r="D7329" i="7"/>
  <c r="D7330" i="7"/>
  <c r="D7331" i="7"/>
  <c r="D7332" i="7"/>
  <c r="D7333" i="7"/>
  <c r="D7334" i="7"/>
  <c r="D7335" i="7"/>
  <c r="D7336" i="7"/>
  <c r="D7337" i="7"/>
  <c r="D7338" i="7"/>
  <c r="D7339" i="7"/>
  <c r="D7340" i="7"/>
  <c r="D7341" i="7"/>
  <c r="D7342" i="7"/>
  <c r="D7343" i="7"/>
  <c r="D7344" i="7"/>
  <c r="D7345" i="7"/>
  <c r="D7346" i="7"/>
  <c r="D7347" i="7"/>
  <c r="D7348" i="7"/>
  <c r="D7349" i="7"/>
  <c r="D7350" i="7"/>
  <c r="D7351" i="7"/>
  <c r="D7352" i="7"/>
  <c r="D7353" i="7"/>
  <c r="D7354" i="7"/>
  <c r="D7355" i="7"/>
  <c r="D7356" i="7"/>
  <c r="D7357" i="7"/>
  <c r="D7358" i="7"/>
  <c r="D7359" i="7"/>
  <c r="D7360" i="7"/>
  <c r="D7361" i="7"/>
  <c r="D7362" i="7"/>
  <c r="D7363" i="7"/>
  <c r="D7364" i="7"/>
  <c r="D7365" i="7"/>
  <c r="D7366" i="7"/>
  <c r="D7367" i="7"/>
  <c r="D7368" i="7"/>
  <c r="D7369" i="7"/>
  <c r="D7370" i="7"/>
  <c r="D7371" i="7"/>
  <c r="D7372" i="7"/>
  <c r="D7373" i="7"/>
  <c r="D7374" i="7"/>
  <c r="D7375" i="7"/>
  <c r="D7376" i="7"/>
  <c r="D7377" i="7"/>
  <c r="D7378" i="7"/>
  <c r="D7379" i="7"/>
  <c r="D7380" i="7"/>
  <c r="D7381" i="7"/>
  <c r="D7382" i="7"/>
  <c r="D7383" i="7"/>
  <c r="D7384" i="7"/>
  <c r="D7385" i="7"/>
  <c r="D7386" i="7"/>
  <c r="D7387" i="7"/>
  <c r="D7388" i="7"/>
  <c r="D7389" i="7"/>
  <c r="D7390" i="7"/>
  <c r="D7391" i="7"/>
  <c r="D7392" i="7"/>
  <c r="D7393" i="7"/>
  <c r="D7394" i="7"/>
  <c r="D7395" i="7"/>
  <c r="D7396" i="7"/>
  <c r="D7397" i="7"/>
  <c r="D7398" i="7"/>
  <c r="D7399" i="7"/>
  <c r="D7400" i="7"/>
  <c r="D7401" i="7"/>
  <c r="D7402" i="7"/>
  <c r="D7403" i="7"/>
  <c r="D7404" i="7"/>
  <c r="D7405" i="7"/>
  <c r="D7406" i="7"/>
  <c r="D7407" i="7"/>
  <c r="D7408" i="7"/>
  <c r="D7409" i="7"/>
  <c r="D7410" i="7"/>
  <c r="D7411" i="7"/>
  <c r="D7412" i="7"/>
  <c r="D7413" i="7"/>
  <c r="D7414" i="7"/>
  <c r="D7415" i="7"/>
  <c r="D7416" i="7"/>
  <c r="D7417" i="7"/>
  <c r="D7418" i="7"/>
  <c r="D7419" i="7"/>
  <c r="D7420" i="7"/>
  <c r="D7421" i="7"/>
  <c r="D7422" i="7"/>
  <c r="D7423" i="7"/>
  <c r="D7424" i="7"/>
  <c r="D7425" i="7"/>
  <c r="D7426" i="7"/>
  <c r="D7427" i="7"/>
  <c r="D7428" i="7"/>
  <c r="D7429" i="7"/>
  <c r="D7430" i="7"/>
  <c r="D7431" i="7"/>
  <c r="D7432" i="7"/>
  <c r="D7433" i="7"/>
  <c r="D7434" i="7"/>
  <c r="D7435" i="7"/>
  <c r="D7436" i="7"/>
  <c r="D7437" i="7"/>
  <c r="D7438" i="7"/>
  <c r="D7439" i="7"/>
  <c r="D7440" i="7"/>
  <c r="D7441" i="7"/>
  <c r="D7442" i="7"/>
  <c r="D7443" i="7"/>
  <c r="D7444" i="7"/>
  <c r="D7445" i="7"/>
  <c r="D7446" i="7"/>
  <c r="D7447" i="7"/>
  <c r="D7448" i="7"/>
  <c r="D7449" i="7"/>
  <c r="D7450" i="7"/>
  <c r="D7451" i="7"/>
  <c r="D7452" i="7"/>
  <c r="D7453" i="7"/>
  <c r="D7454" i="7"/>
  <c r="D7455" i="7"/>
  <c r="D7456" i="7"/>
  <c r="D7457" i="7"/>
  <c r="D7458" i="7"/>
  <c r="D7459" i="7"/>
  <c r="D7460" i="7"/>
  <c r="D7461" i="7"/>
  <c r="D7462" i="7"/>
  <c r="D7463" i="7"/>
  <c r="D7464" i="7"/>
  <c r="D7465" i="7"/>
  <c r="D7466" i="7"/>
  <c r="D7467" i="7"/>
  <c r="D7468" i="7"/>
  <c r="D7469" i="7"/>
  <c r="D7470" i="7"/>
  <c r="D7471" i="7"/>
  <c r="D7472" i="7"/>
  <c r="D7473" i="7"/>
  <c r="D7474" i="7"/>
  <c r="D7475" i="7"/>
  <c r="D7476" i="7"/>
  <c r="D7477" i="7"/>
  <c r="D7478" i="7"/>
  <c r="D7479" i="7"/>
  <c r="D7480" i="7"/>
  <c r="D7481" i="7"/>
  <c r="D7482" i="7"/>
  <c r="D7483" i="7"/>
  <c r="D7484" i="7"/>
  <c r="D7485" i="7"/>
  <c r="D7486" i="7"/>
  <c r="D7487" i="7"/>
  <c r="D7488" i="7"/>
  <c r="D7489" i="7"/>
  <c r="D7490" i="7"/>
  <c r="D7491" i="7"/>
  <c r="D7492" i="7"/>
  <c r="D7493" i="7"/>
  <c r="D7494" i="7"/>
  <c r="D7495" i="7"/>
  <c r="D7496" i="7"/>
  <c r="D7497" i="7"/>
  <c r="D7498" i="7"/>
  <c r="D7499" i="7"/>
  <c r="D7500" i="7"/>
  <c r="D7501" i="7"/>
  <c r="D7502" i="7"/>
  <c r="D7503" i="7"/>
  <c r="D7504" i="7"/>
  <c r="D7505" i="7"/>
  <c r="D7506" i="7"/>
  <c r="D7507" i="7"/>
  <c r="D7508" i="7"/>
  <c r="D7509" i="7"/>
  <c r="D7510" i="7"/>
  <c r="D7511" i="7"/>
  <c r="D7512" i="7"/>
  <c r="D7513" i="7"/>
  <c r="D7514" i="7"/>
  <c r="D7515" i="7"/>
  <c r="D7516" i="7"/>
  <c r="D7517" i="7"/>
  <c r="D7518" i="7"/>
  <c r="D7519" i="7"/>
  <c r="D7520" i="7"/>
  <c r="D7521" i="7"/>
  <c r="D7522" i="7"/>
  <c r="D7523" i="7"/>
  <c r="D7524" i="7"/>
  <c r="D7525" i="7"/>
  <c r="D7526" i="7"/>
  <c r="D7527" i="7"/>
  <c r="D7528" i="7"/>
  <c r="D7529" i="7"/>
  <c r="D7530" i="7"/>
  <c r="D7531" i="7"/>
  <c r="D7532" i="7"/>
  <c r="D7533" i="7"/>
  <c r="D7534" i="7"/>
  <c r="D7535" i="7"/>
  <c r="D7536" i="7"/>
  <c r="D7537" i="7"/>
  <c r="D7538" i="7"/>
  <c r="D7539" i="7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2" i="1"/>
  <c r="Q324" i="1"/>
  <c r="Q3339" i="1"/>
  <c r="Q3346" i="1"/>
  <c r="Q3359" i="1"/>
  <c r="Q3360" i="1"/>
  <c r="Q3361" i="1"/>
  <c r="Q3389" i="1"/>
</calcChain>
</file>

<file path=xl/sharedStrings.xml><?xml version="1.0" encoding="utf-8"?>
<sst xmlns="http://schemas.openxmlformats.org/spreadsheetml/2006/main" count="57144" uniqueCount="12846">
  <si>
    <t>CONTA DE RESULTADO</t>
  </si>
  <si>
    <t>FAVORECIDO</t>
  </si>
  <si>
    <t>DUPLICATA</t>
  </si>
  <si>
    <t>EMP</t>
  </si>
  <si>
    <t>CHQ</t>
  </si>
  <si>
    <t>BOL</t>
  </si>
  <si>
    <t>DTA.CAD</t>
  </si>
  <si>
    <t>DTA.VEN</t>
  </si>
  <si>
    <t>DTA.PAG</t>
  </si>
  <si>
    <t>POR.BAI</t>
  </si>
  <si>
    <t>VAL.DUP</t>
  </si>
  <si>
    <t>VAL.PAG</t>
  </si>
  <si>
    <t>VAL.JUR</t>
  </si>
  <si>
    <t>VAL.DES</t>
  </si>
  <si>
    <t>HISTÓRICO</t>
  </si>
  <si>
    <t>00004 - DEDUÇÕES (IMPOSTOS SOBRE VENDAS)</t>
  </si>
  <si>
    <t>02.07.001-ICMS (3 - DESPESAS)</t>
  </si>
  <si>
    <t>00000318-SECRETARIA DE FAZENDA DF</t>
  </si>
  <si>
    <t>G00000108030L</t>
  </si>
  <si>
    <t>NÃO</t>
  </si>
  <si>
    <t>SIM</t>
  </si>
  <si>
    <t xml:space="preserve">ICMS - DT-12/24 - PAGTO.PARCIAL - DTA. PGTO.: 20/01/2026 - VR. ORIGINAL: 11.886,02 - VR. PAGO: 186,82 </t>
  </si>
  <si>
    <t>02.07.003-COFINS (3 - DESPESAS)</t>
  </si>
  <si>
    <t>00000601-RECEITA FEDERAL</t>
  </si>
  <si>
    <t>G00000108036L</t>
  </si>
  <si>
    <t xml:space="preserve">COFINS - DT-12/24 </t>
  </si>
  <si>
    <t>02.07.006-SIMPLES NACIONAL (3 - DESPESAS)</t>
  </si>
  <si>
    <t>00000324-MINISTERIO DA FAZENDA</t>
  </si>
  <si>
    <t>G00000177360A</t>
  </si>
  <si>
    <t xml:space="preserve">SIMPLES NACIONAL - PAGTO.PARCIAL - DTA. PGTO.: 20/01/2026 - VR. ORIGINAL: 51.122,72 - VR. PAGO: 19.170,88 - PAGTO.PARCIAL - DTA. PGTO.: 20/01/2026 - VR. ORIGINAL: 31.951,84 - VR. PAGO: 11.026,86 - PAGTO.PARCIAL - DTA. PGTO.: 20/01/2026 - VR. ORIGINAL: 20.924,98 - VR. PAGO: 7.021,16 </t>
  </si>
  <si>
    <t xml:space="preserve">SIMPLES NACIONAL - PAGTO.PARCIAL - DTA. PGTO.: 20/01/2026 - VR. ORIGINAL: 51.122,72 - VR. PAGO: 19.170,88 </t>
  </si>
  <si>
    <t xml:space="preserve">SIMPLES NACIONAL - PAGTO.PARCIAL - DTA. PGTO.: 20/01/2026 - VR. ORIGINAL: 51.122,72 - VR. PAGO: 19.170,88 - PAGTO.PARCIAL - DTA. PGTO.: 20/01/2026 - VR. ORIGINAL: 31.951,84 - VR. PAGO: 11.026,86 </t>
  </si>
  <si>
    <t>02.07.007-PIS (3 - DESPESAS)</t>
  </si>
  <si>
    <t>G00000108033L</t>
  </si>
  <si>
    <t xml:space="preserve">PIS - DT-12/24 </t>
  </si>
  <si>
    <t>00006 - DESPESAS COM PESSOAL</t>
  </si>
  <si>
    <t>02.02.005-FGTS (3 - DESPESAS)</t>
  </si>
  <si>
    <t>G00000177305A</t>
  </si>
  <si>
    <t xml:space="preserve">FGTS 13 - PAGTO.PARCIAL - DTA. PGTO.: 20/01/2026 - VR. ORIGINAL: 7.969,88 - VR. PAGO: 1.345,98 - PAGTO.PARCIAL - DTA. PGTO.: 20/01/2026 - VR. ORIGINAL: 6.623,90 - VR. PAGO: 778,55 - PAGTO.PARCIAL - DTA. PGTO.: 20/01/2026 - VR. ORIGINAL: 5.845,35 - VR. PAGO: 5.463,39 </t>
  </si>
  <si>
    <t xml:space="preserve">FGTS 13 - PAGTO.PARCIAL - DTA. PGTO.: 20/01/2026 - VR. ORIGINAL: 7.969,88 - VR. PAGO: 1.345,98 </t>
  </si>
  <si>
    <t xml:space="preserve">FGTS 13 - PAGTO.PARCIAL - DTA. PGTO.: 20/01/2026 - VR. ORIGINAL: 7.969,88 - VR. PAGO: 1.345,98 - PAGTO.PARCIAL - DTA. PGTO.: 20/01/2026 - VR. ORIGINAL: 6.623,90 - VR. PAGO: 778,55 </t>
  </si>
  <si>
    <t>G00000177306A</t>
  </si>
  <si>
    <t xml:space="preserve">FGTS - PAGTO.PARCIAL - DTA. PGTO.: 20/01/2026 - VR. ORIGINAL: 29.096,19 - VR. PAGO: 2.278,82 - PAGTO.PARCIAL - DTA. PGTO.: 20/01/2026 - VR. ORIGINAL: 26.817,37 - VR. PAGO: 18.309,00 - PAGTO.PARCIAL - DTA. PGTO.: 20/01/2026 - VR. ORIGINAL: 8.508,37 - VR. PAGO: 4.084,34 </t>
  </si>
  <si>
    <t xml:space="preserve">FGTS - PAGTO.PARCIAL - DTA. PGTO.: 20/01/2026 - VR. ORIGINAL: 29.096,19 - VR. PAGO: 2.278,82 </t>
  </si>
  <si>
    <t xml:space="preserve">FGTS - PAGTO.PARCIAL - DTA. PGTO.: 20/01/2026 - VR. ORIGINAL: 29.096,19 - VR. PAGO: 2.278,82 - PAGTO.PARCIAL - DTA. PGTO.: 20/01/2026 - VR. ORIGINAL: 26.817,37 - VR. PAGO: 18.309,00 </t>
  </si>
  <si>
    <t>02.02.007-INSS + IRRF (3 - DESPESAS)</t>
  </si>
  <si>
    <t>G00000108032L</t>
  </si>
  <si>
    <t xml:space="preserve">INSS + IRRF-12/24 - PAGTO.PARCIAL - DTA. PGTO.: 20/01/2026 - VR. ORIGINAL: 28.100,37 - VR. PAGO: 15.815,69 - PAGTO.PARCIAL - DTA. PGTO.: 20/01/2026 - VR. ORIGINAL: 12.284,68 - VR. PAGO: 5.183,31 - PAGTO.PARCIAL - DTA. PGTO.: 20/01/2026 - VR. ORIGINAL: 7.101,37 - VR. PAGO: 2.258,56 </t>
  </si>
  <si>
    <t xml:space="preserve">INSS + IRRF-12/24 - PAGTO.PARCIAL - DTA. PGTO.: 20/01/2026 - VR. ORIGINAL: 28.100,37 - VR. PAGO: 15.815,69 </t>
  </si>
  <si>
    <t xml:space="preserve">INSS + IRRF-12/24 - PAGTO.PARCIAL - DTA. PGTO.: 20/01/2026 - VR. ORIGINAL: 28.100,37 - VR. PAGO: 15.815,69 - PAGTO.PARCIAL - DTA. PGTO.: 20/01/2026 - VR. ORIGINAL: 12.284,68 - VR. PAGO: 5.183,31 </t>
  </si>
  <si>
    <t>02.02.009-SERVIÇO MOTOBOYS (3 - DESPESAS)</t>
  </si>
  <si>
    <t>00000609-OAK TRANSPT E LOGISTICA</t>
  </si>
  <si>
    <t>G00000177063A</t>
  </si>
  <si>
    <t xml:space="preserve">PIX: 47.159.515/0001-00 CCLA CENTRO BRASILEIRO LTDA-01/12 </t>
  </si>
  <si>
    <t>G00000177064A</t>
  </si>
  <si>
    <t>02.02.013-CONFRATERNIZAÇÃO/ CONVENÇÃO / EVENTO (3 - DESPESAS)</t>
  </si>
  <si>
    <t>00000380-DIVERSOS</t>
  </si>
  <si>
    <t>G00000170262B</t>
  </si>
  <si>
    <t xml:space="preserve">MAGALU MAGAZI - CARTAO LOUISE-02/05 </t>
  </si>
  <si>
    <t>G00000172786A</t>
  </si>
  <si>
    <t xml:space="preserve">PADARIA </t>
  </si>
  <si>
    <t>G00000177325A</t>
  </si>
  <si>
    <t xml:space="preserve">BRINQUEDOS ACÃO CRECHE-01/02 </t>
  </si>
  <si>
    <t>G00000177326A</t>
  </si>
  <si>
    <t xml:space="preserve">CACAU SHOW-01/03 </t>
  </si>
  <si>
    <t>02.02.015-UNIFORMES (3 - DESPESAS)</t>
  </si>
  <si>
    <t>G321B</t>
  </si>
  <si>
    <t xml:space="preserve">J.M COMERCIO E CONFECÇOES-02/03 </t>
  </si>
  <si>
    <t>02.02.018-COMPRAS FUNCIONARIOS  (3 - DESPESAS)</t>
  </si>
  <si>
    <t>G00000160402D</t>
  </si>
  <si>
    <t xml:space="preserve">FRED - ERICA CAIXETA-04/04 </t>
  </si>
  <si>
    <t>00007 - DESPESAS ADMINISTRATIVAS</t>
  </si>
  <si>
    <t>02.01.011-DOACOES (3 - DESPESAS)</t>
  </si>
  <si>
    <t>000000262710A</t>
  </si>
  <si>
    <t xml:space="preserve"> </t>
  </si>
  <si>
    <t>02.01.033-OUTRAS DESPESAS ADMINISTRATIVA (3 - DESPESAS)</t>
  </si>
  <si>
    <t>00000574-V&amp;T COMERCIO VAREJISTA DE TINTAS LTDA</t>
  </si>
  <si>
    <t>000000262708A</t>
  </si>
  <si>
    <t xml:space="preserve">PASSAGEM PARA O COLORISTA EDSON FAZER O EXAME </t>
  </si>
  <si>
    <t>02.06.008-MULTAS DE TRANSITO (3 - DESPESAS)</t>
  </si>
  <si>
    <t>00000173-DEPARTAMENTO DE TRANSITO DO DISTRITO FEDERAL</t>
  </si>
  <si>
    <t>G00000177344A</t>
  </si>
  <si>
    <t xml:space="preserve">JGG8074 - YE02614460 </t>
  </si>
  <si>
    <t>02.11.001-SERVIÇOS CONTABEIS (CONTABILIDADE) (3 - DESPESAS)</t>
  </si>
  <si>
    <t>00000528-EXITO CONTABILIDADE EIRELI</t>
  </si>
  <si>
    <t>G00000177244A</t>
  </si>
  <si>
    <t xml:space="preserve">CONTABILIDADE - BOLETO: EMAIL </t>
  </si>
  <si>
    <t xml:space="preserve">00009 - DESPESAS COMERCIAIS </t>
  </si>
  <si>
    <t>02.05.013-PROPAGANDA E PUBLICIDADE (MARKETING) (3 - DESPESAS)</t>
  </si>
  <si>
    <t>G00000110589L</t>
  </si>
  <si>
    <t xml:space="preserve">ALEXWBSB@GMAIL.COM (ALEXANDRE WILLIAM ROLIM DA SILVA – REPRESENTANTE DA AGÊNCIA LEGACY DIGITAL)-12/12 </t>
  </si>
  <si>
    <t>G00000177302A</t>
  </si>
  <si>
    <t xml:space="preserve">FACEBOOK </t>
  </si>
  <si>
    <t>00011 - DESPESAS FINANCEIRAS</t>
  </si>
  <si>
    <t>02.03.007-ALUGUEL MAQUINETA DE CARTÃO (3 - DESPESAS)</t>
  </si>
  <si>
    <t>00000610-REDE CARD</t>
  </si>
  <si>
    <t>G00000118995K</t>
  </si>
  <si>
    <t xml:space="preserve">ALUGUEL-11/24 </t>
  </si>
  <si>
    <t>G00000144855G</t>
  </si>
  <si>
    <t xml:space="preserve">ALUGUEL MAQUINETA DE CARTÃO-07/18 </t>
  </si>
  <si>
    <t>G00000177372A</t>
  </si>
  <si>
    <t xml:space="preserve">ALUGUEL-1/24-01/24 </t>
  </si>
  <si>
    <t>G00000177373A</t>
  </si>
  <si>
    <t xml:space="preserve">ALUGUEL-01/24 </t>
  </si>
  <si>
    <t>G00000177374A</t>
  </si>
  <si>
    <t>G00000177375A</t>
  </si>
  <si>
    <t>02.03.013-TARIFA DE CARTÃO (3 - DESPESAS)</t>
  </si>
  <si>
    <t>G00000177376A</t>
  </si>
  <si>
    <t xml:space="preserve">Pag. de Taxas Ref. Aos Cartões </t>
  </si>
  <si>
    <t>G00000177377A</t>
  </si>
  <si>
    <t>G00000177378A</t>
  </si>
  <si>
    <t>G00000177379A</t>
  </si>
  <si>
    <t>G00000177380A</t>
  </si>
  <si>
    <t>G00000177381A</t>
  </si>
  <si>
    <t>G00000177382A</t>
  </si>
  <si>
    <t>G00000177383A</t>
  </si>
  <si>
    <t>G00000177384A</t>
  </si>
  <si>
    <t>G00000177385A</t>
  </si>
  <si>
    <t>G00000177386A</t>
  </si>
  <si>
    <t>G00000177387A</t>
  </si>
  <si>
    <t>G00000177388A</t>
  </si>
  <si>
    <t>G00000177389A</t>
  </si>
  <si>
    <t>G00000177390A</t>
  </si>
  <si>
    <t>G00000177391A</t>
  </si>
  <si>
    <t>G00000177392A</t>
  </si>
  <si>
    <t>G00000177393A</t>
  </si>
  <si>
    <t>G00000177394A</t>
  </si>
  <si>
    <t>G00000177395A</t>
  </si>
  <si>
    <t>G00000177396A</t>
  </si>
  <si>
    <t>G00000177397A</t>
  </si>
  <si>
    <t>G00000177398A</t>
  </si>
  <si>
    <t>G00000177399A</t>
  </si>
  <si>
    <t>G00000177400A</t>
  </si>
  <si>
    <t>G00000177401A</t>
  </si>
  <si>
    <t>G00000177402A</t>
  </si>
  <si>
    <t>G00000177403A</t>
  </si>
  <si>
    <t>G00000177404A</t>
  </si>
  <si>
    <t>G00000177405A</t>
  </si>
  <si>
    <t>G00000177406A</t>
  </si>
  <si>
    <t>G00000177407A</t>
  </si>
  <si>
    <t>G00000177408A</t>
  </si>
  <si>
    <t>G00000177409A</t>
  </si>
  <si>
    <t>G00000177410A</t>
  </si>
  <si>
    <t>G00000177411A</t>
  </si>
  <si>
    <t>G00000177412A</t>
  </si>
  <si>
    <t>G00000177413A</t>
  </si>
  <si>
    <t>G00000177414A</t>
  </si>
  <si>
    <t>G00000177415A</t>
  </si>
  <si>
    <t>G00000177416A</t>
  </si>
  <si>
    <t>G00000177417A</t>
  </si>
  <si>
    <t>G00000177418A</t>
  </si>
  <si>
    <t>G00000177419A</t>
  </si>
  <si>
    <t>G00000177420A</t>
  </si>
  <si>
    <t>G00000177421A</t>
  </si>
  <si>
    <t>G00000177422A</t>
  </si>
  <si>
    <t>G00000177423A</t>
  </si>
  <si>
    <t>G00000177424A</t>
  </si>
  <si>
    <t>G00000177425A</t>
  </si>
  <si>
    <t>G00000177426A</t>
  </si>
  <si>
    <t>G00000177427A</t>
  </si>
  <si>
    <t>G00000177428A</t>
  </si>
  <si>
    <t>G00000177429A</t>
  </si>
  <si>
    <t>G00000177430A</t>
  </si>
  <si>
    <t>G00000177431A</t>
  </si>
  <si>
    <t>G00000177432A</t>
  </si>
  <si>
    <t>G00000177433A</t>
  </si>
  <si>
    <t>G00000177434A</t>
  </si>
  <si>
    <t>G00000177435A</t>
  </si>
  <si>
    <t>G00000177436A</t>
  </si>
  <si>
    <t>G00000177437A</t>
  </si>
  <si>
    <t>G00000177438A</t>
  </si>
  <si>
    <t>G00000177439A</t>
  </si>
  <si>
    <t>G00000177440A</t>
  </si>
  <si>
    <t>G00000177441A</t>
  </si>
  <si>
    <t>G00000177442A</t>
  </si>
  <si>
    <t>G00000177443A</t>
  </si>
  <si>
    <t>G00000177444A</t>
  </si>
  <si>
    <t>G00000177445A</t>
  </si>
  <si>
    <t>G00000177446A</t>
  </si>
  <si>
    <t>G00000177447A</t>
  </si>
  <si>
    <t>G00000177448A</t>
  </si>
  <si>
    <t>G00000177449A</t>
  </si>
  <si>
    <t>G00000177450A</t>
  </si>
  <si>
    <t>G00000177451A</t>
  </si>
  <si>
    <t>G00000177452A</t>
  </si>
  <si>
    <t>G00000177453A</t>
  </si>
  <si>
    <t>G00000177454A</t>
  </si>
  <si>
    <t>G00000177455A</t>
  </si>
  <si>
    <t>G00000177456A</t>
  </si>
  <si>
    <t>G00000177457A</t>
  </si>
  <si>
    <t>G00000177458A</t>
  </si>
  <si>
    <t>G00000177459A</t>
  </si>
  <si>
    <t>G00000177460A</t>
  </si>
  <si>
    <t>G00000177461A</t>
  </si>
  <si>
    <t>G00000177462A</t>
  </si>
  <si>
    <t>G00000177463A</t>
  </si>
  <si>
    <t>G00000177464A</t>
  </si>
  <si>
    <t>G00000177465A</t>
  </si>
  <si>
    <t>G00000177466A</t>
  </si>
  <si>
    <t>G00000177467A</t>
  </si>
  <si>
    <t>G00000177468A</t>
  </si>
  <si>
    <t>G00000177469A</t>
  </si>
  <si>
    <t>G00000177470A</t>
  </si>
  <si>
    <t>G00000177471A</t>
  </si>
  <si>
    <t>G00000177472A</t>
  </si>
  <si>
    <t>G00000177473A</t>
  </si>
  <si>
    <t>G00000177474A</t>
  </si>
  <si>
    <t>G00000177475A</t>
  </si>
  <si>
    <t>G00000177476A</t>
  </si>
  <si>
    <t>G00000177477A</t>
  </si>
  <si>
    <t>G00000177478A</t>
  </si>
  <si>
    <t>G00000177479A</t>
  </si>
  <si>
    <t>G00000177480A</t>
  </si>
  <si>
    <t>G00000177481A</t>
  </si>
  <si>
    <t>G00000177482A</t>
  </si>
  <si>
    <t>G00000177483A</t>
  </si>
  <si>
    <t>G00000177484A</t>
  </si>
  <si>
    <t>G00000177485A</t>
  </si>
  <si>
    <t>G00000177486A</t>
  </si>
  <si>
    <t>G00000177487A</t>
  </si>
  <si>
    <t>G00000177488A</t>
  </si>
  <si>
    <t>G00000177489A</t>
  </si>
  <si>
    <t>G00000177490A</t>
  </si>
  <si>
    <t>G00000177491A</t>
  </si>
  <si>
    <t>G00000177492A</t>
  </si>
  <si>
    <t>G00000177493A</t>
  </si>
  <si>
    <t>G00000177505A</t>
  </si>
  <si>
    <t>G00000177506A</t>
  </si>
  <si>
    <t>G00000177507A</t>
  </si>
  <si>
    <t>G00000177508A</t>
  </si>
  <si>
    <t>G00000177509A</t>
  </si>
  <si>
    <t>G00000177510A</t>
  </si>
  <si>
    <t>G00000177511A</t>
  </si>
  <si>
    <t>G00000177512A</t>
  </si>
  <si>
    <t>G00000177513A</t>
  </si>
  <si>
    <t>G00000177514A</t>
  </si>
  <si>
    <t>G00000177515A</t>
  </si>
  <si>
    <t>G00000177516A</t>
  </si>
  <si>
    <t>G00000177517A</t>
  </si>
  <si>
    <t>G00000177518A</t>
  </si>
  <si>
    <t>G00000177519A</t>
  </si>
  <si>
    <t>G00000177520A</t>
  </si>
  <si>
    <t>G00000177521A</t>
  </si>
  <si>
    <t>G00000177522A</t>
  </si>
  <si>
    <t>G00000177523A</t>
  </si>
  <si>
    <t>G00000177599A</t>
  </si>
  <si>
    <t>G00000177600A</t>
  </si>
  <si>
    <t>G00000177601A</t>
  </si>
  <si>
    <t>G00000177602A</t>
  </si>
  <si>
    <t>G00000177603A</t>
  </si>
  <si>
    <t>G00000177604A</t>
  </si>
  <si>
    <t>G00000177605A</t>
  </si>
  <si>
    <t>G00000177606A</t>
  </si>
  <si>
    <t>G00000177607A</t>
  </si>
  <si>
    <t>G00000177608A</t>
  </si>
  <si>
    <t>G00000177609A</t>
  </si>
  <si>
    <t>G00000177610A</t>
  </si>
  <si>
    <t>G00000177611A</t>
  </si>
  <si>
    <t>G00000177612A</t>
  </si>
  <si>
    <t>G00000177613A</t>
  </si>
  <si>
    <t>G00000177614A</t>
  </si>
  <si>
    <t>G00000177615A</t>
  </si>
  <si>
    <t>G00000177616A</t>
  </si>
  <si>
    <t>G00000177617A</t>
  </si>
  <si>
    <t>G00000177618A</t>
  </si>
  <si>
    <t>G00000177619A</t>
  </si>
  <si>
    <t>G00000177620A</t>
  </si>
  <si>
    <t>G00000177621A</t>
  </si>
  <si>
    <t>G00000177622A</t>
  </si>
  <si>
    <t>G00000177623A</t>
  </si>
  <si>
    <t>G00000177624A</t>
  </si>
  <si>
    <t>G00000177625A</t>
  </si>
  <si>
    <t>G00000177626A</t>
  </si>
  <si>
    <t>G00000177627A</t>
  </si>
  <si>
    <t>G00000177628A</t>
  </si>
  <si>
    <t>G00000177629A</t>
  </si>
  <si>
    <t>G00000177630A</t>
  </si>
  <si>
    <t>G00000177631A</t>
  </si>
  <si>
    <t>G00000177632A</t>
  </si>
  <si>
    <t>G00000177633A</t>
  </si>
  <si>
    <t>G00000177634A</t>
  </si>
  <si>
    <t>G00000177635A</t>
  </si>
  <si>
    <t>G00000177636A</t>
  </si>
  <si>
    <t>G00000177637A</t>
  </si>
  <si>
    <t>G00000177638A</t>
  </si>
  <si>
    <t>G00000177650A</t>
  </si>
  <si>
    <t>G00000177651A</t>
  </si>
  <si>
    <t>G00000177652A</t>
  </si>
  <si>
    <t>G00000177653A</t>
  </si>
  <si>
    <t>G00000177654A</t>
  </si>
  <si>
    <t>G00000177655A</t>
  </si>
  <si>
    <t>G00000177656A</t>
  </si>
  <si>
    <t>G00000177657A</t>
  </si>
  <si>
    <t>G00000177658A</t>
  </si>
  <si>
    <t>G00000177669A</t>
  </si>
  <si>
    <t>G00000177670A</t>
  </si>
  <si>
    <t>G00000177671A</t>
  </si>
  <si>
    <t>G00000177672A</t>
  </si>
  <si>
    <t>G00000177673A</t>
  </si>
  <si>
    <t>G00000177674A</t>
  </si>
  <si>
    <t>G00000177675A</t>
  </si>
  <si>
    <t>G00000177676A</t>
  </si>
  <si>
    <t>G00000177677A</t>
  </si>
  <si>
    <t>G00000177678A</t>
  </si>
  <si>
    <t>G00000177679A</t>
  </si>
  <si>
    <t>G00000177680A</t>
  </si>
  <si>
    <t>G00000177681A</t>
  </si>
  <si>
    <t>G00000177682A</t>
  </si>
  <si>
    <t>G00000177683A</t>
  </si>
  <si>
    <t>G00000177684A</t>
  </si>
  <si>
    <t>G00000177685A</t>
  </si>
  <si>
    <t>G00000177686A</t>
  </si>
  <si>
    <t>G00000177687A</t>
  </si>
  <si>
    <t>G00000177688A</t>
  </si>
  <si>
    <t>G00000177689A</t>
  </si>
  <si>
    <t>G00000177690A</t>
  </si>
  <si>
    <t>G00000177691A</t>
  </si>
  <si>
    <t>G00000177692A</t>
  </si>
  <si>
    <t>G00000177693A</t>
  </si>
  <si>
    <t>G00000177694A</t>
  </si>
  <si>
    <t>G00000177695A</t>
  </si>
  <si>
    <t>G00000177696A</t>
  </si>
  <si>
    <t>G00000177697A</t>
  </si>
  <si>
    <t>G00000177698A</t>
  </si>
  <si>
    <t>G00000177699A</t>
  </si>
  <si>
    <t>G00000177700A</t>
  </si>
  <si>
    <t>G00000177701A</t>
  </si>
  <si>
    <t>G00000177702A</t>
  </si>
  <si>
    <t>G00000177703A</t>
  </si>
  <si>
    <t>G00000177704A</t>
  </si>
  <si>
    <t>G00000177705A</t>
  </si>
  <si>
    <t>G00000177706A</t>
  </si>
  <si>
    <t>G00000177707A</t>
  </si>
  <si>
    <t>G00000177708A</t>
  </si>
  <si>
    <t>G00000177709A</t>
  </si>
  <si>
    <t>G00000177710A</t>
  </si>
  <si>
    <t>G00000177711A</t>
  </si>
  <si>
    <t>G00000177712A</t>
  </si>
  <si>
    <t>G00000177713A</t>
  </si>
  <si>
    <t>G00000177794A</t>
  </si>
  <si>
    <t>G00000177795A</t>
  </si>
  <si>
    <t>G00000177796A</t>
  </si>
  <si>
    <t>G00000177797A</t>
  </si>
  <si>
    <t>G00000177798A</t>
  </si>
  <si>
    <t>G00000177799A</t>
  </si>
  <si>
    <t>G00000177800A</t>
  </si>
  <si>
    <t>G00000177801A</t>
  </si>
  <si>
    <t>G00000177802A</t>
  </si>
  <si>
    <t>G00000177803A</t>
  </si>
  <si>
    <t>G00000177804A</t>
  </si>
  <si>
    <t>G00000177805A</t>
  </si>
  <si>
    <t>G00000177806A</t>
  </si>
  <si>
    <t>G00000177807A</t>
  </si>
  <si>
    <t>G00000177808A</t>
  </si>
  <si>
    <t>G00000177809A</t>
  </si>
  <si>
    <t>G00000177810A</t>
  </si>
  <si>
    <t>G00000177811A</t>
  </si>
  <si>
    <t>G00000177812A</t>
  </si>
  <si>
    <t>G00000177813A</t>
  </si>
  <si>
    <t>G00000177814A</t>
  </si>
  <si>
    <t>G00000177815A</t>
  </si>
  <si>
    <t>G00000177816A</t>
  </si>
  <si>
    <t>G00000177817A</t>
  </si>
  <si>
    <t>G00000177818A</t>
  </si>
  <si>
    <t>G00000177819A</t>
  </si>
  <si>
    <t>G00000177820A</t>
  </si>
  <si>
    <t>G00000177821A</t>
  </si>
  <si>
    <t>G00000177822A</t>
  </si>
  <si>
    <t>G00000177823A</t>
  </si>
  <si>
    <t>G00000177824A</t>
  </si>
  <si>
    <t>G00000177825A</t>
  </si>
  <si>
    <t>G00000177826A</t>
  </si>
  <si>
    <t>G00000177827A</t>
  </si>
  <si>
    <t>G00000177828A</t>
  </si>
  <si>
    <t>G00000177829A</t>
  </si>
  <si>
    <t>G00000177830A</t>
  </si>
  <si>
    <t>G00000177831A</t>
  </si>
  <si>
    <t>G00000177832A</t>
  </si>
  <si>
    <t>G00000177843A</t>
  </si>
  <si>
    <t>G00000177844A</t>
  </si>
  <si>
    <t>G00000177845A</t>
  </si>
  <si>
    <t>G00000177846A</t>
  </si>
  <si>
    <t>G00000177847A</t>
  </si>
  <si>
    <t>G00000177848A</t>
  </si>
  <si>
    <t>G00000177849A</t>
  </si>
  <si>
    <t>G00000177850A</t>
  </si>
  <si>
    <t>G00000177851A</t>
  </si>
  <si>
    <t>G00000177852A</t>
  </si>
  <si>
    <t>G00000177853A</t>
  </si>
  <si>
    <t>G00000177854A</t>
  </si>
  <si>
    <t>G00000177855A</t>
  </si>
  <si>
    <t>G00000177856A</t>
  </si>
  <si>
    <t>G00000177857A</t>
  </si>
  <si>
    <t>G00000177858A</t>
  </si>
  <si>
    <t>G00000177859A</t>
  </si>
  <si>
    <t>G00000177860A</t>
  </si>
  <si>
    <t>G00000177861A</t>
  </si>
  <si>
    <t>G00000177862A</t>
  </si>
  <si>
    <t>G00000177863A</t>
  </si>
  <si>
    <t>G00000177864A</t>
  </si>
  <si>
    <t>G00000177865A</t>
  </si>
  <si>
    <t>G00000177866A</t>
  </si>
  <si>
    <t>G00000177867A</t>
  </si>
  <si>
    <t>G00000177868A</t>
  </si>
  <si>
    <t>G00000177869A</t>
  </si>
  <si>
    <t>G00000177870A</t>
  </si>
  <si>
    <t>G00000177871A</t>
  </si>
  <si>
    <t>G00000177872A</t>
  </si>
  <si>
    <t>G00000177873A</t>
  </si>
  <si>
    <t>G00000177874A</t>
  </si>
  <si>
    <t>G00000177875A</t>
  </si>
  <si>
    <t>G00000177876A</t>
  </si>
  <si>
    <t>G00000177877A</t>
  </si>
  <si>
    <t>G00000177878A</t>
  </si>
  <si>
    <t>G00000177879A</t>
  </si>
  <si>
    <t>G00000177880A</t>
  </si>
  <si>
    <t>G00000177881A</t>
  </si>
  <si>
    <t>G00000177882A</t>
  </si>
  <si>
    <t>G00000177883A</t>
  </si>
  <si>
    <t>G00000177884A</t>
  </si>
  <si>
    <t>G00000177885A</t>
  </si>
  <si>
    <t>G00000177886A</t>
  </si>
  <si>
    <t>G00000177887A</t>
  </si>
  <si>
    <t>G00000177888A</t>
  </si>
  <si>
    <t>G00000177889A</t>
  </si>
  <si>
    <t>G00000177890A</t>
  </si>
  <si>
    <t>G00000177891A</t>
  </si>
  <si>
    <t>G00000177892A</t>
  </si>
  <si>
    <t>G00000177893A</t>
  </si>
  <si>
    <t>G00000177894A</t>
  </si>
  <si>
    <t>G00000177895A</t>
  </si>
  <si>
    <t>G00000177896A</t>
  </si>
  <si>
    <t>G00000177897A</t>
  </si>
  <si>
    <t>G00000177898A</t>
  </si>
  <si>
    <t>G00000177899A</t>
  </si>
  <si>
    <t>G00000177900A</t>
  </si>
  <si>
    <t>G00000177901A</t>
  </si>
  <si>
    <t>G00000177902A</t>
  </si>
  <si>
    <t>G00000177903A</t>
  </si>
  <si>
    <t>G00000177904A</t>
  </si>
  <si>
    <t>G00000177905A</t>
  </si>
  <si>
    <t>G00000177906A</t>
  </si>
  <si>
    <t>G00000177907A</t>
  </si>
  <si>
    <t>G00000177908A</t>
  </si>
  <si>
    <t>G00000177909A</t>
  </si>
  <si>
    <t>G00000177910A</t>
  </si>
  <si>
    <t>G00000177911A</t>
  </si>
  <si>
    <t>G00000177912A</t>
  </si>
  <si>
    <t>G00000177913A</t>
  </si>
  <si>
    <t>G00000177914A</t>
  </si>
  <si>
    <t>G00000177915A</t>
  </si>
  <si>
    <t>G00000177916A</t>
  </si>
  <si>
    <t>G00000177917A</t>
  </si>
  <si>
    <t>G00000177920A</t>
  </si>
  <si>
    <t>G00000177921A</t>
  </si>
  <si>
    <t>G00000177922A</t>
  </si>
  <si>
    <t>G00000177923A</t>
  </si>
  <si>
    <t>G00000177924A</t>
  </si>
  <si>
    <t>G00000177925A</t>
  </si>
  <si>
    <t>G00000177926A</t>
  </si>
  <si>
    <t>G00000177927A</t>
  </si>
  <si>
    <t>G00000177928A</t>
  </si>
  <si>
    <t>G00000177929A</t>
  </si>
  <si>
    <t>G00000177930A</t>
  </si>
  <si>
    <t>G00000177931A</t>
  </si>
  <si>
    <t>G00000177932A</t>
  </si>
  <si>
    <t>G00000177933A</t>
  </si>
  <si>
    <t>G00000177934A</t>
  </si>
  <si>
    <t>G00000177935A</t>
  </si>
  <si>
    <t>G00000177936A</t>
  </si>
  <si>
    <t>G00000177937A</t>
  </si>
  <si>
    <t>G00000177938A</t>
  </si>
  <si>
    <t>G00000177939A</t>
  </si>
  <si>
    <t>G00000177940A</t>
  </si>
  <si>
    <t>G00000177941A</t>
  </si>
  <si>
    <t>G00000177942A</t>
  </si>
  <si>
    <t>G00000177943A</t>
  </si>
  <si>
    <t>G00000178092A</t>
  </si>
  <si>
    <t>G00000178093A</t>
  </si>
  <si>
    <t>G00000178094A</t>
  </si>
  <si>
    <t>G00000178095A</t>
  </si>
  <si>
    <t>G00000178096A</t>
  </si>
  <si>
    <t>G00000178097A</t>
  </si>
  <si>
    <t>G00000178098A</t>
  </si>
  <si>
    <t>G00000178099A</t>
  </si>
  <si>
    <t>G00000178100A</t>
  </si>
  <si>
    <t>G00000178101A</t>
  </si>
  <si>
    <t>G00000178102A</t>
  </si>
  <si>
    <t>G00000178103A</t>
  </si>
  <si>
    <t>G00000178104A</t>
  </si>
  <si>
    <t>G00000178105A</t>
  </si>
  <si>
    <t>G00000178106A</t>
  </si>
  <si>
    <t>G00000178107A</t>
  </si>
  <si>
    <t>G00000178108A</t>
  </si>
  <si>
    <t>G00000178109A</t>
  </si>
  <si>
    <t>G00000178110A</t>
  </si>
  <si>
    <t>G00000178111A</t>
  </si>
  <si>
    <t>G00000178112A</t>
  </si>
  <si>
    <t>G00000178113A</t>
  </si>
  <si>
    <t>G00000178114A</t>
  </si>
  <si>
    <t>G00000178115A</t>
  </si>
  <si>
    <t>G00000178116A</t>
  </si>
  <si>
    <t>G00000178117A</t>
  </si>
  <si>
    <t>G00000178118A</t>
  </si>
  <si>
    <t>G00000178119A</t>
  </si>
  <si>
    <t>G00000178120A</t>
  </si>
  <si>
    <t>G00000178121A</t>
  </si>
  <si>
    <t>G00000178122A</t>
  </si>
  <si>
    <t>G00000178123A</t>
  </si>
  <si>
    <t>G00000178124A</t>
  </si>
  <si>
    <t>G00000178125A</t>
  </si>
  <si>
    <t>G00000178126A</t>
  </si>
  <si>
    <t>G00000178127A</t>
  </si>
  <si>
    <t>G00000178128A</t>
  </si>
  <si>
    <t>G00000178129A</t>
  </si>
  <si>
    <t>G00000178130A</t>
  </si>
  <si>
    <t>G00000178131A</t>
  </si>
  <si>
    <t>G00000178132A</t>
  </si>
  <si>
    <t>G00000178133A</t>
  </si>
  <si>
    <t>G00000178134A</t>
  </si>
  <si>
    <t>G00000178135A</t>
  </si>
  <si>
    <t>G00000178136A</t>
  </si>
  <si>
    <t>G00000178137A</t>
  </si>
  <si>
    <t>G00000178138A</t>
  </si>
  <si>
    <t>G00000178139A</t>
  </si>
  <si>
    <t>G00000178140A</t>
  </si>
  <si>
    <t>G00000178141A</t>
  </si>
  <si>
    <t>G00000178142A</t>
  </si>
  <si>
    <t>G00000178143A</t>
  </si>
  <si>
    <t>G00000178144A</t>
  </si>
  <si>
    <t>G00000178145A</t>
  </si>
  <si>
    <t>G00000178146A</t>
  </si>
  <si>
    <t>G00000178147A</t>
  </si>
  <si>
    <t>G00000178148A</t>
  </si>
  <si>
    <t>G00000178149A</t>
  </si>
  <si>
    <t>G00000178150A</t>
  </si>
  <si>
    <t>G00000178151A</t>
  </si>
  <si>
    <t>G00000178152A</t>
  </si>
  <si>
    <t>G00000178153A</t>
  </si>
  <si>
    <t>G00000178154A</t>
  </si>
  <si>
    <t>G00000178155A</t>
  </si>
  <si>
    <t>G00000178156A</t>
  </si>
  <si>
    <t>G00000178157A</t>
  </si>
  <si>
    <t>G00000178158A</t>
  </si>
  <si>
    <t>G00000178159A</t>
  </si>
  <si>
    <t>G00000178160A</t>
  </si>
  <si>
    <t>G00000178161A</t>
  </si>
  <si>
    <t>G00000178162A</t>
  </si>
  <si>
    <t>G00000178163A</t>
  </si>
  <si>
    <t>G00000178164A</t>
  </si>
  <si>
    <t>G00000178165A</t>
  </si>
  <si>
    <t>G00000178166A</t>
  </si>
  <si>
    <t>G00000178167A</t>
  </si>
  <si>
    <t>G00000178168A</t>
  </si>
  <si>
    <t>G00000178169A</t>
  </si>
  <si>
    <t>G00000178170A</t>
  </si>
  <si>
    <t>G00000178171A</t>
  </si>
  <si>
    <t>G00000178172A</t>
  </si>
  <si>
    <t>G00000178173A</t>
  </si>
  <si>
    <t>G00000178174A</t>
  </si>
  <si>
    <t>G00000178175A</t>
  </si>
  <si>
    <t>G00000178176A</t>
  </si>
  <si>
    <t>G00000178177A</t>
  </si>
  <si>
    <t>G00000178178A</t>
  </si>
  <si>
    <t>G00000178179A</t>
  </si>
  <si>
    <t>G00000178180A</t>
  </si>
  <si>
    <t>G00000178181A</t>
  </si>
  <si>
    <t>G00000178182A</t>
  </si>
  <si>
    <t>G00000178183A</t>
  </si>
  <si>
    <t>G00000178184A</t>
  </si>
  <si>
    <t>G00000178185A</t>
  </si>
  <si>
    <t>G00000178186A</t>
  </si>
  <si>
    <t>G00000178187A</t>
  </si>
  <si>
    <t>G00000178188A</t>
  </si>
  <si>
    <t>G00000178189A</t>
  </si>
  <si>
    <t>G00000178193A</t>
  </si>
  <si>
    <t>G00000178194A</t>
  </si>
  <si>
    <t>G00000178195A</t>
  </si>
  <si>
    <t>G00000178196A</t>
  </si>
  <si>
    <t>G00000178197A</t>
  </si>
  <si>
    <t>G00000178198A</t>
  </si>
  <si>
    <t>G00000178199A</t>
  </si>
  <si>
    <t>G00000178200A</t>
  </si>
  <si>
    <t>G00000178201A</t>
  </si>
  <si>
    <t>G00000178202A</t>
  </si>
  <si>
    <t>G00000178203A</t>
  </si>
  <si>
    <t>G00000178204A</t>
  </si>
  <si>
    <t>G00000178205A</t>
  </si>
  <si>
    <t>G00000178206A</t>
  </si>
  <si>
    <t>G00000178207A</t>
  </si>
  <si>
    <t>G00000178208A</t>
  </si>
  <si>
    <t>G00000178209A</t>
  </si>
  <si>
    <t>G00000178210A</t>
  </si>
  <si>
    <t>G00000178211A</t>
  </si>
  <si>
    <t>G00000178212A</t>
  </si>
  <si>
    <t>G00000178213A</t>
  </si>
  <si>
    <t>G00000178214A</t>
  </si>
  <si>
    <t>G00000178215A</t>
  </si>
  <si>
    <t>G00000178216A</t>
  </si>
  <si>
    <t>G00000178217A</t>
  </si>
  <si>
    <t>G00000178218A</t>
  </si>
  <si>
    <t>G00000178219A</t>
  </si>
  <si>
    <t>G00000178220A</t>
  </si>
  <si>
    <t>G00000178221A</t>
  </si>
  <si>
    <t>G00000178222A</t>
  </si>
  <si>
    <t>G00000178224A</t>
  </si>
  <si>
    <t>G00000178225A</t>
  </si>
  <si>
    <t>G00000178226A</t>
  </si>
  <si>
    <t>G00000178227A</t>
  </si>
  <si>
    <t>G00000178228A</t>
  </si>
  <si>
    <t>G00000178229A</t>
  </si>
  <si>
    <t>G00000178230A</t>
  </si>
  <si>
    <t>G00000178231A</t>
  </si>
  <si>
    <t>G00000178232A</t>
  </si>
  <si>
    <t>G00000178233A</t>
  </si>
  <si>
    <t>G00000178234A</t>
  </si>
  <si>
    <t>G00000178235A</t>
  </si>
  <si>
    <t>G00000178236A</t>
  </si>
  <si>
    <t>G00000178237A</t>
  </si>
  <si>
    <t>G00000178238A</t>
  </si>
  <si>
    <t>G00000178239A</t>
  </si>
  <si>
    <t>G00000178240A</t>
  </si>
  <si>
    <t>G00000178241A</t>
  </si>
  <si>
    <t>G00000178242A</t>
  </si>
  <si>
    <t>G00000178243A</t>
  </si>
  <si>
    <t>G00000178244A</t>
  </si>
  <si>
    <t>G00000178245A</t>
  </si>
  <si>
    <t>G00000178246A</t>
  </si>
  <si>
    <t>G00000178247A</t>
  </si>
  <si>
    <t>G00000178248A</t>
  </si>
  <si>
    <t>G00000178249A</t>
  </si>
  <si>
    <t>G00000178250A</t>
  </si>
  <si>
    <t>G00000178251A</t>
  </si>
  <si>
    <t>G00000178252A</t>
  </si>
  <si>
    <t>G00000178253A</t>
  </si>
  <si>
    <t>G00000178254A</t>
  </si>
  <si>
    <t>G00000178255A</t>
  </si>
  <si>
    <t>G00000178256A</t>
  </si>
  <si>
    <t>G00000178257A</t>
  </si>
  <si>
    <t>G00000178258A</t>
  </si>
  <si>
    <t>G00000178259A</t>
  </si>
  <si>
    <t>G00000178260A</t>
  </si>
  <si>
    <t>G00000178261A</t>
  </si>
  <si>
    <t>G00000178262A</t>
  </si>
  <si>
    <t>G00000178263A</t>
  </si>
  <si>
    <t>G00000178264A</t>
  </si>
  <si>
    <t>G00000178265A</t>
  </si>
  <si>
    <t>G00000178266A</t>
  </si>
  <si>
    <t>G00000178267A</t>
  </si>
  <si>
    <t>G00000178268A</t>
  </si>
  <si>
    <t>G00000178269A</t>
  </si>
  <si>
    <t>G00000178270A</t>
  </si>
  <si>
    <t>G00000178271A</t>
  </si>
  <si>
    <t>G00000178272A</t>
  </si>
  <si>
    <t>G00000178273A</t>
  </si>
  <si>
    <t>G00000178274A</t>
  </si>
  <si>
    <t>G00000178275A</t>
  </si>
  <si>
    <t>G00000178276A</t>
  </si>
  <si>
    <t>G00000178277A</t>
  </si>
  <si>
    <t>G00000178278A</t>
  </si>
  <si>
    <t>G00000178279A</t>
  </si>
  <si>
    <t>G00000178280A</t>
  </si>
  <si>
    <t>G00000178281A</t>
  </si>
  <si>
    <t>G00000178282A</t>
  </si>
  <si>
    <t>G00000178283A</t>
  </si>
  <si>
    <t>G00000178284A</t>
  </si>
  <si>
    <t>G00000178285A</t>
  </si>
  <si>
    <t>G00000178286A</t>
  </si>
  <si>
    <t>G00000178287A</t>
  </si>
  <si>
    <t>G00000178288A</t>
  </si>
  <si>
    <t>G00000178289A</t>
  </si>
  <si>
    <t>G00000178290A</t>
  </si>
  <si>
    <t>G00000178291A</t>
  </si>
  <si>
    <t>G00000178292A</t>
  </si>
  <si>
    <t>G00000178293A</t>
  </si>
  <si>
    <t>G00000178294A</t>
  </si>
  <si>
    <t>G00000178295A</t>
  </si>
  <si>
    <t>G00000178296A</t>
  </si>
  <si>
    <t>G00000178297A</t>
  </si>
  <si>
    <t>G00000178298A</t>
  </si>
  <si>
    <t>G00000178299A</t>
  </si>
  <si>
    <t>G00000178300A</t>
  </si>
  <si>
    <t>G00000178301A</t>
  </si>
  <si>
    <t>G00000178302A</t>
  </si>
  <si>
    <t>G00000178303A</t>
  </si>
  <si>
    <t>G00000178304A</t>
  </si>
  <si>
    <t>G00000178305A</t>
  </si>
  <si>
    <t>G00000178306A</t>
  </si>
  <si>
    <t>G00000178307A</t>
  </si>
  <si>
    <t>G00000178308A</t>
  </si>
  <si>
    <t>G00000178309A</t>
  </si>
  <si>
    <t>G00000178310A</t>
  </si>
  <si>
    <t>G00000178311A</t>
  </si>
  <si>
    <t>G00000178312A</t>
  </si>
  <si>
    <t>G00000178313A</t>
  </si>
  <si>
    <t>G00000178314A</t>
  </si>
  <si>
    <t>G00000178315A</t>
  </si>
  <si>
    <t>G00000178316A</t>
  </si>
  <si>
    <t>G00000178317A</t>
  </si>
  <si>
    <t>G00000178318A</t>
  </si>
  <si>
    <t>G00000178319A</t>
  </si>
  <si>
    <t>G00000178320A</t>
  </si>
  <si>
    <t>G00000178321A</t>
  </si>
  <si>
    <t>G00000178322A</t>
  </si>
  <si>
    <t>G00000178323A</t>
  </si>
  <si>
    <t>G00000178324A</t>
  </si>
  <si>
    <t>G00000178325A</t>
  </si>
  <si>
    <t>G00000178326A</t>
  </si>
  <si>
    <t>G00000178327A</t>
  </si>
  <si>
    <t>G00000178328A</t>
  </si>
  <si>
    <t>G00000178448A</t>
  </si>
  <si>
    <t>G00000178449A</t>
  </si>
  <si>
    <t>G00000178450A</t>
  </si>
  <si>
    <t>G00000178451A</t>
  </si>
  <si>
    <t>G00000178452A</t>
  </si>
  <si>
    <t>G00000178453A</t>
  </si>
  <si>
    <t>G00000178454A</t>
  </si>
  <si>
    <t>G00000178455A</t>
  </si>
  <si>
    <t>G00000178456A</t>
  </si>
  <si>
    <t>G00000178457A</t>
  </si>
  <si>
    <t>G00000178458A</t>
  </si>
  <si>
    <t>G00000178459A</t>
  </si>
  <si>
    <t>G00000178460A</t>
  </si>
  <si>
    <t>G00000178461A</t>
  </si>
  <si>
    <t>G00000178462A</t>
  </si>
  <si>
    <t>G00000178463A</t>
  </si>
  <si>
    <t>G00000178464A</t>
  </si>
  <si>
    <t>G00000178465A</t>
  </si>
  <si>
    <t>G00000178466A</t>
  </si>
  <si>
    <t>G00000178467A</t>
  </si>
  <si>
    <t>G00000178468A</t>
  </si>
  <si>
    <t>G00000178469A</t>
  </si>
  <si>
    <t>G00000178470A</t>
  </si>
  <si>
    <t>G00000178471A</t>
  </si>
  <si>
    <t>G00000178472A</t>
  </si>
  <si>
    <t>G00000178473A</t>
  </si>
  <si>
    <t>G00000178474A</t>
  </si>
  <si>
    <t>G00000178475A</t>
  </si>
  <si>
    <t>G00000178476A</t>
  </si>
  <si>
    <t>G00000178477A</t>
  </si>
  <si>
    <t>G00000178478A</t>
  </si>
  <si>
    <t>G00000178479A</t>
  </si>
  <si>
    <t>G00000178480A</t>
  </si>
  <si>
    <t>G00000178481A</t>
  </si>
  <si>
    <t>G00000178498A</t>
  </si>
  <si>
    <t>G00000178499A</t>
  </si>
  <si>
    <t>G00000178500A</t>
  </si>
  <si>
    <t>G00000178501A</t>
  </si>
  <si>
    <t>G00000178502A</t>
  </si>
  <si>
    <t>G00000178503A</t>
  </si>
  <si>
    <t>G00000178504A</t>
  </si>
  <si>
    <t>G00000178505A</t>
  </si>
  <si>
    <t>G00000178506A</t>
  </si>
  <si>
    <t>G00000178507A</t>
  </si>
  <si>
    <t>G00000178508A</t>
  </si>
  <si>
    <t>G00000178509A</t>
  </si>
  <si>
    <t>G00000178510A</t>
  </si>
  <si>
    <t>G00000178511A</t>
  </si>
  <si>
    <t>G00000178512A</t>
  </si>
  <si>
    <t>G00000178513A</t>
  </si>
  <si>
    <t>G00000178527A</t>
  </si>
  <si>
    <t>G00000178528A</t>
  </si>
  <si>
    <t>G00000178529A</t>
  </si>
  <si>
    <t>G00000178530A</t>
  </si>
  <si>
    <t>G00000178531A</t>
  </si>
  <si>
    <t>G00000178532A</t>
  </si>
  <si>
    <t>G00000178533A</t>
  </si>
  <si>
    <t>G00000178534A</t>
  </si>
  <si>
    <t>G00000178535A</t>
  </si>
  <si>
    <t>G00000178536A</t>
  </si>
  <si>
    <t>G00000178537A</t>
  </si>
  <si>
    <t>G00000178538A</t>
  </si>
  <si>
    <t>G00000178539A</t>
  </si>
  <si>
    <t>G00000178540A</t>
  </si>
  <si>
    <t>G00000178541A</t>
  </si>
  <si>
    <t>G00000178542A</t>
  </si>
  <si>
    <t>G00000178543A</t>
  </si>
  <si>
    <t>G00000178544A</t>
  </si>
  <si>
    <t>G00000178545A</t>
  </si>
  <si>
    <t>G00000178546A</t>
  </si>
  <si>
    <t>G00000178547A</t>
  </si>
  <si>
    <t>G00000178548A</t>
  </si>
  <si>
    <t>G00000178549A</t>
  </si>
  <si>
    <t>G00000178550A</t>
  </si>
  <si>
    <t>G00000178551A</t>
  </si>
  <si>
    <t>G00000178552A</t>
  </si>
  <si>
    <t>G00000178553A</t>
  </si>
  <si>
    <t>G00000178554A</t>
  </si>
  <si>
    <t>G00000178555A</t>
  </si>
  <si>
    <t>G00000178556A</t>
  </si>
  <si>
    <t>G00000178557A</t>
  </si>
  <si>
    <t>G00000178558A</t>
  </si>
  <si>
    <t>G00000178559A</t>
  </si>
  <si>
    <t>G00000178560A</t>
  </si>
  <si>
    <t>G00000178561A</t>
  </si>
  <si>
    <t>G00000178562A</t>
  </si>
  <si>
    <t>G00000178563A</t>
  </si>
  <si>
    <t>G00000178564A</t>
  </si>
  <si>
    <t>G00000178565A</t>
  </si>
  <si>
    <t>G00000178566A</t>
  </si>
  <si>
    <t>G00000178567A</t>
  </si>
  <si>
    <t>G00000178568A</t>
  </si>
  <si>
    <t>G00000178569A</t>
  </si>
  <si>
    <t>G00000178570A</t>
  </si>
  <si>
    <t>G00000178571A</t>
  </si>
  <si>
    <t>G00000178572A</t>
  </si>
  <si>
    <t>G00000178573A</t>
  </si>
  <si>
    <t>G00000178574A</t>
  </si>
  <si>
    <t>G00000178575A</t>
  </si>
  <si>
    <t>G00000178576A</t>
  </si>
  <si>
    <t>G00000178577A</t>
  </si>
  <si>
    <t>G00000178578A</t>
  </si>
  <si>
    <t>G00000178579A</t>
  </si>
  <si>
    <t>G00000178580A</t>
  </si>
  <si>
    <t>G00000178581A</t>
  </si>
  <si>
    <t>G00000178582A</t>
  </si>
  <si>
    <t>G00000178583A</t>
  </si>
  <si>
    <t>G00000178584A</t>
  </si>
  <si>
    <t>G00000178585A</t>
  </si>
  <si>
    <t>G00000178586A</t>
  </si>
  <si>
    <t>G00000178587A</t>
  </si>
  <si>
    <t>G00000178588A</t>
  </si>
  <si>
    <t>G00000178589A</t>
  </si>
  <si>
    <t>G00000178590A</t>
  </si>
  <si>
    <t>G00000178591A</t>
  </si>
  <si>
    <t>G00000178592A</t>
  </si>
  <si>
    <t>G00000178624A</t>
  </si>
  <si>
    <t>G00000178625A</t>
  </si>
  <si>
    <t>G00000178626A</t>
  </si>
  <si>
    <t>G00000178627A</t>
  </si>
  <si>
    <t>G00000178628A</t>
  </si>
  <si>
    <t>G00000178629A</t>
  </si>
  <si>
    <t>G00000178630A</t>
  </si>
  <si>
    <t>G00000178631A</t>
  </si>
  <si>
    <t>G00000178632A</t>
  </si>
  <si>
    <t>G00000178633A</t>
  </si>
  <si>
    <t>G00000178634A</t>
  </si>
  <si>
    <t>G00000178635A</t>
  </si>
  <si>
    <t>G00000178636A</t>
  </si>
  <si>
    <t>G00000178637A</t>
  </si>
  <si>
    <t>G00000178638A</t>
  </si>
  <si>
    <t>G00000178639A</t>
  </si>
  <si>
    <t>G00000178640A</t>
  </si>
  <si>
    <t>G00000178641A</t>
  </si>
  <si>
    <t>G00000178642A</t>
  </si>
  <si>
    <t>G00000178643A</t>
  </si>
  <si>
    <t>G00000178644A</t>
  </si>
  <si>
    <t>G00000178645A</t>
  </si>
  <si>
    <t>G00000178646A</t>
  </si>
  <si>
    <t>G00000178647A</t>
  </si>
  <si>
    <t>G00000178648A</t>
  </si>
  <si>
    <t>G00000178649A</t>
  </si>
  <si>
    <t>G00000178650A</t>
  </si>
  <si>
    <t>G00000178651A</t>
  </si>
  <si>
    <t>G00000178652A</t>
  </si>
  <si>
    <t>G00000178653A</t>
  </si>
  <si>
    <t>G00000178654A</t>
  </si>
  <si>
    <t>G00000178655A</t>
  </si>
  <si>
    <t>G00000178656A</t>
  </si>
  <si>
    <t>G00000178657A</t>
  </si>
  <si>
    <t>G00000178658A</t>
  </si>
  <si>
    <t>G00000178659A</t>
  </si>
  <si>
    <t>G00000178660A</t>
  </si>
  <si>
    <t>G00000178661A</t>
  </si>
  <si>
    <t>G00000178662A</t>
  </si>
  <si>
    <t>G00000178663A</t>
  </si>
  <si>
    <t>G00000178664A</t>
  </si>
  <si>
    <t>G00000178665A</t>
  </si>
  <si>
    <t>G00000178666A</t>
  </si>
  <si>
    <t>G00000178667A</t>
  </si>
  <si>
    <t>G00000178668A</t>
  </si>
  <si>
    <t>G00000178669A</t>
  </si>
  <si>
    <t>G00000178670A</t>
  </si>
  <si>
    <t>G00000178671A</t>
  </si>
  <si>
    <t>G00000178672A</t>
  </si>
  <si>
    <t>G00000178673A</t>
  </si>
  <si>
    <t>G00000178674A</t>
  </si>
  <si>
    <t>G00000178675A</t>
  </si>
  <si>
    <t>G00000178676A</t>
  </si>
  <si>
    <t>G00000178677A</t>
  </si>
  <si>
    <t>G00000178678A</t>
  </si>
  <si>
    <t>G00000178679A</t>
  </si>
  <si>
    <t>G00000178680A</t>
  </si>
  <si>
    <t>G00000178681A</t>
  </si>
  <si>
    <t>G00000178682A</t>
  </si>
  <si>
    <t>G00000178683A</t>
  </si>
  <si>
    <t>G00000178684A</t>
  </si>
  <si>
    <t>G00000178685A</t>
  </si>
  <si>
    <t>G00000178686A</t>
  </si>
  <si>
    <t>G00000178687A</t>
  </si>
  <si>
    <t>G00000178688A</t>
  </si>
  <si>
    <t>G00000178689A</t>
  </si>
  <si>
    <t>G00000178690A</t>
  </si>
  <si>
    <t>G00000178691A</t>
  </si>
  <si>
    <t>G00000178692A</t>
  </si>
  <si>
    <t>G00000178693A</t>
  </si>
  <si>
    <t>G00000178694A</t>
  </si>
  <si>
    <t>G00000178695A</t>
  </si>
  <si>
    <t>G00000178696A</t>
  </si>
  <si>
    <t>G00000178697A</t>
  </si>
  <si>
    <t>G00000178698A</t>
  </si>
  <si>
    <t>G00000178699A</t>
  </si>
  <si>
    <t>G00000178700A</t>
  </si>
  <si>
    <t>G00000178701A</t>
  </si>
  <si>
    <t>G00000178702A</t>
  </si>
  <si>
    <t>G00000178703A</t>
  </si>
  <si>
    <t>G00000178704A</t>
  </si>
  <si>
    <t>G00000178705A</t>
  </si>
  <si>
    <t>G00000178706A</t>
  </si>
  <si>
    <t>G00000178707A</t>
  </si>
  <si>
    <t>G00000178708A</t>
  </si>
  <si>
    <t>G00000178709A</t>
  </si>
  <si>
    <t>G00000178710A</t>
  </si>
  <si>
    <t>G00000178711A</t>
  </si>
  <si>
    <t>G00000178712A</t>
  </si>
  <si>
    <t>G00000178713A</t>
  </si>
  <si>
    <t>G00000178714A</t>
  </si>
  <si>
    <t>G00000178715A</t>
  </si>
  <si>
    <t>G00000178716A</t>
  </si>
  <si>
    <t>G00000178717A</t>
  </si>
  <si>
    <t>G00000178718A</t>
  </si>
  <si>
    <t>G00000178719A</t>
  </si>
  <si>
    <t>G00000178720A</t>
  </si>
  <si>
    <t>G00000178721A</t>
  </si>
  <si>
    <t>G00000178722A</t>
  </si>
  <si>
    <t>G00000178723A</t>
  </si>
  <si>
    <t>G00000178724A</t>
  </si>
  <si>
    <t>G00000178725A</t>
  </si>
  <si>
    <t>G00000179111A</t>
  </si>
  <si>
    <t>G00000179112A</t>
  </si>
  <si>
    <t>G00000179113A</t>
  </si>
  <si>
    <t>G00000179114A</t>
  </si>
  <si>
    <t>G00000179115A</t>
  </si>
  <si>
    <t>G00000179116A</t>
  </si>
  <si>
    <t>G00000179117A</t>
  </si>
  <si>
    <t>G00000179118A</t>
  </si>
  <si>
    <t>G00000179119A</t>
  </si>
  <si>
    <t>G00000179120A</t>
  </si>
  <si>
    <t>G00000179121A</t>
  </si>
  <si>
    <t>G00000179122A</t>
  </si>
  <si>
    <t>G00000179123A</t>
  </si>
  <si>
    <t>G00000179124A</t>
  </si>
  <si>
    <t>G00000179125A</t>
  </si>
  <si>
    <t>G00000179126A</t>
  </si>
  <si>
    <t>G00000179127A</t>
  </si>
  <si>
    <t>G00000179128A</t>
  </si>
  <si>
    <t>G00000179129A</t>
  </si>
  <si>
    <t>G00000179130A</t>
  </si>
  <si>
    <t>G00000179131A</t>
  </si>
  <si>
    <t>G00000179132A</t>
  </si>
  <si>
    <t>G00000179133A</t>
  </si>
  <si>
    <t>G00000179134A</t>
  </si>
  <si>
    <t>G00000179135A</t>
  </si>
  <si>
    <t>G00000179136A</t>
  </si>
  <si>
    <t>G00000179137A</t>
  </si>
  <si>
    <t>G00000179138A</t>
  </si>
  <si>
    <t>G00000179139A</t>
  </si>
  <si>
    <t>G00000179140A</t>
  </si>
  <si>
    <t>G00000179141A</t>
  </si>
  <si>
    <t>G00000179142A</t>
  </si>
  <si>
    <t>G00000179143A</t>
  </si>
  <si>
    <t>G00000179144A</t>
  </si>
  <si>
    <t>G00000179145A</t>
  </si>
  <si>
    <t>G00000179224A</t>
  </si>
  <si>
    <t>G00000179225A</t>
  </si>
  <si>
    <t>G00000179226A</t>
  </si>
  <si>
    <t>G00000179227A</t>
  </si>
  <si>
    <t>G00000179228A</t>
  </si>
  <si>
    <t>G00000179229A</t>
  </si>
  <si>
    <t>G00000179230A</t>
  </si>
  <si>
    <t>G00000179231A</t>
  </si>
  <si>
    <t>G00000179232A</t>
  </si>
  <si>
    <t>G00000179233A</t>
  </si>
  <si>
    <t>G00000179234A</t>
  </si>
  <si>
    <t>G00000179235A</t>
  </si>
  <si>
    <t>G00000179236A</t>
  </si>
  <si>
    <t>G00000179237A</t>
  </si>
  <si>
    <t>G00000179238A</t>
  </si>
  <si>
    <t>G00000179239A</t>
  </si>
  <si>
    <t>G00000179240A</t>
  </si>
  <si>
    <t>G00000179241A</t>
  </si>
  <si>
    <t>G00000179242A</t>
  </si>
  <si>
    <t>G00000179243A</t>
  </si>
  <si>
    <t>G00000179244A</t>
  </si>
  <si>
    <t>G00000179245A</t>
  </si>
  <si>
    <t>G00000179246A</t>
  </si>
  <si>
    <t>G00000179247A</t>
  </si>
  <si>
    <t>G00000179253A</t>
  </si>
  <si>
    <t>G00000179254A</t>
  </si>
  <si>
    <t>G00000179255A</t>
  </si>
  <si>
    <t>G00000179256A</t>
  </si>
  <si>
    <t>G00000179257A</t>
  </si>
  <si>
    <t>G00000179258A</t>
  </si>
  <si>
    <t>G00000179259A</t>
  </si>
  <si>
    <t>G00000179260A</t>
  </si>
  <si>
    <t>G00000179261A</t>
  </si>
  <si>
    <t>G00000179262A</t>
  </si>
  <si>
    <t>G00000179263A</t>
  </si>
  <si>
    <t>G00000179264A</t>
  </si>
  <si>
    <t>G00000179265A</t>
  </si>
  <si>
    <t>G00000179266A</t>
  </si>
  <si>
    <t>G00000179267A</t>
  </si>
  <si>
    <t>G00000179268A</t>
  </si>
  <si>
    <t>G00000179269A</t>
  </si>
  <si>
    <t>G00000179270A</t>
  </si>
  <si>
    <t>G00000179271A</t>
  </si>
  <si>
    <t>G00000179272A</t>
  </si>
  <si>
    <t>G00000179273A</t>
  </si>
  <si>
    <t>G00000179274A</t>
  </si>
  <si>
    <t>G00000179275A</t>
  </si>
  <si>
    <t>G00000179276A</t>
  </si>
  <si>
    <t>G00000179277A</t>
  </si>
  <si>
    <t>G00000179278A</t>
  </si>
  <si>
    <t>G00000179279A</t>
  </si>
  <si>
    <t>G00000179280A</t>
  </si>
  <si>
    <t>G00000179281A</t>
  </si>
  <si>
    <t>G00000179282A</t>
  </si>
  <si>
    <t>G00000179283A</t>
  </si>
  <si>
    <t>G00000179284A</t>
  </si>
  <si>
    <t>G00000179285A</t>
  </si>
  <si>
    <t>G00000179286A</t>
  </si>
  <si>
    <t>G00000179287A</t>
  </si>
  <si>
    <t>G00000179288A</t>
  </si>
  <si>
    <t>G00000179289A</t>
  </si>
  <si>
    <t>G00000179290A</t>
  </si>
  <si>
    <t>G00000179291A</t>
  </si>
  <si>
    <t>G00000179292A</t>
  </si>
  <si>
    <t>G00000179293A</t>
  </si>
  <si>
    <t>G00000179294A</t>
  </si>
  <si>
    <t>G00000179295A</t>
  </si>
  <si>
    <t>G00000179296A</t>
  </si>
  <si>
    <t>G00000179297A</t>
  </si>
  <si>
    <t>G00000179298A</t>
  </si>
  <si>
    <t>G00000179299A</t>
  </si>
  <si>
    <t>G00000179348A</t>
  </si>
  <si>
    <t>G00000179349A</t>
  </si>
  <si>
    <t>G00000179350A</t>
  </si>
  <si>
    <t>G00000179351A</t>
  </si>
  <si>
    <t>G00000179352A</t>
  </si>
  <si>
    <t>G00000179353A</t>
  </si>
  <si>
    <t>G00000179354A</t>
  </si>
  <si>
    <t>G00000179355A</t>
  </si>
  <si>
    <t>G00000179356A</t>
  </si>
  <si>
    <t>G00000179357A</t>
  </si>
  <si>
    <t>G00000179358A</t>
  </si>
  <si>
    <t>G00000179359A</t>
  </si>
  <si>
    <t>G00000179360A</t>
  </si>
  <si>
    <t>G00000179361A</t>
  </si>
  <si>
    <t>G00000179362A</t>
  </si>
  <si>
    <t>G00000179363A</t>
  </si>
  <si>
    <t>G00000179364A</t>
  </si>
  <si>
    <t>G00000179365A</t>
  </si>
  <si>
    <t>G00000179366A</t>
  </si>
  <si>
    <t>G00000179367A</t>
  </si>
  <si>
    <t>G00000179368A</t>
  </si>
  <si>
    <t>G00000179369A</t>
  </si>
  <si>
    <t>G00000179370A</t>
  </si>
  <si>
    <t>G00000179371A</t>
  </si>
  <si>
    <t>G00000179372A</t>
  </si>
  <si>
    <t>G00000179373A</t>
  </si>
  <si>
    <t>G00000179374A</t>
  </si>
  <si>
    <t>G00000179375A</t>
  </si>
  <si>
    <t>G00000179376A</t>
  </si>
  <si>
    <t>G00000179377A</t>
  </si>
  <si>
    <t>G00000179378A</t>
  </si>
  <si>
    <t>G00000179379A</t>
  </si>
  <si>
    <t>G00000179471A</t>
  </si>
  <si>
    <t>G00000179472A</t>
  </si>
  <si>
    <t>G00000179473A</t>
  </si>
  <si>
    <t>G00000179474A</t>
  </si>
  <si>
    <t>G00000179475A</t>
  </si>
  <si>
    <t>G00000179476A</t>
  </si>
  <si>
    <t>G00000179477A</t>
  </si>
  <si>
    <t>G00000179478A</t>
  </si>
  <si>
    <t>G00000179479A</t>
  </si>
  <si>
    <t>G00000179480A</t>
  </si>
  <si>
    <t>G00000179481A</t>
  </si>
  <si>
    <t>G00000179482A</t>
  </si>
  <si>
    <t>G00000179483A</t>
  </si>
  <si>
    <t>G00000179484A</t>
  </si>
  <si>
    <t>G00000179485A</t>
  </si>
  <si>
    <t>G00000179486A</t>
  </si>
  <si>
    <t>G00000179487A</t>
  </si>
  <si>
    <t>G00000179488A</t>
  </si>
  <si>
    <t>G00000179489A</t>
  </si>
  <si>
    <t>G00000179490A</t>
  </si>
  <si>
    <t>G00000179491A</t>
  </si>
  <si>
    <t>G00000179492A</t>
  </si>
  <si>
    <t>G00000179493A</t>
  </si>
  <si>
    <t>G00000179494A</t>
  </si>
  <si>
    <t>G00000179495A</t>
  </si>
  <si>
    <t>G00000179496A</t>
  </si>
  <si>
    <t>G00000179497A</t>
  </si>
  <si>
    <t>G00000179498A</t>
  </si>
  <si>
    <t>G00000179499A</t>
  </si>
  <si>
    <t>G00000179500A</t>
  </si>
  <si>
    <t>G00000179501A</t>
  </si>
  <si>
    <t>G00000179502A</t>
  </si>
  <si>
    <t>G00000179503A</t>
  </si>
  <si>
    <t>G00000179504A</t>
  </si>
  <si>
    <t>G00000179505A</t>
  </si>
  <si>
    <t>G00000179506A</t>
  </si>
  <si>
    <t>G00000179507A</t>
  </si>
  <si>
    <t>G00000179508A</t>
  </si>
  <si>
    <t>G00000179509A</t>
  </si>
  <si>
    <t>G00000179510A</t>
  </si>
  <si>
    <t>G00000179511A</t>
  </si>
  <si>
    <t>G00000179512A</t>
  </si>
  <si>
    <t>G00000179513A</t>
  </si>
  <si>
    <t>G00000179514A</t>
  </si>
  <si>
    <t>G00000179515A</t>
  </si>
  <si>
    <t>G00000179516A</t>
  </si>
  <si>
    <t>G00000179517A</t>
  </si>
  <si>
    <t>G00000179518A</t>
  </si>
  <si>
    <t>G00000179519A</t>
  </si>
  <si>
    <t>G00000179520A</t>
  </si>
  <si>
    <t>G00000179521A</t>
  </si>
  <si>
    <t>G00000179522A</t>
  </si>
  <si>
    <t>G00000179523A</t>
  </si>
  <si>
    <t>G00000179524A</t>
  </si>
  <si>
    <t>G00000179525A</t>
  </si>
  <si>
    <t>G00000179526A</t>
  </si>
  <si>
    <t>G00000179527A</t>
  </si>
  <si>
    <t>G00000179528A</t>
  </si>
  <si>
    <t>G00000179529A</t>
  </si>
  <si>
    <t>G00000179530A</t>
  </si>
  <si>
    <t>G00000179531A</t>
  </si>
  <si>
    <t>G00000179532A</t>
  </si>
  <si>
    <t>G00000179533A</t>
  </si>
  <si>
    <t>G00000179534A</t>
  </si>
  <si>
    <t>G00000179535A</t>
  </si>
  <si>
    <t>G00000179536A</t>
  </si>
  <si>
    <t>G00000179537A</t>
  </si>
  <si>
    <t>G00000179538A</t>
  </si>
  <si>
    <t>G00000179539A</t>
  </si>
  <si>
    <t>G00000179540A</t>
  </si>
  <si>
    <t>G00000179541A</t>
  </si>
  <si>
    <t>G00000179542A</t>
  </si>
  <si>
    <t>G00000179543A</t>
  </si>
  <si>
    <t>G00000179544A</t>
  </si>
  <si>
    <t>G00000179545A</t>
  </si>
  <si>
    <t>G00000179546A</t>
  </si>
  <si>
    <t>G00000179547A</t>
  </si>
  <si>
    <t>G00000179548A</t>
  </si>
  <si>
    <t>G00000179549A</t>
  </si>
  <si>
    <t>G00000179550A</t>
  </si>
  <si>
    <t>G00000179551A</t>
  </si>
  <si>
    <t>G00000179552A</t>
  </si>
  <si>
    <t>G00000179553A</t>
  </si>
  <si>
    <t>G00000179554A</t>
  </si>
  <si>
    <t>G00000179555A</t>
  </si>
  <si>
    <t>G00000179556A</t>
  </si>
  <si>
    <t>G00000179557A</t>
  </si>
  <si>
    <t>G00000179558A</t>
  </si>
  <si>
    <t>G00000179559A</t>
  </si>
  <si>
    <t>G00000179560A</t>
  </si>
  <si>
    <t>G00000179561A</t>
  </si>
  <si>
    <t>G00000179562A</t>
  </si>
  <si>
    <t>G00000179563A</t>
  </si>
  <si>
    <t>G00000179564A</t>
  </si>
  <si>
    <t>G00000179565A</t>
  </si>
  <si>
    <t>G00000179566A</t>
  </si>
  <si>
    <t>G00000179567A</t>
  </si>
  <si>
    <t>G00000179568A</t>
  </si>
  <si>
    <t>G00000179569A</t>
  </si>
  <si>
    <t>G00000179570A</t>
  </si>
  <si>
    <t>G00000179571A</t>
  </si>
  <si>
    <t>G00000179572A</t>
  </si>
  <si>
    <t>G00000179573A</t>
  </si>
  <si>
    <t>G00000179574A</t>
  </si>
  <si>
    <t>G00000179575A</t>
  </si>
  <si>
    <t>G00000179576A</t>
  </si>
  <si>
    <t>G00000179577A</t>
  </si>
  <si>
    <t>G00000179578A</t>
  </si>
  <si>
    <t>G00000179579A</t>
  </si>
  <si>
    <t>G00000179580A</t>
  </si>
  <si>
    <t>G00000179581A</t>
  </si>
  <si>
    <t>G00000179582A</t>
  </si>
  <si>
    <t>G00000179583A</t>
  </si>
  <si>
    <t>G00000179584A</t>
  </si>
  <si>
    <t>G00000179585A</t>
  </si>
  <si>
    <t>G00000179586A</t>
  </si>
  <si>
    <t>G00000179587A</t>
  </si>
  <si>
    <t>G00000179588A</t>
  </si>
  <si>
    <t>G00000179589A</t>
  </si>
  <si>
    <t>G00000179590A</t>
  </si>
  <si>
    <t>G00000179591A</t>
  </si>
  <si>
    <t>G00000179592A</t>
  </si>
  <si>
    <t>G00000179593A</t>
  </si>
  <si>
    <t>G00000179594A</t>
  </si>
  <si>
    <t>G00000179595A</t>
  </si>
  <si>
    <t>G00000179596A</t>
  </si>
  <si>
    <t>G00000179597A</t>
  </si>
  <si>
    <t>G00000179598A</t>
  </si>
  <si>
    <t>G00000179599A</t>
  </si>
  <si>
    <t>G00000179600A</t>
  </si>
  <si>
    <t>G00000179601A</t>
  </si>
  <si>
    <t>G00000179602A</t>
  </si>
  <si>
    <t>G00000179603A</t>
  </si>
  <si>
    <t>G00000179604A</t>
  </si>
  <si>
    <t>G00000179605A</t>
  </si>
  <si>
    <t>G00000179606A</t>
  </si>
  <si>
    <t>G00000179607A</t>
  </si>
  <si>
    <t>G00000179608A</t>
  </si>
  <si>
    <t>G00000179609A</t>
  </si>
  <si>
    <t>G00000179610A</t>
  </si>
  <si>
    <t>G00000179611A</t>
  </si>
  <si>
    <t>G00000179612A</t>
  </si>
  <si>
    <t>G00000179613A</t>
  </si>
  <si>
    <t>G00000179614A</t>
  </si>
  <si>
    <t>G00000179615A</t>
  </si>
  <si>
    <t>G00000179616A</t>
  </si>
  <si>
    <t>G00000179617A</t>
  </si>
  <si>
    <t>G00000179618A</t>
  </si>
  <si>
    <t>G00000179619A</t>
  </si>
  <si>
    <t>G00000179620A</t>
  </si>
  <si>
    <t>G00000179621A</t>
  </si>
  <si>
    <t>G00000179622A</t>
  </si>
  <si>
    <t>G00000179623A</t>
  </si>
  <si>
    <t>G00000179624A</t>
  </si>
  <si>
    <t>G00000179625A</t>
  </si>
  <si>
    <t>G00000179626A</t>
  </si>
  <si>
    <t>G00000179627A</t>
  </si>
  <si>
    <t>G00000179628A</t>
  </si>
  <si>
    <t>G00000179629A</t>
  </si>
  <si>
    <t>G00000179630A</t>
  </si>
  <si>
    <t>G00000179631A</t>
  </si>
  <si>
    <t>G00000179632A</t>
  </si>
  <si>
    <t>G00000179633A</t>
  </si>
  <si>
    <t>G00000179634A</t>
  </si>
  <si>
    <t>G00000179635A</t>
  </si>
  <si>
    <t>G00000179636A</t>
  </si>
  <si>
    <t>G00000179637A</t>
  </si>
  <si>
    <t>G00000179638A</t>
  </si>
  <si>
    <t>G00000179639A</t>
  </si>
  <si>
    <t>G00000179640A</t>
  </si>
  <si>
    <t>G00000179641A</t>
  </si>
  <si>
    <t>G00000179642A</t>
  </si>
  <si>
    <t>G00000179643A</t>
  </si>
  <si>
    <t>G00000179644A</t>
  </si>
  <si>
    <t>G00000179645A</t>
  </si>
  <si>
    <t>G00000179646A</t>
  </si>
  <si>
    <t>G00000179647A</t>
  </si>
  <si>
    <t>G00000179648A</t>
  </si>
  <si>
    <t>G00000179649A</t>
  </si>
  <si>
    <t>G00000179650A</t>
  </si>
  <si>
    <t>G00000179651A</t>
  </si>
  <si>
    <t>G00000179652A</t>
  </si>
  <si>
    <t>G00000179653A</t>
  </si>
  <si>
    <t>G00000179654A</t>
  </si>
  <si>
    <t>G00000179655A</t>
  </si>
  <si>
    <t>G00000179656A</t>
  </si>
  <si>
    <t>G00000179657A</t>
  </si>
  <si>
    <t>G00000179658A</t>
  </si>
  <si>
    <t>G00000179659A</t>
  </si>
  <si>
    <t>G00000179660A</t>
  </si>
  <si>
    <t>G00000179661A</t>
  </si>
  <si>
    <t>G00000179662A</t>
  </si>
  <si>
    <t>G00000179663A</t>
  </si>
  <si>
    <t>G00000179664A</t>
  </si>
  <si>
    <t>G00000179665A</t>
  </si>
  <si>
    <t>G00000179666A</t>
  </si>
  <si>
    <t>G00000179667A</t>
  </si>
  <si>
    <t>G00000179668A</t>
  </si>
  <si>
    <t>G00000179669A</t>
  </si>
  <si>
    <t>G00000179670A</t>
  </si>
  <si>
    <t>G00000179671A</t>
  </si>
  <si>
    <t>G00000179672A</t>
  </si>
  <si>
    <t>G00000179673A</t>
  </si>
  <si>
    <t>G00000179674A</t>
  </si>
  <si>
    <t>G00000179675A</t>
  </si>
  <si>
    <t>G00000179676A</t>
  </si>
  <si>
    <t>G00000179677A</t>
  </si>
  <si>
    <t>G00000179678A</t>
  </si>
  <si>
    <t>G00000179679A</t>
  </si>
  <si>
    <t>G00000179680A</t>
  </si>
  <si>
    <t>G00000179681A</t>
  </si>
  <si>
    <t>G00000179682A</t>
  </si>
  <si>
    <t>G00000179683A</t>
  </si>
  <si>
    <t>G00000179684A</t>
  </si>
  <si>
    <t>G00000179685A</t>
  </si>
  <si>
    <t>G00000179686A</t>
  </si>
  <si>
    <t>G00000179687A</t>
  </si>
  <si>
    <t>G00000179688A</t>
  </si>
  <si>
    <t>G00000179689A</t>
  </si>
  <si>
    <t>G00000179690A</t>
  </si>
  <si>
    <t>G00000179691A</t>
  </si>
  <si>
    <t>G00000179692A</t>
  </si>
  <si>
    <t>G00000179693A</t>
  </si>
  <si>
    <t>G00000179694A</t>
  </si>
  <si>
    <t>G00000179695A</t>
  </si>
  <si>
    <t>G00000179696A</t>
  </si>
  <si>
    <t>G00000179697A</t>
  </si>
  <si>
    <t>G00000179698A</t>
  </si>
  <si>
    <t>G00000179699A</t>
  </si>
  <si>
    <t>G00000179700A</t>
  </si>
  <si>
    <t>G00000179701A</t>
  </si>
  <si>
    <t>G00000179702A</t>
  </si>
  <si>
    <t>G00000179703A</t>
  </si>
  <si>
    <t>G00000179704A</t>
  </si>
  <si>
    <t>G00000179705A</t>
  </si>
  <si>
    <t>G00000179706A</t>
  </si>
  <si>
    <t>G00000179707A</t>
  </si>
  <si>
    <t>G00000179708A</t>
  </si>
  <si>
    <t>G00000179709A</t>
  </si>
  <si>
    <t>G00000179710A</t>
  </si>
  <si>
    <t>G00000179711A</t>
  </si>
  <si>
    <t>G00000179712A</t>
  </si>
  <si>
    <t>G00000179713A</t>
  </si>
  <si>
    <t>G00000179714A</t>
  </si>
  <si>
    <t>G00000179715A</t>
  </si>
  <si>
    <t>G00000179716A</t>
  </si>
  <si>
    <t>G00000179717A</t>
  </si>
  <si>
    <t>G00000179718A</t>
  </si>
  <si>
    <t>G00000179719A</t>
  </si>
  <si>
    <t>G00000179720A</t>
  </si>
  <si>
    <t>G00000179721A</t>
  </si>
  <si>
    <t>G00000179722A</t>
  </si>
  <si>
    <t>G00000179723A</t>
  </si>
  <si>
    <t>G00000179724A</t>
  </si>
  <si>
    <t>G00000179725A</t>
  </si>
  <si>
    <t>G00000179726A</t>
  </si>
  <si>
    <t>G00000179727A</t>
  </si>
  <si>
    <t>G00000179728A</t>
  </si>
  <si>
    <t>G00000179729A</t>
  </si>
  <si>
    <t>G00000179730A</t>
  </si>
  <si>
    <t>G00000179731A</t>
  </si>
  <si>
    <t>G00000179732A</t>
  </si>
  <si>
    <t>G00000179733A</t>
  </si>
  <si>
    <t>G00000179734A</t>
  </si>
  <si>
    <t>G00000179735A</t>
  </si>
  <si>
    <t>G00000179736A</t>
  </si>
  <si>
    <t>G00000179737A</t>
  </si>
  <si>
    <t>G00000179738A</t>
  </si>
  <si>
    <t>G00000179739A</t>
  </si>
  <si>
    <t>G00000179740A</t>
  </si>
  <si>
    <t>G00000179741A</t>
  </si>
  <si>
    <t>G00000179742A</t>
  </si>
  <si>
    <t>G00000179743A</t>
  </si>
  <si>
    <t>G00000179744A</t>
  </si>
  <si>
    <t>G00000179745A</t>
  </si>
  <si>
    <t>G00000179746A</t>
  </si>
  <si>
    <t>G00000179747A</t>
  </si>
  <si>
    <t>G00000179748A</t>
  </si>
  <si>
    <t>G00000179749A</t>
  </si>
  <si>
    <t>G00000179750A</t>
  </si>
  <si>
    <t>G00000179751A</t>
  </si>
  <si>
    <t>G00000179752A</t>
  </si>
  <si>
    <t>G00000179753A</t>
  </si>
  <si>
    <t>G00000179754A</t>
  </si>
  <si>
    <t>G00000179755A</t>
  </si>
  <si>
    <t>G00000179756A</t>
  </si>
  <si>
    <t>G00000179757A</t>
  </si>
  <si>
    <t>G00000179758A</t>
  </si>
  <si>
    <t>G00000179759A</t>
  </si>
  <si>
    <t>G00000179760A</t>
  </si>
  <si>
    <t>G00000179761A</t>
  </si>
  <si>
    <t>G00000179762A</t>
  </si>
  <si>
    <t>G00000179763A</t>
  </si>
  <si>
    <t>G00000179764A</t>
  </si>
  <si>
    <t>G00000179765A</t>
  </si>
  <si>
    <t>G00000179766A</t>
  </si>
  <si>
    <t>G00000179767A</t>
  </si>
  <si>
    <t>G00000179768A</t>
  </si>
  <si>
    <t>G00000179769A</t>
  </si>
  <si>
    <t>G00000179770A</t>
  </si>
  <si>
    <t>G00000179771A</t>
  </si>
  <si>
    <t>G00000179772A</t>
  </si>
  <si>
    <t>G00000179773A</t>
  </si>
  <si>
    <t>G00000179774A</t>
  </si>
  <si>
    <t>G00000179775A</t>
  </si>
  <si>
    <t>G00000179776A</t>
  </si>
  <si>
    <t>G00000179777A</t>
  </si>
  <si>
    <t>G00000179778A</t>
  </si>
  <si>
    <t>G00000179779A</t>
  </si>
  <si>
    <t>G00000179780A</t>
  </si>
  <si>
    <t>G00000179781A</t>
  </si>
  <si>
    <t>G00000179782A</t>
  </si>
  <si>
    <t>G00000179783A</t>
  </si>
  <si>
    <t>G00000179784A</t>
  </si>
  <si>
    <t>G00000179785A</t>
  </si>
  <si>
    <t>G00000179786A</t>
  </si>
  <si>
    <t>G00000179787A</t>
  </si>
  <si>
    <t>G00000179788A</t>
  </si>
  <si>
    <t>G00000179789A</t>
  </si>
  <si>
    <t>G00000179790A</t>
  </si>
  <si>
    <t>G00000179791A</t>
  </si>
  <si>
    <t>G00000179792A</t>
  </si>
  <si>
    <t>G00000179793A</t>
  </si>
  <si>
    <t>G00000179794A</t>
  </si>
  <si>
    <t>G00000179795A</t>
  </si>
  <si>
    <t>G00000179796A</t>
  </si>
  <si>
    <t>G00000179797A</t>
  </si>
  <si>
    <t>G00000179798A</t>
  </si>
  <si>
    <t>G00000179799A</t>
  </si>
  <si>
    <t>G00000179800A</t>
  </si>
  <si>
    <t>G00000179801A</t>
  </si>
  <si>
    <t>G00000179802A</t>
  </si>
  <si>
    <t>G00000179803A</t>
  </si>
  <si>
    <t>G00000179804A</t>
  </si>
  <si>
    <t>G00000179805A</t>
  </si>
  <si>
    <t>G00000179806A</t>
  </si>
  <si>
    <t>G00000179807A</t>
  </si>
  <si>
    <t>G00000179808A</t>
  </si>
  <si>
    <t>G00000179809A</t>
  </si>
  <si>
    <t>G00000179810A</t>
  </si>
  <si>
    <t>G00000179811A</t>
  </si>
  <si>
    <t>G00000179812A</t>
  </si>
  <si>
    <t>G00000179813A</t>
  </si>
  <si>
    <t>G00000179814A</t>
  </si>
  <si>
    <t>G00000179815A</t>
  </si>
  <si>
    <t>G00000179816A</t>
  </si>
  <si>
    <t>G00000179817A</t>
  </si>
  <si>
    <t>G00000179818A</t>
  </si>
  <si>
    <t>G00000179819A</t>
  </si>
  <si>
    <t>G00000179820A</t>
  </si>
  <si>
    <t>G00000179821A</t>
  </si>
  <si>
    <t>G00000179822A</t>
  </si>
  <si>
    <t>G00000179823A</t>
  </si>
  <si>
    <t>G00000179824A</t>
  </si>
  <si>
    <t>G00000179825A</t>
  </si>
  <si>
    <t>G00000179826A</t>
  </si>
  <si>
    <t>G00000179827A</t>
  </si>
  <si>
    <t>G00000179828A</t>
  </si>
  <si>
    <t>G00000179829A</t>
  </si>
  <si>
    <t>G00000179830A</t>
  </si>
  <si>
    <t>G00000179831A</t>
  </si>
  <si>
    <t>G00000179832A</t>
  </si>
  <si>
    <t>G00000179833A</t>
  </si>
  <si>
    <t>G00000179834A</t>
  </si>
  <si>
    <t>G00000179835A</t>
  </si>
  <si>
    <t>G00000179836A</t>
  </si>
  <si>
    <t>G00000179837A</t>
  </si>
  <si>
    <t>G00000179838A</t>
  </si>
  <si>
    <t>G00000179839A</t>
  </si>
  <si>
    <t>G00000179840A</t>
  </si>
  <si>
    <t>G00000179841A</t>
  </si>
  <si>
    <t>G00000179842A</t>
  </si>
  <si>
    <t>G00000179843A</t>
  </si>
  <si>
    <t>G00000179844A</t>
  </si>
  <si>
    <t>G00000179845A</t>
  </si>
  <si>
    <t>G00000179846A</t>
  </si>
  <si>
    <t>G00000179847A</t>
  </si>
  <si>
    <t>G00000179848A</t>
  </si>
  <si>
    <t>G00000179849A</t>
  </si>
  <si>
    <t>G00000179850A</t>
  </si>
  <si>
    <t>G00000179851A</t>
  </si>
  <si>
    <t>G00000179852A</t>
  </si>
  <si>
    <t>G00000179853A</t>
  </si>
  <si>
    <t>G00000179854A</t>
  </si>
  <si>
    <t>G00000179855A</t>
  </si>
  <si>
    <t>G00000179856A</t>
  </si>
  <si>
    <t>G00000179857A</t>
  </si>
  <si>
    <t>G00000179858A</t>
  </si>
  <si>
    <t>G00000179859A</t>
  </si>
  <si>
    <t>G00000179860A</t>
  </si>
  <si>
    <t>G00000179861A</t>
  </si>
  <si>
    <t>G00000179862A</t>
  </si>
  <si>
    <t>G00000179868A</t>
  </si>
  <si>
    <t>G00000179869A</t>
  </si>
  <si>
    <t>G00000179870A</t>
  </si>
  <si>
    <t>G00000179871A</t>
  </si>
  <si>
    <t>G00000179872A</t>
  </si>
  <si>
    <t>G00000179873A</t>
  </si>
  <si>
    <t>G00000179874A</t>
  </si>
  <si>
    <t>G00000179875A</t>
  </si>
  <si>
    <t>G00000179876A</t>
  </si>
  <si>
    <t>G00000179877A</t>
  </si>
  <si>
    <t>G00000179878A</t>
  </si>
  <si>
    <t>G00000179879A</t>
  </si>
  <si>
    <t>G00000179880A</t>
  </si>
  <si>
    <t>G00000179883A</t>
  </si>
  <si>
    <t>G00000179884A</t>
  </si>
  <si>
    <t>G00000179885A</t>
  </si>
  <si>
    <t>G00000179886A</t>
  </si>
  <si>
    <t>G00000179887A</t>
  </si>
  <si>
    <t>G00000179888A</t>
  </si>
  <si>
    <t>G00000179889A</t>
  </si>
  <si>
    <t>G00000179890A</t>
  </si>
  <si>
    <t>G00000179891A</t>
  </si>
  <si>
    <t>G00000179892A</t>
  </si>
  <si>
    <t>G00000179893A</t>
  </si>
  <si>
    <t>G00000179894A</t>
  </si>
  <si>
    <t>G00000179895A</t>
  </si>
  <si>
    <t>G00000179896A</t>
  </si>
  <si>
    <t>G00000179897A</t>
  </si>
  <si>
    <t>G00000179898A</t>
  </si>
  <si>
    <t>G00000179899A</t>
  </si>
  <si>
    <t>G00000179900A</t>
  </si>
  <si>
    <t>G00000179901A</t>
  </si>
  <si>
    <t>G00000179902A</t>
  </si>
  <si>
    <t>G00000179903A</t>
  </si>
  <si>
    <t>G00000179904A</t>
  </si>
  <si>
    <t>G00000179905A</t>
  </si>
  <si>
    <t>G00000179906A</t>
  </si>
  <si>
    <t>G00000179907A</t>
  </si>
  <si>
    <t>G00000179908A</t>
  </si>
  <si>
    <t>G00000179909A</t>
  </si>
  <si>
    <t>G00000179910A</t>
  </si>
  <si>
    <t>G00000179911A</t>
  </si>
  <si>
    <t>G00000179912A</t>
  </si>
  <si>
    <t>G00000179913A</t>
  </si>
  <si>
    <t>G00000179914A</t>
  </si>
  <si>
    <t>G00000179915A</t>
  </si>
  <si>
    <t>G00000179916A</t>
  </si>
  <si>
    <t>G00000179917A</t>
  </si>
  <si>
    <t>G00000179918A</t>
  </si>
  <si>
    <t>G00000179919A</t>
  </si>
  <si>
    <t>G00000179920A</t>
  </si>
  <si>
    <t>G00000179921A</t>
  </si>
  <si>
    <t>G00000179922A</t>
  </si>
  <si>
    <t>G00000179923A</t>
  </si>
  <si>
    <t>G00000179924A</t>
  </si>
  <si>
    <t>G00000179925A</t>
  </si>
  <si>
    <t>G00000179926A</t>
  </si>
  <si>
    <t>G00000179927A</t>
  </si>
  <si>
    <t>G00000179928A</t>
  </si>
  <si>
    <t>G00000179929A</t>
  </si>
  <si>
    <t>G00000179930A</t>
  </si>
  <si>
    <t>G00000179931A</t>
  </si>
  <si>
    <t>G00000179932A</t>
  </si>
  <si>
    <t>G00000179933A</t>
  </si>
  <si>
    <t>G00000179941A</t>
  </si>
  <si>
    <t>G00000179942A</t>
  </si>
  <si>
    <t>G00000179943A</t>
  </si>
  <si>
    <t>G00000179944A</t>
  </si>
  <si>
    <t>G00000179945A</t>
  </si>
  <si>
    <t>G00000179946A</t>
  </si>
  <si>
    <t>G00000179947A</t>
  </si>
  <si>
    <t>G00000179948A</t>
  </si>
  <si>
    <t>G00000179949A</t>
  </si>
  <si>
    <t>G00000179950A</t>
  </si>
  <si>
    <t>G00000179951A</t>
  </si>
  <si>
    <t>G00000179952A</t>
  </si>
  <si>
    <t>G00000179953A</t>
  </si>
  <si>
    <t>G00000179954A</t>
  </si>
  <si>
    <t>G00000179955A</t>
  </si>
  <si>
    <t>G00000179956A</t>
  </si>
  <si>
    <t>G00000179957A</t>
  </si>
  <si>
    <t>G00000179958A</t>
  </si>
  <si>
    <t>G00000179959A</t>
  </si>
  <si>
    <t>G00000179960A</t>
  </si>
  <si>
    <t>G00000179961A</t>
  </si>
  <si>
    <t>G00000179962A</t>
  </si>
  <si>
    <t>G00000179963A</t>
  </si>
  <si>
    <t>G00000179964A</t>
  </si>
  <si>
    <t>G00000179965A</t>
  </si>
  <si>
    <t>G00000179966A</t>
  </si>
  <si>
    <t>G00000179967A</t>
  </si>
  <si>
    <t>G00000179968A</t>
  </si>
  <si>
    <t>G00000179969A</t>
  </si>
  <si>
    <t>G00000179970A</t>
  </si>
  <si>
    <t>G00000179971A</t>
  </si>
  <si>
    <t>G00000179972A</t>
  </si>
  <si>
    <t>G00000179973A</t>
  </si>
  <si>
    <t>G00000179974A</t>
  </si>
  <si>
    <t>G00000179975A</t>
  </si>
  <si>
    <t>G00000179976A</t>
  </si>
  <si>
    <t>G00000179977A</t>
  </si>
  <si>
    <t>G00000179978A</t>
  </si>
  <si>
    <t>G00000179979A</t>
  </si>
  <si>
    <t>G00000179980A</t>
  </si>
  <si>
    <t>G00000179981A</t>
  </si>
  <si>
    <t>G00000179982A</t>
  </si>
  <si>
    <t>G00000179983A</t>
  </si>
  <si>
    <t>G00000179984A</t>
  </si>
  <si>
    <t>G00000179985A</t>
  </si>
  <si>
    <t>G00000179986A</t>
  </si>
  <si>
    <t>G00000179987A</t>
  </si>
  <si>
    <t>G00000179988A</t>
  </si>
  <si>
    <t>G00000179989A</t>
  </si>
  <si>
    <t>G00000179990A</t>
  </si>
  <si>
    <t>G00000179991A</t>
  </si>
  <si>
    <t>G00000179992A</t>
  </si>
  <si>
    <t>G00000179993A</t>
  </si>
  <si>
    <t>G00000179994A</t>
  </si>
  <si>
    <t>G00000179995A</t>
  </si>
  <si>
    <t>G00000179996A</t>
  </si>
  <si>
    <t>G00000179997A</t>
  </si>
  <si>
    <t>G00000179998A</t>
  </si>
  <si>
    <t>G00000179999A</t>
  </si>
  <si>
    <t>G00000180000A</t>
  </si>
  <si>
    <t>G00000180001A</t>
  </si>
  <si>
    <t>G00000180002A</t>
  </si>
  <si>
    <t>G00000180003A</t>
  </si>
  <si>
    <t>G00000180004A</t>
  </si>
  <si>
    <t>G00000180005A</t>
  </si>
  <si>
    <t>G00000180006A</t>
  </si>
  <si>
    <t>G00000180007A</t>
  </si>
  <si>
    <t>G00000180008A</t>
  </si>
  <si>
    <t>G00000180009A</t>
  </si>
  <si>
    <t>G00000180010A</t>
  </si>
  <si>
    <t>G00000180011A</t>
  </si>
  <si>
    <t>G00000180012A</t>
  </si>
  <si>
    <t>G00000180013A</t>
  </si>
  <si>
    <t>G00000180014A</t>
  </si>
  <si>
    <t>G00000180015A</t>
  </si>
  <si>
    <t>G00000180016A</t>
  </si>
  <si>
    <t>G00000180017A</t>
  </si>
  <si>
    <t>G00000180018A</t>
  </si>
  <si>
    <t>G00000180023A</t>
  </si>
  <si>
    <t>G00000180024A</t>
  </si>
  <si>
    <t>G00000180025A</t>
  </si>
  <si>
    <t>G00000180026A</t>
  </si>
  <si>
    <t>G00000180027A</t>
  </si>
  <si>
    <t>G00000180028A</t>
  </si>
  <si>
    <t>G00000180029A</t>
  </si>
  <si>
    <t>G00000180030A</t>
  </si>
  <si>
    <t>G00000180031A</t>
  </si>
  <si>
    <t>G00000180032A</t>
  </si>
  <si>
    <t>G00000180033A</t>
  </si>
  <si>
    <t>G00000180034A</t>
  </si>
  <si>
    <t>G00000180035A</t>
  </si>
  <si>
    <t>G00000180036A</t>
  </si>
  <si>
    <t>G00000180037A</t>
  </si>
  <si>
    <t>G00000180038A</t>
  </si>
  <si>
    <t>G00000180039A</t>
  </si>
  <si>
    <t>G00000180040A</t>
  </si>
  <si>
    <t>G00000180041A</t>
  </si>
  <si>
    <t>G00000180042A</t>
  </si>
  <si>
    <t>G00000180044A</t>
  </si>
  <si>
    <t>G00000180045A</t>
  </si>
  <si>
    <t>G00000180046A</t>
  </si>
  <si>
    <t>G00000180047A</t>
  </si>
  <si>
    <t>G00000180048A</t>
  </si>
  <si>
    <t>G00000180049A</t>
  </si>
  <si>
    <t>G00000180050A</t>
  </si>
  <si>
    <t>G00000180051A</t>
  </si>
  <si>
    <t>G00000180052A</t>
  </si>
  <si>
    <t>G00000180053A</t>
  </si>
  <si>
    <t>G00000180054A</t>
  </si>
  <si>
    <t>G00000180055A</t>
  </si>
  <si>
    <t>G00000180056A</t>
  </si>
  <si>
    <t>G00000180057A</t>
  </si>
  <si>
    <t>G00000180058A</t>
  </si>
  <si>
    <t>G00000180059A</t>
  </si>
  <si>
    <t>G00000180060A</t>
  </si>
  <si>
    <t>G00000180061A</t>
  </si>
  <si>
    <t>G00000180062A</t>
  </si>
  <si>
    <t>G00000180063A</t>
  </si>
  <si>
    <t>G00000180064A</t>
  </si>
  <si>
    <t>G00000180065A</t>
  </si>
  <si>
    <t>G00000180066A</t>
  </si>
  <si>
    <t>G00000180067A</t>
  </si>
  <si>
    <t>G00000180068A</t>
  </si>
  <si>
    <t>G00000180074A</t>
  </si>
  <si>
    <t>G00000180075A</t>
  </si>
  <si>
    <t>G00000180076A</t>
  </si>
  <si>
    <t>G00000180077A</t>
  </si>
  <si>
    <t>G00000180078A</t>
  </si>
  <si>
    <t>G00000180079A</t>
  </si>
  <si>
    <t>G00000180080A</t>
  </si>
  <si>
    <t>G00000180081A</t>
  </si>
  <si>
    <t>G00000180082A</t>
  </si>
  <si>
    <t>G00000180083A</t>
  </si>
  <si>
    <t>G00000180084A</t>
  </si>
  <si>
    <t>G00000180085A</t>
  </si>
  <si>
    <t>G00000180086A</t>
  </si>
  <si>
    <t>G00000180087A</t>
  </si>
  <si>
    <t>G00000180088A</t>
  </si>
  <si>
    <t>G00000180089A</t>
  </si>
  <si>
    <t>G00000180090A</t>
  </si>
  <si>
    <t>G00000180091A</t>
  </si>
  <si>
    <t>G00000180092A</t>
  </si>
  <si>
    <t>G00000180093A</t>
  </si>
  <si>
    <t>G00000180094A</t>
  </si>
  <si>
    <t>G00000180095A</t>
  </si>
  <si>
    <t>G00000180096A</t>
  </si>
  <si>
    <t>G00000180097A</t>
  </si>
  <si>
    <t>G00000180098A</t>
  </si>
  <si>
    <t>G00000180099A</t>
  </si>
  <si>
    <t>G00000180100A</t>
  </si>
  <si>
    <t>G00000180101A</t>
  </si>
  <si>
    <t>G00000180102A</t>
  </si>
  <si>
    <t>G00000180103A</t>
  </si>
  <si>
    <t>G00000180104A</t>
  </si>
  <si>
    <t>G00000180105A</t>
  </si>
  <si>
    <t>G00000180106A</t>
  </si>
  <si>
    <t>G00000180107A</t>
  </si>
  <si>
    <t>G00000180108A</t>
  </si>
  <si>
    <t>G00000180109A</t>
  </si>
  <si>
    <t>G00000180110A</t>
  </si>
  <si>
    <t>G00000180111A</t>
  </si>
  <si>
    <t>G00000180112A</t>
  </si>
  <si>
    <t>G00000180113A</t>
  </si>
  <si>
    <t>G00000180114A</t>
  </si>
  <si>
    <t>G00000180115A</t>
  </si>
  <si>
    <t>G00000180116A</t>
  </si>
  <si>
    <t>G00000180117A</t>
  </si>
  <si>
    <t>G00000180118A</t>
  </si>
  <si>
    <t>G00000180119A</t>
  </si>
  <si>
    <t>G00000180120A</t>
  </si>
  <si>
    <t>G00000180121A</t>
  </si>
  <si>
    <t>G00000180122A</t>
  </si>
  <si>
    <t>G00000180123A</t>
  </si>
  <si>
    <t>G00000180124A</t>
  </si>
  <si>
    <t>G00000180125A</t>
  </si>
  <si>
    <t>G00000180126A</t>
  </si>
  <si>
    <t>G00000180127A</t>
  </si>
  <si>
    <t>G00000180128A</t>
  </si>
  <si>
    <t>G00000180129A</t>
  </si>
  <si>
    <t>G00000180130A</t>
  </si>
  <si>
    <t>G00000180131A</t>
  </si>
  <si>
    <t>G00000180132A</t>
  </si>
  <si>
    <t>G00000180140A</t>
  </si>
  <si>
    <t>G00000180141A</t>
  </si>
  <si>
    <t>G00000180142A</t>
  </si>
  <si>
    <t>G00000180143A</t>
  </si>
  <si>
    <t>G00000180144A</t>
  </si>
  <si>
    <t>G00000180145A</t>
  </si>
  <si>
    <t>G00000180146A</t>
  </si>
  <si>
    <t>G00000180147A</t>
  </si>
  <si>
    <t>G00000180148A</t>
  </si>
  <si>
    <t>G00000180149A</t>
  </si>
  <si>
    <t>G00000180150A</t>
  </si>
  <si>
    <t>G00000180151A</t>
  </si>
  <si>
    <t>G00000180152A</t>
  </si>
  <si>
    <t>G00000180153A</t>
  </si>
  <si>
    <t>G00000180154A</t>
  </si>
  <si>
    <t>G00000180155A</t>
  </si>
  <si>
    <t>G00000180156A</t>
  </si>
  <si>
    <t>G00000180157A</t>
  </si>
  <si>
    <t>G00000180158A</t>
  </si>
  <si>
    <t>G00000180159A</t>
  </si>
  <si>
    <t>G00000180160A</t>
  </si>
  <si>
    <t>G00000180161A</t>
  </si>
  <si>
    <t>G00000180162A</t>
  </si>
  <si>
    <t>G00000180163A</t>
  </si>
  <si>
    <t>G00000180164A</t>
  </si>
  <si>
    <t>G00000180165A</t>
  </si>
  <si>
    <t>G00000180173A</t>
  </si>
  <si>
    <t>G00000180174A</t>
  </si>
  <si>
    <t>G00000180175A</t>
  </si>
  <si>
    <t>G00000180176A</t>
  </si>
  <si>
    <t>G00000180177A</t>
  </si>
  <si>
    <t>G00000180178A</t>
  </si>
  <si>
    <t>G00000180179A</t>
  </si>
  <si>
    <t>G00000180180A</t>
  </si>
  <si>
    <t>G00000180181A</t>
  </si>
  <si>
    <t>G00000180182A</t>
  </si>
  <si>
    <t>G00000180183A</t>
  </si>
  <si>
    <t>G00000180184A</t>
  </si>
  <si>
    <t>G00000180185A</t>
  </si>
  <si>
    <t>G00000180186A</t>
  </si>
  <si>
    <t>G00000180187A</t>
  </si>
  <si>
    <t>G00000180188A</t>
  </si>
  <si>
    <t>G00000180189A</t>
  </si>
  <si>
    <t>G00000180190A</t>
  </si>
  <si>
    <t>G00000180191A</t>
  </si>
  <si>
    <t>G00000180192A</t>
  </si>
  <si>
    <t>G00000180193A</t>
  </si>
  <si>
    <t>G00000180194A</t>
  </si>
  <si>
    <t>G00000180195A</t>
  </si>
  <si>
    <t>G00000180196A</t>
  </si>
  <si>
    <t>G00000180204A</t>
  </si>
  <si>
    <t>G00000180205A</t>
  </si>
  <si>
    <t>G00000180206A</t>
  </si>
  <si>
    <t>G00000180207A</t>
  </si>
  <si>
    <t>G00000180208A</t>
  </si>
  <si>
    <t>G00000180209A</t>
  </si>
  <si>
    <t>G00000180210A</t>
  </si>
  <si>
    <t>G00000180211A</t>
  </si>
  <si>
    <t>G00000180212A</t>
  </si>
  <si>
    <t>G00000180213A</t>
  </si>
  <si>
    <t>G00000180214A</t>
  </si>
  <si>
    <t>G00000180215A</t>
  </si>
  <si>
    <t>G00000180216A</t>
  </si>
  <si>
    <t>G00000180217A</t>
  </si>
  <si>
    <t>G00000180218A</t>
  </si>
  <si>
    <t>G00000180219A</t>
  </si>
  <si>
    <t>G00000180220A</t>
  </si>
  <si>
    <t>G00000180221A</t>
  </si>
  <si>
    <t>G00000180222A</t>
  </si>
  <si>
    <t>G00000180223A</t>
  </si>
  <si>
    <t>G00000180224A</t>
  </si>
  <si>
    <t>G00000180225A</t>
  </si>
  <si>
    <t>G00000180226A</t>
  </si>
  <si>
    <t>G00000180227A</t>
  </si>
  <si>
    <t>G00000180229A</t>
  </si>
  <si>
    <t>G00000180230A</t>
  </si>
  <si>
    <t>G00000180231A</t>
  </si>
  <si>
    <t>G00000180232A</t>
  </si>
  <si>
    <t>G00000180233A</t>
  </si>
  <si>
    <t>G00000180234A</t>
  </si>
  <si>
    <t>G00000180235A</t>
  </si>
  <si>
    <t>G00000180236A</t>
  </si>
  <si>
    <t>G00000180237A</t>
  </si>
  <si>
    <t>G00000180238A</t>
  </si>
  <si>
    <t>G00000180239A</t>
  </si>
  <si>
    <t>G00000180240A</t>
  </si>
  <si>
    <t>G00000180241A</t>
  </si>
  <si>
    <t>G00000180242A</t>
  </si>
  <si>
    <t>G00000180243A</t>
  </si>
  <si>
    <t>G00000180244A</t>
  </si>
  <si>
    <t>G00000180245A</t>
  </si>
  <si>
    <t>G00000180246A</t>
  </si>
  <si>
    <t>G00000180247A</t>
  </si>
  <si>
    <t>G00000180248A</t>
  </si>
  <si>
    <t>G00000180249A</t>
  </si>
  <si>
    <t>G00000180250A</t>
  </si>
  <si>
    <t>G00000180251A</t>
  </si>
  <si>
    <t>G00000180252A</t>
  </si>
  <si>
    <t>G00000180253A</t>
  </si>
  <si>
    <t>G00000180254A</t>
  </si>
  <si>
    <t>G00000180255A</t>
  </si>
  <si>
    <t>G00000180256A</t>
  </si>
  <si>
    <t>G00000180257A</t>
  </si>
  <si>
    <t>G00000180258A</t>
  </si>
  <si>
    <t>G00000180259A</t>
  </si>
  <si>
    <t>G00000180260A</t>
  </si>
  <si>
    <t>G00000180261A</t>
  </si>
  <si>
    <t>G00000180262A</t>
  </si>
  <si>
    <t>G00000180263A</t>
  </si>
  <si>
    <t>G00000180264A</t>
  </si>
  <si>
    <t>G00000180265A</t>
  </si>
  <si>
    <t>G00000180266A</t>
  </si>
  <si>
    <t>G00000180267A</t>
  </si>
  <si>
    <t>G00000180268A</t>
  </si>
  <si>
    <t>G00000180269A</t>
  </si>
  <si>
    <t>G00000180270A</t>
  </si>
  <si>
    <t>G00000180271A</t>
  </si>
  <si>
    <t>G00000180272A</t>
  </si>
  <si>
    <t>G00000180275A</t>
  </si>
  <si>
    <t>G00000180276A</t>
  </si>
  <si>
    <t>G00000180277A</t>
  </si>
  <si>
    <t>G00000180278A</t>
  </si>
  <si>
    <t>G00000180279A</t>
  </si>
  <si>
    <t>G00000180280A</t>
  </si>
  <si>
    <t>G00000180281A</t>
  </si>
  <si>
    <t>G00000180282A</t>
  </si>
  <si>
    <t>G00000180283A</t>
  </si>
  <si>
    <t>G00000180284A</t>
  </si>
  <si>
    <t>G00000180285A</t>
  </si>
  <si>
    <t>G00000180286A</t>
  </si>
  <si>
    <t>G00000180287A</t>
  </si>
  <si>
    <t>G00000180288A</t>
  </si>
  <si>
    <t>G00000180289A</t>
  </si>
  <si>
    <t>G00000180290A</t>
  </si>
  <si>
    <t>G00000180291A</t>
  </si>
  <si>
    <t>G00000180292A</t>
  </si>
  <si>
    <t>G00000180293A</t>
  </si>
  <si>
    <t>G00000180294A</t>
  </si>
  <si>
    <t>G00000180295A</t>
  </si>
  <si>
    <t>G00000180296A</t>
  </si>
  <si>
    <t>G00000180297A</t>
  </si>
  <si>
    <t>G00000180298A</t>
  </si>
  <si>
    <t>G00000180299A</t>
  </si>
  <si>
    <t>G00000180300A</t>
  </si>
  <si>
    <t>G00000180301A</t>
  </si>
  <si>
    <t>G00000180302A</t>
  </si>
  <si>
    <t>G00000180303A</t>
  </si>
  <si>
    <t>G00000180304A</t>
  </si>
  <si>
    <t>G00000180305A</t>
  </si>
  <si>
    <t>G00000180306A</t>
  </si>
  <si>
    <t>G00000180307A</t>
  </si>
  <si>
    <t>G00000180308A</t>
  </si>
  <si>
    <t>G00000180309A</t>
  </si>
  <si>
    <t>G00000180310A</t>
  </si>
  <si>
    <t>G00000180311A</t>
  </si>
  <si>
    <t>G00000180312A</t>
  </si>
  <si>
    <t>G00000180313A</t>
  </si>
  <si>
    <t>G00000180314A</t>
  </si>
  <si>
    <t>G00000180315A</t>
  </si>
  <si>
    <t>G00000180316A</t>
  </si>
  <si>
    <t>G00000180317A</t>
  </si>
  <si>
    <t>G00000180320A</t>
  </si>
  <si>
    <t>G00000180321A</t>
  </si>
  <si>
    <t>G00000180322A</t>
  </si>
  <si>
    <t>G00000180323A</t>
  </si>
  <si>
    <t>G00000180324A</t>
  </si>
  <si>
    <t>G00000180325A</t>
  </si>
  <si>
    <t>G00000180326A</t>
  </si>
  <si>
    <t>G00000180327A</t>
  </si>
  <si>
    <t>G00000180328A</t>
  </si>
  <si>
    <t>G00000180329A</t>
  </si>
  <si>
    <t>G00000180330A</t>
  </si>
  <si>
    <t>G00000180331A</t>
  </si>
  <si>
    <t>G00000180332A</t>
  </si>
  <si>
    <t>G00000180333A</t>
  </si>
  <si>
    <t>G00000180334A</t>
  </si>
  <si>
    <t>G00000180335A</t>
  </si>
  <si>
    <t>G00000180336A</t>
  </si>
  <si>
    <t>G00000180337A</t>
  </si>
  <si>
    <t>G00000180338A</t>
  </si>
  <si>
    <t>G00000180339A</t>
  </si>
  <si>
    <t>G00000180340A</t>
  </si>
  <si>
    <t>G00000180341A</t>
  </si>
  <si>
    <t>G00000180342A</t>
  </si>
  <si>
    <t>G00000180343A</t>
  </si>
  <si>
    <t>G00000180344A</t>
  </si>
  <si>
    <t>G00000180345A</t>
  </si>
  <si>
    <t>G00000180346A</t>
  </si>
  <si>
    <t>G00000180347A</t>
  </si>
  <si>
    <t>G00000180348A</t>
  </si>
  <si>
    <t>G00000180349A</t>
  </si>
  <si>
    <t>G00000180350A</t>
  </si>
  <si>
    <t>G00000180351A</t>
  </si>
  <si>
    <t>G00000180352A</t>
  </si>
  <si>
    <t>G00000180353A</t>
  </si>
  <si>
    <t>G00000180354A</t>
  </si>
  <si>
    <t>G00000180355A</t>
  </si>
  <si>
    <t>G00000180356A</t>
  </si>
  <si>
    <t>G00000180357A</t>
  </si>
  <si>
    <t>G00000180358A</t>
  </si>
  <si>
    <t>G00000180359A</t>
  </si>
  <si>
    <t>G00000180360A</t>
  </si>
  <si>
    <t>G00000180361A</t>
  </si>
  <si>
    <t>G00000180362A</t>
  </si>
  <si>
    <t>G00000180363A</t>
  </si>
  <si>
    <t>G00000180364A</t>
  </si>
  <si>
    <t>G00000180365A</t>
  </si>
  <si>
    <t>G00000180366A</t>
  </si>
  <si>
    <t>G00000180367A</t>
  </si>
  <si>
    <t>G00000180368A</t>
  </si>
  <si>
    <t>G00000180369A</t>
  </si>
  <si>
    <t>G00000180370A</t>
  </si>
  <si>
    <t>G00000180371A</t>
  </si>
  <si>
    <t>G00000180372A</t>
  </si>
  <si>
    <t>G00000180373A</t>
  </si>
  <si>
    <t>G00000180374A</t>
  </si>
  <si>
    <t>G00000180375A</t>
  </si>
  <si>
    <t>G00000180376A</t>
  </si>
  <si>
    <t>G00000180377A</t>
  </si>
  <si>
    <t>G00000180378A</t>
  </si>
  <si>
    <t>G00000180379A</t>
  </si>
  <si>
    <t>G00000180380A</t>
  </si>
  <si>
    <t>G00000180381A</t>
  </si>
  <si>
    <t>G00000180382A</t>
  </si>
  <si>
    <t>G00000180383A</t>
  </si>
  <si>
    <t>G00000180384A</t>
  </si>
  <si>
    <t>G00000180385A</t>
  </si>
  <si>
    <t>G00000180386A</t>
  </si>
  <si>
    <t>G00000180387A</t>
  </si>
  <si>
    <t>G00000180388A</t>
  </si>
  <si>
    <t>G00000180389A</t>
  </si>
  <si>
    <t>G00000180390A</t>
  </si>
  <si>
    <t>G00000180391A</t>
  </si>
  <si>
    <t>G00000180392A</t>
  </si>
  <si>
    <t>G00000180393A</t>
  </si>
  <si>
    <t>G00000180394A</t>
  </si>
  <si>
    <t>G00000180395A</t>
  </si>
  <si>
    <t>G00000180396A</t>
  </si>
  <si>
    <t>G00000180397A</t>
  </si>
  <si>
    <t>G00000180398A</t>
  </si>
  <si>
    <t>G00000180399A</t>
  </si>
  <si>
    <t>G00000180400A</t>
  </si>
  <si>
    <t>G00000180401A</t>
  </si>
  <si>
    <t>G00000180402A</t>
  </si>
  <si>
    <t>G00000180403A</t>
  </si>
  <si>
    <t>G00000180404A</t>
  </si>
  <si>
    <t>G00000180405A</t>
  </si>
  <si>
    <t>G00000180406A</t>
  </si>
  <si>
    <t>G00000180407A</t>
  </si>
  <si>
    <t>G00000180408A</t>
  </si>
  <si>
    <t>G00000180409A</t>
  </si>
  <si>
    <t>G00000180410A</t>
  </si>
  <si>
    <t>G00000180411A</t>
  </si>
  <si>
    <t>G00000180412A</t>
  </si>
  <si>
    <t>G00000180413A</t>
  </si>
  <si>
    <t>G00000180414A</t>
  </si>
  <si>
    <t>G00000180415A</t>
  </si>
  <si>
    <t>G00000180416A</t>
  </si>
  <si>
    <t>G00000180417A</t>
  </si>
  <si>
    <t>G00000180418A</t>
  </si>
  <si>
    <t>G00000180419A</t>
  </si>
  <si>
    <t>G00000180420A</t>
  </si>
  <si>
    <t>G00000180421A</t>
  </si>
  <si>
    <t>G00000180422A</t>
  </si>
  <si>
    <t>G00000180423A</t>
  </si>
  <si>
    <t>G00000180424A</t>
  </si>
  <si>
    <t>G00000180425A</t>
  </si>
  <si>
    <t>G00000180426A</t>
  </si>
  <si>
    <t>G00000180427A</t>
  </si>
  <si>
    <t>G00000180428A</t>
  </si>
  <si>
    <t>G00000180429A</t>
  </si>
  <si>
    <t>G00000180430A</t>
  </si>
  <si>
    <t>G00000180431A</t>
  </si>
  <si>
    <t>G00000180432A</t>
  </si>
  <si>
    <t>G00000180433A</t>
  </si>
  <si>
    <t>G00000180434A</t>
  </si>
  <si>
    <t>G00000180435A</t>
  </si>
  <si>
    <t>G00000180436A</t>
  </si>
  <si>
    <t>G00000180437A</t>
  </si>
  <si>
    <t>G00000180438A</t>
  </si>
  <si>
    <t>G00000180439A</t>
  </si>
  <si>
    <t>G00000180440A</t>
  </si>
  <si>
    <t>G00000180441A</t>
  </si>
  <si>
    <t>G00000180442A</t>
  </si>
  <si>
    <t>G00000180443A</t>
  </si>
  <si>
    <t>G00000180444A</t>
  </si>
  <si>
    <t>G00000180445A</t>
  </si>
  <si>
    <t>G00000180446A</t>
  </si>
  <si>
    <t>G00000180447A</t>
  </si>
  <si>
    <t>G00000180448A</t>
  </si>
  <si>
    <t>G00000180449A</t>
  </si>
  <si>
    <t>G00000180450A</t>
  </si>
  <si>
    <t>G00000180451A</t>
  </si>
  <si>
    <t>G00000180452A</t>
  </si>
  <si>
    <t>G00000180453A</t>
  </si>
  <si>
    <t>G00000180454A</t>
  </si>
  <si>
    <t>G00000180455A</t>
  </si>
  <si>
    <t>G00000180456A</t>
  </si>
  <si>
    <t>G00000180457A</t>
  </si>
  <si>
    <t>G00000180458A</t>
  </si>
  <si>
    <t>G00000180459A</t>
  </si>
  <si>
    <t>G00000180460A</t>
  </si>
  <si>
    <t>G00000180461A</t>
  </si>
  <si>
    <t>G00000180462A</t>
  </si>
  <si>
    <t>G00000180463A</t>
  </si>
  <si>
    <t>G00000180464A</t>
  </si>
  <si>
    <t>G00000180465A</t>
  </si>
  <si>
    <t>G00000180466A</t>
  </si>
  <si>
    <t>G00000180467A</t>
  </si>
  <si>
    <t>G00000180468A</t>
  </si>
  <si>
    <t>G00000180469A</t>
  </si>
  <si>
    <t>G00000180470A</t>
  </si>
  <si>
    <t>G00000180471A</t>
  </si>
  <si>
    <t>G00000180472A</t>
  </si>
  <si>
    <t>G00000180473A</t>
  </si>
  <si>
    <t>G00000180474A</t>
  </si>
  <si>
    <t>G00000180475A</t>
  </si>
  <si>
    <t>G00000180476A</t>
  </si>
  <si>
    <t>G00000180477A</t>
  </si>
  <si>
    <t>G00000180478A</t>
  </si>
  <si>
    <t>G00000180479A</t>
  </si>
  <si>
    <t>G00000180480A</t>
  </si>
  <si>
    <t>G00000180481A</t>
  </si>
  <si>
    <t>G00000180482A</t>
  </si>
  <si>
    <t>G00000180483A</t>
  </si>
  <si>
    <t>G00000180484A</t>
  </si>
  <si>
    <t>G00000180485A</t>
  </si>
  <si>
    <t>G00000180486A</t>
  </si>
  <si>
    <t>G00000180487A</t>
  </si>
  <si>
    <t>G00000180488A</t>
  </si>
  <si>
    <t>G00000180489A</t>
  </si>
  <si>
    <t>G00000180490A</t>
  </si>
  <si>
    <t>G00000180491A</t>
  </si>
  <si>
    <t>G00000180492A</t>
  </si>
  <si>
    <t>G00000180493A</t>
  </si>
  <si>
    <t>G00000180494A</t>
  </si>
  <si>
    <t>G00000180495A</t>
  </si>
  <si>
    <t>G00000180496A</t>
  </si>
  <si>
    <t>G00000180497A</t>
  </si>
  <si>
    <t>G00000180498A</t>
  </si>
  <si>
    <t>G00000180499A</t>
  </si>
  <si>
    <t>G00000180500A</t>
  </si>
  <si>
    <t>G00000180501A</t>
  </si>
  <si>
    <t>G00000180502A</t>
  </si>
  <si>
    <t>G00000180503A</t>
  </si>
  <si>
    <t>G00000180504A</t>
  </si>
  <si>
    <t>G00000180505A</t>
  </si>
  <si>
    <t>G00000180506A</t>
  </si>
  <si>
    <t>G00000180507A</t>
  </si>
  <si>
    <t>G00000180508A</t>
  </si>
  <si>
    <t>G00000180509A</t>
  </si>
  <si>
    <t>G00000180510A</t>
  </si>
  <si>
    <t>G00000180511A</t>
  </si>
  <si>
    <t>G00000180512A</t>
  </si>
  <si>
    <t>G00000180513A</t>
  </si>
  <si>
    <t>G00000180514A</t>
  </si>
  <si>
    <t>G00000180515A</t>
  </si>
  <si>
    <t>G00000180516A</t>
  </si>
  <si>
    <t>G00000180517A</t>
  </si>
  <si>
    <t>G00000180518A</t>
  </si>
  <si>
    <t>G00000180519A</t>
  </si>
  <si>
    <t>G00000180520A</t>
  </si>
  <si>
    <t>G00000180521A</t>
  </si>
  <si>
    <t>G00000180522A</t>
  </si>
  <si>
    <t>G00000180523A</t>
  </si>
  <si>
    <t>G00000180524A</t>
  </si>
  <si>
    <t>G00000180525A</t>
  </si>
  <si>
    <t>G00000180526A</t>
  </si>
  <si>
    <t>G00000180527A</t>
  </si>
  <si>
    <t>G00000180528A</t>
  </si>
  <si>
    <t>G00000180529A</t>
  </si>
  <si>
    <t>G00000180530A</t>
  </si>
  <si>
    <t>G00000180531A</t>
  </si>
  <si>
    <t>G00000180532A</t>
  </si>
  <si>
    <t>G00000180533A</t>
  </si>
  <si>
    <t>G00000180534A</t>
  </si>
  <si>
    <t>G00000180535A</t>
  </si>
  <si>
    <t>G00000180536A</t>
  </si>
  <si>
    <t>G00000180537A</t>
  </si>
  <si>
    <t>G00000180538A</t>
  </si>
  <si>
    <t>G00000180539A</t>
  </si>
  <si>
    <t>G00000180540A</t>
  </si>
  <si>
    <t>G00000180541A</t>
  </si>
  <si>
    <t>G00000180542A</t>
  </si>
  <si>
    <t>G00000180543A</t>
  </si>
  <si>
    <t>G00000180544A</t>
  </si>
  <si>
    <t>G00000180545A</t>
  </si>
  <si>
    <t>G00000180546A</t>
  </si>
  <si>
    <t>G00000180547A</t>
  </si>
  <si>
    <t>G00000180548A</t>
  </si>
  <si>
    <t>G00000180549A</t>
  </si>
  <si>
    <t>G00000180550A</t>
  </si>
  <si>
    <t>G00000180551A</t>
  </si>
  <si>
    <t>G00000180552A</t>
  </si>
  <si>
    <t>G00000180553A</t>
  </si>
  <si>
    <t>G00000180554A</t>
  </si>
  <si>
    <t>G00000180555A</t>
  </si>
  <si>
    <t>G00000180556A</t>
  </si>
  <si>
    <t>G00000180557A</t>
  </si>
  <si>
    <t>G00000180558A</t>
  </si>
  <si>
    <t>G00000180559A</t>
  </si>
  <si>
    <t>G00000180560A</t>
  </si>
  <si>
    <t>G00000180561A</t>
  </si>
  <si>
    <t>G00000180562A</t>
  </si>
  <si>
    <t>G00000180563A</t>
  </si>
  <si>
    <t>G00000180564A</t>
  </si>
  <si>
    <t>G00000180565A</t>
  </si>
  <si>
    <t>G00000180566A</t>
  </si>
  <si>
    <t>G00000180567A</t>
  </si>
  <si>
    <t>G00000180568A</t>
  </si>
  <si>
    <t>G00000180569A</t>
  </si>
  <si>
    <t>G00000180570A</t>
  </si>
  <si>
    <t>G00000180571A</t>
  </si>
  <si>
    <t>G00000180572A</t>
  </si>
  <si>
    <t>G00000180573A</t>
  </si>
  <si>
    <t>G00000180574A</t>
  </si>
  <si>
    <t>G00000180575A</t>
  </si>
  <si>
    <t>G00000180576A</t>
  </si>
  <si>
    <t>G00000180577A</t>
  </si>
  <si>
    <t>G00000180578A</t>
  </si>
  <si>
    <t>G00000180579A</t>
  </si>
  <si>
    <t>G00000180580A</t>
  </si>
  <si>
    <t>G00000180581A</t>
  </si>
  <si>
    <t>G00000180582A</t>
  </si>
  <si>
    <t>G00000180583A</t>
  </si>
  <si>
    <t>G00000180584A</t>
  </si>
  <si>
    <t>G00000180585A</t>
  </si>
  <si>
    <t>G00000180586A</t>
  </si>
  <si>
    <t>G00000180587A</t>
  </si>
  <si>
    <t>G00000180588A</t>
  </si>
  <si>
    <t>G00000180589A</t>
  </si>
  <si>
    <t>G00000180590A</t>
  </si>
  <si>
    <t>G00000180591A</t>
  </si>
  <si>
    <t>G00000180592A</t>
  </si>
  <si>
    <t>G00000180593A</t>
  </si>
  <si>
    <t>G00000180594A</t>
  </si>
  <si>
    <t>G00000180595A</t>
  </si>
  <si>
    <t>G00000180596A</t>
  </si>
  <si>
    <t>G00000180597A</t>
  </si>
  <si>
    <t>G00000180598A</t>
  </si>
  <si>
    <t>G00000180599A</t>
  </si>
  <si>
    <t>G00000180600A</t>
  </si>
  <si>
    <t>G00000180601A</t>
  </si>
  <si>
    <t>G00000180602A</t>
  </si>
  <si>
    <t>G00000180603A</t>
  </si>
  <si>
    <t>G00000180604A</t>
  </si>
  <si>
    <t>G00000180605A</t>
  </si>
  <si>
    <t>G00000180606A</t>
  </si>
  <si>
    <t>G00000180607A</t>
  </si>
  <si>
    <t>G00000180608A</t>
  </si>
  <si>
    <t>G00000180609A</t>
  </si>
  <si>
    <t>G00000180610A</t>
  </si>
  <si>
    <t>G00000180611A</t>
  </si>
  <si>
    <t>G00000180612A</t>
  </si>
  <si>
    <t>G00000180613A</t>
  </si>
  <si>
    <t>G00000180614A</t>
  </si>
  <si>
    <t>G00000180615A</t>
  </si>
  <si>
    <t>G00000180616A</t>
  </si>
  <si>
    <t>G00000180617A</t>
  </si>
  <si>
    <t>G00000180618A</t>
  </si>
  <si>
    <t>G00000180619A</t>
  </si>
  <si>
    <t>G00000180620A</t>
  </si>
  <si>
    <t>G00000180621A</t>
  </si>
  <si>
    <t>G00000180622A</t>
  </si>
  <si>
    <t>G00000180623A</t>
  </si>
  <si>
    <t>G00000180624A</t>
  </si>
  <si>
    <t>G00000180625A</t>
  </si>
  <si>
    <t>G00000180626A</t>
  </si>
  <si>
    <t>G00000180627A</t>
  </si>
  <si>
    <t>G00000180628A</t>
  </si>
  <si>
    <t>G00000180629A</t>
  </si>
  <si>
    <t>G00000180630A</t>
  </si>
  <si>
    <t>G00000180631A</t>
  </si>
  <si>
    <t>G00000180632A</t>
  </si>
  <si>
    <t>G00000180633A</t>
  </si>
  <si>
    <t>G00000180634A</t>
  </si>
  <si>
    <t>G00000180635A</t>
  </si>
  <si>
    <t>G00000180636A</t>
  </si>
  <si>
    <t>G00000180637A</t>
  </si>
  <si>
    <t>G00000180638A</t>
  </si>
  <si>
    <t>G00000180639A</t>
  </si>
  <si>
    <t>G00000180640A</t>
  </si>
  <si>
    <t>G00000180641A</t>
  </si>
  <si>
    <t>G00000180642A</t>
  </si>
  <si>
    <t>G00000180643A</t>
  </si>
  <si>
    <t>G00000180644A</t>
  </si>
  <si>
    <t>G00000180645A</t>
  </si>
  <si>
    <t>G00000180646A</t>
  </si>
  <si>
    <t>G00000180647A</t>
  </si>
  <si>
    <t>G00000180648A</t>
  </si>
  <si>
    <t>G00000180649A</t>
  </si>
  <si>
    <t>G00000180650A</t>
  </si>
  <si>
    <t>G00000180651A</t>
  </si>
  <si>
    <t>G00000180652A</t>
  </si>
  <si>
    <t>G00000180653A</t>
  </si>
  <si>
    <t>G00000180654A</t>
  </si>
  <si>
    <t>G00000180655A</t>
  </si>
  <si>
    <t>G00000180656A</t>
  </si>
  <si>
    <t>G00000180657A</t>
  </si>
  <si>
    <t>G00000180658A</t>
  </si>
  <si>
    <t>G00000180659A</t>
  </si>
  <si>
    <t>G00000180660A</t>
  </si>
  <si>
    <t>G00000180661A</t>
  </si>
  <si>
    <t>G00000180662A</t>
  </si>
  <si>
    <t>G00000180663A</t>
  </si>
  <si>
    <t>G00000180664A</t>
  </si>
  <si>
    <t>G00000180665A</t>
  </si>
  <si>
    <t>G00000180666A</t>
  </si>
  <si>
    <t>G00000180667A</t>
  </si>
  <si>
    <t>G00000180668A</t>
  </si>
  <si>
    <t>G00000180669A</t>
  </si>
  <si>
    <t>G00000180670A</t>
  </si>
  <si>
    <t>G00000180671A</t>
  </si>
  <si>
    <t>G00000180672A</t>
  </si>
  <si>
    <t>G00000180673A</t>
  </si>
  <si>
    <t>G00000180674A</t>
  </si>
  <si>
    <t>G00000180675A</t>
  </si>
  <si>
    <t>G00000180676A</t>
  </si>
  <si>
    <t>G00000180677A</t>
  </si>
  <si>
    <t>G00000180678A</t>
  </si>
  <si>
    <t>G00000180679A</t>
  </si>
  <si>
    <t>G00000180680A</t>
  </si>
  <si>
    <t>G00000180681A</t>
  </si>
  <si>
    <t>G00000180682A</t>
  </si>
  <si>
    <t>G00000180683A</t>
  </si>
  <si>
    <t>G00000180684A</t>
  </si>
  <si>
    <t>G00000180685A</t>
  </si>
  <si>
    <t>G00000180686A</t>
  </si>
  <si>
    <t>G00000180687A</t>
  </si>
  <si>
    <t>G00000180688A</t>
  </si>
  <si>
    <t>G00000180689A</t>
  </si>
  <si>
    <t>G00000180690A</t>
  </si>
  <si>
    <t>G00000180691A</t>
  </si>
  <si>
    <t>G00000180692A</t>
  </si>
  <si>
    <t>G00000180693A</t>
  </si>
  <si>
    <t>G00000180694A</t>
  </si>
  <si>
    <t>G00000180695A</t>
  </si>
  <si>
    <t>G00000180696A</t>
  </si>
  <si>
    <t>G00000180697A</t>
  </si>
  <si>
    <t>G00000180698A</t>
  </si>
  <si>
    <t>G00000180699A</t>
  </si>
  <si>
    <t>G00000180700A</t>
  </si>
  <si>
    <t>G00000180701A</t>
  </si>
  <si>
    <t>G00000180702A</t>
  </si>
  <si>
    <t>G00000180703A</t>
  </si>
  <si>
    <t>G00000180704A</t>
  </si>
  <si>
    <t>G00000180705A</t>
  </si>
  <si>
    <t>G00000180706A</t>
  </si>
  <si>
    <t>G00000180707A</t>
  </si>
  <si>
    <t>G00000180708A</t>
  </si>
  <si>
    <t>G00000180709A</t>
  </si>
  <si>
    <t>G00000180710A</t>
  </si>
  <si>
    <t>G00000180711A</t>
  </si>
  <si>
    <t>G00000180712A</t>
  </si>
  <si>
    <t>G00000180713A</t>
  </si>
  <si>
    <t>G00000180714A</t>
  </si>
  <si>
    <t>G00000180715A</t>
  </si>
  <si>
    <t>G00000180716A</t>
  </si>
  <si>
    <t>G00000180717A</t>
  </si>
  <si>
    <t>G00000180718A</t>
  </si>
  <si>
    <t>G00000180719A</t>
  </si>
  <si>
    <t>G00000180720A</t>
  </si>
  <si>
    <t>G00000180721A</t>
  </si>
  <si>
    <t>G00000180722A</t>
  </si>
  <si>
    <t>G00000180723A</t>
  </si>
  <si>
    <t>G00000180724A</t>
  </si>
  <si>
    <t>G00000180725A</t>
  </si>
  <si>
    <t>G00000180726A</t>
  </si>
  <si>
    <t>G00000180727A</t>
  </si>
  <si>
    <t>G00000180728A</t>
  </si>
  <si>
    <t>G00000180729A</t>
  </si>
  <si>
    <t>G00000180730A</t>
  </si>
  <si>
    <t>G00000180731A</t>
  </si>
  <si>
    <t>G00000180732A</t>
  </si>
  <si>
    <t>G00000180733A</t>
  </si>
  <si>
    <t>G00000180734A</t>
  </si>
  <si>
    <t>G00000180735A</t>
  </si>
  <si>
    <t>G00000180736A</t>
  </si>
  <si>
    <t>G00000180737A</t>
  </si>
  <si>
    <t>G00000180738A</t>
  </si>
  <si>
    <t>G00000180739A</t>
  </si>
  <si>
    <t>G00000180740A</t>
  </si>
  <si>
    <t>G00000180741A</t>
  </si>
  <si>
    <t>G00000180742A</t>
  </si>
  <si>
    <t>G00000180743A</t>
  </si>
  <si>
    <t>G00000180744A</t>
  </si>
  <si>
    <t>G00000180745A</t>
  </si>
  <si>
    <t>G00000180746A</t>
  </si>
  <si>
    <t>G00000180747A</t>
  </si>
  <si>
    <t>G00000180748A</t>
  </si>
  <si>
    <t>G00000180749A</t>
  </si>
  <si>
    <t>G00000180750A</t>
  </si>
  <si>
    <t>G00000180751A</t>
  </si>
  <si>
    <t>G00000180752A</t>
  </si>
  <si>
    <t>G00000180753A</t>
  </si>
  <si>
    <t>G00000180754A</t>
  </si>
  <si>
    <t>G00000180755A</t>
  </si>
  <si>
    <t>G00000180756A</t>
  </si>
  <si>
    <t>G00000180757A</t>
  </si>
  <si>
    <t>G00000180758A</t>
  </si>
  <si>
    <t>G00000180759A</t>
  </si>
  <si>
    <t>G00000180760A</t>
  </si>
  <si>
    <t>G00000180761A</t>
  </si>
  <si>
    <t>G00000180762A</t>
  </si>
  <si>
    <t>G00000180763A</t>
  </si>
  <si>
    <t>G00000180764A</t>
  </si>
  <si>
    <t>G00000180765A</t>
  </si>
  <si>
    <t>G00000180766A</t>
  </si>
  <si>
    <t>G00000180767A</t>
  </si>
  <si>
    <t>G00000180768A</t>
  </si>
  <si>
    <t>G00000180769A</t>
  </si>
  <si>
    <t>G00000180770A</t>
  </si>
  <si>
    <t>G00000180771A</t>
  </si>
  <si>
    <t>G00000180772A</t>
  </si>
  <si>
    <t>G00000180773A</t>
  </si>
  <si>
    <t>G00000180774A</t>
  </si>
  <si>
    <t>G00000180775A</t>
  </si>
  <si>
    <t>G00000180776A</t>
  </si>
  <si>
    <t>G00000180777A</t>
  </si>
  <si>
    <t>G00000180778A</t>
  </si>
  <si>
    <t>G00000180779A</t>
  </si>
  <si>
    <t>G00000180780A</t>
  </si>
  <si>
    <t>G00000180781A</t>
  </si>
  <si>
    <t>G00000180782A</t>
  </si>
  <si>
    <t>G00000180783A</t>
  </si>
  <si>
    <t>G00000180784A</t>
  </si>
  <si>
    <t>G00000180785A</t>
  </si>
  <si>
    <t>G00000180786A</t>
  </si>
  <si>
    <t>G00000180787A</t>
  </si>
  <si>
    <t>G00000180788A</t>
  </si>
  <si>
    <t>G00000180789A</t>
  </si>
  <si>
    <t>G00000180790A</t>
  </si>
  <si>
    <t>G00000180791A</t>
  </si>
  <si>
    <t>G00000180792A</t>
  </si>
  <si>
    <t>G00000180793A</t>
  </si>
  <si>
    <t>G00000180794A</t>
  </si>
  <si>
    <t>G00000180795A</t>
  </si>
  <si>
    <t>G00000180796A</t>
  </si>
  <si>
    <t>G00000180797A</t>
  </si>
  <si>
    <t>G00000180798A</t>
  </si>
  <si>
    <t>G00000180799A</t>
  </si>
  <si>
    <t>G00000180800A</t>
  </si>
  <si>
    <t>G00000180801A</t>
  </si>
  <si>
    <t>G00000180802A</t>
  </si>
  <si>
    <t>G00000180803A</t>
  </si>
  <si>
    <t>G00000180804A</t>
  </si>
  <si>
    <t>G00000180805A</t>
  </si>
  <si>
    <t>G00000180806A</t>
  </si>
  <si>
    <t>G00000180807A</t>
  </si>
  <si>
    <t>G00000180808A</t>
  </si>
  <si>
    <t>G00000180809A</t>
  </si>
  <si>
    <t>G00000180810A</t>
  </si>
  <si>
    <t>G00000180811A</t>
  </si>
  <si>
    <t>G00000180812A</t>
  </si>
  <si>
    <t>G00000180813A</t>
  </si>
  <si>
    <t>G00000180814A</t>
  </si>
  <si>
    <t>G00000180815A</t>
  </si>
  <si>
    <t>G00000180816A</t>
  </si>
  <si>
    <t>G00000180817A</t>
  </si>
  <si>
    <t>G00000180818A</t>
  </si>
  <si>
    <t>G00000180819A</t>
  </si>
  <si>
    <t>G00000180820A</t>
  </si>
  <si>
    <t>G00000180821A</t>
  </si>
  <si>
    <t>G00000180822A</t>
  </si>
  <si>
    <t>G00000180823A</t>
  </si>
  <si>
    <t>G00000180824A</t>
  </si>
  <si>
    <t>G00000180825A</t>
  </si>
  <si>
    <t>G00000180826A</t>
  </si>
  <si>
    <t>G00000180827A</t>
  </si>
  <si>
    <t>G00000180828A</t>
  </si>
  <si>
    <t>G00000180829A</t>
  </si>
  <si>
    <t>G00000180830A</t>
  </si>
  <si>
    <t>G00000180831A</t>
  </si>
  <si>
    <t>G00000180832A</t>
  </si>
  <si>
    <t>G00000180833A</t>
  </si>
  <si>
    <t>G00000180834A</t>
  </si>
  <si>
    <t>G00000180835A</t>
  </si>
  <si>
    <t>G00000180836A</t>
  </si>
  <si>
    <t>G00000180837A</t>
  </si>
  <si>
    <t>G00000180838A</t>
  </si>
  <si>
    <t>G00000180839A</t>
  </si>
  <si>
    <t>G00000180840A</t>
  </si>
  <si>
    <t>G00000180841A</t>
  </si>
  <si>
    <t>G00000180842A</t>
  </si>
  <si>
    <t>G00000180843A</t>
  </si>
  <si>
    <t>G00000180844A</t>
  </si>
  <si>
    <t>G00000180845A</t>
  </si>
  <si>
    <t>G00000180846A</t>
  </si>
  <si>
    <t>G00000180847A</t>
  </si>
  <si>
    <t>G00000180848A</t>
  </si>
  <si>
    <t>G00000180849A</t>
  </si>
  <si>
    <t>G00000180850A</t>
  </si>
  <si>
    <t>G00000180851A</t>
  </si>
  <si>
    <t>G00000180852A</t>
  </si>
  <si>
    <t>G00000180856A</t>
  </si>
  <si>
    <t>G00000180857A</t>
  </si>
  <si>
    <t>G00000180858A</t>
  </si>
  <si>
    <t>G00000180859A</t>
  </si>
  <si>
    <t>G00000180860A</t>
  </si>
  <si>
    <t>G00000180861A</t>
  </si>
  <si>
    <t>G00000180862A</t>
  </si>
  <si>
    <t>G00000180863A</t>
  </si>
  <si>
    <t>G00000180864A</t>
  </si>
  <si>
    <t>G00000180865A</t>
  </si>
  <si>
    <t>G00000180866A</t>
  </si>
  <si>
    <t>G00000180867A</t>
  </si>
  <si>
    <t>G00000180868A</t>
  </si>
  <si>
    <t>G00000180869A</t>
  </si>
  <si>
    <t>G00000180870A</t>
  </si>
  <si>
    <t>G00000180871A</t>
  </si>
  <si>
    <t>G00000180872A</t>
  </si>
  <si>
    <t>G00000180873A</t>
  </si>
  <si>
    <t>G00000180874A</t>
  </si>
  <si>
    <t>G00000180875A</t>
  </si>
  <si>
    <t>G00000180876A</t>
  </si>
  <si>
    <t>G00000180877A</t>
  </si>
  <si>
    <t>G00000180878A</t>
  </si>
  <si>
    <t>G00000180879A</t>
  </si>
  <si>
    <t>G00000180883A</t>
  </si>
  <si>
    <t>G00000180884A</t>
  </si>
  <si>
    <t>G00000180885A</t>
  </si>
  <si>
    <t>G00000180886A</t>
  </si>
  <si>
    <t>G00000180887A</t>
  </si>
  <si>
    <t>G00000180888A</t>
  </si>
  <si>
    <t>G00000180889A</t>
  </si>
  <si>
    <t>G00000180890A</t>
  </si>
  <si>
    <t>G00000180891A</t>
  </si>
  <si>
    <t>G00000180892A</t>
  </si>
  <si>
    <t>G00000180893A</t>
  </si>
  <si>
    <t>G00000180894A</t>
  </si>
  <si>
    <t>G00000180895A</t>
  </si>
  <si>
    <t>G00000180896A</t>
  </si>
  <si>
    <t>G00000180897A</t>
  </si>
  <si>
    <t>G00000180898A</t>
  </si>
  <si>
    <t>G00000180899A</t>
  </si>
  <si>
    <t>G00000180900A</t>
  </si>
  <si>
    <t>G00000180901A</t>
  </si>
  <si>
    <t>G00000180902A</t>
  </si>
  <si>
    <t>G00000180903A</t>
  </si>
  <si>
    <t>G00000180904A</t>
  </si>
  <si>
    <t>G00000180905A</t>
  </si>
  <si>
    <t>G00000180906A</t>
  </si>
  <si>
    <t>G00000180907A</t>
  </si>
  <si>
    <t>G00000180908A</t>
  </si>
  <si>
    <t>G00000180909A</t>
  </si>
  <si>
    <t>G00000180910A</t>
  </si>
  <si>
    <t>G00000180911A</t>
  </si>
  <si>
    <t>G00000180912A</t>
  </si>
  <si>
    <t>G00000180913A</t>
  </si>
  <si>
    <t>G00000180914A</t>
  </si>
  <si>
    <t>G00000180915A</t>
  </si>
  <si>
    <t>G00000180916A</t>
  </si>
  <si>
    <t>G00000180917A</t>
  </si>
  <si>
    <t>G00000180918A</t>
  </si>
  <si>
    <t>G00000180919A</t>
  </si>
  <si>
    <t>G00000180920A</t>
  </si>
  <si>
    <t>G00000180921A</t>
  </si>
  <si>
    <t>G00000180922A</t>
  </si>
  <si>
    <t>G00000180923A</t>
  </si>
  <si>
    <t>G00000180924A</t>
  </si>
  <si>
    <t>G00000180925A</t>
  </si>
  <si>
    <t>G00000180926A</t>
  </si>
  <si>
    <t>G00000180927A</t>
  </si>
  <si>
    <t>G00000180928A</t>
  </si>
  <si>
    <t>G00000180929A</t>
  </si>
  <si>
    <t>G00000180930A</t>
  </si>
  <si>
    <t>G00000180931A</t>
  </si>
  <si>
    <t>G00000180932A</t>
  </si>
  <si>
    <t>G00000180933A</t>
  </si>
  <si>
    <t>G00000180934A</t>
  </si>
  <si>
    <t>G00000180935A</t>
  </si>
  <si>
    <t>G00000180936A</t>
  </si>
  <si>
    <t>G00000180937A</t>
  </si>
  <si>
    <t>G00000180938A</t>
  </si>
  <si>
    <t>G00000180939A</t>
  </si>
  <si>
    <t>G00000180940A</t>
  </si>
  <si>
    <t>G00000180941A</t>
  </si>
  <si>
    <t>G00000180942A</t>
  </si>
  <si>
    <t>G00000180943A</t>
  </si>
  <si>
    <t>G00000180944A</t>
  </si>
  <si>
    <t>G00000180945A</t>
  </si>
  <si>
    <t>G00000180946A</t>
  </si>
  <si>
    <t>G00000180947A</t>
  </si>
  <si>
    <t>G00000180948A</t>
  </si>
  <si>
    <t>G00000180949A</t>
  </si>
  <si>
    <t>G00000180950A</t>
  </si>
  <si>
    <t>G00000180951A</t>
  </si>
  <si>
    <t>G00000180952A</t>
  </si>
  <si>
    <t>G00000180953A</t>
  </si>
  <si>
    <t>G00000180954A</t>
  </si>
  <si>
    <t>G00000180955A</t>
  </si>
  <si>
    <t>G00000180956A</t>
  </si>
  <si>
    <t>G00000180957A</t>
  </si>
  <si>
    <t>G00000180958A</t>
  </si>
  <si>
    <t>G00000180959A</t>
  </si>
  <si>
    <t>G00000180960A</t>
  </si>
  <si>
    <t>G00000180961A</t>
  </si>
  <si>
    <t>G00000180962A</t>
  </si>
  <si>
    <t>G00000180963A</t>
  </si>
  <si>
    <t>G00000180964A</t>
  </si>
  <si>
    <t>G00000180965A</t>
  </si>
  <si>
    <t>G00000180966A</t>
  </si>
  <si>
    <t>G00000180967A</t>
  </si>
  <si>
    <t>G00000180968A</t>
  </si>
  <si>
    <t>G00000180969A</t>
  </si>
  <si>
    <t>G00000180970A</t>
  </si>
  <si>
    <t>G00000180971A</t>
  </si>
  <si>
    <t>G00000180972A</t>
  </si>
  <si>
    <t>G00000180973A</t>
  </si>
  <si>
    <t>G00000180974A</t>
  </si>
  <si>
    <t>G00000180975A</t>
  </si>
  <si>
    <t>G00000180976A</t>
  </si>
  <si>
    <t>G00000180977A</t>
  </si>
  <si>
    <t>G00000180978A</t>
  </si>
  <si>
    <t>G00000180979A</t>
  </si>
  <si>
    <t>G00000180980A</t>
  </si>
  <si>
    <t>G00000180981A</t>
  </si>
  <si>
    <t>G00000180982A</t>
  </si>
  <si>
    <t>G00000180983A</t>
  </si>
  <si>
    <t>G00000180984A</t>
  </si>
  <si>
    <t>G00000180985A</t>
  </si>
  <si>
    <t>G00000180986A</t>
  </si>
  <si>
    <t>G00000180987A</t>
  </si>
  <si>
    <t>G00000180988A</t>
  </si>
  <si>
    <t>G00000180989A</t>
  </si>
  <si>
    <t>G00000180990A</t>
  </si>
  <si>
    <t>G00000180991A</t>
  </si>
  <si>
    <t>G00000180992A</t>
  </si>
  <si>
    <t>G00000180993A</t>
  </si>
  <si>
    <t>G00000180994A</t>
  </si>
  <si>
    <t>G00000180995A</t>
  </si>
  <si>
    <t>G00000180996A</t>
  </si>
  <si>
    <t>G00000180997A</t>
  </si>
  <si>
    <t>G00000180998A</t>
  </si>
  <si>
    <t>G00000180999A</t>
  </si>
  <si>
    <t>G00000181000A</t>
  </si>
  <si>
    <t>G00000181001A</t>
  </si>
  <si>
    <t>G00000181002A</t>
  </si>
  <si>
    <t>G00000181003A</t>
  </si>
  <si>
    <t>G00000181004A</t>
  </si>
  <si>
    <t>G00000181005A</t>
  </si>
  <si>
    <t>G00000181006A</t>
  </si>
  <si>
    <t>G00000181007A</t>
  </si>
  <si>
    <t>G00000181008A</t>
  </si>
  <si>
    <t>G00000181009A</t>
  </si>
  <si>
    <t>G00000181010A</t>
  </si>
  <si>
    <t>G00000181011A</t>
  </si>
  <si>
    <t>G00000181012A</t>
  </si>
  <si>
    <t>G00000181013A</t>
  </si>
  <si>
    <t>G00000181014A</t>
  </si>
  <si>
    <t>G00000181015A</t>
  </si>
  <si>
    <t>G00000181016A</t>
  </si>
  <si>
    <t>G00000181017A</t>
  </si>
  <si>
    <t>G00000181018A</t>
  </si>
  <si>
    <t>G00000181019A</t>
  </si>
  <si>
    <t>G00000181020A</t>
  </si>
  <si>
    <t>G00000181021A</t>
  </si>
  <si>
    <t>G00000181022A</t>
  </si>
  <si>
    <t>G00000181023A</t>
  </si>
  <si>
    <t>G00000181024A</t>
  </si>
  <si>
    <t>G00000181025A</t>
  </si>
  <si>
    <t>G00000181026A</t>
  </si>
  <si>
    <t>G00000181027A</t>
  </si>
  <si>
    <t>G00000181028A</t>
  </si>
  <si>
    <t>G00000181029A</t>
  </si>
  <si>
    <t>G00000181030A</t>
  </si>
  <si>
    <t>G00000181031A</t>
  </si>
  <si>
    <t>G00000181032A</t>
  </si>
  <si>
    <t>G00000181033A</t>
  </si>
  <si>
    <t>G00000181034A</t>
  </si>
  <si>
    <t>G00000181035A</t>
  </si>
  <si>
    <t>G00000181036A</t>
  </si>
  <si>
    <t>G00000181037A</t>
  </si>
  <si>
    <t>G00000181038A</t>
  </si>
  <si>
    <t>G00000181039A</t>
  </si>
  <si>
    <t>G00000181040A</t>
  </si>
  <si>
    <t>G00000181041A</t>
  </si>
  <si>
    <t>G00000181042A</t>
  </si>
  <si>
    <t>G00000181043A</t>
  </si>
  <si>
    <t>G00000181044A</t>
  </si>
  <si>
    <t>G00000181045A</t>
  </si>
  <si>
    <t>G00000181046A</t>
  </si>
  <si>
    <t>G00000181047A</t>
  </si>
  <si>
    <t>G00000181048A</t>
  </si>
  <si>
    <t>G00000181049A</t>
  </si>
  <si>
    <t>G00000181050A</t>
  </si>
  <si>
    <t>G00000181051A</t>
  </si>
  <si>
    <t>G00000181052A</t>
  </si>
  <si>
    <t>G00000181053A</t>
  </si>
  <si>
    <t>G00000181054A</t>
  </si>
  <si>
    <t>G00000181055A</t>
  </si>
  <si>
    <t>G00000181056A</t>
  </si>
  <si>
    <t>G00000181057A</t>
  </si>
  <si>
    <t>G00000181058A</t>
  </si>
  <si>
    <t>G00000181059A</t>
  </si>
  <si>
    <t>G00000181060A</t>
  </si>
  <si>
    <t>G00000181061A</t>
  </si>
  <si>
    <t>G00000181062A</t>
  </si>
  <si>
    <t>G00000181063A</t>
  </si>
  <si>
    <t>G00000181064A</t>
  </si>
  <si>
    <t>G00000181065A</t>
  </si>
  <si>
    <t>G00000181066A</t>
  </si>
  <si>
    <t>G00000181067A</t>
  </si>
  <si>
    <t>G00000181068A</t>
  </si>
  <si>
    <t>G00000181069A</t>
  </si>
  <si>
    <t>G00000181070A</t>
  </si>
  <si>
    <t>G00000181071A</t>
  </si>
  <si>
    <t>G00000181072A</t>
  </si>
  <si>
    <t>G00000181073A</t>
  </si>
  <si>
    <t>G00000181074A</t>
  </si>
  <si>
    <t>G00000181075A</t>
  </si>
  <si>
    <t>G00000181076A</t>
  </si>
  <si>
    <t>G00000181077A</t>
  </si>
  <si>
    <t>G00000181078A</t>
  </si>
  <si>
    <t>G00000181079A</t>
  </si>
  <si>
    <t>G00000181080A</t>
  </si>
  <si>
    <t>G00000181081A</t>
  </si>
  <si>
    <t>G00000181082A</t>
  </si>
  <si>
    <t>G00000181083A</t>
  </si>
  <si>
    <t>G00000181084A</t>
  </si>
  <si>
    <t>G00000181085A</t>
  </si>
  <si>
    <t>G00000181086A</t>
  </si>
  <si>
    <t>G00000181087A</t>
  </si>
  <si>
    <t>G00000181088A</t>
  </si>
  <si>
    <t>G00000181089A</t>
  </si>
  <si>
    <t>G00000181090A</t>
  </si>
  <si>
    <t>G00000181091A</t>
  </si>
  <si>
    <t>G00000181092A</t>
  </si>
  <si>
    <t>G00000181093A</t>
  </si>
  <si>
    <t>G00000181094A</t>
  </si>
  <si>
    <t>G00000181095A</t>
  </si>
  <si>
    <t>G00000181096A</t>
  </si>
  <si>
    <t>G00000181097A</t>
  </si>
  <si>
    <t>G00000181098A</t>
  </si>
  <si>
    <t>G00000181099A</t>
  </si>
  <si>
    <t>G00000181100A</t>
  </si>
  <si>
    <t>G00000181101A</t>
  </si>
  <si>
    <t>G00000181102A</t>
  </si>
  <si>
    <t>G00000181103A</t>
  </si>
  <si>
    <t>G00000181104A</t>
  </si>
  <si>
    <t>G00000181105A</t>
  </si>
  <si>
    <t>G00000181106A</t>
  </si>
  <si>
    <t>G00000181107A</t>
  </si>
  <si>
    <t>G00000181108A</t>
  </si>
  <si>
    <t>G00000181109A</t>
  </si>
  <si>
    <t>G00000181110A</t>
  </si>
  <si>
    <t>G00000181111A</t>
  </si>
  <si>
    <t>G00000181112A</t>
  </si>
  <si>
    <t>G00000181113A</t>
  </si>
  <si>
    <t>G00000181114A</t>
  </si>
  <si>
    <t>G00000181115A</t>
  </si>
  <si>
    <t>G00000181116A</t>
  </si>
  <si>
    <t>G00000181117A</t>
  </si>
  <si>
    <t>G00000181118A</t>
  </si>
  <si>
    <t>G00000181119A</t>
  </si>
  <si>
    <t>G00000181120A</t>
  </si>
  <si>
    <t>G00000181121A</t>
  </si>
  <si>
    <t>G00000181122A</t>
  </si>
  <si>
    <t>G00000181123A</t>
  </si>
  <si>
    <t>G00000181124A</t>
  </si>
  <si>
    <t>G00000181125A</t>
  </si>
  <si>
    <t>G00000181126A</t>
  </si>
  <si>
    <t>G00000181127A</t>
  </si>
  <si>
    <t>G00000181128A</t>
  </si>
  <si>
    <t>G00000181129A</t>
  </si>
  <si>
    <t>G00000181130A</t>
  </si>
  <si>
    <t>G00000181131A</t>
  </si>
  <si>
    <t>G00000181132A</t>
  </si>
  <si>
    <t>G00000181133A</t>
  </si>
  <si>
    <t>G00000181134A</t>
  </si>
  <si>
    <t>G00000181135A</t>
  </si>
  <si>
    <t>G00000181136A</t>
  </si>
  <si>
    <t>G00000181137A</t>
  </si>
  <si>
    <t>G00000181138A</t>
  </si>
  <si>
    <t>G00000181139A</t>
  </si>
  <si>
    <t>G00000181140A</t>
  </si>
  <si>
    <t>G00000181141A</t>
  </si>
  <si>
    <t>G00000181142A</t>
  </si>
  <si>
    <t>G00000181143A</t>
  </si>
  <si>
    <t>G00000181144A</t>
  </si>
  <si>
    <t>G00000181145A</t>
  </si>
  <si>
    <t>G00000181146A</t>
  </si>
  <si>
    <t>G00000181147A</t>
  </si>
  <si>
    <t>G00000181148A</t>
  </si>
  <si>
    <t>G00000181149A</t>
  </si>
  <si>
    <t>G00000181150A</t>
  </si>
  <si>
    <t>G00000181151A</t>
  </si>
  <si>
    <t>G00000181152A</t>
  </si>
  <si>
    <t>G00000181153A</t>
  </si>
  <si>
    <t>G00000181154A</t>
  </si>
  <si>
    <t>G00000181155A</t>
  </si>
  <si>
    <t>G00000181156A</t>
  </si>
  <si>
    <t>G00000181157A</t>
  </si>
  <si>
    <t>G00000181158A</t>
  </si>
  <si>
    <t>G00000181159A</t>
  </si>
  <si>
    <t>G00000181160A</t>
  </si>
  <si>
    <t>G00000181161A</t>
  </si>
  <si>
    <t>G00000181162A</t>
  </si>
  <si>
    <t>G00000181163A</t>
  </si>
  <si>
    <t>G00000181164A</t>
  </si>
  <si>
    <t>G00000181165A</t>
  </si>
  <si>
    <t>G00000181166A</t>
  </si>
  <si>
    <t>G00000181167A</t>
  </si>
  <si>
    <t>G00000181168A</t>
  </si>
  <si>
    <t>G00000181169A</t>
  </si>
  <si>
    <t>G00000181170A</t>
  </si>
  <si>
    <t>G00000181171A</t>
  </si>
  <si>
    <t>G00000181172A</t>
  </si>
  <si>
    <t>G00000181173A</t>
  </si>
  <si>
    <t>G00000181174A</t>
  </si>
  <si>
    <t>G00000181175A</t>
  </si>
  <si>
    <t>G00000181176A</t>
  </si>
  <si>
    <t>G00000181177A</t>
  </si>
  <si>
    <t>G00000181178A</t>
  </si>
  <si>
    <t>G00000181179A</t>
  </si>
  <si>
    <t>G00000181180A</t>
  </si>
  <si>
    <t>G00000181181A</t>
  </si>
  <si>
    <t>G00000181182A</t>
  </si>
  <si>
    <t>G00000181183A</t>
  </si>
  <si>
    <t>G00000181184A</t>
  </si>
  <si>
    <t>G00000181185A</t>
  </si>
  <si>
    <t>G00000181186A</t>
  </si>
  <si>
    <t>G00000181187A</t>
  </si>
  <si>
    <t>G00000181188A</t>
  </si>
  <si>
    <t>G00000181189A</t>
  </si>
  <si>
    <t>G00000181190A</t>
  </si>
  <si>
    <t>G00000181191A</t>
  </si>
  <si>
    <t>G00000181192A</t>
  </si>
  <si>
    <t>G00000181193A</t>
  </si>
  <si>
    <t>G00000181194A</t>
  </si>
  <si>
    <t>G00000181195A</t>
  </si>
  <si>
    <t>G00000181196A</t>
  </si>
  <si>
    <t>G00000181197A</t>
  </si>
  <si>
    <t>G00000181198A</t>
  </si>
  <si>
    <t>G00000181199A</t>
  </si>
  <si>
    <t>G00000181200A</t>
  </si>
  <si>
    <t>G00000181201A</t>
  </si>
  <si>
    <t>G00000181202A</t>
  </si>
  <si>
    <t>G00000181203A</t>
  </si>
  <si>
    <t>G00000181204A</t>
  </si>
  <si>
    <t>G00000181205A</t>
  </si>
  <si>
    <t>G00000181206A</t>
  </si>
  <si>
    <t>G00000181207A</t>
  </si>
  <si>
    <t>G00000181208A</t>
  </si>
  <si>
    <t>G00000181209A</t>
  </si>
  <si>
    <t>G00000181282A</t>
  </si>
  <si>
    <t>G00000181283A</t>
  </si>
  <si>
    <t>G00000181284A</t>
  </si>
  <si>
    <t>G00000181285A</t>
  </si>
  <si>
    <t>G00000181286A</t>
  </si>
  <si>
    <t>G00000181287A</t>
  </si>
  <si>
    <t>G00000181288A</t>
  </si>
  <si>
    <t>G00000181289A</t>
  </si>
  <si>
    <t>G00000181290A</t>
  </si>
  <si>
    <t>G00000181291A</t>
  </si>
  <si>
    <t>G00000181292A</t>
  </si>
  <si>
    <t>G00000181293A</t>
  </si>
  <si>
    <t>G00000181294A</t>
  </si>
  <si>
    <t>G00000181295A</t>
  </si>
  <si>
    <t>G00000181296A</t>
  </si>
  <si>
    <t>G00000181297A</t>
  </si>
  <si>
    <t>G00000181298A</t>
  </si>
  <si>
    <t>G00000181299A</t>
  </si>
  <si>
    <t>G00000181300A</t>
  </si>
  <si>
    <t>G00000181301A</t>
  </si>
  <si>
    <t>G00000181302A</t>
  </si>
  <si>
    <t>G00000181303A</t>
  </si>
  <si>
    <t>G00000181304A</t>
  </si>
  <si>
    <t>G00000181305A</t>
  </si>
  <si>
    <t>G00000181306A</t>
  </si>
  <si>
    <t>G00000181307A</t>
  </si>
  <si>
    <t>G00000181308A</t>
  </si>
  <si>
    <t>G00000181309A</t>
  </si>
  <si>
    <t>G00000181310A</t>
  </si>
  <si>
    <t>G00000181311A</t>
  </si>
  <si>
    <t>G00000181312A</t>
  </si>
  <si>
    <t>G00000181313A</t>
  </si>
  <si>
    <t>G00000181314A</t>
  </si>
  <si>
    <t>G00000181315A</t>
  </si>
  <si>
    <t>G00000181316A</t>
  </si>
  <si>
    <t>G00000181317A</t>
  </si>
  <si>
    <t>G00000181318A</t>
  </si>
  <si>
    <t>G00000181319A</t>
  </si>
  <si>
    <t>G00000181320A</t>
  </si>
  <si>
    <t>G00000181321A</t>
  </si>
  <si>
    <t>G00000181322A</t>
  </si>
  <si>
    <t>G00000181323A</t>
  </si>
  <si>
    <t>G00000181324A</t>
  </si>
  <si>
    <t>G00000181325A</t>
  </si>
  <si>
    <t>G00000181326A</t>
  </si>
  <si>
    <t>G00000181327A</t>
  </si>
  <si>
    <t>G00000181328A</t>
  </si>
  <si>
    <t>G00000181329A</t>
  </si>
  <si>
    <t>G00000181330A</t>
  </si>
  <si>
    <t>G00000181331A</t>
  </si>
  <si>
    <t>G00000181332A</t>
  </si>
  <si>
    <t>G00000181333A</t>
  </si>
  <si>
    <t>G00000181334A</t>
  </si>
  <si>
    <t>G00000181335A</t>
  </si>
  <si>
    <t>G00000181336A</t>
  </si>
  <si>
    <t>G00000181337A</t>
  </si>
  <si>
    <t>G00000181338A</t>
  </si>
  <si>
    <t>G00000181339A</t>
  </si>
  <si>
    <t>G00000181340A</t>
  </si>
  <si>
    <t>G00000181341A</t>
  </si>
  <si>
    <t>G00000181342A</t>
  </si>
  <si>
    <t>G00000181343A</t>
  </si>
  <si>
    <t>G00000181344A</t>
  </si>
  <si>
    <t>G00000181345A</t>
  </si>
  <si>
    <t>G00000181346A</t>
  </si>
  <si>
    <t>G00000181347A</t>
  </si>
  <si>
    <t>G00000181348A</t>
  </si>
  <si>
    <t>G00000181349A</t>
  </si>
  <si>
    <t>G00000181350A</t>
  </si>
  <si>
    <t>G00000181351A</t>
  </si>
  <si>
    <t>G00000181352A</t>
  </si>
  <si>
    <t>G00000181353A</t>
  </si>
  <si>
    <t>G00000181354A</t>
  </si>
  <si>
    <t>G00000181355A</t>
  </si>
  <si>
    <t>G00000181356A</t>
  </si>
  <si>
    <t>G00000181357A</t>
  </si>
  <si>
    <t>G00000181358A</t>
  </si>
  <si>
    <t>G00000181359A</t>
  </si>
  <si>
    <t>G00000181360A</t>
  </si>
  <si>
    <t>G00000181361A</t>
  </si>
  <si>
    <t>G00000181362A</t>
  </si>
  <si>
    <t>G00000181363A</t>
  </si>
  <si>
    <t>G00000181364A</t>
  </si>
  <si>
    <t>G00000181365A</t>
  </si>
  <si>
    <t>G00000181366A</t>
  </si>
  <si>
    <t>G00000181367A</t>
  </si>
  <si>
    <t>G00000181368A</t>
  </si>
  <si>
    <t>G00000181369A</t>
  </si>
  <si>
    <t>G00000181370A</t>
  </si>
  <si>
    <t>G00000181371A</t>
  </si>
  <si>
    <t>G00000181372A</t>
  </si>
  <si>
    <t>G00000181373A</t>
  </si>
  <si>
    <t>G00000181374A</t>
  </si>
  <si>
    <t>G00000181375A</t>
  </si>
  <si>
    <t>G00000181376A</t>
  </si>
  <si>
    <t>G00000181377A</t>
  </si>
  <si>
    <t>G00000181378A</t>
  </si>
  <si>
    <t>G00000181379A</t>
  </si>
  <si>
    <t>G00000181380A</t>
  </si>
  <si>
    <t>G00000181381A</t>
  </si>
  <si>
    <t>G00000181382A</t>
  </si>
  <si>
    <t>G00000181383A</t>
  </si>
  <si>
    <t>G00000181384A</t>
  </si>
  <si>
    <t>G00000181385A</t>
  </si>
  <si>
    <t>G00000181386A</t>
  </si>
  <si>
    <t>G00000181387A</t>
  </si>
  <si>
    <t>G00000181388A</t>
  </si>
  <si>
    <t>G00000181389A</t>
  </si>
  <si>
    <t>G00000181390A</t>
  </si>
  <si>
    <t>G00000181391A</t>
  </si>
  <si>
    <t>G00000181392A</t>
  </si>
  <si>
    <t>G00000181393A</t>
  </si>
  <si>
    <t>G00000181394A</t>
  </si>
  <si>
    <t>G00000181395A</t>
  </si>
  <si>
    <t>G00000181396A</t>
  </si>
  <si>
    <t>G00000181397A</t>
  </si>
  <si>
    <t>G00000181398A</t>
  </si>
  <si>
    <t>G00000181399A</t>
  </si>
  <si>
    <t>G00000181400A</t>
  </si>
  <si>
    <t>G00000181401A</t>
  </si>
  <si>
    <t>G00000181402A</t>
  </si>
  <si>
    <t>G00000181403A</t>
  </si>
  <si>
    <t>G00000181404A</t>
  </si>
  <si>
    <t>G00000181405A</t>
  </si>
  <si>
    <t>G00000181406A</t>
  </si>
  <si>
    <t>G00000181407A</t>
  </si>
  <si>
    <t>G00000181408A</t>
  </si>
  <si>
    <t>G00000181409A</t>
  </si>
  <si>
    <t>G00000181410A</t>
  </si>
  <si>
    <t>G00000181411A</t>
  </si>
  <si>
    <t>G00000181412A</t>
  </si>
  <si>
    <t>G00000181413A</t>
  </si>
  <si>
    <t>G00000181414A</t>
  </si>
  <si>
    <t>G00000181415A</t>
  </si>
  <si>
    <t>G00000181416A</t>
  </si>
  <si>
    <t>G00000181417A</t>
  </si>
  <si>
    <t>G00000181418A</t>
  </si>
  <si>
    <t>G00000181419A</t>
  </si>
  <si>
    <t>G00000181420A</t>
  </si>
  <si>
    <t>G00000181421A</t>
  </si>
  <si>
    <t>G00000181422A</t>
  </si>
  <si>
    <t>G00000181423A</t>
  </si>
  <si>
    <t>G00000181424A</t>
  </si>
  <si>
    <t>G00000181425A</t>
  </si>
  <si>
    <t>G00000181426A</t>
  </si>
  <si>
    <t>G00000181427A</t>
  </si>
  <si>
    <t>G00000181428A</t>
  </si>
  <si>
    <t>G00000181429A</t>
  </si>
  <si>
    <t>G00000181430A</t>
  </si>
  <si>
    <t>G00000181431A</t>
  </si>
  <si>
    <t>G00000181432A</t>
  </si>
  <si>
    <t>G00000181433A</t>
  </si>
  <si>
    <t>G00000181454A</t>
  </si>
  <si>
    <t>G00000181455A</t>
  </si>
  <si>
    <t>G00000181456A</t>
  </si>
  <si>
    <t>G00000181457A</t>
  </si>
  <si>
    <t>G00000181458A</t>
  </si>
  <si>
    <t>G00000181459A</t>
  </si>
  <si>
    <t>G00000181460A</t>
  </si>
  <si>
    <t>G00000181461A</t>
  </si>
  <si>
    <t>G00000181462A</t>
  </si>
  <si>
    <t>G00000181463A</t>
  </si>
  <si>
    <t>G00000181464A</t>
  </si>
  <si>
    <t>G00000181465A</t>
  </si>
  <si>
    <t>G00000181466A</t>
  </si>
  <si>
    <t>G00000181467A</t>
  </si>
  <si>
    <t>G00000181468A</t>
  </si>
  <si>
    <t>G00000181469A</t>
  </si>
  <si>
    <t>G00000181470A</t>
  </si>
  <si>
    <t>G00000181471A</t>
  </si>
  <si>
    <t>G00000181472A</t>
  </si>
  <si>
    <t>G00000181473A</t>
  </si>
  <si>
    <t>G00000181474A</t>
  </si>
  <si>
    <t>G00000181475A</t>
  </si>
  <si>
    <t>G00000181476A</t>
  </si>
  <si>
    <t>G00000181477A</t>
  </si>
  <si>
    <t>G00000181478A</t>
  </si>
  <si>
    <t>G00000181479A</t>
  </si>
  <si>
    <t>G00000181480A</t>
  </si>
  <si>
    <t>G00000181481A</t>
  </si>
  <si>
    <t>G00000181482A</t>
  </si>
  <si>
    <t>G00000181527A</t>
  </si>
  <si>
    <t>G00000181528A</t>
  </si>
  <si>
    <t>G00000181529A</t>
  </si>
  <si>
    <t>G00000181530A</t>
  </si>
  <si>
    <t>G00000181531A</t>
  </si>
  <si>
    <t>G00000181532A</t>
  </si>
  <si>
    <t>G00000181533A</t>
  </si>
  <si>
    <t>G00000181534A</t>
  </si>
  <si>
    <t>G00000181535A</t>
  </si>
  <si>
    <t>G00000181536A</t>
  </si>
  <si>
    <t>G00000181537A</t>
  </si>
  <si>
    <t>G00000181538A</t>
  </si>
  <si>
    <t>G00000181539A</t>
  </si>
  <si>
    <t>G00000181540A</t>
  </si>
  <si>
    <t>G00000181541A</t>
  </si>
  <si>
    <t>G00000181542A</t>
  </si>
  <si>
    <t>G00000181543A</t>
  </si>
  <si>
    <t>G00000181544A</t>
  </si>
  <si>
    <t>G00000181545A</t>
  </si>
  <si>
    <t>G00000181546A</t>
  </si>
  <si>
    <t>G00000181547A</t>
  </si>
  <si>
    <t>G00000181586A</t>
  </si>
  <si>
    <t>G00000181587A</t>
  </si>
  <si>
    <t>G00000181588A</t>
  </si>
  <si>
    <t>G00000181589A</t>
  </si>
  <si>
    <t>G00000181590A</t>
  </si>
  <si>
    <t>G00000181591A</t>
  </si>
  <si>
    <t>G00000181592A</t>
  </si>
  <si>
    <t>G00000181593A</t>
  </si>
  <si>
    <t>G00000181594A</t>
  </si>
  <si>
    <t>G00000181595A</t>
  </si>
  <si>
    <t>G00000181596A</t>
  </si>
  <si>
    <t>G00000181597A</t>
  </si>
  <si>
    <t>G00000181598A</t>
  </si>
  <si>
    <t>G00000181599A</t>
  </si>
  <si>
    <t>G00000181600A</t>
  </si>
  <si>
    <t>G00000181601A</t>
  </si>
  <si>
    <t>G00000181602A</t>
  </si>
  <si>
    <t>G00000181603A</t>
  </si>
  <si>
    <t>G00000181604A</t>
  </si>
  <si>
    <t>G00000181605A</t>
  </si>
  <si>
    <t>G00000181606A</t>
  </si>
  <si>
    <t>G00000181607A</t>
  </si>
  <si>
    <t>G00000181608A</t>
  </si>
  <si>
    <t>G00000181609A</t>
  </si>
  <si>
    <t>G00000181610A</t>
  </si>
  <si>
    <t>G00000181611A</t>
  </si>
  <si>
    <t>G00000181612A</t>
  </si>
  <si>
    <t>G00000181613A</t>
  </si>
  <si>
    <t>G00000181614A</t>
  </si>
  <si>
    <t>G00000181615A</t>
  </si>
  <si>
    <t>G00000181616A</t>
  </si>
  <si>
    <t>G00000181617A</t>
  </si>
  <si>
    <t>G00000181618A</t>
  </si>
  <si>
    <t>G00000181619A</t>
  </si>
  <si>
    <t>G00000181620A</t>
  </si>
  <si>
    <t>G00000181621A</t>
  </si>
  <si>
    <t>G00000181622A</t>
  </si>
  <si>
    <t>G00000181623A</t>
  </si>
  <si>
    <t>G00000181624A</t>
  </si>
  <si>
    <t>G00000181625A</t>
  </si>
  <si>
    <t>G00000181626A</t>
  </si>
  <si>
    <t>G00000181627A</t>
  </si>
  <si>
    <t>G00000181628A</t>
  </si>
  <si>
    <t>G00000181629A</t>
  </si>
  <si>
    <t>G00000181630A</t>
  </si>
  <si>
    <t>G00000181631A</t>
  </si>
  <si>
    <t>G00000181632A</t>
  </si>
  <si>
    <t>G00000181633A</t>
  </si>
  <si>
    <t>G00000181634A</t>
  </si>
  <si>
    <t>G00000181635A</t>
  </si>
  <si>
    <t>G00000181636A</t>
  </si>
  <si>
    <t>G00000181637A</t>
  </si>
  <si>
    <t>G00000181638A</t>
  </si>
  <si>
    <t>G00000181639A</t>
  </si>
  <si>
    <t>G00000181640A</t>
  </si>
  <si>
    <t>G00000181641A</t>
  </si>
  <si>
    <t>G00000181642A</t>
  </si>
  <si>
    <t>G00000181643A</t>
  </si>
  <si>
    <t>G00000181644A</t>
  </si>
  <si>
    <t>G00000181645A</t>
  </si>
  <si>
    <t>G00000181646A</t>
  </si>
  <si>
    <t>G00000181647A</t>
  </si>
  <si>
    <t>G00000181648A</t>
  </si>
  <si>
    <t>G00000181649A</t>
  </si>
  <si>
    <t>G00000181650A</t>
  </si>
  <si>
    <t>G00000181651A</t>
  </si>
  <si>
    <t>G00000181652A</t>
  </si>
  <si>
    <t>G00000181653A</t>
  </si>
  <si>
    <t>G00000181654A</t>
  </si>
  <si>
    <t>G00000181655A</t>
  </si>
  <si>
    <t>G00000181656A</t>
  </si>
  <si>
    <t>G00000181657A</t>
  </si>
  <si>
    <t>G00000181658A</t>
  </si>
  <si>
    <t>G00000181659A</t>
  </si>
  <si>
    <t>G00000181660A</t>
  </si>
  <si>
    <t>G00000181661A</t>
  </si>
  <si>
    <t>G00000181662A</t>
  </si>
  <si>
    <t>G00000181663A</t>
  </si>
  <si>
    <t>G00000181664A</t>
  </si>
  <si>
    <t>G00000181665A</t>
  </si>
  <si>
    <t>G00000181666A</t>
  </si>
  <si>
    <t>G00000181667A</t>
  </si>
  <si>
    <t>G00000181668A</t>
  </si>
  <si>
    <t>G00000181669A</t>
  </si>
  <si>
    <t>G00000181670A</t>
  </si>
  <si>
    <t>G00000181671A</t>
  </si>
  <si>
    <t>G00000181672A</t>
  </si>
  <si>
    <t>G00000181673A</t>
  </si>
  <si>
    <t>G00000181674A</t>
  </si>
  <si>
    <t>G00000181675A</t>
  </si>
  <si>
    <t>G00000181676A</t>
  </si>
  <si>
    <t>G00000181677A</t>
  </si>
  <si>
    <t>G00000181678A</t>
  </si>
  <si>
    <t>G00000181679A</t>
  </si>
  <si>
    <t>G00000181680A</t>
  </si>
  <si>
    <t>G00000181681A</t>
  </si>
  <si>
    <t>G00000181682A</t>
  </si>
  <si>
    <t>G00000181683A</t>
  </si>
  <si>
    <t>G00000181684A</t>
  </si>
  <si>
    <t>G00000181685A</t>
  </si>
  <si>
    <t>G00000181686A</t>
  </si>
  <si>
    <t>G00000181687A</t>
  </si>
  <si>
    <t>G00000181688A</t>
  </si>
  <si>
    <t>G00000181689A</t>
  </si>
  <si>
    <t>G00000181690A</t>
  </si>
  <si>
    <t>G00000181691A</t>
  </si>
  <si>
    <t>G00000181692A</t>
  </si>
  <si>
    <t>G00000181693A</t>
  </si>
  <si>
    <t>G00000181694A</t>
  </si>
  <si>
    <t>G00000181695A</t>
  </si>
  <si>
    <t>G00000181696A</t>
  </si>
  <si>
    <t>G00000181697A</t>
  </si>
  <si>
    <t>G00000181698A</t>
  </si>
  <si>
    <t>G00000181699A</t>
  </si>
  <si>
    <t>G00000181700A</t>
  </si>
  <si>
    <t>G00000181701A</t>
  </si>
  <si>
    <t>G00000181702A</t>
  </si>
  <si>
    <t>G00000181703A</t>
  </si>
  <si>
    <t>G00000181704A</t>
  </si>
  <si>
    <t>G00000181705A</t>
  </si>
  <si>
    <t>G00000181706A</t>
  </si>
  <si>
    <t>G00000181707A</t>
  </si>
  <si>
    <t>G00000181708A</t>
  </si>
  <si>
    <t>G00000181709A</t>
  </si>
  <si>
    <t>G00000181710A</t>
  </si>
  <si>
    <t>G00000181711A</t>
  </si>
  <si>
    <t>G00000181712A</t>
  </si>
  <si>
    <t>G00000181713A</t>
  </si>
  <si>
    <t>G00000181714A</t>
  </si>
  <si>
    <t>G00000181715A</t>
  </si>
  <si>
    <t>G00000181716A</t>
  </si>
  <si>
    <t>G00000181717A</t>
  </si>
  <si>
    <t>G00000181718A</t>
  </si>
  <si>
    <t>G00000181719A</t>
  </si>
  <si>
    <t>00012 - FORNECEDORES</t>
  </si>
  <si>
    <t>02.10.006-COMPRA PARA REVENDA (3 - DESPESAS)</t>
  </si>
  <si>
    <t>000000004640A</t>
  </si>
  <si>
    <t xml:space="preserve">JOAO CARLOS - PRIMAVIA  </t>
  </si>
  <si>
    <t xml:space="preserve">00017 - DESPESAS OPERACIONAIS </t>
  </si>
  <si>
    <t>02.01.003-AGUA E ESGOTO (3 - DESPESAS)</t>
  </si>
  <si>
    <t>00000554-ETICA COMERCIO VAREJISTA DE TINTAS LTDA</t>
  </si>
  <si>
    <t>000000262709A</t>
  </si>
  <si>
    <t xml:space="preserve">PAGAMENTO CONTA DE AGUA REFERENTE AO MES DE DEZEMBRO 2025  </t>
  </si>
  <si>
    <t>00000161-COMPANHIA DE SANEAMENTO AMBIENTAL DO DF</t>
  </si>
  <si>
    <t>G00000087754P</t>
  </si>
  <si>
    <t xml:space="preserve">VEM NO MALOTE -  56120-7 CASIMIRO RODRIGUES ALVES-16/16 </t>
  </si>
  <si>
    <t>G00000099373M</t>
  </si>
  <si>
    <t xml:space="preserve">CAESB - 246696-1 LOGIN: 01.969.415/0005-64- SENHA: MERCADO.05     DALMAR COMERCIO LTDA-13/24 </t>
  </si>
  <si>
    <t>00000611-EQUATORIAL ENERGIA</t>
  </si>
  <si>
    <t>G00000101572K</t>
  </si>
  <si>
    <t xml:space="preserve">CONS.: 10014930259 V&amp;T COMERCIO (36.113.768/0002-08) MALOTE OU SITE (HTTPS://EQUATORIALGOIAS.COM.BR/LOGINGO.ASPX)--11/24 </t>
  </si>
  <si>
    <t>G00000108048K</t>
  </si>
  <si>
    <t xml:space="preserve">CAESB - 332089-8 LOGIN: 00.472.761/0001-46- SENHA: 12345A </t>
  </si>
  <si>
    <t>G00000108049K</t>
  </si>
  <si>
    <t xml:space="preserve">CAESB - 48671-1 LOGIN: 01.969.415/0005-64- SENHA: MERCADO.05-09/24 </t>
  </si>
  <si>
    <t>G00000168907A</t>
  </si>
  <si>
    <t xml:space="preserve">CÓDIGO CLIENTE: 399491-1 DALMAR (CNPJ: 00.472.761/0001-46) ENDEREÇO: QNN 18 CJ D LT 01 - MALOTE </t>
  </si>
  <si>
    <t>02.01.004-ALUGUEL (3 - DESPESAS)</t>
  </si>
  <si>
    <t>G00000108059K</t>
  </si>
  <si>
    <t xml:space="preserve">AGENCIA: 5197-7  CONTA CORRENTE: 973.905-X (BANCO DO BRASIL)  EMERSON SANTANA FERREIRA-11/24 </t>
  </si>
  <si>
    <t>G00000130312H</t>
  </si>
  <si>
    <t xml:space="preserve">https://www.asaas.com/segunda-via PRIME IMOVEIS UNAÍ-08/12 NADINE DE OLIVEIRA MORAIS CPF 117.215.256-02 </t>
  </si>
  <si>
    <t>G00000160332C</t>
  </si>
  <si>
    <t xml:space="preserve">ALUGUEL LOJA NOVA ADE-03/05 </t>
  </si>
  <si>
    <t>G00000176821A</t>
  </si>
  <si>
    <t xml:space="preserve">PIX: BB507832-D173-48DD-9B0D-BA17E40D03B5 (LETRAS MINUSCULAS)-01/15 </t>
  </si>
  <si>
    <t>G00000177208A</t>
  </si>
  <si>
    <t xml:space="preserve">ALUGUEL UNAÍ - PIX(CELULAR): (38) 99953-4669 ALAIR INACIO DOS SANTOS-01/24 </t>
  </si>
  <si>
    <t>00000351-MARLENE MARIA DOS SANTOS RODRIGUES</t>
  </si>
  <si>
    <t>G00000177209A</t>
  </si>
  <si>
    <t xml:space="preserve">ALUGUEL CEILANDIA  CHAVE PIX - 32.297.625/0001-53 MERX HOME </t>
  </si>
  <si>
    <t>G00000177210A</t>
  </si>
  <si>
    <t xml:space="preserve">ALUGUEL AGUAS LINDAS - PIX (CNPJ): 18.073.612/0001-70 AMORIL IMOBILIARIA CONSTRUTORA-01/24 </t>
  </si>
  <si>
    <t>G00000177211A</t>
  </si>
  <si>
    <t xml:space="preserve">ALUGUEL EXTENSÃO - PIX (CPF): 89709711391 WELISSON MEIRELES-01/24 </t>
  </si>
  <si>
    <t>G00000177215A</t>
  </si>
  <si>
    <t xml:space="preserve">ALUGUEL LOJANOVA CEILÂNDIA - BOLETO-01/06 </t>
  </si>
  <si>
    <t>G00000196865A</t>
  </si>
  <si>
    <t xml:space="preserve">PIX: 009.892.746-91 OTÁVIO RODRIGUES JUNQUEIRA-34/36 </t>
  </si>
  <si>
    <t>G00000196866A</t>
  </si>
  <si>
    <t xml:space="preserve">CONDOMINÍO - ENTREGUE NA LOJA-35/36 </t>
  </si>
  <si>
    <t>02.01.012-ENERGIA ELETRICA (3 - DESPESAS)</t>
  </si>
  <si>
    <t>00000164-CEB DISTRIBUICAO</t>
  </si>
  <si>
    <t>G00000099361M</t>
  </si>
  <si>
    <t xml:space="preserve">CÓDIGO CLIENTE: 1438424-8  DAUTO TINTAS (CNPJ: 01.969.415/0001-30) ENDEREÇO: QE 40 LT 45 LJ 01 - MALOTE-13/24 </t>
  </si>
  <si>
    <t>G00000099372M</t>
  </si>
  <si>
    <t xml:space="preserve">CÓDIGO CLIENTE: 1438434-5  DAUTO TINTAS (CNPJ: 01.969.415/0001-30) ENDEREÇO: QE 40 LT 45 LJ 02 - MALOTE-13/24 </t>
  </si>
  <si>
    <t>G00000108039K</t>
  </si>
  <si>
    <t xml:space="preserve">CÓDIGO CLIENTE: 2673647-0  DT TINTAS (CNPJ: 40.994.045/0002-24) ENDEREÇO: SIA QD 04C LT 56 LJ 06 - MALOTE-11/24 </t>
  </si>
  <si>
    <t>G00000108041K</t>
  </si>
  <si>
    <t xml:space="preserve">N° CLIENTE: 7202943399 ETICA COMERCIO (04.744.446/002-62)  MALOTE-11/24 </t>
  </si>
  <si>
    <t>G00000108042K</t>
  </si>
  <si>
    <t xml:space="preserve">CÓDIGO CLIENTE: 03063100-9  DALMAR: 00.472.761/0001-46 </t>
  </si>
  <si>
    <t>G00000108043K</t>
  </si>
  <si>
    <t xml:space="preserve">CÓDIGO CLIENTE: 2348263-X  MERCADO DAS TINTAS (CNPJ: 72.628.407/0002-50) ENDEREÇO: QNN 18 CJ E LT 01 LJ 01 - MALOTE-11/24 </t>
  </si>
  <si>
    <t>G00000108044L</t>
  </si>
  <si>
    <t xml:space="preserve">GAMA - COD CLIEN: 2337067-X  DINEY ALVES COELHO - MALOTE-12/24 </t>
  </si>
  <si>
    <t>G00000108046K</t>
  </si>
  <si>
    <t xml:space="preserve">CONS: 10036814250  - SITE: EQUATORIAL (WELISSON - CPF: 897.097.131-91 DATA DE NASC.: 21/02/1981)-11/24 </t>
  </si>
  <si>
    <t>G00000135939G</t>
  </si>
  <si>
    <t xml:space="preserve">CODIGO CLIENTE 3116587-7 CNPJ DALMAR 00.472.761/0001-46 </t>
  </si>
  <si>
    <t>G00000177065A</t>
  </si>
  <si>
    <t>G00000177217A</t>
  </si>
  <si>
    <t xml:space="preserve">CÓDIGO CLIENTE: 3172699-2 DALMAR (CNPJ: 00.472.761/0001-46) ENDEREÇO: QNN 18 CJ D LT 01 - MALOTE-01/24 </t>
  </si>
  <si>
    <t>G00000177219A</t>
  </si>
  <si>
    <t xml:space="preserve">CÓDIGO CLIENTE: 3172699-2 DALMAR (CNPJ: 00.472.761/0001-46) ENDEREÇO: QNN 18 CJ D LT 01 </t>
  </si>
  <si>
    <t>02.01.020-INTERNET (3 - DESPESAS)</t>
  </si>
  <si>
    <t>00000617-AGE TECNOLOGIA DA INFORMATICA LTDA</t>
  </si>
  <si>
    <t>G00000082398R</t>
  </si>
  <si>
    <t xml:space="preserve">HTTPS://PORTAL.AGETELECOM.COM.BR/AUTH/LOGIN (USUARIO E SENHA: 36517206000130)-18/20 </t>
  </si>
  <si>
    <t>G00000082399R</t>
  </si>
  <si>
    <t xml:space="preserve">HTTPS://PORTAL.AGETELECOM.COM.BR/AUTH/LOGIN (USUARIO E SENHA: 36517206000130-18/20 </t>
  </si>
  <si>
    <t>G00000082401R</t>
  </si>
  <si>
    <t>G00000082402R</t>
  </si>
  <si>
    <t>G00000082599Q</t>
  </si>
  <si>
    <t xml:space="preserve">VAMOS NEGOCIO - V&amp;T (36.113.768/0001-19) CHEGA NO EMAIL-17/20 </t>
  </si>
  <si>
    <t>00000162-OI S.A</t>
  </si>
  <si>
    <t>G00000100886K</t>
  </si>
  <si>
    <t xml:space="preserve">Nº CLIENTE: 6005962550 DAUTO TINTAS  BOLETO:EMAIL OU PELO SITE (HTTPS://WWW.OICONTASB2B.COM.BR/#/OI/OIDASHBOARD)-11/24 </t>
  </si>
  <si>
    <t>G00000108052K</t>
  </si>
  <si>
    <t>G00000113631J</t>
  </si>
  <si>
    <t xml:space="preserve">INTERNET EXTRA - UNAFIBER TELECOM LTDA (CARNÊ)-10/24 </t>
  </si>
  <si>
    <t>02.01.021-MANUTENCAO PREDIAL (3 - DESPESAS)</t>
  </si>
  <si>
    <t>00000001-SIKKENS</t>
  </si>
  <si>
    <t>000000024238A</t>
  </si>
  <si>
    <t xml:space="preserve">RETIRADA PARA MANUTENÇÃO DO LABORATORIO. </t>
  </si>
  <si>
    <t>000000262712A</t>
  </si>
  <si>
    <t xml:space="preserve">TROCA DA LÂMPADA DO BANHEIRO </t>
  </si>
  <si>
    <t>000000262713A</t>
  </si>
  <si>
    <t xml:space="preserve">FILTRO DE LINHA PARA TOMADA </t>
  </si>
  <si>
    <t>02.01.030-TELEFONIA CELULAR (MOVEL) (3 - DESPESAS)</t>
  </si>
  <si>
    <t>00000263-CLARO S/A</t>
  </si>
  <si>
    <t>G00000108050K</t>
  </si>
  <si>
    <t xml:space="preserve">Nº CLIENTE: 147711573 MERCADO DAS TINTAS (72.628.407/0003-30)-11/24 </t>
  </si>
  <si>
    <t>02.01.035-MATERIAL INFORMATICA (3 - DESPESAS)</t>
  </si>
  <si>
    <t>G00000168121A</t>
  </si>
  <si>
    <t xml:space="preserve">SOL COMERCIO E SERVIÇOS-01/03 </t>
  </si>
  <si>
    <t>00000150-SOL COMERCIO E SERV DE INFORMATICA LTDA</t>
  </si>
  <si>
    <t>G102914B</t>
  </si>
  <si>
    <t>02.01.038-TELEFONIA FIXO (3 - DESPESAS)</t>
  </si>
  <si>
    <t>G00000100885K</t>
  </si>
  <si>
    <t xml:space="preserve">Nº CLIENTE: 2025549809 UNICA  ATACADISTA  BOLETO:EMAIL OU PELO SITE-11/24 </t>
  </si>
  <si>
    <t>02.06.001-COMBUSTIVEL E LUBRIFICANTE (3 - DESPESAS)</t>
  </si>
  <si>
    <t>000000024239A</t>
  </si>
  <si>
    <t xml:space="preserve">COMBUSTIVEL COLORISTA REFERENTE AO DIA 27/01 E 28/01 </t>
  </si>
  <si>
    <t>00000274-TRIPAR BEB ADMINISTRADORA DE CARTOES LTDA</t>
  </si>
  <si>
    <t>G00000100888M</t>
  </si>
  <si>
    <t xml:space="preserve">EMAIL: CARLOS EDUARDO-13/24 </t>
  </si>
  <si>
    <t>11000462-POSTO SOARES BRAZ LTDA</t>
  </si>
  <si>
    <t>G00000135936G</t>
  </si>
  <si>
    <t>G00000135973G</t>
  </si>
  <si>
    <t>11000464-POSTO SANSÃO</t>
  </si>
  <si>
    <t>G00000135974F</t>
  </si>
  <si>
    <t>02.06.006-MANUTENCAO DE VEICULOS (3 - DESPESAS)</t>
  </si>
  <si>
    <t>000000262711A</t>
  </si>
  <si>
    <t xml:space="preserve">REMENDO DO PNEU DO MOBI USO COLORISTA  </t>
  </si>
  <si>
    <t>02.06.007-MANUT EM MAQ E EQUIP (LOJAS) (3 - DESPESAS)</t>
  </si>
  <si>
    <t>G00000171199A</t>
  </si>
  <si>
    <t xml:space="preserve">NERI MANUTENÇÃO-01/02 </t>
  </si>
  <si>
    <t>02.06.011-OUTRAS DESPESAS OPERACIONAIS (3 - DESPESAS)</t>
  </si>
  <si>
    <t>00000309-MERCADO DAS TINTAS LTDA</t>
  </si>
  <si>
    <t>000000262714A</t>
  </si>
  <si>
    <t xml:space="preserve">COMPRA DE PENEU PARA FIORINO/ LIVIA CIENTE  </t>
  </si>
  <si>
    <t>02.06.012-CITEL (3 - DESPESAS)</t>
  </si>
  <si>
    <t>00000377-CITEL ANALISE E PROGRAMACAO DE SISTEMA LTDA</t>
  </si>
  <si>
    <t>G00000101440M</t>
  </si>
  <si>
    <t xml:space="preserve">BOLETO MENSALIDADE-13/24 </t>
  </si>
  <si>
    <t>G00000101441K</t>
  </si>
  <si>
    <t xml:space="preserve">XML-11/24 </t>
  </si>
  <si>
    <t>G00000174902A</t>
  </si>
  <si>
    <t xml:space="preserve">NUVEM LUZIANIA-01/14 </t>
  </si>
  <si>
    <t>02.06.016-MATERIAL P/ CONSTRUÇÃO REFOR.  (3 - DESPESAS)</t>
  </si>
  <si>
    <t>G00000169411B</t>
  </si>
  <si>
    <t xml:space="preserve">ATELIE DA CONSTRUÇÃO-02/06 </t>
  </si>
  <si>
    <t>G100012C</t>
  </si>
  <si>
    <t xml:space="preserve">SOL COMERCIO-03/03 </t>
  </si>
  <si>
    <t>G942379B</t>
  </si>
  <si>
    <t xml:space="preserve">CASTELO-02/02 </t>
  </si>
  <si>
    <t>02.08.001-MOVEIS (3 - DESPESAS)</t>
  </si>
  <si>
    <t>G00000124624I</t>
  </si>
  <si>
    <t xml:space="preserve">RICHARD ACABAMENTOS-09/10 </t>
  </si>
  <si>
    <t>02.08.008-TELEFONIA (3 - DESPESAS)</t>
  </si>
  <si>
    <t>00000115-VIVO S.A.</t>
  </si>
  <si>
    <t>G00000108053K</t>
  </si>
  <si>
    <t xml:space="preserve">TELEFONE: (38)3493-3919  Nº DA CONTA: 899930135511 (ETICA COMERCIO)   BOLETO: EMAIL OU PELO SITE (HTTPS://VIVOEMDIA.VIVO.COM.BR/)-11/24 </t>
  </si>
  <si>
    <t>G00000177061A</t>
  </si>
  <si>
    <t>02.08.009-SISTEMA DE COMUNIC ENTRE LOJAS (3 - DESPESAS)</t>
  </si>
  <si>
    <t>00000394-KINGHOST HOSPEDAGEM DE SITES</t>
  </si>
  <si>
    <t>G00000108058E</t>
  </si>
  <si>
    <t xml:space="preserve">HOSPEDAGEM E-MAIL- RENOVAÇAO TRIMESTRAL (VEM PARA O E-MAIL CONTASAPAGAR)HOSPEDAGEM E-MAIL- RENOVAÇAO TRIMESTRAL (VEM PARA O E-MAIL CONTASAPAGAR)-05/24 </t>
  </si>
  <si>
    <t>02.09.004-CONSTRUÇÃO/ REFORMA (3 - DESPESAS)</t>
  </si>
  <si>
    <t>G00000160418E</t>
  </si>
  <si>
    <t xml:space="preserve">FACHADA - MAGNO SILVA-05/05 </t>
  </si>
  <si>
    <t>G00000166456C</t>
  </si>
  <si>
    <t xml:space="preserve">MAGNO SILVA - CARTAO DE CREDITO - FACHADA-03/10 </t>
  </si>
  <si>
    <t>G00000166457C</t>
  </si>
  <si>
    <t>G1065106A</t>
  </si>
  <si>
    <t xml:space="preserve">ITATIAIA-01/03 </t>
  </si>
  <si>
    <t>LOJA</t>
  </si>
  <si>
    <t>DESPESA</t>
  </si>
  <si>
    <t xml:space="preserve">FERIAS </t>
  </si>
  <si>
    <t>G00000180228A</t>
  </si>
  <si>
    <t>00000592-DIVERSOS SALARIO</t>
  </si>
  <si>
    <t>02.02.022-FERIAS/RESCISÃO (3 - DESPESAS)</t>
  </si>
  <si>
    <t>02.02.006-PROVENTOS DO PESSOAL (3 - DESPESAS)</t>
  </si>
  <si>
    <t>DATA</t>
  </si>
  <si>
    <t>G00000171187A</t>
  </si>
  <si>
    <t xml:space="preserve">ICMS DT </t>
  </si>
  <si>
    <t>G00000171189A</t>
  </si>
  <si>
    <t xml:space="preserve">COFINS </t>
  </si>
  <si>
    <t>G00000108031K</t>
  </si>
  <si>
    <t xml:space="preserve">DAUTO SERVIÇOS-11/24 </t>
  </si>
  <si>
    <t>G00000171190A</t>
  </si>
  <si>
    <t xml:space="preserve">SIMPLES NACIONAL - PAGTO.PARCIAL - DTA. PGTO.: 22/12/2025 - VR. ORIGINAL: 50.569,16 - VR. PAGO: 8.726,72 - PAGTO.PARCIAL - DTA. PGTO.: 22/12/2025 - VR. ORIGINAL: 41.842,44 - VR. PAGO: 18.875,49 </t>
  </si>
  <si>
    <t xml:space="preserve">SIMPLES NACIONAL - PAGTO.PARCIAL - DTA. PGTO.: 22/12/2025 - VR. ORIGINAL: 50.569,16 - VR. PAGO: 8.726,72 </t>
  </si>
  <si>
    <t>G00000171188A</t>
  </si>
  <si>
    <t xml:space="preserve">PIS </t>
  </si>
  <si>
    <t>02.02.001-CLINICA MEDICA (3 - DESPESAS)</t>
  </si>
  <si>
    <t>G00000152592D</t>
  </si>
  <si>
    <t xml:space="preserve">L. G. DE SOUZA CARDOSO-04/04 </t>
  </si>
  <si>
    <t>G00000179105A</t>
  </si>
  <si>
    <t xml:space="preserve">Pagtº Ref. Demissional colab. Iago </t>
  </si>
  <si>
    <t>02.02.004-13º SALARIO (3 - DESPESAS)</t>
  </si>
  <si>
    <t>G00000178446A</t>
  </si>
  <si>
    <t>G00000178524A</t>
  </si>
  <si>
    <t>G00000179250A</t>
  </si>
  <si>
    <t xml:space="preserve">PARACATU </t>
  </si>
  <si>
    <t>G00000179251A</t>
  </si>
  <si>
    <t>G00000179935A</t>
  </si>
  <si>
    <t>G00000179936A</t>
  </si>
  <si>
    <t>G00000179937A</t>
  </si>
  <si>
    <t>G00000179938A</t>
  </si>
  <si>
    <t>G00000179939A</t>
  </si>
  <si>
    <t>G00000179940A</t>
  </si>
  <si>
    <t>G00000180071A</t>
  </si>
  <si>
    <t>G00000180198A</t>
  </si>
  <si>
    <t>G00000180199A</t>
  </si>
  <si>
    <t>G00000180200A</t>
  </si>
  <si>
    <t>G00000180201A</t>
  </si>
  <si>
    <t>G00000180202A</t>
  </si>
  <si>
    <t>G00000180855A</t>
  </si>
  <si>
    <t>G00000180880A</t>
  </si>
  <si>
    <t>G00000181483A</t>
  </si>
  <si>
    <t>G00000093200L</t>
  </si>
  <si>
    <t xml:space="preserve">PREVISÃO FGTS-12/12 - PAGTO.PARCIAL - DTA. PGTO.: 19/12/2025 - VR. ORIGINAL: 36.381,62 - VR. PAGO: 2.454,60 - PAGTO.PARCIAL - DTA. PGTO.: 19/12/2025 - VR. ORIGINAL: 33.927,02 - VR. PAGO: 5.508,90 - PAGTO.PARCIAL - DTA. PGTO.: 19/12/2025 - VR. ORIGINAL: 28.418,12 - VR. PAGO: 22.379,96 </t>
  </si>
  <si>
    <t xml:space="preserve">PREVISÃO FGTS-12/12 - PAGTO.PARCIAL - DTA. PGTO.: 19/12/2025 - VR. ORIGINAL: 36.381,62 - VR. PAGO: 2.454,60 </t>
  </si>
  <si>
    <t xml:space="preserve">PREVISÃO FGTS-12/12 - PAGTO.PARCIAL - DTA. PGTO.: 19/12/2025 - VR. ORIGINAL: 36.381,62 - VR. PAGO: 2.454,60 - PAGTO.PARCIAL - DTA. PGTO.: 19/12/2025 - VR. ORIGINAL: 33.927,02 - VR. PAGO: 5.508,90 </t>
  </si>
  <si>
    <t>G00000179223A</t>
  </si>
  <si>
    <t xml:space="preserve">RESCISO </t>
  </si>
  <si>
    <t>G00000177280A</t>
  </si>
  <si>
    <t>G00000177286A</t>
  </si>
  <si>
    <t>G00000177290A</t>
  </si>
  <si>
    <t xml:space="preserve">PARACATU  </t>
  </si>
  <si>
    <t>G00000177309A</t>
  </si>
  <si>
    <t>G00000178518A</t>
  </si>
  <si>
    <t xml:space="preserve">Diárias 08 a 12.12.25 </t>
  </si>
  <si>
    <t>G00000178519A</t>
  </si>
  <si>
    <t>G00000178526A</t>
  </si>
  <si>
    <t>G00000178593A</t>
  </si>
  <si>
    <t>G00000178853A</t>
  </si>
  <si>
    <t>G00000179864A</t>
  </si>
  <si>
    <t>G00000179865A</t>
  </si>
  <si>
    <t>G00000179866A</t>
  </si>
  <si>
    <t>G00000179867A</t>
  </si>
  <si>
    <t>G00000179881A</t>
  </si>
  <si>
    <t>G00000179882A</t>
  </si>
  <si>
    <t>G00000180069A</t>
  </si>
  <si>
    <t>G00000180134A</t>
  </si>
  <si>
    <t>G00000180135A</t>
  </si>
  <si>
    <t>G00000180136A</t>
  </si>
  <si>
    <t>G00000180137A</t>
  </si>
  <si>
    <t>G00000180138A</t>
  </si>
  <si>
    <t>G00000180139A</t>
  </si>
  <si>
    <t>G00000180273A</t>
  </si>
  <si>
    <t>G00000180318A</t>
  </si>
  <si>
    <t xml:space="preserve">Diárias 01 a 05.12.25 </t>
  </si>
  <si>
    <t>G00000180319A</t>
  </si>
  <si>
    <t>G00000108032K</t>
  </si>
  <si>
    <t xml:space="preserve">INSS + IRRF-11/24 - PAGTO.PARCIAL - DTA. PGTO.: 19/12/2025 - VR. ORIGINAL: 27.466,05 - VR. PAGO: 15.090,41 - PAGTO.PARCIAL - DTA. PGTO.: 19/12/2025 - VR. ORIGINAL: 12.375,64 - VR. PAGO: 5.643,81 - PAGTO.PARCIAL - DTA. PGTO.: 19/12/2025 - VR. ORIGINAL: 6.731,83 - VR. PAGO: 5.545,52 </t>
  </si>
  <si>
    <t xml:space="preserve">INSS + IRRF-11/24 - PAGTO.PARCIAL - DTA. PGTO.: 19/12/2025 - VR. ORIGINAL: 27.466,05 - VR. PAGO: 15.090,41 </t>
  </si>
  <si>
    <t xml:space="preserve">INSS + IRRF-11/24 - PAGTO.PARCIAL - DTA. PGTO.: 19/12/2025 - VR. ORIGINAL: 27.466,05 - VR. PAGO: 15.090,41 - PAGTO.PARCIAL - DTA. PGTO.: 19/12/2025 - VR. ORIGINAL: 12.375,64 - VR. PAGO: 5.643,81 </t>
  </si>
  <si>
    <t>G00000081158X</t>
  </si>
  <si>
    <t xml:space="preserve">PIX: 47.159.515/0001-00 CCLA CENTRO BRASILEIRO LTDA-24/24 - PAGTO.PARCIAL - DTA. PGTO.: 10/12/2025 - VR. ORIGINAL: 36.576,72 - VR. PAGO: 36.426,72 </t>
  </si>
  <si>
    <t>000000024677A</t>
  </si>
  <si>
    <t xml:space="preserve">A.R.R. BRINDES COMERCIO DE PRODUTOS </t>
  </si>
  <si>
    <t>G00000170262A</t>
  </si>
  <si>
    <t xml:space="preserve">MAGALU MAGAZI - CARTAO LOUISE-01/05 </t>
  </si>
  <si>
    <t>G00000171195A</t>
  </si>
  <si>
    <t xml:space="preserve">CHOPP CONFRATERNIZAÇÃO </t>
  </si>
  <si>
    <t>G00000171196A</t>
  </si>
  <si>
    <t xml:space="preserve">TOALHAS CONFRATERNIZAÇÃO </t>
  </si>
  <si>
    <t>G00000172761A</t>
  </si>
  <si>
    <t xml:space="preserve">CAIXA DE SOM </t>
  </si>
  <si>
    <t>G00000172772A</t>
  </si>
  <si>
    <t xml:space="preserve">SACOS, LAÇOS E CARTÃO </t>
  </si>
  <si>
    <t>G00000172785A</t>
  </si>
  <si>
    <t xml:space="preserve">AÇAO CRECHE </t>
  </si>
  <si>
    <t>G00000172788A</t>
  </si>
  <si>
    <t xml:space="preserve">VESTIMENTA PAPAI NOEL </t>
  </si>
  <si>
    <t>G00000177312A</t>
  </si>
  <si>
    <t xml:space="preserve">BUFFET </t>
  </si>
  <si>
    <t>G00000177313A</t>
  </si>
  <si>
    <t xml:space="preserve">ARTE FINA BRASIL  </t>
  </si>
  <si>
    <t>G00000177334A</t>
  </si>
  <si>
    <t xml:space="preserve">TOALHAS </t>
  </si>
  <si>
    <t>G00000177335A</t>
  </si>
  <si>
    <t xml:space="preserve">JOGOS </t>
  </si>
  <si>
    <t>G00000177336A</t>
  </si>
  <si>
    <t xml:space="preserve">DJ </t>
  </si>
  <si>
    <t>G00000177341A</t>
  </si>
  <si>
    <t xml:space="preserve">DECORAÇAO NATAL </t>
  </si>
  <si>
    <t>G321A</t>
  </si>
  <si>
    <t xml:space="preserve">J.M COMERCIO E CONFECÇOES-01/03 </t>
  </si>
  <si>
    <t>02.02.016-SERVIÇOS COLORISTA (3 - DESPESAS)</t>
  </si>
  <si>
    <t>000000262707A</t>
  </si>
  <si>
    <t xml:space="preserve">REFERENTA  A COMPRA DE PARAFUSO PARA  A MAQUINA DO LABORATIO, VICTOR CIENTE </t>
  </si>
  <si>
    <t>02.02.017-ADIANTAMENTO DE SÁLARIOS  (3 - DESPESAS)</t>
  </si>
  <si>
    <t>G00000177292A</t>
  </si>
  <si>
    <t>G00000179252A</t>
  </si>
  <si>
    <t>G00000180019A</t>
  </si>
  <si>
    <t xml:space="preserve">  </t>
  </si>
  <si>
    <t>G00000180020A</t>
  </si>
  <si>
    <t>G00000180021A</t>
  </si>
  <si>
    <t>G00000180022A</t>
  </si>
  <si>
    <t>G00000180070A</t>
  </si>
  <si>
    <t>G00000180167A</t>
  </si>
  <si>
    <t>G00000180168A</t>
  </si>
  <si>
    <t>G00000180170A</t>
  </si>
  <si>
    <t>G00000180171A</t>
  </si>
  <si>
    <t>G00000180172A</t>
  </si>
  <si>
    <t>G00000180274A</t>
  </si>
  <si>
    <t>G00000160402C</t>
  </si>
  <si>
    <t xml:space="preserve">FRED - ERICA CAIXETA-03/04 </t>
  </si>
  <si>
    <t>G00000178522A</t>
  </si>
  <si>
    <t xml:space="preserve">RESCISA </t>
  </si>
  <si>
    <t>G00000179110A</t>
  </si>
  <si>
    <t xml:space="preserve">Pagtº Rescisão contrato de trabalho </t>
  </si>
  <si>
    <t>G00000180043A</t>
  </si>
  <si>
    <t xml:space="preserve">SISPAG SALARIOS </t>
  </si>
  <si>
    <t>G00000180072A</t>
  </si>
  <si>
    <t>G00000180073A</t>
  </si>
  <si>
    <t>G00000180882A</t>
  </si>
  <si>
    <t>02.02.023-VALE REFEIÇÃO/ALIMENTAÇÃO (3 - DESPESAS)</t>
  </si>
  <si>
    <t>00000608-ALELO</t>
  </si>
  <si>
    <t>G00000081178X</t>
  </si>
  <si>
    <t xml:space="preserve">VALE REFEIÇÃO-24/24 - PAGTO.PARCIAL - DTA. PGTO.: 30/12/2025 - VR. ORIGINAL: 24.350,38 - VR. PAGO: 5.340,00 </t>
  </si>
  <si>
    <t>(01)016</t>
  </si>
  <si>
    <t>002.452.206-66</t>
  </si>
  <si>
    <t>JOSÉ MARCOS DA COSTA BARBOSA</t>
  </si>
  <si>
    <t>000000055411-IF-1</t>
  </si>
  <si>
    <t>(01)000</t>
  </si>
  <si>
    <t>000.000.000-00</t>
  </si>
  <si>
    <t>AO CONSUMIDOR</t>
  </si>
  <si>
    <t>000000055410-IF-1</t>
  </si>
  <si>
    <t>832.463.471-15</t>
  </si>
  <si>
    <t>JEAN CARLOS DOS SANTOS</t>
  </si>
  <si>
    <t>000000043377-IF-001</t>
  </si>
  <si>
    <t>(01)001</t>
  </si>
  <si>
    <t>EDICLESIO</t>
  </si>
  <si>
    <t>000000043376-IF-001</t>
  </si>
  <si>
    <t>000000043375-IF-001</t>
  </si>
  <si>
    <t>EDCLESIO</t>
  </si>
  <si>
    <t>000000043374-IF-001</t>
  </si>
  <si>
    <t>TOM</t>
  </si>
  <si>
    <t>000000043373-IF-001</t>
  </si>
  <si>
    <t>000000043372-IF-001</t>
  </si>
  <si>
    <t>000000043371-IF-001</t>
  </si>
  <si>
    <t>000000029139-IF-001</t>
  </si>
  <si>
    <t>473.371.251-00</t>
  </si>
  <si>
    <t>000000029138-IF-001</t>
  </si>
  <si>
    <t>PASTINHA</t>
  </si>
  <si>
    <t>000000028894-IF-001</t>
  </si>
  <si>
    <t>07.382.180/0001-62</t>
  </si>
  <si>
    <t>IMPACTUS LANTERNAGEM E PINTURA LTDA ME</t>
  </si>
  <si>
    <t>000000028893-IF-001</t>
  </si>
  <si>
    <t>(01)007</t>
  </si>
  <si>
    <t>41.828.590/0001-22</t>
  </si>
  <si>
    <t>AD AUTOMOTIVE LTDA</t>
  </si>
  <si>
    <t>000000028892-IF-001</t>
  </si>
  <si>
    <t>(01)030</t>
  </si>
  <si>
    <t>24.377.531/0001-66</t>
  </si>
  <si>
    <t>CASSIANO FREIRE DA SILVA ME</t>
  </si>
  <si>
    <t>000000024967-NF-001</t>
  </si>
  <si>
    <t>11.302.084/0001-34</t>
  </si>
  <si>
    <t>ANJU SERVICOS DE LANT PINT E MECANICA LTDA ME</t>
  </si>
  <si>
    <t>000000024966-NF-001</t>
  </si>
  <si>
    <t>111.111.111-11</t>
  </si>
  <si>
    <t>CELSO</t>
  </si>
  <si>
    <t>000000021662-IF-001</t>
  </si>
  <si>
    <t>VERMELHO CARMIN</t>
  </si>
  <si>
    <t>000000021661-IF-001</t>
  </si>
  <si>
    <t>AMARELO IPE</t>
  </si>
  <si>
    <t>000000021660-IF-001</t>
  </si>
  <si>
    <t xml:space="preserve">ALINE </t>
  </si>
  <si>
    <t>000000019617-IF-1</t>
  </si>
  <si>
    <t>NEURACI</t>
  </si>
  <si>
    <t>000000019616-IF-1</t>
  </si>
  <si>
    <t>41.616.133/0001-74</t>
  </si>
  <si>
    <t>BARBA GARAGE</t>
  </si>
  <si>
    <t>000000019504-IF-001</t>
  </si>
  <si>
    <t>006.400.981-50</t>
  </si>
  <si>
    <t>IVAN DE ARAUJO SOARES</t>
  </si>
  <si>
    <t>000000019503-IF-001</t>
  </si>
  <si>
    <t>986.123.521-34</t>
  </si>
  <si>
    <t>RONALDO BARBOSA DA SILVA</t>
  </si>
  <si>
    <t>000000019163-NF-001</t>
  </si>
  <si>
    <t>24.098.951/0001-03</t>
  </si>
  <si>
    <t>4 BOSS BRASIL COMERCIO E LOC DE VEICULOS</t>
  </si>
  <si>
    <t>000000019162-NF-001</t>
  </si>
  <si>
    <t>28.228.866/0001-73</t>
  </si>
  <si>
    <t>ZE FILHO LANTERNAGEM E PINTURA EMPRESA INDIVIDUAL DE RESPONS</t>
  </si>
  <si>
    <t>000000019161-NF-001</t>
  </si>
  <si>
    <t>091.101.036-00</t>
  </si>
  <si>
    <t>SIMONE JOSE DAS VIRGENS</t>
  </si>
  <si>
    <t>000000018031-IF-001</t>
  </si>
  <si>
    <t>686.678.846-34</t>
  </si>
  <si>
    <t>RENILSON JOSE CANDIDO DE MOURA</t>
  </si>
  <si>
    <t>000000018030-IF-001</t>
  </si>
  <si>
    <t>000000016656-FF-001</t>
  </si>
  <si>
    <t>000000016655-FF-001</t>
  </si>
  <si>
    <t>23.026.510/0001-33</t>
  </si>
  <si>
    <t>REVISA REPAROS AUTOMOTIVOS EIRELI ME</t>
  </si>
  <si>
    <t>000000016654-FF-001</t>
  </si>
  <si>
    <t>JOSE ISRAEL</t>
  </si>
  <si>
    <t>000000016653-FF-001</t>
  </si>
  <si>
    <t>000000016652-FF-001</t>
  </si>
  <si>
    <t>070.011.571-47</t>
  </si>
  <si>
    <t>BRUNO MENDES DE CARVALHO</t>
  </si>
  <si>
    <t>000000016651-FF-001</t>
  </si>
  <si>
    <t>000000016650-FF-001</t>
  </si>
  <si>
    <t>000000016649-FF-001</t>
  </si>
  <si>
    <t>38.019.940/0001-03</t>
  </si>
  <si>
    <t>OTIMIZAR SOLUÇOES LTDA</t>
  </si>
  <si>
    <t>000000015046-NF-1</t>
  </si>
  <si>
    <t>AO CONSUMIDOR UNAI</t>
  </si>
  <si>
    <t>000000014809-FF-001</t>
  </si>
  <si>
    <t>40.166.240/0001-85</t>
  </si>
  <si>
    <t>GISELE FONSECA DA SILVA 01250785600</t>
  </si>
  <si>
    <t>000000014808-FF-001</t>
  </si>
  <si>
    <t>42.447.648/0001-50</t>
  </si>
  <si>
    <t>CENTRO AUTOMOTIVO COMBATE</t>
  </si>
  <si>
    <t>000000014807-FF-001</t>
  </si>
  <si>
    <t>705.937.521-04</t>
  </si>
  <si>
    <t>JOSE OTILIO JUNIOR</t>
  </si>
  <si>
    <t>000000014806-FF-001</t>
  </si>
  <si>
    <t>112.154.416-90</t>
  </si>
  <si>
    <t>MARCOS VITOR BORGES</t>
  </si>
  <si>
    <t>000000014805-FF-001</t>
  </si>
  <si>
    <t>000000014804-FF-001</t>
  </si>
  <si>
    <t>927.920.141-72</t>
  </si>
  <si>
    <t>FRANCISCO ILDERLANIO DE SOUZA SANTOS</t>
  </si>
  <si>
    <t>000000014374-FF-001</t>
  </si>
  <si>
    <t>000000014373-FF-001</t>
  </si>
  <si>
    <t>35.120.621/0001-93</t>
  </si>
  <si>
    <t>I F CAMPOS CENTRO AUTOMOTIVO ME</t>
  </si>
  <si>
    <t>000000014372-FF-001</t>
  </si>
  <si>
    <t>11.869.130/0001-81</t>
  </si>
  <si>
    <t>ANTONIO LOPES CALDAS</t>
  </si>
  <si>
    <t>000000007829-FF-001</t>
  </si>
  <si>
    <t>00.613.232/0001-15</t>
  </si>
  <si>
    <t>JOSE CORREA DE MELO</t>
  </si>
  <si>
    <t>000000007828-FF-001</t>
  </si>
  <si>
    <t>00.654.012/0001-30</t>
  </si>
  <si>
    <t>LANTERNAGEN PINTURA NUNES</t>
  </si>
  <si>
    <t>000000007827-FF-001</t>
  </si>
  <si>
    <t>000000007826-FF-001</t>
  </si>
  <si>
    <t>12.693.393/0001-45</t>
  </si>
  <si>
    <t>LUSMAR FERNANDES GUIMARES</t>
  </si>
  <si>
    <t>000000006931-FF-001</t>
  </si>
  <si>
    <t>(01)015</t>
  </si>
  <si>
    <t>36.228.133/0001-67</t>
  </si>
  <si>
    <t>DARCIS LANTERNAGEM E PINTURA</t>
  </si>
  <si>
    <t>000000006930-FF-001</t>
  </si>
  <si>
    <t>AO CONSUMIDOR LUZIANIA</t>
  </si>
  <si>
    <t>000000006908-IF-001</t>
  </si>
  <si>
    <t>49.274.115/0001-63</t>
  </si>
  <si>
    <t>PANGARE LANTERNAGEM</t>
  </si>
  <si>
    <t>000000006907-IF-001</t>
  </si>
  <si>
    <t>000000006906-IF-001</t>
  </si>
  <si>
    <t>JEZIEL</t>
  </si>
  <si>
    <t>000000006905-IF-001</t>
  </si>
  <si>
    <t>000000006904-IF-001</t>
  </si>
  <si>
    <t>(01)003</t>
  </si>
  <si>
    <t>57.559.196/0001-76</t>
  </si>
  <si>
    <t>FRANCISCO KENEDY VIEIRA LTDA</t>
  </si>
  <si>
    <t>000000003827-NF-001</t>
  </si>
  <si>
    <t>(02)030.060</t>
  </si>
  <si>
    <t>00.827.783/0041-79</t>
  </si>
  <si>
    <t>KURUMA VEICULOS LTDA</t>
  </si>
  <si>
    <t>000000003826-NF-001</t>
  </si>
  <si>
    <t>11.739.439/0001-57</t>
  </si>
  <si>
    <t>V12 MOTORS VW COMERCIO DE VEICULOS LTDA</t>
  </si>
  <si>
    <t>000000003825-NF-001</t>
  </si>
  <si>
    <t>40.604.446/0001-40</t>
  </si>
  <si>
    <t>J.T.B. DA COSTA - RECUPERADORA DE VEICULOS</t>
  </si>
  <si>
    <t>000000000918-FF-001</t>
  </si>
  <si>
    <t>(01)044</t>
  </si>
  <si>
    <t>45.897.181/0001-39</t>
  </si>
  <si>
    <t>E F G OLIVEIRA SERVICO AUTOMOTIVO (FRED CAR)</t>
  </si>
  <si>
    <t>000000000917-FF-001</t>
  </si>
  <si>
    <t>45.493.652/0001-43</t>
  </si>
  <si>
    <t>EPE EDUCACAO PRE ESCOLA LTDA</t>
  </si>
  <si>
    <t>000000000860-NF-001</t>
  </si>
  <si>
    <t>71.145.668/0005-07</t>
  </si>
  <si>
    <t>BOX RAPIDO PRIMAVIA VALPARAISO</t>
  </si>
  <si>
    <t>000000613172-FF-1</t>
  </si>
  <si>
    <t>(01)045</t>
  </si>
  <si>
    <t>773.071.001-34</t>
  </si>
  <si>
    <t>JOSÉ AGNALDO DE BARROS</t>
  </si>
  <si>
    <t>000000613171-FF-1</t>
  </si>
  <si>
    <t>45.196.158/0001-17</t>
  </si>
  <si>
    <t>DESTAQUE LANTERNAGEM E PINTURA</t>
  </si>
  <si>
    <t>000000409925-FF-1</t>
  </si>
  <si>
    <t>050.765.431-58</t>
  </si>
  <si>
    <t>ANDRE GUERRA MACEDO DA SILVEIRA</t>
  </si>
  <si>
    <t>000000055409-IF-1</t>
  </si>
  <si>
    <t>705.740.651-72</t>
  </si>
  <si>
    <t>CESAR CARVALHO MACHADO</t>
  </si>
  <si>
    <t>000000055408-IF-1</t>
  </si>
  <si>
    <t>MARCOS</t>
  </si>
  <si>
    <t>000000055407-IF-1</t>
  </si>
  <si>
    <t>CICERO</t>
  </si>
  <si>
    <t>000000055406-IF-1</t>
  </si>
  <si>
    <t>000000055405-IF-1</t>
  </si>
  <si>
    <t>000000055404-IF-1</t>
  </si>
  <si>
    <t>CLAUDIO</t>
  </si>
  <si>
    <t>000000055403-IF-1</t>
  </si>
  <si>
    <t>000000055402-IF-1</t>
  </si>
  <si>
    <t>065.002.331-58</t>
  </si>
  <si>
    <t>LUCAS MATEUS FERREIRA SENRA</t>
  </si>
  <si>
    <t>000000055401-IF-1</t>
  </si>
  <si>
    <t>000000043370-IF-001</t>
  </si>
  <si>
    <t>000000043369-IF-001</t>
  </si>
  <si>
    <t>000000043368-IF-001</t>
  </si>
  <si>
    <t>000000043367-IF-001</t>
  </si>
  <si>
    <t>24.411.744/0001-67</t>
  </si>
  <si>
    <t>JUNIOR'S CAR PINTURAS AUTOMOTIVAS PERSONALIZADAS LTDA</t>
  </si>
  <si>
    <t>000000043366-IF-001</t>
  </si>
  <si>
    <t>000000043365-IF-001</t>
  </si>
  <si>
    <t>49.385.655/0001-14</t>
  </si>
  <si>
    <t>MARQUES E PLINIO LANTERNAGEM E PINTURA LTDA</t>
  </si>
  <si>
    <t>000000043364-IF-001</t>
  </si>
  <si>
    <t>HENRIQUE</t>
  </si>
  <si>
    <t>000000043363-IF-001</t>
  </si>
  <si>
    <t>000000043362-IF-001</t>
  </si>
  <si>
    <t>819.905.021-72</t>
  </si>
  <si>
    <t>PEDRO LEAL DOS SANTOS JUNIOR</t>
  </si>
  <si>
    <t>000000043361-IF-001</t>
  </si>
  <si>
    <t>000000043360-IF-001</t>
  </si>
  <si>
    <t>000000043359-IF-001</t>
  </si>
  <si>
    <t>28.641.609/0001-69</t>
  </si>
  <si>
    <t>PERSONA LEH MARCENARIA PERSONALIZADA</t>
  </si>
  <si>
    <t>000000043358-IF-001</t>
  </si>
  <si>
    <t>722.529.014-20</t>
  </si>
  <si>
    <t>JAILSON ALVES</t>
  </si>
  <si>
    <t>000000043357-IF-001</t>
  </si>
  <si>
    <t>000000043356-IF-001</t>
  </si>
  <si>
    <t>15.612.786/0001-75</t>
  </si>
  <si>
    <t>NEIDE BRAZ DE QUEIROZ RIBEIRO ME</t>
  </si>
  <si>
    <t>000000043355-IF-001</t>
  </si>
  <si>
    <t>03.131.835/0001-79</t>
  </si>
  <si>
    <t>M3 LANTERNAGEM E PINTURA LTDA ME</t>
  </si>
  <si>
    <t>000000043354-IF-001</t>
  </si>
  <si>
    <t>30.296.048/0001-50</t>
  </si>
  <si>
    <t>JULIO CESAR DOS SANTOS RODRIGUES</t>
  </si>
  <si>
    <t>000000043353-IF-001</t>
  </si>
  <si>
    <t>000000043352-IF-001</t>
  </si>
  <si>
    <t>000000043351-IF-001</t>
  </si>
  <si>
    <t>003.216.741-54</t>
  </si>
  <si>
    <t>CARLOS EDUARDO DOS SANTOS</t>
  </si>
  <si>
    <t>000000043350-IF-001</t>
  </si>
  <si>
    <t>GILSON</t>
  </si>
  <si>
    <t>000000043349-IF-001</t>
  </si>
  <si>
    <t>ANDERSON</t>
  </si>
  <si>
    <t>000000043348-IF-001</t>
  </si>
  <si>
    <t>000000043347-IF-001</t>
  </si>
  <si>
    <t>000000043346-IF-001</t>
  </si>
  <si>
    <t>357.738.805-63</t>
  </si>
  <si>
    <t>LEOMILTON DE SOUZA BRASILEIRO</t>
  </si>
  <si>
    <t>000000043345-IF-001</t>
  </si>
  <si>
    <t>BRASIL CAR</t>
  </si>
  <si>
    <t>000000043344-IF-001</t>
  </si>
  <si>
    <t>032.342.501-11</t>
  </si>
  <si>
    <t>IGOR GUALBERTO SOUSA MARINHO</t>
  </si>
  <si>
    <t>000000043343-IF-001</t>
  </si>
  <si>
    <t>000000043342-IF-001</t>
  </si>
  <si>
    <t>000000043341-IF-001</t>
  </si>
  <si>
    <t>000000043340-IF-001</t>
  </si>
  <si>
    <t>32.904.872/0001-70</t>
  </si>
  <si>
    <t>EDMILSON DA  APOLLOS</t>
  </si>
  <si>
    <t>000000043339-IF-001</t>
  </si>
  <si>
    <t>000000043338-IF-001</t>
  </si>
  <si>
    <t>MARTELINHO DE OURO</t>
  </si>
  <si>
    <t>000000043337-IF-001</t>
  </si>
  <si>
    <t>000000043336-IF-001</t>
  </si>
  <si>
    <t>JERSON</t>
  </si>
  <si>
    <t>000000043335-IF-001</t>
  </si>
  <si>
    <t>01.792.172/0001-08</t>
  </si>
  <si>
    <t>ROCHA DE ARUDA &amp; ARUDA LTDA ME</t>
  </si>
  <si>
    <t>000000043333-IF-001</t>
  </si>
  <si>
    <t>000000043332-IF-001</t>
  </si>
  <si>
    <t>000000043331-IF-001</t>
  </si>
  <si>
    <t>032.644.841-10</t>
  </si>
  <si>
    <t>ESTERFFSON CARLOS FERNANDES DE OLIVEIRA</t>
  </si>
  <si>
    <t>000000043330-IF-001</t>
  </si>
  <si>
    <t>37.101.896/0001-05</t>
  </si>
  <si>
    <t>MODELO LANTERNAGEM E PINTURA</t>
  </si>
  <si>
    <t>000000031897-NF-1</t>
  </si>
  <si>
    <t>50.267.331/0001-60</t>
  </si>
  <si>
    <t>ATUAL LANTERNAGEM E PINTURA LTDA 22002030</t>
  </si>
  <si>
    <t>000000031895-NF-1</t>
  </si>
  <si>
    <t>000000031894-NF-1</t>
  </si>
  <si>
    <t>02.963.930/0001-76</t>
  </si>
  <si>
    <t>AUTOMASTER RETOQUES EM VEICULOS LTDA ME</t>
  </si>
  <si>
    <t>000000031892-NF-1</t>
  </si>
  <si>
    <t>72.573.785/0001-00</t>
  </si>
  <si>
    <t>CARLY RIBEIRO DA COSTA - ME</t>
  </si>
  <si>
    <t>000000031891-NF-1</t>
  </si>
  <si>
    <t>15.535.631/0001-82</t>
  </si>
  <si>
    <t>ANTONIO MARTINS DE FARIAS JUNIOR</t>
  </si>
  <si>
    <t>000000031890-NF-1</t>
  </si>
  <si>
    <t>739.284.373-72</t>
  </si>
  <si>
    <t>FRANCISCO DE ALMEIDA CANTANHEIDE</t>
  </si>
  <si>
    <t>000000031889-NF-1</t>
  </si>
  <si>
    <t>000000031888-NF-1</t>
  </si>
  <si>
    <t>07.831.610/0001-86</t>
  </si>
  <si>
    <t>LINOX SERVICOS AUTOMOTIVOS LTDA ME</t>
  </si>
  <si>
    <t>000000031887-NF-1</t>
  </si>
  <si>
    <t>(05)030.060.090.120.150</t>
  </si>
  <si>
    <t>000000031886-NF-1</t>
  </si>
  <si>
    <t>000000029137-IF-001</t>
  </si>
  <si>
    <t>000000029136-IF-001</t>
  </si>
  <si>
    <t>WELBER</t>
  </si>
  <si>
    <t>000000029135-IF-001</t>
  </si>
  <si>
    <t>000000029134-IF-001</t>
  </si>
  <si>
    <t>602.407.251-15</t>
  </si>
  <si>
    <t>CEZAR ROBERTO DOS SANTOS</t>
  </si>
  <si>
    <t>000000028891-IF-001</t>
  </si>
  <si>
    <t>(01)017</t>
  </si>
  <si>
    <t>524.495.211-00</t>
  </si>
  <si>
    <t>ADRIANO FELICIO DOS SANTOS</t>
  </si>
  <si>
    <t>000000028890-IF-001</t>
  </si>
  <si>
    <t>32.456.966/0001-24</t>
  </si>
  <si>
    <t>L V M DE SOUZA SERVICOS DE LANTERNAGEM MECANICA E GUINHO</t>
  </si>
  <si>
    <t>000000028889-IF-001</t>
  </si>
  <si>
    <t>000000028888-IF-001</t>
  </si>
  <si>
    <t>714.397.731-49</t>
  </si>
  <si>
    <t>MANOEL TERTULIANO DAVILA NETO</t>
  </si>
  <si>
    <t>000000028887-IF-001</t>
  </si>
  <si>
    <t>040.865.796-00</t>
  </si>
  <si>
    <t>VALDECI RODRIGUES DABADIA</t>
  </si>
  <si>
    <t>000000028886-IF-001</t>
  </si>
  <si>
    <t>27.926.554/0001-70</t>
  </si>
  <si>
    <t>ORIGINALL PINTURA AUTOMOTIVA</t>
  </si>
  <si>
    <t>000000028885-IF-001</t>
  </si>
  <si>
    <t>JEFERSON</t>
  </si>
  <si>
    <t>000000028884-IF-001</t>
  </si>
  <si>
    <t>020.439.731-69</t>
  </si>
  <si>
    <t>RAFAEL BIACHINI PONTES</t>
  </si>
  <si>
    <t>000000028883-IF-001</t>
  </si>
  <si>
    <t>000000028882-IF-001</t>
  </si>
  <si>
    <t>000000028881-IF-001</t>
  </si>
  <si>
    <t>000000028880-IF-001</t>
  </si>
  <si>
    <t>10.175.980/0001-17</t>
  </si>
  <si>
    <t>GWM CENTRO AUTOMOTIVO LTDA</t>
  </si>
  <si>
    <t>000000028879-IF-001</t>
  </si>
  <si>
    <t>000000028878-IF-001</t>
  </si>
  <si>
    <t>000000028877-IF-001</t>
  </si>
  <si>
    <t>000000028876-IF-001</t>
  </si>
  <si>
    <t>000000028875-IF-001</t>
  </si>
  <si>
    <t>26.498.881/0001-06</t>
  </si>
  <si>
    <t>DINIZ MECANICA E REGULAGEM LTDA</t>
  </si>
  <si>
    <t>000000028874-IF-001</t>
  </si>
  <si>
    <t>000000028873-IF-001</t>
  </si>
  <si>
    <t>527.709.821-68</t>
  </si>
  <si>
    <t>HOSANA GONSALVES D. SILVA</t>
  </si>
  <si>
    <t>000000028872-IF-001</t>
  </si>
  <si>
    <t>000000028871-IF-001</t>
  </si>
  <si>
    <t>021.217.751-61</t>
  </si>
  <si>
    <t>RODRIGO GOMES DO NASCIMENTO</t>
  </si>
  <si>
    <t>000000028870-IF-001</t>
  </si>
  <si>
    <t>000000028869-IF-001</t>
  </si>
  <si>
    <t>000000028868-IF-001</t>
  </si>
  <si>
    <t>000000028867-IF-001</t>
  </si>
  <si>
    <t>000000028866-IF-001</t>
  </si>
  <si>
    <t>04.344.539/0001-19</t>
  </si>
  <si>
    <t>LIDER PARA-CHOQUES E ACESSORIOS P/ VEICULOS LTDA-ME</t>
  </si>
  <si>
    <t>000000028865-IF-001</t>
  </si>
  <si>
    <t>018.000.589-85</t>
  </si>
  <si>
    <t>EDUARDO RAFFAELLI</t>
  </si>
  <si>
    <t>000000024965-NF-001</t>
  </si>
  <si>
    <t>052.096.611-21</t>
  </si>
  <si>
    <t>LETICIA LIMA DE MATOS</t>
  </si>
  <si>
    <t>000000024964-NF-001</t>
  </si>
  <si>
    <t>(04)030.060.090.120</t>
  </si>
  <si>
    <t>12.940.435/0001-03</t>
  </si>
  <si>
    <t>GP CONSTRUCOES METALICAS LTDA EPP</t>
  </si>
  <si>
    <t>000000024963-NF-001</t>
  </si>
  <si>
    <t>26.697.496/0001-98</t>
  </si>
  <si>
    <t>PARK AUTO SERVICE LTDA</t>
  </si>
  <si>
    <t>000000024962-NF-001</t>
  </si>
  <si>
    <t>10.299.486/0001-64</t>
  </si>
  <si>
    <t>MS2 PART E EMPREED LTDA</t>
  </si>
  <si>
    <t>000000024961-NF-001</t>
  </si>
  <si>
    <t>05.084.458/0001-90</t>
  </si>
  <si>
    <t>JF AVIATION AIRCRAFT MAINTENANCE LTDA</t>
  </si>
  <si>
    <t>000000024960-NF-001</t>
  </si>
  <si>
    <t>72.651.169/0001-12</t>
  </si>
  <si>
    <t>VOO LIVRE COMERCIO DE PECAS E SERVICOS LTDA ME</t>
  </si>
  <si>
    <t>000000024959-NF-001</t>
  </si>
  <si>
    <t>03.944.934/0001-70</t>
  </si>
  <si>
    <t>CAMPECAS LANTERNAGEM E PINTURA LTDA</t>
  </si>
  <si>
    <t>000000024958-NF-001</t>
  </si>
  <si>
    <t>000000024957-NF-001</t>
  </si>
  <si>
    <t>09.242.638/0001-03</t>
  </si>
  <si>
    <t>LIDER CENTRO AUTOMOTIVO LTDA. -  ME</t>
  </si>
  <si>
    <t>000000024956-NF-001</t>
  </si>
  <si>
    <t>03.386.205/0001-45</t>
  </si>
  <si>
    <t>ALO AUTO PARABRISA E ACESSORIOS LTDA EPP</t>
  </si>
  <si>
    <t>000000024955-NF-001</t>
  </si>
  <si>
    <t>08.157.469/0001-40</t>
  </si>
  <si>
    <t>MGS AUTO PECAS SERVICOS AUTOMOTIVO LTDA</t>
  </si>
  <si>
    <t>000000024954-NF-001</t>
  </si>
  <si>
    <t>14.085.711/0001-10</t>
  </si>
  <si>
    <t>VILLA MARINA SERVIÇO E COM. DE PRODUTOS NAUTICOS LTDA</t>
  </si>
  <si>
    <t>000000024953-NF-001</t>
  </si>
  <si>
    <t>54.120.983/0001-29</t>
  </si>
  <si>
    <t>NEM CENTRO AUTOMOTIVO</t>
  </si>
  <si>
    <t>000000024952-NF-001</t>
  </si>
  <si>
    <t>AO CONSUMIDOR AGUAS LINDAS</t>
  </si>
  <si>
    <t>000000021659-IF-001</t>
  </si>
  <si>
    <t>000000021658-IF-001</t>
  </si>
  <si>
    <t>LUIZ - OURO VERDE</t>
  </si>
  <si>
    <t>000000021657-IF-001</t>
  </si>
  <si>
    <t>747.553.741-20</t>
  </si>
  <si>
    <t>JEFERSON DE HOLANDA DA SILVA</t>
  </si>
  <si>
    <t>000000021656-IF-001</t>
  </si>
  <si>
    <t>000000021655-IF-001</t>
  </si>
  <si>
    <t>000000021654-IF-001</t>
  </si>
  <si>
    <t>COLA LIGH</t>
  </si>
  <si>
    <t>000000021653-IF-001</t>
  </si>
  <si>
    <t>000000021652-IF-001</t>
  </si>
  <si>
    <t>RAIMUNDO NONATO</t>
  </si>
  <si>
    <t>000000021651-IF-001</t>
  </si>
  <si>
    <t>020.087.311-38</t>
  </si>
  <si>
    <t>DAVID DE JESUS SOUZA</t>
  </si>
  <si>
    <t>000000021650-IF-001</t>
  </si>
  <si>
    <t>249.547.498-59</t>
  </si>
  <si>
    <t>JOSEMIR SOARES MENDES</t>
  </si>
  <si>
    <t>000000021649-IF-001</t>
  </si>
  <si>
    <t>FITA</t>
  </si>
  <si>
    <t>000000021648-IF-001</t>
  </si>
  <si>
    <t>825.352.481-15</t>
  </si>
  <si>
    <t>RAIMUNDO SILVA</t>
  </si>
  <si>
    <t>000000021647-IF-001</t>
  </si>
  <si>
    <t>000000021646-IF-001</t>
  </si>
  <si>
    <t>012.007.241-60</t>
  </si>
  <si>
    <t>WILLES RODRIGUES DE QUEIROZ</t>
  </si>
  <si>
    <t>000000021645-IF-001</t>
  </si>
  <si>
    <t>000000021644-IF-001</t>
  </si>
  <si>
    <t>MORAES</t>
  </si>
  <si>
    <t>000000021643-IF-001</t>
  </si>
  <si>
    <t>000000021642-IF-001</t>
  </si>
  <si>
    <t>57.312.034/0001-39</t>
  </si>
  <si>
    <t>57.312.034 ALUISIO MEDINA MOREIRA</t>
  </si>
  <si>
    <t>000000021641-IF-001</t>
  </si>
  <si>
    <t>723.699.571-15</t>
  </si>
  <si>
    <t>JOSUE HOLANDA BARROS</t>
  </si>
  <si>
    <t>000000021640-IF-001</t>
  </si>
  <si>
    <t>000000021639-IF-001</t>
  </si>
  <si>
    <t>000000021638-IF-001</t>
  </si>
  <si>
    <t>000000021637-IF-001</t>
  </si>
  <si>
    <t>000000021636-IF-001</t>
  </si>
  <si>
    <t>000000021635-IF-001</t>
  </si>
  <si>
    <t>902.247.285-04</t>
  </si>
  <si>
    <t>JOÃO PEREIRA LIMA</t>
  </si>
  <si>
    <t>000000021634-IF-001</t>
  </si>
  <si>
    <t>000000021633-IF-001</t>
  </si>
  <si>
    <t>VALDECIR</t>
  </si>
  <si>
    <t>000000021632-IF-001</t>
  </si>
  <si>
    <t>836.874.831-34</t>
  </si>
  <si>
    <t>WALDINHO VENTURA DOS SANTOS</t>
  </si>
  <si>
    <t>000000021631-IF-001</t>
  </si>
  <si>
    <t>000000019615-IF-1</t>
  </si>
  <si>
    <t>000000019614-IF-1</t>
  </si>
  <si>
    <t>MARANHÃO</t>
  </si>
  <si>
    <t>000000019613-IF-1</t>
  </si>
  <si>
    <t>000000019612-IF-1</t>
  </si>
  <si>
    <t>686.668.966-04</t>
  </si>
  <si>
    <t>ANTONIO MARCOS MOTA FERNANDES</t>
  </si>
  <si>
    <t>000000019611-IF-1</t>
  </si>
  <si>
    <t>52.076.468/0001-63</t>
  </si>
  <si>
    <t>STUDIO CAR HD LTDA</t>
  </si>
  <si>
    <t>000000019610-IF-1</t>
  </si>
  <si>
    <t>873.906.044-68</t>
  </si>
  <si>
    <t>JOSIMAR ALVES DA COSTA</t>
  </si>
  <si>
    <t>000000019609-IF-1</t>
  </si>
  <si>
    <t>000000019608-IF-1</t>
  </si>
  <si>
    <t>PEDRO</t>
  </si>
  <si>
    <t>000000019607-IF-1</t>
  </si>
  <si>
    <t>691.629.211-34</t>
  </si>
  <si>
    <t>JUCIAN AMORIM DA SILVA</t>
  </si>
  <si>
    <t>000000019606-IF-1</t>
  </si>
  <si>
    <t>000000019502-IF-001</t>
  </si>
  <si>
    <t>46.718.815/0001-01</t>
  </si>
  <si>
    <t>ED CAR MECANICA ESPECIALIZADA E TECNOLOGICA LTDA</t>
  </si>
  <si>
    <t>000000019501-IF-001</t>
  </si>
  <si>
    <t>BRUNO</t>
  </si>
  <si>
    <t>000000019500-IF-001</t>
  </si>
  <si>
    <t>000000019499-IF-001</t>
  </si>
  <si>
    <t>000000019498-IF-001</t>
  </si>
  <si>
    <t>CLUBE DE SERVIÇOS</t>
  </si>
  <si>
    <t>000000019497-IF-001</t>
  </si>
  <si>
    <t>000000019496-IF-001</t>
  </si>
  <si>
    <t>00.697.029/0001-74</t>
  </si>
  <si>
    <t>TURBRAS TURBOS E ASSESORIOS LTDA</t>
  </si>
  <si>
    <t>000000019495-IF-001</t>
  </si>
  <si>
    <t>000000019494-IF-001</t>
  </si>
  <si>
    <t>701.270.001-78</t>
  </si>
  <si>
    <t>EDMO CAMPOS BRAGA NETO</t>
  </si>
  <si>
    <t>000000019493-IF-001</t>
  </si>
  <si>
    <t>432.069.561-53</t>
  </si>
  <si>
    <t>REGINALDO PEREIRA DO VALE</t>
  </si>
  <si>
    <t>000000019492-IF-001</t>
  </si>
  <si>
    <t>000000019491-IF-001</t>
  </si>
  <si>
    <t>29.149.680/0001-91</t>
  </si>
  <si>
    <t>JOAO FRANCELINO DA SILVA 47584637515</t>
  </si>
  <si>
    <t>000000019490-IF-001</t>
  </si>
  <si>
    <t>000000019489-IF-001</t>
  </si>
  <si>
    <t>000000019488-IF-001</t>
  </si>
  <si>
    <t>NETO NDR</t>
  </si>
  <si>
    <t>000000019487-IF-001</t>
  </si>
  <si>
    <t>VISCONDE</t>
  </si>
  <si>
    <t>000000019486-IF-001</t>
  </si>
  <si>
    <t>000000019485-IF-001</t>
  </si>
  <si>
    <t>KELVI</t>
  </si>
  <si>
    <t>000000019484-IF-001</t>
  </si>
  <si>
    <t>08.467.487/0001-29</t>
  </si>
  <si>
    <t>LORIVAL  CENTRO AUTOMOTIVO</t>
  </si>
  <si>
    <t>000000019483-IF-001</t>
  </si>
  <si>
    <t>000000019482-IF-001</t>
  </si>
  <si>
    <t>000000019481-IF-001</t>
  </si>
  <si>
    <t>542.169.666-91</t>
  </si>
  <si>
    <t>LINDOMAR FERREIRA  COSTA</t>
  </si>
  <si>
    <t>000000019480-IF-001</t>
  </si>
  <si>
    <t>000000019479-IF-001</t>
  </si>
  <si>
    <t>000000019478-IF-001</t>
  </si>
  <si>
    <t>38.491.793/0001-61</t>
  </si>
  <si>
    <t>LUKAS CAPISTRANO DA SILVA</t>
  </si>
  <si>
    <t>000000019477-IF-001</t>
  </si>
  <si>
    <t>38.014.551/0001-87</t>
  </si>
  <si>
    <t>LACERDA VEICULOS E SERV AUTOM.LTDA-ME</t>
  </si>
  <si>
    <t>000000019476-IF-001</t>
  </si>
  <si>
    <t>000000019475-IF-001</t>
  </si>
  <si>
    <t>50.962.815/0001-20</t>
  </si>
  <si>
    <t>VISION SIGN</t>
  </si>
  <si>
    <t>000000019474-IF-001</t>
  </si>
  <si>
    <t>000000019473-IF-001</t>
  </si>
  <si>
    <t>000000019472-IF-001</t>
  </si>
  <si>
    <t>000000019471-IF-001</t>
  </si>
  <si>
    <t>000000019470-IF-001</t>
  </si>
  <si>
    <t>48.680.986/0001-14</t>
  </si>
  <si>
    <t>ROBERTO SILVA DE ALMEIDA ARAGAO</t>
  </si>
  <si>
    <t>000000019469-IF-001</t>
  </si>
  <si>
    <t>ROGERIO</t>
  </si>
  <si>
    <t>000000019468-IF-001</t>
  </si>
  <si>
    <t>BAHIA SOF SUL</t>
  </si>
  <si>
    <t>000000019467-IF-001</t>
  </si>
  <si>
    <t>000000019466-IF-001</t>
  </si>
  <si>
    <t>436.647.846-34</t>
  </si>
  <si>
    <t>RAMIRO FRANCISCO DOS SANTOS</t>
  </si>
  <si>
    <t>000000019465-IF-001</t>
  </si>
  <si>
    <t>000000019464-IF-001</t>
  </si>
  <si>
    <t>43.785.804/0001-56</t>
  </si>
  <si>
    <t>SAMCAR CENTRO AUTOMOTIVO LTDA</t>
  </si>
  <si>
    <t>000000019160-NF-001</t>
  </si>
  <si>
    <t>39.885.234/0001-07</t>
  </si>
  <si>
    <t>JEH PINTURA E LANTERNAGEM DE VEICULOS LTDA</t>
  </si>
  <si>
    <t>000000019159-NF-001</t>
  </si>
  <si>
    <t>19.109.476/0001-93</t>
  </si>
  <si>
    <t>KSILVERMANN FUNILARIA AUTOPAINT LTDA</t>
  </si>
  <si>
    <t>000000019158-NF-001</t>
  </si>
  <si>
    <t>000000019157-NF-001</t>
  </si>
  <si>
    <t>37.361.545/0001-33</t>
  </si>
  <si>
    <t>HB SERVIÇOS DE TELECOMUNICAÇOES LTDA</t>
  </si>
  <si>
    <t>000000019156-NF-001</t>
  </si>
  <si>
    <t>000000019155-NF-001</t>
  </si>
  <si>
    <t>60.817.127/0001-20</t>
  </si>
  <si>
    <t>EDUARDO AUTO MINAS SERVICOS DE PINTURA E LANTERNAGEM LTDA</t>
  </si>
  <si>
    <t>000000019154-NF-001</t>
  </si>
  <si>
    <t>000000019153-NF-001</t>
  </si>
  <si>
    <t>000000019152-NF-001</t>
  </si>
  <si>
    <t>000000019151-NF-001</t>
  </si>
  <si>
    <t>13.749.856/0001-06</t>
  </si>
  <si>
    <t>BBX PINTURA AUTOMOTIVA LTDA</t>
  </si>
  <si>
    <t>000000019150-NF-001</t>
  </si>
  <si>
    <t>26.451.237/0001-82</t>
  </si>
  <si>
    <t>SHEILA MARIA DE MEDEIROS BRITO ME</t>
  </si>
  <si>
    <t>000000019149-NF-001</t>
  </si>
  <si>
    <t>000000019148-NF-001</t>
  </si>
  <si>
    <t>000000019147-NF-001</t>
  </si>
  <si>
    <t>38.009.676/0001-19</t>
  </si>
  <si>
    <t>ROBERTO MENDONCA DOS SANTOS ME</t>
  </si>
  <si>
    <t>000000019146-NF-001</t>
  </si>
  <si>
    <t>000000019145-NF-001</t>
  </si>
  <si>
    <t>084.283.426-52</t>
  </si>
  <si>
    <t>JOSE DIVINO FERNANDES</t>
  </si>
  <si>
    <t>000000018029-IF-001</t>
  </si>
  <si>
    <t>60.591.714/0001-43</t>
  </si>
  <si>
    <t>60.591.714 PAULO HENRIQUE FERREIRA MARTINS</t>
  </si>
  <si>
    <t>000000018028-IF-001</t>
  </si>
  <si>
    <t>259.189.746-87</t>
  </si>
  <si>
    <t>ANTONIO RITA MARTINS CHAVES</t>
  </si>
  <si>
    <t>000000018027-IF-001</t>
  </si>
  <si>
    <t>999.730.496-91</t>
  </si>
  <si>
    <t>JOÃO DOS REIS ALVES</t>
  </si>
  <si>
    <t>000000018026-IF-001</t>
  </si>
  <si>
    <t>013.515.626-22</t>
  </si>
  <si>
    <t>ANDERSON RODRIGUES TEIXEIRA</t>
  </si>
  <si>
    <t>000000018025-IF-001</t>
  </si>
  <si>
    <t>000000016648-FF-001</t>
  </si>
  <si>
    <t>000000016647-FF-001</t>
  </si>
  <si>
    <t>01.514.533/0002-35</t>
  </si>
  <si>
    <t>DCS CENTRO AUTOMOTIVO LTDA ME - TR 17</t>
  </si>
  <si>
    <t>000000016646-FF-001</t>
  </si>
  <si>
    <t>EDSON</t>
  </si>
  <si>
    <t>000000016645-FF-001</t>
  </si>
  <si>
    <t>000000016644-FF-001</t>
  </si>
  <si>
    <t>VALMIR CIDADE</t>
  </si>
  <si>
    <t>000000016643-FF-001</t>
  </si>
  <si>
    <t>000000016642-FF-001</t>
  </si>
  <si>
    <t>32.682.513/0001-16</t>
  </si>
  <si>
    <t>F2 MECANICA SOM E ACESSORIOS  LTDA</t>
  </si>
  <si>
    <t>000000016641-FF-001</t>
  </si>
  <si>
    <t>000000016640-FF-001</t>
  </si>
  <si>
    <t>000000016639-FF-001</t>
  </si>
  <si>
    <t>000000016638-FF-001</t>
  </si>
  <si>
    <t>00.882.780/0001-40</t>
  </si>
  <si>
    <t>ALEMÃO DAS RODAS LTDA-ME</t>
  </si>
  <si>
    <t>000000016637-FF-001</t>
  </si>
  <si>
    <t>000000016636-FF-001</t>
  </si>
  <si>
    <t>BOX 9</t>
  </si>
  <si>
    <t>000000016635-FF-001</t>
  </si>
  <si>
    <t>RETOCARS</t>
  </si>
  <si>
    <t>000000016634-FF-001</t>
  </si>
  <si>
    <t>000000016633-FF-001</t>
  </si>
  <si>
    <t>000000016632-FF-001</t>
  </si>
  <si>
    <t>000000016631-FF-001</t>
  </si>
  <si>
    <t>000000015045-NF-1</t>
  </si>
  <si>
    <t>203.940.712-04</t>
  </si>
  <si>
    <t>NEWTON DA SILVA OLIVEIRA</t>
  </si>
  <si>
    <t>000000015044-NF-1</t>
  </si>
  <si>
    <t>02.714.977/0004-49</t>
  </si>
  <si>
    <t>SUECIA VEICULOS S/A</t>
  </si>
  <si>
    <t>000000015043-NF-1</t>
  </si>
  <si>
    <t>08.455.711/0001-62</t>
  </si>
  <si>
    <t>MKF DE INDUTRIA E COMERCIO DE APARELHOS DE DIVERSÕES EIRELI</t>
  </si>
  <si>
    <t>000000015042-NF-1</t>
  </si>
  <si>
    <t>399.298.765-53</t>
  </si>
  <si>
    <t>MARIA SOCORRO FERNANDES NEIVA</t>
  </si>
  <si>
    <t>000000015041-NF-1</t>
  </si>
  <si>
    <t>102.007.621-68</t>
  </si>
  <si>
    <t>OSMIRIO PINTO COELHO</t>
  </si>
  <si>
    <t>000000015040-NF-1</t>
  </si>
  <si>
    <t>36.240.994/0001-60</t>
  </si>
  <si>
    <t>LAYSSON XISTO RODRIGUES</t>
  </si>
  <si>
    <t>000000014803-FF-001</t>
  </si>
  <si>
    <t>008.993.356-75</t>
  </si>
  <si>
    <t>ENIVALDO JUSTINIANO GOMES</t>
  </si>
  <si>
    <t>000000014802-FF-001</t>
  </si>
  <si>
    <t>073.477.736-10</t>
  </si>
  <si>
    <t>LEANDRO HENRIQUE SANTOS</t>
  </si>
  <si>
    <t>000000014801-FF-001</t>
  </si>
  <si>
    <t>59.457.027/0001-50</t>
  </si>
  <si>
    <t>MEGA AUTO PECAS E SERVICOS LTDA</t>
  </si>
  <si>
    <t>000000014800-FF-001</t>
  </si>
  <si>
    <t>000000014799-FF-001</t>
  </si>
  <si>
    <t>57.146.750/0001-93</t>
  </si>
  <si>
    <t>JEAN SERVIÇOS DE LANTERNAGEM E PINTURA LTDA</t>
  </si>
  <si>
    <t>000000014798-FF-001</t>
  </si>
  <si>
    <t>060.222.996-08</t>
  </si>
  <si>
    <t>WILSON PEREIRA SOUZA</t>
  </si>
  <si>
    <t>000000014797-FF-001</t>
  </si>
  <si>
    <t>000000014796-FF-001</t>
  </si>
  <si>
    <t>000000014795-FF-001</t>
  </si>
  <si>
    <t>41.590.177/0001-72</t>
  </si>
  <si>
    <t>41.590.177 NAYARA GUIMARAES SOUSA</t>
  </si>
  <si>
    <t>000000014794-FF-001</t>
  </si>
  <si>
    <t>092.451.811-11</t>
  </si>
  <si>
    <t>WANDERLEY ALVES DE MIRANDA</t>
  </si>
  <si>
    <t>000000014793-FF-001</t>
  </si>
  <si>
    <t>000000014792-FF-001</t>
  </si>
  <si>
    <t>138.967.196-88</t>
  </si>
  <si>
    <t>JULIERMES RODRIGUES QUINTAL</t>
  </si>
  <si>
    <t>000000014791-FF-001</t>
  </si>
  <si>
    <t>000000014790-FF-001</t>
  </si>
  <si>
    <t>17.842.889/0001-57</t>
  </si>
  <si>
    <t>JOÃO LÚCIO RODRIGUES-ME</t>
  </si>
  <si>
    <t>000000014789-FF-001</t>
  </si>
  <si>
    <t>000000014788-FF-001</t>
  </si>
  <si>
    <t>LAVA JATO STILLO</t>
  </si>
  <si>
    <t>000000014787-FF-001</t>
  </si>
  <si>
    <t>000000014786-FF-001</t>
  </si>
  <si>
    <t>THIAGO</t>
  </si>
  <si>
    <t>000000014785-FF-001</t>
  </si>
  <si>
    <t>51.213.405/0001-49</t>
  </si>
  <si>
    <t>ANDERSON PEREIRA RODRIGUES</t>
  </si>
  <si>
    <t>000000014784-FF-001</t>
  </si>
  <si>
    <t>000000014783-FF-001</t>
  </si>
  <si>
    <t>LAVA JATO STILO</t>
  </si>
  <si>
    <t>000000014782-FF-001</t>
  </si>
  <si>
    <t>17.308.146/0001-00</t>
  </si>
  <si>
    <t>VICENTE ANTONIO DE PAULO 33924210659</t>
  </si>
  <si>
    <t>000000014781-FF-001</t>
  </si>
  <si>
    <t>JHONATAN</t>
  </si>
  <si>
    <t>000000014780-FF-001</t>
  </si>
  <si>
    <t>63.503.761/0001-86</t>
  </si>
  <si>
    <t>EUROGARDE ESTETICA AUTOMOTIVA LTDA</t>
  </si>
  <si>
    <t>000000014779-FF-001</t>
  </si>
  <si>
    <t>877.319.086-15</t>
  </si>
  <si>
    <t>VALDERLI JOÃO BATISTA MACEDO</t>
  </si>
  <si>
    <t>000000014778-FF-001</t>
  </si>
  <si>
    <t>054.947.386-63</t>
  </si>
  <si>
    <t>VALDINEI MESQUITA DOS SANTOS</t>
  </si>
  <si>
    <t>000000014777-FF-001</t>
  </si>
  <si>
    <t>000000014776-FF-001</t>
  </si>
  <si>
    <t>33.902.830/0001-63</t>
  </si>
  <si>
    <t>LEANDRO MARTINS GOMES 04423588650</t>
  </si>
  <si>
    <t>000000014775-FF-001</t>
  </si>
  <si>
    <t>702.977.541-49</t>
  </si>
  <si>
    <t>RAFAEL REIS DOS SANTOS</t>
  </si>
  <si>
    <t>000000014371-FF-001</t>
  </si>
  <si>
    <t>819.194.761-72</t>
  </si>
  <si>
    <t>GALEGO 24</t>
  </si>
  <si>
    <t>000000014370-FF-001</t>
  </si>
  <si>
    <t>000000014369-FF-001</t>
  </si>
  <si>
    <t>28.414.109/0001-94</t>
  </si>
  <si>
    <t>TOP COMERCIO DE RODAS EIRELE</t>
  </si>
  <si>
    <t>000000014368-FF-001</t>
  </si>
  <si>
    <t>815.612.371-91</t>
  </si>
  <si>
    <t>LUCIANO DOS SANTOS</t>
  </si>
  <si>
    <t>000000014367-FF-001</t>
  </si>
  <si>
    <t>619.823.001-59</t>
  </si>
  <si>
    <t>VALDIR PEREIRA DA SILVA</t>
  </si>
  <si>
    <t>000000014366-FF-001</t>
  </si>
  <si>
    <t>697.586.111-00</t>
  </si>
  <si>
    <t>AUTO REGULADORA MORAES</t>
  </si>
  <si>
    <t>000000014365-FF-001</t>
  </si>
  <si>
    <t>000000014364-FF-001</t>
  </si>
  <si>
    <t>000000014363-FF-001</t>
  </si>
  <si>
    <t>000000014362-FF-001</t>
  </si>
  <si>
    <t>896.395.101-49</t>
  </si>
  <si>
    <t>RODRIGO DANTAS QUEIROGA</t>
  </si>
  <si>
    <t>000000014361-FF-001</t>
  </si>
  <si>
    <t>17.259.725/0001-00</t>
  </si>
  <si>
    <t>RENOVACAR LANTERNAGEM E PINTURA LTDA ME</t>
  </si>
  <si>
    <t>000000014360-FF-001</t>
  </si>
  <si>
    <t>836.284.101-00</t>
  </si>
  <si>
    <t>FERNANDO HENRIQUE SILVA</t>
  </si>
  <si>
    <t>000000014359-FF-001</t>
  </si>
  <si>
    <t>699.215.201-72</t>
  </si>
  <si>
    <t>ROBERTO CEZAR MACEDO DE SOUZA</t>
  </si>
  <si>
    <t>000000014358-FF-001</t>
  </si>
  <si>
    <t>23.503.651/0001-08</t>
  </si>
  <si>
    <t>ANTONIO DE PADUA SOUSA CARVALHO - ME</t>
  </si>
  <si>
    <t>000000014357-FF-001</t>
  </si>
  <si>
    <t>18.967.473/0001-28</t>
  </si>
  <si>
    <t>EPV CENTRO AUTOMOTIVO EIRELE ME</t>
  </si>
  <si>
    <t>000000009342-NF-001</t>
  </si>
  <si>
    <t>000000009341-NF-001</t>
  </si>
  <si>
    <t>49.208.346/0001-79</t>
  </si>
  <si>
    <t>49.208.346 WILMAR PEREIRA DE SOUZA</t>
  </si>
  <si>
    <t>000000009340-NF-001</t>
  </si>
  <si>
    <t>000000009339-NF-001</t>
  </si>
  <si>
    <t>41.134.510/0001-39</t>
  </si>
  <si>
    <t>HL COMERCIO E SERVICOS DE LETREIROS LUMINOSOS EIRELI</t>
  </si>
  <si>
    <t>000000009338-NF-001</t>
  </si>
  <si>
    <t>143.995.041-53</t>
  </si>
  <si>
    <t>NAIR COMIMBRA</t>
  </si>
  <si>
    <t>000000009337-NF-001</t>
  </si>
  <si>
    <t>000000009336-NF-001</t>
  </si>
  <si>
    <t>10.918.470/0001-92</t>
  </si>
  <si>
    <t>ARQUIMEDES VAZ DA SILVA ME</t>
  </si>
  <si>
    <t>000000009335-NF-001</t>
  </si>
  <si>
    <t>37.102.829/0001-05</t>
  </si>
  <si>
    <t>JOSE WALLASTON DE MENDONCA</t>
  </si>
  <si>
    <t>000000007825-FF-001</t>
  </si>
  <si>
    <t>000000007824-FF-001</t>
  </si>
  <si>
    <t>15.671.181/0001-55</t>
  </si>
  <si>
    <t>IRMAOS REZENDE COMERCIO DE PECAS E SERVICOS AUTOMOTIVOS LTDA</t>
  </si>
  <si>
    <t>000000007823-FF-001</t>
  </si>
  <si>
    <t>(01)002</t>
  </si>
  <si>
    <t>06.963.298/0001-11</t>
  </si>
  <si>
    <t>MARCELO HENRIQUE DE PAIVA - ME</t>
  </si>
  <si>
    <t>000000007822-FF-001</t>
  </si>
  <si>
    <t>02.016.277/0001-38</t>
  </si>
  <si>
    <t>SAO MATEUS CARMEM</t>
  </si>
  <si>
    <t>000000007821-FF-001</t>
  </si>
  <si>
    <t>000000007820-FF-001</t>
  </si>
  <si>
    <t>02.309.190/0001-59</t>
  </si>
  <si>
    <t>CENTRO AUTOMOTIVO GUARA LTDA EPP</t>
  </si>
  <si>
    <t>000000007819-FF-001</t>
  </si>
  <si>
    <t>000000007817-FF-001</t>
  </si>
  <si>
    <t>000000006929-FF-001</t>
  </si>
  <si>
    <t>635.738.301-53</t>
  </si>
  <si>
    <t>JOSE ADAO RODRIGUES DARCIS</t>
  </si>
  <si>
    <t>000000006928-FF-001</t>
  </si>
  <si>
    <t>13.526.262/0001-36</t>
  </si>
  <si>
    <t>BOX RAPIDO SAGA TOYOTA COLORADO</t>
  </si>
  <si>
    <t>000000006927-FF-001</t>
  </si>
  <si>
    <t>26.460.832/0001-84</t>
  </si>
  <si>
    <t>SPORT_CAR VEICULOS COMERCIO E SERVIÇOS LTDA</t>
  </si>
  <si>
    <t>000000006926-FF-001</t>
  </si>
  <si>
    <t>000000006903-IF-001</t>
  </si>
  <si>
    <t>000000006902-IF-001</t>
  </si>
  <si>
    <t>000000006901-IF-001</t>
  </si>
  <si>
    <t>000000006900-IF-001</t>
  </si>
  <si>
    <t>037.111.041-69</t>
  </si>
  <si>
    <t>MAURICIO QUEIROZ MATOS</t>
  </si>
  <si>
    <t>000000006899-IF-001</t>
  </si>
  <si>
    <t>000000006898-IF-001</t>
  </si>
  <si>
    <t>000000006897-IF-001</t>
  </si>
  <si>
    <t>RENATO GALDINO</t>
  </si>
  <si>
    <t>000000006896-IF-001</t>
  </si>
  <si>
    <t>06.301.679/0001-35</t>
  </si>
  <si>
    <t>REPARAUTO REC VEICULOS LUZIANIA LTDA</t>
  </si>
  <si>
    <t>000000006895-IF-001</t>
  </si>
  <si>
    <t>703.307.151-51</t>
  </si>
  <si>
    <t>MATHEUS TELES BUENO</t>
  </si>
  <si>
    <t>000000006894-IF-001</t>
  </si>
  <si>
    <t>703.055.711-50</t>
  </si>
  <si>
    <t>FABRICIO CAVALCANTE FERREIRA</t>
  </si>
  <si>
    <t>000000006893-IF-001</t>
  </si>
  <si>
    <t>OFICINA BRASIL</t>
  </si>
  <si>
    <t>000000006892-IF-001</t>
  </si>
  <si>
    <t>LEONARDO</t>
  </si>
  <si>
    <t>000000006891-IF-001</t>
  </si>
  <si>
    <t>032.311.871-25</t>
  </si>
  <si>
    <t>DANILO SOUSA OLIVEIRA</t>
  </si>
  <si>
    <t>000000006890-IF-001</t>
  </si>
  <si>
    <t>000000006889-IF-001</t>
  </si>
  <si>
    <t>000000006888-IF-001</t>
  </si>
  <si>
    <t>042.069.581-81</t>
  </si>
  <si>
    <t>ALAN GOMES</t>
  </si>
  <si>
    <t>000000006887-IF-001</t>
  </si>
  <si>
    <t>13.592.809/0001-00</t>
  </si>
  <si>
    <t>L A PEREIRA PEÇAS E SERVIÇOS PARA MOTOS</t>
  </si>
  <si>
    <t>000000006886-IF-001</t>
  </si>
  <si>
    <t>000000006885-IF-001</t>
  </si>
  <si>
    <t>011.662.571-69</t>
  </si>
  <si>
    <t>CLAYTON MARCIEL LOPES</t>
  </si>
  <si>
    <t>000000006884-IF-001</t>
  </si>
  <si>
    <t>951.821.361-53</t>
  </si>
  <si>
    <t>CLEDIOVAN SILVA DA COSTA</t>
  </si>
  <si>
    <t>000000006883-IF-001</t>
  </si>
  <si>
    <t>617.518.041-00</t>
  </si>
  <si>
    <t>RUBENS DE SOUZA FERREIRA JUNIOR</t>
  </si>
  <si>
    <t>000000006882-IF-001</t>
  </si>
  <si>
    <t>033.453.621-98</t>
  </si>
  <si>
    <t>ALEXSANDER  SOARES DA CONCEICAO</t>
  </si>
  <si>
    <t>000000006881-IF-001</t>
  </si>
  <si>
    <t>000000006880-IF-001</t>
  </si>
  <si>
    <t>000000006879-IF-001</t>
  </si>
  <si>
    <t>000000006878-IF-001</t>
  </si>
  <si>
    <t>951.867.781-68</t>
  </si>
  <si>
    <t>DANIEL VIANA DE ARAUJO</t>
  </si>
  <si>
    <t>000000006877-IF-001</t>
  </si>
  <si>
    <t>000000006876-IF-001</t>
  </si>
  <si>
    <t>000000006875-IF-001</t>
  </si>
  <si>
    <t>000000006874-IF-001</t>
  </si>
  <si>
    <t>28.918.876/0001-30</t>
  </si>
  <si>
    <t>ANTONIO ALVINO DE OLIVEIRA SILVA</t>
  </si>
  <si>
    <t>000000006873-IF-001</t>
  </si>
  <si>
    <t>REGINALDO</t>
  </si>
  <si>
    <t>000000006872-IF-001</t>
  </si>
  <si>
    <t>000000006871-IF-001</t>
  </si>
  <si>
    <t>000000006870-IF-001</t>
  </si>
  <si>
    <t>000000006869-IF-001</t>
  </si>
  <si>
    <t>000000006868-IF-001</t>
  </si>
  <si>
    <t>MARCELO</t>
  </si>
  <si>
    <t>000000006867-IF-001</t>
  </si>
  <si>
    <t>000000006866-IF-001</t>
  </si>
  <si>
    <t>MAIKON - 3 IRMAO</t>
  </si>
  <si>
    <t>000000006865-IF-001</t>
  </si>
  <si>
    <t>RICARDO FELICIANO</t>
  </si>
  <si>
    <t>000000006864-IF-001</t>
  </si>
  <si>
    <t>825.798.651-87</t>
  </si>
  <si>
    <t>JESUS VIERA FERNANDES</t>
  </si>
  <si>
    <t>000000006863-IF-001</t>
  </si>
  <si>
    <t>058.154.166-90</t>
  </si>
  <si>
    <t>PATRICIA COUTO NUNES RIBEIRO</t>
  </si>
  <si>
    <t>000000003824-NF-001</t>
  </si>
  <si>
    <t>(01)004</t>
  </si>
  <si>
    <t>000000003823-NF-001</t>
  </si>
  <si>
    <t>61.548.082/0001-06</t>
  </si>
  <si>
    <t>AUTO KAR LTDA</t>
  </si>
  <si>
    <t>000000003822-NF-001</t>
  </si>
  <si>
    <t>000000003821-NF-001</t>
  </si>
  <si>
    <t>(03)030.060.090</t>
  </si>
  <si>
    <t>02.400.001/0001-59</t>
  </si>
  <si>
    <t>TRANSPORTADORA NOVA UNIAO LTDA</t>
  </si>
  <si>
    <t>000000003820-NF-001</t>
  </si>
  <si>
    <t>000000003819-NF-001</t>
  </si>
  <si>
    <t>000000003818-NF-001</t>
  </si>
  <si>
    <t>000000003817-NF-001</t>
  </si>
  <si>
    <t>124.981.806-05</t>
  </si>
  <si>
    <t>MAURICIO VELOSO MENDES TEIXEIRA E OUTRO</t>
  </si>
  <si>
    <t>000000003181-NF-001</t>
  </si>
  <si>
    <t>71.145.668/0002-56</t>
  </si>
  <si>
    <t>PRIMAVIA VEICULOS LTDA</t>
  </si>
  <si>
    <t>000000002616-NS-001</t>
  </si>
  <si>
    <t>000000002615-NS-001</t>
  </si>
  <si>
    <t>000000002614-NS-001</t>
  </si>
  <si>
    <t>000000002613-NS-001</t>
  </si>
  <si>
    <t>000000002612-NS-001</t>
  </si>
  <si>
    <t>225.154.023-72</t>
  </si>
  <si>
    <t>RAIMUNDO MARQUES DA SILVA</t>
  </si>
  <si>
    <t>000000001404-FF-001</t>
  </si>
  <si>
    <t>50.237.691/0001-10</t>
  </si>
  <si>
    <t>ALPHA FUNILARIA AUTOMOTIVA</t>
  </si>
  <si>
    <t>000000000916-FF-001</t>
  </si>
  <si>
    <t>58.889.179/0001-60</t>
  </si>
  <si>
    <t>SN RESTAURAÇAO DE MOVEIS LTDA</t>
  </si>
  <si>
    <t>000000000915-FF-001</t>
  </si>
  <si>
    <t>48.933.531/0001-63</t>
  </si>
  <si>
    <t>CONCESSIONARIA LB VEICULOS LTDA</t>
  </si>
  <si>
    <t>000000000914-FF-001</t>
  </si>
  <si>
    <t>628.967.091-34</t>
  </si>
  <si>
    <t>ADELINO JOSÉ NETO</t>
  </si>
  <si>
    <t>000000000913-FF-001</t>
  </si>
  <si>
    <t>29.669.458/0001-10</t>
  </si>
  <si>
    <t>LUZIAUTO RECUPERADORA DE VEICULOS</t>
  </si>
  <si>
    <t>000000000859-NF-001</t>
  </si>
  <si>
    <t>000000000858-NF-001</t>
  </si>
  <si>
    <t>16.863.352/0001-00</t>
  </si>
  <si>
    <t>F1 VEICULOS LTDA</t>
  </si>
  <si>
    <t>000000000857-NF-001</t>
  </si>
  <si>
    <t>44.143.970/0001-11</t>
  </si>
  <si>
    <t>RF VISTORIA VEICULAR</t>
  </si>
  <si>
    <t>000000000856-NF-001</t>
  </si>
  <si>
    <t>40.977.372/0001-97</t>
  </si>
  <si>
    <t>RAFAEL CANUTO DA ROCHA</t>
  </si>
  <si>
    <t>000000000854-NF-001</t>
  </si>
  <si>
    <t>000000613170-FF-1</t>
  </si>
  <si>
    <t>000000613169-FF-1</t>
  </si>
  <si>
    <t>000000613168-FF-1</t>
  </si>
  <si>
    <t>(01)018</t>
  </si>
  <si>
    <t>091.972.946-08</t>
  </si>
  <si>
    <t>SOFISTICAR LANT PINTURA</t>
  </si>
  <si>
    <t>000000409924-FF-1</t>
  </si>
  <si>
    <t>000000409923-FF-1</t>
  </si>
  <si>
    <t>000000055400-IF-1</t>
  </si>
  <si>
    <t>21.974.424/0001-27</t>
  </si>
  <si>
    <t>CADILLAC LANTERNAGEM E PINT.</t>
  </si>
  <si>
    <t>000000055399-IF-1</t>
  </si>
  <si>
    <t>30.189.528/0001-11</t>
  </si>
  <si>
    <t>RICHARD ACABAMENTOS LTDA</t>
  </si>
  <si>
    <t>000000055398-IF-1</t>
  </si>
  <si>
    <t>000000055397-IF-1</t>
  </si>
  <si>
    <t>000000055396-IF-1</t>
  </si>
  <si>
    <t>000000055395-IF-1</t>
  </si>
  <si>
    <t>000000055394-IF-1</t>
  </si>
  <si>
    <t>010.621.431-40</t>
  </si>
  <si>
    <t>ALEXANDER TEIXEIRA CHAGAS</t>
  </si>
  <si>
    <t>000000055393-IF-1</t>
  </si>
  <si>
    <t>000000055392-IF-1</t>
  </si>
  <si>
    <t>000000055391-IF-1</t>
  </si>
  <si>
    <t>JUNIOR</t>
  </si>
  <si>
    <t>000000043329-IF-001</t>
  </si>
  <si>
    <t>000000043328-IF-001</t>
  </si>
  <si>
    <t>000000043327-IF-001</t>
  </si>
  <si>
    <t>ROMULO</t>
  </si>
  <si>
    <t>000000043326-IF-001</t>
  </si>
  <si>
    <t>000000043325-IF-001</t>
  </si>
  <si>
    <t>000000043324-IF-001</t>
  </si>
  <si>
    <t>000000043323-IF-001</t>
  </si>
  <si>
    <t>000000043322-IF-001</t>
  </si>
  <si>
    <t>000000043321-IF-001</t>
  </si>
  <si>
    <t>000000043320-IF-001</t>
  </si>
  <si>
    <t>000000043319-IF-001</t>
  </si>
  <si>
    <t>000000043318-IF-001</t>
  </si>
  <si>
    <t>000000043317-IF-001</t>
  </si>
  <si>
    <t>000000043316-IF-001</t>
  </si>
  <si>
    <t>000000043315-IF-001</t>
  </si>
  <si>
    <t>61.034.364/0001-87</t>
  </si>
  <si>
    <t>61.034.364 GILBERTO MARQUES DA SILVA</t>
  </si>
  <si>
    <t>000000043314-IF-001</t>
  </si>
  <si>
    <t>000000043313-IF-001</t>
  </si>
  <si>
    <t>000000043312-IF-001</t>
  </si>
  <si>
    <t>000000043311-IF-001</t>
  </si>
  <si>
    <t>19.513.436/0001-02</t>
  </si>
  <si>
    <t>JESAIAS LIMA DOS SANTOS SOUZA</t>
  </si>
  <si>
    <t>000000043310-IF-001</t>
  </si>
  <si>
    <t>000000043309-IF-001</t>
  </si>
  <si>
    <t>818.519.953-15</t>
  </si>
  <si>
    <t>MAGNO JOSE DIAS AMORIM</t>
  </si>
  <si>
    <t>000000043308-IF-001</t>
  </si>
  <si>
    <t>000000043307-IF-001</t>
  </si>
  <si>
    <t>000000043306-IF-001</t>
  </si>
  <si>
    <t>000000043305-IF-001</t>
  </si>
  <si>
    <t>000000043304-IF-001</t>
  </si>
  <si>
    <t>000000043303-IF-001</t>
  </si>
  <si>
    <t>000000043302-IF-001</t>
  </si>
  <si>
    <t>000000043301-IF-001</t>
  </si>
  <si>
    <t>000000043300-IF-001</t>
  </si>
  <si>
    <t>000000043299-IF-001</t>
  </si>
  <si>
    <t>38.145.455/0001-78</t>
  </si>
  <si>
    <t>JOSE WESLEY OLIVEIRA CUNHA 00265247160</t>
  </si>
  <si>
    <t>000000043298-IF-001</t>
  </si>
  <si>
    <t>000000043297-IF-001</t>
  </si>
  <si>
    <t>000000043296-IF-001</t>
  </si>
  <si>
    <t>000000043295-IF-001</t>
  </si>
  <si>
    <t>PAULO</t>
  </si>
  <si>
    <t>000000043294-IF-001</t>
  </si>
  <si>
    <t>000000043293-IF-001</t>
  </si>
  <si>
    <t>000000043292-IF-001</t>
  </si>
  <si>
    <t>000000043291-IF-001</t>
  </si>
  <si>
    <t>SIMPLICIO</t>
  </si>
  <si>
    <t>000000043290-IF-001</t>
  </si>
  <si>
    <t>000000043289-IF-001</t>
  </si>
  <si>
    <t>000000031885-NF-1</t>
  </si>
  <si>
    <t>000000031883-NF-1</t>
  </si>
  <si>
    <t>09.432.796/0001-26</t>
  </si>
  <si>
    <t>INPRESS BRASILIA COMUNICACAO VISUAL LTDA</t>
  </si>
  <si>
    <t>000000031882-NF-1</t>
  </si>
  <si>
    <t>03.462.125/0001-21</t>
  </si>
  <si>
    <t>INPRESS BRASIL COMUNIC VISUAL LTDA EPP</t>
  </si>
  <si>
    <t>000000031881-NF-1</t>
  </si>
  <si>
    <t>000000031880-NF-1</t>
  </si>
  <si>
    <t>000000031879-NF-1</t>
  </si>
  <si>
    <t>000000031878-NF-1</t>
  </si>
  <si>
    <t>26.620.565/0001-65</t>
  </si>
  <si>
    <t>OUTRA ARQUITETURA E EVENTOS EIRELI</t>
  </si>
  <si>
    <t>000000031877-NF-1</t>
  </si>
  <si>
    <t>000000031876-NF-1</t>
  </si>
  <si>
    <t>000000031875-NF-1</t>
  </si>
  <si>
    <t>000000031874-NF-1</t>
  </si>
  <si>
    <t>000000031873-NF-1</t>
  </si>
  <si>
    <t>000000031872-NF-1</t>
  </si>
  <si>
    <t>MIGUEL</t>
  </si>
  <si>
    <t>000000029133-IF-001</t>
  </si>
  <si>
    <t>000000029132-IF-001</t>
  </si>
  <si>
    <t>VALMIR</t>
  </si>
  <si>
    <t>000000029131-IF-001</t>
  </si>
  <si>
    <t>000000029130-IF-001</t>
  </si>
  <si>
    <t>07.751.981/0001-58</t>
  </si>
  <si>
    <t>J &amp; L - IND DE ARMAR E COZIN PLAN EIRELI</t>
  </si>
  <si>
    <t>000000029129-IF-001</t>
  </si>
  <si>
    <t>042.160.231-77</t>
  </si>
  <si>
    <t>RAFAEL DA SILVA  ALMEIDA</t>
  </si>
  <si>
    <t>000000029128-IF-001</t>
  </si>
  <si>
    <t>000000029127-IF-001</t>
  </si>
  <si>
    <t>046.933.991-83</t>
  </si>
  <si>
    <t>ALTERNATIVA  AUTO CENTRO</t>
  </si>
  <si>
    <t>000000029126-IF-001</t>
  </si>
  <si>
    <t>000000029125-IF-001</t>
  </si>
  <si>
    <t>000000029124-IF-001</t>
  </si>
  <si>
    <t>000000029123-IF-001</t>
  </si>
  <si>
    <t>061.704.541-05</t>
  </si>
  <si>
    <t>HIAGO RODRIGUES</t>
  </si>
  <si>
    <t>000000029122-IF-001</t>
  </si>
  <si>
    <t>410.620.351-00</t>
  </si>
  <si>
    <t>RODRIGO F BRAGA</t>
  </si>
  <si>
    <t>000000029121-IF-001</t>
  </si>
  <si>
    <t>VALMIR CIDADE DO AUTOMOVEL</t>
  </si>
  <si>
    <t>000000029120-IF-001</t>
  </si>
  <si>
    <t>NOVO RIO CIDADE DO AUTOMOVEL</t>
  </si>
  <si>
    <t>000000029119-IF-001</t>
  </si>
  <si>
    <t>000000029118-IF-001</t>
  </si>
  <si>
    <t>000000029117-IF-001</t>
  </si>
  <si>
    <t>121.491.601-53</t>
  </si>
  <si>
    <t>000000029116-IF-001</t>
  </si>
  <si>
    <t>000000029115-IF-001</t>
  </si>
  <si>
    <t>CARIOCA</t>
  </si>
  <si>
    <t>000000029114-IF-001</t>
  </si>
  <si>
    <t>002.244.831-45</t>
  </si>
  <si>
    <t>IVO DOS SANTOS</t>
  </si>
  <si>
    <t>000000029113-IF-001</t>
  </si>
  <si>
    <t>ALBANO</t>
  </si>
  <si>
    <t>000000029112-IF-001</t>
  </si>
  <si>
    <t>FERNANDO PERFECT CAR</t>
  </si>
  <si>
    <t>000000029111-IF-001</t>
  </si>
  <si>
    <t>000000029110-IF-001</t>
  </si>
  <si>
    <t>000000028864-IF-001</t>
  </si>
  <si>
    <t>000000028863-IF-001</t>
  </si>
  <si>
    <t>000000028862-IF-001</t>
  </si>
  <si>
    <t>ALBERTO</t>
  </si>
  <si>
    <t>000000028861-IF-001</t>
  </si>
  <si>
    <t>000000028860-IF-001</t>
  </si>
  <si>
    <t>000000028859-IF-001</t>
  </si>
  <si>
    <t>JOAO</t>
  </si>
  <si>
    <t>000000028858-IF-001</t>
  </si>
  <si>
    <t>000000028857-IF-001</t>
  </si>
  <si>
    <t>000000028856-IF-001</t>
  </si>
  <si>
    <t>019.985.931-00</t>
  </si>
  <si>
    <t>ERLANE BORGES RODRIGUES</t>
  </si>
  <si>
    <t>000000028855-IF-001</t>
  </si>
  <si>
    <t>000000028854-IF-001</t>
  </si>
  <si>
    <t>000000028853-IF-001</t>
  </si>
  <si>
    <t>000000028852-IF-001</t>
  </si>
  <si>
    <t>000000028851-IF-001</t>
  </si>
  <si>
    <t>000000028850-IF-001</t>
  </si>
  <si>
    <t>000000028849-IF-001</t>
  </si>
  <si>
    <t>000000028848-IF-001</t>
  </si>
  <si>
    <t>JAPA MOTOS</t>
  </si>
  <si>
    <t>000000028847-IF-001</t>
  </si>
  <si>
    <t>221.015.511-87</t>
  </si>
  <si>
    <t>APCB MARCIEL AUTO MECANICA ME</t>
  </si>
  <si>
    <t>000000028846-IF-001</t>
  </si>
  <si>
    <t>000000028845-IF-001</t>
  </si>
  <si>
    <t>000000028844-IF-001</t>
  </si>
  <si>
    <t>000000028843-IF-001</t>
  </si>
  <si>
    <t>000000028842-IF-001</t>
  </si>
  <si>
    <t>000000028841-IF-001</t>
  </si>
  <si>
    <t>044.502.171-36</t>
  </si>
  <si>
    <t>DANIEL MEDEIROS FERNANDES</t>
  </si>
  <si>
    <t>000000028840-IF-001</t>
  </si>
  <si>
    <t>000000024951-NF-001</t>
  </si>
  <si>
    <t>08.905.629/0001-92</t>
  </si>
  <si>
    <t>JB LANTERNAGEM E PINTURA</t>
  </si>
  <si>
    <t>000000024950-NF-001</t>
  </si>
  <si>
    <t>000000024949-NF-001</t>
  </si>
  <si>
    <t>000000024947-NF-001</t>
  </si>
  <si>
    <t>51.369.869/0001-49</t>
  </si>
  <si>
    <t>FARAH CONST E INC LTDA</t>
  </si>
  <si>
    <t>000000024946-NF-001</t>
  </si>
  <si>
    <t>05.509.077/0001-05</t>
  </si>
  <si>
    <t>APAM CMDP 2</t>
  </si>
  <si>
    <t>000000024945-NF-001</t>
  </si>
  <si>
    <t>000000024944-NF-001</t>
  </si>
  <si>
    <t>08.247.960/0001-62</t>
  </si>
  <si>
    <t>REAL DP SERVICOS GERAIS LTDA</t>
  </si>
  <si>
    <t>000000024943-NF-001</t>
  </si>
  <si>
    <t>42.820.742/0001-03</t>
  </si>
  <si>
    <t>BOSS FIT COM E EQUIP LTDA</t>
  </si>
  <si>
    <t>000000024942-NF-001</t>
  </si>
  <si>
    <t>400.557.101-82</t>
  </si>
  <si>
    <t>RICARDO FALIRO</t>
  </si>
  <si>
    <t>000000024941-NF-001</t>
  </si>
  <si>
    <t>000000024940-NF-001</t>
  </si>
  <si>
    <t>000000024939-NF-001</t>
  </si>
  <si>
    <t>000000024938-NF-001</t>
  </si>
  <si>
    <t>000000024937-NF-001</t>
  </si>
  <si>
    <t>579.105.021-68</t>
  </si>
  <si>
    <t>VALMON</t>
  </si>
  <si>
    <t>000000024936-NF-001</t>
  </si>
  <si>
    <t>08.220.275/0001-42</t>
  </si>
  <si>
    <t>GRAFICA E EDITORA MOVIMENTO LTDA EPP</t>
  </si>
  <si>
    <t>000000024935-NF-001</t>
  </si>
  <si>
    <t>000000024934-NF-001</t>
  </si>
  <si>
    <t>DK FUNDAÇÕES</t>
  </si>
  <si>
    <t>000000021630-IF-001</t>
  </si>
  <si>
    <t>CRISTIANO</t>
  </si>
  <si>
    <t>000000021629-IF-001</t>
  </si>
  <si>
    <t>702.506.711-31</t>
  </si>
  <si>
    <t>ALAN JUNIOR LIMA RODRIGUES</t>
  </si>
  <si>
    <t>000000021628-IF-001</t>
  </si>
  <si>
    <t>GEOVANE</t>
  </si>
  <si>
    <t>000000021627-IF-001</t>
  </si>
  <si>
    <t>982.131.481-34</t>
  </si>
  <si>
    <t>MARTONE SANTOS FIQUEIREDO</t>
  </si>
  <si>
    <t>000000021626-IF-001</t>
  </si>
  <si>
    <t>LUCAS JOSE</t>
  </si>
  <si>
    <t>000000021625-IF-001</t>
  </si>
  <si>
    <t>046.358.781-20</t>
  </si>
  <si>
    <t>TAYAN DIAS DA SILVA</t>
  </si>
  <si>
    <t>000000021624-IF-001</t>
  </si>
  <si>
    <t>000000021623-IF-001</t>
  </si>
  <si>
    <t>GELEIA BRAZLANDIA</t>
  </si>
  <si>
    <t>000000021622-IF-001</t>
  </si>
  <si>
    <t>000000021621-IF-001</t>
  </si>
  <si>
    <t>000000021620-IF-001</t>
  </si>
  <si>
    <t>000000021619-IF-001</t>
  </si>
  <si>
    <t>15.108.646/0001-64</t>
  </si>
  <si>
    <t>MOURA SERVIÇOS ESPECIALIZADOS LTDA</t>
  </si>
  <si>
    <t>000000021618-IF-001</t>
  </si>
  <si>
    <t>000000021617-IF-001</t>
  </si>
  <si>
    <t>GALEGO JSCAR</t>
  </si>
  <si>
    <t>000000021616-IF-001</t>
  </si>
  <si>
    <t>000000021615-IF-001</t>
  </si>
  <si>
    <t>CLIENTE JOSEMIR</t>
  </si>
  <si>
    <t>000000021614-IF-001</t>
  </si>
  <si>
    <t>033.963.401-40</t>
  </si>
  <si>
    <t>WALLACE RODRIGUES DE QUEIROZ</t>
  </si>
  <si>
    <t>000000021613-IF-001</t>
  </si>
  <si>
    <t>JANIO</t>
  </si>
  <si>
    <t>000000021612-IF-001</t>
  </si>
  <si>
    <t>000000021611-IF-001</t>
  </si>
  <si>
    <t>000000021610-IF-001</t>
  </si>
  <si>
    <t>WILLIAM</t>
  </si>
  <si>
    <t>000000021609-IF-001</t>
  </si>
  <si>
    <t>PELE CEILANDIA</t>
  </si>
  <si>
    <t>000000021608-IF-001</t>
  </si>
  <si>
    <t>EDER COCALZINHO</t>
  </si>
  <si>
    <t>000000021607-IF-001</t>
  </si>
  <si>
    <t>MARCIEL COCALZINHO</t>
  </si>
  <si>
    <t>000000021606-IF-001</t>
  </si>
  <si>
    <t>JADIR COCALZINHO</t>
  </si>
  <si>
    <t>000000021605-IF-001</t>
  </si>
  <si>
    <t>000000021604-IF-001</t>
  </si>
  <si>
    <t>000000021603-IF-001</t>
  </si>
  <si>
    <t>ROBSON</t>
  </si>
  <si>
    <t>000000021602-IF-001</t>
  </si>
  <si>
    <t>PITERSON</t>
  </si>
  <si>
    <t>000000019605-IF-1</t>
  </si>
  <si>
    <t>000000019604-IF-1</t>
  </si>
  <si>
    <t>24.312.133/0001-61</t>
  </si>
  <si>
    <t>CODO LANTERNAGEM E PINTURA</t>
  </si>
  <si>
    <t>000000019603-IF-1</t>
  </si>
  <si>
    <t>004.893.611-10</t>
  </si>
  <si>
    <t>RENNAN CARLOS TOLEDO PINHEIRO</t>
  </si>
  <si>
    <t>000000019602-IF-1</t>
  </si>
  <si>
    <t>000000019601-IF-1</t>
  </si>
  <si>
    <t>710.661.011-91</t>
  </si>
  <si>
    <t>DARIANO DA SILVA ARAUJO</t>
  </si>
  <si>
    <t>000000019600-IF-1</t>
  </si>
  <si>
    <t>46.541.487/0001-10</t>
  </si>
  <si>
    <t>LANTERNAGEM E PINTURA FAMILIA  AUTO CENTER FAMILIA</t>
  </si>
  <si>
    <t>000000019599-IF-1</t>
  </si>
  <si>
    <t>000000019598-IF-1</t>
  </si>
  <si>
    <t>000000019597-IF-1</t>
  </si>
  <si>
    <t>000000019596-IF-1</t>
  </si>
  <si>
    <t>18.321.680/0001-00</t>
  </si>
  <si>
    <t>LOBAO ARTS E PINTURAS LTDA-EPP</t>
  </si>
  <si>
    <t>000000019595-IF-1</t>
  </si>
  <si>
    <t>000000019463-IF-001</t>
  </si>
  <si>
    <t>000000019462-IF-001</t>
  </si>
  <si>
    <t>000000019461-IF-001</t>
  </si>
  <si>
    <t>000000019460-IF-001</t>
  </si>
  <si>
    <t>000000019459-IF-001</t>
  </si>
  <si>
    <t>000000019458-IF-001</t>
  </si>
  <si>
    <t>000000019457-IF-001</t>
  </si>
  <si>
    <t>000000019456-IF-001</t>
  </si>
  <si>
    <t>000000019455-IF-001</t>
  </si>
  <si>
    <t>000000019454-IF-001</t>
  </si>
  <si>
    <t>000000019453-IF-001</t>
  </si>
  <si>
    <t>000000019452-IF-001</t>
  </si>
  <si>
    <t>CELMO</t>
  </si>
  <si>
    <t>000000019451-IF-001</t>
  </si>
  <si>
    <t>000000019450-IF-001</t>
  </si>
  <si>
    <t>000000019449-IF-001</t>
  </si>
  <si>
    <t>158.298.392-53</t>
  </si>
  <si>
    <t>EDIVALDO GOMES</t>
  </si>
  <si>
    <t>000000019448-IF-001</t>
  </si>
  <si>
    <t>000000019447-IF-001</t>
  </si>
  <si>
    <t>27.024.874/0001-35</t>
  </si>
  <si>
    <t>SOS LANT. E PINT.  AUTOMOTIVA EIRELI ME</t>
  </si>
  <si>
    <t>000000019446-IF-001</t>
  </si>
  <si>
    <t>858.669.891-15</t>
  </si>
  <si>
    <t>JEAN GILSON DE SOUZA E SILVA</t>
  </si>
  <si>
    <t>000000019445-IF-001</t>
  </si>
  <si>
    <t>022.234.831-35</t>
  </si>
  <si>
    <t>DIEGO FRANCISCO ALVES BELO</t>
  </si>
  <si>
    <t>000000019444-IF-001</t>
  </si>
  <si>
    <t>ALAN</t>
  </si>
  <si>
    <t>000000019443-IF-001</t>
  </si>
  <si>
    <t>000000019442-IF-001</t>
  </si>
  <si>
    <t>000000019441-IF-001</t>
  </si>
  <si>
    <t>SR JOSEI</t>
  </si>
  <si>
    <t>000000019440-IF-001</t>
  </si>
  <si>
    <t>000000019439-IF-001</t>
  </si>
  <si>
    <t>000000019438-IF-001</t>
  </si>
  <si>
    <t>000000019437-IF-001</t>
  </si>
  <si>
    <t>536.446.973-53</t>
  </si>
  <si>
    <t>JOAO BATISTA DOS SANTOS</t>
  </si>
  <si>
    <t>000000019436-IF-001</t>
  </si>
  <si>
    <t>58.756.830/0001-23</t>
  </si>
  <si>
    <t>000000019435-IF-001</t>
  </si>
  <si>
    <t>715.587.301-25</t>
  </si>
  <si>
    <t>ADOLFO NOVAIS</t>
  </si>
  <si>
    <t>000000019434-IF-001</t>
  </si>
  <si>
    <t>EDILSON</t>
  </si>
  <si>
    <t>000000019433-IF-001</t>
  </si>
  <si>
    <t>000000019432-IF-001</t>
  </si>
  <si>
    <t>000000019431-IF-001</t>
  </si>
  <si>
    <t>000000019430-IF-001</t>
  </si>
  <si>
    <t>000000019429-IF-001</t>
  </si>
  <si>
    <t>842.277.451-87</t>
  </si>
  <si>
    <t>ANTONIO / AN</t>
  </si>
  <si>
    <t>000000019428-IF-001</t>
  </si>
  <si>
    <t>000000019427-IF-001</t>
  </si>
  <si>
    <t>000000019426-IF-001</t>
  </si>
  <si>
    <t>000000019425-IF-001</t>
  </si>
  <si>
    <t>000000019424-IF-001</t>
  </si>
  <si>
    <t>000000019423-IF-001</t>
  </si>
  <si>
    <t>000000019422-IF-001</t>
  </si>
  <si>
    <t>013.814.981-08</t>
  </si>
  <si>
    <t>RESENDE BERNADES RIBEIRO</t>
  </si>
  <si>
    <t>000000019421-IF-001</t>
  </si>
  <si>
    <t>000000019420-IF-001</t>
  </si>
  <si>
    <t>(01)046</t>
  </si>
  <si>
    <t>000000019144-NF-001</t>
  </si>
  <si>
    <t>000000019143-NF-001</t>
  </si>
  <si>
    <t>000000019142-NF-001</t>
  </si>
  <si>
    <t>000000019141-NF-001</t>
  </si>
  <si>
    <t>000000019139-NF-001</t>
  </si>
  <si>
    <t>000000019138-NF-001</t>
  </si>
  <si>
    <t>000000019137-NF-001</t>
  </si>
  <si>
    <t>000000018024-IF-001</t>
  </si>
  <si>
    <t>000000018023-IF-001</t>
  </si>
  <si>
    <t>090.700.726-02</t>
  </si>
  <si>
    <t>WAGTHON BATISTA</t>
  </si>
  <si>
    <t>000000018022-IF-001</t>
  </si>
  <si>
    <t>60.396.919/0001-78</t>
  </si>
  <si>
    <t>60.396.919 WALKIRIA MOREIRA DA COSTA</t>
  </si>
  <si>
    <t>000000018021-IF-001</t>
  </si>
  <si>
    <t>000000018020-IF-001</t>
  </si>
  <si>
    <t>26.033.184/0001-80</t>
  </si>
  <si>
    <t>FABIO JUNIOR DE FARIAS SANTOS</t>
  </si>
  <si>
    <t>000000016630-FF-001</t>
  </si>
  <si>
    <t>000000016629-FF-001</t>
  </si>
  <si>
    <t>000000016628-FF-001</t>
  </si>
  <si>
    <t>000000016627-FF-001</t>
  </si>
  <si>
    <t>000000016626-FF-001</t>
  </si>
  <si>
    <t>02.128.738/0001-64</t>
  </si>
  <si>
    <t>PROATEC LTDA</t>
  </si>
  <si>
    <t>000000016625-FF-001</t>
  </si>
  <si>
    <t>000000016624-FF-001</t>
  </si>
  <si>
    <t>000000016623-FF-001</t>
  </si>
  <si>
    <t>000000016622-FF-001</t>
  </si>
  <si>
    <t>20.337.619/0001-01</t>
  </si>
  <si>
    <t>PLAY SOUND DF</t>
  </si>
  <si>
    <t>000000016621-FF-001</t>
  </si>
  <si>
    <t>000000016620-FF-001</t>
  </si>
  <si>
    <t>000000015039-NF-1</t>
  </si>
  <si>
    <t>000000014774-FF-001</t>
  </si>
  <si>
    <t>147.951.276-11</t>
  </si>
  <si>
    <t>BRENO CARVALHO BORGES</t>
  </si>
  <si>
    <t>000000014773-FF-001</t>
  </si>
  <si>
    <t>091.468.956-80</t>
  </si>
  <si>
    <t>JOSE DOS REIS EMIDIO</t>
  </si>
  <si>
    <t>000000014772-FF-001</t>
  </si>
  <si>
    <t>000000014771-FF-001</t>
  </si>
  <si>
    <t>000000014770-FF-001</t>
  </si>
  <si>
    <t>34.737.050/0001-78</t>
  </si>
  <si>
    <t>WARLEY GONCALVES DE QUEIROZ</t>
  </si>
  <si>
    <t>000000014769-FF-001</t>
  </si>
  <si>
    <t>05.625.328/0001-17</t>
  </si>
  <si>
    <t>SOARES ALVIM - EIRELI - ME</t>
  </si>
  <si>
    <t>000000014768-FF-001</t>
  </si>
  <si>
    <t>000000014767-FF-001</t>
  </si>
  <si>
    <t>000000014766-FF-001</t>
  </si>
  <si>
    <t>000000014765-FF-001</t>
  </si>
  <si>
    <t>000000014764-FF-001</t>
  </si>
  <si>
    <t>42.655.331/0001-00</t>
  </si>
  <si>
    <t>GESSICA MOREIRA DA SILVA NEIVA</t>
  </si>
  <si>
    <t>000000014763-FF-001</t>
  </si>
  <si>
    <t>000000014762-FF-001</t>
  </si>
  <si>
    <t>000000014761-FF-001</t>
  </si>
  <si>
    <t>71.509.350/0001-26</t>
  </si>
  <si>
    <t>GESIVA AUTO MECANICA LTDA</t>
  </si>
  <si>
    <t>000000014760-FF-001</t>
  </si>
  <si>
    <t>056.987.096-88</t>
  </si>
  <si>
    <t>GILVAN MACIEL DE JESUS</t>
  </si>
  <si>
    <t>000000014759-FF-001</t>
  </si>
  <si>
    <t>000000014758-FF-001</t>
  </si>
  <si>
    <t>089.067.356-00</t>
  </si>
  <si>
    <t>FLAVIO SILVA LUNGUINHO</t>
  </si>
  <si>
    <t>000000014757-FF-001</t>
  </si>
  <si>
    <t>31.679.747/0001-41</t>
  </si>
  <si>
    <t>SAMUEL ARAUJO DABADIA</t>
  </si>
  <si>
    <t>000000014756-FF-001</t>
  </si>
  <si>
    <t>122.290.936-73</t>
  </si>
  <si>
    <t>LUIZ CLAUDIO CARDOSO DIAS</t>
  </si>
  <si>
    <t>000000014755-FF-001</t>
  </si>
  <si>
    <t>000000014754-FF-001</t>
  </si>
  <si>
    <t>000000014753-FF-001</t>
  </si>
  <si>
    <t>000000014752-FF-001</t>
  </si>
  <si>
    <t>862.139.386-72</t>
  </si>
  <si>
    <t>JOSE CARLOS MACHADO GUIMARÃES</t>
  </si>
  <si>
    <t>000000014751-FF-001</t>
  </si>
  <si>
    <t>000000014750-FF-001</t>
  </si>
  <si>
    <t>000000014749-FF-001</t>
  </si>
  <si>
    <t>000000014748-FF-001</t>
  </si>
  <si>
    <t>000000014747-FF-001</t>
  </si>
  <si>
    <t>000000014746-FF-001</t>
  </si>
  <si>
    <t>088.106.496-30</t>
  </si>
  <si>
    <t>FERNANDO GONÇALVES DOS SANTOS</t>
  </si>
  <si>
    <t>000000014745-FF-001</t>
  </si>
  <si>
    <t>119.042.036-80</t>
  </si>
  <si>
    <t>62.285.434 CARLOS HENRIQUE DA SILVA DE J</t>
  </si>
  <si>
    <t>000000014744-FF-001</t>
  </si>
  <si>
    <t>000000014743-FF-001</t>
  </si>
  <si>
    <t>000000014742-FF-001</t>
  </si>
  <si>
    <t>000000014741-FF-001</t>
  </si>
  <si>
    <t>LAVA JATO DO DUDU (JEFFIN)</t>
  </si>
  <si>
    <t>000000014740-FF-001</t>
  </si>
  <si>
    <t>000000014739-FF-001</t>
  </si>
  <si>
    <t>34.521.905/0001-29</t>
  </si>
  <si>
    <t>ECOJATO RESTAURADORA LTDA</t>
  </si>
  <si>
    <t>000000014738-FF-001</t>
  </si>
  <si>
    <t>000000014737-FF-001</t>
  </si>
  <si>
    <t>000000014736-FF-001</t>
  </si>
  <si>
    <t>000000014735-FF-001</t>
  </si>
  <si>
    <t>000000014734-FF-001</t>
  </si>
  <si>
    <t>37.012.591/0001-27</t>
  </si>
  <si>
    <t>REFORMA ANTUNES PINTURA E LANTERNAGEM LTDA</t>
  </si>
  <si>
    <t>000000014733-FF-001</t>
  </si>
  <si>
    <t>000000014732-FF-001</t>
  </si>
  <si>
    <t>943.977.326-04</t>
  </si>
  <si>
    <t>UGUIMAR PEREIRA DA SILVA</t>
  </si>
  <si>
    <t>000000014731-FF-001</t>
  </si>
  <si>
    <t>WASHINGTON</t>
  </si>
  <si>
    <t>000000014730-FF-001</t>
  </si>
  <si>
    <t>000000014729-FF-001</t>
  </si>
  <si>
    <t>000000014728-FF-001</t>
  </si>
  <si>
    <t>22.338.443/0001-20</t>
  </si>
  <si>
    <t>JOAQUIM ROSA DE SOUSA RECUPERAÇÃO - ME</t>
  </si>
  <si>
    <t>000000014727-FF-001</t>
  </si>
  <si>
    <t>(01)031</t>
  </si>
  <si>
    <t>000000014356-FF-001</t>
  </si>
  <si>
    <t>000000014355-FF-001</t>
  </si>
  <si>
    <t>017.690.961-32</t>
  </si>
  <si>
    <t>LEONCIO ALVES AMORIM</t>
  </si>
  <si>
    <t>000000014354-FF-001</t>
  </si>
  <si>
    <t>040.533.011-14</t>
  </si>
  <si>
    <t>CRISTIANO MAURICIO FERREIRA</t>
  </si>
  <si>
    <t>000000014353-FF-001</t>
  </si>
  <si>
    <t>000000014351-FF-001</t>
  </si>
  <si>
    <t>000000014350-FF-001</t>
  </si>
  <si>
    <t>000000014349-FF-001</t>
  </si>
  <si>
    <t>000000014348-FF-001</t>
  </si>
  <si>
    <t>000000014347-FF-001</t>
  </si>
  <si>
    <t>17.883.607/0001-60</t>
  </si>
  <si>
    <t>WILLIAM LOPES DE ALMEIDA</t>
  </si>
  <si>
    <t>000000014346-FF-001</t>
  </si>
  <si>
    <t>000000014345-FF-001</t>
  </si>
  <si>
    <t>000000014344-FF-001</t>
  </si>
  <si>
    <t>000000014343-FF-001</t>
  </si>
  <si>
    <t>28.414.109/0002-75</t>
  </si>
  <si>
    <t>TOP COMERCIO DE RODAS LTDA</t>
  </si>
  <si>
    <t>000000014342-FF-001</t>
  </si>
  <si>
    <t>000000014341-FF-001</t>
  </si>
  <si>
    <t>000000014340-FF-001</t>
  </si>
  <si>
    <t>000000014339-FF-001</t>
  </si>
  <si>
    <t>000000014338-FF-001</t>
  </si>
  <si>
    <t>000000014337-FF-001</t>
  </si>
  <si>
    <t>000000014336-FF-001</t>
  </si>
  <si>
    <t>000000009334-NF-001</t>
  </si>
  <si>
    <t>000000009333-NF-001</t>
  </si>
  <si>
    <t>09.527.546/0001-70</t>
  </si>
  <si>
    <t>DAS AUTO CENTER LANTERNAGEM E PINTURA LTDA-ME</t>
  </si>
  <si>
    <t>000000009332-NF-001</t>
  </si>
  <si>
    <t>318.683.471-68</t>
  </si>
  <si>
    <t>CARLOS AUGUSTO</t>
  </si>
  <si>
    <t>000000009331-NF-001</t>
  </si>
  <si>
    <t>40.994.045/0001-43</t>
  </si>
  <si>
    <t>DT TINTAS COMERCIO VAREJISTA LIMITADA</t>
  </si>
  <si>
    <t>000000009330-NF-001</t>
  </si>
  <si>
    <t>000000009329-NF-001</t>
  </si>
  <si>
    <t>000000007816-FF-001</t>
  </si>
  <si>
    <t>000000007815-FF-001</t>
  </si>
  <si>
    <t>000000007814-FF-001</t>
  </si>
  <si>
    <t>12.335.171/0001-50</t>
  </si>
  <si>
    <t>LUCIMAR DO CARMO VILELA</t>
  </si>
  <si>
    <t>000000007812-FF-001</t>
  </si>
  <si>
    <t>00.968.892/0001-19</t>
  </si>
  <si>
    <t>JOANA DARC VIEIRA DE FREITAS -ME</t>
  </si>
  <si>
    <t>000000007811-FF-001</t>
  </si>
  <si>
    <t>000000007810-FF-001</t>
  </si>
  <si>
    <t>000000007809-FF-001</t>
  </si>
  <si>
    <t>836.864.521-20</t>
  </si>
  <si>
    <t>VALDEMIRO</t>
  </si>
  <si>
    <t>000000006925-FF-001</t>
  </si>
  <si>
    <t>000000006924-FF-001</t>
  </si>
  <si>
    <t>00.687.681/0001-08</t>
  </si>
  <si>
    <t>BRASILIA EMPREENDIMENTOS SERV. E PART. LTDA</t>
  </si>
  <si>
    <t>000000006923-FF-001</t>
  </si>
  <si>
    <t>000000006922-FF-001</t>
  </si>
  <si>
    <t>000000006862-IF-001</t>
  </si>
  <si>
    <t>000000006861-IF-001</t>
  </si>
  <si>
    <t>000000006860-IF-001</t>
  </si>
  <si>
    <t>000000006859-IF-001</t>
  </si>
  <si>
    <t>000000006858-IF-001</t>
  </si>
  <si>
    <t>000000006857-IF-001</t>
  </si>
  <si>
    <t>62.343.174/0001-04</t>
  </si>
  <si>
    <t>CARLÃO PINTURA  AUTOMOTIVA</t>
  </si>
  <si>
    <t>000000006856-IF-001</t>
  </si>
  <si>
    <t>000000006855-IF-001</t>
  </si>
  <si>
    <t>000000006854-IF-001</t>
  </si>
  <si>
    <t>960.972.991-68</t>
  </si>
  <si>
    <t>CLEITON FABIO ALVES DE OLIVEIRA</t>
  </si>
  <si>
    <t>000000006853-IF-001</t>
  </si>
  <si>
    <t>000000006852-IF-001</t>
  </si>
  <si>
    <t>000000006851-IF-001</t>
  </si>
  <si>
    <t>770.357.471-68</t>
  </si>
  <si>
    <t>OSMAR MOREIRA DE CARVALHO</t>
  </si>
  <si>
    <t>000000006850-IF-001</t>
  </si>
  <si>
    <t>000000006849-IF-001</t>
  </si>
  <si>
    <t>000000006848-IF-001</t>
  </si>
  <si>
    <t>000000006847-IF-001</t>
  </si>
  <si>
    <t>027.603.861-47</t>
  </si>
  <si>
    <t>VITAL MOTOS</t>
  </si>
  <si>
    <t>000000006846-IF-001</t>
  </si>
  <si>
    <t>AMERICO</t>
  </si>
  <si>
    <t>000000006844-IF-001</t>
  </si>
  <si>
    <t>57.267.647/0001-00</t>
  </si>
  <si>
    <t>COLETAR GERENCIAMENTO DE RESIDUOS LTDA</t>
  </si>
  <si>
    <t>000000006843-IF-001</t>
  </si>
  <si>
    <t>000000006842-IF-001</t>
  </si>
  <si>
    <t>000000006841-IF-001</t>
  </si>
  <si>
    <t>KATIA BATISTA</t>
  </si>
  <si>
    <t>000000006840-IF-001</t>
  </si>
  <si>
    <t>FLAVIO</t>
  </si>
  <si>
    <t>000000006839-IF-001</t>
  </si>
  <si>
    <t>49.824.412/0001-35</t>
  </si>
  <si>
    <t>CARLOS LEMOS MEIRELES</t>
  </si>
  <si>
    <t>000000006838-IF-001</t>
  </si>
  <si>
    <t>000000006837-IF-001</t>
  </si>
  <si>
    <t>000000006836-IF-001</t>
  </si>
  <si>
    <t>000000006835-IF-001</t>
  </si>
  <si>
    <t>000000006834-IF-001</t>
  </si>
  <si>
    <t>000000006833-IF-001</t>
  </si>
  <si>
    <t>JP LANTERNAGENS</t>
  </si>
  <si>
    <t>000000006832-IF-001</t>
  </si>
  <si>
    <t>064.096.801-55</t>
  </si>
  <si>
    <t>HIGOR DA SILVA</t>
  </si>
  <si>
    <t>000000006831-IF-001</t>
  </si>
  <si>
    <t>000000006830-IF-001</t>
  </si>
  <si>
    <t>046.866.021-65</t>
  </si>
  <si>
    <t>LEONARDO RODOLFO</t>
  </si>
  <si>
    <t>000000006829-IF-001</t>
  </si>
  <si>
    <t>000000006828-IF-001</t>
  </si>
  <si>
    <t>000000006827-IF-001</t>
  </si>
  <si>
    <t>000000006826-IF-001</t>
  </si>
  <si>
    <t>000000006825-IF-001</t>
  </si>
  <si>
    <t>000000006824-IF-001</t>
  </si>
  <si>
    <t>000000006823-IF-001</t>
  </si>
  <si>
    <t>897.073.201-25</t>
  </si>
  <si>
    <t>RENATO PEREIRA GALDINO</t>
  </si>
  <si>
    <t>000000006822-IF-001</t>
  </si>
  <si>
    <t>658.866.581-49</t>
  </si>
  <si>
    <t>JURANDIR SOUSA BARBOSA DE ARRUDA</t>
  </si>
  <si>
    <t>000000006821-IF-001</t>
  </si>
  <si>
    <t>087.122.431-32</t>
  </si>
  <si>
    <t>ELISSON GABRIEL NUNES DO CARMO</t>
  </si>
  <si>
    <t>000000006820-IF-001</t>
  </si>
  <si>
    <t>000000006819-IF-001</t>
  </si>
  <si>
    <t>000000006818-IF-001</t>
  </si>
  <si>
    <t>000000006817-IF-001</t>
  </si>
  <si>
    <t>042.222.051-50</t>
  </si>
  <si>
    <t>MAURICIO RODRIGUES MAGALHAES</t>
  </si>
  <si>
    <t>000000006816-IF-001</t>
  </si>
  <si>
    <t>000000006815-IF-001</t>
  </si>
  <si>
    <t>AILTON</t>
  </si>
  <si>
    <t>000000006814-IF-001</t>
  </si>
  <si>
    <t>035.883.951-30</t>
  </si>
  <si>
    <t>PAULO P22</t>
  </si>
  <si>
    <t>000000006813-IF-001</t>
  </si>
  <si>
    <t>000000006812-IF-001</t>
  </si>
  <si>
    <t>000000006811-IF-001</t>
  </si>
  <si>
    <t>RAFAEL TEOTONIO</t>
  </si>
  <si>
    <t>000000006810-IF-001</t>
  </si>
  <si>
    <t>000000006809-IF-001</t>
  </si>
  <si>
    <t>000000006808-IF-001</t>
  </si>
  <si>
    <t>EDUARDO</t>
  </si>
  <si>
    <t>000000006807-IF-001</t>
  </si>
  <si>
    <t>000000006806-IF-001</t>
  </si>
  <si>
    <t>000000006805-IF-001</t>
  </si>
  <si>
    <t>000000006804-IF-001</t>
  </si>
  <si>
    <t>000000006803-IF-001</t>
  </si>
  <si>
    <t>000000006802-IF-001</t>
  </si>
  <si>
    <t>13.663.209/0001-87</t>
  </si>
  <si>
    <t>PRIMER COM E EVENTOS ME</t>
  </si>
  <si>
    <t>000000003816-NF-001</t>
  </si>
  <si>
    <t>22.860.770/0001-47</t>
  </si>
  <si>
    <t>DOUTOR 7 COMUNICAÇAO VISUAL</t>
  </si>
  <si>
    <t>000000003815-NF-001</t>
  </si>
  <si>
    <t>52.160.949/0001-52</t>
  </si>
  <si>
    <t>NOVAIS SOLUÇÕES VISUAIS</t>
  </si>
  <si>
    <t>000000003814-NF-001</t>
  </si>
  <si>
    <t>000000003813-NF-001</t>
  </si>
  <si>
    <t>000000003180-NF-001</t>
  </si>
  <si>
    <t>48.968.679/0001-33</t>
  </si>
  <si>
    <t>LICE TRANSPORTE LTDA</t>
  </si>
  <si>
    <t>000000003178-NF-001</t>
  </si>
  <si>
    <t>000000002611-NS-001</t>
  </si>
  <si>
    <t>000000002610-NS-001</t>
  </si>
  <si>
    <t>000000002609-NS-001</t>
  </si>
  <si>
    <t>000000002608-NS-001</t>
  </si>
  <si>
    <t>000000002607-NS-001</t>
  </si>
  <si>
    <t>000000002606-NS-001</t>
  </si>
  <si>
    <t>000000002605-NS-001</t>
  </si>
  <si>
    <t>000000002604-NS-001</t>
  </si>
  <si>
    <t>000000002603-NS-001</t>
  </si>
  <si>
    <t>000000002602-NS-001</t>
  </si>
  <si>
    <t>000000002601-NS-001</t>
  </si>
  <si>
    <t>000000001542-NF-001</t>
  </si>
  <si>
    <t>20.682.278/0001-01</t>
  </si>
  <si>
    <t>AUTO ZOOM CENTRO AUTOMOTIVO E LANTERNAGEM LTDA</t>
  </si>
  <si>
    <t>000000000912-FF-001</t>
  </si>
  <si>
    <t>43.496.523/0001-83</t>
  </si>
  <si>
    <t>SOLUTION RETOQUE AERONAUTICO LTDA</t>
  </si>
  <si>
    <t>000000000911-FF-001</t>
  </si>
  <si>
    <t>07.275.016/0001-56</t>
  </si>
  <si>
    <t>TARCISIO DE ARAUJO COELHO &amp; CIA LTDA</t>
  </si>
  <si>
    <t>000000000910-FF-001</t>
  </si>
  <si>
    <t>040.449.531-12</t>
  </si>
  <si>
    <t>MARINA OLIVEIRA SOMMER</t>
  </si>
  <si>
    <t>000000000853-NF-001</t>
  </si>
  <si>
    <t>17.686.175/0001-05</t>
  </si>
  <si>
    <t>ANDRÉ RODRIGUES MARTINS - ME</t>
  </si>
  <si>
    <t>000000000852-NF-001</t>
  </si>
  <si>
    <t>000000000851-NF-001</t>
  </si>
  <si>
    <t>000000000850-NF-001</t>
  </si>
  <si>
    <t>000000000232-DV-001</t>
  </si>
  <si>
    <t>000000000231-DV-001</t>
  </si>
  <si>
    <t>000000613166-FF-1</t>
  </si>
  <si>
    <t>000000055390-IF-1</t>
  </si>
  <si>
    <t>000000055389-IF-1</t>
  </si>
  <si>
    <t>JOSE BARTOLOMEU</t>
  </si>
  <si>
    <t>000000055388-IF-1</t>
  </si>
  <si>
    <t>000000055387-IF-1</t>
  </si>
  <si>
    <t>000000055386-IF-1</t>
  </si>
  <si>
    <t>004.008.591-06</t>
  </si>
  <si>
    <t>AMADEU RODRIGUES DE MORAIS</t>
  </si>
  <si>
    <t>000000055385-IF-1</t>
  </si>
  <si>
    <t>CHICO</t>
  </si>
  <si>
    <t>000000055384-IF-1</t>
  </si>
  <si>
    <t>000000055383-IF-1</t>
  </si>
  <si>
    <t>KAIO ESTETICA  AUTOMOTIVA</t>
  </si>
  <si>
    <t>000000055382-IF-1</t>
  </si>
  <si>
    <t>ANDRE</t>
  </si>
  <si>
    <t>000000055381-IF-1</t>
  </si>
  <si>
    <t>000000055380-IF-1</t>
  </si>
  <si>
    <t>000000055379-IF-1</t>
  </si>
  <si>
    <t>JUNIOR MARTELINHO</t>
  </si>
  <si>
    <t>000000055378-IF-1</t>
  </si>
  <si>
    <t>000000043288-IF-001</t>
  </si>
  <si>
    <t>000000043287-IF-001</t>
  </si>
  <si>
    <t>000000043286-IF-001</t>
  </si>
  <si>
    <t>000000043285-IF-001</t>
  </si>
  <si>
    <t>000000043284-IF-001</t>
  </si>
  <si>
    <t>000000043283-IF-001</t>
  </si>
  <si>
    <t>000000043282-IF-001</t>
  </si>
  <si>
    <t>000000043281-IF-001</t>
  </si>
  <si>
    <t>000000043280-IF-001</t>
  </si>
  <si>
    <t>000000043279-IF-001</t>
  </si>
  <si>
    <t>000000043278-IF-001</t>
  </si>
  <si>
    <t>000000043277-IF-001</t>
  </si>
  <si>
    <t>045.653.301-05</t>
  </si>
  <si>
    <t>ANDRE DE MELO BRAGA</t>
  </si>
  <si>
    <t>000000043276-IF-001</t>
  </si>
  <si>
    <t>000000043275-IF-001</t>
  </si>
  <si>
    <t>BILHAR</t>
  </si>
  <si>
    <t>000000043274-IF-001</t>
  </si>
  <si>
    <t>000000043273-IF-001</t>
  </si>
  <si>
    <t>000000043272-IF-001</t>
  </si>
  <si>
    <t>000000043271-IF-001</t>
  </si>
  <si>
    <t>000000043270-IF-001</t>
  </si>
  <si>
    <t>000000043269-IF-001</t>
  </si>
  <si>
    <t>000000043268-IF-001</t>
  </si>
  <si>
    <t>000000043267-IF-001</t>
  </si>
  <si>
    <t>000000043266-IF-001</t>
  </si>
  <si>
    <t>000000043265-IF-001</t>
  </si>
  <si>
    <t>000000043264-IF-001</t>
  </si>
  <si>
    <t>000000043263-IF-001</t>
  </si>
  <si>
    <t>000000043262-IF-001</t>
  </si>
  <si>
    <t>000000043261-IF-001</t>
  </si>
  <si>
    <t>000000043260-IF-001</t>
  </si>
  <si>
    <t>000000043259-IF-001</t>
  </si>
  <si>
    <t>000000043258-IF-001</t>
  </si>
  <si>
    <t>000000043257-IF-001</t>
  </si>
  <si>
    <t>000000043256-IF-001</t>
  </si>
  <si>
    <t>REBOQUE</t>
  </si>
  <si>
    <t>000000043255-IF-001</t>
  </si>
  <si>
    <t>000000043254-IF-001</t>
  </si>
  <si>
    <t>000000031871-NF-1</t>
  </si>
  <si>
    <t>000000031870-NF-1</t>
  </si>
  <si>
    <t>000000031869-NF-1</t>
  </si>
  <si>
    <t>09.545.127/0001-60</t>
  </si>
  <si>
    <t>CONDOMINIO RESIDENCIAL SOL E VENTO</t>
  </si>
  <si>
    <t>000000031868-NF-1</t>
  </si>
  <si>
    <t>000000031867-NF-1</t>
  </si>
  <si>
    <t>000000031866-NF-1</t>
  </si>
  <si>
    <t>13.313.520/0001-04</t>
  </si>
  <si>
    <t>STYLLO SERVICOS E LANTERN. E PINTURA LTDA EPP</t>
  </si>
  <si>
    <t>000000031865-NF-1</t>
  </si>
  <si>
    <t>000000031864-NF-1</t>
  </si>
  <si>
    <t>000000031863-NF-1</t>
  </si>
  <si>
    <t>000000031862-NF-1</t>
  </si>
  <si>
    <t>000000031861-NF-1</t>
  </si>
  <si>
    <t>000000029109-IF-001</t>
  </si>
  <si>
    <t>000000029108-IF-001</t>
  </si>
  <si>
    <t>000000029107-IF-001</t>
  </si>
  <si>
    <t>000000029106-IF-001</t>
  </si>
  <si>
    <t>000000029105-IF-001</t>
  </si>
  <si>
    <t>000000029104-IF-001</t>
  </si>
  <si>
    <t>000000029103-IF-001</t>
  </si>
  <si>
    <t>000000029102-IF-001</t>
  </si>
  <si>
    <t>000000029101-IF-001</t>
  </si>
  <si>
    <t>000000029100-IF-001</t>
  </si>
  <si>
    <t>(01)019</t>
  </si>
  <si>
    <t>000000028839-IF-001</t>
  </si>
  <si>
    <t>000000028838-IF-001</t>
  </si>
  <si>
    <t>000000028837-IF-001</t>
  </si>
  <si>
    <t>000000028836-IF-001</t>
  </si>
  <si>
    <t>000000028835-IF-001</t>
  </si>
  <si>
    <t>000000028834-IF-001</t>
  </si>
  <si>
    <t>000000028833-IF-001</t>
  </si>
  <si>
    <t>000000028832-IF-001</t>
  </si>
  <si>
    <t>000000028831-IF-001</t>
  </si>
  <si>
    <t>000000028830-IF-001</t>
  </si>
  <si>
    <t>000000028829-IF-001</t>
  </si>
  <si>
    <t>000000028828-IF-001</t>
  </si>
  <si>
    <t>610.255.421-34</t>
  </si>
  <si>
    <t>RICARDO ALONSO VALADARES</t>
  </si>
  <si>
    <t>000000028827-IF-001</t>
  </si>
  <si>
    <t>000000028826-IF-001</t>
  </si>
  <si>
    <t>808.784.311-87</t>
  </si>
  <si>
    <t>LEJANDRE BEZERRA DE MENEZES MONTEIRO</t>
  </si>
  <si>
    <t>000000028825-IF-001</t>
  </si>
  <si>
    <t>000000028824-IF-001</t>
  </si>
  <si>
    <t>000000028823-IF-001</t>
  </si>
  <si>
    <t>DIVO</t>
  </si>
  <si>
    <t>000000028822-IF-001</t>
  </si>
  <si>
    <t>000000028821-IF-001</t>
  </si>
  <si>
    <t>000000028820-IF-001</t>
  </si>
  <si>
    <t>000000028819-IF-001</t>
  </si>
  <si>
    <t>000000028818-IF-001</t>
  </si>
  <si>
    <t>JOAQUIM (LIDER -MATERIAL LANTERNEIRO)</t>
  </si>
  <si>
    <t>000000028817-IF-001</t>
  </si>
  <si>
    <t>000000028816-IF-001</t>
  </si>
  <si>
    <t>000000028815-IF-001</t>
  </si>
  <si>
    <t>12.054.132/0001-85</t>
  </si>
  <si>
    <t>STUDIO MAIS COMUNICAÇÃO VISUAL LTDA</t>
  </si>
  <si>
    <t>000000024933-NF-001</t>
  </si>
  <si>
    <t>000000024932-NF-001</t>
  </si>
  <si>
    <t>17.162.579/0008-68</t>
  </si>
  <si>
    <t>LIDER TAXI  AÉREO S/A-AIR BRASIL</t>
  </si>
  <si>
    <t>000000024931-NF-001</t>
  </si>
  <si>
    <t>51.475.782/0001-56</t>
  </si>
  <si>
    <t>ESTRELA FROTA ENGENHARIA LTDA</t>
  </si>
  <si>
    <t>000000024930-NF-001</t>
  </si>
  <si>
    <t>09.212.116/0001-69</t>
  </si>
  <si>
    <t>AUTO SOCORRO BANDEIRANTE EIRELI ME</t>
  </si>
  <si>
    <t>000000024929-NF-001</t>
  </si>
  <si>
    <t>36.770.816/0001-41</t>
  </si>
  <si>
    <t>FM PEÇAS E SERV LTDA EPP</t>
  </si>
  <si>
    <t>000000024928-NF-001</t>
  </si>
  <si>
    <t>51.167.694/0001-97</t>
  </si>
  <si>
    <t>J F S SERV E MANU DE TANQUES LTDA</t>
  </si>
  <si>
    <t>000000024927-NF-001</t>
  </si>
  <si>
    <t>000000024926-NF-001</t>
  </si>
  <si>
    <t>37.512.544/0001-42</t>
  </si>
  <si>
    <t>TECH MED LOC DE EQUIPAM HOSP LTDA</t>
  </si>
  <si>
    <t>000000024925-NF-001</t>
  </si>
  <si>
    <t>000000024924-NF-001</t>
  </si>
  <si>
    <t>095.403.551-84</t>
  </si>
  <si>
    <t>YASMIN COELHO SOARES</t>
  </si>
  <si>
    <t>000000024923-NF-001</t>
  </si>
  <si>
    <t>000000024922-NF-001</t>
  </si>
  <si>
    <t>000000024921-NF-001</t>
  </si>
  <si>
    <t>48.059.261/0001-03</t>
  </si>
  <si>
    <t>ANDRE ALVES DA SILVA</t>
  </si>
  <si>
    <t>000000024920-NF-001</t>
  </si>
  <si>
    <t>57.387.380/0001-86</t>
  </si>
  <si>
    <t>PINCEL PRINT COMUNICACAO LTDA</t>
  </si>
  <si>
    <t>000000024918-NF-001</t>
  </si>
  <si>
    <t>000000024917-NF-001</t>
  </si>
  <si>
    <t>LUCIANO</t>
  </si>
  <si>
    <t>000000021601-IF-001</t>
  </si>
  <si>
    <t>706.835.781-46</t>
  </si>
  <si>
    <t>LUCAS MATEUS ROCHA DE ARAUJO</t>
  </si>
  <si>
    <t>000000021600-IF-001</t>
  </si>
  <si>
    <t>000000021599-IF-001</t>
  </si>
  <si>
    <t>LUIZ</t>
  </si>
  <si>
    <t>000000021598-IF-001</t>
  </si>
  <si>
    <t>000000021597-IF-001</t>
  </si>
  <si>
    <t>ISAIS JARDIM AGUAS LINDAS 2</t>
  </si>
  <si>
    <t>000000021596-IF-001</t>
  </si>
  <si>
    <t>000000021595-IF-001</t>
  </si>
  <si>
    <t>539.465.451-49</t>
  </si>
  <si>
    <t>CICERO DOS SANTOS SILVA</t>
  </si>
  <si>
    <t>000000021594-IF-001</t>
  </si>
  <si>
    <t>DICA - GIRASSOL</t>
  </si>
  <si>
    <t>000000021593-IF-001</t>
  </si>
  <si>
    <t>45.399.460/0001-72</t>
  </si>
  <si>
    <t>MOISES DE SOUZA DAS NEVES</t>
  </si>
  <si>
    <t>000000021592-IF-001</t>
  </si>
  <si>
    <t>000000021591-IF-001</t>
  </si>
  <si>
    <t>954.011.721-68</t>
  </si>
  <si>
    <t>LEONDINO ALVES CORREA</t>
  </si>
  <si>
    <t>000000021590-IF-001</t>
  </si>
  <si>
    <t>000000021589-IF-001</t>
  </si>
  <si>
    <t>000000021588-IF-001</t>
  </si>
  <si>
    <t>DICA GIRASSOL</t>
  </si>
  <si>
    <t>000000021587-IF-001</t>
  </si>
  <si>
    <t>000000021586-IF-001</t>
  </si>
  <si>
    <t>LUAN</t>
  </si>
  <si>
    <t>000000021585-IF-001</t>
  </si>
  <si>
    <t>000000021584-IF-001</t>
  </si>
  <si>
    <t>000000021583-IF-001</t>
  </si>
  <si>
    <t>000000021582-IF-001</t>
  </si>
  <si>
    <t>000000021581-IF-001</t>
  </si>
  <si>
    <t>000000021580-IF-001</t>
  </si>
  <si>
    <t>000000021579-IF-001</t>
  </si>
  <si>
    <t>000000021578-IF-001</t>
  </si>
  <si>
    <t>000000019594-IF-1</t>
  </si>
  <si>
    <t>000000019593-IF-1</t>
  </si>
  <si>
    <t>000000019592-IF-1</t>
  </si>
  <si>
    <t>000000019591-IF-1</t>
  </si>
  <si>
    <t>000000019590-IF-1</t>
  </si>
  <si>
    <t>000000019589-IF-1</t>
  </si>
  <si>
    <t>000000019588-IF-1</t>
  </si>
  <si>
    <t>000000019587-IF-1</t>
  </si>
  <si>
    <t>000000019586-IF-1</t>
  </si>
  <si>
    <t>005.844.343-67</t>
  </si>
  <si>
    <t>BENILSON GOMES DA SILVA</t>
  </si>
  <si>
    <t>000000019585-IF-1</t>
  </si>
  <si>
    <t>000000019584-IF-1</t>
  </si>
  <si>
    <t>000000019583-IF-1</t>
  </si>
  <si>
    <t>000000019582-IF-1</t>
  </si>
  <si>
    <t>375.832.631-15</t>
  </si>
  <si>
    <t>EUCLIDES  GOMES DE SALES</t>
  </si>
  <si>
    <t>000000019581-IF-1</t>
  </si>
  <si>
    <t>000000019419-IF-001</t>
  </si>
  <si>
    <t>000000019418-IF-001</t>
  </si>
  <si>
    <t>000000019417-IF-001</t>
  </si>
  <si>
    <t>000000019416-IF-001</t>
  </si>
  <si>
    <t>MATHEUS</t>
  </si>
  <si>
    <t>000000019415-IF-001</t>
  </si>
  <si>
    <t>000000019414-IF-001</t>
  </si>
  <si>
    <t>000000019413-IF-001</t>
  </si>
  <si>
    <t>000000019412-IF-001</t>
  </si>
  <si>
    <t>000000019411-IF-001</t>
  </si>
  <si>
    <t>000000019410-IF-001</t>
  </si>
  <si>
    <t>000000019409-IF-001</t>
  </si>
  <si>
    <t>000000019408-IF-001</t>
  </si>
  <si>
    <t>000000019407-IF-001</t>
  </si>
  <si>
    <t>000000019406-IF-001</t>
  </si>
  <si>
    <t>000000019405-IF-001</t>
  </si>
  <si>
    <t>000000019404-IF-001</t>
  </si>
  <si>
    <t>000000019403-IF-001</t>
  </si>
  <si>
    <t>000000019402-IF-001</t>
  </si>
  <si>
    <t>000000019401-IF-001</t>
  </si>
  <si>
    <t>000000019400-IF-001</t>
  </si>
  <si>
    <t>000000019399-IF-001</t>
  </si>
  <si>
    <t>000000019398-IF-001</t>
  </si>
  <si>
    <t>000000019397-IF-001</t>
  </si>
  <si>
    <t>000000019396-IF-001</t>
  </si>
  <si>
    <t>579.693.021-49</t>
  </si>
  <si>
    <t>FRANCISCO PEREIRA DE FRANÇA FILHO</t>
  </si>
  <si>
    <t>000000019395-IF-001</t>
  </si>
  <si>
    <t>AUDI</t>
  </si>
  <si>
    <t>000000019394-IF-001</t>
  </si>
  <si>
    <t>000000019393-IF-001</t>
  </si>
  <si>
    <t>000000019392-IF-001</t>
  </si>
  <si>
    <t>017.566.931-70</t>
  </si>
  <si>
    <t>JOAO EDUARDO ALVES DE IRINEU</t>
  </si>
  <si>
    <t>000000019391-IF-001</t>
  </si>
  <si>
    <t>343.263.671-72</t>
  </si>
  <si>
    <t>ROBERTO MALAQUIAS</t>
  </si>
  <si>
    <t>000000019390-IF-001</t>
  </si>
  <si>
    <t>000000019389-IF-001</t>
  </si>
  <si>
    <t>000000019388-IF-001</t>
  </si>
  <si>
    <t>000000019387-IF-001</t>
  </si>
  <si>
    <t>000000019386-IF-001</t>
  </si>
  <si>
    <t>000000019385-IF-001</t>
  </si>
  <si>
    <t>000000019384-IF-001</t>
  </si>
  <si>
    <t>39.823.110/0001-99</t>
  </si>
  <si>
    <t>RODRIGO CARVALHO MOREIRA 77622758191</t>
  </si>
  <si>
    <t>000000019383-IF-001</t>
  </si>
  <si>
    <t>000000019382-IF-001</t>
  </si>
  <si>
    <t>000000019136-NF-001</t>
  </si>
  <si>
    <t>000000019134-NF-001</t>
  </si>
  <si>
    <t>000000019133-NF-001</t>
  </si>
  <si>
    <t>000000019132-NF-001</t>
  </si>
  <si>
    <t>000000019131-NF-001</t>
  </si>
  <si>
    <t>000000019130-NF-001</t>
  </si>
  <si>
    <t>000000019129-NF-001</t>
  </si>
  <si>
    <t>17.417.592/0001-44</t>
  </si>
  <si>
    <t>MR COMERCIO DE PECAS E SERVICOS DE MRCANICA LTDA ME</t>
  </si>
  <si>
    <t>000000019128-NF-001</t>
  </si>
  <si>
    <t>000000019127-NF-001</t>
  </si>
  <si>
    <t>(01)047</t>
  </si>
  <si>
    <t>000000019126-NF-001</t>
  </si>
  <si>
    <t>000000019125-NF-001</t>
  </si>
  <si>
    <t>000000018019-IF-001</t>
  </si>
  <si>
    <t>000000018018-IF-001</t>
  </si>
  <si>
    <t>000000018017-IF-001</t>
  </si>
  <si>
    <t>000000018016-IF-001</t>
  </si>
  <si>
    <t>073.238.366-89</t>
  </si>
  <si>
    <t>PAULO HENRIQUE NASCIMENTO DE JESUS</t>
  </si>
  <si>
    <t>000000018015-IF-001</t>
  </si>
  <si>
    <t>123.009.826-76</t>
  </si>
  <si>
    <t>MATHEUS MOREIRA FONSECA</t>
  </si>
  <si>
    <t>000000018014-IF-001</t>
  </si>
  <si>
    <t>000000018013-IF-001</t>
  </si>
  <si>
    <t>109.802.836-80</t>
  </si>
  <si>
    <t>LINDOMAR FERNANDES DE MOURA</t>
  </si>
  <si>
    <t>000000018012-IF-001</t>
  </si>
  <si>
    <t>701.200.976-48</t>
  </si>
  <si>
    <t>AMANDA MIKAELLE LOPES SANTANA</t>
  </si>
  <si>
    <t>000000018011-IF-001</t>
  </si>
  <si>
    <t>000000018010-IF-001</t>
  </si>
  <si>
    <t>000000018009-IF-001</t>
  </si>
  <si>
    <t>000000018008-IF-001</t>
  </si>
  <si>
    <t>000000016619-FF-001</t>
  </si>
  <si>
    <t>50.196.882/0001-80</t>
  </si>
  <si>
    <t>ISRAEL LIMA PESSOA</t>
  </si>
  <si>
    <t>000000016618-FF-001</t>
  </si>
  <si>
    <t>504.752.661-53</t>
  </si>
  <si>
    <t>MARIA APARECIDA</t>
  </si>
  <si>
    <t>000000016617-FF-001</t>
  </si>
  <si>
    <t>000000016616-FF-001</t>
  </si>
  <si>
    <t>000000016615-FF-001</t>
  </si>
  <si>
    <t>000000016614-FF-001</t>
  </si>
  <si>
    <t>000000016613-FF-001</t>
  </si>
  <si>
    <t>000000016612-FF-001</t>
  </si>
  <si>
    <t>000000016611-FF-001</t>
  </si>
  <si>
    <t>000000016610-FF-001</t>
  </si>
  <si>
    <t>000000016609-FF-001</t>
  </si>
  <si>
    <t>000000016608-FF-001</t>
  </si>
  <si>
    <t>000000016607-FF-001</t>
  </si>
  <si>
    <t>000000016606-FF-001</t>
  </si>
  <si>
    <t>000000016605-FF-001</t>
  </si>
  <si>
    <t>000000016604-FF-001</t>
  </si>
  <si>
    <t>000000016603-FF-001</t>
  </si>
  <si>
    <t>000000016602-FF-001</t>
  </si>
  <si>
    <t>000000016601-FF-001</t>
  </si>
  <si>
    <t>000000016600-FF-001</t>
  </si>
  <si>
    <t>000000016599-FF-001</t>
  </si>
  <si>
    <t>000000016598-FF-001</t>
  </si>
  <si>
    <t>000000016597-FF-001</t>
  </si>
  <si>
    <t>000000015038-NF-1</t>
  </si>
  <si>
    <t>74.115.692/0015-55</t>
  </si>
  <si>
    <t>JM EMPREENDIMENTOS TRANSPORTE E SERVICOS LTDA</t>
  </si>
  <si>
    <t>000000015037-NF-1</t>
  </si>
  <si>
    <t>000000015036-NF-1</t>
  </si>
  <si>
    <t>000000014726-FF-001</t>
  </si>
  <si>
    <t>780.974.286-87</t>
  </si>
  <si>
    <t>CELIMAR JOSÉ BRAGA</t>
  </si>
  <si>
    <t>000000014725-FF-001</t>
  </si>
  <si>
    <t>000000014724-FF-001</t>
  </si>
  <si>
    <t>000000014723-FF-001</t>
  </si>
  <si>
    <t>000000014722-FF-001</t>
  </si>
  <si>
    <t>000000014721-FF-001</t>
  </si>
  <si>
    <t>34.964.802/0001-33</t>
  </si>
  <si>
    <t>C R MARTINS DE OLIVEIRA</t>
  </si>
  <si>
    <t>000000014720-FF-001</t>
  </si>
  <si>
    <t>000000014719-FF-001</t>
  </si>
  <si>
    <t>000000014718-FF-001</t>
  </si>
  <si>
    <t>000000014717-FF-001</t>
  </si>
  <si>
    <t>967.140.936-91</t>
  </si>
  <si>
    <t>ILTON CORREA DOS REIS</t>
  </si>
  <si>
    <t>000000014716-FF-001</t>
  </si>
  <si>
    <t>000000014715-FF-001</t>
  </si>
  <si>
    <t>000000014714-FF-001</t>
  </si>
  <si>
    <t>000000014713-FF-001</t>
  </si>
  <si>
    <t>86.581.105/0001-05</t>
  </si>
  <si>
    <t>OFICINA D'AUTO PEÇAS  LTDA</t>
  </si>
  <si>
    <t>000000014712-FF-001</t>
  </si>
  <si>
    <t>000000014711-FF-001</t>
  </si>
  <si>
    <t>000000014710-FF-001</t>
  </si>
  <si>
    <t>000000014709-FF-001</t>
  </si>
  <si>
    <t>076.605.906-50</t>
  </si>
  <si>
    <t>RAYANNY RACKNNELLY DE OLIVEIRA GOMES</t>
  </si>
  <si>
    <t>000000014708-FF-001</t>
  </si>
  <si>
    <t>000000014707-FF-001</t>
  </si>
  <si>
    <t>000000014706-FF-001</t>
  </si>
  <si>
    <t>000000014705-FF-001</t>
  </si>
  <si>
    <t>000000014704-FF-001</t>
  </si>
  <si>
    <t>000000014703-FF-001</t>
  </si>
  <si>
    <t>LAVA JATO DUDU</t>
  </si>
  <si>
    <t>000000014702-FF-001</t>
  </si>
  <si>
    <t>000000014335-FF-001</t>
  </si>
  <si>
    <t>000000014334-FF-001</t>
  </si>
  <si>
    <t>376.558.921-72</t>
  </si>
  <si>
    <t>RONALDO COSTA E SILVA</t>
  </si>
  <si>
    <t>000000014333-FF-001</t>
  </si>
  <si>
    <t>000000014332-FF-001</t>
  </si>
  <si>
    <t>000000014331-FF-001</t>
  </si>
  <si>
    <t>000000014330-FF-001</t>
  </si>
  <si>
    <t>000000014329-FF-001</t>
  </si>
  <si>
    <t>000000014328-FF-001</t>
  </si>
  <si>
    <t>000000014327-FF-001</t>
  </si>
  <si>
    <t>000000014326-FF-001</t>
  </si>
  <si>
    <t>000000014325-FF-001</t>
  </si>
  <si>
    <t>000000014324-FF-001</t>
  </si>
  <si>
    <t>000000014323-FF-001</t>
  </si>
  <si>
    <t>000000014322-FF-001</t>
  </si>
  <si>
    <t>000000014321-FF-001</t>
  </si>
  <si>
    <t>000000014320-FF-001</t>
  </si>
  <si>
    <t>000000014319-FF-001</t>
  </si>
  <si>
    <t>000000014318-FF-001</t>
  </si>
  <si>
    <t>000000014317-FF-001</t>
  </si>
  <si>
    <t>40.652.032/0001-96</t>
  </si>
  <si>
    <t>CENTRO DE REPARAÇÃO TECNICO AUTOMOTIVO</t>
  </si>
  <si>
    <t>000000009328-NF-001</t>
  </si>
  <si>
    <t>000000009327-NF-001</t>
  </si>
  <si>
    <t>19.338.691/0001-66</t>
  </si>
  <si>
    <t>SANDU MOTOS LTDA. ME</t>
  </si>
  <si>
    <t>000000009326-NF-001</t>
  </si>
  <si>
    <t>000000009325-NF-001</t>
  </si>
  <si>
    <t>000000009324-NF-001</t>
  </si>
  <si>
    <t>000000009323-NF-001</t>
  </si>
  <si>
    <t>000000007808-FF-001</t>
  </si>
  <si>
    <t>000000007807-FF-001</t>
  </si>
  <si>
    <t>000000007806-FF-001</t>
  </si>
  <si>
    <t>000000007805-FF-001</t>
  </si>
  <si>
    <t>32.292.494/0001-11</t>
  </si>
  <si>
    <t>LANTERNAGEM BRASILIA COM. PEÇAS E SERV. AUTOMOTIVOS EIRELI</t>
  </si>
  <si>
    <t>000000007804-FF-001</t>
  </si>
  <si>
    <t>000000007803-FF-001</t>
  </si>
  <si>
    <t>000000007801-FF-001</t>
  </si>
  <si>
    <t>000000007800-FF-001</t>
  </si>
  <si>
    <t>000000007799-FF-001</t>
  </si>
  <si>
    <t>000000007798-FF-001</t>
  </si>
  <si>
    <t>000000007797-FF-001</t>
  </si>
  <si>
    <t>000000007796-FF-001</t>
  </si>
  <si>
    <t>000000006921-FF-001</t>
  </si>
  <si>
    <t>000000006920-FF-001</t>
  </si>
  <si>
    <t>000000006919-FF-001</t>
  </si>
  <si>
    <t>000000006918-FF-001</t>
  </si>
  <si>
    <t>000000006917-FF-001</t>
  </si>
  <si>
    <t>CLEDIOVAN</t>
  </si>
  <si>
    <t>000000006801-IF-001</t>
  </si>
  <si>
    <t>000000006800-IF-001</t>
  </si>
  <si>
    <t>000000006799-IF-001</t>
  </si>
  <si>
    <t>810.684.331-91</t>
  </si>
  <si>
    <t>PAULO CESAR DA SILVA /OFICINA DO PAULO</t>
  </si>
  <si>
    <t>000000006798-IF-001</t>
  </si>
  <si>
    <t>000000006797-IF-001</t>
  </si>
  <si>
    <t>000000006796-IF-001</t>
  </si>
  <si>
    <t>000000006795-IF-001</t>
  </si>
  <si>
    <t>000000006794-IF-001</t>
  </si>
  <si>
    <t>000000006793-IF-001</t>
  </si>
  <si>
    <t>000000006792-IF-001</t>
  </si>
  <si>
    <t>000000006791-IF-001</t>
  </si>
  <si>
    <t>000000006790-IF-001</t>
  </si>
  <si>
    <t>000000006789-IF-001</t>
  </si>
  <si>
    <t>000000006788-IF-001</t>
  </si>
  <si>
    <t>000000006787-IF-001</t>
  </si>
  <si>
    <t>OFICINA BRASL</t>
  </si>
  <si>
    <t>000000006786-IF-001</t>
  </si>
  <si>
    <t>000000006785-IF-001</t>
  </si>
  <si>
    <t>000000006784-IF-001</t>
  </si>
  <si>
    <t>000000006783-IF-001</t>
  </si>
  <si>
    <t>000000006782-IF-001</t>
  </si>
  <si>
    <t>GUSTAVO</t>
  </si>
  <si>
    <t>000000006781-IF-001</t>
  </si>
  <si>
    <t>BUENO</t>
  </si>
  <si>
    <t>000000006780-IF-001</t>
  </si>
  <si>
    <t>000000006779-IF-001</t>
  </si>
  <si>
    <t>000000006778-IF-001</t>
  </si>
  <si>
    <t>000000006777-IF-001</t>
  </si>
  <si>
    <t>000000006776-IF-001</t>
  </si>
  <si>
    <t>000000006775-IF-001</t>
  </si>
  <si>
    <t>000000006774-IF-001</t>
  </si>
  <si>
    <t>000000006773-IF-001</t>
  </si>
  <si>
    <t>000000006772-IF-001</t>
  </si>
  <si>
    <t>011.537.631-33</t>
  </si>
  <si>
    <t>RANDOFF ALEXANDRE DOS REIS CALÇADO</t>
  </si>
  <si>
    <t>000000006771-IF-001</t>
  </si>
  <si>
    <t>MIZAEL</t>
  </si>
  <si>
    <t>000000006770-IF-001</t>
  </si>
  <si>
    <t>012.734.201-01</t>
  </si>
  <si>
    <t>RENATO LINO</t>
  </si>
  <si>
    <t>000000006769-IF-001</t>
  </si>
  <si>
    <t>000000006768-IF-001</t>
  </si>
  <si>
    <t>000000006767-IF-001</t>
  </si>
  <si>
    <t>000000006766-IF-001</t>
  </si>
  <si>
    <t>000000006765-IF-001</t>
  </si>
  <si>
    <t>000000006764-IF-001</t>
  </si>
  <si>
    <t>17.934.442/0001-08</t>
  </si>
  <si>
    <t>FABIO COELHO DA SILVA</t>
  </si>
  <si>
    <t>000000006763-IF-001</t>
  </si>
  <si>
    <t>000000006762-IF-001</t>
  </si>
  <si>
    <t>000000006761-IF-001</t>
  </si>
  <si>
    <t>32.719.628/0001-38</t>
  </si>
  <si>
    <t>NAGYLA HACYB CARNEIRO SALOMÃO</t>
  </si>
  <si>
    <t>000000006760-IF-001</t>
  </si>
  <si>
    <t>000000006759-IF-001</t>
  </si>
  <si>
    <t>238.894.381-72</t>
  </si>
  <si>
    <t>PAULO CAIXETA</t>
  </si>
  <si>
    <t>000000006758-IF-001</t>
  </si>
  <si>
    <t>036.047.321-07</t>
  </si>
  <si>
    <t>REGINALDO SAAVEDRA TAVARES</t>
  </si>
  <si>
    <t>000000006757-IF-001</t>
  </si>
  <si>
    <t>000000006756-IF-001</t>
  </si>
  <si>
    <t>FABIO</t>
  </si>
  <si>
    <t>000000006755-IF-001</t>
  </si>
  <si>
    <t>000000006754-IF-001</t>
  </si>
  <si>
    <t>000000006753-IF-001</t>
  </si>
  <si>
    <t>000000006752-IF-001</t>
  </si>
  <si>
    <t>000000006751-IF-001</t>
  </si>
  <si>
    <t>000000006750-IF-001</t>
  </si>
  <si>
    <t>42.082.456/0001-98</t>
  </si>
  <si>
    <t>DANIEL CRISTALINA</t>
  </si>
  <si>
    <t>000000006749-IF-001</t>
  </si>
  <si>
    <t>VAGNER CRISTALINA</t>
  </si>
  <si>
    <t>000000006748-IF-001</t>
  </si>
  <si>
    <t>999.348.841-00</t>
  </si>
  <si>
    <t>KLEBER FERNANDES C OLIVEIRA</t>
  </si>
  <si>
    <t>000000006747-IF-001</t>
  </si>
  <si>
    <t>000000006746-IF-001</t>
  </si>
  <si>
    <t>969.769.261-00</t>
  </si>
  <si>
    <t>BODIM -</t>
  </si>
  <si>
    <t>000000006745-IF-001</t>
  </si>
  <si>
    <t>000000006744-IF-001</t>
  </si>
  <si>
    <t>000000006743-IF-001</t>
  </si>
  <si>
    <t>000000006742-IF-001</t>
  </si>
  <si>
    <t>000000006741-IF-001</t>
  </si>
  <si>
    <t>10.909.603/0001-64</t>
  </si>
  <si>
    <t>A &amp; R SINALIZACAO. COMUN.VISUAL ME</t>
  </si>
  <si>
    <t>000000003812-NF-001</t>
  </si>
  <si>
    <t>000000003811-NF-001</t>
  </si>
  <si>
    <t>(01)006</t>
  </si>
  <si>
    <t>000000003810-NF-001</t>
  </si>
  <si>
    <t>000000003809-NF-001</t>
  </si>
  <si>
    <t>000000003808-NF-001</t>
  </si>
  <si>
    <t>05.018.545/0001-49</t>
  </si>
  <si>
    <t>MMX LOCAÇÃO DE CONTEINER ME</t>
  </si>
  <si>
    <t>000000003807-NF-001</t>
  </si>
  <si>
    <t>000000003806-NF-001</t>
  </si>
  <si>
    <t>000000003805-NF-001</t>
  </si>
  <si>
    <t>53.404.118/0001-41</t>
  </si>
  <si>
    <t>TALISMA TINTAS LTDA-ME</t>
  </si>
  <si>
    <t>000000003177-NF-001</t>
  </si>
  <si>
    <t>71.145.668/0001-75</t>
  </si>
  <si>
    <t>000000002600-NS-001</t>
  </si>
  <si>
    <t>000000002599-NS-001</t>
  </si>
  <si>
    <t>000000002598-NS-001</t>
  </si>
  <si>
    <t>000000002597-NS-001</t>
  </si>
  <si>
    <t>000000002596-NS-001</t>
  </si>
  <si>
    <t>000000002595-NS-001</t>
  </si>
  <si>
    <t>000000002594-NS-001</t>
  </si>
  <si>
    <t>000000002593-NS-001</t>
  </si>
  <si>
    <t>17.168.524/0001-99</t>
  </si>
  <si>
    <t>PRIMAVIA COMERCIO DE VEICULOS LTDA</t>
  </si>
  <si>
    <t>000000002592-NS-001</t>
  </si>
  <si>
    <t>000000000909-FF-001</t>
  </si>
  <si>
    <t>000000000908-FF-001</t>
  </si>
  <si>
    <t>000000000907-FF-001</t>
  </si>
  <si>
    <t>000000000906-FF-001</t>
  </si>
  <si>
    <t>000000000849-NF-001</t>
  </si>
  <si>
    <t>000000000848-NF-001</t>
  </si>
  <si>
    <t>000000000847-NF-001</t>
  </si>
  <si>
    <t>000000000846-NF-001</t>
  </si>
  <si>
    <t>000000000845-NF-001</t>
  </si>
  <si>
    <t>703.886.701-69</t>
  </si>
  <si>
    <t>LEONARDO MUNIZ DE AMORI</t>
  </si>
  <si>
    <t>000000000844-NF-001</t>
  </si>
  <si>
    <t>117.215.256-02</t>
  </si>
  <si>
    <t>NADINE DE OLIVEIRA MORAIS</t>
  </si>
  <si>
    <t>000000000114-DV-001</t>
  </si>
  <si>
    <t>(01)048</t>
  </si>
  <si>
    <t>000000613165-FF-1</t>
  </si>
  <si>
    <t>494.516.261-15</t>
  </si>
  <si>
    <t>ANTONIO GERALDO DAS MERCÊS</t>
  </si>
  <si>
    <t>000000055377-IF-1</t>
  </si>
  <si>
    <t>000000055376-IF-1</t>
  </si>
  <si>
    <t>MINEIRINHO</t>
  </si>
  <si>
    <t>000000055375-IF-1</t>
  </si>
  <si>
    <t>000000055374-IF-1</t>
  </si>
  <si>
    <t>000000055373-IF-1</t>
  </si>
  <si>
    <t>813.770.701-82</t>
  </si>
  <si>
    <t>GUSTAVO CAVALCANTE TEIXEIRA</t>
  </si>
  <si>
    <t>000000055372-IF-1</t>
  </si>
  <si>
    <t>000000055371-IF-1</t>
  </si>
  <si>
    <t>MAQCENTER MAQUINAS</t>
  </si>
  <si>
    <t>000000055370-IF-1</t>
  </si>
  <si>
    <t>000000055369-IF-1</t>
  </si>
  <si>
    <t>000000055368-IF-1</t>
  </si>
  <si>
    <t>000000043253-IF-001</t>
  </si>
  <si>
    <t>000000043252-IF-001</t>
  </si>
  <si>
    <t>000000043251-IF-001</t>
  </si>
  <si>
    <t>000000043250-IF-001</t>
  </si>
  <si>
    <t>000000043249-IF-001</t>
  </si>
  <si>
    <t>000000043248-IF-001</t>
  </si>
  <si>
    <t>000000043247-IF-001</t>
  </si>
  <si>
    <t>000000043246-IF-001</t>
  </si>
  <si>
    <t>454.778.411-68</t>
  </si>
  <si>
    <t>NILSON DE OLIVEIRA MAGALHAES</t>
  </si>
  <si>
    <t>000000043245-IF-001</t>
  </si>
  <si>
    <t>000000043244-IF-001</t>
  </si>
  <si>
    <t>000000043243-IF-001</t>
  </si>
  <si>
    <t>000000043242-IF-001</t>
  </si>
  <si>
    <t>000000043241-IF-001</t>
  </si>
  <si>
    <t>000000043240-IF-001</t>
  </si>
  <si>
    <t>000000043239-IF-001</t>
  </si>
  <si>
    <t>000000043238-IF-001</t>
  </si>
  <si>
    <t>000000043237-IF-001</t>
  </si>
  <si>
    <t>000000043236-IF-001</t>
  </si>
  <si>
    <t>000000043235-IF-001</t>
  </si>
  <si>
    <t>000000043234-IF-001</t>
  </si>
  <si>
    <t>000000043233-IF-001</t>
  </si>
  <si>
    <t>000000043232-IF-001</t>
  </si>
  <si>
    <t>000000043231-IF-001</t>
  </si>
  <si>
    <t>000000043230-IF-001</t>
  </si>
  <si>
    <t>000000043229-IF-001</t>
  </si>
  <si>
    <t>000000043228-IF-001</t>
  </si>
  <si>
    <t>DIOGO</t>
  </si>
  <si>
    <t>000000043227-IF-001</t>
  </si>
  <si>
    <t>000000043226-IF-001</t>
  </si>
  <si>
    <t>000000043225-IF-001</t>
  </si>
  <si>
    <t>000000043224-IF-001</t>
  </si>
  <si>
    <t>000000043223-IF-001</t>
  </si>
  <si>
    <t>000000043222-IF-001</t>
  </si>
  <si>
    <t>000000043221-IF-001</t>
  </si>
  <si>
    <t>000000043220-IF-001</t>
  </si>
  <si>
    <t>000000043219-IF-001</t>
  </si>
  <si>
    <t>000000043218-IF-001</t>
  </si>
  <si>
    <t>000000043217-IF-001</t>
  </si>
  <si>
    <t>000000043216-IF-001</t>
  </si>
  <si>
    <t>000000043215-IF-001</t>
  </si>
  <si>
    <t>ANDERSON QNN 17</t>
  </si>
  <si>
    <t>000000043214-IF-001</t>
  </si>
  <si>
    <t>000000043213-IF-001</t>
  </si>
  <si>
    <t>000000043212-IF-001</t>
  </si>
  <si>
    <t>000000043211-IF-001</t>
  </si>
  <si>
    <t>000000043210-IF-001</t>
  </si>
  <si>
    <t>213.978.721-87</t>
  </si>
  <si>
    <t>ANTONIO DE PADUA FERNANDO CANDIDO</t>
  </si>
  <si>
    <t>000000043209-IF-001</t>
  </si>
  <si>
    <t>08.438.081/0001-18</t>
  </si>
  <si>
    <t>PAULO PEREIRA DE SOUZA MANUTENCAO DE VEICULOS</t>
  </si>
  <si>
    <t>000000043208-IF-001</t>
  </si>
  <si>
    <t>000000043207-IF-001</t>
  </si>
  <si>
    <t>000000043206-IF-001</t>
  </si>
  <si>
    <t>000000043205-IF-001</t>
  </si>
  <si>
    <t>000000043204-IF-001</t>
  </si>
  <si>
    <t>000000031860-NF-1</t>
  </si>
  <si>
    <t>000000031859-NF-1</t>
  </si>
  <si>
    <t>000000031858-NF-1</t>
  </si>
  <si>
    <t>000000031857-NF-1</t>
  </si>
  <si>
    <t>000000031856-NF-1</t>
  </si>
  <si>
    <t>10.612.889/0001-11</t>
  </si>
  <si>
    <t>PORTOMAT SERV VALIM E DANTAS CONST LTDA</t>
  </si>
  <si>
    <t>000000031855-NF-1</t>
  </si>
  <si>
    <t>(01)020</t>
  </si>
  <si>
    <t>000000031854-NF-1</t>
  </si>
  <si>
    <t>000000031853-NF-1</t>
  </si>
  <si>
    <t>000000031852-NF-1</t>
  </si>
  <si>
    <t>000000031851-NF-1</t>
  </si>
  <si>
    <t>000000031850-NF-1</t>
  </si>
  <si>
    <t>000000031849-NF-1</t>
  </si>
  <si>
    <t>VOO LIVRE</t>
  </si>
  <si>
    <t>000000029099-IF-001</t>
  </si>
  <si>
    <t>317.928.713-68</t>
  </si>
  <si>
    <t>BASTO SOUSA</t>
  </si>
  <si>
    <t>000000029098-IF-001</t>
  </si>
  <si>
    <t>693.693.211-87</t>
  </si>
  <si>
    <t>000000029097-IF-001</t>
  </si>
  <si>
    <t>000000029096-IF-001</t>
  </si>
  <si>
    <t>000000029095-IF-001</t>
  </si>
  <si>
    <t>15.144.204/0001-73</t>
  </si>
  <si>
    <t>VALNEY A. DINIZ</t>
  </si>
  <si>
    <t>000000029094-IF-001</t>
  </si>
  <si>
    <t>ROBERTO</t>
  </si>
  <si>
    <t>000000029093-IF-001</t>
  </si>
  <si>
    <t>ALVARO</t>
  </si>
  <si>
    <t>000000029092-IF-001</t>
  </si>
  <si>
    <t>000000029091-IF-001</t>
  </si>
  <si>
    <t>000000029090-IF-001</t>
  </si>
  <si>
    <t>258.843.441-04</t>
  </si>
  <si>
    <t>JOSE MARIO DE ALMEIDA</t>
  </si>
  <si>
    <t>000000029089-IF-001</t>
  </si>
  <si>
    <t>000000029088-IF-001</t>
  </si>
  <si>
    <t>000000028814-IF-001</t>
  </si>
  <si>
    <t>000000028813-IF-001</t>
  </si>
  <si>
    <t>000000028812-IF-001</t>
  </si>
  <si>
    <t>000000028811-IF-001</t>
  </si>
  <si>
    <t>000000028810-IF-001</t>
  </si>
  <si>
    <t>000000028809-IF-001</t>
  </si>
  <si>
    <t>000000028808-IF-001</t>
  </si>
  <si>
    <t>000000028807-IF-001</t>
  </si>
  <si>
    <t>01.815.931/0001-00</t>
  </si>
  <si>
    <t>JJL LANTERNAGEM E PINTURA LTDA ME</t>
  </si>
  <si>
    <t>000000028806-IF-001</t>
  </si>
  <si>
    <t>000000028805-IF-001</t>
  </si>
  <si>
    <t>000000028804-IF-001</t>
  </si>
  <si>
    <t>34.086.838/0001-61</t>
  </si>
  <si>
    <t>PANAMERA MOTORS E ESTETICA AUTOMOTIVA LTDA</t>
  </si>
  <si>
    <t>000000028803-IF-001</t>
  </si>
  <si>
    <t>000000028802-IF-001</t>
  </si>
  <si>
    <t>000000028801-IF-001</t>
  </si>
  <si>
    <t>000000028800-IF-001</t>
  </si>
  <si>
    <t>000000028799-IF-001</t>
  </si>
  <si>
    <t>000000028798-IF-001</t>
  </si>
  <si>
    <t>000000024916-NF-001</t>
  </si>
  <si>
    <t>000000024915-NF-001</t>
  </si>
  <si>
    <t>33.967.547/0001-10</t>
  </si>
  <si>
    <t>BRASILIA SERV DE MIDIA EXT</t>
  </si>
  <si>
    <t>000000024914-NF-001</t>
  </si>
  <si>
    <t>13.098.359/0001-95</t>
  </si>
  <si>
    <t>PAPPAS SERVICO DE GRAVACAO</t>
  </si>
  <si>
    <t>000000024913-NF-001</t>
  </si>
  <si>
    <t>000000024912-NF-001</t>
  </si>
  <si>
    <t>238.791.301-91</t>
  </si>
  <si>
    <t>ANSELMO LOSCHI BESSA</t>
  </si>
  <si>
    <t>000000024911-NF-001</t>
  </si>
  <si>
    <t>143.109.960-00</t>
  </si>
  <si>
    <t>EGON OTTO REHN E OUTROS</t>
  </si>
  <si>
    <t>000000024910-NF-001</t>
  </si>
  <si>
    <t>000000024909-NF-001</t>
  </si>
  <si>
    <t>000000024908-NF-001</t>
  </si>
  <si>
    <t>01.247.000/0001-53</t>
  </si>
  <si>
    <t>MARCIO CAPPELLE RODRIGUES-ME</t>
  </si>
  <si>
    <t>000000024906-NF-001</t>
  </si>
  <si>
    <t>000000024905-NF-001</t>
  </si>
  <si>
    <t>000000021577-IF-001</t>
  </si>
  <si>
    <t>000000021576-IF-001</t>
  </si>
  <si>
    <t>000000021575-IF-001</t>
  </si>
  <si>
    <t>659.197.341-91</t>
  </si>
  <si>
    <t>PAULO CESAR MACHINI</t>
  </si>
  <si>
    <t>000000021574-IF-001</t>
  </si>
  <si>
    <t>EDIMILSON</t>
  </si>
  <si>
    <t>000000021573-IF-001</t>
  </si>
  <si>
    <t>000000021572-IF-001</t>
  </si>
  <si>
    <t>000000021571-IF-001</t>
  </si>
  <si>
    <t>LEANDRO</t>
  </si>
  <si>
    <t>000000021570-IF-001</t>
  </si>
  <si>
    <t>000000021569-IF-001</t>
  </si>
  <si>
    <t>000000021568-IF-001</t>
  </si>
  <si>
    <t>47.666.699/0001-97</t>
  </si>
  <si>
    <t>IVAN FERREIRA VELOSO</t>
  </si>
  <si>
    <t>000000021567-IF-001</t>
  </si>
  <si>
    <t>000000021566-IF-001</t>
  </si>
  <si>
    <t>000000021565-IF-001</t>
  </si>
  <si>
    <t>000000021564-IF-001</t>
  </si>
  <si>
    <t>000000021563-IF-001</t>
  </si>
  <si>
    <t>CICERO MATRIX</t>
  </si>
  <si>
    <t>000000021562-IF-001</t>
  </si>
  <si>
    <t>000000021561-IF-001</t>
  </si>
  <si>
    <t>09.001.704/0001-53</t>
  </si>
  <si>
    <t>SO LANTERNAGEM E PINTURA LTDA</t>
  </si>
  <si>
    <t>000000019580-IF-1</t>
  </si>
  <si>
    <t>000000019579-IF-1</t>
  </si>
  <si>
    <t>000000019578-IF-1</t>
  </si>
  <si>
    <t>000000019577-IF-1</t>
  </si>
  <si>
    <t>000000019576-IF-1</t>
  </si>
  <si>
    <t>000000019575-IF-1</t>
  </si>
  <si>
    <t>000000019574-IF-1</t>
  </si>
  <si>
    <t>000000019573-IF-1</t>
  </si>
  <si>
    <t>01.661.830/0001-22</t>
  </si>
  <si>
    <t>HILL HOUSE</t>
  </si>
  <si>
    <t>000000019572-IF-1</t>
  </si>
  <si>
    <t>000000019571-IF-1</t>
  </si>
  <si>
    <t>KALLEB</t>
  </si>
  <si>
    <t>000000019570-IF-1</t>
  </si>
  <si>
    <t>000000019569-IF-1</t>
  </si>
  <si>
    <t>JANSEN</t>
  </si>
  <si>
    <t>000000019568-IF-1</t>
  </si>
  <si>
    <t>000000019567-IF-1</t>
  </si>
  <si>
    <t>000000019566-IF-1</t>
  </si>
  <si>
    <t>000000019565-IF-1</t>
  </si>
  <si>
    <t>000000019564-IF-1</t>
  </si>
  <si>
    <t>000000019563-IF-1</t>
  </si>
  <si>
    <t>097.130.931-00</t>
  </si>
  <si>
    <t>000000019562-IF-1</t>
  </si>
  <si>
    <t>000000019561-IF-1</t>
  </si>
  <si>
    <t>000000019560-IF-1</t>
  </si>
  <si>
    <t>000000019381-IF-001</t>
  </si>
  <si>
    <t>000000019380-IF-001</t>
  </si>
  <si>
    <t>000000019379-IF-001</t>
  </si>
  <si>
    <t>000000019378-IF-001</t>
  </si>
  <si>
    <t>000000019377-IF-001</t>
  </si>
  <si>
    <t>000000019376-IF-001</t>
  </si>
  <si>
    <t>000000019375-IF-001</t>
  </si>
  <si>
    <t>000000019374-IF-001</t>
  </si>
  <si>
    <t>000000019373-IF-001</t>
  </si>
  <si>
    <t>000000019372-IF-001</t>
  </si>
  <si>
    <t>000000019371-IF-001</t>
  </si>
  <si>
    <t>000000019370-IF-001</t>
  </si>
  <si>
    <t>000000019369-IF-001</t>
  </si>
  <si>
    <t>000000019368-IF-001</t>
  </si>
  <si>
    <t>000000019367-IF-001</t>
  </si>
  <si>
    <t>000000019366-IF-001</t>
  </si>
  <si>
    <t>000000019365-IF-001</t>
  </si>
  <si>
    <t>000000019364-IF-001</t>
  </si>
  <si>
    <t>000000019363-IF-001</t>
  </si>
  <si>
    <t>000000019362-IF-001</t>
  </si>
  <si>
    <t>000000019361-IF-001</t>
  </si>
  <si>
    <t>000000019360-IF-001</t>
  </si>
  <si>
    <t>000000019359-IF-001</t>
  </si>
  <si>
    <t>42.089.856/0001-25</t>
  </si>
  <si>
    <t>42.089.856 EDUARDO OLIVEIRA DA SILVA</t>
  </si>
  <si>
    <t>000000019358-IF-001</t>
  </si>
  <si>
    <t>000000019357-IF-001</t>
  </si>
  <si>
    <t>000000019356-IF-001</t>
  </si>
  <si>
    <t>MARCÃO SOF SUL</t>
  </si>
  <si>
    <t>000000019355-IF-001</t>
  </si>
  <si>
    <t>000000019354-IF-001</t>
  </si>
  <si>
    <t>000000019353-IF-001</t>
  </si>
  <si>
    <t>000000019124-NF-001</t>
  </si>
  <si>
    <t>051.549.216-74</t>
  </si>
  <si>
    <t>ALEX KENDERSON FERREIRA (CHAPOLIN)</t>
  </si>
  <si>
    <t>000000019123-NF-001</t>
  </si>
  <si>
    <t>288.978.890-34</t>
  </si>
  <si>
    <t>SYLVIO GOMES RIBAS</t>
  </si>
  <si>
    <t>000000019122-NF-001</t>
  </si>
  <si>
    <t>000000019121-NF-001</t>
  </si>
  <si>
    <t>000000019120-NF-001</t>
  </si>
  <si>
    <t>000000019119-NF-001</t>
  </si>
  <si>
    <t>000000019118-NF-001</t>
  </si>
  <si>
    <t>000000019117-NF-001</t>
  </si>
  <si>
    <t>55.053.905/0001-11</t>
  </si>
  <si>
    <t>ZEMA CENTRO AUTOMOTIVO LTDA</t>
  </si>
  <si>
    <t>000000019116-NF-001</t>
  </si>
  <si>
    <t>784.098.451-72</t>
  </si>
  <si>
    <t>RICARDO MACEDO GUIMARÃES</t>
  </si>
  <si>
    <t>000000019115-NF-001</t>
  </si>
  <si>
    <t>03.310.028/0001-13</t>
  </si>
  <si>
    <t>GONCALVES DE QUEIROZ E QUEIROZ</t>
  </si>
  <si>
    <t>000000019114-NF-001</t>
  </si>
  <si>
    <t>000000019113-NF-001</t>
  </si>
  <si>
    <t>106.909.436-60</t>
  </si>
  <si>
    <t>ALCINDO SOUZA LIMA</t>
  </si>
  <si>
    <t>000000018007-IF-001</t>
  </si>
  <si>
    <t>13.393.546/0001-00</t>
  </si>
  <si>
    <t>RICARDO APARECIDO DE OLIVEIRA</t>
  </si>
  <si>
    <t>000000018006-IF-001</t>
  </si>
  <si>
    <t>123.232.426-44</t>
  </si>
  <si>
    <t>DANILO PINHEIRO GOMES</t>
  </si>
  <si>
    <t>000000018005-IF-001</t>
  </si>
  <si>
    <t>000000018004-IF-001</t>
  </si>
  <si>
    <t>000000016596-FF-001</t>
  </si>
  <si>
    <t>000000016595-FF-001</t>
  </si>
  <si>
    <t>000000016594-FF-001</t>
  </si>
  <si>
    <t>000000016593-FF-001</t>
  </si>
  <si>
    <t>JONATAN</t>
  </si>
  <si>
    <t>000000016592-FF-001</t>
  </si>
  <si>
    <t>000000016591-FF-001</t>
  </si>
  <si>
    <t>000000016590-FF-001</t>
  </si>
  <si>
    <t>000000016589-FF-001</t>
  </si>
  <si>
    <t>08.175.423/0001-54</t>
  </si>
  <si>
    <t>BOX RAPIDO SMAFF SIA</t>
  </si>
  <si>
    <t>000000016588-FF-001</t>
  </si>
  <si>
    <t>000000016587-FF-001</t>
  </si>
  <si>
    <t>000000016586-FF-001</t>
  </si>
  <si>
    <t>000000016585-FF-001</t>
  </si>
  <si>
    <t>000000016584-FF-001</t>
  </si>
  <si>
    <t>000000016583-FF-001</t>
  </si>
  <si>
    <t>000000016582-FF-001</t>
  </si>
  <si>
    <t>000000016581-FF-001</t>
  </si>
  <si>
    <t>25.196.963/0001-33</t>
  </si>
  <si>
    <t>KLEBER SERV. DE LANT. PINT. E MEC. EIRELI ME</t>
  </si>
  <si>
    <t>000000016580-FF-001</t>
  </si>
  <si>
    <t>000000016579-FF-001</t>
  </si>
  <si>
    <t>000000016578-FF-001</t>
  </si>
  <si>
    <t>000000016577-FF-001</t>
  </si>
  <si>
    <t>000000015035-NF-1</t>
  </si>
  <si>
    <t>000000015034-NF-1</t>
  </si>
  <si>
    <t>000000014701-FF-001</t>
  </si>
  <si>
    <t>000000014700-FF-001</t>
  </si>
  <si>
    <t>131.244.026-00</t>
  </si>
  <si>
    <t>CARLOS EDUARDO DOROTEU ANDRE</t>
  </si>
  <si>
    <t>000000014699-FF-001</t>
  </si>
  <si>
    <t>000000014698-FF-001</t>
  </si>
  <si>
    <t>000000014697-FF-001</t>
  </si>
  <si>
    <t>000000014696-FF-001</t>
  </si>
  <si>
    <t>MW VEICULOS</t>
  </si>
  <si>
    <t>000000014695-FF-001</t>
  </si>
  <si>
    <t>000000014694-FF-001</t>
  </si>
  <si>
    <t>000000014693-FF-001</t>
  </si>
  <si>
    <t>000000014692-FF-001</t>
  </si>
  <si>
    <t>000000014691-FF-001</t>
  </si>
  <si>
    <t>000000014690-FF-001</t>
  </si>
  <si>
    <t>000000014689-FF-001</t>
  </si>
  <si>
    <t>000000014688-FF-001</t>
  </si>
  <si>
    <t>000000014687-FF-001</t>
  </si>
  <si>
    <t>000000014686-FF-001</t>
  </si>
  <si>
    <t>000000014685-FF-001</t>
  </si>
  <si>
    <t>433.464.560-72</t>
  </si>
  <si>
    <t>JORGE CAMARGO</t>
  </si>
  <si>
    <t>000000014684-FF-001</t>
  </si>
  <si>
    <t>000000014683-FF-001</t>
  </si>
  <si>
    <t>000000014682-FF-001</t>
  </si>
  <si>
    <t>082.544.116-11</t>
  </si>
  <si>
    <t>RONEI LOPES RODRIGUES</t>
  </si>
  <si>
    <t>000000014681-FF-001</t>
  </si>
  <si>
    <t>000000014680-FF-001</t>
  </si>
  <si>
    <t>000000014679-FF-001</t>
  </si>
  <si>
    <t>000000014678-FF-001</t>
  </si>
  <si>
    <t>000000014677-FF-001</t>
  </si>
  <si>
    <t>000000014676-FF-001</t>
  </si>
  <si>
    <t>000000014675-FF-001</t>
  </si>
  <si>
    <t>470.400.926-20</t>
  </si>
  <si>
    <t>ULISSES NOIGUEIRA</t>
  </si>
  <si>
    <t>000000014674-FF-001</t>
  </si>
  <si>
    <t>000000014673-FF-001</t>
  </si>
  <si>
    <t>069.183.186-67</t>
  </si>
  <si>
    <t>FERNANDO KURTEN RODRIGUES</t>
  </si>
  <si>
    <t>000000014672-FF-001</t>
  </si>
  <si>
    <t>000000014671-FF-001</t>
  </si>
  <si>
    <t>000000014670-FF-001</t>
  </si>
  <si>
    <t>000000014669-FF-001</t>
  </si>
  <si>
    <t>000000014316-FF-001</t>
  </si>
  <si>
    <t>000000014315-FF-001</t>
  </si>
  <si>
    <t>000000014314-FF-001</t>
  </si>
  <si>
    <t>000000014313-FF-001</t>
  </si>
  <si>
    <t>808.688.271-34</t>
  </si>
  <si>
    <t>AUTO DETALHE</t>
  </si>
  <si>
    <t>000000014312-FF-001</t>
  </si>
  <si>
    <t>000000014311-FF-001</t>
  </si>
  <si>
    <t>000000014310-FF-001</t>
  </si>
  <si>
    <t>000000014309-FF-001</t>
  </si>
  <si>
    <t>000000014308-FF-001</t>
  </si>
  <si>
    <t>000000014307-FF-001</t>
  </si>
  <si>
    <t>000000014306-FF-001</t>
  </si>
  <si>
    <t>000000014305-FF-001</t>
  </si>
  <si>
    <t>000000014304-FF-001</t>
  </si>
  <si>
    <t>000000014303-FF-001</t>
  </si>
  <si>
    <t>57.252.094/0001-03</t>
  </si>
  <si>
    <t>57.252.094 DEUZIMAR ARAUJO</t>
  </si>
  <si>
    <t>000000014302-FF-001</t>
  </si>
  <si>
    <t>000000014301-FF-001</t>
  </si>
  <si>
    <t>000000014300-FF-001</t>
  </si>
  <si>
    <t>000000014299-FF-001</t>
  </si>
  <si>
    <t>379.765.591-68</t>
  </si>
  <si>
    <t>JOAO CARLOS ALVES DOS SANTOS</t>
  </si>
  <si>
    <t>000000014298-FF-001</t>
  </si>
  <si>
    <t>000000009322-NF-001</t>
  </si>
  <si>
    <t>000000009321-NF-001</t>
  </si>
  <si>
    <t>000000009320-NF-001</t>
  </si>
  <si>
    <t>000000009319-NF-001</t>
  </si>
  <si>
    <t>000000009317-NF-001</t>
  </si>
  <si>
    <t>000000009316-NF-001</t>
  </si>
  <si>
    <t>000000009315-NF-001</t>
  </si>
  <si>
    <t>024.011.021-83</t>
  </si>
  <si>
    <t>LUCAS OLIVEIRA DE SOUSA</t>
  </si>
  <si>
    <t>000000009314-NF-001</t>
  </si>
  <si>
    <t>000000009313-NF-001</t>
  </si>
  <si>
    <t>34.423.895/0001-99</t>
  </si>
  <si>
    <t>SIA PLACK SOLUCOES MATERIAIS LTDA</t>
  </si>
  <si>
    <t>000000009312-NF-001</t>
  </si>
  <si>
    <t>000000007795-FF-001</t>
  </si>
  <si>
    <t>000000007793-FF-001</t>
  </si>
  <si>
    <t>000000007792-FF-001</t>
  </si>
  <si>
    <t>000000007791-FF-001</t>
  </si>
  <si>
    <t>000000007790-FF-001</t>
  </si>
  <si>
    <t>000000007789-FF-001</t>
  </si>
  <si>
    <t>000000007788-FF-001</t>
  </si>
  <si>
    <t>000000007787-FF-001</t>
  </si>
  <si>
    <t>(01)005</t>
  </si>
  <si>
    <t>000000007786-FF-001</t>
  </si>
  <si>
    <t>000000006916-FF-001</t>
  </si>
  <si>
    <t>000000006915-FF-001</t>
  </si>
  <si>
    <t>000000006914-FF-001</t>
  </si>
  <si>
    <t>000000006913-FF-001</t>
  </si>
  <si>
    <t>000000006912-FF-001</t>
  </si>
  <si>
    <t>000000006740-IF-001</t>
  </si>
  <si>
    <t>000000006739-IF-001</t>
  </si>
  <si>
    <t>000000006738-IF-001</t>
  </si>
  <si>
    <t>000000006737-IF-001</t>
  </si>
  <si>
    <t>000000006736-IF-001</t>
  </si>
  <si>
    <t>000000006735-IF-001</t>
  </si>
  <si>
    <t>000000006734-IF-001</t>
  </si>
  <si>
    <t>35.333.477/0001-73</t>
  </si>
  <si>
    <t>FLASH BACK PINTURA</t>
  </si>
  <si>
    <t>000000006733-IF-001</t>
  </si>
  <si>
    <t>000000006732-IF-001</t>
  </si>
  <si>
    <t>000000006731-IF-001</t>
  </si>
  <si>
    <t>000000006730-IF-001</t>
  </si>
  <si>
    <t>000000006729-IF-001</t>
  </si>
  <si>
    <t>000000006728-IF-001</t>
  </si>
  <si>
    <t>000000006727-IF-001</t>
  </si>
  <si>
    <t>000000006726-IF-001</t>
  </si>
  <si>
    <t>000000006725-IF-001</t>
  </si>
  <si>
    <t>006.187.341-12</t>
  </si>
  <si>
    <t>NICODEMOS</t>
  </si>
  <si>
    <t>000000006724-IF-001</t>
  </si>
  <si>
    <t>000000006723-IF-001</t>
  </si>
  <si>
    <t>617.518.981-72</t>
  </si>
  <si>
    <t>EURIMAR SOUSA DE JESUS</t>
  </si>
  <si>
    <t>000000006722-IF-001</t>
  </si>
  <si>
    <t>000000006721-IF-001</t>
  </si>
  <si>
    <t>000000006720-IF-001</t>
  </si>
  <si>
    <t>849.565.421-00</t>
  </si>
  <si>
    <t>JADSON DA SILVA PORTO</t>
  </si>
  <si>
    <t>000000006719-IF-001</t>
  </si>
  <si>
    <t>000000006718-IF-001</t>
  </si>
  <si>
    <t>000000006717-IF-001</t>
  </si>
  <si>
    <t>000000006716-IF-001</t>
  </si>
  <si>
    <t>000000006715-IF-001</t>
  </si>
  <si>
    <t>000000006714-IF-001</t>
  </si>
  <si>
    <t>000000006713-IF-001</t>
  </si>
  <si>
    <t>000000006712-IF-001</t>
  </si>
  <si>
    <t>000000006711-IF-001</t>
  </si>
  <si>
    <t>000000006710-IF-001</t>
  </si>
  <si>
    <t>000000006709-IF-001</t>
  </si>
  <si>
    <t>ADAO</t>
  </si>
  <si>
    <t>000000006708-IF-001</t>
  </si>
  <si>
    <t>000000006707-IF-001</t>
  </si>
  <si>
    <t>000000006706-IF-001</t>
  </si>
  <si>
    <t>000000006705-IF-001</t>
  </si>
  <si>
    <t>000000006704-IF-001</t>
  </si>
  <si>
    <t>000000006703-IF-001</t>
  </si>
  <si>
    <t>000000006702-IF-001</t>
  </si>
  <si>
    <t>58.058.985/0001-96</t>
  </si>
  <si>
    <t>MARCOS AURELIO SOUZA LISBOA</t>
  </si>
  <si>
    <t>000000006701-IF-001</t>
  </si>
  <si>
    <t>000000006700-IF-001</t>
  </si>
  <si>
    <t>000000006699-IF-001</t>
  </si>
  <si>
    <t>000000006698-IF-001</t>
  </si>
  <si>
    <t>000000006697-IF-001</t>
  </si>
  <si>
    <t>000000006696-IF-001</t>
  </si>
  <si>
    <t>000000006695-IF-001</t>
  </si>
  <si>
    <t>FARIAS</t>
  </si>
  <si>
    <t>000000006694-IF-001</t>
  </si>
  <si>
    <t>000000006693-IF-001</t>
  </si>
  <si>
    <t>000000006692-IF-001</t>
  </si>
  <si>
    <t>000000006691-IF-001</t>
  </si>
  <si>
    <t>000000006690-IF-001</t>
  </si>
  <si>
    <t>FERREIRA</t>
  </si>
  <si>
    <t>000000006689-IF-001</t>
  </si>
  <si>
    <t>000000006688-IF-001</t>
  </si>
  <si>
    <t>000000006687-IF-001</t>
  </si>
  <si>
    <t>260.492.521-49</t>
  </si>
  <si>
    <t>PAULO AUGUSTO DO CORAÇAO DE JESUS</t>
  </si>
  <si>
    <t>000000006686-IF-001</t>
  </si>
  <si>
    <t>000000006685-IF-001</t>
  </si>
  <si>
    <t>000000006684-IF-001</t>
  </si>
  <si>
    <t>000000003804-NF-001</t>
  </si>
  <si>
    <t>000000003803-NF-001</t>
  </si>
  <si>
    <t>000000003802-NF-001</t>
  </si>
  <si>
    <t>000000003801-NF-001</t>
  </si>
  <si>
    <t>000000003800-NF-001</t>
  </si>
  <si>
    <t>58.876.868/0001-30</t>
  </si>
  <si>
    <t>ATHOS DESIGN LTDA</t>
  </si>
  <si>
    <t>000000003798-NF-001</t>
  </si>
  <si>
    <t>000000003797-NF-001</t>
  </si>
  <si>
    <t>000000003796-NF-001</t>
  </si>
  <si>
    <t>000000003795-NF-001</t>
  </si>
  <si>
    <t>55.230.126/0001-44</t>
  </si>
  <si>
    <t>MIDNIGHT RACING CAR TEAM LTDA</t>
  </si>
  <si>
    <t>000000003794-NF-001</t>
  </si>
  <si>
    <t>000000003176-NF-001</t>
  </si>
  <si>
    <t>000000003175-NF-001</t>
  </si>
  <si>
    <t>000000001403-FF-001</t>
  </si>
  <si>
    <t>000000001402-FF-001</t>
  </si>
  <si>
    <t>000000000905-FF-001</t>
  </si>
  <si>
    <t>000000000904-FF-001</t>
  </si>
  <si>
    <t>35.687.178/0001-37</t>
  </si>
  <si>
    <t>LOUAN BERIQUIS DA SILVA LIMA</t>
  </si>
  <si>
    <t>000000000903-FF-001</t>
  </si>
  <si>
    <t>000000000843-NF-001</t>
  </si>
  <si>
    <t>000000000842-NF-001</t>
  </si>
  <si>
    <t>(01)028</t>
  </si>
  <si>
    <t>55.236.676/0001-70</t>
  </si>
  <si>
    <t>AUTO POSTO NATURAL</t>
  </si>
  <si>
    <t>000000000841-NF-001</t>
  </si>
  <si>
    <t>63.372.638/0001-73</t>
  </si>
  <si>
    <t>BARBOSA E ROCHA TRANSPORTES LTDA</t>
  </si>
  <si>
    <t>000000000840-NF-001</t>
  </si>
  <si>
    <t>44.804.584/0001-23</t>
  </si>
  <si>
    <t>FOX COMERCIAL DE TINTAS LTDA</t>
  </si>
  <si>
    <t>000000000839-NF-001</t>
  </si>
  <si>
    <t>000000000838-NF-001</t>
  </si>
  <si>
    <t>000000000837-NF-001</t>
  </si>
  <si>
    <t>000000000836-NF-001</t>
  </si>
  <si>
    <t>000000055367-IF-1</t>
  </si>
  <si>
    <t>000000055366-IF-1</t>
  </si>
  <si>
    <t>ROLLS ROYCE</t>
  </si>
  <si>
    <t>000000055365-IF-1</t>
  </si>
  <si>
    <t>000000055364-IF-1</t>
  </si>
  <si>
    <t>000000055363-IF-1</t>
  </si>
  <si>
    <t>000000055362-IF-1</t>
  </si>
  <si>
    <t>000000055361-IF-1</t>
  </si>
  <si>
    <t>(01)050</t>
  </si>
  <si>
    <t>000000043203-IF-001</t>
  </si>
  <si>
    <t>000000043202-IF-001</t>
  </si>
  <si>
    <t>000000043201-IF-001</t>
  </si>
  <si>
    <t>000000043200-IF-001</t>
  </si>
  <si>
    <t>000000043199-IF-001</t>
  </si>
  <si>
    <t>781.639.431-49</t>
  </si>
  <si>
    <t>ILSON ALVES FERREIRA</t>
  </si>
  <si>
    <t>000000043198-IF-001</t>
  </si>
  <si>
    <t>000000043197-IF-001</t>
  </si>
  <si>
    <t>04.702.442/0001-30</t>
  </si>
  <si>
    <t>ADONAI TRANSPORTE LTDA</t>
  </si>
  <si>
    <t>000000043196-IF-001</t>
  </si>
  <si>
    <t>000000043195-IF-001</t>
  </si>
  <si>
    <t>000000029087-IF-001</t>
  </si>
  <si>
    <t>000000029086-IF-001</t>
  </si>
  <si>
    <t>PAULAO</t>
  </si>
  <si>
    <t>000000029085-IF-001</t>
  </si>
  <si>
    <t>000000029084-IF-001</t>
  </si>
  <si>
    <t>000000029083-IF-001</t>
  </si>
  <si>
    <t>FERNANDO</t>
  </si>
  <si>
    <t>000000029082-IF-001</t>
  </si>
  <si>
    <t>NAILSON</t>
  </si>
  <si>
    <t>000000029081-IF-001</t>
  </si>
  <si>
    <t>42.024.573/0001-03</t>
  </si>
  <si>
    <t>OFICINA DE PESCA EIRELI</t>
  </si>
  <si>
    <t>000000029080-IF-001</t>
  </si>
  <si>
    <t>707.955.091-20</t>
  </si>
  <si>
    <t>HUMBERTO MORAES</t>
  </si>
  <si>
    <t>000000029079-IF-001</t>
  </si>
  <si>
    <t>000000029078-IF-001</t>
  </si>
  <si>
    <t>000000029077-IF-001</t>
  </si>
  <si>
    <t>000000029076-IF-001</t>
  </si>
  <si>
    <t>JOSE.</t>
  </si>
  <si>
    <t>000000029075-IF-001</t>
  </si>
  <si>
    <t>000000028797-IF-001</t>
  </si>
  <si>
    <t>000000028796-IF-001</t>
  </si>
  <si>
    <t>000000028795-IF-001</t>
  </si>
  <si>
    <t>000000028794-IF-001</t>
  </si>
  <si>
    <t>000000028793-IF-001</t>
  </si>
  <si>
    <t>EVANDRO</t>
  </si>
  <si>
    <t>000000028792-IF-001</t>
  </si>
  <si>
    <t>000000028791-IF-001</t>
  </si>
  <si>
    <t>000000028790-IF-001</t>
  </si>
  <si>
    <t>000000028789-IF-001</t>
  </si>
  <si>
    <t>(01)022</t>
  </si>
  <si>
    <t>000000028788-IF-001</t>
  </si>
  <si>
    <t>000000028787-IF-001</t>
  </si>
  <si>
    <t>000000028786-IF-001</t>
  </si>
  <si>
    <t>000000028785-IF-001</t>
  </si>
  <si>
    <t>000000028784-IF-001</t>
  </si>
  <si>
    <t>497.086.786-00</t>
  </si>
  <si>
    <t>HELIO YASSUO TANABE</t>
  </si>
  <si>
    <t>000000024904-NF-001</t>
  </si>
  <si>
    <t>26.551.203/0001-60</t>
  </si>
  <si>
    <t>CHARLES PEREIRA DA SILVA ME</t>
  </si>
  <si>
    <t>000000024903-NF-001</t>
  </si>
  <si>
    <t>000000021560-IF-001</t>
  </si>
  <si>
    <t>000000021559-IF-001</t>
  </si>
  <si>
    <t>000000021558-IF-001</t>
  </si>
  <si>
    <t>000000021557-IF-001</t>
  </si>
  <si>
    <t>000000021556-IF-001</t>
  </si>
  <si>
    <t>000000021555-IF-001</t>
  </si>
  <si>
    <t>000000021554-IF-001</t>
  </si>
  <si>
    <t>000000021553-IF-001</t>
  </si>
  <si>
    <t>000000021552-IF-001</t>
  </si>
  <si>
    <t>WELLIGTON</t>
  </si>
  <si>
    <t>000000019559-IF-1</t>
  </si>
  <si>
    <t>797.984.971-04</t>
  </si>
  <si>
    <t>JOSIMAR ALVES DA SILVA</t>
  </si>
  <si>
    <t>000000019558-IF-1</t>
  </si>
  <si>
    <t>000000019557-IF-1</t>
  </si>
  <si>
    <t>000000019556-IF-1</t>
  </si>
  <si>
    <t>000000019555-IF-1</t>
  </si>
  <si>
    <t>059.529.196-18</t>
  </si>
  <si>
    <t>000000019554-IF-1</t>
  </si>
  <si>
    <t>827.707.601-06</t>
  </si>
  <si>
    <t>EMERSON</t>
  </si>
  <si>
    <t>000000019553-IF-1</t>
  </si>
  <si>
    <t>000000019352-IF-001</t>
  </si>
  <si>
    <t>000000019351-IF-001</t>
  </si>
  <si>
    <t>000000019350-IF-001</t>
  </si>
  <si>
    <t>000000019349-IF-001</t>
  </si>
  <si>
    <t>000000019348-IF-001</t>
  </si>
  <si>
    <t>000000019347-IF-001</t>
  </si>
  <si>
    <t>000000019346-IF-001</t>
  </si>
  <si>
    <t>000000019345-IF-001</t>
  </si>
  <si>
    <t>ART RESTAURO</t>
  </si>
  <si>
    <t>000000019344-IF-001</t>
  </si>
  <si>
    <t>000000019343-IF-001</t>
  </si>
  <si>
    <t>000000019342-IF-001</t>
  </si>
  <si>
    <t>000000019341-IF-001</t>
  </si>
  <si>
    <t>000000019340-IF-001</t>
  </si>
  <si>
    <t>000000019339-IF-001</t>
  </si>
  <si>
    <t>000000019338-IF-001</t>
  </si>
  <si>
    <t>000000019337-IF-001</t>
  </si>
  <si>
    <t>MARTELINHO</t>
  </si>
  <si>
    <t>000000019336-IF-001</t>
  </si>
  <si>
    <t>775.818.811-72</t>
  </si>
  <si>
    <t>000000019335-IF-001</t>
  </si>
  <si>
    <t>000000019334-IF-001</t>
  </si>
  <si>
    <t>000000019333-IF-001</t>
  </si>
  <si>
    <t>000000019332-IF-001</t>
  </si>
  <si>
    <t>000000019331-IF-001</t>
  </si>
  <si>
    <t>036.131.061-75</t>
  </si>
  <si>
    <t>LUIS JUNIO SANTOS DE SOUSA</t>
  </si>
  <si>
    <t>000000019112-NF-001</t>
  </si>
  <si>
    <t>000000019111-NF-001</t>
  </si>
  <si>
    <t>000000019110-NF-001</t>
  </si>
  <si>
    <t>000000018003-IF-001</t>
  </si>
  <si>
    <t>000000014668-FF-001</t>
  </si>
  <si>
    <t>000000014667-FF-001</t>
  </si>
  <si>
    <t>000000014666-FF-001</t>
  </si>
  <si>
    <t>130.925.316-12</t>
  </si>
  <si>
    <t>RODRIGO NUNES GONTIJO</t>
  </si>
  <si>
    <t>000000014665-FF-001</t>
  </si>
  <si>
    <t>547.910.576-00</t>
  </si>
  <si>
    <t>EDMARCOS BRAGA ANDRADE</t>
  </si>
  <si>
    <t>000000014664-FF-001</t>
  </si>
  <si>
    <t>000000014663-FF-001</t>
  </si>
  <si>
    <t>000000014662-FF-001</t>
  </si>
  <si>
    <t>000000014661-FF-001</t>
  </si>
  <si>
    <t>000000014660-FF-001</t>
  </si>
  <si>
    <t>000000014659-FF-001</t>
  </si>
  <si>
    <t>000000014658-FF-001</t>
  </si>
  <si>
    <t>000000014657-FF-001</t>
  </si>
  <si>
    <t>000000014656-FF-001</t>
  </si>
  <si>
    <t>000000014655-FF-001</t>
  </si>
  <si>
    <t>000000014654-FF-001</t>
  </si>
  <si>
    <t>000000014297-FF-001</t>
  </si>
  <si>
    <t>000000014296-FF-001</t>
  </si>
  <si>
    <t>000000014295-FF-001</t>
  </si>
  <si>
    <t>000000009311-NF-001</t>
  </si>
  <si>
    <t>000000009310-NF-001</t>
  </si>
  <si>
    <t>000000009309-NF-001</t>
  </si>
  <si>
    <t>000000006683-IF-001</t>
  </si>
  <si>
    <t>000000006682-IF-001</t>
  </si>
  <si>
    <t>000000006681-IF-001</t>
  </si>
  <si>
    <t>000000006680-IF-001</t>
  </si>
  <si>
    <t>000000006679-IF-001</t>
  </si>
  <si>
    <t>000000006678-IF-001</t>
  </si>
  <si>
    <t>000000006677-IF-001</t>
  </si>
  <si>
    <t>000000006676-IF-001</t>
  </si>
  <si>
    <t>000000006675-IF-001</t>
  </si>
  <si>
    <t>000000006674-IF-001</t>
  </si>
  <si>
    <t>000000006673-IF-001</t>
  </si>
  <si>
    <t>000000006672-IF-001</t>
  </si>
  <si>
    <t>FABRICIO CAVALCANTE -</t>
  </si>
  <si>
    <t>000000006671-IF-001</t>
  </si>
  <si>
    <t>000000006670-IF-001</t>
  </si>
  <si>
    <t>047.210.971-58</t>
  </si>
  <si>
    <t>TIAGO CARDOSO DA SILVA - POLIDOR</t>
  </si>
  <si>
    <t>000000006669-IF-001</t>
  </si>
  <si>
    <t>000000006668-IF-001</t>
  </si>
  <si>
    <t>000000006667-IF-001</t>
  </si>
  <si>
    <t>000000003793-NF-001</t>
  </si>
  <si>
    <t>000000003792-NF-001</t>
  </si>
  <si>
    <t>000000000902-FF-001</t>
  </si>
  <si>
    <t>000000000835-NF-001</t>
  </si>
  <si>
    <t>NETO</t>
  </si>
  <si>
    <t>000000055360-IF-1</t>
  </si>
  <si>
    <t>000000055359-IF-1</t>
  </si>
  <si>
    <t>000000055358-IF-1</t>
  </si>
  <si>
    <t>000000055357-IF-1</t>
  </si>
  <si>
    <t>046.581.551-09</t>
  </si>
  <si>
    <t>APARECIDO MANOEL CARDOSO SOUSA</t>
  </si>
  <si>
    <t>000000055356-IF-1</t>
  </si>
  <si>
    <t>000000043194-IF-001</t>
  </si>
  <si>
    <t>000000043193-IF-001</t>
  </si>
  <si>
    <t>000000043192-IF-001</t>
  </si>
  <si>
    <t>000000043191-IF-001</t>
  </si>
  <si>
    <t>000000043190-IF-001</t>
  </si>
  <si>
    <t>000000043189-IF-001</t>
  </si>
  <si>
    <t>000000043188-IF-001</t>
  </si>
  <si>
    <t>LEOMILTON</t>
  </si>
  <si>
    <t>000000043187-IF-001</t>
  </si>
  <si>
    <t>000000043186-IF-001</t>
  </si>
  <si>
    <t>000000043185-IF-001</t>
  </si>
  <si>
    <t>000000043184-IF-001</t>
  </si>
  <si>
    <t>000000043183-IF-001</t>
  </si>
  <si>
    <t>000000043182-IF-001</t>
  </si>
  <si>
    <t>000000043181-IF-001</t>
  </si>
  <si>
    <t>000000043180-IF-001</t>
  </si>
  <si>
    <t>000000043179-IF-001</t>
  </si>
  <si>
    <t>000000043178-IF-001</t>
  </si>
  <si>
    <t>000000043177-IF-001</t>
  </si>
  <si>
    <t>000000043176-IF-001</t>
  </si>
  <si>
    <t>000000043175-IF-001</t>
  </si>
  <si>
    <t>000000043174-IF-001</t>
  </si>
  <si>
    <t>000000043173-IF-001</t>
  </si>
  <si>
    <t>000000043172-IF-001</t>
  </si>
  <si>
    <t>JEAN</t>
  </si>
  <si>
    <t>000000043171-IF-001</t>
  </si>
  <si>
    <t>000000043170-IF-001</t>
  </si>
  <si>
    <t>018.618.258-97</t>
  </si>
  <si>
    <t>ODEVANIR SPADA</t>
  </si>
  <si>
    <t>000000043169-IF-001</t>
  </si>
  <si>
    <t>55.964.885/0001-30</t>
  </si>
  <si>
    <t>GSB DISTRIBUICAO LTDA</t>
  </si>
  <si>
    <t>000000031848-NF-1</t>
  </si>
  <si>
    <t>53.566.281/0001-00</t>
  </si>
  <si>
    <t>VERAS CENTRO AUTOMOTIVO LTDA</t>
  </si>
  <si>
    <t>000000031847-NF-1</t>
  </si>
  <si>
    <t>000000031846-NF-1</t>
  </si>
  <si>
    <t>000000031845-NF-1</t>
  </si>
  <si>
    <t>000000031844-NF-1</t>
  </si>
  <si>
    <t>000000031843-NF-1</t>
  </si>
  <si>
    <t>33.456.508/0001-58</t>
  </si>
  <si>
    <t>J.S SERVIÇOS ADMINSTRATIVOS C</t>
  </si>
  <si>
    <t>000000031842-NF-1</t>
  </si>
  <si>
    <t>000000031841-NF-1</t>
  </si>
  <si>
    <t>000000031840-NF-1</t>
  </si>
  <si>
    <t>505.769.091-49</t>
  </si>
  <si>
    <t>000000029074-IF-001</t>
  </si>
  <si>
    <t>000000029073-IF-001</t>
  </si>
  <si>
    <t>000000029072-IF-001</t>
  </si>
  <si>
    <t>577.437.541-20</t>
  </si>
  <si>
    <t>DARLI GOMES</t>
  </si>
  <si>
    <t>000000029071-IF-001</t>
  </si>
  <si>
    <t>000000029070-IF-001</t>
  </si>
  <si>
    <t>000000029069-IF-001</t>
  </si>
  <si>
    <t>000000029068-IF-001</t>
  </si>
  <si>
    <t>000000029067-IF-001</t>
  </si>
  <si>
    <t>ARAMIS</t>
  </si>
  <si>
    <t>000000029066-IF-001</t>
  </si>
  <si>
    <t>102.466.301-91</t>
  </si>
  <si>
    <t>FERNANDO FERNANDES</t>
  </si>
  <si>
    <t>000000029065-IF-001</t>
  </si>
  <si>
    <t>000000029064-IF-001</t>
  </si>
  <si>
    <t>ANDRE (BIBI)</t>
  </si>
  <si>
    <t>000000029063-IF-001</t>
  </si>
  <si>
    <t>(01)023</t>
  </si>
  <si>
    <t>000000028783-IF-001</t>
  </si>
  <si>
    <t>000000028782-IF-001</t>
  </si>
  <si>
    <t>000000028781-IF-001</t>
  </si>
  <si>
    <t>000000028780-IF-001</t>
  </si>
  <si>
    <t>000000028779-IF-001</t>
  </si>
  <si>
    <t>000000028778-IF-001</t>
  </si>
  <si>
    <t>LIMA</t>
  </si>
  <si>
    <t>000000028777-IF-001</t>
  </si>
  <si>
    <t>18.567.729/0001-00</t>
  </si>
  <si>
    <t>ARR LANTERNAGEM E MARTELINHO DE OURO LTDA</t>
  </si>
  <si>
    <t>000000028776-IF-001</t>
  </si>
  <si>
    <t>000000028775-IF-001</t>
  </si>
  <si>
    <t>000000028774-IF-001</t>
  </si>
  <si>
    <t>000000028773-IF-001</t>
  </si>
  <si>
    <t>000000028772-IF-001</t>
  </si>
  <si>
    <t>000000028771-IF-001</t>
  </si>
  <si>
    <t>000000028770-IF-001</t>
  </si>
  <si>
    <t>000000028769-IF-001</t>
  </si>
  <si>
    <t>KELLY ACADEMIA</t>
  </si>
  <si>
    <t>000000028768-IF-001</t>
  </si>
  <si>
    <t>000000028767-IF-001</t>
  </si>
  <si>
    <t>MAURICIO</t>
  </si>
  <si>
    <t>000000028766-IF-001</t>
  </si>
  <si>
    <t>000000028765-IF-001</t>
  </si>
  <si>
    <t>000000028764-IF-001</t>
  </si>
  <si>
    <t>000000028763-IF-001</t>
  </si>
  <si>
    <t>000000028762-IF-001</t>
  </si>
  <si>
    <t>000000028761-IF-001</t>
  </si>
  <si>
    <t>000000028760-IF-001</t>
  </si>
  <si>
    <t>000000028759-IF-001</t>
  </si>
  <si>
    <t>13.615.577/0001-50</t>
  </si>
  <si>
    <t>DI SALVATORE MOVEIS LTDA</t>
  </si>
  <si>
    <t>000000024902-NF-001</t>
  </si>
  <si>
    <t>853.664.555-53</t>
  </si>
  <si>
    <t>SANDRO RIBEIRO PRIMO</t>
  </si>
  <si>
    <t>000000024901-NF-001</t>
  </si>
  <si>
    <t>000000024900-NF-001</t>
  </si>
  <si>
    <t>000000024899-NF-001</t>
  </si>
  <si>
    <t>000000024898-NF-001</t>
  </si>
  <si>
    <t>000000024897-NF-001</t>
  </si>
  <si>
    <t>696.798.431-49</t>
  </si>
  <si>
    <t>MARDEN ESTENIO MACEDO</t>
  </si>
  <si>
    <t>000000024896-NF-001</t>
  </si>
  <si>
    <t>55.261.699/0001-35</t>
  </si>
  <si>
    <t>ISOFEN MOBI LTDA</t>
  </si>
  <si>
    <t>000000024895-NF-001</t>
  </si>
  <si>
    <t>000000024894-NF-001</t>
  </si>
  <si>
    <t>043.696.011-77</t>
  </si>
  <si>
    <t>MAXUEL GUIMARAES</t>
  </si>
  <si>
    <t>000000024893-NF-001</t>
  </si>
  <si>
    <t>04.719.284/0001-21</t>
  </si>
  <si>
    <t>FREEDOM MOTORS LTDA</t>
  </si>
  <si>
    <t>000000024892-NF-001</t>
  </si>
  <si>
    <t>14.048.076/0001-00</t>
  </si>
  <si>
    <t>TECNA CONSTRUTORA LTDA</t>
  </si>
  <si>
    <t>000000024891-NF-001</t>
  </si>
  <si>
    <t>31.676.209/0001-01</t>
  </si>
  <si>
    <t>RS CONSULTORIA GESTAO EMPRESARIAL LTDA</t>
  </si>
  <si>
    <t>000000024890-NF-001</t>
  </si>
  <si>
    <t>000000024889-NF-001</t>
  </si>
  <si>
    <t>000000024888-NF-001</t>
  </si>
  <si>
    <t>02.594.203/0001-89</t>
  </si>
  <si>
    <t>GOLD GUINDASTES E TRANSPORTES LTDA. EPP</t>
  </si>
  <si>
    <t>000000024887-NF-001</t>
  </si>
  <si>
    <t>000000024886-NF-001</t>
  </si>
  <si>
    <t>VALDECI</t>
  </si>
  <si>
    <t>000000021551-IF-001</t>
  </si>
  <si>
    <t>000000021550-IF-001</t>
  </si>
  <si>
    <t>NILSON AGUAS BONITAS 1</t>
  </si>
  <si>
    <t>000000021549-IF-001</t>
  </si>
  <si>
    <t>000000021548-IF-001</t>
  </si>
  <si>
    <t>ELI</t>
  </si>
  <si>
    <t>000000021547-IF-001</t>
  </si>
  <si>
    <t>000000021546-IF-001</t>
  </si>
  <si>
    <t>008.720.386-37</t>
  </si>
  <si>
    <t>ERIVALDO RODRIGUES DA ROCHA</t>
  </si>
  <si>
    <t>000000021545-IF-001</t>
  </si>
  <si>
    <t>000000021544-IF-001</t>
  </si>
  <si>
    <t>000000021543-IF-001</t>
  </si>
  <si>
    <t>000000021542-IF-001</t>
  </si>
  <si>
    <t>000000021541-IF-001</t>
  </si>
  <si>
    <t>WILLIAN</t>
  </si>
  <si>
    <t>000000021540-IF-001</t>
  </si>
  <si>
    <t>000000021539-IF-001</t>
  </si>
  <si>
    <t>000000021538-IF-001</t>
  </si>
  <si>
    <t>000000021537-IF-001</t>
  </si>
  <si>
    <t>611.067.471-00</t>
  </si>
  <si>
    <t>ADAIR FELIX BARBOSA</t>
  </si>
  <si>
    <t>000000021536-IF-001</t>
  </si>
  <si>
    <t>000000021535-IF-001</t>
  </si>
  <si>
    <t>000000019552-IF-1</t>
  </si>
  <si>
    <t>000000019551-IF-1</t>
  </si>
  <si>
    <t>000000019550-IF-1</t>
  </si>
  <si>
    <t>000000019549-IF-1</t>
  </si>
  <si>
    <t>000000019548-IF-1</t>
  </si>
  <si>
    <t>ALEX</t>
  </si>
  <si>
    <t>000000019547-IF-1</t>
  </si>
  <si>
    <t>000000019546-IF-1</t>
  </si>
  <si>
    <t>000000019545-IF-1</t>
  </si>
  <si>
    <t>000000019544-IF-1</t>
  </si>
  <si>
    <t>000000019543-IF-1</t>
  </si>
  <si>
    <t>000000019330-IF-001</t>
  </si>
  <si>
    <t>000000019329-IF-001</t>
  </si>
  <si>
    <t>000000019328-IF-001</t>
  </si>
  <si>
    <t>000000019327-IF-001</t>
  </si>
  <si>
    <t>000000019326-IF-001</t>
  </si>
  <si>
    <t>000000019325-IF-001</t>
  </si>
  <si>
    <t>000000019324-IF-001</t>
  </si>
  <si>
    <t>000000019323-IF-001</t>
  </si>
  <si>
    <t>000000019322-IF-001</t>
  </si>
  <si>
    <t>000000019321-IF-001</t>
  </si>
  <si>
    <t>000000019320-IF-001</t>
  </si>
  <si>
    <t>000000019319-IF-001</t>
  </si>
  <si>
    <t>000000019318-IF-001</t>
  </si>
  <si>
    <t>000000019317-IF-001</t>
  </si>
  <si>
    <t>29.659.200/0001-32</t>
  </si>
  <si>
    <t>REJANE DE CASTRO LESSA EIRELI</t>
  </si>
  <si>
    <t>000000019316-IF-001</t>
  </si>
  <si>
    <t>000000019315-IF-001</t>
  </si>
  <si>
    <t>000000019314-IF-001</t>
  </si>
  <si>
    <t>02.016.574/0001-83</t>
  </si>
  <si>
    <t>AUTO RENOVADORA LAVANAS</t>
  </si>
  <si>
    <t>000000019313-IF-001</t>
  </si>
  <si>
    <t>018.037.003-00</t>
  </si>
  <si>
    <t>JOSE RODRIGUES</t>
  </si>
  <si>
    <t>000000019312-IF-001</t>
  </si>
  <si>
    <t>000000019311-IF-001</t>
  </si>
  <si>
    <t>061.549.451-08</t>
  </si>
  <si>
    <t>WANDERSON ALVES</t>
  </si>
  <si>
    <t>000000019310-IF-001</t>
  </si>
  <si>
    <t>000000019309-IF-001</t>
  </si>
  <si>
    <t>000000019308-IF-001</t>
  </si>
  <si>
    <t>000000019307-IF-001</t>
  </si>
  <si>
    <t>000000019306-IF-001</t>
  </si>
  <si>
    <t>000000019305-IF-001</t>
  </si>
  <si>
    <t>000000019304-IF-001</t>
  </si>
  <si>
    <t>000000019303-IF-001</t>
  </si>
  <si>
    <t>000000019302-IF-001</t>
  </si>
  <si>
    <t>000000019301-IF-001</t>
  </si>
  <si>
    <t>875.720.011-49</t>
  </si>
  <si>
    <t>EDISON DA SILVA BONFIM</t>
  </si>
  <si>
    <t>000000019109-NF-001</t>
  </si>
  <si>
    <t>000000019108-NF-001</t>
  </si>
  <si>
    <t>000000019107-NF-001</t>
  </si>
  <si>
    <t>000000019106-NF-001</t>
  </si>
  <si>
    <t>59.378.222/0001-95</t>
  </si>
  <si>
    <t>EDUARDO SERGIO DE ARAUJO MARTINS</t>
  </si>
  <si>
    <t>000000019105-NF-001</t>
  </si>
  <si>
    <t>10.922.628/0001-06</t>
  </si>
  <si>
    <t>CENTRO AUTOMOTIVO DELPHI CAR LTDA ME</t>
  </si>
  <si>
    <t>000000019104-NF-001</t>
  </si>
  <si>
    <t>000000019103-NF-001</t>
  </si>
  <si>
    <t>097.613.333-45</t>
  </si>
  <si>
    <t>MARIA WITHALINA CUNHA DE SOUZA</t>
  </si>
  <si>
    <t>000000019102-NF-001</t>
  </si>
  <si>
    <t>000000019101-NF-001</t>
  </si>
  <si>
    <t>000000019100-NF-001</t>
  </si>
  <si>
    <t>000000019099-NF-001</t>
  </si>
  <si>
    <t>000000019098-NF-001</t>
  </si>
  <si>
    <t>000000019097-NF-001</t>
  </si>
  <si>
    <t>000000019096-NF-001</t>
  </si>
  <si>
    <t>000000018002-IF-001</t>
  </si>
  <si>
    <t>000000018001-IF-001</t>
  </si>
  <si>
    <t>000000018000-IF-001</t>
  </si>
  <si>
    <t>000000017999-IF-001</t>
  </si>
  <si>
    <t>11.364.573/0001-10</t>
  </si>
  <si>
    <t>CGR SOARES AUTO PARACHOQUES LTDA- ME</t>
  </si>
  <si>
    <t>000000016576-FF-001</t>
  </si>
  <si>
    <t>000000016575-FF-001</t>
  </si>
  <si>
    <t>000000016574-FF-001</t>
  </si>
  <si>
    <t>000000016573-FF-001</t>
  </si>
  <si>
    <t>000000016572-FF-001</t>
  </si>
  <si>
    <t>000000016571-FF-001</t>
  </si>
  <si>
    <t>000000016570-FF-001</t>
  </si>
  <si>
    <t>000000016569-FF-001</t>
  </si>
  <si>
    <t>000000016568-FF-001</t>
  </si>
  <si>
    <t>41.361.020/0001-75</t>
  </si>
  <si>
    <t>BOX RAPIDO PEDRAGON CANDANGOLANDIA</t>
  </si>
  <si>
    <t>000000016567-FF-001</t>
  </si>
  <si>
    <t>000000016566-FF-001</t>
  </si>
  <si>
    <t>000000016565-FF-001</t>
  </si>
  <si>
    <t>WELBERTE</t>
  </si>
  <si>
    <t>000000016564-FF-001</t>
  </si>
  <si>
    <t>000000016563-FF-001</t>
  </si>
  <si>
    <t>02.182.689/0001-48</t>
  </si>
  <si>
    <t>JOAO PEREIRA DA SILVA</t>
  </si>
  <si>
    <t>000000016562-FF-001</t>
  </si>
  <si>
    <t>000000016561-FF-001</t>
  </si>
  <si>
    <t>000000016560-FF-001</t>
  </si>
  <si>
    <t>000000016559-FF-001</t>
  </si>
  <si>
    <t>000000016558-FF-001</t>
  </si>
  <si>
    <t>057.898.921-24</t>
  </si>
  <si>
    <t>000000015033-NF-1</t>
  </si>
  <si>
    <t>000000015032-NF-1</t>
  </si>
  <si>
    <t>01.133.505/0001-97</t>
  </si>
  <si>
    <t>ZINGARA PERFUMARIA LTDA</t>
  </si>
  <si>
    <t>000000015031-NF-1</t>
  </si>
  <si>
    <t>50.697.519/0001-49</t>
  </si>
  <si>
    <t>IDEALCOLLOR COMERCIO E SERVICOS LTDA</t>
  </si>
  <si>
    <t>000000015030-NF-1</t>
  </si>
  <si>
    <t>000000014653-FF-001</t>
  </si>
  <si>
    <t>000000014652-FF-001</t>
  </si>
  <si>
    <t>000000014651-FF-001</t>
  </si>
  <si>
    <t>000000014650-FF-001</t>
  </si>
  <si>
    <t>000000014649-FF-001</t>
  </si>
  <si>
    <t>000000014648-FF-001</t>
  </si>
  <si>
    <t>000000014647-FF-001</t>
  </si>
  <si>
    <t>000000014646-FF-001</t>
  </si>
  <si>
    <t>000000014645-FF-001</t>
  </si>
  <si>
    <t>000000014644-FF-001</t>
  </si>
  <si>
    <t>000000014643-FF-001</t>
  </si>
  <si>
    <t>000000014642-FF-001</t>
  </si>
  <si>
    <t>000000014641-FF-001</t>
  </si>
  <si>
    <t>000000014640-FF-001</t>
  </si>
  <si>
    <t>000000014639-FF-001</t>
  </si>
  <si>
    <t>000000014638-FF-001</t>
  </si>
  <si>
    <t>000000014637-FF-001</t>
  </si>
  <si>
    <t>000000014636-FF-001</t>
  </si>
  <si>
    <t>000000014635-FF-001</t>
  </si>
  <si>
    <t>000000014634-FF-001</t>
  </si>
  <si>
    <t>000000014633-FF-001</t>
  </si>
  <si>
    <t>000000014632-FF-001</t>
  </si>
  <si>
    <t>000000014294-FF-001</t>
  </si>
  <si>
    <t>(01)051</t>
  </si>
  <si>
    <t>000000014293-FF-001</t>
  </si>
  <si>
    <t>000000014292-FF-001</t>
  </si>
  <si>
    <t>000000014291-FF-001</t>
  </si>
  <si>
    <t>000000014290-FF-001</t>
  </si>
  <si>
    <t>000000014289-FF-001</t>
  </si>
  <si>
    <t>000000014288-FF-001</t>
  </si>
  <si>
    <t>000000014287-FF-001</t>
  </si>
  <si>
    <t>000000014286-FF-001</t>
  </si>
  <si>
    <t>000000014285-FF-001</t>
  </si>
  <si>
    <t>000000014283-FF-001</t>
  </si>
  <si>
    <t>000000014282-FF-001</t>
  </si>
  <si>
    <t>000000014281-FF-001</t>
  </si>
  <si>
    <t>000000014280-FF-001</t>
  </si>
  <si>
    <t>000000009308-NF-001</t>
  </si>
  <si>
    <t>000000009307-NF-001</t>
  </si>
  <si>
    <t>000000009306-NF-001</t>
  </si>
  <si>
    <t>000000009305-NF-001</t>
  </si>
  <si>
    <t>000000009304-NF-001</t>
  </si>
  <si>
    <t>000000007785-FF-001</t>
  </si>
  <si>
    <t>000000007784-FF-001</t>
  </si>
  <si>
    <t>000000007783-FF-001</t>
  </si>
  <si>
    <t>000000007782-FF-001</t>
  </si>
  <si>
    <t>000000007781-FF-001</t>
  </si>
  <si>
    <t>000000007780-FF-001</t>
  </si>
  <si>
    <t>02.254.529/0001-67</t>
  </si>
  <si>
    <t>WALTER RAMOS DA MOTA ME</t>
  </si>
  <si>
    <t>000000007779-FF-001</t>
  </si>
  <si>
    <t>000000007778-FF-001</t>
  </si>
  <si>
    <t>000000007777-FF-001</t>
  </si>
  <si>
    <t>(01)008</t>
  </si>
  <si>
    <t>000000007776-FF-001</t>
  </si>
  <si>
    <t>000000007775-FF-001</t>
  </si>
  <si>
    <t>000000006911-FF-001</t>
  </si>
  <si>
    <t>000000006910-FF-001</t>
  </si>
  <si>
    <t>000000006909-FF-001</t>
  </si>
  <si>
    <t>000000006908-FF-001</t>
  </si>
  <si>
    <t>000000006666-IF-001</t>
  </si>
  <si>
    <t>000000006665-IF-001</t>
  </si>
  <si>
    <t>000000006664-IF-001</t>
  </si>
  <si>
    <t>000000006663-IF-001</t>
  </si>
  <si>
    <t>000000006662-IF-001</t>
  </si>
  <si>
    <t>000000006661-IF-001</t>
  </si>
  <si>
    <t>000000006660-IF-001</t>
  </si>
  <si>
    <t>000000006659-IF-001</t>
  </si>
  <si>
    <t>000000006658-IF-001</t>
  </si>
  <si>
    <t>WESLIAN BRAGA</t>
  </si>
  <si>
    <t>000000006657-IF-001</t>
  </si>
  <si>
    <t>000000006656-IF-001</t>
  </si>
  <si>
    <t>000000006655-IF-001</t>
  </si>
  <si>
    <t>000000006654-IF-001</t>
  </si>
  <si>
    <t>000000006653-IF-001</t>
  </si>
  <si>
    <t>000000006652-IF-001</t>
  </si>
  <si>
    <t>43.497.710/0001-81</t>
  </si>
  <si>
    <t>VALMIR FERNADES DO COUTO</t>
  </si>
  <si>
    <t>000000006651-IF-001</t>
  </si>
  <si>
    <t>000000006650-IF-001</t>
  </si>
  <si>
    <t>000000006648-IF-001</t>
  </si>
  <si>
    <t>000000006647-IF-001</t>
  </si>
  <si>
    <t>000000006646-IF-001</t>
  </si>
  <si>
    <t>000000006645-IF-001</t>
  </si>
  <si>
    <t>000000006644-IF-001</t>
  </si>
  <si>
    <t>000000006643-IF-001</t>
  </si>
  <si>
    <t>000000006642-IF-001</t>
  </si>
  <si>
    <t>000000006641-IF-001</t>
  </si>
  <si>
    <t>000000006640-IF-001</t>
  </si>
  <si>
    <t>000000003791-NF-001</t>
  </si>
  <si>
    <t>000000003790-NF-001</t>
  </si>
  <si>
    <t>000000003789-NF-001</t>
  </si>
  <si>
    <t>14.543.939/0002-98</t>
  </si>
  <si>
    <t>B&amp;B COMERCIO DE PNEUS E RODAS LTDA/EPP</t>
  </si>
  <si>
    <t>000000003788-NF-001</t>
  </si>
  <si>
    <t>000000003787-NF-001</t>
  </si>
  <si>
    <t>000000003786-NF-001</t>
  </si>
  <si>
    <t>000000003785-NF-001</t>
  </si>
  <si>
    <t>000000003174-NF-001</t>
  </si>
  <si>
    <t>000000000901-FF-001</t>
  </si>
  <si>
    <t>000000000900-FF-001</t>
  </si>
  <si>
    <t>000000000899-FF-001</t>
  </si>
  <si>
    <t>000000000898-FF-001</t>
  </si>
  <si>
    <t>000000000897-FF-001</t>
  </si>
  <si>
    <t>000000000896-FF-001</t>
  </si>
  <si>
    <t>000000000895-FF-001</t>
  </si>
  <si>
    <t>52.405.229/0001-00</t>
  </si>
  <si>
    <t>JPW CENTRO AUTOMOTIVO LTDA</t>
  </si>
  <si>
    <t>000000000834-NF-001</t>
  </si>
  <si>
    <t>000000000833-NF-001</t>
  </si>
  <si>
    <t>000000000832-NF-001</t>
  </si>
  <si>
    <t>000000000831-NF-001</t>
  </si>
  <si>
    <t>10.243.168/0001-81</t>
  </si>
  <si>
    <t>TERRAÇO- TERRAPLENAGEM EIREKI ME</t>
  </si>
  <si>
    <t>000000000830-NF-001</t>
  </si>
  <si>
    <t>000000000829-NF-001</t>
  </si>
  <si>
    <t>000000000113-DV-001</t>
  </si>
  <si>
    <t>000000000112-DV-001</t>
  </si>
  <si>
    <t>000000613164-FF-1</t>
  </si>
  <si>
    <t>(01)024</t>
  </si>
  <si>
    <t>26.502.763/0001-24</t>
  </si>
  <si>
    <t>NACIONAL AUTO CENTER</t>
  </si>
  <si>
    <t>000000409922-FF-1</t>
  </si>
  <si>
    <t>000000409921-FF-1</t>
  </si>
  <si>
    <t>000000409920-FF-1</t>
  </si>
  <si>
    <t>000000409919-FF-1</t>
  </si>
  <si>
    <t>21.840.683/0001-65</t>
  </si>
  <si>
    <t>RAFAEL DE ARAÚJO DIAS</t>
  </si>
  <si>
    <t>000000055355-IF-1</t>
  </si>
  <si>
    <t>000000055354-IF-1</t>
  </si>
  <si>
    <t>000000055353-IF-1</t>
  </si>
  <si>
    <t>000000055352-IF-1</t>
  </si>
  <si>
    <t>000000055351-IF-1</t>
  </si>
  <si>
    <t>000000055350-IF-1</t>
  </si>
  <si>
    <t>WELERSON</t>
  </si>
  <si>
    <t>000000055349-IF-1</t>
  </si>
  <si>
    <t>000000055348-IF-1</t>
  </si>
  <si>
    <t>000000055347-IF-1</t>
  </si>
  <si>
    <t>000000055346-IF-1</t>
  </si>
  <si>
    <t>000000055345-IF-1</t>
  </si>
  <si>
    <t>000000055344-IF-1</t>
  </si>
  <si>
    <t>000000055343-IF-1</t>
  </si>
  <si>
    <t>TIMOTEO</t>
  </si>
  <si>
    <t>000000055342-IF-1</t>
  </si>
  <si>
    <t>000000043168-IF-001</t>
  </si>
  <si>
    <t>000000043167-IF-001</t>
  </si>
  <si>
    <t>000000043166-IF-001</t>
  </si>
  <si>
    <t>000000043165-IF-001</t>
  </si>
  <si>
    <t>000000043164-IF-001</t>
  </si>
  <si>
    <t>000000043163-IF-001</t>
  </si>
  <si>
    <t>023.473.801-41</t>
  </si>
  <si>
    <t>TOP POLISH</t>
  </si>
  <si>
    <t>000000043162-IF-001</t>
  </si>
  <si>
    <t>000000043161-IF-001</t>
  </si>
  <si>
    <t>000000043160-IF-001</t>
  </si>
  <si>
    <t>000000043159-IF-001</t>
  </si>
  <si>
    <t>000000043158-IF-001</t>
  </si>
  <si>
    <t>TIAGO</t>
  </si>
  <si>
    <t>000000043157-IF-001</t>
  </si>
  <si>
    <t>000000043156-IF-001</t>
  </si>
  <si>
    <t>000000043155-IF-001</t>
  </si>
  <si>
    <t>44.139.054/0001-08</t>
  </si>
  <si>
    <t>44.139.054 ANNY ISABELLE FERREIRA DE JESUS</t>
  </si>
  <si>
    <t>000000043154-IF-001</t>
  </si>
  <si>
    <t>000000043153-IF-001</t>
  </si>
  <si>
    <t>966.994.346-91</t>
  </si>
  <si>
    <t>SANDRO PEREIRA DA CRUZ</t>
  </si>
  <si>
    <t>000000043152-IF-001</t>
  </si>
  <si>
    <t>000000043151-IF-001</t>
  </si>
  <si>
    <t>000000043150-IF-001</t>
  </si>
  <si>
    <t>EDMILSON</t>
  </si>
  <si>
    <t>000000043149-IF-001</t>
  </si>
  <si>
    <t>000000043148-IF-001</t>
  </si>
  <si>
    <t>000000043147-IF-001</t>
  </si>
  <si>
    <t>THALLES</t>
  </si>
  <si>
    <t>000000043146-IF-001</t>
  </si>
  <si>
    <t>000000043145-IF-001</t>
  </si>
  <si>
    <t>000000043144-IF-001</t>
  </si>
  <si>
    <t>000000043143-IF-001</t>
  </si>
  <si>
    <t>000000043142-IF-001</t>
  </si>
  <si>
    <t>32.799.543/0001-07</t>
  </si>
  <si>
    <t>MARTELINHO DE OURO J MOURA</t>
  </si>
  <si>
    <t>000000043141-IF-001</t>
  </si>
  <si>
    <t>000000043140-IF-001</t>
  </si>
  <si>
    <t>000000043139-IF-001</t>
  </si>
  <si>
    <t>000000043138-IF-001</t>
  </si>
  <si>
    <t>000000043137-IF-001</t>
  </si>
  <si>
    <t>000000043136-IF-001</t>
  </si>
  <si>
    <t>000000043135-IF-001</t>
  </si>
  <si>
    <t>PARK</t>
  </si>
  <si>
    <t>000000043134-IF-001</t>
  </si>
  <si>
    <t>000000043133-IF-001</t>
  </si>
  <si>
    <t>000000043132-IF-001</t>
  </si>
  <si>
    <t>000000031838-NF-1</t>
  </si>
  <si>
    <t>000000031837-NF-1</t>
  </si>
  <si>
    <t>000000031836-NF-1</t>
  </si>
  <si>
    <t>000000031835-NF-1</t>
  </si>
  <si>
    <t>000000031834-NF-1</t>
  </si>
  <si>
    <t>000000029062-IF-001</t>
  </si>
  <si>
    <t>000000029061-IF-001</t>
  </si>
  <si>
    <t>000000029060-IF-001</t>
  </si>
  <si>
    <t>MORENO</t>
  </si>
  <si>
    <t>000000029059-IF-001</t>
  </si>
  <si>
    <t>000000029058-IF-001</t>
  </si>
  <si>
    <t>006.752.381-10</t>
  </si>
  <si>
    <t>JOAO HELTOM MOREIRA GRAIA</t>
  </si>
  <si>
    <t>000000029057-IF-001</t>
  </si>
  <si>
    <t>000000029056-IF-001</t>
  </si>
  <si>
    <t>000000029055-IF-001</t>
  </si>
  <si>
    <t>470.453.536-34</t>
  </si>
  <si>
    <t>MARCIO ANTONIO</t>
  </si>
  <si>
    <t>000000029054-IF-001</t>
  </si>
  <si>
    <t>018.791.421-47</t>
  </si>
  <si>
    <t>WELBERTE DOS SANTOS BARROS</t>
  </si>
  <si>
    <t>000000029053-IF-001</t>
  </si>
  <si>
    <t>000000028758-IF-001</t>
  </si>
  <si>
    <t>000000028757-IF-001</t>
  </si>
  <si>
    <t>000000028756-IF-001</t>
  </si>
  <si>
    <t>000000028755-IF-001</t>
  </si>
  <si>
    <t>000000028754-IF-001</t>
  </si>
  <si>
    <t>000000028753-IF-001</t>
  </si>
  <si>
    <t>000000028752-IF-001</t>
  </si>
  <si>
    <t>000000028751-IF-001</t>
  </si>
  <si>
    <t>000000028750-IF-001</t>
  </si>
  <si>
    <t>000000028749-IF-001</t>
  </si>
  <si>
    <t>000000028748-IF-001</t>
  </si>
  <si>
    <t>000000028747-IF-001</t>
  </si>
  <si>
    <t>000000028746-IF-001</t>
  </si>
  <si>
    <t>000000028745-IF-001</t>
  </si>
  <si>
    <t>000000028744-IF-001</t>
  </si>
  <si>
    <t>000000028743-IF-001</t>
  </si>
  <si>
    <t>000000028742-IF-001</t>
  </si>
  <si>
    <t>000000028741-IF-001</t>
  </si>
  <si>
    <t>000000028740-IF-001</t>
  </si>
  <si>
    <t>000000028739-IF-001</t>
  </si>
  <si>
    <t>000000028738-IF-001</t>
  </si>
  <si>
    <t>000000028737-IF-001</t>
  </si>
  <si>
    <t>000000028736-IF-001</t>
  </si>
  <si>
    <t>000000028735-IF-001</t>
  </si>
  <si>
    <t>000000028734-IF-001</t>
  </si>
  <si>
    <t>000000028733-IF-001</t>
  </si>
  <si>
    <t>000000028732-IF-001</t>
  </si>
  <si>
    <t>JOAQUIM</t>
  </si>
  <si>
    <t>000000028731-IF-001</t>
  </si>
  <si>
    <t>000000028730-IF-001</t>
  </si>
  <si>
    <t>000000028729-IF-001</t>
  </si>
  <si>
    <t>000000024885-NF-001</t>
  </si>
  <si>
    <t>43.599.329/0001-23</t>
  </si>
  <si>
    <t>PAVANINI DESIGN LTDA</t>
  </si>
  <si>
    <t>000000024884-NF-001</t>
  </si>
  <si>
    <t>000000024883-NF-001</t>
  </si>
  <si>
    <t>56.347.758/0001-55</t>
  </si>
  <si>
    <t>BBDCOMERCIO VIDROS LDTA</t>
  </si>
  <si>
    <t>000000024882-NF-001</t>
  </si>
  <si>
    <t>000000024881-NF-001</t>
  </si>
  <si>
    <t>000000024880-NF-001</t>
  </si>
  <si>
    <t>000000024879-NF-001</t>
  </si>
  <si>
    <t>000000024878-NF-001</t>
  </si>
  <si>
    <t>000000024877-NF-001</t>
  </si>
  <si>
    <t>000000024876-NF-001</t>
  </si>
  <si>
    <t>000000024875-NF-001</t>
  </si>
  <si>
    <t>000000024874-NF-001</t>
  </si>
  <si>
    <t>000000024873-NF-001</t>
  </si>
  <si>
    <t>000000024872-NF-001</t>
  </si>
  <si>
    <t>000000024871-NF-001</t>
  </si>
  <si>
    <t>19.429.254/0001-58</t>
  </si>
  <si>
    <t>EGT CONSTRUÇOES</t>
  </si>
  <si>
    <t>000000024870-NF-001</t>
  </si>
  <si>
    <t>JOSE MILTON</t>
  </si>
  <si>
    <t>000000021534-IF-001</t>
  </si>
  <si>
    <t>LUCAS</t>
  </si>
  <si>
    <t>000000021533-IF-001</t>
  </si>
  <si>
    <t>RAIMUNDO</t>
  </si>
  <si>
    <t>000000021532-IF-001</t>
  </si>
  <si>
    <t>000000021531-IF-001</t>
  </si>
  <si>
    <t>000000021530-IF-001</t>
  </si>
  <si>
    <t>000000021529-IF-001</t>
  </si>
  <si>
    <t>000000021528-IF-001</t>
  </si>
  <si>
    <t>JEFFERSON LUIZ</t>
  </si>
  <si>
    <t>000000021527-IF-001</t>
  </si>
  <si>
    <t>000000021526-IF-001</t>
  </si>
  <si>
    <t>000000021525-IF-001</t>
  </si>
  <si>
    <t>000000021524-IF-001</t>
  </si>
  <si>
    <t>ARAUJO</t>
  </si>
  <si>
    <t>000000021523-IF-001</t>
  </si>
  <si>
    <t>CICERO BIKE</t>
  </si>
  <si>
    <t>000000021522-IF-001</t>
  </si>
  <si>
    <t>000000021521-IF-001</t>
  </si>
  <si>
    <t>000000021520-IF-001</t>
  </si>
  <si>
    <t>000000021519-IF-001</t>
  </si>
  <si>
    <t>000000021518-IF-001</t>
  </si>
  <si>
    <t>000000021517-IF-001</t>
  </si>
  <si>
    <t>000000021516-IF-001</t>
  </si>
  <si>
    <t>000000021515-IF-001</t>
  </si>
  <si>
    <t>000000021514-IF-001</t>
  </si>
  <si>
    <t>000000019542-IF-1</t>
  </si>
  <si>
    <t>000000019541-IF-1</t>
  </si>
  <si>
    <t>FRANCISCO</t>
  </si>
  <si>
    <t>000000019540-IF-1</t>
  </si>
  <si>
    <t>000000019539-IF-1</t>
  </si>
  <si>
    <t>000000019538-IF-1</t>
  </si>
  <si>
    <t>000000019537-IF-1</t>
  </si>
  <si>
    <t>000000019536-IF-1</t>
  </si>
  <si>
    <t>000000019535-IF-1</t>
  </si>
  <si>
    <t>000000019534-IF-1</t>
  </si>
  <si>
    <t>ANA CLAUDIA</t>
  </si>
  <si>
    <t>000000019533-IF-1</t>
  </si>
  <si>
    <t>26.735.252/0001-52</t>
  </si>
  <si>
    <t>GUIA SOLUCOES AUTOMOTIVA EIRELI-ME</t>
  </si>
  <si>
    <t>000000019532-IF-1</t>
  </si>
  <si>
    <t>RED</t>
  </si>
  <si>
    <t>000000019531-IF-1</t>
  </si>
  <si>
    <t>000000019300-IF-001</t>
  </si>
  <si>
    <t>000000019299-IF-001</t>
  </si>
  <si>
    <t>000000019298-IF-001</t>
  </si>
  <si>
    <t>000000019297-IF-001</t>
  </si>
  <si>
    <t>000000019296-IF-001</t>
  </si>
  <si>
    <t>000000019295-IF-001</t>
  </si>
  <si>
    <t>000000019294-IF-001</t>
  </si>
  <si>
    <t>000000019293-IF-001</t>
  </si>
  <si>
    <t>000000019292-IF-001</t>
  </si>
  <si>
    <t>000000019291-IF-001</t>
  </si>
  <si>
    <t>VICTOR</t>
  </si>
  <si>
    <t>000000019290-IF-001</t>
  </si>
  <si>
    <t>840.889.071-91</t>
  </si>
  <si>
    <t>RENATO N ALMEIDA MACHADO</t>
  </si>
  <si>
    <t>000000019289-IF-001</t>
  </si>
  <si>
    <t>000000019288-IF-001</t>
  </si>
  <si>
    <t>000000019287-IF-001</t>
  </si>
  <si>
    <t>000000019286-IF-001</t>
  </si>
  <si>
    <t>000000019285-IF-001</t>
  </si>
  <si>
    <t>000000019284-IF-001</t>
  </si>
  <si>
    <t>000000019283-IF-001</t>
  </si>
  <si>
    <t>000000019282-IF-001</t>
  </si>
  <si>
    <t>000000019281-IF-001</t>
  </si>
  <si>
    <t>000000019280-IF-001</t>
  </si>
  <si>
    <t>000000019279-IF-001</t>
  </si>
  <si>
    <t>000000019278-IF-001</t>
  </si>
  <si>
    <t>000000019277-IF-001</t>
  </si>
  <si>
    <t>000000019276-IF-001</t>
  </si>
  <si>
    <t>000000019275-IF-001</t>
  </si>
  <si>
    <t>000000019274-IF-001</t>
  </si>
  <si>
    <t>016.375.161-77</t>
  </si>
  <si>
    <t>GESSE PEREIRA DE SOUSA</t>
  </si>
  <si>
    <t>000000019273-IF-001</t>
  </si>
  <si>
    <t>000000019095-NF-001</t>
  </si>
  <si>
    <t>000000019094-NF-001</t>
  </si>
  <si>
    <t>000000019093-NF-001</t>
  </si>
  <si>
    <t>000000019092-NF-001</t>
  </si>
  <si>
    <t>000000019091-NF-001</t>
  </si>
  <si>
    <t>000000019090-NF-001</t>
  </si>
  <si>
    <t>000000019089-NF-001</t>
  </si>
  <si>
    <t>000000019088-NF-001</t>
  </si>
  <si>
    <t>000000019087-NF-001</t>
  </si>
  <si>
    <t>(01)052</t>
  </si>
  <si>
    <t>000000019086-NF-001</t>
  </si>
  <si>
    <t>000000019085-NF-001</t>
  </si>
  <si>
    <t>000000019084-NF-001</t>
  </si>
  <si>
    <t>000000019083-NF-001</t>
  </si>
  <si>
    <t>000000017998-IF-001</t>
  </si>
  <si>
    <t>000000017997-IF-001</t>
  </si>
  <si>
    <t>000000017996-IF-001</t>
  </si>
  <si>
    <t>000000017995-IF-001</t>
  </si>
  <si>
    <t>000000017994-IF-001</t>
  </si>
  <si>
    <t>000000016557-FF-001</t>
  </si>
  <si>
    <t>000000016556-FF-001</t>
  </si>
  <si>
    <t>000000016555-FF-001</t>
  </si>
  <si>
    <t>000000016554-FF-001</t>
  </si>
  <si>
    <t>000000016553-FF-001</t>
  </si>
  <si>
    <t>000000016552-FF-001</t>
  </si>
  <si>
    <t>000000016551-FF-001</t>
  </si>
  <si>
    <t>000000016550-FF-001</t>
  </si>
  <si>
    <t>000000016549-FF-001</t>
  </si>
  <si>
    <t>000000016548-FF-001</t>
  </si>
  <si>
    <t>000000016547-FF-001</t>
  </si>
  <si>
    <t>000000016546-FF-001</t>
  </si>
  <si>
    <t>000000016545-FF-001</t>
  </si>
  <si>
    <t>236.178.611-72</t>
  </si>
  <si>
    <t>NILO CHAVES RORIZ FILHO</t>
  </si>
  <si>
    <t>000000016544-FF-001</t>
  </si>
  <si>
    <t>000000016543-FF-001</t>
  </si>
  <si>
    <t>000000016542-FF-001</t>
  </si>
  <si>
    <t>611.567.441-72</t>
  </si>
  <si>
    <t>VALDENIR JORGE DA SILVA</t>
  </si>
  <si>
    <t>000000015029-NF-1</t>
  </si>
  <si>
    <t>000000015028-NF-1</t>
  </si>
  <si>
    <t>47.292.411/0001-61</t>
  </si>
  <si>
    <t>GREEN PARK V VILLAGE</t>
  </si>
  <si>
    <t>000000015027-NF-1</t>
  </si>
  <si>
    <t>000000015026-NF-1</t>
  </si>
  <si>
    <t>000000014631-FF-001</t>
  </si>
  <si>
    <t>000000014630-FF-001</t>
  </si>
  <si>
    <t>000000014629-FF-001</t>
  </si>
  <si>
    <t>000000014628-FF-001</t>
  </si>
  <si>
    <t>46.904.201/0001-14</t>
  </si>
  <si>
    <t>INJECAR CENTRO AUTOMOTIVO LTDA</t>
  </si>
  <si>
    <t>000000014627-FF-001</t>
  </si>
  <si>
    <t>000000014626-FF-001</t>
  </si>
  <si>
    <t>000000014625-FF-001</t>
  </si>
  <si>
    <t>000000014624-FF-001</t>
  </si>
  <si>
    <t>000000014623-FF-001</t>
  </si>
  <si>
    <t>000000014622-FF-001</t>
  </si>
  <si>
    <t>000000014621-FF-001</t>
  </si>
  <si>
    <t>000000014620-FF-001</t>
  </si>
  <si>
    <t>000000014619-FF-001</t>
  </si>
  <si>
    <t>000000014618-FF-001</t>
  </si>
  <si>
    <t>000000014617-FF-001</t>
  </si>
  <si>
    <t>000000014616-FF-001</t>
  </si>
  <si>
    <t>000000014615-FF-001</t>
  </si>
  <si>
    <t>000000014614-FF-001</t>
  </si>
  <si>
    <t>000000014613-FF-001</t>
  </si>
  <si>
    <t>000000014612-FF-001</t>
  </si>
  <si>
    <t>000000014611-FF-001</t>
  </si>
  <si>
    <t>000000014610-FF-001</t>
  </si>
  <si>
    <t>000000014609-FF-001</t>
  </si>
  <si>
    <t>000000014608-FF-001</t>
  </si>
  <si>
    <t>000000014607-FF-001</t>
  </si>
  <si>
    <t>000000014606-FF-001</t>
  </si>
  <si>
    <t>SAMUEL</t>
  </si>
  <si>
    <t>000000014605-FF-001</t>
  </si>
  <si>
    <t>373.604.851-34</t>
  </si>
  <si>
    <t>EDMAR LOURENÇO DA SILVA</t>
  </si>
  <si>
    <t>000000014604-FF-001</t>
  </si>
  <si>
    <t>000000014279-FF-001</t>
  </si>
  <si>
    <t>000000014278-FF-001</t>
  </si>
  <si>
    <t>000000014277-FF-001</t>
  </si>
  <si>
    <t>000000014276-FF-001</t>
  </si>
  <si>
    <t>000000014275-FF-001</t>
  </si>
  <si>
    <t>000000014274-FF-001</t>
  </si>
  <si>
    <t>000000014273-FF-001</t>
  </si>
  <si>
    <t>000000014272-FF-001</t>
  </si>
  <si>
    <t>000000014271-FF-001</t>
  </si>
  <si>
    <t>000000014270-FF-001</t>
  </si>
  <si>
    <t>000000014269-FF-001</t>
  </si>
  <si>
    <t>000000014268-FF-001</t>
  </si>
  <si>
    <t>000000014267-FF-001</t>
  </si>
  <si>
    <t>000000014266-FF-001</t>
  </si>
  <si>
    <t>000000014265-FF-001</t>
  </si>
  <si>
    <t>000000014264-FF-001</t>
  </si>
  <si>
    <t>00.728.162/0001-40</t>
  </si>
  <si>
    <t>BRADISEL COMERCIO DE AUTO PECAS E SERVICOS LTDA</t>
  </si>
  <si>
    <t>000000009303-NF-001</t>
  </si>
  <si>
    <t>000000009302-NF-001</t>
  </si>
  <si>
    <t>000000009301-NF-001</t>
  </si>
  <si>
    <t>05.470.713/0001-32</t>
  </si>
  <si>
    <t>ARTHUR DAVI PECAS NOVAS E USADAS LTDA</t>
  </si>
  <si>
    <t>000000009300-NF-001</t>
  </si>
  <si>
    <t>000000009299-NF-001</t>
  </si>
  <si>
    <t>000000009298-NF-001</t>
  </si>
  <si>
    <t>000000009297-NF-001</t>
  </si>
  <si>
    <t>000000009296-NF-001</t>
  </si>
  <si>
    <t>000000007774-FF-001</t>
  </si>
  <si>
    <t>32.927.881/0001-87</t>
  </si>
  <si>
    <t>SALU PECAS E SERVICOS PECAS LTDA</t>
  </si>
  <si>
    <t>000000007773-FF-001</t>
  </si>
  <si>
    <t>000000007772-FF-001</t>
  </si>
  <si>
    <t>000000007771-FF-001</t>
  </si>
  <si>
    <t>703.510.151-91</t>
  </si>
  <si>
    <t>LEOMAR FERREIRA GOMES</t>
  </si>
  <si>
    <t>000000007770-FF-001</t>
  </si>
  <si>
    <t>000000007769-FF-001</t>
  </si>
  <si>
    <t>000000007768-FF-001</t>
  </si>
  <si>
    <t>000000007767-FF-001</t>
  </si>
  <si>
    <t>000000007766-FF-001</t>
  </si>
  <si>
    <t>000000006907-FF-001</t>
  </si>
  <si>
    <t>000000006906-FF-001</t>
  </si>
  <si>
    <t>000000006905-FF-001</t>
  </si>
  <si>
    <t>000000006904-FF-001</t>
  </si>
  <si>
    <t>000000006639-IF-001</t>
  </si>
  <si>
    <t>000000006638-IF-001</t>
  </si>
  <si>
    <t>000000006637-IF-001</t>
  </si>
  <si>
    <t>000000006636-IF-001</t>
  </si>
  <si>
    <t>000000006635-IF-001</t>
  </si>
  <si>
    <t>000000006634-IF-001</t>
  </si>
  <si>
    <t>000000006633-IF-001</t>
  </si>
  <si>
    <t>000000006632-IF-001</t>
  </si>
  <si>
    <t>000000006631-IF-001</t>
  </si>
  <si>
    <t>000000006630-IF-001</t>
  </si>
  <si>
    <t>000000006629-IF-001</t>
  </si>
  <si>
    <t>000000006628-IF-001</t>
  </si>
  <si>
    <t>000000006627-IF-001</t>
  </si>
  <si>
    <t>000000006626-IF-001</t>
  </si>
  <si>
    <t>000000006625-IF-001</t>
  </si>
  <si>
    <t>000000006624-IF-001</t>
  </si>
  <si>
    <t>000000006623-IF-001</t>
  </si>
  <si>
    <t>ZERADÃO</t>
  </si>
  <si>
    <t>000000006622-IF-001</t>
  </si>
  <si>
    <t>000000006621-IF-001</t>
  </si>
  <si>
    <t>000000006620-IF-001</t>
  </si>
  <si>
    <t>000000006619-IF-001</t>
  </si>
  <si>
    <t>000000006618-IF-001</t>
  </si>
  <si>
    <t>762.879.121-20</t>
  </si>
  <si>
    <t>MARCELO JOSE SOUZA SILVA</t>
  </si>
  <si>
    <t>000000006617-IF-001</t>
  </si>
  <si>
    <t>000000006616-IF-001</t>
  </si>
  <si>
    <t>000000006615-IF-001</t>
  </si>
  <si>
    <t>000000006614-IF-001</t>
  </si>
  <si>
    <t>000000006613-IF-001</t>
  </si>
  <si>
    <t>000000006612-IF-001</t>
  </si>
  <si>
    <t>000000006611-IF-001</t>
  </si>
  <si>
    <t>599.874.301-63</t>
  </si>
  <si>
    <t>FRANCISCO ALEX SOARES DE ALMEIDA</t>
  </si>
  <si>
    <t>000000006610-IF-001</t>
  </si>
  <si>
    <t>000000006609-IF-001</t>
  </si>
  <si>
    <t>000000006608-IF-001</t>
  </si>
  <si>
    <t>000000006607-IF-001</t>
  </si>
  <si>
    <t>000000006606-IF-001</t>
  </si>
  <si>
    <t>000000006605-IF-001</t>
  </si>
  <si>
    <t>001.877.331-12</t>
  </si>
  <si>
    <t>000000006604-IF-001</t>
  </si>
  <si>
    <t>617.510.731-49</t>
  </si>
  <si>
    <t>RAIMUNDO REPINTE</t>
  </si>
  <si>
    <t>000000006603-IF-001</t>
  </si>
  <si>
    <t>000000006602-IF-001</t>
  </si>
  <si>
    <t>000000006601-IF-001</t>
  </si>
  <si>
    <t>000000006600-IF-001</t>
  </si>
  <si>
    <t>000000006599-IF-001</t>
  </si>
  <si>
    <t>20.358.352/0001-20</t>
  </si>
  <si>
    <t>RV COMERCIO DE PECAS &amp; VEICULOS LTDA ME</t>
  </si>
  <si>
    <t>000000006598-IF-001</t>
  </si>
  <si>
    <t>000000006597-IF-001</t>
  </si>
  <si>
    <t>000000006596-IF-001</t>
  </si>
  <si>
    <t>000000006595-IF-001</t>
  </si>
  <si>
    <t>42.436.762/0001-85</t>
  </si>
  <si>
    <t>LILIAN CRISTINA SAAVEDRA DOS SANTOS</t>
  </si>
  <si>
    <t>000000006594-IF-001</t>
  </si>
  <si>
    <t>ALEX CRISTALINA</t>
  </si>
  <si>
    <t>000000006593-IF-001</t>
  </si>
  <si>
    <t>000000006592-IF-001</t>
  </si>
  <si>
    <t>000000006591-IF-001</t>
  </si>
  <si>
    <t>000000003783-NF-001</t>
  </si>
  <si>
    <t>000000003782-NF-001</t>
  </si>
  <si>
    <t>000000003781-NF-001</t>
  </si>
  <si>
    <t>000000003780-NF-001</t>
  </si>
  <si>
    <t>000000003779-NF-001</t>
  </si>
  <si>
    <t>000000002591-NS-001</t>
  </si>
  <si>
    <t>000000002590-NS-001</t>
  </si>
  <si>
    <t>000000002589-NS-001</t>
  </si>
  <si>
    <t>000000002588-NS-001</t>
  </si>
  <si>
    <t>000000002587-NS-001</t>
  </si>
  <si>
    <t>000000002586-NS-001</t>
  </si>
  <si>
    <t>000000002585-NS-001</t>
  </si>
  <si>
    <t>40.905.651/0001-45</t>
  </si>
  <si>
    <t>PRIME SERVIÇOS ESPECIALIZADOS LTDA</t>
  </si>
  <si>
    <t>000000001541-NF-001</t>
  </si>
  <si>
    <t>49.277.719/0001-63</t>
  </si>
  <si>
    <t>FLAVIANO RIBEIRO DE SOUZA</t>
  </si>
  <si>
    <t>000000001401-FF-001</t>
  </si>
  <si>
    <t>000000001400-FF-001</t>
  </si>
  <si>
    <t>000000000894-FF-001</t>
  </si>
  <si>
    <t>000000000893-FF-001</t>
  </si>
  <si>
    <t>000000000892-FF-001</t>
  </si>
  <si>
    <t>000000000891-FF-001</t>
  </si>
  <si>
    <t>000000000890-FF-001</t>
  </si>
  <si>
    <t>000000000889-FF-001</t>
  </si>
  <si>
    <t>000000000888-FF-001</t>
  </si>
  <si>
    <t>000000000887-FF-001</t>
  </si>
  <si>
    <t>000000000886-FF-001</t>
  </si>
  <si>
    <t>000000000885-FF-001</t>
  </si>
  <si>
    <t>036.085.351-01</t>
  </si>
  <si>
    <t>LUZIBERTO GOMES DA SILVA</t>
  </si>
  <si>
    <t>000000000828-NF-001</t>
  </si>
  <si>
    <t>000000000827-NF-001</t>
  </si>
  <si>
    <t>000000000826-NF-001</t>
  </si>
  <si>
    <t>64.108.300/0001-71</t>
  </si>
  <si>
    <t>SOLUÇÃOAGROINDUSTRIAL LTDA</t>
  </si>
  <si>
    <t>000000000825-NF-001</t>
  </si>
  <si>
    <t>000000000824-NF-001</t>
  </si>
  <si>
    <t>000000000823-NF-001</t>
  </si>
  <si>
    <t>000000000230-DV-001</t>
  </si>
  <si>
    <t>000000000111-DV-001</t>
  </si>
  <si>
    <t>000000000008-DV-001</t>
  </si>
  <si>
    <t>000000613163-FF-1</t>
  </si>
  <si>
    <t>000000613162-FF-1</t>
  </si>
  <si>
    <t>(01)025</t>
  </si>
  <si>
    <t>000000409918-FF-1</t>
  </si>
  <si>
    <t>24.934.648/0003-65</t>
  </si>
  <si>
    <t>DAUTO PINTURA E MECANICA LTDA - TAGUATINGA</t>
  </si>
  <si>
    <t>000000409917-FF-1</t>
  </si>
  <si>
    <t>026.380.111-00</t>
  </si>
  <si>
    <t>FRANKLYN DE MORAES DA SILVA</t>
  </si>
  <si>
    <t>000000409916-FF-1</t>
  </si>
  <si>
    <t>NILSON</t>
  </si>
  <si>
    <t>000000055341-IF-1</t>
  </si>
  <si>
    <t>000000055340-IF-1</t>
  </si>
  <si>
    <t>000000055339-IF-1</t>
  </si>
  <si>
    <t>000000055338-IF-1</t>
  </si>
  <si>
    <t>000000055337-IF-1</t>
  </si>
  <si>
    <t>000000055336-IF-1</t>
  </si>
  <si>
    <t>000000055335-IF-1</t>
  </si>
  <si>
    <t>000000055334-IF-1</t>
  </si>
  <si>
    <t>000000055333-IF-1</t>
  </si>
  <si>
    <t>000000055332-IF-1</t>
  </si>
  <si>
    <t>000000043131-IF-001</t>
  </si>
  <si>
    <t>000000043130-IF-001</t>
  </si>
  <si>
    <t>000000043129-IF-001</t>
  </si>
  <si>
    <t>JAMIR</t>
  </si>
  <si>
    <t>000000043128-IF-001</t>
  </si>
  <si>
    <t>000000043127-IF-001</t>
  </si>
  <si>
    <t>(01)009</t>
  </si>
  <si>
    <t>000000043126-IF-001</t>
  </si>
  <si>
    <t>000000043125-IF-001</t>
  </si>
  <si>
    <t>000000043124-IF-001</t>
  </si>
  <si>
    <t>000000043123-IF-001</t>
  </si>
  <si>
    <t>000000043122-IF-001</t>
  </si>
  <si>
    <t>000000043121-IF-001</t>
  </si>
  <si>
    <t>000000043120-IF-001</t>
  </si>
  <si>
    <t>000000043119-IF-001</t>
  </si>
  <si>
    <t>000000043118-IF-001</t>
  </si>
  <si>
    <t>000000043117-IF-001</t>
  </si>
  <si>
    <t>000000043116-IF-001</t>
  </si>
  <si>
    <t>000000043115-IF-001</t>
  </si>
  <si>
    <t>565.137.121-49</t>
  </si>
  <si>
    <t>FRANCISCO COSTA DA SILVA</t>
  </si>
  <si>
    <t>000000043114-IF-001</t>
  </si>
  <si>
    <t>ANDERSON QNN17</t>
  </si>
  <si>
    <t>000000043113-IF-001</t>
  </si>
  <si>
    <t>000000043112-IF-001</t>
  </si>
  <si>
    <t>000000043111-IF-001</t>
  </si>
  <si>
    <t>000000043110-IF-001</t>
  </si>
  <si>
    <t>000000043109-IF-001</t>
  </si>
  <si>
    <t>000000043108-IF-001</t>
  </si>
  <si>
    <t>000000043107-IF-001</t>
  </si>
  <si>
    <t>000000043106-IF-001</t>
  </si>
  <si>
    <t>000000043105-IF-001</t>
  </si>
  <si>
    <t>000000043104-IF-001</t>
  </si>
  <si>
    <t>000000043103-IF-001</t>
  </si>
  <si>
    <t>902.762.051-20</t>
  </si>
  <si>
    <t>GLEBISSON MARCELINO DA PENHA</t>
  </si>
  <si>
    <t>000000043101-IF-001</t>
  </si>
  <si>
    <t>000000031833-NF-1</t>
  </si>
  <si>
    <t>000000031832-NF-1</t>
  </si>
  <si>
    <t>000000031831-NF-1</t>
  </si>
  <si>
    <t>000000031830-NF-1</t>
  </si>
  <si>
    <t>000000031829-NF-1</t>
  </si>
  <si>
    <t>000000031827-NF-1</t>
  </si>
  <si>
    <t>000000031826-NF-1</t>
  </si>
  <si>
    <t>000000031825-NF-1</t>
  </si>
  <si>
    <t>000000031824-NF-1</t>
  </si>
  <si>
    <t>000000031823-NF-1</t>
  </si>
  <si>
    <t>000000029052-IF-001</t>
  </si>
  <si>
    <t>GUILHERME</t>
  </si>
  <si>
    <t>000000029051-IF-001</t>
  </si>
  <si>
    <t>000000029050-IF-001</t>
  </si>
  <si>
    <t>000000029049-IF-001</t>
  </si>
  <si>
    <t>000000029048-IF-001</t>
  </si>
  <si>
    <t>000000029047-IF-001</t>
  </si>
  <si>
    <t>000000029046-IF-001</t>
  </si>
  <si>
    <t>000000029045-IF-001</t>
  </si>
  <si>
    <t>000000029044-IF-001</t>
  </si>
  <si>
    <t>000000029043-IF-001</t>
  </si>
  <si>
    <t>GIORDANO</t>
  </si>
  <si>
    <t>000000029042-IF-001</t>
  </si>
  <si>
    <t>000000029041-IF-001</t>
  </si>
  <si>
    <t>000000029040-IF-001</t>
  </si>
  <si>
    <t>000000029039-IF-001</t>
  </si>
  <si>
    <t>000000029038-IF-001</t>
  </si>
  <si>
    <t>000000029037-IF-001</t>
  </si>
  <si>
    <t>000000029036-IF-001</t>
  </si>
  <si>
    <t>000000029035-IF-001</t>
  </si>
  <si>
    <t>297.522.301-30</t>
  </si>
  <si>
    <t>DOUGLAS IZAC</t>
  </si>
  <si>
    <t>000000029034-IF-001</t>
  </si>
  <si>
    <t>000000029033-IF-001</t>
  </si>
  <si>
    <t>000000029032-IF-001</t>
  </si>
  <si>
    <t>000000029031-IF-001</t>
  </si>
  <si>
    <t>000000029030-IF-001</t>
  </si>
  <si>
    <t>BRUNO MENDES</t>
  </si>
  <si>
    <t>000000029029-IF-001</t>
  </si>
  <si>
    <t>000000029028-IF-001</t>
  </si>
  <si>
    <t>000000029027-IF-001</t>
  </si>
  <si>
    <t>ROMA</t>
  </si>
  <si>
    <t>000000029026-IF-001</t>
  </si>
  <si>
    <t>000000029025-IF-001</t>
  </si>
  <si>
    <t>000000029024-IF-001</t>
  </si>
  <si>
    <t>000000029023-IF-001</t>
  </si>
  <si>
    <t>000000029022-IF-001</t>
  </si>
  <si>
    <t>000000029021-IF-001</t>
  </si>
  <si>
    <t>000000029020-IF-001</t>
  </si>
  <si>
    <t>000000029019-IF-001</t>
  </si>
  <si>
    <t>000000028728-IF-001</t>
  </si>
  <si>
    <t>000000028727-IF-001</t>
  </si>
  <si>
    <t>000000028726-IF-001</t>
  </si>
  <si>
    <t>000000028725-IF-001</t>
  </si>
  <si>
    <t>000000028724-IF-001</t>
  </si>
  <si>
    <t>000000028723-IF-001</t>
  </si>
  <si>
    <t>000000028722-IF-001</t>
  </si>
  <si>
    <t>000000028721-IF-001</t>
  </si>
  <si>
    <t>000000028720-IF-001</t>
  </si>
  <si>
    <t>000000028719-IF-001</t>
  </si>
  <si>
    <t>000000028718-IF-001</t>
  </si>
  <si>
    <t>000000028717-IF-001</t>
  </si>
  <si>
    <t>000000028716-IF-001</t>
  </si>
  <si>
    <t>000000028715-IF-001</t>
  </si>
  <si>
    <t>JUNIO</t>
  </si>
  <si>
    <t>000000028714-IF-001</t>
  </si>
  <si>
    <t>000000028713-IF-001</t>
  </si>
  <si>
    <t>000000028712-IF-001</t>
  </si>
  <si>
    <t>000000028711-IF-001</t>
  </si>
  <si>
    <t>000000028710-IF-001</t>
  </si>
  <si>
    <t>000000028709-IF-001</t>
  </si>
  <si>
    <t>000000028707-IF-001</t>
  </si>
  <si>
    <t>000000028706-IF-001</t>
  </si>
  <si>
    <t>000000028705-IF-001</t>
  </si>
  <si>
    <t>000000028704-IF-001</t>
  </si>
  <si>
    <t>000000028703-IF-001</t>
  </si>
  <si>
    <t>000000028702-IF-001</t>
  </si>
  <si>
    <t>000000028701-IF-001</t>
  </si>
  <si>
    <t>000000028700-IF-001</t>
  </si>
  <si>
    <t>00.507.061/0001-40</t>
  </si>
  <si>
    <t>HANASHIRO MAQUINAS AGRICOLAS LTDA</t>
  </si>
  <si>
    <t>000000024869-NF-001</t>
  </si>
  <si>
    <t>01.834.378/0001-53</t>
  </si>
  <si>
    <t>TRANSPORTADORA SILVA COUTO LTDA</t>
  </si>
  <si>
    <t>000000024868-NF-001</t>
  </si>
  <si>
    <t>000000024867-NF-001</t>
  </si>
  <si>
    <t>33.626.720/0001-16</t>
  </si>
  <si>
    <t>DOLCE AROMA COM. DE ALIMENTOS EIRELLI</t>
  </si>
  <si>
    <t>000000024866-NF-001</t>
  </si>
  <si>
    <t>58.338.769/0001-02</t>
  </si>
  <si>
    <t>KENNET ALVES SOTO</t>
  </si>
  <si>
    <t>000000024865-NF-001</t>
  </si>
  <si>
    <t>000000024864-NF-001</t>
  </si>
  <si>
    <t>17.172.258/0001-78</t>
  </si>
  <si>
    <t>CAMARGOS E CARDOSO PANIFICADORA LTDA M</t>
  </si>
  <si>
    <t>000000024863-NF-001</t>
  </si>
  <si>
    <t>000000024862-NF-001</t>
  </si>
  <si>
    <t>000000024861-NF-001</t>
  </si>
  <si>
    <t>000000024860-NF-001</t>
  </si>
  <si>
    <t>00.099.465/0001-41</t>
  </si>
  <si>
    <t>ASSOCIAÇÃO DOS SERVIDORES SENADO FEDERAL</t>
  </si>
  <si>
    <t>000000024859-NF-001</t>
  </si>
  <si>
    <t>000000024858-NF-001</t>
  </si>
  <si>
    <t>000000024857-NF-001</t>
  </si>
  <si>
    <t>000000024856-NF-001</t>
  </si>
  <si>
    <t>000000024855-NF-001</t>
  </si>
  <si>
    <t>000000024853-NF-001</t>
  </si>
  <si>
    <t>07.779.910/0001-63</t>
  </si>
  <si>
    <t>SANTOS E SILVA COMERCIAL DE ALIMENTOS LTDA</t>
  </si>
  <si>
    <t>000000024852-NF-001</t>
  </si>
  <si>
    <t>22.103.655/0001-28</t>
  </si>
  <si>
    <t>ENGELUD ENGENHARIA CONSTRUCOES E CONSULTORIA LTDA EPP</t>
  </si>
  <si>
    <t>000000024851-NF-001</t>
  </si>
  <si>
    <t>000000024850-NF-001</t>
  </si>
  <si>
    <t>000000024849-NF-001</t>
  </si>
  <si>
    <t>000000024848-NF-001</t>
  </si>
  <si>
    <t>001.076.071-74</t>
  </si>
  <si>
    <t>ROSINEIDE VIEIRA FERNANDES</t>
  </si>
  <si>
    <t>000000024847-NF-001</t>
  </si>
  <si>
    <t>000000021513-IF-001</t>
  </si>
  <si>
    <t>000000021512-IF-001</t>
  </si>
  <si>
    <t>000000021511-IF-001</t>
  </si>
  <si>
    <t>000000021510-IF-001</t>
  </si>
  <si>
    <t>000000021509-IF-001</t>
  </si>
  <si>
    <t>000000021508-IF-001</t>
  </si>
  <si>
    <t>000000021507-IF-001</t>
  </si>
  <si>
    <t>000000021506-IF-001</t>
  </si>
  <si>
    <t>000000021505-IF-001</t>
  </si>
  <si>
    <t>000000021504-IF-001</t>
  </si>
  <si>
    <t>000000021503-IF-001</t>
  </si>
  <si>
    <t>000000021502-IF-001</t>
  </si>
  <si>
    <t>000000021501-IF-001</t>
  </si>
  <si>
    <t>000000021500-IF-001</t>
  </si>
  <si>
    <t>000000021499-IF-001</t>
  </si>
  <si>
    <t>000000021498-IF-001</t>
  </si>
  <si>
    <t>000000021497-IF-001</t>
  </si>
  <si>
    <t>279.968.591-91</t>
  </si>
  <si>
    <t>FLORESVALDO FERREIRA DE SOUZA</t>
  </si>
  <si>
    <t>000000021496-IF-001</t>
  </si>
  <si>
    <t>000000021495-IF-001</t>
  </si>
  <si>
    <t>000000021494-IF-001</t>
  </si>
  <si>
    <t>000000021493-IF-001</t>
  </si>
  <si>
    <t>000000021492-IF-001</t>
  </si>
  <si>
    <t>000000021491-IF-001</t>
  </si>
  <si>
    <t>000000021490-IF-001</t>
  </si>
  <si>
    <t>000000021489-IF-001</t>
  </si>
  <si>
    <t>000000019530-IF-1</t>
  </si>
  <si>
    <t>BRENO</t>
  </si>
  <si>
    <t>000000019529-IF-1</t>
  </si>
  <si>
    <t>000000019528-IF-1</t>
  </si>
  <si>
    <t>000000019527-IF-1</t>
  </si>
  <si>
    <t>000000019526-IF-1</t>
  </si>
  <si>
    <t>000000019525-IF-1</t>
  </si>
  <si>
    <t>000000019524-IF-1</t>
  </si>
  <si>
    <t>000000019523-IF-1</t>
  </si>
  <si>
    <t>000000019522-IF-1</t>
  </si>
  <si>
    <t>ROSEVALDO</t>
  </si>
  <si>
    <t>000000019521-IF-1</t>
  </si>
  <si>
    <t>000000019520-IF-1</t>
  </si>
  <si>
    <t>000000019519-IF-1</t>
  </si>
  <si>
    <t>000000019518-IF-1</t>
  </si>
  <si>
    <t>000000019272-IF-001</t>
  </si>
  <si>
    <t>000000019271-IF-001</t>
  </si>
  <si>
    <t>000000019270-IF-001</t>
  </si>
  <si>
    <t>ART RESTAUTO</t>
  </si>
  <si>
    <t>000000019269-IF-001</t>
  </si>
  <si>
    <t>351.912.283-91</t>
  </si>
  <si>
    <t>RAIMUNDO NONATO RODRIGUES DE SOUZA</t>
  </si>
  <si>
    <t>000000019268-IF-001</t>
  </si>
  <si>
    <t>000000019267-IF-001</t>
  </si>
  <si>
    <t>000000019266-IF-001</t>
  </si>
  <si>
    <t>000000019265-IF-001</t>
  </si>
  <si>
    <t>000000019264-IF-001</t>
  </si>
  <si>
    <t>000000019263-IF-001</t>
  </si>
  <si>
    <t>000000019262-IF-001</t>
  </si>
  <si>
    <t>000000019260-IF-001</t>
  </si>
  <si>
    <t>000000019259-IF-001</t>
  </si>
  <si>
    <t>000000019258-IF-001</t>
  </si>
  <si>
    <t>000000019257-IF-001</t>
  </si>
  <si>
    <t>000000019256-IF-001</t>
  </si>
  <si>
    <t>000000019255-IF-001</t>
  </si>
  <si>
    <t>000000019254-IF-001</t>
  </si>
  <si>
    <t>000000019253-IF-001</t>
  </si>
  <si>
    <t>JOSEI</t>
  </si>
  <si>
    <t>000000019252-IF-001</t>
  </si>
  <si>
    <t>000000019251-IF-001</t>
  </si>
  <si>
    <t>000000019250-IF-001</t>
  </si>
  <si>
    <t>000000019249-IF-001</t>
  </si>
  <si>
    <t>000000019248-IF-001</t>
  </si>
  <si>
    <t>41.136.283/0001-80</t>
  </si>
  <si>
    <t>THAYNARA FERREIRA DE JESUS SILVA</t>
  </si>
  <si>
    <t>000000019247-IF-001</t>
  </si>
  <si>
    <t>000000019246-IF-001</t>
  </si>
  <si>
    <t>000000019245-IF-001</t>
  </si>
  <si>
    <t>000000019244-IF-001</t>
  </si>
  <si>
    <t>011.962.371-40</t>
  </si>
  <si>
    <t>JOAQUIM BATISTA</t>
  </si>
  <si>
    <t>000000019243-IF-001</t>
  </si>
  <si>
    <t>000000019242-IF-001</t>
  </si>
  <si>
    <t>000000019241-IF-001</t>
  </si>
  <si>
    <t>000000019240-IF-001</t>
  </si>
  <si>
    <t>000000019239-IF-001</t>
  </si>
  <si>
    <t>JOTA</t>
  </si>
  <si>
    <t>000000019238-IF-001</t>
  </si>
  <si>
    <t>000000019237-IF-001</t>
  </si>
  <si>
    <t>000000019236-IF-001</t>
  </si>
  <si>
    <t>000000019235-IF-001</t>
  </si>
  <si>
    <t>000000019234-IF-001</t>
  </si>
  <si>
    <t>000000019233-IF-001</t>
  </si>
  <si>
    <t>000000019232-IF-001</t>
  </si>
  <si>
    <t>000000019231-IF-001</t>
  </si>
  <si>
    <t>000000019230-IF-001</t>
  </si>
  <si>
    <t>000000019229-IF-001</t>
  </si>
  <si>
    <t>000000019228-IF-001</t>
  </si>
  <si>
    <t>000000019227-IF-001</t>
  </si>
  <si>
    <t>000000019082-NF-001</t>
  </si>
  <si>
    <t>000000019081-NF-001</t>
  </si>
  <si>
    <t>000000019080-NF-001</t>
  </si>
  <si>
    <t>000000019079-NF-001</t>
  </si>
  <si>
    <t>000000019078-NF-001</t>
  </si>
  <si>
    <t>000000019077-NF-001</t>
  </si>
  <si>
    <t>000000019076-NF-001</t>
  </si>
  <si>
    <t>000000019075-NF-001</t>
  </si>
  <si>
    <t>000000019074-NF-001</t>
  </si>
  <si>
    <t>000000019073-NF-001</t>
  </si>
  <si>
    <t>000000019072-NF-001</t>
  </si>
  <si>
    <t>000000019071-NF-001</t>
  </si>
  <si>
    <t>000000019070-NF-001</t>
  </si>
  <si>
    <t>15.674.942/0001-22</t>
  </si>
  <si>
    <t>AUTO MECANICA AGILE</t>
  </si>
  <si>
    <t>000000019069-NF-001</t>
  </si>
  <si>
    <t>075.651.461-45</t>
  </si>
  <si>
    <t>SUPER CAR LANTERNAGEM E PINTURA</t>
  </si>
  <si>
    <t>000000019068-NF-001</t>
  </si>
  <si>
    <t>854.161.851-04</t>
  </si>
  <si>
    <t>ALEX LIDER</t>
  </si>
  <si>
    <t>000000019067-NF-001</t>
  </si>
  <si>
    <t>000000019066-NF-001</t>
  </si>
  <si>
    <t>000000019065-NF-001</t>
  </si>
  <si>
    <t>(01)053</t>
  </si>
  <si>
    <t>000000019064-NF-001</t>
  </si>
  <si>
    <t>000000019063-NF-001</t>
  </si>
  <si>
    <t>000000017993-IF-001</t>
  </si>
  <si>
    <t>000000017992-IF-001</t>
  </si>
  <si>
    <t>000000017991-IF-001</t>
  </si>
  <si>
    <t>825.052.921-91</t>
  </si>
  <si>
    <t>ORIAS JUNHO ALELUIA VIEIRA</t>
  </si>
  <si>
    <t>000000016541-FF-001</t>
  </si>
  <si>
    <t>000000016540-FF-001</t>
  </si>
  <si>
    <t>WHELINGTON</t>
  </si>
  <si>
    <t>000000016539-FF-001</t>
  </si>
  <si>
    <t>000000016538-FF-001</t>
  </si>
  <si>
    <t>000000016537-FF-001</t>
  </si>
  <si>
    <t>000000014603-FF-001</t>
  </si>
  <si>
    <t>000000014602-FF-001</t>
  </si>
  <si>
    <t>000000014601-FF-001</t>
  </si>
  <si>
    <t>000000014600-FF-001</t>
  </si>
  <si>
    <t>000000014599-FF-001</t>
  </si>
  <si>
    <t>000000014598-FF-001</t>
  </si>
  <si>
    <t>000000014597-FF-001</t>
  </si>
  <si>
    <t>000000014596-FF-001</t>
  </si>
  <si>
    <t>000000014595-FF-001</t>
  </si>
  <si>
    <t>000000014594-FF-001</t>
  </si>
  <si>
    <t>000000014593-FF-001</t>
  </si>
  <si>
    <t>000000014592-FF-001</t>
  </si>
  <si>
    <t>000000014591-FF-001</t>
  </si>
  <si>
    <t>000000014590-FF-001</t>
  </si>
  <si>
    <t>000000014589-FF-001</t>
  </si>
  <si>
    <t>000000014588-FF-001</t>
  </si>
  <si>
    <t>000000014587-FF-001</t>
  </si>
  <si>
    <t>012.896.021-31</t>
  </si>
  <si>
    <t>ANTONIEL CORNELIO AGUIAR</t>
  </si>
  <si>
    <t>000000014586-FF-001</t>
  </si>
  <si>
    <t>32.332.329/0001-46</t>
  </si>
  <si>
    <t>MAIS MOTORS MULTIMARCAS E CUIDADOS AUTOMOTIVOS LTDA</t>
  </si>
  <si>
    <t>000000014585-FF-001</t>
  </si>
  <si>
    <t>000000014584-FF-001</t>
  </si>
  <si>
    <t>000000014583-FF-001</t>
  </si>
  <si>
    <t>000000014581-FF-001</t>
  </si>
  <si>
    <t>000000014580-FF-001</t>
  </si>
  <si>
    <t>LAVA JATP STILLO</t>
  </si>
  <si>
    <t>000000014579-FF-001</t>
  </si>
  <si>
    <t>IMPRESSAO E CIA (LARISSA)</t>
  </si>
  <si>
    <t>000000014578-FF-001</t>
  </si>
  <si>
    <t>000000014577-FF-001</t>
  </si>
  <si>
    <t>07.892.639/0001-78</t>
  </si>
  <si>
    <t>UNAI TINTAS LTDA</t>
  </si>
  <si>
    <t>000000014576-FF-001</t>
  </si>
  <si>
    <t>000000014575-FF-001</t>
  </si>
  <si>
    <t>000000014574-FF-001</t>
  </si>
  <si>
    <t>000000014573-FF-001</t>
  </si>
  <si>
    <t>000000014572-FF-001</t>
  </si>
  <si>
    <t>000000014571-FF-001</t>
  </si>
  <si>
    <t>000000014570-FF-001</t>
  </si>
  <si>
    <t>000000014263-FF-001</t>
  </si>
  <si>
    <t>000000014262-FF-001</t>
  </si>
  <si>
    <t>000000014261-FF-001</t>
  </si>
  <si>
    <t>000000014260-FF-001</t>
  </si>
  <si>
    <t>000000014259-FF-001</t>
  </si>
  <si>
    <t>000000014258-FF-001</t>
  </si>
  <si>
    <t>000000014257-FF-001</t>
  </si>
  <si>
    <t>000000014256-FF-001</t>
  </si>
  <si>
    <t>000000014255-FF-001</t>
  </si>
  <si>
    <t>000000014254-FF-001</t>
  </si>
  <si>
    <t>000000014253-FF-001</t>
  </si>
  <si>
    <t>000000014252-FF-001</t>
  </si>
  <si>
    <t>000000014251-FF-001</t>
  </si>
  <si>
    <t>000000014250-FF-001</t>
  </si>
  <si>
    <t>000000014249-FF-001</t>
  </si>
  <si>
    <t>000000014248-FF-001</t>
  </si>
  <si>
    <t>000000009295-NF-001</t>
  </si>
  <si>
    <t>000000009294-NF-001</t>
  </si>
  <si>
    <t>000000009293-NF-001</t>
  </si>
  <si>
    <t>000000009292-NF-001</t>
  </si>
  <si>
    <t>000000009291-NF-001</t>
  </si>
  <si>
    <t>000000009290-NF-001</t>
  </si>
  <si>
    <t>000000009289-NF-001</t>
  </si>
  <si>
    <t>000000009288-NF-001</t>
  </si>
  <si>
    <t>000000007765-FF-001</t>
  </si>
  <si>
    <t>000000007764-FF-001</t>
  </si>
  <si>
    <t>000000007763-FF-001</t>
  </si>
  <si>
    <t>000000007762-FF-001</t>
  </si>
  <si>
    <t>000000007761-FF-001</t>
  </si>
  <si>
    <t>000000007760-FF-001</t>
  </si>
  <si>
    <t>000000007759-FF-001</t>
  </si>
  <si>
    <t>000000007758-FF-001</t>
  </si>
  <si>
    <t>(01)010</t>
  </si>
  <si>
    <t>000000007757-FF-001</t>
  </si>
  <si>
    <t>000000006903-FF-001</t>
  </si>
  <si>
    <t>000000006902-FF-001</t>
  </si>
  <si>
    <t>IRLANE</t>
  </si>
  <si>
    <t>000000006590-IF-001</t>
  </si>
  <si>
    <t>000000006589-IF-001</t>
  </si>
  <si>
    <t>000000006588-IF-001</t>
  </si>
  <si>
    <t>000000006587-IF-001</t>
  </si>
  <si>
    <t>000000006586-IF-001</t>
  </si>
  <si>
    <t>000000006585-IF-001</t>
  </si>
  <si>
    <t>36.296.068/0001-07</t>
  </si>
  <si>
    <t>TOTAL ESQUADRIAS LTDA</t>
  </si>
  <si>
    <t>000000006584-IF-001</t>
  </si>
  <si>
    <t>000000006583-IF-001</t>
  </si>
  <si>
    <t>000000006582-IF-001</t>
  </si>
  <si>
    <t>000000006581-IF-001</t>
  </si>
  <si>
    <t>000000006580-IF-001</t>
  </si>
  <si>
    <t>000000006579-IF-001</t>
  </si>
  <si>
    <t>000000006578-IF-001</t>
  </si>
  <si>
    <t>000000006577-IF-001</t>
  </si>
  <si>
    <t>000000006576-IF-001</t>
  </si>
  <si>
    <t>000000006575-IF-001</t>
  </si>
  <si>
    <t>000000006574-IF-001</t>
  </si>
  <si>
    <t>000000006573-IF-001</t>
  </si>
  <si>
    <t>000000006572-IF-001</t>
  </si>
  <si>
    <t>000000006571-IF-001</t>
  </si>
  <si>
    <t>000000006570-IF-001</t>
  </si>
  <si>
    <t>000000006569-IF-001</t>
  </si>
  <si>
    <t>000000006568-IF-001</t>
  </si>
  <si>
    <t>000000006567-IF-001</t>
  </si>
  <si>
    <t>000000006566-IF-001</t>
  </si>
  <si>
    <t>000000006565-IF-001</t>
  </si>
  <si>
    <t>000000006564-IF-001</t>
  </si>
  <si>
    <t>ALISSON</t>
  </si>
  <si>
    <t>000000006563-IF-001</t>
  </si>
  <si>
    <t>000000006562-IF-001</t>
  </si>
  <si>
    <t>000000006561-IF-001</t>
  </si>
  <si>
    <t>000000006560-IF-001</t>
  </si>
  <si>
    <t>000000006559-IF-001</t>
  </si>
  <si>
    <t>000000006558-IF-001</t>
  </si>
  <si>
    <t>000000006557-IF-001</t>
  </si>
  <si>
    <t>000000006556-IF-001</t>
  </si>
  <si>
    <t>000000006555-IF-001</t>
  </si>
  <si>
    <t>000000006554-IF-001</t>
  </si>
  <si>
    <t>000000006553-IF-001</t>
  </si>
  <si>
    <t>000000006552-IF-001</t>
  </si>
  <si>
    <t>000000006551-IF-001</t>
  </si>
  <si>
    <t>000000006550-IF-001</t>
  </si>
  <si>
    <t>000000006549-IF-001</t>
  </si>
  <si>
    <t>000000006548-IF-001</t>
  </si>
  <si>
    <t>000000006547-IF-001</t>
  </si>
  <si>
    <t>000000006546-IF-001</t>
  </si>
  <si>
    <t>000000006545-IF-001</t>
  </si>
  <si>
    <t>000000006544-IF-001</t>
  </si>
  <si>
    <t>000000006543-IF-001</t>
  </si>
  <si>
    <t>000000006542-IF-001</t>
  </si>
  <si>
    <t>000000006541-IF-001</t>
  </si>
  <si>
    <t>000000003778-NF-001</t>
  </si>
  <si>
    <t>19.778.660/0001-26</t>
  </si>
  <si>
    <t>FREITAS E SILVA COMERCIO E LOCA DE VEICULOS</t>
  </si>
  <si>
    <t>000000003777-NF-001</t>
  </si>
  <si>
    <t>000000003776-NF-001</t>
  </si>
  <si>
    <t>000000003775-NF-001</t>
  </si>
  <si>
    <t>62.450.957/0001-97</t>
  </si>
  <si>
    <t>HIDRAUMILLER LTDA</t>
  </si>
  <si>
    <t>000000003173-NF-001</t>
  </si>
  <si>
    <t>000000003172-NF-001</t>
  </si>
  <si>
    <t>20.294.171/0001-88</t>
  </si>
  <si>
    <t>MAGU PEÇAS LANTERNAGEM E PINTURA LTDA</t>
  </si>
  <si>
    <t>000000003171-NF-001</t>
  </si>
  <si>
    <t>000000003169-NF-001</t>
  </si>
  <si>
    <t>000000003168-NF-001</t>
  </si>
  <si>
    <t>000000003167-NF-001</t>
  </si>
  <si>
    <t>000000002584-NS-001</t>
  </si>
  <si>
    <t>000000002583-NS-001</t>
  </si>
  <si>
    <t>000000002582-NS-001</t>
  </si>
  <si>
    <t>000000002581-NS-001</t>
  </si>
  <si>
    <t>000000002580-NS-001</t>
  </si>
  <si>
    <t>000000002579-NS-001</t>
  </si>
  <si>
    <t>000000002578-NS-001</t>
  </si>
  <si>
    <t>000000002577-NS-001</t>
  </si>
  <si>
    <t>000000002576-NS-001</t>
  </si>
  <si>
    <t>000000002575-NS-001</t>
  </si>
  <si>
    <t>000000001399-FF-001</t>
  </si>
  <si>
    <t>000000000884-FF-001</t>
  </si>
  <si>
    <t>47.439.073/0001-48</t>
  </si>
  <si>
    <t>PREMIER LANTERNAGEM E PINTURA</t>
  </si>
  <si>
    <t>000000000883-FF-001</t>
  </si>
  <si>
    <t>000000000882-FF-001</t>
  </si>
  <si>
    <t>13.338.724/0001-91</t>
  </si>
  <si>
    <t>OFICINA DO GUEDES LTDA</t>
  </si>
  <si>
    <t>000000000881-FF-001</t>
  </si>
  <si>
    <t>000000000880-FF-001</t>
  </si>
  <si>
    <t>000000000879-FF-001</t>
  </si>
  <si>
    <t>000000000878-FF-001</t>
  </si>
  <si>
    <t>000000000877-FF-001</t>
  </si>
  <si>
    <t>000000000876-FF-001</t>
  </si>
  <si>
    <t>000000000875-FF-001</t>
  </si>
  <si>
    <t>000000000874-FF-001</t>
  </si>
  <si>
    <t>000000000821-NF-001</t>
  </si>
  <si>
    <t>000000000820-NF-001</t>
  </si>
  <si>
    <t>28.923.139/0001-26</t>
  </si>
  <si>
    <t>VITACOW LTDA</t>
  </si>
  <si>
    <t>000000000819-NF-001</t>
  </si>
  <si>
    <t>(01)021</t>
  </si>
  <si>
    <t>000000000818-NF-001</t>
  </si>
  <si>
    <t>000000000817-NF-001</t>
  </si>
  <si>
    <t>000000000816-NF-001</t>
  </si>
  <si>
    <t>000000000815-NF-001</t>
  </si>
  <si>
    <t>000000000814-NF-001</t>
  </si>
  <si>
    <t>717.342.101-25</t>
  </si>
  <si>
    <t>ALESSANDRA CRISTINA GONTIJO SILVA</t>
  </si>
  <si>
    <t>000000000813-NF-001</t>
  </si>
  <si>
    <t>000000613161-FF-1</t>
  </si>
  <si>
    <t>000000055331-IF-1</t>
  </si>
  <si>
    <t>000000055330-IF-1</t>
  </si>
  <si>
    <t>54.054.332/0001-88</t>
  </si>
  <si>
    <t>FELIPE SANTOS DE SOUZA</t>
  </si>
  <si>
    <t>000000055329-IF-1</t>
  </si>
  <si>
    <t>11.528.516/0001-20</t>
  </si>
  <si>
    <t>ANDRE LUIZ LEITE DE SOUZA</t>
  </si>
  <si>
    <t>000000055328-IF-1</t>
  </si>
  <si>
    <t>000000043100-IF-001</t>
  </si>
  <si>
    <t>000000043099-IF-001</t>
  </si>
  <si>
    <t>000000043098-IF-001</t>
  </si>
  <si>
    <t>000000043097-IF-001</t>
  </si>
  <si>
    <t>000000043096-IF-001</t>
  </si>
  <si>
    <t>000000043095-IF-001</t>
  </si>
  <si>
    <t>000000043094-IF-001</t>
  </si>
  <si>
    <t>000000043093-IF-001</t>
  </si>
  <si>
    <t>000000043092-IF-001</t>
  </si>
  <si>
    <t>000000043091-IF-001</t>
  </si>
  <si>
    <t>ANDERSON MARTELINHO 17</t>
  </si>
  <si>
    <t>000000043090-IF-001</t>
  </si>
  <si>
    <t>000000043089-IF-001</t>
  </si>
  <si>
    <t>VILMAR</t>
  </si>
  <si>
    <t>000000043088-IF-001</t>
  </si>
  <si>
    <t>000000043087-IF-001</t>
  </si>
  <si>
    <t>000000043086-IF-001</t>
  </si>
  <si>
    <t>000000043085-IF-001</t>
  </si>
  <si>
    <t>000000043084-IF-001</t>
  </si>
  <si>
    <t>000000043083-IF-001</t>
  </si>
  <si>
    <t>000000043082-IF-001</t>
  </si>
  <si>
    <t>000000043081-IF-001</t>
  </si>
  <si>
    <t>000000043080-IF-001</t>
  </si>
  <si>
    <t>000000043079-IF-001</t>
  </si>
  <si>
    <t>000000043078-IF-001</t>
  </si>
  <si>
    <t>821.841.516-53</t>
  </si>
  <si>
    <t>ADAO DE ALCANTARA  MENDES</t>
  </si>
  <si>
    <t>000000043077-IF-001</t>
  </si>
  <si>
    <t>000000043076-IF-001</t>
  </si>
  <si>
    <t>000000043075-IF-001</t>
  </si>
  <si>
    <t>000000043074-IF-001</t>
  </si>
  <si>
    <t>000000043073-IF-001</t>
  </si>
  <si>
    <t>000000043072-IF-001</t>
  </si>
  <si>
    <t>000000043071-IF-001</t>
  </si>
  <si>
    <t>000000043070-IF-001</t>
  </si>
  <si>
    <t>000000043069-IF-001</t>
  </si>
  <si>
    <t>000000043068-IF-001</t>
  </si>
  <si>
    <t>000000043067-IF-001</t>
  </si>
  <si>
    <t>000000043066-IF-001</t>
  </si>
  <si>
    <t>49.841.005/0001-36</t>
  </si>
  <si>
    <t>OMMINICAR COMERCIO E SERVIÇOS DE AUTOMOTORES LTDA</t>
  </si>
  <si>
    <t>000000031822-NF-1</t>
  </si>
  <si>
    <t>000000031821-NF-1</t>
  </si>
  <si>
    <t>000000031820-NF-1</t>
  </si>
  <si>
    <t>000000031819-NF-1</t>
  </si>
  <si>
    <t>000000031818-NF-1</t>
  </si>
  <si>
    <t>000000031817-NF-1</t>
  </si>
  <si>
    <t>000000031816-NF-1</t>
  </si>
  <si>
    <t>000000029018-IF-001</t>
  </si>
  <si>
    <t>55.407.851/0001-45</t>
  </si>
  <si>
    <t>ATIVA NAUTICA SERVIÇOS NAUTICOS LTDA</t>
  </si>
  <si>
    <t>000000029017-IF-001</t>
  </si>
  <si>
    <t>000000029016-IF-001</t>
  </si>
  <si>
    <t>538.631.781-49</t>
  </si>
  <si>
    <t>EDILSON SILVA</t>
  </si>
  <si>
    <t>000000029015-IF-001</t>
  </si>
  <si>
    <t>000000029014-IF-001</t>
  </si>
  <si>
    <t>000000029013-IF-001</t>
  </si>
  <si>
    <t>505.939.431-04</t>
  </si>
  <si>
    <t>000000029012-IF-001</t>
  </si>
  <si>
    <t>000000029011-IF-001</t>
  </si>
  <si>
    <t>23.593.765/0001-88</t>
  </si>
  <si>
    <t>MS ACESSIBILIDADE E  COMUNICACAO EIRELI</t>
  </si>
  <si>
    <t>000000029010-IF-001</t>
  </si>
  <si>
    <t>925.717.271-68</t>
  </si>
  <si>
    <t>000000029009-IF-001</t>
  </si>
  <si>
    <t>000000029008-IF-001</t>
  </si>
  <si>
    <t>000000029007-IF-001</t>
  </si>
  <si>
    <t>000000029006-IF-001</t>
  </si>
  <si>
    <t>000000029005-IF-001</t>
  </si>
  <si>
    <t>000000029004-IF-001</t>
  </si>
  <si>
    <t>000000029003-IF-001</t>
  </si>
  <si>
    <t>000000029002-IF-001</t>
  </si>
  <si>
    <t>000000028699-IF-001</t>
  </si>
  <si>
    <t>000000028698-IF-001</t>
  </si>
  <si>
    <t>000000028697-IF-001</t>
  </si>
  <si>
    <t>000000028696-IF-001</t>
  </si>
  <si>
    <t>000000028695-IF-001</t>
  </si>
  <si>
    <t>000000028694-IF-001</t>
  </si>
  <si>
    <t>000000028693-IF-001</t>
  </si>
  <si>
    <t>000000028692-IF-001</t>
  </si>
  <si>
    <t>000000028691-IF-001</t>
  </si>
  <si>
    <t>000000028690-IF-001</t>
  </si>
  <si>
    <t>000000028689-IF-001</t>
  </si>
  <si>
    <t>000000028688-IF-001</t>
  </si>
  <si>
    <t>000000028687-IF-001</t>
  </si>
  <si>
    <t>(01)026</t>
  </si>
  <si>
    <t>000000028686-IF-001</t>
  </si>
  <si>
    <t>000000028685-IF-001</t>
  </si>
  <si>
    <t>000000028684-IF-001</t>
  </si>
  <si>
    <t>FYBER</t>
  </si>
  <si>
    <t>000000028683-IF-001</t>
  </si>
  <si>
    <t>000000028682-IF-001</t>
  </si>
  <si>
    <t>000000028681-IF-001</t>
  </si>
  <si>
    <t>RN AUTO CENTER</t>
  </si>
  <si>
    <t>000000028680-IF-001</t>
  </si>
  <si>
    <t>19.116.488/0002-26</t>
  </si>
  <si>
    <t>PARTS LUB DISTR  E SERV EIRELLI</t>
  </si>
  <si>
    <t>000000024846-NF-001</t>
  </si>
  <si>
    <t>000000024845-NF-001</t>
  </si>
  <si>
    <t>49.662.850/0001-44</t>
  </si>
  <si>
    <t>SOLYDO ENGENHARIA</t>
  </si>
  <si>
    <t>000000024844-NF-001</t>
  </si>
  <si>
    <t>32.683.325/0001-02</t>
  </si>
  <si>
    <t>UP FABRICA DESIGNER EIRELLI</t>
  </si>
  <si>
    <t>000000024843-NF-001</t>
  </si>
  <si>
    <t>42.063.392/0001-88</t>
  </si>
  <si>
    <t>HABITAR REPRESENTAÇOES</t>
  </si>
  <si>
    <t>000000024842-NF-001</t>
  </si>
  <si>
    <t>53.470.513/0002-03</t>
  </si>
  <si>
    <t>CIA LAKE LTDA</t>
  </si>
  <si>
    <t>000000024841-NF-001</t>
  </si>
  <si>
    <t>01.608.702/0001-15</t>
  </si>
  <si>
    <t>LM COMUNICAÇAO VIS E PROJ LTDA</t>
  </si>
  <si>
    <t>000000024840-NF-001</t>
  </si>
  <si>
    <t>40.477.649/0001-12</t>
  </si>
  <si>
    <t>RETOCARS AUTO SERVICE LTDA</t>
  </si>
  <si>
    <t>000000024839-NF-001</t>
  </si>
  <si>
    <t>000000024838-NF-001</t>
  </si>
  <si>
    <t>04.213.470/0001-94</t>
  </si>
  <si>
    <t>RF ILUMINACAO DE AMBIENTE LTDA</t>
  </si>
  <si>
    <t>000000024837-NF-001</t>
  </si>
  <si>
    <t>15.474.173/0001-19</t>
  </si>
  <si>
    <t>MS CONSTRUCOES E REFORMAS</t>
  </si>
  <si>
    <t>000000024836-NF-001</t>
  </si>
  <si>
    <t>05.959.992/0001-00</t>
  </si>
  <si>
    <t>HMH SOLUCOES GRAFICAS</t>
  </si>
  <si>
    <t>000000024835-NF-001</t>
  </si>
  <si>
    <t>000000024834-NF-001</t>
  </si>
  <si>
    <t>000000024833-NF-001</t>
  </si>
  <si>
    <t>000000024832-NF-001</t>
  </si>
  <si>
    <t>000000021488-IF-001</t>
  </si>
  <si>
    <t>000000021487-IF-001</t>
  </si>
  <si>
    <t>000000021486-IF-001</t>
  </si>
  <si>
    <t>000000021485-IF-001</t>
  </si>
  <si>
    <t>000000021484-IF-001</t>
  </si>
  <si>
    <t>MINEIRO</t>
  </si>
  <si>
    <t>000000021483-IF-001</t>
  </si>
  <si>
    <t>GALEGO JS CAR</t>
  </si>
  <si>
    <t>000000021482-IF-001</t>
  </si>
  <si>
    <t>000000021481-IF-001</t>
  </si>
  <si>
    <t>024.594.431-10</t>
  </si>
  <si>
    <t>JUAREZ DA SILVA ROSA</t>
  </si>
  <si>
    <t>000000021480-IF-001</t>
  </si>
  <si>
    <t>000000021479-IF-001</t>
  </si>
  <si>
    <t>000000021478-IF-001</t>
  </si>
  <si>
    <t>000000021477-IF-001</t>
  </si>
  <si>
    <t>000000021476-IF-001</t>
  </si>
  <si>
    <t>000000021475-IF-001</t>
  </si>
  <si>
    <t>000000021474-IF-001</t>
  </si>
  <si>
    <t>883.246.801-87</t>
  </si>
  <si>
    <t>GLEISSON ALVES DA SILVA</t>
  </si>
  <si>
    <t>000000021473-IF-001</t>
  </si>
  <si>
    <t>000000021472-IF-001</t>
  </si>
  <si>
    <t>734.662.391-68</t>
  </si>
  <si>
    <t>ABEL DE CARVALHO SOARES</t>
  </si>
  <si>
    <t>000000021471-IF-001</t>
  </si>
  <si>
    <t>000000021470-IF-001</t>
  </si>
  <si>
    <t>000000021469-IF-001</t>
  </si>
  <si>
    <t>000000021468-IF-001</t>
  </si>
  <si>
    <t>000000019517-IF-1</t>
  </si>
  <si>
    <t>000000019516-IF-1</t>
  </si>
  <si>
    <t>CONECT CAR</t>
  </si>
  <si>
    <t>000000019515-IF-1</t>
  </si>
  <si>
    <t>000000019514-IF-1</t>
  </si>
  <si>
    <t>000000019513-IF-1</t>
  </si>
  <si>
    <t>000000019512-IF-1</t>
  </si>
  <si>
    <t>000000019511-IF-1</t>
  </si>
  <si>
    <t>REINALDO CELTA</t>
  </si>
  <si>
    <t>000000019510-IF-1</t>
  </si>
  <si>
    <t>000000019509-IF-1</t>
  </si>
  <si>
    <t>REINALDO/ CELTA</t>
  </si>
  <si>
    <t>000000019508-IF-1</t>
  </si>
  <si>
    <t>34.780.992/0001-39</t>
  </si>
  <si>
    <t>CENTRO AUTOMOTIVO RESTAURA CAR</t>
  </si>
  <si>
    <t>000000019507-IF-1</t>
  </si>
  <si>
    <t>000000019226-IF-001</t>
  </si>
  <si>
    <t>000000019225-IF-001</t>
  </si>
  <si>
    <t>000000019224-IF-001</t>
  </si>
  <si>
    <t>000000019223-IF-001</t>
  </si>
  <si>
    <t>000000019222-IF-001</t>
  </si>
  <si>
    <t>000000019221-IF-001</t>
  </si>
  <si>
    <t>000000019220-IF-001</t>
  </si>
  <si>
    <t>000000019219-IF-001</t>
  </si>
  <si>
    <t>000000019218-IF-001</t>
  </si>
  <si>
    <t>000000019217-IF-001</t>
  </si>
  <si>
    <t>000000019216-IF-001</t>
  </si>
  <si>
    <t>000000019215-IF-001</t>
  </si>
  <si>
    <t>000000019214-IF-001</t>
  </si>
  <si>
    <t>000000019213-IF-001</t>
  </si>
  <si>
    <t>000000019212-IF-001</t>
  </si>
  <si>
    <t>000000019211-IF-001</t>
  </si>
  <si>
    <t>000000019210-IF-001</t>
  </si>
  <si>
    <t>000000019209-IF-001</t>
  </si>
  <si>
    <t>33.608.382/0001-90</t>
  </si>
  <si>
    <t>ITALO PICOLO ROSA LIMA</t>
  </si>
  <si>
    <t>000000019208-IF-001</t>
  </si>
  <si>
    <t>03.206.704/0001-03</t>
  </si>
  <si>
    <t>MVS AUTOS LTDA</t>
  </si>
  <si>
    <t>000000019207-IF-001</t>
  </si>
  <si>
    <t>000000019206-IF-001</t>
  </si>
  <si>
    <t>000000019205-IF-001</t>
  </si>
  <si>
    <t>000000019204-IF-001</t>
  </si>
  <si>
    <t>000000019203-IF-001</t>
  </si>
  <si>
    <t>000000019202-IF-001</t>
  </si>
  <si>
    <t>000000019201-IF-001</t>
  </si>
  <si>
    <t>000000019200-IF-001</t>
  </si>
  <si>
    <t>000000019199-IF-001</t>
  </si>
  <si>
    <t>000000019198-IF-001</t>
  </si>
  <si>
    <t>000000019197-IF-001</t>
  </si>
  <si>
    <t>000000019196-IF-001</t>
  </si>
  <si>
    <t>000000019195-IF-001</t>
  </si>
  <si>
    <t>000000019194-IF-001</t>
  </si>
  <si>
    <t>000000019193-IF-001</t>
  </si>
  <si>
    <t>000000019192-IF-001</t>
  </si>
  <si>
    <t>DOUGLAS</t>
  </si>
  <si>
    <t>000000019191-IF-001</t>
  </si>
  <si>
    <t>000000019190-IF-001</t>
  </si>
  <si>
    <t>000000019189-IF-001</t>
  </si>
  <si>
    <t>000000019188-IF-001</t>
  </si>
  <si>
    <t>08.969.361/0001-52</t>
  </si>
  <si>
    <t>CMYK COMUNICAÇÃO VISUAL LTDA ME</t>
  </si>
  <si>
    <t>000000019187-IF-001</t>
  </si>
  <si>
    <t>000000019186-IF-001</t>
  </si>
  <si>
    <t>810.910.601-34</t>
  </si>
  <si>
    <t>CHRYSTIANE BRANCDAO CAVALCANTE</t>
  </si>
  <si>
    <t>000000019185-IF-001</t>
  </si>
  <si>
    <t>39.968.131/0001-00</t>
  </si>
  <si>
    <t>DESTAK COMERCIO DE CONFECCAO LTDA</t>
  </si>
  <si>
    <t>000000019184-IF-001</t>
  </si>
  <si>
    <t>000000019183-IF-001</t>
  </si>
  <si>
    <t>000000019062-NF-001</t>
  </si>
  <si>
    <t>000000019061-NF-001</t>
  </si>
  <si>
    <t>000000019060-NF-001</t>
  </si>
  <si>
    <t>06.173.102/0001-95</t>
  </si>
  <si>
    <t>EDUARDO AUTO MINAS LANTERNAGEM PINTURA E MEC LTDA</t>
  </si>
  <si>
    <t>000000019059-NF-001</t>
  </si>
  <si>
    <t>000000019058-NF-001</t>
  </si>
  <si>
    <t>(01)054</t>
  </si>
  <si>
    <t>000000019057-NF-001</t>
  </si>
  <si>
    <t>000000019056-NF-001</t>
  </si>
  <si>
    <t>000000019055-NF-001</t>
  </si>
  <si>
    <t>000000019054-NF-001</t>
  </si>
  <si>
    <t>000000019052-NF-001</t>
  </si>
  <si>
    <t>000000019051-NF-001</t>
  </si>
  <si>
    <t>000000019050-NF-001</t>
  </si>
  <si>
    <t>000000019049-NF-001</t>
  </si>
  <si>
    <t>000000019048-NF-001</t>
  </si>
  <si>
    <t>000000019047-NF-001</t>
  </si>
  <si>
    <t>000000019046-NF-001</t>
  </si>
  <si>
    <t>000000017990-IF-001</t>
  </si>
  <si>
    <t>088.605.256-40</t>
  </si>
  <si>
    <t>DOUGLAS HENRIQUE APARECIDO OLIVEIRA</t>
  </si>
  <si>
    <t>000000017989-IF-001</t>
  </si>
  <si>
    <t>000000017988-IF-001</t>
  </si>
  <si>
    <t>000000017987-IF-001</t>
  </si>
  <si>
    <t>000000016536-FF-001</t>
  </si>
  <si>
    <t>000000016535-FF-001</t>
  </si>
  <si>
    <t>000000016534-FF-001</t>
  </si>
  <si>
    <t>000000016533-FF-001</t>
  </si>
  <si>
    <t>000000015025-NF-1</t>
  </si>
  <si>
    <t>000000015024-NF-1</t>
  </si>
  <si>
    <t>000000014569-FF-001</t>
  </si>
  <si>
    <t>000000014568-FF-001</t>
  </si>
  <si>
    <t>000000014567-FF-001</t>
  </si>
  <si>
    <t>000000014566-FF-001</t>
  </si>
  <si>
    <t>000000014565-FF-001</t>
  </si>
  <si>
    <t>000000014564-FF-001</t>
  </si>
  <si>
    <t>000000014563-FF-001</t>
  </si>
  <si>
    <t>000000014562-FF-001</t>
  </si>
  <si>
    <t>000000014561-FF-001</t>
  </si>
  <si>
    <t>000000014560-FF-001</t>
  </si>
  <si>
    <t>LAVA JATO DO DUDU</t>
  </si>
  <si>
    <t>000000014559-FF-001</t>
  </si>
  <si>
    <t>000000014558-FF-001</t>
  </si>
  <si>
    <t>000000014557-FF-001</t>
  </si>
  <si>
    <t>000000014556-FF-001</t>
  </si>
  <si>
    <t>000000014555-FF-001</t>
  </si>
  <si>
    <t>000000014554-FF-001</t>
  </si>
  <si>
    <t>000000014553-FF-001</t>
  </si>
  <si>
    <t>000000014552-FF-001</t>
  </si>
  <si>
    <t>000000014551-FF-001</t>
  </si>
  <si>
    <t>039.944.856-06</t>
  </si>
  <si>
    <t>ALVIMAR DA SILVA</t>
  </si>
  <si>
    <t>000000014550-FF-001</t>
  </si>
  <si>
    <t>000000014549-FF-001</t>
  </si>
  <si>
    <t>000000014548-FF-001</t>
  </si>
  <si>
    <t>000000014547-FF-001</t>
  </si>
  <si>
    <t>000000014546-FF-001</t>
  </si>
  <si>
    <t>000000014545-FF-001</t>
  </si>
  <si>
    <t>000000014247-FF-001</t>
  </si>
  <si>
    <t>000000014246-FF-001</t>
  </si>
  <si>
    <t>000000014245-FF-001</t>
  </si>
  <si>
    <t>000000014244-FF-001</t>
  </si>
  <si>
    <t>000000014243-FF-001</t>
  </si>
  <si>
    <t>000000014242-FF-001</t>
  </si>
  <si>
    <t>000000014241-FF-001</t>
  </si>
  <si>
    <t>000000014240-FF-001</t>
  </si>
  <si>
    <t>000000009287-NF-001</t>
  </si>
  <si>
    <t>000000009286-NF-001</t>
  </si>
  <si>
    <t>000000009285-NF-001</t>
  </si>
  <si>
    <t>000000009284-NF-001</t>
  </si>
  <si>
    <t>000000009283-NF-001</t>
  </si>
  <si>
    <t>000000009282-NF-001</t>
  </si>
  <si>
    <t>000000009281-NF-001</t>
  </si>
  <si>
    <t>000000009280-NF-001</t>
  </si>
  <si>
    <t>000000007756-FF-001</t>
  </si>
  <si>
    <t>000000007755-FF-001</t>
  </si>
  <si>
    <t>55.026.273/0001-05</t>
  </si>
  <si>
    <t>VAGNER DA SILVA</t>
  </si>
  <si>
    <t>000000007754-FF-001</t>
  </si>
  <si>
    <t>000000007753-FF-001</t>
  </si>
  <si>
    <t>000000007752-FF-001</t>
  </si>
  <si>
    <t>000000007751-FF-001</t>
  </si>
  <si>
    <t>000000007750-FF-001</t>
  </si>
  <si>
    <t>000000007749-FF-001</t>
  </si>
  <si>
    <t>000000006901-FF-001</t>
  </si>
  <si>
    <t>000000006900-FF-001</t>
  </si>
  <si>
    <t>000000006899-FF-001</t>
  </si>
  <si>
    <t>000000006898-FF-001</t>
  </si>
  <si>
    <t>000000006540-IF-001</t>
  </si>
  <si>
    <t>000000006539-IF-001</t>
  </si>
  <si>
    <t>JHONATHAN</t>
  </si>
  <si>
    <t>000000006538-IF-001</t>
  </si>
  <si>
    <t>MARCELO NOLETO</t>
  </si>
  <si>
    <t>000000006537-IF-001</t>
  </si>
  <si>
    <t>000000006536-IF-001</t>
  </si>
  <si>
    <t>000000006535-IF-001</t>
  </si>
  <si>
    <t>000000006534-IF-001</t>
  </si>
  <si>
    <t>000000006533-IF-001</t>
  </si>
  <si>
    <t>000000006532-IF-001</t>
  </si>
  <si>
    <t>000000006531-IF-001</t>
  </si>
  <si>
    <t>000000006530-IF-001</t>
  </si>
  <si>
    <t>000000006529-IF-001</t>
  </si>
  <si>
    <t>DUCK MTOS</t>
  </si>
  <si>
    <t>000000006528-IF-001</t>
  </si>
  <si>
    <t>000000006527-IF-001</t>
  </si>
  <si>
    <t>855.936.481-15</t>
  </si>
  <si>
    <t>IVANETE VILELA DA SILVA</t>
  </si>
  <si>
    <t>000000006526-IF-001</t>
  </si>
  <si>
    <t>000000006525-IF-001</t>
  </si>
  <si>
    <t>000000006524-IF-001</t>
  </si>
  <si>
    <t>000000006523-IF-001</t>
  </si>
  <si>
    <t>000000006522-IF-001</t>
  </si>
  <si>
    <t>667.083.545-00</t>
  </si>
  <si>
    <t>MANOEL MESSIAS</t>
  </si>
  <si>
    <t>000000006521-IF-001</t>
  </si>
  <si>
    <t>000000006520-IF-001</t>
  </si>
  <si>
    <t>000000006519-IF-001</t>
  </si>
  <si>
    <t>000000006518-IF-001</t>
  </si>
  <si>
    <t>000000006517-IF-001</t>
  </si>
  <si>
    <t>000000006516-IF-001</t>
  </si>
  <si>
    <t>000000006515-IF-001</t>
  </si>
  <si>
    <t>068.815.901-05</t>
  </si>
  <si>
    <t>GUSTAVO PEREIRA AYALA</t>
  </si>
  <si>
    <t>000000006514-IF-001</t>
  </si>
  <si>
    <t>000000006513-IF-001</t>
  </si>
  <si>
    <t>000000006512-IF-001</t>
  </si>
  <si>
    <t>000000006511-IF-001</t>
  </si>
  <si>
    <t>000000006510-IF-001</t>
  </si>
  <si>
    <t>000000006509-IF-001</t>
  </si>
  <si>
    <t>000000003774-NF-001</t>
  </si>
  <si>
    <t>000000003773-NF-001</t>
  </si>
  <si>
    <t>000000003771-NF-001</t>
  </si>
  <si>
    <t>000000003770-NF-001</t>
  </si>
  <si>
    <t>000000003768-NF-001</t>
  </si>
  <si>
    <t>000000003767-NF-001</t>
  </si>
  <si>
    <t>000000003765-NF-001</t>
  </si>
  <si>
    <t>000000003166-NF-001</t>
  </si>
  <si>
    <t>000000000873-FF-001</t>
  </si>
  <si>
    <t>000000000872-FF-001</t>
  </si>
  <si>
    <t>000000000871-FF-001</t>
  </si>
  <si>
    <t>000000000870-FF-001</t>
  </si>
  <si>
    <t>000000000869-FF-001</t>
  </si>
  <si>
    <t>000000000868-FF-001</t>
  </si>
  <si>
    <t>000000000867-FF-001</t>
  </si>
  <si>
    <t>02.289.114/0001-29</t>
  </si>
  <si>
    <t>ASSEMBLEIA DE DEUS MINISTERIO DE MADUREIRA</t>
  </si>
  <si>
    <t>000000000812-NF-001</t>
  </si>
  <si>
    <t>23.200.199/0001-05</t>
  </si>
  <si>
    <t>PRO HAB CONSTRUCOES LTDA</t>
  </si>
  <si>
    <t>000000000811-NF-001</t>
  </si>
  <si>
    <t>64.217.661/0001-56</t>
  </si>
  <si>
    <t>WR LAVANDERIA LTDA</t>
  </si>
  <si>
    <t>000000000810-NF-001</t>
  </si>
  <si>
    <t>000000000809-NF-001</t>
  </si>
  <si>
    <t>000000000808-NF-001</t>
  </si>
  <si>
    <t>000000000229-DV-001</t>
  </si>
  <si>
    <t>000000000228-DV-001</t>
  </si>
  <si>
    <t>000000000010-DV-001</t>
  </si>
  <si>
    <t>000000613160-FF-1</t>
  </si>
  <si>
    <t>000000613159-FF-1</t>
  </si>
  <si>
    <t>000000613158-FF-1</t>
  </si>
  <si>
    <t>(01)027</t>
  </si>
  <si>
    <t>000000409915-FF-1</t>
  </si>
  <si>
    <t>000000055327-IF-1</t>
  </si>
  <si>
    <t>000000055326-IF-1</t>
  </si>
  <si>
    <t>000000055325-IF-1</t>
  </si>
  <si>
    <t>000000055324-IF-1</t>
  </si>
  <si>
    <t>000000055323-IF-1</t>
  </si>
  <si>
    <t>000000055322-IF-1</t>
  </si>
  <si>
    <t>(01)011</t>
  </si>
  <si>
    <t>000000055321-IF-1</t>
  </si>
  <si>
    <t>RISCO ZERO</t>
  </si>
  <si>
    <t>000000055320-IF-1</t>
  </si>
  <si>
    <t>000000055319-IF-1</t>
  </si>
  <si>
    <t>000000043065-IF-001</t>
  </si>
  <si>
    <t>000000043064-IF-001</t>
  </si>
  <si>
    <t>000000043063-IF-001</t>
  </si>
  <si>
    <t>017.203.161-39</t>
  </si>
  <si>
    <t>ISMAEL ARAUJO DA SILVA</t>
  </si>
  <si>
    <t>000000043062-IF-001</t>
  </si>
  <si>
    <t>000000043061-IF-001</t>
  </si>
  <si>
    <t>000000043060-IF-001</t>
  </si>
  <si>
    <t>000000043059-IF-001</t>
  </si>
  <si>
    <t>CHACARA 43 CJ B CASA 6C</t>
  </si>
  <si>
    <t>000000043058-IF-001</t>
  </si>
  <si>
    <t>000000043057-IF-001</t>
  </si>
  <si>
    <t>000000043055-IF-001</t>
  </si>
  <si>
    <t>000000043054-IF-001</t>
  </si>
  <si>
    <t>000000043053-IF-001</t>
  </si>
  <si>
    <t>000000043052-IF-001</t>
  </si>
  <si>
    <t>000000043051-IF-001</t>
  </si>
  <si>
    <t>785.902.641-49</t>
  </si>
  <si>
    <t>MARCOS ANTONIO SOARES VIERA</t>
  </si>
  <si>
    <t>000000043050-IF-001</t>
  </si>
  <si>
    <t>000000043049-IF-001</t>
  </si>
  <si>
    <t>000000043048-IF-001</t>
  </si>
  <si>
    <t>50.780.715/0001-82</t>
  </si>
  <si>
    <t>RAFAEL OLIVEIRA BORGES</t>
  </si>
  <si>
    <t>000000043047-IF-001</t>
  </si>
  <si>
    <t>000000043046-IF-001</t>
  </si>
  <si>
    <t>000000043045-IF-001</t>
  </si>
  <si>
    <t>000000043044-IF-001</t>
  </si>
  <si>
    <t>000000043043-IF-001</t>
  </si>
  <si>
    <t>000000043042-IF-001</t>
  </si>
  <si>
    <t>000000043041-IF-001</t>
  </si>
  <si>
    <t>000000043040-IF-001</t>
  </si>
  <si>
    <t>000000043039-IF-001</t>
  </si>
  <si>
    <t>000000043038-IF-001</t>
  </si>
  <si>
    <t>000000043037-IF-001</t>
  </si>
  <si>
    <t>FELINTO</t>
  </si>
  <si>
    <t>000000043036-IF-001</t>
  </si>
  <si>
    <t>FELIPE</t>
  </si>
  <si>
    <t>000000043035-IF-001</t>
  </si>
  <si>
    <t>000000043034-IF-001</t>
  </si>
  <si>
    <t>000000043033-IF-001</t>
  </si>
  <si>
    <t>000000043032-IF-001</t>
  </si>
  <si>
    <t>000000043031-IF-001</t>
  </si>
  <si>
    <t>000000043030-IF-001</t>
  </si>
  <si>
    <t>000000043029-IF-001</t>
  </si>
  <si>
    <t>000000043028-IF-001</t>
  </si>
  <si>
    <t>000000043027-IF-001</t>
  </si>
  <si>
    <t>000000043026-IF-001</t>
  </si>
  <si>
    <t>000000031814-NF-1</t>
  </si>
  <si>
    <t>000000031813-NF-1</t>
  </si>
  <si>
    <t>393.467.301-53</t>
  </si>
  <si>
    <t>WAGNER FIALHO</t>
  </si>
  <si>
    <t>000000031812-NF-1</t>
  </si>
  <si>
    <t>000000031811-NF-1</t>
  </si>
  <si>
    <t>12.483.372/0001-03</t>
  </si>
  <si>
    <t>E2R2 CENTRO AUTOMOTIVO-ME</t>
  </si>
  <si>
    <t>000000031810-NF-1</t>
  </si>
  <si>
    <t>000000031809-NF-1</t>
  </si>
  <si>
    <t>000000031808-NF-1</t>
  </si>
  <si>
    <t>34.410.537/0001-41</t>
  </si>
  <si>
    <t>GS ATACAREJO  DE BEBIDAS</t>
  </si>
  <si>
    <t>000000031806-NF-1</t>
  </si>
  <si>
    <t>000000031804-NF-1</t>
  </si>
  <si>
    <t>000000031803-NF-1</t>
  </si>
  <si>
    <t>000000029001-IF-001</t>
  </si>
  <si>
    <t>50.062.052/0001-60</t>
  </si>
  <si>
    <t>AUTK COMERCIO E SERVICO AUTOMOTIVO</t>
  </si>
  <si>
    <t>000000029000-IF-001</t>
  </si>
  <si>
    <t>000000028999-IF-001</t>
  </si>
  <si>
    <t>AQUA SLIDE</t>
  </si>
  <si>
    <t>000000028998-IF-001</t>
  </si>
  <si>
    <t>000000028997-IF-001</t>
  </si>
  <si>
    <t>852.540.701-10</t>
  </si>
  <si>
    <t>OCEMI MOREIRA DA CRUZ</t>
  </si>
  <si>
    <t>000000028996-IF-001</t>
  </si>
  <si>
    <t>ANTONIO</t>
  </si>
  <si>
    <t>000000028995-IF-001</t>
  </si>
  <si>
    <t>000000028994-IF-001</t>
  </si>
  <si>
    <t>000000028993-IF-001</t>
  </si>
  <si>
    <t>000000028992-IF-001</t>
  </si>
  <si>
    <t>000000028991-IF-001</t>
  </si>
  <si>
    <t>000000028990-IF-001</t>
  </si>
  <si>
    <t>071.012.847-95</t>
  </si>
  <si>
    <t>000000028989-IF-001</t>
  </si>
  <si>
    <t>006.697.691-00</t>
  </si>
  <si>
    <t>ROBSON DOS SANTOS FERNANDES</t>
  </si>
  <si>
    <t>000000028988-IF-001</t>
  </si>
  <si>
    <t>000000028987-IF-001</t>
  </si>
  <si>
    <t>000000028986-IF-001</t>
  </si>
  <si>
    <t>000000028985-IF-001</t>
  </si>
  <si>
    <t>990.385.871-04</t>
  </si>
  <si>
    <t>WESLEYB DOS SANTOS</t>
  </si>
  <si>
    <t>000000028984-IF-001</t>
  </si>
  <si>
    <t>000000028983-IF-001</t>
  </si>
  <si>
    <t>000000028679-IF-001</t>
  </si>
  <si>
    <t>000000028678-IF-001</t>
  </si>
  <si>
    <t>000000028677-IF-001</t>
  </si>
  <si>
    <t>000000028676-IF-001</t>
  </si>
  <si>
    <t>000000028675-IF-001</t>
  </si>
  <si>
    <t>000000028674-IF-001</t>
  </si>
  <si>
    <t>000000028673-IF-001</t>
  </si>
  <si>
    <t>000000028672-IF-001</t>
  </si>
  <si>
    <t>000000028671-IF-001</t>
  </si>
  <si>
    <t>000000028670-IF-001</t>
  </si>
  <si>
    <t>000000028669-IF-001</t>
  </si>
  <si>
    <t>000000028668-IF-001</t>
  </si>
  <si>
    <t>000000028667-IF-001</t>
  </si>
  <si>
    <t>000000028666-IF-001</t>
  </si>
  <si>
    <t>000000028665-IF-001</t>
  </si>
  <si>
    <t>000000028664-IF-001</t>
  </si>
  <si>
    <t>000000028663-IF-001</t>
  </si>
  <si>
    <t>000000028662-IF-001</t>
  </si>
  <si>
    <t>000000028661-IF-001</t>
  </si>
  <si>
    <t>000000028660-IF-001</t>
  </si>
  <si>
    <t>000000028659-IF-001</t>
  </si>
  <si>
    <t>000000028658-IF-001</t>
  </si>
  <si>
    <t>000000028657-IF-001</t>
  </si>
  <si>
    <t>000000024831-NF-001</t>
  </si>
  <si>
    <t>36.532.155/0001-16</t>
  </si>
  <si>
    <t>LG DETAILING COM E SERVI AUTOM EIRELI</t>
  </si>
  <si>
    <t>000000024830-NF-001</t>
  </si>
  <si>
    <t>000000024829-NF-001</t>
  </si>
  <si>
    <t>58.940.915/0001-67</t>
  </si>
  <si>
    <t>EXCLUSIVE AUTO DETALIER</t>
  </si>
  <si>
    <t>000000024828-NF-001</t>
  </si>
  <si>
    <t>000000024827-NF-001</t>
  </si>
  <si>
    <t>000000024826-NF-001</t>
  </si>
  <si>
    <t>000000024825-NF-001</t>
  </si>
  <si>
    <t>000000024824-NF-001</t>
  </si>
  <si>
    <t>000000024823-NF-001</t>
  </si>
  <si>
    <t>000000024821-NF-001</t>
  </si>
  <si>
    <t>000000024820-NF-001</t>
  </si>
  <si>
    <t>000000024819-NF-001</t>
  </si>
  <si>
    <t>000000024818-NF-001</t>
  </si>
  <si>
    <t>000000024817-NF-001</t>
  </si>
  <si>
    <t>000000024816-NF-001</t>
  </si>
  <si>
    <t>000000024815-NF-001</t>
  </si>
  <si>
    <t>000000024814-NF-001</t>
  </si>
  <si>
    <t>000000021467-IF-001</t>
  </si>
  <si>
    <t>000000021466-IF-001</t>
  </si>
  <si>
    <t>000000021465-IF-001</t>
  </si>
  <si>
    <t>000000021464-IF-001</t>
  </si>
  <si>
    <t>000000021463-IF-001</t>
  </si>
  <si>
    <t>000000021462-IF-001</t>
  </si>
  <si>
    <t>000000021461-IF-001</t>
  </si>
  <si>
    <t>000000021460-IF-001</t>
  </si>
  <si>
    <t>000000021459-IF-001</t>
  </si>
  <si>
    <t>000000021458-IF-001</t>
  </si>
  <si>
    <t>000000021457-IF-001</t>
  </si>
  <si>
    <t>000000021456-IF-001</t>
  </si>
  <si>
    <t>000000021455-IF-001</t>
  </si>
  <si>
    <t>PAULÃO</t>
  </si>
  <si>
    <t>000000021454-IF-001</t>
  </si>
  <si>
    <t>610.887.263-21</t>
  </si>
  <si>
    <t>LUCAS JOSÉ DOS SANTOS</t>
  </si>
  <si>
    <t>000000021453-IF-001</t>
  </si>
  <si>
    <t>000000021452-IF-001</t>
  </si>
  <si>
    <t>000000021451-IF-001</t>
  </si>
  <si>
    <t>000000021450-IF-001</t>
  </si>
  <si>
    <t>030.347.241-36</t>
  </si>
  <si>
    <t>ROSENO DA SILVA XAVIER</t>
  </si>
  <si>
    <t>000000021449-IF-001</t>
  </si>
  <si>
    <t>000000021448-IF-001</t>
  </si>
  <si>
    <t>000000021447-IF-001</t>
  </si>
  <si>
    <t>000000021446-IF-001</t>
  </si>
  <si>
    <t>000000021445-IF-001</t>
  </si>
  <si>
    <t>000000021444-IF-001</t>
  </si>
  <si>
    <t>FIAT ARGO</t>
  </si>
  <si>
    <t>000000021443-IF-001</t>
  </si>
  <si>
    <t>724.906.671-49</t>
  </si>
  <si>
    <t>GLAUBER PUGAS DA CUNHA</t>
  </si>
  <si>
    <t>000000021442-IF-001</t>
  </si>
  <si>
    <t>CELSON</t>
  </si>
  <si>
    <t>000000021441-IF-001</t>
  </si>
  <si>
    <t>000000021440-IF-001</t>
  </si>
  <si>
    <t>000000021439-IF-001</t>
  </si>
  <si>
    <t>FITA ADERE</t>
  </si>
  <si>
    <t>000000021438-IF-001</t>
  </si>
  <si>
    <t>SAMIRES</t>
  </si>
  <si>
    <t>000000021437-IF-001</t>
  </si>
  <si>
    <t>000000019506-IF-1</t>
  </si>
  <si>
    <t>000000019505-IF-1</t>
  </si>
  <si>
    <t>000000019504-IF-1</t>
  </si>
  <si>
    <t>000000019503-IF-1</t>
  </si>
  <si>
    <t>000000019502-IF-1</t>
  </si>
  <si>
    <t>000000019501-IF-1</t>
  </si>
  <si>
    <t>000000019500-IF-1</t>
  </si>
  <si>
    <t>000000019499-IF-1</t>
  </si>
  <si>
    <t>000000019498-IF-1</t>
  </si>
  <si>
    <t>000000019497-IF-1</t>
  </si>
  <si>
    <t>000000019496-IF-1</t>
  </si>
  <si>
    <t>000000019495-IF-1</t>
  </si>
  <si>
    <t>000000019494-IF-1</t>
  </si>
  <si>
    <t>000000019493-IF-1</t>
  </si>
  <si>
    <t>000000019492-IF-1</t>
  </si>
  <si>
    <t>000000019182-IF-001</t>
  </si>
  <si>
    <t>000000019181-IF-001</t>
  </si>
  <si>
    <t>000000019180-IF-001</t>
  </si>
  <si>
    <t>000000019179-IF-001</t>
  </si>
  <si>
    <t>000000019178-IF-001</t>
  </si>
  <si>
    <t>000000019177-IF-001</t>
  </si>
  <si>
    <t>000000019176-IF-001</t>
  </si>
  <si>
    <t>000000019175-IF-001</t>
  </si>
  <si>
    <t>FABIANA</t>
  </si>
  <si>
    <t>000000019174-IF-001</t>
  </si>
  <si>
    <t>000000019173-IF-001</t>
  </si>
  <si>
    <t>000000019172-IF-001</t>
  </si>
  <si>
    <t>000000019171-IF-001</t>
  </si>
  <si>
    <t>MAICON</t>
  </si>
  <si>
    <t>000000019170-IF-001</t>
  </si>
  <si>
    <t>000000019169-IF-001</t>
  </si>
  <si>
    <t>000000019168-IF-001</t>
  </si>
  <si>
    <t>000000019167-IF-001</t>
  </si>
  <si>
    <t>000000019166-IF-001</t>
  </si>
  <si>
    <t>000000019165-IF-001</t>
  </si>
  <si>
    <t>SE NENEM</t>
  </si>
  <si>
    <t>000000019164-IF-001</t>
  </si>
  <si>
    <t>000000019163-IF-001</t>
  </si>
  <si>
    <t>000000019162-IF-001</t>
  </si>
  <si>
    <t>000000019161-IF-001</t>
  </si>
  <si>
    <t>000000019160-IF-001</t>
  </si>
  <si>
    <t>000000019159-IF-001</t>
  </si>
  <si>
    <t>000000019158-IF-001</t>
  </si>
  <si>
    <t>000000019157-IF-001</t>
  </si>
  <si>
    <t>000000019156-IF-001</t>
  </si>
  <si>
    <t>000000019155-IF-001</t>
  </si>
  <si>
    <t>000000019154-IF-001</t>
  </si>
  <si>
    <t>000000019153-IF-001</t>
  </si>
  <si>
    <t>000000019152-IF-001</t>
  </si>
  <si>
    <t>000000019151-IF-001</t>
  </si>
  <si>
    <t>000000019150-IF-001</t>
  </si>
  <si>
    <t>000000019149-IF-001</t>
  </si>
  <si>
    <t>000000019148-IF-001</t>
  </si>
  <si>
    <t>000000019147-IF-001</t>
  </si>
  <si>
    <t>000000019045-NF-001</t>
  </si>
  <si>
    <t>000000019044-NF-001</t>
  </si>
  <si>
    <t>16.700.195/0001-12</t>
  </si>
  <si>
    <t>F&amp;M COMERCIO E SERVICOS MECANICOS LTDA</t>
  </si>
  <si>
    <t>000000019043-NF-001</t>
  </si>
  <si>
    <t>000000019042-NF-001</t>
  </si>
  <si>
    <t>000000019041-NF-001</t>
  </si>
  <si>
    <t>000000019040-NF-001</t>
  </si>
  <si>
    <t>000000019039-NF-001</t>
  </si>
  <si>
    <t>000000019038-NF-001</t>
  </si>
  <si>
    <t>000000019037-NF-001</t>
  </si>
  <si>
    <t>000000019036-NF-001</t>
  </si>
  <si>
    <t>000000019035-NF-001</t>
  </si>
  <si>
    <t>000000019034-NF-001</t>
  </si>
  <si>
    <t>000000019033-NF-001</t>
  </si>
  <si>
    <t>000000019032-NF-001</t>
  </si>
  <si>
    <t>000000019031-NF-001</t>
  </si>
  <si>
    <t>000000017986-IF-001</t>
  </si>
  <si>
    <t>000000017985-IF-001</t>
  </si>
  <si>
    <t>000000017984-IF-001</t>
  </si>
  <si>
    <t>000000017983-IF-001</t>
  </si>
  <si>
    <t>000000017982-IF-001</t>
  </si>
  <si>
    <t>000000017981-IF-001</t>
  </si>
  <si>
    <t>000000017980-IF-001</t>
  </si>
  <si>
    <t>000000017979-IF-001</t>
  </si>
  <si>
    <t>000000016532-FF-001</t>
  </si>
  <si>
    <t>000000016531-FF-001</t>
  </si>
  <si>
    <t>000000016530-FF-001</t>
  </si>
  <si>
    <t>000000015023-NF-1</t>
  </si>
  <si>
    <t>23.310.648/0001-60</t>
  </si>
  <si>
    <t>WEST CAR LANTERNAGEM E PINTURA EIRELI ME</t>
  </si>
  <si>
    <t>000000015022-NF-1</t>
  </si>
  <si>
    <t>42.690.344/0001-10</t>
  </si>
  <si>
    <t>G2 COMERCIO DE AUTOMOVEIS LTDA</t>
  </si>
  <si>
    <t>000000015021-NF-1</t>
  </si>
  <si>
    <t>000000014544-FF-001</t>
  </si>
  <si>
    <t>BIU PARACATU</t>
  </si>
  <si>
    <t>000000014543-FF-001</t>
  </si>
  <si>
    <t>000000014542-FF-001</t>
  </si>
  <si>
    <t>000000014541-FF-001</t>
  </si>
  <si>
    <t>000000014540-FF-001</t>
  </si>
  <si>
    <t>000000014539-FF-001</t>
  </si>
  <si>
    <t>000000014538-FF-001</t>
  </si>
  <si>
    <t>000000014537-FF-001</t>
  </si>
  <si>
    <t>000000014536-FF-001</t>
  </si>
  <si>
    <t>000000014535-FF-001</t>
  </si>
  <si>
    <t>000000014534-FF-001</t>
  </si>
  <si>
    <t>000000014533-FF-001</t>
  </si>
  <si>
    <t>000000014532-FF-001</t>
  </si>
  <si>
    <t>000000014531-FF-001</t>
  </si>
  <si>
    <t>000000014530-FF-001</t>
  </si>
  <si>
    <t>000000014529-FF-001</t>
  </si>
  <si>
    <t>000000014528-FF-001</t>
  </si>
  <si>
    <t>000000014527-FF-001</t>
  </si>
  <si>
    <t>000000014526-FF-001</t>
  </si>
  <si>
    <t>KAIO</t>
  </si>
  <si>
    <t>000000014525-FF-001</t>
  </si>
  <si>
    <t>000000014524-FF-001</t>
  </si>
  <si>
    <t>000000014523-FF-001</t>
  </si>
  <si>
    <t>000000014522-FF-001</t>
  </si>
  <si>
    <t>000000014521-FF-001</t>
  </si>
  <si>
    <t>000000014520-FF-001</t>
  </si>
  <si>
    <t>000000014519-FF-001</t>
  </si>
  <si>
    <t>000000014518-FF-001</t>
  </si>
  <si>
    <t>000000014517-FF-001</t>
  </si>
  <si>
    <t>000000014516-FF-001</t>
  </si>
  <si>
    <t>000000014515-FF-001</t>
  </si>
  <si>
    <t>000000014514-FF-001</t>
  </si>
  <si>
    <t>000000014513-FF-001</t>
  </si>
  <si>
    <t>000000014512-FF-001</t>
  </si>
  <si>
    <t>000000014511-FF-001</t>
  </si>
  <si>
    <t>000000014510-FF-001</t>
  </si>
  <si>
    <t>000000014239-FF-001</t>
  </si>
  <si>
    <t>000000014238-FF-001</t>
  </si>
  <si>
    <t>(01)040</t>
  </si>
  <si>
    <t>000000014237-FF-001</t>
  </si>
  <si>
    <t>000000014236-FF-001</t>
  </si>
  <si>
    <t>(01)055</t>
  </si>
  <si>
    <t>000000014235-FF-001</t>
  </si>
  <si>
    <t>000000014234-FF-001</t>
  </si>
  <si>
    <t>000000014233-FF-001</t>
  </si>
  <si>
    <t>000000014232-FF-001</t>
  </si>
  <si>
    <t>000000014231-FF-001</t>
  </si>
  <si>
    <t>000000014230-FF-001</t>
  </si>
  <si>
    <t>000000014229-FF-001</t>
  </si>
  <si>
    <t>000000014228-FF-001</t>
  </si>
  <si>
    <t>000000014227-FF-001</t>
  </si>
  <si>
    <t>000000014226-FF-001</t>
  </si>
  <si>
    <t>000000014225-FF-001</t>
  </si>
  <si>
    <t>000000014224-FF-001</t>
  </si>
  <si>
    <t>000000014223-FF-001</t>
  </si>
  <si>
    <t>000000014222-FF-001</t>
  </si>
  <si>
    <t>000000014221-FF-001</t>
  </si>
  <si>
    <t>000000009279-NF-001</t>
  </si>
  <si>
    <t>000000009278-NF-001</t>
  </si>
  <si>
    <t>000000009276-NF-001</t>
  </si>
  <si>
    <t>000000009275-NF-001</t>
  </si>
  <si>
    <t>000000009274-NF-001</t>
  </si>
  <si>
    <t>000000009273-NF-001</t>
  </si>
  <si>
    <t>000000009272-NF-001</t>
  </si>
  <si>
    <t>000000007748-FF-001</t>
  </si>
  <si>
    <t>000000007747-FF-001</t>
  </si>
  <si>
    <t>000000007746-FF-001</t>
  </si>
  <si>
    <t>000000007745-FF-001</t>
  </si>
  <si>
    <t>000000007744-FF-001</t>
  </si>
  <si>
    <t>000000007743-FF-001</t>
  </si>
  <si>
    <t>000000007742-FF-001</t>
  </si>
  <si>
    <t>000000007741-FF-001</t>
  </si>
  <si>
    <t>000000007740-FF-001</t>
  </si>
  <si>
    <t>000000007739-FF-001</t>
  </si>
  <si>
    <t>000000006897-FF-001</t>
  </si>
  <si>
    <t>000000006508-IF-001</t>
  </si>
  <si>
    <t>000000006507-IF-001</t>
  </si>
  <si>
    <t>000000006506-IF-001</t>
  </si>
  <si>
    <t>000000006505-IF-001</t>
  </si>
  <si>
    <t>000000006504-IF-001</t>
  </si>
  <si>
    <t>798.639.651-20</t>
  </si>
  <si>
    <t>LUCIO PEDRO CAIXETA</t>
  </si>
  <si>
    <t>000000006503-IF-001</t>
  </si>
  <si>
    <t>000000006502-IF-001</t>
  </si>
  <si>
    <t>000000006501-IF-001</t>
  </si>
  <si>
    <t>000000006500-IF-001</t>
  </si>
  <si>
    <t>000000006499-IF-001</t>
  </si>
  <si>
    <t>000000006498-IF-001</t>
  </si>
  <si>
    <t>000000006497-IF-001</t>
  </si>
  <si>
    <t>000000006496-IF-001</t>
  </si>
  <si>
    <t>ISRAEL</t>
  </si>
  <si>
    <t>000000006495-IF-001</t>
  </si>
  <si>
    <t>000000006494-IF-001</t>
  </si>
  <si>
    <t>000000006493-IF-001</t>
  </si>
  <si>
    <t>000000006492-IF-001</t>
  </si>
  <si>
    <t>37.610.809/0001-45</t>
  </si>
  <si>
    <t>JK SOLUCOES LTDA</t>
  </si>
  <si>
    <t>000000006491-IF-001</t>
  </si>
  <si>
    <t>000000006490-IF-001</t>
  </si>
  <si>
    <t>000000006489-IF-001</t>
  </si>
  <si>
    <t>000000006488-IF-001</t>
  </si>
  <si>
    <t>000000006487-IF-001</t>
  </si>
  <si>
    <t>000000006486-IF-001</t>
  </si>
  <si>
    <t>000000006485-IF-001</t>
  </si>
  <si>
    <t>000000006484-IF-001</t>
  </si>
  <si>
    <t>000000006483-IF-001</t>
  </si>
  <si>
    <t>704.861.801-90</t>
  </si>
  <si>
    <t>RICARDO</t>
  </si>
  <si>
    <t>000000006482-IF-001</t>
  </si>
  <si>
    <t>JACE ELOI</t>
  </si>
  <si>
    <t>000000006481-IF-001</t>
  </si>
  <si>
    <t>000000006480-IF-001</t>
  </si>
  <si>
    <t>000000006479-IF-001</t>
  </si>
  <si>
    <t>000000006478-IF-001</t>
  </si>
  <si>
    <t>000000006477-IF-001</t>
  </si>
  <si>
    <t>000000006476-IF-001</t>
  </si>
  <si>
    <t>MAURO 4NRODAS</t>
  </si>
  <si>
    <t>000000006475-IF-001</t>
  </si>
  <si>
    <t>000000006474-IF-001</t>
  </si>
  <si>
    <t>000000006473-IF-001</t>
  </si>
  <si>
    <t>000000006472-IF-001</t>
  </si>
  <si>
    <t>000000003764-NF-001</t>
  </si>
  <si>
    <t>000000003763-NF-001</t>
  </si>
  <si>
    <t>000000003762-NF-001</t>
  </si>
  <si>
    <t>000000003761-NF-001</t>
  </si>
  <si>
    <t>000000003760-NF-001</t>
  </si>
  <si>
    <t>000000003759-NF-001</t>
  </si>
  <si>
    <t>000000003758-NF-001</t>
  </si>
  <si>
    <t>03.622.354/0001-66</t>
  </si>
  <si>
    <t>CARPLAC COMERCIO E SERV.LTDA</t>
  </si>
  <si>
    <t>000000003757-NF-001</t>
  </si>
  <si>
    <t>000000003165-NF-001</t>
  </si>
  <si>
    <t>000000001540-NF-001</t>
  </si>
  <si>
    <t>000000001398-FF-001</t>
  </si>
  <si>
    <t>000000001397-FF-001</t>
  </si>
  <si>
    <t>000000001396-FF-001</t>
  </si>
  <si>
    <t>000000000866-FF-001</t>
  </si>
  <si>
    <t>000000000865-FF-001</t>
  </si>
  <si>
    <t>000000000864-FF-001</t>
  </si>
  <si>
    <t>000000000807-NF-001</t>
  </si>
  <si>
    <t>000000000806-NF-001</t>
  </si>
  <si>
    <t>000000000805-NF-001</t>
  </si>
  <si>
    <t>118.027.618-37</t>
  </si>
  <si>
    <t>CRISTIANE FERREIRA</t>
  </si>
  <si>
    <t>000000000804-NF-001</t>
  </si>
  <si>
    <t>791.781.621-49</t>
  </si>
  <si>
    <t>RAUL FRANCISCO MADUREIA DE LIMA</t>
  </si>
  <si>
    <t>000000000803-NF-001</t>
  </si>
  <si>
    <t>000000000802-NF-001</t>
  </si>
  <si>
    <t>(01)013</t>
  </si>
  <si>
    <t>000000409914-FF-1</t>
  </si>
  <si>
    <t>000000055318-IF-1</t>
  </si>
  <si>
    <t>000000055317-IF-1</t>
  </si>
  <si>
    <t>000000055316-IF-1</t>
  </si>
  <si>
    <t>000000055315-IF-1</t>
  </si>
  <si>
    <t>000000055314-IF-1</t>
  </si>
  <si>
    <t>000000055313-IF-1</t>
  </si>
  <si>
    <t>000000055312-IF-1</t>
  </si>
  <si>
    <t>000000055311-IF-1</t>
  </si>
  <si>
    <t>000000055310-IF-1</t>
  </si>
  <si>
    <t>000000055309-IF-1</t>
  </si>
  <si>
    <t>LEONARDO 992766643</t>
  </si>
  <si>
    <t>000000043025-IF-001</t>
  </si>
  <si>
    <t>000000043024-IF-001</t>
  </si>
  <si>
    <t>000000043023-IF-001</t>
  </si>
  <si>
    <t>000000043022-IF-001</t>
  </si>
  <si>
    <t>000000043021-IF-001</t>
  </si>
  <si>
    <t>JERSON QNO 05 A 29</t>
  </si>
  <si>
    <t>000000043020-IF-001</t>
  </si>
  <si>
    <t>000000043019-IF-001</t>
  </si>
  <si>
    <t>000000043018-IF-001</t>
  </si>
  <si>
    <t>000000043017-IF-001</t>
  </si>
  <si>
    <t>000000043016-IF-001</t>
  </si>
  <si>
    <t>000000043015-IF-001</t>
  </si>
  <si>
    <t>000000043014-IF-001</t>
  </si>
  <si>
    <t>000000043013-IF-001</t>
  </si>
  <si>
    <t>000000043012-IF-001</t>
  </si>
  <si>
    <t>000000043011-IF-001</t>
  </si>
  <si>
    <t>000000028982-IF-001</t>
  </si>
  <si>
    <t>222.222.222-22</t>
  </si>
  <si>
    <t>COLORISTA ADRIANO SIA</t>
  </si>
  <si>
    <t>000000028981-IF-001</t>
  </si>
  <si>
    <t>000000028980-IF-001</t>
  </si>
  <si>
    <t>000000028656-IF-001</t>
  </si>
  <si>
    <t>000000028655-IF-001</t>
  </si>
  <si>
    <t>000000028654-IF-001</t>
  </si>
  <si>
    <t>000000028653-IF-001</t>
  </si>
  <si>
    <t>000000028652-IF-001</t>
  </si>
  <si>
    <t>000000028651-IF-001</t>
  </si>
  <si>
    <t>(01)029</t>
  </si>
  <si>
    <t>000000028650-IF-001</t>
  </si>
  <si>
    <t>000000028649-IF-001</t>
  </si>
  <si>
    <t>000000028648-IF-001</t>
  </si>
  <si>
    <t>000000028647-IF-001</t>
  </si>
  <si>
    <t>000000028646-IF-001</t>
  </si>
  <si>
    <t>000000028645-IF-001</t>
  </si>
  <si>
    <t>000000028644-IF-001</t>
  </si>
  <si>
    <t>000000028643-IF-001</t>
  </si>
  <si>
    <t>12.782.453/0001-04</t>
  </si>
  <si>
    <t>BOX 9 SERVICOS AUTOMOTIVOS LTDA</t>
  </si>
  <si>
    <t>000000024813-NF-001</t>
  </si>
  <si>
    <t>000000024812-NF-001</t>
  </si>
  <si>
    <t>000000021436-IF-001</t>
  </si>
  <si>
    <t>835.650.601-82</t>
  </si>
  <si>
    <t>EDMILSON PINTO DA SILVA</t>
  </si>
  <si>
    <t>000000021435-IF-001</t>
  </si>
  <si>
    <t>000000021434-IF-001</t>
  </si>
  <si>
    <t>000000021433-IF-001</t>
  </si>
  <si>
    <t>000000021432-IF-001</t>
  </si>
  <si>
    <t>LUIZ OURO VERDE</t>
  </si>
  <si>
    <t>000000021431-IF-001</t>
  </si>
  <si>
    <t>000000021430-IF-001</t>
  </si>
  <si>
    <t>000000021429-IF-001</t>
  </si>
  <si>
    <t>000000021428-IF-001</t>
  </si>
  <si>
    <t>000000021427-IF-001</t>
  </si>
  <si>
    <t>000000021426-IF-001</t>
  </si>
  <si>
    <t>BRUNO LISBOA</t>
  </si>
  <si>
    <t>000000021425-IF-001</t>
  </si>
  <si>
    <t>000000021424-IF-001</t>
  </si>
  <si>
    <t>000000021423-IF-001</t>
  </si>
  <si>
    <t>000000021422-IF-001</t>
  </si>
  <si>
    <t>000000021421-IF-001</t>
  </si>
  <si>
    <t>000000021420-IF-001</t>
  </si>
  <si>
    <t>000000021419-IF-001</t>
  </si>
  <si>
    <t>000000021418-IF-001</t>
  </si>
  <si>
    <t>000000021417-IF-001</t>
  </si>
  <si>
    <t>000000021416-IF-001</t>
  </si>
  <si>
    <t>000000021415-IF-001</t>
  </si>
  <si>
    <t>000000021414-IF-001</t>
  </si>
  <si>
    <t>PLUS</t>
  </si>
  <si>
    <t>000000021413-IF-001</t>
  </si>
  <si>
    <t>RATICHEM</t>
  </si>
  <si>
    <t>000000021412-IF-001</t>
  </si>
  <si>
    <t>BRIIAN</t>
  </si>
  <si>
    <t>000000019491-IF-1</t>
  </si>
  <si>
    <t>000000019490-IF-1</t>
  </si>
  <si>
    <t>JADIELSON</t>
  </si>
  <si>
    <t>000000019489-IF-1</t>
  </si>
  <si>
    <t>021.934.281-40</t>
  </si>
  <si>
    <t>ADIEL CARLOS SOUZA</t>
  </si>
  <si>
    <t>000000019488-IF-1</t>
  </si>
  <si>
    <t>RAFAEL</t>
  </si>
  <si>
    <t>000000019487-IF-1</t>
  </si>
  <si>
    <t>000000019146-IF-001</t>
  </si>
  <si>
    <t>000000019145-IF-001</t>
  </si>
  <si>
    <t>000000019144-IF-001</t>
  </si>
  <si>
    <t>000000019143-IF-001</t>
  </si>
  <si>
    <t>000000019142-IF-001</t>
  </si>
  <si>
    <t>000000019141-IF-001</t>
  </si>
  <si>
    <t>775.367.973-20</t>
  </si>
  <si>
    <t>ADAO MIRANDA GUIMARAES</t>
  </si>
  <si>
    <t>000000019140-IF-001</t>
  </si>
  <si>
    <t>000000019139-IF-001</t>
  </si>
  <si>
    <t>000000019138-IF-001</t>
  </si>
  <si>
    <t>000000019137-IF-001</t>
  </si>
  <si>
    <t>000000019030-NF-001</t>
  </si>
  <si>
    <t>645.698.291-04</t>
  </si>
  <si>
    <t>ALEXANDRA PEREIRA DA SILVA</t>
  </si>
  <si>
    <t>000000019029-NF-001</t>
  </si>
  <si>
    <t>000000019028-NF-001</t>
  </si>
  <si>
    <t>000000019027-NF-001</t>
  </si>
  <si>
    <t>000000017978-IF-001</t>
  </si>
  <si>
    <t>000000017977-IF-001</t>
  </si>
  <si>
    <t>000000017976-IF-001</t>
  </si>
  <si>
    <t>130.318.456-76</t>
  </si>
  <si>
    <t>EMERSON APARECIDO GONÇALVES DOS SANTOS</t>
  </si>
  <si>
    <t>000000017975-IF-001</t>
  </si>
  <si>
    <t>000000016529-FF-001</t>
  </si>
  <si>
    <t>000000016528-FF-001</t>
  </si>
  <si>
    <t>837.310.081-49</t>
  </si>
  <si>
    <t>FLAVIO LUIZ RABELO</t>
  </si>
  <si>
    <t>000000016527-FF-001</t>
  </si>
  <si>
    <t>702.045.601-44</t>
  </si>
  <si>
    <t>DANILO DE LIMA SANTOS</t>
  </si>
  <si>
    <t>000000016526-FF-001</t>
  </si>
  <si>
    <t>000000016525-FF-001</t>
  </si>
  <si>
    <t>000000016524-FF-001</t>
  </si>
  <si>
    <t>000000016523-FF-001</t>
  </si>
  <si>
    <t>000000016522-FF-001</t>
  </si>
  <si>
    <t>000000016521-FF-001</t>
  </si>
  <si>
    <t>000000016520-FF-001</t>
  </si>
  <si>
    <t>004.925.831-10</t>
  </si>
  <si>
    <t>000000015020-NF-1</t>
  </si>
  <si>
    <t>000000015019-NF-1</t>
  </si>
  <si>
    <t>000000014509-FF-001</t>
  </si>
  <si>
    <t>000000014508-FF-001</t>
  </si>
  <si>
    <t>000000014507-FF-001</t>
  </si>
  <si>
    <t>NATANAEL</t>
  </si>
  <si>
    <t>000000014506-FF-001</t>
  </si>
  <si>
    <t>000000014505-FF-001</t>
  </si>
  <si>
    <t>000000014504-FF-001</t>
  </si>
  <si>
    <t>JULIO PRIMAVIA</t>
  </si>
  <si>
    <t>000000014503-FF-001</t>
  </si>
  <si>
    <t>000000014502-FF-001</t>
  </si>
  <si>
    <t>000000014501-FF-001</t>
  </si>
  <si>
    <t>000000014500-FF-001</t>
  </si>
  <si>
    <t>000000014499-FF-001</t>
  </si>
  <si>
    <t>000000014498-FF-001</t>
  </si>
  <si>
    <t>000000014497-FF-001</t>
  </si>
  <si>
    <t>000000014496-FF-001</t>
  </si>
  <si>
    <t>000000014495-FF-001</t>
  </si>
  <si>
    <t>000000014494-FF-001</t>
  </si>
  <si>
    <t>000000014220-FF-001</t>
  </si>
  <si>
    <t>000000014219-FF-001</t>
  </si>
  <si>
    <t>000000014218-FF-001</t>
  </si>
  <si>
    <t>000000014217-FF-001</t>
  </si>
  <si>
    <t>000000014216-FF-001</t>
  </si>
  <si>
    <t>000000014215-FF-001</t>
  </si>
  <si>
    <t>000000009271-NF-001</t>
  </si>
  <si>
    <t>000000007738-FF-001</t>
  </si>
  <si>
    <t>000000006896-FF-001</t>
  </si>
  <si>
    <t>000000006895-FF-001</t>
  </si>
  <si>
    <t>000000006894-FF-001</t>
  </si>
  <si>
    <t>000000006471-IF-001</t>
  </si>
  <si>
    <t>000000006470-IF-001</t>
  </si>
  <si>
    <t>000000006469-IF-001</t>
  </si>
  <si>
    <t>000000006468-IF-001</t>
  </si>
  <si>
    <t>KEVEN</t>
  </si>
  <si>
    <t>000000006467-IF-001</t>
  </si>
  <si>
    <t>000000006466-IF-001</t>
  </si>
  <si>
    <t>000000006465-IF-001</t>
  </si>
  <si>
    <t>000000006464-IF-001</t>
  </si>
  <si>
    <t>000000006463-IF-001</t>
  </si>
  <si>
    <t>000000006462-IF-001</t>
  </si>
  <si>
    <t>000000006461-IF-001</t>
  </si>
  <si>
    <t>000000006460-IF-001</t>
  </si>
  <si>
    <t>000000006459-IF-001</t>
  </si>
  <si>
    <t>000000006458-IF-001</t>
  </si>
  <si>
    <t>000000006457-IF-001</t>
  </si>
  <si>
    <t>000000006456-IF-001</t>
  </si>
  <si>
    <t>000000006455-IF-001</t>
  </si>
  <si>
    <t>000000006454-IF-001</t>
  </si>
  <si>
    <t>000000006453-IF-001</t>
  </si>
  <si>
    <t>TIAO</t>
  </si>
  <si>
    <t>000000006452-IF-001</t>
  </si>
  <si>
    <t>000000006451-IF-001</t>
  </si>
  <si>
    <t>000000006450-IF-001</t>
  </si>
  <si>
    <t>000000006449-IF-001</t>
  </si>
  <si>
    <t>000000006448-IF-001</t>
  </si>
  <si>
    <t>000000006447-IF-001</t>
  </si>
  <si>
    <t>000000006446-IF-001</t>
  </si>
  <si>
    <t>000000006445-IF-001</t>
  </si>
  <si>
    <t>000000001395-FF-001</t>
  </si>
  <si>
    <t>000000000801-NF-001</t>
  </si>
  <si>
    <t>000000613157-FF-1</t>
  </si>
  <si>
    <t>000000613156-FF-1</t>
  </si>
  <si>
    <t>026.131.651-62</t>
  </si>
  <si>
    <t>GUILHERME DE SOUZA OLIVEIRA SILVA</t>
  </si>
  <si>
    <t>000000613155-FF-1</t>
  </si>
  <si>
    <t>000000600030-DV-1</t>
  </si>
  <si>
    <t>000000409913-FF-1</t>
  </si>
  <si>
    <t>000000055308-IF-1</t>
  </si>
  <si>
    <t>000000055307-IF-1</t>
  </si>
  <si>
    <t>000000055306-IF-1</t>
  </si>
  <si>
    <t>000000055305-IF-1</t>
  </si>
  <si>
    <t>000000055304-IF-1</t>
  </si>
  <si>
    <t>000000055303-IF-1</t>
  </si>
  <si>
    <t>000000055302-IF-1</t>
  </si>
  <si>
    <t>000000055301-IF-1</t>
  </si>
  <si>
    <t>000000055300-IF-1</t>
  </si>
  <si>
    <t>000000055299-IF-1</t>
  </si>
  <si>
    <t>000000055298-IF-1</t>
  </si>
  <si>
    <t>DERIK</t>
  </si>
  <si>
    <t>000000055297-IF-1</t>
  </si>
  <si>
    <t>000000055296-IF-1</t>
  </si>
  <si>
    <t>000000055295-IF-1</t>
  </si>
  <si>
    <t>000000055294-IF-1</t>
  </si>
  <si>
    <t>000000043010-IF-001</t>
  </si>
  <si>
    <t>000000043009-IF-001</t>
  </si>
  <si>
    <t>000000043008-IF-001</t>
  </si>
  <si>
    <t>000000043007-IF-001</t>
  </si>
  <si>
    <t>(01)014</t>
  </si>
  <si>
    <t>000000043006-IF-001</t>
  </si>
  <si>
    <t>000000043005-IF-001</t>
  </si>
  <si>
    <t>000000043004-IF-001</t>
  </si>
  <si>
    <t>000000043003-IF-001</t>
  </si>
  <si>
    <t>000000043002-IF-001</t>
  </si>
  <si>
    <t>000000043001-IF-001</t>
  </si>
  <si>
    <t>000000043000-IF-001</t>
  </si>
  <si>
    <t>CONSUMIDOR</t>
  </si>
  <si>
    <t>000000042999-IF-001</t>
  </si>
  <si>
    <t>000000042998-IF-001</t>
  </si>
  <si>
    <t>000000042997-IF-001</t>
  </si>
  <si>
    <t>601.765.041-68</t>
  </si>
  <si>
    <t>PAULO SERGIO PINTO</t>
  </si>
  <si>
    <t>000000042996-IF-001</t>
  </si>
  <si>
    <t>000000042995-IF-001</t>
  </si>
  <si>
    <t>000000042994-IF-001</t>
  </si>
  <si>
    <t>000000042993-IF-001</t>
  </si>
  <si>
    <t>000000042992-IF-001</t>
  </si>
  <si>
    <t>000000042991-IF-001</t>
  </si>
  <si>
    <t>000000042990-IF-001</t>
  </si>
  <si>
    <t>000000042989-IF-001</t>
  </si>
  <si>
    <t>000000042988-IF-001</t>
  </si>
  <si>
    <t>000000042987-IF-001</t>
  </si>
  <si>
    <t>000000042986-IF-001</t>
  </si>
  <si>
    <t>000000042985-IF-001</t>
  </si>
  <si>
    <t>000000042984-IF-001</t>
  </si>
  <si>
    <t>000000042983-IF-001</t>
  </si>
  <si>
    <t>000000031802-NF-1</t>
  </si>
  <si>
    <t>000000031801-NF-1</t>
  </si>
  <si>
    <t>000000031800-NF-1</t>
  </si>
  <si>
    <t>000000031799-NF-1</t>
  </si>
  <si>
    <t>309.903.511-49</t>
  </si>
  <si>
    <t>RODION YURI ALVES</t>
  </si>
  <si>
    <t>000000028979-IF-001</t>
  </si>
  <si>
    <t>CAR ROMA</t>
  </si>
  <si>
    <t>000000028978-IF-001</t>
  </si>
  <si>
    <t>000000028977-IF-001</t>
  </si>
  <si>
    <t>000000028976-IF-001</t>
  </si>
  <si>
    <t>000000028975-IF-001</t>
  </si>
  <si>
    <t>000000028974-IF-001</t>
  </si>
  <si>
    <t>000000028973-IF-001</t>
  </si>
  <si>
    <t>000000028972-IF-001</t>
  </si>
  <si>
    <t>000000028971-IF-001</t>
  </si>
  <si>
    <t>000000028970-IF-001</t>
  </si>
  <si>
    <t>000000028969-IF-001</t>
  </si>
  <si>
    <t>000000028968-IF-001</t>
  </si>
  <si>
    <t>000000028967-IF-001</t>
  </si>
  <si>
    <t>000000028966-IF-001</t>
  </si>
  <si>
    <t>000000028965-IF-001</t>
  </si>
  <si>
    <t>000000028964-IF-001</t>
  </si>
  <si>
    <t>000000028963-IF-001</t>
  </si>
  <si>
    <t>ELEDILSON ESTRUTURAL</t>
  </si>
  <si>
    <t>000000028962-IF-001</t>
  </si>
  <si>
    <t>979.801.371-91</t>
  </si>
  <si>
    <t>LUCIANO DIAS DA SILVA</t>
  </si>
  <si>
    <t>000000028961-IF-001</t>
  </si>
  <si>
    <t>000000028642-IF-001</t>
  </si>
  <si>
    <t>000000028641-IF-001</t>
  </si>
  <si>
    <t>000000028640-IF-001</t>
  </si>
  <si>
    <t>000000028639-IF-001</t>
  </si>
  <si>
    <t>000000028638-IF-001</t>
  </si>
  <si>
    <t>000000028637-IF-001</t>
  </si>
  <si>
    <t>000000028636-IF-001</t>
  </si>
  <si>
    <t>RUBENILDO</t>
  </si>
  <si>
    <t>000000028635-IF-001</t>
  </si>
  <si>
    <t>000000028634-IF-001</t>
  </si>
  <si>
    <t>000000028633-IF-001</t>
  </si>
  <si>
    <t>000000028632-IF-001</t>
  </si>
  <si>
    <t>000000028631-IF-001</t>
  </si>
  <si>
    <t>000000028630-IF-001</t>
  </si>
  <si>
    <t>000000028629-IF-001</t>
  </si>
  <si>
    <t>000000024811-NF-001</t>
  </si>
  <si>
    <t>666.197.851-15</t>
  </si>
  <si>
    <t>LUCIANO VELOSO NUNES</t>
  </si>
  <si>
    <t>000000024810-NF-001</t>
  </si>
  <si>
    <t>947.990.591-49</t>
  </si>
  <si>
    <t>LANA VARANDAS DE JESUS</t>
  </si>
  <si>
    <t>000000024809-NF-001</t>
  </si>
  <si>
    <t>000000024808-NF-001</t>
  </si>
  <si>
    <t>000000024807-NF-001</t>
  </si>
  <si>
    <t>000000024806-NF-001</t>
  </si>
  <si>
    <t>000000024805-NF-001</t>
  </si>
  <si>
    <t>000000024804-NF-001</t>
  </si>
  <si>
    <t>40.789.718/0001-23</t>
  </si>
  <si>
    <t>OBJETIVA CONSTRUCOES EIRELI</t>
  </si>
  <si>
    <t>000000024803-NF-001</t>
  </si>
  <si>
    <t>000000024802-NF-001</t>
  </si>
  <si>
    <t>11.866.924/0001-91</t>
  </si>
  <si>
    <t>UNIMAN CONSTRUCOES EIRELI.</t>
  </si>
  <si>
    <t>000000024801-NF-001</t>
  </si>
  <si>
    <t>38.147.653/0001-70</t>
  </si>
  <si>
    <t>ARIANE RAMOS DE SOUSA</t>
  </si>
  <si>
    <t>000000024800-NF-001</t>
  </si>
  <si>
    <t>41.882.183/0001-01</t>
  </si>
  <si>
    <t>CARVALHO BREY ENGENHARIA LTDA</t>
  </si>
  <si>
    <t>000000024799-NF-001</t>
  </si>
  <si>
    <t>000000024798-NF-001</t>
  </si>
  <si>
    <t>000000024797-NF-001</t>
  </si>
  <si>
    <t>000000024796-NF-001</t>
  </si>
  <si>
    <t>000000024795-NF-001</t>
  </si>
  <si>
    <t>000000024794-NF-001</t>
  </si>
  <si>
    <t>000000021411-IF-001</t>
  </si>
  <si>
    <t>000000021410-IF-001</t>
  </si>
  <si>
    <t>000000021409-IF-001</t>
  </si>
  <si>
    <t>000000021408-IF-001</t>
  </si>
  <si>
    <t>000000021407-IF-001</t>
  </si>
  <si>
    <t>WAGNER</t>
  </si>
  <si>
    <t>000000021406-IF-001</t>
  </si>
  <si>
    <t>000000021405-IF-001</t>
  </si>
  <si>
    <t>000000021404-IF-001</t>
  </si>
  <si>
    <t>000000021403-IF-001</t>
  </si>
  <si>
    <t>000000021402-IF-001</t>
  </si>
  <si>
    <t>000000021401-IF-001</t>
  </si>
  <si>
    <t>000000021400-IF-001</t>
  </si>
  <si>
    <t>000000021399-IF-001</t>
  </si>
  <si>
    <t>JAIME GRAU CAR</t>
  </si>
  <si>
    <t>000000021398-IF-001</t>
  </si>
  <si>
    <t>000000021397-IF-001</t>
  </si>
  <si>
    <t>000000021396-IF-001</t>
  </si>
  <si>
    <t>000000021395-IF-001</t>
  </si>
  <si>
    <t>000000021394-IF-001</t>
  </si>
  <si>
    <t>000000021393-IF-001</t>
  </si>
  <si>
    <t>000000021392-IF-001</t>
  </si>
  <si>
    <t>000000021391-IF-001</t>
  </si>
  <si>
    <t>000000021390-IF-001</t>
  </si>
  <si>
    <t>000000021389-IF-001</t>
  </si>
  <si>
    <t>000000021388-IF-001</t>
  </si>
  <si>
    <t>000000021387-IF-001</t>
  </si>
  <si>
    <t>000000019486-IF-1</t>
  </si>
  <si>
    <t>000000019485-IF-1</t>
  </si>
  <si>
    <t>000000019484-IF-1</t>
  </si>
  <si>
    <t>000000019483-IF-1</t>
  </si>
  <si>
    <t>000000019482-IF-1</t>
  </si>
  <si>
    <t>000000019481-IF-1</t>
  </si>
  <si>
    <t>000000019480-IF-1</t>
  </si>
  <si>
    <t>000000019479-IF-1</t>
  </si>
  <si>
    <t>000000019136-IF-001</t>
  </si>
  <si>
    <t>000000019135-IF-001</t>
  </si>
  <si>
    <t>JAILTON</t>
  </si>
  <si>
    <t>000000019134-IF-001</t>
  </si>
  <si>
    <t>000000019133-IF-001</t>
  </si>
  <si>
    <t>000000019132-IF-001</t>
  </si>
  <si>
    <t>000000019131-IF-001</t>
  </si>
  <si>
    <t>000000019130-IF-001</t>
  </si>
  <si>
    <t>000000019129-IF-001</t>
  </si>
  <si>
    <t>000000019128-IF-001</t>
  </si>
  <si>
    <t>000000019127-IF-001</t>
  </si>
  <si>
    <t>000000019126-IF-001</t>
  </si>
  <si>
    <t>000000019125-IF-001</t>
  </si>
  <si>
    <t>000000019124-IF-001</t>
  </si>
  <si>
    <t>000000019123-IF-001</t>
  </si>
  <si>
    <t>000000019122-IF-001</t>
  </si>
  <si>
    <t>000000019121-IF-001</t>
  </si>
  <si>
    <t>RONAN</t>
  </si>
  <si>
    <t>000000019120-IF-001</t>
  </si>
  <si>
    <t>000000019119-IF-001</t>
  </si>
  <si>
    <t>000000019118-IF-001</t>
  </si>
  <si>
    <t>000000019117-IF-001</t>
  </si>
  <si>
    <t>000000019116-IF-001</t>
  </si>
  <si>
    <t>000000019115-IF-001</t>
  </si>
  <si>
    <t>000000019114-IF-001</t>
  </si>
  <si>
    <t>000000019113-IF-001</t>
  </si>
  <si>
    <t>000000019112-IF-001</t>
  </si>
  <si>
    <t>000000019111-IF-001</t>
  </si>
  <si>
    <t>000000019110-IF-001</t>
  </si>
  <si>
    <t>000000019109-IF-001</t>
  </si>
  <si>
    <t>000000019108-IF-001</t>
  </si>
  <si>
    <t>000000019107-IF-001</t>
  </si>
  <si>
    <t>000000019106-IF-001</t>
  </si>
  <si>
    <t>000000019105-IF-001</t>
  </si>
  <si>
    <t>000000019104-IF-001</t>
  </si>
  <si>
    <t>000000019103-IF-001</t>
  </si>
  <si>
    <t>000000019102-IF-001</t>
  </si>
  <si>
    <t>005.364.101-94</t>
  </si>
  <si>
    <t>FABIO SOARES DE FREITAS</t>
  </si>
  <si>
    <t>000000019101-IF-001</t>
  </si>
  <si>
    <t>000000019100-IF-001</t>
  </si>
  <si>
    <t>000000019098-IF-001</t>
  </si>
  <si>
    <t>000000019097-IF-001</t>
  </si>
  <si>
    <t>000000019096-IF-001</t>
  </si>
  <si>
    <t>000000019095-IF-001</t>
  </si>
  <si>
    <t>000000019094-IF-001</t>
  </si>
  <si>
    <t>000000019093-IF-001</t>
  </si>
  <si>
    <t>000000019092-IF-001</t>
  </si>
  <si>
    <t>000000019091-IF-001</t>
  </si>
  <si>
    <t>000000019090-IF-001</t>
  </si>
  <si>
    <t>000000019089-IF-001</t>
  </si>
  <si>
    <t>000000019088-IF-001</t>
  </si>
  <si>
    <t>000000019087-IF-001</t>
  </si>
  <si>
    <t>000000019086-IF-001</t>
  </si>
  <si>
    <t>000000019085-IF-001</t>
  </si>
  <si>
    <t>000000019084-IF-001</t>
  </si>
  <si>
    <t>000000019083-IF-001</t>
  </si>
  <si>
    <t>000000019082-IF-001</t>
  </si>
  <si>
    <t>000000019081-IF-001</t>
  </si>
  <si>
    <t>000000019026-NF-001</t>
  </si>
  <si>
    <t>000000019025-NF-001</t>
  </si>
  <si>
    <t>000000019024-NF-001</t>
  </si>
  <si>
    <t>000000019023-NF-001</t>
  </si>
  <si>
    <t>000000019022-NF-001</t>
  </si>
  <si>
    <t>000000019021-NF-001</t>
  </si>
  <si>
    <t>000000019020-NF-001</t>
  </si>
  <si>
    <t>000000019019-NF-001</t>
  </si>
  <si>
    <t>000000019018-NF-001</t>
  </si>
  <si>
    <t>000000019017-NF-001</t>
  </si>
  <si>
    <t>000000019016-NF-001</t>
  </si>
  <si>
    <t>000000017974-IF-001</t>
  </si>
  <si>
    <t>000000017973-IF-001</t>
  </si>
  <si>
    <t>000000017972-IF-001</t>
  </si>
  <si>
    <t>000000017971-IF-001</t>
  </si>
  <si>
    <t>000000017970-IF-001</t>
  </si>
  <si>
    <t>000000017969-IF-001</t>
  </si>
  <si>
    <t>000000017968-IF-001</t>
  </si>
  <si>
    <t>000000017967-IF-001</t>
  </si>
  <si>
    <t>000000016519-FF-001</t>
  </si>
  <si>
    <t>000000016518-FF-001</t>
  </si>
  <si>
    <t>000000016517-FF-001</t>
  </si>
  <si>
    <t>000000016516-FF-001</t>
  </si>
  <si>
    <t>000000016515-FF-001</t>
  </si>
  <si>
    <t>000000016514-FF-001</t>
  </si>
  <si>
    <t>000000016513-FF-001</t>
  </si>
  <si>
    <t>000000016512-FF-001</t>
  </si>
  <si>
    <t>000000016511-FF-001</t>
  </si>
  <si>
    <t>000000016510-FF-001</t>
  </si>
  <si>
    <t>TULIO</t>
  </si>
  <si>
    <t>000000016509-FF-001</t>
  </si>
  <si>
    <t>000000016508-FF-001</t>
  </si>
  <si>
    <t>000000016507-FF-001</t>
  </si>
  <si>
    <t>000000016506-FF-001</t>
  </si>
  <si>
    <t>000000016505-FF-001</t>
  </si>
  <si>
    <t>000000015018-NF-1</t>
  </si>
  <si>
    <t>000000015017-NF-1</t>
  </si>
  <si>
    <t>665.067.601-25</t>
  </si>
  <si>
    <t>AGNALDO DE CARVALHO CARDOSO</t>
  </si>
  <si>
    <t>000000015016-NF-1</t>
  </si>
  <si>
    <t>000000015015-NF-1</t>
  </si>
  <si>
    <t>000000014493-FF-001</t>
  </si>
  <si>
    <t>000000014492-FF-001</t>
  </si>
  <si>
    <t>36.276.845/0001-51</t>
  </si>
  <si>
    <t>PRIME AUTO CENTER LTDA</t>
  </si>
  <si>
    <t>000000014491-FF-001</t>
  </si>
  <si>
    <t>000000014490-FF-001</t>
  </si>
  <si>
    <t>127.861.866-09</t>
  </si>
  <si>
    <t>CASSIO FERNANDES DE MORAES</t>
  </si>
  <si>
    <t>000000014489-FF-001</t>
  </si>
  <si>
    <t>000000014488-FF-001</t>
  </si>
  <si>
    <t>000000014487-FF-001</t>
  </si>
  <si>
    <t>000000014486-FF-001</t>
  </si>
  <si>
    <t>000000014485-FF-001</t>
  </si>
  <si>
    <t>000000014484-FF-001</t>
  </si>
  <si>
    <t>442.723.321-04</t>
  </si>
  <si>
    <t>ROGERIO MARTINS DE ANDRADE</t>
  </si>
  <si>
    <t>000000014483-FF-001</t>
  </si>
  <si>
    <t>000000014482-FF-001</t>
  </si>
  <si>
    <t>000000014481-FF-001</t>
  </si>
  <si>
    <t>000000014480-FF-001</t>
  </si>
  <si>
    <t>000000014479-FF-001</t>
  </si>
  <si>
    <t>000000014478-FF-001</t>
  </si>
  <si>
    <t>000000014477-FF-001</t>
  </si>
  <si>
    <t>000000014476-FF-001</t>
  </si>
  <si>
    <t>000000014475-FF-001</t>
  </si>
  <si>
    <t>000000014474-FF-001</t>
  </si>
  <si>
    <t>000000014473-FF-001</t>
  </si>
  <si>
    <t>000000014472-FF-001</t>
  </si>
  <si>
    <t>000000014471-FF-001</t>
  </si>
  <si>
    <t>000000014470-FF-001</t>
  </si>
  <si>
    <t>000000014469-FF-001</t>
  </si>
  <si>
    <t>000000014214-FF-001</t>
  </si>
  <si>
    <t>000000014213-FF-001</t>
  </si>
  <si>
    <t>000000014212-FF-001</t>
  </si>
  <si>
    <t>000000014211-FF-001</t>
  </si>
  <si>
    <t>000000014210-FF-001</t>
  </si>
  <si>
    <t>000000014209-FF-001</t>
  </si>
  <si>
    <t>000000014208-FF-001</t>
  </si>
  <si>
    <t>000000014207-FF-001</t>
  </si>
  <si>
    <t>000000014206-FF-001</t>
  </si>
  <si>
    <t>000000014205-FF-001</t>
  </si>
  <si>
    <t>000000009270-NF-001</t>
  </si>
  <si>
    <t>000000009269-NF-001</t>
  </si>
  <si>
    <t>000000009268-NF-001</t>
  </si>
  <si>
    <t>000000009267-NF-001</t>
  </si>
  <si>
    <t>000000009266-NF-001</t>
  </si>
  <si>
    <t>000000009265-NF-001</t>
  </si>
  <si>
    <t>000000007737-FF-001</t>
  </si>
  <si>
    <t>000000007736-FF-001</t>
  </si>
  <si>
    <t>000000007735-FF-001</t>
  </si>
  <si>
    <t>000000007734-FF-001</t>
  </si>
  <si>
    <t>000000007733-FF-001</t>
  </si>
  <si>
    <t>000000007732-FF-001</t>
  </si>
  <si>
    <t>000000007731-FF-001</t>
  </si>
  <si>
    <t>000000007730-FF-001</t>
  </si>
  <si>
    <t>000000007729-FF-001</t>
  </si>
  <si>
    <t>000000006893-FF-001</t>
  </si>
  <si>
    <t>000000006892-FF-001</t>
  </si>
  <si>
    <t>000000006891-FF-001</t>
  </si>
  <si>
    <t>000000006890-FF-001</t>
  </si>
  <si>
    <t>000000006889-FF-001</t>
  </si>
  <si>
    <t>000000006444-IF-001</t>
  </si>
  <si>
    <t>499.847.301-82</t>
  </si>
  <si>
    <t>NILSON CARROCERIA</t>
  </si>
  <si>
    <t>000000006443-IF-001</t>
  </si>
  <si>
    <t>000000006442-IF-001</t>
  </si>
  <si>
    <t>000000006441-IF-001</t>
  </si>
  <si>
    <t>000000006440-IF-001</t>
  </si>
  <si>
    <t>000000006439-IF-001</t>
  </si>
  <si>
    <t>000000006438-IF-001</t>
  </si>
  <si>
    <t>000000006437-IF-001</t>
  </si>
  <si>
    <t>000000006436-IF-001</t>
  </si>
  <si>
    <t>000000006435-IF-001</t>
  </si>
  <si>
    <t>000000006434-IF-001</t>
  </si>
  <si>
    <t>000000006433-IF-001</t>
  </si>
  <si>
    <t>000000006432-IF-001</t>
  </si>
  <si>
    <t>000000006431-IF-001</t>
  </si>
  <si>
    <t>000000006430-IF-001</t>
  </si>
  <si>
    <t>000000006429-IF-001</t>
  </si>
  <si>
    <t>55.948.106/0001-03</t>
  </si>
  <si>
    <t>GGI CONSTRUTORA LTDA</t>
  </si>
  <si>
    <t>000000006428-IF-001</t>
  </si>
  <si>
    <t>000000006427-IF-001</t>
  </si>
  <si>
    <t>000000006426-IF-001</t>
  </si>
  <si>
    <t>000000006425-IF-001</t>
  </si>
  <si>
    <t>000000006424-IF-001</t>
  </si>
  <si>
    <t>000000006423-IF-001</t>
  </si>
  <si>
    <t>L A PEREIRA</t>
  </si>
  <si>
    <t>000000006422-IF-001</t>
  </si>
  <si>
    <t>000000006421-IF-001</t>
  </si>
  <si>
    <t>000000006420-IF-001</t>
  </si>
  <si>
    <t>000000006419-IF-001</t>
  </si>
  <si>
    <t>BODIM</t>
  </si>
  <si>
    <t>000000006418-IF-001</t>
  </si>
  <si>
    <t>000000006417-IF-001</t>
  </si>
  <si>
    <t>000000006416-IF-001</t>
  </si>
  <si>
    <t>000000006415-IF-001</t>
  </si>
  <si>
    <t>000000006414-IF-001</t>
  </si>
  <si>
    <t>000000006413-IF-001</t>
  </si>
  <si>
    <t>000000006412-IF-001</t>
  </si>
  <si>
    <t>000000006411-IF-001</t>
  </si>
  <si>
    <t>000000006410-IF-001</t>
  </si>
  <si>
    <t>000000006409-IF-001</t>
  </si>
  <si>
    <t>000000006408-IF-001</t>
  </si>
  <si>
    <t>000000006407-IF-001</t>
  </si>
  <si>
    <t>000000006406-IF-001</t>
  </si>
  <si>
    <t>034.461.831-59</t>
  </si>
  <si>
    <t>ALAN DE OLIVEIRA ROCHA MATOS</t>
  </si>
  <si>
    <t>000000006405-IF-001</t>
  </si>
  <si>
    <t>000000006404-IF-001</t>
  </si>
  <si>
    <t>000000006403-IF-001</t>
  </si>
  <si>
    <t>000000006402-IF-001</t>
  </si>
  <si>
    <t>000000006401-IF-001</t>
  </si>
  <si>
    <t>000000003756-NF-001</t>
  </si>
  <si>
    <t>000000003755-NF-001</t>
  </si>
  <si>
    <t>000000003754-NF-001</t>
  </si>
  <si>
    <t>05.161.132/0001-19</t>
  </si>
  <si>
    <t>PLACAR MULT MARCAS LTDA</t>
  </si>
  <si>
    <t>000000003753-NF-001</t>
  </si>
  <si>
    <t>000000003752-NF-001</t>
  </si>
  <si>
    <t>000000003751-NF-001</t>
  </si>
  <si>
    <t>000000003750-NF-001</t>
  </si>
  <si>
    <t>000000003749-NF-001</t>
  </si>
  <si>
    <t>000000003748-NF-001</t>
  </si>
  <si>
    <t>000000003747-NF-001</t>
  </si>
  <si>
    <t>000000003746-NF-001</t>
  </si>
  <si>
    <t>000000003164-NF-001</t>
  </si>
  <si>
    <t>21.161.186/0001-30</t>
  </si>
  <si>
    <t>MONTEIRO AGRI LOGISTICA LTDA</t>
  </si>
  <si>
    <t>000000003163-NF-001</t>
  </si>
  <si>
    <t>000000001394-FF-001</t>
  </si>
  <si>
    <t>000000000863-FF-001</t>
  </si>
  <si>
    <t>30.223.593/0001-16</t>
  </si>
  <si>
    <t>MARCIA REGINA ALVES RUFINO</t>
  </si>
  <si>
    <t>000000000862-FF-001</t>
  </si>
  <si>
    <t>000000000861-FF-001</t>
  </si>
  <si>
    <t>000000000860-FF-001</t>
  </si>
  <si>
    <t>000000000859-FF-001</t>
  </si>
  <si>
    <t>000000000858-FF-001</t>
  </si>
  <si>
    <t>000000000857-FF-001</t>
  </si>
  <si>
    <t>000000000800-NF-001</t>
  </si>
  <si>
    <t>000000000799-NF-001</t>
  </si>
  <si>
    <t>000000000798-NF-001</t>
  </si>
  <si>
    <t>000000000797-NF-001</t>
  </si>
  <si>
    <t>000000000796-NF-001</t>
  </si>
  <si>
    <t>000000613154-FF-1</t>
  </si>
  <si>
    <t>000000613153-FF-1</t>
  </si>
  <si>
    <t>000000409912-FF-1</t>
  </si>
  <si>
    <t>44.755.681/0001-73</t>
  </si>
  <si>
    <t>LIDIA VASCONCELOS DOS SANTOS</t>
  </si>
  <si>
    <t>000000409911-FF-1</t>
  </si>
  <si>
    <t>000000055293-IF-1</t>
  </si>
  <si>
    <t>416.364.901-82</t>
  </si>
  <si>
    <t>JOSEPHA GERALDA ARAUJO DOS SANTOS</t>
  </si>
  <si>
    <t>000000055292-IF-1</t>
  </si>
  <si>
    <t>000000055291-IF-1</t>
  </si>
  <si>
    <t>000000055290-IF-1</t>
  </si>
  <si>
    <t>000000055289-IF-1</t>
  </si>
  <si>
    <t>000000055288-IF-1</t>
  </si>
  <si>
    <t>TIMOTIO</t>
  </si>
  <si>
    <t>000000055287-IF-1</t>
  </si>
  <si>
    <t>000000055286-IF-1</t>
  </si>
  <si>
    <t>825.833.823-49</t>
  </si>
  <si>
    <t>ELEILTON DINIZ DE SOUZA</t>
  </si>
  <si>
    <t>000000055285-IF-1</t>
  </si>
  <si>
    <t>000000055284-IF-1</t>
  </si>
  <si>
    <t>000000055283-IF-1</t>
  </si>
  <si>
    <t>000000055282-IF-1</t>
  </si>
  <si>
    <t>JOELSON</t>
  </si>
  <si>
    <t>000000055281-IF-1</t>
  </si>
  <si>
    <t>000000055280-IF-1</t>
  </si>
  <si>
    <t>000000042982-IF-001</t>
  </si>
  <si>
    <t>000000042981-IF-001</t>
  </si>
  <si>
    <t>000000042980-IF-001</t>
  </si>
  <si>
    <t>000000042979-IF-001</t>
  </si>
  <si>
    <t>000000042978-IF-001</t>
  </si>
  <si>
    <t>000000042977-IF-001</t>
  </si>
  <si>
    <t>000000042976-IF-001</t>
  </si>
  <si>
    <t>000000042975-IF-001</t>
  </si>
  <si>
    <t>000000042974-IF-001</t>
  </si>
  <si>
    <t>000000042973-IF-001</t>
  </si>
  <si>
    <t>000000042972-IF-001</t>
  </si>
  <si>
    <t>000000042971-IF-001</t>
  </si>
  <si>
    <t>000000042970-IF-001</t>
  </si>
  <si>
    <t>000000042969-IF-001</t>
  </si>
  <si>
    <t>CROSS CAR</t>
  </si>
  <si>
    <t>000000042968-IF-001</t>
  </si>
  <si>
    <t>000000042967-IF-001</t>
  </si>
  <si>
    <t>000000042966-IF-001</t>
  </si>
  <si>
    <t>000000042965-IF-001</t>
  </si>
  <si>
    <t>000000042964-IF-001</t>
  </si>
  <si>
    <t>000000042963-IF-001</t>
  </si>
  <si>
    <t>000000042962-IF-001</t>
  </si>
  <si>
    <t>000000042961-IF-001</t>
  </si>
  <si>
    <t>000000042960-IF-001</t>
  </si>
  <si>
    <t>602.701.011-87</t>
  </si>
  <si>
    <t>MAX EMILIANO BORGANN</t>
  </si>
  <si>
    <t>000000042959-IF-001</t>
  </si>
  <si>
    <t>000000042958-IF-001</t>
  </si>
  <si>
    <t>911.873.704-87</t>
  </si>
  <si>
    <t>JOCELMO BEZERRA DA SILVA</t>
  </si>
  <si>
    <t>000000042957-IF-001</t>
  </si>
  <si>
    <t>000000042956-IF-001</t>
  </si>
  <si>
    <t>000000042955-IF-001</t>
  </si>
  <si>
    <t>000000042954-IF-001</t>
  </si>
  <si>
    <t>000000042953-IF-001</t>
  </si>
  <si>
    <t>000000042952-IF-001</t>
  </si>
  <si>
    <t>002.665.691-45</t>
  </si>
  <si>
    <t>IVAN SILVA SANTOS</t>
  </si>
  <si>
    <t>000000042951-IF-001</t>
  </si>
  <si>
    <t>000000042950-IF-001</t>
  </si>
  <si>
    <t>000000042949-IF-001</t>
  </si>
  <si>
    <t>000000042948-IF-001</t>
  </si>
  <si>
    <t>000000042947-IF-001</t>
  </si>
  <si>
    <t>000000042946-IF-001</t>
  </si>
  <si>
    <t>000000042945-IF-001</t>
  </si>
  <si>
    <t>000000042944-IF-001</t>
  </si>
  <si>
    <t>000000042943-IF-001</t>
  </si>
  <si>
    <t>000000042942-IF-001</t>
  </si>
  <si>
    <t>000000042941-IF-001</t>
  </si>
  <si>
    <t>000000042940-IF-001</t>
  </si>
  <si>
    <t>000000042939-IF-001</t>
  </si>
  <si>
    <t>000000042938-IF-001</t>
  </si>
  <si>
    <t>05.205.057/0001-40</t>
  </si>
  <si>
    <t>MJP INFORMATICA E SERVICOS</t>
  </si>
  <si>
    <t>000000031798-NF-1</t>
  </si>
  <si>
    <t>000000031797-NF-1</t>
  </si>
  <si>
    <t>000000031796-NF-1</t>
  </si>
  <si>
    <t>000000031793-NF-1</t>
  </si>
  <si>
    <t>000000031792-NF-1</t>
  </si>
  <si>
    <t>227.276.391-04</t>
  </si>
  <si>
    <t>JORGE SUGUIURA</t>
  </si>
  <si>
    <t>000000031791-NF-1</t>
  </si>
  <si>
    <t>000000031790-NF-1</t>
  </si>
  <si>
    <t>000000031789-NF-1</t>
  </si>
  <si>
    <t>000000031788-NF-1</t>
  </si>
  <si>
    <t>000000031787-NF-1</t>
  </si>
  <si>
    <t>ORLANDO</t>
  </si>
  <si>
    <t>000000028960-IF-001</t>
  </si>
  <si>
    <t>WALMIR</t>
  </si>
  <si>
    <t>000000028959-IF-001</t>
  </si>
  <si>
    <t>000000028958-IF-001</t>
  </si>
  <si>
    <t>000000028957-IF-001</t>
  </si>
  <si>
    <t>995.083.701-49</t>
  </si>
  <si>
    <t>THIAGO LEAO</t>
  </si>
  <si>
    <t>000000028956-IF-001</t>
  </si>
  <si>
    <t>JOSE</t>
  </si>
  <si>
    <t>000000028955-IF-001</t>
  </si>
  <si>
    <t>000000028954-IF-001</t>
  </si>
  <si>
    <t>03.597.808/0001-96</t>
  </si>
  <si>
    <t>GUTEMBERG BARBOSA DA FONSECA-ME</t>
  </si>
  <si>
    <t>000000028953-IF-001</t>
  </si>
  <si>
    <t>000000028952-IF-001</t>
  </si>
  <si>
    <t>000000028951-IF-001</t>
  </si>
  <si>
    <t>142.827.837-02</t>
  </si>
  <si>
    <t>000000028950-IF-001</t>
  </si>
  <si>
    <t>000000028949-IF-001</t>
  </si>
  <si>
    <t>000000028948-IF-001</t>
  </si>
  <si>
    <t>000000028628-IF-001</t>
  </si>
  <si>
    <t>000000028627-IF-001</t>
  </si>
  <si>
    <t>000000028626-IF-001</t>
  </si>
  <si>
    <t>000000028625-IF-001</t>
  </si>
  <si>
    <t>000000028624-IF-001</t>
  </si>
  <si>
    <t>000000028623-IF-001</t>
  </si>
  <si>
    <t>000000028622-IF-001</t>
  </si>
  <si>
    <t>000000028621-IF-001</t>
  </si>
  <si>
    <t>000000028620-IF-001</t>
  </si>
  <si>
    <t>000000028619-IF-001</t>
  </si>
  <si>
    <t>000000028618-IF-001</t>
  </si>
  <si>
    <t>000000028617-IF-001</t>
  </si>
  <si>
    <t>000000028616-IF-001</t>
  </si>
  <si>
    <t>000000028615-IF-001</t>
  </si>
  <si>
    <t>000000028614-IF-001</t>
  </si>
  <si>
    <t>000000028613-IF-001</t>
  </si>
  <si>
    <t>000000028612-IF-001</t>
  </si>
  <si>
    <t>000000024793-NF-001</t>
  </si>
  <si>
    <t>000000024792-NF-001</t>
  </si>
  <si>
    <t>00.340.888/0001-01</t>
  </si>
  <si>
    <t>CONDOMINIO DO ED ERNESTO SILVA</t>
  </si>
  <si>
    <t>000000024791-NF-001</t>
  </si>
  <si>
    <t>000000024790-NF-001</t>
  </si>
  <si>
    <t>000000024789-NF-001</t>
  </si>
  <si>
    <t>000000024788-NF-001</t>
  </si>
  <si>
    <t>000000024787-NF-001</t>
  </si>
  <si>
    <t>08.777.873/0001-17</t>
  </si>
  <si>
    <t>JK COMERCIO FERRAGENS LTDA-ME</t>
  </si>
  <si>
    <t>000000024786-NF-001</t>
  </si>
  <si>
    <t>000000024785-NF-001</t>
  </si>
  <si>
    <t>000000024784-NF-001</t>
  </si>
  <si>
    <t>000000024783-NF-001</t>
  </si>
  <si>
    <t>11.158.653/0001-10</t>
  </si>
  <si>
    <t>NEOMED MATERIAL HOSPITALAR LTDA</t>
  </si>
  <si>
    <t>000000024782-NF-001</t>
  </si>
  <si>
    <t>000000024781-NF-001</t>
  </si>
  <si>
    <t>000000024780-NF-001</t>
  </si>
  <si>
    <t>07.726.448/0004-89</t>
  </si>
  <si>
    <t>SUPREMA VEICULOS LTDA</t>
  </si>
  <si>
    <t>000000024779-NF-001</t>
  </si>
  <si>
    <t>000000024778-NF-001</t>
  </si>
  <si>
    <t>000000024777-NF-001</t>
  </si>
  <si>
    <t>37.843.570/0002-34</t>
  </si>
  <si>
    <t>COSTA BRAVA PROJETO E CONTRUCOES LTDA</t>
  </si>
  <si>
    <t>000000024776-NF-001</t>
  </si>
  <si>
    <t>000000024775-NF-001</t>
  </si>
  <si>
    <t>000000024774-NF-001</t>
  </si>
  <si>
    <t>000000024773-NF-001</t>
  </si>
  <si>
    <t>000000021386-IF-001</t>
  </si>
  <si>
    <t>000000021385-IF-001</t>
  </si>
  <si>
    <t>000000021384-IF-001</t>
  </si>
  <si>
    <t>000000021383-IF-001</t>
  </si>
  <si>
    <t>000000021382-IF-001</t>
  </si>
  <si>
    <t>000000021381-IF-001</t>
  </si>
  <si>
    <t>GILMAR POLIMENTOS</t>
  </si>
  <si>
    <t>000000021380-IF-001</t>
  </si>
  <si>
    <t>000000021379-IF-001</t>
  </si>
  <si>
    <t>000000021378-IF-001</t>
  </si>
  <si>
    <t>000000021377-IF-001</t>
  </si>
  <si>
    <t>000000021376-IF-001</t>
  </si>
  <si>
    <t>000000021375-IF-001</t>
  </si>
  <si>
    <t>000000021374-IF-001</t>
  </si>
  <si>
    <t>000000021373-IF-001</t>
  </si>
  <si>
    <t>000000021372-IF-001</t>
  </si>
  <si>
    <t>000000021371-IF-001</t>
  </si>
  <si>
    <t>000000021370-IF-001</t>
  </si>
  <si>
    <t>000000021369-IF-001</t>
  </si>
  <si>
    <t>WIMALDO</t>
  </si>
  <si>
    <t>000000021368-IF-001</t>
  </si>
  <si>
    <t>000000021367-IF-001</t>
  </si>
  <si>
    <t>000000021366-IF-001</t>
  </si>
  <si>
    <t>000000021365-IF-001</t>
  </si>
  <si>
    <t>000000021364-IF-001</t>
  </si>
  <si>
    <t>000000021363-IF-001</t>
  </si>
  <si>
    <t>WALDOMIRO</t>
  </si>
  <si>
    <t>000000019478-IF-1</t>
  </si>
  <si>
    <t>000000019477-IF-1</t>
  </si>
  <si>
    <t>000000019476-IF-1</t>
  </si>
  <si>
    <t>000000019475-IF-1</t>
  </si>
  <si>
    <t>000000019474-IF-1</t>
  </si>
  <si>
    <t>000000019473-IF-1</t>
  </si>
  <si>
    <t>000000019472-IF-1</t>
  </si>
  <si>
    <t>000000019471-IF-1</t>
  </si>
  <si>
    <t>000000019470-IF-1</t>
  </si>
  <si>
    <t>000000019469-IF-1</t>
  </si>
  <si>
    <t>000000019468-IF-1</t>
  </si>
  <si>
    <t>000000019467-IF-1</t>
  </si>
  <si>
    <t>000000019466-IF-1</t>
  </si>
  <si>
    <t>000000019465-IF-1</t>
  </si>
  <si>
    <t>SR NENEN</t>
  </si>
  <si>
    <t>000000019080-IF-001</t>
  </si>
  <si>
    <t>000000019079-IF-001</t>
  </si>
  <si>
    <t>000000019078-IF-001</t>
  </si>
  <si>
    <t>000000019077-IF-001</t>
  </si>
  <si>
    <t>000000019076-IF-001</t>
  </si>
  <si>
    <t>000000019075-IF-001</t>
  </si>
  <si>
    <t>000000019074-IF-001</t>
  </si>
  <si>
    <t>000000019073-IF-001</t>
  </si>
  <si>
    <t>000000019072-IF-001</t>
  </si>
  <si>
    <t>000000019071-IF-001</t>
  </si>
  <si>
    <t>000000019070-IF-001</t>
  </si>
  <si>
    <t>000000019069-IF-001</t>
  </si>
  <si>
    <t>000000019068-IF-001</t>
  </si>
  <si>
    <t>000000019067-IF-001</t>
  </si>
  <si>
    <t>000000019066-IF-001</t>
  </si>
  <si>
    <t>000000019065-IF-001</t>
  </si>
  <si>
    <t>000000019064-IF-001</t>
  </si>
  <si>
    <t>000000019063-IF-001</t>
  </si>
  <si>
    <t>000000019062-IF-001</t>
  </si>
  <si>
    <t>000000019061-IF-001</t>
  </si>
  <si>
    <t>000000019060-IF-001</t>
  </si>
  <si>
    <t>000000019059-IF-001</t>
  </si>
  <si>
    <t>000000019058-IF-001</t>
  </si>
  <si>
    <t>000000019057-IF-001</t>
  </si>
  <si>
    <t>000000019056-IF-001</t>
  </si>
  <si>
    <t>000000019055-IF-001</t>
  </si>
  <si>
    <t>000000019054-IF-001</t>
  </si>
  <si>
    <t>000000019053-IF-001</t>
  </si>
  <si>
    <t>000000019052-IF-001</t>
  </si>
  <si>
    <t>000000019051-IF-001</t>
  </si>
  <si>
    <t>000000019050-IF-001</t>
  </si>
  <si>
    <t>000000019049-IF-001</t>
  </si>
  <si>
    <t>000000019048-IF-001</t>
  </si>
  <si>
    <t>000000019047-IF-001</t>
  </si>
  <si>
    <t>000000019046-IF-001</t>
  </si>
  <si>
    <t>000000019045-IF-001</t>
  </si>
  <si>
    <t>000000019044-IF-001</t>
  </si>
  <si>
    <t>000000019043-IF-001</t>
  </si>
  <si>
    <t>EVERTON</t>
  </si>
  <si>
    <t>000000019042-IF-001</t>
  </si>
  <si>
    <t>000000019041-IF-001</t>
  </si>
  <si>
    <t>000000019040-IF-001</t>
  </si>
  <si>
    <t>000000019039-IF-001</t>
  </si>
  <si>
    <t>299.386.352-53</t>
  </si>
  <si>
    <t>RAIMUNDO TAVARES FAVACHO</t>
  </si>
  <si>
    <t>000000019038-IF-001</t>
  </si>
  <si>
    <t>000000019037-IF-001</t>
  </si>
  <si>
    <t>000000019015-NF-001</t>
  </si>
  <si>
    <t>000000019014-NF-001</t>
  </si>
  <si>
    <t>000000019013-NF-001</t>
  </si>
  <si>
    <t>000000019012-NF-001</t>
  </si>
  <si>
    <t>000000019011-NF-001</t>
  </si>
  <si>
    <t>000000019010-NF-001</t>
  </si>
  <si>
    <t>000000019009-NF-001</t>
  </si>
  <si>
    <t>000000019008-NF-001</t>
  </si>
  <si>
    <t>000000019007-NF-001</t>
  </si>
  <si>
    <t>000000019006-NF-001</t>
  </si>
  <si>
    <t>000000019005-NF-001</t>
  </si>
  <si>
    <t>000000019004-NF-001</t>
  </si>
  <si>
    <t>000000019003-NF-001</t>
  </si>
  <si>
    <t>TRUVS</t>
  </si>
  <si>
    <t>000000016504-FF-001</t>
  </si>
  <si>
    <t>000000016503-FF-001</t>
  </si>
  <si>
    <t>000000016502-FF-001</t>
  </si>
  <si>
    <t>000000016501-FF-001</t>
  </si>
  <si>
    <t>000000016500-FF-001</t>
  </si>
  <si>
    <t>000000016499-FF-001</t>
  </si>
  <si>
    <t>000000016498-FF-001</t>
  </si>
  <si>
    <t>000000016497-FF-001</t>
  </si>
  <si>
    <t>000000016496-FF-001</t>
  </si>
  <si>
    <t>000000016495-FF-001</t>
  </si>
  <si>
    <t>000000016494-FF-001</t>
  </si>
  <si>
    <t>000000016493-FF-001</t>
  </si>
  <si>
    <t>000000016492-FF-001</t>
  </si>
  <si>
    <t>000000016491-FF-001</t>
  </si>
  <si>
    <t>000000016490-FF-001</t>
  </si>
  <si>
    <t>000000016489-FF-001</t>
  </si>
  <si>
    <t>000000016488-FF-001</t>
  </si>
  <si>
    <t>000000016487-FF-001</t>
  </si>
  <si>
    <t>000000016486-FF-001</t>
  </si>
  <si>
    <t>000000016485-FF-001</t>
  </si>
  <si>
    <t>000000016484-FF-001</t>
  </si>
  <si>
    <t>000000016483-FF-001</t>
  </si>
  <si>
    <t>000000016482-FF-001</t>
  </si>
  <si>
    <t>000000015014-NF-1</t>
  </si>
  <si>
    <t>000000015013-NF-1</t>
  </si>
  <si>
    <t>000000015012-NF-1</t>
  </si>
  <si>
    <t>000000015011-NF-1</t>
  </si>
  <si>
    <t>000000015010-NF-1</t>
  </si>
  <si>
    <t>000000015009-NF-1</t>
  </si>
  <si>
    <t>000000014204-FF-001</t>
  </si>
  <si>
    <t>000000014203-FF-001</t>
  </si>
  <si>
    <t>000000014202-FF-001</t>
  </si>
  <si>
    <t>000000014201-FF-001</t>
  </si>
  <si>
    <t>000000014200-FF-001</t>
  </si>
  <si>
    <t>000000014199-FF-001</t>
  </si>
  <si>
    <t>000000014198-FF-001</t>
  </si>
  <si>
    <t>000000014197-FF-001</t>
  </si>
  <si>
    <t>000000014196-FF-001</t>
  </si>
  <si>
    <t>000000014195-FF-001</t>
  </si>
  <si>
    <t>000000014194-FF-001</t>
  </si>
  <si>
    <t>000000014193-FF-001</t>
  </si>
  <si>
    <t>000000014192-FF-001</t>
  </si>
  <si>
    <t>000000014191-FF-001</t>
  </si>
  <si>
    <t>000000014190-FF-001</t>
  </si>
  <si>
    <t>000000014189-FF-001</t>
  </si>
  <si>
    <t>000000014188-FF-001</t>
  </si>
  <si>
    <t>000000009264-NF-001</t>
  </si>
  <si>
    <t>000000009263-NF-001</t>
  </si>
  <si>
    <t>000000009262-NF-001</t>
  </si>
  <si>
    <t>000000009261-NF-001</t>
  </si>
  <si>
    <t>000000009260-NF-001</t>
  </si>
  <si>
    <t>000000009259-NF-001</t>
  </si>
  <si>
    <t>000000009258-NF-001</t>
  </si>
  <si>
    <t>000000009257-NF-001</t>
  </si>
  <si>
    <t>000000009256-NF-001</t>
  </si>
  <si>
    <t>000000009254-NF-001</t>
  </si>
  <si>
    <t>000000009253-NF-001</t>
  </si>
  <si>
    <t>000000009252-NF-001</t>
  </si>
  <si>
    <t>000000009251-NF-001</t>
  </si>
  <si>
    <t>000000009250-NF-001</t>
  </si>
  <si>
    <t>000000007728-FF-001</t>
  </si>
  <si>
    <t>000000007727-FF-001</t>
  </si>
  <si>
    <t>000000007726-FF-001</t>
  </si>
  <si>
    <t>000000007725-FF-001</t>
  </si>
  <si>
    <t>000000007724-FF-001</t>
  </si>
  <si>
    <t>000000007723-FF-001</t>
  </si>
  <si>
    <t>000000007722-FF-001</t>
  </si>
  <si>
    <t>000000006888-FF-001</t>
  </si>
  <si>
    <t>000000006887-FF-001</t>
  </si>
  <si>
    <t>000000006886-FF-001</t>
  </si>
  <si>
    <t>000000006885-FF-001</t>
  </si>
  <si>
    <t>000000006884-FF-001</t>
  </si>
  <si>
    <t>000000006400-IF-001</t>
  </si>
  <si>
    <t>000000006399-IF-001</t>
  </si>
  <si>
    <t>000000006398-IF-001</t>
  </si>
  <si>
    <t>000000006397-IF-001</t>
  </si>
  <si>
    <t>000000006396-IF-001</t>
  </si>
  <si>
    <t>HILARIO - 991744947</t>
  </si>
  <si>
    <t>000000006395-IF-001</t>
  </si>
  <si>
    <t>000000006394-IF-001</t>
  </si>
  <si>
    <t>000000006393-IF-001</t>
  </si>
  <si>
    <t>000000006392-IF-001</t>
  </si>
  <si>
    <t>000000006391-IF-001</t>
  </si>
  <si>
    <t>000000006390-IF-001</t>
  </si>
  <si>
    <t>DUCK MOTOS</t>
  </si>
  <si>
    <t>000000006389-IF-001</t>
  </si>
  <si>
    <t>000000006388-IF-001</t>
  </si>
  <si>
    <t>000000006387-IF-001</t>
  </si>
  <si>
    <t>000000006386-IF-001</t>
  </si>
  <si>
    <t>000000006385-IF-001</t>
  </si>
  <si>
    <t>000000006384-IF-001</t>
  </si>
  <si>
    <t>000000006383-IF-001</t>
  </si>
  <si>
    <t>000000006382-IF-001</t>
  </si>
  <si>
    <t>051.758.141-84</t>
  </si>
  <si>
    <t>LEOCAR</t>
  </si>
  <si>
    <t>000000006381-IF-001</t>
  </si>
  <si>
    <t>000000006380-IF-001</t>
  </si>
  <si>
    <t>000000006379-IF-001</t>
  </si>
  <si>
    <t>000000006378-IF-001</t>
  </si>
  <si>
    <t>000000006377-IF-001</t>
  </si>
  <si>
    <t>000000006376-IF-001</t>
  </si>
  <si>
    <t>000000006375-IF-001</t>
  </si>
  <si>
    <t>000000006374-IF-001</t>
  </si>
  <si>
    <t>000000006373-IF-001</t>
  </si>
  <si>
    <t>000000006372-IF-001</t>
  </si>
  <si>
    <t>000000006371-IF-001</t>
  </si>
  <si>
    <t>TIMBÓ CRISTALIA</t>
  </si>
  <si>
    <t>000000006370-IF-001</t>
  </si>
  <si>
    <t>JULHAO CRISTALINA</t>
  </si>
  <si>
    <t>000000006369-IF-001</t>
  </si>
  <si>
    <t>000000006368-IF-001</t>
  </si>
  <si>
    <t>MIZAEL CRISTALINA</t>
  </si>
  <si>
    <t>000000006367-IF-001</t>
  </si>
  <si>
    <t>908.533.851-49</t>
  </si>
  <si>
    <t>CLEDIOMAR CAETANO</t>
  </si>
  <si>
    <t>000000006366-IF-001</t>
  </si>
  <si>
    <t>000000006365-IF-001</t>
  </si>
  <si>
    <t>000000006364-IF-001</t>
  </si>
  <si>
    <t>000000006363-IF-001</t>
  </si>
  <si>
    <t>000000006362-IF-001</t>
  </si>
  <si>
    <t>000000006361-IF-001</t>
  </si>
  <si>
    <t>000000006360-IF-001</t>
  </si>
  <si>
    <t>000000006359-IF-001</t>
  </si>
  <si>
    <t>000000006358-IF-001</t>
  </si>
  <si>
    <t>000000006357-IF-001</t>
  </si>
  <si>
    <t>000000006356-IF-001</t>
  </si>
  <si>
    <t>000000006355-IF-001</t>
  </si>
  <si>
    <t>000000006354-IF-001</t>
  </si>
  <si>
    <t>000000006353-IF-001</t>
  </si>
  <si>
    <t>000000006352-IF-001</t>
  </si>
  <si>
    <t>000000006351-IF-001</t>
  </si>
  <si>
    <t>000000003745-NF-001</t>
  </si>
  <si>
    <t>000000003744-NF-001</t>
  </si>
  <si>
    <t>000000003743-NF-001</t>
  </si>
  <si>
    <t>39.830.702/0001-38</t>
  </si>
  <si>
    <t>M2 CARRETAS FABRICAÇAO DE REBOQUES E ENGATES LTDA</t>
  </si>
  <si>
    <t>000000003742-NF-001</t>
  </si>
  <si>
    <t>000000003741-NF-001</t>
  </si>
  <si>
    <t>000000003740-NF-001</t>
  </si>
  <si>
    <t>000000003739-NF-001</t>
  </si>
  <si>
    <t>940.940.801-63</t>
  </si>
  <si>
    <t>DAIANA DOS ANJOS PORTELA</t>
  </si>
  <si>
    <t>000000001539-NF-001</t>
  </si>
  <si>
    <t>000000000856-FF-001</t>
  </si>
  <si>
    <t>000000000855-FF-001</t>
  </si>
  <si>
    <t>000000000854-FF-001</t>
  </si>
  <si>
    <t>000000000853-FF-001</t>
  </si>
  <si>
    <t>000000000852-FF-001</t>
  </si>
  <si>
    <t>000000000851-FF-001</t>
  </si>
  <si>
    <t>000000000850-FF-001</t>
  </si>
  <si>
    <t>000000000849-FF-001</t>
  </si>
  <si>
    <t>000000000848-FF-001</t>
  </si>
  <si>
    <t>000000000847-FF-001</t>
  </si>
  <si>
    <t>000000000846-FF-001</t>
  </si>
  <si>
    <t>000000000845-FF-001</t>
  </si>
  <si>
    <t>33.040.946/0001-30</t>
  </si>
  <si>
    <t>KMLUB SUPER TROCA DE OLEO</t>
  </si>
  <si>
    <t>000000000844-FF-001</t>
  </si>
  <si>
    <t>000000000843-FF-001</t>
  </si>
  <si>
    <t>000000000795-NF-001</t>
  </si>
  <si>
    <t>(02)014.028</t>
  </si>
  <si>
    <t>000000000794-NF-001</t>
  </si>
  <si>
    <t>000000000792-NF-001</t>
  </si>
  <si>
    <t>000000000791-NF-001</t>
  </si>
  <si>
    <t>000000000790-NF-001</t>
  </si>
  <si>
    <t>000000000789-NF-001</t>
  </si>
  <si>
    <t>000000613152-FF-1</t>
  </si>
  <si>
    <t>000000613151-FF-1</t>
  </si>
  <si>
    <t>000000613150-FF-1</t>
  </si>
  <si>
    <t>000000409910-FF-1</t>
  </si>
  <si>
    <t>000000409909-FF-1</t>
  </si>
  <si>
    <t>000000055279-IF-1</t>
  </si>
  <si>
    <t>000000055278-IF-1</t>
  </si>
  <si>
    <t>000000055277-IF-1</t>
  </si>
  <si>
    <t>000000055276-IF-1</t>
  </si>
  <si>
    <t>MATEUS</t>
  </si>
  <si>
    <t>000000055275-IF-1</t>
  </si>
  <si>
    <t>946.201.561-91</t>
  </si>
  <si>
    <t>ANDERSON NOGUEIRA DE CARVALHO (RA AUTO CAR)</t>
  </si>
  <si>
    <t>000000055274-IF-1</t>
  </si>
  <si>
    <t>000000055273-IF-1</t>
  </si>
  <si>
    <t>000000055272-IF-1</t>
  </si>
  <si>
    <t>000000055271-IF-1</t>
  </si>
  <si>
    <t>000000055270-IF-1</t>
  </si>
  <si>
    <t>000000055269-IF-1</t>
  </si>
  <si>
    <t>000000055268-IF-1</t>
  </si>
  <si>
    <t>000000055267-IF-1</t>
  </si>
  <si>
    <t>000000055266-IF-1</t>
  </si>
  <si>
    <t>000000055265-IF-1</t>
  </si>
  <si>
    <t>000000055264-IF-1</t>
  </si>
  <si>
    <t>CARLOS</t>
  </si>
  <si>
    <t>000000055263-IF-1</t>
  </si>
  <si>
    <t>000000042937-IF-001</t>
  </si>
  <si>
    <t>000000042936-IF-001</t>
  </si>
  <si>
    <t>000000042935-IF-001</t>
  </si>
  <si>
    <t>000000042934-IF-001</t>
  </si>
  <si>
    <t>000000042933-IF-001</t>
  </si>
  <si>
    <t>000000042932-IF-001</t>
  </si>
  <si>
    <t>000000042931-IF-001</t>
  </si>
  <si>
    <t>000000042930-IF-001</t>
  </si>
  <si>
    <t>000000042929-IF-001</t>
  </si>
  <si>
    <t>000000042928-IF-001</t>
  </si>
  <si>
    <t>000000042927-IF-001</t>
  </si>
  <si>
    <t>000000042926-IF-001</t>
  </si>
  <si>
    <t>000000042925-IF-001</t>
  </si>
  <si>
    <t>000000042924-IF-001</t>
  </si>
  <si>
    <t>000000042923-IF-001</t>
  </si>
  <si>
    <t>000000042922-IF-001</t>
  </si>
  <si>
    <t>000000042921-IF-001</t>
  </si>
  <si>
    <t>000000042920-IF-001</t>
  </si>
  <si>
    <t>000000042919-IF-001</t>
  </si>
  <si>
    <t>000000042918-IF-001</t>
  </si>
  <si>
    <t>PARQUE</t>
  </si>
  <si>
    <t>000000042917-IF-001</t>
  </si>
  <si>
    <t>000000042916-IF-001</t>
  </si>
  <si>
    <t>000000042915-IF-001</t>
  </si>
  <si>
    <t>000000042914-IF-001</t>
  </si>
  <si>
    <t>000000042913-IF-001</t>
  </si>
  <si>
    <t>000000042912-IF-001</t>
  </si>
  <si>
    <t>ROBSON /INTENSIVE CAR</t>
  </si>
  <si>
    <t>000000042911-IF-001</t>
  </si>
  <si>
    <t>000000042910-IF-001</t>
  </si>
  <si>
    <t>000000042909-IF-001</t>
  </si>
  <si>
    <t>000000042908-IF-001</t>
  </si>
  <si>
    <t>000000042907-IF-001</t>
  </si>
  <si>
    <t>000000042906-IF-001</t>
  </si>
  <si>
    <t>000000042905-IF-001</t>
  </si>
  <si>
    <t>000000042904-IF-001</t>
  </si>
  <si>
    <t>000000042903-IF-001</t>
  </si>
  <si>
    <t>000000042902-IF-001</t>
  </si>
  <si>
    <t>014.603.575-58</t>
  </si>
  <si>
    <t>EDICLESIO DO SANTOS ZENDO</t>
  </si>
  <si>
    <t>000000042901-IF-001</t>
  </si>
  <si>
    <t>000000031786-NF-1</t>
  </si>
  <si>
    <t>000000031785-NF-1</t>
  </si>
  <si>
    <t>000000031784-NF-1</t>
  </si>
  <si>
    <t>000000031783-NF-1</t>
  </si>
  <si>
    <t>000000031782-NF-1</t>
  </si>
  <si>
    <t>000000031781-NF-1</t>
  </si>
  <si>
    <t>000000031780-NF-1</t>
  </si>
  <si>
    <t>000000031778-NF-1</t>
  </si>
  <si>
    <t>000000031776-NF-1</t>
  </si>
  <si>
    <t>000000031775-NF-1</t>
  </si>
  <si>
    <t>000000028947-IF-001</t>
  </si>
  <si>
    <t>000000028946-IF-001</t>
  </si>
  <si>
    <t>000000028945-IF-001</t>
  </si>
  <si>
    <t>000000028944-IF-001</t>
  </si>
  <si>
    <t>000000028943-IF-001</t>
  </si>
  <si>
    <t>999.086.201-00</t>
  </si>
  <si>
    <t>FELIPE LIMA MARQUES</t>
  </si>
  <si>
    <t>000000028942-IF-001</t>
  </si>
  <si>
    <t>115.518.951-53</t>
  </si>
  <si>
    <t>000000028941-IF-001</t>
  </si>
  <si>
    <t>41.777.490/0001-14</t>
  </si>
  <si>
    <t>DEEP WASH DETAIL</t>
  </si>
  <si>
    <t>000000028940-IF-001</t>
  </si>
  <si>
    <t>000000028939-IF-001</t>
  </si>
  <si>
    <t>000000028938-IF-001</t>
  </si>
  <si>
    <t>000000028611-IF-001</t>
  </si>
  <si>
    <t>000000028610-IF-001</t>
  </si>
  <si>
    <t>000000028609-IF-001</t>
  </si>
  <si>
    <t>000000028608-IF-001</t>
  </si>
  <si>
    <t>000000028607-IF-001</t>
  </si>
  <si>
    <t>000000028606-IF-001</t>
  </si>
  <si>
    <t>000000028605-IF-001</t>
  </si>
  <si>
    <t>000000028604-IF-001</t>
  </si>
  <si>
    <t>000000028603-IF-001</t>
  </si>
  <si>
    <t>000000028602-IF-001</t>
  </si>
  <si>
    <t>000000028601-IF-001</t>
  </si>
  <si>
    <t>000000028600-IF-001</t>
  </si>
  <si>
    <t>000000028599-IF-001</t>
  </si>
  <si>
    <t>000000028598-IF-001</t>
  </si>
  <si>
    <t>SERGIO FREDERICO</t>
  </si>
  <si>
    <t>000000028597-IF-001</t>
  </si>
  <si>
    <t>ROGERIO (ITAPOA)</t>
  </si>
  <si>
    <t>000000028596-IF-001</t>
  </si>
  <si>
    <t>000000028595-IF-001</t>
  </si>
  <si>
    <t>000000028594-IF-001</t>
  </si>
  <si>
    <t>000000028593-IF-001</t>
  </si>
  <si>
    <t>000000028592-IF-001</t>
  </si>
  <si>
    <t>000000024772-NF-001</t>
  </si>
  <si>
    <t>000000024771-NF-001</t>
  </si>
  <si>
    <t>000000024770-NF-001</t>
  </si>
  <si>
    <t>057.213.211-56</t>
  </si>
  <si>
    <t>ITALO ALVES FERNANDES</t>
  </si>
  <si>
    <t>000000024769-NF-001</t>
  </si>
  <si>
    <t>34.637.195/0002-88</t>
  </si>
  <si>
    <t>CURINGA PNEUMATICOS LTDA</t>
  </si>
  <si>
    <t>000000024768-NF-001</t>
  </si>
  <si>
    <t>000000024766-NF-001</t>
  </si>
  <si>
    <t>000000024765-NF-001</t>
  </si>
  <si>
    <t>000000024764-NF-001</t>
  </si>
  <si>
    <t>54.195.639/0001-07</t>
  </si>
  <si>
    <t>PLA CAPOTARIA LTDA</t>
  </si>
  <si>
    <t>000000024763-NF-001</t>
  </si>
  <si>
    <t>000000024762-NF-001</t>
  </si>
  <si>
    <t>000000024761-NF-001</t>
  </si>
  <si>
    <t>000000024760-NF-001</t>
  </si>
  <si>
    <t>000000024759-NF-001</t>
  </si>
  <si>
    <t>000000021362-IF-001</t>
  </si>
  <si>
    <t>000000021361-IF-001</t>
  </si>
  <si>
    <t>223.135.401-20</t>
  </si>
  <si>
    <t>ANTONIO  FELIPE DA COSTA</t>
  </si>
  <si>
    <t>000000021360-IF-001</t>
  </si>
  <si>
    <t>000000021359-IF-001</t>
  </si>
  <si>
    <t>000000021358-IF-001</t>
  </si>
  <si>
    <t>000000021357-IF-001</t>
  </si>
  <si>
    <t>000000021356-IF-001</t>
  </si>
  <si>
    <t>000000021355-IF-001</t>
  </si>
  <si>
    <t>000000021354-IF-001</t>
  </si>
  <si>
    <t>000000021353-IF-001</t>
  </si>
  <si>
    <t>000000021352-IF-001</t>
  </si>
  <si>
    <t>000000021351-IF-001</t>
  </si>
  <si>
    <t>000000021350-IF-001</t>
  </si>
  <si>
    <t>RAIMUNDO BS</t>
  </si>
  <si>
    <t>000000021349-IF-001</t>
  </si>
  <si>
    <t>000000021348-IF-001</t>
  </si>
  <si>
    <t>000000021347-IF-001</t>
  </si>
  <si>
    <t>000000021346-IF-001</t>
  </si>
  <si>
    <t>000000021345-IF-001</t>
  </si>
  <si>
    <t>LUIZ ALBERTO</t>
  </si>
  <si>
    <t>000000021344-IF-001</t>
  </si>
  <si>
    <t>000000021343-IF-001</t>
  </si>
  <si>
    <t>000000021342-IF-001</t>
  </si>
  <si>
    <t>000000021341-IF-001</t>
  </si>
  <si>
    <t>000000019464-IF-1</t>
  </si>
  <si>
    <t>LUCAS-</t>
  </si>
  <si>
    <t>000000019463-IF-1</t>
  </si>
  <si>
    <t>000000019462-IF-1</t>
  </si>
  <si>
    <t>065.826.983-62</t>
  </si>
  <si>
    <t>RENNAN BERNARDINO</t>
  </si>
  <si>
    <t>000000019461-IF-1</t>
  </si>
  <si>
    <t>000000019460-IF-1</t>
  </si>
  <si>
    <t>000000019458-IF-1</t>
  </si>
  <si>
    <t>000000019457-IF-1</t>
  </si>
  <si>
    <t>DARLEY</t>
  </si>
  <si>
    <t>000000019456-IF-1</t>
  </si>
  <si>
    <t>000000019455-IF-1</t>
  </si>
  <si>
    <t>000000019454-IF-1</t>
  </si>
  <si>
    <t>000000019453-IF-1</t>
  </si>
  <si>
    <t>000000019452-IF-1</t>
  </si>
  <si>
    <t>000000019451-IF-1</t>
  </si>
  <si>
    <t>000000019450-IF-1</t>
  </si>
  <si>
    <t>000000019449-IF-1</t>
  </si>
  <si>
    <t>000000019448-IF-1</t>
  </si>
  <si>
    <t>000000019447-IF-1</t>
  </si>
  <si>
    <t>000000019446-IF-1</t>
  </si>
  <si>
    <t>000000019036-IF-001</t>
  </si>
  <si>
    <t>000000019035-IF-001</t>
  </si>
  <si>
    <t>000000019034-IF-001</t>
  </si>
  <si>
    <t>000000019033-IF-001</t>
  </si>
  <si>
    <t>000000019032-IF-001</t>
  </si>
  <si>
    <t>000000019031-IF-001</t>
  </si>
  <si>
    <t>000000019030-IF-001</t>
  </si>
  <si>
    <t>000000019029-IF-001</t>
  </si>
  <si>
    <t>000000019028-IF-001</t>
  </si>
  <si>
    <t>666.629.401-78</t>
  </si>
  <si>
    <t>MARCIO BOLZON</t>
  </si>
  <si>
    <t>000000019027-IF-001</t>
  </si>
  <si>
    <t>000000019026-IF-001</t>
  </si>
  <si>
    <t>000000019025-IF-001</t>
  </si>
  <si>
    <t>000000019024-IF-001</t>
  </si>
  <si>
    <t>000000019023-IF-001</t>
  </si>
  <si>
    <t>000000019022-IF-001</t>
  </si>
  <si>
    <t>000000019021-IF-001</t>
  </si>
  <si>
    <t>588.903.781-15</t>
  </si>
  <si>
    <t>LEVINO FAGUNDES DE BARROS</t>
  </si>
  <si>
    <t>000000019020-IF-001</t>
  </si>
  <si>
    <t>000000019019-IF-001</t>
  </si>
  <si>
    <t>000000019018-IF-001</t>
  </si>
  <si>
    <t>000000019017-IF-001</t>
  </si>
  <si>
    <t>000000019016-IF-001</t>
  </si>
  <si>
    <t>HELDER</t>
  </si>
  <si>
    <t>000000019015-IF-001</t>
  </si>
  <si>
    <t>000000019014-IF-001</t>
  </si>
  <si>
    <t>000000019013-IF-001</t>
  </si>
  <si>
    <t>000000019012-IF-001</t>
  </si>
  <si>
    <t>000000019011-IF-001</t>
  </si>
  <si>
    <t>000000019010-IF-001</t>
  </si>
  <si>
    <t>000000019009-IF-001</t>
  </si>
  <si>
    <t>000000019008-IF-001</t>
  </si>
  <si>
    <t>000000019007-IF-001</t>
  </si>
  <si>
    <t>000000019006-IF-001</t>
  </si>
  <si>
    <t>000000019002-NF-001</t>
  </si>
  <si>
    <t>000000019001-NF-001</t>
  </si>
  <si>
    <t>000000019000-NF-001</t>
  </si>
  <si>
    <t>000000018999-NF-001</t>
  </si>
  <si>
    <t>000000018998-NF-001</t>
  </si>
  <si>
    <t>000000018997-NF-001</t>
  </si>
  <si>
    <t>000000018996-NF-001</t>
  </si>
  <si>
    <t>000000018995-NF-001</t>
  </si>
  <si>
    <t>(01)032</t>
  </si>
  <si>
    <t>000000018994-NF-001</t>
  </si>
  <si>
    <t>000000018993-NF-001</t>
  </si>
  <si>
    <t>000000018992-NF-001</t>
  </si>
  <si>
    <t>000000018991-NF-001</t>
  </si>
  <si>
    <t>000000018990-NF-001</t>
  </si>
  <si>
    <t>000000018989-NF-001</t>
  </si>
  <si>
    <t>000000018988-NF-001</t>
  </si>
  <si>
    <t>000000018987-NF-001</t>
  </si>
  <si>
    <t>000000018986-NF-001</t>
  </si>
  <si>
    <t>000000018985-NF-001</t>
  </si>
  <si>
    <t>000000018984-NF-001</t>
  </si>
  <si>
    <t>000000018983-NF-001</t>
  </si>
  <si>
    <t>000000018982-NF-001</t>
  </si>
  <si>
    <t>000000017966-IF-001</t>
  </si>
  <si>
    <t>000000017965-IF-001</t>
  </si>
  <si>
    <t>000000017964-IF-001</t>
  </si>
  <si>
    <t>000000017963-IF-001</t>
  </si>
  <si>
    <t>000000017962-IF-001</t>
  </si>
  <si>
    <t>000000017961-IF-001</t>
  </si>
  <si>
    <t>000000017960-IF-001</t>
  </si>
  <si>
    <t>536.461.346-15</t>
  </si>
  <si>
    <t>MESSIAS ALVES TEIXEIRA</t>
  </si>
  <si>
    <t>000000017959-IF-001</t>
  </si>
  <si>
    <t>000000017958-IF-001</t>
  </si>
  <si>
    <t>000000017957-IF-001</t>
  </si>
  <si>
    <t>268.672.811-68</t>
  </si>
  <si>
    <t>TIAGO PEREIRA DA SILVA FILHO</t>
  </si>
  <si>
    <t>000000016481-FF-001</t>
  </si>
  <si>
    <t>000000016480-FF-001</t>
  </si>
  <si>
    <t>000000016479-FF-001</t>
  </si>
  <si>
    <t>000000016478-FF-001</t>
  </si>
  <si>
    <t>000000016477-FF-001</t>
  </si>
  <si>
    <t>000000016476-FF-001</t>
  </si>
  <si>
    <t>000000016475-FF-001</t>
  </si>
  <si>
    <t>000000016474-FF-001</t>
  </si>
  <si>
    <t>000000016473-FF-001</t>
  </si>
  <si>
    <t>000000016472-FF-001</t>
  </si>
  <si>
    <t>000000016471-FF-001</t>
  </si>
  <si>
    <t>011.892.151-79</t>
  </si>
  <si>
    <t>FAGNER DE FARIAS</t>
  </si>
  <si>
    <t>000000016470-FF-001</t>
  </si>
  <si>
    <t>ALEXANDRE</t>
  </si>
  <si>
    <t>000000016469-FF-001</t>
  </si>
  <si>
    <t>000000015008-NF-1</t>
  </si>
  <si>
    <t>000000015007-NF-1</t>
  </si>
  <si>
    <t>000000015005-NF-1</t>
  </si>
  <si>
    <t>000000015004-NF-1</t>
  </si>
  <si>
    <t>000000015003-NF-1</t>
  </si>
  <si>
    <t>000000015002-NF-1</t>
  </si>
  <si>
    <t>000000015001-NF-1</t>
  </si>
  <si>
    <t>000000015000-NF-1</t>
  </si>
  <si>
    <t>000000014468-FF-001</t>
  </si>
  <si>
    <t>000000014467-FF-001</t>
  </si>
  <si>
    <t>000000014466-FF-001</t>
  </si>
  <si>
    <t>000000014465-FF-001</t>
  </si>
  <si>
    <t>000000014464-FF-001</t>
  </si>
  <si>
    <t>000000014463-FF-001</t>
  </si>
  <si>
    <t>000000014462-FF-001</t>
  </si>
  <si>
    <t>000000014461-FF-001</t>
  </si>
  <si>
    <t>000000014460-FF-001</t>
  </si>
  <si>
    <t>000000014459-FF-001</t>
  </si>
  <si>
    <t>000000014458-FF-001</t>
  </si>
  <si>
    <t>000000014457-FF-001</t>
  </si>
  <si>
    <t>000000014456-FF-001</t>
  </si>
  <si>
    <t>000000014455-FF-001</t>
  </si>
  <si>
    <t>000000014454-FF-001</t>
  </si>
  <si>
    <t>000000014453-FF-001</t>
  </si>
  <si>
    <t>000000014452-FF-001</t>
  </si>
  <si>
    <t>000000014451-FF-001</t>
  </si>
  <si>
    <t>000000014450-FF-001</t>
  </si>
  <si>
    <t>000000014449-FF-001</t>
  </si>
  <si>
    <t>000000014448-FF-001</t>
  </si>
  <si>
    <t>000000014447-FF-001</t>
  </si>
  <si>
    <t>000000014446-FF-001</t>
  </si>
  <si>
    <t>000000014445-FF-001</t>
  </si>
  <si>
    <t>000000014444-FF-001</t>
  </si>
  <si>
    <t>000000014443-FF-001</t>
  </si>
  <si>
    <t>000000014442-FF-001</t>
  </si>
  <si>
    <t>000000014441-FF-001</t>
  </si>
  <si>
    <t>000000014187-FF-001</t>
  </si>
  <si>
    <t>000000014185-FF-001</t>
  </si>
  <si>
    <t>000000014184-FF-001</t>
  </si>
  <si>
    <t>000000014183-FF-001</t>
  </si>
  <si>
    <t>000000014182-FF-001</t>
  </si>
  <si>
    <t>000000014181-FF-001</t>
  </si>
  <si>
    <t>000000014180-FF-001</t>
  </si>
  <si>
    <t>000000014179-FF-001</t>
  </si>
  <si>
    <t>000000014178-FF-001</t>
  </si>
  <si>
    <t>000000014177-FF-001</t>
  </si>
  <si>
    <t>000000014176-FF-001</t>
  </si>
  <si>
    <t>000000014175-FF-001</t>
  </si>
  <si>
    <t>000000009249-NF-001</t>
  </si>
  <si>
    <t>000000009248-NF-001</t>
  </si>
  <si>
    <t>000000009245-NF-001</t>
  </si>
  <si>
    <t>000000009244-NF-001</t>
  </si>
  <si>
    <t>000000007721-FF-001</t>
  </si>
  <si>
    <t>000000007720-FF-001</t>
  </si>
  <si>
    <t>000000007719-FF-001</t>
  </si>
  <si>
    <t>000000007718-FF-001</t>
  </si>
  <si>
    <t>000000007717-FF-001</t>
  </si>
  <si>
    <t>000000007716-FF-001</t>
  </si>
  <si>
    <t>000000007715-FF-001</t>
  </si>
  <si>
    <t>000000006883-FF-001</t>
  </si>
  <si>
    <t>000000006882-FF-001</t>
  </si>
  <si>
    <t>000000006881-FF-001</t>
  </si>
  <si>
    <t>000000006880-FF-001</t>
  </si>
  <si>
    <t>000000006879-FF-001</t>
  </si>
  <si>
    <t>000000006878-FF-001</t>
  </si>
  <si>
    <t>000000006877-FF-001</t>
  </si>
  <si>
    <t>000000006876-FF-001</t>
  </si>
  <si>
    <t>000000006875-FF-001</t>
  </si>
  <si>
    <t>000000006874-FF-001</t>
  </si>
  <si>
    <t>000000006350-IF-001</t>
  </si>
  <si>
    <t>000000006349-IF-001</t>
  </si>
  <si>
    <t>000000006348-IF-001</t>
  </si>
  <si>
    <t>000000006347-IF-001</t>
  </si>
  <si>
    <t>000000006346-IF-001</t>
  </si>
  <si>
    <t>000000006345-IF-001</t>
  </si>
  <si>
    <t>000000006344-IF-001</t>
  </si>
  <si>
    <t>000000006343-IF-001</t>
  </si>
  <si>
    <t>000000006342-IF-001</t>
  </si>
  <si>
    <t>000000006341-IF-001</t>
  </si>
  <si>
    <t>000000006340-IF-001</t>
  </si>
  <si>
    <t>000000006339-IF-001</t>
  </si>
  <si>
    <t>000000006338-IF-001</t>
  </si>
  <si>
    <t>000000006337-IF-001</t>
  </si>
  <si>
    <t>000000006336-IF-001</t>
  </si>
  <si>
    <t>REGINALDO  PREMIUN</t>
  </si>
  <si>
    <t>000000006335-IF-001</t>
  </si>
  <si>
    <t>000000006334-IF-001</t>
  </si>
  <si>
    <t>000000006333-IF-001</t>
  </si>
  <si>
    <t>000000006332-IF-001</t>
  </si>
  <si>
    <t>000000006331-IF-001</t>
  </si>
  <si>
    <t>000000006330-IF-001</t>
  </si>
  <si>
    <t>000000006329-IF-001</t>
  </si>
  <si>
    <t>000000006328-IF-001</t>
  </si>
  <si>
    <t>000000006327-IF-001</t>
  </si>
  <si>
    <t>000000006326-IF-001</t>
  </si>
  <si>
    <t>000000006325-IF-001</t>
  </si>
  <si>
    <t>RENATO</t>
  </si>
  <si>
    <t>000000006324-IF-001</t>
  </si>
  <si>
    <t>000000006323-IF-001</t>
  </si>
  <si>
    <t>CELIO</t>
  </si>
  <si>
    <t>000000006322-IF-001</t>
  </si>
  <si>
    <t>000000006321-IF-001</t>
  </si>
  <si>
    <t>SILVANA</t>
  </si>
  <si>
    <t>000000006320-IF-001</t>
  </si>
  <si>
    <t>ALESSANDRO</t>
  </si>
  <si>
    <t>000000006319-IF-001</t>
  </si>
  <si>
    <t>000000006318-IF-001</t>
  </si>
  <si>
    <t>000000006317-IF-001</t>
  </si>
  <si>
    <t>000000006316-IF-001</t>
  </si>
  <si>
    <t>000000006315-IF-001</t>
  </si>
  <si>
    <t>000000006314-IF-001</t>
  </si>
  <si>
    <t>000000006313-IF-001</t>
  </si>
  <si>
    <t>000000006312-IF-001</t>
  </si>
  <si>
    <t>MARCOS BRAZ</t>
  </si>
  <si>
    <t>000000006311-IF-001</t>
  </si>
  <si>
    <t>000000006310-IF-001</t>
  </si>
  <si>
    <t>000000006309-IF-001</t>
  </si>
  <si>
    <t>MIQUEL -</t>
  </si>
  <si>
    <t>000000006308-IF-001</t>
  </si>
  <si>
    <t>000000006307-IF-001</t>
  </si>
  <si>
    <t>000000003738-NF-001</t>
  </si>
  <si>
    <t>03.706.713/0001-63</t>
  </si>
  <si>
    <t>RIOCOR COMERCIAL DE TINTAS LTDA</t>
  </si>
  <si>
    <t>000000003736-NF-001</t>
  </si>
  <si>
    <t>000000003735-NF-001</t>
  </si>
  <si>
    <t>000000003734-NF-001</t>
  </si>
  <si>
    <t>795.712.201-91</t>
  </si>
  <si>
    <t>LUIZ HENRIQUE MAIA BEZERRA</t>
  </si>
  <si>
    <t>000000003733-NF-001</t>
  </si>
  <si>
    <t>000000003161-NF-001</t>
  </si>
  <si>
    <t>923.093.996-04</t>
  </si>
  <si>
    <t>KARINE SANDERS LEITE E OUTROS</t>
  </si>
  <si>
    <t>000000003160-NF-001</t>
  </si>
  <si>
    <t>000000002574-NS-001</t>
  </si>
  <si>
    <t>000000002573-NS-001</t>
  </si>
  <si>
    <t>000000002572-NS-001</t>
  </si>
  <si>
    <t>000000002571-NS-001</t>
  </si>
  <si>
    <t>000000002570-NS-001</t>
  </si>
  <si>
    <t>000000002569-NS-001</t>
  </si>
  <si>
    <t>000000002568-NS-001</t>
  </si>
  <si>
    <t>000000002567-NS-001</t>
  </si>
  <si>
    <t>000000002566-NS-001</t>
  </si>
  <si>
    <t>000000002565-NS-001</t>
  </si>
  <si>
    <t>000000002564-NS-001</t>
  </si>
  <si>
    <t>000000001393-FF-001</t>
  </si>
  <si>
    <t>000000001392-FF-001</t>
  </si>
  <si>
    <t>000000000842-FF-001</t>
  </si>
  <si>
    <t>000000000841-FF-001</t>
  </si>
  <si>
    <t>000000000840-FF-001</t>
  </si>
  <si>
    <t>000000000839-FF-001</t>
  </si>
  <si>
    <t>000000000838-FF-001</t>
  </si>
  <si>
    <t>000000000837-FF-001</t>
  </si>
  <si>
    <t>000000000836-FF-001</t>
  </si>
  <si>
    <t>000000000835-FF-001</t>
  </si>
  <si>
    <t>000000000834-FF-001</t>
  </si>
  <si>
    <t>000000000833-FF-001</t>
  </si>
  <si>
    <t>000000000832-FF-001</t>
  </si>
  <si>
    <t>57.660.291/0001-61</t>
  </si>
  <si>
    <t>LUIZ FELIPE DE FREITAS SILVA</t>
  </si>
  <si>
    <t>000000000831-FF-001</t>
  </si>
  <si>
    <t>000000000830-FF-001</t>
  </si>
  <si>
    <t>000000000829-FF-001</t>
  </si>
  <si>
    <t>000000000828-FF-001</t>
  </si>
  <si>
    <t>000000000827-FF-001</t>
  </si>
  <si>
    <t>000000000788-NF-001</t>
  </si>
  <si>
    <t>000000000787-NF-001</t>
  </si>
  <si>
    <t>000000000786-NF-001</t>
  </si>
  <si>
    <t>000000000785-NF-001</t>
  </si>
  <si>
    <t>000000613149-FF-1</t>
  </si>
  <si>
    <t>000000613148-FF-1</t>
  </si>
  <si>
    <t>48.021.360/0001-04</t>
  </si>
  <si>
    <t>SISTER COMUNICAÇÃO</t>
  </si>
  <si>
    <t>000000409908-FF-1</t>
  </si>
  <si>
    <t>000000055262-IF-1</t>
  </si>
  <si>
    <t>000000055261-IF-1</t>
  </si>
  <si>
    <t>000000055260-IF-1</t>
  </si>
  <si>
    <t>000000055259-IF-1</t>
  </si>
  <si>
    <t>000000055258-IF-1</t>
  </si>
  <si>
    <t>000000055257-IF-1</t>
  </si>
  <si>
    <t>000000055256-IF-1</t>
  </si>
  <si>
    <t>000000055255-IF-1</t>
  </si>
  <si>
    <t>000000055254-IF-1</t>
  </si>
  <si>
    <t>LEGO</t>
  </si>
  <si>
    <t>000000055253-IF-1</t>
  </si>
  <si>
    <t>000000055252-IF-1</t>
  </si>
  <si>
    <t>000000055251-IF-1</t>
  </si>
  <si>
    <t>000000055250-IF-1</t>
  </si>
  <si>
    <t>000000055249-IF-1</t>
  </si>
  <si>
    <t>WELINGTON</t>
  </si>
  <si>
    <t>000000055248-IF-1</t>
  </si>
  <si>
    <t>000000055247-IF-1</t>
  </si>
  <si>
    <t>000000055246-IF-1</t>
  </si>
  <si>
    <t>000000042900-IF-001</t>
  </si>
  <si>
    <t>000000042899-IF-001</t>
  </si>
  <si>
    <t>62.147.548/0001-16</t>
  </si>
  <si>
    <t>62.147.548 RAFAEL DENIZARD SILVA DE PADUA</t>
  </si>
  <si>
    <t>000000042898-IF-001</t>
  </si>
  <si>
    <t>000000042897-IF-001</t>
  </si>
  <si>
    <t>000000042896-IF-001</t>
  </si>
  <si>
    <t>000000042895-IF-001</t>
  </si>
  <si>
    <t>000000042894-IF-001</t>
  </si>
  <si>
    <t>000000042893-IF-001</t>
  </si>
  <si>
    <t>000000042892-IF-001</t>
  </si>
  <si>
    <t>000000042891-IF-001</t>
  </si>
  <si>
    <t>ERISVAN</t>
  </si>
  <si>
    <t>000000042890-IF-001</t>
  </si>
  <si>
    <t>000000042889-IF-001</t>
  </si>
  <si>
    <t>000000042888-IF-001</t>
  </si>
  <si>
    <t>ANA PAULA</t>
  </si>
  <si>
    <t>000000042887-IF-001</t>
  </si>
  <si>
    <t>000000042886-IF-001</t>
  </si>
  <si>
    <t>000000042885-IF-001</t>
  </si>
  <si>
    <t>000000042884-IF-001</t>
  </si>
  <si>
    <t>000000042883-IF-001</t>
  </si>
  <si>
    <t>796.833.201-04</t>
  </si>
  <si>
    <t>CLEBER</t>
  </si>
  <si>
    <t>000000042882-IF-001</t>
  </si>
  <si>
    <t>000000042881-IF-001</t>
  </si>
  <si>
    <t>000000042880-IF-001</t>
  </si>
  <si>
    <t>000000042879-IF-001</t>
  </si>
  <si>
    <t>000000042878-IF-001</t>
  </si>
  <si>
    <t>000000042877-IF-001</t>
  </si>
  <si>
    <t>FABRICA DE DOMINO</t>
  </si>
  <si>
    <t>000000042876-IF-001</t>
  </si>
  <si>
    <t>000000042875-IF-001</t>
  </si>
  <si>
    <t>000000042874-IF-001</t>
  </si>
  <si>
    <t>000000042873-IF-001</t>
  </si>
  <si>
    <t>000000042872-IF-001</t>
  </si>
  <si>
    <t>000000042871-IF-001</t>
  </si>
  <si>
    <t>000000042870-IF-001</t>
  </si>
  <si>
    <t>000000042869-IF-001</t>
  </si>
  <si>
    <t>000000042868-IF-001</t>
  </si>
  <si>
    <t>000000031774-NF-1</t>
  </si>
  <si>
    <t>000000031773-NF-1</t>
  </si>
  <si>
    <t>000000031772-NF-1</t>
  </si>
  <si>
    <t>000000031771-NF-1</t>
  </si>
  <si>
    <t>000000031770-NF-1</t>
  </si>
  <si>
    <t>000000031769-NF-1</t>
  </si>
  <si>
    <t>000000031768-NF-1</t>
  </si>
  <si>
    <t>000000031767-NF-1</t>
  </si>
  <si>
    <t>000000028936-IF-001</t>
  </si>
  <si>
    <t>NEY</t>
  </si>
  <si>
    <t>000000028935-IF-001</t>
  </si>
  <si>
    <t>000000028934-IF-001</t>
  </si>
  <si>
    <t>539.931.871-72</t>
  </si>
  <si>
    <t>000000028933-IF-001</t>
  </si>
  <si>
    <t>000000028932-IF-001</t>
  </si>
  <si>
    <t>000000028931-IF-001</t>
  </si>
  <si>
    <t>000000028930-IF-001</t>
  </si>
  <si>
    <t>000000028929-IF-001</t>
  </si>
  <si>
    <t>NELMA</t>
  </si>
  <si>
    <t>000000028928-IF-001</t>
  </si>
  <si>
    <t>OLIVEIRA ENGENHARIA</t>
  </si>
  <si>
    <t>000000028927-IF-001</t>
  </si>
  <si>
    <t>10.559.873/0001-92</t>
  </si>
  <si>
    <t>FW LANTERNAGEM E PINTURA</t>
  </si>
  <si>
    <t>000000028591-IF-001</t>
  </si>
  <si>
    <t>000000028590-IF-001</t>
  </si>
  <si>
    <t>EGON</t>
  </si>
  <si>
    <t>000000028589-IF-001</t>
  </si>
  <si>
    <t>000000028588-IF-001</t>
  </si>
  <si>
    <t>000000028587-IF-001</t>
  </si>
  <si>
    <t>000000028586-IF-001</t>
  </si>
  <si>
    <t>000000028585-IF-001</t>
  </si>
  <si>
    <t>12.941.243/0001-03</t>
  </si>
  <si>
    <t>ORIGINAL INTERIORES COMERCIO DE MOVEIS LTDA ME</t>
  </si>
  <si>
    <t>000000028584-IF-001</t>
  </si>
  <si>
    <t>000000028583-IF-001</t>
  </si>
  <si>
    <t>000000028582-IF-001</t>
  </si>
  <si>
    <t>000000028581-IF-001</t>
  </si>
  <si>
    <t>000000028580-IF-001</t>
  </si>
  <si>
    <t>WILSON</t>
  </si>
  <si>
    <t>000000028579-IF-001</t>
  </si>
  <si>
    <t>000000028578-IF-001</t>
  </si>
  <si>
    <t>000000028577-IF-001</t>
  </si>
  <si>
    <t>000000028576-IF-001</t>
  </si>
  <si>
    <t>000000028575-IF-001</t>
  </si>
  <si>
    <t>000000028574-IF-001</t>
  </si>
  <si>
    <t>ELIEU</t>
  </si>
  <si>
    <t>000000028573-IF-001</t>
  </si>
  <si>
    <t>000000028572-IF-001</t>
  </si>
  <si>
    <t>000000028571-IF-001</t>
  </si>
  <si>
    <t>000000028570-IF-001</t>
  </si>
  <si>
    <t>000000024758-NF-001</t>
  </si>
  <si>
    <t>000000024757-NF-001</t>
  </si>
  <si>
    <t>000000024756-NF-001</t>
  </si>
  <si>
    <t>000000024755-NF-001</t>
  </si>
  <si>
    <t>24.842.733/0001-31</t>
  </si>
  <si>
    <t>LCCL ARQUITETURA PROMOCIONAL LTDA</t>
  </si>
  <si>
    <t>000000024754-NF-001</t>
  </si>
  <si>
    <t>775.857.471-87</t>
  </si>
  <si>
    <t>FABIANO NARDOTO</t>
  </si>
  <si>
    <t>000000024753-NF-001</t>
  </si>
  <si>
    <t>ALLAN RODRIGUES CORREA</t>
  </si>
  <si>
    <t>000000024752-NF-001</t>
  </si>
  <si>
    <t>000000024751-NF-001</t>
  </si>
  <si>
    <t>000000024750-NF-001</t>
  </si>
  <si>
    <t>000000024749-NF-001</t>
  </si>
  <si>
    <t>000000024748-NF-001</t>
  </si>
  <si>
    <t>000000024747-NF-001</t>
  </si>
  <si>
    <t>000000024746-NF-001</t>
  </si>
  <si>
    <t>000000024745-NF-001</t>
  </si>
  <si>
    <t>000000024744-NF-001</t>
  </si>
  <si>
    <t>000000024743-NF-001</t>
  </si>
  <si>
    <t>000000024742-NF-001</t>
  </si>
  <si>
    <t>000000024741-NF-001</t>
  </si>
  <si>
    <t>000000024740-NF-001</t>
  </si>
  <si>
    <t>000000024739-NF-001</t>
  </si>
  <si>
    <t>000000021340-IF-001</t>
  </si>
  <si>
    <t>000000021339-IF-001</t>
  </si>
  <si>
    <t>000000021338-IF-001</t>
  </si>
  <si>
    <t>000000021337-IF-001</t>
  </si>
  <si>
    <t>JOÃO</t>
  </si>
  <si>
    <t>000000021336-IF-001</t>
  </si>
  <si>
    <t>000000021335-IF-001</t>
  </si>
  <si>
    <t>000000021334-IF-001</t>
  </si>
  <si>
    <t>000000021333-IF-001</t>
  </si>
  <si>
    <t>000000021332-IF-001</t>
  </si>
  <si>
    <t>000000021331-IF-001</t>
  </si>
  <si>
    <t>000000021330-IF-001</t>
  </si>
  <si>
    <t>000000021329-IF-001</t>
  </si>
  <si>
    <t>000000021328-IF-001</t>
  </si>
  <si>
    <t>000000021327-IF-001</t>
  </si>
  <si>
    <t>000000021326-IF-001</t>
  </si>
  <si>
    <t>000000021325-IF-001</t>
  </si>
  <si>
    <t>000000021324-IF-001</t>
  </si>
  <si>
    <t>000000021323-IF-001</t>
  </si>
  <si>
    <t>000000021322-IF-001</t>
  </si>
  <si>
    <t>000000021321-IF-001</t>
  </si>
  <si>
    <t>000000021320-IF-001</t>
  </si>
  <si>
    <t>000000021319-IF-001</t>
  </si>
  <si>
    <t>000000021318-IF-001</t>
  </si>
  <si>
    <t>MAIA LANTERNAGEM</t>
  </si>
  <si>
    <t>000000021317-IF-001</t>
  </si>
  <si>
    <t>000000021316-IF-001</t>
  </si>
  <si>
    <t>000000021315-IF-001</t>
  </si>
  <si>
    <t>000000021314-IF-001</t>
  </si>
  <si>
    <t>000000021313-IF-001</t>
  </si>
  <si>
    <t>000000019445-IF-1</t>
  </si>
  <si>
    <t>000000019444-IF-1</t>
  </si>
  <si>
    <t>000000019443-IF-1</t>
  </si>
  <si>
    <t>000000019442-IF-1</t>
  </si>
  <si>
    <t>000000019441-IF-1</t>
  </si>
  <si>
    <t>000000019440-IF-1</t>
  </si>
  <si>
    <t>000000019439-IF-1</t>
  </si>
  <si>
    <t>000000019438-IF-1</t>
  </si>
  <si>
    <t>VINICIUS</t>
  </si>
  <si>
    <t>000000019437-IF-1</t>
  </si>
  <si>
    <t>000000019436-IF-1</t>
  </si>
  <si>
    <t>000000019435-IF-1</t>
  </si>
  <si>
    <t>000000019434-IF-1</t>
  </si>
  <si>
    <t>000000019433-IF-1</t>
  </si>
  <si>
    <t>000000019432-IF-1</t>
  </si>
  <si>
    <t>000000019005-IF-001</t>
  </si>
  <si>
    <t>000000019004-IF-001</t>
  </si>
  <si>
    <t>000000019003-IF-001</t>
  </si>
  <si>
    <t>000000019002-IF-001</t>
  </si>
  <si>
    <t>000000019001-IF-001</t>
  </si>
  <si>
    <t>000000019000-IF-001</t>
  </si>
  <si>
    <t>000000018999-IF-001</t>
  </si>
  <si>
    <t>000000018998-IF-001</t>
  </si>
  <si>
    <t>000000018997-IF-001</t>
  </si>
  <si>
    <t>000000018996-IF-001</t>
  </si>
  <si>
    <t>000000018995-IF-001</t>
  </si>
  <si>
    <t>000000018994-IF-001</t>
  </si>
  <si>
    <t>000000018993-IF-001</t>
  </si>
  <si>
    <t>000000018992-IF-001</t>
  </si>
  <si>
    <t>000000018991-IF-001</t>
  </si>
  <si>
    <t>000000018990-IF-001</t>
  </si>
  <si>
    <t>000000018989-IF-001</t>
  </si>
  <si>
    <t>000000018988-IF-001</t>
  </si>
  <si>
    <t>000000018987-IF-001</t>
  </si>
  <si>
    <t>000000018986-IF-001</t>
  </si>
  <si>
    <t>713.636.071-46</t>
  </si>
  <si>
    <t>GABRIEL SAMA</t>
  </si>
  <si>
    <t>000000018985-IF-001</t>
  </si>
  <si>
    <t>000000018984-IF-001</t>
  </si>
  <si>
    <t>000000018983-IF-001</t>
  </si>
  <si>
    <t>000000018982-IF-001</t>
  </si>
  <si>
    <t>000000018981-NF-001</t>
  </si>
  <si>
    <t>000000018981-IF-001</t>
  </si>
  <si>
    <t>000000018980-NF-001</t>
  </si>
  <si>
    <t>039.267.971-00</t>
  </si>
  <si>
    <t>FRANCISCO GABRIEL DO NASCIMENTO SILVA</t>
  </si>
  <si>
    <t>000000018980-IF-001</t>
  </si>
  <si>
    <t>000000018979-NF-001</t>
  </si>
  <si>
    <t>000000018979-IF-001</t>
  </si>
  <si>
    <t>000000018978-NF-001</t>
  </si>
  <si>
    <t>000000018978-IF-001</t>
  </si>
  <si>
    <t>000000018977-NF-001</t>
  </si>
  <si>
    <t>000000018977-IF-001</t>
  </si>
  <si>
    <t>000000018976-NF-001</t>
  </si>
  <si>
    <t>000000018976-IF-001</t>
  </si>
  <si>
    <t>06.352.893/0036-40</t>
  </si>
  <si>
    <t>ITA PECAS PARA VEICULOS COMERCIO E SERVICOS LTDA</t>
  </si>
  <si>
    <t>000000018975-NF-001</t>
  </si>
  <si>
    <t>000000018975-IF-001</t>
  </si>
  <si>
    <t>000000018974-IF-001</t>
  </si>
  <si>
    <t>(01)033</t>
  </si>
  <si>
    <t>000000018973-NF-001</t>
  </si>
  <si>
    <t>000000018973-IF-001</t>
  </si>
  <si>
    <t>01.679.084/0001-02</t>
  </si>
  <si>
    <t>DIGITAL SIGN COMER E SERV DE SINALIZACAO LTDA EPP</t>
  </si>
  <si>
    <t>000000018972-NF-001</t>
  </si>
  <si>
    <t>000000018971-NF-001</t>
  </si>
  <si>
    <t>000000018970-NF-001</t>
  </si>
  <si>
    <t>000000018967-NF-001</t>
  </si>
  <si>
    <t>000000018966-NF-001</t>
  </si>
  <si>
    <t>000000018965-NF-001</t>
  </si>
  <si>
    <t>000000018964-NF-001</t>
  </si>
  <si>
    <t>000000018963-NF-001</t>
  </si>
  <si>
    <t>000000018962-NF-001</t>
  </si>
  <si>
    <t>000000018961-NF-001</t>
  </si>
  <si>
    <t>000000018960-NF-001</t>
  </si>
  <si>
    <t>000000017956-IF-001</t>
  </si>
  <si>
    <t>000000017955-IF-001</t>
  </si>
  <si>
    <t>000000017954-IF-001</t>
  </si>
  <si>
    <t>000000017953-IF-001</t>
  </si>
  <si>
    <t>000000017952-IF-001</t>
  </si>
  <si>
    <t>000000017951-IF-001</t>
  </si>
  <si>
    <t>000000017950-IF-001</t>
  </si>
  <si>
    <t>000000017949-IF-001</t>
  </si>
  <si>
    <t>000000017948-IF-001</t>
  </si>
  <si>
    <t>000000017947-IF-001</t>
  </si>
  <si>
    <t>000.766.201-74</t>
  </si>
  <si>
    <t>MARCOS DA SILVA LIMA</t>
  </si>
  <si>
    <t>000000017946-IF-001</t>
  </si>
  <si>
    <t>000000016468-FF-001</t>
  </si>
  <si>
    <t>000000016467-FF-001</t>
  </si>
  <si>
    <t>000000016466-FF-001</t>
  </si>
  <si>
    <t>000000016465-FF-001</t>
  </si>
  <si>
    <t>000000016464-FF-001</t>
  </si>
  <si>
    <t>000000016463-FF-001</t>
  </si>
  <si>
    <t>000000016462-FF-001</t>
  </si>
  <si>
    <t>000000016461-FF-001</t>
  </si>
  <si>
    <t>000000016460-FF-001</t>
  </si>
  <si>
    <t>000000016459-FF-001</t>
  </si>
  <si>
    <t>000000016458-FF-001</t>
  </si>
  <si>
    <t>000000016457-FF-001</t>
  </si>
  <si>
    <t>000000016456-FF-001</t>
  </si>
  <si>
    <t>000000016455-FF-001</t>
  </si>
  <si>
    <t>000000016454-FF-001</t>
  </si>
  <si>
    <t>000000016453-FF-001</t>
  </si>
  <si>
    <t>000000016452-FF-001</t>
  </si>
  <si>
    <t>000000016451-FF-001</t>
  </si>
  <si>
    <t>000000016450-FF-001</t>
  </si>
  <si>
    <t>000000016449-FF-001</t>
  </si>
  <si>
    <t>000000016448-FF-001</t>
  </si>
  <si>
    <t>000000016447-FF-001</t>
  </si>
  <si>
    <t>000000016446-FF-001</t>
  </si>
  <si>
    <t>000000014999-NF-1</t>
  </si>
  <si>
    <t>000000014440-FF-001</t>
  </si>
  <si>
    <t>000000014439-FF-001</t>
  </si>
  <si>
    <t>000000014438-FF-001</t>
  </si>
  <si>
    <t>000000014437-FF-001</t>
  </si>
  <si>
    <t>000000014436-FF-001</t>
  </si>
  <si>
    <t>000000014435-FF-001</t>
  </si>
  <si>
    <t>000000014434-FF-001</t>
  </si>
  <si>
    <t>000000014433-FF-001</t>
  </si>
  <si>
    <t>000000014432-FF-001</t>
  </si>
  <si>
    <t>000000014431-FF-001</t>
  </si>
  <si>
    <t>000000014430-FF-001</t>
  </si>
  <si>
    <t>000000014429-FF-001</t>
  </si>
  <si>
    <t>000000014428-FF-001</t>
  </si>
  <si>
    <t>000000014427-FF-001</t>
  </si>
  <si>
    <t>000000014426-FF-001</t>
  </si>
  <si>
    <t>000000014425-FF-001</t>
  </si>
  <si>
    <t>000000014424-FF-001</t>
  </si>
  <si>
    <t>000000014423-FF-001</t>
  </si>
  <si>
    <t>000000014174-FF-001</t>
  </si>
  <si>
    <t>000000014173-FF-001</t>
  </si>
  <si>
    <t>000000014172-FF-001</t>
  </si>
  <si>
    <t>000000014171-FF-001</t>
  </si>
  <si>
    <t>000000014170-FF-001</t>
  </si>
  <si>
    <t>000000014169-FF-001</t>
  </si>
  <si>
    <t>000000014168-FF-001</t>
  </si>
  <si>
    <t>000000014167-FF-001</t>
  </si>
  <si>
    <t>000000014166-FF-001</t>
  </si>
  <si>
    <t>000000014165-FF-001</t>
  </si>
  <si>
    <t>000000014164-FF-001</t>
  </si>
  <si>
    <t>000000009243-NF-001</t>
  </si>
  <si>
    <t>000000009242-NF-001</t>
  </si>
  <si>
    <t>000000009241-NF-001</t>
  </si>
  <si>
    <t>780.568.291-72</t>
  </si>
  <si>
    <t>M&amp;A LANTERNAGEM E PINTURA</t>
  </si>
  <si>
    <t>000000009240-NF-001</t>
  </si>
  <si>
    <t>000000009239-NF-001</t>
  </si>
  <si>
    <t>000000009238-NF-001</t>
  </si>
  <si>
    <t>000000009237-NF-001</t>
  </si>
  <si>
    <t>000000007714-FF-001</t>
  </si>
  <si>
    <t>000000007713-FF-001</t>
  </si>
  <si>
    <t>000000007712-FF-001</t>
  </si>
  <si>
    <t>000000007711-FF-001</t>
  </si>
  <si>
    <t>000000007710-FF-001</t>
  </si>
  <si>
    <t>000000007709-FF-001</t>
  </si>
  <si>
    <t>000000007708-FF-001</t>
  </si>
  <si>
    <t>000000007707-FF-001</t>
  </si>
  <si>
    <t>000000007706-FF-001</t>
  </si>
  <si>
    <t>000000007705-FF-001</t>
  </si>
  <si>
    <t>000000007704-FF-001</t>
  </si>
  <si>
    <t>000000006873-FF-001</t>
  </si>
  <si>
    <t>000000006872-FF-001</t>
  </si>
  <si>
    <t>000000006871-FF-001</t>
  </si>
  <si>
    <t>000000006870-FF-001</t>
  </si>
  <si>
    <t>000000006869-FF-001</t>
  </si>
  <si>
    <t>000000006868-FF-001</t>
  </si>
  <si>
    <t>000000006867-FF-001</t>
  </si>
  <si>
    <t>000000006866-FF-001</t>
  </si>
  <si>
    <t>000000006865-FF-001</t>
  </si>
  <si>
    <t>000000006306-IF-001</t>
  </si>
  <si>
    <t>000000006305-IF-001</t>
  </si>
  <si>
    <t>000000006304-IF-001</t>
  </si>
  <si>
    <t>000000006303-IF-001</t>
  </si>
  <si>
    <t>000000006302-IF-001</t>
  </si>
  <si>
    <t>000000006301-IF-001</t>
  </si>
  <si>
    <t>000000006300-IF-001</t>
  </si>
  <si>
    <t>000000006299-IF-001</t>
  </si>
  <si>
    <t>000000006298-IF-001</t>
  </si>
  <si>
    <t>000000006297-IF-001</t>
  </si>
  <si>
    <t>000000006296-IF-001</t>
  </si>
  <si>
    <t>000000006295-IF-001</t>
  </si>
  <si>
    <t>000000006294-IF-001</t>
  </si>
  <si>
    <t>000000006293-IF-001</t>
  </si>
  <si>
    <t>000000006292-IF-001</t>
  </si>
  <si>
    <t>000000006291-IF-001</t>
  </si>
  <si>
    <t>000000006290-IF-001</t>
  </si>
  <si>
    <t>000000006289-IF-001</t>
  </si>
  <si>
    <t>000000006288-IF-001</t>
  </si>
  <si>
    <t>000000006287-IF-001</t>
  </si>
  <si>
    <t>000000006286-IF-001</t>
  </si>
  <si>
    <t>000000006285-IF-001</t>
  </si>
  <si>
    <t>000000006284-IF-001</t>
  </si>
  <si>
    <t>000000006283-IF-001</t>
  </si>
  <si>
    <t>000000006282-IF-001</t>
  </si>
  <si>
    <t>000000006281-IF-001</t>
  </si>
  <si>
    <t>000000006280-IF-001</t>
  </si>
  <si>
    <t>000000006279-IF-001</t>
  </si>
  <si>
    <t>000000006278-IF-001</t>
  </si>
  <si>
    <t>000000006277-IF-001</t>
  </si>
  <si>
    <t>000000006276-IF-001</t>
  </si>
  <si>
    <t>000000006275-IF-001</t>
  </si>
  <si>
    <t>000000006274-IF-001</t>
  </si>
  <si>
    <t>000000006273-IF-001</t>
  </si>
  <si>
    <t>000000006272-IF-001</t>
  </si>
  <si>
    <t>000000006271-IF-001</t>
  </si>
  <si>
    <t>000000006270-IF-001</t>
  </si>
  <si>
    <t>000000006269-IF-001</t>
  </si>
  <si>
    <t>000000006268-IF-001</t>
  </si>
  <si>
    <t>000000006267-IF-001</t>
  </si>
  <si>
    <t>000000006266-IF-001</t>
  </si>
  <si>
    <t>000000006265-IF-001</t>
  </si>
  <si>
    <t>000000006264-IF-001</t>
  </si>
  <si>
    <t>000000006263-IF-001</t>
  </si>
  <si>
    <t>MATHEUS LAVA JATO</t>
  </si>
  <si>
    <t>000000006262-IF-001</t>
  </si>
  <si>
    <t>000000006261-IF-001</t>
  </si>
  <si>
    <t>10.141.021/0001-80</t>
  </si>
  <si>
    <t>DF RODAS SERVICOS RECUPERACAO LTDA.</t>
  </si>
  <si>
    <t>000000003732-NF-001</t>
  </si>
  <si>
    <t>000000003731-NF-001</t>
  </si>
  <si>
    <t>000000003730-NF-001</t>
  </si>
  <si>
    <t>000000003729-NF-001</t>
  </si>
  <si>
    <t>000000003728-NF-001</t>
  </si>
  <si>
    <t>000000003727-NF-001</t>
  </si>
  <si>
    <t>000000001538-NF-001</t>
  </si>
  <si>
    <t>000000000826-FF-001</t>
  </si>
  <si>
    <t>000000000825-FF-001</t>
  </si>
  <si>
    <t>000000000824-FF-001</t>
  </si>
  <si>
    <t>000000000823-FF-001</t>
  </si>
  <si>
    <t>000000000784-NF-001</t>
  </si>
  <si>
    <t>000000000783-NF-001</t>
  </si>
  <si>
    <t>000000000782-NF-001</t>
  </si>
  <si>
    <t>000000000781-NF-001</t>
  </si>
  <si>
    <t>170.279.181-53</t>
  </si>
  <si>
    <t>JOSEMILIA RIBEIRO SILVA</t>
  </si>
  <si>
    <t>000000000780-NF-001</t>
  </si>
  <si>
    <t>000000000778-NF-001</t>
  </si>
  <si>
    <t>000000000227-DV-001</t>
  </si>
  <si>
    <t>000000000009-DV-001</t>
  </si>
  <si>
    <t>000000613147-FF-1</t>
  </si>
  <si>
    <t>000000055245-IF-1</t>
  </si>
  <si>
    <t>000000055244-IF-1</t>
  </si>
  <si>
    <t>000000055243-IF-1</t>
  </si>
  <si>
    <t>000000055242-IF-1</t>
  </si>
  <si>
    <t>000000055241-IF-1</t>
  </si>
  <si>
    <t>000000055240-IF-1</t>
  </si>
  <si>
    <t>000000055239-IF-1</t>
  </si>
  <si>
    <t>000000055238-IF-1</t>
  </si>
  <si>
    <t>000000055237-IF-1</t>
  </si>
  <si>
    <t>000000042867-IF-001</t>
  </si>
  <si>
    <t>000000042866-IF-001</t>
  </si>
  <si>
    <t>000000042865-IF-001</t>
  </si>
  <si>
    <t>000000042864-IF-001</t>
  </si>
  <si>
    <t>000000042863-IF-001</t>
  </si>
  <si>
    <t>000000042862-IF-001</t>
  </si>
  <si>
    <t>000000042861-IF-001</t>
  </si>
  <si>
    <t>000000042860-IF-001</t>
  </si>
  <si>
    <t>000000042859-IF-001</t>
  </si>
  <si>
    <t>000000042858-IF-001</t>
  </si>
  <si>
    <t>000000042857-IF-001</t>
  </si>
  <si>
    <t>000000042856-IF-001</t>
  </si>
  <si>
    <t>000000042855-IF-001</t>
  </si>
  <si>
    <t>DAVID</t>
  </si>
  <si>
    <t>000000042854-IF-001</t>
  </si>
  <si>
    <t>NUNES</t>
  </si>
  <si>
    <t>000000042853-IF-001</t>
  </si>
  <si>
    <t>000000042852-IF-001</t>
  </si>
  <si>
    <t>000000042851-IF-001</t>
  </si>
  <si>
    <t>000000042850-IF-001</t>
  </si>
  <si>
    <t>000000042849-IF-001</t>
  </si>
  <si>
    <t>000000042848-IF-001</t>
  </si>
  <si>
    <t>000000042847-IF-001</t>
  </si>
  <si>
    <t>000000042846-IF-001</t>
  </si>
  <si>
    <t>000000042845-IF-001</t>
  </si>
  <si>
    <t>000000042844-IF-001</t>
  </si>
  <si>
    <t>000000042843-IF-001</t>
  </si>
  <si>
    <t>000000042842-IF-001</t>
  </si>
  <si>
    <t>000000031766-NF-1</t>
  </si>
  <si>
    <t>000000031765-NF-1</t>
  </si>
  <si>
    <t>000000031764-NF-1</t>
  </si>
  <si>
    <t>000000031763-NF-1</t>
  </si>
  <si>
    <t>000000031762-NF-1</t>
  </si>
  <si>
    <t>000000031761-NF-1</t>
  </si>
  <si>
    <t>000000031760-NF-1</t>
  </si>
  <si>
    <t>01.412.845/0001-57</t>
  </si>
  <si>
    <t>TAGUAMOTOS AUTO PECAS E MOTORES LTDA</t>
  </si>
  <si>
    <t>000000031759-NF-1</t>
  </si>
  <si>
    <t>177.499.078-40</t>
  </si>
  <si>
    <t>SEBASTIÃO VANDERLI DE MIRANDA</t>
  </si>
  <si>
    <t>000000031758-NF-1</t>
  </si>
  <si>
    <t>000000031757-NF-1</t>
  </si>
  <si>
    <t>000000031756-NF-1</t>
  </si>
  <si>
    <t>000000031755-NF-1</t>
  </si>
  <si>
    <t>000000028926-IF-001</t>
  </si>
  <si>
    <t>000000028925-IF-001</t>
  </si>
  <si>
    <t>000000028924-IF-001</t>
  </si>
  <si>
    <t>000000028923-IF-001</t>
  </si>
  <si>
    <t>040.367.531-69</t>
  </si>
  <si>
    <t>000000028922-IF-001</t>
  </si>
  <si>
    <t>000000028921-IF-001</t>
  </si>
  <si>
    <t>895.110.931-34</t>
  </si>
  <si>
    <t>ANDERSON RICARDO DE SOUZA BASTOS</t>
  </si>
  <si>
    <t>000000028920-IF-001</t>
  </si>
  <si>
    <t>000000028919-IF-001</t>
  </si>
  <si>
    <t>000000028569-IF-001</t>
  </si>
  <si>
    <t>000000028568-IF-001</t>
  </si>
  <si>
    <t>000000028567-IF-001</t>
  </si>
  <si>
    <t>000000028566-IF-001</t>
  </si>
  <si>
    <t>000000028565-IF-001</t>
  </si>
  <si>
    <t>000000028564-IF-001</t>
  </si>
  <si>
    <t>000000028563-IF-001</t>
  </si>
  <si>
    <t>000000028562-IF-001</t>
  </si>
  <si>
    <t>000000028561-IF-001</t>
  </si>
  <si>
    <t>000000028560-IF-001</t>
  </si>
  <si>
    <t>000000028559-IF-001</t>
  </si>
  <si>
    <t>HUDSON (BP CONSTRUÇÃO)</t>
  </si>
  <si>
    <t>000000028558-IF-001</t>
  </si>
  <si>
    <t>000000028557-IF-001</t>
  </si>
  <si>
    <t>000000028556-IF-001</t>
  </si>
  <si>
    <t>TITU</t>
  </si>
  <si>
    <t>000000028555-IF-001</t>
  </si>
  <si>
    <t>000000028554-IF-001</t>
  </si>
  <si>
    <t>000000028553-IF-001</t>
  </si>
  <si>
    <t>BAHIANO</t>
  </si>
  <si>
    <t>000000028552-IF-001</t>
  </si>
  <si>
    <t>000000028551-IF-001</t>
  </si>
  <si>
    <t>000000028550-IF-001</t>
  </si>
  <si>
    <t>000000028549-IF-001</t>
  </si>
  <si>
    <t>000000024738-NF-001</t>
  </si>
  <si>
    <t>505.139.151-68</t>
  </si>
  <si>
    <t>PAULO HENRIQUE FRANCO</t>
  </si>
  <si>
    <t>000000024737-NF-001</t>
  </si>
  <si>
    <t>000000024736-NF-001</t>
  </si>
  <si>
    <t>000000024735-NF-001</t>
  </si>
  <si>
    <t>000000024734-NF-001</t>
  </si>
  <si>
    <t>000000024733-NF-001</t>
  </si>
  <si>
    <t>37.090.115/0001-24</t>
  </si>
  <si>
    <t>AGENCIA DE VIAGEN WORD LTDA</t>
  </si>
  <si>
    <t>000000024732-NF-001</t>
  </si>
  <si>
    <t>000000024731-NF-001</t>
  </si>
  <si>
    <t>000000024730-NF-001</t>
  </si>
  <si>
    <t>00.132.781/0001-78</t>
  </si>
  <si>
    <t>PEDREIRA RIO VERDE LTDA</t>
  </si>
  <si>
    <t>000000024729-NF-001</t>
  </si>
  <si>
    <t>000000024728-NF-001</t>
  </si>
  <si>
    <t>000000024727-NF-001</t>
  </si>
  <si>
    <t>000000024726-NF-001</t>
  </si>
  <si>
    <t>000000024725-NF-001</t>
  </si>
  <si>
    <t>283.721.148-62</t>
  </si>
  <si>
    <t>ANDERSON BATISTA</t>
  </si>
  <si>
    <t>000000024724-NF-001</t>
  </si>
  <si>
    <t>000000021312-IF-001</t>
  </si>
  <si>
    <t>000000021311-IF-001</t>
  </si>
  <si>
    <t>000000021310-IF-001</t>
  </si>
  <si>
    <t>000000021309-IF-001</t>
  </si>
  <si>
    <t>000000021308-IF-001</t>
  </si>
  <si>
    <t>000000021307-IF-001</t>
  </si>
  <si>
    <t>RENDE MUITO - CROMIO</t>
  </si>
  <si>
    <t>000000021306-IF-001</t>
  </si>
  <si>
    <t>000000021305-IF-001</t>
  </si>
  <si>
    <t>000000021304-IF-001</t>
  </si>
  <si>
    <t>000000021303-IF-001</t>
  </si>
  <si>
    <t>000000021302-IF-001</t>
  </si>
  <si>
    <t>000000021301-IF-001</t>
  </si>
  <si>
    <t>BOREAL</t>
  </si>
  <si>
    <t>000000021300-IF-001</t>
  </si>
  <si>
    <t>BETO</t>
  </si>
  <si>
    <t>000000021299-IF-001</t>
  </si>
  <si>
    <t>000000021298-IF-001</t>
  </si>
  <si>
    <t>000000021297-IF-001</t>
  </si>
  <si>
    <t>000000021296-IF-001</t>
  </si>
  <si>
    <t>000000021295-IF-001</t>
  </si>
  <si>
    <t>000000021294-IF-001</t>
  </si>
  <si>
    <t>000000021293-IF-001</t>
  </si>
  <si>
    <t>000000021292-IF-001</t>
  </si>
  <si>
    <t>000000021291-IF-001</t>
  </si>
  <si>
    <t>000000021290-IF-001</t>
  </si>
  <si>
    <t>000000021289-IF-001</t>
  </si>
  <si>
    <t>000000021288-IF-001</t>
  </si>
  <si>
    <t>000000021287-IF-001</t>
  </si>
  <si>
    <t>000000021286-IF-001</t>
  </si>
  <si>
    <t>000000021285-IF-001</t>
  </si>
  <si>
    <t>000000019431-IF-1</t>
  </si>
  <si>
    <t>000000019430-IF-1</t>
  </si>
  <si>
    <t>000000019429-IF-1</t>
  </si>
  <si>
    <t>596.632.789-00</t>
  </si>
  <si>
    <t>SERGIO CANDIDO MARTINS</t>
  </si>
  <si>
    <t>000000019428-IF-1</t>
  </si>
  <si>
    <t>000000019427-IF-1</t>
  </si>
  <si>
    <t>04.762.861/0001-68</t>
  </si>
  <si>
    <t>ENGEPROM ENGENHARIA LTDA</t>
  </si>
  <si>
    <t>000000019426-IF-1</t>
  </si>
  <si>
    <t>000000019425-IF-1</t>
  </si>
  <si>
    <t>000000019424-IF-1</t>
  </si>
  <si>
    <t>000000019423-IF-1</t>
  </si>
  <si>
    <t>000000019422-IF-1</t>
  </si>
  <si>
    <t>000000019421-IF-1</t>
  </si>
  <si>
    <t>CLEITON</t>
  </si>
  <si>
    <t>000000019420-IF-1</t>
  </si>
  <si>
    <t>000000019419-IF-1</t>
  </si>
  <si>
    <t>000000019418-IF-1</t>
  </si>
  <si>
    <t>000000018972-IF-001</t>
  </si>
  <si>
    <t>000000018971-IF-001</t>
  </si>
  <si>
    <t>31.708.701/0001-03</t>
  </si>
  <si>
    <t>R2 PINTURA E ESTETICA  AUTOMOTIVA EIRELLI</t>
  </si>
  <si>
    <t>000000018970-IF-001</t>
  </si>
  <si>
    <t>000000018969-IF-001</t>
  </si>
  <si>
    <t>000000018968-IF-001</t>
  </si>
  <si>
    <t>000000018967-IF-001</t>
  </si>
  <si>
    <t>000000018966-IF-001</t>
  </si>
  <si>
    <t>000000018965-IF-001</t>
  </si>
  <si>
    <t>000000018964-IF-001</t>
  </si>
  <si>
    <t>000000018963-IF-001</t>
  </si>
  <si>
    <t>SR NENEM</t>
  </si>
  <si>
    <t>000000018962-IF-001</t>
  </si>
  <si>
    <t>000000018961-IF-001</t>
  </si>
  <si>
    <t>000000018960-IF-001</t>
  </si>
  <si>
    <t>00.656.561/0001-43</t>
  </si>
  <si>
    <t>KABALA MOVEIS INDUSTRIA E COMERCIO LTDA</t>
  </si>
  <si>
    <t>000000018959-NF-001</t>
  </si>
  <si>
    <t>000000018959-IF-001</t>
  </si>
  <si>
    <t>000000018958-NF-001</t>
  </si>
  <si>
    <t>ALUISIO</t>
  </si>
  <si>
    <t>000000018958-IF-001</t>
  </si>
  <si>
    <t>000000018957-NF-001</t>
  </si>
  <si>
    <t>000000018957-IF-001</t>
  </si>
  <si>
    <t>000000018956-NF-001</t>
  </si>
  <si>
    <t>000000018956-IF-001</t>
  </si>
  <si>
    <t>000000018955-NF-001</t>
  </si>
  <si>
    <t>000000018955-IF-001</t>
  </si>
  <si>
    <t>00.853.416/0001-52</t>
  </si>
  <si>
    <t>ARPLAN AREIA DO PLANALTO LTDA</t>
  </si>
  <si>
    <t>000000018954-NF-001</t>
  </si>
  <si>
    <t>000000018954-IF-001</t>
  </si>
  <si>
    <t>000000018953-NF-001</t>
  </si>
  <si>
    <t>000000017945-IF-001</t>
  </si>
  <si>
    <t>000000017944-IF-001</t>
  </si>
  <si>
    <t>000000017943-IF-001</t>
  </si>
  <si>
    <t>000000017942-IF-001</t>
  </si>
  <si>
    <t>000000017941-IF-001</t>
  </si>
  <si>
    <t>000000017940-IF-001</t>
  </si>
  <si>
    <t>000000017939-IF-001</t>
  </si>
  <si>
    <t>000000016445-FF-001</t>
  </si>
  <si>
    <t>000000016444-FF-001</t>
  </si>
  <si>
    <t>000000016443-FF-001</t>
  </si>
  <si>
    <t>000000016442-FF-001</t>
  </si>
  <si>
    <t>000000016441-FF-001</t>
  </si>
  <si>
    <t>000000016440-FF-001</t>
  </si>
  <si>
    <t>000000016439-FF-001</t>
  </si>
  <si>
    <t>000000014997-NF-1</t>
  </si>
  <si>
    <t>000000014422-FF-001</t>
  </si>
  <si>
    <t>000000014421-FF-001</t>
  </si>
  <si>
    <t>000000014420-FF-001</t>
  </si>
  <si>
    <t>000000014419-FF-001</t>
  </si>
  <si>
    <t>000000014418-FF-001</t>
  </si>
  <si>
    <t>000000014417-FF-001</t>
  </si>
  <si>
    <t>000000014416-FF-001</t>
  </si>
  <si>
    <t>028.311.936-56</t>
  </si>
  <si>
    <t>IRON PEREIRA DA CRUZ</t>
  </si>
  <si>
    <t>000000014415-FF-001</t>
  </si>
  <si>
    <t>000000014414-FF-001</t>
  </si>
  <si>
    <t>000000014413-FF-001</t>
  </si>
  <si>
    <t>000000014412-FF-001</t>
  </si>
  <si>
    <t>000000014411-FF-001</t>
  </si>
  <si>
    <t>000000014410-FF-001</t>
  </si>
  <si>
    <t>000000014409-FF-001</t>
  </si>
  <si>
    <t>000000014408-FF-001</t>
  </si>
  <si>
    <t>000000014407-FF-001</t>
  </si>
  <si>
    <t>000000014406-FF-001</t>
  </si>
  <si>
    <t>000000014405-FF-001</t>
  </si>
  <si>
    <t>000000014404-FF-001</t>
  </si>
  <si>
    <t>052.637.576-03</t>
  </si>
  <si>
    <t>EULER JOSE MARTINS DE SOUZA</t>
  </si>
  <si>
    <t>000000014403-FF-001</t>
  </si>
  <si>
    <t>000000014402-FF-001</t>
  </si>
  <si>
    <t>000000014401-FF-001</t>
  </si>
  <si>
    <t>000000014400-FF-001</t>
  </si>
  <si>
    <t>000000014399-FF-001</t>
  </si>
  <si>
    <t>000000014398-FF-001</t>
  </si>
  <si>
    <t>(01)034</t>
  </si>
  <si>
    <t>000000014163-FF-001</t>
  </si>
  <si>
    <t>000000014162-FF-001</t>
  </si>
  <si>
    <t>000000014161-FF-001</t>
  </si>
  <si>
    <t>000000014160-FF-001</t>
  </si>
  <si>
    <t>000000014159-FF-001</t>
  </si>
  <si>
    <t>000000014158-FF-001</t>
  </si>
  <si>
    <t>000000014157-FF-001</t>
  </si>
  <si>
    <t>000000014156-FF-001</t>
  </si>
  <si>
    <t>000000014155-FF-001</t>
  </si>
  <si>
    <t>000000014154-FF-001</t>
  </si>
  <si>
    <t>000000014153-FF-001</t>
  </si>
  <si>
    <t>000000014152-FF-001</t>
  </si>
  <si>
    <t>000000014151-FF-001</t>
  </si>
  <si>
    <t>000000014150-FF-001</t>
  </si>
  <si>
    <t>000000014149-FF-001</t>
  </si>
  <si>
    <t>000000014148-FF-001</t>
  </si>
  <si>
    <t>000000014147-FF-001</t>
  </si>
  <si>
    <t>000000009236-NF-001</t>
  </si>
  <si>
    <t>000000009235-NF-001</t>
  </si>
  <si>
    <t>000000009234-NF-001</t>
  </si>
  <si>
    <t>000000009233-NF-001</t>
  </si>
  <si>
    <t>000000009232-NF-001</t>
  </si>
  <si>
    <t>000000007703-FF-001</t>
  </si>
  <si>
    <t>000000007702-FF-001</t>
  </si>
  <si>
    <t>000000007701-FF-001</t>
  </si>
  <si>
    <t>000000007700-FF-001</t>
  </si>
  <si>
    <t>000000007699-FF-001</t>
  </si>
  <si>
    <t>000000007698-FF-001</t>
  </si>
  <si>
    <t>02.720.534/0001-18</t>
  </si>
  <si>
    <t>MINAS AUTO PECAS LTDA</t>
  </si>
  <si>
    <t>000000007696-FF-001</t>
  </si>
  <si>
    <t>000000006864-FF-001</t>
  </si>
  <si>
    <t>000000006863-FF-001</t>
  </si>
  <si>
    <t>000000006862-FF-001</t>
  </si>
  <si>
    <t>000000006861-FF-001</t>
  </si>
  <si>
    <t>000000006860-FF-001</t>
  </si>
  <si>
    <t>000000006859-FF-001</t>
  </si>
  <si>
    <t>000000006858-FF-001</t>
  </si>
  <si>
    <t>000000006260-IF-001</t>
  </si>
  <si>
    <t>WANDERSON</t>
  </si>
  <si>
    <t>000000006259-IF-001</t>
  </si>
  <si>
    <t>000000006258-IF-001</t>
  </si>
  <si>
    <t>000000006257-IF-001</t>
  </si>
  <si>
    <t>000000006256-IF-001</t>
  </si>
  <si>
    <t>000000006255-IF-001</t>
  </si>
  <si>
    <t>000000006254-IF-001</t>
  </si>
  <si>
    <t>000000006253-IF-001</t>
  </si>
  <si>
    <t>000000006252-IF-001</t>
  </si>
  <si>
    <t>000000006251-IF-001</t>
  </si>
  <si>
    <t>000000006250-IF-001</t>
  </si>
  <si>
    <t>000000006249-IF-001</t>
  </si>
  <si>
    <t>000000006248-IF-001</t>
  </si>
  <si>
    <t>000000006247-IF-001</t>
  </si>
  <si>
    <t>000000006246-IF-001</t>
  </si>
  <si>
    <t>000000006245-IF-001</t>
  </si>
  <si>
    <t>ALFA SERVICOS</t>
  </si>
  <si>
    <t>000000006244-IF-001</t>
  </si>
  <si>
    <t>000000006243-IF-001</t>
  </si>
  <si>
    <t>ADRIANO</t>
  </si>
  <si>
    <t>000000006242-IF-001</t>
  </si>
  <si>
    <t>000000006241-IF-001</t>
  </si>
  <si>
    <t>000000006240-IF-001</t>
  </si>
  <si>
    <t>000000006239-IF-001</t>
  </si>
  <si>
    <t>LAYS</t>
  </si>
  <si>
    <t>000000006238-IF-001</t>
  </si>
  <si>
    <t>000000006237-IF-001</t>
  </si>
  <si>
    <t>000000006236-IF-001</t>
  </si>
  <si>
    <t>000000006235-IF-001</t>
  </si>
  <si>
    <t>000000006234-IF-001</t>
  </si>
  <si>
    <t>000000006233-IF-001</t>
  </si>
  <si>
    <t>000000006232-IF-001</t>
  </si>
  <si>
    <t>000000006231-IF-001</t>
  </si>
  <si>
    <t>000000006230-IF-001</t>
  </si>
  <si>
    <t>000000006229-IF-001</t>
  </si>
  <si>
    <t>000000006228-IF-001</t>
  </si>
  <si>
    <t>000000006227-IF-001</t>
  </si>
  <si>
    <t>000000006226-IF-001</t>
  </si>
  <si>
    <t>000000006225-IF-001</t>
  </si>
  <si>
    <t>000000006224-IF-001</t>
  </si>
  <si>
    <t>000000006223-IF-001</t>
  </si>
  <si>
    <t>000000006222-IF-001</t>
  </si>
  <si>
    <t>000000006221-IF-001</t>
  </si>
  <si>
    <t>000000006220-IF-001</t>
  </si>
  <si>
    <t>000000006219-IF-001</t>
  </si>
  <si>
    <t>000000006218-IF-001</t>
  </si>
  <si>
    <t>000000006217-IF-001</t>
  </si>
  <si>
    <t>000000006216-IF-001</t>
  </si>
  <si>
    <t>000000006215-IF-001</t>
  </si>
  <si>
    <t>000000006214-IF-001</t>
  </si>
  <si>
    <t>000000003726-NF-001</t>
  </si>
  <si>
    <t>000000003724-NF-001</t>
  </si>
  <si>
    <t>000000003723-NF-001</t>
  </si>
  <si>
    <t>000000003722-NF-001</t>
  </si>
  <si>
    <t>000000003721-NF-001</t>
  </si>
  <si>
    <t>000000000822-FF-001</t>
  </si>
  <si>
    <t>000000000821-FF-001</t>
  </si>
  <si>
    <t>000000000820-FF-001</t>
  </si>
  <si>
    <t>000000000819-FF-001</t>
  </si>
  <si>
    <t>000000000818-FF-001</t>
  </si>
  <si>
    <t>000000000817-FF-001</t>
  </si>
  <si>
    <t>000000000816-FF-001</t>
  </si>
  <si>
    <t>000000000777-NF-001</t>
  </si>
  <si>
    <t>000000000776-NF-001</t>
  </si>
  <si>
    <t>000000000775-NF-001</t>
  </si>
  <si>
    <t>030.669.821-81</t>
  </si>
  <si>
    <t>LUIZ RICARDO MENDES BARTELI</t>
  </si>
  <si>
    <t>000000000767-NF-001</t>
  </si>
  <si>
    <t>000000000766-NF-001</t>
  </si>
  <si>
    <t>000000000765-NF-001</t>
  </si>
  <si>
    <t>000000000764-NF-001</t>
  </si>
  <si>
    <t>000000000763-NF-001</t>
  </si>
  <si>
    <t>000000055236-IF-1</t>
  </si>
  <si>
    <t>000000055235-IF-1</t>
  </si>
  <si>
    <t>000000055234-IF-1</t>
  </si>
  <si>
    <t>000000055233-IF-1</t>
  </si>
  <si>
    <t>000000055232-IF-1</t>
  </si>
  <si>
    <t>000000042841-IF-001</t>
  </si>
  <si>
    <t>000000042840-IF-001</t>
  </si>
  <si>
    <t>000000042839-IF-001</t>
  </si>
  <si>
    <t>000000042838-IF-001</t>
  </si>
  <si>
    <t>000000042837-IF-001</t>
  </si>
  <si>
    <t>000000042836-IF-001</t>
  </si>
  <si>
    <t>000000042835-IF-001</t>
  </si>
  <si>
    <t>866.160.131-20</t>
  </si>
  <si>
    <t>000000042834-IF-001</t>
  </si>
  <si>
    <t>000000042833-IF-001</t>
  </si>
  <si>
    <t>000000042832-IF-001</t>
  </si>
  <si>
    <t>000000042831-IF-001</t>
  </si>
  <si>
    <t>000000042830-IF-001</t>
  </si>
  <si>
    <t>000000042829-IF-001</t>
  </si>
  <si>
    <t>000000042828-IF-001</t>
  </si>
  <si>
    <t>055.971.275-86</t>
  </si>
  <si>
    <t>ANA PAULA  ALVES SANTOS</t>
  </si>
  <si>
    <t>000000042827-IF-001</t>
  </si>
  <si>
    <t>000000042826-IF-001</t>
  </si>
  <si>
    <t>000000042825-IF-001</t>
  </si>
  <si>
    <t>000000042824-IF-001</t>
  </si>
  <si>
    <t>000000042823-IF-001</t>
  </si>
  <si>
    <t>000000042822-IF-001</t>
  </si>
  <si>
    <t>000000031754-NF-1</t>
  </si>
  <si>
    <t>000000031753-NF-1</t>
  </si>
  <si>
    <t>000000028918-IF-001</t>
  </si>
  <si>
    <t>000000028917-IF-001</t>
  </si>
  <si>
    <t>000000028916-IF-001</t>
  </si>
  <si>
    <t>000000028915-IF-001</t>
  </si>
  <si>
    <t>000000028914-IF-001</t>
  </si>
  <si>
    <t>000000028913-IF-001</t>
  </si>
  <si>
    <t>000000028912-IF-001</t>
  </si>
  <si>
    <t>000000028911-IF-001</t>
  </si>
  <si>
    <t>000000028910-IF-001</t>
  </si>
  <si>
    <t>000000028909-IF-001</t>
  </si>
  <si>
    <t>000000028908-IF-001</t>
  </si>
  <si>
    <t>000000028907-IF-001</t>
  </si>
  <si>
    <t>000000028906-IF-001</t>
  </si>
  <si>
    <t>000000028905-IF-001</t>
  </si>
  <si>
    <t>000000028904-IF-001</t>
  </si>
  <si>
    <t>000000028548-IF-001</t>
  </si>
  <si>
    <t>000000028547-IF-001</t>
  </si>
  <si>
    <t>000000028546-IF-001</t>
  </si>
  <si>
    <t>000000028545-IF-001</t>
  </si>
  <si>
    <t>000000028544-IF-001</t>
  </si>
  <si>
    <t>000000028543-IF-001</t>
  </si>
  <si>
    <t>000000028542-IF-001</t>
  </si>
  <si>
    <t>000000028541-IF-001</t>
  </si>
  <si>
    <t>00.003.228/0001-35</t>
  </si>
  <si>
    <t>MOTO AGRICOLA SLAVIERO S A</t>
  </si>
  <si>
    <t>000000024723-NF-001</t>
  </si>
  <si>
    <t>000000021284-IF-001</t>
  </si>
  <si>
    <t>000000021283-IF-001</t>
  </si>
  <si>
    <t>MARCIO</t>
  </si>
  <si>
    <t>000000021282-IF-001</t>
  </si>
  <si>
    <t>000000021281-IF-001</t>
  </si>
  <si>
    <t>000000021280-IF-001</t>
  </si>
  <si>
    <t>000000021279-IF-001</t>
  </si>
  <si>
    <t>000000021278-IF-001</t>
  </si>
  <si>
    <t>000000021277-IF-001</t>
  </si>
  <si>
    <t>000000021276-IF-001</t>
  </si>
  <si>
    <t>000000021275-IF-001</t>
  </si>
  <si>
    <t>000000021274-IF-001</t>
  </si>
  <si>
    <t>000000021273-IF-001</t>
  </si>
  <si>
    <t>000000021272-IF-001</t>
  </si>
  <si>
    <t>000000021271-IF-001</t>
  </si>
  <si>
    <t>000000021270-IF-001</t>
  </si>
  <si>
    <t>000000021269-IF-001</t>
  </si>
  <si>
    <t>000000021268-IF-001</t>
  </si>
  <si>
    <t>000000019417-IF-1</t>
  </si>
  <si>
    <t>000000019416-IF-1</t>
  </si>
  <si>
    <t>000000019415-IF-1</t>
  </si>
  <si>
    <t>000000019414-IF-1</t>
  </si>
  <si>
    <t>000000019413-IF-1</t>
  </si>
  <si>
    <t>000000019412-IF-1</t>
  </si>
  <si>
    <t>000000019411-IF-1</t>
  </si>
  <si>
    <t>000000019410-IF-1</t>
  </si>
  <si>
    <t>000000019409-IF-1</t>
  </si>
  <si>
    <t>000000019408-IF-1</t>
  </si>
  <si>
    <t>000000018953-IF-001</t>
  </si>
  <si>
    <t>000000018952-NF-001</t>
  </si>
  <si>
    <t>000000018952-IF-001</t>
  </si>
  <si>
    <t>000000018951-NF-001</t>
  </si>
  <si>
    <t>000000018951-IF-001</t>
  </si>
  <si>
    <t>000000018950-NF-001</t>
  </si>
  <si>
    <t>000000018950-IF-001</t>
  </si>
  <si>
    <t>000000018949-IF-001</t>
  </si>
  <si>
    <t>000000018948-IF-001</t>
  </si>
  <si>
    <t>000000018947-IF-001</t>
  </si>
  <si>
    <t>000000018946-IF-001</t>
  </si>
  <si>
    <t>000000018945-IF-001</t>
  </si>
  <si>
    <t>000000018944-IF-001</t>
  </si>
  <si>
    <t>000000018943-IF-001</t>
  </si>
  <si>
    <t>000000018942-IF-001</t>
  </si>
  <si>
    <t>000000018941-IF-001</t>
  </si>
  <si>
    <t>000000018940-IF-001</t>
  </si>
  <si>
    <t>000000018939-IF-001</t>
  </si>
  <si>
    <t>000000018938-IF-001</t>
  </si>
  <si>
    <t>000000018937-IF-001</t>
  </si>
  <si>
    <t>000000014397-FF-001</t>
  </si>
  <si>
    <t>000000014396-FF-001</t>
  </si>
  <si>
    <t>000000014395-FF-001</t>
  </si>
  <si>
    <t>000000014394-FF-001</t>
  </si>
  <si>
    <t>000000014393-FF-001</t>
  </si>
  <si>
    <t>WELISSON</t>
  </si>
  <si>
    <t>000000014392-FF-001</t>
  </si>
  <si>
    <t>000000014391-FF-001</t>
  </si>
  <si>
    <t>000000014390-FF-001</t>
  </si>
  <si>
    <t>000000014389-FF-001</t>
  </si>
  <si>
    <t>000000014388-FF-001</t>
  </si>
  <si>
    <t>000000014386-FF-001</t>
  </si>
  <si>
    <t>000000014385-FF-001</t>
  </si>
  <si>
    <t>000000014384-FF-001</t>
  </si>
  <si>
    <t>000000014383-FF-001</t>
  </si>
  <si>
    <t>LOUZIVAN</t>
  </si>
  <si>
    <t>000000014382-FF-001</t>
  </si>
  <si>
    <t>000000014381-FF-001</t>
  </si>
  <si>
    <t>(01)036</t>
  </si>
  <si>
    <t>000000014146-FF-001</t>
  </si>
  <si>
    <t>000000014145-FF-001</t>
  </si>
  <si>
    <t>000000007695-FF-001</t>
  </si>
  <si>
    <t>000000006213-IF-001</t>
  </si>
  <si>
    <t>000000006212-IF-001</t>
  </si>
  <si>
    <t>000000006211-IF-001</t>
  </si>
  <si>
    <t>000000006210-IF-001</t>
  </si>
  <si>
    <t>000000006209-IF-001</t>
  </si>
  <si>
    <t>000000006208-IF-001</t>
  </si>
  <si>
    <t>000000006207-IF-001</t>
  </si>
  <si>
    <t>000000006206-IF-001</t>
  </si>
  <si>
    <t>000000006205-IF-001</t>
  </si>
  <si>
    <t>000000006204-IF-001</t>
  </si>
  <si>
    <t>000000006203-IF-001</t>
  </si>
  <si>
    <t>789.417.681-87</t>
  </si>
  <si>
    <t>000000006202-IF-001</t>
  </si>
  <si>
    <t>000000006201-IF-001</t>
  </si>
  <si>
    <t>000000006200-IF-001</t>
  </si>
  <si>
    <t>ISMAEL</t>
  </si>
  <si>
    <t>000000006199-IF-001</t>
  </si>
  <si>
    <t>000000006198-IF-001</t>
  </si>
  <si>
    <t>000000006197-IF-001</t>
  </si>
  <si>
    <t>000000006196-IF-001</t>
  </si>
  <si>
    <t>000000006195-IF-001</t>
  </si>
  <si>
    <t>000000006194-IF-001</t>
  </si>
  <si>
    <t>000000006193-IF-001</t>
  </si>
  <si>
    <t>000000006192-IF-001</t>
  </si>
  <si>
    <t>000000006191-IF-001</t>
  </si>
  <si>
    <t>000000006190-IF-001</t>
  </si>
  <si>
    <t>000000006189-IF-001</t>
  </si>
  <si>
    <t>000000006188-IF-001</t>
  </si>
  <si>
    <t>000000006187-IF-001</t>
  </si>
  <si>
    <t>000000006186-IF-001</t>
  </si>
  <si>
    <t>000000006185-IF-001</t>
  </si>
  <si>
    <t>000000006184-IF-001</t>
  </si>
  <si>
    <t>000000006183-IF-001</t>
  </si>
  <si>
    <t>000000006182-IF-001</t>
  </si>
  <si>
    <t>000000003720-NF-001</t>
  </si>
  <si>
    <t>369.277.188-69</t>
  </si>
  <si>
    <t>MARCELO OZI ALMEIDA E OUTROS</t>
  </si>
  <si>
    <t>000000003159-NF-001</t>
  </si>
  <si>
    <t>000000003158-NF-001</t>
  </si>
  <si>
    <t>000000000815-FF-001</t>
  </si>
  <si>
    <t>000000000762-NF-001</t>
  </si>
  <si>
    <t>000000000761-NF-001</t>
  </si>
  <si>
    <t>000000409907-FF-1</t>
  </si>
  <si>
    <t>000000409906-FF-1</t>
  </si>
  <si>
    <t>000000055231-IF-1</t>
  </si>
  <si>
    <t>540.056.551-49</t>
  </si>
  <si>
    <t>VANDIR SILVA DE DEUS</t>
  </si>
  <si>
    <t>000000055230-IF-1</t>
  </si>
  <si>
    <t>000000055229-IF-1</t>
  </si>
  <si>
    <t>000000055228-IF-1</t>
  </si>
  <si>
    <t>000000055227-IF-1</t>
  </si>
  <si>
    <t>REVICTA</t>
  </si>
  <si>
    <t>000000055226-IF-1</t>
  </si>
  <si>
    <t>000000055225-IF-1</t>
  </si>
  <si>
    <t>000000055224-IF-1</t>
  </si>
  <si>
    <t>000000055223-IF-1</t>
  </si>
  <si>
    <t>000000055222-IF-1</t>
  </si>
  <si>
    <t>000000055221-IF-1</t>
  </si>
  <si>
    <t>000000055220-IF-1</t>
  </si>
  <si>
    <t>000000055219-IF-1</t>
  </si>
  <si>
    <t>000000055218-IF-1</t>
  </si>
  <si>
    <t>041.271.621-63</t>
  </si>
  <si>
    <t>MATHEUS DUARTE DE OLIVEIRA</t>
  </si>
  <si>
    <t>000000055217-IF-1</t>
  </si>
  <si>
    <t>UBIRACI</t>
  </si>
  <si>
    <t>000000055216-IF-1</t>
  </si>
  <si>
    <t>000000042821-IF-001</t>
  </si>
  <si>
    <t>000000042820-IF-001</t>
  </si>
  <si>
    <t>CRA</t>
  </si>
  <si>
    <t>000000042819-IF-001</t>
  </si>
  <si>
    <t>000000042818-IF-001</t>
  </si>
  <si>
    <t>005.760.201-84</t>
  </si>
  <si>
    <t>ROL MEC</t>
  </si>
  <si>
    <t>000000042817-IF-001</t>
  </si>
  <si>
    <t>000000042816-IF-001</t>
  </si>
  <si>
    <t>000000042815-IF-001</t>
  </si>
  <si>
    <t>000000042814-IF-001</t>
  </si>
  <si>
    <t>000000042813-IF-001</t>
  </si>
  <si>
    <t>000000042812-IF-001</t>
  </si>
  <si>
    <t>000000042811-IF-001</t>
  </si>
  <si>
    <t>CEILANDIA REBOQUE</t>
  </si>
  <si>
    <t>000000042810-IF-001</t>
  </si>
  <si>
    <t>000000042809-IF-001</t>
  </si>
  <si>
    <t>000000042808-IF-001</t>
  </si>
  <si>
    <t>000000042807-IF-001</t>
  </si>
  <si>
    <t>000000042806-IF-001</t>
  </si>
  <si>
    <t>027.884.121-00</t>
  </si>
  <si>
    <t>LEONARDO RODRIGUES</t>
  </si>
  <si>
    <t>000000042805-IF-001</t>
  </si>
  <si>
    <t>000000042804-IF-001</t>
  </si>
  <si>
    <t>000000042803-IF-001</t>
  </si>
  <si>
    <t>000000042802-IF-001</t>
  </si>
  <si>
    <t>000000042801-IF-001</t>
  </si>
  <si>
    <t>000000042800-IF-001</t>
  </si>
  <si>
    <t>000000042799-IF-001</t>
  </si>
  <si>
    <t>000000042798-IF-001</t>
  </si>
  <si>
    <t>000000042797-IF-001</t>
  </si>
  <si>
    <t>000000042796-IF-001</t>
  </si>
  <si>
    <t>000000042795-IF-001</t>
  </si>
  <si>
    <t>000000042794-IF-001</t>
  </si>
  <si>
    <t>000000042793-IF-001</t>
  </si>
  <si>
    <t>000000042792-IF-001</t>
  </si>
  <si>
    <t>000000042791-IF-001</t>
  </si>
  <si>
    <t>000000042790-IF-001</t>
  </si>
  <si>
    <t>000000031752-NF-1</t>
  </si>
  <si>
    <t>040.344.661-97</t>
  </si>
  <si>
    <t>JUSSIVAN DOS SANTOS DE MACEDO</t>
  </si>
  <si>
    <t>000000031751-NF-1</t>
  </si>
  <si>
    <t>000000031750-NF-1</t>
  </si>
  <si>
    <t>000000031749-NF-1</t>
  </si>
  <si>
    <t>000000031748-NF-1</t>
  </si>
  <si>
    <t>000000031747-NF-1</t>
  </si>
  <si>
    <t>000000031746-NF-1</t>
  </si>
  <si>
    <t>000000031745-NF-1</t>
  </si>
  <si>
    <t>000000031744-NF-1</t>
  </si>
  <si>
    <t>000000031743-NF-1</t>
  </si>
  <si>
    <t>000000031742-NF-1</t>
  </si>
  <si>
    <t>54.036.252/0001-08</t>
  </si>
  <si>
    <t>GARAGEM DIESEL LTDA</t>
  </si>
  <si>
    <t>000000028903-IF-001</t>
  </si>
  <si>
    <t>000000028902-IF-001</t>
  </si>
  <si>
    <t>000000028901-IF-001</t>
  </si>
  <si>
    <t>GABRIEL</t>
  </si>
  <si>
    <t>000000028900-IF-001</t>
  </si>
  <si>
    <t>000000028899-IF-001</t>
  </si>
  <si>
    <t>000000028898-IF-001</t>
  </si>
  <si>
    <t>000000028897-IF-001</t>
  </si>
  <si>
    <t>000000028896-IF-001</t>
  </si>
  <si>
    <t>000000028895-IF-001</t>
  </si>
  <si>
    <t>000000028540-IF-001</t>
  </si>
  <si>
    <t>000000028539-IF-001</t>
  </si>
  <si>
    <t>000000028538-IF-001</t>
  </si>
  <si>
    <t>000000028537-IF-001</t>
  </si>
  <si>
    <t>10.581.556/0001-72</t>
  </si>
  <si>
    <t>WELITON GONCALVES PESSOA</t>
  </si>
  <si>
    <t>000000028536-IF-001</t>
  </si>
  <si>
    <t>000000028535-IF-001</t>
  </si>
  <si>
    <t>000000028534-IF-001</t>
  </si>
  <si>
    <t>000000028533-IF-001</t>
  </si>
  <si>
    <t>000000028532-IF-001</t>
  </si>
  <si>
    <t>ADAILTON</t>
  </si>
  <si>
    <t>000000028531-IF-001</t>
  </si>
  <si>
    <t>SERGIO(CRUZEIRO VELHO)</t>
  </si>
  <si>
    <t>000000028530-IF-001</t>
  </si>
  <si>
    <t>000000028529-IF-001</t>
  </si>
  <si>
    <t>000000028528-IF-001</t>
  </si>
  <si>
    <t>000000028527-IF-001</t>
  </si>
  <si>
    <t>000000028526-IF-001</t>
  </si>
  <si>
    <t>000000028525-IF-001</t>
  </si>
  <si>
    <t>000000028524-IF-001</t>
  </si>
  <si>
    <t>000000024722-NF-001</t>
  </si>
  <si>
    <t>000000024721-NF-001</t>
  </si>
  <si>
    <t>000000024720-NF-001</t>
  </si>
  <si>
    <t>000000024719-NF-001</t>
  </si>
  <si>
    <t>000000024718-NF-001</t>
  </si>
  <si>
    <t>000000024717-NF-001</t>
  </si>
  <si>
    <t>000000024716-NF-001</t>
  </si>
  <si>
    <t>000000024715-NF-001</t>
  </si>
  <si>
    <t>03.608.671/0001-28</t>
  </si>
  <si>
    <t>STERMAAN CONSTRUTORA LTDA</t>
  </si>
  <si>
    <t>000000024714-NF-001</t>
  </si>
  <si>
    <t>000000024713-NF-001</t>
  </si>
  <si>
    <t>000000024712-NF-001</t>
  </si>
  <si>
    <t>000000024711-NF-001</t>
  </si>
  <si>
    <t>000000021267-IF-001</t>
  </si>
  <si>
    <t>000000021266-IF-001</t>
  </si>
  <si>
    <t>000000021265-IF-001</t>
  </si>
  <si>
    <t>000000021264-IF-001</t>
  </si>
  <si>
    <t>000000021263-IF-001</t>
  </si>
  <si>
    <t>000000021262-IF-001</t>
  </si>
  <si>
    <t>000000021261-IF-001</t>
  </si>
  <si>
    <t>000000021260-IF-001</t>
  </si>
  <si>
    <t>000000021259-IF-001</t>
  </si>
  <si>
    <t>000000021258-IF-001</t>
  </si>
  <si>
    <t>LIXA</t>
  </si>
  <si>
    <t>000000021257-IF-001</t>
  </si>
  <si>
    <t>000000021256-IF-001</t>
  </si>
  <si>
    <t>000000021255-IF-001</t>
  </si>
  <si>
    <t>000000021254-IF-001</t>
  </si>
  <si>
    <t>000000021253-IF-001</t>
  </si>
  <si>
    <t>000000021252-IF-001</t>
  </si>
  <si>
    <t>000000021251-IF-001</t>
  </si>
  <si>
    <t>000000021250-IF-001</t>
  </si>
  <si>
    <t>000000021249-IF-001</t>
  </si>
  <si>
    <t>000000021248-IF-001</t>
  </si>
  <si>
    <t>000000021247-IF-001</t>
  </si>
  <si>
    <t>000000021246-IF-001</t>
  </si>
  <si>
    <t>000000021245-IF-001</t>
  </si>
  <si>
    <t>000000021244-IF-001</t>
  </si>
  <si>
    <t>000000021243-IF-001</t>
  </si>
  <si>
    <t>000000021242-IF-001</t>
  </si>
  <si>
    <t>000000019407-IF-1</t>
  </si>
  <si>
    <t>000000019406-IF-1</t>
  </si>
  <si>
    <t>GARRA</t>
  </si>
  <si>
    <t>000000019405-IF-1</t>
  </si>
  <si>
    <t>000000019404-IF-1</t>
  </si>
  <si>
    <t>000000019403-IF-1</t>
  </si>
  <si>
    <t>000000019402-IF-1</t>
  </si>
  <si>
    <t>000000019401-IF-1</t>
  </si>
  <si>
    <t>000000019400-IF-1</t>
  </si>
  <si>
    <t>000000019399-IF-1</t>
  </si>
  <si>
    <t>000000019398-IF-1</t>
  </si>
  <si>
    <t>000000019397-IF-1</t>
  </si>
  <si>
    <t>000000018949-NF-001</t>
  </si>
  <si>
    <t>000000018948-NF-001</t>
  </si>
  <si>
    <t>000000018947-NF-001</t>
  </si>
  <si>
    <t>000000018946-NF-001</t>
  </si>
  <si>
    <t>000000018945-NF-001</t>
  </si>
  <si>
    <t>000000018944-NF-001</t>
  </si>
  <si>
    <t>000000018943-NF-001</t>
  </si>
  <si>
    <t>000000018942-NF-001</t>
  </si>
  <si>
    <t>000000018941-NF-001</t>
  </si>
  <si>
    <t>000000018940-NF-001</t>
  </si>
  <si>
    <t>000000018936-IF-001</t>
  </si>
  <si>
    <t>000000018935-IF-001</t>
  </si>
  <si>
    <t>634.802.981-68</t>
  </si>
  <si>
    <t>JAIR ALVES DA SILVA JUNIOR</t>
  </si>
  <si>
    <t>000000018934-IF-001</t>
  </si>
  <si>
    <t>000000018933-IF-001</t>
  </si>
  <si>
    <t>000000018932-IF-001</t>
  </si>
  <si>
    <t>000000018931-IF-001</t>
  </si>
  <si>
    <t>000000018930-IF-001</t>
  </si>
  <si>
    <t>000000018929-IF-001</t>
  </si>
  <si>
    <t>000000018928-IF-001</t>
  </si>
  <si>
    <t>000000018927-IF-001</t>
  </si>
  <si>
    <t>000000018926-IF-001</t>
  </si>
  <si>
    <t>000000018925-IF-001</t>
  </si>
  <si>
    <t>000000018924-IF-001</t>
  </si>
  <si>
    <t>RUBENS</t>
  </si>
  <si>
    <t>000000018923-IF-001</t>
  </si>
  <si>
    <t>000000018922-IF-001</t>
  </si>
  <si>
    <t>000000018921-IF-001</t>
  </si>
  <si>
    <t>000000018920-IF-001</t>
  </si>
  <si>
    <t>000000018919-IF-001</t>
  </si>
  <si>
    <t>000000018918-IF-001</t>
  </si>
  <si>
    <t>000000018917-IF-001</t>
  </si>
  <si>
    <t>000000018916-IF-001</t>
  </si>
  <si>
    <t>000000018915-IF-001</t>
  </si>
  <si>
    <t>000000018914-IF-001</t>
  </si>
  <si>
    <t>000000018913-IF-001</t>
  </si>
  <si>
    <t>000000018912-IF-001</t>
  </si>
  <si>
    <t>000000018911-IF-001</t>
  </si>
  <si>
    <t>000000018910-IF-001</t>
  </si>
  <si>
    <t>000000017938-IF-001</t>
  </si>
  <si>
    <t>000000017937-IF-001</t>
  </si>
  <si>
    <t>000000016438-FF-001</t>
  </si>
  <si>
    <t>000000016437-FF-001</t>
  </si>
  <si>
    <t>000000016436-FF-001</t>
  </si>
  <si>
    <t>000000016435-FF-001</t>
  </si>
  <si>
    <t>000000016434-FF-001</t>
  </si>
  <si>
    <t>000000016433-FF-001</t>
  </si>
  <si>
    <t>000000016432-FF-001</t>
  </si>
  <si>
    <t>000000016431-FF-001</t>
  </si>
  <si>
    <t>000000016430-FF-001</t>
  </si>
  <si>
    <t>000000016429-FF-001</t>
  </si>
  <si>
    <t>000000016428-FF-001</t>
  </si>
  <si>
    <t>000000016427-FF-001</t>
  </si>
  <si>
    <t>000000016426-FF-001</t>
  </si>
  <si>
    <t>000000014996-NF-1</t>
  </si>
  <si>
    <t>000000014380-FF-001</t>
  </si>
  <si>
    <t>000000014379-FF-001</t>
  </si>
  <si>
    <t>000000014378-FF-001</t>
  </si>
  <si>
    <t>17.365.015/0001-56</t>
  </si>
  <si>
    <t>CBS MOTOS LTDA</t>
  </si>
  <si>
    <t>000000014377-FF-001</t>
  </si>
  <si>
    <t>000000014376-FF-001</t>
  </si>
  <si>
    <t>000000014375-FF-001</t>
  </si>
  <si>
    <t>SIDELIO</t>
  </si>
  <si>
    <t>PAULO (PONTOCAR VEICULOS)</t>
  </si>
  <si>
    <t>51.005.461/0001-98</t>
  </si>
  <si>
    <t>MULT ACESSORIOS E SOM AUTOMOTIVO LTDA</t>
  </si>
  <si>
    <t>000000014352-FF-001</t>
  </si>
  <si>
    <t>000000014144-FF-001</t>
  </si>
  <si>
    <t>000000014143-FF-001</t>
  </si>
  <si>
    <t>(01)037</t>
  </si>
  <si>
    <t>000000014142-FF-001</t>
  </si>
  <si>
    <t>000000014140-FF-001</t>
  </si>
  <si>
    <t>000000014139-FF-001</t>
  </si>
  <si>
    <t>000000014138-FF-001</t>
  </si>
  <si>
    <t>000000014137-FF-001</t>
  </si>
  <si>
    <t>000000014136-FF-001</t>
  </si>
  <si>
    <t>000000014135-FF-001</t>
  </si>
  <si>
    <t>000000014134-FF-001</t>
  </si>
  <si>
    <t>000000014133-FF-001</t>
  </si>
  <si>
    <t>000000009231-NF-001</t>
  </si>
  <si>
    <t>523.633.921-91</t>
  </si>
  <si>
    <t>JAIME DIAS DA SILVA</t>
  </si>
  <si>
    <t>000000009230-NF-001</t>
  </si>
  <si>
    <t>000000009229-NF-001</t>
  </si>
  <si>
    <t>000000007694-FF-001</t>
  </si>
  <si>
    <t>000000007693-FF-001</t>
  </si>
  <si>
    <t>000000007692-FF-001</t>
  </si>
  <si>
    <t>000000007691-FF-001</t>
  </si>
  <si>
    <t>000000007690-FF-001</t>
  </si>
  <si>
    <t>000000007689-FF-001</t>
  </si>
  <si>
    <t>000000007688-FF-001</t>
  </si>
  <si>
    <t>000000006857-FF-001</t>
  </si>
  <si>
    <t>000000006856-FF-001</t>
  </si>
  <si>
    <t>000000006855-FF-001</t>
  </si>
  <si>
    <t>000000006854-FF-001</t>
  </si>
  <si>
    <t>000000006853-FF-001</t>
  </si>
  <si>
    <t>000000006181-IF-001</t>
  </si>
  <si>
    <t>000000006180-IF-001</t>
  </si>
  <si>
    <t>000000006179-IF-001</t>
  </si>
  <si>
    <t>000000006178-IF-001</t>
  </si>
  <si>
    <t>000000006177-IF-001</t>
  </si>
  <si>
    <t>000000006176-IF-001</t>
  </si>
  <si>
    <t>000000006175-IF-001</t>
  </si>
  <si>
    <t>000000006174-IF-001</t>
  </si>
  <si>
    <t>000000006173-IF-001</t>
  </si>
  <si>
    <t>000000006172-IF-001</t>
  </si>
  <si>
    <t>000000006171-IF-001</t>
  </si>
  <si>
    <t>000000006170-IF-001</t>
  </si>
  <si>
    <t>000000006169-IF-001</t>
  </si>
  <si>
    <t>000000006168-IF-001</t>
  </si>
  <si>
    <t>000000006167-IF-001</t>
  </si>
  <si>
    <t>000000006166-IF-001</t>
  </si>
  <si>
    <t>000000006165-IF-001</t>
  </si>
  <si>
    <t>036.979.116-94</t>
  </si>
  <si>
    <t>LINDOMAR SOUZA</t>
  </si>
  <si>
    <t>000000006164-IF-001</t>
  </si>
  <si>
    <t>000000006163-IF-001</t>
  </si>
  <si>
    <t>DOMINGOS</t>
  </si>
  <si>
    <t>000000006162-IF-001</t>
  </si>
  <si>
    <t>000000006161-IF-001</t>
  </si>
  <si>
    <t>000000006160-IF-001</t>
  </si>
  <si>
    <t>000000006159-IF-001</t>
  </si>
  <si>
    <t>000000006158-IF-001</t>
  </si>
  <si>
    <t>000000006157-IF-001</t>
  </si>
  <si>
    <t>000000006156-IF-001</t>
  </si>
  <si>
    <t>000000006155-IF-001</t>
  </si>
  <si>
    <t>000000006154-IF-001</t>
  </si>
  <si>
    <t>TUBARAO</t>
  </si>
  <si>
    <t>000000006153-IF-001</t>
  </si>
  <si>
    <t>000000006152-IF-001</t>
  </si>
  <si>
    <t>000000006151-IF-001</t>
  </si>
  <si>
    <t>000000006150-IF-001</t>
  </si>
  <si>
    <t>000000006149-IF-001</t>
  </si>
  <si>
    <t>000000006148-IF-001</t>
  </si>
  <si>
    <t>000000006147-IF-001</t>
  </si>
  <si>
    <t>45.406.706/0001-96</t>
  </si>
  <si>
    <t>TRUCK CENTER ROMAO</t>
  </si>
  <si>
    <t>000000006146-IF-001</t>
  </si>
  <si>
    <t>000000006145-IF-001</t>
  </si>
  <si>
    <t>000000006144-IF-001</t>
  </si>
  <si>
    <t>000000006143-IF-001</t>
  </si>
  <si>
    <t>000000006142-IF-001</t>
  </si>
  <si>
    <t>000000006141-IF-001</t>
  </si>
  <si>
    <t>000000006140-IF-001</t>
  </si>
  <si>
    <t>DORI</t>
  </si>
  <si>
    <t>000000006139-IF-001</t>
  </si>
  <si>
    <t>000000006138-IF-001</t>
  </si>
  <si>
    <t>000000006137-IF-001</t>
  </si>
  <si>
    <t>WELINGTON 61 999514381</t>
  </si>
  <si>
    <t>000000006136-IF-001</t>
  </si>
  <si>
    <t>000000003719-NF-001</t>
  </si>
  <si>
    <t>000000003718-NF-001</t>
  </si>
  <si>
    <t>37.142.882/0001-30</t>
  </si>
  <si>
    <t>JR SERVICOS DE TRANP.E TERRAPLANAGEM LTDA</t>
  </si>
  <si>
    <t>000000003717-NF-001</t>
  </si>
  <si>
    <t>000000003716-NF-001</t>
  </si>
  <si>
    <t>000000003715-NF-001</t>
  </si>
  <si>
    <t>066.228.691-03</t>
  </si>
  <si>
    <t>ALEXANDRE TRINDADE BRITO</t>
  </si>
  <si>
    <t>000000003714-NF-001</t>
  </si>
  <si>
    <t>000000003713-NF-001</t>
  </si>
  <si>
    <t>000000003712-NF-001</t>
  </si>
  <si>
    <t>42.026.859/0001-10</t>
  </si>
  <si>
    <t>SAT CAR LTDA</t>
  </si>
  <si>
    <t>000000003711-NF-001</t>
  </si>
  <si>
    <t>000000003157-NF-001</t>
  </si>
  <si>
    <t>000000003156-NF-001</t>
  </si>
  <si>
    <t>000000001537-NF-001</t>
  </si>
  <si>
    <t>000000001391-FF-001</t>
  </si>
  <si>
    <t>000000000814-FF-001</t>
  </si>
  <si>
    <t>000000000813-FF-001</t>
  </si>
  <si>
    <t>000000000812-FF-001</t>
  </si>
  <si>
    <t>000000000811-FF-001</t>
  </si>
  <si>
    <t>000000000810-FF-001</t>
  </si>
  <si>
    <t>000000000809-FF-001</t>
  </si>
  <si>
    <t>000000000808-FF-001</t>
  </si>
  <si>
    <t>000000000807-FF-001</t>
  </si>
  <si>
    <t>000000000806-FF-001</t>
  </si>
  <si>
    <t>000000000805-FF-001</t>
  </si>
  <si>
    <t>000000000760-NF-001</t>
  </si>
  <si>
    <t>000000000759-NF-001</t>
  </si>
  <si>
    <t>000000000758-NF-001</t>
  </si>
  <si>
    <t>000000000757-NF-001</t>
  </si>
  <si>
    <t>000000613146-FF-1</t>
  </si>
  <si>
    <t>000000613145-FF-1</t>
  </si>
  <si>
    <t>000000409905-FF-1</t>
  </si>
  <si>
    <t>000000409904-FF-1</t>
  </si>
  <si>
    <t>000000409903-FF-1</t>
  </si>
  <si>
    <t>000000409902-FF-1</t>
  </si>
  <si>
    <t>000000055215-IF-1</t>
  </si>
  <si>
    <t>000000055214-IF-1</t>
  </si>
  <si>
    <t>000000055213-IF-1</t>
  </si>
  <si>
    <t>DILMA</t>
  </si>
  <si>
    <t>000000055212-IF-1</t>
  </si>
  <si>
    <t>000000055211-IF-1</t>
  </si>
  <si>
    <t>000000055210-IF-1</t>
  </si>
  <si>
    <t>029.538.561-88</t>
  </si>
  <si>
    <t>WELLINGTON CAMPELO DA COSTA</t>
  </si>
  <si>
    <t>000000055209-IF-1</t>
  </si>
  <si>
    <t>000000055208-IF-1</t>
  </si>
  <si>
    <t>000000055207-IF-1</t>
  </si>
  <si>
    <t>000000055206-IF-1</t>
  </si>
  <si>
    <t>000000055205-IF-1</t>
  </si>
  <si>
    <t>373.093.581-04</t>
  </si>
  <si>
    <t>CARLOS ROBERTO RODRIGUES DA SILVA</t>
  </si>
  <si>
    <t>000000055204-IF-1</t>
  </si>
  <si>
    <t>000000055203-IF-1</t>
  </si>
  <si>
    <t>000000055202-IF-1</t>
  </si>
  <si>
    <t>000000055201-IF-1</t>
  </si>
  <si>
    <t>000000042789-IF-001</t>
  </si>
  <si>
    <t>000000042788-IF-001</t>
  </si>
  <si>
    <t>000000042787-IF-001</t>
  </si>
  <si>
    <t>000000042786-IF-001</t>
  </si>
  <si>
    <t>000000042785-IF-001</t>
  </si>
  <si>
    <t>000000042784-IF-001</t>
  </si>
  <si>
    <t>000000042783-IF-001</t>
  </si>
  <si>
    <t>PAULO BONATA</t>
  </si>
  <si>
    <t>000000042782-IF-001</t>
  </si>
  <si>
    <t>000000042781-IF-001</t>
  </si>
  <si>
    <t>000000042780-IF-001</t>
  </si>
  <si>
    <t>PAULO BONNATA</t>
  </si>
  <si>
    <t>000000042779-IF-001</t>
  </si>
  <si>
    <t>13.890.977/0001-73</t>
  </si>
  <si>
    <t>MARCOS HENRIQUE DE ARAUJO DAS CHAGAS</t>
  </si>
  <si>
    <t>000000042777-IF-001</t>
  </si>
  <si>
    <t>000000042776-IF-001</t>
  </si>
  <si>
    <t>039.150.393-65</t>
  </si>
  <si>
    <t>LUCAS VIANA DE ARAUJO</t>
  </si>
  <si>
    <t>000000042775-IF-001</t>
  </si>
  <si>
    <t>000000042774-IF-001</t>
  </si>
  <si>
    <t>000000042773-IF-001</t>
  </si>
  <si>
    <t>000000042772-IF-001</t>
  </si>
  <si>
    <t>000000042771-IF-001</t>
  </si>
  <si>
    <t>000000042770-IF-001</t>
  </si>
  <si>
    <t>(01)038</t>
  </si>
  <si>
    <t>000000042769-IF-001</t>
  </si>
  <si>
    <t>000000042768-IF-001</t>
  </si>
  <si>
    <t>000000042767-IF-001</t>
  </si>
  <si>
    <t>000000042766-IF-001</t>
  </si>
  <si>
    <t>000000031741-NF-1</t>
  </si>
  <si>
    <t>000000031740-NF-1</t>
  </si>
  <si>
    <t>01.973.569/0001-04</t>
  </si>
  <si>
    <t>CONDOMINIO HIGS 714 BLOS</t>
  </si>
  <si>
    <t>000000031739-NF-1</t>
  </si>
  <si>
    <t>000000031738-NF-1</t>
  </si>
  <si>
    <t>085.661.176-03</t>
  </si>
  <si>
    <t>JOÃO FERREIRA S4ENA</t>
  </si>
  <si>
    <t>000000031737-NF-1</t>
  </si>
  <si>
    <t>000000031736-NF-1</t>
  </si>
  <si>
    <t>000000031734-NF-1</t>
  </si>
  <si>
    <t>000000031733-NF-1</t>
  </si>
  <si>
    <t>000000031732-NF-1</t>
  </si>
  <si>
    <t>000000031731-NF-1</t>
  </si>
  <si>
    <t>000000031730-NF-1</t>
  </si>
  <si>
    <t>000000031729-NF-1</t>
  </si>
  <si>
    <t>265.818.411-53</t>
  </si>
  <si>
    <t>FRANCISCO ALVES</t>
  </si>
  <si>
    <t>ROBSON REZENDE</t>
  </si>
  <si>
    <t>259.511.901-00</t>
  </si>
  <si>
    <t>ZE</t>
  </si>
  <si>
    <t>VALMIR TRILHA CAPITAL</t>
  </si>
  <si>
    <t>000000028523-IF-001</t>
  </si>
  <si>
    <t>000000028522-IF-001</t>
  </si>
  <si>
    <t>000000028521-IF-001</t>
  </si>
  <si>
    <t>000000028520-IF-001</t>
  </si>
  <si>
    <t>000000028519-IF-001</t>
  </si>
  <si>
    <t>53.861.923/0001-02</t>
  </si>
  <si>
    <t>TOP RODAS E SERVICOS LTDA</t>
  </si>
  <si>
    <t>000000028518-IF-001</t>
  </si>
  <si>
    <t>000000028517-IF-001</t>
  </si>
  <si>
    <t>000000028516-IF-001</t>
  </si>
  <si>
    <t>000000028515-IF-001</t>
  </si>
  <si>
    <t>000000028514-IF-001</t>
  </si>
  <si>
    <t>000000028513-IF-001</t>
  </si>
  <si>
    <t>000000028512-IF-001</t>
  </si>
  <si>
    <t>000000028511-IF-001</t>
  </si>
  <si>
    <t>000000028510-IF-001</t>
  </si>
  <si>
    <t>000000028509-IF-001</t>
  </si>
  <si>
    <t>000000028508-IF-001</t>
  </si>
  <si>
    <t>000000028507-IF-001</t>
  </si>
  <si>
    <t>000000028506-IF-001</t>
  </si>
  <si>
    <t>000000028505-IF-001</t>
  </si>
  <si>
    <t>751.844.863-72</t>
  </si>
  <si>
    <t>ADAILTON SOARES NUNES</t>
  </si>
  <si>
    <t>000000028504-IF-001</t>
  </si>
  <si>
    <t>000000028503-IF-001</t>
  </si>
  <si>
    <t>000000024710-NF-001</t>
  </si>
  <si>
    <t>000000024709-NF-001</t>
  </si>
  <si>
    <t>000000024708-NF-001</t>
  </si>
  <si>
    <t>040.976.831-60</t>
  </si>
  <si>
    <t>FELIPE DA SILVA CAMPELO</t>
  </si>
  <si>
    <t>000000024707-NF-001</t>
  </si>
  <si>
    <t>000000024706-NF-001</t>
  </si>
  <si>
    <t>63.073.351/0001-42</t>
  </si>
  <si>
    <t>MOTO MORINI BRASI COMER MOTOS E SERV LTD</t>
  </si>
  <si>
    <t>000000024705-NF-001</t>
  </si>
  <si>
    <t>000000024704-NF-001</t>
  </si>
  <si>
    <t>823.595.801-59</t>
  </si>
  <si>
    <t>SIBELE FERREIRA</t>
  </si>
  <si>
    <t>000000024703-NF-001</t>
  </si>
  <si>
    <t>000000024702-NF-001</t>
  </si>
  <si>
    <t>000000024701-NF-001</t>
  </si>
  <si>
    <t>000000024700-NF-001</t>
  </si>
  <si>
    <t>000000024699-NF-001</t>
  </si>
  <si>
    <t>000000024698-NF-001</t>
  </si>
  <si>
    <t>000000024697-NF-001</t>
  </si>
  <si>
    <t>000000024696-NF-001</t>
  </si>
  <si>
    <t>000000024695-NF-001</t>
  </si>
  <si>
    <t>000000024694-NF-001</t>
  </si>
  <si>
    <t>000000024693-NF-001</t>
  </si>
  <si>
    <t>06.110.717/0001-72</t>
  </si>
  <si>
    <t>INSTITUTO PRESBITERIANO DO GAMA</t>
  </si>
  <si>
    <t>000000024692-NF-001</t>
  </si>
  <si>
    <t>000000021241-IF-001</t>
  </si>
  <si>
    <t>000000021240-IF-001</t>
  </si>
  <si>
    <t>000000021239-IF-001</t>
  </si>
  <si>
    <t>000000021238-IF-001</t>
  </si>
  <si>
    <t>IVAN BRANCO</t>
  </si>
  <si>
    <t>000000021237-IF-001</t>
  </si>
  <si>
    <t>428.549.893-68</t>
  </si>
  <si>
    <t>ANTONIO ALVES DE SOUSA FILHO</t>
  </si>
  <si>
    <t>000000021236-IF-001</t>
  </si>
  <si>
    <t>000000021235-IF-001</t>
  </si>
  <si>
    <t>000000021234-IF-001</t>
  </si>
  <si>
    <t>000000021233-IF-001</t>
  </si>
  <si>
    <t>000000021232-IF-001</t>
  </si>
  <si>
    <t>000000021231-IF-001</t>
  </si>
  <si>
    <t>000000021230-IF-001</t>
  </si>
  <si>
    <t>000000021229-IF-001</t>
  </si>
  <si>
    <t>000000021228-IF-001</t>
  </si>
  <si>
    <t>000000021227-IF-001</t>
  </si>
  <si>
    <t>000000021226-IF-001</t>
  </si>
  <si>
    <t>000000021225-IF-001</t>
  </si>
  <si>
    <t>000000021224-IF-001</t>
  </si>
  <si>
    <t>000000021223-IF-001</t>
  </si>
  <si>
    <t>000000021222-IF-001</t>
  </si>
  <si>
    <t>000000021221-IF-001</t>
  </si>
  <si>
    <t>000000021220-IF-001</t>
  </si>
  <si>
    <t>000000021219-IF-001</t>
  </si>
  <si>
    <t>000000021218-IF-001</t>
  </si>
  <si>
    <t>000000019396-IF-1</t>
  </si>
  <si>
    <t>000000019395-IF-1</t>
  </si>
  <si>
    <t>000000019394-IF-1</t>
  </si>
  <si>
    <t>000000019393-IF-1</t>
  </si>
  <si>
    <t>000000019392-IF-1</t>
  </si>
  <si>
    <t>000000019391-IF-1</t>
  </si>
  <si>
    <t>000000019390-IF-1</t>
  </si>
  <si>
    <t>000000019389-IF-1</t>
  </si>
  <si>
    <t>000000019388-IF-1</t>
  </si>
  <si>
    <t>JADSON</t>
  </si>
  <si>
    <t>000000019387-IF-1</t>
  </si>
  <si>
    <t>000000019386-IF-1</t>
  </si>
  <si>
    <t>000000019385-IF-1</t>
  </si>
  <si>
    <t>000000019384-IF-1</t>
  </si>
  <si>
    <t>000000019383-IF-1</t>
  </si>
  <si>
    <t>09.053.350/0001-90</t>
  </si>
  <si>
    <t>NIVA TECNOLOGIA DA INFORMAÇÃO</t>
  </si>
  <si>
    <t>000000019382-IF-1</t>
  </si>
  <si>
    <t>000000019381-IF-1</t>
  </si>
  <si>
    <t>RODRIGO</t>
  </si>
  <si>
    <t>000000019380-IF-1</t>
  </si>
  <si>
    <t>000000018939-NF-001</t>
  </si>
  <si>
    <t>000000018938-NF-001</t>
  </si>
  <si>
    <t>000000018937-NF-001</t>
  </si>
  <si>
    <t>000000018936-NF-001</t>
  </si>
  <si>
    <t>000000018935-NF-001</t>
  </si>
  <si>
    <t>000000018934-NF-001</t>
  </si>
  <si>
    <t>000000018933-NF-001</t>
  </si>
  <si>
    <t>000000018932-NF-001</t>
  </si>
  <si>
    <t>000000018931-NF-001</t>
  </si>
  <si>
    <t>000000018930-NF-001</t>
  </si>
  <si>
    <t>000000018929-NF-001</t>
  </si>
  <si>
    <t>000000018928-NF-001</t>
  </si>
  <si>
    <t>000000018909-IF-001</t>
  </si>
  <si>
    <t>000000018908-IF-001</t>
  </si>
  <si>
    <t>000000018907-IF-001</t>
  </si>
  <si>
    <t>000000018906-IF-001</t>
  </si>
  <si>
    <t>000000018905-IF-001</t>
  </si>
  <si>
    <t>000000018904-IF-001</t>
  </si>
  <si>
    <t>RK CENTRO AUTOMOTIVO</t>
  </si>
  <si>
    <t>000000018903-IF-001</t>
  </si>
  <si>
    <t>MARTELINHO GUARA</t>
  </si>
  <si>
    <t>000000018902-IF-001</t>
  </si>
  <si>
    <t>000000018901-IF-001</t>
  </si>
  <si>
    <t>000000018900-IF-001</t>
  </si>
  <si>
    <t>013.870.741-30</t>
  </si>
  <si>
    <t>LEONARDO SOARES RIBEIRO</t>
  </si>
  <si>
    <t>000000018899-IF-001</t>
  </si>
  <si>
    <t>000000018898-IF-001</t>
  </si>
  <si>
    <t>000000018897-IF-001</t>
  </si>
  <si>
    <t>000000018896-IF-001</t>
  </si>
  <si>
    <t>000000018895-IF-001</t>
  </si>
  <si>
    <t>000000018894-IF-001</t>
  </si>
  <si>
    <t>000000018893-IF-001</t>
  </si>
  <si>
    <t>000000018892-IF-001</t>
  </si>
  <si>
    <t>000000018891-IF-001</t>
  </si>
  <si>
    <t>000000018890-IF-001</t>
  </si>
  <si>
    <t>000000018889-IF-001</t>
  </si>
  <si>
    <t>000000018888-IF-001</t>
  </si>
  <si>
    <t>000000018887-IF-001</t>
  </si>
  <si>
    <t>000000018886-IF-001</t>
  </si>
  <si>
    <t>000000018885-IF-001</t>
  </si>
  <si>
    <t>000000018884-IF-001</t>
  </si>
  <si>
    <t>000000018883-IF-001</t>
  </si>
  <si>
    <t>000000018882-IF-001</t>
  </si>
  <si>
    <t>000000018881-IF-001</t>
  </si>
  <si>
    <t>000000018880-IF-001</t>
  </si>
  <si>
    <t>000000018879-IF-001</t>
  </si>
  <si>
    <t>000000018878-IF-001</t>
  </si>
  <si>
    <t>ART NOBRE</t>
  </si>
  <si>
    <t>000000018877-IF-001</t>
  </si>
  <si>
    <t>000000018876-IF-001</t>
  </si>
  <si>
    <t>000000018875-IF-001</t>
  </si>
  <si>
    <t>000000018874-IF-001</t>
  </si>
  <si>
    <t>000000018873-IF-001</t>
  </si>
  <si>
    <t>000000018872-IF-001</t>
  </si>
  <si>
    <t>000000018871-IF-001</t>
  </si>
  <si>
    <t>24.951.159/0001-50</t>
  </si>
  <si>
    <t>WAGNER FLORES RESTAURAÇÃO LTDA.</t>
  </si>
  <si>
    <t>000000018870-IF-001</t>
  </si>
  <si>
    <t>000000018869-IF-001</t>
  </si>
  <si>
    <t>000000018868-IF-001</t>
  </si>
  <si>
    <t>000000017936-IF-001</t>
  </si>
  <si>
    <t>000000017935-IF-001</t>
  </si>
  <si>
    <t>SERGIO</t>
  </si>
  <si>
    <t>000000017934-IF-001</t>
  </si>
  <si>
    <t>000000017933-IF-001</t>
  </si>
  <si>
    <t>000000017932-IF-001</t>
  </si>
  <si>
    <t>000000017931-IF-001</t>
  </si>
  <si>
    <t>000000017930-IF-001</t>
  </si>
  <si>
    <t>000000017929-IF-001</t>
  </si>
  <si>
    <t>000000017928-IF-001</t>
  </si>
  <si>
    <t>000000017927-IF-001</t>
  </si>
  <si>
    <t>000000016425-FF-001</t>
  </si>
  <si>
    <t>000000016424-FF-001</t>
  </si>
  <si>
    <t>000000016423-FF-001</t>
  </si>
  <si>
    <t>000000016422-FF-001</t>
  </si>
  <si>
    <t>000000016421-FF-001</t>
  </si>
  <si>
    <t>000000016420-FF-001</t>
  </si>
  <si>
    <t>000000016419-FF-001</t>
  </si>
  <si>
    <t>000000016418-FF-001</t>
  </si>
  <si>
    <t>000000016417-FF-001</t>
  </si>
  <si>
    <t>000000016416-FF-001</t>
  </si>
  <si>
    <t>000000016415-FF-001</t>
  </si>
  <si>
    <t>000000016414-FF-001</t>
  </si>
  <si>
    <t>000000016413-FF-001</t>
  </si>
  <si>
    <t>000000016412-FF-001</t>
  </si>
  <si>
    <t>000000016411-FF-001</t>
  </si>
  <si>
    <t>000000014995-NF-1</t>
  </si>
  <si>
    <t>000000014993-NF-1</t>
  </si>
  <si>
    <t>000000014992-NF-1</t>
  </si>
  <si>
    <t>000000014132-FF-001</t>
  </si>
  <si>
    <t>000000014131-FF-001</t>
  </si>
  <si>
    <t>000000014130-FF-001</t>
  </si>
  <si>
    <t>000000014129-FF-001</t>
  </si>
  <si>
    <t>000000009228-NF-001</t>
  </si>
  <si>
    <t>000000009227-NF-001</t>
  </si>
  <si>
    <t>000000009226-NF-001</t>
  </si>
  <si>
    <t>000000009225-NF-001</t>
  </si>
  <si>
    <t>000000009224-NF-001</t>
  </si>
  <si>
    <t>000000009223-NF-001</t>
  </si>
  <si>
    <t>000000007687-FF-001</t>
  </si>
  <si>
    <t>000000007686-FF-001</t>
  </si>
  <si>
    <t>000000007685-FF-001</t>
  </si>
  <si>
    <t>000000007684-FF-001</t>
  </si>
  <si>
    <t>46.516.434/0001-40</t>
  </si>
  <si>
    <t>AUTO BRASILIA LTDA</t>
  </si>
  <si>
    <t>000000007683-FF-001</t>
  </si>
  <si>
    <t>000000007682-FF-001</t>
  </si>
  <si>
    <t>000000007681-FF-001</t>
  </si>
  <si>
    <t>000000006852-FF-001</t>
  </si>
  <si>
    <t>000000006851-FF-001</t>
  </si>
  <si>
    <t>000000006850-FF-001</t>
  </si>
  <si>
    <t>000000006135-IF-001</t>
  </si>
  <si>
    <t>000000006134-IF-001</t>
  </si>
  <si>
    <t>000000006133-IF-001</t>
  </si>
  <si>
    <t>000000006132-IF-001</t>
  </si>
  <si>
    <t>000000006131-IF-001</t>
  </si>
  <si>
    <t>000000006130-IF-001</t>
  </si>
  <si>
    <t>000000006129-IF-001</t>
  </si>
  <si>
    <t>000000006128-IF-001</t>
  </si>
  <si>
    <t>JACE</t>
  </si>
  <si>
    <t>000000006127-IF-001</t>
  </si>
  <si>
    <t>000000006126-IF-001</t>
  </si>
  <si>
    <t>000000006125-IF-001</t>
  </si>
  <si>
    <t>000000006124-IF-001</t>
  </si>
  <si>
    <t>000000006123-IF-001</t>
  </si>
  <si>
    <t>000000006122-IF-001</t>
  </si>
  <si>
    <t>000000006121-IF-001</t>
  </si>
  <si>
    <t>000000006120-IF-001</t>
  </si>
  <si>
    <t>000000006119-IF-001</t>
  </si>
  <si>
    <t>000000006118-IF-001</t>
  </si>
  <si>
    <t>000000006117-IF-001</t>
  </si>
  <si>
    <t>000000006116-IF-001</t>
  </si>
  <si>
    <t>MARQUIM</t>
  </si>
  <si>
    <t>000000006115-IF-001</t>
  </si>
  <si>
    <t>000000006114-IF-001</t>
  </si>
  <si>
    <t>000000006113-IF-001</t>
  </si>
  <si>
    <t>000000006112-IF-001</t>
  </si>
  <si>
    <t>000000006111-IF-001</t>
  </si>
  <si>
    <t>000000006110-IF-001</t>
  </si>
  <si>
    <t>000000006109-IF-001</t>
  </si>
  <si>
    <t>000000006108-IF-001</t>
  </si>
  <si>
    <t>000000006107-IF-001</t>
  </si>
  <si>
    <t>000000006106-IF-001</t>
  </si>
  <si>
    <t>000000006105-IF-001</t>
  </si>
  <si>
    <t>000000006104-IF-001</t>
  </si>
  <si>
    <t>000000006102-IF-001</t>
  </si>
  <si>
    <t>000000006101-IF-001</t>
  </si>
  <si>
    <t>000000006100-IF-001</t>
  </si>
  <si>
    <t>000000006099-IF-001</t>
  </si>
  <si>
    <t>000000006098-IF-001</t>
  </si>
  <si>
    <t>000000006097-IF-001</t>
  </si>
  <si>
    <t>000000006096-IF-001</t>
  </si>
  <si>
    <t>000000006095-IF-001</t>
  </si>
  <si>
    <t>003.730.611-10</t>
  </si>
  <si>
    <t>MAGNO AUGUSTO DA SILVA</t>
  </si>
  <si>
    <t>000000006094-IF-001</t>
  </si>
  <si>
    <t>000000006093-IF-001</t>
  </si>
  <si>
    <t>000000006092-IF-001</t>
  </si>
  <si>
    <t>000000006091-IF-001</t>
  </si>
  <si>
    <t>000000006090-IF-001</t>
  </si>
  <si>
    <t>WESLEY CRISTALINA</t>
  </si>
  <si>
    <t>000000006089-IF-001</t>
  </si>
  <si>
    <t>000000006088-IF-001</t>
  </si>
  <si>
    <t>JOAO CRISTALINA</t>
  </si>
  <si>
    <t>000000006087-IF-001</t>
  </si>
  <si>
    <t>000000003710-NF-001</t>
  </si>
  <si>
    <t>000000003709-NF-001</t>
  </si>
  <si>
    <t>000000003708-NF-001</t>
  </si>
  <si>
    <t>000000003707-NF-001</t>
  </si>
  <si>
    <t>000000003706-NF-001</t>
  </si>
  <si>
    <t>000000003704-NF-001</t>
  </si>
  <si>
    <t>000000003703-NF-001</t>
  </si>
  <si>
    <t>000000003702-NF-001</t>
  </si>
  <si>
    <t>000000003701-NF-001</t>
  </si>
  <si>
    <t>000000003700-NF-001</t>
  </si>
  <si>
    <t>000000003154-NF-001</t>
  </si>
  <si>
    <t>GRUPO GAIVOTA</t>
  </si>
  <si>
    <t>000000003153-NF-001</t>
  </si>
  <si>
    <t>11.716.327/0001-80</t>
  </si>
  <si>
    <t>000000003152-NF-001</t>
  </si>
  <si>
    <t>000000001536-NF-001</t>
  </si>
  <si>
    <t>000000001390-FF-001</t>
  </si>
  <si>
    <t>000000000804-FF-001</t>
  </si>
  <si>
    <t>000000000803-FF-001</t>
  </si>
  <si>
    <t>000000000802-FF-001</t>
  </si>
  <si>
    <t>000000000801-FF-001</t>
  </si>
  <si>
    <t>000000000800-FF-001</t>
  </si>
  <si>
    <t>000000000799-FF-001</t>
  </si>
  <si>
    <t>000000000798-FF-001</t>
  </si>
  <si>
    <t>000000000797-FF-001</t>
  </si>
  <si>
    <t>000000000756-NF-001</t>
  </si>
  <si>
    <t>000000000755-NF-001</t>
  </si>
  <si>
    <t>000000000754-NF-001</t>
  </si>
  <si>
    <t>000000000753-NF-001</t>
  </si>
  <si>
    <t>000000000752-NF-001</t>
  </si>
  <si>
    <t>000000000751-NF-001</t>
  </si>
  <si>
    <t>000000000750-NF-001</t>
  </si>
  <si>
    <t>000000000749-NF-001</t>
  </si>
  <si>
    <t>16.995.395/0002-20</t>
  </si>
  <si>
    <t>NACIONAL DISTRIBUIDORA DE CARNES BEEF LTDA</t>
  </si>
  <si>
    <t>000000000748-NF-001</t>
  </si>
  <si>
    <t>000000000747-NF-001</t>
  </si>
  <si>
    <t>000000000746-NF-001</t>
  </si>
  <si>
    <t>000000000745-NF-001</t>
  </si>
  <si>
    <t>12.487.934/0001-89</t>
  </si>
  <si>
    <t>TORNEADORA E MECANICA INDUSTRIAL PERMAQUE LTDA</t>
  </si>
  <si>
    <t>000000000744-NF-001</t>
  </si>
  <si>
    <t>000000613144-FF-1</t>
  </si>
  <si>
    <t>000000613143-FF-1</t>
  </si>
  <si>
    <t>000000409901-FF-1</t>
  </si>
  <si>
    <t>000000409900-FF-1</t>
  </si>
  <si>
    <t>000000055200-IF-1</t>
  </si>
  <si>
    <t>462.333.344-20</t>
  </si>
  <si>
    <t>JOSE CICERO RAMOS DOS SANTOS</t>
  </si>
  <si>
    <t>000000055199-IF-1</t>
  </si>
  <si>
    <t>000000055198-IF-1</t>
  </si>
  <si>
    <t>000000055197-IF-1</t>
  </si>
  <si>
    <t>000000055196-IF-1</t>
  </si>
  <si>
    <t>000000055195-IF-1</t>
  </si>
  <si>
    <t>000000055194-IF-1</t>
  </si>
  <si>
    <t>000000055193-IF-1</t>
  </si>
  <si>
    <t>000000055192-IF-1</t>
  </si>
  <si>
    <t>000000055191-IF-1</t>
  </si>
  <si>
    <t>000000055190-IF-1</t>
  </si>
  <si>
    <t>000000042765-IF-001</t>
  </si>
  <si>
    <t>000000042764-IF-001</t>
  </si>
  <si>
    <t>000000042763-IF-001</t>
  </si>
  <si>
    <t>000000042762-IF-001</t>
  </si>
  <si>
    <t>000000042761-IF-001</t>
  </si>
  <si>
    <t>000000042760-IF-001</t>
  </si>
  <si>
    <t>000000042759-IF-001</t>
  </si>
  <si>
    <t>000000042758-IF-001</t>
  </si>
  <si>
    <t>000000042757-IF-001</t>
  </si>
  <si>
    <t>000000042756-IF-001</t>
  </si>
  <si>
    <t>TOM QNN17</t>
  </si>
  <si>
    <t>000000042755-IF-001</t>
  </si>
  <si>
    <t>000000042754-IF-001</t>
  </si>
  <si>
    <t>000000042753-IF-001</t>
  </si>
  <si>
    <t>000000042752-IF-001</t>
  </si>
  <si>
    <t>GLEISSON</t>
  </si>
  <si>
    <t>000000042751-IF-001</t>
  </si>
  <si>
    <t>000000042750-IF-001</t>
  </si>
  <si>
    <t>000000042749-IF-001</t>
  </si>
  <si>
    <t>000000042748-IF-001</t>
  </si>
  <si>
    <t>000000042747-IF-001</t>
  </si>
  <si>
    <t>000000042746-IF-001</t>
  </si>
  <si>
    <t>000.103.981-47</t>
  </si>
  <si>
    <t>LUCIEL BATISTA DE OLIVEIRA</t>
  </si>
  <si>
    <t>000000042745-IF-001</t>
  </si>
  <si>
    <t>000000042744-IF-001</t>
  </si>
  <si>
    <t>000000042743-IF-001</t>
  </si>
  <si>
    <t>000000042742-IF-001</t>
  </si>
  <si>
    <t>000000042741-IF-001</t>
  </si>
  <si>
    <t>000000042740-IF-001</t>
  </si>
  <si>
    <t>000000042739-IF-001</t>
  </si>
  <si>
    <t>000000042738-IF-001</t>
  </si>
  <si>
    <t>000000042737-IF-001</t>
  </si>
  <si>
    <t>000000042736-IF-001</t>
  </si>
  <si>
    <t>000000042735-IF-001</t>
  </si>
  <si>
    <t>000000042734-IF-001</t>
  </si>
  <si>
    <t>000000042733-IF-001</t>
  </si>
  <si>
    <t>000000042732-IF-001</t>
  </si>
  <si>
    <t>000000042731-IF-001</t>
  </si>
  <si>
    <t>000000042730-IF-001</t>
  </si>
  <si>
    <t>000000042729-IF-001</t>
  </si>
  <si>
    <t>000000042728-IF-001</t>
  </si>
  <si>
    <t>000000042727-IF-001</t>
  </si>
  <si>
    <t>000000042726-IF-001</t>
  </si>
  <si>
    <t>000000042725-IF-001</t>
  </si>
  <si>
    <t>000000042724-IF-001</t>
  </si>
  <si>
    <t>000000042723-IF-001</t>
  </si>
  <si>
    <t>000000042722-IF-001</t>
  </si>
  <si>
    <t>000000031728-NF-1</t>
  </si>
  <si>
    <t>000000031727-NF-1</t>
  </si>
  <si>
    <t>000000031726-NF-1</t>
  </si>
  <si>
    <t>000000031725-NF-1</t>
  </si>
  <si>
    <t>000000031724-NF-1</t>
  </si>
  <si>
    <t>000000031723-NF-1</t>
  </si>
  <si>
    <t>09.285.193/0001-49</t>
  </si>
  <si>
    <t>SANTA CLARA ENGENHARIA</t>
  </si>
  <si>
    <t>000000031722-NF-1</t>
  </si>
  <si>
    <t>000000031721-NF-1</t>
  </si>
  <si>
    <t>000000031720-NF-1</t>
  </si>
  <si>
    <t>047.835.821-06</t>
  </si>
  <si>
    <t>ANTONIO DE SOUSA JUNIOR</t>
  </si>
  <si>
    <t>000000031719-NF-1</t>
  </si>
  <si>
    <t>000000031718-NF-1</t>
  </si>
  <si>
    <t>000000031717-NF-1</t>
  </si>
  <si>
    <t>000000031716-NF-1</t>
  </si>
  <si>
    <t>000000031715-NF-1</t>
  </si>
  <si>
    <t>000000031714-NF-1</t>
  </si>
  <si>
    <t>000000031713-NF-1</t>
  </si>
  <si>
    <t>000000028502-IF-001</t>
  </si>
  <si>
    <t>000000028501-IF-001</t>
  </si>
  <si>
    <t>000000028500-IF-001</t>
  </si>
  <si>
    <t>000000028499-IF-001</t>
  </si>
  <si>
    <t>000000028498-IF-001</t>
  </si>
  <si>
    <t>000000028497-IF-001</t>
  </si>
  <si>
    <t>000000028496-IF-001</t>
  </si>
  <si>
    <t>000000024691-NF-001</t>
  </si>
  <si>
    <t>738.026.111-87</t>
  </si>
  <si>
    <t>SERGIO /AUTO MECANICA JUSCELINO</t>
  </si>
  <si>
    <t>000000024690-NF-001</t>
  </si>
  <si>
    <t>000000024689-NF-001</t>
  </si>
  <si>
    <t>000000024688-NF-001</t>
  </si>
  <si>
    <t>000000024686-NF-001</t>
  </si>
  <si>
    <t>000000024685-NF-001</t>
  </si>
  <si>
    <t>000000024684-NF-001</t>
  </si>
  <si>
    <t>11.212.018/0001-73</t>
  </si>
  <si>
    <t>SANCLIN CLINICA GINECOLOGICA E OBST LTDA</t>
  </si>
  <si>
    <t>000000024683-NF-001</t>
  </si>
  <si>
    <t>000000024682-NF-001</t>
  </si>
  <si>
    <t>000000024681-NF-001</t>
  </si>
  <si>
    <t>000000024680-NF-001</t>
  </si>
  <si>
    <t>000000024679-NF-001</t>
  </si>
  <si>
    <t>000000024678-NF-001</t>
  </si>
  <si>
    <t>PRETINHO</t>
  </si>
  <si>
    <t>000000021217-IF-001</t>
  </si>
  <si>
    <t>000000021216-IF-001</t>
  </si>
  <si>
    <t>000000021215-IF-001</t>
  </si>
  <si>
    <t>000000021214-IF-001</t>
  </si>
  <si>
    <t>000000021213-IF-001</t>
  </si>
  <si>
    <t>000000021212-IF-001</t>
  </si>
  <si>
    <t>000000021211-IF-001</t>
  </si>
  <si>
    <t>000000021210-IF-001</t>
  </si>
  <si>
    <t>000000021209-IF-001</t>
  </si>
  <si>
    <t>000000021208-IF-001</t>
  </si>
  <si>
    <t>000000021207-IF-001</t>
  </si>
  <si>
    <t>IVAN</t>
  </si>
  <si>
    <t>000000021206-IF-001</t>
  </si>
  <si>
    <t>000000021205-IF-001</t>
  </si>
  <si>
    <t>000000021204-IF-001</t>
  </si>
  <si>
    <t>000000021203-IF-001</t>
  </si>
  <si>
    <t>000000021202-IF-001</t>
  </si>
  <si>
    <t>000000021201-IF-001</t>
  </si>
  <si>
    <t>000000021200-IF-001</t>
  </si>
  <si>
    <t>000000021199-IF-001</t>
  </si>
  <si>
    <t>000000021198-IF-001</t>
  </si>
  <si>
    <t>000000021197-IF-001</t>
  </si>
  <si>
    <t>000000021196-IF-001</t>
  </si>
  <si>
    <t>000000021195-IF-001</t>
  </si>
  <si>
    <t>EDSON BIGODE</t>
  </si>
  <si>
    <t>000000021194-IF-001</t>
  </si>
  <si>
    <t>000000021193-IF-001</t>
  </si>
  <si>
    <t>000000021192-IF-001</t>
  </si>
  <si>
    <t>000000019379-IF-1</t>
  </si>
  <si>
    <t>000000019378-IF-1</t>
  </si>
  <si>
    <t>000000019377-IF-1</t>
  </si>
  <si>
    <t>000000019376-IF-1</t>
  </si>
  <si>
    <t>000000019375-IF-1</t>
  </si>
  <si>
    <t>000000019374-IF-1</t>
  </si>
  <si>
    <t>000000019373-IF-1</t>
  </si>
  <si>
    <t>000000019372-IF-1</t>
  </si>
  <si>
    <t>000000019371-IF-1</t>
  </si>
  <si>
    <t>000000019370-IF-1</t>
  </si>
  <si>
    <t>000000019369-IF-1</t>
  </si>
  <si>
    <t>000000019368-IF-1</t>
  </si>
  <si>
    <t>000000019367-IF-1</t>
  </si>
  <si>
    <t>000000019366-IF-1</t>
  </si>
  <si>
    <t>000000019365-IF-1</t>
  </si>
  <si>
    <t>000000019364-IF-1</t>
  </si>
  <si>
    <t>000000019363-IF-1</t>
  </si>
  <si>
    <t>000000019362-IF-1</t>
  </si>
  <si>
    <t>000000019361-IF-1</t>
  </si>
  <si>
    <t>000000019360-IF-1</t>
  </si>
  <si>
    <t>000000018927-NF-001</t>
  </si>
  <si>
    <t>000000018926-NF-001</t>
  </si>
  <si>
    <t>000000018925-NF-001</t>
  </si>
  <si>
    <t>(01)039</t>
  </si>
  <si>
    <t>000000018924-NF-001</t>
  </si>
  <si>
    <t>000000018923-NF-001</t>
  </si>
  <si>
    <t>000000018922-NF-001</t>
  </si>
  <si>
    <t>000000018921-NF-001</t>
  </si>
  <si>
    <t>000000018920-NF-001</t>
  </si>
  <si>
    <t>000000018919-NF-001</t>
  </si>
  <si>
    <t>000000018918-NF-001</t>
  </si>
  <si>
    <t>000000018917-NF-001</t>
  </si>
  <si>
    <t>000000018916-NF-001</t>
  </si>
  <si>
    <t>000000018867-IF-001</t>
  </si>
  <si>
    <t>000000018866-IF-001</t>
  </si>
  <si>
    <t>000000018865-IF-001</t>
  </si>
  <si>
    <t>000000018864-IF-001</t>
  </si>
  <si>
    <t>000000018863-IF-001</t>
  </si>
  <si>
    <t>367.984.876-53</t>
  </si>
  <si>
    <t>JOSE NOVALDO SILVA</t>
  </si>
  <si>
    <t>000000018862-IF-001</t>
  </si>
  <si>
    <t>000000018861-IF-001</t>
  </si>
  <si>
    <t>000000018860-IF-001</t>
  </si>
  <si>
    <t>000000018859-IF-001</t>
  </si>
  <si>
    <t>000000018858-IF-001</t>
  </si>
  <si>
    <t>000000018857-IF-001</t>
  </si>
  <si>
    <t>000000018856-IF-001</t>
  </si>
  <si>
    <t>000000018855-IF-001</t>
  </si>
  <si>
    <t>000000018854-IF-001</t>
  </si>
  <si>
    <t>000000018853-IF-001</t>
  </si>
  <si>
    <t>000000018851-IF-001</t>
  </si>
  <si>
    <t>000000018850-IF-001</t>
  </si>
  <si>
    <t>000000018849-IF-001</t>
  </si>
  <si>
    <t>000000018848-IF-001</t>
  </si>
  <si>
    <t>000000018847-IF-001</t>
  </si>
  <si>
    <t>000000018846-IF-001</t>
  </si>
  <si>
    <t>000000018845-IF-001</t>
  </si>
  <si>
    <t>000000018844-IF-001</t>
  </si>
  <si>
    <t>000000018843-IF-001</t>
  </si>
  <si>
    <t>000000018842-IF-001</t>
  </si>
  <si>
    <t>000000018841-IF-001</t>
  </si>
  <si>
    <t>000000018840-IF-001</t>
  </si>
  <si>
    <t>000000018839-IF-001</t>
  </si>
  <si>
    <t>27.446.740/0001-02</t>
  </si>
  <si>
    <t>OFICINA LTDA.</t>
  </si>
  <si>
    <t>000000018838-IF-001</t>
  </si>
  <si>
    <t>000000018837-IF-001</t>
  </si>
  <si>
    <t>000000018836-IF-001</t>
  </si>
  <si>
    <t>000000018835-IF-001</t>
  </si>
  <si>
    <t>000000018834-IF-001</t>
  </si>
  <si>
    <t>762.901.231-49</t>
  </si>
  <si>
    <t>PAULO DO NASCIMENTO BENIGNO</t>
  </si>
  <si>
    <t>000000018833-IF-001</t>
  </si>
  <si>
    <t>000000018832-IF-001</t>
  </si>
  <si>
    <t>000000018831-IF-001</t>
  </si>
  <si>
    <t>000000017925-IF-001</t>
  </si>
  <si>
    <t>000000017924-IF-001</t>
  </si>
  <si>
    <t>000000017923-IF-001</t>
  </si>
  <si>
    <t>000000017922-IF-001</t>
  </si>
  <si>
    <t>000000017921-IF-001</t>
  </si>
  <si>
    <t>000000017920-IF-001</t>
  </si>
  <si>
    <t>000000017919-IF-001</t>
  </si>
  <si>
    <t>000000017918-IF-001</t>
  </si>
  <si>
    <t>000000017917-IF-001</t>
  </si>
  <si>
    <t>000000017916-IF-001</t>
  </si>
  <si>
    <t>000000017915-IF-001</t>
  </si>
  <si>
    <t>000000016410-FF-001</t>
  </si>
  <si>
    <t>000000016409-FF-001</t>
  </si>
  <si>
    <t>000000016408-FF-001</t>
  </si>
  <si>
    <t>000000016407-FF-001</t>
  </si>
  <si>
    <t>000000016406-FF-001</t>
  </si>
  <si>
    <t>000000016405-FF-001</t>
  </si>
  <si>
    <t>000000016404-FF-001</t>
  </si>
  <si>
    <t>000000016403-FF-001</t>
  </si>
  <si>
    <t>000000016402-FF-001</t>
  </si>
  <si>
    <t>000000016401-FF-001</t>
  </si>
  <si>
    <t>000000016399-FF-001</t>
  </si>
  <si>
    <t>000000016398-FF-001</t>
  </si>
  <si>
    <t>000000014991-NF-1</t>
  </si>
  <si>
    <t>34.797.705/0001-01</t>
  </si>
  <si>
    <t>MR DA SILVA</t>
  </si>
  <si>
    <t>IVANETE</t>
  </si>
  <si>
    <t>000.529.161-54</t>
  </si>
  <si>
    <t>DORIVAN PEREIRA CARNEIRO</t>
  </si>
  <si>
    <t>SIDELIO (PEDRO)</t>
  </si>
  <si>
    <t>000000014128-FF-001</t>
  </si>
  <si>
    <t>000000014127-FF-001</t>
  </si>
  <si>
    <t>000000014126-FF-001</t>
  </si>
  <si>
    <t>000000014125-FF-001</t>
  </si>
  <si>
    <t>000000014124-FF-001</t>
  </si>
  <si>
    <t>000000014123-FF-001</t>
  </si>
  <si>
    <t>000000014122-FF-001</t>
  </si>
  <si>
    <t>000000014121-FF-001</t>
  </si>
  <si>
    <t>000000014120-FF-001</t>
  </si>
  <si>
    <t>000000014119-FF-001</t>
  </si>
  <si>
    <t>000000014118-FF-001</t>
  </si>
  <si>
    <t>000000014117-FF-001</t>
  </si>
  <si>
    <t>000000014116-FF-001</t>
  </si>
  <si>
    <t>000000014115-FF-001</t>
  </si>
  <si>
    <t>000000014114-FF-001</t>
  </si>
  <si>
    <t>000000014113-FF-001</t>
  </si>
  <si>
    <t>000000014112-FF-001</t>
  </si>
  <si>
    <t>000000009222-NF-001</t>
  </si>
  <si>
    <t>000000009221-NF-001</t>
  </si>
  <si>
    <t>000000009220-NF-001</t>
  </si>
  <si>
    <t>000000009219-NF-001</t>
  </si>
  <si>
    <t>000000009218-NF-001</t>
  </si>
  <si>
    <t>000000009217-NF-001</t>
  </si>
  <si>
    <t>000000009216-NF-001</t>
  </si>
  <si>
    <t>000000009215-NF-001</t>
  </si>
  <si>
    <t>000000009214-NF-001</t>
  </si>
  <si>
    <t>000000009213-NF-001</t>
  </si>
  <si>
    <t>000000007680-FF-001</t>
  </si>
  <si>
    <t>000000007679-FF-001</t>
  </si>
  <si>
    <t>000000007678-FF-001</t>
  </si>
  <si>
    <t>55.271.193/0001-07</t>
  </si>
  <si>
    <t>SPECIALE LANTERNAGEM E PINTURA EXPRESS LTDA</t>
  </si>
  <si>
    <t>000000007677-FF-001</t>
  </si>
  <si>
    <t>000000007676-FF-001</t>
  </si>
  <si>
    <t>000000007675-FF-001</t>
  </si>
  <si>
    <t>000000007674-FF-001</t>
  </si>
  <si>
    <t>000000007673-FF-001</t>
  </si>
  <si>
    <t>000000007672-FF-001</t>
  </si>
  <si>
    <t>000000006849-FF-001</t>
  </si>
  <si>
    <t>000000006848-FF-001</t>
  </si>
  <si>
    <t>000000006847-FF-001</t>
  </si>
  <si>
    <t>000000006846-FF-001</t>
  </si>
  <si>
    <t>000000006845-FF-001</t>
  </si>
  <si>
    <t>000000006844-FF-001</t>
  </si>
  <si>
    <t>000000006843-FF-001</t>
  </si>
  <si>
    <t>000000006086-IF-001</t>
  </si>
  <si>
    <t>000000006085-IF-001</t>
  </si>
  <si>
    <t>VALDIR</t>
  </si>
  <si>
    <t>000000006084-IF-001</t>
  </si>
  <si>
    <t>000000006083-IF-001</t>
  </si>
  <si>
    <t>000000006082-IF-001</t>
  </si>
  <si>
    <t>FRANCINALDO LEAL</t>
  </si>
  <si>
    <t>000000006081-IF-001</t>
  </si>
  <si>
    <t>000000006080-IF-001</t>
  </si>
  <si>
    <t>12.043.861/0001-36</t>
  </si>
  <si>
    <t>AMERICO SOUSA FIRMO</t>
  </si>
  <si>
    <t>000000006079-IF-001</t>
  </si>
  <si>
    <t>000000006078-IF-001</t>
  </si>
  <si>
    <t>000000006077-IF-001</t>
  </si>
  <si>
    <t>000000006076-IF-001</t>
  </si>
  <si>
    <t>000000006075-IF-001</t>
  </si>
  <si>
    <t>000000006074-IF-001</t>
  </si>
  <si>
    <t>000000006073-IF-001</t>
  </si>
  <si>
    <t>000000006072-IF-001</t>
  </si>
  <si>
    <t>000000006071-IF-001</t>
  </si>
  <si>
    <t>000000006070-IF-001</t>
  </si>
  <si>
    <t>000000006069-IF-001</t>
  </si>
  <si>
    <t>000000006068-IF-001</t>
  </si>
  <si>
    <t>000000006067-IF-001</t>
  </si>
  <si>
    <t>000000006066-IF-001</t>
  </si>
  <si>
    <t>866.516.681-53</t>
  </si>
  <si>
    <t>ANTONIO CARLOS PINTO</t>
  </si>
  <si>
    <t>000000006065-IF-001</t>
  </si>
  <si>
    <t>000000006064-IF-001</t>
  </si>
  <si>
    <t>023.251.451-82</t>
  </si>
  <si>
    <t>TIAGO COLORISTA</t>
  </si>
  <si>
    <t>000000006063-IF-001</t>
  </si>
  <si>
    <t>000000006062-IF-001</t>
  </si>
  <si>
    <t>000000006061-IF-001</t>
  </si>
  <si>
    <t>JK SOLUCOES</t>
  </si>
  <si>
    <t>000000006060-IF-001</t>
  </si>
  <si>
    <t>000000006059-IF-001</t>
  </si>
  <si>
    <t>000000006058-IF-001</t>
  </si>
  <si>
    <t>000000006057-IF-001</t>
  </si>
  <si>
    <t>000000006056-IF-001</t>
  </si>
  <si>
    <t>000000006055-IF-001</t>
  </si>
  <si>
    <t>000000006054-IF-001</t>
  </si>
  <si>
    <t>000000006053-IF-001</t>
  </si>
  <si>
    <t>000000006052-IF-001</t>
  </si>
  <si>
    <t>000000006051-IF-001</t>
  </si>
  <si>
    <t>41.859.407/0001-56</t>
  </si>
  <si>
    <t>D SUL VISTORIAS LTDA</t>
  </si>
  <si>
    <t>000000003699-NF-001</t>
  </si>
  <si>
    <t>000000003698-NF-001</t>
  </si>
  <si>
    <t>000000003697-NF-001</t>
  </si>
  <si>
    <t>000000003696-NF-001</t>
  </si>
  <si>
    <t>38.072.872/0004-80</t>
  </si>
  <si>
    <t>BRASAL COMERCIO DE AUTOMOVEIS E  SERVIÇOS LTDA.</t>
  </si>
  <si>
    <t>000000003695-NF-001</t>
  </si>
  <si>
    <t>000000003694-NF-001</t>
  </si>
  <si>
    <t>000000003693-NF-001</t>
  </si>
  <si>
    <t>04.741.042/0001-34</t>
  </si>
  <si>
    <t>FASHION COMUNICACAO VISUAL</t>
  </si>
  <si>
    <t>000000003692-NF-001</t>
  </si>
  <si>
    <t>000000003150-NF-001</t>
  </si>
  <si>
    <t>000000000796-FF-001</t>
  </si>
  <si>
    <t>000000000795-FF-001</t>
  </si>
  <si>
    <t>000000000794-FF-001</t>
  </si>
  <si>
    <t>000000000793-FF-001</t>
  </si>
  <si>
    <t>000000000792-FF-001</t>
  </si>
  <si>
    <t>000000000791-FF-001</t>
  </si>
  <si>
    <t>000000000790-FF-001</t>
  </si>
  <si>
    <t>000000000789-FF-001</t>
  </si>
  <si>
    <t>000000000788-FF-001</t>
  </si>
  <si>
    <t>000000000743-NF-001</t>
  </si>
  <si>
    <t>000000000742-NF-001</t>
  </si>
  <si>
    <t>(03)028.056.084</t>
  </si>
  <si>
    <t>000000000741-NF-001</t>
  </si>
  <si>
    <t>000000000740-NF-001</t>
  </si>
  <si>
    <t>000000000739-NF-001</t>
  </si>
  <si>
    <t>000000000737-NF-001</t>
  </si>
  <si>
    <t>000000000736-NF-001</t>
  </si>
  <si>
    <t>000000000735-NF-001</t>
  </si>
  <si>
    <t>000000000734-NF-001</t>
  </si>
  <si>
    <t>000000000110-DV-001</t>
  </si>
  <si>
    <t>000000613142-FF-1</t>
  </si>
  <si>
    <t>000000409899-FF-1</t>
  </si>
  <si>
    <t>000000055189-IF-1</t>
  </si>
  <si>
    <t>000000055188-IF-1</t>
  </si>
  <si>
    <t>000000055187-IF-1</t>
  </si>
  <si>
    <t>000000055186-IF-1</t>
  </si>
  <si>
    <t>000000055185-IF-1</t>
  </si>
  <si>
    <t>000000055184-IF-1</t>
  </si>
  <si>
    <t>000000055183-IF-1</t>
  </si>
  <si>
    <t>000000055182-IF-1</t>
  </si>
  <si>
    <t>000000055181-IF-1</t>
  </si>
  <si>
    <t>000000055180-IF-1</t>
  </si>
  <si>
    <t>371.924.931-04</t>
  </si>
  <si>
    <t>ALICE MARIA DOS SANTOS SOUZA MIRANDA</t>
  </si>
  <si>
    <t>000000055179-IF-1</t>
  </si>
  <si>
    <t>000000055178-IF-1</t>
  </si>
  <si>
    <t>000000055177-IF-1</t>
  </si>
  <si>
    <t>000000042721-IF-001</t>
  </si>
  <si>
    <t>000000042720-IF-001</t>
  </si>
  <si>
    <t>000000042719-IF-001</t>
  </si>
  <si>
    <t>000000042718-IF-001</t>
  </si>
  <si>
    <t>000000042717-IF-001</t>
  </si>
  <si>
    <t>000000042716-IF-001</t>
  </si>
  <si>
    <t>000000042715-IF-001</t>
  </si>
  <si>
    <t>000000042714-IF-001</t>
  </si>
  <si>
    <t>000000042713-IF-001</t>
  </si>
  <si>
    <t>000000042712-IF-001</t>
  </si>
  <si>
    <t>000000042711-IF-001</t>
  </si>
  <si>
    <t>000000042710-IF-001</t>
  </si>
  <si>
    <t>24.299.900/0001-40</t>
  </si>
  <si>
    <t>LEONARDO ESTEVAM RODRIGUES DA SILVA 82704120153</t>
  </si>
  <si>
    <t>000000042709-IF-001</t>
  </si>
  <si>
    <t>000000042708-IF-001</t>
  </si>
  <si>
    <t>000000042707-IF-001</t>
  </si>
  <si>
    <t>000000042706-IF-001</t>
  </si>
  <si>
    <t>000000042705-IF-001</t>
  </si>
  <si>
    <t>000000042704-IF-001</t>
  </si>
  <si>
    <t>000000042703-IF-001</t>
  </si>
  <si>
    <t>33.053.813/0001-07</t>
  </si>
  <si>
    <t>BIRINHA MOTOS PINTURAS</t>
  </si>
  <si>
    <t>000000042702-IF-001</t>
  </si>
  <si>
    <t>000000042701-IF-001</t>
  </si>
  <si>
    <t>000000042700-IF-001</t>
  </si>
  <si>
    <t>000000042699-IF-001</t>
  </si>
  <si>
    <t>000000042698-IF-001</t>
  </si>
  <si>
    <t>000000042697-IF-001</t>
  </si>
  <si>
    <t>000000042696-IF-001</t>
  </si>
  <si>
    <t>000000042695-IF-001</t>
  </si>
  <si>
    <t>000000042694-IF-001</t>
  </si>
  <si>
    <t>000000042693-IF-001</t>
  </si>
  <si>
    <t>000000031712-NF-1</t>
  </si>
  <si>
    <t>000000031711-NF-1</t>
  </si>
  <si>
    <t>000000031710-NF-1</t>
  </si>
  <si>
    <t>000000031709-NF-1</t>
  </si>
  <si>
    <t>000000031708-NF-1</t>
  </si>
  <si>
    <t>000000031707-NF-1</t>
  </si>
  <si>
    <t>000000031706-NF-1</t>
  </si>
  <si>
    <t>000000031705-NF-1</t>
  </si>
  <si>
    <t>000000031704-NF-1</t>
  </si>
  <si>
    <t>BF</t>
  </si>
  <si>
    <t>000000028495-IF-001</t>
  </si>
  <si>
    <t>000000028494-IF-001</t>
  </si>
  <si>
    <t>000000028493-IF-001</t>
  </si>
  <si>
    <t>000000028492-IF-001</t>
  </si>
  <si>
    <t>000000028491-IF-001</t>
  </si>
  <si>
    <t>000000028490-IF-001</t>
  </si>
  <si>
    <t>000000028489-IF-001</t>
  </si>
  <si>
    <t>000000028488-IF-001</t>
  </si>
  <si>
    <t>000000028487-IF-001</t>
  </si>
  <si>
    <t>000000028486-IF-001</t>
  </si>
  <si>
    <t>TITO</t>
  </si>
  <si>
    <t>000000028485-IF-001</t>
  </si>
  <si>
    <t>000000028484-IF-001</t>
  </si>
  <si>
    <t>CIPO</t>
  </si>
  <si>
    <t>000000028483-IF-001</t>
  </si>
  <si>
    <t>000000028482-IF-001</t>
  </si>
  <si>
    <t>000000028481-IF-001</t>
  </si>
  <si>
    <t>000000028480-IF-001</t>
  </si>
  <si>
    <t>000000028479-IF-001</t>
  </si>
  <si>
    <t>060.582.724-91</t>
  </si>
  <si>
    <t>ANTONIO NABOR AREIAS BULHOES</t>
  </si>
  <si>
    <t>000000024677-NF-001</t>
  </si>
  <si>
    <t>14.684.304/0001-20</t>
  </si>
  <si>
    <t>BI COMERCIAL D EPECAS E SERVICOS LTDA</t>
  </si>
  <si>
    <t>000000024676-NF-001</t>
  </si>
  <si>
    <t>000000024675-NF-001</t>
  </si>
  <si>
    <t>000000024674-NF-001</t>
  </si>
  <si>
    <t>000000024673-NF-001</t>
  </si>
  <si>
    <t>49.885.108/0001-06</t>
  </si>
  <si>
    <t>SCHUSTER CONCEPT</t>
  </si>
  <si>
    <t>000000024672-NF-001</t>
  </si>
  <si>
    <t>000000024671-NF-001</t>
  </si>
  <si>
    <t>000000024670-NF-001</t>
  </si>
  <si>
    <t>000000024669-NF-001</t>
  </si>
  <si>
    <t>000000024668-NF-001</t>
  </si>
  <si>
    <t>06.926.324/0001-31</t>
  </si>
  <si>
    <t>ADTEL TECNOLOGIA LTDA</t>
  </si>
  <si>
    <t>000000024667-NF-001</t>
  </si>
  <si>
    <t>000000021191-IF-001</t>
  </si>
  <si>
    <t>000000021190-IF-001</t>
  </si>
  <si>
    <t>000000021189-IF-001</t>
  </si>
  <si>
    <t>000000021188-IF-001</t>
  </si>
  <si>
    <t>000000021187-IF-001</t>
  </si>
  <si>
    <t>000000021186-IF-001</t>
  </si>
  <si>
    <t>000000021185-IF-001</t>
  </si>
  <si>
    <t>000000021184-IF-001</t>
  </si>
  <si>
    <t>000000021183-IF-001</t>
  </si>
  <si>
    <t>000000021182-IF-001</t>
  </si>
  <si>
    <t>000000021181-IF-001</t>
  </si>
  <si>
    <t>000000021180-IF-001</t>
  </si>
  <si>
    <t>000000021179-IF-001</t>
  </si>
  <si>
    <t>000000021178-IF-001</t>
  </si>
  <si>
    <t>000000021177-IF-001</t>
  </si>
  <si>
    <t>000000021176-IF-001</t>
  </si>
  <si>
    <t>000000021175-IF-001</t>
  </si>
  <si>
    <t>000000021174-IF-001</t>
  </si>
  <si>
    <t>000000019359-IF-1</t>
  </si>
  <si>
    <t>000000019358-IF-1</t>
  </si>
  <si>
    <t>000000019357-IF-1</t>
  </si>
  <si>
    <t>000000019356-IF-1</t>
  </si>
  <si>
    <t>000000019355-IF-1</t>
  </si>
  <si>
    <t>000000019354-IF-1</t>
  </si>
  <si>
    <t>000000019353-IF-1</t>
  </si>
  <si>
    <t>000000019352-IF-1</t>
  </si>
  <si>
    <t>000000019351-IF-1</t>
  </si>
  <si>
    <t>000000019350-IF-1</t>
  </si>
  <si>
    <t>220.953.901-30</t>
  </si>
  <si>
    <t>SEBASTIÃO MARDE</t>
  </si>
  <si>
    <t>000000019349-IF-1</t>
  </si>
  <si>
    <t>000000019348-IF-1</t>
  </si>
  <si>
    <t>ROSE</t>
  </si>
  <si>
    <t>000000019347-IF-1</t>
  </si>
  <si>
    <t>000000018915-NF-001</t>
  </si>
  <si>
    <t>000000018914-NF-001</t>
  </si>
  <si>
    <t>000000018913-NF-001</t>
  </si>
  <si>
    <t>000000018912-NF-001</t>
  </si>
  <si>
    <t>000000018911-NF-001</t>
  </si>
  <si>
    <t>000000018910-NF-001</t>
  </si>
  <si>
    <t>000000018909-NF-001</t>
  </si>
  <si>
    <t>000000018908-NF-001</t>
  </si>
  <si>
    <t>000000018907-NF-001</t>
  </si>
  <si>
    <t>000000018830-IF-001</t>
  </si>
  <si>
    <t>000000018829-IF-001</t>
  </si>
  <si>
    <t>000000018828-IF-001</t>
  </si>
  <si>
    <t>000000018827-IF-001</t>
  </si>
  <si>
    <t>000000018826-IF-001</t>
  </si>
  <si>
    <t>000000018825-IF-001</t>
  </si>
  <si>
    <t>000000018824-IF-001</t>
  </si>
  <si>
    <t>000000018823-IF-001</t>
  </si>
  <si>
    <t>000000018822-IF-001</t>
  </si>
  <si>
    <t>000000018821-IF-001</t>
  </si>
  <si>
    <t>000000018820-IF-001</t>
  </si>
  <si>
    <t>000000018819-IF-001</t>
  </si>
  <si>
    <t>000000018818-IF-001</t>
  </si>
  <si>
    <t>000000018817-IF-001</t>
  </si>
  <si>
    <t>000000018816-IF-001</t>
  </si>
  <si>
    <t>000000018815-IF-001</t>
  </si>
  <si>
    <t>000000018814-IF-001</t>
  </si>
  <si>
    <t>10.953.555/0001-01</t>
  </si>
  <si>
    <t>EXECUTIVA SERVIÇOS EMPRESARIAIS LTDA ME</t>
  </si>
  <si>
    <t>000000018813-IF-001</t>
  </si>
  <si>
    <t>000000018812-IF-001</t>
  </si>
  <si>
    <t>000000018811-IF-001</t>
  </si>
  <si>
    <t>000000018810-IF-001</t>
  </si>
  <si>
    <t>35.027.852/0001-57</t>
  </si>
  <si>
    <t>PIRES MARQUES CENTRO AUTOMOTIVO LTDA</t>
  </si>
  <si>
    <t>000000018809-IF-001</t>
  </si>
  <si>
    <t>000000018808-IF-001</t>
  </si>
  <si>
    <t>000000018807-IF-001</t>
  </si>
  <si>
    <t>000000018806-IF-001</t>
  </si>
  <si>
    <t>000000018805-IF-001</t>
  </si>
  <si>
    <t>000000018804-IF-001</t>
  </si>
  <si>
    <t>000000018803-IF-001</t>
  </si>
  <si>
    <t>000000018802-IF-001</t>
  </si>
  <si>
    <t>000000018801-IF-001</t>
  </si>
  <si>
    <t>000000018800-IF-001</t>
  </si>
  <si>
    <t>000000018799-IF-001</t>
  </si>
  <si>
    <t>000000018798-IF-001</t>
  </si>
  <si>
    <t>000000018797-IF-001</t>
  </si>
  <si>
    <t>000000018796-IF-001</t>
  </si>
  <si>
    <t>000000018795-IF-001</t>
  </si>
  <si>
    <t>000000017914-IF-001</t>
  </si>
  <si>
    <t>000000017913-IF-001</t>
  </si>
  <si>
    <t>000000017912-IF-001</t>
  </si>
  <si>
    <t>000000017911-IF-001</t>
  </si>
  <si>
    <t>000000017910-IF-001</t>
  </si>
  <si>
    <t>443.090.581-91</t>
  </si>
  <si>
    <t>WELLIGTON EDUARDO COSTA</t>
  </si>
  <si>
    <t>000000017909-IF-001</t>
  </si>
  <si>
    <t>000000017908-IF-001</t>
  </si>
  <si>
    <t>000000017907-IF-001</t>
  </si>
  <si>
    <t>000000017906-IF-001</t>
  </si>
  <si>
    <t>000000017905-IF-001</t>
  </si>
  <si>
    <t>000000016397-FF-001</t>
  </si>
  <si>
    <t>000000016396-FF-001</t>
  </si>
  <si>
    <t>000000016395-FF-001</t>
  </si>
  <si>
    <t>NIPPON</t>
  </si>
  <si>
    <t>000000016394-FF-001</t>
  </si>
  <si>
    <t>000000016393-FF-001</t>
  </si>
  <si>
    <t>000000016392-FF-001</t>
  </si>
  <si>
    <t>000000016391-FF-001</t>
  </si>
  <si>
    <t>079.806.251-70</t>
  </si>
  <si>
    <t>GUSTAVO FONSECA MENDES</t>
  </si>
  <si>
    <t>000000016390-FF-001</t>
  </si>
  <si>
    <t>000000016389-FF-001</t>
  </si>
  <si>
    <t>000000016388-FF-001</t>
  </si>
  <si>
    <t>000000016387-FF-001</t>
  </si>
  <si>
    <t>000000016386-FF-001</t>
  </si>
  <si>
    <t>000000014990-NF-1</t>
  </si>
  <si>
    <t>000000014989-NF-1</t>
  </si>
  <si>
    <t>000000014988-NF-1</t>
  </si>
  <si>
    <t>000000014986-NF-1</t>
  </si>
  <si>
    <t>000000014985-NF-1</t>
  </si>
  <si>
    <t>000000014984-NF-1</t>
  </si>
  <si>
    <t>000000014284-FF-001</t>
  </si>
  <si>
    <t>DUDU LAVA JATO</t>
  </si>
  <si>
    <t>TOLDOS IMPACTO</t>
  </si>
  <si>
    <t>000000014111-FF-001</t>
  </si>
  <si>
    <t>000000014110-FF-001</t>
  </si>
  <si>
    <t>000000014109-FF-001</t>
  </si>
  <si>
    <t>000000014108-FF-001</t>
  </si>
  <si>
    <t>000000014107-FF-001</t>
  </si>
  <si>
    <t>000000014106-FF-001</t>
  </si>
  <si>
    <t>000000014105-FF-001</t>
  </si>
  <si>
    <t>000000014104-FF-001</t>
  </si>
  <si>
    <t>000000014103-FF-001</t>
  </si>
  <si>
    <t>000000014102-FF-001</t>
  </si>
  <si>
    <t>000000014101-FF-001</t>
  </si>
  <si>
    <t>000000009212-NF-001</t>
  </si>
  <si>
    <t>000000009211-NF-001</t>
  </si>
  <si>
    <t>000000009210-NF-001</t>
  </si>
  <si>
    <t>000000009209-NF-001</t>
  </si>
  <si>
    <t>000000009208-NF-001</t>
  </si>
  <si>
    <t>000000009207-NF-001</t>
  </si>
  <si>
    <t>000000009206-NF-001</t>
  </si>
  <si>
    <t>584.577.551-53</t>
  </si>
  <si>
    <t>ANTONIA FRANCISCA GOMES DA SILVA</t>
  </si>
  <si>
    <t>000000009205-NF-001</t>
  </si>
  <si>
    <t>000000009204-NF-001</t>
  </si>
  <si>
    <t>000000009203-NF-001</t>
  </si>
  <si>
    <t>000000009202-NF-001</t>
  </si>
  <si>
    <t>000000009201-NF-001</t>
  </si>
  <si>
    <t>000000007671-FF-001</t>
  </si>
  <si>
    <t>000000007670-FF-001</t>
  </si>
  <si>
    <t>000000007669-FF-001</t>
  </si>
  <si>
    <t>000000007668-FF-001</t>
  </si>
  <si>
    <t>000000007667-FF-001</t>
  </si>
  <si>
    <t>000000007666-FF-001</t>
  </si>
  <si>
    <t>000000007665-FF-001</t>
  </si>
  <si>
    <t>000000006842-FF-001</t>
  </si>
  <si>
    <t>000000006841-FF-001</t>
  </si>
  <si>
    <t>000000006840-FF-001</t>
  </si>
  <si>
    <t>000000006839-FF-001</t>
  </si>
  <si>
    <t>000000006838-FF-001</t>
  </si>
  <si>
    <t>000000006050-IF-001</t>
  </si>
  <si>
    <t>000000006049-IF-001</t>
  </si>
  <si>
    <t>000000006048-IF-001</t>
  </si>
  <si>
    <t>000000006047-IF-001</t>
  </si>
  <si>
    <t>000000006046-IF-001</t>
  </si>
  <si>
    <t>000000006045-IF-001</t>
  </si>
  <si>
    <t>000000006044-IF-001</t>
  </si>
  <si>
    <t>000000006043-IF-001</t>
  </si>
  <si>
    <t>000000006042-IF-001</t>
  </si>
  <si>
    <t>000000006041-IF-001</t>
  </si>
  <si>
    <t>LUIZ SERGIO</t>
  </si>
  <si>
    <t>000000006040-IF-001</t>
  </si>
  <si>
    <t>IRLANE DELFINO</t>
  </si>
  <si>
    <t>000000006039-IF-001</t>
  </si>
  <si>
    <t>000000006038-IF-001</t>
  </si>
  <si>
    <t>000000006036-IF-001</t>
  </si>
  <si>
    <t>000000006035-IF-001</t>
  </si>
  <si>
    <t>000000006034-IF-001</t>
  </si>
  <si>
    <t>000000006033-IF-001</t>
  </si>
  <si>
    <t>000000006032-IF-001</t>
  </si>
  <si>
    <t>000000006031-IF-001</t>
  </si>
  <si>
    <t>000000006030-IF-001</t>
  </si>
  <si>
    <t>000000006029-IF-001</t>
  </si>
  <si>
    <t>000000006028-IF-001</t>
  </si>
  <si>
    <t>000000006027-IF-001</t>
  </si>
  <si>
    <t>000000006026-IF-001</t>
  </si>
  <si>
    <t>000000006025-IF-001</t>
  </si>
  <si>
    <t>000000006024-IF-001</t>
  </si>
  <si>
    <t>000000006023-IF-001</t>
  </si>
  <si>
    <t>000000006022-IF-001</t>
  </si>
  <si>
    <t>000000006021-IF-001</t>
  </si>
  <si>
    <t>000000006020-IF-001</t>
  </si>
  <si>
    <t>000000006019-IF-001</t>
  </si>
  <si>
    <t>051.747.001-26</t>
  </si>
  <si>
    <t>FLAVIO SOUZA ARAUJO</t>
  </si>
  <si>
    <t>000000006018-IF-001</t>
  </si>
  <si>
    <t>000000006017-IF-001</t>
  </si>
  <si>
    <t>000000006016-IF-001</t>
  </si>
  <si>
    <t>000000006015-IF-001</t>
  </si>
  <si>
    <t>000000006014-IF-001</t>
  </si>
  <si>
    <t>000000006013-IF-001</t>
  </si>
  <si>
    <t>000000006012-IF-001</t>
  </si>
  <si>
    <t>000000003691-NF-001</t>
  </si>
  <si>
    <t>000000003690-NF-001</t>
  </si>
  <si>
    <t>000000003689-NF-001</t>
  </si>
  <si>
    <t>000000003149-NF-001</t>
  </si>
  <si>
    <t>000000001535-NF-001</t>
  </si>
  <si>
    <t>000000000787-FF-001</t>
  </si>
  <si>
    <t>000000000786-FF-001</t>
  </si>
  <si>
    <t>000000000785-FF-001</t>
  </si>
  <si>
    <t>000000000784-FF-001</t>
  </si>
  <si>
    <t>000000000783-FF-001</t>
  </si>
  <si>
    <t>000000000782-FF-001</t>
  </si>
  <si>
    <t>000000000733-NF-001</t>
  </si>
  <si>
    <t>000000000732-NF-001</t>
  </si>
  <si>
    <t>78.569.688/0010-03</t>
  </si>
  <si>
    <t>ANHAMBI  ALIMENTOS LTDA</t>
  </si>
  <si>
    <t>000000000731-NF-001</t>
  </si>
  <si>
    <t>000000000730-NF-001</t>
  </si>
  <si>
    <t>000000000729-NF-001</t>
  </si>
  <si>
    <t>000000000727-NF-001</t>
  </si>
  <si>
    <t>000000000726-NF-001</t>
  </si>
  <si>
    <t>000000000109-DV-001</t>
  </si>
  <si>
    <t>000000000108-DV-001</t>
  </si>
  <si>
    <t>000000613141-FF-1</t>
  </si>
  <si>
    <t>LEILA</t>
  </si>
  <si>
    <t>000000409898-FF-1</t>
  </si>
  <si>
    <t>706.004.171-07</t>
  </si>
  <si>
    <t>PAMELLA GONÇALVES ROSA</t>
  </si>
  <si>
    <t>000000400195-DV-1</t>
  </si>
  <si>
    <t>000000055176-IF-1</t>
  </si>
  <si>
    <t>000000055175-IF-1</t>
  </si>
  <si>
    <t>000000055174-IF-1</t>
  </si>
  <si>
    <t>000000055173-IF-1</t>
  </si>
  <si>
    <t>000000055172-IF-1</t>
  </si>
  <si>
    <t>000000055171-IF-1</t>
  </si>
  <si>
    <t>000000055170-IF-1</t>
  </si>
  <si>
    <t>000000055169-IF-1</t>
  </si>
  <si>
    <t>000000042692-IF-001</t>
  </si>
  <si>
    <t>LEO</t>
  </si>
  <si>
    <t>000000042691-IF-001</t>
  </si>
  <si>
    <t>000000042690-IF-001</t>
  </si>
  <si>
    <t>000000042689-IF-001</t>
  </si>
  <si>
    <t>000000042688-IF-001</t>
  </si>
  <si>
    <t>000000042687-IF-001</t>
  </si>
  <si>
    <t>000000042686-IF-001</t>
  </si>
  <si>
    <t>000000042685-IF-001</t>
  </si>
  <si>
    <t>28.318.193/0002-23</t>
  </si>
  <si>
    <t>000000042684-IF-001</t>
  </si>
  <si>
    <t>000000042683-IF-001</t>
  </si>
  <si>
    <t>000000042682-IF-001</t>
  </si>
  <si>
    <t>000000042681-IF-001</t>
  </si>
  <si>
    <t>000000042680-IF-001</t>
  </si>
  <si>
    <t>000000042679-IF-001</t>
  </si>
  <si>
    <t>000000042678-IF-001</t>
  </si>
  <si>
    <t>000000042677-IF-001</t>
  </si>
  <si>
    <t>000000042676-IF-001</t>
  </si>
  <si>
    <t>000000042675-IF-001</t>
  </si>
  <si>
    <t>000000042674-IF-001</t>
  </si>
  <si>
    <t>000000042673-IF-001</t>
  </si>
  <si>
    <t>000000042672-IF-001</t>
  </si>
  <si>
    <t>000000042671-IF-001</t>
  </si>
  <si>
    <t>000000042670-IF-001</t>
  </si>
  <si>
    <t>000000042669-IF-001</t>
  </si>
  <si>
    <t>000000031703-NF-1</t>
  </si>
  <si>
    <t>000000031702-NF-1</t>
  </si>
  <si>
    <t>000000031701-NF-1</t>
  </si>
  <si>
    <t>000000031700-NF-1</t>
  </si>
  <si>
    <t>000000031699-NF-1</t>
  </si>
  <si>
    <t>000000031698-NF-1</t>
  </si>
  <si>
    <t>46.697.721/0001-01</t>
  </si>
  <si>
    <t>CONSTRUTORA CONSTRUTEC LTDA</t>
  </si>
  <si>
    <t>000000031696-NF-1</t>
  </si>
  <si>
    <t>000000031695-NF-1</t>
  </si>
  <si>
    <t>35.704.847/0001-31</t>
  </si>
  <si>
    <t>600.412.426-53</t>
  </si>
  <si>
    <t>PAULO SERGIO CUNHA</t>
  </si>
  <si>
    <t>000000028478-IF-001</t>
  </si>
  <si>
    <t>000000028477-IF-001</t>
  </si>
  <si>
    <t>000000028476-IF-001</t>
  </si>
  <si>
    <t>14.497.496/0001-65</t>
  </si>
  <si>
    <t>ASTROCAR CENTRO AUTOMOTIVO LTDA</t>
  </si>
  <si>
    <t>000000028475-IF-001</t>
  </si>
  <si>
    <t>000000028474-IF-001</t>
  </si>
  <si>
    <t>000000028473-IF-001</t>
  </si>
  <si>
    <t>000000028472-IF-001</t>
  </si>
  <si>
    <t>000000028471-IF-001</t>
  </si>
  <si>
    <t>000000028470-IF-001</t>
  </si>
  <si>
    <t>000000028469-IF-001</t>
  </si>
  <si>
    <t>000000028468-IF-001</t>
  </si>
  <si>
    <t>000000028467-IF-001</t>
  </si>
  <si>
    <t>ISAU</t>
  </si>
  <si>
    <t>000000028466-IF-001</t>
  </si>
  <si>
    <t>PAULINHO</t>
  </si>
  <si>
    <t>000000028465-IF-001</t>
  </si>
  <si>
    <t>000000028464-IF-001</t>
  </si>
  <si>
    <t>000000028463-IF-001</t>
  </si>
  <si>
    <t>000000028462-IF-001</t>
  </si>
  <si>
    <t>000000028461-IF-001</t>
  </si>
  <si>
    <t>000000024666-NF-001</t>
  </si>
  <si>
    <t>40.526.912/0001-16</t>
  </si>
  <si>
    <t>S DESIGN LANTERNAGEM E PINTURA LTDA</t>
  </si>
  <si>
    <t>000000024665-NF-001</t>
  </si>
  <si>
    <t>000000024664-NF-001</t>
  </si>
  <si>
    <t>000000024663-NF-001</t>
  </si>
  <si>
    <t>000000024662-NF-001</t>
  </si>
  <si>
    <t>000000024661-NF-001</t>
  </si>
  <si>
    <t>000000024660-NF-001</t>
  </si>
  <si>
    <t>000000024659-NF-001</t>
  </si>
  <si>
    <t>000000024658-NF-001</t>
  </si>
  <si>
    <t>000000024657-NF-001</t>
  </si>
  <si>
    <t>24.682.956/0001-89</t>
  </si>
  <si>
    <t>MEP SERV DE ENGENHARIA</t>
  </si>
  <si>
    <t>000000024656-NF-001</t>
  </si>
  <si>
    <t>000000024655-NF-001</t>
  </si>
  <si>
    <t>055.979.363-44</t>
  </si>
  <si>
    <t>CRISLLANY DA SILVA</t>
  </si>
  <si>
    <t>000000024654-NF-001</t>
  </si>
  <si>
    <t>000000021173-IF-001</t>
  </si>
  <si>
    <t>JOZIEL</t>
  </si>
  <si>
    <t>000000021172-IF-001</t>
  </si>
  <si>
    <t>000000021171-IF-001</t>
  </si>
  <si>
    <t>000000021170-IF-001</t>
  </si>
  <si>
    <t>000000021169-IF-001</t>
  </si>
  <si>
    <t>COLA LIGHT</t>
  </si>
  <si>
    <t>000000021168-IF-001</t>
  </si>
  <si>
    <t>000000021167-IF-001</t>
  </si>
  <si>
    <t>000000021166-IF-001</t>
  </si>
  <si>
    <t>000000021165-IF-001</t>
  </si>
  <si>
    <t>000000021164-IF-001</t>
  </si>
  <si>
    <t>000000021163-IF-001</t>
  </si>
  <si>
    <t>000000021162-IF-001</t>
  </si>
  <si>
    <t>000000021161-IF-001</t>
  </si>
  <si>
    <t>000000021160-IF-001</t>
  </si>
  <si>
    <t>000000021159-IF-001</t>
  </si>
  <si>
    <t>000000021158-IF-001</t>
  </si>
  <si>
    <t>000000019346-IF-1</t>
  </si>
  <si>
    <t>000000019345-IF-1</t>
  </si>
  <si>
    <t>000000019344-IF-1</t>
  </si>
  <si>
    <t>000000019342-IF-1</t>
  </si>
  <si>
    <t>000000019341-IF-1</t>
  </si>
  <si>
    <t>JULIO</t>
  </si>
  <si>
    <t>000000019340-IF-1</t>
  </si>
  <si>
    <t>ECILEIDE</t>
  </si>
  <si>
    <t>000000019339-IF-1</t>
  </si>
  <si>
    <t>000000019338-IF-1</t>
  </si>
  <si>
    <t>000000018906-NF-001</t>
  </si>
  <si>
    <t>000000018905-NF-001</t>
  </si>
  <si>
    <t>(01)041</t>
  </si>
  <si>
    <t>000000018904-NF-001</t>
  </si>
  <si>
    <t>000000018903-NF-001</t>
  </si>
  <si>
    <t>000000018902-NF-001</t>
  </si>
  <si>
    <t>000000018901-NF-001</t>
  </si>
  <si>
    <t>000000018900-NF-001</t>
  </si>
  <si>
    <t>000000018899-NF-001</t>
  </si>
  <si>
    <t>000000018794-IF-001</t>
  </si>
  <si>
    <t>000000018793-IF-001</t>
  </si>
  <si>
    <t>000000018792-IF-001</t>
  </si>
  <si>
    <t>000000018791-IF-001</t>
  </si>
  <si>
    <t>000000018790-IF-001</t>
  </si>
  <si>
    <t>000000018789-IF-001</t>
  </si>
  <si>
    <t>000000018788-IF-001</t>
  </si>
  <si>
    <t>000000018787-IF-001</t>
  </si>
  <si>
    <t>000000018785-IF-001</t>
  </si>
  <si>
    <t>000000018784-IF-001</t>
  </si>
  <si>
    <t>000000018783-IF-001</t>
  </si>
  <si>
    <t>000000018782-IF-001</t>
  </si>
  <si>
    <t>000000018781-IF-001</t>
  </si>
  <si>
    <t>000000018780-IF-001</t>
  </si>
  <si>
    <t>000000018779-IF-001</t>
  </si>
  <si>
    <t>000000018778-IF-001</t>
  </si>
  <si>
    <t>000000018777-IF-001</t>
  </si>
  <si>
    <t>000000018776-IF-001</t>
  </si>
  <si>
    <t>000000018775-IF-001</t>
  </si>
  <si>
    <t>000000018774-IF-001</t>
  </si>
  <si>
    <t>000000017904-IF-001</t>
  </si>
  <si>
    <t>000000017903-IF-001</t>
  </si>
  <si>
    <t>000000017902-IF-001</t>
  </si>
  <si>
    <t>000000017901-IF-001</t>
  </si>
  <si>
    <t>000000017900-IF-001</t>
  </si>
  <si>
    <t>000000017899-IF-001</t>
  </si>
  <si>
    <t>000000017898-IF-001</t>
  </si>
  <si>
    <t>075.240.026-61</t>
  </si>
  <si>
    <t>JOAQUIM HENRIQUE PEREIRA DA SILVA</t>
  </si>
  <si>
    <t>000000017897-IF-001</t>
  </si>
  <si>
    <t>000000017896-IF-001</t>
  </si>
  <si>
    <t>000000017895-IF-001</t>
  </si>
  <si>
    <t>000000016385-FF-001</t>
  </si>
  <si>
    <t>000000016384-FF-001</t>
  </si>
  <si>
    <t>000000016383-FF-001</t>
  </si>
  <si>
    <t>000000016382-FF-001</t>
  </si>
  <si>
    <t>000000016381-FF-001</t>
  </si>
  <si>
    <t>000000016380-FF-001</t>
  </si>
  <si>
    <t>000000016379-FF-001</t>
  </si>
  <si>
    <t>000000016378-FF-001</t>
  </si>
  <si>
    <t>000000016377-FF-001</t>
  </si>
  <si>
    <t>000000016376-FF-001</t>
  </si>
  <si>
    <t>000000016375-FF-001</t>
  </si>
  <si>
    <t>000000016374-FF-001</t>
  </si>
  <si>
    <t>000000016373-FF-001</t>
  </si>
  <si>
    <t>000000016372-FF-001</t>
  </si>
  <si>
    <t>000000016371-FF-001</t>
  </si>
  <si>
    <t>000000016370-FF-001</t>
  </si>
  <si>
    <t>000000016369-FF-001</t>
  </si>
  <si>
    <t>000000014983-NF-1</t>
  </si>
  <si>
    <t>000000014982-NF-1</t>
  </si>
  <si>
    <t>000000014981-NF-1</t>
  </si>
  <si>
    <t>000000014980-NF-1</t>
  </si>
  <si>
    <t>AGNALDO LAVA JATO</t>
  </si>
  <si>
    <t>ASSISTEC ELETRICA</t>
  </si>
  <si>
    <t>000000014100-FF-001</t>
  </si>
  <si>
    <t>000000014099-FF-001</t>
  </si>
  <si>
    <t>000000014098-FF-001</t>
  </si>
  <si>
    <t>000000014097-FF-001</t>
  </si>
  <si>
    <t>000000014096-FF-001</t>
  </si>
  <si>
    <t>000000014095-FF-001</t>
  </si>
  <si>
    <t>000000014094-FF-001</t>
  </si>
  <si>
    <t>000000014093-FF-001</t>
  </si>
  <si>
    <t>000000014092-FF-001</t>
  </si>
  <si>
    <t>000000014091-FF-001</t>
  </si>
  <si>
    <t>000000014090-FF-001</t>
  </si>
  <si>
    <t>000000014089-FF-001</t>
  </si>
  <si>
    <t>000000014088-FF-001</t>
  </si>
  <si>
    <t>000000014087-FF-001</t>
  </si>
  <si>
    <t>000000009200-NF-001</t>
  </si>
  <si>
    <t>000000009199-NF-001</t>
  </si>
  <si>
    <t>000000009198-NF-001</t>
  </si>
  <si>
    <t>000000009197-NF-001</t>
  </si>
  <si>
    <t>000000007664-FF-001</t>
  </si>
  <si>
    <t>000000007663-FF-001</t>
  </si>
  <si>
    <t>000000007662-FF-001</t>
  </si>
  <si>
    <t>000000007661-FF-001</t>
  </si>
  <si>
    <t>000000007660-FF-001</t>
  </si>
  <si>
    <t>000000007659-FF-001</t>
  </si>
  <si>
    <t>000000007658-FF-001</t>
  </si>
  <si>
    <t>000000007657-FF-001</t>
  </si>
  <si>
    <t>000000007656-FF-001</t>
  </si>
  <si>
    <t>000000007655-FF-001</t>
  </si>
  <si>
    <t>000000007654-FF-001</t>
  </si>
  <si>
    <t>000000007653-FF-001</t>
  </si>
  <si>
    <t>000000006837-FF-001</t>
  </si>
  <si>
    <t>000000006836-FF-001</t>
  </si>
  <si>
    <t>000000006835-FF-001</t>
  </si>
  <si>
    <t>000000006834-FF-001</t>
  </si>
  <si>
    <t>000000006833-FF-001</t>
  </si>
  <si>
    <t>000000006011-IF-001</t>
  </si>
  <si>
    <t>000000006010-IF-001</t>
  </si>
  <si>
    <t>000000006009-IF-001</t>
  </si>
  <si>
    <t>000000006008-IF-001</t>
  </si>
  <si>
    <t>000000006007-IF-001</t>
  </si>
  <si>
    <t>000000006006-IF-001</t>
  </si>
  <si>
    <t>000000006005-IF-001</t>
  </si>
  <si>
    <t>000000006004-IF-001</t>
  </si>
  <si>
    <t>000000006003-IF-001</t>
  </si>
  <si>
    <t>000000006002-IF-001</t>
  </si>
  <si>
    <t>000000006001-IF-001</t>
  </si>
  <si>
    <t>000000006000-IF-001</t>
  </si>
  <si>
    <t>000000005999-IF-001</t>
  </si>
  <si>
    <t>000000005998-IF-001</t>
  </si>
  <si>
    <t>000000005997-IF-001</t>
  </si>
  <si>
    <t>MOACIR</t>
  </si>
  <si>
    <t>000000005996-IF-001</t>
  </si>
  <si>
    <t>000000005995-IF-001</t>
  </si>
  <si>
    <t>000000005994-IF-001</t>
  </si>
  <si>
    <t>000000005993-IF-001</t>
  </si>
  <si>
    <t>000000005992-IF-001</t>
  </si>
  <si>
    <t>000000005991-IF-001</t>
  </si>
  <si>
    <t>000000005990-IF-001</t>
  </si>
  <si>
    <t>000000005989-IF-001</t>
  </si>
  <si>
    <t>000000005988-IF-001</t>
  </si>
  <si>
    <t>000000005987-IF-001</t>
  </si>
  <si>
    <t>000000005986-IF-001</t>
  </si>
  <si>
    <t>000000005985-IF-001</t>
  </si>
  <si>
    <t>000000005984-IF-001</t>
  </si>
  <si>
    <t>ALEX OFICINA</t>
  </si>
  <si>
    <t>000000005983-IF-001</t>
  </si>
  <si>
    <t>000000005982-IF-001</t>
  </si>
  <si>
    <t>000000005981-IF-001</t>
  </si>
  <si>
    <t>000000005980-IF-001</t>
  </si>
  <si>
    <t>000000005979-IF-001</t>
  </si>
  <si>
    <t>000000005978-IF-001</t>
  </si>
  <si>
    <t>000000005977-IF-001</t>
  </si>
  <si>
    <t>000000005976-IF-001</t>
  </si>
  <si>
    <t>000000005975-IF-001</t>
  </si>
  <si>
    <t>000000005974-IF-001</t>
  </si>
  <si>
    <t>000000005973-IF-001</t>
  </si>
  <si>
    <t>000000005972-IF-001</t>
  </si>
  <si>
    <t>000000005971-IF-001</t>
  </si>
  <si>
    <t>000000005970-IF-001</t>
  </si>
  <si>
    <t>000000005969-IF-001</t>
  </si>
  <si>
    <t>000000003688-NF-001</t>
  </si>
  <si>
    <t>60.070.177/0001-96</t>
  </si>
  <si>
    <t>BLV COMERCIO E INSTALACOES LTDA</t>
  </si>
  <si>
    <t>000000003687-NF-001</t>
  </si>
  <si>
    <t>000000003686-NF-001</t>
  </si>
  <si>
    <t>000000003685-NF-001</t>
  </si>
  <si>
    <t>000000003148-NF-001</t>
  </si>
  <si>
    <t>000000001389-FF-001</t>
  </si>
  <si>
    <t>000000000781-FF-001</t>
  </si>
  <si>
    <t>000000000780-FF-001</t>
  </si>
  <si>
    <t>000000000779-FF-001</t>
  </si>
  <si>
    <t>000000000778-FF-001</t>
  </si>
  <si>
    <t>000000000777-FF-001</t>
  </si>
  <si>
    <t>000000000725-NF-001</t>
  </si>
  <si>
    <t>000000000724-NF-001</t>
  </si>
  <si>
    <t>000000000723-NF-001</t>
  </si>
  <si>
    <t>000000000722-NF-001</t>
  </si>
  <si>
    <t>000000000721-NF-001</t>
  </si>
  <si>
    <t>000000055168-IF-1</t>
  </si>
  <si>
    <t>(01)012</t>
  </si>
  <si>
    <t>000000055167-IF-1</t>
  </si>
  <si>
    <t>000000055166-IF-1</t>
  </si>
  <si>
    <t>000000055165-IF-1</t>
  </si>
  <si>
    <t>000000055164-IF-1</t>
  </si>
  <si>
    <t>LINDOMILSON ALENCAR LEAL</t>
  </si>
  <si>
    <t>000000055163-IF-1</t>
  </si>
  <si>
    <t>000000042668-IF-001</t>
  </si>
  <si>
    <t>000000042667-IF-001</t>
  </si>
  <si>
    <t>000000042666-IF-001</t>
  </si>
  <si>
    <t>000000042665-IF-001</t>
  </si>
  <si>
    <t>000000042664-IF-001</t>
  </si>
  <si>
    <t>000000031693-NF-1</t>
  </si>
  <si>
    <t>000000031692-NF-1</t>
  </si>
  <si>
    <t>000000028460-IF-001</t>
  </si>
  <si>
    <t>000000028459-IF-001</t>
  </si>
  <si>
    <t>000000028458-IF-001</t>
  </si>
  <si>
    <t>000000028457-IF-001</t>
  </si>
  <si>
    <t>000000028456-IF-001</t>
  </si>
  <si>
    <t>000000028455-IF-001</t>
  </si>
  <si>
    <t>000000028454-IF-001</t>
  </si>
  <si>
    <t>000000028453-IF-001</t>
  </si>
  <si>
    <t>000000028452-IF-001</t>
  </si>
  <si>
    <t>000000028451-IF-001</t>
  </si>
  <si>
    <t>290.960.858-17</t>
  </si>
  <si>
    <t>ROBER FRANZOTI</t>
  </si>
  <si>
    <t>000000024653-NF-001</t>
  </si>
  <si>
    <t>000000024652-NF-001</t>
  </si>
  <si>
    <t>000000021157-IF-001</t>
  </si>
  <si>
    <t>000000021156-IF-001</t>
  </si>
  <si>
    <t>000000021155-IF-001</t>
  </si>
  <si>
    <t>000000021154-IF-001</t>
  </si>
  <si>
    <t>000000021153-IF-001</t>
  </si>
  <si>
    <t>000000021152-IF-001</t>
  </si>
  <si>
    <t>000000021151-IF-001</t>
  </si>
  <si>
    <t>000000021150-IF-001</t>
  </si>
  <si>
    <t>000000021149-IF-001</t>
  </si>
  <si>
    <t>000000021148-IF-001</t>
  </si>
  <si>
    <t>000000021147-IF-001</t>
  </si>
  <si>
    <t>000000021146-IF-001</t>
  </si>
  <si>
    <t>000000021145-IF-001</t>
  </si>
  <si>
    <t>THINNER</t>
  </si>
  <si>
    <t>000000021144-IF-001</t>
  </si>
  <si>
    <t>000000021143-IF-001</t>
  </si>
  <si>
    <t>000000021142-IF-001</t>
  </si>
  <si>
    <t>000000021141-IF-001</t>
  </si>
  <si>
    <t>000000019337-IF-1</t>
  </si>
  <si>
    <t>000000019336-IF-1</t>
  </si>
  <si>
    <t>000000019335-IF-1</t>
  </si>
  <si>
    <t>000000019334-IF-1</t>
  </si>
  <si>
    <t>000000019333-IF-1</t>
  </si>
  <si>
    <t>000000019332-IF-1</t>
  </si>
  <si>
    <t>000000019331-IF-1</t>
  </si>
  <si>
    <t>000000019330-IF-1</t>
  </si>
  <si>
    <t>324.592.461-53</t>
  </si>
  <si>
    <t>000000019329-IF-1</t>
  </si>
  <si>
    <t>000000019328-IF-1</t>
  </si>
  <si>
    <t>000000019327-IF-1</t>
  </si>
  <si>
    <t>072.126.491-39</t>
  </si>
  <si>
    <t>000000019326-IF-1</t>
  </si>
  <si>
    <t>000000018898-NF-001</t>
  </si>
  <si>
    <t>000000018773-IF-001</t>
  </si>
  <si>
    <t>000000018772-IF-001</t>
  </si>
  <si>
    <t>000000018771-IF-001</t>
  </si>
  <si>
    <t>000000018770-IF-001</t>
  </si>
  <si>
    <t>000000018769-IF-001</t>
  </si>
  <si>
    <t>000000018768-IF-001</t>
  </si>
  <si>
    <t>000000018767-IF-001</t>
  </si>
  <si>
    <t>000000018766-IF-001</t>
  </si>
  <si>
    <t>000000018765-IF-001</t>
  </si>
  <si>
    <t>000000018764-IF-001</t>
  </si>
  <si>
    <t>000000018763-IF-001</t>
  </si>
  <si>
    <t>000000018762-IF-001</t>
  </si>
  <si>
    <t>000000018761-IF-001</t>
  </si>
  <si>
    <t>000000017894-IF-001</t>
  </si>
  <si>
    <t>000000016368-FF-001</t>
  </si>
  <si>
    <t>000000016367-FF-001</t>
  </si>
  <si>
    <t>000000016366-FF-001</t>
  </si>
  <si>
    <t>000000016365-FF-001</t>
  </si>
  <si>
    <t>000000016364-FF-001</t>
  </si>
  <si>
    <t>000000016363-FF-001</t>
  </si>
  <si>
    <t>000000016362-FF-001</t>
  </si>
  <si>
    <t>000000014979-NF-1</t>
  </si>
  <si>
    <t>698.889.571-04</t>
  </si>
  <si>
    <t>COSMO LINS DOS SANTOS</t>
  </si>
  <si>
    <t>000000014978-NF-1</t>
  </si>
  <si>
    <t>000000009196-NF-001</t>
  </si>
  <si>
    <t>000000006832-FF-001</t>
  </si>
  <si>
    <t>000000005968-IF-001</t>
  </si>
  <si>
    <t>000000005967-IF-001</t>
  </si>
  <si>
    <t>000000005966-IF-001</t>
  </si>
  <si>
    <t>000000005965-IF-001</t>
  </si>
  <si>
    <t>000000005964-IF-001</t>
  </si>
  <si>
    <t>000000005963-IF-001</t>
  </si>
  <si>
    <t>586.598.541-87</t>
  </si>
  <si>
    <t>SILVIA MARA RODRIGUES</t>
  </si>
  <si>
    <t>000000005962-IF-001</t>
  </si>
  <si>
    <t>JAMAICA</t>
  </si>
  <si>
    <t>000000005961-IF-001</t>
  </si>
  <si>
    <t>000000005960-IF-001</t>
  </si>
  <si>
    <t>000000005959-IF-001</t>
  </si>
  <si>
    <t>000000005958-IF-001</t>
  </si>
  <si>
    <t>000000005957-IF-001</t>
  </si>
  <si>
    <t>000000005956-IF-001</t>
  </si>
  <si>
    <t>000000005955-IF-001</t>
  </si>
  <si>
    <t>000000005954-IF-001</t>
  </si>
  <si>
    <t>000000005953-IF-001</t>
  </si>
  <si>
    <t>000000005952-IF-001</t>
  </si>
  <si>
    <t>000000005951-IF-001</t>
  </si>
  <si>
    <t>000000005950-IF-001</t>
  </si>
  <si>
    <t>000000005949-IF-001</t>
  </si>
  <si>
    <t>000000005948-IF-001</t>
  </si>
  <si>
    <t>000000005947-IF-001</t>
  </si>
  <si>
    <t>29.525.970/0002-73</t>
  </si>
  <si>
    <t>BRASAL VEICULOS LTDA.</t>
  </si>
  <si>
    <t>000000003684-NF-001</t>
  </si>
  <si>
    <t>000000003683-NF-001</t>
  </si>
  <si>
    <t>000000003682-NF-001</t>
  </si>
  <si>
    <t>000000001388-FF-001</t>
  </si>
  <si>
    <t>000000000107-DV-001</t>
  </si>
  <si>
    <t>000000000106-DV-001</t>
  </si>
  <si>
    <t>000000613140-FF-1</t>
  </si>
  <si>
    <t>000000613139-FF-1</t>
  </si>
  <si>
    <t>000000613138-FF-1</t>
  </si>
  <si>
    <t>000000409897-FF-1</t>
  </si>
  <si>
    <t>000000055162-IF-1</t>
  </si>
  <si>
    <t>ISAQUEU</t>
  </si>
  <si>
    <t>000000055161-IF-1</t>
  </si>
  <si>
    <t>000000055160-IF-1</t>
  </si>
  <si>
    <t>000000055159-IF-1</t>
  </si>
  <si>
    <t>000000055158-IF-1</t>
  </si>
  <si>
    <t>000000055157-IF-1</t>
  </si>
  <si>
    <t>000000055156-IF-1</t>
  </si>
  <si>
    <t>000000055155-IF-1</t>
  </si>
  <si>
    <t>000000055154-IF-1</t>
  </si>
  <si>
    <t>000000055153-IF-1</t>
  </si>
  <si>
    <t>000000042663-IF-001</t>
  </si>
  <si>
    <t>000000042662-IF-001</t>
  </si>
  <si>
    <t>000000042661-IF-001</t>
  </si>
  <si>
    <t>000000042660-IF-001</t>
  </si>
  <si>
    <t>JEREMIAS</t>
  </si>
  <si>
    <t>000000042659-IF-001</t>
  </si>
  <si>
    <t>CLEUSON</t>
  </si>
  <si>
    <t>000000042658-IF-001</t>
  </si>
  <si>
    <t>000000042657-IF-001</t>
  </si>
  <si>
    <t>000000042656-IF-001</t>
  </si>
  <si>
    <t>BILE</t>
  </si>
  <si>
    <t>000000042655-IF-001</t>
  </si>
  <si>
    <t>000000042654-IF-001</t>
  </si>
  <si>
    <t>000000042653-IF-001</t>
  </si>
  <si>
    <t>000000042652-IF-001</t>
  </si>
  <si>
    <t>000000042651-IF-001</t>
  </si>
  <si>
    <t>000000042650-IF-001</t>
  </si>
  <si>
    <t>000000042649-IF-001</t>
  </si>
  <si>
    <t>000000042648-IF-001</t>
  </si>
  <si>
    <t>000000042647-IF-001</t>
  </si>
  <si>
    <t>000000042646-IF-001</t>
  </si>
  <si>
    <t>000000042645-IF-001</t>
  </si>
  <si>
    <t>000000042644-IF-001</t>
  </si>
  <si>
    <t>000000042643-IF-001</t>
  </si>
  <si>
    <t>000000042642-IF-001</t>
  </si>
  <si>
    <t>000000042641-IF-001</t>
  </si>
  <si>
    <t>000000042640-IF-001</t>
  </si>
  <si>
    <t>000000042639-IF-001</t>
  </si>
  <si>
    <t>000000042638-IF-001</t>
  </si>
  <si>
    <t>000000042637-IF-001</t>
  </si>
  <si>
    <t>000000031691-NF-1</t>
  </si>
  <si>
    <t>000000031690-NF-1</t>
  </si>
  <si>
    <t>000000031689-NF-1</t>
  </si>
  <si>
    <t>853.083.311-20</t>
  </si>
  <si>
    <t>CARLOS RODRIGUES DA SILVA</t>
  </si>
  <si>
    <t>000000031688-NF-1</t>
  </si>
  <si>
    <t>000000031687-NF-1</t>
  </si>
  <si>
    <t>716.466.121-91</t>
  </si>
  <si>
    <t>RAUL</t>
  </si>
  <si>
    <t>000000028450-IF-001</t>
  </si>
  <si>
    <t>000000028449-IF-001</t>
  </si>
  <si>
    <t>000000028448-IF-001</t>
  </si>
  <si>
    <t>000000028447-IF-001</t>
  </si>
  <si>
    <t>000000028446-IF-001</t>
  </si>
  <si>
    <t>647.772.431-68</t>
  </si>
  <si>
    <t>GAETANO JUNIOR</t>
  </si>
  <si>
    <t>000000028445-IF-001</t>
  </si>
  <si>
    <t>000000028444-IF-001</t>
  </si>
  <si>
    <t>000000028443-IF-001</t>
  </si>
  <si>
    <t>000000028442-IF-001</t>
  </si>
  <si>
    <t>000000028441-IF-001</t>
  </si>
  <si>
    <t>000000028440-IF-001</t>
  </si>
  <si>
    <t>000000028439-IF-001</t>
  </si>
  <si>
    <t>000000028438-IF-001</t>
  </si>
  <si>
    <t>000000028437-IF-001</t>
  </si>
  <si>
    <t>000000028436-IF-001</t>
  </si>
  <si>
    <t>000000028435-IF-001</t>
  </si>
  <si>
    <t>186.882.922-72</t>
  </si>
  <si>
    <t>ricardo azevedo</t>
  </si>
  <si>
    <t>000000028434-IF-001</t>
  </si>
  <si>
    <t>ALP</t>
  </si>
  <si>
    <t>000000028433-IF-001</t>
  </si>
  <si>
    <t>000000028432-IF-001</t>
  </si>
  <si>
    <t>000000028431-IF-001</t>
  </si>
  <si>
    <t>000000028430-IF-001</t>
  </si>
  <si>
    <t>000000028429-IF-001</t>
  </si>
  <si>
    <t>26.747.677/0001-81</t>
  </si>
  <si>
    <t>ESTERILIZAÇÃO LTDA EPP</t>
  </si>
  <si>
    <t>000000024651-NF-001</t>
  </si>
  <si>
    <t>038.900.201-19</t>
  </si>
  <si>
    <t>EVANDRO JOSE DA COSTA</t>
  </si>
  <si>
    <t>000000024650-NF-001</t>
  </si>
  <si>
    <t>05.025.378/0001-63</t>
  </si>
  <si>
    <t>RB CURSOS DE INGLES LTDA</t>
  </si>
  <si>
    <t>000000024649-NF-001</t>
  </si>
  <si>
    <t>000000024648-NF-001</t>
  </si>
  <si>
    <t>72.581.283/0001-13</t>
  </si>
  <si>
    <t>TECNICALL ENGENHARIA LTDA</t>
  </si>
  <si>
    <t>000000024647-NF-001</t>
  </si>
  <si>
    <t>53.322.937/0001-40</t>
  </si>
  <si>
    <t>AMPY SOLUCOES CORPORATIVAS LTDA</t>
  </si>
  <si>
    <t>000000024646-NF-001</t>
  </si>
  <si>
    <t>000000021140-IF-001</t>
  </si>
  <si>
    <t>000000021139-IF-001</t>
  </si>
  <si>
    <t>000000021138-IF-001</t>
  </si>
  <si>
    <t>000000021137-IF-001</t>
  </si>
  <si>
    <t>000000021136-IF-001</t>
  </si>
  <si>
    <t>000000021135-IF-001</t>
  </si>
  <si>
    <t>000000021134-IF-001</t>
  </si>
  <si>
    <t>000000021133-IF-001</t>
  </si>
  <si>
    <t>000000021132-IF-001</t>
  </si>
  <si>
    <t>DANIEL</t>
  </si>
  <si>
    <t>000000021131-IF-001</t>
  </si>
  <si>
    <t>000000021130-IF-001</t>
  </si>
  <si>
    <t>000000021129-IF-001</t>
  </si>
  <si>
    <t>000000021128-IF-001</t>
  </si>
  <si>
    <t>000000019325-IF-1</t>
  </si>
  <si>
    <t>000000019324-IF-1</t>
  </si>
  <si>
    <t>000000019323-IF-1</t>
  </si>
  <si>
    <t>000000019322-IF-1</t>
  </si>
  <si>
    <t>000000018897-NF-001</t>
  </si>
  <si>
    <t>000000018896-NF-001</t>
  </si>
  <si>
    <t>000000018895-NF-001</t>
  </si>
  <si>
    <t>000000018894-NF-001</t>
  </si>
  <si>
    <t>000000018760-IF-001</t>
  </si>
  <si>
    <t>000000018759-IF-001</t>
  </si>
  <si>
    <t>000000018758-IF-001</t>
  </si>
  <si>
    <t>000000018757-IF-001</t>
  </si>
  <si>
    <t>000000018756-IF-001</t>
  </si>
  <si>
    <t>000000018755-IF-001</t>
  </si>
  <si>
    <t>000000018754-IF-001</t>
  </si>
  <si>
    <t>000000018753-IF-001</t>
  </si>
  <si>
    <t>000000018752-IF-001</t>
  </si>
  <si>
    <t>000000018751-IF-001</t>
  </si>
  <si>
    <t>000000018750-IF-001</t>
  </si>
  <si>
    <t>000000018749-IF-001</t>
  </si>
  <si>
    <t>000000018748-IF-001</t>
  </si>
  <si>
    <t>000000018747-IF-001</t>
  </si>
  <si>
    <t>000000018746-IF-001</t>
  </si>
  <si>
    <t>000000018745-IF-001</t>
  </si>
  <si>
    <t>000000018744-IF-001</t>
  </si>
  <si>
    <t>000000018743-IF-001</t>
  </si>
  <si>
    <t>RENATO 99968-9583</t>
  </si>
  <si>
    <t>000000018742-IF-001</t>
  </si>
  <si>
    <t>000000018741-IF-001</t>
  </si>
  <si>
    <t>LUCAS APARENCIA ASA SUL</t>
  </si>
  <si>
    <t>000000018740-IF-001</t>
  </si>
  <si>
    <t>34.134.649/0001-17</t>
  </si>
  <si>
    <t>FENIX LAVA JATO LTDA</t>
  </si>
  <si>
    <t>000000018739-IF-001</t>
  </si>
  <si>
    <t>000000018738-IF-001</t>
  </si>
  <si>
    <t>000000018737-IF-001</t>
  </si>
  <si>
    <t>000000018736-IF-001</t>
  </si>
  <si>
    <t>000000018735-IF-001</t>
  </si>
  <si>
    <t>000000018734-IF-001</t>
  </si>
  <si>
    <t>000000017893-IF-001</t>
  </si>
  <si>
    <t>000000017892-IF-001</t>
  </si>
  <si>
    <t>000000017891-IF-001</t>
  </si>
  <si>
    <t>000000017890-IF-001</t>
  </si>
  <si>
    <t>000000017889-IF-001</t>
  </si>
  <si>
    <t>000000016361-FF-001</t>
  </si>
  <si>
    <t>OLICIO</t>
  </si>
  <si>
    <t>000000016360-FF-001</t>
  </si>
  <si>
    <t>000000016359-FF-001</t>
  </si>
  <si>
    <t>000000016358-FF-001</t>
  </si>
  <si>
    <t>004.154.861-22</t>
  </si>
  <si>
    <t>WELINGTON SIMO</t>
  </si>
  <si>
    <t>000000016357-FF-001</t>
  </si>
  <si>
    <t>000000016356-FF-001</t>
  </si>
  <si>
    <t>808.264.741-87</t>
  </si>
  <si>
    <t>EVERTON PIMENTEL</t>
  </si>
  <si>
    <t>000000016355-FF-001</t>
  </si>
  <si>
    <t>044.508.376-06</t>
  </si>
  <si>
    <t>OTAVIO CESAR</t>
  </si>
  <si>
    <t>000000016354-FF-001</t>
  </si>
  <si>
    <t>000000016353-FF-001</t>
  </si>
  <si>
    <t>BASTO</t>
  </si>
  <si>
    <t>000000016352-FF-001</t>
  </si>
  <si>
    <t>000000016351-FF-001</t>
  </si>
  <si>
    <t>000000016350-FF-001</t>
  </si>
  <si>
    <t>000000016349-FF-001</t>
  </si>
  <si>
    <t>000000016348-FF-001</t>
  </si>
  <si>
    <t>000000016347-FF-001</t>
  </si>
  <si>
    <t>IVO</t>
  </si>
  <si>
    <t>000000016346-FF-001</t>
  </si>
  <si>
    <t>000000016345-FF-001</t>
  </si>
  <si>
    <t>000000016344-FF-001</t>
  </si>
  <si>
    <t>000000016343-FF-001</t>
  </si>
  <si>
    <t>000000016342-FF-001</t>
  </si>
  <si>
    <t>000000016341-FF-001</t>
  </si>
  <si>
    <t>LUCAS (DAUTO PEÇAS)</t>
  </si>
  <si>
    <t>099.088.236-55</t>
  </si>
  <si>
    <t>ANDRE LAVA JATO</t>
  </si>
  <si>
    <t>000000014086-FF-001</t>
  </si>
  <si>
    <t>000000014085-FF-001</t>
  </si>
  <si>
    <t>000000014084-FF-001</t>
  </si>
  <si>
    <t>000000014083-FF-001</t>
  </si>
  <si>
    <t>000000009195-NF-001</t>
  </si>
  <si>
    <t>000000009194-NF-001</t>
  </si>
  <si>
    <t>000000009193-NF-001</t>
  </si>
  <si>
    <t>000000005946-IF-001</t>
  </si>
  <si>
    <t>000000005945-IF-001</t>
  </si>
  <si>
    <t>000000005944-IF-001</t>
  </si>
  <si>
    <t>000000005943-IF-001</t>
  </si>
  <si>
    <t>000000005942-IF-001</t>
  </si>
  <si>
    <t>000000005941-IF-001</t>
  </si>
  <si>
    <t>DALVINA SOUZA</t>
  </si>
  <si>
    <t>000000005940-IF-001</t>
  </si>
  <si>
    <t>36.901.626/0001-16</t>
  </si>
  <si>
    <t>REGINALDO RODRIGUES DE SOUZA</t>
  </si>
  <si>
    <t>000000005939-IF-001</t>
  </si>
  <si>
    <t>000000005938-IF-001</t>
  </si>
  <si>
    <t>000000005937-IF-001</t>
  </si>
  <si>
    <t>000000005936-IF-001</t>
  </si>
  <si>
    <t>RAFAEL TEC TINTAS</t>
  </si>
  <si>
    <t>000000005935-IF-001</t>
  </si>
  <si>
    <t>000000005934-IF-001</t>
  </si>
  <si>
    <t>000000005933-IF-001</t>
  </si>
  <si>
    <t>000000005932-IF-001</t>
  </si>
  <si>
    <t>000000005931-IF-001</t>
  </si>
  <si>
    <t>000000005930-IF-001</t>
  </si>
  <si>
    <t>000000005929-IF-001</t>
  </si>
  <si>
    <t>000000005928-IF-001</t>
  </si>
  <si>
    <t>000000005927-IF-001</t>
  </si>
  <si>
    <t>000000005926-IF-001</t>
  </si>
  <si>
    <t>000000005925-IF-001</t>
  </si>
  <si>
    <t>000000005924-IF-001</t>
  </si>
  <si>
    <t>000000005923-IF-001</t>
  </si>
  <si>
    <t>000000005922-IF-001</t>
  </si>
  <si>
    <t>000000005921-IF-001</t>
  </si>
  <si>
    <t>000000005920-IF-001</t>
  </si>
  <si>
    <t>000000005919-IF-001</t>
  </si>
  <si>
    <t>000000005918-IF-001</t>
  </si>
  <si>
    <t>000000005917-IF-001</t>
  </si>
  <si>
    <t>000000005916-IF-001</t>
  </si>
  <si>
    <t>000000005915-IF-001</t>
  </si>
  <si>
    <t>000000005914-IF-001</t>
  </si>
  <si>
    <t>000000005913-IF-001</t>
  </si>
  <si>
    <t>000000003681-NF-001</t>
  </si>
  <si>
    <t>000000003680-NF-001</t>
  </si>
  <si>
    <t>000000001387-FF-001</t>
  </si>
  <si>
    <t>000000000776-FF-001</t>
  </si>
  <si>
    <t>000000000775-FF-001</t>
  </si>
  <si>
    <t>%MAR</t>
  </si>
  <si>
    <t>CUSTO</t>
  </si>
  <si>
    <t>VR.TOTAL</t>
  </si>
  <si>
    <t>CFOP</t>
  </si>
  <si>
    <t>COND. PAGAMENTO</t>
  </si>
  <si>
    <t>CPF/CNPJ</t>
  </si>
  <si>
    <t>CLIENTE</t>
  </si>
  <si>
    <t>VEN</t>
  </si>
  <si>
    <t>Nº DOC</t>
  </si>
  <si>
    <t>ADE</t>
  </si>
  <si>
    <t>AG LINDAS</t>
  </si>
  <si>
    <t>CEILÂNDIA</t>
  </si>
  <si>
    <t>GAMA</t>
  </si>
  <si>
    <t>GUARÁ</t>
  </si>
  <si>
    <t>LUZIÂNIA</t>
  </si>
  <si>
    <t>S IA</t>
  </si>
  <si>
    <t>SOFNORTE</t>
  </si>
  <si>
    <t>UNAÍ</t>
  </si>
  <si>
    <t>MESES</t>
  </si>
  <si>
    <t>TOTAL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</si>
  <si>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</si>
  <si>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</si>
  <si>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</si>
  <si>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</si>
  <si>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</si>
  <si>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</si>
  <si>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</si>
  <si>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</si>
  <si>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</si>
  <si>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</si>
  <si>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</si>
  <si>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</si>
  <si>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ÚNICA</t>
  </si>
  <si>
    <t xml:space="preserve">S 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</si>
</sst>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Liberation San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0">
    <xf numFmtId="0" fontId="0" fillId="0" borderId="0" xfId="0"/>
    <xf numFmtId="14" fontId="0" fillId="0" borderId="0" xfId="0" applyNumberFormat="1"/>
    <xf numFmtId="4" fontId="0" fillId="0" borderId="0" xfId="0" applyNumberFormat="1"/>
    <xf numFmtId="44" fontId="0" fillId="0" borderId="0" xfId="1" applyFont="1"/>
    <xf numFmtId="0" fontId="0" fillId="0" borderId="10" xfId="0" applyBorder="1"/>
    <xf numFmtId="44" fontId="0" fillId="0" borderId="10" xfId="1" applyFont="1" applyBorder="1"/>
    <xf numFmtId="44" fontId="0" fillId="0" borderId="0" xfId="0" applyNumberFormat="1"/>
    <xf numFmtId="0" fontId="0" fillId="0" borderId="10" xfId="0" applyBorder="1" applyAlignment="1">
      <alignment horizontal="left"/>
    </xf>
    <xf numFmtId="164" fontId="0" fillId="0" borderId="10" xfId="0" applyNumberFormat="1" applyBorder="1"/>
    <xf numFmtId="17" fontId="0" fillId="0" borderId="10" xfId="0" applyNumberFormat="1" applyBorder="1"/>
  </cellXfs>
  <cellStyles count="44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rmal 2" xfId="43" xr:uid="{94F92212-A662-413C-82DC-AFF05E5A5FC2}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10"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4" formatCode="#,##0.00"/>
    </dxf>
    <dxf>
      <numFmt numFmtId="4" formatCode="#,##0.00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uel\Desktop\ARQUIVOS%20PARA%20DASHBOARD\OPERADORES.xlsx" TargetMode="External"/><Relationship Id="rId1" Type="http://schemas.openxmlformats.org/officeDocument/2006/relationships/externalLinkPath" Target="/Users/Samuel/Desktop/ARQUIVOS%20PARA%20DASHBOARD/OPERADO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RADORES"/>
      <sheetName val="LOJA"/>
      <sheetName val="CLIENTE FILIAL"/>
      <sheetName val="LOJAS2"/>
    </sheetNames>
    <sheetDataSet>
      <sheetData sheetId="0"/>
      <sheetData sheetId="1">
        <row r="1">
          <cell r="A1">
            <v>1</v>
          </cell>
          <cell r="B1" t="str">
            <v>GUARÁ</v>
          </cell>
        </row>
        <row r="2">
          <cell r="A2">
            <v>4</v>
          </cell>
          <cell r="B2" t="str">
            <v>ADE</v>
          </cell>
        </row>
        <row r="3">
          <cell r="A3">
            <v>6</v>
          </cell>
          <cell r="B3" t="str">
            <v>GAMA</v>
          </cell>
        </row>
        <row r="4">
          <cell r="A4">
            <v>8</v>
          </cell>
          <cell r="B4" t="str">
            <v>LUZIÂNIA</v>
          </cell>
        </row>
        <row r="5">
          <cell r="A5">
            <v>9</v>
          </cell>
          <cell r="B5" t="str">
            <v>ÚNICA</v>
          </cell>
        </row>
        <row r="6">
          <cell r="A6">
            <v>12</v>
          </cell>
          <cell r="B6" t="str">
            <v>SOFNORTE</v>
          </cell>
        </row>
        <row r="7">
          <cell r="A7">
            <v>13</v>
          </cell>
          <cell r="B7" t="str">
            <v>CEILÂNDIA</v>
          </cell>
        </row>
        <row r="8">
          <cell r="A8">
            <v>14</v>
          </cell>
          <cell r="B8" t="str">
            <v>S IA</v>
          </cell>
        </row>
        <row r="9">
          <cell r="A9">
            <v>15</v>
          </cell>
          <cell r="B9" t="str">
            <v>UNAÍ</v>
          </cell>
        </row>
        <row r="10">
          <cell r="A10">
            <v>16</v>
          </cell>
          <cell r="B10" t="str">
            <v>AG LINDAS</v>
          </cell>
        </row>
        <row r="11">
          <cell r="A11">
            <v>22</v>
          </cell>
          <cell r="B11" t="str">
            <v>GUARÁ</v>
          </cell>
        </row>
        <row r="12">
          <cell r="A12">
            <v>24</v>
          </cell>
          <cell r="B12" t="str">
            <v>LUZIÂNIA</v>
          </cell>
        </row>
        <row r="13">
          <cell r="A13">
            <v>20</v>
          </cell>
          <cell r="B13" t="str">
            <v>DAUTO SERVIÇOS</v>
          </cell>
        </row>
      </sheetData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84D348-4D1F-4D0C-8772-CD361221EDFB}" name="Tabela2" displayName="Tabela2" ref="A1:Q3404" totalsRowShown="0">
  <autoFilter ref="A1:Q3404" xr:uid="{B884D348-4D1F-4D0C-8772-CD361221EDFB}"/>
  <tableColumns count="17">
    <tableColumn id="1" xr3:uid="{6683CDE5-623A-45B1-B63C-7CCD9EEDB997}" name="CONTA DE RESULTADO"/>
    <tableColumn id="2" xr3:uid="{7261B024-910E-4EF2-9699-00DF7540B163}" name="DESPESA"/>
    <tableColumn id="3" xr3:uid="{ABE0B560-1E5B-4F7A-AB4F-FD5AFBC2BCA4}" name="FAVORECIDO"/>
    <tableColumn id="4" xr3:uid="{9D4EEC57-4149-4B99-96F6-D9B748C2EDB7}" name="DUPLICATA"/>
    <tableColumn id="5" xr3:uid="{53EF1E59-82D9-4132-BEED-A374CD2AD242}" name="EMP"/>
    <tableColumn id="6" xr3:uid="{1DE8FC4E-7F0A-4ECF-9A92-651BAA2F9370}" name="LOJA">
      <calculatedColumnFormula>VLOOKUP(E2,[1]LOJA!$A:$B,2,0)</calculatedColumnFormula>
    </tableColumn>
    <tableColumn id="7" xr3:uid="{C326BD87-BCE3-4F3B-8963-702FB4EA42DC}" name="CHQ"/>
    <tableColumn id="8" xr3:uid="{D833E086-18DE-4FD0-B5EE-25498FAB7B1F}" name="BOL"/>
    <tableColumn id="9" xr3:uid="{1287C6AD-93FC-4F08-AEB2-3E184D1A77E5}" name="DTA.CAD" dataDxfId="9"/>
    <tableColumn id="10" xr3:uid="{C0740727-FE36-40C3-A8E8-CDF4B6A866D0}" name="DTA.VEN" dataDxfId="8"/>
    <tableColumn id="11" xr3:uid="{C6D086E8-9292-4E17-9A0F-7F9093830E53}" name="DTA.PAG" dataDxfId="7"/>
    <tableColumn id="12" xr3:uid="{4FE1F1D7-F641-4472-BE70-40BF0DAE3453}" name="POR.BAI"/>
    <tableColumn id="13" xr3:uid="{1944363B-C94C-48E6-9526-87345CF60457}" name="VAL.DUP" dataDxfId="6"/>
    <tableColumn id="14" xr3:uid="{EB2A3453-8B14-4019-A1B0-BE33237FFCF8}" name="VAL.PAG" dataDxfId="5"/>
    <tableColumn id="15" xr3:uid="{E25B57E0-BBB3-48E0-93FC-856C59B311C2}" name="VAL.JUR"/>
    <tableColumn id="16" xr3:uid="{9B176CD5-23AB-42B3-A185-EBCCB6A5025A}" name="VAL.DES"/>
    <tableColumn id="17" xr3:uid="{EC4C771B-4CAC-49EC-9585-A9DAEF3223E6}" name="HISTÓRICO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EA5CE76-1F7B-4CE5-BDD1-A71D0291F08E}" name="Tabela1" displayName="Tabela1" ref="A1:Q442" totalsRowShown="0">
  <autoFilter ref="A1:Q442" xr:uid="{6797FA4A-1A09-4B56-987B-DA55E0E30EDF}"/>
  <tableColumns count="17">
    <tableColumn id="1" xr3:uid="{4A9ED0AB-3E1A-445A-949B-B85FFADE5080}" name="CONTA DE RESULTADO"/>
    <tableColumn id="2" xr3:uid="{73506738-CCCB-4587-949F-5DF90F51A712}" name="DESPESA"/>
    <tableColumn id="3" xr3:uid="{6E5A9AE5-9744-492D-9260-2A4485D90C8D}" name="FAVORECIDO"/>
    <tableColumn id="4" xr3:uid="{353B95BD-A865-496C-8AF1-727F3CDB7554}" name="DUPLICATA"/>
    <tableColumn id="5" xr3:uid="{DB91E297-D504-4F6D-8BC4-0D70151058E0}" name="EMP"/>
    <tableColumn id="6" xr3:uid="{966CFC29-2FE8-4FD5-B063-665A09B367D7}" name="LOJA">
      <calculatedColumnFormula>VLOOKUP(E2,[1]LOJA!$A:$B,2,0)</calculatedColumnFormula>
    </tableColumn>
    <tableColumn id="7" xr3:uid="{53BD28D5-2094-40B4-9D69-A6FBC2FFDE74}" name="CHQ"/>
    <tableColumn id="8" xr3:uid="{1D91520B-C340-4FC9-970F-58B5A78325DE}" name="BOL"/>
    <tableColumn id="9" xr3:uid="{1A6EEF09-C193-4A7D-8AF8-56C1EBD7E840}" name="DTA.CAD" dataDxfId="4"/>
    <tableColumn id="10" xr3:uid="{F01B7BC8-B0DE-4401-A13F-EA4128918667}" name="DTA.VEN" dataDxfId="3"/>
    <tableColumn id="11" xr3:uid="{D7E31937-157D-4595-A0F7-52A3F6FFC6B6}" name="DTA.PAG" dataDxfId="2"/>
    <tableColumn id="12" xr3:uid="{BCDBD4E2-7F3B-49B0-BC6C-C75E5E6B548E}" name="POR.BAI"/>
    <tableColumn id="13" xr3:uid="{9A803F22-7247-4A8D-B3EA-7D730354AB6B}" name="VAL.DUP"/>
    <tableColumn id="14" xr3:uid="{C1263632-EB9A-4071-A270-EBBB9F5809B6}" name="VAL.PAG"/>
    <tableColumn id="15" xr3:uid="{58A9B6FD-E587-4665-9E7C-522956D9134A}" name="VAL.JUR"/>
    <tableColumn id="16" xr3:uid="{BB07C970-BAE7-495C-9BFA-B7CC83F1B9D4}" name="VAL.DES"/>
    <tableColumn id="17" xr3:uid="{0155C787-2153-45C3-9CAA-BAC130F6BDBF}" name="HISTÓRICO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09B156-0C29-4DC1-8667-F8C7DEAE8285}" name="Tabela26" displayName="Tabela26" ref="A1:L7539" totalsRowShown="0">
  <autoFilter ref="A1:L7539" xr:uid="{8CA18A3B-2AFE-483B-8549-85AE74740834}"/>
  <tableColumns count="12">
    <tableColumn id="1" xr3:uid="{9F0AD702-89C0-4D40-9671-D8AFEFCC8249}" name="DATA" dataDxfId="1"/>
    <tableColumn id="2" xr3:uid="{01BEAB62-DF51-4623-9782-C60217448F1C}" name="Nº DOC"/>
    <tableColumn id="3" xr3:uid="{DF9DC58E-F8D0-496F-ACA3-24F4DFAB8A27}" name="EMP"/>
    <tableColumn id="4" xr3:uid="{21636346-8653-4441-8294-6881CDE8EBF6}" name="LOJA" dataDxfId="0">
      <calculatedColumnFormula>VLOOKUP(Tabela26[[#This Row],[EMP]],[1]LOJA!$A:$B,2,0)</calculatedColumnFormula>
    </tableColumn>
    <tableColumn id="5" xr3:uid="{A2514DE7-CD99-497A-ADC4-A7349705AA01}" name="VEN"/>
    <tableColumn id="6" xr3:uid="{71A2C6F5-B5C9-4B72-BD4C-C5B012C61E35}" name="CLIENTE"/>
    <tableColumn id="7" xr3:uid="{ADC37EFE-CAB1-47F2-AE1D-B3B566EE045B}" name="CPF/CNPJ"/>
    <tableColumn id="8" xr3:uid="{3C91A312-9C28-4264-9D3D-62C55E7F632F}" name="COND. PAGAMENTO"/>
    <tableColumn id="9" xr3:uid="{D6293A3B-2D18-433F-97B1-F3FE8C00FED0}" name="CFOP"/>
    <tableColumn id="10" xr3:uid="{064FA612-0FF0-4DE0-8B9E-98E8768889C5}" name="VR.TOTAL" dataCellStyle="Moeda"/>
    <tableColumn id="11" xr3:uid="{75236903-D321-4CC6-83E6-0EDE65E652B8}" name="CUSTO" dataCellStyle="Moeda"/>
    <tableColumn id="12" xr3:uid="{422E8D55-97CC-41D6-875E-5804E7445B09}" name="%MA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9FB00-95BF-4149-A4FB-7E52290081FF}">
  <sheetPr>
    <tabColor rgb="FF0070C0"/>
  </sheetPr>
  <dimension ref="A1:Q3404"/>
  <sheetViews>
    <sheetView workbookViewId="0">
      <selection activeCell="A17" sqref="A17"/>
    </sheetView>
  </sheetViews>
  <sheetFormatPr defaultRowHeight="14.4"/>
  <cols>
    <col min="1" max="1" width="40.6640625" bestFit="1" customWidth="1"/>
    <col min="2" max="2" width="61.109375" bestFit="1" customWidth="1"/>
    <col min="3" max="3" width="55" bestFit="1" customWidth="1"/>
    <col min="4" max="4" width="12.21875" customWidth="1"/>
    <col min="9" max="11" width="10.77734375" bestFit="1" customWidth="1"/>
    <col min="12" max="12" width="9.6640625" customWidth="1"/>
    <col min="13" max="13" width="10.109375" customWidth="1"/>
    <col min="14" max="14" width="9.88671875" customWidth="1"/>
    <col min="15" max="16" width="9.6640625" customWidth="1"/>
    <col min="17" max="17" width="252.77734375" bestFit="1" customWidth="1"/>
  </cols>
  <sheetData>
    <row r="1" spans="1:17">
      <c r="A1" t="s">
        <v>0</v>
      </c>
      <c r="B1" t="s">
        <v>3250</v>
      </c>
      <c r="C1" t="s">
        <v>1</v>
      </c>
      <c r="D1" t="s">
        <v>2</v>
      </c>
      <c r="E1" t="s">
        <v>3</v>
      </c>
      <c r="F1" t="s">
        <v>3249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>
      <c r="A2" t="s">
        <v>15</v>
      </c>
      <c r="B2" t="s">
        <v>16</v>
      </c>
      <c r="C2" t="s">
        <v>17</v>
      </c>
      <c r="D2" t="s">
        <v>18</v>
      </c>
      <c r="E2">
        <v>1</v>
      </c>
      <c r="F2" t="str">
        <f>VLOOKUP(E2,[1]LOJA!$A:$B,2,0)</f>
        <v>GUARÁ</v>
      </c>
      <c r="G2" t="s">
        <v>19</v>
      </c>
      <c r="H2" t="s">
        <v>20</v>
      </c>
      <c r="I2" s="1">
        <v>45694</v>
      </c>
      <c r="J2" s="1">
        <v>46042</v>
      </c>
      <c r="K2" s="1">
        <v>46042</v>
      </c>
      <c r="L2">
        <v>18</v>
      </c>
      <c r="M2">
        <v>0</v>
      </c>
      <c r="N2">
        <v>0</v>
      </c>
      <c r="O2">
        <v>0</v>
      </c>
      <c r="P2">
        <v>0</v>
      </c>
      <c r="Q2" t="s">
        <v>21</v>
      </c>
    </row>
    <row r="3" spans="1:17">
      <c r="A3" t="s">
        <v>15</v>
      </c>
      <c r="B3" t="s">
        <v>16</v>
      </c>
      <c r="C3" t="s">
        <v>17</v>
      </c>
      <c r="D3" t="s">
        <v>18</v>
      </c>
      <c r="E3">
        <v>1</v>
      </c>
      <c r="F3" t="str">
        <f>VLOOKUP(E3,[1]LOJA!$A:$B,2,0)</f>
        <v>GUARÁ</v>
      </c>
      <c r="G3" t="s">
        <v>19</v>
      </c>
      <c r="H3" t="s">
        <v>20</v>
      </c>
      <c r="I3" s="1">
        <v>45694</v>
      </c>
      <c r="J3" s="1">
        <v>46042</v>
      </c>
      <c r="K3" s="1">
        <v>46042</v>
      </c>
      <c r="L3">
        <v>34</v>
      </c>
      <c r="M3">
        <v>0</v>
      </c>
      <c r="N3">
        <v>0</v>
      </c>
      <c r="O3">
        <v>0</v>
      </c>
      <c r="P3">
        <v>0</v>
      </c>
      <c r="Q3" t="s">
        <v>21</v>
      </c>
    </row>
    <row r="4" spans="1:17">
      <c r="A4" t="s">
        <v>15</v>
      </c>
      <c r="B4" t="s">
        <v>16</v>
      </c>
      <c r="C4" t="s">
        <v>17</v>
      </c>
      <c r="D4" t="s">
        <v>18</v>
      </c>
      <c r="E4">
        <v>4</v>
      </c>
      <c r="F4" t="str">
        <f>VLOOKUP(E4,[1]LOJA!$A:$B,2,0)</f>
        <v>ADE</v>
      </c>
      <c r="G4" t="s">
        <v>19</v>
      </c>
      <c r="H4" t="s">
        <v>20</v>
      </c>
      <c r="I4" s="1">
        <v>45694</v>
      </c>
      <c r="J4" s="1">
        <v>46042</v>
      </c>
      <c r="K4" s="1">
        <v>46042</v>
      </c>
      <c r="L4">
        <v>18</v>
      </c>
      <c r="M4" s="2">
        <v>1000.28</v>
      </c>
      <c r="N4" s="2">
        <v>1000.28</v>
      </c>
      <c r="O4">
        <v>0</v>
      </c>
      <c r="P4">
        <v>0</v>
      </c>
      <c r="Q4" t="s">
        <v>21</v>
      </c>
    </row>
    <row r="5" spans="1:17">
      <c r="A5" t="s">
        <v>15</v>
      </c>
      <c r="B5" t="s">
        <v>16</v>
      </c>
      <c r="C5" t="s">
        <v>17</v>
      </c>
      <c r="D5" t="s">
        <v>18</v>
      </c>
      <c r="E5">
        <v>4</v>
      </c>
      <c r="F5" t="str">
        <f>VLOOKUP(E5,[1]LOJA!$A:$B,2,0)</f>
        <v>ADE</v>
      </c>
      <c r="G5" t="s">
        <v>19</v>
      </c>
      <c r="H5" t="s">
        <v>20</v>
      </c>
      <c r="I5" s="1">
        <v>45694</v>
      </c>
      <c r="J5" s="1">
        <v>46042</v>
      </c>
      <c r="K5" s="1">
        <v>46042</v>
      </c>
      <c r="L5">
        <v>34</v>
      </c>
      <c r="M5">
        <v>15.97</v>
      </c>
      <c r="N5">
        <v>15.97</v>
      </c>
      <c r="O5">
        <v>0</v>
      </c>
      <c r="P5">
        <v>0</v>
      </c>
      <c r="Q5" t="s">
        <v>21</v>
      </c>
    </row>
    <row r="6" spans="1:17">
      <c r="A6" t="s">
        <v>15</v>
      </c>
      <c r="B6" t="s">
        <v>16</v>
      </c>
      <c r="C6" t="s">
        <v>17</v>
      </c>
      <c r="D6" t="s">
        <v>18</v>
      </c>
      <c r="E6">
        <v>6</v>
      </c>
      <c r="F6" t="str">
        <f>VLOOKUP(E6,[1]LOJA!$A:$B,2,0)</f>
        <v>GAMA</v>
      </c>
      <c r="G6" t="s">
        <v>19</v>
      </c>
      <c r="H6" t="s">
        <v>20</v>
      </c>
      <c r="I6" s="1">
        <v>45694</v>
      </c>
      <c r="J6" s="1">
        <v>46042</v>
      </c>
      <c r="K6" s="1">
        <v>46042</v>
      </c>
      <c r="L6">
        <v>18</v>
      </c>
      <c r="M6">
        <v>937.11</v>
      </c>
      <c r="N6">
        <v>937.11</v>
      </c>
      <c r="O6">
        <v>0</v>
      </c>
      <c r="P6">
        <v>0</v>
      </c>
      <c r="Q6" t="s">
        <v>21</v>
      </c>
    </row>
    <row r="7" spans="1:17">
      <c r="A7" t="s">
        <v>15</v>
      </c>
      <c r="B7" t="s">
        <v>16</v>
      </c>
      <c r="C7" t="s">
        <v>17</v>
      </c>
      <c r="D7" t="s">
        <v>18</v>
      </c>
      <c r="E7">
        <v>6</v>
      </c>
      <c r="F7" t="str">
        <f>VLOOKUP(E7,[1]LOJA!$A:$B,2,0)</f>
        <v>GAMA</v>
      </c>
      <c r="G7" t="s">
        <v>19</v>
      </c>
      <c r="H7" t="s">
        <v>20</v>
      </c>
      <c r="I7" s="1">
        <v>45694</v>
      </c>
      <c r="J7" s="1">
        <v>46042</v>
      </c>
      <c r="K7" s="1">
        <v>46042</v>
      </c>
      <c r="L7">
        <v>34</v>
      </c>
      <c r="M7">
        <v>14.96</v>
      </c>
      <c r="N7">
        <v>14.96</v>
      </c>
      <c r="O7">
        <v>0</v>
      </c>
      <c r="P7">
        <v>0</v>
      </c>
      <c r="Q7" t="s">
        <v>21</v>
      </c>
    </row>
    <row r="8" spans="1:17">
      <c r="A8" t="s">
        <v>15</v>
      </c>
      <c r="B8" t="s">
        <v>16</v>
      </c>
      <c r="C8" t="s">
        <v>17</v>
      </c>
      <c r="D8" t="s">
        <v>18</v>
      </c>
      <c r="E8">
        <v>8</v>
      </c>
      <c r="F8" t="str">
        <f>VLOOKUP(E8,[1]LOJA!$A:$B,2,0)</f>
        <v>LUZIÂNIA</v>
      </c>
      <c r="G8" t="s">
        <v>19</v>
      </c>
      <c r="H8" t="s">
        <v>20</v>
      </c>
      <c r="I8" s="1">
        <v>45694</v>
      </c>
      <c r="J8" s="1">
        <v>46042</v>
      </c>
      <c r="K8" s="1">
        <v>46042</v>
      </c>
      <c r="L8">
        <v>18</v>
      </c>
      <c r="M8" s="2">
        <v>1746.69</v>
      </c>
      <c r="N8" s="2">
        <v>1746.69</v>
      </c>
      <c r="O8">
        <v>0</v>
      </c>
      <c r="P8">
        <v>0</v>
      </c>
      <c r="Q8" t="s">
        <v>21</v>
      </c>
    </row>
    <row r="9" spans="1:17">
      <c r="A9" t="s">
        <v>15</v>
      </c>
      <c r="B9" t="s">
        <v>16</v>
      </c>
      <c r="C9" t="s">
        <v>17</v>
      </c>
      <c r="D9" t="s">
        <v>18</v>
      </c>
      <c r="E9">
        <v>8</v>
      </c>
      <c r="F9" t="str">
        <f>VLOOKUP(E9,[1]LOJA!$A:$B,2,0)</f>
        <v>LUZIÂNIA</v>
      </c>
      <c r="G9" t="s">
        <v>19</v>
      </c>
      <c r="H9" t="s">
        <v>20</v>
      </c>
      <c r="I9" s="1">
        <v>45694</v>
      </c>
      <c r="J9" s="1">
        <v>46042</v>
      </c>
      <c r="K9" s="1">
        <v>46042</v>
      </c>
      <c r="L9">
        <v>34</v>
      </c>
      <c r="M9">
        <v>27.89</v>
      </c>
      <c r="N9">
        <v>27.89</v>
      </c>
      <c r="O9">
        <v>0</v>
      </c>
      <c r="P9">
        <v>0</v>
      </c>
      <c r="Q9" t="s">
        <v>21</v>
      </c>
    </row>
    <row r="10" spans="1:17">
      <c r="A10" t="s">
        <v>15</v>
      </c>
      <c r="B10" t="s">
        <v>16</v>
      </c>
      <c r="C10" t="s">
        <v>17</v>
      </c>
      <c r="D10" t="s">
        <v>18</v>
      </c>
      <c r="E10">
        <v>12</v>
      </c>
      <c r="F10" t="str">
        <f>VLOOKUP(E10,[1]LOJA!$A:$B,2,0)</f>
        <v>SOFNORTE</v>
      </c>
      <c r="G10" t="s">
        <v>19</v>
      </c>
      <c r="H10" t="s">
        <v>20</v>
      </c>
      <c r="I10" s="1">
        <v>45694</v>
      </c>
      <c r="J10" s="1">
        <v>46042</v>
      </c>
      <c r="K10" s="1">
        <v>46042</v>
      </c>
      <c r="L10">
        <v>18</v>
      </c>
      <c r="M10" s="2">
        <v>1265.8499999999999</v>
      </c>
      <c r="N10" s="2">
        <v>1265.8499999999999</v>
      </c>
      <c r="O10">
        <v>0</v>
      </c>
      <c r="P10">
        <v>0</v>
      </c>
      <c r="Q10" t="s">
        <v>21</v>
      </c>
    </row>
    <row r="11" spans="1:17">
      <c r="A11" t="s">
        <v>15</v>
      </c>
      <c r="B11" t="s">
        <v>16</v>
      </c>
      <c r="C11" t="s">
        <v>17</v>
      </c>
      <c r="D11" t="s">
        <v>18</v>
      </c>
      <c r="E11">
        <v>12</v>
      </c>
      <c r="F11" t="str">
        <f>VLOOKUP(E11,[1]LOJA!$A:$B,2,0)</f>
        <v>SOFNORTE</v>
      </c>
      <c r="G11" t="s">
        <v>19</v>
      </c>
      <c r="H11" t="s">
        <v>20</v>
      </c>
      <c r="I11" s="1">
        <v>45694</v>
      </c>
      <c r="J11" s="1">
        <v>46042</v>
      </c>
      <c r="K11" s="1">
        <v>46042</v>
      </c>
      <c r="L11">
        <v>34</v>
      </c>
      <c r="M11">
        <v>20.21</v>
      </c>
      <c r="N11">
        <v>20.21</v>
      </c>
      <c r="O11">
        <v>0</v>
      </c>
      <c r="P11">
        <v>0</v>
      </c>
      <c r="Q11" t="s">
        <v>21</v>
      </c>
    </row>
    <row r="12" spans="1:17">
      <c r="A12" t="s">
        <v>15</v>
      </c>
      <c r="B12" t="s">
        <v>16</v>
      </c>
      <c r="C12" t="s">
        <v>17</v>
      </c>
      <c r="D12" t="s">
        <v>18</v>
      </c>
      <c r="E12">
        <v>13</v>
      </c>
      <c r="F12" t="str">
        <f>VLOOKUP(E12,[1]LOJA!$A:$B,2,0)</f>
        <v>CEILÂNDIA</v>
      </c>
      <c r="G12" t="s">
        <v>19</v>
      </c>
      <c r="H12" t="s">
        <v>20</v>
      </c>
      <c r="I12" s="1">
        <v>45694</v>
      </c>
      <c r="J12" s="1">
        <v>46042</v>
      </c>
      <c r="K12" s="1">
        <v>46042</v>
      </c>
      <c r="L12">
        <v>18</v>
      </c>
      <c r="M12" s="2">
        <v>1501.01</v>
      </c>
      <c r="N12" s="2">
        <v>1501.01</v>
      </c>
      <c r="O12">
        <v>0</v>
      </c>
      <c r="P12">
        <v>0</v>
      </c>
      <c r="Q12" t="s">
        <v>21</v>
      </c>
    </row>
    <row r="13" spans="1:17">
      <c r="A13" t="s">
        <v>15</v>
      </c>
      <c r="B13" t="s">
        <v>16</v>
      </c>
      <c r="C13" t="s">
        <v>17</v>
      </c>
      <c r="D13" t="s">
        <v>18</v>
      </c>
      <c r="E13">
        <v>13</v>
      </c>
      <c r="F13" t="str">
        <f>VLOOKUP(E13,[1]LOJA!$A:$B,2,0)</f>
        <v>CEILÂNDIA</v>
      </c>
      <c r="G13" t="s">
        <v>19</v>
      </c>
      <c r="H13" t="s">
        <v>20</v>
      </c>
      <c r="I13" s="1">
        <v>45694</v>
      </c>
      <c r="J13" s="1">
        <v>46042</v>
      </c>
      <c r="K13" s="1">
        <v>46042</v>
      </c>
      <c r="L13">
        <v>34</v>
      </c>
      <c r="M13">
        <v>23.97</v>
      </c>
      <c r="N13">
        <v>23.97</v>
      </c>
      <c r="O13">
        <v>0</v>
      </c>
      <c r="P13">
        <v>0</v>
      </c>
      <c r="Q13" t="s">
        <v>21</v>
      </c>
    </row>
    <row r="14" spans="1:17">
      <c r="A14" t="s">
        <v>15</v>
      </c>
      <c r="B14" t="s">
        <v>16</v>
      </c>
      <c r="C14" t="s">
        <v>17</v>
      </c>
      <c r="D14" t="s">
        <v>18</v>
      </c>
      <c r="E14">
        <v>14</v>
      </c>
      <c r="F14" t="str">
        <f>VLOOKUP(E14,[1]LOJA!$A:$B,2,0)</f>
        <v>S IA</v>
      </c>
      <c r="G14" t="s">
        <v>19</v>
      </c>
      <c r="H14" t="s">
        <v>20</v>
      </c>
      <c r="I14" s="1">
        <v>45694</v>
      </c>
      <c r="J14" s="1">
        <v>46042</v>
      </c>
      <c r="K14" s="1">
        <v>46042</v>
      </c>
      <c r="L14">
        <v>18</v>
      </c>
      <c r="M14" s="2">
        <v>1850.81</v>
      </c>
      <c r="N14" s="2">
        <v>1850.81</v>
      </c>
      <c r="O14">
        <v>0</v>
      </c>
      <c r="P14">
        <v>0</v>
      </c>
      <c r="Q14" t="s">
        <v>21</v>
      </c>
    </row>
    <row r="15" spans="1:17">
      <c r="A15" t="s">
        <v>15</v>
      </c>
      <c r="B15" t="s">
        <v>16</v>
      </c>
      <c r="C15" t="s">
        <v>17</v>
      </c>
      <c r="D15" t="s">
        <v>18</v>
      </c>
      <c r="E15">
        <v>14</v>
      </c>
      <c r="F15" t="str">
        <f>VLOOKUP(E15,[1]LOJA!$A:$B,2,0)</f>
        <v>S IA</v>
      </c>
      <c r="G15" t="s">
        <v>19</v>
      </c>
      <c r="H15" t="s">
        <v>20</v>
      </c>
      <c r="I15" s="1">
        <v>45694</v>
      </c>
      <c r="J15" s="1">
        <v>46042</v>
      </c>
      <c r="K15" s="1">
        <v>46042</v>
      </c>
      <c r="L15">
        <v>34</v>
      </c>
      <c r="M15">
        <v>29.55</v>
      </c>
      <c r="N15">
        <v>29.55</v>
      </c>
      <c r="O15">
        <v>0</v>
      </c>
      <c r="P15">
        <v>0</v>
      </c>
      <c r="Q15" t="s">
        <v>21</v>
      </c>
    </row>
    <row r="16" spans="1:17">
      <c r="A16" t="s">
        <v>15</v>
      </c>
      <c r="B16" t="s">
        <v>16</v>
      </c>
      <c r="C16" t="s">
        <v>17</v>
      </c>
      <c r="D16" t="s">
        <v>18</v>
      </c>
      <c r="E16">
        <v>15</v>
      </c>
      <c r="F16" t="str">
        <f>VLOOKUP(E16,[1]LOJA!$A:$B,2,0)</f>
        <v>UNAÍ</v>
      </c>
      <c r="G16" t="s">
        <v>19</v>
      </c>
      <c r="H16" t="s">
        <v>20</v>
      </c>
      <c r="I16" s="1">
        <v>45694</v>
      </c>
      <c r="J16" s="1">
        <v>46042</v>
      </c>
      <c r="K16" s="1">
        <v>46042</v>
      </c>
      <c r="L16">
        <v>18</v>
      </c>
      <c r="M16" s="2">
        <v>1382.85</v>
      </c>
      <c r="N16" s="2">
        <v>1382.85</v>
      </c>
      <c r="O16">
        <v>0</v>
      </c>
      <c r="P16">
        <v>0</v>
      </c>
      <c r="Q16" t="s">
        <v>21</v>
      </c>
    </row>
    <row r="17" spans="1:17">
      <c r="A17" t="s">
        <v>15</v>
      </c>
      <c r="B17" t="s">
        <v>16</v>
      </c>
      <c r="C17" t="s">
        <v>17</v>
      </c>
      <c r="D17" t="s">
        <v>18</v>
      </c>
      <c r="E17">
        <v>15</v>
      </c>
      <c r="F17" t="str">
        <f>VLOOKUP(E17,[1]LOJA!$A:$B,2,0)</f>
        <v>UNAÍ</v>
      </c>
      <c r="G17" t="s">
        <v>19</v>
      </c>
      <c r="H17" t="s">
        <v>20</v>
      </c>
      <c r="I17" s="1">
        <v>45694</v>
      </c>
      <c r="J17" s="1">
        <v>46042</v>
      </c>
      <c r="K17" s="1">
        <v>46042</v>
      </c>
      <c r="L17">
        <v>34</v>
      </c>
      <c r="M17">
        <v>22.08</v>
      </c>
      <c r="N17">
        <v>22.08</v>
      </c>
      <c r="O17">
        <v>0</v>
      </c>
      <c r="P17">
        <v>0</v>
      </c>
      <c r="Q17" t="s">
        <v>21</v>
      </c>
    </row>
    <row r="18" spans="1:17">
      <c r="A18" t="s">
        <v>15</v>
      </c>
      <c r="B18" t="s">
        <v>16</v>
      </c>
      <c r="C18" t="s">
        <v>17</v>
      </c>
      <c r="D18" t="s">
        <v>18</v>
      </c>
      <c r="E18">
        <v>16</v>
      </c>
      <c r="F18" t="str">
        <f>VLOOKUP(E18,[1]LOJA!$A:$B,2,0)</f>
        <v>AG LINDAS</v>
      </c>
      <c r="G18" t="s">
        <v>19</v>
      </c>
      <c r="H18" t="s">
        <v>20</v>
      </c>
      <c r="I18" s="1">
        <v>45694</v>
      </c>
      <c r="J18" s="1">
        <v>46042</v>
      </c>
      <c r="K18" s="1">
        <v>46042</v>
      </c>
      <c r="L18">
        <v>18</v>
      </c>
      <c r="M18">
        <v>769.81</v>
      </c>
      <c r="N18">
        <v>769.81</v>
      </c>
      <c r="O18">
        <v>0</v>
      </c>
      <c r="P18">
        <v>0</v>
      </c>
      <c r="Q18" t="s">
        <v>21</v>
      </c>
    </row>
    <row r="19" spans="1:17">
      <c r="A19" t="s">
        <v>15</v>
      </c>
      <c r="B19" t="s">
        <v>16</v>
      </c>
      <c r="C19" t="s">
        <v>17</v>
      </c>
      <c r="D19" t="s">
        <v>18</v>
      </c>
      <c r="E19">
        <v>16</v>
      </c>
      <c r="F19" t="str">
        <f>VLOOKUP(E19,[1]LOJA!$A:$B,2,0)</f>
        <v>AG LINDAS</v>
      </c>
      <c r="G19" t="s">
        <v>19</v>
      </c>
      <c r="H19" t="s">
        <v>20</v>
      </c>
      <c r="I19" s="1">
        <v>45694</v>
      </c>
      <c r="J19" s="1">
        <v>46042</v>
      </c>
      <c r="K19" s="1">
        <v>46042</v>
      </c>
      <c r="L19">
        <v>34</v>
      </c>
      <c r="M19">
        <v>12.29</v>
      </c>
      <c r="N19">
        <v>12.29</v>
      </c>
      <c r="O19">
        <v>0</v>
      </c>
      <c r="P19">
        <v>0</v>
      </c>
      <c r="Q19" t="s">
        <v>21</v>
      </c>
    </row>
    <row r="20" spans="1:17">
      <c r="A20" t="s">
        <v>15</v>
      </c>
      <c r="B20" t="s">
        <v>16</v>
      </c>
      <c r="C20" t="s">
        <v>17</v>
      </c>
      <c r="D20" t="s">
        <v>18</v>
      </c>
      <c r="E20">
        <v>20</v>
      </c>
      <c r="F20" t="str">
        <f>VLOOKUP(E20,[1]LOJA!$A:$B,2,0)</f>
        <v>DAUTO SERVIÇOS</v>
      </c>
      <c r="G20" t="s">
        <v>19</v>
      </c>
      <c r="H20" t="s">
        <v>20</v>
      </c>
      <c r="I20" s="1">
        <v>45694</v>
      </c>
      <c r="J20" s="1">
        <v>46042</v>
      </c>
      <c r="K20" s="1">
        <v>46042</v>
      </c>
      <c r="L20">
        <v>18</v>
      </c>
      <c r="M20">
        <v>0</v>
      </c>
      <c r="N20">
        <v>0</v>
      </c>
      <c r="O20">
        <v>0</v>
      </c>
      <c r="P20">
        <v>0</v>
      </c>
      <c r="Q20" t="s">
        <v>21</v>
      </c>
    </row>
    <row r="21" spans="1:17">
      <c r="A21" t="s">
        <v>15</v>
      </c>
      <c r="B21" t="s">
        <v>16</v>
      </c>
      <c r="C21" t="s">
        <v>17</v>
      </c>
      <c r="D21" t="s">
        <v>18</v>
      </c>
      <c r="E21">
        <v>20</v>
      </c>
      <c r="F21" t="str">
        <f>VLOOKUP(E21,[1]LOJA!$A:$B,2,0)</f>
        <v>DAUTO SERVIÇOS</v>
      </c>
      <c r="G21" t="s">
        <v>19</v>
      </c>
      <c r="H21" t="s">
        <v>20</v>
      </c>
      <c r="I21" s="1">
        <v>45694</v>
      </c>
      <c r="J21" s="1">
        <v>46042</v>
      </c>
      <c r="K21" s="1">
        <v>46042</v>
      </c>
      <c r="L21">
        <v>34</v>
      </c>
      <c r="M21">
        <v>0</v>
      </c>
      <c r="N21">
        <v>0</v>
      </c>
      <c r="O21">
        <v>0</v>
      </c>
      <c r="P21">
        <v>0</v>
      </c>
      <c r="Q21" t="s">
        <v>21</v>
      </c>
    </row>
    <row r="22" spans="1:17">
      <c r="A22" t="s">
        <v>15</v>
      </c>
      <c r="B22" t="s">
        <v>16</v>
      </c>
      <c r="C22" t="s">
        <v>17</v>
      </c>
      <c r="D22" t="s">
        <v>18</v>
      </c>
      <c r="E22">
        <v>22</v>
      </c>
      <c r="F22" t="str">
        <f>VLOOKUP(E22,[1]LOJA!$A:$B,2,0)</f>
        <v>GUARÁ</v>
      </c>
      <c r="G22" t="s">
        <v>19</v>
      </c>
      <c r="H22" t="s">
        <v>20</v>
      </c>
      <c r="I22" s="1">
        <v>45694</v>
      </c>
      <c r="J22" s="1">
        <v>46042</v>
      </c>
      <c r="K22" s="1">
        <v>46042</v>
      </c>
      <c r="L22">
        <v>18</v>
      </c>
      <c r="M22" s="2">
        <v>1244.79</v>
      </c>
      <c r="N22" s="2">
        <v>1244.79</v>
      </c>
      <c r="O22">
        <v>0</v>
      </c>
      <c r="P22">
        <v>0</v>
      </c>
      <c r="Q22" t="s">
        <v>21</v>
      </c>
    </row>
    <row r="23" spans="1:17">
      <c r="A23" t="s">
        <v>15</v>
      </c>
      <c r="B23" t="s">
        <v>16</v>
      </c>
      <c r="C23" t="s">
        <v>17</v>
      </c>
      <c r="D23" t="s">
        <v>18</v>
      </c>
      <c r="E23">
        <v>22</v>
      </c>
      <c r="F23" t="str">
        <f>VLOOKUP(E23,[1]LOJA!$A:$B,2,0)</f>
        <v>GUARÁ</v>
      </c>
      <c r="G23" t="s">
        <v>19</v>
      </c>
      <c r="H23" t="s">
        <v>20</v>
      </c>
      <c r="I23" s="1">
        <v>45694</v>
      </c>
      <c r="J23" s="1">
        <v>46042</v>
      </c>
      <c r="K23" s="1">
        <v>46042</v>
      </c>
      <c r="L23">
        <v>34</v>
      </c>
      <c r="M23">
        <v>19.88</v>
      </c>
      <c r="N23">
        <v>19.88</v>
      </c>
      <c r="O23">
        <v>0</v>
      </c>
      <c r="P23">
        <v>0</v>
      </c>
      <c r="Q23" t="s">
        <v>21</v>
      </c>
    </row>
    <row r="24" spans="1:17">
      <c r="A24" t="s">
        <v>15</v>
      </c>
      <c r="B24" t="s">
        <v>22</v>
      </c>
      <c r="C24" t="s">
        <v>23</v>
      </c>
      <c r="D24" t="s">
        <v>24</v>
      </c>
      <c r="E24">
        <v>1</v>
      </c>
      <c r="F24" t="str">
        <f>VLOOKUP(E24,[1]LOJA!$A:$B,2,0)</f>
        <v>GUARÁ</v>
      </c>
      <c r="G24" t="s">
        <v>19</v>
      </c>
      <c r="H24" t="s">
        <v>20</v>
      </c>
      <c r="I24" s="1">
        <v>45694</v>
      </c>
      <c r="J24" s="1">
        <v>46045</v>
      </c>
      <c r="K24" s="1">
        <v>46045</v>
      </c>
      <c r="L24">
        <v>34</v>
      </c>
      <c r="M24">
        <v>0</v>
      </c>
      <c r="N24">
        <v>0</v>
      </c>
      <c r="O24">
        <v>0</v>
      </c>
      <c r="P24">
        <v>0</v>
      </c>
      <c r="Q24" t="s">
        <v>25</v>
      </c>
    </row>
    <row r="25" spans="1:17">
      <c r="A25" t="s">
        <v>15</v>
      </c>
      <c r="B25" t="s">
        <v>22</v>
      </c>
      <c r="C25" t="s">
        <v>23</v>
      </c>
      <c r="D25" t="s">
        <v>24</v>
      </c>
      <c r="E25">
        <v>4</v>
      </c>
      <c r="F25" t="str">
        <f>VLOOKUP(E25,[1]LOJA!$A:$B,2,0)</f>
        <v>ADE</v>
      </c>
      <c r="G25" t="s">
        <v>19</v>
      </c>
      <c r="H25" t="s">
        <v>20</v>
      </c>
      <c r="I25" s="1">
        <v>45694</v>
      </c>
      <c r="J25" s="1">
        <v>46045</v>
      </c>
      <c r="K25" s="1">
        <v>46045</v>
      </c>
      <c r="L25">
        <v>34</v>
      </c>
      <c r="M25" s="2">
        <v>1484.73</v>
      </c>
      <c r="N25" s="2">
        <v>1484.73</v>
      </c>
      <c r="O25">
        <v>0</v>
      </c>
      <c r="P25">
        <v>0</v>
      </c>
      <c r="Q25" t="s">
        <v>25</v>
      </c>
    </row>
    <row r="26" spans="1:17">
      <c r="A26" t="s">
        <v>15</v>
      </c>
      <c r="B26" t="s">
        <v>22</v>
      </c>
      <c r="C26" t="s">
        <v>23</v>
      </c>
      <c r="D26" t="s">
        <v>24</v>
      </c>
      <c r="E26">
        <v>6</v>
      </c>
      <c r="F26" t="str">
        <f>VLOOKUP(E26,[1]LOJA!$A:$B,2,0)</f>
        <v>GAMA</v>
      </c>
      <c r="G26" t="s">
        <v>19</v>
      </c>
      <c r="H26" t="s">
        <v>20</v>
      </c>
      <c r="I26" s="1">
        <v>45694</v>
      </c>
      <c r="J26" s="1">
        <v>46045</v>
      </c>
      <c r="K26" s="1">
        <v>46045</v>
      </c>
      <c r="L26">
        <v>34</v>
      </c>
      <c r="M26" s="2">
        <v>1390.96</v>
      </c>
      <c r="N26" s="2">
        <v>1390.96</v>
      </c>
      <c r="O26">
        <v>0</v>
      </c>
      <c r="P26">
        <v>0</v>
      </c>
      <c r="Q26" t="s">
        <v>25</v>
      </c>
    </row>
    <row r="27" spans="1:17">
      <c r="A27" t="s">
        <v>15</v>
      </c>
      <c r="B27" t="s">
        <v>22</v>
      </c>
      <c r="C27" t="s">
        <v>23</v>
      </c>
      <c r="D27" t="s">
        <v>24</v>
      </c>
      <c r="E27">
        <v>8</v>
      </c>
      <c r="F27" t="str">
        <f>VLOOKUP(E27,[1]LOJA!$A:$B,2,0)</f>
        <v>LUZIÂNIA</v>
      </c>
      <c r="G27" t="s">
        <v>19</v>
      </c>
      <c r="H27" t="s">
        <v>20</v>
      </c>
      <c r="I27" s="1">
        <v>45694</v>
      </c>
      <c r="J27" s="1">
        <v>46045</v>
      </c>
      <c r="K27" s="1">
        <v>46045</v>
      </c>
      <c r="L27">
        <v>34</v>
      </c>
      <c r="M27" s="2">
        <v>2592.63</v>
      </c>
      <c r="N27" s="2">
        <v>2592.63</v>
      </c>
      <c r="O27">
        <v>0</v>
      </c>
      <c r="P27">
        <v>0</v>
      </c>
      <c r="Q27" t="s">
        <v>25</v>
      </c>
    </row>
    <row r="28" spans="1:17">
      <c r="A28" t="s">
        <v>15</v>
      </c>
      <c r="B28" t="s">
        <v>22</v>
      </c>
      <c r="C28" t="s">
        <v>23</v>
      </c>
      <c r="D28" t="s">
        <v>24</v>
      </c>
      <c r="E28">
        <v>12</v>
      </c>
      <c r="F28" t="str">
        <f>VLOOKUP(E28,[1]LOJA!$A:$B,2,0)</f>
        <v>SOFNORTE</v>
      </c>
      <c r="G28" t="s">
        <v>19</v>
      </c>
      <c r="H28" t="s">
        <v>20</v>
      </c>
      <c r="I28" s="1">
        <v>45694</v>
      </c>
      <c r="J28" s="1">
        <v>46045</v>
      </c>
      <c r="K28" s="1">
        <v>46045</v>
      </c>
      <c r="L28">
        <v>34</v>
      </c>
      <c r="M28" s="2">
        <v>1878.92</v>
      </c>
      <c r="N28" s="2">
        <v>1878.92</v>
      </c>
      <c r="O28">
        <v>0</v>
      </c>
      <c r="P28">
        <v>0</v>
      </c>
      <c r="Q28" t="s">
        <v>25</v>
      </c>
    </row>
    <row r="29" spans="1:17">
      <c r="A29" t="s">
        <v>15</v>
      </c>
      <c r="B29" t="s">
        <v>22</v>
      </c>
      <c r="C29" t="s">
        <v>23</v>
      </c>
      <c r="D29" t="s">
        <v>24</v>
      </c>
      <c r="E29">
        <v>13</v>
      </c>
      <c r="F29" t="str">
        <f>VLOOKUP(E29,[1]LOJA!$A:$B,2,0)</f>
        <v>CEILÂNDIA</v>
      </c>
      <c r="G29" t="s">
        <v>19</v>
      </c>
      <c r="H29" t="s">
        <v>20</v>
      </c>
      <c r="I29" s="1">
        <v>45694</v>
      </c>
      <c r="J29" s="1">
        <v>46045</v>
      </c>
      <c r="K29" s="1">
        <v>46045</v>
      </c>
      <c r="L29">
        <v>34</v>
      </c>
      <c r="M29" s="2">
        <v>2227.96</v>
      </c>
      <c r="N29" s="2">
        <v>2227.96</v>
      </c>
      <c r="O29">
        <v>0</v>
      </c>
      <c r="P29">
        <v>0</v>
      </c>
      <c r="Q29" t="s">
        <v>25</v>
      </c>
    </row>
    <row r="30" spans="1:17">
      <c r="A30" t="s">
        <v>15</v>
      </c>
      <c r="B30" t="s">
        <v>22</v>
      </c>
      <c r="C30" t="s">
        <v>23</v>
      </c>
      <c r="D30" t="s">
        <v>24</v>
      </c>
      <c r="E30">
        <v>14</v>
      </c>
      <c r="F30" t="str">
        <f>VLOOKUP(E30,[1]LOJA!$A:$B,2,0)</f>
        <v>S IA</v>
      </c>
      <c r="G30" t="s">
        <v>19</v>
      </c>
      <c r="H30" t="s">
        <v>20</v>
      </c>
      <c r="I30" s="1">
        <v>45694</v>
      </c>
      <c r="J30" s="1">
        <v>46045</v>
      </c>
      <c r="K30" s="1">
        <v>46045</v>
      </c>
      <c r="L30">
        <v>34</v>
      </c>
      <c r="M30" s="2">
        <v>2747.18</v>
      </c>
      <c r="N30" s="2">
        <v>2747.18</v>
      </c>
      <c r="O30">
        <v>0</v>
      </c>
      <c r="P30">
        <v>0</v>
      </c>
      <c r="Q30" t="s">
        <v>25</v>
      </c>
    </row>
    <row r="31" spans="1:17">
      <c r="A31" t="s">
        <v>15</v>
      </c>
      <c r="B31" t="s">
        <v>22</v>
      </c>
      <c r="C31" t="s">
        <v>23</v>
      </c>
      <c r="D31" t="s">
        <v>24</v>
      </c>
      <c r="E31">
        <v>15</v>
      </c>
      <c r="F31" t="str">
        <f>VLOOKUP(E31,[1]LOJA!$A:$B,2,0)</f>
        <v>UNAÍ</v>
      </c>
      <c r="G31" t="s">
        <v>19</v>
      </c>
      <c r="H31" t="s">
        <v>20</v>
      </c>
      <c r="I31" s="1">
        <v>45694</v>
      </c>
      <c r="J31" s="1">
        <v>46045</v>
      </c>
      <c r="K31" s="1">
        <v>46045</v>
      </c>
      <c r="L31">
        <v>34</v>
      </c>
      <c r="M31" s="2">
        <v>2052.5700000000002</v>
      </c>
      <c r="N31" s="2">
        <v>2052.5700000000002</v>
      </c>
      <c r="O31">
        <v>0</v>
      </c>
      <c r="P31">
        <v>0</v>
      </c>
      <c r="Q31" t="s">
        <v>25</v>
      </c>
    </row>
    <row r="32" spans="1:17">
      <c r="A32" t="s">
        <v>15</v>
      </c>
      <c r="B32" t="s">
        <v>22</v>
      </c>
      <c r="C32" t="s">
        <v>23</v>
      </c>
      <c r="D32" t="s">
        <v>24</v>
      </c>
      <c r="E32">
        <v>16</v>
      </c>
      <c r="F32" t="str">
        <f>VLOOKUP(E32,[1]LOJA!$A:$B,2,0)</f>
        <v>AG LINDAS</v>
      </c>
      <c r="G32" t="s">
        <v>19</v>
      </c>
      <c r="H32" t="s">
        <v>20</v>
      </c>
      <c r="I32" s="1">
        <v>45694</v>
      </c>
      <c r="J32" s="1">
        <v>46045</v>
      </c>
      <c r="K32" s="1">
        <v>46045</v>
      </c>
      <c r="L32">
        <v>34</v>
      </c>
      <c r="M32" s="2">
        <v>1142.6300000000001</v>
      </c>
      <c r="N32" s="2">
        <v>1142.6300000000001</v>
      </c>
      <c r="O32">
        <v>0</v>
      </c>
      <c r="P32">
        <v>0</v>
      </c>
      <c r="Q32" t="s">
        <v>25</v>
      </c>
    </row>
    <row r="33" spans="1:17">
      <c r="A33" t="s">
        <v>15</v>
      </c>
      <c r="B33" t="s">
        <v>22</v>
      </c>
      <c r="C33" t="s">
        <v>23</v>
      </c>
      <c r="D33" t="s">
        <v>24</v>
      </c>
      <c r="E33">
        <v>20</v>
      </c>
      <c r="F33" t="str">
        <f>VLOOKUP(E33,[1]LOJA!$A:$B,2,0)</f>
        <v>DAUTO SERVIÇOS</v>
      </c>
      <c r="G33" t="s">
        <v>19</v>
      </c>
      <c r="H33" t="s">
        <v>20</v>
      </c>
      <c r="I33" s="1">
        <v>45694</v>
      </c>
      <c r="J33" s="1">
        <v>46045</v>
      </c>
      <c r="K33" s="1">
        <v>46045</v>
      </c>
      <c r="L33">
        <v>34</v>
      </c>
      <c r="M33">
        <v>0</v>
      </c>
      <c r="N33">
        <v>0</v>
      </c>
      <c r="O33">
        <v>0</v>
      </c>
      <c r="P33">
        <v>0</v>
      </c>
      <c r="Q33" t="s">
        <v>25</v>
      </c>
    </row>
    <row r="34" spans="1:17">
      <c r="A34" t="s">
        <v>15</v>
      </c>
      <c r="B34" t="s">
        <v>22</v>
      </c>
      <c r="C34" t="s">
        <v>23</v>
      </c>
      <c r="D34" t="s">
        <v>24</v>
      </c>
      <c r="E34">
        <v>22</v>
      </c>
      <c r="F34" t="str">
        <f>VLOOKUP(E34,[1]LOJA!$A:$B,2,0)</f>
        <v>GUARÁ</v>
      </c>
      <c r="G34" t="s">
        <v>19</v>
      </c>
      <c r="H34" t="s">
        <v>20</v>
      </c>
      <c r="I34" s="1">
        <v>45694</v>
      </c>
      <c r="J34" s="1">
        <v>46045</v>
      </c>
      <c r="K34" s="1">
        <v>46045</v>
      </c>
      <c r="L34">
        <v>34</v>
      </c>
      <c r="M34" s="2">
        <v>1847.66</v>
      </c>
      <c r="N34" s="2">
        <v>1847.66</v>
      </c>
      <c r="O34">
        <v>0</v>
      </c>
      <c r="P34">
        <v>0</v>
      </c>
      <c r="Q34" t="s">
        <v>25</v>
      </c>
    </row>
    <row r="35" spans="1:17">
      <c r="A35" t="s">
        <v>15</v>
      </c>
      <c r="B35" t="s">
        <v>26</v>
      </c>
      <c r="C35" t="s">
        <v>27</v>
      </c>
      <c r="D35" t="s">
        <v>28</v>
      </c>
      <c r="E35">
        <v>4</v>
      </c>
      <c r="F35" t="str">
        <f>VLOOKUP(E35,[1]LOJA!$A:$B,2,0)</f>
        <v>ADE</v>
      </c>
      <c r="G35" t="s">
        <v>19</v>
      </c>
      <c r="H35" t="s">
        <v>20</v>
      </c>
      <c r="I35" s="1">
        <v>46038</v>
      </c>
      <c r="J35" s="1">
        <v>46042</v>
      </c>
      <c r="K35" s="1">
        <v>46042</v>
      </c>
      <c r="L35">
        <v>20</v>
      </c>
      <c r="M35" s="2">
        <v>1366.74</v>
      </c>
      <c r="N35" s="2">
        <v>1366.74</v>
      </c>
      <c r="O35">
        <v>0</v>
      </c>
      <c r="P35">
        <v>0</v>
      </c>
      <c r="Q35" t="s">
        <v>29</v>
      </c>
    </row>
    <row r="36" spans="1:17">
      <c r="A36" t="s">
        <v>15</v>
      </c>
      <c r="B36" t="s">
        <v>26</v>
      </c>
      <c r="C36" t="s">
        <v>27</v>
      </c>
      <c r="D36" t="s">
        <v>28</v>
      </c>
      <c r="E36">
        <v>4</v>
      </c>
      <c r="F36" t="str">
        <f>VLOOKUP(E36,[1]LOJA!$A:$B,2,0)</f>
        <v>ADE</v>
      </c>
      <c r="G36" t="s">
        <v>19</v>
      </c>
      <c r="H36" t="s">
        <v>20</v>
      </c>
      <c r="I36" s="1">
        <v>46038</v>
      </c>
      <c r="J36" s="1">
        <v>46042</v>
      </c>
      <c r="K36" s="1">
        <v>46042</v>
      </c>
      <c r="L36">
        <v>17</v>
      </c>
      <c r="M36" s="2">
        <v>1884.5</v>
      </c>
      <c r="N36" s="2">
        <v>1884.5</v>
      </c>
      <c r="O36">
        <v>0</v>
      </c>
      <c r="P36">
        <v>0</v>
      </c>
      <c r="Q36" t="s">
        <v>30</v>
      </c>
    </row>
    <row r="37" spans="1:17">
      <c r="A37" t="s">
        <v>15</v>
      </c>
      <c r="B37" t="s">
        <v>26</v>
      </c>
      <c r="C37" t="s">
        <v>27</v>
      </c>
      <c r="D37" t="s">
        <v>28</v>
      </c>
      <c r="E37">
        <v>4</v>
      </c>
      <c r="F37" t="str">
        <f>VLOOKUP(E37,[1]LOJA!$A:$B,2,0)</f>
        <v>ADE</v>
      </c>
      <c r="G37" t="s">
        <v>19</v>
      </c>
      <c r="H37" t="s">
        <v>20</v>
      </c>
      <c r="I37" s="1">
        <v>46038</v>
      </c>
      <c r="J37" s="1">
        <v>46042</v>
      </c>
      <c r="K37" s="1">
        <v>46042</v>
      </c>
      <c r="L37">
        <v>26</v>
      </c>
      <c r="M37" s="2">
        <v>1083.94</v>
      </c>
      <c r="N37" s="2">
        <v>1083.94</v>
      </c>
      <c r="O37">
        <v>0</v>
      </c>
      <c r="P37">
        <v>0</v>
      </c>
      <c r="Q37" t="s">
        <v>31</v>
      </c>
    </row>
    <row r="38" spans="1:17">
      <c r="A38" t="s">
        <v>15</v>
      </c>
      <c r="B38" t="s">
        <v>26</v>
      </c>
      <c r="C38" t="s">
        <v>27</v>
      </c>
      <c r="D38" t="s">
        <v>28</v>
      </c>
      <c r="E38">
        <v>4</v>
      </c>
      <c r="F38" t="str">
        <f>VLOOKUP(E38,[1]LOJA!$A:$B,2,0)</f>
        <v>ADE</v>
      </c>
      <c r="G38" t="s">
        <v>19</v>
      </c>
      <c r="H38" t="s">
        <v>20</v>
      </c>
      <c r="I38" s="1">
        <v>46038</v>
      </c>
      <c r="J38" s="1">
        <v>46042</v>
      </c>
      <c r="K38" s="1">
        <v>46042</v>
      </c>
      <c r="L38">
        <v>22</v>
      </c>
      <c r="M38">
        <v>690.18</v>
      </c>
      <c r="N38">
        <v>690.18</v>
      </c>
      <c r="O38">
        <v>0</v>
      </c>
      <c r="P38">
        <v>0</v>
      </c>
      <c r="Q38" t="s">
        <v>29</v>
      </c>
    </row>
    <row r="39" spans="1:17">
      <c r="A39" t="s">
        <v>15</v>
      </c>
      <c r="B39" t="s">
        <v>26</v>
      </c>
      <c r="C39" t="s">
        <v>27</v>
      </c>
      <c r="D39" t="s">
        <v>28</v>
      </c>
      <c r="E39">
        <v>6</v>
      </c>
      <c r="F39" t="str">
        <f>VLOOKUP(E39,[1]LOJA!$A:$B,2,0)</f>
        <v>GAMA</v>
      </c>
      <c r="G39" t="s">
        <v>19</v>
      </c>
      <c r="H39" t="s">
        <v>20</v>
      </c>
      <c r="I39" s="1">
        <v>46038</v>
      </c>
      <c r="J39" s="1">
        <v>46042</v>
      </c>
      <c r="K39" s="1">
        <v>46042</v>
      </c>
      <c r="L39">
        <v>20</v>
      </c>
      <c r="M39" s="2">
        <v>1021.93</v>
      </c>
      <c r="N39" s="2">
        <v>1021.93</v>
      </c>
      <c r="O39">
        <v>0</v>
      </c>
      <c r="P39">
        <v>0</v>
      </c>
      <c r="Q39" t="s">
        <v>29</v>
      </c>
    </row>
    <row r="40" spans="1:17">
      <c r="A40" t="s">
        <v>15</v>
      </c>
      <c r="B40" t="s">
        <v>26</v>
      </c>
      <c r="C40" t="s">
        <v>27</v>
      </c>
      <c r="D40" t="s">
        <v>28</v>
      </c>
      <c r="E40">
        <v>6</v>
      </c>
      <c r="F40" t="str">
        <f>VLOOKUP(E40,[1]LOJA!$A:$B,2,0)</f>
        <v>GAMA</v>
      </c>
      <c r="G40" t="s">
        <v>19</v>
      </c>
      <c r="H40" t="s">
        <v>20</v>
      </c>
      <c r="I40" s="1">
        <v>46038</v>
      </c>
      <c r="J40" s="1">
        <v>46042</v>
      </c>
      <c r="K40" s="1">
        <v>46042</v>
      </c>
      <c r="L40">
        <v>17</v>
      </c>
      <c r="M40" s="2">
        <v>1409.06</v>
      </c>
      <c r="N40" s="2">
        <v>1409.06</v>
      </c>
      <c r="O40">
        <v>0</v>
      </c>
      <c r="P40">
        <v>0</v>
      </c>
      <c r="Q40" t="s">
        <v>30</v>
      </c>
    </row>
    <row r="41" spans="1:17">
      <c r="A41" t="s">
        <v>15</v>
      </c>
      <c r="B41" t="s">
        <v>26</v>
      </c>
      <c r="C41" t="s">
        <v>27</v>
      </c>
      <c r="D41" t="s">
        <v>28</v>
      </c>
      <c r="E41">
        <v>6</v>
      </c>
      <c r="F41" t="str">
        <f>VLOOKUP(E41,[1]LOJA!$A:$B,2,0)</f>
        <v>GAMA</v>
      </c>
      <c r="G41" t="s">
        <v>19</v>
      </c>
      <c r="H41" t="s">
        <v>20</v>
      </c>
      <c r="I41" s="1">
        <v>46038</v>
      </c>
      <c r="J41" s="1">
        <v>46042</v>
      </c>
      <c r="K41" s="1">
        <v>46042</v>
      </c>
      <c r="L41">
        <v>26</v>
      </c>
      <c r="M41">
        <v>810.47</v>
      </c>
      <c r="N41">
        <v>810.47</v>
      </c>
      <c r="O41">
        <v>0</v>
      </c>
      <c r="P41">
        <v>0</v>
      </c>
      <c r="Q41" t="s">
        <v>31</v>
      </c>
    </row>
    <row r="42" spans="1:17">
      <c r="A42" t="s">
        <v>15</v>
      </c>
      <c r="B42" t="s">
        <v>26</v>
      </c>
      <c r="C42" t="s">
        <v>27</v>
      </c>
      <c r="D42" t="s">
        <v>28</v>
      </c>
      <c r="E42">
        <v>6</v>
      </c>
      <c r="F42" t="str">
        <f>VLOOKUP(E42,[1]LOJA!$A:$B,2,0)</f>
        <v>GAMA</v>
      </c>
      <c r="G42" t="s">
        <v>19</v>
      </c>
      <c r="H42" t="s">
        <v>20</v>
      </c>
      <c r="I42" s="1">
        <v>46038</v>
      </c>
      <c r="J42" s="1">
        <v>46042</v>
      </c>
      <c r="K42" s="1">
        <v>46042</v>
      </c>
      <c r="L42">
        <v>22</v>
      </c>
      <c r="M42">
        <v>516.05999999999995</v>
      </c>
      <c r="N42">
        <v>516.05999999999995</v>
      </c>
      <c r="O42">
        <v>0</v>
      </c>
      <c r="P42">
        <v>0</v>
      </c>
      <c r="Q42" t="s">
        <v>29</v>
      </c>
    </row>
    <row r="43" spans="1:17">
      <c r="A43" t="s">
        <v>15</v>
      </c>
      <c r="B43" t="s">
        <v>26</v>
      </c>
      <c r="C43" t="s">
        <v>27</v>
      </c>
      <c r="D43" t="s">
        <v>28</v>
      </c>
      <c r="E43">
        <v>8</v>
      </c>
      <c r="F43" t="str">
        <f>VLOOKUP(E43,[1]LOJA!$A:$B,2,0)</f>
        <v>LUZIÂNIA</v>
      </c>
      <c r="G43" t="s">
        <v>19</v>
      </c>
      <c r="H43" t="s">
        <v>20</v>
      </c>
      <c r="I43" s="1">
        <v>46038</v>
      </c>
      <c r="J43" s="1">
        <v>46042</v>
      </c>
      <c r="K43" s="1">
        <v>46042</v>
      </c>
      <c r="L43">
        <v>20</v>
      </c>
      <c r="M43">
        <v>0</v>
      </c>
      <c r="N43">
        <v>0</v>
      </c>
      <c r="O43">
        <v>0</v>
      </c>
      <c r="P43">
        <v>0</v>
      </c>
      <c r="Q43" t="s">
        <v>29</v>
      </c>
    </row>
    <row r="44" spans="1:17">
      <c r="A44" t="s">
        <v>15</v>
      </c>
      <c r="B44" t="s">
        <v>26</v>
      </c>
      <c r="C44" t="s">
        <v>27</v>
      </c>
      <c r="D44" t="s">
        <v>28</v>
      </c>
      <c r="E44">
        <v>8</v>
      </c>
      <c r="F44" t="str">
        <f>VLOOKUP(E44,[1]LOJA!$A:$B,2,0)</f>
        <v>LUZIÂNIA</v>
      </c>
      <c r="G44" t="s">
        <v>19</v>
      </c>
      <c r="H44" t="s">
        <v>20</v>
      </c>
      <c r="I44" s="1">
        <v>46038</v>
      </c>
      <c r="J44" s="1">
        <v>46042</v>
      </c>
      <c r="K44" s="1">
        <v>46042</v>
      </c>
      <c r="L44">
        <v>17</v>
      </c>
      <c r="M44">
        <v>0</v>
      </c>
      <c r="N44">
        <v>0</v>
      </c>
      <c r="O44">
        <v>0</v>
      </c>
      <c r="P44">
        <v>0</v>
      </c>
      <c r="Q44" t="s">
        <v>30</v>
      </c>
    </row>
    <row r="45" spans="1:17">
      <c r="A45" t="s">
        <v>15</v>
      </c>
      <c r="B45" t="s">
        <v>26</v>
      </c>
      <c r="C45" t="s">
        <v>27</v>
      </c>
      <c r="D45" t="s">
        <v>28</v>
      </c>
      <c r="E45">
        <v>8</v>
      </c>
      <c r="F45" t="str">
        <f>VLOOKUP(E45,[1]LOJA!$A:$B,2,0)</f>
        <v>LUZIÂNIA</v>
      </c>
      <c r="G45" t="s">
        <v>19</v>
      </c>
      <c r="H45" t="s">
        <v>20</v>
      </c>
      <c r="I45" s="1">
        <v>46038</v>
      </c>
      <c r="J45" s="1">
        <v>46042</v>
      </c>
      <c r="K45" s="1">
        <v>46042</v>
      </c>
      <c r="L45">
        <v>26</v>
      </c>
      <c r="M45">
        <v>0</v>
      </c>
      <c r="N45">
        <v>0</v>
      </c>
      <c r="O45">
        <v>0</v>
      </c>
      <c r="P45">
        <v>0</v>
      </c>
      <c r="Q45" t="s">
        <v>31</v>
      </c>
    </row>
    <row r="46" spans="1:17">
      <c r="A46" t="s">
        <v>15</v>
      </c>
      <c r="B46" t="s">
        <v>26</v>
      </c>
      <c r="C46" t="s">
        <v>27</v>
      </c>
      <c r="D46" t="s">
        <v>28</v>
      </c>
      <c r="E46">
        <v>8</v>
      </c>
      <c r="F46" t="str">
        <f>VLOOKUP(E46,[1]LOJA!$A:$B,2,0)</f>
        <v>LUZIÂNIA</v>
      </c>
      <c r="G46" t="s">
        <v>19</v>
      </c>
      <c r="H46" t="s">
        <v>20</v>
      </c>
      <c r="I46" s="1">
        <v>46038</v>
      </c>
      <c r="J46" s="1">
        <v>46042</v>
      </c>
      <c r="K46" s="1">
        <v>46042</v>
      </c>
      <c r="L46">
        <v>22</v>
      </c>
      <c r="M46">
        <v>0</v>
      </c>
      <c r="N46">
        <v>0</v>
      </c>
      <c r="O46">
        <v>0</v>
      </c>
      <c r="P46">
        <v>0</v>
      </c>
      <c r="Q46" t="s">
        <v>29</v>
      </c>
    </row>
    <row r="47" spans="1:17">
      <c r="A47" t="s">
        <v>15</v>
      </c>
      <c r="B47" t="s">
        <v>26</v>
      </c>
      <c r="C47" t="s">
        <v>27</v>
      </c>
      <c r="D47" t="s">
        <v>28</v>
      </c>
      <c r="E47">
        <v>12</v>
      </c>
      <c r="F47" t="str">
        <f>VLOOKUP(E47,[1]LOJA!$A:$B,2,0)</f>
        <v>SOFNORTE</v>
      </c>
      <c r="G47" t="s">
        <v>19</v>
      </c>
      <c r="H47" t="s">
        <v>20</v>
      </c>
      <c r="I47" s="1">
        <v>46038</v>
      </c>
      <c r="J47" s="1">
        <v>46042</v>
      </c>
      <c r="K47" s="1">
        <v>46042</v>
      </c>
      <c r="L47">
        <v>20</v>
      </c>
      <c r="M47" s="2">
        <v>1676.8</v>
      </c>
      <c r="N47" s="2">
        <v>1676.8</v>
      </c>
      <c r="O47">
        <v>0</v>
      </c>
      <c r="P47">
        <v>0</v>
      </c>
      <c r="Q47" t="s">
        <v>29</v>
      </c>
    </row>
    <row r="48" spans="1:17">
      <c r="A48" t="s">
        <v>15</v>
      </c>
      <c r="B48" t="s">
        <v>26</v>
      </c>
      <c r="C48" t="s">
        <v>27</v>
      </c>
      <c r="D48" t="s">
        <v>28</v>
      </c>
      <c r="E48">
        <v>12</v>
      </c>
      <c r="F48" t="str">
        <f>VLOOKUP(E48,[1]LOJA!$A:$B,2,0)</f>
        <v>SOFNORTE</v>
      </c>
      <c r="G48" t="s">
        <v>19</v>
      </c>
      <c r="H48" t="s">
        <v>20</v>
      </c>
      <c r="I48" s="1">
        <v>46038</v>
      </c>
      <c r="J48" s="1">
        <v>46042</v>
      </c>
      <c r="K48" s="1">
        <v>46042</v>
      </c>
      <c r="L48">
        <v>17</v>
      </c>
      <c r="M48" s="2">
        <v>2312.0100000000002</v>
      </c>
      <c r="N48" s="2">
        <v>2312.0100000000002</v>
      </c>
      <c r="O48">
        <v>0</v>
      </c>
      <c r="P48">
        <v>0</v>
      </c>
      <c r="Q48" t="s">
        <v>30</v>
      </c>
    </row>
    <row r="49" spans="1:17">
      <c r="A49" t="s">
        <v>15</v>
      </c>
      <c r="B49" t="s">
        <v>26</v>
      </c>
      <c r="C49" t="s">
        <v>27</v>
      </c>
      <c r="D49" t="s">
        <v>28</v>
      </c>
      <c r="E49">
        <v>12</v>
      </c>
      <c r="F49" t="str">
        <f>VLOOKUP(E49,[1]LOJA!$A:$B,2,0)</f>
        <v>SOFNORTE</v>
      </c>
      <c r="G49" t="s">
        <v>19</v>
      </c>
      <c r="H49" t="s">
        <v>20</v>
      </c>
      <c r="I49" s="1">
        <v>46038</v>
      </c>
      <c r="J49" s="1">
        <v>46042</v>
      </c>
      <c r="K49" s="1">
        <v>46042</v>
      </c>
      <c r="L49">
        <v>26</v>
      </c>
      <c r="M49" s="2">
        <v>1329.84</v>
      </c>
      <c r="N49" s="2">
        <v>1329.84</v>
      </c>
      <c r="O49">
        <v>0</v>
      </c>
      <c r="P49">
        <v>0</v>
      </c>
      <c r="Q49" t="s">
        <v>31</v>
      </c>
    </row>
    <row r="50" spans="1:17">
      <c r="A50" t="s">
        <v>15</v>
      </c>
      <c r="B50" t="s">
        <v>26</v>
      </c>
      <c r="C50" t="s">
        <v>27</v>
      </c>
      <c r="D50" t="s">
        <v>28</v>
      </c>
      <c r="E50">
        <v>12</v>
      </c>
      <c r="F50" t="str">
        <f>VLOOKUP(E50,[1]LOJA!$A:$B,2,0)</f>
        <v>SOFNORTE</v>
      </c>
      <c r="G50" t="s">
        <v>19</v>
      </c>
      <c r="H50" t="s">
        <v>20</v>
      </c>
      <c r="I50" s="1">
        <v>46038</v>
      </c>
      <c r="J50" s="1">
        <v>46042</v>
      </c>
      <c r="K50" s="1">
        <v>46042</v>
      </c>
      <c r="L50">
        <v>22</v>
      </c>
      <c r="M50">
        <v>846.75</v>
      </c>
      <c r="N50">
        <v>846.75</v>
      </c>
      <c r="O50">
        <v>0</v>
      </c>
      <c r="P50">
        <v>0</v>
      </c>
      <c r="Q50" t="s">
        <v>29</v>
      </c>
    </row>
    <row r="51" spans="1:17">
      <c r="A51" t="s">
        <v>15</v>
      </c>
      <c r="B51" t="s">
        <v>26</v>
      </c>
      <c r="C51" t="s">
        <v>27</v>
      </c>
      <c r="D51" t="s">
        <v>28</v>
      </c>
      <c r="E51">
        <v>13</v>
      </c>
      <c r="F51" t="str">
        <f>VLOOKUP(E51,[1]LOJA!$A:$B,2,0)</f>
        <v>CEILÂNDIA</v>
      </c>
      <c r="G51" t="s">
        <v>19</v>
      </c>
      <c r="H51" t="s">
        <v>20</v>
      </c>
      <c r="I51" s="1">
        <v>46038</v>
      </c>
      <c r="J51" s="1">
        <v>46042</v>
      </c>
      <c r="K51" s="1">
        <v>46042</v>
      </c>
      <c r="L51">
        <v>20</v>
      </c>
      <c r="M51" s="2">
        <v>1974.34</v>
      </c>
      <c r="N51" s="2">
        <v>1974.34</v>
      </c>
      <c r="O51">
        <v>0</v>
      </c>
      <c r="P51">
        <v>0</v>
      </c>
      <c r="Q51" t="s">
        <v>29</v>
      </c>
    </row>
    <row r="52" spans="1:17">
      <c r="A52" t="s">
        <v>15</v>
      </c>
      <c r="B52" t="s">
        <v>26</v>
      </c>
      <c r="C52" t="s">
        <v>27</v>
      </c>
      <c r="D52" t="s">
        <v>28</v>
      </c>
      <c r="E52">
        <v>13</v>
      </c>
      <c r="F52" t="str">
        <f>VLOOKUP(E52,[1]LOJA!$A:$B,2,0)</f>
        <v>CEILÂNDIA</v>
      </c>
      <c r="G52" t="s">
        <v>19</v>
      </c>
      <c r="H52" t="s">
        <v>20</v>
      </c>
      <c r="I52" s="1">
        <v>46038</v>
      </c>
      <c r="J52" s="1">
        <v>46042</v>
      </c>
      <c r="K52" s="1">
        <v>46042</v>
      </c>
      <c r="L52">
        <v>17</v>
      </c>
      <c r="M52" s="2">
        <v>2722.27</v>
      </c>
      <c r="N52" s="2">
        <v>2722.27</v>
      </c>
      <c r="O52">
        <v>0</v>
      </c>
      <c r="P52">
        <v>0</v>
      </c>
      <c r="Q52" t="s">
        <v>30</v>
      </c>
    </row>
    <row r="53" spans="1:17">
      <c r="A53" t="s">
        <v>15</v>
      </c>
      <c r="B53" t="s">
        <v>26</v>
      </c>
      <c r="C53" t="s">
        <v>27</v>
      </c>
      <c r="D53" t="s">
        <v>28</v>
      </c>
      <c r="E53">
        <v>13</v>
      </c>
      <c r="F53" t="str">
        <f>VLOOKUP(E53,[1]LOJA!$A:$B,2,0)</f>
        <v>CEILÂNDIA</v>
      </c>
      <c r="G53" t="s">
        <v>19</v>
      </c>
      <c r="H53" t="s">
        <v>20</v>
      </c>
      <c r="I53" s="1">
        <v>46038</v>
      </c>
      <c r="J53" s="1">
        <v>46042</v>
      </c>
      <c r="K53" s="1">
        <v>46042</v>
      </c>
      <c r="L53">
        <v>26</v>
      </c>
      <c r="M53" s="2">
        <v>1565.81</v>
      </c>
      <c r="N53" s="2">
        <v>1565.81</v>
      </c>
      <c r="O53">
        <v>0</v>
      </c>
      <c r="P53">
        <v>0</v>
      </c>
      <c r="Q53" t="s">
        <v>31</v>
      </c>
    </row>
    <row r="54" spans="1:17">
      <c r="A54" t="s">
        <v>15</v>
      </c>
      <c r="B54" t="s">
        <v>26</v>
      </c>
      <c r="C54" t="s">
        <v>27</v>
      </c>
      <c r="D54" t="s">
        <v>28</v>
      </c>
      <c r="E54">
        <v>13</v>
      </c>
      <c r="F54" t="str">
        <f>VLOOKUP(E54,[1]LOJA!$A:$B,2,0)</f>
        <v>CEILÂNDIA</v>
      </c>
      <c r="G54" t="s">
        <v>19</v>
      </c>
      <c r="H54" t="s">
        <v>20</v>
      </c>
      <c r="I54" s="1">
        <v>46038</v>
      </c>
      <c r="J54" s="1">
        <v>46042</v>
      </c>
      <c r="K54" s="1">
        <v>46042</v>
      </c>
      <c r="L54">
        <v>22</v>
      </c>
      <c r="M54">
        <v>997.01</v>
      </c>
      <c r="N54">
        <v>997.01</v>
      </c>
      <c r="O54">
        <v>0</v>
      </c>
      <c r="P54">
        <v>0</v>
      </c>
      <c r="Q54" t="s">
        <v>29</v>
      </c>
    </row>
    <row r="55" spans="1:17">
      <c r="A55" t="s">
        <v>15</v>
      </c>
      <c r="B55" t="s">
        <v>26</v>
      </c>
      <c r="C55" t="s">
        <v>27</v>
      </c>
      <c r="D55" t="s">
        <v>28</v>
      </c>
      <c r="E55">
        <v>14</v>
      </c>
      <c r="F55" t="str">
        <f>VLOOKUP(E55,[1]LOJA!$A:$B,2,0)</f>
        <v>S IA</v>
      </c>
      <c r="G55" t="s">
        <v>19</v>
      </c>
      <c r="H55" t="s">
        <v>20</v>
      </c>
      <c r="I55" s="1">
        <v>46038</v>
      </c>
      <c r="J55" s="1">
        <v>46042</v>
      </c>
      <c r="K55" s="1">
        <v>46042</v>
      </c>
      <c r="L55">
        <v>20</v>
      </c>
      <c r="M55" s="2">
        <v>2064.7199999999998</v>
      </c>
      <c r="N55" s="2">
        <v>2064.7199999999998</v>
      </c>
      <c r="O55">
        <v>0</v>
      </c>
      <c r="P55">
        <v>0</v>
      </c>
      <c r="Q55" t="s">
        <v>29</v>
      </c>
    </row>
    <row r="56" spans="1:17">
      <c r="A56" t="s">
        <v>15</v>
      </c>
      <c r="B56" t="s">
        <v>26</v>
      </c>
      <c r="C56" t="s">
        <v>27</v>
      </c>
      <c r="D56" t="s">
        <v>28</v>
      </c>
      <c r="E56">
        <v>14</v>
      </c>
      <c r="F56" t="str">
        <f>VLOOKUP(E56,[1]LOJA!$A:$B,2,0)</f>
        <v>S IA</v>
      </c>
      <c r="G56" t="s">
        <v>19</v>
      </c>
      <c r="H56" t="s">
        <v>20</v>
      </c>
      <c r="I56" s="1">
        <v>46038</v>
      </c>
      <c r="J56" s="1">
        <v>46042</v>
      </c>
      <c r="K56" s="1">
        <v>46042</v>
      </c>
      <c r="L56">
        <v>17</v>
      </c>
      <c r="M56" s="2">
        <v>2846.87</v>
      </c>
      <c r="N56" s="2">
        <v>2846.87</v>
      </c>
      <c r="O56">
        <v>0</v>
      </c>
      <c r="P56">
        <v>0</v>
      </c>
      <c r="Q56" t="s">
        <v>30</v>
      </c>
    </row>
    <row r="57" spans="1:17">
      <c r="A57" t="s">
        <v>15</v>
      </c>
      <c r="B57" t="s">
        <v>26</v>
      </c>
      <c r="C57" t="s">
        <v>27</v>
      </c>
      <c r="D57" t="s">
        <v>28</v>
      </c>
      <c r="E57">
        <v>14</v>
      </c>
      <c r="F57" t="str">
        <f>VLOOKUP(E57,[1]LOJA!$A:$B,2,0)</f>
        <v>S IA</v>
      </c>
      <c r="G57" t="s">
        <v>19</v>
      </c>
      <c r="H57" t="s">
        <v>20</v>
      </c>
      <c r="I57" s="1">
        <v>46038</v>
      </c>
      <c r="J57" s="1">
        <v>46042</v>
      </c>
      <c r="K57" s="1">
        <v>46042</v>
      </c>
      <c r="L57">
        <v>26</v>
      </c>
      <c r="M57" s="2">
        <v>1637.49</v>
      </c>
      <c r="N57" s="2">
        <v>1637.49</v>
      </c>
      <c r="O57">
        <v>0</v>
      </c>
      <c r="P57">
        <v>0</v>
      </c>
      <c r="Q57" t="s">
        <v>31</v>
      </c>
    </row>
    <row r="58" spans="1:17">
      <c r="A58" t="s">
        <v>15</v>
      </c>
      <c r="B58" t="s">
        <v>26</v>
      </c>
      <c r="C58" t="s">
        <v>27</v>
      </c>
      <c r="D58" t="s">
        <v>28</v>
      </c>
      <c r="E58">
        <v>14</v>
      </c>
      <c r="F58" t="str">
        <f>VLOOKUP(E58,[1]LOJA!$A:$B,2,0)</f>
        <v>S IA</v>
      </c>
      <c r="G58" t="s">
        <v>19</v>
      </c>
      <c r="H58" t="s">
        <v>20</v>
      </c>
      <c r="I58" s="1">
        <v>46038</v>
      </c>
      <c r="J58" s="1">
        <v>46042</v>
      </c>
      <c r="K58" s="1">
        <v>46042</v>
      </c>
      <c r="L58">
        <v>22</v>
      </c>
      <c r="M58" s="2">
        <v>1042.6400000000001</v>
      </c>
      <c r="N58" s="2">
        <v>1042.6400000000001</v>
      </c>
      <c r="O58">
        <v>0</v>
      </c>
      <c r="P58">
        <v>0</v>
      </c>
      <c r="Q58" t="s">
        <v>29</v>
      </c>
    </row>
    <row r="59" spans="1:17">
      <c r="A59" t="s">
        <v>15</v>
      </c>
      <c r="B59" t="s">
        <v>26</v>
      </c>
      <c r="C59" t="s">
        <v>27</v>
      </c>
      <c r="D59" t="s">
        <v>28</v>
      </c>
      <c r="E59">
        <v>15</v>
      </c>
      <c r="F59" t="str">
        <f>VLOOKUP(E59,[1]LOJA!$A:$B,2,0)</f>
        <v>UNAÍ</v>
      </c>
      <c r="G59" t="s">
        <v>19</v>
      </c>
      <c r="H59" t="s">
        <v>20</v>
      </c>
      <c r="I59" s="1">
        <v>46038</v>
      </c>
      <c r="J59" s="1">
        <v>46042</v>
      </c>
      <c r="K59" s="1">
        <v>46042</v>
      </c>
      <c r="L59">
        <v>20</v>
      </c>
      <c r="M59">
        <v>807.81</v>
      </c>
      <c r="N59">
        <v>807.81</v>
      </c>
      <c r="O59">
        <v>0</v>
      </c>
      <c r="P59">
        <v>0</v>
      </c>
      <c r="Q59" t="s">
        <v>29</v>
      </c>
    </row>
    <row r="60" spans="1:17">
      <c r="A60" t="s">
        <v>15</v>
      </c>
      <c r="B60" t="s">
        <v>26</v>
      </c>
      <c r="C60" t="s">
        <v>27</v>
      </c>
      <c r="D60" t="s">
        <v>28</v>
      </c>
      <c r="E60">
        <v>15</v>
      </c>
      <c r="F60" t="str">
        <f>VLOOKUP(E60,[1]LOJA!$A:$B,2,0)</f>
        <v>UNAÍ</v>
      </c>
      <c r="G60" t="s">
        <v>19</v>
      </c>
      <c r="H60" t="s">
        <v>20</v>
      </c>
      <c r="I60" s="1">
        <v>46038</v>
      </c>
      <c r="J60" s="1">
        <v>46042</v>
      </c>
      <c r="K60" s="1">
        <v>46042</v>
      </c>
      <c r="L60">
        <v>17</v>
      </c>
      <c r="M60" s="2">
        <v>1113.83</v>
      </c>
      <c r="N60" s="2">
        <v>1113.83</v>
      </c>
      <c r="O60">
        <v>0</v>
      </c>
      <c r="P60">
        <v>0</v>
      </c>
      <c r="Q60" t="s">
        <v>30</v>
      </c>
    </row>
    <row r="61" spans="1:17">
      <c r="A61" t="s">
        <v>15</v>
      </c>
      <c r="B61" t="s">
        <v>26</v>
      </c>
      <c r="C61" t="s">
        <v>27</v>
      </c>
      <c r="D61" t="s">
        <v>28</v>
      </c>
      <c r="E61">
        <v>15</v>
      </c>
      <c r="F61" t="str">
        <f>VLOOKUP(E61,[1]LOJA!$A:$B,2,0)</f>
        <v>UNAÍ</v>
      </c>
      <c r="G61" t="s">
        <v>19</v>
      </c>
      <c r="H61" t="s">
        <v>20</v>
      </c>
      <c r="I61" s="1">
        <v>46038</v>
      </c>
      <c r="J61" s="1">
        <v>46042</v>
      </c>
      <c r="K61" s="1">
        <v>46042</v>
      </c>
      <c r="L61">
        <v>26</v>
      </c>
      <c r="M61">
        <v>640.66</v>
      </c>
      <c r="N61">
        <v>640.66</v>
      </c>
      <c r="O61">
        <v>0</v>
      </c>
      <c r="P61">
        <v>0</v>
      </c>
      <c r="Q61" t="s">
        <v>31</v>
      </c>
    </row>
    <row r="62" spans="1:17">
      <c r="A62" t="s">
        <v>15</v>
      </c>
      <c r="B62" t="s">
        <v>26</v>
      </c>
      <c r="C62" t="s">
        <v>27</v>
      </c>
      <c r="D62" t="s">
        <v>28</v>
      </c>
      <c r="E62">
        <v>15</v>
      </c>
      <c r="F62" t="str">
        <f>VLOOKUP(E62,[1]LOJA!$A:$B,2,0)</f>
        <v>UNAÍ</v>
      </c>
      <c r="G62" t="s">
        <v>19</v>
      </c>
      <c r="H62" t="s">
        <v>20</v>
      </c>
      <c r="I62" s="1">
        <v>46038</v>
      </c>
      <c r="J62" s="1">
        <v>46042</v>
      </c>
      <c r="K62" s="1">
        <v>46042</v>
      </c>
      <c r="L62">
        <v>22</v>
      </c>
      <c r="M62">
        <v>407.93</v>
      </c>
      <c r="N62">
        <v>407.93</v>
      </c>
      <c r="O62">
        <v>0</v>
      </c>
      <c r="P62">
        <v>0</v>
      </c>
      <c r="Q62" t="s">
        <v>29</v>
      </c>
    </row>
    <row r="63" spans="1:17">
      <c r="A63" t="s">
        <v>15</v>
      </c>
      <c r="B63" t="s">
        <v>26</v>
      </c>
      <c r="C63" t="s">
        <v>27</v>
      </c>
      <c r="D63" t="s">
        <v>28</v>
      </c>
      <c r="E63">
        <v>16</v>
      </c>
      <c r="F63" t="str">
        <f>VLOOKUP(E63,[1]LOJA!$A:$B,2,0)</f>
        <v>AG LINDAS</v>
      </c>
      <c r="G63" t="s">
        <v>19</v>
      </c>
      <c r="H63" t="s">
        <v>20</v>
      </c>
      <c r="I63" s="1">
        <v>46038</v>
      </c>
      <c r="J63" s="1">
        <v>46042</v>
      </c>
      <c r="K63" s="1">
        <v>46042</v>
      </c>
      <c r="L63">
        <v>20</v>
      </c>
      <c r="M63">
        <v>638.17999999999995</v>
      </c>
      <c r="N63">
        <v>638.17999999999995</v>
      </c>
      <c r="O63">
        <v>0</v>
      </c>
      <c r="P63">
        <v>0</v>
      </c>
      <c r="Q63" t="s">
        <v>29</v>
      </c>
    </row>
    <row r="64" spans="1:17">
      <c r="A64" t="s">
        <v>15</v>
      </c>
      <c r="B64" t="s">
        <v>26</v>
      </c>
      <c r="C64" t="s">
        <v>27</v>
      </c>
      <c r="D64" t="s">
        <v>28</v>
      </c>
      <c r="E64">
        <v>16</v>
      </c>
      <c r="F64" t="str">
        <f>VLOOKUP(E64,[1]LOJA!$A:$B,2,0)</f>
        <v>AG LINDAS</v>
      </c>
      <c r="G64" t="s">
        <v>19</v>
      </c>
      <c r="H64" t="s">
        <v>20</v>
      </c>
      <c r="I64" s="1">
        <v>46038</v>
      </c>
      <c r="J64" s="1">
        <v>46042</v>
      </c>
      <c r="K64" s="1">
        <v>46042</v>
      </c>
      <c r="L64">
        <v>17</v>
      </c>
      <c r="M64">
        <v>879.94</v>
      </c>
      <c r="N64">
        <v>879.94</v>
      </c>
      <c r="O64">
        <v>0</v>
      </c>
      <c r="P64">
        <v>0</v>
      </c>
      <c r="Q64" t="s">
        <v>30</v>
      </c>
    </row>
    <row r="65" spans="1:17">
      <c r="A65" t="s">
        <v>15</v>
      </c>
      <c r="B65" t="s">
        <v>26</v>
      </c>
      <c r="C65" t="s">
        <v>27</v>
      </c>
      <c r="D65" t="s">
        <v>28</v>
      </c>
      <c r="E65">
        <v>16</v>
      </c>
      <c r="F65" t="str">
        <f>VLOOKUP(E65,[1]LOJA!$A:$B,2,0)</f>
        <v>AG LINDAS</v>
      </c>
      <c r="G65" t="s">
        <v>19</v>
      </c>
      <c r="H65" t="s">
        <v>20</v>
      </c>
      <c r="I65" s="1">
        <v>46038</v>
      </c>
      <c r="J65" s="1">
        <v>46042</v>
      </c>
      <c r="K65" s="1">
        <v>46042</v>
      </c>
      <c r="L65">
        <v>26</v>
      </c>
      <c r="M65">
        <v>506.13</v>
      </c>
      <c r="N65">
        <v>506.13</v>
      </c>
      <c r="O65">
        <v>0</v>
      </c>
      <c r="P65">
        <v>0</v>
      </c>
      <c r="Q65" t="s">
        <v>31</v>
      </c>
    </row>
    <row r="66" spans="1:17">
      <c r="A66" t="s">
        <v>15</v>
      </c>
      <c r="B66" t="s">
        <v>26</v>
      </c>
      <c r="C66" t="s">
        <v>27</v>
      </c>
      <c r="D66" t="s">
        <v>28</v>
      </c>
      <c r="E66">
        <v>16</v>
      </c>
      <c r="F66" t="str">
        <f>VLOOKUP(E66,[1]LOJA!$A:$B,2,0)</f>
        <v>AG LINDAS</v>
      </c>
      <c r="G66" t="s">
        <v>19</v>
      </c>
      <c r="H66" t="s">
        <v>20</v>
      </c>
      <c r="I66" s="1">
        <v>46038</v>
      </c>
      <c r="J66" s="1">
        <v>46042</v>
      </c>
      <c r="K66" s="1">
        <v>46042</v>
      </c>
      <c r="L66">
        <v>22</v>
      </c>
      <c r="M66">
        <v>322.27</v>
      </c>
      <c r="N66">
        <v>322.27</v>
      </c>
      <c r="O66">
        <v>0</v>
      </c>
      <c r="P66">
        <v>0</v>
      </c>
      <c r="Q66" t="s">
        <v>29</v>
      </c>
    </row>
    <row r="67" spans="1:17">
      <c r="A67" t="s">
        <v>15</v>
      </c>
      <c r="B67" t="s">
        <v>26</v>
      </c>
      <c r="C67" t="s">
        <v>27</v>
      </c>
      <c r="D67" t="s">
        <v>28</v>
      </c>
      <c r="E67">
        <v>20</v>
      </c>
      <c r="F67" t="str">
        <f>VLOOKUP(E67,[1]LOJA!$A:$B,2,0)</f>
        <v>DAUTO SERVIÇOS</v>
      </c>
      <c r="G67" t="s">
        <v>19</v>
      </c>
      <c r="H67" t="s">
        <v>20</v>
      </c>
      <c r="I67" s="1">
        <v>46038</v>
      </c>
      <c r="J67" s="1">
        <v>46042</v>
      </c>
      <c r="K67" s="1">
        <v>46042</v>
      </c>
      <c r="L67">
        <v>20</v>
      </c>
      <c r="M67">
        <v>0</v>
      </c>
      <c r="N67">
        <v>0</v>
      </c>
      <c r="O67">
        <v>0</v>
      </c>
      <c r="P67">
        <v>0</v>
      </c>
      <c r="Q67" t="s">
        <v>29</v>
      </c>
    </row>
    <row r="68" spans="1:17">
      <c r="A68" t="s">
        <v>15</v>
      </c>
      <c r="B68" t="s">
        <v>26</v>
      </c>
      <c r="C68" t="s">
        <v>27</v>
      </c>
      <c r="D68" t="s">
        <v>28</v>
      </c>
      <c r="E68">
        <v>20</v>
      </c>
      <c r="F68" t="str">
        <f>VLOOKUP(E68,[1]LOJA!$A:$B,2,0)</f>
        <v>DAUTO SERVIÇOS</v>
      </c>
      <c r="G68" t="s">
        <v>19</v>
      </c>
      <c r="H68" t="s">
        <v>20</v>
      </c>
      <c r="I68" s="1">
        <v>46038</v>
      </c>
      <c r="J68" s="1">
        <v>46042</v>
      </c>
      <c r="K68" s="1">
        <v>46042</v>
      </c>
      <c r="L68">
        <v>17</v>
      </c>
      <c r="M68">
        <v>0</v>
      </c>
      <c r="N68">
        <v>0</v>
      </c>
      <c r="O68">
        <v>0</v>
      </c>
      <c r="P68">
        <v>0</v>
      </c>
      <c r="Q68" t="s">
        <v>30</v>
      </c>
    </row>
    <row r="69" spans="1:17">
      <c r="A69" t="s">
        <v>15</v>
      </c>
      <c r="B69" t="s">
        <v>26</v>
      </c>
      <c r="C69" t="s">
        <v>27</v>
      </c>
      <c r="D69" t="s">
        <v>28</v>
      </c>
      <c r="E69">
        <v>20</v>
      </c>
      <c r="F69" t="str">
        <f>VLOOKUP(E69,[1]LOJA!$A:$B,2,0)</f>
        <v>DAUTO SERVIÇOS</v>
      </c>
      <c r="G69" t="s">
        <v>19</v>
      </c>
      <c r="H69" t="s">
        <v>20</v>
      </c>
      <c r="I69" s="1">
        <v>46038</v>
      </c>
      <c r="J69" s="1">
        <v>46042</v>
      </c>
      <c r="K69" s="1">
        <v>46042</v>
      </c>
      <c r="L69">
        <v>26</v>
      </c>
      <c r="M69">
        <v>0</v>
      </c>
      <c r="N69">
        <v>0</v>
      </c>
      <c r="O69">
        <v>0</v>
      </c>
      <c r="P69">
        <v>0</v>
      </c>
      <c r="Q69" t="s">
        <v>31</v>
      </c>
    </row>
    <row r="70" spans="1:17">
      <c r="A70" t="s">
        <v>15</v>
      </c>
      <c r="B70" t="s">
        <v>26</v>
      </c>
      <c r="C70" t="s">
        <v>27</v>
      </c>
      <c r="D70" t="s">
        <v>28</v>
      </c>
      <c r="E70">
        <v>20</v>
      </c>
      <c r="F70" t="str">
        <f>VLOOKUP(E70,[1]LOJA!$A:$B,2,0)</f>
        <v>DAUTO SERVIÇOS</v>
      </c>
      <c r="G70" t="s">
        <v>19</v>
      </c>
      <c r="H70" t="s">
        <v>20</v>
      </c>
      <c r="I70" s="1">
        <v>46038</v>
      </c>
      <c r="J70" s="1">
        <v>46042</v>
      </c>
      <c r="K70" s="1">
        <v>46042</v>
      </c>
      <c r="L70">
        <v>22</v>
      </c>
      <c r="M70">
        <v>0</v>
      </c>
      <c r="N70">
        <v>0</v>
      </c>
      <c r="O70">
        <v>0</v>
      </c>
      <c r="P70">
        <v>0</v>
      </c>
      <c r="Q70" t="s">
        <v>29</v>
      </c>
    </row>
    <row r="71" spans="1:17">
      <c r="A71" t="s">
        <v>15</v>
      </c>
      <c r="B71" t="s">
        <v>26</v>
      </c>
      <c r="C71" t="s">
        <v>27</v>
      </c>
      <c r="D71" t="s">
        <v>28</v>
      </c>
      <c r="E71">
        <v>22</v>
      </c>
      <c r="F71" t="str">
        <f>VLOOKUP(E71,[1]LOJA!$A:$B,2,0)</f>
        <v>GUARÁ</v>
      </c>
      <c r="G71" t="s">
        <v>19</v>
      </c>
      <c r="H71" t="s">
        <v>20</v>
      </c>
      <c r="I71" s="1">
        <v>46038</v>
      </c>
      <c r="J71" s="1">
        <v>46042</v>
      </c>
      <c r="K71" s="1">
        <v>46042</v>
      </c>
      <c r="L71">
        <v>20</v>
      </c>
      <c r="M71" s="2">
        <v>1532.2</v>
      </c>
      <c r="N71" s="2">
        <v>1532.2</v>
      </c>
      <c r="O71">
        <v>0</v>
      </c>
      <c r="P71">
        <v>0</v>
      </c>
      <c r="Q71" t="s">
        <v>29</v>
      </c>
    </row>
    <row r="72" spans="1:17">
      <c r="A72" t="s">
        <v>15</v>
      </c>
      <c r="B72" t="s">
        <v>26</v>
      </c>
      <c r="C72" t="s">
        <v>27</v>
      </c>
      <c r="D72" t="s">
        <v>28</v>
      </c>
      <c r="E72">
        <v>22</v>
      </c>
      <c r="F72" t="str">
        <f>VLOOKUP(E72,[1]LOJA!$A:$B,2,0)</f>
        <v>GUARÁ</v>
      </c>
      <c r="G72" t="s">
        <v>19</v>
      </c>
      <c r="H72" t="s">
        <v>20</v>
      </c>
      <c r="I72" s="1">
        <v>46038</v>
      </c>
      <c r="J72" s="1">
        <v>46042</v>
      </c>
      <c r="K72" s="1">
        <v>46042</v>
      </c>
      <c r="L72">
        <v>17</v>
      </c>
      <c r="M72" s="2">
        <v>2112.63</v>
      </c>
      <c r="N72" s="2">
        <v>2112.63</v>
      </c>
      <c r="O72">
        <v>0</v>
      </c>
      <c r="P72">
        <v>0</v>
      </c>
      <c r="Q72" t="s">
        <v>30</v>
      </c>
    </row>
    <row r="73" spans="1:17">
      <c r="A73" t="s">
        <v>15</v>
      </c>
      <c r="B73" t="s">
        <v>26</v>
      </c>
      <c r="C73" t="s">
        <v>27</v>
      </c>
      <c r="D73" t="s">
        <v>28</v>
      </c>
      <c r="E73">
        <v>22</v>
      </c>
      <c r="F73" t="str">
        <f>VLOOKUP(E73,[1]LOJA!$A:$B,2,0)</f>
        <v>GUARÁ</v>
      </c>
      <c r="G73" t="s">
        <v>19</v>
      </c>
      <c r="H73" t="s">
        <v>20</v>
      </c>
      <c r="I73" s="1">
        <v>46038</v>
      </c>
      <c r="J73" s="1">
        <v>46042</v>
      </c>
      <c r="K73" s="1">
        <v>46042</v>
      </c>
      <c r="L73">
        <v>26</v>
      </c>
      <c r="M73" s="2">
        <v>1215.1600000000001</v>
      </c>
      <c r="N73" s="2">
        <v>1215.1600000000001</v>
      </c>
      <c r="O73">
        <v>0</v>
      </c>
      <c r="P73">
        <v>0</v>
      </c>
      <c r="Q73" t="s">
        <v>31</v>
      </c>
    </row>
    <row r="74" spans="1:17">
      <c r="A74" t="s">
        <v>15</v>
      </c>
      <c r="B74" t="s">
        <v>26</v>
      </c>
      <c r="C74" t="s">
        <v>27</v>
      </c>
      <c r="D74" t="s">
        <v>28</v>
      </c>
      <c r="E74">
        <v>22</v>
      </c>
      <c r="F74" t="str">
        <f>VLOOKUP(E74,[1]LOJA!$A:$B,2,0)</f>
        <v>GUARÁ</v>
      </c>
      <c r="G74" t="s">
        <v>19</v>
      </c>
      <c r="H74" t="s">
        <v>20</v>
      </c>
      <c r="I74" s="1">
        <v>46038</v>
      </c>
      <c r="J74" s="1">
        <v>46042</v>
      </c>
      <c r="K74" s="1">
        <v>46042</v>
      </c>
      <c r="L74">
        <v>22</v>
      </c>
      <c r="M74">
        <v>773.73</v>
      </c>
      <c r="N74">
        <v>773.73</v>
      </c>
      <c r="O74">
        <v>0</v>
      </c>
      <c r="P74">
        <v>0</v>
      </c>
      <c r="Q74" t="s">
        <v>29</v>
      </c>
    </row>
    <row r="75" spans="1:17">
      <c r="A75" t="s">
        <v>15</v>
      </c>
      <c r="B75" t="s">
        <v>26</v>
      </c>
      <c r="C75" t="s">
        <v>27</v>
      </c>
      <c r="D75" t="s">
        <v>28</v>
      </c>
      <c r="E75">
        <v>24</v>
      </c>
      <c r="F75" t="str">
        <f>VLOOKUP(E75,[1]LOJA!$A:$B,2,0)</f>
        <v>LUZIÂNIA</v>
      </c>
      <c r="G75" t="s">
        <v>19</v>
      </c>
      <c r="H75" t="s">
        <v>20</v>
      </c>
      <c r="I75" s="1">
        <v>46038</v>
      </c>
      <c r="J75" s="1">
        <v>46042</v>
      </c>
      <c r="K75" s="1">
        <v>46042</v>
      </c>
      <c r="L75">
        <v>20</v>
      </c>
      <c r="M75" s="2">
        <v>2821.09</v>
      </c>
      <c r="N75" s="2">
        <v>2821.09</v>
      </c>
      <c r="O75">
        <v>0</v>
      </c>
      <c r="P75">
        <v>0</v>
      </c>
      <c r="Q75" t="s">
        <v>29</v>
      </c>
    </row>
    <row r="76" spans="1:17">
      <c r="A76" t="s">
        <v>15</v>
      </c>
      <c r="B76" t="s">
        <v>26</v>
      </c>
      <c r="C76" t="s">
        <v>27</v>
      </c>
      <c r="D76" t="s">
        <v>28</v>
      </c>
      <c r="E76">
        <v>24</v>
      </c>
      <c r="F76" t="str">
        <f>VLOOKUP(E76,[1]LOJA!$A:$B,2,0)</f>
        <v>LUZIÂNIA</v>
      </c>
      <c r="G76" t="s">
        <v>19</v>
      </c>
      <c r="H76" t="s">
        <v>20</v>
      </c>
      <c r="I76" s="1">
        <v>46038</v>
      </c>
      <c r="J76" s="1">
        <v>46042</v>
      </c>
      <c r="K76" s="1">
        <v>46042</v>
      </c>
      <c r="L76">
        <v>17</v>
      </c>
      <c r="M76" s="2">
        <v>3889.78</v>
      </c>
      <c r="N76" s="2">
        <v>3889.78</v>
      </c>
      <c r="O76">
        <v>0</v>
      </c>
      <c r="P76">
        <v>0</v>
      </c>
      <c r="Q76" t="s">
        <v>30</v>
      </c>
    </row>
    <row r="77" spans="1:17">
      <c r="A77" t="s">
        <v>15</v>
      </c>
      <c r="B77" t="s">
        <v>26</v>
      </c>
      <c r="C77" t="s">
        <v>27</v>
      </c>
      <c r="D77" t="s">
        <v>28</v>
      </c>
      <c r="E77">
        <v>24</v>
      </c>
      <c r="F77" t="str">
        <f>VLOOKUP(E77,[1]LOJA!$A:$B,2,0)</f>
        <v>LUZIÂNIA</v>
      </c>
      <c r="G77" t="s">
        <v>19</v>
      </c>
      <c r="H77" t="s">
        <v>20</v>
      </c>
      <c r="I77" s="1">
        <v>46038</v>
      </c>
      <c r="J77" s="1">
        <v>46042</v>
      </c>
      <c r="K77" s="1">
        <v>46042</v>
      </c>
      <c r="L77">
        <v>26</v>
      </c>
      <c r="M77" s="2">
        <v>2237.35</v>
      </c>
      <c r="N77" s="2">
        <v>2237.35</v>
      </c>
      <c r="O77">
        <v>0</v>
      </c>
      <c r="P77">
        <v>0</v>
      </c>
      <c r="Q77" t="s">
        <v>31</v>
      </c>
    </row>
    <row r="78" spans="1:17">
      <c r="A78" t="s">
        <v>15</v>
      </c>
      <c r="B78" t="s">
        <v>26</v>
      </c>
      <c r="C78" t="s">
        <v>27</v>
      </c>
      <c r="D78" t="s">
        <v>28</v>
      </c>
      <c r="E78">
        <v>24</v>
      </c>
      <c r="F78" t="str">
        <f>VLOOKUP(E78,[1]LOJA!$A:$B,2,0)</f>
        <v>LUZIÂNIA</v>
      </c>
      <c r="G78" t="s">
        <v>19</v>
      </c>
      <c r="H78" t="s">
        <v>20</v>
      </c>
      <c r="I78" s="1">
        <v>46038</v>
      </c>
      <c r="J78" s="1">
        <v>46042</v>
      </c>
      <c r="K78" s="1">
        <v>46042</v>
      </c>
      <c r="L78">
        <v>22</v>
      </c>
      <c r="M78" s="2">
        <v>1424.59</v>
      </c>
      <c r="N78" s="2">
        <v>1424.59</v>
      </c>
      <c r="O78">
        <v>0</v>
      </c>
      <c r="P78">
        <v>0</v>
      </c>
      <c r="Q78" t="s">
        <v>29</v>
      </c>
    </row>
    <row r="79" spans="1:17">
      <c r="A79" t="s">
        <v>15</v>
      </c>
      <c r="B79" t="s">
        <v>32</v>
      </c>
      <c r="C79" t="s">
        <v>23</v>
      </c>
      <c r="D79" t="s">
        <v>33</v>
      </c>
      <c r="E79">
        <v>1</v>
      </c>
      <c r="F79" t="str">
        <f>VLOOKUP(E79,[1]LOJA!$A:$B,2,0)</f>
        <v>GUARÁ</v>
      </c>
      <c r="G79" t="s">
        <v>19</v>
      </c>
      <c r="H79" t="s">
        <v>20</v>
      </c>
      <c r="I79" s="1">
        <v>45694</v>
      </c>
      <c r="J79" s="1">
        <v>46045</v>
      </c>
      <c r="K79" s="1">
        <v>46045</v>
      </c>
      <c r="L79">
        <v>34</v>
      </c>
      <c r="M79">
        <v>0</v>
      </c>
      <c r="N79">
        <v>0</v>
      </c>
      <c r="O79">
        <v>0</v>
      </c>
      <c r="P79">
        <v>0</v>
      </c>
      <c r="Q79" t="s">
        <v>34</v>
      </c>
    </row>
    <row r="80" spans="1:17">
      <c r="A80" t="s">
        <v>15</v>
      </c>
      <c r="B80" t="s">
        <v>32</v>
      </c>
      <c r="C80" t="s">
        <v>23</v>
      </c>
      <c r="D80" t="s">
        <v>33</v>
      </c>
      <c r="E80">
        <v>4</v>
      </c>
      <c r="F80" t="str">
        <f>VLOOKUP(E80,[1]LOJA!$A:$B,2,0)</f>
        <v>ADE</v>
      </c>
      <c r="G80" t="s">
        <v>19</v>
      </c>
      <c r="H80" t="s">
        <v>20</v>
      </c>
      <c r="I80" s="1">
        <v>45694</v>
      </c>
      <c r="J80" s="1">
        <v>46045</v>
      </c>
      <c r="K80" s="1">
        <v>46045</v>
      </c>
      <c r="L80">
        <v>34</v>
      </c>
      <c r="M80">
        <v>321.69</v>
      </c>
      <c r="N80">
        <v>321.69</v>
      </c>
      <c r="O80">
        <v>0</v>
      </c>
      <c r="P80">
        <v>0</v>
      </c>
      <c r="Q80" t="s">
        <v>34</v>
      </c>
    </row>
    <row r="81" spans="1:17">
      <c r="A81" t="s">
        <v>15</v>
      </c>
      <c r="B81" t="s">
        <v>32</v>
      </c>
      <c r="C81" t="s">
        <v>23</v>
      </c>
      <c r="D81" t="s">
        <v>33</v>
      </c>
      <c r="E81">
        <v>6</v>
      </c>
      <c r="F81" t="str">
        <f>VLOOKUP(E81,[1]LOJA!$A:$B,2,0)</f>
        <v>GAMA</v>
      </c>
      <c r="G81" t="s">
        <v>19</v>
      </c>
      <c r="H81" t="s">
        <v>20</v>
      </c>
      <c r="I81" s="1">
        <v>45694</v>
      </c>
      <c r="J81" s="1">
        <v>46045</v>
      </c>
      <c r="K81" s="1">
        <v>46045</v>
      </c>
      <c r="L81">
        <v>34</v>
      </c>
      <c r="M81">
        <v>301.37</v>
      </c>
      <c r="N81">
        <v>301.37</v>
      </c>
      <c r="O81">
        <v>0</v>
      </c>
      <c r="P81">
        <v>0</v>
      </c>
      <c r="Q81" t="s">
        <v>34</v>
      </c>
    </row>
    <row r="82" spans="1:17">
      <c r="A82" t="s">
        <v>15</v>
      </c>
      <c r="B82" t="s">
        <v>32</v>
      </c>
      <c r="C82" t="s">
        <v>23</v>
      </c>
      <c r="D82" t="s">
        <v>33</v>
      </c>
      <c r="E82">
        <v>8</v>
      </c>
      <c r="F82" t="str">
        <f>VLOOKUP(E82,[1]LOJA!$A:$B,2,0)</f>
        <v>LUZIÂNIA</v>
      </c>
      <c r="G82" t="s">
        <v>19</v>
      </c>
      <c r="H82" t="s">
        <v>20</v>
      </c>
      <c r="I82" s="1">
        <v>45694</v>
      </c>
      <c r="J82" s="1">
        <v>46045</v>
      </c>
      <c r="K82" s="1">
        <v>46045</v>
      </c>
      <c r="L82">
        <v>34</v>
      </c>
      <c r="M82">
        <v>561.74</v>
      </c>
      <c r="N82">
        <v>561.74</v>
      </c>
      <c r="O82">
        <v>0</v>
      </c>
      <c r="P82">
        <v>0</v>
      </c>
      <c r="Q82" t="s">
        <v>34</v>
      </c>
    </row>
    <row r="83" spans="1:17">
      <c r="A83" t="s">
        <v>15</v>
      </c>
      <c r="B83" t="s">
        <v>32</v>
      </c>
      <c r="C83" t="s">
        <v>23</v>
      </c>
      <c r="D83" t="s">
        <v>33</v>
      </c>
      <c r="E83">
        <v>12</v>
      </c>
      <c r="F83" t="str">
        <f>VLOOKUP(E83,[1]LOJA!$A:$B,2,0)</f>
        <v>SOFNORTE</v>
      </c>
      <c r="G83" t="s">
        <v>19</v>
      </c>
      <c r="H83" t="s">
        <v>20</v>
      </c>
      <c r="I83" s="1">
        <v>45694</v>
      </c>
      <c r="J83" s="1">
        <v>46045</v>
      </c>
      <c r="K83" s="1">
        <v>46045</v>
      </c>
      <c r="L83">
        <v>34</v>
      </c>
      <c r="M83">
        <v>407.1</v>
      </c>
      <c r="N83">
        <v>407.1</v>
      </c>
      <c r="O83">
        <v>0</v>
      </c>
      <c r="P83">
        <v>0</v>
      </c>
      <c r="Q83" t="s">
        <v>34</v>
      </c>
    </row>
    <row r="84" spans="1:17">
      <c r="A84" t="s">
        <v>15</v>
      </c>
      <c r="B84" t="s">
        <v>32</v>
      </c>
      <c r="C84" t="s">
        <v>23</v>
      </c>
      <c r="D84" t="s">
        <v>33</v>
      </c>
      <c r="E84">
        <v>13</v>
      </c>
      <c r="F84" t="str">
        <f>VLOOKUP(E84,[1]LOJA!$A:$B,2,0)</f>
        <v>CEILÂNDIA</v>
      </c>
      <c r="G84" t="s">
        <v>19</v>
      </c>
      <c r="H84" t="s">
        <v>20</v>
      </c>
      <c r="I84" s="1">
        <v>45694</v>
      </c>
      <c r="J84" s="1">
        <v>46045</v>
      </c>
      <c r="K84" s="1">
        <v>46045</v>
      </c>
      <c r="L84">
        <v>34</v>
      </c>
      <c r="M84">
        <v>482.72</v>
      </c>
      <c r="N84">
        <v>482.72</v>
      </c>
      <c r="O84">
        <v>0</v>
      </c>
      <c r="P84">
        <v>0</v>
      </c>
      <c r="Q84" t="s">
        <v>34</v>
      </c>
    </row>
    <row r="85" spans="1:17">
      <c r="A85" t="s">
        <v>15</v>
      </c>
      <c r="B85" t="s">
        <v>32</v>
      </c>
      <c r="C85" t="s">
        <v>23</v>
      </c>
      <c r="D85" t="s">
        <v>33</v>
      </c>
      <c r="E85">
        <v>14</v>
      </c>
      <c r="F85" t="str">
        <f>VLOOKUP(E85,[1]LOJA!$A:$B,2,0)</f>
        <v>S IA</v>
      </c>
      <c r="G85" t="s">
        <v>19</v>
      </c>
      <c r="H85" t="s">
        <v>20</v>
      </c>
      <c r="I85" s="1">
        <v>45694</v>
      </c>
      <c r="J85" s="1">
        <v>46045</v>
      </c>
      <c r="K85" s="1">
        <v>46045</v>
      </c>
      <c r="L85">
        <v>34</v>
      </c>
      <c r="M85">
        <v>595.22</v>
      </c>
      <c r="N85">
        <v>595.22</v>
      </c>
      <c r="O85">
        <v>0</v>
      </c>
      <c r="P85">
        <v>0</v>
      </c>
      <c r="Q85" t="s">
        <v>34</v>
      </c>
    </row>
    <row r="86" spans="1:17">
      <c r="A86" t="s">
        <v>15</v>
      </c>
      <c r="B86" t="s">
        <v>32</v>
      </c>
      <c r="C86" t="s">
        <v>23</v>
      </c>
      <c r="D86" t="s">
        <v>33</v>
      </c>
      <c r="E86">
        <v>15</v>
      </c>
      <c r="F86" t="str">
        <f>VLOOKUP(E86,[1]LOJA!$A:$B,2,0)</f>
        <v>UNAÍ</v>
      </c>
      <c r="G86" t="s">
        <v>19</v>
      </c>
      <c r="H86" t="s">
        <v>20</v>
      </c>
      <c r="I86" s="1">
        <v>45694</v>
      </c>
      <c r="J86" s="1">
        <v>46045</v>
      </c>
      <c r="K86" s="1">
        <v>46045</v>
      </c>
      <c r="L86">
        <v>34</v>
      </c>
      <c r="M86">
        <v>444.72</v>
      </c>
      <c r="N86">
        <v>444.72</v>
      </c>
      <c r="O86">
        <v>0</v>
      </c>
      <c r="P86">
        <v>0</v>
      </c>
      <c r="Q86" t="s">
        <v>34</v>
      </c>
    </row>
    <row r="87" spans="1:17">
      <c r="A87" t="s">
        <v>15</v>
      </c>
      <c r="B87" t="s">
        <v>32</v>
      </c>
      <c r="C87" t="s">
        <v>23</v>
      </c>
      <c r="D87" t="s">
        <v>33</v>
      </c>
      <c r="E87">
        <v>16</v>
      </c>
      <c r="F87" t="str">
        <f>VLOOKUP(E87,[1]LOJA!$A:$B,2,0)</f>
        <v>AG LINDAS</v>
      </c>
      <c r="G87" t="s">
        <v>19</v>
      </c>
      <c r="H87" t="s">
        <v>20</v>
      </c>
      <c r="I87" s="1">
        <v>45694</v>
      </c>
      <c r="J87" s="1">
        <v>46045</v>
      </c>
      <c r="K87" s="1">
        <v>46045</v>
      </c>
      <c r="L87">
        <v>34</v>
      </c>
      <c r="M87">
        <v>247.57</v>
      </c>
      <c r="N87">
        <v>247.57</v>
      </c>
      <c r="O87">
        <v>0</v>
      </c>
      <c r="P87">
        <v>0</v>
      </c>
      <c r="Q87" t="s">
        <v>34</v>
      </c>
    </row>
    <row r="88" spans="1:17">
      <c r="A88" t="s">
        <v>15</v>
      </c>
      <c r="B88" t="s">
        <v>32</v>
      </c>
      <c r="C88" t="s">
        <v>23</v>
      </c>
      <c r="D88" t="s">
        <v>33</v>
      </c>
      <c r="E88">
        <v>20</v>
      </c>
      <c r="F88" t="str">
        <f>VLOOKUP(E88,[1]LOJA!$A:$B,2,0)</f>
        <v>DAUTO SERVIÇOS</v>
      </c>
      <c r="G88" t="s">
        <v>19</v>
      </c>
      <c r="H88" t="s">
        <v>20</v>
      </c>
      <c r="I88" s="1">
        <v>45694</v>
      </c>
      <c r="J88" s="1">
        <v>46045</v>
      </c>
      <c r="K88" s="1">
        <v>46045</v>
      </c>
      <c r="L88">
        <v>34</v>
      </c>
      <c r="M88">
        <v>0</v>
      </c>
      <c r="N88">
        <v>0</v>
      </c>
      <c r="O88">
        <v>0</v>
      </c>
      <c r="P88">
        <v>0</v>
      </c>
      <c r="Q88" t="s">
        <v>34</v>
      </c>
    </row>
    <row r="89" spans="1:17">
      <c r="A89" t="s">
        <v>15</v>
      </c>
      <c r="B89" t="s">
        <v>32</v>
      </c>
      <c r="C89" t="s">
        <v>23</v>
      </c>
      <c r="D89" t="s">
        <v>33</v>
      </c>
      <c r="E89">
        <v>22</v>
      </c>
      <c r="F89" t="str">
        <f>VLOOKUP(E89,[1]LOJA!$A:$B,2,0)</f>
        <v>GUARÁ</v>
      </c>
      <c r="G89" t="s">
        <v>19</v>
      </c>
      <c r="H89" t="s">
        <v>20</v>
      </c>
      <c r="I89" s="1">
        <v>45694</v>
      </c>
      <c r="J89" s="1">
        <v>46045</v>
      </c>
      <c r="K89" s="1">
        <v>46045</v>
      </c>
      <c r="L89">
        <v>34</v>
      </c>
      <c r="M89">
        <v>400.33</v>
      </c>
      <c r="N89">
        <v>400.33</v>
      </c>
      <c r="O89">
        <v>0</v>
      </c>
      <c r="P89">
        <v>0</v>
      </c>
      <c r="Q89" t="s">
        <v>34</v>
      </c>
    </row>
    <row r="90" spans="1:17">
      <c r="A90" t="s">
        <v>35</v>
      </c>
      <c r="B90" t="s">
        <v>36</v>
      </c>
      <c r="C90" t="s">
        <v>23</v>
      </c>
      <c r="D90" t="s">
        <v>37</v>
      </c>
      <c r="E90">
        <v>1</v>
      </c>
      <c r="F90" t="str">
        <f>VLOOKUP(E90,[1]LOJA!$A:$B,2,0)</f>
        <v>GUARÁ</v>
      </c>
      <c r="G90" t="s">
        <v>19</v>
      </c>
      <c r="H90" t="s">
        <v>20</v>
      </c>
      <c r="I90" s="1">
        <v>46036</v>
      </c>
      <c r="J90" s="1">
        <v>46042</v>
      </c>
      <c r="K90" s="1">
        <v>46042</v>
      </c>
      <c r="L90">
        <v>23</v>
      </c>
      <c r="M90">
        <v>27.81</v>
      </c>
      <c r="N90">
        <v>27.81</v>
      </c>
      <c r="O90">
        <v>0</v>
      </c>
      <c r="P90">
        <v>0</v>
      </c>
      <c r="Q90" t="s">
        <v>38</v>
      </c>
    </row>
    <row r="91" spans="1:17">
      <c r="A91" t="s">
        <v>35</v>
      </c>
      <c r="B91" t="s">
        <v>36</v>
      </c>
      <c r="C91" t="s">
        <v>23</v>
      </c>
      <c r="D91" t="s">
        <v>37</v>
      </c>
      <c r="E91">
        <v>1</v>
      </c>
      <c r="F91" t="str">
        <f>VLOOKUP(E91,[1]LOJA!$A:$B,2,0)</f>
        <v>GUARÁ</v>
      </c>
      <c r="G91" t="s">
        <v>19</v>
      </c>
      <c r="H91" t="s">
        <v>20</v>
      </c>
      <c r="I91" s="1">
        <v>46036</v>
      </c>
      <c r="J91" s="1">
        <v>46042</v>
      </c>
      <c r="K91" s="1">
        <v>46042</v>
      </c>
      <c r="L91">
        <v>31</v>
      </c>
      <c r="M91">
        <v>97.99</v>
      </c>
      <c r="N91">
        <v>97.99</v>
      </c>
      <c r="O91">
        <v>0</v>
      </c>
      <c r="P91">
        <v>0</v>
      </c>
      <c r="Q91" t="s">
        <v>39</v>
      </c>
    </row>
    <row r="92" spans="1:17">
      <c r="A92" t="s">
        <v>35</v>
      </c>
      <c r="B92" t="s">
        <v>36</v>
      </c>
      <c r="C92" t="s">
        <v>23</v>
      </c>
      <c r="D92" t="s">
        <v>37</v>
      </c>
      <c r="E92">
        <v>1</v>
      </c>
      <c r="F92" t="str">
        <f>VLOOKUP(E92,[1]LOJA!$A:$B,2,0)</f>
        <v>GUARÁ</v>
      </c>
      <c r="G92" t="s">
        <v>19</v>
      </c>
      <c r="H92" t="s">
        <v>20</v>
      </c>
      <c r="I92" s="1">
        <v>46036</v>
      </c>
      <c r="J92" s="1">
        <v>46042</v>
      </c>
      <c r="K92" s="1">
        <v>46042</v>
      </c>
      <c r="L92">
        <v>37</v>
      </c>
      <c r="M92">
        <v>56.68</v>
      </c>
      <c r="N92">
        <v>56.68</v>
      </c>
      <c r="O92">
        <v>0</v>
      </c>
      <c r="P92">
        <v>0</v>
      </c>
      <c r="Q92" t="s">
        <v>40</v>
      </c>
    </row>
    <row r="93" spans="1:17">
      <c r="A93" t="s">
        <v>35</v>
      </c>
      <c r="B93" t="s">
        <v>36</v>
      </c>
      <c r="C93" t="s">
        <v>23</v>
      </c>
      <c r="D93" t="s">
        <v>37</v>
      </c>
      <c r="E93">
        <v>1</v>
      </c>
      <c r="F93" t="str">
        <f>VLOOKUP(E93,[1]LOJA!$A:$B,2,0)</f>
        <v>GUARÁ</v>
      </c>
      <c r="G93" t="s">
        <v>19</v>
      </c>
      <c r="H93" t="s">
        <v>20</v>
      </c>
      <c r="I93" s="1">
        <v>46036</v>
      </c>
      <c r="J93" s="1">
        <v>46042</v>
      </c>
      <c r="K93" s="1">
        <v>46042</v>
      </c>
      <c r="L93">
        <v>33</v>
      </c>
      <c r="M93">
        <v>397.74</v>
      </c>
      <c r="N93">
        <v>397.74</v>
      </c>
      <c r="O93">
        <v>0</v>
      </c>
      <c r="P93">
        <v>0</v>
      </c>
      <c r="Q93" t="s">
        <v>38</v>
      </c>
    </row>
    <row r="94" spans="1:17">
      <c r="A94" t="s">
        <v>35</v>
      </c>
      <c r="B94" t="s">
        <v>36</v>
      </c>
      <c r="C94" t="s">
        <v>23</v>
      </c>
      <c r="D94" t="s">
        <v>37</v>
      </c>
      <c r="E94">
        <v>4</v>
      </c>
      <c r="F94" t="str">
        <f>VLOOKUP(E94,[1]LOJA!$A:$B,2,0)</f>
        <v>ADE</v>
      </c>
      <c r="G94" t="s">
        <v>19</v>
      </c>
      <c r="H94" t="s">
        <v>20</v>
      </c>
      <c r="I94" s="1">
        <v>46036</v>
      </c>
      <c r="J94" s="1">
        <v>46042</v>
      </c>
      <c r="K94" s="1">
        <v>46042</v>
      </c>
      <c r="L94">
        <v>23</v>
      </c>
      <c r="M94">
        <v>29.18</v>
      </c>
      <c r="N94">
        <v>29.18</v>
      </c>
      <c r="O94">
        <v>0</v>
      </c>
      <c r="P94">
        <v>0</v>
      </c>
      <c r="Q94" t="s">
        <v>38</v>
      </c>
    </row>
    <row r="95" spans="1:17">
      <c r="A95" t="s">
        <v>35</v>
      </c>
      <c r="B95" t="s">
        <v>36</v>
      </c>
      <c r="C95" t="s">
        <v>23</v>
      </c>
      <c r="D95" t="s">
        <v>37</v>
      </c>
      <c r="E95">
        <v>4</v>
      </c>
      <c r="F95" t="str">
        <f>VLOOKUP(E95,[1]LOJA!$A:$B,2,0)</f>
        <v>ADE</v>
      </c>
      <c r="G95" t="s">
        <v>19</v>
      </c>
      <c r="H95" t="s">
        <v>20</v>
      </c>
      <c r="I95" s="1">
        <v>46036</v>
      </c>
      <c r="J95" s="1">
        <v>46042</v>
      </c>
      <c r="K95" s="1">
        <v>46042</v>
      </c>
      <c r="L95">
        <v>31</v>
      </c>
      <c r="M95">
        <v>102.83</v>
      </c>
      <c r="N95">
        <v>102.83</v>
      </c>
      <c r="O95">
        <v>0</v>
      </c>
      <c r="P95">
        <v>0</v>
      </c>
      <c r="Q95" t="s">
        <v>39</v>
      </c>
    </row>
    <row r="96" spans="1:17">
      <c r="A96" t="s">
        <v>35</v>
      </c>
      <c r="B96" t="s">
        <v>36</v>
      </c>
      <c r="C96" t="s">
        <v>23</v>
      </c>
      <c r="D96" t="s">
        <v>37</v>
      </c>
      <c r="E96">
        <v>4</v>
      </c>
      <c r="F96" t="str">
        <f>VLOOKUP(E96,[1]LOJA!$A:$B,2,0)</f>
        <v>ADE</v>
      </c>
      <c r="G96" t="s">
        <v>19</v>
      </c>
      <c r="H96" t="s">
        <v>20</v>
      </c>
      <c r="I96" s="1">
        <v>46036</v>
      </c>
      <c r="J96" s="1">
        <v>46042</v>
      </c>
      <c r="K96" s="1">
        <v>46042</v>
      </c>
      <c r="L96">
        <v>37</v>
      </c>
      <c r="M96">
        <v>59.48</v>
      </c>
      <c r="N96">
        <v>59.48</v>
      </c>
      <c r="O96">
        <v>0</v>
      </c>
      <c r="P96">
        <v>0</v>
      </c>
      <c r="Q96" t="s">
        <v>40</v>
      </c>
    </row>
    <row r="97" spans="1:17">
      <c r="A97" t="s">
        <v>35</v>
      </c>
      <c r="B97" t="s">
        <v>36</v>
      </c>
      <c r="C97" t="s">
        <v>23</v>
      </c>
      <c r="D97" t="s">
        <v>37</v>
      </c>
      <c r="E97">
        <v>4</v>
      </c>
      <c r="F97" t="str">
        <f>VLOOKUP(E97,[1]LOJA!$A:$B,2,0)</f>
        <v>ADE</v>
      </c>
      <c r="G97" t="s">
        <v>19</v>
      </c>
      <c r="H97" t="s">
        <v>20</v>
      </c>
      <c r="I97" s="1">
        <v>46036</v>
      </c>
      <c r="J97" s="1">
        <v>46042</v>
      </c>
      <c r="K97" s="1">
        <v>46042</v>
      </c>
      <c r="L97">
        <v>33</v>
      </c>
      <c r="M97">
        <v>417.4</v>
      </c>
      <c r="N97">
        <v>417.4</v>
      </c>
      <c r="O97">
        <v>0</v>
      </c>
      <c r="P97">
        <v>0</v>
      </c>
      <c r="Q97" t="s">
        <v>38</v>
      </c>
    </row>
    <row r="98" spans="1:17">
      <c r="A98" t="s">
        <v>35</v>
      </c>
      <c r="B98" t="s">
        <v>36</v>
      </c>
      <c r="C98" t="s">
        <v>23</v>
      </c>
      <c r="D98" t="s">
        <v>37</v>
      </c>
      <c r="E98">
        <v>6</v>
      </c>
      <c r="F98" t="str">
        <f>VLOOKUP(E98,[1]LOJA!$A:$B,2,0)</f>
        <v>GAMA</v>
      </c>
      <c r="G98" t="s">
        <v>19</v>
      </c>
      <c r="H98" t="s">
        <v>20</v>
      </c>
      <c r="I98" s="1">
        <v>46036</v>
      </c>
      <c r="J98" s="1">
        <v>46042</v>
      </c>
      <c r="K98" s="1">
        <v>46042</v>
      </c>
      <c r="L98">
        <v>23</v>
      </c>
      <c r="M98">
        <v>17.149999999999999</v>
      </c>
      <c r="N98">
        <v>17.149999999999999</v>
      </c>
      <c r="O98">
        <v>0</v>
      </c>
      <c r="P98">
        <v>0</v>
      </c>
      <c r="Q98" t="s">
        <v>38</v>
      </c>
    </row>
    <row r="99" spans="1:17">
      <c r="A99" t="s">
        <v>35</v>
      </c>
      <c r="B99" t="s">
        <v>36</v>
      </c>
      <c r="C99" t="s">
        <v>23</v>
      </c>
      <c r="D99" t="s">
        <v>37</v>
      </c>
      <c r="E99">
        <v>6</v>
      </c>
      <c r="F99" t="str">
        <f>VLOOKUP(E99,[1]LOJA!$A:$B,2,0)</f>
        <v>GAMA</v>
      </c>
      <c r="G99" t="s">
        <v>19</v>
      </c>
      <c r="H99" t="s">
        <v>20</v>
      </c>
      <c r="I99" s="1">
        <v>46036</v>
      </c>
      <c r="J99" s="1">
        <v>46042</v>
      </c>
      <c r="K99" s="1">
        <v>46042</v>
      </c>
      <c r="L99">
        <v>31</v>
      </c>
      <c r="M99">
        <v>60.43</v>
      </c>
      <c r="N99">
        <v>60.43</v>
      </c>
      <c r="O99">
        <v>0</v>
      </c>
      <c r="P99">
        <v>0</v>
      </c>
      <c r="Q99" t="s">
        <v>39</v>
      </c>
    </row>
    <row r="100" spans="1:17">
      <c r="A100" t="s">
        <v>35</v>
      </c>
      <c r="B100" t="s">
        <v>36</v>
      </c>
      <c r="C100" t="s">
        <v>23</v>
      </c>
      <c r="D100" t="s">
        <v>37</v>
      </c>
      <c r="E100">
        <v>6</v>
      </c>
      <c r="F100" t="str">
        <f>VLOOKUP(E100,[1]LOJA!$A:$B,2,0)</f>
        <v>GAMA</v>
      </c>
      <c r="G100" t="s">
        <v>19</v>
      </c>
      <c r="H100" t="s">
        <v>20</v>
      </c>
      <c r="I100" s="1">
        <v>46036</v>
      </c>
      <c r="J100" s="1">
        <v>46042</v>
      </c>
      <c r="K100" s="1">
        <v>46042</v>
      </c>
      <c r="L100">
        <v>37</v>
      </c>
      <c r="M100">
        <v>34.96</v>
      </c>
      <c r="N100">
        <v>34.96</v>
      </c>
      <c r="O100">
        <v>0</v>
      </c>
      <c r="P100">
        <v>0</v>
      </c>
      <c r="Q100" t="s">
        <v>40</v>
      </c>
    </row>
    <row r="101" spans="1:17">
      <c r="A101" t="s">
        <v>35</v>
      </c>
      <c r="B101" t="s">
        <v>36</v>
      </c>
      <c r="C101" t="s">
        <v>23</v>
      </c>
      <c r="D101" t="s">
        <v>37</v>
      </c>
      <c r="E101">
        <v>6</v>
      </c>
      <c r="F101" t="str">
        <f>VLOOKUP(E101,[1]LOJA!$A:$B,2,0)</f>
        <v>GAMA</v>
      </c>
      <c r="G101" t="s">
        <v>19</v>
      </c>
      <c r="H101" t="s">
        <v>20</v>
      </c>
      <c r="I101" s="1">
        <v>46036</v>
      </c>
      <c r="J101" s="1">
        <v>46042</v>
      </c>
      <c r="K101" s="1">
        <v>46042</v>
      </c>
      <c r="L101">
        <v>33</v>
      </c>
      <c r="M101">
        <v>245.31</v>
      </c>
      <c r="N101">
        <v>245.31</v>
      </c>
      <c r="O101">
        <v>0</v>
      </c>
      <c r="P101">
        <v>0</v>
      </c>
      <c r="Q101" t="s">
        <v>38</v>
      </c>
    </row>
    <row r="102" spans="1:17">
      <c r="A102" t="s">
        <v>35</v>
      </c>
      <c r="B102" t="s">
        <v>36</v>
      </c>
      <c r="C102" t="s">
        <v>23</v>
      </c>
      <c r="D102" t="s">
        <v>37</v>
      </c>
      <c r="E102">
        <v>8</v>
      </c>
      <c r="F102" t="str">
        <f>VLOOKUP(E102,[1]LOJA!$A:$B,2,0)</f>
        <v>LUZIÂNIA</v>
      </c>
      <c r="G102" t="s">
        <v>19</v>
      </c>
      <c r="H102" t="s">
        <v>20</v>
      </c>
      <c r="I102" s="1">
        <v>46036</v>
      </c>
      <c r="J102" s="1">
        <v>46042</v>
      </c>
      <c r="K102" s="1">
        <v>46042</v>
      </c>
      <c r="L102">
        <v>23</v>
      </c>
      <c r="M102">
        <v>21.35</v>
      </c>
      <c r="N102">
        <v>21.35</v>
      </c>
      <c r="O102">
        <v>0</v>
      </c>
      <c r="P102">
        <v>0</v>
      </c>
      <c r="Q102" t="s">
        <v>38</v>
      </c>
    </row>
    <row r="103" spans="1:17">
      <c r="A103" t="s">
        <v>35</v>
      </c>
      <c r="B103" t="s">
        <v>36</v>
      </c>
      <c r="C103" t="s">
        <v>23</v>
      </c>
      <c r="D103" t="s">
        <v>37</v>
      </c>
      <c r="E103">
        <v>8</v>
      </c>
      <c r="F103" t="str">
        <f>VLOOKUP(E103,[1]LOJA!$A:$B,2,0)</f>
        <v>LUZIÂNIA</v>
      </c>
      <c r="G103" t="s">
        <v>19</v>
      </c>
      <c r="H103" t="s">
        <v>20</v>
      </c>
      <c r="I103" s="1">
        <v>46036</v>
      </c>
      <c r="J103" s="1">
        <v>46042</v>
      </c>
      <c r="K103" s="1">
        <v>46042</v>
      </c>
      <c r="L103">
        <v>31</v>
      </c>
      <c r="M103">
        <v>75.239999999999995</v>
      </c>
      <c r="N103">
        <v>75.239999999999995</v>
      </c>
      <c r="O103">
        <v>0</v>
      </c>
      <c r="P103">
        <v>0</v>
      </c>
      <c r="Q103" t="s">
        <v>39</v>
      </c>
    </row>
    <row r="104" spans="1:17">
      <c r="A104" t="s">
        <v>35</v>
      </c>
      <c r="B104" t="s">
        <v>36</v>
      </c>
      <c r="C104" t="s">
        <v>23</v>
      </c>
      <c r="D104" t="s">
        <v>37</v>
      </c>
      <c r="E104">
        <v>8</v>
      </c>
      <c r="F104" t="str">
        <f>VLOOKUP(E104,[1]LOJA!$A:$B,2,0)</f>
        <v>LUZIÂNIA</v>
      </c>
      <c r="G104" t="s">
        <v>19</v>
      </c>
      <c r="H104" t="s">
        <v>20</v>
      </c>
      <c r="I104" s="1">
        <v>46036</v>
      </c>
      <c r="J104" s="1">
        <v>46042</v>
      </c>
      <c r="K104" s="1">
        <v>46042</v>
      </c>
      <c r="L104">
        <v>37</v>
      </c>
      <c r="M104">
        <v>43.52</v>
      </c>
      <c r="N104">
        <v>43.52</v>
      </c>
      <c r="O104">
        <v>0</v>
      </c>
      <c r="P104">
        <v>0</v>
      </c>
      <c r="Q104" t="s">
        <v>40</v>
      </c>
    </row>
    <row r="105" spans="1:17">
      <c r="A105" t="s">
        <v>35</v>
      </c>
      <c r="B105" t="s">
        <v>36</v>
      </c>
      <c r="C105" t="s">
        <v>23</v>
      </c>
      <c r="D105" t="s">
        <v>37</v>
      </c>
      <c r="E105">
        <v>8</v>
      </c>
      <c r="F105" t="str">
        <f>VLOOKUP(E105,[1]LOJA!$A:$B,2,0)</f>
        <v>LUZIÂNIA</v>
      </c>
      <c r="G105" t="s">
        <v>19</v>
      </c>
      <c r="H105" t="s">
        <v>20</v>
      </c>
      <c r="I105" s="1">
        <v>46036</v>
      </c>
      <c r="J105" s="1">
        <v>46042</v>
      </c>
      <c r="K105" s="1">
        <v>46042</v>
      </c>
      <c r="L105">
        <v>33</v>
      </c>
      <c r="M105">
        <v>305.41000000000003</v>
      </c>
      <c r="N105">
        <v>305.41000000000003</v>
      </c>
      <c r="O105">
        <v>0</v>
      </c>
      <c r="P105">
        <v>0</v>
      </c>
      <c r="Q105" t="s">
        <v>38</v>
      </c>
    </row>
    <row r="106" spans="1:17">
      <c r="A106" t="s">
        <v>35</v>
      </c>
      <c r="B106" t="s">
        <v>36</v>
      </c>
      <c r="C106" t="s">
        <v>23</v>
      </c>
      <c r="D106" t="s">
        <v>37</v>
      </c>
      <c r="E106">
        <v>12</v>
      </c>
      <c r="F106" t="str">
        <f>VLOOKUP(E106,[1]LOJA!$A:$B,2,0)</f>
        <v>SOFNORTE</v>
      </c>
      <c r="G106" t="s">
        <v>19</v>
      </c>
      <c r="H106" t="s">
        <v>20</v>
      </c>
      <c r="I106" s="1">
        <v>46036</v>
      </c>
      <c r="J106" s="1">
        <v>46042</v>
      </c>
      <c r="K106" s="1">
        <v>46042</v>
      </c>
      <c r="L106">
        <v>23</v>
      </c>
      <c r="M106">
        <v>21.58</v>
      </c>
      <c r="N106">
        <v>21.58</v>
      </c>
      <c r="O106">
        <v>0</v>
      </c>
      <c r="P106">
        <v>0</v>
      </c>
      <c r="Q106" t="s">
        <v>38</v>
      </c>
    </row>
    <row r="107" spans="1:17">
      <c r="A107" t="s">
        <v>35</v>
      </c>
      <c r="B107" t="s">
        <v>36</v>
      </c>
      <c r="C107" t="s">
        <v>23</v>
      </c>
      <c r="D107" t="s">
        <v>37</v>
      </c>
      <c r="E107">
        <v>12</v>
      </c>
      <c r="F107" t="str">
        <f>VLOOKUP(E107,[1]LOJA!$A:$B,2,0)</f>
        <v>SOFNORTE</v>
      </c>
      <c r="G107" t="s">
        <v>19</v>
      </c>
      <c r="H107" t="s">
        <v>20</v>
      </c>
      <c r="I107" s="1">
        <v>46036</v>
      </c>
      <c r="J107" s="1">
        <v>46042</v>
      </c>
      <c r="K107" s="1">
        <v>46042</v>
      </c>
      <c r="L107">
        <v>31</v>
      </c>
      <c r="M107">
        <v>76.05</v>
      </c>
      <c r="N107">
        <v>76.05</v>
      </c>
      <c r="O107">
        <v>0</v>
      </c>
      <c r="P107">
        <v>0</v>
      </c>
      <c r="Q107" t="s">
        <v>39</v>
      </c>
    </row>
    <row r="108" spans="1:17">
      <c r="A108" t="s">
        <v>35</v>
      </c>
      <c r="B108" t="s">
        <v>36</v>
      </c>
      <c r="C108" t="s">
        <v>23</v>
      </c>
      <c r="D108" t="s">
        <v>37</v>
      </c>
      <c r="E108">
        <v>12</v>
      </c>
      <c r="F108" t="str">
        <f>VLOOKUP(E108,[1]LOJA!$A:$B,2,0)</f>
        <v>SOFNORTE</v>
      </c>
      <c r="G108" t="s">
        <v>19</v>
      </c>
      <c r="H108" t="s">
        <v>20</v>
      </c>
      <c r="I108" s="1">
        <v>46036</v>
      </c>
      <c r="J108" s="1">
        <v>46042</v>
      </c>
      <c r="K108" s="1">
        <v>46042</v>
      </c>
      <c r="L108">
        <v>37</v>
      </c>
      <c r="M108">
        <v>43.99</v>
      </c>
      <c r="N108">
        <v>43.99</v>
      </c>
      <c r="O108">
        <v>0</v>
      </c>
      <c r="P108">
        <v>0</v>
      </c>
      <c r="Q108" t="s">
        <v>40</v>
      </c>
    </row>
    <row r="109" spans="1:17">
      <c r="A109" t="s">
        <v>35</v>
      </c>
      <c r="B109" t="s">
        <v>36</v>
      </c>
      <c r="C109" t="s">
        <v>23</v>
      </c>
      <c r="D109" t="s">
        <v>37</v>
      </c>
      <c r="E109">
        <v>12</v>
      </c>
      <c r="F109" t="str">
        <f>VLOOKUP(E109,[1]LOJA!$A:$B,2,0)</f>
        <v>SOFNORTE</v>
      </c>
      <c r="G109" t="s">
        <v>19</v>
      </c>
      <c r="H109" t="s">
        <v>20</v>
      </c>
      <c r="I109" s="1">
        <v>46036</v>
      </c>
      <c r="J109" s="1">
        <v>46042</v>
      </c>
      <c r="K109" s="1">
        <v>46042</v>
      </c>
      <c r="L109">
        <v>33</v>
      </c>
      <c r="M109">
        <v>308.68</v>
      </c>
      <c r="N109">
        <v>308.68</v>
      </c>
      <c r="O109">
        <v>0</v>
      </c>
      <c r="P109">
        <v>0</v>
      </c>
      <c r="Q109" t="s">
        <v>38</v>
      </c>
    </row>
    <row r="110" spans="1:17">
      <c r="A110" t="s">
        <v>35</v>
      </c>
      <c r="B110" t="s">
        <v>36</v>
      </c>
      <c r="C110" t="s">
        <v>23</v>
      </c>
      <c r="D110" t="s">
        <v>37</v>
      </c>
      <c r="E110">
        <v>13</v>
      </c>
      <c r="F110" t="str">
        <f>VLOOKUP(E110,[1]LOJA!$A:$B,2,0)</f>
        <v>CEILÂNDIA</v>
      </c>
      <c r="G110" t="s">
        <v>19</v>
      </c>
      <c r="H110" t="s">
        <v>20</v>
      </c>
      <c r="I110" s="1">
        <v>46036</v>
      </c>
      <c r="J110" s="1">
        <v>46042</v>
      </c>
      <c r="K110" s="1">
        <v>46042</v>
      </c>
      <c r="L110">
        <v>23</v>
      </c>
      <c r="M110">
        <v>33.840000000000003</v>
      </c>
      <c r="N110">
        <v>33.840000000000003</v>
      </c>
      <c r="O110">
        <v>0</v>
      </c>
      <c r="P110">
        <v>0</v>
      </c>
      <c r="Q110" t="s">
        <v>38</v>
      </c>
    </row>
    <row r="111" spans="1:17">
      <c r="A111" t="s">
        <v>35</v>
      </c>
      <c r="B111" t="s">
        <v>36</v>
      </c>
      <c r="C111" t="s">
        <v>23</v>
      </c>
      <c r="D111" t="s">
        <v>37</v>
      </c>
      <c r="E111">
        <v>13</v>
      </c>
      <c r="F111" t="str">
        <f>VLOOKUP(E111,[1]LOJA!$A:$B,2,0)</f>
        <v>CEILÂNDIA</v>
      </c>
      <c r="G111" t="s">
        <v>19</v>
      </c>
      <c r="H111" t="s">
        <v>20</v>
      </c>
      <c r="I111" s="1">
        <v>46036</v>
      </c>
      <c r="J111" s="1">
        <v>46042</v>
      </c>
      <c r="K111" s="1">
        <v>46042</v>
      </c>
      <c r="L111">
        <v>31</v>
      </c>
      <c r="M111">
        <v>119.25</v>
      </c>
      <c r="N111">
        <v>119.25</v>
      </c>
      <c r="O111">
        <v>0</v>
      </c>
      <c r="P111">
        <v>0</v>
      </c>
      <c r="Q111" t="s">
        <v>39</v>
      </c>
    </row>
    <row r="112" spans="1:17">
      <c r="A112" t="s">
        <v>35</v>
      </c>
      <c r="B112" t="s">
        <v>36</v>
      </c>
      <c r="C112" t="s">
        <v>23</v>
      </c>
      <c r="D112" t="s">
        <v>37</v>
      </c>
      <c r="E112">
        <v>13</v>
      </c>
      <c r="F112" t="str">
        <f>VLOOKUP(E112,[1]LOJA!$A:$B,2,0)</f>
        <v>CEILÂNDIA</v>
      </c>
      <c r="G112" t="s">
        <v>19</v>
      </c>
      <c r="H112" t="s">
        <v>20</v>
      </c>
      <c r="I112" s="1">
        <v>46036</v>
      </c>
      <c r="J112" s="1">
        <v>46042</v>
      </c>
      <c r="K112" s="1">
        <v>46042</v>
      </c>
      <c r="L112">
        <v>37</v>
      </c>
      <c r="M112">
        <v>68.98</v>
      </c>
      <c r="N112">
        <v>68.98</v>
      </c>
      <c r="O112">
        <v>0</v>
      </c>
      <c r="P112">
        <v>0</v>
      </c>
      <c r="Q112" t="s">
        <v>40</v>
      </c>
    </row>
    <row r="113" spans="1:17">
      <c r="A113" t="s">
        <v>35</v>
      </c>
      <c r="B113" t="s">
        <v>36</v>
      </c>
      <c r="C113" t="s">
        <v>23</v>
      </c>
      <c r="D113" t="s">
        <v>37</v>
      </c>
      <c r="E113">
        <v>13</v>
      </c>
      <c r="F113" t="str">
        <f>VLOOKUP(E113,[1]LOJA!$A:$B,2,0)</f>
        <v>CEILÂNDIA</v>
      </c>
      <c r="G113" t="s">
        <v>19</v>
      </c>
      <c r="H113" t="s">
        <v>20</v>
      </c>
      <c r="I113" s="1">
        <v>46036</v>
      </c>
      <c r="J113" s="1">
        <v>46042</v>
      </c>
      <c r="K113" s="1">
        <v>46042</v>
      </c>
      <c r="L113">
        <v>33</v>
      </c>
      <c r="M113">
        <v>484.06</v>
      </c>
      <c r="N113">
        <v>484.06</v>
      </c>
      <c r="O113">
        <v>0</v>
      </c>
      <c r="P113">
        <v>0</v>
      </c>
      <c r="Q113" t="s">
        <v>38</v>
      </c>
    </row>
    <row r="114" spans="1:17">
      <c r="A114" t="s">
        <v>35</v>
      </c>
      <c r="B114" t="s">
        <v>36</v>
      </c>
      <c r="C114" t="s">
        <v>23</v>
      </c>
      <c r="D114" t="s">
        <v>37</v>
      </c>
      <c r="E114">
        <v>14</v>
      </c>
      <c r="F114" t="str">
        <f>VLOOKUP(E114,[1]LOJA!$A:$B,2,0)</f>
        <v>S IA</v>
      </c>
      <c r="G114" t="s">
        <v>19</v>
      </c>
      <c r="H114" t="s">
        <v>20</v>
      </c>
      <c r="I114" s="1">
        <v>46036</v>
      </c>
      <c r="J114" s="1">
        <v>46042</v>
      </c>
      <c r="K114" s="1">
        <v>46042</v>
      </c>
      <c r="L114">
        <v>23</v>
      </c>
      <c r="M114">
        <v>26.47</v>
      </c>
      <c r="N114">
        <v>26.47</v>
      </c>
      <c r="O114">
        <v>0</v>
      </c>
      <c r="P114">
        <v>0</v>
      </c>
      <c r="Q114" t="s">
        <v>38</v>
      </c>
    </row>
    <row r="115" spans="1:17">
      <c r="A115" t="s">
        <v>35</v>
      </c>
      <c r="B115" t="s">
        <v>36</v>
      </c>
      <c r="C115" t="s">
        <v>23</v>
      </c>
      <c r="D115" t="s">
        <v>37</v>
      </c>
      <c r="E115">
        <v>14</v>
      </c>
      <c r="F115" t="str">
        <f>VLOOKUP(E115,[1]LOJA!$A:$B,2,0)</f>
        <v>S IA</v>
      </c>
      <c r="G115" t="s">
        <v>19</v>
      </c>
      <c r="H115" t="s">
        <v>20</v>
      </c>
      <c r="I115" s="1">
        <v>46036</v>
      </c>
      <c r="J115" s="1">
        <v>46042</v>
      </c>
      <c r="K115" s="1">
        <v>46042</v>
      </c>
      <c r="L115">
        <v>31</v>
      </c>
      <c r="M115">
        <v>93.28</v>
      </c>
      <c r="N115">
        <v>93.28</v>
      </c>
      <c r="O115">
        <v>0</v>
      </c>
      <c r="P115">
        <v>0</v>
      </c>
      <c r="Q115" t="s">
        <v>39</v>
      </c>
    </row>
    <row r="116" spans="1:17">
      <c r="A116" t="s">
        <v>35</v>
      </c>
      <c r="B116" t="s">
        <v>36</v>
      </c>
      <c r="C116" t="s">
        <v>23</v>
      </c>
      <c r="D116" t="s">
        <v>37</v>
      </c>
      <c r="E116">
        <v>14</v>
      </c>
      <c r="F116" t="str">
        <f>VLOOKUP(E116,[1]LOJA!$A:$B,2,0)</f>
        <v>S IA</v>
      </c>
      <c r="G116" t="s">
        <v>19</v>
      </c>
      <c r="H116" t="s">
        <v>20</v>
      </c>
      <c r="I116" s="1">
        <v>46036</v>
      </c>
      <c r="J116" s="1">
        <v>46042</v>
      </c>
      <c r="K116" s="1">
        <v>46042</v>
      </c>
      <c r="L116">
        <v>37</v>
      </c>
      <c r="M116">
        <v>53.95</v>
      </c>
      <c r="N116">
        <v>53.95</v>
      </c>
      <c r="O116">
        <v>0</v>
      </c>
      <c r="P116">
        <v>0</v>
      </c>
      <c r="Q116" t="s">
        <v>40</v>
      </c>
    </row>
    <row r="117" spans="1:17">
      <c r="A117" t="s">
        <v>35</v>
      </c>
      <c r="B117" t="s">
        <v>36</v>
      </c>
      <c r="C117" t="s">
        <v>23</v>
      </c>
      <c r="D117" t="s">
        <v>37</v>
      </c>
      <c r="E117">
        <v>14</v>
      </c>
      <c r="F117" t="str">
        <f>VLOOKUP(E117,[1]LOJA!$A:$B,2,0)</f>
        <v>S IA</v>
      </c>
      <c r="G117" t="s">
        <v>19</v>
      </c>
      <c r="H117" t="s">
        <v>20</v>
      </c>
      <c r="I117" s="1">
        <v>46036</v>
      </c>
      <c r="J117" s="1">
        <v>46042</v>
      </c>
      <c r="K117" s="1">
        <v>46042</v>
      </c>
      <c r="L117">
        <v>33</v>
      </c>
      <c r="M117">
        <v>378.61</v>
      </c>
      <c r="N117">
        <v>378.61</v>
      </c>
      <c r="O117">
        <v>0</v>
      </c>
      <c r="P117">
        <v>0</v>
      </c>
      <c r="Q117" t="s">
        <v>38</v>
      </c>
    </row>
    <row r="118" spans="1:17">
      <c r="A118" t="s">
        <v>35</v>
      </c>
      <c r="B118" t="s">
        <v>36</v>
      </c>
      <c r="C118" t="s">
        <v>23</v>
      </c>
      <c r="D118" t="s">
        <v>37</v>
      </c>
      <c r="E118">
        <v>15</v>
      </c>
      <c r="F118" t="str">
        <f>VLOOKUP(E118,[1]LOJA!$A:$B,2,0)</f>
        <v>UNAÍ</v>
      </c>
      <c r="G118" t="s">
        <v>19</v>
      </c>
      <c r="H118" t="s">
        <v>20</v>
      </c>
      <c r="I118" s="1">
        <v>46036</v>
      </c>
      <c r="J118" s="1">
        <v>46042</v>
      </c>
      <c r="K118" s="1">
        <v>46042</v>
      </c>
      <c r="L118">
        <v>23</v>
      </c>
      <c r="M118">
        <v>89.15</v>
      </c>
      <c r="N118">
        <v>89.15</v>
      </c>
      <c r="O118">
        <v>0</v>
      </c>
      <c r="P118">
        <v>0</v>
      </c>
      <c r="Q118" t="s">
        <v>38</v>
      </c>
    </row>
    <row r="119" spans="1:17">
      <c r="A119" t="s">
        <v>35</v>
      </c>
      <c r="B119" t="s">
        <v>36</v>
      </c>
      <c r="C119" t="s">
        <v>23</v>
      </c>
      <c r="D119" t="s">
        <v>37</v>
      </c>
      <c r="E119">
        <v>15</v>
      </c>
      <c r="F119" t="str">
        <f>VLOOKUP(E119,[1]LOJA!$A:$B,2,0)</f>
        <v>UNAÍ</v>
      </c>
      <c r="G119" t="s">
        <v>19</v>
      </c>
      <c r="H119" t="s">
        <v>20</v>
      </c>
      <c r="I119" s="1">
        <v>46036</v>
      </c>
      <c r="J119" s="1">
        <v>46042</v>
      </c>
      <c r="K119" s="1">
        <v>46042</v>
      </c>
      <c r="L119">
        <v>31</v>
      </c>
      <c r="M119">
        <v>314.14999999999998</v>
      </c>
      <c r="N119">
        <v>314.14999999999998</v>
      </c>
      <c r="O119">
        <v>0</v>
      </c>
      <c r="P119">
        <v>0</v>
      </c>
      <c r="Q119" t="s">
        <v>39</v>
      </c>
    </row>
    <row r="120" spans="1:17">
      <c r="A120" t="s">
        <v>35</v>
      </c>
      <c r="B120" t="s">
        <v>36</v>
      </c>
      <c r="C120" t="s">
        <v>23</v>
      </c>
      <c r="D120" t="s">
        <v>37</v>
      </c>
      <c r="E120">
        <v>15</v>
      </c>
      <c r="F120" t="str">
        <f>VLOOKUP(E120,[1]LOJA!$A:$B,2,0)</f>
        <v>UNAÍ</v>
      </c>
      <c r="G120" t="s">
        <v>19</v>
      </c>
      <c r="H120" t="s">
        <v>20</v>
      </c>
      <c r="I120" s="1">
        <v>46036</v>
      </c>
      <c r="J120" s="1">
        <v>46042</v>
      </c>
      <c r="K120" s="1">
        <v>46042</v>
      </c>
      <c r="L120">
        <v>37</v>
      </c>
      <c r="M120">
        <v>181.71</v>
      </c>
      <c r="N120">
        <v>181.71</v>
      </c>
      <c r="O120">
        <v>0</v>
      </c>
      <c r="P120">
        <v>0</v>
      </c>
      <c r="Q120" t="s">
        <v>40</v>
      </c>
    </row>
    <row r="121" spans="1:17">
      <c r="A121" t="s">
        <v>35</v>
      </c>
      <c r="B121" t="s">
        <v>36</v>
      </c>
      <c r="C121" t="s">
        <v>23</v>
      </c>
      <c r="D121" t="s">
        <v>37</v>
      </c>
      <c r="E121">
        <v>15</v>
      </c>
      <c r="F121" t="str">
        <f>VLOOKUP(E121,[1]LOJA!$A:$B,2,0)</f>
        <v>UNAÍ</v>
      </c>
      <c r="G121" t="s">
        <v>19</v>
      </c>
      <c r="H121" t="s">
        <v>20</v>
      </c>
      <c r="I121" s="1">
        <v>46036</v>
      </c>
      <c r="J121" s="1">
        <v>46042</v>
      </c>
      <c r="K121" s="1">
        <v>46042</v>
      </c>
      <c r="L121">
        <v>33</v>
      </c>
      <c r="M121" s="2">
        <v>1275.1600000000001</v>
      </c>
      <c r="N121" s="2">
        <v>1275.1600000000001</v>
      </c>
      <c r="O121">
        <v>0</v>
      </c>
      <c r="P121">
        <v>0</v>
      </c>
      <c r="Q121" t="s">
        <v>38</v>
      </c>
    </row>
    <row r="122" spans="1:17">
      <c r="A122" t="s">
        <v>35</v>
      </c>
      <c r="B122" t="s">
        <v>36</v>
      </c>
      <c r="C122" t="s">
        <v>23</v>
      </c>
      <c r="D122" t="s">
        <v>37</v>
      </c>
      <c r="E122">
        <v>16</v>
      </c>
      <c r="F122" t="str">
        <f>VLOOKUP(E122,[1]LOJA!$A:$B,2,0)</f>
        <v>AG LINDAS</v>
      </c>
      <c r="G122" t="s">
        <v>19</v>
      </c>
      <c r="H122" t="s">
        <v>20</v>
      </c>
      <c r="I122" s="1">
        <v>46036</v>
      </c>
      <c r="J122" s="1">
        <v>46042</v>
      </c>
      <c r="K122" s="1">
        <v>46042</v>
      </c>
      <c r="L122">
        <v>23</v>
      </c>
      <c r="M122">
        <v>10.66</v>
      </c>
      <c r="N122">
        <v>10.66</v>
      </c>
      <c r="O122">
        <v>0</v>
      </c>
      <c r="P122">
        <v>0</v>
      </c>
      <c r="Q122" t="s">
        <v>38</v>
      </c>
    </row>
    <row r="123" spans="1:17">
      <c r="A123" t="s">
        <v>35</v>
      </c>
      <c r="B123" t="s">
        <v>36</v>
      </c>
      <c r="C123" t="s">
        <v>23</v>
      </c>
      <c r="D123" t="s">
        <v>37</v>
      </c>
      <c r="E123">
        <v>16</v>
      </c>
      <c r="F123" t="str">
        <f>VLOOKUP(E123,[1]LOJA!$A:$B,2,0)</f>
        <v>AG LINDAS</v>
      </c>
      <c r="G123" t="s">
        <v>19</v>
      </c>
      <c r="H123" t="s">
        <v>20</v>
      </c>
      <c r="I123" s="1">
        <v>46036</v>
      </c>
      <c r="J123" s="1">
        <v>46042</v>
      </c>
      <c r="K123" s="1">
        <v>46042</v>
      </c>
      <c r="L123">
        <v>31</v>
      </c>
      <c r="M123">
        <v>37.549999999999997</v>
      </c>
      <c r="N123">
        <v>37.549999999999997</v>
      </c>
      <c r="O123">
        <v>0</v>
      </c>
      <c r="P123">
        <v>0</v>
      </c>
      <c r="Q123" t="s">
        <v>39</v>
      </c>
    </row>
    <row r="124" spans="1:17">
      <c r="A124" t="s">
        <v>35</v>
      </c>
      <c r="B124" t="s">
        <v>36</v>
      </c>
      <c r="C124" t="s">
        <v>23</v>
      </c>
      <c r="D124" t="s">
        <v>37</v>
      </c>
      <c r="E124">
        <v>16</v>
      </c>
      <c r="F124" t="str">
        <f>VLOOKUP(E124,[1]LOJA!$A:$B,2,0)</f>
        <v>AG LINDAS</v>
      </c>
      <c r="G124" t="s">
        <v>19</v>
      </c>
      <c r="H124" t="s">
        <v>20</v>
      </c>
      <c r="I124" s="1">
        <v>46036</v>
      </c>
      <c r="J124" s="1">
        <v>46042</v>
      </c>
      <c r="K124" s="1">
        <v>46042</v>
      </c>
      <c r="L124">
        <v>37</v>
      </c>
      <c r="M124">
        <v>21.72</v>
      </c>
      <c r="N124">
        <v>21.72</v>
      </c>
      <c r="O124">
        <v>0</v>
      </c>
      <c r="P124">
        <v>0</v>
      </c>
      <c r="Q124" t="s">
        <v>40</v>
      </c>
    </row>
    <row r="125" spans="1:17">
      <c r="A125" t="s">
        <v>35</v>
      </c>
      <c r="B125" t="s">
        <v>36</v>
      </c>
      <c r="C125" t="s">
        <v>23</v>
      </c>
      <c r="D125" t="s">
        <v>37</v>
      </c>
      <c r="E125">
        <v>16</v>
      </c>
      <c r="F125" t="str">
        <f>VLOOKUP(E125,[1]LOJA!$A:$B,2,0)</f>
        <v>AG LINDAS</v>
      </c>
      <c r="G125" t="s">
        <v>19</v>
      </c>
      <c r="H125" t="s">
        <v>20</v>
      </c>
      <c r="I125" s="1">
        <v>46036</v>
      </c>
      <c r="J125" s="1">
        <v>46042</v>
      </c>
      <c r="K125" s="1">
        <v>46042</v>
      </c>
      <c r="L125">
        <v>33</v>
      </c>
      <c r="M125">
        <v>152.41999999999999</v>
      </c>
      <c r="N125">
        <v>152.41999999999999</v>
      </c>
      <c r="O125">
        <v>0</v>
      </c>
      <c r="P125">
        <v>0</v>
      </c>
      <c r="Q125" t="s">
        <v>38</v>
      </c>
    </row>
    <row r="126" spans="1:17">
      <c r="A126" t="s">
        <v>35</v>
      </c>
      <c r="B126" t="s">
        <v>36</v>
      </c>
      <c r="C126" t="s">
        <v>23</v>
      </c>
      <c r="D126" t="s">
        <v>37</v>
      </c>
      <c r="E126">
        <v>20</v>
      </c>
      <c r="F126" t="str">
        <f>VLOOKUP(E126,[1]LOJA!$A:$B,2,0)</f>
        <v>DAUTO SERVIÇOS</v>
      </c>
      <c r="G126" t="s">
        <v>19</v>
      </c>
      <c r="H126" t="s">
        <v>20</v>
      </c>
      <c r="I126" s="1">
        <v>46036</v>
      </c>
      <c r="J126" s="1">
        <v>46042</v>
      </c>
      <c r="K126" s="1">
        <v>46042</v>
      </c>
      <c r="L126">
        <v>23</v>
      </c>
      <c r="M126">
        <v>0</v>
      </c>
      <c r="N126">
        <v>0</v>
      </c>
      <c r="O126">
        <v>0</v>
      </c>
      <c r="P126">
        <v>0</v>
      </c>
      <c r="Q126" t="s">
        <v>38</v>
      </c>
    </row>
    <row r="127" spans="1:17">
      <c r="A127" t="s">
        <v>35</v>
      </c>
      <c r="B127" t="s">
        <v>36</v>
      </c>
      <c r="C127" t="s">
        <v>23</v>
      </c>
      <c r="D127" t="s">
        <v>37</v>
      </c>
      <c r="E127">
        <v>20</v>
      </c>
      <c r="F127" t="str">
        <f>VLOOKUP(E127,[1]LOJA!$A:$B,2,0)</f>
        <v>DAUTO SERVIÇOS</v>
      </c>
      <c r="G127" t="s">
        <v>19</v>
      </c>
      <c r="H127" t="s">
        <v>20</v>
      </c>
      <c r="I127" s="1">
        <v>46036</v>
      </c>
      <c r="J127" s="1">
        <v>46042</v>
      </c>
      <c r="K127" s="1">
        <v>46042</v>
      </c>
      <c r="L127">
        <v>31</v>
      </c>
      <c r="M127">
        <v>0</v>
      </c>
      <c r="N127">
        <v>0</v>
      </c>
      <c r="O127">
        <v>0</v>
      </c>
      <c r="P127">
        <v>0</v>
      </c>
      <c r="Q127" t="s">
        <v>39</v>
      </c>
    </row>
    <row r="128" spans="1:17">
      <c r="A128" t="s">
        <v>35</v>
      </c>
      <c r="B128" t="s">
        <v>36</v>
      </c>
      <c r="C128" t="s">
        <v>23</v>
      </c>
      <c r="D128" t="s">
        <v>37</v>
      </c>
      <c r="E128">
        <v>20</v>
      </c>
      <c r="F128" t="str">
        <f>VLOOKUP(E128,[1]LOJA!$A:$B,2,0)</f>
        <v>DAUTO SERVIÇOS</v>
      </c>
      <c r="G128" t="s">
        <v>19</v>
      </c>
      <c r="H128" t="s">
        <v>20</v>
      </c>
      <c r="I128" s="1">
        <v>46036</v>
      </c>
      <c r="J128" s="1">
        <v>46042</v>
      </c>
      <c r="K128" s="1">
        <v>46042</v>
      </c>
      <c r="L128">
        <v>37</v>
      </c>
      <c r="M128">
        <v>0</v>
      </c>
      <c r="N128">
        <v>0</v>
      </c>
      <c r="O128">
        <v>0</v>
      </c>
      <c r="P128">
        <v>0</v>
      </c>
      <c r="Q128" t="s">
        <v>40</v>
      </c>
    </row>
    <row r="129" spans="1:17">
      <c r="A129" t="s">
        <v>35</v>
      </c>
      <c r="B129" t="s">
        <v>36</v>
      </c>
      <c r="C129" t="s">
        <v>23</v>
      </c>
      <c r="D129" t="s">
        <v>37</v>
      </c>
      <c r="E129">
        <v>20</v>
      </c>
      <c r="F129" t="str">
        <f>VLOOKUP(E129,[1]LOJA!$A:$B,2,0)</f>
        <v>DAUTO SERVIÇOS</v>
      </c>
      <c r="G129" t="s">
        <v>19</v>
      </c>
      <c r="H129" t="s">
        <v>20</v>
      </c>
      <c r="I129" s="1">
        <v>46036</v>
      </c>
      <c r="J129" s="1">
        <v>46042</v>
      </c>
      <c r="K129" s="1">
        <v>46042</v>
      </c>
      <c r="L129">
        <v>33</v>
      </c>
      <c r="M129">
        <v>0</v>
      </c>
      <c r="N129">
        <v>0</v>
      </c>
      <c r="O129">
        <v>0</v>
      </c>
      <c r="P129">
        <v>0</v>
      </c>
      <c r="Q129" t="s">
        <v>38</v>
      </c>
    </row>
    <row r="130" spans="1:17">
      <c r="A130" t="s">
        <v>35</v>
      </c>
      <c r="B130" t="s">
        <v>36</v>
      </c>
      <c r="C130" t="s">
        <v>23</v>
      </c>
      <c r="D130" t="s">
        <v>41</v>
      </c>
      <c r="E130">
        <v>1</v>
      </c>
      <c r="F130" t="str">
        <f>VLOOKUP(E130,[1]LOJA!$A:$B,2,0)</f>
        <v>GUARÁ</v>
      </c>
      <c r="G130" t="s">
        <v>19</v>
      </c>
      <c r="H130" t="s">
        <v>20</v>
      </c>
      <c r="I130" s="1">
        <v>46036</v>
      </c>
      <c r="J130" s="1">
        <v>46042</v>
      </c>
      <c r="K130" s="1">
        <v>46042</v>
      </c>
      <c r="L130">
        <v>31</v>
      </c>
      <c r="M130">
        <v>322.07</v>
      </c>
      <c r="N130">
        <v>322.07</v>
      </c>
      <c r="O130">
        <v>0</v>
      </c>
      <c r="P130">
        <v>0</v>
      </c>
      <c r="Q130" t="s">
        <v>42</v>
      </c>
    </row>
    <row r="131" spans="1:17">
      <c r="A131" t="s">
        <v>35</v>
      </c>
      <c r="B131" t="s">
        <v>36</v>
      </c>
      <c r="C131" t="s">
        <v>23</v>
      </c>
      <c r="D131" t="s">
        <v>41</v>
      </c>
      <c r="E131">
        <v>1</v>
      </c>
      <c r="F131" t="str">
        <f>VLOOKUP(E131,[1]LOJA!$A:$B,2,0)</f>
        <v>GUARÁ</v>
      </c>
      <c r="G131" t="s">
        <v>19</v>
      </c>
      <c r="H131" t="s">
        <v>20</v>
      </c>
      <c r="I131" s="1">
        <v>46036</v>
      </c>
      <c r="J131" s="1">
        <v>46042</v>
      </c>
      <c r="K131" s="1">
        <v>46042</v>
      </c>
      <c r="L131">
        <v>23</v>
      </c>
      <c r="M131">
        <v>165.9</v>
      </c>
      <c r="N131">
        <v>165.9</v>
      </c>
      <c r="O131">
        <v>0</v>
      </c>
      <c r="P131">
        <v>0</v>
      </c>
      <c r="Q131" t="s">
        <v>43</v>
      </c>
    </row>
    <row r="132" spans="1:17">
      <c r="A132" t="s">
        <v>35</v>
      </c>
      <c r="B132" t="s">
        <v>36</v>
      </c>
      <c r="C132" t="s">
        <v>23</v>
      </c>
      <c r="D132" t="s">
        <v>41</v>
      </c>
      <c r="E132">
        <v>1</v>
      </c>
      <c r="F132" t="str">
        <f>VLOOKUP(E132,[1]LOJA!$A:$B,2,0)</f>
        <v>GUARÁ</v>
      </c>
      <c r="G132" t="s">
        <v>19</v>
      </c>
      <c r="H132" t="s">
        <v>20</v>
      </c>
      <c r="I132" s="1">
        <v>46036</v>
      </c>
      <c r="J132" s="1">
        <v>46042</v>
      </c>
      <c r="K132" s="1">
        <v>46042</v>
      </c>
      <c r="L132">
        <v>33</v>
      </c>
      <c r="M132" s="2">
        <v>1332.89</v>
      </c>
      <c r="N132" s="2">
        <v>1332.89</v>
      </c>
      <c r="O132">
        <v>0</v>
      </c>
      <c r="P132">
        <v>0</v>
      </c>
      <c r="Q132" t="s">
        <v>44</v>
      </c>
    </row>
    <row r="133" spans="1:17">
      <c r="A133" t="s">
        <v>35</v>
      </c>
      <c r="B133" t="s">
        <v>36</v>
      </c>
      <c r="C133" t="s">
        <v>23</v>
      </c>
      <c r="D133" t="s">
        <v>41</v>
      </c>
      <c r="E133">
        <v>1</v>
      </c>
      <c r="F133" t="str">
        <f>VLOOKUP(E133,[1]LOJA!$A:$B,2,0)</f>
        <v>GUARÁ</v>
      </c>
      <c r="G133" t="s">
        <v>19</v>
      </c>
      <c r="H133" t="s">
        <v>20</v>
      </c>
      <c r="I133" s="1">
        <v>46036</v>
      </c>
      <c r="J133" s="1">
        <v>46042</v>
      </c>
      <c r="K133" s="1">
        <v>46042</v>
      </c>
      <c r="L133">
        <v>37</v>
      </c>
      <c r="M133">
        <v>297.33999999999997</v>
      </c>
      <c r="N133">
        <v>297.33999999999997</v>
      </c>
      <c r="O133">
        <v>0</v>
      </c>
      <c r="P133">
        <v>0</v>
      </c>
      <c r="Q133" t="s">
        <v>42</v>
      </c>
    </row>
    <row r="134" spans="1:17">
      <c r="A134" t="s">
        <v>35</v>
      </c>
      <c r="B134" t="s">
        <v>36</v>
      </c>
      <c r="C134" t="s">
        <v>23</v>
      </c>
      <c r="D134" t="s">
        <v>41</v>
      </c>
      <c r="E134">
        <v>4</v>
      </c>
      <c r="F134" t="str">
        <f>VLOOKUP(E134,[1]LOJA!$A:$B,2,0)</f>
        <v>ADE</v>
      </c>
      <c r="G134" t="s">
        <v>19</v>
      </c>
      <c r="H134" t="s">
        <v>20</v>
      </c>
      <c r="I134" s="1">
        <v>46036</v>
      </c>
      <c r="J134" s="1">
        <v>46042</v>
      </c>
      <c r="K134" s="1">
        <v>46042</v>
      </c>
      <c r="L134">
        <v>31</v>
      </c>
      <c r="M134">
        <v>338</v>
      </c>
      <c r="N134">
        <v>338</v>
      </c>
      <c r="O134">
        <v>0</v>
      </c>
      <c r="P134">
        <v>0</v>
      </c>
      <c r="Q134" t="s">
        <v>42</v>
      </c>
    </row>
    <row r="135" spans="1:17">
      <c r="A135" t="s">
        <v>35</v>
      </c>
      <c r="B135" t="s">
        <v>36</v>
      </c>
      <c r="C135" t="s">
        <v>23</v>
      </c>
      <c r="D135" t="s">
        <v>41</v>
      </c>
      <c r="E135">
        <v>4</v>
      </c>
      <c r="F135" t="str">
        <f>VLOOKUP(E135,[1]LOJA!$A:$B,2,0)</f>
        <v>ADE</v>
      </c>
      <c r="G135" t="s">
        <v>19</v>
      </c>
      <c r="H135" t="s">
        <v>20</v>
      </c>
      <c r="I135" s="1">
        <v>46036</v>
      </c>
      <c r="J135" s="1">
        <v>46042</v>
      </c>
      <c r="K135" s="1">
        <v>46042</v>
      </c>
      <c r="L135">
        <v>23</v>
      </c>
      <c r="M135">
        <v>174.1</v>
      </c>
      <c r="N135">
        <v>174.1</v>
      </c>
      <c r="O135">
        <v>0</v>
      </c>
      <c r="P135">
        <v>0</v>
      </c>
      <c r="Q135" t="s">
        <v>43</v>
      </c>
    </row>
    <row r="136" spans="1:17">
      <c r="A136" t="s">
        <v>35</v>
      </c>
      <c r="B136" t="s">
        <v>36</v>
      </c>
      <c r="C136" t="s">
        <v>23</v>
      </c>
      <c r="D136" t="s">
        <v>41</v>
      </c>
      <c r="E136">
        <v>4</v>
      </c>
      <c r="F136" t="str">
        <f>VLOOKUP(E136,[1]LOJA!$A:$B,2,0)</f>
        <v>ADE</v>
      </c>
      <c r="G136" t="s">
        <v>19</v>
      </c>
      <c r="H136" t="s">
        <v>20</v>
      </c>
      <c r="I136" s="1">
        <v>46036</v>
      </c>
      <c r="J136" s="1">
        <v>46042</v>
      </c>
      <c r="K136" s="1">
        <v>46042</v>
      </c>
      <c r="L136">
        <v>33</v>
      </c>
      <c r="M136" s="2">
        <v>1398.81</v>
      </c>
      <c r="N136" s="2">
        <v>1398.81</v>
      </c>
      <c r="O136">
        <v>0</v>
      </c>
      <c r="P136">
        <v>0</v>
      </c>
      <c r="Q136" t="s">
        <v>44</v>
      </c>
    </row>
    <row r="137" spans="1:17">
      <c r="A137" t="s">
        <v>35</v>
      </c>
      <c r="B137" t="s">
        <v>36</v>
      </c>
      <c r="C137" t="s">
        <v>23</v>
      </c>
      <c r="D137" t="s">
        <v>41</v>
      </c>
      <c r="E137">
        <v>4</v>
      </c>
      <c r="F137" t="str">
        <f>VLOOKUP(E137,[1]LOJA!$A:$B,2,0)</f>
        <v>ADE</v>
      </c>
      <c r="G137" t="s">
        <v>19</v>
      </c>
      <c r="H137" t="s">
        <v>20</v>
      </c>
      <c r="I137" s="1">
        <v>46036</v>
      </c>
      <c r="J137" s="1">
        <v>46042</v>
      </c>
      <c r="K137" s="1">
        <v>46042</v>
      </c>
      <c r="L137">
        <v>37</v>
      </c>
      <c r="M137">
        <v>312.04000000000002</v>
      </c>
      <c r="N137">
        <v>312.04000000000002</v>
      </c>
      <c r="O137">
        <v>0</v>
      </c>
      <c r="P137">
        <v>0</v>
      </c>
      <c r="Q137" t="s">
        <v>42</v>
      </c>
    </row>
    <row r="138" spans="1:17">
      <c r="A138" t="s">
        <v>35</v>
      </c>
      <c r="B138" t="s">
        <v>36</v>
      </c>
      <c r="C138" t="s">
        <v>23</v>
      </c>
      <c r="D138" t="s">
        <v>41</v>
      </c>
      <c r="E138">
        <v>6</v>
      </c>
      <c r="F138" t="str">
        <f>VLOOKUP(E138,[1]LOJA!$A:$B,2,0)</f>
        <v>GAMA</v>
      </c>
      <c r="G138" t="s">
        <v>19</v>
      </c>
      <c r="H138" t="s">
        <v>20</v>
      </c>
      <c r="I138" s="1">
        <v>46036</v>
      </c>
      <c r="J138" s="1">
        <v>46042</v>
      </c>
      <c r="K138" s="1">
        <v>46042</v>
      </c>
      <c r="L138">
        <v>31</v>
      </c>
      <c r="M138">
        <v>198.64</v>
      </c>
      <c r="N138">
        <v>198.64</v>
      </c>
      <c r="O138">
        <v>0</v>
      </c>
      <c r="P138">
        <v>0</v>
      </c>
      <c r="Q138" t="s">
        <v>42</v>
      </c>
    </row>
    <row r="139" spans="1:17">
      <c r="A139" t="s">
        <v>35</v>
      </c>
      <c r="B139" t="s">
        <v>36</v>
      </c>
      <c r="C139" t="s">
        <v>23</v>
      </c>
      <c r="D139" t="s">
        <v>41</v>
      </c>
      <c r="E139">
        <v>6</v>
      </c>
      <c r="F139" t="str">
        <f>VLOOKUP(E139,[1]LOJA!$A:$B,2,0)</f>
        <v>GAMA</v>
      </c>
      <c r="G139" t="s">
        <v>19</v>
      </c>
      <c r="H139" t="s">
        <v>20</v>
      </c>
      <c r="I139" s="1">
        <v>46036</v>
      </c>
      <c r="J139" s="1">
        <v>46042</v>
      </c>
      <c r="K139" s="1">
        <v>46042</v>
      </c>
      <c r="L139">
        <v>23</v>
      </c>
      <c r="M139">
        <v>102.32</v>
      </c>
      <c r="N139">
        <v>102.32</v>
      </c>
      <c r="O139">
        <v>0</v>
      </c>
      <c r="P139">
        <v>0</v>
      </c>
      <c r="Q139" t="s">
        <v>43</v>
      </c>
    </row>
    <row r="140" spans="1:17">
      <c r="A140" t="s">
        <v>35</v>
      </c>
      <c r="B140" t="s">
        <v>36</v>
      </c>
      <c r="C140" t="s">
        <v>23</v>
      </c>
      <c r="D140" t="s">
        <v>41</v>
      </c>
      <c r="E140">
        <v>6</v>
      </c>
      <c r="F140" t="str">
        <f>VLOOKUP(E140,[1]LOJA!$A:$B,2,0)</f>
        <v>GAMA</v>
      </c>
      <c r="G140" t="s">
        <v>19</v>
      </c>
      <c r="H140" t="s">
        <v>20</v>
      </c>
      <c r="I140" s="1">
        <v>46036</v>
      </c>
      <c r="J140" s="1">
        <v>46042</v>
      </c>
      <c r="K140" s="1">
        <v>46042</v>
      </c>
      <c r="L140">
        <v>33</v>
      </c>
      <c r="M140">
        <v>822.07</v>
      </c>
      <c r="N140">
        <v>822.07</v>
      </c>
      <c r="O140">
        <v>0</v>
      </c>
      <c r="P140">
        <v>0</v>
      </c>
      <c r="Q140" t="s">
        <v>44</v>
      </c>
    </row>
    <row r="141" spans="1:17">
      <c r="A141" t="s">
        <v>35</v>
      </c>
      <c r="B141" t="s">
        <v>36</v>
      </c>
      <c r="C141" t="s">
        <v>23</v>
      </c>
      <c r="D141" t="s">
        <v>41</v>
      </c>
      <c r="E141">
        <v>6</v>
      </c>
      <c r="F141" t="str">
        <f>VLOOKUP(E141,[1]LOJA!$A:$B,2,0)</f>
        <v>GAMA</v>
      </c>
      <c r="G141" t="s">
        <v>19</v>
      </c>
      <c r="H141" t="s">
        <v>20</v>
      </c>
      <c r="I141" s="1">
        <v>46036</v>
      </c>
      <c r="J141" s="1">
        <v>46042</v>
      </c>
      <c r="K141" s="1">
        <v>46042</v>
      </c>
      <c r="L141">
        <v>37</v>
      </c>
      <c r="M141">
        <v>183.39</v>
      </c>
      <c r="N141">
        <v>183.39</v>
      </c>
      <c r="O141">
        <v>0</v>
      </c>
      <c r="P141">
        <v>0</v>
      </c>
      <c r="Q141" t="s">
        <v>42</v>
      </c>
    </row>
    <row r="142" spans="1:17">
      <c r="A142" t="s">
        <v>35</v>
      </c>
      <c r="B142" t="s">
        <v>36</v>
      </c>
      <c r="C142" t="s">
        <v>23</v>
      </c>
      <c r="D142" t="s">
        <v>41</v>
      </c>
      <c r="E142">
        <v>8</v>
      </c>
      <c r="F142" t="str">
        <f>VLOOKUP(E142,[1]LOJA!$A:$B,2,0)</f>
        <v>LUZIÂNIA</v>
      </c>
      <c r="G142" t="s">
        <v>19</v>
      </c>
      <c r="H142" t="s">
        <v>20</v>
      </c>
      <c r="I142" s="1">
        <v>46036</v>
      </c>
      <c r="J142" s="1">
        <v>46042</v>
      </c>
      <c r="K142" s="1">
        <v>46042</v>
      </c>
      <c r="L142">
        <v>31</v>
      </c>
      <c r="M142">
        <v>247.3</v>
      </c>
      <c r="N142">
        <v>247.3</v>
      </c>
      <c r="O142">
        <v>0</v>
      </c>
      <c r="P142">
        <v>0</v>
      </c>
      <c r="Q142" t="s">
        <v>42</v>
      </c>
    </row>
    <row r="143" spans="1:17">
      <c r="A143" t="s">
        <v>35</v>
      </c>
      <c r="B143" t="s">
        <v>36</v>
      </c>
      <c r="C143" t="s">
        <v>23</v>
      </c>
      <c r="D143" t="s">
        <v>41</v>
      </c>
      <c r="E143">
        <v>8</v>
      </c>
      <c r="F143" t="str">
        <f>VLOOKUP(E143,[1]LOJA!$A:$B,2,0)</f>
        <v>LUZIÂNIA</v>
      </c>
      <c r="G143" t="s">
        <v>19</v>
      </c>
      <c r="H143" t="s">
        <v>20</v>
      </c>
      <c r="I143" s="1">
        <v>46036</v>
      </c>
      <c r="J143" s="1">
        <v>46042</v>
      </c>
      <c r="K143" s="1">
        <v>46042</v>
      </c>
      <c r="L143">
        <v>23</v>
      </c>
      <c r="M143">
        <v>127.39</v>
      </c>
      <c r="N143">
        <v>127.39</v>
      </c>
      <c r="O143">
        <v>0</v>
      </c>
      <c r="P143">
        <v>0</v>
      </c>
      <c r="Q143" t="s">
        <v>43</v>
      </c>
    </row>
    <row r="144" spans="1:17">
      <c r="A144" t="s">
        <v>35</v>
      </c>
      <c r="B144" t="s">
        <v>36</v>
      </c>
      <c r="C144" t="s">
        <v>23</v>
      </c>
      <c r="D144" t="s">
        <v>41</v>
      </c>
      <c r="E144">
        <v>8</v>
      </c>
      <c r="F144" t="str">
        <f>VLOOKUP(E144,[1]LOJA!$A:$B,2,0)</f>
        <v>LUZIÂNIA</v>
      </c>
      <c r="G144" t="s">
        <v>19</v>
      </c>
      <c r="H144" t="s">
        <v>20</v>
      </c>
      <c r="I144" s="1">
        <v>46036</v>
      </c>
      <c r="J144" s="1">
        <v>46042</v>
      </c>
      <c r="K144" s="1">
        <v>46042</v>
      </c>
      <c r="L144">
        <v>33</v>
      </c>
      <c r="M144" s="2">
        <v>1023.47</v>
      </c>
      <c r="N144" s="2">
        <v>1023.47</v>
      </c>
      <c r="O144">
        <v>0</v>
      </c>
      <c r="P144">
        <v>0</v>
      </c>
      <c r="Q144" t="s">
        <v>44</v>
      </c>
    </row>
    <row r="145" spans="1:17">
      <c r="A145" t="s">
        <v>35</v>
      </c>
      <c r="B145" t="s">
        <v>36</v>
      </c>
      <c r="C145" t="s">
        <v>23</v>
      </c>
      <c r="D145" t="s">
        <v>41</v>
      </c>
      <c r="E145">
        <v>8</v>
      </c>
      <c r="F145" t="str">
        <f>VLOOKUP(E145,[1]LOJA!$A:$B,2,0)</f>
        <v>LUZIÂNIA</v>
      </c>
      <c r="G145" t="s">
        <v>19</v>
      </c>
      <c r="H145" t="s">
        <v>20</v>
      </c>
      <c r="I145" s="1">
        <v>46036</v>
      </c>
      <c r="J145" s="1">
        <v>46042</v>
      </c>
      <c r="K145" s="1">
        <v>46042</v>
      </c>
      <c r="L145">
        <v>37</v>
      </c>
      <c r="M145">
        <v>228.32</v>
      </c>
      <c r="N145">
        <v>228.32</v>
      </c>
      <c r="O145">
        <v>0</v>
      </c>
      <c r="P145">
        <v>0</v>
      </c>
      <c r="Q145" t="s">
        <v>42</v>
      </c>
    </row>
    <row r="146" spans="1:17">
      <c r="A146" t="s">
        <v>35</v>
      </c>
      <c r="B146" t="s">
        <v>36</v>
      </c>
      <c r="C146" t="s">
        <v>23</v>
      </c>
      <c r="D146" t="s">
        <v>41</v>
      </c>
      <c r="E146">
        <v>12</v>
      </c>
      <c r="F146" t="str">
        <f>VLOOKUP(E146,[1]LOJA!$A:$B,2,0)</f>
        <v>SOFNORTE</v>
      </c>
      <c r="G146" t="s">
        <v>19</v>
      </c>
      <c r="H146" t="s">
        <v>20</v>
      </c>
      <c r="I146" s="1">
        <v>46036</v>
      </c>
      <c r="J146" s="1">
        <v>46042</v>
      </c>
      <c r="K146" s="1">
        <v>46042</v>
      </c>
      <c r="L146">
        <v>31</v>
      </c>
      <c r="M146">
        <v>249.96</v>
      </c>
      <c r="N146">
        <v>249.96</v>
      </c>
      <c r="O146">
        <v>0</v>
      </c>
      <c r="P146">
        <v>0</v>
      </c>
      <c r="Q146" t="s">
        <v>42</v>
      </c>
    </row>
    <row r="147" spans="1:17">
      <c r="A147" t="s">
        <v>35</v>
      </c>
      <c r="B147" t="s">
        <v>36</v>
      </c>
      <c r="C147" t="s">
        <v>23</v>
      </c>
      <c r="D147" t="s">
        <v>41</v>
      </c>
      <c r="E147">
        <v>12</v>
      </c>
      <c r="F147" t="str">
        <f>VLOOKUP(E147,[1]LOJA!$A:$B,2,0)</f>
        <v>SOFNORTE</v>
      </c>
      <c r="G147" t="s">
        <v>19</v>
      </c>
      <c r="H147" t="s">
        <v>20</v>
      </c>
      <c r="I147" s="1">
        <v>46036</v>
      </c>
      <c r="J147" s="1">
        <v>46042</v>
      </c>
      <c r="K147" s="1">
        <v>46042</v>
      </c>
      <c r="L147">
        <v>23</v>
      </c>
      <c r="M147">
        <v>128.75</v>
      </c>
      <c r="N147">
        <v>128.75</v>
      </c>
      <c r="O147">
        <v>0</v>
      </c>
      <c r="P147">
        <v>0</v>
      </c>
      <c r="Q147" t="s">
        <v>43</v>
      </c>
    </row>
    <row r="148" spans="1:17">
      <c r="A148" t="s">
        <v>35</v>
      </c>
      <c r="B148" t="s">
        <v>36</v>
      </c>
      <c r="C148" t="s">
        <v>23</v>
      </c>
      <c r="D148" t="s">
        <v>41</v>
      </c>
      <c r="E148">
        <v>12</v>
      </c>
      <c r="F148" t="str">
        <f>VLOOKUP(E148,[1]LOJA!$A:$B,2,0)</f>
        <v>SOFNORTE</v>
      </c>
      <c r="G148" t="s">
        <v>19</v>
      </c>
      <c r="H148" t="s">
        <v>20</v>
      </c>
      <c r="I148" s="1">
        <v>46036</v>
      </c>
      <c r="J148" s="1">
        <v>46042</v>
      </c>
      <c r="K148" s="1">
        <v>46042</v>
      </c>
      <c r="L148">
        <v>33</v>
      </c>
      <c r="M148" s="2">
        <v>1034.46</v>
      </c>
      <c r="N148" s="2">
        <v>1034.46</v>
      </c>
      <c r="O148">
        <v>0</v>
      </c>
      <c r="P148">
        <v>0</v>
      </c>
      <c r="Q148" t="s">
        <v>44</v>
      </c>
    </row>
    <row r="149" spans="1:17">
      <c r="A149" t="s">
        <v>35</v>
      </c>
      <c r="B149" t="s">
        <v>36</v>
      </c>
      <c r="C149" t="s">
        <v>23</v>
      </c>
      <c r="D149" t="s">
        <v>41</v>
      </c>
      <c r="E149">
        <v>12</v>
      </c>
      <c r="F149" t="str">
        <f>VLOOKUP(E149,[1]LOJA!$A:$B,2,0)</f>
        <v>SOFNORTE</v>
      </c>
      <c r="G149" t="s">
        <v>19</v>
      </c>
      <c r="H149" t="s">
        <v>20</v>
      </c>
      <c r="I149" s="1">
        <v>46036</v>
      </c>
      <c r="J149" s="1">
        <v>46042</v>
      </c>
      <c r="K149" s="1">
        <v>46042</v>
      </c>
      <c r="L149">
        <v>37</v>
      </c>
      <c r="M149">
        <v>230.76</v>
      </c>
      <c r="N149">
        <v>230.76</v>
      </c>
      <c r="O149">
        <v>0</v>
      </c>
      <c r="P149">
        <v>0</v>
      </c>
      <c r="Q149" t="s">
        <v>42</v>
      </c>
    </row>
    <row r="150" spans="1:17">
      <c r="A150" t="s">
        <v>35</v>
      </c>
      <c r="B150" t="s">
        <v>36</v>
      </c>
      <c r="C150" t="s">
        <v>23</v>
      </c>
      <c r="D150" t="s">
        <v>41</v>
      </c>
      <c r="E150">
        <v>13</v>
      </c>
      <c r="F150" t="str">
        <f>VLOOKUP(E150,[1]LOJA!$A:$B,2,0)</f>
        <v>CEILÂNDIA</v>
      </c>
      <c r="G150" t="s">
        <v>19</v>
      </c>
      <c r="H150" t="s">
        <v>20</v>
      </c>
      <c r="I150" s="1">
        <v>46036</v>
      </c>
      <c r="J150" s="1">
        <v>46042</v>
      </c>
      <c r="K150" s="1">
        <v>46042</v>
      </c>
      <c r="L150">
        <v>31</v>
      </c>
      <c r="M150">
        <v>391.97</v>
      </c>
      <c r="N150">
        <v>391.97</v>
      </c>
      <c r="O150">
        <v>0</v>
      </c>
      <c r="P150">
        <v>0</v>
      </c>
      <c r="Q150" t="s">
        <v>42</v>
      </c>
    </row>
    <row r="151" spans="1:17">
      <c r="A151" t="s">
        <v>35</v>
      </c>
      <c r="B151" t="s">
        <v>36</v>
      </c>
      <c r="C151" t="s">
        <v>23</v>
      </c>
      <c r="D151" t="s">
        <v>41</v>
      </c>
      <c r="E151">
        <v>13</v>
      </c>
      <c r="F151" t="str">
        <f>VLOOKUP(E151,[1]LOJA!$A:$B,2,0)</f>
        <v>CEILÂNDIA</v>
      </c>
      <c r="G151" t="s">
        <v>19</v>
      </c>
      <c r="H151" t="s">
        <v>20</v>
      </c>
      <c r="I151" s="1">
        <v>46036</v>
      </c>
      <c r="J151" s="1">
        <v>46042</v>
      </c>
      <c r="K151" s="1">
        <v>46042</v>
      </c>
      <c r="L151">
        <v>23</v>
      </c>
      <c r="M151">
        <v>201.9</v>
      </c>
      <c r="N151">
        <v>201.9</v>
      </c>
      <c r="O151">
        <v>0</v>
      </c>
      <c r="P151">
        <v>0</v>
      </c>
      <c r="Q151" t="s">
        <v>43</v>
      </c>
    </row>
    <row r="152" spans="1:17">
      <c r="A152" t="s">
        <v>35</v>
      </c>
      <c r="B152" t="s">
        <v>36</v>
      </c>
      <c r="C152" t="s">
        <v>23</v>
      </c>
      <c r="D152" t="s">
        <v>41</v>
      </c>
      <c r="E152">
        <v>13</v>
      </c>
      <c r="F152" t="str">
        <f>VLOOKUP(E152,[1]LOJA!$A:$B,2,0)</f>
        <v>CEILÂNDIA</v>
      </c>
      <c r="G152" t="s">
        <v>19</v>
      </c>
      <c r="H152" t="s">
        <v>20</v>
      </c>
      <c r="I152" s="1">
        <v>46036</v>
      </c>
      <c r="J152" s="1">
        <v>46042</v>
      </c>
      <c r="K152" s="1">
        <v>46042</v>
      </c>
      <c r="L152">
        <v>33</v>
      </c>
      <c r="M152" s="2">
        <v>1622.18</v>
      </c>
      <c r="N152" s="2">
        <v>1622.18</v>
      </c>
      <c r="O152">
        <v>0</v>
      </c>
      <c r="P152">
        <v>0</v>
      </c>
      <c r="Q152" t="s">
        <v>44</v>
      </c>
    </row>
    <row r="153" spans="1:17">
      <c r="A153" t="s">
        <v>35</v>
      </c>
      <c r="B153" t="s">
        <v>36</v>
      </c>
      <c r="C153" t="s">
        <v>23</v>
      </c>
      <c r="D153" t="s">
        <v>41</v>
      </c>
      <c r="E153">
        <v>13</v>
      </c>
      <c r="F153" t="str">
        <f>VLOOKUP(E153,[1]LOJA!$A:$B,2,0)</f>
        <v>CEILÂNDIA</v>
      </c>
      <c r="G153" t="s">
        <v>19</v>
      </c>
      <c r="H153" t="s">
        <v>20</v>
      </c>
      <c r="I153" s="1">
        <v>46036</v>
      </c>
      <c r="J153" s="1">
        <v>46042</v>
      </c>
      <c r="K153" s="1">
        <v>46042</v>
      </c>
      <c r="L153">
        <v>37</v>
      </c>
      <c r="M153">
        <v>361.87</v>
      </c>
      <c r="N153">
        <v>361.87</v>
      </c>
      <c r="O153">
        <v>0</v>
      </c>
      <c r="P153">
        <v>0</v>
      </c>
      <c r="Q153" t="s">
        <v>42</v>
      </c>
    </row>
    <row r="154" spans="1:17">
      <c r="A154" t="s">
        <v>35</v>
      </c>
      <c r="B154" t="s">
        <v>36</v>
      </c>
      <c r="C154" t="s">
        <v>23</v>
      </c>
      <c r="D154" t="s">
        <v>41</v>
      </c>
      <c r="E154">
        <v>14</v>
      </c>
      <c r="F154" t="str">
        <f>VLOOKUP(E154,[1]LOJA!$A:$B,2,0)</f>
        <v>S IA</v>
      </c>
      <c r="G154" t="s">
        <v>19</v>
      </c>
      <c r="H154" t="s">
        <v>20</v>
      </c>
      <c r="I154" s="1">
        <v>46036</v>
      </c>
      <c r="J154" s="1">
        <v>46042</v>
      </c>
      <c r="K154" s="1">
        <v>46042</v>
      </c>
      <c r="L154">
        <v>31</v>
      </c>
      <c r="M154">
        <v>306.58999999999997</v>
      </c>
      <c r="N154">
        <v>306.58999999999997</v>
      </c>
      <c r="O154">
        <v>0</v>
      </c>
      <c r="P154">
        <v>0</v>
      </c>
      <c r="Q154" t="s">
        <v>42</v>
      </c>
    </row>
    <row r="155" spans="1:17">
      <c r="A155" t="s">
        <v>35</v>
      </c>
      <c r="B155" t="s">
        <v>36</v>
      </c>
      <c r="C155" t="s">
        <v>23</v>
      </c>
      <c r="D155" t="s">
        <v>41</v>
      </c>
      <c r="E155">
        <v>14</v>
      </c>
      <c r="F155" t="str">
        <f>VLOOKUP(E155,[1]LOJA!$A:$B,2,0)</f>
        <v>S IA</v>
      </c>
      <c r="G155" t="s">
        <v>19</v>
      </c>
      <c r="H155" t="s">
        <v>20</v>
      </c>
      <c r="I155" s="1">
        <v>46036</v>
      </c>
      <c r="J155" s="1">
        <v>46042</v>
      </c>
      <c r="K155" s="1">
        <v>46042</v>
      </c>
      <c r="L155">
        <v>23</v>
      </c>
      <c r="M155">
        <v>157.91999999999999</v>
      </c>
      <c r="N155">
        <v>157.91999999999999</v>
      </c>
      <c r="O155">
        <v>0</v>
      </c>
      <c r="P155">
        <v>0</v>
      </c>
      <c r="Q155" t="s">
        <v>43</v>
      </c>
    </row>
    <row r="156" spans="1:17">
      <c r="A156" t="s">
        <v>35</v>
      </c>
      <c r="B156" t="s">
        <v>36</v>
      </c>
      <c r="C156" t="s">
        <v>23</v>
      </c>
      <c r="D156" t="s">
        <v>41</v>
      </c>
      <c r="E156">
        <v>14</v>
      </c>
      <c r="F156" t="str">
        <f>VLOOKUP(E156,[1]LOJA!$A:$B,2,0)</f>
        <v>S IA</v>
      </c>
      <c r="G156" t="s">
        <v>19</v>
      </c>
      <c r="H156" t="s">
        <v>20</v>
      </c>
      <c r="I156" s="1">
        <v>46036</v>
      </c>
      <c r="J156" s="1">
        <v>46042</v>
      </c>
      <c r="K156" s="1">
        <v>46042</v>
      </c>
      <c r="L156">
        <v>33</v>
      </c>
      <c r="M156" s="2">
        <v>1268.82</v>
      </c>
      <c r="N156" s="2">
        <v>1268.82</v>
      </c>
      <c r="O156">
        <v>0</v>
      </c>
      <c r="P156">
        <v>0</v>
      </c>
      <c r="Q156" t="s">
        <v>44</v>
      </c>
    </row>
    <row r="157" spans="1:17">
      <c r="A157" t="s">
        <v>35</v>
      </c>
      <c r="B157" t="s">
        <v>36</v>
      </c>
      <c r="C157" t="s">
        <v>23</v>
      </c>
      <c r="D157" t="s">
        <v>41</v>
      </c>
      <c r="E157">
        <v>14</v>
      </c>
      <c r="F157" t="str">
        <f>VLOOKUP(E157,[1]LOJA!$A:$B,2,0)</f>
        <v>S IA</v>
      </c>
      <c r="G157" t="s">
        <v>19</v>
      </c>
      <c r="H157" t="s">
        <v>20</v>
      </c>
      <c r="I157" s="1">
        <v>46036</v>
      </c>
      <c r="J157" s="1">
        <v>46042</v>
      </c>
      <c r="K157" s="1">
        <v>46042</v>
      </c>
      <c r="L157">
        <v>37</v>
      </c>
      <c r="M157">
        <v>283.05</v>
      </c>
      <c r="N157">
        <v>283.05</v>
      </c>
      <c r="O157">
        <v>0</v>
      </c>
      <c r="P157">
        <v>0</v>
      </c>
      <c r="Q157" t="s">
        <v>42</v>
      </c>
    </row>
    <row r="158" spans="1:17">
      <c r="A158" t="s">
        <v>35</v>
      </c>
      <c r="B158" t="s">
        <v>36</v>
      </c>
      <c r="C158" t="s">
        <v>23</v>
      </c>
      <c r="D158" t="s">
        <v>41</v>
      </c>
      <c r="E158">
        <v>15</v>
      </c>
      <c r="F158" t="str">
        <f>VLOOKUP(E158,[1]LOJA!$A:$B,2,0)</f>
        <v>UNAÍ</v>
      </c>
      <c r="G158" t="s">
        <v>19</v>
      </c>
      <c r="H158" t="s">
        <v>20</v>
      </c>
      <c r="I158" s="1">
        <v>46036</v>
      </c>
      <c r="J158" s="1">
        <v>46042</v>
      </c>
      <c r="K158" s="1">
        <v>46042</v>
      </c>
      <c r="L158">
        <v>31</v>
      </c>
      <c r="M158" s="2">
        <v>1032.57</v>
      </c>
      <c r="N158" s="2">
        <v>1032.57</v>
      </c>
      <c r="O158">
        <v>0</v>
      </c>
      <c r="P158">
        <v>0</v>
      </c>
      <c r="Q158" t="s">
        <v>42</v>
      </c>
    </row>
    <row r="159" spans="1:17">
      <c r="A159" t="s">
        <v>35</v>
      </c>
      <c r="B159" t="s">
        <v>36</v>
      </c>
      <c r="C159" t="s">
        <v>23</v>
      </c>
      <c r="D159" t="s">
        <v>41</v>
      </c>
      <c r="E159">
        <v>15</v>
      </c>
      <c r="F159" t="str">
        <f>VLOOKUP(E159,[1]LOJA!$A:$B,2,0)</f>
        <v>UNAÍ</v>
      </c>
      <c r="G159" t="s">
        <v>19</v>
      </c>
      <c r="H159" t="s">
        <v>20</v>
      </c>
      <c r="I159" s="1">
        <v>46036</v>
      </c>
      <c r="J159" s="1">
        <v>46042</v>
      </c>
      <c r="K159" s="1">
        <v>46042</v>
      </c>
      <c r="L159">
        <v>23</v>
      </c>
      <c r="M159">
        <v>531.88</v>
      </c>
      <c r="N159">
        <v>531.88</v>
      </c>
      <c r="O159">
        <v>0</v>
      </c>
      <c r="P159">
        <v>0</v>
      </c>
      <c r="Q159" t="s">
        <v>43</v>
      </c>
    </row>
    <row r="160" spans="1:17">
      <c r="A160" t="s">
        <v>35</v>
      </c>
      <c r="B160" t="s">
        <v>36</v>
      </c>
      <c r="C160" t="s">
        <v>23</v>
      </c>
      <c r="D160" t="s">
        <v>41</v>
      </c>
      <c r="E160">
        <v>15</v>
      </c>
      <c r="F160" t="str">
        <f>VLOOKUP(E160,[1]LOJA!$A:$B,2,0)</f>
        <v>UNAÍ</v>
      </c>
      <c r="G160" t="s">
        <v>19</v>
      </c>
      <c r="H160" t="s">
        <v>20</v>
      </c>
      <c r="I160" s="1">
        <v>46036</v>
      </c>
      <c r="J160" s="1">
        <v>46042</v>
      </c>
      <c r="K160" s="1">
        <v>46042</v>
      </c>
      <c r="L160">
        <v>33</v>
      </c>
      <c r="M160" s="2">
        <v>4273.32</v>
      </c>
      <c r="N160" s="2">
        <v>4273.32</v>
      </c>
      <c r="O160">
        <v>0</v>
      </c>
      <c r="P160">
        <v>0</v>
      </c>
      <c r="Q160" t="s">
        <v>44</v>
      </c>
    </row>
    <row r="161" spans="1:17">
      <c r="A161" t="s">
        <v>35</v>
      </c>
      <c r="B161" t="s">
        <v>36</v>
      </c>
      <c r="C161" t="s">
        <v>23</v>
      </c>
      <c r="D161" t="s">
        <v>41</v>
      </c>
      <c r="E161">
        <v>15</v>
      </c>
      <c r="F161" t="str">
        <f>VLOOKUP(E161,[1]LOJA!$A:$B,2,0)</f>
        <v>UNAÍ</v>
      </c>
      <c r="G161" t="s">
        <v>19</v>
      </c>
      <c r="H161" t="s">
        <v>20</v>
      </c>
      <c r="I161" s="1">
        <v>46036</v>
      </c>
      <c r="J161" s="1">
        <v>46042</v>
      </c>
      <c r="K161" s="1">
        <v>46042</v>
      </c>
      <c r="L161">
        <v>37</v>
      </c>
      <c r="M161">
        <v>953.28</v>
      </c>
      <c r="N161">
        <v>953.28</v>
      </c>
      <c r="O161">
        <v>0</v>
      </c>
      <c r="P161">
        <v>0</v>
      </c>
      <c r="Q161" t="s">
        <v>42</v>
      </c>
    </row>
    <row r="162" spans="1:17">
      <c r="A162" t="s">
        <v>35</v>
      </c>
      <c r="B162" t="s">
        <v>36</v>
      </c>
      <c r="C162" t="s">
        <v>23</v>
      </c>
      <c r="D162" t="s">
        <v>41</v>
      </c>
      <c r="E162">
        <v>16</v>
      </c>
      <c r="F162" t="str">
        <f>VLOOKUP(E162,[1]LOJA!$A:$B,2,0)</f>
        <v>AG LINDAS</v>
      </c>
      <c r="G162" t="s">
        <v>19</v>
      </c>
      <c r="H162" t="s">
        <v>20</v>
      </c>
      <c r="I162" s="1">
        <v>46036</v>
      </c>
      <c r="J162" s="1">
        <v>46042</v>
      </c>
      <c r="K162" s="1">
        <v>46042</v>
      </c>
      <c r="L162">
        <v>31</v>
      </c>
      <c r="M162">
        <v>123.43</v>
      </c>
      <c r="N162">
        <v>123.43</v>
      </c>
      <c r="O162">
        <v>0</v>
      </c>
      <c r="P162">
        <v>0</v>
      </c>
      <c r="Q162" t="s">
        <v>42</v>
      </c>
    </row>
    <row r="163" spans="1:17">
      <c r="A163" t="s">
        <v>35</v>
      </c>
      <c r="B163" t="s">
        <v>36</v>
      </c>
      <c r="C163" t="s">
        <v>23</v>
      </c>
      <c r="D163" t="s">
        <v>41</v>
      </c>
      <c r="E163">
        <v>16</v>
      </c>
      <c r="F163" t="str">
        <f>VLOOKUP(E163,[1]LOJA!$A:$B,2,0)</f>
        <v>AG LINDAS</v>
      </c>
      <c r="G163" t="s">
        <v>19</v>
      </c>
      <c r="H163" t="s">
        <v>20</v>
      </c>
      <c r="I163" s="1">
        <v>46036</v>
      </c>
      <c r="J163" s="1">
        <v>46042</v>
      </c>
      <c r="K163" s="1">
        <v>46042</v>
      </c>
      <c r="L163">
        <v>23</v>
      </c>
      <c r="M163">
        <v>63.58</v>
      </c>
      <c r="N163">
        <v>63.58</v>
      </c>
      <c r="O163">
        <v>0</v>
      </c>
      <c r="P163">
        <v>0</v>
      </c>
      <c r="Q163" t="s">
        <v>43</v>
      </c>
    </row>
    <row r="164" spans="1:17">
      <c r="A164" t="s">
        <v>35</v>
      </c>
      <c r="B164" t="s">
        <v>36</v>
      </c>
      <c r="C164" t="s">
        <v>23</v>
      </c>
      <c r="D164" t="s">
        <v>41</v>
      </c>
      <c r="E164">
        <v>16</v>
      </c>
      <c r="F164" t="str">
        <f>VLOOKUP(E164,[1]LOJA!$A:$B,2,0)</f>
        <v>AG LINDAS</v>
      </c>
      <c r="G164" t="s">
        <v>19</v>
      </c>
      <c r="H164" t="s">
        <v>20</v>
      </c>
      <c r="I164" s="1">
        <v>46036</v>
      </c>
      <c r="J164" s="1">
        <v>46042</v>
      </c>
      <c r="K164" s="1">
        <v>46042</v>
      </c>
      <c r="L164">
        <v>33</v>
      </c>
      <c r="M164">
        <v>510.83</v>
      </c>
      <c r="N164">
        <v>510.83</v>
      </c>
      <c r="O164">
        <v>0</v>
      </c>
      <c r="P164">
        <v>0</v>
      </c>
      <c r="Q164" t="s">
        <v>44</v>
      </c>
    </row>
    <row r="165" spans="1:17">
      <c r="A165" t="s">
        <v>35</v>
      </c>
      <c r="B165" t="s">
        <v>36</v>
      </c>
      <c r="C165" t="s">
        <v>23</v>
      </c>
      <c r="D165" t="s">
        <v>41</v>
      </c>
      <c r="E165">
        <v>16</v>
      </c>
      <c r="F165" t="str">
        <f>VLOOKUP(E165,[1]LOJA!$A:$B,2,0)</f>
        <v>AG LINDAS</v>
      </c>
      <c r="G165" t="s">
        <v>19</v>
      </c>
      <c r="H165" t="s">
        <v>20</v>
      </c>
      <c r="I165" s="1">
        <v>46036</v>
      </c>
      <c r="J165" s="1">
        <v>46042</v>
      </c>
      <c r="K165" s="1">
        <v>46042</v>
      </c>
      <c r="L165">
        <v>37</v>
      </c>
      <c r="M165">
        <v>113.95</v>
      </c>
      <c r="N165">
        <v>113.95</v>
      </c>
      <c r="O165">
        <v>0</v>
      </c>
      <c r="P165">
        <v>0</v>
      </c>
      <c r="Q165" t="s">
        <v>42</v>
      </c>
    </row>
    <row r="166" spans="1:17">
      <c r="A166" t="s">
        <v>35</v>
      </c>
      <c r="B166" t="s">
        <v>36</v>
      </c>
      <c r="C166" t="s">
        <v>23</v>
      </c>
      <c r="D166" t="s">
        <v>41</v>
      </c>
      <c r="E166">
        <v>20</v>
      </c>
      <c r="F166" t="str">
        <f>VLOOKUP(E166,[1]LOJA!$A:$B,2,0)</f>
        <v>DAUTO SERVIÇOS</v>
      </c>
      <c r="G166" t="s">
        <v>19</v>
      </c>
      <c r="H166" t="s">
        <v>20</v>
      </c>
      <c r="I166" s="1">
        <v>46036</v>
      </c>
      <c r="J166" s="1">
        <v>46042</v>
      </c>
      <c r="K166" s="1">
        <v>46042</v>
      </c>
      <c r="L166">
        <v>31</v>
      </c>
      <c r="M166">
        <v>0</v>
      </c>
      <c r="N166">
        <v>0</v>
      </c>
      <c r="O166">
        <v>0</v>
      </c>
      <c r="P166">
        <v>0</v>
      </c>
      <c r="Q166" t="s">
        <v>42</v>
      </c>
    </row>
    <row r="167" spans="1:17">
      <c r="A167" t="s">
        <v>35</v>
      </c>
      <c r="B167" t="s">
        <v>36</v>
      </c>
      <c r="C167" t="s">
        <v>23</v>
      </c>
      <c r="D167" t="s">
        <v>41</v>
      </c>
      <c r="E167">
        <v>20</v>
      </c>
      <c r="F167" t="str">
        <f>VLOOKUP(E167,[1]LOJA!$A:$B,2,0)</f>
        <v>DAUTO SERVIÇOS</v>
      </c>
      <c r="G167" t="s">
        <v>19</v>
      </c>
      <c r="H167" t="s">
        <v>20</v>
      </c>
      <c r="I167" s="1">
        <v>46036</v>
      </c>
      <c r="J167" s="1">
        <v>46042</v>
      </c>
      <c r="K167" s="1">
        <v>46042</v>
      </c>
      <c r="L167">
        <v>23</v>
      </c>
      <c r="M167">
        <v>0</v>
      </c>
      <c r="N167">
        <v>0</v>
      </c>
      <c r="O167">
        <v>0</v>
      </c>
      <c r="P167">
        <v>0</v>
      </c>
      <c r="Q167" t="s">
        <v>43</v>
      </c>
    </row>
    <row r="168" spans="1:17">
      <c r="A168" t="s">
        <v>35</v>
      </c>
      <c r="B168" t="s">
        <v>36</v>
      </c>
      <c r="C168" t="s">
        <v>23</v>
      </c>
      <c r="D168" t="s">
        <v>41</v>
      </c>
      <c r="E168">
        <v>20</v>
      </c>
      <c r="F168" t="str">
        <f>VLOOKUP(E168,[1]LOJA!$A:$B,2,0)</f>
        <v>DAUTO SERVIÇOS</v>
      </c>
      <c r="G168" t="s">
        <v>19</v>
      </c>
      <c r="H168" t="s">
        <v>20</v>
      </c>
      <c r="I168" s="1">
        <v>46036</v>
      </c>
      <c r="J168" s="1">
        <v>46042</v>
      </c>
      <c r="K168" s="1">
        <v>46042</v>
      </c>
      <c r="L168">
        <v>33</v>
      </c>
      <c r="M168">
        <v>0</v>
      </c>
      <c r="N168">
        <v>0</v>
      </c>
      <c r="O168">
        <v>0</v>
      </c>
      <c r="P168">
        <v>0</v>
      </c>
      <c r="Q168" t="s">
        <v>44</v>
      </c>
    </row>
    <row r="169" spans="1:17">
      <c r="A169" t="s">
        <v>35</v>
      </c>
      <c r="B169" t="s">
        <v>36</v>
      </c>
      <c r="C169" t="s">
        <v>23</v>
      </c>
      <c r="D169" t="s">
        <v>41</v>
      </c>
      <c r="E169">
        <v>20</v>
      </c>
      <c r="F169" t="str">
        <f>VLOOKUP(E169,[1]LOJA!$A:$B,2,0)</f>
        <v>DAUTO SERVIÇOS</v>
      </c>
      <c r="G169" t="s">
        <v>19</v>
      </c>
      <c r="H169" t="s">
        <v>20</v>
      </c>
      <c r="I169" s="1">
        <v>46036</v>
      </c>
      <c r="J169" s="1">
        <v>46042</v>
      </c>
      <c r="K169" s="1">
        <v>46042</v>
      </c>
      <c r="L169">
        <v>37</v>
      </c>
      <c r="M169">
        <v>0</v>
      </c>
      <c r="N169">
        <v>0</v>
      </c>
      <c r="O169">
        <v>0</v>
      </c>
      <c r="P169">
        <v>0</v>
      </c>
      <c r="Q169" t="s">
        <v>42</v>
      </c>
    </row>
    <row r="170" spans="1:17">
      <c r="A170" t="s">
        <v>35</v>
      </c>
      <c r="B170" t="s">
        <v>45</v>
      </c>
      <c r="C170" t="s">
        <v>23</v>
      </c>
      <c r="D170" t="s">
        <v>46</v>
      </c>
      <c r="E170">
        <v>1</v>
      </c>
      <c r="F170" t="str">
        <f>VLOOKUP(E170,[1]LOJA!$A:$B,2,0)</f>
        <v>GUARÁ</v>
      </c>
      <c r="G170" t="s">
        <v>19</v>
      </c>
      <c r="H170" t="s">
        <v>20</v>
      </c>
      <c r="I170" s="1">
        <v>45694</v>
      </c>
      <c r="J170" s="1">
        <v>46042</v>
      </c>
      <c r="K170" s="1">
        <v>46042</v>
      </c>
      <c r="L170">
        <v>23</v>
      </c>
      <c r="M170">
        <v>352.56</v>
      </c>
      <c r="N170">
        <v>352.56</v>
      </c>
      <c r="O170">
        <v>0</v>
      </c>
      <c r="P170">
        <v>0</v>
      </c>
      <c r="Q170" t="s">
        <v>47</v>
      </c>
    </row>
    <row r="171" spans="1:17">
      <c r="A171" t="s">
        <v>35</v>
      </c>
      <c r="B171" t="s">
        <v>45</v>
      </c>
      <c r="C171" t="s">
        <v>23</v>
      </c>
      <c r="D171" t="s">
        <v>46</v>
      </c>
      <c r="E171">
        <v>1</v>
      </c>
      <c r="F171" t="str">
        <f>VLOOKUP(E171,[1]LOJA!$A:$B,2,0)</f>
        <v>GUARÁ</v>
      </c>
      <c r="G171" t="s">
        <v>19</v>
      </c>
      <c r="H171" t="s">
        <v>20</v>
      </c>
      <c r="I171" s="1">
        <v>45694</v>
      </c>
      <c r="J171" s="1">
        <v>46042</v>
      </c>
      <c r="K171" s="1">
        <v>46042</v>
      </c>
      <c r="L171">
        <v>26</v>
      </c>
      <c r="M171" s="2">
        <v>1151.3800000000001</v>
      </c>
      <c r="N171" s="2">
        <v>1151.3800000000001</v>
      </c>
      <c r="O171">
        <v>0</v>
      </c>
      <c r="P171">
        <v>0</v>
      </c>
      <c r="Q171" t="s">
        <v>48</v>
      </c>
    </row>
    <row r="172" spans="1:17">
      <c r="A172" t="s">
        <v>35</v>
      </c>
      <c r="B172" t="s">
        <v>45</v>
      </c>
      <c r="C172" t="s">
        <v>23</v>
      </c>
      <c r="D172" t="s">
        <v>46</v>
      </c>
      <c r="E172">
        <v>1</v>
      </c>
      <c r="F172" t="str">
        <f>VLOOKUP(E172,[1]LOJA!$A:$B,2,0)</f>
        <v>GUARÁ</v>
      </c>
      <c r="G172" t="s">
        <v>19</v>
      </c>
      <c r="H172" t="s">
        <v>20</v>
      </c>
      <c r="I172" s="1">
        <v>45694</v>
      </c>
      <c r="J172" s="1">
        <v>46042</v>
      </c>
      <c r="K172" s="1">
        <v>46042</v>
      </c>
      <c r="L172">
        <v>20</v>
      </c>
      <c r="M172">
        <v>377.34</v>
      </c>
      <c r="N172">
        <v>377.34</v>
      </c>
      <c r="O172">
        <v>0</v>
      </c>
      <c r="P172">
        <v>0</v>
      </c>
      <c r="Q172" t="s">
        <v>49</v>
      </c>
    </row>
    <row r="173" spans="1:17">
      <c r="A173" t="s">
        <v>35</v>
      </c>
      <c r="B173" t="s">
        <v>45</v>
      </c>
      <c r="C173" t="s">
        <v>23</v>
      </c>
      <c r="D173" t="s">
        <v>46</v>
      </c>
      <c r="E173">
        <v>1</v>
      </c>
      <c r="F173" t="str">
        <f>VLOOKUP(E173,[1]LOJA!$A:$B,2,0)</f>
        <v>GUARÁ</v>
      </c>
      <c r="G173" t="s">
        <v>19</v>
      </c>
      <c r="H173" t="s">
        <v>20</v>
      </c>
      <c r="I173" s="1">
        <v>45694</v>
      </c>
      <c r="J173" s="1">
        <v>46042</v>
      </c>
      <c r="K173" s="1">
        <v>46042</v>
      </c>
      <c r="L173">
        <v>22</v>
      </c>
      <c r="M173">
        <v>164.42</v>
      </c>
      <c r="N173">
        <v>164.42</v>
      </c>
      <c r="O173">
        <v>0</v>
      </c>
      <c r="P173">
        <v>0</v>
      </c>
      <c r="Q173" t="s">
        <v>47</v>
      </c>
    </row>
    <row r="174" spans="1:17">
      <c r="A174" t="s">
        <v>35</v>
      </c>
      <c r="B174" t="s">
        <v>45</v>
      </c>
      <c r="C174" t="s">
        <v>23</v>
      </c>
      <c r="D174" t="s">
        <v>46</v>
      </c>
      <c r="E174">
        <v>4</v>
      </c>
      <c r="F174" t="str">
        <f>VLOOKUP(E174,[1]LOJA!$A:$B,2,0)</f>
        <v>ADE</v>
      </c>
      <c r="G174" t="s">
        <v>19</v>
      </c>
      <c r="H174" t="s">
        <v>20</v>
      </c>
      <c r="I174" s="1">
        <v>45694</v>
      </c>
      <c r="J174" s="1">
        <v>46042</v>
      </c>
      <c r="K174" s="1">
        <v>46042</v>
      </c>
      <c r="L174">
        <v>23</v>
      </c>
      <c r="M174">
        <v>369.99</v>
      </c>
      <c r="N174">
        <v>369.99</v>
      </c>
      <c r="O174">
        <v>0</v>
      </c>
      <c r="P174">
        <v>0</v>
      </c>
      <c r="Q174" t="s">
        <v>47</v>
      </c>
    </row>
    <row r="175" spans="1:17">
      <c r="A175" t="s">
        <v>35</v>
      </c>
      <c r="B175" t="s">
        <v>45</v>
      </c>
      <c r="C175" t="s">
        <v>23</v>
      </c>
      <c r="D175" t="s">
        <v>46</v>
      </c>
      <c r="E175">
        <v>4</v>
      </c>
      <c r="F175" t="str">
        <f>VLOOKUP(E175,[1]LOJA!$A:$B,2,0)</f>
        <v>ADE</v>
      </c>
      <c r="G175" t="s">
        <v>19</v>
      </c>
      <c r="H175" t="s">
        <v>20</v>
      </c>
      <c r="I175" s="1">
        <v>45694</v>
      </c>
      <c r="J175" s="1">
        <v>46042</v>
      </c>
      <c r="K175" s="1">
        <v>46042</v>
      </c>
      <c r="L175">
        <v>26</v>
      </c>
      <c r="M175" s="2">
        <v>1208.32</v>
      </c>
      <c r="N175" s="2">
        <v>1208.32</v>
      </c>
      <c r="O175">
        <v>0</v>
      </c>
      <c r="P175">
        <v>0</v>
      </c>
      <c r="Q175" t="s">
        <v>48</v>
      </c>
    </row>
    <row r="176" spans="1:17">
      <c r="A176" t="s">
        <v>35</v>
      </c>
      <c r="B176" t="s">
        <v>45</v>
      </c>
      <c r="C176" t="s">
        <v>23</v>
      </c>
      <c r="D176" t="s">
        <v>46</v>
      </c>
      <c r="E176">
        <v>4</v>
      </c>
      <c r="F176" t="str">
        <f>VLOOKUP(E176,[1]LOJA!$A:$B,2,0)</f>
        <v>ADE</v>
      </c>
      <c r="G176" t="s">
        <v>19</v>
      </c>
      <c r="H176" t="s">
        <v>20</v>
      </c>
      <c r="I176" s="1">
        <v>45694</v>
      </c>
      <c r="J176" s="1">
        <v>46042</v>
      </c>
      <c r="K176" s="1">
        <v>46042</v>
      </c>
      <c r="L176">
        <v>20</v>
      </c>
      <c r="M176">
        <v>396</v>
      </c>
      <c r="N176">
        <v>396</v>
      </c>
      <c r="O176">
        <v>0</v>
      </c>
      <c r="P176">
        <v>0</v>
      </c>
      <c r="Q176" t="s">
        <v>49</v>
      </c>
    </row>
    <row r="177" spans="1:17">
      <c r="A177" t="s">
        <v>35</v>
      </c>
      <c r="B177" t="s">
        <v>45</v>
      </c>
      <c r="C177" t="s">
        <v>23</v>
      </c>
      <c r="D177" t="s">
        <v>46</v>
      </c>
      <c r="E177">
        <v>4</v>
      </c>
      <c r="F177" t="str">
        <f>VLOOKUP(E177,[1]LOJA!$A:$B,2,0)</f>
        <v>ADE</v>
      </c>
      <c r="G177" t="s">
        <v>19</v>
      </c>
      <c r="H177" t="s">
        <v>20</v>
      </c>
      <c r="I177" s="1">
        <v>45694</v>
      </c>
      <c r="J177" s="1">
        <v>46042</v>
      </c>
      <c r="K177" s="1">
        <v>46042</v>
      </c>
      <c r="L177">
        <v>22</v>
      </c>
      <c r="M177">
        <v>172.55</v>
      </c>
      <c r="N177">
        <v>172.55</v>
      </c>
      <c r="O177">
        <v>0</v>
      </c>
      <c r="P177">
        <v>0</v>
      </c>
      <c r="Q177" t="s">
        <v>47</v>
      </c>
    </row>
    <row r="178" spans="1:17">
      <c r="A178" t="s">
        <v>35</v>
      </c>
      <c r="B178" t="s">
        <v>45</v>
      </c>
      <c r="C178" t="s">
        <v>23</v>
      </c>
      <c r="D178" t="s">
        <v>46</v>
      </c>
      <c r="E178">
        <v>6</v>
      </c>
      <c r="F178" t="str">
        <f>VLOOKUP(E178,[1]LOJA!$A:$B,2,0)</f>
        <v>GAMA</v>
      </c>
      <c r="G178" t="s">
        <v>19</v>
      </c>
      <c r="H178" t="s">
        <v>20</v>
      </c>
      <c r="I178" s="1">
        <v>45694</v>
      </c>
      <c r="J178" s="1">
        <v>46042</v>
      </c>
      <c r="K178" s="1">
        <v>46042</v>
      </c>
      <c r="L178">
        <v>23</v>
      </c>
      <c r="M178">
        <v>217.44</v>
      </c>
      <c r="N178">
        <v>217.44</v>
      </c>
      <c r="O178">
        <v>0</v>
      </c>
      <c r="P178">
        <v>0</v>
      </c>
      <c r="Q178" t="s">
        <v>47</v>
      </c>
    </row>
    <row r="179" spans="1:17">
      <c r="A179" t="s">
        <v>35</v>
      </c>
      <c r="B179" t="s">
        <v>45</v>
      </c>
      <c r="C179" t="s">
        <v>23</v>
      </c>
      <c r="D179" t="s">
        <v>46</v>
      </c>
      <c r="E179">
        <v>6</v>
      </c>
      <c r="F179" t="str">
        <f>VLOOKUP(E179,[1]LOJA!$A:$B,2,0)</f>
        <v>GAMA</v>
      </c>
      <c r="G179" t="s">
        <v>19</v>
      </c>
      <c r="H179" t="s">
        <v>20</v>
      </c>
      <c r="I179" s="1">
        <v>45694</v>
      </c>
      <c r="J179" s="1">
        <v>46042</v>
      </c>
      <c r="K179" s="1">
        <v>46042</v>
      </c>
      <c r="L179">
        <v>26</v>
      </c>
      <c r="M179">
        <v>710.12</v>
      </c>
      <c r="N179">
        <v>710.12</v>
      </c>
      <c r="O179">
        <v>0</v>
      </c>
      <c r="P179">
        <v>0</v>
      </c>
      <c r="Q179" t="s">
        <v>48</v>
      </c>
    </row>
    <row r="180" spans="1:17">
      <c r="A180" t="s">
        <v>35</v>
      </c>
      <c r="B180" t="s">
        <v>45</v>
      </c>
      <c r="C180" t="s">
        <v>23</v>
      </c>
      <c r="D180" t="s">
        <v>46</v>
      </c>
      <c r="E180">
        <v>6</v>
      </c>
      <c r="F180" t="str">
        <f>VLOOKUP(E180,[1]LOJA!$A:$B,2,0)</f>
        <v>GAMA</v>
      </c>
      <c r="G180" t="s">
        <v>19</v>
      </c>
      <c r="H180" t="s">
        <v>20</v>
      </c>
      <c r="I180" s="1">
        <v>45694</v>
      </c>
      <c r="J180" s="1">
        <v>46042</v>
      </c>
      <c r="K180" s="1">
        <v>46042</v>
      </c>
      <c r="L180">
        <v>20</v>
      </c>
      <c r="M180">
        <v>232.73</v>
      </c>
      <c r="N180">
        <v>232.73</v>
      </c>
      <c r="O180">
        <v>0</v>
      </c>
      <c r="P180">
        <v>0</v>
      </c>
      <c r="Q180" t="s">
        <v>49</v>
      </c>
    </row>
    <row r="181" spans="1:17">
      <c r="A181" t="s">
        <v>35</v>
      </c>
      <c r="B181" t="s">
        <v>45</v>
      </c>
      <c r="C181" t="s">
        <v>23</v>
      </c>
      <c r="D181" t="s">
        <v>46</v>
      </c>
      <c r="E181">
        <v>6</v>
      </c>
      <c r="F181" t="str">
        <f>VLOOKUP(E181,[1]LOJA!$A:$B,2,0)</f>
        <v>GAMA</v>
      </c>
      <c r="G181" t="s">
        <v>19</v>
      </c>
      <c r="H181" t="s">
        <v>20</v>
      </c>
      <c r="I181" s="1">
        <v>45694</v>
      </c>
      <c r="J181" s="1">
        <v>46042</v>
      </c>
      <c r="K181" s="1">
        <v>46042</v>
      </c>
      <c r="L181">
        <v>22</v>
      </c>
      <c r="M181">
        <v>101.41</v>
      </c>
      <c r="N181">
        <v>101.41</v>
      </c>
      <c r="O181">
        <v>0</v>
      </c>
      <c r="P181">
        <v>0</v>
      </c>
      <c r="Q181" t="s">
        <v>47</v>
      </c>
    </row>
    <row r="182" spans="1:17">
      <c r="A182" t="s">
        <v>35</v>
      </c>
      <c r="B182" t="s">
        <v>45</v>
      </c>
      <c r="C182" t="s">
        <v>23</v>
      </c>
      <c r="D182" t="s">
        <v>46</v>
      </c>
      <c r="E182">
        <v>8</v>
      </c>
      <c r="F182" t="str">
        <f>VLOOKUP(E182,[1]LOJA!$A:$B,2,0)</f>
        <v>LUZIÂNIA</v>
      </c>
      <c r="G182" t="s">
        <v>19</v>
      </c>
      <c r="H182" t="s">
        <v>20</v>
      </c>
      <c r="I182" s="1">
        <v>45694</v>
      </c>
      <c r="J182" s="1">
        <v>46042</v>
      </c>
      <c r="K182" s="1">
        <v>46042</v>
      </c>
      <c r="L182">
        <v>23</v>
      </c>
      <c r="M182">
        <v>270.70999999999998</v>
      </c>
      <c r="N182">
        <v>270.70999999999998</v>
      </c>
      <c r="O182">
        <v>0</v>
      </c>
      <c r="P182">
        <v>0</v>
      </c>
      <c r="Q182" t="s">
        <v>47</v>
      </c>
    </row>
    <row r="183" spans="1:17">
      <c r="A183" t="s">
        <v>35</v>
      </c>
      <c r="B183" t="s">
        <v>45</v>
      </c>
      <c r="C183" t="s">
        <v>23</v>
      </c>
      <c r="D183" t="s">
        <v>46</v>
      </c>
      <c r="E183">
        <v>8</v>
      </c>
      <c r="F183" t="str">
        <f>VLOOKUP(E183,[1]LOJA!$A:$B,2,0)</f>
        <v>LUZIÂNIA</v>
      </c>
      <c r="G183" t="s">
        <v>19</v>
      </c>
      <c r="H183" t="s">
        <v>20</v>
      </c>
      <c r="I183" s="1">
        <v>45694</v>
      </c>
      <c r="J183" s="1">
        <v>46042</v>
      </c>
      <c r="K183" s="1">
        <v>46042</v>
      </c>
      <c r="L183">
        <v>26</v>
      </c>
      <c r="M183">
        <v>884.1</v>
      </c>
      <c r="N183">
        <v>884.1</v>
      </c>
      <c r="O183">
        <v>0</v>
      </c>
      <c r="P183">
        <v>0</v>
      </c>
      <c r="Q183" t="s">
        <v>48</v>
      </c>
    </row>
    <row r="184" spans="1:17">
      <c r="A184" t="s">
        <v>35</v>
      </c>
      <c r="B184" t="s">
        <v>45</v>
      </c>
      <c r="C184" t="s">
        <v>23</v>
      </c>
      <c r="D184" t="s">
        <v>46</v>
      </c>
      <c r="E184">
        <v>8</v>
      </c>
      <c r="F184" t="str">
        <f>VLOOKUP(E184,[1]LOJA!$A:$B,2,0)</f>
        <v>LUZIÂNIA</v>
      </c>
      <c r="G184" t="s">
        <v>19</v>
      </c>
      <c r="H184" t="s">
        <v>20</v>
      </c>
      <c r="I184" s="1">
        <v>45694</v>
      </c>
      <c r="J184" s="1">
        <v>46042</v>
      </c>
      <c r="K184" s="1">
        <v>46042</v>
      </c>
      <c r="L184">
        <v>20</v>
      </c>
      <c r="M184">
        <v>289.75</v>
      </c>
      <c r="N184">
        <v>289.75</v>
      </c>
      <c r="O184">
        <v>0</v>
      </c>
      <c r="P184">
        <v>0</v>
      </c>
      <c r="Q184" t="s">
        <v>49</v>
      </c>
    </row>
    <row r="185" spans="1:17">
      <c r="A185" t="s">
        <v>35</v>
      </c>
      <c r="B185" t="s">
        <v>45</v>
      </c>
      <c r="C185" t="s">
        <v>23</v>
      </c>
      <c r="D185" t="s">
        <v>46</v>
      </c>
      <c r="E185">
        <v>8</v>
      </c>
      <c r="F185" t="str">
        <f>VLOOKUP(E185,[1]LOJA!$A:$B,2,0)</f>
        <v>LUZIÂNIA</v>
      </c>
      <c r="G185" t="s">
        <v>19</v>
      </c>
      <c r="H185" t="s">
        <v>20</v>
      </c>
      <c r="I185" s="1">
        <v>45694</v>
      </c>
      <c r="J185" s="1">
        <v>46042</v>
      </c>
      <c r="K185" s="1">
        <v>46042</v>
      </c>
      <c r="L185">
        <v>22</v>
      </c>
      <c r="M185">
        <v>126.25</v>
      </c>
      <c r="N185">
        <v>126.25</v>
      </c>
      <c r="O185">
        <v>0</v>
      </c>
      <c r="P185">
        <v>0</v>
      </c>
      <c r="Q185" t="s">
        <v>47</v>
      </c>
    </row>
    <row r="186" spans="1:17">
      <c r="A186" t="s">
        <v>35</v>
      </c>
      <c r="B186" t="s">
        <v>45</v>
      </c>
      <c r="C186" t="s">
        <v>23</v>
      </c>
      <c r="D186" t="s">
        <v>46</v>
      </c>
      <c r="E186">
        <v>12</v>
      </c>
      <c r="F186" t="str">
        <f>VLOOKUP(E186,[1]LOJA!$A:$B,2,0)</f>
        <v>SOFNORTE</v>
      </c>
      <c r="G186" t="s">
        <v>19</v>
      </c>
      <c r="H186" t="s">
        <v>20</v>
      </c>
      <c r="I186" s="1">
        <v>45694</v>
      </c>
      <c r="J186" s="1">
        <v>46042</v>
      </c>
      <c r="K186" s="1">
        <v>46042</v>
      </c>
      <c r="L186">
        <v>23</v>
      </c>
      <c r="M186">
        <v>273.62</v>
      </c>
      <c r="N186">
        <v>273.62</v>
      </c>
      <c r="O186">
        <v>0</v>
      </c>
      <c r="P186">
        <v>0</v>
      </c>
      <c r="Q186" t="s">
        <v>47</v>
      </c>
    </row>
    <row r="187" spans="1:17">
      <c r="A187" t="s">
        <v>35</v>
      </c>
      <c r="B187" t="s">
        <v>45</v>
      </c>
      <c r="C187" t="s">
        <v>23</v>
      </c>
      <c r="D187" t="s">
        <v>46</v>
      </c>
      <c r="E187">
        <v>12</v>
      </c>
      <c r="F187" t="str">
        <f>VLOOKUP(E187,[1]LOJA!$A:$B,2,0)</f>
        <v>SOFNORTE</v>
      </c>
      <c r="G187" t="s">
        <v>19</v>
      </c>
      <c r="H187" t="s">
        <v>20</v>
      </c>
      <c r="I187" s="1">
        <v>45694</v>
      </c>
      <c r="J187" s="1">
        <v>46042</v>
      </c>
      <c r="K187" s="1">
        <v>46042</v>
      </c>
      <c r="L187">
        <v>26</v>
      </c>
      <c r="M187">
        <v>893.59</v>
      </c>
      <c r="N187">
        <v>893.59</v>
      </c>
      <c r="O187">
        <v>0</v>
      </c>
      <c r="P187">
        <v>0</v>
      </c>
      <c r="Q187" t="s">
        <v>48</v>
      </c>
    </row>
    <row r="188" spans="1:17">
      <c r="A188" t="s">
        <v>35</v>
      </c>
      <c r="B188" t="s">
        <v>45</v>
      </c>
      <c r="C188" t="s">
        <v>23</v>
      </c>
      <c r="D188" t="s">
        <v>46</v>
      </c>
      <c r="E188">
        <v>12</v>
      </c>
      <c r="F188" t="str">
        <f>VLOOKUP(E188,[1]LOJA!$A:$B,2,0)</f>
        <v>SOFNORTE</v>
      </c>
      <c r="G188" t="s">
        <v>19</v>
      </c>
      <c r="H188" t="s">
        <v>20</v>
      </c>
      <c r="I188" s="1">
        <v>45694</v>
      </c>
      <c r="J188" s="1">
        <v>46042</v>
      </c>
      <c r="K188" s="1">
        <v>46042</v>
      </c>
      <c r="L188">
        <v>20</v>
      </c>
      <c r="M188">
        <v>292.86</v>
      </c>
      <c r="N188">
        <v>292.86</v>
      </c>
      <c r="O188">
        <v>0</v>
      </c>
      <c r="P188">
        <v>0</v>
      </c>
      <c r="Q188" t="s">
        <v>49</v>
      </c>
    </row>
    <row r="189" spans="1:17">
      <c r="A189" t="s">
        <v>35</v>
      </c>
      <c r="B189" t="s">
        <v>45</v>
      </c>
      <c r="C189" t="s">
        <v>23</v>
      </c>
      <c r="D189" t="s">
        <v>46</v>
      </c>
      <c r="E189">
        <v>12</v>
      </c>
      <c r="F189" t="str">
        <f>VLOOKUP(E189,[1]LOJA!$A:$B,2,0)</f>
        <v>SOFNORTE</v>
      </c>
      <c r="G189" t="s">
        <v>19</v>
      </c>
      <c r="H189" t="s">
        <v>20</v>
      </c>
      <c r="I189" s="1">
        <v>45694</v>
      </c>
      <c r="J189" s="1">
        <v>46042</v>
      </c>
      <c r="K189" s="1">
        <v>46042</v>
      </c>
      <c r="L189">
        <v>22</v>
      </c>
      <c r="M189">
        <v>127.61</v>
      </c>
      <c r="N189">
        <v>127.61</v>
      </c>
      <c r="O189">
        <v>0</v>
      </c>
      <c r="P189">
        <v>0</v>
      </c>
      <c r="Q189" t="s">
        <v>47</v>
      </c>
    </row>
    <row r="190" spans="1:17">
      <c r="A190" t="s">
        <v>35</v>
      </c>
      <c r="B190" t="s">
        <v>45</v>
      </c>
      <c r="C190" t="s">
        <v>23</v>
      </c>
      <c r="D190" t="s">
        <v>46</v>
      </c>
      <c r="E190">
        <v>13</v>
      </c>
      <c r="F190" t="str">
        <f>VLOOKUP(E190,[1]LOJA!$A:$B,2,0)</f>
        <v>CEILÂNDIA</v>
      </c>
      <c r="G190" t="s">
        <v>19</v>
      </c>
      <c r="H190" t="s">
        <v>20</v>
      </c>
      <c r="I190" s="1">
        <v>45694</v>
      </c>
      <c r="J190" s="1">
        <v>46042</v>
      </c>
      <c r="K190" s="1">
        <v>46042</v>
      </c>
      <c r="L190">
        <v>23</v>
      </c>
      <c r="M190">
        <v>429.07</v>
      </c>
      <c r="N190">
        <v>429.07</v>
      </c>
      <c r="O190">
        <v>0</v>
      </c>
      <c r="P190">
        <v>0</v>
      </c>
      <c r="Q190" t="s">
        <v>47</v>
      </c>
    </row>
    <row r="191" spans="1:17">
      <c r="A191" t="s">
        <v>35</v>
      </c>
      <c r="B191" t="s">
        <v>45</v>
      </c>
      <c r="C191" t="s">
        <v>23</v>
      </c>
      <c r="D191" t="s">
        <v>46</v>
      </c>
      <c r="E191">
        <v>13</v>
      </c>
      <c r="F191" t="str">
        <f>VLOOKUP(E191,[1]LOJA!$A:$B,2,0)</f>
        <v>CEILÂNDIA</v>
      </c>
      <c r="G191" t="s">
        <v>19</v>
      </c>
      <c r="H191" t="s">
        <v>20</v>
      </c>
      <c r="I191" s="1">
        <v>45694</v>
      </c>
      <c r="J191" s="1">
        <v>46042</v>
      </c>
      <c r="K191" s="1">
        <v>46042</v>
      </c>
      <c r="L191">
        <v>26</v>
      </c>
      <c r="M191" s="2">
        <v>1401.27</v>
      </c>
      <c r="N191" s="2">
        <v>1401.27</v>
      </c>
      <c r="O191">
        <v>0</v>
      </c>
      <c r="P191">
        <v>0</v>
      </c>
      <c r="Q191" t="s">
        <v>48</v>
      </c>
    </row>
    <row r="192" spans="1:17">
      <c r="A192" t="s">
        <v>35</v>
      </c>
      <c r="B192" t="s">
        <v>45</v>
      </c>
      <c r="C192" t="s">
        <v>23</v>
      </c>
      <c r="D192" t="s">
        <v>46</v>
      </c>
      <c r="E192">
        <v>13</v>
      </c>
      <c r="F192" t="str">
        <f>VLOOKUP(E192,[1]LOJA!$A:$B,2,0)</f>
        <v>CEILÂNDIA</v>
      </c>
      <c r="G192" t="s">
        <v>19</v>
      </c>
      <c r="H192" t="s">
        <v>20</v>
      </c>
      <c r="I192" s="1">
        <v>45694</v>
      </c>
      <c r="J192" s="1">
        <v>46042</v>
      </c>
      <c r="K192" s="1">
        <v>46042</v>
      </c>
      <c r="L192">
        <v>20</v>
      </c>
      <c r="M192">
        <v>459.24</v>
      </c>
      <c r="N192">
        <v>459.24</v>
      </c>
      <c r="O192">
        <v>0</v>
      </c>
      <c r="P192">
        <v>0</v>
      </c>
      <c r="Q192" t="s">
        <v>49</v>
      </c>
    </row>
    <row r="193" spans="1:17">
      <c r="A193" t="s">
        <v>35</v>
      </c>
      <c r="B193" t="s">
        <v>45</v>
      </c>
      <c r="C193" t="s">
        <v>23</v>
      </c>
      <c r="D193" t="s">
        <v>46</v>
      </c>
      <c r="E193">
        <v>13</v>
      </c>
      <c r="F193" t="str">
        <f>VLOOKUP(E193,[1]LOJA!$A:$B,2,0)</f>
        <v>CEILÂNDIA</v>
      </c>
      <c r="G193" t="s">
        <v>19</v>
      </c>
      <c r="H193" t="s">
        <v>20</v>
      </c>
      <c r="I193" s="1">
        <v>45694</v>
      </c>
      <c r="J193" s="1">
        <v>46042</v>
      </c>
      <c r="K193" s="1">
        <v>46042</v>
      </c>
      <c r="L193">
        <v>22</v>
      </c>
      <c r="M193">
        <v>200.11</v>
      </c>
      <c r="N193">
        <v>200.11</v>
      </c>
      <c r="O193">
        <v>0</v>
      </c>
      <c r="P193">
        <v>0</v>
      </c>
      <c r="Q193" t="s">
        <v>47</v>
      </c>
    </row>
    <row r="194" spans="1:17">
      <c r="A194" t="s">
        <v>35</v>
      </c>
      <c r="B194" t="s">
        <v>45</v>
      </c>
      <c r="C194" t="s">
        <v>23</v>
      </c>
      <c r="D194" t="s">
        <v>46</v>
      </c>
      <c r="E194">
        <v>14</v>
      </c>
      <c r="F194" t="str">
        <f>VLOOKUP(E194,[1]LOJA!$A:$B,2,0)</f>
        <v>S IA</v>
      </c>
      <c r="G194" t="s">
        <v>19</v>
      </c>
      <c r="H194" t="s">
        <v>20</v>
      </c>
      <c r="I194" s="1">
        <v>45694</v>
      </c>
      <c r="J194" s="1">
        <v>46042</v>
      </c>
      <c r="K194" s="1">
        <v>46042</v>
      </c>
      <c r="L194">
        <v>23</v>
      </c>
      <c r="M194">
        <v>335.61</v>
      </c>
      <c r="N194">
        <v>335.61</v>
      </c>
      <c r="O194">
        <v>0</v>
      </c>
      <c r="P194">
        <v>0</v>
      </c>
      <c r="Q194" t="s">
        <v>47</v>
      </c>
    </row>
    <row r="195" spans="1:17">
      <c r="A195" t="s">
        <v>35</v>
      </c>
      <c r="B195" t="s">
        <v>45</v>
      </c>
      <c r="C195" t="s">
        <v>23</v>
      </c>
      <c r="D195" t="s">
        <v>46</v>
      </c>
      <c r="E195">
        <v>14</v>
      </c>
      <c r="F195" t="str">
        <f>VLOOKUP(E195,[1]LOJA!$A:$B,2,0)</f>
        <v>S IA</v>
      </c>
      <c r="G195" t="s">
        <v>19</v>
      </c>
      <c r="H195" t="s">
        <v>20</v>
      </c>
      <c r="I195" s="1">
        <v>45694</v>
      </c>
      <c r="J195" s="1">
        <v>46042</v>
      </c>
      <c r="K195" s="1">
        <v>46042</v>
      </c>
      <c r="L195">
        <v>26</v>
      </c>
      <c r="M195" s="2">
        <v>1096.03</v>
      </c>
      <c r="N195" s="2">
        <v>1096.03</v>
      </c>
      <c r="O195">
        <v>0</v>
      </c>
      <c r="P195">
        <v>0</v>
      </c>
      <c r="Q195" t="s">
        <v>48</v>
      </c>
    </row>
    <row r="196" spans="1:17">
      <c r="A196" t="s">
        <v>35</v>
      </c>
      <c r="B196" t="s">
        <v>45</v>
      </c>
      <c r="C196" t="s">
        <v>23</v>
      </c>
      <c r="D196" t="s">
        <v>46</v>
      </c>
      <c r="E196">
        <v>14</v>
      </c>
      <c r="F196" t="str">
        <f>VLOOKUP(E196,[1]LOJA!$A:$B,2,0)</f>
        <v>S IA</v>
      </c>
      <c r="G196" t="s">
        <v>19</v>
      </c>
      <c r="H196" t="s">
        <v>20</v>
      </c>
      <c r="I196" s="1">
        <v>45694</v>
      </c>
      <c r="J196" s="1">
        <v>46042</v>
      </c>
      <c r="K196" s="1">
        <v>46042</v>
      </c>
      <c r="L196">
        <v>20</v>
      </c>
      <c r="M196">
        <v>359.2</v>
      </c>
      <c r="N196">
        <v>359.2</v>
      </c>
      <c r="O196">
        <v>0</v>
      </c>
      <c r="P196">
        <v>0</v>
      </c>
      <c r="Q196" t="s">
        <v>49</v>
      </c>
    </row>
    <row r="197" spans="1:17">
      <c r="A197" t="s">
        <v>35</v>
      </c>
      <c r="B197" t="s">
        <v>45</v>
      </c>
      <c r="C197" t="s">
        <v>23</v>
      </c>
      <c r="D197" t="s">
        <v>46</v>
      </c>
      <c r="E197">
        <v>14</v>
      </c>
      <c r="F197" t="str">
        <f>VLOOKUP(E197,[1]LOJA!$A:$B,2,0)</f>
        <v>S IA</v>
      </c>
      <c r="G197" t="s">
        <v>19</v>
      </c>
      <c r="H197" t="s">
        <v>20</v>
      </c>
      <c r="I197" s="1">
        <v>45694</v>
      </c>
      <c r="J197" s="1">
        <v>46042</v>
      </c>
      <c r="K197" s="1">
        <v>46042</v>
      </c>
      <c r="L197">
        <v>22</v>
      </c>
      <c r="M197">
        <v>156.52000000000001</v>
      </c>
      <c r="N197">
        <v>156.52000000000001</v>
      </c>
      <c r="O197">
        <v>0</v>
      </c>
      <c r="P197">
        <v>0</v>
      </c>
      <c r="Q197" t="s">
        <v>47</v>
      </c>
    </row>
    <row r="198" spans="1:17">
      <c r="A198" t="s">
        <v>35</v>
      </c>
      <c r="B198" t="s">
        <v>45</v>
      </c>
      <c r="C198" t="s">
        <v>23</v>
      </c>
      <c r="D198" t="s">
        <v>46</v>
      </c>
      <c r="E198">
        <v>15</v>
      </c>
      <c r="F198" t="str">
        <f>VLOOKUP(E198,[1]LOJA!$A:$B,2,0)</f>
        <v>UNAÍ</v>
      </c>
      <c r="G198" t="s">
        <v>19</v>
      </c>
      <c r="H198" t="s">
        <v>20</v>
      </c>
      <c r="I198" s="1">
        <v>45694</v>
      </c>
      <c r="J198" s="1">
        <v>46042</v>
      </c>
      <c r="K198" s="1">
        <v>46042</v>
      </c>
      <c r="L198">
        <v>23</v>
      </c>
      <c r="M198" s="2">
        <v>1130.31</v>
      </c>
      <c r="N198" s="2">
        <v>1130.31</v>
      </c>
      <c r="O198">
        <v>0</v>
      </c>
      <c r="P198">
        <v>0</v>
      </c>
      <c r="Q198" t="s">
        <v>47</v>
      </c>
    </row>
    <row r="199" spans="1:17">
      <c r="A199" t="s">
        <v>35</v>
      </c>
      <c r="B199" t="s">
        <v>45</v>
      </c>
      <c r="C199" t="s">
        <v>23</v>
      </c>
      <c r="D199" t="s">
        <v>46</v>
      </c>
      <c r="E199">
        <v>15</v>
      </c>
      <c r="F199" t="str">
        <f>VLOOKUP(E199,[1]LOJA!$A:$B,2,0)</f>
        <v>UNAÍ</v>
      </c>
      <c r="G199" t="s">
        <v>19</v>
      </c>
      <c r="H199" t="s">
        <v>20</v>
      </c>
      <c r="I199" s="1">
        <v>45694</v>
      </c>
      <c r="J199" s="1">
        <v>46042</v>
      </c>
      <c r="K199" s="1">
        <v>46042</v>
      </c>
      <c r="L199">
        <v>26</v>
      </c>
      <c r="M199" s="2">
        <v>3691.38</v>
      </c>
      <c r="N199" s="2">
        <v>3691.38</v>
      </c>
      <c r="O199">
        <v>0</v>
      </c>
      <c r="P199">
        <v>0</v>
      </c>
      <c r="Q199" t="s">
        <v>48</v>
      </c>
    </row>
    <row r="200" spans="1:17">
      <c r="A200" t="s">
        <v>35</v>
      </c>
      <c r="B200" t="s">
        <v>45</v>
      </c>
      <c r="C200" t="s">
        <v>23</v>
      </c>
      <c r="D200" t="s">
        <v>46</v>
      </c>
      <c r="E200">
        <v>15</v>
      </c>
      <c r="F200" t="str">
        <f>VLOOKUP(E200,[1]LOJA!$A:$B,2,0)</f>
        <v>UNAÍ</v>
      </c>
      <c r="G200" t="s">
        <v>19</v>
      </c>
      <c r="H200" t="s">
        <v>20</v>
      </c>
      <c r="I200" s="1">
        <v>45694</v>
      </c>
      <c r="J200" s="1">
        <v>46042</v>
      </c>
      <c r="K200" s="1">
        <v>46042</v>
      </c>
      <c r="L200">
        <v>20</v>
      </c>
      <c r="M200" s="2">
        <v>1209.78</v>
      </c>
      <c r="N200" s="2">
        <v>1209.78</v>
      </c>
      <c r="O200">
        <v>0</v>
      </c>
      <c r="P200">
        <v>0</v>
      </c>
      <c r="Q200" t="s">
        <v>49</v>
      </c>
    </row>
    <row r="201" spans="1:17">
      <c r="A201" t="s">
        <v>35</v>
      </c>
      <c r="B201" t="s">
        <v>45</v>
      </c>
      <c r="C201" t="s">
        <v>23</v>
      </c>
      <c r="D201" t="s">
        <v>46</v>
      </c>
      <c r="E201">
        <v>15</v>
      </c>
      <c r="F201" t="str">
        <f>VLOOKUP(E201,[1]LOJA!$A:$B,2,0)</f>
        <v>UNAÍ</v>
      </c>
      <c r="G201" t="s">
        <v>19</v>
      </c>
      <c r="H201" t="s">
        <v>20</v>
      </c>
      <c r="I201" s="1">
        <v>45694</v>
      </c>
      <c r="J201" s="1">
        <v>46042</v>
      </c>
      <c r="K201" s="1">
        <v>46042</v>
      </c>
      <c r="L201">
        <v>22</v>
      </c>
      <c r="M201">
        <v>527.15</v>
      </c>
      <c r="N201">
        <v>527.15</v>
      </c>
      <c r="O201">
        <v>0</v>
      </c>
      <c r="P201">
        <v>0</v>
      </c>
      <c r="Q201" t="s">
        <v>47</v>
      </c>
    </row>
    <row r="202" spans="1:17">
      <c r="A202" t="s">
        <v>35</v>
      </c>
      <c r="B202" t="s">
        <v>45</v>
      </c>
      <c r="C202" t="s">
        <v>23</v>
      </c>
      <c r="D202" t="s">
        <v>46</v>
      </c>
      <c r="E202">
        <v>16</v>
      </c>
      <c r="F202" t="str">
        <f>VLOOKUP(E202,[1]LOJA!$A:$B,2,0)</f>
        <v>AG LINDAS</v>
      </c>
      <c r="G202" t="s">
        <v>19</v>
      </c>
      <c r="H202" t="s">
        <v>20</v>
      </c>
      <c r="I202" s="1">
        <v>45694</v>
      </c>
      <c r="J202" s="1">
        <v>46042</v>
      </c>
      <c r="K202" s="1">
        <v>46042</v>
      </c>
      <c r="L202">
        <v>23</v>
      </c>
      <c r="M202">
        <v>135.11000000000001</v>
      </c>
      <c r="N202">
        <v>135.11000000000001</v>
      </c>
      <c r="O202">
        <v>0</v>
      </c>
      <c r="P202">
        <v>0</v>
      </c>
      <c r="Q202" t="s">
        <v>47</v>
      </c>
    </row>
    <row r="203" spans="1:17">
      <c r="A203" t="s">
        <v>35</v>
      </c>
      <c r="B203" t="s">
        <v>45</v>
      </c>
      <c r="C203" t="s">
        <v>23</v>
      </c>
      <c r="D203" t="s">
        <v>46</v>
      </c>
      <c r="E203">
        <v>16</v>
      </c>
      <c r="F203" t="str">
        <f>VLOOKUP(E203,[1]LOJA!$A:$B,2,0)</f>
        <v>AG LINDAS</v>
      </c>
      <c r="G203" t="s">
        <v>19</v>
      </c>
      <c r="H203" t="s">
        <v>20</v>
      </c>
      <c r="I203" s="1">
        <v>45694</v>
      </c>
      <c r="J203" s="1">
        <v>46042</v>
      </c>
      <c r="K203" s="1">
        <v>46042</v>
      </c>
      <c r="L203">
        <v>26</v>
      </c>
      <c r="M203">
        <v>441.26</v>
      </c>
      <c r="N203">
        <v>441.26</v>
      </c>
      <c r="O203">
        <v>0</v>
      </c>
      <c r="P203">
        <v>0</v>
      </c>
      <c r="Q203" t="s">
        <v>48</v>
      </c>
    </row>
    <row r="204" spans="1:17">
      <c r="A204" t="s">
        <v>35</v>
      </c>
      <c r="B204" t="s">
        <v>45</v>
      </c>
      <c r="C204" t="s">
        <v>23</v>
      </c>
      <c r="D204" t="s">
        <v>46</v>
      </c>
      <c r="E204">
        <v>16</v>
      </c>
      <c r="F204" t="str">
        <f>VLOOKUP(E204,[1]LOJA!$A:$B,2,0)</f>
        <v>AG LINDAS</v>
      </c>
      <c r="G204" t="s">
        <v>19</v>
      </c>
      <c r="H204" t="s">
        <v>20</v>
      </c>
      <c r="I204" s="1">
        <v>45694</v>
      </c>
      <c r="J204" s="1">
        <v>46042</v>
      </c>
      <c r="K204" s="1">
        <v>46042</v>
      </c>
      <c r="L204">
        <v>20</v>
      </c>
      <c r="M204">
        <v>144.61000000000001</v>
      </c>
      <c r="N204">
        <v>144.61000000000001</v>
      </c>
      <c r="O204">
        <v>0</v>
      </c>
      <c r="P204">
        <v>0</v>
      </c>
      <c r="Q204" t="s">
        <v>49</v>
      </c>
    </row>
    <row r="205" spans="1:17">
      <c r="A205" t="s">
        <v>35</v>
      </c>
      <c r="B205" t="s">
        <v>45</v>
      </c>
      <c r="C205" t="s">
        <v>23</v>
      </c>
      <c r="D205" t="s">
        <v>46</v>
      </c>
      <c r="E205">
        <v>16</v>
      </c>
      <c r="F205" t="str">
        <f>VLOOKUP(E205,[1]LOJA!$A:$B,2,0)</f>
        <v>AG LINDAS</v>
      </c>
      <c r="G205" t="s">
        <v>19</v>
      </c>
      <c r="H205" t="s">
        <v>20</v>
      </c>
      <c r="I205" s="1">
        <v>45694</v>
      </c>
      <c r="J205" s="1">
        <v>46042</v>
      </c>
      <c r="K205" s="1">
        <v>46042</v>
      </c>
      <c r="L205">
        <v>22</v>
      </c>
      <c r="M205">
        <v>63.01</v>
      </c>
      <c r="N205">
        <v>63.01</v>
      </c>
      <c r="O205">
        <v>0</v>
      </c>
      <c r="P205">
        <v>0</v>
      </c>
      <c r="Q205" t="s">
        <v>47</v>
      </c>
    </row>
    <row r="206" spans="1:17">
      <c r="A206" t="s">
        <v>35</v>
      </c>
      <c r="B206" t="s">
        <v>45</v>
      </c>
      <c r="C206" t="s">
        <v>23</v>
      </c>
      <c r="D206" t="s">
        <v>46</v>
      </c>
      <c r="E206">
        <v>20</v>
      </c>
      <c r="F206" t="str">
        <f>VLOOKUP(E206,[1]LOJA!$A:$B,2,0)</f>
        <v>DAUTO SERVIÇOS</v>
      </c>
      <c r="G206" t="s">
        <v>19</v>
      </c>
      <c r="H206" t="s">
        <v>20</v>
      </c>
      <c r="I206" s="1">
        <v>45694</v>
      </c>
      <c r="J206" s="1">
        <v>46042</v>
      </c>
      <c r="K206" s="1">
        <v>46042</v>
      </c>
      <c r="L206">
        <v>23</v>
      </c>
      <c r="M206">
        <v>0</v>
      </c>
      <c r="N206">
        <v>0</v>
      </c>
      <c r="O206">
        <v>0</v>
      </c>
      <c r="P206">
        <v>0</v>
      </c>
      <c r="Q206" t="s">
        <v>47</v>
      </c>
    </row>
    <row r="207" spans="1:17">
      <c r="A207" t="s">
        <v>35</v>
      </c>
      <c r="B207" t="s">
        <v>45</v>
      </c>
      <c r="C207" t="s">
        <v>23</v>
      </c>
      <c r="D207" t="s">
        <v>46</v>
      </c>
      <c r="E207">
        <v>20</v>
      </c>
      <c r="F207" t="str">
        <f>VLOOKUP(E207,[1]LOJA!$A:$B,2,0)</f>
        <v>DAUTO SERVIÇOS</v>
      </c>
      <c r="G207" t="s">
        <v>19</v>
      </c>
      <c r="H207" t="s">
        <v>20</v>
      </c>
      <c r="I207" s="1">
        <v>45694</v>
      </c>
      <c r="J207" s="1">
        <v>46042</v>
      </c>
      <c r="K207" s="1">
        <v>46042</v>
      </c>
      <c r="L207">
        <v>26</v>
      </c>
      <c r="M207">
        <v>0</v>
      </c>
      <c r="N207">
        <v>0</v>
      </c>
      <c r="O207">
        <v>0</v>
      </c>
      <c r="P207">
        <v>0</v>
      </c>
      <c r="Q207" t="s">
        <v>48</v>
      </c>
    </row>
    <row r="208" spans="1:17">
      <c r="A208" t="s">
        <v>35</v>
      </c>
      <c r="B208" t="s">
        <v>45</v>
      </c>
      <c r="C208" t="s">
        <v>23</v>
      </c>
      <c r="D208" t="s">
        <v>46</v>
      </c>
      <c r="E208">
        <v>20</v>
      </c>
      <c r="F208" t="str">
        <f>VLOOKUP(E208,[1]LOJA!$A:$B,2,0)</f>
        <v>DAUTO SERVIÇOS</v>
      </c>
      <c r="G208" t="s">
        <v>19</v>
      </c>
      <c r="H208" t="s">
        <v>20</v>
      </c>
      <c r="I208" s="1">
        <v>45694</v>
      </c>
      <c r="J208" s="1">
        <v>46042</v>
      </c>
      <c r="K208" s="1">
        <v>46042</v>
      </c>
      <c r="L208">
        <v>20</v>
      </c>
      <c r="M208">
        <v>0</v>
      </c>
      <c r="N208">
        <v>0</v>
      </c>
      <c r="O208">
        <v>0</v>
      </c>
      <c r="P208">
        <v>0</v>
      </c>
      <c r="Q208" t="s">
        <v>49</v>
      </c>
    </row>
    <row r="209" spans="1:17">
      <c r="A209" t="s">
        <v>35</v>
      </c>
      <c r="B209" t="s">
        <v>45</v>
      </c>
      <c r="C209" t="s">
        <v>23</v>
      </c>
      <c r="D209" t="s">
        <v>46</v>
      </c>
      <c r="E209">
        <v>20</v>
      </c>
      <c r="F209" t="str">
        <f>VLOOKUP(E209,[1]LOJA!$A:$B,2,0)</f>
        <v>DAUTO SERVIÇOS</v>
      </c>
      <c r="G209" t="s">
        <v>19</v>
      </c>
      <c r="H209" t="s">
        <v>20</v>
      </c>
      <c r="I209" s="1">
        <v>45694</v>
      </c>
      <c r="J209" s="1">
        <v>46042</v>
      </c>
      <c r="K209" s="1">
        <v>46042</v>
      </c>
      <c r="L209">
        <v>22</v>
      </c>
      <c r="M209">
        <v>0</v>
      </c>
      <c r="N209">
        <v>0</v>
      </c>
      <c r="O209">
        <v>0</v>
      </c>
      <c r="P209">
        <v>0</v>
      </c>
      <c r="Q209" t="s">
        <v>47</v>
      </c>
    </row>
    <row r="210" spans="1:17">
      <c r="A210" t="s">
        <v>35</v>
      </c>
      <c r="B210" t="s">
        <v>50</v>
      </c>
      <c r="C210" t="s">
        <v>51</v>
      </c>
      <c r="D210" t="s">
        <v>52</v>
      </c>
      <c r="E210">
        <v>1</v>
      </c>
      <c r="F210" t="str">
        <f>VLOOKUP(E210,[1]LOJA!$A:$B,2,0)</f>
        <v>GUARÁ</v>
      </c>
      <c r="G210" t="s">
        <v>19</v>
      </c>
      <c r="H210" t="s">
        <v>19</v>
      </c>
      <c r="I210" s="1">
        <v>46031</v>
      </c>
      <c r="J210" s="1">
        <v>46032</v>
      </c>
      <c r="K210" s="1">
        <v>46034</v>
      </c>
      <c r="L210">
        <v>23</v>
      </c>
      <c r="M210" s="2">
        <v>5982.55</v>
      </c>
      <c r="N210" s="2">
        <v>5982.55</v>
      </c>
      <c r="O210">
        <v>0</v>
      </c>
      <c r="P210">
        <v>0</v>
      </c>
      <c r="Q210" t="s">
        <v>53</v>
      </c>
    </row>
    <row r="211" spans="1:17">
      <c r="A211" t="s">
        <v>35</v>
      </c>
      <c r="B211" t="s">
        <v>50</v>
      </c>
      <c r="C211" t="s">
        <v>51</v>
      </c>
      <c r="D211" t="s">
        <v>52</v>
      </c>
      <c r="E211">
        <v>4</v>
      </c>
      <c r="F211" t="str">
        <f>VLOOKUP(E211,[1]LOJA!$A:$B,2,0)</f>
        <v>ADE</v>
      </c>
      <c r="G211" t="s">
        <v>19</v>
      </c>
      <c r="H211" t="s">
        <v>19</v>
      </c>
      <c r="I211" s="1">
        <v>46031</v>
      </c>
      <c r="J211" s="1">
        <v>46032</v>
      </c>
      <c r="K211" s="1">
        <v>46034</v>
      </c>
      <c r="L211">
        <v>23</v>
      </c>
      <c r="M211" s="2">
        <v>5982.55</v>
      </c>
      <c r="N211" s="2">
        <v>5982.55</v>
      </c>
      <c r="O211">
        <v>0</v>
      </c>
      <c r="P211">
        <v>0</v>
      </c>
      <c r="Q211" t="s">
        <v>53</v>
      </c>
    </row>
    <row r="212" spans="1:17">
      <c r="A212" t="s">
        <v>35</v>
      </c>
      <c r="B212" t="s">
        <v>50</v>
      </c>
      <c r="C212" t="s">
        <v>51</v>
      </c>
      <c r="D212" t="s">
        <v>52</v>
      </c>
      <c r="E212">
        <v>6</v>
      </c>
      <c r="F212" t="str">
        <f>VLOOKUP(E212,[1]LOJA!$A:$B,2,0)</f>
        <v>GAMA</v>
      </c>
      <c r="G212" t="s">
        <v>19</v>
      </c>
      <c r="H212" t="s">
        <v>19</v>
      </c>
      <c r="I212" s="1">
        <v>46031</v>
      </c>
      <c r="J212" s="1">
        <v>46032</v>
      </c>
      <c r="K212" s="1">
        <v>46034</v>
      </c>
      <c r="L212">
        <v>23</v>
      </c>
      <c r="M212" s="2">
        <v>5982.55</v>
      </c>
      <c r="N212" s="2">
        <v>5982.55</v>
      </c>
      <c r="O212">
        <v>0</v>
      </c>
      <c r="P212">
        <v>0</v>
      </c>
      <c r="Q212" t="s">
        <v>53</v>
      </c>
    </row>
    <row r="213" spans="1:17">
      <c r="A213" t="s">
        <v>35</v>
      </c>
      <c r="B213" t="s">
        <v>50</v>
      </c>
      <c r="C213" t="s">
        <v>51</v>
      </c>
      <c r="D213" t="s">
        <v>52</v>
      </c>
      <c r="E213">
        <v>8</v>
      </c>
      <c r="F213" t="str">
        <f>VLOOKUP(E213,[1]LOJA!$A:$B,2,0)</f>
        <v>LUZIÂNIA</v>
      </c>
      <c r="G213" t="s">
        <v>19</v>
      </c>
      <c r="H213" t="s">
        <v>19</v>
      </c>
      <c r="I213" s="1">
        <v>46031</v>
      </c>
      <c r="J213" s="1">
        <v>46032</v>
      </c>
      <c r="K213" s="1">
        <v>46034</v>
      </c>
      <c r="L213">
        <v>23</v>
      </c>
      <c r="M213">
        <v>0</v>
      </c>
      <c r="N213">
        <v>0</v>
      </c>
      <c r="O213">
        <v>0</v>
      </c>
      <c r="P213">
        <v>0</v>
      </c>
      <c r="Q213" t="s">
        <v>53</v>
      </c>
    </row>
    <row r="214" spans="1:17">
      <c r="A214" t="s">
        <v>35</v>
      </c>
      <c r="B214" t="s">
        <v>50</v>
      </c>
      <c r="C214" t="s">
        <v>51</v>
      </c>
      <c r="D214" t="s">
        <v>52</v>
      </c>
      <c r="E214">
        <v>12</v>
      </c>
      <c r="F214" t="str">
        <f>VLOOKUP(E214,[1]LOJA!$A:$B,2,0)</f>
        <v>SOFNORTE</v>
      </c>
      <c r="G214" t="s">
        <v>19</v>
      </c>
      <c r="H214" t="s">
        <v>19</v>
      </c>
      <c r="I214" s="1">
        <v>46031</v>
      </c>
      <c r="J214" s="1">
        <v>46032</v>
      </c>
      <c r="K214" s="1">
        <v>46034</v>
      </c>
      <c r="L214">
        <v>23</v>
      </c>
      <c r="M214">
        <v>0</v>
      </c>
      <c r="N214">
        <v>0</v>
      </c>
      <c r="O214">
        <v>0</v>
      </c>
      <c r="P214">
        <v>0</v>
      </c>
      <c r="Q214" t="s">
        <v>53</v>
      </c>
    </row>
    <row r="215" spans="1:17">
      <c r="A215" t="s">
        <v>35</v>
      </c>
      <c r="B215" t="s">
        <v>50</v>
      </c>
      <c r="C215" t="s">
        <v>51</v>
      </c>
      <c r="D215" t="s">
        <v>52</v>
      </c>
      <c r="E215">
        <v>13</v>
      </c>
      <c r="F215" t="str">
        <f>VLOOKUP(E215,[1]LOJA!$A:$B,2,0)</f>
        <v>CEILÂNDIA</v>
      </c>
      <c r="G215" t="s">
        <v>19</v>
      </c>
      <c r="H215" t="s">
        <v>19</v>
      </c>
      <c r="I215" s="1">
        <v>46031</v>
      </c>
      <c r="J215" s="1">
        <v>46032</v>
      </c>
      <c r="K215" s="1">
        <v>46034</v>
      </c>
      <c r="L215">
        <v>23</v>
      </c>
      <c r="M215" s="2">
        <v>11961.52</v>
      </c>
      <c r="N215" s="2">
        <v>11961.52</v>
      </c>
      <c r="O215">
        <v>0</v>
      </c>
      <c r="P215">
        <v>0</v>
      </c>
      <c r="Q215" t="s">
        <v>53</v>
      </c>
    </row>
    <row r="216" spans="1:17">
      <c r="A216" t="s">
        <v>35</v>
      </c>
      <c r="B216" t="s">
        <v>50</v>
      </c>
      <c r="C216" t="s">
        <v>51</v>
      </c>
      <c r="D216" t="s">
        <v>52</v>
      </c>
      <c r="E216">
        <v>14</v>
      </c>
      <c r="F216" t="str">
        <f>VLOOKUP(E216,[1]LOJA!$A:$B,2,0)</f>
        <v>S IA</v>
      </c>
      <c r="G216" t="s">
        <v>19</v>
      </c>
      <c r="H216" t="s">
        <v>19</v>
      </c>
      <c r="I216" s="1">
        <v>46031</v>
      </c>
      <c r="J216" s="1">
        <v>46032</v>
      </c>
      <c r="K216" s="1">
        <v>46034</v>
      </c>
      <c r="L216">
        <v>23</v>
      </c>
      <c r="M216" s="2">
        <v>5978.97</v>
      </c>
      <c r="N216" s="2">
        <v>5978.97</v>
      </c>
      <c r="O216">
        <v>0</v>
      </c>
      <c r="P216">
        <v>0</v>
      </c>
      <c r="Q216" t="s">
        <v>53</v>
      </c>
    </row>
    <row r="217" spans="1:17">
      <c r="A217" t="s">
        <v>35</v>
      </c>
      <c r="B217" t="s">
        <v>50</v>
      </c>
      <c r="C217" t="s">
        <v>51</v>
      </c>
      <c r="D217" t="s">
        <v>52</v>
      </c>
      <c r="E217">
        <v>15</v>
      </c>
      <c r="F217" t="str">
        <f>VLOOKUP(E217,[1]LOJA!$A:$B,2,0)</f>
        <v>UNAÍ</v>
      </c>
      <c r="G217" t="s">
        <v>19</v>
      </c>
      <c r="H217" t="s">
        <v>19</v>
      </c>
      <c r="I217" s="1">
        <v>46031</v>
      </c>
      <c r="J217" s="1">
        <v>46032</v>
      </c>
      <c r="K217" s="1">
        <v>46034</v>
      </c>
      <c r="L217">
        <v>23</v>
      </c>
      <c r="M217">
        <v>0</v>
      </c>
      <c r="N217">
        <v>0</v>
      </c>
      <c r="O217">
        <v>0</v>
      </c>
      <c r="P217">
        <v>0</v>
      </c>
      <c r="Q217" t="s">
        <v>53</v>
      </c>
    </row>
    <row r="218" spans="1:17">
      <c r="A218" t="s">
        <v>35</v>
      </c>
      <c r="B218" t="s">
        <v>50</v>
      </c>
      <c r="C218" t="s">
        <v>51</v>
      </c>
      <c r="D218" t="s">
        <v>52</v>
      </c>
      <c r="E218">
        <v>16</v>
      </c>
      <c r="F218" t="str">
        <f>VLOOKUP(E218,[1]LOJA!$A:$B,2,0)</f>
        <v>AG LINDAS</v>
      </c>
      <c r="G218" t="s">
        <v>19</v>
      </c>
      <c r="H218" t="s">
        <v>19</v>
      </c>
      <c r="I218" s="1">
        <v>46031</v>
      </c>
      <c r="J218" s="1">
        <v>46032</v>
      </c>
      <c r="K218" s="1">
        <v>46034</v>
      </c>
      <c r="L218">
        <v>23</v>
      </c>
      <c r="M218">
        <v>0</v>
      </c>
      <c r="N218">
        <v>0</v>
      </c>
      <c r="O218">
        <v>0</v>
      </c>
      <c r="P218">
        <v>0</v>
      </c>
      <c r="Q218" t="s">
        <v>53</v>
      </c>
    </row>
    <row r="219" spans="1:17">
      <c r="A219" t="s">
        <v>35</v>
      </c>
      <c r="B219" t="s">
        <v>50</v>
      </c>
      <c r="C219" t="s">
        <v>51</v>
      </c>
      <c r="D219" t="s">
        <v>54</v>
      </c>
      <c r="E219">
        <v>1</v>
      </c>
      <c r="F219" t="str">
        <f>VLOOKUP(E219,[1]LOJA!$A:$B,2,0)</f>
        <v>GUARÁ</v>
      </c>
      <c r="G219" t="s">
        <v>19</v>
      </c>
      <c r="H219" t="s">
        <v>19</v>
      </c>
      <c r="I219" s="1">
        <v>46031</v>
      </c>
      <c r="J219" s="1">
        <v>46032</v>
      </c>
      <c r="K219" s="1">
        <v>46034</v>
      </c>
      <c r="L219">
        <v>38</v>
      </c>
      <c r="M219">
        <v>25.01</v>
      </c>
      <c r="N219">
        <v>25.01</v>
      </c>
      <c r="O219">
        <v>0</v>
      </c>
      <c r="P219">
        <v>0</v>
      </c>
      <c r="Q219" t="s">
        <v>53</v>
      </c>
    </row>
    <row r="220" spans="1:17">
      <c r="A220" t="s">
        <v>35</v>
      </c>
      <c r="B220" t="s">
        <v>50</v>
      </c>
      <c r="C220" t="s">
        <v>51</v>
      </c>
      <c r="D220" t="s">
        <v>54</v>
      </c>
      <c r="E220">
        <v>4</v>
      </c>
      <c r="F220" t="str">
        <f>VLOOKUP(E220,[1]LOJA!$A:$B,2,0)</f>
        <v>ADE</v>
      </c>
      <c r="G220" t="s">
        <v>19</v>
      </c>
      <c r="H220" t="s">
        <v>19</v>
      </c>
      <c r="I220" s="1">
        <v>46031</v>
      </c>
      <c r="J220" s="1">
        <v>46032</v>
      </c>
      <c r="K220" s="1">
        <v>46034</v>
      </c>
      <c r="L220">
        <v>38</v>
      </c>
      <c r="M220">
        <v>25.01</v>
      </c>
      <c r="N220">
        <v>25.01</v>
      </c>
      <c r="O220">
        <v>0</v>
      </c>
      <c r="P220">
        <v>0</v>
      </c>
      <c r="Q220" t="s">
        <v>53</v>
      </c>
    </row>
    <row r="221" spans="1:17">
      <c r="A221" t="s">
        <v>35</v>
      </c>
      <c r="B221" t="s">
        <v>50</v>
      </c>
      <c r="C221" t="s">
        <v>51</v>
      </c>
      <c r="D221" t="s">
        <v>54</v>
      </c>
      <c r="E221">
        <v>6</v>
      </c>
      <c r="F221" t="str">
        <f>VLOOKUP(E221,[1]LOJA!$A:$B,2,0)</f>
        <v>GAMA</v>
      </c>
      <c r="G221" t="s">
        <v>19</v>
      </c>
      <c r="H221" t="s">
        <v>19</v>
      </c>
      <c r="I221" s="1">
        <v>46031</v>
      </c>
      <c r="J221" s="1">
        <v>46032</v>
      </c>
      <c r="K221" s="1">
        <v>46034</v>
      </c>
      <c r="L221">
        <v>38</v>
      </c>
      <c r="M221">
        <v>25.01</v>
      </c>
      <c r="N221">
        <v>25.01</v>
      </c>
      <c r="O221">
        <v>0</v>
      </c>
      <c r="P221">
        <v>0</v>
      </c>
      <c r="Q221" t="s">
        <v>53</v>
      </c>
    </row>
    <row r="222" spans="1:17">
      <c r="A222" t="s">
        <v>35</v>
      </c>
      <c r="B222" t="s">
        <v>50</v>
      </c>
      <c r="C222" t="s">
        <v>51</v>
      </c>
      <c r="D222" t="s">
        <v>54</v>
      </c>
      <c r="E222">
        <v>8</v>
      </c>
      <c r="F222" t="str">
        <f>VLOOKUP(E222,[1]LOJA!$A:$B,2,0)</f>
        <v>LUZIÂNIA</v>
      </c>
      <c r="G222" t="s">
        <v>19</v>
      </c>
      <c r="H222" t="s">
        <v>19</v>
      </c>
      <c r="I222" s="1">
        <v>46031</v>
      </c>
      <c r="J222" s="1">
        <v>46032</v>
      </c>
      <c r="K222" s="1">
        <v>46034</v>
      </c>
      <c r="L222">
        <v>38</v>
      </c>
      <c r="M222">
        <v>0</v>
      </c>
      <c r="N222">
        <v>0</v>
      </c>
      <c r="O222">
        <v>0</v>
      </c>
      <c r="P222">
        <v>0</v>
      </c>
      <c r="Q222" t="s">
        <v>53</v>
      </c>
    </row>
    <row r="223" spans="1:17">
      <c r="A223" t="s">
        <v>35</v>
      </c>
      <c r="B223" t="s">
        <v>50</v>
      </c>
      <c r="C223" t="s">
        <v>51</v>
      </c>
      <c r="D223" t="s">
        <v>54</v>
      </c>
      <c r="E223">
        <v>12</v>
      </c>
      <c r="F223" t="str">
        <f>VLOOKUP(E223,[1]LOJA!$A:$B,2,0)</f>
        <v>SOFNORTE</v>
      </c>
      <c r="G223" t="s">
        <v>19</v>
      </c>
      <c r="H223" t="s">
        <v>19</v>
      </c>
      <c r="I223" s="1">
        <v>46031</v>
      </c>
      <c r="J223" s="1">
        <v>46032</v>
      </c>
      <c r="K223" s="1">
        <v>46034</v>
      </c>
      <c r="L223">
        <v>38</v>
      </c>
      <c r="M223">
        <v>0</v>
      </c>
      <c r="N223">
        <v>0</v>
      </c>
      <c r="O223">
        <v>0</v>
      </c>
      <c r="P223">
        <v>0</v>
      </c>
      <c r="Q223" t="s">
        <v>53</v>
      </c>
    </row>
    <row r="224" spans="1:17">
      <c r="A224" t="s">
        <v>35</v>
      </c>
      <c r="B224" t="s">
        <v>50</v>
      </c>
      <c r="C224" t="s">
        <v>51</v>
      </c>
      <c r="D224" t="s">
        <v>54</v>
      </c>
      <c r="E224">
        <v>13</v>
      </c>
      <c r="F224" t="str">
        <f>VLOOKUP(E224,[1]LOJA!$A:$B,2,0)</f>
        <v>CEILÂNDIA</v>
      </c>
      <c r="G224" t="s">
        <v>19</v>
      </c>
      <c r="H224" t="s">
        <v>19</v>
      </c>
      <c r="I224" s="1">
        <v>46031</v>
      </c>
      <c r="J224" s="1">
        <v>46032</v>
      </c>
      <c r="K224" s="1">
        <v>46034</v>
      </c>
      <c r="L224">
        <v>38</v>
      </c>
      <c r="M224">
        <v>50</v>
      </c>
      <c r="N224">
        <v>50</v>
      </c>
      <c r="O224">
        <v>0</v>
      </c>
      <c r="P224">
        <v>0</v>
      </c>
      <c r="Q224" t="s">
        <v>53</v>
      </c>
    </row>
    <row r="225" spans="1:17">
      <c r="A225" t="s">
        <v>35</v>
      </c>
      <c r="B225" t="s">
        <v>50</v>
      </c>
      <c r="C225" t="s">
        <v>51</v>
      </c>
      <c r="D225" t="s">
        <v>54</v>
      </c>
      <c r="E225">
        <v>14</v>
      </c>
      <c r="F225" t="str">
        <f>VLOOKUP(E225,[1]LOJA!$A:$B,2,0)</f>
        <v>S IA</v>
      </c>
      <c r="G225" t="s">
        <v>19</v>
      </c>
      <c r="H225" t="s">
        <v>19</v>
      </c>
      <c r="I225" s="1">
        <v>46031</v>
      </c>
      <c r="J225" s="1">
        <v>46032</v>
      </c>
      <c r="K225" s="1">
        <v>46034</v>
      </c>
      <c r="L225">
        <v>38</v>
      </c>
      <c r="M225">
        <v>24.97</v>
      </c>
      <c r="N225">
        <v>24.97</v>
      </c>
      <c r="O225">
        <v>0</v>
      </c>
      <c r="P225">
        <v>0</v>
      </c>
      <c r="Q225" t="s">
        <v>53</v>
      </c>
    </row>
    <row r="226" spans="1:17">
      <c r="A226" t="s">
        <v>35</v>
      </c>
      <c r="B226" t="s">
        <v>50</v>
      </c>
      <c r="C226" t="s">
        <v>51</v>
      </c>
      <c r="D226" t="s">
        <v>54</v>
      </c>
      <c r="E226">
        <v>15</v>
      </c>
      <c r="F226" t="str">
        <f>VLOOKUP(E226,[1]LOJA!$A:$B,2,0)</f>
        <v>UNAÍ</v>
      </c>
      <c r="G226" t="s">
        <v>19</v>
      </c>
      <c r="H226" t="s">
        <v>19</v>
      </c>
      <c r="I226" s="1">
        <v>46031</v>
      </c>
      <c r="J226" s="1">
        <v>46032</v>
      </c>
      <c r="K226" s="1">
        <v>46034</v>
      </c>
      <c r="L226">
        <v>38</v>
      </c>
      <c r="M226">
        <v>0</v>
      </c>
      <c r="N226">
        <v>0</v>
      </c>
      <c r="O226">
        <v>0</v>
      </c>
      <c r="P226">
        <v>0</v>
      </c>
      <c r="Q226" t="s">
        <v>53</v>
      </c>
    </row>
    <row r="227" spans="1:17">
      <c r="A227" t="s">
        <v>35</v>
      </c>
      <c r="B227" t="s">
        <v>50</v>
      </c>
      <c r="C227" t="s">
        <v>51</v>
      </c>
      <c r="D227" t="s">
        <v>54</v>
      </c>
      <c r="E227">
        <v>16</v>
      </c>
      <c r="F227" t="str">
        <f>VLOOKUP(E227,[1]LOJA!$A:$B,2,0)</f>
        <v>AG LINDAS</v>
      </c>
      <c r="G227" t="s">
        <v>19</v>
      </c>
      <c r="H227" t="s">
        <v>19</v>
      </c>
      <c r="I227" s="1">
        <v>46031</v>
      </c>
      <c r="J227" s="1">
        <v>46032</v>
      </c>
      <c r="K227" s="1">
        <v>46034</v>
      </c>
      <c r="L227">
        <v>38</v>
      </c>
      <c r="M227">
        <v>0</v>
      </c>
      <c r="N227">
        <v>0</v>
      </c>
      <c r="O227">
        <v>0</v>
      </c>
      <c r="P227">
        <v>0</v>
      </c>
      <c r="Q227" t="s">
        <v>53</v>
      </c>
    </row>
    <row r="228" spans="1:17">
      <c r="A228" t="s">
        <v>35</v>
      </c>
      <c r="B228" t="s">
        <v>55</v>
      </c>
      <c r="C228" t="s">
        <v>56</v>
      </c>
      <c r="D228" t="s">
        <v>57</v>
      </c>
      <c r="E228">
        <v>1</v>
      </c>
      <c r="F228" t="str">
        <f>VLOOKUP(E228,[1]LOJA!$A:$B,2,0)</f>
        <v>GUARÁ</v>
      </c>
      <c r="G228" t="s">
        <v>19</v>
      </c>
      <c r="H228" t="s">
        <v>19</v>
      </c>
      <c r="I228" s="1">
        <v>46006</v>
      </c>
      <c r="J228" s="1">
        <v>46039</v>
      </c>
      <c r="K228" s="1">
        <v>46041</v>
      </c>
      <c r="L228">
        <v>17</v>
      </c>
      <c r="M228">
        <v>0</v>
      </c>
      <c r="N228">
        <v>0</v>
      </c>
      <c r="O228">
        <v>0</v>
      </c>
      <c r="P228">
        <v>0</v>
      </c>
      <c r="Q228" t="s">
        <v>58</v>
      </c>
    </row>
    <row r="229" spans="1:17">
      <c r="A229" t="s">
        <v>35</v>
      </c>
      <c r="B229" t="s">
        <v>55</v>
      </c>
      <c r="C229" t="s">
        <v>56</v>
      </c>
      <c r="D229" t="s">
        <v>57</v>
      </c>
      <c r="E229">
        <v>4</v>
      </c>
      <c r="F229" t="str">
        <f>VLOOKUP(E229,[1]LOJA!$A:$B,2,0)</f>
        <v>ADE</v>
      </c>
      <c r="G229" t="s">
        <v>19</v>
      </c>
      <c r="H229" t="s">
        <v>19</v>
      </c>
      <c r="I229" s="1">
        <v>46006</v>
      </c>
      <c r="J229" s="1">
        <v>46039</v>
      </c>
      <c r="K229" s="1">
        <v>46041</v>
      </c>
      <c r="L229">
        <v>17</v>
      </c>
      <c r="M229">
        <v>79.84</v>
      </c>
      <c r="N229">
        <v>79.84</v>
      </c>
      <c r="O229">
        <v>0</v>
      </c>
      <c r="P229">
        <v>0</v>
      </c>
      <c r="Q229" t="s">
        <v>58</v>
      </c>
    </row>
    <row r="230" spans="1:17">
      <c r="A230" t="s">
        <v>35</v>
      </c>
      <c r="B230" t="s">
        <v>55</v>
      </c>
      <c r="C230" t="s">
        <v>56</v>
      </c>
      <c r="D230" t="s">
        <v>57</v>
      </c>
      <c r="E230">
        <v>6</v>
      </c>
      <c r="F230" t="str">
        <f>VLOOKUP(E230,[1]LOJA!$A:$B,2,0)</f>
        <v>GAMA</v>
      </c>
      <c r="G230" t="s">
        <v>19</v>
      </c>
      <c r="H230" t="s">
        <v>19</v>
      </c>
      <c r="I230" s="1">
        <v>46006</v>
      </c>
      <c r="J230" s="1">
        <v>46039</v>
      </c>
      <c r="K230" s="1">
        <v>46041</v>
      </c>
      <c r="L230">
        <v>17</v>
      </c>
      <c r="M230">
        <v>79.84</v>
      </c>
      <c r="N230">
        <v>79.84</v>
      </c>
      <c r="O230">
        <v>0</v>
      </c>
      <c r="P230">
        <v>0</v>
      </c>
      <c r="Q230" t="s">
        <v>58</v>
      </c>
    </row>
    <row r="231" spans="1:17">
      <c r="A231" t="s">
        <v>35</v>
      </c>
      <c r="B231" t="s">
        <v>55</v>
      </c>
      <c r="C231" t="s">
        <v>56</v>
      </c>
      <c r="D231" t="s">
        <v>57</v>
      </c>
      <c r="E231">
        <v>8</v>
      </c>
      <c r="F231" t="str">
        <f>VLOOKUP(E231,[1]LOJA!$A:$B,2,0)</f>
        <v>LUZIÂNIA</v>
      </c>
      <c r="G231" t="s">
        <v>19</v>
      </c>
      <c r="H231" t="s">
        <v>19</v>
      </c>
      <c r="I231" s="1">
        <v>46006</v>
      </c>
      <c r="J231" s="1">
        <v>46039</v>
      </c>
      <c r="K231" s="1">
        <v>46041</v>
      </c>
      <c r="L231">
        <v>17</v>
      </c>
      <c r="M231">
        <v>0</v>
      </c>
      <c r="N231">
        <v>0</v>
      </c>
      <c r="O231">
        <v>0</v>
      </c>
      <c r="P231">
        <v>0</v>
      </c>
      <c r="Q231" t="s">
        <v>58</v>
      </c>
    </row>
    <row r="232" spans="1:17">
      <c r="A232" t="s">
        <v>35</v>
      </c>
      <c r="B232" t="s">
        <v>55</v>
      </c>
      <c r="C232" t="s">
        <v>56</v>
      </c>
      <c r="D232" t="s">
        <v>57</v>
      </c>
      <c r="E232">
        <v>12</v>
      </c>
      <c r="F232" t="str">
        <f>VLOOKUP(E232,[1]LOJA!$A:$B,2,0)</f>
        <v>SOFNORTE</v>
      </c>
      <c r="G232" t="s">
        <v>19</v>
      </c>
      <c r="H232" t="s">
        <v>19</v>
      </c>
      <c r="I232" s="1">
        <v>46006</v>
      </c>
      <c r="J232" s="1">
        <v>46039</v>
      </c>
      <c r="K232" s="1">
        <v>46041</v>
      </c>
      <c r="L232">
        <v>17</v>
      </c>
      <c r="M232">
        <v>79.84</v>
      </c>
      <c r="N232">
        <v>79.84</v>
      </c>
      <c r="O232">
        <v>0</v>
      </c>
      <c r="P232">
        <v>0</v>
      </c>
      <c r="Q232" t="s">
        <v>58</v>
      </c>
    </row>
    <row r="233" spans="1:17">
      <c r="A233" t="s">
        <v>35</v>
      </c>
      <c r="B233" t="s">
        <v>55</v>
      </c>
      <c r="C233" t="s">
        <v>56</v>
      </c>
      <c r="D233" t="s">
        <v>57</v>
      </c>
      <c r="E233">
        <v>13</v>
      </c>
      <c r="F233" t="str">
        <f>VLOOKUP(E233,[1]LOJA!$A:$B,2,0)</f>
        <v>CEILÂNDIA</v>
      </c>
      <c r="G233" t="s">
        <v>19</v>
      </c>
      <c r="H233" t="s">
        <v>19</v>
      </c>
      <c r="I233" s="1">
        <v>46006</v>
      </c>
      <c r="J233" s="1">
        <v>46039</v>
      </c>
      <c r="K233" s="1">
        <v>46041</v>
      </c>
      <c r="L233">
        <v>17</v>
      </c>
      <c r="M233">
        <v>79.84</v>
      </c>
      <c r="N233">
        <v>79.84</v>
      </c>
      <c r="O233">
        <v>0</v>
      </c>
      <c r="P233">
        <v>0</v>
      </c>
      <c r="Q233" t="s">
        <v>58</v>
      </c>
    </row>
    <row r="234" spans="1:17">
      <c r="A234" t="s">
        <v>35</v>
      </c>
      <c r="B234" t="s">
        <v>55</v>
      </c>
      <c r="C234" t="s">
        <v>56</v>
      </c>
      <c r="D234" t="s">
        <v>57</v>
      </c>
      <c r="E234">
        <v>14</v>
      </c>
      <c r="F234" t="str">
        <f>VLOOKUP(E234,[1]LOJA!$A:$B,2,0)</f>
        <v>S IA</v>
      </c>
      <c r="G234" t="s">
        <v>19</v>
      </c>
      <c r="H234" t="s">
        <v>19</v>
      </c>
      <c r="I234" s="1">
        <v>46006</v>
      </c>
      <c r="J234" s="1">
        <v>46039</v>
      </c>
      <c r="K234" s="1">
        <v>46041</v>
      </c>
      <c r="L234">
        <v>17</v>
      </c>
      <c r="M234">
        <v>79.84</v>
      </c>
      <c r="N234">
        <v>79.84</v>
      </c>
      <c r="O234">
        <v>0</v>
      </c>
      <c r="P234">
        <v>0</v>
      </c>
      <c r="Q234" t="s">
        <v>58</v>
      </c>
    </row>
    <row r="235" spans="1:17">
      <c r="A235" t="s">
        <v>35</v>
      </c>
      <c r="B235" t="s">
        <v>55</v>
      </c>
      <c r="C235" t="s">
        <v>56</v>
      </c>
      <c r="D235" t="s">
        <v>57</v>
      </c>
      <c r="E235">
        <v>15</v>
      </c>
      <c r="F235" t="str">
        <f>VLOOKUP(E235,[1]LOJA!$A:$B,2,0)</f>
        <v>UNAÍ</v>
      </c>
      <c r="G235" t="s">
        <v>19</v>
      </c>
      <c r="H235" t="s">
        <v>19</v>
      </c>
      <c r="I235" s="1">
        <v>46006</v>
      </c>
      <c r="J235" s="1">
        <v>46039</v>
      </c>
      <c r="K235" s="1">
        <v>46041</v>
      </c>
      <c r="L235">
        <v>17</v>
      </c>
      <c r="M235">
        <v>79.84</v>
      </c>
      <c r="N235">
        <v>79.84</v>
      </c>
      <c r="O235">
        <v>0</v>
      </c>
      <c r="P235">
        <v>0</v>
      </c>
      <c r="Q235" t="s">
        <v>58</v>
      </c>
    </row>
    <row r="236" spans="1:17">
      <c r="A236" t="s">
        <v>35</v>
      </c>
      <c r="B236" t="s">
        <v>55</v>
      </c>
      <c r="C236" t="s">
        <v>56</v>
      </c>
      <c r="D236" t="s">
        <v>57</v>
      </c>
      <c r="E236">
        <v>16</v>
      </c>
      <c r="F236" t="str">
        <f>VLOOKUP(E236,[1]LOJA!$A:$B,2,0)</f>
        <v>AG LINDAS</v>
      </c>
      <c r="G236" t="s">
        <v>19</v>
      </c>
      <c r="H236" t="s">
        <v>19</v>
      </c>
      <c r="I236" s="1">
        <v>46006</v>
      </c>
      <c r="J236" s="1">
        <v>46039</v>
      </c>
      <c r="K236" s="1">
        <v>46041</v>
      </c>
      <c r="L236">
        <v>17</v>
      </c>
      <c r="M236">
        <v>79.84</v>
      </c>
      <c r="N236">
        <v>79.84</v>
      </c>
      <c r="O236">
        <v>0</v>
      </c>
      <c r="P236">
        <v>0</v>
      </c>
      <c r="Q236" t="s">
        <v>58</v>
      </c>
    </row>
    <row r="237" spans="1:17">
      <c r="A237" t="s">
        <v>35</v>
      </c>
      <c r="B237" t="s">
        <v>55</v>
      </c>
      <c r="C237" t="s">
        <v>56</v>
      </c>
      <c r="D237" t="s">
        <v>57</v>
      </c>
      <c r="E237">
        <v>20</v>
      </c>
      <c r="F237" t="str">
        <f>VLOOKUP(E237,[1]LOJA!$A:$B,2,0)</f>
        <v>DAUTO SERVIÇOS</v>
      </c>
      <c r="G237" t="s">
        <v>19</v>
      </c>
      <c r="H237" t="s">
        <v>19</v>
      </c>
      <c r="I237" s="1">
        <v>46006</v>
      </c>
      <c r="J237" s="1">
        <v>46039</v>
      </c>
      <c r="K237" s="1">
        <v>46041</v>
      </c>
      <c r="L237">
        <v>17</v>
      </c>
      <c r="M237">
        <v>0</v>
      </c>
      <c r="N237">
        <v>0</v>
      </c>
      <c r="O237">
        <v>0</v>
      </c>
      <c r="P237">
        <v>0</v>
      </c>
      <c r="Q237" t="s">
        <v>58</v>
      </c>
    </row>
    <row r="238" spans="1:17">
      <c r="A238" t="s">
        <v>35</v>
      </c>
      <c r="B238" t="s">
        <v>55</v>
      </c>
      <c r="C238" t="s">
        <v>56</v>
      </c>
      <c r="D238" t="s">
        <v>57</v>
      </c>
      <c r="E238">
        <v>22</v>
      </c>
      <c r="F238" t="str">
        <f>VLOOKUP(E238,[1]LOJA!$A:$B,2,0)</f>
        <v>GUARÁ</v>
      </c>
      <c r="G238" t="s">
        <v>19</v>
      </c>
      <c r="H238" t="s">
        <v>19</v>
      </c>
      <c r="I238" s="1">
        <v>46006</v>
      </c>
      <c r="J238" s="1">
        <v>46039</v>
      </c>
      <c r="K238" s="1">
        <v>46041</v>
      </c>
      <c r="L238">
        <v>17</v>
      </c>
      <c r="M238">
        <v>79.84</v>
      </c>
      <c r="N238">
        <v>79.84</v>
      </c>
      <c r="O238">
        <v>0</v>
      </c>
      <c r="P238">
        <v>0</v>
      </c>
      <c r="Q238" t="s">
        <v>58</v>
      </c>
    </row>
    <row r="239" spans="1:17">
      <c r="A239" t="s">
        <v>35</v>
      </c>
      <c r="B239" t="s">
        <v>55</v>
      </c>
      <c r="C239" t="s">
        <v>56</v>
      </c>
      <c r="D239" t="s">
        <v>57</v>
      </c>
      <c r="E239">
        <v>24</v>
      </c>
      <c r="F239" t="str">
        <f>VLOOKUP(E239,[1]LOJA!$A:$B,2,0)</f>
        <v>LUZIÂNIA</v>
      </c>
      <c r="G239" t="s">
        <v>19</v>
      </c>
      <c r="H239" t="s">
        <v>19</v>
      </c>
      <c r="I239" s="1">
        <v>46006</v>
      </c>
      <c r="J239" s="1">
        <v>46039</v>
      </c>
      <c r="K239" s="1">
        <v>46041</v>
      </c>
      <c r="L239">
        <v>17</v>
      </c>
      <c r="M239">
        <v>79.84</v>
      </c>
      <c r="N239">
        <v>79.84</v>
      </c>
      <c r="O239">
        <v>0</v>
      </c>
      <c r="P239">
        <v>0</v>
      </c>
      <c r="Q239" t="s">
        <v>58</v>
      </c>
    </row>
    <row r="240" spans="1:17">
      <c r="A240" t="s">
        <v>35</v>
      </c>
      <c r="B240" t="s">
        <v>55</v>
      </c>
      <c r="C240" t="s">
        <v>56</v>
      </c>
      <c r="D240" t="s">
        <v>59</v>
      </c>
      <c r="E240">
        <v>4</v>
      </c>
      <c r="F240" t="str">
        <f>VLOOKUP(E240,[1]LOJA!$A:$B,2,0)</f>
        <v>ADE</v>
      </c>
      <c r="G240" t="s">
        <v>19</v>
      </c>
      <c r="H240" t="s">
        <v>19</v>
      </c>
      <c r="I240" s="1">
        <v>46007</v>
      </c>
      <c r="J240" s="1">
        <v>46039</v>
      </c>
      <c r="K240" s="1">
        <v>46041</v>
      </c>
      <c r="L240">
        <v>17</v>
      </c>
      <c r="M240">
        <v>50</v>
      </c>
      <c r="N240">
        <v>50</v>
      </c>
      <c r="O240">
        <v>0</v>
      </c>
      <c r="P240">
        <v>0</v>
      </c>
      <c r="Q240" t="s">
        <v>60</v>
      </c>
    </row>
    <row r="241" spans="1:17">
      <c r="A241" t="s">
        <v>35</v>
      </c>
      <c r="B241" t="s">
        <v>55</v>
      </c>
      <c r="C241" t="s">
        <v>56</v>
      </c>
      <c r="D241" t="s">
        <v>59</v>
      </c>
      <c r="E241">
        <v>6</v>
      </c>
      <c r="F241" t="str">
        <f>VLOOKUP(E241,[1]LOJA!$A:$B,2,0)</f>
        <v>GAMA</v>
      </c>
      <c r="G241" t="s">
        <v>19</v>
      </c>
      <c r="H241" t="s">
        <v>19</v>
      </c>
      <c r="I241" s="1">
        <v>46007</v>
      </c>
      <c r="J241" s="1">
        <v>46039</v>
      </c>
      <c r="K241" s="1">
        <v>46041</v>
      </c>
      <c r="L241">
        <v>17</v>
      </c>
      <c r="M241">
        <v>50</v>
      </c>
      <c r="N241">
        <v>50</v>
      </c>
      <c r="O241">
        <v>0</v>
      </c>
      <c r="P241">
        <v>0</v>
      </c>
      <c r="Q241" t="s">
        <v>60</v>
      </c>
    </row>
    <row r="242" spans="1:17">
      <c r="A242" t="s">
        <v>35</v>
      </c>
      <c r="B242" t="s">
        <v>55</v>
      </c>
      <c r="C242" t="s">
        <v>56</v>
      </c>
      <c r="D242" t="s">
        <v>59</v>
      </c>
      <c r="E242">
        <v>8</v>
      </c>
      <c r="F242" t="str">
        <f>VLOOKUP(E242,[1]LOJA!$A:$B,2,0)</f>
        <v>LUZIÂNIA</v>
      </c>
      <c r="G242" t="s">
        <v>19</v>
      </c>
      <c r="H242" t="s">
        <v>19</v>
      </c>
      <c r="I242" s="1">
        <v>46007</v>
      </c>
      <c r="J242" s="1">
        <v>46039</v>
      </c>
      <c r="K242" s="1">
        <v>46041</v>
      </c>
      <c r="L242">
        <v>17</v>
      </c>
      <c r="M242">
        <v>0</v>
      </c>
      <c r="N242">
        <v>0</v>
      </c>
      <c r="O242">
        <v>0</v>
      </c>
      <c r="P242">
        <v>0</v>
      </c>
      <c r="Q242" t="s">
        <v>60</v>
      </c>
    </row>
    <row r="243" spans="1:17">
      <c r="A243" t="s">
        <v>35</v>
      </c>
      <c r="B243" t="s">
        <v>55</v>
      </c>
      <c r="C243" t="s">
        <v>56</v>
      </c>
      <c r="D243" t="s">
        <v>59</v>
      </c>
      <c r="E243">
        <v>12</v>
      </c>
      <c r="F243" t="str">
        <f>VLOOKUP(E243,[1]LOJA!$A:$B,2,0)</f>
        <v>SOFNORTE</v>
      </c>
      <c r="G243" t="s">
        <v>19</v>
      </c>
      <c r="H243" t="s">
        <v>19</v>
      </c>
      <c r="I243" s="1">
        <v>46007</v>
      </c>
      <c r="J243" s="1">
        <v>46039</v>
      </c>
      <c r="K243" s="1">
        <v>46041</v>
      </c>
      <c r="L243">
        <v>17</v>
      </c>
      <c r="M243">
        <v>50</v>
      </c>
      <c r="N243">
        <v>50</v>
      </c>
      <c r="O243">
        <v>0</v>
      </c>
      <c r="P243">
        <v>0</v>
      </c>
      <c r="Q243" t="s">
        <v>60</v>
      </c>
    </row>
    <row r="244" spans="1:17">
      <c r="A244" t="s">
        <v>35</v>
      </c>
      <c r="B244" t="s">
        <v>55</v>
      </c>
      <c r="C244" t="s">
        <v>56</v>
      </c>
      <c r="D244" t="s">
        <v>59</v>
      </c>
      <c r="E244">
        <v>13</v>
      </c>
      <c r="F244" t="str">
        <f>VLOOKUP(E244,[1]LOJA!$A:$B,2,0)</f>
        <v>CEILÂNDIA</v>
      </c>
      <c r="G244" t="s">
        <v>19</v>
      </c>
      <c r="H244" t="s">
        <v>19</v>
      </c>
      <c r="I244" s="1">
        <v>46007</v>
      </c>
      <c r="J244" s="1">
        <v>46039</v>
      </c>
      <c r="K244" s="1">
        <v>46041</v>
      </c>
      <c r="L244">
        <v>17</v>
      </c>
      <c r="M244">
        <v>50</v>
      </c>
      <c r="N244">
        <v>50</v>
      </c>
      <c r="O244">
        <v>0</v>
      </c>
      <c r="P244">
        <v>0</v>
      </c>
      <c r="Q244" t="s">
        <v>60</v>
      </c>
    </row>
    <row r="245" spans="1:17">
      <c r="A245" t="s">
        <v>35</v>
      </c>
      <c r="B245" t="s">
        <v>55</v>
      </c>
      <c r="C245" t="s">
        <v>56</v>
      </c>
      <c r="D245" t="s">
        <v>59</v>
      </c>
      <c r="E245">
        <v>14</v>
      </c>
      <c r="F245" t="str">
        <f>VLOOKUP(E245,[1]LOJA!$A:$B,2,0)</f>
        <v>S IA</v>
      </c>
      <c r="G245" t="s">
        <v>19</v>
      </c>
      <c r="H245" t="s">
        <v>19</v>
      </c>
      <c r="I245" s="1">
        <v>46007</v>
      </c>
      <c r="J245" s="1">
        <v>46039</v>
      </c>
      <c r="K245" s="1">
        <v>46041</v>
      </c>
      <c r="L245">
        <v>17</v>
      </c>
      <c r="M245">
        <v>50</v>
      </c>
      <c r="N245">
        <v>50</v>
      </c>
      <c r="O245">
        <v>0</v>
      </c>
      <c r="P245">
        <v>0</v>
      </c>
      <c r="Q245" t="s">
        <v>60</v>
      </c>
    </row>
    <row r="246" spans="1:17">
      <c r="A246" t="s">
        <v>35</v>
      </c>
      <c r="B246" t="s">
        <v>55</v>
      </c>
      <c r="C246" t="s">
        <v>56</v>
      </c>
      <c r="D246" t="s">
        <v>59</v>
      </c>
      <c r="E246">
        <v>15</v>
      </c>
      <c r="F246" t="str">
        <f>VLOOKUP(E246,[1]LOJA!$A:$B,2,0)</f>
        <v>UNAÍ</v>
      </c>
      <c r="G246" t="s">
        <v>19</v>
      </c>
      <c r="H246" t="s">
        <v>19</v>
      </c>
      <c r="I246" s="1">
        <v>46007</v>
      </c>
      <c r="J246" s="1">
        <v>46039</v>
      </c>
      <c r="K246" s="1">
        <v>46041</v>
      </c>
      <c r="L246">
        <v>17</v>
      </c>
      <c r="M246">
        <v>50</v>
      </c>
      <c r="N246">
        <v>50</v>
      </c>
      <c r="O246">
        <v>0</v>
      </c>
      <c r="P246">
        <v>0</v>
      </c>
      <c r="Q246" t="s">
        <v>60</v>
      </c>
    </row>
    <row r="247" spans="1:17">
      <c r="A247" t="s">
        <v>35</v>
      </c>
      <c r="B247" t="s">
        <v>55</v>
      </c>
      <c r="C247" t="s">
        <v>56</v>
      </c>
      <c r="D247" t="s">
        <v>59</v>
      </c>
      <c r="E247">
        <v>16</v>
      </c>
      <c r="F247" t="str">
        <f>VLOOKUP(E247,[1]LOJA!$A:$B,2,0)</f>
        <v>AG LINDAS</v>
      </c>
      <c r="G247" t="s">
        <v>19</v>
      </c>
      <c r="H247" t="s">
        <v>19</v>
      </c>
      <c r="I247" s="1">
        <v>46007</v>
      </c>
      <c r="J247" s="1">
        <v>46039</v>
      </c>
      <c r="K247" s="1">
        <v>46041</v>
      </c>
      <c r="L247">
        <v>17</v>
      </c>
      <c r="M247">
        <v>50</v>
      </c>
      <c r="N247">
        <v>50</v>
      </c>
      <c r="O247">
        <v>0</v>
      </c>
      <c r="P247">
        <v>0</v>
      </c>
      <c r="Q247" t="s">
        <v>60</v>
      </c>
    </row>
    <row r="248" spans="1:17">
      <c r="A248" t="s">
        <v>35</v>
      </c>
      <c r="B248" t="s">
        <v>55</v>
      </c>
      <c r="C248" t="s">
        <v>56</v>
      </c>
      <c r="D248" t="s">
        <v>59</v>
      </c>
      <c r="E248">
        <v>20</v>
      </c>
      <c r="F248" t="str">
        <f>VLOOKUP(E248,[1]LOJA!$A:$B,2,0)</f>
        <v>DAUTO SERVIÇOS</v>
      </c>
      <c r="G248" t="s">
        <v>19</v>
      </c>
      <c r="H248" t="s">
        <v>19</v>
      </c>
      <c r="I248" s="1">
        <v>46007</v>
      </c>
      <c r="J248" s="1">
        <v>46039</v>
      </c>
      <c r="K248" s="1">
        <v>46041</v>
      </c>
      <c r="L248">
        <v>17</v>
      </c>
      <c r="M248">
        <v>0</v>
      </c>
      <c r="N248">
        <v>0</v>
      </c>
      <c r="O248">
        <v>0</v>
      </c>
      <c r="P248">
        <v>0</v>
      </c>
      <c r="Q248" t="s">
        <v>60</v>
      </c>
    </row>
    <row r="249" spans="1:17">
      <c r="A249" t="s">
        <v>35</v>
      </c>
      <c r="B249" t="s">
        <v>55</v>
      </c>
      <c r="C249" t="s">
        <v>56</v>
      </c>
      <c r="D249" t="s">
        <v>59</v>
      </c>
      <c r="E249">
        <v>22</v>
      </c>
      <c r="F249" t="str">
        <f>VLOOKUP(E249,[1]LOJA!$A:$B,2,0)</f>
        <v>GUARÁ</v>
      </c>
      <c r="G249" t="s">
        <v>19</v>
      </c>
      <c r="H249" t="s">
        <v>19</v>
      </c>
      <c r="I249" s="1">
        <v>46007</v>
      </c>
      <c r="J249" s="1">
        <v>46039</v>
      </c>
      <c r="K249" s="1">
        <v>46041</v>
      </c>
      <c r="L249">
        <v>17</v>
      </c>
      <c r="M249">
        <v>50</v>
      </c>
      <c r="N249">
        <v>50</v>
      </c>
      <c r="O249">
        <v>0</v>
      </c>
      <c r="P249">
        <v>0</v>
      </c>
      <c r="Q249" t="s">
        <v>60</v>
      </c>
    </row>
    <row r="250" spans="1:17">
      <c r="A250" t="s">
        <v>35</v>
      </c>
      <c r="B250" t="s">
        <v>55</v>
      </c>
      <c r="C250" t="s">
        <v>56</v>
      </c>
      <c r="D250" t="s">
        <v>59</v>
      </c>
      <c r="E250">
        <v>24</v>
      </c>
      <c r="F250" t="str">
        <f>VLOOKUP(E250,[1]LOJA!$A:$B,2,0)</f>
        <v>LUZIÂNIA</v>
      </c>
      <c r="G250" t="s">
        <v>19</v>
      </c>
      <c r="H250" t="s">
        <v>19</v>
      </c>
      <c r="I250" s="1">
        <v>46007</v>
      </c>
      <c r="J250" s="1">
        <v>46039</v>
      </c>
      <c r="K250" s="1">
        <v>46041</v>
      </c>
      <c r="L250">
        <v>17</v>
      </c>
      <c r="M250">
        <v>50</v>
      </c>
      <c r="N250">
        <v>50</v>
      </c>
      <c r="O250">
        <v>0</v>
      </c>
      <c r="P250">
        <v>0</v>
      </c>
      <c r="Q250" t="s">
        <v>60</v>
      </c>
    </row>
    <row r="251" spans="1:17">
      <c r="A251" t="s">
        <v>35</v>
      </c>
      <c r="B251" t="s">
        <v>55</v>
      </c>
      <c r="C251" t="s">
        <v>56</v>
      </c>
      <c r="D251" t="s">
        <v>61</v>
      </c>
      <c r="E251">
        <v>4</v>
      </c>
      <c r="F251" t="str">
        <f>VLOOKUP(E251,[1]LOJA!$A:$B,2,0)</f>
        <v>ADE</v>
      </c>
      <c r="G251" t="s">
        <v>19</v>
      </c>
      <c r="H251" t="s">
        <v>19</v>
      </c>
      <c r="I251" s="1">
        <v>46037</v>
      </c>
      <c r="J251" s="1">
        <v>46039</v>
      </c>
      <c r="K251" s="1">
        <v>46041</v>
      </c>
      <c r="L251">
        <v>17</v>
      </c>
      <c r="M251">
        <v>30.85</v>
      </c>
      <c r="N251">
        <v>30.85</v>
      </c>
      <c r="O251">
        <v>0</v>
      </c>
      <c r="P251">
        <v>0</v>
      </c>
      <c r="Q251" t="s">
        <v>62</v>
      </c>
    </row>
    <row r="252" spans="1:17">
      <c r="A252" t="s">
        <v>35</v>
      </c>
      <c r="B252" t="s">
        <v>55</v>
      </c>
      <c r="C252" t="s">
        <v>56</v>
      </c>
      <c r="D252" t="s">
        <v>61</v>
      </c>
      <c r="E252">
        <v>6</v>
      </c>
      <c r="F252" t="str">
        <f>VLOOKUP(E252,[1]LOJA!$A:$B,2,0)</f>
        <v>GAMA</v>
      </c>
      <c r="G252" t="s">
        <v>19</v>
      </c>
      <c r="H252" t="s">
        <v>19</v>
      </c>
      <c r="I252" s="1">
        <v>46037</v>
      </c>
      <c r="J252" s="1">
        <v>46039</v>
      </c>
      <c r="K252" s="1">
        <v>46041</v>
      </c>
      <c r="L252">
        <v>17</v>
      </c>
      <c r="M252">
        <v>30.85</v>
      </c>
      <c r="N252">
        <v>30.85</v>
      </c>
      <c r="O252">
        <v>0</v>
      </c>
      <c r="P252">
        <v>0</v>
      </c>
      <c r="Q252" t="s">
        <v>62</v>
      </c>
    </row>
    <row r="253" spans="1:17">
      <c r="A253" t="s">
        <v>35</v>
      </c>
      <c r="B253" t="s">
        <v>55</v>
      </c>
      <c r="C253" t="s">
        <v>56</v>
      </c>
      <c r="D253" t="s">
        <v>61</v>
      </c>
      <c r="E253">
        <v>8</v>
      </c>
      <c r="F253" t="str">
        <f>VLOOKUP(E253,[1]LOJA!$A:$B,2,0)</f>
        <v>LUZIÂNIA</v>
      </c>
      <c r="G253" t="s">
        <v>19</v>
      </c>
      <c r="H253" t="s">
        <v>19</v>
      </c>
      <c r="I253" s="1">
        <v>46037</v>
      </c>
      <c r="J253" s="1">
        <v>46039</v>
      </c>
      <c r="K253" s="1">
        <v>46041</v>
      </c>
      <c r="L253">
        <v>17</v>
      </c>
      <c r="M253">
        <v>0</v>
      </c>
      <c r="N253">
        <v>0</v>
      </c>
      <c r="O253">
        <v>0</v>
      </c>
      <c r="P253">
        <v>0</v>
      </c>
      <c r="Q253" t="s">
        <v>62</v>
      </c>
    </row>
    <row r="254" spans="1:17">
      <c r="A254" t="s">
        <v>35</v>
      </c>
      <c r="B254" t="s">
        <v>55</v>
      </c>
      <c r="C254" t="s">
        <v>56</v>
      </c>
      <c r="D254" t="s">
        <v>61</v>
      </c>
      <c r="E254">
        <v>12</v>
      </c>
      <c r="F254" t="str">
        <f>VLOOKUP(E254,[1]LOJA!$A:$B,2,0)</f>
        <v>SOFNORTE</v>
      </c>
      <c r="G254" t="s">
        <v>19</v>
      </c>
      <c r="H254" t="s">
        <v>19</v>
      </c>
      <c r="I254" s="1">
        <v>46037</v>
      </c>
      <c r="J254" s="1">
        <v>46039</v>
      </c>
      <c r="K254" s="1">
        <v>46041</v>
      </c>
      <c r="L254">
        <v>17</v>
      </c>
      <c r="M254">
        <v>30.85</v>
      </c>
      <c r="N254">
        <v>30.85</v>
      </c>
      <c r="O254">
        <v>0</v>
      </c>
      <c r="P254">
        <v>0</v>
      </c>
      <c r="Q254" t="s">
        <v>62</v>
      </c>
    </row>
    <row r="255" spans="1:17">
      <c r="A255" t="s">
        <v>35</v>
      </c>
      <c r="B255" t="s">
        <v>55</v>
      </c>
      <c r="C255" t="s">
        <v>56</v>
      </c>
      <c r="D255" t="s">
        <v>61</v>
      </c>
      <c r="E255">
        <v>13</v>
      </c>
      <c r="F255" t="str">
        <f>VLOOKUP(E255,[1]LOJA!$A:$B,2,0)</f>
        <v>CEILÂNDIA</v>
      </c>
      <c r="G255" t="s">
        <v>19</v>
      </c>
      <c r="H255" t="s">
        <v>19</v>
      </c>
      <c r="I255" s="1">
        <v>46037</v>
      </c>
      <c r="J255" s="1">
        <v>46039</v>
      </c>
      <c r="K255" s="1">
        <v>46041</v>
      </c>
      <c r="L255">
        <v>17</v>
      </c>
      <c r="M255">
        <v>30.85</v>
      </c>
      <c r="N255">
        <v>30.85</v>
      </c>
      <c r="O255">
        <v>0</v>
      </c>
      <c r="P255">
        <v>0</v>
      </c>
      <c r="Q255" t="s">
        <v>62</v>
      </c>
    </row>
    <row r="256" spans="1:17">
      <c r="A256" t="s">
        <v>35</v>
      </c>
      <c r="B256" t="s">
        <v>55</v>
      </c>
      <c r="C256" t="s">
        <v>56</v>
      </c>
      <c r="D256" t="s">
        <v>61</v>
      </c>
      <c r="E256">
        <v>14</v>
      </c>
      <c r="F256" t="str">
        <f>VLOOKUP(E256,[1]LOJA!$A:$B,2,0)</f>
        <v>S IA</v>
      </c>
      <c r="G256" t="s">
        <v>19</v>
      </c>
      <c r="H256" t="s">
        <v>19</v>
      </c>
      <c r="I256" s="1">
        <v>46037</v>
      </c>
      <c r="J256" s="1">
        <v>46039</v>
      </c>
      <c r="K256" s="1">
        <v>46041</v>
      </c>
      <c r="L256">
        <v>17</v>
      </c>
      <c r="M256">
        <v>30.85</v>
      </c>
      <c r="N256">
        <v>30.85</v>
      </c>
      <c r="O256">
        <v>0</v>
      </c>
      <c r="P256">
        <v>0</v>
      </c>
      <c r="Q256" t="s">
        <v>62</v>
      </c>
    </row>
    <row r="257" spans="1:17">
      <c r="A257" t="s">
        <v>35</v>
      </c>
      <c r="B257" t="s">
        <v>55</v>
      </c>
      <c r="C257" t="s">
        <v>56</v>
      </c>
      <c r="D257" t="s">
        <v>61</v>
      </c>
      <c r="E257">
        <v>15</v>
      </c>
      <c r="F257" t="str">
        <f>VLOOKUP(E257,[1]LOJA!$A:$B,2,0)</f>
        <v>UNAÍ</v>
      </c>
      <c r="G257" t="s">
        <v>19</v>
      </c>
      <c r="H257" t="s">
        <v>19</v>
      </c>
      <c r="I257" s="1">
        <v>46037</v>
      </c>
      <c r="J257" s="1">
        <v>46039</v>
      </c>
      <c r="K257" s="1">
        <v>46041</v>
      </c>
      <c r="L257">
        <v>17</v>
      </c>
      <c r="M257">
        <v>30.85</v>
      </c>
      <c r="N257">
        <v>30.85</v>
      </c>
      <c r="O257">
        <v>0</v>
      </c>
      <c r="P257">
        <v>0</v>
      </c>
      <c r="Q257" t="s">
        <v>62</v>
      </c>
    </row>
    <row r="258" spans="1:17">
      <c r="A258" t="s">
        <v>35</v>
      </c>
      <c r="B258" t="s">
        <v>55</v>
      </c>
      <c r="C258" t="s">
        <v>56</v>
      </c>
      <c r="D258" t="s">
        <v>61</v>
      </c>
      <c r="E258">
        <v>16</v>
      </c>
      <c r="F258" t="str">
        <f>VLOOKUP(E258,[1]LOJA!$A:$B,2,0)</f>
        <v>AG LINDAS</v>
      </c>
      <c r="G258" t="s">
        <v>19</v>
      </c>
      <c r="H258" t="s">
        <v>19</v>
      </c>
      <c r="I258" s="1">
        <v>46037</v>
      </c>
      <c r="J258" s="1">
        <v>46039</v>
      </c>
      <c r="K258" s="1">
        <v>46041</v>
      </c>
      <c r="L258">
        <v>17</v>
      </c>
      <c r="M258">
        <v>30.85</v>
      </c>
      <c r="N258">
        <v>30.85</v>
      </c>
      <c r="O258">
        <v>0</v>
      </c>
      <c r="P258">
        <v>0</v>
      </c>
      <c r="Q258" t="s">
        <v>62</v>
      </c>
    </row>
    <row r="259" spans="1:17">
      <c r="A259" t="s">
        <v>35</v>
      </c>
      <c r="B259" t="s">
        <v>55</v>
      </c>
      <c r="C259" t="s">
        <v>56</v>
      </c>
      <c r="D259" t="s">
        <v>61</v>
      </c>
      <c r="E259">
        <v>20</v>
      </c>
      <c r="F259" t="str">
        <f>VLOOKUP(E259,[1]LOJA!$A:$B,2,0)</f>
        <v>DAUTO SERVIÇOS</v>
      </c>
      <c r="G259" t="s">
        <v>19</v>
      </c>
      <c r="H259" t="s">
        <v>19</v>
      </c>
      <c r="I259" s="1">
        <v>46037</v>
      </c>
      <c r="J259" s="1">
        <v>46039</v>
      </c>
      <c r="K259" s="1">
        <v>46041</v>
      </c>
      <c r="L259">
        <v>17</v>
      </c>
      <c r="M259">
        <v>0</v>
      </c>
      <c r="N259">
        <v>0</v>
      </c>
      <c r="O259">
        <v>0</v>
      </c>
      <c r="P259">
        <v>0</v>
      </c>
      <c r="Q259" t="s">
        <v>62</v>
      </c>
    </row>
    <row r="260" spans="1:17">
      <c r="A260" t="s">
        <v>35</v>
      </c>
      <c r="B260" t="s">
        <v>55</v>
      </c>
      <c r="C260" t="s">
        <v>56</v>
      </c>
      <c r="D260" t="s">
        <v>61</v>
      </c>
      <c r="E260">
        <v>22</v>
      </c>
      <c r="F260" t="str">
        <f>VLOOKUP(E260,[1]LOJA!$A:$B,2,0)</f>
        <v>GUARÁ</v>
      </c>
      <c r="G260" t="s">
        <v>19</v>
      </c>
      <c r="H260" t="s">
        <v>19</v>
      </c>
      <c r="I260" s="1">
        <v>46037</v>
      </c>
      <c r="J260" s="1">
        <v>46039</v>
      </c>
      <c r="K260" s="1">
        <v>46041</v>
      </c>
      <c r="L260">
        <v>17</v>
      </c>
      <c r="M260">
        <v>30.85</v>
      </c>
      <c r="N260">
        <v>30.85</v>
      </c>
      <c r="O260">
        <v>0</v>
      </c>
      <c r="P260">
        <v>0</v>
      </c>
      <c r="Q260" t="s">
        <v>62</v>
      </c>
    </row>
    <row r="261" spans="1:17">
      <c r="A261" t="s">
        <v>35</v>
      </c>
      <c r="B261" t="s">
        <v>55</v>
      </c>
      <c r="C261" t="s">
        <v>56</v>
      </c>
      <c r="D261" t="s">
        <v>61</v>
      </c>
      <c r="E261">
        <v>24</v>
      </c>
      <c r="F261" t="str">
        <f>VLOOKUP(E261,[1]LOJA!$A:$B,2,0)</f>
        <v>LUZIÂNIA</v>
      </c>
      <c r="G261" t="s">
        <v>19</v>
      </c>
      <c r="H261" t="s">
        <v>19</v>
      </c>
      <c r="I261" s="1">
        <v>46037</v>
      </c>
      <c r="J261" s="1">
        <v>46039</v>
      </c>
      <c r="K261" s="1">
        <v>46041</v>
      </c>
      <c r="L261">
        <v>17</v>
      </c>
      <c r="M261">
        <v>30.85</v>
      </c>
      <c r="N261">
        <v>30.85</v>
      </c>
      <c r="O261">
        <v>0</v>
      </c>
      <c r="P261">
        <v>0</v>
      </c>
      <c r="Q261" t="s">
        <v>62</v>
      </c>
    </row>
    <row r="262" spans="1:17">
      <c r="A262" t="s">
        <v>35</v>
      </c>
      <c r="B262" t="s">
        <v>55</v>
      </c>
      <c r="C262" t="s">
        <v>56</v>
      </c>
      <c r="D262" t="s">
        <v>63</v>
      </c>
      <c r="E262">
        <v>4</v>
      </c>
      <c r="F262" t="str">
        <f>VLOOKUP(E262,[1]LOJA!$A:$B,2,0)</f>
        <v>ADE</v>
      </c>
      <c r="G262" t="s">
        <v>19</v>
      </c>
      <c r="H262" t="s">
        <v>19</v>
      </c>
      <c r="I262" s="1">
        <v>46037</v>
      </c>
      <c r="J262" s="1">
        <v>46039</v>
      </c>
      <c r="K262" s="1">
        <v>46041</v>
      </c>
      <c r="L262">
        <v>17</v>
      </c>
      <c r="M262">
        <v>119.04</v>
      </c>
      <c r="N262">
        <v>119.04</v>
      </c>
      <c r="O262">
        <v>0</v>
      </c>
      <c r="P262">
        <v>0</v>
      </c>
      <c r="Q262" t="s">
        <v>64</v>
      </c>
    </row>
    <row r="263" spans="1:17">
      <c r="A263" t="s">
        <v>35</v>
      </c>
      <c r="B263" t="s">
        <v>55</v>
      </c>
      <c r="C263" t="s">
        <v>56</v>
      </c>
      <c r="D263" t="s">
        <v>63</v>
      </c>
      <c r="E263">
        <v>6</v>
      </c>
      <c r="F263" t="str">
        <f>VLOOKUP(E263,[1]LOJA!$A:$B,2,0)</f>
        <v>GAMA</v>
      </c>
      <c r="G263" t="s">
        <v>19</v>
      </c>
      <c r="H263" t="s">
        <v>19</v>
      </c>
      <c r="I263" s="1">
        <v>46037</v>
      </c>
      <c r="J263" s="1">
        <v>46039</v>
      </c>
      <c r="K263" s="1">
        <v>46041</v>
      </c>
      <c r="L263">
        <v>17</v>
      </c>
      <c r="M263">
        <v>119.04</v>
      </c>
      <c r="N263">
        <v>119.04</v>
      </c>
      <c r="O263">
        <v>0</v>
      </c>
      <c r="P263">
        <v>0</v>
      </c>
      <c r="Q263" t="s">
        <v>64</v>
      </c>
    </row>
    <row r="264" spans="1:17">
      <c r="A264" t="s">
        <v>35</v>
      </c>
      <c r="B264" t="s">
        <v>55</v>
      </c>
      <c r="C264" t="s">
        <v>56</v>
      </c>
      <c r="D264" t="s">
        <v>63</v>
      </c>
      <c r="E264">
        <v>8</v>
      </c>
      <c r="F264" t="str">
        <f>VLOOKUP(E264,[1]LOJA!$A:$B,2,0)</f>
        <v>LUZIÂNIA</v>
      </c>
      <c r="G264" t="s">
        <v>19</v>
      </c>
      <c r="H264" t="s">
        <v>19</v>
      </c>
      <c r="I264" s="1">
        <v>46037</v>
      </c>
      <c r="J264" s="1">
        <v>46039</v>
      </c>
      <c r="K264" s="1">
        <v>46041</v>
      </c>
      <c r="L264">
        <v>17</v>
      </c>
      <c r="M264">
        <v>0</v>
      </c>
      <c r="N264">
        <v>0</v>
      </c>
      <c r="O264">
        <v>0</v>
      </c>
      <c r="P264">
        <v>0</v>
      </c>
      <c r="Q264" t="s">
        <v>64</v>
      </c>
    </row>
    <row r="265" spans="1:17">
      <c r="A265" t="s">
        <v>35</v>
      </c>
      <c r="B265" t="s">
        <v>55</v>
      </c>
      <c r="C265" t="s">
        <v>56</v>
      </c>
      <c r="D265" t="s">
        <v>63</v>
      </c>
      <c r="E265">
        <v>12</v>
      </c>
      <c r="F265" t="str">
        <f>VLOOKUP(E265,[1]LOJA!$A:$B,2,0)</f>
        <v>SOFNORTE</v>
      </c>
      <c r="G265" t="s">
        <v>19</v>
      </c>
      <c r="H265" t="s">
        <v>19</v>
      </c>
      <c r="I265" s="1">
        <v>46037</v>
      </c>
      <c r="J265" s="1">
        <v>46039</v>
      </c>
      <c r="K265" s="1">
        <v>46041</v>
      </c>
      <c r="L265">
        <v>17</v>
      </c>
      <c r="M265">
        <v>119.04</v>
      </c>
      <c r="N265">
        <v>119.04</v>
      </c>
      <c r="O265">
        <v>0</v>
      </c>
      <c r="P265">
        <v>0</v>
      </c>
      <c r="Q265" t="s">
        <v>64</v>
      </c>
    </row>
    <row r="266" spans="1:17">
      <c r="A266" t="s">
        <v>35</v>
      </c>
      <c r="B266" t="s">
        <v>55</v>
      </c>
      <c r="C266" t="s">
        <v>56</v>
      </c>
      <c r="D266" t="s">
        <v>63</v>
      </c>
      <c r="E266">
        <v>13</v>
      </c>
      <c r="F266" t="str">
        <f>VLOOKUP(E266,[1]LOJA!$A:$B,2,0)</f>
        <v>CEILÂNDIA</v>
      </c>
      <c r="G266" t="s">
        <v>19</v>
      </c>
      <c r="H266" t="s">
        <v>19</v>
      </c>
      <c r="I266" s="1">
        <v>46037</v>
      </c>
      <c r="J266" s="1">
        <v>46039</v>
      </c>
      <c r="K266" s="1">
        <v>46041</v>
      </c>
      <c r="L266">
        <v>17</v>
      </c>
      <c r="M266">
        <v>119.04</v>
      </c>
      <c r="N266">
        <v>119.04</v>
      </c>
      <c r="O266">
        <v>0</v>
      </c>
      <c r="P266">
        <v>0</v>
      </c>
      <c r="Q266" t="s">
        <v>64</v>
      </c>
    </row>
    <row r="267" spans="1:17">
      <c r="A267" t="s">
        <v>35</v>
      </c>
      <c r="B267" t="s">
        <v>55</v>
      </c>
      <c r="C267" t="s">
        <v>56</v>
      </c>
      <c r="D267" t="s">
        <v>63</v>
      </c>
      <c r="E267">
        <v>14</v>
      </c>
      <c r="F267" t="str">
        <f>VLOOKUP(E267,[1]LOJA!$A:$B,2,0)</f>
        <v>S IA</v>
      </c>
      <c r="G267" t="s">
        <v>19</v>
      </c>
      <c r="H267" t="s">
        <v>19</v>
      </c>
      <c r="I267" s="1">
        <v>46037</v>
      </c>
      <c r="J267" s="1">
        <v>46039</v>
      </c>
      <c r="K267" s="1">
        <v>46041</v>
      </c>
      <c r="L267">
        <v>17</v>
      </c>
      <c r="M267">
        <v>119.04</v>
      </c>
      <c r="N267">
        <v>119.04</v>
      </c>
      <c r="O267">
        <v>0</v>
      </c>
      <c r="P267">
        <v>0</v>
      </c>
      <c r="Q267" t="s">
        <v>64</v>
      </c>
    </row>
    <row r="268" spans="1:17">
      <c r="A268" t="s">
        <v>35</v>
      </c>
      <c r="B268" t="s">
        <v>55</v>
      </c>
      <c r="C268" t="s">
        <v>56</v>
      </c>
      <c r="D268" t="s">
        <v>63</v>
      </c>
      <c r="E268">
        <v>15</v>
      </c>
      <c r="F268" t="str">
        <f>VLOOKUP(E268,[1]LOJA!$A:$B,2,0)</f>
        <v>UNAÍ</v>
      </c>
      <c r="G268" t="s">
        <v>19</v>
      </c>
      <c r="H268" t="s">
        <v>19</v>
      </c>
      <c r="I268" s="1">
        <v>46037</v>
      </c>
      <c r="J268" s="1">
        <v>46039</v>
      </c>
      <c r="K268" s="1">
        <v>46041</v>
      </c>
      <c r="L268">
        <v>17</v>
      </c>
      <c r="M268">
        <v>119.04</v>
      </c>
      <c r="N268">
        <v>119.04</v>
      </c>
      <c r="O268">
        <v>0</v>
      </c>
      <c r="P268">
        <v>0</v>
      </c>
      <c r="Q268" t="s">
        <v>64</v>
      </c>
    </row>
    <row r="269" spans="1:17">
      <c r="A269" t="s">
        <v>35</v>
      </c>
      <c r="B269" t="s">
        <v>55</v>
      </c>
      <c r="C269" t="s">
        <v>56</v>
      </c>
      <c r="D269" t="s">
        <v>63</v>
      </c>
      <c r="E269">
        <v>16</v>
      </c>
      <c r="F269" t="str">
        <f>VLOOKUP(E269,[1]LOJA!$A:$B,2,0)</f>
        <v>AG LINDAS</v>
      </c>
      <c r="G269" t="s">
        <v>19</v>
      </c>
      <c r="H269" t="s">
        <v>19</v>
      </c>
      <c r="I269" s="1">
        <v>46037</v>
      </c>
      <c r="J269" s="1">
        <v>46039</v>
      </c>
      <c r="K269" s="1">
        <v>46041</v>
      </c>
      <c r="L269">
        <v>17</v>
      </c>
      <c r="M269">
        <v>119.04</v>
      </c>
      <c r="N269">
        <v>119.04</v>
      </c>
      <c r="O269">
        <v>0</v>
      </c>
      <c r="P269">
        <v>0</v>
      </c>
      <c r="Q269" t="s">
        <v>64</v>
      </c>
    </row>
    <row r="270" spans="1:17">
      <c r="A270" t="s">
        <v>35</v>
      </c>
      <c r="B270" t="s">
        <v>55</v>
      </c>
      <c r="C270" t="s">
        <v>56</v>
      </c>
      <c r="D270" t="s">
        <v>63</v>
      </c>
      <c r="E270">
        <v>20</v>
      </c>
      <c r="F270" t="str">
        <f>VLOOKUP(E270,[1]LOJA!$A:$B,2,0)</f>
        <v>DAUTO SERVIÇOS</v>
      </c>
      <c r="G270" t="s">
        <v>19</v>
      </c>
      <c r="H270" t="s">
        <v>19</v>
      </c>
      <c r="I270" s="1">
        <v>46037</v>
      </c>
      <c r="J270" s="1">
        <v>46039</v>
      </c>
      <c r="K270" s="1">
        <v>46041</v>
      </c>
      <c r="L270">
        <v>17</v>
      </c>
      <c r="M270">
        <v>0</v>
      </c>
      <c r="N270">
        <v>0</v>
      </c>
      <c r="O270">
        <v>0</v>
      </c>
      <c r="P270">
        <v>0</v>
      </c>
      <c r="Q270" t="s">
        <v>64</v>
      </c>
    </row>
    <row r="271" spans="1:17">
      <c r="A271" t="s">
        <v>35</v>
      </c>
      <c r="B271" t="s">
        <v>55</v>
      </c>
      <c r="C271" t="s">
        <v>56</v>
      </c>
      <c r="D271" t="s">
        <v>63</v>
      </c>
      <c r="E271">
        <v>22</v>
      </c>
      <c r="F271" t="str">
        <f>VLOOKUP(E271,[1]LOJA!$A:$B,2,0)</f>
        <v>GUARÁ</v>
      </c>
      <c r="G271" t="s">
        <v>19</v>
      </c>
      <c r="H271" t="s">
        <v>19</v>
      </c>
      <c r="I271" s="1">
        <v>46037</v>
      </c>
      <c r="J271" s="1">
        <v>46039</v>
      </c>
      <c r="K271" s="1">
        <v>46041</v>
      </c>
      <c r="L271">
        <v>17</v>
      </c>
      <c r="M271">
        <v>119.04</v>
      </c>
      <c r="N271">
        <v>119.04</v>
      </c>
      <c r="O271">
        <v>0</v>
      </c>
      <c r="P271">
        <v>0</v>
      </c>
      <c r="Q271" t="s">
        <v>64</v>
      </c>
    </row>
    <row r="272" spans="1:17">
      <c r="A272" t="s">
        <v>35</v>
      </c>
      <c r="B272" t="s">
        <v>55</v>
      </c>
      <c r="C272" t="s">
        <v>56</v>
      </c>
      <c r="D272" t="s">
        <v>63</v>
      </c>
      <c r="E272">
        <v>24</v>
      </c>
      <c r="F272" t="str">
        <f>VLOOKUP(E272,[1]LOJA!$A:$B,2,0)</f>
        <v>LUZIÂNIA</v>
      </c>
      <c r="G272" t="s">
        <v>19</v>
      </c>
      <c r="H272" t="s">
        <v>19</v>
      </c>
      <c r="I272" s="1">
        <v>46037</v>
      </c>
      <c r="J272" s="1">
        <v>46039</v>
      </c>
      <c r="K272" s="1">
        <v>46041</v>
      </c>
      <c r="L272">
        <v>17</v>
      </c>
      <c r="M272">
        <v>119.04</v>
      </c>
      <c r="N272">
        <v>119.04</v>
      </c>
      <c r="O272">
        <v>0</v>
      </c>
      <c r="P272">
        <v>0</v>
      </c>
      <c r="Q272" t="s">
        <v>64</v>
      </c>
    </row>
    <row r="273" spans="1:17">
      <c r="A273" t="s">
        <v>35</v>
      </c>
      <c r="B273" t="s">
        <v>65</v>
      </c>
      <c r="C273" t="s">
        <v>56</v>
      </c>
      <c r="D273" t="s">
        <v>66</v>
      </c>
      <c r="E273">
        <v>1</v>
      </c>
      <c r="F273" t="str">
        <f>VLOOKUP(E273,[1]LOJA!$A:$B,2,0)</f>
        <v>GUARÁ</v>
      </c>
      <c r="G273" t="s">
        <v>19</v>
      </c>
      <c r="H273" t="s">
        <v>20</v>
      </c>
      <c r="I273" s="1">
        <v>45995</v>
      </c>
      <c r="J273" s="1">
        <v>46034</v>
      </c>
      <c r="K273" s="1">
        <v>46034</v>
      </c>
      <c r="L273">
        <v>23</v>
      </c>
      <c r="M273">
        <v>0</v>
      </c>
      <c r="N273">
        <v>0</v>
      </c>
      <c r="O273">
        <v>0</v>
      </c>
      <c r="P273">
        <v>0</v>
      </c>
      <c r="Q273" t="s">
        <v>67</v>
      </c>
    </row>
    <row r="274" spans="1:17">
      <c r="A274" t="s">
        <v>35</v>
      </c>
      <c r="B274" t="s">
        <v>65</v>
      </c>
      <c r="C274" t="s">
        <v>56</v>
      </c>
      <c r="D274" t="s">
        <v>66</v>
      </c>
      <c r="E274">
        <v>4</v>
      </c>
      <c r="F274" t="str">
        <f>VLOOKUP(E274,[1]LOJA!$A:$B,2,0)</f>
        <v>ADE</v>
      </c>
      <c r="G274" t="s">
        <v>19</v>
      </c>
      <c r="H274" t="s">
        <v>20</v>
      </c>
      <c r="I274" s="1">
        <v>45995</v>
      </c>
      <c r="J274" s="1">
        <v>46034</v>
      </c>
      <c r="K274" s="1">
        <v>46034</v>
      </c>
      <c r="L274">
        <v>23</v>
      </c>
      <c r="M274">
        <v>122.83</v>
      </c>
      <c r="N274">
        <v>122.83</v>
      </c>
      <c r="O274">
        <v>0</v>
      </c>
      <c r="P274">
        <v>0</v>
      </c>
      <c r="Q274" t="s">
        <v>67</v>
      </c>
    </row>
    <row r="275" spans="1:17">
      <c r="A275" t="s">
        <v>35</v>
      </c>
      <c r="B275" t="s">
        <v>65</v>
      </c>
      <c r="C275" t="s">
        <v>56</v>
      </c>
      <c r="D275" t="s">
        <v>66</v>
      </c>
      <c r="E275">
        <v>6</v>
      </c>
      <c r="F275" t="str">
        <f>VLOOKUP(E275,[1]LOJA!$A:$B,2,0)</f>
        <v>GAMA</v>
      </c>
      <c r="G275" t="s">
        <v>19</v>
      </c>
      <c r="H275" t="s">
        <v>20</v>
      </c>
      <c r="I275" s="1">
        <v>45995</v>
      </c>
      <c r="J275" s="1">
        <v>46034</v>
      </c>
      <c r="K275" s="1">
        <v>46034</v>
      </c>
      <c r="L275">
        <v>23</v>
      </c>
      <c r="M275">
        <v>122.83</v>
      </c>
      <c r="N275">
        <v>122.83</v>
      </c>
      <c r="O275">
        <v>0</v>
      </c>
      <c r="P275">
        <v>0</v>
      </c>
      <c r="Q275" t="s">
        <v>67</v>
      </c>
    </row>
    <row r="276" spans="1:17">
      <c r="A276" t="s">
        <v>35</v>
      </c>
      <c r="B276" t="s">
        <v>65</v>
      </c>
      <c r="C276" t="s">
        <v>56</v>
      </c>
      <c r="D276" t="s">
        <v>66</v>
      </c>
      <c r="E276">
        <v>8</v>
      </c>
      <c r="F276" t="str">
        <f>VLOOKUP(E276,[1]LOJA!$A:$B,2,0)</f>
        <v>LUZIÂNIA</v>
      </c>
      <c r="G276" t="s">
        <v>19</v>
      </c>
      <c r="H276" t="s">
        <v>20</v>
      </c>
      <c r="I276" s="1">
        <v>45995</v>
      </c>
      <c r="J276" s="1">
        <v>46034</v>
      </c>
      <c r="K276" s="1">
        <v>46034</v>
      </c>
      <c r="L276">
        <v>23</v>
      </c>
      <c r="M276">
        <v>0</v>
      </c>
      <c r="N276">
        <v>0</v>
      </c>
      <c r="O276">
        <v>0</v>
      </c>
      <c r="P276">
        <v>0</v>
      </c>
      <c r="Q276" t="s">
        <v>67</v>
      </c>
    </row>
    <row r="277" spans="1:17">
      <c r="A277" t="s">
        <v>35</v>
      </c>
      <c r="B277" t="s">
        <v>65</v>
      </c>
      <c r="C277" t="s">
        <v>56</v>
      </c>
      <c r="D277" t="s">
        <v>66</v>
      </c>
      <c r="E277">
        <v>12</v>
      </c>
      <c r="F277" t="str">
        <f>VLOOKUP(E277,[1]LOJA!$A:$B,2,0)</f>
        <v>SOFNORTE</v>
      </c>
      <c r="G277" t="s">
        <v>19</v>
      </c>
      <c r="H277" t="s">
        <v>20</v>
      </c>
      <c r="I277" s="1">
        <v>45995</v>
      </c>
      <c r="J277" s="1">
        <v>46034</v>
      </c>
      <c r="K277" s="1">
        <v>46034</v>
      </c>
      <c r="L277">
        <v>23</v>
      </c>
      <c r="M277">
        <v>122.83</v>
      </c>
      <c r="N277">
        <v>122.83</v>
      </c>
      <c r="O277">
        <v>0</v>
      </c>
      <c r="P277">
        <v>0</v>
      </c>
      <c r="Q277" t="s">
        <v>67</v>
      </c>
    </row>
    <row r="278" spans="1:17">
      <c r="A278" t="s">
        <v>35</v>
      </c>
      <c r="B278" t="s">
        <v>65</v>
      </c>
      <c r="C278" t="s">
        <v>56</v>
      </c>
      <c r="D278" t="s">
        <v>66</v>
      </c>
      <c r="E278">
        <v>13</v>
      </c>
      <c r="F278" t="str">
        <f>VLOOKUP(E278,[1]LOJA!$A:$B,2,0)</f>
        <v>CEILÂNDIA</v>
      </c>
      <c r="G278" t="s">
        <v>19</v>
      </c>
      <c r="H278" t="s">
        <v>20</v>
      </c>
      <c r="I278" s="1">
        <v>45995</v>
      </c>
      <c r="J278" s="1">
        <v>46034</v>
      </c>
      <c r="K278" s="1">
        <v>46034</v>
      </c>
      <c r="L278">
        <v>23</v>
      </c>
      <c r="M278">
        <v>122.83</v>
      </c>
      <c r="N278">
        <v>122.83</v>
      </c>
      <c r="O278">
        <v>0</v>
      </c>
      <c r="P278">
        <v>0</v>
      </c>
      <c r="Q278" t="s">
        <v>67</v>
      </c>
    </row>
    <row r="279" spans="1:17">
      <c r="A279" t="s">
        <v>35</v>
      </c>
      <c r="B279" t="s">
        <v>65</v>
      </c>
      <c r="C279" t="s">
        <v>56</v>
      </c>
      <c r="D279" t="s">
        <v>66</v>
      </c>
      <c r="E279">
        <v>14</v>
      </c>
      <c r="F279" t="str">
        <f>VLOOKUP(E279,[1]LOJA!$A:$B,2,0)</f>
        <v>S IA</v>
      </c>
      <c r="G279" t="s">
        <v>19</v>
      </c>
      <c r="H279" t="s">
        <v>20</v>
      </c>
      <c r="I279" s="1">
        <v>45995</v>
      </c>
      <c r="J279" s="1">
        <v>46034</v>
      </c>
      <c r="K279" s="1">
        <v>46034</v>
      </c>
      <c r="L279">
        <v>23</v>
      </c>
      <c r="M279">
        <v>122.83</v>
      </c>
      <c r="N279">
        <v>122.83</v>
      </c>
      <c r="O279">
        <v>0</v>
      </c>
      <c r="P279">
        <v>0</v>
      </c>
      <c r="Q279" t="s">
        <v>67</v>
      </c>
    </row>
    <row r="280" spans="1:17">
      <c r="A280" t="s">
        <v>35</v>
      </c>
      <c r="B280" t="s">
        <v>65</v>
      </c>
      <c r="C280" t="s">
        <v>56</v>
      </c>
      <c r="D280" t="s">
        <v>66</v>
      </c>
      <c r="E280">
        <v>15</v>
      </c>
      <c r="F280" t="str">
        <f>VLOOKUP(E280,[1]LOJA!$A:$B,2,0)</f>
        <v>UNAÍ</v>
      </c>
      <c r="G280" t="s">
        <v>19</v>
      </c>
      <c r="H280" t="s">
        <v>20</v>
      </c>
      <c r="I280" s="1">
        <v>45995</v>
      </c>
      <c r="J280" s="1">
        <v>46034</v>
      </c>
      <c r="K280" s="1">
        <v>46034</v>
      </c>
      <c r="L280">
        <v>23</v>
      </c>
      <c r="M280">
        <v>122.83</v>
      </c>
      <c r="N280">
        <v>122.83</v>
      </c>
      <c r="O280">
        <v>0</v>
      </c>
      <c r="P280">
        <v>0</v>
      </c>
      <c r="Q280" t="s">
        <v>67</v>
      </c>
    </row>
    <row r="281" spans="1:17">
      <c r="A281" t="s">
        <v>35</v>
      </c>
      <c r="B281" t="s">
        <v>65</v>
      </c>
      <c r="C281" t="s">
        <v>56</v>
      </c>
      <c r="D281" t="s">
        <v>66</v>
      </c>
      <c r="E281">
        <v>16</v>
      </c>
      <c r="F281" t="str">
        <f>VLOOKUP(E281,[1]LOJA!$A:$B,2,0)</f>
        <v>AG LINDAS</v>
      </c>
      <c r="G281" t="s">
        <v>19</v>
      </c>
      <c r="H281" t="s">
        <v>20</v>
      </c>
      <c r="I281" s="1">
        <v>45995</v>
      </c>
      <c r="J281" s="1">
        <v>46034</v>
      </c>
      <c r="K281" s="1">
        <v>46034</v>
      </c>
      <c r="L281">
        <v>23</v>
      </c>
      <c r="M281">
        <v>122.83</v>
      </c>
      <c r="N281">
        <v>122.83</v>
      </c>
      <c r="O281">
        <v>0</v>
      </c>
      <c r="P281">
        <v>0</v>
      </c>
      <c r="Q281" t="s">
        <v>67</v>
      </c>
    </row>
    <row r="282" spans="1:17">
      <c r="A282" t="s">
        <v>35</v>
      </c>
      <c r="B282" t="s">
        <v>65</v>
      </c>
      <c r="C282" t="s">
        <v>56</v>
      </c>
      <c r="D282" t="s">
        <v>66</v>
      </c>
      <c r="E282">
        <v>20</v>
      </c>
      <c r="F282" t="str">
        <f>VLOOKUP(E282,[1]LOJA!$A:$B,2,0)</f>
        <v>DAUTO SERVIÇOS</v>
      </c>
      <c r="G282" t="s">
        <v>19</v>
      </c>
      <c r="H282" t="s">
        <v>20</v>
      </c>
      <c r="I282" s="1">
        <v>45995</v>
      </c>
      <c r="J282" s="1">
        <v>46034</v>
      </c>
      <c r="K282" s="1">
        <v>46034</v>
      </c>
      <c r="L282">
        <v>23</v>
      </c>
      <c r="M282">
        <v>0</v>
      </c>
      <c r="N282">
        <v>0</v>
      </c>
      <c r="O282">
        <v>0</v>
      </c>
      <c r="P282">
        <v>0</v>
      </c>
      <c r="Q282" t="s">
        <v>67</v>
      </c>
    </row>
    <row r="283" spans="1:17">
      <c r="A283" t="s">
        <v>35</v>
      </c>
      <c r="B283" t="s">
        <v>65</v>
      </c>
      <c r="C283" t="s">
        <v>56</v>
      </c>
      <c r="D283" t="s">
        <v>66</v>
      </c>
      <c r="E283">
        <v>22</v>
      </c>
      <c r="F283" t="str">
        <f>VLOOKUP(E283,[1]LOJA!$A:$B,2,0)</f>
        <v>GUARÁ</v>
      </c>
      <c r="G283" t="s">
        <v>19</v>
      </c>
      <c r="H283" t="s">
        <v>20</v>
      </c>
      <c r="I283" s="1">
        <v>45995</v>
      </c>
      <c r="J283" s="1">
        <v>46034</v>
      </c>
      <c r="K283" s="1">
        <v>46034</v>
      </c>
      <c r="L283">
        <v>23</v>
      </c>
      <c r="M283">
        <v>122.83</v>
      </c>
      <c r="N283">
        <v>122.83</v>
      </c>
      <c r="O283">
        <v>0</v>
      </c>
      <c r="P283">
        <v>0</v>
      </c>
      <c r="Q283" t="s">
        <v>67</v>
      </c>
    </row>
    <row r="284" spans="1:17">
      <c r="A284" t="s">
        <v>35</v>
      </c>
      <c r="B284" t="s">
        <v>65</v>
      </c>
      <c r="C284" t="s">
        <v>56</v>
      </c>
      <c r="D284" t="s">
        <v>66</v>
      </c>
      <c r="E284">
        <v>24</v>
      </c>
      <c r="F284" t="str">
        <f>VLOOKUP(E284,[1]LOJA!$A:$B,2,0)</f>
        <v>LUZIÂNIA</v>
      </c>
      <c r="G284" t="s">
        <v>19</v>
      </c>
      <c r="H284" t="s">
        <v>20</v>
      </c>
      <c r="I284" s="1">
        <v>45995</v>
      </c>
      <c r="J284" s="1">
        <v>46034</v>
      </c>
      <c r="K284" s="1">
        <v>46034</v>
      </c>
      <c r="L284">
        <v>23</v>
      </c>
      <c r="M284">
        <v>122.83</v>
      </c>
      <c r="N284">
        <v>122.83</v>
      </c>
      <c r="O284">
        <v>0</v>
      </c>
      <c r="P284">
        <v>0</v>
      </c>
      <c r="Q284" t="s">
        <v>67</v>
      </c>
    </row>
    <row r="285" spans="1:17">
      <c r="A285" t="s">
        <v>35</v>
      </c>
      <c r="B285" t="s">
        <v>68</v>
      </c>
      <c r="C285" t="s">
        <v>56</v>
      </c>
      <c r="D285" t="s">
        <v>69</v>
      </c>
      <c r="E285">
        <v>8</v>
      </c>
      <c r="F285" t="str">
        <f>VLOOKUP(E285,[1]LOJA!$A:$B,2,0)</f>
        <v>LUZIÂNIA</v>
      </c>
      <c r="G285" t="s">
        <v>19</v>
      </c>
      <c r="H285" t="s">
        <v>19</v>
      </c>
      <c r="I285" s="1">
        <v>45944</v>
      </c>
      <c r="J285" s="1">
        <v>46037</v>
      </c>
      <c r="K285" s="1">
        <v>46037</v>
      </c>
      <c r="L285">
        <v>17</v>
      </c>
      <c r="M285">
        <v>205</v>
      </c>
      <c r="N285">
        <v>205</v>
      </c>
      <c r="O285">
        <v>0</v>
      </c>
      <c r="P285">
        <v>0</v>
      </c>
      <c r="Q285" t="s">
        <v>70</v>
      </c>
    </row>
    <row r="286" spans="1:17">
      <c r="A286" t="s">
        <v>71</v>
      </c>
      <c r="B286" t="s">
        <v>72</v>
      </c>
      <c r="C286" t="s">
        <v>56</v>
      </c>
      <c r="D286" t="s">
        <v>73</v>
      </c>
      <c r="E286">
        <v>22</v>
      </c>
      <c r="F286" t="str">
        <f>VLOOKUP(E286,[1]LOJA!$A:$B,2,0)</f>
        <v>GUARÁ</v>
      </c>
      <c r="G286" t="s">
        <v>19</v>
      </c>
      <c r="H286" t="s">
        <v>19</v>
      </c>
      <c r="I286" s="1">
        <v>46036</v>
      </c>
      <c r="J286" s="1">
        <v>46036</v>
      </c>
      <c r="K286" s="1">
        <v>46036</v>
      </c>
      <c r="L286">
        <v>3</v>
      </c>
      <c r="M286">
        <v>10</v>
      </c>
      <c r="N286">
        <v>10</v>
      </c>
      <c r="O286">
        <v>0</v>
      </c>
      <c r="P286">
        <v>0</v>
      </c>
      <c r="Q286" t="s">
        <v>74</v>
      </c>
    </row>
    <row r="287" spans="1:17">
      <c r="A287" t="s">
        <v>71</v>
      </c>
      <c r="B287" t="s">
        <v>75</v>
      </c>
      <c r="C287" t="s">
        <v>76</v>
      </c>
      <c r="D287" t="s">
        <v>77</v>
      </c>
      <c r="E287">
        <v>16</v>
      </c>
      <c r="F287" t="str">
        <f>VLOOKUP(E287,[1]LOJA!$A:$B,2,0)</f>
        <v>AG LINDAS</v>
      </c>
      <c r="G287" t="s">
        <v>19</v>
      </c>
      <c r="H287" t="s">
        <v>19</v>
      </c>
      <c r="I287" s="1">
        <v>46027</v>
      </c>
      <c r="J287" s="1">
        <v>46027</v>
      </c>
      <c r="K287" s="1">
        <v>46027</v>
      </c>
      <c r="L287">
        <v>3</v>
      </c>
      <c r="M287">
        <v>15</v>
      </c>
      <c r="N287">
        <v>15</v>
      </c>
      <c r="O287">
        <v>0</v>
      </c>
      <c r="P287">
        <v>0</v>
      </c>
      <c r="Q287" t="s">
        <v>78</v>
      </c>
    </row>
    <row r="288" spans="1:17">
      <c r="A288" t="s">
        <v>71</v>
      </c>
      <c r="B288" t="s">
        <v>79</v>
      </c>
      <c r="C288" t="s">
        <v>80</v>
      </c>
      <c r="D288" t="s">
        <v>81</v>
      </c>
      <c r="E288">
        <v>4</v>
      </c>
      <c r="F288" t="str">
        <f>VLOOKUP(E288,[1]LOJA!$A:$B,2,0)</f>
        <v>ADE</v>
      </c>
      <c r="G288" t="s">
        <v>19</v>
      </c>
      <c r="H288" t="s">
        <v>20</v>
      </c>
      <c r="I288" s="1">
        <v>46037</v>
      </c>
      <c r="J288" s="1">
        <v>46045</v>
      </c>
      <c r="K288" s="1">
        <v>46045</v>
      </c>
      <c r="L288">
        <v>20</v>
      </c>
      <c r="M288">
        <v>234.78</v>
      </c>
      <c r="N288">
        <v>234.78</v>
      </c>
      <c r="O288">
        <v>0</v>
      </c>
      <c r="P288">
        <v>0</v>
      </c>
      <c r="Q288" t="s">
        <v>82</v>
      </c>
    </row>
    <row r="289" spans="1:17">
      <c r="A289" t="s">
        <v>71</v>
      </c>
      <c r="B289" t="s">
        <v>83</v>
      </c>
      <c r="C289" t="s">
        <v>84</v>
      </c>
      <c r="D289" t="s">
        <v>85</v>
      </c>
      <c r="E289">
        <v>1</v>
      </c>
      <c r="F289" t="str">
        <f>VLOOKUP(E289,[1]LOJA!$A:$B,2,0)</f>
        <v>GUARÁ</v>
      </c>
      <c r="G289" t="s">
        <v>19</v>
      </c>
      <c r="H289" t="s">
        <v>20</v>
      </c>
      <c r="I289" s="1">
        <v>46035</v>
      </c>
      <c r="J289" s="1">
        <v>46037</v>
      </c>
      <c r="K289" s="1">
        <v>46037</v>
      </c>
      <c r="L289">
        <v>23</v>
      </c>
      <c r="M289">
        <v>870</v>
      </c>
      <c r="N289">
        <v>870</v>
      </c>
      <c r="O289">
        <v>0</v>
      </c>
      <c r="P289">
        <v>0</v>
      </c>
      <c r="Q289" t="s">
        <v>86</v>
      </c>
    </row>
    <row r="290" spans="1:17">
      <c r="A290" t="s">
        <v>71</v>
      </c>
      <c r="B290" t="s">
        <v>83</v>
      </c>
      <c r="C290" t="s">
        <v>84</v>
      </c>
      <c r="D290" t="s">
        <v>85</v>
      </c>
      <c r="E290">
        <v>4</v>
      </c>
      <c r="F290" t="str">
        <f>VLOOKUP(E290,[1]LOJA!$A:$B,2,0)</f>
        <v>ADE</v>
      </c>
      <c r="G290" t="s">
        <v>19</v>
      </c>
      <c r="H290" t="s">
        <v>20</v>
      </c>
      <c r="I290" s="1">
        <v>46035</v>
      </c>
      <c r="J290" s="1">
        <v>46037</v>
      </c>
      <c r="K290" s="1">
        <v>46037</v>
      </c>
      <c r="L290">
        <v>23</v>
      </c>
      <c r="M290">
        <v>870</v>
      </c>
      <c r="N290">
        <v>870</v>
      </c>
      <c r="O290">
        <v>0</v>
      </c>
      <c r="P290">
        <v>0</v>
      </c>
      <c r="Q290" t="s">
        <v>86</v>
      </c>
    </row>
    <row r="291" spans="1:17">
      <c r="A291" t="s">
        <v>71</v>
      </c>
      <c r="B291" t="s">
        <v>83</v>
      </c>
      <c r="C291" t="s">
        <v>84</v>
      </c>
      <c r="D291" t="s">
        <v>85</v>
      </c>
      <c r="E291">
        <v>6</v>
      </c>
      <c r="F291" t="str">
        <f>VLOOKUP(E291,[1]LOJA!$A:$B,2,0)</f>
        <v>GAMA</v>
      </c>
      <c r="G291" t="s">
        <v>19</v>
      </c>
      <c r="H291" t="s">
        <v>20</v>
      </c>
      <c r="I291" s="1">
        <v>46035</v>
      </c>
      <c r="J291" s="1">
        <v>46037</v>
      </c>
      <c r="K291" s="1">
        <v>46037</v>
      </c>
      <c r="L291">
        <v>23</v>
      </c>
      <c r="M291">
        <v>870</v>
      </c>
      <c r="N291">
        <v>870</v>
      </c>
      <c r="O291">
        <v>0</v>
      </c>
      <c r="P291">
        <v>0</v>
      </c>
      <c r="Q291" t="s">
        <v>86</v>
      </c>
    </row>
    <row r="292" spans="1:17">
      <c r="A292" t="s">
        <v>71</v>
      </c>
      <c r="B292" t="s">
        <v>83</v>
      </c>
      <c r="C292" t="s">
        <v>84</v>
      </c>
      <c r="D292" t="s">
        <v>85</v>
      </c>
      <c r="E292">
        <v>8</v>
      </c>
      <c r="F292" t="str">
        <f>VLOOKUP(E292,[1]LOJA!$A:$B,2,0)</f>
        <v>LUZIÂNIA</v>
      </c>
      <c r="G292" t="s">
        <v>19</v>
      </c>
      <c r="H292" t="s">
        <v>20</v>
      </c>
      <c r="I292" s="1">
        <v>46035</v>
      </c>
      <c r="J292" s="1">
        <v>46037</v>
      </c>
      <c r="K292" s="1">
        <v>46037</v>
      </c>
      <c r="L292">
        <v>23</v>
      </c>
      <c r="M292">
        <v>870</v>
      </c>
      <c r="N292">
        <v>870</v>
      </c>
      <c r="O292">
        <v>0</v>
      </c>
      <c r="P292">
        <v>0</v>
      </c>
      <c r="Q292" t="s">
        <v>86</v>
      </c>
    </row>
    <row r="293" spans="1:17">
      <c r="A293" t="s">
        <v>71</v>
      </c>
      <c r="B293" t="s">
        <v>83</v>
      </c>
      <c r="C293" t="s">
        <v>84</v>
      </c>
      <c r="D293" t="s">
        <v>85</v>
      </c>
      <c r="E293">
        <v>12</v>
      </c>
      <c r="F293" t="str">
        <f>VLOOKUP(E293,[1]LOJA!$A:$B,2,0)</f>
        <v>SOFNORTE</v>
      </c>
      <c r="G293" t="s">
        <v>19</v>
      </c>
      <c r="H293" t="s">
        <v>20</v>
      </c>
      <c r="I293" s="1">
        <v>46035</v>
      </c>
      <c r="J293" s="1">
        <v>46037</v>
      </c>
      <c r="K293" s="1">
        <v>46037</v>
      </c>
      <c r="L293">
        <v>23</v>
      </c>
      <c r="M293">
        <v>870</v>
      </c>
      <c r="N293">
        <v>870</v>
      </c>
      <c r="O293">
        <v>0</v>
      </c>
      <c r="P293">
        <v>0</v>
      </c>
      <c r="Q293" t="s">
        <v>86</v>
      </c>
    </row>
    <row r="294" spans="1:17">
      <c r="A294" t="s">
        <v>71</v>
      </c>
      <c r="B294" t="s">
        <v>83</v>
      </c>
      <c r="C294" t="s">
        <v>84</v>
      </c>
      <c r="D294" t="s">
        <v>85</v>
      </c>
      <c r="E294">
        <v>13</v>
      </c>
      <c r="F294" t="str">
        <f>VLOOKUP(E294,[1]LOJA!$A:$B,2,0)</f>
        <v>CEILÂNDIA</v>
      </c>
      <c r="G294" t="s">
        <v>19</v>
      </c>
      <c r="H294" t="s">
        <v>20</v>
      </c>
      <c r="I294" s="1">
        <v>46035</v>
      </c>
      <c r="J294" s="1">
        <v>46037</v>
      </c>
      <c r="K294" s="1">
        <v>46037</v>
      </c>
      <c r="L294">
        <v>23</v>
      </c>
      <c r="M294">
        <v>870</v>
      </c>
      <c r="N294">
        <v>870</v>
      </c>
      <c r="O294">
        <v>0</v>
      </c>
      <c r="P294">
        <v>0</v>
      </c>
      <c r="Q294" t="s">
        <v>86</v>
      </c>
    </row>
    <row r="295" spans="1:17">
      <c r="A295" t="s">
        <v>71</v>
      </c>
      <c r="B295" t="s">
        <v>83</v>
      </c>
      <c r="C295" t="s">
        <v>84</v>
      </c>
      <c r="D295" t="s">
        <v>85</v>
      </c>
      <c r="E295">
        <v>14</v>
      </c>
      <c r="F295" t="str">
        <f>VLOOKUP(E295,[1]LOJA!$A:$B,2,0)</f>
        <v>S IA</v>
      </c>
      <c r="G295" t="s">
        <v>19</v>
      </c>
      <c r="H295" t="s">
        <v>20</v>
      </c>
      <c r="I295" s="1">
        <v>46035</v>
      </c>
      <c r="J295" s="1">
        <v>46037</v>
      </c>
      <c r="K295" s="1">
        <v>46037</v>
      </c>
      <c r="L295">
        <v>23</v>
      </c>
      <c r="M295">
        <v>870</v>
      </c>
      <c r="N295">
        <v>870</v>
      </c>
      <c r="O295">
        <v>0</v>
      </c>
      <c r="P295">
        <v>0</v>
      </c>
      <c r="Q295" t="s">
        <v>86</v>
      </c>
    </row>
    <row r="296" spans="1:17">
      <c r="A296" t="s">
        <v>71</v>
      </c>
      <c r="B296" t="s">
        <v>83</v>
      </c>
      <c r="C296" t="s">
        <v>84</v>
      </c>
      <c r="D296" t="s">
        <v>85</v>
      </c>
      <c r="E296">
        <v>15</v>
      </c>
      <c r="F296" t="str">
        <f>VLOOKUP(E296,[1]LOJA!$A:$B,2,0)</f>
        <v>UNAÍ</v>
      </c>
      <c r="G296" t="s">
        <v>19</v>
      </c>
      <c r="H296" t="s">
        <v>20</v>
      </c>
      <c r="I296" s="1">
        <v>46035</v>
      </c>
      <c r="J296" s="1">
        <v>46037</v>
      </c>
      <c r="K296" s="1">
        <v>46037</v>
      </c>
      <c r="L296">
        <v>23</v>
      </c>
      <c r="M296">
        <v>870</v>
      </c>
      <c r="N296">
        <v>870</v>
      </c>
      <c r="O296">
        <v>0</v>
      </c>
      <c r="P296">
        <v>0</v>
      </c>
      <c r="Q296" t="s">
        <v>86</v>
      </c>
    </row>
    <row r="297" spans="1:17">
      <c r="A297" t="s">
        <v>71</v>
      </c>
      <c r="B297" t="s">
        <v>83</v>
      </c>
      <c r="C297" t="s">
        <v>84</v>
      </c>
      <c r="D297" t="s">
        <v>85</v>
      </c>
      <c r="E297">
        <v>16</v>
      </c>
      <c r="F297" t="str">
        <f>VLOOKUP(E297,[1]LOJA!$A:$B,2,0)</f>
        <v>AG LINDAS</v>
      </c>
      <c r="G297" t="s">
        <v>19</v>
      </c>
      <c r="H297" t="s">
        <v>20</v>
      </c>
      <c r="I297" s="1">
        <v>46035</v>
      </c>
      <c r="J297" s="1">
        <v>46037</v>
      </c>
      <c r="K297" s="1">
        <v>46037</v>
      </c>
      <c r="L297">
        <v>23</v>
      </c>
      <c r="M297">
        <v>870</v>
      </c>
      <c r="N297">
        <v>870</v>
      </c>
      <c r="O297">
        <v>0</v>
      </c>
      <c r="P297">
        <v>0</v>
      </c>
      <c r="Q297" t="s">
        <v>86</v>
      </c>
    </row>
    <row r="298" spans="1:17">
      <c r="A298" t="s">
        <v>87</v>
      </c>
      <c r="B298" t="s">
        <v>88</v>
      </c>
      <c r="C298" t="s">
        <v>56</v>
      </c>
      <c r="D298" t="s">
        <v>89</v>
      </c>
      <c r="E298">
        <v>1</v>
      </c>
      <c r="F298" t="str">
        <f>VLOOKUP(E298,[1]LOJA!$A:$B,2,0)</f>
        <v>GUARÁ</v>
      </c>
      <c r="G298" t="s">
        <v>19</v>
      </c>
      <c r="H298" t="s">
        <v>20</v>
      </c>
      <c r="I298" s="1">
        <v>46047</v>
      </c>
      <c r="J298" s="1">
        <v>46047</v>
      </c>
      <c r="K298" s="1">
        <v>46048</v>
      </c>
      <c r="L298">
        <v>22</v>
      </c>
      <c r="M298">
        <v>344.72</v>
      </c>
      <c r="N298">
        <v>344.72</v>
      </c>
      <c r="O298">
        <v>0</v>
      </c>
      <c r="P298">
        <v>0</v>
      </c>
      <c r="Q298" t="s">
        <v>90</v>
      </c>
    </row>
    <row r="299" spans="1:17">
      <c r="A299" t="s">
        <v>87</v>
      </c>
      <c r="B299" t="s">
        <v>88</v>
      </c>
      <c r="C299" t="s">
        <v>56</v>
      </c>
      <c r="D299" t="s">
        <v>89</v>
      </c>
      <c r="E299">
        <v>4</v>
      </c>
      <c r="F299" t="str">
        <f>VLOOKUP(E299,[1]LOJA!$A:$B,2,0)</f>
        <v>ADE</v>
      </c>
      <c r="G299" t="s">
        <v>19</v>
      </c>
      <c r="H299" t="s">
        <v>20</v>
      </c>
      <c r="I299" s="1">
        <v>46047</v>
      </c>
      <c r="J299" s="1">
        <v>46047</v>
      </c>
      <c r="K299" s="1">
        <v>46048</v>
      </c>
      <c r="L299">
        <v>22</v>
      </c>
      <c r="M299">
        <v>344.72</v>
      </c>
      <c r="N299">
        <v>344.72</v>
      </c>
      <c r="O299">
        <v>0</v>
      </c>
      <c r="P299">
        <v>0</v>
      </c>
      <c r="Q299" t="s">
        <v>90</v>
      </c>
    </row>
    <row r="300" spans="1:17">
      <c r="A300" t="s">
        <v>87</v>
      </c>
      <c r="B300" t="s">
        <v>88</v>
      </c>
      <c r="C300" t="s">
        <v>56</v>
      </c>
      <c r="D300" t="s">
        <v>89</v>
      </c>
      <c r="E300">
        <v>6</v>
      </c>
      <c r="F300" t="str">
        <f>VLOOKUP(E300,[1]LOJA!$A:$B,2,0)</f>
        <v>GAMA</v>
      </c>
      <c r="G300" t="s">
        <v>19</v>
      </c>
      <c r="H300" t="s">
        <v>20</v>
      </c>
      <c r="I300" s="1">
        <v>46047</v>
      </c>
      <c r="J300" s="1">
        <v>46047</v>
      </c>
      <c r="K300" s="1">
        <v>46048</v>
      </c>
      <c r="L300">
        <v>22</v>
      </c>
      <c r="M300">
        <v>344.72</v>
      </c>
      <c r="N300">
        <v>344.72</v>
      </c>
      <c r="O300">
        <v>0</v>
      </c>
      <c r="P300">
        <v>0</v>
      </c>
      <c r="Q300" t="s">
        <v>90</v>
      </c>
    </row>
    <row r="301" spans="1:17">
      <c r="A301" t="s">
        <v>87</v>
      </c>
      <c r="B301" t="s">
        <v>88</v>
      </c>
      <c r="C301" t="s">
        <v>56</v>
      </c>
      <c r="D301" t="s">
        <v>89</v>
      </c>
      <c r="E301">
        <v>8</v>
      </c>
      <c r="F301" t="str">
        <f>VLOOKUP(E301,[1]LOJA!$A:$B,2,0)</f>
        <v>LUZIÂNIA</v>
      </c>
      <c r="G301" t="s">
        <v>19</v>
      </c>
      <c r="H301" t="s">
        <v>20</v>
      </c>
      <c r="I301" s="1">
        <v>46047</v>
      </c>
      <c r="J301" s="1">
        <v>46047</v>
      </c>
      <c r="K301" s="1">
        <v>46048</v>
      </c>
      <c r="L301">
        <v>22</v>
      </c>
      <c r="M301">
        <v>344.72</v>
      </c>
      <c r="N301">
        <v>344.72</v>
      </c>
      <c r="O301">
        <v>0</v>
      </c>
      <c r="P301">
        <v>0</v>
      </c>
      <c r="Q301" t="s">
        <v>90</v>
      </c>
    </row>
    <row r="302" spans="1:17">
      <c r="A302" t="s">
        <v>87</v>
      </c>
      <c r="B302" t="s">
        <v>88</v>
      </c>
      <c r="C302" t="s">
        <v>56</v>
      </c>
      <c r="D302" t="s">
        <v>89</v>
      </c>
      <c r="E302">
        <v>12</v>
      </c>
      <c r="F302" t="str">
        <f>VLOOKUP(E302,[1]LOJA!$A:$B,2,0)</f>
        <v>SOFNORTE</v>
      </c>
      <c r="G302" t="s">
        <v>19</v>
      </c>
      <c r="H302" t="s">
        <v>20</v>
      </c>
      <c r="I302" s="1">
        <v>46047</v>
      </c>
      <c r="J302" s="1">
        <v>46047</v>
      </c>
      <c r="K302" s="1">
        <v>46048</v>
      </c>
      <c r="L302">
        <v>22</v>
      </c>
      <c r="M302">
        <v>344.72</v>
      </c>
      <c r="N302">
        <v>344.72</v>
      </c>
      <c r="O302">
        <v>0</v>
      </c>
      <c r="P302">
        <v>0</v>
      </c>
      <c r="Q302" t="s">
        <v>90</v>
      </c>
    </row>
    <row r="303" spans="1:17">
      <c r="A303" t="s">
        <v>87</v>
      </c>
      <c r="B303" t="s">
        <v>88</v>
      </c>
      <c r="C303" t="s">
        <v>56</v>
      </c>
      <c r="D303" t="s">
        <v>89</v>
      </c>
      <c r="E303">
        <v>13</v>
      </c>
      <c r="F303" t="str">
        <f>VLOOKUP(E303,[1]LOJA!$A:$B,2,0)</f>
        <v>CEILÂNDIA</v>
      </c>
      <c r="G303" t="s">
        <v>19</v>
      </c>
      <c r="H303" t="s">
        <v>20</v>
      </c>
      <c r="I303" s="1">
        <v>46047</v>
      </c>
      <c r="J303" s="1">
        <v>46047</v>
      </c>
      <c r="K303" s="1">
        <v>46048</v>
      </c>
      <c r="L303">
        <v>22</v>
      </c>
      <c r="M303">
        <v>344.72</v>
      </c>
      <c r="N303">
        <v>344.72</v>
      </c>
      <c r="O303">
        <v>0</v>
      </c>
      <c r="P303">
        <v>0</v>
      </c>
      <c r="Q303" t="s">
        <v>90</v>
      </c>
    </row>
    <row r="304" spans="1:17">
      <c r="A304" t="s">
        <v>87</v>
      </c>
      <c r="B304" t="s">
        <v>88</v>
      </c>
      <c r="C304" t="s">
        <v>56</v>
      </c>
      <c r="D304" t="s">
        <v>89</v>
      </c>
      <c r="E304">
        <v>14</v>
      </c>
      <c r="F304" t="str">
        <f>VLOOKUP(E304,[1]LOJA!$A:$B,2,0)</f>
        <v>S IA</v>
      </c>
      <c r="G304" t="s">
        <v>19</v>
      </c>
      <c r="H304" t="s">
        <v>20</v>
      </c>
      <c r="I304" s="1">
        <v>46047</v>
      </c>
      <c r="J304" s="1">
        <v>46047</v>
      </c>
      <c r="K304" s="1">
        <v>46048</v>
      </c>
      <c r="L304">
        <v>22</v>
      </c>
      <c r="M304">
        <v>344.72</v>
      </c>
      <c r="N304">
        <v>344.72</v>
      </c>
      <c r="O304">
        <v>0</v>
      </c>
      <c r="P304">
        <v>0</v>
      </c>
      <c r="Q304" t="s">
        <v>90</v>
      </c>
    </row>
    <row r="305" spans="1:17">
      <c r="A305" t="s">
        <v>87</v>
      </c>
      <c r="B305" t="s">
        <v>88</v>
      </c>
      <c r="C305" t="s">
        <v>56</v>
      </c>
      <c r="D305" t="s">
        <v>89</v>
      </c>
      <c r="E305">
        <v>15</v>
      </c>
      <c r="F305" t="str">
        <f>VLOOKUP(E305,[1]LOJA!$A:$B,2,0)</f>
        <v>UNAÍ</v>
      </c>
      <c r="G305" t="s">
        <v>19</v>
      </c>
      <c r="H305" t="s">
        <v>20</v>
      </c>
      <c r="I305" s="1">
        <v>46047</v>
      </c>
      <c r="J305" s="1">
        <v>46047</v>
      </c>
      <c r="K305" s="1">
        <v>46048</v>
      </c>
      <c r="L305">
        <v>22</v>
      </c>
      <c r="M305">
        <v>344.72</v>
      </c>
      <c r="N305">
        <v>344.72</v>
      </c>
      <c r="O305">
        <v>0</v>
      </c>
      <c r="P305">
        <v>0</v>
      </c>
      <c r="Q305" t="s">
        <v>90</v>
      </c>
    </row>
    <row r="306" spans="1:17">
      <c r="A306" t="s">
        <v>87</v>
      </c>
      <c r="B306" t="s">
        <v>88</v>
      </c>
      <c r="C306" t="s">
        <v>56</v>
      </c>
      <c r="D306" t="s">
        <v>89</v>
      </c>
      <c r="E306">
        <v>16</v>
      </c>
      <c r="F306" t="str">
        <f>VLOOKUP(E306,[1]LOJA!$A:$B,2,0)</f>
        <v>AG LINDAS</v>
      </c>
      <c r="G306" t="s">
        <v>19</v>
      </c>
      <c r="H306" t="s">
        <v>20</v>
      </c>
      <c r="I306" s="1">
        <v>46047</v>
      </c>
      <c r="J306" s="1">
        <v>46047</v>
      </c>
      <c r="K306" s="1">
        <v>46048</v>
      </c>
      <c r="L306">
        <v>22</v>
      </c>
      <c r="M306">
        <v>344.72</v>
      </c>
      <c r="N306">
        <v>344.72</v>
      </c>
      <c r="O306">
        <v>0</v>
      </c>
      <c r="P306">
        <v>0</v>
      </c>
      <c r="Q306" t="s">
        <v>90</v>
      </c>
    </row>
    <row r="307" spans="1:17">
      <c r="A307" t="s">
        <v>87</v>
      </c>
      <c r="B307" t="s">
        <v>88</v>
      </c>
      <c r="C307" t="s">
        <v>56</v>
      </c>
      <c r="D307" t="s">
        <v>89</v>
      </c>
      <c r="E307">
        <v>20</v>
      </c>
      <c r="F307" t="str">
        <f>VLOOKUP(E307,[1]LOJA!$A:$B,2,0)</f>
        <v>DAUTO SERVIÇOS</v>
      </c>
      <c r="G307" t="s">
        <v>19</v>
      </c>
      <c r="H307" t="s">
        <v>20</v>
      </c>
      <c r="I307" s="1">
        <v>46047</v>
      </c>
      <c r="J307" s="1">
        <v>46047</v>
      </c>
      <c r="K307" s="1">
        <v>46048</v>
      </c>
      <c r="L307">
        <v>22</v>
      </c>
      <c r="M307">
        <v>0</v>
      </c>
      <c r="N307">
        <v>0</v>
      </c>
      <c r="O307">
        <v>0</v>
      </c>
      <c r="P307">
        <v>0</v>
      </c>
      <c r="Q307" t="s">
        <v>90</v>
      </c>
    </row>
    <row r="308" spans="1:17">
      <c r="A308" t="s">
        <v>87</v>
      </c>
      <c r="B308" t="s">
        <v>88</v>
      </c>
      <c r="C308" t="s">
        <v>56</v>
      </c>
      <c r="D308" t="s">
        <v>91</v>
      </c>
      <c r="E308">
        <v>4</v>
      </c>
      <c r="F308" t="str">
        <f>VLOOKUP(E308,[1]LOJA!$A:$B,2,0)</f>
        <v>ADE</v>
      </c>
      <c r="G308" t="s">
        <v>19</v>
      </c>
      <c r="H308" t="s">
        <v>19</v>
      </c>
      <c r="I308" s="1">
        <v>46036</v>
      </c>
      <c r="J308" s="1">
        <v>46037</v>
      </c>
      <c r="K308" s="1">
        <v>46037</v>
      </c>
      <c r="L308">
        <v>17</v>
      </c>
      <c r="M308">
        <v>361.47</v>
      </c>
      <c r="N308">
        <v>361.47</v>
      </c>
      <c r="O308">
        <v>0</v>
      </c>
      <c r="P308">
        <v>0</v>
      </c>
      <c r="Q308" t="s">
        <v>92</v>
      </c>
    </row>
    <row r="309" spans="1:17">
      <c r="A309" t="s">
        <v>87</v>
      </c>
      <c r="B309" t="s">
        <v>88</v>
      </c>
      <c r="C309" t="s">
        <v>56</v>
      </c>
      <c r="D309" t="s">
        <v>91</v>
      </c>
      <c r="E309">
        <v>6</v>
      </c>
      <c r="F309" t="str">
        <f>VLOOKUP(E309,[1]LOJA!$A:$B,2,0)</f>
        <v>GAMA</v>
      </c>
      <c r="G309" t="s">
        <v>19</v>
      </c>
      <c r="H309" t="s">
        <v>19</v>
      </c>
      <c r="I309" s="1">
        <v>46036</v>
      </c>
      <c r="J309" s="1">
        <v>46037</v>
      </c>
      <c r="K309" s="1">
        <v>46037</v>
      </c>
      <c r="L309">
        <v>17</v>
      </c>
      <c r="M309">
        <v>361.47</v>
      </c>
      <c r="N309">
        <v>361.47</v>
      </c>
      <c r="O309">
        <v>0</v>
      </c>
      <c r="P309">
        <v>0</v>
      </c>
      <c r="Q309" t="s">
        <v>92</v>
      </c>
    </row>
    <row r="310" spans="1:17">
      <c r="A310" t="s">
        <v>87</v>
      </c>
      <c r="B310" t="s">
        <v>88</v>
      </c>
      <c r="C310" t="s">
        <v>56</v>
      </c>
      <c r="D310" t="s">
        <v>91</v>
      </c>
      <c r="E310">
        <v>8</v>
      </c>
      <c r="F310" t="str">
        <f>VLOOKUP(E310,[1]LOJA!$A:$B,2,0)</f>
        <v>LUZIÂNIA</v>
      </c>
      <c r="G310" t="s">
        <v>19</v>
      </c>
      <c r="H310" t="s">
        <v>19</v>
      </c>
      <c r="I310" s="1">
        <v>46036</v>
      </c>
      <c r="J310" s="1">
        <v>46037</v>
      </c>
      <c r="K310" s="1">
        <v>46037</v>
      </c>
      <c r="L310">
        <v>17</v>
      </c>
      <c r="M310">
        <v>0</v>
      </c>
      <c r="N310">
        <v>0</v>
      </c>
      <c r="O310">
        <v>0</v>
      </c>
      <c r="P310">
        <v>0</v>
      </c>
      <c r="Q310" t="s">
        <v>92</v>
      </c>
    </row>
    <row r="311" spans="1:17">
      <c r="A311" t="s">
        <v>87</v>
      </c>
      <c r="B311" t="s">
        <v>88</v>
      </c>
      <c r="C311" t="s">
        <v>56</v>
      </c>
      <c r="D311" t="s">
        <v>91</v>
      </c>
      <c r="E311">
        <v>12</v>
      </c>
      <c r="F311" t="str">
        <f>VLOOKUP(E311,[1]LOJA!$A:$B,2,0)</f>
        <v>SOFNORTE</v>
      </c>
      <c r="G311" t="s">
        <v>19</v>
      </c>
      <c r="H311" t="s">
        <v>19</v>
      </c>
      <c r="I311" s="1">
        <v>46036</v>
      </c>
      <c r="J311" s="1">
        <v>46037</v>
      </c>
      <c r="K311" s="1">
        <v>46037</v>
      </c>
      <c r="L311">
        <v>17</v>
      </c>
      <c r="M311">
        <v>361.47</v>
      </c>
      <c r="N311">
        <v>361.47</v>
      </c>
      <c r="O311">
        <v>0</v>
      </c>
      <c r="P311">
        <v>0</v>
      </c>
      <c r="Q311" t="s">
        <v>92</v>
      </c>
    </row>
    <row r="312" spans="1:17">
      <c r="A312" t="s">
        <v>87</v>
      </c>
      <c r="B312" t="s">
        <v>88</v>
      </c>
      <c r="C312" t="s">
        <v>56</v>
      </c>
      <c r="D312" t="s">
        <v>91</v>
      </c>
      <c r="E312">
        <v>13</v>
      </c>
      <c r="F312" t="str">
        <f>VLOOKUP(E312,[1]LOJA!$A:$B,2,0)</f>
        <v>CEILÂNDIA</v>
      </c>
      <c r="G312" t="s">
        <v>19</v>
      </c>
      <c r="H312" t="s">
        <v>19</v>
      </c>
      <c r="I312" s="1">
        <v>46036</v>
      </c>
      <c r="J312" s="1">
        <v>46037</v>
      </c>
      <c r="K312" s="1">
        <v>46037</v>
      </c>
      <c r="L312">
        <v>17</v>
      </c>
      <c r="M312">
        <v>361.47</v>
      </c>
      <c r="N312">
        <v>361.47</v>
      </c>
      <c r="O312">
        <v>0</v>
      </c>
      <c r="P312">
        <v>0</v>
      </c>
      <c r="Q312" t="s">
        <v>92</v>
      </c>
    </row>
    <row r="313" spans="1:17">
      <c r="A313" t="s">
        <v>87</v>
      </c>
      <c r="B313" t="s">
        <v>88</v>
      </c>
      <c r="C313" t="s">
        <v>56</v>
      </c>
      <c r="D313" t="s">
        <v>91</v>
      </c>
      <c r="E313">
        <v>14</v>
      </c>
      <c r="F313" t="str">
        <f>VLOOKUP(E313,[1]LOJA!$A:$B,2,0)</f>
        <v>S IA</v>
      </c>
      <c r="G313" t="s">
        <v>19</v>
      </c>
      <c r="H313" t="s">
        <v>19</v>
      </c>
      <c r="I313" s="1">
        <v>46036</v>
      </c>
      <c r="J313" s="1">
        <v>46037</v>
      </c>
      <c r="K313" s="1">
        <v>46037</v>
      </c>
      <c r="L313">
        <v>17</v>
      </c>
      <c r="M313">
        <v>361.47</v>
      </c>
      <c r="N313">
        <v>361.47</v>
      </c>
      <c r="O313">
        <v>0</v>
      </c>
      <c r="P313">
        <v>0</v>
      </c>
      <c r="Q313" t="s">
        <v>92</v>
      </c>
    </row>
    <row r="314" spans="1:17">
      <c r="A314" t="s">
        <v>87</v>
      </c>
      <c r="B314" t="s">
        <v>88</v>
      </c>
      <c r="C314" t="s">
        <v>56</v>
      </c>
      <c r="D314" t="s">
        <v>91</v>
      </c>
      <c r="E314">
        <v>15</v>
      </c>
      <c r="F314" t="str">
        <f>VLOOKUP(E314,[1]LOJA!$A:$B,2,0)</f>
        <v>UNAÍ</v>
      </c>
      <c r="G314" t="s">
        <v>19</v>
      </c>
      <c r="H314" t="s">
        <v>19</v>
      </c>
      <c r="I314" s="1">
        <v>46036</v>
      </c>
      <c r="J314" s="1">
        <v>46037</v>
      </c>
      <c r="K314" s="1">
        <v>46037</v>
      </c>
      <c r="L314">
        <v>17</v>
      </c>
      <c r="M314">
        <v>361.47</v>
      </c>
      <c r="N314">
        <v>361.47</v>
      </c>
      <c r="O314">
        <v>0</v>
      </c>
      <c r="P314">
        <v>0</v>
      </c>
      <c r="Q314" t="s">
        <v>92</v>
      </c>
    </row>
    <row r="315" spans="1:17">
      <c r="A315" t="s">
        <v>87</v>
      </c>
      <c r="B315" t="s">
        <v>88</v>
      </c>
      <c r="C315" t="s">
        <v>56</v>
      </c>
      <c r="D315" t="s">
        <v>91</v>
      </c>
      <c r="E315">
        <v>16</v>
      </c>
      <c r="F315" t="str">
        <f>VLOOKUP(E315,[1]LOJA!$A:$B,2,0)</f>
        <v>AG LINDAS</v>
      </c>
      <c r="G315" t="s">
        <v>19</v>
      </c>
      <c r="H315" t="s">
        <v>19</v>
      </c>
      <c r="I315" s="1">
        <v>46036</v>
      </c>
      <c r="J315" s="1">
        <v>46037</v>
      </c>
      <c r="K315" s="1">
        <v>46037</v>
      </c>
      <c r="L315">
        <v>17</v>
      </c>
      <c r="M315">
        <v>361.47</v>
      </c>
      <c r="N315">
        <v>361.47</v>
      </c>
      <c r="O315">
        <v>0</v>
      </c>
      <c r="P315">
        <v>0</v>
      </c>
      <c r="Q315" t="s">
        <v>92</v>
      </c>
    </row>
    <row r="316" spans="1:17">
      <c r="A316" t="s">
        <v>87</v>
      </c>
      <c r="B316" t="s">
        <v>88</v>
      </c>
      <c r="C316" t="s">
        <v>56</v>
      </c>
      <c r="D316" t="s">
        <v>91</v>
      </c>
      <c r="E316">
        <v>20</v>
      </c>
      <c r="F316" t="str">
        <f>VLOOKUP(E316,[1]LOJA!$A:$B,2,0)</f>
        <v>DAUTO SERVIÇOS</v>
      </c>
      <c r="G316" t="s">
        <v>19</v>
      </c>
      <c r="H316" t="s">
        <v>19</v>
      </c>
      <c r="I316" s="1">
        <v>46036</v>
      </c>
      <c r="J316" s="1">
        <v>46037</v>
      </c>
      <c r="K316" s="1">
        <v>46037</v>
      </c>
      <c r="L316">
        <v>17</v>
      </c>
      <c r="M316">
        <v>0</v>
      </c>
      <c r="N316">
        <v>0</v>
      </c>
      <c r="O316">
        <v>0</v>
      </c>
      <c r="P316">
        <v>0</v>
      </c>
      <c r="Q316" t="s">
        <v>92</v>
      </c>
    </row>
    <row r="317" spans="1:17">
      <c r="A317" t="s">
        <v>87</v>
      </c>
      <c r="B317" t="s">
        <v>88</v>
      </c>
      <c r="C317" t="s">
        <v>56</v>
      </c>
      <c r="D317" t="s">
        <v>91</v>
      </c>
      <c r="E317">
        <v>22</v>
      </c>
      <c r="F317" t="str">
        <f>VLOOKUP(E317,[1]LOJA!$A:$B,2,0)</f>
        <v>GUARÁ</v>
      </c>
      <c r="G317" t="s">
        <v>19</v>
      </c>
      <c r="H317" t="s">
        <v>19</v>
      </c>
      <c r="I317" s="1">
        <v>46036</v>
      </c>
      <c r="J317" s="1">
        <v>46037</v>
      </c>
      <c r="K317" s="1">
        <v>46037</v>
      </c>
      <c r="L317">
        <v>17</v>
      </c>
      <c r="M317">
        <v>361.47</v>
      </c>
      <c r="N317">
        <v>361.47</v>
      </c>
      <c r="O317">
        <v>0</v>
      </c>
      <c r="P317">
        <v>0</v>
      </c>
      <c r="Q317" t="s">
        <v>92</v>
      </c>
    </row>
    <row r="318" spans="1:17">
      <c r="A318" t="s">
        <v>87</v>
      </c>
      <c r="B318" t="s">
        <v>88</v>
      </c>
      <c r="C318" t="s">
        <v>56</v>
      </c>
      <c r="D318" t="s">
        <v>91</v>
      </c>
      <c r="E318">
        <v>24</v>
      </c>
      <c r="F318" t="str">
        <f>VLOOKUP(E318,[1]LOJA!$A:$B,2,0)</f>
        <v>LUZIÂNIA</v>
      </c>
      <c r="G318" t="s">
        <v>19</v>
      </c>
      <c r="H318" t="s">
        <v>19</v>
      </c>
      <c r="I318" s="1">
        <v>46036</v>
      </c>
      <c r="J318" s="1">
        <v>46037</v>
      </c>
      <c r="K318" s="1">
        <v>46037</v>
      </c>
      <c r="L318">
        <v>17</v>
      </c>
      <c r="M318">
        <v>361.48</v>
      </c>
      <c r="N318">
        <v>361.48</v>
      </c>
      <c r="O318">
        <v>0</v>
      </c>
      <c r="P318">
        <v>0</v>
      </c>
      <c r="Q318" t="s">
        <v>92</v>
      </c>
    </row>
    <row r="319" spans="1:17">
      <c r="A319" t="s">
        <v>93</v>
      </c>
      <c r="B319" t="s">
        <v>94</v>
      </c>
      <c r="C319" t="s">
        <v>95</v>
      </c>
      <c r="D319" t="s">
        <v>96</v>
      </c>
      <c r="E319">
        <v>22</v>
      </c>
      <c r="F319" t="str">
        <f>VLOOKUP(E319,[1]LOJA!$A:$B,2,0)</f>
        <v>GUARÁ</v>
      </c>
      <c r="G319" t="s">
        <v>19</v>
      </c>
      <c r="H319" t="s">
        <v>19</v>
      </c>
      <c r="I319" s="1">
        <v>46023</v>
      </c>
      <c r="J319" s="1">
        <v>46052</v>
      </c>
      <c r="K319" s="1">
        <v>46024</v>
      </c>
      <c r="L319">
        <v>34</v>
      </c>
      <c r="M319">
        <v>66.760000000000005</v>
      </c>
      <c r="N319">
        <v>66.760000000000005</v>
      </c>
      <c r="O319">
        <v>0</v>
      </c>
      <c r="P319">
        <v>2.2400000000000002</v>
      </c>
      <c r="Q319" t="s">
        <v>97</v>
      </c>
    </row>
    <row r="320" spans="1:17">
      <c r="A320" t="s">
        <v>93</v>
      </c>
      <c r="B320" t="s">
        <v>94</v>
      </c>
      <c r="C320" t="s">
        <v>95</v>
      </c>
      <c r="D320" t="s">
        <v>98</v>
      </c>
      <c r="E320">
        <v>24</v>
      </c>
      <c r="F320" t="str">
        <f>VLOOKUP(E320,[1]LOJA!$A:$B,2,0)</f>
        <v>LUZIÂNIA</v>
      </c>
      <c r="G320" t="s">
        <v>19</v>
      </c>
      <c r="H320" t="s">
        <v>19</v>
      </c>
      <c r="I320" s="1">
        <v>46024</v>
      </c>
      <c r="J320" s="1">
        <v>46024</v>
      </c>
      <c r="K320" s="1">
        <v>46024</v>
      </c>
      <c r="L320">
        <v>34</v>
      </c>
      <c r="M320">
        <v>138</v>
      </c>
      <c r="N320">
        <v>138</v>
      </c>
      <c r="O320">
        <v>0</v>
      </c>
      <c r="P320">
        <v>0</v>
      </c>
      <c r="Q320" t="s">
        <v>99</v>
      </c>
    </row>
    <row r="321" spans="1:17">
      <c r="A321" t="s">
        <v>93</v>
      </c>
      <c r="B321" t="s">
        <v>94</v>
      </c>
      <c r="C321" t="s">
        <v>95</v>
      </c>
      <c r="D321" t="s">
        <v>100</v>
      </c>
      <c r="E321">
        <v>4</v>
      </c>
      <c r="F321" t="str">
        <f>VLOOKUP(E321,[1]LOJA!$A:$B,2,0)</f>
        <v>ADE</v>
      </c>
      <c r="G321" t="s">
        <v>19</v>
      </c>
      <c r="H321" t="s">
        <v>19</v>
      </c>
      <c r="I321" s="1">
        <v>46023</v>
      </c>
      <c r="J321" s="1">
        <v>46023</v>
      </c>
      <c r="K321" s="1">
        <v>46024</v>
      </c>
      <c r="L321">
        <v>30</v>
      </c>
      <c r="M321">
        <v>98</v>
      </c>
      <c r="N321">
        <v>98</v>
      </c>
      <c r="O321">
        <v>0</v>
      </c>
      <c r="P321">
        <v>0</v>
      </c>
      <c r="Q321" t="s">
        <v>101</v>
      </c>
    </row>
    <row r="322" spans="1:17">
      <c r="A322" t="s">
        <v>93</v>
      </c>
      <c r="B322" t="s">
        <v>94</v>
      </c>
      <c r="C322" t="s">
        <v>95</v>
      </c>
      <c r="D322" t="s">
        <v>102</v>
      </c>
      <c r="E322">
        <v>12</v>
      </c>
      <c r="F322" t="str">
        <f>VLOOKUP(E322,[1]LOJA!$A:$B,2,0)</f>
        <v>SOFNORTE</v>
      </c>
      <c r="G322" t="s">
        <v>19</v>
      </c>
      <c r="H322" t="s">
        <v>19</v>
      </c>
      <c r="I322" s="1">
        <v>46023</v>
      </c>
      <c r="J322" s="1">
        <v>46023</v>
      </c>
      <c r="K322" s="1">
        <v>46024</v>
      </c>
      <c r="L322">
        <v>33</v>
      </c>
      <c r="M322">
        <v>49</v>
      </c>
      <c r="N322">
        <v>49</v>
      </c>
      <c r="O322">
        <v>0</v>
      </c>
      <c r="P322">
        <v>0</v>
      </c>
      <c r="Q322" t="s">
        <v>103</v>
      </c>
    </row>
    <row r="323" spans="1:17">
      <c r="A323" t="s">
        <v>93</v>
      </c>
      <c r="B323" t="s">
        <v>94</v>
      </c>
      <c r="C323" t="s">
        <v>95</v>
      </c>
      <c r="D323" t="s">
        <v>104</v>
      </c>
      <c r="E323">
        <v>13</v>
      </c>
      <c r="F323" t="str">
        <f>VLOOKUP(E323,[1]LOJA!$A:$B,2,0)</f>
        <v>CEILÂNDIA</v>
      </c>
      <c r="G323" t="s">
        <v>19</v>
      </c>
      <c r="H323" t="s">
        <v>19</v>
      </c>
      <c r="I323" s="1">
        <v>46023</v>
      </c>
      <c r="J323" s="1">
        <v>46023</v>
      </c>
      <c r="K323" s="1">
        <v>46024</v>
      </c>
      <c r="L323">
        <v>34</v>
      </c>
      <c r="M323">
        <v>49</v>
      </c>
      <c r="N323">
        <v>49</v>
      </c>
      <c r="O323">
        <v>0</v>
      </c>
      <c r="P323">
        <v>0</v>
      </c>
      <c r="Q323" t="s">
        <v>103</v>
      </c>
    </row>
    <row r="324" spans="1:17">
      <c r="A324" t="s">
        <v>93</v>
      </c>
      <c r="B324" t="s">
        <v>94</v>
      </c>
      <c r="C324" t="s">
        <v>95</v>
      </c>
      <c r="D324" t="s">
        <v>105</v>
      </c>
      <c r="E324">
        <v>14</v>
      </c>
      <c r="F324" t="str">
        <f>VLOOKUP(E324,[1]LOJA!$A:$B,2,0)</f>
        <v>S IA</v>
      </c>
      <c r="G324" t="s">
        <v>19</v>
      </c>
      <c r="H324" t="s">
        <v>19</v>
      </c>
      <c r="I324" s="1">
        <v>46023</v>
      </c>
      <c r="J324" s="1">
        <v>46023</v>
      </c>
      <c r="K324" s="1">
        <v>46024</v>
      </c>
      <c r="L324">
        <v>34</v>
      </c>
      <c r="M324">
        <v>98</v>
      </c>
      <c r="N324">
        <v>98</v>
      </c>
      <c r="O324">
        <v>0</v>
      </c>
      <c r="P324">
        <v>0</v>
      </c>
      <c r="Q324">
        <f>-1/24</f>
        <v>-4.1666666666666664E-2</v>
      </c>
    </row>
    <row r="325" spans="1:17">
      <c r="A325" t="s">
        <v>93</v>
      </c>
      <c r="B325" t="s">
        <v>106</v>
      </c>
      <c r="C325" t="s">
        <v>56</v>
      </c>
      <c r="D325" t="s">
        <v>107</v>
      </c>
      <c r="E325">
        <v>4</v>
      </c>
      <c r="F325" t="str">
        <f>VLOOKUP(E325,[1]LOJA!$A:$B,2,0)</f>
        <v>ADE</v>
      </c>
      <c r="G325" t="s">
        <v>19</v>
      </c>
      <c r="H325" t="s">
        <v>19</v>
      </c>
      <c r="I325" s="1">
        <v>46024</v>
      </c>
      <c r="J325" s="1">
        <v>46024</v>
      </c>
      <c r="K325" s="1">
        <v>46024</v>
      </c>
      <c r="L325">
        <v>30</v>
      </c>
      <c r="M325">
        <v>5.07</v>
      </c>
      <c r="N325">
        <v>5.07</v>
      </c>
      <c r="O325">
        <v>0</v>
      </c>
      <c r="P325">
        <v>0</v>
      </c>
      <c r="Q325" t="s">
        <v>108</v>
      </c>
    </row>
    <row r="326" spans="1:17">
      <c r="A326" t="s">
        <v>93</v>
      </c>
      <c r="B326" t="s">
        <v>106</v>
      </c>
      <c r="C326" t="s">
        <v>56</v>
      </c>
      <c r="D326" t="s">
        <v>109</v>
      </c>
      <c r="E326">
        <v>4</v>
      </c>
      <c r="F326" t="str">
        <f>VLOOKUP(E326,[1]LOJA!$A:$B,2,0)</f>
        <v>ADE</v>
      </c>
      <c r="G326" t="s">
        <v>19</v>
      </c>
      <c r="H326" t="s">
        <v>19</v>
      </c>
      <c r="I326" s="1">
        <v>46024</v>
      </c>
      <c r="J326" s="1">
        <v>46024</v>
      </c>
      <c r="K326" s="1">
        <v>46024</v>
      </c>
      <c r="L326">
        <v>30</v>
      </c>
      <c r="M326">
        <v>12.9</v>
      </c>
      <c r="N326">
        <v>12.9</v>
      </c>
      <c r="O326">
        <v>0</v>
      </c>
      <c r="P326">
        <v>0</v>
      </c>
      <c r="Q326" t="s">
        <v>108</v>
      </c>
    </row>
    <row r="327" spans="1:17">
      <c r="A327" t="s">
        <v>93</v>
      </c>
      <c r="B327" t="s">
        <v>106</v>
      </c>
      <c r="C327" t="s">
        <v>56</v>
      </c>
      <c r="D327" t="s">
        <v>110</v>
      </c>
      <c r="E327">
        <v>4</v>
      </c>
      <c r="F327" t="str">
        <f>VLOOKUP(E327,[1]LOJA!$A:$B,2,0)</f>
        <v>ADE</v>
      </c>
      <c r="G327" t="s">
        <v>19</v>
      </c>
      <c r="H327" t="s">
        <v>19</v>
      </c>
      <c r="I327" s="1">
        <v>46024</v>
      </c>
      <c r="J327" s="1">
        <v>46024</v>
      </c>
      <c r="K327" s="1">
        <v>46024</v>
      </c>
      <c r="L327">
        <v>30</v>
      </c>
      <c r="M327">
        <v>1.66</v>
      </c>
      <c r="N327">
        <v>1.66</v>
      </c>
      <c r="O327">
        <v>0</v>
      </c>
      <c r="P327">
        <v>0</v>
      </c>
      <c r="Q327" t="s">
        <v>108</v>
      </c>
    </row>
    <row r="328" spans="1:17">
      <c r="A328" t="s">
        <v>93</v>
      </c>
      <c r="B328" t="s">
        <v>106</v>
      </c>
      <c r="C328" t="s">
        <v>56</v>
      </c>
      <c r="D328" t="s">
        <v>111</v>
      </c>
      <c r="E328">
        <v>4</v>
      </c>
      <c r="F328" t="str">
        <f>VLOOKUP(E328,[1]LOJA!$A:$B,2,0)</f>
        <v>ADE</v>
      </c>
      <c r="G328" t="s">
        <v>19</v>
      </c>
      <c r="H328" t="s">
        <v>19</v>
      </c>
      <c r="I328" s="1">
        <v>46024</v>
      </c>
      <c r="J328" s="1">
        <v>46023</v>
      </c>
      <c r="K328" s="1">
        <v>46024</v>
      </c>
      <c r="L328">
        <v>30</v>
      </c>
      <c r="M328">
        <v>1.88</v>
      </c>
      <c r="N328">
        <v>1.88</v>
      </c>
      <c r="O328">
        <v>0</v>
      </c>
      <c r="P328">
        <v>0</v>
      </c>
      <c r="Q328" t="s">
        <v>108</v>
      </c>
    </row>
    <row r="329" spans="1:17">
      <c r="A329" t="s">
        <v>93</v>
      </c>
      <c r="B329" t="s">
        <v>106</v>
      </c>
      <c r="C329" t="s">
        <v>56</v>
      </c>
      <c r="D329" t="s">
        <v>112</v>
      </c>
      <c r="E329">
        <v>4</v>
      </c>
      <c r="F329" t="str">
        <f>VLOOKUP(E329,[1]LOJA!$A:$B,2,0)</f>
        <v>ADE</v>
      </c>
      <c r="G329" t="s">
        <v>19</v>
      </c>
      <c r="H329" t="s">
        <v>19</v>
      </c>
      <c r="I329" s="1">
        <v>46024</v>
      </c>
      <c r="J329" s="1">
        <v>46023</v>
      </c>
      <c r="K329" s="1">
        <v>46024</v>
      </c>
      <c r="L329">
        <v>30</v>
      </c>
      <c r="M329">
        <v>2.39</v>
      </c>
      <c r="N329">
        <v>2.39</v>
      </c>
      <c r="O329">
        <v>0</v>
      </c>
      <c r="P329">
        <v>0</v>
      </c>
      <c r="Q329" t="s">
        <v>108</v>
      </c>
    </row>
    <row r="330" spans="1:17">
      <c r="A330" t="s">
        <v>93</v>
      </c>
      <c r="B330" t="s">
        <v>106</v>
      </c>
      <c r="C330" t="s">
        <v>56</v>
      </c>
      <c r="D330" t="s">
        <v>113</v>
      </c>
      <c r="E330">
        <v>4</v>
      </c>
      <c r="F330" t="str">
        <f>VLOOKUP(E330,[1]LOJA!$A:$B,2,0)</f>
        <v>ADE</v>
      </c>
      <c r="G330" t="s">
        <v>19</v>
      </c>
      <c r="H330" t="s">
        <v>19</v>
      </c>
      <c r="I330" s="1">
        <v>46024</v>
      </c>
      <c r="J330" s="1">
        <v>46023</v>
      </c>
      <c r="K330" s="1">
        <v>46024</v>
      </c>
      <c r="L330">
        <v>30</v>
      </c>
      <c r="M330">
        <v>2.5</v>
      </c>
      <c r="N330">
        <v>2.5</v>
      </c>
      <c r="O330">
        <v>0</v>
      </c>
      <c r="P330">
        <v>0</v>
      </c>
      <c r="Q330" t="s">
        <v>108</v>
      </c>
    </row>
    <row r="331" spans="1:17">
      <c r="A331" t="s">
        <v>93</v>
      </c>
      <c r="B331" t="s">
        <v>106</v>
      </c>
      <c r="C331" t="s">
        <v>56</v>
      </c>
      <c r="D331" t="s">
        <v>114</v>
      </c>
      <c r="E331">
        <v>4</v>
      </c>
      <c r="F331" t="str">
        <f>VLOOKUP(E331,[1]LOJA!$A:$B,2,0)</f>
        <v>ADE</v>
      </c>
      <c r="G331" t="s">
        <v>19</v>
      </c>
      <c r="H331" t="s">
        <v>19</v>
      </c>
      <c r="I331" s="1">
        <v>46024</v>
      </c>
      <c r="J331" s="1">
        <v>46024</v>
      </c>
      <c r="K331" s="1">
        <v>46024</v>
      </c>
      <c r="L331">
        <v>30</v>
      </c>
      <c r="M331">
        <v>7.12</v>
      </c>
      <c r="N331">
        <v>7.12</v>
      </c>
      <c r="O331">
        <v>0</v>
      </c>
      <c r="P331">
        <v>0</v>
      </c>
      <c r="Q331" t="s">
        <v>108</v>
      </c>
    </row>
    <row r="332" spans="1:17">
      <c r="A332" t="s">
        <v>93</v>
      </c>
      <c r="B332" t="s">
        <v>106</v>
      </c>
      <c r="C332" t="s">
        <v>56</v>
      </c>
      <c r="D332" t="s">
        <v>115</v>
      </c>
      <c r="E332">
        <v>4</v>
      </c>
      <c r="F332" t="str">
        <f>VLOOKUP(E332,[1]LOJA!$A:$B,2,0)</f>
        <v>ADE</v>
      </c>
      <c r="G332" t="s">
        <v>19</v>
      </c>
      <c r="H332" t="s">
        <v>19</v>
      </c>
      <c r="I332" s="1">
        <v>46024</v>
      </c>
      <c r="J332" s="1">
        <v>46024</v>
      </c>
      <c r="K332" s="1">
        <v>46024</v>
      </c>
      <c r="L332">
        <v>30</v>
      </c>
      <c r="M332">
        <v>2.11</v>
      </c>
      <c r="N332">
        <v>2.11</v>
      </c>
      <c r="O332">
        <v>0</v>
      </c>
      <c r="P332">
        <v>0</v>
      </c>
      <c r="Q332" t="s">
        <v>108</v>
      </c>
    </row>
    <row r="333" spans="1:17">
      <c r="A333" t="s">
        <v>93</v>
      </c>
      <c r="B333" t="s">
        <v>106</v>
      </c>
      <c r="C333" t="s">
        <v>56</v>
      </c>
      <c r="D333" t="s">
        <v>116</v>
      </c>
      <c r="E333">
        <v>4</v>
      </c>
      <c r="F333" t="str">
        <f>VLOOKUP(E333,[1]LOJA!$A:$B,2,0)</f>
        <v>ADE</v>
      </c>
      <c r="G333" t="s">
        <v>19</v>
      </c>
      <c r="H333" t="s">
        <v>19</v>
      </c>
      <c r="I333" s="1">
        <v>46024</v>
      </c>
      <c r="J333" s="1">
        <v>46023</v>
      </c>
      <c r="K333" s="1">
        <v>46024</v>
      </c>
      <c r="L333">
        <v>30</v>
      </c>
      <c r="M333">
        <v>8.76</v>
      </c>
      <c r="N333">
        <v>8.76</v>
      </c>
      <c r="O333">
        <v>0</v>
      </c>
      <c r="P333">
        <v>0</v>
      </c>
      <c r="Q333" t="s">
        <v>108</v>
      </c>
    </row>
    <row r="334" spans="1:17">
      <c r="A334" t="s">
        <v>93</v>
      </c>
      <c r="B334" t="s">
        <v>106</v>
      </c>
      <c r="C334" t="s">
        <v>56</v>
      </c>
      <c r="D334" t="s">
        <v>117</v>
      </c>
      <c r="E334">
        <v>4</v>
      </c>
      <c r="F334" t="str">
        <f>VLOOKUP(E334,[1]LOJA!$A:$B,2,0)</f>
        <v>ADE</v>
      </c>
      <c r="G334" t="s">
        <v>19</v>
      </c>
      <c r="H334" t="s">
        <v>19</v>
      </c>
      <c r="I334" s="1">
        <v>46024</v>
      </c>
      <c r="J334" s="1">
        <v>46023</v>
      </c>
      <c r="K334" s="1">
        <v>46024</v>
      </c>
      <c r="L334">
        <v>30</v>
      </c>
      <c r="M334">
        <v>0.11</v>
      </c>
      <c r="N334">
        <v>0.11</v>
      </c>
      <c r="O334">
        <v>0</v>
      </c>
      <c r="P334">
        <v>0</v>
      </c>
      <c r="Q334" t="s">
        <v>108</v>
      </c>
    </row>
    <row r="335" spans="1:17">
      <c r="A335" t="s">
        <v>93</v>
      </c>
      <c r="B335" t="s">
        <v>106</v>
      </c>
      <c r="C335" t="s">
        <v>56</v>
      </c>
      <c r="D335" t="s">
        <v>118</v>
      </c>
      <c r="E335">
        <v>4</v>
      </c>
      <c r="F335" t="str">
        <f>VLOOKUP(E335,[1]LOJA!$A:$B,2,0)</f>
        <v>ADE</v>
      </c>
      <c r="G335" t="s">
        <v>19</v>
      </c>
      <c r="H335" t="s">
        <v>19</v>
      </c>
      <c r="I335" s="1">
        <v>46024</v>
      </c>
      <c r="J335" s="1">
        <v>46023</v>
      </c>
      <c r="K335" s="1">
        <v>46024</v>
      </c>
      <c r="L335">
        <v>30</v>
      </c>
      <c r="M335">
        <v>0.4</v>
      </c>
      <c r="N335">
        <v>0.4</v>
      </c>
      <c r="O335">
        <v>0</v>
      </c>
      <c r="P335">
        <v>0</v>
      </c>
      <c r="Q335" t="s">
        <v>108</v>
      </c>
    </row>
    <row r="336" spans="1:17">
      <c r="A336" t="s">
        <v>93</v>
      </c>
      <c r="B336" t="s">
        <v>106</v>
      </c>
      <c r="C336" t="s">
        <v>56</v>
      </c>
      <c r="D336" t="s">
        <v>119</v>
      </c>
      <c r="E336">
        <v>4</v>
      </c>
      <c r="F336" t="str">
        <f>VLOOKUP(E336,[1]LOJA!$A:$B,2,0)</f>
        <v>ADE</v>
      </c>
      <c r="G336" t="s">
        <v>19</v>
      </c>
      <c r="H336" t="s">
        <v>19</v>
      </c>
      <c r="I336" s="1">
        <v>46024</v>
      </c>
      <c r="J336" s="1">
        <v>46023</v>
      </c>
      <c r="K336" s="1">
        <v>46024</v>
      </c>
      <c r="L336">
        <v>30</v>
      </c>
      <c r="M336">
        <v>0.31</v>
      </c>
      <c r="N336">
        <v>0.31</v>
      </c>
      <c r="O336">
        <v>0</v>
      </c>
      <c r="P336">
        <v>0</v>
      </c>
      <c r="Q336" t="s">
        <v>108</v>
      </c>
    </row>
    <row r="337" spans="1:17">
      <c r="A337" t="s">
        <v>93</v>
      </c>
      <c r="B337" t="s">
        <v>106</v>
      </c>
      <c r="C337" t="s">
        <v>56</v>
      </c>
      <c r="D337" t="s">
        <v>120</v>
      </c>
      <c r="E337">
        <v>4</v>
      </c>
      <c r="F337" t="str">
        <f>VLOOKUP(E337,[1]LOJA!$A:$B,2,0)</f>
        <v>ADE</v>
      </c>
      <c r="G337" t="s">
        <v>19</v>
      </c>
      <c r="H337" t="s">
        <v>19</v>
      </c>
      <c r="I337" s="1">
        <v>46024</v>
      </c>
      <c r="J337" s="1">
        <v>46023</v>
      </c>
      <c r="K337" s="1">
        <v>46024</v>
      </c>
      <c r="L337">
        <v>30</v>
      </c>
      <c r="M337">
        <v>0.2</v>
      </c>
      <c r="N337">
        <v>0.2</v>
      </c>
      <c r="O337">
        <v>0</v>
      </c>
      <c r="P337">
        <v>0</v>
      </c>
      <c r="Q337" t="s">
        <v>108</v>
      </c>
    </row>
    <row r="338" spans="1:17">
      <c r="A338" t="s">
        <v>93</v>
      </c>
      <c r="B338" t="s">
        <v>106</v>
      </c>
      <c r="C338" t="s">
        <v>56</v>
      </c>
      <c r="D338" t="s">
        <v>121</v>
      </c>
      <c r="E338">
        <v>4</v>
      </c>
      <c r="F338" t="str">
        <f>VLOOKUP(E338,[1]LOJA!$A:$B,2,0)</f>
        <v>ADE</v>
      </c>
      <c r="G338" t="s">
        <v>19</v>
      </c>
      <c r="H338" t="s">
        <v>19</v>
      </c>
      <c r="I338" s="1">
        <v>46024</v>
      </c>
      <c r="J338" s="1">
        <v>46023</v>
      </c>
      <c r="K338" s="1">
        <v>46024</v>
      </c>
      <c r="L338">
        <v>30</v>
      </c>
      <c r="M338">
        <v>0.6</v>
      </c>
      <c r="N338">
        <v>0.6</v>
      </c>
      <c r="O338">
        <v>0</v>
      </c>
      <c r="P338">
        <v>0</v>
      </c>
      <c r="Q338" t="s">
        <v>108</v>
      </c>
    </row>
    <row r="339" spans="1:17">
      <c r="A339" t="s">
        <v>93</v>
      </c>
      <c r="B339" t="s">
        <v>106</v>
      </c>
      <c r="C339" t="s">
        <v>56</v>
      </c>
      <c r="D339" t="s">
        <v>122</v>
      </c>
      <c r="E339">
        <v>4</v>
      </c>
      <c r="F339" t="str">
        <f>VLOOKUP(E339,[1]LOJA!$A:$B,2,0)</f>
        <v>ADE</v>
      </c>
      <c r="G339" t="s">
        <v>19</v>
      </c>
      <c r="H339" t="s">
        <v>19</v>
      </c>
      <c r="I339" s="1">
        <v>46024</v>
      </c>
      <c r="J339" s="1">
        <v>46023</v>
      </c>
      <c r="K339" s="1">
        <v>46024</v>
      </c>
      <c r="L339">
        <v>30</v>
      </c>
      <c r="M339">
        <v>0.15</v>
      </c>
      <c r="N339">
        <v>0.15</v>
      </c>
      <c r="O339">
        <v>0</v>
      </c>
      <c r="P339">
        <v>0</v>
      </c>
      <c r="Q339" t="s">
        <v>108</v>
      </c>
    </row>
    <row r="340" spans="1:17">
      <c r="A340" t="s">
        <v>93</v>
      </c>
      <c r="B340" t="s">
        <v>106</v>
      </c>
      <c r="C340" t="s">
        <v>56</v>
      </c>
      <c r="D340" t="s">
        <v>123</v>
      </c>
      <c r="E340">
        <v>4</v>
      </c>
      <c r="F340" t="str">
        <f>VLOOKUP(E340,[1]LOJA!$A:$B,2,0)</f>
        <v>ADE</v>
      </c>
      <c r="G340" t="s">
        <v>19</v>
      </c>
      <c r="H340" t="s">
        <v>19</v>
      </c>
      <c r="I340" s="1">
        <v>46024</v>
      </c>
      <c r="J340" s="1">
        <v>46023</v>
      </c>
      <c r="K340" s="1">
        <v>46024</v>
      </c>
      <c r="L340">
        <v>30</v>
      </c>
      <c r="M340">
        <v>0.08</v>
      </c>
      <c r="N340">
        <v>0.08</v>
      </c>
      <c r="O340">
        <v>0</v>
      </c>
      <c r="P340">
        <v>0</v>
      </c>
      <c r="Q340" t="s">
        <v>108</v>
      </c>
    </row>
    <row r="341" spans="1:17">
      <c r="A341" t="s">
        <v>93</v>
      </c>
      <c r="B341" t="s">
        <v>106</v>
      </c>
      <c r="C341" t="s">
        <v>56</v>
      </c>
      <c r="D341" t="s">
        <v>124</v>
      </c>
      <c r="E341">
        <v>4</v>
      </c>
      <c r="F341" t="str">
        <f>VLOOKUP(E341,[1]LOJA!$A:$B,2,0)</f>
        <v>ADE</v>
      </c>
      <c r="G341" t="s">
        <v>19</v>
      </c>
      <c r="H341" t="s">
        <v>19</v>
      </c>
      <c r="I341" s="1">
        <v>46024</v>
      </c>
      <c r="J341" s="1">
        <v>46023</v>
      </c>
      <c r="K341" s="1">
        <v>46024</v>
      </c>
      <c r="L341">
        <v>30</v>
      </c>
      <c r="M341">
        <v>0.5</v>
      </c>
      <c r="N341">
        <v>0.5</v>
      </c>
      <c r="O341">
        <v>0</v>
      </c>
      <c r="P341">
        <v>0</v>
      </c>
      <c r="Q341" t="s">
        <v>108</v>
      </c>
    </row>
    <row r="342" spans="1:17">
      <c r="A342" t="s">
        <v>93</v>
      </c>
      <c r="B342" t="s">
        <v>106</v>
      </c>
      <c r="C342" t="s">
        <v>56</v>
      </c>
      <c r="D342" t="s">
        <v>125</v>
      </c>
      <c r="E342">
        <v>4</v>
      </c>
      <c r="F342" t="str">
        <f>VLOOKUP(E342,[1]LOJA!$A:$B,2,0)</f>
        <v>ADE</v>
      </c>
      <c r="G342" t="s">
        <v>19</v>
      </c>
      <c r="H342" t="s">
        <v>19</v>
      </c>
      <c r="I342" s="1">
        <v>46024</v>
      </c>
      <c r="J342" s="1">
        <v>46023</v>
      </c>
      <c r="K342" s="1">
        <v>46024</v>
      </c>
      <c r="L342">
        <v>30</v>
      </c>
      <c r="M342">
        <v>0.59</v>
      </c>
      <c r="N342">
        <v>0.59</v>
      </c>
      <c r="O342">
        <v>0</v>
      </c>
      <c r="P342">
        <v>0</v>
      </c>
      <c r="Q342" t="s">
        <v>108</v>
      </c>
    </row>
    <row r="343" spans="1:17">
      <c r="A343" t="s">
        <v>93</v>
      </c>
      <c r="B343" t="s">
        <v>106</v>
      </c>
      <c r="C343" t="s">
        <v>56</v>
      </c>
      <c r="D343" t="s">
        <v>126</v>
      </c>
      <c r="E343">
        <v>4</v>
      </c>
      <c r="F343" t="str">
        <f>VLOOKUP(E343,[1]LOJA!$A:$B,2,0)</f>
        <v>ADE</v>
      </c>
      <c r="G343" t="s">
        <v>19</v>
      </c>
      <c r="H343" t="s">
        <v>19</v>
      </c>
      <c r="I343" s="1">
        <v>46027</v>
      </c>
      <c r="J343" s="1">
        <v>46027</v>
      </c>
      <c r="K343" s="1">
        <v>46027</v>
      </c>
      <c r="L343">
        <v>30</v>
      </c>
      <c r="M343">
        <v>10.97</v>
      </c>
      <c r="N343">
        <v>10.97</v>
      </c>
      <c r="O343">
        <v>0</v>
      </c>
      <c r="P343">
        <v>0</v>
      </c>
      <c r="Q343" t="s">
        <v>108</v>
      </c>
    </row>
    <row r="344" spans="1:17">
      <c r="A344" t="s">
        <v>93</v>
      </c>
      <c r="B344" t="s">
        <v>106</v>
      </c>
      <c r="C344" t="s">
        <v>56</v>
      </c>
      <c r="D344" t="s">
        <v>127</v>
      </c>
      <c r="E344">
        <v>4</v>
      </c>
      <c r="F344" t="str">
        <f>VLOOKUP(E344,[1]LOJA!$A:$B,2,0)</f>
        <v>ADE</v>
      </c>
      <c r="G344" t="s">
        <v>19</v>
      </c>
      <c r="H344" t="s">
        <v>19</v>
      </c>
      <c r="I344" s="1">
        <v>46027</v>
      </c>
      <c r="J344" s="1">
        <v>46027</v>
      </c>
      <c r="K344" s="1">
        <v>46027</v>
      </c>
      <c r="L344">
        <v>30</v>
      </c>
      <c r="M344">
        <v>11</v>
      </c>
      <c r="N344">
        <v>11</v>
      </c>
      <c r="O344">
        <v>0</v>
      </c>
      <c r="P344">
        <v>0</v>
      </c>
      <c r="Q344" t="s">
        <v>108</v>
      </c>
    </row>
    <row r="345" spans="1:17">
      <c r="A345" t="s">
        <v>93</v>
      </c>
      <c r="B345" t="s">
        <v>106</v>
      </c>
      <c r="C345" t="s">
        <v>56</v>
      </c>
      <c r="D345" t="s">
        <v>128</v>
      </c>
      <c r="E345">
        <v>4</v>
      </c>
      <c r="F345" t="str">
        <f>VLOOKUP(E345,[1]LOJA!$A:$B,2,0)</f>
        <v>ADE</v>
      </c>
      <c r="G345" t="s">
        <v>19</v>
      </c>
      <c r="H345" t="s">
        <v>19</v>
      </c>
      <c r="I345" s="1">
        <v>46027</v>
      </c>
      <c r="J345" s="1">
        <v>46027</v>
      </c>
      <c r="K345" s="1">
        <v>46027</v>
      </c>
      <c r="L345">
        <v>30</v>
      </c>
      <c r="M345">
        <v>2.4500000000000002</v>
      </c>
      <c r="N345">
        <v>2.4500000000000002</v>
      </c>
      <c r="O345">
        <v>0</v>
      </c>
      <c r="P345">
        <v>0</v>
      </c>
      <c r="Q345" t="s">
        <v>108</v>
      </c>
    </row>
    <row r="346" spans="1:17">
      <c r="A346" t="s">
        <v>93</v>
      </c>
      <c r="B346" t="s">
        <v>106</v>
      </c>
      <c r="C346" t="s">
        <v>56</v>
      </c>
      <c r="D346" t="s">
        <v>129</v>
      </c>
      <c r="E346">
        <v>4</v>
      </c>
      <c r="F346" t="str">
        <f>VLOOKUP(E346,[1]LOJA!$A:$B,2,0)</f>
        <v>ADE</v>
      </c>
      <c r="G346" t="s">
        <v>19</v>
      </c>
      <c r="H346" t="s">
        <v>19</v>
      </c>
      <c r="I346" s="1">
        <v>46027</v>
      </c>
      <c r="J346" s="1">
        <v>46027</v>
      </c>
      <c r="K346" s="1">
        <v>46027</v>
      </c>
      <c r="L346">
        <v>30</v>
      </c>
      <c r="M346">
        <v>4.96</v>
      </c>
      <c r="N346">
        <v>4.96</v>
      </c>
      <c r="O346">
        <v>0</v>
      </c>
      <c r="P346">
        <v>0</v>
      </c>
      <c r="Q346" t="s">
        <v>108</v>
      </c>
    </row>
    <row r="347" spans="1:17">
      <c r="A347" t="s">
        <v>93</v>
      </c>
      <c r="B347" t="s">
        <v>106</v>
      </c>
      <c r="C347" t="s">
        <v>56</v>
      </c>
      <c r="D347" t="s">
        <v>130</v>
      </c>
      <c r="E347">
        <v>4</v>
      </c>
      <c r="F347" t="str">
        <f>VLOOKUP(E347,[1]LOJA!$A:$B,2,0)</f>
        <v>ADE</v>
      </c>
      <c r="G347" t="s">
        <v>19</v>
      </c>
      <c r="H347" t="s">
        <v>19</v>
      </c>
      <c r="I347" s="1">
        <v>46027</v>
      </c>
      <c r="J347" s="1">
        <v>46027</v>
      </c>
      <c r="K347" s="1">
        <v>46027</v>
      </c>
      <c r="L347">
        <v>30</v>
      </c>
      <c r="M347">
        <v>8.1</v>
      </c>
      <c r="N347">
        <v>8.1</v>
      </c>
      <c r="O347">
        <v>0</v>
      </c>
      <c r="P347">
        <v>0</v>
      </c>
      <c r="Q347" t="s">
        <v>108</v>
      </c>
    </row>
    <row r="348" spans="1:17">
      <c r="A348" t="s">
        <v>93</v>
      </c>
      <c r="B348" t="s">
        <v>106</v>
      </c>
      <c r="C348" t="s">
        <v>56</v>
      </c>
      <c r="D348" t="s">
        <v>131</v>
      </c>
      <c r="E348">
        <v>4</v>
      </c>
      <c r="F348" t="str">
        <f>VLOOKUP(E348,[1]LOJA!$A:$B,2,0)</f>
        <v>ADE</v>
      </c>
      <c r="G348" t="s">
        <v>19</v>
      </c>
      <c r="H348" t="s">
        <v>19</v>
      </c>
      <c r="I348" s="1">
        <v>46027</v>
      </c>
      <c r="J348" s="1">
        <v>46027</v>
      </c>
      <c r="K348" s="1">
        <v>46027</v>
      </c>
      <c r="L348">
        <v>30</v>
      </c>
      <c r="M348">
        <v>5.48</v>
      </c>
      <c r="N348">
        <v>5.48</v>
      </c>
      <c r="O348">
        <v>0</v>
      </c>
      <c r="P348">
        <v>0</v>
      </c>
      <c r="Q348" t="s">
        <v>108</v>
      </c>
    </row>
    <row r="349" spans="1:17">
      <c r="A349" t="s">
        <v>93</v>
      </c>
      <c r="B349" t="s">
        <v>106</v>
      </c>
      <c r="C349" t="s">
        <v>56</v>
      </c>
      <c r="D349" t="s">
        <v>132</v>
      </c>
      <c r="E349">
        <v>4</v>
      </c>
      <c r="F349" t="str">
        <f>VLOOKUP(E349,[1]LOJA!$A:$B,2,0)</f>
        <v>ADE</v>
      </c>
      <c r="G349" t="s">
        <v>19</v>
      </c>
      <c r="H349" t="s">
        <v>19</v>
      </c>
      <c r="I349" s="1">
        <v>46027</v>
      </c>
      <c r="J349" s="1">
        <v>46027</v>
      </c>
      <c r="K349" s="1">
        <v>46027</v>
      </c>
      <c r="L349">
        <v>30</v>
      </c>
      <c r="M349">
        <v>6.88</v>
      </c>
      <c r="N349">
        <v>6.88</v>
      </c>
      <c r="O349">
        <v>0</v>
      </c>
      <c r="P349">
        <v>0</v>
      </c>
      <c r="Q349" t="s">
        <v>108</v>
      </c>
    </row>
    <row r="350" spans="1:17">
      <c r="A350" t="s">
        <v>93</v>
      </c>
      <c r="B350" t="s">
        <v>106</v>
      </c>
      <c r="C350" t="s">
        <v>56</v>
      </c>
      <c r="D350" t="s">
        <v>133</v>
      </c>
      <c r="E350">
        <v>4</v>
      </c>
      <c r="F350" t="str">
        <f>VLOOKUP(E350,[1]LOJA!$A:$B,2,0)</f>
        <v>ADE</v>
      </c>
      <c r="G350" t="s">
        <v>19</v>
      </c>
      <c r="H350" t="s">
        <v>19</v>
      </c>
      <c r="I350" s="1">
        <v>46027</v>
      </c>
      <c r="J350" s="1">
        <v>46027</v>
      </c>
      <c r="K350" s="1">
        <v>46027</v>
      </c>
      <c r="L350">
        <v>30</v>
      </c>
      <c r="M350">
        <v>2.44</v>
      </c>
      <c r="N350">
        <v>2.44</v>
      </c>
      <c r="O350">
        <v>0</v>
      </c>
      <c r="P350">
        <v>0</v>
      </c>
      <c r="Q350" t="s">
        <v>108</v>
      </c>
    </row>
    <row r="351" spans="1:17">
      <c r="A351" t="s">
        <v>93</v>
      </c>
      <c r="B351" t="s">
        <v>106</v>
      </c>
      <c r="C351" t="s">
        <v>56</v>
      </c>
      <c r="D351" t="s">
        <v>134</v>
      </c>
      <c r="E351">
        <v>4</v>
      </c>
      <c r="F351" t="str">
        <f>VLOOKUP(E351,[1]LOJA!$A:$B,2,0)</f>
        <v>ADE</v>
      </c>
      <c r="G351" t="s">
        <v>19</v>
      </c>
      <c r="H351" t="s">
        <v>19</v>
      </c>
      <c r="I351" s="1">
        <v>46027</v>
      </c>
      <c r="J351" s="1">
        <v>46025</v>
      </c>
      <c r="K351" s="1">
        <v>46027</v>
      </c>
      <c r="L351">
        <v>30</v>
      </c>
      <c r="M351">
        <v>0.63</v>
      </c>
      <c r="N351">
        <v>0.63</v>
      </c>
      <c r="O351">
        <v>0</v>
      </c>
      <c r="P351">
        <v>0</v>
      </c>
      <c r="Q351" t="s">
        <v>108</v>
      </c>
    </row>
    <row r="352" spans="1:17">
      <c r="A352" t="s">
        <v>93</v>
      </c>
      <c r="B352" t="s">
        <v>106</v>
      </c>
      <c r="C352" t="s">
        <v>56</v>
      </c>
      <c r="D352" t="s">
        <v>135</v>
      </c>
      <c r="E352">
        <v>4</v>
      </c>
      <c r="F352" t="str">
        <f>VLOOKUP(E352,[1]LOJA!$A:$B,2,0)</f>
        <v>ADE</v>
      </c>
      <c r="G352" t="s">
        <v>19</v>
      </c>
      <c r="H352" t="s">
        <v>19</v>
      </c>
      <c r="I352" s="1">
        <v>46027</v>
      </c>
      <c r="J352" s="1">
        <v>46025</v>
      </c>
      <c r="K352" s="1">
        <v>46027</v>
      </c>
      <c r="L352">
        <v>30</v>
      </c>
      <c r="M352">
        <v>1.08</v>
      </c>
      <c r="N352">
        <v>1.08</v>
      </c>
      <c r="O352">
        <v>0</v>
      </c>
      <c r="P352">
        <v>0</v>
      </c>
      <c r="Q352" t="s">
        <v>108</v>
      </c>
    </row>
    <row r="353" spans="1:17">
      <c r="A353" t="s">
        <v>93</v>
      </c>
      <c r="B353" t="s">
        <v>106</v>
      </c>
      <c r="C353" t="s">
        <v>56</v>
      </c>
      <c r="D353" t="s">
        <v>136</v>
      </c>
      <c r="E353">
        <v>4</v>
      </c>
      <c r="F353" t="str">
        <f>VLOOKUP(E353,[1]LOJA!$A:$B,2,0)</f>
        <v>ADE</v>
      </c>
      <c r="G353" t="s">
        <v>19</v>
      </c>
      <c r="H353" t="s">
        <v>19</v>
      </c>
      <c r="I353" s="1">
        <v>46027</v>
      </c>
      <c r="J353" s="1">
        <v>46026</v>
      </c>
      <c r="K353" s="1">
        <v>46027</v>
      </c>
      <c r="L353">
        <v>30</v>
      </c>
      <c r="M353">
        <v>1.05</v>
      </c>
      <c r="N353">
        <v>1.05</v>
      </c>
      <c r="O353">
        <v>0</v>
      </c>
      <c r="P353">
        <v>0</v>
      </c>
      <c r="Q353" t="s">
        <v>108</v>
      </c>
    </row>
    <row r="354" spans="1:17">
      <c r="A354" t="s">
        <v>93</v>
      </c>
      <c r="B354" t="s">
        <v>106</v>
      </c>
      <c r="C354" t="s">
        <v>56</v>
      </c>
      <c r="D354" t="s">
        <v>137</v>
      </c>
      <c r="E354">
        <v>4</v>
      </c>
      <c r="F354" t="str">
        <f>VLOOKUP(E354,[1]LOJA!$A:$B,2,0)</f>
        <v>ADE</v>
      </c>
      <c r="G354" t="s">
        <v>19</v>
      </c>
      <c r="H354" t="s">
        <v>19</v>
      </c>
      <c r="I354" s="1">
        <v>46027</v>
      </c>
      <c r="J354" s="1">
        <v>46027</v>
      </c>
      <c r="K354" s="1">
        <v>46027</v>
      </c>
      <c r="L354">
        <v>30</v>
      </c>
      <c r="M354">
        <v>0.74</v>
      </c>
      <c r="N354">
        <v>0.74</v>
      </c>
      <c r="O354">
        <v>0</v>
      </c>
      <c r="P354">
        <v>0</v>
      </c>
      <c r="Q354" t="s">
        <v>108</v>
      </c>
    </row>
    <row r="355" spans="1:17">
      <c r="A355" t="s">
        <v>93</v>
      </c>
      <c r="B355" t="s">
        <v>106</v>
      </c>
      <c r="C355" t="s">
        <v>56</v>
      </c>
      <c r="D355" t="s">
        <v>138</v>
      </c>
      <c r="E355">
        <v>4</v>
      </c>
      <c r="F355" t="str">
        <f>VLOOKUP(E355,[1]LOJA!$A:$B,2,0)</f>
        <v>ADE</v>
      </c>
      <c r="G355" t="s">
        <v>19</v>
      </c>
      <c r="H355" t="s">
        <v>19</v>
      </c>
      <c r="I355" s="1">
        <v>46027</v>
      </c>
      <c r="J355" s="1">
        <v>46027</v>
      </c>
      <c r="K355" s="1">
        <v>46027</v>
      </c>
      <c r="L355">
        <v>30</v>
      </c>
      <c r="M355">
        <v>2.0299999999999998</v>
      </c>
      <c r="N355">
        <v>2.0299999999999998</v>
      </c>
      <c r="O355">
        <v>0</v>
      </c>
      <c r="P355">
        <v>0</v>
      </c>
      <c r="Q355" t="s">
        <v>108</v>
      </c>
    </row>
    <row r="356" spans="1:17">
      <c r="A356" t="s">
        <v>93</v>
      </c>
      <c r="B356" t="s">
        <v>106</v>
      </c>
      <c r="C356" t="s">
        <v>56</v>
      </c>
      <c r="D356" t="s">
        <v>139</v>
      </c>
      <c r="E356">
        <v>4</v>
      </c>
      <c r="F356" t="str">
        <f>VLOOKUP(E356,[1]LOJA!$A:$B,2,0)</f>
        <v>ADE</v>
      </c>
      <c r="G356" t="s">
        <v>19</v>
      </c>
      <c r="H356" t="s">
        <v>19</v>
      </c>
      <c r="I356" s="1">
        <v>46027</v>
      </c>
      <c r="J356" s="1">
        <v>46027</v>
      </c>
      <c r="K356" s="1">
        <v>46027</v>
      </c>
      <c r="L356">
        <v>30</v>
      </c>
      <c r="M356">
        <v>0.44</v>
      </c>
      <c r="N356">
        <v>0.44</v>
      </c>
      <c r="O356">
        <v>0</v>
      </c>
      <c r="P356">
        <v>0</v>
      </c>
      <c r="Q356" t="s">
        <v>108</v>
      </c>
    </row>
    <row r="357" spans="1:17">
      <c r="A357" t="s">
        <v>93</v>
      </c>
      <c r="B357" t="s">
        <v>106</v>
      </c>
      <c r="C357" t="s">
        <v>56</v>
      </c>
      <c r="D357" t="s">
        <v>140</v>
      </c>
      <c r="E357">
        <v>4</v>
      </c>
      <c r="F357" t="str">
        <f>VLOOKUP(E357,[1]LOJA!$A:$B,2,0)</f>
        <v>ADE</v>
      </c>
      <c r="G357" t="s">
        <v>19</v>
      </c>
      <c r="H357" t="s">
        <v>19</v>
      </c>
      <c r="I357" s="1">
        <v>46027</v>
      </c>
      <c r="J357" s="1">
        <v>46025</v>
      </c>
      <c r="K357" s="1">
        <v>46027</v>
      </c>
      <c r="L357">
        <v>30</v>
      </c>
      <c r="M357">
        <v>0.05</v>
      </c>
      <c r="N357">
        <v>0.05</v>
      </c>
      <c r="O357">
        <v>0</v>
      </c>
      <c r="P357">
        <v>0</v>
      </c>
      <c r="Q357" t="s">
        <v>108</v>
      </c>
    </row>
    <row r="358" spans="1:17">
      <c r="A358" t="s">
        <v>93</v>
      </c>
      <c r="B358" t="s">
        <v>106</v>
      </c>
      <c r="C358" t="s">
        <v>56</v>
      </c>
      <c r="D358" t="s">
        <v>141</v>
      </c>
      <c r="E358">
        <v>4</v>
      </c>
      <c r="F358" t="str">
        <f>VLOOKUP(E358,[1]LOJA!$A:$B,2,0)</f>
        <v>ADE</v>
      </c>
      <c r="G358" t="s">
        <v>19</v>
      </c>
      <c r="H358" t="s">
        <v>19</v>
      </c>
      <c r="I358" s="1">
        <v>46027</v>
      </c>
      <c r="J358" s="1">
        <v>46025</v>
      </c>
      <c r="K358" s="1">
        <v>46027</v>
      </c>
      <c r="L358">
        <v>30</v>
      </c>
      <c r="M358">
        <v>7.0000000000000007E-2</v>
      </c>
      <c r="N358">
        <v>7.0000000000000007E-2</v>
      </c>
      <c r="O358">
        <v>0</v>
      </c>
      <c r="P358">
        <v>0</v>
      </c>
      <c r="Q358" t="s">
        <v>108</v>
      </c>
    </row>
    <row r="359" spans="1:17">
      <c r="A359" t="s">
        <v>93</v>
      </c>
      <c r="B359" t="s">
        <v>106</v>
      </c>
      <c r="C359" t="s">
        <v>56</v>
      </c>
      <c r="D359" t="s">
        <v>142</v>
      </c>
      <c r="E359">
        <v>4</v>
      </c>
      <c r="F359" t="str">
        <f>VLOOKUP(E359,[1]LOJA!$A:$B,2,0)</f>
        <v>ADE</v>
      </c>
      <c r="G359" t="s">
        <v>19</v>
      </c>
      <c r="H359" t="s">
        <v>19</v>
      </c>
      <c r="I359" s="1">
        <v>46027</v>
      </c>
      <c r="J359" s="1">
        <v>46025</v>
      </c>
      <c r="K359" s="1">
        <v>46027</v>
      </c>
      <c r="L359">
        <v>30</v>
      </c>
      <c r="M359">
        <v>0.94</v>
      </c>
      <c r="N359">
        <v>0.94</v>
      </c>
      <c r="O359">
        <v>0</v>
      </c>
      <c r="P359">
        <v>0</v>
      </c>
      <c r="Q359" t="s">
        <v>108</v>
      </c>
    </row>
    <row r="360" spans="1:17">
      <c r="A360" t="s">
        <v>93</v>
      </c>
      <c r="B360" t="s">
        <v>106</v>
      </c>
      <c r="C360" t="s">
        <v>56</v>
      </c>
      <c r="D360" t="s">
        <v>143</v>
      </c>
      <c r="E360">
        <v>4</v>
      </c>
      <c r="F360" t="str">
        <f>VLOOKUP(E360,[1]LOJA!$A:$B,2,0)</f>
        <v>ADE</v>
      </c>
      <c r="G360" t="s">
        <v>19</v>
      </c>
      <c r="H360" t="s">
        <v>19</v>
      </c>
      <c r="I360" s="1">
        <v>46027</v>
      </c>
      <c r="J360" s="1">
        <v>46026</v>
      </c>
      <c r="K360" s="1">
        <v>46027</v>
      </c>
      <c r="L360">
        <v>30</v>
      </c>
      <c r="M360">
        <v>3.66</v>
      </c>
      <c r="N360">
        <v>3.66</v>
      </c>
      <c r="O360">
        <v>0</v>
      </c>
      <c r="P360">
        <v>0</v>
      </c>
      <c r="Q360" t="s">
        <v>108</v>
      </c>
    </row>
    <row r="361" spans="1:17">
      <c r="A361" t="s">
        <v>93</v>
      </c>
      <c r="B361" t="s">
        <v>106</v>
      </c>
      <c r="C361" t="s">
        <v>56</v>
      </c>
      <c r="D361" t="s">
        <v>144</v>
      </c>
      <c r="E361">
        <v>4</v>
      </c>
      <c r="F361" t="str">
        <f>VLOOKUP(E361,[1]LOJA!$A:$B,2,0)</f>
        <v>ADE</v>
      </c>
      <c r="G361" t="s">
        <v>19</v>
      </c>
      <c r="H361" t="s">
        <v>19</v>
      </c>
      <c r="I361" s="1">
        <v>46027</v>
      </c>
      <c r="J361" s="1">
        <v>46026</v>
      </c>
      <c r="K361" s="1">
        <v>46027</v>
      </c>
      <c r="L361">
        <v>30</v>
      </c>
      <c r="M361">
        <v>0.96</v>
      </c>
      <c r="N361">
        <v>0.96</v>
      </c>
      <c r="O361">
        <v>0</v>
      </c>
      <c r="P361">
        <v>0</v>
      </c>
      <c r="Q361" t="s">
        <v>108</v>
      </c>
    </row>
    <row r="362" spans="1:17">
      <c r="A362" t="s">
        <v>93</v>
      </c>
      <c r="B362" t="s">
        <v>106</v>
      </c>
      <c r="C362" t="s">
        <v>56</v>
      </c>
      <c r="D362" t="s">
        <v>145</v>
      </c>
      <c r="E362">
        <v>4</v>
      </c>
      <c r="F362" t="str">
        <f>VLOOKUP(E362,[1]LOJA!$A:$B,2,0)</f>
        <v>ADE</v>
      </c>
      <c r="G362" t="s">
        <v>19</v>
      </c>
      <c r="H362" t="s">
        <v>19</v>
      </c>
      <c r="I362" s="1">
        <v>46027</v>
      </c>
      <c r="J362" s="1">
        <v>46026</v>
      </c>
      <c r="K362" s="1">
        <v>46027</v>
      </c>
      <c r="L362">
        <v>30</v>
      </c>
      <c r="M362">
        <v>0.23</v>
      </c>
      <c r="N362">
        <v>0.23</v>
      </c>
      <c r="O362">
        <v>0</v>
      </c>
      <c r="P362">
        <v>0</v>
      </c>
      <c r="Q362" t="s">
        <v>108</v>
      </c>
    </row>
    <row r="363" spans="1:17">
      <c r="A363" t="s">
        <v>93</v>
      </c>
      <c r="B363" t="s">
        <v>106</v>
      </c>
      <c r="C363" t="s">
        <v>56</v>
      </c>
      <c r="D363" t="s">
        <v>146</v>
      </c>
      <c r="E363">
        <v>4</v>
      </c>
      <c r="F363" t="str">
        <f>VLOOKUP(E363,[1]LOJA!$A:$B,2,0)</f>
        <v>ADE</v>
      </c>
      <c r="G363" t="s">
        <v>19</v>
      </c>
      <c r="H363" t="s">
        <v>19</v>
      </c>
      <c r="I363" s="1">
        <v>46027</v>
      </c>
      <c r="J363" s="1">
        <v>46026</v>
      </c>
      <c r="K363" s="1">
        <v>46027</v>
      </c>
      <c r="L363">
        <v>30</v>
      </c>
      <c r="M363">
        <v>0.05</v>
      </c>
      <c r="N363">
        <v>0.05</v>
      </c>
      <c r="O363">
        <v>0</v>
      </c>
      <c r="P363">
        <v>0</v>
      </c>
      <c r="Q363" t="s">
        <v>108</v>
      </c>
    </row>
    <row r="364" spans="1:17">
      <c r="A364" t="s">
        <v>93</v>
      </c>
      <c r="B364" t="s">
        <v>106</v>
      </c>
      <c r="C364" t="s">
        <v>56</v>
      </c>
      <c r="D364" t="s">
        <v>147</v>
      </c>
      <c r="E364">
        <v>4</v>
      </c>
      <c r="F364" t="str">
        <f>VLOOKUP(E364,[1]LOJA!$A:$B,2,0)</f>
        <v>ADE</v>
      </c>
      <c r="G364" t="s">
        <v>19</v>
      </c>
      <c r="H364" t="s">
        <v>19</v>
      </c>
      <c r="I364" s="1">
        <v>46027</v>
      </c>
      <c r="J364" s="1">
        <v>46026</v>
      </c>
      <c r="K364" s="1">
        <v>46027</v>
      </c>
      <c r="L364">
        <v>30</v>
      </c>
      <c r="M364">
        <v>7.0000000000000007E-2</v>
      </c>
      <c r="N364">
        <v>7.0000000000000007E-2</v>
      </c>
      <c r="O364">
        <v>0</v>
      </c>
      <c r="P364">
        <v>0</v>
      </c>
      <c r="Q364" t="s">
        <v>108</v>
      </c>
    </row>
    <row r="365" spans="1:17">
      <c r="A365" t="s">
        <v>93</v>
      </c>
      <c r="B365" t="s">
        <v>106</v>
      </c>
      <c r="C365" t="s">
        <v>56</v>
      </c>
      <c r="D365" t="s">
        <v>148</v>
      </c>
      <c r="E365">
        <v>4</v>
      </c>
      <c r="F365" t="str">
        <f>VLOOKUP(E365,[1]LOJA!$A:$B,2,0)</f>
        <v>ADE</v>
      </c>
      <c r="G365" t="s">
        <v>19</v>
      </c>
      <c r="H365" t="s">
        <v>19</v>
      </c>
      <c r="I365" s="1">
        <v>46027</v>
      </c>
      <c r="J365" s="1">
        <v>46026</v>
      </c>
      <c r="K365" s="1">
        <v>46027</v>
      </c>
      <c r="L365">
        <v>30</v>
      </c>
      <c r="M365">
        <v>0.23</v>
      </c>
      <c r="N365">
        <v>0.23</v>
      </c>
      <c r="O365">
        <v>0</v>
      </c>
      <c r="P365">
        <v>0</v>
      </c>
      <c r="Q365" t="s">
        <v>108</v>
      </c>
    </row>
    <row r="366" spans="1:17">
      <c r="A366" t="s">
        <v>93</v>
      </c>
      <c r="B366" t="s">
        <v>106</v>
      </c>
      <c r="C366" t="s">
        <v>56</v>
      </c>
      <c r="D366" t="s">
        <v>149</v>
      </c>
      <c r="E366">
        <v>4</v>
      </c>
      <c r="F366" t="str">
        <f>VLOOKUP(E366,[1]LOJA!$A:$B,2,0)</f>
        <v>ADE</v>
      </c>
      <c r="G366" t="s">
        <v>19</v>
      </c>
      <c r="H366" t="s">
        <v>19</v>
      </c>
      <c r="I366" s="1">
        <v>46027</v>
      </c>
      <c r="J366" s="1">
        <v>46026</v>
      </c>
      <c r="K366" s="1">
        <v>46027</v>
      </c>
      <c r="L366">
        <v>30</v>
      </c>
      <c r="M366">
        <v>0.34</v>
      </c>
      <c r="N366">
        <v>0.34</v>
      </c>
      <c r="O366">
        <v>0</v>
      </c>
      <c r="P366">
        <v>0</v>
      </c>
      <c r="Q366" t="s">
        <v>108</v>
      </c>
    </row>
    <row r="367" spans="1:17">
      <c r="A367" t="s">
        <v>93</v>
      </c>
      <c r="B367" t="s">
        <v>106</v>
      </c>
      <c r="C367" t="s">
        <v>56</v>
      </c>
      <c r="D367" t="s">
        <v>150</v>
      </c>
      <c r="E367">
        <v>4</v>
      </c>
      <c r="F367" t="str">
        <f>VLOOKUP(E367,[1]LOJA!$A:$B,2,0)</f>
        <v>ADE</v>
      </c>
      <c r="G367" t="s">
        <v>19</v>
      </c>
      <c r="H367" t="s">
        <v>19</v>
      </c>
      <c r="I367" s="1">
        <v>46028</v>
      </c>
      <c r="J367" s="1">
        <v>46028</v>
      </c>
      <c r="K367" s="1">
        <v>46028</v>
      </c>
      <c r="L367">
        <v>30</v>
      </c>
      <c r="M367">
        <v>3.5</v>
      </c>
      <c r="N367">
        <v>3.5</v>
      </c>
      <c r="O367">
        <v>0</v>
      </c>
      <c r="P367">
        <v>0</v>
      </c>
      <c r="Q367" t="s">
        <v>108</v>
      </c>
    </row>
    <row r="368" spans="1:17">
      <c r="A368" t="s">
        <v>93</v>
      </c>
      <c r="B368" t="s">
        <v>106</v>
      </c>
      <c r="C368" t="s">
        <v>56</v>
      </c>
      <c r="D368" t="s">
        <v>151</v>
      </c>
      <c r="E368">
        <v>4</v>
      </c>
      <c r="F368" t="str">
        <f>VLOOKUP(E368,[1]LOJA!$A:$B,2,0)</f>
        <v>ADE</v>
      </c>
      <c r="G368" t="s">
        <v>19</v>
      </c>
      <c r="H368" t="s">
        <v>19</v>
      </c>
      <c r="I368" s="1">
        <v>46028</v>
      </c>
      <c r="J368" s="1">
        <v>46028</v>
      </c>
      <c r="K368" s="1">
        <v>46028</v>
      </c>
      <c r="L368">
        <v>30</v>
      </c>
      <c r="M368">
        <v>2.38</v>
      </c>
      <c r="N368">
        <v>2.38</v>
      </c>
      <c r="O368">
        <v>0</v>
      </c>
      <c r="P368">
        <v>0</v>
      </c>
      <c r="Q368" t="s">
        <v>108</v>
      </c>
    </row>
    <row r="369" spans="1:17">
      <c r="A369" t="s">
        <v>93</v>
      </c>
      <c r="B369" t="s">
        <v>106</v>
      </c>
      <c r="C369" t="s">
        <v>56</v>
      </c>
      <c r="D369" t="s">
        <v>152</v>
      </c>
      <c r="E369">
        <v>4</v>
      </c>
      <c r="F369" t="str">
        <f>VLOOKUP(E369,[1]LOJA!$A:$B,2,0)</f>
        <v>ADE</v>
      </c>
      <c r="G369" t="s">
        <v>19</v>
      </c>
      <c r="H369" t="s">
        <v>19</v>
      </c>
      <c r="I369" s="1">
        <v>46028</v>
      </c>
      <c r="J369" s="1">
        <v>46028</v>
      </c>
      <c r="K369" s="1">
        <v>46028</v>
      </c>
      <c r="L369">
        <v>30</v>
      </c>
      <c r="M369">
        <v>5.5</v>
      </c>
      <c r="N369">
        <v>5.5</v>
      </c>
      <c r="O369">
        <v>0</v>
      </c>
      <c r="P369">
        <v>0</v>
      </c>
      <c r="Q369" t="s">
        <v>108</v>
      </c>
    </row>
    <row r="370" spans="1:17">
      <c r="A370" t="s">
        <v>93</v>
      </c>
      <c r="B370" t="s">
        <v>106</v>
      </c>
      <c r="C370" t="s">
        <v>56</v>
      </c>
      <c r="D370" t="s">
        <v>153</v>
      </c>
      <c r="E370">
        <v>4</v>
      </c>
      <c r="F370" t="str">
        <f>VLOOKUP(E370,[1]LOJA!$A:$B,2,0)</f>
        <v>ADE</v>
      </c>
      <c r="G370" t="s">
        <v>19</v>
      </c>
      <c r="H370" t="s">
        <v>19</v>
      </c>
      <c r="I370" s="1">
        <v>46028</v>
      </c>
      <c r="J370" s="1">
        <v>46028</v>
      </c>
      <c r="K370" s="1">
        <v>46028</v>
      </c>
      <c r="L370">
        <v>30</v>
      </c>
      <c r="M370">
        <v>0.56000000000000005</v>
      </c>
      <c r="N370">
        <v>0.56000000000000005</v>
      </c>
      <c r="O370">
        <v>0</v>
      </c>
      <c r="P370">
        <v>0</v>
      </c>
      <c r="Q370" t="s">
        <v>108</v>
      </c>
    </row>
    <row r="371" spans="1:17">
      <c r="A371" t="s">
        <v>93</v>
      </c>
      <c r="B371" t="s">
        <v>106</v>
      </c>
      <c r="C371" t="s">
        <v>56</v>
      </c>
      <c r="D371" t="s">
        <v>154</v>
      </c>
      <c r="E371">
        <v>4</v>
      </c>
      <c r="F371" t="str">
        <f>VLOOKUP(E371,[1]LOJA!$A:$B,2,0)</f>
        <v>ADE</v>
      </c>
      <c r="G371" t="s">
        <v>19</v>
      </c>
      <c r="H371" t="s">
        <v>19</v>
      </c>
      <c r="I371" s="1">
        <v>46028</v>
      </c>
      <c r="J371" s="1">
        <v>46028</v>
      </c>
      <c r="K371" s="1">
        <v>46028</v>
      </c>
      <c r="L371">
        <v>30</v>
      </c>
      <c r="M371">
        <v>0.18</v>
      </c>
      <c r="N371">
        <v>0.18</v>
      </c>
      <c r="O371">
        <v>0</v>
      </c>
      <c r="P371">
        <v>0</v>
      </c>
      <c r="Q371" t="s">
        <v>108</v>
      </c>
    </row>
    <row r="372" spans="1:17">
      <c r="A372" t="s">
        <v>93</v>
      </c>
      <c r="B372" t="s">
        <v>106</v>
      </c>
      <c r="C372" t="s">
        <v>56</v>
      </c>
      <c r="D372" t="s">
        <v>155</v>
      </c>
      <c r="E372">
        <v>4</v>
      </c>
      <c r="F372" t="str">
        <f>VLOOKUP(E372,[1]LOJA!$A:$B,2,0)</f>
        <v>ADE</v>
      </c>
      <c r="G372" t="s">
        <v>19</v>
      </c>
      <c r="H372" t="s">
        <v>19</v>
      </c>
      <c r="I372" s="1">
        <v>46028</v>
      </c>
      <c r="J372" s="1">
        <v>46028</v>
      </c>
      <c r="K372" s="1">
        <v>46028</v>
      </c>
      <c r="L372">
        <v>30</v>
      </c>
      <c r="M372">
        <v>0.64</v>
      </c>
      <c r="N372">
        <v>0.64</v>
      </c>
      <c r="O372">
        <v>0</v>
      </c>
      <c r="P372">
        <v>0</v>
      </c>
      <c r="Q372" t="s">
        <v>108</v>
      </c>
    </row>
    <row r="373" spans="1:17">
      <c r="A373" t="s">
        <v>93</v>
      </c>
      <c r="B373" t="s">
        <v>106</v>
      </c>
      <c r="C373" t="s">
        <v>56</v>
      </c>
      <c r="D373" t="s">
        <v>156</v>
      </c>
      <c r="E373">
        <v>4</v>
      </c>
      <c r="F373" t="str">
        <f>VLOOKUP(E373,[1]LOJA!$A:$B,2,0)</f>
        <v>ADE</v>
      </c>
      <c r="G373" t="s">
        <v>19</v>
      </c>
      <c r="H373" t="s">
        <v>19</v>
      </c>
      <c r="I373" s="1">
        <v>46028</v>
      </c>
      <c r="J373" s="1">
        <v>46028</v>
      </c>
      <c r="K373" s="1">
        <v>46028</v>
      </c>
      <c r="L373">
        <v>30</v>
      </c>
      <c r="M373">
        <v>3.65</v>
      </c>
      <c r="N373">
        <v>3.65</v>
      </c>
      <c r="O373">
        <v>0</v>
      </c>
      <c r="P373">
        <v>0</v>
      </c>
      <c r="Q373" t="s">
        <v>108</v>
      </c>
    </row>
    <row r="374" spans="1:17">
      <c r="A374" t="s">
        <v>93</v>
      </c>
      <c r="B374" t="s">
        <v>106</v>
      </c>
      <c r="C374" t="s">
        <v>56</v>
      </c>
      <c r="D374" t="s">
        <v>157</v>
      </c>
      <c r="E374">
        <v>4</v>
      </c>
      <c r="F374" t="str">
        <f>VLOOKUP(E374,[1]LOJA!$A:$B,2,0)</f>
        <v>ADE</v>
      </c>
      <c r="G374" t="s">
        <v>19</v>
      </c>
      <c r="H374" t="s">
        <v>19</v>
      </c>
      <c r="I374" s="1">
        <v>46029</v>
      </c>
      <c r="J374" s="1">
        <v>46029</v>
      </c>
      <c r="K374" s="1">
        <v>46029</v>
      </c>
      <c r="L374">
        <v>30</v>
      </c>
      <c r="M374">
        <v>7.23</v>
      </c>
      <c r="N374">
        <v>7.23</v>
      </c>
      <c r="O374">
        <v>0</v>
      </c>
      <c r="P374">
        <v>0</v>
      </c>
      <c r="Q374" t="s">
        <v>108</v>
      </c>
    </row>
    <row r="375" spans="1:17">
      <c r="A375" t="s">
        <v>93</v>
      </c>
      <c r="B375" t="s">
        <v>106</v>
      </c>
      <c r="C375" t="s">
        <v>56</v>
      </c>
      <c r="D375" t="s">
        <v>158</v>
      </c>
      <c r="E375">
        <v>4</v>
      </c>
      <c r="F375" t="str">
        <f>VLOOKUP(E375,[1]LOJA!$A:$B,2,0)</f>
        <v>ADE</v>
      </c>
      <c r="G375" t="s">
        <v>19</v>
      </c>
      <c r="H375" t="s">
        <v>19</v>
      </c>
      <c r="I375" s="1">
        <v>46029</v>
      </c>
      <c r="J375" s="1">
        <v>46029</v>
      </c>
      <c r="K375" s="1">
        <v>46029</v>
      </c>
      <c r="L375">
        <v>30</v>
      </c>
      <c r="M375">
        <v>10.95</v>
      </c>
      <c r="N375">
        <v>10.95</v>
      </c>
      <c r="O375">
        <v>0</v>
      </c>
      <c r="P375">
        <v>0</v>
      </c>
      <c r="Q375" t="s">
        <v>108</v>
      </c>
    </row>
    <row r="376" spans="1:17">
      <c r="A376" t="s">
        <v>93</v>
      </c>
      <c r="B376" t="s">
        <v>106</v>
      </c>
      <c r="C376" t="s">
        <v>56</v>
      </c>
      <c r="D376" t="s">
        <v>159</v>
      </c>
      <c r="E376">
        <v>4</v>
      </c>
      <c r="F376" t="str">
        <f>VLOOKUP(E376,[1]LOJA!$A:$B,2,0)</f>
        <v>ADE</v>
      </c>
      <c r="G376" t="s">
        <v>19</v>
      </c>
      <c r="H376" t="s">
        <v>19</v>
      </c>
      <c r="I376" s="1">
        <v>46029</v>
      </c>
      <c r="J376" s="1">
        <v>46029</v>
      </c>
      <c r="K376" s="1">
        <v>46029</v>
      </c>
      <c r="L376">
        <v>30</v>
      </c>
      <c r="M376">
        <v>1.59</v>
      </c>
      <c r="N376">
        <v>1.59</v>
      </c>
      <c r="O376">
        <v>0</v>
      </c>
      <c r="P376">
        <v>0</v>
      </c>
      <c r="Q376" t="s">
        <v>108</v>
      </c>
    </row>
    <row r="377" spans="1:17">
      <c r="A377" t="s">
        <v>93</v>
      </c>
      <c r="B377" t="s">
        <v>106</v>
      </c>
      <c r="C377" t="s">
        <v>56</v>
      </c>
      <c r="D377" t="s">
        <v>160</v>
      </c>
      <c r="E377">
        <v>4</v>
      </c>
      <c r="F377" t="str">
        <f>VLOOKUP(E377,[1]LOJA!$A:$B,2,0)</f>
        <v>ADE</v>
      </c>
      <c r="G377" t="s">
        <v>19</v>
      </c>
      <c r="H377" t="s">
        <v>19</v>
      </c>
      <c r="I377" s="1">
        <v>46029</v>
      </c>
      <c r="J377" s="1">
        <v>46029</v>
      </c>
      <c r="K377" s="1">
        <v>46029</v>
      </c>
      <c r="L377">
        <v>30</v>
      </c>
      <c r="M377">
        <v>1.08</v>
      </c>
      <c r="N377">
        <v>1.08</v>
      </c>
      <c r="O377">
        <v>0</v>
      </c>
      <c r="P377">
        <v>0</v>
      </c>
      <c r="Q377" t="s">
        <v>108</v>
      </c>
    </row>
    <row r="378" spans="1:17">
      <c r="A378" t="s">
        <v>93</v>
      </c>
      <c r="B378" t="s">
        <v>106</v>
      </c>
      <c r="C378" t="s">
        <v>56</v>
      </c>
      <c r="D378" t="s">
        <v>161</v>
      </c>
      <c r="E378">
        <v>4</v>
      </c>
      <c r="F378" t="str">
        <f>VLOOKUP(E378,[1]LOJA!$A:$B,2,0)</f>
        <v>ADE</v>
      </c>
      <c r="G378" t="s">
        <v>19</v>
      </c>
      <c r="H378" t="s">
        <v>19</v>
      </c>
      <c r="I378" s="1">
        <v>46029</v>
      </c>
      <c r="J378" s="1">
        <v>46029</v>
      </c>
      <c r="K378" s="1">
        <v>46029</v>
      </c>
      <c r="L378">
        <v>30</v>
      </c>
      <c r="M378">
        <v>0.6</v>
      </c>
      <c r="N378">
        <v>0.6</v>
      </c>
      <c r="O378">
        <v>0</v>
      </c>
      <c r="P378">
        <v>0</v>
      </c>
      <c r="Q378" t="s">
        <v>108</v>
      </c>
    </row>
    <row r="379" spans="1:17">
      <c r="A379" t="s">
        <v>93</v>
      </c>
      <c r="B379" t="s">
        <v>106</v>
      </c>
      <c r="C379" t="s">
        <v>56</v>
      </c>
      <c r="D379" t="s">
        <v>162</v>
      </c>
      <c r="E379">
        <v>4</v>
      </c>
      <c r="F379" t="str">
        <f>VLOOKUP(E379,[1]LOJA!$A:$B,2,0)</f>
        <v>ADE</v>
      </c>
      <c r="G379" t="s">
        <v>19</v>
      </c>
      <c r="H379" t="s">
        <v>19</v>
      </c>
      <c r="I379" s="1">
        <v>46029</v>
      </c>
      <c r="J379" s="1">
        <v>46029</v>
      </c>
      <c r="K379" s="1">
        <v>46029</v>
      </c>
      <c r="L379">
        <v>30</v>
      </c>
      <c r="M379">
        <v>0.06</v>
      </c>
      <c r="N379">
        <v>0.06</v>
      </c>
      <c r="O379">
        <v>0</v>
      </c>
      <c r="P379">
        <v>0</v>
      </c>
      <c r="Q379" t="s">
        <v>108</v>
      </c>
    </row>
    <row r="380" spans="1:17">
      <c r="A380" t="s">
        <v>93</v>
      </c>
      <c r="B380" t="s">
        <v>106</v>
      </c>
      <c r="C380" t="s">
        <v>56</v>
      </c>
      <c r="D380" t="s">
        <v>163</v>
      </c>
      <c r="E380">
        <v>4</v>
      </c>
      <c r="F380" t="str">
        <f>VLOOKUP(E380,[1]LOJA!$A:$B,2,0)</f>
        <v>ADE</v>
      </c>
      <c r="G380" t="s">
        <v>19</v>
      </c>
      <c r="H380" t="s">
        <v>19</v>
      </c>
      <c r="I380" s="1">
        <v>46029</v>
      </c>
      <c r="J380" s="1">
        <v>46029</v>
      </c>
      <c r="K380" s="1">
        <v>46029</v>
      </c>
      <c r="L380">
        <v>30</v>
      </c>
      <c r="M380">
        <v>0.17</v>
      </c>
      <c r="N380">
        <v>0.17</v>
      </c>
      <c r="O380">
        <v>0</v>
      </c>
      <c r="P380">
        <v>0</v>
      </c>
      <c r="Q380" t="s">
        <v>108</v>
      </c>
    </row>
    <row r="381" spans="1:17">
      <c r="A381" t="s">
        <v>93</v>
      </c>
      <c r="B381" t="s">
        <v>106</v>
      </c>
      <c r="C381" t="s">
        <v>56</v>
      </c>
      <c r="D381" t="s">
        <v>164</v>
      </c>
      <c r="E381">
        <v>4</v>
      </c>
      <c r="F381" t="str">
        <f>VLOOKUP(E381,[1]LOJA!$A:$B,2,0)</f>
        <v>ADE</v>
      </c>
      <c r="G381" t="s">
        <v>19</v>
      </c>
      <c r="H381" t="s">
        <v>19</v>
      </c>
      <c r="I381" s="1">
        <v>46029</v>
      </c>
      <c r="J381" s="1">
        <v>46029</v>
      </c>
      <c r="K381" s="1">
        <v>46029</v>
      </c>
      <c r="L381">
        <v>30</v>
      </c>
      <c r="M381">
        <v>0.55000000000000004</v>
      </c>
      <c r="N381">
        <v>0.55000000000000004</v>
      </c>
      <c r="O381">
        <v>0</v>
      </c>
      <c r="P381">
        <v>0</v>
      </c>
      <c r="Q381" t="s">
        <v>108</v>
      </c>
    </row>
    <row r="382" spans="1:17">
      <c r="A382" t="s">
        <v>93</v>
      </c>
      <c r="B382" t="s">
        <v>106</v>
      </c>
      <c r="C382" t="s">
        <v>56</v>
      </c>
      <c r="D382" t="s">
        <v>165</v>
      </c>
      <c r="E382">
        <v>4</v>
      </c>
      <c r="F382" t="str">
        <f>VLOOKUP(E382,[1]LOJA!$A:$B,2,0)</f>
        <v>ADE</v>
      </c>
      <c r="G382" t="s">
        <v>19</v>
      </c>
      <c r="H382" t="s">
        <v>19</v>
      </c>
      <c r="I382" s="1">
        <v>46029</v>
      </c>
      <c r="J382" s="1">
        <v>46029</v>
      </c>
      <c r="K382" s="1">
        <v>46029</v>
      </c>
      <c r="L382">
        <v>30</v>
      </c>
      <c r="M382">
        <v>1.37</v>
      </c>
      <c r="N382">
        <v>1.37</v>
      </c>
      <c r="O382">
        <v>0</v>
      </c>
      <c r="P382">
        <v>0</v>
      </c>
      <c r="Q382" t="s">
        <v>108</v>
      </c>
    </row>
    <row r="383" spans="1:17">
      <c r="A383" t="s">
        <v>93</v>
      </c>
      <c r="B383" t="s">
        <v>106</v>
      </c>
      <c r="C383" t="s">
        <v>56</v>
      </c>
      <c r="D383" t="s">
        <v>166</v>
      </c>
      <c r="E383">
        <v>4</v>
      </c>
      <c r="F383" t="str">
        <f>VLOOKUP(E383,[1]LOJA!$A:$B,2,0)</f>
        <v>ADE</v>
      </c>
      <c r="G383" t="s">
        <v>19</v>
      </c>
      <c r="H383" t="s">
        <v>19</v>
      </c>
      <c r="I383" s="1">
        <v>46029</v>
      </c>
      <c r="J383" s="1">
        <v>46029</v>
      </c>
      <c r="K383" s="1">
        <v>46029</v>
      </c>
      <c r="L383">
        <v>30</v>
      </c>
      <c r="M383">
        <v>0.84</v>
      </c>
      <c r="N383">
        <v>0.84</v>
      </c>
      <c r="O383">
        <v>0</v>
      </c>
      <c r="P383">
        <v>0</v>
      </c>
      <c r="Q383" t="s">
        <v>108</v>
      </c>
    </row>
    <row r="384" spans="1:17">
      <c r="A384" t="s">
        <v>93</v>
      </c>
      <c r="B384" t="s">
        <v>106</v>
      </c>
      <c r="C384" t="s">
        <v>56</v>
      </c>
      <c r="D384" t="s">
        <v>167</v>
      </c>
      <c r="E384">
        <v>4</v>
      </c>
      <c r="F384" t="str">
        <f>VLOOKUP(E384,[1]LOJA!$A:$B,2,0)</f>
        <v>ADE</v>
      </c>
      <c r="G384" t="s">
        <v>19</v>
      </c>
      <c r="H384" t="s">
        <v>19</v>
      </c>
      <c r="I384" s="1">
        <v>46030</v>
      </c>
      <c r="J384" s="1">
        <v>46030</v>
      </c>
      <c r="K384" s="1">
        <v>46030</v>
      </c>
      <c r="L384">
        <v>30</v>
      </c>
      <c r="M384">
        <v>7.88</v>
      </c>
      <c r="N384">
        <v>7.88</v>
      </c>
      <c r="O384">
        <v>0</v>
      </c>
      <c r="P384">
        <v>0</v>
      </c>
      <c r="Q384" t="s">
        <v>108</v>
      </c>
    </row>
    <row r="385" spans="1:17">
      <c r="A385" t="s">
        <v>93</v>
      </c>
      <c r="B385" t="s">
        <v>106</v>
      </c>
      <c r="C385" t="s">
        <v>56</v>
      </c>
      <c r="D385" t="s">
        <v>168</v>
      </c>
      <c r="E385">
        <v>4</v>
      </c>
      <c r="F385" t="str">
        <f>VLOOKUP(E385,[1]LOJA!$A:$B,2,0)</f>
        <v>ADE</v>
      </c>
      <c r="G385" t="s">
        <v>19</v>
      </c>
      <c r="H385" t="s">
        <v>19</v>
      </c>
      <c r="I385" s="1">
        <v>46030</v>
      </c>
      <c r="J385" s="1">
        <v>46030</v>
      </c>
      <c r="K385" s="1">
        <v>46030</v>
      </c>
      <c r="L385">
        <v>30</v>
      </c>
      <c r="M385">
        <v>1.01</v>
      </c>
      <c r="N385">
        <v>1.01</v>
      </c>
      <c r="O385">
        <v>0</v>
      </c>
      <c r="P385">
        <v>0</v>
      </c>
      <c r="Q385" t="s">
        <v>108</v>
      </c>
    </row>
    <row r="386" spans="1:17">
      <c r="A386" t="s">
        <v>93</v>
      </c>
      <c r="B386" t="s">
        <v>106</v>
      </c>
      <c r="C386" t="s">
        <v>56</v>
      </c>
      <c r="D386" t="s">
        <v>169</v>
      </c>
      <c r="E386">
        <v>4</v>
      </c>
      <c r="F386" t="str">
        <f>VLOOKUP(E386,[1]LOJA!$A:$B,2,0)</f>
        <v>ADE</v>
      </c>
      <c r="G386" t="s">
        <v>19</v>
      </c>
      <c r="H386" t="s">
        <v>19</v>
      </c>
      <c r="I386" s="1">
        <v>46030</v>
      </c>
      <c r="J386" s="1">
        <v>46030</v>
      </c>
      <c r="K386" s="1">
        <v>46030</v>
      </c>
      <c r="L386">
        <v>30</v>
      </c>
      <c r="M386">
        <v>0.96</v>
      </c>
      <c r="N386">
        <v>0.96</v>
      </c>
      <c r="O386">
        <v>0</v>
      </c>
      <c r="P386">
        <v>0</v>
      </c>
      <c r="Q386" t="s">
        <v>108</v>
      </c>
    </row>
    <row r="387" spans="1:17">
      <c r="A387" t="s">
        <v>93</v>
      </c>
      <c r="B387" t="s">
        <v>106</v>
      </c>
      <c r="C387" t="s">
        <v>56</v>
      </c>
      <c r="D387" t="s">
        <v>170</v>
      </c>
      <c r="E387">
        <v>4</v>
      </c>
      <c r="F387" t="str">
        <f>VLOOKUP(E387,[1]LOJA!$A:$B,2,0)</f>
        <v>ADE</v>
      </c>
      <c r="G387" t="s">
        <v>19</v>
      </c>
      <c r="H387" t="s">
        <v>19</v>
      </c>
      <c r="I387" s="1">
        <v>46030</v>
      </c>
      <c r="J387" s="1">
        <v>46030</v>
      </c>
      <c r="K387" s="1">
        <v>46030</v>
      </c>
      <c r="L387">
        <v>30</v>
      </c>
      <c r="M387">
        <v>1.1499999999999999</v>
      </c>
      <c r="N387">
        <v>1.1499999999999999</v>
      </c>
      <c r="O387">
        <v>0</v>
      </c>
      <c r="P387">
        <v>0</v>
      </c>
      <c r="Q387" t="s">
        <v>108</v>
      </c>
    </row>
    <row r="388" spans="1:17">
      <c r="A388" t="s">
        <v>93</v>
      </c>
      <c r="B388" t="s">
        <v>106</v>
      </c>
      <c r="C388" t="s">
        <v>56</v>
      </c>
      <c r="D388" t="s">
        <v>171</v>
      </c>
      <c r="E388">
        <v>4</v>
      </c>
      <c r="F388" t="str">
        <f>VLOOKUP(E388,[1]LOJA!$A:$B,2,0)</f>
        <v>ADE</v>
      </c>
      <c r="G388" t="s">
        <v>19</v>
      </c>
      <c r="H388" t="s">
        <v>19</v>
      </c>
      <c r="I388" s="1">
        <v>46030</v>
      </c>
      <c r="J388" s="1">
        <v>46030</v>
      </c>
      <c r="K388" s="1">
        <v>46030</v>
      </c>
      <c r="L388">
        <v>30</v>
      </c>
      <c r="M388">
        <v>0.19</v>
      </c>
      <c r="N388">
        <v>0.19</v>
      </c>
      <c r="O388">
        <v>0</v>
      </c>
      <c r="P388">
        <v>0</v>
      </c>
      <c r="Q388" t="s">
        <v>108</v>
      </c>
    </row>
    <row r="389" spans="1:17">
      <c r="A389" t="s">
        <v>93</v>
      </c>
      <c r="B389" t="s">
        <v>106</v>
      </c>
      <c r="C389" t="s">
        <v>56</v>
      </c>
      <c r="D389" t="s">
        <v>172</v>
      </c>
      <c r="E389">
        <v>4</v>
      </c>
      <c r="F389" t="str">
        <f>VLOOKUP(E389,[1]LOJA!$A:$B,2,0)</f>
        <v>ADE</v>
      </c>
      <c r="G389" t="s">
        <v>19</v>
      </c>
      <c r="H389" t="s">
        <v>19</v>
      </c>
      <c r="I389" s="1">
        <v>46030</v>
      </c>
      <c r="J389" s="1">
        <v>46030</v>
      </c>
      <c r="K389" s="1">
        <v>46030</v>
      </c>
      <c r="L389">
        <v>30</v>
      </c>
      <c r="M389">
        <v>0.2</v>
      </c>
      <c r="N389">
        <v>0.2</v>
      </c>
      <c r="O389">
        <v>0</v>
      </c>
      <c r="P389">
        <v>0</v>
      </c>
      <c r="Q389" t="s">
        <v>108</v>
      </c>
    </row>
    <row r="390" spans="1:17">
      <c r="A390" t="s">
        <v>93</v>
      </c>
      <c r="B390" t="s">
        <v>106</v>
      </c>
      <c r="C390" t="s">
        <v>56</v>
      </c>
      <c r="D390" t="s">
        <v>173</v>
      </c>
      <c r="E390">
        <v>4</v>
      </c>
      <c r="F390" t="str">
        <f>VLOOKUP(E390,[1]LOJA!$A:$B,2,0)</f>
        <v>ADE</v>
      </c>
      <c r="G390" t="s">
        <v>19</v>
      </c>
      <c r="H390" t="s">
        <v>19</v>
      </c>
      <c r="I390" s="1">
        <v>46030</v>
      </c>
      <c r="J390" s="1">
        <v>46030</v>
      </c>
      <c r="K390" s="1">
        <v>46030</v>
      </c>
      <c r="L390">
        <v>30</v>
      </c>
      <c r="M390">
        <v>1.97</v>
      </c>
      <c r="N390">
        <v>1.97</v>
      </c>
      <c r="O390">
        <v>0</v>
      </c>
      <c r="P390">
        <v>0</v>
      </c>
      <c r="Q390" t="s">
        <v>108</v>
      </c>
    </row>
    <row r="391" spans="1:17">
      <c r="A391" t="s">
        <v>93</v>
      </c>
      <c r="B391" t="s">
        <v>106</v>
      </c>
      <c r="C391" t="s">
        <v>56</v>
      </c>
      <c r="D391" t="s">
        <v>174</v>
      </c>
      <c r="E391">
        <v>4</v>
      </c>
      <c r="F391" t="str">
        <f>VLOOKUP(E391,[1]LOJA!$A:$B,2,0)</f>
        <v>ADE</v>
      </c>
      <c r="G391" t="s">
        <v>19</v>
      </c>
      <c r="H391" t="s">
        <v>19</v>
      </c>
      <c r="I391" s="1">
        <v>46030</v>
      </c>
      <c r="J391" s="1">
        <v>46030</v>
      </c>
      <c r="K391" s="1">
        <v>46030</v>
      </c>
      <c r="L391">
        <v>30</v>
      </c>
      <c r="M391">
        <v>0.39</v>
      </c>
      <c r="N391">
        <v>0.39</v>
      </c>
      <c r="O391">
        <v>0</v>
      </c>
      <c r="P391">
        <v>0</v>
      </c>
      <c r="Q391" t="s">
        <v>108</v>
      </c>
    </row>
    <row r="392" spans="1:17">
      <c r="A392" t="s">
        <v>93</v>
      </c>
      <c r="B392" t="s">
        <v>106</v>
      </c>
      <c r="C392" t="s">
        <v>56</v>
      </c>
      <c r="D392" t="s">
        <v>175</v>
      </c>
      <c r="E392">
        <v>4</v>
      </c>
      <c r="F392" t="str">
        <f>VLOOKUP(E392,[1]LOJA!$A:$B,2,0)</f>
        <v>ADE</v>
      </c>
      <c r="G392" t="s">
        <v>19</v>
      </c>
      <c r="H392" t="s">
        <v>19</v>
      </c>
      <c r="I392" s="1">
        <v>46031</v>
      </c>
      <c r="J392" s="1">
        <v>46031</v>
      </c>
      <c r="K392" s="1">
        <v>46031</v>
      </c>
      <c r="L392">
        <v>30</v>
      </c>
      <c r="M392">
        <v>6.43</v>
      </c>
      <c r="N392">
        <v>6.43</v>
      </c>
      <c r="O392">
        <v>0</v>
      </c>
      <c r="P392">
        <v>0</v>
      </c>
      <c r="Q392" t="s">
        <v>108</v>
      </c>
    </row>
    <row r="393" spans="1:17">
      <c r="A393" t="s">
        <v>93</v>
      </c>
      <c r="B393" t="s">
        <v>106</v>
      </c>
      <c r="C393" t="s">
        <v>56</v>
      </c>
      <c r="D393" t="s">
        <v>176</v>
      </c>
      <c r="E393">
        <v>4</v>
      </c>
      <c r="F393" t="str">
        <f>VLOOKUP(E393,[1]LOJA!$A:$B,2,0)</f>
        <v>ADE</v>
      </c>
      <c r="G393" t="s">
        <v>19</v>
      </c>
      <c r="H393" t="s">
        <v>19</v>
      </c>
      <c r="I393" s="1">
        <v>46031</v>
      </c>
      <c r="J393" s="1">
        <v>46031</v>
      </c>
      <c r="K393" s="1">
        <v>46031</v>
      </c>
      <c r="L393">
        <v>30</v>
      </c>
      <c r="M393">
        <v>1.31</v>
      </c>
      <c r="N393">
        <v>1.31</v>
      </c>
      <c r="O393">
        <v>0</v>
      </c>
      <c r="P393">
        <v>0</v>
      </c>
      <c r="Q393" t="s">
        <v>108</v>
      </c>
    </row>
    <row r="394" spans="1:17">
      <c r="A394" t="s">
        <v>93</v>
      </c>
      <c r="B394" t="s">
        <v>106</v>
      </c>
      <c r="C394" t="s">
        <v>56</v>
      </c>
      <c r="D394" t="s">
        <v>177</v>
      </c>
      <c r="E394">
        <v>4</v>
      </c>
      <c r="F394" t="str">
        <f>VLOOKUP(E394,[1]LOJA!$A:$B,2,0)</f>
        <v>ADE</v>
      </c>
      <c r="G394" t="s">
        <v>19</v>
      </c>
      <c r="H394" t="s">
        <v>19</v>
      </c>
      <c r="I394" s="1">
        <v>46031</v>
      </c>
      <c r="J394" s="1">
        <v>46031</v>
      </c>
      <c r="K394" s="1">
        <v>46031</v>
      </c>
      <c r="L394">
        <v>30</v>
      </c>
      <c r="M394">
        <v>1.6</v>
      </c>
      <c r="N394">
        <v>1.6</v>
      </c>
      <c r="O394">
        <v>0</v>
      </c>
      <c r="P394">
        <v>0</v>
      </c>
      <c r="Q394" t="s">
        <v>108</v>
      </c>
    </row>
    <row r="395" spans="1:17">
      <c r="A395" t="s">
        <v>93</v>
      </c>
      <c r="B395" t="s">
        <v>106</v>
      </c>
      <c r="C395" t="s">
        <v>56</v>
      </c>
      <c r="D395" t="s">
        <v>178</v>
      </c>
      <c r="E395">
        <v>4</v>
      </c>
      <c r="F395" t="str">
        <f>VLOOKUP(E395,[1]LOJA!$A:$B,2,0)</f>
        <v>ADE</v>
      </c>
      <c r="G395" t="s">
        <v>19</v>
      </c>
      <c r="H395" t="s">
        <v>19</v>
      </c>
      <c r="I395" s="1">
        <v>46031</v>
      </c>
      <c r="J395" s="1">
        <v>46031</v>
      </c>
      <c r="K395" s="1">
        <v>46031</v>
      </c>
      <c r="L395">
        <v>30</v>
      </c>
      <c r="M395">
        <v>1.1599999999999999</v>
      </c>
      <c r="N395">
        <v>1.1599999999999999</v>
      </c>
      <c r="O395">
        <v>0</v>
      </c>
      <c r="P395">
        <v>0</v>
      </c>
      <c r="Q395" t="s">
        <v>108</v>
      </c>
    </row>
    <row r="396" spans="1:17">
      <c r="A396" t="s">
        <v>93</v>
      </c>
      <c r="B396" t="s">
        <v>106</v>
      </c>
      <c r="C396" t="s">
        <v>56</v>
      </c>
      <c r="D396" t="s">
        <v>179</v>
      </c>
      <c r="E396">
        <v>4</v>
      </c>
      <c r="F396" t="str">
        <f>VLOOKUP(E396,[1]LOJA!$A:$B,2,0)</f>
        <v>ADE</v>
      </c>
      <c r="G396" t="s">
        <v>19</v>
      </c>
      <c r="H396" t="s">
        <v>19</v>
      </c>
      <c r="I396" s="1">
        <v>46031</v>
      </c>
      <c r="J396" s="1">
        <v>46031</v>
      </c>
      <c r="K396" s="1">
        <v>46031</v>
      </c>
      <c r="L396">
        <v>30</v>
      </c>
      <c r="M396">
        <v>0.35</v>
      </c>
      <c r="N396">
        <v>0.35</v>
      </c>
      <c r="O396">
        <v>0</v>
      </c>
      <c r="P396">
        <v>0</v>
      </c>
      <c r="Q396" t="s">
        <v>108</v>
      </c>
    </row>
    <row r="397" spans="1:17">
      <c r="A397" t="s">
        <v>93</v>
      </c>
      <c r="B397" t="s">
        <v>106</v>
      </c>
      <c r="C397" t="s">
        <v>56</v>
      </c>
      <c r="D397" t="s">
        <v>180</v>
      </c>
      <c r="E397">
        <v>4</v>
      </c>
      <c r="F397" t="str">
        <f>VLOOKUP(E397,[1]LOJA!$A:$B,2,0)</f>
        <v>ADE</v>
      </c>
      <c r="G397" t="s">
        <v>19</v>
      </c>
      <c r="H397" t="s">
        <v>19</v>
      </c>
      <c r="I397" s="1">
        <v>46031</v>
      </c>
      <c r="J397" s="1">
        <v>46031</v>
      </c>
      <c r="K397" s="1">
        <v>46031</v>
      </c>
      <c r="L397">
        <v>30</v>
      </c>
      <c r="M397">
        <v>0.09</v>
      </c>
      <c r="N397">
        <v>0.09</v>
      </c>
      <c r="O397">
        <v>0</v>
      </c>
      <c r="P397">
        <v>0</v>
      </c>
      <c r="Q397" t="s">
        <v>108</v>
      </c>
    </row>
    <row r="398" spans="1:17">
      <c r="A398" t="s">
        <v>93</v>
      </c>
      <c r="B398" t="s">
        <v>106</v>
      </c>
      <c r="C398" t="s">
        <v>56</v>
      </c>
      <c r="D398" t="s">
        <v>181</v>
      </c>
      <c r="E398">
        <v>4</v>
      </c>
      <c r="F398" t="str">
        <f>VLOOKUP(E398,[1]LOJA!$A:$B,2,0)</f>
        <v>ADE</v>
      </c>
      <c r="G398" t="s">
        <v>19</v>
      </c>
      <c r="H398" t="s">
        <v>19</v>
      </c>
      <c r="I398" s="1">
        <v>46031</v>
      </c>
      <c r="J398" s="1">
        <v>46031</v>
      </c>
      <c r="K398" s="1">
        <v>46031</v>
      </c>
      <c r="L398">
        <v>30</v>
      </c>
      <c r="M398">
        <v>0.28999999999999998</v>
      </c>
      <c r="N398">
        <v>0.28999999999999998</v>
      </c>
      <c r="O398">
        <v>0</v>
      </c>
      <c r="P398">
        <v>0</v>
      </c>
      <c r="Q398" t="s">
        <v>108</v>
      </c>
    </row>
    <row r="399" spans="1:17">
      <c r="A399" t="s">
        <v>93</v>
      </c>
      <c r="B399" t="s">
        <v>106</v>
      </c>
      <c r="C399" t="s">
        <v>56</v>
      </c>
      <c r="D399" t="s">
        <v>182</v>
      </c>
      <c r="E399">
        <v>4</v>
      </c>
      <c r="F399" t="str">
        <f>VLOOKUP(E399,[1]LOJA!$A:$B,2,0)</f>
        <v>ADE</v>
      </c>
      <c r="G399" t="s">
        <v>19</v>
      </c>
      <c r="H399" t="s">
        <v>19</v>
      </c>
      <c r="I399" s="1">
        <v>46031</v>
      </c>
      <c r="J399" s="1">
        <v>46031</v>
      </c>
      <c r="K399" s="1">
        <v>46031</v>
      </c>
      <c r="L399">
        <v>30</v>
      </c>
      <c r="M399">
        <v>4.3600000000000003</v>
      </c>
      <c r="N399">
        <v>4.3600000000000003</v>
      </c>
      <c r="O399">
        <v>0</v>
      </c>
      <c r="P399">
        <v>0</v>
      </c>
      <c r="Q399" t="s">
        <v>108</v>
      </c>
    </row>
    <row r="400" spans="1:17">
      <c r="A400" t="s">
        <v>93</v>
      </c>
      <c r="B400" t="s">
        <v>106</v>
      </c>
      <c r="C400" t="s">
        <v>56</v>
      </c>
      <c r="D400" t="s">
        <v>183</v>
      </c>
      <c r="E400">
        <v>4</v>
      </c>
      <c r="F400" t="str">
        <f>VLOOKUP(E400,[1]LOJA!$A:$B,2,0)</f>
        <v>ADE</v>
      </c>
      <c r="G400" t="s">
        <v>19</v>
      </c>
      <c r="H400" t="s">
        <v>19</v>
      </c>
      <c r="I400" s="1">
        <v>46031</v>
      </c>
      <c r="J400" s="1">
        <v>46031</v>
      </c>
      <c r="K400" s="1">
        <v>46031</v>
      </c>
      <c r="L400">
        <v>30</v>
      </c>
      <c r="M400">
        <v>0.34</v>
      </c>
      <c r="N400">
        <v>0.34</v>
      </c>
      <c r="O400">
        <v>0</v>
      </c>
      <c r="P400">
        <v>0</v>
      </c>
      <c r="Q400" t="s">
        <v>108</v>
      </c>
    </row>
    <row r="401" spans="1:17">
      <c r="A401" t="s">
        <v>93</v>
      </c>
      <c r="B401" t="s">
        <v>106</v>
      </c>
      <c r="C401" t="s">
        <v>56</v>
      </c>
      <c r="D401" t="s">
        <v>184</v>
      </c>
      <c r="E401">
        <v>4</v>
      </c>
      <c r="F401" t="str">
        <f>VLOOKUP(E401,[1]LOJA!$A:$B,2,0)</f>
        <v>ADE</v>
      </c>
      <c r="G401" t="s">
        <v>19</v>
      </c>
      <c r="H401" t="s">
        <v>19</v>
      </c>
      <c r="I401" s="1">
        <v>46031</v>
      </c>
      <c r="J401" s="1">
        <v>46031</v>
      </c>
      <c r="K401" s="1">
        <v>46031</v>
      </c>
      <c r="L401">
        <v>30</v>
      </c>
      <c r="M401">
        <v>0.17</v>
      </c>
      <c r="N401">
        <v>0.17</v>
      </c>
      <c r="O401">
        <v>0</v>
      </c>
      <c r="P401">
        <v>0</v>
      </c>
      <c r="Q401" t="s">
        <v>108</v>
      </c>
    </row>
    <row r="402" spans="1:17">
      <c r="A402" t="s">
        <v>93</v>
      </c>
      <c r="B402" t="s">
        <v>106</v>
      </c>
      <c r="C402" t="s">
        <v>56</v>
      </c>
      <c r="D402" t="s">
        <v>185</v>
      </c>
      <c r="E402">
        <v>4</v>
      </c>
      <c r="F402" t="str">
        <f>VLOOKUP(E402,[1]LOJA!$A:$B,2,0)</f>
        <v>ADE</v>
      </c>
      <c r="G402" t="s">
        <v>19</v>
      </c>
      <c r="H402" t="s">
        <v>19</v>
      </c>
      <c r="I402" s="1">
        <v>46031</v>
      </c>
      <c r="J402" s="1">
        <v>46031</v>
      </c>
      <c r="K402" s="1">
        <v>46031</v>
      </c>
      <c r="L402">
        <v>30</v>
      </c>
      <c r="M402">
        <v>1.21</v>
      </c>
      <c r="N402">
        <v>1.21</v>
      </c>
      <c r="O402">
        <v>0</v>
      </c>
      <c r="P402">
        <v>0</v>
      </c>
      <c r="Q402" t="s">
        <v>108</v>
      </c>
    </row>
    <row r="403" spans="1:17">
      <c r="A403" t="s">
        <v>93</v>
      </c>
      <c r="B403" t="s">
        <v>106</v>
      </c>
      <c r="C403" t="s">
        <v>56</v>
      </c>
      <c r="D403" t="s">
        <v>186</v>
      </c>
      <c r="E403">
        <v>4</v>
      </c>
      <c r="F403" t="str">
        <f>VLOOKUP(E403,[1]LOJA!$A:$B,2,0)</f>
        <v>ADE</v>
      </c>
      <c r="G403" t="s">
        <v>19</v>
      </c>
      <c r="H403" t="s">
        <v>19</v>
      </c>
      <c r="I403" s="1">
        <v>46031</v>
      </c>
      <c r="J403" s="1">
        <v>46031</v>
      </c>
      <c r="K403" s="1">
        <v>46031</v>
      </c>
      <c r="L403">
        <v>30</v>
      </c>
      <c r="M403">
        <v>0.43</v>
      </c>
      <c r="N403">
        <v>0.43</v>
      </c>
      <c r="O403">
        <v>0</v>
      </c>
      <c r="P403">
        <v>0</v>
      </c>
      <c r="Q403" t="s">
        <v>108</v>
      </c>
    </row>
    <row r="404" spans="1:17">
      <c r="A404" t="s">
        <v>93</v>
      </c>
      <c r="B404" t="s">
        <v>106</v>
      </c>
      <c r="C404" t="s">
        <v>56</v>
      </c>
      <c r="D404" t="s">
        <v>187</v>
      </c>
      <c r="E404">
        <v>4</v>
      </c>
      <c r="F404" t="str">
        <f>VLOOKUP(E404,[1]LOJA!$A:$B,2,0)</f>
        <v>ADE</v>
      </c>
      <c r="G404" t="s">
        <v>19</v>
      </c>
      <c r="H404" t="s">
        <v>19</v>
      </c>
      <c r="I404" s="1">
        <v>46031</v>
      </c>
      <c r="J404" s="1">
        <v>46031</v>
      </c>
      <c r="K404" s="1">
        <v>46031</v>
      </c>
      <c r="L404">
        <v>30</v>
      </c>
      <c r="M404">
        <v>0.88</v>
      </c>
      <c r="N404">
        <v>0.88</v>
      </c>
      <c r="O404">
        <v>0</v>
      </c>
      <c r="P404">
        <v>0</v>
      </c>
      <c r="Q404" t="s">
        <v>108</v>
      </c>
    </row>
    <row r="405" spans="1:17">
      <c r="A405" t="s">
        <v>93</v>
      </c>
      <c r="B405" t="s">
        <v>106</v>
      </c>
      <c r="C405" t="s">
        <v>56</v>
      </c>
      <c r="D405" t="s">
        <v>188</v>
      </c>
      <c r="E405">
        <v>4</v>
      </c>
      <c r="F405" t="str">
        <f>VLOOKUP(E405,[1]LOJA!$A:$B,2,0)</f>
        <v>ADE</v>
      </c>
      <c r="G405" t="s">
        <v>19</v>
      </c>
      <c r="H405" t="s">
        <v>19</v>
      </c>
      <c r="I405" s="1">
        <v>46034</v>
      </c>
      <c r="J405" s="1">
        <v>46034</v>
      </c>
      <c r="K405" s="1">
        <v>46034</v>
      </c>
      <c r="L405">
        <v>30</v>
      </c>
      <c r="M405">
        <v>18.2</v>
      </c>
      <c r="N405">
        <v>18.2</v>
      </c>
      <c r="O405">
        <v>0</v>
      </c>
      <c r="P405">
        <v>0</v>
      </c>
      <c r="Q405" t="s">
        <v>108</v>
      </c>
    </row>
    <row r="406" spans="1:17">
      <c r="A406" t="s">
        <v>93</v>
      </c>
      <c r="B406" t="s">
        <v>106</v>
      </c>
      <c r="C406" t="s">
        <v>56</v>
      </c>
      <c r="D406" t="s">
        <v>189</v>
      </c>
      <c r="E406">
        <v>4</v>
      </c>
      <c r="F406" t="str">
        <f>VLOOKUP(E406,[1]LOJA!$A:$B,2,0)</f>
        <v>ADE</v>
      </c>
      <c r="G406" t="s">
        <v>19</v>
      </c>
      <c r="H406" t="s">
        <v>19</v>
      </c>
      <c r="I406" s="1">
        <v>46034</v>
      </c>
      <c r="J406" s="1">
        <v>46033</v>
      </c>
      <c r="K406" s="1">
        <v>46034</v>
      </c>
      <c r="L406">
        <v>30</v>
      </c>
      <c r="M406">
        <v>2.95</v>
      </c>
      <c r="N406">
        <v>2.95</v>
      </c>
      <c r="O406">
        <v>0</v>
      </c>
      <c r="P406">
        <v>0</v>
      </c>
      <c r="Q406" t="s">
        <v>108</v>
      </c>
    </row>
    <row r="407" spans="1:17">
      <c r="A407" t="s">
        <v>93</v>
      </c>
      <c r="B407" t="s">
        <v>106</v>
      </c>
      <c r="C407" t="s">
        <v>56</v>
      </c>
      <c r="D407" t="s">
        <v>190</v>
      </c>
      <c r="E407">
        <v>4</v>
      </c>
      <c r="F407" t="str">
        <f>VLOOKUP(E407,[1]LOJA!$A:$B,2,0)</f>
        <v>ADE</v>
      </c>
      <c r="G407" t="s">
        <v>19</v>
      </c>
      <c r="H407" t="s">
        <v>19</v>
      </c>
      <c r="I407" s="1">
        <v>46034</v>
      </c>
      <c r="J407" s="1">
        <v>46033</v>
      </c>
      <c r="K407" s="1">
        <v>46034</v>
      </c>
      <c r="L407">
        <v>30</v>
      </c>
      <c r="M407">
        <v>8.2100000000000009</v>
      </c>
      <c r="N407">
        <v>8.2100000000000009</v>
      </c>
      <c r="O407">
        <v>0</v>
      </c>
      <c r="P407">
        <v>0</v>
      </c>
      <c r="Q407" t="s">
        <v>108</v>
      </c>
    </row>
    <row r="408" spans="1:17">
      <c r="A408" t="s">
        <v>93</v>
      </c>
      <c r="B408" t="s">
        <v>106</v>
      </c>
      <c r="C408" t="s">
        <v>56</v>
      </c>
      <c r="D408" t="s">
        <v>191</v>
      </c>
      <c r="E408">
        <v>4</v>
      </c>
      <c r="F408" t="str">
        <f>VLOOKUP(E408,[1]LOJA!$A:$B,2,0)</f>
        <v>ADE</v>
      </c>
      <c r="G408" t="s">
        <v>19</v>
      </c>
      <c r="H408" t="s">
        <v>19</v>
      </c>
      <c r="I408" s="1">
        <v>46034</v>
      </c>
      <c r="J408" s="1">
        <v>46034</v>
      </c>
      <c r="K408" s="1">
        <v>46034</v>
      </c>
      <c r="L408">
        <v>30</v>
      </c>
      <c r="M408">
        <v>4.74</v>
      </c>
      <c r="N408">
        <v>4.74</v>
      </c>
      <c r="O408">
        <v>0</v>
      </c>
      <c r="P408">
        <v>0</v>
      </c>
      <c r="Q408" t="s">
        <v>108</v>
      </c>
    </row>
    <row r="409" spans="1:17">
      <c r="A409" t="s">
        <v>93</v>
      </c>
      <c r="B409" t="s">
        <v>106</v>
      </c>
      <c r="C409" t="s">
        <v>56</v>
      </c>
      <c r="D409" t="s">
        <v>192</v>
      </c>
      <c r="E409">
        <v>4</v>
      </c>
      <c r="F409" t="str">
        <f>VLOOKUP(E409,[1]LOJA!$A:$B,2,0)</f>
        <v>ADE</v>
      </c>
      <c r="G409" t="s">
        <v>19</v>
      </c>
      <c r="H409" t="s">
        <v>19</v>
      </c>
      <c r="I409" s="1">
        <v>46034</v>
      </c>
      <c r="J409" s="1">
        <v>46034</v>
      </c>
      <c r="K409" s="1">
        <v>46034</v>
      </c>
      <c r="L409">
        <v>30</v>
      </c>
      <c r="M409">
        <v>3.41</v>
      </c>
      <c r="N409">
        <v>3.41</v>
      </c>
      <c r="O409">
        <v>0</v>
      </c>
      <c r="P409">
        <v>0</v>
      </c>
      <c r="Q409" t="s">
        <v>108</v>
      </c>
    </row>
    <row r="410" spans="1:17">
      <c r="A410" t="s">
        <v>93</v>
      </c>
      <c r="B410" t="s">
        <v>106</v>
      </c>
      <c r="C410" t="s">
        <v>56</v>
      </c>
      <c r="D410" t="s">
        <v>193</v>
      </c>
      <c r="E410">
        <v>4</v>
      </c>
      <c r="F410" t="str">
        <f>VLOOKUP(E410,[1]LOJA!$A:$B,2,0)</f>
        <v>ADE</v>
      </c>
      <c r="G410" t="s">
        <v>19</v>
      </c>
      <c r="H410" t="s">
        <v>19</v>
      </c>
      <c r="I410" s="1">
        <v>46034</v>
      </c>
      <c r="J410" s="1">
        <v>46032</v>
      </c>
      <c r="K410" s="1">
        <v>46034</v>
      </c>
      <c r="L410">
        <v>30</v>
      </c>
      <c r="M410">
        <v>4.07</v>
      </c>
      <c r="N410">
        <v>4.07</v>
      </c>
      <c r="O410">
        <v>0</v>
      </c>
      <c r="P410">
        <v>0</v>
      </c>
      <c r="Q410" t="s">
        <v>108</v>
      </c>
    </row>
    <row r="411" spans="1:17">
      <c r="A411" t="s">
        <v>93</v>
      </c>
      <c r="B411" t="s">
        <v>106</v>
      </c>
      <c r="C411" t="s">
        <v>56</v>
      </c>
      <c r="D411" t="s">
        <v>194</v>
      </c>
      <c r="E411">
        <v>4</v>
      </c>
      <c r="F411" t="str">
        <f>VLOOKUP(E411,[1]LOJA!$A:$B,2,0)</f>
        <v>ADE</v>
      </c>
      <c r="G411" t="s">
        <v>19</v>
      </c>
      <c r="H411" t="s">
        <v>19</v>
      </c>
      <c r="I411" s="1">
        <v>46034</v>
      </c>
      <c r="J411" s="1">
        <v>46032</v>
      </c>
      <c r="K411" s="1">
        <v>46034</v>
      </c>
      <c r="L411">
        <v>30</v>
      </c>
      <c r="M411">
        <v>2.99</v>
      </c>
      <c r="N411">
        <v>2.99</v>
      </c>
      <c r="O411">
        <v>0</v>
      </c>
      <c r="P411">
        <v>0</v>
      </c>
      <c r="Q411" t="s">
        <v>108</v>
      </c>
    </row>
    <row r="412" spans="1:17">
      <c r="A412" t="s">
        <v>93</v>
      </c>
      <c r="B412" t="s">
        <v>106</v>
      </c>
      <c r="C412" t="s">
        <v>56</v>
      </c>
      <c r="D412" t="s">
        <v>195</v>
      </c>
      <c r="E412">
        <v>4</v>
      </c>
      <c r="F412" t="str">
        <f>VLOOKUP(E412,[1]LOJA!$A:$B,2,0)</f>
        <v>ADE</v>
      </c>
      <c r="G412" t="s">
        <v>19</v>
      </c>
      <c r="H412" t="s">
        <v>19</v>
      </c>
      <c r="I412" s="1">
        <v>46034</v>
      </c>
      <c r="J412" s="1">
        <v>46032</v>
      </c>
      <c r="K412" s="1">
        <v>46034</v>
      </c>
      <c r="L412">
        <v>30</v>
      </c>
      <c r="M412">
        <v>1.75</v>
      </c>
      <c r="N412">
        <v>1.75</v>
      </c>
      <c r="O412">
        <v>0</v>
      </c>
      <c r="P412">
        <v>0</v>
      </c>
      <c r="Q412" t="s">
        <v>108</v>
      </c>
    </row>
    <row r="413" spans="1:17">
      <c r="A413" t="s">
        <v>93</v>
      </c>
      <c r="B413" t="s">
        <v>106</v>
      </c>
      <c r="C413" t="s">
        <v>56</v>
      </c>
      <c r="D413" t="s">
        <v>196</v>
      </c>
      <c r="E413">
        <v>4</v>
      </c>
      <c r="F413" t="str">
        <f>VLOOKUP(E413,[1]LOJA!$A:$B,2,0)</f>
        <v>ADE</v>
      </c>
      <c r="G413" t="s">
        <v>19</v>
      </c>
      <c r="H413" t="s">
        <v>19</v>
      </c>
      <c r="I413" s="1">
        <v>46034</v>
      </c>
      <c r="J413" s="1">
        <v>46033</v>
      </c>
      <c r="K413" s="1">
        <v>46034</v>
      </c>
      <c r="L413">
        <v>30</v>
      </c>
      <c r="M413">
        <v>2.91</v>
      </c>
      <c r="N413">
        <v>2.91</v>
      </c>
      <c r="O413">
        <v>0</v>
      </c>
      <c r="P413">
        <v>0</v>
      </c>
      <c r="Q413" t="s">
        <v>108</v>
      </c>
    </row>
    <row r="414" spans="1:17">
      <c r="A414" t="s">
        <v>93</v>
      </c>
      <c r="B414" t="s">
        <v>106</v>
      </c>
      <c r="C414" t="s">
        <v>56</v>
      </c>
      <c r="D414" t="s">
        <v>197</v>
      </c>
      <c r="E414">
        <v>4</v>
      </c>
      <c r="F414" t="str">
        <f>VLOOKUP(E414,[1]LOJA!$A:$B,2,0)</f>
        <v>ADE</v>
      </c>
      <c r="G414" t="s">
        <v>19</v>
      </c>
      <c r="H414" t="s">
        <v>19</v>
      </c>
      <c r="I414" s="1">
        <v>46034</v>
      </c>
      <c r="J414" s="1">
        <v>46034</v>
      </c>
      <c r="K414" s="1">
        <v>46034</v>
      </c>
      <c r="L414">
        <v>30</v>
      </c>
      <c r="M414">
        <v>2.06</v>
      </c>
      <c r="N414">
        <v>2.06</v>
      </c>
      <c r="O414">
        <v>0</v>
      </c>
      <c r="P414">
        <v>0</v>
      </c>
      <c r="Q414" t="s">
        <v>108</v>
      </c>
    </row>
    <row r="415" spans="1:17">
      <c r="A415" t="s">
        <v>93</v>
      </c>
      <c r="B415" t="s">
        <v>106</v>
      </c>
      <c r="C415" t="s">
        <v>56</v>
      </c>
      <c r="D415" t="s">
        <v>198</v>
      </c>
      <c r="E415">
        <v>4</v>
      </c>
      <c r="F415" t="str">
        <f>VLOOKUP(E415,[1]LOJA!$A:$B,2,0)</f>
        <v>ADE</v>
      </c>
      <c r="G415" t="s">
        <v>19</v>
      </c>
      <c r="H415" t="s">
        <v>19</v>
      </c>
      <c r="I415" s="1">
        <v>46034</v>
      </c>
      <c r="J415" s="1">
        <v>46034</v>
      </c>
      <c r="K415" s="1">
        <v>46034</v>
      </c>
      <c r="L415">
        <v>30</v>
      </c>
      <c r="M415">
        <v>4.46</v>
      </c>
      <c r="N415">
        <v>4.46</v>
      </c>
      <c r="O415">
        <v>0</v>
      </c>
      <c r="P415">
        <v>0</v>
      </c>
      <c r="Q415" t="s">
        <v>108</v>
      </c>
    </row>
    <row r="416" spans="1:17">
      <c r="A416" t="s">
        <v>93</v>
      </c>
      <c r="B416" t="s">
        <v>106</v>
      </c>
      <c r="C416" t="s">
        <v>56</v>
      </c>
      <c r="D416" t="s">
        <v>199</v>
      </c>
      <c r="E416">
        <v>4</v>
      </c>
      <c r="F416" t="str">
        <f>VLOOKUP(E416,[1]LOJA!$A:$B,2,0)</f>
        <v>ADE</v>
      </c>
      <c r="G416" t="s">
        <v>19</v>
      </c>
      <c r="H416" t="s">
        <v>19</v>
      </c>
      <c r="I416" s="1">
        <v>46034</v>
      </c>
      <c r="J416" s="1">
        <v>46034</v>
      </c>
      <c r="K416" s="1">
        <v>46034</v>
      </c>
      <c r="L416">
        <v>30</v>
      </c>
      <c r="M416">
        <v>1.84</v>
      </c>
      <c r="N416">
        <v>1.84</v>
      </c>
      <c r="O416">
        <v>0</v>
      </c>
      <c r="P416">
        <v>0</v>
      </c>
      <c r="Q416" t="s">
        <v>108</v>
      </c>
    </row>
    <row r="417" spans="1:17">
      <c r="A417" t="s">
        <v>93</v>
      </c>
      <c r="B417" t="s">
        <v>106</v>
      </c>
      <c r="C417" t="s">
        <v>56</v>
      </c>
      <c r="D417" t="s">
        <v>200</v>
      </c>
      <c r="E417">
        <v>4</v>
      </c>
      <c r="F417" t="str">
        <f>VLOOKUP(E417,[1]LOJA!$A:$B,2,0)</f>
        <v>ADE</v>
      </c>
      <c r="G417" t="s">
        <v>19</v>
      </c>
      <c r="H417" t="s">
        <v>19</v>
      </c>
      <c r="I417" s="1">
        <v>46034</v>
      </c>
      <c r="J417" s="1">
        <v>46034</v>
      </c>
      <c r="K417" s="1">
        <v>46034</v>
      </c>
      <c r="L417">
        <v>30</v>
      </c>
      <c r="M417">
        <v>1.47</v>
      </c>
      <c r="N417">
        <v>1.47</v>
      </c>
      <c r="O417">
        <v>0</v>
      </c>
      <c r="P417">
        <v>0</v>
      </c>
      <c r="Q417" t="s">
        <v>108</v>
      </c>
    </row>
    <row r="418" spans="1:17">
      <c r="A418" t="s">
        <v>93</v>
      </c>
      <c r="B418" t="s">
        <v>106</v>
      </c>
      <c r="C418" t="s">
        <v>56</v>
      </c>
      <c r="D418" t="s">
        <v>201</v>
      </c>
      <c r="E418">
        <v>4</v>
      </c>
      <c r="F418" t="str">
        <f>VLOOKUP(E418,[1]LOJA!$A:$B,2,0)</f>
        <v>ADE</v>
      </c>
      <c r="G418" t="s">
        <v>19</v>
      </c>
      <c r="H418" t="s">
        <v>19</v>
      </c>
      <c r="I418" s="1">
        <v>46034</v>
      </c>
      <c r="J418" s="1">
        <v>46032</v>
      </c>
      <c r="K418" s="1">
        <v>46034</v>
      </c>
      <c r="L418">
        <v>30</v>
      </c>
      <c r="M418">
        <v>0.42</v>
      </c>
      <c r="N418">
        <v>0.42</v>
      </c>
      <c r="O418">
        <v>0</v>
      </c>
      <c r="P418">
        <v>0</v>
      </c>
      <c r="Q418" t="s">
        <v>108</v>
      </c>
    </row>
    <row r="419" spans="1:17">
      <c r="A419" t="s">
        <v>93</v>
      </c>
      <c r="B419" t="s">
        <v>106</v>
      </c>
      <c r="C419" t="s">
        <v>56</v>
      </c>
      <c r="D419" t="s">
        <v>202</v>
      </c>
      <c r="E419">
        <v>4</v>
      </c>
      <c r="F419" t="str">
        <f>VLOOKUP(E419,[1]LOJA!$A:$B,2,0)</f>
        <v>ADE</v>
      </c>
      <c r="G419" t="s">
        <v>19</v>
      </c>
      <c r="H419" t="s">
        <v>19</v>
      </c>
      <c r="I419" s="1">
        <v>46034</v>
      </c>
      <c r="J419" s="1">
        <v>46032</v>
      </c>
      <c r="K419" s="1">
        <v>46034</v>
      </c>
      <c r="L419">
        <v>30</v>
      </c>
      <c r="M419">
        <v>0.42</v>
      </c>
      <c r="N419">
        <v>0.42</v>
      </c>
      <c r="O419">
        <v>0</v>
      </c>
      <c r="P419">
        <v>0</v>
      </c>
      <c r="Q419" t="s">
        <v>108</v>
      </c>
    </row>
    <row r="420" spans="1:17">
      <c r="A420" t="s">
        <v>93</v>
      </c>
      <c r="B420" t="s">
        <v>106</v>
      </c>
      <c r="C420" t="s">
        <v>56</v>
      </c>
      <c r="D420" t="s">
        <v>203</v>
      </c>
      <c r="E420">
        <v>4</v>
      </c>
      <c r="F420" t="str">
        <f>VLOOKUP(E420,[1]LOJA!$A:$B,2,0)</f>
        <v>ADE</v>
      </c>
      <c r="G420" t="s">
        <v>19</v>
      </c>
      <c r="H420" t="s">
        <v>19</v>
      </c>
      <c r="I420" s="1">
        <v>46034</v>
      </c>
      <c r="J420" s="1">
        <v>46032</v>
      </c>
      <c r="K420" s="1">
        <v>46034</v>
      </c>
      <c r="L420">
        <v>30</v>
      </c>
      <c r="M420">
        <v>0.4</v>
      </c>
      <c r="N420">
        <v>0.4</v>
      </c>
      <c r="O420">
        <v>0</v>
      </c>
      <c r="P420">
        <v>0</v>
      </c>
      <c r="Q420" t="s">
        <v>108</v>
      </c>
    </row>
    <row r="421" spans="1:17">
      <c r="A421" t="s">
        <v>93</v>
      </c>
      <c r="B421" t="s">
        <v>106</v>
      </c>
      <c r="C421" t="s">
        <v>56</v>
      </c>
      <c r="D421" t="s">
        <v>204</v>
      </c>
      <c r="E421">
        <v>4</v>
      </c>
      <c r="F421" t="str">
        <f>VLOOKUP(E421,[1]LOJA!$A:$B,2,0)</f>
        <v>ADE</v>
      </c>
      <c r="G421" t="s">
        <v>19</v>
      </c>
      <c r="H421" t="s">
        <v>19</v>
      </c>
      <c r="I421" s="1">
        <v>46034</v>
      </c>
      <c r="J421" s="1">
        <v>46032</v>
      </c>
      <c r="K421" s="1">
        <v>46034</v>
      </c>
      <c r="L421">
        <v>30</v>
      </c>
      <c r="M421">
        <v>0.16</v>
      </c>
      <c r="N421">
        <v>0.16</v>
      </c>
      <c r="O421">
        <v>0</v>
      </c>
      <c r="P421">
        <v>0</v>
      </c>
      <c r="Q421" t="s">
        <v>108</v>
      </c>
    </row>
    <row r="422" spans="1:17">
      <c r="A422" t="s">
        <v>93</v>
      </c>
      <c r="B422" t="s">
        <v>106</v>
      </c>
      <c r="C422" t="s">
        <v>56</v>
      </c>
      <c r="D422" t="s">
        <v>205</v>
      </c>
      <c r="E422">
        <v>4</v>
      </c>
      <c r="F422" t="str">
        <f>VLOOKUP(E422,[1]LOJA!$A:$B,2,0)</f>
        <v>ADE</v>
      </c>
      <c r="G422" t="s">
        <v>19</v>
      </c>
      <c r="H422" t="s">
        <v>19</v>
      </c>
      <c r="I422" s="1">
        <v>46034</v>
      </c>
      <c r="J422" s="1">
        <v>46032</v>
      </c>
      <c r="K422" s="1">
        <v>46034</v>
      </c>
      <c r="L422">
        <v>30</v>
      </c>
      <c r="M422">
        <v>0.37</v>
      </c>
      <c r="N422">
        <v>0.37</v>
      </c>
      <c r="O422">
        <v>0</v>
      </c>
      <c r="P422">
        <v>0</v>
      </c>
      <c r="Q422" t="s">
        <v>108</v>
      </c>
    </row>
    <row r="423" spans="1:17">
      <c r="A423" t="s">
        <v>93</v>
      </c>
      <c r="B423" t="s">
        <v>106</v>
      </c>
      <c r="C423" t="s">
        <v>56</v>
      </c>
      <c r="D423" t="s">
        <v>206</v>
      </c>
      <c r="E423">
        <v>4</v>
      </c>
      <c r="F423" t="str">
        <f>VLOOKUP(E423,[1]LOJA!$A:$B,2,0)</f>
        <v>ADE</v>
      </c>
      <c r="G423" t="s">
        <v>19</v>
      </c>
      <c r="H423" t="s">
        <v>19</v>
      </c>
      <c r="I423" s="1">
        <v>46034</v>
      </c>
      <c r="J423" s="1">
        <v>46033</v>
      </c>
      <c r="K423" s="1">
        <v>46034</v>
      </c>
      <c r="L423">
        <v>30</v>
      </c>
      <c r="M423">
        <v>1.27</v>
      </c>
      <c r="N423">
        <v>1.27</v>
      </c>
      <c r="O423">
        <v>0</v>
      </c>
      <c r="P423">
        <v>0</v>
      </c>
      <c r="Q423" t="s">
        <v>108</v>
      </c>
    </row>
    <row r="424" spans="1:17">
      <c r="A424" t="s">
        <v>93</v>
      </c>
      <c r="B424" t="s">
        <v>106</v>
      </c>
      <c r="C424" t="s">
        <v>56</v>
      </c>
      <c r="D424" t="s">
        <v>207</v>
      </c>
      <c r="E424">
        <v>4</v>
      </c>
      <c r="F424" t="str">
        <f>VLOOKUP(E424,[1]LOJA!$A:$B,2,0)</f>
        <v>ADE</v>
      </c>
      <c r="G424" t="s">
        <v>19</v>
      </c>
      <c r="H424" t="s">
        <v>19</v>
      </c>
      <c r="I424" s="1">
        <v>46034</v>
      </c>
      <c r="J424" s="1">
        <v>46033</v>
      </c>
      <c r="K424" s="1">
        <v>46034</v>
      </c>
      <c r="L424">
        <v>30</v>
      </c>
      <c r="M424">
        <v>0.05</v>
      </c>
      <c r="N424">
        <v>0.05</v>
      </c>
      <c r="O424">
        <v>0</v>
      </c>
      <c r="P424">
        <v>0</v>
      </c>
      <c r="Q424" t="s">
        <v>108</v>
      </c>
    </row>
    <row r="425" spans="1:17">
      <c r="A425" t="s">
        <v>93</v>
      </c>
      <c r="B425" t="s">
        <v>106</v>
      </c>
      <c r="C425" t="s">
        <v>56</v>
      </c>
      <c r="D425" t="s">
        <v>208</v>
      </c>
      <c r="E425">
        <v>4</v>
      </c>
      <c r="F425" t="str">
        <f>VLOOKUP(E425,[1]LOJA!$A:$B,2,0)</f>
        <v>ADE</v>
      </c>
      <c r="G425" t="s">
        <v>19</v>
      </c>
      <c r="H425" t="s">
        <v>19</v>
      </c>
      <c r="I425" s="1">
        <v>46034</v>
      </c>
      <c r="J425" s="1">
        <v>46033</v>
      </c>
      <c r="K425" s="1">
        <v>46034</v>
      </c>
      <c r="L425">
        <v>30</v>
      </c>
      <c r="M425">
        <v>1.94</v>
      </c>
      <c r="N425">
        <v>1.94</v>
      </c>
      <c r="O425">
        <v>0</v>
      </c>
      <c r="P425">
        <v>0</v>
      </c>
      <c r="Q425" t="s">
        <v>108</v>
      </c>
    </row>
    <row r="426" spans="1:17">
      <c r="A426" t="s">
        <v>93</v>
      </c>
      <c r="B426" t="s">
        <v>106</v>
      </c>
      <c r="C426" t="s">
        <v>56</v>
      </c>
      <c r="D426" t="s">
        <v>209</v>
      </c>
      <c r="E426">
        <v>4</v>
      </c>
      <c r="F426" t="str">
        <f>VLOOKUP(E426,[1]LOJA!$A:$B,2,0)</f>
        <v>ADE</v>
      </c>
      <c r="G426" t="s">
        <v>19</v>
      </c>
      <c r="H426" t="s">
        <v>19</v>
      </c>
      <c r="I426" s="1">
        <v>46034</v>
      </c>
      <c r="J426" s="1">
        <v>46033</v>
      </c>
      <c r="K426" s="1">
        <v>46034</v>
      </c>
      <c r="L426">
        <v>30</v>
      </c>
      <c r="M426">
        <v>1.61</v>
      </c>
      <c r="N426">
        <v>1.61</v>
      </c>
      <c r="O426">
        <v>0</v>
      </c>
      <c r="P426">
        <v>0</v>
      </c>
      <c r="Q426" t="s">
        <v>108</v>
      </c>
    </row>
    <row r="427" spans="1:17">
      <c r="A427" t="s">
        <v>93</v>
      </c>
      <c r="B427" t="s">
        <v>106</v>
      </c>
      <c r="C427" t="s">
        <v>56</v>
      </c>
      <c r="D427" t="s">
        <v>210</v>
      </c>
      <c r="E427">
        <v>4</v>
      </c>
      <c r="F427" t="str">
        <f>VLOOKUP(E427,[1]LOJA!$A:$B,2,0)</f>
        <v>ADE</v>
      </c>
      <c r="G427" t="s">
        <v>19</v>
      </c>
      <c r="H427" t="s">
        <v>19</v>
      </c>
      <c r="I427" s="1">
        <v>46034</v>
      </c>
      <c r="J427" s="1">
        <v>46033</v>
      </c>
      <c r="K427" s="1">
        <v>46034</v>
      </c>
      <c r="L427">
        <v>30</v>
      </c>
      <c r="M427">
        <v>0.36</v>
      </c>
      <c r="N427">
        <v>0.36</v>
      </c>
      <c r="O427">
        <v>0</v>
      </c>
      <c r="P427">
        <v>0</v>
      </c>
      <c r="Q427" t="s">
        <v>108</v>
      </c>
    </row>
    <row r="428" spans="1:17">
      <c r="A428" t="s">
        <v>93</v>
      </c>
      <c r="B428" t="s">
        <v>106</v>
      </c>
      <c r="C428" t="s">
        <v>56</v>
      </c>
      <c r="D428" t="s">
        <v>211</v>
      </c>
      <c r="E428">
        <v>4</v>
      </c>
      <c r="F428" t="str">
        <f>VLOOKUP(E428,[1]LOJA!$A:$B,2,0)</f>
        <v>ADE</v>
      </c>
      <c r="G428" t="s">
        <v>19</v>
      </c>
      <c r="H428" t="s">
        <v>19</v>
      </c>
      <c r="I428" s="1">
        <v>46035</v>
      </c>
      <c r="J428" s="1">
        <v>46035</v>
      </c>
      <c r="K428" s="1">
        <v>46035</v>
      </c>
      <c r="L428">
        <v>30</v>
      </c>
      <c r="M428">
        <v>2.19</v>
      </c>
      <c r="N428">
        <v>2.19</v>
      </c>
      <c r="O428">
        <v>0</v>
      </c>
      <c r="P428">
        <v>0</v>
      </c>
      <c r="Q428" t="s">
        <v>108</v>
      </c>
    </row>
    <row r="429" spans="1:17">
      <c r="A429" t="s">
        <v>93</v>
      </c>
      <c r="B429" t="s">
        <v>106</v>
      </c>
      <c r="C429" t="s">
        <v>56</v>
      </c>
      <c r="D429" t="s">
        <v>212</v>
      </c>
      <c r="E429">
        <v>4</v>
      </c>
      <c r="F429" t="str">
        <f>VLOOKUP(E429,[1]LOJA!$A:$B,2,0)</f>
        <v>ADE</v>
      </c>
      <c r="G429" t="s">
        <v>19</v>
      </c>
      <c r="H429" t="s">
        <v>19</v>
      </c>
      <c r="I429" s="1">
        <v>46035</v>
      </c>
      <c r="J429" s="1">
        <v>46035</v>
      </c>
      <c r="K429" s="1">
        <v>46035</v>
      </c>
      <c r="L429">
        <v>30</v>
      </c>
      <c r="M429">
        <v>2.74</v>
      </c>
      <c r="N429">
        <v>2.74</v>
      </c>
      <c r="O429">
        <v>0</v>
      </c>
      <c r="P429">
        <v>0</v>
      </c>
      <c r="Q429" t="s">
        <v>108</v>
      </c>
    </row>
    <row r="430" spans="1:17">
      <c r="A430" t="s">
        <v>93</v>
      </c>
      <c r="B430" t="s">
        <v>106</v>
      </c>
      <c r="C430" t="s">
        <v>56</v>
      </c>
      <c r="D430" t="s">
        <v>213</v>
      </c>
      <c r="E430">
        <v>4</v>
      </c>
      <c r="F430" t="str">
        <f>VLOOKUP(E430,[1]LOJA!$A:$B,2,0)</f>
        <v>ADE</v>
      </c>
      <c r="G430" t="s">
        <v>19</v>
      </c>
      <c r="H430" t="s">
        <v>19</v>
      </c>
      <c r="I430" s="1">
        <v>46035</v>
      </c>
      <c r="J430" s="1">
        <v>46035</v>
      </c>
      <c r="K430" s="1">
        <v>46035</v>
      </c>
      <c r="L430">
        <v>30</v>
      </c>
      <c r="M430">
        <v>5.1100000000000003</v>
      </c>
      <c r="N430">
        <v>5.1100000000000003</v>
      </c>
      <c r="O430">
        <v>0</v>
      </c>
      <c r="P430">
        <v>0</v>
      </c>
      <c r="Q430" t="s">
        <v>108</v>
      </c>
    </row>
    <row r="431" spans="1:17">
      <c r="A431" t="s">
        <v>93</v>
      </c>
      <c r="B431" t="s">
        <v>106</v>
      </c>
      <c r="C431" t="s">
        <v>56</v>
      </c>
      <c r="D431" t="s">
        <v>214</v>
      </c>
      <c r="E431">
        <v>4</v>
      </c>
      <c r="F431" t="str">
        <f>VLOOKUP(E431,[1]LOJA!$A:$B,2,0)</f>
        <v>ADE</v>
      </c>
      <c r="G431" t="s">
        <v>19</v>
      </c>
      <c r="H431" t="s">
        <v>19</v>
      </c>
      <c r="I431" s="1">
        <v>46035</v>
      </c>
      <c r="J431" s="1">
        <v>46035</v>
      </c>
      <c r="K431" s="1">
        <v>46035</v>
      </c>
      <c r="L431">
        <v>30</v>
      </c>
      <c r="M431">
        <v>5.89</v>
      </c>
      <c r="N431">
        <v>5.89</v>
      </c>
      <c r="O431">
        <v>0</v>
      </c>
      <c r="P431">
        <v>0</v>
      </c>
      <c r="Q431" t="s">
        <v>108</v>
      </c>
    </row>
    <row r="432" spans="1:17">
      <c r="A432" t="s">
        <v>93</v>
      </c>
      <c r="B432" t="s">
        <v>106</v>
      </c>
      <c r="C432" t="s">
        <v>56</v>
      </c>
      <c r="D432" t="s">
        <v>215</v>
      </c>
      <c r="E432">
        <v>4</v>
      </c>
      <c r="F432" t="str">
        <f>VLOOKUP(E432,[1]LOJA!$A:$B,2,0)</f>
        <v>ADE</v>
      </c>
      <c r="G432" t="s">
        <v>19</v>
      </c>
      <c r="H432" t="s">
        <v>19</v>
      </c>
      <c r="I432" s="1">
        <v>46035</v>
      </c>
      <c r="J432" s="1">
        <v>46035</v>
      </c>
      <c r="K432" s="1">
        <v>46035</v>
      </c>
      <c r="L432">
        <v>30</v>
      </c>
      <c r="M432">
        <v>0.86</v>
      </c>
      <c r="N432">
        <v>0.86</v>
      </c>
      <c r="O432">
        <v>0</v>
      </c>
      <c r="P432">
        <v>0</v>
      </c>
      <c r="Q432" t="s">
        <v>108</v>
      </c>
    </row>
    <row r="433" spans="1:17">
      <c r="A433" t="s">
        <v>93</v>
      </c>
      <c r="B433" t="s">
        <v>106</v>
      </c>
      <c r="C433" t="s">
        <v>56</v>
      </c>
      <c r="D433" t="s">
        <v>216</v>
      </c>
      <c r="E433">
        <v>4</v>
      </c>
      <c r="F433" t="str">
        <f>VLOOKUP(E433,[1]LOJA!$A:$B,2,0)</f>
        <v>ADE</v>
      </c>
      <c r="G433" t="s">
        <v>19</v>
      </c>
      <c r="H433" t="s">
        <v>19</v>
      </c>
      <c r="I433" s="1">
        <v>46035</v>
      </c>
      <c r="J433" s="1">
        <v>46035</v>
      </c>
      <c r="K433" s="1">
        <v>46035</v>
      </c>
      <c r="L433">
        <v>30</v>
      </c>
      <c r="M433">
        <v>3.41</v>
      </c>
      <c r="N433">
        <v>3.41</v>
      </c>
      <c r="O433">
        <v>0</v>
      </c>
      <c r="P433">
        <v>0</v>
      </c>
      <c r="Q433" t="s">
        <v>108</v>
      </c>
    </row>
    <row r="434" spans="1:17">
      <c r="A434" t="s">
        <v>93</v>
      </c>
      <c r="B434" t="s">
        <v>106</v>
      </c>
      <c r="C434" t="s">
        <v>56</v>
      </c>
      <c r="D434" t="s">
        <v>217</v>
      </c>
      <c r="E434">
        <v>4</v>
      </c>
      <c r="F434" t="str">
        <f>VLOOKUP(E434,[1]LOJA!$A:$B,2,0)</f>
        <v>ADE</v>
      </c>
      <c r="G434" t="s">
        <v>19</v>
      </c>
      <c r="H434" t="s">
        <v>19</v>
      </c>
      <c r="I434" s="1">
        <v>46035</v>
      </c>
      <c r="J434" s="1">
        <v>46035</v>
      </c>
      <c r="K434" s="1">
        <v>46035</v>
      </c>
      <c r="L434">
        <v>30</v>
      </c>
      <c r="M434">
        <v>0.66</v>
      </c>
      <c r="N434">
        <v>0.66</v>
      </c>
      <c r="O434">
        <v>0</v>
      </c>
      <c r="P434">
        <v>0</v>
      </c>
      <c r="Q434" t="s">
        <v>108</v>
      </c>
    </row>
    <row r="435" spans="1:17">
      <c r="A435" t="s">
        <v>93</v>
      </c>
      <c r="B435" t="s">
        <v>106</v>
      </c>
      <c r="C435" t="s">
        <v>56</v>
      </c>
      <c r="D435" t="s">
        <v>218</v>
      </c>
      <c r="E435">
        <v>4</v>
      </c>
      <c r="F435" t="str">
        <f>VLOOKUP(E435,[1]LOJA!$A:$B,2,0)</f>
        <v>ADE</v>
      </c>
      <c r="G435" t="s">
        <v>19</v>
      </c>
      <c r="H435" t="s">
        <v>19</v>
      </c>
      <c r="I435" s="1">
        <v>46035</v>
      </c>
      <c r="J435" s="1">
        <v>46035</v>
      </c>
      <c r="K435" s="1">
        <v>46035</v>
      </c>
      <c r="L435">
        <v>30</v>
      </c>
      <c r="M435">
        <v>0.32</v>
      </c>
      <c r="N435">
        <v>0.32</v>
      </c>
      <c r="O435">
        <v>0</v>
      </c>
      <c r="P435">
        <v>0</v>
      </c>
      <c r="Q435" t="s">
        <v>108</v>
      </c>
    </row>
    <row r="436" spans="1:17">
      <c r="A436" t="s">
        <v>93</v>
      </c>
      <c r="B436" t="s">
        <v>106</v>
      </c>
      <c r="C436" t="s">
        <v>56</v>
      </c>
      <c r="D436" t="s">
        <v>219</v>
      </c>
      <c r="E436">
        <v>4</v>
      </c>
      <c r="F436" t="str">
        <f>VLOOKUP(E436,[1]LOJA!$A:$B,2,0)</f>
        <v>ADE</v>
      </c>
      <c r="G436" t="s">
        <v>19</v>
      </c>
      <c r="H436" t="s">
        <v>19</v>
      </c>
      <c r="I436" s="1">
        <v>46035</v>
      </c>
      <c r="J436" s="1">
        <v>46035</v>
      </c>
      <c r="K436" s="1">
        <v>46035</v>
      </c>
      <c r="L436">
        <v>30</v>
      </c>
      <c r="M436">
        <v>0.47</v>
      </c>
      <c r="N436">
        <v>0.47</v>
      </c>
      <c r="O436">
        <v>0</v>
      </c>
      <c r="P436">
        <v>0</v>
      </c>
      <c r="Q436" t="s">
        <v>108</v>
      </c>
    </row>
    <row r="437" spans="1:17">
      <c r="A437" t="s">
        <v>93</v>
      </c>
      <c r="B437" t="s">
        <v>106</v>
      </c>
      <c r="C437" t="s">
        <v>56</v>
      </c>
      <c r="D437" t="s">
        <v>220</v>
      </c>
      <c r="E437">
        <v>4</v>
      </c>
      <c r="F437" t="str">
        <f>VLOOKUP(E437,[1]LOJA!$A:$B,2,0)</f>
        <v>ADE</v>
      </c>
      <c r="G437" t="s">
        <v>19</v>
      </c>
      <c r="H437" t="s">
        <v>19</v>
      </c>
      <c r="I437" s="1">
        <v>46035</v>
      </c>
      <c r="J437" s="1">
        <v>46035</v>
      </c>
      <c r="K437" s="1">
        <v>46035</v>
      </c>
      <c r="L437">
        <v>30</v>
      </c>
      <c r="M437">
        <v>3.15</v>
      </c>
      <c r="N437">
        <v>3.15</v>
      </c>
      <c r="O437">
        <v>0</v>
      </c>
      <c r="P437">
        <v>0</v>
      </c>
      <c r="Q437" t="s">
        <v>108</v>
      </c>
    </row>
    <row r="438" spans="1:17">
      <c r="A438" t="s">
        <v>93</v>
      </c>
      <c r="B438" t="s">
        <v>106</v>
      </c>
      <c r="C438" t="s">
        <v>56</v>
      </c>
      <c r="D438" t="s">
        <v>221</v>
      </c>
      <c r="E438">
        <v>4</v>
      </c>
      <c r="F438" t="str">
        <f>VLOOKUP(E438,[1]LOJA!$A:$B,2,0)</f>
        <v>ADE</v>
      </c>
      <c r="G438" t="s">
        <v>19</v>
      </c>
      <c r="H438" t="s">
        <v>19</v>
      </c>
      <c r="I438" s="1">
        <v>46035</v>
      </c>
      <c r="J438" s="1">
        <v>46035</v>
      </c>
      <c r="K438" s="1">
        <v>46035</v>
      </c>
      <c r="L438">
        <v>30</v>
      </c>
      <c r="M438">
        <v>0.16</v>
      </c>
      <c r="N438">
        <v>0.16</v>
      </c>
      <c r="O438">
        <v>0</v>
      </c>
      <c r="P438">
        <v>0</v>
      </c>
      <c r="Q438" t="s">
        <v>108</v>
      </c>
    </row>
    <row r="439" spans="1:17">
      <c r="A439" t="s">
        <v>93</v>
      </c>
      <c r="B439" t="s">
        <v>106</v>
      </c>
      <c r="C439" t="s">
        <v>56</v>
      </c>
      <c r="D439" t="s">
        <v>222</v>
      </c>
      <c r="E439">
        <v>4</v>
      </c>
      <c r="F439" t="str">
        <f>VLOOKUP(E439,[1]LOJA!$A:$B,2,0)</f>
        <v>ADE</v>
      </c>
      <c r="G439" t="s">
        <v>19</v>
      </c>
      <c r="H439" t="s">
        <v>19</v>
      </c>
      <c r="I439" s="1">
        <v>46036</v>
      </c>
      <c r="J439" s="1">
        <v>46036</v>
      </c>
      <c r="K439" s="1">
        <v>46036</v>
      </c>
      <c r="L439">
        <v>30</v>
      </c>
      <c r="M439">
        <v>7.3</v>
      </c>
      <c r="N439">
        <v>7.3</v>
      </c>
      <c r="O439">
        <v>0</v>
      </c>
      <c r="P439">
        <v>0</v>
      </c>
      <c r="Q439" t="s">
        <v>108</v>
      </c>
    </row>
    <row r="440" spans="1:17">
      <c r="A440" t="s">
        <v>93</v>
      </c>
      <c r="B440" t="s">
        <v>106</v>
      </c>
      <c r="C440" t="s">
        <v>56</v>
      </c>
      <c r="D440" t="s">
        <v>223</v>
      </c>
      <c r="E440">
        <v>4</v>
      </c>
      <c r="F440" t="str">
        <f>VLOOKUP(E440,[1]LOJA!$A:$B,2,0)</f>
        <v>ADE</v>
      </c>
      <c r="G440" t="s">
        <v>19</v>
      </c>
      <c r="H440" t="s">
        <v>19</v>
      </c>
      <c r="I440" s="1">
        <v>46036</v>
      </c>
      <c r="J440" s="1">
        <v>46036</v>
      </c>
      <c r="K440" s="1">
        <v>46036</v>
      </c>
      <c r="L440">
        <v>30</v>
      </c>
      <c r="M440">
        <v>0.6</v>
      </c>
      <c r="N440">
        <v>0.6</v>
      </c>
      <c r="O440">
        <v>0</v>
      </c>
      <c r="P440">
        <v>0</v>
      </c>
      <c r="Q440" t="s">
        <v>108</v>
      </c>
    </row>
    <row r="441" spans="1:17">
      <c r="A441" t="s">
        <v>93</v>
      </c>
      <c r="B441" t="s">
        <v>106</v>
      </c>
      <c r="C441" t="s">
        <v>56</v>
      </c>
      <c r="D441" t="s">
        <v>224</v>
      </c>
      <c r="E441">
        <v>4</v>
      </c>
      <c r="F441" t="str">
        <f>VLOOKUP(E441,[1]LOJA!$A:$B,2,0)</f>
        <v>ADE</v>
      </c>
      <c r="G441" t="s">
        <v>19</v>
      </c>
      <c r="H441" t="s">
        <v>19</v>
      </c>
      <c r="I441" s="1">
        <v>46036</v>
      </c>
      <c r="J441" s="1">
        <v>46036</v>
      </c>
      <c r="K441" s="1">
        <v>46036</v>
      </c>
      <c r="L441">
        <v>30</v>
      </c>
      <c r="M441">
        <v>0.28999999999999998</v>
      </c>
      <c r="N441">
        <v>0.28999999999999998</v>
      </c>
      <c r="O441">
        <v>0</v>
      </c>
      <c r="P441">
        <v>0</v>
      </c>
      <c r="Q441" t="s">
        <v>108</v>
      </c>
    </row>
    <row r="442" spans="1:17">
      <c r="A442" t="s">
        <v>93</v>
      </c>
      <c r="B442" t="s">
        <v>106</v>
      </c>
      <c r="C442" t="s">
        <v>56</v>
      </c>
      <c r="D442" t="s">
        <v>225</v>
      </c>
      <c r="E442">
        <v>4</v>
      </c>
      <c r="F442" t="str">
        <f>VLOOKUP(E442,[1]LOJA!$A:$B,2,0)</f>
        <v>ADE</v>
      </c>
      <c r="G442" t="s">
        <v>19</v>
      </c>
      <c r="H442" t="s">
        <v>19</v>
      </c>
      <c r="I442" s="1">
        <v>46036</v>
      </c>
      <c r="J442" s="1">
        <v>46036</v>
      </c>
      <c r="K442" s="1">
        <v>46036</v>
      </c>
      <c r="L442">
        <v>30</v>
      </c>
      <c r="M442">
        <v>0.8</v>
      </c>
      <c r="N442">
        <v>0.8</v>
      </c>
      <c r="O442">
        <v>0</v>
      </c>
      <c r="P442">
        <v>0</v>
      </c>
      <c r="Q442" t="s">
        <v>108</v>
      </c>
    </row>
    <row r="443" spans="1:17">
      <c r="A443" t="s">
        <v>93</v>
      </c>
      <c r="B443" t="s">
        <v>106</v>
      </c>
      <c r="C443" t="s">
        <v>56</v>
      </c>
      <c r="D443" t="s">
        <v>226</v>
      </c>
      <c r="E443">
        <v>4</v>
      </c>
      <c r="F443" t="str">
        <f>VLOOKUP(E443,[1]LOJA!$A:$B,2,0)</f>
        <v>ADE</v>
      </c>
      <c r="G443" t="s">
        <v>19</v>
      </c>
      <c r="H443" t="s">
        <v>19</v>
      </c>
      <c r="I443" s="1">
        <v>46037</v>
      </c>
      <c r="J443" s="1">
        <v>46037</v>
      </c>
      <c r="K443" s="1">
        <v>46037</v>
      </c>
      <c r="L443">
        <v>30</v>
      </c>
      <c r="M443">
        <v>13.25</v>
      </c>
      <c r="N443">
        <v>13.25</v>
      </c>
      <c r="O443">
        <v>0</v>
      </c>
      <c r="P443">
        <v>0</v>
      </c>
      <c r="Q443" t="s">
        <v>108</v>
      </c>
    </row>
    <row r="444" spans="1:17">
      <c r="A444" t="s">
        <v>93</v>
      </c>
      <c r="B444" t="s">
        <v>106</v>
      </c>
      <c r="C444" t="s">
        <v>56</v>
      </c>
      <c r="D444" t="s">
        <v>227</v>
      </c>
      <c r="E444">
        <v>4</v>
      </c>
      <c r="F444" t="str">
        <f>VLOOKUP(E444,[1]LOJA!$A:$B,2,0)</f>
        <v>ADE</v>
      </c>
      <c r="G444" t="s">
        <v>19</v>
      </c>
      <c r="H444" t="s">
        <v>19</v>
      </c>
      <c r="I444" s="1">
        <v>46037</v>
      </c>
      <c r="J444" s="1">
        <v>46037</v>
      </c>
      <c r="K444" s="1">
        <v>46037</v>
      </c>
      <c r="L444">
        <v>30</v>
      </c>
      <c r="M444">
        <v>7.3</v>
      </c>
      <c r="N444">
        <v>7.3</v>
      </c>
      <c r="O444">
        <v>0</v>
      </c>
      <c r="P444">
        <v>0</v>
      </c>
      <c r="Q444" t="s">
        <v>108</v>
      </c>
    </row>
    <row r="445" spans="1:17">
      <c r="A445" t="s">
        <v>93</v>
      </c>
      <c r="B445" t="s">
        <v>106</v>
      </c>
      <c r="C445" t="s">
        <v>56</v>
      </c>
      <c r="D445" t="s">
        <v>228</v>
      </c>
      <c r="E445">
        <v>4</v>
      </c>
      <c r="F445" t="str">
        <f>VLOOKUP(E445,[1]LOJA!$A:$B,2,0)</f>
        <v>ADE</v>
      </c>
      <c r="G445" t="s">
        <v>19</v>
      </c>
      <c r="H445" t="s">
        <v>19</v>
      </c>
      <c r="I445" s="1">
        <v>46037</v>
      </c>
      <c r="J445" s="1">
        <v>46037</v>
      </c>
      <c r="K445" s="1">
        <v>46037</v>
      </c>
      <c r="L445">
        <v>30</v>
      </c>
      <c r="M445">
        <v>5.25</v>
      </c>
      <c r="N445">
        <v>5.25</v>
      </c>
      <c r="O445">
        <v>0</v>
      </c>
      <c r="P445">
        <v>0</v>
      </c>
      <c r="Q445" t="s">
        <v>108</v>
      </c>
    </row>
    <row r="446" spans="1:17">
      <c r="A446" t="s">
        <v>93</v>
      </c>
      <c r="B446" t="s">
        <v>106</v>
      </c>
      <c r="C446" t="s">
        <v>56</v>
      </c>
      <c r="D446" t="s">
        <v>229</v>
      </c>
      <c r="E446">
        <v>4</v>
      </c>
      <c r="F446" t="str">
        <f>VLOOKUP(E446,[1]LOJA!$A:$B,2,0)</f>
        <v>ADE</v>
      </c>
      <c r="G446" t="s">
        <v>19</v>
      </c>
      <c r="H446" t="s">
        <v>19</v>
      </c>
      <c r="I446" s="1">
        <v>46037</v>
      </c>
      <c r="J446" s="1">
        <v>46037</v>
      </c>
      <c r="K446" s="1">
        <v>46037</v>
      </c>
      <c r="L446">
        <v>30</v>
      </c>
      <c r="M446">
        <v>1.45</v>
      </c>
      <c r="N446">
        <v>1.45</v>
      </c>
      <c r="O446">
        <v>0</v>
      </c>
      <c r="P446">
        <v>0</v>
      </c>
      <c r="Q446" t="s">
        <v>108</v>
      </c>
    </row>
    <row r="447" spans="1:17">
      <c r="A447" t="s">
        <v>93</v>
      </c>
      <c r="B447" t="s">
        <v>106</v>
      </c>
      <c r="C447" t="s">
        <v>56</v>
      </c>
      <c r="D447" t="s">
        <v>230</v>
      </c>
      <c r="E447">
        <v>4</v>
      </c>
      <c r="F447" t="str">
        <f>VLOOKUP(E447,[1]LOJA!$A:$B,2,0)</f>
        <v>ADE</v>
      </c>
      <c r="G447" t="s">
        <v>19</v>
      </c>
      <c r="H447" t="s">
        <v>19</v>
      </c>
      <c r="I447" s="1">
        <v>46037</v>
      </c>
      <c r="J447" s="1">
        <v>46037</v>
      </c>
      <c r="K447" s="1">
        <v>46037</v>
      </c>
      <c r="L447">
        <v>30</v>
      </c>
      <c r="M447">
        <v>0.63</v>
      </c>
      <c r="N447">
        <v>0.63</v>
      </c>
      <c r="O447">
        <v>0</v>
      </c>
      <c r="P447">
        <v>0</v>
      </c>
      <c r="Q447" t="s">
        <v>108</v>
      </c>
    </row>
    <row r="448" spans="1:17">
      <c r="A448" t="s">
        <v>93</v>
      </c>
      <c r="B448" t="s">
        <v>106</v>
      </c>
      <c r="C448" t="s">
        <v>56</v>
      </c>
      <c r="D448" t="s">
        <v>231</v>
      </c>
      <c r="E448">
        <v>4</v>
      </c>
      <c r="F448" t="str">
        <f>VLOOKUP(E448,[1]LOJA!$A:$B,2,0)</f>
        <v>ADE</v>
      </c>
      <c r="G448" t="s">
        <v>19</v>
      </c>
      <c r="H448" t="s">
        <v>19</v>
      </c>
      <c r="I448" s="1">
        <v>46037</v>
      </c>
      <c r="J448" s="1">
        <v>46037</v>
      </c>
      <c r="K448" s="1">
        <v>46037</v>
      </c>
      <c r="L448">
        <v>30</v>
      </c>
      <c r="M448">
        <v>2.19</v>
      </c>
      <c r="N448">
        <v>2.19</v>
      </c>
      <c r="O448">
        <v>0</v>
      </c>
      <c r="P448">
        <v>0</v>
      </c>
      <c r="Q448" t="s">
        <v>108</v>
      </c>
    </row>
    <row r="449" spans="1:17">
      <c r="A449" t="s">
        <v>93</v>
      </c>
      <c r="B449" t="s">
        <v>106</v>
      </c>
      <c r="C449" t="s">
        <v>56</v>
      </c>
      <c r="D449" t="s">
        <v>232</v>
      </c>
      <c r="E449">
        <v>4</v>
      </c>
      <c r="F449" t="str">
        <f>VLOOKUP(E449,[1]LOJA!$A:$B,2,0)</f>
        <v>ADE</v>
      </c>
      <c r="G449" t="s">
        <v>19</v>
      </c>
      <c r="H449" t="s">
        <v>19</v>
      </c>
      <c r="I449" s="1">
        <v>46037</v>
      </c>
      <c r="J449" s="1">
        <v>46037</v>
      </c>
      <c r="K449" s="1">
        <v>46037</v>
      </c>
      <c r="L449">
        <v>30</v>
      </c>
      <c r="M449">
        <v>0.8</v>
      </c>
      <c r="N449">
        <v>0.8</v>
      </c>
      <c r="O449">
        <v>0</v>
      </c>
      <c r="P449">
        <v>0</v>
      </c>
      <c r="Q449" t="s">
        <v>108</v>
      </c>
    </row>
    <row r="450" spans="1:17">
      <c r="A450" t="s">
        <v>93</v>
      </c>
      <c r="B450" t="s">
        <v>106</v>
      </c>
      <c r="C450" t="s">
        <v>56</v>
      </c>
      <c r="D450" t="s">
        <v>233</v>
      </c>
      <c r="E450">
        <v>4</v>
      </c>
      <c r="F450" t="str">
        <f>VLOOKUP(E450,[1]LOJA!$A:$B,2,0)</f>
        <v>ADE</v>
      </c>
      <c r="G450" t="s">
        <v>19</v>
      </c>
      <c r="H450" t="s">
        <v>19</v>
      </c>
      <c r="I450" s="1">
        <v>46037</v>
      </c>
      <c r="J450" s="1">
        <v>46037</v>
      </c>
      <c r="K450" s="1">
        <v>46037</v>
      </c>
      <c r="L450">
        <v>30</v>
      </c>
      <c r="M450">
        <v>0.3</v>
      </c>
      <c r="N450">
        <v>0.3</v>
      </c>
      <c r="O450">
        <v>0</v>
      </c>
      <c r="P450">
        <v>0</v>
      </c>
      <c r="Q450" t="s">
        <v>108</v>
      </c>
    </row>
    <row r="451" spans="1:17">
      <c r="A451" t="s">
        <v>93</v>
      </c>
      <c r="B451" t="s">
        <v>106</v>
      </c>
      <c r="C451" t="s">
        <v>56</v>
      </c>
      <c r="D451" t="s">
        <v>234</v>
      </c>
      <c r="E451">
        <v>4</v>
      </c>
      <c r="F451" t="str">
        <f>VLOOKUP(E451,[1]LOJA!$A:$B,2,0)</f>
        <v>ADE</v>
      </c>
      <c r="G451" t="s">
        <v>19</v>
      </c>
      <c r="H451" t="s">
        <v>19</v>
      </c>
      <c r="I451" s="1">
        <v>46037</v>
      </c>
      <c r="J451" s="1">
        <v>46037</v>
      </c>
      <c r="K451" s="1">
        <v>46037</v>
      </c>
      <c r="L451">
        <v>30</v>
      </c>
      <c r="M451">
        <v>1.24</v>
      </c>
      <c r="N451">
        <v>1.24</v>
      </c>
      <c r="O451">
        <v>0</v>
      </c>
      <c r="P451">
        <v>0</v>
      </c>
      <c r="Q451" t="s">
        <v>108</v>
      </c>
    </row>
    <row r="452" spans="1:17">
      <c r="A452" t="s">
        <v>93</v>
      </c>
      <c r="B452" t="s">
        <v>106</v>
      </c>
      <c r="C452" t="s">
        <v>56</v>
      </c>
      <c r="D452" t="s">
        <v>235</v>
      </c>
      <c r="E452">
        <v>4</v>
      </c>
      <c r="F452" t="str">
        <f>VLOOKUP(E452,[1]LOJA!$A:$B,2,0)</f>
        <v>ADE</v>
      </c>
      <c r="G452" t="s">
        <v>19</v>
      </c>
      <c r="H452" t="s">
        <v>19</v>
      </c>
      <c r="I452" s="1">
        <v>46037</v>
      </c>
      <c r="J452" s="1">
        <v>46037</v>
      </c>
      <c r="K452" s="1">
        <v>46037</v>
      </c>
      <c r="L452">
        <v>30</v>
      </c>
      <c r="M452">
        <v>0.84</v>
      </c>
      <c r="N452">
        <v>0.84</v>
      </c>
      <c r="O452">
        <v>0</v>
      </c>
      <c r="P452">
        <v>0</v>
      </c>
      <c r="Q452" t="s">
        <v>108</v>
      </c>
    </row>
    <row r="453" spans="1:17">
      <c r="A453" t="s">
        <v>93</v>
      </c>
      <c r="B453" t="s">
        <v>106</v>
      </c>
      <c r="C453" t="s">
        <v>56</v>
      </c>
      <c r="D453" t="s">
        <v>236</v>
      </c>
      <c r="E453">
        <v>4</v>
      </c>
      <c r="F453" t="str">
        <f>VLOOKUP(E453,[1]LOJA!$A:$B,2,0)</f>
        <v>ADE</v>
      </c>
      <c r="G453" t="s">
        <v>19</v>
      </c>
      <c r="H453" t="s">
        <v>19</v>
      </c>
      <c r="I453" s="1">
        <v>46037</v>
      </c>
      <c r="J453" s="1">
        <v>46037</v>
      </c>
      <c r="K453" s="1">
        <v>46037</v>
      </c>
      <c r="L453">
        <v>30</v>
      </c>
      <c r="M453">
        <v>1.24</v>
      </c>
      <c r="N453">
        <v>1.24</v>
      </c>
      <c r="O453">
        <v>0</v>
      </c>
      <c r="P453">
        <v>0</v>
      </c>
      <c r="Q453" t="s">
        <v>108</v>
      </c>
    </row>
    <row r="454" spans="1:17">
      <c r="A454" t="s">
        <v>93</v>
      </c>
      <c r="B454" t="s">
        <v>106</v>
      </c>
      <c r="C454" t="s">
        <v>56</v>
      </c>
      <c r="D454" t="s">
        <v>237</v>
      </c>
      <c r="E454">
        <v>4</v>
      </c>
      <c r="F454" t="str">
        <f>VLOOKUP(E454,[1]LOJA!$A:$B,2,0)</f>
        <v>ADE</v>
      </c>
      <c r="G454" t="s">
        <v>19</v>
      </c>
      <c r="H454" t="s">
        <v>19</v>
      </c>
      <c r="I454" s="1">
        <v>46038</v>
      </c>
      <c r="J454" s="1">
        <v>46038</v>
      </c>
      <c r="K454" s="1">
        <v>46038</v>
      </c>
      <c r="L454">
        <v>30</v>
      </c>
      <c r="M454">
        <v>0.55000000000000004</v>
      </c>
      <c r="N454">
        <v>0.55000000000000004</v>
      </c>
      <c r="O454">
        <v>0</v>
      </c>
      <c r="P454">
        <v>0</v>
      </c>
      <c r="Q454" t="s">
        <v>108</v>
      </c>
    </row>
    <row r="455" spans="1:17">
      <c r="A455" t="s">
        <v>93</v>
      </c>
      <c r="B455" t="s">
        <v>106</v>
      </c>
      <c r="C455" t="s">
        <v>56</v>
      </c>
      <c r="D455" t="s">
        <v>238</v>
      </c>
      <c r="E455">
        <v>4</v>
      </c>
      <c r="F455" t="str">
        <f>VLOOKUP(E455,[1]LOJA!$A:$B,2,0)</f>
        <v>ADE</v>
      </c>
      <c r="G455" t="s">
        <v>19</v>
      </c>
      <c r="H455" t="s">
        <v>19</v>
      </c>
      <c r="I455" s="1">
        <v>46038</v>
      </c>
      <c r="J455" s="1">
        <v>46038</v>
      </c>
      <c r="K455" s="1">
        <v>46038</v>
      </c>
      <c r="L455">
        <v>30</v>
      </c>
      <c r="M455">
        <v>1.77</v>
      </c>
      <c r="N455">
        <v>1.77</v>
      </c>
      <c r="O455">
        <v>0</v>
      </c>
      <c r="P455">
        <v>0</v>
      </c>
      <c r="Q455" t="s">
        <v>108</v>
      </c>
    </row>
    <row r="456" spans="1:17">
      <c r="A456" t="s">
        <v>93</v>
      </c>
      <c r="B456" t="s">
        <v>106</v>
      </c>
      <c r="C456" t="s">
        <v>56</v>
      </c>
      <c r="D456" t="s">
        <v>239</v>
      </c>
      <c r="E456">
        <v>4</v>
      </c>
      <c r="F456" t="str">
        <f>VLOOKUP(E456,[1]LOJA!$A:$B,2,0)</f>
        <v>ADE</v>
      </c>
      <c r="G456" t="s">
        <v>19</v>
      </c>
      <c r="H456" t="s">
        <v>19</v>
      </c>
      <c r="I456" s="1">
        <v>46038</v>
      </c>
      <c r="J456" s="1">
        <v>46038</v>
      </c>
      <c r="K456" s="1">
        <v>46038</v>
      </c>
      <c r="L456">
        <v>30</v>
      </c>
      <c r="M456">
        <v>6.68</v>
      </c>
      <c r="N456">
        <v>6.68</v>
      </c>
      <c r="O456">
        <v>0</v>
      </c>
      <c r="P456">
        <v>0</v>
      </c>
      <c r="Q456" t="s">
        <v>108</v>
      </c>
    </row>
    <row r="457" spans="1:17">
      <c r="A457" t="s">
        <v>93</v>
      </c>
      <c r="B457" t="s">
        <v>106</v>
      </c>
      <c r="C457" t="s">
        <v>56</v>
      </c>
      <c r="D457" t="s">
        <v>240</v>
      </c>
      <c r="E457">
        <v>4</v>
      </c>
      <c r="F457" t="str">
        <f>VLOOKUP(E457,[1]LOJA!$A:$B,2,0)</f>
        <v>ADE</v>
      </c>
      <c r="G457" t="s">
        <v>19</v>
      </c>
      <c r="H457" t="s">
        <v>19</v>
      </c>
      <c r="I457" s="1">
        <v>46038</v>
      </c>
      <c r="J457" s="1">
        <v>46038</v>
      </c>
      <c r="K457" s="1">
        <v>46038</v>
      </c>
      <c r="L457">
        <v>30</v>
      </c>
      <c r="M457">
        <v>3.33</v>
      </c>
      <c r="N457">
        <v>3.33</v>
      </c>
      <c r="O457">
        <v>0</v>
      </c>
      <c r="P457">
        <v>0</v>
      </c>
      <c r="Q457" t="s">
        <v>108</v>
      </c>
    </row>
    <row r="458" spans="1:17">
      <c r="A458" t="s">
        <v>93</v>
      </c>
      <c r="B458" t="s">
        <v>106</v>
      </c>
      <c r="C458" t="s">
        <v>56</v>
      </c>
      <c r="D458" t="s">
        <v>241</v>
      </c>
      <c r="E458">
        <v>4</v>
      </c>
      <c r="F458" t="str">
        <f>VLOOKUP(E458,[1]LOJA!$A:$B,2,0)</f>
        <v>ADE</v>
      </c>
      <c r="G458" t="s">
        <v>19</v>
      </c>
      <c r="H458" t="s">
        <v>19</v>
      </c>
      <c r="I458" s="1">
        <v>46038</v>
      </c>
      <c r="J458" s="1">
        <v>46038</v>
      </c>
      <c r="K458" s="1">
        <v>46038</v>
      </c>
      <c r="L458">
        <v>30</v>
      </c>
      <c r="M458">
        <v>2.63</v>
      </c>
      <c r="N458">
        <v>2.63</v>
      </c>
      <c r="O458">
        <v>0</v>
      </c>
      <c r="P458">
        <v>0</v>
      </c>
      <c r="Q458" t="s">
        <v>108</v>
      </c>
    </row>
    <row r="459" spans="1:17">
      <c r="A459" t="s">
        <v>93</v>
      </c>
      <c r="B459" t="s">
        <v>106</v>
      </c>
      <c r="C459" t="s">
        <v>56</v>
      </c>
      <c r="D459" t="s">
        <v>242</v>
      </c>
      <c r="E459">
        <v>4</v>
      </c>
      <c r="F459" t="str">
        <f>VLOOKUP(E459,[1]LOJA!$A:$B,2,0)</f>
        <v>ADE</v>
      </c>
      <c r="G459" t="s">
        <v>19</v>
      </c>
      <c r="H459" t="s">
        <v>19</v>
      </c>
      <c r="I459" s="1">
        <v>46038</v>
      </c>
      <c r="J459" s="1">
        <v>46038</v>
      </c>
      <c r="K459" s="1">
        <v>46038</v>
      </c>
      <c r="L459">
        <v>30</v>
      </c>
      <c r="M459">
        <v>1</v>
      </c>
      <c r="N459">
        <v>1</v>
      </c>
      <c r="O459">
        <v>0</v>
      </c>
      <c r="P459">
        <v>0</v>
      </c>
      <c r="Q459" t="s">
        <v>108</v>
      </c>
    </row>
    <row r="460" spans="1:17">
      <c r="A460" t="s">
        <v>93</v>
      </c>
      <c r="B460" t="s">
        <v>106</v>
      </c>
      <c r="C460" t="s">
        <v>56</v>
      </c>
      <c r="D460" t="s">
        <v>243</v>
      </c>
      <c r="E460">
        <v>4</v>
      </c>
      <c r="F460" t="str">
        <f>VLOOKUP(E460,[1]LOJA!$A:$B,2,0)</f>
        <v>ADE</v>
      </c>
      <c r="G460" t="s">
        <v>19</v>
      </c>
      <c r="H460" t="s">
        <v>19</v>
      </c>
      <c r="I460" s="1">
        <v>46038</v>
      </c>
      <c r="J460" s="1">
        <v>46038</v>
      </c>
      <c r="K460" s="1">
        <v>46038</v>
      </c>
      <c r="L460">
        <v>30</v>
      </c>
      <c r="M460">
        <v>0.76</v>
      </c>
      <c r="N460">
        <v>0.76</v>
      </c>
      <c r="O460">
        <v>0</v>
      </c>
      <c r="P460">
        <v>0</v>
      </c>
      <c r="Q460" t="s">
        <v>108</v>
      </c>
    </row>
    <row r="461" spans="1:17">
      <c r="A461" t="s">
        <v>93</v>
      </c>
      <c r="B461" t="s">
        <v>106</v>
      </c>
      <c r="C461" t="s">
        <v>56</v>
      </c>
      <c r="D461" t="s">
        <v>244</v>
      </c>
      <c r="E461">
        <v>4</v>
      </c>
      <c r="F461" t="str">
        <f>VLOOKUP(E461,[1]LOJA!$A:$B,2,0)</f>
        <v>ADE</v>
      </c>
      <c r="G461" t="s">
        <v>19</v>
      </c>
      <c r="H461" t="s">
        <v>19</v>
      </c>
      <c r="I461" s="1">
        <v>46038</v>
      </c>
      <c r="J461" s="1">
        <v>46038</v>
      </c>
      <c r="K461" s="1">
        <v>46038</v>
      </c>
      <c r="L461">
        <v>30</v>
      </c>
      <c r="M461">
        <v>0.26</v>
      </c>
      <c r="N461">
        <v>0.26</v>
      </c>
      <c r="O461">
        <v>0</v>
      </c>
      <c r="P461">
        <v>0</v>
      </c>
      <c r="Q461" t="s">
        <v>108</v>
      </c>
    </row>
    <row r="462" spans="1:17">
      <c r="A462" t="s">
        <v>93</v>
      </c>
      <c r="B462" t="s">
        <v>106</v>
      </c>
      <c r="C462" t="s">
        <v>56</v>
      </c>
      <c r="D462" t="s">
        <v>245</v>
      </c>
      <c r="E462">
        <v>4</v>
      </c>
      <c r="F462" t="str">
        <f>VLOOKUP(E462,[1]LOJA!$A:$B,2,0)</f>
        <v>ADE</v>
      </c>
      <c r="G462" t="s">
        <v>19</v>
      </c>
      <c r="H462" t="s">
        <v>19</v>
      </c>
      <c r="I462" s="1">
        <v>46041</v>
      </c>
      <c r="J462" s="1">
        <v>46041</v>
      </c>
      <c r="K462" s="1">
        <v>46041</v>
      </c>
      <c r="L462">
        <v>30</v>
      </c>
      <c r="M462">
        <v>29.9</v>
      </c>
      <c r="N462">
        <v>29.9</v>
      </c>
      <c r="O462">
        <v>0</v>
      </c>
      <c r="P462">
        <v>0</v>
      </c>
      <c r="Q462" t="s">
        <v>108</v>
      </c>
    </row>
    <row r="463" spans="1:17">
      <c r="A463" t="s">
        <v>93</v>
      </c>
      <c r="B463" t="s">
        <v>106</v>
      </c>
      <c r="C463" t="s">
        <v>56</v>
      </c>
      <c r="D463" t="s">
        <v>246</v>
      </c>
      <c r="E463">
        <v>4</v>
      </c>
      <c r="F463" t="str">
        <f>VLOOKUP(E463,[1]LOJA!$A:$B,2,0)</f>
        <v>ADE</v>
      </c>
      <c r="G463" t="s">
        <v>19</v>
      </c>
      <c r="H463" t="s">
        <v>19</v>
      </c>
      <c r="I463" s="1">
        <v>46041</v>
      </c>
      <c r="J463" s="1">
        <v>46041</v>
      </c>
      <c r="K463" s="1">
        <v>46041</v>
      </c>
      <c r="L463">
        <v>30</v>
      </c>
      <c r="M463">
        <v>5.0999999999999996</v>
      </c>
      <c r="N463">
        <v>5.0999999999999996</v>
      </c>
      <c r="O463">
        <v>0</v>
      </c>
      <c r="P463">
        <v>0</v>
      </c>
      <c r="Q463" t="s">
        <v>108</v>
      </c>
    </row>
    <row r="464" spans="1:17">
      <c r="A464" t="s">
        <v>93</v>
      </c>
      <c r="B464" t="s">
        <v>106</v>
      </c>
      <c r="C464" t="s">
        <v>56</v>
      </c>
      <c r="D464" t="s">
        <v>247</v>
      </c>
      <c r="E464">
        <v>4</v>
      </c>
      <c r="F464" t="str">
        <f>VLOOKUP(E464,[1]LOJA!$A:$B,2,0)</f>
        <v>ADE</v>
      </c>
      <c r="G464" t="s">
        <v>19</v>
      </c>
      <c r="H464" t="s">
        <v>19</v>
      </c>
      <c r="I464" s="1">
        <v>46041</v>
      </c>
      <c r="J464" s="1">
        <v>46039</v>
      </c>
      <c r="K464" s="1">
        <v>46041</v>
      </c>
      <c r="L464">
        <v>30</v>
      </c>
      <c r="M464">
        <v>11.17</v>
      </c>
      <c r="N464">
        <v>11.17</v>
      </c>
      <c r="O464">
        <v>0</v>
      </c>
      <c r="P464">
        <v>0</v>
      </c>
      <c r="Q464" t="s">
        <v>108</v>
      </c>
    </row>
    <row r="465" spans="1:17">
      <c r="A465" t="s">
        <v>93</v>
      </c>
      <c r="B465" t="s">
        <v>106</v>
      </c>
      <c r="C465" t="s">
        <v>56</v>
      </c>
      <c r="D465" t="s">
        <v>248</v>
      </c>
      <c r="E465">
        <v>4</v>
      </c>
      <c r="F465" t="str">
        <f>VLOOKUP(E465,[1]LOJA!$A:$B,2,0)</f>
        <v>ADE</v>
      </c>
      <c r="G465" t="s">
        <v>19</v>
      </c>
      <c r="H465" t="s">
        <v>19</v>
      </c>
      <c r="I465" s="1">
        <v>46041</v>
      </c>
      <c r="J465" s="1">
        <v>46039</v>
      </c>
      <c r="K465" s="1">
        <v>46041</v>
      </c>
      <c r="L465">
        <v>30</v>
      </c>
      <c r="M465">
        <v>2.04</v>
      </c>
      <c r="N465">
        <v>2.04</v>
      </c>
      <c r="O465">
        <v>0</v>
      </c>
      <c r="P465">
        <v>0</v>
      </c>
      <c r="Q465" t="s">
        <v>108</v>
      </c>
    </row>
    <row r="466" spans="1:17">
      <c r="A466" t="s">
        <v>93</v>
      </c>
      <c r="B466" t="s">
        <v>106</v>
      </c>
      <c r="C466" t="s">
        <v>56</v>
      </c>
      <c r="D466" t="s">
        <v>249</v>
      </c>
      <c r="E466">
        <v>4</v>
      </c>
      <c r="F466" t="str">
        <f>VLOOKUP(E466,[1]LOJA!$A:$B,2,0)</f>
        <v>ADE</v>
      </c>
      <c r="G466" t="s">
        <v>19</v>
      </c>
      <c r="H466" t="s">
        <v>19</v>
      </c>
      <c r="I466" s="1">
        <v>46041</v>
      </c>
      <c r="J466" s="1">
        <v>46039</v>
      </c>
      <c r="K466" s="1">
        <v>46041</v>
      </c>
      <c r="L466">
        <v>30</v>
      </c>
      <c r="M466">
        <v>2.2400000000000002</v>
      </c>
      <c r="N466">
        <v>2.2400000000000002</v>
      </c>
      <c r="O466">
        <v>0</v>
      </c>
      <c r="P466">
        <v>0</v>
      </c>
      <c r="Q466" t="s">
        <v>108</v>
      </c>
    </row>
    <row r="467" spans="1:17">
      <c r="A467" t="s">
        <v>93</v>
      </c>
      <c r="B467" t="s">
        <v>106</v>
      </c>
      <c r="C467" t="s">
        <v>56</v>
      </c>
      <c r="D467" t="s">
        <v>250</v>
      </c>
      <c r="E467">
        <v>4</v>
      </c>
      <c r="F467" t="str">
        <f>VLOOKUP(E467,[1]LOJA!$A:$B,2,0)</f>
        <v>ADE</v>
      </c>
      <c r="G467" t="s">
        <v>19</v>
      </c>
      <c r="H467" t="s">
        <v>19</v>
      </c>
      <c r="I467" s="1">
        <v>46041</v>
      </c>
      <c r="J467" s="1">
        <v>46039</v>
      </c>
      <c r="K467" s="1">
        <v>46041</v>
      </c>
      <c r="L467">
        <v>30</v>
      </c>
      <c r="M467">
        <v>0.42</v>
      </c>
      <c r="N467">
        <v>0.42</v>
      </c>
      <c r="O467">
        <v>0</v>
      </c>
      <c r="P467">
        <v>0</v>
      </c>
      <c r="Q467" t="s">
        <v>108</v>
      </c>
    </row>
    <row r="468" spans="1:17">
      <c r="A468" t="s">
        <v>93</v>
      </c>
      <c r="B468" t="s">
        <v>106</v>
      </c>
      <c r="C468" t="s">
        <v>56</v>
      </c>
      <c r="D468" t="s">
        <v>251</v>
      </c>
      <c r="E468">
        <v>4</v>
      </c>
      <c r="F468" t="str">
        <f>VLOOKUP(E468,[1]LOJA!$A:$B,2,0)</f>
        <v>ADE</v>
      </c>
      <c r="G468" t="s">
        <v>19</v>
      </c>
      <c r="H468" t="s">
        <v>19</v>
      </c>
      <c r="I468" s="1">
        <v>46041</v>
      </c>
      <c r="J468" s="1">
        <v>46039</v>
      </c>
      <c r="K468" s="1">
        <v>46041</v>
      </c>
      <c r="L468">
        <v>30</v>
      </c>
      <c r="M468">
        <v>1.1000000000000001</v>
      </c>
      <c r="N468">
        <v>1.1000000000000001</v>
      </c>
      <c r="O468">
        <v>0</v>
      </c>
      <c r="P468">
        <v>0</v>
      </c>
      <c r="Q468" t="s">
        <v>108</v>
      </c>
    </row>
    <row r="469" spans="1:17">
      <c r="A469" t="s">
        <v>93</v>
      </c>
      <c r="B469" t="s">
        <v>106</v>
      </c>
      <c r="C469" t="s">
        <v>56</v>
      </c>
      <c r="D469" t="s">
        <v>252</v>
      </c>
      <c r="E469">
        <v>4</v>
      </c>
      <c r="F469" t="str">
        <f>VLOOKUP(E469,[1]LOJA!$A:$B,2,0)</f>
        <v>ADE</v>
      </c>
      <c r="G469" t="s">
        <v>19</v>
      </c>
      <c r="H469" t="s">
        <v>19</v>
      </c>
      <c r="I469" s="1">
        <v>46041</v>
      </c>
      <c r="J469" s="1">
        <v>46039</v>
      </c>
      <c r="K469" s="1">
        <v>46041</v>
      </c>
      <c r="L469">
        <v>30</v>
      </c>
      <c r="M469">
        <v>3.5</v>
      </c>
      <c r="N469">
        <v>3.5</v>
      </c>
      <c r="O469">
        <v>0</v>
      </c>
      <c r="P469">
        <v>0</v>
      </c>
      <c r="Q469" t="s">
        <v>108</v>
      </c>
    </row>
    <row r="470" spans="1:17">
      <c r="A470" t="s">
        <v>93</v>
      </c>
      <c r="B470" t="s">
        <v>106</v>
      </c>
      <c r="C470" t="s">
        <v>56</v>
      </c>
      <c r="D470" t="s">
        <v>253</v>
      </c>
      <c r="E470">
        <v>4</v>
      </c>
      <c r="F470" t="str">
        <f>VLOOKUP(E470,[1]LOJA!$A:$B,2,0)</f>
        <v>ADE</v>
      </c>
      <c r="G470" t="s">
        <v>19</v>
      </c>
      <c r="H470" t="s">
        <v>19</v>
      </c>
      <c r="I470" s="1">
        <v>46041</v>
      </c>
      <c r="J470" s="1">
        <v>46039</v>
      </c>
      <c r="K470" s="1">
        <v>46041</v>
      </c>
      <c r="L470">
        <v>30</v>
      </c>
      <c r="M470">
        <v>4.47</v>
      </c>
      <c r="N470">
        <v>4.47</v>
      </c>
      <c r="O470">
        <v>0</v>
      </c>
      <c r="P470">
        <v>0</v>
      </c>
      <c r="Q470" t="s">
        <v>108</v>
      </c>
    </row>
    <row r="471" spans="1:17">
      <c r="A471" t="s">
        <v>93</v>
      </c>
      <c r="B471" t="s">
        <v>106</v>
      </c>
      <c r="C471" t="s">
        <v>56</v>
      </c>
      <c r="D471" t="s">
        <v>254</v>
      </c>
      <c r="E471">
        <v>4</v>
      </c>
      <c r="F471" t="str">
        <f>VLOOKUP(E471,[1]LOJA!$A:$B,2,0)</f>
        <v>ADE</v>
      </c>
      <c r="G471" t="s">
        <v>19</v>
      </c>
      <c r="H471" t="s">
        <v>19</v>
      </c>
      <c r="I471" s="1">
        <v>46041</v>
      </c>
      <c r="J471" s="1">
        <v>46040</v>
      </c>
      <c r="K471" s="1">
        <v>46041</v>
      </c>
      <c r="L471">
        <v>30</v>
      </c>
      <c r="M471">
        <v>2.62</v>
      </c>
      <c r="N471">
        <v>2.62</v>
      </c>
      <c r="O471">
        <v>0</v>
      </c>
      <c r="P471">
        <v>0</v>
      </c>
      <c r="Q471" t="s">
        <v>108</v>
      </c>
    </row>
    <row r="472" spans="1:17">
      <c r="A472" t="s">
        <v>93</v>
      </c>
      <c r="B472" t="s">
        <v>106</v>
      </c>
      <c r="C472" t="s">
        <v>56</v>
      </c>
      <c r="D472" t="s">
        <v>255</v>
      </c>
      <c r="E472">
        <v>4</v>
      </c>
      <c r="F472" t="str">
        <f>VLOOKUP(E472,[1]LOJA!$A:$B,2,0)</f>
        <v>ADE</v>
      </c>
      <c r="G472" t="s">
        <v>19</v>
      </c>
      <c r="H472" t="s">
        <v>19</v>
      </c>
      <c r="I472" s="1">
        <v>46041</v>
      </c>
      <c r="J472" s="1">
        <v>46040</v>
      </c>
      <c r="K472" s="1">
        <v>46041</v>
      </c>
      <c r="L472">
        <v>30</v>
      </c>
      <c r="M472">
        <v>0.56000000000000005</v>
      </c>
      <c r="N472">
        <v>0.56000000000000005</v>
      </c>
      <c r="O472">
        <v>0</v>
      </c>
      <c r="P472">
        <v>0</v>
      </c>
      <c r="Q472" t="s">
        <v>108</v>
      </c>
    </row>
    <row r="473" spans="1:17">
      <c r="A473" t="s">
        <v>93</v>
      </c>
      <c r="B473" t="s">
        <v>106</v>
      </c>
      <c r="C473" t="s">
        <v>56</v>
      </c>
      <c r="D473" t="s">
        <v>256</v>
      </c>
      <c r="E473">
        <v>4</v>
      </c>
      <c r="F473" t="str">
        <f>VLOOKUP(E473,[1]LOJA!$A:$B,2,0)</f>
        <v>ADE</v>
      </c>
      <c r="G473" t="s">
        <v>19</v>
      </c>
      <c r="H473" t="s">
        <v>19</v>
      </c>
      <c r="I473" s="1">
        <v>46041</v>
      </c>
      <c r="J473" s="1">
        <v>46040</v>
      </c>
      <c r="K473" s="1">
        <v>46041</v>
      </c>
      <c r="L473">
        <v>30</v>
      </c>
      <c r="M473">
        <v>0.86</v>
      </c>
      <c r="N473">
        <v>0.86</v>
      </c>
      <c r="O473">
        <v>0</v>
      </c>
      <c r="P473">
        <v>0</v>
      </c>
      <c r="Q473" t="s">
        <v>108</v>
      </c>
    </row>
    <row r="474" spans="1:17">
      <c r="A474" t="s">
        <v>93</v>
      </c>
      <c r="B474" t="s">
        <v>106</v>
      </c>
      <c r="C474" t="s">
        <v>56</v>
      </c>
      <c r="D474" t="s">
        <v>257</v>
      </c>
      <c r="E474">
        <v>4</v>
      </c>
      <c r="F474" t="str">
        <f>VLOOKUP(E474,[1]LOJA!$A:$B,2,0)</f>
        <v>ADE</v>
      </c>
      <c r="G474" t="s">
        <v>19</v>
      </c>
      <c r="H474" t="s">
        <v>19</v>
      </c>
      <c r="I474" s="1">
        <v>46041</v>
      </c>
      <c r="J474" s="1">
        <v>46040</v>
      </c>
      <c r="K474" s="1">
        <v>46041</v>
      </c>
      <c r="L474">
        <v>30</v>
      </c>
      <c r="M474">
        <v>4.1100000000000003</v>
      </c>
      <c r="N474">
        <v>4.1100000000000003</v>
      </c>
      <c r="O474">
        <v>0</v>
      </c>
      <c r="P474">
        <v>0</v>
      </c>
      <c r="Q474" t="s">
        <v>108</v>
      </c>
    </row>
    <row r="475" spans="1:17">
      <c r="A475" t="s">
        <v>93</v>
      </c>
      <c r="B475" t="s">
        <v>106</v>
      </c>
      <c r="C475" t="s">
        <v>56</v>
      </c>
      <c r="D475" t="s">
        <v>258</v>
      </c>
      <c r="E475">
        <v>4</v>
      </c>
      <c r="F475" t="str">
        <f>VLOOKUP(E475,[1]LOJA!$A:$B,2,0)</f>
        <v>ADE</v>
      </c>
      <c r="G475" t="s">
        <v>19</v>
      </c>
      <c r="H475" t="s">
        <v>19</v>
      </c>
      <c r="I475" s="1">
        <v>46041</v>
      </c>
      <c r="J475" s="1">
        <v>46040</v>
      </c>
      <c r="K475" s="1">
        <v>46041</v>
      </c>
      <c r="L475">
        <v>30</v>
      </c>
      <c r="M475">
        <v>2.42</v>
      </c>
      <c r="N475">
        <v>2.42</v>
      </c>
      <c r="O475">
        <v>0</v>
      </c>
      <c r="P475">
        <v>0</v>
      </c>
      <c r="Q475" t="s">
        <v>108</v>
      </c>
    </row>
    <row r="476" spans="1:17">
      <c r="A476" t="s">
        <v>93</v>
      </c>
      <c r="B476" t="s">
        <v>106</v>
      </c>
      <c r="C476" t="s">
        <v>56</v>
      </c>
      <c r="D476" t="s">
        <v>259</v>
      </c>
      <c r="E476">
        <v>4</v>
      </c>
      <c r="F476" t="str">
        <f>VLOOKUP(E476,[1]LOJA!$A:$B,2,0)</f>
        <v>ADE</v>
      </c>
      <c r="G476" t="s">
        <v>19</v>
      </c>
      <c r="H476" t="s">
        <v>19</v>
      </c>
      <c r="I476" s="1">
        <v>46041</v>
      </c>
      <c r="J476" s="1">
        <v>46040</v>
      </c>
      <c r="K476" s="1">
        <v>46041</v>
      </c>
      <c r="L476">
        <v>30</v>
      </c>
      <c r="M476">
        <v>2.7</v>
      </c>
      <c r="N476">
        <v>2.7</v>
      </c>
      <c r="O476">
        <v>0</v>
      </c>
      <c r="P476">
        <v>0</v>
      </c>
      <c r="Q476" t="s">
        <v>108</v>
      </c>
    </row>
    <row r="477" spans="1:17">
      <c r="A477" t="s">
        <v>93</v>
      </c>
      <c r="B477" t="s">
        <v>106</v>
      </c>
      <c r="C477" t="s">
        <v>56</v>
      </c>
      <c r="D477" t="s">
        <v>260</v>
      </c>
      <c r="E477">
        <v>4</v>
      </c>
      <c r="F477" t="str">
        <f>VLOOKUP(E477,[1]LOJA!$A:$B,2,0)</f>
        <v>ADE</v>
      </c>
      <c r="G477" t="s">
        <v>19</v>
      </c>
      <c r="H477" t="s">
        <v>19</v>
      </c>
      <c r="I477" s="1">
        <v>46041</v>
      </c>
      <c r="J477" s="1">
        <v>46040</v>
      </c>
      <c r="K477" s="1">
        <v>46041</v>
      </c>
      <c r="L477">
        <v>30</v>
      </c>
      <c r="M477">
        <v>5.01</v>
      </c>
      <c r="N477">
        <v>5.01</v>
      </c>
      <c r="O477">
        <v>0</v>
      </c>
      <c r="P477">
        <v>0</v>
      </c>
      <c r="Q477" t="s">
        <v>108</v>
      </c>
    </row>
    <row r="478" spans="1:17">
      <c r="A478" t="s">
        <v>93</v>
      </c>
      <c r="B478" t="s">
        <v>106</v>
      </c>
      <c r="C478" t="s">
        <v>56</v>
      </c>
      <c r="D478" t="s">
        <v>261</v>
      </c>
      <c r="E478">
        <v>4</v>
      </c>
      <c r="F478" t="str">
        <f>VLOOKUP(E478,[1]LOJA!$A:$B,2,0)</f>
        <v>ADE</v>
      </c>
      <c r="G478" t="s">
        <v>19</v>
      </c>
      <c r="H478" t="s">
        <v>19</v>
      </c>
      <c r="I478" s="1">
        <v>46041</v>
      </c>
      <c r="J478" s="1">
        <v>46040</v>
      </c>
      <c r="K478" s="1">
        <v>46041</v>
      </c>
      <c r="L478">
        <v>30</v>
      </c>
      <c r="M478">
        <v>0.48</v>
      </c>
      <c r="N478">
        <v>0.48</v>
      </c>
      <c r="O478">
        <v>0</v>
      </c>
      <c r="P478">
        <v>0</v>
      </c>
      <c r="Q478" t="s">
        <v>108</v>
      </c>
    </row>
    <row r="479" spans="1:17">
      <c r="A479" t="s">
        <v>93</v>
      </c>
      <c r="B479" t="s">
        <v>106</v>
      </c>
      <c r="C479" t="s">
        <v>56</v>
      </c>
      <c r="D479" t="s">
        <v>262</v>
      </c>
      <c r="E479">
        <v>4</v>
      </c>
      <c r="F479" t="str">
        <f>VLOOKUP(E479,[1]LOJA!$A:$B,2,0)</f>
        <v>ADE</v>
      </c>
      <c r="G479" t="s">
        <v>19</v>
      </c>
      <c r="H479" t="s">
        <v>19</v>
      </c>
      <c r="I479" s="1">
        <v>46041</v>
      </c>
      <c r="J479" s="1">
        <v>46040</v>
      </c>
      <c r="K479" s="1">
        <v>46041</v>
      </c>
      <c r="L479">
        <v>30</v>
      </c>
      <c r="M479">
        <v>2.42</v>
      </c>
      <c r="N479">
        <v>2.42</v>
      </c>
      <c r="O479">
        <v>0</v>
      </c>
      <c r="P479">
        <v>0</v>
      </c>
      <c r="Q479" t="s">
        <v>108</v>
      </c>
    </row>
    <row r="480" spans="1:17">
      <c r="A480" t="s">
        <v>93</v>
      </c>
      <c r="B480" t="s">
        <v>106</v>
      </c>
      <c r="C480" t="s">
        <v>56</v>
      </c>
      <c r="D480" t="s">
        <v>263</v>
      </c>
      <c r="E480">
        <v>4</v>
      </c>
      <c r="F480" t="str">
        <f>VLOOKUP(E480,[1]LOJA!$A:$B,2,0)</f>
        <v>ADE</v>
      </c>
      <c r="G480" t="s">
        <v>19</v>
      </c>
      <c r="H480" t="s">
        <v>19</v>
      </c>
      <c r="I480" s="1">
        <v>46041</v>
      </c>
      <c r="J480" s="1">
        <v>46041</v>
      </c>
      <c r="K480" s="1">
        <v>46041</v>
      </c>
      <c r="L480">
        <v>30</v>
      </c>
      <c r="M480">
        <v>3.33</v>
      </c>
      <c r="N480">
        <v>3.33</v>
      </c>
      <c r="O480">
        <v>0</v>
      </c>
      <c r="P480">
        <v>0</v>
      </c>
      <c r="Q480" t="s">
        <v>108</v>
      </c>
    </row>
    <row r="481" spans="1:17">
      <c r="A481" t="s">
        <v>93</v>
      </c>
      <c r="B481" t="s">
        <v>106</v>
      </c>
      <c r="C481" t="s">
        <v>56</v>
      </c>
      <c r="D481" t="s">
        <v>264</v>
      </c>
      <c r="E481">
        <v>4</v>
      </c>
      <c r="F481" t="str">
        <f>VLOOKUP(E481,[1]LOJA!$A:$B,2,0)</f>
        <v>ADE</v>
      </c>
      <c r="G481" t="s">
        <v>19</v>
      </c>
      <c r="H481" t="s">
        <v>19</v>
      </c>
      <c r="I481" s="1">
        <v>46041</v>
      </c>
      <c r="J481" s="1">
        <v>46041</v>
      </c>
      <c r="K481" s="1">
        <v>46041</v>
      </c>
      <c r="L481">
        <v>30</v>
      </c>
      <c r="M481">
        <v>0.89</v>
      </c>
      <c r="N481">
        <v>0.89</v>
      </c>
      <c r="O481">
        <v>0</v>
      </c>
      <c r="P481">
        <v>0</v>
      </c>
      <c r="Q481" t="s">
        <v>108</v>
      </c>
    </row>
    <row r="482" spans="1:17">
      <c r="A482" t="s">
        <v>93</v>
      </c>
      <c r="B482" t="s">
        <v>106</v>
      </c>
      <c r="C482" t="s">
        <v>56</v>
      </c>
      <c r="D482" t="s">
        <v>265</v>
      </c>
      <c r="E482">
        <v>4</v>
      </c>
      <c r="F482" t="str">
        <f>VLOOKUP(E482,[1]LOJA!$A:$B,2,0)</f>
        <v>ADE</v>
      </c>
      <c r="G482" t="s">
        <v>19</v>
      </c>
      <c r="H482" t="s">
        <v>19</v>
      </c>
      <c r="I482" s="1">
        <v>46041</v>
      </c>
      <c r="J482" s="1">
        <v>46041</v>
      </c>
      <c r="K482" s="1">
        <v>46041</v>
      </c>
      <c r="L482">
        <v>30</v>
      </c>
      <c r="M482">
        <v>1.96</v>
      </c>
      <c r="N482">
        <v>1.96</v>
      </c>
      <c r="O482">
        <v>0</v>
      </c>
      <c r="P482">
        <v>0</v>
      </c>
      <c r="Q482" t="s">
        <v>108</v>
      </c>
    </row>
    <row r="483" spans="1:17">
      <c r="A483" t="s">
        <v>93</v>
      </c>
      <c r="B483" t="s">
        <v>106</v>
      </c>
      <c r="C483" t="s">
        <v>56</v>
      </c>
      <c r="D483" t="s">
        <v>266</v>
      </c>
      <c r="E483">
        <v>4</v>
      </c>
      <c r="F483" t="str">
        <f>VLOOKUP(E483,[1]LOJA!$A:$B,2,0)</f>
        <v>ADE</v>
      </c>
      <c r="G483" t="s">
        <v>19</v>
      </c>
      <c r="H483" t="s">
        <v>19</v>
      </c>
      <c r="I483" s="1">
        <v>46041</v>
      </c>
      <c r="J483" s="1">
        <v>46039</v>
      </c>
      <c r="K483" s="1">
        <v>46041</v>
      </c>
      <c r="L483">
        <v>30</v>
      </c>
      <c r="M483">
        <v>0.91</v>
      </c>
      <c r="N483">
        <v>0.91</v>
      </c>
      <c r="O483">
        <v>0</v>
      </c>
      <c r="P483">
        <v>0</v>
      </c>
      <c r="Q483" t="s">
        <v>108</v>
      </c>
    </row>
    <row r="484" spans="1:17">
      <c r="A484" t="s">
        <v>93</v>
      </c>
      <c r="B484" t="s">
        <v>106</v>
      </c>
      <c r="C484" t="s">
        <v>56</v>
      </c>
      <c r="D484" t="s">
        <v>267</v>
      </c>
      <c r="E484">
        <v>4</v>
      </c>
      <c r="F484" t="str">
        <f>VLOOKUP(E484,[1]LOJA!$A:$B,2,0)</f>
        <v>ADE</v>
      </c>
      <c r="G484" t="s">
        <v>19</v>
      </c>
      <c r="H484" t="s">
        <v>19</v>
      </c>
      <c r="I484" s="1">
        <v>46041</v>
      </c>
      <c r="J484" s="1">
        <v>46039</v>
      </c>
      <c r="K484" s="1">
        <v>46041</v>
      </c>
      <c r="L484">
        <v>30</v>
      </c>
      <c r="M484">
        <v>3.22</v>
      </c>
      <c r="N484">
        <v>3.22</v>
      </c>
      <c r="O484">
        <v>0</v>
      </c>
      <c r="P484">
        <v>0</v>
      </c>
      <c r="Q484" t="s">
        <v>108</v>
      </c>
    </row>
    <row r="485" spans="1:17">
      <c r="A485" t="s">
        <v>93</v>
      </c>
      <c r="B485" t="s">
        <v>106</v>
      </c>
      <c r="C485" t="s">
        <v>56</v>
      </c>
      <c r="D485" t="s">
        <v>268</v>
      </c>
      <c r="E485">
        <v>4</v>
      </c>
      <c r="F485" t="str">
        <f>VLOOKUP(E485,[1]LOJA!$A:$B,2,0)</f>
        <v>ADE</v>
      </c>
      <c r="G485" t="s">
        <v>19</v>
      </c>
      <c r="H485" t="s">
        <v>19</v>
      </c>
      <c r="I485" s="1">
        <v>46041</v>
      </c>
      <c r="J485" s="1">
        <v>46039</v>
      </c>
      <c r="K485" s="1">
        <v>46041</v>
      </c>
      <c r="L485">
        <v>30</v>
      </c>
      <c r="M485">
        <v>0.47</v>
      </c>
      <c r="N485">
        <v>0.47</v>
      </c>
      <c r="O485">
        <v>0</v>
      </c>
      <c r="P485">
        <v>0</v>
      </c>
      <c r="Q485" t="s">
        <v>108</v>
      </c>
    </row>
    <row r="486" spans="1:17">
      <c r="A486" t="s">
        <v>93</v>
      </c>
      <c r="B486" t="s">
        <v>106</v>
      </c>
      <c r="C486" t="s">
        <v>56</v>
      </c>
      <c r="D486" t="s">
        <v>269</v>
      </c>
      <c r="E486">
        <v>4</v>
      </c>
      <c r="F486" t="str">
        <f>VLOOKUP(E486,[1]LOJA!$A:$B,2,0)</f>
        <v>ADE</v>
      </c>
      <c r="G486" t="s">
        <v>19</v>
      </c>
      <c r="H486" t="s">
        <v>19</v>
      </c>
      <c r="I486" s="1">
        <v>46041</v>
      </c>
      <c r="J486" s="1">
        <v>46040</v>
      </c>
      <c r="K486" s="1">
        <v>46041</v>
      </c>
      <c r="L486">
        <v>30</v>
      </c>
      <c r="M486">
        <v>0.63</v>
      </c>
      <c r="N486">
        <v>0.63</v>
      </c>
      <c r="O486">
        <v>0</v>
      </c>
      <c r="P486">
        <v>0</v>
      </c>
      <c r="Q486" t="s">
        <v>108</v>
      </c>
    </row>
    <row r="487" spans="1:17">
      <c r="A487" t="s">
        <v>93</v>
      </c>
      <c r="B487" t="s">
        <v>106</v>
      </c>
      <c r="C487" t="s">
        <v>56</v>
      </c>
      <c r="D487" t="s">
        <v>270</v>
      </c>
      <c r="E487">
        <v>4</v>
      </c>
      <c r="F487" t="str">
        <f>VLOOKUP(E487,[1]LOJA!$A:$B,2,0)</f>
        <v>ADE</v>
      </c>
      <c r="G487" t="s">
        <v>19</v>
      </c>
      <c r="H487" t="s">
        <v>19</v>
      </c>
      <c r="I487" s="1">
        <v>46042</v>
      </c>
      <c r="J487" s="1">
        <v>46042</v>
      </c>
      <c r="K487" s="1">
        <v>46042</v>
      </c>
      <c r="L487">
        <v>30</v>
      </c>
      <c r="M487">
        <v>2.15</v>
      </c>
      <c r="N487">
        <v>2.15</v>
      </c>
      <c r="O487">
        <v>0</v>
      </c>
      <c r="P487">
        <v>0</v>
      </c>
      <c r="Q487" t="s">
        <v>108</v>
      </c>
    </row>
    <row r="488" spans="1:17">
      <c r="A488" t="s">
        <v>93</v>
      </c>
      <c r="B488" t="s">
        <v>106</v>
      </c>
      <c r="C488" t="s">
        <v>56</v>
      </c>
      <c r="D488" t="s">
        <v>271</v>
      </c>
      <c r="E488">
        <v>4</v>
      </c>
      <c r="F488" t="str">
        <f>VLOOKUP(E488,[1]LOJA!$A:$B,2,0)</f>
        <v>ADE</v>
      </c>
      <c r="G488" t="s">
        <v>19</v>
      </c>
      <c r="H488" t="s">
        <v>19</v>
      </c>
      <c r="I488" s="1">
        <v>46042</v>
      </c>
      <c r="J488" s="1">
        <v>46042</v>
      </c>
      <c r="K488" s="1">
        <v>46042</v>
      </c>
      <c r="L488">
        <v>30</v>
      </c>
      <c r="M488">
        <v>5.12</v>
      </c>
      <c r="N488">
        <v>5.12</v>
      </c>
      <c r="O488">
        <v>0</v>
      </c>
      <c r="P488">
        <v>0</v>
      </c>
      <c r="Q488" t="s">
        <v>108</v>
      </c>
    </row>
    <row r="489" spans="1:17">
      <c r="A489" t="s">
        <v>93</v>
      </c>
      <c r="B489" t="s">
        <v>106</v>
      </c>
      <c r="C489" t="s">
        <v>56</v>
      </c>
      <c r="D489" t="s">
        <v>272</v>
      </c>
      <c r="E489">
        <v>4</v>
      </c>
      <c r="F489" t="str">
        <f>VLOOKUP(E489,[1]LOJA!$A:$B,2,0)</f>
        <v>ADE</v>
      </c>
      <c r="G489" t="s">
        <v>19</v>
      </c>
      <c r="H489" t="s">
        <v>19</v>
      </c>
      <c r="I489" s="1">
        <v>46042</v>
      </c>
      <c r="J489" s="1">
        <v>46042</v>
      </c>
      <c r="K489" s="1">
        <v>46042</v>
      </c>
      <c r="L489">
        <v>30</v>
      </c>
      <c r="M489">
        <v>0.49</v>
      </c>
      <c r="N489">
        <v>0.49</v>
      </c>
      <c r="O489">
        <v>0</v>
      </c>
      <c r="P489">
        <v>0</v>
      </c>
      <c r="Q489" t="s">
        <v>108</v>
      </c>
    </row>
    <row r="490" spans="1:17">
      <c r="A490" t="s">
        <v>93</v>
      </c>
      <c r="B490" t="s">
        <v>106</v>
      </c>
      <c r="C490" t="s">
        <v>56</v>
      </c>
      <c r="D490" t="s">
        <v>273</v>
      </c>
      <c r="E490">
        <v>4</v>
      </c>
      <c r="F490" t="str">
        <f>VLOOKUP(E490,[1]LOJA!$A:$B,2,0)</f>
        <v>ADE</v>
      </c>
      <c r="G490" t="s">
        <v>19</v>
      </c>
      <c r="H490" t="s">
        <v>19</v>
      </c>
      <c r="I490" s="1">
        <v>46042</v>
      </c>
      <c r="J490" s="1">
        <v>46042</v>
      </c>
      <c r="K490" s="1">
        <v>46042</v>
      </c>
      <c r="L490">
        <v>30</v>
      </c>
      <c r="M490">
        <v>6.84</v>
      </c>
      <c r="N490">
        <v>6.84</v>
      </c>
      <c r="O490">
        <v>0</v>
      </c>
      <c r="P490">
        <v>0</v>
      </c>
      <c r="Q490" t="s">
        <v>108</v>
      </c>
    </row>
    <row r="491" spans="1:17">
      <c r="A491" t="s">
        <v>93</v>
      </c>
      <c r="B491" t="s">
        <v>106</v>
      </c>
      <c r="C491" t="s">
        <v>56</v>
      </c>
      <c r="D491" t="s">
        <v>274</v>
      </c>
      <c r="E491">
        <v>4</v>
      </c>
      <c r="F491" t="str">
        <f>VLOOKUP(E491,[1]LOJA!$A:$B,2,0)</f>
        <v>ADE</v>
      </c>
      <c r="G491" t="s">
        <v>19</v>
      </c>
      <c r="H491" t="s">
        <v>19</v>
      </c>
      <c r="I491" s="1">
        <v>46042</v>
      </c>
      <c r="J491" s="1">
        <v>46042</v>
      </c>
      <c r="K491" s="1">
        <v>46042</v>
      </c>
      <c r="L491">
        <v>30</v>
      </c>
      <c r="M491">
        <v>0.57999999999999996</v>
      </c>
      <c r="N491">
        <v>0.57999999999999996</v>
      </c>
      <c r="O491">
        <v>0</v>
      </c>
      <c r="P491">
        <v>0</v>
      </c>
      <c r="Q491" t="s">
        <v>108</v>
      </c>
    </row>
    <row r="492" spans="1:17">
      <c r="A492" t="s">
        <v>93</v>
      </c>
      <c r="B492" t="s">
        <v>106</v>
      </c>
      <c r="C492" t="s">
        <v>56</v>
      </c>
      <c r="D492" t="s">
        <v>275</v>
      </c>
      <c r="E492">
        <v>4</v>
      </c>
      <c r="F492" t="str">
        <f>VLOOKUP(E492,[1]LOJA!$A:$B,2,0)</f>
        <v>ADE</v>
      </c>
      <c r="G492" t="s">
        <v>19</v>
      </c>
      <c r="H492" t="s">
        <v>19</v>
      </c>
      <c r="I492" s="1">
        <v>46042</v>
      </c>
      <c r="J492" s="1">
        <v>46042</v>
      </c>
      <c r="K492" s="1">
        <v>46042</v>
      </c>
      <c r="L492">
        <v>30</v>
      </c>
      <c r="M492">
        <v>0.35</v>
      </c>
      <c r="N492">
        <v>0.35</v>
      </c>
      <c r="O492">
        <v>0</v>
      </c>
      <c r="P492">
        <v>0</v>
      </c>
      <c r="Q492" t="s">
        <v>108</v>
      </c>
    </row>
    <row r="493" spans="1:17">
      <c r="A493" t="s">
        <v>93</v>
      </c>
      <c r="B493" t="s">
        <v>106</v>
      </c>
      <c r="C493" t="s">
        <v>56</v>
      </c>
      <c r="D493" t="s">
        <v>276</v>
      </c>
      <c r="E493">
        <v>4</v>
      </c>
      <c r="F493" t="str">
        <f>VLOOKUP(E493,[1]LOJA!$A:$B,2,0)</f>
        <v>ADE</v>
      </c>
      <c r="G493" t="s">
        <v>19</v>
      </c>
      <c r="H493" t="s">
        <v>19</v>
      </c>
      <c r="I493" s="1">
        <v>46042</v>
      </c>
      <c r="J493" s="1">
        <v>46042</v>
      </c>
      <c r="K493" s="1">
        <v>46042</v>
      </c>
      <c r="L493">
        <v>30</v>
      </c>
      <c r="M493">
        <v>7.0000000000000007E-2</v>
      </c>
      <c r="N493">
        <v>7.0000000000000007E-2</v>
      </c>
      <c r="O493">
        <v>0</v>
      </c>
      <c r="P493">
        <v>0</v>
      </c>
      <c r="Q493" t="s">
        <v>108</v>
      </c>
    </row>
    <row r="494" spans="1:17">
      <c r="A494" t="s">
        <v>93</v>
      </c>
      <c r="B494" t="s">
        <v>106</v>
      </c>
      <c r="C494" t="s">
        <v>56</v>
      </c>
      <c r="D494" t="s">
        <v>277</v>
      </c>
      <c r="E494">
        <v>4</v>
      </c>
      <c r="F494" t="str">
        <f>VLOOKUP(E494,[1]LOJA!$A:$B,2,0)</f>
        <v>ADE</v>
      </c>
      <c r="G494" t="s">
        <v>19</v>
      </c>
      <c r="H494" t="s">
        <v>19</v>
      </c>
      <c r="I494" s="1">
        <v>46042</v>
      </c>
      <c r="J494" s="1">
        <v>46042</v>
      </c>
      <c r="K494" s="1">
        <v>46042</v>
      </c>
      <c r="L494">
        <v>30</v>
      </c>
      <c r="M494">
        <v>0.1</v>
      </c>
      <c r="N494">
        <v>0.1</v>
      </c>
      <c r="O494">
        <v>0</v>
      </c>
      <c r="P494">
        <v>0</v>
      </c>
      <c r="Q494" t="s">
        <v>108</v>
      </c>
    </row>
    <row r="495" spans="1:17">
      <c r="A495" t="s">
        <v>93</v>
      </c>
      <c r="B495" t="s">
        <v>106</v>
      </c>
      <c r="C495" t="s">
        <v>56</v>
      </c>
      <c r="D495" t="s">
        <v>278</v>
      </c>
      <c r="E495">
        <v>4</v>
      </c>
      <c r="F495" t="str">
        <f>VLOOKUP(E495,[1]LOJA!$A:$B,2,0)</f>
        <v>ADE</v>
      </c>
      <c r="G495" t="s">
        <v>19</v>
      </c>
      <c r="H495" t="s">
        <v>19</v>
      </c>
      <c r="I495" s="1">
        <v>46043</v>
      </c>
      <c r="J495" s="1">
        <v>46043</v>
      </c>
      <c r="K495" s="1">
        <v>46043</v>
      </c>
      <c r="L495">
        <v>30</v>
      </c>
      <c r="M495">
        <v>17.22</v>
      </c>
      <c r="N495">
        <v>17.22</v>
      </c>
      <c r="O495">
        <v>0</v>
      </c>
      <c r="P495">
        <v>0</v>
      </c>
      <c r="Q495" t="s">
        <v>108</v>
      </c>
    </row>
    <row r="496" spans="1:17">
      <c r="A496" t="s">
        <v>93</v>
      </c>
      <c r="B496" t="s">
        <v>106</v>
      </c>
      <c r="C496" t="s">
        <v>56</v>
      </c>
      <c r="D496" t="s">
        <v>279</v>
      </c>
      <c r="E496">
        <v>4</v>
      </c>
      <c r="F496" t="str">
        <f>VLOOKUP(E496,[1]LOJA!$A:$B,2,0)</f>
        <v>ADE</v>
      </c>
      <c r="G496" t="s">
        <v>19</v>
      </c>
      <c r="H496" t="s">
        <v>19</v>
      </c>
      <c r="I496" s="1">
        <v>46043</v>
      </c>
      <c r="J496" s="1">
        <v>46043</v>
      </c>
      <c r="K496" s="1">
        <v>46043</v>
      </c>
      <c r="L496">
        <v>30</v>
      </c>
      <c r="M496">
        <v>5.1100000000000003</v>
      </c>
      <c r="N496">
        <v>5.1100000000000003</v>
      </c>
      <c r="O496">
        <v>0</v>
      </c>
      <c r="P496">
        <v>0</v>
      </c>
      <c r="Q496" t="s">
        <v>108</v>
      </c>
    </row>
    <row r="497" spans="1:17">
      <c r="A497" t="s">
        <v>93</v>
      </c>
      <c r="B497" t="s">
        <v>106</v>
      </c>
      <c r="C497" t="s">
        <v>56</v>
      </c>
      <c r="D497" t="s">
        <v>280</v>
      </c>
      <c r="E497">
        <v>4</v>
      </c>
      <c r="F497" t="str">
        <f>VLOOKUP(E497,[1]LOJA!$A:$B,2,0)</f>
        <v>ADE</v>
      </c>
      <c r="G497" t="s">
        <v>19</v>
      </c>
      <c r="H497" t="s">
        <v>19</v>
      </c>
      <c r="I497" s="1">
        <v>46043</v>
      </c>
      <c r="J497" s="1">
        <v>46043</v>
      </c>
      <c r="K497" s="1">
        <v>46043</v>
      </c>
      <c r="L497">
        <v>30</v>
      </c>
      <c r="M497">
        <v>1.41</v>
      </c>
      <c r="N497">
        <v>1.41</v>
      </c>
      <c r="O497">
        <v>0</v>
      </c>
      <c r="P497">
        <v>0</v>
      </c>
      <c r="Q497" t="s">
        <v>108</v>
      </c>
    </row>
    <row r="498" spans="1:17">
      <c r="A498" t="s">
        <v>93</v>
      </c>
      <c r="B498" t="s">
        <v>106</v>
      </c>
      <c r="C498" t="s">
        <v>56</v>
      </c>
      <c r="D498" t="s">
        <v>281</v>
      </c>
      <c r="E498">
        <v>4</v>
      </c>
      <c r="F498" t="str">
        <f>VLOOKUP(E498,[1]LOJA!$A:$B,2,0)</f>
        <v>ADE</v>
      </c>
      <c r="G498" t="s">
        <v>19</v>
      </c>
      <c r="H498" t="s">
        <v>19</v>
      </c>
      <c r="I498" s="1">
        <v>46043</v>
      </c>
      <c r="J498" s="1">
        <v>46043</v>
      </c>
      <c r="K498" s="1">
        <v>46043</v>
      </c>
      <c r="L498">
        <v>30</v>
      </c>
      <c r="M498">
        <v>3.53</v>
      </c>
      <c r="N498">
        <v>3.53</v>
      </c>
      <c r="O498">
        <v>0</v>
      </c>
      <c r="P498">
        <v>0</v>
      </c>
      <c r="Q498" t="s">
        <v>108</v>
      </c>
    </row>
    <row r="499" spans="1:17">
      <c r="A499" t="s">
        <v>93</v>
      </c>
      <c r="B499" t="s">
        <v>106</v>
      </c>
      <c r="C499" t="s">
        <v>56</v>
      </c>
      <c r="D499" t="s">
        <v>282</v>
      </c>
      <c r="E499">
        <v>4</v>
      </c>
      <c r="F499" t="str">
        <f>VLOOKUP(E499,[1]LOJA!$A:$B,2,0)</f>
        <v>ADE</v>
      </c>
      <c r="G499" t="s">
        <v>19</v>
      </c>
      <c r="H499" t="s">
        <v>19</v>
      </c>
      <c r="I499" s="1">
        <v>46043</v>
      </c>
      <c r="J499" s="1">
        <v>46043</v>
      </c>
      <c r="K499" s="1">
        <v>46043</v>
      </c>
      <c r="L499">
        <v>30</v>
      </c>
      <c r="M499">
        <v>1.79</v>
      </c>
      <c r="N499">
        <v>1.79</v>
      </c>
      <c r="O499">
        <v>0</v>
      </c>
      <c r="P499">
        <v>0</v>
      </c>
      <c r="Q499" t="s">
        <v>108</v>
      </c>
    </row>
    <row r="500" spans="1:17">
      <c r="A500" t="s">
        <v>93</v>
      </c>
      <c r="B500" t="s">
        <v>106</v>
      </c>
      <c r="C500" t="s">
        <v>56</v>
      </c>
      <c r="D500" t="s">
        <v>283</v>
      </c>
      <c r="E500">
        <v>4</v>
      </c>
      <c r="F500" t="str">
        <f>VLOOKUP(E500,[1]LOJA!$A:$B,2,0)</f>
        <v>ADE</v>
      </c>
      <c r="G500" t="s">
        <v>19</v>
      </c>
      <c r="H500" t="s">
        <v>19</v>
      </c>
      <c r="I500" s="1">
        <v>46043</v>
      </c>
      <c r="J500" s="1">
        <v>46043</v>
      </c>
      <c r="K500" s="1">
        <v>46043</v>
      </c>
      <c r="L500">
        <v>30</v>
      </c>
      <c r="M500">
        <v>0.21</v>
      </c>
      <c r="N500">
        <v>0.21</v>
      </c>
      <c r="O500">
        <v>0</v>
      </c>
      <c r="P500">
        <v>0</v>
      </c>
      <c r="Q500" t="s">
        <v>108</v>
      </c>
    </row>
    <row r="501" spans="1:17">
      <c r="A501" t="s">
        <v>93</v>
      </c>
      <c r="B501" t="s">
        <v>106</v>
      </c>
      <c r="C501" t="s">
        <v>56</v>
      </c>
      <c r="D501" t="s">
        <v>284</v>
      </c>
      <c r="E501">
        <v>4</v>
      </c>
      <c r="F501" t="str">
        <f>VLOOKUP(E501,[1]LOJA!$A:$B,2,0)</f>
        <v>ADE</v>
      </c>
      <c r="G501" t="s">
        <v>19</v>
      </c>
      <c r="H501" t="s">
        <v>19</v>
      </c>
      <c r="I501" s="1">
        <v>46043</v>
      </c>
      <c r="J501" s="1">
        <v>46043</v>
      </c>
      <c r="K501" s="1">
        <v>46043</v>
      </c>
      <c r="L501">
        <v>30</v>
      </c>
      <c r="M501">
        <v>0.4</v>
      </c>
      <c r="N501">
        <v>0.4</v>
      </c>
      <c r="O501">
        <v>0</v>
      </c>
      <c r="P501">
        <v>0</v>
      </c>
      <c r="Q501" t="s">
        <v>108</v>
      </c>
    </row>
    <row r="502" spans="1:17">
      <c r="A502" t="s">
        <v>93</v>
      </c>
      <c r="B502" t="s">
        <v>106</v>
      </c>
      <c r="C502" t="s">
        <v>56</v>
      </c>
      <c r="D502" t="s">
        <v>285</v>
      </c>
      <c r="E502">
        <v>4</v>
      </c>
      <c r="F502" t="str">
        <f>VLOOKUP(E502,[1]LOJA!$A:$B,2,0)</f>
        <v>ADE</v>
      </c>
      <c r="G502" t="s">
        <v>19</v>
      </c>
      <c r="H502" t="s">
        <v>19</v>
      </c>
      <c r="I502" s="1">
        <v>46044</v>
      </c>
      <c r="J502" s="1">
        <v>46044</v>
      </c>
      <c r="K502" s="1">
        <v>46044</v>
      </c>
      <c r="L502">
        <v>30</v>
      </c>
      <c r="M502">
        <v>18.079999999999998</v>
      </c>
      <c r="N502">
        <v>18.079999999999998</v>
      </c>
      <c r="O502">
        <v>0</v>
      </c>
      <c r="P502">
        <v>0</v>
      </c>
      <c r="Q502" t="s">
        <v>108</v>
      </c>
    </row>
    <row r="503" spans="1:17">
      <c r="A503" t="s">
        <v>93</v>
      </c>
      <c r="B503" t="s">
        <v>106</v>
      </c>
      <c r="C503" t="s">
        <v>56</v>
      </c>
      <c r="D503" t="s">
        <v>286</v>
      </c>
      <c r="E503">
        <v>4</v>
      </c>
      <c r="F503" t="str">
        <f>VLOOKUP(E503,[1]LOJA!$A:$B,2,0)</f>
        <v>ADE</v>
      </c>
      <c r="G503" t="s">
        <v>19</v>
      </c>
      <c r="H503" t="s">
        <v>19</v>
      </c>
      <c r="I503" s="1">
        <v>46044</v>
      </c>
      <c r="J503" s="1">
        <v>46044</v>
      </c>
      <c r="K503" s="1">
        <v>46044</v>
      </c>
      <c r="L503">
        <v>30</v>
      </c>
      <c r="M503">
        <v>2.36</v>
      </c>
      <c r="N503">
        <v>2.36</v>
      </c>
      <c r="O503">
        <v>0</v>
      </c>
      <c r="P503">
        <v>0</v>
      </c>
      <c r="Q503" t="s">
        <v>108</v>
      </c>
    </row>
    <row r="504" spans="1:17">
      <c r="A504" t="s">
        <v>93</v>
      </c>
      <c r="B504" t="s">
        <v>106</v>
      </c>
      <c r="C504" t="s">
        <v>56</v>
      </c>
      <c r="D504" t="s">
        <v>287</v>
      </c>
      <c r="E504">
        <v>4</v>
      </c>
      <c r="F504" t="str">
        <f>VLOOKUP(E504,[1]LOJA!$A:$B,2,0)</f>
        <v>ADE</v>
      </c>
      <c r="G504" t="s">
        <v>19</v>
      </c>
      <c r="H504" t="s">
        <v>19</v>
      </c>
      <c r="I504" s="1">
        <v>46044</v>
      </c>
      <c r="J504" s="1">
        <v>46044</v>
      </c>
      <c r="K504" s="1">
        <v>46044</v>
      </c>
      <c r="L504">
        <v>30</v>
      </c>
      <c r="M504">
        <v>2.19</v>
      </c>
      <c r="N504">
        <v>2.19</v>
      </c>
      <c r="O504">
        <v>0</v>
      </c>
      <c r="P504">
        <v>0</v>
      </c>
      <c r="Q504" t="s">
        <v>108</v>
      </c>
    </row>
    <row r="505" spans="1:17">
      <c r="A505" t="s">
        <v>93</v>
      </c>
      <c r="B505" t="s">
        <v>106</v>
      </c>
      <c r="C505" t="s">
        <v>56</v>
      </c>
      <c r="D505" t="s">
        <v>288</v>
      </c>
      <c r="E505">
        <v>4</v>
      </c>
      <c r="F505" t="str">
        <f>VLOOKUP(E505,[1]LOJA!$A:$B,2,0)</f>
        <v>ADE</v>
      </c>
      <c r="G505" t="s">
        <v>19</v>
      </c>
      <c r="H505" t="s">
        <v>19</v>
      </c>
      <c r="I505" s="1">
        <v>46044</v>
      </c>
      <c r="J505" s="1">
        <v>46044</v>
      </c>
      <c r="K505" s="1">
        <v>46044</v>
      </c>
      <c r="L505">
        <v>30</v>
      </c>
      <c r="M505">
        <v>0.7</v>
      </c>
      <c r="N505">
        <v>0.7</v>
      </c>
      <c r="O505">
        <v>0</v>
      </c>
      <c r="P505">
        <v>0</v>
      </c>
      <c r="Q505" t="s">
        <v>108</v>
      </c>
    </row>
    <row r="506" spans="1:17">
      <c r="A506" t="s">
        <v>93</v>
      </c>
      <c r="B506" t="s">
        <v>106</v>
      </c>
      <c r="C506" t="s">
        <v>56</v>
      </c>
      <c r="D506" t="s">
        <v>289</v>
      </c>
      <c r="E506">
        <v>4</v>
      </c>
      <c r="F506" t="str">
        <f>VLOOKUP(E506,[1]LOJA!$A:$B,2,0)</f>
        <v>ADE</v>
      </c>
      <c r="G506" t="s">
        <v>19</v>
      </c>
      <c r="H506" t="s">
        <v>19</v>
      </c>
      <c r="I506" s="1">
        <v>46044</v>
      </c>
      <c r="J506" s="1">
        <v>46044</v>
      </c>
      <c r="K506" s="1">
        <v>46044</v>
      </c>
      <c r="L506">
        <v>30</v>
      </c>
      <c r="M506">
        <v>1.3</v>
      </c>
      <c r="N506">
        <v>1.3</v>
      </c>
      <c r="O506">
        <v>0</v>
      </c>
      <c r="P506">
        <v>0</v>
      </c>
      <c r="Q506" t="s">
        <v>108</v>
      </c>
    </row>
    <row r="507" spans="1:17">
      <c r="A507" t="s">
        <v>93</v>
      </c>
      <c r="B507" t="s">
        <v>106</v>
      </c>
      <c r="C507" t="s">
        <v>56</v>
      </c>
      <c r="D507" t="s">
        <v>290</v>
      </c>
      <c r="E507">
        <v>4</v>
      </c>
      <c r="F507" t="str">
        <f>VLOOKUP(E507,[1]LOJA!$A:$B,2,0)</f>
        <v>ADE</v>
      </c>
      <c r="G507" t="s">
        <v>19</v>
      </c>
      <c r="H507" t="s">
        <v>19</v>
      </c>
      <c r="I507" s="1">
        <v>46044</v>
      </c>
      <c r="J507" s="1">
        <v>46044</v>
      </c>
      <c r="K507" s="1">
        <v>46044</v>
      </c>
      <c r="L507">
        <v>30</v>
      </c>
      <c r="M507">
        <v>1.48</v>
      </c>
      <c r="N507">
        <v>1.48</v>
      </c>
      <c r="O507">
        <v>0</v>
      </c>
      <c r="P507">
        <v>0</v>
      </c>
      <c r="Q507" t="s">
        <v>108</v>
      </c>
    </row>
    <row r="508" spans="1:17">
      <c r="A508" t="s">
        <v>93</v>
      </c>
      <c r="B508" t="s">
        <v>106</v>
      </c>
      <c r="C508" t="s">
        <v>56</v>
      </c>
      <c r="D508" t="s">
        <v>291</v>
      </c>
      <c r="E508">
        <v>4</v>
      </c>
      <c r="F508" t="str">
        <f>VLOOKUP(E508,[1]LOJA!$A:$B,2,0)</f>
        <v>ADE</v>
      </c>
      <c r="G508" t="s">
        <v>19</v>
      </c>
      <c r="H508" t="s">
        <v>19</v>
      </c>
      <c r="I508" s="1">
        <v>46044</v>
      </c>
      <c r="J508" s="1">
        <v>46044</v>
      </c>
      <c r="K508" s="1">
        <v>46044</v>
      </c>
      <c r="L508">
        <v>30</v>
      </c>
      <c r="M508">
        <v>0.6</v>
      </c>
      <c r="N508">
        <v>0.6</v>
      </c>
      <c r="O508">
        <v>0</v>
      </c>
      <c r="P508">
        <v>0</v>
      </c>
      <c r="Q508" t="s">
        <v>108</v>
      </c>
    </row>
    <row r="509" spans="1:17">
      <c r="A509" t="s">
        <v>93</v>
      </c>
      <c r="B509" t="s">
        <v>106</v>
      </c>
      <c r="C509" t="s">
        <v>56</v>
      </c>
      <c r="D509" t="s">
        <v>292</v>
      </c>
      <c r="E509">
        <v>4</v>
      </c>
      <c r="F509" t="str">
        <f>VLOOKUP(E509,[1]LOJA!$A:$B,2,0)</f>
        <v>ADE</v>
      </c>
      <c r="G509" t="s">
        <v>19</v>
      </c>
      <c r="H509" t="s">
        <v>19</v>
      </c>
      <c r="I509" s="1">
        <v>46044</v>
      </c>
      <c r="J509" s="1">
        <v>46044</v>
      </c>
      <c r="K509" s="1">
        <v>46044</v>
      </c>
      <c r="L509">
        <v>30</v>
      </c>
      <c r="M509">
        <v>1.17</v>
      </c>
      <c r="N509">
        <v>1.17</v>
      </c>
      <c r="O509">
        <v>0</v>
      </c>
      <c r="P509">
        <v>0</v>
      </c>
      <c r="Q509" t="s">
        <v>108</v>
      </c>
    </row>
    <row r="510" spans="1:17">
      <c r="A510" t="s">
        <v>93</v>
      </c>
      <c r="B510" t="s">
        <v>106</v>
      </c>
      <c r="C510" t="s">
        <v>56</v>
      </c>
      <c r="D510" t="s">
        <v>293</v>
      </c>
      <c r="E510">
        <v>4</v>
      </c>
      <c r="F510" t="str">
        <f>VLOOKUP(E510,[1]LOJA!$A:$B,2,0)</f>
        <v>ADE</v>
      </c>
      <c r="G510" t="s">
        <v>19</v>
      </c>
      <c r="H510" t="s">
        <v>19</v>
      </c>
      <c r="I510" s="1">
        <v>46044</v>
      </c>
      <c r="J510" s="1">
        <v>46044</v>
      </c>
      <c r="K510" s="1">
        <v>46044</v>
      </c>
      <c r="L510">
        <v>30</v>
      </c>
      <c r="M510">
        <v>0.08</v>
      </c>
      <c r="N510">
        <v>0.08</v>
      </c>
      <c r="O510">
        <v>0</v>
      </c>
      <c r="P510">
        <v>0</v>
      </c>
      <c r="Q510" t="s">
        <v>108</v>
      </c>
    </row>
    <row r="511" spans="1:17">
      <c r="A511" t="s">
        <v>93</v>
      </c>
      <c r="B511" t="s">
        <v>106</v>
      </c>
      <c r="C511" t="s">
        <v>56</v>
      </c>
      <c r="D511" t="s">
        <v>294</v>
      </c>
      <c r="E511">
        <v>6</v>
      </c>
      <c r="F511" t="str">
        <f>VLOOKUP(E511,[1]LOJA!$A:$B,2,0)</f>
        <v>GAMA</v>
      </c>
      <c r="G511" t="s">
        <v>19</v>
      </c>
      <c r="H511" t="s">
        <v>19</v>
      </c>
      <c r="I511" s="1">
        <v>46024</v>
      </c>
      <c r="J511" s="1">
        <v>46024</v>
      </c>
      <c r="K511" s="1">
        <v>46024</v>
      </c>
      <c r="L511">
        <v>31</v>
      </c>
      <c r="M511">
        <v>4.1500000000000004</v>
      </c>
      <c r="N511">
        <v>4.1500000000000004</v>
      </c>
      <c r="O511">
        <v>0</v>
      </c>
      <c r="P511">
        <v>0</v>
      </c>
      <c r="Q511" t="s">
        <v>108</v>
      </c>
    </row>
    <row r="512" spans="1:17">
      <c r="A512" t="s">
        <v>93</v>
      </c>
      <c r="B512" t="s">
        <v>106</v>
      </c>
      <c r="C512" t="s">
        <v>56</v>
      </c>
      <c r="D512" t="s">
        <v>295</v>
      </c>
      <c r="E512">
        <v>6</v>
      </c>
      <c r="F512" t="str">
        <f>VLOOKUP(E512,[1]LOJA!$A:$B,2,0)</f>
        <v>GAMA</v>
      </c>
      <c r="G512" t="s">
        <v>19</v>
      </c>
      <c r="H512" t="s">
        <v>19</v>
      </c>
      <c r="I512" s="1">
        <v>46024</v>
      </c>
      <c r="J512" s="1">
        <v>46024</v>
      </c>
      <c r="K512" s="1">
        <v>46024</v>
      </c>
      <c r="L512">
        <v>31</v>
      </c>
      <c r="M512">
        <v>3.09</v>
      </c>
      <c r="N512">
        <v>3.09</v>
      </c>
      <c r="O512">
        <v>0</v>
      </c>
      <c r="P512">
        <v>0</v>
      </c>
      <c r="Q512" t="s">
        <v>108</v>
      </c>
    </row>
    <row r="513" spans="1:17">
      <c r="A513" t="s">
        <v>93</v>
      </c>
      <c r="B513" t="s">
        <v>106</v>
      </c>
      <c r="C513" t="s">
        <v>56</v>
      </c>
      <c r="D513" t="s">
        <v>296</v>
      </c>
      <c r="E513">
        <v>6</v>
      </c>
      <c r="F513" t="str">
        <f>VLOOKUP(E513,[1]LOJA!$A:$B,2,0)</f>
        <v>GAMA</v>
      </c>
      <c r="G513" t="s">
        <v>19</v>
      </c>
      <c r="H513" t="s">
        <v>19</v>
      </c>
      <c r="I513" s="1">
        <v>46024</v>
      </c>
      <c r="J513" s="1">
        <v>46024</v>
      </c>
      <c r="K513" s="1">
        <v>46024</v>
      </c>
      <c r="L513">
        <v>31</v>
      </c>
      <c r="M513">
        <v>2.71</v>
      </c>
      <c r="N513">
        <v>2.71</v>
      </c>
      <c r="O513">
        <v>0</v>
      </c>
      <c r="P513">
        <v>0</v>
      </c>
      <c r="Q513" t="s">
        <v>108</v>
      </c>
    </row>
    <row r="514" spans="1:17">
      <c r="A514" t="s">
        <v>93</v>
      </c>
      <c r="B514" t="s">
        <v>106</v>
      </c>
      <c r="C514" t="s">
        <v>56</v>
      </c>
      <c r="D514" t="s">
        <v>297</v>
      </c>
      <c r="E514">
        <v>6</v>
      </c>
      <c r="F514" t="str">
        <f>VLOOKUP(E514,[1]LOJA!$A:$B,2,0)</f>
        <v>GAMA</v>
      </c>
      <c r="G514" t="s">
        <v>19</v>
      </c>
      <c r="H514" t="s">
        <v>19</v>
      </c>
      <c r="I514" s="1">
        <v>46024</v>
      </c>
      <c r="J514" s="1">
        <v>46023</v>
      </c>
      <c r="K514" s="1">
        <v>46024</v>
      </c>
      <c r="L514">
        <v>31</v>
      </c>
      <c r="M514">
        <v>1.05</v>
      </c>
      <c r="N514">
        <v>1.05</v>
      </c>
      <c r="O514">
        <v>0</v>
      </c>
      <c r="P514">
        <v>0</v>
      </c>
      <c r="Q514" t="s">
        <v>108</v>
      </c>
    </row>
    <row r="515" spans="1:17">
      <c r="A515" t="s">
        <v>93</v>
      </c>
      <c r="B515" t="s">
        <v>106</v>
      </c>
      <c r="C515" t="s">
        <v>56</v>
      </c>
      <c r="D515" t="s">
        <v>298</v>
      </c>
      <c r="E515">
        <v>6</v>
      </c>
      <c r="F515" t="str">
        <f>VLOOKUP(E515,[1]LOJA!$A:$B,2,0)</f>
        <v>GAMA</v>
      </c>
      <c r="G515" t="s">
        <v>19</v>
      </c>
      <c r="H515" t="s">
        <v>19</v>
      </c>
      <c r="I515" s="1">
        <v>46024</v>
      </c>
      <c r="J515" s="1">
        <v>46023</v>
      </c>
      <c r="K515" s="1">
        <v>46024</v>
      </c>
      <c r="L515">
        <v>31</v>
      </c>
      <c r="M515">
        <v>9.91</v>
      </c>
      <c r="N515">
        <v>9.91</v>
      </c>
      <c r="O515">
        <v>0</v>
      </c>
      <c r="P515">
        <v>0</v>
      </c>
      <c r="Q515" t="s">
        <v>108</v>
      </c>
    </row>
    <row r="516" spans="1:17">
      <c r="A516" t="s">
        <v>93</v>
      </c>
      <c r="B516" t="s">
        <v>106</v>
      </c>
      <c r="C516" t="s">
        <v>56</v>
      </c>
      <c r="D516" t="s">
        <v>299</v>
      </c>
      <c r="E516">
        <v>6</v>
      </c>
      <c r="F516" t="str">
        <f>VLOOKUP(E516,[1]LOJA!$A:$B,2,0)</f>
        <v>GAMA</v>
      </c>
      <c r="G516" t="s">
        <v>19</v>
      </c>
      <c r="H516" t="s">
        <v>19</v>
      </c>
      <c r="I516" s="1">
        <v>46024</v>
      </c>
      <c r="J516" s="1">
        <v>46024</v>
      </c>
      <c r="K516" s="1">
        <v>46024</v>
      </c>
      <c r="L516">
        <v>31</v>
      </c>
      <c r="M516">
        <v>20.48</v>
      </c>
      <c r="N516">
        <v>20.48</v>
      </c>
      <c r="O516">
        <v>0</v>
      </c>
      <c r="P516">
        <v>0</v>
      </c>
      <c r="Q516" t="s">
        <v>108</v>
      </c>
    </row>
    <row r="517" spans="1:17">
      <c r="A517" t="s">
        <v>93</v>
      </c>
      <c r="B517" t="s">
        <v>106</v>
      </c>
      <c r="C517" t="s">
        <v>56</v>
      </c>
      <c r="D517" t="s">
        <v>300</v>
      </c>
      <c r="E517">
        <v>6</v>
      </c>
      <c r="F517" t="str">
        <f>VLOOKUP(E517,[1]LOJA!$A:$B,2,0)</f>
        <v>GAMA</v>
      </c>
      <c r="G517" t="s">
        <v>19</v>
      </c>
      <c r="H517" t="s">
        <v>19</v>
      </c>
      <c r="I517" s="1">
        <v>46024</v>
      </c>
      <c r="J517" s="1">
        <v>46024</v>
      </c>
      <c r="K517" s="1">
        <v>46024</v>
      </c>
      <c r="L517">
        <v>31</v>
      </c>
      <c r="M517">
        <v>8.19</v>
      </c>
      <c r="N517">
        <v>8.19</v>
      </c>
      <c r="O517">
        <v>0</v>
      </c>
      <c r="P517">
        <v>0</v>
      </c>
      <c r="Q517" t="s">
        <v>108</v>
      </c>
    </row>
    <row r="518" spans="1:17">
      <c r="A518" t="s">
        <v>93</v>
      </c>
      <c r="B518" t="s">
        <v>106</v>
      </c>
      <c r="C518" t="s">
        <v>56</v>
      </c>
      <c r="D518" t="s">
        <v>301</v>
      </c>
      <c r="E518">
        <v>6</v>
      </c>
      <c r="F518" t="str">
        <f>VLOOKUP(E518,[1]LOJA!$A:$B,2,0)</f>
        <v>GAMA</v>
      </c>
      <c r="G518" t="s">
        <v>19</v>
      </c>
      <c r="H518" t="s">
        <v>19</v>
      </c>
      <c r="I518" s="1">
        <v>46024</v>
      </c>
      <c r="J518" s="1">
        <v>46024</v>
      </c>
      <c r="K518" s="1">
        <v>46024</v>
      </c>
      <c r="L518">
        <v>31</v>
      </c>
      <c r="M518">
        <v>2.17</v>
      </c>
      <c r="N518">
        <v>2.17</v>
      </c>
      <c r="O518">
        <v>0</v>
      </c>
      <c r="P518">
        <v>0</v>
      </c>
      <c r="Q518" t="s">
        <v>108</v>
      </c>
    </row>
    <row r="519" spans="1:17">
      <c r="A519" t="s">
        <v>93</v>
      </c>
      <c r="B519" t="s">
        <v>106</v>
      </c>
      <c r="C519" t="s">
        <v>56</v>
      </c>
      <c r="D519" t="s">
        <v>302</v>
      </c>
      <c r="E519">
        <v>6</v>
      </c>
      <c r="F519" t="str">
        <f>VLOOKUP(E519,[1]LOJA!$A:$B,2,0)</f>
        <v>GAMA</v>
      </c>
      <c r="G519" t="s">
        <v>19</v>
      </c>
      <c r="H519" t="s">
        <v>19</v>
      </c>
      <c r="I519" s="1">
        <v>46024</v>
      </c>
      <c r="J519" s="1">
        <v>46023</v>
      </c>
      <c r="K519" s="1">
        <v>46024</v>
      </c>
      <c r="L519">
        <v>31</v>
      </c>
      <c r="M519">
        <v>1.77</v>
      </c>
      <c r="N519">
        <v>1.77</v>
      </c>
      <c r="O519">
        <v>0</v>
      </c>
      <c r="P519">
        <v>0</v>
      </c>
      <c r="Q519" t="s">
        <v>108</v>
      </c>
    </row>
    <row r="520" spans="1:17">
      <c r="A520" t="s">
        <v>93</v>
      </c>
      <c r="B520" t="s">
        <v>106</v>
      </c>
      <c r="C520" t="s">
        <v>56</v>
      </c>
      <c r="D520" t="s">
        <v>303</v>
      </c>
      <c r="E520">
        <v>6</v>
      </c>
      <c r="F520" t="str">
        <f>VLOOKUP(E520,[1]LOJA!$A:$B,2,0)</f>
        <v>GAMA</v>
      </c>
      <c r="G520" t="s">
        <v>19</v>
      </c>
      <c r="H520" t="s">
        <v>19</v>
      </c>
      <c r="I520" s="1">
        <v>46024</v>
      </c>
      <c r="J520" s="1">
        <v>46023</v>
      </c>
      <c r="K520" s="1">
        <v>46024</v>
      </c>
      <c r="L520">
        <v>31</v>
      </c>
      <c r="M520">
        <v>0.54</v>
      </c>
      <c r="N520">
        <v>0.54</v>
      </c>
      <c r="O520">
        <v>0</v>
      </c>
      <c r="P520">
        <v>0</v>
      </c>
      <c r="Q520" t="s">
        <v>108</v>
      </c>
    </row>
    <row r="521" spans="1:17">
      <c r="A521" t="s">
        <v>93</v>
      </c>
      <c r="B521" t="s">
        <v>106</v>
      </c>
      <c r="C521" t="s">
        <v>56</v>
      </c>
      <c r="D521" t="s">
        <v>304</v>
      </c>
      <c r="E521">
        <v>6</v>
      </c>
      <c r="F521" t="str">
        <f>VLOOKUP(E521,[1]LOJA!$A:$B,2,0)</f>
        <v>GAMA</v>
      </c>
      <c r="G521" t="s">
        <v>19</v>
      </c>
      <c r="H521" t="s">
        <v>19</v>
      </c>
      <c r="I521" s="1">
        <v>46027</v>
      </c>
      <c r="J521" s="1">
        <v>46027</v>
      </c>
      <c r="K521" s="1">
        <v>46027</v>
      </c>
      <c r="L521">
        <v>31</v>
      </c>
      <c r="M521">
        <v>5.23</v>
      </c>
      <c r="N521">
        <v>5.23</v>
      </c>
      <c r="O521">
        <v>0</v>
      </c>
      <c r="P521">
        <v>0</v>
      </c>
      <c r="Q521" t="s">
        <v>108</v>
      </c>
    </row>
    <row r="522" spans="1:17">
      <c r="A522" t="s">
        <v>93</v>
      </c>
      <c r="B522" t="s">
        <v>106</v>
      </c>
      <c r="C522" t="s">
        <v>56</v>
      </c>
      <c r="D522" t="s">
        <v>305</v>
      </c>
      <c r="E522">
        <v>6</v>
      </c>
      <c r="F522" t="str">
        <f>VLOOKUP(E522,[1]LOJA!$A:$B,2,0)</f>
        <v>GAMA</v>
      </c>
      <c r="G522" t="s">
        <v>19</v>
      </c>
      <c r="H522" t="s">
        <v>19</v>
      </c>
      <c r="I522" s="1">
        <v>46027</v>
      </c>
      <c r="J522" s="1">
        <v>46027</v>
      </c>
      <c r="K522" s="1">
        <v>46027</v>
      </c>
      <c r="L522">
        <v>31</v>
      </c>
      <c r="M522">
        <v>14.81</v>
      </c>
      <c r="N522">
        <v>14.81</v>
      </c>
      <c r="O522">
        <v>0</v>
      </c>
      <c r="P522">
        <v>0</v>
      </c>
      <c r="Q522" t="s">
        <v>108</v>
      </c>
    </row>
    <row r="523" spans="1:17">
      <c r="A523" t="s">
        <v>93</v>
      </c>
      <c r="B523" t="s">
        <v>106</v>
      </c>
      <c r="C523" t="s">
        <v>56</v>
      </c>
      <c r="D523" t="s">
        <v>306</v>
      </c>
      <c r="E523">
        <v>6</v>
      </c>
      <c r="F523" t="str">
        <f>VLOOKUP(E523,[1]LOJA!$A:$B,2,0)</f>
        <v>GAMA</v>
      </c>
      <c r="G523" t="s">
        <v>19</v>
      </c>
      <c r="H523" t="s">
        <v>19</v>
      </c>
      <c r="I523" s="1">
        <v>46027</v>
      </c>
      <c r="J523" s="1">
        <v>46027</v>
      </c>
      <c r="K523" s="1">
        <v>46027</v>
      </c>
      <c r="L523">
        <v>31</v>
      </c>
      <c r="M523">
        <v>4.38</v>
      </c>
      <c r="N523">
        <v>4.38</v>
      </c>
      <c r="O523">
        <v>0</v>
      </c>
      <c r="P523">
        <v>0</v>
      </c>
      <c r="Q523" t="s">
        <v>108</v>
      </c>
    </row>
    <row r="524" spans="1:17">
      <c r="A524" t="s">
        <v>93</v>
      </c>
      <c r="B524" t="s">
        <v>106</v>
      </c>
      <c r="C524" t="s">
        <v>56</v>
      </c>
      <c r="D524" t="s">
        <v>307</v>
      </c>
      <c r="E524">
        <v>6</v>
      </c>
      <c r="F524" t="str">
        <f>VLOOKUP(E524,[1]LOJA!$A:$B,2,0)</f>
        <v>GAMA</v>
      </c>
      <c r="G524" t="s">
        <v>19</v>
      </c>
      <c r="H524" t="s">
        <v>19</v>
      </c>
      <c r="I524" s="1">
        <v>46027</v>
      </c>
      <c r="J524" s="1">
        <v>46027</v>
      </c>
      <c r="K524" s="1">
        <v>46027</v>
      </c>
      <c r="L524">
        <v>31</v>
      </c>
      <c r="M524">
        <v>8.14</v>
      </c>
      <c r="N524">
        <v>8.14</v>
      </c>
      <c r="O524">
        <v>0</v>
      </c>
      <c r="P524">
        <v>0</v>
      </c>
      <c r="Q524" t="s">
        <v>108</v>
      </c>
    </row>
    <row r="525" spans="1:17">
      <c r="A525" t="s">
        <v>93</v>
      </c>
      <c r="B525" t="s">
        <v>106</v>
      </c>
      <c r="C525" t="s">
        <v>56</v>
      </c>
      <c r="D525" t="s">
        <v>308</v>
      </c>
      <c r="E525">
        <v>6</v>
      </c>
      <c r="F525" t="str">
        <f>VLOOKUP(E525,[1]LOJA!$A:$B,2,0)</f>
        <v>GAMA</v>
      </c>
      <c r="G525" t="s">
        <v>19</v>
      </c>
      <c r="H525" t="s">
        <v>19</v>
      </c>
      <c r="I525" s="1">
        <v>46027</v>
      </c>
      <c r="J525" s="1">
        <v>46026</v>
      </c>
      <c r="K525" s="1">
        <v>46027</v>
      </c>
      <c r="L525">
        <v>31</v>
      </c>
      <c r="M525">
        <v>5.48</v>
      </c>
      <c r="N525">
        <v>5.48</v>
      </c>
      <c r="O525">
        <v>0</v>
      </c>
      <c r="P525">
        <v>0</v>
      </c>
      <c r="Q525" t="s">
        <v>108</v>
      </c>
    </row>
    <row r="526" spans="1:17">
      <c r="A526" t="s">
        <v>93</v>
      </c>
      <c r="B526" t="s">
        <v>106</v>
      </c>
      <c r="C526" t="s">
        <v>56</v>
      </c>
      <c r="D526" t="s">
        <v>309</v>
      </c>
      <c r="E526">
        <v>6</v>
      </c>
      <c r="F526" t="str">
        <f>VLOOKUP(E526,[1]LOJA!$A:$B,2,0)</f>
        <v>GAMA</v>
      </c>
      <c r="G526" t="s">
        <v>19</v>
      </c>
      <c r="H526" t="s">
        <v>19</v>
      </c>
      <c r="I526" s="1">
        <v>46027</v>
      </c>
      <c r="J526" s="1">
        <v>46027</v>
      </c>
      <c r="K526" s="1">
        <v>46027</v>
      </c>
      <c r="L526">
        <v>31</v>
      </c>
      <c r="M526">
        <v>12.41</v>
      </c>
      <c r="N526">
        <v>12.41</v>
      </c>
      <c r="O526">
        <v>0</v>
      </c>
      <c r="P526">
        <v>0</v>
      </c>
      <c r="Q526" t="s">
        <v>108</v>
      </c>
    </row>
    <row r="527" spans="1:17">
      <c r="A527" t="s">
        <v>93</v>
      </c>
      <c r="B527" t="s">
        <v>106</v>
      </c>
      <c r="C527" t="s">
        <v>56</v>
      </c>
      <c r="D527" t="s">
        <v>310</v>
      </c>
      <c r="E527">
        <v>6</v>
      </c>
      <c r="F527" t="str">
        <f>VLOOKUP(E527,[1]LOJA!$A:$B,2,0)</f>
        <v>GAMA</v>
      </c>
      <c r="G527" t="s">
        <v>19</v>
      </c>
      <c r="H527" t="s">
        <v>19</v>
      </c>
      <c r="I527" s="1">
        <v>46027</v>
      </c>
      <c r="J527" s="1">
        <v>46027</v>
      </c>
      <c r="K527" s="1">
        <v>46027</v>
      </c>
      <c r="L527">
        <v>31</v>
      </c>
      <c r="M527">
        <v>6.57</v>
      </c>
      <c r="N527">
        <v>6.57</v>
      </c>
      <c r="O527">
        <v>0</v>
      </c>
      <c r="P527">
        <v>0</v>
      </c>
      <c r="Q527" t="s">
        <v>108</v>
      </c>
    </row>
    <row r="528" spans="1:17">
      <c r="A528" t="s">
        <v>93</v>
      </c>
      <c r="B528" t="s">
        <v>106</v>
      </c>
      <c r="C528" t="s">
        <v>56</v>
      </c>
      <c r="D528" t="s">
        <v>311</v>
      </c>
      <c r="E528">
        <v>6</v>
      </c>
      <c r="F528" t="str">
        <f>VLOOKUP(E528,[1]LOJA!$A:$B,2,0)</f>
        <v>GAMA</v>
      </c>
      <c r="G528" t="s">
        <v>19</v>
      </c>
      <c r="H528" t="s">
        <v>19</v>
      </c>
      <c r="I528" s="1">
        <v>46027</v>
      </c>
      <c r="J528" s="1">
        <v>46025</v>
      </c>
      <c r="K528" s="1">
        <v>46027</v>
      </c>
      <c r="L528">
        <v>31</v>
      </c>
      <c r="M528">
        <v>2.19</v>
      </c>
      <c r="N528">
        <v>2.19</v>
      </c>
      <c r="O528">
        <v>0</v>
      </c>
      <c r="P528">
        <v>0</v>
      </c>
      <c r="Q528" t="s">
        <v>108</v>
      </c>
    </row>
    <row r="529" spans="1:17">
      <c r="A529" t="s">
        <v>93</v>
      </c>
      <c r="B529" t="s">
        <v>106</v>
      </c>
      <c r="C529" t="s">
        <v>56</v>
      </c>
      <c r="D529" t="s">
        <v>312</v>
      </c>
      <c r="E529">
        <v>6</v>
      </c>
      <c r="F529" t="str">
        <f>VLOOKUP(E529,[1]LOJA!$A:$B,2,0)</f>
        <v>GAMA</v>
      </c>
      <c r="G529" t="s">
        <v>19</v>
      </c>
      <c r="H529" t="s">
        <v>19</v>
      </c>
      <c r="I529" s="1">
        <v>46027</v>
      </c>
      <c r="J529" s="1">
        <v>46025</v>
      </c>
      <c r="K529" s="1">
        <v>46027</v>
      </c>
      <c r="L529">
        <v>31</v>
      </c>
      <c r="M529">
        <v>1.1399999999999999</v>
      </c>
      <c r="N529">
        <v>1.1399999999999999</v>
      </c>
      <c r="O529">
        <v>0</v>
      </c>
      <c r="P529">
        <v>0</v>
      </c>
      <c r="Q529" t="s">
        <v>108</v>
      </c>
    </row>
    <row r="530" spans="1:17">
      <c r="A530" t="s">
        <v>93</v>
      </c>
      <c r="B530" t="s">
        <v>106</v>
      </c>
      <c r="C530" t="s">
        <v>56</v>
      </c>
      <c r="D530" t="s">
        <v>313</v>
      </c>
      <c r="E530">
        <v>6</v>
      </c>
      <c r="F530" t="str">
        <f>VLOOKUP(E530,[1]LOJA!$A:$B,2,0)</f>
        <v>GAMA</v>
      </c>
      <c r="G530" t="s">
        <v>19</v>
      </c>
      <c r="H530" t="s">
        <v>19</v>
      </c>
      <c r="I530" s="1">
        <v>46027</v>
      </c>
      <c r="J530" s="1">
        <v>46025</v>
      </c>
      <c r="K530" s="1">
        <v>46027</v>
      </c>
      <c r="L530">
        <v>31</v>
      </c>
      <c r="M530">
        <v>6.72</v>
      </c>
      <c r="N530">
        <v>6.72</v>
      </c>
      <c r="O530">
        <v>0</v>
      </c>
      <c r="P530">
        <v>0</v>
      </c>
      <c r="Q530" t="s">
        <v>108</v>
      </c>
    </row>
    <row r="531" spans="1:17">
      <c r="A531" t="s">
        <v>93</v>
      </c>
      <c r="B531" t="s">
        <v>106</v>
      </c>
      <c r="C531" t="s">
        <v>56</v>
      </c>
      <c r="D531" t="s">
        <v>314</v>
      </c>
      <c r="E531">
        <v>6</v>
      </c>
      <c r="F531" t="str">
        <f>VLOOKUP(E531,[1]LOJA!$A:$B,2,0)</f>
        <v>GAMA</v>
      </c>
      <c r="G531" t="s">
        <v>19</v>
      </c>
      <c r="H531" t="s">
        <v>19</v>
      </c>
      <c r="I531" s="1">
        <v>46027</v>
      </c>
      <c r="J531" s="1">
        <v>46025</v>
      </c>
      <c r="K531" s="1">
        <v>46027</v>
      </c>
      <c r="L531">
        <v>31</v>
      </c>
      <c r="M531">
        <v>1.1399999999999999</v>
      </c>
      <c r="N531">
        <v>1.1399999999999999</v>
      </c>
      <c r="O531">
        <v>0</v>
      </c>
      <c r="P531">
        <v>0</v>
      </c>
      <c r="Q531" t="s">
        <v>108</v>
      </c>
    </row>
    <row r="532" spans="1:17">
      <c r="A532" t="s">
        <v>93</v>
      </c>
      <c r="B532" t="s">
        <v>106</v>
      </c>
      <c r="C532" t="s">
        <v>56</v>
      </c>
      <c r="D532" t="s">
        <v>315</v>
      </c>
      <c r="E532">
        <v>6</v>
      </c>
      <c r="F532" t="str">
        <f>VLOOKUP(E532,[1]LOJA!$A:$B,2,0)</f>
        <v>GAMA</v>
      </c>
      <c r="G532" t="s">
        <v>19</v>
      </c>
      <c r="H532" t="s">
        <v>19</v>
      </c>
      <c r="I532" s="1">
        <v>46027</v>
      </c>
      <c r="J532" s="1">
        <v>46025</v>
      </c>
      <c r="K532" s="1">
        <v>46027</v>
      </c>
      <c r="L532">
        <v>31</v>
      </c>
      <c r="M532">
        <v>0.7</v>
      </c>
      <c r="N532">
        <v>0.7</v>
      </c>
      <c r="O532">
        <v>0</v>
      </c>
      <c r="P532">
        <v>0</v>
      </c>
      <c r="Q532" t="s">
        <v>108</v>
      </c>
    </row>
    <row r="533" spans="1:17">
      <c r="A533" t="s">
        <v>93</v>
      </c>
      <c r="B533" t="s">
        <v>106</v>
      </c>
      <c r="C533" t="s">
        <v>56</v>
      </c>
      <c r="D533" t="s">
        <v>316</v>
      </c>
      <c r="E533">
        <v>6</v>
      </c>
      <c r="F533" t="str">
        <f>VLOOKUP(E533,[1]LOJA!$A:$B,2,0)</f>
        <v>GAMA</v>
      </c>
      <c r="G533" t="s">
        <v>19</v>
      </c>
      <c r="H533" t="s">
        <v>19</v>
      </c>
      <c r="I533" s="1">
        <v>46027</v>
      </c>
      <c r="J533" s="1">
        <v>46025</v>
      </c>
      <c r="K533" s="1">
        <v>46027</v>
      </c>
      <c r="L533">
        <v>31</v>
      </c>
      <c r="M533">
        <v>4.38</v>
      </c>
      <c r="N533">
        <v>4.38</v>
      </c>
      <c r="O533">
        <v>0</v>
      </c>
      <c r="P533">
        <v>0</v>
      </c>
      <c r="Q533" t="s">
        <v>108</v>
      </c>
    </row>
    <row r="534" spans="1:17">
      <c r="A534" t="s">
        <v>93</v>
      </c>
      <c r="B534" t="s">
        <v>106</v>
      </c>
      <c r="C534" t="s">
        <v>56</v>
      </c>
      <c r="D534" t="s">
        <v>317</v>
      </c>
      <c r="E534">
        <v>6</v>
      </c>
      <c r="F534" t="str">
        <f>VLOOKUP(E534,[1]LOJA!$A:$B,2,0)</f>
        <v>GAMA</v>
      </c>
      <c r="G534" t="s">
        <v>19</v>
      </c>
      <c r="H534" t="s">
        <v>19</v>
      </c>
      <c r="I534" s="1">
        <v>46027</v>
      </c>
      <c r="J534" s="1">
        <v>46025</v>
      </c>
      <c r="K534" s="1">
        <v>46027</v>
      </c>
      <c r="L534">
        <v>31</v>
      </c>
      <c r="M534">
        <v>1.4</v>
      </c>
      <c r="N534">
        <v>1.4</v>
      </c>
      <c r="O534">
        <v>0</v>
      </c>
      <c r="P534">
        <v>0</v>
      </c>
      <c r="Q534" t="s">
        <v>108</v>
      </c>
    </row>
    <row r="535" spans="1:17">
      <c r="A535" t="s">
        <v>93</v>
      </c>
      <c r="B535" t="s">
        <v>106</v>
      </c>
      <c r="C535" t="s">
        <v>56</v>
      </c>
      <c r="D535" t="s">
        <v>318</v>
      </c>
      <c r="E535">
        <v>6</v>
      </c>
      <c r="F535" t="str">
        <f>VLOOKUP(E535,[1]LOJA!$A:$B,2,0)</f>
        <v>GAMA</v>
      </c>
      <c r="G535" t="s">
        <v>19</v>
      </c>
      <c r="H535" t="s">
        <v>19</v>
      </c>
      <c r="I535" s="1">
        <v>46027</v>
      </c>
      <c r="J535" s="1">
        <v>46026</v>
      </c>
      <c r="K535" s="1">
        <v>46027</v>
      </c>
      <c r="L535">
        <v>31</v>
      </c>
      <c r="M535">
        <v>2.74</v>
      </c>
      <c r="N535">
        <v>2.74</v>
      </c>
      <c r="O535">
        <v>0</v>
      </c>
      <c r="P535">
        <v>0</v>
      </c>
      <c r="Q535" t="s">
        <v>108</v>
      </c>
    </row>
    <row r="536" spans="1:17">
      <c r="A536" t="s">
        <v>93</v>
      </c>
      <c r="B536" t="s">
        <v>106</v>
      </c>
      <c r="C536" t="s">
        <v>56</v>
      </c>
      <c r="D536" t="s">
        <v>319</v>
      </c>
      <c r="E536">
        <v>6</v>
      </c>
      <c r="F536" t="str">
        <f>VLOOKUP(E536,[1]LOJA!$A:$B,2,0)</f>
        <v>GAMA</v>
      </c>
      <c r="G536" t="s">
        <v>19</v>
      </c>
      <c r="H536" t="s">
        <v>19</v>
      </c>
      <c r="I536" s="1">
        <v>46027</v>
      </c>
      <c r="J536" s="1">
        <v>46026</v>
      </c>
      <c r="K536" s="1">
        <v>46027</v>
      </c>
      <c r="L536">
        <v>31</v>
      </c>
      <c r="M536">
        <v>1.1200000000000001</v>
      </c>
      <c r="N536">
        <v>1.1200000000000001</v>
      </c>
      <c r="O536">
        <v>0</v>
      </c>
      <c r="P536">
        <v>0</v>
      </c>
      <c r="Q536" t="s">
        <v>108</v>
      </c>
    </row>
    <row r="537" spans="1:17">
      <c r="A537" t="s">
        <v>93</v>
      </c>
      <c r="B537" t="s">
        <v>106</v>
      </c>
      <c r="C537" t="s">
        <v>56</v>
      </c>
      <c r="D537" t="s">
        <v>320</v>
      </c>
      <c r="E537">
        <v>6</v>
      </c>
      <c r="F537" t="str">
        <f>VLOOKUP(E537,[1]LOJA!$A:$B,2,0)</f>
        <v>GAMA</v>
      </c>
      <c r="G537" t="s">
        <v>19</v>
      </c>
      <c r="H537" t="s">
        <v>19</v>
      </c>
      <c r="I537" s="1">
        <v>46027</v>
      </c>
      <c r="J537" s="1">
        <v>46027</v>
      </c>
      <c r="K537" s="1">
        <v>46027</v>
      </c>
      <c r="L537">
        <v>31</v>
      </c>
      <c r="M537">
        <v>2.93</v>
      </c>
      <c r="N537">
        <v>2.93</v>
      </c>
      <c r="O537">
        <v>0</v>
      </c>
      <c r="P537">
        <v>0</v>
      </c>
      <c r="Q537" t="s">
        <v>108</v>
      </c>
    </row>
    <row r="538" spans="1:17">
      <c r="A538" t="s">
        <v>93</v>
      </c>
      <c r="B538" t="s">
        <v>106</v>
      </c>
      <c r="C538" t="s">
        <v>56</v>
      </c>
      <c r="D538" t="s">
        <v>321</v>
      </c>
      <c r="E538">
        <v>6</v>
      </c>
      <c r="F538" t="str">
        <f>VLOOKUP(E538,[1]LOJA!$A:$B,2,0)</f>
        <v>GAMA</v>
      </c>
      <c r="G538" t="s">
        <v>19</v>
      </c>
      <c r="H538" t="s">
        <v>19</v>
      </c>
      <c r="I538" s="1">
        <v>46027</v>
      </c>
      <c r="J538" s="1">
        <v>46027</v>
      </c>
      <c r="K538" s="1">
        <v>46027</v>
      </c>
      <c r="L538">
        <v>31</v>
      </c>
      <c r="M538">
        <v>1.75</v>
      </c>
      <c r="N538">
        <v>1.75</v>
      </c>
      <c r="O538">
        <v>0</v>
      </c>
      <c r="P538">
        <v>0</v>
      </c>
      <c r="Q538" t="s">
        <v>108</v>
      </c>
    </row>
    <row r="539" spans="1:17">
      <c r="A539" t="s">
        <v>93</v>
      </c>
      <c r="B539" t="s">
        <v>106</v>
      </c>
      <c r="C539" t="s">
        <v>56</v>
      </c>
      <c r="D539" t="s">
        <v>322</v>
      </c>
      <c r="E539">
        <v>6</v>
      </c>
      <c r="F539" t="str">
        <f>VLOOKUP(E539,[1]LOJA!$A:$B,2,0)</f>
        <v>GAMA</v>
      </c>
      <c r="G539" t="s">
        <v>19</v>
      </c>
      <c r="H539" t="s">
        <v>19</v>
      </c>
      <c r="I539" s="1">
        <v>46027</v>
      </c>
      <c r="J539" s="1">
        <v>46025</v>
      </c>
      <c r="K539" s="1">
        <v>46027</v>
      </c>
      <c r="L539">
        <v>31</v>
      </c>
      <c r="M539">
        <v>0.14000000000000001</v>
      </c>
      <c r="N539">
        <v>0.14000000000000001</v>
      </c>
      <c r="O539">
        <v>0</v>
      </c>
      <c r="P539">
        <v>0</v>
      </c>
      <c r="Q539" t="s">
        <v>108</v>
      </c>
    </row>
    <row r="540" spans="1:17">
      <c r="A540" t="s">
        <v>93</v>
      </c>
      <c r="B540" t="s">
        <v>106</v>
      </c>
      <c r="C540" t="s">
        <v>56</v>
      </c>
      <c r="D540" t="s">
        <v>323</v>
      </c>
      <c r="E540">
        <v>6</v>
      </c>
      <c r="F540" t="str">
        <f>VLOOKUP(E540,[1]LOJA!$A:$B,2,0)</f>
        <v>GAMA</v>
      </c>
      <c r="G540" t="s">
        <v>19</v>
      </c>
      <c r="H540" t="s">
        <v>19</v>
      </c>
      <c r="I540" s="1">
        <v>46027</v>
      </c>
      <c r="J540" s="1">
        <v>46025</v>
      </c>
      <c r="K540" s="1">
        <v>46027</v>
      </c>
      <c r="L540">
        <v>31</v>
      </c>
      <c r="M540">
        <v>0.32</v>
      </c>
      <c r="N540">
        <v>0.32</v>
      </c>
      <c r="O540">
        <v>0</v>
      </c>
      <c r="P540">
        <v>0</v>
      </c>
      <c r="Q540" t="s">
        <v>108</v>
      </c>
    </row>
    <row r="541" spans="1:17">
      <c r="A541" t="s">
        <v>93</v>
      </c>
      <c r="B541" t="s">
        <v>106</v>
      </c>
      <c r="C541" t="s">
        <v>56</v>
      </c>
      <c r="D541" t="s">
        <v>324</v>
      </c>
      <c r="E541">
        <v>6</v>
      </c>
      <c r="F541" t="str">
        <f>VLOOKUP(E541,[1]LOJA!$A:$B,2,0)</f>
        <v>GAMA</v>
      </c>
      <c r="G541" t="s">
        <v>19</v>
      </c>
      <c r="H541" t="s">
        <v>19</v>
      </c>
      <c r="I541" s="1">
        <v>46027</v>
      </c>
      <c r="J541" s="1">
        <v>46026</v>
      </c>
      <c r="K541" s="1">
        <v>46027</v>
      </c>
      <c r="L541">
        <v>31</v>
      </c>
      <c r="M541">
        <v>0.14000000000000001</v>
      </c>
      <c r="N541">
        <v>0.14000000000000001</v>
      </c>
      <c r="O541">
        <v>0</v>
      </c>
      <c r="P541">
        <v>0</v>
      </c>
      <c r="Q541" t="s">
        <v>108</v>
      </c>
    </row>
    <row r="542" spans="1:17">
      <c r="A542" t="s">
        <v>93</v>
      </c>
      <c r="B542" t="s">
        <v>106</v>
      </c>
      <c r="C542" t="s">
        <v>56</v>
      </c>
      <c r="D542" t="s">
        <v>325</v>
      </c>
      <c r="E542">
        <v>6</v>
      </c>
      <c r="F542" t="str">
        <f>VLOOKUP(E542,[1]LOJA!$A:$B,2,0)</f>
        <v>GAMA</v>
      </c>
      <c r="G542" t="s">
        <v>19</v>
      </c>
      <c r="H542" t="s">
        <v>19</v>
      </c>
      <c r="I542" s="1">
        <v>46027</v>
      </c>
      <c r="J542" s="1">
        <v>46026</v>
      </c>
      <c r="K542" s="1">
        <v>46027</v>
      </c>
      <c r="L542">
        <v>31</v>
      </c>
      <c r="M542">
        <v>0.13</v>
      </c>
      <c r="N542">
        <v>0.13</v>
      </c>
      <c r="O542">
        <v>0</v>
      </c>
      <c r="P542">
        <v>0</v>
      </c>
      <c r="Q542" t="s">
        <v>108</v>
      </c>
    </row>
    <row r="543" spans="1:17">
      <c r="A543" t="s">
        <v>93</v>
      </c>
      <c r="B543" t="s">
        <v>106</v>
      </c>
      <c r="C543" t="s">
        <v>56</v>
      </c>
      <c r="D543" t="s">
        <v>326</v>
      </c>
      <c r="E543">
        <v>6</v>
      </c>
      <c r="F543" t="str">
        <f>VLOOKUP(E543,[1]LOJA!$A:$B,2,0)</f>
        <v>GAMA</v>
      </c>
      <c r="G543" t="s">
        <v>19</v>
      </c>
      <c r="H543" t="s">
        <v>19</v>
      </c>
      <c r="I543" s="1">
        <v>46028</v>
      </c>
      <c r="J543" s="1">
        <v>46028</v>
      </c>
      <c r="K543" s="1">
        <v>46028</v>
      </c>
      <c r="L543">
        <v>31</v>
      </c>
      <c r="M543">
        <v>4.43</v>
      </c>
      <c r="N543">
        <v>4.43</v>
      </c>
      <c r="O543">
        <v>0</v>
      </c>
      <c r="P543">
        <v>0</v>
      </c>
      <c r="Q543" t="s">
        <v>108</v>
      </c>
    </row>
    <row r="544" spans="1:17">
      <c r="A544" t="s">
        <v>93</v>
      </c>
      <c r="B544" t="s">
        <v>106</v>
      </c>
      <c r="C544" t="s">
        <v>56</v>
      </c>
      <c r="D544" t="s">
        <v>327</v>
      </c>
      <c r="E544">
        <v>6</v>
      </c>
      <c r="F544" t="str">
        <f>VLOOKUP(E544,[1]LOJA!$A:$B,2,0)</f>
        <v>GAMA</v>
      </c>
      <c r="G544" t="s">
        <v>19</v>
      </c>
      <c r="H544" t="s">
        <v>19</v>
      </c>
      <c r="I544" s="1">
        <v>46028</v>
      </c>
      <c r="J544" s="1">
        <v>46028</v>
      </c>
      <c r="K544" s="1">
        <v>46028</v>
      </c>
      <c r="L544">
        <v>31</v>
      </c>
      <c r="M544">
        <v>4.38</v>
      </c>
      <c r="N544">
        <v>4.38</v>
      </c>
      <c r="O544">
        <v>0</v>
      </c>
      <c r="P544">
        <v>0</v>
      </c>
      <c r="Q544" t="s">
        <v>108</v>
      </c>
    </row>
    <row r="545" spans="1:17">
      <c r="A545" t="s">
        <v>93</v>
      </c>
      <c r="B545" t="s">
        <v>106</v>
      </c>
      <c r="C545" t="s">
        <v>56</v>
      </c>
      <c r="D545" t="s">
        <v>328</v>
      </c>
      <c r="E545">
        <v>6</v>
      </c>
      <c r="F545" t="str">
        <f>VLOOKUP(E545,[1]LOJA!$A:$B,2,0)</f>
        <v>GAMA</v>
      </c>
      <c r="G545" t="s">
        <v>19</v>
      </c>
      <c r="H545" t="s">
        <v>19</v>
      </c>
      <c r="I545" s="1">
        <v>46028</v>
      </c>
      <c r="J545" s="1">
        <v>46028</v>
      </c>
      <c r="K545" s="1">
        <v>46028</v>
      </c>
      <c r="L545">
        <v>31</v>
      </c>
      <c r="M545">
        <v>0.26</v>
      </c>
      <c r="N545">
        <v>0.26</v>
      </c>
      <c r="O545">
        <v>0</v>
      </c>
      <c r="P545">
        <v>0</v>
      </c>
      <c r="Q545" t="s">
        <v>108</v>
      </c>
    </row>
    <row r="546" spans="1:17">
      <c r="A546" t="s">
        <v>93</v>
      </c>
      <c r="B546" t="s">
        <v>106</v>
      </c>
      <c r="C546" t="s">
        <v>56</v>
      </c>
      <c r="D546" t="s">
        <v>329</v>
      </c>
      <c r="E546">
        <v>6</v>
      </c>
      <c r="F546" t="str">
        <f>VLOOKUP(E546,[1]LOJA!$A:$B,2,0)</f>
        <v>GAMA</v>
      </c>
      <c r="G546" t="s">
        <v>19</v>
      </c>
      <c r="H546" t="s">
        <v>19</v>
      </c>
      <c r="I546" s="1">
        <v>46028</v>
      </c>
      <c r="J546" s="1">
        <v>46028</v>
      </c>
      <c r="K546" s="1">
        <v>46028</v>
      </c>
      <c r="L546">
        <v>31</v>
      </c>
      <c r="M546">
        <v>0.23</v>
      </c>
      <c r="N546">
        <v>0.23</v>
      </c>
      <c r="O546">
        <v>0</v>
      </c>
      <c r="P546">
        <v>0</v>
      </c>
      <c r="Q546" t="s">
        <v>108</v>
      </c>
    </row>
    <row r="547" spans="1:17">
      <c r="A547" t="s">
        <v>93</v>
      </c>
      <c r="B547" t="s">
        <v>106</v>
      </c>
      <c r="C547" t="s">
        <v>56</v>
      </c>
      <c r="D547" t="s">
        <v>330</v>
      </c>
      <c r="E547">
        <v>6</v>
      </c>
      <c r="F547" t="str">
        <f>VLOOKUP(E547,[1]LOJA!$A:$B,2,0)</f>
        <v>GAMA</v>
      </c>
      <c r="G547" t="s">
        <v>19</v>
      </c>
      <c r="H547" t="s">
        <v>19</v>
      </c>
      <c r="I547" s="1">
        <v>46028</v>
      </c>
      <c r="J547" s="1">
        <v>46028</v>
      </c>
      <c r="K547" s="1">
        <v>46028</v>
      </c>
      <c r="L547">
        <v>31</v>
      </c>
      <c r="M547">
        <v>0.5</v>
      </c>
      <c r="N547">
        <v>0.5</v>
      </c>
      <c r="O547">
        <v>0</v>
      </c>
      <c r="P547">
        <v>0</v>
      </c>
      <c r="Q547" t="s">
        <v>108</v>
      </c>
    </row>
    <row r="548" spans="1:17">
      <c r="A548" t="s">
        <v>93</v>
      </c>
      <c r="B548" t="s">
        <v>106</v>
      </c>
      <c r="C548" t="s">
        <v>56</v>
      </c>
      <c r="D548" t="s">
        <v>331</v>
      </c>
      <c r="E548">
        <v>6</v>
      </c>
      <c r="F548" t="str">
        <f>VLOOKUP(E548,[1]LOJA!$A:$B,2,0)</f>
        <v>GAMA</v>
      </c>
      <c r="G548" t="s">
        <v>19</v>
      </c>
      <c r="H548" t="s">
        <v>19</v>
      </c>
      <c r="I548" s="1">
        <v>46028</v>
      </c>
      <c r="J548" s="1">
        <v>46028</v>
      </c>
      <c r="K548" s="1">
        <v>46028</v>
      </c>
      <c r="L548">
        <v>31</v>
      </c>
      <c r="M548">
        <v>0.52</v>
      </c>
      <c r="N548">
        <v>0.52</v>
      </c>
      <c r="O548">
        <v>0</v>
      </c>
      <c r="P548">
        <v>0</v>
      </c>
      <c r="Q548" t="s">
        <v>108</v>
      </c>
    </row>
    <row r="549" spans="1:17">
      <c r="A549" t="s">
        <v>93</v>
      </c>
      <c r="B549" t="s">
        <v>106</v>
      </c>
      <c r="C549" t="s">
        <v>56</v>
      </c>
      <c r="D549" t="s">
        <v>332</v>
      </c>
      <c r="E549">
        <v>6</v>
      </c>
      <c r="F549" t="str">
        <f>VLOOKUP(E549,[1]LOJA!$A:$B,2,0)</f>
        <v>GAMA</v>
      </c>
      <c r="G549" t="s">
        <v>19</v>
      </c>
      <c r="H549" t="s">
        <v>19</v>
      </c>
      <c r="I549" s="1">
        <v>46028</v>
      </c>
      <c r="J549" s="1">
        <v>46028</v>
      </c>
      <c r="K549" s="1">
        <v>46028</v>
      </c>
      <c r="L549">
        <v>31</v>
      </c>
      <c r="M549">
        <v>1.1100000000000001</v>
      </c>
      <c r="N549">
        <v>1.1100000000000001</v>
      </c>
      <c r="O549">
        <v>0</v>
      </c>
      <c r="P549">
        <v>0</v>
      </c>
      <c r="Q549" t="s">
        <v>108</v>
      </c>
    </row>
    <row r="550" spans="1:17">
      <c r="A550" t="s">
        <v>93</v>
      </c>
      <c r="B550" t="s">
        <v>106</v>
      </c>
      <c r="C550" t="s">
        <v>56</v>
      </c>
      <c r="D550" t="s">
        <v>333</v>
      </c>
      <c r="E550">
        <v>6</v>
      </c>
      <c r="F550" t="str">
        <f>VLOOKUP(E550,[1]LOJA!$A:$B,2,0)</f>
        <v>GAMA</v>
      </c>
      <c r="G550" t="s">
        <v>19</v>
      </c>
      <c r="H550" t="s">
        <v>19</v>
      </c>
      <c r="I550" s="1">
        <v>46028</v>
      </c>
      <c r="J550" s="1">
        <v>46028</v>
      </c>
      <c r="K550" s="1">
        <v>46028</v>
      </c>
      <c r="L550">
        <v>31</v>
      </c>
      <c r="M550">
        <v>0.57999999999999996</v>
      </c>
      <c r="N550">
        <v>0.57999999999999996</v>
      </c>
      <c r="O550">
        <v>0</v>
      </c>
      <c r="P550">
        <v>0</v>
      </c>
      <c r="Q550" t="s">
        <v>108</v>
      </c>
    </row>
    <row r="551" spans="1:17">
      <c r="A551" t="s">
        <v>93</v>
      </c>
      <c r="B551" t="s">
        <v>106</v>
      </c>
      <c r="C551" t="s">
        <v>56</v>
      </c>
      <c r="D551" t="s">
        <v>334</v>
      </c>
      <c r="E551">
        <v>6</v>
      </c>
      <c r="F551" t="str">
        <f>VLOOKUP(E551,[1]LOJA!$A:$B,2,0)</f>
        <v>GAMA</v>
      </c>
      <c r="G551" t="s">
        <v>19</v>
      </c>
      <c r="H551" t="s">
        <v>19</v>
      </c>
      <c r="I551" s="1">
        <v>46029</v>
      </c>
      <c r="J551" s="1">
        <v>46029</v>
      </c>
      <c r="K551" s="1">
        <v>46029</v>
      </c>
      <c r="L551">
        <v>31</v>
      </c>
      <c r="M551">
        <v>7.67</v>
      </c>
      <c r="N551">
        <v>7.67</v>
      </c>
      <c r="O551">
        <v>0</v>
      </c>
      <c r="P551">
        <v>0</v>
      </c>
      <c r="Q551" t="s">
        <v>108</v>
      </c>
    </row>
    <row r="552" spans="1:17">
      <c r="A552" t="s">
        <v>93</v>
      </c>
      <c r="B552" t="s">
        <v>106</v>
      </c>
      <c r="C552" t="s">
        <v>56</v>
      </c>
      <c r="D552" t="s">
        <v>335</v>
      </c>
      <c r="E552">
        <v>6</v>
      </c>
      <c r="F552" t="str">
        <f>VLOOKUP(E552,[1]LOJA!$A:$B,2,0)</f>
        <v>GAMA</v>
      </c>
      <c r="G552" t="s">
        <v>19</v>
      </c>
      <c r="H552" t="s">
        <v>19</v>
      </c>
      <c r="I552" s="1">
        <v>46029</v>
      </c>
      <c r="J552" s="1">
        <v>46029</v>
      </c>
      <c r="K552" s="1">
        <v>46029</v>
      </c>
      <c r="L552">
        <v>31</v>
      </c>
      <c r="M552">
        <v>4.3099999999999996</v>
      </c>
      <c r="N552">
        <v>4.3099999999999996</v>
      </c>
      <c r="O552">
        <v>0</v>
      </c>
      <c r="P552">
        <v>0</v>
      </c>
      <c r="Q552" t="s">
        <v>108</v>
      </c>
    </row>
    <row r="553" spans="1:17">
      <c r="A553" t="s">
        <v>93</v>
      </c>
      <c r="B553" t="s">
        <v>106</v>
      </c>
      <c r="C553" t="s">
        <v>56</v>
      </c>
      <c r="D553" t="s">
        <v>336</v>
      </c>
      <c r="E553">
        <v>6</v>
      </c>
      <c r="F553" t="str">
        <f>VLOOKUP(E553,[1]LOJA!$A:$B,2,0)</f>
        <v>GAMA</v>
      </c>
      <c r="G553" t="s">
        <v>19</v>
      </c>
      <c r="H553" t="s">
        <v>19</v>
      </c>
      <c r="I553" s="1">
        <v>46029</v>
      </c>
      <c r="J553" s="1">
        <v>46029</v>
      </c>
      <c r="K553" s="1">
        <v>46029</v>
      </c>
      <c r="L553">
        <v>31</v>
      </c>
      <c r="M553">
        <v>7.12</v>
      </c>
      <c r="N553">
        <v>7.12</v>
      </c>
      <c r="O553">
        <v>0</v>
      </c>
      <c r="P553">
        <v>0</v>
      </c>
      <c r="Q553" t="s">
        <v>108</v>
      </c>
    </row>
    <row r="554" spans="1:17">
      <c r="A554" t="s">
        <v>93</v>
      </c>
      <c r="B554" t="s">
        <v>106</v>
      </c>
      <c r="C554" t="s">
        <v>56</v>
      </c>
      <c r="D554" t="s">
        <v>337</v>
      </c>
      <c r="E554">
        <v>6</v>
      </c>
      <c r="F554" t="str">
        <f>VLOOKUP(E554,[1]LOJA!$A:$B,2,0)</f>
        <v>GAMA</v>
      </c>
      <c r="G554" t="s">
        <v>19</v>
      </c>
      <c r="H554" t="s">
        <v>19</v>
      </c>
      <c r="I554" s="1">
        <v>46029</v>
      </c>
      <c r="J554" s="1">
        <v>46029</v>
      </c>
      <c r="K554" s="1">
        <v>46029</v>
      </c>
      <c r="L554">
        <v>31</v>
      </c>
      <c r="M554">
        <v>0.16</v>
      </c>
      <c r="N554">
        <v>0.16</v>
      </c>
      <c r="O554">
        <v>0</v>
      </c>
      <c r="P554">
        <v>0</v>
      </c>
      <c r="Q554" t="s">
        <v>108</v>
      </c>
    </row>
    <row r="555" spans="1:17">
      <c r="A555" t="s">
        <v>93</v>
      </c>
      <c r="B555" t="s">
        <v>106</v>
      </c>
      <c r="C555" t="s">
        <v>56</v>
      </c>
      <c r="D555" t="s">
        <v>338</v>
      </c>
      <c r="E555">
        <v>6</v>
      </c>
      <c r="F555" t="str">
        <f>VLOOKUP(E555,[1]LOJA!$A:$B,2,0)</f>
        <v>GAMA</v>
      </c>
      <c r="G555" t="s">
        <v>19</v>
      </c>
      <c r="H555" t="s">
        <v>19</v>
      </c>
      <c r="I555" s="1">
        <v>46029</v>
      </c>
      <c r="J555" s="1">
        <v>46029</v>
      </c>
      <c r="K555" s="1">
        <v>46029</v>
      </c>
      <c r="L555">
        <v>31</v>
      </c>
      <c r="M555">
        <v>1.29</v>
      </c>
      <c r="N555">
        <v>1.29</v>
      </c>
      <c r="O555">
        <v>0</v>
      </c>
      <c r="P555">
        <v>0</v>
      </c>
      <c r="Q555" t="s">
        <v>108</v>
      </c>
    </row>
    <row r="556" spans="1:17">
      <c r="A556" t="s">
        <v>93</v>
      </c>
      <c r="B556" t="s">
        <v>106</v>
      </c>
      <c r="C556" t="s">
        <v>56</v>
      </c>
      <c r="D556" t="s">
        <v>339</v>
      </c>
      <c r="E556">
        <v>6</v>
      </c>
      <c r="F556" t="str">
        <f>VLOOKUP(E556,[1]LOJA!$A:$B,2,0)</f>
        <v>GAMA</v>
      </c>
      <c r="G556" t="s">
        <v>19</v>
      </c>
      <c r="H556" t="s">
        <v>19</v>
      </c>
      <c r="I556" s="1">
        <v>46030</v>
      </c>
      <c r="J556" s="1">
        <v>46030</v>
      </c>
      <c r="K556" s="1">
        <v>46030</v>
      </c>
      <c r="L556">
        <v>31</v>
      </c>
      <c r="M556">
        <v>4.3099999999999996</v>
      </c>
      <c r="N556">
        <v>4.3099999999999996</v>
      </c>
      <c r="O556">
        <v>0</v>
      </c>
      <c r="P556">
        <v>0</v>
      </c>
      <c r="Q556" t="s">
        <v>108</v>
      </c>
    </row>
    <row r="557" spans="1:17">
      <c r="A557" t="s">
        <v>93</v>
      </c>
      <c r="B557" t="s">
        <v>106</v>
      </c>
      <c r="C557" t="s">
        <v>56</v>
      </c>
      <c r="D557" t="s">
        <v>340</v>
      </c>
      <c r="E557">
        <v>6</v>
      </c>
      <c r="F557" t="str">
        <f>VLOOKUP(E557,[1]LOJA!$A:$B,2,0)</f>
        <v>GAMA</v>
      </c>
      <c r="G557" t="s">
        <v>19</v>
      </c>
      <c r="H557" t="s">
        <v>19</v>
      </c>
      <c r="I557" s="1">
        <v>46030</v>
      </c>
      <c r="J557" s="1">
        <v>46030</v>
      </c>
      <c r="K557" s="1">
        <v>46030</v>
      </c>
      <c r="L557">
        <v>31</v>
      </c>
      <c r="M557">
        <v>4.03</v>
      </c>
      <c r="N557">
        <v>4.03</v>
      </c>
      <c r="O557">
        <v>0</v>
      </c>
      <c r="P557">
        <v>0</v>
      </c>
      <c r="Q557" t="s">
        <v>108</v>
      </c>
    </row>
    <row r="558" spans="1:17">
      <c r="A558" t="s">
        <v>93</v>
      </c>
      <c r="B558" t="s">
        <v>106</v>
      </c>
      <c r="C558" t="s">
        <v>56</v>
      </c>
      <c r="D558" t="s">
        <v>341</v>
      </c>
      <c r="E558">
        <v>6</v>
      </c>
      <c r="F558" t="str">
        <f>VLOOKUP(E558,[1]LOJA!$A:$B,2,0)</f>
        <v>GAMA</v>
      </c>
      <c r="G558" t="s">
        <v>19</v>
      </c>
      <c r="H558" t="s">
        <v>19</v>
      </c>
      <c r="I558" s="1">
        <v>46030</v>
      </c>
      <c r="J558" s="1">
        <v>46030</v>
      </c>
      <c r="K558" s="1">
        <v>46030</v>
      </c>
      <c r="L558">
        <v>31</v>
      </c>
      <c r="M558">
        <v>7.67</v>
      </c>
      <c r="N558">
        <v>7.67</v>
      </c>
      <c r="O558">
        <v>0</v>
      </c>
      <c r="P558">
        <v>0</v>
      </c>
      <c r="Q558" t="s">
        <v>108</v>
      </c>
    </row>
    <row r="559" spans="1:17">
      <c r="A559" t="s">
        <v>93</v>
      </c>
      <c r="B559" t="s">
        <v>106</v>
      </c>
      <c r="C559" t="s">
        <v>56</v>
      </c>
      <c r="D559" t="s">
        <v>342</v>
      </c>
      <c r="E559">
        <v>6</v>
      </c>
      <c r="F559" t="str">
        <f>VLOOKUP(E559,[1]LOJA!$A:$B,2,0)</f>
        <v>GAMA</v>
      </c>
      <c r="G559" t="s">
        <v>19</v>
      </c>
      <c r="H559" t="s">
        <v>19</v>
      </c>
      <c r="I559" s="1">
        <v>46030</v>
      </c>
      <c r="J559" s="1">
        <v>46030</v>
      </c>
      <c r="K559" s="1">
        <v>46030</v>
      </c>
      <c r="L559">
        <v>31</v>
      </c>
      <c r="M559">
        <v>13.14</v>
      </c>
      <c r="N559">
        <v>13.14</v>
      </c>
      <c r="O559">
        <v>0</v>
      </c>
      <c r="P559">
        <v>0</v>
      </c>
      <c r="Q559" t="s">
        <v>108</v>
      </c>
    </row>
    <row r="560" spans="1:17">
      <c r="A560" t="s">
        <v>93</v>
      </c>
      <c r="B560" t="s">
        <v>106</v>
      </c>
      <c r="C560" t="s">
        <v>56</v>
      </c>
      <c r="D560" t="s">
        <v>343</v>
      </c>
      <c r="E560">
        <v>6</v>
      </c>
      <c r="F560" t="str">
        <f>VLOOKUP(E560,[1]LOJA!$A:$B,2,0)</f>
        <v>GAMA</v>
      </c>
      <c r="G560" t="s">
        <v>19</v>
      </c>
      <c r="H560" t="s">
        <v>19</v>
      </c>
      <c r="I560" s="1">
        <v>46030</v>
      </c>
      <c r="J560" s="1">
        <v>46030</v>
      </c>
      <c r="K560" s="1">
        <v>46030</v>
      </c>
      <c r="L560">
        <v>31</v>
      </c>
      <c r="M560">
        <v>0.28999999999999998</v>
      </c>
      <c r="N560">
        <v>0.28999999999999998</v>
      </c>
      <c r="O560">
        <v>0</v>
      </c>
      <c r="P560">
        <v>0</v>
      </c>
      <c r="Q560" t="s">
        <v>108</v>
      </c>
    </row>
    <row r="561" spans="1:17">
      <c r="A561" t="s">
        <v>93</v>
      </c>
      <c r="B561" t="s">
        <v>106</v>
      </c>
      <c r="C561" t="s">
        <v>56</v>
      </c>
      <c r="D561" t="s">
        <v>344</v>
      </c>
      <c r="E561">
        <v>6</v>
      </c>
      <c r="F561" t="str">
        <f>VLOOKUP(E561,[1]LOJA!$A:$B,2,0)</f>
        <v>GAMA</v>
      </c>
      <c r="G561" t="s">
        <v>19</v>
      </c>
      <c r="H561" t="s">
        <v>19</v>
      </c>
      <c r="I561" s="1">
        <v>46030</v>
      </c>
      <c r="J561" s="1">
        <v>46030</v>
      </c>
      <c r="K561" s="1">
        <v>46030</v>
      </c>
      <c r="L561">
        <v>31</v>
      </c>
      <c r="M561">
        <v>0.27</v>
      </c>
      <c r="N561">
        <v>0.27</v>
      </c>
      <c r="O561">
        <v>0</v>
      </c>
      <c r="P561">
        <v>0</v>
      </c>
      <c r="Q561" t="s">
        <v>108</v>
      </c>
    </row>
    <row r="562" spans="1:17">
      <c r="A562" t="s">
        <v>93</v>
      </c>
      <c r="B562" t="s">
        <v>106</v>
      </c>
      <c r="C562" t="s">
        <v>56</v>
      </c>
      <c r="D562" t="s">
        <v>345</v>
      </c>
      <c r="E562">
        <v>6</v>
      </c>
      <c r="F562" t="str">
        <f>VLOOKUP(E562,[1]LOJA!$A:$B,2,0)</f>
        <v>GAMA</v>
      </c>
      <c r="G562" t="s">
        <v>19</v>
      </c>
      <c r="H562" t="s">
        <v>19</v>
      </c>
      <c r="I562" s="1">
        <v>46030</v>
      </c>
      <c r="J562" s="1">
        <v>46030</v>
      </c>
      <c r="K562" s="1">
        <v>46030</v>
      </c>
      <c r="L562">
        <v>31</v>
      </c>
      <c r="M562">
        <v>0.64</v>
      </c>
      <c r="N562">
        <v>0.64</v>
      </c>
      <c r="O562">
        <v>0</v>
      </c>
      <c r="P562">
        <v>0</v>
      </c>
      <c r="Q562" t="s">
        <v>108</v>
      </c>
    </row>
    <row r="563" spans="1:17">
      <c r="A563" t="s">
        <v>93</v>
      </c>
      <c r="B563" t="s">
        <v>106</v>
      </c>
      <c r="C563" t="s">
        <v>56</v>
      </c>
      <c r="D563" t="s">
        <v>346</v>
      </c>
      <c r="E563">
        <v>6</v>
      </c>
      <c r="F563" t="str">
        <f>VLOOKUP(E563,[1]LOJA!$A:$B,2,0)</f>
        <v>GAMA</v>
      </c>
      <c r="G563" t="s">
        <v>19</v>
      </c>
      <c r="H563" t="s">
        <v>19</v>
      </c>
      <c r="I563" s="1">
        <v>46030</v>
      </c>
      <c r="J563" s="1">
        <v>46030</v>
      </c>
      <c r="K563" s="1">
        <v>46030</v>
      </c>
      <c r="L563">
        <v>31</v>
      </c>
      <c r="M563">
        <v>0.28999999999999998</v>
      </c>
      <c r="N563">
        <v>0.28999999999999998</v>
      </c>
      <c r="O563">
        <v>0</v>
      </c>
      <c r="P563">
        <v>0</v>
      </c>
      <c r="Q563" t="s">
        <v>108</v>
      </c>
    </row>
    <row r="564" spans="1:17">
      <c r="A564" t="s">
        <v>93</v>
      </c>
      <c r="B564" t="s">
        <v>106</v>
      </c>
      <c r="C564" t="s">
        <v>56</v>
      </c>
      <c r="D564" t="s">
        <v>347</v>
      </c>
      <c r="E564">
        <v>6</v>
      </c>
      <c r="F564" t="str">
        <f>VLOOKUP(E564,[1]LOJA!$A:$B,2,0)</f>
        <v>GAMA</v>
      </c>
      <c r="G564" t="s">
        <v>19</v>
      </c>
      <c r="H564" t="s">
        <v>19</v>
      </c>
      <c r="I564" s="1">
        <v>46030</v>
      </c>
      <c r="J564" s="1">
        <v>46030</v>
      </c>
      <c r="K564" s="1">
        <v>46030</v>
      </c>
      <c r="L564">
        <v>31</v>
      </c>
      <c r="M564">
        <v>0.43</v>
      </c>
      <c r="N564">
        <v>0.43</v>
      </c>
      <c r="O564">
        <v>0</v>
      </c>
      <c r="P564">
        <v>0</v>
      </c>
      <c r="Q564" t="s">
        <v>108</v>
      </c>
    </row>
    <row r="565" spans="1:17">
      <c r="A565" t="s">
        <v>93</v>
      </c>
      <c r="B565" t="s">
        <v>106</v>
      </c>
      <c r="C565" t="s">
        <v>56</v>
      </c>
      <c r="D565" t="s">
        <v>348</v>
      </c>
      <c r="E565">
        <v>6</v>
      </c>
      <c r="F565" t="str">
        <f>VLOOKUP(E565,[1]LOJA!$A:$B,2,0)</f>
        <v>GAMA</v>
      </c>
      <c r="G565" t="s">
        <v>19</v>
      </c>
      <c r="H565" t="s">
        <v>19</v>
      </c>
      <c r="I565" s="1">
        <v>46030</v>
      </c>
      <c r="J565" s="1">
        <v>46030</v>
      </c>
      <c r="K565" s="1">
        <v>46030</v>
      </c>
      <c r="L565">
        <v>31</v>
      </c>
      <c r="M565">
        <v>0.18</v>
      </c>
      <c r="N565">
        <v>0.18</v>
      </c>
      <c r="O565">
        <v>0</v>
      </c>
      <c r="P565">
        <v>0</v>
      </c>
      <c r="Q565" t="s">
        <v>108</v>
      </c>
    </row>
    <row r="566" spans="1:17">
      <c r="A566" t="s">
        <v>93</v>
      </c>
      <c r="B566" t="s">
        <v>106</v>
      </c>
      <c r="C566" t="s">
        <v>56</v>
      </c>
      <c r="D566" t="s">
        <v>349</v>
      </c>
      <c r="E566">
        <v>6</v>
      </c>
      <c r="F566" t="str">
        <f>VLOOKUP(E566,[1]LOJA!$A:$B,2,0)</f>
        <v>GAMA</v>
      </c>
      <c r="G566" t="s">
        <v>19</v>
      </c>
      <c r="H566" t="s">
        <v>19</v>
      </c>
      <c r="I566" s="1">
        <v>46031</v>
      </c>
      <c r="J566" s="1">
        <v>46031</v>
      </c>
      <c r="K566" s="1">
        <v>46031</v>
      </c>
      <c r="L566">
        <v>31</v>
      </c>
      <c r="M566">
        <v>4.38</v>
      </c>
      <c r="N566">
        <v>4.38</v>
      </c>
      <c r="O566">
        <v>0</v>
      </c>
      <c r="P566">
        <v>0</v>
      </c>
      <c r="Q566" t="s">
        <v>108</v>
      </c>
    </row>
    <row r="567" spans="1:17">
      <c r="A567" t="s">
        <v>93</v>
      </c>
      <c r="B567" t="s">
        <v>106</v>
      </c>
      <c r="C567" t="s">
        <v>56</v>
      </c>
      <c r="D567" t="s">
        <v>350</v>
      </c>
      <c r="E567">
        <v>6</v>
      </c>
      <c r="F567" t="str">
        <f>VLOOKUP(E567,[1]LOJA!$A:$B,2,0)</f>
        <v>GAMA</v>
      </c>
      <c r="G567" t="s">
        <v>19</v>
      </c>
      <c r="H567" t="s">
        <v>19</v>
      </c>
      <c r="I567" s="1">
        <v>46031</v>
      </c>
      <c r="J567" s="1">
        <v>46031</v>
      </c>
      <c r="K567" s="1">
        <v>46031</v>
      </c>
      <c r="L567">
        <v>31</v>
      </c>
      <c r="M567">
        <v>7.24</v>
      </c>
      <c r="N567">
        <v>7.24</v>
      </c>
      <c r="O567">
        <v>0</v>
      </c>
      <c r="P567">
        <v>0</v>
      </c>
      <c r="Q567" t="s">
        <v>108</v>
      </c>
    </row>
    <row r="568" spans="1:17">
      <c r="A568" t="s">
        <v>93</v>
      </c>
      <c r="B568" t="s">
        <v>106</v>
      </c>
      <c r="C568" t="s">
        <v>56</v>
      </c>
      <c r="D568" t="s">
        <v>351</v>
      </c>
      <c r="E568">
        <v>6</v>
      </c>
      <c r="F568" t="str">
        <f>VLOOKUP(E568,[1]LOJA!$A:$B,2,0)</f>
        <v>GAMA</v>
      </c>
      <c r="G568" t="s">
        <v>19</v>
      </c>
      <c r="H568" t="s">
        <v>19</v>
      </c>
      <c r="I568" s="1">
        <v>46031</v>
      </c>
      <c r="J568" s="1">
        <v>46031</v>
      </c>
      <c r="K568" s="1">
        <v>46031</v>
      </c>
      <c r="L568">
        <v>31</v>
      </c>
      <c r="M568">
        <v>6.09</v>
      </c>
      <c r="N568">
        <v>6.09</v>
      </c>
      <c r="O568">
        <v>0</v>
      </c>
      <c r="P568">
        <v>0</v>
      </c>
      <c r="Q568" t="s">
        <v>108</v>
      </c>
    </row>
    <row r="569" spans="1:17">
      <c r="A569" t="s">
        <v>93</v>
      </c>
      <c r="B569" t="s">
        <v>106</v>
      </c>
      <c r="C569" t="s">
        <v>56</v>
      </c>
      <c r="D569" t="s">
        <v>352</v>
      </c>
      <c r="E569">
        <v>6</v>
      </c>
      <c r="F569" t="str">
        <f>VLOOKUP(E569,[1]LOJA!$A:$B,2,0)</f>
        <v>GAMA</v>
      </c>
      <c r="G569" t="s">
        <v>19</v>
      </c>
      <c r="H569" t="s">
        <v>19</v>
      </c>
      <c r="I569" s="1">
        <v>46031</v>
      </c>
      <c r="J569" s="1">
        <v>46031</v>
      </c>
      <c r="K569" s="1">
        <v>46031</v>
      </c>
      <c r="L569">
        <v>31</v>
      </c>
      <c r="M569">
        <v>8.0299999999999994</v>
      </c>
      <c r="N569">
        <v>8.0299999999999994</v>
      </c>
      <c r="O569">
        <v>0</v>
      </c>
      <c r="P569">
        <v>0</v>
      </c>
      <c r="Q569" t="s">
        <v>108</v>
      </c>
    </row>
    <row r="570" spans="1:17">
      <c r="A570" t="s">
        <v>93</v>
      </c>
      <c r="B570" t="s">
        <v>106</v>
      </c>
      <c r="C570" t="s">
        <v>56</v>
      </c>
      <c r="D570" t="s">
        <v>353</v>
      </c>
      <c r="E570">
        <v>6</v>
      </c>
      <c r="F570" t="str">
        <f>VLOOKUP(E570,[1]LOJA!$A:$B,2,0)</f>
        <v>GAMA</v>
      </c>
      <c r="G570" t="s">
        <v>19</v>
      </c>
      <c r="H570" t="s">
        <v>19</v>
      </c>
      <c r="I570" s="1">
        <v>46031</v>
      </c>
      <c r="J570" s="1">
        <v>46031</v>
      </c>
      <c r="K570" s="1">
        <v>46031</v>
      </c>
      <c r="L570">
        <v>31</v>
      </c>
      <c r="M570">
        <v>5.6</v>
      </c>
      <c r="N570">
        <v>5.6</v>
      </c>
      <c r="O570">
        <v>0</v>
      </c>
      <c r="P570">
        <v>0</v>
      </c>
      <c r="Q570" t="s">
        <v>108</v>
      </c>
    </row>
    <row r="571" spans="1:17">
      <c r="A571" t="s">
        <v>93</v>
      </c>
      <c r="B571" t="s">
        <v>106</v>
      </c>
      <c r="C571" t="s">
        <v>56</v>
      </c>
      <c r="D571" t="s">
        <v>354</v>
      </c>
      <c r="E571">
        <v>6</v>
      </c>
      <c r="F571" t="str">
        <f>VLOOKUP(E571,[1]LOJA!$A:$B,2,0)</f>
        <v>GAMA</v>
      </c>
      <c r="G571" t="s">
        <v>19</v>
      </c>
      <c r="H571" t="s">
        <v>19</v>
      </c>
      <c r="I571" s="1">
        <v>46031</v>
      </c>
      <c r="J571" s="1">
        <v>46031</v>
      </c>
      <c r="K571" s="1">
        <v>46031</v>
      </c>
      <c r="L571">
        <v>31</v>
      </c>
      <c r="M571">
        <v>0.47</v>
      </c>
      <c r="N571">
        <v>0.47</v>
      </c>
      <c r="O571">
        <v>0</v>
      </c>
      <c r="P571">
        <v>0</v>
      </c>
      <c r="Q571" t="s">
        <v>108</v>
      </c>
    </row>
    <row r="572" spans="1:17">
      <c r="A572" t="s">
        <v>93</v>
      </c>
      <c r="B572" t="s">
        <v>106</v>
      </c>
      <c r="C572" t="s">
        <v>56</v>
      </c>
      <c r="D572" t="s">
        <v>355</v>
      </c>
      <c r="E572">
        <v>6</v>
      </c>
      <c r="F572" t="str">
        <f>VLOOKUP(E572,[1]LOJA!$A:$B,2,0)</f>
        <v>GAMA</v>
      </c>
      <c r="G572" t="s">
        <v>19</v>
      </c>
      <c r="H572" t="s">
        <v>19</v>
      </c>
      <c r="I572" s="1">
        <v>46031</v>
      </c>
      <c r="J572" s="1">
        <v>46031</v>
      </c>
      <c r="K572" s="1">
        <v>46031</v>
      </c>
      <c r="L572">
        <v>31</v>
      </c>
      <c r="M572">
        <v>1.45</v>
      </c>
      <c r="N572">
        <v>1.45</v>
      </c>
      <c r="O572">
        <v>0</v>
      </c>
      <c r="P572">
        <v>0</v>
      </c>
      <c r="Q572" t="s">
        <v>108</v>
      </c>
    </row>
    <row r="573" spans="1:17">
      <c r="A573" t="s">
        <v>93</v>
      </c>
      <c r="B573" t="s">
        <v>106</v>
      </c>
      <c r="C573" t="s">
        <v>56</v>
      </c>
      <c r="D573" t="s">
        <v>356</v>
      </c>
      <c r="E573">
        <v>6</v>
      </c>
      <c r="F573" t="str">
        <f>VLOOKUP(E573,[1]LOJA!$A:$B,2,0)</f>
        <v>GAMA</v>
      </c>
      <c r="G573" t="s">
        <v>19</v>
      </c>
      <c r="H573" t="s">
        <v>19</v>
      </c>
      <c r="I573" s="1">
        <v>46031</v>
      </c>
      <c r="J573" s="1">
        <v>46031</v>
      </c>
      <c r="K573" s="1">
        <v>46031</v>
      </c>
      <c r="L573">
        <v>31</v>
      </c>
      <c r="M573">
        <v>0.94</v>
      </c>
      <c r="N573">
        <v>0.94</v>
      </c>
      <c r="O573">
        <v>0</v>
      </c>
      <c r="P573">
        <v>0</v>
      </c>
      <c r="Q573" t="s">
        <v>108</v>
      </c>
    </row>
    <row r="574" spans="1:17">
      <c r="A574" t="s">
        <v>93</v>
      </c>
      <c r="B574" t="s">
        <v>106</v>
      </c>
      <c r="C574" t="s">
        <v>56</v>
      </c>
      <c r="D574" t="s">
        <v>357</v>
      </c>
      <c r="E574">
        <v>6</v>
      </c>
      <c r="F574" t="str">
        <f>VLOOKUP(E574,[1]LOJA!$A:$B,2,0)</f>
        <v>GAMA</v>
      </c>
      <c r="G574" t="s">
        <v>19</v>
      </c>
      <c r="H574" t="s">
        <v>19</v>
      </c>
      <c r="I574" s="1">
        <v>46031</v>
      </c>
      <c r="J574" s="1">
        <v>46031</v>
      </c>
      <c r="K574" s="1">
        <v>46031</v>
      </c>
      <c r="L574">
        <v>31</v>
      </c>
      <c r="M574">
        <v>0.24</v>
      </c>
      <c r="N574">
        <v>0.24</v>
      </c>
      <c r="O574">
        <v>0</v>
      </c>
      <c r="P574">
        <v>0</v>
      </c>
      <c r="Q574" t="s">
        <v>108</v>
      </c>
    </row>
    <row r="575" spans="1:17">
      <c r="A575" t="s">
        <v>93</v>
      </c>
      <c r="B575" t="s">
        <v>106</v>
      </c>
      <c r="C575" t="s">
        <v>56</v>
      </c>
      <c r="D575" t="s">
        <v>358</v>
      </c>
      <c r="E575">
        <v>6</v>
      </c>
      <c r="F575" t="str">
        <f>VLOOKUP(E575,[1]LOJA!$A:$B,2,0)</f>
        <v>GAMA</v>
      </c>
      <c r="G575" t="s">
        <v>19</v>
      </c>
      <c r="H575" t="s">
        <v>19</v>
      </c>
      <c r="I575" s="1">
        <v>46034</v>
      </c>
      <c r="J575" s="1">
        <v>46032</v>
      </c>
      <c r="K575" s="1">
        <v>46034</v>
      </c>
      <c r="L575">
        <v>31</v>
      </c>
      <c r="M575">
        <v>3.17</v>
      </c>
      <c r="N575">
        <v>3.17</v>
      </c>
      <c r="O575">
        <v>0</v>
      </c>
      <c r="P575">
        <v>0</v>
      </c>
      <c r="Q575" t="s">
        <v>108</v>
      </c>
    </row>
    <row r="576" spans="1:17">
      <c r="A576" t="s">
        <v>93</v>
      </c>
      <c r="B576" t="s">
        <v>106</v>
      </c>
      <c r="C576" t="s">
        <v>56</v>
      </c>
      <c r="D576" t="s">
        <v>359</v>
      </c>
      <c r="E576">
        <v>6</v>
      </c>
      <c r="F576" t="str">
        <f>VLOOKUP(E576,[1]LOJA!$A:$B,2,0)</f>
        <v>GAMA</v>
      </c>
      <c r="G576" t="s">
        <v>19</v>
      </c>
      <c r="H576" t="s">
        <v>19</v>
      </c>
      <c r="I576" s="1">
        <v>46034</v>
      </c>
      <c r="J576" s="1">
        <v>46034</v>
      </c>
      <c r="K576" s="1">
        <v>46034</v>
      </c>
      <c r="L576">
        <v>31</v>
      </c>
      <c r="M576">
        <v>4.49</v>
      </c>
      <c r="N576">
        <v>4.49</v>
      </c>
      <c r="O576">
        <v>0</v>
      </c>
      <c r="P576">
        <v>0</v>
      </c>
      <c r="Q576" t="s">
        <v>108</v>
      </c>
    </row>
    <row r="577" spans="1:17">
      <c r="A577" t="s">
        <v>93</v>
      </c>
      <c r="B577" t="s">
        <v>106</v>
      </c>
      <c r="C577" t="s">
        <v>56</v>
      </c>
      <c r="D577" t="s">
        <v>360</v>
      </c>
      <c r="E577">
        <v>6</v>
      </c>
      <c r="F577" t="str">
        <f>VLOOKUP(E577,[1]LOJA!$A:$B,2,0)</f>
        <v>GAMA</v>
      </c>
      <c r="G577" t="s">
        <v>19</v>
      </c>
      <c r="H577" t="s">
        <v>19</v>
      </c>
      <c r="I577" s="1">
        <v>46034</v>
      </c>
      <c r="J577" s="1">
        <v>46034</v>
      </c>
      <c r="K577" s="1">
        <v>46034</v>
      </c>
      <c r="L577">
        <v>31</v>
      </c>
      <c r="M577">
        <v>3.98</v>
      </c>
      <c r="N577">
        <v>3.98</v>
      </c>
      <c r="O577">
        <v>0</v>
      </c>
      <c r="P577">
        <v>0</v>
      </c>
      <c r="Q577" t="s">
        <v>108</v>
      </c>
    </row>
    <row r="578" spans="1:17">
      <c r="A578" t="s">
        <v>93</v>
      </c>
      <c r="B578" t="s">
        <v>106</v>
      </c>
      <c r="C578" t="s">
        <v>56</v>
      </c>
      <c r="D578" t="s">
        <v>361</v>
      </c>
      <c r="E578">
        <v>6</v>
      </c>
      <c r="F578" t="str">
        <f>VLOOKUP(E578,[1]LOJA!$A:$B,2,0)</f>
        <v>GAMA</v>
      </c>
      <c r="G578" t="s">
        <v>19</v>
      </c>
      <c r="H578" t="s">
        <v>19</v>
      </c>
      <c r="I578" s="1">
        <v>46034</v>
      </c>
      <c r="J578" s="1">
        <v>46034</v>
      </c>
      <c r="K578" s="1">
        <v>46034</v>
      </c>
      <c r="L578">
        <v>31</v>
      </c>
      <c r="M578">
        <v>5.84</v>
      </c>
      <c r="N578">
        <v>5.84</v>
      </c>
      <c r="O578">
        <v>0</v>
      </c>
      <c r="P578">
        <v>0</v>
      </c>
      <c r="Q578" t="s">
        <v>108</v>
      </c>
    </row>
    <row r="579" spans="1:17">
      <c r="A579" t="s">
        <v>93</v>
      </c>
      <c r="B579" t="s">
        <v>106</v>
      </c>
      <c r="C579" t="s">
        <v>56</v>
      </c>
      <c r="D579" t="s">
        <v>362</v>
      </c>
      <c r="E579">
        <v>6</v>
      </c>
      <c r="F579" t="str">
        <f>VLOOKUP(E579,[1]LOJA!$A:$B,2,0)</f>
        <v>GAMA</v>
      </c>
      <c r="G579" t="s">
        <v>19</v>
      </c>
      <c r="H579" t="s">
        <v>19</v>
      </c>
      <c r="I579" s="1">
        <v>46034</v>
      </c>
      <c r="J579" s="1">
        <v>46033</v>
      </c>
      <c r="K579" s="1">
        <v>46034</v>
      </c>
      <c r="L579">
        <v>31</v>
      </c>
      <c r="M579">
        <v>5.2</v>
      </c>
      <c r="N579">
        <v>5.2</v>
      </c>
      <c r="O579">
        <v>0</v>
      </c>
      <c r="P579">
        <v>0</v>
      </c>
      <c r="Q579" t="s">
        <v>108</v>
      </c>
    </row>
    <row r="580" spans="1:17">
      <c r="A580" t="s">
        <v>93</v>
      </c>
      <c r="B580" t="s">
        <v>106</v>
      </c>
      <c r="C580" t="s">
        <v>56</v>
      </c>
      <c r="D580" t="s">
        <v>363</v>
      </c>
      <c r="E580">
        <v>6</v>
      </c>
      <c r="F580" t="str">
        <f>VLOOKUP(E580,[1]LOJA!$A:$B,2,0)</f>
        <v>GAMA</v>
      </c>
      <c r="G580" t="s">
        <v>19</v>
      </c>
      <c r="H580" t="s">
        <v>19</v>
      </c>
      <c r="I580" s="1">
        <v>46034</v>
      </c>
      <c r="J580" s="1">
        <v>46032</v>
      </c>
      <c r="K580" s="1">
        <v>46034</v>
      </c>
      <c r="L580">
        <v>31</v>
      </c>
      <c r="M580">
        <v>0.63</v>
      </c>
      <c r="N580">
        <v>0.63</v>
      </c>
      <c r="O580">
        <v>0</v>
      </c>
      <c r="P580">
        <v>0</v>
      </c>
      <c r="Q580" t="s">
        <v>108</v>
      </c>
    </row>
    <row r="581" spans="1:17">
      <c r="A581" t="s">
        <v>93</v>
      </c>
      <c r="B581" t="s">
        <v>106</v>
      </c>
      <c r="C581" t="s">
        <v>56</v>
      </c>
      <c r="D581" t="s">
        <v>364</v>
      </c>
      <c r="E581">
        <v>6</v>
      </c>
      <c r="F581" t="str">
        <f>VLOOKUP(E581,[1]LOJA!$A:$B,2,0)</f>
        <v>GAMA</v>
      </c>
      <c r="G581" t="s">
        <v>19</v>
      </c>
      <c r="H581" t="s">
        <v>19</v>
      </c>
      <c r="I581" s="1">
        <v>46034</v>
      </c>
      <c r="J581" s="1">
        <v>46032</v>
      </c>
      <c r="K581" s="1">
        <v>46034</v>
      </c>
      <c r="L581">
        <v>31</v>
      </c>
      <c r="M581">
        <v>0.95</v>
      </c>
      <c r="N581">
        <v>0.95</v>
      </c>
      <c r="O581">
        <v>0</v>
      </c>
      <c r="P581">
        <v>0</v>
      </c>
      <c r="Q581" t="s">
        <v>108</v>
      </c>
    </row>
    <row r="582" spans="1:17">
      <c r="A582" t="s">
        <v>93</v>
      </c>
      <c r="B582" t="s">
        <v>106</v>
      </c>
      <c r="C582" t="s">
        <v>56</v>
      </c>
      <c r="D582" t="s">
        <v>365</v>
      </c>
      <c r="E582">
        <v>6</v>
      </c>
      <c r="F582" t="str">
        <f>VLOOKUP(E582,[1]LOJA!$A:$B,2,0)</f>
        <v>GAMA</v>
      </c>
      <c r="G582" t="s">
        <v>19</v>
      </c>
      <c r="H582" t="s">
        <v>19</v>
      </c>
      <c r="I582" s="1">
        <v>46034</v>
      </c>
      <c r="J582" s="1">
        <v>46032</v>
      </c>
      <c r="K582" s="1">
        <v>46034</v>
      </c>
      <c r="L582">
        <v>31</v>
      </c>
      <c r="M582">
        <v>1.75</v>
      </c>
      <c r="N582">
        <v>1.75</v>
      </c>
      <c r="O582">
        <v>0</v>
      </c>
      <c r="P582">
        <v>0</v>
      </c>
      <c r="Q582" t="s">
        <v>108</v>
      </c>
    </row>
    <row r="583" spans="1:17">
      <c r="A583" t="s">
        <v>93</v>
      </c>
      <c r="B583" t="s">
        <v>106</v>
      </c>
      <c r="C583" t="s">
        <v>56</v>
      </c>
      <c r="D583" t="s">
        <v>366</v>
      </c>
      <c r="E583">
        <v>6</v>
      </c>
      <c r="F583" t="str">
        <f>VLOOKUP(E583,[1]LOJA!$A:$B,2,0)</f>
        <v>GAMA</v>
      </c>
      <c r="G583" t="s">
        <v>19</v>
      </c>
      <c r="H583" t="s">
        <v>19</v>
      </c>
      <c r="I583" s="1">
        <v>46034</v>
      </c>
      <c r="J583" s="1">
        <v>46033</v>
      </c>
      <c r="K583" s="1">
        <v>46034</v>
      </c>
      <c r="L583">
        <v>31</v>
      </c>
      <c r="M583">
        <v>1.1399999999999999</v>
      </c>
      <c r="N583">
        <v>1.1399999999999999</v>
      </c>
      <c r="O583">
        <v>0</v>
      </c>
      <c r="P583">
        <v>0</v>
      </c>
      <c r="Q583" t="s">
        <v>108</v>
      </c>
    </row>
    <row r="584" spans="1:17">
      <c r="A584" t="s">
        <v>93</v>
      </c>
      <c r="B584" t="s">
        <v>106</v>
      </c>
      <c r="C584" t="s">
        <v>56</v>
      </c>
      <c r="D584" t="s">
        <v>367</v>
      </c>
      <c r="E584">
        <v>6</v>
      </c>
      <c r="F584" t="str">
        <f>VLOOKUP(E584,[1]LOJA!$A:$B,2,0)</f>
        <v>GAMA</v>
      </c>
      <c r="G584" t="s">
        <v>19</v>
      </c>
      <c r="H584" t="s">
        <v>19</v>
      </c>
      <c r="I584" s="1">
        <v>46034</v>
      </c>
      <c r="J584" s="1">
        <v>46033</v>
      </c>
      <c r="K584" s="1">
        <v>46034</v>
      </c>
      <c r="L584">
        <v>31</v>
      </c>
      <c r="M584">
        <v>2.92</v>
      </c>
      <c r="N584">
        <v>2.92</v>
      </c>
      <c r="O584">
        <v>0</v>
      </c>
      <c r="P584">
        <v>0</v>
      </c>
      <c r="Q584" t="s">
        <v>108</v>
      </c>
    </row>
    <row r="585" spans="1:17">
      <c r="A585" t="s">
        <v>93</v>
      </c>
      <c r="B585" t="s">
        <v>106</v>
      </c>
      <c r="C585" t="s">
        <v>56</v>
      </c>
      <c r="D585" t="s">
        <v>368</v>
      </c>
      <c r="E585">
        <v>6</v>
      </c>
      <c r="F585" t="str">
        <f>VLOOKUP(E585,[1]LOJA!$A:$B,2,0)</f>
        <v>GAMA</v>
      </c>
      <c r="G585" t="s">
        <v>19</v>
      </c>
      <c r="H585" t="s">
        <v>19</v>
      </c>
      <c r="I585" s="1">
        <v>46034</v>
      </c>
      <c r="J585" s="1">
        <v>46034</v>
      </c>
      <c r="K585" s="1">
        <v>46034</v>
      </c>
      <c r="L585">
        <v>31</v>
      </c>
      <c r="M585">
        <v>2.0099999999999998</v>
      </c>
      <c r="N585">
        <v>2.0099999999999998</v>
      </c>
      <c r="O585">
        <v>0</v>
      </c>
      <c r="P585">
        <v>0</v>
      </c>
      <c r="Q585" t="s">
        <v>108</v>
      </c>
    </row>
    <row r="586" spans="1:17">
      <c r="A586" t="s">
        <v>93</v>
      </c>
      <c r="B586" t="s">
        <v>106</v>
      </c>
      <c r="C586" t="s">
        <v>56</v>
      </c>
      <c r="D586" t="s">
        <v>369</v>
      </c>
      <c r="E586">
        <v>6</v>
      </c>
      <c r="F586" t="str">
        <f>VLOOKUP(E586,[1]LOJA!$A:$B,2,0)</f>
        <v>GAMA</v>
      </c>
      <c r="G586" t="s">
        <v>19</v>
      </c>
      <c r="H586" t="s">
        <v>19</v>
      </c>
      <c r="I586" s="1">
        <v>46034</v>
      </c>
      <c r="J586" s="1">
        <v>46034</v>
      </c>
      <c r="K586" s="1">
        <v>46034</v>
      </c>
      <c r="L586">
        <v>31</v>
      </c>
      <c r="M586">
        <v>22.37</v>
      </c>
      <c r="N586">
        <v>22.37</v>
      </c>
      <c r="O586">
        <v>0</v>
      </c>
      <c r="P586">
        <v>0</v>
      </c>
      <c r="Q586" t="s">
        <v>108</v>
      </c>
    </row>
    <row r="587" spans="1:17">
      <c r="A587" t="s">
        <v>93</v>
      </c>
      <c r="B587" t="s">
        <v>106</v>
      </c>
      <c r="C587" t="s">
        <v>56</v>
      </c>
      <c r="D587" t="s">
        <v>370</v>
      </c>
      <c r="E587">
        <v>6</v>
      </c>
      <c r="F587" t="str">
        <f>VLOOKUP(E587,[1]LOJA!$A:$B,2,0)</f>
        <v>GAMA</v>
      </c>
      <c r="G587" t="s">
        <v>19</v>
      </c>
      <c r="H587" t="s">
        <v>19</v>
      </c>
      <c r="I587" s="1">
        <v>46034</v>
      </c>
      <c r="J587" s="1">
        <v>46034</v>
      </c>
      <c r="K587" s="1">
        <v>46034</v>
      </c>
      <c r="L587">
        <v>31</v>
      </c>
      <c r="M587">
        <v>2.34</v>
      </c>
      <c r="N587">
        <v>2.34</v>
      </c>
      <c r="O587">
        <v>0</v>
      </c>
      <c r="P587">
        <v>0</v>
      </c>
      <c r="Q587" t="s">
        <v>108</v>
      </c>
    </row>
    <row r="588" spans="1:17">
      <c r="A588" t="s">
        <v>93</v>
      </c>
      <c r="B588" t="s">
        <v>106</v>
      </c>
      <c r="C588" t="s">
        <v>56</v>
      </c>
      <c r="D588" t="s">
        <v>371</v>
      </c>
      <c r="E588">
        <v>6</v>
      </c>
      <c r="F588" t="str">
        <f>VLOOKUP(E588,[1]LOJA!$A:$B,2,0)</f>
        <v>GAMA</v>
      </c>
      <c r="G588" t="s">
        <v>19</v>
      </c>
      <c r="H588" t="s">
        <v>19</v>
      </c>
      <c r="I588" s="1">
        <v>46034</v>
      </c>
      <c r="J588" s="1">
        <v>46034</v>
      </c>
      <c r="K588" s="1">
        <v>46034</v>
      </c>
      <c r="L588">
        <v>31</v>
      </c>
      <c r="M588">
        <v>0.4</v>
      </c>
      <c r="N588">
        <v>0.4</v>
      </c>
      <c r="O588">
        <v>0</v>
      </c>
      <c r="P588">
        <v>0</v>
      </c>
      <c r="Q588" t="s">
        <v>108</v>
      </c>
    </row>
    <row r="589" spans="1:17">
      <c r="A589" t="s">
        <v>93</v>
      </c>
      <c r="B589" t="s">
        <v>106</v>
      </c>
      <c r="C589" t="s">
        <v>56</v>
      </c>
      <c r="D589" t="s">
        <v>372</v>
      </c>
      <c r="E589">
        <v>6</v>
      </c>
      <c r="F589" t="str">
        <f>VLOOKUP(E589,[1]LOJA!$A:$B,2,0)</f>
        <v>GAMA</v>
      </c>
      <c r="G589" t="s">
        <v>19</v>
      </c>
      <c r="H589" t="s">
        <v>19</v>
      </c>
      <c r="I589" s="1">
        <v>46034</v>
      </c>
      <c r="J589" s="1">
        <v>46034</v>
      </c>
      <c r="K589" s="1">
        <v>46034</v>
      </c>
      <c r="L589">
        <v>31</v>
      </c>
      <c r="M589">
        <v>0.61</v>
      </c>
      <c r="N589">
        <v>0.61</v>
      </c>
      <c r="O589">
        <v>0</v>
      </c>
      <c r="P589">
        <v>0</v>
      </c>
      <c r="Q589" t="s">
        <v>108</v>
      </c>
    </row>
    <row r="590" spans="1:17">
      <c r="A590" t="s">
        <v>93</v>
      </c>
      <c r="B590" t="s">
        <v>106</v>
      </c>
      <c r="C590" t="s">
        <v>56</v>
      </c>
      <c r="D590" t="s">
        <v>373</v>
      </c>
      <c r="E590">
        <v>6</v>
      </c>
      <c r="F590" t="str">
        <f>VLOOKUP(E590,[1]LOJA!$A:$B,2,0)</f>
        <v>GAMA</v>
      </c>
      <c r="G590" t="s">
        <v>19</v>
      </c>
      <c r="H590" t="s">
        <v>19</v>
      </c>
      <c r="I590" s="1">
        <v>46034</v>
      </c>
      <c r="J590" s="1">
        <v>46034</v>
      </c>
      <c r="K590" s="1">
        <v>46034</v>
      </c>
      <c r="L590">
        <v>31</v>
      </c>
      <c r="M590">
        <v>2.19</v>
      </c>
      <c r="N590">
        <v>2.19</v>
      </c>
      <c r="O590">
        <v>0</v>
      </c>
      <c r="P590">
        <v>0</v>
      </c>
      <c r="Q590" t="s">
        <v>108</v>
      </c>
    </row>
    <row r="591" spans="1:17">
      <c r="A591" t="s">
        <v>93</v>
      </c>
      <c r="B591" t="s">
        <v>106</v>
      </c>
      <c r="C591" t="s">
        <v>56</v>
      </c>
      <c r="D591" t="s">
        <v>374</v>
      </c>
      <c r="E591">
        <v>6</v>
      </c>
      <c r="F591" t="str">
        <f>VLOOKUP(E591,[1]LOJA!$A:$B,2,0)</f>
        <v>GAMA</v>
      </c>
      <c r="G591" t="s">
        <v>19</v>
      </c>
      <c r="H591" t="s">
        <v>19</v>
      </c>
      <c r="I591" s="1">
        <v>46034</v>
      </c>
      <c r="J591" s="1">
        <v>46034</v>
      </c>
      <c r="K591" s="1">
        <v>46034</v>
      </c>
      <c r="L591">
        <v>31</v>
      </c>
      <c r="M591">
        <v>4.38</v>
      </c>
      <c r="N591">
        <v>4.38</v>
      </c>
      <c r="O591">
        <v>0</v>
      </c>
      <c r="P591">
        <v>0</v>
      </c>
      <c r="Q591" t="s">
        <v>108</v>
      </c>
    </row>
    <row r="592" spans="1:17">
      <c r="A592" t="s">
        <v>93</v>
      </c>
      <c r="B592" t="s">
        <v>106</v>
      </c>
      <c r="C592" t="s">
        <v>56</v>
      </c>
      <c r="D592" t="s">
        <v>375</v>
      </c>
      <c r="E592">
        <v>6</v>
      </c>
      <c r="F592" t="str">
        <f>VLOOKUP(E592,[1]LOJA!$A:$B,2,0)</f>
        <v>GAMA</v>
      </c>
      <c r="G592" t="s">
        <v>19</v>
      </c>
      <c r="H592" t="s">
        <v>19</v>
      </c>
      <c r="I592" s="1">
        <v>46034</v>
      </c>
      <c r="J592" s="1">
        <v>46032</v>
      </c>
      <c r="K592" s="1">
        <v>46034</v>
      </c>
      <c r="L592">
        <v>31</v>
      </c>
      <c r="M592">
        <v>0.54</v>
      </c>
      <c r="N592">
        <v>0.54</v>
      </c>
      <c r="O592">
        <v>0</v>
      </c>
      <c r="P592">
        <v>0</v>
      </c>
      <c r="Q592" t="s">
        <v>108</v>
      </c>
    </row>
    <row r="593" spans="1:17">
      <c r="A593" t="s">
        <v>93</v>
      </c>
      <c r="B593" t="s">
        <v>106</v>
      </c>
      <c r="C593" t="s">
        <v>56</v>
      </c>
      <c r="D593" t="s">
        <v>376</v>
      </c>
      <c r="E593">
        <v>6</v>
      </c>
      <c r="F593" t="str">
        <f>VLOOKUP(E593,[1]LOJA!$A:$B,2,0)</f>
        <v>GAMA</v>
      </c>
      <c r="G593" t="s">
        <v>19</v>
      </c>
      <c r="H593" t="s">
        <v>19</v>
      </c>
      <c r="I593" s="1">
        <v>46034</v>
      </c>
      <c r="J593" s="1">
        <v>46032</v>
      </c>
      <c r="K593" s="1">
        <v>46034</v>
      </c>
      <c r="L593">
        <v>31</v>
      </c>
      <c r="M593">
        <v>0.47</v>
      </c>
      <c r="N593">
        <v>0.47</v>
      </c>
      <c r="O593">
        <v>0</v>
      </c>
      <c r="P593">
        <v>0</v>
      </c>
      <c r="Q593" t="s">
        <v>108</v>
      </c>
    </row>
    <row r="594" spans="1:17">
      <c r="A594" t="s">
        <v>93</v>
      </c>
      <c r="B594" t="s">
        <v>106</v>
      </c>
      <c r="C594" t="s">
        <v>56</v>
      </c>
      <c r="D594" t="s">
        <v>377</v>
      </c>
      <c r="E594">
        <v>6</v>
      </c>
      <c r="F594" t="str">
        <f>VLOOKUP(E594,[1]LOJA!$A:$B,2,0)</f>
        <v>GAMA</v>
      </c>
      <c r="G594" t="s">
        <v>19</v>
      </c>
      <c r="H594" t="s">
        <v>19</v>
      </c>
      <c r="I594" s="1">
        <v>46034</v>
      </c>
      <c r="J594" s="1">
        <v>46033</v>
      </c>
      <c r="K594" s="1">
        <v>46034</v>
      </c>
      <c r="L594">
        <v>31</v>
      </c>
      <c r="M594">
        <v>0.33</v>
      </c>
      <c r="N594">
        <v>0.33</v>
      </c>
      <c r="O594">
        <v>0</v>
      </c>
      <c r="P594">
        <v>0</v>
      </c>
      <c r="Q594" t="s">
        <v>108</v>
      </c>
    </row>
    <row r="595" spans="1:17">
      <c r="A595" t="s">
        <v>93</v>
      </c>
      <c r="B595" t="s">
        <v>106</v>
      </c>
      <c r="C595" t="s">
        <v>56</v>
      </c>
      <c r="D595" t="s">
        <v>378</v>
      </c>
      <c r="E595">
        <v>6</v>
      </c>
      <c r="F595" t="str">
        <f>VLOOKUP(E595,[1]LOJA!$A:$B,2,0)</f>
        <v>GAMA</v>
      </c>
      <c r="G595" t="s">
        <v>19</v>
      </c>
      <c r="H595" t="s">
        <v>19</v>
      </c>
      <c r="I595" s="1">
        <v>46035</v>
      </c>
      <c r="J595" s="1">
        <v>46035</v>
      </c>
      <c r="K595" s="1">
        <v>46035</v>
      </c>
      <c r="L595">
        <v>31</v>
      </c>
      <c r="M595">
        <v>4.8499999999999996</v>
      </c>
      <c r="N595">
        <v>4.8499999999999996</v>
      </c>
      <c r="O595">
        <v>0</v>
      </c>
      <c r="P595">
        <v>0</v>
      </c>
      <c r="Q595" t="s">
        <v>108</v>
      </c>
    </row>
    <row r="596" spans="1:17">
      <c r="A596" t="s">
        <v>93</v>
      </c>
      <c r="B596" t="s">
        <v>106</v>
      </c>
      <c r="C596" t="s">
        <v>56</v>
      </c>
      <c r="D596" t="s">
        <v>379</v>
      </c>
      <c r="E596">
        <v>6</v>
      </c>
      <c r="F596" t="str">
        <f>VLOOKUP(E596,[1]LOJA!$A:$B,2,0)</f>
        <v>GAMA</v>
      </c>
      <c r="G596" t="s">
        <v>19</v>
      </c>
      <c r="H596" t="s">
        <v>19</v>
      </c>
      <c r="I596" s="1">
        <v>46035</v>
      </c>
      <c r="J596" s="1">
        <v>46035</v>
      </c>
      <c r="K596" s="1">
        <v>46035</v>
      </c>
      <c r="L596">
        <v>31</v>
      </c>
      <c r="M596">
        <v>3.74</v>
      </c>
      <c r="N596">
        <v>3.74</v>
      </c>
      <c r="O596">
        <v>0</v>
      </c>
      <c r="P596">
        <v>0</v>
      </c>
      <c r="Q596" t="s">
        <v>108</v>
      </c>
    </row>
    <row r="597" spans="1:17">
      <c r="A597" t="s">
        <v>93</v>
      </c>
      <c r="B597" t="s">
        <v>106</v>
      </c>
      <c r="C597" t="s">
        <v>56</v>
      </c>
      <c r="D597" t="s">
        <v>380</v>
      </c>
      <c r="E597">
        <v>6</v>
      </c>
      <c r="F597" t="str">
        <f>VLOOKUP(E597,[1]LOJA!$A:$B,2,0)</f>
        <v>GAMA</v>
      </c>
      <c r="G597" t="s">
        <v>19</v>
      </c>
      <c r="H597" t="s">
        <v>19</v>
      </c>
      <c r="I597" s="1">
        <v>46035</v>
      </c>
      <c r="J597" s="1">
        <v>46035</v>
      </c>
      <c r="K597" s="1">
        <v>46035</v>
      </c>
      <c r="L597">
        <v>31</v>
      </c>
      <c r="M597">
        <v>6.57</v>
      </c>
      <c r="N597">
        <v>6.57</v>
      </c>
      <c r="O597">
        <v>0</v>
      </c>
      <c r="P597">
        <v>0</v>
      </c>
      <c r="Q597" t="s">
        <v>108</v>
      </c>
    </row>
    <row r="598" spans="1:17">
      <c r="A598" t="s">
        <v>93</v>
      </c>
      <c r="B598" t="s">
        <v>106</v>
      </c>
      <c r="C598" t="s">
        <v>56</v>
      </c>
      <c r="D598" t="s">
        <v>381</v>
      </c>
      <c r="E598">
        <v>6</v>
      </c>
      <c r="F598" t="str">
        <f>VLOOKUP(E598,[1]LOJA!$A:$B,2,0)</f>
        <v>GAMA</v>
      </c>
      <c r="G598" t="s">
        <v>19</v>
      </c>
      <c r="H598" t="s">
        <v>19</v>
      </c>
      <c r="I598" s="1">
        <v>46035</v>
      </c>
      <c r="J598" s="1">
        <v>46035</v>
      </c>
      <c r="K598" s="1">
        <v>46035</v>
      </c>
      <c r="L598">
        <v>31</v>
      </c>
      <c r="M598">
        <v>0.7</v>
      </c>
      <c r="N598">
        <v>0.7</v>
      </c>
      <c r="O598">
        <v>0</v>
      </c>
      <c r="P598">
        <v>0</v>
      </c>
      <c r="Q598" t="s">
        <v>108</v>
      </c>
    </row>
    <row r="599" spans="1:17">
      <c r="A599" t="s">
        <v>93</v>
      </c>
      <c r="B599" t="s">
        <v>106</v>
      </c>
      <c r="C599" t="s">
        <v>56</v>
      </c>
      <c r="D599" t="s">
        <v>382</v>
      </c>
      <c r="E599">
        <v>6</v>
      </c>
      <c r="F599" t="str">
        <f>VLOOKUP(E599,[1]LOJA!$A:$B,2,0)</f>
        <v>GAMA</v>
      </c>
      <c r="G599" t="s">
        <v>19</v>
      </c>
      <c r="H599" t="s">
        <v>19</v>
      </c>
      <c r="I599" s="1">
        <v>46035</v>
      </c>
      <c r="J599" s="1">
        <v>46035</v>
      </c>
      <c r="K599" s="1">
        <v>46035</v>
      </c>
      <c r="L599">
        <v>31</v>
      </c>
      <c r="M599">
        <v>1.45</v>
      </c>
      <c r="N599">
        <v>1.45</v>
      </c>
      <c r="O599">
        <v>0</v>
      </c>
      <c r="P599">
        <v>0</v>
      </c>
      <c r="Q599" t="s">
        <v>108</v>
      </c>
    </row>
    <row r="600" spans="1:17">
      <c r="A600" t="s">
        <v>93</v>
      </c>
      <c r="B600" t="s">
        <v>106</v>
      </c>
      <c r="C600" t="s">
        <v>56</v>
      </c>
      <c r="D600" t="s">
        <v>383</v>
      </c>
      <c r="E600">
        <v>6</v>
      </c>
      <c r="F600" t="str">
        <f>VLOOKUP(E600,[1]LOJA!$A:$B,2,0)</f>
        <v>GAMA</v>
      </c>
      <c r="G600" t="s">
        <v>19</v>
      </c>
      <c r="H600" t="s">
        <v>19</v>
      </c>
      <c r="I600" s="1">
        <v>46035</v>
      </c>
      <c r="J600" s="1">
        <v>46035</v>
      </c>
      <c r="K600" s="1">
        <v>46035</v>
      </c>
      <c r="L600">
        <v>31</v>
      </c>
      <c r="M600">
        <v>0.8</v>
      </c>
      <c r="N600">
        <v>0.8</v>
      </c>
      <c r="O600">
        <v>0</v>
      </c>
      <c r="P600">
        <v>0</v>
      </c>
      <c r="Q600" t="s">
        <v>108</v>
      </c>
    </row>
    <row r="601" spans="1:17">
      <c r="A601" t="s">
        <v>93</v>
      </c>
      <c r="B601" t="s">
        <v>106</v>
      </c>
      <c r="C601" t="s">
        <v>56</v>
      </c>
      <c r="D601" t="s">
        <v>384</v>
      </c>
      <c r="E601">
        <v>6</v>
      </c>
      <c r="F601" t="str">
        <f>VLOOKUP(E601,[1]LOJA!$A:$B,2,0)</f>
        <v>GAMA</v>
      </c>
      <c r="G601" t="s">
        <v>19</v>
      </c>
      <c r="H601" t="s">
        <v>19</v>
      </c>
      <c r="I601" s="1">
        <v>46035</v>
      </c>
      <c r="J601" s="1">
        <v>46035</v>
      </c>
      <c r="K601" s="1">
        <v>46035</v>
      </c>
      <c r="L601">
        <v>31</v>
      </c>
      <c r="M601">
        <v>0.28999999999999998</v>
      </c>
      <c r="N601">
        <v>0.28999999999999998</v>
      </c>
      <c r="O601">
        <v>0</v>
      </c>
      <c r="P601">
        <v>0</v>
      </c>
      <c r="Q601" t="s">
        <v>108</v>
      </c>
    </row>
    <row r="602" spans="1:17">
      <c r="A602" t="s">
        <v>93</v>
      </c>
      <c r="B602" t="s">
        <v>106</v>
      </c>
      <c r="C602" t="s">
        <v>56</v>
      </c>
      <c r="D602" t="s">
        <v>385</v>
      </c>
      <c r="E602">
        <v>6</v>
      </c>
      <c r="F602" t="str">
        <f>VLOOKUP(E602,[1]LOJA!$A:$B,2,0)</f>
        <v>GAMA</v>
      </c>
      <c r="G602" t="s">
        <v>19</v>
      </c>
      <c r="H602" t="s">
        <v>19</v>
      </c>
      <c r="I602" s="1">
        <v>46035</v>
      </c>
      <c r="J602" s="1">
        <v>46035</v>
      </c>
      <c r="K602" s="1">
        <v>46035</v>
      </c>
      <c r="L602">
        <v>31</v>
      </c>
      <c r="M602">
        <v>1.61</v>
      </c>
      <c r="N602">
        <v>1.61</v>
      </c>
      <c r="O602">
        <v>0</v>
      </c>
      <c r="P602">
        <v>0</v>
      </c>
      <c r="Q602" t="s">
        <v>108</v>
      </c>
    </row>
    <row r="603" spans="1:17">
      <c r="A603" t="s">
        <v>93</v>
      </c>
      <c r="B603" t="s">
        <v>106</v>
      </c>
      <c r="C603" t="s">
        <v>56</v>
      </c>
      <c r="D603" t="s">
        <v>386</v>
      </c>
      <c r="E603">
        <v>6</v>
      </c>
      <c r="F603" t="str">
        <f>VLOOKUP(E603,[1]LOJA!$A:$B,2,0)</f>
        <v>GAMA</v>
      </c>
      <c r="G603" t="s">
        <v>19</v>
      </c>
      <c r="H603" t="s">
        <v>19</v>
      </c>
      <c r="I603" s="1">
        <v>46035</v>
      </c>
      <c r="J603" s="1">
        <v>46035</v>
      </c>
      <c r="K603" s="1">
        <v>46035</v>
      </c>
      <c r="L603">
        <v>31</v>
      </c>
      <c r="M603">
        <v>0.34</v>
      </c>
      <c r="N603">
        <v>0.34</v>
      </c>
      <c r="O603">
        <v>0</v>
      </c>
      <c r="P603">
        <v>0</v>
      </c>
      <c r="Q603" t="s">
        <v>108</v>
      </c>
    </row>
    <row r="604" spans="1:17">
      <c r="A604" t="s">
        <v>93</v>
      </c>
      <c r="B604" t="s">
        <v>106</v>
      </c>
      <c r="C604" t="s">
        <v>56</v>
      </c>
      <c r="D604" t="s">
        <v>387</v>
      </c>
      <c r="E604">
        <v>6</v>
      </c>
      <c r="F604" t="str">
        <f>VLOOKUP(E604,[1]LOJA!$A:$B,2,0)</f>
        <v>GAMA</v>
      </c>
      <c r="G604" t="s">
        <v>19</v>
      </c>
      <c r="H604" t="s">
        <v>19</v>
      </c>
      <c r="I604" s="1">
        <v>46035</v>
      </c>
      <c r="J604" s="1">
        <v>46035</v>
      </c>
      <c r="K604" s="1">
        <v>46035</v>
      </c>
      <c r="L604">
        <v>31</v>
      </c>
      <c r="M604">
        <v>0.4</v>
      </c>
      <c r="N604">
        <v>0.4</v>
      </c>
      <c r="O604">
        <v>0</v>
      </c>
      <c r="P604">
        <v>0</v>
      </c>
      <c r="Q604" t="s">
        <v>108</v>
      </c>
    </row>
    <row r="605" spans="1:17">
      <c r="A605" t="s">
        <v>93</v>
      </c>
      <c r="B605" t="s">
        <v>106</v>
      </c>
      <c r="C605" t="s">
        <v>56</v>
      </c>
      <c r="D605" t="s">
        <v>388</v>
      </c>
      <c r="E605">
        <v>6</v>
      </c>
      <c r="F605" t="str">
        <f>VLOOKUP(E605,[1]LOJA!$A:$B,2,0)</f>
        <v>GAMA</v>
      </c>
      <c r="G605" t="s">
        <v>19</v>
      </c>
      <c r="H605" t="s">
        <v>19</v>
      </c>
      <c r="I605" s="1">
        <v>46036</v>
      </c>
      <c r="J605" s="1">
        <v>46036</v>
      </c>
      <c r="K605" s="1">
        <v>46036</v>
      </c>
      <c r="L605">
        <v>31</v>
      </c>
      <c r="M605">
        <v>5.98</v>
      </c>
      <c r="N605">
        <v>5.98</v>
      </c>
      <c r="O605">
        <v>0</v>
      </c>
      <c r="P605">
        <v>0</v>
      </c>
      <c r="Q605" t="s">
        <v>108</v>
      </c>
    </row>
    <row r="606" spans="1:17">
      <c r="A606" t="s">
        <v>93</v>
      </c>
      <c r="B606" t="s">
        <v>106</v>
      </c>
      <c r="C606" t="s">
        <v>56</v>
      </c>
      <c r="D606" t="s">
        <v>389</v>
      </c>
      <c r="E606">
        <v>6</v>
      </c>
      <c r="F606" t="str">
        <f>VLOOKUP(E606,[1]LOJA!$A:$B,2,0)</f>
        <v>GAMA</v>
      </c>
      <c r="G606" t="s">
        <v>19</v>
      </c>
      <c r="H606" t="s">
        <v>19</v>
      </c>
      <c r="I606" s="1">
        <v>46036</v>
      </c>
      <c r="J606" s="1">
        <v>46036</v>
      </c>
      <c r="K606" s="1">
        <v>46036</v>
      </c>
      <c r="L606">
        <v>31</v>
      </c>
      <c r="M606">
        <v>15.15</v>
      </c>
      <c r="N606">
        <v>15.15</v>
      </c>
      <c r="O606">
        <v>0</v>
      </c>
      <c r="P606">
        <v>0</v>
      </c>
      <c r="Q606" t="s">
        <v>108</v>
      </c>
    </row>
    <row r="607" spans="1:17">
      <c r="A607" t="s">
        <v>93</v>
      </c>
      <c r="B607" t="s">
        <v>106</v>
      </c>
      <c r="C607" t="s">
        <v>56</v>
      </c>
      <c r="D607" t="s">
        <v>390</v>
      </c>
      <c r="E607">
        <v>6</v>
      </c>
      <c r="F607" t="str">
        <f>VLOOKUP(E607,[1]LOJA!$A:$B,2,0)</f>
        <v>GAMA</v>
      </c>
      <c r="G607" t="s">
        <v>19</v>
      </c>
      <c r="H607" t="s">
        <v>19</v>
      </c>
      <c r="I607" s="1">
        <v>46036</v>
      </c>
      <c r="J607" s="1">
        <v>46036</v>
      </c>
      <c r="K607" s="1">
        <v>46036</v>
      </c>
      <c r="L607">
        <v>31</v>
      </c>
      <c r="M607">
        <v>1.81</v>
      </c>
      <c r="N607">
        <v>1.81</v>
      </c>
      <c r="O607">
        <v>0</v>
      </c>
      <c r="P607">
        <v>0</v>
      </c>
      <c r="Q607" t="s">
        <v>108</v>
      </c>
    </row>
    <row r="608" spans="1:17">
      <c r="A608" t="s">
        <v>93</v>
      </c>
      <c r="B608" t="s">
        <v>106</v>
      </c>
      <c r="C608" t="s">
        <v>56</v>
      </c>
      <c r="D608" t="s">
        <v>391</v>
      </c>
      <c r="E608">
        <v>6</v>
      </c>
      <c r="F608" t="str">
        <f>VLOOKUP(E608,[1]LOJA!$A:$B,2,0)</f>
        <v>GAMA</v>
      </c>
      <c r="G608" t="s">
        <v>19</v>
      </c>
      <c r="H608" t="s">
        <v>19</v>
      </c>
      <c r="I608" s="1">
        <v>46036</v>
      </c>
      <c r="J608" s="1">
        <v>46036</v>
      </c>
      <c r="K608" s="1">
        <v>46036</v>
      </c>
      <c r="L608">
        <v>31</v>
      </c>
      <c r="M608">
        <v>1.61</v>
      </c>
      <c r="N608">
        <v>1.61</v>
      </c>
      <c r="O608">
        <v>0</v>
      </c>
      <c r="P608">
        <v>0</v>
      </c>
      <c r="Q608" t="s">
        <v>108</v>
      </c>
    </row>
    <row r="609" spans="1:17">
      <c r="A609" t="s">
        <v>93</v>
      </c>
      <c r="B609" t="s">
        <v>106</v>
      </c>
      <c r="C609" t="s">
        <v>56</v>
      </c>
      <c r="D609" t="s">
        <v>392</v>
      </c>
      <c r="E609">
        <v>6</v>
      </c>
      <c r="F609" t="str">
        <f>VLOOKUP(E609,[1]LOJA!$A:$B,2,0)</f>
        <v>GAMA</v>
      </c>
      <c r="G609" t="s">
        <v>19</v>
      </c>
      <c r="H609" t="s">
        <v>19</v>
      </c>
      <c r="I609" s="1">
        <v>46036</v>
      </c>
      <c r="J609" s="1">
        <v>46036</v>
      </c>
      <c r="K609" s="1">
        <v>46036</v>
      </c>
      <c r="L609">
        <v>31</v>
      </c>
      <c r="M609">
        <v>0.28000000000000003</v>
      </c>
      <c r="N609">
        <v>0.28000000000000003</v>
      </c>
      <c r="O609">
        <v>0</v>
      </c>
      <c r="P609">
        <v>0</v>
      </c>
      <c r="Q609" t="s">
        <v>108</v>
      </c>
    </row>
    <row r="610" spans="1:17">
      <c r="A610" t="s">
        <v>93</v>
      </c>
      <c r="B610" t="s">
        <v>106</v>
      </c>
      <c r="C610" t="s">
        <v>56</v>
      </c>
      <c r="D610" t="s">
        <v>393</v>
      </c>
      <c r="E610">
        <v>6</v>
      </c>
      <c r="F610" t="str">
        <f>VLOOKUP(E610,[1]LOJA!$A:$B,2,0)</f>
        <v>GAMA</v>
      </c>
      <c r="G610" t="s">
        <v>19</v>
      </c>
      <c r="H610" t="s">
        <v>19</v>
      </c>
      <c r="I610" s="1">
        <v>46036</v>
      </c>
      <c r="J610" s="1">
        <v>46036</v>
      </c>
      <c r="K610" s="1">
        <v>46036</v>
      </c>
      <c r="L610">
        <v>31</v>
      </c>
      <c r="M610">
        <v>0.27</v>
      </c>
      <c r="N610">
        <v>0.27</v>
      </c>
      <c r="O610">
        <v>0</v>
      </c>
      <c r="P610">
        <v>0</v>
      </c>
      <c r="Q610" t="s">
        <v>108</v>
      </c>
    </row>
    <row r="611" spans="1:17">
      <c r="A611" t="s">
        <v>93</v>
      </c>
      <c r="B611" t="s">
        <v>106</v>
      </c>
      <c r="C611" t="s">
        <v>56</v>
      </c>
      <c r="D611" t="s">
        <v>394</v>
      </c>
      <c r="E611">
        <v>6</v>
      </c>
      <c r="F611" t="str">
        <f>VLOOKUP(E611,[1]LOJA!$A:$B,2,0)</f>
        <v>GAMA</v>
      </c>
      <c r="G611" t="s">
        <v>19</v>
      </c>
      <c r="H611" t="s">
        <v>19</v>
      </c>
      <c r="I611" s="1">
        <v>46037</v>
      </c>
      <c r="J611" s="1">
        <v>46037</v>
      </c>
      <c r="K611" s="1">
        <v>46037</v>
      </c>
      <c r="L611">
        <v>31</v>
      </c>
      <c r="M611">
        <v>5.22</v>
      </c>
      <c r="N611">
        <v>5.22</v>
      </c>
      <c r="O611">
        <v>0</v>
      </c>
      <c r="P611">
        <v>0</v>
      </c>
      <c r="Q611" t="s">
        <v>108</v>
      </c>
    </row>
    <row r="612" spans="1:17">
      <c r="A612" t="s">
        <v>93</v>
      </c>
      <c r="B612" t="s">
        <v>106</v>
      </c>
      <c r="C612" t="s">
        <v>56</v>
      </c>
      <c r="D612" t="s">
        <v>395</v>
      </c>
      <c r="E612">
        <v>6</v>
      </c>
      <c r="F612" t="str">
        <f>VLOOKUP(E612,[1]LOJA!$A:$B,2,0)</f>
        <v>GAMA</v>
      </c>
      <c r="G612" t="s">
        <v>19</v>
      </c>
      <c r="H612" t="s">
        <v>19</v>
      </c>
      <c r="I612" s="1">
        <v>46037</v>
      </c>
      <c r="J612" s="1">
        <v>46037</v>
      </c>
      <c r="K612" s="1">
        <v>46037</v>
      </c>
      <c r="L612">
        <v>31</v>
      </c>
      <c r="M612">
        <v>5.0599999999999996</v>
      </c>
      <c r="N612">
        <v>5.0599999999999996</v>
      </c>
      <c r="O612">
        <v>0</v>
      </c>
      <c r="P612">
        <v>0</v>
      </c>
      <c r="Q612" t="s">
        <v>108</v>
      </c>
    </row>
    <row r="613" spans="1:17">
      <c r="A613" t="s">
        <v>93</v>
      </c>
      <c r="B613" t="s">
        <v>106</v>
      </c>
      <c r="C613" t="s">
        <v>56</v>
      </c>
      <c r="D613" t="s">
        <v>396</v>
      </c>
      <c r="E613">
        <v>6</v>
      </c>
      <c r="F613" t="str">
        <f>VLOOKUP(E613,[1]LOJA!$A:$B,2,0)</f>
        <v>GAMA</v>
      </c>
      <c r="G613" t="s">
        <v>19</v>
      </c>
      <c r="H613" t="s">
        <v>19</v>
      </c>
      <c r="I613" s="1">
        <v>46037</v>
      </c>
      <c r="J613" s="1">
        <v>46037</v>
      </c>
      <c r="K613" s="1">
        <v>46037</v>
      </c>
      <c r="L613">
        <v>31</v>
      </c>
      <c r="M613">
        <v>2.4500000000000002</v>
      </c>
      <c r="N613">
        <v>2.4500000000000002</v>
      </c>
      <c r="O613">
        <v>0</v>
      </c>
      <c r="P613">
        <v>0</v>
      </c>
      <c r="Q613" t="s">
        <v>108</v>
      </c>
    </row>
    <row r="614" spans="1:17">
      <c r="A614" t="s">
        <v>93</v>
      </c>
      <c r="B614" t="s">
        <v>106</v>
      </c>
      <c r="C614" t="s">
        <v>56</v>
      </c>
      <c r="D614" t="s">
        <v>397</v>
      </c>
      <c r="E614">
        <v>6</v>
      </c>
      <c r="F614" t="str">
        <f>VLOOKUP(E614,[1]LOJA!$A:$B,2,0)</f>
        <v>GAMA</v>
      </c>
      <c r="G614" t="s">
        <v>19</v>
      </c>
      <c r="H614" t="s">
        <v>19</v>
      </c>
      <c r="I614" s="1">
        <v>46037</v>
      </c>
      <c r="J614" s="1">
        <v>46037</v>
      </c>
      <c r="K614" s="1">
        <v>46037</v>
      </c>
      <c r="L614">
        <v>31</v>
      </c>
      <c r="M614">
        <v>2.5499999999999998</v>
      </c>
      <c r="N614">
        <v>2.5499999999999998</v>
      </c>
      <c r="O614">
        <v>0</v>
      </c>
      <c r="P614">
        <v>0</v>
      </c>
      <c r="Q614" t="s">
        <v>108</v>
      </c>
    </row>
    <row r="615" spans="1:17">
      <c r="A615" t="s">
        <v>93</v>
      </c>
      <c r="B615" t="s">
        <v>106</v>
      </c>
      <c r="C615" t="s">
        <v>56</v>
      </c>
      <c r="D615" t="s">
        <v>398</v>
      </c>
      <c r="E615">
        <v>6</v>
      </c>
      <c r="F615" t="str">
        <f>VLOOKUP(E615,[1]LOJA!$A:$B,2,0)</f>
        <v>GAMA</v>
      </c>
      <c r="G615" t="s">
        <v>19</v>
      </c>
      <c r="H615" t="s">
        <v>19</v>
      </c>
      <c r="I615" s="1">
        <v>46037</v>
      </c>
      <c r="J615" s="1">
        <v>46037</v>
      </c>
      <c r="K615" s="1">
        <v>46037</v>
      </c>
      <c r="L615">
        <v>31</v>
      </c>
      <c r="M615">
        <v>0.24</v>
      </c>
      <c r="N615">
        <v>0.24</v>
      </c>
      <c r="O615">
        <v>0</v>
      </c>
      <c r="P615">
        <v>0</v>
      </c>
      <c r="Q615" t="s">
        <v>108</v>
      </c>
    </row>
    <row r="616" spans="1:17">
      <c r="A616" t="s">
        <v>93</v>
      </c>
      <c r="B616" t="s">
        <v>106</v>
      </c>
      <c r="C616" t="s">
        <v>56</v>
      </c>
      <c r="D616" t="s">
        <v>399</v>
      </c>
      <c r="E616">
        <v>6</v>
      </c>
      <c r="F616" t="str">
        <f>VLOOKUP(E616,[1]LOJA!$A:$B,2,0)</f>
        <v>GAMA</v>
      </c>
      <c r="G616" t="s">
        <v>19</v>
      </c>
      <c r="H616" t="s">
        <v>19</v>
      </c>
      <c r="I616" s="1">
        <v>46037</v>
      </c>
      <c r="J616" s="1">
        <v>46037</v>
      </c>
      <c r="K616" s="1">
        <v>46037</v>
      </c>
      <c r="L616">
        <v>31</v>
      </c>
      <c r="M616">
        <v>0.53</v>
      </c>
      <c r="N616">
        <v>0.53</v>
      </c>
      <c r="O616">
        <v>0</v>
      </c>
      <c r="P616">
        <v>0</v>
      </c>
      <c r="Q616" t="s">
        <v>108</v>
      </c>
    </row>
    <row r="617" spans="1:17">
      <c r="A617" t="s">
        <v>93</v>
      </c>
      <c r="B617" t="s">
        <v>106</v>
      </c>
      <c r="C617" t="s">
        <v>56</v>
      </c>
      <c r="D617" t="s">
        <v>400</v>
      </c>
      <c r="E617">
        <v>6</v>
      </c>
      <c r="F617" t="str">
        <f>VLOOKUP(E617,[1]LOJA!$A:$B,2,0)</f>
        <v>GAMA</v>
      </c>
      <c r="G617" t="s">
        <v>19</v>
      </c>
      <c r="H617" t="s">
        <v>19</v>
      </c>
      <c r="I617" s="1">
        <v>46037</v>
      </c>
      <c r="J617" s="1">
        <v>46037</v>
      </c>
      <c r="K617" s="1">
        <v>46037</v>
      </c>
      <c r="L617">
        <v>31</v>
      </c>
      <c r="M617">
        <v>0.26</v>
      </c>
      <c r="N617">
        <v>0.26</v>
      </c>
      <c r="O617">
        <v>0</v>
      </c>
      <c r="P617">
        <v>0</v>
      </c>
      <c r="Q617" t="s">
        <v>108</v>
      </c>
    </row>
    <row r="618" spans="1:17">
      <c r="A618" t="s">
        <v>93</v>
      </c>
      <c r="B618" t="s">
        <v>106</v>
      </c>
      <c r="C618" t="s">
        <v>56</v>
      </c>
      <c r="D618" t="s">
        <v>401</v>
      </c>
      <c r="E618">
        <v>6</v>
      </c>
      <c r="F618" t="str">
        <f>VLOOKUP(E618,[1]LOJA!$A:$B,2,0)</f>
        <v>GAMA</v>
      </c>
      <c r="G618" t="s">
        <v>19</v>
      </c>
      <c r="H618" t="s">
        <v>19</v>
      </c>
      <c r="I618" s="1">
        <v>46037</v>
      </c>
      <c r="J618" s="1">
        <v>46037</v>
      </c>
      <c r="K618" s="1">
        <v>46037</v>
      </c>
      <c r="L618">
        <v>31</v>
      </c>
      <c r="M618">
        <v>0.17</v>
      </c>
      <c r="N618">
        <v>0.17</v>
      </c>
      <c r="O618">
        <v>0</v>
      </c>
      <c r="P618">
        <v>0</v>
      </c>
      <c r="Q618" t="s">
        <v>108</v>
      </c>
    </row>
    <row r="619" spans="1:17">
      <c r="A619" t="s">
        <v>93</v>
      </c>
      <c r="B619" t="s">
        <v>106</v>
      </c>
      <c r="C619" t="s">
        <v>56</v>
      </c>
      <c r="D619" t="s">
        <v>402</v>
      </c>
      <c r="E619">
        <v>6</v>
      </c>
      <c r="F619" t="str">
        <f>VLOOKUP(E619,[1]LOJA!$A:$B,2,0)</f>
        <v>GAMA</v>
      </c>
      <c r="G619" t="s">
        <v>19</v>
      </c>
      <c r="H619" t="s">
        <v>19</v>
      </c>
      <c r="I619" s="1">
        <v>46037</v>
      </c>
      <c r="J619" s="1">
        <v>46037</v>
      </c>
      <c r="K619" s="1">
        <v>46037</v>
      </c>
      <c r="L619">
        <v>31</v>
      </c>
      <c r="M619">
        <v>1.44</v>
      </c>
      <c r="N619">
        <v>1.44</v>
      </c>
      <c r="O619">
        <v>0</v>
      </c>
      <c r="P619">
        <v>0</v>
      </c>
      <c r="Q619" t="s">
        <v>108</v>
      </c>
    </row>
    <row r="620" spans="1:17">
      <c r="A620" t="s">
        <v>93</v>
      </c>
      <c r="B620" t="s">
        <v>106</v>
      </c>
      <c r="C620" t="s">
        <v>56</v>
      </c>
      <c r="D620" t="s">
        <v>403</v>
      </c>
      <c r="E620">
        <v>6</v>
      </c>
      <c r="F620" t="str">
        <f>VLOOKUP(E620,[1]LOJA!$A:$B,2,0)</f>
        <v>GAMA</v>
      </c>
      <c r="G620" t="s">
        <v>19</v>
      </c>
      <c r="H620" t="s">
        <v>19</v>
      </c>
      <c r="I620" s="1">
        <v>46037</v>
      </c>
      <c r="J620" s="1">
        <v>46037</v>
      </c>
      <c r="K620" s="1">
        <v>46037</v>
      </c>
      <c r="L620">
        <v>31</v>
      </c>
      <c r="M620">
        <v>0.42</v>
      </c>
      <c r="N620">
        <v>0.42</v>
      </c>
      <c r="O620">
        <v>0</v>
      </c>
      <c r="P620">
        <v>0</v>
      </c>
      <c r="Q620" t="s">
        <v>108</v>
      </c>
    </row>
    <row r="621" spans="1:17">
      <c r="A621" t="s">
        <v>93</v>
      </c>
      <c r="B621" t="s">
        <v>106</v>
      </c>
      <c r="C621" t="s">
        <v>56</v>
      </c>
      <c r="D621" t="s">
        <v>404</v>
      </c>
      <c r="E621">
        <v>6</v>
      </c>
      <c r="F621" t="str">
        <f>VLOOKUP(E621,[1]LOJA!$A:$B,2,0)</f>
        <v>GAMA</v>
      </c>
      <c r="G621" t="s">
        <v>19</v>
      </c>
      <c r="H621" t="s">
        <v>19</v>
      </c>
      <c r="I621" s="1">
        <v>46038</v>
      </c>
      <c r="J621" s="1">
        <v>46038</v>
      </c>
      <c r="K621" s="1">
        <v>46038</v>
      </c>
      <c r="L621">
        <v>31</v>
      </c>
      <c r="M621">
        <v>7.44</v>
      </c>
      <c r="N621">
        <v>7.44</v>
      </c>
      <c r="O621">
        <v>0</v>
      </c>
      <c r="P621">
        <v>0</v>
      </c>
      <c r="Q621" t="s">
        <v>108</v>
      </c>
    </row>
    <row r="622" spans="1:17">
      <c r="A622" t="s">
        <v>93</v>
      </c>
      <c r="B622" t="s">
        <v>106</v>
      </c>
      <c r="C622" t="s">
        <v>56</v>
      </c>
      <c r="D622" t="s">
        <v>405</v>
      </c>
      <c r="E622">
        <v>6</v>
      </c>
      <c r="F622" t="str">
        <f>VLOOKUP(E622,[1]LOJA!$A:$B,2,0)</f>
        <v>GAMA</v>
      </c>
      <c r="G622" t="s">
        <v>19</v>
      </c>
      <c r="H622" t="s">
        <v>19</v>
      </c>
      <c r="I622" s="1">
        <v>46038</v>
      </c>
      <c r="J622" s="1">
        <v>46038</v>
      </c>
      <c r="K622" s="1">
        <v>46038</v>
      </c>
      <c r="L622">
        <v>31</v>
      </c>
      <c r="M622">
        <v>1.23</v>
      </c>
      <c r="N622">
        <v>1.23</v>
      </c>
      <c r="O622">
        <v>0</v>
      </c>
      <c r="P622">
        <v>0</v>
      </c>
      <c r="Q622" t="s">
        <v>108</v>
      </c>
    </row>
    <row r="623" spans="1:17">
      <c r="A623" t="s">
        <v>93</v>
      </c>
      <c r="B623" t="s">
        <v>106</v>
      </c>
      <c r="C623" t="s">
        <v>56</v>
      </c>
      <c r="D623" t="s">
        <v>406</v>
      </c>
      <c r="E623">
        <v>6</v>
      </c>
      <c r="F623" t="str">
        <f>VLOOKUP(E623,[1]LOJA!$A:$B,2,0)</f>
        <v>GAMA</v>
      </c>
      <c r="G623" t="s">
        <v>19</v>
      </c>
      <c r="H623" t="s">
        <v>19</v>
      </c>
      <c r="I623" s="1">
        <v>46038</v>
      </c>
      <c r="J623" s="1">
        <v>46038</v>
      </c>
      <c r="K623" s="1">
        <v>46038</v>
      </c>
      <c r="L623">
        <v>31</v>
      </c>
      <c r="M623">
        <v>0.21</v>
      </c>
      <c r="N623">
        <v>0.21</v>
      </c>
      <c r="O623">
        <v>0</v>
      </c>
      <c r="P623">
        <v>0</v>
      </c>
      <c r="Q623" t="s">
        <v>108</v>
      </c>
    </row>
    <row r="624" spans="1:17">
      <c r="A624" t="s">
        <v>93</v>
      </c>
      <c r="B624" t="s">
        <v>106</v>
      </c>
      <c r="C624" t="s">
        <v>56</v>
      </c>
      <c r="D624" t="s">
        <v>407</v>
      </c>
      <c r="E624">
        <v>6</v>
      </c>
      <c r="F624" t="str">
        <f>VLOOKUP(E624,[1]LOJA!$A:$B,2,0)</f>
        <v>GAMA</v>
      </c>
      <c r="G624" t="s">
        <v>19</v>
      </c>
      <c r="H624" t="s">
        <v>19</v>
      </c>
      <c r="I624" s="1">
        <v>46038</v>
      </c>
      <c r="J624" s="1">
        <v>46038</v>
      </c>
      <c r="K624" s="1">
        <v>46038</v>
      </c>
      <c r="L624">
        <v>31</v>
      </c>
      <c r="M624">
        <v>1.4</v>
      </c>
      <c r="N624">
        <v>1.4</v>
      </c>
      <c r="O624">
        <v>0</v>
      </c>
      <c r="P624">
        <v>0</v>
      </c>
      <c r="Q624" t="s">
        <v>108</v>
      </c>
    </row>
    <row r="625" spans="1:17">
      <c r="A625" t="s">
        <v>93</v>
      </c>
      <c r="B625" t="s">
        <v>106</v>
      </c>
      <c r="C625" t="s">
        <v>56</v>
      </c>
      <c r="D625" t="s">
        <v>408</v>
      </c>
      <c r="E625">
        <v>6</v>
      </c>
      <c r="F625" t="str">
        <f>VLOOKUP(E625,[1]LOJA!$A:$B,2,0)</f>
        <v>GAMA</v>
      </c>
      <c r="G625" t="s">
        <v>19</v>
      </c>
      <c r="H625" t="s">
        <v>19</v>
      </c>
      <c r="I625" s="1">
        <v>46038</v>
      </c>
      <c r="J625" s="1">
        <v>46038</v>
      </c>
      <c r="K625" s="1">
        <v>46038</v>
      </c>
      <c r="L625">
        <v>31</v>
      </c>
      <c r="M625">
        <v>3.8</v>
      </c>
      <c r="N625">
        <v>3.8</v>
      </c>
      <c r="O625">
        <v>0</v>
      </c>
      <c r="P625">
        <v>0</v>
      </c>
      <c r="Q625" t="s">
        <v>108</v>
      </c>
    </row>
    <row r="626" spans="1:17">
      <c r="A626" t="s">
        <v>93</v>
      </c>
      <c r="B626" t="s">
        <v>106</v>
      </c>
      <c r="C626" t="s">
        <v>56</v>
      </c>
      <c r="D626" t="s">
        <v>409</v>
      </c>
      <c r="E626">
        <v>6</v>
      </c>
      <c r="F626" t="str">
        <f>VLOOKUP(E626,[1]LOJA!$A:$B,2,0)</f>
        <v>GAMA</v>
      </c>
      <c r="G626" t="s">
        <v>19</v>
      </c>
      <c r="H626" t="s">
        <v>19</v>
      </c>
      <c r="I626" s="1">
        <v>46038</v>
      </c>
      <c r="J626" s="1">
        <v>46038</v>
      </c>
      <c r="K626" s="1">
        <v>46038</v>
      </c>
      <c r="L626">
        <v>31</v>
      </c>
      <c r="M626">
        <v>2.92</v>
      </c>
      <c r="N626">
        <v>2.92</v>
      </c>
      <c r="O626">
        <v>0</v>
      </c>
      <c r="P626">
        <v>0</v>
      </c>
      <c r="Q626" t="s">
        <v>108</v>
      </c>
    </row>
    <row r="627" spans="1:17">
      <c r="A627" t="s">
        <v>93</v>
      </c>
      <c r="B627" t="s">
        <v>106</v>
      </c>
      <c r="C627" t="s">
        <v>56</v>
      </c>
      <c r="D627" t="s">
        <v>410</v>
      </c>
      <c r="E627">
        <v>6</v>
      </c>
      <c r="F627" t="str">
        <f>VLOOKUP(E627,[1]LOJA!$A:$B,2,0)</f>
        <v>GAMA</v>
      </c>
      <c r="G627" t="s">
        <v>19</v>
      </c>
      <c r="H627" t="s">
        <v>19</v>
      </c>
      <c r="I627" s="1">
        <v>46038</v>
      </c>
      <c r="J627" s="1">
        <v>46038</v>
      </c>
      <c r="K627" s="1">
        <v>46038</v>
      </c>
      <c r="L627">
        <v>31</v>
      </c>
      <c r="M627">
        <v>0.7</v>
      </c>
      <c r="N627">
        <v>0.7</v>
      </c>
      <c r="O627">
        <v>0</v>
      </c>
      <c r="P627">
        <v>0</v>
      </c>
      <c r="Q627" t="s">
        <v>108</v>
      </c>
    </row>
    <row r="628" spans="1:17">
      <c r="A628" t="s">
        <v>93</v>
      </c>
      <c r="B628" t="s">
        <v>106</v>
      </c>
      <c r="C628" t="s">
        <v>56</v>
      </c>
      <c r="D628" t="s">
        <v>411</v>
      </c>
      <c r="E628">
        <v>6</v>
      </c>
      <c r="F628" t="str">
        <f>VLOOKUP(E628,[1]LOJA!$A:$B,2,0)</f>
        <v>GAMA</v>
      </c>
      <c r="G628" t="s">
        <v>19</v>
      </c>
      <c r="H628" t="s">
        <v>19</v>
      </c>
      <c r="I628" s="1">
        <v>46038</v>
      </c>
      <c r="J628" s="1">
        <v>46038</v>
      </c>
      <c r="K628" s="1">
        <v>46038</v>
      </c>
      <c r="L628">
        <v>31</v>
      </c>
      <c r="M628">
        <v>3.36</v>
      </c>
      <c r="N628">
        <v>3.36</v>
      </c>
      <c r="O628">
        <v>0</v>
      </c>
      <c r="P628">
        <v>0</v>
      </c>
      <c r="Q628" t="s">
        <v>108</v>
      </c>
    </row>
    <row r="629" spans="1:17">
      <c r="A629" t="s">
        <v>93</v>
      </c>
      <c r="B629" t="s">
        <v>106</v>
      </c>
      <c r="C629" t="s">
        <v>56</v>
      </c>
      <c r="D629" t="s">
        <v>412</v>
      </c>
      <c r="E629">
        <v>6</v>
      </c>
      <c r="F629" t="str">
        <f>VLOOKUP(E629,[1]LOJA!$A:$B,2,0)</f>
        <v>GAMA</v>
      </c>
      <c r="G629" t="s">
        <v>19</v>
      </c>
      <c r="H629" t="s">
        <v>19</v>
      </c>
      <c r="I629" s="1">
        <v>46038</v>
      </c>
      <c r="J629" s="1">
        <v>46038</v>
      </c>
      <c r="K629" s="1">
        <v>46038</v>
      </c>
      <c r="L629">
        <v>31</v>
      </c>
      <c r="M629">
        <v>0.04</v>
      </c>
      <c r="N629">
        <v>0.04</v>
      </c>
      <c r="O629">
        <v>0</v>
      </c>
      <c r="P629">
        <v>0</v>
      </c>
      <c r="Q629" t="s">
        <v>108</v>
      </c>
    </row>
    <row r="630" spans="1:17">
      <c r="A630" t="s">
        <v>93</v>
      </c>
      <c r="B630" t="s">
        <v>106</v>
      </c>
      <c r="C630" t="s">
        <v>56</v>
      </c>
      <c r="D630" t="s">
        <v>413</v>
      </c>
      <c r="E630">
        <v>6</v>
      </c>
      <c r="F630" t="str">
        <f>VLOOKUP(E630,[1]LOJA!$A:$B,2,0)</f>
        <v>GAMA</v>
      </c>
      <c r="G630" t="s">
        <v>19</v>
      </c>
      <c r="H630" t="s">
        <v>19</v>
      </c>
      <c r="I630" s="1">
        <v>46038</v>
      </c>
      <c r="J630" s="1">
        <v>46038</v>
      </c>
      <c r="K630" s="1">
        <v>46038</v>
      </c>
      <c r="L630">
        <v>31</v>
      </c>
      <c r="M630">
        <v>0.35</v>
      </c>
      <c r="N630">
        <v>0.35</v>
      </c>
      <c r="O630">
        <v>0</v>
      </c>
      <c r="P630">
        <v>0</v>
      </c>
      <c r="Q630" t="s">
        <v>108</v>
      </c>
    </row>
    <row r="631" spans="1:17">
      <c r="A631" t="s">
        <v>93</v>
      </c>
      <c r="B631" t="s">
        <v>106</v>
      </c>
      <c r="C631" t="s">
        <v>56</v>
      </c>
      <c r="D631" t="s">
        <v>414</v>
      </c>
      <c r="E631">
        <v>6</v>
      </c>
      <c r="F631" t="str">
        <f>VLOOKUP(E631,[1]LOJA!$A:$B,2,0)</f>
        <v>GAMA</v>
      </c>
      <c r="G631" t="s">
        <v>19</v>
      </c>
      <c r="H631" t="s">
        <v>19</v>
      </c>
      <c r="I631" s="1">
        <v>46038</v>
      </c>
      <c r="J631" s="1">
        <v>46038</v>
      </c>
      <c r="K631" s="1">
        <v>46038</v>
      </c>
      <c r="L631">
        <v>31</v>
      </c>
      <c r="M631">
        <v>0.11</v>
      </c>
      <c r="N631">
        <v>0.11</v>
      </c>
      <c r="O631">
        <v>0</v>
      </c>
      <c r="P631">
        <v>0</v>
      </c>
      <c r="Q631" t="s">
        <v>108</v>
      </c>
    </row>
    <row r="632" spans="1:17">
      <c r="A632" t="s">
        <v>93</v>
      </c>
      <c r="B632" t="s">
        <v>106</v>
      </c>
      <c r="C632" t="s">
        <v>56</v>
      </c>
      <c r="D632" t="s">
        <v>415</v>
      </c>
      <c r="E632">
        <v>6</v>
      </c>
      <c r="F632" t="str">
        <f>VLOOKUP(E632,[1]LOJA!$A:$B,2,0)</f>
        <v>GAMA</v>
      </c>
      <c r="G632" t="s">
        <v>19</v>
      </c>
      <c r="H632" t="s">
        <v>19</v>
      </c>
      <c r="I632" s="1">
        <v>46038</v>
      </c>
      <c r="J632" s="1">
        <v>46038</v>
      </c>
      <c r="K632" s="1">
        <v>46038</v>
      </c>
      <c r="L632">
        <v>31</v>
      </c>
      <c r="M632">
        <v>0.3</v>
      </c>
      <c r="N632">
        <v>0.3</v>
      </c>
      <c r="O632">
        <v>0</v>
      </c>
      <c r="P632">
        <v>0</v>
      </c>
      <c r="Q632" t="s">
        <v>108</v>
      </c>
    </row>
    <row r="633" spans="1:17">
      <c r="A633" t="s">
        <v>93</v>
      </c>
      <c r="B633" t="s">
        <v>106</v>
      </c>
      <c r="C633" t="s">
        <v>56</v>
      </c>
      <c r="D633" t="s">
        <v>416</v>
      </c>
      <c r="E633">
        <v>6</v>
      </c>
      <c r="F633" t="str">
        <f>VLOOKUP(E633,[1]LOJA!$A:$B,2,0)</f>
        <v>GAMA</v>
      </c>
      <c r="G633" t="s">
        <v>19</v>
      </c>
      <c r="H633" t="s">
        <v>19</v>
      </c>
      <c r="I633" s="1">
        <v>46038</v>
      </c>
      <c r="J633" s="1">
        <v>46038</v>
      </c>
      <c r="K633" s="1">
        <v>46038</v>
      </c>
      <c r="L633">
        <v>31</v>
      </c>
      <c r="M633">
        <v>2.4500000000000002</v>
      </c>
      <c r="N633">
        <v>2.4500000000000002</v>
      </c>
      <c r="O633">
        <v>0</v>
      </c>
      <c r="P633">
        <v>0</v>
      </c>
      <c r="Q633" t="s">
        <v>108</v>
      </c>
    </row>
    <row r="634" spans="1:17">
      <c r="A634" t="s">
        <v>93</v>
      </c>
      <c r="B634" t="s">
        <v>106</v>
      </c>
      <c r="C634" t="s">
        <v>56</v>
      </c>
      <c r="D634" t="s">
        <v>417</v>
      </c>
      <c r="E634">
        <v>6</v>
      </c>
      <c r="F634" t="str">
        <f>VLOOKUP(E634,[1]LOJA!$A:$B,2,0)</f>
        <v>GAMA</v>
      </c>
      <c r="G634" t="s">
        <v>19</v>
      </c>
      <c r="H634" t="s">
        <v>19</v>
      </c>
      <c r="I634" s="1">
        <v>46038</v>
      </c>
      <c r="J634" s="1">
        <v>46038</v>
      </c>
      <c r="K634" s="1">
        <v>46038</v>
      </c>
      <c r="L634">
        <v>31</v>
      </c>
      <c r="M634">
        <v>0.56999999999999995</v>
      </c>
      <c r="N634">
        <v>0.56999999999999995</v>
      </c>
      <c r="O634">
        <v>0</v>
      </c>
      <c r="P634">
        <v>0</v>
      </c>
      <c r="Q634" t="s">
        <v>108</v>
      </c>
    </row>
    <row r="635" spans="1:17">
      <c r="A635" t="s">
        <v>93</v>
      </c>
      <c r="B635" t="s">
        <v>106</v>
      </c>
      <c r="C635" t="s">
        <v>56</v>
      </c>
      <c r="D635" t="s">
        <v>418</v>
      </c>
      <c r="E635">
        <v>6</v>
      </c>
      <c r="F635" t="str">
        <f>VLOOKUP(E635,[1]LOJA!$A:$B,2,0)</f>
        <v>GAMA</v>
      </c>
      <c r="G635" t="s">
        <v>19</v>
      </c>
      <c r="H635" t="s">
        <v>19</v>
      </c>
      <c r="I635" s="1">
        <v>46041</v>
      </c>
      <c r="J635" s="1">
        <v>46041</v>
      </c>
      <c r="K635" s="1">
        <v>46041</v>
      </c>
      <c r="L635">
        <v>31</v>
      </c>
      <c r="M635">
        <v>5.39</v>
      </c>
      <c r="N635">
        <v>5.39</v>
      </c>
      <c r="O635">
        <v>0</v>
      </c>
      <c r="P635">
        <v>0</v>
      </c>
      <c r="Q635" t="s">
        <v>108</v>
      </c>
    </row>
    <row r="636" spans="1:17">
      <c r="A636" t="s">
        <v>93</v>
      </c>
      <c r="B636" t="s">
        <v>106</v>
      </c>
      <c r="C636" t="s">
        <v>56</v>
      </c>
      <c r="D636" t="s">
        <v>419</v>
      </c>
      <c r="E636">
        <v>6</v>
      </c>
      <c r="F636" t="str">
        <f>VLOOKUP(E636,[1]LOJA!$A:$B,2,0)</f>
        <v>GAMA</v>
      </c>
      <c r="G636" t="s">
        <v>19</v>
      </c>
      <c r="H636" t="s">
        <v>19</v>
      </c>
      <c r="I636" s="1">
        <v>46041</v>
      </c>
      <c r="J636" s="1">
        <v>46040</v>
      </c>
      <c r="K636" s="1">
        <v>46041</v>
      </c>
      <c r="L636">
        <v>31</v>
      </c>
      <c r="M636">
        <v>12.9</v>
      </c>
      <c r="N636">
        <v>12.9</v>
      </c>
      <c r="O636">
        <v>0</v>
      </c>
      <c r="P636">
        <v>0</v>
      </c>
      <c r="Q636" t="s">
        <v>108</v>
      </c>
    </row>
    <row r="637" spans="1:17">
      <c r="A637" t="s">
        <v>93</v>
      </c>
      <c r="B637" t="s">
        <v>106</v>
      </c>
      <c r="C637" t="s">
        <v>56</v>
      </c>
      <c r="D637" t="s">
        <v>420</v>
      </c>
      <c r="E637">
        <v>6</v>
      </c>
      <c r="F637" t="str">
        <f>VLOOKUP(E637,[1]LOJA!$A:$B,2,0)</f>
        <v>GAMA</v>
      </c>
      <c r="G637" t="s">
        <v>19</v>
      </c>
      <c r="H637" t="s">
        <v>19</v>
      </c>
      <c r="I637" s="1">
        <v>46041</v>
      </c>
      <c r="J637" s="1">
        <v>46040</v>
      </c>
      <c r="K637" s="1">
        <v>46041</v>
      </c>
      <c r="L637">
        <v>31</v>
      </c>
      <c r="M637">
        <v>3.29</v>
      </c>
      <c r="N637">
        <v>3.29</v>
      </c>
      <c r="O637">
        <v>0</v>
      </c>
      <c r="P637">
        <v>0</v>
      </c>
      <c r="Q637" t="s">
        <v>108</v>
      </c>
    </row>
    <row r="638" spans="1:17">
      <c r="A638" t="s">
        <v>93</v>
      </c>
      <c r="B638" t="s">
        <v>106</v>
      </c>
      <c r="C638" t="s">
        <v>56</v>
      </c>
      <c r="D638" t="s">
        <v>421</v>
      </c>
      <c r="E638">
        <v>6</v>
      </c>
      <c r="F638" t="str">
        <f>VLOOKUP(E638,[1]LOJA!$A:$B,2,0)</f>
        <v>GAMA</v>
      </c>
      <c r="G638" t="s">
        <v>19</v>
      </c>
      <c r="H638" t="s">
        <v>19</v>
      </c>
      <c r="I638" s="1">
        <v>46041</v>
      </c>
      <c r="J638" s="1">
        <v>46040</v>
      </c>
      <c r="K638" s="1">
        <v>46041</v>
      </c>
      <c r="L638">
        <v>31</v>
      </c>
      <c r="M638">
        <v>4.6500000000000004</v>
      </c>
      <c r="N638">
        <v>4.6500000000000004</v>
      </c>
      <c r="O638">
        <v>0</v>
      </c>
      <c r="P638">
        <v>0</v>
      </c>
      <c r="Q638" t="s">
        <v>108</v>
      </c>
    </row>
    <row r="639" spans="1:17">
      <c r="A639" t="s">
        <v>93</v>
      </c>
      <c r="B639" t="s">
        <v>106</v>
      </c>
      <c r="C639" t="s">
        <v>56</v>
      </c>
      <c r="D639" t="s">
        <v>422</v>
      </c>
      <c r="E639">
        <v>6</v>
      </c>
      <c r="F639" t="str">
        <f>VLOOKUP(E639,[1]LOJA!$A:$B,2,0)</f>
        <v>GAMA</v>
      </c>
      <c r="G639" t="s">
        <v>19</v>
      </c>
      <c r="H639" t="s">
        <v>19</v>
      </c>
      <c r="I639" s="1">
        <v>46041</v>
      </c>
      <c r="J639" s="1">
        <v>46041</v>
      </c>
      <c r="K639" s="1">
        <v>46041</v>
      </c>
      <c r="L639">
        <v>31</v>
      </c>
      <c r="M639">
        <v>5.48</v>
      </c>
      <c r="N639">
        <v>5.48</v>
      </c>
      <c r="O639">
        <v>0</v>
      </c>
      <c r="P639">
        <v>0</v>
      </c>
      <c r="Q639" t="s">
        <v>108</v>
      </c>
    </row>
    <row r="640" spans="1:17">
      <c r="A640" t="s">
        <v>93</v>
      </c>
      <c r="B640" t="s">
        <v>106</v>
      </c>
      <c r="C640" t="s">
        <v>56</v>
      </c>
      <c r="D640" t="s">
        <v>423</v>
      </c>
      <c r="E640">
        <v>6</v>
      </c>
      <c r="F640" t="str">
        <f>VLOOKUP(E640,[1]LOJA!$A:$B,2,0)</f>
        <v>GAMA</v>
      </c>
      <c r="G640" t="s">
        <v>19</v>
      </c>
      <c r="H640" t="s">
        <v>19</v>
      </c>
      <c r="I640" s="1">
        <v>46041</v>
      </c>
      <c r="J640" s="1">
        <v>46039</v>
      </c>
      <c r="K640" s="1">
        <v>46041</v>
      </c>
      <c r="L640">
        <v>31</v>
      </c>
      <c r="M640">
        <v>1</v>
      </c>
      <c r="N640">
        <v>1</v>
      </c>
      <c r="O640">
        <v>0</v>
      </c>
      <c r="P640">
        <v>0</v>
      </c>
      <c r="Q640" t="s">
        <v>108</v>
      </c>
    </row>
    <row r="641" spans="1:17">
      <c r="A641" t="s">
        <v>93</v>
      </c>
      <c r="B641" t="s">
        <v>106</v>
      </c>
      <c r="C641" t="s">
        <v>56</v>
      </c>
      <c r="D641" t="s">
        <v>424</v>
      </c>
      <c r="E641">
        <v>6</v>
      </c>
      <c r="F641" t="str">
        <f>VLOOKUP(E641,[1]LOJA!$A:$B,2,0)</f>
        <v>GAMA</v>
      </c>
      <c r="G641" t="s">
        <v>19</v>
      </c>
      <c r="H641" t="s">
        <v>19</v>
      </c>
      <c r="I641" s="1">
        <v>46041</v>
      </c>
      <c r="J641" s="1">
        <v>46039</v>
      </c>
      <c r="K641" s="1">
        <v>46041</v>
      </c>
      <c r="L641">
        <v>31</v>
      </c>
      <c r="M641">
        <v>0.23</v>
      </c>
      <c r="N641">
        <v>0.23</v>
      </c>
      <c r="O641">
        <v>0</v>
      </c>
      <c r="P641">
        <v>0</v>
      </c>
      <c r="Q641" t="s">
        <v>108</v>
      </c>
    </row>
    <row r="642" spans="1:17">
      <c r="A642" t="s">
        <v>93</v>
      </c>
      <c r="B642" t="s">
        <v>106</v>
      </c>
      <c r="C642" t="s">
        <v>56</v>
      </c>
      <c r="D642" t="s">
        <v>425</v>
      </c>
      <c r="E642">
        <v>6</v>
      </c>
      <c r="F642" t="str">
        <f>VLOOKUP(E642,[1]LOJA!$A:$B,2,0)</f>
        <v>GAMA</v>
      </c>
      <c r="G642" t="s">
        <v>19</v>
      </c>
      <c r="H642" t="s">
        <v>19</v>
      </c>
      <c r="I642" s="1">
        <v>46041</v>
      </c>
      <c r="J642" s="1">
        <v>46039</v>
      </c>
      <c r="K642" s="1">
        <v>46041</v>
      </c>
      <c r="L642">
        <v>31</v>
      </c>
      <c r="M642">
        <v>0.08</v>
      </c>
      <c r="N642">
        <v>0.08</v>
      </c>
      <c r="O642">
        <v>0</v>
      </c>
      <c r="P642">
        <v>0</v>
      </c>
      <c r="Q642" t="s">
        <v>108</v>
      </c>
    </row>
    <row r="643" spans="1:17">
      <c r="A643" t="s">
        <v>93</v>
      </c>
      <c r="B643" t="s">
        <v>106</v>
      </c>
      <c r="C643" t="s">
        <v>56</v>
      </c>
      <c r="D643" t="s">
        <v>426</v>
      </c>
      <c r="E643">
        <v>6</v>
      </c>
      <c r="F643" t="str">
        <f>VLOOKUP(E643,[1]LOJA!$A:$B,2,0)</f>
        <v>GAMA</v>
      </c>
      <c r="G643" t="s">
        <v>19</v>
      </c>
      <c r="H643" t="s">
        <v>19</v>
      </c>
      <c r="I643" s="1">
        <v>46041</v>
      </c>
      <c r="J643" s="1">
        <v>46039</v>
      </c>
      <c r="K643" s="1">
        <v>46041</v>
      </c>
      <c r="L643">
        <v>31</v>
      </c>
      <c r="M643">
        <v>13.32</v>
      </c>
      <c r="N643">
        <v>13.32</v>
      </c>
      <c r="O643">
        <v>0</v>
      </c>
      <c r="P643">
        <v>0</v>
      </c>
      <c r="Q643" t="s">
        <v>108</v>
      </c>
    </row>
    <row r="644" spans="1:17">
      <c r="A644" t="s">
        <v>93</v>
      </c>
      <c r="B644" t="s">
        <v>106</v>
      </c>
      <c r="C644" t="s">
        <v>56</v>
      </c>
      <c r="D644" t="s">
        <v>427</v>
      </c>
      <c r="E644">
        <v>6</v>
      </c>
      <c r="F644" t="str">
        <f>VLOOKUP(E644,[1]LOJA!$A:$B,2,0)</f>
        <v>GAMA</v>
      </c>
      <c r="G644" t="s">
        <v>19</v>
      </c>
      <c r="H644" t="s">
        <v>19</v>
      </c>
      <c r="I644" s="1">
        <v>46041</v>
      </c>
      <c r="J644" s="1">
        <v>46039</v>
      </c>
      <c r="K644" s="1">
        <v>46041</v>
      </c>
      <c r="L644">
        <v>31</v>
      </c>
      <c r="M644">
        <v>1.08</v>
      </c>
      <c r="N644">
        <v>1.08</v>
      </c>
      <c r="O644">
        <v>0</v>
      </c>
      <c r="P644">
        <v>0</v>
      </c>
      <c r="Q644" t="s">
        <v>108</v>
      </c>
    </row>
    <row r="645" spans="1:17">
      <c r="A645" t="s">
        <v>93</v>
      </c>
      <c r="B645" t="s">
        <v>106</v>
      </c>
      <c r="C645" t="s">
        <v>56</v>
      </c>
      <c r="D645" t="s">
        <v>428</v>
      </c>
      <c r="E645">
        <v>6</v>
      </c>
      <c r="F645" t="str">
        <f>VLOOKUP(E645,[1]LOJA!$A:$B,2,0)</f>
        <v>GAMA</v>
      </c>
      <c r="G645" t="s">
        <v>19</v>
      </c>
      <c r="H645" t="s">
        <v>19</v>
      </c>
      <c r="I645" s="1">
        <v>46041</v>
      </c>
      <c r="J645" s="1">
        <v>46040</v>
      </c>
      <c r="K645" s="1">
        <v>46041</v>
      </c>
      <c r="L645">
        <v>31</v>
      </c>
      <c r="M645">
        <v>0.77</v>
      </c>
      <c r="N645">
        <v>0.77</v>
      </c>
      <c r="O645">
        <v>0</v>
      </c>
      <c r="P645">
        <v>0</v>
      </c>
      <c r="Q645" t="s">
        <v>108</v>
      </c>
    </row>
    <row r="646" spans="1:17">
      <c r="A646" t="s">
        <v>93</v>
      </c>
      <c r="B646" t="s">
        <v>106</v>
      </c>
      <c r="C646" t="s">
        <v>56</v>
      </c>
      <c r="D646" t="s">
        <v>429</v>
      </c>
      <c r="E646">
        <v>6</v>
      </c>
      <c r="F646" t="str">
        <f>VLOOKUP(E646,[1]LOJA!$A:$B,2,0)</f>
        <v>GAMA</v>
      </c>
      <c r="G646" t="s">
        <v>19</v>
      </c>
      <c r="H646" t="s">
        <v>19</v>
      </c>
      <c r="I646" s="1">
        <v>46041</v>
      </c>
      <c r="J646" s="1">
        <v>46041</v>
      </c>
      <c r="K646" s="1">
        <v>46041</v>
      </c>
      <c r="L646">
        <v>31</v>
      </c>
      <c r="M646">
        <v>1.05</v>
      </c>
      <c r="N646">
        <v>1.05</v>
      </c>
      <c r="O646">
        <v>0</v>
      </c>
      <c r="P646">
        <v>0</v>
      </c>
      <c r="Q646" t="s">
        <v>108</v>
      </c>
    </row>
    <row r="647" spans="1:17">
      <c r="A647" t="s">
        <v>93</v>
      </c>
      <c r="B647" t="s">
        <v>106</v>
      </c>
      <c r="C647" t="s">
        <v>56</v>
      </c>
      <c r="D647" t="s">
        <v>430</v>
      </c>
      <c r="E647">
        <v>6</v>
      </c>
      <c r="F647" t="str">
        <f>VLOOKUP(E647,[1]LOJA!$A:$B,2,0)</f>
        <v>GAMA</v>
      </c>
      <c r="G647" t="s">
        <v>19</v>
      </c>
      <c r="H647" t="s">
        <v>19</v>
      </c>
      <c r="I647" s="1">
        <v>46041</v>
      </c>
      <c r="J647" s="1">
        <v>46041</v>
      </c>
      <c r="K647" s="1">
        <v>46041</v>
      </c>
      <c r="L647">
        <v>31</v>
      </c>
      <c r="M647">
        <v>2.59</v>
      </c>
      <c r="N647">
        <v>2.59</v>
      </c>
      <c r="O647">
        <v>0</v>
      </c>
      <c r="P647">
        <v>0</v>
      </c>
      <c r="Q647" t="s">
        <v>108</v>
      </c>
    </row>
    <row r="648" spans="1:17">
      <c r="A648" t="s">
        <v>93</v>
      </c>
      <c r="B648" t="s">
        <v>106</v>
      </c>
      <c r="C648" t="s">
        <v>56</v>
      </c>
      <c r="D648" t="s">
        <v>431</v>
      </c>
      <c r="E648">
        <v>6</v>
      </c>
      <c r="F648" t="str">
        <f>VLOOKUP(E648,[1]LOJA!$A:$B,2,0)</f>
        <v>GAMA</v>
      </c>
      <c r="G648" t="s">
        <v>19</v>
      </c>
      <c r="H648" t="s">
        <v>19</v>
      </c>
      <c r="I648" s="1">
        <v>46041</v>
      </c>
      <c r="J648" s="1">
        <v>46041</v>
      </c>
      <c r="K648" s="1">
        <v>46041</v>
      </c>
      <c r="L648">
        <v>31</v>
      </c>
      <c r="M648">
        <v>2.39</v>
      </c>
      <c r="N648">
        <v>2.39</v>
      </c>
      <c r="O648">
        <v>0</v>
      </c>
      <c r="P648">
        <v>0</v>
      </c>
      <c r="Q648" t="s">
        <v>108</v>
      </c>
    </row>
    <row r="649" spans="1:17">
      <c r="A649" t="s">
        <v>93</v>
      </c>
      <c r="B649" t="s">
        <v>106</v>
      </c>
      <c r="C649" t="s">
        <v>56</v>
      </c>
      <c r="D649" t="s">
        <v>432</v>
      </c>
      <c r="E649">
        <v>6</v>
      </c>
      <c r="F649" t="str">
        <f>VLOOKUP(E649,[1]LOJA!$A:$B,2,0)</f>
        <v>GAMA</v>
      </c>
      <c r="G649" t="s">
        <v>19</v>
      </c>
      <c r="H649" t="s">
        <v>19</v>
      </c>
      <c r="I649" s="1">
        <v>46041</v>
      </c>
      <c r="J649" s="1">
        <v>46041</v>
      </c>
      <c r="K649" s="1">
        <v>46041</v>
      </c>
      <c r="L649">
        <v>31</v>
      </c>
      <c r="M649">
        <v>1.75</v>
      </c>
      <c r="N649">
        <v>1.75</v>
      </c>
      <c r="O649">
        <v>0</v>
      </c>
      <c r="P649">
        <v>0</v>
      </c>
      <c r="Q649" t="s">
        <v>108</v>
      </c>
    </row>
    <row r="650" spans="1:17">
      <c r="A650" t="s">
        <v>93</v>
      </c>
      <c r="B650" t="s">
        <v>106</v>
      </c>
      <c r="C650" t="s">
        <v>56</v>
      </c>
      <c r="D650" t="s">
        <v>433</v>
      </c>
      <c r="E650">
        <v>6</v>
      </c>
      <c r="F650" t="str">
        <f>VLOOKUP(E650,[1]LOJA!$A:$B,2,0)</f>
        <v>GAMA</v>
      </c>
      <c r="G650" t="s">
        <v>19</v>
      </c>
      <c r="H650" t="s">
        <v>19</v>
      </c>
      <c r="I650" s="1">
        <v>46041</v>
      </c>
      <c r="J650" s="1">
        <v>46039</v>
      </c>
      <c r="K650" s="1">
        <v>46041</v>
      </c>
      <c r="L650">
        <v>31</v>
      </c>
      <c r="M650">
        <v>0.86</v>
      </c>
      <c r="N650">
        <v>0.86</v>
      </c>
      <c r="O650">
        <v>0</v>
      </c>
      <c r="P650">
        <v>0</v>
      </c>
      <c r="Q650" t="s">
        <v>108</v>
      </c>
    </row>
    <row r="651" spans="1:17">
      <c r="A651" t="s">
        <v>93</v>
      </c>
      <c r="B651" t="s">
        <v>106</v>
      </c>
      <c r="C651" t="s">
        <v>56</v>
      </c>
      <c r="D651" t="s">
        <v>434</v>
      </c>
      <c r="E651">
        <v>6</v>
      </c>
      <c r="F651" t="str">
        <f>VLOOKUP(E651,[1]LOJA!$A:$B,2,0)</f>
        <v>GAMA</v>
      </c>
      <c r="G651" t="s">
        <v>19</v>
      </c>
      <c r="H651" t="s">
        <v>19</v>
      </c>
      <c r="I651" s="1">
        <v>46041</v>
      </c>
      <c r="J651" s="1">
        <v>46039</v>
      </c>
      <c r="K651" s="1">
        <v>46041</v>
      </c>
      <c r="L651">
        <v>31</v>
      </c>
      <c r="M651">
        <v>0.38</v>
      </c>
      <c r="N651">
        <v>0.38</v>
      </c>
      <c r="O651">
        <v>0</v>
      </c>
      <c r="P651">
        <v>0</v>
      </c>
      <c r="Q651" t="s">
        <v>108</v>
      </c>
    </row>
    <row r="652" spans="1:17">
      <c r="A652" t="s">
        <v>93</v>
      </c>
      <c r="B652" t="s">
        <v>106</v>
      </c>
      <c r="C652" t="s">
        <v>56</v>
      </c>
      <c r="D652" t="s">
        <v>435</v>
      </c>
      <c r="E652">
        <v>6</v>
      </c>
      <c r="F652" t="str">
        <f>VLOOKUP(E652,[1]LOJA!$A:$B,2,0)</f>
        <v>GAMA</v>
      </c>
      <c r="G652" t="s">
        <v>19</v>
      </c>
      <c r="H652" t="s">
        <v>19</v>
      </c>
      <c r="I652" s="1">
        <v>46041</v>
      </c>
      <c r="J652" s="1">
        <v>46039</v>
      </c>
      <c r="K652" s="1">
        <v>46041</v>
      </c>
      <c r="L652">
        <v>31</v>
      </c>
      <c r="M652">
        <v>0.25</v>
      </c>
      <c r="N652">
        <v>0.25</v>
      </c>
      <c r="O652">
        <v>0</v>
      </c>
      <c r="P652">
        <v>0</v>
      </c>
      <c r="Q652" t="s">
        <v>108</v>
      </c>
    </row>
    <row r="653" spans="1:17">
      <c r="A653" t="s">
        <v>93</v>
      </c>
      <c r="B653" t="s">
        <v>106</v>
      </c>
      <c r="C653" t="s">
        <v>56</v>
      </c>
      <c r="D653" t="s">
        <v>436</v>
      </c>
      <c r="E653">
        <v>6</v>
      </c>
      <c r="F653" t="str">
        <f>VLOOKUP(E653,[1]LOJA!$A:$B,2,0)</f>
        <v>GAMA</v>
      </c>
      <c r="G653" t="s">
        <v>19</v>
      </c>
      <c r="H653" t="s">
        <v>19</v>
      </c>
      <c r="I653" s="1">
        <v>46041</v>
      </c>
      <c r="J653" s="1">
        <v>46039</v>
      </c>
      <c r="K653" s="1">
        <v>46041</v>
      </c>
      <c r="L653">
        <v>31</v>
      </c>
      <c r="M653">
        <v>0.32</v>
      </c>
      <c r="N653">
        <v>0.32</v>
      </c>
      <c r="O653">
        <v>0</v>
      </c>
      <c r="P653">
        <v>0</v>
      </c>
      <c r="Q653" t="s">
        <v>108</v>
      </c>
    </row>
    <row r="654" spans="1:17">
      <c r="A654" t="s">
        <v>93</v>
      </c>
      <c r="B654" t="s">
        <v>106</v>
      </c>
      <c r="C654" t="s">
        <v>56</v>
      </c>
      <c r="D654" t="s">
        <v>437</v>
      </c>
      <c r="E654">
        <v>6</v>
      </c>
      <c r="F654" t="str">
        <f>VLOOKUP(E654,[1]LOJA!$A:$B,2,0)</f>
        <v>GAMA</v>
      </c>
      <c r="G654" t="s">
        <v>19</v>
      </c>
      <c r="H654" t="s">
        <v>19</v>
      </c>
      <c r="I654" s="1">
        <v>46041</v>
      </c>
      <c r="J654" s="1">
        <v>46039</v>
      </c>
      <c r="K654" s="1">
        <v>46041</v>
      </c>
      <c r="L654">
        <v>31</v>
      </c>
      <c r="M654">
        <v>0.3</v>
      </c>
      <c r="N654">
        <v>0.3</v>
      </c>
      <c r="O654">
        <v>0</v>
      </c>
      <c r="P654">
        <v>0</v>
      </c>
      <c r="Q654" t="s">
        <v>108</v>
      </c>
    </row>
    <row r="655" spans="1:17">
      <c r="A655" t="s">
        <v>93</v>
      </c>
      <c r="B655" t="s">
        <v>106</v>
      </c>
      <c r="C655" t="s">
        <v>56</v>
      </c>
      <c r="D655" t="s">
        <v>438</v>
      </c>
      <c r="E655">
        <v>6</v>
      </c>
      <c r="F655" t="str">
        <f>VLOOKUP(E655,[1]LOJA!$A:$B,2,0)</f>
        <v>GAMA</v>
      </c>
      <c r="G655" t="s">
        <v>19</v>
      </c>
      <c r="H655" t="s">
        <v>19</v>
      </c>
      <c r="I655" s="1">
        <v>46041</v>
      </c>
      <c r="J655" s="1">
        <v>46039</v>
      </c>
      <c r="K655" s="1">
        <v>46041</v>
      </c>
      <c r="L655">
        <v>31</v>
      </c>
      <c r="M655">
        <v>0.42</v>
      </c>
      <c r="N655">
        <v>0.42</v>
      </c>
      <c r="O655">
        <v>0</v>
      </c>
      <c r="P655">
        <v>0</v>
      </c>
      <c r="Q655" t="s">
        <v>108</v>
      </c>
    </row>
    <row r="656" spans="1:17">
      <c r="A656" t="s">
        <v>93</v>
      </c>
      <c r="B656" t="s">
        <v>106</v>
      </c>
      <c r="C656" t="s">
        <v>56</v>
      </c>
      <c r="D656" t="s">
        <v>439</v>
      </c>
      <c r="E656">
        <v>6</v>
      </c>
      <c r="F656" t="str">
        <f>VLOOKUP(E656,[1]LOJA!$A:$B,2,0)</f>
        <v>GAMA</v>
      </c>
      <c r="G656" t="s">
        <v>19</v>
      </c>
      <c r="H656" t="s">
        <v>19</v>
      </c>
      <c r="I656" s="1">
        <v>46041</v>
      </c>
      <c r="J656" s="1">
        <v>46039</v>
      </c>
      <c r="K656" s="1">
        <v>46041</v>
      </c>
      <c r="L656">
        <v>31</v>
      </c>
      <c r="M656">
        <v>0.31</v>
      </c>
      <c r="N656">
        <v>0.31</v>
      </c>
      <c r="O656">
        <v>0</v>
      </c>
      <c r="P656">
        <v>0</v>
      </c>
      <c r="Q656" t="s">
        <v>108</v>
      </c>
    </row>
    <row r="657" spans="1:17">
      <c r="A657" t="s">
        <v>93</v>
      </c>
      <c r="B657" t="s">
        <v>106</v>
      </c>
      <c r="C657" t="s">
        <v>56</v>
      </c>
      <c r="D657" t="s">
        <v>440</v>
      </c>
      <c r="E657">
        <v>6</v>
      </c>
      <c r="F657" t="str">
        <f>VLOOKUP(E657,[1]LOJA!$A:$B,2,0)</f>
        <v>GAMA</v>
      </c>
      <c r="G657" t="s">
        <v>19</v>
      </c>
      <c r="H657" t="s">
        <v>19</v>
      </c>
      <c r="I657" s="1">
        <v>46041</v>
      </c>
      <c r="J657" s="1">
        <v>46040</v>
      </c>
      <c r="K657" s="1">
        <v>46041</v>
      </c>
      <c r="L657">
        <v>31</v>
      </c>
      <c r="M657">
        <v>0.57999999999999996</v>
      </c>
      <c r="N657">
        <v>0.57999999999999996</v>
      </c>
      <c r="O657">
        <v>0</v>
      </c>
      <c r="P657">
        <v>0</v>
      </c>
      <c r="Q657" t="s">
        <v>108</v>
      </c>
    </row>
    <row r="658" spans="1:17">
      <c r="A658" t="s">
        <v>93</v>
      </c>
      <c r="B658" t="s">
        <v>106</v>
      </c>
      <c r="C658" t="s">
        <v>56</v>
      </c>
      <c r="D658" t="s">
        <v>441</v>
      </c>
      <c r="E658">
        <v>6</v>
      </c>
      <c r="F658" t="str">
        <f>VLOOKUP(E658,[1]LOJA!$A:$B,2,0)</f>
        <v>GAMA</v>
      </c>
      <c r="G658" t="s">
        <v>19</v>
      </c>
      <c r="H658" t="s">
        <v>19</v>
      </c>
      <c r="I658" s="1">
        <v>46042</v>
      </c>
      <c r="J658" s="1">
        <v>46042</v>
      </c>
      <c r="K658" s="1">
        <v>46042</v>
      </c>
      <c r="L658">
        <v>31</v>
      </c>
      <c r="M658">
        <v>3.63</v>
      </c>
      <c r="N658">
        <v>3.63</v>
      </c>
      <c r="O658">
        <v>0</v>
      </c>
      <c r="P658">
        <v>0</v>
      </c>
      <c r="Q658" t="s">
        <v>108</v>
      </c>
    </row>
    <row r="659" spans="1:17">
      <c r="A659" t="s">
        <v>93</v>
      </c>
      <c r="B659" t="s">
        <v>106</v>
      </c>
      <c r="C659" t="s">
        <v>56</v>
      </c>
      <c r="D659" t="s">
        <v>442</v>
      </c>
      <c r="E659">
        <v>6</v>
      </c>
      <c r="F659" t="str">
        <f>VLOOKUP(E659,[1]LOJA!$A:$B,2,0)</f>
        <v>GAMA</v>
      </c>
      <c r="G659" t="s">
        <v>19</v>
      </c>
      <c r="H659" t="s">
        <v>19</v>
      </c>
      <c r="I659" s="1">
        <v>46042</v>
      </c>
      <c r="J659" s="1">
        <v>46042</v>
      </c>
      <c r="K659" s="1">
        <v>46042</v>
      </c>
      <c r="L659">
        <v>31</v>
      </c>
      <c r="M659">
        <v>0.3</v>
      </c>
      <c r="N659">
        <v>0.3</v>
      </c>
      <c r="O659">
        <v>0</v>
      </c>
      <c r="P659">
        <v>0</v>
      </c>
      <c r="Q659" t="s">
        <v>108</v>
      </c>
    </row>
    <row r="660" spans="1:17">
      <c r="A660" t="s">
        <v>93</v>
      </c>
      <c r="B660" t="s">
        <v>106</v>
      </c>
      <c r="C660" t="s">
        <v>56</v>
      </c>
      <c r="D660" t="s">
        <v>443</v>
      </c>
      <c r="E660">
        <v>6</v>
      </c>
      <c r="F660" t="str">
        <f>VLOOKUP(E660,[1]LOJA!$A:$B,2,0)</f>
        <v>GAMA</v>
      </c>
      <c r="G660" t="s">
        <v>19</v>
      </c>
      <c r="H660" t="s">
        <v>19</v>
      </c>
      <c r="I660" s="1">
        <v>46042</v>
      </c>
      <c r="J660" s="1">
        <v>46042</v>
      </c>
      <c r="K660" s="1">
        <v>46042</v>
      </c>
      <c r="L660">
        <v>31</v>
      </c>
      <c r="M660">
        <v>1.08</v>
      </c>
      <c r="N660">
        <v>1.08</v>
      </c>
      <c r="O660">
        <v>0</v>
      </c>
      <c r="P660">
        <v>0</v>
      </c>
      <c r="Q660" t="s">
        <v>108</v>
      </c>
    </row>
    <row r="661" spans="1:17">
      <c r="A661" t="s">
        <v>93</v>
      </c>
      <c r="B661" t="s">
        <v>106</v>
      </c>
      <c r="C661" t="s">
        <v>56</v>
      </c>
      <c r="D661" t="s">
        <v>444</v>
      </c>
      <c r="E661">
        <v>6</v>
      </c>
      <c r="F661" t="str">
        <f>VLOOKUP(E661,[1]LOJA!$A:$B,2,0)</f>
        <v>GAMA</v>
      </c>
      <c r="G661" t="s">
        <v>19</v>
      </c>
      <c r="H661" t="s">
        <v>19</v>
      </c>
      <c r="I661" s="1">
        <v>46042</v>
      </c>
      <c r="J661" s="1">
        <v>46042</v>
      </c>
      <c r="K661" s="1">
        <v>46042</v>
      </c>
      <c r="L661">
        <v>31</v>
      </c>
      <c r="M661">
        <v>1.27</v>
      </c>
      <c r="N661">
        <v>1.27</v>
      </c>
      <c r="O661">
        <v>0</v>
      </c>
      <c r="P661">
        <v>0</v>
      </c>
      <c r="Q661" t="s">
        <v>108</v>
      </c>
    </row>
    <row r="662" spans="1:17">
      <c r="A662" t="s">
        <v>93</v>
      </c>
      <c r="B662" t="s">
        <v>106</v>
      </c>
      <c r="C662" t="s">
        <v>56</v>
      </c>
      <c r="D662" t="s">
        <v>445</v>
      </c>
      <c r="E662">
        <v>6</v>
      </c>
      <c r="F662" t="str">
        <f>VLOOKUP(E662,[1]LOJA!$A:$B,2,0)</f>
        <v>GAMA</v>
      </c>
      <c r="G662" t="s">
        <v>19</v>
      </c>
      <c r="H662" t="s">
        <v>19</v>
      </c>
      <c r="I662" s="1">
        <v>46042</v>
      </c>
      <c r="J662" s="1">
        <v>46042</v>
      </c>
      <c r="K662" s="1">
        <v>46042</v>
      </c>
      <c r="L662">
        <v>31</v>
      </c>
      <c r="M662">
        <v>0.68</v>
      </c>
      <c r="N662">
        <v>0.68</v>
      </c>
      <c r="O662">
        <v>0</v>
      </c>
      <c r="P662">
        <v>0</v>
      </c>
      <c r="Q662" t="s">
        <v>108</v>
      </c>
    </row>
    <row r="663" spans="1:17">
      <c r="A663" t="s">
        <v>93</v>
      </c>
      <c r="B663" t="s">
        <v>106</v>
      </c>
      <c r="C663" t="s">
        <v>56</v>
      </c>
      <c r="D663" t="s">
        <v>446</v>
      </c>
      <c r="E663">
        <v>6</v>
      </c>
      <c r="F663" t="str">
        <f>VLOOKUP(E663,[1]LOJA!$A:$B,2,0)</f>
        <v>GAMA</v>
      </c>
      <c r="G663" t="s">
        <v>19</v>
      </c>
      <c r="H663" t="s">
        <v>19</v>
      </c>
      <c r="I663" s="1">
        <v>46042</v>
      </c>
      <c r="J663" s="1">
        <v>46042</v>
      </c>
      <c r="K663" s="1">
        <v>46042</v>
      </c>
      <c r="L663">
        <v>31</v>
      </c>
      <c r="M663">
        <v>1.74</v>
      </c>
      <c r="N663">
        <v>1.74</v>
      </c>
      <c r="O663">
        <v>0</v>
      </c>
      <c r="P663">
        <v>0</v>
      </c>
      <c r="Q663" t="s">
        <v>108</v>
      </c>
    </row>
    <row r="664" spans="1:17">
      <c r="A664" t="s">
        <v>93</v>
      </c>
      <c r="B664" t="s">
        <v>106</v>
      </c>
      <c r="C664" t="s">
        <v>56</v>
      </c>
      <c r="D664" t="s">
        <v>447</v>
      </c>
      <c r="E664">
        <v>6</v>
      </c>
      <c r="F664" t="str">
        <f>VLOOKUP(E664,[1]LOJA!$A:$B,2,0)</f>
        <v>GAMA</v>
      </c>
      <c r="G664" t="s">
        <v>19</v>
      </c>
      <c r="H664" t="s">
        <v>19</v>
      </c>
      <c r="I664" s="1">
        <v>46042</v>
      </c>
      <c r="J664" s="1">
        <v>46042</v>
      </c>
      <c r="K664" s="1">
        <v>46042</v>
      </c>
      <c r="L664">
        <v>31</v>
      </c>
      <c r="M664">
        <v>1.73</v>
      </c>
      <c r="N664">
        <v>1.73</v>
      </c>
      <c r="O664">
        <v>0</v>
      </c>
      <c r="P664">
        <v>0</v>
      </c>
      <c r="Q664" t="s">
        <v>108</v>
      </c>
    </row>
    <row r="665" spans="1:17">
      <c r="A665" t="s">
        <v>93</v>
      </c>
      <c r="B665" t="s">
        <v>106</v>
      </c>
      <c r="C665" t="s">
        <v>56</v>
      </c>
      <c r="D665" t="s">
        <v>448</v>
      </c>
      <c r="E665">
        <v>6</v>
      </c>
      <c r="F665" t="str">
        <f>VLOOKUP(E665,[1]LOJA!$A:$B,2,0)</f>
        <v>GAMA</v>
      </c>
      <c r="G665" t="s">
        <v>19</v>
      </c>
      <c r="H665" t="s">
        <v>19</v>
      </c>
      <c r="I665" s="1">
        <v>46042</v>
      </c>
      <c r="J665" s="1">
        <v>46042</v>
      </c>
      <c r="K665" s="1">
        <v>46042</v>
      </c>
      <c r="L665">
        <v>31</v>
      </c>
      <c r="M665">
        <v>7.0000000000000007E-2</v>
      </c>
      <c r="N665">
        <v>7.0000000000000007E-2</v>
      </c>
      <c r="O665">
        <v>0</v>
      </c>
      <c r="P665">
        <v>0</v>
      </c>
      <c r="Q665" t="s">
        <v>108</v>
      </c>
    </row>
    <row r="666" spans="1:17">
      <c r="A666" t="s">
        <v>93</v>
      </c>
      <c r="B666" t="s">
        <v>106</v>
      </c>
      <c r="C666" t="s">
        <v>56</v>
      </c>
      <c r="D666" t="s">
        <v>449</v>
      </c>
      <c r="E666">
        <v>6</v>
      </c>
      <c r="F666" t="str">
        <f>VLOOKUP(E666,[1]LOJA!$A:$B,2,0)</f>
        <v>GAMA</v>
      </c>
      <c r="G666" t="s">
        <v>19</v>
      </c>
      <c r="H666" t="s">
        <v>19</v>
      </c>
      <c r="I666" s="1">
        <v>46043</v>
      </c>
      <c r="J666" s="1">
        <v>46043</v>
      </c>
      <c r="K666" s="1">
        <v>46043</v>
      </c>
      <c r="L666">
        <v>31</v>
      </c>
      <c r="M666">
        <v>4.01</v>
      </c>
      <c r="N666">
        <v>4.01</v>
      </c>
      <c r="O666">
        <v>0</v>
      </c>
      <c r="P666">
        <v>0</v>
      </c>
      <c r="Q666" t="s">
        <v>108</v>
      </c>
    </row>
    <row r="667" spans="1:17">
      <c r="A667" t="s">
        <v>93</v>
      </c>
      <c r="B667" t="s">
        <v>106</v>
      </c>
      <c r="C667" t="s">
        <v>56</v>
      </c>
      <c r="D667" t="s">
        <v>450</v>
      </c>
      <c r="E667">
        <v>6</v>
      </c>
      <c r="F667" t="str">
        <f>VLOOKUP(E667,[1]LOJA!$A:$B,2,0)</f>
        <v>GAMA</v>
      </c>
      <c r="G667" t="s">
        <v>19</v>
      </c>
      <c r="H667" t="s">
        <v>19</v>
      </c>
      <c r="I667" s="1">
        <v>46043</v>
      </c>
      <c r="J667" s="1">
        <v>46043</v>
      </c>
      <c r="K667" s="1">
        <v>46043</v>
      </c>
      <c r="L667">
        <v>31</v>
      </c>
      <c r="M667">
        <v>4.74</v>
      </c>
      <c r="N667">
        <v>4.74</v>
      </c>
      <c r="O667">
        <v>0</v>
      </c>
      <c r="P667">
        <v>0</v>
      </c>
      <c r="Q667" t="s">
        <v>108</v>
      </c>
    </row>
    <row r="668" spans="1:17">
      <c r="A668" t="s">
        <v>93</v>
      </c>
      <c r="B668" t="s">
        <v>106</v>
      </c>
      <c r="C668" t="s">
        <v>56</v>
      </c>
      <c r="D668" t="s">
        <v>451</v>
      </c>
      <c r="E668">
        <v>6</v>
      </c>
      <c r="F668" t="str">
        <f>VLOOKUP(E668,[1]LOJA!$A:$B,2,0)</f>
        <v>GAMA</v>
      </c>
      <c r="G668" t="s">
        <v>19</v>
      </c>
      <c r="H668" t="s">
        <v>19</v>
      </c>
      <c r="I668" s="1">
        <v>46043</v>
      </c>
      <c r="J668" s="1">
        <v>46043</v>
      </c>
      <c r="K668" s="1">
        <v>46043</v>
      </c>
      <c r="L668">
        <v>31</v>
      </c>
      <c r="M668">
        <v>8.9700000000000006</v>
      </c>
      <c r="N668">
        <v>8.9700000000000006</v>
      </c>
      <c r="O668">
        <v>0</v>
      </c>
      <c r="P668">
        <v>0</v>
      </c>
      <c r="Q668" t="s">
        <v>108</v>
      </c>
    </row>
    <row r="669" spans="1:17">
      <c r="A669" t="s">
        <v>93</v>
      </c>
      <c r="B669" t="s">
        <v>106</v>
      </c>
      <c r="C669" t="s">
        <v>56</v>
      </c>
      <c r="D669" t="s">
        <v>452</v>
      </c>
      <c r="E669">
        <v>6</v>
      </c>
      <c r="F669" t="str">
        <f>VLOOKUP(E669,[1]LOJA!$A:$B,2,0)</f>
        <v>GAMA</v>
      </c>
      <c r="G669" t="s">
        <v>19</v>
      </c>
      <c r="H669" t="s">
        <v>19</v>
      </c>
      <c r="I669" s="1">
        <v>46043</v>
      </c>
      <c r="J669" s="1">
        <v>46043</v>
      </c>
      <c r="K669" s="1">
        <v>46043</v>
      </c>
      <c r="L669">
        <v>31</v>
      </c>
      <c r="M669">
        <v>0.53</v>
      </c>
      <c r="N669">
        <v>0.53</v>
      </c>
      <c r="O669">
        <v>0</v>
      </c>
      <c r="P669">
        <v>0</v>
      </c>
      <c r="Q669" t="s">
        <v>108</v>
      </c>
    </row>
    <row r="670" spans="1:17">
      <c r="A670" t="s">
        <v>93</v>
      </c>
      <c r="B670" t="s">
        <v>106</v>
      </c>
      <c r="C670" t="s">
        <v>56</v>
      </c>
      <c r="D670" t="s">
        <v>453</v>
      </c>
      <c r="E670">
        <v>6</v>
      </c>
      <c r="F670" t="str">
        <f>VLOOKUP(E670,[1]LOJA!$A:$B,2,0)</f>
        <v>GAMA</v>
      </c>
      <c r="G670" t="s">
        <v>19</v>
      </c>
      <c r="H670" t="s">
        <v>19</v>
      </c>
      <c r="I670" s="1">
        <v>46044</v>
      </c>
      <c r="J670" s="1">
        <v>46044</v>
      </c>
      <c r="K670" s="1">
        <v>46044</v>
      </c>
      <c r="L670">
        <v>31</v>
      </c>
      <c r="M670">
        <v>6.2</v>
      </c>
      <c r="N670">
        <v>6.2</v>
      </c>
      <c r="O670">
        <v>0</v>
      </c>
      <c r="P670">
        <v>0</v>
      </c>
      <c r="Q670" t="s">
        <v>108</v>
      </c>
    </row>
    <row r="671" spans="1:17">
      <c r="A671" t="s">
        <v>93</v>
      </c>
      <c r="B671" t="s">
        <v>106</v>
      </c>
      <c r="C671" t="s">
        <v>56</v>
      </c>
      <c r="D671" t="s">
        <v>454</v>
      </c>
      <c r="E671">
        <v>6</v>
      </c>
      <c r="F671" t="str">
        <f>VLOOKUP(E671,[1]LOJA!$A:$B,2,0)</f>
        <v>GAMA</v>
      </c>
      <c r="G671" t="s">
        <v>19</v>
      </c>
      <c r="H671" t="s">
        <v>19</v>
      </c>
      <c r="I671" s="1">
        <v>46044</v>
      </c>
      <c r="J671" s="1">
        <v>46044</v>
      </c>
      <c r="K671" s="1">
        <v>46044</v>
      </c>
      <c r="L671">
        <v>31</v>
      </c>
      <c r="M671">
        <v>4.01</v>
      </c>
      <c r="N671">
        <v>4.01</v>
      </c>
      <c r="O671">
        <v>0</v>
      </c>
      <c r="P671">
        <v>0</v>
      </c>
      <c r="Q671" t="s">
        <v>108</v>
      </c>
    </row>
    <row r="672" spans="1:17">
      <c r="A672" t="s">
        <v>93</v>
      </c>
      <c r="B672" t="s">
        <v>106</v>
      </c>
      <c r="C672" t="s">
        <v>56</v>
      </c>
      <c r="D672" t="s">
        <v>455</v>
      </c>
      <c r="E672">
        <v>6</v>
      </c>
      <c r="F672" t="str">
        <f>VLOOKUP(E672,[1]LOJA!$A:$B,2,0)</f>
        <v>GAMA</v>
      </c>
      <c r="G672" t="s">
        <v>19</v>
      </c>
      <c r="H672" t="s">
        <v>19</v>
      </c>
      <c r="I672" s="1">
        <v>46044</v>
      </c>
      <c r="J672" s="1">
        <v>46044</v>
      </c>
      <c r="K672" s="1">
        <v>46044</v>
      </c>
      <c r="L672">
        <v>31</v>
      </c>
      <c r="M672">
        <v>4.8600000000000003</v>
      </c>
      <c r="N672">
        <v>4.8600000000000003</v>
      </c>
      <c r="O672">
        <v>0</v>
      </c>
      <c r="P672">
        <v>0</v>
      </c>
      <c r="Q672" t="s">
        <v>108</v>
      </c>
    </row>
    <row r="673" spans="1:17">
      <c r="A673" t="s">
        <v>93</v>
      </c>
      <c r="B673" t="s">
        <v>106</v>
      </c>
      <c r="C673" t="s">
        <v>56</v>
      </c>
      <c r="D673" t="s">
        <v>456</v>
      </c>
      <c r="E673">
        <v>6</v>
      </c>
      <c r="F673" t="str">
        <f>VLOOKUP(E673,[1]LOJA!$A:$B,2,0)</f>
        <v>GAMA</v>
      </c>
      <c r="G673" t="s">
        <v>19</v>
      </c>
      <c r="H673" t="s">
        <v>19</v>
      </c>
      <c r="I673" s="1">
        <v>46044</v>
      </c>
      <c r="J673" s="1">
        <v>46044</v>
      </c>
      <c r="K673" s="1">
        <v>46044</v>
      </c>
      <c r="L673">
        <v>31</v>
      </c>
      <c r="M673">
        <v>3.39</v>
      </c>
      <c r="N673">
        <v>3.39</v>
      </c>
      <c r="O673">
        <v>0</v>
      </c>
      <c r="P673">
        <v>0</v>
      </c>
      <c r="Q673" t="s">
        <v>108</v>
      </c>
    </row>
    <row r="674" spans="1:17">
      <c r="A674" t="s">
        <v>93</v>
      </c>
      <c r="B674" t="s">
        <v>106</v>
      </c>
      <c r="C674" t="s">
        <v>56</v>
      </c>
      <c r="D674" t="s">
        <v>457</v>
      </c>
      <c r="E674">
        <v>6</v>
      </c>
      <c r="F674" t="str">
        <f>VLOOKUP(E674,[1]LOJA!$A:$B,2,0)</f>
        <v>GAMA</v>
      </c>
      <c r="G674" t="s">
        <v>19</v>
      </c>
      <c r="H674" t="s">
        <v>19</v>
      </c>
      <c r="I674" s="1">
        <v>46044</v>
      </c>
      <c r="J674" s="1">
        <v>46044</v>
      </c>
      <c r="K674" s="1">
        <v>46044</v>
      </c>
      <c r="L674">
        <v>31</v>
      </c>
      <c r="M674">
        <v>0.71</v>
      </c>
      <c r="N674">
        <v>0.71</v>
      </c>
      <c r="O674">
        <v>0</v>
      </c>
      <c r="P674">
        <v>0</v>
      </c>
      <c r="Q674" t="s">
        <v>108</v>
      </c>
    </row>
    <row r="675" spans="1:17">
      <c r="A675" t="s">
        <v>93</v>
      </c>
      <c r="B675" t="s">
        <v>106</v>
      </c>
      <c r="C675" t="s">
        <v>56</v>
      </c>
      <c r="D675" t="s">
        <v>458</v>
      </c>
      <c r="E675">
        <v>6</v>
      </c>
      <c r="F675" t="str">
        <f>VLOOKUP(E675,[1]LOJA!$A:$B,2,0)</f>
        <v>GAMA</v>
      </c>
      <c r="G675" t="s">
        <v>19</v>
      </c>
      <c r="H675" t="s">
        <v>19</v>
      </c>
      <c r="I675" s="1">
        <v>46044</v>
      </c>
      <c r="J675" s="1">
        <v>46044</v>
      </c>
      <c r="K675" s="1">
        <v>46044</v>
      </c>
      <c r="L675">
        <v>31</v>
      </c>
      <c r="M675">
        <v>1.85</v>
      </c>
      <c r="N675">
        <v>1.85</v>
      </c>
      <c r="O675">
        <v>0</v>
      </c>
      <c r="P675">
        <v>0</v>
      </c>
      <c r="Q675" t="s">
        <v>108</v>
      </c>
    </row>
    <row r="676" spans="1:17">
      <c r="A676" t="s">
        <v>93</v>
      </c>
      <c r="B676" t="s">
        <v>106</v>
      </c>
      <c r="C676" t="s">
        <v>56</v>
      </c>
      <c r="D676" t="s">
        <v>459</v>
      </c>
      <c r="E676">
        <v>6</v>
      </c>
      <c r="F676" t="str">
        <f>VLOOKUP(E676,[1]LOJA!$A:$B,2,0)</f>
        <v>GAMA</v>
      </c>
      <c r="G676" t="s">
        <v>19</v>
      </c>
      <c r="H676" t="s">
        <v>19</v>
      </c>
      <c r="I676" s="1">
        <v>46044</v>
      </c>
      <c r="J676" s="1">
        <v>46044</v>
      </c>
      <c r="K676" s="1">
        <v>46044</v>
      </c>
      <c r="L676">
        <v>31</v>
      </c>
      <c r="M676">
        <v>2.92</v>
      </c>
      <c r="N676">
        <v>2.92</v>
      </c>
      <c r="O676">
        <v>0</v>
      </c>
      <c r="P676">
        <v>0</v>
      </c>
      <c r="Q676" t="s">
        <v>108</v>
      </c>
    </row>
    <row r="677" spans="1:17">
      <c r="A677" t="s">
        <v>93</v>
      </c>
      <c r="B677" t="s">
        <v>106</v>
      </c>
      <c r="C677" t="s">
        <v>56</v>
      </c>
      <c r="D677" t="s">
        <v>460</v>
      </c>
      <c r="E677">
        <v>6</v>
      </c>
      <c r="F677" t="str">
        <f>VLOOKUP(E677,[1]LOJA!$A:$B,2,0)</f>
        <v>GAMA</v>
      </c>
      <c r="G677" t="s">
        <v>19</v>
      </c>
      <c r="H677" t="s">
        <v>19</v>
      </c>
      <c r="I677" s="1">
        <v>46044</v>
      </c>
      <c r="J677" s="1">
        <v>46044</v>
      </c>
      <c r="K677" s="1">
        <v>46044</v>
      </c>
      <c r="L677">
        <v>31</v>
      </c>
      <c r="M677">
        <v>0.54</v>
      </c>
      <c r="N677">
        <v>0.54</v>
      </c>
      <c r="O677">
        <v>0</v>
      </c>
      <c r="P677">
        <v>0</v>
      </c>
      <c r="Q677" t="s">
        <v>108</v>
      </c>
    </row>
    <row r="678" spans="1:17">
      <c r="A678" t="s">
        <v>93</v>
      </c>
      <c r="B678" t="s">
        <v>106</v>
      </c>
      <c r="C678" t="s">
        <v>56</v>
      </c>
      <c r="D678" t="s">
        <v>461</v>
      </c>
      <c r="E678">
        <v>6</v>
      </c>
      <c r="F678" t="str">
        <f>VLOOKUP(E678,[1]LOJA!$A:$B,2,0)</f>
        <v>GAMA</v>
      </c>
      <c r="G678" t="s">
        <v>19</v>
      </c>
      <c r="H678" t="s">
        <v>19</v>
      </c>
      <c r="I678" s="1">
        <v>46044</v>
      </c>
      <c r="J678" s="1">
        <v>46044</v>
      </c>
      <c r="K678" s="1">
        <v>46044</v>
      </c>
      <c r="L678">
        <v>31</v>
      </c>
      <c r="M678">
        <v>0.11</v>
      </c>
      <c r="N678">
        <v>0.11</v>
      </c>
      <c r="O678">
        <v>0</v>
      </c>
      <c r="P678">
        <v>0</v>
      </c>
      <c r="Q678" t="s">
        <v>108</v>
      </c>
    </row>
    <row r="679" spans="1:17">
      <c r="A679" t="s">
        <v>93</v>
      </c>
      <c r="B679" t="s">
        <v>106</v>
      </c>
      <c r="C679" t="s">
        <v>56</v>
      </c>
      <c r="D679" t="s">
        <v>462</v>
      </c>
      <c r="E679">
        <v>6</v>
      </c>
      <c r="F679" t="str">
        <f>VLOOKUP(E679,[1]LOJA!$A:$B,2,0)</f>
        <v>GAMA</v>
      </c>
      <c r="G679" t="s">
        <v>19</v>
      </c>
      <c r="H679" t="s">
        <v>19</v>
      </c>
      <c r="I679" s="1">
        <v>46044</v>
      </c>
      <c r="J679" s="1">
        <v>46044</v>
      </c>
      <c r="K679" s="1">
        <v>46044</v>
      </c>
      <c r="L679">
        <v>31</v>
      </c>
      <c r="M679">
        <v>0.78</v>
      </c>
      <c r="N679">
        <v>0.78</v>
      </c>
      <c r="O679">
        <v>0</v>
      </c>
      <c r="P679">
        <v>0</v>
      </c>
      <c r="Q679" t="s">
        <v>108</v>
      </c>
    </row>
    <row r="680" spans="1:17">
      <c r="A680" t="s">
        <v>93</v>
      </c>
      <c r="B680" t="s">
        <v>106</v>
      </c>
      <c r="C680" t="s">
        <v>56</v>
      </c>
      <c r="D680" t="s">
        <v>463</v>
      </c>
      <c r="E680">
        <v>6</v>
      </c>
      <c r="F680" t="str">
        <f>VLOOKUP(E680,[1]LOJA!$A:$B,2,0)</f>
        <v>GAMA</v>
      </c>
      <c r="G680" t="s">
        <v>19</v>
      </c>
      <c r="H680" t="s">
        <v>19</v>
      </c>
      <c r="I680" s="1">
        <v>46044</v>
      </c>
      <c r="J680" s="1">
        <v>46044</v>
      </c>
      <c r="K680" s="1">
        <v>46044</v>
      </c>
      <c r="L680">
        <v>31</v>
      </c>
      <c r="M680">
        <v>0.4</v>
      </c>
      <c r="N680">
        <v>0.4</v>
      </c>
      <c r="O680">
        <v>0</v>
      </c>
      <c r="P680">
        <v>0</v>
      </c>
      <c r="Q680" t="s">
        <v>108</v>
      </c>
    </row>
    <row r="681" spans="1:17">
      <c r="A681" t="s">
        <v>93</v>
      </c>
      <c r="B681" t="s">
        <v>106</v>
      </c>
      <c r="C681" t="s">
        <v>56</v>
      </c>
      <c r="D681" t="s">
        <v>464</v>
      </c>
      <c r="E681">
        <v>6</v>
      </c>
      <c r="F681" t="str">
        <f>VLOOKUP(E681,[1]LOJA!$A:$B,2,0)</f>
        <v>GAMA</v>
      </c>
      <c r="G681" t="s">
        <v>19</v>
      </c>
      <c r="H681" t="s">
        <v>19</v>
      </c>
      <c r="I681" s="1">
        <v>46044</v>
      </c>
      <c r="J681" s="1">
        <v>46044</v>
      </c>
      <c r="K681" s="1">
        <v>46044</v>
      </c>
      <c r="L681">
        <v>31</v>
      </c>
      <c r="M681">
        <v>0.52</v>
      </c>
      <c r="N681">
        <v>0.52</v>
      </c>
      <c r="O681">
        <v>0</v>
      </c>
      <c r="P681">
        <v>0</v>
      </c>
      <c r="Q681" t="s">
        <v>108</v>
      </c>
    </row>
    <row r="682" spans="1:17">
      <c r="A682" t="s">
        <v>93</v>
      </c>
      <c r="B682" t="s">
        <v>106</v>
      </c>
      <c r="C682" t="s">
        <v>56</v>
      </c>
      <c r="D682" t="s">
        <v>465</v>
      </c>
      <c r="E682">
        <v>6</v>
      </c>
      <c r="F682" t="str">
        <f>VLOOKUP(E682,[1]LOJA!$A:$B,2,0)</f>
        <v>GAMA</v>
      </c>
      <c r="G682" t="s">
        <v>19</v>
      </c>
      <c r="H682" t="s">
        <v>19</v>
      </c>
      <c r="I682" s="1">
        <v>46045</v>
      </c>
      <c r="J682" s="1">
        <v>46045</v>
      </c>
      <c r="K682" s="1">
        <v>46045</v>
      </c>
      <c r="L682">
        <v>31</v>
      </c>
      <c r="M682">
        <v>7.81</v>
      </c>
      <c r="N682">
        <v>7.81</v>
      </c>
      <c r="O682">
        <v>0</v>
      </c>
      <c r="P682">
        <v>0</v>
      </c>
      <c r="Q682" t="s">
        <v>108</v>
      </c>
    </row>
    <row r="683" spans="1:17">
      <c r="A683" t="s">
        <v>93</v>
      </c>
      <c r="B683" t="s">
        <v>106</v>
      </c>
      <c r="C683" t="s">
        <v>56</v>
      </c>
      <c r="D683" t="s">
        <v>466</v>
      </c>
      <c r="E683">
        <v>6</v>
      </c>
      <c r="F683" t="str">
        <f>VLOOKUP(E683,[1]LOJA!$A:$B,2,0)</f>
        <v>GAMA</v>
      </c>
      <c r="G683" t="s">
        <v>19</v>
      </c>
      <c r="H683" t="s">
        <v>19</v>
      </c>
      <c r="I683" s="1">
        <v>46045</v>
      </c>
      <c r="J683" s="1">
        <v>46045</v>
      </c>
      <c r="K683" s="1">
        <v>46045</v>
      </c>
      <c r="L683">
        <v>31</v>
      </c>
      <c r="M683">
        <v>0.53</v>
      </c>
      <c r="N683">
        <v>0.53</v>
      </c>
      <c r="O683">
        <v>0</v>
      </c>
      <c r="P683">
        <v>0</v>
      </c>
      <c r="Q683" t="s">
        <v>108</v>
      </c>
    </row>
    <row r="684" spans="1:17">
      <c r="A684" t="s">
        <v>93</v>
      </c>
      <c r="B684" t="s">
        <v>106</v>
      </c>
      <c r="C684" t="s">
        <v>56</v>
      </c>
      <c r="D684" t="s">
        <v>467</v>
      </c>
      <c r="E684">
        <v>6</v>
      </c>
      <c r="F684" t="str">
        <f>VLOOKUP(E684,[1]LOJA!$A:$B,2,0)</f>
        <v>GAMA</v>
      </c>
      <c r="G684" t="s">
        <v>19</v>
      </c>
      <c r="H684" t="s">
        <v>19</v>
      </c>
      <c r="I684" s="1">
        <v>46045</v>
      </c>
      <c r="J684" s="1">
        <v>46045</v>
      </c>
      <c r="K684" s="1">
        <v>46045</v>
      </c>
      <c r="L684">
        <v>31</v>
      </c>
      <c r="M684">
        <v>2.19</v>
      </c>
      <c r="N684">
        <v>2.19</v>
      </c>
      <c r="O684">
        <v>0</v>
      </c>
      <c r="P684">
        <v>0</v>
      </c>
      <c r="Q684" t="s">
        <v>108</v>
      </c>
    </row>
    <row r="685" spans="1:17">
      <c r="A685" t="s">
        <v>93</v>
      </c>
      <c r="B685" t="s">
        <v>106</v>
      </c>
      <c r="C685" t="s">
        <v>56</v>
      </c>
      <c r="D685" t="s">
        <v>468</v>
      </c>
      <c r="E685">
        <v>6</v>
      </c>
      <c r="F685" t="str">
        <f>VLOOKUP(E685,[1]LOJA!$A:$B,2,0)</f>
        <v>GAMA</v>
      </c>
      <c r="G685" t="s">
        <v>19</v>
      </c>
      <c r="H685" t="s">
        <v>19</v>
      </c>
      <c r="I685" s="1">
        <v>46045</v>
      </c>
      <c r="J685" s="1">
        <v>46045</v>
      </c>
      <c r="K685" s="1">
        <v>46045</v>
      </c>
      <c r="L685">
        <v>31</v>
      </c>
      <c r="M685">
        <v>6.47</v>
      </c>
      <c r="N685">
        <v>6.47</v>
      </c>
      <c r="O685">
        <v>0</v>
      </c>
      <c r="P685">
        <v>0</v>
      </c>
      <c r="Q685" t="s">
        <v>108</v>
      </c>
    </row>
    <row r="686" spans="1:17">
      <c r="A686" t="s">
        <v>93</v>
      </c>
      <c r="B686" t="s">
        <v>106</v>
      </c>
      <c r="C686" t="s">
        <v>56</v>
      </c>
      <c r="D686" t="s">
        <v>469</v>
      </c>
      <c r="E686">
        <v>6</v>
      </c>
      <c r="F686" t="str">
        <f>VLOOKUP(E686,[1]LOJA!$A:$B,2,0)</f>
        <v>GAMA</v>
      </c>
      <c r="G686" t="s">
        <v>19</v>
      </c>
      <c r="H686" t="s">
        <v>19</v>
      </c>
      <c r="I686" s="1">
        <v>46045</v>
      </c>
      <c r="J686" s="1">
        <v>46045</v>
      </c>
      <c r="K686" s="1">
        <v>46045</v>
      </c>
      <c r="L686">
        <v>31</v>
      </c>
      <c r="M686">
        <v>1.37</v>
      </c>
      <c r="N686">
        <v>1.37</v>
      </c>
      <c r="O686">
        <v>0</v>
      </c>
      <c r="P686">
        <v>0</v>
      </c>
      <c r="Q686" t="s">
        <v>108</v>
      </c>
    </row>
    <row r="687" spans="1:17">
      <c r="A687" t="s">
        <v>93</v>
      </c>
      <c r="B687" t="s">
        <v>106</v>
      </c>
      <c r="C687" t="s">
        <v>56</v>
      </c>
      <c r="D687" t="s">
        <v>470</v>
      </c>
      <c r="E687">
        <v>6</v>
      </c>
      <c r="F687" t="str">
        <f>VLOOKUP(E687,[1]LOJA!$A:$B,2,0)</f>
        <v>GAMA</v>
      </c>
      <c r="G687" t="s">
        <v>19</v>
      </c>
      <c r="H687" t="s">
        <v>19</v>
      </c>
      <c r="I687" s="1">
        <v>46045</v>
      </c>
      <c r="J687" s="1">
        <v>46045</v>
      </c>
      <c r="K687" s="1">
        <v>46045</v>
      </c>
      <c r="L687">
        <v>31</v>
      </c>
      <c r="M687">
        <v>0.66</v>
      </c>
      <c r="N687">
        <v>0.66</v>
      </c>
      <c r="O687">
        <v>0</v>
      </c>
      <c r="P687">
        <v>0</v>
      </c>
      <c r="Q687" t="s">
        <v>108</v>
      </c>
    </row>
    <row r="688" spans="1:17">
      <c r="A688" t="s">
        <v>93</v>
      </c>
      <c r="B688" t="s">
        <v>106</v>
      </c>
      <c r="C688" t="s">
        <v>56</v>
      </c>
      <c r="D688" t="s">
        <v>471</v>
      </c>
      <c r="E688">
        <v>6</v>
      </c>
      <c r="F688" t="str">
        <f>VLOOKUP(E688,[1]LOJA!$A:$B,2,0)</f>
        <v>GAMA</v>
      </c>
      <c r="G688" t="s">
        <v>19</v>
      </c>
      <c r="H688" t="s">
        <v>19</v>
      </c>
      <c r="I688" s="1">
        <v>46045</v>
      </c>
      <c r="J688" s="1">
        <v>46045</v>
      </c>
      <c r="K688" s="1">
        <v>46045</v>
      </c>
      <c r="L688">
        <v>31</v>
      </c>
      <c r="M688">
        <v>0.24</v>
      </c>
      <c r="N688">
        <v>0.24</v>
      </c>
      <c r="O688">
        <v>0</v>
      </c>
      <c r="P688">
        <v>0</v>
      </c>
      <c r="Q688" t="s">
        <v>108</v>
      </c>
    </row>
    <row r="689" spans="1:17">
      <c r="A689" t="s">
        <v>93</v>
      </c>
      <c r="B689" t="s">
        <v>106</v>
      </c>
      <c r="C689" t="s">
        <v>56</v>
      </c>
      <c r="D689" t="s">
        <v>472</v>
      </c>
      <c r="E689">
        <v>6</v>
      </c>
      <c r="F689" t="str">
        <f>VLOOKUP(E689,[1]LOJA!$A:$B,2,0)</f>
        <v>GAMA</v>
      </c>
      <c r="G689" t="s">
        <v>19</v>
      </c>
      <c r="H689" t="s">
        <v>19</v>
      </c>
      <c r="I689" s="1">
        <v>46045</v>
      </c>
      <c r="J689" s="1">
        <v>46045</v>
      </c>
      <c r="K689" s="1">
        <v>46045</v>
      </c>
      <c r="L689">
        <v>31</v>
      </c>
      <c r="M689">
        <v>0.16</v>
      </c>
      <c r="N689">
        <v>0.16</v>
      </c>
      <c r="O689">
        <v>0</v>
      </c>
      <c r="P689">
        <v>0</v>
      </c>
      <c r="Q689" t="s">
        <v>108</v>
      </c>
    </row>
    <row r="690" spans="1:17">
      <c r="A690" t="s">
        <v>93</v>
      </c>
      <c r="B690" t="s">
        <v>106</v>
      </c>
      <c r="C690" t="s">
        <v>56</v>
      </c>
      <c r="D690" t="s">
        <v>473</v>
      </c>
      <c r="E690">
        <v>6</v>
      </c>
      <c r="F690" t="str">
        <f>VLOOKUP(E690,[1]LOJA!$A:$B,2,0)</f>
        <v>GAMA</v>
      </c>
      <c r="G690" t="s">
        <v>19</v>
      </c>
      <c r="H690" t="s">
        <v>19</v>
      </c>
      <c r="I690" s="1">
        <v>46045</v>
      </c>
      <c r="J690" s="1">
        <v>46045</v>
      </c>
      <c r="K690" s="1">
        <v>46045</v>
      </c>
      <c r="L690">
        <v>31</v>
      </c>
      <c r="M690">
        <v>1.7</v>
      </c>
      <c r="N690">
        <v>1.7</v>
      </c>
      <c r="O690">
        <v>0</v>
      </c>
      <c r="P690">
        <v>0</v>
      </c>
      <c r="Q690" t="s">
        <v>108</v>
      </c>
    </row>
    <row r="691" spans="1:17">
      <c r="A691" t="s">
        <v>93</v>
      </c>
      <c r="B691" t="s">
        <v>106</v>
      </c>
      <c r="C691" t="s">
        <v>56</v>
      </c>
      <c r="D691" t="s">
        <v>474</v>
      </c>
      <c r="E691">
        <v>6</v>
      </c>
      <c r="F691" t="str">
        <f>VLOOKUP(E691,[1]LOJA!$A:$B,2,0)</f>
        <v>GAMA</v>
      </c>
      <c r="G691" t="s">
        <v>19</v>
      </c>
      <c r="H691" t="s">
        <v>19</v>
      </c>
      <c r="I691" s="1">
        <v>46045</v>
      </c>
      <c r="J691" s="1">
        <v>46045</v>
      </c>
      <c r="K691" s="1">
        <v>46045</v>
      </c>
      <c r="L691">
        <v>31</v>
      </c>
      <c r="M691">
        <v>0.4</v>
      </c>
      <c r="N691">
        <v>0.4</v>
      </c>
      <c r="O691">
        <v>0</v>
      </c>
      <c r="P691">
        <v>0</v>
      </c>
      <c r="Q691" t="s">
        <v>108</v>
      </c>
    </row>
    <row r="692" spans="1:17">
      <c r="A692" t="s">
        <v>93</v>
      </c>
      <c r="B692" t="s">
        <v>106</v>
      </c>
      <c r="C692" t="s">
        <v>56</v>
      </c>
      <c r="D692" t="s">
        <v>475</v>
      </c>
      <c r="E692">
        <v>6</v>
      </c>
      <c r="F692" t="str">
        <f>VLOOKUP(E692,[1]LOJA!$A:$B,2,0)</f>
        <v>GAMA</v>
      </c>
      <c r="G692" t="s">
        <v>19</v>
      </c>
      <c r="H692" t="s">
        <v>19</v>
      </c>
      <c r="I692" s="1">
        <v>46045</v>
      </c>
      <c r="J692" s="1">
        <v>46045</v>
      </c>
      <c r="K692" s="1">
        <v>46045</v>
      </c>
      <c r="L692">
        <v>31</v>
      </c>
      <c r="M692">
        <v>0.21</v>
      </c>
      <c r="N692">
        <v>0.21</v>
      </c>
      <c r="O692">
        <v>0</v>
      </c>
      <c r="P692">
        <v>0</v>
      </c>
      <c r="Q692" t="s">
        <v>108</v>
      </c>
    </row>
    <row r="693" spans="1:17">
      <c r="A693" t="s">
        <v>93</v>
      </c>
      <c r="B693" t="s">
        <v>106</v>
      </c>
      <c r="C693" t="s">
        <v>56</v>
      </c>
      <c r="D693" t="s">
        <v>476</v>
      </c>
      <c r="E693">
        <v>6</v>
      </c>
      <c r="F693" t="str">
        <f>VLOOKUP(E693,[1]LOJA!$A:$B,2,0)</f>
        <v>GAMA</v>
      </c>
      <c r="G693" t="s">
        <v>19</v>
      </c>
      <c r="H693" t="s">
        <v>19</v>
      </c>
      <c r="I693" s="1">
        <v>46045</v>
      </c>
      <c r="J693" s="1">
        <v>46045</v>
      </c>
      <c r="K693" s="1">
        <v>46045</v>
      </c>
      <c r="L693">
        <v>31</v>
      </c>
      <c r="M693">
        <v>1.4</v>
      </c>
      <c r="N693">
        <v>1.4</v>
      </c>
      <c r="O693">
        <v>0</v>
      </c>
      <c r="P693">
        <v>0</v>
      </c>
      <c r="Q693" t="s">
        <v>108</v>
      </c>
    </row>
    <row r="694" spans="1:17">
      <c r="A694" t="s">
        <v>93</v>
      </c>
      <c r="B694" t="s">
        <v>106</v>
      </c>
      <c r="C694" t="s">
        <v>56</v>
      </c>
      <c r="D694" t="s">
        <v>477</v>
      </c>
      <c r="E694">
        <v>12</v>
      </c>
      <c r="F694" t="str">
        <f>VLOOKUP(E694,[1]LOJA!$A:$B,2,0)</f>
        <v>SOFNORTE</v>
      </c>
      <c r="G694" t="s">
        <v>19</v>
      </c>
      <c r="H694" t="s">
        <v>19</v>
      </c>
      <c r="I694" s="1">
        <v>46024</v>
      </c>
      <c r="J694" s="1">
        <v>46024</v>
      </c>
      <c r="K694" s="1">
        <v>46024</v>
      </c>
      <c r="L694">
        <v>33</v>
      </c>
      <c r="M694">
        <v>3.66</v>
      </c>
      <c r="N694">
        <v>3.66</v>
      </c>
      <c r="O694">
        <v>0</v>
      </c>
      <c r="P694">
        <v>0</v>
      </c>
      <c r="Q694" t="s">
        <v>108</v>
      </c>
    </row>
    <row r="695" spans="1:17">
      <c r="A695" t="s">
        <v>93</v>
      </c>
      <c r="B695" t="s">
        <v>106</v>
      </c>
      <c r="C695" t="s">
        <v>56</v>
      </c>
      <c r="D695" t="s">
        <v>478</v>
      </c>
      <c r="E695">
        <v>12</v>
      </c>
      <c r="F695" t="str">
        <f>VLOOKUP(E695,[1]LOJA!$A:$B,2,0)</f>
        <v>SOFNORTE</v>
      </c>
      <c r="G695" t="s">
        <v>19</v>
      </c>
      <c r="H695" t="s">
        <v>19</v>
      </c>
      <c r="I695" s="1">
        <v>46024</v>
      </c>
      <c r="J695" s="1">
        <v>46024</v>
      </c>
      <c r="K695" s="1">
        <v>46024</v>
      </c>
      <c r="L695">
        <v>33</v>
      </c>
      <c r="M695">
        <v>12.59</v>
      </c>
      <c r="N695">
        <v>12.59</v>
      </c>
      <c r="O695">
        <v>0</v>
      </c>
      <c r="P695">
        <v>0</v>
      </c>
      <c r="Q695" t="s">
        <v>108</v>
      </c>
    </row>
    <row r="696" spans="1:17">
      <c r="A696" t="s">
        <v>93</v>
      </c>
      <c r="B696" t="s">
        <v>106</v>
      </c>
      <c r="C696" t="s">
        <v>56</v>
      </c>
      <c r="D696" t="s">
        <v>479</v>
      </c>
      <c r="E696">
        <v>12</v>
      </c>
      <c r="F696" t="str">
        <f>VLOOKUP(E696,[1]LOJA!$A:$B,2,0)</f>
        <v>SOFNORTE</v>
      </c>
      <c r="G696" t="s">
        <v>19</v>
      </c>
      <c r="H696" t="s">
        <v>19</v>
      </c>
      <c r="I696" s="1">
        <v>46024</v>
      </c>
      <c r="J696" s="1">
        <v>46024</v>
      </c>
      <c r="K696" s="1">
        <v>46024</v>
      </c>
      <c r="L696">
        <v>33</v>
      </c>
      <c r="M696">
        <v>5.84</v>
      </c>
      <c r="N696">
        <v>5.84</v>
      </c>
      <c r="O696">
        <v>0</v>
      </c>
      <c r="P696">
        <v>0</v>
      </c>
      <c r="Q696" t="s">
        <v>108</v>
      </c>
    </row>
    <row r="697" spans="1:17">
      <c r="A697" t="s">
        <v>93</v>
      </c>
      <c r="B697" t="s">
        <v>106</v>
      </c>
      <c r="C697" t="s">
        <v>56</v>
      </c>
      <c r="D697" t="s">
        <v>480</v>
      </c>
      <c r="E697">
        <v>12</v>
      </c>
      <c r="F697" t="str">
        <f>VLOOKUP(E697,[1]LOJA!$A:$B,2,0)</f>
        <v>SOFNORTE</v>
      </c>
      <c r="G697" t="s">
        <v>19</v>
      </c>
      <c r="H697" t="s">
        <v>19</v>
      </c>
      <c r="I697" s="1">
        <v>46024</v>
      </c>
      <c r="J697" s="1">
        <v>46024</v>
      </c>
      <c r="K697" s="1">
        <v>46024</v>
      </c>
      <c r="L697">
        <v>33</v>
      </c>
      <c r="M697">
        <v>2.87</v>
      </c>
      <c r="N697">
        <v>2.87</v>
      </c>
      <c r="O697">
        <v>0</v>
      </c>
      <c r="P697">
        <v>0</v>
      </c>
      <c r="Q697" t="s">
        <v>108</v>
      </c>
    </row>
    <row r="698" spans="1:17">
      <c r="A698" t="s">
        <v>93</v>
      </c>
      <c r="B698" t="s">
        <v>106</v>
      </c>
      <c r="C698" t="s">
        <v>56</v>
      </c>
      <c r="D698" t="s">
        <v>481</v>
      </c>
      <c r="E698">
        <v>12</v>
      </c>
      <c r="F698" t="str">
        <f>VLOOKUP(E698,[1]LOJA!$A:$B,2,0)</f>
        <v>SOFNORTE</v>
      </c>
      <c r="G698" t="s">
        <v>19</v>
      </c>
      <c r="H698" t="s">
        <v>19</v>
      </c>
      <c r="I698" s="1">
        <v>46024</v>
      </c>
      <c r="J698" s="1">
        <v>46023</v>
      </c>
      <c r="K698" s="1">
        <v>46024</v>
      </c>
      <c r="L698">
        <v>33</v>
      </c>
      <c r="M698">
        <v>3.33</v>
      </c>
      <c r="N698">
        <v>3.33</v>
      </c>
      <c r="O698">
        <v>0</v>
      </c>
      <c r="P698">
        <v>0</v>
      </c>
      <c r="Q698" t="s">
        <v>108</v>
      </c>
    </row>
    <row r="699" spans="1:17">
      <c r="A699" t="s">
        <v>93</v>
      </c>
      <c r="B699" t="s">
        <v>106</v>
      </c>
      <c r="C699" t="s">
        <v>56</v>
      </c>
      <c r="D699" t="s">
        <v>482</v>
      </c>
      <c r="E699">
        <v>12</v>
      </c>
      <c r="F699" t="str">
        <f>VLOOKUP(E699,[1]LOJA!$A:$B,2,0)</f>
        <v>SOFNORTE</v>
      </c>
      <c r="G699" t="s">
        <v>19</v>
      </c>
      <c r="H699" t="s">
        <v>19</v>
      </c>
      <c r="I699" s="1">
        <v>46024</v>
      </c>
      <c r="J699" s="1">
        <v>46023</v>
      </c>
      <c r="K699" s="1">
        <v>46024</v>
      </c>
      <c r="L699">
        <v>33</v>
      </c>
      <c r="M699">
        <v>2.84</v>
      </c>
      <c r="N699">
        <v>2.84</v>
      </c>
      <c r="O699">
        <v>0</v>
      </c>
      <c r="P699">
        <v>0</v>
      </c>
      <c r="Q699" t="s">
        <v>108</v>
      </c>
    </row>
    <row r="700" spans="1:17">
      <c r="A700" t="s">
        <v>93</v>
      </c>
      <c r="B700" t="s">
        <v>106</v>
      </c>
      <c r="C700" t="s">
        <v>56</v>
      </c>
      <c r="D700" t="s">
        <v>483</v>
      </c>
      <c r="E700">
        <v>12</v>
      </c>
      <c r="F700" t="str">
        <f>VLOOKUP(E700,[1]LOJA!$A:$B,2,0)</f>
        <v>SOFNORTE</v>
      </c>
      <c r="G700" t="s">
        <v>19</v>
      </c>
      <c r="H700" t="s">
        <v>19</v>
      </c>
      <c r="I700" s="1">
        <v>46024</v>
      </c>
      <c r="J700" s="1">
        <v>46023</v>
      </c>
      <c r="K700" s="1">
        <v>46024</v>
      </c>
      <c r="L700">
        <v>33</v>
      </c>
      <c r="M700">
        <v>2.0499999999999998</v>
      </c>
      <c r="N700">
        <v>2.0499999999999998</v>
      </c>
      <c r="O700">
        <v>0</v>
      </c>
      <c r="P700">
        <v>0</v>
      </c>
      <c r="Q700" t="s">
        <v>108</v>
      </c>
    </row>
    <row r="701" spans="1:17">
      <c r="A701" t="s">
        <v>93</v>
      </c>
      <c r="B701" t="s">
        <v>106</v>
      </c>
      <c r="C701" t="s">
        <v>56</v>
      </c>
      <c r="D701" t="s">
        <v>484</v>
      </c>
      <c r="E701">
        <v>12</v>
      </c>
      <c r="F701" t="str">
        <f>VLOOKUP(E701,[1]LOJA!$A:$B,2,0)</f>
        <v>SOFNORTE</v>
      </c>
      <c r="G701" t="s">
        <v>19</v>
      </c>
      <c r="H701" t="s">
        <v>19</v>
      </c>
      <c r="I701" s="1">
        <v>46024</v>
      </c>
      <c r="J701" s="1">
        <v>46023</v>
      </c>
      <c r="K701" s="1">
        <v>46024</v>
      </c>
      <c r="L701">
        <v>33</v>
      </c>
      <c r="M701">
        <v>0.26</v>
      </c>
      <c r="N701">
        <v>0.26</v>
      </c>
      <c r="O701">
        <v>0</v>
      </c>
      <c r="P701">
        <v>0</v>
      </c>
      <c r="Q701" t="s">
        <v>108</v>
      </c>
    </row>
    <row r="702" spans="1:17">
      <c r="A702" t="s">
        <v>93</v>
      </c>
      <c r="B702" t="s">
        <v>106</v>
      </c>
      <c r="C702" t="s">
        <v>56</v>
      </c>
      <c r="D702" t="s">
        <v>485</v>
      </c>
      <c r="E702">
        <v>12</v>
      </c>
      <c r="F702" t="str">
        <f>VLOOKUP(E702,[1]LOJA!$A:$B,2,0)</f>
        <v>SOFNORTE</v>
      </c>
      <c r="G702" t="s">
        <v>19</v>
      </c>
      <c r="H702" t="s">
        <v>19</v>
      </c>
      <c r="I702" s="1">
        <v>46024</v>
      </c>
      <c r="J702" s="1">
        <v>46023</v>
      </c>
      <c r="K702" s="1">
        <v>46024</v>
      </c>
      <c r="L702">
        <v>33</v>
      </c>
      <c r="M702">
        <v>5.8</v>
      </c>
      <c r="N702">
        <v>5.8</v>
      </c>
      <c r="O702">
        <v>0</v>
      </c>
      <c r="P702">
        <v>0</v>
      </c>
      <c r="Q702" t="s">
        <v>108</v>
      </c>
    </row>
    <row r="703" spans="1:17">
      <c r="A703" t="s">
        <v>93</v>
      </c>
      <c r="B703" t="s">
        <v>106</v>
      </c>
      <c r="C703" t="s">
        <v>56</v>
      </c>
      <c r="D703" t="s">
        <v>486</v>
      </c>
      <c r="E703">
        <v>12</v>
      </c>
      <c r="F703" t="str">
        <f>VLOOKUP(E703,[1]LOJA!$A:$B,2,0)</f>
        <v>SOFNORTE</v>
      </c>
      <c r="G703" t="s">
        <v>19</v>
      </c>
      <c r="H703" t="s">
        <v>19</v>
      </c>
      <c r="I703" s="1">
        <v>46024</v>
      </c>
      <c r="J703" s="1">
        <v>46023</v>
      </c>
      <c r="K703" s="1">
        <v>46024</v>
      </c>
      <c r="L703">
        <v>33</v>
      </c>
      <c r="M703">
        <v>0.35</v>
      </c>
      <c r="N703">
        <v>0.35</v>
      </c>
      <c r="O703">
        <v>0</v>
      </c>
      <c r="P703">
        <v>0</v>
      </c>
      <c r="Q703" t="s">
        <v>108</v>
      </c>
    </row>
    <row r="704" spans="1:17">
      <c r="A704" t="s">
        <v>93</v>
      </c>
      <c r="B704" t="s">
        <v>106</v>
      </c>
      <c r="C704" t="s">
        <v>56</v>
      </c>
      <c r="D704" t="s">
        <v>487</v>
      </c>
      <c r="E704">
        <v>12</v>
      </c>
      <c r="F704" t="str">
        <f>VLOOKUP(E704,[1]LOJA!$A:$B,2,0)</f>
        <v>SOFNORTE</v>
      </c>
      <c r="G704" t="s">
        <v>19</v>
      </c>
      <c r="H704" t="s">
        <v>19</v>
      </c>
      <c r="I704" s="1">
        <v>46024</v>
      </c>
      <c r="J704" s="1">
        <v>46023</v>
      </c>
      <c r="K704" s="1">
        <v>46024</v>
      </c>
      <c r="L704">
        <v>33</v>
      </c>
      <c r="M704">
        <v>7.26</v>
      </c>
      <c r="N704">
        <v>7.26</v>
      </c>
      <c r="O704">
        <v>0</v>
      </c>
      <c r="P704">
        <v>0</v>
      </c>
      <c r="Q704" t="s">
        <v>108</v>
      </c>
    </row>
    <row r="705" spans="1:17">
      <c r="A705" t="s">
        <v>93</v>
      </c>
      <c r="B705" t="s">
        <v>106</v>
      </c>
      <c r="C705" t="s">
        <v>56</v>
      </c>
      <c r="D705" t="s">
        <v>488</v>
      </c>
      <c r="E705">
        <v>12</v>
      </c>
      <c r="F705" t="str">
        <f>VLOOKUP(E705,[1]LOJA!$A:$B,2,0)</f>
        <v>SOFNORTE</v>
      </c>
      <c r="G705" t="s">
        <v>19</v>
      </c>
      <c r="H705" t="s">
        <v>19</v>
      </c>
      <c r="I705" s="1">
        <v>46024</v>
      </c>
      <c r="J705" s="1">
        <v>46023</v>
      </c>
      <c r="K705" s="1">
        <v>46024</v>
      </c>
      <c r="L705">
        <v>33</v>
      </c>
      <c r="M705">
        <v>2.5</v>
      </c>
      <c r="N705">
        <v>2.5</v>
      </c>
      <c r="O705">
        <v>0</v>
      </c>
      <c r="P705">
        <v>0</v>
      </c>
      <c r="Q705" t="s">
        <v>108</v>
      </c>
    </row>
    <row r="706" spans="1:17">
      <c r="A706" t="s">
        <v>93</v>
      </c>
      <c r="B706" t="s">
        <v>106</v>
      </c>
      <c r="C706" t="s">
        <v>56</v>
      </c>
      <c r="D706" t="s">
        <v>489</v>
      </c>
      <c r="E706">
        <v>12</v>
      </c>
      <c r="F706" t="str">
        <f>VLOOKUP(E706,[1]LOJA!$A:$B,2,0)</f>
        <v>SOFNORTE</v>
      </c>
      <c r="G706" t="s">
        <v>19</v>
      </c>
      <c r="H706" t="s">
        <v>19</v>
      </c>
      <c r="I706" s="1">
        <v>46024</v>
      </c>
      <c r="J706" s="1">
        <v>46023</v>
      </c>
      <c r="K706" s="1">
        <v>46024</v>
      </c>
      <c r="L706">
        <v>33</v>
      </c>
      <c r="M706">
        <v>1.26</v>
      </c>
      <c r="N706">
        <v>1.26</v>
      </c>
      <c r="O706">
        <v>0</v>
      </c>
      <c r="P706">
        <v>0</v>
      </c>
      <c r="Q706" t="s">
        <v>108</v>
      </c>
    </row>
    <row r="707" spans="1:17">
      <c r="A707" t="s">
        <v>93</v>
      </c>
      <c r="B707" t="s">
        <v>106</v>
      </c>
      <c r="C707" t="s">
        <v>56</v>
      </c>
      <c r="D707" t="s">
        <v>490</v>
      </c>
      <c r="E707">
        <v>12</v>
      </c>
      <c r="F707" t="str">
        <f>VLOOKUP(E707,[1]LOJA!$A:$B,2,0)</f>
        <v>SOFNORTE</v>
      </c>
      <c r="G707" t="s">
        <v>19</v>
      </c>
      <c r="H707" t="s">
        <v>19</v>
      </c>
      <c r="I707" s="1">
        <v>46024</v>
      </c>
      <c r="J707" s="1">
        <v>46024</v>
      </c>
      <c r="K707" s="1">
        <v>46024</v>
      </c>
      <c r="L707">
        <v>33</v>
      </c>
      <c r="M707">
        <v>3.83</v>
      </c>
      <c r="N707">
        <v>3.83</v>
      </c>
      <c r="O707">
        <v>0</v>
      </c>
      <c r="P707">
        <v>0</v>
      </c>
      <c r="Q707" t="s">
        <v>108</v>
      </c>
    </row>
    <row r="708" spans="1:17">
      <c r="A708" t="s">
        <v>93</v>
      </c>
      <c r="B708" t="s">
        <v>106</v>
      </c>
      <c r="C708" t="s">
        <v>56</v>
      </c>
      <c r="D708" t="s">
        <v>491</v>
      </c>
      <c r="E708">
        <v>12</v>
      </c>
      <c r="F708" t="str">
        <f>VLOOKUP(E708,[1]LOJA!$A:$B,2,0)</f>
        <v>SOFNORTE</v>
      </c>
      <c r="G708" t="s">
        <v>19</v>
      </c>
      <c r="H708" t="s">
        <v>19</v>
      </c>
      <c r="I708" s="1">
        <v>46024</v>
      </c>
      <c r="J708" s="1">
        <v>46024</v>
      </c>
      <c r="K708" s="1">
        <v>46024</v>
      </c>
      <c r="L708">
        <v>33</v>
      </c>
      <c r="M708">
        <v>1.0900000000000001</v>
      </c>
      <c r="N708">
        <v>1.0900000000000001</v>
      </c>
      <c r="O708">
        <v>0</v>
      </c>
      <c r="P708">
        <v>0</v>
      </c>
      <c r="Q708" t="s">
        <v>108</v>
      </c>
    </row>
    <row r="709" spans="1:17">
      <c r="A709" t="s">
        <v>93</v>
      </c>
      <c r="B709" t="s">
        <v>106</v>
      </c>
      <c r="C709" t="s">
        <v>56</v>
      </c>
      <c r="D709" t="s">
        <v>492</v>
      </c>
      <c r="E709">
        <v>12</v>
      </c>
      <c r="F709" t="str">
        <f>VLOOKUP(E709,[1]LOJA!$A:$B,2,0)</f>
        <v>SOFNORTE</v>
      </c>
      <c r="G709" t="s">
        <v>19</v>
      </c>
      <c r="H709" t="s">
        <v>19</v>
      </c>
      <c r="I709" s="1">
        <v>46024</v>
      </c>
      <c r="J709" s="1">
        <v>46024</v>
      </c>
      <c r="K709" s="1">
        <v>46024</v>
      </c>
      <c r="L709">
        <v>33</v>
      </c>
      <c r="M709">
        <v>12.5</v>
      </c>
      <c r="N709">
        <v>12.5</v>
      </c>
      <c r="O709">
        <v>0</v>
      </c>
      <c r="P709">
        <v>0</v>
      </c>
      <c r="Q709" t="s">
        <v>108</v>
      </c>
    </row>
    <row r="710" spans="1:17">
      <c r="A710" t="s">
        <v>93</v>
      </c>
      <c r="B710" t="s">
        <v>106</v>
      </c>
      <c r="C710" t="s">
        <v>56</v>
      </c>
      <c r="D710" t="s">
        <v>493</v>
      </c>
      <c r="E710">
        <v>12</v>
      </c>
      <c r="F710" t="str">
        <f>VLOOKUP(E710,[1]LOJA!$A:$B,2,0)</f>
        <v>SOFNORTE</v>
      </c>
      <c r="G710" t="s">
        <v>19</v>
      </c>
      <c r="H710" t="s">
        <v>19</v>
      </c>
      <c r="I710" s="1">
        <v>46024</v>
      </c>
      <c r="J710" s="1">
        <v>46024</v>
      </c>
      <c r="K710" s="1">
        <v>46024</v>
      </c>
      <c r="L710">
        <v>33</v>
      </c>
      <c r="M710">
        <v>2</v>
      </c>
      <c r="N710">
        <v>2</v>
      </c>
      <c r="O710">
        <v>0</v>
      </c>
      <c r="P710">
        <v>0</v>
      </c>
      <c r="Q710" t="s">
        <v>108</v>
      </c>
    </row>
    <row r="711" spans="1:17">
      <c r="A711" t="s">
        <v>93</v>
      </c>
      <c r="B711" t="s">
        <v>106</v>
      </c>
      <c r="C711" t="s">
        <v>56</v>
      </c>
      <c r="D711" t="s">
        <v>494</v>
      </c>
      <c r="E711">
        <v>12</v>
      </c>
      <c r="F711" t="str">
        <f>VLOOKUP(E711,[1]LOJA!$A:$B,2,0)</f>
        <v>SOFNORTE</v>
      </c>
      <c r="G711" t="s">
        <v>19</v>
      </c>
      <c r="H711" t="s">
        <v>19</v>
      </c>
      <c r="I711" s="1">
        <v>46024</v>
      </c>
      <c r="J711" s="1">
        <v>46023</v>
      </c>
      <c r="K711" s="1">
        <v>46024</v>
      </c>
      <c r="L711">
        <v>33</v>
      </c>
      <c r="M711">
        <v>0.16</v>
      </c>
      <c r="N711">
        <v>0.16</v>
      </c>
      <c r="O711">
        <v>0</v>
      </c>
      <c r="P711">
        <v>0</v>
      </c>
      <c r="Q711" t="s">
        <v>108</v>
      </c>
    </row>
    <row r="712" spans="1:17">
      <c r="A712" t="s">
        <v>93</v>
      </c>
      <c r="B712" t="s">
        <v>106</v>
      </c>
      <c r="C712" t="s">
        <v>56</v>
      </c>
      <c r="D712" t="s">
        <v>495</v>
      </c>
      <c r="E712">
        <v>12</v>
      </c>
      <c r="F712" t="str">
        <f>VLOOKUP(E712,[1]LOJA!$A:$B,2,0)</f>
        <v>SOFNORTE</v>
      </c>
      <c r="G712" t="s">
        <v>19</v>
      </c>
      <c r="H712" t="s">
        <v>19</v>
      </c>
      <c r="I712" s="1">
        <v>46024</v>
      </c>
      <c r="J712" s="1">
        <v>46023</v>
      </c>
      <c r="K712" s="1">
        <v>46024</v>
      </c>
      <c r="L712">
        <v>33</v>
      </c>
      <c r="M712">
        <v>0.2</v>
      </c>
      <c r="N712">
        <v>0.2</v>
      </c>
      <c r="O712">
        <v>0</v>
      </c>
      <c r="P712">
        <v>0</v>
      </c>
      <c r="Q712" t="s">
        <v>108</v>
      </c>
    </row>
    <row r="713" spans="1:17">
      <c r="A713" t="s">
        <v>93</v>
      </c>
      <c r="B713" t="s">
        <v>106</v>
      </c>
      <c r="C713" t="s">
        <v>56</v>
      </c>
      <c r="D713" t="s">
        <v>496</v>
      </c>
      <c r="E713">
        <v>12</v>
      </c>
      <c r="F713" t="str">
        <f>VLOOKUP(E713,[1]LOJA!$A:$B,2,0)</f>
        <v>SOFNORTE</v>
      </c>
      <c r="G713" t="s">
        <v>19</v>
      </c>
      <c r="H713" t="s">
        <v>19</v>
      </c>
      <c r="I713" s="1">
        <v>46024</v>
      </c>
      <c r="J713" s="1">
        <v>46023</v>
      </c>
      <c r="K713" s="1">
        <v>46024</v>
      </c>
      <c r="L713">
        <v>33</v>
      </c>
      <c r="M713">
        <v>7.0000000000000007E-2</v>
      </c>
      <c r="N713">
        <v>7.0000000000000007E-2</v>
      </c>
      <c r="O713">
        <v>0</v>
      </c>
      <c r="P713">
        <v>0</v>
      </c>
      <c r="Q713" t="s">
        <v>108</v>
      </c>
    </row>
    <row r="714" spans="1:17">
      <c r="A714" t="s">
        <v>93</v>
      </c>
      <c r="B714" t="s">
        <v>106</v>
      </c>
      <c r="C714" t="s">
        <v>56</v>
      </c>
      <c r="D714" t="s">
        <v>497</v>
      </c>
      <c r="E714">
        <v>12</v>
      </c>
      <c r="F714" t="str">
        <f>VLOOKUP(E714,[1]LOJA!$A:$B,2,0)</f>
        <v>SOFNORTE</v>
      </c>
      <c r="G714" t="s">
        <v>19</v>
      </c>
      <c r="H714" t="s">
        <v>19</v>
      </c>
      <c r="I714" s="1">
        <v>46024</v>
      </c>
      <c r="J714" s="1">
        <v>46023</v>
      </c>
      <c r="K714" s="1">
        <v>46024</v>
      </c>
      <c r="L714">
        <v>33</v>
      </c>
      <c r="M714">
        <v>0.34</v>
      </c>
      <c r="N714">
        <v>0.34</v>
      </c>
      <c r="O714">
        <v>0</v>
      </c>
      <c r="P714">
        <v>0</v>
      </c>
      <c r="Q714" t="s">
        <v>108</v>
      </c>
    </row>
    <row r="715" spans="1:17">
      <c r="A715" t="s">
        <v>93</v>
      </c>
      <c r="B715" t="s">
        <v>106</v>
      </c>
      <c r="C715" t="s">
        <v>56</v>
      </c>
      <c r="D715" t="s">
        <v>498</v>
      </c>
      <c r="E715">
        <v>12</v>
      </c>
      <c r="F715" t="str">
        <f>VLOOKUP(E715,[1]LOJA!$A:$B,2,0)</f>
        <v>SOFNORTE</v>
      </c>
      <c r="G715" t="s">
        <v>19</v>
      </c>
      <c r="H715" t="s">
        <v>19</v>
      </c>
      <c r="I715" s="1">
        <v>46024</v>
      </c>
      <c r="J715" s="1">
        <v>46023</v>
      </c>
      <c r="K715" s="1">
        <v>46024</v>
      </c>
      <c r="L715">
        <v>33</v>
      </c>
      <c r="M715">
        <v>0.18</v>
      </c>
      <c r="N715">
        <v>0.18</v>
      </c>
      <c r="O715">
        <v>0</v>
      </c>
      <c r="P715">
        <v>0</v>
      </c>
      <c r="Q715" t="s">
        <v>108</v>
      </c>
    </row>
    <row r="716" spans="1:17">
      <c r="A716" t="s">
        <v>93</v>
      </c>
      <c r="B716" t="s">
        <v>106</v>
      </c>
      <c r="C716" t="s">
        <v>56</v>
      </c>
      <c r="D716" t="s">
        <v>499</v>
      </c>
      <c r="E716">
        <v>12</v>
      </c>
      <c r="F716" t="str">
        <f>VLOOKUP(E716,[1]LOJA!$A:$B,2,0)</f>
        <v>SOFNORTE</v>
      </c>
      <c r="G716" t="s">
        <v>19</v>
      </c>
      <c r="H716" t="s">
        <v>19</v>
      </c>
      <c r="I716" s="1">
        <v>46027</v>
      </c>
      <c r="J716" s="1">
        <v>46027</v>
      </c>
      <c r="K716" s="1">
        <v>46027</v>
      </c>
      <c r="L716">
        <v>33</v>
      </c>
      <c r="M716">
        <v>13.14</v>
      </c>
      <c r="N716">
        <v>13.14</v>
      </c>
      <c r="O716">
        <v>0</v>
      </c>
      <c r="P716">
        <v>0</v>
      </c>
      <c r="Q716" t="s">
        <v>108</v>
      </c>
    </row>
    <row r="717" spans="1:17">
      <c r="A717" t="s">
        <v>93</v>
      </c>
      <c r="B717" t="s">
        <v>106</v>
      </c>
      <c r="C717" t="s">
        <v>56</v>
      </c>
      <c r="D717" t="s">
        <v>500</v>
      </c>
      <c r="E717">
        <v>12</v>
      </c>
      <c r="F717" t="str">
        <f>VLOOKUP(E717,[1]LOJA!$A:$B,2,0)</f>
        <v>SOFNORTE</v>
      </c>
      <c r="G717" t="s">
        <v>19</v>
      </c>
      <c r="H717" t="s">
        <v>19</v>
      </c>
      <c r="I717" s="1">
        <v>46027</v>
      </c>
      <c r="J717" s="1">
        <v>46026</v>
      </c>
      <c r="K717" s="1">
        <v>46027</v>
      </c>
      <c r="L717">
        <v>33</v>
      </c>
      <c r="M717">
        <v>7.57</v>
      </c>
      <c r="N717">
        <v>7.57</v>
      </c>
      <c r="O717">
        <v>0</v>
      </c>
      <c r="P717">
        <v>0</v>
      </c>
      <c r="Q717" t="s">
        <v>108</v>
      </c>
    </row>
    <row r="718" spans="1:17">
      <c r="A718" t="s">
        <v>93</v>
      </c>
      <c r="B718" t="s">
        <v>106</v>
      </c>
      <c r="C718" t="s">
        <v>56</v>
      </c>
      <c r="D718" t="s">
        <v>501</v>
      </c>
      <c r="E718">
        <v>12</v>
      </c>
      <c r="F718" t="str">
        <f>VLOOKUP(E718,[1]LOJA!$A:$B,2,0)</f>
        <v>SOFNORTE</v>
      </c>
      <c r="G718" t="s">
        <v>19</v>
      </c>
      <c r="H718" t="s">
        <v>19</v>
      </c>
      <c r="I718" s="1">
        <v>46027</v>
      </c>
      <c r="J718" s="1">
        <v>46026</v>
      </c>
      <c r="K718" s="1">
        <v>46027</v>
      </c>
      <c r="L718">
        <v>33</v>
      </c>
      <c r="M718">
        <v>6.45</v>
      </c>
      <c r="N718">
        <v>6.45</v>
      </c>
      <c r="O718">
        <v>0</v>
      </c>
      <c r="P718">
        <v>0</v>
      </c>
      <c r="Q718" t="s">
        <v>108</v>
      </c>
    </row>
    <row r="719" spans="1:17">
      <c r="A719" t="s">
        <v>93</v>
      </c>
      <c r="B719" t="s">
        <v>106</v>
      </c>
      <c r="C719" t="s">
        <v>56</v>
      </c>
      <c r="D719" t="s">
        <v>502</v>
      </c>
      <c r="E719">
        <v>12</v>
      </c>
      <c r="F719" t="str">
        <f>VLOOKUP(E719,[1]LOJA!$A:$B,2,0)</f>
        <v>SOFNORTE</v>
      </c>
      <c r="G719" t="s">
        <v>19</v>
      </c>
      <c r="H719" t="s">
        <v>19</v>
      </c>
      <c r="I719" s="1">
        <v>46027</v>
      </c>
      <c r="J719" s="1">
        <v>46027</v>
      </c>
      <c r="K719" s="1">
        <v>46027</v>
      </c>
      <c r="L719">
        <v>33</v>
      </c>
      <c r="M719">
        <v>8.93</v>
      </c>
      <c r="N719">
        <v>8.93</v>
      </c>
      <c r="O719">
        <v>0</v>
      </c>
      <c r="P719">
        <v>0</v>
      </c>
      <c r="Q719" t="s">
        <v>108</v>
      </c>
    </row>
    <row r="720" spans="1:17">
      <c r="A720" t="s">
        <v>93</v>
      </c>
      <c r="B720" t="s">
        <v>106</v>
      </c>
      <c r="C720" t="s">
        <v>56</v>
      </c>
      <c r="D720" t="s">
        <v>503</v>
      </c>
      <c r="E720">
        <v>12</v>
      </c>
      <c r="F720" t="str">
        <f>VLOOKUP(E720,[1]LOJA!$A:$B,2,0)</f>
        <v>SOFNORTE</v>
      </c>
      <c r="G720" t="s">
        <v>19</v>
      </c>
      <c r="H720" t="s">
        <v>19</v>
      </c>
      <c r="I720" s="1">
        <v>46027</v>
      </c>
      <c r="J720" s="1">
        <v>46027</v>
      </c>
      <c r="K720" s="1">
        <v>46027</v>
      </c>
      <c r="L720">
        <v>33</v>
      </c>
      <c r="M720">
        <v>3.8</v>
      </c>
      <c r="N720">
        <v>3.8</v>
      </c>
      <c r="O720">
        <v>0</v>
      </c>
      <c r="P720">
        <v>0</v>
      </c>
      <c r="Q720" t="s">
        <v>108</v>
      </c>
    </row>
    <row r="721" spans="1:17">
      <c r="A721" t="s">
        <v>93</v>
      </c>
      <c r="B721" t="s">
        <v>106</v>
      </c>
      <c r="C721" t="s">
        <v>56</v>
      </c>
      <c r="D721" t="s">
        <v>504</v>
      </c>
      <c r="E721">
        <v>12</v>
      </c>
      <c r="F721" t="str">
        <f>VLOOKUP(E721,[1]LOJA!$A:$B,2,0)</f>
        <v>SOFNORTE</v>
      </c>
      <c r="G721" t="s">
        <v>19</v>
      </c>
      <c r="H721" t="s">
        <v>19</v>
      </c>
      <c r="I721" s="1">
        <v>46027</v>
      </c>
      <c r="J721" s="1">
        <v>46027</v>
      </c>
      <c r="K721" s="1">
        <v>46027</v>
      </c>
      <c r="L721">
        <v>33</v>
      </c>
      <c r="M721">
        <v>5.84</v>
      </c>
      <c r="N721">
        <v>5.84</v>
      </c>
      <c r="O721">
        <v>0</v>
      </c>
      <c r="P721">
        <v>0</v>
      </c>
      <c r="Q721" t="s">
        <v>108</v>
      </c>
    </row>
    <row r="722" spans="1:17">
      <c r="A722" t="s">
        <v>93</v>
      </c>
      <c r="B722" t="s">
        <v>106</v>
      </c>
      <c r="C722" t="s">
        <v>56</v>
      </c>
      <c r="D722" t="s">
        <v>505</v>
      </c>
      <c r="E722">
        <v>12</v>
      </c>
      <c r="F722" t="str">
        <f>VLOOKUP(E722,[1]LOJA!$A:$B,2,0)</f>
        <v>SOFNORTE</v>
      </c>
      <c r="G722" t="s">
        <v>19</v>
      </c>
      <c r="H722" t="s">
        <v>19</v>
      </c>
      <c r="I722" s="1">
        <v>46027</v>
      </c>
      <c r="J722" s="1">
        <v>46025</v>
      </c>
      <c r="K722" s="1">
        <v>46027</v>
      </c>
      <c r="L722">
        <v>33</v>
      </c>
      <c r="M722">
        <v>1.89</v>
      </c>
      <c r="N722">
        <v>1.89</v>
      </c>
      <c r="O722">
        <v>0</v>
      </c>
      <c r="P722">
        <v>0</v>
      </c>
      <c r="Q722" t="s">
        <v>108</v>
      </c>
    </row>
    <row r="723" spans="1:17">
      <c r="A723" t="s">
        <v>93</v>
      </c>
      <c r="B723" t="s">
        <v>106</v>
      </c>
      <c r="C723" t="s">
        <v>56</v>
      </c>
      <c r="D723" t="s">
        <v>506</v>
      </c>
      <c r="E723">
        <v>12</v>
      </c>
      <c r="F723" t="str">
        <f>VLOOKUP(E723,[1]LOJA!$A:$B,2,0)</f>
        <v>SOFNORTE</v>
      </c>
      <c r="G723" t="s">
        <v>19</v>
      </c>
      <c r="H723" t="s">
        <v>19</v>
      </c>
      <c r="I723" s="1">
        <v>46027</v>
      </c>
      <c r="J723" s="1">
        <v>46025</v>
      </c>
      <c r="K723" s="1">
        <v>46027</v>
      </c>
      <c r="L723">
        <v>33</v>
      </c>
      <c r="M723">
        <v>2.68</v>
      </c>
      <c r="N723">
        <v>2.68</v>
      </c>
      <c r="O723">
        <v>0</v>
      </c>
      <c r="P723">
        <v>0</v>
      </c>
      <c r="Q723" t="s">
        <v>108</v>
      </c>
    </row>
    <row r="724" spans="1:17">
      <c r="A724" t="s">
        <v>93</v>
      </c>
      <c r="B724" t="s">
        <v>106</v>
      </c>
      <c r="C724" t="s">
        <v>56</v>
      </c>
      <c r="D724" t="s">
        <v>507</v>
      </c>
      <c r="E724">
        <v>12</v>
      </c>
      <c r="F724" t="str">
        <f>VLOOKUP(E724,[1]LOJA!$A:$B,2,0)</f>
        <v>SOFNORTE</v>
      </c>
      <c r="G724" t="s">
        <v>19</v>
      </c>
      <c r="H724" t="s">
        <v>19</v>
      </c>
      <c r="I724" s="1">
        <v>46027</v>
      </c>
      <c r="J724" s="1">
        <v>46025</v>
      </c>
      <c r="K724" s="1">
        <v>46027</v>
      </c>
      <c r="L724">
        <v>33</v>
      </c>
      <c r="M724">
        <v>7.34</v>
      </c>
      <c r="N724">
        <v>7.34</v>
      </c>
      <c r="O724">
        <v>0</v>
      </c>
      <c r="P724">
        <v>0</v>
      </c>
      <c r="Q724" t="s">
        <v>108</v>
      </c>
    </row>
    <row r="725" spans="1:17">
      <c r="A725" t="s">
        <v>93</v>
      </c>
      <c r="B725" t="s">
        <v>106</v>
      </c>
      <c r="C725" t="s">
        <v>56</v>
      </c>
      <c r="D725" t="s">
        <v>508</v>
      </c>
      <c r="E725">
        <v>12</v>
      </c>
      <c r="F725" t="str">
        <f>VLOOKUP(E725,[1]LOJA!$A:$B,2,0)</f>
        <v>SOFNORTE</v>
      </c>
      <c r="G725" t="s">
        <v>19</v>
      </c>
      <c r="H725" t="s">
        <v>19</v>
      </c>
      <c r="I725" s="1">
        <v>46027</v>
      </c>
      <c r="J725" s="1">
        <v>46025</v>
      </c>
      <c r="K725" s="1">
        <v>46027</v>
      </c>
      <c r="L725">
        <v>33</v>
      </c>
      <c r="M725">
        <v>5.48</v>
      </c>
      <c r="N725">
        <v>5.48</v>
      </c>
      <c r="O725">
        <v>0</v>
      </c>
      <c r="P725">
        <v>0</v>
      </c>
      <c r="Q725" t="s">
        <v>108</v>
      </c>
    </row>
    <row r="726" spans="1:17">
      <c r="A726" t="s">
        <v>93</v>
      </c>
      <c r="B726" t="s">
        <v>106</v>
      </c>
      <c r="C726" t="s">
        <v>56</v>
      </c>
      <c r="D726" t="s">
        <v>509</v>
      </c>
      <c r="E726">
        <v>12</v>
      </c>
      <c r="F726" t="str">
        <f>VLOOKUP(E726,[1]LOJA!$A:$B,2,0)</f>
        <v>SOFNORTE</v>
      </c>
      <c r="G726" t="s">
        <v>19</v>
      </c>
      <c r="H726" t="s">
        <v>19</v>
      </c>
      <c r="I726" s="1">
        <v>46027</v>
      </c>
      <c r="J726" s="1">
        <v>46025</v>
      </c>
      <c r="K726" s="1">
        <v>46027</v>
      </c>
      <c r="L726">
        <v>33</v>
      </c>
      <c r="M726">
        <v>4.13</v>
      </c>
      <c r="N726">
        <v>4.13</v>
      </c>
      <c r="O726">
        <v>0</v>
      </c>
      <c r="P726">
        <v>0</v>
      </c>
      <c r="Q726" t="s">
        <v>108</v>
      </c>
    </row>
    <row r="727" spans="1:17">
      <c r="A727" t="s">
        <v>93</v>
      </c>
      <c r="B727" t="s">
        <v>106</v>
      </c>
      <c r="C727" t="s">
        <v>56</v>
      </c>
      <c r="D727" t="s">
        <v>510</v>
      </c>
      <c r="E727">
        <v>12</v>
      </c>
      <c r="F727" t="str">
        <f>VLOOKUP(E727,[1]LOJA!$A:$B,2,0)</f>
        <v>SOFNORTE</v>
      </c>
      <c r="G727" t="s">
        <v>19</v>
      </c>
      <c r="H727" t="s">
        <v>19</v>
      </c>
      <c r="I727" s="1">
        <v>46027</v>
      </c>
      <c r="J727" s="1">
        <v>46026</v>
      </c>
      <c r="K727" s="1">
        <v>46027</v>
      </c>
      <c r="L727">
        <v>33</v>
      </c>
      <c r="M727">
        <v>2.79</v>
      </c>
      <c r="N727">
        <v>2.79</v>
      </c>
      <c r="O727">
        <v>0</v>
      </c>
      <c r="P727">
        <v>0</v>
      </c>
      <c r="Q727" t="s">
        <v>108</v>
      </c>
    </row>
    <row r="728" spans="1:17">
      <c r="A728" t="s">
        <v>93</v>
      </c>
      <c r="B728" t="s">
        <v>106</v>
      </c>
      <c r="C728" t="s">
        <v>56</v>
      </c>
      <c r="D728" t="s">
        <v>511</v>
      </c>
      <c r="E728">
        <v>12</v>
      </c>
      <c r="F728" t="str">
        <f>VLOOKUP(E728,[1]LOJA!$A:$B,2,0)</f>
        <v>SOFNORTE</v>
      </c>
      <c r="G728" t="s">
        <v>19</v>
      </c>
      <c r="H728" t="s">
        <v>19</v>
      </c>
      <c r="I728" s="1">
        <v>46027</v>
      </c>
      <c r="J728" s="1">
        <v>46026</v>
      </c>
      <c r="K728" s="1">
        <v>46027</v>
      </c>
      <c r="L728">
        <v>33</v>
      </c>
      <c r="M728">
        <v>1.4</v>
      </c>
      <c r="N728">
        <v>1.4</v>
      </c>
      <c r="O728">
        <v>0</v>
      </c>
      <c r="P728">
        <v>0</v>
      </c>
      <c r="Q728" t="s">
        <v>108</v>
      </c>
    </row>
    <row r="729" spans="1:17">
      <c r="A729" t="s">
        <v>93</v>
      </c>
      <c r="B729" t="s">
        <v>106</v>
      </c>
      <c r="C729" t="s">
        <v>56</v>
      </c>
      <c r="D729" t="s">
        <v>512</v>
      </c>
      <c r="E729">
        <v>12</v>
      </c>
      <c r="F729" t="str">
        <f>VLOOKUP(E729,[1]LOJA!$A:$B,2,0)</f>
        <v>SOFNORTE</v>
      </c>
      <c r="G729" t="s">
        <v>19</v>
      </c>
      <c r="H729" t="s">
        <v>19</v>
      </c>
      <c r="I729" s="1">
        <v>46027</v>
      </c>
      <c r="J729" s="1">
        <v>46027</v>
      </c>
      <c r="K729" s="1">
        <v>46027</v>
      </c>
      <c r="L729">
        <v>33</v>
      </c>
      <c r="M729">
        <v>1.7</v>
      </c>
      <c r="N729">
        <v>1.7</v>
      </c>
      <c r="O729">
        <v>0</v>
      </c>
      <c r="P729">
        <v>0</v>
      </c>
      <c r="Q729" t="s">
        <v>108</v>
      </c>
    </row>
    <row r="730" spans="1:17">
      <c r="A730" t="s">
        <v>93</v>
      </c>
      <c r="B730" t="s">
        <v>106</v>
      </c>
      <c r="C730" t="s">
        <v>56</v>
      </c>
      <c r="D730" t="s">
        <v>513</v>
      </c>
      <c r="E730">
        <v>12</v>
      </c>
      <c r="F730" t="str">
        <f>VLOOKUP(E730,[1]LOJA!$A:$B,2,0)</f>
        <v>SOFNORTE</v>
      </c>
      <c r="G730" t="s">
        <v>19</v>
      </c>
      <c r="H730" t="s">
        <v>19</v>
      </c>
      <c r="I730" s="1">
        <v>46027</v>
      </c>
      <c r="J730" s="1">
        <v>46027</v>
      </c>
      <c r="K730" s="1">
        <v>46027</v>
      </c>
      <c r="L730">
        <v>33</v>
      </c>
      <c r="M730">
        <v>12.25</v>
      </c>
      <c r="N730">
        <v>12.25</v>
      </c>
      <c r="O730">
        <v>0</v>
      </c>
      <c r="P730">
        <v>0</v>
      </c>
      <c r="Q730" t="s">
        <v>108</v>
      </c>
    </row>
    <row r="731" spans="1:17">
      <c r="A731" t="s">
        <v>93</v>
      </c>
      <c r="B731" t="s">
        <v>106</v>
      </c>
      <c r="C731" t="s">
        <v>56</v>
      </c>
      <c r="D731" t="s">
        <v>514</v>
      </c>
      <c r="E731">
        <v>12</v>
      </c>
      <c r="F731" t="str">
        <f>VLOOKUP(E731,[1]LOJA!$A:$B,2,0)</f>
        <v>SOFNORTE</v>
      </c>
      <c r="G731" t="s">
        <v>19</v>
      </c>
      <c r="H731" t="s">
        <v>19</v>
      </c>
      <c r="I731" s="1">
        <v>46027</v>
      </c>
      <c r="J731" s="1">
        <v>46027</v>
      </c>
      <c r="K731" s="1">
        <v>46027</v>
      </c>
      <c r="L731">
        <v>33</v>
      </c>
      <c r="M731">
        <v>0.7</v>
      </c>
      <c r="N731">
        <v>0.7</v>
      </c>
      <c r="O731">
        <v>0</v>
      </c>
      <c r="P731">
        <v>0</v>
      </c>
      <c r="Q731" t="s">
        <v>108</v>
      </c>
    </row>
    <row r="732" spans="1:17">
      <c r="A732" t="s">
        <v>93</v>
      </c>
      <c r="B732" t="s">
        <v>106</v>
      </c>
      <c r="C732" t="s">
        <v>56</v>
      </c>
      <c r="D732" t="s">
        <v>515</v>
      </c>
      <c r="E732">
        <v>12</v>
      </c>
      <c r="F732" t="str">
        <f>VLOOKUP(E732,[1]LOJA!$A:$B,2,0)</f>
        <v>SOFNORTE</v>
      </c>
      <c r="G732" t="s">
        <v>19</v>
      </c>
      <c r="H732" t="s">
        <v>19</v>
      </c>
      <c r="I732" s="1">
        <v>46027</v>
      </c>
      <c r="J732" s="1">
        <v>46027</v>
      </c>
      <c r="K732" s="1">
        <v>46027</v>
      </c>
      <c r="L732">
        <v>33</v>
      </c>
      <c r="M732">
        <v>5.69</v>
      </c>
      <c r="N732">
        <v>5.69</v>
      </c>
      <c r="O732">
        <v>0</v>
      </c>
      <c r="P732">
        <v>0</v>
      </c>
      <c r="Q732" t="s">
        <v>108</v>
      </c>
    </row>
    <row r="733" spans="1:17">
      <c r="A733" t="s">
        <v>93</v>
      </c>
      <c r="B733" t="s">
        <v>106</v>
      </c>
      <c r="C733" t="s">
        <v>56</v>
      </c>
      <c r="D733" t="s">
        <v>516</v>
      </c>
      <c r="E733">
        <v>12</v>
      </c>
      <c r="F733" t="str">
        <f>VLOOKUP(E733,[1]LOJA!$A:$B,2,0)</f>
        <v>SOFNORTE</v>
      </c>
      <c r="G733" t="s">
        <v>19</v>
      </c>
      <c r="H733" t="s">
        <v>19</v>
      </c>
      <c r="I733" s="1">
        <v>46027</v>
      </c>
      <c r="J733" s="1">
        <v>46027</v>
      </c>
      <c r="K733" s="1">
        <v>46027</v>
      </c>
      <c r="L733">
        <v>33</v>
      </c>
      <c r="M733">
        <v>4.3899999999999997</v>
      </c>
      <c r="N733">
        <v>4.3899999999999997</v>
      </c>
      <c r="O733">
        <v>0</v>
      </c>
      <c r="P733">
        <v>0</v>
      </c>
      <c r="Q733" t="s">
        <v>108</v>
      </c>
    </row>
    <row r="734" spans="1:17">
      <c r="A734" t="s">
        <v>93</v>
      </c>
      <c r="B734" t="s">
        <v>106</v>
      </c>
      <c r="C734" t="s">
        <v>56</v>
      </c>
      <c r="D734" t="s">
        <v>517</v>
      </c>
      <c r="E734">
        <v>12</v>
      </c>
      <c r="F734" t="str">
        <f>VLOOKUP(E734,[1]LOJA!$A:$B,2,0)</f>
        <v>SOFNORTE</v>
      </c>
      <c r="G734" t="s">
        <v>19</v>
      </c>
      <c r="H734" t="s">
        <v>19</v>
      </c>
      <c r="I734" s="1">
        <v>46027</v>
      </c>
      <c r="J734" s="1">
        <v>46027</v>
      </c>
      <c r="K734" s="1">
        <v>46027</v>
      </c>
      <c r="L734">
        <v>33</v>
      </c>
      <c r="M734">
        <v>0.56000000000000005</v>
      </c>
      <c r="N734">
        <v>0.56000000000000005</v>
      </c>
      <c r="O734">
        <v>0</v>
      </c>
      <c r="P734">
        <v>0</v>
      </c>
      <c r="Q734" t="s">
        <v>108</v>
      </c>
    </row>
    <row r="735" spans="1:17">
      <c r="A735" t="s">
        <v>93</v>
      </c>
      <c r="B735" t="s">
        <v>106</v>
      </c>
      <c r="C735" t="s">
        <v>56</v>
      </c>
      <c r="D735" t="s">
        <v>518</v>
      </c>
      <c r="E735">
        <v>12</v>
      </c>
      <c r="F735" t="str">
        <f>VLOOKUP(E735,[1]LOJA!$A:$B,2,0)</f>
        <v>SOFNORTE</v>
      </c>
      <c r="G735" t="s">
        <v>19</v>
      </c>
      <c r="H735" t="s">
        <v>19</v>
      </c>
      <c r="I735" s="1">
        <v>46027</v>
      </c>
      <c r="J735" s="1">
        <v>46027</v>
      </c>
      <c r="K735" s="1">
        <v>46027</v>
      </c>
      <c r="L735">
        <v>33</v>
      </c>
      <c r="M735">
        <v>0.35</v>
      </c>
      <c r="N735">
        <v>0.35</v>
      </c>
      <c r="O735">
        <v>0</v>
      </c>
      <c r="P735">
        <v>0</v>
      </c>
      <c r="Q735" t="s">
        <v>108</v>
      </c>
    </row>
    <row r="736" spans="1:17">
      <c r="A736" t="s">
        <v>93</v>
      </c>
      <c r="B736" t="s">
        <v>106</v>
      </c>
      <c r="C736" t="s">
        <v>56</v>
      </c>
      <c r="D736" t="s">
        <v>519</v>
      </c>
      <c r="E736">
        <v>12</v>
      </c>
      <c r="F736" t="str">
        <f>VLOOKUP(E736,[1]LOJA!$A:$B,2,0)</f>
        <v>SOFNORTE</v>
      </c>
      <c r="G736" t="s">
        <v>19</v>
      </c>
      <c r="H736" t="s">
        <v>19</v>
      </c>
      <c r="I736" s="1">
        <v>46027</v>
      </c>
      <c r="J736" s="1">
        <v>46025</v>
      </c>
      <c r="K736" s="1">
        <v>46027</v>
      </c>
      <c r="L736">
        <v>33</v>
      </c>
      <c r="M736">
        <v>0.15</v>
      </c>
      <c r="N736">
        <v>0.15</v>
      </c>
      <c r="O736">
        <v>0</v>
      </c>
      <c r="P736">
        <v>0</v>
      </c>
      <c r="Q736" t="s">
        <v>108</v>
      </c>
    </row>
    <row r="737" spans="1:17">
      <c r="A737" t="s">
        <v>93</v>
      </c>
      <c r="B737" t="s">
        <v>106</v>
      </c>
      <c r="C737" t="s">
        <v>56</v>
      </c>
      <c r="D737" t="s">
        <v>520</v>
      </c>
      <c r="E737">
        <v>12</v>
      </c>
      <c r="F737" t="str">
        <f>VLOOKUP(E737,[1]LOJA!$A:$B,2,0)</f>
        <v>SOFNORTE</v>
      </c>
      <c r="G737" t="s">
        <v>19</v>
      </c>
      <c r="H737" t="s">
        <v>19</v>
      </c>
      <c r="I737" s="1">
        <v>46027</v>
      </c>
      <c r="J737" s="1">
        <v>46025</v>
      </c>
      <c r="K737" s="1">
        <v>46027</v>
      </c>
      <c r="L737">
        <v>33</v>
      </c>
      <c r="M737">
        <v>1.19</v>
      </c>
      <c r="N737">
        <v>1.19</v>
      </c>
      <c r="O737">
        <v>0</v>
      </c>
      <c r="P737">
        <v>0</v>
      </c>
      <c r="Q737" t="s">
        <v>108</v>
      </c>
    </row>
    <row r="738" spans="1:17">
      <c r="A738" t="s">
        <v>93</v>
      </c>
      <c r="B738" t="s">
        <v>106</v>
      </c>
      <c r="C738" t="s">
        <v>56</v>
      </c>
      <c r="D738" t="s">
        <v>521</v>
      </c>
      <c r="E738">
        <v>12</v>
      </c>
      <c r="F738" t="str">
        <f>VLOOKUP(E738,[1]LOJA!$A:$B,2,0)</f>
        <v>SOFNORTE</v>
      </c>
      <c r="G738" t="s">
        <v>19</v>
      </c>
      <c r="H738" t="s">
        <v>19</v>
      </c>
      <c r="I738" s="1">
        <v>46027</v>
      </c>
      <c r="J738" s="1">
        <v>46025</v>
      </c>
      <c r="K738" s="1">
        <v>46027</v>
      </c>
      <c r="L738">
        <v>33</v>
      </c>
      <c r="M738">
        <v>0.94</v>
      </c>
      <c r="N738">
        <v>0.94</v>
      </c>
      <c r="O738">
        <v>0</v>
      </c>
      <c r="P738">
        <v>0</v>
      </c>
      <c r="Q738" t="s">
        <v>108</v>
      </c>
    </row>
    <row r="739" spans="1:17">
      <c r="A739" t="s">
        <v>93</v>
      </c>
      <c r="B739" t="s">
        <v>106</v>
      </c>
      <c r="C739" t="s">
        <v>56</v>
      </c>
      <c r="D739" t="s">
        <v>522</v>
      </c>
      <c r="E739">
        <v>12</v>
      </c>
      <c r="F739" t="str">
        <f>VLOOKUP(E739,[1]LOJA!$A:$B,2,0)</f>
        <v>SOFNORTE</v>
      </c>
      <c r="G739" t="s">
        <v>19</v>
      </c>
      <c r="H739" t="s">
        <v>19</v>
      </c>
      <c r="I739" s="1">
        <v>46027</v>
      </c>
      <c r="J739" s="1">
        <v>46025</v>
      </c>
      <c r="K739" s="1">
        <v>46027</v>
      </c>
      <c r="L739">
        <v>33</v>
      </c>
      <c r="M739">
        <v>0.12</v>
      </c>
      <c r="N739">
        <v>0.12</v>
      </c>
      <c r="O739">
        <v>0</v>
      </c>
      <c r="P739">
        <v>0</v>
      </c>
      <c r="Q739" t="s">
        <v>108</v>
      </c>
    </row>
    <row r="740" spans="1:17">
      <c r="A740" t="s">
        <v>93</v>
      </c>
      <c r="B740" t="s">
        <v>106</v>
      </c>
      <c r="C740" t="s">
        <v>56</v>
      </c>
      <c r="D740" t="s">
        <v>523</v>
      </c>
      <c r="E740">
        <v>12</v>
      </c>
      <c r="F740" t="str">
        <f>VLOOKUP(E740,[1]LOJA!$A:$B,2,0)</f>
        <v>SOFNORTE</v>
      </c>
      <c r="G740" t="s">
        <v>19</v>
      </c>
      <c r="H740" t="s">
        <v>19</v>
      </c>
      <c r="I740" s="1">
        <v>46027</v>
      </c>
      <c r="J740" s="1">
        <v>46025</v>
      </c>
      <c r="K740" s="1">
        <v>46027</v>
      </c>
      <c r="L740">
        <v>33</v>
      </c>
      <c r="M740">
        <v>0.24</v>
      </c>
      <c r="N740">
        <v>0.24</v>
      </c>
      <c r="O740">
        <v>0</v>
      </c>
      <c r="P740">
        <v>0</v>
      </c>
      <c r="Q740" t="s">
        <v>108</v>
      </c>
    </row>
    <row r="741" spans="1:17">
      <c r="A741" t="s">
        <v>93</v>
      </c>
      <c r="B741" t="s">
        <v>106</v>
      </c>
      <c r="C741" t="s">
        <v>56</v>
      </c>
      <c r="D741" t="s">
        <v>524</v>
      </c>
      <c r="E741">
        <v>12</v>
      </c>
      <c r="F741" t="str">
        <f>VLOOKUP(E741,[1]LOJA!$A:$B,2,0)</f>
        <v>SOFNORTE</v>
      </c>
      <c r="G741" t="s">
        <v>19</v>
      </c>
      <c r="H741" t="s">
        <v>19</v>
      </c>
      <c r="I741" s="1">
        <v>46027</v>
      </c>
      <c r="J741" s="1">
        <v>46025</v>
      </c>
      <c r="K741" s="1">
        <v>46027</v>
      </c>
      <c r="L741">
        <v>33</v>
      </c>
      <c r="M741">
        <v>0.48</v>
      </c>
      <c r="N741">
        <v>0.48</v>
      </c>
      <c r="O741">
        <v>0</v>
      </c>
      <c r="P741">
        <v>0</v>
      </c>
      <c r="Q741" t="s">
        <v>108</v>
      </c>
    </row>
    <row r="742" spans="1:17">
      <c r="A742" t="s">
        <v>93</v>
      </c>
      <c r="B742" t="s">
        <v>106</v>
      </c>
      <c r="C742" t="s">
        <v>56</v>
      </c>
      <c r="D742" t="s">
        <v>525</v>
      </c>
      <c r="E742">
        <v>12</v>
      </c>
      <c r="F742" t="str">
        <f>VLOOKUP(E742,[1]LOJA!$A:$B,2,0)</f>
        <v>SOFNORTE</v>
      </c>
      <c r="G742" t="s">
        <v>19</v>
      </c>
      <c r="H742" t="s">
        <v>19</v>
      </c>
      <c r="I742" s="1">
        <v>46027</v>
      </c>
      <c r="J742" s="1">
        <v>46025</v>
      </c>
      <c r="K742" s="1">
        <v>46027</v>
      </c>
      <c r="L742">
        <v>33</v>
      </c>
      <c r="M742">
        <v>1.03</v>
      </c>
      <c r="N742">
        <v>1.03</v>
      </c>
      <c r="O742">
        <v>0</v>
      </c>
      <c r="P742">
        <v>0</v>
      </c>
      <c r="Q742" t="s">
        <v>108</v>
      </c>
    </row>
    <row r="743" spans="1:17">
      <c r="A743" t="s">
        <v>93</v>
      </c>
      <c r="B743" t="s">
        <v>106</v>
      </c>
      <c r="C743" t="s">
        <v>56</v>
      </c>
      <c r="D743" t="s">
        <v>526</v>
      </c>
      <c r="E743">
        <v>12</v>
      </c>
      <c r="F743" t="str">
        <f>VLOOKUP(E743,[1]LOJA!$A:$B,2,0)</f>
        <v>SOFNORTE</v>
      </c>
      <c r="G743" t="s">
        <v>19</v>
      </c>
      <c r="H743" t="s">
        <v>19</v>
      </c>
      <c r="I743" s="1">
        <v>46027</v>
      </c>
      <c r="J743" s="1">
        <v>46025</v>
      </c>
      <c r="K743" s="1">
        <v>46027</v>
      </c>
      <c r="L743">
        <v>33</v>
      </c>
      <c r="M743">
        <v>0.51</v>
      </c>
      <c r="N743">
        <v>0.51</v>
      </c>
      <c r="O743">
        <v>0</v>
      </c>
      <c r="P743">
        <v>0</v>
      </c>
      <c r="Q743" t="s">
        <v>108</v>
      </c>
    </row>
    <row r="744" spans="1:17">
      <c r="A744" t="s">
        <v>93</v>
      </c>
      <c r="B744" t="s">
        <v>106</v>
      </c>
      <c r="C744" t="s">
        <v>56</v>
      </c>
      <c r="D744" t="s">
        <v>527</v>
      </c>
      <c r="E744">
        <v>12</v>
      </c>
      <c r="F744" t="str">
        <f>VLOOKUP(E744,[1]LOJA!$A:$B,2,0)</f>
        <v>SOFNORTE</v>
      </c>
      <c r="G744" t="s">
        <v>19</v>
      </c>
      <c r="H744" t="s">
        <v>19</v>
      </c>
      <c r="I744" s="1">
        <v>46027</v>
      </c>
      <c r="J744" s="1">
        <v>46025</v>
      </c>
      <c r="K744" s="1">
        <v>46027</v>
      </c>
      <c r="L744">
        <v>33</v>
      </c>
      <c r="M744">
        <v>0.49</v>
      </c>
      <c r="N744">
        <v>0.49</v>
      </c>
      <c r="O744">
        <v>0</v>
      </c>
      <c r="P744">
        <v>0</v>
      </c>
      <c r="Q744" t="s">
        <v>108</v>
      </c>
    </row>
    <row r="745" spans="1:17">
      <c r="A745" t="s">
        <v>93</v>
      </c>
      <c r="B745" t="s">
        <v>106</v>
      </c>
      <c r="C745" t="s">
        <v>56</v>
      </c>
      <c r="D745" t="s">
        <v>528</v>
      </c>
      <c r="E745">
        <v>12</v>
      </c>
      <c r="F745" t="str">
        <f>VLOOKUP(E745,[1]LOJA!$A:$B,2,0)</f>
        <v>SOFNORTE</v>
      </c>
      <c r="G745" t="s">
        <v>19</v>
      </c>
      <c r="H745" t="s">
        <v>19</v>
      </c>
      <c r="I745" s="1">
        <v>46027</v>
      </c>
      <c r="J745" s="1">
        <v>46025</v>
      </c>
      <c r="K745" s="1">
        <v>46027</v>
      </c>
      <c r="L745">
        <v>33</v>
      </c>
      <c r="M745">
        <v>0.13</v>
      </c>
      <c r="N745">
        <v>0.13</v>
      </c>
      <c r="O745">
        <v>0</v>
      </c>
      <c r="P745">
        <v>0</v>
      </c>
      <c r="Q745" t="s">
        <v>108</v>
      </c>
    </row>
    <row r="746" spans="1:17">
      <c r="A746" t="s">
        <v>93</v>
      </c>
      <c r="B746" t="s">
        <v>106</v>
      </c>
      <c r="C746" t="s">
        <v>56</v>
      </c>
      <c r="D746" t="s">
        <v>529</v>
      </c>
      <c r="E746">
        <v>12</v>
      </c>
      <c r="F746" t="str">
        <f>VLOOKUP(E746,[1]LOJA!$A:$B,2,0)</f>
        <v>SOFNORTE</v>
      </c>
      <c r="G746" t="s">
        <v>19</v>
      </c>
      <c r="H746" t="s">
        <v>19</v>
      </c>
      <c r="I746" s="1">
        <v>46027</v>
      </c>
      <c r="J746" s="1">
        <v>46025</v>
      </c>
      <c r="K746" s="1">
        <v>46027</v>
      </c>
      <c r="L746">
        <v>33</v>
      </c>
      <c r="M746">
        <v>0.22</v>
      </c>
      <c r="N746">
        <v>0.22</v>
      </c>
      <c r="O746">
        <v>0</v>
      </c>
      <c r="P746">
        <v>0</v>
      </c>
      <c r="Q746" t="s">
        <v>108</v>
      </c>
    </row>
    <row r="747" spans="1:17">
      <c r="A747" t="s">
        <v>93</v>
      </c>
      <c r="B747" t="s">
        <v>106</v>
      </c>
      <c r="C747" t="s">
        <v>56</v>
      </c>
      <c r="D747" t="s">
        <v>530</v>
      </c>
      <c r="E747">
        <v>12</v>
      </c>
      <c r="F747" t="str">
        <f>VLOOKUP(E747,[1]LOJA!$A:$B,2,0)</f>
        <v>SOFNORTE</v>
      </c>
      <c r="G747" t="s">
        <v>19</v>
      </c>
      <c r="H747" t="s">
        <v>19</v>
      </c>
      <c r="I747" s="1">
        <v>46027</v>
      </c>
      <c r="J747" s="1">
        <v>46026</v>
      </c>
      <c r="K747" s="1">
        <v>46027</v>
      </c>
      <c r="L747">
        <v>33</v>
      </c>
      <c r="M747">
        <v>0.24</v>
      </c>
      <c r="N747">
        <v>0.24</v>
      </c>
      <c r="O747">
        <v>0</v>
      </c>
      <c r="P747">
        <v>0</v>
      </c>
      <c r="Q747" t="s">
        <v>108</v>
      </c>
    </row>
    <row r="748" spans="1:17">
      <c r="A748" t="s">
        <v>93</v>
      </c>
      <c r="B748" t="s">
        <v>106</v>
      </c>
      <c r="C748" t="s">
        <v>56</v>
      </c>
      <c r="D748" t="s">
        <v>531</v>
      </c>
      <c r="E748">
        <v>12</v>
      </c>
      <c r="F748" t="str">
        <f>VLOOKUP(E748,[1]LOJA!$A:$B,2,0)</f>
        <v>SOFNORTE</v>
      </c>
      <c r="G748" t="s">
        <v>19</v>
      </c>
      <c r="H748" t="s">
        <v>19</v>
      </c>
      <c r="I748" s="1">
        <v>46028</v>
      </c>
      <c r="J748" s="1">
        <v>46028</v>
      </c>
      <c r="K748" s="1">
        <v>46028</v>
      </c>
      <c r="L748">
        <v>33</v>
      </c>
      <c r="M748">
        <v>6.57</v>
      </c>
      <c r="N748">
        <v>6.57</v>
      </c>
      <c r="O748">
        <v>0</v>
      </c>
      <c r="P748">
        <v>0</v>
      </c>
      <c r="Q748" t="s">
        <v>108</v>
      </c>
    </row>
    <row r="749" spans="1:17">
      <c r="A749" t="s">
        <v>93</v>
      </c>
      <c r="B749" t="s">
        <v>106</v>
      </c>
      <c r="C749" t="s">
        <v>56</v>
      </c>
      <c r="D749" t="s">
        <v>532</v>
      </c>
      <c r="E749">
        <v>12</v>
      </c>
      <c r="F749" t="str">
        <f>VLOOKUP(E749,[1]LOJA!$A:$B,2,0)</f>
        <v>SOFNORTE</v>
      </c>
      <c r="G749" t="s">
        <v>19</v>
      </c>
      <c r="H749" t="s">
        <v>19</v>
      </c>
      <c r="I749" s="1">
        <v>46028</v>
      </c>
      <c r="J749" s="1">
        <v>46028</v>
      </c>
      <c r="K749" s="1">
        <v>46028</v>
      </c>
      <c r="L749">
        <v>33</v>
      </c>
      <c r="M749">
        <v>7.29</v>
      </c>
      <c r="N749">
        <v>7.29</v>
      </c>
      <c r="O749">
        <v>0</v>
      </c>
      <c r="P749">
        <v>0</v>
      </c>
      <c r="Q749" t="s">
        <v>108</v>
      </c>
    </row>
    <row r="750" spans="1:17">
      <c r="A750" t="s">
        <v>93</v>
      </c>
      <c r="B750" t="s">
        <v>106</v>
      </c>
      <c r="C750" t="s">
        <v>56</v>
      </c>
      <c r="D750" t="s">
        <v>533</v>
      </c>
      <c r="E750">
        <v>12</v>
      </c>
      <c r="F750" t="str">
        <f>VLOOKUP(E750,[1]LOJA!$A:$B,2,0)</f>
        <v>SOFNORTE</v>
      </c>
      <c r="G750" t="s">
        <v>19</v>
      </c>
      <c r="H750" t="s">
        <v>19</v>
      </c>
      <c r="I750" s="1">
        <v>46028</v>
      </c>
      <c r="J750" s="1">
        <v>46028</v>
      </c>
      <c r="K750" s="1">
        <v>46028</v>
      </c>
      <c r="L750">
        <v>33</v>
      </c>
      <c r="M750">
        <v>9.91</v>
      </c>
      <c r="N750">
        <v>9.91</v>
      </c>
      <c r="O750">
        <v>0</v>
      </c>
      <c r="P750">
        <v>0</v>
      </c>
      <c r="Q750" t="s">
        <v>108</v>
      </c>
    </row>
    <row r="751" spans="1:17">
      <c r="A751" t="s">
        <v>93</v>
      </c>
      <c r="B751" t="s">
        <v>106</v>
      </c>
      <c r="C751" t="s">
        <v>56</v>
      </c>
      <c r="D751" t="s">
        <v>534</v>
      </c>
      <c r="E751">
        <v>12</v>
      </c>
      <c r="F751" t="str">
        <f>VLOOKUP(E751,[1]LOJA!$A:$B,2,0)</f>
        <v>SOFNORTE</v>
      </c>
      <c r="G751" t="s">
        <v>19</v>
      </c>
      <c r="H751" t="s">
        <v>19</v>
      </c>
      <c r="I751" s="1">
        <v>46028</v>
      </c>
      <c r="J751" s="1">
        <v>46028</v>
      </c>
      <c r="K751" s="1">
        <v>46028</v>
      </c>
      <c r="L751">
        <v>33</v>
      </c>
      <c r="M751">
        <v>2.54</v>
      </c>
      <c r="N751">
        <v>2.54</v>
      </c>
      <c r="O751">
        <v>0</v>
      </c>
      <c r="P751">
        <v>0</v>
      </c>
      <c r="Q751" t="s">
        <v>108</v>
      </c>
    </row>
    <row r="752" spans="1:17">
      <c r="A752" t="s">
        <v>93</v>
      </c>
      <c r="B752" t="s">
        <v>106</v>
      </c>
      <c r="C752" t="s">
        <v>56</v>
      </c>
      <c r="D752" t="s">
        <v>535</v>
      </c>
      <c r="E752">
        <v>12</v>
      </c>
      <c r="F752" t="str">
        <f>VLOOKUP(E752,[1]LOJA!$A:$B,2,0)</f>
        <v>SOFNORTE</v>
      </c>
      <c r="G752" t="s">
        <v>19</v>
      </c>
      <c r="H752" t="s">
        <v>19</v>
      </c>
      <c r="I752" s="1">
        <v>46028</v>
      </c>
      <c r="J752" s="1">
        <v>46028</v>
      </c>
      <c r="K752" s="1">
        <v>46028</v>
      </c>
      <c r="L752">
        <v>33</v>
      </c>
      <c r="M752">
        <v>8.43</v>
      </c>
      <c r="N752">
        <v>8.43</v>
      </c>
      <c r="O752">
        <v>0</v>
      </c>
      <c r="P752">
        <v>0</v>
      </c>
      <c r="Q752" t="s">
        <v>108</v>
      </c>
    </row>
    <row r="753" spans="1:17">
      <c r="A753" t="s">
        <v>93</v>
      </c>
      <c r="B753" t="s">
        <v>106</v>
      </c>
      <c r="C753" t="s">
        <v>56</v>
      </c>
      <c r="D753" t="s">
        <v>536</v>
      </c>
      <c r="E753">
        <v>12</v>
      </c>
      <c r="F753" t="str">
        <f>VLOOKUP(E753,[1]LOJA!$A:$B,2,0)</f>
        <v>SOFNORTE</v>
      </c>
      <c r="G753" t="s">
        <v>19</v>
      </c>
      <c r="H753" t="s">
        <v>19</v>
      </c>
      <c r="I753" s="1">
        <v>46028</v>
      </c>
      <c r="J753" s="1">
        <v>46028</v>
      </c>
      <c r="K753" s="1">
        <v>46028</v>
      </c>
      <c r="L753">
        <v>33</v>
      </c>
      <c r="M753">
        <v>0.02</v>
      </c>
      <c r="N753">
        <v>0.02</v>
      </c>
      <c r="O753">
        <v>0</v>
      </c>
      <c r="P753">
        <v>0</v>
      </c>
      <c r="Q753" t="s">
        <v>108</v>
      </c>
    </row>
    <row r="754" spans="1:17">
      <c r="A754" t="s">
        <v>93</v>
      </c>
      <c r="B754" t="s">
        <v>106</v>
      </c>
      <c r="C754" t="s">
        <v>56</v>
      </c>
      <c r="D754" t="s">
        <v>537</v>
      </c>
      <c r="E754">
        <v>12</v>
      </c>
      <c r="F754" t="str">
        <f>VLOOKUP(E754,[1]LOJA!$A:$B,2,0)</f>
        <v>SOFNORTE</v>
      </c>
      <c r="G754" t="s">
        <v>19</v>
      </c>
      <c r="H754" t="s">
        <v>19</v>
      </c>
      <c r="I754" s="1">
        <v>46028</v>
      </c>
      <c r="J754" s="1">
        <v>46028</v>
      </c>
      <c r="K754" s="1">
        <v>46028</v>
      </c>
      <c r="L754">
        <v>33</v>
      </c>
      <c r="M754">
        <v>0.47</v>
      </c>
      <c r="N754">
        <v>0.47</v>
      </c>
      <c r="O754">
        <v>0</v>
      </c>
      <c r="P754">
        <v>0</v>
      </c>
      <c r="Q754" t="s">
        <v>108</v>
      </c>
    </row>
    <row r="755" spans="1:17">
      <c r="A755" t="s">
        <v>93</v>
      </c>
      <c r="B755" t="s">
        <v>106</v>
      </c>
      <c r="C755" t="s">
        <v>56</v>
      </c>
      <c r="D755" t="s">
        <v>538</v>
      </c>
      <c r="E755">
        <v>12</v>
      </c>
      <c r="F755" t="str">
        <f>VLOOKUP(E755,[1]LOJA!$A:$B,2,0)</f>
        <v>SOFNORTE</v>
      </c>
      <c r="G755" t="s">
        <v>19</v>
      </c>
      <c r="H755" t="s">
        <v>19</v>
      </c>
      <c r="I755" s="1">
        <v>46028</v>
      </c>
      <c r="J755" s="1">
        <v>46028</v>
      </c>
      <c r="K755" s="1">
        <v>46028</v>
      </c>
      <c r="L755">
        <v>33</v>
      </c>
      <c r="M755">
        <v>0.56999999999999995</v>
      </c>
      <c r="N755">
        <v>0.56999999999999995</v>
      </c>
      <c r="O755">
        <v>0</v>
      </c>
      <c r="P755">
        <v>0</v>
      </c>
      <c r="Q755" t="s">
        <v>108</v>
      </c>
    </row>
    <row r="756" spans="1:17">
      <c r="A756" t="s">
        <v>93</v>
      </c>
      <c r="B756" t="s">
        <v>106</v>
      </c>
      <c r="C756" t="s">
        <v>56</v>
      </c>
      <c r="D756" t="s">
        <v>539</v>
      </c>
      <c r="E756">
        <v>12</v>
      </c>
      <c r="F756" t="str">
        <f>VLOOKUP(E756,[1]LOJA!$A:$B,2,0)</f>
        <v>SOFNORTE</v>
      </c>
      <c r="G756" t="s">
        <v>19</v>
      </c>
      <c r="H756" t="s">
        <v>19</v>
      </c>
      <c r="I756" s="1">
        <v>46029</v>
      </c>
      <c r="J756" s="1">
        <v>46029</v>
      </c>
      <c r="K756" s="1">
        <v>46029</v>
      </c>
      <c r="L756">
        <v>33</v>
      </c>
      <c r="M756">
        <v>8.76</v>
      </c>
      <c r="N756">
        <v>8.76</v>
      </c>
      <c r="O756">
        <v>0</v>
      </c>
      <c r="P756">
        <v>0</v>
      </c>
      <c r="Q756" t="s">
        <v>108</v>
      </c>
    </row>
    <row r="757" spans="1:17">
      <c r="A757" t="s">
        <v>93</v>
      </c>
      <c r="B757" t="s">
        <v>106</v>
      </c>
      <c r="C757" t="s">
        <v>56</v>
      </c>
      <c r="D757" t="s">
        <v>540</v>
      </c>
      <c r="E757">
        <v>12</v>
      </c>
      <c r="F757" t="str">
        <f>VLOOKUP(E757,[1]LOJA!$A:$B,2,0)</f>
        <v>SOFNORTE</v>
      </c>
      <c r="G757" t="s">
        <v>19</v>
      </c>
      <c r="H757" t="s">
        <v>19</v>
      </c>
      <c r="I757" s="1">
        <v>46029</v>
      </c>
      <c r="J757" s="1">
        <v>46029</v>
      </c>
      <c r="K757" s="1">
        <v>46029</v>
      </c>
      <c r="L757">
        <v>33</v>
      </c>
      <c r="M757">
        <v>8.11</v>
      </c>
      <c r="N757">
        <v>8.11</v>
      </c>
      <c r="O757">
        <v>0</v>
      </c>
      <c r="P757">
        <v>0</v>
      </c>
      <c r="Q757" t="s">
        <v>108</v>
      </c>
    </row>
    <row r="758" spans="1:17">
      <c r="A758" t="s">
        <v>93</v>
      </c>
      <c r="B758" t="s">
        <v>106</v>
      </c>
      <c r="C758" t="s">
        <v>56</v>
      </c>
      <c r="D758" t="s">
        <v>541</v>
      </c>
      <c r="E758">
        <v>12</v>
      </c>
      <c r="F758" t="str">
        <f>VLOOKUP(E758,[1]LOJA!$A:$B,2,0)</f>
        <v>SOFNORTE</v>
      </c>
      <c r="G758" t="s">
        <v>19</v>
      </c>
      <c r="H758" t="s">
        <v>19</v>
      </c>
      <c r="I758" s="1">
        <v>46029</v>
      </c>
      <c r="J758" s="1">
        <v>46029</v>
      </c>
      <c r="K758" s="1">
        <v>46029</v>
      </c>
      <c r="L758">
        <v>33</v>
      </c>
      <c r="M758">
        <v>5.8</v>
      </c>
      <c r="N758">
        <v>5.8</v>
      </c>
      <c r="O758">
        <v>0</v>
      </c>
      <c r="P758">
        <v>0</v>
      </c>
      <c r="Q758" t="s">
        <v>108</v>
      </c>
    </row>
    <row r="759" spans="1:17">
      <c r="A759" t="s">
        <v>93</v>
      </c>
      <c r="B759" t="s">
        <v>106</v>
      </c>
      <c r="C759" t="s">
        <v>56</v>
      </c>
      <c r="D759" t="s">
        <v>542</v>
      </c>
      <c r="E759">
        <v>12</v>
      </c>
      <c r="F759" t="str">
        <f>VLOOKUP(E759,[1]LOJA!$A:$B,2,0)</f>
        <v>SOFNORTE</v>
      </c>
      <c r="G759" t="s">
        <v>19</v>
      </c>
      <c r="H759" t="s">
        <v>19</v>
      </c>
      <c r="I759" s="1">
        <v>46029</v>
      </c>
      <c r="J759" s="1">
        <v>46029</v>
      </c>
      <c r="K759" s="1">
        <v>46029</v>
      </c>
      <c r="L759">
        <v>33</v>
      </c>
      <c r="M759">
        <v>6.1</v>
      </c>
      <c r="N759">
        <v>6.1</v>
      </c>
      <c r="O759">
        <v>0</v>
      </c>
      <c r="P759">
        <v>0</v>
      </c>
      <c r="Q759" t="s">
        <v>108</v>
      </c>
    </row>
    <row r="760" spans="1:17">
      <c r="A760" t="s">
        <v>93</v>
      </c>
      <c r="B760" t="s">
        <v>106</v>
      </c>
      <c r="C760" t="s">
        <v>56</v>
      </c>
      <c r="D760" t="s">
        <v>543</v>
      </c>
      <c r="E760">
        <v>12</v>
      </c>
      <c r="F760" t="str">
        <f>VLOOKUP(E760,[1]LOJA!$A:$B,2,0)</f>
        <v>SOFNORTE</v>
      </c>
      <c r="G760" t="s">
        <v>19</v>
      </c>
      <c r="H760" t="s">
        <v>19</v>
      </c>
      <c r="I760" s="1">
        <v>46029</v>
      </c>
      <c r="J760" s="1">
        <v>46029</v>
      </c>
      <c r="K760" s="1">
        <v>46029</v>
      </c>
      <c r="L760">
        <v>33</v>
      </c>
      <c r="M760">
        <v>4.62</v>
      </c>
      <c r="N760">
        <v>4.62</v>
      </c>
      <c r="O760">
        <v>0</v>
      </c>
      <c r="P760">
        <v>0</v>
      </c>
      <c r="Q760" t="s">
        <v>108</v>
      </c>
    </row>
    <row r="761" spans="1:17">
      <c r="A761" t="s">
        <v>93</v>
      </c>
      <c r="B761" t="s">
        <v>106</v>
      </c>
      <c r="C761" t="s">
        <v>56</v>
      </c>
      <c r="D761" t="s">
        <v>544</v>
      </c>
      <c r="E761">
        <v>12</v>
      </c>
      <c r="F761" t="str">
        <f>VLOOKUP(E761,[1]LOJA!$A:$B,2,0)</f>
        <v>SOFNORTE</v>
      </c>
      <c r="G761" t="s">
        <v>19</v>
      </c>
      <c r="H761" t="s">
        <v>19</v>
      </c>
      <c r="I761" s="1">
        <v>46029</v>
      </c>
      <c r="J761" s="1">
        <v>46029</v>
      </c>
      <c r="K761" s="1">
        <v>46029</v>
      </c>
      <c r="L761">
        <v>33</v>
      </c>
      <c r="M761">
        <v>0.6</v>
      </c>
      <c r="N761">
        <v>0.6</v>
      </c>
      <c r="O761">
        <v>0</v>
      </c>
      <c r="P761">
        <v>0</v>
      </c>
      <c r="Q761" t="s">
        <v>108</v>
      </c>
    </row>
    <row r="762" spans="1:17">
      <c r="A762" t="s">
        <v>93</v>
      </c>
      <c r="B762" t="s">
        <v>106</v>
      </c>
      <c r="C762" t="s">
        <v>56</v>
      </c>
      <c r="D762" t="s">
        <v>545</v>
      </c>
      <c r="E762">
        <v>12</v>
      </c>
      <c r="F762" t="str">
        <f>VLOOKUP(E762,[1]LOJA!$A:$B,2,0)</f>
        <v>SOFNORTE</v>
      </c>
      <c r="G762" t="s">
        <v>19</v>
      </c>
      <c r="H762" t="s">
        <v>19</v>
      </c>
      <c r="I762" s="1">
        <v>46029</v>
      </c>
      <c r="J762" s="1">
        <v>46029</v>
      </c>
      <c r="K762" s="1">
        <v>46029</v>
      </c>
      <c r="L762">
        <v>33</v>
      </c>
      <c r="M762">
        <v>2.2599999999999998</v>
      </c>
      <c r="N762">
        <v>2.2599999999999998</v>
      </c>
      <c r="O762">
        <v>0</v>
      </c>
      <c r="P762">
        <v>0</v>
      </c>
      <c r="Q762" t="s">
        <v>108</v>
      </c>
    </row>
    <row r="763" spans="1:17">
      <c r="A763" t="s">
        <v>93</v>
      </c>
      <c r="B763" t="s">
        <v>106</v>
      </c>
      <c r="C763" t="s">
        <v>56</v>
      </c>
      <c r="D763" t="s">
        <v>546</v>
      </c>
      <c r="E763">
        <v>12</v>
      </c>
      <c r="F763" t="str">
        <f>VLOOKUP(E763,[1]LOJA!$A:$B,2,0)</f>
        <v>SOFNORTE</v>
      </c>
      <c r="G763" t="s">
        <v>19</v>
      </c>
      <c r="H763" t="s">
        <v>19</v>
      </c>
      <c r="I763" s="1">
        <v>46029</v>
      </c>
      <c r="J763" s="1">
        <v>46029</v>
      </c>
      <c r="K763" s="1">
        <v>46029</v>
      </c>
      <c r="L763">
        <v>33</v>
      </c>
      <c r="M763">
        <v>1.23</v>
      </c>
      <c r="N763">
        <v>1.23</v>
      </c>
      <c r="O763">
        <v>0</v>
      </c>
      <c r="P763">
        <v>0</v>
      </c>
      <c r="Q763" t="s">
        <v>108</v>
      </c>
    </row>
    <row r="764" spans="1:17">
      <c r="A764" t="s">
        <v>93</v>
      </c>
      <c r="B764" t="s">
        <v>106</v>
      </c>
      <c r="C764" t="s">
        <v>56</v>
      </c>
      <c r="D764" t="s">
        <v>547</v>
      </c>
      <c r="E764">
        <v>12</v>
      </c>
      <c r="F764" t="str">
        <f>VLOOKUP(E764,[1]LOJA!$A:$B,2,0)</f>
        <v>SOFNORTE</v>
      </c>
      <c r="G764" t="s">
        <v>19</v>
      </c>
      <c r="H764" t="s">
        <v>19</v>
      </c>
      <c r="I764" s="1">
        <v>46029</v>
      </c>
      <c r="J764" s="1">
        <v>46029</v>
      </c>
      <c r="K764" s="1">
        <v>46029</v>
      </c>
      <c r="L764">
        <v>33</v>
      </c>
      <c r="M764">
        <v>1.62</v>
      </c>
      <c r="N764">
        <v>1.62</v>
      </c>
      <c r="O764">
        <v>0</v>
      </c>
      <c r="P764">
        <v>0</v>
      </c>
      <c r="Q764" t="s">
        <v>108</v>
      </c>
    </row>
    <row r="765" spans="1:17">
      <c r="A765" t="s">
        <v>93</v>
      </c>
      <c r="B765" t="s">
        <v>106</v>
      </c>
      <c r="C765" t="s">
        <v>56</v>
      </c>
      <c r="D765" t="s">
        <v>548</v>
      </c>
      <c r="E765">
        <v>12</v>
      </c>
      <c r="F765" t="str">
        <f>VLOOKUP(E765,[1]LOJA!$A:$B,2,0)</f>
        <v>SOFNORTE</v>
      </c>
      <c r="G765" t="s">
        <v>19</v>
      </c>
      <c r="H765" t="s">
        <v>19</v>
      </c>
      <c r="I765" s="1">
        <v>46029</v>
      </c>
      <c r="J765" s="1">
        <v>46029</v>
      </c>
      <c r="K765" s="1">
        <v>46029</v>
      </c>
      <c r="L765">
        <v>33</v>
      </c>
      <c r="M765">
        <v>0.23</v>
      </c>
      <c r="N765">
        <v>0.23</v>
      </c>
      <c r="O765">
        <v>0</v>
      </c>
      <c r="P765">
        <v>0</v>
      </c>
      <c r="Q765" t="s">
        <v>108</v>
      </c>
    </row>
    <row r="766" spans="1:17">
      <c r="A766" t="s">
        <v>93</v>
      </c>
      <c r="B766" t="s">
        <v>106</v>
      </c>
      <c r="C766" t="s">
        <v>56</v>
      </c>
      <c r="D766" t="s">
        <v>549</v>
      </c>
      <c r="E766">
        <v>12</v>
      </c>
      <c r="F766" t="str">
        <f>VLOOKUP(E766,[1]LOJA!$A:$B,2,0)</f>
        <v>SOFNORTE</v>
      </c>
      <c r="G766" t="s">
        <v>19</v>
      </c>
      <c r="H766" t="s">
        <v>19</v>
      </c>
      <c r="I766" s="1">
        <v>46029</v>
      </c>
      <c r="J766" s="1">
        <v>46029</v>
      </c>
      <c r="K766" s="1">
        <v>46029</v>
      </c>
      <c r="L766">
        <v>33</v>
      </c>
      <c r="M766">
        <v>7.0000000000000007E-2</v>
      </c>
      <c r="N766">
        <v>7.0000000000000007E-2</v>
      </c>
      <c r="O766">
        <v>0</v>
      </c>
      <c r="P766">
        <v>0</v>
      </c>
      <c r="Q766" t="s">
        <v>108</v>
      </c>
    </row>
    <row r="767" spans="1:17">
      <c r="A767" t="s">
        <v>93</v>
      </c>
      <c r="B767" t="s">
        <v>106</v>
      </c>
      <c r="C767" t="s">
        <v>56</v>
      </c>
      <c r="D767" t="s">
        <v>550</v>
      </c>
      <c r="E767">
        <v>12</v>
      </c>
      <c r="F767" t="str">
        <f>VLOOKUP(E767,[1]LOJA!$A:$B,2,0)</f>
        <v>SOFNORTE</v>
      </c>
      <c r="G767" t="s">
        <v>19</v>
      </c>
      <c r="H767" t="s">
        <v>19</v>
      </c>
      <c r="I767" s="1">
        <v>46029</v>
      </c>
      <c r="J767" s="1">
        <v>46029</v>
      </c>
      <c r="K767" s="1">
        <v>46029</v>
      </c>
      <c r="L767">
        <v>33</v>
      </c>
      <c r="M767">
        <v>0.13</v>
      </c>
      <c r="N767">
        <v>0.13</v>
      </c>
      <c r="O767">
        <v>0</v>
      </c>
      <c r="P767">
        <v>0</v>
      </c>
      <c r="Q767" t="s">
        <v>108</v>
      </c>
    </row>
    <row r="768" spans="1:17">
      <c r="A768" t="s">
        <v>93</v>
      </c>
      <c r="B768" t="s">
        <v>106</v>
      </c>
      <c r="C768" t="s">
        <v>56</v>
      </c>
      <c r="D768" t="s">
        <v>551</v>
      </c>
      <c r="E768">
        <v>12</v>
      </c>
      <c r="F768" t="str">
        <f>VLOOKUP(E768,[1]LOJA!$A:$B,2,0)</f>
        <v>SOFNORTE</v>
      </c>
      <c r="G768" t="s">
        <v>19</v>
      </c>
      <c r="H768" t="s">
        <v>19</v>
      </c>
      <c r="I768" s="1">
        <v>46030</v>
      </c>
      <c r="J768" s="1">
        <v>46030</v>
      </c>
      <c r="K768" s="1">
        <v>46030</v>
      </c>
      <c r="L768">
        <v>33</v>
      </c>
      <c r="M768">
        <v>26.54</v>
      </c>
      <c r="N768">
        <v>26.54</v>
      </c>
      <c r="O768">
        <v>0</v>
      </c>
      <c r="P768">
        <v>0</v>
      </c>
      <c r="Q768" t="s">
        <v>108</v>
      </c>
    </row>
    <row r="769" spans="1:17">
      <c r="A769" t="s">
        <v>93</v>
      </c>
      <c r="B769" t="s">
        <v>106</v>
      </c>
      <c r="C769" t="s">
        <v>56</v>
      </c>
      <c r="D769" t="s">
        <v>552</v>
      </c>
      <c r="E769">
        <v>12</v>
      </c>
      <c r="F769" t="str">
        <f>VLOOKUP(E769,[1]LOJA!$A:$B,2,0)</f>
        <v>SOFNORTE</v>
      </c>
      <c r="G769" t="s">
        <v>19</v>
      </c>
      <c r="H769" t="s">
        <v>19</v>
      </c>
      <c r="I769" s="1">
        <v>46030</v>
      </c>
      <c r="J769" s="1">
        <v>46030</v>
      </c>
      <c r="K769" s="1">
        <v>46030</v>
      </c>
      <c r="L769">
        <v>33</v>
      </c>
      <c r="M769">
        <v>6.13</v>
      </c>
      <c r="N769">
        <v>6.13</v>
      </c>
      <c r="O769">
        <v>0</v>
      </c>
      <c r="P769">
        <v>0</v>
      </c>
      <c r="Q769" t="s">
        <v>108</v>
      </c>
    </row>
    <row r="770" spans="1:17">
      <c r="A770" t="s">
        <v>93</v>
      </c>
      <c r="B770" t="s">
        <v>106</v>
      </c>
      <c r="C770" t="s">
        <v>56</v>
      </c>
      <c r="D770" t="s">
        <v>553</v>
      </c>
      <c r="E770">
        <v>12</v>
      </c>
      <c r="F770" t="str">
        <f>VLOOKUP(E770,[1]LOJA!$A:$B,2,0)</f>
        <v>SOFNORTE</v>
      </c>
      <c r="G770" t="s">
        <v>19</v>
      </c>
      <c r="H770" t="s">
        <v>19</v>
      </c>
      <c r="I770" s="1">
        <v>46030</v>
      </c>
      <c r="J770" s="1">
        <v>46030</v>
      </c>
      <c r="K770" s="1">
        <v>46030</v>
      </c>
      <c r="L770">
        <v>33</v>
      </c>
      <c r="M770">
        <v>10.07</v>
      </c>
      <c r="N770">
        <v>10.07</v>
      </c>
      <c r="O770">
        <v>0</v>
      </c>
      <c r="P770">
        <v>0</v>
      </c>
      <c r="Q770" t="s">
        <v>108</v>
      </c>
    </row>
    <row r="771" spans="1:17">
      <c r="A771" t="s">
        <v>93</v>
      </c>
      <c r="B771" t="s">
        <v>106</v>
      </c>
      <c r="C771" t="s">
        <v>56</v>
      </c>
      <c r="D771" t="s">
        <v>554</v>
      </c>
      <c r="E771">
        <v>12</v>
      </c>
      <c r="F771" t="str">
        <f>VLOOKUP(E771,[1]LOJA!$A:$B,2,0)</f>
        <v>SOFNORTE</v>
      </c>
      <c r="G771" t="s">
        <v>19</v>
      </c>
      <c r="H771" t="s">
        <v>19</v>
      </c>
      <c r="I771" s="1">
        <v>46030</v>
      </c>
      <c r="J771" s="1">
        <v>46030</v>
      </c>
      <c r="K771" s="1">
        <v>46030</v>
      </c>
      <c r="L771">
        <v>33</v>
      </c>
      <c r="M771">
        <v>2.88</v>
      </c>
      <c r="N771">
        <v>2.88</v>
      </c>
      <c r="O771">
        <v>0</v>
      </c>
      <c r="P771">
        <v>0</v>
      </c>
      <c r="Q771" t="s">
        <v>108</v>
      </c>
    </row>
    <row r="772" spans="1:17">
      <c r="A772" t="s">
        <v>93</v>
      </c>
      <c r="B772" t="s">
        <v>106</v>
      </c>
      <c r="C772" t="s">
        <v>56</v>
      </c>
      <c r="D772" t="s">
        <v>555</v>
      </c>
      <c r="E772">
        <v>12</v>
      </c>
      <c r="F772" t="str">
        <f>VLOOKUP(E772,[1]LOJA!$A:$B,2,0)</f>
        <v>SOFNORTE</v>
      </c>
      <c r="G772" t="s">
        <v>19</v>
      </c>
      <c r="H772" t="s">
        <v>19</v>
      </c>
      <c r="I772" s="1">
        <v>46030</v>
      </c>
      <c r="J772" s="1">
        <v>46030</v>
      </c>
      <c r="K772" s="1">
        <v>46030</v>
      </c>
      <c r="L772">
        <v>33</v>
      </c>
      <c r="M772">
        <v>2.38</v>
      </c>
      <c r="N772">
        <v>2.38</v>
      </c>
      <c r="O772">
        <v>0</v>
      </c>
      <c r="P772">
        <v>0</v>
      </c>
      <c r="Q772" t="s">
        <v>108</v>
      </c>
    </row>
    <row r="773" spans="1:17">
      <c r="A773" t="s">
        <v>93</v>
      </c>
      <c r="B773" t="s">
        <v>106</v>
      </c>
      <c r="C773" t="s">
        <v>56</v>
      </c>
      <c r="D773" t="s">
        <v>556</v>
      </c>
      <c r="E773">
        <v>12</v>
      </c>
      <c r="F773" t="str">
        <f>VLOOKUP(E773,[1]LOJA!$A:$B,2,0)</f>
        <v>SOFNORTE</v>
      </c>
      <c r="G773" t="s">
        <v>19</v>
      </c>
      <c r="H773" t="s">
        <v>19</v>
      </c>
      <c r="I773" s="1">
        <v>46030</v>
      </c>
      <c r="J773" s="1">
        <v>46030</v>
      </c>
      <c r="K773" s="1">
        <v>46030</v>
      </c>
      <c r="L773">
        <v>33</v>
      </c>
      <c r="M773">
        <v>0.6</v>
      </c>
      <c r="N773">
        <v>0.6</v>
      </c>
      <c r="O773">
        <v>0</v>
      </c>
      <c r="P773">
        <v>0</v>
      </c>
      <c r="Q773" t="s">
        <v>108</v>
      </c>
    </row>
    <row r="774" spans="1:17">
      <c r="A774" t="s">
        <v>93</v>
      </c>
      <c r="B774" t="s">
        <v>106</v>
      </c>
      <c r="C774" t="s">
        <v>56</v>
      </c>
      <c r="D774" t="s">
        <v>557</v>
      </c>
      <c r="E774">
        <v>12</v>
      </c>
      <c r="F774" t="str">
        <f>VLOOKUP(E774,[1]LOJA!$A:$B,2,0)</f>
        <v>SOFNORTE</v>
      </c>
      <c r="G774" t="s">
        <v>19</v>
      </c>
      <c r="H774" t="s">
        <v>19</v>
      </c>
      <c r="I774" s="1">
        <v>46030</v>
      </c>
      <c r="J774" s="1">
        <v>46030</v>
      </c>
      <c r="K774" s="1">
        <v>46030</v>
      </c>
      <c r="L774">
        <v>33</v>
      </c>
      <c r="M774">
        <v>1.17</v>
      </c>
      <c r="N774">
        <v>1.17</v>
      </c>
      <c r="O774">
        <v>0</v>
      </c>
      <c r="P774">
        <v>0</v>
      </c>
      <c r="Q774" t="s">
        <v>108</v>
      </c>
    </row>
    <row r="775" spans="1:17">
      <c r="A775" t="s">
        <v>93</v>
      </c>
      <c r="B775" t="s">
        <v>106</v>
      </c>
      <c r="C775" t="s">
        <v>56</v>
      </c>
      <c r="D775" t="s">
        <v>558</v>
      </c>
      <c r="E775">
        <v>12</v>
      </c>
      <c r="F775" t="str">
        <f>VLOOKUP(E775,[1]LOJA!$A:$B,2,0)</f>
        <v>SOFNORTE</v>
      </c>
      <c r="G775" t="s">
        <v>19</v>
      </c>
      <c r="H775" t="s">
        <v>19</v>
      </c>
      <c r="I775" s="1">
        <v>46030</v>
      </c>
      <c r="J775" s="1">
        <v>46030</v>
      </c>
      <c r="K775" s="1">
        <v>46030</v>
      </c>
      <c r="L775">
        <v>33</v>
      </c>
      <c r="M775">
        <v>2.1</v>
      </c>
      <c r="N775">
        <v>2.1</v>
      </c>
      <c r="O775">
        <v>0</v>
      </c>
      <c r="P775">
        <v>0</v>
      </c>
      <c r="Q775" t="s">
        <v>108</v>
      </c>
    </row>
    <row r="776" spans="1:17">
      <c r="A776" t="s">
        <v>93</v>
      </c>
      <c r="B776" t="s">
        <v>106</v>
      </c>
      <c r="C776" t="s">
        <v>56</v>
      </c>
      <c r="D776" t="s">
        <v>559</v>
      </c>
      <c r="E776">
        <v>12</v>
      </c>
      <c r="F776" t="str">
        <f>VLOOKUP(E776,[1]LOJA!$A:$B,2,0)</f>
        <v>SOFNORTE</v>
      </c>
      <c r="G776" t="s">
        <v>19</v>
      </c>
      <c r="H776" t="s">
        <v>19</v>
      </c>
      <c r="I776" s="1">
        <v>46030</v>
      </c>
      <c r="J776" s="1">
        <v>46030</v>
      </c>
      <c r="K776" s="1">
        <v>46030</v>
      </c>
      <c r="L776">
        <v>33</v>
      </c>
      <c r="M776">
        <v>1.8</v>
      </c>
      <c r="N776">
        <v>1.8</v>
      </c>
      <c r="O776">
        <v>0</v>
      </c>
      <c r="P776">
        <v>0</v>
      </c>
      <c r="Q776" t="s">
        <v>108</v>
      </c>
    </row>
    <row r="777" spans="1:17">
      <c r="A777" t="s">
        <v>93</v>
      </c>
      <c r="B777" t="s">
        <v>106</v>
      </c>
      <c r="C777" t="s">
        <v>56</v>
      </c>
      <c r="D777" t="s">
        <v>560</v>
      </c>
      <c r="E777">
        <v>12</v>
      </c>
      <c r="F777" t="str">
        <f>VLOOKUP(E777,[1]LOJA!$A:$B,2,0)</f>
        <v>SOFNORTE</v>
      </c>
      <c r="G777" t="s">
        <v>19</v>
      </c>
      <c r="H777" t="s">
        <v>19</v>
      </c>
      <c r="I777" s="1">
        <v>46030</v>
      </c>
      <c r="J777" s="1">
        <v>46030</v>
      </c>
      <c r="K777" s="1">
        <v>46030</v>
      </c>
      <c r="L777">
        <v>33</v>
      </c>
      <c r="M777">
        <v>3.63</v>
      </c>
      <c r="N777">
        <v>3.63</v>
      </c>
      <c r="O777">
        <v>0</v>
      </c>
      <c r="P777">
        <v>0</v>
      </c>
      <c r="Q777" t="s">
        <v>108</v>
      </c>
    </row>
    <row r="778" spans="1:17">
      <c r="A778" t="s">
        <v>93</v>
      </c>
      <c r="B778" t="s">
        <v>106</v>
      </c>
      <c r="C778" t="s">
        <v>56</v>
      </c>
      <c r="D778" t="s">
        <v>561</v>
      </c>
      <c r="E778">
        <v>12</v>
      </c>
      <c r="F778" t="str">
        <f>VLOOKUP(E778,[1]LOJA!$A:$B,2,0)</f>
        <v>SOFNORTE</v>
      </c>
      <c r="G778" t="s">
        <v>19</v>
      </c>
      <c r="H778" t="s">
        <v>19</v>
      </c>
      <c r="I778" s="1">
        <v>46030</v>
      </c>
      <c r="J778" s="1">
        <v>46030</v>
      </c>
      <c r="K778" s="1">
        <v>46030</v>
      </c>
      <c r="L778">
        <v>33</v>
      </c>
      <c r="M778">
        <v>0.96</v>
      </c>
      <c r="N778">
        <v>0.96</v>
      </c>
      <c r="O778">
        <v>0</v>
      </c>
      <c r="P778">
        <v>0</v>
      </c>
      <c r="Q778" t="s">
        <v>108</v>
      </c>
    </row>
    <row r="779" spans="1:17">
      <c r="A779" t="s">
        <v>93</v>
      </c>
      <c r="B779" t="s">
        <v>106</v>
      </c>
      <c r="C779" t="s">
        <v>56</v>
      </c>
      <c r="D779" t="s">
        <v>562</v>
      </c>
      <c r="E779">
        <v>12</v>
      </c>
      <c r="F779" t="str">
        <f>VLOOKUP(E779,[1]LOJA!$A:$B,2,0)</f>
        <v>SOFNORTE</v>
      </c>
      <c r="G779" t="s">
        <v>19</v>
      </c>
      <c r="H779" t="s">
        <v>19</v>
      </c>
      <c r="I779" s="1">
        <v>46030</v>
      </c>
      <c r="J779" s="1">
        <v>46030</v>
      </c>
      <c r="K779" s="1">
        <v>46030</v>
      </c>
      <c r="L779">
        <v>33</v>
      </c>
      <c r="M779">
        <v>0.15</v>
      </c>
      <c r="N779">
        <v>0.15</v>
      </c>
      <c r="O779">
        <v>0</v>
      </c>
      <c r="P779">
        <v>0</v>
      </c>
      <c r="Q779" t="s">
        <v>108</v>
      </c>
    </row>
    <row r="780" spans="1:17">
      <c r="A780" t="s">
        <v>93</v>
      </c>
      <c r="B780" t="s">
        <v>106</v>
      </c>
      <c r="C780" t="s">
        <v>56</v>
      </c>
      <c r="D780" t="s">
        <v>563</v>
      </c>
      <c r="E780">
        <v>12</v>
      </c>
      <c r="F780" t="str">
        <f>VLOOKUP(E780,[1]LOJA!$A:$B,2,0)</f>
        <v>SOFNORTE</v>
      </c>
      <c r="G780" t="s">
        <v>19</v>
      </c>
      <c r="H780" t="s">
        <v>19</v>
      </c>
      <c r="I780" s="1">
        <v>46030</v>
      </c>
      <c r="J780" s="1">
        <v>46030</v>
      </c>
      <c r="K780" s="1">
        <v>46030</v>
      </c>
      <c r="L780">
        <v>33</v>
      </c>
      <c r="M780">
        <v>1.27</v>
      </c>
      <c r="N780">
        <v>1.27</v>
      </c>
      <c r="O780">
        <v>0</v>
      </c>
      <c r="P780">
        <v>0</v>
      </c>
      <c r="Q780" t="s">
        <v>108</v>
      </c>
    </row>
    <row r="781" spans="1:17">
      <c r="A781" t="s">
        <v>93</v>
      </c>
      <c r="B781" t="s">
        <v>106</v>
      </c>
      <c r="C781" t="s">
        <v>56</v>
      </c>
      <c r="D781" t="s">
        <v>564</v>
      </c>
      <c r="E781">
        <v>12</v>
      </c>
      <c r="F781" t="str">
        <f>VLOOKUP(E781,[1]LOJA!$A:$B,2,0)</f>
        <v>SOFNORTE</v>
      </c>
      <c r="G781" t="s">
        <v>19</v>
      </c>
      <c r="H781" t="s">
        <v>19</v>
      </c>
      <c r="I781" s="1">
        <v>46030</v>
      </c>
      <c r="J781" s="1">
        <v>46030</v>
      </c>
      <c r="K781" s="1">
        <v>46030</v>
      </c>
      <c r="L781">
        <v>33</v>
      </c>
      <c r="M781">
        <v>4.6900000000000004</v>
      </c>
      <c r="N781">
        <v>4.6900000000000004</v>
      </c>
      <c r="O781">
        <v>0</v>
      </c>
      <c r="P781">
        <v>0</v>
      </c>
      <c r="Q781" t="s">
        <v>108</v>
      </c>
    </row>
    <row r="782" spans="1:17">
      <c r="A782" t="s">
        <v>93</v>
      </c>
      <c r="B782" t="s">
        <v>106</v>
      </c>
      <c r="C782" t="s">
        <v>56</v>
      </c>
      <c r="D782" t="s">
        <v>565</v>
      </c>
      <c r="E782">
        <v>12</v>
      </c>
      <c r="F782" t="str">
        <f>VLOOKUP(E782,[1]LOJA!$A:$B,2,0)</f>
        <v>SOFNORTE</v>
      </c>
      <c r="G782" t="s">
        <v>19</v>
      </c>
      <c r="H782" t="s">
        <v>19</v>
      </c>
      <c r="I782" s="1">
        <v>46030</v>
      </c>
      <c r="J782" s="1">
        <v>46030</v>
      </c>
      <c r="K782" s="1">
        <v>46030</v>
      </c>
      <c r="L782">
        <v>33</v>
      </c>
      <c r="M782">
        <v>0.43</v>
      </c>
      <c r="N782">
        <v>0.43</v>
      </c>
      <c r="O782">
        <v>0</v>
      </c>
      <c r="P782">
        <v>0</v>
      </c>
      <c r="Q782" t="s">
        <v>108</v>
      </c>
    </row>
    <row r="783" spans="1:17">
      <c r="A783" t="s">
        <v>93</v>
      </c>
      <c r="B783" t="s">
        <v>106</v>
      </c>
      <c r="C783" t="s">
        <v>56</v>
      </c>
      <c r="D783" t="s">
        <v>566</v>
      </c>
      <c r="E783">
        <v>12</v>
      </c>
      <c r="F783" t="str">
        <f>VLOOKUP(E783,[1]LOJA!$A:$B,2,0)</f>
        <v>SOFNORTE</v>
      </c>
      <c r="G783" t="s">
        <v>19</v>
      </c>
      <c r="H783" t="s">
        <v>19</v>
      </c>
      <c r="I783" s="1">
        <v>46030</v>
      </c>
      <c r="J783" s="1">
        <v>46030</v>
      </c>
      <c r="K783" s="1">
        <v>46030</v>
      </c>
      <c r="L783">
        <v>33</v>
      </c>
      <c r="M783">
        <v>0.26</v>
      </c>
      <c r="N783">
        <v>0.26</v>
      </c>
      <c r="O783">
        <v>0</v>
      </c>
      <c r="P783">
        <v>0</v>
      </c>
      <c r="Q783" t="s">
        <v>108</v>
      </c>
    </row>
    <row r="784" spans="1:17">
      <c r="A784" t="s">
        <v>93</v>
      </c>
      <c r="B784" t="s">
        <v>106</v>
      </c>
      <c r="C784" t="s">
        <v>56</v>
      </c>
      <c r="D784" t="s">
        <v>567</v>
      </c>
      <c r="E784">
        <v>12</v>
      </c>
      <c r="F784" t="str">
        <f>VLOOKUP(E784,[1]LOJA!$A:$B,2,0)</f>
        <v>SOFNORTE</v>
      </c>
      <c r="G784" t="s">
        <v>19</v>
      </c>
      <c r="H784" t="s">
        <v>19</v>
      </c>
      <c r="I784" s="1">
        <v>46031</v>
      </c>
      <c r="J784" s="1">
        <v>46031</v>
      </c>
      <c r="K784" s="1">
        <v>46031</v>
      </c>
      <c r="L784">
        <v>33</v>
      </c>
      <c r="M784">
        <v>3.97</v>
      </c>
      <c r="N784">
        <v>3.97</v>
      </c>
      <c r="O784">
        <v>0</v>
      </c>
      <c r="P784">
        <v>0</v>
      </c>
      <c r="Q784" t="s">
        <v>108</v>
      </c>
    </row>
    <row r="785" spans="1:17">
      <c r="A785" t="s">
        <v>93</v>
      </c>
      <c r="B785" t="s">
        <v>106</v>
      </c>
      <c r="C785" t="s">
        <v>56</v>
      </c>
      <c r="D785" t="s">
        <v>568</v>
      </c>
      <c r="E785">
        <v>12</v>
      </c>
      <c r="F785" t="str">
        <f>VLOOKUP(E785,[1]LOJA!$A:$B,2,0)</f>
        <v>SOFNORTE</v>
      </c>
      <c r="G785" t="s">
        <v>19</v>
      </c>
      <c r="H785" t="s">
        <v>19</v>
      </c>
      <c r="I785" s="1">
        <v>46031</v>
      </c>
      <c r="J785" s="1">
        <v>46031</v>
      </c>
      <c r="K785" s="1">
        <v>46031</v>
      </c>
      <c r="L785">
        <v>33</v>
      </c>
      <c r="M785">
        <v>5.26</v>
      </c>
      <c r="N785">
        <v>5.26</v>
      </c>
      <c r="O785">
        <v>0</v>
      </c>
      <c r="P785">
        <v>0</v>
      </c>
      <c r="Q785" t="s">
        <v>108</v>
      </c>
    </row>
    <row r="786" spans="1:17">
      <c r="A786" t="s">
        <v>93</v>
      </c>
      <c r="B786" t="s">
        <v>106</v>
      </c>
      <c r="C786" t="s">
        <v>56</v>
      </c>
      <c r="D786" t="s">
        <v>569</v>
      </c>
      <c r="E786">
        <v>12</v>
      </c>
      <c r="F786" t="str">
        <f>VLOOKUP(E786,[1]LOJA!$A:$B,2,0)</f>
        <v>SOFNORTE</v>
      </c>
      <c r="G786" t="s">
        <v>19</v>
      </c>
      <c r="H786" t="s">
        <v>19</v>
      </c>
      <c r="I786" s="1">
        <v>46031</v>
      </c>
      <c r="J786" s="1">
        <v>46031</v>
      </c>
      <c r="K786" s="1">
        <v>46031</v>
      </c>
      <c r="L786">
        <v>33</v>
      </c>
      <c r="M786">
        <v>1.86</v>
      </c>
      <c r="N786">
        <v>1.86</v>
      </c>
      <c r="O786">
        <v>0</v>
      </c>
      <c r="P786">
        <v>0</v>
      </c>
      <c r="Q786" t="s">
        <v>108</v>
      </c>
    </row>
    <row r="787" spans="1:17">
      <c r="A787" t="s">
        <v>93</v>
      </c>
      <c r="B787" t="s">
        <v>106</v>
      </c>
      <c r="C787" t="s">
        <v>56</v>
      </c>
      <c r="D787" t="s">
        <v>570</v>
      </c>
      <c r="E787">
        <v>12</v>
      </c>
      <c r="F787" t="str">
        <f>VLOOKUP(E787,[1]LOJA!$A:$B,2,0)</f>
        <v>SOFNORTE</v>
      </c>
      <c r="G787" t="s">
        <v>19</v>
      </c>
      <c r="H787" t="s">
        <v>19</v>
      </c>
      <c r="I787" s="1">
        <v>46031</v>
      </c>
      <c r="J787" s="1">
        <v>46031</v>
      </c>
      <c r="K787" s="1">
        <v>46031</v>
      </c>
      <c r="L787">
        <v>33</v>
      </c>
      <c r="M787">
        <v>0.84</v>
      </c>
      <c r="N787">
        <v>0.84</v>
      </c>
      <c r="O787">
        <v>0</v>
      </c>
      <c r="P787">
        <v>0</v>
      </c>
      <c r="Q787" t="s">
        <v>108</v>
      </c>
    </row>
    <row r="788" spans="1:17">
      <c r="A788" t="s">
        <v>93</v>
      </c>
      <c r="B788" t="s">
        <v>106</v>
      </c>
      <c r="C788" t="s">
        <v>56</v>
      </c>
      <c r="D788" t="s">
        <v>571</v>
      </c>
      <c r="E788">
        <v>12</v>
      </c>
      <c r="F788" t="str">
        <f>VLOOKUP(E788,[1]LOJA!$A:$B,2,0)</f>
        <v>SOFNORTE</v>
      </c>
      <c r="G788" t="s">
        <v>19</v>
      </c>
      <c r="H788" t="s">
        <v>19</v>
      </c>
      <c r="I788" s="1">
        <v>46031</v>
      </c>
      <c r="J788" s="1">
        <v>46031</v>
      </c>
      <c r="K788" s="1">
        <v>46031</v>
      </c>
      <c r="L788">
        <v>33</v>
      </c>
      <c r="M788">
        <v>0.48</v>
      </c>
      <c r="N788">
        <v>0.48</v>
      </c>
      <c r="O788">
        <v>0</v>
      </c>
      <c r="P788">
        <v>0</v>
      </c>
      <c r="Q788" t="s">
        <v>108</v>
      </c>
    </row>
    <row r="789" spans="1:17">
      <c r="A789" t="s">
        <v>93</v>
      </c>
      <c r="B789" t="s">
        <v>106</v>
      </c>
      <c r="C789" t="s">
        <v>56</v>
      </c>
      <c r="D789" t="s">
        <v>572</v>
      </c>
      <c r="E789">
        <v>12</v>
      </c>
      <c r="F789" t="str">
        <f>VLOOKUP(E789,[1]LOJA!$A:$B,2,0)</f>
        <v>SOFNORTE</v>
      </c>
      <c r="G789" t="s">
        <v>19</v>
      </c>
      <c r="H789" t="s">
        <v>19</v>
      </c>
      <c r="I789" s="1">
        <v>46031</v>
      </c>
      <c r="J789" s="1">
        <v>46031</v>
      </c>
      <c r="K789" s="1">
        <v>46031</v>
      </c>
      <c r="L789">
        <v>33</v>
      </c>
      <c r="M789">
        <v>0.19</v>
      </c>
      <c r="N789">
        <v>0.19</v>
      </c>
      <c r="O789">
        <v>0</v>
      </c>
      <c r="P789">
        <v>0</v>
      </c>
      <c r="Q789" t="s">
        <v>108</v>
      </c>
    </row>
    <row r="790" spans="1:17">
      <c r="A790" t="s">
        <v>93</v>
      </c>
      <c r="B790" t="s">
        <v>106</v>
      </c>
      <c r="C790" t="s">
        <v>56</v>
      </c>
      <c r="D790" t="s">
        <v>573</v>
      </c>
      <c r="E790">
        <v>12</v>
      </c>
      <c r="F790" t="str">
        <f>VLOOKUP(E790,[1]LOJA!$A:$B,2,0)</f>
        <v>SOFNORTE</v>
      </c>
      <c r="G790" t="s">
        <v>19</v>
      </c>
      <c r="H790" t="s">
        <v>19</v>
      </c>
      <c r="I790" s="1">
        <v>46031</v>
      </c>
      <c r="J790" s="1">
        <v>46031</v>
      </c>
      <c r="K790" s="1">
        <v>46031</v>
      </c>
      <c r="L790">
        <v>33</v>
      </c>
      <c r="M790">
        <v>0.62</v>
      </c>
      <c r="N790">
        <v>0.62</v>
      </c>
      <c r="O790">
        <v>0</v>
      </c>
      <c r="P790">
        <v>0</v>
      </c>
      <c r="Q790" t="s">
        <v>108</v>
      </c>
    </row>
    <row r="791" spans="1:17">
      <c r="A791" t="s">
        <v>93</v>
      </c>
      <c r="B791" t="s">
        <v>106</v>
      </c>
      <c r="C791" t="s">
        <v>56</v>
      </c>
      <c r="D791" t="s">
        <v>574</v>
      </c>
      <c r="E791">
        <v>12</v>
      </c>
      <c r="F791" t="str">
        <f>VLOOKUP(E791,[1]LOJA!$A:$B,2,0)</f>
        <v>SOFNORTE</v>
      </c>
      <c r="G791" t="s">
        <v>19</v>
      </c>
      <c r="H791" t="s">
        <v>19</v>
      </c>
      <c r="I791" s="1">
        <v>46031</v>
      </c>
      <c r="J791" s="1">
        <v>46031</v>
      </c>
      <c r="K791" s="1">
        <v>46031</v>
      </c>
      <c r="L791">
        <v>33</v>
      </c>
      <c r="M791">
        <v>0.53</v>
      </c>
      <c r="N791">
        <v>0.53</v>
      </c>
      <c r="O791">
        <v>0</v>
      </c>
      <c r="P791">
        <v>0</v>
      </c>
      <c r="Q791" t="s">
        <v>108</v>
      </c>
    </row>
    <row r="792" spans="1:17">
      <c r="A792" t="s">
        <v>93</v>
      </c>
      <c r="B792" t="s">
        <v>106</v>
      </c>
      <c r="C792" t="s">
        <v>56</v>
      </c>
      <c r="D792" t="s">
        <v>575</v>
      </c>
      <c r="E792">
        <v>12</v>
      </c>
      <c r="F792" t="str">
        <f>VLOOKUP(E792,[1]LOJA!$A:$B,2,0)</f>
        <v>SOFNORTE</v>
      </c>
      <c r="G792" t="s">
        <v>19</v>
      </c>
      <c r="H792" t="s">
        <v>19</v>
      </c>
      <c r="I792" s="1">
        <v>46034</v>
      </c>
      <c r="J792" s="1">
        <v>46033</v>
      </c>
      <c r="K792" s="1">
        <v>46034</v>
      </c>
      <c r="L792">
        <v>33</v>
      </c>
      <c r="M792">
        <v>10.95</v>
      </c>
      <c r="N792">
        <v>10.95</v>
      </c>
      <c r="O792">
        <v>0</v>
      </c>
      <c r="P792">
        <v>0</v>
      </c>
      <c r="Q792" t="s">
        <v>108</v>
      </c>
    </row>
    <row r="793" spans="1:17">
      <c r="A793" t="s">
        <v>93</v>
      </c>
      <c r="B793" t="s">
        <v>106</v>
      </c>
      <c r="C793" t="s">
        <v>56</v>
      </c>
      <c r="D793" t="s">
        <v>576</v>
      </c>
      <c r="E793">
        <v>12</v>
      </c>
      <c r="F793" t="str">
        <f>VLOOKUP(E793,[1]LOJA!$A:$B,2,0)</f>
        <v>SOFNORTE</v>
      </c>
      <c r="G793" t="s">
        <v>19</v>
      </c>
      <c r="H793" t="s">
        <v>19</v>
      </c>
      <c r="I793" s="1">
        <v>46034</v>
      </c>
      <c r="J793" s="1">
        <v>46033</v>
      </c>
      <c r="K793" s="1">
        <v>46034</v>
      </c>
      <c r="L793">
        <v>33</v>
      </c>
      <c r="M793">
        <v>18.43</v>
      </c>
      <c r="N793">
        <v>18.43</v>
      </c>
      <c r="O793">
        <v>0</v>
      </c>
      <c r="P793">
        <v>0</v>
      </c>
      <c r="Q793" t="s">
        <v>108</v>
      </c>
    </row>
    <row r="794" spans="1:17">
      <c r="A794" t="s">
        <v>93</v>
      </c>
      <c r="B794" t="s">
        <v>106</v>
      </c>
      <c r="C794" t="s">
        <v>56</v>
      </c>
      <c r="D794" t="s">
        <v>577</v>
      </c>
      <c r="E794">
        <v>12</v>
      </c>
      <c r="F794" t="str">
        <f>VLOOKUP(E794,[1]LOJA!$A:$B,2,0)</f>
        <v>SOFNORTE</v>
      </c>
      <c r="G794" t="s">
        <v>19</v>
      </c>
      <c r="H794" t="s">
        <v>19</v>
      </c>
      <c r="I794" s="1">
        <v>46034</v>
      </c>
      <c r="J794" s="1">
        <v>46034</v>
      </c>
      <c r="K794" s="1">
        <v>46034</v>
      </c>
      <c r="L794">
        <v>33</v>
      </c>
      <c r="M794">
        <v>3.16</v>
      </c>
      <c r="N794">
        <v>3.16</v>
      </c>
      <c r="O794">
        <v>0</v>
      </c>
      <c r="P794">
        <v>0</v>
      </c>
      <c r="Q794" t="s">
        <v>108</v>
      </c>
    </row>
    <row r="795" spans="1:17">
      <c r="A795" t="s">
        <v>93</v>
      </c>
      <c r="B795" t="s">
        <v>106</v>
      </c>
      <c r="C795" t="s">
        <v>56</v>
      </c>
      <c r="D795" t="s">
        <v>578</v>
      </c>
      <c r="E795">
        <v>12</v>
      </c>
      <c r="F795" t="str">
        <f>VLOOKUP(E795,[1]LOJA!$A:$B,2,0)</f>
        <v>SOFNORTE</v>
      </c>
      <c r="G795" t="s">
        <v>19</v>
      </c>
      <c r="H795" t="s">
        <v>19</v>
      </c>
      <c r="I795" s="1">
        <v>46034</v>
      </c>
      <c r="J795" s="1">
        <v>46034</v>
      </c>
      <c r="K795" s="1">
        <v>46034</v>
      </c>
      <c r="L795">
        <v>33</v>
      </c>
      <c r="M795">
        <v>4.2</v>
      </c>
      <c r="N795">
        <v>4.2</v>
      </c>
      <c r="O795">
        <v>0</v>
      </c>
      <c r="P795">
        <v>0</v>
      </c>
      <c r="Q795" t="s">
        <v>108</v>
      </c>
    </row>
    <row r="796" spans="1:17">
      <c r="A796" t="s">
        <v>93</v>
      </c>
      <c r="B796" t="s">
        <v>106</v>
      </c>
      <c r="C796" t="s">
        <v>56</v>
      </c>
      <c r="D796" t="s">
        <v>579</v>
      </c>
      <c r="E796">
        <v>12</v>
      </c>
      <c r="F796" t="str">
        <f>VLOOKUP(E796,[1]LOJA!$A:$B,2,0)</f>
        <v>SOFNORTE</v>
      </c>
      <c r="G796" t="s">
        <v>19</v>
      </c>
      <c r="H796" t="s">
        <v>19</v>
      </c>
      <c r="I796" s="1">
        <v>46034</v>
      </c>
      <c r="J796" s="1">
        <v>46032</v>
      </c>
      <c r="K796" s="1">
        <v>46034</v>
      </c>
      <c r="L796">
        <v>33</v>
      </c>
      <c r="M796">
        <v>13.95</v>
      </c>
      <c r="N796">
        <v>13.95</v>
      </c>
      <c r="O796">
        <v>0</v>
      </c>
      <c r="P796">
        <v>0</v>
      </c>
      <c r="Q796" t="s">
        <v>108</v>
      </c>
    </row>
    <row r="797" spans="1:17">
      <c r="A797" t="s">
        <v>93</v>
      </c>
      <c r="B797" t="s">
        <v>106</v>
      </c>
      <c r="C797" t="s">
        <v>56</v>
      </c>
      <c r="D797" t="s">
        <v>580</v>
      </c>
      <c r="E797">
        <v>12</v>
      </c>
      <c r="F797" t="str">
        <f>VLOOKUP(E797,[1]LOJA!$A:$B,2,0)</f>
        <v>SOFNORTE</v>
      </c>
      <c r="G797" t="s">
        <v>19</v>
      </c>
      <c r="H797" t="s">
        <v>19</v>
      </c>
      <c r="I797" s="1">
        <v>46034</v>
      </c>
      <c r="J797" s="1">
        <v>46032</v>
      </c>
      <c r="K797" s="1">
        <v>46034</v>
      </c>
      <c r="L797">
        <v>33</v>
      </c>
      <c r="M797">
        <v>2.2599999999999998</v>
      </c>
      <c r="N797">
        <v>2.2599999999999998</v>
      </c>
      <c r="O797">
        <v>0</v>
      </c>
      <c r="P797">
        <v>0</v>
      </c>
      <c r="Q797" t="s">
        <v>108</v>
      </c>
    </row>
    <row r="798" spans="1:17">
      <c r="A798" t="s">
        <v>93</v>
      </c>
      <c r="B798" t="s">
        <v>106</v>
      </c>
      <c r="C798" t="s">
        <v>56</v>
      </c>
      <c r="D798" t="s">
        <v>581</v>
      </c>
      <c r="E798">
        <v>12</v>
      </c>
      <c r="F798" t="str">
        <f>VLOOKUP(E798,[1]LOJA!$A:$B,2,0)</f>
        <v>SOFNORTE</v>
      </c>
      <c r="G798" t="s">
        <v>19</v>
      </c>
      <c r="H798" t="s">
        <v>19</v>
      </c>
      <c r="I798" s="1">
        <v>46034</v>
      </c>
      <c r="J798" s="1">
        <v>46032</v>
      </c>
      <c r="K798" s="1">
        <v>46034</v>
      </c>
      <c r="L798">
        <v>33</v>
      </c>
      <c r="M798">
        <v>1.84</v>
      </c>
      <c r="N798">
        <v>1.84</v>
      </c>
      <c r="O798">
        <v>0</v>
      </c>
      <c r="P798">
        <v>0</v>
      </c>
      <c r="Q798" t="s">
        <v>108</v>
      </c>
    </row>
    <row r="799" spans="1:17">
      <c r="A799" t="s">
        <v>93</v>
      </c>
      <c r="B799" t="s">
        <v>106</v>
      </c>
      <c r="C799" t="s">
        <v>56</v>
      </c>
      <c r="D799" t="s">
        <v>582</v>
      </c>
      <c r="E799">
        <v>12</v>
      </c>
      <c r="F799" t="str">
        <f>VLOOKUP(E799,[1]LOJA!$A:$B,2,0)</f>
        <v>SOFNORTE</v>
      </c>
      <c r="G799" t="s">
        <v>19</v>
      </c>
      <c r="H799" t="s">
        <v>19</v>
      </c>
      <c r="I799" s="1">
        <v>46034</v>
      </c>
      <c r="J799" s="1">
        <v>46032</v>
      </c>
      <c r="K799" s="1">
        <v>46034</v>
      </c>
      <c r="L799">
        <v>33</v>
      </c>
      <c r="M799">
        <v>2.2799999999999998</v>
      </c>
      <c r="N799">
        <v>2.2799999999999998</v>
      </c>
      <c r="O799">
        <v>0</v>
      </c>
      <c r="P799">
        <v>0</v>
      </c>
      <c r="Q799" t="s">
        <v>108</v>
      </c>
    </row>
    <row r="800" spans="1:17">
      <c r="A800" t="s">
        <v>93</v>
      </c>
      <c r="B800" t="s">
        <v>106</v>
      </c>
      <c r="C800" t="s">
        <v>56</v>
      </c>
      <c r="D800" t="s">
        <v>583</v>
      </c>
      <c r="E800">
        <v>12</v>
      </c>
      <c r="F800" t="str">
        <f>VLOOKUP(E800,[1]LOJA!$A:$B,2,0)</f>
        <v>SOFNORTE</v>
      </c>
      <c r="G800" t="s">
        <v>19</v>
      </c>
      <c r="H800" t="s">
        <v>19</v>
      </c>
      <c r="I800" s="1">
        <v>46034</v>
      </c>
      <c r="J800" s="1">
        <v>46032</v>
      </c>
      <c r="K800" s="1">
        <v>46034</v>
      </c>
      <c r="L800">
        <v>33</v>
      </c>
      <c r="M800">
        <v>0.98</v>
      </c>
      <c r="N800">
        <v>0.98</v>
      </c>
      <c r="O800">
        <v>0</v>
      </c>
      <c r="P800">
        <v>0</v>
      </c>
      <c r="Q800" t="s">
        <v>108</v>
      </c>
    </row>
    <row r="801" spans="1:17">
      <c r="A801" t="s">
        <v>93</v>
      </c>
      <c r="B801" t="s">
        <v>106</v>
      </c>
      <c r="C801" t="s">
        <v>56</v>
      </c>
      <c r="D801" t="s">
        <v>584</v>
      </c>
      <c r="E801">
        <v>12</v>
      </c>
      <c r="F801" t="str">
        <f>VLOOKUP(E801,[1]LOJA!$A:$B,2,0)</f>
        <v>SOFNORTE</v>
      </c>
      <c r="G801" t="s">
        <v>19</v>
      </c>
      <c r="H801" t="s">
        <v>19</v>
      </c>
      <c r="I801" s="1">
        <v>46034</v>
      </c>
      <c r="J801" s="1">
        <v>46033</v>
      </c>
      <c r="K801" s="1">
        <v>46034</v>
      </c>
      <c r="L801">
        <v>33</v>
      </c>
      <c r="M801">
        <v>2.21</v>
      </c>
      <c r="N801">
        <v>2.21</v>
      </c>
      <c r="O801">
        <v>0</v>
      </c>
      <c r="P801">
        <v>0</v>
      </c>
      <c r="Q801" t="s">
        <v>108</v>
      </c>
    </row>
    <row r="802" spans="1:17">
      <c r="A802" t="s">
        <v>93</v>
      </c>
      <c r="B802" t="s">
        <v>106</v>
      </c>
      <c r="C802" t="s">
        <v>56</v>
      </c>
      <c r="D802" t="s">
        <v>585</v>
      </c>
      <c r="E802">
        <v>12</v>
      </c>
      <c r="F802" t="str">
        <f>VLOOKUP(E802,[1]LOJA!$A:$B,2,0)</f>
        <v>SOFNORTE</v>
      </c>
      <c r="G802" t="s">
        <v>19</v>
      </c>
      <c r="H802" t="s">
        <v>19</v>
      </c>
      <c r="I802" s="1">
        <v>46034</v>
      </c>
      <c r="J802" s="1">
        <v>46033</v>
      </c>
      <c r="K802" s="1">
        <v>46034</v>
      </c>
      <c r="L802">
        <v>33</v>
      </c>
      <c r="M802">
        <v>8.76</v>
      </c>
      <c r="N802">
        <v>8.76</v>
      </c>
      <c r="O802">
        <v>0</v>
      </c>
      <c r="P802">
        <v>0</v>
      </c>
      <c r="Q802" t="s">
        <v>108</v>
      </c>
    </row>
    <row r="803" spans="1:17">
      <c r="A803" t="s">
        <v>93</v>
      </c>
      <c r="B803" t="s">
        <v>106</v>
      </c>
      <c r="C803" t="s">
        <v>56</v>
      </c>
      <c r="D803" t="s">
        <v>586</v>
      </c>
      <c r="E803">
        <v>12</v>
      </c>
      <c r="F803" t="str">
        <f>VLOOKUP(E803,[1]LOJA!$A:$B,2,0)</f>
        <v>SOFNORTE</v>
      </c>
      <c r="G803" t="s">
        <v>19</v>
      </c>
      <c r="H803" t="s">
        <v>19</v>
      </c>
      <c r="I803" s="1">
        <v>46034</v>
      </c>
      <c r="J803" s="1">
        <v>46033</v>
      </c>
      <c r="K803" s="1">
        <v>46034</v>
      </c>
      <c r="L803">
        <v>33</v>
      </c>
      <c r="M803">
        <v>14.6</v>
      </c>
      <c r="N803">
        <v>14.6</v>
      </c>
      <c r="O803">
        <v>0</v>
      </c>
      <c r="P803">
        <v>0</v>
      </c>
      <c r="Q803" t="s">
        <v>108</v>
      </c>
    </row>
    <row r="804" spans="1:17">
      <c r="A804" t="s">
        <v>93</v>
      </c>
      <c r="B804" t="s">
        <v>106</v>
      </c>
      <c r="C804" t="s">
        <v>56</v>
      </c>
      <c r="D804" t="s">
        <v>587</v>
      </c>
      <c r="E804">
        <v>12</v>
      </c>
      <c r="F804" t="str">
        <f>VLOOKUP(E804,[1]LOJA!$A:$B,2,0)</f>
        <v>SOFNORTE</v>
      </c>
      <c r="G804" t="s">
        <v>19</v>
      </c>
      <c r="H804" t="s">
        <v>19</v>
      </c>
      <c r="I804" s="1">
        <v>46034</v>
      </c>
      <c r="J804" s="1">
        <v>46033</v>
      </c>
      <c r="K804" s="1">
        <v>46034</v>
      </c>
      <c r="L804">
        <v>33</v>
      </c>
      <c r="M804">
        <v>0.7</v>
      </c>
      <c r="N804">
        <v>0.7</v>
      </c>
      <c r="O804">
        <v>0</v>
      </c>
      <c r="P804">
        <v>0</v>
      </c>
      <c r="Q804" t="s">
        <v>108</v>
      </c>
    </row>
    <row r="805" spans="1:17">
      <c r="A805" t="s">
        <v>93</v>
      </c>
      <c r="B805" t="s">
        <v>106</v>
      </c>
      <c r="C805" t="s">
        <v>56</v>
      </c>
      <c r="D805" t="s">
        <v>588</v>
      </c>
      <c r="E805">
        <v>12</v>
      </c>
      <c r="F805" t="str">
        <f>VLOOKUP(E805,[1]LOJA!$A:$B,2,0)</f>
        <v>SOFNORTE</v>
      </c>
      <c r="G805" t="s">
        <v>19</v>
      </c>
      <c r="H805" t="s">
        <v>19</v>
      </c>
      <c r="I805" s="1">
        <v>46034</v>
      </c>
      <c r="J805" s="1">
        <v>46033</v>
      </c>
      <c r="K805" s="1">
        <v>46034</v>
      </c>
      <c r="L805">
        <v>33</v>
      </c>
      <c r="M805">
        <v>10.34</v>
      </c>
      <c r="N805">
        <v>10.34</v>
      </c>
      <c r="O805">
        <v>0</v>
      </c>
      <c r="P805">
        <v>0</v>
      </c>
      <c r="Q805" t="s">
        <v>108</v>
      </c>
    </row>
    <row r="806" spans="1:17">
      <c r="A806" t="s">
        <v>93</v>
      </c>
      <c r="B806" t="s">
        <v>106</v>
      </c>
      <c r="C806" t="s">
        <v>56</v>
      </c>
      <c r="D806" t="s">
        <v>589</v>
      </c>
      <c r="E806">
        <v>12</v>
      </c>
      <c r="F806" t="str">
        <f>VLOOKUP(E806,[1]LOJA!$A:$B,2,0)</f>
        <v>SOFNORTE</v>
      </c>
      <c r="G806" t="s">
        <v>19</v>
      </c>
      <c r="H806" t="s">
        <v>19</v>
      </c>
      <c r="I806" s="1">
        <v>46034</v>
      </c>
      <c r="J806" s="1">
        <v>46034</v>
      </c>
      <c r="K806" s="1">
        <v>46034</v>
      </c>
      <c r="L806">
        <v>33</v>
      </c>
      <c r="M806">
        <v>11.22</v>
      </c>
      <c r="N806">
        <v>11.22</v>
      </c>
      <c r="O806">
        <v>0</v>
      </c>
      <c r="P806">
        <v>0</v>
      </c>
      <c r="Q806" t="s">
        <v>108</v>
      </c>
    </row>
    <row r="807" spans="1:17">
      <c r="A807" t="s">
        <v>93</v>
      </c>
      <c r="B807" t="s">
        <v>106</v>
      </c>
      <c r="C807" t="s">
        <v>56</v>
      </c>
      <c r="D807" t="s">
        <v>590</v>
      </c>
      <c r="E807">
        <v>12</v>
      </c>
      <c r="F807" t="str">
        <f>VLOOKUP(E807,[1]LOJA!$A:$B,2,0)</f>
        <v>SOFNORTE</v>
      </c>
      <c r="G807" t="s">
        <v>19</v>
      </c>
      <c r="H807" t="s">
        <v>19</v>
      </c>
      <c r="I807" s="1">
        <v>46034</v>
      </c>
      <c r="J807" s="1">
        <v>46034</v>
      </c>
      <c r="K807" s="1">
        <v>46034</v>
      </c>
      <c r="L807">
        <v>33</v>
      </c>
      <c r="M807">
        <v>3.62</v>
      </c>
      <c r="N807">
        <v>3.62</v>
      </c>
      <c r="O807">
        <v>0</v>
      </c>
      <c r="P807">
        <v>0</v>
      </c>
      <c r="Q807" t="s">
        <v>108</v>
      </c>
    </row>
    <row r="808" spans="1:17">
      <c r="A808" t="s">
        <v>93</v>
      </c>
      <c r="B808" t="s">
        <v>106</v>
      </c>
      <c r="C808" t="s">
        <v>56</v>
      </c>
      <c r="D808" t="s">
        <v>591</v>
      </c>
      <c r="E808">
        <v>12</v>
      </c>
      <c r="F808" t="str">
        <f>VLOOKUP(E808,[1]LOJA!$A:$B,2,0)</f>
        <v>SOFNORTE</v>
      </c>
      <c r="G808" t="s">
        <v>19</v>
      </c>
      <c r="H808" t="s">
        <v>19</v>
      </c>
      <c r="I808" s="1">
        <v>46034</v>
      </c>
      <c r="J808" s="1">
        <v>46034</v>
      </c>
      <c r="K808" s="1">
        <v>46034</v>
      </c>
      <c r="L808">
        <v>33</v>
      </c>
      <c r="M808">
        <v>17.52</v>
      </c>
      <c r="N808">
        <v>17.52</v>
      </c>
      <c r="O808">
        <v>0</v>
      </c>
      <c r="P808">
        <v>0</v>
      </c>
      <c r="Q808" t="s">
        <v>108</v>
      </c>
    </row>
    <row r="809" spans="1:17">
      <c r="A809" t="s">
        <v>93</v>
      </c>
      <c r="B809" t="s">
        <v>106</v>
      </c>
      <c r="C809" t="s">
        <v>56</v>
      </c>
      <c r="D809" t="s">
        <v>592</v>
      </c>
      <c r="E809">
        <v>12</v>
      </c>
      <c r="F809" t="str">
        <f>VLOOKUP(E809,[1]LOJA!$A:$B,2,0)</f>
        <v>SOFNORTE</v>
      </c>
      <c r="G809" t="s">
        <v>19</v>
      </c>
      <c r="H809" t="s">
        <v>19</v>
      </c>
      <c r="I809" s="1">
        <v>46034</v>
      </c>
      <c r="J809" s="1">
        <v>46034</v>
      </c>
      <c r="K809" s="1">
        <v>46034</v>
      </c>
      <c r="L809">
        <v>33</v>
      </c>
      <c r="M809">
        <v>17.52</v>
      </c>
      <c r="N809">
        <v>17.52</v>
      </c>
      <c r="O809">
        <v>0</v>
      </c>
      <c r="P809">
        <v>0</v>
      </c>
      <c r="Q809" t="s">
        <v>108</v>
      </c>
    </row>
    <row r="810" spans="1:17">
      <c r="A810" t="s">
        <v>93</v>
      </c>
      <c r="B810" t="s">
        <v>106</v>
      </c>
      <c r="C810" t="s">
        <v>56</v>
      </c>
      <c r="D810" t="s">
        <v>593</v>
      </c>
      <c r="E810">
        <v>12</v>
      </c>
      <c r="F810" t="str">
        <f>VLOOKUP(E810,[1]LOJA!$A:$B,2,0)</f>
        <v>SOFNORTE</v>
      </c>
      <c r="G810" t="s">
        <v>19</v>
      </c>
      <c r="H810" t="s">
        <v>19</v>
      </c>
      <c r="I810" s="1">
        <v>46034</v>
      </c>
      <c r="J810" s="1">
        <v>46034</v>
      </c>
      <c r="K810" s="1">
        <v>46034</v>
      </c>
      <c r="L810">
        <v>33</v>
      </c>
      <c r="M810">
        <v>5.47</v>
      </c>
      <c r="N810">
        <v>5.47</v>
      </c>
      <c r="O810">
        <v>0</v>
      </c>
      <c r="P810">
        <v>0</v>
      </c>
      <c r="Q810" t="s">
        <v>108</v>
      </c>
    </row>
    <row r="811" spans="1:17">
      <c r="A811" t="s">
        <v>93</v>
      </c>
      <c r="B811" t="s">
        <v>106</v>
      </c>
      <c r="C811" t="s">
        <v>56</v>
      </c>
      <c r="D811" t="s">
        <v>594</v>
      </c>
      <c r="E811">
        <v>12</v>
      </c>
      <c r="F811" t="str">
        <f>VLOOKUP(E811,[1]LOJA!$A:$B,2,0)</f>
        <v>SOFNORTE</v>
      </c>
      <c r="G811" t="s">
        <v>19</v>
      </c>
      <c r="H811" t="s">
        <v>19</v>
      </c>
      <c r="I811" s="1">
        <v>46034</v>
      </c>
      <c r="J811" s="1">
        <v>46032</v>
      </c>
      <c r="K811" s="1">
        <v>46034</v>
      </c>
      <c r="L811">
        <v>33</v>
      </c>
      <c r="M811">
        <v>1.41</v>
      </c>
      <c r="N811">
        <v>1.41</v>
      </c>
      <c r="O811">
        <v>0</v>
      </c>
      <c r="P811">
        <v>0</v>
      </c>
      <c r="Q811" t="s">
        <v>108</v>
      </c>
    </row>
    <row r="812" spans="1:17">
      <c r="A812" t="s">
        <v>93</v>
      </c>
      <c r="B812" t="s">
        <v>106</v>
      </c>
      <c r="C812" t="s">
        <v>56</v>
      </c>
      <c r="D812" t="s">
        <v>595</v>
      </c>
      <c r="E812">
        <v>12</v>
      </c>
      <c r="F812" t="str">
        <f>VLOOKUP(E812,[1]LOJA!$A:$B,2,0)</f>
        <v>SOFNORTE</v>
      </c>
      <c r="G812" t="s">
        <v>19</v>
      </c>
      <c r="H812" t="s">
        <v>19</v>
      </c>
      <c r="I812" s="1">
        <v>46034</v>
      </c>
      <c r="J812" s="1">
        <v>46032</v>
      </c>
      <c r="K812" s="1">
        <v>46034</v>
      </c>
      <c r="L812">
        <v>33</v>
      </c>
      <c r="M812">
        <v>0.45</v>
      </c>
      <c r="N812">
        <v>0.45</v>
      </c>
      <c r="O812">
        <v>0</v>
      </c>
      <c r="P812">
        <v>0</v>
      </c>
      <c r="Q812" t="s">
        <v>108</v>
      </c>
    </row>
    <row r="813" spans="1:17">
      <c r="A813" t="s">
        <v>93</v>
      </c>
      <c r="B813" t="s">
        <v>106</v>
      </c>
      <c r="C813" t="s">
        <v>56</v>
      </c>
      <c r="D813" t="s">
        <v>596</v>
      </c>
      <c r="E813">
        <v>12</v>
      </c>
      <c r="F813" t="str">
        <f>VLOOKUP(E813,[1]LOJA!$A:$B,2,0)</f>
        <v>SOFNORTE</v>
      </c>
      <c r="G813" t="s">
        <v>19</v>
      </c>
      <c r="H813" t="s">
        <v>19</v>
      </c>
      <c r="I813" s="1">
        <v>46034</v>
      </c>
      <c r="J813" s="1">
        <v>46032</v>
      </c>
      <c r="K813" s="1">
        <v>46034</v>
      </c>
      <c r="L813">
        <v>33</v>
      </c>
      <c r="M813">
        <v>0.33</v>
      </c>
      <c r="N813">
        <v>0.33</v>
      </c>
      <c r="O813">
        <v>0</v>
      </c>
      <c r="P813">
        <v>0</v>
      </c>
      <c r="Q813" t="s">
        <v>108</v>
      </c>
    </row>
    <row r="814" spans="1:17">
      <c r="A814" t="s">
        <v>93</v>
      </c>
      <c r="B814" t="s">
        <v>106</v>
      </c>
      <c r="C814" t="s">
        <v>56</v>
      </c>
      <c r="D814" t="s">
        <v>597</v>
      </c>
      <c r="E814">
        <v>12</v>
      </c>
      <c r="F814" t="str">
        <f>VLOOKUP(E814,[1]LOJA!$A:$B,2,0)</f>
        <v>SOFNORTE</v>
      </c>
      <c r="G814" t="s">
        <v>19</v>
      </c>
      <c r="H814" t="s">
        <v>19</v>
      </c>
      <c r="I814" s="1">
        <v>46034</v>
      </c>
      <c r="J814" s="1">
        <v>46032</v>
      </c>
      <c r="K814" s="1">
        <v>46034</v>
      </c>
      <c r="L814">
        <v>33</v>
      </c>
      <c r="M814">
        <v>0.23</v>
      </c>
      <c r="N814">
        <v>0.23</v>
      </c>
      <c r="O814">
        <v>0</v>
      </c>
      <c r="P814">
        <v>0</v>
      </c>
      <c r="Q814" t="s">
        <v>108</v>
      </c>
    </row>
    <row r="815" spans="1:17">
      <c r="A815" t="s">
        <v>93</v>
      </c>
      <c r="B815" t="s">
        <v>106</v>
      </c>
      <c r="C815" t="s">
        <v>56</v>
      </c>
      <c r="D815" t="s">
        <v>598</v>
      </c>
      <c r="E815">
        <v>12</v>
      </c>
      <c r="F815" t="str">
        <f>VLOOKUP(E815,[1]LOJA!$A:$B,2,0)</f>
        <v>SOFNORTE</v>
      </c>
      <c r="G815" t="s">
        <v>19</v>
      </c>
      <c r="H815" t="s">
        <v>19</v>
      </c>
      <c r="I815" s="1">
        <v>46034</v>
      </c>
      <c r="J815" s="1">
        <v>46032</v>
      </c>
      <c r="K815" s="1">
        <v>46034</v>
      </c>
      <c r="L815">
        <v>33</v>
      </c>
      <c r="M815">
        <v>0.47</v>
      </c>
      <c r="N815">
        <v>0.47</v>
      </c>
      <c r="O815">
        <v>0</v>
      </c>
      <c r="P815">
        <v>0</v>
      </c>
      <c r="Q815" t="s">
        <v>108</v>
      </c>
    </row>
    <row r="816" spans="1:17">
      <c r="A816" t="s">
        <v>93</v>
      </c>
      <c r="B816" t="s">
        <v>106</v>
      </c>
      <c r="C816" t="s">
        <v>56</v>
      </c>
      <c r="D816" t="s">
        <v>599</v>
      </c>
      <c r="E816">
        <v>12</v>
      </c>
      <c r="F816" t="str">
        <f>VLOOKUP(E816,[1]LOJA!$A:$B,2,0)</f>
        <v>SOFNORTE</v>
      </c>
      <c r="G816" t="s">
        <v>19</v>
      </c>
      <c r="H816" t="s">
        <v>19</v>
      </c>
      <c r="I816" s="1">
        <v>46034</v>
      </c>
      <c r="J816" s="1">
        <v>46032</v>
      </c>
      <c r="K816" s="1">
        <v>46034</v>
      </c>
      <c r="L816">
        <v>33</v>
      </c>
      <c r="M816">
        <v>0.25</v>
      </c>
      <c r="N816">
        <v>0.25</v>
      </c>
      <c r="O816">
        <v>0</v>
      </c>
      <c r="P816">
        <v>0</v>
      </c>
      <c r="Q816" t="s">
        <v>108</v>
      </c>
    </row>
    <row r="817" spans="1:17">
      <c r="A817" t="s">
        <v>93</v>
      </c>
      <c r="B817" t="s">
        <v>106</v>
      </c>
      <c r="C817" t="s">
        <v>56</v>
      </c>
      <c r="D817" t="s">
        <v>600</v>
      </c>
      <c r="E817">
        <v>12</v>
      </c>
      <c r="F817" t="str">
        <f>VLOOKUP(E817,[1]LOJA!$A:$B,2,0)</f>
        <v>SOFNORTE</v>
      </c>
      <c r="G817" t="s">
        <v>19</v>
      </c>
      <c r="H817" t="s">
        <v>19</v>
      </c>
      <c r="I817" s="1">
        <v>46034</v>
      </c>
      <c r="J817" s="1">
        <v>46032</v>
      </c>
      <c r="K817" s="1">
        <v>46034</v>
      </c>
      <c r="L817">
        <v>33</v>
      </c>
      <c r="M817">
        <v>0.08</v>
      </c>
      <c r="N817">
        <v>0.08</v>
      </c>
      <c r="O817">
        <v>0</v>
      </c>
      <c r="P817">
        <v>0</v>
      </c>
      <c r="Q817" t="s">
        <v>108</v>
      </c>
    </row>
    <row r="818" spans="1:17">
      <c r="A818" t="s">
        <v>93</v>
      </c>
      <c r="B818" t="s">
        <v>106</v>
      </c>
      <c r="C818" t="s">
        <v>56</v>
      </c>
      <c r="D818" t="s">
        <v>601</v>
      </c>
      <c r="E818">
        <v>12</v>
      </c>
      <c r="F818" t="str">
        <f>VLOOKUP(E818,[1]LOJA!$A:$B,2,0)</f>
        <v>SOFNORTE</v>
      </c>
      <c r="G818" t="s">
        <v>19</v>
      </c>
      <c r="H818" t="s">
        <v>19</v>
      </c>
      <c r="I818" s="1">
        <v>46034</v>
      </c>
      <c r="J818" s="1">
        <v>46032</v>
      </c>
      <c r="K818" s="1">
        <v>46034</v>
      </c>
      <c r="L818">
        <v>33</v>
      </c>
      <c r="M818">
        <v>0.47</v>
      </c>
      <c r="N818">
        <v>0.47</v>
      </c>
      <c r="O818">
        <v>0</v>
      </c>
      <c r="P818">
        <v>0</v>
      </c>
      <c r="Q818" t="s">
        <v>108</v>
      </c>
    </row>
    <row r="819" spans="1:17">
      <c r="A819" t="s">
        <v>93</v>
      </c>
      <c r="B819" t="s">
        <v>106</v>
      </c>
      <c r="C819" t="s">
        <v>56</v>
      </c>
      <c r="D819" t="s">
        <v>602</v>
      </c>
      <c r="E819">
        <v>12</v>
      </c>
      <c r="F819" t="str">
        <f>VLOOKUP(E819,[1]LOJA!$A:$B,2,0)</f>
        <v>SOFNORTE</v>
      </c>
      <c r="G819" t="s">
        <v>19</v>
      </c>
      <c r="H819" t="s">
        <v>19</v>
      </c>
      <c r="I819" s="1">
        <v>46034</v>
      </c>
      <c r="J819" s="1">
        <v>46033</v>
      </c>
      <c r="K819" s="1">
        <v>46034</v>
      </c>
      <c r="L819">
        <v>33</v>
      </c>
      <c r="M819">
        <v>0.78</v>
      </c>
      <c r="N819">
        <v>0.78</v>
      </c>
      <c r="O819">
        <v>0</v>
      </c>
      <c r="P819">
        <v>0</v>
      </c>
      <c r="Q819" t="s">
        <v>108</v>
      </c>
    </row>
    <row r="820" spans="1:17">
      <c r="A820" t="s">
        <v>93</v>
      </c>
      <c r="B820" t="s">
        <v>106</v>
      </c>
      <c r="C820" t="s">
        <v>56</v>
      </c>
      <c r="D820" t="s">
        <v>603</v>
      </c>
      <c r="E820">
        <v>12</v>
      </c>
      <c r="F820" t="str">
        <f>VLOOKUP(E820,[1]LOJA!$A:$B,2,0)</f>
        <v>SOFNORTE</v>
      </c>
      <c r="G820" t="s">
        <v>19</v>
      </c>
      <c r="H820" t="s">
        <v>19</v>
      </c>
      <c r="I820" s="1">
        <v>46034</v>
      </c>
      <c r="J820" s="1">
        <v>46033</v>
      </c>
      <c r="K820" s="1">
        <v>46034</v>
      </c>
      <c r="L820">
        <v>33</v>
      </c>
      <c r="M820">
        <v>0.1</v>
      </c>
      <c r="N820">
        <v>0.1</v>
      </c>
      <c r="O820">
        <v>0</v>
      </c>
      <c r="P820">
        <v>0</v>
      </c>
      <c r="Q820" t="s">
        <v>108</v>
      </c>
    </row>
    <row r="821" spans="1:17">
      <c r="A821" t="s">
        <v>93</v>
      </c>
      <c r="B821" t="s">
        <v>106</v>
      </c>
      <c r="C821" t="s">
        <v>56</v>
      </c>
      <c r="D821" t="s">
        <v>604</v>
      </c>
      <c r="E821">
        <v>12</v>
      </c>
      <c r="F821" t="str">
        <f>VLOOKUP(E821,[1]LOJA!$A:$B,2,0)</f>
        <v>SOFNORTE</v>
      </c>
      <c r="G821" t="s">
        <v>19</v>
      </c>
      <c r="H821" t="s">
        <v>19</v>
      </c>
      <c r="I821" s="1">
        <v>46034</v>
      </c>
      <c r="J821" s="1">
        <v>46033</v>
      </c>
      <c r="K821" s="1">
        <v>46034</v>
      </c>
      <c r="L821">
        <v>33</v>
      </c>
      <c r="M821">
        <v>1.36</v>
      </c>
      <c r="N821">
        <v>1.36</v>
      </c>
      <c r="O821">
        <v>0</v>
      </c>
      <c r="P821">
        <v>0</v>
      </c>
      <c r="Q821" t="s">
        <v>108</v>
      </c>
    </row>
    <row r="822" spans="1:17">
      <c r="A822" t="s">
        <v>93</v>
      </c>
      <c r="B822" t="s">
        <v>106</v>
      </c>
      <c r="C822" t="s">
        <v>56</v>
      </c>
      <c r="D822" t="s">
        <v>605</v>
      </c>
      <c r="E822">
        <v>12</v>
      </c>
      <c r="F822" t="str">
        <f>VLOOKUP(E822,[1]LOJA!$A:$B,2,0)</f>
        <v>SOFNORTE</v>
      </c>
      <c r="G822" t="s">
        <v>19</v>
      </c>
      <c r="H822" t="s">
        <v>19</v>
      </c>
      <c r="I822" s="1">
        <v>46035</v>
      </c>
      <c r="J822" s="1">
        <v>46035</v>
      </c>
      <c r="K822" s="1">
        <v>46035</v>
      </c>
      <c r="L822">
        <v>33</v>
      </c>
      <c r="M822">
        <v>10.51</v>
      </c>
      <c r="N822">
        <v>10.51</v>
      </c>
      <c r="O822">
        <v>0</v>
      </c>
      <c r="P822">
        <v>0</v>
      </c>
      <c r="Q822" t="s">
        <v>108</v>
      </c>
    </row>
    <row r="823" spans="1:17">
      <c r="A823" t="s">
        <v>93</v>
      </c>
      <c r="B823" t="s">
        <v>106</v>
      </c>
      <c r="C823" t="s">
        <v>56</v>
      </c>
      <c r="D823" t="s">
        <v>606</v>
      </c>
      <c r="E823">
        <v>12</v>
      </c>
      <c r="F823" t="str">
        <f>VLOOKUP(E823,[1]LOJA!$A:$B,2,0)</f>
        <v>SOFNORTE</v>
      </c>
      <c r="G823" t="s">
        <v>19</v>
      </c>
      <c r="H823" t="s">
        <v>19</v>
      </c>
      <c r="I823" s="1">
        <v>46035</v>
      </c>
      <c r="J823" s="1">
        <v>46035</v>
      </c>
      <c r="K823" s="1">
        <v>46035</v>
      </c>
      <c r="L823">
        <v>33</v>
      </c>
      <c r="M823">
        <v>13.61</v>
      </c>
      <c r="N823">
        <v>13.61</v>
      </c>
      <c r="O823">
        <v>0</v>
      </c>
      <c r="P823">
        <v>0</v>
      </c>
      <c r="Q823" t="s">
        <v>108</v>
      </c>
    </row>
    <row r="824" spans="1:17">
      <c r="A824" t="s">
        <v>93</v>
      </c>
      <c r="B824" t="s">
        <v>106</v>
      </c>
      <c r="C824" t="s">
        <v>56</v>
      </c>
      <c r="D824" t="s">
        <v>607</v>
      </c>
      <c r="E824">
        <v>12</v>
      </c>
      <c r="F824" t="str">
        <f>VLOOKUP(E824,[1]LOJA!$A:$B,2,0)</f>
        <v>SOFNORTE</v>
      </c>
      <c r="G824" t="s">
        <v>19</v>
      </c>
      <c r="H824" t="s">
        <v>19</v>
      </c>
      <c r="I824" s="1">
        <v>46035</v>
      </c>
      <c r="J824" s="1">
        <v>46035</v>
      </c>
      <c r="K824" s="1">
        <v>46035</v>
      </c>
      <c r="L824">
        <v>33</v>
      </c>
      <c r="M824">
        <v>10.95</v>
      </c>
      <c r="N824">
        <v>10.95</v>
      </c>
      <c r="O824">
        <v>0</v>
      </c>
      <c r="P824">
        <v>0</v>
      </c>
      <c r="Q824" t="s">
        <v>108</v>
      </c>
    </row>
    <row r="825" spans="1:17">
      <c r="A825" t="s">
        <v>93</v>
      </c>
      <c r="B825" t="s">
        <v>106</v>
      </c>
      <c r="C825" t="s">
        <v>56</v>
      </c>
      <c r="D825" t="s">
        <v>608</v>
      </c>
      <c r="E825">
        <v>12</v>
      </c>
      <c r="F825" t="str">
        <f>VLOOKUP(E825,[1]LOJA!$A:$B,2,0)</f>
        <v>SOFNORTE</v>
      </c>
      <c r="G825" t="s">
        <v>19</v>
      </c>
      <c r="H825" t="s">
        <v>19</v>
      </c>
      <c r="I825" s="1">
        <v>46035</v>
      </c>
      <c r="J825" s="1">
        <v>46035</v>
      </c>
      <c r="K825" s="1">
        <v>46035</v>
      </c>
      <c r="L825">
        <v>33</v>
      </c>
      <c r="M825">
        <v>3.39</v>
      </c>
      <c r="N825">
        <v>3.39</v>
      </c>
      <c r="O825">
        <v>0</v>
      </c>
      <c r="P825">
        <v>0</v>
      </c>
      <c r="Q825" t="s">
        <v>108</v>
      </c>
    </row>
    <row r="826" spans="1:17">
      <c r="A826" t="s">
        <v>93</v>
      </c>
      <c r="B826" t="s">
        <v>106</v>
      </c>
      <c r="C826" t="s">
        <v>56</v>
      </c>
      <c r="D826" t="s">
        <v>609</v>
      </c>
      <c r="E826">
        <v>12</v>
      </c>
      <c r="F826" t="str">
        <f>VLOOKUP(E826,[1]LOJA!$A:$B,2,0)</f>
        <v>SOFNORTE</v>
      </c>
      <c r="G826" t="s">
        <v>19</v>
      </c>
      <c r="H826" t="s">
        <v>19</v>
      </c>
      <c r="I826" s="1">
        <v>46035</v>
      </c>
      <c r="J826" s="1">
        <v>46035</v>
      </c>
      <c r="K826" s="1">
        <v>46035</v>
      </c>
      <c r="L826">
        <v>33</v>
      </c>
      <c r="M826">
        <v>5.38</v>
      </c>
      <c r="N826">
        <v>5.38</v>
      </c>
      <c r="O826">
        <v>0</v>
      </c>
      <c r="P826">
        <v>0</v>
      </c>
      <c r="Q826" t="s">
        <v>108</v>
      </c>
    </row>
    <row r="827" spans="1:17">
      <c r="A827" t="s">
        <v>93</v>
      </c>
      <c r="B827" t="s">
        <v>106</v>
      </c>
      <c r="C827" t="s">
        <v>56</v>
      </c>
      <c r="D827" t="s">
        <v>610</v>
      </c>
      <c r="E827">
        <v>12</v>
      </c>
      <c r="F827" t="str">
        <f>VLOOKUP(E827,[1]LOJA!$A:$B,2,0)</f>
        <v>SOFNORTE</v>
      </c>
      <c r="G827" t="s">
        <v>19</v>
      </c>
      <c r="H827" t="s">
        <v>19</v>
      </c>
      <c r="I827" s="1">
        <v>46035</v>
      </c>
      <c r="J827" s="1">
        <v>46035</v>
      </c>
      <c r="K827" s="1">
        <v>46035</v>
      </c>
      <c r="L827">
        <v>33</v>
      </c>
      <c r="M827">
        <v>0.93</v>
      </c>
      <c r="N827">
        <v>0.93</v>
      </c>
      <c r="O827">
        <v>0</v>
      </c>
      <c r="P827">
        <v>0</v>
      </c>
      <c r="Q827" t="s">
        <v>108</v>
      </c>
    </row>
    <row r="828" spans="1:17">
      <c r="A828" t="s">
        <v>93</v>
      </c>
      <c r="B828" t="s">
        <v>106</v>
      </c>
      <c r="C828" t="s">
        <v>56</v>
      </c>
      <c r="D828" t="s">
        <v>611</v>
      </c>
      <c r="E828">
        <v>12</v>
      </c>
      <c r="F828" t="str">
        <f>VLOOKUP(E828,[1]LOJA!$A:$B,2,0)</f>
        <v>SOFNORTE</v>
      </c>
      <c r="G828" t="s">
        <v>19</v>
      </c>
      <c r="H828" t="s">
        <v>19</v>
      </c>
      <c r="I828" s="1">
        <v>46035</v>
      </c>
      <c r="J828" s="1">
        <v>46035</v>
      </c>
      <c r="K828" s="1">
        <v>46035</v>
      </c>
      <c r="L828">
        <v>33</v>
      </c>
      <c r="M828">
        <v>0.53</v>
      </c>
      <c r="N828">
        <v>0.53</v>
      </c>
      <c r="O828">
        <v>0</v>
      </c>
      <c r="P828">
        <v>0</v>
      </c>
      <c r="Q828" t="s">
        <v>108</v>
      </c>
    </row>
    <row r="829" spans="1:17">
      <c r="A829" t="s">
        <v>93</v>
      </c>
      <c r="B829" t="s">
        <v>106</v>
      </c>
      <c r="C829" t="s">
        <v>56</v>
      </c>
      <c r="D829" t="s">
        <v>612</v>
      </c>
      <c r="E829">
        <v>12</v>
      </c>
      <c r="F829" t="str">
        <f>VLOOKUP(E829,[1]LOJA!$A:$B,2,0)</f>
        <v>SOFNORTE</v>
      </c>
      <c r="G829" t="s">
        <v>19</v>
      </c>
      <c r="H829" t="s">
        <v>19</v>
      </c>
      <c r="I829" s="1">
        <v>46035</v>
      </c>
      <c r="J829" s="1">
        <v>46035</v>
      </c>
      <c r="K829" s="1">
        <v>46035</v>
      </c>
      <c r="L829">
        <v>33</v>
      </c>
      <c r="M829">
        <v>0.2</v>
      </c>
      <c r="N829">
        <v>0.2</v>
      </c>
      <c r="O829">
        <v>0</v>
      </c>
      <c r="P829">
        <v>0</v>
      </c>
      <c r="Q829" t="s">
        <v>108</v>
      </c>
    </row>
    <row r="830" spans="1:17">
      <c r="A830" t="s">
        <v>93</v>
      </c>
      <c r="B830" t="s">
        <v>106</v>
      </c>
      <c r="C830" t="s">
        <v>56</v>
      </c>
      <c r="D830" t="s">
        <v>613</v>
      </c>
      <c r="E830">
        <v>12</v>
      </c>
      <c r="F830" t="str">
        <f>VLOOKUP(E830,[1]LOJA!$A:$B,2,0)</f>
        <v>SOFNORTE</v>
      </c>
      <c r="G830" t="s">
        <v>19</v>
      </c>
      <c r="H830" t="s">
        <v>19</v>
      </c>
      <c r="I830" s="1">
        <v>46035</v>
      </c>
      <c r="J830" s="1">
        <v>46035</v>
      </c>
      <c r="K830" s="1">
        <v>46035</v>
      </c>
      <c r="L830">
        <v>33</v>
      </c>
      <c r="M830">
        <v>0.59</v>
      </c>
      <c r="N830">
        <v>0.59</v>
      </c>
      <c r="O830">
        <v>0</v>
      </c>
      <c r="P830">
        <v>0</v>
      </c>
      <c r="Q830" t="s">
        <v>108</v>
      </c>
    </row>
    <row r="831" spans="1:17">
      <c r="A831" t="s">
        <v>93</v>
      </c>
      <c r="B831" t="s">
        <v>106</v>
      </c>
      <c r="C831" t="s">
        <v>56</v>
      </c>
      <c r="D831" t="s">
        <v>614</v>
      </c>
      <c r="E831">
        <v>12</v>
      </c>
      <c r="F831" t="str">
        <f>VLOOKUP(E831,[1]LOJA!$A:$B,2,0)</f>
        <v>SOFNORTE</v>
      </c>
      <c r="G831" t="s">
        <v>19</v>
      </c>
      <c r="H831" t="s">
        <v>19</v>
      </c>
      <c r="I831" s="1">
        <v>46035</v>
      </c>
      <c r="J831" s="1">
        <v>46035</v>
      </c>
      <c r="K831" s="1">
        <v>46035</v>
      </c>
      <c r="L831">
        <v>33</v>
      </c>
      <c r="M831">
        <v>1.73</v>
      </c>
      <c r="N831">
        <v>1.73</v>
      </c>
      <c r="O831">
        <v>0</v>
      </c>
      <c r="P831">
        <v>0</v>
      </c>
      <c r="Q831" t="s">
        <v>108</v>
      </c>
    </row>
    <row r="832" spans="1:17">
      <c r="A832" t="s">
        <v>93</v>
      </c>
      <c r="B832" t="s">
        <v>106</v>
      </c>
      <c r="C832" t="s">
        <v>56</v>
      </c>
      <c r="D832" t="s">
        <v>615</v>
      </c>
      <c r="E832">
        <v>12</v>
      </c>
      <c r="F832" t="str">
        <f>VLOOKUP(E832,[1]LOJA!$A:$B,2,0)</f>
        <v>SOFNORTE</v>
      </c>
      <c r="G832" t="s">
        <v>19</v>
      </c>
      <c r="H832" t="s">
        <v>19</v>
      </c>
      <c r="I832" s="1">
        <v>46035</v>
      </c>
      <c r="J832" s="1">
        <v>46035</v>
      </c>
      <c r="K832" s="1">
        <v>46035</v>
      </c>
      <c r="L832">
        <v>33</v>
      </c>
      <c r="M832">
        <v>0.84</v>
      </c>
      <c r="N832">
        <v>0.84</v>
      </c>
      <c r="O832">
        <v>0</v>
      </c>
      <c r="P832">
        <v>0</v>
      </c>
      <c r="Q832" t="s">
        <v>108</v>
      </c>
    </row>
    <row r="833" spans="1:17">
      <c r="A833" t="s">
        <v>93</v>
      </c>
      <c r="B833" t="s">
        <v>106</v>
      </c>
      <c r="C833" t="s">
        <v>56</v>
      </c>
      <c r="D833" t="s">
        <v>616</v>
      </c>
      <c r="E833">
        <v>12</v>
      </c>
      <c r="F833" t="str">
        <f>VLOOKUP(E833,[1]LOJA!$A:$B,2,0)</f>
        <v>SOFNORTE</v>
      </c>
      <c r="G833" t="s">
        <v>19</v>
      </c>
      <c r="H833" t="s">
        <v>19</v>
      </c>
      <c r="I833" s="1">
        <v>46035</v>
      </c>
      <c r="J833" s="1">
        <v>46035</v>
      </c>
      <c r="K833" s="1">
        <v>46035</v>
      </c>
      <c r="L833">
        <v>33</v>
      </c>
      <c r="M833">
        <v>0.33</v>
      </c>
      <c r="N833">
        <v>0.33</v>
      </c>
      <c r="O833">
        <v>0</v>
      </c>
      <c r="P833">
        <v>0</v>
      </c>
      <c r="Q833" t="s">
        <v>108</v>
      </c>
    </row>
    <row r="834" spans="1:17">
      <c r="A834" t="s">
        <v>93</v>
      </c>
      <c r="B834" t="s">
        <v>106</v>
      </c>
      <c r="C834" t="s">
        <v>56</v>
      </c>
      <c r="D834" t="s">
        <v>617</v>
      </c>
      <c r="E834">
        <v>12</v>
      </c>
      <c r="F834" t="str">
        <f>VLOOKUP(E834,[1]LOJA!$A:$B,2,0)</f>
        <v>SOFNORTE</v>
      </c>
      <c r="G834" t="s">
        <v>19</v>
      </c>
      <c r="H834" t="s">
        <v>19</v>
      </c>
      <c r="I834" s="1">
        <v>46035</v>
      </c>
      <c r="J834" s="1">
        <v>46035</v>
      </c>
      <c r="K834" s="1">
        <v>46035</v>
      </c>
      <c r="L834">
        <v>33</v>
      </c>
      <c r="M834">
        <v>0.1</v>
      </c>
      <c r="N834">
        <v>0.1</v>
      </c>
      <c r="O834">
        <v>0</v>
      </c>
      <c r="P834">
        <v>0</v>
      </c>
      <c r="Q834" t="s">
        <v>108</v>
      </c>
    </row>
    <row r="835" spans="1:17">
      <c r="A835" t="s">
        <v>93</v>
      </c>
      <c r="B835" t="s">
        <v>106</v>
      </c>
      <c r="C835" t="s">
        <v>56</v>
      </c>
      <c r="D835" t="s">
        <v>618</v>
      </c>
      <c r="E835">
        <v>12</v>
      </c>
      <c r="F835" t="str">
        <f>VLOOKUP(E835,[1]LOJA!$A:$B,2,0)</f>
        <v>SOFNORTE</v>
      </c>
      <c r="G835" t="s">
        <v>19</v>
      </c>
      <c r="H835" t="s">
        <v>19</v>
      </c>
      <c r="I835" s="1">
        <v>46035</v>
      </c>
      <c r="J835" s="1">
        <v>46035</v>
      </c>
      <c r="K835" s="1">
        <v>46035</v>
      </c>
      <c r="L835">
        <v>33</v>
      </c>
      <c r="M835">
        <v>0.44</v>
      </c>
      <c r="N835">
        <v>0.44</v>
      </c>
      <c r="O835">
        <v>0</v>
      </c>
      <c r="P835">
        <v>0</v>
      </c>
      <c r="Q835" t="s">
        <v>108</v>
      </c>
    </row>
    <row r="836" spans="1:17">
      <c r="A836" t="s">
        <v>93</v>
      </c>
      <c r="B836" t="s">
        <v>106</v>
      </c>
      <c r="C836" t="s">
        <v>56</v>
      </c>
      <c r="D836" t="s">
        <v>619</v>
      </c>
      <c r="E836">
        <v>12</v>
      </c>
      <c r="F836" t="str">
        <f>VLOOKUP(E836,[1]LOJA!$A:$B,2,0)</f>
        <v>SOFNORTE</v>
      </c>
      <c r="G836" t="s">
        <v>19</v>
      </c>
      <c r="H836" t="s">
        <v>19</v>
      </c>
      <c r="I836" s="1">
        <v>46036</v>
      </c>
      <c r="J836" s="1">
        <v>46036</v>
      </c>
      <c r="K836" s="1">
        <v>46036</v>
      </c>
      <c r="L836">
        <v>33</v>
      </c>
      <c r="M836">
        <v>3.26</v>
      </c>
      <c r="N836">
        <v>3.26</v>
      </c>
      <c r="O836">
        <v>0</v>
      </c>
      <c r="P836">
        <v>0</v>
      </c>
      <c r="Q836" t="s">
        <v>108</v>
      </c>
    </row>
    <row r="837" spans="1:17">
      <c r="A837" t="s">
        <v>93</v>
      </c>
      <c r="B837" t="s">
        <v>106</v>
      </c>
      <c r="C837" t="s">
        <v>56</v>
      </c>
      <c r="D837" t="s">
        <v>620</v>
      </c>
      <c r="E837">
        <v>12</v>
      </c>
      <c r="F837" t="str">
        <f>VLOOKUP(E837,[1]LOJA!$A:$B,2,0)</f>
        <v>SOFNORTE</v>
      </c>
      <c r="G837" t="s">
        <v>19</v>
      </c>
      <c r="H837" t="s">
        <v>19</v>
      </c>
      <c r="I837" s="1">
        <v>46036</v>
      </c>
      <c r="J837" s="1">
        <v>46036</v>
      </c>
      <c r="K837" s="1">
        <v>46036</v>
      </c>
      <c r="L837">
        <v>33</v>
      </c>
      <c r="M837">
        <v>5.1100000000000003</v>
      </c>
      <c r="N837">
        <v>5.1100000000000003</v>
      </c>
      <c r="O837">
        <v>0</v>
      </c>
      <c r="P837">
        <v>0</v>
      </c>
      <c r="Q837" t="s">
        <v>108</v>
      </c>
    </row>
    <row r="838" spans="1:17">
      <c r="A838" t="s">
        <v>93</v>
      </c>
      <c r="B838" t="s">
        <v>106</v>
      </c>
      <c r="C838" t="s">
        <v>56</v>
      </c>
      <c r="D838" t="s">
        <v>621</v>
      </c>
      <c r="E838">
        <v>12</v>
      </c>
      <c r="F838" t="str">
        <f>VLOOKUP(E838,[1]LOJA!$A:$B,2,0)</f>
        <v>SOFNORTE</v>
      </c>
      <c r="G838" t="s">
        <v>19</v>
      </c>
      <c r="H838" t="s">
        <v>19</v>
      </c>
      <c r="I838" s="1">
        <v>46036</v>
      </c>
      <c r="J838" s="1">
        <v>46036</v>
      </c>
      <c r="K838" s="1">
        <v>46036</v>
      </c>
      <c r="L838">
        <v>33</v>
      </c>
      <c r="M838">
        <v>9.42</v>
      </c>
      <c r="N838">
        <v>9.42</v>
      </c>
      <c r="O838">
        <v>0</v>
      </c>
      <c r="P838">
        <v>0</v>
      </c>
      <c r="Q838" t="s">
        <v>108</v>
      </c>
    </row>
    <row r="839" spans="1:17">
      <c r="A839" t="s">
        <v>93</v>
      </c>
      <c r="B839" t="s">
        <v>106</v>
      </c>
      <c r="C839" t="s">
        <v>56</v>
      </c>
      <c r="D839" t="s">
        <v>622</v>
      </c>
      <c r="E839">
        <v>12</v>
      </c>
      <c r="F839" t="str">
        <f>VLOOKUP(E839,[1]LOJA!$A:$B,2,0)</f>
        <v>SOFNORTE</v>
      </c>
      <c r="G839" t="s">
        <v>19</v>
      </c>
      <c r="H839" t="s">
        <v>19</v>
      </c>
      <c r="I839" s="1">
        <v>46036</v>
      </c>
      <c r="J839" s="1">
        <v>46036</v>
      </c>
      <c r="K839" s="1">
        <v>46036</v>
      </c>
      <c r="L839">
        <v>33</v>
      </c>
      <c r="M839">
        <v>6.65</v>
      </c>
      <c r="N839">
        <v>6.65</v>
      </c>
      <c r="O839">
        <v>0</v>
      </c>
      <c r="P839">
        <v>0</v>
      </c>
      <c r="Q839" t="s">
        <v>108</v>
      </c>
    </row>
    <row r="840" spans="1:17">
      <c r="A840" t="s">
        <v>93</v>
      </c>
      <c r="B840" t="s">
        <v>106</v>
      </c>
      <c r="C840" t="s">
        <v>56</v>
      </c>
      <c r="D840" t="s">
        <v>623</v>
      </c>
      <c r="E840">
        <v>12</v>
      </c>
      <c r="F840" t="str">
        <f>VLOOKUP(E840,[1]LOJA!$A:$B,2,0)</f>
        <v>SOFNORTE</v>
      </c>
      <c r="G840" t="s">
        <v>19</v>
      </c>
      <c r="H840" t="s">
        <v>19</v>
      </c>
      <c r="I840" s="1">
        <v>46036</v>
      </c>
      <c r="J840" s="1">
        <v>46036</v>
      </c>
      <c r="K840" s="1">
        <v>46036</v>
      </c>
      <c r="L840">
        <v>33</v>
      </c>
      <c r="M840">
        <v>0.57999999999999996</v>
      </c>
      <c r="N840">
        <v>0.57999999999999996</v>
      </c>
      <c r="O840">
        <v>0</v>
      </c>
      <c r="P840">
        <v>0</v>
      </c>
      <c r="Q840" t="s">
        <v>108</v>
      </c>
    </row>
    <row r="841" spans="1:17">
      <c r="A841" t="s">
        <v>93</v>
      </c>
      <c r="B841" t="s">
        <v>106</v>
      </c>
      <c r="C841" t="s">
        <v>56</v>
      </c>
      <c r="D841" t="s">
        <v>624</v>
      </c>
      <c r="E841">
        <v>12</v>
      </c>
      <c r="F841" t="str">
        <f>VLOOKUP(E841,[1]LOJA!$A:$B,2,0)</f>
        <v>SOFNORTE</v>
      </c>
      <c r="G841" t="s">
        <v>19</v>
      </c>
      <c r="H841" t="s">
        <v>19</v>
      </c>
      <c r="I841" s="1">
        <v>46036</v>
      </c>
      <c r="J841" s="1">
        <v>46036</v>
      </c>
      <c r="K841" s="1">
        <v>46036</v>
      </c>
      <c r="L841">
        <v>33</v>
      </c>
      <c r="M841">
        <v>3.21</v>
      </c>
      <c r="N841">
        <v>3.21</v>
      </c>
      <c r="O841">
        <v>0</v>
      </c>
      <c r="P841">
        <v>0</v>
      </c>
      <c r="Q841" t="s">
        <v>108</v>
      </c>
    </row>
    <row r="842" spans="1:17">
      <c r="A842" t="s">
        <v>93</v>
      </c>
      <c r="B842" t="s">
        <v>106</v>
      </c>
      <c r="C842" t="s">
        <v>56</v>
      </c>
      <c r="D842" t="s">
        <v>625</v>
      </c>
      <c r="E842">
        <v>12</v>
      </c>
      <c r="F842" t="str">
        <f>VLOOKUP(E842,[1]LOJA!$A:$B,2,0)</f>
        <v>SOFNORTE</v>
      </c>
      <c r="G842" t="s">
        <v>19</v>
      </c>
      <c r="H842" t="s">
        <v>19</v>
      </c>
      <c r="I842" s="1">
        <v>46036</v>
      </c>
      <c r="J842" s="1">
        <v>46036</v>
      </c>
      <c r="K842" s="1">
        <v>46036</v>
      </c>
      <c r="L842">
        <v>33</v>
      </c>
      <c r="M842">
        <v>0.67</v>
      </c>
      <c r="N842">
        <v>0.67</v>
      </c>
      <c r="O842">
        <v>0</v>
      </c>
      <c r="P842">
        <v>0</v>
      </c>
      <c r="Q842" t="s">
        <v>108</v>
      </c>
    </row>
    <row r="843" spans="1:17">
      <c r="A843" t="s">
        <v>93</v>
      </c>
      <c r="B843" t="s">
        <v>106</v>
      </c>
      <c r="C843" t="s">
        <v>56</v>
      </c>
      <c r="D843" t="s">
        <v>626</v>
      </c>
      <c r="E843">
        <v>12</v>
      </c>
      <c r="F843" t="str">
        <f>VLOOKUP(E843,[1]LOJA!$A:$B,2,0)</f>
        <v>SOFNORTE</v>
      </c>
      <c r="G843" t="s">
        <v>19</v>
      </c>
      <c r="H843" t="s">
        <v>19</v>
      </c>
      <c r="I843" s="1">
        <v>46036</v>
      </c>
      <c r="J843" s="1">
        <v>46036</v>
      </c>
      <c r="K843" s="1">
        <v>46036</v>
      </c>
      <c r="L843">
        <v>33</v>
      </c>
      <c r="M843">
        <v>0.7</v>
      </c>
      <c r="N843">
        <v>0.7</v>
      </c>
      <c r="O843">
        <v>0</v>
      </c>
      <c r="P843">
        <v>0</v>
      </c>
      <c r="Q843" t="s">
        <v>108</v>
      </c>
    </row>
    <row r="844" spans="1:17">
      <c r="A844" t="s">
        <v>93</v>
      </c>
      <c r="B844" t="s">
        <v>106</v>
      </c>
      <c r="C844" t="s">
        <v>56</v>
      </c>
      <c r="D844" t="s">
        <v>627</v>
      </c>
      <c r="E844">
        <v>12</v>
      </c>
      <c r="F844" t="str">
        <f>VLOOKUP(E844,[1]LOJA!$A:$B,2,0)</f>
        <v>SOFNORTE</v>
      </c>
      <c r="G844" t="s">
        <v>19</v>
      </c>
      <c r="H844" t="s">
        <v>19</v>
      </c>
      <c r="I844" s="1">
        <v>46036</v>
      </c>
      <c r="J844" s="1">
        <v>46036</v>
      </c>
      <c r="K844" s="1">
        <v>46036</v>
      </c>
      <c r="L844">
        <v>33</v>
      </c>
      <c r="M844">
        <v>0.84</v>
      </c>
      <c r="N844">
        <v>0.84</v>
      </c>
      <c r="O844">
        <v>0</v>
      </c>
      <c r="P844">
        <v>0</v>
      </c>
      <c r="Q844" t="s">
        <v>108</v>
      </c>
    </row>
    <row r="845" spans="1:17">
      <c r="A845" t="s">
        <v>93</v>
      </c>
      <c r="B845" t="s">
        <v>106</v>
      </c>
      <c r="C845" t="s">
        <v>56</v>
      </c>
      <c r="D845" t="s">
        <v>628</v>
      </c>
      <c r="E845">
        <v>12</v>
      </c>
      <c r="F845" t="str">
        <f>VLOOKUP(E845,[1]LOJA!$A:$B,2,0)</f>
        <v>SOFNORTE</v>
      </c>
      <c r="G845" t="s">
        <v>19</v>
      </c>
      <c r="H845" t="s">
        <v>19</v>
      </c>
      <c r="I845" s="1">
        <v>46036</v>
      </c>
      <c r="J845" s="1">
        <v>46036</v>
      </c>
      <c r="K845" s="1">
        <v>46036</v>
      </c>
      <c r="L845">
        <v>33</v>
      </c>
      <c r="M845">
        <v>0.16</v>
      </c>
      <c r="N845">
        <v>0.16</v>
      </c>
      <c r="O845">
        <v>0</v>
      </c>
      <c r="P845">
        <v>0</v>
      </c>
      <c r="Q845" t="s">
        <v>108</v>
      </c>
    </row>
    <row r="846" spans="1:17">
      <c r="A846" t="s">
        <v>93</v>
      </c>
      <c r="B846" t="s">
        <v>106</v>
      </c>
      <c r="C846" t="s">
        <v>56</v>
      </c>
      <c r="D846" t="s">
        <v>629</v>
      </c>
      <c r="E846">
        <v>12</v>
      </c>
      <c r="F846" t="str">
        <f>VLOOKUP(E846,[1]LOJA!$A:$B,2,0)</f>
        <v>SOFNORTE</v>
      </c>
      <c r="G846" t="s">
        <v>19</v>
      </c>
      <c r="H846" t="s">
        <v>19</v>
      </c>
      <c r="I846" s="1">
        <v>46036</v>
      </c>
      <c r="J846" s="1">
        <v>46036</v>
      </c>
      <c r="K846" s="1">
        <v>46036</v>
      </c>
      <c r="L846">
        <v>33</v>
      </c>
      <c r="M846">
        <v>0.15</v>
      </c>
      <c r="N846">
        <v>0.15</v>
      </c>
      <c r="O846">
        <v>0</v>
      </c>
      <c r="P846">
        <v>0</v>
      </c>
      <c r="Q846" t="s">
        <v>108</v>
      </c>
    </row>
    <row r="847" spans="1:17">
      <c r="A847" t="s">
        <v>93</v>
      </c>
      <c r="B847" t="s">
        <v>106</v>
      </c>
      <c r="C847" t="s">
        <v>56</v>
      </c>
      <c r="D847" t="s">
        <v>630</v>
      </c>
      <c r="E847">
        <v>12</v>
      </c>
      <c r="F847" t="str">
        <f>VLOOKUP(E847,[1]LOJA!$A:$B,2,0)</f>
        <v>SOFNORTE</v>
      </c>
      <c r="G847" t="s">
        <v>19</v>
      </c>
      <c r="H847" t="s">
        <v>19</v>
      </c>
      <c r="I847" s="1">
        <v>46036</v>
      </c>
      <c r="J847" s="1">
        <v>46036</v>
      </c>
      <c r="K847" s="1">
        <v>46036</v>
      </c>
      <c r="L847">
        <v>33</v>
      </c>
      <c r="M847">
        <v>0.15</v>
      </c>
      <c r="N847">
        <v>0.15</v>
      </c>
      <c r="O847">
        <v>0</v>
      </c>
      <c r="P847">
        <v>0</v>
      </c>
      <c r="Q847" t="s">
        <v>108</v>
      </c>
    </row>
    <row r="848" spans="1:17">
      <c r="A848" t="s">
        <v>93</v>
      </c>
      <c r="B848" t="s">
        <v>106</v>
      </c>
      <c r="C848" t="s">
        <v>56</v>
      </c>
      <c r="D848" t="s">
        <v>631</v>
      </c>
      <c r="E848">
        <v>12</v>
      </c>
      <c r="F848" t="str">
        <f>VLOOKUP(E848,[1]LOJA!$A:$B,2,0)</f>
        <v>SOFNORTE</v>
      </c>
      <c r="G848" t="s">
        <v>19</v>
      </c>
      <c r="H848" t="s">
        <v>19</v>
      </c>
      <c r="I848" s="1">
        <v>46036</v>
      </c>
      <c r="J848" s="1">
        <v>46036</v>
      </c>
      <c r="K848" s="1">
        <v>46036</v>
      </c>
      <c r="L848">
        <v>33</v>
      </c>
      <c r="M848">
        <v>0.69</v>
      </c>
      <c r="N848">
        <v>0.69</v>
      </c>
      <c r="O848">
        <v>0</v>
      </c>
      <c r="P848">
        <v>0</v>
      </c>
      <c r="Q848" t="s">
        <v>108</v>
      </c>
    </row>
    <row r="849" spans="1:17">
      <c r="A849" t="s">
        <v>93</v>
      </c>
      <c r="B849" t="s">
        <v>106</v>
      </c>
      <c r="C849" t="s">
        <v>56</v>
      </c>
      <c r="D849" t="s">
        <v>632</v>
      </c>
      <c r="E849">
        <v>12</v>
      </c>
      <c r="F849" t="str">
        <f>VLOOKUP(E849,[1]LOJA!$A:$B,2,0)</f>
        <v>SOFNORTE</v>
      </c>
      <c r="G849" t="s">
        <v>19</v>
      </c>
      <c r="H849" t="s">
        <v>19</v>
      </c>
      <c r="I849" s="1">
        <v>46036</v>
      </c>
      <c r="J849" s="1">
        <v>46036</v>
      </c>
      <c r="K849" s="1">
        <v>46036</v>
      </c>
      <c r="L849">
        <v>33</v>
      </c>
      <c r="M849">
        <v>0.36</v>
      </c>
      <c r="N849">
        <v>0.36</v>
      </c>
      <c r="O849">
        <v>0</v>
      </c>
      <c r="P849">
        <v>0</v>
      </c>
      <c r="Q849" t="s">
        <v>108</v>
      </c>
    </row>
    <row r="850" spans="1:17">
      <c r="A850" t="s">
        <v>93</v>
      </c>
      <c r="B850" t="s">
        <v>106</v>
      </c>
      <c r="C850" t="s">
        <v>56</v>
      </c>
      <c r="D850" t="s">
        <v>633</v>
      </c>
      <c r="E850">
        <v>12</v>
      </c>
      <c r="F850" t="str">
        <f>VLOOKUP(E850,[1]LOJA!$A:$B,2,0)</f>
        <v>SOFNORTE</v>
      </c>
      <c r="G850" t="s">
        <v>19</v>
      </c>
      <c r="H850" t="s">
        <v>19</v>
      </c>
      <c r="I850" s="1">
        <v>46037</v>
      </c>
      <c r="J850" s="1">
        <v>46037</v>
      </c>
      <c r="K850" s="1">
        <v>46037</v>
      </c>
      <c r="L850">
        <v>33</v>
      </c>
      <c r="M850">
        <v>4.24</v>
      </c>
      <c r="N850">
        <v>4.24</v>
      </c>
      <c r="O850">
        <v>0</v>
      </c>
      <c r="P850">
        <v>0</v>
      </c>
      <c r="Q850" t="s">
        <v>108</v>
      </c>
    </row>
    <row r="851" spans="1:17">
      <c r="A851" t="s">
        <v>93</v>
      </c>
      <c r="B851" t="s">
        <v>106</v>
      </c>
      <c r="C851" t="s">
        <v>56</v>
      </c>
      <c r="D851" t="s">
        <v>634</v>
      </c>
      <c r="E851">
        <v>12</v>
      </c>
      <c r="F851" t="str">
        <f>VLOOKUP(E851,[1]LOJA!$A:$B,2,0)</f>
        <v>SOFNORTE</v>
      </c>
      <c r="G851" t="s">
        <v>19</v>
      </c>
      <c r="H851" t="s">
        <v>19</v>
      </c>
      <c r="I851" s="1">
        <v>46037</v>
      </c>
      <c r="J851" s="1">
        <v>46037</v>
      </c>
      <c r="K851" s="1">
        <v>46037</v>
      </c>
      <c r="L851">
        <v>33</v>
      </c>
      <c r="M851">
        <v>2.2000000000000002</v>
      </c>
      <c r="N851">
        <v>2.2000000000000002</v>
      </c>
      <c r="O851">
        <v>0</v>
      </c>
      <c r="P851">
        <v>0</v>
      </c>
      <c r="Q851" t="s">
        <v>108</v>
      </c>
    </row>
    <row r="852" spans="1:17">
      <c r="A852" t="s">
        <v>93</v>
      </c>
      <c r="B852" t="s">
        <v>106</v>
      </c>
      <c r="C852" t="s">
        <v>56</v>
      </c>
      <c r="D852" t="s">
        <v>635</v>
      </c>
      <c r="E852">
        <v>12</v>
      </c>
      <c r="F852" t="str">
        <f>VLOOKUP(E852,[1]LOJA!$A:$B,2,0)</f>
        <v>SOFNORTE</v>
      </c>
      <c r="G852" t="s">
        <v>19</v>
      </c>
      <c r="H852" t="s">
        <v>19</v>
      </c>
      <c r="I852" s="1">
        <v>46037</v>
      </c>
      <c r="J852" s="1">
        <v>46037</v>
      </c>
      <c r="K852" s="1">
        <v>46037</v>
      </c>
      <c r="L852">
        <v>33</v>
      </c>
      <c r="M852">
        <v>0.21</v>
      </c>
      <c r="N852">
        <v>0.21</v>
      </c>
      <c r="O852">
        <v>0</v>
      </c>
      <c r="P852">
        <v>0</v>
      </c>
      <c r="Q852" t="s">
        <v>108</v>
      </c>
    </row>
    <row r="853" spans="1:17">
      <c r="A853" t="s">
        <v>93</v>
      </c>
      <c r="B853" t="s">
        <v>106</v>
      </c>
      <c r="C853" t="s">
        <v>56</v>
      </c>
      <c r="D853" t="s">
        <v>636</v>
      </c>
      <c r="E853">
        <v>12</v>
      </c>
      <c r="F853" t="str">
        <f>VLOOKUP(E853,[1]LOJA!$A:$B,2,0)</f>
        <v>SOFNORTE</v>
      </c>
      <c r="G853" t="s">
        <v>19</v>
      </c>
      <c r="H853" t="s">
        <v>19</v>
      </c>
      <c r="I853" s="1">
        <v>46037</v>
      </c>
      <c r="J853" s="1">
        <v>46037</v>
      </c>
      <c r="K853" s="1">
        <v>46037</v>
      </c>
      <c r="L853">
        <v>33</v>
      </c>
      <c r="M853">
        <v>3.56</v>
      </c>
      <c r="N853">
        <v>3.56</v>
      </c>
      <c r="O853">
        <v>0</v>
      </c>
      <c r="P853">
        <v>0</v>
      </c>
      <c r="Q853" t="s">
        <v>108</v>
      </c>
    </row>
    <row r="854" spans="1:17">
      <c r="A854" t="s">
        <v>93</v>
      </c>
      <c r="B854" t="s">
        <v>106</v>
      </c>
      <c r="C854" t="s">
        <v>56</v>
      </c>
      <c r="D854" t="s">
        <v>637</v>
      </c>
      <c r="E854">
        <v>12</v>
      </c>
      <c r="F854" t="str">
        <f>VLOOKUP(E854,[1]LOJA!$A:$B,2,0)</f>
        <v>SOFNORTE</v>
      </c>
      <c r="G854" t="s">
        <v>19</v>
      </c>
      <c r="H854" t="s">
        <v>19</v>
      </c>
      <c r="I854" s="1">
        <v>46037</v>
      </c>
      <c r="J854" s="1">
        <v>46037</v>
      </c>
      <c r="K854" s="1">
        <v>46037</v>
      </c>
      <c r="L854">
        <v>33</v>
      </c>
      <c r="M854">
        <v>0.67</v>
      </c>
      <c r="N854">
        <v>0.67</v>
      </c>
      <c r="O854">
        <v>0</v>
      </c>
      <c r="P854">
        <v>0</v>
      </c>
      <c r="Q854" t="s">
        <v>108</v>
      </c>
    </row>
    <row r="855" spans="1:17">
      <c r="A855" t="s">
        <v>93</v>
      </c>
      <c r="B855" t="s">
        <v>106</v>
      </c>
      <c r="C855" t="s">
        <v>56</v>
      </c>
      <c r="D855" t="s">
        <v>638</v>
      </c>
      <c r="E855">
        <v>12</v>
      </c>
      <c r="F855" t="str">
        <f>VLOOKUP(E855,[1]LOJA!$A:$B,2,0)</f>
        <v>SOFNORTE</v>
      </c>
      <c r="G855" t="s">
        <v>19</v>
      </c>
      <c r="H855" t="s">
        <v>19</v>
      </c>
      <c r="I855" s="1">
        <v>46037</v>
      </c>
      <c r="J855" s="1">
        <v>46037</v>
      </c>
      <c r="K855" s="1">
        <v>46037</v>
      </c>
      <c r="L855">
        <v>33</v>
      </c>
      <c r="M855">
        <v>0.02</v>
      </c>
      <c r="N855">
        <v>0.02</v>
      </c>
      <c r="O855">
        <v>0</v>
      </c>
      <c r="P855">
        <v>0</v>
      </c>
      <c r="Q855" t="s">
        <v>108</v>
      </c>
    </row>
    <row r="856" spans="1:17">
      <c r="A856" t="s">
        <v>93</v>
      </c>
      <c r="B856" t="s">
        <v>106</v>
      </c>
      <c r="C856" t="s">
        <v>56</v>
      </c>
      <c r="D856" t="s">
        <v>639</v>
      </c>
      <c r="E856">
        <v>12</v>
      </c>
      <c r="F856" t="str">
        <f>VLOOKUP(E856,[1]LOJA!$A:$B,2,0)</f>
        <v>SOFNORTE</v>
      </c>
      <c r="G856" t="s">
        <v>19</v>
      </c>
      <c r="H856" t="s">
        <v>19</v>
      </c>
      <c r="I856" s="1">
        <v>46037</v>
      </c>
      <c r="J856" s="1">
        <v>46037</v>
      </c>
      <c r="K856" s="1">
        <v>46037</v>
      </c>
      <c r="L856">
        <v>33</v>
      </c>
      <c r="M856">
        <v>1.97</v>
      </c>
      <c r="N856">
        <v>1.97</v>
      </c>
      <c r="O856">
        <v>0</v>
      </c>
      <c r="P856">
        <v>0</v>
      </c>
      <c r="Q856" t="s">
        <v>108</v>
      </c>
    </row>
    <row r="857" spans="1:17">
      <c r="A857" t="s">
        <v>93</v>
      </c>
      <c r="B857" t="s">
        <v>106</v>
      </c>
      <c r="C857" t="s">
        <v>56</v>
      </c>
      <c r="D857" t="s">
        <v>640</v>
      </c>
      <c r="E857">
        <v>12</v>
      </c>
      <c r="F857" t="str">
        <f>VLOOKUP(E857,[1]LOJA!$A:$B,2,0)</f>
        <v>SOFNORTE</v>
      </c>
      <c r="G857" t="s">
        <v>19</v>
      </c>
      <c r="H857" t="s">
        <v>19</v>
      </c>
      <c r="I857" s="1">
        <v>46037</v>
      </c>
      <c r="J857" s="1">
        <v>46037</v>
      </c>
      <c r="K857" s="1">
        <v>46037</v>
      </c>
      <c r="L857">
        <v>33</v>
      </c>
      <c r="M857">
        <v>1.82</v>
      </c>
      <c r="N857">
        <v>1.82</v>
      </c>
      <c r="O857">
        <v>0</v>
      </c>
      <c r="P857">
        <v>0</v>
      </c>
      <c r="Q857" t="s">
        <v>108</v>
      </c>
    </row>
    <row r="858" spans="1:17">
      <c r="A858" t="s">
        <v>93</v>
      </c>
      <c r="B858" t="s">
        <v>106</v>
      </c>
      <c r="C858" t="s">
        <v>56</v>
      </c>
      <c r="D858" t="s">
        <v>641</v>
      </c>
      <c r="E858">
        <v>12</v>
      </c>
      <c r="F858" t="str">
        <f>VLOOKUP(E858,[1]LOJA!$A:$B,2,0)</f>
        <v>SOFNORTE</v>
      </c>
      <c r="G858" t="s">
        <v>19</v>
      </c>
      <c r="H858" t="s">
        <v>19</v>
      </c>
      <c r="I858" s="1">
        <v>46037</v>
      </c>
      <c r="J858" s="1">
        <v>46037</v>
      </c>
      <c r="K858" s="1">
        <v>46037</v>
      </c>
      <c r="L858">
        <v>33</v>
      </c>
      <c r="M858">
        <v>0.31</v>
      </c>
      <c r="N858">
        <v>0.31</v>
      </c>
      <c r="O858">
        <v>0</v>
      </c>
      <c r="P858">
        <v>0</v>
      </c>
      <c r="Q858" t="s">
        <v>108</v>
      </c>
    </row>
    <row r="859" spans="1:17">
      <c r="A859" t="s">
        <v>93</v>
      </c>
      <c r="B859" t="s">
        <v>106</v>
      </c>
      <c r="C859" t="s">
        <v>56</v>
      </c>
      <c r="D859" t="s">
        <v>642</v>
      </c>
      <c r="E859">
        <v>12</v>
      </c>
      <c r="F859" t="str">
        <f>VLOOKUP(E859,[1]LOJA!$A:$B,2,0)</f>
        <v>SOFNORTE</v>
      </c>
      <c r="G859" t="s">
        <v>19</v>
      </c>
      <c r="H859" t="s">
        <v>19</v>
      </c>
      <c r="I859" s="1">
        <v>46037</v>
      </c>
      <c r="J859" s="1">
        <v>46037</v>
      </c>
      <c r="K859" s="1">
        <v>46037</v>
      </c>
      <c r="L859">
        <v>33</v>
      </c>
      <c r="M859">
        <v>0.53</v>
      </c>
      <c r="N859">
        <v>0.53</v>
      </c>
      <c r="O859">
        <v>0</v>
      </c>
      <c r="P859">
        <v>0</v>
      </c>
      <c r="Q859" t="s">
        <v>108</v>
      </c>
    </row>
    <row r="860" spans="1:17">
      <c r="A860" t="s">
        <v>93</v>
      </c>
      <c r="B860" t="s">
        <v>106</v>
      </c>
      <c r="C860" t="s">
        <v>56</v>
      </c>
      <c r="D860" t="s">
        <v>643</v>
      </c>
      <c r="E860">
        <v>12</v>
      </c>
      <c r="F860" t="str">
        <f>VLOOKUP(E860,[1]LOJA!$A:$B,2,0)</f>
        <v>SOFNORTE</v>
      </c>
      <c r="G860" t="s">
        <v>19</v>
      </c>
      <c r="H860" t="s">
        <v>19</v>
      </c>
      <c r="I860" s="1">
        <v>46038</v>
      </c>
      <c r="J860" s="1">
        <v>46038</v>
      </c>
      <c r="K860" s="1">
        <v>46038</v>
      </c>
      <c r="L860">
        <v>33</v>
      </c>
      <c r="M860">
        <v>9.2100000000000009</v>
      </c>
      <c r="N860">
        <v>9.2100000000000009</v>
      </c>
      <c r="O860">
        <v>0</v>
      </c>
      <c r="P860">
        <v>0</v>
      </c>
      <c r="Q860" t="s">
        <v>108</v>
      </c>
    </row>
    <row r="861" spans="1:17">
      <c r="A861" t="s">
        <v>93</v>
      </c>
      <c r="B861" t="s">
        <v>106</v>
      </c>
      <c r="C861" t="s">
        <v>56</v>
      </c>
      <c r="D861" t="s">
        <v>644</v>
      </c>
      <c r="E861">
        <v>12</v>
      </c>
      <c r="F861" t="str">
        <f>VLOOKUP(E861,[1]LOJA!$A:$B,2,0)</f>
        <v>SOFNORTE</v>
      </c>
      <c r="G861" t="s">
        <v>19</v>
      </c>
      <c r="H861" t="s">
        <v>19</v>
      </c>
      <c r="I861" s="1">
        <v>46038</v>
      </c>
      <c r="J861" s="1">
        <v>46038</v>
      </c>
      <c r="K861" s="1">
        <v>46038</v>
      </c>
      <c r="L861">
        <v>33</v>
      </c>
      <c r="M861">
        <v>5.48</v>
      </c>
      <c r="N861">
        <v>5.48</v>
      </c>
      <c r="O861">
        <v>0</v>
      </c>
      <c r="P861">
        <v>0</v>
      </c>
      <c r="Q861" t="s">
        <v>108</v>
      </c>
    </row>
    <row r="862" spans="1:17">
      <c r="A862" t="s">
        <v>93</v>
      </c>
      <c r="B862" t="s">
        <v>106</v>
      </c>
      <c r="C862" t="s">
        <v>56</v>
      </c>
      <c r="D862" t="s">
        <v>645</v>
      </c>
      <c r="E862">
        <v>12</v>
      </c>
      <c r="F862" t="str">
        <f>VLOOKUP(E862,[1]LOJA!$A:$B,2,0)</f>
        <v>SOFNORTE</v>
      </c>
      <c r="G862" t="s">
        <v>19</v>
      </c>
      <c r="H862" t="s">
        <v>19</v>
      </c>
      <c r="I862" s="1">
        <v>46038</v>
      </c>
      <c r="J862" s="1">
        <v>46038</v>
      </c>
      <c r="K862" s="1">
        <v>46038</v>
      </c>
      <c r="L862">
        <v>33</v>
      </c>
      <c r="M862">
        <v>1.04</v>
      </c>
      <c r="N862">
        <v>1.04</v>
      </c>
      <c r="O862">
        <v>0</v>
      </c>
      <c r="P862">
        <v>0</v>
      </c>
      <c r="Q862" t="s">
        <v>108</v>
      </c>
    </row>
    <row r="863" spans="1:17">
      <c r="A863" t="s">
        <v>93</v>
      </c>
      <c r="B863" t="s">
        <v>106</v>
      </c>
      <c r="C863" t="s">
        <v>56</v>
      </c>
      <c r="D863" t="s">
        <v>646</v>
      </c>
      <c r="E863">
        <v>12</v>
      </c>
      <c r="F863" t="str">
        <f>VLOOKUP(E863,[1]LOJA!$A:$B,2,0)</f>
        <v>SOFNORTE</v>
      </c>
      <c r="G863" t="s">
        <v>19</v>
      </c>
      <c r="H863" t="s">
        <v>19</v>
      </c>
      <c r="I863" s="1">
        <v>46038</v>
      </c>
      <c r="J863" s="1">
        <v>46038</v>
      </c>
      <c r="K863" s="1">
        <v>46038</v>
      </c>
      <c r="L863">
        <v>33</v>
      </c>
      <c r="M863">
        <v>3.12</v>
      </c>
      <c r="N863">
        <v>3.12</v>
      </c>
      <c r="O863">
        <v>0</v>
      </c>
      <c r="P863">
        <v>0</v>
      </c>
      <c r="Q863" t="s">
        <v>108</v>
      </c>
    </row>
    <row r="864" spans="1:17">
      <c r="A864" t="s">
        <v>93</v>
      </c>
      <c r="B864" t="s">
        <v>106</v>
      </c>
      <c r="C864" t="s">
        <v>56</v>
      </c>
      <c r="D864" t="s">
        <v>647</v>
      </c>
      <c r="E864">
        <v>12</v>
      </c>
      <c r="F864" t="str">
        <f>VLOOKUP(E864,[1]LOJA!$A:$B,2,0)</f>
        <v>SOFNORTE</v>
      </c>
      <c r="G864" t="s">
        <v>19</v>
      </c>
      <c r="H864" t="s">
        <v>19</v>
      </c>
      <c r="I864" s="1">
        <v>46038</v>
      </c>
      <c r="J864" s="1">
        <v>46038</v>
      </c>
      <c r="K864" s="1">
        <v>46038</v>
      </c>
      <c r="L864">
        <v>33</v>
      </c>
      <c r="M864">
        <v>0.4</v>
      </c>
      <c r="N864">
        <v>0.4</v>
      </c>
      <c r="O864">
        <v>0</v>
      </c>
      <c r="P864">
        <v>0</v>
      </c>
      <c r="Q864" t="s">
        <v>108</v>
      </c>
    </row>
    <row r="865" spans="1:17">
      <c r="A865" t="s">
        <v>93</v>
      </c>
      <c r="B865" t="s">
        <v>106</v>
      </c>
      <c r="C865" t="s">
        <v>56</v>
      </c>
      <c r="D865" t="s">
        <v>648</v>
      </c>
      <c r="E865">
        <v>12</v>
      </c>
      <c r="F865" t="str">
        <f>VLOOKUP(E865,[1]LOJA!$A:$B,2,0)</f>
        <v>SOFNORTE</v>
      </c>
      <c r="G865" t="s">
        <v>19</v>
      </c>
      <c r="H865" t="s">
        <v>19</v>
      </c>
      <c r="I865" s="1">
        <v>46038</v>
      </c>
      <c r="J865" s="1">
        <v>46038</v>
      </c>
      <c r="K865" s="1">
        <v>46038</v>
      </c>
      <c r="L865">
        <v>33</v>
      </c>
      <c r="M865">
        <v>0.09</v>
      </c>
      <c r="N865">
        <v>0.09</v>
      </c>
      <c r="O865">
        <v>0</v>
      </c>
      <c r="P865">
        <v>0</v>
      </c>
      <c r="Q865" t="s">
        <v>108</v>
      </c>
    </row>
    <row r="866" spans="1:17">
      <c r="A866" t="s">
        <v>93</v>
      </c>
      <c r="B866" t="s">
        <v>106</v>
      </c>
      <c r="C866" t="s">
        <v>56</v>
      </c>
      <c r="D866" t="s">
        <v>649</v>
      </c>
      <c r="E866">
        <v>12</v>
      </c>
      <c r="F866" t="str">
        <f>VLOOKUP(E866,[1]LOJA!$A:$B,2,0)</f>
        <v>SOFNORTE</v>
      </c>
      <c r="G866" t="s">
        <v>19</v>
      </c>
      <c r="H866" t="s">
        <v>19</v>
      </c>
      <c r="I866" s="1">
        <v>46038</v>
      </c>
      <c r="J866" s="1">
        <v>46038</v>
      </c>
      <c r="K866" s="1">
        <v>46038</v>
      </c>
      <c r="L866">
        <v>33</v>
      </c>
      <c r="M866">
        <v>0.75</v>
      </c>
      <c r="N866">
        <v>0.75</v>
      </c>
      <c r="O866">
        <v>0</v>
      </c>
      <c r="P866">
        <v>0</v>
      </c>
      <c r="Q866" t="s">
        <v>108</v>
      </c>
    </row>
    <row r="867" spans="1:17">
      <c r="A867" t="s">
        <v>93</v>
      </c>
      <c r="B867" t="s">
        <v>106</v>
      </c>
      <c r="C867" t="s">
        <v>56</v>
      </c>
      <c r="D867" t="s">
        <v>650</v>
      </c>
      <c r="E867">
        <v>12</v>
      </c>
      <c r="F867" t="str">
        <f>VLOOKUP(E867,[1]LOJA!$A:$B,2,0)</f>
        <v>SOFNORTE</v>
      </c>
      <c r="G867" t="s">
        <v>19</v>
      </c>
      <c r="H867" t="s">
        <v>19</v>
      </c>
      <c r="I867" s="1">
        <v>46038</v>
      </c>
      <c r="J867" s="1">
        <v>46038</v>
      </c>
      <c r="K867" s="1">
        <v>46038</v>
      </c>
      <c r="L867">
        <v>33</v>
      </c>
      <c r="M867">
        <v>1.55</v>
      </c>
      <c r="N867">
        <v>1.55</v>
      </c>
      <c r="O867">
        <v>0</v>
      </c>
      <c r="P867">
        <v>0</v>
      </c>
      <c r="Q867" t="s">
        <v>108</v>
      </c>
    </row>
    <row r="868" spans="1:17">
      <c r="A868" t="s">
        <v>93</v>
      </c>
      <c r="B868" t="s">
        <v>106</v>
      </c>
      <c r="C868" t="s">
        <v>56</v>
      </c>
      <c r="D868" t="s">
        <v>651</v>
      </c>
      <c r="E868">
        <v>12</v>
      </c>
      <c r="F868" t="str">
        <f>VLOOKUP(E868,[1]LOJA!$A:$B,2,0)</f>
        <v>SOFNORTE</v>
      </c>
      <c r="G868" t="s">
        <v>19</v>
      </c>
      <c r="H868" t="s">
        <v>19</v>
      </c>
      <c r="I868" s="1">
        <v>46038</v>
      </c>
      <c r="J868" s="1">
        <v>46038</v>
      </c>
      <c r="K868" s="1">
        <v>46038</v>
      </c>
      <c r="L868">
        <v>33</v>
      </c>
      <c r="M868">
        <v>0.33</v>
      </c>
      <c r="N868">
        <v>0.33</v>
      </c>
      <c r="O868">
        <v>0</v>
      </c>
      <c r="P868">
        <v>0</v>
      </c>
      <c r="Q868" t="s">
        <v>108</v>
      </c>
    </row>
    <row r="869" spans="1:17">
      <c r="A869" t="s">
        <v>93</v>
      </c>
      <c r="B869" t="s">
        <v>106</v>
      </c>
      <c r="C869" t="s">
        <v>56</v>
      </c>
      <c r="D869" t="s">
        <v>652</v>
      </c>
      <c r="E869">
        <v>12</v>
      </c>
      <c r="F869" t="str">
        <f>VLOOKUP(E869,[1]LOJA!$A:$B,2,0)</f>
        <v>SOFNORTE</v>
      </c>
      <c r="G869" t="s">
        <v>19</v>
      </c>
      <c r="H869" t="s">
        <v>19</v>
      </c>
      <c r="I869" s="1">
        <v>46038</v>
      </c>
      <c r="J869" s="1">
        <v>46038</v>
      </c>
      <c r="K869" s="1">
        <v>46038</v>
      </c>
      <c r="L869">
        <v>33</v>
      </c>
      <c r="M869">
        <v>0.17</v>
      </c>
      <c r="N869">
        <v>0.17</v>
      </c>
      <c r="O869">
        <v>0</v>
      </c>
      <c r="P869">
        <v>0</v>
      </c>
      <c r="Q869" t="s">
        <v>108</v>
      </c>
    </row>
    <row r="870" spans="1:17">
      <c r="A870" t="s">
        <v>93</v>
      </c>
      <c r="B870" t="s">
        <v>106</v>
      </c>
      <c r="C870" t="s">
        <v>56</v>
      </c>
      <c r="D870" t="s">
        <v>653</v>
      </c>
      <c r="E870">
        <v>12</v>
      </c>
      <c r="F870" t="str">
        <f>VLOOKUP(E870,[1]LOJA!$A:$B,2,0)</f>
        <v>SOFNORTE</v>
      </c>
      <c r="G870" t="s">
        <v>19</v>
      </c>
      <c r="H870" t="s">
        <v>19</v>
      </c>
      <c r="I870" s="1">
        <v>46038</v>
      </c>
      <c r="J870" s="1">
        <v>46038</v>
      </c>
      <c r="K870" s="1">
        <v>46038</v>
      </c>
      <c r="L870">
        <v>33</v>
      </c>
      <c r="M870">
        <v>0.89</v>
      </c>
      <c r="N870">
        <v>0.89</v>
      </c>
      <c r="O870">
        <v>0</v>
      </c>
      <c r="P870">
        <v>0</v>
      </c>
      <c r="Q870" t="s">
        <v>108</v>
      </c>
    </row>
    <row r="871" spans="1:17">
      <c r="A871" t="s">
        <v>93</v>
      </c>
      <c r="B871" t="s">
        <v>106</v>
      </c>
      <c r="C871" t="s">
        <v>56</v>
      </c>
      <c r="D871" t="s">
        <v>654</v>
      </c>
      <c r="E871">
        <v>12</v>
      </c>
      <c r="F871" t="str">
        <f>VLOOKUP(E871,[1]LOJA!$A:$B,2,0)</f>
        <v>SOFNORTE</v>
      </c>
      <c r="G871" t="s">
        <v>19</v>
      </c>
      <c r="H871" t="s">
        <v>19</v>
      </c>
      <c r="I871" s="1">
        <v>46038</v>
      </c>
      <c r="J871" s="1">
        <v>46038</v>
      </c>
      <c r="K871" s="1">
        <v>46038</v>
      </c>
      <c r="L871">
        <v>33</v>
      </c>
      <c r="M871">
        <v>0.5</v>
      </c>
      <c r="N871">
        <v>0.5</v>
      </c>
      <c r="O871">
        <v>0</v>
      </c>
      <c r="P871">
        <v>0</v>
      </c>
      <c r="Q871" t="s">
        <v>108</v>
      </c>
    </row>
    <row r="872" spans="1:17">
      <c r="A872" t="s">
        <v>93</v>
      </c>
      <c r="B872" t="s">
        <v>106</v>
      </c>
      <c r="C872" t="s">
        <v>56</v>
      </c>
      <c r="D872" t="s">
        <v>655</v>
      </c>
      <c r="E872">
        <v>12</v>
      </c>
      <c r="F872" t="str">
        <f>VLOOKUP(E872,[1]LOJA!$A:$B,2,0)</f>
        <v>SOFNORTE</v>
      </c>
      <c r="G872" t="s">
        <v>19</v>
      </c>
      <c r="H872" t="s">
        <v>19</v>
      </c>
      <c r="I872" s="1">
        <v>46041</v>
      </c>
      <c r="J872" s="1">
        <v>46041</v>
      </c>
      <c r="K872" s="1">
        <v>46041</v>
      </c>
      <c r="L872">
        <v>33</v>
      </c>
      <c r="M872">
        <v>13.14</v>
      </c>
      <c r="N872">
        <v>13.14</v>
      </c>
      <c r="O872">
        <v>0</v>
      </c>
      <c r="P872">
        <v>0</v>
      </c>
      <c r="Q872" t="s">
        <v>108</v>
      </c>
    </row>
    <row r="873" spans="1:17">
      <c r="A873" t="s">
        <v>93</v>
      </c>
      <c r="B873" t="s">
        <v>106</v>
      </c>
      <c r="C873" t="s">
        <v>56</v>
      </c>
      <c r="D873" t="s">
        <v>656</v>
      </c>
      <c r="E873">
        <v>12</v>
      </c>
      <c r="F873" t="str">
        <f>VLOOKUP(E873,[1]LOJA!$A:$B,2,0)</f>
        <v>SOFNORTE</v>
      </c>
      <c r="G873" t="s">
        <v>19</v>
      </c>
      <c r="H873" t="s">
        <v>19</v>
      </c>
      <c r="I873" s="1">
        <v>46041</v>
      </c>
      <c r="J873" s="1">
        <v>46041</v>
      </c>
      <c r="K873" s="1">
        <v>46041</v>
      </c>
      <c r="L873">
        <v>33</v>
      </c>
      <c r="M873">
        <v>8.76</v>
      </c>
      <c r="N873">
        <v>8.76</v>
      </c>
      <c r="O873">
        <v>0</v>
      </c>
      <c r="P873">
        <v>0</v>
      </c>
      <c r="Q873" t="s">
        <v>108</v>
      </c>
    </row>
    <row r="874" spans="1:17">
      <c r="A874" t="s">
        <v>93</v>
      </c>
      <c r="B874" t="s">
        <v>106</v>
      </c>
      <c r="C874" t="s">
        <v>56</v>
      </c>
      <c r="D874" t="s">
        <v>657</v>
      </c>
      <c r="E874">
        <v>12</v>
      </c>
      <c r="F874" t="str">
        <f>VLOOKUP(E874,[1]LOJA!$A:$B,2,0)</f>
        <v>SOFNORTE</v>
      </c>
      <c r="G874" t="s">
        <v>19</v>
      </c>
      <c r="H874" t="s">
        <v>19</v>
      </c>
      <c r="I874" s="1">
        <v>46041</v>
      </c>
      <c r="J874" s="1">
        <v>46040</v>
      </c>
      <c r="K874" s="1">
        <v>46041</v>
      </c>
      <c r="L874">
        <v>33</v>
      </c>
      <c r="M874">
        <v>5.73</v>
      </c>
      <c r="N874">
        <v>5.73</v>
      </c>
      <c r="O874">
        <v>0</v>
      </c>
      <c r="P874">
        <v>0</v>
      </c>
      <c r="Q874" t="s">
        <v>108</v>
      </c>
    </row>
    <row r="875" spans="1:17">
      <c r="A875" t="s">
        <v>93</v>
      </c>
      <c r="B875" t="s">
        <v>106</v>
      </c>
      <c r="C875" t="s">
        <v>56</v>
      </c>
      <c r="D875" t="s">
        <v>658</v>
      </c>
      <c r="E875">
        <v>12</v>
      </c>
      <c r="F875" t="str">
        <f>VLOOKUP(E875,[1]LOJA!$A:$B,2,0)</f>
        <v>SOFNORTE</v>
      </c>
      <c r="G875" t="s">
        <v>19</v>
      </c>
      <c r="H875" t="s">
        <v>19</v>
      </c>
      <c r="I875" s="1">
        <v>46041</v>
      </c>
      <c r="J875" s="1">
        <v>46040</v>
      </c>
      <c r="K875" s="1">
        <v>46041</v>
      </c>
      <c r="L875">
        <v>33</v>
      </c>
      <c r="M875">
        <v>4.9800000000000004</v>
      </c>
      <c r="N875">
        <v>4.9800000000000004</v>
      </c>
      <c r="O875">
        <v>0</v>
      </c>
      <c r="P875">
        <v>0</v>
      </c>
      <c r="Q875" t="s">
        <v>108</v>
      </c>
    </row>
    <row r="876" spans="1:17">
      <c r="A876" t="s">
        <v>93</v>
      </c>
      <c r="B876" t="s">
        <v>106</v>
      </c>
      <c r="C876" t="s">
        <v>56</v>
      </c>
      <c r="D876" t="s">
        <v>659</v>
      </c>
      <c r="E876">
        <v>12</v>
      </c>
      <c r="F876" t="str">
        <f>VLOOKUP(E876,[1]LOJA!$A:$B,2,0)</f>
        <v>SOFNORTE</v>
      </c>
      <c r="G876" t="s">
        <v>19</v>
      </c>
      <c r="H876" t="s">
        <v>19</v>
      </c>
      <c r="I876" s="1">
        <v>46041</v>
      </c>
      <c r="J876" s="1">
        <v>46040</v>
      </c>
      <c r="K876" s="1">
        <v>46041</v>
      </c>
      <c r="L876">
        <v>33</v>
      </c>
      <c r="M876">
        <v>4.38</v>
      </c>
      <c r="N876">
        <v>4.38</v>
      </c>
      <c r="O876">
        <v>0</v>
      </c>
      <c r="P876">
        <v>0</v>
      </c>
      <c r="Q876" t="s">
        <v>108</v>
      </c>
    </row>
    <row r="877" spans="1:17">
      <c r="A877" t="s">
        <v>93</v>
      </c>
      <c r="B877" t="s">
        <v>106</v>
      </c>
      <c r="C877" t="s">
        <v>56</v>
      </c>
      <c r="D877" t="s">
        <v>660</v>
      </c>
      <c r="E877">
        <v>12</v>
      </c>
      <c r="F877" t="str">
        <f>VLOOKUP(E877,[1]LOJA!$A:$B,2,0)</f>
        <v>SOFNORTE</v>
      </c>
      <c r="G877" t="s">
        <v>19</v>
      </c>
      <c r="H877" t="s">
        <v>19</v>
      </c>
      <c r="I877" s="1">
        <v>46041</v>
      </c>
      <c r="J877" s="1">
        <v>46040</v>
      </c>
      <c r="K877" s="1">
        <v>46041</v>
      </c>
      <c r="L877">
        <v>33</v>
      </c>
      <c r="M877">
        <v>7.01</v>
      </c>
      <c r="N877">
        <v>7.01</v>
      </c>
      <c r="O877">
        <v>0</v>
      </c>
      <c r="P877">
        <v>0</v>
      </c>
      <c r="Q877" t="s">
        <v>108</v>
      </c>
    </row>
    <row r="878" spans="1:17">
      <c r="A878" t="s">
        <v>93</v>
      </c>
      <c r="B878" t="s">
        <v>106</v>
      </c>
      <c r="C878" t="s">
        <v>56</v>
      </c>
      <c r="D878" t="s">
        <v>661</v>
      </c>
      <c r="E878">
        <v>12</v>
      </c>
      <c r="F878" t="str">
        <f>VLOOKUP(E878,[1]LOJA!$A:$B,2,0)</f>
        <v>SOFNORTE</v>
      </c>
      <c r="G878" t="s">
        <v>19</v>
      </c>
      <c r="H878" t="s">
        <v>19</v>
      </c>
      <c r="I878" s="1">
        <v>46041</v>
      </c>
      <c r="J878" s="1">
        <v>46040</v>
      </c>
      <c r="K878" s="1">
        <v>46041</v>
      </c>
      <c r="L878">
        <v>33</v>
      </c>
      <c r="M878">
        <v>8.5</v>
      </c>
      <c r="N878">
        <v>8.5</v>
      </c>
      <c r="O878">
        <v>0</v>
      </c>
      <c r="P878">
        <v>0</v>
      </c>
      <c r="Q878" t="s">
        <v>108</v>
      </c>
    </row>
    <row r="879" spans="1:17">
      <c r="A879" t="s">
        <v>93</v>
      </c>
      <c r="B879" t="s">
        <v>106</v>
      </c>
      <c r="C879" t="s">
        <v>56</v>
      </c>
      <c r="D879" t="s">
        <v>662</v>
      </c>
      <c r="E879">
        <v>12</v>
      </c>
      <c r="F879" t="str">
        <f>VLOOKUP(E879,[1]LOJA!$A:$B,2,0)</f>
        <v>SOFNORTE</v>
      </c>
      <c r="G879" t="s">
        <v>19</v>
      </c>
      <c r="H879" t="s">
        <v>19</v>
      </c>
      <c r="I879" s="1">
        <v>46041</v>
      </c>
      <c r="J879" s="1">
        <v>46041</v>
      </c>
      <c r="K879" s="1">
        <v>46041</v>
      </c>
      <c r="L879">
        <v>33</v>
      </c>
      <c r="M879">
        <v>9.81</v>
      </c>
      <c r="N879">
        <v>9.81</v>
      </c>
      <c r="O879">
        <v>0</v>
      </c>
      <c r="P879">
        <v>0</v>
      </c>
      <c r="Q879" t="s">
        <v>108</v>
      </c>
    </row>
    <row r="880" spans="1:17">
      <c r="A880" t="s">
        <v>93</v>
      </c>
      <c r="B880" t="s">
        <v>106</v>
      </c>
      <c r="C880" t="s">
        <v>56</v>
      </c>
      <c r="D880" t="s">
        <v>663</v>
      </c>
      <c r="E880">
        <v>12</v>
      </c>
      <c r="F880" t="str">
        <f>VLOOKUP(E880,[1]LOJA!$A:$B,2,0)</f>
        <v>SOFNORTE</v>
      </c>
      <c r="G880" t="s">
        <v>19</v>
      </c>
      <c r="H880" t="s">
        <v>19</v>
      </c>
      <c r="I880" s="1">
        <v>46041</v>
      </c>
      <c r="J880" s="1">
        <v>46039</v>
      </c>
      <c r="K880" s="1">
        <v>46041</v>
      </c>
      <c r="L880">
        <v>33</v>
      </c>
      <c r="M880">
        <v>2.7</v>
      </c>
      <c r="N880">
        <v>2.7</v>
      </c>
      <c r="O880">
        <v>0</v>
      </c>
      <c r="P880">
        <v>0</v>
      </c>
      <c r="Q880" t="s">
        <v>108</v>
      </c>
    </row>
    <row r="881" spans="1:17">
      <c r="A881" t="s">
        <v>93</v>
      </c>
      <c r="B881" t="s">
        <v>106</v>
      </c>
      <c r="C881" t="s">
        <v>56</v>
      </c>
      <c r="D881" t="s">
        <v>664</v>
      </c>
      <c r="E881">
        <v>12</v>
      </c>
      <c r="F881" t="str">
        <f>VLOOKUP(E881,[1]LOJA!$A:$B,2,0)</f>
        <v>SOFNORTE</v>
      </c>
      <c r="G881" t="s">
        <v>19</v>
      </c>
      <c r="H881" t="s">
        <v>19</v>
      </c>
      <c r="I881" s="1">
        <v>46041</v>
      </c>
      <c r="J881" s="1">
        <v>46039</v>
      </c>
      <c r="K881" s="1">
        <v>46041</v>
      </c>
      <c r="L881">
        <v>33</v>
      </c>
      <c r="M881">
        <v>3.42</v>
      </c>
      <c r="N881">
        <v>3.42</v>
      </c>
      <c r="O881">
        <v>0</v>
      </c>
      <c r="P881">
        <v>0</v>
      </c>
      <c r="Q881" t="s">
        <v>108</v>
      </c>
    </row>
    <row r="882" spans="1:17">
      <c r="A882" t="s">
        <v>93</v>
      </c>
      <c r="B882" t="s">
        <v>106</v>
      </c>
      <c r="C882" t="s">
        <v>56</v>
      </c>
      <c r="D882" t="s">
        <v>665</v>
      </c>
      <c r="E882">
        <v>12</v>
      </c>
      <c r="F882" t="str">
        <f>VLOOKUP(E882,[1]LOJA!$A:$B,2,0)</f>
        <v>SOFNORTE</v>
      </c>
      <c r="G882" t="s">
        <v>19</v>
      </c>
      <c r="H882" t="s">
        <v>19</v>
      </c>
      <c r="I882" s="1">
        <v>46041</v>
      </c>
      <c r="J882" s="1">
        <v>46039</v>
      </c>
      <c r="K882" s="1">
        <v>46041</v>
      </c>
      <c r="L882">
        <v>33</v>
      </c>
      <c r="M882">
        <v>40.81</v>
      </c>
      <c r="N882">
        <v>40.81</v>
      </c>
      <c r="O882">
        <v>0</v>
      </c>
      <c r="P882">
        <v>0</v>
      </c>
      <c r="Q882" t="s">
        <v>108</v>
      </c>
    </row>
    <row r="883" spans="1:17">
      <c r="A883" t="s">
        <v>93</v>
      </c>
      <c r="B883" t="s">
        <v>106</v>
      </c>
      <c r="C883" t="s">
        <v>56</v>
      </c>
      <c r="D883" t="s">
        <v>666</v>
      </c>
      <c r="E883">
        <v>12</v>
      </c>
      <c r="F883" t="str">
        <f>VLOOKUP(E883,[1]LOJA!$A:$B,2,0)</f>
        <v>SOFNORTE</v>
      </c>
      <c r="G883" t="s">
        <v>19</v>
      </c>
      <c r="H883" t="s">
        <v>19</v>
      </c>
      <c r="I883" s="1">
        <v>46041</v>
      </c>
      <c r="J883" s="1">
        <v>46040</v>
      </c>
      <c r="K883" s="1">
        <v>46041</v>
      </c>
      <c r="L883">
        <v>33</v>
      </c>
      <c r="M883">
        <v>0.35</v>
      </c>
      <c r="N883">
        <v>0.35</v>
      </c>
      <c r="O883">
        <v>0</v>
      </c>
      <c r="P883">
        <v>0</v>
      </c>
      <c r="Q883" t="s">
        <v>108</v>
      </c>
    </row>
    <row r="884" spans="1:17">
      <c r="A884" t="s">
        <v>93</v>
      </c>
      <c r="B884" t="s">
        <v>106</v>
      </c>
      <c r="C884" t="s">
        <v>56</v>
      </c>
      <c r="D884" t="s">
        <v>667</v>
      </c>
      <c r="E884">
        <v>12</v>
      </c>
      <c r="F884" t="str">
        <f>VLOOKUP(E884,[1]LOJA!$A:$B,2,0)</f>
        <v>SOFNORTE</v>
      </c>
      <c r="G884" t="s">
        <v>19</v>
      </c>
      <c r="H884" t="s">
        <v>19</v>
      </c>
      <c r="I884" s="1">
        <v>46041</v>
      </c>
      <c r="J884" s="1">
        <v>46040</v>
      </c>
      <c r="K884" s="1">
        <v>46041</v>
      </c>
      <c r="L884">
        <v>33</v>
      </c>
      <c r="M884">
        <v>1.33</v>
      </c>
      <c r="N884">
        <v>1.33</v>
      </c>
      <c r="O884">
        <v>0</v>
      </c>
      <c r="P884">
        <v>0</v>
      </c>
      <c r="Q884" t="s">
        <v>108</v>
      </c>
    </row>
    <row r="885" spans="1:17">
      <c r="A885" t="s">
        <v>93</v>
      </c>
      <c r="B885" t="s">
        <v>106</v>
      </c>
      <c r="C885" t="s">
        <v>56</v>
      </c>
      <c r="D885" t="s">
        <v>668</v>
      </c>
      <c r="E885">
        <v>12</v>
      </c>
      <c r="F885" t="str">
        <f>VLOOKUP(E885,[1]LOJA!$A:$B,2,0)</f>
        <v>SOFNORTE</v>
      </c>
      <c r="G885" t="s">
        <v>19</v>
      </c>
      <c r="H885" t="s">
        <v>19</v>
      </c>
      <c r="I885" s="1">
        <v>46041</v>
      </c>
      <c r="J885" s="1">
        <v>46040</v>
      </c>
      <c r="K885" s="1">
        <v>46041</v>
      </c>
      <c r="L885">
        <v>33</v>
      </c>
      <c r="M885">
        <v>3.68</v>
      </c>
      <c r="N885">
        <v>3.68</v>
      </c>
      <c r="O885">
        <v>0</v>
      </c>
      <c r="P885">
        <v>0</v>
      </c>
      <c r="Q885" t="s">
        <v>108</v>
      </c>
    </row>
    <row r="886" spans="1:17">
      <c r="A886" t="s">
        <v>93</v>
      </c>
      <c r="B886" t="s">
        <v>106</v>
      </c>
      <c r="C886" t="s">
        <v>56</v>
      </c>
      <c r="D886" t="s">
        <v>669</v>
      </c>
      <c r="E886">
        <v>12</v>
      </c>
      <c r="F886" t="str">
        <f>VLOOKUP(E886,[1]LOJA!$A:$B,2,0)</f>
        <v>SOFNORTE</v>
      </c>
      <c r="G886" t="s">
        <v>19</v>
      </c>
      <c r="H886" t="s">
        <v>19</v>
      </c>
      <c r="I886" s="1">
        <v>46041</v>
      </c>
      <c r="J886" s="1">
        <v>46041</v>
      </c>
      <c r="K886" s="1">
        <v>46041</v>
      </c>
      <c r="L886">
        <v>33</v>
      </c>
      <c r="M886">
        <v>0.42</v>
      </c>
      <c r="N886">
        <v>0.42</v>
      </c>
      <c r="O886">
        <v>0</v>
      </c>
      <c r="P886">
        <v>0</v>
      </c>
      <c r="Q886" t="s">
        <v>108</v>
      </c>
    </row>
    <row r="887" spans="1:17">
      <c r="A887" t="s">
        <v>93</v>
      </c>
      <c r="B887" t="s">
        <v>106</v>
      </c>
      <c r="C887" t="s">
        <v>56</v>
      </c>
      <c r="D887" t="s">
        <v>670</v>
      </c>
      <c r="E887">
        <v>12</v>
      </c>
      <c r="F887" t="str">
        <f>VLOOKUP(E887,[1]LOJA!$A:$B,2,0)</f>
        <v>SOFNORTE</v>
      </c>
      <c r="G887" t="s">
        <v>19</v>
      </c>
      <c r="H887" t="s">
        <v>19</v>
      </c>
      <c r="I887" s="1">
        <v>46041</v>
      </c>
      <c r="J887" s="1">
        <v>46041</v>
      </c>
      <c r="K887" s="1">
        <v>46041</v>
      </c>
      <c r="L887">
        <v>33</v>
      </c>
      <c r="M887">
        <v>0.67</v>
      </c>
      <c r="N887">
        <v>0.67</v>
      </c>
      <c r="O887">
        <v>0</v>
      </c>
      <c r="P887">
        <v>0</v>
      </c>
      <c r="Q887" t="s">
        <v>108</v>
      </c>
    </row>
    <row r="888" spans="1:17">
      <c r="A888" t="s">
        <v>93</v>
      </c>
      <c r="B888" t="s">
        <v>106</v>
      </c>
      <c r="C888" t="s">
        <v>56</v>
      </c>
      <c r="D888" t="s">
        <v>671</v>
      </c>
      <c r="E888">
        <v>12</v>
      </c>
      <c r="F888" t="str">
        <f>VLOOKUP(E888,[1]LOJA!$A:$B,2,0)</f>
        <v>SOFNORTE</v>
      </c>
      <c r="G888" t="s">
        <v>19</v>
      </c>
      <c r="H888" t="s">
        <v>19</v>
      </c>
      <c r="I888" s="1">
        <v>46041</v>
      </c>
      <c r="J888" s="1">
        <v>46041</v>
      </c>
      <c r="K888" s="1">
        <v>46041</v>
      </c>
      <c r="L888">
        <v>33</v>
      </c>
      <c r="M888">
        <v>2.41</v>
      </c>
      <c r="N888">
        <v>2.41</v>
      </c>
      <c r="O888">
        <v>0</v>
      </c>
      <c r="P888">
        <v>0</v>
      </c>
      <c r="Q888" t="s">
        <v>108</v>
      </c>
    </row>
    <row r="889" spans="1:17">
      <c r="A889" t="s">
        <v>93</v>
      </c>
      <c r="B889" t="s">
        <v>106</v>
      </c>
      <c r="C889" t="s">
        <v>56</v>
      </c>
      <c r="D889" t="s">
        <v>672</v>
      </c>
      <c r="E889">
        <v>12</v>
      </c>
      <c r="F889" t="str">
        <f>VLOOKUP(E889,[1]LOJA!$A:$B,2,0)</f>
        <v>SOFNORTE</v>
      </c>
      <c r="G889" t="s">
        <v>19</v>
      </c>
      <c r="H889" t="s">
        <v>19</v>
      </c>
      <c r="I889" s="1">
        <v>46041</v>
      </c>
      <c r="J889" s="1">
        <v>46041</v>
      </c>
      <c r="K889" s="1">
        <v>46041</v>
      </c>
      <c r="L889">
        <v>33</v>
      </c>
      <c r="M889">
        <v>3.24</v>
      </c>
      <c r="N889">
        <v>3.24</v>
      </c>
      <c r="O889">
        <v>0</v>
      </c>
      <c r="P889">
        <v>0</v>
      </c>
      <c r="Q889" t="s">
        <v>108</v>
      </c>
    </row>
    <row r="890" spans="1:17">
      <c r="A890" t="s">
        <v>93</v>
      </c>
      <c r="B890" t="s">
        <v>106</v>
      </c>
      <c r="C890" t="s">
        <v>56</v>
      </c>
      <c r="D890" t="s">
        <v>673</v>
      </c>
      <c r="E890">
        <v>12</v>
      </c>
      <c r="F890" t="str">
        <f>VLOOKUP(E890,[1]LOJA!$A:$B,2,0)</f>
        <v>SOFNORTE</v>
      </c>
      <c r="G890" t="s">
        <v>19</v>
      </c>
      <c r="H890" t="s">
        <v>19</v>
      </c>
      <c r="I890" s="1">
        <v>46041</v>
      </c>
      <c r="J890" s="1">
        <v>46041</v>
      </c>
      <c r="K890" s="1">
        <v>46041</v>
      </c>
      <c r="L890">
        <v>33</v>
      </c>
      <c r="M890">
        <v>1.52</v>
      </c>
      <c r="N890">
        <v>1.52</v>
      </c>
      <c r="O890">
        <v>0</v>
      </c>
      <c r="P890">
        <v>0</v>
      </c>
      <c r="Q890" t="s">
        <v>108</v>
      </c>
    </row>
    <row r="891" spans="1:17">
      <c r="A891" t="s">
        <v>93</v>
      </c>
      <c r="B891" t="s">
        <v>106</v>
      </c>
      <c r="C891" t="s">
        <v>56</v>
      </c>
      <c r="D891" t="s">
        <v>674</v>
      </c>
      <c r="E891">
        <v>12</v>
      </c>
      <c r="F891" t="str">
        <f>VLOOKUP(E891,[1]LOJA!$A:$B,2,0)</f>
        <v>SOFNORTE</v>
      </c>
      <c r="G891" t="s">
        <v>19</v>
      </c>
      <c r="H891" t="s">
        <v>19</v>
      </c>
      <c r="I891" s="1">
        <v>46041</v>
      </c>
      <c r="J891" s="1">
        <v>46040</v>
      </c>
      <c r="K891" s="1">
        <v>46041</v>
      </c>
      <c r="L891">
        <v>33</v>
      </c>
      <c r="M891">
        <v>36.049999999999997</v>
      </c>
      <c r="N891">
        <v>36.049999999999997</v>
      </c>
      <c r="O891">
        <v>0</v>
      </c>
      <c r="P891">
        <v>0</v>
      </c>
      <c r="Q891" t="s">
        <v>108</v>
      </c>
    </row>
    <row r="892" spans="1:17">
      <c r="A892" t="s">
        <v>93</v>
      </c>
      <c r="B892" t="s">
        <v>106</v>
      </c>
      <c r="C892" t="s">
        <v>56</v>
      </c>
      <c r="D892" t="s">
        <v>675</v>
      </c>
      <c r="E892">
        <v>12</v>
      </c>
      <c r="F892" t="str">
        <f>VLOOKUP(E892,[1]LOJA!$A:$B,2,0)</f>
        <v>SOFNORTE</v>
      </c>
      <c r="G892" t="s">
        <v>19</v>
      </c>
      <c r="H892" t="s">
        <v>19</v>
      </c>
      <c r="I892" s="1">
        <v>46041</v>
      </c>
      <c r="J892" s="1">
        <v>46039</v>
      </c>
      <c r="K892" s="1">
        <v>46041</v>
      </c>
      <c r="L892">
        <v>33</v>
      </c>
      <c r="M892">
        <v>0.12</v>
      </c>
      <c r="N892">
        <v>0.12</v>
      </c>
      <c r="O892">
        <v>0</v>
      </c>
      <c r="P892">
        <v>0</v>
      </c>
      <c r="Q892" t="s">
        <v>108</v>
      </c>
    </row>
    <row r="893" spans="1:17">
      <c r="A893" t="s">
        <v>93</v>
      </c>
      <c r="B893" t="s">
        <v>106</v>
      </c>
      <c r="C893" t="s">
        <v>56</v>
      </c>
      <c r="D893" t="s">
        <v>676</v>
      </c>
      <c r="E893">
        <v>12</v>
      </c>
      <c r="F893" t="str">
        <f>VLOOKUP(E893,[1]LOJA!$A:$B,2,0)</f>
        <v>SOFNORTE</v>
      </c>
      <c r="G893" t="s">
        <v>19</v>
      </c>
      <c r="H893" t="s">
        <v>19</v>
      </c>
      <c r="I893" s="1">
        <v>46041</v>
      </c>
      <c r="J893" s="1">
        <v>46039</v>
      </c>
      <c r="K893" s="1">
        <v>46041</v>
      </c>
      <c r="L893">
        <v>33</v>
      </c>
      <c r="M893">
        <v>0.99</v>
      </c>
      <c r="N893">
        <v>0.99</v>
      </c>
      <c r="O893">
        <v>0</v>
      </c>
      <c r="P893">
        <v>0</v>
      </c>
      <c r="Q893" t="s">
        <v>108</v>
      </c>
    </row>
    <row r="894" spans="1:17">
      <c r="A894" t="s">
        <v>93</v>
      </c>
      <c r="B894" t="s">
        <v>106</v>
      </c>
      <c r="C894" t="s">
        <v>56</v>
      </c>
      <c r="D894" t="s">
        <v>677</v>
      </c>
      <c r="E894">
        <v>12</v>
      </c>
      <c r="F894" t="str">
        <f>VLOOKUP(E894,[1]LOJA!$A:$B,2,0)</f>
        <v>SOFNORTE</v>
      </c>
      <c r="G894" t="s">
        <v>19</v>
      </c>
      <c r="H894" t="s">
        <v>19</v>
      </c>
      <c r="I894" s="1">
        <v>46041</v>
      </c>
      <c r="J894" s="1">
        <v>46039</v>
      </c>
      <c r="K894" s="1">
        <v>46041</v>
      </c>
      <c r="L894">
        <v>33</v>
      </c>
      <c r="M894">
        <v>0.4</v>
      </c>
      <c r="N894">
        <v>0.4</v>
      </c>
      <c r="O894">
        <v>0</v>
      </c>
      <c r="P894">
        <v>0</v>
      </c>
      <c r="Q894" t="s">
        <v>108</v>
      </c>
    </row>
    <row r="895" spans="1:17">
      <c r="A895" t="s">
        <v>93</v>
      </c>
      <c r="B895" t="s">
        <v>106</v>
      </c>
      <c r="C895" t="s">
        <v>56</v>
      </c>
      <c r="D895" t="s">
        <v>678</v>
      </c>
      <c r="E895">
        <v>12</v>
      </c>
      <c r="F895" t="str">
        <f>VLOOKUP(E895,[1]LOJA!$A:$B,2,0)</f>
        <v>SOFNORTE</v>
      </c>
      <c r="G895" t="s">
        <v>19</v>
      </c>
      <c r="H895" t="s">
        <v>19</v>
      </c>
      <c r="I895" s="1">
        <v>46041</v>
      </c>
      <c r="J895" s="1">
        <v>46040</v>
      </c>
      <c r="K895" s="1">
        <v>46041</v>
      </c>
      <c r="L895">
        <v>33</v>
      </c>
      <c r="M895">
        <v>1.45</v>
      </c>
      <c r="N895">
        <v>1.45</v>
      </c>
      <c r="O895">
        <v>0</v>
      </c>
      <c r="P895">
        <v>0</v>
      </c>
      <c r="Q895" t="s">
        <v>108</v>
      </c>
    </row>
    <row r="896" spans="1:17">
      <c r="A896" t="s">
        <v>93</v>
      </c>
      <c r="B896" t="s">
        <v>106</v>
      </c>
      <c r="C896" t="s">
        <v>56</v>
      </c>
      <c r="D896" t="s">
        <v>679</v>
      </c>
      <c r="E896">
        <v>12</v>
      </c>
      <c r="F896" t="str">
        <f>VLOOKUP(E896,[1]LOJA!$A:$B,2,0)</f>
        <v>SOFNORTE</v>
      </c>
      <c r="G896" t="s">
        <v>19</v>
      </c>
      <c r="H896" t="s">
        <v>19</v>
      </c>
      <c r="I896" s="1">
        <v>46041</v>
      </c>
      <c r="J896" s="1">
        <v>46040</v>
      </c>
      <c r="K896" s="1">
        <v>46041</v>
      </c>
      <c r="L896">
        <v>33</v>
      </c>
      <c r="M896">
        <v>0.11</v>
      </c>
      <c r="N896">
        <v>0.11</v>
      </c>
      <c r="O896">
        <v>0</v>
      </c>
      <c r="P896">
        <v>0</v>
      </c>
      <c r="Q896" t="s">
        <v>108</v>
      </c>
    </row>
    <row r="897" spans="1:17">
      <c r="A897" t="s">
        <v>93</v>
      </c>
      <c r="B897" t="s">
        <v>106</v>
      </c>
      <c r="C897" t="s">
        <v>56</v>
      </c>
      <c r="D897" t="s">
        <v>680</v>
      </c>
      <c r="E897">
        <v>12</v>
      </c>
      <c r="F897" t="str">
        <f>VLOOKUP(E897,[1]LOJA!$A:$B,2,0)</f>
        <v>SOFNORTE</v>
      </c>
      <c r="G897" t="s">
        <v>19</v>
      </c>
      <c r="H897" t="s">
        <v>19</v>
      </c>
      <c r="I897" s="1">
        <v>46041</v>
      </c>
      <c r="J897" s="1">
        <v>46040</v>
      </c>
      <c r="K897" s="1">
        <v>46041</v>
      </c>
      <c r="L897">
        <v>33</v>
      </c>
      <c r="M897">
        <v>0.56000000000000005</v>
      </c>
      <c r="N897">
        <v>0.56000000000000005</v>
      </c>
      <c r="O897">
        <v>0</v>
      </c>
      <c r="P897">
        <v>0</v>
      </c>
      <c r="Q897" t="s">
        <v>108</v>
      </c>
    </row>
    <row r="898" spans="1:17">
      <c r="A898" t="s">
        <v>93</v>
      </c>
      <c r="B898" t="s">
        <v>106</v>
      </c>
      <c r="C898" t="s">
        <v>56</v>
      </c>
      <c r="D898" t="s">
        <v>681</v>
      </c>
      <c r="E898">
        <v>12</v>
      </c>
      <c r="F898" t="str">
        <f>VLOOKUP(E898,[1]LOJA!$A:$B,2,0)</f>
        <v>SOFNORTE</v>
      </c>
      <c r="G898" t="s">
        <v>19</v>
      </c>
      <c r="H898" t="s">
        <v>19</v>
      </c>
      <c r="I898" s="1">
        <v>46041</v>
      </c>
      <c r="J898" s="1">
        <v>46040</v>
      </c>
      <c r="K898" s="1">
        <v>46041</v>
      </c>
      <c r="L898">
        <v>33</v>
      </c>
      <c r="M898">
        <v>0.87</v>
      </c>
      <c r="N898">
        <v>0.87</v>
      </c>
      <c r="O898">
        <v>0</v>
      </c>
      <c r="P898">
        <v>0</v>
      </c>
      <c r="Q898" t="s">
        <v>108</v>
      </c>
    </row>
    <row r="899" spans="1:17">
      <c r="A899" t="s">
        <v>93</v>
      </c>
      <c r="B899" t="s">
        <v>106</v>
      </c>
      <c r="C899" t="s">
        <v>56</v>
      </c>
      <c r="D899" t="s">
        <v>682</v>
      </c>
      <c r="E899">
        <v>12</v>
      </c>
      <c r="F899" t="str">
        <f>VLOOKUP(E899,[1]LOJA!$A:$B,2,0)</f>
        <v>SOFNORTE</v>
      </c>
      <c r="G899" t="s">
        <v>19</v>
      </c>
      <c r="H899" t="s">
        <v>19</v>
      </c>
      <c r="I899" s="1">
        <v>46042</v>
      </c>
      <c r="J899" s="1">
        <v>46042</v>
      </c>
      <c r="K899" s="1">
        <v>46042</v>
      </c>
      <c r="L899">
        <v>33</v>
      </c>
      <c r="M899">
        <v>4.38</v>
      </c>
      <c r="N899">
        <v>4.38</v>
      </c>
      <c r="O899">
        <v>0</v>
      </c>
      <c r="P899">
        <v>0</v>
      </c>
      <c r="Q899" t="s">
        <v>108</v>
      </c>
    </row>
    <row r="900" spans="1:17">
      <c r="A900" t="s">
        <v>93</v>
      </c>
      <c r="B900" t="s">
        <v>106</v>
      </c>
      <c r="C900" t="s">
        <v>56</v>
      </c>
      <c r="D900" t="s">
        <v>683</v>
      </c>
      <c r="E900">
        <v>12</v>
      </c>
      <c r="F900" t="str">
        <f>VLOOKUP(E900,[1]LOJA!$A:$B,2,0)</f>
        <v>SOFNORTE</v>
      </c>
      <c r="G900" t="s">
        <v>19</v>
      </c>
      <c r="H900" t="s">
        <v>19</v>
      </c>
      <c r="I900" s="1">
        <v>46042</v>
      </c>
      <c r="J900" s="1">
        <v>46042</v>
      </c>
      <c r="K900" s="1">
        <v>46042</v>
      </c>
      <c r="L900">
        <v>33</v>
      </c>
      <c r="M900">
        <v>7.01</v>
      </c>
      <c r="N900">
        <v>7.01</v>
      </c>
      <c r="O900">
        <v>0</v>
      </c>
      <c r="P900">
        <v>0</v>
      </c>
      <c r="Q900" t="s">
        <v>108</v>
      </c>
    </row>
    <row r="901" spans="1:17">
      <c r="A901" t="s">
        <v>93</v>
      </c>
      <c r="B901" t="s">
        <v>106</v>
      </c>
      <c r="C901" t="s">
        <v>56</v>
      </c>
      <c r="D901" t="s">
        <v>684</v>
      </c>
      <c r="E901">
        <v>12</v>
      </c>
      <c r="F901" t="str">
        <f>VLOOKUP(E901,[1]LOJA!$A:$B,2,0)</f>
        <v>SOFNORTE</v>
      </c>
      <c r="G901" t="s">
        <v>19</v>
      </c>
      <c r="H901" t="s">
        <v>19</v>
      </c>
      <c r="I901" s="1">
        <v>46042</v>
      </c>
      <c r="J901" s="1">
        <v>46042</v>
      </c>
      <c r="K901" s="1">
        <v>46042</v>
      </c>
      <c r="L901">
        <v>33</v>
      </c>
      <c r="M901">
        <v>5.84</v>
      </c>
      <c r="N901">
        <v>5.84</v>
      </c>
      <c r="O901">
        <v>0</v>
      </c>
      <c r="P901">
        <v>0</v>
      </c>
      <c r="Q901" t="s">
        <v>108</v>
      </c>
    </row>
    <row r="902" spans="1:17">
      <c r="A902" t="s">
        <v>93</v>
      </c>
      <c r="B902" t="s">
        <v>106</v>
      </c>
      <c r="C902" t="s">
        <v>56</v>
      </c>
      <c r="D902" t="s">
        <v>685</v>
      </c>
      <c r="E902">
        <v>12</v>
      </c>
      <c r="F902" t="str">
        <f>VLOOKUP(E902,[1]LOJA!$A:$B,2,0)</f>
        <v>SOFNORTE</v>
      </c>
      <c r="G902" t="s">
        <v>19</v>
      </c>
      <c r="H902" t="s">
        <v>19</v>
      </c>
      <c r="I902" s="1">
        <v>46042</v>
      </c>
      <c r="J902" s="1">
        <v>46042</v>
      </c>
      <c r="K902" s="1">
        <v>46042</v>
      </c>
      <c r="L902">
        <v>33</v>
      </c>
      <c r="M902">
        <v>4.05</v>
      </c>
      <c r="N902">
        <v>4.05</v>
      </c>
      <c r="O902">
        <v>0</v>
      </c>
      <c r="P902">
        <v>0</v>
      </c>
      <c r="Q902" t="s">
        <v>108</v>
      </c>
    </row>
    <row r="903" spans="1:17">
      <c r="A903" t="s">
        <v>93</v>
      </c>
      <c r="B903" t="s">
        <v>106</v>
      </c>
      <c r="C903" t="s">
        <v>56</v>
      </c>
      <c r="D903" t="s">
        <v>686</v>
      </c>
      <c r="E903">
        <v>12</v>
      </c>
      <c r="F903" t="str">
        <f>VLOOKUP(E903,[1]LOJA!$A:$B,2,0)</f>
        <v>SOFNORTE</v>
      </c>
      <c r="G903" t="s">
        <v>19</v>
      </c>
      <c r="H903" t="s">
        <v>19</v>
      </c>
      <c r="I903" s="1">
        <v>46042</v>
      </c>
      <c r="J903" s="1">
        <v>46042</v>
      </c>
      <c r="K903" s="1">
        <v>46042</v>
      </c>
      <c r="L903">
        <v>33</v>
      </c>
      <c r="M903">
        <v>5.1100000000000003</v>
      </c>
      <c r="N903">
        <v>5.1100000000000003</v>
      </c>
      <c r="O903">
        <v>0</v>
      </c>
      <c r="P903">
        <v>0</v>
      </c>
      <c r="Q903" t="s">
        <v>108</v>
      </c>
    </row>
    <row r="904" spans="1:17">
      <c r="A904" t="s">
        <v>93</v>
      </c>
      <c r="B904" t="s">
        <v>106</v>
      </c>
      <c r="C904" t="s">
        <v>56</v>
      </c>
      <c r="D904" t="s">
        <v>687</v>
      </c>
      <c r="E904">
        <v>12</v>
      </c>
      <c r="F904" t="str">
        <f>VLOOKUP(E904,[1]LOJA!$A:$B,2,0)</f>
        <v>SOFNORTE</v>
      </c>
      <c r="G904" t="s">
        <v>19</v>
      </c>
      <c r="H904" t="s">
        <v>19</v>
      </c>
      <c r="I904" s="1">
        <v>46042</v>
      </c>
      <c r="J904" s="1">
        <v>46042</v>
      </c>
      <c r="K904" s="1">
        <v>46042</v>
      </c>
      <c r="L904">
        <v>33</v>
      </c>
      <c r="M904">
        <v>1.49</v>
      </c>
      <c r="N904">
        <v>1.49</v>
      </c>
      <c r="O904">
        <v>0</v>
      </c>
      <c r="P904">
        <v>0</v>
      </c>
      <c r="Q904" t="s">
        <v>108</v>
      </c>
    </row>
    <row r="905" spans="1:17">
      <c r="A905" t="s">
        <v>93</v>
      </c>
      <c r="B905" t="s">
        <v>106</v>
      </c>
      <c r="C905" t="s">
        <v>56</v>
      </c>
      <c r="D905" t="s">
        <v>688</v>
      </c>
      <c r="E905">
        <v>12</v>
      </c>
      <c r="F905" t="str">
        <f>VLOOKUP(E905,[1]LOJA!$A:$B,2,0)</f>
        <v>SOFNORTE</v>
      </c>
      <c r="G905" t="s">
        <v>19</v>
      </c>
      <c r="H905" t="s">
        <v>19</v>
      </c>
      <c r="I905" s="1">
        <v>46042</v>
      </c>
      <c r="J905" s="1">
        <v>46042</v>
      </c>
      <c r="K905" s="1">
        <v>46042</v>
      </c>
      <c r="L905">
        <v>33</v>
      </c>
      <c r="M905">
        <v>4.74</v>
      </c>
      <c r="N905">
        <v>4.74</v>
      </c>
      <c r="O905">
        <v>0</v>
      </c>
      <c r="P905">
        <v>0</v>
      </c>
      <c r="Q905" t="s">
        <v>108</v>
      </c>
    </row>
    <row r="906" spans="1:17">
      <c r="A906" t="s">
        <v>93</v>
      </c>
      <c r="B906" t="s">
        <v>106</v>
      </c>
      <c r="C906" t="s">
        <v>56</v>
      </c>
      <c r="D906" t="s">
        <v>689</v>
      </c>
      <c r="E906">
        <v>12</v>
      </c>
      <c r="F906" t="str">
        <f>VLOOKUP(E906,[1]LOJA!$A:$B,2,0)</f>
        <v>SOFNORTE</v>
      </c>
      <c r="G906" t="s">
        <v>19</v>
      </c>
      <c r="H906" t="s">
        <v>19</v>
      </c>
      <c r="I906" s="1">
        <v>46042</v>
      </c>
      <c r="J906" s="1">
        <v>46042</v>
      </c>
      <c r="K906" s="1">
        <v>46042</v>
      </c>
      <c r="L906">
        <v>33</v>
      </c>
      <c r="M906">
        <v>3.87</v>
      </c>
      <c r="N906">
        <v>3.87</v>
      </c>
      <c r="O906">
        <v>0</v>
      </c>
      <c r="P906">
        <v>0</v>
      </c>
      <c r="Q906" t="s">
        <v>108</v>
      </c>
    </row>
    <row r="907" spans="1:17">
      <c r="A907" t="s">
        <v>93</v>
      </c>
      <c r="B907" t="s">
        <v>106</v>
      </c>
      <c r="C907" t="s">
        <v>56</v>
      </c>
      <c r="D907" t="s">
        <v>690</v>
      </c>
      <c r="E907">
        <v>12</v>
      </c>
      <c r="F907" t="str">
        <f>VLOOKUP(E907,[1]LOJA!$A:$B,2,0)</f>
        <v>SOFNORTE</v>
      </c>
      <c r="G907" t="s">
        <v>19</v>
      </c>
      <c r="H907" t="s">
        <v>19</v>
      </c>
      <c r="I907" s="1">
        <v>46042</v>
      </c>
      <c r="J907" s="1">
        <v>46042</v>
      </c>
      <c r="K907" s="1">
        <v>46042</v>
      </c>
      <c r="L907">
        <v>33</v>
      </c>
      <c r="M907">
        <v>0.25</v>
      </c>
      <c r="N907">
        <v>0.25</v>
      </c>
      <c r="O907">
        <v>0</v>
      </c>
      <c r="P907">
        <v>0</v>
      </c>
      <c r="Q907" t="s">
        <v>108</v>
      </c>
    </row>
    <row r="908" spans="1:17">
      <c r="A908" t="s">
        <v>93</v>
      </c>
      <c r="B908" t="s">
        <v>106</v>
      </c>
      <c r="C908" t="s">
        <v>56</v>
      </c>
      <c r="D908" t="s">
        <v>691</v>
      </c>
      <c r="E908">
        <v>12</v>
      </c>
      <c r="F908" t="str">
        <f>VLOOKUP(E908,[1]LOJA!$A:$B,2,0)</f>
        <v>SOFNORTE</v>
      </c>
      <c r="G908" t="s">
        <v>19</v>
      </c>
      <c r="H908" t="s">
        <v>19</v>
      </c>
      <c r="I908" s="1">
        <v>46042</v>
      </c>
      <c r="J908" s="1">
        <v>46042</v>
      </c>
      <c r="K908" s="1">
        <v>46042</v>
      </c>
      <c r="L908">
        <v>33</v>
      </c>
      <c r="M908">
        <v>0.9</v>
      </c>
      <c r="N908">
        <v>0.9</v>
      </c>
      <c r="O908">
        <v>0</v>
      </c>
      <c r="P908">
        <v>0</v>
      </c>
      <c r="Q908" t="s">
        <v>108</v>
      </c>
    </row>
    <row r="909" spans="1:17">
      <c r="A909" t="s">
        <v>93</v>
      </c>
      <c r="B909" t="s">
        <v>106</v>
      </c>
      <c r="C909" t="s">
        <v>56</v>
      </c>
      <c r="D909" t="s">
        <v>692</v>
      </c>
      <c r="E909">
        <v>12</v>
      </c>
      <c r="F909" t="str">
        <f>VLOOKUP(E909,[1]LOJA!$A:$B,2,0)</f>
        <v>SOFNORTE</v>
      </c>
      <c r="G909" t="s">
        <v>19</v>
      </c>
      <c r="H909" t="s">
        <v>19</v>
      </c>
      <c r="I909" s="1">
        <v>46042</v>
      </c>
      <c r="J909" s="1">
        <v>46042</v>
      </c>
      <c r="K909" s="1">
        <v>46042</v>
      </c>
      <c r="L909">
        <v>33</v>
      </c>
      <c r="M909">
        <v>0.4</v>
      </c>
      <c r="N909">
        <v>0.4</v>
      </c>
      <c r="O909">
        <v>0</v>
      </c>
      <c r="P909">
        <v>0</v>
      </c>
      <c r="Q909" t="s">
        <v>108</v>
      </c>
    </row>
    <row r="910" spans="1:17">
      <c r="A910" t="s">
        <v>93</v>
      </c>
      <c r="B910" t="s">
        <v>106</v>
      </c>
      <c r="C910" t="s">
        <v>56</v>
      </c>
      <c r="D910" t="s">
        <v>693</v>
      </c>
      <c r="E910">
        <v>12</v>
      </c>
      <c r="F910" t="str">
        <f>VLOOKUP(E910,[1]LOJA!$A:$B,2,0)</f>
        <v>SOFNORTE</v>
      </c>
      <c r="G910" t="s">
        <v>19</v>
      </c>
      <c r="H910" t="s">
        <v>19</v>
      </c>
      <c r="I910" s="1">
        <v>46042</v>
      </c>
      <c r="J910" s="1">
        <v>46042</v>
      </c>
      <c r="K910" s="1">
        <v>46042</v>
      </c>
      <c r="L910">
        <v>33</v>
      </c>
      <c r="M910">
        <v>0.3</v>
      </c>
      <c r="N910">
        <v>0.3</v>
      </c>
      <c r="O910">
        <v>0</v>
      </c>
      <c r="P910">
        <v>0</v>
      </c>
      <c r="Q910" t="s">
        <v>108</v>
      </c>
    </row>
    <row r="911" spans="1:17">
      <c r="A911" t="s">
        <v>93</v>
      </c>
      <c r="B911" t="s">
        <v>106</v>
      </c>
      <c r="C911" t="s">
        <v>56</v>
      </c>
      <c r="D911" t="s">
        <v>694</v>
      </c>
      <c r="E911">
        <v>12</v>
      </c>
      <c r="F911" t="str">
        <f>VLOOKUP(E911,[1]LOJA!$A:$B,2,0)</f>
        <v>SOFNORTE</v>
      </c>
      <c r="G911" t="s">
        <v>19</v>
      </c>
      <c r="H911" t="s">
        <v>19</v>
      </c>
      <c r="I911" s="1">
        <v>46042</v>
      </c>
      <c r="J911" s="1">
        <v>46042</v>
      </c>
      <c r="K911" s="1">
        <v>46042</v>
      </c>
      <c r="L911">
        <v>33</v>
      </c>
      <c r="M911">
        <v>1.31</v>
      </c>
      <c r="N911">
        <v>1.31</v>
      </c>
      <c r="O911">
        <v>0</v>
      </c>
      <c r="P911">
        <v>0</v>
      </c>
      <c r="Q911" t="s">
        <v>108</v>
      </c>
    </row>
    <row r="912" spans="1:17">
      <c r="A912" t="s">
        <v>93</v>
      </c>
      <c r="B912" t="s">
        <v>106</v>
      </c>
      <c r="C912" t="s">
        <v>56</v>
      </c>
      <c r="D912" t="s">
        <v>695</v>
      </c>
      <c r="E912">
        <v>12</v>
      </c>
      <c r="F912" t="str">
        <f>VLOOKUP(E912,[1]LOJA!$A:$B,2,0)</f>
        <v>SOFNORTE</v>
      </c>
      <c r="G912" t="s">
        <v>19</v>
      </c>
      <c r="H912" t="s">
        <v>19</v>
      </c>
      <c r="I912" s="1">
        <v>46042</v>
      </c>
      <c r="J912" s="1">
        <v>46042</v>
      </c>
      <c r="K912" s="1">
        <v>46042</v>
      </c>
      <c r="L912">
        <v>33</v>
      </c>
      <c r="M912">
        <v>0.88</v>
      </c>
      <c r="N912">
        <v>0.88</v>
      </c>
      <c r="O912">
        <v>0</v>
      </c>
      <c r="P912">
        <v>0</v>
      </c>
      <c r="Q912" t="s">
        <v>108</v>
      </c>
    </row>
    <row r="913" spans="1:17">
      <c r="A913" t="s">
        <v>93</v>
      </c>
      <c r="B913" t="s">
        <v>106</v>
      </c>
      <c r="C913" t="s">
        <v>56</v>
      </c>
      <c r="D913" t="s">
        <v>696</v>
      </c>
      <c r="E913">
        <v>12</v>
      </c>
      <c r="F913" t="str">
        <f>VLOOKUP(E913,[1]LOJA!$A:$B,2,0)</f>
        <v>SOFNORTE</v>
      </c>
      <c r="G913" t="s">
        <v>19</v>
      </c>
      <c r="H913" t="s">
        <v>19</v>
      </c>
      <c r="I913" s="1">
        <v>46042</v>
      </c>
      <c r="J913" s="1">
        <v>46042</v>
      </c>
      <c r="K913" s="1">
        <v>46042</v>
      </c>
      <c r="L913">
        <v>33</v>
      </c>
      <c r="M913">
        <v>0.22</v>
      </c>
      <c r="N913">
        <v>0.22</v>
      </c>
      <c r="O913">
        <v>0</v>
      </c>
      <c r="P913">
        <v>0</v>
      </c>
      <c r="Q913" t="s">
        <v>108</v>
      </c>
    </row>
    <row r="914" spans="1:17">
      <c r="A914" t="s">
        <v>93</v>
      </c>
      <c r="B914" t="s">
        <v>106</v>
      </c>
      <c r="C914" t="s">
        <v>56</v>
      </c>
      <c r="D914" t="s">
        <v>697</v>
      </c>
      <c r="E914">
        <v>12</v>
      </c>
      <c r="F914" t="str">
        <f>VLOOKUP(E914,[1]LOJA!$A:$B,2,0)</f>
        <v>SOFNORTE</v>
      </c>
      <c r="G914" t="s">
        <v>19</v>
      </c>
      <c r="H914" t="s">
        <v>19</v>
      </c>
      <c r="I914" s="1">
        <v>46042</v>
      </c>
      <c r="J914" s="1">
        <v>46042</v>
      </c>
      <c r="K914" s="1">
        <v>46042</v>
      </c>
      <c r="L914">
        <v>33</v>
      </c>
      <c r="M914">
        <v>0.37</v>
      </c>
      <c r="N914">
        <v>0.37</v>
      </c>
      <c r="O914">
        <v>0</v>
      </c>
      <c r="P914">
        <v>0</v>
      </c>
      <c r="Q914" t="s">
        <v>108</v>
      </c>
    </row>
    <row r="915" spans="1:17">
      <c r="A915" t="s">
        <v>93</v>
      </c>
      <c r="B915" t="s">
        <v>106</v>
      </c>
      <c r="C915" t="s">
        <v>56</v>
      </c>
      <c r="D915" t="s">
        <v>698</v>
      </c>
      <c r="E915">
        <v>12</v>
      </c>
      <c r="F915" t="str">
        <f>VLOOKUP(E915,[1]LOJA!$A:$B,2,0)</f>
        <v>SOFNORTE</v>
      </c>
      <c r="G915" t="s">
        <v>19</v>
      </c>
      <c r="H915" t="s">
        <v>19</v>
      </c>
      <c r="I915" s="1">
        <v>46043</v>
      </c>
      <c r="J915" s="1">
        <v>46043</v>
      </c>
      <c r="K915" s="1">
        <v>46043</v>
      </c>
      <c r="L915">
        <v>33</v>
      </c>
      <c r="M915">
        <v>14.52</v>
      </c>
      <c r="N915">
        <v>14.52</v>
      </c>
      <c r="O915">
        <v>0</v>
      </c>
      <c r="P915">
        <v>0</v>
      </c>
      <c r="Q915" t="s">
        <v>108</v>
      </c>
    </row>
    <row r="916" spans="1:17">
      <c r="A916" t="s">
        <v>93</v>
      </c>
      <c r="B916" t="s">
        <v>106</v>
      </c>
      <c r="C916" t="s">
        <v>56</v>
      </c>
      <c r="D916" t="s">
        <v>699</v>
      </c>
      <c r="E916">
        <v>12</v>
      </c>
      <c r="F916" t="str">
        <f>VLOOKUP(E916,[1]LOJA!$A:$B,2,0)</f>
        <v>SOFNORTE</v>
      </c>
      <c r="G916" t="s">
        <v>19</v>
      </c>
      <c r="H916" t="s">
        <v>19</v>
      </c>
      <c r="I916" s="1">
        <v>46043</v>
      </c>
      <c r="J916" s="1">
        <v>46043</v>
      </c>
      <c r="K916" s="1">
        <v>46043</v>
      </c>
      <c r="L916">
        <v>33</v>
      </c>
      <c r="M916">
        <v>0.4</v>
      </c>
      <c r="N916">
        <v>0.4</v>
      </c>
      <c r="O916">
        <v>0</v>
      </c>
      <c r="P916">
        <v>0</v>
      </c>
      <c r="Q916" t="s">
        <v>108</v>
      </c>
    </row>
    <row r="917" spans="1:17">
      <c r="A917" t="s">
        <v>93</v>
      </c>
      <c r="B917" t="s">
        <v>106</v>
      </c>
      <c r="C917" t="s">
        <v>56</v>
      </c>
      <c r="D917" t="s">
        <v>700</v>
      </c>
      <c r="E917">
        <v>12</v>
      </c>
      <c r="F917" t="str">
        <f>VLOOKUP(E917,[1]LOJA!$A:$B,2,0)</f>
        <v>SOFNORTE</v>
      </c>
      <c r="G917" t="s">
        <v>19</v>
      </c>
      <c r="H917" t="s">
        <v>19</v>
      </c>
      <c r="I917" s="1">
        <v>46043</v>
      </c>
      <c r="J917" s="1">
        <v>46043</v>
      </c>
      <c r="K917" s="1">
        <v>46043</v>
      </c>
      <c r="L917">
        <v>33</v>
      </c>
      <c r="M917">
        <v>1.33</v>
      </c>
      <c r="N917">
        <v>1.33</v>
      </c>
      <c r="O917">
        <v>0</v>
      </c>
      <c r="P917">
        <v>0</v>
      </c>
      <c r="Q917" t="s">
        <v>108</v>
      </c>
    </row>
    <row r="918" spans="1:17">
      <c r="A918" t="s">
        <v>93</v>
      </c>
      <c r="B918" t="s">
        <v>106</v>
      </c>
      <c r="C918" t="s">
        <v>56</v>
      </c>
      <c r="D918" t="s">
        <v>701</v>
      </c>
      <c r="E918">
        <v>12</v>
      </c>
      <c r="F918" t="str">
        <f>VLOOKUP(E918,[1]LOJA!$A:$B,2,0)</f>
        <v>SOFNORTE</v>
      </c>
      <c r="G918" t="s">
        <v>19</v>
      </c>
      <c r="H918" t="s">
        <v>19</v>
      </c>
      <c r="I918" s="1">
        <v>46043</v>
      </c>
      <c r="J918" s="1">
        <v>46043</v>
      </c>
      <c r="K918" s="1">
        <v>46043</v>
      </c>
      <c r="L918">
        <v>33</v>
      </c>
      <c r="M918">
        <v>6.7</v>
      </c>
      <c r="N918">
        <v>6.7</v>
      </c>
      <c r="O918">
        <v>0</v>
      </c>
      <c r="P918">
        <v>0</v>
      </c>
      <c r="Q918" t="s">
        <v>108</v>
      </c>
    </row>
    <row r="919" spans="1:17">
      <c r="A919" t="s">
        <v>93</v>
      </c>
      <c r="B919" t="s">
        <v>106</v>
      </c>
      <c r="C919" t="s">
        <v>56</v>
      </c>
      <c r="D919" t="s">
        <v>702</v>
      </c>
      <c r="E919">
        <v>12</v>
      </c>
      <c r="F919" t="str">
        <f>VLOOKUP(E919,[1]LOJA!$A:$B,2,0)</f>
        <v>SOFNORTE</v>
      </c>
      <c r="G919" t="s">
        <v>19</v>
      </c>
      <c r="H919" t="s">
        <v>19</v>
      </c>
      <c r="I919" s="1">
        <v>46043</v>
      </c>
      <c r="J919" s="1">
        <v>46043</v>
      </c>
      <c r="K919" s="1">
        <v>46043</v>
      </c>
      <c r="L919">
        <v>33</v>
      </c>
      <c r="M919">
        <v>0.04</v>
      </c>
      <c r="N919">
        <v>0.04</v>
      </c>
      <c r="O919">
        <v>0</v>
      </c>
      <c r="P919">
        <v>0</v>
      </c>
      <c r="Q919" t="s">
        <v>108</v>
      </c>
    </row>
    <row r="920" spans="1:17">
      <c r="A920" t="s">
        <v>93</v>
      </c>
      <c r="B920" t="s">
        <v>106</v>
      </c>
      <c r="C920" t="s">
        <v>56</v>
      </c>
      <c r="D920" t="s">
        <v>703</v>
      </c>
      <c r="E920">
        <v>12</v>
      </c>
      <c r="F920" t="str">
        <f>VLOOKUP(E920,[1]LOJA!$A:$B,2,0)</f>
        <v>SOFNORTE</v>
      </c>
      <c r="G920" t="s">
        <v>19</v>
      </c>
      <c r="H920" t="s">
        <v>19</v>
      </c>
      <c r="I920" s="1">
        <v>46043</v>
      </c>
      <c r="J920" s="1">
        <v>46043</v>
      </c>
      <c r="K920" s="1">
        <v>46043</v>
      </c>
      <c r="L920">
        <v>33</v>
      </c>
      <c r="M920">
        <v>1.54</v>
      </c>
      <c r="N920">
        <v>1.54</v>
      </c>
      <c r="O920">
        <v>0</v>
      </c>
      <c r="P920">
        <v>0</v>
      </c>
      <c r="Q920" t="s">
        <v>108</v>
      </c>
    </row>
    <row r="921" spans="1:17">
      <c r="A921" t="s">
        <v>93</v>
      </c>
      <c r="B921" t="s">
        <v>106</v>
      </c>
      <c r="C921" t="s">
        <v>56</v>
      </c>
      <c r="D921" t="s">
        <v>704</v>
      </c>
      <c r="E921">
        <v>12</v>
      </c>
      <c r="F921" t="str">
        <f>VLOOKUP(E921,[1]LOJA!$A:$B,2,0)</f>
        <v>SOFNORTE</v>
      </c>
      <c r="G921" t="s">
        <v>19</v>
      </c>
      <c r="H921" t="s">
        <v>19</v>
      </c>
      <c r="I921" s="1">
        <v>46043</v>
      </c>
      <c r="J921" s="1">
        <v>46043</v>
      </c>
      <c r="K921" s="1">
        <v>46043</v>
      </c>
      <c r="L921">
        <v>33</v>
      </c>
      <c r="M921">
        <v>0.99</v>
      </c>
      <c r="N921">
        <v>0.99</v>
      </c>
      <c r="O921">
        <v>0</v>
      </c>
      <c r="P921">
        <v>0</v>
      </c>
      <c r="Q921" t="s">
        <v>108</v>
      </c>
    </row>
    <row r="922" spans="1:17">
      <c r="A922" t="s">
        <v>93</v>
      </c>
      <c r="B922" t="s">
        <v>106</v>
      </c>
      <c r="C922" t="s">
        <v>56</v>
      </c>
      <c r="D922" t="s">
        <v>705</v>
      </c>
      <c r="E922">
        <v>12</v>
      </c>
      <c r="F922" t="str">
        <f>VLOOKUP(E922,[1]LOJA!$A:$B,2,0)</f>
        <v>SOFNORTE</v>
      </c>
      <c r="G922" t="s">
        <v>19</v>
      </c>
      <c r="H922" t="s">
        <v>19</v>
      </c>
      <c r="I922" s="1">
        <v>46043</v>
      </c>
      <c r="J922" s="1">
        <v>46043</v>
      </c>
      <c r="K922" s="1">
        <v>46043</v>
      </c>
      <c r="L922">
        <v>33</v>
      </c>
      <c r="M922">
        <v>0.27</v>
      </c>
      <c r="N922">
        <v>0.27</v>
      </c>
      <c r="O922">
        <v>0</v>
      </c>
      <c r="P922">
        <v>0</v>
      </c>
      <c r="Q922" t="s">
        <v>108</v>
      </c>
    </row>
    <row r="923" spans="1:17">
      <c r="A923" t="s">
        <v>93</v>
      </c>
      <c r="B923" t="s">
        <v>106</v>
      </c>
      <c r="C923" t="s">
        <v>56</v>
      </c>
      <c r="D923" t="s">
        <v>706</v>
      </c>
      <c r="E923">
        <v>12</v>
      </c>
      <c r="F923" t="str">
        <f>VLOOKUP(E923,[1]LOJA!$A:$B,2,0)</f>
        <v>SOFNORTE</v>
      </c>
      <c r="G923" t="s">
        <v>19</v>
      </c>
      <c r="H923" t="s">
        <v>19</v>
      </c>
      <c r="I923" s="1">
        <v>46043</v>
      </c>
      <c r="J923" s="1">
        <v>46043</v>
      </c>
      <c r="K923" s="1">
        <v>46043</v>
      </c>
      <c r="L923">
        <v>33</v>
      </c>
      <c r="M923">
        <v>1.51</v>
      </c>
      <c r="N923">
        <v>1.51</v>
      </c>
      <c r="O923">
        <v>0</v>
      </c>
      <c r="P923">
        <v>0</v>
      </c>
      <c r="Q923" t="s">
        <v>108</v>
      </c>
    </row>
    <row r="924" spans="1:17">
      <c r="A924" t="s">
        <v>93</v>
      </c>
      <c r="B924" t="s">
        <v>106</v>
      </c>
      <c r="C924" t="s">
        <v>56</v>
      </c>
      <c r="D924" t="s">
        <v>707</v>
      </c>
      <c r="E924">
        <v>12</v>
      </c>
      <c r="F924" t="str">
        <f>VLOOKUP(E924,[1]LOJA!$A:$B,2,0)</f>
        <v>SOFNORTE</v>
      </c>
      <c r="G924" t="s">
        <v>19</v>
      </c>
      <c r="H924" t="s">
        <v>19</v>
      </c>
      <c r="I924" s="1">
        <v>46043</v>
      </c>
      <c r="J924" s="1">
        <v>46043</v>
      </c>
      <c r="K924" s="1">
        <v>46043</v>
      </c>
      <c r="L924">
        <v>33</v>
      </c>
      <c r="M924">
        <v>0.47</v>
      </c>
      <c r="N924">
        <v>0.47</v>
      </c>
      <c r="O924">
        <v>0</v>
      </c>
      <c r="P924">
        <v>0</v>
      </c>
      <c r="Q924" t="s">
        <v>108</v>
      </c>
    </row>
    <row r="925" spans="1:17">
      <c r="A925" t="s">
        <v>93</v>
      </c>
      <c r="B925" t="s">
        <v>106</v>
      </c>
      <c r="C925" t="s">
        <v>56</v>
      </c>
      <c r="D925" t="s">
        <v>708</v>
      </c>
      <c r="E925">
        <v>12</v>
      </c>
      <c r="F925" t="str">
        <f>VLOOKUP(E925,[1]LOJA!$A:$B,2,0)</f>
        <v>SOFNORTE</v>
      </c>
      <c r="G925" t="s">
        <v>19</v>
      </c>
      <c r="H925" t="s">
        <v>19</v>
      </c>
      <c r="I925" s="1">
        <v>46043</v>
      </c>
      <c r="J925" s="1">
        <v>46043</v>
      </c>
      <c r="K925" s="1">
        <v>46043</v>
      </c>
      <c r="L925">
        <v>33</v>
      </c>
      <c r="M925">
        <v>0.79</v>
      </c>
      <c r="N925">
        <v>0.79</v>
      </c>
      <c r="O925">
        <v>0</v>
      </c>
      <c r="P925">
        <v>0</v>
      </c>
      <c r="Q925" t="s">
        <v>108</v>
      </c>
    </row>
    <row r="926" spans="1:17">
      <c r="A926" t="s">
        <v>93</v>
      </c>
      <c r="B926" t="s">
        <v>106</v>
      </c>
      <c r="C926" t="s">
        <v>56</v>
      </c>
      <c r="D926" t="s">
        <v>709</v>
      </c>
      <c r="E926">
        <v>12</v>
      </c>
      <c r="F926" t="str">
        <f>VLOOKUP(E926,[1]LOJA!$A:$B,2,0)</f>
        <v>SOFNORTE</v>
      </c>
      <c r="G926" t="s">
        <v>19</v>
      </c>
      <c r="H926" t="s">
        <v>19</v>
      </c>
      <c r="I926" s="1">
        <v>46043</v>
      </c>
      <c r="J926" s="1">
        <v>46043</v>
      </c>
      <c r="K926" s="1">
        <v>46043</v>
      </c>
      <c r="L926">
        <v>33</v>
      </c>
      <c r="M926">
        <v>0.15</v>
      </c>
      <c r="N926">
        <v>0.15</v>
      </c>
      <c r="O926">
        <v>0</v>
      </c>
      <c r="P926">
        <v>0</v>
      </c>
      <c r="Q926" t="s">
        <v>108</v>
      </c>
    </row>
    <row r="927" spans="1:17">
      <c r="A927" t="s">
        <v>93</v>
      </c>
      <c r="B927" t="s">
        <v>106</v>
      </c>
      <c r="C927" t="s">
        <v>56</v>
      </c>
      <c r="D927" t="s">
        <v>710</v>
      </c>
      <c r="E927">
        <v>12</v>
      </c>
      <c r="F927" t="str">
        <f>VLOOKUP(E927,[1]LOJA!$A:$B,2,0)</f>
        <v>SOFNORTE</v>
      </c>
      <c r="G927" t="s">
        <v>19</v>
      </c>
      <c r="H927" t="s">
        <v>19</v>
      </c>
      <c r="I927" s="1">
        <v>46044</v>
      </c>
      <c r="J927" s="1">
        <v>46044</v>
      </c>
      <c r="K927" s="1">
        <v>46044</v>
      </c>
      <c r="L927">
        <v>33</v>
      </c>
      <c r="M927">
        <v>2.34</v>
      </c>
      <c r="N927">
        <v>2.34</v>
      </c>
      <c r="O927">
        <v>0</v>
      </c>
      <c r="P927">
        <v>0</v>
      </c>
      <c r="Q927" t="s">
        <v>108</v>
      </c>
    </row>
    <row r="928" spans="1:17">
      <c r="A928" t="s">
        <v>93</v>
      </c>
      <c r="B928" t="s">
        <v>106</v>
      </c>
      <c r="C928" t="s">
        <v>56</v>
      </c>
      <c r="D928" t="s">
        <v>711</v>
      </c>
      <c r="E928">
        <v>12</v>
      </c>
      <c r="F928" t="str">
        <f>VLOOKUP(E928,[1]LOJA!$A:$B,2,0)</f>
        <v>SOFNORTE</v>
      </c>
      <c r="G928" t="s">
        <v>19</v>
      </c>
      <c r="H928" t="s">
        <v>19</v>
      </c>
      <c r="I928" s="1">
        <v>46044</v>
      </c>
      <c r="J928" s="1">
        <v>46044</v>
      </c>
      <c r="K928" s="1">
        <v>46044</v>
      </c>
      <c r="L928">
        <v>33</v>
      </c>
      <c r="M928">
        <v>4.38</v>
      </c>
      <c r="N928">
        <v>4.38</v>
      </c>
      <c r="O928">
        <v>0</v>
      </c>
      <c r="P928">
        <v>0</v>
      </c>
      <c r="Q928" t="s">
        <v>108</v>
      </c>
    </row>
    <row r="929" spans="1:17">
      <c r="A929" t="s">
        <v>93</v>
      </c>
      <c r="B929" t="s">
        <v>106</v>
      </c>
      <c r="C929" t="s">
        <v>56</v>
      </c>
      <c r="D929" t="s">
        <v>712</v>
      </c>
      <c r="E929">
        <v>12</v>
      </c>
      <c r="F929" t="str">
        <f>VLOOKUP(E929,[1]LOJA!$A:$B,2,0)</f>
        <v>SOFNORTE</v>
      </c>
      <c r="G929" t="s">
        <v>19</v>
      </c>
      <c r="H929" t="s">
        <v>19</v>
      </c>
      <c r="I929" s="1">
        <v>46044</v>
      </c>
      <c r="J929" s="1">
        <v>46044</v>
      </c>
      <c r="K929" s="1">
        <v>46044</v>
      </c>
      <c r="L929">
        <v>33</v>
      </c>
      <c r="M929">
        <v>2.5499999999999998</v>
      </c>
      <c r="N929">
        <v>2.5499999999999998</v>
      </c>
      <c r="O929">
        <v>0</v>
      </c>
      <c r="P929">
        <v>0</v>
      </c>
      <c r="Q929" t="s">
        <v>108</v>
      </c>
    </row>
    <row r="930" spans="1:17">
      <c r="A930" t="s">
        <v>93</v>
      </c>
      <c r="B930" t="s">
        <v>106</v>
      </c>
      <c r="C930" t="s">
        <v>56</v>
      </c>
      <c r="D930" t="s">
        <v>713</v>
      </c>
      <c r="E930">
        <v>12</v>
      </c>
      <c r="F930" t="str">
        <f>VLOOKUP(E930,[1]LOJA!$A:$B,2,0)</f>
        <v>SOFNORTE</v>
      </c>
      <c r="G930" t="s">
        <v>19</v>
      </c>
      <c r="H930" t="s">
        <v>19</v>
      </c>
      <c r="I930" s="1">
        <v>46044</v>
      </c>
      <c r="J930" s="1">
        <v>46044</v>
      </c>
      <c r="K930" s="1">
        <v>46044</v>
      </c>
      <c r="L930">
        <v>33</v>
      </c>
      <c r="M930">
        <v>7.3</v>
      </c>
      <c r="N930">
        <v>7.3</v>
      </c>
      <c r="O930">
        <v>0</v>
      </c>
      <c r="P930">
        <v>0</v>
      </c>
      <c r="Q930" t="s">
        <v>108</v>
      </c>
    </row>
    <row r="931" spans="1:17">
      <c r="A931" t="s">
        <v>93</v>
      </c>
      <c r="B931" t="s">
        <v>106</v>
      </c>
      <c r="C931" t="s">
        <v>56</v>
      </c>
      <c r="D931" t="s">
        <v>714</v>
      </c>
      <c r="E931">
        <v>12</v>
      </c>
      <c r="F931" t="str">
        <f>VLOOKUP(E931,[1]LOJA!$A:$B,2,0)</f>
        <v>SOFNORTE</v>
      </c>
      <c r="G931" t="s">
        <v>19</v>
      </c>
      <c r="H931" t="s">
        <v>19</v>
      </c>
      <c r="I931" s="1">
        <v>46044</v>
      </c>
      <c r="J931" s="1">
        <v>46044</v>
      </c>
      <c r="K931" s="1">
        <v>46044</v>
      </c>
      <c r="L931">
        <v>33</v>
      </c>
      <c r="M931">
        <v>0.67</v>
      </c>
      <c r="N931">
        <v>0.67</v>
      </c>
      <c r="O931">
        <v>0</v>
      </c>
      <c r="P931">
        <v>0</v>
      </c>
      <c r="Q931" t="s">
        <v>108</v>
      </c>
    </row>
    <row r="932" spans="1:17">
      <c r="A932" t="s">
        <v>93</v>
      </c>
      <c r="B932" t="s">
        <v>106</v>
      </c>
      <c r="C932" t="s">
        <v>56</v>
      </c>
      <c r="D932" t="s">
        <v>715</v>
      </c>
      <c r="E932">
        <v>12</v>
      </c>
      <c r="F932" t="str">
        <f>VLOOKUP(E932,[1]LOJA!$A:$B,2,0)</f>
        <v>SOFNORTE</v>
      </c>
      <c r="G932" t="s">
        <v>19</v>
      </c>
      <c r="H932" t="s">
        <v>19</v>
      </c>
      <c r="I932" s="1">
        <v>46044</v>
      </c>
      <c r="J932" s="1">
        <v>46044</v>
      </c>
      <c r="K932" s="1">
        <v>46044</v>
      </c>
      <c r="L932">
        <v>33</v>
      </c>
      <c r="M932">
        <v>0.24</v>
      </c>
      <c r="N932">
        <v>0.24</v>
      </c>
      <c r="O932">
        <v>0</v>
      </c>
      <c r="P932">
        <v>0</v>
      </c>
      <c r="Q932" t="s">
        <v>108</v>
      </c>
    </row>
    <row r="933" spans="1:17">
      <c r="A933" t="s">
        <v>93</v>
      </c>
      <c r="B933" t="s">
        <v>106</v>
      </c>
      <c r="C933" t="s">
        <v>56</v>
      </c>
      <c r="D933" t="s">
        <v>716</v>
      </c>
      <c r="E933">
        <v>12</v>
      </c>
      <c r="F933" t="str">
        <f>VLOOKUP(E933,[1]LOJA!$A:$B,2,0)</f>
        <v>SOFNORTE</v>
      </c>
      <c r="G933" t="s">
        <v>19</v>
      </c>
      <c r="H933" t="s">
        <v>19</v>
      </c>
      <c r="I933" s="1">
        <v>46044</v>
      </c>
      <c r="J933" s="1">
        <v>46044</v>
      </c>
      <c r="K933" s="1">
        <v>46044</v>
      </c>
      <c r="L933">
        <v>33</v>
      </c>
      <c r="M933">
        <v>3.58</v>
      </c>
      <c r="N933">
        <v>3.58</v>
      </c>
      <c r="O933">
        <v>0</v>
      </c>
      <c r="P933">
        <v>0</v>
      </c>
      <c r="Q933" t="s">
        <v>108</v>
      </c>
    </row>
    <row r="934" spans="1:17">
      <c r="A934" t="s">
        <v>93</v>
      </c>
      <c r="B934" t="s">
        <v>106</v>
      </c>
      <c r="C934" t="s">
        <v>56</v>
      </c>
      <c r="D934" t="s">
        <v>717</v>
      </c>
      <c r="E934">
        <v>12</v>
      </c>
      <c r="F934" t="str">
        <f>VLOOKUP(E934,[1]LOJA!$A:$B,2,0)</f>
        <v>SOFNORTE</v>
      </c>
      <c r="G934" t="s">
        <v>19</v>
      </c>
      <c r="H934" t="s">
        <v>19</v>
      </c>
      <c r="I934" s="1">
        <v>46044</v>
      </c>
      <c r="J934" s="1">
        <v>46044</v>
      </c>
      <c r="K934" s="1">
        <v>46044</v>
      </c>
      <c r="L934">
        <v>33</v>
      </c>
      <c r="M934">
        <v>0.64</v>
      </c>
      <c r="N934">
        <v>0.64</v>
      </c>
      <c r="O934">
        <v>0</v>
      </c>
      <c r="P934">
        <v>0</v>
      </c>
      <c r="Q934" t="s">
        <v>108</v>
      </c>
    </row>
    <row r="935" spans="1:17">
      <c r="A935" t="s">
        <v>93</v>
      </c>
      <c r="B935" t="s">
        <v>106</v>
      </c>
      <c r="C935" t="s">
        <v>56</v>
      </c>
      <c r="D935" t="s">
        <v>718</v>
      </c>
      <c r="E935">
        <v>12</v>
      </c>
      <c r="F935" t="str">
        <f>VLOOKUP(E935,[1]LOJA!$A:$B,2,0)</f>
        <v>SOFNORTE</v>
      </c>
      <c r="G935" t="s">
        <v>19</v>
      </c>
      <c r="H935" t="s">
        <v>19</v>
      </c>
      <c r="I935" s="1">
        <v>46044</v>
      </c>
      <c r="J935" s="1">
        <v>46044</v>
      </c>
      <c r="K935" s="1">
        <v>46044</v>
      </c>
      <c r="L935">
        <v>33</v>
      </c>
      <c r="M935">
        <v>0.95</v>
      </c>
      <c r="N935">
        <v>0.95</v>
      </c>
      <c r="O935">
        <v>0</v>
      </c>
      <c r="P935">
        <v>0</v>
      </c>
      <c r="Q935" t="s">
        <v>108</v>
      </c>
    </row>
    <row r="936" spans="1:17">
      <c r="A936" t="s">
        <v>93</v>
      </c>
      <c r="B936" t="s">
        <v>106</v>
      </c>
      <c r="C936" t="s">
        <v>56</v>
      </c>
      <c r="D936" t="s">
        <v>719</v>
      </c>
      <c r="E936">
        <v>12</v>
      </c>
      <c r="F936" t="str">
        <f>VLOOKUP(E936,[1]LOJA!$A:$B,2,0)</f>
        <v>SOFNORTE</v>
      </c>
      <c r="G936" t="s">
        <v>19</v>
      </c>
      <c r="H936" t="s">
        <v>19</v>
      </c>
      <c r="I936" s="1">
        <v>46044</v>
      </c>
      <c r="J936" s="1">
        <v>46044</v>
      </c>
      <c r="K936" s="1">
        <v>46044</v>
      </c>
      <c r="L936">
        <v>33</v>
      </c>
      <c r="M936">
        <v>0.76</v>
      </c>
      <c r="N936">
        <v>0.76</v>
      </c>
      <c r="O936">
        <v>0</v>
      </c>
      <c r="P936">
        <v>0</v>
      </c>
      <c r="Q936" t="s">
        <v>108</v>
      </c>
    </row>
    <row r="937" spans="1:17">
      <c r="A937" t="s">
        <v>93</v>
      </c>
      <c r="B937" t="s">
        <v>106</v>
      </c>
      <c r="C937" t="s">
        <v>56</v>
      </c>
      <c r="D937" t="s">
        <v>720</v>
      </c>
      <c r="E937">
        <v>12</v>
      </c>
      <c r="F937" t="str">
        <f>VLOOKUP(E937,[1]LOJA!$A:$B,2,0)</f>
        <v>SOFNORTE</v>
      </c>
      <c r="G937" t="s">
        <v>19</v>
      </c>
      <c r="H937" t="s">
        <v>19</v>
      </c>
      <c r="I937" s="1">
        <v>46044</v>
      </c>
      <c r="J937" s="1">
        <v>46044</v>
      </c>
      <c r="K937" s="1">
        <v>46044</v>
      </c>
      <c r="L937">
        <v>33</v>
      </c>
      <c r="M937">
        <v>3.67</v>
      </c>
      <c r="N937">
        <v>3.67</v>
      </c>
      <c r="O937">
        <v>0</v>
      </c>
      <c r="P937">
        <v>0</v>
      </c>
      <c r="Q937" t="s">
        <v>108</v>
      </c>
    </row>
    <row r="938" spans="1:17">
      <c r="A938" t="s">
        <v>93</v>
      </c>
      <c r="B938" t="s">
        <v>106</v>
      </c>
      <c r="C938" t="s">
        <v>56</v>
      </c>
      <c r="D938" t="s">
        <v>721</v>
      </c>
      <c r="E938">
        <v>12</v>
      </c>
      <c r="F938" t="str">
        <f>VLOOKUP(E938,[1]LOJA!$A:$B,2,0)</f>
        <v>SOFNORTE</v>
      </c>
      <c r="G938" t="s">
        <v>19</v>
      </c>
      <c r="H938" t="s">
        <v>19</v>
      </c>
      <c r="I938" s="1">
        <v>46044</v>
      </c>
      <c r="J938" s="1">
        <v>46044</v>
      </c>
      <c r="K938" s="1">
        <v>46044</v>
      </c>
      <c r="L938">
        <v>33</v>
      </c>
      <c r="M938">
        <v>1.59</v>
      </c>
      <c r="N938">
        <v>1.59</v>
      </c>
      <c r="O938">
        <v>0</v>
      </c>
      <c r="P938">
        <v>0</v>
      </c>
      <c r="Q938" t="s">
        <v>108</v>
      </c>
    </row>
    <row r="939" spans="1:17">
      <c r="A939" t="s">
        <v>93</v>
      </c>
      <c r="B939" t="s">
        <v>106</v>
      </c>
      <c r="C939" t="s">
        <v>56</v>
      </c>
      <c r="D939" t="s">
        <v>722</v>
      </c>
      <c r="E939">
        <v>12</v>
      </c>
      <c r="F939" t="str">
        <f>VLOOKUP(E939,[1]LOJA!$A:$B,2,0)</f>
        <v>SOFNORTE</v>
      </c>
      <c r="G939" t="s">
        <v>19</v>
      </c>
      <c r="H939" t="s">
        <v>19</v>
      </c>
      <c r="I939" s="1">
        <v>46044</v>
      </c>
      <c r="J939" s="1">
        <v>46044</v>
      </c>
      <c r="K939" s="1">
        <v>46044</v>
      </c>
      <c r="L939">
        <v>33</v>
      </c>
      <c r="M939">
        <v>0.25</v>
      </c>
      <c r="N939">
        <v>0.25</v>
      </c>
      <c r="O939">
        <v>0</v>
      </c>
      <c r="P939">
        <v>0</v>
      </c>
      <c r="Q939" t="s">
        <v>108</v>
      </c>
    </row>
    <row r="940" spans="1:17">
      <c r="A940" t="s">
        <v>93</v>
      </c>
      <c r="B940" t="s">
        <v>106</v>
      </c>
      <c r="C940" t="s">
        <v>56</v>
      </c>
      <c r="D940" t="s">
        <v>723</v>
      </c>
      <c r="E940">
        <v>12</v>
      </c>
      <c r="F940" t="str">
        <f>VLOOKUP(E940,[1]LOJA!$A:$B,2,0)</f>
        <v>SOFNORTE</v>
      </c>
      <c r="G940" t="s">
        <v>19</v>
      </c>
      <c r="H940" t="s">
        <v>19</v>
      </c>
      <c r="I940" s="1">
        <v>46044</v>
      </c>
      <c r="J940" s="1">
        <v>46044</v>
      </c>
      <c r="K940" s="1">
        <v>46044</v>
      </c>
      <c r="L940">
        <v>33</v>
      </c>
      <c r="M940">
        <v>0.24</v>
      </c>
      <c r="N940">
        <v>0.24</v>
      </c>
      <c r="O940">
        <v>0</v>
      </c>
      <c r="P940">
        <v>0</v>
      </c>
      <c r="Q940" t="s">
        <v>108</v>
      </c>
    </row>
    <row r="941" spans="1:17">
      <c r="A941" t="s">
        <v>93</v>
      </c>
      <c r="B941" t="s">
        <v>106</v>
      </c>
      <c r="C941" t="s">
        <v>56</v>
      </c>
      <c r="D941" t="s">
        <v>724</v>
      </c>
      <c r="E941">
        <v>12</v>
      </c>
      <c r="F941" t="str">
        <f>VLOOKUP(E941,[1]LOJA!$A:$B,2,0)</f>
        <v>SOFNORTE</v>
      </c>
      <c r="G941" t="s">
        <v>19</v>
      </c>
      <c r="H941" t="s">
        <v>19</v>
      </c>
      <c r="I941" s="1">
        <v>46044</v>
      </c>
      <c r="J941" s="1">
        <v>46044</v>
      </c>
      <c r="K941" s="1">
        <v>46044</v>
      </c>
      <c r="L941">
        <v>33</v>
      </c>
      <c r="M941">
        <v>0.33</v>
      </c>
      <c r="N941">
        <v>0.33</v>
      </c>
      <c r="O941">
        <v>0</v>
      </c>
      <c r="P941">
        <v>0</v>
      </c>
      <c r="Q941" t="s">
        <v>108</v>
      </c>
    </row>
    <row r="942" spans="1:17">
      <c r="A942" t="s">
        <v>93</v>
      </c>
      <c r="B942" t="s">
        <v>106</v>
      </c>
      <c r="C942" t="s">
        <v>56</v>
      </c>
      <c r="D942" t="s">
        <v>725</v>
      </c>
      <c r="E942">
        <v>12</v>
      </c>
      <c r="F942" t="str">
        <f>VLOOKUP(E942,[1]LOJA!$A:$B,2,0)</f>
        <v>SOFNORTE</v>
      </c>
      <c r="G942" t="s">
        <v>19</v>
      </c>
      <c r="H942" t="s">
        <v>19</v>
      </c>
      <c r="I942" s="1">
        <v>46044</v>
      </c>
      <c r="J942" s="1">
        <v>46044</v>
      </c>
      <c r="K942" s="1">
        <v>46044</v>
      </c>
      <c r="L942">
        <v>33</v>
      </c>
      <c r="M942">
        <v>0.06</v>
      </c>
      <c r="N942">
        <v>0.06</v>
      </c>
      <c r="O942">
        <v>0</v>
      </c>
      <c r="P942">
        <v>0</v>
      </c>
      <c r="Q942" t="s">
        <v>108</v>
      </c>
    </row>
    <row r="943" spans="1:17">
      <c r="A943" t="s">
        <v>93</v>
      </c>
      <c r="B943" t="s">
        <v>106</v>
      </c>
      <c r="C943" t="s">
        <v>56</v>
      </c>
      <c r="D943" t="s">
        <v>726</v>
      </c>
      <c r="E943">
        <v>12</v>
      </c>
      <c r="F943" t="str">
        <f>VLOOKUP(E943,[1]LOJA!$A:$B,2,0)</f>
        <v>SOFNORTE</v>
      </c>
      <c r="G943" t="s">
        <v>19</v>
      </c>
      <c r="H943" t="s">
        <v>19</v>
      </c>
      <c r="I943" s="1">
        <v>46044</v>
      </c>
      <c r="J943" s="1">
        <v>46044</v>
      </c>
      <c r="K943" s="1">
        <v>46044</v>
      </c>
      <c r="L943">
        <v>33</v>
      </c>
      <c r="M943">
        <v>0.1</v>
      </c>
      <c r="N943">
        <v>0.1</v>
      </c>
      <c r="O943">
        <v>0</v>
      </c>
      <c r="P943">
        <v>0</v>
      </c>
      <c r="Q943" t="s">
        <v>108</v>
      </c>
    </row>
    <row r="944" spans="1:17">
      <c r="A944" t="s">
        <v>93</v>
      </c>
      <c r="B944" t="s">
        <v>106</v>
      </c>
      <c r="C944" t="s">
        <v>56</v>
      </c>
      <c r="D944" t="s">
        <v>727</v>
      </c>
      <c r="E944">
        <v>12</v>
      </c>
      <c r="F944" t="str">
        <f>VLOOKUP(E944,[1]LOJA!$A:$B,2,0)</f>
        <v>SOFNORTE</v>
      </c>
      <c r="G944" t="s">
        <v>19</v>
      </c>
      <c r="H944" t="s">
        <v>19</v>
      </c>
      <c r="I944" s="1">
        <v>46044</v>
      </c>
      <c r="J944" s="1">
        <v>46044</v>
      </c>
      <c r="K944" s="1">
        <v>46044</v>
      </c>
      <c r="L944">
        <v>33</v>
      </c>
      <c r="M944">
        <v>1.1100000000000001</v>
      </c>
      <c r="N944">
        <v>1.1100000000000001</v>
      </c>
      <c r="O944">
        <v>0</v>
      </c>
      <c r="P944">
        <v>0</v>
      </c>
      <c r="Q944" t="s">
        <v>108</v>
      </c>
    </row>
    <row r="945" spans="1:17">
      <c r="A945" t="s">
        <v>93</v>
      </c>
      <c r="B945" t="s">
        <v>106</v>
      </c>
      <c r="C945" t="s">
        <v>56</v>
      </c>
      <c r="D945" t="s">
        <v>728</v>
      </c>
      <c r="E945">
        <v>12</v>
      </c>
      <c r="F945" t="str">
        <f>VLOOKUP(E945,[1]LOJA!$A:$B,2,0)</f>
        <v>SOFNORTE</v>
      </c>
      <c r="G945" t="s">
        <v>19</v>
      </c>
      <c r="H945" t="s">
        <v>19</v>
      </c>
      <c r="I945" s="1">
        <v>46044</v>
      </c>
      <c r="J945" s="1">
        <v>46044</v>
      </c>
      <c r="K945" s="1">
        <v>46044</v>
      </c>
      <c r="L945">
        <v>33</v>
      </c>
      <c r="M945">
        <v>0.93</v>
      </c>
      <c r="N945">
        <v>0.93</v>
      </c>
      <c r="O945">
        <v>0</v>
      </c>
      <c r="P945">
        <v>0</v>
      </c>
      <c r="Q945" t="s">
        <v>108</v>
      </c>
    </row>
    <row r="946" spans="1:17">
      <c r="A946" t="s">
        <v>93</v>
      </c>
      <c r="B946" t="s">
        <v>106</v>
      </c>
      <c r="C946" t="s">
        <v>56</v>
      </c>
      <c r="D946" t="s">
        <v>729</v>
      </c>
      <c r="E946">
        <v>12</v>
      </c>
      <c r="F946" t="str">
        <f>VLOOKUP(E946,[1]LOJA!$A:$B,2,0)</f>
        <v>SOFNORTE</v>
      </c>
      <c r="G946" t="s">
        <v>19</v>
      </c>
      <c r="H946" t="s">
        <v>19</v>
      </c>
      <c r="I946" s="1">
        <v>46045</v>
      </c>
      <c r="J946" s="1">
        <v>46045</v>
      </c>
      <c r="K946" s="1">
        <v>46045</v>
      </c>
      <c r="L946">
        <v>33</v>
      </c>
      <c r="M946">
        <v>21.9</v>
      </c>
      <c r="N946">
        <v>21.9</v>
      </c>
      <c r="O946">
        <v>0</v>
      </c>
      <c r="P946">
        <v>0</v>
      </c>
      <c r="Q946" t="s">
        <v>108</v>
      </c>
    </row>
    <row r="947" spans="1:17">
      <c r="A947" t="s">
        <v>93</v>
      </c>
      <c r="B947" t="s">
        <v>106</v>
      </c>
      <c r="C947" t="s">
        <v>56</v>
      </c>
      <c r="D947" t="s">
        <v>730</v>
      </c>
      <c r="E947">
        <v>12</v>
      </c>
      <c r="F947" t="str">
        <f>VLOOKUP(E947,[1]LOJA!$A:$B,2,0)</f>
        <v>SOFNORTE</v>
      </c>
      <c r="G947" t="s">
        <v>19</v>
      </c>
      <c r="H947" t="s">
        <v>19</v>
      </c>
      <c r="I947" s="1">
        <v>46045</v>
      </c>
      <c r="J947" s="1">
        <v>46045</v>
      </c>
      <c r="K947" s="1">
        <v>46045</v>
      </c>
      <c r="L947">
        <v>33</v>
      </c>
      <c r="M947">
        <v>5.23</v>
      </c>
      <c r="N947">
        <v>5.23</v>
      </c>
      <c r="O947">
        <v>0</v>
      </c>
      <c r="P947">
        <v>0</v>
      </c>
      <c r="Q947" t="s">
        <v>108</v>
      </c>
    </row>
    <row r="948" spans="1:17">
      <c r="A948" t="s">
        <v>93</v>
      </c>
      <c r="B948" t="s">
        <v>106</v>
      </c>
      <c r="C948" t="s">
        <v>56</v>
      </c>
      <c r="D948" t="s">
        <v>731</v>
      </c>
      <c r="E948">
        <v>12</v>
      </c>
      <c r="F948" t="str">
        <f>VLOOKUP(E948,[1]LOJA!$A:$B,2,0)</f>
        <v>SOFNORTE</v>
      </c>
      <c r="G948" t="s">
        <v>19</v>
      </c>
      <c r="H948" t="s">
        <v>19</v>
      </c>
      <c r="I948" s="1">
        <v>46045</v>
      </c>
      <c r="J948" s="1">
        <v>46045</v>
      </c>
      <c r="K948" s="1">
        <v>46045</v>
      </c>
      <c r="L948">
        <v>33</v>
      </c>
      <c r="M948">
        <v>2.19</v>
      </c>
      <c r="N948">
        <v>2.19</v>
      </c>
      <c r="O948">
        <v>0</v>
      </c>
      <c r="P948">
        <v>0</v>
      </c>
      <c r="Q948" t="s">
        <v>108</v>
      </c>
    </row>
    <row r="949" spans="1:17">
      <c r="A949" t="s">
        <v>93</v>
      </c>
      <c r="B949" t="s">
        <v>106</v>
      </c>
      <c r="C949" t="s">
        <v>56</v>
      </c>
      <c r="D949" t="s">
        <v>732</v>
      </c>
      <c r="E949">
        <v>12</v>
      </c>
      <c r="F949" t="str">
        <f>VLOOKUP(E949,[1]LOJA!$A:$B,2,0)</f>
        <v>SOFNORTE</v>
      </c>
      <c r="G949" t="s">
        <v>19</v>
      </c>
      <c r="H949" t="s">
        <v>19</v>
      </c>
      <c r="I949" s="1">
        <v>46045</v>
      </c>
      <c r="J949" s="1">
        <v>46045</v>
      </c>
      <c r="K949" s="1">
        <v>46045</v>
      </c>
      <c r="L949">
        <v>33</v>
      </c>
      <c r="M949">
        <v>3.15</v>
      </c>
      <c r="N949">
        <v>3.15</v>
      </c>
      <c r="O949">
        <v>0</v>
      </c>
      <c r="P949">
        <v>0</v>
      </c>
      <c r="Q949" t="s">
        <v>108</v>
      </c>
    </row>
    <row r="950" spans="1:17">
      <c r="A950" t="s">
        <v>93</v>
      </c>
      <c r="B950" t="s">
        <v>106</v>
      </c>
      <c r="C950" t="s">
        <v>56</v>
      </c>
      <c r="D950" t="s">
        <v>733</v>
      </c>
      <c r="E950">
        <v>12</v>
      </c>
      <c r="F950" t="str">
        <f>VLOOKUP(E950,[1]LOJA!$A:$B,2,0)</f>
        <v>SOFNORTE</v>
      </c>
      <c r="G950" t="s">
        <v>19</v>
      </c>
      <c r="H950" t="s">
        <v>19</v>
      </c>
      <c r="I950" s="1">
        <v>46045</v>
      </c>
      <c r="J950" s="1">
        <v>46045</v>
      </c>
      <c r="K950" s="1">
        <v>46045</v>
      </c>
      <c r="L950">
        <v>33</v>
      </c>
      <c r="M950">
        <v>1.03</v>
      </c>
      <c r="N950">
        <v>1.03</v>
      </c>
      <c r="O950">
        <v>0</v>
      </c>
      <c r="P950">
        <v>0</v>
      </c>
      <c r="Q950" t="s">
        <v>108</v>
      </c>
    </row>
    <row r="951" spans="1:17">
      <c r="A951" t="s">
        <v>93</v>
      </c>
      <c r="B951" t="s">
        <v>106</v>
      </c>
      <c r="C951" t="s">
        <v>56</v>
      </c>
      <c r="D951" t="s">
        <v>734</v>
      </c>
      <c r="E951">
        <v>12</v>
      </c>
      <c r="F951" t="str">
        <f>VLOOKUP(E951,[1]LOJA!$A:$B,2,0)</f>
        <v>SOFNORTE</v>
      </c>
      <c r="G951" t="s">
        <v>19</v>
      </c>
      <c r="H951" t="s">
        <v>19</v>
      </c>
      <c r="I951" s="1">
        <v>46045</v>
      </c>
      <c r="J951" s="1">
        <v>46045</v>
      </c>
      <c r="K951" s="1">
        <v>46045</v>
      </c>
      <c r="L951">
        <v>33</v>
      </c>
      <c r="M951">
        <v>2.4</v>
      </c>
      <c r="N951">
        <v>2.4</v>
      </c>
      <c r="O951">
        <v>0</v>
      </c>
      <c r="P951">
        <v>0</v>
      </c>
      <c r="Q951" t="s">
        <v>108</v>
      </c>
    </row>
    <row r="952" spans="1:17">
      <c r="A952" t="s">
        <v>93</v>
      </c>
      <c r="B952" t="s">
        <v>106</v>
      </c>
      <c r="C952" t="s">
        <v>56</v>
      </c>
      <c r="D952" t="s">
        <v>735</v>
      </c>
      <c r="E952">
        <v>12</v>
      </c>
      <c r="F952" t="str">
        <f>VLOOKUP(E952,[1]LOJA!$A:$B,2,0)</f>
        <v>SOFNORTE</v>
      </c>
      <c r="G952" t="s">
        <v>19</v>
      </c>
      <c r="H952" t="s">
        <v>19</v>
      </c>
      <c r="I952" s="1">
        <v>46045</v>
      </c>
      <c r="J952" s="1">
        <v>46045</v>
      </c>
      <c r="K952" s="1">
        <v>46045</v>
      </c>
      <c r="L952">
        <v>33</v>
      </c>
      <c r="M952">
        <v>0.88</v>
      </c>
      <c r="N952">
        <v>0.88</v>
      </c>
      <c r="O952">
        <v>0</v>
      </c>
      <c r="P952">
        <v>0</v>
      </c>
      <c r="Q952" t="s">
        <v>108</v>
      </c>
    </row>
    <row r="953" spans="1:17">
      <c r="A953" t="s">
        <v>93</v>
      </c>
      <c r="B953" t="s">
        <v>106</v>
      </c>
      <c r="C953" t="s">
        <v>56</v>
      </c>
      <c r="D953" t="s">
        <v>736</v>
      </c>
      <c r="E953">
        <v>12</v>
      </c>
      <c r="F953" t="str">
        <f>VLOOKUP(E953,[1]LOJA!$A:$B,2,0)</f>
        <v>SOFNORTE</v>
      </c>
      <c r="G953" t="s">
        <v>19</v>
      </c>
      <c r="H953" t="s">
        <v>19</v>
      </c>
      <c r="I953" s="1">
        <v>46045</v>
      </c>
      <c r="J953" s="1">
        <v>46045</v>
      </c>
      <c r="K953" s="1">
        <v>46045</v>
      </c>
      <c r="L953">
        <v>33</v>
      </c>
      <c r="M953">
        <v>0.16</v>
      </c>
      <c r="N953">
        <v>0.16</v>
      </c>
      <c r="O953">
        <v>0</v>
      </c>
      <c r="P953">
        <v>0</v>
      </c>
      <c r="Q953" t="s">
        <v>108</v>
      </c>
    </row>
    <row r="954" spans="1:17">
      <c r="A954" t="s">
        <v>93</v>
      </c>
      <c r="B954" t="s">
        <v>106</v>
      </c>
      <c r="C954" t="s">
        <v>56</v>
      </c>
      <c r="D954" t="s">
        <v>737</v>
      </c>
      <c r="E954">
        <v>12</v>
      </c>
      <c r="F954" t="str">
        <f>VLOOKUP(E954,[1]LOJA!$A:$B,2,0)</f>
        <v>SOFNORTE</v>
      </c>
      <c r="G954" t="s">
        <v>19</v>
      </c>
      <c r="H954" t="s">
        <v>19</v>
      </c>
      <c r="I954" s="1">
        <v>46045</v>
      </c>
      <c r="J954" s="1">
        <v>46045</v>
      </c>
      <c r="K954" s="1">
        <v>46045</v>
      </c>
      <c r="L954">
        <v>33</v>
      </c>
      <c r="M954">
        <v>0.13</v>
      </c>
      <c r="N954">
        <v>0.13</v>
      </c>
      <c r="O954">
        <v>0</v>
      </c>
      <c r="P954">
        <v>0</v>
      </c>
      <c r="Q954" t="s">
        <v>108</v>
      </c>
    </row>
    <row r="955" spans="1:17">
      <c r="A955" t="s">
        <v>93</v>
      </c>
      <c r="B955" t="s">
        <v>106</v>
      </c>
      <c r="C955" t="s">
        <v>56</v>
      </c>
      <c r="D955" t="s">
        <v>738</v>
      </c>
      <c r="E955">
        <v>12</v>
      </c>
      <c r="F955" t="str">
        <f>VLOOKUP(E955,[1]LOJA!$A:$B,2,0)</f>
        <v>SOFNORTE</v>
      </c>
      <c r="G955" t="s">
        <v>19</v>
      </c>
      <c r="H955" t="s">
        <v>19</v>
      </c>
      <c r="I955" s="1">
        <v>46045</v>
      </c>
      <c r="J955" s="1">
        <v>46045</v>
      </c>
      <c r="K955" s="1">
        <v>46045</v>
      </c>
      <c r="L955">
        <v>33</v>
      </c>
      <c r="M955">
        <v>0.16</v>
      </c>
      <c r="N955">
        <v>0.16</v>
      </c>
      <c r="O955">
        <v>0</v>
      </c>
      <c r="P955">
        <v>0</v>
      </c>
      <c r="Q955" t="s">
        <v>108</v>
      </c>
    </row>
    <row r="956" spans="1:17">
      <c r="A956" t="s">
        <v>93</v>
      </c>
      <c r="B956" t="s">
        <v>106</v>
      </c>
      <c r="C956" t="s">
        <v>56</v>
      </c>
      <c r="D956" t="s">
        <v>739</v>
      </c>
      <c r="E956">
        <v>12</v>
      </c>
      <c r="F956" t="str">
        <f>VLOOKUP(E956,[1]LOJA!$A:$B,2,0)</f>
        <v>SOFNORTE</v>
      </c>
      <c r="G956" t="s">
        <v>19</v>
      </c>
      <c r="H956" t="s">
        <v>19</v>
      </c>
      <c r="I956" s="1">
        <v>46045</v>
      </c>
      <c r="J956" s="1">
        <v>46045</v>
      </c>
      <c r="K956" s="1">
        <v>46045</v>
      </c>
      <c r="L956">
        <v>33</v>
      </c>
      <c r="M956">
        <v>0.42</v>
      </c>
      <c r="N956">
        <v>0.42</v>
      </c>
      <c r="O956">
        <v>0</v>
      </c>
      <c r="P956">
        <v>0</v>
      </c>
      <c r="Q956" t="s">
        <v>108</v>
      </c>
    </row>
    <row r="957" spans="1:17">
      <c r="A957" t="s">
        <v>93</v>
      </c>
      <c r="B957" t="s">
        <v>106</v>
      </c>
      <c r="C957" t="s">
        <v>56</v>
      </c>
      <c r="D957" t="s">
        <v>740</v>
      </c>
      <c r="E957">
        <v>12</v>
      </c>
      <c r="F957" t="str">
        <f>VLOOKUP(E957,[1]LOJA!$A:$B,2,0)</f>
        <v>SOFNORTE</v>
      </c>
      <c r="G957" t="s">
        <v>19</v>
      </c>
      <c r="H957" t="s">
        <v>19</v>
      </c>
      <c r="I957" s="1">
        <v>46045</v>
      </c>
      <c r="J957" s="1">
        <v>46045</v>
      </c>
      <c r="K957" s="1">
        <v>46045</v>
      </c>
      <c r="L957">
        <v>33</v>
      </c>
      <c r="M957">
        <v>0.31</v>
      </c>
      <c r="N957">
        <v>0.31</v>
      </c>
      <c r="O957">
        <v>0</v>
      </c>
      <c r="P957">
        <v>0</v>
      </c>
      <c r="Q957" t="s">
        <v>108</v>
      </c>
    </row>
    <row r="958" spans="1:17">
      <c r="A958" t="s">
        <v>93</v>
      </c>
      <c r="B958" t="s">
        <v>106</v>
      </c>
      <c r="C958" t="s">
        <v>56</v>
      </c>
      <c r="D958" t="s">
        <v>741</v>
      </c>
      <c r="E958">
        <v>12</v>
      </c>
      <c r="F958" t="str">
        <f>VLOOKUP(E958,[1]LOJA!$A:$B,2,0)</f>
        <v>SOFNORTE</v>
      </c>
      <c r="G958" t="s">
        <v>19</v>
      </c>
      <c r="H958" t="s">
        <v>19</v>
      </c>
      <c r="I958" s="1">
        <v>46045</v>
      </c>
      <c r="J958" s="1">
        <v>46045</v>
      </c>
      <c r="K958" s="1">
        <v>46045</v>
      </c>
      <c r="L958">
        <v>33</v>
      </c>
      <c r="M958">
        <v>1.42</v>
      </c>
      <c r="N958">
        <v>1.42</v>
      </c>
      <c r="O958">
        <v>0</v>
      </c>
      <c r="P958">
        <v>0</v>
      </c>
      <c r="Q958" t="s">
        <v>108</v>
      </c>
    </row>
    <row r="959" spans="1:17">
      <c r="A959" t="s">
        <v>93</v>
      </c>
      <c r="B959" t="s">
        <v>106</v>
      </c>
      <c r="C959" t="s">
        <v>56</v>
      </c>
      <c r="D959" t="s">
        <v>742</v>
      </c>
      <c r="E959">
        <v>12</v>
      </c>
      <c r="F959" t="str">
        <f>VLOOKUP(E959,[1]LOJA!$A:$B,2,0)</f>
        <v>SOFNORTE</v>
      </c>
      <c r="G959" t="s">
        <v>19</v>
      </c>
      <c r="H959" t="s">
        <v>19</v>
      </c>
      <c r="I959" s="1">
        <v>46045</v>
      </c>
      <c r="J959" s="1">
        <v>46045</v>
      </c>
      <c r="K959" s="1">
        <v>46045</v>
      </c>
      <c r="L959">
        <v>33</v>
      </c>
      <c r="M959">
        <v>0.27</v>
      </c>
      <c r="N959">
        <v>0.27</v>
      </c>
      <c r="O959">
        <v>0</v>
      </c>
      <c r="P959">
        <v>0</v>
      </c>
      <c r="Q959" t="s">
        <v>108</v>
      </c>
    </row>
    <row r="960" spans="1:17">
      <c r="A960" t="s">
        <v>93</v>
      </c>
      <c r="B960" t="s">
        <v>106</v>
      </c>
      <c r="C960" t="s">
        <v>56</v>
      </c>
      <c r="D960" t="s">
        <v>743</v>
      </c>
      <c r="E960">
        <v>12</v>
      </c>
      <c r="F960" t="str">
        <f>VLOOKUP(E960,[1]LOJA!$A:$B,2,0)</f>
        <v>SOFNORTE</v>
      </c>
      <c r="G960" t="s">
        <v>19</v>
      </c>
      <c r="H960" t="s">
        <v>19</v>
      </c>
      <c r="I960" s="1">
        <v>46045</v>
      </c>
      <c r="J960" s="1">
        <v>46045</v>
      </c>
      <c r="K960" s="1">
        <v>46045</v>
      </c>
      <c r="L960">
        <v>33</v>
      </c>
      <c r="M960">
        <v>1.19</v>
      </c>
      <c r="N960">
        <v>1.19</v>
      </c>
      <c r="O960">
        <v>0</v>
      </c>
      <c r="P960">
        <v>0</v>
      </c>
      <c r="Q960" t="s">
        <v>108</v>
      </c>
    </row>
    <row r="961" spans="1:17">
      <c r="A961" t="s">
        <v>93</v>
      </c>
      <c r="B961" t="s">
        <v>106</v>
      </c>
      <c r="C961" t="s">
        <v>56</v>
      </c>
      <c r="D961" t="s">
        <v>744</v>
      </c>
      <c r="E961">
        <v>12</v>
      </c>
      <c r="F961" t="str">
        <f>VLOOKUP(E961,[1]LOJA!$A:$B,2,0)</f>
        <v>SOFNORTE</v>
      </c>
      <c r="G961" t="s">
        <v>19</v>
      </c>
      <c r="H961" t="s">
        <v>19</v>
      </c>
      <c r="I961" s="1">
        <v>46048</v>
      </c>
      <c r="J961" s="1">
        <v>46048</v>
      </c>
      <c r="K961" s="1">
        <v>46048</v>
      </c>
      <c r="L961">
        <v>33</v>
      </c>
      <c r="M961">
        <v>5.48</v>
      </c>
      <c r="N961">
        <v>5.48</v>
      </c>
      <c r="O961">
        <v>0</v>
      </c>
      <c r="P961">
        <v>0</v>
      </c>
      <c r="Q961" t="s">
        <v>108</v>
      </c>
    </row>
    <row r="962" spans="1:17">
      <c r="A962" t="s">
        <v>93</v>
      </c>
      <c r="B962" t="s">
        <v>106</v>
      </c>
      <c r="C962" t="s">
        <v>56</v>
      </c>
      <c r="D962" t="s">
        <v>745</v>
      </c>
      <c r="E962">
        <v>12</v>
      </c>
      <c r="F962" t="str">
        <f>VLOOKUP(E962,[1]LOJA!$A:$B,2,0)</f>
        <v>SOFNORTE</v>
      </c>
      <c r="G962" t="s">
        <v>19</v>
      </c>
      <c r="H962" t="s">
        <v>19</v>
      </c>
      <c r="I962" s="1">
        <v>46048</v>
      </c>
      <c r="J962" s="1">
        <v>46048</v>
      </c>
      <c r="K962" s="1">
        <v>46048</v>
      </c>
      <c r="L962">
        <v>33</v>
      </c>
      <c r="M962">
        <v>0.42</v>
      </c>
      <c r="N962">
        <v>0.42</v>
      </c>
      <c r="O962">
        <v>0</v>
      </c>
      <c r="P962">
        <v>0</v>
      </c>
      <c r="Q962" t="s">
        <v>108</v>
      </c>
    </row>
    <row r="963" spans="1:17">
      <c r="A963" t="s">
        <v>93</v>
      </c>
      <c r="B963" t="s">
        <v>106</v>
      </c>
      <c r="C963" t="s">
        <v>56</v>
      </c>
      <c r="D963" t="s">
        <v>746</v>
      </c>
      <c r="E963">
        <v>12</v>
      </c>
      <c r="F963" t="str">
        <f>VLOOKUP(E963,[1]LOJA!$A:$B,2,0)</f>
        <v>SOFNORTE</v>
      </c>
      <c r="G963" t="s">
        <v>19</v>
      </c>
      <c r="H963" t="s">
        <v>19</v>
      </c>
      <c r="I963" s="1">
        <v>46048</v>
      </c>
      <c r="J963" s="1">
        <v>46046</v>
      </c>
      <c r="K963" s="1">
        <v>46048</v>
      </c>
      <c r="L963">
        <v>33</v>
      </c>
      <c r="M963">
        <v>0.4</v>
      </c>
      <c r="N963">
        <v>0.4</v>
      </c>
      <c r="O963">
        <v>0</v>
      </c>
      <c r="P963">
        <v>0</v>
      </c>
      <c r="Q963" t="s">
        <v>108</v>
      </c>
    </row>
    <row r="964" spans="1:17">
      <c r="A964" t="s">
        <v>93</v>
      </c>
      <c r="B964" t="s">
        <v>106</v>
      </c>
      <c r="C964" t="s">
        <v>56</v>
      </c>
      <c r="D964" t="s">
        <v>747</v>
      </c>
      <c r="E964">
        <v>12</v>
      </c>
      <c r="F964" t="str">
        <f>VLOOKUP(E964,[1]LOJA!$A:$B,2,0)</f>
        <v>SOFNORTE</v>
      </c>
      <c r="G964" t="s">
        <v>19</v>
      </c>
      <c r="H964" t="s">
        <v>19</v>
      </c>
      <c r="I964" s="1">
        <v>46048</v>
      </c>
      <c r="J964" s="1">
        <v>46046</v>
      </c>
      <c r="K964" s="1">
        <v>46048</v>
      </c>
      <c r="L964">
        <v>33</v>
      </c>
      <c r="M964">
        <v>1.06</v>
      </c>
      <c r="N964">
        <v>1.06</v>
      </c>
      <c r="O964">
        <v>0</v>
      </c>
      <c r="P964">
        <v>0</v>
      </c>
      <c r="Q964" t="s">
        <v>108</v>
      </c>
    </row>
    <row r="965" spans="1:17">
      <c r="A965" t="s">
        <v>93</v>
      </c>
      <c r="B965" t="s">
        <v>106</v>
      </c>
      <c r="C965" t="s">
        <v>56</v>
      </c>
      <c r="D965" t="s">
        <v>748</v>
      </c>
      <c r="E965">
        <v>12</v>
      </c>
      <c r="F965" t="str">
        <f>VLOOKUP(E965,[1]LOJA!$A:$B,2,0)</f>
        <v>SOFNORTE</v>
      </c>
      <c r="G965" t="s">
        <v>19</v>
      </c>
      <c r="H965" t="s">
        <v>19</v>
      </c>
      <c r="I965" s="1">
        <v>46048</v>
      </c>
      <c r="J965" s="1">
        <v>46046</v>
      </c>
      <c r="K965" s="1">
        <v>46048</v>
      </c>
      <c r="L965">
        <v>33</v>
      </c>
      <c r="M965">
        <v>0.63</v>
      </c>
      <c r="N965">
        <v>0.63</v>
      </c>
      <c r="O965">
        <v>0</v>
      </c>
      <c r="P965">
        <v>0</v>
      </c>
      <c r="Q965" t="s">
        <v>108</v>
      </c>
    </row>
    <row r="966" spans="1:17">
      <c r="A966" t="s">
        <v>93</v>
      </c>
      <c r="B966" t="s">
        <v>106</v>
      </c>
      <c r="C966" t="s">
        <v>56</v>
      </c>
      <c r="D966" t="s">
        <v>749</v>
      </c>
      <c r="E966">
        <v>12</v>
      </c>
      <c r="F966" t="str">
        <f>VLOOKUP(E966,[1]LOJA!$A:$B,2,0)</f>
        <v>SOFNORTE</v>
      </c>
      <c r="G966" t="s">
        <v>19</v>
      </c>
      <c r="H966" t="s">
        <v>19</v>
      </c>
      <c r="I966" s="1">
        <v>46048</v>
      </c>
      <c r="J966" s="1">
        <v>46046</v>
      </c>
      <c r="K966" s="1">
        <v>46048</v>
      </c>
      <c r="L966">
        <v>33</v>
      </c>
      <c r="M966">
        <v>0.05</v>
      </c>
      <c r="N966">
        <v>0.05</v>
      </c>
      <c r="O966">
        <v>0</v>
      </c>
      <c r="P966">
        <v>0</v>
      </c>
      <c r="Q966" t="s">
        <v>108</v>
      </c>
    </row>
    <row r="967" spans="1:17">
      <c r="A967" t="s">
        <v>93</v>
      </c>
      <c r="B967" t="s">
        <v>106</v>
      </c>
      <c r="C967" t="s">
        <v>56</v>
      </c>
      <c r="D967" t="s">
        <v>750</v>
      </c>
      <c r="E967">
        <v>12</v>
      </c>
      <c r="F967" t="str">
        <f>VLOOKUP(E967,[1]LOJA!$A:$B,2,0)</f>
        <v>SOFNORTE</v>
      </c>
      <c r="G967" t="s">
        <v>19</v>
      </c>
      <c r="H967" t="s">
        <v>19</v>
      </c>
      <c r="I967" s="1">
        <v>46048</v>
      </c>
      <c r="J967" s="1">
        <v>46046</v>
      </c>
      <c r="K967" s="1">
        <v>46048</v>
      </c>
      <c r="L967">
        <v>33</v>
      </c>
      <c r="M967">
        <v>0.13</v>
      </c>
      <c r="N967">
        <v>0.13</v>
      </c>
      <c r="O967">
        <v>0</v>
      </c>
      <c r="P967">
        <v>0</v>
      </c>
      <c r="Q967" t="s">
        <v>108</v>
      </c>
    </row>
    <row r="968" spans="1:17">
      <c r="A968" t="s">
        <v>93</v>
      </c>
      <c r="B968" t="s">
        <v>106</v>
      </c>
      <c r="C968" t="s">
        <v>56</v>
      </c>
      <c r="D968" t="s">
        <v>751</v>
      </c>
      <c r="E968">
        <v>12</v>
      </c>
      <c r="F968" t="str">
        <f>VLOOKUP(E968,[1]LOJA!$A:$B,2,0)</f>
        <v>SOFNORTE</v>
      </c>
      <c r="G968" t="s">
        <v>19</v>
      </c>
      <c r="H968" t="s">
        <v>19</v>
      </c>
      <c r="I968" s="1">
        <v>46048</v>
      </c>
      <c r="J968" s="1">
        <v>46046</v>
      </c>
      <c r="K968" s="1">
        <v>46048</v>
      </c>
      <c r="L968">
        <v>33</v>
      </c>
      <c r="M968">
        <v>0.19</v>
      </c>
      <c r="N968">
        <v>0.19</v>
      </c>
      <c r="O968">
        <v>0</v>
      </c>
      <c r="P968">
        <v>0</v>
      </c>
      <c r="Q968" t="s">
        <v>108</v>
      </c>
    </row>
    <row r="969" spans="1:17">
      <c r="A969" t="s">
        <v>93</v>
      </c>
      <c r="B969" t="s">
        <v>106</v>
      </c>
      <c r="C969" t="s">
        <v>56</v>
      </c>
      <c r="D969" t="s">
        <v>752</v>
      </c>
      <c r="E969">
        <v>12</v>
      </c>
      <c r="F969" t="str">
        <f>VLOOKUP(E969,[1]LOJA!$A:$B,2,0)</f>
        <v>SOFNORTE</v>
      </c>
      <c r="G969" t="s">
        <v>19</v>
      </c>
      <c r="H969" t="s">
        <v>19</v>
      </c>
      <c r="I969" s="1">
        <v>46048</v>
      </c>
      <c r="J969" s="1">
        <v>46046</v>
      </c>
      <c r="K969" s="1">
        <v>46048</v>
      </c>
      <c r="L969">
        <v>33</v>
      </c>
      <c r="M969">
        <v>0.13</v>
      </c>
      <c r="N969">
        <v>0.13</v>
      </c>
      <c r="O969">
        <v>0</v>
      </c>
      <c r="P969">
        <v>0</v>
      </c>
      <c r="Q969" t="s">
        <v>108</v>
      </c>
    </row>
    <row r="970" spans="1:17">
      <c r="A970" t="s">
        <v>93</v>
      </c>
      <c r="B970" t="s">
        <v>106</v>
      </c>
      <c r="C970" t="s">
        <v>56</v>
      </c>
      <c r="D970" t="s">
        <v>753</v>
      </c>
      <c r="E970">
        <v>12</v>
      </c>
      <c r="F970" t="str">
        <f>VLOOKUP(E970,[1]LOJA!$A:$B,2,0)</f>
        <v>SOFNORTE</v>
      </c>
      <c r="G970" t="s">
        <v>19</v>
      </c>
      <c r="H970" t="s">
        <v>19</v>
      </c>
      <c r="I970" s="1">
        <v>46048</v>
      </c>
      <c r="J970" s="1">
        <v>46047</v>
      </c>
      <c r="K970" s="1">
        <v>46048</v>
      </c>
      <c r="L970">
        <v>33</v>
      </c>
      <c r="M970">
        <v>0.15</v>
      </c>
      <c r="N970">
        <v>0.15</v>
      </c>
      <c r="O970">
        <v>0</v>
      </c>
      <c r="P970">
        <v>0</v>
      </c>
      <c r="Q970" t="s">
        <v>108</v>
      </c>
    </row>
    <row r="971" spans="1:17">
      <c r="A971" t="s">
        <v>93</v>
      </c>
      <c r="B971" t="s">
        <v>106</v>
      </c>
      <c r="C971" t="s">
        <v>56</v>
      </c>
      <c r="D971" t="s">
        <v>754</v>
      </c>
      <c r="E971">
        <v>12</v>
      </c>
      <c r="F971" t="str">
        <f>VLOOKUP(E971,[1]LOJA!$A:$B,2,0)</f>
        <v>SOFNORTE</v>
      </c>
      <c r="G971" t="s">
        <v>19</v>
      </c>
      <c r="H971" t="s">
        <v>19</v>
      </c>
      <c r="I971" s="1">
        <v>46048</v>
      </c>
      <c r="J971" s="1">
        <v>46047</v>
      </c>
      <c r="K971" s="1">
        <v>46048</v>
      </c>
      <c r="L971">
        <v>33</v>
      </c>
      <c r="M971">
        <v>0.13</v>
      </c>
      <c r="N971">
        <v>0.13</v>
      </c>
      <c r="O971">
        <v>0</v>
      </c>
      <c r="P971">
        <v>0</v>
      </c>
      <c r="Q971" t="s">
        <v>108</v>
      </c>
    </row>
    <row r="972" spans="1:17">
      <c r="A972" t="s">
        <v>93</v>
      </c>
      <c r="B972" t="s">
        <v>106</v>
      </c>
      <c r="C972" t="s">
        <v>56</v>
      </c>
      <c r="D972" t="s">
        <v>755</v>
      </c>
      <c r="E972">
        <v>12</v>
      </c>
      <c r="F972" t="str">
        <f>VLOOKUP(E972,[1]LOJA!$A:$B,2,0)</f>
        <v>SOFNORTE</v>
      </c>
      <c r="G972" t="s">
        <v>19</v>
      </c>
      <c r="H972" t="s">
        <v>19</v>
      </c>
      <c r="I972" s="1">
        <v>46048</v>
      </c>
      <c r="J972" s="1">
        <v>46047</v>
      </c>
      <c r="K972" s="1">
        <v>46048</v>
      </c>
      <c r="L972">
        <v>33</v>
      </c>
      <c r="M972">
        <v>0.56000000000000005</v>
      </c>
      <c r="N972">
        <v>0.56000000000000005</v>
      </c>
      <c r="O972">
        <v>0</v>
      </c>
      <c r="P972">
        <v>0</v>
      </c>
      <c r="Q972" t="s">
        <v>108</v>
      </c>
    </row>
    <row r="973" spans="1:17">
      <c r="A973" t="s">
        <v>93</v>
      </c>
      <c r="B973" t="s">
        <v>106</v>
      </c>
      <c r="C973" t="s">
        <v>56</v>
      </c>
      <c r="D973" t="s">
        <v>756</v>
      </c>
      <c r="E973">
        <v>12</v>
      </c>
      <c r="F973" t="str">
        <f>VLOOKUP(E973,[1]LOJA!$A:$B,2,0)</f>
        <v>SOFNORTE</v>
      </c>
      <c r="G973" t="s">
        <v>19</v>
      </c>
      <c r="H973" t="s">
        <v>19</v>
      </c>
      <c r="I973" s="1">
        <v>46048</v>
      </c>
      <c r="J973" s="1">
        <v>46047</v>
      </c>
      <c r="K973" s="1">
        <v>46048</v>
      </c>
      <c r="L973">
        <v>33</v>
      </c>
      <c r="M973">
        <v>0.88</v>
      </c>
      <c r="N973">
        <v>0.88</v>
      </c>
      <c r="O973">
        <v>0</v>
      </c>
      <c r="P973">
        <v>0</v>
      </c>
      <c r="Q973" t="s">
        <v>108</v>
      </c>
    </row>
    <row r="974" spans="1:17">
      <c r="A974" t="s">
        <v>93</v>
      </c>
      <c r="B974" t="s">
        <v>106</v>
      </c>
      <c r="C974" t="s">
        <v>56</v>
      </c>
      <c r="D974" t="s">
        <v>757</v>
      </c>
      <c r="E974">
        <v>12</v>
      </c>
      <c r="F974" t="str">
        <f>VLOOKUP(E974,[1]LOJA!$A:$B,2,0)</f>
        <v>SOFNORTE</v>
      </c>
      <c r="G974" t="s">
        <v>19</v>
      </c>
      <c r="H974" t="s">
        <v>19</v>
      </c>
      <c r="I974" s="1">
        <v>46048</v>
      </c>
      <c r="J974" s="1">
        <v>46047</v>
      </c>
      <c r="K974" s="1">
        <v>46048</v>
      </c>
      <c r="L974">
        <v>33</v>
      </c>
      <c r="M974">
        <v>0.52</v>
      </c>
      <c r="N974">
        <v>0.52</v>
      </c>
      <c r="O974">
        <v>0</v>
      </c>
      <c r="P974">
        <v>0</v>
      </c>
      <c r="Q974" t="s">
        <v>108</v>
      </c>
    </row>
    <row r="975" spans="1:17">
      <c r="A975" t="s">
        <v>93</v>
      </c>
      <c r="B975" t="s">
        <v>106</v>
      </c>
      <c r="C975" t="s">
        <v>56</v>
      </c>
      <c r="D975" t="s">
        <v>758</v>
      </c>
      <c r="E975">
        <v>12</v>
      </c>
      <c r="F975" t="str">
        <f>VLOOKUP(E975,[1]LOJA!$A:$B,2,0)</f>
        <v>SOFNORTE</v>
      </c>
      <c r="G975" t="s">
        <v>19</v>
      </c>
      <c r="H975" t="s">
        <v>19</v>
      </c>
      <c r="I975" s="1">
        <v>46048</v>
      </c>
      <c r="J975" s="1">
        <v>46047</v>
      </c>
      <c r="K975" s="1">
        <v>46048</v>
      </c>
      <c r="L975">
        <v>33</v>
      </c>
      <c r="M975">
        <v>0.4</v>
      </c>
      <c r="N975">
        <v>0.4</v>
      </c>
      <c r="O975">
        <v>0</v>
      </c>
      <c r="P975">
        <v>0</v>
      </c>
      <c r="Q975" t="s">
        <v>108</v>
      </c>
    </row>
    <row r="976" spans="1:17">
      <c r="A976" t="s">
        <v>93</v>
      </c>
      <c r="B976" t="s">
        <v>106</v>
      </c>
      <c r="C976" t="s">
        <v>56</v>
      </c>
      <c r="D976" t="s">
        <v>759</v>
      </c>
      <c r="E976">
        <v>12</v>
      </c>
      <c r="F976" t="str">
        <f>VLOOKUP(E976,[1]LOJA!$A:$B,2,0)</f>
        <v>SOFNORTE</v>
      </c>
      <c r="G976" t="s">
        <v>19</v>
      </c>
      <c r="H976" t="s">
        <v>19</v>
      </c>
      <c r="I976" s="1">
        <v>46048</v>
      </c>
      <c r="J976" s="1">
        <v>46047</v>
      </c>
      <c r="K976" s="1">
        <v>46048</v>
      </c>
      <c r="L976">
        <v>33</v>
      </c>
      <c r="M976">
        <v>0.36</v>
      </c>
      <c r="N976">
        <v>0.36</v>
      </c>
      <c r="O976">
        <v>0</v>
      </c>
      <c r="P976">
        <v>0</v>
      </c>
      <c r="Q976" t="s">
        <v>108</v>
      </c>
    </row>
    <row r="977" spans="1:17">
      <c r="A977" t="s">
        <v>93</v>
      </c>
      <c r="B977" t="s">
        <v>106</v>
      </c>
      <c r="C977" t="s">
        <v>56</v>
      </c>
      <c r="D977" t="s">
        <v>760</v>
      </c>
      <c r="E977">
        <v>15</v>
      </c>
      <c r="F977" t="str">
        <f>VLOOKUP(E977,[1]LOJA!$A:$B,2,0)</f>
        <v>UNAÍ</v>
      </c>
      <c r="G977" t="s">
        <v>19</v>
      </c>
      <c r="H977" t="s">
        <v>19</v>
      </c>
      <c r="I977" s="1">
        <v>46024</v>
      </c>
      <c r="J977" s="1">
        <v>46024</v>
      </c>
      <c r="K977" s="1">
        <v>46024</v>
      </c>
      <c r="L977">
        <v>36</v>
      </c>
      <c r="M977">
        <v>2.3199999999999998</v>
      </c>
      <c r="N977">
        <v>2.3199999999999998</v>
      </c>
      <c r="O977">
        <v>0</v>
      </c>
      <c r="P977">
        <v>0</v>
      </c>
      <c r="Q977" t="s">
        <v>108</v>
      </c>
    </row>
    <row r="978" spans="1:17">
      <c r="A978" t="s">
        <v>93</v>
      </c>
      <c r="B978" t="s">
        <v>106</v>
      </c>
      <c r="C978" t="s">
        <v>56</v>
      </c>
      <c r="D978" t="s">
        <v>761</v>
      </c>
      <c r="E978">
        <v>15</v>
      </c>
      <c r="F978" t="str">
        <f>VLOOKUP(E978,[1]LOJA!$A:$B,2,0)</f>
        <v>UNAÍ</v>
      </c>
      <c r="G978" t="s">
        <v>19</v>
      </c>
      <c r="H978" t="s">
        <v>19</v>
      </c>
      <c r="I978" s="1">
        <v>46024</v>
      </c>
      <c r="J978" s="1">
        <v>46024</v>
      </c>
      <c r="K978" s="1">
        <v>46024</v>
      </c>
      <c r="L978">
        <v>36</v>
      </c>
      <c r="M978">
        <v>3.48</v>
      </c>
      <c r="N978">
        <v>3.48</v>
      </c>
      <c r="O978">
        <v>0</v>
      </c>
      <c r="P978">
        <v>0</v>
      </c>
      <c r="Q978" t="s">
        <v>108</v>
      </c>
    </row>
    <row r="979" spans="1:17">
      <c r="A979" t="s">
        <v>93</v>
      </c>
      <c r="B979" t="s">
        <v>106</v>
      </c>
      <c r="C979" t="s">
        <v>56</v>
      </c>
      <c r="D979" t="s">
        <v>762</v>
      </c>
      <c r="E979">
        <v>15</v>
      </c>
      <c r="F979" t="str">
        <f>VLOOKUP(E979,[1]LOJA!$A:$B,2,0)</f>
        <v>UNAÍ</v>
      </c>
      <c r="G979" t="s">
        <v>19</v>
      </c>
      <c r="H979" t="s">
        <v>19</v>
      </c>
      <c r="I979" s="1">
        <v>46024</v>
      </c>
      <c r="J979" s="1">
        <v>46024</v>
      </c>
      <c r="K979" s="1">
        <v>46024</v>
      </c>
      <c r="L979">
        <v>36</v>
      </c>
      <c r="M979">
        <v>3.85</v>
      </c>
      <c r="N979">
        <v>3.85</v>
      </c>
      <c r="O979">
        <v>0</v>
      </c>
      <c r="P979">
        <v>0</v>
      </c>
      <c r="Q979" t="s">
        <v>108</v>
      </c>
    </row>
    <row r="980" spans="1:17">
      <c r="A980" t="s">
        <v>93</v>
      </c>
      <c r="B980" t="s">
        <v>106</v>
      </c>
      <c r="C980" t="s">
        <v>56</v>
      </c>
      <c r="D980" t="s">
        <v>763</v>
      </c>
      <c r="E980">
        <v>15</v>
      </c>
      <c r="F980" t="str">
        <f>VLOOKUP(E980,[1]LOJA!$A:$B,2,0)</f>
        <v>UNAÍ</v>
      </c>
      <c r="G980" t="s">
        <v>19</v>
      </c>
      <c r="H980" t="s">
        <v>19</v>
      </c>
      <c r="I980" s="1">
        <v>46024</v>
      </c>
      <c r="J980" s="1">
        <v>46024</v>
      </c>
      <c r="K980" s="1">
        <v>46024</v>
      </c>
      <c r="L980">
        <v>36</v>
      </c>
      <c r="M980">
        <v>5.48</v>
      </c>
      <c r="N980">
        <v>5.48</v>
      </c>
      <c r="O980">
        <v>0</v>
      </c>
      <c r="P980">
        <v>0</v>
      </c>
      <c r="Q980" t="s">
        <v>108</v>
      </c>
    </row>
    <row r="981" spans="1:17">
      <c r="A981" t="s">
        <v>93</v>
      </c>
      <c r="B981" t="s">
        <v>106</v>
      </c>
      <c r="C981" t="s">
        <v>56</v>
      </c>
      <c r="D981" t="s">
        <v>764</v>
      </c>
      <c r="E981">
        <v>15</v>
      </c>
      <c r="F981" t="str">
        <f>VLOOKUP(E981,[1]LOJA!$A:$B,2,0)</f>
        <v>UNAÍ</v>
      </c>
      <c r="G981" t="s">
        <v>19</v>
      </c>
      <c r="H981" t="s">
        <v>19</v>
      </c>
      <c r="I981" s="1">
        <v>46024</v>
      </c>
      <c r="J981" s="1">
        <v>46024</v>
      </c>
      <c r="K981" s="1">
        <v>46024</v>
      </c>
      <c r="L981">
        <v>36</v>
      </c>
      <c r="M981">
        <v>3.48</v>
      </c>
      <c r="N981">
        <v>3.48</v>
      </c>
      <c r="O981">
        <v>0</v>
      </c>
      <c r="P981">
        <v>0</v>
      </c>
      <c r="Q981" t="s">
        <v>108</v>
      </c>
    </row>
    <row r="982" spans="1:17">
      <c r="A982" t="s">
        <v>93</v>
      </c>
      <c r="B982" t="s">
        <v>106</v>
      </c>
      <c r="C982" t="s">
        <v>56</v>
      </c>
      <c r="D982" t="s">
        <v>765</v>
      </c>
      <c r="E982">
        <v>15</v>
      </c>
      <c r="F982" t="str">
        <f>VLOOKUP(E982,[1]LOJA!$A:$B,2,0)</f>
        <v>UNAÍ</v>
      </c>
      <c r="G982" t="s">
        <v>19</v>
      </c>
      <c r="H982" t="s">
        <v>19</v>
      </c>
      <c r="I982" s="1">
        <v>46024</v>
      </c>
      <c r="J982" s="1">
        <v>46023</v>
      </c>
      <c r="K982" s="1">
        <v>46024</v>
      </c>
      <c r="L982">
        <v>36</v>
      </c>
      <c r="M982">
        <v>2.23</v>
      </c>
      <c r="N982">
        <v>2.23</v>
      </c>
      <c r="O982">
        <v>0</v>
      </c>
      <c r="P982">
        <v>0</v>
      </c>
      <c r="Q982" t="s">
        <v>108</v>
      </c>
    </row>
    <row r="983" spans="1:17">
      <c r="A983" t="s">
        <v>93</v>
      </c>
      <c r="B983" t="s">
        <v>106</v>
      </c>
      <c r="C983" t="s">
        <v>56</v>
      </c>
      <c r="D983" t="s">
        <v>766</v>
      </c>
      <c r="E983">
        <v>15</v>
      </c>
      <c r="F983" t="str">
        <f>VLOOKUP(E983,[1]LOJA!$A:$B,2,0)</f>
        <v>UNAÍ</v>
      </c>
      <c r="G983" t="s">
        <v>19</v>
      </c>
      <c r="H983" t="s">
        <v>19</v>
      </c>
      <c r="I983" s="1">
        <v>46024</v>
      </c>
      <c r="J983" s="1">
        <v>46023</v>
      </c>
      <c r="K983" s="1">
        <v>46024</v>
      </c>
      <c r="L983">
        <v>36</v>
      </c>
      <c r="M983">
        <v>0.97</v>
      </c>
      <c r="N983">
        <v>0.97</v>
      </c>
      <c r="O983">
        <v>0</v>
      </c>
      <c r="P983">
        <v>0</v>
      </c>
      <c r="Q983" t="s">
        <v>108</v>
      </c>
    </row>
    <row r="984" spans="1:17">
      <c r="A984" t="s">
        <v>93</v>
      </c>
      <c r="B984" t="s">
        <v>106</v>
      </c>
      <c r="C984" t="s">
        <v>56</v>
      </c>
      <c r="D984" t="s">
        <v>767</v>
      </c>
      <c r="E984">
        <v>15</v>
      </c>
      <c r="F984" t="str">
        <f>VLOOKUP(E984,[1]LOJA!$A:$B,2,0)</f>
        <v>UNAÍ</v>
      </c>
      <c r="G984" t="s">
        <v>19</v>
      </c>
      <c r="H984" t="s">
        <v>19</v>
      </c>
      <c r="I984" s="1">
        <v>46024</v>
      </c>
      <c r="J984" s="1">
        <v>46024</v>
      </c>
      <c r="K984" s="1">
        <v>46024</v>
      </c>
      <c r="L984">
        <v>36</v>
      </c>
      <c r="M984">
        <v>0.52</v>
      </c>
      <c r="N984">
        <v>0.52</v>
      </c>
      <c r="O984">
        <v>0</v>
      </c>
      <c r="P984">
        <v>0</v>
      </c>
      <c r="Q984" t="s">
        <v>108</v>
      </c>
    </row>
    <row r="985" spans="1:17">
      <c r="A985" t="s">
        <v>93</v>
      </c>
      <c r="B985" t="s">
        <v>106</v>
      </c>
      <c r="C985" t="s">
        <v>56</v>
      </c>
      <c r="D985" t="s">
        <v>768</v>
      </c>
      <c r="E985">
        <v>15</v>
      </c>
      <c r="F985" t="str">
        <f>VLOOKUP(E985,[1]LOJA!$A:$B,2,0)</f>
        <v>UNAÍ</v>
      </c>
      <c r="G985" t="s">
        <v>19</v>
      </c>
      <c r="H985" t="s">
        <v>19</v>
      </c>
      <c r="I985" s="1">
        <v>46024</v>
      </c>
      <c r="J985" s="1">
        <v>46024</v>
      </c>
      <c r="K985" s="1">
        <v>46024</v>
      </c>
      <c r="L985">
        <v>36</v>
      </c>
      <c r="M985">
        <v>1.29</v>
      </c>
      <c r="N985">
        <v>1.29</v>
      </c>
      <c r="O985">
        <v>0</v>
      </c>
      <c r="P985">
        <v>0</v>
      </c>
      <c r="Q985" t="s">
        <v>108</v>
      </c>
    </row>
    <row r="986" spans="1:17">
      <c r="A986" t="s">
        <v>93</v>
      </c>
      <c r="B986" t="s">
        <v>106</v>
      </c>
      <c r="C986" t="s">
        <v>56</v>
      </c>
      <c r="D986" t="s">
        <v>769</v>
      </c>
      <c r="E986">
        <v>15</v>
      </c>
      <c r="F986" t="str">
        <f>VLOOKUP(E986,[1]LOJA!$A:$B,2,0)</f>
        <v>UNAÍ</v>
      </c>
      <c r="G986" t="s">
        <v>19</v>
      </c>
      <c r="H986" t="s">
        <v>19</v>
      </c>
      <c r="I986" s="1">
        <v>46024</v>
      </c>
      <c r="J986" s="1">
        <v>46023</v>
      </c>
      <c r="K986" s="1">
        <v>46024</v>
      </c>
      <c r="L986">
        <v>36</v>
      </c>
      <c r="M986">
        <v>1.01</v>
      </c>
      <c r="N986">
        <v>1.01</v>
      </c>
      <c r="O986">
        <v>0</v>
      </c>
      <c r="P986">
        <v>0</v>
      </c>
      <c r="Q986" t="s">
        <v>108</v>
      </c>
    </row>
    <row r="987" spans="1:17">
      <c r="A987" t="s">
        <v>93</v>
      </c>
      <c r="B987" t="s">
        <v>106</v>
      </c>
      <c r="C987" t="s">
        <v>56</v>
      </c>
      <c r="D987" t="s">
        <v>770</v>
      </c>
      <c r="E987">
        <v>15</v>
      </c>
      <c r="F987" t="str">
        <f>VLOOKUP(E987,[1]LOJA!$A:$B,2,0)</f>
        <v>UNAÍ</v>
      </c>
      <c r="G987" t="s">
        <v>19</v>
      </c>
      <c r="H987" t="s">
        <v>19</v>
      </c>
      <c r="I987" s="1">
        <v>46024</v>
      </c>
      <c r="J987" s="1">
        <v>46023</v>
      </c>
      <c r="K987" s="1">
        <v>46024</v>
      </c>
      <c r="L987">
        <v>36</v>
      </c>
      <c r="M987">
        <v>0.21</v>
      </c>
      <c r="N987">
        <v>0.21</v>
      </c>
      <c r="O987">
        <v>0</v>
      </c>
      <c r="P987">
        <v>0</v>
      </c>
      <c r="Q987" t="s">
        <v>108</v>
      </c>
    </row>
    <row r="988" spans="1:17">
      <c r="A988" t="s">
        <v>93</v>
      </c>
      <c r="B988" t="s">
        <v>106</v>
      </c>
      <c r="C988" t="s">
        <v>56</v>
      </c>
      <c r="D988" t="s">
        <v>771</v>
      </c>
      <c r="E988">
        <v>15</v>
      </c>
      <c r="F988" t="str">
        <f>VLOOKUP(E988,[1]LOJA!$A:$B,2,0)</f>
        <v>UNAÍ</v>
      </c>
      <c r="G988" t="s">
        <v>19</v>
      </c>
      <c r="H988" t="s">
        <v>19</v>
      </c>
      <c r="I988" s="1">
        <v>46024</v>
      </c>
      <c r="J988" s="1">
        <v>46023</v>
      </c>
      <c r="K988" s="1">
        <v>46024</v>
      </c>
      <c r="L988">
        <v>36</v>
      </c>
      <c r="M988">
        <v>3.24</v>
      </c>
      <c r="N988">
        <v>3.24</v>
      </c>
      <c r="O988">
        <v>0</v>
      </c>
      <c r="P988">
        <v>0</v>
      </c>
      <c r="Q988" t="s">
        <v>108</v>
      </c>
    </row>
    <row r="989" spans="1:17">
      <c r="A989" t="s">
        <v>93</v>
      </c>
      <c r="B989" t="s">
        <v>106</v>
      </c>
      <c r="C989" t="s">
        <v>56</v>
      </c>
      <c r="D989" t="s">
        <v>772</v>
      </c>
      <c r="E989">
        <v>15</v>
      </c>
      <c r="F989" t="str">
        <f>VLOOKUP(E989,[1]LOJA!$A:$B,2,0)</f>
        <v>UNAÍ</v>
      </c>
      <c r="G989" t="s">
        <v>19</v>
      </c>
      <c r="H989" t="s">
        <v>19</v>
      </c>
      <c r="I989" s="1">
        <v>46024</v>
      </c>
      <c r="J989" s="1">
        <v>46023</v>
      </c>
      <c r="K989" s="1">
        <v>46024</v>
      </c>
      <c r="L989">
        <v>36</v>
      </c>
      <c r="M989">
        <v>0.73</v>
      </c>
      <c r="N989">
        <v>0.73</v>
      </c>
      <c r="O989">
        <v>0</v>
      </c>
      <c r="P989">
        <v>0</v>
      </c>
      <c r="Q989" t="s">
        <v>108</v>
      </c>
    </row>
    <row r="990" spans="1:17">
      <c r="A990" t="s">
        <v>93</v>
      </c>
      <c r="B990" t="s">
        <v>106</v>
      </c>
      <c r="C990" t="s">
        <v>56</v>
      </c>
      <c r="D990" t="s">
        <v>773</v>
      </c>
      <c r="E990">
        <v>15</v>
      </c>
      <c r="F990" t="str">
        <f>VLOOKUP(E990,[1]LOJA!$A:$B,2,0)</f>
        <v>UNAÍ</v>
      </c>
      <c r="G990" t="s">
        <v>19</v>
      </c>
      <c r="H990" t="s">
        <v>19</v>
      </c>
      <c r="I990" s="1">
        <v>46024</v>
      </c>
      <c r="J990" s="1">
        <v>46023</v>
      </c>
      <c r="K990" s="1">
        <v>46024</v>
      </c>
      <c r="L990">
        <v>36</v>
      </c>
      <c r="M990">
        <v>7.32</v>
      </c>
      <c r="N990">
        <v>7.32</v>
      </c>
      <c r="O990">
        <v>0</v>
      </c>
      <c r="P990">
        <v>0</v>
      </c>
      <c r="Q990" t="s">
        <v>108</v>
      </c>
    </row>
    <row r="991" spans="1:17">
      <c r="A991" t="s">
        <v>93</v>
      </c>
      <c r="B991" t="s">
        <v>106</v>
      </c>
      <c r="C991" t="s">
        <v>56</v>
      </c>
      <c r="D991" t="s">
        <v>774</v>
      </c>
      <c r="E991">
        <v>15</v>
      </c>
      <c r="F991" t="str">
        <f>VLOOKUP(E991,[1]LOJA!$A:$B,2,0)</f>
        <v>UNAÍ</v>
      </c>
      <c r="G991" t="s">
        <v>19</v>
      </c>
      <c r="H991" t="s">
        <v>19</v>
      </c>
      <c r="I991" s="1">
        <v>46024</v>
      </c>
      <c r="J991" s="1">
        <v>46023</v>
      </c>
      <c r="K991" s="1">
        <v>46024</v>
      </c>
      <c r="L991">
        <v>36</v>
      </c>
      <c r="M991">
        <v>0.24</v>
      </c>
      <c r="N991">
        <v>0.24</v>
      </c>
      <c r="O991">
        <v>0</v>
      </c>
      <c r="P991">
        <v>0</v>
      </c>
      <c r="Q991" t="s">
        <v>108</v>
      </c>
    </row>
    <row r="992" spans="1:17">
      <c r="A992" t="s">
        <v>93</v>
      </c>
      <c r="B992" t="s">
        <v>106</v>
      </c>
      <c r="C992" t="s">
        <v>56</v>
      </c>
      <c r="D992" t="s">
        <v>775</v>
      </c>
      <c r="E992">
        <v>15</v>
      </c>
      <c r="F992" t="str">
        <f>VLOOKUP(E992,[1]LOJA!$A:$B,2,0)</f>
        <v>UNAÍ</v>
      </c>
      <c r="G992" t="s">
        <v>19</v>
      </c>
      <c r="H992" t="s">
        <v>19</v>
      </c>
      <c r="I992" s="1">
        <v>46024</v>
      </c>
      <c r="J992" s="1">
        <v>46023</v>
      </c>
      <c r="K992" s="1">
        <v>46024</v>
      </c>
      <c r="L992">
        <v>36</v>
      </c>
      <c r="M992">
        <v>0.53</v>
      </c>
      <c r="N992">
        <v>0.53</v>
      </c>
      <c r="O992">
        <v>0</v>
      </c>
      <c r="P992">
        <v>0</v>
      </c>
      <c r="Q992" t="s">
        <v>108</v>
      </c>
    </row>
    <row r="993" spans="1:17">
      <c r="A993" t="s">
        <v>93</v>
      </c>
      <c r="B993" t="s">
        <v>106</v>
      </c>
      <c r="C993" t="s">
        <v>56</v>
      </c>
      <c r="D993" t="s">
        <v>776</v>
      </c>
      <c r="E993">
        <v>15</v>
      </c>
      <c r="F993" t="str">
        <f>VLOOKUP(E993,[1]LOJA!$A:$B,2,0)</f>
        <v>UNAÍ</v>
      </c>
      <c r="G993" t="s">
        <v>19</v>
      </c>
      <c r="H993" t="s">
        <v>19</v>
      </c>
      <c r="I993" s="1">
        <v>46024</v>
      </c>
      <c r="J993" s="1">
        <v>46023</v>
      </c>
      <c r="K993" s="1">
        <v>46024</v>
      </c>
      <c r="L993">
        <v>36</v>
      </c>
      <c r="M993">
        <v>0.37</v>
      </c>
      <c r="N993">
        <v>0.37</v>
      </c>
      <c r="O993">
        <v>0</v>
      </c>
      <c r="P993">
        <v>0</v>
      </c>
      <c r="Q993" t="s">
        <v>108</v>
      </c>
    </row>
    <row r="994" spans="1:17">
      <c r="A994" t="s">
        <v>93</v>
      </c>
      <c r="B994" t="s">
        <v>106</v>
      </c>
      <c r="C994" t="s">
        <v>56</v>
      </c>
      <c r="D994" t="s">
        <v>777</v>
      </c>
      <c r="E994">
        <v>15</v>
      </c>
      <c r="F994" t="str">
        <f>VLOOKUP(E994,[1]LOJA!$A:$B,2,0)</f>
        <v>UNAÍ</v>
      </c>
      <c r="G994" t="s">
        <v>19</v>
      </c>
      <c r="H994" t="s">
        <v>19</v>
      </c>
      <c r="I994" s="1">
        <v>46027</v>
      </c>
      <c r="J994" s="1">
        <v>46026</v>
      </c>
      <c r="K994" s="1">
        <v>46027</v>
      </c>
      <c r="L994">
        <v>36</v>
      </c>
      <c r="M994">
        <v>2.87</v>
      </c>
      <c r="N994">
        <v>2.87</v>
      </c>
      <c r="O994">
        <v>0</v>
      </c>
      <c r="P994">
        <v>0</v>
      </c>
      <c r="Q994" t="s">
        <v>108</v>
      </c>
    </row>
    <row r="995" spans="1:17">
      <c r="A995" t="s">
        <v>93</v>
      </c>
      <c r="B995" t="s">
        <v>106</v>
      </c>
      <c r="C995" t="s">
        <v>56</v>
      </c>
      <c r="D995" t="s">
        <v>778</v>
      </c>
      <c r="E995">
        <v>15</v>
      </c>
      <c r="F995" t="str">
        <f>VLOOKUP(E995,[1]LOJA!$A:$B,2,0)</f>
        <v>UNAÍ</v>
      </c>
      <c r="G995" t="s">
        <v>19</v>
      </c>
      <c r="H995" t="s">
        <v>19</v>
      </c>
      <c r="I995" s="1">
        <v>46027</v>
      </c>
      <c r="J995" s="1">
        <v>46027</v>
      </c>
      <c r="K995" s="1">
        <v>46027</v>
      </c>
      <c r="L995">
        <v>36</v>
      </c>
      <c r="M995">
        <v>5.74</v>
      </c>
      <c r="N995">
        <v>5.74</v>
      </c>
      <c r="O995">
        <v>0</v>
      </c>
      <c r="P995">
        <v>0</v>
      </c>
      <c r="Q995" t="s">
        <v>108</v>
      </c>
    </row>
    <row r="996" spans="1:17">
      <c r="A996" t="s">
        <v>93</v>
      </c>
      <c r="B996" t="s">
        <v>106</v>
      </c>
      <c r="C996" t="s">
        <v>56</v>
      </c>
      <c r="D996" t="s">
        <v>779</v>
      </c>
      <c r="E996">
        <v>15</v>
      </c>
      <c r="F996" t="str">
        <f>VLOOKUP(E996,[1]LOJA!$A:$B,2,0)</f>
        <v>UNAÍ</v>
      </c>
      <c r="G996" t="s">
        <v>19</v>
      </c>
      <c r="H996" t="s">
        <v>19</v>
      </c>
      <c r="I996" s="1">
        <v>46027</v>
      </c>
      <c r="J996" s="1">
        <v>46025</v>
      </c>
      <c r="K996" s="1">
        <v>46027</v>
      </c>
      <c r="L996">
        <v>36</v>
      </c>
      <c r="M996">
        <v>0.35</v>
      </c>
      <c r="N996">
        <v>0.35</v>
      </c>
      <c r="O996">
        <v>0</v>
      </c>
      <c r="P996">
        <v>0</v>
      </c>
      <c r="Q996" t="s">
        <v>108</v>
      </c>
    </row>
    <row r="997" spans="1:17">
      <c r="A997" t="s">
        <v>93</v>
      </c>
      <c r="B997" t="s">
        <v>106</v>
      </c>
      <c r="C997" t="s">
        <v>56</v>
      </c>
      <c r="D997" t="s">
        <v>780</v>
      </c>
      <c r="E997">
        <v>15</v>
      </c>
      <c r="F997" t="str">
        <f>VLOOKUP(E997,[1]LOJA!$A:$B,2,0)</f>
        <v>UNAÍ</v>
      </c>
      <c r="G997" t="s">
        <v>19</v>
      </c>
      <c r="H997" t="s">
        <v>19</v>
      </c>
      <c r="I997" s="1">
        <v>46027</v>
      </c>
      <c r="J997" s="1">
        <v>46025</v>
      </c>
      <c r="K997" s="1">
        <v>46027</v>
      </c>
      <c r="L997">
        <v>36</v>
      </c>
      <c r="M997">
        <v>2.78</v>
      </c>
      <c r="N997">
        <v>2.78</v>
      </c>
      <c r="O997">
        <v>0</v>
      </c>
      <c r="P997">
        <v>0</v>
      </c>
      <c r="Q997" t="s">
        <v>108</v>
      </c>
    </row>
    <row r="998" spans="1:17">
      <c r="A998" t="s">
        <v>93</v>
      </c>
      <c r="B998" t="s">
        <v>106</v>
      </c>
      <c r="C998" t="s">
        <v>56</v>
      </c>
      <c r="D998" t="s">
        <v>781</v>
      </c>
      <c r="E998">
        <v>15</v>
      </c>
      <c r="F998" t="str">
        <f>VLOOKUP(E998,[1]LOJA!$A:$B,2,0)</f>
        <v>UNAÍ</v>
      </c>
      <c r="G998" t="s">
        <v>19</v>
      </c>
      <c r="H998" t="s">
        <v>19</v>
      </c>
      <c r="I998" s="1">
        <v>46027</v>
      </c>
      <c r="J998" s="1">
        <v>46026</v>
      </c>
      <c r="K998" s="1">
        <v>46027</v>
      </c>
      <c r="L998">
        <v>36</v>
      </c>
      <c r="M998">
        <v>0.89</v>
      </c>
      <c r="N998">
        <v>0.89</v>
      </c>
      <c r="O998">
        <v>0</v>
      </c>
      <c r="P998">
        <v>0</v>
      </c>
      <c r="Q998" t="s">
        <v>108</v>
      </c>
    </row>
    <row r="999" spans="1:17">
      <c r="A999" t="s">
        <v>93</v>
      </c>
      <c r="B999" t="s">
        <v>106</v>
      </c>
      <c r="C999" t="s">
        <v>56</v>
      </c>
      <c r="D999" t="s">
        <v>782</v>
      </c>
      <c r="E999">
        <v>15</v>
      </c>
      <c r="F999" t="str">
        <f>VLOOKUP(E999,[1]LOJA!$A:$B,2,0)</f>
        <v>UNAÍ</v>
      </c>
      <c r="G999" t="s">
        <v>19</v>
      </c>
      <c r="H999" t="s">
        <v>19</v>
      </c>
      <c r="I999" s="1">
        <v>46027</v>
      </c>
      <c r="J999" s="1">
        <v>46026</v>
      </c>
      <c r="K999" s="1">
        <v>46027</v>
      </c>
      <c r="L999">
        <v>36</v>
      </c>
      <c r="M999">
        <v>0.47</v>
      </c>
      <c r="N999">
        <v>0.47</v>
      </c>
      <c r="O999">
        <v>0</v>
      </c>
      <c r="P999">
        <v>0</v>
      </c>
      <c r="Q999" t="s">
        <v>108</v>
      </c>
    </row>
    <row r="1000" spans="1:17">
      <c r="A1000" t="s">
        <v>93</v>
      </c>
      <c r="B1000" t="s">
        <v>106</v>
      </c>
      <c r="C1000" t="s">
        <v>56</v>
      </c>
      <c r="D1000" t="s">
        <v>783</v>
      </c>
      <c r="E1000">
        <v>15</v>
      </c>
      <c r="F1000" t="str">
        <f>VLOOKUP(E1000,[1]LOJA!$A:$B,2,0)</f>
        <v>UNAÍ</v>
      </c>
      <c r="G1000" t="s">
        <v>19</v>
      </c>
      <c r="H1000" t="s">
        <v>19</v>
      </c>
      <c r="I1000" s="1">
        <v>46027</v>
      </c>
      <c r="J1000" s="1">
        <v>46026</v>
      </c>
      <c r="K1000" s="1">
        <v>46027</v>
      </c>
      <c r="L1000">
        <v>36</v>
      </c>
      <c r="M1000">
        <v>7.69</v>
      </c>
      <c r="N1000">
        <v>7.69</v>
      </c>
      <c r="O1000">
        <v>0</v>
      </c>
      <c r="P1000">
        <v>0</v>
      </c>
      <c r="Q1000" t="s">
        <v>108</v>
      </c>
    </row>
    <row r="1001" spans="1:17">
      <c r="A1001" t="s">
        <v>93</v>
      </c>
      <c r="B1001" t="s">
        <v>106</v>
      </c>
      <c r="C1001" t="s">
        <v>56</v>
      </c>
      <c r="D1001" t="s">
        <v>784</v>
      </c>
      <c r="E1001">
        <v>15</v>
      </c>
      <c r="F1001" t="str">
        <f>VLOOKUP(E1001,[1]LOJA!$A:$B,2,0)</f>
        <v>UNAÍ</v>
      </c>
      <c r="G1001" t="s">
        <v>19</v>
      </c>
      <c r="H1001" t="s">
        <v>19</v>
      </c>
      <c r="I1001" s="1">
        <v>46027</v>
      </c>
      <c r="J1001" s="1">
        <v>46026</v>
      </c>
      <c r="K1001" s="1">
        <v>46027</v>
      </c>
      <c r="L1001">
        <v>36</v>
      </c>
      <c r="M1001">
        <v>4.3499999999999996</v>
      </c>
      <c r="N1001">
        <v>4.3499999999999996</v>
      </c>
      <c r="O1001">
        <v>0</v>
      </c>
      <c r="P1001">
        <v>0</v>
      </c>
      <c r="Q1001" t="s">
        <v>108</v>
      </c>
    </row>
    <row r="1002" spans="1:17">
      <c r="A1002" t="s">
        <v>93</v>
      </c>
      <c r="B1002" t="s">
        <v>106</v>
      </c>
      <c r="C1002" t="s">
        <v>56</v>
      </c>
      <c r="D1002" t="s">
        <v>785</v>
      </c>
      <c r="E1002">
        <v>15</v>
      </c>
      <c r="F1002" t="str">
        <f>VLOOKUP(E1002,[1]LOJA!$A:$B,2,0)</f>
        <v>UNAÍ</v>
      </c>
      <c r="G1002" t="s">
        <v>19</v>
      </c>
      <c r="H1002" t="s">
        <v>19</v>
      </c>
      <c r="I1002" s="1">
        <v>46027</v>
      </c>
      <c r="J1002" s="1">
        <v>46026</v>
      </c>
      <c r="K1002" s="1">
        <v>46027</v>
      </c>
      <c r="L1002">
        <v>36</v>
      </c>
      <c r="M1002">
        <v>10.67</v>
      </c>
      <c r="N1002">
        <v>10.67</v>
      </c>
      <c r="O1002">
        <v>0</v>
      </c>
      <c r="P1002">
        <v>0</v>
      </c>
      <c r="Q1002" t="s">
        <v>108</v>
      </c>
    </row>
    <row r="1003" spans="1:17">
      <c r="A1003" t="s">
        <v>93</v>
      </c>
      <c r="B1003" t="s">
        <v>106</v>
      </c>
      <c r="C1003" t="s">
        <v>56</v>
      </c>
      <c r="D1003" t="s">
        <v>786</v>
      </c>
      <c r="E1003">
        <v>15</v>
      </c>
      <c r="F1003" t="str">
        <f>VLOOKUP(E1003,[1]LOJA!$A:$B,2,0)</f>
        <v>UNAÍ</v>
      </c>
      <c r="G1003" t="s">
        <v>19</v>
      </c>
      <c r="H1003" t="s">
        <v>19</v>
      </c>
      <c r="I1003" s="1">
        <v>46027</v>
      </c>
      <c r="J1003" s="1">
        <v>46027</v>
      </c>
      <c r="K1003" s="1">
        <v>46027</v>
      </c>
      <c r="L1003">
        <v>36</v>
      </c>
      <c r="M1003">
        <v>0.44</v>
      </c>
      <c r="N1003">
        <v>0.44</v>
      </c>
      <c r="O1003">
        <v>0</v>
      </c>
      <c r="P1003">
        <v>0</v>
      </c>
      <c r="Q1003" t="s">
        <v>108</v>
      </c>
    </row>
    <row r="1004" spans="1:17">
      <c r="A1004" t="s">
        <v>93</v>
      </c>
      <c r="B1004" t="s">
        <v>106</v>
      </c>
      <c r="C1004" t="s">
        <v>56</v>
      </c>
      <c r="D1004" t="s">
        <v>787</v>
      </c>
      <c r="E1004">
        <v>15</v>
      </c>
      <c r="F1004" t="str">
        <f>VLOOKUP(E1004,[1]LOJA!$A:$B,2,0)</f>
        <v>UNAÍ</v>
      </c>
      <c r="G1004" t="s">
        <v>19</v>
      </c>
      <c r="H1004" t="s">
        <v>19</v>
      </c>
      <c r="I1004" s="1">
        <v>46027</v>
      </c>
      <c r="J1004" s="1">
        <v>46027</v>
      </c>
      <c r="K1004" s="1">
        <v>46027</v>
      </c>
      <c r="L1004">
        <v>36</v>
      </c>
      <c r="M1004">
        <v>1.63</v>
      </c>
      <c r="N1004">
        <v>1.63</v>
      </c>
      <c r="O1004">
        <v>0</v>
      </c>
      <c r="P1004">
        <v>0</v>
      </c>
      <c r="Q1004" t="s">
        <v>108</v>
      </c>
    </row>
    <row r="1005" spans="1:17">
      <c r="A1005" t="s">
        <v>93</v>
      </c>
      <c r="B1005" t="s">
        <v>106</v>
      </c>
      <c r="C1005" t="s">
        <v>56</v>
      </c>
      <c r="D1005" t="s">
        <v>788</v>
      </c>
      <c r="E1005">
        <v>15</v>
      </c>
      <c r="F1005" t="str">
        <f>VLOOKUP(E1005,[1]LOJA!$A:$B,2,0)</f>
        <v>UNAÍ</v>
      </c>
      <c r="G1005" t="s">
        <v>19</v>
      </c>
      <c r="H1005" t="s">
        <v>19</v>
      </c>
      <c r="I1005" s="1">
        <v>46027</v>
      </c>
      <c r="J1005" s="1">
        <v>46027</v>
      </c>
      <c r="K1005" s="1">
        <v>46027</v>
      </c>
      <c r="L1005">
        <v>36</v>
      </c>
      <c r="M1005">
        <v>2.12</v>
      </c>
      <c r="N1005">
        <v>2.12</v>
      </c>
      <c r="O1005">
        <v>0</v>
      </c>
      <c r="P1005">
        <v>0</v>
      </c>
      <c r="Q1005" t="s">
        <v>108</v>
      </c>
    </row>
    <row r="1006" spans="1:17">
      <c r="A1006" t="s">
        <v>93</v>
      </c>
      <c r="B1006" t="s">
        <v>106</v>
      </c>
      <c r="C1006" t="s">
        <v>56</v>
      </c>
      <c r="D1006" t="s">
        <v>789</v>
      </c>
      <c r="E1006">
        <v>15</v>
      </c>
      <c r="F1006" t="str">
        <f>VLOOKUP(E1006,[1]LOJA!$A:$B,2,0)</f>
        <v>UNAÍ</v>
      </c>
      <c r="G1006" t="s">
        <v>19</v>
      </c>
      <c r="H1006" t="s">
        <v>19</v>
      </c>
      <c r="I1006" s="1">
        <v>46027</v>
      </c>
      <c r="J1006" s="1">
        <v>46027</v>
      </c>
      <c r="K1006" s="1">
        <v>46027</v>
      </c>
      <c r="L1006">
        <v>36</v>
      </c>
      <c r="M1006">
        <v>0.47</v>
      </c>
      <c r="N1006">
        <v>0.47</v>
      </c>
      <c r="O1006">
        <v>0</v>
      </c>
      <c r="P1006">
        <v>0</v>
      </c>
      <c r="Q1006" t="s">
        <v>108</v>
      </c>
    </row>
    <row r="1007" spans="1:17">
      <c r="A1007" t="s">
        <v>93</v>
      </c>
      <c r="B1007" t="s">
        <v>106</v>
      </c>
      <c r="C1007" t="s">
        <v>56</v>
      </c>
      <c r="D1007" t="s">
        <v>790</v>
      </c>
      <c r="E1007">
        <v>15</v>
      </c>
      <c r="F1007" t="str">
        <f>VLOOKUP(E1007,[1]LOJA!$A:$B,2,0)</f>
        <v>UNAÍ</v>
      </c>
      <c r="G1007" t="s">
        <v>19</v>
      </c>
      <c r="H1007" t="s">
        <v>19</v>
      </c>
      <c r="I1007" s="1">
        <v>46027</v>
      </c>
      <c r="J1007" s="1">
        <v>46027</v>
      </c>
      <c r="K1007" s="1">
        <v>46027</v>
      </c>
      <c r="L1007">
        <v>36</v>
      </c>
      <c r="M1007">
        <v>0.28000000000000003</v>
      </c>
      <c r="N1007">
        <v>0.28000000000000003</v>
      </c>
      <c r="O1007">
        <v>0</v>
      </c>
      <c r="P1007">
        <v>0</v>
      </c>
      <c r="Q1007" t="s">
        <v>108</v>
      </c>
    </row>
    <row r="1008" spans="1:17">
      <c r="A1008" t="s">
        <v>93</v>
      </c>
      <c r="B1008" t="s">
        <v>106</v>
      </c>
      <c r="C1008" t="s">
        <v>56</v>
      </c>
      <c r="D1008" t="s">
        <v>791</v>
      </c>
      <c r="E1008">
        <v>15</v>
      </c>
      <c r="F1008" t="str">
        <f>VLOOKUP(E1008,[1]LOJA!$A:$B,2,0)</f>
        <v>UNAÍ</v>
      </c>
      <c r="G1008" t="s">
        <v>19</v>
      </c>
      <c r="H1008" t="s">
        <v>19</v>
      </c>
      <c r="I1008" s="1">
        <v>46027</v>
      </c>
      <c r="J1008" s="1">
        <v>46027</v>
      </c>
      <c r="K1008" s="1">
        <v>46027</v>
      </c>
      <c r="L1008">
        <v>36</v>
      </c>
      <c r="M1008">
        <v>0.38</v>
      </c>
      <c r="N1008">
        <v>0.38</v>
      </c>
      <c r="O1008">
        <v>0</v>
      </c>
      <c r="P1008">
        <v>0</v>
      </c>
      <c r="Q1008" t="s">
        <v>108</v>
      </c>
    </row>
    <row r="1009" spans="1:17">
      <c r="A1009" t="s">
        <v>93</v>
      </c>
      <c r="B1009" t="s">
        <v>106</v>
      </c>
      <c r="C1009" t="s">
        <v>56</v>
      </c>
      <c r="D1009" t="s">
        <v>792</v>
      </c>
      <c r="E1009">
        <v>15</v>
      </c>
      <c r="F1009" t="str">
        <f>VLOOKUP(E1009,[1]LOJA!$A:$B,2,0)</f>
        <v>UNAÍ</v>
      </c>
      <c r="G1009" t="s">
        <v>19</v>
      </c>
      <c r="H1009" t="s">
        <v>19</v>
      </c>
      <c r="I1009" s="1">
        <v>46027</v>
      </c>
      <c r="J1009" s="1">
        <v>46025</v>
      </c>
      <c r="K1009" s="1">
        <v>46027</v>
      </c>
      <c r="L1009">
        <v>36</v>
      </c>
      <c r="M1009">
        <v>0.36</v>
      </c>
      <c r="N1009">
        <v>0.36</v>
      </c>
      <c r="O1009">
        <v>0</v>
      </c>
      <c r="P1009">
        <v>0</v>
      </c>
      <c r="Q1009" t="s">
        <v>108</v>
      </c>
    </row>
    <row r="1010" spans="1:17">
      <c r="A1010" t="s">
        <v>93</v>
      </c>
      <c r="B1010" t="s">
        <v>106</v>
      </c>
      <c r="C1010" t="s">
        <v>56</v>
      </c>
      <c r="D1010" t="s">
        <v>793</v>
      </c>
      <c r="E1010">
        <v>15</v>
      </c>
      <c r="F1010" t="str">
        <f>VLOOKUP(E1010,[1]LOJA!$A:$B,2,0)</f>
        <v>UNAÍ</v>
      </c>
      <c r="G1010" t="s">
        <v>19</v>
      </c>
      <c r="H1010" t="s">
        <v>19</v>
      </c>
      <c r="I1010" s="1">
        <v>46027</v>
      </c>
      <c r="J1010" s="1">
        <v>46025</v>
      </c>
      <c r="K1010" s="1">
        <v>46027</v>
      </c>
      <c r="L1010">
        <v>36</v>
      </c>
      <c r="M1010">
        <v>0.89</v>
      </c>
      <c r="N1010">
        <v>0.89</v>
      </c>
      <c r="O1010">
        <v>0</v>
      </c>
      <c r="P1010">
        <v>0</v>
      </c>
      <c r="Q1010" t="s">
        <v>108</v>
      </c>
    </row>
    <row r="1011" spans="1:17">
      <c r="A1011" t="s">
        <v>93</v>
      </c>
      <c r="B1011" t="s">
        <v>106</v>
      </c>
      <c r="C1011" t="s">
        <v>56</v>
      </c>
      <c r="D1011" t="s">
        <v>794</v>
      </c>
      <c r="E1011">
        <v>15</v>
      </c>
      <c r="F1011" t="str">
        <f>VLOOKUP(E1011,[1]LOJA!$A:$B,2,0)</f>
        <v>UNAÍ</v>
      </c>
      <c r="G1011" t="s">
        <v>19</v>
      </c>
      <c r="H1011" t="s">
        <v>19</v>
      </c>
      <c r="I1011" s="1">
        <v>46027</v>
      </c>
      <c r="J1011" s="1">
        <v>46025</v>
      </c>
      <c r="K1011" s="1">
        <v>46027</v>
      </c>
      <c r="L1011">
        <v>36</v>
      </c>
      <c r="M1011">
        <v>0.05</v>
      </c>
      <c r="N1011">
        <v>0.05</v>
      </c>
      <c r="O1011">
        <v>0</v>
      </c>
      <c r="P1011">
        <v>0</v>
      </c>
      <c r="Q1011" t="s">
        <v>108</v>
      </c>
    </row>
    <row r="1012" spans="1:17">
      <c r="A1012" t="s">
        <v>93</v>
      </c>
      <c r="B1012" t="s">
        <v>106</v>
      </c>
      <c r="C1012" t="s">
        <v>56</v>
      </c>
      <c r="D1012" t="s">
        <v>795</v>
      </c>
      <c r="E1012">
        <v>15</v>
      </c>
      <c r="F1012" t="str">
        <f>VLOOKUP(E1012,[1]LOJA!$A:$B,2,0)</f>
        <v>UNAÍ</v>
      </c>
      <c r="G1012" t="s">
        <v>19</v>
      </c>
      <c r="H1012" t="s">
        <v>19</v>
      </c>
      <c r="I1012" s="1">
        <v>46027</v>
      </c>
      <c r="J1012" s="1">
        <v>46025</v>
      </c>
      <c r="K1012" s="1">
        <v>46027</v>
      </c>
      <c r="L1012">
        <v>36</v>
      </c>
      <c r="M1012">
        <v>0.67</v>
      </c>
      <c r="N1012">
        <v>0.67</v>
      </c>
      <c r="O1012">
        <v>0</v>
      </c>
      <c r="P1012">
        <v>0</v>
      </c>
      <c r="Q1012" t="s">
        <v>108</v>
      </c>
    </row>
    <row r="1013" spans="1:17">
      <c r="A1013" t="s">
        <v>93</v>
      </c>
      <c r="B1013" t="s">
        <v>106</v>
      </c>
      <c r="C1013" t="s">
        <v>56</v>
      </c>
      <c r="D1013" t="s">
        <v>796</v>
      </c>
      <c r="E1013">
        <v>15</v>
      </c>
      <c r="F1013" t="str">
        <f>VLOOKUP(E1013,[1]LOJA!$A:$B,2,0)</f>
        <v>UNAÍ</v>
      </c>
      <c r="G1013" t="s">
        <v>19</v>
      </c>
      <c r="H1013" t="s">
        <v>19</v>
      </c>
      <c r="I1013" s="1">
        <v>46027</v>
      </c>
      <c r="J1013" s="1">
        <v>46025</v>
      </c>
      <c r="K1013" s="1">
        <v>46027</v>
      </c>
      <c r="L1013">
        <v>36</v>
      </c>
      <c r="M1013">
        <v>0.3</v>
      </c>
      <c r="N1013">
        <v>0.3</v>
      </c>
      <c r="O1013">
        <v>0</v>
      </c>
      <c r="P1013">
        <v>0</v>
      </c>
      <c r="Q1013" t="s">
        <v>108</v>
      </c>
    </row>
    <row r="1014" spans="1:17">
      <c r="A1014" t="s">
        <v>93</v>
      </c>
      <c r="B1014" t="s">
        <v>106</v>
      </c>
      <c r="C1014" t="s">
        <v>56</v>
      </c>
      <c r="D1014" t="s">
        <v>797</v>
      </c>
      <c r="E1014">
        <v>15</v>
      </c>
      <c r="F1014" t="str">
        <f>VLOOKUP(E1014,[1]LOJA!$A:$B,2,0)</f>
        <v>UNAÍ</v>
      </c>
      <c r="G1014" t="s">
        <v>19</v>
      </c>
      <c r="H1014" t="s">
        <v>19</v>
      </c>
      <c r="I1014" s="1">
        <v>46027</v>
      </c>
      <c r="J1014" s="1">
        <v>46026</v>
      </c>
      <c r="K1014" s="1">
        <v>46027</v>
      </c>
      <c r="L1014">
        <v>36</v>
      </c>
      <c r="M1014">
        <v>2.27</v>
      </c>
      <c r="N1014">
        <v>2.27</v>
      </c>
      <c r="O1014">
        <v>0</v>
      </c>
      <c r="P1014">
        <v>0</v>
      </c>
      <c r="Q1014" t="s">
        <v>108</v>
      </c>
    </row>
    <row r="1015" spans="1:17">
      <c r="A1015" t="s">
        <v>93</v>
      </c>
      <c r="B1015" t="s">
        <v>106</v>
      </c>
      <c r="C1015" t="s">
        <v>56</v>
      </c>
      <c r="D1015" t="s">
        <v>798</v>
      </c>
      <c r="E1015">
        <v>15</v>
      </c>
      <c r="F1015" t="str">
        <f>VLOOKUP(E1015,[1]LOJA!$A:$B,2,0)</f>
        <v>UNAÍ</v>
      </c>
      <c r="G1015" t="s">
        <v>19</v>
      </c>
      <c r="H1015" t="s">
        <v>19</v>
      </c>
      <c r="I1015" s="1">
        <v>46027</v>
      </c>
      <c r="J1015" s="1">
        <v>46026</v>
      </c>
      <c r="K1015" s="1">
        <v>46027</v>
      </c>
      <c r="L1015">
        <v>36</v>
      </c>
      <c r="M1015">
        <v>0.11</v>
      </c>
      <c r="N1015">
        <v>0.11</v>
      </c>
      <c r="O1015">
        <v>0</v>
      </c>
      <c r="P1015">
        <v>0</v>
      </c>
      <c r="Q1015" t="s">
        <v>108</v>
      </c>
    </row>
    <row r="1016" spans="1:17">
      <c r="A1016" t="s">
        <v>93</v>
      </c>
      <c r="B1016" t="s">
        <v>106</v>
      </c>
      <c r="C1016" t="s">
        <v>56</v>
      </c>
      <c r="D1016" t="s">
        <v>799</v>
      </c>
      <c r="E1016">
        <v>15</v>
      </c>
      <c r="F1016" t="str">
        <f>VLOOKUP(E1016,[1]LOJA!$A:$B,2,0)</f>
        <v>UNAÍ</v>
      </c>
      <c r="G1016" t="s">
        <v>19</v>
      </c>
      <c r="H1016" t="s">
        <v>19</v>
      </c>
      <c r="I1016" s="1">
        <v>46027</v>
      </c>
      <c r="J1016" s="1">
        <v>46026</v>
      </c>
      <c r="K1016" s="1">
        <v>46027</v>
      </c>
      <c r="L1016">
        <v>36</v>
      </c>
      <c r="M1016">
        <v>0.41</v>
      </c>
      <c r="N1016">
        <v>0.41</v>
      </c>
      <c r="O1016">
        <v>0</v>
      </c>
      <c r="P1016">
        <v>0</v>
      </c>
      <c r="Q1016" t="s">
        <v>108</v>
      </c>
    </row>
    <row r="1017" spans="1:17">
      <c r="A1017" t="s">
        <v>93</v>
      </c>
      <c r="B1017" t="s">
        <v>106</v>
      </c>
      <c r="C1017" t="s">
        <v>56</v>
      </c>
      <c r="D1017" t="s">
        <v>800</v>
      </c>
      <c r="E1017">
        <v>15</v>
      </c>
      <c r="F1017" t="str">
        <f>VLOOKUP(E1017,[1]LOJA!$A:$B,2,0)</f>
        <v>UNAÍ</v>
      </c>
      <c r="G1017" t="s">
        <v>19</v>
      </c>
      <c r="H1017" t="s">
        <v>19</v>
      </c>
      <c r="I1017" s="1">
        <v>46027</v>
      </c>
      <c r="J1017" s="1">
        <v>46026</v>
      </c>
      <c r="K1017" s="1">
        <v>46027</v>
      </c>
      <c r="L1017">
        <v>36</v>
      </c>
      <c r="M1017">
        <v>0.13</v>
      </c>
      <c r="N1017">
        <v>0.13</v>
      </c>
      <c r="O1017">
        <v>0</v>
      </c>
      <c r="P1017">
        <v>0</v>
      </c>
      <c r="Q1017" t="s">
        <v>108</v>
      </c>
    </row>
    <row r="1018" spans="1:17">
      <c r="A1018" t="s">
        <v>93</v>
      </c>
      <c r="B1018" t="s">
        <v>106</v>
      </c>
      <c r="C1018" t="s">
        <v>56</v>
      </c>
      <c r="D1018" t="s">
        <v>801</v>
      </c>
      <c r="E1018">
        <v>15</v>
      </c>
      <c r="F1018" t="str">
        <f>VLOOKUP(E1018,[1]LOJA!$A:$B,2,0)</f>
        <v>UNAÍ</v>
      </c>
      <c r="G1018" t="s">
        <v>19</v>
      </c>
      <c r="H1018" t="s">
        <v>19</v>
      </c>
      <c r="I1018" s="1">
        <v>46027</v>
      </c>
      <c r="J1018" s="1">
        <v>46026</v>
      </c>
      <c r="K1018" s="1">
        <v>46027</v>
      </c>
      <c r="L1018">
        <v>36</v>
      </c>
      <c r="M1018">
        <v>0.56999999999999995</v>
      </c>
      <c r="N1018">
        <v>0.56999999999999995</v>
      </c>
      <c r="O1018">
        <v>0</v>
      </c>
      <c r="P1018">
        <v>0</v>
      </c>
      <c r="Q1018" t="s">
        <v>108</v>
      </c>
    </row>
    <row r="1019" spans="1:17">
      <c r="A1019" t="s">
        <v>93</v>
      </c>
      <c r="B1019" t="s">
        <v>106</v>
      </c>
      <c r="C1019" t="s">
        <v>56</v>
      </c>
      <c r="D1019" t="s">
        <v>802</v>
      </c>
      <c r="E1019">
        <v>15</v>
      </c>
      <c r="F1019" t="str">
        <f>VLOOKUP(E1019,[1]LOJA!$A:$B,2,0)</f>
        <v>UNAÍ</v>
      </c>
      <c r="G1019" t="s">
        <v>19</v>
      </c>
      <c r="H1019" t="s">
        <v>19</v>
      </c>
      <c r="I1019" s="1">
        <v>46027</v>
      </c>
      <c r="J1019" s="1">
        <v>46026</v>
      </c>
      <c r="K1019" s="1">
        <v>46027</v>
      </c>
      <c r="L1019">
        <v>36</v>
      </c>
      <c r="M1019">
        <v>0.86</v>
      </c>
      <c r="N1019">
        <v>0.86</v>
      </c>
      <c r="O1019">
        <v>0</v>
      </c>
      <c r="P1019">
        <v>0</v>
      </c>
      <c r="Q1019" t="s">
        <v>108</v>
      </c>
    </row>
    <row r="1020" spans="1:17">
      <c r="A1020" t="s">
        <v>93</v>
      </c>
      <c r="B1020" t="s">
        <v>106</v>
      </c>
      <c r="C1020" t="s">
        <v>56</v>
      </c>
      <c r="D1020" t="s">
        <v>803</v>
      </c>
      <c r="E1020">
        <v>15</v>
      </c>
      <c r="F1020" t="str">
        <f>VLOOKUP(E1020,[1]LOJA!$A:$B,2,0)</f>
        <v>UNAÍ</v>
      </c>
      <c r="G1020" t="s">
        <v>19</v>
      </c>
      <c r="H1020" t="s">
        <v>19</v>
      </c>
      <c r="I1020" s="1">
        <v>46028</v>
      </c>
      <c r="J1020" s="1">
        <v>46028</v>
      </c>
      <c r="K1020" s="1">
        <v>46028</v>
      </c>
      <c r="L1020">
        <v>36</v>
      </c>
      <c r="M1020">
        <v>6.61</v>
      </c>
      <c r="N1020">
        <v>6.61</v>
      </c>
      <c r="O1020">
        <v>0</v>
      </c>
      <c r="P1020">
        <v>0</v>
      </c>
      <c r="Q1020" t="s">
        <v>108</v>
      </c>
    </row>
    <row r="1021" spans="1:17">
      <c r="A1021" t="s">
        <v>93</v>
      </c>
      <c r="B1021" t="s">
        <v>106</v>
      </c>
      <c r="C1021" t="s">
        <v>56</v>
      </c>
      <c r="D1021" t="s">
        <v>804</v>
      </c>
      <c r="E1021">
        <v>15</v>
      </c>
      <c r="F1021" t="str">
        <f>VLOOKUP(E1021,[1]LOJA!$A:$B,2,0)</f>
        <v>UNAÍ</v>
      </c>
      <c r="G1021" t="s">
        <v>19</v>
      </c>
      <c r="H1021" t="s">
        <v>19</v>
      </c>
      <c r="I1021" s="1">
        <v>46028</v>
      </c>
      <c r="J1021" s="1">
        <v>46028</v>
      </c>
      <c r="K1021" s="1">
        <v>46028</v>
      </c>
      <c r="L1021">
        <v>36</v>
      </c>
      <c r="M1021">
        <v>5.48</v>
      </c>
      <c r="N1021">
        <v>5.48</v>
      </c>
      <c r="O1021">
        <v>0</v>
      </c>
      <c r="P1021">
        <v>0</v>
      </c>
      <c r="Q1021" t="s">
        <v>108</v>
      </c>
    </row>
    <row r="1022" spans="1:17">
      <c r="A1022" t="s">
        <v>93</v>
      </c>
      <c r="B1022" t="s">
        <v>106</v>
      </c>
      <c r="C1022" t="s">
        <v>56</v>
      </c>
      <c r="D1022" t="s">
        <v>805</v>
      </c>
      <c r="E1022">
        <v>15</v>
      </c>
      <c r="F1022" t="str">
        <f>VLOOKUP(E1022,[1]LOJA!$A:$B,2,0)</f>
        <v>UNAÍ</v>
      </c>
      <c r="G1022" t="s">
        <v>19</v>
      </c>
      <c r="H1022" t="s">
        <v>19</v>
      </c>
      <c r="I1022" s="1">
        <v>46028</v>
      </c>
      <c r="J1022" s="1">
        <v>46028</v>
      </c>
      <c r="K1022" s="1">
        <v>46028</v>
      </c>
      <c r="L1022">
        <v>36</v>
      </c>
      <c r="M1022">
        <v>0.28999999999999998</v>
      </c>
      <c r="N1022">
        <v>0.28999999999999998</v>
      </c>
      <c r="O1022">
        <v>0</v>
      </c>
      <c r="P1022">
        <v>0</v>
      </c>
      <c r="Q1022" t="s">
        <v>108</v>
      </c>
    </row>
    <row r="1023" spans="1:17">
      <c r="A1023" t="s">
        <v>93</v>
      </c>
      <c r="B1023" t="s">
        <v>106</v>
      </c>
      <c r="C1023" t="s">
        <v>56</v>
      </c>
      <c r="D1023" t="s">
        <v>806</v>
      </c>
      <c r="E1023">
        <v>15</v>
      </c>
      <c r="F1023" t="str">
        <f>VLOOKUP(E1023,[1]LOJA!$A:$B,2,0)</f>
        <v>UNAÍ</v>
      </c>
      <c r="G1023" t="s">
        <v>19</v>
      </c>
      <c r="H1023" t="s">
        <v>19</v>
      </c>
      <c r="I1023" s="1">
        <v>46028</v>
      </c>
      <c r="J1023" s="1">
        <v>46028</v>
      </c>
      <c r="K1023" s="1">
        <v>46028</v>
      </c>
      <c r="L1023">
        <v>36</v>
      </c>
      <c r="M1023">
        <v>0.13</v>
      </c>
      <c r="N1023">
        <v>0.13</v>
      </c>
      <c r="O1023">
        <v>0</v>
      </c>
      <c r="P1023">
        <v>0</v>
      </c>
      <c r="Q1023" t="s">
        <v>108</v>
      </c>
    </row>
    <row r="1024" spans="1:17">
      <c r="A1024" t="s">
        <v>93</v>
      </c>
      <c r="B1024" t="s">
        <v>106</v>
      </c>
      <c r="C1024" t="s">
        <v>56</v>
      </c>
      <c r="D1024" t="s">
        <v>807</v>
      </c>
      <c r="E1024">
        <v>15</v>
      </c>
      <c r="F1024" t="str">
        <f>VLOOKUP(E1024,[1]LOJA!$A:$B,2,0)</f>
        <v>UNAÍ</v>
      </c>
      <c r="G1024" t="s">
        <v>19</v>
      </c>
      <c r="H1024" t="s">
        <v>19</v>
      </c>
      <c r="I1024" s="1">
        <v>46028</v>
      </c>
      <c r="J1024" s="1">
        <v>46028</v>
      </c>
      <c r="K1024" s="1">
        <v>46028</v>
      </c>
      <c r="L1024">
        <v>36</v>
      </c>
      <c r="M1024">
        <v>0.96</v>
      </c>
      <c r="N1024">
        <v>0.96</v>
      </c>
      <c r="O1024">
        <v>0</v>
      </c>
      <c r="P1024">
        <v>0</v>
      </c>
      <c r="Q1024" t="s">
        <v>108</v>
      </c>
    </row>
    <row r="1025" spans="1:17">
      <c r="A1025" t="s">
        <v>93</v>
      </c>
      <c r="B1025" t="s">
        <v>106</v>
      </c>
      <c r="C1025" t="s">
        <v>56</v>
      </c>
      <c r="D1025" t="s">
        <v>808</v>
      </c>
      <c r="E1025">
        <v>15</v>
      </c>
      <c r="F1025" t="str">
        <f>VLOOKUP(E1025,[1]LOJA!$A:$B,2,0)</f>
        <v>UNAÍ</v>
      </c>
      <c r="G1025" t="s">
        <v>19</v>
      </c>
      <c r="H1025" t="s">
        <v>19</v>
      </c>
      <c r="I1025" s="1">
        <v>46028</v>
      </c>
      <c r="J1025" s="1">
        <v>46028</v>
      </c>
      <c r="K1025" s="1">
        <v>46028</v>
      </c>
      <c r="L1025">
        <v>36</v>
      </c>
      <c r="M1025">
        <v>0.52</v>
      </c>
      <c r="N1025">
        <v>0.52</v>
      </c>
      <c r="O1025">
        <v>0</v>
      </c>
      <c r="P1025">
        <v>0</v>
      </c>
      <c r="Q1025" t="s">
        <v>108</v>
      </c>
    </row>
    <row r="1026" spans="1:17">
      <c r="A1026" t="s">
        <v>93</v>
      </c>
      <c r="B1026" t="s">
        <v>106</v>
      </c>
      <c r="C1026" t="s">
        <v>56</v>
      </c>
      <c r="D1026" t="s">
        <v>809</v>
      </c>
      <c r="E1026">
        <v>15</v>
      </c>
      <c r="F1026" t="str">
        <f>VLOOKUP(E1026,[1]LOJA!$A:$B,2,0)</f>
        <v>UNAÍ</v>
      </c>
      <c r="G1026" t="s">
        <v>19</v>
      </c>
      <c r="H1026" t="s">
        <v>19</v>
      </c>
      <c r="I1026" s="1">
        <v>46028</v>
      </c>
      <c r="J1026" s="1">
        <v>46028</v>
      </c>
      <c r="K1026" s="1">
        <v>46028</v>
      </c>
      <c r="L1026">
        <v>36</v>
      </c>
      <c r="M1026">
        <v>0.69</v>
      </c>
      <c r="N1026">
        <v>0.69</v>
      </c>
      <c r="O1026">
        <v>0</v>
      </c>
      <c r="P1026">
        <v>0</v>
      </c>
      <c r="Q1026" t="s">
        <v>108</v>
      </c>
    </row>
    <row r="1027" spans="1:17">
      <c r="A1027" t="s">
        <v>93</v>
      </c>
      <c r="B1027" t="s">
        <v>106</v>
      </c>
      <c r="C1027" t="s">
        <v>56</v>
      </c>
      <c r="D1027" t="s">
        <v>810</v>
      </c>
      <c r="E1027">
        <v>15</v>
      </c>
      <c r="F1027" t="str">
        <f>VLOOKUP(E1027,[1]LOJA!$A:$B,2,0)</f>
        <v>UNAÍ</v>
      </c>
      <c r="G1027" t="s">
        <v>19</v>
      </c>
      <c r="H1027" t="s">
        <v>19</v>
      </c>
      <c r="I1027" s="1">
        <v>46028</v>
      </c>
      <c r="J1027" s="1">
        <v>46028</v>
      </c>
      <c r="K1027" s="1">
        <v>46028</v>
      </c>
      <c r="L1027">
        <v>36</v>
      </c>
      <c r="M1027">
        <v>0.02</v>
      </c>
      <c r="N1027">
        <v>0.02</v>
      </c>
      <c r="O1027">
        <v>0</v>
      </c>
      <c r="P1027">
        <v>0</v>
      </c>
      <c r="Q1027" t="s">
        <v>108</v>
      </c>
    </row>
    <row r="1028" spans="1:17">
      <c r="A1028" t="s">
        <v>93</v>
      </c>
      <c r="B1028" t="s">
        <v>106</v>
      </c>
      <c r="C1028" t="s">
        <v>56</v>
      </c>
      <c r="D1028" t="s">
        <v>811</v>
      </c>
      <c r="E1028">
        <v>15</v>
      </c>
      <c r="F1028" t="str">
        <f>VLOOKUP(E1028,[1]LOJA!$A:$B,2,0)</f>
        <v>UNAÍ</v>
      </c>
      <c r="G1028" t="s">
        <v>19</v>
      </c>
      <c r="H1028" t="s">
        <v>19</v>
      </c>
      <c r="I1028" s="1">
        <v>46028</v>
      </c>
      <c r="J1028" s="1">
        <v>46028</v>
      </c>
      <c r="K1028" s="1">
        <v>46028</v>
      </c>
      <c r="L1028">
        <v>36</v>
      </c>
      <c r="M1028">
        <v>0.24</v>
      </c>
      <c r="N1028">
        <v>0.24</v>
      </c>
      <c r="O1028">
        <v>0</v>
      </c>
      <c r="P1028">
        <v>0</v>
      </c>
      <c r="Q1028" t="s">
        <v>108</v>
      </c>
    </row>
    <row r="1029" spans="1:17">
      <c r="A1029" t="s">
        <v>93</v>
      </c>
      <c r="B1029" t="s">
        <v>106</v>
      </c>
      <c r="C1029" t="s">
        <v>56</v>
      </c>
      <c r="D1029" t="s">
        <v>812</v>
      </c>
      <c r="E1029">
        <v>15</v>
      </c>
      <c r="F1029" t="str">
        <f>VLOOKUP(E1029,[1]LOJA!$A:$B,2,0)</f>
        <v>UNAÍ</v>
      </c>
      <c r="G1029" t="s">
        <v>19</v>
      </c>
      <c r="H1029" t="s">
        <v>19</v>
      </c>
      <c r="I1029" s="1">
        <v>46028</v>
      </c>
      <c r="J1029" s="1">
        <v>46028</v>
      </c>
      <c r="K1029" s="1">
        <v>46028</v>
      </c>
      <c r="L1029">
        <v>36</v>
      </c>
      <c r="M1029">
        <v>0.42</v>
      </c>
      <c r="N1029">
        <v>0.42</v>
      </c>
      <c r="O1029">
        <v>0</v>
      </c>
      <c r="P1029">
        <v>0</v>
      </c>
      <c r="Q1029" t="s">
        <v>108</v>
      </c>
    </row>
    <row r="1030" spans="1:17">
      <c r="A1030" t="s">
        <v>93</v>
      </c>
      <c r="B1030" t="s">
        <v>106</v>
      </c>
      <c r="C1030" t="s">
        <v>56</v>
      </c>
      <c r="D1030" t="s">
        <v>813</v>
      </c>
      <c r="E1030">
        <v>15</v>
      </c>
      <c r="F1030" t="str">
        <f>VLOOKUP(E1030,[1]LOJA!$A:$B,2,0)</f>
        <v>UNAÍ</v>
      </c>
      <c r="G1030" t="s">
        <v>19</v>
      </c>
      <c r="H1030" t="s">
        <v>19</v>
      </c>
      <c r="I1030" s="1">
        <v>46028</v>
      </c>
      <c r="J1030" s="1">
        <v>46028</v>
      </c>
      <c r="K1030" s="1">
        <v>46028</v>
      </c>
      <c r="L1030">
        <v>36</v>
      </c>
      <c r="M1030">
        <v>0.08</v>
      </c>
      <c r="N1030">
        <v>0.08</v>
      </c>
      <c r="O1030">
        <v>0</v>
      </c>
      <c r="P1030">
        <v>0</v>
      </c>
      <c r="Q1030" t="s">
        <v>108</v>
      </c>
    </row>
    <row r="1031" spans="1:17">
      <c r="A1031" t="s">
        <v>93</v>
      </c>
      <c r="B1031" t="s">
        <v>106</v>
      </c>
      <c r="C1031" t="s">
        <v>56</v>
      </c>
      <c r="D1031" t="s">
        <v>814</v>
      </c>
      <c r="E1031">
        <v>15</v>
      </c>
      <c r="F1031" t="str">
        <f>VLOOKUP(E1031,[1]LOJA!$A:$B,2,0)</f>
        <v>UNAÍ</v>
      </c>
      <c r="G1031" t="s">
        <v>19</v>
      </c>
      <c r="H1031" t="s">
        <v>19</v>
      </c>
      <c r="I1031" s="1">
        <v>46028</v>
      </c>
      <c r="J1031" s="1">
        <v>46028</v>
      </c>
      <c r="K1031" s="1">
        <v>46028</v>
      </c>
      <c r="L1031">
        <v>36</v>
      </c>
      <c r="M1031">
        <v>0.34</v>
      </c>
      <c r="N1031">
        <v>0.34</v>
      </c>
      <c r="O1031">
        <v>0</v>
      </c>
      <c r="P1031">
        <v>0</v>
      </c>
      <c r="Q1031" t="s">
        <v>108</v>
      </c>
    </row>
    <row r="1032" spans="1:17">
      <c r="A1032" t="s">
        <v>93</v>
      </c>
      <c r="B1032" t="s">
        <v>106</v>
      </c>
      <c r="C1032" t="s">
        <v>56</v>
      </c>
      <c r="D1032" t="s">
        <v>815</v>
      </c>
      <c r="E1032">
        <v>15</v>
      </c>
      <c r="F1032" t="str">
        <f>VLOOKUP(E1032,[1]LOJA!$A:$B,2,0)</f>
        <v>UNAÍ</v>
      </c>
      <c r="G1032" t="s">
        <v>19</v>
      </c>
      <c r="H1032" t="s">
        <v>19</v>
      </c>
      <c r="I1032" s="1">
        <v>46029</v>
      </c>
      <c r="J1032" s="1">
        <v>46029</v>
      </c>
      <c r="K1032" s="1">
        <v>46029</v>
      </c>
      <c r="L1032">
        <v>36</v>
      </c>
      <c r="M1032">
        <v>9.4499999999999993</v>
      </c>
      <c r="N1032">
        <v>9.4499999999999993</v>
      </c>
      <c r="O1032">
        <v>0</v>
      </c>
      <c r="P1032">
        <v>0</v>
      </c>
      <c r="Q1032" t="s">
        <v>108</v>
      </c>
    </row>
    <row r="1033" spans="1:17">
      <c r="A1033" t="s">
        <v>93</v>
      </c>
      <c r="B1033" t="s">
        <v>106</v>
      </c>
      <c r="C1033" t="s">
        <v>56</v>
      </c>
      <c r="D1033" t="s">
        <v>816</v>
      </c>
      <c r="E1033">
        <v>15</v>
      </c>
      <c r="F1033" t="str">
        <f>VLOOKUP(E1033,[1]LOJA!$A:$B,2,0)</f>
        <v>UNAÍ</v>
      </c>
      <c r="G1033" t="s">
        <v>19</v>
      </c>
      <c r="H1033" t="s">
        <v>19</v>
      </c>
      <c r="I1033" s="1">
        <v>46029</v>
      </c>
      <c r="J1033" s="1">
        <v>46029</v>
      </c>
      <c r="K1033" s="1">
        <v>46029</v>
      </c>
      <c r="L1033">
        <v>36</v>
      </c>
      <c r="M1033">
        <v>0.11</v>
      </c>
      <c r="N1033">
        <v>0.11</v>
      </c>
      <c r="O1033">
        <v>0</v>
      </c>
      <c r="P1033">
        <v>0</v>
      </c>
      <c r="Q1033" t="s">
        <v>108</v>
      </c>
    </row>
    <row r="1034" spans="1:17">
      <c r="A1034" t="s">
        <v>93</v>
      </c>
      <c r="B1034" t="s">
        <v>106</v>
      </c>
      <c r="C1034" t="s">
        <v>56</v>
      </c>
      <c r="D1034" t="s">
        <v>817</v>
      </c>
      <c r="E1034">
        <v>15</v>
      </c>
      <c r="F1034" t="str">
        <f>VLOOKUP(E1034,[1]LOJA!$A:$B,2,0)</f>
        <v>UNAÍ</v>
      </c>
      <c r="G1034" t="s">
        <v>19</v>
      </c>
      <c r="H1034" t="s">
        <v>19</v>
      </c>
      <c r="I1034" s="1">
        <v>46029</v>
      </c>
      <c r="J1034" s="1">
        <v>46029</v>
      </c>
      <c r="K1034" s="1">
        <v>46029</v>
      </c>
      <c r="L1034">
        <v>36</v>
      </c>
      <c r="M1034">
        <v>0.6</v>
      </c>
      <c r="N1034">
        <v>0.6</v>
      </c>
      <c r="O1034">
        <v>0</v>
      </c>
      <c r="P1034">
        <v>0</v>
      </c>
      <c r="Q1034" t="s">
        <v>108</v>
      </c>
    </row>
    <row r="1035" spans="1:17">
      <c r="A1035" t="s">
        <v>93</v>
      </c>
      <c r="B1035" t="s">
        <v>106</v>
      </c>
      <c r="C1035" t="s">
        <v>56</v>
      </c>
      <c r="D1035" t="s">
        <v>818</v>
      </c>
      <c r="E1035">
        <v>15</v>
      </c>
      <c r="F1035" t="str">
        <f>VLOOKUP(E1035,[1]LOJA!$A:$B,2,0)</f>
        <v>UNAÍ</v>
      </c>
      <c r="G1035" t="s">
        <v>19</v>
      </c>
      <c r="H1035" t="s">
        <v>19</v>
      </c>
      <c r="I1035" s="1">
        <v>46029</v>
      </c>
      <c r="J1035" s="1">
        <v>46029</v>
      </c>
      <c r="K1035" s="1">
        <v>46029</v>
      </c>
      <c r="L1035">
        <v>36</v>
      </c>
      <c r="M1035">
        <v>0.21</v>
      </c>
      <c r="N1035">
        <v>0.21</v>
      </c>
      <c r="O1035">
        <v>0</v>
      </c>
      <c r="P1035">
        <v>0</v>
      </c>
      <c r="Q1035" t="s">
        <v>108</v>
      </c>
    </row>
    <row r="1036" spans="1:17">
      <c r="A1036" t="s">
        <v>93</v>
      </c>
      <c r="B1036" t="s">
        <v>106</v>
      </c>
      <c r="C1036" t="s">
        <v>56</v>
      </c>
      <c r="D1036" t="s">
        <v>819</v>
      </c>
      <c r="E1036">
        <v>15</v>
      </c>
      <c r="F1036" t="str">
        <f>VLOOKUP(E1036,[1]LOJA!$A:$B,2,0)</f>
        <v>UNAÍ</v>
      </c>
      <c r="G1036" t="s">
        <v>19</v>
      </c>
      <c r="H1036" t="s">
        <v>19</v>
      </c>
      <c r="I1036" s="1">
        <v>46029</v>
      </c>
      <c r="J1036" s="1">
        <v>46029</v>
      </c>
      <c r="K1036" s="1">
        <v>46029</v>
      </c>
      <c r="L1036">
        <v>36</v>
      </c>
      <c r="M1036">
        <v>0.23</v>
      </c>
      <c r="N1036">
        <v>0.23</v>
      </c>
      <c r="O1036">
        <v>0</v>
      </c>
      <c r="P1036">
        <v>0</v>
      </c>
      <c r="Q1036" t="s">
        <v>108</v>
      </c>
    </row>
    <row r="1037" spans="1:17">
      <c r="A1037" t="s">
        <v>93</v>
      </c>
      <c r="B1037" t="s">
        <v>106</v>
      </c>
      <c r="C1037" t="s">
        <v>56</v>
      </c>
      <c r="D1037" t="s">
        <v>820</v>
      </c>
      <c r="E1037">
        <v>15</v>
      </c>
      <c r="F1037" t="str">
        <f>VLOOKUP(E1037,[1]LOJA!$A:$B,2,0)</f>
        <v>UNAÍ</v>
      </c>
      <c r="G1037" t="s">
        <v>19</v>
      </c>
      <c r="H1037" t="s">
        <v>19</v>
      </c>
      <c r="I1037" s="1">
        <v>46029</v>
      </c>
      <c r="J1037" s="1">
        <v>46029</v>
      </c>
      <c r="K1037" s="1">
        <v>46029</v>
      </c>
      <c r="L1037">
        <v>36</v>
      </c>
      <c r="M1037">
        <v>0.36</v>
      </c>
      <c r="N1037">
        <v>0.36</v>
      </c>
      <c r="O1037">
        <v>0</v>
      </c>
      <c r="P1037">
        <v>0</v>
      </c>
      <c r="Q1037" t="s">
        <v>108</v>
      </c>
    </row>
    <row r="1038" spans="1:17">
      <c r="A1038" t="s">
        <v>93</v>
      </c>
      <c r="B1038" t="s">
        <v>106</v>
      </c>
      <c r="C1038" t="s">
        <v>56</v>
      </c>
      <c r="D1038" t="s">
        <v>821</v>
      </c>
      <c r="E1038">
        <v>15</v>
      </c>
      <c r="F1038" t="str">
        <f>VLOOKUP(E1038,[1]LOJA!$A:$B,2,0)</f>
        <v>UNAÍ</v>
      </c>
      <c r="G1038" t="s">
        <v>19</v>
      </c>
      <c r="H1038" t="s">
        <v>19</v>
      </c>
      <c r="I1038" s="1">
        <v>46029</v>
      </c>
      <c r="J1038" s="1">
        <v>46029</v>
      </c>
      <c r="K1038" s="1">
        <v>46029</v>
      </c>
      <c r="L1038">
        <v>36</v>
      </c>
      <c r="M1038">
        <v>0.46</v>
      </c>
      <c r="N1038">
        <v>0.46</v>
      </c>
      <c r="O1038">
        <v>0</v>
      </c>
      <c r="P1038">
        <v>0</v>
      </c>
      <c r="Q1038" t="s">
        <v>108</v>
      </c>
    </row>
    <row r="1039" spans="1:17">
      <c r="A1039" t="s">
        <v>93</v>
      </c>
      <c r="B1039" t="s">
        <v>106</v>
      </c>
      <c r="C1039" t="s">
        <v>56</v>
      </c>
      <c r="D1039" t="s">
        <v>822</v>
      </c>
      <c r="E1039">
        <v>15</v>
      </c>
      <c r="F1039" t="str">
        <f>VLOOKUP(E1039,[1]LOJA!$A:$B,2,0)</f>
        <v>UNAÍ</v>
      </c>
      <c r="G1039" t="s">
        <v>19</v>
      </c>
      <c r="H1039" t="s">
        <v>19</v>
      </c>
      <c r="I1039" s="1">
        <v>46029</v>
      </c>
      <c r="J1039" s="1">
        <v>46029</v>
      </c>
      <c r="K1039" s="1">
        <v>46029</v>
      </c>
      <c r="L1039">
        <v>36</v>
      </c>
      <c r="M1039">
        <v>0.28999999999999998</v>
      </c>
      <c r="N1039">
        <v>0.28999999999999998</v>
      </c>
      <c r="O1039">
        <v>0</v>
      </c>
      <c r="P1039">
        <v>0</v>
      </c>
      <c r="Q1039" t="s">
        <v>108</v>
      </c>
    </row>
    <row r="1040" spans="1:17">
      <c r="A1040" t="s">
        <v>93</v>
      </c>
      <c r="B1040" t="s">
        <v>106</v>
      </c>
      <c r="C1040" t="s">
        <v>56</v>
      </c>
      <c r="D1040" t="s">
        <v>823</v>
      </c>
      <c r="E1040">
        <v>15</v>
      </c>
      <c r="F1040" t="str">
        <f>VLOOKUP(E1040,[1]LOJA!$A:$B,2,0)</f>
        <v>UNAÍ</v>
      </c>
      <c r="G1040" t="s">
        <v>19</v>
      </c>
      <c r="H1040" t="s">
        <v>19</v>
      </c>
      <c r="I1040" s="1">
        <v>46029</v>
      </c>
      <c r="J1040" s="1">
        <v>46029</v>
      </c>
      <c r="K1040" s="1">
        <v>46029</v>
      </c>
      <c r="L1040">
        <v>36</v>
      </c>
      <c r="M1040">
        <v>0.52</v>
      </c>
      <c r="N1040">
        <v>0.52</v>
      </c>
      <c r="O1040">
        <v>0</v>
      </c>
      <c r="P1040">
        <v>0</v>
      </c>
      <c r="Q1040" t="s">
        <v>108</v>
      </c>
    </row>
    <row r="1041" spans="1:17">
      <c r="A1041" t="s">
        <v>93</v>
      </c>
      <c r="B1041" t="s">
        <v>106</v>
      </c>
      <c r="C1041" t="s">
        <v>56</v>
      </c>
      <c r="D1041" t="s">
        <v>824</v>
      </c>
      <c r="E1041">
        <v>15</v>
      </c>
      <c r="F1041" t="str">
        <f>VLOOKUP(E1041,[1]LOJA!$A:$B,2,0)</f>
        <v>UNAÍ</v>
      </c>
      <c r="G1041" t="s">
        <v>19</v>
      </c>
      <c r="H1041" t="s">
        <v>19</v>
      </c>
      <c r="I1041" s="1">
        <v>46029</v>
      </c>
      <c r="J1041" s="1">
        <v>46029</v>
      </c>
      <c r="K1041" s="1">
        <v>46029</v>
      </c>
      <c r="L1041">
        <v>36</v>
      </c>
      <c r="M1041">
        <v>0.28999999999999998</v>
      </c>
      <c r="N1041">
        <v>0.28999999999999998</v>
      </c>
      <c r="O1041">
        <v>0</v>
      </c>
      <c r="P1041">
        <v>0</v>
      </c>
      <c r="Q1041" t="s">
        <v>108</v>
      </c>
    </row>
    <row r="1042" spans="1:17">
      <c r="A1042" t="s">
        <v>93</v>
      </c>
      <c r="B1042" t="s">
        <v>106</v>
      </c>
      <c r="C1042" t="s">
        <v>56</v>
      </c>
      <c r="D1042" t="s">
        <v>825</v>
      </c>
      <c r="E1042">
        <v>15</v>
      </c>
      <c r="F1042" t="str">
        <f>VLOOKUP(E1042,[1]LOJA!$A:$B,2,0)</f>
        <v>UNAÍ</v>
      </c>
      <c r="G1042" t="s">
        <v>19</v>
      </c>
      <c r="H1042" t="s">
        <v>19</v>
      </c>
      <c r="I1042" s="1">
        <v>46029</v>
      </c>
      <c r="J1042" s="1">
        <v>46029</v>
      </c>
      <c r="K1042" s="1">
        <v>46029</v>
      </c>
      <c r="L1042">
        <v>36</v>
      </c>
      <c r="M1042">
        <v>0.11</v>
      </c>
      <c r="N1042">
        <v>0.11</v>
      </c>
      <c r="O1042">
        <v>0</v>
      </c>
      <c r="P1042">
        <v>0</v>
      </c>
      <c r="Q1042" t="s">
        <v>108</v>
      </c>
    </row>
    <row r="1043" spans="1:17">
      <c r="A1043" t="s">
        <v>93</v>
      </c>
      <c r="B1043" t="s">
        <v>106</v>
      </c>
      <c r="C1043" t="s">
        <v>56</v>
      </c>
      <c r="D1043" t="s">
        <v>826</v>
      </c>
      <c r="E1043">
        <v>15</v>
      </c>
      <c r="F1043" t="str">
        <f>VLOOKUP(E1043,[1]LOJA!$A:$B,2,0)</f>
        <v>UNAÍ</v>
      </c>
      <c r="G1043" t="s">
        <v>19</v>
      </c>
      <c r="H1043" t="s">
        <v>19</v>
      </c>
      <c r="I1043" s="1">
        <v>46030</v>
      </c>
      <c r="J1043" s="1">
        <v>46030</v>
      </c>
      <c r="K1043" s="1">
        <v>46030</v>
      </c>
      <c r="L1043">
        <v>36</v>
      </c>
      <c r="M1043">
        <v>3.83</v>
      </c>
      <c r="N1043">
        <v>3.83</v>
      </c>
      <c r="O1043">
        <v>0</v>
      </c>
      <c r="P1043">
        <v>0</v>
      </c>
      <c r="Q1043" t="s">
        <v>108</v>
      </c>
    </row>
    <row r="1044" spans="1:17">
      <c r="A1044" t="s">
        <v>93</v>
      </c>
      <c r="B1044" t="s">
        <v>106</v>
      </c>
      <c r="C1044" t="s">
        <v>56</v>
      </c>
      <c r="D1044" t="s">
        <v>827</v>
      </c>
      <c r="E1044">
        <v>15</v>
      </c>
      <c r="F1044" t="str">
        <f>VLOOKUP(E1044,[1]LOJA!$A:$B,2,0)</f>
        <v>UNAÍ</v>
      </c>
      <c r="G1044" t="s">
        <v>19</v>
      </c>
      <c r="H1044" t="s">
        <v>19</v>
      </c>
      <c r="I1044" s="1">
        <v>46030</v>
      </c>
      <c r="J1044" s="1">
        <v>46030</v>
      </c>
      <c r="K1044" s="1">
        <v>46030</v>
      </c>
      <c r="L1044">
        <v>36</v>
      </c>
      <c r="M1044">
        <v>0.37</v>
      </c>
      <c r="N1044">
        <v>0.37</v>
      </c>
      <c r="O1044">
        <v>0</v>
      </c>
      <c r="P1044">
        <v>0</v>
      </c>
      <c r="Q1044" t="s">
        <v>108</v>
      </c>
    </row>
    <row r="1045" spans="1:17">
      <c r="A1045" t="s">
        <v>93</v>
      </c>
      <c r="B1045" t="s">
        <v>106</v>
      </c>
      <c r="C1045" t="s">
        <v>56</v>
      </c>
      <c r="D1045" t="s">
        <v>828</v>
      </c>
      <c r="E1045">
        <v>15</v>
      </c>
      <c r="F1045" t="str">
        <f>VLOOKUP(E1045,[1]LOJA!$A:$B,2,0)</f>
        <v>UNAÍ</v>
      </c>
      <c r="G1045" t="s">
        <v>19</v>
      </c>
      <c r="H1045" t="s">
        <v>19</v>
      </c>
      <c r="I1045" s="1">
        <v>46030</v>
      </c>
      <c r="J1045" s="1">
        <v>46030</v>
      </c>
      <c r="K1045" s="1">
        <v>46030</v>
      </c>
      <c r="L1045">
        <v>36</v>
      </c>
      <c r="M1045">
        <v>0.32</v>
      </c>
      <c r="N1045">
        <v>0.32</v>
      </c>
      <c r="O1045">
        <v>0</v>
      </c>
      <c r="P1045">
        <v>0</v>
      </c>
      <c r="Q1045" t="s">
        <v>108</v>
      </c>
    </row>
    <row r="1046" spans="1:17">
      <c r="A1046" t="s">
        <v>93</v>
      </c>
      <c r="B1046" t="s">
        <v>106</v>
      </c>
      <c r="C1046" t="s">
        <v>56</v>
      </c>
      <c r="D1046" t="s">
        <v>829</v>
      </c>
      <c r="E1046">
        <v>15</v>
      </c>
      <c r="F1046" t="str">
        <f>VLOOKUP(E1046,[1]LOJA!$A:$B,2,0)</f>
        <v>UNAÍ</v>
      </c>
      <c r="G1046" t="s">
        <v>19</v>
      </c>
      <c r="H1046" t="s">
        <v>19</v>
      </c>
      <c r="I1046" s="1">
        <v>46030</v>
      </c>
      <c r="J1046" s="1">
        <v>46030</v>
      </c>
      <c r="K1046" s="1">
        <v>46030</v>
      </c>
      <c r="L1046">
        <v>36</v>
      </c>
      <c r="M1046">
        <v>7.0000000000000007E-2</v>
      </c>
      <c r="N1046">
        <v>7.0000000000000007E-2</v>
      </c>
      <c r="O1046">
        <v>0</v>
      </c>
      <c r="P1046">
        <v>0</v>
      </c>
      <c r="Q1046" t="s">
        <v>108</v>
      </c>
    </row>
    <row r="1047" spans="1:17">
      <c r="A1047" t="s">
        <v>93</v>
      </c>
      <c r="B1047" t="s">
        <v>106</v>
      </c>
      <c r="C1047" t="s">
        <v>56</v>
      </c>
      <c r="D1047" t="s">
        <v>830</v>
      </c>
      <c r="E1047">
        <v>15</v>
      </c>
      <c r="F1047" t="str">
        <f>VLOOKUP(E1047,[1]LOJA!$A:$B,2,0)</f>
        <v>UNAÍ</v>
      </c>
      <c r="G1047" t="s">
        <v>19</v>
      </c>
      <c r="H1047" t="s">
        <v>19</v>
      </c>
      <c r="I1047" s="1">
        <v>46030</v>
      </c>
      <c r="J1047" s="1">
        <v>46030</v>
      </c>
      <c r="K1047" s="1">
        <v>46030</v>
      </c>
      <c r="L1047">
        <v>36</v>
      </c>
      <c r="M1047">
        <v>0.16</v>
      </c>
      <c r="N1047">
        <v>0.16</v>
      </c>
      <c r="O1047">
        <v>0</v>
      </c>
      <c r="P1047">
        <v>0</v>
      </c>
      <c r="Q1047" t="s">
        <v>108</v>
      </c>
    </row>
    <row r="1048" spans="1:17">
      <c r="A1048" t="s">
        <v>93</v>
      </c>
      <c r="B1048" t="s">
        <v>106</v>
      </c>
      <c r="C1048" t="s">
        <v>56</v>
      </c>
      <c r="D1048" t="s">
        <v>831</v>
      </c>
      <c r="E1048">
        <v>15</v>
      </c>
      <c r="F1048" t="str">
        <f>VLOOKUP(E1048,[1]LOJA!$A:$B,2,0)</f>
        <v>UNAÍ</v>
      </c>
      <c r="G1048" t="s">
        <v>19</v>
      </c>
      <c r="H1048" t="s">
        <v>19</v>
      </c>
      <c r="I1048" s="1">
        <v>46030</v>
      </c>
      <c r="J1048" s="1">
        <v>46030</v>
      </c>
      <c r="K1048" s="1">
        <v>46030</v>
      </c>
      <c r="L1048">
        <v>36</v>
      </c>
      <c r="M1048">
        <v>1.05</v>
      </c>
      <c r="N1048">
        <v>1.05</v>
      </c>
      <c r="O1048">
        <v>0</v>
      </c>
      <c r="P1048">
        <v>0</v>
      </c>
      <c r="Q1048" t="s">
        <v>108</v>
      </c>
    </row>
    <row r="1049" spans="1:17">
      <c r="A1049" t="s">
        <v>93</v>
      </c>
      <c r="B1049" t="s">
        <v>106</v>
      </c>
      <c r="C1049" t="s">
        <v>56</v>
      </c>
      <c r="D1049" t="s">
        <v>832</v>
      </c>
      <c r="E1049">
        <v>15</v>
      </c>
      <c r="F1049" t="str">
        <f>VLOOKUP(E1049,[1]LOJA!$A:$B,2,0)</f>
        <v>UNAÍ</v>
      </c>
      <c r="G1049" t="s">
        <v>19</v>
      </c>
      <c r="H1049" t="s">
        <v>19</v>
      </c>
      <c r="I1049" s="1">
        <v>46030</v>
      </c>
      <c r="J1049" s="1">
        <v>46030</v>
      </c>
      <c r="K1049" s="1">
        <v>46030</v>
      </c>
      <c r="L1049">
        <v>36</v>
      </c>
      <c r="M1049">
        <v>0.35</v>
      </c>
      <c r="N1049">
        <v>0.35</v>
      </c>
      <c r="O1049">
        <v>0</v>
      </c>
      <c r="P1049">
        <v>0</v>
      </c>
      <c r="Q1049" t="s">
        <v>108</v>
      </c>
    </row>
    <row r="1050" spans="1:17">
      <c r="A1050" t="s">
        <v>93</v>
      </c>
      <c r="B1050" t="s">
        <v>106</v>
      </c>
      <c r="C1050" t="s">
        <v>56</v>
      </c>
      <c r="D1050" t="s">
        <v>833</v>
      </c>
      <c r="E1050">
        <v>15</v>
      </c>
      <c r="F1050" t="str">
        <f>VLOOKUP(E1050,[1]LOJA!$A:$B,2,0)</f>
        <v>UNAÍ</v>
      </c>
      <c r="G1050" t="s">
        <v>19</v>
      </c>
      <c r="H1050" t="s">
        <v>19</v>
      </c>
      <c r="I1050" s="1">
        <v>46030</v>
      </c>
      <c r="J1050" s="1">
        <v>46030</v>
      </c>
      <c r="K1050" s="1">
        <v>46030</v>
      </c>
      <c r="L1050">
        <v>36</v>
      </c>
      <c r="M1050">
        <v>0.37</v>
      </c>
      <c r="N1050">
        <v>0.37</v>
      </c>
      <c r="O1050">
        <v>0</v>
      </c>
      <c r="P1050">
        <v>0</v>
      </c>
      <c r="Q1050" t="s">
        <v>108</v>
      </c>
    </row>
    <row r="1051" spans="1:17">
      <c r="A1051" t="s">
        <v>93</v>
      </c>
      <c r="B1051" t="s">
        <v>106</v>
      </c>
      <c r="C1051" t="s">
        <v>56</v>
      </c>
      <c r="D1051" t="s">
        <v>834</v>
      </c>
      <c r="E1051">
        <v>15</v>
      </c>
      <c r="F1051" t="str">
        <f>VLOOKUP(E1051,[1]LOJA!$A:$B,2,0)</f>
        <v>UNAÍ</v>
      </c>
      <c r="G1051" t="s">
        <v>19</v>
      </c>
      <c r="H1051" t="s">
        <v>19</v>
      </c>
      <c r="I1051" s="1">
        <v>46030</v>
      </c>
      <c r="J1051" s="1">
        <v>46030</v>
      </c>
      <c r="K1051" s="1">
        <v>46030</v>
      </c>
      <c r="L1051">
        <v>36</v>
      </c>
      <c r="M1051">
        <v>0.19</v>
      </c>
      <c r="N1051">
        <v>0.19</v>
      </c>
      <c r="O1051">
        <v>0</v>
      </c>
      <c r="P1051">
        <v>0</v>
      </c>
      <c r="Q1051" t="s">
        <v>108</v>
      </c>
    </row>
    <row r="1052" spans="1:17">
      <c r="A1052" t="s">
        <v>93</v>
      </c>
      <c r="B1052" t="s">
        <v>106</v>
      </c>
      <c r="C1052" t="s">
        <v>56</v>
      </c>
      <c r="D1052" t="s">
        <v>835</v>
      </c>
      <c r="E1052">
        <v>15</v>
      </c>
      <c r="F1052" t="str">
        <f>VLOOKUP(E1052,[1]LOJA!$A:$B,2,0)</f>
        <v>UNAÍ</v>
      </c>
      <c r="G1052" t="s">
        <v>19</v>
      </c>
      <c r="H1052" t="s">
        <v>19</v>
      </c>
      <c r="I1052" s="1">
        <v>46030</v>
      </c>
      <c r="J1052" s="1">
        <v>46030</v>
      </c>
      <c r="K1052" s="1">
        <v>46030</v>
      </c>
      <c r="L1052">
        <v>36</v>
      </c>
      <c r="M1052">
        <v>0.34</v>
      </c>
      <c r="N1052">
        <v>0.34</v>
      </c>
      <c r="O1052">
        <v>0</v>
      </c>
      <c r="P1052">
        <v>0</v>
      </c>
      <c r="Q1052" t="s">
        <v>108</v>
      </c>
    </row>
    <row r="1053" spans="1:17">
      <c r="A1053" t="s">
        <v>93</v>
      </c>
      <c r="B1053" t="s">
        <v>106</v>
      </c>
      <c r="C1053" t="s">
        <v>56</v>
      </c>
      <c r="D1053" t="s">
        <v>836</v>
      </c>
      <c r="E1053">
        <v>15</v>
      </c>
      <c r="F1053" t="str">
        <f>VLOOKUP(E1053,[1]LOJA!$A:$B,2,0)</f>
        <v>UNAÍ</v>
      </c>
      <c r="G1053" t="s">
        <v>19</v>
      </c>
      <c r="H1053" t="s">
        <v>19</v>
      </c>
      <c r="I1053" s="1">
        <v>46030</v>
      </c>
      <c r="J1053" s="1">
        <v>46030</v>
      </c>
      <c r="K1053" s="1">
        <v>46030</v>
      </c>
      <c r="L1053">
        <v>36</v>
      </c>
      <c r="M1053">
        <v>0.52</v>
      </c>
      <c r="N1053">
        <v>0.52</v>
      </c>
      <c r="O1053">
        <v>0</v>
      </c>
      <c r="P1053">
        <v>0</v>
      </c>
      <c r="Q1053" t="s">
        <v>108</v>
      </c>
    </row>
    <row r="1054" spans="1:17">
      <c r="A1054" t="s">
        <v>93</v>
      </c>
      <c r="B1054" t="s">
        <v>106</v>
      </c>
      <c r="C1054" t="s">
        <v>56</v>
      </c>
      <c r="D1054" t="s">
        <v>837</v>
      </c>
      <c r="E1054">
        <v>15</v>
      </c>
      <c r="F1054" t="str">
        <f>VLOOKUP(E1054,[1]LOJA!$A:$B,2,0)</f>
        <v>UNAÍ</v>
      </c>
      <c r="G1054" t="s">
        <v>19</v>
      </c>
      <c r="H1054" t="s">
        <v>19</v>
      </c>
      <c r="I1054" s="1">
        <v>46030</v>
      </c>
      <c r="J1054" s="1">
        <v>46030</v>
      </c>
      <c r="K1054" s="1">
        <v>46030</v>
      </c>
      <c r="L1054">
        <v>36</v>
      </c>
      <c r="M1054">
        <v>0.95</v>
      </c>
      <c r="N1054">
        <v>0.95</v>
      </c>
      <c r="O1054">
        <v>0</v>
      </c>
      <c r="P1054">
        <v>0</v>
      </c>
      <c r="Q1054" t="s">
        <v>108</v>
      </c>
    </row>
    <row r="1055" spans="1:17">
      <c r="A1055" t="s">
        <v>93</v>
      </c>
      <c r="B1055" t="s">
        <v>106</v>
      </c>
      <c r="C1055" t="s">
        <v>56</v>
      </c>
      <c r="D1055" t="s">
        <v>838</v>
      </c>
      <c r="E1055">
        <v>15</v>
      </c>
      <c r="F1055" t="str">
        <f>VLOOKUP(E1055,[1]LOJA!$A:$B,2,0)</f>
        <v>UNAÍ</v>
      </c>
      <c r="G1055" t="s">
        <v>19</v>
      </c>
      <c r="H1055" t="s">
        <v>19</v>
      </c>
      <c r="I1055" s="1">
        <v>46030</v>
      </c>
      <c r="J1055" s="1">
        <v>46030</v>
      </c>
      <c r="K1055" s="1">
        <v>46030</v>
      </c>
      <c r="L1055">
        <v>36</v>
      </c>
      <c r="M1055">
        <v>0.02</v>
      </c>
      <c r="N1055">
        <v>0.02</v>
      </c>
      <c r="O1055">
        <v>0</v>
      </c>
      <c r="P1055">
        <v>0</v>
      </c>
      <c r="Q1055" t="s">
        <v>108</v>
      </c>
    </row>
    <row r="1056" spans="1:17">
      <c r="A1056" t="s">
        <v>93</v>
      </c>
      <c r="B1056" t="s">
        <v>106</v>
      </c>
      <c r="C1056" t="s">
        <v>56</v>
      </c>
      <c r="D1056" t="s">
        <v>839</v>
      </c>
      <c r="E1056">
        <v>15</v>
      </c>
      <c r="F1056" t="str">
        <f>VLOOKUP(E1056,[1]LOJA!$A:$B,2,0)</f>
        <v>UNAÍ</v>
      </c>
      <c r="G1056" t="s">
        <v>19</v>
      </c>
      <c r="H1056" t="s">
        <v>19</v>
      </c>
      <c r="I1056" s="1">
        <v>46030</v>
      </c>
      <c r="J1056" s="1">
        <v>46030</v>
      </c>
      <c r="K1056" s="1">
        <v>46030</v>
      </c>
      <c r="L1056">
        <v>36</v>
      </c>
      <c r="M1056">
        <v>0.02</v>
      </c>
      <c r="N1056">
        <v>0.02</v>
      </c>
      <c r="O1056">
        <v>0</v>
      </c>
      <c r="P1056">
        <v>0</v>
      </c>
      <c r="Q1056" t="s">
        <v>108</v>
      </c>
    </row>
    <row r="1057" spans="1:17">
      <c r="A1057" t="s">
        <v>93</v>
      </c>
      <c r="B1057" t="s">
        <v>106</v>
      </c>
      <c r="C1057" t="s">
        <v>56</v>
      </c>
      <c r="D1057" t="s">
        <v>840</v>
      </c>
      <c r="E1057">
        <v>15</v>
      </c>
      <c r="F1057" t="str">
        <f>VLOOKUP(E1057,[1]LOJA!$A:$B,2,0)</f>
        <v>UNAÍ</v>
      </c>
      <c r="G1057" t="s">
        <v>19</v>
      </c>
      <c r="H1057" t="s">
        <v>19</v>
      </c>
      <c r="I1057" s="1">
        <v>46030</v>
      </c>
      <c r="J1057" s="1">
        <v>46030</v>
      </c>
      <c r="K1057" s="1">
        <v>46030</v>
      </c>
      <c r="L1057">
        <v>36</v>
      </c>
      <c r="M1057">
        <v>0.13</v>
      </c>
      <c r="N1057">
        <v>0.13</v>
      </c>
      <c r="O1057">
        <v>0</v>
      </c>
      <c r="P1057">
        <v>0</v>
      </c>
      <c r="Q1057" t="s">
        <v>108</v>
      </c>
    </row>
    <row r="1058" spans="1:17">
      <c r="A1058" t="s">
        <v>93</v>
      </c>
      <c r="B1058" t="s">
        <v>106</v>
      </c>
      <c r="C1058" t="s">
        <v>56</v>
      </c>
      <c r="D1058" t="s">
        <v>841</v>
      </c>
      <c r="E1058">
        <v>15</v>
      </c>
      <c r="F1058" t="str">
        <f>VLOOKUP(E1058,[1]LOJA!$A:$B,2,0)</f>
        <v>UNAÍ</v>
      </c>
      <c r="G1058" t="s">
        <v>19</v>
      </c>
      <c r="H1058" t="s">
        <v>19</v>
      </c>
      <c r="I1058" s="1">
        <v>46031</v>
      </c>
      <c r="J1058" s="1">
        <v>46031</v>
      </c>
      <c r="K1058" s="1">
        <v>46031</v>
      </c>
      <c r="L1058">
        <v>36</v>
      </c>
      <c r="M1058">
        <v>3.09</v>
      </c>
      <c r="N1058">
        <v>3.09</v>
      </c>
      <c r="O1058">
        <v>0</v>
      </c>
      <c r="P1058">
        <v>0</v>
      </c>
      <c r="Q1058" t="s">
        <v>108</v>
      </c>
    </row>
    <row r="1059" spans="1:17">
      <c r="A1059" t="s">
        <v>93</v>
      </c>
      <c r="B1059" t="s">
        <v>106</v>
      </c>
      <c r="C1059" t="s">
        <v>56</v>
      </c>
      <c r="D1059" t="s">
        <v>842</v>
      </c>
      <c r="E1059">
        <v>15</v>
      </c>
      <c r="F1059" t="str">
        <f>VLOOKUP(E1059,[1]LOJA!$A:$B,2,0)</f>
        <v>UNAÍ</v>
      </c>
      <c r="G1059" t="s">
        <v>19</v>
      </c>
      <c r="H1059" t="s">
        <v>19</v>
      </c>
      <c r="I1059" s="1">
        <v>46031</v>
      </c>
      <c r="J1059" s="1">
        <v>46031</v>
      </c>
      <c r="K1059" s="1">
        <v>46031</v>
      </c>
      <c r="L1059">
        <v>36</v>
      </c>
      <c r="M1059">
        <v>2.2200000000000002</v>
      </c>
      <c r="N1059">
        <v>2.2200000000000002</v>
      </c>
      <c r="O1059">
        <v>0</v>
      </c>
      <c r="P1059">
        <v>0</v>
      </c>
      <c r="Q1059" t="s">
        <v>108</v>
      </c>
    </row>
    <row r="1060" spans="1:17">
      <c r="A1060" t="s">
        <v>93</v>
      </c>
      <c r="B1060" t="s">
        <v>106</v>
      </c>
      <c r="C1060" t="s">
        <v>56</v>
      </c>
      <c r="D1060" t="s">
        <v>843</v>
      </c>
      <c r="E1060">
        <v>15</v>
      </c>
      <c r="F1060" t="str">
        <f>VLOOKUP(E1060,[1]LOJA!$A:$B,2,0)</f>
        <v>UNAÍ</v>
      </c>
      <c r="G1060" t="s">
        <v>19</v>
      </c>
      <c r="H1060" t="s">
        <v>19</v>
      </c>
      <c r="I1060" s="1">
        <v>46031</v>
      </c>
      <c r="J1060" s="1">
        <v>46031</v>
      </c>
      <c r="K1060" s="1">
        <v>46031</v>
      </c>
      <c r="L1060">
        <v>36</v>
      </c>
      <c r="M1060">
        <v>0.53</v>
      </c>
      <c r="N1060">
        <v>0.53</v>
      </c>
      <c r="O1060">
        <v>0</v>
      </c>
      <c r="P1060">
        <v>0</v>
      </c>
      <c r="Q1060" t="s">
        <v>108</v>
      </c>
    </row>
    <row r="1061" spans="1:17">
      <c r="A1061" t="s">
        <v>93</v>
      </c>
      <c r="B1061" t="s">
        <v>106</v>
      </c>
      <c r="C1061" t="s">
        <v>56</v>
      </c>
      <c r="D1061" t="s">
        <v>844</v>
      </c>
      <c r="E1061">
        <v>15</v>
      </c>
      <c r="F1061" t="str">
        <f>VLOOKUP(E1061,[1]LOJA!$A:$B,2,0)</f>
        <v>UNAÍ</v>
      </c>
      <c r="G1061" t="s">
        <v>19</v>
      </c>
      <c r="H1061" t="s">
        <v>19</v>
      </c>
      <c r="I1061" s="1">
        <v>46031</v>
      </c>
      <c r="J1061" s="1">
        <v>46031</v>
      </c>
      <c r="K1061" s="1">
        <v>46031</v>
      </c>
      <c r="L1061">
        <v>36</v>
      </c>
      <c r="M1061">
        <v>0.2</v>
      </c>
      <c r="N1061">
        <v>0.2</v>
      </c>
      <c r="O1061">
        <v>0</v>
      </c>
      <c r="P1061">
        <v>0</v>
      </c>
      <c r="Q1061" t="s">
        <v>108</v>
      </c>
    </row>
    <row r="1062" spans="1:17">
      <c r="A1062" t="s">
        <v>93</v>
      </c>
      <c r="B1062" t="s">
        <v>106</v>
      </c>
      <c r="C1062" t="s">
        <v>56</v>
      </c>
      <c r="D1062" t="s">
        <v>845</v>
      </c>
      <c r="E1062">
        <v>15</v>
      </c>
      <c r="F1062" t="str">
        <f>VLOOKUP(E1062,[1]LOJA!$A:$B,2,0)</f>
        <v>UNAÍ</v>
      </c>
      <c r="G1062" t="s">
        <v>19</v>
      </c>
      <c r="H1062" t="s">
        <v>19</v>
      </c>
      <c r="I1062" s="1">
        <v>46031</v>
      </c>
      <c r="J1062" s="1">
        <v>46031</v>
      </c>
      <c r="K1062" s="1">
        <v>46031</v>
      </c>
      <c r="L1062">
        <v>36</v>
      </c>
      <c r="M1062">
        <v>7.0000000000000007E-2</v>
      </c>
      <c r="N1062">
        <v>7.0000000000000007E-2</v>
      </c>
      <c r="O1062">
        <v>0</v>
      </c>
      <c r="P1062">
        <v>0</v>
      </c>
      <c r="Q1062" t="s">
        <v>108</v>
      </c>
    </row>
    <row r="1063" spans="1:17">
      <c r="A1063" t="s">
        <v>93</v>
      </c>
      <c r="B1063" t="s">
        <v>106</v>
      </c>
      <c r="C1063" t="s">
        <v>56</v>
      </c>
      <c r="D1063" t="s">
        <v>846</v>
      </c>
      <c r="E1063">
        <v>15</v>
      </c>
      <c r="F1063" t="str">
        <f>VLOOKUP(E1063,[1]LOJA!$A:$B,2,0)</f>
        <v>UNAÍ</v>
      </c>
      <c r="G1063" t="s">
        <v>19</v>
      </c>
      <c r="H1063" t="s">
        <v>19</v>
      </c>
      <c r="I1063" s="1">
        <v>46031</v>
      </c>
      <c r="J1063" s="1">
        <v>46031</v>
      </c>
      <c r="K1063" s="1">
        <v>46031</v>
      </c>
      <c r="L1063">
        <v>36</v>
      </c>
      <c r="M1063">
        <v>0.05</v>
      </c>
      <c r="N1063">
        <v>0.05</v>
      </c>
      <c r="O1063">
        <v>0</v>
      </c>
      <c r="P1063">
        <v>0</v>
      </c>
      <c r="Q1063" t="s">
        <v>108</v>
      </c>
    </row>
    <row r="1064" spans="1:17">
      <c r="A1064" t="s">
        <v>93</v>
      </c>
      <c r="B1064" t="s">
        <v>106</v>
      </c>
      <c r="C1064" t="s">
        <v>56</v>
      </c>
      <c r="D1064" t="s">
        <v>847</v>
      </c>
      <c r="E1064">
        <v>15</v>
      </c>
      <c r="F1064" t="str">
        <f>VLOOKUP(E1064,[1]LOJA!$A:$B,2,0)</f>
        <v>UNAÍ</v>
      </c>
      <c r="G1064" t="s">
        <v>19</v>
      </c>
      <c r="H1064" t="s">
        <v>19</v>
      </c>
      <c r="I1064" s="1">
        <v>46031</v>
      </c>
      <c r="J1064" s="1">
        <v>46031</v>
      </c>
      <c r="K1064" s="1">
        <v>46031</v>
      </c>
      <c r="L1064">
        <v>36</v>
      </c>
      <c r="M1064">
        <v>0.53</v>
      </c>
      <c r="N1064">
        <v>0.53</v>
      </c>
      <c r="O1064">
        <v>0</v>
      </c>
      <c r="P1064">
        <v>0</v>
      </c>
      <c r="Q1064" t="s">
        <v>108</v>
      </c>
    </row>
    <row r="1065" spans="1:17">
      <c r="A1065" t="s">
        <v>93</v>
      </c>
      <c r="B1065" t="s">
        <v>106</v>
      </c>
      <c r="C1065" t="s">
        <v>56</v>
      </c>
      <c r="D1065" t="s">
        <v>848</v>
      </c>
      <c r="E1065">
        <v>15</v>
      </c>
      <c r="F1065" t="str">
        <f>VLOOKUP(E1065,[1]LOJA!$A:$B,2,0)</f>
        <v>UNAÍ</v>
      </c>
      <c r="G1065" t="s">
        <v>19</v>
      </c>
      <c r="H1065" t="s">
        <v>19</v>
      </c>
      <c r="I1065" s="1">
        <v>46031</v>
      </c>
      <c r="J1065" s="1">
        <v>46031</v>
      </c>
      <c r="K1065" s="1">
        <v>46031</v>
      </c>
      <c r="L1065">
        <v>36</v>
      </c>
      <c r="M1065">
        <v>0.6</v>
      </c>
      <c r="N1065">
        <v>0.6</v>
      </c>
      <c r="O1065">
        <v>0</v>
      </c>
      <c r="P1065">
        <v>0</v>
      </c>
      <c r="Q1065" t="s">
        <v>108</v>
      </c>
    </row>
    <row r="1066" spans="1:17">
      <c r="A1066" t="s">
        <v>93</v>
      </c>
      <c r="B1066" t="s">
        <v>106</v>
      </c>
      <c r="C1066" t="s">
        <v>56</v>
      </c>
      <c r="D1066" t="s">
        <v>849</v>
      </c>
      <c r="E1066">
        <v>15</v>
      </c>
      <c r="F1066" t="str">
        <f>VLOOKUP(E1066,[1]LOJA!$A:$B,2,0)</f>
        <v>UNAÍ</v>
      </c>
      <c r="G1066" t="s">
        <v>19</v>
      </c>
      <c r="H1066" t="s">
        <v>19</v>
      </c>
      <c r="I1066" s="1">
        <v>46031</v>
      </c>
      <c r="J1066" s="1">
        <v>46031</v>
      </c>
      <c r="K1066" s="1">
        <v>46031</v>
      </c>
      <c r="L1066">
        <v>36</v>
      </c>
      <c r="M1066">
        <v>0.34</v>
      </c>
      <c r="N1066">
        <v>0.34</v>
      </c>
      <c r="O1066">
        <v>0</v>
      </c>
      <c r="P1066">
        <v>0</v>
      </c>
      <c r="Q1066" t="s">
        <v>108</v>
      </c>
    </row>
    <row r="1067" spans="1:17">
      <c r="A1067" t="s">
        <v>93</v>
      </c>
      <c r="B1067" t="s">
        <v>106</v>
      </c>
      <c r="C1067" t="s">
        <v>56</v>
      </c>
      <c r="D1067" t="s">
        <v>850</v>
      </c>
      <c r="E1067">
        <v>15</v>
      </c>
      <c r="F1067" t="str">
        <f>VLOOKUP(E1067,[1]LOJA!$A:$B,2,0)</f>
        <v>UNAÍ</v>
      </c>
      <c r="G1067" t="s">
        <v>19</v>
      </c>
      <c r="H1067" t="s">
        <v>19</v>
      </c>
      <c r="I1067" s="1">
        <v>46031</v>
      </c>
      <c r="J1067" s="1">
        <v>46031</v>
      </c>
      <c r="K1067" s="1">
        <v>46031</v>
      </c>
      <c r="L1067">
        <v>36</v>
      </c>
      <c r="M1067">
        <v>0.46</v>
      </c>
      <c r="N1067">
        <v>0.46</v>
      </c>
      <c r="O1067">
        <v>0</v>
      </c>
      <c r="P1067">
        <v>0</v>
      </c>
      <c r="Q1067" t="s">
        <v>108</v>
      </c>
    </row>
    <row r="1068" spans="1:17">
      <c r="A1068" t="s">
        <v>93</v>
      </c>
      <c r="B1068" t="s">
        <v>106</v>
      </c>
      <c r="C1068" t="s">
        <v>56</v>
      </c>
      <c r="D1068" t="s">
        <v>851</v>
      </c>
      <c r="E1068">
        <v>15</v>
      </c>
      <c r="F1068" t="str">
        <f>VLOOKUP(E1068,[1]LOJA!$A:$B,2,0)</f>
        <v>UNAÍ</v>
      </c>
      <c r="G1068" t="s">
        <v>19</v>
      </c>
      <c r="H1068" t="s">
        <v>19</v>
      </c>
      <c r="I1068" s="1">
        <v>46031</v>
      </c>
      <c r="J1068" s="1">
        <v>46031</v>
      </c>
      <c r="K1068" s="1">
        <v>46031</v>
      </c>
      <c r="L1068">
        <v>36</v>
      </c>
      <c r="M1068">
        <v>0.12</v>
      </c>
      <c r="N1068">
        <v>0.12</v>
      </c>
      <c r="O1068">
        <v>0</v>
      </c>
      <c r="P1068">
        <v>0</v>
      </c>
      <c r="Q1068" t="s">
        <v>108</v>
      </c>
    </row>
    <row r="1069" spans="1:17">
      <c r="A1069" t="s">
        <v>93</v>
      </c>
      <c r="B1069" t="s">
        <v>106</v>
      </c>
      <c r="C1069" t="s">
        <v>56</v>
      </c>
      <c r="D1069" t="s">
        <v>852</v>
      </c>
      <c r="E1069">
        <v>15</v>
      </c>
      <c r="F1069" t="str">
        <f>VLOOKUP(E1069,[1]LOJA!$A:$B,2,0)</f>
        <v>UNAÍ</v>
      </c>
      <c r="G1069" t="s">
        <v>19</v>
      </c>
      <c r="H1069" t="s">
        <v>19</v>
      </c>
      <c r="I1069" s="1">
        <v>46031</v>
      </c>
      <c r="J1069" s="1">
        <v>46031</v>
      </c>
      <c r="K1069" s="1">
        <v>46031</v>
      </c>
      <c r="L1069">
        <v>36</v>
      </c>
      <c r="M1069">
        <v>0.24</v>
      </c>
      <c r="N1069">
        <v>0.24</v>
      </c>
      <c r="O1069">
        <v>0</v>
      </c>
      <c r="P1069">
        <v>0</v>
      </c>
      <c r="Q1069" t="s">
        <v>108</v>
      </c>
    </row>
    <row r="1070" spans="1:17">
      <c r="A1070" t="s">
        <v>93</v>
      </c>
      <c r="B1070" t="s">
        <v>106</v>
      </c>
      <c r="C1070" t="s">
        <v>56</v>
      </c>
      <c r="D1070" t="s">
        <v>853</v>
      </c>
      <c r="E1070">
        <v>15</v>
      </c>
      <c r="F1070" t="str">
        <f>VLOOKUP(E1070,[1]LOJA!$A:$B,2,0)</f>
        <v>UNAÍ</v>
      </c>
      <c r="G1070" t="s">
        <v>19</v>
      </c>
      <c r="H1070" t="s">
        <v>19</v>
      </c>
      <c r="I1070" s="1">
        <v>46031</v>
      </c>
      <c r="J1070" s="1">
        <v>46031</v>
      </c>
      <c r="K1070" s="1">
        <v>46031</v>
      </c>
      <c r="L1070">
        <v>36</v>
      </c>
      <c r="M1070">
        <v>1.46</v>
      </c>
      <c r="N1070">
        <v>1.46</v>
      </c>
      <c r="O1070">
        <v>0</v>
      </c>
      <c r="P1070">
        <v>0</v>
      </c>
      <c r="Q1070" t="s">
        <v>108</v>
      </c>
    </row>
    <row r="1071" spans="1:17">
      <c r="A1071" t="s">
        <v>93</v>
      </c>
      <c r="B1071" t="s">
        <v>106</v>
      </c>
      <c r="C1071" t="s">
        <v>56</v>
      </c>
      <c r="D1071" t="s">
        <v>854</v>
      </c>
      <c r="E1071">
        <v>15</v>
      </c>
      <c r="F1071" t="str">
        <f>VLOOKUP(E1071,[1]LOJA!$A:$B,2,0)</f>
        <v>UNAÍ</v>
      </c>
      <c r="G1071" t="s">
        <v>19</v>
      </c>
      <c r="H1071" t="s">
        <v>19</v>
      </c>
      <c r="I1071" s="1">
        <v>46031</v>
      </c>
      <c r="J1071" s="1">
        <v>46031</v>
      </c>
      <c r="K1071" s="1">
        <v>46031</v>
      </c>
      <c r="L1071">
        <v>36</v>
      </c>
      <c r="M1071">
        <v>0.33</v>
      </c>
      <c r="N1071">
        <v>0.33</v>
      </c>
      <c r="O1071">
        <v>0</v>
      </c>
      <c r="P1071">
        <v>0</v>
      </c>
      <c r="Q1071" t="s">
        <v>108</v>
      </c>
    </row>
    <row r="1072" spans="1:17">
      <c r="A1072" t="s">
        <v>93</v>
      </c>
      <c r="B1072" t="s">
        <v>106</v>
      </c>
      <c r="C1072" t="s">
        <v>56</v>
      </c>
      <c r="D1072" t="s">
        <v>855</v>
      </c>
      <c r="E1072">
        <v>15</v>
      </c>
      <c r="F1072" t="str">
        <f>VLOOKUP(E1072,[1]LOJA!$A:$B,2,0)</f>
        <v>UNAÍ</v>
      </c>
      <c r="G1072" t="s">
        <v>19</v>
      </c>
      <c r="H1072" t="s">
        <v>19</v>
      </c>
      <c r="I1072" s="1">
        <v>46031</v>
      </c>
      <c r="J1072" s="1">
        <v>46031</v>
      </c>
      <c r="K1072" s="1">
        <v>46031</v>
      </c>
      <c r="L1072">
        <v>36</v>
      </c>
      <c r="M1072">
        <v>1.37</v>
      </c>
      <c r="N1072">
        <v>1.37</v>
      </c>
      <c r="O1072">
        <v>0</v>
      </c>
      <c r="P1072">
        <v>0</v>
      </c>
      <c r="Q1072" t="s">
        <v>108</v>
      </c>
    </row>
    <row r="1073" spans="1:17">
      <c r="A1073" t="s">
        <v>93</v>
      </c>
      <c r="B1073" t="s">
        <v>106</v>
      </c>
      <c r="C1073" t="s">
        <v>56</v>
      </c>
      <c r="D1073" t="s">
        <v>856</v>
      </c>
      <c r="E1073">
        <v>15</v>
      </c>
      <c r="F1073" t="str">
        <f>VLOOKUP(E1073,[1]LOJA!$A:$B,2,0)</f>
        <v>UNAÍ</v>
      </c>
      <c r="G1073" t="s">
        <v>19</v>
      </c>
      <c r="H1073" t="s">
        <v>19</v>
      </c>
      <c r="I1073" s="1">
        <v>46031</v>
      </c>
      <c r="J1073" s="1">
        <v>46031</v>
      </c>
      <c r="K1073" s="1">
        <v>46031</v>
      </c>
      <c r="L1073">
        <v>36</v>
      </c>
      <c r="M1073">
        <v>0.24</v>
      </c>
      <c r="N1073">
        <v>0.24</v>
      </c>
      <c r="O1073">
        <v>0</v>
      </c>
      <c r="P1073">
        <v>0</v>
      </c>
      <c r="Q1073" t="s">
        <v>108</v>
      </c>
    </row>
    <row r="1074" spans="1:17">
      <c r="A1074" t="s">
        <v>93</v>
      </c>
      <c r="B1074" t="s">
        <v>106</v>
      </c>
      <c r="C1074" t="s">
        <v>56</v>
      </c>
      <c r="D1074" t="s">
        <v>857</v>
      </c>
      <c r="E1074">
        <v>15</v>
      </c>
      <c r="F1074" t="str">
        <f>VLOOKUP(E1074,[1]LOJA!$A:$B,2,0)</f>
        <v>UNAÍ</v>
      </c>
      <c r="G1074" t="s">
        <v>19</v>
      </c>
      <c r="H1074" t="s">
        <v>19</v>
      </c>
      <c r="I1074" s="1">
        <v>46031</v>
      </c>
      <c r="J1074" s="1">
        <v>46031</v>
      </c>
      <c r="K1074" s="1">
        <v>46031</v>
      </c>
      <c r="L1074">
        <v>36</v>
      </c>
      <c r="M1074">
        <v>0.12</v>
      </c>
      <c r="N1074">
        <v>0.12</v>
      </c>
      <c r="O1074">
        <v>0</v>
      </c>
      <c r="P1074">
        <v>0</v>
      </c>
      <c r="Q1074" t="s">
        <v>108</v>
      </c>
    </row>
    <row r="1075" spans="1:17">
      <c r="A1075" t="s">
        <v>93</v>
      </c>
      <c r="B1075" t="s">
        <v>106</v>
      </c>
      <c r="C1075" t="s">
        <v>56</v>
      </c>
      <c r="D1075" t="s">
        <v>858</v>
      </c>
      <c r="E1075">
        <v>15</v>
      </c>
      <c r="F1075" t="str">
        <f>VLOOKUP(E1075,[1]LOJA!$A:$B,2,0)</f>
        <v>UNAÍ</v>
      </c>
      <c r="G1075" t="s">
        <v>19</v>
      </c>
      <c r="H1075" t="s">
        <v>19</v>
      </c>
      <c r="I1075" s="1">
        <v>46031</v>
      </c>
      <c r="J1075" s="1">
        <v>46031</v>
      </c>
      <c r="K1075" s="1">
        <v>46031</v>
      </c>
      <c r="L1075">
        <v>36</v>
      </c>
      <c r="M1075">
        <v>3.14</v>
      </c>
      <c r="N1075">
        <v>3.14</v>
      </c>
      <c r="O1075">
        <v>0</v>
      </c>
      <c r="P1075">
        <v>0</v>
      </c>
      <c r="Q1075" t="s">
        <v>108</v>
      </c>
    </row>
    <row r="1076" spans="1:17">
      <c r="A1076" t="s">
        <v>93</v>
      </c>
      <c r="B1076" t="s">
        <v>106</v>
      </c>
      <c r="C1076" t="s">
        <v>56</v>
      </c>
      <c r="D1076" t="s">
        <v>859</v>
      </c>
      <c r="E1076">
        <v>15</v>
      </c>
      <c r="F1076" t="str">
        <f>VLOOKUP(E1076,[1]LOJA!$A:$B,2,0)</f>
        <v>UNAÍ</v>
      </c>
      <c r="G1076" t="s">
        <v>19</v>
      </c>
      <c r="H1076" t="s">
        <v>19</v>
      </c>
      <c r="I1076" s="1">
        <v>46031</v>
      </c>
      <c r="J1076" s="1">
        <v>46031</v>
      </c>
      <c r="K1076" s="1">
        <v>46031</v>
      </c>
      <c r="L1076">
        <v>36</v>
      </c>
      <c r="M1076">
        <v>0.72</v>
      </c>
      <c r="N1076">
        <v>0.72</v>
      </c>
      <c r="O1076">
        <v>0</v>
      </c>
      <c r="P1076">
        <v>0</v>
      </c>
      <c r="Q1076" t="s">
        <v>108</v>
      </c>
    </row>
    <row r="1077" spans="1:17">
      <c r="A1077" t="s">
        <v>93</v>
      </c>
      <c r="B1077" t="s">
        <v>106</v>
      </c>
      <c r="C1077" t="s">
        <v>56</v>
      </c>
      <c r="D1077" t="s">
        <v>860</v>
      </c>
      <c r="E1077">
        <v>15</v>
      </c>
      <c r="F1077" t="str">
        <f>VLOOKUP(E1077,[1]LOJA!$A:$B,2,0)</f>
        <v>UNAÍ</v>
      </c>
      <c r="G1077" t="s">
        <v>19</v>
      </c>
      <c r="H1077" t="s">
        <v>19</v>
      </c>
      <c r="I1077" s="1">
        <v>46031</v>
      </c>
      <c r="J1077" s="1">
        <v>46031</v>
      </c>
      <c r="K1077" s="1">
        <v>46031</v>
      </c>
      <c r="L1077">
        <v>36</v>
      </c>
      <c r="M1077">
        <v>0.43</v>
      </c>
      <c r="N1077">
        <v>0.43</v>
      </c>
      <c r="O1077">
        <v>0</v>
      </c>
      <c r="P1077">
        <v>0</v>
      </c>
      <c r="Q1077" t="s">
        <v>108</v>
      </c>
    </row>
    <row r="1078" spans="1:17">
      <c r="A1078" t="s">
        <v>93</v>
      </c>
      <c r="B1078" t="s">
        <v>106</v>
      </c>
      <c r="C1078" t="s">
        <v>56</v>
      </c>
      <c r="D1078" t="s">
        <v>861</v>
      </c>
      <c r="E1078">
        <v>15</v>
      </c>
      <c r="F1078" t="str">
        <f>VLOOKUP(E1078,[1]LOJA!$A:$B,2,0)</f>
        <v>UNAÍ</v>
      </c>
      <c r="G1078" t="s">
        <v>19</v>
      </c>
      <c r="H1078" t="s">
        <v>19</v>
      </c>
      <c r="I1078" s="1">
        <v>46031</v>
      </c>
      <c r="J1078" s="1">
        <v>46031</v>
      </c>
      <c r="K1078" s="1">
        <v>46031</v>
      </c>
      <c r="L1078">
        <v>36</v>
      </c>
      <c r="M1078">
        <v>0.05</v>
      </c>
      <c r="N1078">
        <v>0.05</v>
      </c>
      <c r="O1078">
        <v>0</v>
      </c>
      <c r="P1078">
        <v>0</v>
      </c>
      <c r="Q1078" t="s">
        <v>108</v>
      </c>
    </row>
    <row r="1079" spans="1:17">
      <c r="A1079" t="s">
        <v>93</v>
      </c>
      <c r="B1079" t="s">
        <v>106</v>
      </c>
      <c r="C1079" t="s">
        <v>56</v>
      </c>
      <c r="D1079" t="s">
        <v>862</v>
      </c>
      <c r="E1079">
        <v>15</v>
      </c>
      <c r="F1079" t="str">
        <f>VLOOKUP(E1079,[1]LOJA!$A:$B,2,0)</f>
        <v>UNAÍ</v>
      </c>
      <c r="G1079" t="s">
        <v>19</v>
      </c>
      <c r="H1079" t="s">
        <v>19</v>
      </c>
      <c r="I1079" s="1">
        <v>46031</v>
      </c>
      <c r="J1079" s="1">
        <v>46031</v>
      </c>
      <c r="K1079" s="1">
        <v>46031</v>
      </c>
      <c r="L1079">
        <v>36</v>
      </c>
      <c r="M1079">
        <v>0.66</v>
      </c>
      <c r="N1079">
        <v>0.66</v>
      </c>
      <c r="O1079">
        <v>0</v>
      </c>
      <c r="P1079">
        <v>0</v>
      </c>
      <c r="Q1079" t="s">
        <v>108</v>
      </c>
    </row>
    <row r="1080" spans="1:17">
      <c r="A1080" t="s">
        <v>93</v>
      </c>
      <c r="B1080" t="s">
        <v>106</v>
      </c>
      <c r="C1080" t="s">
        <v>56</v>
      </c>
      <c r="D1080" t="s">
        <v>863</v>
      </c>
      <c r="E1080">
        <v>15</v>
      </c>
      <c r="F1080" t="str">
        <f>VLOOKUP(E1080,[1]LOJA!$A:$B,2,0)</f>
        <v>UNAÍ</v>
      </c>
      <c r="G1080" t="s">
        <v>19</v>
      </c>
      <c r="H1080" t="s">
        <v>19</v>
      </c>
      <c r="I1080" s="1">
        <v>46031</v>
      </c>
      <c r="J1080" s="1">
        <v>46031</v>
      </c>
      <c r="K1080" s="1">
        <v>46031</v>
      </c>
      <c r="L1080">
        <v>36</v>
      </c>
      <c r="M1080">
        <v>0.14000000000000001</v>
      </c>
      <c r="N1080">
        <v>0.14000000000000001</v>
      </c>
      <c r="O1080">
        <v>0</v>
      </c>
      <c r="P1080">
        <v>0</v>
      </c>
      <c r="Q1080" t="s">
        <v>108</v>
      </c>
    </row>
    <row r="1081" spans="1:17">
      <c r="A1081" t="s">
        <v>93</v>
      </c>
      <c r="B1081" t="s">
        <v>106</v>
      </c>
      <c r="C1081" t="s">
        <v>56</v>
      </c>
      <c r="D1081" t="s">
        <v>864</v>
      </c>
      <c r="E1081">
        <v>15</v>
      </c>
      <c r="F1081" t="str">
        <f>VLOOKUP(E1081,[1]LOJA!$A:$B,2,0)</f>
        <v>UNAÍ</v>
      </c>
      <c r="G1081" t="s">
        <v>19</v>
      </c>
      <c r="H1081" t="s">
        <v>19</v>
      </c>
      <c r="I1081" s="1">
        <v>46031</v>
      </c>
      <c r="J1081" s="1">
        <v>46031</v>
      </c>
      <c r="K1081" s="1">
        <v>46031</v>
      </c>
      <c r="L1081">
        <v>36</v>
      </c>
      <c r="M1081">
        <v>0.36</v>
      </c>
      <c r="N1081">
        <v>0.36</v>
      </c>
      <c r="O1081">
        <v>0</v>
      </c>
      <c r="P1081">
        <v>0</v>
      </c>
      <c r="Q1081" t="s">
        <v>108</v>
      </c>
    </row>
    <row r="1082" spans="1:17">
      <c r="A1082" t="s">
        <v>93</v>
      </c>
      <c r="B1082" t="s">
        <v>106</v>
      </c>
      <c r="C1082" t="s">
        <v>56</v>
      </c>
      <c r="D1082" t="s">
        <v>865</v>
      </c>
      <c r="E1082">
        <v>15</v>
      </c>
      <c r="F1082" t="str">
        <f>VLOOKUP(E1082,[1]LOJA!$A:$B,2,0)</f>
        <v>UNAÍ</v>
      </c>
      <c r="G1082" t="s">
        <v>19</v>
      </c>
      <c r="H1082" t="s">
        <v>19</v>
      </c>
      <c r="I1082" s="1">
        <v>46034</v>
      </c>
      <c r="J1082" s="1">
        <v>46033</v>
      </c>
      <c r="K1082" s="1">
        <v>46034</v>
      </c>
      <c r="L1082">
        <v>36</v>
      </c>
      <c r="M1082">
        <v>2.5</v>
      </c>
      <c r="N1082">
        <v>2.5</v>
      </c>
      <c r="O1082">
        <v>0</v>
      </c>
      <c r="P1082">
        <v>0</v>
      </c>
      <c r="Q1082" t="s">
        <v>108</v>
      </c>
    </row>
    <row r="1083" spans="1:17">
      <c r="A1083" t="s">
        <v>93</v>
      </c>
      <c r="B1083" t="s">
        <v>106</v>
      </c>
      <c r="C1083" t="s">
        <v>56</v>
      </c>
      <c r="D1083" t="s">
        <v>866</v>
      </c>
      <c r="E1083">
        <v>15</v>
      </c>
      <c r="F1083" t="str">
        <f>VLOOKUP(E1083,[1]LOJA!$A:$B,2,0)</f>
        <v>UNAÍ</v>
      </c>
      <c r="G1083" t="s">
        <v>19</v>
      </c>
      <c r="H1083" t="s">
        <v>19</v>
      </c>
      <c r="I1083" s="1">
        <v>46034</v>
      </c>
      <c r="J1083" s="1">
        <v>46034</v>
      </c>
      <c r="K1083" s="1">
        <v>46034</v>
      </c>
      <c r="L1083">
        <v>36</v>
      </c>
      <c r="M1083">
        <v>6</v>
      </c>
      <c r="N1083">
        <v>6</v>
      </c>
      <c r="O1083">
        <v>0</v>
      </c>
      <c r="P1083">
        <v>0</v>
      </c>
      <c r="Q1083" t="s">
        <v>108</v>
      </c>
    </row>
    <row r="1084" spans="1:17">
      <c r="A1084" t="s">
        <v>93</v>
      </c>
      <c r="B1084" t="s">
        <v>106</v>
      </c>
      <c r="C1084" t="s">
        <v>56</v>
      </c>
      <c r="D1084" t="s">
        <v>867</v>
      </c>
      <c r="E1084">
        <v>15</v>
      </c>
      <c r="F1084" t="str">
        <f>VLOOKUP(E1084,[1]LOJA!$A:$B,2,0)</f>
        <v>UNAÍ</v>
      </c>
      <c r="G1084" t="s">
        <v>19</v>
      </c>
      <c r="H1084" t="s">
        <v>19</v>
      </c>
      <c r="I1084" s="1">
        <v>46034</v>
      </c>
      <c r="J1084" s="1">
        <v>46032</v>
      </c>
      <c r="K1084" s="1">
        <v>46034</v>
      </c>
      <c r="L1084">
        <v>36</v>
      </c>
      <c r="M1084">
        <v>3.63</v>
      </c>
      <c r="N1084">
        <v>3.63</v>
      </c>
      <c r="O1084">
        <v>0</v>
      </c>
      <c r="P1084">
        <v>0</v>
      </c>
      <c r="Q1084" t="s">
        <v>108</v>
      </c>
    </row>
    <row r="1085" spans="1:17">
      <c r="A1085" t="s">
        <v>93</v>
      </c>
      <c r="B1085" t="s">
        <v>106</v>
      </c>
      <c r="C1085" t="s">
        <v>56</v>
      </c>
      <c r="D1085" t="s">
        <v>868</v>
      </c>
      <c r="E1085">
        <v>15</v>
      </c>
      <c r="F1085" t="str">
        <f>VLOOKUP(E1085,[1]LOJA!$A:$B,2,0)</f>
        <v>UNAÍ</v>
      </c>
      <c r="G1085" t="s">
        <v>19</v>
      </c>
      <c r="H1085" t="s">
        <v>19</v>
      </c>
      <c r="I1085" s="1">
        <v>46034</v>
      </c>
      <c r="J1085" s="1">
        <v>46032</v>
      </c>
      <c r="K1085" s="1">
        <v>46034</v>
      </c>
      <c r="L1085">
        <v>36</v>
      </c>
      <c r="M1085">
        <v>0.88</v>
      </c>
      <c r="N1085">
        <v>0.88</v>
      </c>
      <c r="O1085">
        <v>0</v>
      </c>
      <c r="P1085">
        <v>0</v>
      </c>
      <c r="Q1085" t="s">
        <v>108</v>
      </c>
    </row>
    <row r="1086" spans="1:17">
      <c r="A1086" t="s">
        <v>93</v>
      </c>
      <c r="B1086" t="s">
        <v>106</v>
      </c>
      <c r="C1086" t="s">
        <v>56</v>
      </c>
      <c r="D1086" t="s">
        <v>869</v>
      </c>
      <c r="E1086">
        <v>15</v>
      </c>
      <c r="F1086" t="str">
        <f>VLOOKUP(E1086,[1]LOJA!$A:$B,2,0)</f>
        <v>UNAÍ</v>
      </c>
      <c r="G1086" t="s">
        <v>19</v>
      </c>
      <c r="H1086" t="s">
        <v>19</v>
      </c>
      <c r="I1086" s="1">
        <v>46034</v>
      </c>
      <c r="J1086" s="1">
        <v>46032</v>
      </c>
      <c r="K1086" s="1">
        <v>46034</v>
      </c>
      <c r="L1086">
        <v>36</v>
      </c>
      <c r="M1086">
        <v>2.8</v>
      </c>
      <c r="N1086">
        <v>2.8</v>
      </c>
      <c r="O1086">
        <v>0</v>
      </c>
      <c r="P1086">
        <v>0</v>
      </c>
      <c r="Q1086" t="s">
        <v>108</v>
      </c>
    </row>
    <row r="1087" spans="1:17">
      <c r="A1087" t="s">
        <v>93</v>
      </c>
      <c r="B1087" t="s">
        <v>106</v>
      </c>
      <c r="C1087" t="s">
        <v>56</v>
      </c>
      <c r="D1087" t="s">
        <v>870</v>
      </c>
      <c r="E1087">
        <v>15</v>
      </c>
      <c r="F1087" t="str">
        <f>VLOOKUP(E1087,[1]LOJA!$A:$B,2,0)</f>
        <v>UNAÍ</v>
      </c>
      <c r="G1087" t="s">
        <v>19</v>
      </c>
      <c r="H1087" t="s">
        <v>19</v>
      </c>
      <c r="I1087" s="1">
        <v>46034</v>
      </c>
      <c r="J1087" s="1">
        <v>46032</v>
      </c>
      <c r="K1087" s="1">
        <v>46034</v>
      </c>
      <c r="L1087">
        <v>36</v>
      </c>
      <c r="M1087">
        <v>9.48</v>
      </c>
      <c r="N1087">
        <v>9.48</v>
      </c>
      <c r="O1087">
        <v>0</v>
      </c>
      <c r="P1087">
        <v>0</v>
      </c>
      <c r="Q1087" t="s">
        <v>108</v>
      </c>
    </row>
    <row r="1088" spans="1:17">
      <c r="A1088" t="s">
        <v>93</v>
      </c>
      <c r="B1088" t="s">
        <v>106</v>
      </c>
      <c r="C1088" t="s">
        <v>56</v>
      </c>
      <c r="D1088" t="s">
        <v>871</v>
      </c>
      <c r="E1088">
        <v>15</v>
      </c>
      <c r="F1088" t="str">
        <f>VLOOKUP(E1088,[1]LOJA!$A:$B,2,0)</f>
        <v>UNAÍ</v>
      </c>
      <c r="G1088" t="s">
        <v>19</v>
      </c>
      <c r="H1088" t="s">
        <v>19</v>
      </c>
      <c r="I1088" s="1">
        <v>46034</v>
      </c>
      <c r="J1088" s="1">
        <v>46033</v>
      </c>
      <c r="K1088" s="1">
        <v>46034</v>
      </c>
      <c r="L1088">
        <v>36</v>
      </c>
      <c r="M1088">
        <v>1.3</v>
      </c>
      <c r="N1088">
        <v>1.3</v>
      </c>
      <c r="O1088">
        <v>0</v>
      </c>
      <c r="P1088">
        <v>0</v>
      </c>
      <c r="Q1088" t="s">
        <v>108</v>
      </c>
    </row>
    <row r="1089" spans="1:17">
      <c r="A1089" t="s">
        <v>93</v>
      </c>
      <c r="B1089" t="s">
        <v>106</v>
      </c>
      <c r="C1089" t="s">
        <v>56</v>
      </c>
      <c r="D1089" t="s">
        <v>872</v>
      </c>
      <c r="E1089">
        <v>15</v>
      </c>
      <c r="F1089" t="str">
        <f>VLOOKUP(E1089,[1]LOJA!$A:$B,2,0)</f>
        <v>UNAÍ</v>
      </c>
      <c r="G1089" t="s">
        <v>19</v>
      </c>
      <c r="H1089" t="s">
        <v>19</v>
      </c>
      <c r="I1089" s="1">
        <v>46034</v>
      </c>
      <c r="J1089" s="1">
        <v>46033</v>
      </c>
      <c r="K1089" s="1">
        <v>46034</v>
      </c>
      <c r="L1089">
        <v>36</v>
      </c>
      <c r="M1089">
        <v>11.64</v>
      </c>
      <c r="N1089">
        <v>11.64</v>
      </c>
      <c r="O1089">
        <v>0</v>
      </c>
      <c r="P1089">
        <v>0</v>
      </c>
      <c r="Q1089" t="s">
        <v>108</v>
      </c>
    </row>
    <row r="1090" spans="1:17">
      <c r="A1090" t="s">
        <v>93</v>
      </c>
      <c r="B1090" t="s">
        <v>106</v>
      </c>
      <c r="C1090" t="s">
        <v>56</v>
      </c>
      <c r="D1090" t="s">
        <v>873</v>
      </c>
      <c r="E1090">
        <v>15</v>
      </c>
      <c r="F1090" t="str">
        <f>VLOOKUP(E1090,[1]LOJA!$A:$B,2,0)</f>
        <v>UNAÍ</v>
      </c>
      <c r="G1090" t="s">
        <v>19</v>
      </c>
      <c r="H1090" t="s">
        <v>19</v>
      </c>
      <c r="I1090" s="1">
        <v>46034</v>
      </c>
      <c r="J1090" s="1">
        <v>46033</v>
      </c>
      <c r="K1090" s="1">
        <v>46034</v>
      </c>
      <c r="L1090">
        <v>36</v>
      </c>
      <c r="M1090">
        <v>3.08</v>
      </c>
      <c r="N1090">
        <v>3.08</v>
      </c>
      <c r="O1090">
        <v>0</v>
      </c>
      <c r="P1090">
        <v>0</v>
      </c>
      <c r="Q1090" t="s">
        <v>108</v>
      </c>
    </row>
    <row r="1091" spans="1:17">
      <c r="A1091" t="s">
        <v>93</v>
      </c>
      <c r="B1091" t="s">
        <v>106</v>
      </c>
      <c r="C1091" t="s">
        <v>56</v>
      </c>
      <c r="D1091" t="s">
        <v>874</v>
      </c>
      <c r="E1091">
        <v>15</v>
      </c>
      <c r="F1091" t="str">
        <f>VLOOKUP(E1091,[1]LOJA!$A:$B,2,0)</f>
        <v>UNAÍ</v>
      </c>
      <c r="G1091" t="s">
        <v>19</v>
      </c>
      <c r="H1091" t="s">
        <v>19</v>
      </c>
      <c r="I1091" s="1">
        <v>46034</v>
      </c>
      <c r="J1091" s="1">
        <v>46034</v>
      </c>
      <c r="K1091" s="1">
        <v>46034</v>
      </c>
      <c r="L1091">
        <v>36</v>
      </c>
      <c r="M1091">
        <v>1.05</v>
      </c>
      <c r="N1091">
        <v>1.05</v>
      </c>
      <c r="O1091">
        <v>0</v>
      </c>
      <c r="P1091">
        <v>0</v>
      </c>
      <c r="Q1091" t="s">
        <v>108</v>
      </c>
    </row>
    <row r="1092" spans="1:17">
      <c r="A1092" t="s">
        <v>93</v>
      </c>
      <c r="B1092" t="s">
        <v>106</v>
      </c>
      <c r="C1092" t="s">
        <v>56</v>
      </c>
      <c r="D1092" t="s">
        <v>875</v>
      </c>
      <c r="E1092">
        <v>15</v>
      </c>
      <c r="F1092" t="str">
        <f>VLOOKUP(E1092,[1]LOJA!$A:$B,2,0)</f>
        <v>UNAÍ</v>
      </c>
      <c r="G1092" t="s">
        <v>19</v>
      </c>
      <c r="H1092" t="s">
        <v>19</v>
      </c>
      <c r="I1092" s="1">
        <v>46034</v>
      </c>
      <c r="J1092" s="1">
        <v>46034</v>
      </c>
      <c r="K1092" s="1">
        <v>46034</v>
      </c>
      <c r="L1092">
        <v>36</v>
      </c>
      <c r="M1092">
        <v>4.5199999999999996</v>
      </c>
      <c r="N1092">
        <v>4.5199999999999996</v>
      </c>
      <c r="O1092">
        <v>0</v>
      </c>
      <c r="P1092">
        <v>0</v>
      </c>
      <c r="Q1092" t="s">
        <v>108</v>
      </c>
    </row>
    <row r="1093" spans="1:17">
      <c r="A1093" t="s">
        <v>93</v>
      </c>
      <c r="B1093" t="s">
        <v>106</v>
      </c>
      <c r="C1093" t="s">
        <v>56</v>
      </c>
      <c r="D1093" t="s">
        <v>876</v>
      </c>
      <c r="E1093">
        <v>15</v>
      </c>
      <c r="F1093" t="str">
        <f>VLOOKUP(E1093,[1]LOJA!$A:$B,2,0)</f>
        <v>UNAÍ</v>
      </c>
      <c r="G1093" t="s">
        <v>19</v>
      </c>
      <c r="H1093" t="s">
        <v>19</v>
      </c>
      <c r="I1093" s="1">
        <v>46034</v>
      </c>
      <c r="J1093" s="1">
        <v>46034</v>
      </c>
      <c r="K1093" s="1">
        <v>46034</v>
      </c>
      <c r="L1093">
        <v>36</v>
      </c>
      <c r="M1093">
        <v>1.5</v>
      </c>
      <c r="N1093">
        <v>1.5</v>
      </c>
      <c r="O1093">
        <v>0</v>
      </c>
      <c r="P1093">
        <v>0</v>
      </c>
      <c r="Q1093" t="s">
        <v>108</v>
      </c>
    </row>
    <row r="1094" spans="1:17">
      <c r="A1094" t="s">
        <v>93</v>
      </c>
      <c r="B1094" t="s">
        <v>106</v>
      </c>
      <c r="C1094" t="s">
        <v>56</v>
      </c>
      <c r="D1094" t="s">
        <v>877</v>
      </c>
      <c r="E1094">
        <v>15</v>
      </c>
      <c r="F1094" t="str">
        <f>VLOOKUP(E1094,[1]LOJA!$A:$B,2,0)</f>
        <v>UNAÍ</v>
      </c>
      <c r="G1094" t="s">
        <v>19</v>
      </c>
      <c r="H1094" t="s">
        <v>19</v>
      </c>
      <c r="I1094" s="1">
        <v>46034</v>
      </c>
      <c r="J1094" s="1">
        <v>46034</v>
      </c>
      <c r="K1094" s="1">
        <v>46034</v>
      </c>
      <c r="L1094">
        <v>36</v>
      </c>
      <c r="M1094">
        <v>0.13</v>
      </c>
      <c r="N1094">
        <v>0.13</v>
      </c>
      <c r="O1094">
        <v>0</v>
      </c>
      <c r="P1094">
        <v>0</v>
      </c>
      <c r="Q1094" t="s">
        <v>108</v>
      </c>
    </row>
    <row r="1095" spans="1:17">
      <c r="A1095" t="s">
        <v>93</v>
      </c>
      <c r="B1095" t="s">
        <v>106</v>
      </c>
      <c r="C1095" t="s">
        <v>56</v>
      </c>
      <c r="D1095" t="s">
        <v>878</v>
      </c>
      <c r="E1095">
        <v>15</v>
      </c>
      <c r="F1095" t="str">
        <f>VLOOKUP(E1095,[1]LOJA!$A:$B,2,0)</f>
        <v>UNAÍ</v>
      </c>
      <c r="G1095" t="s">
        <v>19</v>
      </c>
      <c r="H1095" t="s">
        <v>19</v>
      </c>
      <c r="I1095" s="1">
        <v>46034</v>
      </c>
      <c r="J1095" s="1">
        <v>46032</v>
      </c>
      <c r="K1095" s="1">
        <v>46034</v>
      </c>
      <c r="L1095">
        <v>36</v>
      </c>
      <c r="M1095">
        <v>0.69</v>
      </c>
      <c r="N1095">
        <v>0.69</v>
      </c>
      <c r="O1095">
        <v>0</v>
      </c>
      <c r="P1095">
        <v>0</v>
      </c>
      <c r="Q1095" t="s">
        <v>108</v>
      </c>
    </row>
    <row r="1096" spans="1:17">
      <c r="A1096" t="s">
        <v>93</v>
      </c>
      <c r="B1096" t="s">
        <v>106</v>
      </c>
      <c r="C1096" t="s">
        <v>56</v>
      </c>
      <c r="D1096" t="s">
        <v>879</v>
      </c>
      <c r="E1096">
        <v>15</v>
      </c>
      <c r="F1096" t="str">
        <f>VLOOKUP(E1096,[1]LOJA!$A:$B,2,0)</f>
        <v>UNAÍ</v>
      </c>
      <c r="G1096" t="s">
        <v>19</v>
      </c>
      <c r="H1096" t="s">
        <v>19</v>
      </c>
      <c r="I1096" s="1">
        <v>46034</v>
      </c>
      <c r="J1096" s="1">
        <v>46032</v>
      </c>
      <c r="K1096" s="1">
        <v>46034</v>
      </c>
      <c r="L1096">
        <v>36</v>
      </c>
      <c r="M1096">
        <v>1.63</v>
      </c>
      <c r="N1096">
        <v>1.63</v>
      </c>
      <c r="O1096">
        <v>0</v>
      </c>
      <c r="P1096">
        <v>0</v>
      </c>
      <c r="Q1096" t="s">
        <v>108</v>
      </c>
    </row>
    <row r="1097" spans="1:17">
      <c r="A1097" t="s">
        <v>93</v>
      </c>
      <c r="B1097" t="s">
        <v>106</v>
      </c>
      <c r="C1097" t="s">
        <v>56</v>
      </c>
      <c r="D1097" t="s">
        <v>880</v>
      </c>
      <c r="E1097">
        <v>15</v>
      </c>
      <c r="F1097" t="str">
        <f>VLOOKUP(E1097,[1]LOJA!$A:$B,2,0)</f>
        <v>UNAÍ</v>
      </c>
      <c r="G1097" t="s">
        <v>19</v>
      </c>
      <c r="H1097" t="s">
        <v>19</v>
      </c>
      <c r="I1097" s="1">
        <v>46034</v>
      </c>
      <c r="J1097" s="1">
        <v>46032</v>
      </c>
      <c r="K1097" s="1">
        <v>46034</v>
      </c>
      <c r="L1097">
        <v>36</v>
      </c>
      <c r="M1097">
        <v>0.25</v>
      </c>
      <c r="N1097">
        <v>0.25</v>
      </c>
      <c r="O1097">
        <v>0</v>
      </c>
      <c r="P1097">
        <v>0</v>
      </c>
      <c r="Q1097" t="s">
        <v>108</v>
      </c>
    </row>
    <row r="1098" spans="1:17">
      <c r="A1098" t="s">
        <v>93</v>
      </c>
      <c r="B1098" t="s">
        <v>106</v>
      </c>
      <c r="C1098" t="s">
        <v>56</v>
      </c>
      <c r="D1098" t="s">
        <v>881</v>
      </c>
      <c r="E1098">
        <v>15</v>
      </c>
      <c r="F1098" t="str">
        <f>VLOOKUP(E1098,[1]LOJA!$A:$B,2,0)</f>
        <v>UNAÍ</v>
      </c>
      <c r="G1098" t="s">
        <v>19</v>
      </c>
      <c r="H1098" t="s">
        <v>19</v>
      </c>
      <c r="I1098" s="1">
        <v>46034</v>
      </c>
      <c r="J1098" s="1">
        <v>46032</v>
      </c>
      <c r="K1098" s="1">
        <v>46034</v>
      </c>
      <c r="L1098">
        <v>36</v>
      </c>
      <c r="M1098">
        <v>0.46</v>
      </c>
      <c r="N1098">
        <v>0.46</v>
      </c>
      <c r="O1098">
        <v>0</v>
      </c>
      <c r="P1098">
        <v>0</v>
      </c>
      <c r="Q1098" t="s">
        <v>108</v>
      </c>
    </row>
    <row r="1099" spans="1:17">
      <c r="A1099" t="s">
        <v>93</v>
      </c>
      <c r="B1099" t="s">
        <v>106</v>
      </c>
      <c r="C1099" t="s">
        <v>56</v>
      </c>
      <c r="D1099" t="s">
        <v>882</v>
      </c>
      <c r="E1099">
        <v>15</v>
      </c>
      <c r="F1099" t="str">
        <f>VLOOKUP(E1099,[1]LOJA!$A:$B,2,0)</f>
        <v>UNAÍ</v>
      </c>
      <c r="G1099" t="s">
        <v>19</v>
      </c>
      <c r="H1099" t="s">
        <v>19</v>
      </c>
      <c r="I1099" s="1">
        <v>46034</v>
      </c>
      <c r="J1099" s="1">
        <v>46032</v>
      </c>
      <c r="K1099" s="1">
        <v>46034</v>
      </c>
      <c r="L1099">
        <v>36</v>
      </c>
      <c r="M1099">
        <v>0.18</v>
      </c>
      <c r="N1099">
        <v>0.18</v>
      </c>
      <c r="O1099">
        <v>0</v>
      </c>
      <c r="P1099">
        <v>0</v>
      </c>
      <c r="Q1099" t="s">
        <v>108</v>
      </c>
    </row>
    <row r="1100" spans="1:17">
      <c r="A1100" t="s">
        <v>93</v>
      </c>
      <c r="B1100" t="s">
        <v>106</v>
      </c>
      <c r="C1100" t="s">
        <v>56</v>
      </c>
      <c r="D1100" t="s">
        <v>883</v>
      </c>
      <c r="E1100">
        <v>15</v>
      </c>
      <c r="F1100" t="str">
        <f>VLOOKUP(E1100,[1]LOJA!$A:$B,2,0)</f>
        <v>UNAÍ</v>
      </c>
      <c r="G1100" t="s">
        <v>19</v>
      </c>
      <c r="H1100" t="s">
        <v>19</v>
      </c>
      <c r="I1100" s="1">
        <v>46034</v>
      </c>
      <c r="J1100" s="1">
        <v>46032</v>
      </c>
      <c r="K1100" s="1">
        <v>46034</v>
      </c>
      <c r="L1100">
        <v>36</v>
      </c>
      <c r="M1100">
        <v>0.42</v>
      </c>
      <c r="N1100">
        <v>0.42</v>
      </c>
      <c r="O1100">
        <v>0</v>
      </c>
      <c r="P1100">
        <v>0</v>
      </c>
      <c r="Q1100" t="s">
        <v>108</v>
      </c>
    </row>
    <row r="1101" spans="1:17">
      <c r="A1101" t="s">
        <v>93</v>
      </c>
      <c r="B1101" t="s">
        <v>106</v>
      </c>
      <c r="C1101" t="s">
        <v>56</v>
      </c>
      <c r="D1101" t="s">
        <v>884</v>
      </c>
      <c r="E1101">
        <v>15</v>
      </c>
      <c r="F1101" t="str">
        <f>VLOOKUP(E1101,[1]LOJA!$A:$B,2,0)</f>
        <v>UNAÍ</v>
      </c>
      <c r="G1101" t="s">
        <v>19</v>
      </c>
      <c r="H1101" t="s">
        <v>19</v>
      </c>
      <c r="I1101" s="1">
        <v>46034</v>
      </c>
      <c r="J1101" s="1">
        <v>46032</v>
      </c>
      <c r="K1101" s="1">
        <v>46034</v>
      </c>
      <c r="L1101">
        <v>36</v>
      </c>
      <c r="M1101">
        <v>0.64</v>
      </c>
      <c r="N1101">
        <v>0.64</v>
      </c>
      <c r="O1101">
        <v>0</v>
      </c>
      <c r="P1101">
        <v>0</v>
      </c>
      <c r="Q1101" t="s">
        <v>108</v>
      </c>
    </row>
    <row r="1102" spans="1:17">
      <c r="A1102" t="s">
        <v>93</v>
      </c>
      <c r="B1102" t="s">
        <v>106</v>
      </c>
      <c r="C1102" t="s">
        <v>56</v>
      </c>
      <c r="D1102" t="s">
        <v>885</v>
      </c>
      <c r="E1102">
        <v>15</v>
      </c>
      <c r="F1102" t="str">
        <f>VLOOKUP(E1102,[1]LOJA!$A:$B,2,0)</f>
        <v>UNAÍ</v>
      </c>
      <c r="G1102" t="s">
        <v>19</v>
      </c>
      <c r="H1102" t="s">
        <v>19</v>
      </c>
      <c r="I1102" s="1">
        <v>46034</v>
      </c>
      <c r="J1102" s="1">
        <v>46033</v>
      </c>
      <c r="K1102" s="1">
        <v>46034</v>
      </c>
      <c r="L1102">
        <v>36</v>
      </c>
      <c r="M1102">
        <v>0.34</v>
      </c>
      <c r="N1102">
        <v>0.34</v>
      </c>
      <c r="O1102">
        <v>0</v>
      </c>
      <c r="P1102">
        <v>0</v>
      </c>
      <c r="Q1102" t="s">
        <v>108</v>
      </c>
    </row>
    <row r="1103" spans="1:17">
      <c r="A1103" t="s">
        <v>93</v>
      </c>
      <c r="B1103" t="s">
        <v>106</v>
      </c>
      <c r="C1103" t="s">
        <v>56</v>
      </c>
      <c r="D1103" t="s">
        <v>886</v>
      </c>
      <c r="E1103">
        <v>15</v>
      </c>
      <c r="F1103" t="str">
        <f>VLOOKUP(E1103,[1]LOJA!$A:$B,2,0)</f>
        <v>UNAÍ</v>
      </c>
      <c r="G1103" t="s">
        <v>19</v>
      </c>
      <c r="H1103" t="s">
        <v>19</v>
      </c>
      <c r="I1103" s="1">
        <v>46034</v>
      </c>
      <c r="J1103" s="1">
        <v>46033</v>
      </c>
      <c r="K1103" s="1">
        <v>46034</v>
      </c>
      <c r="L1103">
        <v>36</v>
      </c>
      <c r="M1103">
        <v>0.34</v>
      </c>
      <c r="N1103">
        <v>0.34</v>
      </c>
      <c r="O1103">
        <v>0</v>
      </c>
      <c r="P1103">
        <v>0</v>
      </c>
      <c r="Q1103" t="s">
        <v>108</v>
      </c>
    </row>
    <row r="1104" spans="1:17">
      <c r="A1104" t="s">
        <v>93</v>
      </c>
      <c r="B1104" t="s">
        <v>106</v>
      </c>
      <c r="C1104" t="s">
        <v>56</v>
      </c>
      <c r="D1104" t="s">
        <v>887</v>
      </c>
      <c r="E1104">
        <v>15</v>
      </c>
      <c r="F1104" t="str">
        <f>VLOOKUP(E1104,[1]LOJA!$A:$B,2,0)</f>
        <v>UNAÍ</v>
      </c>
      <c r="G1104" t="s">
        <v>19</v>
      </c>
      <c r="H1104" t="s">
        <v>19</v>
      </c>
      <c r="I1104" s="1">
        <v>46034</v>
      </c>
      <c r="J1104" s="1">
        <v>46033</v>
      </c>
      <c r="K1104" s="1">
        <v>46034</v>
      </c>
      <c r="L1104">
        <v>36</v>
      </c>
      <c r="M1104">
        <v>0.27</v>
      </c>
      <c r="N1104">
        <v>0.27</v>
      </c>
      <c r="O1104">
        <v>0</v>
      </c>
      <c r="P1104">
        <v>0</v>
      </c>
      <c r="Q1104" t="s">
        <v>108</v>
      </c>
    </row>
    <row r="1105" spans="1:17">
      <c r="A1105" t="s">
        <v>93</v>
      </c>
      <c r="B1105" t="s">
        <v>106</v>
      </c>
      <c r="C1105" t="s">
        <v>56</v>
      </c>
      <c r="D1105" t="s">
        <v>888</v>
      </c>
      <c r="E1105">
        <v>15</v>
      </c>
      <c r="F1105" t="str">
        <f>VLOOKUP(E1105,[1]LOJA!$A:$B,2,0)</f>
        <v>UNAÍ</v>
      </c>
      <c r="G1105" t="s">
        <v>19</v>
      </c>
      <c r="H1105" t="s">
        <v>19</v>
      </c>
      <c r="I1105" s="1">
        <v>46034</v>
      </c>
      <c r="J1105" s="1">
        <v>46033</v>
      </c>
      <c r="K1105" s="1">
        <v>46034</v>
      </c>
      <c r="L1105">
        <v>36</v>
      </c>
      <c r="M1105">
        <v>1.4</v>
      </c>
      <c r="N1105">
        <v>1.4</v>
      </c>
      <c r="O1105">
        <v>0</v>
      </c>
      <c r="P1105">
        <v>0</v>
      </c>
      <c r="Q1105" t="s">
        <v>108</v>
      </c>
    </row>
    <row r="1106" spans="1:17">
      <c r="A1106" t="s">
        <v>93</v>
      </c>
      <c r="B1106" t="s">
        <v>106</v>
      </c>
      <c r="C1106" t="s">
        <v>56</v>
      </c>
      <c r="D1106" t="s">
        <v>889</v>
      </c>
      <c r="E1106">
        <v>15</v>
      </c>
      <c r="F1106" t="str">
        <f>VLOOKUP(E1106,[1]LOJA!$A:$B,2,0)</f>
        <v>UNAÍ</v>
      </c>
      <c r="G1106" t="s">
        <v>19</v>
      </c>
      <c r="H1106" t="s">
        <v>19</v>
      </c>
      <c r="I1106" s="1">
        <v>46034</v>
      </c>
      <c r="J1106" s="1">
        <v>46033</v>
      </c>
      <c r="K1106" s="1">
        <v>46034</v>
      </c>
      <c r="L1106">
        <v>36</v>
      </c>
      <c r="M1106">
        <v>19.45</v>
      </c>
      <c r="N1106">
        <v>19.45</v>
      </c>
      <c r="O1106">
        <v>0</v>
      </c>
      <c r="P1106">
        <v>0</v>
      </c>
      <c r="Q1106" t="s">
        <v>108</v>
      </c>
    </row>
    <row r="1107" spans="1:17">
      <c r="A1107" t="s">
        <v>93</v>
      </c>
      <c r="B1107" t="s">
        <v>106</v>
      </c>
      <c r="C1107" t="s">
        <v>56</v>
      </c>
      <c r="D1107" t="s">
        <v>890</v>
      </c>
      <c r="E1107">
        <v>15</v>
      </c>
      <c r="F1107" t="str">
        <f>VLOOKUP(E1107,[1]LOJA!$A:$B,2,0)</f>
        <v>UNAÍ</v>
      </c>
      <c r="G1107" t="s">
        <v>19</v>
      </c>
      <c r="H1107" t="s">
        <v>19</v>
      </c>
      <c r="I1107" s="1">
        <v>46035</v>
      </c>
      <c r="J1107" s="1">
        <v>46035</v>
      </c>
      <c r="K1107" s="1">
        <v>46035</v>
      </c>
      <c r="L1107">
        <v>36</v>
      </c>
      <c r="M1107">
        <v>4.38</v>
      </c>
      <c r="N1107">
        <v>4.38</v>
      </c>
      <c r="O1107">
        <v>0</v>
      </c>
      <c r="P1107">
        <v>0</v>
      </c>
      <c r="Q1107" t="s">
        <v>108</v>
      </c>
    </row>
    <row r="1108" spans="1:17">
      <c r="A1108" t="s">
        <v>93</v>
      </c>
      <c r="B1108" t="s">
        <v>106</v>
      </c>
      <c r="C1108" t="s">
        <v>56</v>
      </c>
      <c r="D1108" t="s">
        <v>891</v>
      </c>
      <c r="E1108">
        <v>15</v>
      </c>
      <c r="F1108" t="str">
        <f>VLOOKUP(E1108,[1]LOJA!$A:$B,2,0)</f>
        <v>UNAÍ</v>
      </c>
      <c r="G1108" t="s">
        <v>19</v>
      </c>
      <c r="H1108" t="s">
        <v>19</v>
      </c>
      <c r="I1108" s="1">
        <v>46035</v>
      </c>
      <c r="J1108" s="1">
        <v>46035</v>
      </c>
      <c r="K1108" s="1">
        <v>46035</v>
      </c>
      <c r="L1108">
        <v>36</v>
      </c>
      <c r="M1108">
        <v>2.8</v>
      </c>
      <c r="N1108">
        <v>2.8</v>
      </c>
      <c r="O1108">
        <v>0</v>
      </c>
      <c r="P1108">
        <v>0</v>
      </c>
      <c r="Q1108" t="s">
        <v>108</v>
      </c>
    </row>
    <row r="1109" spans="1:17">
      <c r="A1109" t="s">
        <v>93</v>
      </c>
      <c r="B1109" t="s">
        <v>106</v>
      </c>
      <c r="C1109" t="s">
        <v>56</v>
      </c>
      <c r="D1109" t="s">
        <v>892</v>
      </c>
      <c r="E1109">
        <v>15</v>
      </c>
      <c r="F1109" t="str">
        <f>VLOOKUP(E1109,[1]LOJA!$A:$B,2,0)</f>
        <v>UNAÍ</v>
      </c>
      <c r="G1109" t="s">
        <v>19</v>
      </c>
      <c r="H1109" t="s">
        <v>19</v>
      </c>
      <c r="I1109" s="1">
        <v>46035</v>
      </c>
      <c r="J1109" s="1">
        <v>46035</v>
      </c>
      <c r="K1109" s="1">
        <v>46035</v>
      </c>
      <c r="L1109">
        <v>36</v>
      </c>
      <c r="M1109">
        <v>0.16</v>
      </c>
      <c r="N1109">
        <v>0.16</v>
      </c>
      <c r="O1109">
        <v>0</v>
      </c>
      <c r="P1109">
        <v>0</v>
      </c>
      <c r="Q1109" t="s">
        <v>108</v>
      </c>
    </row>
    <row r="1110" spans="1:17">
      <c r="A1110" t="s">
        <v>93</v>
      </c>
      <c r="B1110" t="s">
        <v>106</v>
      </c>
      <c r="C1110" t="s">
        <v>56</v>
      </c>
      <c r="D1110" t="s">
        <v>893</v>
      </c>
      <c r="E1110">
        <v>15</v>
      </c>
      <c r="F1110" t="str">
        <f>VLOOKUP(E1110,[1]LOJA!$A:$B,2,0)</f>
        <v>UNAÍ</v>
      </c>
      <c r="G1110" t="s">
        <v>19</v>
      </c>
      <c r="H1110" t="s">
        <v>19</v>
      </c>
      <c r="I1110" s="1">
        <v>46035</v>
      </c>
      <c r="J1110" s="1">
        <v>46035</v>
      </c>
      <c r="K1110" s="1">
        <v>46035</v>
      </c>
      <c r="L1110">
        <v>36</v>
      </c>
      <c r="M1110">
        <v>0.35</v>
      </c>
      <c r="N1110">
        <v>0.35</v>
      </c>
      <c r="O1110">
        <v>0</v>
      </c>
      <c r="P1110">
        <v>0</v>
      </c>
      <c r="Q1110" t="s">
        <v>108</v>
      </c>
    </row>
    <row r="1111" spans="1:17">
      <c r="A1111" t="s">
        <v>93</v>
      </c>
      <c r="B1111" t="s">
        <v>106</v>
      </c>
      <c r="C1111" t="s">
        <v>56</v>
      </c>
      <c r="D1111" t="s">
        <v>894</v>
      </c>
      <c r="E1111">
        <v>15</v>
      </c>
      <c r="F1111" t="str">
        <f>VLOOKUP(E1111,[1]LOJA!$A:$B,2,0)</f>
        <v>UNAÍ</v>
      </c>
      <c r="G1111" t="s">
        <v>19</v>
      </c>
      <c r="H1111" t="s">
        <v>19</v>
      </c>
      <c r="I1111" s="1">
        <v>46035</v>
      </c>
      <c r="J1111" s="1">
        <v>46035</v>
      </c>
      <c r="K1111" s="1">
        <v>46035</v>
      </c>
      <c r="L1111">
        <v>36</v>
      </c>
      <c r="M1111">
        <v>0.77</v>
      </c>
      <c r="N1111">
        <v>0.77</v>
      </c>
      <c r="O1111">
        <v>0</v>
      </c>
      <c r="P1111">
        <v>0</v>
      </c>
      <c r="Q1111" t="s">
        <v>108</v>
      </c>
    </row>
    <row r="1112" spans="1:17">
      <c r="A1112" t="s">
        <v>93</v>
      </c>
      <c r="B1112" t="s">
        <v>106</v>
      </c>
      <c r="C1112" t="s">
        <v>56</v>
      </c>
      <c r="D1112" t="s">
        <v>895</v>
      </c>
      <c r="E1112">
        <v>15</v>
      </c>
      <c r="F1112" t="str">
        <f>VLOOKUP(E1112,[1]LOJA!$A:$B,2,0)</f>
        <v>UNAÍ</v>
      </c>
      <c r="G1112" t="s">
        <v>19</v>
      </c>
      <c r="H1112" t="s">
        <v>19</v>
      </c>
      <c r="I1112" s="1">
        <v>46035</v>
      </c>
      <c r="J1112" s="1">
        <v>46035</v>
      </c>
      <c r="K1112" s="1">
        <v>46035</v>
      </c>
      <c r="L1112">
        <v>36</v>
      </c>
      <c r="M1112">
        <v>1.68</v>
      </c>
      <c r="N1112">
        <v>1.68</v>
      </c>
      <c r="O1112">
        <v>0</v>
      </c>
      <c r="P1112">
        <v>0</v>
      </c>
      <c r="Q1112" t="s">
        <v>108</v>
      </c>
    </row>
    <row r="1113" spans="1:17">
      <c r="A1113" t="s">
        <v>93</v>
      </c>
      <c r="B1113" t="s">
        <v>106</v>
      </c>
      <c r="C1113" t="s">
        <v>56</v>
      </c>
      <c r="D1113" t="s">
        <v>896</v>
      </c>
      <c r="E1113">
        <v>15</v>
      </c>
      <c r="F1113" t="str">
        <f>VLOOKUP(E1113,[1]LOJA!$A:$B,2,0)</f>
        <v>UNAÍ</v>
      </c>
      <c r="G1113" t="s">
        <v>19</v>
      </c>
      <c r="H1113" t="s">
        <v>19</v>
      </c>
      <c r="I1113" s="1">
        <v>46035</v>
      </c>
      <c r="J1113" s="1">
        <v>46035</v>
      </c>
      <c r="K1113" s="1">
        <v>46035</v>
      </c>
      <c r="L1113">
        <v>36</v>
      </c>
      <c r="M1113">
        <v>7.0000000000000007E-2</v>
      </c>
      <c r="N1113">
        <v>7.0000000000000007E-2</v>
      </c>
      <c r="O1113">
        <v>0</v>
      </c>
      <c r="P1113">
        <v>0</v>
      </c>
      <c r="Q1113" t="s">
        <v>108</v>
      </c>
    </row>
    <row r="1114" spans="1:17">
      <c r="A1114" t="s">
        <v>93</v>
      </c>
      <c r="B1114" t="s">
        <v>106</v>
      </c>
      <c r="C1114" t="s">
        <v>56</v>
      </c>
      <c r="D1114" t="s">
        <v>897</v>
      </c>
      <c r="E1114">
        <v>15</v>
      </c>
      <c r="F1114" t="str">
        <f>VLOOKUP(E1114,[1]LOJA!$A:$B,2,0)</f>
        <v>UNAÍ</v>
      </c>
      <c r="G1114" t="s">
        <v>19</v>
      </c>
      <c r="H1114" t="s">
        <v>19</v>
      </c>
      <c r="I1114" s="1">
        <v>46035</v>
      </c>
      <c r="J1114" s="1">
        <v>46035</v>
      </c>
      <c r="K1114" s="1">
        <v>46035</v>
      </c>
      <c r="L1114">
        <v>36</v>
      </c>
      <c r="M1114">
        <v>7.0000000000000007E-2</v>
      </c>
      <c r="N1114">
        <v>7.0000000000000007E-2</v>
      </c>
      <c r="O1114">
        <v>0</v>
      </c>
      <c r="P1114">
        <v>0</v>
      </c>
      <c r="Q1114" t="s">
        <v>108</v>
      </c>
    </row>
    <row r="1115" spans="1:17">
      <c r="A1115" t="s">
        <v>93</v>
      </c>
      <c r="B1115" t="s">
        <v>106</v>
      </c>
      <c r="C1115" t="s">
        <v>56</v>
      </c>
      <c r="D1115" t="s">
        <v>898</v>
      </c>
      <c r="E1115">
        <v>15</v>
      </c>
      <c r="F1115" t="str">
        <f>VLOOKUP(E1115,[1]LOJA!$A:$B,2,0)</f>
        <v>UNAÍ</v>
      </c>
      <c r="G1115" t="s">
        <v>19</v>
      </c>
      <c r="H1115" t="s">
        <v>19</v>
      </c>
      <c r="I1115" s="1">
        <v>46035</v>
      </c>
      <c r="J1115" s="1">
        <v>46035</v>
      </c>
      <c r="K1115" s="1">
        <v>46035</v>
      </c>
      <c r="L1115">
        <v>36</v>
      </c>
      <c r="M1115">
        <v>0.43</v>
      </c>
      <c r="N1115">
        <v>0.43</v>
      </c>
      <c r="O1115">
        <v>0</v>
      </c>
      <c r="P1115">
        <v>0</v>
      </c>
      <c r="Q1115" t="s">
        <v>108</v>
      </c>
    </row>
    <row r="1116" spans="1:17">
      <c r="A1116" t="s">
        <v>93</v>
      </c>
      <c r="B1116" t="s">
        <v>106</v>
      </c>
      <c r="C1116" t="s">
        <v>56</v>
      </c>
      <c r="D1116" t="s">
        <v>899</v>
      </c>
      <c r="E1116">
        <v>15</v>
      </c>
      <c r="F1116" t="str">
        <f>VLOOKUP(E1116,[1]LOJA!$A:$B,2,0)</f>
        <v>UNAÍ</v>
      </c>
      <c r="G1116" t="s">
        <v>19</v>
      </c>
      <c r="H1116" t="s">
        <v>19</v>
      </c>
      <c r="I1116" s="1">
        <v>46035</v>
      </c>
      <c r="J1116" s="1">
        <v>46035</v>
      </c>
      <c r="K1116" s="1">
        <v>46035</v>
      </c>
      <c r="L1116">
        <v>36</v>
      </c>
      <c r="M1116">
        <v>1.48</v>
      </c>
      <c r="N1116">
        <v>1.48</v>
      </c>
      <c r="O1116">
        <v>0</v>
      </c>
      <c r="P1116">
        <v>0</v>
      </c>
      <c r="Q1116" t="s">
        <v>108</v>
      </c>
    </row>
    <row r="1117" spans="1:17">
      <c r="A1117" t="s">
        <v>93</v>
      </c>
      <c r="B1117" t="s">
        <v>106</v>
      </c>
      <c r="C1117" t="s">
        <v>56</v>
      </c>
      <c r="D1117" t="s">
        <v>900</v>
      </c>
      <c r="E1117">
        <v>15</v>
      </c>
      <c r="F1117" t="str">
        <f>VLOOKUP(E1117,[1]LOJA!$A:$B,2,0)</f>
        <v>UNAÍ</v>
      </c>
      <c r="G1117" t="s">
        <v>19</v>
      </c>
      <c r="H1117" t="s">
        <v>19</v>
      </c>
      <c r="I1117" s="1">
        <v>46035</v>
      </c>
      <c r="J1117" s="1">
        <v>46035</v>
      </c>
      <c r="K1117" s="1">
        <v>46035</v>
      </c>
      <c r="L1117">
        <v>36</v>
      </c>
      <c r="M1117">
        <v>0.41</v>
      </c>
      <c r="N1117">
        <v>0.41</v>
      </c>
      <c r="O1117">
        <v>0</v>
      </c>
      <c r="P1117">
        <v>0</v>
      </c>
      <c r="Q1117" t="s">
        <v>108</v>
      </c>
    </row>
    <row r="1118" spans="1:17">
      <c r="A1118" t="s">
        <v>93</v>
      </c>
      <c r="B1118" t="s">
        <v>106</v>
      </c>
      <c r="C1118" t="s">
        <v>56</v>
      </c>
      <c r="D1118" t="s">
        <v>901</v>
      </c>
      <c r="E1118">
        <v>15</v>
      </c>
      <c r="F1118" t="str">
        <f>VLOOKUP(E1118,[1]LOJA!$A:$B,2,0)</f>
        <v>UNAÍ</v>
      </c>
      <c r="G1118" t="s">
        <v>19</v>
      </c>
      <c r="H1118" t="s">
        <v>19</v>
      </c>
      <c r="I1118" s="1">
        <v>46036</v>
      </c>
      <c r="J1118" s="1">
        <v>46036</v>
      </c>
      <c r="K1118" s="1">
        <v>46036</v>
      </c>
      <c r="L1118">
        <v>36</v>
      </c>
      <c r="M1118">
        <v>4.92</v>
      </c>
      <c r="N1118">
        <v>4.92</v>
      </c>
      <c r="O1118">
        <v>0</v>
      </c>
      <c r="P1118">
        <v>0</v>
      </c>
      <c r="Q1118" t="s">
        <v>108</v>
      </c>
    </row>
    <row r="1119" spans="1:17">
      <c r="A1119" t="s">
        <v>93</v>
      </c>
      <c r="B1119" t="s">
        <v>106</v>
      </c>
      <c r="C1119" t="s">
        <v>56</v>
      </c>
      <c r="D1119" t="s">
        <v>902</v>
      </c>
      <c r="E1119">
        <v>15</v>
      </c>
      <c r="F1119" t="str">
        <f>VLOOKUP(E1119,[1]LOJA!$A:$B,2,0)</f>
        <v>UNAÍ</v>
      </c>
      <c r="G1119" t="s">
        <v>19</v>
      </c>
      <c r="H1119" t="s">
        <v>19</v>
      </c>
      <c r="I1119" s="1">
        <v>46036</v>
      </c>
      <c r="J1119" s="1">
        <v>46036</v>
      </c>
      <c r="K1119" s="1">
        <v>46036</v>
      </c>
      <c r="L1119">
        <v>36</v>
      </c>
      <c r="M1119">
        <v>2.5499999999999998</v>
      </c>
      <c r="N1119">
        <v>2.5499999999999998</v>
      </c>
      <c r="O1119">
        <v>0</v>
      </c>
      <c r="P1119">
        <v>0</v>
      </c>
      <c r="Q1119" t="s">
        <v>108</v>
      </c>
    </row>
    <row r="1120" spans="1:17">
      <c r="A1120" t="s">
        <v>93</v>
      </c>
      <c r="B1120" t="s">
        <v>106</v>
      </c>
      <c r="C1120" t="s">
        <v>56</v>
      </c>
      <c r="D1120" t="s">
        <v>903</v>
      </c>
      <c r="E1120">
        <v>15</v>
      </c>
      <c r="F1120" t="str">
        <f>VLOOKUP(E1120,[1]LOJA!$A:$B,2,0)</f>
        <v>UNAÍ</v>
      </c>
      <c r="G1120" t="s">
        <v>19</v>
      </c>
      <c r="H1120" t="s">
        <v>19</v>
      </c>
      <c r="I1120" s="1">
        <v>46036</v>
      </c>
      <c r="J1120" s="1">
        <v>46036</v>
      </c>
      <c r="K1120" s="1">
        <v>46036</v>
      </c>
      <c r="L1120">
        <v>36</v>
      </c>
      <c r="M1120">
        <v>4.5199999999999996</v>
      </c>
      <c r="N1120">
        <v>4.5199999999999996</v>
      </c>
      <c r="O1120">
        <v>0</v>
      </c>
      <c r="P1120">
        <v>0</v>
      </c>
      <c r="Q1120" t="s">
        <v>108</v>
      </c>
    </row>
    <row r="1121" spans="1:17">
      <c r="A1121" t="s">
        <v>93</v>
      </c>
      <c r="B1121" t="s">
        <v>106</v>
      </c>
      <c r="C1121" t="s">
        <v>56</v>
      </c>
      <c r="D1121" t="s">
        <v>904</v>
      </c>
      <c r="E1121">
        <v>15</v>
      </c>
      <c r="F1121" t="str">
        <f>VLOOKUP(E1121,[1]LOJA!$A:$B,2,0)</f>
        <v>UNAÍ</v>
      </c>
      <c r="G1121" t="s">
        <v>19</v>
      </c>
      <c r="H1121" t="s">
        <v>19</v>
      </c>
      <c r="I1121" s="1">
        <v>46036</v>
      </c>
      <c r="J1121" s="1">
        <v>46036</v>
      </c>
      <c r="K1121" s="1">
        <v>46036</v>
      </c>
      <c r="L1121">
        <v>36</v>
      </c>
      <c r="M1121">
        <v>0.3</v>
      </c>
      <c r="N1121">
        <v>0.3</v>
      </c>
      <c r="O1121">
        <v>0</v>
      </c>
      <c r="P1121">
        <v>0</v>
      </c>
      <c r="Q1121" t="s">
        <v>108</v>
      </c>
    </row>
    <row r="1122" spans="1:17">
      <c r="A1122" t="s">
        <v>93</v>
      </c>
      <c r="B1122" t="s">
        <v>106</v>
      </c>
      <c r="C1122" t="s">
        <v>56</v>
      </c>
      <c r="D1122" t="s">
        <v>905</v>
      </c>
      <c r="E1122">
        <v>15</v>
      </c>
      <c r="F1122" t="str">
        <f>VLOOKUP(E1122,[1]LOJA!$A:$B,2,0)</f>
        <v>UNAÍ</v>
      </c>
      <c r="G1122" t="s">
        <v>19</v>
      </c>
      <c r="H1122" t="s">
        <v>19</v>
      </c>
      <c r="I1122" s="1">
        <v>46036</v>
      </c>
      <c r="J1122" s="1">
        <v>46036</v>
      </c>
      <c r="K1122" s="1">
        <v>46036</v>
      </c>
      <c r="L1122">
        <v>36</v>
      </c>
      <c r="M1122">
        <v>1.89</v>
      </c>
      <c r="N1122">
        <v>1.89</v>
      </c>
      <c r="O1122">
        <v>0</v>
      </c>
      <c r="P1122">
        <v>0</v>
      </c>
      <c r="Q1122" t="s">
        <v>108</v>
      </c>
    </row>
    <row r="1123" spans="1:17">
      <c r="A1123" t="s">
        <v>93</v>
      </c>
      <c r="B1123" t="s">
        <v>106</v>
      </c>
      <c r="C1123" t="s">
        <v>56</v>
      </c>
      <c r="D1123" t="s">
        <v>906</v>
      </c>
      <c r="E1123">
        <v>15</v>
      </c>
      <c r="F1123" t="str">
        <f>VLOOKUP(E1123,[1]LOJA!$A:$B,2,0)</f>
        <v>UNAÍ</v>
      </c>
      <c r="G1123" t="s">
        <v>19</v>
      </c>
      <c r="H1123" t="s">
        <v>19</v>
      </c>
      <c r="I1123" s="1">
        <v>46036</v>
      </c>
      <c r="J1123" s="1">
        <v>46036</v>
      </c>
      <c r="K1123" s="1">
        <v>46036</v>
      </c>
      <c r="L1123">
        <v>36</v>
      </c>
      <c r="M1123">
        <v>0.23</v>
      </c>
      <c r="N1123">
        <v>0.23</v>
      </c>
      <c r="O1123">
        <v>0</v>
      </c>
      <c r="P1123">
        <v>0</v>
      </c>
      <c r="Q1123" t="s">
        <v>108</v>
      </c>
    </row>
    <row r="1124" spans="1:17">
      <c r="A1124" t="s">
        <v>93</v>
      </c>
      <c r="B1124" t="s">
        <v>106</v>
      </c>
      <c r="C1124" t="s">
        <v>56</v>
      </c>
      <c r="D1124" t="s">
        <v>907</v>
      </c>
      <c r="E1124">
        <v>15</v>
      </c>
      <c r="F1124" t="str">
        <f>VLOOKUP(E1124,[1]LOJA!$A:$B,2,0)</f>
        <v>UNAÍ</v>
      </c>
      <c r="G1124" t="s">
        <v>19</v>
      </c>
      <c r="H1124" t="s">
        <v>19</v>
      </c>
      <c r="I1124" s="1">
        <v>46036</v>
      </c>
      <c r="J1124" s="1">
        <v>46036</v>
      </c>
      <c r="K1124" s="1">
        <v>46036</v>
      </c>
      <c r="L1124">
        <v>36</v>
      </c>
      <c r="M1124">
        <v>0.34</v>
      </c>
      <c r="N1124">
        <v>0.34</v>
      </c>
      <c r="O1124">
        <v>0</v>
      </c>
      <c r="P1124">
        <v>0</v>
      </c>
      <c r="Q1124" t="s">
        <v>108</v>
      </c>
    </row>
    <row r="1125" spans="1:17">
      <c r="A1125" t="s">
        <v>93</v>
      </c>
      <c r="B1125" t="s">
        <v>106</v>
      </c>
      <c r="C1125" t="s">
        <v>56</v>
      </c>
      <c r="D1125" t="s">
        <v>908</v>
      </c>
      <c r="E1125">
        <v>15</v>
      </c>
      <c r="F1125" t="str">
        <f>VLOOKUP(E1125,[1]LOJA!$A:$B,2,0)</f>
        <v>UNAÍ</v>
      </c>
      <c r="G1125" t="s">
        <v>19</v>
      </c>
      <c r="H1125" t="s">
        <v>19</v>
      </c>
      <c r="I1125" s="1">
        <v>46036</v>
      </c>
      <c r="J1125" s="1">
        <v>46036</v>
      </c>
      <c r="K1125" s="1">
        <v>46036</v>
      </c>
      <c r="L1125">
        <v>36</v>
      </c>
      <c r="M1125">
        <v>0.94</v>
      </c>
      <c r="N1125">
        <v>0.94</v>
      </c>
      <c r="O1125">
        <v>0</v>
      </c>
      <c r="P1125">
        <v>0</v>
      </c>
      <c r="Q1125" t="s">
        <v>108</v>
      </c>
    </row>
    <row r="1126" spans="1:17">
      <c r="A1126" t="s">
        <v>93</v>
      </c>
      <c r="B1126" t="s">
        <v>106</v>
      </c>
      <c r="C1126" t="s">
        <v>56</v>
      </c>
      <c r="D1126" t="s">
        <v>909</v>
      </c>
      <c r="E1126">
        <v>15</v>
      </c>
      <c r="F1126" t="str">
        <f>VLOOKUP(E1126,[1]LOJA!$A:$B,2,0)</f>
        <v>UNAÍ</v>
      </c>
      <c r="G1126" t="s">
        <v>19</v>
      </c>
      <c r="H1126" t="s">
        <v>19</v>
      </c>
      <c r="I1126" s="1">
        <v>46036</v>
      </c>
      <c r="J1126" s="1">
        <v>46036</v>
      </c>
      <c r="K1126" s="1">
        <v>46036</v>
      </c>
      <c r="L1126">
        <v>36</v>
      </c>
      <c r="M1126">
        <v>0.42</v>
      </c>
      <c r="N1126">
        <v>0.42</v>
      </c>
      <c r="O1126">
        <v>0</v>
      </c>
      <c r="P1126">
        <v>0</v>
      </c>
      <c r="Q1126" t="s">
        <v>108</v>
      </c>
    </row>
    <row r="1127" spans="1:17">
      <c r="A1127" t="s">
        <v>93</v>
      </c>
      <c r="B1127" t="s">
        <v>106</v>
      </c>
      <c r="C1127" t="s">
        <v>56</v>
      </c>
      <c r="D1127" t="s">
        <v>910</v>
      </c>
      <c r="E1127">
        <v>15</v>
      </c>
      <c r="F1127" t="str">
        <f>VLOOKUP(E1127,[1]LOJA!$A:$B,2,0)</f>
        <v>UNAÍ</v>
      </c>
      <c r="G1127" t="s">
        <v>19</v>
      </c>
      <c r="H1127" t="s">
        <v>19</v>
      </c>
      <c r="I1127" s="1">
        <v>46036</v>
      </c>
      <c r="J1127" s="1">
        <v>46036</v>
      </c>
      <c r="K1127" s="1">
        <v>46036</v>
      </c>
      <c r="L1127">
        <v>36</v>
      </c>
      <c r="M1127">
        <v>0.36</v>
      </c>
      <c r="N1127">
        <v>0.36</v>
      </c>
      <c r="O1127">
        <v>0</v>
      </c>
      <c r="P1127">
        <v>0</v>
      </c>
      <c r="Q1127" t="s">
        <v>108</v>
      </c>
    </row>
    <row r="1128" spans="1:17">
      <c r="A1128" t="s">
        <v>93</v>
      </c>
      <c r="B1128" t="s">
        <v>106</v>
      </c>
      <c r="C1128" t="s">
        <v>56</v>
      </c>
      <c r="D1128" t="s">
        <v>911</v>
      </c>
      <c r="E1128">
        <v>15</v>
      </c>
      <c r="F1128" t="str">
        <f>VLOOKUP(E1128,[1]LOJA!$A:$B,2,0)</f>
        <v>UNAÍ</v>
      </c>
      <c r="G1128" t="s">
        <v>19</v>
      </c>
      <c r="H1128" t="s">
        <v>19</v>
      </c>
      <c r="I1128" s="1">
        <v>46036</v>
      </c>
      <c r="J1128" s="1">
        <v>46036</v>
      </c>
      <c r="K1128" s="1">
        <v>46036</v>
      </c>
      <c r="L1128">
        <v>36</v>
      </c>
      <c r="M1128">
        <v>0.88</v>
      </c>
      <c r="N1128">
        <v>0.88</v>
      </c>
      <c r="O1128">
        <v>0</v>
      </c>
      <c r="P1128">
        <v>0</v>
      </c>
      <c r="Q1128" t="s">
        <v>108</v>
      </c>
    </row>
    <row r="1129" spans="1:17">
      <c r="A1129" t="s">
        <v>93</v>
      </c>
      <c r="B1129" t="s">
        <v>106</v>
      </c>
      <c r="C1129" t="s">
        <v>56</v>
      </c>
      <c r="D1129" t="s">
        <v>912</v>
      </c>
      <c r="E1129">
        <v>15</v>
      </c>
      <c r="F1129" t="str">
        <f>VLOOKUP(E1129,[1]LOJA!$A:$B,2,0)</f>
        <v>UNAÍ</v>
      </c>
      <c r="G1129" t="s">
        <v>19</v>
      </c>
      <c r="H1129" t="s">
        <v>19</v>
      </c>
      <c r="I1129" s="1">
        <v>46037</v>
      </c>
      <c r="J1129" s="1">
        <v>46037</v>
      </c>
      <c r="K1129" s="1">
        <v>46037</v>
      </c>
      <c r="L1129">
        <v>36</v>
      </c>
      <c r="M1129">
        <v>3.86</v>
      </c>
      <c r="N1129">
        <v>3.86</v>
      </c>
      <c r="O1129">
        <v>0</v>
      </c>
      <c r="P1129">
        <v>0</v>
      </c>
      <c r="Q1129" t="s">
        <v>108</v>
      </c>
    </row>
    <row r="1130" spans="1:17">
      <c r="A1130" t="s">
        <v>93</v>
      </c>
      <c r="B1130" t="s">
        <v>106</v>
      </c>
      <c r="C1130" t="s">
        <v>56</v>
      </c>
      <c r="D1130" t="s">
        <v>913</v>
      </c>
      <c r="E1130">
        <v>15</v>
      </c>
      <c r="F1130" t="str">
        <f>VLOOKUP(E1130,[1]LOJA!$A:$B,2,0)</f>
        <v>UNAÍ</v>
      </c>
      <c r="G1130" t="s">
        <v>19</v>
      </c>
      <c r="H1130" t="s">
        <v>19</v>
      </c>
      <c r="I1130" s="1">
        <v>46037</v>
      </c>
      <c r="J1130" s="1">
        <v>46037</v>
      </c>
      <c r="K1130" s="1">
        <v>46037</v>
      </c>
      <c r="L1130">
        <v>36</v>
      </c>
      <c r="M1130">
        <v>2.74</v>
      </c>
      <c r="N1130">
        <v>2.74</v>
      </c>
      <c r="O1130">
        <v>0</v>
      </c>
      <c r="P1130">
        <v>0</v>
      </c>
      <c r="Q1130" t="s">
        <v>108</v>
      </c>
    </row>
    <row r="1131" spans="1:17">
      <c r="A1131" t="s">
        <v>93</v>
      </c>
      <c r="B1131" t="s">
        <v>106</v>
      </c>
      <c r="C1131" t="s">
        <v>56</v>
      </c>
      <c r="D1131" t="s">
        <v>914</v>
      </c>
      <c r="E1131">
        <v>15</v>
      </c>
      <c r="F1131" t="str">
        <f>VLOOKUP(E1131,[1]LOJA!$A:$B,2,0)</f>
        <v>UNAÍ</v>
      </c>
      <c r="G1131" t="s">
        <v>19</v>
      </c>
      <c r="H1131" t="s">
        <v>19</v>
      </c>
      <c r="I1131" s="1">
        <v>46037</v>
      </c>
      <c r="J1131" s="1">
        <v>46037</v>
      </c>
      <c r="K1131" s="1">
        <v>46037</v>
      </c>
      <c r="L1131">
        <v>36</v>
      </c>
      <c r="M1131">
        <v>0.42</v>
      </c>
      <c r="N1131">
        <v>0.42</v>
      </c>
      <c r="O1131">
        <v>0</v>
      </c>
      <c r="P1131">
        <v>0</v>
      </c>
      <c r="Q1131" t="s">
        <v>108</v>
      </c>
    </row>
    <row r="1132" spans="1:17">
      <c r="A1132" t="s">
        <v>93</v>
      </c>
      <c r="B1132" t="s">
        <v>106</v>
      </c>
      <c r="C1132" t="s">
        <v>56</v>
      </c>
      <c r="D1132" t="s">
        <v>915</v>
      </c>
      <c r="E1132">
        <v>15</v>
      </c>
      <c r="F1132" t="str">
        <f>VLOOKUP(E1132,[1]LOJA!$A:$B,2,0)</f>
        <v>UNAÍ</v>
      </c>
      <c r="G1132" t="s">
        <v>19</v>
      </c>
      <c r="H1132" t="s">
        <v>19</v>
      </c>
      <c r="I1132" s="1">
        <v>46037</v>
      </c>
      <c r="J1132" s="1">
        <v>46037</v>
      </c>
      <c r="K1132" s="1">
        <v>46037</v>
      </c>
      <c r="L1132">
        <v>36</v>
      </c>
      <c r="M1132">
        <v>7.48</v>
      </c>
      <c r="N1132">
        <v>7.48</v>
      </c>
      <c r="O1132">
        <v>0</v>
      </c>
      <c r="P1132">
        <v>0</v>
      </c>
      <c r="Q1132" t="s">
        <v>108</v>
      </c>
    </row>
    <row r="1133" spans="1:17">
      <c r="A1133" t="s">
        <v>93</v>
      </c>
      <c r="B1133" t="s">
        <v>106</v>
      </c>
      <c r="C1133" t="s">
        <v>56</v>
      </c>
      <c r="D1133" t="s">
        <v>916</v>
      </c>
      <c r="E1133">
        <v>15</v>
      </c>
      <c r="F1133" t="str">
        <f>VLOOKUP(E1133,[1]LOJA!$A:$B,2,0)</f>
        <v>UNAÍ</v>
      </c>
      <c r="G1133" t="s">
        <v>19</v>
      </c>
      <c r="H1133" t="s">
        <v>19</v>
      </c>
      <c r="I1133" s="1">
        <v>46037</v>
      </c>
      <c r="J1133" s="1">
        <v>46037</v>
      </c>
      <c r="K1133" s="1">
        <v>46037</v>
      </c>
      <c r="L1133">
        <v>36</v>
      </c>
      <c r="M1133">
        <v>4.43</v>
      </c>
      <c r="N1133">
        <v>4.43</v>
      </c>
      <c r="O1133">
        <v>0</v>
      </c>
      <c r="P1133">
        <v>0</v>
      </c>
      <c r="Q1133" t="s">
        <v>108</v>
      </c>
    </row>
    <row r="1134" spans="1:17">
      <c r="A1134" t="s">
        <v>93</v>
      </c>
      <c r="B1134" t="s">
        <v>106</v>
      </c>
      <c r="C1134" t="s">
        <v>56</v>
      </c>
      <c r="D1134" t="s">
        <v>917</v>
      </c>
      <c r="E1134">
        <v>15</v>
      </c>
      <c r="F1134" t="str">
        <f>VLOOKUP(E1134,[1]LOJA!$A:$B,2,0)</f>
        <v>UNAÍ</v>
      </c>
      <c r="G1134" t="s">
        <v>19</v>
      </c>
      <c r="H1134" t="s">
        <v>19</v>
      </c>
      <c r="I1134" s="1">
        <v>46037</v>
      </c>
      <c r="J1134" s="1">
        <v>46037</v>
      </c>
      <c r="K1134" s="1">
        <v>46037</v>
      </c>
      <c r="L1134">
        <v>36</v>
      </c>
      <c r="M1134">
        <v>0.5</v>
      </c>
      <c r="N1134">
        <v>0.5</v>
      </c>
      <c r="O1134">
        <v>0</v>
      </c>
      <c r="P1134">
        <v>0</v>
      </c>
      <c r="Q1134" t="s">
        <v>108</v>
      </c>
    </row>
    <row r="1135" spans="1:17">
      <c r="A1135" t="s">
        <v>93</v>
      </c>
      <c r="B1135" t="s">
        <v>106</v>
      </c>
      <c r="C1135" t="s">
        <v>56</v>
      </c>
      <c r="D1135" t="s">
        <v>918</v>
      </c>
      <c r="E1135">
        <v>15</v>
      </c>
      <c r="F1135" t="str">
        <f>VLOOKUP(E1135,[1]LOJA!$A:$B,2,0)</f>
        <v>UNAÍ</v>
      </c>
      <c r="G1135" t="s">
        <v>19</v>
      </c>
      <c r="H1135" t="s">
        <v>19</v>
      </c>
      <c r="I1135" s="1">
        <v>46037</v>
      </c>
      <c r="J1135" s="1">
        <v>46037</v>
      </c>
      <c r="K1135" s="1">
        <v>46037</v>
      </c>
      <c r="L1135">
        <v>36</v>
      </c>
      <c r="M1135">
        <v>0.42</v>
      </c>
      <c r="N1135">
        <v>0.42</v>
      </c>
      <c r="O1135">
        <v>0</v>
      </c>
      <c r="P1135">
        <v>0</v>
      </c>
      <c r="Q1135" t="s">
        <v>108</v>
      </c>
    </row>
    <row r="1136" spans="1:17">
      <c r="A1136" t="s">
        <v>93</v>
      </c>
      <c r="B1136" t="s">
        <v>106</v>
      </c>
      <c r="C1136" t="s">
        <v>56</v>
      </c>
      <c r="D1136" t="s">
        <v>919</v>
      </c>
      <c r="E1136">
        <v>15</v>
      </c>
      <c r="F1136" t="str">
        <f>VLOOKUP(E1136,[1]LOJA!$A:$B,2,0)</f>
        <v>UNAÍ</v>
      </c>
      <c r="G1136" t="s">
        <v>19</v>
      </c>
      <c r="H1136" t="s">
        <v>19</v>
      </c>
      <c r="I1136" s="1">
        <v>46037</v>
      </c>
      <c r="J1136" s="1">
        <v>46037</v>
      </c>
      <c r="K1136" s="1">
        <v>46037</v>
      </c>
      <c r="L1136">
        <v>36</v>
      </c>
      <c r="M1136">
        <v>0.15</v>
      </c>
      <c r="N1136">
        <v>0.15</v>
      </c>
      <c r="O1136">
        <v>0</v>
      </c>
      <c r="P1136">
        <v>0</v>
      </c>
      <c r="Q1136" t="s">
        <v>108</v>
      </c>
    </row>
    <row r="1137" spans="1:17">
      <c r="A1137" t="s">
        <v>93</v>
      </c>
      <c r="B1137" t="s">
        <v>106</v>
      </c>
      <c r="C1137" t="s">
        <v>56</v>
      </c>
      <c r="D1137" t="s">
        <v>920</v>
      </c>
      <c r="E1137">
        <v>15</v>
      </c>
      <c r="F1137" t="str">
        <f>VLOOKUP(E1137,[1]LOJA!$A:$B,2,0)</f>
        <v>UNAÍ</v>
      </c>
      <c r="G1137" t="s">
        <v>19</v>
      </c>
      <c r="H1137" t="s">
        <v>19</v>
      </c>
      <c r="I1137" s="1">
        <v>46037</v>
      </c>
      <c r="J1137" s="1">
        <v>46037</v>
      </c>
      <c r="K1137" s="1">
        <v>46037</v>
      </c>
      <c r="L1137">
        <v>36</v>
      </c>
      <c r="M1137">
        <v>0.43</v>
      </c>
      <c r="N1137">
        <v>0.43</v>
      </c>
      <c r="O1137">
        <v>0</v>
      </c>
      <c r="P1137">
        <v>0</v>
      </c>
      <c r="Q1137" t="s">
        <v>108</v>
      </c>
    </row>
    <row r="1138" spans="1:17">
      <c r="A1138" t="s">
        <v>93</v>
      </c>
      <c r="B1138" t="s">
        <v>106</v>
      </c>
      <c r="C1138" t="s">
        <v>56</v>
      </c>
      <c r="D1138" t="s">
        <v>921</v>
      </c>
      <c r="E1138">
        <v>15</v>
      </c>
      <c r="F1138" t="str">
        <f>VLOOKUP(E1138,[1]LOJA!$A:$B,2,0)</f>
        <v>UNAÍ</v>
      </c>
      <c r="G1138" t="s">
        <v>19</v>
      </c>
      <c r="H1138" t="s">
        <v>19</v>
      </c>
      <c r="I1138" s="1">
        <v>46037</v>
      </c>
      <c r="J1138" s="1">
        <v>46037</v>
      </c>
      <c r="K1138" s="1">
        <v>46037</v>
      </c>
      <c r="L1138">
        <v>36</v>
      </c>
      <c r="M1138">
        <v>0.36</v>
      </c>
      <c r="N1138">
        <v>0.36</v>
      </c>
      <c r="O1138">
        <v>0</v>
      </c>
      <c r="P1138">
        <v>0</v>
      </c>
      <c r="Q1138" t="s">
        <v>108</v>
      </c>
    </row>
    <row r="1139" spans="1:17">
      <c r="A1139" t="s">
        <v>93</v>
      </c>
      <c r="B1139" t="s">
        <v>106</v>
      </c>
      <c r="C1139" t="s">
        <v>56</v>
      </c>
      <c r="D1139" t="s">
        <v>922</v>
      </c>
      <c r="E1139">
        <v>15</v>
      </c>
      <c r="F1139" t="str">
        <f>VLOOKUP(E1139,[1]LOJA!$A:$B,2,0)</f>
        <v>UNAÍ</v>
      </c>
      <c r="G1139" t="s">
        <v>19</v>
      </c>
      <c r="H1139" t="s">
        <v>19</v>
      </c>
      <c r="I1139" s="1">
        <v>46037</v>
      </c>
      <c r="J1139" s="1">
        <v>46037</v>
      </c>
      <c r="K1139" s="1">
        <v>46037</v>
      </c>
      <c r="L1139">
        <v>36</v>
      </c>
      <c r="M1139">
        <v>0.39</v>
      </c>
      <c r="N1139">
        <v>0.39</v>
      </c>
      <c r="O1139">
        <v>0</v>
      </c>
      <c r="P1139">
        <v>0</v>
      </c>
      <c r="Q1139" t="s">
        <v>108</v>
      </c>
    </row>
    <row r="1140" spans="1:17">
      <c r="A1140" t="s">
        <v>93</v>
      </c>
      <c r="B1140" t="s">
        <v>106</v>
      </c>
      <c r="C1140" t="s">
        <v>56</v>
      </c>
      <c r="D1140" t="s">
        <v>923</v>
      </c>
      <c r="E1140">
        <v>15</v>
      </c>
      <c r="F1140" t="str">
        <f>VLOOKUP(E1140,[1]LOJA!$A:$B,2,0)</f>
        <v>UNAÍ</v>
      </c>
      <c r="G1140" t="s">
        <v>19</v>
      </c>
      <c r="H1140" t="s">
        <v>19</v>
      </c>
      <c r="I1140" s="1">
        <v>46037</v>
      </c>
      <c r="J1140" s="1">
        <v>46037</v>
      </c>
      <c r="K1140" s="1">
        <v>46037</v>
      </c>
      <c r="L1140">
        <v>36</v>
      </c>
      <c r="M1140">
        <v>1.82</v>
      </c>
      <c r="N1140">
        <v>1.82</v>
      </c>
      <c r="O1140">
        <v>0</v>
      </c>
      <c r="P1140">
        <v>0</v>
      </c>
      <c r="Q1140" t="s">
        <v>108</v>
      </c>
    </row>
    <row r="1141" spans="1:17">
      <c r="A1141" t="s">
        <v>93</v>
      </c>
      <c r="B1141" t="s">
        <v>106</v>
      </c>
      <c r="C1141" t="s">
        <v>56</v>
      </c>
      <c r="D1141" t="s">
        <v>924</v>
      </c>
      <c r="E1141">
        <v>15</v>
      </c>
      <c r="F1141" t="str">
        <f>VLOOKUP(E1141,[1]LOJA!$A:$B,2,0)</f>
        <v>UNAÍ</v>
      </c>
      <c r="G1141" t="s">
        <v>19</v>
      </c>
      <c r="H1141" t="s">
        <v>19</v>
      </c>
      <c r="I1141" s="1">
        <v>46037</v>
      </c>
      <c r="J1141" s="1">
        <v>46037</v>
      </c>
      <c r="K1141" s="1">
        <v>46037</v>
      </c>
      <c r="L1141">
        <v>36</v>
      </c>
      <c r="M1141">
        <v>1.53</v>
      </c>
      <c r="N1141">
        <v>1.53</v>
      </c>
      <c r="O1141">
        <v>0</v>
      </c>
      <c r="P1141">
        <v>0</v>
      </c>
      <c r="Q1141" t="s">
        <v>108</v>
      </c>
    </row>
    <row r="1142" spans="1:17">
      <c r="A1142" t="s">
        <v>93</v>
      </c>
      <c r="B1142" t="s">
        <v>106</v>
      </c>
      <c r="C1142" t="s">
        <v>56</v>
      </c>
      <c r="D1142" t="s">
        <v>925</v>
      </c>
      <c r="E1142">
        <v>15</v>
      </c>
      <c r="F1142" t="str">
        <f>VLOOKUP(E1142,[1]LOJA!$A:$B,2,0)</f>
        <v>UNAÍ</v>
      </c>
      <c r="G1142" t="s">
        <v>19</v>
      </c>
      <c r="H1142" t="s">
        <v>19</v>
      </c>
      <c r="I1142" s="1">
        <v>46038</v>
      </c>
      <c r="J1142" s="1">
        <v>46038</v>
      </c>
      <c r="K1142" s="1">
        <v>46038</v>
      </c>
      <c r="L1142">
        <v>36</v>
      </c>
      <c r="M1142">
        <v>2.81</v>
      </c>
      <c r="N1142">
        <v>2.81</v>
      </c>
      <c r="O1142">
        <v>0</v>
      </c>
      <c r="P1142">
        <v>0</v>
      </c>
      <c r="Q1142" t="s">
        <v>108</v>
      </c>
    </row>
    <row r="1143" spans="1:17">
      <c r="A1143" t="s">
        <v>93</v>
      </c>
      <c r="B1143" t="s">
        <v>106</v>
      </c>
      <c r="C1143" t="s">
        <v>56</v>
      </c>
      <c r="D1143" t="s">
        <v>926</v>
      </c>
      <c r="E1143">
        <v>15</v>
      </c>
      <c r="F1143" t="str">
        <f>VLOOKUP(E1143,[1]LOJA!$A:$B,2,0)</f>
        <v>UNAÍ</v>
      </c>
      <c r="G1143" t="s">
        <v>19</v>
      </c>
      <c r="H1143" t="s">
        <v>19</v>
      </c>
      <c r="I1143" s="1">
        <v>46038</v>
      </c>
      <c r="J1143" s="1">
        <v>46038</v>
      </c>
      <c r="K1143" s="1">
        <v>46038</v>
      </c>
      <c r="L1143">
        <v>36</v>
      </c>
      <c r="M1143">
        <v>3.8</v>
      </c>
      <c r="N1143">
        <v>3.8</v>
      </c>
      <c r="O1143">
        <v>0</v>
      </c>
      <c r="P1143">
        <v>0</v>
      </c>
      <c r="Q1143" t="s">
        <v>108</v>
      </c>
    </row>
    <row r="1144" spans="1:17">
      <c r="A1144" t="s">
        <v>93</v>
      </c>
      <c r="B1144" t="s">
        <v>106</v>
      </c>
      <c r="C1144" t="s">
        <v>56</v>
      </c>
      <c r="D1144" t="s">
        <v>927</v>
      </c>
      <c r="E1144">
        <v>15</v>
      </c>
      <c r="F1144" t="str">
        <f>VLOOKUP(E1144,[1]LOJA!$A:$B,2,0)</f>
        <v>UNAÍ</v>
      </c>
      <c r="G1144" t="s">
        <v>19</v>
      </c>
      <c r="H1144" t="s">
        <v>19</v>
      </c>
      <c r="I1144" s="1">
        <v>46038</v>
      </c>
      <c r="J1144" s="1">
        <v>46038</v>
      </c>
      <c r="K1144" s="1">
        <v>46038</v>
      </c>
      <c r="L1144">
        <v>36</v>
      </c>
      <c r="M1144">
        <v>4.38</v>
      </c>
      <c r="N1144">
        <v>4.38</v>
      </c>
      <c r="O1144">
        <v>0</v>
      </c>
      <c r="P1144">
        <v>0</v>
      </c>
      <c r="Q1144" t="s">
        <v>108</v>
      </c>
    </row>
    <row r="1145" spans="1:17">
      <c r="A1145" t="s">
        <v>93</v>
      </c>
      <c r="B1145" t="s">
        <v>106</v>
      </c>
      <c r="C1145" t="s">
        <v>56</v>
      </c>
      <c r="D1145" t="s">
        <v>928</v>
      </c>
      <c r="E1145">
        <v>15</v>
      </c>
      <c r="F1145" t="str">
        <f>VLOOKUP(E1145,[1]LOJA!$A:$B,2,0)</f>
        <v>UNAÍ</v>
      </c>
      <c r="G1145" t="s">
        <v>19</v>
      </c>
      <c r="H1145" t="s">
        <v>19</v>
      </c>
      <c r="I1145" s="1">
        <v>46041</v>
      </c>
      <c r="J1145" s="1">
        <v>46041</v>
      </c>
      <c r="K1145" s="1">
        <v>46041</v>
      </c>
      <c r="L1145">
        <v>36</v>
      </c>
      <c r="M1145">
        <v>3.46</v>
      </c>
      <c r="N1145">
        <v>3.46</v>
      </c>
      <c r="O1145">
        <v>0</v>
      </c>
      <c r="P1145">
        <v>0</v>
      </c>
      <c r="Q1145" t="s">
        <v>108</v>
      </c>
    </row>
    <row r="1146" spans="1:17">
      <c r="A1146" t="s">
        <v>93</v>
      </c>
      <c r="B1146" t="s">
        <v>106</v>
      </c>
      <c r="C1146" t="s">
        <v>56</v>
      </c>
      <c r="D1146" t="s">
        <v>929</v>
      </c>
      <c r="E1146">
        <v>15</v>
      </c>
      <c r="F1146" t="str">
        <f>VLOOKUP(E1146,[1]LOJA!$A:$B,2,0)</f>
        <v>UNAÍ</v>
      </c>
      <c r="G1146" t="s">
        <v>19</v>
      </c>
      <c r="H1146" t="s">
        <v>19</v>
      </c>
      <c r="I1146" s="1">
        <v>46041</v>
      </c>
      <c r="J1146" s="1">
        <v>46039</v>
      </c>
      <c r="K1146" s="1">
        <v>46041</v>
      </c>
      <c r="L1146">
        <v>36</v>
      </c>
      <c r="M1146">
        <v>1.66</v>
      </c>
      <c r="N1146">
        <v>1.66</v>
      </c>
      <c r="O1146">
        <v>0</v>
      </c>
      <c r="P1146">
        <v>0</v>
      </c>
      <c r="Q1146" t="s">
        <v>108</v>
      </c>
    </row>
    <row r="1147" spans="1:17">
      <c r="A1147" t="s">
        <v>93</v>
      </c>
      <c r="B1147" t="s">
        <v>106</v>
      </c>
      <c r="C1147" t="s">
        <v>56</v>
      </c>
      <c r="D1147" t="s">
        <v>930</v>
      </c>
      <c r="E1147">
        <v>15</v>
      </c>
      <c r="F1147" t="str">
        <f>VLOOKUP(E1147,[1]LOJA!$A:$B,2,0)</f>
        <v>UNAÍ</v>
      </c>
      <c r="G1147" t="s">
        <v>19</v>
      </c>
      <c r="H1147" t="s">
        <v>19</v>
      </c>
      <c r="I1147" s="1">
        <v>46041</v>
      </c>
      <c r="J1147" s="1">
        <v>46039</v>
      </c>
      <c r="K1147" s="1">
        <v>46041</v>
      </c>
      <c r="L1147">
        <v>36</v>
      </c>
      <c r="M1147">
        <v>1.0900000000000001</v>
      </c>
      <c r="N1147">
        <v>1.0900000000000001</v>
      </c>
      <c r="O1147">
        <v>0</v>
      </c>
      <c r="P1147">
        <v>0</v>
      </c>
      <c r="Q1147" t="s">
        <v>108</v>
      </c>
    </row>
    <row r="1148" spans="1:17">
      <c r="A1148" t="s">
        <v>93</v>
      </c>
      <c r="B1148" t="s">
        <v>106</v>
      </c>
      <c r="C1148" t="s">
        <v>56</v>
      </c>
      <c r="D1148" t="s">
        <v>931</v>
      </c>
      <c r="E1148">
        <v>15</v>
      </c>
      <c r="F1148" t="str">
        <f>VLOOKUP(E1148,[1]LOJA!$A:$B,2,0)</f>
        <v>UNAÍ</v>
      </c>
      <c r="G1148" t="s">
        <v>19</v>
      </c>
      <c r="H1148" t="s">
        <v>19</v>
      </c>
      <c r="I1148" s="1">
        <v>46041</v>
      </c>
      <c r="J1148" s="1">
        <v>46039</v>
      </c>
      <c r="K1148" s="1">
        <v>46041</v>
      </c>
      <c r="L1148">
        <v>36</v>
      </c>
      <c r="M1148">
        <v>0.17</v>
      </c>
      <c r="N1148">
        <v>0.17</v>
      </c>
      <c r="O1148">
        <v>0</v>
      </c>
      <c r="P1148">
        <v>0</v>
      </c>
      <c r="Q1148" t="s">
        <v>108</v>
      </c>
    </row>
    <row r="1149" spans="1:17">
      <c r="A1149" t="s">
        <v>93</v>
      </c>
      <c r="B1149" t="s">
        <v>106</v>
      </c>
      <c r="C1149" t="s">
        <v>56</v>
      </c>
      <c r="D1149" t="s">
        <v>932</v>
      </c>
      <c r="E1149">
        <v>15</v>
      </c>
      <c r="F1149" t="str">
        <f>VLOOKUP(E1149,[1]LOJA!$A:$B,2,0)</f>
        <v>UNAÍ</v>
      </c>
      <c r="G1149" t="s">
        <v>19</v>
      </c>
      <c r="H1149" t="s">
        <v>19</v>
      </c>
      <c r="I1149" s="1">
        <v>46041</v>
      </c>
      <c r="J1149" s="1">
        <v>46039</v>
      </c>
      <c r="K1149" s="1">
        <v>46041</v>
      </c>
      <c r="L1149">
        <v>36</v>
      </c>
      <c r="M1149">
        <v>0.67</v>
      </c>
      <c r="N1149">
        <v>0.67</v>
      </c>
      <c r="O1149">
        <v>0</v>
      </c>
      <c r="P1149">
        <v>0</v>
      </c>
      <c r="Q1149" t="s">
        <v>108</v>
      </c>
    </row>
    <row r="1150" spans="1:17">
      <c r="A1150" t="s">
        <v>93</v>
      </c>
      <c r="B1150" t="s">
        <v>106</v>
      </c>
      <c r="C1150" t="s">
        <v>56</v>
      </c>
      <c r="D1150" t="s">
        <v>933</v>
      </c>
      <c r="E1150">
        <v>15</v>
      </c>
      <c r="F1150" t="str">
        <f>VLOOKUP(E1150,[1]LOJA!$A:$B,2,0)</f>
        <v>UNAÍ</v>
      </c>
      <c r="G1150" t="s">
        <v>19</v>
      </c>
      <c r="H1150" t="s">
        <v>19</v>
      </c>
      <c r="I1150" s="1">
        <v>46041</v>
      </c>
      <c r="J1150" s="1">
        <v>46039</v>
      </c>
      <c r="K1150" s="1">
        <v>46041</v>
      </c>
      <c r="L1150">
        <v>36</v>
      </c>
      <c r="M1150">
        <v>2.73</v>
      </c>
      <c r="N1150">
        <v>2.73</v>
      </c>
      <c r="O1150">
        <v>0</v>
      </c>
      <c r="P1150">
        <v>0</v>
      </c>
      <c r="Q1150" t="s">
        <v>108</v>
      </c>
    </row>
    <row r="1151" spans="1:17">
      <c r="A1151" t="s">
        <v>93</v>
      </c>
      <c r="B1151" t="s">
        <v>106</v>
      </c>
      <c r="C1151" t="s">
        <v>56</v>
      </c>
      <c r="D1151" t="s">
        <v>934</v>
      </c>
      <c r="E1151">
        <v>15</v>
      </c>
      <c r="F1151" t="str">
        <f>VLOOKUP(E1151,[1]LOJA!$A:$B,2,0)</f>
        <v>UNAÍ</v>
      </c>
      <c r="G1151" t="s">
        <v>19</v>
      </c>
      <c r="H1151" t="s">
        <v>19</v>
      </c>
      <c r="I1151" s="1">
        <v>46041</v>
      </c>
      <c r="J1151" s="1">
        <v>46039</v>
      </c>
      <c r="K1151" s="1">
        <v>46041</v>
      </c>
      <c r="L1151">
        <v>36</v>
      </c>
      <c r="M1151">
        <v>1.84</v>
      </c>
      <c r="N1151">
        <v>1.84</v>
      </c>
      <c r="O1151">
        <v>0</v>
      </c>
      <c r="P1151">
        <v>0</v>
      </c>
      <c r="Q1151" t="s">
        <v>108</v>
      </c>
    </row>
    <row r="1152" spans="1:17">
      <c r="A1152" t="s">
        <v>93</v>
      </c>
      <c r="B1152" t="s">
        <v>106</v>
      </c>
      <c r="C1152" t="s">
        <v>56</v>
      </c>
      <c r="D1152" t="s">
        <v>935</v>
      </c>
      <c r="E1152">
        <v>15</v>
      </c>
      <c r="F1152" t="str">
        <f>VLOOKUP(E1152,[1]LOJA!$A:$B,2,0)</f>
        <v>UNAÍ</v>
      </c>
      <c r="G1152" t="s">
        <v>19</v>
      </c>
      <c r="H1152" t="s">
        <v>19</v>
      </c>
      <c r="I1152" s="1">
        <v>46041</v>
      </c>
      <c r="J1152" s="1">
        <v>46039</v>
      </c>
      <c r="K1152" s="1">
        <v>46041</v>
      </c>
      <c r="L1152">
        <v>36</v>
      </c>
      <c r="M1152">
        <v>4.3499999999999996</v>
      </c>
      <c r="N1152">
        <v>4.3499999999999996</v>
      </c>
      <c r="O1152">
        <v>0</v>
      </c>
      <c r="P1152">
        <v>0</v>
      </c>
      <c r="Q1152" t="s">
        <v>108</v>
      </c>
    </row>
    <row r="1153" spans="1:17">
      <c r="A1153" t="s">
        <v>93</v>
      </c>
      <c r="B1153" t="s">
        <v>106</v>
      </c>
      <c r="C1153" t="s">
        <v>56</v>
      </c>
      <c r="D1153" t="s">
        <v>936</v>
      </c>
      <c r="E1153">
        <v>15</v>
      </c>
      <c r="F1153" t="str">
        <f>VLOOKUP(E1153,[1]LOJA!$A:$B,2,0)</f>
        <v>UNAÍ</v>
      </c>
      <c r="G1153" t="s">
        <v>19</v>
      </c>
      <c r="H1153" t="s">
        <v>19</v>
      </c>
      <c r="I1153" s="1">
        <v>46041</v>
      </c>
      <c r="J1153" s="1">
        <v>46039</v>
      </c>
      <c r="K1153" s="1">
        <v>46041</v>
      </c>
      <c r="L1153">
        <v>36</v>
      </c>
      <c r="M1153">
        <v>5.61</v>
      </c>
      <c r="N1153">
        <v>5.61</v>
      </c>
      <c r="O1153">
        <v>0</v>
      </c>
      <c r="P1153">
        <v>0</v>
      </c>
      <c r="Q1153" t="s">
        <v>108</v>
      </c>
    </row>
    <row r="1154" spans="1:17">
      <c r="A1154" t="s">
        <v>93</v>
      </c>
      <c r="B1154" t="s">
        <v>106</v>
      </c>
      <c r="C1154" t="s">
        <v>56</v>
      </c>
      <c r="D1154" t="s">
        <v>937</v>
      </c>
      <c r="E1154">
        <v>15</v>
      </c>
      <c r="F1154" t="str">
        <f>VLOOKUP(E1154,[1]LOJA!$A:$B,2,0)</f>
        <v>UNAÍ</v>
      </c>
      <c r="G1154" t="s">
        <v>19</v>
      </c>
      <c r="H1154" t="s">
        <v>19</v>
      </c>
      <c r="I1154" s="1">
        <v>46041</v>
      </c>
      <c r="J1154" s="1">
        <v>46039</v>
      </c>
      <c r="K1154" s="1">
        <v>46041</v>
      </c>
      <c r="L1154">
        <v>36</v>
      </c>
      <c r="M1154">
        <v>4.1399999999999997</v>
      </c>
      <c r="N1154">
        <v>4.1399999999999997</v>
      </c>
      <c r="O1154">
        <v>0</v>
      </c>
      <c r="P1154">
        <v>0</v>
      </c>
      <c r="Q1154" t="s">
        <v>108</v>
      </c>
    </row>
    <row r="1155" spans="1:17">
      <c r="A1155" t="s">
        <v>93</v>
      </c>
      <c r="B1155" t="s">
        <v>106</v>
      </c>
      <c r="C1155" t="s">
        <v>56</v>
      </c>
      <c r="D1155" t="s">
        <v>938</v>
      </c>
      <c r="E1155">
        <v>15</v>
      </c>
      <c r="F1155" t="str">
        <f>VLOOKUP(E1155,[1]LOJA!$A:$B,2,0)</f>
        <v>UNAÍ</v>
      </c>
      <c r="G1155" t="s">
        <v>19</v>
      </c>
      <c r="H1155" t="s">
        <v>19</v>
      </c>
      <c r="I1155" s="1">
        <v>46041</v>
      </c>
      <c r="J1155" s="1">
        <v>46040</v>
      </c>
      <c r="K1155" s="1">
        <v>46041</v>
      </c>
      <c r="L1155">
        <v>36</v>
      </c>
      <c r="M1155">
        <v>1.26</v>
      </c>
      <c r="N1155">
        <v>1.26</v>
      </c>
      <c r="O1155">
        <v>0</v>
      </c>
      <c r="P1155">
        <v>0</v>
      </c>
      <c r="Q1155" t="s">
        <v>108</v>
      </c>
    </row>
    <row r="1156" spans="1:17">
      <c r="A1156" t="s">
        <v>93</v>
      </c>
      <c r="B1156" t="s">
        <v>106</v>
      </c>
      <c r="C1156" t="s">
        <v>56</v>
      </c>
      <c r="D1156" t="s">
        <v>939</v>
      </c>
      <c r="E1156">
        <v>15</v>
      </c>
      <c r="F1156" t="str">
        <f>VLOOKUP(E1156,[1]LOJA!$A:$B,2,0)</f>
        <v>UNAÍ</v>
      </c>
      <c r="G1156" t="s">
        <v>19</v>
      </c>
      <c r="H1156" t="s">
        <v>19</v>
      </c>
      <c r="I1156" s="1">
        <v>46041</v>
      </c>
      <c r="J1156" s="1">
        <v>46040</v>
      </c>
      <c r="K1156" s="1">
        <v>46041</v>
      </c>
      <c r="L1156">
        <v>36</v>
      </c>
      <c r="M1156">
        <v>1.18</v>
      </c>
      <c r="N1156">
        <v>1.18</v>
      </c>
      <c r="O1156">
        <v>0</v>
      </c>
      <c r="P1156">
        <v>0</v>
      </c>
      <c r="Q1156" t="s">
        <v>108</v>
      </c>
    </row>
    <row r="1157" spans="1:17">
      <c r="A1157" t="s">
        <v>93</v>
      </c>
      <c r="B1157" t="s">
        <v>106</v>
      </c>
      <c r="C1157" t="s">
        <v>56</v>
      </c>
      <c r="D1157" t="s">
        <v>940</v>
      </c>
      <c r="E1157">
        <v>15</v>
      </c>
      <c r="F1157" t="str">
        <f>VLOOKUP(E1157,[1]LOJA!$A:$B,2,0)</f>
        <v>UNAÍ</v>
      </c>
      <c r="G1157" t="s">
        <v>19</v>
      </c>
      <c r="H1157" t="s">
        <v>19</v>
      </c>
      <c r="I1157" s="1">
        <v>46041</v>
      </c>
      <c r="J1157" s="1">
        <v>46040</v>
      </c>
      <c r="K1157" s="1">
        <v>46041</v>
      </c>
      <c r="L1157">
        <v>36</v>
      </c>
      <c r="M1157">
        <v>1.24</v>
      </c>
      <c r="N1157">
        <v>1.24</v>
      </c>
      <c r="O1157">
        <v>0</v>
      </c>
      <c r="P1157">
        <v>0</v>
      </c>
      <c r="Q1157" t="s">
        <v>108</v>
      </c>
    </row>
    <row r="1158" spans="1:17">
      <c r="A1158" t="s">
        <v>93</v>
      </c>
      <c r="B1158" t="s">
        <v>106</v>
      </c>
      <c r="C1158" t="s">
        <v>56</v>
      </c>
      <c r="D1158" t="s">
        <v>941</v>
      </c>
      <c r="E1158">
        <v>15</v>
      </c>
      <c r="F1158" t="str">
        <f>VLOOKUP(E1158,[1]LOJA!$A:$B,2,0)</f>
        <v>UNAÍ</v>
      </c>
      <c r="G1158" t="s">
        <v>19</v>
      </c>
      <c r="H1158" t="s">
        <v>19</v>
      </c>
      <c r="I1158" s="1">
        <v>46041</v>
      </c>
      <c r="J1158" s="1">
        <v>46040</v>
      </c>
      <c r="K1158" s="1">
        <v>46041</v>
      </c>
      <c r="L1158">
        <v>36</v>
      </c>
      <c r="M1158">
        <v>0.81</v>
      </c>
      <c r="N1158">
        <v>0.81</v>
      </c>
      <c r="O1158">
        <v>0</v>
      </c>
      <c r="P1158">
        <v>0</v>
      </c>
      <c r="Q1158" t="s">
        <v>108</v>
      </c>
    </row>
    <row r="1159" spans="1:17">
      <c r="A1159" t="s">
        <v>93</v>
      </c>
      <c r="B1159" t="s">
        <v>106</v>
      </c>
      <c r="C1159" t="s">
        <v>56</v>
      </c>
      <c r="D1159" t="s">
        <v>942</v>
      </c>
      <c r="E1159">
        <v>15</v>
      </c>
      <c r="F1159" t="str">
        <f>VLOOKUP(E1159,[1]LOJA!$A:$B,2,0)</f>
        <v>UNAÍ</v>
      </c>
      <c r="G1159" t="s">
        <v>19</v>
      </c>
      <c r="H1159" t="s">
        <v>19</v>
      </c>
      <c r="I1159" s="1">
        <v>46041</v>
      </c>
      <c r="J1159" s="1">
        <v>46040</v>
      </c>
      <c r="K1159" s="1">
        <v>46041</v>
      </c>
      <c r="L1159">
        <v>36</v>
      </c>
      <c r="M1159">
        <v>0.89</v>
      </c>
      <c r="N1159">
        <v>0.89</v>
      </c>
      <c r="O1159">
        <v>0</v>
      </c>
      <c r="P1159">
        <v>0</v>
      </c>
      <c r="Q1159" t="s">
        <v>108</v>
      </c>
    </row>
    <row r="1160" spans="1:17">
      <c r="A1160" t="s">
        <v>93</v>
      </c>
      <c r="B1160" t="s">
        <v>106</v>
      </c>
      <c r="C1160" t="s">
        <v>56</v>
      </c>
      <c r="D1160" t="s">
        <v>943</v>
      </c>
      <c r="E1160">
        <v>15</v>
      </c>
      <c r="F1160" t="str">
        <f>VLOOKUP(E1160,[1]LOJA!$A:$B,2,0)</f>
        <v>UNAÍ</v>
      </c>
      <c r="G1160" t="s">
        <v>19</v>
      </c>
      <c r="H1160" t="s">
        <v>19</v>
      </c>
      <c r="I1160" s="1">
        <v>46041</v>
      </c>
      <c r="J1160" s="1">
        <v>46041</v>
      </c>
      <c r="K1160" s="1">
        <v>46041</v>
      </c>
      <c r="L1160">
        <v>36</v>
      </c>
      <c r="M1160">
        <v>0.48</v>
      </c>
      <c r="N1160">
        <v>0.48</v>
      </c>
      <c r="O1160">
        <v>0</v>
      </c>
      <c r="P1160">
        <v>0</v>
      </c>
      <c r="Q1160" t="s">
        <v>108</v>
      </c>
    </row>
    <row r="1161" spans="1:17">
      <c r="A1161" t="s">
        <v>93</v>
      </c>
      <c r="B1161" t="s">
        <v>106</v>
      </c>
      <c r="C1161" t="s">
        <v>56</v>
      </c>
      <c r="D1161" t="s">
        <v>944</v>
      </c>
      <c r="E1161">
        <v>15</v>
      </c>
      <c r="F1161" t="str">
        <f>VLOOKUP(E1161,[1]LOJA!$A:$B,2,0)</f>
        <v>UNAÍ</v>
      </c>
      <c r="G1161" t="s">
        <v>19</v>
      </c>
      <c r="H1161" t="s">
        <v>19</v>
      </c>
      <c r="I1161" s="1">
        <v>46041</v>
      </c>
      <c r="J1161" s="1">
        <v>46041</v>
      </c>
      <c r="K1161" s="1">
        <v>46041</v>
      </c>
      <c r="L1161">
        <v>36</v>
      </c>
      <c r="M1161">
        <v>0.11</v>
      </c>
      <c r="N1161">
        <v>0.11</v>
      </c>
      <c r="O1161">
        <v>0</v>
      </c>
      <c r="P1161">
        <v>0</v>
      </c>
      <c r="Q1161" t="s">
        <v>108</v>
      </c>
    </row>
    <row r="1162" spans="1:17">
      <c r="A1162" t="s">
        <v>93</v>
      </c>
      <c r="B1162" t="s">
        <v>106</v>
      </c>
      <c r="C1162" t="s">
        <v>56</v>
      </c>
      <c r="D1162" t="s">
        <v>945</v>
      </c>
      <c r="E1162">
        <v>15</v>
      </c>
      <c r="F1162" t="str">
        <f>VLOOKUP(E1162,[1]LOJA!$A:$B,2,0)</f>
        <v>UNAÍ</v>
      </c>
      <c r="G1162" t="s">
        <v>19</v>
      </c>
      <c r="H1162" t="s">
        <v>19</v>
      </c>
      <c r="I1162" s="1">
        <v>46041</v>
      </c>
      <c r="J1162" s="1">
        <v>46041</v>
      </c>
      <c r="K1162" s="1">
        <v>46041</v>
      </c>
      <c r="L1162">
        <v>36</v>
      </c>
      <c r="M1162">
        <v>0.88</v>
      </c>
      <c r="N1162">
        <v>0.88</v>
      </c>
      <c r="O1162">
        <v>0</v>
      </c>
      <c r="P1162">
        <v>0</v>
      </c>
      <c r="Q1162" t="s">
        <v>108</v>
      </c>
    </row>
    <row r="1163" spans="1:17">
      <c r="A1163" t="s">
        <v>93</v>
      </c>
      <c r="B1163" t="s">
        <v>106</v>
      </c>
      <c r="C1163" t="s">
        <v>56</v>
      </c>
      <c r="D1163" t="s">
        <v>946</v>
      </c>
      <c r="E1163">
        <v>15</v>
      </c>
      <c r="F1163" t="str">
        <f>VLOOKUP(E1163,[1]LOJA!$A:$B,2,0)</f>
        <v>UNAÍ</v>
      </c>
      <c r="G1163" t="s">
        <v>19</v>
      </c>
      <c r="H1163" t="s">
        <v>19</v>
      </c>
      <c r="I1163" s="1">
        <v>46041</v>
      </c>
      <c r="J1163" s="1">
        <v>46041</v>
      </c>
      <c r="K1163" s="1">
        <v>46041</v>
      </c>
      <c r="L1163">
        <v>36</v>
      </c>
      <c r="M1163">
        <v>0.9</v>
      </c>
      <c r="N1163">
        <v>0.9</v>
      </c>
      <c r="O1163">
        <v>0</v>
      </c>
      <c r="P1163">
        <v>0</v>
      </c>
      <c r="Q1163" t="s">
        <v>108</v>
      </c>
    </row>
    <row r="1164" spans="1:17">
      <c r="A1164" t="s">
        <v>93</v>
      </c>
      <c r="B1164" t="s">
        <v>106</v>
      </c>
      <c r="C1164" t="s">
        <v>56</v>
      </c>
      <c r="D1164" t="s">
        <v>947</v>
      </c>
      <c r="E1164">
        <v>15</v>
      </c>
      <c r="F1164" t="str">
        <f>VLOOKUP(E1164,[1]LOJA!$A:$B,2,0)</f>
        <v>UNAÍ</v>
      </c>
      <c r="G1164" t="s">
        <v>19</v>
      </c>
      <c r="H1164" t="s">
        <v>19</v>
      </c>
      <c r="I1164" s="1">
        <v>46041</v>
      </c>
      <c r="J1164" s="1">
        <v>46039</v>
      </c>
      <c r="K1164" s="1">
        <v>46041</v>
      </c>
      <c r="L1164">
        <v>36</v>
      </c>
      <c r="M1164">
        <v>0.35</v>
      </c>
      <c r="N1164">
        <v>0.35</v>
      </c>
      <c r="O1164">
        <v>0</v>
      </c>
      <c r="P1164">
        <v>0</v>
      </c>
      <c r="Q1164" t="s">
        <v>108</v>
      </c>
    </row>
    <row r="1165" spans="1:17">
      <c r="A1165" t="s">
        <v>93</v>
      </c>
      <c r="B1165" t="s">
        <v>106</v>
      </c>
      <c r="C1165" t="s">
        <v>56</v>
      </c>
      <c r="D1165" t="s">
        <v>948</v>
      </c>
      <c r="E1165">
        <v>15</v>
      </c>
      <c r="F1165" t="str">
        <f>VLOOKUP(E1165,[1]LOJA!$A:$B,2,0)</f>
        <v>UNAÍ</v>
      </c>
      <c r="G1165" t="s">
        <v>19</v>
      </c>
      <c r="H1165" t="s">
        <v>19</v>
      </c>
      <c r="I1165" s="1">
        <v>46041</v>
      </c>
      <c r="J1165" s="1">
        <v>46039</v>
      </c>
      <c r="K1165" s="1">
        <v>46041</v>
      </c>
      <c r="L1165">
        <v>36</v>
      </c>
      <c r="M1165">
        <v>1.04</v>
      </c>
      <c r="N1165">
        <v>1.04</v>
      </c>
      <c r="O1165">
        <v>0</v>
      </c>
      <c r="P1165">
        <v>0</v>
      </c>
      <c r="Q1165" t="s">
        <v>108</v>
      </c>
    </row>
    <row r="1166" spans="1:17">
      <c r="A1166" t="s">
        <v>93</v>
      </c>
      <c r="B1166" t="s">
        <v>106</v>
      </c>
      <c r="C1166" t="s">
        <v>56</v>
      </c>
      <c r="D1166" t="s">
        <v>949</v>
      </c>
      <c r="E1166">
        <v>15</v>
      </c>
      <c r="F1166" t="str">
        <f>VLOOKUP(E1166,[1]LOJA!$A:$B,2,0)</f>
        <v>UNAÍ</v>
      </c>
      <c r="G1166" t="s">
        <v>19</v>
      </c>
      <c r="H1166" t="s">
        <v>19</v>
      </c>
      <c r="I1166" s="1">
        <v>46041</v>
      </c>
      <c r="J1166" s="1">
        <v>46039</v>
      </c>
      <c r="K1166" s="1">
        <v>46041</v>
      </c>
      <c r="L1166">
        <v>36</v>
      </c>
      <c r="M1166">
        <v>0.28999999999999998</v>
      </c>
      <c r="N1166">
        <v>0.28999999999999998</v>
      </c>
      <c r="O1166">
        <v>0</v>
      </c>
      <c r="P1166">
        <v>0</v>
      </c>
      <c r="Q1166" t="s">
        <v>108</v>
      </c>
    </row>
    <row r="1167" spans="1:17">
      <c r="A1167" t="s">
        <v>93</v>
      </c>
      <c r="B1167" t="s">
        <v>106</v>
      </c>
      <c r="C1167" t="s">
        <v>56</v>
      </c>
      <c r="D1167" t="s">
        <v>950</v>
      </c>
      <c r="E1167">
        <v>15</v>
      </c>
      <c r="F1167" t="str">
        <f>VLOOKUP(E1167,[1]LOJA!$A:$B,2,0)</f>
        <v>UNAÍ</v>
      </c>
      <c r="G1167" t="s">
        <v>19</v>
      </c>
      <c r="H1167" t="s">
        <v>19</v>
      </c>
      <c r="I1167" s="1">
        <v>46041</v>
      </c>
      <c r="J1167" s="1">
        <v>46039</v>
      </c>
      <c r="K1167" s="1">
        <v>46041</v>
      </c>
      <c r="L1167">
        <v>36</v>
      </c>
      <c r="M1167">
        <v>0.17</v>
      </c>
      <c r="N1167">
        <v>0.17</v>
      </c>
      <c r="O1167">
        <v>0</v>
      </c>
      <c r="P1167">
        <v>0</v>
      </c>
      <c r="Q1167" t="s">
        <v>108</v>
      </c>
    </row>
    <row r="1168" spans="1:17">
      <c r="A1168" t="s">
        <v>93</v>
      </c>
      <c r="B1168" t="s">
        <v>106</v>
      </c>
      <c r="C1168" t="s">
        <v>56</v>
      </c>
      <c r="D1168" t="s">
        <v>951</v>
      </c>
      <c r="E1168">
        <v>15</v>
      </c>
      <c r="F1168" t="str">
        <f>VLOOKUP(E1168,[1]LOJA!$A:$B,2,0)</f>
        <v>UNAÍ</v>
      </c>
      <c r="G1168" t="s">
        <v>19</v>
      </c>
      <c r="H1168" t="s">
        <v>19</v>
      </c>
      <c r="I1168" s="1">
        <v>46041</v>
      </c>
      <c r="J1168" s="1">
        <v>46039</v>
      </c>
      <c r="K1168" s="1">
        <v>46041</v>
      </c>
      <c r="L1168">
        <v>36</v>
      </c>
      <c r="M1168">
        <v>5.41</v>
      </c>
      <c r="N1168">
        <v>5.41</v>
      </c>
      <c r="O1168">
        <v>0</v>
      </c>
      <c r="P1168">
        <v>0</v>
      </c>
      <c r="Q1168" t="s">
        <v>108</v>
      </c>
    </row>
    <row r="1169" spans="1:17">
      <c r="A1169" t="s">
        <v>93</v>
      </c>
      <c r="B1169" t="s">
        <v>106</v>
      </c>
      <c r="C1169" t="s">
        <v>56</v>
      </c>
      <c r="D1169" t="s">
        <v>952</v>
      </c>
      <c r="E1169">
        <v>15</v>
      </c>
      <c r="F1169" t="str">
        <f>VLOOKUP(E1169,[1]LOJA!$A:$B,2,0)</f>
        <v>UNAÍ</v>
      </c>
      <c r="G1169" t="s">
        <v>19</v>
      </c>
      <c r="H1169" t="s">
        <v>19</v>
      </c>
      <c r="I1169" s="1">
        <v>46041</v>
      </c>
      <c r="J1169" s="1">
        <v>46039</v>
      </c>
      <c r="K1169" s="1">
        <v>46041</v>
      </c>
      <c r="L1169">
        <v>36</v>
      </c>
      <c r="M1169">
        <v>0.11</v>
      </c>
      <c r="N1169">
        <v>0.11</v>
      </c>
      <c r="O1169">
        <v>0</v>
      </c>
      <c r="P1169">
        <v>0</v>
      </c>
      <c r="Q1169" t="s">
        <v>108</v>
      </c>
    </row>
    <row r="1170" spans="1:17">
      <c r="A1170" t="s">
        <v>93</v>
      </c>
      <c r="B1170" t="s">
        <v>106</v>
      </c>
      <c r="C1170" t="s">
        <v>56</v>
      </c>
      <c r="D1170" t="s">
        <v>953</v>
      </c>
      <c r="E1170">
        <v>15</v>
      </c>
      <c r="F1170" t="str">
        <f>VLOOKUP(E1170,[1]LOJA!$A:$B,2,0)</f>
        <v>UNAÍ</v>
      </c>
      <c r="G1170" t="s">
        <v>19</v>
      </c>
      <c r="H1170" t="s">
        <v>19</v>
      </c>
      <c r="I1170" s="1">
        <v>46041</v>
      </c>
      <c r="J1170" s="1">
        <v>46039</v>
      </c>
      <c r="K1170" s="1">
        <v>46041</v>
      </c>
      <c r="L1170">
        <v>36</v>
      </c>
      <c r="M1170">
        <v>0.05</v>
      </c>
      <c r="N1170">
        <v>0.05</v>
      </c>
      <c r="O1170">
        <v>0</v>
      </c>
      <c r="P1170">
        <v>0</v>
      </c>
      <c r="Q1170" t="s">
        <v>108</v>
      </c>
    </row>
    <row r="1171" spans="1:17">
      <c r="A1171" t="s">
        <v>93</v>
      </c>
      <c r="B1171" t="s">
        <v>106</v>
      </c>
      <c r="C1171" t="s">
        <v>56</v>
      </c>
      <c r="D1171" t="s">
        <v>954</v>
      </c>
      <c r="E1171">
        <v>15</v>
      </c>
      <c r="F1171" t="str">
        <f>VLOOKUP(E1171,[1]LOJA!$A:$B,2,0)</f>
        <v>UNAÍ</v>
      </c>
      <c r="G1171" t="s">
        <v>19</v>
      </c>
      <c r="H1171" t="s">
        <v>19</v>
      </c>
      <c r="I1171" s="1">
        <v>46041</v>
      </c>
      <c r="J1171" s="1">
        <v>46040</v>
      </c>
      <c r="K1171" s="1">
        <v>46041</v>
      </c>
      <c r="L1171">
        <v>36</v>
      </c>
      <c r="M1171">
        <v>0.11</v>
      </c>
      <c r="N1171">
        <v>0.11</v>
      </c>
      <c r="O1171">
        <v>0</v>
      </c>
      <c r="P1171">
        <v>0</v>
      </c>
      <c r="Q1171" t="s">
        <v>108</v>
      </c>
    </row>
    <row r="1172" spans="1:17">
      <c r="A1172" t="s">
        <v>93</v>
      </c>
      <c r="B1172" t="s">
        <v>106</v>
      </c>
      <c r="C1172" t="s">
        <v>56</v>
      </c>
      <c r="D1172" t="s">
        <v>955</v>
      </c>
      <c r="E1172">
        <v>15</v>
      </c>
      <c r="F1172" t="str">
        <f>VLOOKUP(E1172,[1]LOJA!$A:$B,2,0)</f>
        <v>UNAÍ</v>
      </c>
      <c r="G1172" t="s">
        <v>19</v>
      </c>
      <c r="H1172" t="s">
        <v>19</v>
      </c>
      <c r="I1172" s="1">
        <v>46041</v>
      </c>
      <c r="J1172" s="1">
        <v>46040</v>
      </c>
      <c r="K1172" s="1">
        <v>46041</v>
      </c>
      <c r="L1172">
        <v>36</v>
      </c>
      <c r="M1172">
        <v>7.0000000000000007E-2</v>
      </c>
      <c r="N1172">
        <v>7.0000000000000007E-2</v>
      </c>
      <c r="O1172">
        <v>0</v>
      </c>
      <c r="P1172">
        <v>0</v>
      </c>
      <c r="Q1172" t="s">
        <v>108</v>
      </c>
    </row>
    <row r="1173" spans="1:17">
      <c r="A1173" t="s">
        <v>93</v>
      </c>
      <c r="B1173" t="s">
        <v>106</v>
      </c>
      <c r="C1173" t="s">
        <v>56</v>
      </c>
      <c r="D1173" t="s">
        <v>956</v>
      </c>
      <c r="E1173">
        <v>15</v>
      </c>
      <c r="F1173" t="str">
        <f>VLOOKUP(E1173,[1]LOJA!$A:$B,2,0)</f>
        <v>UNAÍ</v>
      </c>
      <c r="G1173" t="s">
        <v>19</v>
      </c>
      <c r="H1173" t="s">
        <v>19</v>
      </c>
      <c r="I1173" s="1">
        <v>46041</v>
      </c>
      <c r="J1173" s="1">
        <v>46040</v>
      </c>
      <c r="K1173" s="1">
        <v>46041</v>
      </c>
      <c r="L1173">
        <v>36</v>
      </c>
      <c r="M1173">
        <v>0.15</v>
      </c>
      <c r="N1173">
        <v>0.15</v>
      </c>
      <c r="O1173">
        <v>0</v>
      </c>
      <c r="P1173">
        <v>0</v>
      </c>
      <c r="Q1173" t="s">
        <v>108</v>
      </c>
    </row>
    <row r="1174" spans="1:17">
      <c r="A1174" t="s">
        <v>93</v>
      </c>
      <c r="B1174" t="s">
        <v>106</v>
      </c>
      <c r="C1174" t="s">
        <v>56</v>
      </c>
      <c r="D1174" t="s">
        <v>957</v>
      </c>
      <c r="E1174">
        <v>15</v>
      </c>
      <c r="F1174" t="str">
        <f>VLOOKUP(E1174,[1]LOJA!$A:$B,2,0)</f>
        <v>UNAÍ</v>
      </c>
      <c r="G1174" t="s">
        <v>19</v>
      </c>
      <c r="H1174" t="s">
        <v>19</v>
      </c>
      <c r="I1174" s="1">
        <v>46041</v>
      </c>
      <c r="J1174" s="1">
        <v>46040</v>
      </c>
      <c r="K1174" s="1">
        <v>46041</v>
      </c>
      <c r="L1174">
        <v>36</v>
      </c>
      <c r="M1174">
        <v>5.82</v>
      </c>
      <c r="N1174">
        <v>5.82</v>
      </c>
      <c r="O1174">
        <v>0</v>
      </c>
      <c r="P1174">
        <v>0</v>
      </c>
      <c r="Q1174" t="s">
        <v>108</v>
      </c>
    </row>
    <row r="1175" spans="1:17">
      <c r="A1175" t="s">
        <v>93</v>
      </c>
      <c r="B1175" t="s">
        <v>106</v>
      </c>
      <c r="C1175" t="s">
        <v>56</v>
      </c>
      <c r="D1175" t="s">
        <v>958</v>
      </c>
      <c r="E1175">
        <v>15</v>
      </c>
      <c r="F1175" t="str">
        <f>VLOOKUP(E1175,[1]LOJA!$A:$B,2,0)</f>
        <v>UNAÍ</v>
      </c>
      <c r="G1175" t="s">
        <v>19</v>
      </c>
      <c r="H1175" t="s">
        <v>19</v>
      </c>
      <c r="I1175" s="1">
        <v>46041</v>
      </c>
      <c r="J1175" s="1">
        <v>46040</v>
      </c>
      <c r="K1175" s="1">
        <v>46041</v>
      </c>
      <c r="L1175">
        <v>36</v>
      </c>
      <c r="M1175">
        <v>0.26</v>
      </c>
      <c r="N1175">
        <v>0.26</v>
      </c>
      <c r="O1175">
        <v>0</v>
      </c>
      <c r="P1175">
        <v>0</v>
      </c>
      <c r="Q1175" t="s">
        <v>108</v>
      </c>
    </row>
    <row r="1176" spans="1:17">
      <c r="A1176" t="s">
        <v>93</v>
      </c>
      <c r="B1176" t="s">
        <v>106</v>
      </c>
      <c r="C1176" t="s">
        <v>56</v>
      </c>
      <c r="D1176" t="s">
        <v>959</v>
      </c>
      <c r="E1176">
        <v>15</v>
      </c>
      <c r="F1176" t="str">
        <f>VLOOKUP(E1176,[1]LOJA!$A:$B,2,0)</f>
        <v>UNAÍ</v>
      </c>
      <c r="G1176" t="s">
        <v>19</v>
      </c>
      <c r="H1176" t="s">
        <v>19</v>
      </c>
      <c r="I1176" s="1">
        <v>46041</v>
      </c>
      <c r="J1176" s="1">
        <v>46040</v>
      </c>
      <c r="K1176" s="1">
        <v>46041</v>
      </c>
      <c r="L1176">
        <v>36</v>
      </c>
      <c r="M1176">
        <v>0.2</v>
      </c>
      <c r="N1176">
        <v>0.2</v>
      </c>
      <c r="O1176">
        <v>0</v>
      </c>
      <c r="P1176">
        <v>0</v>
      </c>
      <c r="Q1176" t="s">
        <v>108</v>
      </c>
    </row>
    <row r="1177" spans="1:17">
      <c r="A1177" t="s">
        <v>93</v>
      </c>
      <c r="B1177" t="s">
        <v>106</v>
      </c>
      <c r="C1177" t="s">
        <v>56</v>
      </c>
      <c r="D1177" t="s">
        <v>960</v>
      </c>
      <c r="E1177">
        <v>15</v>
      </c>
      <c r="F1177" t="str">
        <f>VLOOKUP(E1177,[1]LOJA!$A:$B,2,0)</f>
        <v>UNAÍ</v>
      </c>
      <c r="G1177" t="s">
        <v>19</v>
      </c>
      <c r="H1177" t="s">
        <v>19</v>
      </c>
      <c r="I1177" s="1">
        <v>46041</v>
      </c>
      <c r="J1177" s="1">
        <v>46040</v>
      </c>
      <c r="K1177" s="1">
        <v>46041</v>
      </c>
      <c r="L1177">
        <v>36</v>
      </c>
      <c r="M1177">
        <v>0.22</v>
      </c>
      <c r="N1177">
        <v>0.22</v>
      </c>
      <c r="O1177">
        <v>0</v>
      </c>
      <c r="P1177">
        <v>0</v>
      </c>
      <c r="Q1177" t="s">
        <v>108</v>
      </c>
    </row>
    <row r="1178" spans="1:17">
      <c r="A1178" t="s">
        <v>93</v>
      </c>
      <c r="B1178" t="s">
        <v>106</v>
      </c>
      <c r="C1178" t="s">
        <v>56</v>
      </c>
      <c r="D1178" t="s">
        <v>961</v>
      </c>
      <c r="E1178">
        <v>15</v>
      </c>
      <c r="F1178" t="str">
        <f>VLOOKUP(E1178,[1]LOJA!$A:$B,2,0)</f>
        <v>UNAÍ</v>
      </c>
      <c r="G1178" t="s">
        <v>19</v>
      </c>
      <c r="H1178" t="s">
        <v>19</v>
      </c>
      <c r="I1178" s="1">
        <v>46041</v>
      </c>
      <c r="J1178" s="1">
        <v>46040</v>
      </c>
      <c r="K1178" s="1">
        <v>46041</v>
      </c>
      <c r="L1178">
        <v>36</v>
      </c>
      <c r="M1178">
        <v>0.66</v>
      </c>
      <c r="N1178">
        <v>0.66</v>
      </c>
      <c r="O1178">
        <v>0</v>
      </c>
      <c r="P1178">
        <v>0</v>
      </c>
      <c r="Q1178" t="s">
        <v>108</v>
      </c>
    </row>
    <row r="1179" spans="1:17">
      <c r="A1179" t="s">
        <v>93</v>
      </c>
      <c r="B1179" t="s">
        <v>106</v>
      </c>
      <c r="C1179" t="s">
        <v>56</v>
      </c>
      <c r="D1179" t="s">
        <v>962</v>
      </c>
      <c r="E1179">
        <v>15</v>
      </c>
      <c r="F1179" t="str">
        <f>VLOOKUP(E1179,[1]LOJA!$A:$B,2,0)</f>
        <v>UNAÍ</v>
      </c>
      <c r="G1179" t="s">
        <v>19</v>
      </c>
      <c r="H1179" t="s">
        <v>19</v>
      </c>
      <c r="I1179" s="1">
        <v>46041</v>
      </c>
      <c r="J1179" s="1">
        <v>46040</v>
      </c>
      <c r="K1179" s="1">
        <v>46041</v>
      </c>
      <c r="L1179">
        <v>36</v>
      </c>
      <c r="M1179">
        <v>1.71</v>
      </c>
      <c r="N1179">
        <v>1.71</v>
      </c>
      <c r="O1179">
        <v>0</v>
      </c>
      <c r="P1179">
        <v>0</v>
      </c>
      <c r="Q1179" t="s">
        <v>108</v>
      </c>
    </row>
    <row r="1180" spans="1:17">
      <c r="A1180" t="s">
        <v>93</v>
      </c>
      <c r="B1180" t="s">
        <v>106</v>
      </c>
      <c r="C1180" t="s">
        <v>56</v>
      </c>
      <c r="D1180" t="s">
        <v>963</v>
      </c>
      <c r="E1180">
        <v>15</v>
      </c>
      <c r="F1180" t="str">
        <f>VLOOKUP(E1180,[1]LOJA!$A:$B,2,0)</f>
        <v>UNAÍ</v>
      </c>
      <c r="G1180" t="s">
        <v>19</v>
      </c>
      <c r="H1180" t="s">
        <v>19</v>
      </c>
      <c r="I1180" s="1">
        <v>46042</v>
      </c>
      <c r="J1180" s="1">
        <v>46042</v>
      </c>
      <c r="K1180" s="1">
        <v>46042</v>
      </c>
      <c r="L1180">
        <v>36</v>
      </c>
      <c r="M1180">
        <v>0.49</v>
      </c>
      <c r="N1180">
        <v>0.49</v>
      </c>
      <c r="O1180">
        <v>0</v>
      </c>
      <c r="P1180">
        <v>0</v>
      </c>
      <c r="Q1180" t="s">
        <v>108</v>
      </c>
    </row>
    <row r="1181" spans="1:17">
      <c r="A1181" t="s">
        <v>93</v>
      </c>
      <c r="B1181" t="s">
        <v>106</v>
      </c>
      <c r="C1181" t="s">
        <v>56</v>
      </c>
      <c r="D1181" t="s">
        <v>964</v>
      </c>
      <c r="E1181">
        <v>15</v>
      </c>
      <c r="F1181" t="str">
        <f>VLOOKUP(E1181,[1]LOJA!$A:$B,2,0)</f>
        <v>UNAÍ</v>
      </c>
      <c r="G1181" t="s">
        <v>19</v>
      </c>
      <c r="H1181" t="s">
        <v>19</v>
      </c>
      <c r="I1181" s="1">
        <v>46042</v>
      </c>
      <c r="J1181" s="1">
        <v>46042</v>
      </c>
      <c r="K1181" s="1">
        <v>46042</v>
      </c>
      <c r="L1181">
        <v>36</v>
      </c>
      <c r="M1181">
        <v>0.84</v>
      </c>
      <c r="N1181">
        <v>0.84</v>
      </c>
      <c r="O1181">
        <v>0</v>
      </c>
      <c r="P1181">
        <v>0</v>
      </c>
      <c r="Q1181" t="s">
        <v>108</v>
      </c>
    </row>
    <row r="1182" spans="1:17">
      <c r="A1182" t="s">
        <v>93</v>
      </c>
      <c r="B1182" t="s">
        <v>106</v>
      </c>
      <c r="C1182" t="s">
        <v>56</v>
      </c>
      <c r="D1182" t="s">
        <v>965</v>
      </c>
      <c r="E1182">
        <v>15</v>
      </c>
      <c r="F1182" t="str">
        <f>VLOOKUP(E1182,[1]LOJA!$A:$B,2,0)</f>
        <v>UNAÍ</v>
      </c>
      <c r="G1182" t="s">
        <v>19</v>
      </c>
      <c r="H1182" t="s">
        <v>19</v>
      </c>
      <c r="I1182" s="1">
        <v>46042</v>
      </c>
      <c r="J1182" s="1">
        <v>46042</v>
      </c>
      <c r="K1182" s="1">
        <v>46042</v>
      </c>
      <c r="L1182">
        <v>36</v>
      </c>
      <c r="M1182">
        <v>1.54</v>
      </c>
      <c r="N1182">
        <v>1.54</v>
      </c>
      <c r="O1182">
        <v>0</v>
      </c>
      <c r="P1182">
        <v>0</v>
      </c>
      <c r="Q1182" t="s">
        <v>108</v>
      </c>
    </row>
    <row r="1183" spans="1:17">
      <c r="A1183" t="s">
        <v>93</v>
      </c>
      <c r="B1183" t="s">
        <v>106</v>
      </c>
      <c r="C1183" t="s">
        <v>56</v>
      </c>
      <c r="D1183" t="s">
        <v>966</v>
      </c>
      <c r="E1183">
        <v>15</v>
      </c>
      <c r="F1183" t="str">
        <f>VLOOKUP(E1183,[1]LOJA!$A:$B,2,0)</f>
        <v>UNAÍ</v>
      </c>
      <c r="G1183" t="s">
        <v>19</v>
      </c>
      <c r="H1183" t="s">
        <v>19</v>
      </c>
      <c r="I1183" s="1">
        <v>46042</v>
      </c>
      <c r="J1183" s="1">
        <v>46042</v>
      </c>
      <c r="K1183" s="1">
        <v>46042</v>
      </c>
      <c r="L1183">
        <v>36</v>
      </c>
      <c r="M1183">
        <v>0.13</v>
      </c>
      <c r="N1183">
        <v>0.13</v>
      </c>
      <c r="O1183">
        <v>0</v>
      </c>
      <c r="P1183">
        <v>0</v>
      </c>
      <c r="Q1183" t="s">
        <v>108</v>
      </c>
    </row>
    <row r="1184" spans="1:17">
      <c r="A1184" t="s">
        <v>93</v>
      </c>
      <c r="B1184" t="s">
        <v>106</v>
      </c>
      <c r="C1184" t="s">
        <v>56</v>
      </c>
      <c r="D1184" t="s">
        <v>967</v>
      </c>
      <c r="E1184">
        <v>15</v>
      </c>
      <c r="F1184" t="str">
        <f>VLOOKUP(E1184,[1]LOJA!$A:$B,2,0)</f>
        <v>UNAÍ</v>
      </c>
      <c r="G1184" t="s">
        <v>19</v>
      </c>
      <c r="H1184" t="s">
        <v>19</v>
      </c>
      <c r="I1184" s="1">
        <v>46042</v>
      </c>
      <c r="J1184" s="1">
        <v>46042</v>
      </c>
      <c r="K1184" s="1">
        <v>46042</v>
      </c>
      <c r="L1184">
        <v>36</v>
      </c>
      <c r="M1184">
        <v>0.94</v>
      </c>
      <c r="N1184">
        <v>0.94</v>
      </c>
      <c r="O1184">
        <v>0</v>
      </c>
      <c r="P1184">
        <v>0</v>
      </c>
      <c r="Q1184" t="s">
        <v>108</v>
      </c>
    </row>
    <row r="1185" spans="1:17">
      <c r="A1185" t="s">
        <v>93</v>
      </c>
      <c r="B1185" t="s">
        <v>106</v>
      </c>
      <c r="C1185" t="s">
        <v>56</v>
      </c>
      <c r="D1185" t="s">
        <v>968</v>
      </c>
      <c r="E1185">
        <v>15</v>
      </c>
      <c r="F1185" t="str">
        <f>VLOOKUP(E1185,[1]LOJA!$A:$B,2,0)</f>
        <v>UNAÍ</v>
      </c>
      <c r="G1185" t="s">
        <v>19</v>
      </c>
      <c r="H1185" t="s">
        <v>19</v>
      </c>
      <c r="I1185" s="1">
        <v>46042</v>
      </c>
      <c r="J1185" s="1">
        <v>46042</v>
      </c>
      <c r="K1185" s="1">
        <v>46042</v>
      </c>
      <c r="L1185">
        <v>36</v>
      </c>
      <c r="M1185">
        <v>1.59</v>
      </c>
      <c r="N1185">
        <v>1.59</v>
      </c>
      <c r="O1185">
        <v>0</v>
      </c>
      <c r="P1185">
        <v>0</v>
      </c>
      <c r="Q1185" t="s">
        <v>108</v>
      </c>
    </row>
    <row r="1186" spans="1:17">
      <c r="A1186" t="s">
        <v>93</v>
      </c>
      <c r="B1186" t="s">
        <v>106</v>
      </c>
      <c r="C1186" t="s">
        <v>56</v>
      </c>
      <c r="D1186" t="s">
        <v>969</v>
      </c>
      <c r="E1186">
        <v>15</v>
      </c>
      <c r="F1186" t="str">
        <f>VLOOKUP(E1186,[1]LOJA!$A:$B,2,0)</f>
        <v>UNAÍ</v>
      </c>
      <c r="G1186" t="s">
        <v>19</v>
      </c>
      <c r="H1186" t="s">
        <v>19</v>
      </c>
      <c r="I1186" s="1">
        <v>46042</v>
      </c>
      <c r="J1186" s="1">
        <v>46042</v>
      </c>
      <c r="K1186" s="1">
        <v>46042</v>
      </c>
      <c r="L1186">
        <v>36</v>
      </c>
      <c r="M1186">
        <v>0.11</v>
      </c>
      <c r="N1186">
        <v>0.11</v>
      </c>
      <c r="O1186">
        <v>0</v>
      </c>
      <c r="P1186">
        <v>0</v>
      </c>
      <c r="Q1186" t="s">
        <v>108</v>
      </c>
    </row>
    <row r="1187" spans="1:17">
      <c r="A1187" t="s">
        <v>93</v>
      </c>
      <c r="B1187" t="s">
        <v>106</v>
      </c>
      <c r="C1187" t="s">
        <v>56</v>
      </c>
      <c r="D1187" t="s">
        <v>970</v>
      </c>
      <c r="E1187">
        <v>15</v>
      </c>
      <c r="F1187" t="str">
        <f>VLOOKUP(E1187,[1]LOJA!$A:$B,2,0)</f>
        <v>UNAÍ</v>
      </c>
      <c r="G1187" t="s">
        <v>19</v>
      </c>
      <c r="H1187" t="s">
        <v>19</v>
      </c>
      <c r="I1187" s="1">
        <v>46042</v>
      </c>
      <c r="J1187" s="1">
        <v>46042</v>
      </c>
      <c r="K1187" s="1">
        <v>46042</v>
      </c>
      <c r="L1187">
        <v>36</v>
      </c>
      <c r="M1187">
        <v>1.68</v>
      </c>
      <c r="N1187">
        <v>1.68</v>
      </c>
      <c r="O1187">
        <v>0</v>
      </c>
      <c r="P1187">
        <v>0</v>
      </c>
      <c r="Q1187" t="s">
        <v>108</v>
      </c>
    </row>
    <row r="1188" spans="1:17">
      <c r="A1188" t="s">
        <v>93</v>
      </c>
      <c r="B1188" t="s">
        <v>106</v>
      </c>
      <c r="C1188" t="s">
        <v>56</v>
      </c>
      <c r="D1188" t="s">
        <v>971</v>
      </c>
      <c r="E1188">
        <v>15</v>
      </c>
      <c r="F1188" t="str">
        <f>VLOOKUP(E1188,[1]LOJA!$A:$B,2,0)</f>
        <v>UNAÍ</v>
      </c>
      <c r="G1188" t="s">
        <v>19</v>
      </c>
      <c r="H1188" t="s">
        <v>19</v>
      </c>
      <c r="I1188" s="1">
        <v>46042</v>
      </c>
      <c r="J1188" s="1">
        <v>46042</v>
      </c>
      <c r="K1188" s="1">
        <v>46042</v>
      </c>
      <c r="L1188">
        <v>36</v>
      </c>
      <c r="M1188">
        <v>0.55000000000000004</v>
      </c>
      <c r="N1188">
        <v>0.55000000000000004</v>
      </c>
      <c r="O1188">
        <v>0</v>
      </c>
      <c r="P1188">
        <v>0</v>
      </c>
      <c r="Q1188" t="s">
        <v>108</v>
      </c>
    </row>
    <row r="1189" spans="1:17">
      <c r="A1189" t="s">
        <v>93</v>
      </c>
      <c r="B1189" t="s">
        <v>106</v>
      </c>
      <c r="C1189" t="s">
        <v>56</v>
      </c>
      <c r="D1189" t="s">
        <v>972</v>
      </c>
      <c r="E1189">
        <v>15</v>
      </c>
      <c r="F1189" t="str">
        <f>VLOOKUP(E1189,[1]LOJA!$A:$B,2,0)</f>
        <v>UNAÍ</v>
      </c>
      <c r="G1189" t="s">
        <v>19</v>
      </c>
      <c r="H1189" t="s">
        <v>19</v>
      </c>
      <c r="I1189" s="1">
        <v>46042</v>
      </c>
      <c r="J1189" s="1">
        <v>46042</v>
      </c>
      <c r="K1189" s="1">
        <v>46042</v>
      </c>
      <c r="L1189">
        <v>36</v>
      </c>
      <c r="M1189">
        <v>0.21</v>
      </c>
      <c r="N1189">
        <v>0.21</v>
      </c>
      <c r="O1189">
        <v>0</v>
      </c>
      <c r="P1189">
        <v>0</v>
      </c>
      <c r="Q1189" t="s">
        <v>108</v>
      </c>
    </row>
    <row r="1190" spans="1:17">
      <c r="A1190" t="s">
        <v>93</v>
      </c>
      <c r="B1190" t="s">
        <v>106</v>
      </c>
      <c r="C1190" t="s">
        <v>56</v>
      </c>
      <c r="D1190" t="s">
        <v>973</v>
      </c>
      <c r="E1190">
        <v>15</v>
      </c>
      <c r="F1190" t="str">
        <f>VLOOKUP(E1190,[1]LOJA!$A:$B,2,0)</f>
        <v>UNAÍ</v>
      </c>
      <c r="G1190" t="s">
        <v>19</v>
      </c>
      <c r="H1190" t="s">
        <v>19</v>
      </c>
      <c r="I1190" s="1">
        <v>46042</v>
      </c>
      <c r="J1190" s="1">
        <v>46042</v>
      </c>
      <c r="K1190" s="1">
        <v>46042</v>
      </c>
      <c r="L1190">
        <v>36</v>
      </c>
      <c r="M1190">
        <v>0.85</v>
      </c>
      <c r="N1190">
        <v>0.85</v>
      </c>
      <c r="O1190">
        <v>0</v>
      </c>
      <c r="P1190">
        <v>0</v>
      </c>
      <c r="Q1190" t="s">
        <v>108</v>
      </c>
    </row>
    <row r="1191" spans="1:17">
      <c r="A1191" t="s">
        <v>93</v>
      </c>
      <c r="B1191" t="s">
        <v>106</v>
      </c>
      <c r="C1191" t="s">
        <v>56</v>
      </c>
      <c r="D1191" t="s">
        <v>974</v>
      </c>
      <c r="E1191">
        <v>15</v>
      </c>
      <c r="F1191" t="str">
        <f>VLOOKUP(E1191,[1]LOJA!$A:$B,2,0)</f>
        <v>UNAÍ</v>
      </c>
      <c r="G1191" t="s">
        <v>19</v>
      </c>
      <c r="H1191" t="s">
        <v>19</v>
      </c>
      <c r="I1191" s="1">
        <v>46042</v>
      </c>
      <c r="J1191" s="1">
        <v>46042</v>
      </c>
      <c r="K1191" s="1">
        <v>46042</v>
      </c>
      <c r="L1191">
        <v>36</v>
      </c>
      <c r="M1191">
        <v>0.11</v>
      </c>
      <c r="N1191">
        <v>0.11</v>
      </c>
      <c r="O1191">
        <v>0</v>
      </c>
      <c r="P1191">
        <v>0</v>
      </c>
      <c r="Q1191" t="s">
        <v>108</v>
      </c>
    </row>
    <row r="1192" spans="1:17">
      <c r="A1192" t="s">
        <v>93</v>
      </c>
      <c r="B1192" t="s">
        <v>106</v>
      </c>
      <c r="C1192" t="s">
        <v>56</v>
      </c>
      <c r="D1192" t="s">
        <v>975</v>
      </c>
      <c r="E1192">
        <v>15</v>
      </c>
      <c r="F1192" t="str">
        <f>VLOOKUP(E1192,[1]LOJA!$A:$B,2,0)</f>
        <v>UNAÍ</v>
      </c>
      <c r="G1192" t="s">
        <v>19</v>
      </c>
      <c r="H1192" t="s">
        <v>19</v>
      </c>
      <c r="I1192" s="1">
        <v>46042</v>
      </c>
      <c r="J1192" s="1">
        <v>46042</v>
      </c>
      <c r="K1192" s="1">
        <v>46042</v>
      </c>
      <c r="L1192">
        <v>36</v>
      </c>
      <c r="M1192">
        <v>0.13</v>
      </c>
      <c r="N1192">
        <v>0.13</v>
      </c>
      <c r="O1192">
        <v>0</v>
      </c>
      <c r="P1192">
        <v>0</v>
      </c>
      <c r="Q1192" t="s">
        <v>108</v>
      </c>
    </row>
    <row r="1193" spans="1:17">
      <c r="A1193" t="s">
        <v>93</v>
      </c>
      <c r="B1193" t="s">
        <v>106</v>
      </c>
      <c r="C1193" t="s">
        <v>56</v>
      </c>
      <c r="D1193" t="s">
        <v>976</v>
      </c>
      <c r="E1193">
        <v>15</v>
      </c>
      <c r="F1193" t="str">
        <f>VLOOKUP(E1193,[1]LOJA!$A:$B,2,0)</f>
        <v>UNAÍ</v>
      </c>
      <c r="G1193" t="s">
        <v>19</v>
      </c>
      <c r="H1193" t="s">
        <v>19</v>
      </c>
      <c r="I1193" s="1">
        <v>46042</v>
      </c>
      <c r="J1193" s="1">
        <v>46042</v>
      </c>
      <c r="K1193" s="1">
        <v>46042</v>
      </c>
      <c r="L1193">
        <v>36</v>
      </c>
      <c r="M1193">
        <v>0.35</v>
      </c>
      <c r="N1193">
        <v>0.35</v>
      </c>
      <c r="O1193">
        <v>0</v>
      </c>
      <c r="P1193">
        <v>0</v>
      </c>
      <c r="Q1193" t="s">
        <v>108</v>
      </c>
    </row>
    <row r="1194" spans="1:17">
      <c r="A1194" t="s">
        <v>93</v>
      </c>
      <c r="B1194" t="s">
        <v>106</v>
      </c>
      <c r="C1194" t="s">
        <v>56</v>
      </c>
      <c r="D1194" t="s">
        <v>977</v>
      </c>
      <c r="E1194">
        <v>15</v>
      </c>
      <c r="F1194" t="str">
        <f>VLOOKUP(E1194,[1]LOJA!$A:$B,2,0)</f>
        <v>UNAÍ</v>
      </c>
      <c r="G1194" t="s">
        <v>19</v>
      </c>
      <c r="H1194" t="s">
        <v>19</v>
      </c>
      <c r="I1194" s="1">
        <v>46042</v>
      </c>
      <c r="J1194" s="1">
        <v>46042</v>
      </c>
      <c r="K1194" s="1">
        <v>46042</v>
      </c>
      <c r="L1194">
        <v>36</v>
      </c>
      <c r="M1194">
        <v>0.93</v>
      </c>
      <c r="N1194">
        <v>0.93</v>
      </c>
      <c r="O1194">
        <v>0</v>
      </c>
      <c r="P1194">
        <v>0</v>
      </c>
      <c r="Q1194" t="s">
        <v>108</v>
      </c>
    </row>
    <row r="1195" spans="1:17">
      <c r="A1195" t="s">
        <v>93</v>
      </c>
      <c r="B1195" t="s">
        <v>106</v>
      </c>
      <c r="C1195" t="s">
        <v>56</v>
      </c>
      <c r="D1195" t="s">
        <v>978</v>
      </c>
      <c r="E1195">
        <v>15</v>
      </c>
      <c r="F1195" t="str">
        <f>VLOOKUP(E1195,[1]LOJA!$A:$B,2,0)</f>
        <v>UNAÍ</v>
      </c>
      <c r="G1195" t="s">
        <v>19</v>
      </c>
      <c r="H1195" t="s">
        <v>19</v>
      </c>
      <c r="I1195" s="1">
        <v>46042</v>
      </c>
      <c r="J1195" s="1">
        <v>46042</v>
      </c>
      <c r="K1195" s="1">
        <v>46042</v>
      </c>
      <c r="L1195">
        <v>36</v>
      </c>
      <c r="M1195">
        <v>0.35</v>
      </c>
      <c r="N1195">
        <v>0.35</v>
      </c>
      <c r="O1195">
        <v>0</v>
      </c>
      <c r="P1195">
        <v>0</v>
      </c>
      <c r="Q1195" t="s">
        <v>108</v>
      </c>
    </row>
    <row r="1196" spans="1:17">
      <c r="A1196" t="s">
        <v>93</v>
      </c>
      <c r="B1196" t="s">
        <v>106</v>
      </c>
      <c r="C1196" t="s">
        <v>56</v>
      </c>
      <c r="D1196" t="s">
        <v>979</v>
      </c>
      <c r="E1196">
        <v>15</v>
      </c>
      <c r="F1196" t="str">
        <f>VLOOKUP(E1196,[1]LOJA!$A:$B,2,0)</f>
        <v>UNAÍ</v>
      </c>
      <c r="G1196" t="s">
        <v>19</v>
      </c>
      <c r="H1196" t="s">
        <v>19</v>
      </c>
      <c r="I1196" s="1">
        <v>46042</v>
      </c>
      <c r="J1196" s="1">
        <v>46042</v>
      </c>
      <c r="K1196" s="1">
        <v>46042</v>
      </c>
      <c r="L1196">
        <v>36</v>
      </c>
      <c r="M1196">
        <v>1.05</v>
      </c>
      <c r="N1196">
        <v>1.05</v>
      </c>
      <c r="O1196">
        <v>0</v>
      </c>
      <c r="P1196">
        <v>0</v>
      </c>
      <c r="Q1196" t="s">
        <v>108</v>
      </c>
    </row>
    <row r="1197" spans="1:17">
      <c r="A1197" t="s">
        <v>93</v>
      </c>
      <c r="B1197" t="s">
        <v>106</v>
      </c>
      <c r="C1197" t="s">
        <v>56</v>
      </c>
      <c r="D1197" t="s">
        <v>980</v>
      </c>
      <c r="E1197">
        <v>15</v>
      </c>
      <c r="F1197" t="str">
        <f>VLOOKUP(E1197,[1]LOJA!$A:$B,2,0)</f>
        <v>UNAÍ</v>
      </c>
      <c r="G1197" t="s">
        <v>19</v>
      </c>
      <c r="H1197" t="s">
        <v>19</v>
      </c>
      <c r="I1197" s="1">
        <v>46042</v>
      </c>
      <c r="J1197" s="1">
        <v>46042</v>
      </c>
      <c r="K1197" s="1">
        <v>46042</v>
      </c>
      <c r="L1197">
        <v>36</v>
      </c>
      <c r="M1197">
        <v>0.4</v>
      </c>
      <c r="N1197">
        <v>0.4</v>
      </c>
      <c r="O1197">
        <v>0</v>
      </c>
      <c r="P1197">
        <v>0</v>
      </c>
      <c r="Q1197" t="s">
        <v>108</v>
      </c>
    </row>
    <row r="1198" spans="1:17">
      <c r="A1198" t="s">
        <v>93</v>
      </c>
      <c r="B1198" t="s">
        <v>106</v>
      </c>
      <c r="C1198" t="s">
        <v>56</v>
      </c>
      <c r="D1198" t="s">
        <v>981</v>
      </c>
      <c r="E1198">
        <v>15</v>
      </c>
      <c r="F1198" t="str">
        <f>VLOOKUP(E1198,[1]LOJA!$A:$B,2,0)</f>
        <v>UNAÍ</v>
      </c>
      <c r="G1198" t="s">
        <v>19</v>
      </c>
      <c r="H1198" t="s">
        <v>19</v>
      </c>
      <c r="I1198" s="1">
        <v>46042</v>
      </c>
      <c r="J1198" s="1">
        <v>46042</v>
      </c>
      <c r="K1198" s="1">
        <v>46042</v>
      </c>
      <c r="L1198">
        <v>36</v>
      </c>
      <c r="M1198">
        <v>0.28999999999999998</v>
      </c>
      <c r="N1198">
        <v>0.28999999999999998</v>
      </c>
      <c r="O1198">
        <v>0</v>
      </c>
      <c r="P1198">
        <v>0</v>
      </c>
      <c r="Q1198" t="s">
        <v>108</v>
      </c>
    </row>
    <row r="1199" spans="1:17">
      <c r="A1199" t="s">
        <v>93</v>
      </c>
      <c r="B1199" t="s">
        <v>106</v>
      </c>
      <c r="C1199" t="s">
        <v>56</v>
      </c>
      <c r="D1199" t="s">
        <v>982</v>
      </c>
      <c r="E1199">
        <v>15</v>
      </c>
      <c r="F1199" t="str">
        <f>VLOOKUP(E1199,[1]LOJA!$A:$B,2,0)</f>
        <v>UNAÍ</v>
      </c>
      <c r="G1199" t="s">
        <v>19</v>
      </c>
      <c r="H1199" t="s">
        <v>19</v>
      </c>
      <c r="I1199" s="1">
        <v>46042</v>
      </c>
      <c r="J1199" s="1">
        <v>46042</v>
      </c>
      <c r="K1199" s="1">
        <v>46042</v>
      </c>
      <c r="L1199">
        <v>36</v>
      </c>
      <c r="M1199">
        <v>0.05</v>
      </c>
      <c r="N1199">
        <v>0.05</v>
      </c>
      <c r="O1199">
        <v>0</v>
      </c>
      <c r="P1199">
        <v>0</v>
      </c>
      <c r="Q1199" t="s">
        <v>108</v>
      </c>
    </row>
    <row r="1200" spans="1:17">
      <c r="A1200" t="s">
        <v>93</v>
      </c>
      <c r="B1200" t="s">
        <v>106</v>
      </c>
      <c r="C1200" t="s">
        <v>56</v>
      </c>
      <c r="D1200" t="s">
        <v>983</v>
      </c>
      <c r="E1200">
        <v>15</v>
      </c>
      <c r="F1200" t="str">
        <f>VLOOKUP(E1200,[1]LOJA!$A:$B,2,0)</f>
        <v>UNAÍ</v>
      </c>
      <c r="G1200" t="s">
        <v>19</v>
      </c>
      <c r="H1200" t="s">
        <v>19</v>
      </c>
      <c r="I1200" s="1">
        <v>46042</v>
      </c>
      <c r="J1200" s="1">
        <v>46042</v>
      </c>
      <c r="K1200" s="1">
        <v>46042</v>
      </c>
      <c r="L1200">
        <v>36</v>
      </c>
      <c r="M1200">
        <v>0.53</v>
      </c>
      <c r="N1200">
        <v>0.53</v>
      </c>
      <c r="O1200">
        <v>0</v>
      </c>
      <c r="P1200">
        <v>0</v>
      </c>
      <c r="Q1200" t="s">
        <v>108</v>
      </c>
    </row>
    <row r="1201" spans="1:17">
      <c r="A1201" t="s">
        <v>93</v>
      </c>
      <c r="B1201" t="s">
        <v>106</v>
      </c>
      <c r="C1201" t="s">
        <v>56</v>
      </c>
      <c r="D1201" t="s">
        <v>984</v>
      </c>
      <c r="E1201">
        <v>15</v>
      </c>
      <c r="F1201" t="str">
        <f>VLOOKUP(E1201,[1]LOJA!$A:$B,2,0)</f>
        <v>UNAÍ</v>
      </c>
      <c r="G1201" t="s">
        <v>19</v>
      </c>
      <c r="H1201" t="s">
        <v>19</v>
      </c>
      <c r="I1201" s="1">
        <v>46042</v>
      </c>
      <c r="J1201" s="1">
        <v>46042</v>
      </c>
      <c r="K1201" s="1">
        <v>46042</v>
      </c>
      <c r="L1201">
        <v>36</v>
      </c>
      <c r="M1201">
        <v>0.79</v>
      </c>
      <c r="N1201">
        <v>0.79</v>
      </c>
      <c r="O1201">
        <v>0</v>
      </c>
      <c r="P1201">
        <v>0</v>
      </c>
      <c r="Q1201" t="s">
        <v>108</v>
      </c>
    </row>
    <row r="1202" spans="1:17">
      <c r="A1202" t="s">
        <v>93</v>
      </c>
      <c r="B1202" t="s">
        <v>106</v>
      </c>
      <c r="C1202" t="s">
        <v>56</v>
      </c>
      <c r="D1202" t="s">
        <v>985</v>
      </c>
      <c r="E1202">
        <v>15</v>
      </c>
      <c r="F1202" t="str">
        <f>VLOOKUP(E1202,[1]LOJA!$A:$B,2,0)</f>
        <v>UNAÍ</v>
      </c>
      <c r="G1202" t="s">
        <v>19</v>
      </c>
      <c r="H1202" t="s">
        <v>19</v>
      </c>
      <c r="I1202" s="1">
        <v>46042</v>
      </c>
      <c r="J1202" s="1">
        <v>46042</v>
      </c>
      <c r="K1202" s="1">
        <v>46042</v>
      </c>
      <c r="L1202">
        <v>36</v>
      </c>
      <c r="M1202">
        <v>0.05</v>
      </c>
      <c r="N1202">
        <v>0.05</v>
      </c>
      <c r="O1202">
        <v>0</v>
      </c>
      <c r="P1202">
        <v>0</v>
      </c>
      <c r="Q1202" t="s">
        <v>108</v>
      </c>
    </row>
    <row r="1203" spans="1:17">
      <c r="A1203" t="s">
        <v>93</v>
      </c>
      <c r="B1203" t="s">
        <v>106</v>
      </c>
      <c r="C1203" t="s">
        <v>56</v>
      </c>
      <c r="D1203" t="s">
        <v>986</v>
      </c>
      <c r="E1203">
        <v>15</v>
      </c>
      <c r="F1203" t="str">
        <f>VLOOKUP(E1203,[1]LOJA!$A:$B,2,0)</f>
        <v>UNAÍ</v>
      </c>
      <c r="G1203" t="s">
        <v>19</v>
      </c>
      <c r="H1203" t="s">
        <v>19</v>
      </c>
      <c r="I1203" s="1">
        <v>46042</v>
      </c>
      <c r="J1203" s="1">
        <v>46042</v>
      </c>
      <c r="K1203" s="1">
        <v>46042</v>
      </c>
      <c r="L1203">
        <v>36</v>
      </c>
      <c r="M1203">
        <v>1.06</v>
      </c>
      <c r="N1203">
        <v>1.06</v>
      </c>
      <c r="O1203">
        <v>0</v>
      </c>
      <c r="P1203">
        <v>0</v>
      </c>
      <c r="Q1203" t="s">
        <v>108</v>
      </c>
    </row>
    <row r="1204" spans="1:17">
      <c r="A1204" t="s">
        <v>93</v>
      </c>
      <c r="B1204" t="s">
        <v>106</v>
      </c>
      <c r="C1204" t="s">
        <v>56</v>
      </c>
      <c r="D1204" t="s">
        <v>987</v>
      </c>
      <c r="E1204">
        <v>15</v>
      </c>
      <c r="F1204" t="str">
        <f>VLOOKUP(E1204,[1]LOJA!$A:$B,2,0)</f>
        <v>UNAÍ</v>
      </c>
      <c r="G1204" t="s">
        <v>19</v>
      </c>
      <c r="H1204" t="s">
        <v>19</v>
      </c>
      <c r="I1204" s="1">
        <v>46043</v>
      </c>
      <c r="J1204" s="1">
        <v>46043</v>
      </c>
      <c r="K1204" s="1">
        <v>46043</v>
      </c>
      <c r="L1204">
        <v>36</v>
      </c>
      <c r="M1204">
        <v>3.08</v>
      </c>
      <c r="N1204">
        <v>3.08</v>
      </c>
      <c r="O1204">
        <v>0</v>
      </c>
      <c r="P1204">
        <v>0</v>
      </c>
      <c r="Q1204" t="s">
        <v>108</v>
      </c>
    </row>
    <row r="1205" spans="1:17">
      <c r="A1205" t="s">
        <v>93</v>
      </c>
      <c r="B1205" t="s">
        <v>106</v>
      </c>
      <c r="C1205" t="s">
        <v>56</v>
      </c>
      <c r="D1205" t="s">
        <v>988</v>
      </c>
      <c r="E1205">
        <v>15</v>
      </c>
      <c r="F1205" t="str">
        <f>VLOOKUP(E1205,[1]LOJA!$A:$B,2,0)</f>
        <v>UNAÍ</v>
      </c>
      <c r="G1205" t="s">
        <v>19</v>
      </c>
      <c r="H1205" t="s">
        <v>19</v>
      </c>
      <c r="I1205" s="1">
        <v>46043</v>
      </c>
      <c r="J1205" s="1">
        <v>46043</v>
      </c>
      <c r="K1205" s="1">
        <v>46043</v>
      </c>
      <c r="L1205">
        <v>36</v>
      </c>
      <c r="M1205">
        <v>0.14000000000000001</v>
      </c>
      <c r="N1205">
        <v>0.14000000000000001</v>
      </c>
      <c r="O1205">
        <v>0</v>
      </c>
      <c r="P1205">
        <v>0</v>
      </c>
      <c r="Q1205" t="s">
        <v>108</v>
      </c>
    </row>
    <row r="1206" spans="1:17">
      <c r="A1206" t="s">
        <v>93</v>
      </c>
      <c r="B1206" t="s">
        <v>106</v>
      </c>
      <c r="C1206" t="s">
        <v>56</v>
      </c>
      <c r="D1206" t="s">
        <v>989</v>
      </c>
      <c r="E1206">
        <v>15</v>
      </c>
      <c r="F1206" t="str">
        <f>VLOOKUP(E1206,[1]LOJA!$A:$B,2,0)</f>
        <v>UNAÍ</v>
      </c>
      <c r="G1206" t="s">
        <v>19</v>
      </c>
      <c r="H1206" t="s">
        <v>19</v>
      </c>
      <c r="I1206" s="1">
        <v>46043</v>
      </c>
      <c r="J1206" s="1">
        <v>46043</v>
      </c>
      <c r="K1206" s="1">
        <v>46043</v>
      </c>
      <c r="L1206">
        <v>36</v>
      </c>
      <c r="M1206">
        <v>0.93</v>
      </c>
      <c r="N1206">
        <v>0.93</v>
      </c>
      <c r="O1206">
        <v>0</v>
      </c>
      <c r="P1206">
        <v>0</v>
      </c>
      <c r="Q1206" t="s">
        <v>108</v>
      </c>
    </row>
    <row r="1207" spans="1:17">
      <c r="A1207" t="s">
        <v>93</v>
      </c>
      <c r="B1207" t="s">
        <v>106</v>
      </c>
      <c r="C1207" t="s">
        <v>56</v>
      </c>
      <c r="D1207" t="s">
        <v>990</v>
      </c>
      <c r="E1207">
        <v>15</v>
      </c>
      <c r="F1207" t="str">
        <f>VLOOKUP(E1207,[1]LOJA!$A:$B,2,0)</f>
        <v>UNAÍ</v>
      </c>
      <c r="G1207" t="s">
        <v>19</v>
      </c>
      <c r="H1207" t="s">
        <v>19</v>
      </c>
      <c r="I1207" s="1">
        <v>46043</v>
      </c>
      <c r="J1207" s="1">
        <v>46043</v>
      </c>
      <c r="K1207" s="1">
        <v>46043</v>
      </c>
      <c r="L1207">
        <v>36</v>
      </c>
      <c r="M1207">
        <v>0.68</v>
      </c>
      <c r="N1207">
        <v>0.68</v>
      </c>
      <c r="O1207">
        <v>0</v>
      </c>
      <c r="P1207">
        <v>0</v>
      </c>
      <c r="Q1207" t="s">
        <v>108</v>
      </c>
    </row>
    <row r="1208" spans="1:17">
      <c r="A1208" t="s">
        <v>93</v>
      </c>
      <c r="B1208" t="s">
        <v>106</v>
      </c>
      <c r="C1208" t="s">
        <v>56</v>
      </c>
      <c r="D1208" t="s">
        <v>991</v>
      </c>
      <c r="E1208">
        <v>15</v>
      </c>
      <c r="F1208" t="str">
        <f>VLOOKUP(E1208,[1]LOJA!$A:$B,2,0)</f>
        <v>UNAÍ</v>
      </c>
      <c r="G1208" t="s">
        <v>19</v>
      </c>
      <c r="H1208" t="s">
        <v>19</v>
      </c>
      <c r="I1208" s="1">
        <v>46043</v>
      </c>
      <c r="J1208" s="1">
        <v>46043</v>
      </c>
      <c r="K1208" s="1">
        <v>46043</v>
      </c>
      <c r="L1208">
        <v>36</v>
      </c>
      <c r="M1208">
        <v>0.34</v>
      </c>
      <c r="N1208">
        <v>0.34</v>
      </c>
      <c r="O1208">
        <v>0</v>
      </c>
      <c r="P1208">
        <v>0</v>
      </c>
      <c r="Q1208" t="s">
        <v>108</v>
      </c>
    </row>
    <row r="1209" spans="1:17">
      <c r="A1209" t="s">
        <v>93</v>
      </c>
      <c r="B1209" t="s">
        <v>106</v>
      </c>
      <c r="C1209" t="s">
        <v>56</v>
      </c>
      <c r="D1209" t="s">
        <v>992</v>
      </c>
      <c r="E1209">
        <v>15</v>
      </c>
      <c r="F1209" t="str">
        <f>VLOOKUP(E1209,[1]LOJA!$A:$B,2,0)</f>
        <v>UNAÍ</v>
      </c>
      <c r="G1209" t="s">
        <v>19</v>
      </c>
      <c r="H1209" t="s">
        <v>19</v>
      </c>
      <c r="I1209" s="1">
        <v>46043</v>
      </c>
      <c r="J1209" s="1">
        <v>46043</v>
      </c>
      <c r="K1209" s="1">
        <v>46043</v>
      </c>
      <c r="L1209">
        <v>36</v>
      </c>
      <c r="M1209">
        <v>0.56999999999999995</v>
      </c>
      <c r="N1209">
        <v>0.56999999999999995</v>
      </c>
      <c r="O1209">
        <v>0</v>
      </c>
      <c r="P1209">
        <v>0</v>
      </c>
      <c r="Q1209" t="s">
        <v>108</v>
      </c>
    </row>
    <row r="1210" spans="1:17">
      <c r="A1210" t="s">
        <v>93</v>
      </c>
      <c r="B1210" t="s">
        <v>106</v>
      </c>
      <c r="C1210" t="s">
        <v>56</v>
      </c>
      <c r="D1210" t="s">
        <v>993</v>
      </c>
      <c r="E1210">
        <v>15</v>
      </c>
      <c r="F1210" t="str">
        <f>VLOOKUP(E1210,[1]LOJA!$A:$B,2,0)</f>
        <v>UNAÍ</v>
      </c>
      <c r="G1210" t="s">
        <v>19</v>
      </c>
      <c r="H1210" t="s">
        <v>19</v>
      </c>
      <c r="I1210" s="1">
        <v>46043</v>
      </c>
      <c r="J1210" s="1">
        <v>46043</v>
      </c>
      <c r="K1210" s="1">
        <v>46043</v>
      </c>
      <c r="L1210">
        <v>36</v>
      </c>
      <c r="M1210">
        <v>0.41</v>
      </c>
      <c r="N1210">
        <v>0.41</v>
      </c>
      <c r="O1210">
        <v>0</v>
      </c>
      <c r="P1210">
        <v>0</v>
      </c>
      <c r="Q1210" t="s">
        <v>108</v>
      </c>
    </row>
    <row r="1211" spans="1:17">
      <c r="A1211" t="s">
        <v>93</v>
      </c>
      <c r="B1211" t="s">
        <v>106</v>
      </c>
      <c r="C1211" t="s">
        <v>56</v>
      </c>
      <c r="D1211" t="s">
        <v>994</v>
      </c>
      <c r="E1211">
        <v>15</v>
      </c>
      <c r="F1211" t="str">
        <f>VLOOKUP(E1211,[1]LOJA!$A:$B,2,0)</f>
        <v>UNAÍ</v>
      </c>
      <c r="G1211" t="s">
        <v>19</v>
      </c>
      <c r="H1211" t="s">
        <v>19</v>
      </c>
      <c r="I1211" s="1">
        <v>46043</v>
      </c>
      <c r="J1211" s="1">
        <v>46043</v>
      </c>
      <c r="K1211" s="1">
        <v>46043</v>
      </c>
      <c r="L1211">
        <v>36</v>
      </c>
      <c r="M1211">
        <v>0.02</v>
      </c>
      <c r="N1211">
        <v>0.02</v>
      </c>
      <c r="O1211">
        <v>0</v>
      </c>
      <c r="P1211">
        <v>0</v>
      </c>
      <c r="Q1211" t="s">
        <v>108</v>
      </c>
    </row>
    <row r="1212" spans="1:17">
      <c r="A1212" t="s">
        <v>93</v>
      </c>
      <c r="B1212" t="s">
        <v>106</v>
      </c>
      <c r="C1212" t="s">
        <v>56</v>
      </c>
      <c r="D1212" t="s">
        <v>995</v>
      </c>
      <c r="E1212">
        <v>15</v>
      </c>
      <c r="F1212" t="str">
        <f>VLOOKUP(E1212,[1]LOJA!$A:$B,2,0)</f>
        <v>UNAÍ</v>
      </c>
      <c r="G1212" t="s">
        <v>19</v>
      </c>
      <c r="H1212" t="s">
        <v>19</v>
      </c>
      <c r="I1212" s="1">
        <v>46043</v>
      </c>
      <c r="J1212" s="1">
        <v>46043</v>
      </c>
      <c r="K1212" s="1">
        <v>46043</v>
      </c>
      <c r="L1212">
        <v>36</v>
      </c>
      <c r="M1212">
        <v>0.61</v>
      </c>
      <c r="N1212">
        <v>0.61</v>
      </c>
      <c r="O1212">
        <v>0</v>
      </c>
      <c r="P1212">
        <v>0</v>
      </c>
      <c r="Q1212" t="s">
        <v>108</v>
      </c>
    </row>
    <row r="1213" spans="1:17">
      <c r="A1213" t="s">
        <v>93</v>
      </c>
      <c r="B1213" t="s">
        <v>106</v>
      </c>
      <c r="C1213" t="s">
        <v>56</v>
      </c>
      <c r="D1213" t="s">
        <v>996</v>
      </c>
      <c r="E1213">
        <v>15</v>
      </c>
      <c r="F1213" t="str">
        <f>VLOOKUP(E1213,[1]LOJA!$A:$B,2,0)</f>
        <v>UNAÍ</v>
      </c>
      <c r="G1213" t="s">
        <v>19</v>
      </c>
      <c r="H1213" t="s">
        <v>19</v>
      </c>
      <c r="I1213" s="1">
        <v>46044</v>
      </c>
      <c r="J1213" s="1">
        <v>46044</v>
      </c>
      <c r="K1213" s="1">
        <v>46044</v>
      </c>
      <c r="L1213">
        <v>36</v>
      </c>
      <c r="M1213">
        <v>4.84</v>
      </c>
      <c r="N1213">
        <v>4.84</v>
      </c>
      <c r="O1213">
        <v>0</v>
      </c>
      <c r="P1213">
        <v>0</v>
      </c>
      <c r="Q1213" t="s">
        <v>108</v>
      </c>
    </row>
    <row r="1214" spans="1:17">
      <c r="A1214" t="s">
        <v>93</v>
      </c>
      <c r="B1214" t="s">
        <v>106</v>
      </c>
      <c r="C1214" t="s">
        <v>56</v>
      </c>
      <c r="D1214" t="s">
        <v>997</v>
      </c>
      <c r="E1214">
        <v>15</v>
      </c>
      <c r="F1214" t="str">
        <f>VLOOKUP(E1214,[1]LOJA!$A:$B,2,0)</f>
        <v>UNAÍ</v>
      </c>
      <c r="G1214" t="s">
        <v>19</v>
      </c>
      <c r="H1214" t="s">
        <v>19</v>
      </c>
      <c r="I1214" s="1">
        <v>46044</v>
      </c>
      <c r="J1214" s="1">
        <v>46044</v>
      </c>
      <c r="K1214" s="1">
        <v>46044</v>
      </c>
      <c r="L1214">
        <v>36</v>
      </c>
      <c r="M1214">
        <v>9.24</v>
      </c>
      <c r="N1214">
        <v>9.24</v>
      </c>
      <c r="O1214">
        <v>0</v>
      </c>
      <c r="P1214">
        <v>0</v>
      </c>
      <c r="Q1214" t="s">
        <v>108</v>
      </c>
    </row>
    <row r="1215" spans="1:17">
      <c r="A1215" t="s">
        <v>93</v>
      </c>
      <c r="B1215" t="s">
        <v>106</v>
      </c>
      <c r="C1215" t="s">
        <v>56</v>
      </c>
      <c r="D1215" t="s">
        <v>998</v>
      </c>
      <c r="E1215">
        <v>15</v>
      </c>
      <c r="F1215" t="str">
        <f>VLOOKUP(E1215,[1]LOJA!$A:$B,2,0)</f>
        <v>UNAÍ</v>
      </c>
      <c r="G1215" t="s">
        <v>19</v>
      </c>
      <c r="H1215" t="s">
        <v>19</v>
      </c>
      <c r="I1215" s="1">
        <v>46044</v>
      </c>
      <c r="J1215" s="1">
        <v>46044</v>
      </c>
      <c r="K1215" s="1">
        <v>46044</v>
      </c>
      <c r="L1215">
        <v>36</v>
      </c>
      <c r="M1215">
        <v>5.04</v>
      </c>
      <c r="N1215">
        <v>5.04</v>
      </c>
      <c r="O1215">
        <v>0</v>
      </c>
      <c r="P1215">
        <v>0</v>
      </c>
      <c r="Q1215" t="s">
        <v>108</v>
      </c>
    </row>
    <row r="1216" spans="1:17">
      <c r="A1216" t="s">
        <v>93</v>
      </c>
      <c r="B1216" t="s">
        <v>106</v>
      </c>
      <c r="C1216" t="s">
        <v>56</v>
      </c>
      <c r="D1216" t="s">
        <v>999</v>
      </c>
      <c r="E1216">
        <v>15</v>
      </c>
      <c r="F1216" t="str">
        <f>VLOOKUP(E1216,[1]LOJA!$A:$B,2,0)</f>
        <v>UNAÍ</v>
      </c>
      <c r="G1216" t="s">
        <v>19</v>
      </c>
      <c r="H1216" t="s">
        <v>19</v>
      </c>
      <c r="I1216" s="1">
        <v>46044</v>
      </c>
      <c r="J1216" s="1">
        <v>46044</v>
      </c>
      <c r="K1216" s="1">
        <v>46044</v>
      </c>
      <c r="L1216">
        <v>36</v>
      </c>
      <c r="M1216">
        <v>2.46</v>
      </c>
      <c r="N1216">
        <v>2.46</v>
      </c>
      <c r="O1216">
        <v>0</v>
      </c>
      <c r="P1216">
        <v>0</v>
      </c>
      <c r="Q1216" t="s">
        <v>108</v>
      </c>
    </row>
    <row r="1217" spans="1:17">
      <c r="A1217" t="s">
        <v>93</v>
      </c>
      <c r="B1217" t="s">
        <v>106</v>
      </c>
      <c r="C1217" t="s">
        <v>56</v>
      </c>
      <c r="D1217" t="s">
        <v>1000</v>
      </c>
      <c r="E1217">
        <v>15</v>
      </c>
      <c r="F1217" t="str">
        <f>VLOOKUP(E1217,[1]LOJA!$A:$B,2,0)</f>
        <v>UNAÍ</v>
      </c>
      <c r="G1217" t="s">
        <v>19</v>
      </c>
      <c r="H1217" t="s">
        <v>19</v>
      </c>
      <c r="I1217" s="1">
        <v>46044</v>
      </c>
      <c r="J1217" s="1">
        <v>46044</v>
      </c>
      <c r="K1217" s="1">
        <v>46044</v>
      </c>
      <c r="L1217">
        <v>36</v>
      </c>
      <c r="M1217">
        <v>0.53</v>
      </c>
      <c r="N1217">
        <v>0.53</v>
      </c>
      <c r="O1217">
        <v>0</v>
      </c>
      <c r="P1217">
        <v>0</v>
      </c>
      <c r="Q1217" t="s">
        <v>108</v>
      </c>
    </row>
    <row r="1218" spans="1:17">
      <c r="A1218" t="s">
        <v>93</v>
      </c>
      <c r="B1218" t="s">
        <v>106</v>
      </c>
      <c r="C1218" t="s">
        <v>56</v>
      </c>
      <c r="D1218" t="s">
        <v>1001</v>
      </c>
      <c r="E1218">
        <v>15</v>
      </c>
      <c r="F1218" t="str">
        <f>VLOOKUP(E1218,[1]LOJA!$A:$B,2,0)</f>
        <v>UNAÍ</v>
      </c>
      <c r="G1218" t="s">
        <v>19</v>
      </c>
      <c r="H1218" t="s">
        <v>19</v>
      </c>
      <c r="I1218" s="1">
        <v>46044</v>
      </c>
      <c r="J1218" s="1">
        <v>46044</v>
      </c>
      <c r="K1218" s="1">
        <v>46044</v>
      </c>
      <c r="L1218">
        <v>36</v>
      </c>
      <c r="M1218">
        <v>2.54</v>
      </c>
      <c r="N1218">
        <v>2.54</v>
      </c>
      <c r="O1218">
        <v>0</v>
      </c>
      <c r="P1218">
        <v>0</v>
      </c>
      <c r="Q1218" t="s">
        <v>108</v>
      </c>
    </row>
    <row r="1219" spans="1:17">
      <c r="A1219" t="s">
        <v>93</v>
      </c>
      <c r="B1219" t="s">
        <v>106</v>
      </c>
      <c r="C1219" t="s">
        <v>56</v>
      </c>
      <c r="D1219" t="s">
        <v>1002</v>
      </c>
      <c r="E1219">
        <v>15</v>
      </c>
      <c r="F1219" t="str">
        <f>VLOOKUP(E1219,[1]LOJA!$A:$B,2,0)</f>
        <v>UNAÍ</v>
      </c>
      <c r="G1219" t="s">
        <v>19</v>
      </c>
      <c r="H1219" t="s">
        <v>19</v>
      </c>
      <c r="I1219" s="1">
        <v>46044</v>
      </c>
      <c r="J1219" s="1">
        <v>46044</v>
      </c>
      <c r="K1219" s="1">
        <v>46044</v>
      </c>
      <c r="L1219">
        <v>36</v>
      </c>
      <c r="M1219">
        <v>2.86</v>
      </c>
      <c r="N1219">
        <v>2.86</v>
      </c>
      <c r="O1219">
        <v>0</v>
      </c>
      <c r="P1219">
        <v>0</v>
      </c>
      <c r="Q1219" t="s">
        <v>108</v>
      </c>
    </row>
    <row r="1220" spans="1:17">
      <c r="A1220" t="s">
        <v>93</v>
      </c>
      <c r="B1220" t="s">
        <v>106</v>
      </c>
      <c r="C1220" t="s">
        <v>56</v>
      </c>
      <c r="D1220" t="s">
        <v>1003</v>
      </c>
      <c r="E1220">
        <v>15</v>
      </c>
      <c r="F1220" t="str">
        <f>VLOOKUP(E1220,[1]LOJA!$A:$B,2,0)</f>
        <v>UNAÍ</v>
      </c>
      <c r="G1220" t="s">
        <v>19</v>
      </c>
      <c r="H1220" t="s">
        <v>19</v>
      </c>
      <c r="I1220" s="1">
        <v>46044</v>
      </c>
      <c r="J1220" s="1">
        <v>46044</v>
      </c>
      <c r="K1220" s="1">
        <v>46044</v>
      </c>
      <c r="L1220">
        <v>36</v>
      </c>
      <c r="M1220">
        <v>0.66</v>
      </c>
      <c r="N1220">
        <v>0.66</v>
      </c>
      <c r="O1220">
        <v>0</v>
      </c>
      <c r="P1220">
        <v>0</v>
      </c>
      <c r="Q1220" t="s">
        <v>108</v>
      </c>
    </row>
    <row r="1221" spans="1:17">
      <c r="A1221" t="s">
        <v>93</v>
      </c>
      <c r="B1221" t="s">
        <v>106</v>
      </c>
      <c r="C1221" t="s">
        <v>56</v>
      </c>
      <c r="D1221" t="s">
        <v>1004</v>
      </c>
      <c r="E1221">
        <v>15</v>
      </c>
      <c r="F1221" t="str">
        <f>VLOOKUP(E1221,[1]LOJA!$A:$B,2,0)</f>
        <v>UNAÍ</v>
      </c>
      <c r="G1221" t="s">
        <v>19</v>
      </c>
      <c r="H1221" t="s">
        <v>19</v>
      </c>
      <c r="I1221" s="1">
        <v>46044</v>
      </c>
      <c r="J1221" s="1">
        <v>46044</v>
      </c>
      <c r="K1221" s="1">
        <v>46044</v>
      </c>
      <c r="L1221">
        <v>36</v>
      </c>
      <c r="M1221">
        <v>0.28000000000000003</v>
      </c>
      <c r="N1221">
        <v>0.28000000000000003</v>
      </c>
      <c r="O1221">
        <v>0</v>
      </c>
      <c r="P1221">
        <v>0</v>
      </c>
      <c r="Q1221" t="s">
        <v>108</v>
      </c>
    </row>
    <row r="1222" spans="1:17">
      <c r="A1222" t="s">
        <v>93</v>
      </c>
      <c r="B1222" t="s">
        <v>106</v>
      </c>
      <c r="C1222" t="s">
        <v>56</v>
      </c>
      <c r="D1222" t="s">
        <v>1005</v>
      </c>
      <c r="E1222">
        <v>15</v>
      </c>
      <c r="F1222" t="str">
        <f>VLOOKUP(E1222,[1]LOJA!$A:$B,2,0)</f>
        <v>UNAÍ</v>
      </c>
      <c r="G1222" t="s">
        <v>19</v>
      </c>
      <c r="H1222" t="s">
        <v>19</v>
      </c>
      <c r="I1222" s="1">
        <v>46044</v>
      </c>
      <c r="J1222" s="1">
        <v>46044</v>
      </c>
      <c r="K1222" s="1">
        <v>46044</v>
      </c>
      <c r="L1222">
        <v>36</v>
      </c>
      <c r="M1222">
        <v>0.84</v>
      </c>
      <c r="N1222">
        <v>0.84</v>
      </c>
      <c r="O1222">
        <v>0</v>
      </c>
      <c r="P1222">
        <v>0</v>
      </c>
      <c r="Q1222" t="s">
        <v>108</v>
      </c>
    </row>
    <row r="1223" spans="1:17">
      <c r="A1223" t="s">
        <v>93</v>
      </c>
      <c r="B1223" t="s">
        <v>106</v>
      </c>
      <c r="C1223" t="s">
        <v>56</v>
      </c>
      <c r="D1223" t="s">
        <v>1006</v>
      </c>
      <c r="E1223">
        <v>15</v>
      </c>
      <c r="F1223" t="str">
        <f>VLOOKUP(E1223,[1]LOJA!$A:$B,2,0)</f>
        <v>UNAÍ</v>
      </c>
      <c r="G1223" t="s">
        <v>19</v>
      </c>
      <c r="H1223" t="s">
        <v>19</v>
      </c>
      <c r="I1223" s="1">
        <v>46044</v>
      </c>
      <c r="J1223" s="1">
        <v>46044</v>
      </c>
      <c r="K1223" s="1">
        <v>46044</v>
      </c>
      <c r="L1223">
        <v>36</v>
      </c>
      <c r="M1223">
        <v>0.52</v>
      </c>
      <c r="N1223">
        <v>0.52</v>
      </c>
      <c r="O1223">
        <v>0</v>
      </c>
      <c r="P1223">
        <v>0</v>
      </c>
      <c r="Q1223" t="s">
        <v>108</v>
      </c>
    </row>
    <row r="1224" spans="1:17">
      <c r="A1224" t="s">
        <v>93</v>
      </c>
      <c r="B1224" t="s">
        <v>106</v>
      </c>
      <c r="C1224" t="s">
        <v>56</v>
      </c>
      <c r="D1224" t="s">
        <v>1007</v>
      </c>
      <c r="E1224">
        <v>15</v>
      </c>
      <c r="F1224" t="str">
        <f>VLOOKUP(E1224,[1]LOJA!$A:$B,2,0)</f>
        <v>UNAÍ</v>
      </c>
      <c r="G1224" t="s">
        <v>19</v>
      </c>
      <c r="H1224" t="s">
        <v>19</v>
      </c>
      <c r="I1224" s="1">
        <v>46044</v>
      </c>
      <c r="J1224" s="1">
        <v>46044</v>
      </c>
      <c r="K1224" s="1">
        <v>46044</v>
      </c>
      <c r="L1224">
        <v>36</v>
      </c>
      <c r="M1224">
        <v>0.05</v>
      </c>
      <c r="N1224">
        <v>0.05</v>
      </c>
      <c r="O1224">
        <v>0</v>
      </c>
      <c r="P1224">
        <v>0</v>
      </c>
      <c r="Q1224" t="s">
        <v>108</v>
      </c>
    </row>
    <row r="1225" spans="1:17">
      <c r="A1225" t="s">
        <v>93</v>
      </c>
      <c r="B1225" t="s">
        <v>106</v>
      </c>
      <c r="C1225" t="s">
        <v>56</v>
      </c>
      <c r="D1225" t="s">
        <v>1008</v>
      </c>
      <c r="E1225">
        <v>15</v>
      </c>
      <c r="F1225" t="str">
        <f>VLOOKUP(E1225,[1]LOJA!$A:$B,2,0)</f>
        <v>UNAÍ</v>
      </c>
      <c r="G1225" t="s">
        <v>19</v>
      </c>
      <c r="H1225" t="s">
        <v>19</v>
      </c>
      <c r="I1225" s="1">
        <v>46044</v>
      </c>
      <c r="J1225" s="1">
        <v>46044</v>
      </c>
      <c r="K1225" s="1">
        <v>46044</v>
      </c>
      <c r="L1225">
        <v>36</v>
      </c>
      <c r="M1225">
        <v>0.74</v>
      </c>
      <c r="N1225">
        <v>0.74</v>
      </c>
      <c r="O1225">
        <v>0</v>
      </c>
      <c r="P1225">
        <v>0</v>
      </c>
      <c r="Q1225" t="s">
        <v>108</v>
      </c>
    </row>
    <row r="1226" spans="1:17">
      <c r="A1226" t="s">
        <v>93</v>
      </c>
      <c r="B1226" t="s">
        <v>106</v>
      </c>
      <c r="C1226" t="s">
        <v>56</v>
      </c>
      <c r="D1226" t="s">
        <v>1009</v>
      </c>
      <c r="E1226">
        <v>15</v>
      </c>
      <c r="F1226" t="str">
        <f>VLOOKUP(E1226,[1]LOJA!$A:$B,2,0)</f>
        <v>UNAÍ</v>
      </c>
      <c r="G1226" t="s">
        <v>19</v>
      </c>
      <c r="H1226" t="s">
        <v>19</v>
      </c>
      <c r="I1226" s="1">
        <v>46045</v>
      </c>
      <c r="J1226" s="1">
        <v>46045</v>
      </c>
      <c r="K1226" s="1">
        <v>46045</v>
      </c>
      <c r="L1226">
        <v>36</v>
      </c>
      <c r="M1226">
        <v>4.68</v>
      </c>
      <c r="N1226">
        <v>4.68</v>
      </c>
      <c r="O1226">
        <v>0</v>
      </c>
      <c r="P1226">
        <v>0</v>
      </c>
      <c r="Q1226" t="s">
        <v>108</v>
      </c>
    </row>
    <row r="1227" spans="1:17">
      <c r="A1227" t="s">
        <v>93</v>
      </c>
      <c r="B1227" t="s">
        <v>106</v>
      </c>
      <c r="C1227" t="s">
        <v>56</v>
      </c>
      <c r="D1227" t="s">
        <v>1010</v>
      </c>
      <c r="E1227">
        <v>15</v>
      </c>
      <c r="F1227" t="str">
        <f>VLOOKUP(E1227,[1]LOJA!$A:$B,2,0)</f>
        <v>UNAÍ</v>
      </c>
      <c r="G1227" t="s">
        <v>19</v>
      </c>
      <c r="H1227" t="s">
        <v>19</v>
      </c>
      <c r="I1227" s="1">
        <v>46045</v>
      </c>
      <c r="J1227" s="1">
        <v>46045</v>
      </c>
      <c r="K1227" s="1">
        <v>46045</v>
      </c>
      <c r="L1227">
        <v>36</v>
      </c>
      <c r="M1227">
        <v>4.17</v>
      </c>
      <c r="N1227">
        <v>4.17</v>
      </c>
      <c r="O1227">
        <v>0</v>
      </c>
      <c r="P1227">
        <v>0</v>
      </c>
      <c r="Q1227" t="s">
        <v>108</v>
      </c>
    </row>
    <row r="1228" spans="1:17">
      <c r="A1228" t="s">
        <v>93</v>
      </c>
      <c r="B1228" t="s">
        <v>106</v>
      </c>
      <c r="C1228" t="s">
        <v>56</v>
      </c>
      <c r="D1228" t="s">
        <v>1011</v>
      </c>
      <c r="E1228">
        <v>15</v>
      </c>
      <c r="F1228" t="str">
        <f>VLOOKUP(E1228,[1]LOJA!$A:$B,2,0)</f>
        <v>UNAÍ</v>
      </c>
      <c r="G1228" t="s">
        <v>19</v>
      </c>
      <c r="H1228" t="s">
        <v>19</v>
      </c>
      <c r="I1228" s="1">
        <v>46045</v>
      </c>
      <c r="J1228" s="1">
        <v>46045</v>
      </c>
      <c r="K1228" s="1">
        <v>46045</v>
      </c>
      <c r="L1228">
        <v>36</v>
      </c>
      <c r="M1228">
        <v>0.7</v>
      </c>
      <c r="N1228">
        <v>0.7</v>
      </c>
      <c r="O1228">
        <v>0</v>
      </c>
      <c r="P1228">
        <v>0</v>
      </c>
      <c r="Q1228" t="s">
        <v>108</v>
      </c>
    </row>
    <row r="1229" spans="1:17">
      <c r="A1229" t="s">
        <v>93</v>
      </c>
      <c r="B1229" t="s">
        <v>106</v>
      </c>
      <c r="C1229" t="s">
        <v>56</v>
      </c>
      <c r="D1229" t="s">
        <v>1012</v>
      </c>
      <c r="E1229">
        <v>15</v>
      </c>
      <c r="F1229" t="str">
        <f>VLOOKUP(E1229,[1]LOJA!$A:$B,2,0)</f>
        <v>UNAÍ</v>
      </c>
      <c r="G1229" t="s">
        <v>19</v>
      </c>
      <c r="H1229" t="s">
        <v>19</v>
      </c>
      <c r="I1229" s="1">
        <v>46045</v>
      </c>
      <c r="J1229" s="1">
        <v>46045</v>
      </c>
      <c r="K1229" s="1">
        <v>46045</v>
      </c>
      <c r="L1229">
        <v>36</v>
      </c>
      <c r="M1229">
        <v>2.38</v>
      </c>
      <c r="N1229">
        <v>2.38</v>
      </c>
      <c r="O1229">
        <v>0</v>
      </c>
      <c r="P1229">
        <v>0</v>
      </c>
      <c r="Q1229" t="s">
        <v>108</v>
      </c>
    </row>
    <row r="1230" spans="1:17">
      <c r="A1230" t="s">
        <v>93</v>
      </c>
      <c r="B1230" t="s">
        <v>106</v>
      </c>
      <c r="C1230" t="s">
        <v>56</v>
      </c>
      <c r="D1230" t="s">
        <v>1013</v>
      </c>
      <c r="E1230">
        <v>15</v>
      </c>
      <c r="F1230" t="str">
        <f>VLOOKUP(E1230,[1]LOJA!$A:$B,2,0)</f>
        <v>UNAÍ</v>
      </c>
      <c r="G1230" t="s">
        <v>19</v>
      </c>
      <c r="H1230" t="s">
        <v>19</v>
      </c>
      <c r="I1230" s="1">
        <v>46045</v>
      </c>
      <c r="J1230" s="1">
        <v>46045</v>
      </c>
      <c r="K1230" s="1">
        <v>46045</v>
      </c>
      <c r="L1230">
        <v>36</v>
      </c>
      <c r="M1230">
        <v>1.84</v>
      </c>
      <c r="N1230">
        <v>1.84</v>
      </c>
      <c r="O1230">
        <v>0</v>
      </c>
      <c r="P1230">
        <v>0</v>
      </c>
      <c r="Q1230" t="s">
        <v>108</v>
      </c>
    </row>
    <row r="1231" spans="1:17">
      <c r="A1231" t="s">
        <v>93</v>
      </c>
      <c r="B1231" t="s">
        <v>106</v>
      </c>
      <c r="C1231" t="s">
        <v>56</v>
      </c>
      <c r="D1231" t="s">
        <v>1014</v>
      </c>
      <c r="E1231">
        <v>15</v>
      </c>
      <c r="F1231" t="str">
        <f>VLOOKUP(E1231,[1]LOJA!$A:$B,2,0)</f>
        <v>UNAÍ</v>
      </c>
      <c r="G1231" t="s">
        <v>19</v>
      </c>
      <c r="H1231" t="s">
        <v>19</v>
      </c>
      <c r="I1231" s="1">
        <v>46045</v>
      </c>
      <c r="J1231" s="1">
        <v>46045</v>
      </c>
      <c r="K1231" s="1">
        <v>46045</v>
      </c>
      <c r="L1231">
        <v>36</v>
      </c>
      <c r="M1231">
        <v>0.43</v>
      </c>
      <c r="N1231">
        <v>0.43</v>
      </c>
      <c r="O1231">
        <v>0</v>
      </c>
      <c r="P1231">
        <v>0</v>
      </c>
      <c r="Q1231" t="s">
        <v>108</v>
      </c>
    </row>
    <row r="1232" spans="1:17">
      <c r="A1232" t="s">
        <v>93</v>
      </c>
      <c r="B1232" t="s">
        <v>106</v>
      </c>
      <c r="C1232" t="s">
        <v>56</v>
      </c>
      <c r="D1232" t="s">
        <v>1015</v>
      </c>
      <c r="E1232">
        <v>15</v>
      </c>
      <c r="F1232" t="str">
        <f>VLOOKUP(E1232,[1]LOJA!$A:$B,2,0)</f>
        <v>UNAÍ</v>
      </c>
      <c r="G1232" t="s">
        <v>19</v>
      </c>
      <c r="H1232" t="s">
        <v>19</v>
      </c>
      <c r="I1232" s="1">
        <v>46045</v>
      </c>
      <c r="J1232" s="1">
        <v>46045</v>
      </c>
      <c r="K1232" s="1">
        <v>46045</v>
      </c>
      <c r="L1232">
        <v>36</v>
      </c>
      <c r="M1232">
        <v>0.08</v>
      </c>
      <c r="N1232">
        <v>0.08</v>
      </c>
      <c r="O1232">
        <v>0</v>
      </c>
      <c r="P1232">
        <v>0</v>
      </c>
      <c r="Q1232" t="s">
        <v>108</v>
      </c>
    </row>
    <row r="1233" spans="1:17">
      <c r="A1233" t="s">
        <v>93</v>
      </c>
      <c r="B1233" t="s">
        <v>106</v>
      </c>
      <c r="C1233" t="s">
        <v>56</v>
      </c>
      <c r="D1233" t="s">
        <v>1016</v>
      </c>
      <c r="E1233">
        <v>15</v>
      </c>
      <c r="F1233" t="str">
        <f>VLOOKUP(E1233,[1]LOJA!$A:$B,2,0)</f>
        <v>UNAÍ</v>
      </c>
      <c r="G1233" t="s">
        <v>19</v>
      </c>
      <c r="H1233" t="s">
        <v>19</v>
      </c>
      <c r="I1233" s="1">
        <v>46045</v>
      </c>
      <c r="J1233" s="1">
        <v>46045</v>
      </c>
      <c r="K1233" s="1">
        <v>46045</v>
      </c>
      <c r="L1233">
        <v>36</v>
      </c>
      <c r="M1233">
        <v>0.16</v>
      </c>
      <c r="N1233">
        <v>0.16</v>
      </c>
      <c r="O1233">
        <v>0</v>
      </c>
      <c r="P1233">
        <v>0</v>
      </c>
      <c r="Q1233" t="s">
        <v>108</v>
      </c>
    </row>
    <row r="1234" spans="1:17">
      <c r="A1234" t="s">
        <v>93</v>
      </c>
      <c r="B1234" t="s">
        <v>106</v>
      </c>
      <c r="C1234" t="s">
        <v>56</v>
      </c>
      <c r="D1234" t="s">
        <v>1017</v>
      </c>
      <c r="E1234">
        <v>15</v>
      </c>
      <c r="F1234" t="str">
        <f>VLOOKUP(E1234,[1]LOJA!$A:$B,2,0)</f>
        <v>UNAÍ</v>
      </c>
      <c r="G1234" t="s">
        <v>19</v>
      </c>
      <c r="H1234" t="s">
        <v>19</v>
      </c>
      <c r="I1234" s="1">
        <v>46045</v>
      </c>
      <c r="J1234" s="1">
        <v>46045</v>
      </c>
      <c r="K1234" s="1">
        <v>46045</v>
      </c>
      <c r="L1234">
        <v>36</v>
      </c>
      <c r="M1234">
        <v>0.97</v>
      </c>
      <c r="N1234">
        <v>0.97</v>
      </c>
      <c r="O1234">
        <v>0</v>
      </c>
      <c r="P1234">
        <v>0</v>
      </c>
      <c r="Q1234" t="s">
        <v>108</v>
      </c>
    </row>
    <row r="1235" spans="1:17">
      <c r="A1235" t="s">
        <v>93</v>
      </c>
      <c r="B1235" t="s">
        <v>106</v>
      </c>
      <c r="C1235" t="s">
        <v>56</v>
      </c>
      <c r="D1235" t="s">
        <v>1018</v>
      </c>
      <c r="E1235">
        <v>15</v>
      </c>
      <c r="F1235" t="str">
        <f>VLOOKUP(E1235,[1]LOJA!$A:$B,2,0)</f>
        <v>UNAÍ</v>
      </c>
      <c r="G1235" t="s">
        <v>19</v>
      </c>
      <c r="H1235" t="s">
        <v>19</v>
      </c>
      <c r="I1235" s="1">
        <v>46045</v>
      </c>
      <c r="J1235" s="1">
        <v>46045</v>
      </c>
      <c r="K1235" s="1">
        <v>46045</v>
      </c>
      <c r="L1235">
        <v>36</v>
      </c>
      <c r="M1235">
        <v>0.34</v>
      </c>
      <c r="N1235">
        <v>0.34</v>
      </c>
      <c r="O1235">
        <v>0</v>
      </c>
      <c r="P1235">
        <v>0</v>
      </c>
      <c r="Q1235" t="s">
        <v>108</v>
      </c>
    </row>
    <row r="1236" spans="1:17">
      <c r="A1236" t="s">
        <v>93</v>
      </c>
      <c r="B1236" t="s">
        <v>106</v>
      </c>
      <c r="C1236" t="s">
        <v>56</v>
      </c>
      <c r="D1236" t="s">
        <v>1019</v>
      </c>
      <c r="E1236">
        <v>15</v>
      </c>
      <c r="F1236" t="str">
        <f>VLOOKUP(E1236,[1]LOJA!$A:$B,2,0)</f>
        <v>UNAÍ</v>
      </c>
      <c r="G1236" t="s">
        <v>19</v>
      </c>
      <c r="H1236" t="s">
        <v>19</v>
      </c>
      <c r="I1236" s="1">
        <v>46045</v>
      </c>
      <c r="J1236" s="1">
        <v>46045</v>
      </c>
      <c r="K1236" s="1">
        <v>46045</v>
      </c>
      <c r="L1236">
        <v>36</v>
      </c>
      <c r="M1236">
        <v>0.59</v>
      </c>
      <c r="N1236">
        <v>0.59</v>
      </c>
      <c r="O1236">
        <v>0</v>
      </c>
      <c r="P1236">
        <v>0</v>
      </c>
      <c r="Q1236" t="s">
        <v>108</v>
      </c>
    </row>
    <row r="1237" spans="1:17">
      <c r="A1237" t="s">
        <v>93</v>
      </c>
      <c r="B1237" t="s">
        <v>106</v>
      </c>
      <c r="C1237" t="s">
        <v>56</v>
      </c>
      <c r="D1237" t="s">
        <v>1020</v>
      </c>
      <c r="E1237">
        <v>15</v>
      </c>
      <c r="F1237" t="str">
        <f>VLOOKUP(E1237,[1]LOJA!$A:$B,2,0)</f>
        <v>UNAÍ</v>
      </c>
      <c r="G1237" t="s">
        <v>19</v>
      </c>
      <c r="H1237" t="s">
        <v>19</v>
      </c>
      <c r="I1237" s="1">
        <v>46045</v>
      </c>
      <c r="J1237" s="1">
        <v>46045</v>
      </c>
      <c r="K1237" s="1">
        <v>46045</v>
      </c>
      <c r="L1237">
        <v>36</v>
      </c>
      <c r="M1237">
        <v>0.08</v>
      </c>
      <c r="N1237">
        <v>0.08</v>
      </c>
      <c r="O1237">
        <v>0</v>
      </c>
      <c r="P1237">
        <v>0</v>
      </c>
      <c r="Q1237" t="s">
        <v>108</v>
      </c>
    </row>
    <row r="1238" spans="1:17">
      <c r="A1238" t="s">
        <v>93</v>
      </c>
      <c r="B1238" t="s">
        <v>106</v>
      </c>
      <c r="C1238" t="s">
        <v>56</v>
      </c>
      <c r="D1238" t="s">
        <v>1021</v>
      </c>
      <c r="E1238">
        <v>15</v>
      </c>
      <c r="F1238" t="str">
        <f>VLOOKUP(E1238,[1]LOJA!$A:$B,2,0)</f>
        <v>UNAÍ</v>
      </c>
      <c r="G1238" t="s">
        <v>19</v>
      </c>
      <c r="H1238" t="s">
        <v>19</v>
      </c>
      <c r="I1238" s="1">
        <v>46045</v>
      </c>
      <c r="J1238" s="1">
        <v>46045</v>
      </c>
      <c r="K1238" s="1">
        <v>46045</v>
      </c>
      <c r="L1238">
        <v>36</v>
      </c>
      <c r="M1238">
        <v>0.24</v>
      </c>
      <c r="N1238">
        <v>0.24</v>
      </c>
      <c r="O1238">
        <v>0</v>
      </c>
      <c r="P1238">
        <v>0</v>
      </c>
      <c r="Q1238" t="s">
        <v>108</v>
      </c>
    </row>
    <row r="1239" spans="1:17">
      <c r="A1239" t="s">
        <v>93</v>
      </c>
      <c r="B1239" t="s">
        <v>106</v>
      </c>
      <c r="C1239" t="s">
        <v>56</v>
      </c>
      <c r="D1239" t="s">
        <v>1022</v>
      </c>
      <c r="E1239">
        <v>15</v>
      </c>
      <c r="F1239" t="str">
        <f>VLOOKUP(E1239,[1]LOJA!$A:$B,2,0)</f>
        <v>UNAÍ</v>
      </c>
      <c r="G1239" t="s">
        <v>19</v>
      </c>
      <c r="H1239" t="s">
        <v>19</v>
      </c>
      <c r="I1239" s="1">
        <v>46045</v>
      </c>
      <c r="J1239" s="1">
        <v>46045</v>
      </c>
      <c r="K1239" s="1">
        <v>46045</v>
      </c>
      <c r="L1239">
        <v>36</v>
      </c>
      <c r="M1239">
        <v>0.05</v>
      </c>
      <c r="N1239">
        <v>0.05</v>
      </c>
      <c r="O1239">
        <v>0</v>
      </c>
      <c r="P1239">
        <v>0</v>
      </c>
      <c r="Q1239" t="s">
        <v>108</v>
      </c>
    </row>
    <row r="1240" spans="1:17">
      <c r="A1240" t="s">
        <v>93</v>
      </c>
      <c r="B1240" t="s">
        <v>106</v>
      </c>
      <c r="C1240" t="s">
        <v>56</v>
      </c>
      <c r="D1240" t="s">
        <v>1023</v>
      </c>
      <c r="E1240">
        <v>15</v>
      </c>
      <c r="F1240" t="str">
        <f>VLOOKUP(E1240,[1]LOJA!$A:$B,2,0)</f>
        <v>UNAÍ</v>
      </c>
      <c r="G1240" t="s">
        <v>19</v>
      </c>
      <c r="H1240" t="s">
        <v>19</v>
      </c>
      <c r="I1240" s="1">
        <v>46045</v>
      </c>
      <c r="J1240" s="1">
        <v>46045</v>
      </c>
      <c r="K1240" s="1">
        <v>46045</v>
      </c>
      <c r="L1240">
        <v>36</v>
      </c>
      <c r="M1240">
        <v>0.26</v>
      </c>
      <c r="N1240">
        <v>0.26</v>
      </c>
      <c r="O1240">
        <v>0</v>
      </c>
      <c r="P1240">
        <v>0</v>
      </c>
      <c r="Q1240" t="s">
        <v>108</v>
      </c>
    </row>
    <row r="1241" spans="1:17">
      <c r="A1241" t="s">
        <v>93</v>
      </c>
      <c r="B1241" t="s">
        <v>106</v>
      </c>
      <c r="C1241" t="s">
        <v>56</v>
      </c>
      <c r="D1241" t="s">
        <v>1024</v>
      </c>
      <c r="E1241">
        <v>15</v>
      </c>
      <c r="F1241" t="str">
        <f>VLOOKUP(E1241,[1]LOJA!$A:$B,2,0)</f>
        <v>UNAÍ</v>
      </c>
      <c r="G1241" t="s">
        <v>19</v>
      </c>
      <c r="H1241" t="s">
        <v>19</v>
      </c>
      <c r="I1241" s="1">
        <v>46045</v>
      </c>
      <c r="J1241" s="1">
        <v>46045</v>
      </c>
      <c r="K1241" s="1">
        <v>46045</v>
      </c>
      <c r="L1241">
        <v>36</v>
      </c>
      <c r="M1241">
        <v>0.15</v>
      </c>
      <c r="N1241">
        <v>0.15</v>
      </c>
      <c r="O1241">
        <v>0</v>
      </c>
      <c r="P1241">
        <v>0</v>
      </c>
      <c r="Q1241" t="s">
        <v>108</v>
      </c>
    </row>
    <row r="1242" spans="1:17">
      <c r="A1242" t="s">
        <v>93</v>
      </c>
      <c r="B1242" t="s">
        <v>106</v>
      </c>
      <c r="C1242" t="s">
        <v>56</v>
      </c>
      <c r="D1242" t="s">
        <v>1025</v>
      </c>
      <c r="E1242">
        <v>15</v>
      </c>
      <c r="F1242" t="str">
        <f>VLOOKUP(E1242,[1]LOJA!$A:$B,2,0)</f>
        <v>UNAÍ</v>
      </c>
      <c r="G1242" t="s">
        <v>19</v>
      </c>
      <c r="H1242" t="s">
        <v>19</v>
      </c>
      <c r="I1242" s="1">
        <v>46045</v>
      </c>
      <c r="J1242" s="1">
        <v>46045</v>
      </c>
      <c r="K1242" s="1">
        <v>46045</v>
      </c>
      <c r="L1242">
        <v>36</v>
      </c>
      <c r="M1242">
        <v>0.15</v>
      </c>
      <c r="N1242">
        <v>0.15</v>
      </c>
      <c r="O1242">
        <v>0</v>
      </c>
      <c r="P1242">
        <v>0</v>
      </c>
      <c r="Q1242" t="s">
        <v>108</v>
      </c>
    </row>
    <row r="1243" spans="1:17">
      <c r="A1243" t="s">
        <v>93</v>
      </c>
      <c r="B1243" t="s">
        <v>106</v>
      </c>
      <c r="C1243" t="s">
        <v>56</v>
      </c>
      <c r="D1243" t="s">
        <v>1026</v>
      </c>
      <c r="E1243">
        <v>15</v>
      </c>
      <c r="F1243" t="str">
        <f>VLOOKUP(E1243,[1]LOJA!$A:$B,2,0)</f>
        <v>UNAÍ</v>
      </c>
      <c r="G1243" t="s">
        <v>19</v>
      </c>
      <c r="H1243" t="s">
        <v>19</v>
      </c>
      <c r="I1243" s="1">
        <v>46045</v>
      </c>
      <c r="J1243" s="1">
        <v>46045</v>
      </c>
      <c r="K1243" s="1">
        <v>46045</v>
      </c>
      <c r="L1243">
        <v>36</v>
      </c>
      <c r="M1243">
        <v>1.47</v>
      </c>
      <c r="N1243">
        <v>1.47</v>
      </c>
      <c r="O1243">
        <v>0</v>
      </c>
      <c r="P1243">
        <v>0</v>
      </c>
      <c r="Q1243" t="s">
        <v>108</v>
      </c>
    </row>
    <row r="1244" spans="1:17">
      <c r="A1244" t="s">
        <v>93</v>
      </c>
      <c r="B1244" t="s">
        <v>106</v>
      </c>
      <c r="C1244" t="s">
        <v>56</v>
      </c>
      <c r="D1244" t="s">
        <v>1027</v>
      </c>
      <c r="E1244">
        <v>15</v>
      </c>
      <c r="F1244" t="str">
        <f>VLOOKUP(E1244,[1]LOJA!$A:$B,2,0)</f>
        <v>UNAÍ</v>
      </c>
      <c r="G1244" t="s">
        <v>19</v>
      </c>
      <c r="H1244" t="s">
        <v>19</v>
      </c>
      <c r="I1244" s="1">
        <v>46045</v>
      </c>
      <c r="J1244" s="1">
        <v>46045</v>
      </c>
      <c r="K1244" s="1">
        <v>46045</v>
      </c>
      <c r="L1244">
        <v>36</v>
      </c>
      <c r="M1244">
        <v>0.49</v>
      </c>
      <c r="N1244">
        <v>0.49</v>
      </c>
      <c r="O1244">
        <v>0</v>
      </c>
      <c r="P1244">
        <v>0</v>
      </c>
      <c r="Q1244" t="s">
        <v>108</v>
      </c>
    </row>
    <row r="1245" spans="1:17">
      <c r="A1245" t="s">
        <v>93</v>
      </c>
      <c r="B1245" t="s">
        <v>106</v>
      </c>
      <c r="C1245" t="s">
        <v>56</v>
      </c>
      <c r="D1245" t="s">
        <v>1028</v>
      </c>
      <c r="E1245">
        <v>15</v>
      </c>
      <c r="F1245" t="str">
        <f>VLOOKUP(E1245,[1]LOJA!$A:$B,2,0)</f>
        <v>UNAÍ</v>
      </c>
      <c r="G1245" t="s">
        <v>19</v>
      </c>
      <c r="H1245" t="s">
        <v>19</v>
      </c>
      <c r="I1245" s="1">
        <v>46045</v>
      </c>
      <c r="J1245" s="1">
        <v>46045</v>
      </c>
      <c r="K1245" s="1">
        <v>46045</v>
      </c>
      <c r="L1245">
        <v>36</v>
      </c>
      <c r="M1245">
        <v>0.13</v>
      </c>
      <c r="N1245">
        <v>0.13</v>
      </c>
      <c r="O1245">
        <v>0</v>
      </c>
      <c r="P1245">
        <v>0</v>
      </c>
      <c r="Q1245" t="s">
        <v>108</v>
      </c>
    </row>
    <row r="1246" spans="1:17">
      <c r="A1246" t="s">
        <v>93</v>
      </c>
      <c r="B1246" t="s">
        <v>106</v>
      </c>
      <c r="C1246" t="s">
        <v>56</v>
      </c>
      <c r="D1246" t="s">
        <v>1029</v>
      </c>
      <c r="E1246">
        <v>15</v>
      </c>
      <c r="F1246" t="str">
        <f>VLOOKUP(E1246,[1]LOJA!$A:$B,2,0)</f>
        <v>UNAÍ</v>
      </c>
      <c r="G1246" t="s">
        <v>19</v>
      </c>
      <c r="H1246" t="s">
        <v>19</v>
      </c>
      <c r="I1246" s="1">
        <v>46045</v>
      </c>
      <c r="J1246" s="1">
        <v>46045</v>
      </c>
      <c r="K1246" s="1">
        <v>46045</v>
      </c>
      <c r="L1246">
        <v>36</v>
      </c>
      <c r="M1246">
        <v>0.6</v>
      </c>
      <c r="N1246">
        <v>0.6</v>
      </c>
      <c r="O1246">
        <v>0</v>
      </c>
      <c r="P1246">
        <v>0</v>
      </c>
      <c r="Q1246" t="s">
        <v>108</v>
      </c>
    </row>
    <row r="1247" spans="1:17">
      <c r="A1247" t="s">
        <v>93</v>
      </c>
      <c r="B1247" t="s">
        <v>106</v>
      </c>
      <c r="C1247" t="s">
        <v>56</v>
      </c>
      <c r="D1247" t="s">
        <v>1030</v>
      </c>
      <c r="E1247">
        <v>15</v>
      </c>
      <c r="F1247" t="str">
        <f>VLOOKUP(E1247,[1]LOJA!$A:$B,2,0)</f>
        <v>UNAÍ</v>
      </c>
      <c r="G1247" t="s">
        <v>19</v>
      </c>
      <c r="H1247" t="s">
        <v>19</v>
      </c>
      <c r="I1247" s="1">
        <v>46045</v>
      </c>
      <c r="J1247" s="1">
        <v>46045</v>
      </c>
      <c r="K1247" s="1">
        <v>46045</v>
      </c>
      <c r="L1247">
        <v>36</v>
      </c>
      <c r="M1247">
        <v>0.03</v>
      </c>
      <c r="N1247">
        <v>0.03</v>
      </c>
      <c r="O1247">
        <v>0</v>
      </c>
      <c r="P1247">
        <v>0</v>
      </c>
      <c r="Q1247" t="s">
        <v>108</v>
      </c>
    </row>
    <row r="1248" spans="1:17">
      <c r="A1248" t="s">
        <v>93</v>
      </c>
      <c r="B1248" t="s">
        <v>106</v>
      </c>
      <c r="C1248" t="s">
        <v>56</v>
      </c>
      <c r="D1248" t="s">
        <v>1031</v>
      </c>
      <c r="E1248">
        <v>15</v>
      </c>
      <c r="F1248" t="str">
        <f>VLOOKUP(E1248,[1]LOJA!$A:$B,2,0)</f>
        <v>UNAÍ</v>
      </c>
      <c r="G1248" t="s">
        <v>19</v>
      </c>
      <c r="H1248" t="s">
        <v>19</v>
      </c>
      <c r="I1248" s="1">
        <v>46045</v>
      </c>
      <c r="J1248" s="1">
        <v>46045</v>
      </c>
      <c r="K1248" s="1">
        <v>46045</v>
      </c>
      <c r="L1248">
        <v>36</v>
      </c>
      <c r="M1248">
        <v>0.99</v>
      </c>
      <c r="N1248">
        <v>0.99</v>
      </c>
      <c r="O1248">
        <v>0</v>
      </c>
      <c r="P1248">
        <v>0</v>
      </c>
      <c r="Q1248" t="s">
        <v>108</v>
      </c>
    </row>
    <row r="1249" spans="1:17">
      <c r="A1249" t="s">
        <v>93</v>
      </c>
      <c r="B1249" t="s">
        <v>106</v>
      </c>
      <c r="C1249" t="s">
        <v>56</v>
      </c>
      <c r="D1249" t="s">
        <v>1032</v>
      </c>
      <c r="E1249">
        <v>15</v>
      </c>
      <c r="F1249" t="str">
        <f>VLOOKUP(E1249,[1]LOJA!$A:$B,2,0)</f>
        <v>UNAÍ</v>
      </c>
      <c r="G1249" t="s">
        <v>19</v>
      </c>
      <c r="H1249" t="s">
        <v>19</v>
      </c>
      <c r="I1249" s="1">
        <v>46045</v>
      </c>
      <c r="J1249" s="1">
        <v>46045</v>
      </c>
      <c r="K1249" s="1">
        <v>46045</v>
      </c>
      <c r="L1249">
        <v>36</v>
      </c>
      <c r="M1249">
        <v>0.03</v>
      </c>
      <c r="N1249">
        <v>0.03</v>
      </c>
      <c r="O1249">
        <v>0</v>
      </c>
      <c r="P1249">
        <v>0</v>
      </c>
      <c r="Q1249" t="s">
        <v>108</v>
      </c>
    </row>
    <row r="1250" spans="1:17">
      <c r="A1250" t="s">
        <v>93</v>
      </c>
      <c r="B1250" t="s">
        <v>106</v>
      </c>
      <c r="C1250" t="s">
        <v>56</v>
      </c>
      <c r="D1250" t="s">
        <v>1033</v>
      </c>
      <c r="E1250">
        <v>15</v>
      </c>
      <c r="F1250" t="str">
        <f>VLOOKUP(E1250,[1]LOJA!$A:$B,2,0)</f>
        <v>UNAÍ</v>
      </c>
      <c r="G1250" t="s">
        <v>19</v>
      </c>
      <c r="H1250" t="s">
        <v>19</v>
      </c>
      <c r="I1250" s="1">
        <v>46045</v>
      </c>
      <c r="J1250" s="1">
        <v>46045</v>
      </c>
      <c r="K1250" s="1">
        <v>46045</v>
      </c>
      <c r="L1250">
        <v>36</v>
      </c>
      <c r="M1250">
        <v>2.06</v>
      </c>
      <c r="N1250">
        <v>2.06</v>
      </c>
      <c r="O1250">
        <v>0</v>
      </c>
      <c r="P1250">
        <v>0</v>
      </c>
      <c r="Q1250" t="s">
        <v>108</v>
      </c>
    </row>
    <row r="1251" spans="1:17">
      <c r="A1251" t="s">
        <v>93</v>
      </c>
      <c r="B1251" t="s">
        <v>106</v>
      </c>
      <c r="C1251" t="s">
        <v>56</v>
      </c>
      <c r="D1251" t="s">
        <v>1034</v>
      </c>
      <c r="E1251">
        <v>4</v>
      </c>
      <c r="F1251" t="str">
        <f>VLOOKUP(E1251,[1]LOJA!$A:$B,2,0)</f>
        <v>ADE</v>
      </c>
      <c r="G1251" t="s">
        <v>19</v>
      </c>
      <c r="H1251" t="s">
        <v>19</v>
      </c>
      <c r="I1251" s="1">
        <v>46045</v>
      </c>
      <c r="J1251" s="1">
        <v>46045</v>
      </c>
      <c r="K1251" s="1">
        <v>46045</v>
      </c>
      <c r="L1251">
        <v>30</v>
      </c>
      <c r="M1251">
        <v>19.03</v>
      </c>
      <c r="N1251">
        <v>19.03</v>
      </c>
      <c r="O1251">
        <v>0</v>
      </c>
      <c r="P1251">
        <v>0</v>
      </c>
      <c r="Q1251" t="s">
        <v>108</v>
      </c>
    </row>
    <row r="1252" spans="1:17">
      <c r="A1252" t="s">
        <v>93</v>
      </c>
      <c r="B1252" t="s">
        <v>106</v>
      </c>
      <c r="C1252" t="s">
        <v>56</v>
      </c>
      <c r="D1252" t="s">
        <v>1035</v>
      </c>
      <c r="E1252">
        <v>4</v>
      </c>
      <c r="F1252" t="str">
        <f>VLOOKUP(E1252,[1]LOJA!$A:$B,2,0)</f>
        <v>ADE</v>
      </c>
      <c r="G1252" t="s">
        <v>19</v>
      </c>
      <c r="H1252" t="s">
        <v>19</v>
      </c>
      <c r="I1252" s="1">
        <v>46045</v>
      </c>
      <c r="J1252" s="1">
        <v>46045</v>
      </c>
      <c r="K1252" s="1">
        <v>46045</v>
      </c>
      <c r="L1252">
        <v>30</v>
      </c>
      <c r="M1252">
        <v>3.66</v>
      </c>
      <c r="N1252">
        <v>3.66</v>
      </c>
      <c r="O1252">
        <v>0</v>
      </c>
      <c r="P1252">
        <v>0</v>
      </c>
      <c r="Q1252" t="s">
        <v>108</v>
      </c>
    </row>
    <row r="1253" spans="1:17">
      <c r="A1253" t="s">
        <v>93</v>
      </c>
      <c r="B1253" t="s">
        <v>106</v>
      </c>
      <c r="C1253" t="s">
        <v>56</v>
      </c>
      <c r="D1253" t="s">
        <v>1036</v>
      </c>
      <c r="E1253">
        <v>4</v>
      </c>
      <c r="F1253" t="str">
        <f>VLOOKUP(E1253,[1]LOJA!$A:$B,2,0)</f>
        <v>ADE</v>
      </c>
      <c r="G1253" t="s">
        <v>19</v>
      </c>
      <c r="H1253" t="s">
        <v>19</v>
      </c>
      <c r="I1253" s="1">
        <v>46045</v>
      </c>
      <c r="J1253" s="1">
        <v>46045</v>
      </c>
      <c r="K1253" s="1">
        <v>46045</v>
      </c>
      <c r="L1253">
        <v>30</v>
      </c>
      <c r="M1253">
        <v>1.19</v>
      </c>
      <c r="N1253">
        <v>1.19</v>
      </c>
      <c r="O1253">
        <v>0</v>
      </c>
      <c r="P1253">
        <v>0</v>
      </c>
      <c r="Q1253" t="s">
        <v>108</v>
      </c>
    </row>
    <row r="1254" spans="1:17">
      <c r="A1254" t="s">
        <v>93</v>
      </c>
      <c r="B1254" t="s">
        <v>106</v>
      </c>
      <c r="C1254" t="s">
        <v>56</v>
      </c>
      <c r="D1254" t="s">
        <v>1037</v>
      </c>
      <c r="E1254">
        <v>4</v>
      </c>
      <c r="F1254" t="str">
        <f>VLOOKUP(E1254,[1]LOJA!$A:$B,2,0)</f>
        <v>ADE</v>
      </c>
      <c r="G1254" t="s">
        <v>19</v>
      </c>
      <c r="H1254" t="s">
        <v>19</v>
      </c>
      <c r="I1254" s="1">
        <v>46045</v>
      </c>
      <c r="J1254" s="1">
        <v>46045</v>
      </c>
      <c r="K1254" s="1">
        <v>46045</v>
      </c>
      <c r="L1254">
        <v>30</v>
      </c>
      <c r="M1254">
        <v>1.75</v>
      </c>
      <c r="N1254">
        <v>1.75</v>
      </c>
      <c r="O1254">
        <v>0</v>
      </c>
      <c r="P1254">
        <v>0</v>
      </c>
      <c r="Q1254" t="s">
        <v>108</v>
      </c>
    </row>
    <row r="1255" spans="1:17">
      <c r="A1255" t="s">
        <v>93</v>
      </c>
      <c r="B1255" t="s">
        <v>106</v>
      </c>
      <c r="C1255" t="s">
        <v>56</v>
      </c>
      <c r="D1255" t="s">
        <v>1038</v>
      </c>
      <c r="E1255">
        <v>4</v>
      </c>
      <c r="F1255" t="str">
        <f>VLOOKUP(E1255,[1]LOJA!$A:$B,2,0)</f>
        <v>ADE</v>
      </c>
      <c r="G1255" t="s">
        <v>19</v>
      </c>
      <c r="H1255" t="s">
        <v>19</v>
      </c>
      <c r="I1255" s="1">
        <v>46045</v>
      </c>
      <c r="J1255" s="1">
        <v>46045</v>
      </c>
      <c r="K1255" s="1">
        <v>46045</v>
      </c>
      <c r="L1255">
        <v>30</v>
      </c>
      <c r="M1255">
        <v>1.7</v>
      </c>
      <c r="N1255">
        <v>1.7</v>
      </c>
      <c r="O1255">
        <v>0</v>
      </c>
      <c r="P1255">
        <v>0</v>
      </c>
      <c r="Q1255" t="s">
        <v>108</v>
      </c>
    </row>
    <row r="1256" spans="1:17">
      <c r="A1256" t="s">
        <v>93</v>
      </c>
      <c r="B1256" t="s">
        <v>106</v>
      </c>
      <c r="C1256" t="s">
        <v>56</v>
      </c>
      <c r="D1256" t="s">
        <v>1039</v>
      </c>
      <c r="E1256">
        <v>4</v>
      </c>
      <c r="F1256" t="str">
        <f>VLOOKUP(E1256,[1]LOJA!$A:$B,2,0)</f>
        <v>ADE</v>
      </c>
      <c r="G1256" t="s">
        <v>19</v>
      </c>
      <c r="H1256" t="s">
        <v>19</v>
      </c>
      <c r="I1256" s="1">
        <v>46045</v>
      </c>
      <c r="J1256" s="1">
        <v>46045</v>
      </c>
      <c r="K1256" s="1">
        <v>46045</v>
      </c>
      <c r="L1256">
        <v>30</v>
      </c>
      <c r="M1256">
        <v>5.48</v>
      </c>
      <c r="N1256">
        <v>5.48</v>
      </c>
      <c r="O1256">
        <v>0</v>
      </c>
      <c r="P1256">
        <v>0</v>
      </c>
      <c r="Q1256" t="s">
        <v>108</v>
      </c>
    </row>
    <row r="1257" spans="1:17">
      <c r="A1257" t="s">
        <v>93</v>
      </c>
      <c r="B1257" t="s">
        <v>106</v>
      </c>
      <c r="C1257" t="s">
        <v>56</v>
      </c>
      <c r="D1257" t="s">
        <v>1040</v>
      </c>
      <c r="E1257">
        <v>4</v>
      </c>
      <c r="F1257" t="str">
        <f>VLOOKUP(E1257,[1]LOJA!$A:$B,2,0)</f>
        <v>ADE</v>
      </c>
      <c r="G1257" t="s">
        <v>19</v>
      </c>
      <c r="H1257" t="s">
        <v>19</v>
      </c>
      <c r="I1257" s="1">
        <v>46045</v>
      </c>
      <c r="J1257" s="1">
        <v>46045</v>
      </c>
      <c r="K1257" s="1">
        <v>46045</v>
      </c>
      <c r="L1257">
        <v>30</v>
      </c>
      <c r="M1257">
        <v>3.22</v>
      </c>
      <c r="N1257">
        <v>3.22</v>
      </c>
      <c r="O1257">
        <v>0</v>
      </c>
      <c r="P1257">
        <v>0</v>
      </c>
      <c r="Q1257" t="s">
        <v>108</v>
      </c>
    </row>
    <row r="1258" spans="1:17">
      <c r="A1258" t="s">
        <v>93</v>
      </c>
      <c r="B1258" t="s">
        <v>106</v>
      </c>
      <c r="C1258" t="s">
        <v>56</v>
      </c>
      <c r="D1258" t="s">
        <v>1041</v>
      </c>
      <c r="E1258">
        <v>4</v>
      </c>
      <c r="F1258" t="str">
        <f>VLOOKUP(E1258,[1]LOJA!$A:$B,2,0)</f>
        <v>ADE</v>
      </c>
      <c r="G1258" t="s">
        <v>19</v>
      </c>
      <c r="H1258" t="s">
        <v>19</v>
      </c>
      <c r="I1258" s="1">
        <v>46045</v>
      </c>
      <c r="J1258" s="1">
        <v>46045</v>
      </c>
      <c r="K1258" s="1">
        <v>46045</v>
      </c>
      <c r="L1258">
        <v>30</v>
      </c>
      <c r="M1258">
        <v>0.06</v>
      </c>
      <c r="N1258">
        <v>0.06</v>
      </c>
      <c r="O1258">
        <v>0</v>
      </c>
      <c r="P1258">
        <v>0</v>
      </c>
      <c r="Q1258" t="s">
        <v>108</v>
      </c>
    </row>
    <row r="1259" spans="1:17">
      <c r="A1259" t="s">
        <v>93</v>
      </c>
      <c r="B1259" t="s">
        <v>106</v>
      </c>
      <c r="C1259" t="s">
        <v>56</v>
      </c>
      <c r="D1259" t="s">
        <v>1042</v>
      </c>
      <c r="E1259">
        <v>4</v>
      </c>
      <c r="F1259" t="str">
        <f>VLOOKUP(E1259,[1]LOJA!$A:$B,2,0)</f>
        <v>ADE</v>
      </c>
      <c r="G1259" t="s">
        <v>19</v>
      </c>
      <c r="H1259" t="s">
        <v>19</v>
      </c>
      <c r="I1259" s="1">
        <v>46045</v>
      </c>
      <c r="J1259" s="1">
        <v>46045</v>
      </c>
      <c r="K1259" s="1">
        <v>46045</v>
      </c>
      <c r="L1259">
        <v>30</v>
      </c>
      <c r="M1259">
        <v>0.19</v>
      </c>
      <c r="N1259">
        <v>0.19</v>
      </c>
      <c r="O1259">
        <v>0</v>
      </c>
      <c r="P1259">
        <v>0</v>
      </c>
      <c r="Q1259" t="s">
        <v>108</v>
      </c>
    </row>
    <row r="1260" spans="1:17">
      <c r="A1260" t="s">
        <v>93</v>
      </c>
      <c r="B1260" t="s">
        <v>106</v>
      </c>
      <c r="C1260" t="s">
        <v>56</v>
      </c>
      <c r="D1260" t="s">
        <v>1043</v>
      </c>
      <c r="E1260">
        <v>4</v>
      </c>
      <c r="F1260" t="str">
        <f>VLOOKUP(E1260,[1]LOJA!$A:$B,2,0)</f>
        <v>ADE</v>
      </c>
      <c r="G1260" t="s">
        <v>19</v>
      </c>
      <c r="H1260" t="s">
        <v>19</v>
      </c>
      <c r="I1260" s="1">
        <v>46045</v>
      </c>
      <c r="J1260" s="1">
        <v>46045</v>
      </c>
      <c r="K1260" s="1">
        <v>46045</v>
      </c>
      <c r="L1260">
        <v>30</v>
      </c>
      <c r="M1260">
        <v>1.39</v>
      </c>
      <c r="N1260">
        <v>1.39</v>
      </c>
      <c r="O1260">
        <v>0</v>
      </c>
      <c r="P1260">
        <v>0</v>
      </c>
      <c r="Q1260" t="s">
        <v>108</v>
      </c>
    </row>
    <row r="1261" spans="1:17">
      <c r="A1261" t="s">
        <v>93</v>
      </c>
      <c r="B1261" t="s">
        <v>106</v>
      </c>
      <c r="C1261" t="s">
        <v>56</v>
      </c>
      <c r="D1261" t="s">
        <v>1044</v>
      </c>
      <c r="E1261">
        <v>4</v>
      </c>
      <c r="F1261" t="str">
        <f>VLOOKUP(E1261,[1]LOJA!$A:$B,2,0)</f>
        <v>ADE</v>
      </c>
      <c r="G1261" t="s">
        <v>19</v>
      </c>
      <c r="H1261" t="s">
        <v>19</v>
      </c>
      <c r="I1261" s="1">
        <v>46045</v>
      </c>
      <c r="J1261" s="1">
        <v>46045</v>
      </c>
      <c r="K1261" s="1">
        <v>46045</v>
      </c>
      <c r="L1261">
        <v>30</v>
      </c>
      <c r="M1261">
        <v>0.12</v>
      </c>
      <c r="N1261">
        <v>0.12</v>
      </c>
      <c r="O1261">
        <v>0</v>
      </c>
      <c r="P1261">
        <v>0</v>
      </c>
      <c r="Q1261" t="s">
        <v>108</v>
      </c>
    </row>
    <row r="1262" spans="1:17">
      <c r="A1262" t="s">
        <v>93</v>
      </c>
      <c r="B1262" t="s">
        <v>106</v>
      </c>
      <c r="C1262" t="s">
        <v>56</v>
      </c>
      <c r="D1262" t="s">
        <v>1045</v>
      </c>
      <c r="E1262">
        <v>4</v>
      </c>
      <c r="F1262" t="str">
        <f>VLOOKUP(E1262,[1]LOJA!$A:$B,2,0)</f>
        <v>ADE</v>
      </c>
      <c r="G1262" t="s">
        <v>19</v>
      </c>
      <c r="H1262" t="s">
        <v>19</v>
      </c>
      <c r="I1262" s="1">
        <v>46045</v>
      </c>
      <c r="J1262" s="1">
        <v>46045</v>
      </c>
      <c r="K1262" s="1">
        <v>46045</v>
      </c>
      <c r="L1262">
        <v>30</v>
      </c>
      <c r="M1262">
        <v>0.15</v>
      </c>
      <c r="N1262">
        <v>0.15</v>
      </c>
      <c r="O1262">
        <v>0</v>
      </c>
      <c r="P1262">
        <v>0</v>
      </c>
      <c r="Q1262" t="s">
        <v>108</v>
      </c>
    </row>
    <row r="1263" spans="1:17">
      <c r="A1263" t="s">
        <v>93</v>
      </c>
      <c r="B1263" t="s">
        <v>106</v>
      </c>
      <c r="C1263" t="s">
        <v>56</v>
      </c>
      <c r="D1263" t="s">
        <v>1046</v>
      </c>
      <c r="E1263">
        <v>4</v>
      </c>
      <c r="F1263" t="str">
        <f>VLOOKUP(E1263,[1]LOJA!$A:$B,2,0)</f>
        <v>ADE</v>
      </c>
      <c r="G1263" t="s">
        <v>19</v>
      </c>
      <c r="H1263" t="s">
        <v>19</v>
      </c>
      <c r="I1263" s="1">
        <v>46048</v>
      </c>
      <c r="J1263" s="1">
        <v>46048</v>
      </c>
      <c r="K1263" s="1">
        <v>46048</v>
      </c>
      <c r="L1263">
        <v>30</v>
      </c>
      <c r="M1263">
        <v>12.59</v>
      </c>
      <c r="N1263">
        <v>12.59</v>
      </c>
      <c r="O1263">
        <v>0</v>
      </c>
      <c r="P1263">
        <v>0</v>
      </c>
      <c r="Q1263" t="s">
        <v>108</v>
      </c>
    </row>
    <row r="1264" spans="1:17">
      <c r="A1264" t="s">
        <v>93</v>
      </c>
      <c r="B1264" t="s">
        <v>106</v>
      </c>
      <c r="C1264" t="s">
        <v>56</v>
      </c>
      <c r="D1264" t="s">
        <v>1047</v>
      </c>
      <c r="E1264">
        <v>4</v>
      </c>
      <c r="F1264" t="str">
        <f>VLOOKUP(E1264,[1]LOJA!$A:$B,2,0)</f>
        <v>ADE</v>
      </c>
      <c r="G1264" t="s">
        <v>19</v>
      </c>
      <c r="H1264" t="s">
        <v>19</v>
      </c>
      <c r="I1264" s="1">
        <v>46048</v>
      </c>
      <c r="J1264" s="1">
        <v>46048</v>
      </c>
      <c r="K1264" s="1">
        <v>46048</v>
      </c>
      <c r="L1264">
        <v>30</v>
      </c>
      <c r="M1264">
        <v>30.94</v>
      </c>
      <c r="N1264">
        <v>30.94</v>
      </c>
      <c r="O1264">
        <v>0</v>
      </c>
      <c r="P1264">
        <v>0</v>
      </c>
      <c r="Q1264" t="s">
        <v>108</v>
      </c>
    </row>
    <row r="1265" spans="1:17">
      <c r="A1265" t="s">
        <v>93</v>
      </c>
      <c r="B1265" t="s">
        <v>106</v>
      </c>
      <c r="C1265" t="s">
        <v>56</v>
      </c>
      <c r="D1265" t="s">
        <v>1048</v>
      </c>
      <c r="E1265">
        <v>4</v>
      </c>
      <c r="F1265" t="str">
        <f>VLOOKUP(E1265,[1]LOJA!$A:$B,2,0)</f>
        <v>ADE</v>
      </c>
      <c r="G1265" t="s">
        <v>19</v>
      </c>
      <c r="H1265" t="s">
        <v>19</v>
      </c>
      <c r="I1265" s="1">
        <v>46048</v>
      </c>
      <c r="J1265" s="1">
        <v>46047</v>
      </c>
      <c r="K1265" s="1">
        <v>46048</v>
      </c>
      <c r="L1265">
        <v>30</v>
      </c>
      <c r="M1265">
        <v>9.17</v>
      </c>
      <c r="N1265">
        <v>9.17</v>
      </c>
      <c r="O1265">
        <v>0</v>
      </c>
      <c r="P1265">
        <v>0</v>
      </c>
      <c r="Q1265" t="s">
        <v>108</v>
      </c>
    </row>
    <row r="1266" spans="1:17">
      <c r="A1266" t="s">
        <v>93</v>
      </c>
      <c r="B1266" t="s">
        <v>106</v>
      </c>
      <c r="C1266" t="s">
        <v>56</v>
      </c>
      <c r="D1266" t="s">
        <v>1049</v>
      </c>
      <c r="E1266">
        <v>4</v>
      </c>
      <c r="F1266" t="str">
        <f>VLOOKUP(E1266,[1]LOJA!$A:$B,2,0)</f>
        <v>ADE</v>
      </c>
      <c r="G1266" t="s">
        <v>19</v>
      </c>
      <c r="H1266" t="s">
        <v>19</v>
      </c>
      <c r="I1266" s="1">
        <v>46048</v>
      </c>
      <c r="J1266" s="1">
        <v>46048</v>
      </c>
      <c r="K1266" s="1">
        <v>46048</v>
      </c>
      <c r="L1266">
        <v>30</v>
      </c>
      <c r="M1266">
        <v>12.87</v>
      </c>
      <c r="N1266">
        <v>12.87</v>
      </c>
      <c r="O1266">
        <v>0</v>
      </c>
      <c r="P1266">
        <v>0</v>
      </c>
      <c r="Q1266" t="s">
        <v>108</v>
      </c>
    </row>
    <row r="1267" spans="1:17">
      <c r="A1267" t="s">
        <v>93</v>
      </c>
      <c r="B1267" t="s">
        <v>106</v>
      </c>
      <c r="C1267" t="s">
        <v>56</v>
      </c>
      <c r="D1267" t="s">
        <v>1050</v>
      </c>
      <c r="E1267">
        <v>4</v>
      </c>
      <c r="F1267" t="str">
        <f>VLOOKUP(E1267,[1]LOJA!$A:$B,2,0)</f>
        <v>ADE</v>
      </c>
      <c r="G1267" t="s">
        <v>19</v>
      </c>
      <c r="H1267" t="s">
        <v>19</v>
      </c>
      <c r="I1267" s="1">
        <v>46048</v>
      </c>
      <c r="J1267" s="1">
        <v>46048</v>
      </c>
      <c r="K1267" s="1">
        <v>46048</v>
      </c>
      <c r="L1267">
        <v>30</v>
      </c>
      <c r="M1267">
        <v>7.67</v>
      </c>
      <c r="N1267">
        <v>7.67</v>
      </c>
      <c r="O1267">
        <v>0</v>
      </c>
      <c r="P1267">
        <v>0</v>
      </c>
      <c r="Q1267" t="s">
        <v>108</v>
      </c>
    </row>
    <row r="1268" spans="1:17">
      <c r="A1268" t="s">
        <v>93</v>
      </c>
      <c r="B1268" t="s">
        <v>106</v>
      </c>
      <c r="C1268" t="s">
        <v>56</v>
      </c>
      <c r="D1268" t="s">
        <v>1051</v>
      </c>
      <c r="E1268">
        <v>4</v>
      </c>
      <c r="F1268" t="str">
        <f>VLOOKUP(E1268,[1]LOJA!$A:$B,2,0)</f>
        <v>ADE</v>
      </c>
      <c r="G1268" t="s">
        <v>19</v>
      </c>
      <c r="H1268" t="s">
        <v>19</v>
      </c>
      <c r="I1268" s="1">
        <v>46048</v>
      </c>
      <c r="J1268" s="1">
        <v>46048</v>
      </c>
      <c r="K1268" s="1">
        <v>46048</v>
      </c>
      <c r="L1268">
        <v>30</v>
      </c>
      <c r="M1268">
        <v>9.42</v>
      </c>
      <c r="N1268">
        <v>9.42</v>
      </c>
      <c r="O1268">
        <v>0</v>
      </c>
      <c r="P1268">
        <v>0</v>
      </c>
      <c r="Q1268" t="s">
        <v>108</v>
      </c>
    </row>
    <row r="1269" spans="1:17">
      <c r="A1269" t="s">
        <v>93</v>
      </c>
      <c r="B1269" t="s">
        <v>106</v>
      </c>
      <c r="C1269" t="s">
        <v>56</v>
      </c>
      <c r="D1269" t="s">
        <v>1052</v>
      </c>
      <c r="E1269">
        <v>4</v>
      </c>
      <c r="F1269" t="str">
        <f>VLOOKUP(E1269,[1]LOJA!$A:$B,2,0)</f>
        <v>ADE</v>
      </c>
      <c r="G1269" t="s">
        <v>19</v>
      </c>
      <c r="H1269" t="s">
        <v>19</v>
      </c>
      <c r="I1269" s="1">
        <v>46048</v>
      </c>
      <c r="J1269" s="1">
        <v>46047</v>
      </c>
      <c r="K1269" s="1">
        <v>46048</v>
      </c>
      <c r="L1269">
        <v>30</v>
      </c>
      <c r="M1269">
        <v>2.5499999999999998</v>
      </c>
      <c r="N1269">
        <v>2.5499999999999998</v>
      </c>
      <c r="O1269">
        <v>0</v>
      </c>
      <c r="P1269">
        <v>0</v>
      </c>
      <c r="Q1269" t="s">
        <v>108</v>
      </c>
    </row>
    <row r="1270" spans="1:17">
      <c r="A1270" t="s">
        <v>93</v>
      </c>
      <c r="B1270" t="s">
        <v>106</v>
      </c>
      <c r="C1270" t="s">
        <v>56</v>
      </c>
      <c r="D1270" t="s">
        <v>1053</v>
      </c>
      <c r="E1270">
        <v>4</v>
      </c>
      <c r="F1270" t="str">
        <f>VLOOKUP(E1270,[1]LOJA!$A:$B,2,0)</f>
        <v>ADE</v>
      </c>
      <c r="G1270" t="s">
        <v>19</v>
      </c>
      <c r="H1270" t="s">
        <v>19</v>
      </c>
      <c r="I1270" s="1">
        <v>46048</v>
      </c>
      <c r="J1270" s="1">
        <v>46048</v>
      </c>
      <c r="K1270" s="1">
        <v>46048</v>
      </c>
      <c r="L1270">
        <v>30</v>
      </c>
      <c r="M1270">
        <v>3.5</v>
      </c>
      <c r="N1270">
        <v>3.5</v>
      </c>
      <c r="O1270">
        <v>0</v>
      </c>
      <c r="P1270">
        <v>0</v>
      </c>
      <c r="Q1270" t="s">
        <v>108</v>
      </c>
    </row>
    <row r="1271" spans="1:17">
      <c r="A1271" t="s">
        <v>93</v>
      </c>
      <c r="B1271" t="s">
        <v>106</v>
      </c>
      <c r="C1271" t="s">
        <v>56</v>
      </c>
      <c r="D1271" t="s">
        <v>1054</v>
      </c>
      <c r="E1271">
        <v>4</v>
      </c>
      <c r="F1271" t="str">
        <f>VLOOKUP(E1271,[1]LOJA!$A:$B,2,0)</f>
        <v>ADE</v>
      </c>
      <c r="G1271" t="s">
        <v>19</v>
      </c>
      <c r="H1271" t="s">
        <v>19</v>
      </c>
      <c r="I1271" s="1">
        <v>46048</v>
      </c>
      <c r="J1271" s="1">
        <v>46048</v>
      </c>
      <c r="K1271" s="1">
        <v>46048</v>
      </c>
      <c r="L1271">
        <v>30</v>
      </c>
      <c r="M1271">
        <v>6.35</v>
      </c>
      <c r="N1271">
        <v>6.35</v>
      </c>
      <c r="O1271">
        <v>0</v>
      </c>
      <c r="P1271">
        <v>0</v>
      </c>
      <c r="Q1271" t="s">
        <v>108</v>
      </c>
    </row>
    <row r="1272" spans="1:17">
      <c r="A1272" t="s">
        <v>93</v>
      </c>
      <c r="B1272" t="s">
        <v>106</v>
      </c>
      <c r="C1272" t="s">
        <v>56</v>
      </c>
      <c r="D1272" t="s">
        <v>1055</v>
      </c>
      <c r="E1272">
        <v>4</v>
      </c>
      <c r="F1272" t="str">
        <f>VLOOKUP(E1272,[1]LOJA!$A:$B,2,0)</f>
        <v>ADE</v>
      </c>
      <c r="G1272" t="s">
        <v>19</v>
      </c>
      <c r="H1272" t="s">
        <v>19</v>
      </c>
      <c r="I1272" s="1">
        <v>46048</v>
      </c>
      <c r="J1272" s="1">
        <v>46048</v>
      </c>
      <c r="K1272" s="1">
        <v>46048</v>
      </c>
      <c r="L1272">
        <v>30</v>
      </c>
      <c r="M1272">
        <v>19.3</v>
      </c>
      <c r="N1272">
        <v>19.3</v>
      </c>
      <c r="O1272">
        <v>0</v>
      </c>
      <c r="P1272">
        <v>0</v>
      </c>
      <c r="Q1272" t="s">
        <v>108</v>
      </c>
    </row>
    <row r="1273" spans="1:17">
      <c r="A1273" t="s">
        <v>93</v>
      </c>
      <c r="B1273" t="s">
        <v>106</v>
      </c>
      <c r="C1273" t="s">
        <v>56</v>
      </c>
      <c r="D1273" t="s">
        <v>1056</v>
      </c>
      <c r="E1273">
        <v>4</v>
      </c>
      <c r="F1273" t="str">
        <f>VLOOKUP(E1273,[1]LOJA!$A:$B,2,0)</f>
        <v>ADE</v>
      </c>
      <c r="G1273" t="s">
        <v>19</v>
      </c>
      <c r="H1273" t="s">
        <v>19</v>
      </c>
      <c r="I1273" s="1">
        <v>46048</v>
      </c>
      <c r="J1273" s="1">
        <v>46048</v>
      </c>
      <c r="K1273" s="1">
        <v>46048</v>
      </c>
      <c r="L1273">
        <v>30</v>
      </c>
      <c r="M1273">
        <v>15.08</v>
      </c>
      <c r="N1273">
        <v>15.08</v>
      </c>
      <c r="O1273">
        <v>0</v>
      </c>
      <c r="P1273">
        <v>0</v>
      </c>
      <c r="Q1273" t="s">
        <v>108</v>
      </c>
    </row>
    <row r="1274" spans="1:17">
      <c r="A1274" t="s">
        <v>93</v>
      </c>
      <c r="B1274" t="s">
        <v>106</v>
      </c>
      <c r="C1274" t="s">
        <v>56</v>
      </c>
      <c r="D1274" t="s">
        <v>1057</v>
      </c>
      <c r="E1274">
        <v>4</v>
      </c>
      <c r="F1274" t="str">
        <f>VLOOKUP(E1274,[1]LOJA!$A:$B,2,0)</f>
        <v>ADE</v>
      </c>
      <c r="G1274" t="s">
        <v>19</v>
      </c>
      <c r="H1274" t="s">
        <v>19</v>
      </c>
      <c r="I1274" s="1">
        <v>46048</v>
      </c>
      <c r="J1274" s="1">
        <v>46048</v>
      </c>
      <c r="K1274" s="1">
        <v>46048</v>
      </c>
      <c r="L1274">
        <v>30</v>
      </c>
      <c r="M1274">
        <v>2.5099999999999998</v>
      </c>
      <c r="N1274">
        <v>2.5099999999999998</v>
      </c>
      <c r="O1274">
        <v>0</v>
      </c>
      <c r="P1274">
        <v>0</v>
      </c>
      <c r="Q1274" t="s">
        <v>108</v>
      </c>
    </row>
    <row r="1275" spans="1:17">
      <c r="A1275" t="s">
        <v>93</v>
      </c>
      <c r="B1275" t="s">
        <v>106</v>
      </c>
      <c r="C1275" t="s">
        <v>56</v>
      </c>
      <c r="D1275" t="s">
        <v>1058</v>
      </c>
      <c r="E1275">
        <v>4</v>
      </c>
      <c r="F1275" t="str">
        <f>VLOOKUP(E1275,[1]LOJA!$A:$B,2,0)</f>
        <v>ADE</v>
      </c>
      <c r="G1275" t="s">
        <v>19</v>
      </c>
      <c r="H1275" t="s">
        <v>19</v>
      </c>
      <c r="I1275" s="1">
        <v>46048</v>
      </c>
      <c r="J1275" s="1">
        <v>46048</v>
      </c>
      <c r="K1275" s="1">
        <v>46048</v>
      </c>
      <c r="L1275">
        <v>30</v>
      </c>
      <c r="M1275">
        <v>1.64</v>
      </c>
      <c r="N1275">
        <v>1.64</v>
      </c>
      <c r="O1275">
        <v>0</v>
      </c>
      <c r="P1275">
        <v>0</v>
      </c>
      <c r="Q1275" t="s">
        <v>108</v>
      </c>
    </row>
    <row r="1276" spans="1:17">
      <c r="A1276" t="s">
        <v>93</v>
      </c>
      <c r="B1276" t="s">
        <v>106</v>
      </c>
      <c r="C1276" t="s">
        <v>56</v>
      </c>
      <c r="D1276" t="s">
        <v>1059</v>
      </c>
      <c r="E1276">
        <v>4</v>
      </c>
      <c r="F1276" t="str">
        <f>VLOOKUP(E1276,[1]LOJA!$A:$B,2,0)</f>
        <v>ADE</v>
      </c>
      <c r="G1276" t="s">
        <v>19</v>
      </c>
      <c r="H1276" t="s">
        <v>19</v>
      </c>
      <c r="I1276" s="1">
        <v>46048</v>
      </c>
      <c r="J1276" s="1">
        <v>46048</v>
      </c>
      <c r="K1276" s="1">
        <v>46048</v>
      </c>
      <c r="L1276">
        <v>30</v>
      </c>
      <c r="M1276">
        <v>3.65</v>
      </c>
      <c r="N1276">
        <v>3.65</v>
      </c>
      <c r="O1276">
        <v>0</v>
      </c>
      <c r="P1276">
        <v>0</v>
      </c>
      <c r="Q1276" t="s">
        <v>108</v>
      </c>
    </row>
    <row r="1277" spans="1:17">
      <c r="A1277" t="s">
        <v>93</v>
      </c>
      <c r="B1277" t="s">
        <v>106</v>
      </c>
      <c r="C1277" t="s">
        <v>56</v>
      </c>
      <c r="D1277" t="s">
        <v>1060</v>
      </c>
      <c r="E1277">
        <v>4</v>
      </c>
      <c r="F1277" t="str">
        <f>VLOOKUP(E1277,[1]LOJA!$A:$B,2,0)</f>
        <v>ADE</v>
      </c>
      <c r="G1277" t="s">
        <v>19</v>
      </c>
      <c r="H1277" t="s">
        <v>19</v>
      </c>
      <c r="I1277" s="1">
        <v>46048</v>
      </c>
      <c r="J1277" s="1">
        <v>46046</v>
      </c>
      <c r="K1277" s="1">
        <v>46048</v>
      </c>
      <c r="L1277">
        <v>30</v>
      </c>
      <c r="M1277">
        <v>0.13</v>
      </c>
      <c r="N1277">
        <v>0.13</v>
      </c>
      <c r="O1277">
        <v>0</v>
      </c>
      <c r="P1277">
        <v>0</v>
      </c>
      <c r="Q1277" t="s">
        <v>108</v>
      </c>
    </row>
    <row r="1278" spans="1:17">
      <c r="A1278" t="s">
        <v>93</v>
      </c>
      <c r="B1278" t="s">
        <v>106</v>
      </c>
      <c r="C1278" t="s">
        <v>56</v>
      </c>
      <c r="D1278" t="s">
        <v>1061</v>
      </c>
      <c r="E1278">
        <v>4</v>
      </c>
      <c r="F1278" t="str">
        <f>VLOOKUP(E1278,[1]LOJA!$A:$B,2,0)</f>
        <v>ADE</v>
      </c>
      <c r="G1278" t="s">
        <v>19</v>
      </c>
      <c r="H1278" t="s">
        <v>19</v>
      </c>
      <c r="I1278" s="1">
        <v>46048</v>
      </c>
      <c r="J1278" s="1">
        <v>46046</v>
      </c>
      <c r="K1278" s="1">
        <v>46048</v>
      </c>
      <c r="L1278">
        <v>30</v>
      </c>
      <c r="M1278">
        <v>0.84</v>
      </c>
      <c r="N1278">
        <v>0.84</v>
      </c>
      <c r="O1278">
        <v>0</v>
      </c>
      <c r="P1278">
        <v>0</v>
      </c>
      <c r="Q1278" t="s">
        <v>108</v>
      </c>
    </row>
    <row r="1279" spans="1:17">
      <c r="A1279" t="s">
        <v>93</v>
      </c>
      <c r="B1279" t="s">
        <v>106</v>
      </c>
      <c r="C1279" t="s">
        <v>56</v>
      </c>
      <c r="D1279" t="s">
        <v>1062</v>
      </c>
      <c r="E1279">
        <v>4</v>
      </c>
      <c r="F1279" t="str">
        <f>VLOOKUP(E1279,[1]LOJA!$A:$B,2,0)</f>
        <v>ADE</v>
      </c>
      <c r="G1279" t="s">
        <v>19</v>
      </c>
      <c r="H1279" t="s">
        <v>19</v>
      </c>
      <c r="I1279" s="1">
        <v>46048</v>
      </c>
      <c r="J1279" s="1">
        <v>46047</v>
      </c>
      <c r="K1279" s="1">
        <v>46048</v>
      </c>
      <c r="L1279">
        <v>30</v>
      </c>
      <c r="M1279">
        <v>0.09</v>
      </c>
      <c r="N1279">
        <v>0.09</v>
      </c>
      <c r="O1279">
        <v>0</v>
      </c>
      <c r="P1279">
        <v>0</v>
      </c>
      <c r="Q1279" t="s">
        <v>108</v>
      </c>
    </row>
    <row r="1280" spans="1:17">
      <c r="A1280" t="s">
        <v>93</v>
      </c>
      <c r="B1280" t="s">
        <v>106</v>
      </c>
      <c r="C1280" t="s">
        <v>56</v>
      </c>
      <c r="D1280" t="s">
        <v>1063</v>
      </c>
      <c r="E1280">
        <v>4</v>
      </c>
      <c r="F1280" t="str">
        <f>VLOOKUP(E1280,[1]LOJA!$A:$B,2,0)</f>
        <v>ADE</v>
      </c>
      <c r="G1280" t="s">
        <v>19</v>
      </c>
      <c r="H1280" t="s">
        <v>19</v>
      </c>
      <c r="I1280" s="1">
        <v>46048</v>
      </c>
      <c r="J1280" s="1">
        <v>46047</v>
      </c>
      <c r="K1280" s="1">
        <v>46048</v>
      </c>
      <c r="L1280">
        <v>30</v>
      </c>
      <c r="M1280">
        <v>0.23</v>
      </c>
      <c r="N1280">
        <v>0.23</v>
      </c>
      <c r="O1280">
        <v>0</v>
      </c>
      <c r="P1280">
        <v>0</v>
      </c>
      <c r="Q1280" t="s">
        <v>108</v>
      </c>
    </row>
    <row r="1281" spans="1:17">
      <c r="A1281" t="s">
        <v>93</v>
      </c>
      <c r="B1281" t="s">
        <v>106</v>
      </c>
      <c r="C1281" t="s">
        <v>56</v>
      </c>
      <c r="D1281" t="s">
        <v>1064</v>
      </c>
      <c r="E1281">
        <v>4</v>
      </c>
      <c r="F1281" t="str">
        <f>VLOOKUP(E1281,[1]LOJA!$A:$B,2,0)</f>
        <v>ADE</v>
      </c>
      <c r="G1281" t="s">
        <v>19</v>
      </c>
      <c r="H1281" t="s">
        <v>19</v>
      </c>
      <c r="I1281" s="1">
        <v>46048</v>
      </c>
      <c r="J1281" s="1">
        <v>46047</v>
      </c>
      <c r="K1281" s="1">
        <v>46048</v>
      </c>
      <c r="L1281">
        <v>30</v>
      </c>
      <c r="M1281">
        <v>2.2200000000000002</v>
      </c>
      <c r="N1281">
        <v>2.2200000000000002</v>
      </c>
      <c r="O1281">
        <v>0</v>
      </c>
      <c r="P1281">
        <v>0</v>
      </c>
      <c r="Q1281" t="s">
        <v>108</v>
      </c>
    </row>
    <row r="1282" spans="1:17">
      <c r="A1282" t="s">
        <v>93</v>
      </c>
      <c r="B1282" t="s">
        <v>106</v>
      </c>
      <c r="C1282" t="s">
        <v>56</v>
      </c>
      <c r="D1282" t="s">
        <v>1065</v>
      </c>
      <c r="E1282">
        <v>4</v>
      </c>
      <c r="F1282" t="str">
        <f>VLOOKUP(E1282,[1]LOJA!$A:$B,2,0)</f>
        <v>ADE</v>
      </c>
      <c r="G1282" t="s">
        <v>19</v>
      </c>
      <c r="H1282" t="s">
        <v>19</v>
      </c>
      <c r="I1282" s="1">
        <v>46048</v>
      </c>
      <c r="J1282" s="1">
        <v>46047</v>
      </c>
      <c r="K1282" s="1">
        <v>46048</v>
      </c>
      <c r="L1282">
        <v>30</v>
      </c>
      <c r="M1282">
        <v>0.06</v>
      </c>
      <c r="N1282">
        <v>0.06</v>
      </c>
      <c r="O1282">
        <v>0</v>
      </c>
      <c r="P1282">
        <v>0</v>
      </c>
      <c r="Q1282" t="s">
        <v>108</v>
      </c>
    </row>
    <row r="1283" spans="1:17">
      <c r="A1283" t="s">
        <v>93</v>
      </c>
      <c r="B1283" t="s">
        <v>106</v>
      </c>
      <c r="C1283" t="s">
        <v>56</v>
      </c>
      <c r="D1283" t="s">
        <v>1066</v>
      </c>
      <c r="E1283">
        <v>6</v>
      </c>
      <c r="F1283" t="str">
        <f>VLOOKUP(E1283,[1]LOJA!$A:$B,2,0)</f>
        <v>GAMA</v>
      </c>
      <c r="G1283" t="s">
        <v>19</v>
      </c>
      <c r="H1283" t="s">
        <v>19</v>
      </c>
      <c r="I1283" s="1">
        <v>46048</v>
      </c>
      <c r="J1283" s="1">
        <v>46048</v>
      </c>
      <c r="K1283" s="1">
        <v>46048</v>
      </c>
      <c r="L1283">
        <v>31</v>
      </c>
      <c r="M1283">
        <v>5.31</v>
      </c>
      <c r="N1283">
        <v>5.31</v>
      </c>
      <c r="O1283">
        <v>0</v>
      </c>
      <c r="P1283">
        <v>0</v>
      </c>
      <c r="Q1283" t="s">
        <v>108</v>
      </c>
    </row>
    <row r="1284" spans="1:17">
      <c r="A1284" t="s">
        <v>93</v>
      </c>
      <c r="B1284" t="s">
        <v>106</v>
      </c>
      <c r="C1284" t="s">
        <v>56</v>
      </c>
      <c r="D1284" t="s">
        <v>1067</v>
      </c>
      <c r="E1284">
        <v>6</v>
      </c>
      <c r="F1284" t="str">
        <f>VLOOKUP(E1284,[1]LOJA!$A:$B,2,0)</f>
        <v>GAMA</v>
      </c>
      <c r="G1284" t="s">
        <v>19</v>
      </c>
      <c r="H1284" t="s">
        <v>19</v>
      </c>
      <c r="I1284" s="1">
        <v>46048</v>
      </c>
      <c r="J1284" s="1">
        <v>46047</v>
      </c>
      <c r="K1284" s="1">
        <v>46048</v>
      </c>
      <c r="L1284">
        <v>31</v>
      </c>
      <c r="M1284">
        <v>2.93</v>
      </c>
      <c r="N1284">
        <v>2.93</v>
      </c>
      <c r="O1284">
        <v>0</v>
      </c>
      <c r="P1284">
        <v>0</v>
      </c>
      <c r="Q1284" t="s">
        <v>108</v>
      </c>
    </row>
    <row r="1285" spans="1:17">
      <c r="A1285" t="s">
        <v>93</v>
      </c>
      <c r="B1285" t="s">
        <v>106</v>
      </c>
      <c r="C1285" t="s">
        <v>56</v>
      </c>
      <c r="D1285" t="s">
        <v>1068</v>
      </c>
      <c r="E1285">
        <v>6</v>
      </c>
      <c r="F1285" t="str">
        <f>VLOOKUP(E1285,[1]LOJA!$A:$B,2,0)</f>
        <v>GAMA</v>
      </c>
      <c r="G1285" t="s">
        <v>19</v>
      </c>
      <c r="H1285" t="s">
        <v>19</v>
      </c>
      <c r="I1285" s="1">
        <v>46048</v>
      </c>
      <c r="J1285" s="1">
        <v>46048</v>
      </c>
      <c r="K1285" s="1">
        <v>46048</v>
      </c>
      <c r="L1285">
        <v>31</v>
      </c>
      <c r="M1285">
        <v>3.99</v>
      </c>
      <c r="N1285">
        <v>3.99</v>
      </c>
      <c r="O1285">
        <v>0</v>
      </c>
      <c r="P1285">
        <v>0</v>
      </c>
      <c r="Q1285" t="s">
        <v>108</v>
      </c>
    </row>
    <row r="1286" spans="1:17">
      <c r="A1286" t="s">
        <v>93</v>
      </c>
      <c r="B1286" t="s">
        <v>106</v>
      </c>
      <c r="C1286" t="s">
        <v>56</v>
      </c>
      <c r="D1286" t="s">
        <v>1069</v>
      </c>
      <c r="E1286">
        <v>6</v>
      </c>
      <c r="F1286" t="str">
        <f>VLOOKUP(E1286,[1]LOJA!$A:$B,2,0)</f>
        <v>GAMA</v>
      </c>
      <c r="G1286" t="s">
        <v>19</v>
      </c>
      <c r="H1286" t="s">
        <v>19</v>
      </c>
      <c r="I1286" s="1">
        <v>46048</v>
      </c>
      <c r="J1286" s="1">
        <v>46048</v>
      </c>
      <c r="K1286" s="1">
        <v>46048</v>
      </c>
      <c r="L1286">
        <v>31</v>
      </c>
      <c r="M1286">
        <v>6.41</v>
      </c>
      <c r="N1286">
        <v>6.41</v>
      </c>
      <c r="O1286">
        <v>0</v>
      </c>
      <c r="P1286">
        <v>0</v>
      </c>
      <c r="Q1286" t="s">
        <v>108</v>
      </c>
    </row>
    <row r="1287" spans="1:17">
      <c r="A1287" t="s">
        <v>93</v>
      </c>
      <c r="B1287" t="s">
        <v>106</v>
      </c>
      <c r="C1287" t="s">
        <v>56</v>
      </c>
      <c r="D1287" t="s">
        <v>1070</v>
      </c>
      <c r="E1287">
        <v>6</v>
      </c>
      <c r="F1287" t="str">
        <f>VLOOKUP(E1287,[1]LOJA!$A:$B,2,0)</f>
        <v>GAMA</v>
      </c>
      <c r="G1287" t="s">
        <v>19</v>
      </c>
      <c r="H1287" t="s">
        <v>19</v>
      </c>
      <c r="I1287" s="1">
        <v>46048</v>
      </c>
      <c r="J1287" s="1">
        <v>46046</v>
      </c>
      <c r="K1287" s="1">
        <v>46048</v>
      </c>
      <c r="L1287">
        <v>31</v>
      </c>
      <c r="M1287">
        <v>2.89</v>
      </c>
      <c r="N1287">
        <v>2.89</v>
      </c>
      <c r="O1287">
        <v>0</v>
      </c>
      <c r="P1287">
        <v>0</v>
      </c>
      <c r="Q1287" t="s">
        <v>108</v>
      </c>
    </row>
    <row r="1288" spans="1:17">
      <c r="A1288" t="s">
        <v>93</v>
      </c>
      <c r="B1288" t="s">
        <v>106</v>
      </c>
      <c r="C1288" t="s">
        <v>56</v>
      </c>
      <c r="D1288" t="s">
        <v>1071</v>
      </c>
      <c r="E1288">
        <v>6</v>
      </c>
      <c r="F1288" t="str">
        <f>VLOOKUP(E1288,[1]LOJA!$A:$B,2,0)</f>
        <v>GAMA</v>
      </c>
      <c r="G1288" t="s">
        <v>19</v>
      </c>
      <c r="H1288" t="s">
        <v>19</v>
      </c>
      <c r="I1288" s="1">
        <v>46048</v>
      </c>
      <c r="J1288" s="1">
        <v>46046</v>
      </c>
      <c r="K1288" s="1">
        <v>46048</v>
      </c>
      <c r="L1288">
        <v>31</v>
      </c>
      <c r="M1288">
        <v>0.53</v>
      </c>
      <c r="N1288">
        <v>0.53</v>
      </c>
      <c r="O1288">
        <v>0</v>
      </c>
      <c r="P1288">
        <v>0</v>
      </c>
      <c r="Q1288" t="s">
        <v>108</v>
      </c>
    </row>
    <row r="1289" spans="1:17">
      <c r="A1289" t="s">
        <v>93</v>
      </c>
      <c r="B1289" t="s">
        <v>106</v>
      </c>
      <c r="C1289" t="s">
        <v>56</v>
      </c>
      <c r="D1289" t="s">
        <v>1072</v>
      </c>
      <c r="E1289">
        <v>6</v>
      </c>
      <c r="F1289" t="str">
        <f>VLOOKUP(E1289,[1]LOJA!$A:$B,2,0)</f>
        <v>GAMA</v>
      </c>
      <c r="G1289" t="s">
        <v>19</v>
      </c>
      <c r="H1289" t="s">
        <v>19</v>
      </c>
      <c r="I1289" s="1">
        <v>46048</v>
      </c>
      <c r="J1289" s="1">
        <v>46048</v>
      </c>
      <c r="K1289" s="1">
        <v>46048</v>
      </c>
      <c r="L1289">
        <v>31</v>
      </c>
      <c r="M1289">
        <v>3.05</v>
      </c>
      <c r="N1289">
        <v>3.05</v>
      </c>
      <c r="O1289">
        <v>0</v>
      </c>
      <c r="P1289">
        <v>0</v>
      </c>
      <c r="Q1289" t="s">
        <v>108</v>
      </c>
    </row>
    <row r="1290" spans="1:17">
      <c r="A1290" t="s">
        <v>93</v>
      </c>
      <c r="B1290" t="s">
        <v>106</v>
      </c>
      <c r="C1290" t="s">
        <v>56</v>
      </c>
      <c r="D1290" t="s">
        <v>1073</v>
      </c>
      <c r="E1290">
        <v>6</v>
      </c>
      <c r="F1290" t="str">
        <f>VLOOKUP(E1290,[1]LOJA!$A:$B,2,0)</f>
        <v>GAMA</v>
      </c>
      <c r="G1290" t="s">
        <v>19</v>
      </c>
      <c r="H1290" t="s">
        <v>19</v>
      </c>
      <c r="I1290" s="1">
        <v>46048</v>
      </c>
      <c r="J1290" s="1">
        <v>46048</v>
      </c>
      <c r="K1290" s="1">
        <v>46048</v>
      </c>
      <c r="L1290">
        <v>31</v>
      </c>
      <c r="M1290">
        <v>1.63</v>
      </c>
      <c r="N1290">
        <v>1.63</v>
      </c>
      <c r="O1290">
        <v>0</v>
      </c>
      <c r="P1290">
        <v>0</v>
      </c>
      <c r="Q1290" t="s">
        <v>108</v>
      </c>
    </row>
    <row r="1291" spans="1:17">
      <c r="A1291" t="s">
        <v>93</v>
      </c>
      <c r="B1291" t="s">
        <v>106</v>
      </c>
      <c r="C1291" t="s">
        <v>56</v>
      </c>
      <c r="D1291" t="s">
        <v>1074</v>
      </c>
      <c r="E1291">
        <v>6</v>
      </c>
      <c r="F1291" t="str">
        <f>VLOOKUP(E1291,[1]LOJA!$A:$B,2,0)</f>
        <v>GAMA</v>
      </c>
      <c r="G1291" t="s">
        <v>19</v>
      </c>
      <c r="H1291" t="s">
        <v>19</v>
      </c>
      <c r="I1291" s="1">
        <v>46048</v>
      </c>
      <c r="J1291" s="1">
        <v>46046</v>
      </c>
      <c r="K1291" s="1">
        <v>46048</v>
      </c>
      <c r="L1291">
        <v>31</v>
      </c>
      <c r="M1291">
        <v>5.47</v>
      </c>
      <c r="N1291">
        <v>5.47</v>
      </c>
      <c r="O1291">
        <v>0</v>
      </c>
      <c r="P1291">
        <v>0</v>
      </c>
      <c r="Q1291" t="s">
        <v>108</v>
      </c>
    </row>
    <row r="1292" spans="1:17">
      <c r="A1292" t="s">
        <v>93</v>
      </c>
      <c r="B1292" t="s">
        <v>106</v>
      </c>
      <c r="C1292" t="s">
        <v>56</v>
      </c>
      <c r="D1292" t="s">
        <v>1075</v>
      </c>
      <c r="E1292">
        <v>6</v>
      </c>
      <c r="F1292" t="str">
        <f>VLOOKUP(E1292,[1]LOJA!$A:$B,2,0)</f>
        <v>GAMA</v>
      </c>
      <c r="G1292" t="s">
        <v>19</v>
      </c>
      <c r="H1292" t="s">
        <v>19</v>
      </c>
      <c r="I1292" s="1">
        <v>46048</v>
      </c>
      <c r="J1292" s="1">
        <v>46046</v>
      </c>
      <c r="K1292" s="1">
        <v>46048</v>
      </c>
      <c r="L1292">
        <v>31</v>
      </c>
      <c r="M1292">
        <v>0.88</v>
      </c>
      <c r="N1292">
        <v>0.88</v>
      </c>
      <c r="O1292">
        <v>0</v>
      </c>
      <c r="P1292">
        <v>0</v>
      </c>
      <c r="Q1292" t="s">
        <v>108</v>
      </c>
    </row>
    <row r="1293" spans="1:17">
      <c r="A1293" t="s">
        <v>93</v>
      </c>
      <c r="B1293" t="s">
        <v>106</v>
      </c>
      <c r="C1293" t="s">
        <v>56</v>
      </c>
      <c r="D1293" t="s">
        <v>1076</v>
      </c>
      <c r="E1293">
        <v>6</v>
      </c>
      <c r="F1293" t="str">
        <f>VLOOKUP(E1293,[1]LOJA!$A:$B,2,0)</f>
        <v>GAMA</v>
      </c>
      <c r="G1293" t="s">
        <v>19</v>
      </c>
      <c r="H1293" t="s">
        <v>19</v>
      </c>
      <c r="I1293" s="1">
        <v>46048</v>
      </c>
      <c r="J1293" s="1">
        <v>46046</v>
      </c>
      <c r="K1293" s="1">
        <v>46048</v>
      </c>
      <c r="L1293">
        <v>31</v>
      </c>
      <c r="M1293">
        <v>0.8</v>
      </c>
      <c r="N1293">
        <v>0.8</v>
      </c>
      <c r="O1293">
        <v>0</v>
      </c>
      <c r="P1293">
        <v>0</v>
      </c>
      <c r="Q1293" t="s">
        <v>108</v>
      </c>
    </row>
    <row r="1294" spans="1:17">
      <c r="A1294" t="s">
        <v>93</v>
      </c>
      <c r="B1294" t="s">
        <v>106</v>
      </c>
      <c r="C1294" t="s">
        <v>56</v>
      </c>
      <c r="D1294" t="s">
        <v>1077</v>
      </c>
      <c r="E1294">
        <v>6</v>
      </c>
      <c r="F1294" t="str">
        <f>VLOOKUP(E1294,[1]LOJA!$A:$B,2,0)</f>
        <v>GAMA</v>
      </c>
      <c r="G1294" t="s">
        <v>19</v>
      </c>
      <c r="H1294" t="s">
        <v>19</v>
      </c>
      <c r="I1294" s="1">
        <v>46048</v>
      </c>
      <c r="J1294" s="1">
        <v>46046</v>
      </c>
      <c r="K1294" s="1">
        <v>46048</v>
      </c>
      <c r="L1294">
        <v>31</v>
      </c>
      <c r="M1294">
        <v>0.53</v>
      </c>
      <c r="N1294">
        <v>0.53</v>
      </c>
      <c r="O1294">
        <v>0</v>
      </c>
      <c r="P1294">
        <v>0</v>
      </c>
      <c r="Q1294" t="s">
        <v>108</v>
      </c>
    </row>
    <row r="1295" spans="1:17">
      <c r="A1295" t="s">
        <v>93</v>
      </c>
      <c r="B1295" t="s">
        <v>106</v>
      </c>
      <c r="C1295" t="s">
        <v>56</v>
      </c>
      <c r="D1295" t="s">
        <v>1078</v>
      </c>
      <c r="E1295">
        <v>6</v>
      </c>
      <c r="F1295" t="str">
        <f>VLOOKUP(E1295,[1]LOJA!$A:$B,2,0)</f>
        <v>GAMA</v>
      </c>
      <c r="G1295" t="s">
        <v>19</v>
      </c>
      <c r="H1295" t="s">
        <v>19</v>
      </c>
      <c r="I1295" s="1">
        <v>46048</v>
      </c>
      <c r="J1295" s="1">
        <v>46046</v>
      </c>
      <c r="K1295" s="1">
        <v>46048</v>
      </c>
      <c r="L1295">
        <v>31</v>
      </c>
      <c r="M1295">
        <v>0.87</v>
      </c>
      <c r="N1295">
        <v>0.87</v>
      </c>
      <c r="O1295">
        <v>0</v>
      </c>
      <c r="P1295">
        <v>0</v>
      </c>
      <c r="Q1295" t="s">
        <v>108</v>
      </c>
    </row>
    <row r="1296" spans="1:17">
      <c r="A1296" t="s">
        <v>93</v>
      </c>
      <c r="B1296" t="s">
        <v>106</v>
      </c>
      <c r="C1296" t="s">
        <v>56</v>
      </c>
      <c r="D1296" t="s">
        <v>1079</v>
      </c>
      <c r="E1296">
        <v>15</v>
      </c>
      <c r="F1296" t="str">
        <f>VLOOKUP(E1296,[1]LOJA!$A:$B,2,0)</f>
        <v>UNAÍ</v>
      </c>
      <c r="G1296" t="s">
        <v>19</v>
      </c>
      <c r="H1296" t="s">
        <v>19</v>
      </c>
      <c r="I1296" s="1">
        <v>46048</v>
      </c>
      <c r="J1296" s="1">
        <v>46048</v>
      </c>
      <c r="K1296" s="1">
        <v>46048</v>
      </c>
      <c r="L1296">
        <v>36</v>
      </c>
      <c r="M1296">
        <v>2.68</v>
      </c>
      <c r="N1296">
        <v>2.68</v>
      </c>
      <c r="O1296">
        <v>0</v>
      </c>
      <c r="P1296">
        <v>0</v>
      </c>
      <c r="Q1296" t="s">
        <v>108</v>
      </c>
    </row>
    <row r="1297" spans="1:17">
      <c r="A1297" t="s">
        <v>93</v>
      </c>
      <c r="B1297" t="s">
        <v>106</v>
      </c>
      <c r="C1297" t="s">
        <v>56</v>
      </c>
      <c r="D1297" t="s">
        <v>1080</v>
      </c>
      <c r="E1297">
        <v>15</v>
      </c>
      <c r="F1297" t="str">
        <f>VLOOKUP(E1297,[1]LOJA!$A:$B,2,0)</f>
        <v>UNAÍ</v>
      </c>
      <c r="G1297" t="s">
        <v>19</v>
      </c>
      <c r="H1297" t="s">
        <v>19</v>
      </c>
      <c r="I1297" s="1">
        <v>46048</v>
      </c>
      <c r="J1297" s="1">
        <v>46047</v>
      </c>
      <c r="K1297" s="1">
        <v>46048</v>
      </c>
      <c r="L1297">
        <v>36</v>
      </c>
      <c r="M1297">
        <v>4.38</v>
      </c>
      <c r="N1297">
        <v>4.38</v>
      </c>
      <c r="O1297">
        <v>0</v>
      </c>
      <c r="P1297">
        <v>0</v>
      </c>
      <c r="Q1297" t="s">
        <v>108</v>
      </c>
    </row>
    <row r="1298" spans="1:17">
      <c r="A1298" t="s">
        <v>93</v>
      </c>
      <c r="B1298" t="s">
        <v>106</v>
      </c>
      <c r="C1298" t="s">
        <v>56</v>
      </c>
      <c r="D1298" t="s">
        <v>1081</v>
      </c>
      <c r="E1298">
        <v>15</v>
      </c>
      <c r="F1298" t="str">
        <f>VLOOKUP(E1298,[1]LOJA!$A:$B,2,0)</f>
        <v>UNAÍ</v>
      </c>
      <c r="G1298" t="s">
        <v>19</v>
      </c>
      <c r="H1298" t="s">
        <v>19</v>
      </c>
      <c r="I1298" s="1">
        <v>46048</v>
      </c>
      <c r="J1298" s="1">
        <v>46048</v>
      </c>
      <c r="K1298" s="1">
        <v>46048</v>
      </c>
      <c r="L1298">
        <v>36</v>
      </c>
      <c r="M1298">
        <v>2.5</v>
      </c>
      <c r="N1298">
        <v>2.5</v>
      </c>
      <c r="O1298">
        <v>0</v>
      </c>
      <c r="P1298">
        <v>0</v>
      </c>
      <c r="Q1298" t="s">
        <v>108</v>
      </c>
    </row>
    <row r="1299" spans="1:17">
      <c r="A1299" t="s">
        <v>93</v>
      </c>
      <c r="B1299" t="s">
        <v>106</v>
      </c>
      <c r="C1299" t="s">
        <v>56</v>
      </c>
      <c r="D1299" t="s">
        <v>1082</v>
      </c>
      <c r="E1299">
        <v>15</v>
      </c>
      <c r="F1299" t="str">
        <f>VLOOKUP(E1299,[1]LOJA!$A:$B,2,0)</f>
        <v>UNAÍ</v>
      </c>
      <c r="G1299" t="s">
        <v>19</v>
      </c>
      <c r="H1299" t="s">
        <v>19</v>
      </c>
      <c r="I1299" s="1">
        <v>46048</v>
      </c>
      <c r="J1299" s="1">
        <v>46048</v>
      </c>
      <c r="K1299" s="1">
        <v>46048</v>
      </c>
      <c r="L1299">
        <v>36</v>
      </c>
      <c r="M1299">
        <v>2.83</v>
      </c>
      <c r="N1299">
        <v>2.83</v>
      </c>
      <c r="O1299">
        <v>0</v>
      </c>
      <c r="P1299">
        <v>0</v>
      </c>
      <c r="Q1299" t="s">
        <v>108</v>
      </c>
    </row>
    <row r="1300" spans="1:17">
      <c r="A1300" t="s">
        <v>93</v>
      </c>
      <c r="B1300" t="s">
        <v>106</v>
      </c>
      <c r="C1300" t="s">
        <v>56</v>
      </c>
      <c r="D1300" t="s">
        <v>1083</v>
      </c>
      <c r="E1300">
        <v>15</v>
      </c>
      <c r="F1300" t="str">
        <f>VLOOKUP(E1300,[1]LOJA!$A:$B,2,0)</f>
        <v>UNAÍ</v>
      </c>
      <c r="G1300" t="s">
        <v>19</v>
      </c>
      <c r="H1300" t="s">
        <v>19</v>
      </c>
      <c r="I1300" s="1">
        <v>46048</v>
      </c>
      <c r="J1300" s="1">
        <v>46047</v>
      </c>
      <c r="K1300" s="1">
        <v>46048</v>
      </c>
      <c r="L1300">
        <v>36</v>
      </c>
      <c r="M1300">
        <v>8.76</v>
      </c>
      <c r="N1300">
        <v>8.76</v>
      </c>
      <c r="O1300">
        <v>0</v>
      </c>
      <c r="P1300">
        <v>0</v>
      </c>
      <c r="Q1300" t="s">
        <v>108</v>
      </c>
    </row>
    <row r="1301" spans="1:17">
      <c r="A1301" t="s">
        <v>93</v>
      </c>
      <c r="B1301" t="s">
        <v>106</v>
      </c>
      <c r="C1301" t="s">
        <v>56</v>
      </c>
      <c r="D1301" t="s">
        <v>1084</v>
      </c>
      <c r="E1301">
        <v>15</v>
      </c>
      <c r="F1301" t="str">
        <f>VLOOKUP(E1301,[1]LOJA!$A:$B,2,0)</f>
        <v>UNAÍ</v>
      </c>
      <c r="G1301" t="s">
        <v>19</v>
      </c>
      <c r="H1301" t="s">
        <v>19</v>
      </c>
      <c r="I1301" s="1">
        <v>46048</v>
      </c>
      <c r="J1301" s="1">
        <v>46048</v>
      </c>
      <c r="K1301" s="1">
        <v>46048</v>
      </c>
      <c r="L1301">
        <v>36</v>
      </c>
      <c r="M1301">
        <v>1.1200000000000001</v>
      </c>
      <c r="N1301">
        <v>1.1200000000000001</v>
      </c>
      <c r="O1301">
        <v>0</v>
      </c>
      <c r="P1301">
        <v>0</v>
      </c>
      <c r="Q1301" t="s">
        <v>108</v>
      </c>
    </row>
    <row r="1302" spans="1:17">
      <c r="A1302" t="s">
        <v>93</v>
      </c>
      <c r="B1302" t="s">
        <v>106</v>
      </c>
      <c r="C1302" t="s">
        <v>56</v>
      </c>
      <c r="D1302" t="s">
        <v>1085</v>
      </c>
      <c r="E1302">
        <v>15</v>
      </c>
      <c r="F1302" t="str">
        <f>VLOOKUP(E1302,[1]LOJA!$A:$B,2,0)</f>
        <v>UNAÍ</v>
      </c>
      <c r="G1302" t="s">
        <v>19</v>
      </c>
      <c r="H1302" t="s">
        <v>19</v>
      </c>
      <c r="I1302" s="1">
        <v>46048</v>
      </c>
      <c r="J1302" s="1">
        <v>46048</v>
      </c>
      <c r="K1302" s="1">
        <v>46048</v>
      </c>
      <c r="L1302">
        <v>36</v>
      </c>
      <c r="M1302">
        <v>1.9</v>
      </c>
      <c r="N1302">
        <v>1.9</v>
      </c>
      <c r="O1302">
        <v>0</v>
      </c>
      <c r="P1302">
        <v>0</v>
      </c>
      <c r="Q1302" t="s">
        <v>108</v>
      </c>
    </row>
    <row r="1303" spans="1:17">
      <c r="A1303" t="s">
        <v>93</v>
      </c>
      <c r="B1303" t="s">
        <v>106</v>
      </c>
      <c r="C1303" t="s">
        <v>56</v>
      </c>
      <c r="D1303" t="s">
        <v>1086</v>
      </c>
      <c r="E1303">
        <v>15</v>
      </c>
      <c r="F1303" t="str">
        <f>VLOOKUP(E1303,[1]LOJA!$A:$B,2,0)</f>
        <v>UNAÍ</v>
      </c>
      <c r="G1303" t="s">
        <v>19</v>
      </c>
      <c r="H1303" t="s">
        <v>19</v>
      </c>
      <c r="I1303" s="1">
        <v>46048</v>
      </c>
      <c r="J1303" s="1">
        <v>46048</v>
      </c>
      <c r="K1303" s="1">
        <v>46048</v>
      </c>
      <c r="L1303">
        <v>36</v>
      </c>
      <c r="M1303">
        <v>0.39</v>
      </c>
      <c r="N1303">
        <v>0.39</v>
      </c>
      <c r="O1303">
        <v>0</v>
      </c>
      <c r="P1303">
        <v>0</v>
      </c>
      <c r="Q1303" t="s">
        <v>108</v>
      </c>
    </row>
    <row r="1304" spans="1:17">
      <c r="A1304" t="s">
        <v>93</v>
      </c>
      <c r="B1304" t="s">
        <v>106</v>
      </c>
      <c r="C1304" t="s">
        <v>56</v>
      </c>
      <c r="D1304" t="s">
        <v>1087</v>
      </c>
      <c r="E1304">
        <v>15</v>
      </c>
      <c r="F1304" t="str">
        <f>VLOOKUP(E1304,[1]LOJA!$A:$B,2,0)</f>
        <v>UNAÍ</v>
      </c>
      <c r="G1304" t="s">
        <v>19</v>
      </c>
      <c r="H1304" t="s">
        <v>19</v>
      </c>
      <c r="I1304" s="1">
        <v>46048</v>
      </c>
      <c r="J1304" s="1">
        <v>46046</v>
      </c>
      <c r="K1304" s="1">
        <v>46048</v>
      </c>
      <c r="L1304">
        <v>36</v>
      </c>
      <c r="M1304">
        <v>1.58</v>
      </c>
      <c r="N1304">
        <v>1.58</v>
      </c>
      <c r="O1304">
        <v>0</v>
      </c>
      <c r="P1304">
        <v>0</v>
      </c>
      <c r="Q1304" t="s">
        <v>108</v>
      </c>
    </row>
    <row r="1305" spans="1:17">
      <c r="A1305" t="s">
        <v>93</v>
      </c>
      <c r="B1305" t="s">
        <v>106</v>
      </c>
      <c r="C1305" t="s">
        <v>56</v>
      </c>
      <c r="D1305" t="s">
        <v>1088</v>
      </c>
      <c r="E1305">
        <v>15</v>
      </c>
      <c r="F1305" t="str">
        <f>VLOOKUP(E1305,[1]LOJA!$A:$B,2,0)</f>
        <v>UNAÍ</v>
      </c>
      <c r="G1305" t="s">
        <v>19</v>
      </c>
      <c r="H1305" t="s">
        <v>19</v>
      </c>
      <c r="I1305" s="1">
        <v>46048</v>
      </c>
      <c r="J1305" s="1">
        <v>46046</v>
      </c>
      <c r="K1305" s="1">
        <v>46048</v>
      </c>
      <c r="L1305">
        <v>36</v>
      </c>
      <c r="M1305">
        <v>0.14000000000000001</v>
      </c>
      <c r="N1305">
        <v>0.14000000000000001</v>
      </c>
      <c r="O1305">
        <v>0</v>
      </c>
      <c r="P1305">
        <v>0</v>
      </c>
      <c r="Q1305" t="s">
        <v>108</v>
      </c>
    </row>
    <row r="1306" spans="1:17">
      <c r="A1306" t="s">
        <v>93</v>
      </c>
      <c r="B1306" t="s">
        <v>106</v>
      </c>
      <c r="C1306" t="s">
        <v>56</v>
      </c>
      <c r="D1306" t="s">
        <v>1089</v>
      </c>
      <c r="E1306">
        <v>15</v>
      </c>
      <c r="F1306" t="str">
        <f>VLOOKUP(E1306,[1]LOJA!$A:$B,2,0)</f>
        <v>UNAÍ</v>
      </c>
      <c r="G1306" t="s">
        <v>19</v>
      </c>
      <c r="H1306" t="s">
        <v>19</v>
      </c>
      <c r="I1306" s="1">
        <v>46048</v>
      </c>
      <c r="J1306" s="1">
        <v>46046</v>
      </c>
      <c r="K1306" s="1">
        <v>46048</v>
      </c>
      <c r="L1306">
        <v>36</v>
      </c>
      <c r="M1306">
        <v>0.04</v>
      </c>
      <c r="N1306">
        <v>0.04</v>
      </c>
      <c r="O1306">
        <v>0</v>
      </c>
      <c r="P1306">
        <v>0</v>
      </c>
      <c r="Q1306" t="s">
        <v>108</v>
      </c>
    </row>
    <row r="1307" spans="1:17">
      <c r="A1307" t="s">
        <v>93</v>
      </c>
      <c r="B1307" t="s">
        <v>106</v>
      </c>
      <c r="C1307" t="s">
        <v>56</v>
      </c>
      <c r="D1307" t="s">
        <v>1090</v>
      </c>
      <c r="E1307">
        <v>15</v>
      </c>
      <c r="F1307" t="str">
        <f>VLOOKUP(E1307,[1]LOJA!$A:$B,2,0)</f>
        <v>UNAÍ</v>
      </c>
      <c r="G1307" t="s">
        <v>19</v>
      </c>
      <c r="H1307" t="s">
        <v>19</v>
      </c>
      <c r="I1307" s="1">
        <v>46048</v>
      </c>
      <c r="J1307" s="1">
        <v>46046</v>
      </c>
      <c r="K1307" s="1">
        <v>46048</v>
      </c>
      <c r="L1307">
        <v>36</v>
      </c>
      <c r="M1307">
        <v>0.11</v>
      </c>
      <c r="N1307">
        <v>0.11</v>
      </c>
      <c r="O1307">
        <v>0</v>
      </c>
      <c r="P1307">
        <v>0</v>
      </c>
      <c r="Q1307" t="s">
        <v>108</v>
      </c>
    </row>
    <row r="1308" spans="1:17">
      <c r="A1308" t="s">
        <v>93</v>
      </c>
      <c r="B1308" t="s">
        <v>106</v>
      </c>
      <c r="C1308" t="s">
        <v>56</v>
      </c>
      <c r="D1308" t="s">
        <v>1091</v>
      </c>
      <c r="E1308">
        <v>15</v>
      </c>
      <c r="F1308" t="str">
        <f>VLOOKUP(E1308,[1]LOJA!$A:$B,2,0)</f>
        <v>UNAÍ</v>
      </c>
      <c r="G1308" t="s">
        <v>19</v>
      </c>
      <c r="H1308" t="s">
        <v>19</v>
      </c>
      <c r="I1308" s="1">
        <v>46048</v>
      </c>
      <c r="J1308" s="1">
        <v>46046</v>
      </c>
      <c r="K1308" s="1">
        <v>46048</v>
      </c>
      <c r="L1308">
        <v>36</v>
      </c>
      <c r="M1308">
        <v>0.15</v>
      </c>
      <c r="N1308">
        <v>0.15</v>
      </c>
      <c r="O1308">
        <v>0</v>
      </c>
      <c r="P1308">
        <v>0</v>
      </c>
      <c r="Q1308" t="s">
        <v>108</v>
      </c>
    </row>
    <row r="1309" spans="1:17">
      <c r="A1309" t="s">
        <v>93</v>
      </c>
      <c r="B1309" t="s">
        <v>106</v>
      </c>
      <c r="C1309" t="s">
        <v>56</v>
      </c>
      <c r="D1309" t="s">
        <v>1092</v>
      </c>
      <c r="E1309">
        <v>15</v>
      </c>
      <c r="F1309" t="str">
        <f>VLOOKUP(E1309,[1]LOJA!$A:$B,2,0)</f>
        <v>UNAÍ</v>
      </c>
      <c r="G1309" t="s">
        <v>19</v>
      </c>
      <c r="H1309" t="s">
        <v>19</v>
      </c>
      <c r="I1309" s="1">
        <v>46048</v>
      </c>
      <c r="J1309" s="1">
        <v>46046</v>
      </c>
      <c r="K1309" s="1">
        <v>46048</v>
      </c>
      <c r="L1309">
        <v>36</v>
      </c>
      <c r="M1309">
        <v>0.23</v>
      </c>
      <c r="N1309">
        <v>0.23</v>
      </c>
      <c r="O1309">
        <v>0</v>
      </c>
      <c r="P1309">
        <v>0</v>
      </c>
      <c r="Q1309" t="s">
        <v>108</v>
      </c>
    </row>
    <row r="1310" spans="1:17">
      <c r="A1310" t="s">
        <v>93</v>
      </c>
      <c r="B1310" t="s">
        <v>106</v>
      </c>
      <c r="C1310" t="s">
        <v>56</v>
      </c>
      <c r="D1310" t="s">
        <v>1093</v>
      </c>
      <c r="E1310">
        <v>15</v>
      </c>
      <c r="F1310" t="str">
        <f>VLOOKUP(E1310,[1]LOJA!$A:$B,2,0)</f>
        <v>UNAÍ</v>
      </c>
      <c r="G1310" t="s">
        <v>19</v>
      </c>
      <c r="H1310" t="s">
        <v>19</v>
      </c>
      <c r="I1310" s="1">
        <v>46048</v>
      </c>
      <c r="J1310" s="1">
        <v>46046</v>
      </c>
      <c r="K1310" s="1">
        <v>46048</v>
      </c>
      <c r="L1310">
        <v>36</v>
      </c>
      <c r="M1310">
        <v>0.64</v>
      </c>
      <c r="N1310">
        <v>0.64</v>
      </c>
      <c r="O1310">
        <v>0</v>
      </c>
      <c r="P1310">
        <v>0</v>
      </c>
      <c r="Q1310" t="s">
        <v>108</v>
      </c>
    </row>
    <row r="1311" spans="1:17">
      <c r="A1311" t="s">
        <v>93</v>
      </c>
      <c r="B1311" t="s">
        <v>106</v>
      </c>
      <c r="C1311" t="s">
        <v>56</v>
      </c>
      <c r="D1311" t="s">
        <v>1094</v>
      </c>
      <c r="E1311">
        <v>15</v>
      </c>
      <c r="F1311" t="str">
        <f>VLOOKUP(E1311,[1]LOJA!$A:$B,2,0)</f>
        <v>UNAÍ</v>
      </c>
      <c r="G1311" t="s">
        <v>19</v>
      </c>
      <c r="H1311" t="s">
        <v>19</v>
      </c>
      <c r="I1311" s="1">
        <v>46048</v>
      </c>
      <c r="J1311" s="1">
        <v>46046</v>
      </c>
      <c r="K1311" s="1">
        <v>46048</v>
      </c>
      <c r="L1311">
        <v>36</v>
      </c>
      <c r="M1311">
        <v>0.57999999999999996</v>
      </c>
      <c r="N1311">
        <v>0.57999999999999996</v>
      </c>
      <c r="O1311">
        <v>0</v>
      </c>
      <c r="P1311">
        <v>0</v>
      </c>
      <c r="Q1311" t="s">
        <v>108</v>
      </c>
    </row>
    <row r="1312" spans="1:17">
      <c r="A1312" t="s">
        <v>93</v>
      </c>
      <c r="B1312" t="s">
        <v>106</v>
      </c>
      <c r="C1312" t="s">
        <v>56</v>
      </c>
      <c r="D1312" t="s">
        <v>1095</v>
      </c>
      <c r="E1312">
        <v>15</v>
      </c>
      <c r="F1312" t="str">
        <f>VLOOKUP(E1312,[1]LOJA!$A:$B,2,0)</f>
        <v>UNAÍ</v>
      </c>
      <c r="G1312" t="s">
        <v>19</v>
      </c>
      <c r="H1312" t="s">
        <v>19</v>
      </c>
      <c r="I1312" s="1">
        <v>46048</v>
      </c>
      <c r="J1312" s="1">
        <v>46046</v>
      </c>
      <c r="K1312" s="1">
        <v>46048</v>
      </c>
      <c r="L1312">
        <v>36</v>
      </c>
      <c r="M1312">
        <v>0.21</v>
      </c>
      <c r="N1312">
        <v>0.21</v>
      </c>
      <c r="O1312">
        <v>0</v>
      </c>
      <c r="P1312">
        <v>0</v>
      </c>
      <c r="Q1312" t="s">
        <v>108</v>
      </c>
    </row>
    <row r="1313" spans="1:17">
      <c r="A1313" t="s">
        <v>93</v>
      </c>
      <c r="B1313" t="s">
        <v>106</v>
      </c>
      <c r="C1313" t="s">
        <v>56</v>
      </c>
      <c r="D1313" t="s">
        <v>1096</v>
      </c>
      <c r="E1313">
        <v>15</v>
      </c>
      <c r="F1313" t="str">
        <f>VLOOKUP(E1313,[1]LOJA!$A:$B,2,0)</f>
        <v>UNAÍ</v>
      </c>
      <c r="G1313" t="s">
        <v>19</v>
      </c>
      <c r="H1313" t="s">
        <v>19</v>
      </c>
      <c r="I1313" s="1">
        <v>46048</v>
      </c>
      <c r="J1313" s="1">
        <v>46046</v>
      </c>
      <c r="K1313" s="1">
        <v>46048</v>
      </c>
      <c r="L1313">
        <v>36</v>
      </c>
      <c r="M1313">
        <v>0.54</v>
      </c>
      <c r="N1313">
        <v>0.54</v>
      </c>
      <c r="O1313">
        <v>0</v>
      </c>
      <c r="P1313">
        <v>0</v>
      </c>
      <c r="Q1313" t="s">
        <v>108</v>
      </c>
    </row>
    <row r="1314" spans="1:17">
      <c r="A1314" t="s">
        <v>93</v>
      </c>
      <c r="B1314" t="s">
        <v>106</v>
      </c>
      <c r="C1314" t="s">
        <v>56</v>
      </c>
      <c r="D1314" t="s">
        <v>1097</v>
      </c>
      <c r="E1314">
        <v>15</v>
      </c>
      <c r="F1314" t="str">
        <f>VLOOKUP(E1314,[1]LOJA!$A:$B,2,0)</f>
        <v>UNAÍ</v>
      </c>
      <c r="G1314" t="s">
        <v>19</v>
      </c>
      <c r="H1314" t="s">
        <v>19</v>
      </c>
      <c r="I1314" s="1">
        <v>46048</v>
      </c>
      <c r="J1314" s="1">
        <v>46046</v>
      </c>
      <c r="K1314" s="1">
        <v>46048</v>
      </c>
      <c r="L1314">
        <v>36</v>
      </c>
      <c r="M1314">
        <v>0.66</v>
      </c>
      <c r="N1314">
        <v>0.66</v>
      </c>
      <c r="O1314">
        <v>0</v>
      </c>
      <c r="P1314">
        <v>0</v>
      </c>
      <c r="Q1314" t="s">
        <v>108</v>
      </c>
    </row>
    <row r="1315" spans="1:17">
      <c r="A1315" t="s">
        <v>93</v>
      </c>
      <c r="B1315" t="s">
        <v>106</v>
      </c>
      <c r="C1315" t="s">
        <v>56</v>
      </c>
      <c r="D1315" t="s">
        <v>1098</v>
      </c>
      <c r="E1315">
        <v>15</v>
      </c>
      <c r="F1315" t="str">
        <f>VLOOKUP(E1315,[1]LOJA!$A:$B,2,0)</f>
        <v>UNAÍ</v>
      </c>
      <c r="G1315" t="s">
        <v>19</v>
      </c>
      <c r="H1315" t="s">
        <v>19</v>
      </c>
      <c r="I1315" s="1">
        <v>46048</v>
      </c>
      <c r="J1315" s="1">
        <v>46046</v>
      </c>
      <c r="K1315" s="1">
        <v>46048</v>
      </c>
      <c r="L1315">
        <v>36</v>
      </c>
      <c r="M1315">
        <v>1.65</v>
      </c>
      <c r="N1315">
        <v>1.65</v>
      </c>
      <c r="O1315">
        <v>0</v>
      </c>
      <c r="P1315">
        <v>0</v>
      </c>
      <c r="Q1315" t="s">
        <v>108</v>
      </c>
    </row>
    <row r="1316" spans="1:17">
      <c r="A1316" t="s">
        <v>93</v>
      </c>
      <c r="B1316" t="s">
        <v>106</v>
      </c>
      <c r="C1316" t="s">
        <v>56</v>
      </c>
      <c r="D1316" t="s">
        <v>1099</v>
      </c>
      <c r="E1316">
        <v>15</v>
      </c>
      <c r="F1316" t="str">
        <f>VLOOKUP(E1316,[1]LOJA!$A:$B,2,0)</f>
        <v>UNAÍ</v>
      </c>
      <c r="G1316" t="s">
        <v>19</v>
      </c>
      <c r="H1316" t="s">
        <v>19</v>
      </c>
      <c r="I1316" s="1">
        <v>46048</v>
      </c>
      <c r="J1316" s="1">
        <v>46046</v>
      </c>
      <c r="K1316" s="1">
        <v>46048</v>
      </c>
      <c r="L1316">
        <v>36</v>
      </c>
      <c r="M1316">
        <v>0.32</v>
      </c>
      <c r="N1316">
        <v>0.32</v>
      </c>
      <c r="O1316">
        <v>0</v>
      </c>
      <c r="P1316">
        <v>0</v>
      </c>
      <c r="Q1316" t="s">
        <v>108</v>
      </c>
    </row>
    <row r="1317" spans="1:17">
      <c r="A1317" t="s">
        <v>93</v>
      </c>
      <c r="B1317" t="s">
        <v>106</v>
      </c>
      <c r="C1317" t="s">
        <v>56</v>
      </c>
      <c r="D1317" t="s">
        <v>1100</v>
      </c>
      <c r="E1317">
        <v>15</v>
      </c>
      <c r="F1317" t="str">
        <f>VLOOKUP(E1317,[1]LOJA!$A:$B,2,0)</f>
        <v>UNAÍ</v>
      </c>
      <c r="G1317" t="s">
        <v>19</v>
      </c>
      <c r="H1317" t="s">
        <v>19</v>
      </c>
      <c r="I1317" s="1">
        <v>46048</v>
      </c>
      <c r="J1317" s="1">
        <v>46046</v>
      </c>
      <c r="K1317" s="1">
        <v>46048</v>
      </c>
      <c r="L1317">
        <v>36</v>
      </c>
      <c r="M1317">
        <v>1.82</v>
      </c>
      <c r="N1317">
        <v>1.82</v>
      </c>
      <c r="O1317">
        <v>0</v>
      </c>
      <c r="P1317">
        <v>0</v>
      </c>
      <c r="Q1317" t="s">
        <v>108</v>
      </c>
    </row>
    <row r="1318" spans="1:17">
      <c r="A1318" t="s">
        <v>93</v>
      </c>
      <c r="B1318" t="s">
        <v>106</v>
      </c>
      <c r="C1318" t="s">
        <v>56</v>
      </c>
      <c r="D1318" t="s">
        <v>1101</v>
      </c>
      <c r="E1318">
        <v>15</v>
      </c>
      <c r="F1318" t="str">
        <f>VLOOKUP(E1318,[1]LOJA!$A:$B,2,0)</f>
        <v>UNAÍ</v>
      </c>
      <c r="G1318" t="s">
        <v>19</v>
      </c>
      <c r="H1318" t="s">
        <v>19</v>
      </c>
      <c r="I1318" s="1">
        <v>46048</v>
      </c>
      <c r="J1318" s="1">
        <v>46047</v>
      </c>
      <c r="K1318" s="1">
        <v>46048</v>
      </c>
      <c r="L1318">
        <v>36</v>
      </c>
      <c r="M1318">
        <v>0.11</v>
      </c>
      <c r="N1318">
        <v>0.11</v>
      </c>
      <c r="O1318">
        <v>0</v>
      </c>
      <c r="P1318">
        <v>0</v>
      </c>
      <c r="Q1318" t="s">
        <v>108</v>
      </c>
    </row>
    <row r="1319" spans="1:17">
      <c r="A1319" t="s">
        <v>93</v>
      </c>
      <c r="B1319" t="s">
        <v>106</v>
      </c>
      <c r="C1319" t="s">
        <v>56</v>
      </c>
      <c r="D1319" t="s">
        <v>1102</v>
      </c>
      <c r="E1319">
        <v>15</v>
      </c>
      <c r="F1319" t="str">
        <f>VLOOKUP(E1319,[1]LOJA!$A:$B,2,0)</f>
        <v>UNAÍ</v>
      </c>
      <c r="G1319" t="s">
        <v>19</v>
      </c>
      <c r="H1319" t="s">
        <v>19</v>
      </c>
      <c r="I1319" s="1">
        <v>46048</v>
      </c>
      <c r="J1319" s="1">
        <v>46047</v>
      </c>
      <c r="K1319" s="1">
        <v>46048</v>
      </c>
      <c r="L1319">
        <v>36</v>
      </c>
      <c r="M1319">
        <v>0.27</v>
      </c>
      <c r="N1319">
        <v>0.27</v>
      </c>
      <c r="O1319">
        <v>0</v>
      </c>
      <c r="P1319">
        <v>0</v>
      </c>
      <c r="Q1319" t="s">
        <v>108</v>
      </c>
    </row>
    <row r="1320" spans="1:17">
      <c r="A1320" t="s">
        <v>93</v>
      </c>
      <c r="B1320" t="s">
        <v>106</v>
      </c>
      <c r="C1320" t="s">
        <v>56</v>
      </c>
      <c r="D1320" t="s">
        <v>1103</v>
      </c>
      <c r="E1320">
        <v>15</v>
      </c>
      <c r="F1320" t="str">
        <f>VLOOKUP(E1320,[1]LOJA!$A:$B,2,0)</f>
        <v>UNAÍ</v>
      </c>
      <c r="G1320" t="s">
        <v>19</v>
      </c>
      <c r="H1320" t="s">
        <v>19</v>
      </c>
      <c r="I1320" s="1">
        <v>46048</v>
      </c>
      <c r="J1320" s="1">
        <v>46047</v>
      </c>
      <c r="K1320" s="1">
        <v>46048</v>
      </c>
      <c r="L1320">
        <v>36</v>
      </c>
      <c r="M1320">
        <v>0.52</v>
      </c>
      <c r="N1320">
        <v>0.52</v>
      </c>
      <c r="O1320">
        <v>0</v>
      </c>
      <c r="P1320">
        <v>0</v>
      </c>
      <c r="Q1320" t="s">
        <v>108</v>
      </c>
    </row>
    <row r="1321" spans="1:17">
      <c r="A1321" t="s">
        <v>93</v>
      </c>
      <c r="B1321" t="s">
        <v>106</v>
      </c>
      <c r="C1321" t="s">
        <v>56</v>
      </c>
      <c r="D1321" t="s">
        <v>1104</v>
      </c>
      <c r="E1321">
        <v>15</v>
      </c>
      <c r="F1321" t="str">
        <f>VLOOKUP(E1321,[1]LOJA!$A:$B,2,0)</f>
        <v>UNAÍ</v>
      </c>
      <c r="G1321" t="s">
        <v>19</v>
      </c>
      <c r="H1321" t="s">
        <v>19</v>
      </c>
      <c r="I1321" s="1">
        <v>46048</v>
      </c>
      <c r="J1321" s="1">
        <v>46047</v>
      </c>
      <c r="K1321" s="1">
        <v>46048</v>
      </c>
      <c r="L1321">
        <v>36</v>
      </c>
      <c r="M1321">
        <v>1.41</v>
      </c>
      <c r="N1321">
        <v>1.41</v>
      </c>
      <c r="O1321">
        <v>0</v>
      </c>
      <c r="P1321">
        <v>0</v>
      </c>
      <c r="Q1321" t="s">
        <v>108</v>
      </c>
    </row>
    <row r="1322" spans="1:17">
      <c r="A1322" t="s">
        <v>93</v>
      </c>
      <c r="B1322" t="s">
        <v>106</v>
      </c>
      <c r="C1322" t="s">
        <v>56</v>
      </c>
      <c r="D1322" t="s">
        <v>1105</v>
      </c>
      <c r="E1322">
        <v>16</v>
      </c>
      <c r="F1322" t="str">
        <f>VLOOKUP(E1322,[1]LOJA!$A:$B,2,0)</f>
        <v>AG LINDAS</v>
      </c>
      <c r="G1322" t="s">
        <v>19</v>
      </c>
      <c r="H1322" t="s">
        <v>19</v>
      </c>
      <c r="I1322" s="1">
        <v>46024</v>
      </c>
      <c r="J1322" s="1">
        <v>46023</v>
      </c>
      <c r="K1322" s="1">
        <v>46024</v>
      </c>
      <c r="L1322">
        <v>37</v>
      </c>
      <c r="M1322">
        <v>3.48</v>
      </c>
      <c r="N1322">
        <v>3.48</v>
      </c>
      <c r="O1322">
        <v>0</v>
      </c>
      <c r="P1322">
        <v>0</v>
      </c>
      <c r="Q1322" t="s">
        <v>108</v>
      </c>
    </row>
    <row r="1323" spans="1:17">
      <c r="A1323" t="s">
        <v>93</v>
      </c>
      <c r="B1323" t="s">
        <v>106</v>
      </c>
      <c r="C1323" t="s">
        <v>56</v>
      </c>
      <c r="D1323" t="s">
        <v>1106</v>
      </c>
      <c r="E1323">
        <v>16</v>
      </c>
      <c r="F1323" t="str">
        <f>VLOOKUP(E1323,[1]LOJA!$A:$B,2,0)</f>
        <v>AG LINDAS</v>
      </c>
      <c r="G1323" t="s">
        <v>19</v>
      </c>
      <c r="H1323" t="s">
        <v>19</v>
      </c>
      <c r="I1323" s="1">
        <v>46024</v>
      </c>
      <c r="J1323" s="1">
        <v>46024</v>
      </c>
      <c r="K1323" s="1">
        <v>46024</v>
      </c>
      <c r="L1323">
        <v>37</v>
      </c>
      <c r="M1323">
        <v>0.53</v>
      </c>
      <c r="N1323">
        <v>0.53</v>
      </c>
      <c r="O1323">
        <v>0</v>
      </c>
      <c r="P1323">
        <v>0</v>
      </c>
      <c r="Q1323" t="s">
        <v>108</v>
      </c>
    </row>
    <row r="1324" spans="1:17">
      <c r="A1324" t="s">
        <v>93</v>
      </c>
      <c r="B1324" t="s">
        <v>106</v>
      </c>
      <c r="C1324" t="s">
        <v>56</v>
      </c>
      <c r="D1324" t="s">
        <v>1107</v>
      </c>
      <c r="E1324">
        <v>16</v>
      </c>
      <c r="F1324" t="str">
        <f>VLOOKUP(E1324,[1]LOJA!$A:$B,2,0)</f>
        <v>AG LINDAS</v>
      </c>
      <c r="G1324" t="s">
        <v>19</v>
      </c>
      <c r="H1324" t="s">
        <v>19</v>
      </c>
      <c r="I1324" s="1">
        <v>46024</v>
      </c>
      <c r="J1324" s="1">
        <v>46024</v>
      </c>
      <c r="K1324" s="1">
        <v>46024</v>
      </c>
      <c r="L1324">
        <v>37</v>
      </c>
      <c r="M1324">
        <v>1.78</v>
      </c>
      <c r="N1324">
        <v>1.78</v>
      </c>
      <c r="O1324">
        <v>0</v>
      </c>
      <c r="P1324">
        <v>0</v>
      </c>
      <c r="Q1324" t="s">
        <v>108</v>
      </c>
    </row>
    <row r="1325" spans="1:17">
      <c r="A1325" t="s">
        <v>93</v>
      </c>
      <c r="B1325" t="s">
        <v>106</v>
      </c>
      <c r="C1325" t="s">
        <v>56</v>
      </c>
      <c r="D1325" t="s">
        <v>1108</v>
      </c>
      <c r="E1325">
        <v>16</v>
      </c>
      <c r="F1325" t="str">
        <f>VLOOKUP(E1325,[1]LOJA!$A:$B,2,0)</f>
        <v>AG LINDAS</v>
      </c>
      <c r="G1325" t="s">
        <v>19</v>
      </c>
      <c r="H1325" t="s">
        <v>19</v>
      </c>
      <c r="I1325" s="1">
        <v>46024</v>
      </c>
      <c r="J1325" s="1">
        <v>46024</v>
      </c>
      <c r="K1325" s="1">
        <v>46024</v>
      </c>
      <c r="L1325">
        <v>37</v>
      </c>
      <c r="M1325">
        <v>2.14</v>
      </c>
      <c r="N1325">
        <v>2.14</v>
      </c>
      <c r="O1325">
        <v>0</v>
      </c>
      <c r="P1325">
        <v>0</v>
      </c>
      <c r="Q1325" t="s">
        <v>108</v>
      </c>
    </row>
    <row r="1326" spans="1:17">
      <c r="A1326" t="s">
        <v>93</v>
      </c>
      <c r="B1326" t="s">
        <v>106</v>
      </c>
      <c r="C1326" t="s">
        <v>56</v>
      </c>
      <c r="D1326" t="s">
        <v>1109</v>
      </c>
      <c r="E1326">
        <v>16</v>
      </c>
      <c r="F1326" t="str">
        <f>VLOOKUP(E1326,[1]LOJA!$A:$B,2,0)</f>
        <v>AG LINDAS</v>
      </c>
      <c r="G1326" t="s">
        <v>19</v>
      </c>
      <c r="H1326" t="s">
        <v>19</v>
      </c>
      <c r="I1326" s="1">
        <v>46024</v>
      </c>
      <c r="J1326" s="1">
        <v>46024</v>
      </c>
      <c r="K1326" s="1">
        <v>46024</v>
      </c>
      <c r="L1326">
        <v>37</v>
      </c>
      <c r="M1326">
        <v>3.5</v>
      </c>
      <c r="N1326">
        <v>3.5</v>
      </c>
      <c r="O1326">
        <v>0</v>
      </c>
      <c r="P1326">
        <v>0</v>
      </c>
      <c r="Q1326" t="s">
        <v>108</v>
      </c>
    </row>
    <row r="1327" spans="1:17">
      <c r="A1327" t="s">
        <v>93</v>
      </c>
      <c r="B1327" t="s">
        <v>106</v>
      </c>
      <c r="C1327" t="s">
        <v>56</v>
      </c>
      <c r="D1327" t="s">
        <v>1110</v>
      </c>
      <c r="E1327">
        <v>16</v>
      </c>
      <c r="F1327" t="str">
        <f>VLOOKUP(E1327,[1]LOJA!$A:$B,2,0)</f>
        <v>AG LINDAS</v>
      </c>
      <c r="G1327" t="s">
        <v>19</v>
      </c>
      <c r="H1327" t="s">
        <v>19</v>
      </c>
      <c r="I1327" s="1">
        <v>46024</v>
      </c>
      <c r="J1327" s="1">
        <v>46024</v>
      </c>
      <c r="K1327" s="1">
        <v>46024</v>
      </c>
      <c r="L1327">
        <v>37</v>
      </c>
      <c r="M1327">
        <v>0.14000000000000001</v>
      </c>
      <c r="N1327">
        <v>0.14000000000000001</v>
      </c>
      <c r="O1327">
        <v>0</v>
      </c>
      <c r="P1327">
        <v>0</v>
      </c>
      <c r="Q1327" t="s">
        <v>108</v>
      </c>
    </row>
    <row r="1328" spans="1:17">
      <c r="A1328" t="s">
        <v>93</v>
      </c>
      <c r="B1328" t="s">
        <v>106</v>
      </c>
      <c r="C1328" t="s">
        <v>56</v>
      </c>
      <c r="D1328" t="s">
        <v>1111</v>
      </c>
      <c r="E1328">
        <v>16</v>
      </c>
      <c r="F1328" t="str">
        <f>VLOOKUP(E1328,[1]LOJA!$A:$B,2,0)</f>
        <v>AG LINDAS</v>
      </c>
      <c r="G1328" t="s">
        <v>19</v>
      </c>
      <c r="H1328" t="s">
        <v>19</v>
      </c>
      <c r="I1328" s="1">
        <v>46024</v>
      </c>
      <c r="J1328" s="1">
        <v>46024</v>
      </c>
      <c r="K1328" s="1">
        <v>46024</v>
      </c>
      <c r="L1328">
        <v>37</v>
      </c>
      <c r="M1328">
        <v>4.4400000000000004</v>
      </c>
      <c r="N1328">
        <v>4.4400000000000004</v>
      </c>
      <c r="O1328">
        <v>0</v>
      </c>
      <c r="P1328">
        <v>0</v>
      </c>
      <c r="Q1328" t="s">
        <v>108</v>
      </c>
    </row>
    <row r="1329" spans="1:17">
      <c r="A1329" t="s">
        <v>93</v>
      </c>
      <c r="B1329" t="s">
        <v>106</v>
      </c>
      <c r="C1329" t="s">
        <v>56</v>
      </c>
      <c r="D1329" t="s">
        <v>1112</v>
      </c>
      <c r="E1329">
        <v>16</v>
      </c>
      <c r="F1329" t="str">
        <f>VLOOKUP(E1329,[1]LOJA!$A:$B,2,0)</f>
        <v>AG LINDAS</v>
      </c>
      <c r="G1329" t="s">
        <v>19</v>
      </c>
      <c r="H1329" t="s">
        <v>19</v>
      </c>
      <c r="I1329" s="1">
        <v>46024</v>
      </c>
      <c r="J1329" s="1">
        <v>46024</v>
      </c>
      <c r="K1329" s="1">
        <v>46024</v>
      </c>
      <c r="L1329">
        <v>37</v>
      </c>
      <c r="M1329">
        <v>1.96</v>
      </c>
      <c r="N1329">
        <v>1.96</v>
      </c>
      <c r="O1329">
        <v>0</v>
      </c>
      <c r="P1329">
        <v>0</v>
      </c>
      <c r="Q1329" t="s">
        <v>108</v>
      </c>
    </row>
    <row r="1330" spans="1:17">
      <c r="A1330" t="s">
        <v>93</v>
      </c>
      <c r="B1330" t="s">
        <v>106</v>
      </c>
      <c r="C1330" t="s">
        <v>56</v>
      </c>
      <c r="D1330" t="s">
        <v>1113</v>
      </c>
      <c r="E1330">
        <v>16</v>
      </c>
      <c r="F1330" t="str">
        <f>VLOOKUP(E1330,[1]LOJA!$A:$B,2,0)</f>
        <v>AG LINDAS</v>
      </c>
      <c r="G1330" t="s">
        <v>19</v>
      </c>
      <c r="H1330" t="s">
        <v>19</v>
      </c>
      <c r="I1330" s="1">
        <v>46024</v>
      </c>
      <c r="J1330" s="1">
        <v>46023</v>
      </c>
      <c r="K1330" s="1">
        <v>46024</v>
      </c>
      <c r="L1330">
        <v>37</v>
      </c>
      <c r="M1330">
        <v>1.21</v>
      </c>
      <c r="N1330">
        <v>1.21</v>
      </c>
      <c r="O1330">
        <v>0</v>
      </c>
      <c r="P1330">
        <v>0</v>
      </c>
      <c r="Q1330" t="s">
        <v>108</v>
      </c>
    </row>
    <row r="1331" spans="1:17">
      <c r="A1331" t="s">
        <v>93</v>
      </c>
      <c r="B1331" t="s">
        <v>106</v>
      </c>
      <c r="C1331" t="s">
        <v>56</v>
      </c>
      <c r="D1331" t="s">
        <v>1114</v>
      </c>
      <c r="E1331">
        <v>16</v>
      </c>
      <c r="F1331" t="str">
        <f>VLOOKUP(E1331,[1]LOJA!$A:$B,2,0)</f>
        <v>AG LINDAS</v>
      </c>
      <c r="G1331" t="s">
        <v>19</v>
      </c>
      <c r="H1331" t="s">
        <v>19</v>
      </c>
      <c r="I1331" s="1">
        <v>46024</v>
      </c>
      <c r="J1331" s="1">
        <v>46023</v>
      </c>
      <c r="K1331" s="1">
        <v>46024</v>
      </c>
      <c r="L1331">
        <v>37</v>
      </c>
      <c r="M1331">
        <v>0.44</v>
      </c>
      <c r="N1331">
        <v>0.44</v>
      </c>
      <c r="O1331">
        <v>0</v>
      </c>
      <c r="P1331">
        <v>0</v>
      </c>
      <c r="Q1331" t="s">
        <v>108</v>
      </c>
    </row>
    <row r="1332" spans="1:17">
      <c r="A1332" t="s">
        <v>93</v>
      </c>
      <c r="B1332" t="s">
        <v>106</v>
      </c>
      <c r="C1332" t="s">
        <v>56</v>
      </c>
      <c r="D1332" t="s">
        <v>1115</v>
      </c>
      <c r="E1332">
        <v>16</v>
      </c>
      <c r="F1332" t="str">
        <f>VLOOKUP(E1332,[1]LOJA!$A:$B,2,0)</f>
        <v>AG LINDAS</v>
      </c>
      <c r="G1332" t="s">
        <v>19</v>
      </c>
      <c r="H1332" t="s">
        <v>19</v>
      </c>
      <c r="I1332" s="1">
        <v>46024</v>
      </c>
      <c r="J1332" s="1">
        <v>46023</v>
      </c>
      <c r="K1332" s="1">
        <v>46024</v>
      </c>
      <c r="L1332">
        <v>37</v>
      </c>
      <c r="M1332">
        <v>0.36</v>
      </c>
      <c r="N1332">
        <v>0.36</v>
      </c>
      <c r="O1332">
        <v>0</v>
      </c>
      <c r="P1332">
        <v>0</v>
      </c>
      <c r="Q1332" t="s">
        <v>108</v>
      </c>
    </row>
    <row r="1333" spans="1:17">
      <c r="A1333" t="s">
        <v>93</v>
      </c>
      <c r="B1333" t="s">
        <v>106</v>
      </c>
      <c r="C1333" t="s">
        <v>56</v>
      </c>
      <c r="D1333" t="s">
        <v>1116</v>
      </c>
      <c r="E1333">
        <v>16</v>
      </c>
      <c r="F1333" t="str">
        <f>VLOOKUP(E1333,[1]LOJA!$A:$B,2,0)</f>
        <v>AG LINDAS</v>
      </c>
      <c r="G1333" t="s">
        <v>19</v>
      </c>
      <c r="H1333" t="s">
        <v>19</v>
      </c>
      <c r="I1333" s="1">
        <v>46027</v>
      </c>
      <c r="J1333" s="1">
        <v>46027</v>
      </c>
      <c r="K1333" s="1">
        <v>46027</v>
      </c>
      <c r="L1333">
        <v>37</v>
      </c>
      <c r="M1333">
        <v>5.26</v>
      </c>
      <c r="N1333">
        <v>5.26</v>
      </c>
      <c r="O1333">
        <v>0</v>
      </c>
      <c r="P1333">
        <v>0</v>
      </c>
      <c r="Q1333" t="s">
        <v>108</v>
      </c>
    </row>
    <row r="1334" spans="1:17">
      <c r="A1334" t="s">
        <v>93</v>
      </c>
      <c r="B1334" t="s">
        <v>106</v>
      </c>
      <c r="C1334" t="s">
        <v>56</v>
      </c>
      <c r="D1334" t="s">
        <v>1117</v>
      </c>
      <c r="E1334">
        <v>16</v>
      </c>
      <c r="F1334" t="str">
        <f>VLOOKUP(E1334,[1]LOJA!$A:$B,2,0)</f>
        <v>AG LINDAS</v>
      </c>
      <c r="G1334" t="s">
        <v>19</v>
      </c>
      <c r="H1334" t="s">
        <v>19</v>
      </c>
      <c r="I1334" s="1">
        <v>46027</v>
      </c>
      <c r="J1334" s="1">
        <v>46027</v>
      </c>
      <c r="K1334" s="1">
        <v>46027</v>
      </c>
      <c r="L1334">
        <v>37</v>
      </c>
      <c r="M1334">
        <v>2.75</v>
      </c>
      <c r="N1334">
        <v>2.75</v>
      </c>
      <c r="O1334">
        <v>0</v>
      </c>
      <c r="P1334">
        <v>0</v>
      </c>
      <c r="Q1334" t="s">
        <v>108</v>
      </c>
    </row>
    <row r="1335" spans="1:17">
      <c r="A1335" t="s">
        <v>93</v>
      </c>
      <c r="B1335" t="s">
        <v>106</v>
      </c>
      <c r="C1335" t="s">
        <v>56</v>
      </c>
      <c r="D1335" t="s">
        <v>1118</v>
      </c>
      <c r="E1335">
        <v>16</v>
      </c>
      <c r="F1335" t="str">
        <f>VLOOKUP(E1335,[1]LOJA!$A:$B,2,0)</f>
        <v>AG LINDAS</v>
      </c>
      <c r="G1335" t="s">
        <v>19</v>
      </c>
      <c r="H1335" t="s">
        <v>19</v>
      </c>
      <c r="I1335" s="1">
        <v>46027</v>
      </c>
      <c r="J1335" s="1">
        <v>46026</v>
      </c>
      <c r="K1335" s="1">
        <v>46027</v>
      </c>
      <c r="L1335">
        <v>37</v>
      </c>
      <c r="M1335">
        <v>2.19</v>
      </c>
      <c r="N1335">
        <v>2.19</v>
      </c>
      <c r="O1335">
        <v>0</v>
      </c>
      <c r="P1335">
        <v>0</v>
      </c>
      <c r="Q1335" t="s">
        <v>108</v>
      </c>
    </row>
    <row r="1336" spans="1:17">
      <c r="A1336" t="s">
        <v>93</v>
      </c>
      <c r="B1336" t="s">
        <v>106</v>
      </c>
      <c r="C1336" t="s">
        <v>56</v>
      </c>
      <c r="D1336" t="s">
        <v>1119</v>
      </c>
      <c r="E1336">
        <v>16</v>
      </c>
      <c r="F1336" t="str">
        <f>VLOOKUP(E1336,[1]LOJA!$A:$B,2,0)</f>
        <v>AG LINDAS</v>
      </c>
      <c r="G1336" t="s">
        <v>19</v>
      </c>
      <c r="H1336" t="s">
        <v>19</v>
      </c>
      <c r="I1336" s="1">
        <v>46027</v>
      </c>
      <c r="J1336" s="1">
        <v>46027</v>
      </c>
      <c r="K1336" s="1">
        <v>46027</v>
      </c>
      <c r="L1336">
        <v>37</v>
      </c>
      <c r="M1336">
        <v>3.24</v>
      </c>
      <c r="N1336">
        <v>3.24</v>
      </c>
      <c r="O1336">
        <v>0</v>
      </c>
      <c r="P1336">
        <v>0</v>
      </c>
      <c r="Q1336" t="s">
        <v>108</v>
      </c>
    </row>
    <row r="1337" spans="1:17">
      <c r="A1337" t="s">
        <v>93</v>
      </c>
      <c r="B1337" t="s">
        <v>106</v>
      </c>
      <c r="C1337" t="s">
        <v>56</v>
      </c>
      <c r="D1337" t="s">
        <v>1120</v>
      </c>
      <c r="E1337">
        <v>16</v>
      </c>
      <c r="F1337" t="str">
        <f>VLOOKUP(E1337,[1]LOJA!$A:$B,2,0)</f>
        <v>AG LINDAS</v>
      </c>
      <c r="G1337" t="s">
        <v>19</v>
      </c>
      <c r="H1337" t="s">
        <v>19</v>
      </c>
      <c r="I1337" s="1">
        <v>46027</v>
      </c>
      <c r="J1337" s="1">
        <v>46027</v>
      </c>
      <c r="K1337" s="1">
        <v>46027</v>
      </c>
      <c r="L1337">
        <v>37</v>
      </c>
      <c r="M1337">
        <v>8.76</v>
      </c>
      <c r="N1337">
        <v>8.76</v>
      </c>
      <c r="O1337">
        <v>0</v>
      </c>
      <c r="P1337">
        <v>0</v>
      </c>
      <c r="Q1337" t="s">
        <v>108</v>
      </c>
    </row>
    <row r="1338" spans="1:17">
      <c r="A1338" t="s">
        <v>93</v>
      </c>
      <c r="B1338" t="s">
        <v>106</v>
      </c>
      <c r="C1338" t="s">
        <v>56</v>
      </c>
      <c r="D1338" t="s">
        <v>1121</v>
      </c>
      <c r="E1338">
        <v>16</v>
      </c>
      <c r="F1338" t="str">
        <f>VLOOKUP(E1338,[1]LOJA!$A:$B,2,0)</f>
        <v>AG LINDAS</v>
      </c>
      <c r="G1338" t="s">
        <v>19</v>
      </c>
      <c r="H1338" t="s">
        <v>19</v>
      </c>
      <c r="I1338" s="1">
        <v>46027</v>
      </c>
      <c r="J1338" s="1">
        <v>46025</v>
      </c>
      <c r="K1338" s="1">
        <v>46027</v>
      </c>
      <c r="L1338">
        <v>37</v>
      </c>
      <c r="M1338">
        <v>1.82</v>
      </c>
      <c r="N1338">
        <v>1.82</v>
      </c>
      <c r="O1338">
        <v>0</v>
      </c>
      <c r="P1338">
        <v>0</v>
      </c>
      <c r="Q1338" t="s">
        <v>108</v>
      </c>
    </row>
    <row r="1339" spans="1:17">
      <c r="A1339" t="s">
        <v>93</v>
      </c>
      <c r="B1339" t="s">
        <v>106</v>
      </c>
      <c r="C1339" t="s">
        <v>56</v>
      </c>
      <c r="D1339" t="s">
        <v>1122</v>
      </c>
      <c r="E1339">
        <v>16</v>
      </c>
      <c r="F1339" t="str">
        <f>VLOOKUP(E1339,[1]LOJA!$A:$B,2,0)</f>
        <v>AG LINDAS</v>
      </c>
      <c r="G1339" t="s">
        <v>19</v>
      </c>
      <c r="H1339" t="s">
        <v>19</v>
      </c>
      <c r="I1339" s="1">
        <v>46027</v>
      </c>
      <c r="J1339" s="1">
        <v>46025</v>
      </c>
      <c r="K1339" s="1">
        <v>46027</v>
      </c>
      <c r="L1339">
        <v>37</v>
      </c>
      <c r="M1339">
        <v>2.27</v>
      </c>
      <c r="N1339">
        <v>2.27</v>
      </c>
      <c r="O1339">
        <v>0</v>
      </c>
      <c r="P1339">
        <v>0</v>
      </c>
      <c r="Q1339" t="s">
        <v>108</v>
      </c>
    </row>
    <row r="1340" spans="1:17">
      <c r="A1340" t="s">
        <v>93</v>
      </c>
      <c r="B1340" t="s">
        <v>106</v>
      </c>
      <c r="C1340" t="s">
        <v>56</v>
      </c>
      <c r="D1340" t="s">
        <v>1123</v>
      </c>
      <c r="E1340">
        <v>16</v>
      </c>
      <c r="F1340" t="str">
        <f>VLOOKUP(E1340,[1]LOJA!$A:$B,2,0)</f>
        <v>AG LINDAS</v>
      </c>
      <c r="G1340" t="s">
        <v>19</v>
      </c>
      <c r="H1340" t="s">
        <v>19</v>
      </c>
      <c r="I1340" s="1">
        <v>46027</v>
      </c>
      <c r="J1340" s="1">
        <v>46025</v>
      </c>
      <c r="K1340" s="1">
        <v>46027</v>
      </c>
      <c r="L1340">
        <v>37</v>
      </c>
      <c r="M1340">
        <v>1.29</v>
      </c>
      <c r="N1340">
        <v>1.29</v>
      </c>
      <c r="O1340">
        <v>0</v>
      </c>
      <c r="P1340">
        <v>0</v>
      </c>
      <c r="Q1340" t="s">
        <v>108</v>
      </c>
    </row>
    <row r="1341" spans="1:17">
      <c r="A1341" t="s">
        <v>93</v>
      </c>
      <c r="B1341" t="s">
        <v>106</v>
      </c>
      <c r="C1341" t="s">
        <v>56</v>
      </c>
      <c r="D1341" t="s">
        <v>1124</v>
      </c>
      <c r="E1341">
        <v>16</v>
      </c>
      <c r="F1341" t="str">
        <f>VLOOKUP(E1341,[1]LOJA!$A:$B,2,0)</f>
        <v>AG LINDAS</v>
      </c>
      <c r="G1341" t="s">
        <v>19</v>
      </c>
      <c r="H1341" t="s">
        <v>19</v>
      </c>
      <c r="I1341" s="1">
        <v>46027</v>
      </c>
      <c r="J1341" s="1">
        <v>46025</v>
      </c>
      <c r="K1341" s="1">
        <v>46027</v>
      </c>
      <c r="L1341">
        <v>37</v>
      </c>
      <c r="M1341">
        <v>3.33</v>
      </c>
      <c r="N1341">
        <v>3.33</v>
      </c>
      <c r="O1341">
        <v>0</v>
      </c>
      <c r="P1341">
        <v>0</v>
      </c>
      <c r="Q1341" t="s">
        <v>108</v>
      </c>
    </row>
    <row r="1342" spans="1:17">
      <c r="A1342" t="s">
        <v>93</v>
      </c>
      <c r="B1342" t="s">
        <v>106</v>
      </c>
      <c r="C1342" t="s">
        <v>56</v>
      </c>
      <c r="D1342" t="s">
        <v>1125</v>
      </c>
      <c r="E1342">
        <v>16</v>
      </c>
      <c r="F1342" t="str">
        <f>VLOOKUP(E1342,[1]LOJA!$A:$B,2,0)</f>
        <v>AG LINDAS</v>
      </c>
      <c r="G1342" t="s">
        <v>19</v>
      </c>
      <c r="H1342" t="s">
        <v>19</v>
      </c>
      <c r="I1342" s="1">
        <v>46027</v>
      </c>
      <c r="J1342" s="1">
        <v>46025</v>
      </c>
      <c r="K1342" s="1">
        <v>46027</v>
      </c>
      <c r="L1342">
        <v>37</v>
      </c>
      <c r="M1342">
        <v>1.1000000000000001</v>
      </c>
      <c r="N1342">
        <v>1.1000000000000001</v>
      </c>
      <c r="O1342">
        <v>0</v>
      </c>
      <c r="P1342">
        <v>0</v>
      </c>
      <c r="Q1342" t="s">
        <v>108</v>
      </c>
    </row>
    <row r="1343" spans="1:17">
      <c r="A1343" t="s">
        <v>93</v>
      </c>
      <c r="B1343" t="s">
        <v>106</v>
      </c>
      <c r="C1343" t="s">
        <v>56</v>
      </c>
      <c r="D1343" t="s">
        <v>1126</v>
      </c>
      <c r="E1343">
        <v>16</v>
      </c>
      <c r="F1343" t="str">
        <f>VLOOKUP(E1343,[1]LOJA!$A:$B,2,0)</f>
        <v>AG LINDAS</v>
      </c>
      <c r="G1343" t="s">
        <v>19</v>
      </c>
      <c r="H1343" t="s">
        <v>19</v>
      </c>
      <c r="I1343" s="1">
        <v>46027</v>
      </c>
      <c r="J1343" s="1">
        <v>46025</v>
      </c>
      <c r="K1343" s="1">
        <v>46027</v>
      </c>
      <c r="L1343">
        <v>37</v>
      </c>
      <c r="M1343">
        <v>0.52</v>
      </c>
      <c r="N1343">
        <v>0.52</v>
      </c>
      <c r="O1343">
        <v>0</v>
      </c>
      <c r="P1343">
        <v>0</v>
      </c>
      <c r="Q1343" t="s">
        <v>108</v>
      </c>
    </row>
    <row r="1344" spans="1:17">
      <c r="A1344" t="s">
        <v>93</v>
      </c>
      <c r="B1344" t="s">
        <v>106</v>
      </c>
      <c r="C1344" t="s">
        <v>56</v>
      </c>
      <c r="D1344" t="s">
        <v>1127</v>
      </c>
      <c r="E1344">
        <v>16</v>
      </c>
      <c r="F1344" t="str">
        <f>VLOOKUP(E1344,[1]LOJA!$A:$B,2,0)</f>
        <v>AG LINDAS</v>
      </c>
      <c r="G1344" t="s">
        <v>19</v>
      </c>
      <c r="H1344" t="s">
        <v>19</v>
      </c>
      <c r="I1344" s="1">
        <v>46027</v>
      </c>
      <c r="J1344" s="1">
        <v>46026</v>
      </c>
      <c r="K1344" s="1">
        <v>46027</v>
      </c>
      <c r="L1344">
        <v>37</v>
      </c>
      <c r="M1344">
        <v>0.7</v>
      </c>
      <c r="N1344">
        <v>0.7</v>
      </c>
      <c r="O1344">
        <v>0</v>
      </c>
      <c r="P1344">
        <v>0</v>
      </c>
      <c r="Q1344" t="s">
        <v>108</v>
      </c>
    </row>
    <row r="1345" spans="1:17">
      <c r="A1345" t="s">
        <v>93</v>
      </c>
      <c r="B1345" t="s">
        <v>106</v>
      </c>
      <c r="C1345" t="s">
        <v>56</v>
      </c>
      <c r="D1345" t="s">
        <v>1128</v>
      </c>
      <c r="E1345">
        <v>16</v>
      </c>
      <c r="F1345" t="str">
        <f>VLOOKUP(E1345,[1]LOJA!$A:$B,2,0)</f>
        <v>AG LINDAS</v>
      </c>
      <c r="G1345" t="s">
        <v>19</v>
      </c>
      <c r="H1345" t="s">
        <v>19</v>
      </c>
      <c r="I1345" s="1">
        <v>46027</v>
      </c>
      <c r="J1345" s="1">
        <v>46026</v>
      </c>
      <c r="K1345" s="1">
        <v>46027</v>
      </c>
      <c r="L1345">
        <v>37</v>
      </c>
      <c r="M1345">
        <v>0.51</v>
      </c>
      <c r="N1345">
        <v>0.51</v>
      </c>
      <c r="O1345">
        <v>0</v>
      </c>
      <c r="P1345">
        <v>0</v>
      </c>
      <c r="Q1345" t="s">
        <v>108</v>
      </c>
    </row>
    <row r="1346" spans="1:17">
      <c r="A1346" t="s">
        <v>93</v>
      </c>
      <c r="B1346" t="s">
        <v>106</v>
      </c>
      <c r="C1346" t="s">
        <v>56</v>
      </c>
      <c r="D1346" t="s">
        <v>1129</v>
      </c>
      <c r="E1346">
        <v>16</v>
      </c>
      <c r="F1346" t="str">
        <f>VLOOKUP(E1346,[1]LOJA!$A:$B,2,0)</f>
        <v>AG LINDAS</v>
      </c>
      <c r="G1346" t="s">
        <v>19</v>
      </c>
      <c r="H1346" t="s">
        <v>19</v>
      </c>
      <c r="I1346" s="1">
        <v>46027</v>
      </c>
      <c r="J1346" s="1">
        <v>46026</v>
      </c>
      <c r="K1346" s="1">
        <v>46027</v>
      </c>
      <c r="L1346">
        <v>37</v>
      </c>
      <c r="M1346">
        <v>1.4</v>
      </c>
      <c r="N1346">
        <v>1.4</v>
      </c>
      <c r="O1346">
        <v>0</v>
      </c>
      <c r="P1346">
        <v>0</v>
      </c>
      <c r="Q1346" t="s">
        <v>108</v>
      </c>
    </row>
    <row r="1347" spans="1:17">
      <c r="A1347" t="s">
        <v>93</v>
      </c>
      <c r="B1347" t="s">
        <v>106</v>
      </c>
      <c r="C1347" t="s">
        <v>56</v>
      </c>
      <c r="D1347" t="s">
        <v>1130</v>
      </c>
      <c r="E1347">
        <v>16</v>
      </c>
      <c r="F1347" t="str">
        <f>VLOOKUP(E1347,[1]LOJA!$A:$B,2,0)</f>
        <v>AG LINDAS</v>
      </c>
      <c r="G1347" t="s">
        <v>19</v>
      </c>
      <c r="H1347" t="s">
        <v>19</v>
      </c>
      <c r="I1347" s="1">
        <v>46027</v>
      </c>
      <c r="J1347" s="1">
        <v>46026</v>
      </c>
      <c r="K1347" s="1">
        <v>46027</v>
      </c>
      <c r="L1347">
        <v>37</v>
      </c>
      <c r="M1347">
        <v>0.52</v>
      </c>
      <c r="N1347">
        <v>0.52</v>
      </c>
      <c r="O1347">
        <v>0</v>
      </c>
      <c r="P1347">
        <v>0</v>
      </c>
      <c r="Q1347" t="s">
        <v>108</v>
      </c>
    </row>
    <row r="1348" spans="1:17">
      <c r="A1348" t="s">
        <v>93</v>
      </c>
      <c r="B1348" t="s">
        <v>106</v>
      </c>
      <c r="C1348" t="s">
        <v>56</v>
      </c>
      <c r="D1348" t="s">
        <v>1131</v>
      </c>
      <c r="E1348">
        <v>16</v>
      </c>
      <c r="F1348" t="str">
        <f>VLOOKUP(E1348,[1]LOJA!$A:$B,2,0)</f>
        <v>AG LINDAS</v>
      </c>
      <c r="G1348" t="s">
        <v>19</v>
      </c>
      <c r="H1348" t="s">
        <v>19</v>
      </c>
      <c r="I1348" s="1">
        <v>46027</v>
      </c>
      <c r="J1348" s="1">
        <v>46027</v>
      </c>
      <c r="K1348" s="1">
        <v>46027</v>
      </c>
      <c r="L1348">
        <v>37</v>
      </c>
      <c r="M1348">
        <v>0.47</v>
      </c>
      <c r="N1348">
        <v>0.47</v>
      </c>
      <c r="O1348">
        <v>0</v>
      </c>
      <c r="P1348">
        <v>0</v>
      </c>
      <c r="Q1348" t="s">
        <v>108</v>
      </c>
    </row>
    <row r="1349" spans="1:17">
      <c r="A1349" t="s">
        <v>93</v>
      </c>
      <c r="B1349" t="s">
        <v>106</v>
      </c>
      <c r="C1349" t="s">
        <v>56</v>
      </c>
      <c r="D1349" t="s">
        <v>1132</v>
      </c>
      <c r="E1349">
        <v>16</v>
      </c>
      <c r="F1349" t="str">
        <f>VLOOKUP(E1349,[1]LOJA!$A:$B,2,0)</f>
        <v>AG LINDAS</v>
      </c>
      <c r="G1349" t="s">
        <v>19</v>
      </c>
      <c r="H1349" t="s">
        <v>19</v>
      </c>
      <c r="I1349" s="1">
        <v>46027</v>
      </c>
      <c r="J1349" s="1">
        <v>46027</v>
      </c>
      <c r="K1349" s="1">
        <v>46027</v>
      </c>
      <c r="L1349">
        <v>37</v>
      </c>
      <c r="M1349">
        <v>0.46</v>
      </c>
      <c r="N1349">
        <v>0.46</v>
      </c>
      <c r="O1349">
        <v>0</v>
      </c>
      <c r="P1349">
        <v>0</v>
      </c>
      <c r="Q1349" t="s">
        <v>108</v>
      </c>
    </row>
    <row r="1350" spans="1:17">
      <c r="A1350" t="s">
        <v>93</v>
      </c>
      <c r="B1350" t="s">
        <v>106</v>
      </c>
      <c r="C1350" t="s">
        <v>56</v>
      </c>
      <c r="D1350" t="s">
        <v>1133</v>
      </c>
      <c r="E1350">
        <v>16</v>
      </c>
      <c r="F1350" t="str">
        <f>VLOOKUP(E1350,[1]LOJA!$A:$B,2,0)</f>
        <v>AG LINDAS</v>
      </c>
      <c r="G1350" t="s">
        <v>19</v>
      </c>
      <c r="H1350" t="s">
        <v>19</v>
      </c>
      <c r="I1350" s="1">
        <v>46027</v>
      </c>
      <c r="J1350" s="1">
        <v>46027</v>
      </c>
      <c r="K1350" s="1">
        <v>46027</v>
      </c>
      <c r="L1350">
        <v>37</v>
      </c>
      <c r="M1350">
        <v>5.34</v>
      </c>
      <c r="N1350">
        <v>5.34</v>
      </c>
      <c r="O1350">
        <v>0</v>
      </c>
      <c r="P1350">
        <v>0</v>
      </c>
      <c r="Q1350" t="s">
        <v>108</v>
      </c>
    </row>
    <row r="1351" spans="1:17">
      <c r="A1351" t="s">
        <v>93</v>
      </c>
      <c r="B1351" t="s">
        <v>106</v>
      </c>
      <c r="C1351" t="s">
        <v>56</v>
      </c>
      <c r="D1351" t="s">
        <v>1134</v>
      </c>
      <c r="E1351">
        <v>16</v>
      </c>
      <c r="F1351" t="str">
        <f>VLOOKUP(E1351,[1]LOJA!$A:$B,2,0)</f>
        <v>AG LINDAS</v>
      </c>
      <c r="G1351" t="s">
        <v>19</v>
      </c>
      <c r="H1351" t="s">
        <v>19</v>
      </c>
      <c r="I1351" s="1">
        <v>46027</v>
      </c>
      <c r="J1351" s="1">
        <v>46027</v>
      </c>
      <c r="K1351" s="1">
        <v>46027</v>
      </c>
      <c r="L1351">
        <v>37</v>
      </c>
      <c r="M1351">
        <v>0.7</v>
      </c>
      <c r="N1351">
        <v>0.7</v>
      </c>
      <c r="O1351">
        <v>0</v>
      </c>
      <c r="P1351">
        <v>0</v>
      </c>
      <c r="Q1351" t="s">
        <v>108</v>
      </c>
    </row>
    <row r="1352" spans="1:17">
      <c r="A1352" t="s">
        <v>93</v>
      </c>
      <c r="B1352" t="s">
        <v>106</v>
      </c>
      <c r="C1352" t="s">
        <v>56</v>
      </c>
      <c r="D1352" t="s">
        <v>1135</v>
      </c>
      <c r="E1352">
        <v>16</v>
      </c>
      <c r="F1352" t="str">
        <f>VLOOKUP(E1352,[1]LOJA!$A:$B,2,0)</f>
        <v>AG LINDAS</v>
      </c>
      <c r="G1352" t="s">
        <v>19</v>
      </c>
      <c r="H1352" t="s">
        <v>19</v>
      </c>
      <c r="I1352" s="1">
        <v>46027</v>
      </c>
      <c r="J1352" s="1">
        <v>46027</v>
      </c>
      <c r="K1352" s="1">
        <v>46027</v>
      </c>
      <c r="L1352">
        <v>37</v>
      </c>
      <c r="M1352">
        <v>1.3</v>
      </c>
      <c r="N1352">
        <v>1.3</v>
      </c>
      <c r="O1352">
        <v>0</v>
      </c>
      <c r="P1352">
        <v>0</v>
      </c>
      <c r="Q1352" t="s">
        <v>108</v>
      </c>
    </row>
    <row r="1353" spans="1:17">
      <c r="A1353" t="s">
        <v>93</v>
      </c>
      <c r="B1353" t="s">
        <v>106</v>
      </c>
      <c r="C1353" t="s">
        <v>56</v>
      </c>
      <c r="D1353" t="s">
        <v>1136</v>
      </c>
      <c r="E1353">
        <v>16</v>
      </c>
      <c r="F1353" t="str">
        <f>VLOOKUP(E1353,[1]LOJA!$A:$B,2,0)</f>
        <v>AG LINDAS</v>
      </c>
      <c r="G1353" t="s">
        <v>19</v>
      </c>
      <c r="H1353" t="s">
        <v>19</v>
      </c>
      <c r="I1353" s="1">
        <v>46027</v>
      </c>
      <c r="J1353" s="1">
        <v>46025</v>
      </c>
      <c r="K1353" s="1">
        <v>46027</v>
      </c>
      <c r="L1353">
        <v>37</v>
      </c>
      <c r="M1353">
        <v>0.22</v>
      </c>
      <c r="N1353">
        <v>0.22</v>
      </c>
      <c r="O1353">
        <v>0</v>
      </c>
      <c r="P1353">
        <v>0</v>
      </c>
      <c r="Q1353" t="s">
        <v>108</v>
      </c>
    </row>
    <row r="1354" spans="1:17">
      <c r="A1354" t="s">
        <v>93</v>
      </c>
      <c r="B1354" t="s">
        <v>106</v>
      </c>
      <c r="C1354" t="s">
        <v>56</v>
      </c>
      <c r="D1354" t="s">
        <v>1137</v>
      </c>
      <c r="E1354">
        <v>16</v>
      </c>
      <c r="F1354" t="str">
        <f>VLOOKUP(E1354,[1]LOJA!$A:$B,2,0)</f>
        <v>AG LINDAS</v>
      </c>
      <c r="G1354" t="s">
        <v>19</v>
      </c>
      <c r="H1354" t="s">
        <v>19</v>
      </c>
      <c r="I1354" s="1">
        <v>46027</v>
      </c>
      <c r="J1354" s="1">
        <v>46025</v>
      </c>
      <c r="K1354" s="1">
        <v>46027</v>
      </c>
      <c r="L1354">
        <v>37</v>
      </c>
      <c r="M1354">
        <v>0.16</v>
      </c>
      <c r="N1354">
        <v>0.16</v>
      </c>
      <c r="O1354">
        <v>0</v>
      </c>
      <c r="P1354">
        <v>0</v>
      </c>
      <c r="Q1354" t="s">
        <v>108</v>
      </c>
    </row>
    <row r="1355" spans="1:17">
      <c r="A1355" t="s">
        <v>93</v>
      </c>
      <c r="B1355" t="s">
        <v>106</v>
      </c>
      <c r="C1355" t="s">
        <v>56</v>
      </c>
      <c r="D1355" t="s">
        <v>1138</v>
      </c>
      <c r="E1355">
        <v>16</v>
      </c>
      <c r="F1355" t="str">
        <f>VLOOKUP(E1355,[1]LOJA!$A:$B,2,0)</f>
        <v>AG LINDAS</v>
      </c>
      <c r="G1355" t="s">
        <v>19</v>
      </c>
      <c r="H1355" t="s">
        <v>19</v>
      </c>
      <c r="I1355" s="1">
        <v>46027</v>
      </c>
      <c r="J1355" s="1">
        <v>46025</v>
      </c>
      <c r="K1355" s="1">
        <v>46027</v>
      </c>
      <c r="L1355">
        <v>37</v>
      </c>
      <c r="M1355">
        <v>0.54</v>
      </c>
      <c r="N1355">
        <v>0.54</v>
      </c>
      <c r="O1355">
        <v>0</v>
      </c>
      <c r="P1355">
        <v>0</v>
      </c>
      <c r="Q1355" t="s">
        <v>108</v>
      </c>
    </row>
    <row r="1356" spans="1:17">
      <c r="A1356" t="s">
        <v>93</v>
      </c>
      <c r="B1356" t="s">
        <v>106</v>
      </c>
      <c r="C1356" t="s">
        <v>56</v>
      </c>
      <c r="D1356" t="s">
        <v>1139</v>
      </c>
      <c r="E1356">
        <v>16</v>
      </c>
      <c r="F1356" t="str">
        <f>VLOOKUP(E1356,[1]LOJA!$A:$B,2,0)</f>
        <v>AG LINDAS</v>
      </c>
      <c r="G1356" t="s">
        <v>19</v>
      </c>
      <c r="H1356" t="s">
        <v>19</v>
      </c>
      <c r="I1356" s="1">
        <v>46027</v>
      </c>
      <c r="J1356" s="1">
        <v>46025</v>
      </c>
      <c r="K1356" s="1">
        <v>46027</v>
      </c>
      <c r="L1356">
        <v>37</v>
      </c>
      <c r="M1356">
        <v>0.52</v>
      </c>
      <c r="N1356">
        <v>0.52</v>
      </c>
      <c r="O1356">
        <v>0</v>
      </c>
      <c r="P1356">
        <v>0</v>
      </c>
      <c r="Q1356" t="s">
        <v>108</v>
      </c>
    </row>
    <row r="1357" spans="1:17">
      <c r="A1357" t="s">
        <v>93</v>
      </c>
      <c r="B1357" t="s">
        <v>106</v>
      </c>
      <c r="C1357" t="s">
        <v>56</v>
      </c>
      <c r="D1357" t="s">
        <v>1140</v>
      </c>
      <c r="E1357">
        <v>16</v>
      </c>
      <c r="F1357" t="str">
        <f>VLOOKUP(E1357,[1]LOJA!$A:$B,2,0)</f>
        <v>AG LINDAS</v>
      </c>
      <c r="G1357" t="s">
        <v>19</v>
      </c>
      <c r="H1357" t="s">
        <v>19</v>
      </c>
      <c r="I1357" s="1">
        <v>46027</v>
      </c>
      <c r="J1357" s="1">
        <v>46026</v>
      </c>
      <c r="K1357" s="1">
        <v>46027</v>
      </c>
      <c r="L1357">
        <v>37</v>
      </c>
      <c r="M1357">
        <v>0.53</v>
      </c>
      <c r="N1357">
        <v>0.53</v>
      </c>
      <c r="O1357">
        <v>0</v>
      </c>
      <c r="P1357">
        <v>0</v>
      </c>
      <c r="Q1357" t="s">
        <v>108</v>
      </c>
    </row>
    <row r="1358" spans="1:17">
      <c r="A1358" t="s">
        <v>93</v>
      </c>
      <c r="B1358" t="s">
        <v>106</v>
      </c>
      <c r="C1358" t="s">
        <v>56</v>
      </c>
      <c r="D1358" t="s">
        <v>1141</v>
      </c>
      <c r="E1358">
        <v>16</v>
      </c>
      <c r="F1358" t="str">
        <f>VLOOKUP(E1358,[1]LOJA!$A:$B,2,0)</f>
        <v>AG LINDAS</v>
      </c>
      <c r="G1358" t="s">
        <v>19</v>
      </c>
      <c r="H1358" t="s">
        <v>19</v>
      </c>
      <c r="I1358" s="1">
        <v>46027</v>
      </c>
      <c r="J1358" s="1">
        <v>46026</v>
      </c>
      <c r="K1358" s="1">
        <v>46027</v>
      </c>
      <c r="L1358">
        <v>37</v>
      </c>
      <c r="M1358">
        <v>0.21</v>
      </c>
      <c r="N1358">
        <v>0.21</v>
      </c>
      <c r="O1358">
        <v>0</v>
      </c>
      <c r="P1358">
        <v>0</v>
      </c>
      <c r="Q1358" t="s">
        <v>108</v>
      </c>
    </row>
    <row r="1359" spans="1:17">
      <c r="A1359" t="s">
        <v>93</v>
      </c>
      <c r="B1359" t="s">
        <v>106</v>
      </c>
      <c r="C1359" t="s">
        <v>56</v>
      </c>
      <c r="D1359" t="s">
        <v>1142</v>
      </c>
      <c r="E1359">
        <v>16</v>
      </c>
      <c r="F1359" t="str">
        <f>VLOOKUP(E1359,[1]LOJA!$A:$B,2,0)</f>
        <v>AG LINDAS</v>
      </c>
      <c r="G1359" t="s">
        <v>19</v>
      </c>
      <c r="H1359" t="s">
        <v>19</v>
      </c>
      <c r="I1359" s="1">
        <v>46027</v>
      </c>
      <c r="J1359" s="1">
        <v>46026</v>
      </c>
      <c r="K1359" s="1">
        <v>46027</v>
      </c>
      <c r="L1359">
        <v>37</v>
      </c>
      <c r="M1359">
        <v>0.65</v>
      </c>
      <c r="N1359">
        <v>0.65</v>
      </c>
      <c r="O1359">
        <v>0</v>
      </c>
      <c r="P1359">
        <v>0</v>
      </c>
      <c r="Q1359" t="s">
        <v>108</v>
      </c>
    </row>
    <row r="1360" spans="1:17">
      <c r="A1360" t="s">
        <v>93</v>
      </c>
      <c r="B1360" t="s">
        <v>106</v>
      </c>
      <c r="C1360" t="s">
        <v>56</v>
      </c>
      <c r="D1360" t="s">
        <v>1143</v>
      </c>
      <c r="E1360">
        <v>16</v>
      </c>
      <c r="F1360" t="str">
        <f>VLOOKUP(E1360,[1]LOJA!$A:$B,2,0)</f>
        <v>AG LINDAS</v>
      </c>
      <c r="G1360" t="s">
        <v>19</v>
      </c>
      <c r="H1360" t="s">
        <v>19</v>
      </c>
      <c r="I1360" s="1">
        <v>46027</v>
      </c>
      <c r="J1360" s="1">
        <v>46026</v>
      </c>
      <c r="K1360" s="1">
        <v>46027</v>
      </c>
      <c r="L1360">
        <v>37</v>
      </c>
      <c r="M1360">
        <v>0.66</v>
      </c>
      <c r="N1360">
        <v>0.66</v>
      </c>
      <c r="O1360">
        <v>0</v>
      </c>
      <c r="P1360">
        <v>0</v>
      </c>
      <c r="Q1360" t="s">
        <v>108</v>
      </c>
    </row>
    <row r="1361" spans="1:17">
      <c r="A1361" t="s">
        <v>93</v>
      </c>
      <c r="B1361" t="s">
        <v>106</v>
      </c>
      <c r="C1361" t="s">
        <v>56</v>
      </c>
      <c r="D1361" t="s">
        <v>1144</v>
      </c>
      <c r="E1361">
        <v>16</v>
      </c>
      <c r="F1361" t="str">
        <f>VLOOKUP(E1361,[1]LOJA!$A:$B,2,0)</f>
        <v>AG LINDAS</v>
      </c>
      <c r="G1361" t="s">
        <v>19</v>
      </c>
      <c r="H1361" t="s">
        <v>19</v>
      </c>
      <c r="I1361" s="1">
        <v>46028</v>
      </c>
      <c r="J1361" s="1">
        <v>46028</v>
      </c>
      <c r="K1361" s="1">
        <v>46028</v>
      </c>
      <c r="L1361">
        <v>37</v>
      </c>
      <c r="M1361">
        <v>2.4900000000000002</v>
      </c>
      <c r="N1361">
        <v>2.4900000000000002</v>
      </c>
      <c r="O1361">
        <v>0</v>
      </c>
      <c r="P1361">
        <v>0</v>
      </c>
      <c r="Q1361" t="s">
        <v>108</v>
      </c>
    </row>
    <row r="1362" spans="1:17">
      <c r="A1362" t="s">
        <v>93</v>
      </c>
      <c r="B1362" t="s">
        <v>106</v>
      </c>
      <c r="C1362" t="s">
        <v>56</v>
      </c>
      <c r="D1362" t="s">
        <v>1145</v>
      </c>
      <c r="E1362">
        <v>16</v>
      </c>
      <c r="F1362" t="str">
        <f>VLOOKUP(E1362,[1]LOJA!$A:$B,2,0)</f>
        <v>AG LINDAS</v>
      </c>
      <c r="G1362" t="s">
        <v>19</v>
      </c>
      <c r="H1362" t="s">
        <v>19</v>
      </c>
      <c r="I1362" s="1">
        <v>46028</v>
      </c>
      <c r="J1362" s="1">
        <v>46028</v>
      </c>
      <c r="K1362" s="1">
        <v>46028</v>
      </c>
      <c r="L1362">
        <v>37</v>
      </c>
      <c r="M1362">
        <v>0.42</v>
      </c>
      <c r="N1362">
        <v>0.42</v>
      </c>
      <c r="O1362">
        <v>0</v>
      </c>
      <c r="P1362">
        <v>0</v>
      </c>
      <c r="Q1362" t="s">
        <v>108</v>
      </c>
    </row>
    <row r="1363" spans="1:17">
      <c r="A1363" t="s">
        <v>93</v>
      </c>
      <c r="B1363" t="s">
        <v>106</v>
      </c>
      <c r="C1363" t="s">
        <v>56</v>
      </c>
      <c r="D1363" t="s">
        <v>1146</v>
      </c>
      <c r="E1363">
        <v>16</v>
      </c>
      <c r="F1363" t="str">
        <f>VLOOKUP(E1363,[1]LOJA!$A:$B,2,0)</f>
        <v>AG LINDAS</v>
      </c>
      <c r="G1363" t="s">
        <v>19</v>
      </c>
      <c r="H1363" t="s">
        <v>19</v>
      </c>
      <c r="I1363" s="1">
        <v>46028</v>
      </c>
      <c r="J1363" s="1">
        <v>46028</v>
      </c>
      <c r="K1363" s="1">
        <v>46028</v>
      </c>
      <c r="L1363">
        <v>37</v>
      </c>
      <c r="M1363">
        <v>1.91</v>
      </c>
      <c r="N1363">
        <v>1.91</v>
      </c>
      <c r="O1363">
        <v>0</v>
      </c>
      <c r="P1363">
        <v>0</v>
      </c>
      <c r="Q1363" t="s">
        <v>108</v>
      </c>
    </row>
    <row r="1364" spans="1:17">
      <c r="A1364" t="s">
        <v>93</v>
      </c>
      <c r="B1364" t="s">
        <v>106</v>
      </c>
      <c r="C1364" t="s">
        <v>56</v>
      </c>
      <c r="D1364" t="s">
        <v>1147</v>
      </c>
      <c r="E1364">
        <v>16</v>
      </c>
      <c r="F1364" t="str">
        <f>VLOOKUP(E1364,[1]LOJA!$A:$B,2,0)</f>
        <v>AG LINDAS</v>
      </c>
      <c r="G1364" t="s">
        <v>19</v>
      </c>
      <c r="H1364" t="s">
        <v>19</v>
      </c>
      <c r="I1364" s="1">
        <v>46028</v>
      </c>
      <c r="J1364" s="1">
        <v>46028</v>
      </c>
      <c r="K1364" s="1">
        <v>46028</v>
      </c>
      <c r="L1364">
        <v>37</v>
      </c>
      <c r="M1364">
        <v>0.21</v>
      </c>
      <c r="N1364">
        <v>0.21</v>
      </c>
      <c r="O1364">
        <v>0</v>
      </c>
      <c r="P1364">
        <v>0</v>
      </c>
      <c r="Q1364" t="s">
        <v>108</v>
      </c>
    </row>
    <row r="1365" spans="1:17">
      <c r="A1365" t="s">
        <v>93</v>
      </c>
      <c r="B1365" t="s">
        <v>106</v>
      </c>
      <c r="C1365" t="s">
        <v>56</v>
      </c>
      <c r="D1365" t="s">
        <v>1148</v>
      </c>
      <c r="E1365">
        <v>16</v>
      </c>
      <c r="F1365" t="str">
        <f>VLOOKUP(E1365,[1]LOJA!$A:$B,2,0)</f>
        <v>AG LINDAS</v>
      </c>
      <c r="G1365" t="s">
        <v>19</v>
      </c>
      <c r="H1365" t="s">
        <v>19</v>
      </c>
      <c r="I1365" s="1">
        <v>46028</v>
      </c>
      <c r="J1365" s="1">
        <v>46028</v>
      </c>
      <c r="K1365" s="1">
        <v>46028</v>
      </c>
      <c r="L1365">
        <v>37</v>
      </c>
      <c r="M1365">
        <v>0.05</v>
      </c>
      <c r="N1365">
        <v>0.05</v>
      </c>
      <c r="O1365">
        <v>0</v>
      </c>
      <c r="P1365">
        <v>0</v>
      </c>
      <c r="Q1365" t="s">
        <v>108</v>
      </c>
    </row>
    <row r="1366" spans="1:17">
      <c r="A1366" t="s">
        <v>93</v>
      </c>
      <c r="B1366" t="s">
        <v>106</v>
      </c>
      <c r="C1366" t="s">
        <v>56</v>
      </c>
      <c r="D1366" t="s">
        <v>1149</v>
      </c>
      <c r="E1366">
        <v>16</v>
      </c>
      <c r="F1366" t="str">
        <f>VLOOKUP(E1366,[1]LOJA!$A:$B,2,0)</f>
        <v>AG LINDAS</v>
      </c>
      <c r="G1366" t="s">
        <v>19</v>
      </c>
      <c r="H1366" t="s">
        <v>19</v>
      </c>
      <c r="I1366" s="1">
        <v>46028</v>
      </c>
      <c r="J1366" s="1">
        <v>46028</v>
      </c>
      <c r="K1366" s="1">
        <v>46028</v>
      </c>
      <c r="L1366">
        <v>37</v>
      </c>
      <c r="M1366">
        <v>0.13</v>
      </c>
      <c r="N1366">
        <v>0.13</v>
      </c>
      <c r="O1366">
        <v>0</v>
      </c>
      <c r="P1366">
        <v>0</v>
      </c>
      <c r="Q1366" t="s">
        <v>108</v>
      </c>
    </row>
    <row r="1367" spans="1:17">
      <c r="A1367" t="s">
        <v>93</v>
      </c>
      <c r="B1367" t="s">
        <v>106</v>
      </c>
      <c r="C1367" t="s">
        <v>56</v>
      </c>
      <c r="D1367" t="s">
        <v>1150</v>
      </c>
      <c r="E1367">
        <v>16</v>
      </c>
      <c r="F1367" t="str">
        <f>VLOOKUP(E1367,[1]LOJA!$A:$B,2,0)</f>
        <v>AG LINDAS</v>
      </c>
      <c r="G1367" t="s">
        <v>19</v>
      </c>
      <c r="H1367" t="s">
        <v>19</v>
      </c>
      <c r="I1367" s="1">
        <v>46029</v>
      </c>
      <c r="J1367" s="1">
        <v>46029</v>
      </c>
      <c r="K1367" s="1">
        <v>46029</v>
      </c>
      <c r="L1367">
        <v>37</v>
      </c>
      <c r="M1367">
        <v>3.13</v>
      </c>
      <c r="N1367">
        <v>3.13</v>
      </c>
      <c r="O1367">
        <v>0</v>
      </c>
      <c r="P1367">
        <v>0</v>
      </c>
      <c r="Q1367" t="s">
        <v>108</v>
      </c>
    </row>
    <row r="1368" spans="1:17">
      <c r="A1368" t="s">
        <v>93</v>
      </c>
      <c r="B1368" t="s">
        <v>106</v>
      </c>
      <c r="C1368" t="s">
        <v>56</v>
      </c>
      <c r="D1368" t="s">
        <v>1151</v>
      </c>
      <c r="E1368">
        <v>16</v>
      </c>
      <c r="F1368" t="str">
        <f>VLOOKUP(E1368,[1]LOJA!$A:$B,2,0)</f>
        <v>AG LINDAS</v>
      </c>
      <c r="G1368" t="s">
        <v>19</v>
      </c>
      <c r="H1368" t="s">
        <v>19</v>
      </c>
      <c r="I1368" s="1">
        <v>46029</v>
      </c>
      <c r="J1368" s="1">
        <v>46029</v>
      </c>
      <c r="K1368" s="1">
        <v>46029</v>
      </c>
      <c r="L1368">
        <v>37</v>
      </c>
      <c r="M1368">
        <v>0.31</v>
      </c>
      <c r="N1368">
        <v>0.31</v>
      </c>
      <c r="O1368">
        <v>0</v>
      </c>
      <c r="P1368">
        <v>0</v>
      </c>
      <c r="Q1368" t="s">
        <v>108</v>
      </c>
    </row>
    <row r="1369" spans="1:17">
      <c r="A1369" t="s">
        <v>93</v>
      </c>
      <c r="B1369" t="s">
        <v>106</v>
      </c>
      <c r="C1369" t="s">
        <v>56</v>
      </c>
      <c r="D1369" t="s">
        <v>1152</v>
      </c>
      <c r="E1369">
        <v>16</v>
      </c>
      <c r="F1369" t="str">
        <f>VLOOKUP(E1369,[1]LOJA!$A:$B,2,0)</f>
        <v>AG LINDAS</v>
      </c>
      <c r="G1369" t="s">
        <v>19</v>
      </c>
      <c r="H1369" t="s">
        <v>19</v>
      </c>
      <c r="I1369" s="1">
        <v>46029</v>
      </c>
      <c r="J1369" s="1">
        <v>46029</v>
      </c>
      <c r="K1369" s="1">
        <v>46029</v>
      </c>
      <c r="L1369">
        <v>37</v>
      </c>
      <c r="M1369">
        <v>0.01</v>
      </c>
      <c r="N1369">
        <v>0.01</v>
      </c>
      <c r="O1369">
        <v>0</v>
      </c>
      <c r="P1369">
        <v>0</v>
      </c>
      <c r="Q1369" t="s">
        <v>108</v>
      </c>
    </row>
    <row r="1370" spans="1:17">
      <c r="A1370" t="s">
        <v>93</v>
      </c>
      <c r="B1370" t="s">
        <v>106</v>
      </c>
      <c r="C1370" t="s">
        <v>56</v>
      </c>
      <c r="D1370" t="s">
        <v>1153</v>
      </c>
      <c r="E1370">
        <v>16</v>
      </c>
      <c r="F1370" t="str">
        <f>VLOOKUP(E1370,[1]LOJA!$A:$B,2,0)</f>
        <v>AG LINDAS</v>
      </c>
      <c r="G1370" t="s">
        <v>19</v>
      </c>
      <c r="H1370" t="s">
        <v>19</v>
      </c>
      <c r="I1370" s="1">
        <v>46029</v>
      </c>
      <c r="J1370" s="1">
        <v>46029</v>
      </c>
      <c r="K1370" s="1">
        <v>46029</v>
      </c>
      <c r="L1370">
        <v>37</v>
      </c>
      <c r="M1370">
        <v>3.68</v>
      </c>
      <c r="N1370">
        <v>3.68</v>
      </c>
      <c r="O1370">
        <v>0</v>
      </c>
      <c r="P1370">
        <v>0</v>
      </c>
      <c r="Q1370" t="s">
        <v>108</v>
      </c>
    </row>
    <row r="1371" spans="1:17">
      <c r="A1371" t="s">
        <v>93</v>
      </c>
      <c r="B1371" t="s">
        <v>106</v>
      </c>
      <c r="C1371" t="s">
        <v>56</v>
      </c>
      <c r="D1371" t="s">
        <v>1154</v>
      </c>
      <c r="E1371">
        <v>16</v>
      </c>
      <c r="F1371" t="str">
        <f>VLOOKUP(E1371,[1]LOJA!$A:$B,2,0)</f>
        <v>AG LINDAS</v>
      </c>
      <c r="G1371" t="s">
        <v>19</v>
      </c>
      <c r="H1371" t="s">
        <v>19</v>
      </c>
      <c r="I1371" s="1">
        <v>46029</v>
      </c>
      <c r="J1371" s="1">
        <v>46029</v>
      </c>
      <c r="K1371" s="1">
        <v>46029</v>
      </c>
      <c r="L1371">
        <v>37</v>
      </c>
      <c r="M1371">
        <v>0.56000000000000005</v>
      </c>
      <c r="N1371">
        <v>0.56000000000000005</v>
      </c>
      <c r="O1371">
        <v>0</v>
      </c>
      <c r="P1371">
        <v>0</v>
      </c>
      <c r="Q1371" t="s">
        <v>108</v>
      </c>
    </row>
    <row r="1372" spans="1:17">
      <c r="A1372" t="s">
        <v>93</v>
      </c>
      <c r="B1372" t="s">
        <v>106</v>
      </c>
      <c r="C1372" t="s">
        <v>56</v>
      </c>
      <c r="D1372" t="s">
        <v>1155</v>
      </c>
      <c r="E1372">
        <v>16</v>
      </c>
      <c r="F1372" t="str">
        <f>VLOOKUP(E1372,[1]LOJA!$A:$B,2,0)</f>
        <v>AG LINDAS</v>
      </c>
      <c r="G1372" t="s">
        <v>19</v>
      </c>
      <c r="H1372" t="s">
        <v>19</v>
      </c>
      <c r="I1372" s="1">
        <v>46029</v>
      </c>
      <c r="J1372" s="1">
        <v>46029</v>
      </c>
      <c r="K1372" s="1">
        <v>46029</v>
      </c>
      <c r="L1372">
        <v>37</v>
      </c>
      <c r="M1372">
        <v>0.98</v>
      </c>
      <c r="N1372">
        <v>0.98</v>
      </c>
      <c r="O1372">
        <v>0</v>
      </c>
      <c r="P1372">
        <v>0</v>
      </c>
      <c r="Q1372" t="s">
        <v>108</v>
      </c>
    </row>
    <row r="1373" spans="1:17">
      <c r="A1373" t="s">
        <v>93</v>
      </c>
      <c r="B1373" t="s">
        <v>106</v>
      </c>
      <c r="C1373" t="s">
        <v>56</v>
      </c>
      <c r="D1373" t="s">
        <v>1156</v>
      </c>
      <c r="E1373">
        <v>16</v>
      </c>
      <c r="F1373" t="str">
        <f>VLOOKUP(E1373,[1]LOJA!$A:$B,2,0)</f>
        <v>AG LINDAS</v>
      </c>
      <c r="G1373" t="s">
        <v>19</v>
      </c>
      <c r="H1373" t="s">
        <v>19</v>
      </c>
      <c r="I1373" s="1">
        <v>46029</v>
      </c>
      <c r="J1373" s="1">
        <v>46029</v>
      </c>
      <c r="K1373" s="1">
        <v>46029</v>
      </c>
      <c r="L1373">
        <v>37</v>
      </c>
      <c r="M1373">
        <v>1.78</v>
      </c>
      <c r="N1373">
        <v>1.78</v>
      </c>
      <c r="O1373">
        <v>0</v>
      </c>
      <c r="P1373">
        <v>0</v>
      </c>
      <c r="Q1373" t="s">
        <v>108</v>
      </c>
    </row>
    <row r="1374" spans="1:17">
      <c r="A1374" t="s">
        <v>93</v>
      </c>
      <c r="B1374" t="s">
        <v>106</v>
      </c>
      <c r="C1374" t="s">
        <v>56</v>
      </c>
      <c r="D1374" t="s">
        <v>1157</v>
      </c>
      <c r="E1374">
        <v>16</v>
      </c>
      <c r="F1374" t="str">
        <f>VLOOKUP(E1374,[1]LOJA!$A:$B,2,0)</f>
        <v>AG LINDAS</v>
      </c>
      <c r="G1374" t="s">
        <v>19</v>
      </c>
      <c r="H1374" t="s">
        <v>19</v>
      </c>
      <c r="I1374" s="1">
        <v>46029</v>
      </c>
      <c r="J1374" s="1">
        <v>46029</v>
      </c>
      <c r="K1374" s="1">
        <v>46029</v>
      </c>
      <c r="L1374">
        <v>37</v>
      </c>
      <c r="M1374">
        <v>0.18</v>
      </c>
      <c r="N1374">
        <v>0.18</v>
      </c>
      <c r="O1374">
        <v>0</v>
      </c>
      <c r="P1374">
        <v>0</v>
      </c>
      <c r="Q1374" t="s">
        <v>108</v>
      </c>
    </row>
    <row r="1375" spans="1:17">
      <c r="A1375" t="s">
        <v>93</v>
      </c>
      <c r="B1375" t="s">
        <v>106</v>
      </c>
      <c r="C1375" t="s">
        <v>56</v>
      </c>
      <c r="D1375" t="s">
        <v>1158</v>
      </c>
      <c r="E1375">
        <v>16</v>
      </c>
      <c r="F1375" t="str">
        <f>VLOOKUP(E1375,[1]LOJA!$A:$B,2,0)</f>
        <v>AG LINDAS</v>
      </c>
      <c r="G1375" t="s">
        <v>19</v>
      </c>
      <c r="H1375" t="s">
        <v>19</v>
      </c>
      <c r="I1375" s="1">
        <v>46029</v>
      </c>
      <c r="J1375" s="1">
        <v>46029</v>
      </c>
      <c r="K1375" s="1">
        <v>46029</v>
      </c>
      <c r="L1375">
        <v>37</v>
      </c>
      <c r="M1375">
        <v>0.45</v>
      </c>
      <c r="N1375">
        <v>0.45</v>
      </c>
      <c r="O1375">
        <v>0</v>
      </c>
      <c r="P1375">
        <v>0</v>
      </c>
      <c r="Q1375" t="s">
        <v>108</v>
      </c>
    </row>
    <row r="1376" spans="1:17">
      <c r="A1376" t="s">
        <v>93</v>
      </c>
      <c r="B1376" t="s">
        <v>106</v>
      </c>
      <c r="C1376" t="s">
        <v>56</v>
      </c>
      <c r="D1376" t="s">
        <v>1159</v>
      </c>
      <c r="E1376">
        <v>16</v>
      </c>
      <c r="F1376" t="str">
        <f>VLOOKUP(E1376,[1]LOJA!$A:$B,2,0)</f>
        <v>AG LINDAS</v>
      </c>
      <c r="G1376" t="s">
        <v>19</v>
      </c>
      <c r="H1376" t="s">
        <v>19</v>
      </c>
      <c r="I1376" s="1">
        <v>46029</v>
      </c>
      <c r="J1376" s="1">
        <v>46029</v>
      </c>
      <c r="K1376" s="1">
        <v>46029</v>
      </c>
      <c r="L1376">
        <v>37</v>
      </c>
      <c r="M1376">
        <v>3.07</v>
      </c>
      <c r="N1376">
        <v>3.07</v>
      </c>
      <c r="O1376">
        <v>0</v>
      </c>
      <c r="P1376">
        <v>0</v>
      </c>
      <c r="Q1376" t="s">
        <v>108</v>
      </c>
    </row>
    <row r="1377" spans="1:17">
      <c r="A1377" t="s">
        <v>93</v>
      </c>
      <c r="B1377" t="s">
        <v>106</v>
      </c>
      <c r="C1377" t="s">
        <v>56</v>
      </c>
      <c r="D1377" t="s">
        <v>1160</v>
      </c>
      <c r="E1377">
        <v>16</v>
      </c>
      <c r="F1377" t="str">
        <f>VLOOKUP(E1377,[1]LOJA!$A:$B,2,0)</f>
        <v>AG LINDAS</v>
      </c>
      <c r="G1377" t="s">
        <v>19</v>
      </c>
      <c r="H1377" t="s">
        <v>19</v>
      </c>
      <c r="I1377" s="1">
        <v>46029</v>
      </c>
      <c r="J1377" s="1">
        <v>46029</v>
      </c>
      <c r="K1377" s="1">
        <v>46029</v>
      </c>
      <c r="L1377">
        <v>37</v>
      </c>
      <c r="M1377">
        <v>0.85</v>
      </c>
      <c r="N1377">
        <v>0.85</v>
      </c>
      <c r="O1377">
        <v>0</v>
      </c>
      <c r="P1377">
        <v>0</v>
      </c>
      <c r="Q1377" t="s">
        <v>108</v>
      </c>
    </row>
    <row r="1378" spans="1:17">
      <c r="A1378" t="s">
        <v>93</v>
      </c>
      <c r="B1378" t="s">
        <v>106</v>
      </c>
      <c r="C1378" t="s">
        <v>56</v>
      </c>
      <c r="D1378" t="s">
        <v>1161</v>
      </c>
      <c r="E1378">
        <v>16</v>
      </c>
      <c r="F1378" t="str">
        <f>VLOOKUP(E1378,[1]LOJA!$A:$B,2,0)</f>
        <v>AG LINDAS</v>
      </c>
      <c r="G1378" t="s">
        <v>19</v>
      </c>
      <c r="H1378" t="s">
        <v>19</v>
      </c>
      <c r="I1378" s="1">
        <v>46029</v>
      </c>
      <c r="J1378" s="1">
        <v>46029</v>
      </c>
      <c r="K1378" s="1">
        <v>46029</v>
      </c>
      <c r="L1378">
        <v>37</v>
      </c>
      <c r="M1378">
        <v>0.45</v>
      </c>
      <c r="N1378">
        <v>0.45</v>
      </c>
      <c r="O1378">
        <v>0</v>
      </c>
      <c r="P1378">
        <v>0</v>
      </c>
      <c r="Q1378" t="s">
        <v>108</v>
      </c>
    </row>
    <row r="1379" spans="1:17">
      <c r="A1379" t="s">
        <v>93</v>
      </c>
      <c r="B1379" t="s">
        <v>106</v>
      </c>
      <c r="C1379" t="s">
        <v>56</v>
      </c>
      <c r="D1379" t="s">
        <v>1162</v>
      </c>
      <c r="E1379">
        <v>16</v>
      </c>
      <c r="F1379" t="str">
        <f>VLOOKUP(E1379,[1]LOJA!$A:$B,2,0)</f>
        <v>AG LINDAS</v>
      </c>
      <c r="G1379" t="s">
        <v>19</v>
      </c>
      <c r="H1379" t="s">
        <v>19</v>
      </c>
      <c r="I1379" s="1">
        <v>46030</v>
      </c>
      <c r="J1379" s="1">
        <v>46030</v>
      </c>
      <c r="K1379" s="1">
        <v>46030</v>
      </c>
      <c r="L1379">
        <v>37</v>
      </c>
      <c r="M1379">
        <v>4.38</v>
      </c>
      <c r="N1379">
        <v>4.38</v>
      </c>
      <c r="O1379">
        <v>0</v>
      </c>
      <c r="P1379">
        <v>0</v>
      </c>
      <c r="Q1379" t="s">
        <v>108</v>
      </c>
    </row>
    <row r="1380" spans="1:17">
      <c r="A1380" t="s">
        <v>93</v>
      </c>
      <c r="B1380" t="s">
        <v>106</v>
      </c>
      <c r="C1380" t="s">
        <v>56</v>
      </c>
      <c r="D1380" t="s">
        <v>1163</v>
      </c>
      <c r="E1380">
        <v>16</v>
      </c>
      <c r="F1380" t="str">
        <f>VLOOKUP(E1380,[1]LOJA!$A:$B,2,0)</f>
        <v>AG LINDAS</v>
      </c>
      <c r="G1380" t="s">
        <v>19</v>
      </c>
      <c r="H1380" t="s">
        <v>19</v>
      </c>
      <c r="I1380" s="1">
        <v>46030</v>
      </c>
      <c r="J1380" s="1">
        <v>46030</v>
      </c>
      <c r="K1380" s="1">
        <v>46030</v>
      </c>
      <c r="L1380">
        <v>37</v>
      </c>
      <c r="M1380">
        <v>3</v>
      </c>
      <c r="N1380">
        <v>3</v>
      </c>
      <c r="O1380">
        <v>0</v>
      </c>
      <c r="P1380">
        <v>0</v>
      </c>
      <c r="Q1380" t="s">
        <v>108</v>
      </c>
    </row>
    <row r="1381" spans="1:17">
      <c r="A1381" t="s">
        <v>93</v>
      </c>
      <c r="B1381" t="s">
        <v>106</v>
      </c>
      <c r="C1381" t="s">
        <v>56</v>
      </c>
      <c r="D1381" t="s">
        <v>1164</v>
      </c>
      <c r="E1381">
        <v>16</v>
      </c>
      <c r="F1381" t="str">
        <f>VLOOKUP(E1381,[1]LOJA!$A:$B,2,0)</f>
        <v>AG LINDAS</v>
      </c>
      <c r="G1381" t="s">
        <v>19</v>
      </c>
      <c r="H1381" t="s">
        <v>19</v>
      </c>
      <c r="I1381" s="1">
        <v>46030</v>
      </c>
      <c r="J1381" s="1">
        <v>46030</v>
      </c>
      <c r="K1381" s="1">
        <v>46030</v>
      </c>
      <c r="L1381">
        <v>37</v>
      </c>
      <c r="M1381">
        <v>2.23</v>
      </c>
      <c r="N1381">
        <v>2.23</v>
      </c>
      <c r="O1381">
        <v>0</v>
      </c>
      <c r="P1381">
        <v>0</v>
      </c>
      <c r="Q1381" t="s">
        <v>108</v>
      </c>
    </row>
    <row r="1382" spans="1:17">
      <c r="A1382" t="s">
        <v>93</v>
      </c>
      <c r="B1382" t="s">
        <v>106</v>
      </c>
      <c r="C1382" t="s">
        <v>56</v>
      </c>
      <c r="D1382" t="s">
        <v>1165</v>
      </c>
      <c r="E1382">
        <v>16</v>
      </c>
      <c r="F1382" t="str">
        <f>VLOOKUP(E1382,[1]LOJA!$A:$B,2,0)</f>
        <v>AG LINDAS</v>
      </c>
      <c r="G1382" t="s">
        <v>19</v>
      </c>
      <c r="H1382" t="s">
        <v>19</v>
      </c>
      <c r="I1382" s="1">
        <v>46030</v>
      </c>
      <c r="J1382" s="1">
        <v>46030</v>
      </c>
      <c r="K1382" s="1">
        <v>46030</v>
      </c>
      <c r="L1382">
        <v>37</v>
      </c>
      <c r="M1382">
        <v>1.27</v>
      </c>
      <c r="N1382">
        <v>1.27</v>
      </c>
      <c r="O1382">
        <v>0</v>
      </c>
      <c r="P1382">
        <v>0</v>
      </c>
      <c r="Q1382" t="s">
        <v>108</v>
      </c>
    </row>
    <row r="1383" spans="1:17">
      <c r="A1383" t="s">
        <v>93</v>
      </c>
      <c r="B1383" t="s">
        <v>106</v>
      </c>
      <c r="C1383" t="s">
        <v>56</v>
      </c>
      <c r="D1383" t="s">
        <v>1166</v>
      </c>
      <c r="E1383">
        <v>16</v>
      </c>
      <c r="F1383" t="str">
        <f>VLOOKUP(E1383,[1]LOJA!$A:$B,2,0)</f>
        <v>AG LINDAS</v>
      </c>
      <c r="G1383" t="s">
        <v>19</v>
      </c>
      <c r="H1383" t="s">
        <v>19</v>
      </c>
      <c r="I1383" s="1">
        <v>46030</v>
      </c>
      <c r="J1383" s="1">
        <v>46030</v>
      </c>
      <c r="K1383" s="1">
        <v>46030</v>
      </c>
      <c r="L1383">
        <v>37</v>
      </c>
      <c r="M1383">
        <v>0.13</v>
      </c>
      <c r="N1383">
        <v>0.13</v>
      </c>
      <c r="O1383">
        <v>0</v>
      </c>
      <c r="P1383">
        <v>0</v>
      </c>
      <c r="Q1383" t="s">
        <v>108</v>
      </c>
    </row>
    <row r="1384" spans="1:17">
      <c r="A1384" t="s">
        <v>93</v>
      </c>
      <c r="B1384" t="s">
        <v>106</v>
      </c>
      <c r="C1384" t="s">
        <v>56</v>
      </c>
      <c r="D1384" t="s">
        <v>1167</v>
      </c>
      <c r="E1384">
        <v>16</v>
      </c>
      <c r="F1384" t="str">
        <f>VLOOKUP(E1384,[1]LOJA!$A:$B,2,0)</f>
        <v>AG LINDAS</v>
      </c>
      <c r="G1384" t="s">
        <v>19</v>
      </c>
      <c r="H1384" t="s">
        <v>19</v>
      </c>
      <c r="I1384" s="1">
        <v>46030</v>
      </c>
      <c r="J1384" s="1">
        <v>46030</v>
      </c>
      <c r="K1384" s="1">
        <v>46030</v>
      </c>
      <c r="L1384">
        <v>37</v>
      </c>
      <c r="M1384">
        <v>3.87</v>
      </c>
      <c r="N1384">
        <v>3.87</v>
      </c>
      <c r="O1384">
        <v>0</v>
      </c>
      <c r="P1384">
        <v>0</v>
      </c>
      <c r="Q1384" t="s">
        <v>108</v>
      </c>
    </row>
    <row r="1385" spans="1:17">
      <c r="A1385" t="s">
        <v>93</v>
      </c>
      <c r="B1385" t="s">
        <v>106</v>
      </c>
      <c r="C1385" t="s">
        <v>56</v>
      </c>
      <c r="D1385" t="s">
        <v>1168</v>
      </c>
      <c r="E1385">
        <v>16</v>
      </c>
      <c r="F1385" t="str">
        <f>VLOOKUP(E1385,[1]LOJA!$A:$B,2,0)</f>
        <v>AG LINDAS</v>
      </c>
      <c r="G1385" t="s">
        <v>19</v>
      </c>
      <c r="H1385" t="s">
        <v>19</v>
      </c>
      <c r="I1385" s="1">
        <v>46030</v>
      </c>
      <c r="J1385" s="1">
        <v>46030</v>
      </c>
      <c r="K1385" s="1">
        <v>46030</v>
      </c>
      <c r="L1385">
        <v>37</v>
      </c>
      <c r="M1385">
        <v>1.23</v>
      </c>
      <c r="N1385">
        <v>1.23</v>
      </c>
      <c r="O1385">
        <v>0</v>
      </c>
      <c r="P1385">
        <v>0</v>
      </c>
      <c r="Q1385" t="s">
        <v>108</v>
      </c>
    </row>
    <row r="1386" spans="1:17">
      <c r="A1386" t="s">
        <v>93</v>
      </c>
      <c r="B1386" t="s">
        <v>106</v>
      </c>
      <c r="C1386" t="s">
        <v>56</v>
      </c>
      <c r="D1386" t="s">
        <v>1169</v>
      </c>
      <c r="E1386">
        <v>16</v>
      </c>
      <c r="F1386" t="str">
        <f>VLOOKUP(E1386,[1]LOJA!$A:$B,2,0)</f>
        <v>AG LINDAS</v>
      </c>
      <c r="G1386" t="s">
        <v>19</v>
      </c>
      <c r="H1386" t="s">
        <v>19</v>
      </c>
      <c r="I1386" s="1">
        <v>46030</v>
      </c>
      <c r="J1386" s="1">
        <v>46030</v>
      </c>
      <c r="K1386" s="1">
        <v>46030</v>
      </c>
      <c r="L1386">
        <v>37</v>
      </c>
      <c r="M1386">
        <v>0.43</v>
      </c>
      <c r="N1386">
        <v>0.43</v>
      </c>
      <c r="O1386">
        <v>0</v>
      </c>
      <c r="P1386">
        <v>0</v>
      </c>
      <c r="Q1386" t="s">
        <v>108</v>
      </c>
    </row>
    <row r="1387" spans="1:17">
      <c r="A1387" t="s">
        <v>93</v>
      </c>
      <c r="B1387" t="s">
        <v>106</v>
      </c>
      <c r="C1387" t="s">
        <v>56</v>
      </c>
      <c r="D1387" t="s">
        <v>1170</v>
      </c>
      <c r="E1387">
        <v>16</v>
      </c>
      <c r="F1387" t="str">
        <f>VLOOKUP(E1387,[1]LOJA!$A:$B,2,0)</f>
        <v>AG LINDAS</v>
      </c>
      <c r="G1387" t="s">
        <v>19</v>
      </c>
      <c r="H1387" t="s">
        <v>19</v>
      </c>
      <c r="I1387" s="1">
        <v>46030</v>
      </c>
      <c r="J1387" s="1">
        <v>46030</v>
      </c>
      <c r="K1387" s="1">
        <v>46030</v>
      </c>
      <c r="L1387">
        <v>37</v>
      </c>
      <c r="M1387">
        <v>7.11</v>
      </c>
      <c r="N1387">
        <v>7.11</v>
      </c>
      <c r="O1387">
        <v>0</v>
      </c>
      <c r="P1387">
        <v>0</v>
      </c>
      <c r="Q1387" t="s">
        <v>108</v>
      </c>
    </row>
    <row r="1388" spans="1:17">
      <c r="A1388" t="s">
        <v>93</v>
      </c>
      <c r="B1388" t="s">
        <v>106</v>
      </c>
      <c r="C1388" t="s">
        <v>56</v>
      </c>
      <c r="D1388" t="s">
        <v>1171</v>
      </c>
      <c r="E1388">
        <v>16</v>
      </c>
      <c r="F1388" t="str">
        <f>VLOOKUP(E1388,[1]LOJA!$A:$B,2,0)</f>
        <v>AG LINDAS</v>
      </c>
      <c r="G1388" t="s">
        <v>19</v>
      </c>
      <c r="H1388" t="s">
        <v>19</v>
      </c>
      <c r="I1388" s="1">
        <v>46030</v>
      </c>
      <c r="J1388" s="1">
        <v>46030</v>
      </c>
      <c r="K1388" s="1">
        <v>46030</v>
      </c>
      <c r="L1388">
        <v>37</v>
      </c>
      <c r="M1388">
        <v>0.3</v>
      </c>
      <c r="N1388">
        <v>0.3</v>
      </c>
      <c r="O1388">
        <v>0</v>
      </c>
      <c r="P1388">
        <v>0</v>
      </c>
      <c r="Q1388" t="s">
        <v>108</v>
      </c>
    </row>
    <row r="1389" spans="1:17">
      <c r="A1389" t="s">
        <v>93</v>
      </c>
      <c r="B1389" t="s">
        <v>106</v>
      </c>
      <c r="C1389" t="s">
        <v>56</v>
      </c>
      <c r="D1389" t="s">
        <v>1172</v>
      </c>
      <c r="E1389">
        <v>16</v>
      </c>
      <c r="F1389" t="str">
        <f>VLOOKUP(E1389,[1]LOJA!$A:$B,2,0)</f>
        <v>AG LINDAS</v>
      </c>
      <c r="G1389" t="s">
        <v>19</v>
      </c>
      <c r="H1389" t="s">
        <v>19</v>
      </c>
      <c r="I1389" s="1">
        <v>46030</v>
      </c>
      <c r="J1389" s="1">
        <v>46030</v>
      </c>
      <c r="K1389" s="1">
        <v>46030</v>
      </c>
      <c r="L1389">
        <v>37</v>
      </c>
      <c r="M1389">
        <v>0.32</v>
      </c>
      <c r="N1389">
        <v>0.32</v>
      </c>
      <c r="O1389">
        <v>0</v>
      </c>
      <c r="P1389">
        <v>0</v>
      </c>
      <c r="Q1389" t="s">
        <v>108</v>
      </c>
    </row>
    <row r="1390" spans="1:17">
      <c r="A1390" t="s">
        <v>93</v>
      </c>
      <c r="B1390" t="s">
        <v>106</v>
      </c>
      <c r="C1390" t="s">
        <v>56</v>
      </c>
      <c r="D1390" t="s">
        <v>1173</v>
      </c>
      <c r="E1390">
        <v>16</v>
      </c>
      <c r="F1390" t="str">
        <f>VLOOKUP(E1390,[1]LOJA!$A:$B,2,0)</f>
        <v>AG LINDAS</v>
      </c>
      <c r="G1390" t="s">
        <v>19</v>
      </c>
      <c r="H1390" t="s">
        <v>19</v>
      </c>
      <c r="I1390" s="1">
        <v>46030</v>
      </c>
      <c r="J1390" s="1">
        <v>46030</v>
      </c>
      <c r="K1390" s="1">
        <v>46030</v>
      </c>
      <c r="L1390">
        <v>37</v>
      </c>
      <c r="M1390">
        <v>0.18</v>
      </c>
      <c r="N1390">
        <v>0.18</v>
      </c>
      <c r="O1390">
        <v>0</v>
      </c>
      <c r="P1390">
        <v>0</v>
      </c>
      <c r="Q1390" t="s">
        <v>108</v>
      </c>
    </row>
    <row r="1391" spans="1:17">
      <c r="A1391" t="s">
        <v>93</v>
      </c>
      <c r="B1391" t="s">
        <v>106</v>
      </c>
      <c r="C1391" t="s">
        <v>56</v>
      </c>
      <c r="D1391" t="s">
        <v>1174</v>
      </c>
      <c r="E1391">
        <v>16</v>
      </c>
      <c r="F1391" t="str">
        <f>VLOOKUP(E1391,[1]LOJA!$A:$B,2,0)</f>
        <v>AG LINDAS</v>
      </c>
      <c r="G1391" t="s">
        <v>19</v>
      </c>
      <c r="H1391" t="s">
        <v>19</v>
      </c>
      <c r="I1391" s="1">
        <v>46030</v>
      </c>
      <c r="J1391" s="1">
        <v>46030</v>
      </c>
      <c r="K1391" s="1">
        <v>46030</v>
      </c>
      <c r="L1391">
        <v>37</v>
      </c>
      <c r="M1391">
        <v>0.37</v>
      </c>
      <c r="N1391">
        <v>0.37</v>
      </c>
      <c r="O1391">
        <v>0</v>
      </c>
      <c r="P1391">
        <v>0</v>
      </c>
      <c r="Q1391" t="s">
        <v>108</v>
      </c>
    </row>
    <row r="1392" spans="1:17">
      <c r="A1392" t="s">
        <v>93</v>
      </c>
      <c r="B1392" t="s">
        <v>106</v>
      </c>
      <c r="C1392" t="s">
        <v>56</v>
      </c>
      <c r="D1392" t="s">
        <v>1175</v>
      </c>
      <c r="E1392">
        <v>16</v>
      </c>
      <c r="F1392" t="str">
        <f>VLOOKUP(E1392,[1]LOJA!$A:$B,2,0)</f>
        <v>AG LINDAS</v>
      </c>
      <c r="G1392" t="s">
        <v>19</v>
      </c>
      <c r="H1392" t="s">
        <v>19</v>
      </c>
      <c r="I1392" s="1">
        <v>46030</v>
      </c>
      <c r="J1392" s="1">
        <v>46030</v>
      </c>
      <c r="K1392" s="1">
        <v>46030</v>
      </c>
      <c r="L1392">
        <v>37</v>
      </c>
      <c r="M1392">
        <v>0.64</v>
      </c>
      <c r="N1392">
        <v>0.64</v>
      </c>
      <c r="O1392">
        <v>0</v>
      </c>
      <c r="P1392">
        <v>0</v>
      </c>
      <c r="Q1392" t="s">
        <v>108</v>
      </c>
    </row>
    <row r="1393" spans="1:17">
      <c r="A1393" t="s">
        <v>93</v>
      </c>
      <c r="B1393" t="s">
        <v>106</v>
      </c>
      <c r="C1393" t="s">
        <v>56</v>
      </c>
      <c r="D1393" t="s">
        <v>1176</v>
      </c>
      <c r="E1393">
        <v>16</v>
      </c>
      <c r="F1393" t="str">
        <f>VLOOKUP(E1393,[1]LOJA!$A:$B,2,0)</f>
        <v>AG LINDAS</v>
      </c>
      <c r="G1393" t="s">
        <v>19</v>
      </c>
      <c r="H1393" t="s">
        <v>19</v>
      </c>
      <c r="I1393" s="1">
        <v>46030</v>
      </c>
      <c r="J1393" s="1">
        <v>46030</v>
      </c>
      <c r="K1393" s="1">
        <v>46030</v>
      </c>
      <c r="L1393">
        <v>37</v>
      </c>
      <c r="M1393">
        <v>0.4</v>
      </c>
      <c r="N1393">
        <v>0.4</v>
      </c>
      <c r="O1393">
        <v>0</v>
      </c>
      <c r="P1393">
        <v>0</v>
      </c>
      <c r="Q1393" t="s">
        <v>108</v>
      </c>
    </row>
    <row r="1394" spans="1:17">
      <c r="A1394" t="s">
        <v>93</v>
      </c>
      <c r="B1394" t="s">
        <v>106</v>
      </c>
      <c r="C1394" t="s">
        <v>56</v>
      </c>
      <c r="D1394" t="s">
        <v>1177</v>
      </c>
      <c r="E1394">
        <v>16</v>
      </c>
      <c r="F1394" t="str">
        <f>VLOOKUP(E1394,[1]LOJA!$A:$B,2,0)</f>
        <v>AG LINDAS</v>
      </c>
      <c r="G1394" t="s">
        <v>19</v>
      </c>
      <c r="H1394" t="s">
        <v>19</v>
      </c>
      <c r="I1394" s="1">
        <v>46030</v>
      </c>
      <c r="J1394" s="1">
        <v>46030</v>
      </c>
      <c r="K1394" s="1">
        <v>46030</v>
      </c>
      <c r="L1394">
        <v>37</v>
      </c>
      <c r="M1394">
        <v>0.2</v>
      </c>
      <c r="N1394">
        <v>0.2</v>
      </c>
      <c r="O1394">
        <v>0</v>
      </c>
      <c r="P1394">
        <v>0</v>
      </c>
      <c r="Q1394" t="s">
        <v>108</v>
      </c>
    </row>
    <row r="1395" spans="1:17">
      <c r="A1395" t="s">
        <v>93</v>
      </c>
      <c r="B1395" t="s">
        <v>106</v>
      </c>
      <c r="C1395" t="s">
        <v>56</v>
      </c>
      <c r="D1395" t="s">
        <v>1178</v>
      </c>
      <c r="E1395">
        <v>16</v>
      </c>
      <c r="F1395" t="str">
        <f>VLOOKUP(E1395,[1]LOJA!$A:$B,2,0)</f>
        <v>AG LINDAS</v>
      </c>
      <c r="G1395" t="s">
        <v>19</v>
      </c>
      <c r="H1395" t="s">
        <v>19</v>
      </c>
      <c r="I1395" s="1">
        <v>46030</v>
      </c>
      <c r="J1395" s="1">
        <v>46030</v>
      </c>
      <c r="K1395" s="1">
        <v>46030</v>
      </c>
      <c r="L1395">
        <v>37</v>
      </c>
      <c r="M1395">
        <v>0.42</v>
      </c>
      <c r="N1395">
        <v>0.42</v>
      </c>
      <c r="O1395">
        <v>0</v>
      </c>
      <c r="P1395">
        <v>0</v>
      </c>
      <c r="Q1395" t="s">
        <v>108</v>
      </c>
    </row>
    <row r="1396" spans="1:17">
      <c r="A1396" t="s">
        <v>93</v>
      </c>
      <c r="B1396" t="s">
        <v>106</v>
      </c>
      <c r="C1396" t="s">
        <v>56</v>
      </c>
      <c r="D1396" t="s">
        <v>1179</v>
      </c>
      <c r="E1396">
        <v>16</v>
      </c>
      <c r="F1396" t="str">
        <f>VLOOKUP(E1396,[1]LOJA!$A:$B,2,0)</f>
        <v>AG LINDAS</v>
      </c>
      <c r="G1396" t="s">
        <v>19</v>
      </c>
      <c r="H1396" t="s">
        <v>19</v>
      </c>
      <c r="I1396" s="1">
        <v>46030</v>
      </c>
      <c r="J1396" s="1">
        <v>46030</v>
      </c>
      <c r="K1396" s="1">
        <v>46030</v>
      </c>
      <c r="L1396">
        <v>37</v>
      </c>
      <c r="M1396">
        <v>0.64</v>
      </c>
      <c r="N1396">
        <v>0.64</v>
      </c>
      <c r="O1396">
        <v>0</v>
      </c>
      <c r="P1396">
        <v>0</v>
      </c>
      <c r="Q1396" t="s">
        <v>108</v>
      </c>
    </row>
    <row r="1397" spans="1:17">
      <c r="A1397" t="s">
        <v>93</v>
      </c>
      <c r="B1397" t="s">
        <v>106</v>
      </c>
      <c r="C1397" t="s">
        <v>56</v>
      </c>
      <c r="D1397" t="s">
        <v>1180</v>
      </c>
      <c r="E1397">
        <v>16</v>
      </c>
      <c r="F1397" t="str">
        <f>VLOOKUP(E1397,[1]LOJA!$A:$B,2,0)</f>
        <v>AG LINDAS</v>
      </c>
      <c r="G1397" t="s">
        <v>19</v>
      </c>
      <c r="H1397" t="s">
        <v>19</v>
      </c>
      <c r="I1397" s="1">
        <v>46030</v>
      </c>
      <c r="J1397" s="1">
        <v>46030</v>
      </c>
      <c r="K1397" s="1">
        <v>46030</v>
      </c>
      <c r="L1397">
        <v>37</v>
      </c>
      <c r="M1397">
        <v>0.17</v>
      </c>
      <c r="N1397">
        <v>0.17</v>
      </c>
      <c r="O1397">
        <v>0</v>
      </c>
      <c r="P1397">
        <v>0</v>
      </c>
      <c r="Q1397" t="s">
        <v>108</v>
      </c>
    </row>
    <row r="1398" spans="1:17">
      <c r="A1398" t="s">
        <v>93</v>
      </c>
      <c r="B1398" t="s">
        <v>106</v>
      </c>
      <c r="C1398" t="s">
        <v>56</v>
      </c>
      <c r="D1398" t="s">
        <v>1181</v>
      </c>
      <c r="E1398">
        <v>16</v>
      </c>
      <c r="F1398" t="str">
        <f>VLOOKUP(E1398,[1]LOJA!$A:$B,2,0)</f>
        <v>AG LINDAS</v>
      </c>
      <c r="G1398" t="s">
        <v>19</v>
      </c>
      <c r="H1398" t="s">
        <v>19</v>
      </c>
      <c r="I1398" s="1">
        <v>46031</v>
      </c>
      <c r="J1398" s="1">
        <v>46031</v>
      </c>
      <c r="K1398" s="1">
        <v>46031</v>
      </c>
      <c r="L1398">
        <v>37</v>
      </c>
      <c r="M1398">
        <v>2.63</v>
      </c>
      <c r="N1398">
        <v>2.63</v>
      </c>
      <c r="O1398">
        <v>0</v>
      </c>
      <c r="P1398">
        <v>0</v>
      </c>
      <c r="Q1398" t="s">
        <v>108</v>
      </c>
    </row>
    <row r="1399" spans="1:17">
      <c r="A1399" t="s">
        <v>93</v>
      </c>
      <c r="B1399" t="s">
        <v>106</v>
      </c>
      <c r="C1399" t="s">
        <v>56</v>
      </c>
      <c r="D1399" t="s">
        <v>1182</v>
      </c>
      <c r="E1399">
        <v>16</v>
      </c>
      <c r="F1399" t="str">
        <f>VLOOKUP(E1399,[1]LOJA!$A:$B,2,0)</f>
        <v>AG LINDAS</v>
      </c>
      <c r="G1399" t="s">
        <v>19</v>
      </c>
      <c r="H1399" t="s">
        <v>19</v>
      </c>
      <c r="I1399" s="1">
        <v>46031</v>
      </c>
      <c r="J1399" s="1">
        <v>46031</v>
      </c>
      <c r="K1399" s="1">
        <v>46031</v>
      </c>
      <c r="L1399">
        <v>37</v>
      </c>
      <c r="M1399">
        <v>0.66</v>
      </c>
      <c r="N1399">
        <v>0.66</v>
      </c>
      <c r="O1399">
        <v>0</v>
      </c>
      <c r="P1399">
        <v>0</v>
      </c>
      <c r="Q1399" t="s">
        <v>108</v>
      </c>
    </row>
    <row r="1400" spans="1:17">
      <c r="A1400" t="s">
        <v>93</v>
      </c>
      <c r="B1400" t="s">
        <v>106</v>
      </c>
      <c r="C1400" t="s">
        <v>56</v>
      </c>
      <c r="D1400" t="s">
        <v>1183</v>
      </c>
      <c r="E1400">
        <v>16</v>
      </c>
      <c r="F1400" t="str">
        <f>VLOOKUP(E1400,[1]LOJA!$A:$B,2,0)</f>
        <v>AG LINDAS</v>
      </c>
      <c r="G1400" t="s">
        <v>19</v>
      </c>
      <c r="H1400" t="s">
        <v>19</v>
      </c>
      <c r="I1400" s="1">
        <v>46031</v>
      </c>
      <c r="J1400" s="1">
        <v>46031</v>
      </c>
      <c r="K1400" s="1">
        <v>46031</v>
      </c>
      <c r="L1400">
        <v>37</v>
      </c>
      <c r="M1400">
        <v>0.81</v>
      </c>
      <c r="N1400">
        <v>0.81</v>
      </c>
      <c r="O1400">
        <v>0</v>
      </c>
      <c r="P1400">
        <v>0</v>
      </c>
      <c r="Q1400" t="s">
        <v>108</v>
      </c>
    </row>
    <row r="1401" spans="1:17">
      <c r="A1401" t="s">
        <v>93</v>
      </c>
      <c r="B1401" t="s">
        <v>106</v>
      </c>
      <c r="C1401" t="s">
        <v>56</v>
      </c>
      <c r="D1401" t="s">
        <v>1184</v>
      </c>
      <c r="E1401">
        <v>16</v>
      </c>
      <c r="F1401" t="str">
        <f>VLOOKUP(E1401,[1]LOJA!$A:$B,2,0)</f>
        <v>AG LINDAS</v>
      </c>
      <c r="G1401" t="s">
        <v>19</v>
      </c>
      <c r="H1401" t="s">
        <v>19</v>
      </c>
      <c r="I1401" s="1">
        <v>46031</v>
      </c>
      <c r="J1401" s="1">
        <v>46031</v>
      </c>
      <c r="K1401" s="1">
        <v>46031</v>
      </c>
      <c r="L1401">
        <v>37</v>
      </c>
      <c r="M1401">
        <v>0.53</v>
      </c>
      <c r="N1401">
        <v>0.53</v>
      </c>
      <c r="O1401">
        <v>0</v>
      </c>
      <c r="P1401">
        <v>0</v>
      </c>
      <c r="Q1401" t="s">
        <v>108</v>
      </c>
    </row>
    <row r="1402" spans="1:17">
      <c r="A1402" t="s">
        <v>93</v>
      </c>
      <c r="B1402" t="s">
        <v>106</v>
      </c>
      <c r="C1402" t="s">
        <v>56</v>
      </c>
      <c r="D1402" t="s">
        <v>1185</v>
      </c>
      <c r="E1402">
        <v>16</v>
      </c>
      <c r="F1402" t="str">
        <f>VLOOKUP(E1402,[1]LOJA!$A:$B,2,0)</f>
        <v>AG LINDAS</v>
      </c>
      <c r="G1402" t="s">
        <v>19</v>
      </c>
      <c r="H1402" t="s">
        <v>19</v>
      </c>
      <c r="I1402" s="1">
        <v>46031</v>
      </c>
      <c r="J1402" s="1">
        <v>46031</v>
      </c>
      <c r="K1402" s="1">
        <v>46031</v>
      </c>
      <c r="L1402">
        <v>37</v>
      </c>
      <c r="M1402">
        <v>0.13</v>
      </c>
      <c r="N1402">
        <v>0.13</v>
      </c>
      <c r="O1402">
        <v>0</v>
      </c>
      <c r="P1402">
        <v>0</v>
      </c>
      <c r="Q1402" t="s">
        <v>108</v>
      </c>
    </row>
    <row r="1403" spans="1:17">
      <c r="A1403" t="s">
        <v>93</v>
      </c>
      <c r="B1403" t="s">
        <v>106</v>
      </c>
      <c r="C1403" t="s">
        <v>56</v>
      </c>
      <c r="D1403" t="s">
        <v>1186</v>
      </c>
      <c r="E1403">
        <v>16</v>
      </c>
      <c r="F1403" t="str">
        <f>VLOOKUP(E1403,[1]LOJA!$A:$B,2,0)</f>
        <v>AG LINDAS</v>
      </c>
      <c r="G1403" t="s">
        <v>19</v>
      </c>
      <c r="H1403" t="s">
        <v>19</v>
      </c>
      <c r="I1403" s="1">
        <v>46031</v>
      </c>
      <c r="J1403" s="1">
        <v>46031</v>
      </c>
      <c r="K1403" s="1">
        <v>46031</v>
      </c>
      <c r="L1403">
        <v>37</v>
      </c>
      <c r="M1403">
        <v>0.63</v>
      </c>
      <c r="N1403">
        <v>0.63</v>
      </c>
      <c r="O1403">
        <v>0</v>
      </c>
      <c r="P1403">
        <v>0</v>
      </c>
      <c r="Q1403" t="s">
        <v>108</v>
      </c>
    </row>
    <row r="1404" spans="1:17">
      <c r="A1404" t="s">
        <v>93</v>
      </c>
      <c r="B1404" t="s">
        <v>106</v>
      </c>
      <c r="C1404" t="s">
        <v>56</v>
      </c>
      <c r="D1404" t="s">
        <v>1187</v>
      </c>
      <c r="E1404">
        <v>16</v>
      </c>
      <c r="F1404" t="str">
        <f>VLOOKUP(E1404,[1]LOJA!$A:$B,2,0)</f>
        <v>AG LINDAS</v>
      </c>
      <c r="G1404" t="s">
        <v>19</v>
      </c>
      <c r="H1404" t="s">
        <v>19</v>
      </c>
      <c r="I1404" s="1">
        <v>46031</v>
      </c>
      <c r="J1404" s="1">
        <v>46031</v>
      </c>
      <c r="K1404" s="1">
        <v>46031</v>
      </c>
      <c r="L1404">
        <v>37</v>
      </c>
      <c r="M1404">
        <v>0.23</v>
      </c>
      <c r="N1404">
        <v>0.23</v>
      </c>
      <c r="O1404">
        <v>0</v>
      </c>
      <c r="P1404">
        <v>0</v>
      </c>
      <c r="Q1404" t="s">
        <v>108</v>
      </c>
    </row>
    <row r="1405" spans="1:17">
      <c r="A1405" t="s">
        <v>93</v>
      </c>
      <c r="B1405" t="s">
        <v>106</v>
      </c>
      <c r="C1405" t="s">
        <v>56</v>
      </c>
      <c r="D1405" t="s">
        <v>1188</v>
      </c>
      <c r="E1405">
        <v>16</v>
      </c>
      <c r="F1405" t="str">
        <f>VLOOKUP(E1405,[1]LOJA!$A:$B,2,0)</f>
        <v>AG LINDAS</v>
      </c>
      <c r="G1405" t="s">
        <v>19</v>
      </c>
      <c r="H1405" t="s">
        <v>19</v>
      </c>
      <c r="I1405" s="1">
        <v>46031</v>
      </c>
      <c r="J1405" s="1">
        <v>46031</v>
      </c>
      <c r="K1405" s="1">
        <v>46031</v>
      </c>
      <c r="L1405">
        <v>37</v>
      </c>
      <c r="M1405">
        <v>0.06</v>
      </c>
      <c r="N1405">
        <v>0.06</v>
      </c>
      <c r="O1405">
        <v>0</v>
      </c>
      <c r="P1405">
        <v>0</v>
      </c>
      <c r="Q1405" t="s">
        <v>108</v>
      </c>
    </row>
    <row r="1406" spans="1:17">
      <c r="A1406" t="s">
        <v>93</v>
      </c>
      <c r="B1406" t="s">
        <v>106</v>
      </c>
      <c r="C1406" t="s">
        <v>56</v>
      </c>
      <c r="D1406" t="s">
        <v>1189</v>
      </c>
      <c r="E1406">
        <v>16</v>
      </c>
      <c r="F1406" t="str">
        <f>VLOOKUP(E1406,[1]LOJA!$A:$B,2,0)</f>
        <v>AG LINDAS</v>
      </c>
      <c r="G1406" t="s">
        <v>19</v>
      </c>
      <c r="H1406" t="s">
        <v>19</v>
      </c>
      <c r="I1406" s="1">
        <v>46031</v>
      </c>
      <c r="J1406" s="1">
        <v>46031</v>
      </c>
      <c r="K1406" s="1">
        <v>46031</v>
      </c>
      <c r="L1406">
        <v>37</v>
      </c>
      <c r="M1406">
        <v>0.84</v>
      </c>
      <c r="N1406">
        <v>0.84</v>
      </c>
      <c r="O1406">
        <v>0</v>
      </c>
      <c r="P1406">
        <v>0</v>
      </c>
      <c r="Q1406" t="s">
        <v>108</v>
      </c>
    </row>
    <row r="1407" spans="1:17">
      <c r="A1407" t="s">
        <v>93</v>
      </c>
      <c r="B1407" t="s">
        <v>106</v>
      </c>
      <c r="C1407" t="s">
        <v>56</v>
      </c>
      <c r="D1407" t="s">
        <v>1190</v>
      </c>
      <c r="E1407">
        <v>16</v>
      </c>
      <c r="F1407" t="str">
        <f>VLOOKUP(E1407,[1]LOJA!$A:$B,2,0)</f>
        <v>AG LINDAS</v>
      </c>
      <c r="G1407" t="s">
        <v>19</v>
      </c>
      <c r="H1407" t="s">
        <v>19</v>
      </c>
      <c r="I1407" s="1">
        <v>46031</v>
      </c>
      <c r="J1407" s="1">
        <v>46031</v>
      </c>
      <c r="K1407" s="1">
        <v>46031</v>
      </c>
      <c r="L1407">
        <v>37</v>
      </c>
      <c r="M1407">
        <v>0.27</v>
      </c>
      <c r="N1407">
        <v>0.27</v>
      </c>
      <c r="O1407">
        <v>0</v>
      </c>
      <c r="P1407">
        <v>0</v>
      </c>
      <c r="Q1407" t="s">
        <v>108</v>
      </c>
    </row>
    <row r="1408" spans="1:17">
      <c r="A1408" t="s">
        <v>93</v>
      </c>
      <c r="B1408" t="s">
        <v>106</v>
      </c>
      <c r="C1408" t="s">
        <v>56</v>
      </c>
      <c r="D1408" t="s">
        <v>1191</v>
      </c>
      <c r="E1408">
        <v>16</v>
      </c>
      <c r="F1408" t="str">
        <f>VLOOKUP(E1408,[1]LOJA!$A:$B,2,0)</f>
        <v>AG LINDAS</v>
      </c>
      <c r="G1408" t="s">
        <v>19</v>
      </c>
      <c r="H1408" t="s">
        <v>19</v>
      </c>
      <c r="I1408" s="1">
        <v>46031</v>
      </c>
      <c r="J1408" s="1">
        <v>46031</v>
      </c>
      <c r="K1408" s="1">
        <v>46031</v>
      </c>
      <c r="L1408">
        <v>37</v>
      </c>
      <c r="M1408">
        <v>2.1800000000000002</v>
      </c>
      <c r="N1408">
        <v>2.1800000000000002</v>
      </c>
      <c r="O1408">
        <v>0</v>
      </c>
      <c r="P1408">
        <v>0</v>
      </c>
      <c r="Q1408" t="s">
        <v>108</v>
      </c>
    </row>
    <row r="1409" spans="1:17">
      <c r="A1409" t="s">
        <v>93</v>
      </c>
      <c r="B1409" t="s">
        <v>106</v>
      </c>
      <c r="C1409" t="s">
        <v>56</v>
      </c>
      <c r="D1409" t="s">
        <v>1192</v>
      </c>
      <c r="E1409">
        <v>16</v>
      </c>
      <c r="F1409" t="str">
        <f>VLOOKUP(E1409,[1]LOJA!$A:$B,2,0)</f>
        <v>AG LINDAS</v>
      </c>
      <c r="G1409" t="s">
        <v>19</v>
      </c>
      <c r="H1409" t="s">
        <v>19</v>
      </c>
      <c r="I1409" s="1">
        <v>46031</v>
      </c>
      <c r="J1409" s="1">
        <v>46031</v>
      </c>
      <c r="K1409" s="1">
        <v>46031</v>
      </c>
      <c r="L1409">
        <v>37</v>
      </c>
      <c r="M1409">
        <v>0.6</v>
      </c>
      <c r="N1409">
        <v>0.6</v>
      </c>
      <c r="O1409">
        <v>0</v>
      </c>
      <c r="P1409">
        <v>0</v>
      </c>
      <c r="Q1409" t="s">
        <v>108</v>
      </c>
    </row>
    <row r="1410" spans="1:17">
      <c r="A1410" t="s">
        <v>93</v>
      </c>
      <c r="B1410" t="s">
        <v>106</v>
      </c>
      <c r="C1410" t="s">
        <v>56</v>
      </c>
      <c r="D1410" t="s">
        <v>1193</v>
      </c>
      <c r="E1410">
        <v>16</v>
      </c>
      <c r="F1410" t="str">
        <f>VLOOKUP(E1410,[1]LOJA!$A:$B,2,0)</f>
        <v>AG LINDAS</v>
      </c>
      <c r="G1410" t="s">
        <v>19</v>
      </c>
      <c r="H1410" t="s">
        <v>19</v>
      </c>
      <c r="I1410" s="1">
        <v>46031</v>
      </c>
      <c r="J1410" s="1">
        <v>46031</v>
      </c>
      <c r="K1410" s="1">
        <v>46031</v>
      </c>
      <c r="L1410">
        <v>37</v>
      </c>
      <c r="M1410">
        <v>1.25</v>
      </c>
      <c r="N1410">
        <v>1.25</v>
      </c>
      <c r="O1410">
        <v>0</v>
      </c>
      <c r="P1410">
        <v>0</v>
      </c>
      <c r="Q1410" t="s">
        <v>108</v>
      </c>
    </row>
    <row r="1411" spans="1:17">
      <c r="A1411" t="s">
        <v>93</v>
      </c>
      <c r="B1411" t="s">
        <v>106</v>
      </c>
      <c r="C1411" t="s">
        <v>56</v>
      </c>
      <c r="D1411" t="s">
        <v>1194</v>
      </c>
      <c r="E1411">
        <v>16</v>
      </c>
      <c r="F1411" t="str">
        <f>VLOOKUP(E1411,[1]LOJA!$A:$B,2,0)</f>
        <v>AG LINDAS</v>
      </c>
      <c r="G1411" t="s">
        <v>19</v>
      </c>
      <c r="H1411" t="s">
        <v>19</v>
      </c>
      <c r="I1411" s="1">
        <v>46031</v>
      </c>
      <c r="J1411" s="1">
        <v>46031</v>
      </c>
      <c r="K1411" s="1">
        <v>46031</v>
      </c>
      <c r="L1411">
        <v>37</v>
      </c>
      <c r="M1411">
        <v>0.62</v>
      </c>
      <c r="N1411">
        <v>0.62</v>
      </c>
      <c r="O1411">
        <v>0</v>
      </c>
      <c r="P1411">
        <v>0</v>
      </c>
      <c r="Q1411" t="s">
        <v>108</v>
      </c>
    </row>
    <row r="1412" spans="1:17">
      <c r="A1412" t="s">
        <v>93</v>
      </c>
      <c r="B1412" t="s">
        <v>106</v>
      </c>
      <c r="C1412" t="s">
        <v>56</v>
      </c>
      <c r="D1412" t="s">
        <v>1195</v>
      </c>
      <c r="E1412">
        <v>16</v>
      </c>
      <c r="F1412" t="str">
        <f>VLOOKUP(E1412,[1]LOJA!$A:$B,2,0)</f>
        <v>AG LINDAS</v>
      </c>
      <c r="G1412" t="s">
        <v>19</v>
      </c>
      <c r="H1412" t="s">
        <v>19</v>
      </c>
      <c r="I1412" s="1">
        <v>46031</v>
      </c>
      <c r="J1412" s="1">
        <v>46031</v>
      </c>
      <c r="K1412" s="1">
        <v>46031</v>
      </c>
      <c r="L1412">
        <v>37</v>
      </c>
      <c r="M1412">
        <v>0.67</v>
      </c>
      <c r="N1412">
        <v>0.67</v>
      </c>
      <c r="O1412">
        <v>0</v>
      </c>
      <c r="P1412">
        <v>0</v>
      </c>
      <c r="Q1412" t="s">
        <v>108</v>
      </c>
    </row>
    <row r="1413" spans="1:17">
      <c r="A1413" t="s">
        <v>93</v>
      </c>
      <c r="B1413" t="s">
        <v>106</v>
      </c>
      <c r="C1413" t="s">
        <v>56</v>
      </c>
      <c r="D1413" t="s">
        <v>1196</v>
      </c>
      <c r="E1413">
        <v>16</v>
      </c>
      <c r="F1413" t="str">
        <f>VLOOKUP(E1413,[1]LOJA!$A:$B,2,0)</f>
        <v>AG LINDAS</v>
      </c>
      <c r="G1413" t="s">
        <v>19</v>
      </c>
      <c r="H1413" t="s">
        <v>19</v>
      </c>
      <c r="I1413" s="1">
        <v>46034</v>
      </c>
      <c r="J1413" s="1">
        <v>46034</v>
      </c>
      <c r="K1413" s="1">
        <v>46034</v>
      </c>
      <c r="L1413">
        <v>37</v>
      </c>
      <c r="M1413">
        <v>3.46</v>
      </c>
      <c r="N1413">
        <v>3.46</v>
      </c>
      <c r="O1413">
        <v>0</v>
      </c>
      <c r="P1413">
        <v>0</v>
      </c>
      <c r="Q1413" t="s">
        <v>108</v>
      </c>
    </row>
    <row r="1414" spans="1:17">
      <c r="A1414" t="s">
        <v>93</v>
      </c>
      <c r="B1414" t="s">
        <v>106</v>
      </c>
      <c r="C1414" t="s">
        <v>56</v>
      </c>
      <c r="D1414" t="s">
        <v>1197</v>
      </c>
      <c r="E1414">
        <v>16</v>
      </c>
      <c r="F1414" t="str">
        <f>VLOOKUP(E1414,[1]LOJA!$A:$B,2,0)</f>
        <v>AG LINDAS</v>
      </c>
      <c r="G1414" t="s">
        <v>19</v>
      </c>
      <c r="H1414" t="s">
        <v>19</v>
      </c>
      <c r="I1414" s="1">
        <v>46034</v>
      </c>
      <c r="J1414" s="1">
        <v>46032</v>
      </c>
      <c r="K1414" s="1">
        <v>46034</v>
      </c>
      <c r="L1414">
        <v>37</v>
      </c>
      <c r="M1414">
        <v>1.35</v>
      </c>
      <c r="N1414">
        <v>1.35</v>
      </c>
      <c r="O1414">
        <v>0</v>
      </c>
      <c r="P1414">
        <v>0</v>
      </c>
      <c r="Q1414" t="s">
        <v>108</v>
      </c>
    </row>
    <row r="1415" spans="1:17">
      <c r="A1415" t="s">
        <v>93</v>
      </c>
      <c r="B1415" t="s">
        <v>106</v>
      </c>
      <c r="C1415" t="s">
        <v>56</v>
      </c>
      <c r="D1415" t="s">
        <v>1198</v>
      </c>
      <c r="E1415">
        <v>16</v>
      </c>
      <c r="F1415" t="str">
        <f>VLOOKUP(E1415,[1]LOJA!$A:$B,2,0)</f>
        <v>AG LINDAS</v>
      </c>
      <c r="G1415" t="s">
        <v>19</v>
      </c>
      <c r="H1415" t="s">
        <v>19</v>
      </c>
      <c r="I1415" s="1">
        <v>46034</v>
      </c>
      <c r="J1415" s="1">
        <v>46032</v>
      </c>
      <c r="K1415" s="1">
        <v>46034</v>
      </c>
      <c r="L1415">
        <v>37</v>
      </c>
      <c r="M1415">
        <v>2.3199999999999998</v>
      </c>
      <c r="N1415">
        <v>2.3199999999999998</v>
      </c>
      <c r="O1415">
        <v>0</v>
      </c>
      <c r="P1415">
        <v>0</v>
      </c>
      <c r="Q1415" t="s">
        <v>108</v>
      </c>
    </row>
    <row r="1416" spans="1:17">
      <c r="A1416" t="s">
        <v>93</v>
      </c>
      <c r="B1416" t="s">
        <v>106</v>
      </c>
      <c r="C1416" t="s">
        <v>56</v>
      </c>
      <c r="D1416" t="s">
        <v>1199</v>
      </c>
      <c r="E1416">
        <v>16</v>
      </c>
      <c r="F1416" t="str">
        <f>VLOOKUP(E1416,[1]LOJA!$A:$B,2,0)</f>
        <v>AG LINDAS</v>
      </c>
      <c r="G1416" t="s">
        <v>19</v>
      </c>
      <c r="H1416" t="s">
        <v>19</v>
      </c>
      <c r="I1416" s="1">
        <v>46034</v>
      </c>
      <c r="J1416" s="1">
        <v>46032</v>
      </c>
      <c r="K1416" s="1">
        <v>46034</v>
      </c>
      <c r="L1416">
        <v>37</v>
      </c>
      <c r="M1416">
        <v>19.079999999999998</v>
      </c>
      <c r="N1416">
        <v>19.079999999999998</v>
      </c>
      <c r="O1416">
        <v>0</v>
      </c>
      <c r="P1416">
        <v>0</v>
      </c>
      <c r="Q1416" t="s">
        <v>108</v>
      </c>
    </row>
    <row r="1417" spans="1:17">
      <c r="A1417" t="s">
        <v>93</v>
      </c>
      <c r="B1417" t="s">
        <v>106</v>
      </c>
      <c r="C1417" t="s">
        <v>56</v>
      </c>
      <c r="D1417" t="s">
        <v>1200</v>
      </c>
      <c r="E1417">
        <v>16</v>
      </c>
      <c r="F1417" t="str">
        <f>VLOOKUP(E1417,[1]LOJA!$A:$B,2,0)</f>
        <v>AG LINDAS</v>
      </c>
      <c r="G1417" t="s">
        <v>19</v>
      </c>
      <c r="H1417" t="s">
        <v>19</v>
      </c>
      <c r="I1417" s="1">
        <v>46034</v>
      </c>
      <c r="J1417" s="1">
        <v>46033</v>
      </c>
      <c r="K1417" s="1">
        <v>46034</v>
      </c>
      <c r="L1417">
        <v>37</v>
      </c>
      <c r="M1417">
        <v>0.79</v>
      </c>
      <c r="N1417">
        <v>0.79</v>
      </c>
      <c r="O1417">
        <v>0</v>
      </c>
      <c r="P1417">
        <v>0</v>
      </c>
      <c r="Q1417" t="s">
        <v>108</v>
      </c>
    </row>
    <row r="1418" spans="1:17">
      <c r="A1418" t="s">
        <v>93</v>
      </c>
      <c r="B1418" t="s">
        <v>106</v>
      </c>
      <c r="C1418" t="s">
        <v>56</v>
      </c>
      <c r="D1418" t="s">
        <v>1201</v>
      </c>
      <c r="E1418">
        <v>16</v>
      </c>
      <c r="F1418" t="str">
        <f>VLOOKUP(E1418,[1]LOJA!$A:$B,2,0)</f>
        <v>AG LINDAS</v>
      </c>
      <c r="G1418" t="s">
        <v>19</v>
      </c>
      <c r="H1418" t="s">
        <v>19</v>
      </c>
      <c r="I1418" s="1">
        <v>46034</v>
      </c>
      <c r="J1418" s="1">
        <v>46033</v>
      </c>
      <c r="K1418" s="1">
        <v>46034</v>
      </c>
      <c r="L1418">
        <v>37</v>
      </c>
      <c r="M1418">
        <v>1.93</v>
      </c>
      <c r="N1418">
        <v>1.93</v>
      </c>
      <c r="O1418">
        <v>0</v>
      </c>
      <c r="P1418">
        <v>0</v>
      </c>
      <c r="Q1418" t="s">
        <v>108</v>
      </c>
    </row>
    <row r="1419" spans="1:17">
      <c r="A1419" t="s">
        <v>93</v>
      </c>
      <c r="B1419" t="s">
        <v>106</v>
      </c>
      <c r="C1419" t="s">
        <v>56</v>
      </c>
      <c r="D1419" t="s">
        <v>1202</v>
      </c>
      <c r="E1419">
        <v>16</v>
      </c>
      <c r="F1419" t="str">
        <f>VLOOKUP(E1419,[1]LOJA!$A:$B,2,0)</f>
        <v>AG LINDAS</v>
      </c>
      <c r="G1419" t="s">
        <v>19</v>
      </c>
      <c r="H1419" t="s">
        <v>19</v>
      </c>
      <c r="I1419" s="1">
        <v>46034</v>
      </c>
      <c r="J1419" s="1">
        <v>46033</v>
      </c>
      <c r="K1419" s="1">
        <v>46034</v>
      </c>
      <c r="L1419">
        <v>37</v>
      </c>
      <c r="M1419">
        <v>2.96</v>
      </c>
      <c r="N1419">
        <v>2.96</v>
      </c>
      <c r="O1419">
        <v>0</v>
      </c>
      <c r="P1419">
        <v>0</v>
      </c>
      <c r="Q1419" t="s">
        <v>108</v>
      </c>
    </row>
    <row r="1420" spans="1:17">
      <c r="A1420" t="s">
        <v>93</v>
      </c>
      <c r="B1420" t="s">
        <v>106</v>
      </c>
      <c r="C1420" t="s">
        <v>56</v>
      </c>
      <c r="D1420" t="s">
        <v>1203</v>
      </c>
      <c r="E1420">
        <v>16</v>
      </c>
      <c r="F1420" t="str">
        <f>VLOOKUP(E1420,[1]LOJA!$A:$B,2,0)</f>
        <v>AG LINDAS</v>
      </c>
      <c r="G1420" t="s">
        <v>19</v>
      </c>
      <c r="H1420" t="s">
        <v>19</v>
      </c>
      <c r="I1420" s="1">
        <v>46034</v>
      </c>
      <c r="J1420" s="1">
        <v>46034</v>
      </c>
      <c r="K1420" s="1">
        <v>46034</v>
      </c>
      <c r="L1420">
        <v>37</v>
      </c>
      <c r="M1420">
        <v>1.19</v>
      </c>
      <c r="N1420">
        <v>1.19</v>
      </c>
      <c r="O1420">
        <v>0</v>
      </c>
      <c r="P1420">
        <v>0</v>
      </c>
      <c r="Q1420" t="s">
        <v>108</v>
      </c>
    </row>
    <row r="1421" spans="1:17">
      <c r="A1421" t="s">
        <v>93</v>
      </c>
      <c r="B1421" t="s">
        <v>106</v>
      </c>
      <c r="C1421" t="s">
        <v>56</v>
      </c>
      <c r="D1421" t="s">
        <v>1204</v>
      </c>
      <c r="E1421">
        <v>16</v>
      </c>
      <c r="F1421" t="str">
        <f>VLOOKUP(E1421,[1]LOJA!$A:$B,2,0)</f>
        <v>AG LINDAS</v>
      </c>
      <c r="G1421" t="s">
        <v>19</v>
      </c>
      <c r="H1421" t="s">
        <v>19</v>
      </c>
      <c r="I1421" s="1">
        <v>46034</v>
      </c>
      <c r="J1421" s="1">
        <v>46034</v>
      </c>
      <c r="K1421" s="1">
        <v>46034</v>
      </c>
      <c r="L1421">
        <v>37</v>
      </c>
      <c r="M1421">
        <v>0.51</v>
      </c>
      <c r="N1421">
        <v>0.51</v>
      </c>
      <c r="O1421">
        <v>0</v>
      </c>
      <c r="P1421">
        <v>0</v>
      </c>
      <c r="Q1421" t="s">
        <v>108</v>
      </c>
    </row>
    <row r="1422" spans="1:17">
      <c r="A1422" t="s">
        <v>93</v>
      </c>
      <c r="B1422" t="s">
        <v>106</v>
      </c>
      <c r="C1422" t="s">
        <v>56</v>
      </c>
      <c r="D1422" t="s">
        <v>1205</v>
      </c>
      <c r="E1422">
        <v>16</v>
      </c>
      <c r="F1422" t="str">
        <f>VLOOKUP(E1422,[1]LOJA!$A:$B,2,0)</f>
        <v>AG LINDAS</v>
      </c>
      <c r="G1422" t="s">
        <v>19</v>
      </c>
      <c r="H1422" t="s">
        <v>19</v>
      </c>
      <c r="I1422" s="1">
        <v>46034</v>
      </c>
      <c r="J1422" s="1">
        <v>46034</v>
      </c>
      <c r="K1422" s="1">
        <v>46034</v>
      </c>
      <c r="L1422">
        <v>37</v>
      </c>
      <c r="M1422">
        <v>1.93</v>
      </c>
      <c r="N1422">
        <v>1.93</v>
      </c>
      <c r="O1422">
        <v>0</v>
      </c>
      <c r="P1422">
        <v>0</v>
      </c>
      <c r="Q1422" t="s">
        <v>108</v>
      </c>
    </row>
    <row r="1423" spans="1:17">
      <c r="A1423" t="s">
        <v>93</v>
      </c>
      <c r="B1423" t="s">
        <v>106</v>
      </c>
      <c r="C1423" t="s">
        <v>56</v>
      </c>
      <c r="D1423" t="s">
        <v>1206</v>
      </c>
      <c r="E1423">
        <v>16</v>
      </c>
      <c r="F1423" t="str">
        <f>VLOOKUP(E1423,[1]LOJA!$A:$B,2,0)</f>
        <v>AG LINDAS</v>
      </c>
      <c r="G1423" t="s">
        <v>19</v>
      </c>
      <c r="H1423" t="s">
        <v>19</v>
      </c>
      <c r="I1423" s="1">
        <v>46034</v>
      </c>
      <c r="J1423" s="1">
        <v>46034</v>
      </c>
      <c r="K1423" s="1">
        <v>46034</v>
      </c>
      <c r="L1423">
        <v>37</v>
      </c>
      <c r="M1423">
        <v>4.38</v>
      </c>
      <c r="N1423">
        <v>4.38</v>
      </c>
      <c r="O1423">
        <v>0</v>
      </c>
      <c r="P1423">
        <v>0</v>
      </c>
      <c r="Q1423" t="s">
        <v>108</v>
      </c>
    </row>
    <row r="1424" spans="1:17">
      <c r="A1424" t="s">
        <v>93</v>
      </c>
      <c r="B1424" t="s">
        <v>106</v>
      </c>
      <c r="C1424" t="s">
        <v>56</v>
      </c>
      <c r="D1424" t="s">
        <v>1207</v>
      </c>
      <c r="E1424">
        <v>16</v>
      </c>
      <c r="F1424" t="str">
        <f>VLOOKUP(E1424,[1]LOJA!$A:$B,2,0)</f>
        <v>AG LINDAS</v>
      </c>
      <c r="G1424" t="s">
        <v>19</v>
      </c>
      <c r="H1424" t="s">
        <v>19</v>
      </c>
      <c r="I1424" s="1">
        <v>46034</v>
      </c>
      <c r="J1424" s="1">
        <v>46034</v>
      </c>
      <c r="K1424" s="1">
        <v>46034</v>
      </c>
      <c r="L1424">
        <v>37</v>
      </c>
      <c r="M1424">
        <v>2.5299999999999998</v>
      </c>
      <c r="N1424">
        <v>2.5299999999999998</v>
      </c>
      <c r="O1424">
        <v>0</v>
      </c>
      <c r="P1424">
        <v>0</v>
      </c>
      <c r="Q1424" t="s">
        <v>108</v>
      </c>
    </row>
    <row r="1425" spans="1:17">
      <c r="A1425" t="s">
        <v>93</v>
      </c>
      <c r="B1425" t="s">
        <v>106</v>
      </c>
      <c r="C1425" t="s">
        <v>56</v>
      </c>
      <c r="D1425" t="s">
        <v>1208</v>
      </c>
      <c r="E1425">
        <v>16</v>
      </c>
      <c r="F1425" t="str">
        <f>VLOOKUP(E1425,[1]LOJA!$A:$B,2,0)</f>
        <v>AG LINDAS</v>
      </c>
      <c r="G1425" t="s">
        <v>19</v>
      </c>
      <c r="H1425" t="s">
        <v>19</v>
      </c>
      <c r="I1425" s="1">
        <v>46034</v>
      </c>
      <c r="J1425" s="1">
        <v>46032</v>
      </c>
      <c r="K1425" s="1">
        <v>46034</v>
      </c>
      <c r="L1425">
        <v>37</v>
      </c>
      <c r="M1425">
        <v>0.06</v>
      </c>
      <c r="N1425">
        <v>0.06</v>
      </c>
      <c r="O1425">
        <v>0</v>
      </c>
      <c r="P1425">
        <v>0</v>
      </c>
      <c r="Q1425" t="s">
        <v>108</v>
      </c>
    </row>
    <row r="1426" spans="1:17">
      <c r="A1426" t="s">
        <v>93</v>
      </c>
      <c r="B1426" t="s">
        <v>106</v>
      </c>
      <c r="C1426" t="s">
        <v>56</v>
      </c>
      <c r="D1426" t="s">
        <v>1209</v>
      </c>
      <c r="E1426">
        <v>16</v>
      </c>
      <c r="F1426" t="str">
        <f>VLOOKUP(E1426,[1]LOJA!$A:$B,2,0)</f>
        <v>AG LINDAS</v>
      </c>
      <c r="G1426" t="s">
        <v>19</v>
      </c>
      <c r="H1426" t="s">
        <v>19</v>
      </c>
      <c r="I1426" s="1">
        <v>46034</v>
      </c>
      <c r="J1426" s="1">
        <v>46032</v>
      </c>
      <c r="K1426" s="1">
        <v>46034</v>
      </c>
      <c r="L1426">
        <v>37</v>
      </c>
      <c r="M1426">
        <v>0.46</v>
      </c>
      <c r="N1426">
        <v>0.46</v>
      </c>
      <c r="O1426">
        <v>0</v>
      </c>
      <c r="P1426">
        <v>0</v>
      </c>
      <c r="Q1426" t="s">
        <v>108</v>
      </c>
    </row>
    <row r="1427" spans="1:17">
      <c r="A1427" t="s">
        <v>93</v>
      </c>
      <c r="B1427" t="s">
        <v>106</v>
      </c>
      <c r="C1427" t="s">
        <v>56</v>
      </c>
      <c r="D1427" t="s">
        <v>1210</v>
      </c>
      <c r="E1427">
        <v>16</v>
      </c>
      <c r="F1427" t="str">
        <f>VLOOKUP(E1427,[1]LOJA!$A:$B,2,0)</f>
        <v>AG LINDAS</v>
      </c>
      <c r="G1427" t="s">
        <v>19</v>
      </c>
      <c r="H1427" t="s">
        <v>19</v>
      </c>
      <c r="I1427" s="1">
        <v>46034</v>
      </c>
      <c r="J1427" s="1">
        <v>46032</v>
      </c>
      <c r="K1427" s="1">
        <v>46034</v>
      </c>
      <c r="L1427">
        <v>37</v>
      </c>
      <c r="M1427">
        <v>1.72</v>
      </c>
      <c r="N1427">
        <v>1.72</v>
      </c>
      <c r="O1427">
        <v>0</v>
      </c>
      <c r="P1427">
        <v>0</v>
      </c>
      <c r="Q1427" t="s">
        <v>108</v>
      </c>
    </row>
    <row r="1428" spans="1:17">
      <c r="A1428" t="s">
        <v>93</v>
      </c>
      <c r="B1428" t="s">
        <v>106</v>
      </c>
      <c r="C1428" t="s">
        <v>56</v>
      </c>
      <c r="D1428" t="s">
        <v>1211</v>
      </c>
      <c r="E1428">
        <v>16</v>
      </c>
      <c r="F1428" t="str">
        <f>VLOOKUP(E1428,[1]LOJA!$A:$B,2,0)</f>
        <v>AG LINDAS</v>
      </c>
      <c r="G1428" t="s">
        <v>19</v>
      </c>
      <c r="H1428" t="s">
        <v>19</v>
      </c>
      <c r="I1428" s="1">
        <v>46034</v>
      </c>
      <c r="J1428" s="1">
        <v>46032</v>
      </c>
      <c r="K1428" s="1">
        <v>46034</v>
      </c>
      <c r="L1428">
        <v>37</v>
      </c>
      <c r="M1428">
        <v>0.16</v>
      </c>
      <c r="N1428">
        <v>0.16</v>
      </c>
      <c r="O1428">
        <v>0</v>
      </c>
      <c r="P1428">
        <v>0</v>
      </c>
      <c r="Q1428" t="s">
        <v>108</v>
      </c>
    </row>
    <row r="1429" spans="1:17">
      <c r="A1429" t="s">
        <v>93</v>
      </c>
      <c r="B1429" t="s">
        <v>106</v>
      </c>
      <c r="C1429" t="s">
        <v>56</v>
      </c>
      <c r="D1429" t="s">
        <v>1212</v>
      </c>
      <c r="E1429">
        <v>16</v>
      </c>
      <c r="F1429" t="str">
        <f>VLOOKUP(E1429,[1]LOJA!$A:$B,2,0)</f>
        <v>AG LINDAS</v>
      </c>
      <c r="G1429" t="s">
        <v>19</v>
      </c>
      <c r="H1429" t="s">
        <v>19</v>
      </c>
      <c r="I1429" s="1">
        <v>46034</v>
      </c>
      <c r="J1429" s="1">
        <v>46032</v>
      </c>
      <c r="K1429" s="1">
        <v>46034</v>
      </c>
      <c r="L1429">
        <v>37</v>
      </c>
      <c r="M1429">
        <v>0.32</v>
      </c>
      <c r="N1429">
        <v>0.32</v>
      </c>
      <c r="O1429">
        <v>0</v>
      </c>
      <c r="P1429">
        <v>0</v>
      </c>
      <c r="Q1429" t="s">
        <v>108</v>
      </c>
    </row>
    <row r="1430" spans="1:17">
      <c r="A1430" t="s">
        <v>93</v>
      </c>
      <c r="B1430" t="s">
        <v>106</v>
      </c>
      <c r="C1430" t="s">
        <v>56</v>
      </c>
      <c r="D1430" t="s">
        <v>1213</v>
      </c>
      <c r="E1430">
        <v>16</v>
      </c>
      <c r="F1430" t="str">
        <f>VLOOKUP(E1430,[1]LOJA!$A:$B,2,0)</f>
        <v>AG LINDAS</v>
      </c>
      <c r="G1430" t="s">
        <v>19</v>
      </c>
      <c r="H1430" t="s">
        <v>19</v>
      </c>
      <c r="I1430" s="1">
        <v>46034</v>
      </c>
      <c r="J1430" s="1">
        <v>46032</v>
      </c>
      <c r="K1430" s="1">
        <v>46034</v>
      </c>
      <c r="L1430">
        <v>37</v>
      </c>
      <c r="M1430">
        <v>0.2</v>
      </c>
      <c r="N1430">
        <v>0.2</v>
      </c>
      <c r="O1430">
        <v>0</v>
      </c>
      <c r="P1430">
        <v>0</v>
      </c>
      <c r="Q1430" t="s">
        <v>108</v>
      </c>
    </row>
    <row r="1431" spans="1:17">
      <c r="A1431" t="s">
        <v>93</v>
      </c>
      <c r="B1431" t="s">
        <v>106</v>
      </c>
      <c r="C1431" t="s">
        <v>56</v>
      </c>
      <c r="D1431" t="s">
        <v>1214</v>
      </c>
      <c r="E1431">
        <v>16</v>
      </c>
      <c r="F1431" t="str">
        <f>VLOOKUP(E1431,[1]LOJA!$A:$B,2,0)</f>
        <v>AG LINDAS</v>
      </c>
      <c r="G1431" t="s">
        <v>19</v>
      </c>
      <c r="H1431" t="s">
        <v>19</v>
      </c>
      <c r="I1431" s="1">
        <v>46034</v>
      </c>
      <c r="J1431" s="1">
        <v>46033</v>
      </c>
      <c r="K1431" s="1">
        <v>46034</v>
      </c>
      <c r="L1431">
        <v>37</v>
      </c>
      <c r="M1431">
        <v>0.05</v>
      </c>
      <c r="N1431">
        <v>0.05</v>
      </c>
      <c r="O1431">
        <v>0</v>
      </c>
      <c r="P1431">
        <v>0</v>
      </c>
      <c r="Q1431" t="s">
        <v>108</v>
      </c>
    </row>
    <row r="1432" spans="1:17">
      <c r="A1432" t="s">
        <v>93</v>
      </c>
      <c r="B1432" t="s">
        <v>106</v>
      </c>
      <c r="C1432" t="s">
        <v>56</v>
      </c>
      <c r="D1432" t="s">
        <v>1215</v>
      </c>
      <c r="E1432">
        <v>16</v>
      </c>
      <c r="F1432" t="str">
        <f>VLOOKUP(E1432,[1]LOJA!$A:$B,2,0)</f>
        <v>AG LINDAS</v>
      </c>
      <c r="G1432" t="s">
        <v>19</v>
      </c>
      <c r="H1432" t="s">
        <v>19</v>
      </c>
      <c r="I1432" s="1">
        <v>46034</v>
      </c>
      <c r="J1432" s="1">
        <v>46033</v>
      </c>
      <c r="K1432" s="1">
        <v>46034</v>
      </c>
      <c r="L1432">
        <v>37</v>
      </c>
      <c r="M1432">
        <v>0.3</v>
      </c>
      <c r="N1432">
        <v>0.3</v>
      </c>
      <c r="O1432">
        <v>0</v>
      </c>
      <c r="P1432">
        <v>0</v>
      </c>
      <c r="Q1432" t="s">
        <v>108</v>
      </c>
    </row>
    <row r="1433" spans="1:17">
      <c r="A1433" t="s">
        <v>93</v>
      </c>
      <c r="B1433" t="s">
        <v>106</v>
      </c>
      <c r="C1433" t="s">
        <v>56</v>
      </c>
      <c r="D1433" t="s">
        <v>1216</v>
      </c>
      <c r="E1433">
        <v>16</v>
      </c>
      <c r="F1433" t="str">
        <f>VLOOKUP(E1433,[1]LOJA!$A:$B,2,0)</f>
        <v>AG LINDAS</v>
      </c>
      <c r="G1433" t="s">
        <v>19</v>
      </c>
      <c r="H1433" t="s">
        <v>19</v>
      </c>
      <c r="I1433" s="1">
        <v>46034</v>
      </c>
      <c r="J1433" s="1">
        <v>46033</v>
      </c>
      <c r="K1433" s="1">
        <v>46034</v>
      </c>
      <c r="L1433">
        <v>37</v>
      </c>
      <c r="M1433">
        <v>0.05</v>
      </c>
      <c r="N1433">
        <v>0.05</v>
      </c>
      <c r="O1433">
        <v>0</v>
      </c>
      <c r="P1433">
        <v>0</v>
      </c>
      <c r="Q1433" t="s">
        <v>108</v>
      </c>
    </row>
    <row r="1434" spans="1:17">
      <c r="A1434" t="s">
        <v>93</v>
      </c>
      <c r="B1434" t="s">
        <v>106</v>
      </c>
      <c r="C1434" t="s">
        <v>56</v>
      </c>
      <c r="D1434" t="s">
        <v>1217</v>
      </c>
      <c r="E1434">
        <v>16</v>
      </c>
      <c r="F1434" t="str">
        <f>VLOOKUP(E1434,[1]LOJA!$A:$B,2,0)</f>
        <v>AG LINDAS</v>
      </c>
      <c r="G1434" t="s">
        <v>19</v>
      </c>
      <c r="H1434" t="s">
        <v>19</v>
      </c>
      <c r="I1434" s="1">
        <v>46034</v>
      </c>
      <c r="J1434" s="1">
        <v>46033</v>
      </c>
      <c r="K1434" s="1">
        <v>46034</v>
      </c>
      <c r="L1434">
        <v>37</v>
      </c>
      <c r="M1434">
        <v>0.47</v>
      </c>
      <c r="N1434">
        <v>0.47</v>
      </c>
      <c r="O1434">
        <v>0</v>
      </c>
      <c r="P1434">
        <v>0</v>
      </c>
      <c r="Q1434" t="s">
        <v>108</v>
      </c>
    </row>
    <row r="1435" spans="1:17">
      <c r="A1435" t="s">
        <v>93</v>
      </c>
      <c r="B1435" t="s">
        <v>106</v>
      </c>
      <c r="C1435" t="s">
        <v>56</v>
      </c>
      <c r="D1435" t="s">
        <v>1218</v>
      </c>
      <c r="E1435">
        <v>16</v>
      </c>
      <c r="F1435" t="str">
        <f>VLOOKUP(E1435,[1]LOJA!$A:$B,2,0)</f>
        <v>AG LINDAS</v>
      </c>
      <c r="G1435" t="s">
        <v>19</v>
      </c>
      <c r="H1435" t="s">
        <v>19</v>
      </c>
      <c r="I1435" s="1">
        <v>46034</v>
      </c>
      <c r="J1435" s="1">
        <v>46033</v>
      </c>
      <c r="K1435" s="1">
        <v>46034</v>
      </c>
      <c r="L1435">
        <v>37</v>
      </c>
      <c r="M1435">
        <v>0.11</v>
      </c>
      <c r="N1435">
        <v>0.11</v>
      </c>
      <c r="O1435">
        <v>0</v>
      </c>
      <c r="P1435">
        <v>0</v>
      </c>
      <c r="Q1435" t="s">
        <v>108</v>
      </c>
    </row>
    <row r="1436" spans="1:17">
      <c r="A1436" t="s">
        <v>93</v>
      </c>
      <c r="B1436" t="s">
        <v>106</v>
      </c>
      <c r="C1436" t="s">
        <v>56</v>
      </c>
      <c r="D1436" t="s">
        <v>1219</v>
      </c>
      <c r="E1436">
        <v>16</v>
      </c>
      <c r="F1436" t="str">
        <f>VLOOKUP(E1436,[1]LOJA!$A:$B,2,0)</f>
        <v>AG LINDAS</v>
      </c>
      <c r="G1436" t="s">
        <v>19</v>
      </c>
      <c r="H1436" t="s">
        <v>19</v>
      </c>
      <c r="I1436" s="1">
        <v>46034</v>
      </c>
      <c r="J1436" s="1">
        <v>46033</v>
      </c>
      <c r="K1436" s="1">
        <v>46034</v>
      </c>
      <c r="L1436">
        <v>37</v>
      </c>
      <c r="M1436">
        <v>0.2</v>
      </c>
      <c r="N1436">
        <v>0.2</v>
      </c>
      <c r="O1436">
        <v>0</v>
      </c>
      <c r="P1436">
        <v>0</v>
      </c>
      <c r="Q1436" t="s">
        <v>108</v>
      </c>
    </row>
    <row r="1437" spans="1:17">
      <c r="A1437" t="s">
        <v>93</v>
      </c>
      <c r="B1437" t="s">
        <v>106</v>
      </c>
      <c r="C1437" t="s">
        <v>56</v>
      </c>
      <c r="D1437" t="s">
        <v>1220</v>
      </c>
      <c r="E1437">
        <v>16</v>
      </c>
      <c r="F1437" t="str">
        <f>VLOOKUP(E1437,[1]LOJA!$A:$B,2,0)</f>
        <v>AG LINDAS</v>
      </c>
      <c r="G1437" t="s">
        <v>19</v>
      </c>
      <c r="H1437" t="s">
        <v>19</v>
      </c>
      <c r="I1437" s="1">
        <v>46034</v>
      </c>
      <c r="J1437" s="1">
        <v>46033</v>
      </c>
      <c r="K1437" s="1">
        <v>46034</v>
      </c>
      <c r="L1437">
        <v>37</v>
      </c>
      <c r="M1437">
        <v>0.19</v>
      </c>
      <c r="N1437">
        <v>0.19</v>
      </c>
      <c r="O1437">
        <v>0</v>
      </c>
      <c r="P1437">
        <v>0</v>
      </c>
      <c r="Q1437" t="s">
        <v>108</v>
      </c>
    </row>
    <row r="1438" spans="1:17">
      <c r="A1438" t="s">
        <v>93</v>
      </c>
      <c r="B1438" t="s">
        <v>106</v>
      </c>
      <c r="C1438" t="s">
        <v>56</v>
      </c>
      <c r="D1438" t="s">
        <v>1221</v>
      </c>
      <c r="E1438">
        <v>16</v>
      </c>
      <c r="F1438" t="str">
        <f>VLOOKUP(E1438,[1]LOJA!$A:$B,2,0)</f>
        <v>AG LINDAS</v>
      </c>
      <c r="G1438" t="s">
        <v>19</v>
      </c>
      <c r="H1438" t="s">
        <v>19</v>
      </c>
      <c r="I1438" s="1">
        <v>46034</v>
      </c>
      <c r="J1438" s="1">
        <v>46033</v>
      </c>
      <c r="K1438" s="1">
        <v>46034</v>
      </c>
      <c r="L1438">
        <v>37</v>
      </c>
      <c r="M1438">
        <v>0.56999999999999995</v>
      </c>
      <c r="N1438">
        <v>0.56999999999999995</v>
      </c>
      <c r="O1438">
        <v>0</v>
      </c>
      <c r="P1438">
        <v>0</v>
      </c>
      <c r="Q1438" t="s">
        <v>108</v>
      </c>
    </row>
    <row r="1439" spans="1:17">
      <c r="A1439" t="s">
        <v>93</v>
      </c>
      <c r="B1439" t="s">
        <v>106</v>
      </c>
      <c r="C1439" t="s">
        <v>56</v>
      </c>
      <c r="D1439" t="s">
        <v>1222</v>
      </c>
      <c r="E1439">
        <v>16</v>
      </c>
      <c r="F1439" t="str">
        <f>VLOOKUP(E1439,[1]LOJA!$A:$B,2,0)</f>
        <v>AG LINDAS</v>
      </c>
      <c r="G1439" t="s">
        <v>19</v>
      </c>
      <c r="H1439" t="s">
        <v>19</v>
      </c>
      <c r="I1439" s="1">
        <v>46035</v>
      </c>
      <c r="J1439" s="1">
        <v>46035</v>
      </c>
      <c r="K1439" s="1">
        <v>46035</v>
      </c>
      <c r="L1439">
        <v>37</v>
      </c>
      <c r="M1439">
        <v>4.7</v>
      </c>
      <c r="N1439">
        <v>4.7</v>
      </c>
      <c r="O1439">
        <v>0</v>
      </c>
      <c r="P1439">
        <v>0</v>
      </c>
      <c r="Q1439" t="s">
        <v>108</v>
      </c>
    </row>
    <row r="1440" spans="1:17">
      <c r="A1440" t="s">
        <v>93</v>
      </c>
      <c r="B1440" t="s">
        <v>106</v>
      </c>
      <c r="C1440" t="s">
        <v>56</v>
      </c>
      <c r="D1440" t="s">
        <v>1223</v>
      </c>
      <c r="E1440">
        <v>16</v>
      </c>
      <c r="F1440" t="str">
        <f>VLOOKUP(E1440,[1]LOJA!$A:$B,2,0)</f>
        <v>AG LINDAS</v>
      </c>
      <c r="G1440" t="s">
        <v>19</v>
      </c>
      <c r="H1440" t="s">
        <v>19</v>
      </c>
      <c r="I1440" s="1">
        <v>46035</v>
      </c>
      <c r="J1440" s="1">
        <v>46035</v>
      </c>
      <c r="K1440" s="1">
        <v>46035</v>
      </c>
      <c r="L1440">
        <v>37</v>
      </c>
      <c r="M1440">
        <v>2.92</v>
      </c>
      <c r="N1440">
        <v>2.92</v>
      </c>
      <c r="O1440">
        <v>0</v>
      </c>
      <c r="P1440">
        <v>0</v>
      </c>
      <c r="Q1440" t="s">
        <v>108</v>
      </c>
    </row>
    <row r="1441" spans="1:17">
      <c r="A1441" t="s">
        <v>93</v>
      </c>
      <c r="B1441" t="s">
        <v>106</v>
      </c>
      <c r="C1441" t="s">
        <v>56</v>
      </c>
      <c r="D1441" t="s">
        <v>1224</v>
      </c>
      <c r="E1441">
        <v>16</v>
      </c>
      <c r="F1441" t="str">
        <f>VLOOKUP(E1441,[1]LOJA!$A:$B,2,0)</f>
        <v>AG LINDAS</v>
      </c>
      <c r="G1441" t="s">
        <v>19</v>
      </c>
      <c r="H1441" t="s">
        <v>19</v>
      </c>
      <c r="I1441" s="1">
        <v>46035</v>
      </c>
      <c r="J1441" s="1">
        <v>46035</v>
      </c>
      <c r="K1441" s="1">
        <v>46035</v>
      </c>
      <c r="L1441">
        <v>37</v>
      </c>
      <c r="M1441">
        <v>4.95</v>
      </c>
      <c r="N1441">
        <v>4.95</v>
      </c>
      <c r="O1441">
        <v>0</v>
      </c>
      <c r="P1441">
        <v>0</v>
      </c>
      <c r="Q1441" t="s">
        <v>108</v>
      </c>
    </row>
    <row r="1442" spans="1:17">
      <c r="A1442" t="s">
        <v>93</v>
      </c>
      <c r="B1442" t="s">
        <v>106</v>
      </c>
      <c r="C1442" t="s">
        <v>56</v>
      </c>
      <c r="D1442" t="s">
        <v>1225</v>
      </c>
      <c r="E1442">
        <v>16</v>
      </c>
      <c r="F1442" t="str">
        <f>VLOOKUP(E1442,[1]LOJA!$A:$B,2,0)</f>
        <v>AG LINDAS</v>
      </c>
      <c r="G1442" t="s">
        <v>19</v>
      </c>
      <c r="H1442" t="s">
        <v>19</v>
      </c>
      <c r="I1442" s="1">
        <v>46035</v>
      </c>
      <c r="J1442" s="1">
        <v>46035</v>
      </c>
      <c r="K1442" s="1">
        <v>46035</v>
      </c>
      <c r="L1442">
        <v>37</v>
      </c>
      <c r="M1442">
        <v>3.75</v>
      </c>
      <c r="N1442">
        <v>3.75</v>
      </c>
      <c r="O1442">
        <v>0</v>
      </c>
      <c r="P1442">
        <v>0</v>
      </c>
      <c r="Q1442" t="s">
        <v>108</v>
      </c>
    </row>
    <row r="1443" spans="1:17">
      <c r="A1443" t="s">
        <v>93</v>
      </c>
      <c r="B1443" t="s">
        <v>106</v>
      </c>
      <c r="C1443" t="s">
        <v>56</v>
      </c>
      <c r="D1443" t="s">
        <v>1226</v>
      </c>
      <c r="E1443">
        <v>16</v>
      </c>
      <c r="F1443" t="str">
        <f>VLOOKUP(E1443,[1]LOJA!$A:$B,2,0)</f>
        <v>AG LINDAS</v>
      </c>
      <c r="G1443" t="s">
        <v>19</v>
      </c>
      <c r="H1443" t="s">
        <v>19</v>
      </c>
      <c r="I1443" s="1">
        <v>46035</v>
      </c>
      <c r="J1443" s="1">
        <v>46035</v>
      </c>
      <c r="K1443" s="1">
        <v>46035</v>
      </c>
      <c r="L1443">
        <v>37</v>
      </c>
      <c r="M1443">
        <v>0.28999999999999998</v>
      </c>
      <c r="N1443">
        <v>0.28999999999999998</v>
      </c>
      <c r="O1443">
        <v>0</v>
      </c>
      <c r="P1443">
        <v>0</v>
      </c>
      <c r="Q1443" t="s">
        <v>108</v>
      </c>
    </row>
    <row r="1444" spans="1:17">
      <c r="A1444" t="s">
        <v>93</v>
      </c>
      <c r="B1444" t="s">
        <v>106</v>
      </c>
      <c r="C1444" t="s">
        <v>56</v>
      </c>
      <c r="D1444" t="s">
        <v>1227</v>
      </c>
      <c r="E1444">
        <v>16</v>
      </c>
      <c r="F1444" t="str">
        <f>VLOOKUP(E1444,[1]LOJA!$A:$B,2,0)</f>
        <v>AG LINDAS</v>
      </c>
      <c r="G1444" t="s">
        <v>19</v>
      </c>
      <c r="H1444" t="s">
        <v>19</v>
      </c>
      <c r="I1444" s="1">
        <v>46035</v>
      </c>
      <c r="J1444" s="1">
        <v>46035</v>
      </c>
      <c r="K1444" s="1">
        <v>46035</v>
      </c>
      <c r="L1444">
        <v>37</v>
      </c>
      <c r="M1444">
        <v>0.26</v>
      </c>
      <c r="N1444">
        <v>0.26</v>
      </c>
      <c r="O1444">
        <v>0</v>
      </c>
      <c r="P1444">
        <v>0</v>
      </c>
      <c r="Q1444" t="s">
        <v>108</v>
      </c>
    </row>
    <row r="1445" spans="1:17">
      <c r="A1445" t="s">
        <v>93</v>
      </c>
      <c r="B1445" t="s">
        <v>106</v>
      </c>
      <c r="C1445" t="s">
        <v>56</v>
      </c>
      <c r="D1445" t="s">
        <v>1228</v>
      </c>
      <c r="E1445">
        <v>16</v>
      </c>
      <c r="F1445" t="str">
        <f>VLOOKUP(E1445,[1]LOJA!$A:$B,2,0)</f>
        <v>AG LINDAS</v>
      </c>
      <c r="G1445" t="s">
        <v>19</v>
      </c>
      <c r="H1445" t="s">
        <v>19</v>
      </c>
      <c r="I1445" s="1">
        <v>46035</v>
      </c>
      <c r="J1445" s="1">
        <v>46035</v>
      </c>
      <c r="K1445" s="1">
        <v>46035</v>
      </c>
      <c r="L1445">
        <v>37</v>
      </c>
      <c r="M1445">
        <v>6.88</v>
      </c>
      <c r="N1445">
        <v>6.88</v>
      </c>
      <c r="O1445">
        <v>0</v>
      </c>
      <c r="P1445">
        <v>0</v>
      </c>
      <c r="Q1445" t="s">
        <v>108</v>
      </c>
    </row>
    <row r="1446" spans="1:17">
      <c r="A1446" t="s">
        <v>93</v>
      </c>
      <c r="B1446" t="s">
        <v>106</v>
      </c>
      <c r="C1446" t="s">
        <v>56</v>
      </c>
      <c r="D1446" t="s">
        <v>1229</v>
      </c>
      <c r="E1446">
        <v>16</v>
      </c>
      <c r="F1446" t="str">
        <f>VLOOKUP(E1446,[1]LOJA!$A:$B,2,0)</f>
        <v>AG LINDAS</v>
      </c>
      <c r="G1446" t="s">
        <v>19</v>
      </c>
      <c r="H1446" t="s">
        <v>19</v>
      </c>
      <c r="I1446" s="1">
        <v>46035</v>
      </c>
      <c r="J1446" s="1">
        <v>46035</v>
      </c>
      <c r="K1446" s="1">
        <v>46035</v>
      </c>
      <c r="L1446">
        <v>37</v>
      </c>
      <c r="M1446">
        <v>7.03</v>
      </c>
      <c r="N1446">
        <v>7.03</v>
      </c>
      <c r="O1446">
        <v>0</v>
      </c>
      <c r="P1446">
        <v>0</v>
      </c>
      <c r="Q1446" t="s">
        <v>108</v>
      </c>
    </row>
    <row r="1447" spans="1:17">
      <c r="A1447" t="s">
        <v>93</v>
      </c>
      <c r="B1447" t="s">
        <v>106</v>
      </c>
      <c r="C1447" t="s">
        <v>56</v>
      </c>
      <c r="D1447" t="s">
        <v>1230</v>
      </c>
      <c r="E1447">
        <v>16</v>
      </c>
      <c r="F1447" t="str">
        <f>VLOOKUP(E1447,[1]LOJA!$A:$B,2,0)</f>
        <v>AG LINDAS</v>
      </c>
      <c r="G1447" t="s">
        <v>19</v>
      </c>
      <c r="H1447" t="s">
        <v>19</v>
      </c>
      <c r="I1447" s="1">
        <v>46035</v>
      </c>
      <c r="J1447" s="1">
        <v>46035</v>
      </c>
      <c r="K1447" s="1">
        <v>46035</v>
      </c>
      <c r="L1447">
        <v>37</v>
      </c>
      <c r="M1447">
        <v>0.48</v>
      </c>
      <c r="N1447">
        <v>0.48</v>
      </c>
      <c r="O1447">
        <v>0</v>
      </c>
      <c r="P1447">
        <v>0</v>
      </c>
      <c r="Q1447" t="s">
        <v>108</v>
      </c>
    </row>
    <row r="1448" spans="1:17">
      <c r="A1448" t="s">
        <v>93</v>
      </c>
      <c r="B1448" t="s">
        <v>106</v>
      </c>
      <c r="C1448" t="s">
        <v>56</v>
      </c>
      <c r="D1448" t="s">
        <v>1231</v>
      </c>
      <c r="E1448">
        <v>16</v>
      </c>
      <c r="F1448" t="str">
        <f>VLOOKUP(E1448,[1]LOJA!$A:$B,2,0)</f>
        <v>AG LINDAS</v>
      </c>
      <c r="G1448" t="s">
        <v>19</v>
      </c>
      <c r="H1448" t="s">
        <v>19</v>
      </c>
      <c r="I1448" s="1">
        <v>46035</v>
      </c>
      <c r="J1448" s="1">
        <v>46035</v>
      </c>
      <c r="K1448" s="1">
        <v>46035</v>
      </c>
      <c r="L1448">
        <v>37</v>
      </c>
      <c r="M1448">
        <v>0.28999999999999998</v>
      </c>
      <c r="N1448">
        <v>0.28999999999999998</v>
      </c>
      <c r="O1448">
        <v>0</v>
      </c>
      <c r="P1448">
        <v>0</v>
      </c>
      <c r="Q1448" t="s">
        <v>108</v>
      </c>
    </row>
    <row r="1449" spans="1:17">
      <c r="A1449" t="s">
        <v>93</v>
      </c>
      <c r="B1449" t="s">
        <v>106</v>
      </c>
      <c r="C1449" t="s">
        <v>56</v>
      </c>
      <c r="D1449" t="s">
        <v>1232</v>
      </c>
      <c r="E1449">
        <v>16</v>
      </c>
      <c r="F1449" t="str">
        <f>VLOOKUP(E1449,[1]LOJA!$A:$B,2,0)</f>
        <v>AG LINDAS</v>
      </c>
      <c r="G1449" t="s">
        <v>19</v>
      </c>
      <c r="H1449" t="s">
        <v>19</v>
      </c>
      <c r="I1449" s="1">
        <v>46035</v>
      </c>
      <c r="J1449" s="1">
        <v>46035</v>
      </c>
      <c r="K1449" s="1">
        <v>46035</v>
      </c>
      <c r="L1449">
        <v>37</v>
      </c>
      <c r="M1449">
        <v>0.49</v>
      </c>
      <c r="N1449">
        <v>0.49</v>
      </c>
      <c r="O1449">
        <v>0</v>
      </c>
      <c r="P1449">
        <v>0</v>
      </c>
      <c r="Q1449" t="s">
        <v>108</v>
      </c>
    </row>
    <row r="1450" spans="1:17">
      <c r="A1450" t="s">
        <v>93</v>
      </c>
      <c r="B1450" t="s">
        <v>106</v>
      </c>
      <c r="C1450" t="s">
        <v>56</v>
      </c>
      <c r="D1450" t="s">
        <v>1233</v>
      </c>
      <c r="E1450">
        <v>16</v>
      </c>
      <c r="F1450" t="str">
        <f>VLOOKUP(E1450,[1]LOJA!$A:$B,2,0)</f>
        <v>AG LINDAS</v>
      </c>
      <c r="G1450" t="s">
        <v>19</v>
      </c>
      <c r="H1450" t="s">
        <v>19</v>
      </c>
      <c r="I1450" s="1">
        <v>46035</v>
      </c>
      <c r="J1450" s="1">
        <v>46035</v>
      </c>
      <c r="K1450" s="1">
        <v>46035</v>
      </c>
      <c r="L1450">
        <v>37</v>
      </c>
      <c r="M1450">
        <v>1.64</v>
      </c>
      <c r="N1450">
        <v>1.64</v>
      </c>
      <c r="O1450">
        <v>0</v>
      </c>
      <c r="P1450">
        <v>0</v>
      </c>
      <c r="Q1450" t="s">
        <v>108</v>
      </c>
    </row>
    <row r="1451" spans="1:17">
      <c r="A1451" t="s">
        <v>93</v>
      </c>
      <c r="B1451" t="s">
        <v>106</v>
      </c>
      <c r="C1451" t="s">
        <v>56</v>
      </c>
      <c r="D1451" t="s">
        <v>1234</v>
      </c>
      <c r="E1451">
        <v>16</v>
      </c>
      <c r="F1451" t="str">
        <f>VLOOKUP(E1451,[1]LOJA!$A:$B,2,0)</f>
        <v>AG LINDAS</v>
      </c>
      <c r="G1451" t="s">
        <v>19</v>
      </c>
      <c r="H1451" t="s">
        <v>19</v>
      </c>
      <c r="I1451" s="1">
        <v>46036</v>
      </c>
      <c r="J1451" s="1">
        <v>46036</v>
      </c>
      <c r="K1451" s="1">
        <v>46036</v>
      </c>
      <c r="L1451">
        <v>37</v>
      </c>
      <c r="M1451">
        <v>5.07</v>
      </c>
      <c r="N1451">
        <v>5.07</v>
      </c>
      <c r="O1451">
        <v>0</v>
      </c>
      <c r="P1451">
        <v>0</v>
      </c>
      <c r="Q1451" t="s">
        <v>108</v>
      </c>
    </row>
    <row r="1452" spans="1:17">
      <c r="A1452" t="s">
        <v>93</v>
      </c>
      <c r="B1452" t="s">
        <v>106</v>
      </c>
      <c r="C1452" t="s">
        <v>56</v>
      </c>
      <c r="D1452" t="s">
        <v>1235</v>
      </c>
      <c r="E1452">
        <v>16</v>
      </c>
      <c r="F1452" t="str">
        <f>VLOOKUP(E1452,[1]LOJA!$A:$B,2,0)</f>
        <v>AG LINDAS</v>
      </c>
      <c r="G1452" t="s">
        <v>19</v>
      </c>
      <c r="H1452" t="s">
        <v>19</v>
      </c>
      <c r="I1452" s="1">
        <v>46036</v>
      </c>
      <c r="J1452" s="1">
        <v>46036</v>
      </c>
      <c r="K1452" s="1">
        <v>46036</v>
      </c>
      <c r="L1452">
        <v>37</v>
      </c>
      <c r="M1452">
        <v>2.88</v>
      </c>
      <c r="N1452">
        <v>2.88</v>
      </c>
      <c r="O1452">
        <v>0</v>
      </c>
      <c r="P1452">
        <v>0</v>
      </c>
      <c r="Q1452" t="s">
        <v>108</v>
      </c>
    </row>
    <row r="1453" spans="1:17">
      <c r="A1453" t="s">
        <v>93</v>
      </c>
      <c r="B1453" t="s">
        <v>106</v>
      </c>
      <c r="C1453" t="s">
        <v>56</v>
      </c>
      <c r="D1453" t="s">
        <v>1236</v>
      </c>
      <c r="E1453">
        <v>16</v>
      </c>
      <c r="F1453" t="str">
        <f>VLOOKUP(E1453,[1]LOJA!$A:$B,2,0)</f>
        <v>AG LINDAS</v>
      </c>
      <c r="G1453" t="s">
        <v>19</v>
      </c>
      <c r="H1453" t="s">
        <v>19</v>
      </c>
      <c r="I1453" s="1">
        <v>46036</v>
      </c>
      <c r="J1453" s="1">
        <v>46036</v>
      </c>
      <c r="K1453" s="1">
        <v>46036</v>
      </c>
      <c r="L1453">
        <v>37</v>
      </c>
      <c r="M1453">
        <v>19.45</v>
      </c>
      <c r="N1453">
        <v>19.45</v>
      </c>
      <c r="O1453">
        <v>0</v>
      </c>
      <c r="P1453">
        <v>0</v>
      </c>
      <c r="Q1453" t="s">
        <v>108</v>
      </c>
    </row>
    <row r="1454" spans="1:17">
      <c r="A1454" t="s">
        <v>93</v>
      </c>
      <c r="B1454" t="s">
        <v>106</v>
      </c>
      <c r="C1454" t="s">
        <v>56</v>
      </c>
      <c r="D1454" t="s">
        <v>1237</v>
      </c>
      <c r="E1454">
        <v>16</v>
      </c>
      <c r="F1454" t="str">
        <f>VLOOKUP(E1454,[1]LOJA!$A:$B,2,0)</f>
        <v>AG LINDAS</v>
      </c>
      <c r="G1454" t="s">
        <v>19</v>
      </c>
      <c r="H1454" t="s">
        <v>19</v>
      </c>
      <c r="I1454" s="1">
        <v>46036</v>
      </c>
      <c r="J1454" s="1">
        <v>46036</v>
      </c>
      <c r="K1454" s="1">
        <v>46036</v>
      </c>
      <c r="L1454">
        <v>37</v>
      </c>
      <c r="M1454">
        <v>0.36</v>
      </c>
      <c r="N1454">
        <v>0.36</v>
      </c>
      <c r="O1454">
        <v>0</v>
      </c>
      <c r="P1454">
        <v>0</v>
      </c>
      <c r="Q1454" t="s">
        <v>108</v>
      </c>
    </row>
    <row r="1455" spans="1:17">
      <c r="A1455" t="s">
        <v>93</v>
      </c>
      <c r="B1455" t="s">
        <v>106</v>
      </c>
      <c r="C1455" t="s">
        <v>56</v>
      </c>
      <c r="D1455" t="s">
        <v>1238</v>
      </c>
      <c r="E1455">
        <v>16</v>
      </c>
      <c r="F1455" t="str">
        <f>VLOOKUP(E1455,[1]LOJA!$A:$B,2,0)</f>
        <v>AG LINDAS</v>
      </c>
      <c r="G1455" t="s">
        <v>19</v>
      </c>
      <c r="H1455" t="s">
        <v>19</v>
      </c>
      <c r="I1455" s="1">
        <v>46036</v>
      </c>
      <c r="J1455" s="1">
        <v>46036</v>
      </c>
      <c r="K1455" s="1">
        <v>46036</v>
      </c>
      <c r="L1455">
        <v>37</v>
      </c>
      <c r="M1455">
        <v>0.82</v>
      </c>
      <c r="N1455">
        <v>0.82</v>
      </c>
      <c r="O1455">
        <v>0</v>
      </c>
      <c r="P1455">
        <v>0</v>
      </c>
      <c r="Q1455" t="s">
        <v>108</v>
      </c>
    </row>
    <row r="1456" spans="1:17">
      <c r="A1456" t="s">
        <v>93</v>
      </c>
      <c r="B1456" t="s">
        <v>106</v>
      </c>
      <c r="C1456" t="s">
        <v>56</v>
      </c>
      <c r="D1456" t="s">
        <v>1239</v>
      </c>
      <c r="E1456">
        <v>16</v>
      </c>
      <c r="F1456" t="str">
        <f>VLOOKUP(E1456,[1]LOJA!$A:$B,2,0)</f>
        <v>AG LINDAS</v>
      </c>
      <c r="G1456" t="s">
        <v>19</v>
      </c>
      <c r="H1456" t="s">
        <v>19</v>
      </c>
      <c r="I1456" s="1">
        <v>46036</v>
      </c>
      <c r="J1456" s="1">
        <v>46036</v>
      </c>
      <c r="K1456" s="1">
        <v>46036</v>
      </c>
      <c r="L1456">
        <v>37</v>
      </c>
      <c r="M1456">
        <v>0.39</v>
      </c>
      <c r="N1456">
        <v>0.39</v>
      </c>
      <c r="O1456">
        <v>0</v>
      </c>
      <c r="P1456">
        <v>0</v>
      </c>
      <c r="Q1456" t="s">
        <v>108</v>
      </c>
    </row>
    <row r="1457" spans="1:17">
      <c r="A1457" t="s">
        <v>93</v>
      </c>
      <c r="B1457" t="s">
        <v>106</v>
      </c>
      <c r="C1457" t="s">
        <v>56</v>
      </c>
      <c r="D1457" t="s">
        <v>1240</v>
      </c>
      <c r="E1457">
        <v>16</v>
      </c>
      <c r="F1457" t="str">
        <f>VLOOKUP(E1457,[1]LOJA!$A:$B,2,0)</f>
        <v>AG LINDAS</v>
      </c>
      <c r="G1457" t="s">
        <v>19</v>
      </c>
      <c r="H1457" t="s">
        <v>19</v>
      </c>
      <c r="I1457" s="1">
        <v>46036</v>
      </c>
      <c r="J1457" s="1">
        <v>46036</v>
      </c>
      <c r="K1457" s="1">
        <v>46036</v>
      </c>
      <c r="L1457">
        <v>37</v>
      </c>
      <c r="M1457">
        <v>0.27</v>
      </c>
      <c r="N1457">
        <v>0.27</v>
      </c>
      <c r="O1457">
        <v>0</v>
      </c>
      <c r="P1457">
        <v>0</v>
      </c>
      <c r="Q1457" t="s">
        <v>108</v>
      </c>
    </row>
    <row r="1458" spans="1:17">
      <c r="A1458" t="s">
        <v>93</v>
      </c>
      <c r="B1458" t="s">
        <v>106</v>
      </c>
      <c r="C1458" t="s">
        <v>56</v>
      </c>
      <c r="D1458" t="s">
        <v>1241</v>
      </c>
      <c r="E1458">
        <v>16</v>
      </c>
      <c r="F1458" t="str">
        <f>VLOOKUP(E1458,[1]LOJA!$A:$B,2,0)</f>
        <v>AG LINDAS</v>
      </c>
      <c r="G1458" t="s">
        <v>19</v>
      </c>
      <c r="H1458" t="s">
        <v>19</v>
      </c>
      <c r="I1458" s="1">
        <v>46036</v>
      </c>
      <c r="J1458" s="1">
        <v>46036</v>
      </c>
      <c r="K1458" s="1">
        <v>46036</v>
      </c>
      <c r="L1458">
        <v>37</v>
      </c>
      <c r="M1458">
        <v>0.05</v>
      </c>
      <c r="N1458">
        <v>0.05</v>
      </c>
      <c r="O1458">
        <v>0</v>
      </c>
      <c r="P1458">
        <v>0</v>
      </c>
      <c r="Q1458" t="s">
        <v>108</v>
      </c>
    </row>
    <row r="1459" spans="1:17">
      <c r="A1459" t="s">
        <v>93</v>
      </c>
      <c r="B1459" t="s">
        <v>106</v>
      </c>
      <c r="C1459" t="s">
        <v>56</v>
      </c>
      <c r="D1459" t="s">
        <v>1242</v>
      </c>
      <c r="E1459">
        <v>16</v>
      </c>
      <c r="F1459" t="str">
        <f>VLOOKUP(E1459,[1]LOJA!$A:$B,2,0)</f>
        <v>AG LINDAS</v>
      </c>
      <c r="G1459" t="s">
        <v>19</v>
      </c>
      <c r="H1459" t="s">
        <v>19</v>
      </c>
      <c r="I1459" s="1">
        <v>46036</v>
      </c>
      <c r="J1459" s="1">
        <v>46036</v>
      </c>
      <c r="K1459" s="1">
        <v>46036</v>
      </c>
      <c r="L1459">
        <v>37</v>
      </c>
      <c r="M1459">
        <v>0.7</v>
      </c>
      <c r="N1459">
        <v>0.7</v>
      </c>
      <c r="O1459">
        <v>0</v>
      </c>
      <c r="P1459">
        <v>0</v>
      </c>
      <c r="Q1459" t="s">
        <v>108</v>
      </c>
    </row>
    <row r="1460" spans="1:17">
      <c r="A1460" t="s">
        <v>93</v>
      </c>
      <c r="B1460" t="s">
        <v>106</v>
      </c>
      <c r="C1460" t="s">
        <v>56</v>
      </c>
      <c r="D1460" t="s">
        <v>1243</v>
      </c>
      <c r="E1460">
        <v>16</v>
      </c>
      <c r="F1460" t="str">
        <f>VLOOKUP(E1460,[1]LOJA!$A:$B,2,0)</f>
        <v>AG LINDAS</v>
      </c>
      <c r="G1460" t="s">
        <v>19</v>
      </c>
      <c r="H1460" t="s">
        <v>19</v>
      </c>
      <c r="I1460" s="1">
        <v>46036</v>
      </c>
      <c r="J1460" s="1">
        <v>46036</v>
      </c>
      <c r="K1460" s="1">
        <v>46036</v>
      </c>
      <c r="L1460">
        <v>37</v>
      </c>
      <c r="M1460">
        <v>2.2799999999999998</v>
      </c>
      <c r="N1460">
        <v>2.2799999999999998</v>
      </c>
      <c r="O1460">
        <v>0</v>
      </c>
      <c r="P1460">
        <v>0</v>
      </c>
      <c r="Q1460" t="s">
        <v>108</v>
      </c>
    </row>
    <row r="1461" spans="1:17">
      <c r="A1461" t="s">
        <v>93</v>
      </c>
      <c r="B1461" t="s">
        <v>106</v>
      </c>
      <c r="C1461" t="s">
        <v>56</v>
      </c>
      <c r="D1461" t="s">
        <v>1244</v>
      </c>
      <c r="E1461">
        <v>16</v>
      </c>
      <c r="F1461" t="str">
        <f>VLOOKUP(E1461,[1]LOJA!$A:$B,2,0)</f>
        <v>AG LINDAS</v>
      </c>
      <c r="G1461" t="s">
        <v>19</v>
      </c>
      <c r="H1461" t="s">
        <v>19</v>
      </c>
      <c r="I1461" s="1">
        <v>46036</v>
      </c>
      <c r="J1461" s="1">
        <v>46036</v>
      </c>
      <c r="K1461" s="1">
        <v>46036</v>
      </c>
      <c r="L1461">
        <v>37</v>
      </c>
      <c r="M1461">
        <v>0.4</v>
      </c>
      <c r="N1461">
        <v>0.4</v>
      </c>
      <c r="O1461">
        <v>0</v>
      </c>
      <c r="P1461">
        <v>0</v>
      </c>
      <c r="Q1461" t="s">
        <v>108</v>
      </c>
    </row>
    <row r="1462" spans="1:17">
      <c r="A1462" t="s">
        <v>93</v>
      </c>
      <c r="B1462" t="s">
        <v>106</v>
      </c>
      <c r="C1462" t="s">
        <v>56</v>
      </c>
      <c r="D1462" t="s">
        <v>1245</v>
      </c>
      <c r="E1462">
        <v>16</v>
      </c>
      <c r="F1462" t="str">
        <f>VLOOKUP(E1462,[1]LOJA!$A:$B,2,0)</f>
        <v>AG LINDAS</v>
      </c>
      <c r="G1462" t="s">
        <v>19</v>
      </c>
      <c r="H1462" t="s">
        <v>19</v>
      </c>
      <c r="I1462" s="1">
        <v>46036</v>
      </c>
      <c r="J1462" s="1">
        <v>46036</v>
      </c>
      <c r="K1462" s="1">
        <v>46036</v>
      </c>
      <c r="L1462">
        <v>37</v>
      </c>
      <c r="M1462">
        <v>0.25</v>
      </c>
      <c r="N1462">
        <v>0.25</v>
      </c>
      <c r="O1462">
        <v>0</v>
      </c>
      <c r="P1462">
        <v>0</v>
      </c>
      <c r="Q1462" t="s">
        <v>108</v>
      </c>
    </row>
    <row r="1463" spans="1:17">
      <c r="A1463" t="s">
        <v>93</v>
      </c>
      <c r="B1463" t="s">
        <v>106</v>
      </c>
      <c r="C1463" t="s">
        <v>56</v>
      </c>
      <c r="D1463" t="s">
        <v>1246</v>
      </c>
      <c r="E1463">
        <v>16</v>
      </c>
      <c r="F1463" t="str">
        <f>VLOOKUP(E1463,[1]LOJA!$A:$B,2,0)</f>
        <v>AG LINDAS</v>
      </c>
      <c r="G1463" t="s">
        <v>19</v>
      </c>
      <c r="H1463" t="s">
        <v>19</v>
      </c>
      <c r="I1463" s="1">
        <v>46036</v>
      </c>
      <c r="J1463" s="1">
        <v>46036</v>
      </c>
      <c r="K1463" s="1">
        <v>46036</v>
      </c>
      <c r="L1463">
        <v>37</v>
      </c>
      <c r="M1463">
        <v>1.24</v>
      </c>
      <c r="N1463">
        <v>1.24</v>
      </c>
      <c r="O1463">
        <v>0</v>
      </c>
      <c r="P1463">
        <v>0</v>
      </c>
      <c r="Q1463" t="s">
        <v>108</v>
      </c>
    </row>
    <row r="1464" spans="1:17">
      <c r="A1464" t="s">
        <v>93</v>
      </c>
      <c r="B1464" t="s">
        <v>106</v>
      </c>
      <c r="C1464" t="s">
        <v>56</v>
      </c>
      <c r="D1464" t="s">
        <v>1247</v>
      </c>
      <c r="E1464">
        <v>16</v>
      </c>
      <c r="F1464" t="str">
        <f>VLOOKUP(E1464,[1]LOJA!$A:$B,2,0)</f>
        <v>AG LINDAS</v>
      </c>
      <c r="G1464" t="s">
        <v>19</v>
      </c>
      <c r="H1464" t="s">
        <v>19</v>
      </c>
      <c r="I1464" s="1">
        <v>46036</v>
      </c>
      <c r="J1464" s="1">
        <v>46036</v>
      </c>
      <c r="K1464" s="1">
        <v>46036</v>
      </c>
      <c r="L1464">
        <v>37</v>
      </c>
      <c r="M1464">
        <v>0.6</v>
      </c>
      <c r="N1464">
        <v>0.6</v>
      </c>
      <c r="O1464">
        <v>0</v>
      </c>
      <c r="P1464">
        <v>0</v>
      </c>
      <c r="Q1464" t="s">
        <v>108</v>
      </c>
    </row>
    <row r="1465" spans="1:17">
      <c r="A1465" t="s">
        <v>93</v>
      </c>
      <c r="B1465" t="s">
        <v>106</v>
      </c>
      <c r="C1465" t="s">
        <v>56</v>
      </c>
      <c r="D1465" t="s">
        <v>1248</v>
      </c>
      <c r="E1465">
        <v>16</v>
      </c>
      <c r="F1465" t="str">
        <f>VLOOKUP(E1465,[1]LOJA!$A:$B,2,0)</f>
        <v>AG LINDAS</v>
      </c>
      <c r="G1465" t="s">
        <v>19</v>
      </c>
      <c r="H1465" t="s">
        <v>19</v>
      </c>
      <c r="I1465" s="1">
        <v>46036</v>
      </c>
      <c r="J1465" s="1">
        <v>46036</v>
      </c>
      <c r="K1465" s="1">
        <v>46036</v>
      </c>
      <c r="L1465">
        <v>37</v>
      </c>
      <c r="M1465">
        <v>2.57</v>
      </c>
      <c r="N1465">
        <v>2.57</v>
      </c>
      <c r="O1465">
        <v>0</v>
      </c>
      <c r="P1465">
        <v>0</v>
      </c>
      <c r="Q1465" t="s">
        <v>108</v>
      </c>
    </row>
    <row r="1466" spans="1:17">
      <c r="A1466" t="s">
        <v>93</v>
      </c>
      <c r="B1466" t="s">
        <v>106</v>
      </c>
      <c r="C1466" t="s">
        <v>56</v>
      </c>
      <c r="D1466" t="s">
        <v>1249</v>
      </c>
      <c r="E1466">
        <v>16</v>
      </c>
      <c r="F1466" t="str">
        <f>VLOOKUP(E1466,[1]LOJA!$A:$B,2,0)</f>
        <v>AG LINDAS</v>
      </c>
      <c r="G1466" t="s">
        <v>19</v>
      </c>
      <c r="H1466" t="s">
        <v>19</v>
      </c>
      <c r="I1466" s="1">
        <v>46036</v>
      </c>
      <c r="J1466" s="1">
        <v>46036</v>
      </c>
      <c r="K1466" s="1">
        <v>46036</v>
      </c>
      <c r="L1466">
        <v>37</v>
      </c>
      <c r="M1466">
        <v>0.2</v>
      </c>
      <c r="N1466">
        <v>0.2</v>
      </c>
      <c r="O1466">
        <v>0</v>
      </c>
      <c r="P1466">
        <v>0</v>
      </c>
      <c r="Q1466" t="s">
        <v>108</v>
      </c>
    </row>
    <row r="1467" spans="1:17">
      <c r="A1467" t="s">
        <v>93</v>
      </c>
      <c r="B1467" t="s">
        <v>106</v>
      </c>
      <c r="C1467" t="s">
        <v>56</v>
      </c>
      <c r="D1467" t="s">
        <v>1250</v>
      </c>
      <c r="E1467">
        <v>16</v>
      </c>
      <c r="F1467" t="str">
        <f>VLOOKUP(E1467,[1]LOJA!$A:$B,2,0)</f>
        <v>AG LINDAS</v>
      </c>
      <c r="G1467" t="s">
        <v>19</v>
      </c>
      <c r="H1467" t="s">
        <v>19</v>
      </c>
      <c r="I1467" s="1">
        <v>46037</v>
      </c>
      <c r="J1467" s="1">
        <v>46037</v>
      </c>
      <c r="K1467" s="1">
        <v>46037</v>
      </c>
      <c r="L1467">
        <v>37</v>
      </c>
      <c r="M1467">
        <v>2.4500000000000002</v>
      </c>
      <c r="N1467">
        <v>2.4500000000000002</v>
      </c>
      <c r="O1467">
        <v>0</v>
      </c>
      <c r="P1467">
        <v>0</v>
      </c>
      <c r="Q1467" t="s">
        <v>108</v>
      </c>
    </row>
    <row r="1468" spans="1:17">
      <c r="A1468" t="s">
        <v>93</v>
      </c>
      <c r="B1468" t="s">
        <v>106</v>
      </c>
      <c r="C1468" t="s">
        <v>56</v>
      </c>
      <c r="D1468" t="s">
        <v>1251</v>
      </c>
      <c r="E1468">
        <v>16</v>
      </c>
      <c r="F1468" t="str">
        <f>VLOOKUP(E1468,[1]LOJA!$A:$B,2,0)</f>
        <v>AG LINDAS</v>
      </c>
      <c r="G1468" t="s">
        <v>19</v>
      </c>
      <c r="H1468" t="s">
        <v>19</v>
      </c>
      <c r="I1468" s="1">
        <v>46037</v>
      </c>
      <c r="J1468" s="1">
        <v>46037</v>
      </c>
      <c r="K1468" s="1">
        <v>46037</v>
      </c>
      <c r="L1468">
        <v>37</v>
      </c>
      <c r="M1468">
        <v>4.29</v>
      </c>
      <c r="N1468">
        <v>4.29</v>
      </c>
      <c r="O1468">
        <v>0</v>
      </c>
      <c r="P1468">
        <v>0</v>
      </c>
      <c r="Q1468" t="s">
        <v>108</v>
      </c>
    </row>
    <row r="1469" spans="1:17">
      <c r="A1469" t="s">
        <v>93</v>
      </c>
      <c r="B1469" t="s">
        <v>106</v>
      </c>
      <c r="C1469" t="s">
        <v>56</v>
      </c>
      <c r="D1469" t="s">
        <v>1252</v>
      </c>
      <c r="E1469">
        <v>16</v>
      </c>
      <c r="F1469" t="str">
        <f>VLOOKUP(E1469,[1]LOJA!$A:$B,2,0)</f>
        <v>AG LINDAS</v>
      </c>
      <c r="G1469" t="s">
        <v>19</v>
      </c>
      <c r="H1469" t="s">
        <v>19</v>
      </c>
      <c r="I1469" s="1">
        <v>46037</v>
      </c>
      <c r="J1469" s="1">
        <v>46037</v>
      </c>
      <c r="K1469" s="1">
        <v>46037</v>
      </c>
      <c r="L1469">
        <v>37</v>
      </c>
      <c r="M1469">
        <v>3.19</v>
      </c>
      <c r="N1469">
        <v>3.19</v>
      </c>
      <c r="O1469">
        <v>0</v>
      </c>
      <c r="P1469">
        <v>0</v>
      </c>
      <c r="Q1469" t="s">
        <v>108</v>
      </c>
    </row>
    <row r="1470" spans="1:17">
      <c r="A1470" t="s">
        <v>93</v>
      </c>
      <c r="B1470" t="s">
        <v>106</v>
      </c>
      <c r="C1470" t="s">
        <v>56</v>
      </c>
      <c r="D1470" t="s">
        <v>1253</v>
      </c>
      <c r="E1470">
        <v>16</v>
      </c>
      <c r="F1470" t="str">
        <f>VLOOKUP(E1470,[1]LOJA!$A:$B,2,0)</f>
        <v>AG LINDAS</v>
      </c>
      <c r="G1470" t="s">
        <v>19</v>
      </c>
      <c r="H1470" t="s">
        <v>19</v>
      </c>
      <c r="I1470" s="1">
        <v>46037</v>
      </c>
      <c r="J1470" s="1">
        <v>46037</v>
      </c>
      <c r="K1470" s="1">
        <v>46037</v>
      </c>
      <c r="L1470">
        <v>37</v>
      </c>
      <c r="M1470">
        <v>4.38</v>
      </c>
      <c r="N1470">
        <v>4.38</v>
      </c>
      <c r="O1470">
        <v>0</v>
      </c>
      <c r="P1470">
        <v>0</v>
      </c>
      <c r="Q1470" t="s">
        <v>108</v>
      </c>
    </row>
    <row r="1471" spans="1:17">
      <c r="A1471" t="s">
        <v>93</v>
      </c>
      <c r="B1471" t="s">
        <v>106</v>
      </c>
      <c r="C1471" t="s">
        <v>56</v>
      </c>
      <c r="D1471" t="s">
        <v>1254</v>
      </c>
      <c r="E1471">
        <v>16</v>
      </c>
      <c r="F1471" t="str">
        <f>VLOOKUP(E1471,[1]LOJA!$A:$B,2,0)</f>
        <v>AG LINDAS</v>
      </c>
      <c r="G1471" t="s">
        <v>19</v>
      </c>
      <c r="H1471" t="s">
        <v>19</v>
      </c>
      <c r="I1471" s="1">
        <v>46037</v>
      </c>
      <c r="J1471" s="1">
        <v>46037</v>
      </c>
      <c r="K1471" s="1">
        <v>46037</v>
      </c>
      <c r="L1471">
        <v>37</v>
      </c>
      <c r="M1471">
        <v>6.13</v>
      </c>
      <c r="N1471">
        <v>6.13</v>
      </c>
      <c r="O1471">
        <v>0</v>
      </c>
      <c r="P1471">
        <v>0</v>
      </c>
      <c r="Q1471" t="s">
        <v>108</v>
      </c>
    </row>
    <row r="1472" spans="1:17">
      <c r="A1472" t="s">
        <v>93</v>
      </c>
      <c r="B1472" t="s">
        <v>106</v>
      </c>
      <c r="C1472" t="s">
        <v>56</v>
      </c>
      <c r="D1472" t="s">
        <v>1255</v>
      </c>
      <c r="E1472">
        <v>16</v>
      </c>
      <c r="F1472" t="str">
        <f>VLOOKUP(E1472,[1]LOJA!$A:$B,2,0)</f>
        <v>AG LINDAS</v>
      </c>
      <c r="G1472" t="s">
        <v>19</v>
      </c>
      <c r="H1472" t="s">
        <v>19</v>
      </c>
      <c r="I1472" s="1">
        <v>46037</v>
      </c>
      <c r="J1472" s="1">
        <v>46037</v>
      </c>
      <c r="K1472" s="1">
        <v>46037</v>
      </c>
      <c r="L1472">
        <v>37</v>
      </c>
      <c r="M1472">
        <v>2.63</v>
      </c>
      <c r="N1472">
        <v>2.63</v>
      </c>
      <c r="O1472">
        <v>0</v>
      </c>
      <c r="P1472">
        <v>0</v>
      </c>
      <c r="Q1472" t="s">
        <v>108</v>
      </c>
    </row>
    <row r="1473" spans="1:17">
      <c r="A1473" t="s">
        <v>93</v>
      </c>
      <c r="B1473" t="s">
        <v>106</v>
      </c>
      <c r="C1473" t="s">
        <v>56</v>
      </c>
      <c r="D1473" t="s">
        <v>1256</v>
      </c>
      <c r="E1473">
        <v>16</v>
      </c>
      <c r="F1473" t="str">
        <f>VLOOKUP(E1473,[1]LOJA!$A:$B,2,0)</f>
        <v>AG LINDAS</v>
      </c>
      <c r="G1473" t="s">
        <v>19</v>
      </c>
      <c r="H1473" t="s">
        <v>19</v>
      </c>
      <c r="I1473" s="1">
        <v>46037</v>
      </c>
      <c r="J1473" s="1">
        <v>46037</v>
      </c>
      <c r="K1473" s="1">
        <v>46037</v>
      </c>
      <c r="L1473">
        <v>37</v>
      </c>
      <c r="M1473">
        <v>8.93</v>
      </c>
      <c r="N1473">
        <v>8.93</v>
      </c>
      <c r="O1473">
        <v>0</v>
      </c>
      <c r="P1473">
        <v>0</v>
      </c>
      <c r="Q1473" t="s">
        <v>108</v>
      </c>
    </row>
    <row r="1474" spans="1:17">
      <c r="A1474" t="s">
        <v>93</v>
      </c>
      <c r="B1474" t="s">
        <v>106</v>
      </c>
      <c r="C1474" t="s">
        <v>56</v>
      </c>
      <c r="D1474" t="s">
        <v>1257</v>
      </c>
      <c r="E1474">
        <v>16</v>
      </c>
      <c r="F1474" t="str">
        <f>VLOOKUP(E1474,[1]LOJA!$A:$B,2,0)</f>
        <v>AG LINDAS</v>
      </c>
      <c r="G1474" t="s">
        <v>19</v>
      </c>
      <c r="H1474" t="s">
        <v>19</v>
      </c>
      <c r="I1474" s="1">
        <v>46037</v>
      </c>
      <c r="J1474" s="1">
        <v>46037</v>
      </c>
      <c r="K1474" s="1">
        <v>46037</v>
      </c>
      <c r="L1474">
        <v>37</v>
      </c>
      <c r="M1474">
        <v>1.06</v>
      </c>
      <c r="N1474">
        <v>1.06</v>
      </c>
      <c r="O1474">
        <v>0</v>
      </c>
      <c r="P1474">
        <v>0</v>
      </c>
      <c r="Q1474" t="s">
        <v>108</v>
      </c>
    </row>
    <row r="1475" spans="1:17">
      <c r="A1475" t="s">
        <v>93</v>
      </c>
      <c r="B1475" t="s">
        <v>106</v>
      </c>
      <c r="C1475" t="s">
        <v>56</v>
      </c>
      <c r="D1475" t="s">
        <v>1258</v>
      </c>
      <c r="E1475">
        <v>16</v>
      </c>
      <c r="F1475" t="str">
        <f>VLOOKUP(E1475,[1]LOJA!$A:$B,2,0)</f>
        <v>AG LINDAS</v>
      </c>
      <c r="G1475" t="s">
        <v>19</v>
      </c>
      <c r="H1475" t="s">
        <v>19</v>
      </c>
      <c r="I1475" s="1">
        <v>46037</v>
      </c>
      <c r="J1475" s="1">
        <v>46037</v>
      </c>
      <c r="K1475" s="1">
        <v>46037</v>
      </c>
      <c r="L1475">
        <v>37</v>
      </c>
      <c r="M1475">
        <v>5.68</v>
      </c>
      <c r="N1475">
        <v>5.68</v>
      </c>
      <c r="O1475">
        <v>0</v>
      </c>
      <c r="P1475">
        <v>0</v>
      </c>
      <c r="Q1475" t="s">
        <v>108</v>
      </c>
    </row>
    <row r="1476" spans="1:17">
      <c r="A1476" t="s">
        <v>93</v>
      </c>
      <c r="B1476" t="s">
        <v>106</v>
      </c>
      <c r="C1476" t="s">
        <v>56</v>
      </c>
      <c r="D1476" t="s">
        <v>1259</v>
      </c>
      <c r="E1476">
        <v>16</v>
      </c>
      <c r="F1476" t="str">
        <f>VLOOKUP(E1476,[1]LOJA!$A:$B,2,0)</f>
        <v>AG LINDAS</v>
      </c>
      <c r="G1476" t="s">
        <v>19</v>
      </c>
      <c r="H1476" t="s">
        <v>19</v>
      </c>
      <c r="I1476" s="1">
        <v>46037</v>
      </c>
      <c r="J1476" s="1">
        <v>46037</v>
      </c>
      <c r="K1476" s="1">
        <v>46037</v>
      </c>
      <c r="L1476">
        <v>37</v>
      </c>
      <c r="M1476">
        <v>1.0900000000000001</v>
      </c>
      <c r="N1476">
        <v>1.0900000000000001</v>
      </c>
      <c r="O1476">
        <v>0</v>
      </c>
      <c r="P1476">
        <v>0</v>
      </c>
      <c r="Q1476" t="s">
        <v>108</v>
      </c>
    </row>
    <row r="1477" spans="1:17">
      <c r="A1477" t="s">
        <v>93</v>
      </c>
      <c r="B1477" t="s">
        <v>106</v>
      </c>
      <c r="C1477" t="s">
        <v>56</v>
      </c>
      <c r="D1477" t="s">
        <v>1260</v>
      </c>
      <c r="E1477">
        <v>16</v>
      </c>
      <c r="F1477" t="str">
        <f>VLOOKUP(E1477,[1]LOJA!$A:$B,2,0)</f>
        <v>AG LINDAS</v>
      </c>
      <c r="G1477" t="s">
        <v>19</v>
      </c>
      <c r="H1477" t="s">
        <v>19</v>
      </c>
      <c r="I1477" s="1">
        <v>46037</v>
      </c>
      <c r="J1477" s="1">
        <v>46037</v>
      </c>
      <c r="K1477" s="1">
        <v>46037</v>
      </c>
      <c r="L1477">
        <v>37</v>
      </c>
      <c r="M1477">
        <v>1.53</v>
      </c>
      <c r="N1477">
        <v>1.53</v>
      </c>
      <c r="O1477">
        <v>0</v>
      </c>
      <c r="P1477">
        <v>0</v>
      </c>
      <c r="Q1477" t="s">
        <v>108</v>
      </c>
    </row>
    <row r="1478" spans="1:17">
      <c r="A1478" t="s">
        <v>93</v>
      </c>
      <c r="B1478" t="s">
        <v>106</v>
      </c>
      <c r="C1478" t="s">
        <v>56</v>
      </c>
      <c r="D1478" t="s">
        <v>1261</v>
      </c>
      <c r="E1478">
        <v>16</v>
      </c>
      <c r="F1478" t="str">
        <f>VLOOKUP(E1478,[1]LOJA!$A:$B,2,0)</f>
        <v>AG LINDAS</v>
      </c>
      <c r="G1478" t="s">
        <v>19</v>
      </c>
      <c r="H1478" t="s">
        <v>19</v>
      </c>
      <c r="I1478" s="1">
        <v>46037</v>
      </c>
      <c r="J1478" s="1">
        <v>46037</v>
      </c>
      <c r="K1478" s="1">
        <v>46037</v>
      </c>
      <c r="L1478">
        <v>37</v>
      </c>
      <c r="M1478">
        <v>0.21</v>
      </c>
      <c r="N1478">
        <v>0.21</v>
      </c>
      <c r="O1478">
        <v>0</v>
      </c>
      <c r="P1478">
        <v>0</v>
      </c>
      <c r="Q1478" t="s">
        <v>108</v>
      </c>
    </row>
    <row r="1479" spans="1:17">
      <c r="A1479" t="s">
        <v>93</v>
      </c>
      <c r="B1479" t="s">
        <v>106</v>
      </c>
      <c r="C1479" t="s">
        <v>56</v>
      </c>
      <c r="D1479" t="s">
        <v>1262</v>
      </c>
      <c r="E1479">
        <v>16</v>
      </c>
      <c r="F1479" t="str">
        <f>VLOOKUP(E1479,[1]LOJA!$A:$B,2,0)</f>
        <v>AG LINDAS</v>
      </c>
      <c r="G1479" t="s">
        <v>19</v>
      </c>
      <c r="H1479" t="s">
        <v>19</v>
      </c>
      <c r="I1479" s="1">
        <v>46037</v>
      </c>
      <c r="J1479" s="1">
        <v>46037</v>
      </c>
      <c r="K1479" s="1">
        <v>46037</v>
      </c>
      <c r="L1479">
        <v>37</v>
      </c>
      <c r="M1479">
        <v>0.37</v>
      </c>
      <c r="N1479">
        <v>0.37</v>
      </c>
      <c r="O1479">
        <v>0</v>
      </c>
      <c r="P1479">
        <v>0</v>
      </c>
      <c r="Q1479" t="s">
        <v>108</v>
      </c>
    </row>
    <row r="1480" spans="1:17">
      <c r="A1480" t="s">
        <v>93</v>
      </c>
      <c r="B1480" t="s">
        <v>106</v>
      </c>
      <c r="C1480" t="s">
        <v>56</v>
      </c>
      <c r="D1480" t="s">
        <v>1263</v>
      </c>
      <c r="E1480">
        <v>16</v>
      </c>
      <c r="F1480" t="str">
        <f>VLOOKUP(E1480,[1]LOJA!$A:$B,2,0)</f>
        <v>AG LINDAS</v>
      </c>
      <c r="G1480" t="s">
        <v>19</v>
      </c>
      <c r="H1480" t="s">
        <v>19</v>
      </c>
      <c r="I1480" s="1">
        <v>46037</v>
      </c>
      <c r="J1480" s="1">
        <v>46037</v>
      </c>
      <c r="K1480" s="1">
        <v>46037</v>
      </c>
      <c r="L1480">
        <v>37</v>
      </c>
      <c r="M1480">
        <v>0.09</v>
      </c>
      <c r="N1480">
        <v>0.09</v>
      </c>
      <c r="O1480">
        <v>0</v>
      </c>
      <c r="P1480">
        <v>0</v>
      </c>
      <c r="Q1480" t="s">
        <v>108</v>
      </c>
    </row>
    <row r="1481" spans="1:17">
      <c r="A1481" t="s">
        <v>93</v>
      </c>
      <c r="B1481" t="s">
        <v>106</v>
      </c>
      <c r="C1481" t="s">
        <v>56</v>
      </c>
      <c r="D1481" t="s">
        <v>1264</v>
      </c>
      <c r="E1481">
        <v>16</v>
      </c>
      <c r="F1481" t="str">
        <f>VLOOKUP(E1481,[1]LOJA!$A:$B,2,0)</f>
        <v>AG LINDAS</v>
      </c>
      <c r="G1481" t="s">
        <v>19</v>
      </c>
      <c r="H1481" t="s">
        <v>19</v>
      </c>
      <c r="I1481" s="1">
        <v>46037</v>
      </c>
      <c r="J1481" s="1">
        <v>46037</v>
      </c>
      <c r="K1481" s="1">
        <v>46037</v>
      </c>
      <c r="L1481">
        <v>37</v>
      </c>
      <c r="M1481">
        <v>0.19</v>
      </c>
      <c r="N1481">
        <v>0.19</v>
      </c>
      <c r="O1481">
        <v>0</v>
      </c>
      <c r="P1481">
        <v>0</v>
      </c>
      <c r="Q1481" t="s">
        <v>108</v>
      </c>
    </row>
    <row r="1482" spans="1:17">
      <c r="A1482" t="s">
        <v>93</v>
      </c>
      <c r="B1482" t="s">
        <v>106</v>
      </c>
      <c r="C1482" t="s">
        <v>56</v>
      </c>
      <c r="D1482" t="s">
        <v>1265</v>
      </c>
      <c r="E1482">
        <v>16</v>
      </c>
      <c r="F1482" t="str">
        <f>VLOOKUP(E1482,[1]LOJA!$A:$B,2,0)</f>
        <v>AG LINDAS</v>
      </c>
      <c r="G1482" t="s">
        <v>19</v>
      </c>
      <c r="H1482" t="s">
        <v>19</v>
      </c>
      <c r="I1482" s="1">
        <v>46037</v>
      </c>
      <c r="J1482" s="1">
        <v>46037</v>
      </c>
      <c r="K1482" s="1">
        <v>46037</v>
      </c>
      <c r="L1482">
        <v>37</v>
      </c>
      <c r="M1482">
        <v>0.05</v>
      </c>
      <c r="N1482">
        <v>0.05</v>
      </c>
      <c r="O1482">
        <v>0</v>
      </c>
      <c r="P1482">
        <v>0</v>
      </c>
      <c r="Q1482" t="s">
        <v>108</v>
      </c>
    </row>
    <row r="1483" spans="1:17">
      <c r="A1483" t="s">
        <v>93</v>
      </c>
      <c r="B1483" t="s">
        <v>106</v>
      </c>
      <c r="C1483" t="s">
        <v>56</v>
      </c>
      <c r="D1483" t="s">
        <v>1266</v>
      </c>
      <c r="E1483">
        <v>16</v>
      </c>
      <c r="F1483" t="str">
        <f>VLOOKUP(E1483,[1]LOJA!$A:$B,2,0)</f>
        <v>AG LINDAS</v>
      </c>
      <c r="G1483" t="s">
        <v>19</v>
      </c>
      <c r="H1483" t="s">
        <v>19</v>
      </c>
      <c r="I1483" s="1">
        <v>46037</v>
      </c>
      <c r="J1483" s="1">
        <v>46037</v>
      </c>
      <c r="K1483" s="1">
        <v>46037</v>
      </c>
      <c r="L1483">
        <v>37</v>
      </c>
      <c r="M1483">
        <v>2.41</v>
      </c>
      <c r="N1483">
        <v>2.41</v>
      </c>
      <c r="O1483">
        <v>0</v>
      </c>
      <c r="P1483">
        <v>0</v>
      </c>
      <c r="Q1483" t="s">
        <v>108</v>
      </c>
    </row>
    <row r="1484" spans="1:17">
      <c r="A1484" t="s">
        <v>93</v>
      </c>
      <c r="B1484" t="s">
        <v>106</v>
      </c>
      <c r="C1484" t="s">
        <v>56</v>
      </c>
      <c r="D1484" t="s">
        <v>1267</v>
      </c>
      <c r="E1484">
        <v>16</v>
      </c>
      <c r="F1484" t="str">
        <f>VLOOKUP(E1484,[1]LOJA!$A:$B,2,0)</f>
        <v>AG LINDAS</v>
      </c>
      <c r="G1484" t="s">
        <v>19</v>
      </c>
      <c r="H1484" t="s">
        <v>19</v>
      </c>
      <c r="I1484" s="1">
        <v>46037</v>
      </c>
      <c r="J1484" s="1">
        <v>46037</v>
      </c>
      <c r="K1484" s="1">
        <v>46037</v>
      </c>
      <c r="L1484">
        <v>37</v>
      </c>
      <c r="M1484">
        <v>0.67</v>
      </c>
      <c r="N1484">
        <v>0.67</v>
      </c>
      <c r="O1484">
        <v>0</v>
      </c>
      <c r="P1484">
        <v>0</v>
      </c>
      <c r="Q1484" t="s">
        <v>108</v>
      </c>
    </row>
    <row r="1485" spans="1:17">
      <c r="A1485" t="s">
        <v>93</v>
      </c>
      <c r="B1485" t="s">
        <v>106</v>
      </c>
      <c r="C1485" t="s">
        <v>56</v>
      </c>
      <c r="D1485" t="s">
        <v>1268</v>
      </c>
      <c r="E1485">
        <v>16</v>
      </c>
      <c r="F1485" t="str">
        <f>VLOOKUP(E1485,[1]LOJA!$A:$B,2,0)</f>
        <v>AG LINDAS</v>
      </c>
      <c r="G1485" t="s">
        <v>19</v>
      </c>
      <c r="H1485" t="s">
        <v>19</v>
      </c>
      <c r="I1485" s="1">
        <v>46037</v>
      </c>
      <c r="J1485" s="1">
        <v>46037</v>
      </c>
      <c r="K1485" s="1">
        <v>46037</v>
      </c>
      <c r="L1485">
        <v>37</v>
      </c>
      <c r="M1485">
        <v>0.49</v>
      </c>
      <c r="N1485">
        <v>0.49</v>
      </c>
      <c r="O1485">
        <v>0</v>
      </c>
      <c r="P1485">
        <v>0</v>
      </c>
      <c r="Q1485" t="s">
        <v>108</v>
      </c>
    </row>
    <row r="1486" spans="1:17">
      <c r="A1486" t="s">
        <v>93</v>
      </c>
      <c r="B1486" t="s">
        <v>106</v>
      </c>
      <c r="C1486" t="s">
        <v>56</v>
      </c>
      <c r="D1486" t="s">
        <v>1269</v>
      </c>
      <c r="E1486">
        <v>16</v>
      </c>
      <c r="F1486" t="str">
        <f>VLOOKUP(E1486,[1]LOJA!$A:$B,2,0)</f>
        <v>AG LINDAS</v>
      </c>
      <c r="G1486" t="s">
        <v>19</v>
      </c>
      <c r="H1486" t="s">
        <v>19</v>
      </c>
      <c r="I1486" s="1">
        <v>46037</v>
      </c>
      <c r="J1486" s="1">
        <v>46037</v>
      </c>
      <c r="K1486" s="1">
        <v>46037</v>
      </c>
      <c r="L1486">
        <v>37</v>
      </c>
      <c r="M1486">
        <v>0.38</v>
      </c>
      <c r="N1486">
        <v>0.38</v>
      </c>
      <c r="O1486">
        <v>0</v>
      </c>
      <c r="P1486">
        <v>0</v>
      </c>
      <c r="Q1486" t="s">
        <v>108</v>
      </c>
    </row>
    <row r="1487" spans="1:17">
      <c r="A1487" t="s">
        <v>93</v>
      </c>
      <c r="B1487" t="s">
        <v>106</v>
      </c>
      <c r="C1487" t="s">
        <v>56</v>
      </c>
      <c r="D1487" t="s">
        <v>1270</v>
      </c>
      <c r="E1487">
        <v>16</v>
      </c>
      <c r="F1487" t="str">
        <f>VLOOKUP(E1487,[1]LOJA!$A:$B,2,0)</f>
        <v>AG LINDAS</v>
      </c>
      <c r="G1487" t="s">
        <v>19</v>
      </c>
      <c r="H1487" t="s">
        <v>19</v>
      </c>
      <c r="I1487" s="1">
        <v>46038</v>
      </c>
      <c r="J1487" s="1">
        <v>46038</v>
      </c>
      <c r="K1487" s="1">
        <v>46038</v>
      </c>
      <c r="L1487">
        <v>37</v>
      </c>
      <c r="M1487">
        <v>5.29</v>
      </c>
      <c r="N1487">
        <v>5.29</v>
      </c>
      <c r="O1487">
        <v>0</v>
      </c>
      <c r="P1487">
        <v>0</v>
      </c>
      <c r="Q1487" t="s">
        <v>108</v>
      </c>
    </row>
    <row r="1488" spans="1:17">
      <c r="A1488" t="s">
        <v>93</v>
      </c>
      <c r="B1488" t="s">
        <v>106</v>
      </c>
      <c r="C1488" t="s">
        <v>56</v>
      </c>
      <c r="D1488" t="s">
        <v>1271</v>
      </c>
      <c r="E1488">
        <v>16</v>
      </c>
      <c r="F1488" t="str">
        <f>VLOOKUP(E1488,[1]LOJA!$A:$B,2,0)</f>
        <v>AG LINDAS</v>
      </c>
      <c r="G1488" t="s">
        <v>19</v>
      </c>
      <c r="H1488" t="s">
        <v>19</v>
      </c>
      <c r="I1488" s="1">
        <v>46038</v>
      </c>
      <c r="J1488" s="1">
        <v>46038</v>
      </c>
      <c r="K1488" s="1">
        <v>46038</v>
      </c>
      <c r="L1488">
        <v>37</v>
      </c>
      <c r="M1488">
        <v>0.51</v>
      </c>
      <c r="N1488">
        <v>0.51</v>
      </c>
      <c r="O1488">
        <v>0</v>
      </c>
      <c r="P1488">
        <v>0</v>
      </c>
      <c r="Q1488" t="s">
        <v>108</v>
      </c>
    </row>
    <row r="1489" spans="1:17">
      <c r="A1489" t="s">
        <v>93</v>
      </c>
      <c r="B1489" t="s">
        <v>106</v>
      </c>
      <c r="C1489" t="s">
        <v>56</v>
      </c>
      <c r="D1489" t="s">
        <v>1272</v>
      </c>
      <c r="E1489">
        <v>16</v>
      </c>
      <c r="F1489" t="str">
        <f>VLOOKUP(E1489,[1]LOJA!$A:$B,2,0)</f>
        <v>AG LINDAS</v>
      </c>
      <c r="G1489" t="s">
        <v>19</v>
      </c>
      <c r="H1489" t="s">
        <v>19</v>
      </c>
      <c r="I1489" s="1">
        <v>46038</v>
      </c>
      <c r="J1489" s="1">
        <v>46038</v>
      </c>
      <c r="K1489" s="1">
        <v>46038</v>
      </c>
      <c r="L1489">
        <v>37</v>
      </c>
      <c r="M1489">
        <v>1.3</v>
      </c>
      <c r="N1489">
        <v>1.3</v>
      </c>
      <c r="O1489">
        <v>0</v>
      </c>
      <c r="P1489">
        <v>0</v>
      </c>
      <c r="Q1489" t="s">
        <v>108</v>
      </c>
    </row>
    <row r="1490" spans="1:17">
      <c r="A1490" t="s">
        <v>93</v>
      </c>
      <c r="B1490" t="s">
        <v>106</v>
      </c>
      <c r="C1490" t="s">
        <v>56</v>
      </c>
      <c r="D1490" t="s">
        <v>1273</v>
      </c>
      <c r="E1490">
        <v>16</v>
      </c>
      <c r="F1490" t="str">
        <f>VLOOKUP(E1490,[1]LOJA!$A:$B,2,0)</f>
        <v>AG LINDAS</v>
      </c>
      <c r="G1490" t="s">
        <v>19</v>
      </c>
      <c r="H1490" t="s">
        <v>19</v>
      </c>
      <c r="I1490" s="1">
        <v>46038</v>
      </c>
      <c r="J1490" s="1">
        <v>46038</v>
      </c>
      <c r="K1490" s="1">
        <v>46038</v>
      </c>
      <c r="L1490">
        <v>37</v>
      </c>
      <c r="M1490">
        <v>1.47</v>
      </c>
      <c r="N1490">
        <v>1.47</v>
      </c>
      <c r="O1490">
        <v>0</v>
      </c>
      <c r="P1490">
        <v>0</v>
      </c>
      <c r="Q1490" t="s">
        <v>108</v>
      </c>
    </row>
    <row r="1491" spans="1:17">
      <c r="A1491" t="s">
        <v>93</v>
      </c>
      <c r="B1491" t="s">
        <v>106</v>
      </c>
      <c r="C1491" t="s">
        <v>56</v>
      </c>
      <c r="D1491" t="s">
        <v>1274</v>
      </c>
      <c r="E1491">
        <v>16</v>
      </c>
      <c r="F1491" t="str">
        <f>VLOOKUP(E1491,[1]LOJA!$A:$B,2,0)</f>
        <v>AG LINDAS</v>
      </c>
      <c r="G1491" t="s">
        <v>19</v>
      </c>
      <c r="H1491" t="s">
        <v>19</v>
      </c>
      <c r="I1491" s="1">
        <v>46038</v>
      </c>
      <c r="J1491" s="1">
        <v>46038</v>
      </c>
      <c r="K1491" s="1">
        <v>46038</v>
      </c>
      <c r="L1491">
        <v>37</v>
      </c>
      <c r="M1491">
        <v>0.51</v>
      </c>
      <c r="N1491">
        <v>0.51</v>
      </c>
      <c r="O1491">
        <v>0</v>
      </c>
      <c r="P1491">
        <v>0</v>
      </c>
      <c r="Q1491" t="s">
        <v>108</v>
      </c>
    </row>
    <row r="1492" spans="1:17">
      <c r="A1492" t="s">
        <v>93</v>
      </c>
      <c r="B1492" t="s">
        <v>106</v>
      </c>
      <c r="C1492" t="s">
        <v>56</v>
      </c>
      <c r="D1492" t="s">
        <v>1275</v>
      </c>
      <c r="E1492">
        <v>16</v>
      </c>
      <c r="F1492" t="str">
        <f>VLOOKUP(E1492,[1]LOJA!$A:$B,2,0)</f>
        <v>AG LINDAS</v>
      </c>
      <c r="G1492" t="s">
        <v>19</v>
      </c>
      <c r="H1492" t="s">
        <v>19</v>
      </c>
      <c r="I1492" s="1">
        <v>46038</v>
      </c>
      <c r="J1492" s="1">
        <v>46038</v>
      </c>
      <c r="K1492" s="1">
        <v>46038</v>
      </c>
      <c r="L1492">
        <v>37</v>
      </c>
      <c r="M1492">
        <v>2.59</v>
      </c>
      <c r="N1492">
        <v>2.59</v>
      </c>
      <c r="O1492">
        <v>0</v>
      </c>
      <c r="P1492">
        <v>0</v>
      </c>
      <c r="Q1492" t="s">
        <v>108</v>
      </c>
    </row>
    <row r="1493" spans="1:17">
      <c r="A1493" t="s">
        <v>93</v>
      </c>
      <c r="B1493" t="s">
        <v>106</v>
      </c>
      <c r="C1493" t="s">
        <v>56</v>
      </c>
      <c r="D1493" t="s">
        <v>1276</v>
      </c>
      <c r="E1493">
        <v>16</v>
      </c>
      <c r="F1493" t="str">
        <f>VLOOKUP(E1493,[1]LOJA!$A:$B,2,0)</f>
        <v>AG LINDAS</v>
      </c>
      <c r="G1493" t="s">
        <v>19</v>
      </c>
      <c r="H1493" t="s">
        <v>19</v>
      </c>
      <c r="I1493" s="1">
        <v>46038</v>
      </c>
      <c r="J1493" s="1">
        <v>46038</v>
      </c>
      <c r="K1493" s="1">
        <v>46038</v>
      </c>
      <c r="L1493">
        <v>37</v>
      </c>
      <c r="M1493">
        <v>0.55000000000000004</v>
      </c>
      <c r="N1493">
        <v>0.55000000000000004</v>
      </c>
      <c r="O1493">
        <v>0</v>
      </c>
      <c r="P1493">
        <v>0</v>
      </c>
      <c r="Q1493" t="s">
        <v>108</v>
      </c>
    </row>
    <row r="1494" spans="1:17">
      <c r="A1494" t="s">
        <v>93</v>
      </c>
      <c r="B1494" t="s">
        <v>106</v>
      </c>
      <c r="C1494" t="s">
        <v>56</v>
      </c>
      <c r="D1494" t="s">
        <v>1277</v>
      </c>
      <c r="E1494">
        <v>16</v>
      </c>
      <c r="F1494" t="str">
        <f>VLOOKUP(E1494,[1]LOJA!$A:$B,2,0)</f>
        <v>AG LINDAS</v>
      </c>
      <c r="G1494" t="s">
        <v>19</v>
      </c>
      <c r="H1494" t="s">
        <v>19</v>
      </c>
      <c r="I1494" s="1">
        <v>46038</v>
      </c>
      <c r="J1494" s="1">
        <v>46038</v>
      </c>
      <c r="K1494" s="1">
        <v>46038</v>
      </c>
      <c r="L1494">
        <v>37</v>
      </c>
      <c r="M1494">
        <v>1.6</v>
      </c>
      <c r="N1494">
        <v>1.6</v>
      </c>
      <c r="O1494">
        <v>0</v>
      </c>
      <c r="P1494">
        <v>0</v>
      </c>
      <c r="Q1494" t="s">
        <v>108</v>
      </c>
    </row>
    <row r="1495" spans="1:17">
      <c r="A1495" t="s">
        <v>93</v>
      </c>
      <c r="B1495" t="s">
        <v>106</v>
      </c>
      <c r="C1495" t="s">
        <v>56</v>
      </c>
      <c r="D1495" t="s">
        <v>1278</v>
      </c>
      <c r="E1495">
        <v>16</v>
      </c>
      <c r="F1495" t="str">
        <f>VLOOKUP(E1495,[1]LOJA!$A:$B,2,0)</f>
        <v>AG LINDAS</v>
      </c>
      <c r="G1495" t="s">
        <v>19</v>
      </c>
      <c r="H1495" t="s">
        <v>19</v>
      </c>
      <c r="I1495" s="1">
        <v>46038</v>
      </c>
      <c r="J1495" s="1">
        <v>46038</v>
      </c>
      <c r="K1495" s="1">
        <v>46038</v>
      </c>
      <c r="L1495">
        <v>37</v>
      </c>
      <c r="M1495">
        <v>1.27</v>
      </c>
      <c r="N1495">
        <v>1.27</v>
      </c>
      <c r="O1495">
        <v>0</v>
      </c>
      <c r="P1495">
        <v>0</v>
      </c>
      <c r="Q1495" t="s">
        <v>108</v>
      </c>
    </row>
    <row r="1496" spans="1:17">
      <c r="A1496" t="s">
        <v>93</v>
      </c>
      <c r="B1496" t="s">
        <v>106</v>
      </c>
      <c r="C1496" t="s">
        <v>56</v>
      </c>
      <c r="D1496" t="s">
        <v>1279</v>
      </c>
      <c r="E1496">
        <v>16</v>
      </c>
      <c r="F1496" t="str">
        <f>VLOOKUP(E1496,[1]LOJA!$A:$B,2,0)</f>
        <v>AG LINDAS</v>
      </c>
      <c r="G1496" t="s">
        <v>19</v>
      </c>
      <c r="H1496" t="s">
        <v>19</v>
      </c>
      <c r="I1496" s="1">
        <v>46038</v>
      </c>
      <c r="J1496" s="1">
        <v>46038</v>
      </c>
      <c r="K1496" s="1">
        <v>46038</v>
      </c>
      <c r="L1496">
        <v>37</v>
      </c>
      <c r="M1496">
        <v>0.53</v>
      </c>
      <c r="N1496">
        <v>0.53</v>
      </c>
      <c r="O1496">
        <v>0</v>
      </c>
      <c r="P1496">
        <v>0</v>
      </c>
      <c r="Q1496" t="s">
        <v>108</v>
      </c>
    </row>
    <row r="1497" spans="1:17">
      <c r="A1497" t="s">
        <v>93</v>
      </c>
      <c r="B1497" t="s">
        <v>106</v>
      </c>
      <c r="C1497" t="s">
        <v>56</v>
      </c>
      <c r="D1497" t="s">
        <v>1280</v>
      </c>
      <c r="E1497">
        <v>16</v>
      </c>
      <c r="F1497" t="str">
        <f>VLOOKUP(E1497,[1]LOJA!$A:$B,2,0)</f>
        <v>AG LINDAS</v>
      </c>
      <c r="G1497" t="s">
        <v>19</v>
      </c>
      <c r="H1497" t="s">
        <v>19</v>
      </c>
      <c r="I1497" s="1">
        <v>46038</v>
      </c>
      <c r="J1497" s="1">
        <v>46038</v>
      </c>
      <c r="K1497" s="1">
        <v>46038</v>
      </c>
      <c r="L1497">
        <v>37</v>
      </c>
      <c r="M1497">
        <v>0.13</v>
      </c>
      <c r="N1497">
        <v>0.13</v>
      </c>
      <c r="O1497">
        <v>0</v>
      </c>
      <c r="P1497">
        <v>0</v>
      </c>
      <c r="Q1497" t="s">
        <v>108</v>
      </c>
    </row>
    <row r="1498" spans="1:17">
      <c r="A1498" t="s">
        <v>93</v>
      </c>
      <c r="B1498" t="s">
        <v>106</v>
      </c>
      <c r="C1498" t="s">
        <v>56</v>
      </c>
      <c r="D1498" t="s">
        <v>1281</v>
      </c>
      <c r="E1498">
        <v>16</v>
      </c>
      <c r="F1498" t="str">
        <f>VLOOKUP(E1498,[1]LOJA!$A:$B,2,0)</f>
        <v>AG LINDAS</v>
      </c>
      <c r="G1498" t="s">
        <v>19</v>
      </c>
      <c r="H1498" t="s">
        <v>19</v>
      </c>
      <c r="I1498" s="1">
        <v>46038</v>
      </c>
      <c r="J1498" s="1">
        <v>46038</v>
      </c>
      <c r="K1498" s="1">
        <v>46038</v>
      </c>
      <c r="L1498">
        <v>37</v>
      </c>
      <c r="M1498">
        <v>0.57999999999999996</v>
      </c>
      <c r="N1498">
        <v>0.57999999999999996</v>
      </c>
      <c r="O1498">
        <v>0</v>
      </c>
      <c r="P1498">
        <v>0</v>
      </c>
      <c r="Q1498" t="s">
        <v>108</v>
      </c>
    </row>
    <row r="1499" spans="1:17">
      <c r="A1499" t="s">
        <v>93</v>
      </c>
      <c r="B1499" t="s">
        <v>106</v>
      </c>
      <c r="C1499" t="s">
        <v>56</v>
      </c>
      <c r="D1499" t="s">
        <v>1282</v>
      </c>
      <c r="E1499">
        <v>16</v>
      </c>
      <c r="F1499" t="str">
        <f>VLOOKUP(E1499,[1]LOJA!$A:$B,2,0)</f>
        <v>AG LINDAS</v>
      </c>
      <c r="G1499" t="s">
        <v>19</v>
      </c>
      <c r="H1499" t="s">
        <v>19</v>
      </c>
      <c r="I1499" s="1">
        <v>46038</v>
      </c>
      <c r="J1499" s="1">
        <v>46038</v>
      </c>
      <c r="K1499" s="1">
        <v>46038</v>
      </c>
      <c r="L1499">
        <v>37</v>
      </c>
      <c r="M1499">
        <v>0.17</v>
      </c>
      <c r="N1499">
        <v>0.17</v>
      </c>
      <c r="O1499">
        <v>0</v>
      </c>
      <c r="P1499">
        <v>0</v>
      </c>
      <c r="Q1499" t="s">
        <v>108</v>
      </c>
    </row>
    <row r="1500" spans="1:17">
      <c r="A1500" t="s">
        <v>93</v>
      </c>
      <c r="B1500" t="s">
        <v>106</v>
      </c>
      <c r="C1500" t="s">
        <v>56</v>
      </c>
      <c r="D1500" t="s">
        <v>1283</v>
      </c>
      <c r="E1500">
        <v>16</v>
      </c>
      <c r="F1500" t="str">
        <f>VLOOKUP(E1500,[1]LOJA!$A:$B,2,0)</f>
        <v>AG LINDAS</v>
      </c>
      <c r="G1500" t="s">
        <v>19</v>
      </c>
      <c r="H1500" t="s">
        <v>19</v>
      </c>
      <c r="I1500" s="1">
        <v>46038</v>
      </c>
      <c r="J1500" s="1">
        <v>46038</v>
      </c>
      <c r="K1500" s="1">
        <v>46038</v>
      </c>
      <c r="L1500">
        <v>37</v>
      </c>
      <c r="M1500">
        <v>0.37</v>
      </c>
      <c r="N1500">
        <v>0.37</v>
      </c>
      <c r="O1500">
        <v>0</v>
      </c>
      <c r="P1500">
        <v>0</v>
      </c>
      <c r="Q1500" t="s">
        <v>108</v>
      </c>
    </row>
    <row r="1501" spans="1:17">
      <c r="A1501" t="s">
        <v>93</v>
      </c>
      <c r="B1501" t="s">
        <v>106</v>
      </c>
      <c r="C1501" t="s">
        <v>56</v>
      </c>
      <c r="D1501" t="s">
        <v>1284</v>
      </c>
      <c r="E1501">
        <v>16</v>
      </c>
      <c r="F1501" t="str">
        <f>VLOOKUP(E1501,[1]LOJA!$A:$B,2,0)</f>
        <v>AG LINDAS</v>
      </c>
      <c r="G1501" t="s">
        <v>19</v>
      </c>
      <c r="H1501" t="s">
        <v>19</v>
      </c>
      <c r="I1501" s="1">
        <v>46038</v>
      </c>
      <c r="J1501" s="1">
        <v>46038</v>
      </c>
      <c r="K1501" s="1">
        <v>46038</v>
      </c>
      <c r="L1501">
        <v>37</v>
      </c>
      <c r="M1501">
        <v>0.27</v>
      </c>
      <c r="N1501">
        <v>0.27</v>
      </c>
      <c r="O1501">
        <v>0</v>
      </c>
      <c r="P1501">
        <v>0</v>
      </c>
      <c r="Q1501" t="s">
        <v>108</v>
      </c>
    </row>
    <row r="1502" spans="1:17">
      <c r="A1502" t="s">
        <v>93</v>
      </c>
      <c r="B1502" t="s">
        <v>106</v>
      </c>
      <c r="C1502" t="s">
        <v>56</v>
      </c>
      <c r="D1502" t="s">
        <v>1285</v>
      </c>
      <c r="E1502">
        <v>16</v>
      </c>
      <c r="F1502" t="str">
        <f>VLOOKUP(E1502,[1]LOJA!$A:$B,2,0)</f>
        <v>AG LINDAS</v>
      </c>
      <c r="G1502" t="s">
        <v>19</v>
      </c>
      <c r="H1502" t="s">
        <v>19</v>
      </c>
      <c r="I1502" s="1">
        <v>46041</v>
      </c>
      <c r="J1502" s="1">
        <v>46040</v>
      </c>
      <c r="K1502" s="1">
        <v>46041</v>
      </c>
      <c r="L1502">
        <v>37</v>
      </c>
      <c r="M1502">
        <v>4.5999999999999996</v>
      </c>
      <c r="N1502">
        <v>4.5999999999999996</v>
      </c>
      <c r="O1502">
        <v>0</v>
      </c>
      <c r="P1502">
        <v>0</v>
      </c>
      <c r="Q1502" t="s">
        <v>108</v>
      </c>
    </row>
    <row r="1503" spans="1:17">
      <c r="A1503" t="s">
        <v>93</v>
      </c>
      <c r="B1503" t="s">
        <v>106</v>
      </c>
      <c r="C1503" t="s">
        <v>56</v>
      </c>
      <c r="D1503" t="s">
        <v>1286</v>
      </c>
      <c r="E1503">
        <v>16</v>
      </c>
      <c r="F1503" t="str">
        <f>VLOOKUP(E1503,[1]LOJA!$A:$B,2,0)</f>
        <v>AG LINDAS</v>
      </c>
      <c r="G1503" t="s">
        <v>19</v>
      </c>
      <c r="H1503" t="s">
        <v>19</v>
      </c>
      <c r="I1503" s="1">
        <v>46041</v>
      </c>
      <c r="J1503" s="1">
        <v>46041</v>
      </c>
      <c r="K1503" s="1">
        <v>46041</v>
      </c>
      <c r="L1503">
        <v>37</v>
      </c>
      <c r="M1503">
        <v>4.09</v>
      </c>
      <c r="N1503">
        <v>4.09</v>
      </c>
      <c r="O1503">
        <v>0</v>
      </c>
      <c r="P1503">
        <v>0</v>
      </c>
      <c r="Q1503" t="s">
        <v>108</v>
      </c>
    </row>
    <row r="1504" spans="1:17">
      <c r="A1504" t="s">
        <v>93</v>
      </c>
      <c r="B1504" t="s">
        <v>106</v>
      </c>
      <c r="C1504" t="s">
        <v>56</v>
      </c>
      <c r="D1504" t="s">
        <v>1287</v>
      </c>
      <c r="E1504">
        <v>16</v>
      </c>
      <c r="F1504" t="str">
        <f>VLOOKUP(E1504,[1]LOJA!$A:$B,2,0)</f>
        <v>AG LINDAS</v>
      </c>
      <c r="G1504" t="s">
        <v>19</v>
      </c>
      <c r="H1504" t="s">
        <v>19</v>
      </c>
      <c r="I1504" s="1">
        <v>46041</v>
      </c>
      <c r="J1504" s="1">
        <v>46041</v>
      </c>
      <c r="K1504" s="1">
        <v>46041</v>
      </c>
      <c r="L1504">
        <v>37</v>
      </c>
      <c r="M1504">
        <v>4.38</v>
      </c>
      <c r="N1504">
        <v>4.38</v>
      </c>
      <c r="O1504">
        <v>0</v>
      </c>
      <c r="P1504">
        <v>0</v>
      </c>
      <c r="Q1504" t="s">
        <v>108</v>
      </c>
    </row>
    <row r="1505" spans="1:17">
      <c r="A1505" t="s">
        <v>93</v>
      </c>
      <c r="B1505" t="s">
        <v>106</v>
      </c>
      <c r="C1505" t="s">
        <v>56</v>
      </c>
      <c r="D1505" t="s">
        <v>1288</v>
      </c>
      <c r="E1505">
        <v>16</v>
      </c>
      <c r="F1505" t="str">
        <f>VLOOKUP(E1505,[1]LOJA!$A:$B,2,0)</f>
        <v>AG LINDAS</v>
      </c>
      <c r="G1505" t="s">
        <v>19</v>
      </c>
      <c r="H1505" t="s">
        <v>19</v>
      </c>
      <c r="I1505" s="1">
        <v>46041</v>
      </c>
      <c r="J1505" s="1">
        <v>46041</v>
      </c>
      <c r="K1505" s="1">
        <v>46041</v>
      </c>
      <c r="L1505">
        <v>37</v>
      </c>
      <c r="M1505">
        <v>3.75</v>
      </c>
      <c r="N1505">
        <v>3.75</v>
      </c>
      <c r="O1505">
        <v>0</v>
      </c>
      <c r="P1505">
        <v>0</v>
      </c>
      <c r="Q1505" t="s">
        <v>108</v>
      </c>
    </row>
    <row r="1506" spans="1:17">
      <c r="A1506" t="s">
        <v>93</v>
      </c>
      <c r="B1506" t="s">
        <v>106</v>
      </c>
      <c r="C1506" t="s">
        <v>56</v>
      </c>
      <c r="D1506" t="s">
        <v>1289</v>
      </c>
      <c r="E1506">
        <v>16</v>
      </c>
      <c r="F1506" t="str">
        <f>VLOOKUP(E1506,[1]LOJA!$A:$B,2,0)</f>
        <v>AG LINDAS</v>
      </c>
      <c r="G1506" t="s">
        <v>19</v>
      </c>
      <c r="H1506" t="s">
        <v>19</v>
      </c>
      <c r="I1506" s="1">
        <v>46041</v>
      </c>
      <c r="J1506" s="1">
        <v>46041</v>
      </c>
      <c r="K1506" s="1">
        <v>46041</v>
      </c>
      <c r="L1506">
        <v>37</v>
      </c>
      <c r="M1506">
        <v>2.4</v>
      </c>
      <c r="N1506">
        <v>2.4</v>
      </c>
      <c r="O1506">
        <v>0</v>
      </c>
      <c r="P1506">
        <v>0</v>
      </c>
      <c r="Q1506" t="s">
        <v>108</v>
      </c>
    </row>
    <row r="1507" spans="1:17">
      <c r="A1507" t="s">
        <v>93</v>
      </c>
      <c r="B1507" t="s">
        <v>106</v>
      </c>
      <c r="C1507" t="s">
        <v>56</v>
      </c>
      <c r="D1507" t="s">
        <v>1290</v>
      </c>
      <c r="E1507">
        <v>16</v>
      </c>
      <c r="F1507" t="str">
        <f>VLOOKUP(E1507,[1]LOJA!$A:$B,2,0)</f>
        <v>AG LINDAS</v>
      </c>
      <c r="G1507" t="s">
        <v>19</v>
      </c>
      <c r="H1507" t="s">
        <v>19</v>
      </c>
      <c r="I1507" s="1">
        <v>46041</v>
      </c>
      <c r="J1507" s="1">
        <v>46041</v>
      </c>
      <c r="K1507" s="1">
        <v>46041</v>
      </c>
      <c r="L1507">
        <v>37</v>
      </c>
      <c r="M1507">
        <v>3.5</v>
      </c>
      <c r="N1507">
        <v>3.5</v>
      </c>
      <c r="O1507">
        <v>0</v>
      </c>
      <c r="P1507">
        <v>0</v>
      </c>
      <c r="Q1507" t="s">
        <v>108</v>
      </c>
    </row>
    <row r="1508" spans="1:17">
      <c r="A1508" t="s">
        <v>93</v>
      </c>
      <c r="B1508" t="s">
        <v>106</v>
      </c>
      <c r="C1508" t="s">
        <v>56</v>
      </c>
      <c r="D1508" t="s">
        <v>1291</v>
      </c>
      <c r="E1508">
        <v>16</v>
      </c>
      <c r="F1508" t="str">
        <f>VLOOKUP(E1508,[1]LOJA!$A:$B,2,0)</f>
        <v>AG LINDAS</v>
      </c>
      <c r="G1508" t="s">
        <v>19</v>
      </c>
      <c r="H1508" t="s">
        <v>19</v>
      </c>
      <c r="I1508" s="1">
        <v>46041</v>
      </c>
      <c r="J1508" s="1">
        <v>46041</v>
      </c>
      <c r="K1508" s="1">
        <v>46041</v>
      </c>
      <c r="L1508">
        <v>37</v>
      </c>
      <c r="M1508">
        <v>5.48</v>
      </c>
      <c r="N1508">
        <v>5.48</v>
      </c>
      <c r="O1508">
        <v>0</v>
      </c>
      <c r="P1508">
        <v>0</v>
      </c>
      <c r="Q1508" t="s">
        <v>108</v>
      </c>
    </row>
    <row r="1509" spans="1:17">
      <c r="A1509" t="s">
        <v>93</v>
      </c>
      <c r="B1509" t="s">
        <v>106</v>
      </c>
      <c r="C1509" t="s">
        <v>56</v>
      </c>
      <c r="D1509" t="s">
        <v>1292</v>
      </c>
      <c r="E1509">
        <v>16</v>
      </c>
      <c r="F1509" t="str">
        <f>VLOOKUP(E1509,[1]LOJA!$A:$B,2,0)</f>
        <v>AG LINDAS</v>
      </c>
      <c r="G1509" t="s">
        <v>19</v>
      </c>
      <c r="H1509" t="s">
        <v>19</v>
      </c>
      <c r="I1509" s="1">
        <v>46041</v>
      </c>
      <c r="J1509" s="1">
        <v>46039</v>
      </c>
      <c r="K1509" s="1">
        <v>46041</v>
      </c>
      <c r="L1509">
        <v>37</v>
      </c>
      <c r="M1509">
        <v>4.34</v>
      </c>
      <c r="N1509">
        <v>4.34</v>
      </c>
      <c r="O1509">
        <v>0</v>
      </c>
      <c r="P1509">
        <v>0</v>
      </c>
      <c r="Q1509" t="s">
        <v>108</v>
      </c>
    </row>
    <row r="1510" spans="1:17">
      <c r="A1510" t="s">
        <v>93</v>
      </c>
      <c r="B1510" t="s">
        <v>106</v>
      </c>
      <c r="C1510" t="s">
        <v>56</v>
      </c>
      <c r="D1510" t="s">
        <v>1293</v>
      </c>
      <c r="E1510">
        <v>16</v>
      </c>
      <c r="F1510" t="str">
        <f>VLOOKUP(E1510,[1]LOJA!$A:$B,2,0)</f>
        <v>AG LINDAS</v>
      </c>
      <c r="G1510" t="s">
        <v>19</v>
      </c>
      <c r="H1510" t="s">
        <v>19</v>
      </c>
      <c r="I1510" s="1">
        <v>46041</v>
      </c>
      <c r="J1510" s="1">
        <v>46039</v>
      </c>
      <c r="K1510" s="1">
        <v>46041</v>
      </c>
      <c r="L1510">
        <v>37</v>
      </c>
      <c r="M1510">
        <v>3.59</v>
      </c>
      <c r="N1510">
        <v>3.59</v>
      </c>
      <c r="O1510">
        <v>0</v>
      </c>
      <c r="P1510">
        <v>0</v>
      </c>
      <c r="Q1510" t="s">
        <v>108</v>
      </c>
    </row>
    <row r="1511" spans="1:17">
      <c r="A1511" t="s">
        <v>93</v>
      </c>
      <c r="B1511" t="s">
        <v>106</v>
      </c>
      <c r="C1511" t="s">
        <v>56</v>
      </c>
      <c r="D1511" t="s">
        <v>1294</v>
      </c>
      <c r="E1511">
        <v>16</v>
      </c>
      <c r="F1511" t="str">
        <f>VLOOKUP(E1511,[1]LOJA!$A:$B,2,0)</f>
        <v>AG LINDAS</v>
      </c>
      <c r="G1511" t="s">
        <v>19</v>
      </c>
      <c r="H1511" t="s">
        <v>19</v>
      </c>
      <c r="I1511" s="1">
        <v>46041</v>
      </c>
      <c r="J1511" s="1">
        <v>46039</v>
      </c>
      <c r="K1511" s="1">
        <v>46041</v>
      </c>
      <c r="L1511">
        <v>37</v>
      </c>
      <c r="M1511">
        <v>2.27</v>
      </c>
      <c r="N1511">
        <v>2.27</v>
      </c>
      <c r="O1511">
        <v>0</v>
      </c>
      <c r="P1511">
        <v>0</v>
      </c>
      <c r="Q1511" t="s">
        <v>108</v>
      </c>
    </row>
    <row r="1512" spans="1:17">
      <c r="A1512" t="s">
        <v>93</v>
      </c>
      <c r="B1512" t="s">
        <v>106</v>
      </c>
      <c r="C1512" t="s">
        <v>56</v>
      </c>
      <c r="D1512" t="s">
        <v>1295</v>
      </c>
      <c r="E1512">
        <v>16</v>
      </c>
      <c r="F1512" t="str">
        <f>VLOOKUP(E1512,[1]LOJA!$A:$B,2,0)</f>
        <v>AG LINDAS</v>
      </c>
      <c r="G1512" t="s">
        <v>19</v>
      </c>
      <c r="H1512" t="s">
        <v>19</v>
      </c>
      <c r="I1512" s="1">
        <v>46041</v>
      </c>
      <c r="J1512" s="1">
        <v>46039</v>
      </c>
      <c r="K1512" s="1">
        <v>46041</v>
      </c>
      <c r="L1512">
        <v>37</v>
      </c>
      <c r="M1512">
        <v>0.52</v>
      </c>
      <c r="N1512">
        <v>0.52</v>
      </c>
      <c r="O1512">
        <v>0</v>
      </c>
      <c r="P1512">
        <v>0</v>
      </c>
      <c r="Q1512" t="s">
        <v>108</v>
      </c>
    </row>
    <row r="1513" spans="1:17">
      <c r="A1513" t="s">
        <v>93</v>
      </c>
      <c r="B1513" t="s">
        <v>106</v>
      </c>
      <c r="C1513" t="s">
        <v>56</v>
      </c>
      <c r="D1513" t="s">
        <v>1296</v>
      </c>
      <c r="E1513">
        <v>16</v>
      </c>
      <c r="F1513" t="str">
        <f>VLOOKUP(E1513,[1]LOJA!$A:$B,2,0)</f>
        <v>AG LINDAS</v>
      </c>
      <c r="G1513" t="s">
        <v>19</v>
      </c>
      <c r="H1513" t="s">
        <v>19</v>
      </c>
      <c r="I1513" s="1">
        <v>46041</v>
      </c>
      <c r="J1513" s="1">
        <v>46039</v>
      </c>
      <c r="K1513" s="1">
        <v>46041</v>
      </c>
      <c r="L1513">
        <v>37</v>
      </c>
      <c r="M1513">
        <v>1.59</v>
      </c>
      <c r="N1513">
        <v>1.59</v>
      </c>
      <c r="O1513">
        <v>0</v>
      </c>
      <c r="P1513">
        <v>0</v>
      </c>
      <c r="Q1513" t="s">
        <v>108</v>
      </c>
    </row>
    <row r="1514" spans="1:17">
      <c r="A1514" t="s">
        <v>93</v>
      </c>
      <c r="B1514" t="s">
        <v>106</v>
      </c>
      <c r="C1514" t="s">
        <v>56</v>
      </c>
      <c r="D1514" t="s">
        <v>1297</v>
      </c>
      <c r="E1514">
        <v>16</v>
      </c>
      <c r="F1514" t="str">
        <f>VLOOKUP(E1514,[1]LOJA!$A:$B,2,0)</f>
        <v>AG LINDAS</v>
      </c>
      <c r="G1514" t="s">
        <v>19</v>
      </c>
      <c r="H1514" t="s">
        <v>19</v>
      </c>
      <c r="I1514" s="1">
        <v>46041</v>
      </c>
      <c r="J1514" s="1">
        <v>46040</v>
      </c>
      <c r="K1514" s="1">
        <v>46041</v>
      </c>
      <c r="L1514">
        <v>37</v>
      </c>
      <c r="M1514">
        <v>0.53</v>
      </c>
      <c r="N1514">
        <v>0.53</v>
      </c>
      <c r="O1514">
        <v>0</v>
      </c>
      <c r="P1514">
        <v>0</v>
      </c>
      <c r="Q1514" t="s">
        <v>108</v>
      </c>
    </row>
    <row r="1515" spans="1:17">
      <c r="A1515" t="s">
        <v>93</v>
      </c>
      <c r="B1515" t="s">
        <v>106</v>
      </c>
      <c r="C1515" t="s">
        <v>56</v>
      </c>
      <c r="D1515" t="s">
        <v>1298</v>
      </c>
      <c r="E1515">
        <v>16</v>
      </c>
      <c r="F1515" t="str">
        <f>VLOOKUP(E1515,[1]LOJA!$A:$B,2,0)</f>
        <v>AG LINDAS</v>
      </c>
      <c r="G1515" t="s">
        <v>19</v>
      </c>
      <c r="H1515" t="s">
        <v>19</v>
      </c>
      <c r="I1515" s="1">
        <v>46041</v>
      </c>
      <c r="J1515" s="1">
        <v>46040</v>
      </c>
      <c r="K1515" s="1">
        <v>46041</v>
      </c>
      <c r="L1515">
        <v>37</v>
      </c>
      <c r="M1515">
        <v>0.41</v>
      </c>
      <c r="N1515">
        <v>0.41</v>
      </c>
      <c r="O1515">
        <v>0</v>
      </c>
      <c r="P1515">
        <v>0</v>
      </c>
      <c r="Q1515" t="s">
        <v>108</v>
      </c>
    </row>
    <row r="1516" spans="1:17">
      <c r="A1516" t="s">
        <v>93</v>
      </c>
      <c r="B1516" t="s">
        <v>106</v>
      </c>
      <c r="C1516" t="s">
        <v>56</v>
      </c>
      <c r="D1516" t="s">
        <v>1299</v>
      </c>
      <c r="E1516">
        <v>16</v>
      </c>
      <c r="F1516" t="str">
        <f>VLOOKUP(E1516,[1]LOJA!$A:$B,2,0)</f>
        <v>AG LINDAS</v>
      </c>
      <c r="G1516" t="s">
        <v>19</v>
      </c>
      <c r="H1516" t="s">
        <v>19</v>
      </c>
      <c r="I1516" s="1">
        <v>46041</v>
      </c>
      <c r="J1516" s="1">
        <v>46041</v>
      </c>
      <c r="K1516" s="1">
        <v>46041</v>
      </c>
      <c r="L1516">
        <v>37</v>
      </c>
      <c r="M1516">
        <v>3.12</v>
      </c>
      <c r="N1516">
        <v>3.12</v>
      </c>
      <c r="O1516">
        <v>0</v>
      </c>
      <c r="P1516">
        <v>0</v>
      </c>
      <c r="Q1516" t="s">
        <v>108</v>
      </c>
    </row>
    <row r="1517" spans="1:17">
      <c r="A1517" t="s">
        <v>93</v>
      </c>
      <c r="B1517" t="s">
        <v>106</v>
      </c>
      <c r="C1517" t="s">
        <v>56</v>
      </c>
      <c r="D1517" t="s">
        <v>1300</v>
      </c>
      <c r="E1517">
        <v>16</v>
      </c>
      <c r="F1517" t="str">
        <f>VLOOKUP(E1517,[1]LOJA!$A:$B,2,0)</f>
        <v>AG LINDAS</v>
      </c>
      <c r="G1517" t="s">
        <v>19</v>
      </c>
      <c r="H1517" t="s">
        <v>19</v>
      </c>
      <c r="I1517" s="1">
        <v>46041</v>
      </c>
      <c r="J1517" s="1">
        <v>46041</v>
      </c>
      <c r="K1517" s="1">
        <v>46041</v>
      </c>
      <c r="L1517">
        <v>37</v>
      </c>
      <c r="M1517">
        <v>2.75</v>
      </c>
      <c r="N1517">
        <v>2.75</v>
      </c>
      <c r="O1517">
        <v>0</v>
      </c>
      <c r="P1517">
        <v>0</v>
      </c>
      <c r="Q1517" t="s">
        <v>108</v>
      </c>
    </row>
    <row r="1518" spans="1:17">
      <c r="A1518" t="s">
        <v>93</v>
      </c>
      <c r="B1518" t="s">
        <v>106</v>
      </c>
      <c r="C1518" t="s">
        <v>56</v>
      </c>
      <c r="D1518" t="s">
        <v>1301</v>
      </c>
      <c r="E1518">
        <v>16</v>
      </c>
      <c r="F1518" t="str">
        <f>VLOOKUP(E1518,[1]LOJA!$A:$B,2,0)</f>
        <v>AG LINDAS</v>
      </c>
      <c r="G1518" t="s">
        <v>19</v>
      </c>
      <c r="H1518" t="s">
        <v>19</v>
      </c>
      <c r="I1518" s="1">
        <v>46041</v>
      </c>
      <c r="J1518" s="1">
        <v>46041</v>
      </c>
      <c r="K1518" s="1">
        <v>46041</v>
      </c>
      <c r="L1518">
        <v>37</v>
      </c>
      <c r="M1518">
        <v>0.69</v>
      </c>
      <c r="N1518">
        <v>0.69</v>
      </c>
      <c r="O1518">
        <v>0</v>
      </c>
      <c r="P1518">
        <v>0</v>
      </c>
      <c r="Q1518" t="s">
        <v>108</v>
      </c>
    </row>
    <row r="1519" spans="1:17">
      <c r="A1519" t="s">
        <v>93</v>
      </c>
      <c r="B1519" t="s">
        <v>106</v>
      </c>
      <c r="C1519" t="s">
        <v>56</v>
      </c>
      <c r="D1519" t="s">
        <v>1302</v>
      </c>
      <c r="E1519">
        <v>16</v>
      </c>
      <c r="F1519" t="str">
        <f>VLOOKUP(E1519,[1]LOJA!$A:$B,2,0)</f>
        <v>AG LINDAS</v>
      </c>
      <c r="G1519" t="s">
        <v>19</v>
      </c>
      <c r="H1519" t="s">
        <v>19</v>
      </c>
      <c r="I1519" s="1">
        <v>46041</v>
      </c>
      <c r="J1519" s="1">
        <v>46039</v>
      </c>
      <c r="K1519" s="1">
        <v>46041</v>
      </c>
      <c r="L1519">
        <v>37</v>
      </c>
      <c r="M1519">
        <v>0.54</v>
      </c>
      <c r="N1519">
        <v>0.54</v>
      </c>
      <c r="O1519">
        <v>0</v>
      </c>
      <c r="P1519">
        <v>0</v>
      </c>
      <c r="Q1519" t="s">
        <v>108</v>
      </c>
    </row>
    <row r="1520" spans="1:17">
      <c r="A1520" t="s">
        <v>93</v>
      </c>
      <c r="B1520" t="s">
        <v>106</v>
      </c>
      <c r="C1520" t="s">
        <v>56</v>
      </c>
      <c r="D1520" t="s">
        <v>1303</v>
      </c>
      <c r="E1520">
        <v>16</v>
      </c>
      <c r="F1520" t="str">
        <f>VLOOKUP(E1520,[1]LOJA!$A:$B,2,0)</f>
        <v>AG LINDAS</v>
      </c>
      <c r="G1520" t="s">
        <v>19</v>
      </c>
      <c r="H1520" t="s">
        <v>19</v>
      </c>
      <c r="I1520" s="1">
        <v>46041</v>
      </c>
      <c r="J1520" s="1">
        <v>46039</v>
      </c>
      <c r="K1520" s="1">
        <v>46041</v>
      </c>
      <c r="L1520">
        <v>37</v>
      </c>
      <c r="M1520">
        <v>0.74</v>
      </c>
      <c r="N1520">
        <v>0.74</v>
      </c>
      <c r="O1520">
        <v>0</v>
      </c>
      <c r="P1520">
        <v>0</v>
      </c>
      <c r="Q1520" t="s">
        <v>108</v>
      </c>
    </row>
    <row r="1521" spans="1:17">
      <c r="A1521" t="s">
        <v>93</v>
      </c>
      <c r="B1521" t="s">
        <v>106</v>
      </c>
      <c r="C1521" t="s">
        <v>56</v>
      </c>
      <c r="D1521" t="s">
        <v>1304</v>
      </c>
      <c r="E1521">
        <v>16</v>
      </c>
      <c r="F1521" t="str">
        <f>VLOOKUP(E1521,[1]LOJA!$A:$B,2,0)</f>
        <v>AG LINDAS</v>
      </c>
      <c r="G1521" t="s">
        <v>19</v>
      </c>
      <c r="H1521" t="s">
        <v>19</v>
      </c>
      <c r="I1521" s="1">
        <v>46041</v>
      </c>
      <c r="J1521" s="1">
        <v>46039</v>
      </c>
      <c r="K1521" s="1">
        <v>46041</v>
      </c>
      <c r="L1521">
        <v>37</v>
      </c>
      <c r="M1521">
        <v>0.88</v>
      </c>
      <c r="N1521">
        <v>0.88</v>
      </c>
      <c r="O1521">
        <v>0</v>
      </c>
      <c r="P1521">
        <v>0</v>
      </c>
      <c r="Q1521" t="s">
        <v>108</v>
      </c>
    </row>
    <row r="1522" spans="1:17">
      <c r="A1522" t="s">
        <v>93</v>
      </c>
      <c r="B1522" t="s">
        <v>106</v>
      </c>
      <c r="C1522" t="s">
        <v>56</v>
      </c>
      <c r="D1522" t="s">
        <v>1305</v>
      </c>
      <c r="E1522">
        <v>16</v>
      </c>
      <c r="F1522" t="str">
        <f>VLOOKUP(E1522,[1]LOJA!$A:$B,2,0)</f>
        <v>AG LINDAS</v>
      </c>
      <c r="G1522" t="s">
        <v>19</v>
      </c>
      <c r="H1522" t="s">
        <v>19</v>
      </c>
      <c r="I1522" s="1">
        <v>46041</v>
      </c>
      <c r="J1522" s="1">
        <v>46039</v>
      </c>
      <c r="K1522" s="1">
        <v>46041</v>
      </c>
      <c r="L1522">
        <v>37</v>
      </c>
      <c r="M1522">
        <v>0.5</v>
      </c>
      <c r="N1522">
        <v>0.5</v>
      </c>
      <c r="O1522">
        <v>0</v>
      </c>
      <c r="P1522">
        <v>0</v>
      </c>
      <c r="Q1522" t="s">
        <v>108</v>
      </c>
    </row>
    <row r="1523" spans="1:17">
      <c r="A1523" t="s">
        <v>93</v>
      </c>
      <c r="B1523" t="s">
        <v>106</v>
      </c>
      <c r="C1523" t="s">
        <v>56</v>
      </c>
      <c r="D1523" t="s">
        <v>1306</v>
      </c>
      <c r="E1523">
        <v>16</v>
      </c>
      <c r="F1523" t="str">
        <f>VLOOKUP(E1523,[1]LOJA!$A:$B,2,0)</f>
        <v>AG LINDAS</v>
      </c>
      <c r="G1523" t="s">
        <v>19</v>
      </c>
      <c r="H1523" t="s">
        <v>19</v>
      </c>
      <c r="I1523" s="1">
        <v>46041</v>
      </c>
      <c r="J1523" s="1">
        <v>46039</v>
      </c>
      <c r="K1523" s="1">
        <v>46041</v>
      </c>
      <c r="L1523">
        <v>37</v>
      </c>
      <c r="M1523">
        <v>2.7</v>
      </c>
      <c r="N1523">
        <v>2.7</v>
      </c>
      <c r="O1523">
        <v>0</v>
      </c>
      <c r="P1523">
        <v>0</v>
      </c>
      <c r="Q1523" t="s">
        <v>108</v>
      </c>
    </row>
    <row r="1524" spans="1:17">
      <c r="A1524" t="s">
        <v>93</v>
      </c>
      <c r="B1524" t="s">
        <v>106</v>
      </c>
      <c r="C1524" t="s">
        <v>56</v>
      </c>
      <c r="D1524" t="s">
        <v>1307</v>
      </c>
      <c r="E1524">
        <v>16</v>
      </c>
      <c r="F1524" t="str">
        <f>VLOOKUP(E1524,[1]LOJA!$A:$B,2,0)</f>
        <v>AG LINDAS</v>
      </c>
      <c r="G1524" t="s">
        <v>19</v>
      </c>
      <c r="H1524" t="s">
        <v>19</v>
      </c>
      <c r="I1524" s="1">
        <v>46041</v>
      </c>
      <c r="J1524" s="1">
        <v>46039</v>
      </c>
      <c r="K1524" s="1">
        <v>46041</v>
      </c>
      <c r="L1524">
        <v>37</v>
      </c>
      <c r="M1524">
        <v>2.4300000000000002</v>
      </c>
      <c r="N1524">
        <v>2.4300000000000002</v>
      </c>
      <c r="O1524">
        <v>0</v>
      </c>
      <c r="P1524">
        <v>0</v>
      </c>
      <c r="Q1524" t="s">
        <v>108</v>
      </c>
    </row>
    <row r="1525" spans="1:17">
      <c r="A1525" t="s">
        <v>93</v>
      </c>
      <c r="B1525" t="s">
        <v>106</v>
      </c>
      <c r="C1525" t="s">
        <v>56</v>
      </c>
      <c r="D1525" t="s">
        <v>1308</v>
      </c>
      <c r="E1525">
        <v>16</v>
      </c>
      <c r="F1525" t="str">
        <f>VLOOKUP(E1525,[1]LOJA!$A:$B,2,0)</f>
        <v>AG LINDAS</v>
      </c>
      <c r="G1525" t="s">
        <v>19</v>
      </c>
      <c r="H1525" t="s">
        <v>19</v>
      </c>
      <c r="I1525" s="1">
        <v>46041</v>
      </c>
      <c r="J1525" s="1">
        <v>46039</v>
      </c>
      <c r="K1525" s="1">
        <v>46041</v>
      </c>
      <c r="L1525">
        <v>37</v>
      </c>
      <c r="M1525">
        <v>1.01</v>
      </c>
      <c r="N1525">
        <v>1.01</v>
      </c>
      <c r="O1525">
        <v>0</v>
      </c>
      <c r="P1525">
        <v>0</v>
      </c>
      <c r="Q1525" t="s">
        <v>108</v>
      </c>
    </row>
    <row r="1526" spans="1:17">
      <c r="A1526" t="s">
        <v>93</v>
      </c>
      <c r="B1526" t="s">
        <v>106</v>
      </c>
      <c r="C1526" t="s">
        <v>56</v>
      </c>
      <c r="D1526" t="s">
        <v>1309</v>
      </c>
      <c r="E1526">
        <v>16</v>
      </c>
      <c r="F1526" t="str">
        <f>VLOOKUP(E1526,[1]LOJA!$A:$B,2,0)</f>
        <v>AG LINDAS</v>
      </c>
      <c r="G1526" t="s">
        <v>19</v>
      </c>
      <c r="H1526" t="s">
        <v>19</v>
      </c>
      <c r="I1526" s="1">
        <v>46041</v>
      </c>
      <c r="J1526" s="1">
        <v>46039</v>
      </c>
      <c r="K1526" s="1">
        <v>46041</v>
      </c>
      <c r="L1526">
        <v>37</v>
      </c>
      <c r="M1526">
        <v>0.08</v>
      </c>
      <c r="N1526">
        <v>0.08</v>
      </c>
      <c r="O1526">
        <v>0</v>
      </c>
      <c r="P1526">
        <v>0</v>
      </c>
      <c r="Q1526" t="s">
        <v>108</v>
      </c>
    </row>
    <row r="1527" spans="1:17">
      <c r="A1527" t="s">
        <v>93</v>
      </c>
      <c r="B1527" t="s">
        <v>106</v>
      </c>
      <c r="C1527" t="s">
        <v>56</v>
      </c>
      <c r="D1527" t="s">
        <v>1310</v>
      </c>
      <c r="E1527">
        <v>16</v>
      </c>
      <c r="F1527" t="str">
        <f>VLOOKUP(E1527,[1]LOJA!$A:$B,2,0)</f>
        <v>AG LINDAS</v>
      </c>
      <c r="G1527" t="s">
        <v>19</v>
      </c>
      <c r="H1527" t="s">
        <v>19</v>
      </c>
      <c r="I1527" s="1">
        <v>46041</v>
      </c>
      <c r="J1527" s="1">
        <v>46039</v>
      </c>
      <c r="K1527" s="1">
        <v>46041</v>
      </c>
      <c r="L1527">
        <v>37</v>
      </c>
      <c r="M1527">
        <v>0.28000000000000003</v>
      </c>
      <c r="N1527">
        <v>0.28000000000000003</v>
      </c>
      <c r="O1527">
        <v>0</v>
      </c>
      <c r="P1527">
        <v>0</v>
      </c>
      <c r="Q1527" t="s">
        <v>108</v>
      </c>
    </row>
    <row r="1528" spans="1:17">
      <c r="A1528" t="s">
        <v>93</v>
      </c>
      <c r="B1528" t="s">
        <v>106</v>
      </c>
      <c r="C1528" t="s">
        <v>56</v>
      </c>
      <c r="D1528" t="s">
        <v>1311</v>
      </c>
      <c r="E1528">
        <v>16</v>
      </c>
      <c r="F1528" t="str">
        <f>VLOOKUP(E1528,[1]LOJA!$A:$B,2,0)</f>
        <v>AG LINDAS</v>
      </c>
      <c r="G1528" t="s">
        <v>19</v>
      </c>
      <c r="H1528" t="s">
        <v>19</v>
      </c>
      <c r="I1528" s="1">
        <v>46041</v>
      </c>
      <c r="J1528" s="1">
        <v>46040</v>
      </c>
      <c r="K1528" s="1">
        <v>46041</v>
      </c>
      <c r="L1528">
        <v>37</v>
      </c>
      <c r="M1528">
        <v>0.38</v>
      </c>
      <c r="N1528">
        <v>0.38</v>
      </c>
      <c r="O1528">
        <v>0</v>
      </c>
      <c r="P1528">
        <v>0</v>
      </c>
      <c r="Q1528" t="s">
        <v>108</v>
      </c>
    </row>
    <row r="1529" spans="1:17">
      <c r="A1529" t="s">
        <v>93</v>
      </c>
      <c r="B1529" t="s">
        <v>106</v>
      </c>
      <c r="C1529" t="s">
        <v>56</v>
      </c>
      <c r="D1529" t="s">
        <v>1312</v>
      </c>
      <c r="E1529">
        <v>16</v>
      </c>
      <c r="F1529" t="str">
        <f>VLOOKUP(E1529,[1]LOJA!$A:$B,2,0)</f>
        <v>AG LINDAS</v>
      </c>
      <c r="G1529" t="s">
        <v>19</v>
      </c>
      <c r="H1529" t="s">
        <v>19</v>
      </c>
      <c r="I1529" s="1">
        <v>46041</v>
      </c>
      <c r="J1529" s="1">
        <v>46040</v>
      </c>
      <c r="K1529" s="1">
        <v>46041</v>
      </c>
      <c r="L1529">
        <v>37</v>
      </c>
      <c r="M1529">
        <v>0.12</v>
      </c>
      <c r="N1529">
        <v>0.12</v>
      </c>
      <c r="O1529">
        <v>0</v>
      </c>
      <c r="P1529">
        <v>0</v>
      </c>
      <c r="Q1529" t="s">
        <v>108</v>
      </c>
    </row>
    <row r="1530" spans="1:17">
      <c r="A1530" t="s">
        <v>93</v>
      </c>
      <c r="B1530" t="s">
        <v>106</v>
      </c>
      <c r="C1530" t="s">
        <v>56</v>
      </c>
      <c r="D1530" t="s">
        <v>1313</v>
      </c>
      <c r="E1530">
        <v>16</v>
      </c>
      <c r="F1530" t="str">
        <f>VLOOKUP(E1530,[1]LOJA!$A:$B,2,0)</f>
        <v>AG LINDAS</v>
      </c>
      <c r="G1530" t="s">
        <v>19</v>
      </c>
      <c r="H1530" t="s">
        <v>19</v>
      </c>
      <c r="I1530" s="1">
        <v>46041</v>
      </c>
      <c r="J1530" s="1">
        <v>46040</v>
      </c>
      <c r="K1530" s="1">
        <v>46041</v>
      </c>
      <c r="L1530">
        <v>37</v>
      </c>
      <c r="M1530">
        <v>0.98</v>
      </c>
      <c r="N1530">
        <v>0.98</v>
      </c>
      <c r="O1530">
        <v>0</v>
      </c>
      <c r="P1530">
        <v>0</v>
      </c>
      <c r="Q1530" t="s">
        <v>108</v>
      </c>
    </row>
    <row r="1531" spans="1:17">
      <c r="A1531" t="s">
        <v>93</v>
      </c>
      <c r="B1531" t="s">
        <v>106</v>
      </c>
      <c r="C1531" t="s">
        <v>56</v>
      </c>
      <c r="D1531" t="s">
        <v>1314</v>
      </c>
      <c r="E1531">
        <v>16</v>
      </c>
      <c r="F1531" t="str">
        <f>VLOOKUP(E1531,[1]LOJA!$A:$B,2,0)</f>
        <v>AG LINDAS</v>
      </c>
      <c r="G1531" t="s">
        <v>19</v>
      </c>
      <c r="H1531" t="s">
        <v>19</v>
      </c>
      <c r="I1531" s="1">
        <v>46041</v>
      </c>
      <c r="J1531" s="1">
        <v>46040</v>
      </c>
      <c r="K1531" s="1">
        <v>46041</v>
      </c>
      <c r="L1531">
        <v>37</v>
      </c>
      <c r="M1531">
        <v>0.9</v>
      </c>
      <c r="N1531">
        <v>0.9</v>
      </c>
      <c r="O1531">
        <v>0</v>
      </c>
      <c r="P1531">
        <v>0</v>
      </c>
      <c r="Q1531" t="s">
        <v>108</v>
      </c>
    </row>
    <row r="1532" spans="1:17">
      <c r="A1532" t="s">
        <v>93</v>
      </c>
      <c r="B1532" t="s">
        <v>106</v>
      </c>
      <c r="C1532" t="s">
        <v>56</v>
      </c>
      <c r="D1532" t="s">
        <v>1315</v>
      </c>
      <c r="E1532">
        <v>16</v>
      </c>
      <c r="F1532" t="str">
        <f>VLOOKUP(E1532,[1]LOJA!$A:$B,2,0)</f>
        <v>AG LINDAS</v>
      </c>
      <c r="G1532" t="s">
        <v>19</v>
      </c>
      <c r="H1532" t="s">
        <v>19</v>
      </c>
      <c r="I1532" s="1">
        <v>46041</v>
      </c>
      <c r="J1532" s="1">
        <v>46040</v>
      </c>
      <c r="K1532" s="1">
        <v>46041</v>
      </c>
      <c r="L1532">
        <v>37</v>
      </c>
      <c r="M1532">
        <v>0.92</v>
      </c>
      <c r="N1532">
        <v>0.92</v>
      </c>
      <c r="O1532">
        <v>0</v>
      </c>
      <c r="P1532">
        <v>0</v>
      </c>
      <c r="Q1532" t="s">
        <v>108</v>
      </c>
    </row>
    <row r="1533" spans="1:17">
      <c r="A1533" t="s">
        <v>93</v>
      </c>
      <c r="B1533" t="s">
        <v>106</v>
      </c>
      <c r="C1533" t="s">
        <v>56</v>
      </c>
      <c r="D1533" t="s">
        <v>1316</v>
      </c>
      <c r="E1533">
        <v>16</v>
      </c>
      <c r="F1533" t="str">
        <f>VLOOKUP(E1533,[1]LOJA!$A:$B,2,0)</f>
        <v>AG LINDAS</v>
      </c>
      <c r="G1533" t="s">
        <v>19</v>
      </c>
      <c r="H1533" t="s">
        <v>19</v>
      </c>
      <c r="I1533" s="1">
        <v>46041</v>
      </c>
      <c r="J1533" s="1">
        <v>46040</v>
      </c>
      <c r="K1533" s="1">
        <v>46041</v>
      </c>
      <c r="L1533">
        <v>37</v>
      </c>
      <c r="M1533">
        <v>0.4</v>
      </c>
      <c r="N1533">
        <v>0.4</v>
      </c>
      <c r="O1533">
        <v>0</v>
      </c>
      <c r="P1533">
        <v>0</v>
      </c>
      <c r="Q1533" t="s">
        <v>108</v>
      </c>
    </row>
    <row r="1534" spans="1:17">
      <c r="A1534" t="s">
        <v>93</v>
      </c>
      <c r="B1534" t="s">
        <v>106</v>
      </c>
      <c r="C1534" t="s">
        <v>56</v>
      </c>
      <c r="D1534" t="s">
        <v>1317</v>
      </c>
      <c r="E1534">
        <v>16</v>
      </c>
      <c r="F1534" t="str">
        <f>VLOOKUP(E1534,[1]LOJA!$A:$B,2,0)</f>
        <v>AG LINDAS</v>
      </c>
      <c r="G1534" t="s">
        <v>19</v>
      </c>
      <c r="H1534" t="s">
        <v>19</v>
      </c>
      <c r="I1534" s="1">
        <v>46041</v>
      </c>
      <c r="J1534" s="1">
        <v>46040</v>
      </c>
      <c r="K1534" s="1">
        <v>46041</v>
      </c>
      <c r="L1534">
        <v>37</v>
      </c>
      <c r="M1534">
        <v>0.45</v>
      </c>
      <c r="N1534">
        <v>0.45</v>
      </c>
      <c r="O1534">
        <v>0</v>
      </c>
      <c r="P1534">
        <v>0</v>
      </c>
      <c r="Q1534" t="s">
        <v>108</v>
      </c>
    </row>
    <row r="1535" spans="1:17">
      <c r="A1535" t="s">
        <v>93</v>
      </c>
      <c r="B1535" t="s">
        <v>106</v>
      </c>
      <c r="C1535" t="s">
        <v>56</v>
      </c>
      <c r="D1535" t="s">
        <v>1318</v>
      </c>
      <c r="E1535">
        <v>16</v>
      </c>
      <c r="F1535" t="str">
        <f>VLOOKUP(E1535,[1]LOJA!$A:$B,2,0)</f>
        <v>AG LINDAS</v>
      </c>
      <c r="G1535" t="s">
        <v>19</v>
      </c>
      <c r="H1535" t="s">
        <v>19</v>
      </c>
      <c r="I1535" s="1">
        <v>46041</v>
      </c>
      <c r="J1535" s="1">
        <v>46040</v>
      </c>
      <c r="K1535" s="1">
        <v>46041</v>
      </c>
      <c r="L1535">
        <v>37</v>
      </c>
      <c r="M1535">
        <v>0.53</v>
      </c>
      <c r="N1535">
        <v>0.53</v>
      </c>
      <c r="O1535">
        <v>0</v>
      </c>
      <c r="P1535">
        <v>0</v>
      </c>
      <c r="Q1535" t="s">
        <v>108</v>
      </c>
    </row>
    <row r="1536" spans="1:17">
      <c r="A1536" t="s">
        <v>93</v>
      </c>
      <c r="B1536" t="s">
        <v>106</v>
      </c>
      <c r="C1536" t="s">
        <v>56</v>
      </c>
      <c r="D1536" t="s">
        <v>1319</v>
      </c>
      <c r="E1536">
        <v>16</v>
      </c>
      <c r="F1536" t="str">
        <f>VLOOKUP(E1536,[1]LOJA!$A:$B,2,0)</f>
        <v>AG LINDAS</v>
      </c>
      <c r="G1536" t="s">
        <v>19</v>
      </c>
      <c r="H1536" t="s">
        <v>19</v>
      </c>
      <c r="I1536" s="1">
        <v>46042</v>
      </c>
      <c r="J1536" s="1">
        <v>46042</v>
      </c>
      <c r="K1536" s="1">
        <v>46042</v>
      </c>
      <c r="L1536">
        <v>37</v>
      </c>
      <c r="M1536">
        <v>4.3099999999999996</v>
      </c>
      <c r="N1536">
        <v>4.3099999999999996</v>
      </c>
      <c r="O1536">
        <v>0</v>
      </c>
      <c r="P1536">
        <v>0</v>
      </c>
      <c r="Q1536" t="s">
        <v>108</v>
      </c>
    </row>
    <row r="1537" spans="1:17">
      <c r="A1537" t="s">
        <v>93</v>
      </c>
      <c r="B1537" t="s">
        <v>106</v>
      </c>
      <c r="C1537" t="s">
        <v>56</v>
      </c>
      <c r="D1537" t="s">
        <v>1320</v>
      </c>
      <c r="E1537">
        <v>16</v>
      </c>
      <c r="F1537" t="str">
        <f>VLOOKUP(E1537,[1]LOJA!$A:$B,2,0)</f>
        <v>AG LINDAS</v>
      </c>
      <c r="G1537" t="s">
        <v>19</v>
      </c>
      <c r="H1537" t="s">
        <v>19</v>
      </c>
      <c r="I1537" s="1">
        <v>46042</v>
      </c>
      <c r="J1537" s="1">
        <v>46042</v>
      </c>
      <c r="K1537" s="1">
        <v>46042</v>
      </c>
      <c r="L1537">
        <v>37</v>
      </c>
      <c r="M1537">
        <v>5.96</v>
      </c>
      <c r="N1537">
        <v>5.96</v>
      </c>
      <c r="O1537">
        <v>0</v>
      </c>
      <c r="P1537">
        <v>0</v>
      </c>
      <c r="Q1537" t="s">
        <v>108</v>
      </c>
    </row>
    <row r="1538" spans="1:17">
      <c r="A1538" t="s">
        <v>93</v>
      </c>
      <c r="B1538" t="s">
        <v>106</v>
      </c>
      <c r="C1538" t="s">
        <v>56</v>
      </c>
      <c r="D1538" t="s">
        <v>1321</v>
      </c>
      <c r="E1538">
        <v>16</v>
      </c>
      <c r="F1538" t="str">
        <f>VLOOKUP(E1538,[1]LOJA!$A:$B,2,0)</f>
        <v>AG LINDAS</v>
      </c>
      <c r="G1538" t="s">
        <v>19</v>
      </c>
      <c r="H1538" t="s">
        <v>19</v>
      </c>
      <c r="I1538" s="1">
        <v>46042</v>
      </c>
      <c r="J1538" s="1">
        <v>46042</v>
      </c>
      <c r="K1538" s="1">
        <v>46042</v>
      </c>
      <c r="L1538">
        <v>37</v>
      </c>
      <c r="M1538">
        <v>4.79</v>
      </c>
      <c r="N1538">
        <v>4.79</v>
      </c>
      <c r="O1538">
        <v>0</v>
      </c>
      <c r="P1538">
        <v>0</v>
      </c>
      <c r="Q1538" t="s">
        <v>108</v>
      </c>
    </row>
    <row r="1539" spans="1:17">
      <c r="A1539" t="s">
        <v>93</v>
      </c>
      <c r="B1539" t="s">
        <v>106</v>
      </c>
      <c r="C1539" t="s">
        <v>56</v>
      </c>
      <c r="D1539" t="s">
        <v>1322</v>
      </c>
      <c r="E1539">
        <v>16</v>
      </c>
      <c r="F1539" t="str">
        <f>VLOOKUP(E1539,[1]LOJA!$A:$B,2,0)</f>
        <v>AG LINDAS</v>
      </c>
      <c r="G1539" t="s">
        <v>19</v>
      </c>
      <c r="H1539" t="s">
        <v>19</v>
      </c>
      <c r="I1539" s="1">
        <v>46042</v>
      </c>
      <c r="J1539" s="1">
        <v>46042</v>
      </c>
      <c r="K1539" s="1">
        <v>46042</v>
      </c>
      <c r="L1539">
        <v>37</v>
      </c>
      <c r="M1539">
        <v>0.95</v>
      </c>
      <c r="N1539">
        <v>0.95</v>
      </c>
      <c r="O1539">
        <v>0</v>
      </c>
      <c r="P1539">
        <v>0</v>
      </c>
      <c r="Q1539" t="s">
        <v>108</v>
      </c>
    </row>
    <row r="1540" spans="1:17">
      <c r="A1540" t="s">
        <v>93</v>
      </c>
      <c r="B1540" t="s">
        <v>106</v>
      </c>
      <c r="C1540" t="s">
        <v>56</v>
      </c>
      <c r="D1540" t="s">
        <v>1323</v>
      </c>
      <c r="E1540">
        <v>16</v>
      </c>
      <c r="F1540" t="str">
        <f>VLOOKUP(E1540,[1]LOJA!$A:$B,2,0)</f>
        <v>AG LINDAS</v>
      </c>
      <c r="G1540" t="s">
        <v>19</v>
      </c>
      <c r="H1540" t="s">
        <v>19</v>
      </c>
      <c r="I1540" s="1">
        <v>46042</v>
      </c>
      <c r="J1540" s="1">
        <v>46042</v>
      </c>
      <c r="K1540" s="1">
        <v>46042</v>
      </c>
      <c r="L1540">
        <v>37</v>
      </c>
      <c r="M1540">
        <v>1.1100000000000001</v>
      </c>
      <c r="N1540">
        <v>1.1100000000000001</v>
      </c>
      <c r="O1540">
        <v>0</v>
      </c>
      <c r="P1540">
        <v>0</v>
      </c>
      <c r="Q1540" t="s">
        <v>108</v>
      </c>
    </row>
    <row r="1541" spans="1:17">
      <c r="A1541" t="s">
        <v>93</v>
      </c>
      <c r="B1541" t="s">
        <v>106</v>
      </c>
      <c r="C1541" t="s">
        <v>56</v>
      </c>
      <c r="D1541" t="s">
        <v>1324</v>
      </c>
      <c r="E1541">
        <v>16</v>
      </c>
      <c r="F1541" t="str">
        <f>VLOOKUP(E1541,[1]LOJA!$A:$B,2,0)</f>
        <v>AG LINDAS</v>
      </c>
      <c r="G1541" t="s">
        <v>19</v>
      </c>
      <c r="H1541" t="s">
        <v>19</v>
      </c>
      <c r="I1541" s="1">
        <v>46042</v>
      </c>
      <c r="J1541" s="1">
        <v>46042</v>
      </c>
      <c r="K1541" s="1">
        <v>46042</v>
      </c>
      <c r="L1541">
        <v>37</v>
      </c>
      <c r="M1541">
        <v>0.96</v>
      </c>
      <c r="N1541">
        <v>0.96</v>
      </c>
      <c r="O1541">
        <v>0</v>
      </c>
      <c r="P1541">
        <v>0</v>
      </c>
      <c r="Q1541" t="s">
        <v>108</v>
      </c>
    </row>
    <row r="1542" spans="1:17">
      <c r="A1542" t="s">
        <v>93</v>
      </c>
      <c r="B1542" t="s">
        <v>106</v>
      </c>
      <c r="C1542" t="s">
        <v>56</v>
      </c>
      <c r="D1542" t="s">
        <v>1325</v>
      </c>
      <c r="E1542">
        <v>16</v>
      </c>
      <c r="F1542" t="str">
        <f>VLOOKUP(E1542,[1]LOJA!$A:$B,2,0)</f>
        <v>AG LINDAS</v>
      </c>
      <c r="G1542" t="s">
        <v>19</v>
      </c>
      <c r="H1542" t="s">
        <v>19</v>
      </c>
      <c r="I1542" s="1">
        <v>46042</v>
      </c>
      <c r="J1542" s="1">
        <v>46042</v>
      </c>
      <c r="K1542" s="1">
        <v>46042</v>
      </c>
      <c r="L1542">
        <v>37</v>
      </c>
      <c r="M1542">
        <v>0.06</v>
      </c>
      <c r="N1542">
        <v>0.06</v>
      </c>
      <c r="O1542">
        <v>0</v>
      </c>
      <c r="P1542">
        <v>0</v>
      </c>
      <c r="Q1542" t="s">
        <v>108</v>
      </c>
    </row>
    <row r="1543" spans="1:17">
      <c r="A1543" t="s">
        <v>93</v>
      </c>
      <c r="B1543" t="s">
        <v>106</v>
      </c>
      <c r="C1543" t="s">
        <v>56</v>
      </c>
      <c r="D1543" t="s">
        <v>1326</v>
      </c>
      <c r="E1543">
        <v>16</v>
      </c>
      <c r="F1543" t="str">
        <f>VLOOKUP(E1543,[1]LOJA!$A:$B,2,0)</f>
        <v>AG LINDAS</v>
      </c>
      <c r="G1543" t="s">
        <v>19</v>
      </c>
      <c r="H1543" t="s">
        <v>19</v>
      </c>
      <c r="I1543" s="1">
        <v>46042</v>
      </c>
      <c r="J1543" s="1">
        <v>46042</v>
      </c>
      <c r="K1543" s="1">
        <v>46042</v>
      </c>
      <c r="L1543">
        <v>37</v>
      </c>
      <c r="M1543">
        <v>0.06</v>
      </c>
      <c r="N1543">
        <v>0.06</v>
      </c>
      <c r="O1543">
        <v>0</v>
      </c>
      <c r="P1543">
        <v>0</v>
      </c>
      <c r="Q1543" t="s">
        <v>108</v>
      </c>
    </row>
    <row r="1544" spans="1:17">
      <c r="A1544" t="s">
        <v>93</v>
      </c>
      <c r="B1544" t="s">
        <v>106</v>
      </c>
      <c r="C1544" t="s">
        <v>56</v>
      </c>
      <c r="D1544" t="s">
        <v>1327</v>
      </c>
      <c r="E1544">
        <v>16</v>
      </c>
      <c r="F1544" t="str">
        <f>VLOOKUP(E1544,[1]LOJA!$A:$B,2,0)</f>
        <v>AG LINDAS</v>
      </c>
      <c r="G1544" t="s">
        <v>19</v>
      </c>
      <c r="H1544" t="s">
        <v>19</v>
      </c>
      <c r="I1544" s="1">
        <v>46042</v>
      </c>
      <c r="J1544" s="1">
        <v>46042</v>
      </c>
      <c r="K1544" s="1">
        <v>46042</v>
      </c>
      <c r="L1544">
        <v>37</v>
      </c>
      <c r="M1544">
        <v>7.0000000000000007E-2</v>
      </c>
      <c r="N1544">
        <v>7.0000000000000007E-2</v>
      </c>
      <c r="O1544">
        <v>0</v>
      </c>
      <c r="P1544">
        <v>0</v>
      </c>
      <c r="Q1544" t="s">
        <v>108</v>
      </c>
    </row>
    <row r="1545" spans="1:17">
      <c r="A1545" t="s">
        <v>93</v>
      </c>
      <c r="B1545" t="s">
        <v>106</v>
      </c>
      <c r="C1545" t="s">
        <v>56</v>
      </c>
      <c r="D1545" t="s">
        <v>1328</v>
      </c>
      <c r="E1545">
        <v>16</v>
      </c>
      <c r="F1545" t="str">
        <f>VLOOKUP(E1545,[1]LOJA!$A:$B,2,0)</f>
        <v>AG LINDAS</v>
      </c>
      <c r="G1545" t="s">
        <v>19</v>
      </c>
      <c r="H1545" t="s">
        <v>19</v>
      </c>
      <c r="I1545" s="1">
        <v>46042</v>
      </c>
      <c r="J1545" s="1">
        <v>46042</v>
      </c>
      <c r="K1545" s="1">
        <v>46042</v>
      </c>
      <c r="L1545">
        <v>37</v>
      </c>
      <c r="M1545">
        <v>0.96</v>
      </c>
      <c r="N1545">
        <v>0.96</v>
      </c>
      <c r="O1545">
        <v>0</v>
      </c>
      <c r="P1545">
        <v>0</v>
      </c>
      <c r="Q1545" t="s">
        <v>108</v>
      </c>
    </row>
    <row r="1546" spans="1:17">
      <c r="A1546" t="s">
        <v>93</v>
      </c>
      <c r="B1546" t="s">
        <v>106</v>
      </c>
      <c r="C1546" t="s">
        <v>56</v>
      </c>
      <c r="D1546" t="s">
        <v>1329</v>
      </c>
      <c r="E1546">
        <v>16</v>
      </c>
      <c r="F1546" t="str">
        <f>VLOOKUP(E1546,[1]LOJA!$A:$B,2,0)</f>
        <v>AG LINDAS</v>
      </c>
      <c r="G1546" t="s">
        <v>19</v>
      </c>
      <c r="H1546" t="s">
        <v>19</v>
      </c>
      <c r="I1546" s="1">
        <v>46042</v>
      </c>
      <c r="J1546" s="1">
        <v>46042</v>
      </c>
      <c r="K1546" s="1">
        <v>46042</v>
      </c>
      <c r="L1546">
        <v>37</v>
      </c>
      <c r="M1546">
        <v>0.99</v>
      </c>
      <c r="N1546">
        <v>0.99</v>
      </c>
      <c r="O1546">
        <v>0</v>
      </c>
      <c r="P1546">
        <v>0</v>
      </c>
      <c r="Q1546" t="s">
        <v>108</v>
      </c>
    </row>
    <row r="1547" spans="1:17">
      <c r="A1547" t="s">
        <v>93</v>
      </c>
      <c r="B1547" t="s">
        <v>106</v>
      </c>
      <c r="C1547" t="s">
        <v>56</v>
      </c>
      <c r="D1547" t="s">
        <v>1330</v>
      </c>
      <c r="E1547">
        <v>16</v>
      </c>
      <c r="F1547" t="str">
        <f>VLOOKUP(E1547,[1]LOJA!$A:$B,2,0)</f>
        <v>AG LINDAS</v>
      </c>
      <c r="G1547" t="s">
        <v>19</v>
      </c>
      <c r="H1547" t="s">
        <v>19</v>
      </c>
      <c r="I1547" s="1">
        <v>46042</v>
      </c>
      <c r="J1547" s="1">
        <v>46042</v>
      </c>
      <c r="K1547" s="1">
        <v>46042</v>
      </c>
      <c r="L1547">
        <v>37</v>
      </c>
      <c r="M1547">
        <v>0.42</v>
      </c>
      <c r="N1547">
        <v>0.42</v>
      </c>
      <c r="O1547">
        <v>0</v>
      </c>
      <c r="P1547">
        <v>0</v>
      </c>
      <c r="Q1547" t="s">
        <v>108</v>
      </c>
    </row>
    <row r="1548" spans="1:17">
      <c r="A1548" t="s">
        <v>93</v>
      </c>
      <c r="B1548" t="s">
        <v>106</v>
      </c>
      <c r="C1548" t="s">
        <v>56</v>
      </c>
      <c r="D1548" t="s">
        <v>1331</v>
      </c>
      <c r="E1548">
        <v>16</v>
      </c>
      <c r="F1548" t="str">
        <f>VLOOKUP(E1548,[1]LOJA!$A:$B,2,0)</f>
        <v>AG LINDAS</v>
      </c>
      <c r="G1548" t="s">
        <v>19</v>
      </c>
      <c r="H1548" t="s">
        <v>19</v>
      </c>
      <c r="I1548" s="1">
        <v>46042</v>
      </c>
      <c r="J1548" s="1">
        <v>46042</v>
      </c>
      <c r="K1548" s="1">
        <v>46042</v>
      </c>
      <c r="L1548">
        <v>37</v>
      </c>
      <c r="M1548">
        <v>0.3</v>
      </c>
      <c r="N1548">
        <v>0.3</v>
      </c>
      <c r="O1548">
        <v>0</v>
      </c>
      <c r="P1548">
        <v>0</v>
      </c>
      <c r="Q1548" t="s">
        <v>108</v>
      </c>
    </row>
    <row r="1549" spans="1:17">
      <c r="A1549" t="s">
        <v>93</v>
      </c>
      <c r="B1549" t="s">
        <v>106</v>
      </c>
      <c r="C1549" t="s">
        <v>56</v>
      </c>
      <c r="D1549" t="s">
        <v>1332</v>
      </c>
      <c r="E1549">
        <v>16</v>
      </c>
      <c r="F1549" t="str">
        <f>VLOOKUP(E1549,[1]LOJA!$A:$B,2,0)</f>
        <v>AG LINDAS</v>
      </c>
      <c r="G1549" t="s">
        <v>19</v>
      </c>
      <c r="H1549" t="s">
        <v>19</v>
      </c>
      <c r="I1549" s="1">
        <v>46042</v>
      </c>
      <c r="J1549" s="1">
        <v>46042</v>
      </c>
      <c r="K1549" s="1">
        <v>46042</v>
      </c>
      <c r="L1549">
        <v>37</v>
      </c>
      <c r="M1549">
        <v>0.39</v>
      </c>
      <c r="N1549">
        <v>0.39</v>
      </c>
      <c r="O1549">
        <v>0</v>
      </c>
      <c r="P1549">
        <v>0</v>
      </c>
      <c r="Q1549" t="s">
        <v>108</v>
      </c>
    </row>
    <row r="1550" spans="1:17">
      <c r="A1550" t="s">
        <v>93</v>
      </c>
      <c r="B1550" t="s">
        <v>106</v>
      </c>
      <c r="C1550" t="s">
        <v>56</v>
      </c>
      <c r="D1550" t="s">
        <v>1333</v>
      </c>
      <c r="E1550">
        <v>16</v>
      </c>
      <c r="F1550" t="str">
        <f>VLOOKUP(E1550,[1]LOJA!$A:$B,2,0)</f>
        <v>AG LINDAS</v>
      </c>
      <c r="G1550" t="s">
        <v>19</v>
      </c>
      <c r="H1550" t="s">
        <v>19</v>
      </c>
      <c r="I1550" s="1">
        <v>46042</v>
      </c>
      <c r="J1550" s="1">
        <v>46042</v>
      </c>
      <c r="K1550" s="1">
        <v>46042</v>
      </c>
      <c r="L1550">
        <v>37</v>
      </c>
      <c r="M1550">
        <v>0.51</v>
      </c>
      <c r="N1550">
        <v>0.51</v>
      </c>
      <c r="O1550">
        <v>0</v>
      </c>
      <c r="P1550">
        <v>0</v>
      </c>
      <c r="Q1550" t="s">
        <v>108</v>
      </c>
    </row>
    <row r="1551" spans="1:17">
      <c r="A1551" t="s">
        <v>93</v>
      </c>
      <c r="B1551" t="s">
        <v>106</v>
      </c>
      <c r="C1551" t="s">
        <v>56</v>
      </c>
      <c r="D1551" t="s">
        <v>1334</v>
      </c>
      <c r="E1551">
        <v>16</v>
      </c>
      <c r="F1551" t="str">
        <f>VLOOKUP(E1551,[1]LOJA!$A:$B,2,0)</f>
        <v>AG LINDAS</v>
      </c>
      <c r="G1551" t="s">
        <v>19</v>
      </c>
      <c r="H1551" t="s">
        <v>19</v>
      </c>
      <c r="I1551" s="1">
        <v>46042</v>
      </c>
      <c r="J1551" s="1">
        <v>46042</v>
      </c>
      <c r="K1551" s="1">
        <v>46042</v>
      </c>
      <c r="L1551">
        <v>37</v>
      </c>
      <c r="M1551">
        <v>0.04</v>
      </c>
      <c r="N1551">
        <v>0.04</v>
      </c>
      <c r="O1551">
        <v>0</v>
      </c>
      <c r="P1551">
        <v>0</v>
      </c>
      <c r="Q1551" t="s">
        <v>108</v>
      </c>
    </row>
    <row r="1552" spans="1:17">
      <c r="A1552" t="s">
        <v>93</v>
      </c>
      <c r="B1552" t="s">
        <v>106</v>
      </c>
      <c r="C1552" t="s">
        <v>56</v>
      </c>
      <c r="D1552" t="s">
        <v>1335</v>
      </c>
      <c r="E1552">
        <v>16</v>
      </c>
      <c r="F1552" t="str">
        <f>VLOOKUP(E1552,[1]LOJA!$A:$B,2,0)</f>
        <v>AG LINDAS</v>
      </c>
      <c r="G1552" t="s">
        <v>19</v>
      </c>
      <c r="H1552" t="s">
        <v>19</v>
      </c>
      <c r="I1552" s="1">
        <v>46043</v>
      </c>
      <c r="J1552" s="1">
        <v>46043</v>
      </c>
      <c r="K1552" s="1">
        <v>46043</v>
      </c>
      <c r="L1552">
        <v>37</v>
      </c>
      <c r="M1552">
        <v>5.25</v>
      </c>
      <c r="N1552">
        <v>5.25</v>
      </c>
      <c r="O1552">
        <v>0</v>
      </c>
      <c r="P1552">
        <v>0</v>
      </c>
      <c r="Q1552" t="s">
        <v>108</v>
      </c>
    </row>
    <row r="1553" spans="1:17">
      <c r="A1553" t="s">
        <v>93</v>
      </c>
      <c r="B1553" t="s">
        <v>106</v>
      </c>
      <c r="C1553" t="s">
        <v>56</v>
      </c>
      <c r="D1553" t="s">
        <v>1336</v>
      </c>
      <c r="E1553">
        <v>16</v>
      </c>
      <c r="F1553" t="str">
        <f>VLOOKUP(E1553,[1]LOJA!$A:$B,2,0)</f>
        <v>AG LINDAS</v>
      </c>
      <c r="G1553" t="s">
        <v>19</v>
      </c>
      <c r="H1553" t="s">
        <v>19</v>
      </c>
      <c r="I1553" s="1">
        <v>46043</v>
      </c>
      <c r="J1553" s="1">
        <v>46043</v>
      </c>
      <c r="K1553" s="1">
        <v>46043</v>
      </c>
      <c r="L1553">
        <v>37</v>
      </c>
      <c r="M1553">
        <v>0.44</v>
      </c>
      <c r="N1553">
        <v>0.44</v>
      </c>
      <c r="O1553">
        <v>0</v>
      </c>
      <c r="P1553">
        <v>0</v>
      </c>
      <c r="Q1553" t="s">
        <v>108</v>
      </c>
    </row>
    <row r="1554" spans="1:17">
      <c r="A1554" t="s">
        <v>93</v>
      </c>
      <c r="B1554" t="s">
        <v>106</v>
      </c>
      <c r="C1554" t="s">
        <v>56</v>
      </c>
      <c r="D1554" t="s">
        <v>1337</v>
      </c>
      <c r="E1554">
        <v>16</v>
      </c>
      <c r="F1554" t="str">
        <f>VLOOKUP(E1554,[1]LOJA!$A:$B,2,0)</f>
        <v>AG LINDAS</v>
      </c>
      <c r="G1554" t="s">
        <v>19</v>
      </c>
      <c r="H1554" t="s">
        <v>19</v>
      </c>
      <c r="I1554" s="1">
        <v>46043</v>
      </c>
      <c r="J1554" s="1">
        <v>46043</v>
      </c>
      <c r="K1554" s="1">
        <v>46043</v>
      </c>
      <c r="L1554">
        <v>37</v>
      </c>
      <c r="M1554">
        <v>0.05</v>
      </c>
      <c r="N1554">
        <v>0.05</v>
      </c>
      <c r="O1554">
        <v>0</v>
      </c>
      <c r="P1554">
        <v>0</v>
      </c>
      <c r="Q1554" t="s">
        <v>108</v>
      </c>
    </row>
    <row r="1555" spans="1:17">
      <c r="A1555" t="s">
        <v>93</v>
      </c>
      <c r="B1555" t="s">
        <v>106</v>
      </c>
      <c r="C1555" t="s">
        <v>56</v>
      </c>
      <c r="D1555" t="s">
        <v>1338</v>
      </c>
      <c r="E1555">
        <v>16</v>
      </c>
      <c r="F1555" t="str">
        <f>VLOOKUP(E1555,[1]LOJA!$A:$B,2,0)</f>
        <v>AG LINDAS</v>
      </c>
      <c r="G1555" t="s">
        <v>19</v>
      </c>
      <c r="H1555" t="s">
        <v>19</v>
      </c>
      <c r="I1555" s="1">
        <v>46043</v>
      </c>
      <c r="J1555" s="1">
        <v>46043</v>
      </c>
      <c r="K1555" s="1">
        <v>46043</v>
      </c>
      <c r="L1555">
        <v>37</v>
      </c>
      <c r="M1555">
        <v>0.49</v>
      </c>
      <c r="N1555">
        <v>0.49</v>
      </c>
      <c r="O1555">
        <v>0</v>
      </c>
      <c r="P1555">
        <v>0</v>
      </c>
      <c r="Q1555" t="s">
        <v>108</v>
      </c>
    </row>
    <row r="1556" spans="1:17">
      <c r="A1556" t="s">
        <v>93</v>
      </c>
      <c r="B1556" t="s">
        <v>106</v>
      </c>
      <c r="C1556" t="s">
        <v>56</v>
      </c>
      <c r="D1556" t="s">
        <v>1339</v>
      </c>
      <c r="E1556">
        <v>16</v>
      </c>
      <c r="F1556" t="str">
        <f>VLOOKUP(E1556,[1]LOJA!$A:$B,2,0)</f>
        <v>AG LINDAS</v>
      </c>
      <c r="G1556" t="s">
        <v>19</v>
      </c>
      <c r="H1556" t="s">
        <v>19</v>
      </c>
      <c r="I1556" s="1">
        <v>46043</v>
      </c>
      <c r="J1556" s="1">
        <v>46043</v>
      </c>
      <c r="K1556" s="1">
        <v>46043</v>
      </c>
      <c r="L1556">
        <v>37</v>
      </c>
      <c r="M1556">
        <v>0.98</v>
      </c>
      <c r="N1556">
        <v>0.98</v>
      </c>
      <c r="O1556">
        <v>0</v>
      </c>
      <c r="P1556">
        <v>0</v>
      </c>
      <c r="Q1556" t="s">
        <v>108</v>
      </c>
    </row>
    <row r="1557" spans="1:17">
      <c r="A1557" t="s">
        <v>93</v>
      </c>
      <c r="B1557" t="s">
        <v>106</v>
      </c>
      <c r="C1557" t="s">
        <v>56</v>
      </c>
      <c r="D1557" t="s">
        <v>1340</v>
      </c>
      <c r="E1557">
        <v>16</v>
      </c>
      <c r="F1557" t="str">
        <f>VLOOKUP(E1557,[1]LOJA!$A:$B,2,0)</f>
        <v>AG LINDAS</v>
      </c>
      <c r="G1557" t="s">
        <v>19</v>
      </c>
      <c r="H1557" t="s">
        <v>19</v>
      </c>
      <c r="I1557" s="1">
        <v>46043</v>
      </c>
      <c r="J1557" s="1">
        <v>46043</v>
      </c>
      <c r="K1557" s="1">
        <v>46043</v>
      </c>
      <c r="L1557">
        <v>37</v>
      </c>
      <c r="M1557">
        <v>0.35</v>
      </c>
      <c r="N1557">
        <v>0.35</v>
      </c>
      <c r="O1557">
        <v>0</v>
      </c>
      <c r="P1557">
        <v>0</v>
      </c>
      <c r="Q1557" t="s">
        <v>108</v>
      </c>
    </row>
    <row r="1558" spans="1:17">
      <c r="A1558" t="s">
        <v>93</v>
      </c>
      <c r="B1558" t="s">
        <v>106</v>
      </c>
      <c r="C1558" t="s">
        <v>56</v>
      </c>
      <c r="D1558" t="s">
        <v>1341</v>
      </c>
      <c r="E1558">
        <v>16</v>
      </c>
      <c r="F1558" t="str">
        <f>VLOOKUP(E1558,[1]LOJA!$A:$B,2,0)</f>
        <v>AG LINDAS</v>
      </c>
      <c r="G1558" t="s">
        <v>19</v>
      </c>
      <c r="H1558" t="s">
        <v>19</v>
      </c>
      <c r="I1558" s="1">
        <v>46043</v>
      </c>
      <c r="J1558" s="1">
        <v>46043</v>
      </c>
      <c r="K1558" s="1">
        <v>46043</v>
      </c>
      <c r="L1558">
        <v>37</v>
      </c>
      <c r="M1558">
        <v>0.35</v>
      </c>
      <c r="N1558">
        <v>0.35</v>
      </c>
      <c r="O1558">
        <v>0</v>
      </c>
      <c r="P1558">
        <v>0</v>
      </c>
      <c r="Q1558" t="s">
        <v>108</v>
      </c>
    </row>
    <row r="1559" spans="1:17">
      <c r="A1559" t="s">
        <v>93</v>
      </c>
      <c r="B1559" t="s">
        <v>106</v>
      </c>
      <c r="C1559" t="s">
        <v>56</v>
      </c>
      <c r="D1559" t="s">
        <v>1342</v>
      </c>
      <c r="E1559">
        <v>16</v>
      </c>
      <c r="F1559" t="str">
        <f>VLOOKUP(E1559,[1]LOJA!$A:$B,2,0)</f>
        <v>AG LINDAS</v>
      </c>
      <c r="G1559" t="s">
        <v>19</v>
      </c>
      <c r="H1559" t="s">
        <v>19</v>
      </c>
      <c r="I1559" s="1">
        <v>46043</v>
      </c>
      <c r="J1559" s="1">
        <v>46043</v>
      </c>
      <c r="K1559" s="1">
        <v>46043</v>
      </c>
      <c r="L1559">
        <v>37</v>
      </c>
      <c r="M1559">
        <v>0.64</v>
      </c>
      <c r="N1559">
        <v>0.64</v>
      </c>
      <c r="O1559">
        <v>0</v>
      </c>
      <c r="P1559">
        <v>0</v>
      </c>
      <c r="Q1559" t="s">
        <v>108</v>
      </c>
    </row>
    <row r="1560" spans="1:17">
      <c r="A1560" t="s">
        <v>93</v>
      </c>
      <c r="B1560" t="s">
        <v>106</v>
      </c>
      <c r="C1560" t="s">
        <v>56</v>
      </c>
      <c r="D1560" t="s">
        <v>1343</v>
      </c>
      <c r="E1560">
        <v>16</v>
      </c>
      <c r="F1560" t="str">
        <f>VLOOKUP(E1560,[1]LOJA!$A:$B,2,0)</f>
        <v>AG LINDAS</v>
      </c>
      <c r="G1560" t="s">
        <v>19</v>
      </c>
      <c r="H1560" t="s">
        <v>19</v>
      </c>
      <c r="I1560" s="1">
        <v>46043</v>
      </c>
      <c r="J1560" s="1">
        <v>46043</v>
      </c>
      <c r="K1560" s="1">
        <v>46043</v>
      </c>
      <c r="L1560">
        <v>37</v>
      </c>
      <c r="M1560">
        <v>0.16</v>
      </c>
      <c r="N1560">
        <v>0.16</v>
      </c>
      <c r="O1560">
        <v>0</v>
      </c>
      <c r="P1560">
        <v>0</v>
      </c>
      <c r="Q1560" t="s">
        <v>108</v>
      </c>
    </row>
    <row r="1561" spans="1:17">
      <c r="A1561" t="s">
        <v>93</v>
      </c>
      <c r="B1561" t="s">
        <v>106</v>
      </c>
      <c r="C1561" t="s">
        <v>56</v>
      </c>
      <c r="D1561" t="s">
        <v>1344</v>
      </c>
      <c r="E1561">
        <v>16</v>
      </c>
      <c r="F1561" t="str">
        <f>VLOOKUP(E1561,[1]LOJA!$A:$B,2,0)</f>
        <v>AG LINDAS</v>
      </c>
      <c r="G1561" t="s">
        <v>19</v>
      </c>
      <c r="H1561" t="s">
        <v>19</v>
      </c>
      <c r="I1561" s="1">
        <v>46043</v>
      </c>
      <c r="J1561" s="1">
        <v>46043</v>
      </c>
      <c r="K1561" s="1">
        <v>46043</v>
      </c>
      <c r="L1561">
        <v>37</v>
      </c>
      <c r="M1561">
        <v>0.8</v>
      </c>
      <c r="N1561">
        <v>0.8</v>
      </c>
      <c r="O1561">
        <v>0</v>
      </c>
      <c r="P1561">
        <v>0</v>
      </c>
      <c r="Q1561" t="s">
        <v>108</v>
      </c>
    </row>
    <row r="1562" spans="1:17">
      <c r="A1562" t="s">
        <v>93</v>
      </c>
      <c r="B1562" t="s">
        <v>106</v>
      </c>
      <c r="C1562" t="s">
        <v>56</v>
      </c>
      <c r="D1562" t="s">
        <v>1345</v>
      </c>
      <c r="E1562">
        <v>16</v>
      </c>
      <c r="F1562" t="str">
        <f>VLOOKUP(E1562,[1]LOJA!$A:$B,2,0)</f>
        <v>AG LINDAS</v>
      </c>
      <c r="G1562" t="s">
        <v>19</v>
      </c>
      <c r="H1562" t="s">
        <v>19</v>
      </c>
      <c r="I1562" s="1">
        <v>46043</v>
      </c>
      <c r="J1562" s="1">
        <v>46043</v>
      </c>
      <c r="K1562" s="1">
        <v>46043</v>
      </c>
      <c r="L1562">
        <v>37</v>
      </c>
      <c r="M1562">
        <v>0.32</v>
      </c>
      <c r="N1562">
        <v>0.32</v>
      </c>
      <c r="O1562">
        <v>0</v>
      </c>
      <c r="P1562">
        <v>0</v>
      </c>
      <c r="Q1562" t="s">
        <v>108</v>
      </c>
    </row>
    <row r="1563" spans="1:17">
      <c r="A1563" t="s">
        <v>93</v>
      </c>
      <c r="B1563" t="s">
        <v>106</v>
      </c>
      <c r="C1563" t="s">
        <v>56</v>
      </c>
      <c r="D1563" t="s">
        <v>1346</v>
      </c>
      <c r="E1563">
        <v>16</v>
      </c>
      <c r="F1563" t="str">
        <f>VLOOKUP(E1563,[1]LOJA!$A:$B,2,0)</f>
        <v>AG LINDAS</v>
      </c>
      <c r="G1563" t="s">
        <v>19</v>
      </c>
      <c r="H1563" t="s">
        <v>19</v>
      </c>
      <c r="I1563" s="1">
        <v>46043</v>
      </c>
      <c r="J1563" s="1">
        <v>46043</v>
      </c>
      <c r="K1563" s="1">
        <v>46043</v>
      </c>
      <c r="L1563">
        <v>37</v>
      </c>
      <c r="M1563">
        <v>0.91</v>
      </c>
      <c r="N1563">
        <v>0.91</v>
      </c>
      <c r="O1563">
        <v>0</v>
      </c>
      <c r="P1563">
        <v>0</v>
      </c>
      <c r="Q1563" t="s">
        <v>108</v>
      </c>
    </row>
    <row r="1564" spans="1:17">
      <c r="A1564" t="s">
        <v>93</v>
      </c>
      <c r="B1564" t="s">
        <v>106</v>
      </c>
      <c r="C1564" t="s">
        <v>56</v>
      </c>
      <c r="D1564" t="s">
        <v>1347</v>
      </c>
      <c r="E1564">
        <v>16</v>
      </c>
      <c r="F1564" t="str">
        <f>VLOOKUP(E1564,[1]LOJA!$A:$B,2,0)</f>
        <v>AG LINDAS</v>
      </c>
      <c r="G1564" t="s">
        <v>19</v>
      </c>
      <c r="H1564" t="s">
        <v>19</v>
      </c>
      <c r="I1564" s="1">
        <v>46043</v>
      </c>
      <c r="J1564" s="1">
        <v>46043</v>
      </c>
      <c r="K1564" s="1">
        <v>46043</v>
      </c>
      <c r="L1564">
        <v>37</v>
      </c>
      <c r="M1564">
        <v>0.71</v>
      </c>
      <c r="N1564">
        <v>0.71</v>
      </c>
      <c r="O1564">
        <v>0</v>
      </c>
      <c r="P1564">
        <v>0</v>
      </c>
      <c r="Q1564" t="s">
        <v>108</v>
      </c>
    </row>
    <row r="1565" spans="1:17">
      <c r="A1565" t="s">
        <v>93</v>
      </c>
      <c r="B1565" t="s">
        <v>106</v>
      </c>
      <c r="C1565" t="s">
        <v>56</v>
      </c>
      <c r="D1565" t="s">
        <v>1348</v>
      </c>
      <c r="E1565">
        <v>16</v>
      </c>
      <c r="F1565" t="str">
        <f>VLOOKUP(E1565,[1]LOJA!$A:$B,2,0)</f>
        <v>AG LINDAS</v>
      </c>
      <c r="G1565" t="s">
        <v>19</v>
      </c>
      <c r="H1565" t="s">
        <v>19</v>
      </c>
      <c r="I1565" s="1">
        <v>46044</v>
      </c>
      <c r="J1565" s="1">
        <v>46044</v>
      </c>
      <c r="K1565" s="1">
        <v>46044</v>
      </c>
      <c r="L1565">
        <v>37</v>
      </c>
      <c r="M1565">
        <v>6.45</v>
      </c>
      <c r="N1565">
        <v>6.45</v>
      </c>
      <c r="O1565">
        <v>0</v>
      </c>
      <c r="P1565">
        <v>0</v>
      </c>
      <c r="Q1565" t="s">
        <v>108</v>
      </c>
    </row>
    <row r="1566" spans="1:17">
      <c r="A1566" t="s">
        <v>93</v>
      </c>
      <c r="B1566" t="s">
        <v>106</v>
      </c>
      <c r="C1566" t="s">
        <v>56</v>
      </c>
      <c r="D1566" t="s">
        <v>1349</v>
      </c>
      <c r="E1566">
        <v>16</v>
      </c>
      <c r="F1566" t="str">
        <f>VLOOKUP(E1566,[1]LOJA!$A:$B,2,0)</f>
        <v>AG LINDAS</v>
      </c>
      <c r="G1566" t="s">
        <v>19</v>
      </c>
      <c r="H1566" t="s">
        <v>19</v>
      </c>
      <c r="I1566" s="1">
        <v>46044</v>
      </c>
      <c r="J1566" s="1">
        <v>46044</v>
      </c>
      <c r="K1566" s="1">
        <v>46044</v>
      </c>
      <c r="L1566">
        <v>37</v>
      </c>
      <c r="M1566">
        <v>2.36</v>
      </c>
      <c r="N1566">
        <v>2.36</v>
      </c>
      <c r="O1566">
        <v>0</v>
      </c>
      <c r="P1566">
        <v>0</v>
      </c>
      <c r="Q1566" t="s">
        <v>108</v>
      </c>
    </row>
    <row r="1567" spans="1:17">
      <c r="A1567" t="s">
        <v>93</v>
      </c>
      <c r="B1567" t="s">
        <v>106</v>
      </c>
      <c r="C1567" t="s">
        <v>56</v>
      </c>
      <c r="D1567" t="s">
        <v>1350</v>
      </c>
      <c r="E1567">
        <v>16</v>
      </c>
      <c r="F1567" t="str">
        <f>VLOOKUP(E1567,[1]LOJA!$A:$B,2,0)</f>
        <v>AG LINDAS</v>
      </c>
      <c r="G1567" t="s">
        <v>19</v>
      </c>
      <c r="H1567" t="s">
        <v>19</v>
      </c>
      <c r="I1567" s="1">
        <v>46044</v>
      </c>
      <c r="J1567" s="1">
        <v>46044</v>
      </c>
      <c r="K1567" s="1">
        <v>46044</v>
      </c>
      <c r="L1567">
        <v>37</v>
      </c>
      <c r="M1567">
        <v>3.65</v>
      </c>
      <c r="N1567">
        <v>3.65</v>
      </c>
      <c r="O1567">
        <v>0</v>
      </c>
      <c r="P1567">
        <v>0</v>
      </c>
      <c r="Q1567" t="s">
        <v>108</v>
      </c>
    </row>
    <row r="1568" spans="1:17">
      <c r="A1568" t="s">
        <v>93</v>
      </c>
      <c r="B1568" t="s">
        <v>106</v>
      </c>
      <c r="C1568" t="s">
        <v>56</v>
      </c>
      <c r="D1568" t="s">
        <v>1351</v>
      </c>
      <c r="E1568">
        <v>16</v>
      </c>
      <c r="F1568" t="str">
        <f>VLOOKUP(E1568,[1]LOJA!$A:$B,2,0)</f>
        <v>AG LINDAS</v>
      </c>
      <c r="G1568" t="s">
        <v>19</v>
      </c>
      <c r="H1568" t="s">
        <v>19</v>
      </c>
      <c r="I1568" s="1">
        <v>46044</v>
      </c>
      <c r="J1568" s="1">
        <v>46044</v>
      </c>
      <c r="K1568" s="1">
        <v>46044</v>
      </c>
      <c r="L1568">
        <v>37</v>
      </c>
      <c r="M1568">
        <v>3.09</v>
      </c>
      <c r="N1568">
        <v>3.09</v>
      </c>
      <c r="O1568">
        <v>0</v>
      </c>
      <c r="P1568">
        <v>0</v>
      </c>
      <c r="Q1568" t="s">
        <v>108</v>
      </c>
    </row>
    <row r="1569" spans="1:17">
      <c r="A1569" t="s">
        <v>93</v>
      </c>
      <c r="B1569" t="s">
        <v>106</v>
      </c>
      <c r="C1569" t="s">
        <v>56</v>
      </c>
      <c r="D1569" t="s">
        <v>1352</v>
      </c>
      <c r="E1569">
        <v>16</v>
      </c>
      <c r="F1569" t="str">
        <f>VLOOKUP(E1569,[1]LOJA!$A:$B,2,0)</f>
        <v>AG LINDAS</v>
      </c>
      <c r="G1569" t="s">
        <v>19</v>
      </c>
      <c r="H1569" t="s">
        <v>19</v>
      </c>
      <c r="I1569" s="1">
        <v>46044</v>
      </c>
      <c r="J1569" s="1">
        <v>46044</v>
      </c>
      <c r="K1569" s="1">
        <v>46044</v>
      </c>
      <c r="L1569">
        <v>37</v>
      </c>
      <c r="M1569">
        <v>0.52</v>
      </c>
      <c r="N1569">
        <v>0.52</v>
      </c>
      <c r="O1569">
        <v>0</v>
      </c>
      <c r="P1569">
        <v>0</v>
      </c>
      <c r="Q1569" t="s">
        <v>108</v>
      </c>
    </row>
    <row r="1570" spans="1:17">
      <c r="A1570" t="s">
        <v>93</v>
      </c>
      <c r="B1570" t="s">
        <v>106</v>
      </c>
      <c r="C1570" t="s">
        <v>56</v>
      </c>
      <c r="D1570" t="s">
        <v>1353</v>
      </c>
      <c r="E1570">
        <v>16</v>
      </c>
      <c r="F1570" t="str">
        <f>VLOOKUP(E1570,[1]LOJA!$A:$B,2,0)</f>
        <v>AG LINDAS</v>
      </c>
      <c r="G1570" t="s">
        <v>19</v>
      </c>
      <c r="H1570" t="s">
        <v>19</v>
      </c>
      <c r="I1570" s="1">
        <v>46044</v>
      </c>
      <c r="J1570" s="1">
        <v>46044</v>
      </c>
      <c r="K1570" s="1">
        <v>46044</v>
      </c>
      <c r="L1570">
        <v>37</v>
      </c>
      <c r="M1570">
        <v>3.89</v>
      </c>
      <c r="N1570">
        <v>3.89</v>
      </c>
      <c r="O1570">
        <v>0</v>
      </c>
      <c r="P1570">
        <v>0</v>
      </c>
      <c r="Q1570" t="s">
        <v>108</v>
      </c>
    </row>
    <row r="1571" spans="1:17">
      <c r="A1571" t="s">
        <v>93</v>
      </c>
      <c r="B1571" t="s">
        <v>106</v>
      </c>
      <c r="C1571" t="s">
        <v>56</v>
      </c>
      <c r="D1571" t="s">
        <v>1354</v>
      </c>
      <c r="E1571">
        <v>16</v>
      </c>
      <c r="F1571" t="str">
        <f>VLOOKUP(E1571,[1]LOJA!$A:$B,2,0)</f>
        <v>AG LINDAS</v>
      </c>
      <c r="G1571" t="s">
        <v>19</v>
      </c>
      <c r="H1571" t="s">
        <v>19</v>
      </c>
      <c r="I1571" s="1">
        <v>46044</v>
      </c>
      <c r="J1571" s="1">
        <v>46044</v>
      </c>
      <c r="K1571" s="1">
        <v>46044</v>
      </c>
      <c r="L1571">
        <v>37</v>
      </c>
      <c r="M1571">
        <v>5.61</v>
      </c>
      <c r="N1571">
        <v>5.61</v>
      </c>
      <c r="O1571">
        <v>0</v>
      </c>
      <c r="P1571">
        <v>0</v>
      </c>
      <c r="Q1571" t="s">
        <v>108</v>
      </c>
    </row>
    <row r="1572" spans="1:17">
      <c r="A1572" t="s">
        <v>93</v>
      </c>
      <c r="B1572" t="s">
        <v>106</v>
      </c>
      <c r="C1572" t="s">
        <v>56</v>
      </c>
      <c r="D1572" t="s">
        <v>1355</v>
      </c>
      <c r="E1572">
        <v>16</v>
      </c>
      <c r="F1572" t="str">
        <f>VLOOKUP(E1572,[1]LOJA!$A:$B,2,0)</f>
        <v>AG LINDAS</v>
      </c>
      <c r="G1572" t="s">
        <v>19</v>
      </c>
      <c r="H1572" t="s">
        <v>19</v>
      </c>
      <c r="I1572" s="1">
        <v>46044</v>
      </c>
      <c r="J1572" s="1">
        <v>46044</v>
      </c>
      <c r="K1572" s="1">
        <v>46044</v>
      </c>
      <c r="L1572">
        <v>37</v>
      </c>
      <c r="M1572">
        <v>0.13</v>
      </c>
      <c r="N1572">
        <v>0.13</v>
      </c>
      <c r="O1572">
        <v>0</v>
      </c>
      <c r="P1572">
        <v>0</v>
      </c>
      <c r="Q1572" t="s">
        <v>108</v>
      </c>
    </row>
    <row r="1573" spans="1:17">
      <c r="A1573" t="s">
        <v>93</v>
      </c>
      <c r="B1573" t="s">
        <v>106</v>
      </c>
      <c r="C1573" t="s">
        <v>56</v>
      </c>
      <c r="D1573" t="s">
        <v>1356</v>
      </c>
      <c r="E1573">
        <v>16</v>
      </c>
      <c r="F1573" t="str">
        <f>VLOOKUP(E1573,[1]LOJA!$A:$B,2,0)</f>
        <v>AG LINDAS</v>
      </c>
      <c r="G1573" t="s">
        <v>19</v>
      </c>
      <c r="H1573" t="s">
        <v>19</v>
      </c>
      <c r="I1573" s="1">
        <v>46044</v>
      </c>
      <c r="J1573" s="1">
        <v>46044</v>
      </c>
      <c r="K1573" s="1">
        <v>46044</v>
      </c>
      <c r="L1573">
        <v>37</v>
      </c>
      <c r="M1573">
        <v>0.28999999999999998</v>
      </c>
      <c r="N1573">
        <v>0.28999999999999998</v>
      </c>
      <c r="O1573">
        <v>0</v>
      </c>
      <c r="P1573">
        <v>0</v>
      </c>
      <c r="Q1573" t="s">
        <v>108</v>
      </c>
    </row>
    <row r="1574" spans="1:17">
      <c r="A1574" t="s">
        <v>93</v>
      </c>
      <c r="B1574" t="s">
        <v>106</v>
      </c>
      <c r="C1574" t="s">
        <v>56</v>
      </c>
      <c r="D1574" t="s">
        <v>1357</v>
      </c>
      <c r="E1574">
        <v>16</v>
      </c>
      <c r="F1574" t="str">
        <f>VLOOKUP(E1574,[1]LOJA!$A:$B,2,0)</f>
        <v>AG LINDAS</v>
      </c>
      <c r="G1574" t="s">
        <v>19</v>
      </c>
      <c r="H1574" t="s">
        <v>19</v>
      </c>
      <c r="I1574" s="1">
        <v>46044</v>
      </c>
      <c r="J1574" s="1">
        <v>46044</v>
      </c>
      <c r="K1574" s="1">
        <v>46044</v>
      </c>
      <c r="L1574">
        <v>37</v>
      </c>
      <c r="M1574">
        <v>0.95</v>
      </c>
      <c r="N1574">
        <v>0.95</v>
      </c>
      <c r="O1574">
        <v>0</v>
      </c>
      <c r="P1574">
        <v>0</v>
      </c>
      <c r="Q1574" t="s">
        <v>108</v>
      </c>
    </row>
    <row r="1575" spans="1:17">
      <c r="A1575" t="s">
        <v>93</v>
      </c>
      <c r="B1575" t="s">
        <v>106</v>
      </c>
      <c r="C1575" t="s">
        <v>56</v>
      </c>
      <c r="D1575" t="s">
        <v>1358</v>
      </c>
      <c r="E1575">
        <v>16</v>
      </c>
      <c r="F1575" t="str">
        <f>VLOOKUP(E1575,[1]LOJA!$A:$B,2,0)</f>
        <v>AG LINDAS</v>
      </c>
      <c r="G1575" t="s">
        <v>19</v>
      </c>
      <c r="H1575" t="s">
        <v>19</v>
      </c>
      <c r="I1575" s="1">
        <v>46044</v>
      </c>
      <c r="J1575" s="1">
        <v>46044</v>
      </c>
      <c r="K1575" s="1">
        <v>46044</v>
      </c>
      <c r="L1575">
        <v>37</v>
      </c>
      <c r="M1575">
        <v>0.13</v>
      </c>
      <c r="N1575">
        <v>0.13</v>
      </c>
      <c r="O1575">
        <v>0</v>
      </c>
      <c r="P1575">
        <v>0</v>
      </c>
      <c r="Q1575" t="s">
        <v>108</v>
      </c>
    </row>
    <row r="1576" spans="1:17">
      <c r="A1576" t="s">
        <v>93</v>
      </c>
      <c r="B1576" t="s">
        <v>106</v>
      </c>
      <c r="C1576" t="s">
        <v>56</v>
      </c>
      <c r="D1576" t="s">
        <v>1359</v>
      </c>
      <c r="E1576">
        <v>16</v>
      </c>
      <c r="F1576" t="str">
        <f>VLOOKUP(E1576,[1]LOJA!$A:$B,2,0)</f>
        <v>AG LINDAS</v>
      </c>
      <c r="G1576" t="s">
        <v>19</v>
      </c>
      <c r="H1576" t="s">
        <v>19</v>
      </c>
      <c r="I1576" s="1">
        <v>46044</v>
      </c>
      <c r="J1576" s="1">
        <v>46044</v>
      </c>
      <c r="K1576" s="1">
        <v>46044</v>
      </c>
      <c r="L1576">
        <v>37</v>
      </c>
      <c r="M1576">
        <v>1.72</v>
      </c>
      <c r="N1576">
        <v>1.72</v>
      </c>
      <c r="O1576">
        <v>0</v>
      </c>
      <c r="P1576">
        <v>0</v>
      </c>
      <c r="Q1576" t="s">
        <v>108</v>
      </c>
    </row>
    <row r="1577" spans="1:17">
      <c r="A1577" t="s">
        <v>93</v>
      </c>
      <c r="B1577" t="s">
        <v>106</v>
      </c>
      <c r="C1577" t="s">
        <v>56</v>
      </c>
      <c r="D1577" t="s">
        <v>1360</v>
      </c>
      <c r="E1577">
        <v>16</v>
      </c>
      <c r="F1577" t="str">
        <f>VLOOKUP(E1577,[1]LOJA!$A:$B,2,0)</f>
        <v>AG LINDAS</v>
      </c>
      <c r="G1577" t="s">
        <v>19</v>
      </c>
      <c r="H1577" t="s">
        <v>19</v>
      </c>
      <c r="I1577" s="1">
        <v>46044</v>
      </c>
      <c r="J1577" s="1">
        <v>46044</v>
      </c>
      <c r="K1577" s="1">
        <v>46044</v>
      </c>
      <c r="L1577">
        <v>37</v>
      </c>
      <c r="M1577">
        <v>2.48</v>
      </c>
      <c r="N1577">
        <v>2.48</v>
      </c>
      <c r="O1577">
        <v>0</v>
      </c>
      <c r="P1577">
        <v>0</v>
      </c>
      <c r="Q1577" t="s">
        <v>108</v>
      </c>
    </row>
    <row r="1578" spans="1:17">
      <c r="A1578" t="s">
        <v>93</v>
      </c>
      <c r="B1578" t="s">
        <v>106</v>
      </c>
      <c r="C1578" t="s">
        <v>56</v>
      </c>
      <c r="D1578" t="s">
        <v>1361</v>
      </c>
      <c r="E1578">
        <v>16</v>
      </c>
      <c r="F1578" t="str">
        <f>VLOOKUP(E1578,[1]LOJA!$A:$B,2,0)</f>
        <v>AG LINDAS</v>
      </c>
      <c r="G1578" t="s">
        <v>19</v>
      </c>
      <c r="H1578" t="s">
        <v>19</v>
      </c>
      <c r="I1578" s="1">
        <v>46044</v>
      </c>
      <c r="J1578" s="1">
        <v>46044</v>
      </c>
      <c r="K1578" s="1">
        <v>46044</v>
      </c>
      <c r="L1578">
        <v>37</v>
      </c>
      <c r="M1578">
        <v>0.64</v>
      </c>
      <c r="N1578">
        <v>0.64</v>
      </c>
      <c r="O1578">
        <v>0</v>
      </c>
      <c r="P1578">
        <v>0</v>
      </c>
      <c r="Q1578" t="s">
        <v>108</v>
      </c>
    </row>
    <row r="1579" spans="1:17">
      <c r="A1579" t="s">
        <v>93</v>
      </c>
      <c r="B1579" t="s">
        <v>106</v>
      </c>
      <c r="C1579" t="s">
        <v>56</v>
      </c>
      <c r="D1579" t="s">
        <v>1362</v>
      </c>
      <c r="E1579">
        <v>16</v>
      </c>
      <c r="F1579" t="str">
        <f>VLOOKUP(E1579,[1]LOJA!$A:$B,2,0)</f>
        <v>AG LINDAS</v>
      </c>
      <c r="G1579" t="s">
        <v>19</v>
      </c>
      <c r="H1579" t="s">
        <v>19</v>
      </c>
      <c r="I1579" s="1">
        <v>46044</v>
      </c>
      <c r="J1579" s="1">
        <v>46044</v>
      </c>
      <c r="K1579" s="1">
        <v>46044</v>
      </c>
      <c r="L1579">
        <v>37</v>
      </c>
      <c r="M1579">
        <v>1.34</v>
      </c>
      <c r="N1579">
        <v>1.34</v>
      </c>
      <c r="O1579">
        <v>0</v>
      </c>
      <c r="P1579">
        <v>0</v>
      </c>
      <c r="Q1579" t="s">
        <v>108</v>
      </c>
    </row>
    <row r="1580" spans="1:17">
      <c r="A1580" t="s">
        <v>93</v>
      </c>
      <c r="B1580" t="s">
        <v>106</v>
      </c>
      <c r="C1580" t="s">
        <v>56</v>
      </c>
      <c r="D1580" t="s">
        <v>1363</v>
      </c>
      <c r="E1580">
        <v>16</v>
      </c>
      <c r="F1580" t="str">
        <f>VLOOKUP(E1580,[1]LOJA!$A:$B,2,0)</f>
        <v>AG LINDAS</v>
      </c>
      <c r="G1580" t="s">
        <v>19</v>
      </c>
      <c r="H1580" t="s">
        <v>19</v>
      </c>
      <c r="I1580" s="1">
        <v>46044</v>
      </c>
      <c r="J1580" s="1">
        <v>46044</v>
      </c>
      <c r="K1580" s="1">
        <v>46044</v>
      </c>
      <c r="L1580">
        <v>37</v>
      </c>
      <c r="M1580">
        <v>0.24</v>
      </c>
      <c r="N1580">
        <v>0.24</v>
      </c>
      <c r="O1580">
        <v>0</v>
      </c>
      <c r="P1580">
        <v>0</v>
      </c>
      <c r="Q1580" t="s">
        <v>108</v>
      </c>
    </row>
    <row r="1581" spans="1:17">
      <c r="A1581" t="s">
        <v>93</v>
      </c>
      <c r="B1581" t="s">
        <v>106</v>
      </c>
      <c r="C1581" t="s">
        <v>56</v>
      </c>
      <c r="D1581" t="s">
        <v>1364</v>
      </c>
      <c r="E1581">
        <v>16</v>
      </c>
      <c r="F1581" t="str">
        <f>VLOOKUP(E1581,[1]LOJA!$A:$B,2,0)</f>
        <v>AG LINDAS</v>
      </c>
      <c r="G1581" t="s">
        <v>19</v>
      </c>
      <c r="H1581" t="s">
        <v>19</v>
      </c>
      <c r="I1581" s="1">
        <v>46044</v>
      </c>
      <c r="J1581" s="1">
        <v>46044</v>
      </c>
      <c r="K1581" s="1">
        <v>46044</v>
      </c>
      <c r="L1581">
        <v>37</v>
      </c>
      <c r="M1581">
        <v>1.17</v>
      </c>
      <c r="N1581">
        <v>1.17</v>
      </c>
      <c r="O1581">
        <v>0</v>
      </c>
      <c r="P1581">
        <v>0</v>
      </c>
      <c r="Q1581" t="s">
        <v>108</v>
      </c>
    </row>
    <row r="1582" spans="1:17">
      <c r="A1582" t="s">
        <v>93</v>
      </c>
      <c r="B1582" t="s">
        <v>106</v>
      </c>
      <c r="C1582" t="s">
        <v>56</v>
      </c>
      <c r="D1582" t="s">
        <v>1365</v>
      </c>
      <c r="E1582">
        <v>16</v>
      </c>
      <c r="F1582" t="str">
        <f>VLOOKUP(E1582,[1]LOJA!$A:$B,2,0)</f>
        <v>AG LINDAS</v>
      </c>
      <c r="G1582" t="s">
        <v>19</v>
      </c>
      <c r="H1582" t="s">
        <v>19</v>
      </c>
      <c r="I1582" s="1">
        <v>46044</v>
      </c>
      <c r="J1582" s="1">
        <v>46044</v>
      </c>
      <c r="K1582" s="1">
        <v>46044</v>
      </c>
      <c r="L1582">
        <v>37</v>
      </c>
      <c r="M1582">
        <v>0.27</v>
      </c>
      <c r="N1582">
        <v>0.27</v>
      </c>
      <c r="O1582">
        <v>0</v>
      </c>
      <c r="P1582">
        <v>0</v>
      </c>
      <c r="Q1582" t="s">
        <v>108</v>
      </c>
    </row>
    <row r="1583" spans="1:17">
      <c r="A1583" t="s">
        <v>93</v>
      </c>
      <c r="B1583" t="s">
        <v>106</v>
      </c>
      <c r="C1583" t="s">
        <v>56</v>
      </c>
      <c r="D1583" t="s">
        <v>1366</v>
      </c>
      <c r="E1583">
        <v>16</v>
      </c>
      <c r="F1583" t="str">
        <f>VLOOKUP(E1583,[1]LOJA!$A:$B,2,0)</f>
        <v>AG LINDAS</v>
      </c>
      <c r="G1583" t="s">
        <v>19</v>
      </c>
      <c r="H1583" t="s">
        <v>19</v>
      </c>
      <c r="I1583" s="1">
        <v>46048</v>
      </c>
      <c r="J1583" s="1">
        <v>46048</v>
      </c>
      <c r="K1583" s="1">
        <v>46048</v>
      </c>
      <c r="L1583">
        <v>37</v>
      </c>
      <c r="M1583">
        <v>3.81</v>
      </c>
      <c r="N1583">
        <v>3.81</v>
      </c>
      <c r="O1583">
        <v>0</v>
      </c>
      <c r="P1583">
        <v>0</v>
      </c>
      <c r="Q1583" t="s">
        <v>108</v>
      </c>
    </row>
    <row r="1584" spans="1:17">
      <c r="A1584" t="s">
        <v>93</v>
      </c>
      <c r="B1584" t="s">
        <v>106</v>
      </c>
      <c r="C1584" t="s">
        <v>56</v>
      </c>
      <c r="D1584" t="s">
        <v>1367</v>
      </c>
      <c r="E1584">
        <v>16</v>
      </c>
      <c r="F1584" t="str">
        <f>VLOOKUP(E1584,[1]LOJA!$A:$B,2,0)</f>
        <v>AG LINDAS</v>
      </c>
      <c r="G1584" t="s">
        <v>19</v>
      </c>
      <c r="H1584" t="s">
        <v>19</v>
      </c>
      <c r="I1584" s="1">
        <v>46048</v>
      </c>
      <c r="J1584" s="1">
        <v>46048</v>
      </c>
      <c r="K1584" s="1">
        <v>46048</v>
      </c>
      <c r="L1584">
        <v>37</v>
      </c>
      <c r="M1584">
        <v>3.69</v>
      </c>
      <c r="N1584">
        <v>3.69</v>
      </c>
      <c r="O1584">
        <v>0</v>
      </c>
      <c r="P1584">
        <v>0</v>
      </c>
      <c r="Q1584" t="s">
        <v>108</v>
      </c>
    </row>
    <row r="1585" spans="1:17">
      <c r="A1585" t="s">
        <v>93</v>
      </c>
      <c r="B1585" t="s">
        <v>106</v>
      </c>
      <c r="C1585" t="s">
        <v>56</v>
      </c>
      <c r="D1585" t="s">
        <v>1368</v>
      </c>
      <c r="E1585">
        <v>16</v>
      </c>
      <c r="F1585" t="str">
        <f>VLOOKUP(E1585,[1]LOJA!$A:$B,2,0)</f>
        <v>AG LINDAS</v>
      </c>
      <c r="G1585" t="s">
        <v>19</v>
      </c>
      <c r="H1585" t="s">
        <v>19</v>
      </c>
      <c r="I1585" s="1">
        <v>46048</v>
      </c>
      <c r="J1585" s="1">
        <v>46047</v>
      </c>
      <c r="K1585" s="1">
        <v>46048</v>
      </c>
      <c r="L1585">
        <v>37</v>
      </c>
      <c r="M1585">
        <v>7.47</v>
      </c>
      <c r="N1585">
        <v>7.47</v>
      </c>
      <c r="O1585">
        <v>0</v>
      </c>
      <c r="P1585">
        <v>0</v>
      </c>
      <c r="Q1585" t="s">
        <v>108</v>
      </c>
    </row>
    <row r="1586" spans="1:17">
      <c r="A1586" t="s">
        <v>93</v>
      </c>
      <c r="B1586" t="s">
        <v>106</v>
      </c>
      <c r="C1586" t="s">
        <v>56</v>
      </c>
      <c r="D1586" t="s">
        <v>1369</v>
      </c>
      <c r="E1586">
        <v>16</v>
      </c>
      <c r="F1586" t="str">
        <f>VLOOKUP(E1586,[1]LOJA!$A:$B,2,0)</f>
        <v>AG LINDAS</v>
      </c>
      <c r="G1586" t="s">
        <v>19</v>
      </c>
      <c r="H1586" t="s">
        <v>19</v>
      </c>
      <c r="I1586" s="1">
        <v>46048</v>
      </c>
      <c r="J1586" s="1">
        <v>46047</v>
      </c>
      <c r="K1586" s="1">
        <v>46048</v>
      </c>
      <c r="L1586">
        <v>37</v>
      </c>
      <c r="M1586">
        <v>3.58</v>
      </c>
      <c r="N1586">
        <v>3.58</v>
      </c>
      <c r="O1586">
        <v>0</v>
      </c>
      <c r="P1586">
        <v>0</v>
      </c>
      <c r="Q1586" t="s">
        <v>108</v>
      </c>
    </row>
    <row r="1587" spans="1:17">
      <c r="A1587" t="s">
        <v>93</v>
      </c>
      <c r="B1587" t="s">
        <v>106</v>
      </c>
      <c r="C1587" t="s">
        <v>56</v>
      </c>
      <c r="D1587" t="s">
        <v>1370</v>
      </c>
      <c r="E1587">
        <v>16</v>
      </c>
      <c r="F1587" t="str">
        <f>VLOOKUP(E1587,[1]LOJA!$A:$B,2,0)</f>
        <v>AG LINDAS</v>
      </c>
      <c r="G1587" t="s">
        <v>19</v>
      </c>
      <c r="H1587" t="s">
        <v>19</v>
      </c>
      <c r="I1587" s="1">
        <v>46048</v>
      </c>
      <c r="J1587" s="1">
        <v>46048</v>
      </c>
      <c r="K1587" s="1">
        <v>46048</v>
      </c>
      <c r="L1587">
        <v>37</v>
      </c>
      <c r="M1587">
        <v>1.4</v>
      </c>
      <c r="N1587">
        <v>1.4</v>
      </c>
      <c r="O1587">
        <v>0</v>
      </c>
      <c r="P1587">
        <v>0</v>
      </c>
      <c r="Q1587" t="s">
        <v>108</v>
      </c>
    </row>
    <row r="1588" spans="1:17">
      <c r="A1588" t="s">
        <v>93</v>
      </c>
      <c r="B1588" t="s">
        <v>106</v>
      </c>
      <c r="C1588" t="s">
        <v>56</v>
      </c>
      <c r="D1588" t="s">
        <v>1371</v>
      </c>
      <c r="E1588">
        <v>16</v>
      </c>
      <c r="F1588" t="str">
        <f>VLOOKUP(E1588,[1]LOJA!$A:$B,2,0)</f>
        <v>AG LINDAS</v>
      </c>
      <c r="G1588" t="s">
        <v>19</v>
      </c>
      <c r="H1588" t="s">
        <v>19</v>
      </c>
      <c r="I1588" s="1">
        <v>46048</v>
      </c>
      <c r="J1588" s="1">
        <v>46048</v>
      </c>
      <c r="K1588" s="1">
        <v>46048</v>
      </c>
      <c r="L1588">
        <v>37</v>
      </c>
      <c r="M1588">
        <v>0.17</v>
      </c>
      <c r="N1588">
        <v>0.17</v>
      </c>
      <c r="O1588">
        <v>0</v>
      </c>
      <c r="P1588">
        <v>0</v>
      </c>
      <c r="Q1588" t="s">
        <v>108</v>
      </c>
    </row>
    <row r="1589" spans="1:17">
      <c r="A1589" t="s">
        <v>93</v>
      </c>
      <c r="B1589" t="s">
        <v>106</v>
      </c>
      <c r="C1589" t="s">
        <v>56</v>
      </c>
      <c r="D1589" t="s">
        <v>1372</v>
      </c>
      <c r="E1589">
        <v>16</v>
      </c>
      <c r="F1589" t="str">
        <f>VLOOKUP(E1589,[1]LOJA!$A:$B,2,0)</f>
        <v>AG LINDAS</v>
      </c>
      <c r="G1589" t="s">
        <v>19</v>
      </c>
      <c r="H1589" t="s">
        <v>19</v>
      </c>
      <c r="I1589" s="1">
        <v>46048</v>
      </c>
      <c r="J1589" s="1">
        <v>46048</v>
      </c>
      <c r="K1589" s="1">
        <v>46048</v>
      </c>
      <c r="L1589">
        <v>37</v>
      </c>
      <c r="M1589">
        <v>6.98</v>
      </c>
      <c r="N1589">
        <v>6.98</v>
      </c>
      <c r="O1589">
        <v>0</v>
      </c>
      <c r="P1589">
        <v>0</v>
      </c>
      <c r="Q1589" t="s">
        <v>108</v>
      </c>
    </row>
    <row r="1590" spans="1:17">
      <c r="A1590" t="s">
        <v>93</v>
      </c>
      <c r="B1590" t="s">
        <v>106</v>
      </c>
      <c r="C1590" t="s">
        <v>56</v>
      </c>
      <c r="D1590" t="s">
        <v>1373</v>
      </c>
      <c r="E1590">
        <v>16</v>
      </c>
      <c r="F1590" t="str">
        <f>VLOOKUP(E1590,[1]LOJA!$A:$B,2,0)</f>
        <v>AG LINDAS</v>
      </c>
      <c r="G1590" t="s">
        <v>19</v>
      </c>
      <c r="H1590" t="s">
        <v>19</v>
      </c>
      <c r="I1590" s="1">
        <v>46048</v>
      </c>
      <c r="J1590" s="1">
        <v>46048</v>
      </c>
      <c r="K1590" s="1">
        <v>46048</v>
      </c>
      <c r="L1590">
        <v>37</v>
      </c>
      <c r="M1590">
        <v>0.79</v>
      </c>
      <c r="N1590">
        <v>0.79</v>
      </c>
      <c r="O1590">
        <v>0</v>
      </c>
      <c r="P1590">
        <v>0</v>
      </c>
      <c r="Q1590" t="s">
        <v>108</v>
      </c>
    </row>
    <row r="1591" spans="1:17">
      <c r="A1591" t="s">
        <v>93</v>
      </c>
      <c r="B1591" t="s">
        <v>106</v>
      </c>
      <c r="C1591" t="s">
        <v>56</v>
      </c>
      <c r="D1591" t="s">
        <v>1374</v>
      </c>
      <c r="E1591">
        <v>16</v>
      </c>
      <c r="F1591" t="str">
        <f>VLOOKUP(E1591,[1]LOJA!$A:$B,2,0)</f>
        <v>AG LINDAS</v>
      </c>
      <c r="G1591" t="s">
        <v>19</v>
      </c>
      <c r="H1591" t="s">
        <v>19</v>
      </c>
      <c r="I1591" s="1">
        <v>46048</v>
      </c>
      <c r="J1591" s="1">
        <v>46048</v>
      </c>
      <c r="K1591" s="1">
        <v>46048</v>
      </c>
      <c r="L1591">
        <v>37</v>
      </c>
      <c r="M1591">
        <v>2.93</v>
      </c>
      <c r="N1591">
        <v>2.93</v>
      </c>
      <c r="O1591">
        <v>0</v>
      </c>
      <c r="P1591">
        <v>0</v>
      </c>
      <c r="Q1591" t="s">
        <v>108</v>
      </c>
    </row>
    <row r="1592" spans="1:17">
      <c r="A1592" t="s">
        <v>93</v>
      </c>
      <c r="B1592" t="s">
        <v>106</v>
      </c>
      <c r="C1592" t="s">
        <v>56</v>
      </c>
      <c r="D1592" t="s">
        <v>1375</v>
      </c>
      <c r="E1592">
        <v>16</v>
      </c>
      <c r="F1592" t="str">
        <f>VLOOKUP(E1592,[1]LOJA!$A:$B,2,0)</f>
        <v>AG LINDAS</v>
      </c>
      <c r="G1592" t="s">
        <v>19</v>
      </c>
      <c r="H1592" t="s">
        <v>19</v>
      </c>
      <c r="I1592" s="1">
        <v>46048</v>
      </c>
      <c r="J1592" s="1">
        <v>46046</v>
      </c>
      <c r="K1592" s="1">
        <v>46048</v>
      </c>
      <c r="L1592">
        <v>37</v>
      </c>
      <c r="M1592">
        <v>0.47</v>
      </c>
      <c r="N1592">
        <v>0.47</v>
      </c>
      <c r="O1592">
        <v>0</v>
      </c>
      <c r="P1592">
        <v>0</v>
      </c>
      <c r="Q1592" t="s">
        <v>108</v>
      </c>
    </row>
    <row r="1593" spans="1:17">
      <c r="A1593" t="s">
        <v>93</v>
      </c>
      <c r="B1593" t="s">
        <v>106</v>
      </c>
      <c r="C1593" t="s">
        <v>56</v>
      </c>
      <c r="D1593" t="s">
        <v>1376</v>
      </c>
      <c r="E1593">
        <v>16</v>
      </c>
      <c r="F1593" t="str">
        <f>VLOOKUP(E1593,[1]LOJA!$A:$B,2,0)</f>
        <v>AG LINDAS</v>
      </c>
      <c r="G1593" t="s">
        <v>19</v>
      </c>
      <c r="H1593" t="s">
        <v>19</v>
      </c>
      <c r="I1593" s="1">
        <v>46048</v>
      </c>
      <c r="J1593" s="1">
        <v>46046</v>
      </c>
      <c r="K1593" s="1">
        <v>46048</v>
      </c>
      <c r="L1593">
        <v>37</v>
      </c>
      <c r="M1593">
        <v>12.44</v>
      </c>
      <c r="N1593">
        <v>12.44</v>
      </c>
      <c r="O1593">
        <v>0</v>
      </c>
      <c r="P1593">
        <v>0</v>
      </c>
      <c r="Q1593" t="s">
        <v>108</v>
      </c>
    </row>
    <row r="1594" spans="1:17">
      <c r="A1594" t="s">
        <v>93</v>
      </c>
      <c r="B1594" t="s">
        <v>106</v>
      </c>
      <c r="C1594" t="s">
        <v>56</v>
      </c>
      <c r="D1594" t="s">
        <v>1377</v>
      </c>
      <c r="E1594">
        <v>16</v>
      </c>
      <c r="F1594" t="str">
        <f>VLOOKUP(E1594,[1]LOJA!$A:$B,2,0)</f>
        <v>AG LINDAS</v>
      </c>
      <c r="G1594" t="s">
        <v>19</v>
      </c>
      <c r="H1594" t="s">
        <v>19</v>
      </c>
      <c r="I1594" s="1">
        <v>46048</v>
      </c>
      <c r="J1594" s="1">
        <v>46046</v>
      </c>
      <c r="K1594" s="1">
        <v>46048</v>
      </c>
      <c r="L1594">
        <v>37</v>
      </c>
      <c r="M1594">
        <v>0.23</v>
      </c>
      <c r="N1594">
        <v>0.23</v>
      </c>
      <c r="O1594">
        <v>0</v>
      </c>
      <c r="P1594">
        <v>0</v>
      </c>
      <c r="Q1594" t="s">
        <v>108</v>
      </c>
    </row>
    <row r="1595" spans="1:17">
      <c r="A1595" t="s">
        <v>93</v>
      </c>
      <c r="B1595" t="s">
        <v>106</v>
      </c>
      <c r="C1595" t="s">
        <v>56</v>
      </c>
      <c r="D1595" t="s">
        <v>1378</v>
      </c>
      <c r="E1595">
        <v>16</v>
      </c>
      <c r="F1595" t="str">
        <f>VLOOKUP(E1595,[1]LOJA!$A:$B,2,0)</f>
        <v>AG LINDAS</v>
      </c>
      <c r="G1595" t="s">
        <v>19</v>
      </c>
      <c r="H1595" t="s">
        <v>19</v>
      </c>
      <c r="I1595" s="1">
        <v>46048</v>
      </c>
      <c r="J1595" s="1">
        <v>46046</v>
      </c>
      <c r="K1595" s="1">
        <v>46048</v>
      </c>
      <c r="L1595">
        <v>37</v>
      </c>
      <c r="M1595">
        <v>0.2</v>
      </c>
      <c r="N1595">
        <v>0.2</v>
      </c>
      <c r="O1595">
        <v>0</v>
      </c>
      <c r="P1595">
        <v>0</v>
      </c>
      <c r="Q1595" t="s">
        <v>108</v>
      </c>
    </row>
    <row r="1596" spans="1:17">
      <c r="A1596" t="s">
        <v>93</v>
      </c>
      <c r="B1596" t="s">
        <v>106</v>
      </c>
      <c r="C1596" t="s">
        <v>56</v>
      </c>
      <c r="D1596" t="s">
        <v>1379</v>
      </c>
      <c r="E1596">
        <v>16</v>
      </c>
      <c r="F1596" t="str">
        <f>VLOOKUP(E1596,[1]LOJA!$A:$B,2,0)</f>
        <v>AG LINDAS</v>
      </c>
      <c r="G1596" t="s">
        <v>19</v>
      </c>
      <c r="H1596" t="s">
        <v>19</v>
      </c>
      <c r="I1596" s="1">
        <v>46048</v>
      </c>
      <c r="J1596" s="1">
        <v>46046</v>
      </c>
      <c r="K1596" s="1">
        <v>46048</v>
      </c>
      <c r="L1596">
        <v>37</v>
      </c>
      <c r="M1596">
        <v>0.44</v>
      </c>
      <c r="N1596">
        <v>0.44</v>
      </c>
      <c r="O1596">
        <v>0</v>
      </c>
      <c r="P1596">
        <v>0</v>
      </c>
      <c r="Q1596" t="s">
        <v>108</v>
      </c>
    </row>
    <row r="1597" spans="1:17">
      <c r="A1597" t="s">
        <v>93</v>
      </c>
      <c r="B1597" t="s">
        <v>106</v>
      </c>
      <c r="C1597" t="s">
        <v>56</v>
      </c>
      <c r="D1597" t="s">
        <v>1380</v>
      </c>
      <c r="E1597">
        <v>16</v>
      </c>
      <c r="F1597" t="str">
        <f>VLOOKUP(E1597,[1]LOJA!$A:$B,2,0)</f>
        <v>AG LINDAS</v>
      </c>
      <c r="G1597" t="s">
        <v>19</v>
      </c>
      <c r="H1597" t="s">
        <v>19</v>
      </c>
      <c r="I1597" s="1">
        <v>46048</v>
      </c>
      <c r="J1597" s="1">
        <v>46046</v>
      </c>
      <c r="K1597" s="1">
        <v>46048</v>
      </c>
      <c r="L1597">
        <v>37</v>
      </c>
      <c r="M1597">
        <v>1.33</v>
      </c>
      <c r="N1597">
        <v>1.33</v>
      </c>
      <c r="O1597">
        <v>0</v>
      </c>
      <c r="P1597">
        <v>0</v>
      </c>
      <c r="Q1597" t="s">
        <v>108</v>
      </c>
    </row>
    <row r="1598" spans="1:17">
      <c r="A1598" t="s">
        <v>93</v>
      </c>
      <c r="B1598" t="s">
        <v>106</v>
      </c>
      <c r="C1598" t="s">
        <v>56</v>
      </c>
      <c r="D1598" t="s">
        <v>1381</v>
      </c>
      <c r="E1598">
        <v>16</v>
      </c>
      <c r="F1598" t="str">
        <f>VLOOKUP(E1598,[1]LOJA!$A:$B,2,0)</f>
        <v>AG LINDAS</v>
      </c>
      <c r="G1598" t="s">
        <v>19</v>
      </c>
      <c r="H1598" t="s">
        <v>19</v>
      </c>
      <c r="I1598" s="1">
        <v>46048</v>
      </c>
      <c r="J1598" s="1">
        <v>46046</v>
      </c>
      <c r="K1598" s="1">
        <v>46048</v>
      </c>
      <c r="L1598">
        <v>37</v>
      </c>
      <c r="M1598">
        <v>2.46</v>
      </c>
      <c r="N1598">
        <v>2.46</v>
      </c>
      <c r="O1598">
        <v>0</v>
      </c>
      <c r="P1598">
        <v>0</v>
      </c>
      <c r="Q1598" t="s">
        <v>108</v>
      </c>
    </row>
    <row r="1599" spans="1:17">
      <c r="A1599" t="s">
        <v>93</v>
      </c>
      <c r="B1599" t="s">
        <v>106</v>
      </c>
      <c r="C1599" t="s">
        <v>56</v>
      </c>
      <c r="D1599" t="s">
        <v>1382</v>
      </c>
      <c r="E1599">
        <v>16</v>
      </c>
      <c r="F1599" t="str">
        <f>VLOOKUP(E1599,[1]LOJA!$A:$B,2,0)</f>
        <v>AG LINDAS</v>
      </c>
      <c r="G1599" t="s">
        <v>19</v>
      </c>
      <c r="H1599" t="s">
        <v>19</v>
      </c>
      <c r="I1599" s="1">
        <v>46048</v>
      </c>
      <c r="J1599" s="1">
        <v>46047</v>
      </c>
      <c r="K1599" s="1">
        <v>46048</v>
      </c>
      <c r="L1599">
        <v>37</v>
      </c>
      <c r="M1599">
        <v>0.9</v>
      </c>
      <c r="N1599">
        <v>0.9</v>
      </c>
      <c r="O1599">
        <v>0</v>
      </c>
      <c r="P1599">
        <v>0</v>
      </c>
      <c r="Q1599" t="s">
        <v>108</v>
      </c>
    </row>
    <row r="1600" spans="1:17">
      <c r="A1600" t="s">
        <v>93</v>
      </c>
      <c r="B1600" t="s">
        <v>106</v>
      </c>
      <c r="C1600" t="s">
        <v>56</v>
      </c>
      <c r="D1600" t="s">
        <v>1383</v>
      </c>
      <c r="E1600">
        <v>16</v>
      </c>
      <c r="F1600" t="str">
        <f>VLOOKUP(E1600,[1]LOJA!$A:$B,2,0)</f>
        <v>AG LINDAS</v>
      </c>
      <c r="G1600" t="s">
        <v>19</v>
      </c>
      <c r="H1600" t="s">
        <v>19</v>
      </c>
      <c r="I1600" s="1">
        <v>46048</v>
      </c>
      <c r="J1600" s="1">
        <v>46047</v>
      </c>
      <c r="K1600" s="1">
        <v>46048</v>
      </c>
      <c r="L1600">
        <v>37</v>
      </c>
      <c r="M1600">
        <v>1.34</v>
      </c>
      <c r="N1600">
        <v>1.34</v>
      </c>
      <c r="O1600">
        <v>0</v>
      </c>
      <c r="P1600">
        <v>0</v>
      </c>
      <c r="Q1600" t="s">
        <v>108</v>
      </c>
    </row>
    <row r="1601" spans="1:17">
      <c r="A1601" t="s">
        <v>93</v>
      </c>
      <c r="B1601" t="s">
        <v>106</v>
      </c>
      <c r="C1601" t="s">
        <v>56</v>
      </c>
      <c r="D1601" t="s">
        <v>1384</v>
      </c>
      <c r="E1601">
        <v>16</v>
      </c>
      <c r="F1601" t="str">
        <f>VLOOKUP(E1601,[1]LOJA!$A:$B,2,0)</f>
        <v>AG LINDAS</v>
      </c>
      <c r="G1601" t="s">
        <v>19</v>
      </c>
      <c r="H1601" t="s">
        <v>19</v>
      </c>
      <c r="I1601" s="1">
        <v>46048</v>
      </c>
      <c r="J1601" s="1">
        <v>46047</v>
      </c>
      <c r="K1601" s="1">
        <v>46048</v>
      </c>
      <c r="L1601">
        <v>37</v>
      </c>
      <c r="M1601">
        <v>0.78</v>
      </c>
      <c r="N1601">
        <v>0.78</v>
      </c>
      <c r="O1601">
        <v>0</v>
      </c>
      <c r="P1601">
        <v>0</v>
      </c>
      <c r="Q1601" t="s">
        <v>108</v>
      </c>
    </row>
    <row r="1602" spans="1:17">
      <c r="A1602" t="s">
        <v>93</v>
      </c>
      <c r="B1602" t="s">
        <v>106</v>
      </c>
      <c r="C1602" t="s">
        <v>56</v>
      </c>
      <c r="D1602" t="s">
        <v>1385</v>
      </c>
      <c r="E1602">
        <v>16</v>
      </c>
      <c r="F1602" t="str">
        <f>VLOOKUP(E1602,[1]LOJA!$A:$B,2,0)</f>
        <v>AG LINDAS</v>
      </c>
      <c r="G1602" t="s">
        <v>19</v>
      </c>
      <c r="H1602" t="s">
        <v>19</v>
      </c>
      <c r="I1602" s="1">
        <v>46048</v>
      </c>
      <c r="J1602" s="1">
        <v>46047</v>
      </c>
      <c r="K1602" s="1">
        <v>46048</v>
      </c>
      <c r="L1602">
        <v>37</v>
      </c>
      <c r="M1602">
        <v>0.51</v>
      </c>
      <c r="N1602">
        <v>0.51</v>
      </c>
      <c r="O1602">
        <v>0</v>
      </c>
      <c r="P1602">
        <v>0</v>
      </c>
      <c r="Q1602" t="s">
        <v>108</v>
      </c>
    </row>
    <row r="1603" spans="1:17">
      <c r="A1603" t="s">
        <v>93</v>
      </c>
      <c r="B1603" t="s">
        <v>106</v>
      </c>
      <c r="C1603" t="s">
        <v>56</v>
      </c>
      <c r="D1603" t="s">
        <v>1386</v>
      </c>
      <c r="E1603">
        <v>16</v>
      </c>
      <c r="F1603" t="str">
        <f>VLOOKUP(E1603,[1]LOJA!$A:$B,2,0)</f>
        <v>AG LINDAS</v>
      </c>
      <c r="G1603" t="s">
        <v>19</v>
      </c>
      <c r="H1603" t="s">
        <v>19</v>
      </c>
      <c r="I1603" s="1">
        <v>46048</v>
      </c>
      <c r="J1603" s="1">
        <v>46047</v>
      </c>
      <c r="K1603" s="1">
        <v>46048</v>
      </c>
      <c r="L1603">
        <v>37</v>
      </c>
      <c r="M1603">
        <v>0.21</v>
      </c>
      <c r="N1603">
        <v>0.21</v>
      </c>
      <c r="O1603">
        <v>0</v>
      </c>
      <c r="P1603">
        <v>0</v>
      </c>
      <c r="Q1603" t="s">
        <v>108</v>
      </c>
    </row>
    <row r="1604" spans="1:17">
      <c r="A1604" t="s">
        <v>93</v>
      </c>
      <c r="B1604" t="s">
        <v>106</v>
      </c>
      <c r="C1604" t="s">
        <v>56</v>
      </c>
      <c r="D1604" t="s">
        <v>1387</v>
      </c>
      <c r="E1604">
        <v>22</v>
      </c>
      <c r="F1604" t="str">
        <f>VLOOKUP(E1604,[1]LOJA!$A:$B,2,0)</f>
        <v>GUARÁ</v>
      </c>
      <c r="G1604" t="s">
        <v>19</v>
      </c>
      <c r="H1604" t="s">
        <v>19</v>
      </c>
      <c r="I1604" s="1">
        <v>46024</v>
      </c>
      <c r="J1604" s="1">
        <v>46024</v>
      </c>
      <c r="K1604" s="1">
        <v>46024</v>
      </c>
      <c r="L1604">
        <v>34</v>
      </c>
      <c r="M1604">
        <v>10.28</v>
      </c>
      <c r="N1604">
        <v>10.28</v>
      </c>
      <c r="O1604">
        <v>0</v>
      </c>
      <c r="P1604">
        <v>0</v>
      </c>
      <c r="Q1604" t="s">
        <v>108</v>
      </c>
    </row>
    <row r="1605" spans="1:17">
      <c r="A1605" t="s">
        <v>93</v>
      </c>
      <c r="B1605" t="s">
        <v>106</v>
      </c>
      <c r="C1605" t="s">
        <v>56</v>
      </c>
      <c r="D1605" t="s">
        <v>1388</v>
      </c>
      <c r="E1605">
        <v>22</v>
      </c>
      <c r="F1605" t="str">
        <f>VLOOKUP(E1605,[1]LOJA!$A:$B,2,0)</f>
        <v>GUARÁ</v>
      </c>
      <c r="G1605" t="s">
        <v>19</v>
      </c>
      <c r="H1605" t="s">
        <v>19</v>
      </c>
      <c r="I1605" s="1">
        <v>46024</v>
      </c>
      <c r="J1605" s="1">
        <v>46024</v>
      </c>
      <c r="K1605" s="1">
        <v>46024</v>
      </c>
      <c r="L1605">
        <v>34</v>
      </c>
      <c r="M1605">
        <v>5.48</v>
      </c>
      <c r="N1605">
        <v>5.48</v>
      </c>
      <c r="O1605">
        <v>0</v>
      </c>
      <c r="P1605">
        <v>0</v>
      </c>
      <c r="Q1605" t="s">
        <v>108</v>
      </c>
    </row>
    <row r="1606" spans="1:17">
      <c r="A1606" t="s">
        <v>93</v>
      </c>
      <c r="B1606" t="s">
        <v>106</v>
      </c>
      <c r="C1606" t="s">
        <v>56</v>
      </c>
      <c r="D1606" t="s">
        <v>1389</v>
      </c>
      <c r="E1606">
        <v>22</v>
      </c>
      <c r="F1606" t="str">
        <f>VLOOKUP(E1606,[1]LOJA!$A:$B,2,0)</f>
        <v>GUARÁ</v>
      </c>
      <c r="G1606" t="s">
        <v>19</v>
      </c>
      <c r="H1606" t="s">
        <v>19</v>
      </c>
      <c r="I1606" s="1">
        <v>46024</v>
      </c>
      <c r="J1606" s="1">
        <v>46024</v>
      </c>
      <c r="K1606" s="1">
        <v>46024</v>
      </c>
      <c r="L1606">
        <v>34</v>
      </c>
      <c r="M1606">
        <v>2.27</v>
      </c>
      <c r="N1606">
        <v>2.27</v>
      </c>
      <c r="O1606">
        <v>0</v>
      </c>
      <c r="P1606">
        <v>0</v>
      </c>
      <c r="Q1606" t="s">
        <v>108</v>
      </c>
    </row>
    <row r="1607" spans="1:17">
      <c r="A1607" t="s">
        <v>93</v>
      </c>
      <c r="B1607" t="s">
        <v>106</v>
      </c>
      <c r="C1607" t="s">
        <v>56</v>
      </c>
      <c r="D1607" t="s">
        <v>1390</v>
      </c>
      <c r="E1607">
        <v>22</v>
      </c>
      <c r="F1607" t="str">
        <f>VLOOKUP(E1607,[1]LOJA!$A:$B,2,0)</f>
        <v>GUARÁ</v>
      </c>
      <c r="G1607" t="s">
        <v>19</v>
      </c>
      <c r="H1607" t="s">
        <v>19</v>
      </c>
      <c r="I1607" s="1">
        <v>46024</v>
      </c>
      <c r="J1607" s="1">
        <v>46024</v>
      </c>
      <c r="K1607" s="1">
        <v>46024</v>
      </c>
      <c r="L1607">
        <v>34</v>
      </c>
      <c r="M1607">
        <v>4.6100000000000003</v>
      </c>
      <c r="N1607">
        <v>4.6100000000000003</v>
      </c>
      <c r="O1607">
        <v>0</v>
      </c>
      <c r="P1607">
        <v>0</v>
      </c>
      <c r="Q1607" t="s">
        <v>108</v>
      </c>
    </row>
    <row r="1608" spans="1:17">
      <c r="A1608" t="s">
        <v>93</v>
      </c>
      <c r="B1608" t="s">
        <v>106</v>
      </c>
      <c r="C1608" t="s">
        <v>56</v>
      </c>
      <c r="D1608" t="s">
        <v>1391</v>
      </c>
      <c r="E1608">
        <v>22</v>
      </c>
      <c r="F1608" t="str">
        <f>VLOOKUP(E1608,[1]LOJA!$A:$B,2,0)</f>
        <v>GUARÁ</v>
      </c>
      <c r="G1608" t="s">
        <v>19</v>
      </c>
      <c r="H1608" t="s">
        <v>19</v>
      </c>
      <c r="I1608" s="1">
        <v>46024</v>
      </c>
      <c r="J1608" s="1">
        <v>46023</v>
      </c>
      <c r="K1608" s="1">
        <v>46024</v>
      </c>
      <c r="L1608">
        <v>34</v>
      </c>
      <c r="M1608">
        <v>4.93</v>
      </c>
      <c r="N1608">
        <v>4.93</v>
      </c>
      <c r="O1608">
        <v>0</v>
      </c>
      <c r="P1608">
        <v>0</v>
      </c>
      <c r="Q1608" t="s">
        <v>108</v>
      </c>
    </row>
    <row r="1609" spans="1:17">
      <c r="A1609" t="s">
        <v>93</v>
      </c>
      <c r="B1609" t="s">
        <v>106</v>
      </c>
      <c r="C1609" t="s">
        <v>56</v>
      </c>
      <c r="D1609" t="s">
        <v>1392</v>
      </c>
      <c r="E1609">
        <v>22</v>
      </c>
      <c r="F1609" t="str">
        <f>VLOOKUP(E1609,[1]LOJA!$A:$B,2,0)</f>
        <v>GUARÁ</v>
      </c>
      <c r="G1609" t="s">
        <v>19</v>
      </c>
      <c r="H1609" t="s">
        <v>19</v>
      </c>
      <c r="I1609" s="1">
        <v>46024</v>
      </c>
      <c r="J1609" s="1">
        <v>46024</v>
      </c>
      <c r="K1609" s="1">
        <v>46024</v>
      </c>
      <c r="L1609">
        <v>34</v>
      </c>
      <c r="M1609">
        <v>1.96</v>
      </c>
      <c r="N1609">
        <v>1.96</v>
      </c>
      <c r="O1609">
        <v>0</v>
      </c>
      <c r="P1609">
        <v>0</v>
      </c>
      <c r="Q1609" t="s">
        <v>108</v>
      </c>
    </row>
    <row r="1610" spans="1:17">
      <c r="A1610" t="s">
        <v>93</v>
      </c>
      <c r="B1610" t="s">
        <v>106</v>
      </c>
      <c r="C1610" t="s">
        <v>56</v>
      </c>
      <c r="D1610" t="s">
        <v>1393</v>
      </c>
      <c r="E1610">
        <v>22</v>
      </c>
      <c r="F1610" t="str">
        <f>VLOOKUP(E1610,[1]LOJA!$A:$B,2,0)</f>
        <v>GUARÁ</v>
      </c>
      <c r="G1610" t="s">
        <v>19</v>
      </c>
      <c r="H1610" t="s">
        <v>19</v>
      </c>
      <c r="I1610" s="1">
        <v>46024</v>
      </c>
      <c r="J1610" s="1">
        <v>46024</v>
      </c>
      <c r="K1610" s="1">
        <v>46024</v>
      </c>
      <c r="L1610">
        <v>34</v>
      </c>
      <c r="M1610">
        <v>1.89</v>
      </c>
      <c r="N1610">
        <v>1.89</v>
      </c>
      <c r="O1610">
        <v>0</v>
      </c>
      <c r="P1610">
        <v>0</v>
      </c>
      <c r="Q1610" t="s">
        <v>108</v>
      </c>
    </row>
    <row r="1611" spans="1:17">
      <c r="A1611" t="s">
        <v>93</v>
      </c>
      <c r="B1611" t="s">
        <v>106</v>
      </c>
      <c r="C1611" t="s">
        <v>56</v>
      </c>
      <c r="D1611" t="s">
        <v>1394</v>
      </c>
      <c r="E1611">
        <v>22</v>
      </c>
      <c r="F1611" t="str">
        <f>VLOOKUP(E1611,[1]LOJA!$A:$B,2,0)</f>
        <v>GUARÁ</v>
      </c>
      <c r="G1611" t="s">
        <v>19</v>
      </c>
      <c r="H1611" t="s">
        <v>19</v>
      </c>
      <c r="I1611" s="1">
        <v>46024</v>
      </c>
      <c r="J1611" s="1">
        <v>46024</v>
      </c>
      <c r="K1611" s="1">
        <v>46024</v>
      </c>
      <c r="L1611">
        <v>34</v>
      </c>
      <c r="M1611">
        <v>1.3</v>
      </c>
      <c r="N1611">
        <v>1.3</v>
      </c>
      <c r="O1611">
        <v>0</v>
      </c>
      <c r="P1611">
        <v>0</v>
      </c>
      <c r="Q1611" t="s">
        <v>108</v>
      </c>
    </row>
    <row r="1612" spans="1:17">
      <c r="A1612" t="s">
        <v>93</v>
      </c>
      <c r="B1612" t="s">
        <v>106</v>
      </c>
      <c r="C1612" t="s">
        <v>56</v>
      </c>
      <c r="D1612" t="s">
        <v>1395</v>
      </c>
      <c r="E1612">
        <v>22</v>
      </c>
      <c r="F1612" t="str">
        <f>VLOOKUP(E1612,[1]LOJA!$A:$B,2,0)</f>
        <v>GUARÁ</v>
      </c>
      <c r="G1612" t="s">
        <v>19</v>
      </c>
      <c r="H1612" t="s">
        <v>19</v>
      </c>
      <c r="I1612" s="1">
        <v>46024</v>
      </c>
      <c r="J1612" s="1">
        <v>46024</v>
      </c>
      <c r="K1612" s="1">
        <v>46024</v>
      </c>
      <c r="L1612">
        <v>34</v>
      </c>
      <c r="M1612">
        <v>0.64</v>
      </c>
      <c r="N1612">
        <v>0.64</v>
      </c>
      <c r="O1612">
        <v>0</v>
      </c>
      <c r="P1612">
        <v>0</v>
      </c>
      <c r="Q1612" t="s">
        <v>108</v>
      </c>
    </row>
    <row r="1613" spans="1:17">
      <c r="A1613" t="s">
        <v>93</v>
      </c>
      <c r="B1613" t="s">
        <v>106</v>
      </c>
      <c r="C1613" t="s">
        <v>56</v>
      </c>
      <c r="D1613" t="s">
        <v>1396</v>
      </c>
      <c r="E1613">
        <v>22</v>
      </c>
      <c r="F1613" t="str">
        <f>VLOOKUP(E1613,[1]LOJA!$A:$B,2,0)</f>
        <v>GUARÁ</v>
      </c>
      <c r="G1613" t="s">
        <v>19</v>
      </c>
      <c r="H1613" t="s">
        <v>19</v>
      </c>
      <c r="I1613" s="1">
        <v>46024</v>
      </c>
      <c r="J1613" s="1">
        <v>46024</v>
      </c>
      <c r="K1613" s="1">
        <v>46024</v>
      </c>
      <c r="L1613">
        <v>34</v>
      </c>
      <c r="M1613">
        <v>0.28000000000000003</v>
      </c>
      <c r="N1613">
        <v>0.28000000000000003</v>
      </c>
      <c r="O1613">
        <v>0</v>
      </c>
      <c r="P1613">
        <v>0</v>
      </c>
      <c r="Q1613" t="s">
        <v>108</v>
      </c>
    </row>
    <row r="1614" spans="1:17">
      <c r="A1614" t="s">
        <v>93</v>
      </c>
      <c r="B1614" t="s">
        <v>106</v>
      </c>
      <c r="C1614" t="s">
        <v>56</v>
      </c>
      <c r="D1614" t="s">
        <v>1397</v>
      </c>
      <c r="E1614">
        <v>22</v>
      </c>
      <c r="F1614" t="str">
        <f>VLOOKUP(E1614,[1]LOJA!$A:$B,2,0)</f>
        <v>GUARÁ</v>
      </c>
      <c r="G1614" t="s">
        <v>19</v>
      </c>
      <c r="H1614" t="s">
        <v>19</v>
      </c>
      <c r="I1614" s="1">
        <v>46024</v>
      </c>
      <c r="J1614" s="1">
        <v>46024</v>
      </c>
      <c r="K1614" s="1">
        <v>46024</v>
      </c>
      <c r="L1614">
        <v>34</v>
      </c>
      <c r="M1614">
        <v>0.79</v>
      </c>
      <c r="N1614">
        <v>0.79</v>
      </c>
      <c r="O1614">
        <v>0</v>
      </c>
      <c r="P1614">
        <v>0</v>
      </c>
      <c r="Q1614" t="s">
        <v>108</v>
      </c>
    </row>
    <row r="1615" spans="1:17">
      <c r="A1615" t="s">
        <v>93</v>
      </c>
      <c r="B1615" t="s">
        <v>106</v>
      </c>
      <c r="C1615" t="s">
        <v>56</v>
      </c>
      <c r="D1615" t="s">
        <v>1398</v>
      </c>
      <c r="E1615">
        <v>22</v>
      </c>
      <c r="F1615" t="str">
        <f>VLOOKUP(E1615,[1]LOJA!$A:$B,2,0)</f>
        <v>GUARÁ</v>
      </c>
      <c r="G1615" t="s">
        <v>19</v>
      </c>
      <c r="H1615" t="s">
        <v>19</v>
      </c>
      <c r="I1615" s="1">
        <v>46024</v>
      </c>
      <c r="J1615" s="1">
        <v>46024</v>
      </c>
      <c r="K1615" s="1">
        <v>46024</v>
      </c>
      <c r="L1615">
        <v>34</v>
      </c>
      <c r="M1615">
        <v>0.79</v>
      </c>
      <c r="N1615">
        <v>0.79</v>
      </c>
      <c r="O1615">
        <v>0</v>
      </c>
      <c r="P1615">
        <v>0</v>
      </c>
      <c r="Q1615" t="s">
        <v>108</v>
      </c>
    </row>
    <row r="1616" spans="1:17">
      <c r="A1616" t="s">
        <v>93</v>
      </c>
      <c r="B1616" t="s">
        <v>106</v>
      </c>
      <c r="C1616" t="s">
        <v>56</v>
      </c>
      <c r="D1616" t="s">
        <v>1399</v>
      </c>
      <c r="E1616">
        <v>22</v>
      </c>
      <c r="F1616" t="str">
        <f>VLOOKUP(E1616,[1]LOJA!$A:$B,2,0)</f>
        <v>GUARÁ</v>
      </c>
      <c r="G1616" t="s">
        <v>19</v>
      </c>
      <c r="H1616" t="s">
        <v>19</v>
      </c>
      <c r="I1616" s="1">
        <v>46024</v>
      </c>
      <c r="J1616" s="1">
        <v>46024</v>
      </c>
      <c r="K1616" s="1">
        <v>46024</v>
      </c>
      <c r="L1616">
        <v>34</v>
      </c>
      <c r="M1616">
        <v>1.66</v>
      </c>
      <c r="N1616">
        <v>1.66</v>
      </c>
      <c r="O1616">
        <v>0</v>
      </c>
      <c r="P1616">
        <v>0</v>
      </c>
      <c r="Q1616" t="s">
        <v>108</v>
      </c>
    </row>
    <row r="1617" spans="1:17">
      <c r="A1617" t="s">
        <v>93</v>
      </c>
      <c r="B1617" t="s">
        <v>106</v>
      </c>
      <c r="C1617" t="s">
        <v>56</v>
      </c>
      <c r="D1617" t="s">
        <v>1400</v>
      </c>
      <c r="E1617">
        <v>22</v>
      </c>
      <c r="F1617" t="str">
        <f>VLOOKUP(E1617,[1]LOJA!$A:$B,2,0)</f>
        <v>GUARÁ</v>
      </c>
      <c r="G1617" t="s">
        <v>19</v>
      </c>
      <c r="H1617" t="s">
        <v>19</v>
      </c>
      <c r="I1617" s="1">
        <v>46024</v>
      </c>
      <c r="J1617" s="1">
        <v>46024</v>
      </c>
      <c r="K1617" s="1">
        <v>46024</v>
      </c>
      <c r="L1617">
        <v>34</v>
      </c>
      <c r="M1617">
        <v>0.35</v>
      </c>
      <c r="N1617">
        <v>0.35</v>
      </c>
      <c r="O1617">
        <v>0</v>
      </c>
      <c r="P1617">
        <v>0</v>
      </c>
      <c r="Q1617" t="s">
        <v>108</v>
      </c>
    </row>
    <row r="1618" spans="1:17">
      <c r="A1618" t="s">
        <v>93</v>
      </c>
      <c r="B1618" t="s">
        <v>106</v>
      </c>
      <c r="C1618" t="s">
        <v>56</v>
      </c>
      <c r="D1618" t="s">
        <v>1401</v>
      </c>
      <c r="E1618">
        <v>22</v>
      </c>
      <c r="F1618" t="str">
        <f>VLOOKUP(E1618,[1]LOJA!$A:$B,2,0)</f>
        <v>GUARÁ</v>
      </c>
      <c r="G1618" t="s">
        <v>19</v>
      </c>
      <c r="H1618" t="s">
        <v>19</v>
      </c>
      <c r="I1618" s="1">
        <v>46024</v>
      </c>
      <c r="J1618" s="1">
        <v>46024</v>
      </c>
      <c r="K1618" s="1">
        <v>46024</v>
      </c>
      <c r="L1618">
        <v>34</v>
      </c>
      <c r="M1618">
        <v>1.04</v>
      </c>
      <c r="N1618">
        <v>1.04</v>
      </c>
      <c r="O1618">
        <v>0</v>
      </c>
      <c r="P1618">
        <v>0</v>
      </c>
      <c r="Q1618" t="s">
        <v>108</v>
      </c>
    </row>
    <row r="1619" spans="1:17">
      <c r="A1619" t="s">
        <v>93</v>
      </c>
      <c r="B1619" t="s">
        <v>106</v>
      </c>
      <c r="C1619" t="s">
        <v>56</v>
      </c>
      <c r="D1619" t="s">
        <v>1402</v>
      </c>
      <c r="E1619">
        <v>22</v>
      </c>
      <c r="F1619" t="str">
        <f>VLOOKUP(E1619,[1]LOJA!$A:$B,2,0)</f>
        <v>GUARÁ</v>
      </c>
      <c r="G1619" t="s">
        <v>19</v>
      </c>
      <c r="H1619" t="s">
        <v>19</v>
      </c>
      <c r="I1619" s="1">
        <v>46024</v>
      </c>
      <c r="J1619" s="1">
        <v>46024</v>
      </c>
      <c r="K1619" s="1">
        <v>46024</v>
      </c>
      <c r="L1619">
        <v>34</v>
      </c>
      <c r="M1619">
        <v>0.14000000000000001</v>
      </c>
      <c r="N1619">
        <v>0.14000000000000001</v>
      </c>
      <c r="O1619">
        <v>0</v>
      </c>
      <c r="P1619">
        <v>0</v>
      </c>
      <c r="Q1619" t="s">
        <v>108</v>
      </c>
    </row>
    <row r="1620" spans="1:17">
      <c r="A1620" t="s">
        <v>93</v>
      </c>
      <c r="B1620" t="s">
        <v>106</v>
      </c>
      <c r="C1620" t="s">
        <v>56</v>
      </c>
      <c r="D1620" t="s">
        <v>1403</v>
      </c>
      <c r="E1620">
        <v>22</v>
      </c>
      <c r="F1620" t="str">
        <f>VLOOKUP(E1620,[1]LOJA!$A:$B,2,0)</f>
        <v>GUARÁ</v>
      </c>
      <c r="G1620" t="s">
        <v>19</v>
      </c>
      <c r="H1620" t="s">
        <v>19</v>
      </c>
      <c r="I1620" s="1">
        <v>46024</v>
      </c>
      <c r="J1620" s="1">
        <v>46023</v>
      </c>
      <c r="K1620" s="1">
        <v>46024</v>
      </c>
      <c r="L1620">
        <v>34</v>
      </c>
      <c r="M1620">
        <v>0.09</v>
      </c>
      <c r="N1620">
        <v>0.09</v>
      </c>
      <c r="O1620">
        <v>0</v>
      </c>
      <c r="P1620">
        <v>0</v>
      </c>
      <c r="Q1620" t="s">
        <v>108</v>
      </c>
    </row>
    <row r="1621" spans="1:17">
      <c r="A1621" t="s">
        <v>93</v>
      </c>
      <c r="B1621" t="s">
        <v>106</v>
      </c>
      <c r="C1621" t="s">
        <v>56</v>
      </c>
      <c r="D1621" t="s">
        <v>1404</v>
      </c>
      <c r="E1621">
        <v>22</v>
      </c>
      <c r="F1621" t="str">
        <f>VLOOKUP(E1621,[1]LOJA!$A:$B,2,0)</f>
        <v>GUARÁ</v>
      </c>
      <c r="G1621" t="s">
        <v>19</v>
      </c>
      <c r="H1621" t="s">
        <v>19</v>
      </c>
      <c r="I1621" s="1">
        <v>46024</v>
      </c>
      <c r="J1621" s="1">
        <v>46023</v>
      </c>
      <c r="K1621" s="1">
        <v>46024</v>
      </c>
      <c r="L1621">
        <v>34</v>
      </c>
      <c r="M1621">
        <v>0.25</v>
      </c>
      <c r="N1621">
        <v>0.25</v>
      </c>
      <c r="O1621">
        <v>0</v>
      </c>
      <c r="P1621">
        <v>0</v>
      </c>
      <c r="Q1621" t="s">
        <v>108</v>
      </c>
    </row>
    <row r="1622" spans="1:17">
      <c r="A1622" t="s">
        <v>93</v>
      </c>
      <c r="B1622" t="s">
        <v>106</v>
      </c>
      <c r="C1622" t="s">
        <v>56</v>
      </c>
      <c r="D1622" t="s">
        <v>1405</v>
      </c>
      <c r="E1622">
        <v>22</v>
      </c>
      <c r="F1622" t="str">
        <f>VLOOKUP(E1622,[1]LOJA!$A:$B,2,0)</f>
        <v>GUARÁ</v>
      </c>
      <c r="G1622" t="s">
        <v>19</v>
      </c>
      <c r="H1622" t="s">
        <v>19</v>
      </c>
      <c r="I1622" s="1">
        <v>46024</v>
      </c>
      <c r="J1622" s="1">
        <v>46023</v>
      </c>
      <c r="K1622" s="1">
        <v>46024</v>
      </c>
      <c r="L1622">
        <v>34</v>
      </c>
      <c r="M1622">
        <v>0.15</v>
      </c>
      <c r="N1622">
        <v>0.15</v>
      </c>
      <c r="O1622">
        <v>0</v>
      </c>
      <c r="P1622">
        <v>0</v>
      </c>
      <c r="Q1622" t="s">
        <v>108</v>
      </c>
    </row>
    <row r="1623" spans="1:17">
      <c r="A1623" t="s">
        <v>93</v>
      </c>
      <c r="B1623" t="s">
        <v>106</v>
      </c>
      <c r="C1623" t="s">
        <v>56</v>
      </c>
      <c r="D1623" t="s">
        <v>1406</v>
      </c>
      <c r="E1623">
        <v>22</v>
      </c>
      <c r="F1623" t="str">
        <f>VLOOKUP(E1623,[1]LOJA!$A:$B,2,0)</f>
        <v>GUARÁ</v>
      </c>
      <c r="G1623" t="s">
        <v>19</v>
      </c>
      <c r="H1623" t="s">
        <v>19</v>
      </c>
      <c r="I1623" s="1">
        <v>46027</v>
      </c>
      <c r="J1623" s="1">
        <v>46026</v>
      </c>
      <c r="K1623" s="1">
        <v>46027</v>
      </c>
      <c r="L1623">
        <v>34</v>
      </c>
      <c r="M1623">
        <v>5.93</v>
      </c>
      <c r="N1623">
        <v>5.93</v>
      </c>
      <c r="O1623">
        <v>0</v>
      </c>
      <c r="P1623">
        <v>0</v>
      </c>
      <c r="Q1623" t="s">
        <v>108</v>
      </c>
    </row>
    <row r="1624" spans="1:17">
      <c r="A1624" t="s">
        <v>93</v>
      </c>
      <c r="B1624" t="s">
        <v>106</v>
      </c>
      <c r="C1624" t="s">
        <v>56</v>
      </c>
      <c r="D1624" t="s">
        <v>1407</v>
      </c>
      <c r="E1624">
        <v>22</v>
      </c>
      <c r="F1624" t="str">
        <f>VLOOKUP(E1624,[1]LOJA!$A:$B,2,0)</f>
        <v>GUARÁ</v>
      </c>
      <c r="G1624" t="s">
        <v>19</v>
      </c>
      <c r="H1624" t="s">
        <v>19</v>
      </c>
      <c r="I1624" s="1">
        <v>46027</v>
      </c>
      <c r="J1624" s="1">
        <v>46026</v>
      </c>
      <c r="K1624" s="1">
        <v>46027</v>
      </c>
      <c r="L1624">
        <v>34</v>
      </c>
      <c r="M1624">
        <v>2.19</v>
      </c>
      <c r="N1624">
        <v>2.19</v>
      </c>
      <c r="O1624">
        <v>0</v>
      </c>
      <c r="P1624">
        <v>0</v>
      </c>
      <c r="Q1624" t="s">
        <v>108</v>
      </c>
    </row>
    <row r="1625" spans="1:17">
      <c r="A1625" t="s">
        <v>93</v>
      </c>
      <c r="B1625" t="s">
        <v>106</v>
      </c>
      <c r="C1625" t="s">
        <v>56</v>
      </c>
      <c r="D1625" t="s">
        <v>1408</v>
      </c>
      <c r="E1625">
        <v>22</v>
      </c>
      <c r="F1625" t="str">
        <f>VLOOKUP(E1625,[1]LOJA!$A:$B,2,0)</f>
        <v>GUARÁ</v>
      </c>
      <c r="G1625" t="s">
        <v>19</v>
      </c>
      <c r="H1625" t="s">
        <v>19</v>
      </c>
      <c r="I1625" s="1">
        <v>46027</v>
      </c>
      <c r="J1625" s="1">
        <v>46027</v>
      </c>
      <c r="K1625" s="1">
        <v>46027</v>
      </c>
      <c r="L1625">
        <v>34</v>
      </c>
      <c r="M1625">
        <v>2.19</v>
      </c>
      <c r="N1625">
        <v>2.19</v>
      </c>
      <c r="O1625">
        <v>0</v>
      </c>
      <c r="P1625">
        <v>0</v>
      </c>
      <c r="Q1625" t="s">
        <v>108</v>
      </c>
    </row>
    <row r="1626" spans="1:17">
      <c r="A1626" t="s">
        <v>93</v>
      </c>
      <c r="B1626" t="s">
        <v>106</v>
      </c>
      <c r="C1626" t="s">
        <v>56</v>
      </c>
      <c r="D1626" t="s">
        <v>1409</v>
      </c>
      <c r="E1626">
        <v>22</v>
      </c>
      <c r="F1626" t="str">
        <f>VLOOKUP(E1626,[1]LOJA!$A:$B,2,0)</f>
        <v>GUARÁ</v>
      </c>
      <c r="G1626" t="s">
        <v>19</v>
      </c>
      <c r="H1626" t="s">
        <v>19</v>
      </c>
      <c r="I1626" s="1">
        <v>46027</v>
      </c>
      <c r="J1626" s="1">
        <v>46027</v>
      </c>
      <c r="K1626" s="1">
        <v>46027</v>
      </c>
      <c r="L1626">
        <v>34</v>
      </c>
      <c r="M1626">
        <v>3.96</v>
      </c>
      <c r="N1626">
        <v>3.96</v>
      </c>
      <c r="O1626">
        <v>0</v>
      </c>
      <c r="P1626">
        <v>0</v>
      </c>
      <c r="Q1626" t="s">
        <v>108</v>
      </c>
    </row>
    <row r="1627" spans="1:17">
      <c r="A1627" t="s">
        <v>93</v>
      </c>
      <c r="B1627" t="s">
        <v>106</v>
      </c>
      <c r="C1627" t="s">
        <v>56</v>
      </c>
      <c r="D1627" t="s">
        <v>1410</v>
      </c>
      <c r="E1627">
        <v>22</v>
      </c>
      <c r="F1627" t="str">
        <f>VLOOKUP(E1627,[1]LOJA!$A:$B,2,0)</f>
        <v>GUARÁ</v>
      </c>
      <c r="G1627" t="s">
        <v>19</v>
      </c>
      <c r="H1627" t="s">
        <v>19</v>
      </c>
      <c r="I1627" s="1">
        <v>46027</v>
      </c>
      <c r="J1627" s="1">
        <v>46025</v>
      </c>
      <c r="K1627" s="1">
        <v>46027</v>
      </c>
      <c r="L1627">
        <v>34</v>
      </c>
      <c r="M1627">
        <v>0.57999999999999996</v>
      </c>
      <c r="N1627">
        <v>0.57999999999999996</v>
      </c>
      <c r="O1627">
        <v>0</v>
      </c>
      <c r="P1627">
        <v>0</v>
      </c>
      <c r="Q1627" t="s">
        <v>108</v>
      </c>
    </row>
    <row r="1628" spans="1:17">
      <c r="A1628" t="s">
        <v>93</v>
      </c>
      <c r="B1628" t="s">
        <v>106</v>
      </c>
      <c r="C1628" t="s">
        <v>56</v>
      </c>
      <c r="D1628" t="s">
        <v>1411</v>
      </c>
      <c r="E1628">
        <v>22</v>
      </c>
      <c r="F1628" t="str">
        <f>VLOOKUP(E1628,[1]LOJA!$A:$B,2,0)</f>
        <v>GUARÁ</v>
      </c>
      <c r="G1628" t="s">
        <v>19</v>
      </c>
      <c r="H1628" t="s">
        <v>19</v>
      </c>
      <c r="I1628" s="1">
        <v>46027</v>
      </c>
      <c r="J1628" s="1">
        <v>46025</v>
      </c>
      <c r="K1628" s="1">
        <v>46027</v>
      </c>
      <c r="L1628">
        <v>34</v>
      </c>
      <c r="M1628">
        <v>2.17</v>
      </c>
      <c r="N1628">
        <v>2.17</v>
      </c>
      <c r="O1628">
        <v>0</v>
      </c>
      <c r="P1628">
        <v>0</v>
      </c>
      <c r="Q1628" t="s">
        <v>108</v>
      </c>
    </row>
    <row r="1629" spans="1:17">
      <c r="A1629" t="s">
        <v>93</v>
      </c>
      <c r="B1629" t="s">
        <v>106</v>
      </c>
      <c r="C1629" t="s">
        <v>56</v>
      </c>
      <c r="D1629" t="s">
        <v>1412</v>
      </c>
      <c r="E1629">
        <v>22</v>
      </c>
      <c r="F1629" t="str">
        <f>VLOOKUP(E1629,[1]LOJA!$A:$B,2,0)</f>
        <v>GUARÁ</v>
      </c>
      <c r="G1629" t="s">
        <v>19</v>
      </c>
      <c r="H1629" t="s">
        <v>19</v>
      </c>
      <c r="I1629" s="1">
        <v>46027</v>
      </c>
      <c r="J1629" s="1">
        <v>46025</v>
      </c>
      <c r="K1629" s="1">
        <v>46027</v>
      </c>
      <c r="L1629">
        <v>34</v>
      </c>
      <c r="M1629">
        <v>0.82</v>
      </c>
      <c r="N1629">
        <v>0.82</v>
      </c>
      <c r="O1629">
        <v>0</v>
      </c>
      <c r="P1629">
        <v>0</v>
      </c>
      <c r="Q1629" t="s">
        <v>108</v>
      </c>
    </row>
    <row r="1630" spans="1:17">
      <c r="A1630" t="s">
        <v>93</v>
      </c>
      <c r="B1630" t="s">
        <v>106</v>
      </c>
      <c r="C1630" t="s">
        <v>56</v>
      </c>
      <c r="D1630" t="s">
        <v>1413</v>
      </c>
      <c r="E1630">
        <v>22</v>
      </c>
      <c r="F1630" t="str">
        <f>VLOOKUP(E1630,[1]LOJA!$A:$B,2,0)</f>
        <v>GUARÁ</v>
      </c>
      <c r="G1630" t="s">
        <v>19</v>
      </c>
      <c r="H1630" t="s">
        <v>19</v>
      </c>
      <c r="I1630" s="1">
        <v>46027</v>
      </c>
      <c r="J1630" s="1">
        <v>46025</v>
      </c>
      <c r="K1630" s="1">
        <v>46027</v>
      </c>
      <c r="L1630">
        <v>34</v>
      </c>
      <c r="M1630">
        <v>5.48</v>
      </c>
      <c r="N1630">
        <v>5.48</v>
      </c>
      <c r="O1630">
        <v>0</v>
      </c>
      <c r="P1630">
        <v>0</v>
      </c>
      <c r="Q1630" t="s">
        <v>108</v>
      </c>
    </row>
    <row r="1631" spans="1:17">
      <c r="A1631" t="s">
        <v>93</v>
      </c>
      <c r="B1631" t="s">
        <v>106</v>
      </c>
      <c r="C1631" t="s">
        <v>56</v>
      </c>
      <c r="D1631" t="s">
        <v>1414</v>
      </c>
      <c r="E1631">
        <v>22</v>
      </c>
      <c r="F1631" t="str">
        <f>VLOOKUP(E1631,[1]LOJA!$A:$B,2,0)</f>
        <v>GUARÁ</v>
      </c>
      <c r="G1631" t="s">
        <v>19</v>
      </c>
      <c r="H1631" t="s">
        <v>19</v>
      </c>
      <c r="I1631" s="1">
        <v>46027</v>
      </c>
      <c r="J1631" s="1">
        <v>46026</v>
      </c>
      <c r="K1631" s="1">
        <v>46027</v>
      </c>
      <c r="L1631">
        <v>34</v>
      </c>
      <c r="M1631">
        <v>0.86</v>
      </c>
      <c r="N1631">
        <v>0.86</v>
      </c>
      <c r="O1631">
        <v>0</v>
      </c>
      <c r="P1631">
        <v>0</v>
      </c>
      <c r="Q1631" t="s">
        <v>108</v>
      </c>
    </row>
    <row r="1632" spans="1:17">
      <c r="A1632" t="s">
        <v>93</v>
      </c>
      <c r="B1632" t="s">
        <v>106</v>
      </c>
      <c r="C1632" t="s">
        <v>56</v>
      </c>
      <c r="D1632" t="s">
        <v>1415</v>
      </c>
      <c r="E1632">
        <v>22</v>
      </c>
      <c r="F1632" t="str">
        <f>VLOOKUP(E1632,[1]LOJA!$A:$B,2,0)</f>
        <v>GUARÁ</v>
      </c>
      <c r="G1632" t="s">
        <v>19</v>
      </c>
      <c r="H1632" t="s">
        <v>19</v>
      </c>
      <c r="I1632" s="1">
        <v>46027</v>
      </c>
      <c r="J1632" s="1">
        <v>46026</v>
      </c>
      <c r="K1632" s="1">
        <v>46027</v>
      </c>
      <c r="L1632">
        <v>34</v>
      </c>
      <c r="M1632">
        <v>0.49</v>
      </c>
      <c r="N1632">
        <v>0.49</v>
      </c>
      <c r="O1632">
        <v>0</v>
      </c>
      <c r="P1632">
        <v>0</v>
      </c>
      <c r="Q1632" t="s">
        <v>108</v>
      </c>
    </row>
    <row r="1633" spans="1:17">
      <c r="A1633" t="s">
        <v>93</v>
      </c>
      <c r="B1633" t="s">
        <v>106</v>
      </c>
      <c r="C1633" t="s">
        <v>56</v>
      </c>
      <c r="D1633" t="s">
        <v>1416</v>
      </c>
      <c r="E1633">
        <v>22</v>
      </c>
      <c r="F1633" t="str">
        <f>VLOOKUP(E1633,[1]LOJA!$A:$B,2,0)</f>
        <v>GUARÁ</v>
      </c>
      <c r="G1633" t="s">
        <v>19</v>
      </c>
      <c r="H1633" t="s">
        <v>19</v>
      </c>
      <c r="I1633" s="1">
        <v>46027</v>
      </c>
      <c r="J1633" s="1">
        <v>46026</v>
      </c>
      <c r="K1633" s="1">
        <v>46027</v>
      </c>
      <c r="L1633">
        <v>34</v>
      </c>
      <c r="M1633">
        <v>2.56</v>
      </c>
      <c r="N1633">
        <v>2.56</v>
      </c>
      <c r="O1633">
        <v>0</v>
      </c>
      <c r="P1633">
        <v>0</v>
      </c>
      <c r="Q1633" t="s">
        <v>108</v>
      </c>
    </row>
    <row r="1634" spans="1:17">
      <c r="A1634" t="s">
        <v>93</v>
      </c>
      <c r="B1634" t="s">
        <v>106</v>
      </c>
      <c r="C1634" t="s">
        <v>56</v>
      </c>
      <c r="D1634" t="s">
        <v>1417</v>
      </c>
      <c r="E1634">
        <v>22</v>
      </c>
      <c r="F1634" t="str">
        <f>VLOOKUP(E1634,[1]LOJA!$A:$B,2,0)</f>
        <v>GUARÁ</v>
      </c>
      <c r="G1634" t="s">
        <v>19</v>
      </c>
      <c r="H1634" t="s">
        <v>19</v>
      </c>
      <c r="I1634" s="1">
        <v>46027</v>
      </c>
      <c r="J1634" s="1">
        <v>46026</v>
      </c>
      <c r="K1634" s="1">
        <v>46027</v>
      </c>
      <c r="L1634">
        <v>34</v>
      </c>
      <c r="M1634">
        <v>1.79</v>
      </c>
      <c r="N1634">
        <v>1.79</v>
      </c>
      <c r="O1634">
        <v>0</v>
      </c>
      <c r="P1634">
        <v>0</v>
      </c>
      <c r="Q1634" t="s">
        <v>108</v>
      </c>
    </row>
    <row r="1635" spans="1:17">
      <c r="A1635" t="s">
        <v>93</v>
      </c>
      <c r="B1635" t="s">
        <v>106</v>
      </c>
      <c r="C1635" t="s">
        <v>56</v>
      </c>
      <c r="D1635" t="s">
        <v>1418</v>
      </c>
      <c r="E1635">
        <v>22</v>
      </c>
      <c r="F1635" t="str">
        <f>VLOOKUP(E1635,[1]LOJA!$A:$B,2,0)</f>
        <v>GUARÁ</v>
      </c>
      <c r="G1635" t="s">
        <v>19</v>
      </c>
      <c r="H1635" t="s">
        <v>19</v>
      </c>
      <c r="I1635" s="1">
        <v>46027</v>
      </c>
      <c r="J1635" s="1">
        <v>46027</v>
      </c>
      <c r="K1635" s="1">
        <v>46027</v>
      </c>
      <c r="L1635">
        <v>34</v>
      </c>
      <c r="M1635">
        <v>0.1</v>
      </c>
      <c r="N1635">
        <v>0.1</v>
      </c>
      <c r="O1635">
        <v>0</v>
      </c>
      <c r="P1635">
        <v>0</v>
      </c>
      <c r="Q1635" t="s">
        <v>108</v>
      </c>
    </row>
    <row r="1636" spans="1:17">
      <c r="A1636" t="s">
        <v>93</v>
      </c>
      <c r="B1636" t="s">
        <v>106</v>
      </c>
      <c r="C1636" t="s">
        <v>56</v>
      </c>
      <c r="D1636" t="s">
        <v>1419</v>
      </c>
      <c r="E1636">
        <v>22</v>
      </c>
      <c r="F1636" t="str">
        <f>VLOOKUP(E1636,[1]LOJA!$A:$B,2,0)</f>
        <v>GUARÁ</v>
      </c>
      <c r="G1636" t="s">
        <v>19</v>
      </c>
      <c r="H1636" t="s">
        <v>19</v>
      </c>
      <c r="I1636" s="1">
        <v>46027</v>
      </c>
      <c r="J1636" s="1">
        <v>46027</v>
      </c>
      <c r="K1636" s="1">
        <v>46027</v>
      </c>
      <c r="L1636">
        <v>34</v>
      </c>
      <c r="M1636">
        <v>0.46</v>
      </c>
      <c r="N1636">
        <v>0.46</v>
      </c>
      <c r="O1636">
        <v>0</v>
      </c>
      <c r="P1636">
        <v>0</v>
      </c>
      <c r="Q1636" t="s">
        <v>108</v>
      </c>
    </row>
    <row r="1637" spans="1:17">
      <c r="A1637" t="s">
        <v>93</v>
      </c>
      <c r="B1637" t="s">
        <v>106</v>
      </c>
      <c r="C1637" t="s">
        <v>56</v>
      </c>
      <c r="D1637" t="s">
        <v>1420</v>
      </c>
      <c r="E1637">
        <v>22</v>
      </c>
      <c r="F1637" t="str">
        <f>VLOOKUP(E1637,[1]LOJA!$A:$B,2,0)</f>
        <v>GUARÁ</v>
      </c>
      <c r="G1637" t="s">
        <v>19</v>
      </c>
      <c r="H1637" t="s">
        <v>19</v>
      </c>
      <c r="I1637" s="1">
        <v>46027</v>
      </c>
      <c r="J1637" s="1">
        <v>46027</v>
      </c>
      <c r="K1637" s="1">
        <v>46027</v>
      </c>
      <c r="L1637">
        <v>34</v>
      </c>
      <c r="M1637">
        <v>3.83</v>
      </c>
      <c r="N1637">
        <v>3.83</v>
      </c>
      <c r="O1637">
        <v>0</v>
      </c>
      <c r="P1637">
        <v>0</v>
      </c>
      <c r="Q1637" t="s">
        <v>108</v>
      </c>
    </row>
    <row r="1638" spans="1:17">
      <c r="A1638" t="s">
        <v>93</v>
      </c>
      <c r="B1638" t="s">
        <v>106</v>
      </c>
      <c r="C1638" t="s">
        <v>56</v>
      </c>
      <c r="D1638" t="s">
        <v>1421</v>
      </c>
      <c r="E1638">
        <v>22</v>
      </c>
      <c r="F1638" t="str">
        <f>VLOOKUP(E1638,[1]LOJA!$A:$B,2,0)</f>
        <v>GUARÁ</v>
      </c>
      <c r="G1638" t="s">
        <v>19</v>
      </c>
      <c r="H1638" t="s">
        <v>19</v>
      </c>
      <c r="I1638" s="1">
        <v>46027</v>
      </c>
      <c r="J1638" s="1">
        <v>46027</v>
      </c>
      <c r="K1638" s="1">
        <v>46027</v>
      </c>
      <c r="L1638">
        <v>34</v>
      </c>
      <c r="M1638">
        <v>1.97</v>
      </c>
      <c r="N1638">
        <v>1.97</v>
      </c>
      <c r="O1638">
        <v>0</v>
      </c>
      <c r="P1638">
        <v>0</v>
      </c>
      <c r="Q1638" t="s">
        <v>108</v>
      </c>
    </row>
    <row r="1639" spans="1:17">
      <c r="A1639" t="s">
        <v>93</v>
      </c>
      <c r="B1639" t="s">
        <v>106</v>
      </c>
      <c r="C1639" t="s">
        <v>56</v>
      </c>
      <c r="D1639" t="s">
        <v>1422</v>
      </c>
      <c r="E1639">
        <v>22</v>
      </c>
      <c r="F1639" t="str">
        <f>VLOOKUP(E1639,[1]LOJA!$A:$B,2,0)</f>
        <v>GUARÁ</v>
      </c>
      <c r="G1639" t="s">
        <v>19</v>
      </c>
      <c r="H1639" t="s">
        <v>19</v>
      </c>
      <c r="I1639" s="1">
        <v>46027</v>
      </c>
      <c r="J1639" s="1">
        <v>46027</v>
      </c>
      <c r="K1639" s="1">
        <v>46027</v>
      </c>
      <c r="L1639">
        <v>34</v>
      </c>
      <c r="M1639">
        <v>0.18</v>
      </c>
      <c r="N1639">
        <v>0.18</v>
      </c>
      <c r="O1639">
        <v>0</v>
      </c>
      <c r="P1639">
        <v>0</v>
      </c>
      <c r="Q1639" t="s">
        <v>108</v>
      </c>
    </row>
    <row r="1640" spans="1:17">
      <c r="A1640" t="s">
        <v>93</v>
      </c>
      <c r="B1640" t="s">
        <v>106</v>
      </c>
      <c r="C1640" t="s">
        <v>56</v>
      </c>
      <c r="D1640" t="s">
        <v>1423</v>
      </c>
      <c r="E1640">
        <v>22</v>
      </c>
      <c r="F1640" t="str">
        <f>VLOOKUP(E1640,[1]LOJA!$A:$B,2,0)</f>
        <v>GUARÁ</v>
      </c>
      <c r="G1640" t="s">
        <v>19</v>
      </c>
      <c r="H1640" t="s">
        <v>19</v>
      </c>
      <c r="I1640" s="1">
        <v>46027</v>
      </c>
      <c r="J1640" s="1">
        <v>46027</v>
      </c>
      <c r="K1640" s="1">
        <v>46027</v>
      </c>
      <c r="L1640">
        <v>34</v>
      </c>
      <c r="M1640">
        <v>24.09</v>
      </c>
      <c r="N1640">
        <v>24.09</v>
      </c>
      <c r="O1640">
        <v>0</v>
      </c>
      <c r="P1640">
        <v>0</v>
      </c>
      <c r="Q1640" t="s">
        <v>108</v>
      </c>
    </row>
    <row r="1641" spans="1:17">
      <c r="A1641" t="s">
        <v>93</v>
      </c>
      <c r="B1641" t="s">
        <v>106</v>
      </c>
      <c r="C1641" t="s">
        <v>56</v>
      </c>
      <c r="D1641" t="s">
        <v>1424</v>
      </c>
      <c r="E1641">
        <v>22</v>
      </c>
      <c r="F1641" t="str">
        <f>VLOOKUP(E1641,[1]LOJA!$A:$B,2,0)</f>
        <v>GUARÁ</v>
      </c>
      <c r="G1641" t="s">
        <v>19</v>
      </c>
      <c r="H1641" t="s">
        <v>19</v>
      </c>
      <c r="I1641" s="1">
        <v>46027</v>
      </c>
      <c r="J1641" s="1">
        <v>46027</v>
      </c>
      <c r="K1641" s="1">
        <v>46027</v>
      </c>
      <c r="L1641">
        <v>34</v>
      </c>
      <c r="M1641">
        <v>0.25</v>
      </c>
      <c r="N1641">
        <v>0.25</v>
      </c>
      <c r="O1641">
        <v>0</v>
      </c>
      <c r="P1641">
        <v>0</v>
      </c>
      <c r="Q1641" t="s">
        <v>108</v>
      </c>
    </row>
    <row r="1642" spans="1:17">
      <c r="A1642" t="s">
        <v>93</v>
      </c>
      <c r="B1642" t="s">
        <v>106</v>
      </c>
      <c r="C1642" t="s">
        <v>56</v>
      </c>
      <c r="D1642" t="s">
        <v>1425</v>
      </c>
      <c r="E1642">
        <v>22</v>
      </c>
      <c r="F1642" t="str">
        <f>VLOOKUP(E1642,[1]LOJA!$A:$B,2,0)</f>
        <v>GUARÁ</v>
      </c>
      <c r="G1642" t="s">
        <v>19</v>
      </c>
      <c r="H1642" t="s">
        <v>19</v>
      </c>
      <c r="I1642" s="1">
        <v>46027</v>
      </c>
      <c r="J1642" s="1">
        <v>46025</v>
      </c>
      <c r="K1642" s="1">
        <v>46027</v>
      </c>
      <c r="L1642">
        <v>34</v>
      </c>
      <c r="M1642">
        <v>0.26</v>
      </c>
      <c r="N1642">
        <v>0.26</v>
      </c>
      <c r="O1642">
        <v>0</v>
      </c>
      <c r="P1642">
        <v>0</v>
      </c>
      <c r="Q1642" t="s">
        <v>108</v>
      </c>
    </row>
    <row r="1643" spans="1:17">
      <c r="A1643" t="s">
        <v>93</v>
      </c>
      <c r="B1643" t="s">
        <v>106</v>
      </c>
      <c r="C1643" t="s">
        <v>56</v>
      </c>
      <c r="D1643" t="s">
        <v>1426</v>
      </c>
      <c r="E1643">
        <v>22</v>
      </c>
      <c r="F1643" t="str">
        <f>VLOOKUP(E1643,[1]LOJA!$A:$B,2,0)</f>
        <v>GUARÁ</v>
      </c>
      <c r="G1643" t="s">
        <v>19</v>
      </c>
      <c r="H1643" t="s">
        <v>19</v>
      </c>
      <c r="I1643" s="1">
        <v>46027</v>
      </c>
      <c r="J1643" s="1">
        <v>46025</v>
      </c>
      <c r="K1643" s="1">
        <v>46027</v>
      </c>
      <c r="L1643">
        <v>34</v>
      </c>
      <c r="M1643">
        <v>0.06</v>
      </c>
      <c r="N1643">
        <v>0.06</v>
      </c>
      <c r="O1643">
        <v>0</v>
      </c>
      <c r="P1643">
        <v>0</v>
      </c>
      <c r="Q1643" t="s">
        <v>108</v>
      </c>
    </row>
    <row r="1644" spans="1:17">
      <c r="A1644" t="s">
        <v>93</v>
      </c>
      <c r="B1644" t="s">
        <v>106</v>
      </c>
      <c r="C1644" t="s">
        <v>56</v>
      </c>
      <c r="D1644" t="s">
        <v>1427</v>
      </c>
      <c r="E1644">
        <v>22</v>
      </c>
      <c r="F1644" t="str">
        <f>VLOOKUP(E1644,[1]LOJA!$A:$B,2,0)</f>
        <v>GUARÁ</v>
      </c>
      <c r="G1644" t="s">
        <v>19</v>
      </c>
      <c r="H1644" t="s">
        <v>19</v>
      </c>
      <c r="I1644" s="1">
        <v>46027</v>
      </c>
      <c r="J1644" s="1">
        <v>46025</v>
      </c>
      <c r="K1644" s="1">
        <v>46027</v>
      </c>
      <c r="L1644">
        <v>34</v>
      </c>
      <c r="M1644">
        <v>0.05</v>
      </c>
      <c r="N1644">
        <v>0.05</v>
      </c>
      <c r="O1644">
        <v>0</v>
      </c>
      <c r="P1644">
        <v>0</v>
      </c>
      <c r="Q1644" t="s">
        <v>108</v>
      </c>
    </row>
    <row r="1645" spans="1:17">
      <c r="A1645" t="s">
        <v>93</v>
      </c>
      <c r="B1645" t="s">
        <v>106</v>
      </c>
      <c r="C1645" t="s">
        <v>56</v>
      </c>
      <c r="D1645" t="s">
        <v>1428</v>
      </c>
      <c r="E1645">
        <v>22</v>
      </c>
      <c r="F1645" t="str">
        <f>VLOOKUP(E1645,[1]LOJA!$A:$B,2,0)</f>
        <v>GUARÁ</v>
      </c>
      <c r="G1645" t="s">
        <v>19</v>
      </c>
      <c r="H1645" t="s">
        <v>19</v>
      </c>
      <c r="I1645" s="1">
        <v>46027</v>
      </c>
      <c r="J1645" s="1">
        <v>46025</v>
      </c>
      <c r="K1645" s="1">
        <v>46027</v>
      </c>
      <c r="L1645">
        <v>34</v>
      </c>
      <c r="M1645">
        <v>1.1299999999999999</v>
      </c>
      <c r="N1645">
        <v>1.1299999999999999</v>
      </c>
      <c r="O1645">
        <v>0</v>
      </c>
      <c r="P1645">
        <v>0</v>
      </c>
      <c r="Q1645" t="s">
        <v>108</v>
      </c>
    </row>
    <row r="1646" spans="1:17">
      <c r="A1646" t="s">
        <v>93</v>
      </c>
      <c r="B1646" t="s">
        <v>106</v>
      </c>
      <c r="C1646" t="s">
        <v>56</v>
      </c>
      <c r="D1646" t="s">
        <v>1429</v>
      </c>
      <c r="E1646">
        <v>22</v>
      </c>
      <c r="F1646" t="str">
        <f>VLOOKUP(E1646,[1]LOJA!$A:$B,2,0)</f>
        <v>GUARÁ</v>
      </c>
      <c r="G1646" t="s">
        <v>19</v>
      </c>
      <c r="H1646" t="s">
        <v>19</v>
      </c>
      <c r="I1646" s="1">
        <v>46027</v>
      </c>
      <c r="J1646" s="1">
        <v>46025</v>
      </c>
      <c r="K1646" s="1">
        <v>46027</v>
      </c>
      <c r="L1646">
        <v>34</v>
      </c>
      <c r="M1646">
        <v>0.51</v>
      </c>
      <c r="N1646">
        <v>0.51</v>
      </c>
      <c r="O1646">
        <v>0</v>
      </c>
      <c r="P1646">
        <v>0</v>
      </c>
      <c r="Q1646" t="s">
        <v>108</v>
      </c>
    </row>
    <row r="1647" spans="1:17">
      <c r="A1647" t="s">
        <v>93</v>
      </c>
      <c r="B1647" t="s">
        <v>106</v>
      </c>
      <c r="C1647" t="s">
        <v>56</v>
      </c>
      <c r="D1647" t="s">
        <v>1430</v>
      </c>
      <c r="E1647">
        <v>22</v>
      </c>
      <c r="F1647" t="str">
        <f>VLOOKUP(E1647,[1]LOJA!$A:$B,2,0)</f>
        <v>GUARÁ</v>
      </c>
      <c r="G1647" t="s">
        <v>19</v>
      </c>
      <c r="H1647" t="s">
        <v>19</v>
      </c>
      <c r="I1647" s="1">
        <v>46027</v>
      </c>
      <c r="J1647" s="1">
        <v>46025</v>
      </c>
      <c r="K1647" s="1">
        <v>46027</v>
      </c>
      <c r="L1647">
        <v>34</v>
      </c>
      <c r="M1647">
        <v>0.3</v>
      </c>
      <c r="N1647">
        <v>0.3</v>
      </c>
      <c r="O1647">
        <v>0</v>
      </c>
      <c r="P1647">
        <v>0</v>
      </c>
      <c r="Q1647" t="s">
        <v>108</v>
      </c>
    </row>
    <row r="1648" spans="1:17">
      <c r="A1648" t="s">
        <v>93</v>
      </c>
      <c r="B1648" t="s">
        <v>106</v>
      </c>
      <c r="C1648" t="s">
        <v>56</v>
      </c>
      <c r="D1648" t="s">
        <v>1431</v>
      </c>
      <c r="E1648">
        <v>22</v>
      </c>
      <c r="F1648" t="str">
        <f>VLOOKUP(E1648,[1]LOJA!$A:$B,2,0)</f>
        <v>GUARÁ</v>
      </c>
      <c r="G1648" t="s">
        <v>19</v>
      </c>
      <c r="H1648" t="s">
        <v>19</v>
      </c>
      <c r="I1648" s="1">
        <v>46027</v>
      </c>
      <c r="J1648" s="1">
        <v>46025</v>
      </c>
      <c r="K1648" s="1">
        <v>46027</v>
      </c>
      <c r="L1648">
        <v>34</v>
      </c>
      <c r="M1648">
        <v>0.11</v>
      </c>
      <c r="N1648">
        <v>0.11</v>
      </c>
      <c r="O1648">
        <v>0</v>
      </c>
      <c r="P1648">
        <v>0</v>
      </c>
      <c r="Q1648" t="s">
        <v>108</v>
      </c>
    </row>
    <row r="1649" spans="1:17">
      <c r="A1649" t="s">
        <v>93</v>
      </c>
      <c r="B1649" t="s">
        <v>106</v>
      </c>
      <c r="C1649" t="s">
        <v>56</v>
      </c>
      <c r="D1649" t="s">
        <v>1432</v>
      </c>
      <c r="E1649">
        <v>22</v>
      </c>
      <c r="F1649" t="str">
        <f>VLOOKUP(E1649,[1]LOJA!$A:$B,2,0)</f>
        <v>GUARÁ</v>
      </c>
      <c r="G1649" t="s">
        <v>19</v>
      </c>
      <c r="H1649" t="s">
        <v>19</v>
      </c>
      <c r="I1649" s="1">
        <v>46027</v>
      </c>
      <c r="J1649" s="1">
        <v>46025</v>
      </c>
      <c r="K1649" s="1">
        <v>46027</v>
      </c>
      <c r="L1649">
        <v>34</v>
      </c>
      <c r="M1649">
        <v>0.43</v>
      </c>
      <c r="N1649">
        <v>0.43</v>
      </c>
      <c r="O1649">
        <v>0</v>
      </c>
      <c r="P1649">
        <v>0</v>
      </c>
      <c r="Q1649" t="s">
        <v>108</v>
      </c>
    </row>
    <row r="1650" spans="1:17">
      <c r="A1650" t="s">
        <v>93</v>
      </c>
      <c r="B1650" t="s">
        <v>106</v>
      </c>
      <c r="C1650" t="s">
        <v>56</v>
      </c>
      <c r="D1650" t="s">
        <v>1433</v>
      </c>
      <c r="E1650">
        <v>22</v>
      </c>
      <c r="F1650" t="str">
        <f>VLOOKUP(E1650,[1]LOJA!$A:$B,2,0)</f>
        <v>GUARÁ</v>
      </c>
      <c r="G1650" t="s">
        <v>19</v>
      </c>
      <c r="H1650" t="s">
        <v>19</v>
      </c>
      <c r="I1650" s="1">
        <v>46027</v>
      </c>
      <c r="J1650" s="1">
        <v>46025</v>
      </c>
      <c r="K1650" s="1">
        <v>46027</v>
      </c>
      <c r="L1650">
        <v>34</v>
      </c>
      <c r="M1650">
        <v>0.03</v>
      </c>
      <c r="N1650">
        <v>0.03</v>
      </c>
      <c r="O1650">
        <v>0</v>
      </c>
      <c r="P1650">
        <v>0</v>
      </c>
      <c r="Q1650" t="s">
        <v>108</v>
      </c>
    </row>
    <row r="1651" spans="1:17">
      <c r="A1651" t="s">
        <v>93</v>
      </c>
      <c r="B1651" t="s">
        <v>106</v>
      </c>
      <c r="C1651" t="s">
        <v>56</v>
      </c>
      <c r="D1651" t="s">
        <v>1434</v>
      </c>
      <c r="E1651">
        <v>22</v>
      </c>
      <c r="F1651" t="str">
        <f>VLOOKUP(E1651,[1]LOJA!$A:$B,2,0)</f>
        <v>GUARÁ</v>
      </c>
      <c r="G1651" t="s">
        <v>19</v>
      </c>
      <c r="H1651" t="s">
        <v>19</v>
      </c>
      <c r="I1651" s="1">
        <v>46027</v>
      </c>
      <c r="J1651" s="1">
        <v>46025</v>
      </c>
      <c r="K1651" s="1">
        <v>46027</v>
      </c>
      <c r="L1651">
        <v>34</v>
      </c>
      <c r="M1651">
        <v>0.03</v>
      </c>
      <c r="N1651">
        <v>0.03</v>
      </c>
      <c r="O1651">
        <v>0</v>
      </c>
      <c r="P1651">
        <v>0</v>
      </c>
      <c r="Q1651" t="s">
        <v>108</v>
      </c>
    </row>
    <row r="1652" spans="1:17">
      <c r="A1652" t="s">
        <v>93</v>
      </c>
      <c r="B1652" t="s">
        <v>106</v>
      </c>
      <c r="C1652" t="s">
        <v>56</v>
      </c>
      <c r="D1652" t="s">
        <v>1435</v>
      </c>
      <c r="E1652">
        <v>22</v>
      </c>
      <c r="F1652" t="str">
        <f>VLOOKUP(E1652,[1]LOJA!$A:$B,2,0)</f>
        <v>GUARÁ</v>
      </c>
      <c r="G1652" t="s">
        <v>19</v>
      </c>
      <c r="H1652" t="s">
        <v>19</v>
      </c>
      <c r="I1652" s="1">
        <v>46027</v>
      </c>
      <c r="J1652" s="1">
        <v>46025</v>
      </c>
      <c r="K1652" s="1">
        <v>46027</v>
      </c>
      <c r="L1652">
        <v>34</v>
      </c>
      <c r="M1652">
        <v>0.25</v>
      </c>
      <c r="N1652">
        <v>0.25</v>
      </c>
      <c r="O1652">
        <v>0</v>
      </c>
      <c r="P1652">
        <v>0</v>
      </c>
      <c r="Q1652" t="s">
        <v>108</v>
      </c>
    </row>
    <row r="1653" spans="1:17">
      <c r="A1653" t="s">
        <v>93</v>
      </c>
      <c r="B1653" t="s">
        <v>106</v>
      </c>
      <c r="C1653" t="s">
        <v>56</v>
      </c>
      <c r="D1653" t="s">
        <v>1436</v>
      </c>
      <c r="E1653">
        <v>22</v>
      </c>
      <c r="F1653" t="str">
        <f>VLOOKUP(E1653,[1]LOJA!$A:$B,2,0)</f>
        <v>GUARÁ</v>
      </c>
      <c r="G1653" t="s">
        <v>19</v>
      </c>
      <c r="H1653" t="s">
        <v>19</v>
      </c>
      <c r="I1653" s="1">
        <v>46027</v>
      </c>
      <c r="J1653" s="1">
        <v>46025</v>
      </c>
      <c r="K1653" s="1">
        <v>46027</v>
      </c>
      <c r="L1653">
        <v>34</v>
      </c>
      <c r="M1653">
        <v>1.07</v>
      </c>
      <c r="N1653">
        <v>1.07</v>
      </c>
      <c r="O1653">
        <v>0</v>
      </c>
      <c r="P1653">
        <v>0</v>
      </c>
      <c r="Q1653" t="s">
        <v>108</v>
      </c>
    </row>
    <row r="1654" spans="1:17">
      <c r="A1654" t="s">
        <v>93</v>
      </c>
      <c r="B1654" t="s">
        <v>106</v>
      </c>
      <c r="C1654" t="s">
        <v>56</v>
      </c>
      <c r="D1654" t="s">
        <v>1437</v>
      </c>
      <c r="E1654">
        <v>22</v>
      </c>
      <c r="F1654" t="str">
        <f>VLOOKUP(E1654,[1]LOJA!$A:$B,2,0)</f>
        <v>GUARÁ</v>
      </c>
      <c r="G1654" t="s">
        <v>19</v>
      </c>
      <c r="H1654" t="s">
        <v>19</v>
      </c>
      <c r="I1654" s="1">
        <v>46027</v>
      </c>
      <c r="J1654" s="1">
        <v>46026</v>
      </c>
      <c r="K1654" s="1">
        <v>46027</v>
      </c>
      <c r="L1654">
        <v>34</v>
      </c>
      <c r="M1654">
        <v>0.23</v>
      </c>
      <c r="N1654">
        <v>0.23</v>
      </c>
      <c r="O1654">
        <v>0</v>
      </c>
      <c r="P1654">
        <v>0</v>
      </c>
      <c r="Q1654" t="s">
        <v>108</v>
      </c>
    </row>
    <row r="1655" spans="1:17">
      <c r="A1655" t="s">
        <v>93</v>
      </c>
      <c r="B1655" t="s">
        <v>106</v>
      </c>
      <c r="C1655" t="s">
        <v>56</v>
      </c>
      <c r="D1655" t="s">
        <v>1438</v>
      </c>
      <c r="E1655">
        <v>22</v>
      </c>
      <c r="F1655" t="str">
        <f>VLOOKUP(E1655,[1]LOJA!$A:$B,2,0)</f>
        <v>GUARÁ</v>
      </c>
      <c r="G1655" t="s">
        <v>19</v>
      </c>
      <c r="H1655" t="s">
        <v>19</v>
      </c>
      <c r="I1655" s="1">
        <v>46027</v>
      </c>
      <c r="J1655" s="1">
        <v>46026</v>
      </c>
      <c r="K1655" s="1">
        <v>46027</v>
      </c>
      <c r="L1655">
        <v>34</v>
      </c>
      <c r="M1655">
        <v>1.04</v>
      </c>
      <c r="N1655">
        <v>1.04</v>
      </c>
      <c r="O1655">
        <v>0</v>
      </c>
      <c r="P1655">
        <v>0</v>
      </c>
      <c r="Q1655" t="s">
        <v>108</v>
      </c>
    </row>
    <row r="1656" spans="1:17">
      <c r="A1656" t="s">
        <v>93</v>
      </c>
      <c r="B1656" t="s">
        <v>106</v>
      </c>
      <c r="C1656" t="s">
        <v>56</v>
      </c>
      <c r="D1656" t="s">
        <v>1439</v>
      </c>
      <c r="E1656">
        <v>22</v>
      </c>
      <c r="F1656" t="str">
        <f>VLOOKUP(E1656,[1]LOJA!$A:$B,2,0)</f>
        <v>GUARÁ</v>
      </c>
      <c r="G1656" t="s">
        <v>19</v>
      </c>
      <c r="H1656" t="s">
        <v>19</v>
      </c>
      <c r="I1656" s="1">
        <v>46027</v>
      </c>
      <c r="J1656" s="1">
        <v>46026</v>
      </c>
      <c r="K1656" s="1">
        <v>46027</v>
      </c>
      <c r="L1656">
        <v>34</v>
      </c>
      <c r="M1656">
        <v>0.75</v>
      </c>
      <c r="N1656">
        <v>0.75</v>
      </c>
      <c r="O1656">
        <v>0</v>
      </c>
      <c r="P1656">
        <v>0</v>
      </c>
      <c r="Q1656" t="s">
        <v>108</v>
      </c>
    </row>
    <row r="1657" spans="1:17">
      <c r="A1657" t="s">
        <v>93</v>
      </c>
      <c r="B1657" t="s">
        <v>106</v>
      </c>
      <c r="C1657" t="s">
        <v>56</v>
      </c>
      <c r="D1657" t="s">
        <v>1440</v>
      </c>
      <c r="E1657">
        <v>22</v>
      </c>
      <c r="F1657" t="str">
        <f>VLOOKUP(E1657,[1]LOJA!$A:$B,2,0)</f>
        <v>GUARÁ</v>
      </c>
      <c r="G1657" t="s">
        <v>19</v>
      </c>
      <c r="H1657" t="s">
        <v>19</v>
      </c>
      <c r="I1657" s="1">
        <v>46027</v>
      </c>
      <c r="J1657" s="1">
        <v>46026</v>
      </c>
      <c r="K1657" s="1">
        <v>46027</v>
      </c>
      <c r="L1657">
        <v>34</v>
      </c>
      <c r="M1657">
        <v>0.05</v>
      </c>
      <c r="N1657">
        <v>0.05</v>
      </c>
      <c r="O1657">
        <v>0</v>
      </c>
      <c r="P1657">
        <v>0</v>
      </c>
      <c r="Q1657" t="s">
        <v>108</v>
      </c>
    </row>
    <row r="1658" spans="1:17">
      <c r="A1658" t="s">
        <v>93</v>
      </c>
      <c r="B1658" t="s">
        <v>106</v>
      </c>
      <c r="C1658" t="s">
        <v>56</v>
      </c>
      <c r="D1658" t="s">
        <v>1441</v>
      </c>
      <c r="E1658">
        <v>22</v>
      </c>
      <c r="F1658" t="str">
        <f>VLOOKUP(E1658,[1]LOJA!$A:$B,2,0)</f>
        <v>GUARÁ</v>
      </c>
      <c r="G1658" t="s">
        <v>19</v>
      </c>
      <c r="H1658" t="s">
        <v>19</v>
      </c>
      <c r="I1658" s="1">
        <v>46027</v>
      </c>
      <c r="J1658" s="1">
        <v>46026</v>
      </c>
      <c r="K1658" s="1">
        <v>46027</v>
      </c>
      <c r="L1658">
        <v>34</v>
      </c>
      <c r="M1658">
        <v>0.59</v>
      </c>
      <c r="N1658">
        <v>0.59</v>
      </c>
      <c r="O1658">
        <v>0</v>
      </c>
      <c r="P1658">
        <v>0</v>
      </c>
      <c r="Q1658" t="s">
        <v>108</v>
      </c>
    </row>
    <row r="1659" spans="1:17">
      <c r="A1659" t="s">
        <v>93</v>
      </c>
      <c r="B1659" t="s">
        <v>106</v>
      </c>
      <c r="C1659" t="s">
        <v>56</v>
      </c>
      <c r="D1659" t="s">
        <v>1442</v>
      </c>
      <c r="E1659">
        <v>22</v>
      </c>
      <c r="F1659" t="str">
        <f>VLOOKUP(E1659,[1]LOJA!$A:$B,2,0)</f>
        <v>GUARÁ</v>
      </c>
      <c r="G1659" t="s">
        <v>19</v>
      </c>
      <c r="H1659" t="s">
        <v>19</v>
      </c>
      <c r="I1659" s="1">
        <v>46027</v>
      </c>
      <c r="J1659" s="1">
        <v>46026</v>
      </c>
      <c r="K1659" s="1">
        <v>46027</v>
      </c>
      <c r="L1659">
        <v>34</v>
      </c>
      <c r="M1659">
        <v>0.23</v>
      </c>
      <c r="N1659">
        <v>0.23</v>
      </c>
      <c r="O1659">
        <v>0</v>
      </c>
      <c r="P1659">
        <v>0</v>
      </c>
      <c r="Q1659" t="s">
        <v>108</v>
      </c>
    </row>
    <row r="1660" spans="1:17">
      <c r="A1660" t="s">
        <v>93</v>
      </c>
      <c r="B1660" t="s">
        <v>106</v>
      </c>
      <c r="C1660" t="s">
        <v>56</v>
      </c>
      <c r="D1660" t="s">
        <v>1443</v>
      </c>
      <c r="E1660">
        <v>22</v>
      </c>
      <c r="F1660" t="str">
        <f>VLOOKUP(E1660,[1]LOJA!$A:$B,2,0)</f>
        <v>GUARÁ</v>
      </c>
      <c r="G1660" t="s">
        <v>19</v>
      </c>
      <c r="H1660" t="s">
        <v>19</v>
      </c>
      <c r="I1660" s="1">
        <v>46027</v>
      </c>
      <c r="J1660" s="1">
        <v>46026</v>
      </c>
      <c r="K1660" s="1">
        <v>46027</v>
      </c>
      <c r="L1660">
        <v>34</v>
      </c>
      <c r="M1660">
        <v>0.35</v>
      </c>
      <c r="N1660">
        <v>0.35</v>
      </c>
      <c r="O1660">
        <v>0</v>
      </c>
      <c r="P1660">
        <v>0</v>
      </c>
      <c r="Q1660" t="s">
        <v>108</v>
      </c>
    </row>
    <row r="1661" spans="1:17">
      <c r="A1661" t="s">
        <v>93</v>
      </c>
      <c r="B1661" t="s">
        <v>106</v>
      </c>
      <c r="C1661" t="s">
        <v>56</v>
      </c>
      <c r="D1661" t="s">
        <v>1444</v>
      </c>
      <c r="E1661">
        <v>22</v>
      </c>
      <c r="F1661" t="str">
        <f>VLOOKUP(E1661,[1]LOJA!$A:$B,2,0)</f>
        <v>GUARÁ</v>
      </c>
      <c r="G1661" t="s">
        <v>19</v>
      </c>
      <c r="H1661" t="s">
        <v>19</v>
      </c>
      <c r="I1661" s="1">
        <v>46028</v>
      </c>
      <c r="J1661" s="1">
        <v>46028</v>
      </c>
      <c r="K1661" s="1">
        <v>46028</v>
      </c>
      <c r="L1661">
        <v>34</v>
      </c>
      <c r="M1661">
        <v>11.66</v>
      </c>
      <c r="N1661">
        <v>11.66</v>
      </c>
      <c r="O1661">
        <v>0</v>
      </c>
      <c r="P1661">
        <v>0</v>
      </c>
      <c r="Q1661" t="s">
        <v>108</v>
      </c>
    </row>
    <row r="1662" spans="1:17">
      <c r="A1662" t="s">
        <v>93</v>
      </c>
      <c r="B1662" t="s">
        <v>106</v>
      </c>
      <c r="C1662" t="s">
        <v>56</v>
      </c>
      <c r="D1662" t="s">
        <v>1445</v>
      </c>
      <c r="E1662">
        <v>22</v>
      </c>
      <c r="F1662" t="str">
        <f>VLOOKUP(E1662,[1]LOJA!$A:$B,2,0)</f>
        <v>GUARÁ</v>
      </c>
      <c r="G1662" t="s">
        <v>19</v>
      </c>
      <c r="H1662" t="s">
        <v>19</v>
      </c>
      <c r="I1662" s="1">
        <v>46028</v>
      </c>
      <c r="J1662" s="1">
        <v>46028</v>
      </c>
      <c r="K1662" s="1">
        <v>46028</v>
      </c>
      <c r="L1662">
        <v>34</v>
      </c>
      <c r="M1662">
        <v>3.35</v>
      </c>
      <c r="N1662">
        <v>3.35</v>
      </c>
      <c r="O1662">
        <v>0</v>
      </c>
      <c r="P1662">
        <v>0</v>
      </c>
      <c r="Q1662" t="s">
        <v>108</v>
      </c>
    </row>
    <row r="1663" spans="1:17">
      <c r="A1663" t="s">
        <v>93</v>
      </c>
      <c r="B1663" t="s">
        <v>106</v>
      </c>
      <c r="C1663" t="s">
        <v>56</v>
      </c>
      <c r="D1663" t="s">
        <v>1446</v>
      </c>
      <c r="E1663">
        <v>22</v>
      </c>
      <c r="F1663" t="str">
        <f>VLOOKUP(E1663,[1]LOJA!$A:$B,2,0)</f>
        <v>GUARÁ</v>
      </c>
      <c r="G1663" t="s">
        <v>19</v>
      </c>
      <c r="H1663" t="s">
        <v>19</v>
      </c>
      <c r="I1663" s="1">
        <v>46028</v>
      </c>
      <c r="J1663" s="1">
        <v>46028</v>
      </c>
      <c r="K1663" s="1">
        <v>46028</v>
      </c>
      <c r="L1663">
        <v>34</v>
      </c>
      <c r="M1663">
        <v>3.5</v>
      </c>
      <c r="N1663">
        <v>3.5</v>
      </c>
      <c r="O1663">
        <v>0</v>
      </c>
      <c r="P1663">
        <v>0</v>
      </c>
      <c r="Q1663" t="s">
        <v>108</v>
      </c>
    </row>
    <row r="1664" spans="1:17">
      <c r="A1664" t="s">
        <v>93</v>
      </c>
      <c r="B1664" t="s">
        <v>106</v>
      </c>
      <c r="C1664" t="s">
        <v>56</v>
      </c>
      <c r="D1664" t="s">
        <v>1447</v>
      </c>
      <c r="E1664">
        <v>22</v>
      </c>
      <c r="F1664" t="str">
        <f>VLOOKUP(E1664,[1]LOJA!$A:$B,2,0)</f>
        <v>GUARÁ</v>
      </c>
      <c r="G1664" t="s">
        <v>19</v>
      </c>
      <c r="H1664" t="s">
        <v>19</v>
      </c>
      <c r="I1664" s="1">
        <v>46028</v>
      </c>
      <c r="J1664" s="1">
        <v>46028</v>
      </c>
      <c r="K1664" s="1">
        <v>46028</v>
      </c>
      <c r="L1664">
        <v>34</v>
      </c>
      <c r="M1664">
        <v>2.14</v>
      </c>
      <c r="N1664">
        <v>2.14</v>
      </c>
      <c r="O1664">
        <v>0</v>
      </c>
      <c r="P1664">
        <v>0</v>
      </c>
      <c r="Q1664" t="s">
        <v>108</v>
      </c>
    </row>
    <row r="1665" spans="1:17">
      <c r="A1665" t="s">
        <v>93</v>
      </c>
      <c r="B1665" t="s">
        <v>106</v>
      </c>
      <c r="C1665" t="s">
        <v>56</v>
      </c>
      <c r="D1665" t="s">
        <v>1448</v>
      </c>
      <c r="E1665">
        <v>22</v>
      </c>
      <c r="F1665" t="str">
        <f>VLOOKUP(E1665,[1]LOJA!$A:$B,2,0)</f>
        <v>GUARÁ</v>
      </c>
      <c r="G1665" t="s">
        <v>19</v>
      </c>
      <c r="H1665" t="s">
        <v>19</v>
      </c>
      <c r="I1665" s="1">
        <v>46028</v>
      </c>
      <c r="J1665" s="1">
        <v>46028</v>
      </c>
      <c r="K1665" s="1">
        <v>46028</v>
      </c>
      <c r="L1665">
        <v>34</v>
      </c>
      <c r="M1665">
        <v>0.63</v>
      </c>
      <c r="N1665">
        <v>0.63</v>
      </c>
      <c r="O1665">
        <v>0</v>
      </c>
      <c r="P1665">
        <v>0</v>
      </c>
      <c r="Q1665" t="s">
        <v>108</v>
      </c>
    </row>
    <row r="1666" spans="1:17">
      <c r="A1666" t="s">
        <v>93</v>
      </c>
      <c r="B1666" t="s">
        <v>106</v>
      </c>
      <c r="C1666" t="s">
        <v>56</v>
      </c>
      <c r="D1666" t="s">
        <v>1449</v>
      </c>
      <c r="E1666">
        <v>22</v>
      </c>
      <c r="F1666" t="str">
        <f>VLOOKUP(E1666,[1]LOJA!$A:$B,2,0)</f>
        <v>GUARÁ</v>
      </c>
      <c r="G1666" t="s">
        <v>19</v>
      </c>
      <c r="H1666" t="s">
        <v>19</v>
      </c>
      <c r="I1666" s="1">
        <v>46028</v>
      </c>
      <c r="J1666" s="1">
        <v>46028</v>
      </c>
      <c r="K1666" s="1">
        <v>46028</v>
      </c>
      <c r="L1666">
        <v>34</v>
      </c>
      <c r="M1666">
        <v>1.02</v>
      </c>
      <c r="N1666">
        <v>1.02</v>
      </c>
      <c r="O1666">
        <v>0</v>
      </c>
      <c r="P1666">
        <v>0</v>
      </c>
      <c r="Q1666" t="s">
        <v>108</v>
      </c>
    </row>
    <row r="1667" spans="1:17">
      <c r="A1667" t="s">
        <v>93</v>
      </c>
      <c r="B1667" t="s">
        <v>106</v>
      </c>
      <c r="C1667" t="s">
        <v>56</v>
      </c>
      <c r="D1667" t="s">
        <v>1450</v>
      </c>
      <c r="E1667">
        <v>22</v>
      </c>
      <c r="F1667" t="str">
        <f>VLOOKUP(E1667,[1]LOJA!$A:$B,2,0)</f>
        <v>GUARÁ</v>
      </c>
      <c r="G1667" t="s">
        <v>19</v>
      </c>
      <c r="H1667" t="s">
        <v>19</v>
      </c>
      <c r="I1667" s="1">
        <v>46028</v>
      </c>
      <c r="J1667" s="1">
        <v>46028</v>
      </c>
      <c r="K1667" s="1">
        <v>46028</v>
      </c>
      <c r="L1667">
        <v>34</v>
      </c>
      <c r="M1667">
        <v>0.09</v>
      </c>
      <c r="N1667">
        <v>0.09</v>
      </c>
      <c r="O1667">
        <v>0</v>
      </c>
      <c r="P1667">
        <v>0</v>
      </c>
      <c r="Q1667" t="s">
        <v>108</v>
      </c>
    </row>
    <row r="1668" spans="1:17">
      <c r="A1668" t="s">
        <v>93</v>
      </c>
      <c r="B1668" t="s">
        <v>106</v>
      </c>
      <c r="C1668" t="s">
        <v>56</v>
      </c>
      <c r="D1668" t="s">
        <v>1451</v>
      </c>
      <c r="E1668">
        <v>22</v>
      </c>
      <c r="F1668" t="str">
        <f>VLOOKUP(E1668,[1]LOJA!$A:$B,2,0)</f>
        <v>GUARÁ</v>
      </c>
      <c r="G1668" t="s">
        <v>19</v>
      </c>
      <c r="H1668" t="s">
        <v>19</v>
      </c>
      <c r="I1668" s="1">
        <v>46028</v>
      </c>
      <c r="J1668" s="1">
        <v>46028</v>
      </c>
      <c r="K1668" s="1">
        <v>46028</v>
      </c>
      <c r="L1668">
        <v>34</v>
      </c>
      <c r="M1668">
        <v>0.28999999999999998</v>
      </c>
      <c r="N1668">
        <v>0.28999999999999998</v>
      </c>
      <c r="O1668">
        <v>0</v>
      </c>
      <c r="P1668">
        <v>0</v>
      </c>
      <c r="Q1668" t="s">
        <v>108</v>
      </c>
    </row>
    <row r="1669" spans="1:17">
      <c r="A1669" t="s">
        <v>93</v>
      </c>
      <c r="B1669" t="s">
        <v>106</v>
      </c>
      <c r="C1669" t="s">
        <v>56</v>
      </c>
      <c r="D1669" t="s">
        <v>1452</v>
      </c>
      <c r="E1669">
        <v>22</v>
      </c>
      <c r="F1669" t="str">
        <f>VLOOKUP(E1669,[1]LOJA!$A:$B,2,0)</f>
        <v>GUARÁ</v>
      </c>
      <c r="G1669" t="s">
        <v>19</v>
      </c>
      <c r="H1669" t="s">
        <v>19</v>
      </c>
      <c r="I1669" s="1">
        <v>46028</v>
      </c>
      <c r="J1669" s="1">
        <v>46028</v>
      </c>
      <c r="K1669" s="1">
        <v>46028</v>
      </c>
      <c r="L1669">
        <v>34</v>
      </c>
      <c r="M1669">
        <v>0.24</v>
      </c>
      <c r="N1669">
        <v>0.24</v>
      </c>
      <c r="O1669">
        <v>0</v>
      </c>
      <c r="P1669">
        <v>0</v>
      </c>
      <c r="Q1669" t="s">
        <v>108</v>
      </c>
    </row>
    <row r="1670" spans="1:17">
      <c r="A1670" t="s">
        <v>93</v>
      </c>
      <c r="B1670" t="s">
        <v>106</v>
      </c>
      <c r="C1670" t="s">
        <v>56</v>
      </c>
      <c r="D1670" t="s">
        <v>1453</v>
      </c>
      <c r="E1670">
        <v>22</v>
      </c>
      <c r="F1670" t="str">
        <f>VLOOKUP(E1670,[1]LOJA!$A:$B,2,0)</f>
        <v>GUARÁ</v>
      </c>
      <c r="G1670" t="s">
        <v>19</v>
      </c>
      <c r="H1670" t="s">
        <v>19</v>
      </c>
      <c r="I1670" s="1">
        <v>46028</v>
      </c>
      <c r="J1670" s="1">
        <v>46028</v>
      </c>
      <c r="K1670" s="1">
        <v>46028</v>
      </c>
      <c r="L1670">
        <v>34</v>
      </c>
      <c r="M1670">
        <v>0.84</v>
      </c>
      <c r="N1670">
        <v>0.84</v>
      </c>
      <c r="O1670">
        <v>0</v>
      </c>
      <c r="P1670">
        <v>0</v>
      </c>
      <c r="Q1670" t="s">
        <v>108</v>
      </c>
    </row>
    <row r="1671" spans="1:17">
      <c r="A1671" t="s">
        <v>93</v>
      </c>
      <c r="B1671" t="s">
        <v>106</v>
      </c>
      <c r="C1671" t="s">
        <v>56</v>
      </c>
      <c r="D1671" t="s">
        <v>1454</v>
      </c>
      <c r="E1671">
        <v>22</v>
      </c>
      <c r="F1671" t="str">
        <f>VLOOKUP(E1671,[1]LOJA!$A:$B,2,0)</f>
        <v>GUARÁ</v>
      </c>
      <c r="G1671" t="s">
        <v>19</v>
      </c>
      <c r="H1671" t="s">
        <v>19</v>
      </c>
      <c r="I1671" s="1">
        <v>46028</v>
      </c>
      <c r="J1671" s="1">
        <v>46028</v>
      </c>
      <c r="K1671" s="1">
        <v>46028</v>
      </c>
      <c r="L1671">
        <v>34</v>
      </c>
      <c r="M1671">
        <v>0.85</v>
      </c>
      <c r="N1671">
        <v>0.85</v>
      </c>
      <c r="O1671">
        <v>0</v>
      </c>
      <c r="P1671">
        <v>0</v>
      </c>
      <c r="Q1671" t="s">
        <v>108</v>
      </c>
    </row>
    <row r="1672" spans="1:17">
      <c r="A1672" t="s">
        <v>93</v>
      </c>
      <c r="B1672" t="s">
        <v>106</v>
      </c>
      <c r="C1672" t="s">
        <v>56</v>
      </c>
      <c r="D1672" t="s">
        <v>1455</v>
      </c>
      <c r="E1672">
        <v>22</v>
      </c>
      <c r="F1672" t="str">
        <f>VLOOKUP(E1672,[1]LOJA!$A:$B,2,0)</f>
        <v>GUARÁ</v>
      </c>
      <c r="G1672" t="s">
        <v>19</v>
      </c>
      <c r="H1672" t="s">
        <v>19</v>
      </c>
      <c r="I1672" s="1">
        <v>46028</v>
      </c>
      <c r="J1672" s="1">
        <v>46028</v>
      </c>
      <c r="K1672" s="1">
        <v>46028</v>
      </c>
      <c r="L1672">
        <v>34</v>
      </c>
      <c r="M1672">
        <v>0.15</v>
      </c>
      <c r="N1672">
        <v>0.15</v>
      </c>
      <c r="O1672">
        <v>0</v>
      </c>
      <c r="P1672">
        <v>0</v>
      </c>
      <c r="Q1672" t="s">
        <v>108</v>
      </c>
    </row>
    <row r="1673" spans="1:17">
      <c r="A1673" t="s">
        <v>93</v>
      </c>
      <c r="B1673" t="s">
        <v>106</v>
      </c>
      <c r="C1673" t="s">
        <v>56</v>
      </c>
      <c r="D1673" t="s">
        <v>1456</v>
      </c>
      <c r="E1673">
        <v>22</v>
      </c>
      <c r="F1673" t="str">
        <f>VLOOKUP(E1673,[1]LOJA!$A:$B,2,0)</f>
        <v>GUARÁ</v>
      </c>
      <c r="G1673" t="s">
        <v>19</v>
      </c>
      <c r="H1673" t="s">
        <v>19</v>
      </c>
      <c r="I1673" s="1">
        <v>46028</v>
      </c>
      <c r="J1673" s="1">
        <v>46028</v>
      </c>
      <c r="K1673" s="1">
        <v>46028</v>
      </c>
      <c r="L1673">
        <v>34</v>
      </c>
      <c r="M1673">
        <v>0.05</v>
      </c>
      <c r="N1673">
        <v>0.05</v>
      </c>
      <c r="O1673">
        <v>0</v>
      </c>
      <c r="P1673">
        <v>0</v>
      </c>
      <c r="Q1673" t="s">
        <v>108</v>
      </c>
    </row>
    <row r="1674" spans="1:17">
      <c r="A1674" t="s">
        <v>93</v>
      </c>
      <c r="B1674" t="s">
        <v>106</v>
      </c>
      <c r="C1674" t="s">
        <v>56</v>
      </c>
      <c r="D1674" t="s">
        <v>1457</v>
      </c>
      <c r="E1674">
        <v>22</v>
      </c>
      <c r="F1674" t="str">
        <f>VLOOKUP(E1674,[1]LOJA!$A:$B,2,0)</f>
        <v>GUARÁ</v>
      </c>
      <c r="G1674" t="s">
        <v>19</v>
      </c>
      <c r="H1674" t="s">
        <v>19</v>
      </c>
      <c r="I1674" s="1">
        <v>46028</v>
      </c>
      <c r="J1674" s="1">
        <v>46028</v>
      </c>
      <c r="K1674" s="1">
        <v>46028</v>
      </c>
      <c r="L1674">
        <v>34</v>
      </c>
      <c r="M1674">
        <v>0.42</v>
      </c>
      <c r="N1674">
        <v>0.42</v>
      </c>
      <c r="O1674">
        <v>0</v>
      </c>
      <c r="P1674">
        <v>0</v>
      </c>
      <c r="Q1674" t="s">
        <v>108</v>
      </c>
    </row>
    <row r="1675" spans="1:17">
      <c r="A1675" t="s">
        <v>93</v>
      </c>
      <c r="B1675" t="s">
        <v>106</v>
      </c>
      <c r="C1675" t="s">
        <v>56</v>
      </c>
      <c r="D1675" t="s">
        <v>1458</v>
      </c>
      <c r="E1675">
        <v>22</v>
      </c>
      <c r="F1675" t="str">
        <f>VLOOKUP(E1675,[1]LOJA!$A:$B,2,0)</f>
        <v>GUARÁ</v>
      </c>
      <c r="G1675" t="s">
        <v>19</v>
      </c>
      <c r="H1675" t="s">
        <v>19</v>
      </c>
      <c r="I1675" s="1">
        <v>46029</v>
      </c>
      <c r="J1675" s="1">
        <v>46029</v>
      </c>
      <c r="K1675" s="1">
        <v>46029</v>
      </c>
      <c r="L1675">
        <v>34</v>
      </c>
      <c r="M1675">
        <v>2.29</v>
      </c>
      <c r="N1675">
        <v>2.29</v>
      </c>
      <c r="O1675">
        <v>0</v>
      </c>
      <c r="P1675">
        <v>0</v>
      </c>
      <c r="Q1675" t="s">
        <v>108</v>
      </c>
    </row>
    <row r="1676" spans="1:17">
      <c r="A1676" t="s">
        <v>93</v>
      </c>
      <c r="B1676" t="s">
        <v>106</v>
      </c>
      <c r="C1676" t="s">
        <v>56</v>
      </c>
      <c r="D1676" t="s">
        <v>1459</v>
      </c>
      <c r="E1676">
        <v>22</v>
      </c>
      <c r="F1676" t="str">
        <f>VLOOKUP(E1676,[1]LOJA!$A:$B,2,0)</f>
        <v>GUARÁ</v>
      </c>
      <c r="G1676" t="s">
        <v>19</v>
      </c>
      <c r="H1676" t="s">
        <v>19</v>
      </c>
      <c r="I1676" s="1">
        <v>46029</v>
      </c>
      <c r="J1676" s="1">
        <v>46029</v>
      </c>
      <c r="K1676" s="1">
        <v>46029</v>
      </c>
      <c r="L1676">
        <v>34</v>
      </c>
      <c r="M1676">
        <v>0.82</v>
      </c>
      <c r="N1676">
        <v>0.82</v>
      </c>
      <c r="O1676">
        <v>0</v>
      </c>
      <c r="P1676">
        <v>0</v>
      </c>
      <c r="Q1676" t="s">
        <v>108</v>
      </c>
    </row>
    <row r="1677" spans="1:17">
      <c r="A1677" t="s">
        <v>93</v>
      </c>
      <c r="B1677" t="s">
        <v>106</v>
      </c>
      <c r="C1677" t="s">
        <v>56</v>
      </c>
      <c r="D1677" t="s">
        <v>1460</v>
      </c>
      <c r="E1677">
        <v>22</v>
      </c>
      <c r="F1677" t="str">
        <f>VLOOKUP(E1677,[1]LOJA!$A:$B,2,0)</f>
        <v>GUARÁ</v>
      </c>
      <c r="G1677" t="s">
        <v>19</v>
      </c>
      <c r="H1677" t="s">
        <v>19</v>
      </c>
      <c r="I1677" s="1">
        <v>46029</v>
      </c>
      <c r="J1677" s="1">
        <v>46029</v>
      </c>
      <c r="K1677" s="1">
        <v>46029</v>
      </c>
      <c r="L1677">
        <v>34</v>
      </c>
      <c r="M1677">
        <v>0.21</v>
      </c>
      <c r="N1677">
        <v>0.21</v>
      </c>
      <c r="O1677">
        <v>0</v>
      </c>
      <c r="P1677">
        <v>0</v>
      </c>
      <c r="Q1677" t="s">
        <v>108</v>
      </c>
    </row>
    <row r="1678" spans="1:17">
      <c r="A1678" t="s">
        <v>93</v>
      </c>
      <c r="B1678" t="s">
        <v>106</v>
      </c>
      <c r="C1678" t="s">
        <v>56</v>
      </c>
      <c r="D1678" t="s">
        <v>1461</v>
      </c>
      <c r="E1678">
        <v>22</v>
      </c>
      <c r="F1678" t="str">
        <f>VLOOKUP(E1678,[1]LOJA!$A:$B,2,0)</f>
        <v>GUARÁ</v>
      </c>
      <c r="G1678" t="s">
        <v>19</v>
      </c>
      <c r="H1678" t="s">
        <v>19</v>
      </c>
      <c r="I1678" s="1">
        <v>46029</v>
      </c>
      <c r="J1678" s="1">
        <v>46029</v>
      </c>
      <c r="K1678" s="1">
        <v>46029</v>
      </c>
      <c r="L1678">
        <v>34</v>
      </c>
      <c r="M1678">
        <v>0.23</v>
      </c>
      <c r="N1678">
        <v>0.23</v>
      </c>
      <c r="O1678">
        <v>0</v>
      </c>
      <c r="P1678">
        <v>0</v>
      </c>
      <c r="Q1678" t="s">
        <v>108</v>
      </c>
    </row>
    <row r="1679" spans="1:17">
      <c r="A1679" t="s">
        <v>93</v>
      </c>
      <c r="B1679" t="s">
        <v>106</v>
      </c>
      <c r="C1679" t="s">
        <v>56</v>
      </c>
      <c r="D1679" t="s">
        <v>1462</v>
      </c>
      <c r="E1679">
        <v>22</v>
      </c>
      <c r="F1679" t="str">
        <f>VLOOKUP(E1679,[1]LOJA!$A:$B,2,0)</f>
        <v>GUARÁ</v>
      </c>
      <c r="G1679" t="s">
        <v>19</v>
      </c>
      <c r="H1679" t="s">
        <v>19</v>
      </c>
      <c r="I1679" s="1">
        <v>46029</v>
      </c>
      <c r="J1679" s="1">
        <v>46029</v>
      </c>
      <c r="K1679" s="1">
        <v>46029</v>
      </c>
      <c r="L1679">
        <v>34</v>
      </c>
      <c r="M1679">
        <v>0.16</v>
      </c>
      <c r="N1679">
        <v>0.16</v>
      </c>
      <c r="O1679">
        <v>0</v>
      </c>
      <c r="P1679">
        <v>0</v>
      </c>
      <c r="Q1679" t="s">
        <v>108</v>
      </c>
    </row>
    <row r="1680" spans="1:17">
      <c r="A1680" t="s">
        <v>93</v>
      </c>
      <c r="B1680" t="s">
        <v>106</v>
      </c>
      <c r="C1680" t="s">
        <v>56</v>
      </c>
      <c r="D1680" t="s">
        <v>1463</v>
      </c>
      <c r="E1680">
        <v>22</v>
      </c>
      <c r="F1680" t="str">
        <f>VLOOKUP(E1680,[1]LOJA!$A:$B,2,0)</f>
        <v>GUARÁ</v>
      </c>
      <c r="G1680" t="s">
        <v>19</v>
      </c>
      <c r="H1680" t="s">
        <v>19</v>
      </c>
      <c r="I1680" s="1">
        <v>46029</v>
      </c>
      <c r="J1680" s="1">
        <v>46029</v>
      </c>
      <c r="K1680" s="1">
        <v>46029</v>
      </c>
      <c r="L1680">
        <v>34</v>
      </c>
      <c r="M1680">
        <v>0.23</v>
      </c>
      <c r="N1680">
        <v>0.23</v>
      </c>
      <c r="O1680">
        <v>0</v>
      </c>
      <c r="P1680">
        <v>0</v>
      </c>
      <c r="Q1680" t="s">
        <v>108</v>
      </c>
    </row>
    <row r="1681" spans="1:17">
      <c r="A1681" t="s">
        <v>93</v>
      </c>
      <c r="B1681" t="s">
        <v>106</v>
      </c>
      <c r="C1681" t="s">
        <v>56</v>
      </c>
      <c r="D1681" t="s">
        <v>1464</v>
      </c>
      <c r="E1681">
        <v>22</v>
      </c>
      <c r="F1681" t="str">
        <f>VLOOKUP(E1681,[1]LOJA!$A:$B,2,0)</f>
        <v>GUARÁ</v>
      </c>
      <c r="G1681" t="s">
        <v>19</v>
      </c>
      <c r="H1681" t="s">
        <v>19</v>
      </c>
      <c r="I1681" s="1">
        <v>46029</v>
      </c>
      <c r="J1681" s="1">
        <v>46029</v>
      </c>
      <c r="K1681" s="1">
        <v>46029</v>
      </c>
      <c r="L1681">
        <v>34</v>
      </c>
      <c r="M1681">
        <v>0.04</v>
      </c>
      <c r="N1681">
        <v>0.04</v>
      </c>
      <c r="O1681">
        <v>0</v>
      </c>
      <c r="P1681">
        <v>0</v>
      </c>
      <c r="Q1681" t="s">
        <v>108</v>
      </c>
    </row>
    <row r="1682" spans="1:17">
      <c r="A1682" t="s">
        <v>93</v>
      </c>
      <c r="B1682" t="s">
        <v>106</v>
      </c>
      <c r="C1682" t="s">
        <v>56</v>
      </c>
      <c r="D1682" t="s">
        <v>1465</v>
      </c>
      <c r="E1682">
        <v>22</v>
      </c>
      <c r="F1682" t="str">
        <f>VLOOKUP(E1682,[1]LOJA!$A:$B,2,0)</f>
        <v>GUARÁ</v>
      </c>
      <c r="G1682" t="s">
        <v>19</v>
      </c>
      <c r="H1682" t="s">
        <v>19</v>
      </c>
      <c r="I1682" s="1">
        <v>46029</v>
      </c>
      <c r="J1682" s="1">
        <v>46029</v>
      </c>
      <c r="K1682" s="1">
        <v>46029</v>
      </c>
      <c r="L1682">
        <v>34</v>
      </c>
      <c r="M1682">
        <v>0.23</v>
      </c>
      <c r="N1682">
        <v>0.23</v>
      </c>
      <c r="O1682">
        <v>0</v>
      </c>
      <c r="P1682">
        <v>0</v>
      </c>
      <c r="Q1682" t="s">
        <v>108</v>
      </c>
    </row>
    <row r="1683" spans="1:17">
      <c r="A1683" t="s">
        <v>93</v>
      </c>
      <c r="B1683" t="s">
        <v>106</v>
      </c>
      <c r="C1683" t="s">
        <v>56</v>
      </c>
      <c r="D1683" t="s">
        <v>1466</v>
      </c>
      <c r="E1683">
        <v>22</v>
      </c>
      <c r="F1683" t="str">
        <f>VLOOKUP(E1683,[1]LOJA!$A:$B,2,0)</f>
        <v>GUARÁ</v>
      </c>
      <c r="G1683" t="s">
        <v>19</v>
      </c>
      <c r="H1683" t="s">
        <v>19</v>
      </c>
      <c r="I1683" s="1">
        <v>46029</v>
      </c>
      <c r="J1683" s="1">
        <v>46029</v>
      </c>
      <c r="K1683" s="1">
        <v>46029</v>
      </c>
      <c r="L1683">
        <v>34</v>
      </c>
      <c r="M1683">
        <v>1.24</v>
      </c>
      <c r="N1683">
        <v>1.24</v>
      </c>
      <c r="O1683">
        <v>0</v>
      </c>
      <c r="P1683">
        <v>0</v>
      </c>
      <c r="Q1683" t="s">
        <v>108</v>
      </c>
    </row>
    <row r="1684" spans="1:17">
      <c r="A1684" t="s">
        <v>93</v>
      </c>
      <c r="B1684" t="s">
        <v>106</v>
      </c>
      <c r="C1684" t="s">
        <v>56</v>
      </c>
      <c r="D1684" t="s">
        <v>1467</v>
      </c>
      <c r="E1684">
        <v>22</v>
      </c>
      <c r="F1684" t="str">
        <f>VLOOKUP(E1684,[1]LOJA!$A:$B,2,0)</f>
        <v>GUARÁ</v>
      </c>
      <c r="G1684" t="s">
        <v>19</v>
      </c>
      <c r="H1684" t="s">
        <v>19</v>
      </c>
      <c r="I1684" s="1">
        <v>46029</v>
      </c>
      <c r="J1684" s="1">
        <v>46029</v>
      </c>
      <c r="K1684" s="1">
        <v>46029</v>
      </c>
      <c r="L1684">
        <v>34</v>
      </c>
      <c r="M1684">
        <v>0.62</v>
      </c>
      <c r="N1684">
        <v>0.62</v>
      </c>
      <c r="O1684">
        <v>0</v>
      </c>
      <c r="P1684">
        <v>0</v>
      </c>
      <c r="Q1684" t="s">
        <v>108</v>
      </c>
    </row>
    <row r="1685" spans="1:17">
      <c r="A1685" t="s">
        <v>93</v>
      </c>
      <c r="B1685" t="s">
        <v>106</v>
      </c>
      <c r="C1685" t="s">
        <v>56</v>
      </c>
      <c r="D1685" t="s">
        <v>1468</v>
      </c>
      <c r="E1685">
        <v>22</v>
      </c>
      <c r="F1685" t="str">
        <f>VLOOKUP(E1685,[1]LOJA!$A:$B,2,0)</f>
        <v>GUARÁ</v>
      </c>
      <c r="G1685" t="s">
        <v>19</v>
      </c>
      <c r="H1685" t="s">
        <v>19</v>
      </c>
      <c r="I1685" s="1">
        <v>46029</v>
      </c>
      <c r="J1685" s="1">
        <v>46029</v>
      </c>
      <c r="K1685" s="1">
        <v>46029</v>
      </c>
      <c r="L1685">
        <v>34</v>
      </c>
      <c r="M1685">
        <v>0.05</v>
      </c>
      <c r="N1685">
        <v>0.05</v>
      </c>
      <c r="O1685">
        <v>0</v>
      </c>
      <c r="P1685">
        <v>0</v>
      </c>
      <c r="Q1685" t="s">
        <v>108</v>
      </c>
    </row>
    <row r="1686" spans="1:17">
      <c r="A1686" t="s">
        <v>93</v>
      </c>
      <c r="B1686" t="s">
        <v>106</v>
      </c>
      <c r="C1686" t="s">
        <v>56</v>
      </c>
      <c r="D1686" t="s">
        <v>1469</v>
      </c>
      <c r="E1686">
        <v>22</v>
      </c>
      <c r="F1686" t="str">
        <f>VLOOKUP(E1686,[1]LOJA!$A:$B,2,0)</f>
        <v>GUARÁ</v>
      </c>
      <c r="G1686" t="s">
        <v>19</v>
      </c>
      <c r="H1686" t="s">
        <v>19</v>
      </c>
      <c r="I1686" s="1">
        <v>46029</v>
      </c>
      <c r="J1686" s="1">
        <v>46029</v>
      </c>
      <c r="K1686" s="1">
        <v>46029</v>
      </c>
      <c r="L1686">
        <v>34</v>
      </c>
      <c r="M1686">
        <v>1.54</v>
      </c>
      <c r="N1686">
        <v>1.54</v>
      </c>
      <c r="O1686">
        <v>0</v>
      </c>
      <c r="P1686">
        <v>0</v>
      </c>
      <c r="Q1686" t="s">
        <v>108</v>
      </c>
    </row>
    <row r="1687" spans="1:17">
      <c r="A1687" t="s">
        <v>93</v>
      </c>
      <c r="B1687" t="s">
        <v>106</v>
      </c>
      <c r="C1687" t="s">
        <v>56</v>
      </c>
      <c r="D1687" t="s">
        <v>1470</v>
      </c>
      <c r="E1687">
        <v>22</v>
      </c>
      <c r="F1687" t="str">
        <f>VLOOKUP(E1687,[1]LOJA!$A:$B,2,0)</f>
        <v>GUARÁ</v>
      </c>
      <c r="G1687" t="s">
        <v>19</v>
      </c>
      <c r="H1687" t="s">
        <v>19</v>
      </c>
      <c r="I1687" s="1">
        <v>46029</v>
      </c>
      <c r="J1687" s="1">
        <v>46029</v>
      </c>
      <c r="K1687" s="1">
        <v>46029</v>
      </c>
      <c r="L1687">
        <v>34</v>
      </c>
      <c r="M1687">
        <v>0.11</v>
      </c>
      <c r="N1687">
        <v>0.11</v>
      </c>
      <c r="O1687">
        <v>0</v>
      </c>
      <c r="P1687">
        <v>0</v>
      </c>
      <c r="Q1687" t="s">
        <v>108</v>
      </c>
    </row>
    <row r="1688" spans="1:17">
      <c r="A1688" t="s">
        <v>93</v>
      </c>
      <c r="B1688" t="s">
        <v>106</v>
      </c>
      <c r="C1688" t="s">
        <v>56</v>
      </c>
      <c r="D1688" t="s">
        <v>1471</v>
      </c>
      <c r="E1688">
        <v>22</v>
      </c>
      <c r="F1688" t="str">
        <f>VLOOKUP(E1688,[1]LOJA!$A:$B,2,0)</f>
        <v>GUARÁ</v>
      </c>
      <c r="G1688" t="s">
        <v>19</v>
      </c>
      <c r="H1688" t="s">
        <v>19</v>
      </c>
      <c r="I1688" s="1">
        <v>46030</v>
      </c>
      <c r="J1688" s="1">
        <v>46030</v>
      </c>
      <c r="K1688" s="1">
        <v>46030</v>
      </c>
      <c r="L1688">
        <v>34</v>
      </c>
      <c r="M1688">
        <v>5.53</v>
      </c>
      <c r="N1688">
        <v>5.53</v>
      </c>
      <c r="O1688">
        <v>0</v>
      </c>
      <c r="P1688">
        <v>0</v>
      </c>
      <c r="Q1688" t="s">
        <v>108</v>
      </c>
    </row>
    <row r="1689" spans="1:17">
      <c r="A1689" t="s">
        <v>93</v>
      </c>
      <c r="B1689" t="s">
        <v>106</v>
      </c>
      <c r="C1689" t="s">
        <v>56</v>
      </c>
      <c r="D1689" t="s">
        <v>1472</v>
      </c>
      <c r="E1689">
        <v>22</v>
      </c>
      <c r="F1689" t="str">
        <f>VLOOKUP(E1689,[1]LOJA!$A:$B,2,0)</f>
        <v>GUARÁ</v>
      </c>
      <c r="G1689" t="s">
        <v>19</v>
      </c>
      <c r="H1689" t="s">
        <v>19</v>
      </c>
      <c r="I1689" s="1">
        <v>46030</v>
      </c>
      <c r="J1689" s="1">
        <v>46030</v>
      </c>
      <c r="K1689" s="1">
        <v>46030</v>
      </c>
      <c r="L1689">
        <v>34</v>
      </c>
      <c r="M1689">
        <v>9.31</v>
      </c>
      <c r="N1689">
        <v>9.31</v>
      </c>
      <c r="O1689">
        <v>0</v>
      </c>
      <c r="P1689">
        <v>0</v>
      </c>
      <c r="Q1689" t="s">
        <v>108</v>
      </c>
    </row>
    <row r="1690" spans="1:17">
      <c r="A1690" t="s">
        <v>93</v>
      </c>
      <c r="B1690" t="s">
        <v>106</v>
      </c>
      <c r="C1690" t="s">
        <v>56</v>
      </c>
      <c r="D1690" t="s">
        <v>1473</v>
      </c>
      <c r="E1690">
        <v>22</v>
      </c>
      <c r="F1690" t="str">
        <f>VLOOKUP(E1690,[1]LOJA!$A:$B,2,0)</f>
        <v>GUARÁ</v>
      </c>
      <c r="G1690" t="s">
        <v>19</v>
      </c>
      <c r="H1690" t="s">
        <v>19</v>
      </c>
      <c r="I1690" s="1">
        <v>46030</v>
      </c>
      <c r="J1690" s="1">
        <v>46030</v>
      </c>
      <c r="K1690" s="1">
        <v>46030</v>
      </c>
      <c r="L1690">
        <v>34</v>
      </c>
      <c r="M1690">
        <v>1.56</v>
      </c>
      <c r="N1690">
        <v>1.56</v>
      </c>
      <c r="O1690">
        <v>0</v>
      </c>
      <c r="P1690">
        <v>0</v>
      </c>
      <c r="Q1690" t="s">
        <v>108</v>
      </c>
    </row>
    <row r="1691" spans="1:17">
      <c r="A1691" t="s">
        <v>93</v>
      </c>
      <c r="B1691" t="s">
        <v>106</v>
      </c>
      <c r="C1691" t="s">
        <v>56</v>
      </c>
      <c r="D1691" t="s">
        <v>1474</v>
      </c>
      <c r="E1691">
        <v>22</v>
      </c>
      <c r="F1691" t="str">
        <f>VLOOKUP(E1691,[1]LOJA!$A:$B,2,0)</f>
        <v>GUARÁ</v>
      </c>
      <c r="G1691" t="s">
        <v>19</v>
      </c>
      <c r="H1691" t="s">
        <v>19</v>
      </c>
      <c r="I1691" s="1">
        <v>46030</v>
      </c>
      <c r="J1691" s="1">
        <v>46030</v>
      </c>
      <c r="K1691" s="1">
        <v>46030</v>
      </c>
      <c r="L1691">
        <v>34</v>
      </c>
      <c r="M1691">
        <v>1.44</v>
      </c>
      <c r="N1691">
        <v>1.44</v>
      </c>
      <c r="O1691">
        <v>0</v>
      </c>
      <c r="P1691">
        <v>0</v>
      </c>
      <c r="Q1691" t="s">
        <v>108</v>
      </c>
    </row>
    <row r="1692" spans="1:17">
      <c r="A1692" t="s">
        <v>93</v>
      </c>
      <c r="B1692" t="s">
        <v>106</v>
      </c>
      <c r="C1692" t="s">
        <v>56</v>
      </c>
      <c r="D1692" t="s">
        <v>1475</v>
      </c>
      <c r="E1692">
        <v>22</v>
      </c>
      <c r="F1692" t="str">
        <f>VLOOKUP(E1692,[1]LOJA!$A:$B,2,0)</f>
        <v>GUARÁ</v>
      </c>
      <c r="G1692" t="s">
        <v>19</v>
      </c>
      <c r="H1692" t="s">
        <v>19</v>
      </c>
      <c r="I1692" s="1">
        <v>46030</v>
      </c>
      <c r="J1692" s="1">
        <v>46030</v>
      </c>
      <c r="K1692" s="1">
        <v>46030</v>
      </c>
      <c r="L1692">
        <v>34</v>
      </c>
      <c r="M1692">
        <v>3.24</v>
      </c>
      <c r="N1692">
        <v>3.24</v>
      </c>
      <c r="O1692">
        <v>0</v>
      </c>
      <c r="P1692">
        <v>0</v>
      </c>
      <c r="Q1692" t="s">
        <v>108</v>
      </c>
    </row>
    <row r="1693" spans="1:17">
      <c r="A1693" t="s">
        <v>93</v>
      </c>
      <c r="B1693" t="s">
        <v>106</v>
      </c>
      <c r="C1693" t="s">
        <v>56</v>
      </c>
      <c r="D1693" t="s">
        <v>1476</v>
      </c>
      <c r="E1693">
        <v>22</v>
      </c>
      <c r="F1693" t="str">
        <f>VLOOKUP(E1693,[1]LOJA!$A:$B,2,0)</f>
        <v>GUARÁ</v>
      </c>
      <c r="G1693" t="s">
        <v>19</v>
      </c>
      <c r="H1693" t="s">
        <v>19</v>
      </c>
      <c r="I1693" s="1">
        <v>46030</v>
      </c>
      <c r="J1693" s="1">
        <v>46030</v>
      </c>
      <c r="K1693" s="1">
        <v>46030</v>
      </c>
      <c r="L1693">
        <v>34</v>
      </c>
      <c r="M1693">
        <v>1.18</v>
      </c>
      <c r="N1693">
        <v>1.18</v>
      </c>
      <c r="O1693">
        <v>0</v>
      </c>
      <c r="P1693">
        <v>0</v>
      </c>
      <c r="Q1693" t="s">
        <v>108</v>
      </c>
    </row>
    <row r="1694" spans="1:17">
      <c r="A1694" t="s">
        <v>93</v>
      </c>
      <c r="B1694" t="s">
        <v>106</v>
      </c>
      <c r="C1694" t="s">
        <v>56</v>
      </c>
      <c r="D1694" t="s">
        <v>1477</v>
      </c>
      <c r="E1694">
        <v>22</v>
      </c>
      <c r="F1694" t="str">
        <f>VLOOKUP(E1694,[1]LOJA!$A:$B,2,0)</f>
        <v>GUARÁ</v>
      </c>
      <c r="G1694" t="s">
        <v>19</v>
      </c>
      <c r="H1694" t="s">
        <v>19</v>
      </c>
      <c r="I1694" s="1">
        <v>46030</v>
      </c>
      <c r="J1694" s="1">
        <v>46030</v>
      </c>
      <c r="K1694" s="1">
        <v>46030</v>
      </c>
      <c r="L1694">
        <v>34</v>
      </c>
      <c r="M1694">
        <v>3.36</v>
      </c>
      <c r="N1694">
        <v>3.36</v>
      </c>
      <c r="O1694">
        <v>0</v>
      </c>
      <c r="P1694">
        <v>0</v>
      </c>
      <c r="Q1694" t="s">
        <v>108</v>
      </c>
    </row>
    <row r="1695" spans="1:17">
      <c r="A1695" t="s">
        <v>93</v>
      </c>
      <c r="B1695" t="s">
        <v>106</v>
      </c>
      <c r="C1695" t="s">
        <v>56</v>
      </c>
      <c r="D1695" t="s">
        <v>1478</v>
      </c>
      <c r="E1695">
        <v>22</v>
      </c>
      <c r="F1695" t="str">
        <f>VLOOKUP(E1695,[1]LOJA!$A:$B,2,0)</f>
        <v>GUARÁ</v>
      </c>
      <c r="G1695" t="s">
        <v>19</v>
      </c>
      <c r="H1695" t="s">
        <v>19</v>
      </c>
      <c r="I1695" s="1">
        <v>46030</v>
      </c>
      <c r="J1695" s="1">
        <v>46030</v>
      </c>
      <c r="K1695" s="1">
        <v>46030</v>
      </c>
      <c r="L1695">
        <v>34</v>
      </c>
      <c r="M1695">
        <v>0.54</v>
      </c>
      <c r="N1695">
        <v>0.54</v>
      </c>
      <c r="O1695">
        <v>0</v>
      </c>
      <c r="P1695">
        <v>0</v>
      </c>
      <c r="Q1695" t="s">
        <v>108</v>
      </c>
    </row>
    <row r="1696" spans="1:17">
      <c r="A1696" t="s">
        <v>93</v>
      </c>
      <c r="B1696" t="s">
        <v>106</v>
      </c>
      <c r="C1696" t="s">
        <v>56</v>
      </c>
      <c r="D1696" t="s">
        <v>1479</v>
      </c>
      <c r="E1696">
        <v>22</v>
      </c>
      <c r="F1696" t="str">
        <f>VLOOKUP(E1696,[1]LOJA!$A:$B,2,0)</f>
        <v>GUARÁ</v>
      </c>
      <c r="G1696" t="s">
        <v>19</v>
      </c>
      <c r="H1696" t="s">
        <v>19</v>
      </c>
      <c r="I1696" s="1">
        <v>46030</v>
      </c>
      <c r="J1696" s="1">
        <v>46030</v>
      </c>
      <c r="K1696" s="1">
        <v>46030</v>
      </c>
      <c r="L1696">
        <v>34</v>
      </c>
      <c r="M1696">
        <v>0.97</v>
      </c>
      <c r="N1696">
        <v>0.97</v>
      </c>
      <c r="O1696">
        <v>0</v>
      </c>
      <c r="P1696">
        <v>0</v>
      </c>
      <c r="Q1696" t="s">
        <v>108</v>
      </c>
    </row>
    <row r="1697" spans="1:17">
      <c r="A1697" t="s">
        <v>93</v>
      </c>
      <c r="B1697" t="s">
        <v>106</v>
      </c>
      <c r="C1697" t="s">
        <v>56</v>
      </c>
      <c r="D1697" t="s">
        <v>1480</v>
      </c>
      <c r="E1697">
        <v>22</v>
      </c>
      <c r="F1697" t="str">
        <f>VLOOKUP(E1697,[1]LOJA!$A:$B,2,0)</f>
        <v>GUARÁ</v>
      </c>
      <c r="G1697" t="s">
        <v>19</v>
      </c>
      <c r="H1697" t="s">
        <v>19</v>
      </c>
      <c r="I1697" s="1">
        <v>46030</v>
      </c>
      <c r="J1697" s="1">
        <v>46030</v>
      </c>
      <c r="K1697" s="1">
        <v>46030</v>
      </c>
      <c r="L1697">
        <v>34</v>
      </c>
      <c r="M1697">
        <v>0.11</v>
      </c>
      <c r="N1697">
        <v>0.11</v>
      </c>
      <c r="O1697">
        <v>0</v>
      </c>
      <c r="P1697">
        <v>0</v>
      </c>
      <c r="Q1697" t="s">
        <v>108</v>
      </c>
    </row>
    <row r="1698" spans="1:17">
      <c r="A1698" t="s">
        <v>93</v>
      </c>
      <c r="B1698" t="s">
        <v>106</v>
      </c>
      <c r="C1698" t="s">
        <v>56</v>
      </c>
      <c r="D1698" t="s">
        <v>1481</v>
      </c>
      <c r="E1698">
        <v>22</v>
      </c>
      <c r="F1698" t="str">
        <f>VLOOKUP(E1698,[1]LOJA!$A:$B,2,0)</f>
        <v>GUARÁ</v>
      </c>
      <c r="G1698" t="s">
        <v>19</v>
      </c>
      <c r="H1698" t="s">
        <v>19</v>
      </c>
      <c r="I1698" s="1">
        <v>46030</v>
      </c>
      <c r="J1698" s="1">
        <v>46030</v>
      </c>
      <c r="K1698" s="1">
        <v>46030</v>
      </c>
      <c r="L1698">
        <v>34</v>
      </c>
      <c r="M1698">
        <v>7.0000000000000007E-2</v>
      </c>
      <c r="N1698">
        <v>7.0000000000000007E-2</v>
      </c>
      <c r="O1698">
        <v>0</v>
      </c>
      <c r="P1698">
        <v>0</v>
      </c>
      <c r="Q1698" t="s">
        <v>108</v>
      </c>
    </row>
    <row r="1699" spans="1:17">
      <c r="A1699" t="s">
        <v>93</v>
      </c>
      <c r="B1699" t="s">
        <v>106</v>
      </c>
      <c r="C1699" t="s">
        <v>56</v>
      </c>
      <c r="D1699" t="s">
        <v>1482</v>
      </c>
      <c r="E1699">
        <v>22</v>
      </c>
      <c r="F1699" t="str">
        <f>VLOOKUP(E1699,[1]LOJA!$A:$B,2,0)</f>
        <v>GUARÁ</v>
      </c>
      <c r="G1699" t="s">
        <v>19</v>
      </c>
      <c r="H1699" t="s">
        <v>19</v>
      </c>
      <c r="I1699" s="1">
        <v>46030</v>
      </c>
      <c r="J1699" s="1">
        <v>46030</v>
      </c>
      <c r="K1699" s="1">
        <v>46030</v>
      </c>
      <c r="L1699">
        <v>34</v>
      </c>
      <c r="M1699">
        <v>0.57999999999999996</v>
      </c>
      <c r="N1699">
        <v>0.57999999999999996</v>
      </c>
      <c r="O1699">
        <v>0</v>
      </c>
      <c r="P1699">
        <v>0</v>
      </c>
      <c r="Q1699" t="s">
        <v>108</v>
      </c>
    </row>
    <row r="1700" spans="1:17">
      <c r="A1700" t="s">
        <v>93</v>
      </c>
      <c r="B1700" t="s">
        <v>106</v>
      </c>
      <c r="C1700" t="s">
        <v>56</v>
      </c>
      <c r="D1700" t="s">
        <v>1483</v>
      </c>
      <c r="E1700">
        <v>22</v>
      </c>
      <c r="F1700" t="str">
        <f>VLOOKUP(E1700,[1]LOJA!$A:$B,2,0)</f>
        <v>GUARÁ</v>
      </c>
      <c r="G1700" t="s">
        <v>19</v>
      </c>
      <c r="H1700" t="s">
        <v>19</v>
      </c>
      <c r="I1700" s="1">
        <v>46030</v>
      </c>
      <c r="J1700" s="1">
        <v>46030</v>
      </c>
      <c r="K1700" s="1">
        <v>46030</v>
      </c>
      <c r="L1700">
        <v>34</v>
      </c>
      <c r="M1700">
        <v>0.79</v>
      </c>
      <c r="N1700">
        <v>0.79</v>
      </c>
      <c r="O1700">
        <v>0</v>
      </c>
      <c r="P1700">
        <v>0</v>
      </c>
      <c r="Q1700" t="s">
        <v>108</v>
      </c>
    </row>
    <row r="1701" spans="1:17">
      <c r="A1701" t="s">
        <v>93</v>
      </c>
      <c r="B1701" t="s">
        <v>106</v>
      </c>
      <c r="C1701" t="s">
        <v>56</v>
      </c>
      <c r="D1701" t="s">
        <v>1484</v>
      </c>
      <c r="E1701">
        <v>22</v>
      </c>
      <c r="F1701" t="str">
        <f>VLOOKUP(E1701,[1]LOJA!$A:$B,2,0)</f>
        <v>GUARÁ</v>
      </c>
      <c r="G1701" t="s">
        <v>19</v>
      </c>
      <c r="H1701" t="s">
        <v>19</v>
      </c>
      <c r="I1701" s="1">
        <v>46030</v>
      </c>
      <c r="J1701" s="1">
        <v>46030</v>
      </c>
      <c r="K1701" s="1">
        <v>46030</v>
      </c>
      <c r="L1701">
        <v>34</v>
      </c>
      <c r="M1701">
        <v>0.18</v>
      </c>
      <c r="N1701">
        <v>0.18</v>
      </c>
      <c r="O1701">
        <v>0</v>
      </c>
      <c r="P1701">
        <v>0</v>
      </c>
      <c r="Q1701" t="s">
        <v>108</v>
      </c>
    </row>
    <row r="1702" spans="1:17">
      <c r="A1702" t="s">
        <v>93</v>
      </c>
      <c r="B1702" t="s">
        <v>106</v>
      </c>
      <c r="C1702" t="s">
        <v>56</v>
      </c>
      <c r="D1702" t="s">
        <v>1485</v>
      </c>
      <c r="E1702">
        <v>22</v>
      </c>
      <c r="F1702" t="str">
        <f>VLOOKUP(E1702,[1]LOJA!$A:$B,2,0)</f>
        <v>GUARÁ</v>
      </c>
      <c r="G1702" t="s">
        <v>19</v>
      </c>
      <c r="H1702" t="s">
        <v>19</v>
      </c>
      <c r="I1702" s="1">
        <v>46030</v>
      </c>
      <c r="J1702" s="1">
        <v>46030</v>
      </c>
      <c r="K1702" s="1">
        <v>46030</v>
      </c>
      <c r="L1702">
        <v>34</v>
      </c>
      <c r="M1702">
        <v>0.19</v>
      </c>
      <c r="N1702">
        <v>0.19</v>
      </c>
      <c r="O1702">
        <v>0</v>
      </c>
      <c r="P1702">
        <v>0</v>
      </c>
      <c r="Q1702" t="s">
        <v>108</v>
      </c>
    </row>
    <row r="1703" spans="1:17">
      <c r="A1703" t="s">
        <v>93</v>
      </c>
      <c r="B1703" t="s">
        <v>106</v>
      </c>
      <c r="C1703" t="s">
        <v>56</v>
      </c>
      <c r="D1703" t="s">
        <v>1486</v>
      </c>
      <c r="E1703">
        <v>22</v>
      </c>
      <c r="F1703" t="str">
        <f>VLOOKUP(E1703,[1]LOJA!$A:$B,2,0)</f>
        <v>GUARÁ</v>
      </c>
      <c r="G1703" t="s">
        <v>19</v>
      </c>
      <c r="H1703" t="s">
        <v>19</v>
      </c>
      <c r="I1703" s="1">
        <v>46030</v>
      </c>
      <c r="J1703" s="1">
        <v>46030</v>
      </c>
      <c r="K1703" s="1">
        <v>46030</v>
      </c>
      <c r="L1703">
        <v>34</v>
      </c>
      <c r="M1703">
        <v>0.25</v>
      </c>
      <c r="N1703">
        <v>0.25</v>
      </c>
      <c r="O1703">
        <v>0</v>
      </c>
      <c r="P1703">
        <v>0</v>
      </c>
      <c r="Q1703" t="s">
        <v>108</v>
      </c>
    </row>
    <row r="1704" spans="1:17">
      <c r="A1704" t="s">
        <v>93</v>
      </c>
      <c r="B1704" t="s">
        <v>106</v>
      </c>
      <c r="C1704" t="s">
        <v>56</v>
      </c>
      <c r="D1704" t="s">
        <v>1487</v>
      </c>
      <c r="E1704">
        <v>22</v>
      </c>
      <c r="F1704" t="str">
        <f>VLOOKUP(E1704,[1]LOJA!$A:$B,2,0)</f>
        <v>GUARÁ</v>
      </c>
      <c r="G1704" t="s">
        <v>19</v>
      </c>
      <c r="H1704" t="s">
        <v>19</v>
      </c>
      <c r="I1704" s="1">
        <v>46030</v>
      </c>
      <c r="J1704" s="1">
        <v>46030</v>
      </c>
      <c r="K1704" s="1">
        <v>46030</v>
      </c>
      <c r="L1704">
        <v>34</v>
      </c>
      <c r="M1704">
        <v>0.36</v>
      </c>
      <c r="N1704">
        <v>0.36</v>
      </c>
      <c r="O1704">
        <v>0</v>
      </c>
      <c r="P1704">
        <v>0</v>
      </c>
      <c r="Q1704" t="s">
        <v>108</v>
      </c>
    </row>
    <row r="1705" spans="1:17">
      <c r="A1705" t="s">
        <v>93</v>
      </c>
      <c r="B1705" t="s">
        <v>106</v>
      </c>
      <c r="C1705" t="s">
        <v>56</v>
      </c>
      <c r="D1705" t="s">
        <v>1488</v>
      </c>
      <c r="E1705">
        <v>22</v>
      </c>
      <c r="F1705" t="str">
        <f>VLOOKUP(E1705,[1]LOJA!$A:$B,2,0)</f>
        <v>GUARÁ</v>
      </c>
      <c r="G1705" t="s">
        <v>19</v>
      </c>
      <c r="H1705" t="s">
        <v>19</v>
      </c>
      <c r="I1705" s="1">
        <v>46030</v>
      </c>
      <c r="J1705" s="1">
        <v>46030</v>
      </c>
      <c r="K1705" s="1">
        <v>46030</v>
      </c>
      <c r="L1705">
        <v>34</v>
      </c>
      <c r="M1705">
        <v>0.56999999999999995</v>
      </c>
      <c r="N1705">
        <v>0.56999999999999995</v>
      </c>
      <c r="O1705">
        <v>0</v>
      </c>
      <c r="P1705">
        <v>0</v>
      </c>
      <c r="Q1705" t="s">
        <v>108</v>
      </c>
    </row>
    <row r="1706" spans="1:17">
      <c r="A1706" t="s">
        <v>93</v>
      </c>
      <c r="B1706" t="s">
        <v>106</v>
      </c>
      <c r="C1706" t="s">
        <v>56</v>
      </c>
      <c r="D1706" t="s">
        <v>1489</v>
      </c>
      <c r="E1706">
        <v>22</v>
      </c>
      <c r="F1706" t="str">
        <f>VLOOKUP(E1706,[1]LOJA!$A:$B,2,0)</f>
        <v>GUARÁ</v>
      </c>
      <c r="G1706" t="s">
        <v>19</v>
      </c>
      <c r="H1706" t="s">
        <v>19</v>
      </c>
      <c r="I1706" s="1">
        <v>46030</v>
      </c>
      <c r="J1706" s="1">
        <v>46030</v>
      </c>
      <c r="K1706" s="1">
        <v>46030</v>
      </c>
      <c r="L1706">
        <v>34</v>
      </c>
      <c r="M1706">
        <v>0.54</v>
      </c>
      <c r="N1706">
        <v>0.54</v>
      </c>
      <c r="O1706">
        <v>0</v>
      </c>
      <c r="P1706">
        <v>0</v>
      </c>
      <c r="Q1706" t="s">
        <v>108</v>
      </c>
    </row>
    <row r="1707" spans="1:17">
      <c r="A1707" t="s">
        <v>93</v>
      </c>
      <c r="B1707" t="s">
        <v>106</v>
      </c>
      <c r="C1707" t="s">
        <v>56</v>
      </c>
      <c r="D1707" t="s">
        <v>1490</v>
      </c>
      <c r="E1707">
        <v>22</v>
      </c>
      <c r="F1707" t="str">
        <f>VLOOKUP(E1707,[1]LOJA!$A:$B,2,0)</f>
        <v>GUARÁ</v>
      </c>
      <c r="G1707" t="s">
        <v>19</v>
      </c>
      <c r="H1707" t="s">
        <v>19</v>
      </c>
      <c r="I1707" s="1">
        <v>46030</v>
      </c>
      <c r="J1707" s="1">
        <v>46030</v>
      </c>
      <c r="K1707" s="1">
        <v>46030</v>
      </c>
      <c r="L1707">
        <v>34</v>
      </c>
      <c r="M1707">
        <v>0.06</v>
      </c>
      <c r="N1707">
        <v>0.06</v>
      </c>
      <c r="O1707">
        <v>0</v>
      </c>
      <c r="P1707">
        <v>0</v>
      </c>
      <c r="Q1707" t="s">
        <v>108</v>
      </c>
    </row>
    <row r="1708" spans="1:17">
      <c r="A1708" t="s">
        <v>93</v>
      </c>
      <c r="B1708" t="s">
        <v>106</v>
      </c>
      <c r="C1708" t="s">
        <v>56</v>
      </c>
      <c r="D1708" t="s">
        <v>1491</v>
      </c>
      <c r="E1708">
        <v>22</v>
      </c>
      <c r="F1708" t="str">
        <f>VLOOKUP(E1708,[1]LOJA!$A:$B,2,0)</f>
        <v>GUARÁ</v>
      </c>
      <c r="G1708" t="s">
        <v>19</v>
      </c>
      <c r="H1708" t="s">
        <v>19</v>
      </c>
      <c r="I1708" s="1">
        <v>46030</v>
      </c>
      <c r="J1708" s="1">
        <v>46030</v>
      </c>
      <c r="K1708" s="1">
        <v>46030</v>
      </c>
      <c r="L1708">
        <v>34</v>
      </c>
      <c r="M1708">
        <v>0.11</v>
      </c>
      <c r="N1708">
        <v>0.11</v>
      </c>
      <c r="O1708">
        <v>0</v>
      </c>
      <c r="P1708">
        <v>0</v>
      </c>
      <c r="Q1708" t="s">
        <v>108</v>
      </c>
    </row>
    <row r="1709" spans="1:17">
      <c r="A1709" t="s">
        <v>93</v>
      </c>
      <c r="B1709" t="s">
        <v>106</v>
      </c>
      <c r="C1709" t="s">
        <v>56</v>
      </c>
      <c r="D1709" t="s">
        <v>1492</v>
      </c>
      <c r="E1709">
        <v>22</v>
      </c>
      <c r="F1709" t="str">
        <f>VLOOKUP(E1709,[1]LOJA!$A:$B,2,0)</f>
        <v>GUARÁ</v>
      </c>
      <c r="G1709" t="s">
        <v>19</v>
      </c>
      <c r="H1709" t="s">
        <v>19</v>
      </c>
      <c r="I1709" s="1">
        <v>46030</v>
      </c>
      <c r="J1709" s="1">
        <v>46030</v>
      </c>
      <c r="K1709" s="1">
        <v>46030</v>
      </c>
      <c r="L1709">
        <v>34</v>
      </c>
      <c r="M1709">
        <v>0.74</v>
      </c>
      <c r="N1709">
        <v>0.74</v>
      </c>
      <c r="O1709">
        <v>0</v>
      </c>
      <c r="P1709">
        <v>0</v>
      </c>
      <c r="Q1709" t="s">
        <v>108</v>
      </c>
    </row>
    <row r="1710" spans="1:17">
      <c r="A1710" t="s">
        <v>93</v>
      </c>
      <c r="B1710" t="s">
        <v>106</v>
      </c>
      <c r="C1710" t="s">
        <v>56</v>
      </c>
      <c r="D1710" t="s">
        <v>1493</v>
      </c>
      <c r="E1710">
        <v>22</v>
      </c>
      <c r="F1710" t="str">
        <f>VLOOKUP(E1710,[1]LOJA!$A:$B,2,0)</f>
        <v>GUARÁ</v>
      </c>
      <c r="G1710" t="s">
        <v>19</v>
      </c>
      <c r="H1710" t="s">
        <v>19</v>
      </c>
      <c r="I1710" s="1">
        <v>46030</v>
      </c>
      <c r="J1710" s="1">
        <v>46030</v>
      </c>
      <c r="K1710" s="1">
        <v>46030</v>
      </c>
      <c r="L1710">
        <v>34</v>
      </c>
      <c r="M1710">
        <v>0.11</v>
      </c>
      <c r="N1710">
        <v>0.11</v>
      </c>
      <c r="O1710">
        <v>0</v>
      </c>
      <c r="P1710">
        <v>0</v>
      </c>
      <c r="Q1710" t="s">
        <v>108</v>
      </c>
    </row>
    <row r="1711" spans="1:17">
      <c r="A1711" t="s">
        <v>93</v>
      </c>
      <c r="B1711" t="s">
        <v>106</v>
      </c>
      <c r="C1711" t="s">
        <v>56</v>
      </c>
      <c r="D1711" t="s">
        <v>1494</v>
      </c>
      <c r="E1711">
        <v>22</v>
      </c>
      <c r="F1711" t="str">
        <f>VLOOKUP(E1711,[1]LOJA!$A:$B,2,0)</f>
        <v>GUARÁ</v>
      </c>
      <c r="G1711" t="s">
        <v>19</v>
      </c>
      <c r="H1711" t="s">
        <v>19</v>
      </c>
      <c r="I1711" s="1">
        <v>46030</v>
      </c>
      <c r="J1711" s="1">
        <v>46030</v>
      </c>
      <c r="K1711" s="1">
        <v>46030</v>
      </c>
      <c r="L1711">
        <v>34</v>
      </c>
      <c r="M1711">
        <v>0.6</v>
      </c>
      <c r="N1711">
        <v>0.6</v>
      </c>
      <c r="O1711">
        <v>0</v>
      </c>
      <c r="P1711">
        <v>0</v>
      </c>
      <c r="Q1711" t="s">
        <v>108</v>
      </c>
    </row>
    <row r="1712" spans="1:17">
      <c r="A1712" t="s">
        <v>93</v>
      </c>
      <c r="B1712" t="s">
        <v>106</v>
      </c>
      <c r="C1712" t="s">
        <v>56</v>
      </c>
      <c r="D1712" t="s">
        <v>1495</v>
      </c>
      <c r="E1712">
        <v>22</v>
      </c>
      <c r="F1712" t="str">
        <f>VLOOKUP(E1712,[1]LOJA!$A:$B,2,0)</f>
        <v>GUARÁ</v>
      </c>
      <c r="G1712" t="s">
        <v>19</v>
      </c>
      <c r="H1712" t="s">
        <v>19</v>
      </c>
      <c r="I1712" s="1">
        <v>46030</v>
      </c>
      <c r="J1712" s="1">
        <v>46030</v>
      </c>
      <c r="K1712" s="1">
        <v>46030</v>
      </c>
      <c r="L1712">
        <v>34</v>
      </c>
      <c r="M1712">
        <v>1.44</v>
      </c>
      <c r="N1712">
        <v>1.44</v>
      </c>
      <c r="O1712">
        <v>0</v>
      </c>
      <c r="P1712">
        <v>0</v>
      </c>
      <c r="Q1712" t="s">
        <v>108</v>
      </c>
    </row>
    <row r="1713" spans="1:17">
      <c r="A1713" t="s">
        <v>93</v>
      </c>
      <c r="B1713" t="s">
        <v>106</v>
      </c>
      <c r="C1713" t="s">
        <v>56</v>
      </c>
      <c r="D1713" t="s">
        <v>1496</v>
      </c>
      <c r="E1713">
        <v>22</v>
      </c>
      <c r="F1713" t="str">
        <f>VLOOKUP(E1713,[1]LOJA!$A:$B,2,0)</f>
        <v>GUARÁ</v>
      </c>
      <c r="G1713" t="s">
        <v>19</v>
      </c>
      <c r="H1713" t="s">
        <v>19</v>
      </c>
      <c r="I1713" s="1">
        <v>46031</v>
      </c>
      <c r="J1713" s="1">
        <v>46031</v>
      </c>
      <c r="K1713" s="1">
        <v>46031</v>
      </c>
      <c r="L1713">
        <v>34</v>
      </c>
      <c r="M1713">
        <v>9.31</v>
      </c>
      <c r="N1713">
        <v>9.31</v>
      </c>
      <c r="O1713">
        <v>0</v>
      </c>
      <c r="P1713">
        <v>0</v>
      </c>
      <c r="Q1713" t="s">
        <v>108</v>
      </c>
    </row>
    <row r="1714" spans="1:17">
      <c r="A1714" t="s">
        <v>93</v>
      </c>
      <c r="B1714" t="s">
        <v>106</v>
      </c>
      <c r="C1714" t="s">
        <v>56</v>
      </c>
      <c r="D1714" t="s">
        <v>1497</v>
      </c>
      <c r="E1714">
        <v>22</v>
      </c>
      <c r="F1714" t="str">
        <f>VLOOKUP(E1714,[1]LOJA!$A:$B,2,0)</f>
        <v>GUARÁ</v>
      </c>
      <c r="G1714" t="s">
        <v>19</v>
      </c>
      <c r="H1714" t="s">
        <v>19</v>
      </c>
      <c r="I1714" s="1">
        <v>46031</v>
      </c>
      <c r="J1714" s="1">
        <v>46031</v>
      </c>
      <c r="K1714" s="1">
        <v>46031</v>
      </c>
      <c r="L1714">
        <v>34</v>
      </c>
      <c r="M1714">
        <v>0.64</v>
      </c>
      <c r="N1714">
        <v>0.64</v>
      </c>
      <c r="O1714">
        <v>0</v>
      </c>
      <c r="P1714">
        <v>0</v>
      </c>
      <c r="Q1714" t="s">
        <v>108</v>
      </c>
    </row>
    <row r="1715" spans="1:17">
      <c r="A1715" t="s">
        <v>93</v>
      </c>
      <c r="B1715" t="s">
        <v>106</v>
      </c>
      <c r="C1715" t="s">
        <v>56</v>
      </c>
      <c r="D1715" t="s">
        <v>1498</v>
      </c>
      <c r="E1715">
        <v>22</v>
      </c>
      <c r="F1715" t="str">
        <f>VLOOKUP(E1715,[1]LOJA!$A:$B,2,0)</f>
        <v>GUARÁ</v>
      </c>
      <c r="G1715" t="s">
        <v>19</v>
      </c>
      <c r="H1715" t="s">
        <v>19</v>
      </c>
      <c r="I1715" s="1">
        <v>46031</v>
      </c>
      <c r="J1715" s="1">
        <v>46031</v>
      </c>
      <c r="K1715" s="1">
        <v>46031</v>
      </c>
      <c r="L1715">
        <v>34</v>
      </c>
      <c r="M1715">
        <v>1.37</v>
      </c>
      <c r="N1715">
        <v>1.37</v>
      </c>
      <c r="O1715">
        <v>0</v>
      </c>
      <c r="P1715">
        <v>0</v>
      </c>
      <c r="Q1715" t="s">
        <v>108</v>
      </c>
    </row>
    <row r="1716" spans="1:17">
      <c r="A1716" t="s">
        <v>93</v>
      </c>
      <c r="B1716" t="s">
        <v>106</v>
      </c>
      <c r="C1716" t="s">
        <v>56</v>
      </c>
      <c r="D1716" t="s">
        <v>1499</v>
      </c>
      <c r="E1716">
        <v>22</v>
      </c>
      <c r="F1716" t="str">
        <f>VLOOKUP(E1716,[1]LOJA!$A:$B,2,0)</f>
        <v>GUARÁ</v>
      </c>
      <c r="G1716" t="s">
        <v>19</v>
      </c>
      <c r="H1716" t="s">
        <v>19</v>
      </c>
      <c r="I1716" s="1">
        <v>46031</v>
      </c>
      <c r="J1716" s="1">
        <v>46031</v>
      </c>
      <c r="K1716" s="1">
        <v>46031</v>
      </c>
      <c r="L1716">
        <v>34</v>
      </c>
      <c r="M1716">
        <v>0.12</v>
      </c>
      <c r="N1716">
        <v>0.12</v>
      </c>
      <c r="O1716">
        <v>0</v>
      </c>
      <c r="P1716">
        <v>0</v>
      </c>
      <c r="Q1716" t="s">
        <v>108</v>
      </c>
    </row>
    <row r="1717" spans="1:17">
      <c r="A1717" t="s">
        <v>93</v>
      </c>
      <c r="B1717" t="s">
        <v>106</v>
      </c>
      <c r="C1717" t="s">
        <v>56</v>
      </c>
      <c r="D1717" t="s">
        <v>1500</v>
      </c>
      <c r="E1717">
        <v>22</v>
      </c>
      <c r="F1717" t="str">
        <f>VLOOKUP(E1717,[1]LOJA!$A:$B,2,0)</f>
        <v>GUARÁ</v>
      </c>
      <c r="G1717" t="s">
        <v>19</v>
      </c>
      <c r="H1717" t="s">
        <v>19</v>
      </c>
      <c r="I1717" s="1">
        <v>46031</v>
      </c>
      <c r="J1717" s="1">
        <v>46031</v>
      </c>
      <c r="K1717" s="1">
        <v>46031</v>
      </c>
      <c r="L1717">
        <v>34</v>
      </c>
      <c r="M1717">
        <v>1.33</v>
      </c>
      <c r="N1717">
        <v>1.33</v>
      </c>
      <c r="O1717">
        <v>0</v>
      </c>
      <c r="P1717">
        <v>0</v>
      </c>
      <c r="Q1717" t="s">
        <v>108</v>
      </c>
    </row>
    <row r="1718" spans="1:17">
      <c r="A1718" t="s">
        <v>93</v>
      </c>
      <c r="B1718" t="s">
        <v>106</v>
      </c>
      <c r="C1718" t="s">
        <v>56</v>
      </c>
      <c r="D1718" t="s">
        <v>1501</v>
      </c>
      <c r="E1718">
        <v>22</v>
      </c>
      <c r="F1718" t="str">
        <f>VLOOKUP(E1718,[1]LOJA!$A:$B,2,0)</f>
        <v>GUARÁ</v>
      </c>
      <c r="G1718" t="s">
        <v>19</v>
      </c>
      <c r="H1718" t="s">
        <v>19</v>
      </c>
      <c r="I1718" s="1">
        <v>46031</v>
      </c>
      <c r="J1718" s="1">
        <v>46031</v>
      </c>
      <c r="K1718" s="1">
        <v>46031</v>
      </c>
      <c r="L1718">
        <v>34</v>
      </c>
      <c r="M1718">
        <v>0.79</v>
      </c>
      <c r="N1718">
        <v>0.79</v>
      </c>
      <c r="O1718">
        <v>0</v>
      </c>
      <c r="P1718">
        <v>0</v>
      </c>
      <c r="Q1718" t="s">
        <v>108</v>
      </c>
    </row>
    <row r="1719" spans="1:17">
      <c r="A1719" t="s">
        <v>93</v>
      </c>
      <c r="B1719" t="s">
        <v>106</v>
      </c>
      <c r="C1719" t="s">
        <v>56</v>
      </c>
      <c r="D1719" t="s">
        <v>1502</v>
      </c>
      <c r="E1719">
        <v>22</v>
      </c>
      <c r="F1719" t="str">
        <f>VLOOKUP(E1719,[1]LOJA!$A:$B,2,0)</f>
        <v>GUARÁ</v>
      </c>
      <c r="G1719" t="s">
        <v>19</v>
      </c>
      <c r="H1719" t="s">
        <v>19</v>
      </c>
      <c r="I1719" s="1">
        <v>46031</v>
      </c>
      <c r="J1719" s="1">
        <v>46031</v>
      </c>
      <c r="K1719" s="1">
        <v>46031</v>
      </c>
      <c r="L1719">
        <v>34</v>
      </c>
      <c r="M1719">
        <v>0.31</v>
      </c>
      <c r="N1719">
        <v>0.31</v>
      </c>
      <c r="O1719">
        <v>0</v>
      </c>
      <c r="P1719">
        <v>0</v>
      </c>
      <c r="Q1719" t="s">
        <v>108</v>
      </c>
    </row>
    <row r="1720" spans="1:17">
      <c r="A1720" t="s">
        <v>93</v>
      </c>
      <c r="B1720" t="s">
        <v>106</v>
      </c>
      <c r="C1720" t="s">
        <v>56</v>
      </c>
      <c r="D1720" t="s">
        <v>1503</v>
      </c>
      <c r="E1720">
        <v>22</v>
      </c>
      <c r="F1720" t="str">
        <f>VLOOKUP(E1720,[1]LOJA!$A:$B,2,0)</f>
        <v>GUARÁ</v>
      </c>
      <c r="G1720" t="s">
        <v>19</v>
      </c>
      <c r="H1720" t="s">
        <v>19</v>
      </c>
      <c r="I1720" s="1">
        <v>46031</v>
      </c>
      <c r="J1720" s="1">
        <v>46031</v>
      </c>
      <c r="K1720" s="1">
        <v>46031</v>
      </c>
      <c r="L1720">
        <v>34</v>
      </c>
      <c r="M1720">
        <v>2.79</v>
      </c>
      <c r="N1720">
        <v>2.79</v>
      </c>
      <c r="O1720">
        <v>0</v>
      </c>
      <c r="P1720">
        <v>0</v>
      </c>
      <c r="Q1720" t="s">
        <v>108</v>
      </c>
    </row>
    <row r="1721" spans="1:17">
      <c r="A1721" t="s">
        <v>93</v>
      </c>
      <c r="B1721" t="s">
        <v>106</v>
      </c>
      <c r="C1721" t="s">
        <v>56</v>
      </c>
      <c r="D1721" t="s">
        <v>1504</v>
      </c>
      <c r="E1721">
        <v>22</v>
      </c>
      <c r="F1721" t="str">
        <f>VLOOKUP(E1721,[1]LOJA!$A:$B,2,0)</f>
        <v>GUARÁ</v>
      </c>
      <c r="G1721" t="s">
        <v>19</v>
      </c>
      <c r="H1721" t="s">
        <v>19</v>
      </c>
      <c r="I1721" s="1">
        <v>46031</v>
      </c>
      <c r="J1721" s="1">
        <v>46031</v>
      </c>
      <c r="K1721" s="1">
        <v>46031</v>
      </c>
      <c r="L1721">
        <v>34</v>
      </c>
      <c r="M1721">
        <v>0.11</v>
      </c>
      <c r="N1721">
        <v>0.11</v>
      </c>
      <c r="O1721">
        <v>0</v>
      </c>
      <c r="P1721">
        <v>0</v>
      </c>
      <c r="Q1721" t="s">
        <v>108</v>
      </c>
    </row>
    <row r="1722" spans="1:17">
      <c r="A1722" t="s">
        <v>93</v>
      </c>
      <c r="B1722" t="s">
        <v>106</v>
      </c>
      <c r="C1722" t="s">
        <v>56</v>
      </c>
      <c r="D1722" t="s">
        <v>1505</v>
      </c>
      <c r="E1722">
        <v>22</v>
      </c>
      <c r="F1722" t="str">
        <f>VLOOKUP(E1722,[1]LOJA!$A:$B,2,0)</f>
        <v>GUARÁ</v>
      </c>
      <c r="G1722" t="s">
        <v>19</v>
      </c>
      <c r="H1722" t="s">
        <v>19</v>
      </c>
      <c r="I1722" s="1">
        <v>46031</v>
      </c>
      <c r="J1722" s="1">
        <v>46031</v>
      </c>
      <c r="K1722" s="1">
        <v>46031</v>
      </c>
      <c r="L1722">
        <v>34</v>
      </c>
      <c r="M1722">
        <v>0.04</v>
      </c>
      <c r="N1722">
        <v>0.04</v>
      </c>
      <c r="O1722">
        <v>0</v>
      </c>
      <c r="P1722">
        <v>0</v>
      </c>
      <c r="Q1722" t="s">
        <v>108</v>
      </c>
    </row>
    <row r="1723" spans="1:17">
      <c r="A1723" t="s">
        <v>93</v>
      </c>
      <c r="B1723" t="s">
        <v>106</v>
      </c>
      <c r="C1723" t="s">
        <v>56</v>
      </c>
      <c r="D1723" t="s">
        <v>1506</v>
      </c>
      <c r="E1723">
        <v>22</v>
      </c>
      <c r="F1723" t="str">
        <f>VLOOKUP(E1723,[1]LOJA!$A:$B,2,0)</f>
        <v>GUARÁ</v>
      </c>
      <c r="G1723" t="s">
        <v>19</v>
      </c>
      <c r="H1723" t="s">
        <v>19</v>
      </c>
      <c r="I1723" s="1">
        <v>46031</v>
      </c>
      <c r="J1723" s="1">
        <v>46031</v>
      </c>
      <c r="K1723" s="1">
        <v>46031</v>
      </c>
      <c r="L1723">
        <v>34</v>
      </c>
      <c r="M1723">
        <v>0.04</v>
      </c>
      <c r="N1723">
        <v>0.04</v>
      </c>
      <c r="O1723">
        <v>0</v>
      </c>
      <c r="P1723">
        <v>0</v>
      </c>
      <c r="Q1723" t="s">
        <v>108</v>
      </c>
    </row>
    <row r="1724" spans="1:17">
      <c r="A1724" t="s">
        <v>93</v>
      </c>
      <c r="B1724" t="s">
        <v>106</v>
      </c>
      <c r="C1724" t="s">
        <v>56</v>
      </c>
      <c r="D1724" t="s">
        <v>1507</v>
      </c>
      <c r="E1724">
        <v>22</v>
      </c>
      <c r="F1724" t="str">
        <f>VLOOKUP(E1724,[1]LOJA!$A:$B,2,0)</f>
        <v>GUARÁ</v>
      </c>
      <c r="G1724" t="s">
        <v>19</v>
      </c>
      <c r="H1724" t="s">
        <v>19</v>
      </c>
      <c r="I1724" s="1">
        <v>46031</v>
      </c>
      <c r="J1724" s="1">
        <v>46031</v>
      </c>
      <c r="K1724" s="1">
        <v>46031</v>
      </c>
      <c r="L1724">
        <v>34</v>
      </c>
      <c r="M1724">
        <v>0.1</v>
      </c>
      <c r="N1724">
        <v>0.1</v>
      </c>
      <c r="O1724">
        <v>0</v>
      </c>
      <c r="P1724">
        <v>0</v>
      </c>
      <c r="Q1724" t="s">
        <v>108</v>
      </c>
    </row>
    <row r="1725" spans="1:17">
      <c r="A1725" t="s">
        <v>93</v>
      </c>
      <c r="B1725" t="s">
        <v>106</v>
      </c>
      <c r="C1725" t="s">
        <v>56</v>
      </c>
      <c r="D1725" t="s">
        <v>1508</v>
      </c>
      <c r="E1725">
        <v>22</v>
      </c>
      <c r="F1725" t="str">
        <f>VLOOKUP(E1725,[1]LOJA!$A:$B,2,0)</f>
        <v>GUARÁ</v>
      </c>
      <c r="G1725" t="s">
        <v>19</v>
      </c>
      <c r="H1725" t="s">
        <v>19</v>
      </c>
      <c r="I1725" s="1">
        <v>46031</v>
      </c>
      <c r="J1725" s="1">
        <v>46031</v>
      </c>
      <c r="K1725" s="1">
        <v>46031</v>
      </c>
      <c r="L1725">
        <v>34</v>
      </c>
      <c r="M1725">
        <v>0.28000000000000003</v>
      </c>
      <c r="N1725">
        <v>0.28000000000000003</v>
      </c>
      <c r="O1725">
        <v>0</v>
      </c>
      <c r="P1725">
        <v>0</v>
      </c>
      <c r="Q1725" t="s">
        <v>108</v>
      </c>
    </row>
    <row r="1726" spans="1:17">
      <c r="A1726" t="s">
        <v>93</v>
      </c>
      <c r="B1726" t="s">
        <v>106</v>
      </c>
      <c r="C1726" t="s">
        <v>56</v>
      </c>
      <c r="D1726" t="s">
        <v>1509</v>
      </c>
      <c r="E1726">
        <v>22</v>
      </c>
      <c r="F1726" t="str">
        <f>VLOOKUP(E1726,[1]LOJA!$A:$B,2,0)</f>
        <v>GUARÁ</v>
      </c>
      <c r="G1726" t="s">
        <v>19</v>
      </c>
      <c r="H1726" t="s">
        <v>19</v>
      </c>
      <c r="I1726" s="1">
        <v>46031</v>
      </c>
      <c r="J1726" s="1">
        <v>46031</v>
      </c>
      <c r="K1726" s="1">
        <v>46031</v>
      </c>
      <c r="L1726">
        <v>34</v>
      </c>
      <c r="M1726">
        <v>0.19</v>
      </c>
      <c r="N1726">
        <v>0.19</v>
      </c>
      <c r="O1726">
        <v>0</v>
      </c>
      <c r="P1726">
        <v>0</v>
      </c>
      <c r="Q1726" t="s">
        <v>108</v>
      </c>
    </row>
    <row r="1727" spans="1:17">
      <c r="A1727" t="s">
        <v>93</v>
      </c>
      <c r="B1727" t="s">
        <v>106</v>
      </c>
      <c r="C1727" t="s">
        <v>56</v>
      </c>
      <c r="D1727" t="s">
        <v>1510</v>
      </c>
      <c r="E1727">
        <v>22</v>
      </c>
      <c r="F1727" t="str">
        <f>VLOOKUP(E1727,[1]LOJA!$A:$B,2,0)</f>
        <v>GUARÁ</v>
      </c>
      <c r="G1727" t="s">
        <v>19</v>
      </c>
      <c r="H1727" t="s">
        <v>19</v>
      </c>
      <c r="I1727" s="1">
        <v>46031</v>
      </c>
      <c r="J1727" s="1">
        <v>46031</v>
      </c>
      <c r="K1727" s="1">
        <v>46031</v>
      </c>
      <c r="L1727">
        <v>34</v>
      </c>
      <c r="M1727">
        <v>0.36</v>
      </c>
      <c r="N1727">
        <v>0.36</v>
      </c>
      <c r="O1727">
        <v>0</v>
      </c>
      <c r="P1727">
        <v>0</v>
      </c>
      <c r="Q1727" t="s">
        <v>108</v>
      </c>
    </row>
    <row r="1728" spans="1:17">
      <c r="A1728" t="s">
        <v>93</v>
      </c>
      <c r="B1728" t="s">
        <v>106</v>
      </c>
      <c r="C1728" t="s">
        <v>56</v>
      </c>
      <c r="D1728" t="s">
        <v>1511</v>
      </c>
      <c r="E1728">
        <v>22</v>
      </c>
      <c r="F1728" t="str">
        <f>VLOOKUP(E1728,[1]LOJA!$A:$B,2,0)</f>
        <v>GUARÁ</v>
      </c>
      <c r="G1728" t="s">
        <v>19</v>
      </c>
      <c r="H1728" t="s">
        <v>19</v>
      </c>
      <c r="I1728" s="1">
        <v>46031</v>
      </c>
      <c r="J1728" s="1">
        <v>46031</v>
      </c>
      <c r="K1728" s="1">
        <v>46031</v>
      </c>
      <c r="L1728">
        <v>34</v>
      </c>
      <c r="M1728">
        <v>0.18</v>
      </c>
      <c r="N1728">
        <v>0.18</v>
      </c>
      <c r="O1728">
        <v>0</v>
      </c>
      <c r="P1728">
        <v>0</v>
      </c>
      <c r="Q1728" t="s">
        <v>108</v>
      </c>
    </row>
    <row r="1729" spans="1:17">
      <c r="A1729" t="s">
        <v>93</v>
      </c>
      <c r="B1729" t="s">
        <v>106</v>
      </c>
      <c r="C1729" t="s">
        <v>56</v>
      </c>
      <c r="D1729" t="s">
        <v>1512</v>
      </c>
      <c r="E1729">
        <v>22</v>
      </c>
      <c r="F1729" t="str">
        <f>VLOOKUP(E1729,[1]LOJA!$A:$B,2,0)</f>
        <v>GUARÁ</v>
      </c>
      <c r="G1729" t="s">
        <v>19</v>
      </c>
      <c r="H1729" t="s">
        <v>19</v>
      </c>
      <c r="I1729" s="1">
        <v>46031</v>
      </c>
      <c r="J1729" s="1">
        <v>46031</v>
      </c>
      <c r="K1729" s="1">
        <v>46031</v>
      </c>
      <c r="L1729">
        <v>34</v>
      </c>
      <c r="M1729">
        <v>0.09</v>
      </c>
      <c r="N1729">
        <v>0.09</v>
      </c>
      <c r="O1729">
        <v>0</v>
      </c>
      <c r="P1729">
        <v>0</v>
      </c>
      <c r="Q1729" t="s">
        <v>108</v>
      </c>
    </row>
    <row r="1730" spans="1:17">
      <c r="A1730" t="s">
        <v>93</v>
      </c>
      <c r="B1730" t="s">
        <v>106</v>
      </c>
      <c r="C1730" t="s">
        <v>56</v>
      </c>
      <c r="D1730" t="s">
        <v>1513</v>
      </c>
      <c r="E1730">
        <v>22</v>
      </c>
      <c r="F1730" t="str">
        <f>VLOOKUP(E1730,[1]LOJA!$A:$B,2,0)</f>
        <v>GUARÁ</v>
      </c>
      <c r="G1730" t="s">
        <v>19</v>
      </c>
      <c r="H1730" t="s">
        <v>19</v>
      </c>
      <c r="I1730" s="1">
        <v>46031</v>
      </c>
      <c r="J1730" s="1">
        <v>46031</v>
      </c>
      <c r="K1730" s="1">
        <v>46031</v>
      </c>
      <c r="L1730">
        <v>34</v>
      </c>
      <c r="M1730">
        <v>1.1399999999999999</v>
      </c>
      <c r="N1730">
        <v>1.1399999999999999</v>
      </c>
      <c r="O1730">
        <v>0</v>
      </c>
      <c r="P1730">
        <v>0</v>
      </c>
      <c r="Q1730" t="s">
        <v>108</v>
      </c>
    </row>
    <row r="1731" spans="1:17">
      <c r="A1731" t="s">
        <v>93</v>
      </c>
      <c r="B1731" t="s">
        <v>106</v>
      </c>
      <c r="C1731" t="s">
        <v>56</v>
      </c>
      <c r="D1731" t="s">
        <v>1514</v>
      </c>
      <c r="E1731">
        <v>22</v>
      </c>
      <c r="F1731" t="str">
        <f>VLOOKUP(E1731,[1]LOJA!$A:$B,2,0)</f>
        <v>GUARÁ</v>
      </c>
      <c r="G1731" t="s">
        <v>19</v>
      </c>
      <c r="H1731" t="s">
        <v>19</v>
      </c>
      <c r="I1731" s="1">
        <v>46031</v>
      </c>
      <c r="J1731" s="1">
        <v>46031</v>
      </c>
      <c r="K1731" s="1">
        <v>46031</v>
      </c>
      <c r="L1731">
        <v>34</v>
      </c>
      <c r="M1731">
        <v>0.03</v>
      </c>
      <c r="N1731">
        <v>0.03</v>
      </c>
      <c r="O1731">
        <v>0</v>
      </c>
      <c r="P1731">
        <v>0</v>
      </c>
      <c r="Q1731" t="s">
        <v>108</v>
      </c>
    </row>
    <row r="1732" spans="1:17">
      <c r="A1732" t="s">
        <v>93</v>
      </c>
      <c r="B1732" t="s">
        <v>106</v>
      </c>
      <c r="C1732" t="s">
        <v>56</v>
      </c>
      <c r="D1732" t="s">
        <v>1515</v>
      </c>
      <c r="E1732">
        <v>22</v>
      </c>
      <c r="F1732" t="str">
        <f>VLOOKUP(E1732,[1]LOJA!$A:$B,2,0)</f>
        <v>GUARÁ</v>
      </c>
      <c r="G1732" t="s">
        <v>19</v>
      </c>
      <c r="H1732" t="s">
        <v>19</v>
      </c>
      <c r="I1732" s="1">
        <v>46031</v>
      </c>
      <c r="J1732" s="1">
        <v>46031</v>
      </c>
      <c r="K1732" s="1">
        <v>46031</v>
      </c>
      <c r="L1732">
        <v>34</v>
      </c>
      <c r="M1732">
        <v>0.05</v>
      </c>
      <c r="N1732">
        <v>0.05</v>
      </c>
      <c r="O1732">
        <v>0</v>
      </c>
      <c r="P1732">
        <v>0</v>
      </c>
      <c r="Q1732" t="s">
        <v>108</v>
      </c>
    </row>
    <row r="1733" spans="1:17">
      <c r="A1733" t="s">
        <v>93</v>
      </c>
      <c r="B1733" t="s">
        <v>106</v>
      </c>
      <c r="C1733" t="s">
        <v>56</v>
      </c>
      <c r="D1733" t="s">
        <v>1516</v>
      </c>
      <c r="E1733">
        <v>22</v>
      </c>
      <c r="F1733" t="str">
        <f>VLOOKUP(E1733,[1]LOJA!$A:$B,2,0)</f>
        <v>GUARÁ</v>
      </c>
      <c r="G1733" t="s">
        <v>19</v>
      </c>
      <c r="H1733" t="s">
        <v>19</v>
      </c>
      <c r="I1733" s="1">
        <v>46031</v>
      </c>
      <c r="J1733" s="1">
        <v>46031</v>
      </c>
      <c r="K1733" s="1">
        <v>46031</v>
      </c>
      <c r="L1733">
        <v>34</v>
      </c>
      <c r="M1733">
        <v>0.39</v>
      </c>
      <c r="N1733">
        <v>0.39</v>
      </c>
      <c r="O1733">
        <v>0</v>
      </c>
      <c r="P1733">
        <v>0</v>
      </c>
      <c r="Q1733" t="s">
        <v>108</v>
      </c>
    </row>
    <row r="1734" spans="1:17">
      <c r="A1734" t="s">
        <v>93</v>
      </c>
      <c r="B1734" t="s">
        <v>106</v>
      </c>
      <c r="C1734" t="s">
        <v>56</v>
      </c>
      <c r="D1734" t="s">
        <v>1517</v>
      </c>
      <c r="E1734">
        <v>22</v>
      </c>
      <c r="F1734" t="str">
        <f>VLOOKUP(E1734,[1]LOJA!$A:$B,2,0)</f>
        <v>GUARÁ</v>
      </c>
      <c r="G1734" t="s">
        <v>19</v>
      </c>
      <c r="H1734" t="s">
        <v>19</v>
      </c>
      <c r="I1734" s="1">
        <v>46031</v>
      </c>
      <c r="J1734" s="1">
        <v>46031</v>
      </c>
      <c r="K1734" s="1">
        <v>46031</v>
      </c>
      <c r="L1734">
        <v>34</v>
      </c>
      <c r="M1734">
        <v>0.19</v>
      </c>
      <c r="N1734">
        <v>0.19</v>
      </c>
      <c r="O1734">
        <v>0</v>
      </c>
      <c r="P1734">
        <v>0</v>
      </c>
      <c r="Q1734" t="s">
        <v>108</v>
      </c>
    </row>
    <row r="1735" spans="1:17">
      <c r="A1735" t="s">
        <v>93</v>
      </c>
      <c r="B1735" t="s">
        <v>106</v>
      </c>
      <c r="C1735" t="s">
        <v>56</v>
      </c>
      <c r="D1735" t="s">
        <v>1518</v>
      </c>
      <c r="E1735">
        <v>22</v>
      </c>
      <c r="F1735" t="str">
        <f>VLOOKUP(E1735,[1]LOJA!$A:$B,2,0)</f>
        <v>GUARÁ</v>
      </c>
      <c r="G1735" t="s">
        <v>19</v>
      </c>
      <c r="H1735" t="s">
        <v>19</v>
      </c>
      <c r="I1735" s="1">
        <v>46031</v>
      </c>
      <c r="J1735" s="1">
        <v>46031</v>
      </c>
      <c r="K1735" s="1">
        <v>46031</v>
      </c>
      <c r="L1735">
        <v>34</v>
      </c>
      <c r="M1735">
        <v>0.23</v>
      </c>
      <c r="N1735">
        <v>0.23</v>
      </c>
      <c r="O1735">
        <v>0</v>
      </c>
      <c r="P1735">
        <v>0</v>
      </c>
      <c r="Q1735" t="s">
        <v>108</v>
      </c>
    </row>
    <row r="1736" spans="1:17">
      <c r="A1736" t="s">
        <v>93</v>
      </c>
      <c r="B1736" t="s">
        <v>106</v>
      </c>
      <c r="C1736" t="s">
        <v>56</v>
      </c>
      <c r="D1736" t="s">
        <v>1519</v>
      </c>
      <c r="E1736">
        <v>22</v>
      </c>
      <c r="F1736" t="str">
        <f>VLOOKUP(E1736,[1]LOJA!$A:$B,2,0)</f>
        <v>GUARÁ</v>
      </c>
      <c r="G1736" t="s">
        <v>19</v>
      </c>
      <c r="H1736" t="s">
        <v>19</v>
      </c>
      <c r="I1736" s="1">
        <v>46031</v>
      </c>
      <c r="J1736" s="1">
        <v>46031</v>
      </c>
      <c r="K1736" s="1">
        <v>46031</v>
      </c>
      <c r="L1736">
        <v>34</v>
      </c>
      <c r="M1736">
        <v>0.31</v>
      </c>
      <c r="N1736">
        <v>0.31</v>
      </c>
      <c r="O1736">
        <v>0</v>
      </c>
      <c r="P1736">
        <v>0</v>
      </c>
      <c r="Q1736" t="s">
        <v>108</v>
      </c>
    </row>
    <row r="1737" spans="1:17">
      <c r="A1737" t="s">
        <v>93</v>
      </c>
      <c r="B1737" t="s">
        <v>106</v>
      </c>
      <c r="C1737" t="s">
        <v>56</v>
      </c>
      <c r="D1737" t="s">
        <v>1520</v>
      </c>
      <c r="E1737">
        <v>22</v>
      </c>
      <c r="F1737" t="str">
        <f>VLOOKUP(E1737,[1]LOJA!$A:$B,2,0)</f>
        <v>GUARÁ</v>
      </c>
      <c r="G1737" t="s">
        <v>19</v>
      </c>
      <c r="H1737" t="s">
        <v>19</v>
      </c>
      <c r="I1737" s="1">
        <v>46031</v>
      </c>
      <c r="J1737" s="1">
        <v>46031</v>
      </c>
      <c r="K1737" s="1">
        <v>46031</v>
      </c>
      <c r="L1737">
        <v>34</v>
      </c>
      <c r="M1737">
        <v>0.36</v>
      </c>
      <c r="N1737">
        <v>0.36</v>
      </c>
      <c r="O1737">
        <v>0</v>
      </c>
      <c r="P1737">
        <v>0</v>
      </c>
      <c r="Q1737" t="s">
        <v>108</v>
      </c>
    </row>
    <row r="1738" spans="1:17">
      <c r="A1738" t="s">
        <v>93</v>
      </c>
      <c r="B1738" t="s">
        <v>106</v>
      </c>
      <c r="C1738" t="s">
        <v>56</v>
      </c>
      <c r="D1738" t="s">
        <v>1521</v>
      </c>
      <c r="E1738">
        <v>22</v>
      </c>
      <c r="F1738" t="str">
        <f>VLOOKUP(E1738,[1]LOJA!$A:$B,2,0)</f>
        <v>GUARÁ</v>
      </c>
      <c r="G1738" t="s">
        <v>19</v>
      </c>
      <c r="H1738" t="s">
        <v>19</v>
      </c>
      <c r="I1738" s="1">
        <v>46031</v>
      </c>
      <c r="J1738" s="1">
        <v>46031</v>
      </c>
      <c r="K1738" s="1">
        <v>46031</v>
      </c>
      <c r="L1738">
        <v>34</v>
      </c>
      <c r="M1738">
        <v>1.84</v>
      </c>
      <c r="N1738">
        <v>1.84</v>
      </c>
      <c r="O1738">
        <v>0</v>
      </c>
      <c r="P1738">
        <v>0</v>
      </c>
      <c r="Q1738" t="s">
        <v>108</v>
      </c>
    </row>
    <row r="1739" spans="1:17">
      <c r="A1739" t="s">
        <v>93</v>
      </c>
      <c r="B1739" t="s">
        <v>106</v>
      </c>
      <c r="C1739" t="s">
        <v>56</v>
      </c>
      <c r="D1739" t="s">
        <v>1522</v>
      </c>
      <c r="E1739">
        <v>22</v>
      </c>
      <c r="F1739" t="str">
        <f>VLOOKUP(E1739,[1]LOJA!$A:$B,2,0)</f>
        <v>GUARÁ</v>
      </c>
      <c r="G1739" t="s">
        <v>19</v>
      </c>
      <c r="H1739" t="s">
        <v>19</v>
      </c>
      <c r="I1739" s="1">
        <v>46034</v>
      </c>
      <c r="J1739" s="1">
        <v>46034</v>
      </c>
      <c r="K1739" s="1">
        <v>46034</v>
      </c>
      <c r="L1739">
        <v>34</v>
      </c>
      <c r="M1739">
        <v>2.83</v>
      </c>
      <c r="N1739">
        <v>2.83</v>
      </c>
      <c r="O1739">
        <v>0</v>
      </c>
      <c r="P1739">
        <v>0</v>
      </c>
      <c r="Q1739" t="s">
        <v>108</v>
      </c>
    </row>
    <row r="1740" spans="1:17">
      <c r="A1740" t="s">
        <v>93</v>
      </c>
      <c r="B1740" t="s">
        <v>106</v>
      </c>
      <c r="C1740" t="s">
        <v>56</v>
      </c>
      <c r="D1740" t="s">
        <v>1523</v>
      </c>
      <c r="E1740">
        <v>22</v>
      </c>
      <c r="F1740" t="str">
        <f>VLOOKUP(E1740,[1]LOJA!$A:$B,2,0)</f>
        <v>GUARÁ</v>
      </c>
      <c r="G1740" t="s">
        <v>19</v>
      </c>
      <c r="H1740" t="s">
        <v>19</v>
      </c>
      <c r="I1740" s="1">
        <v>46034</v>
      </c>
      <c r="J1740" s="1">
        <v>46034</v>
      </c>
      <c r="K1740" s="1">
        <v>46034</v>
      </c>
      <c r="L1740">
        <v>34</v>
      </c>
      <c r="M1740">
        <v>4.5199999999999996</v>
      </c>
      <c r="N1740">
        <v>4.5199999999999996</v>
      </c>
      <c r="O1740">
        <v>0</v>
      </c>
      <c r="P1740">
        <v>0</v>
      </c>
      <c r="Q1740" t="s">
        <v>108</v>
      </c>
    </row>
    <row r="1741" spans="1:17">
      <c r="A1741" t="s">
        <v>93</v>
      </c>
      <c r="B1741" t="s">
        <v>106</v>
      </c>
      <c r="C1741" t="s">
        <v>56</v>
      </c>
      <c r="D1741" t="s">
        <v>1524</v>
      </c>
      <c r="E1741">
        <v>22</v>
      </c>
      <c r="F1741" t="str">
        <f>VLOOKUP(E1741,[1]LOJA!$A:$B,2,0)</f>
        <v>GUARÁ</v>
      </c>
      <c r="G1741" t="s">
        <v>19</v>
      </c>
      <c r="H1741" t="s">
        <v>19</v>
      </c>
      <c r="I1741" s="1">
        <v>46034</v>
      </c>
      <c r="J1741" s="1">
        <v>46034</v>
      </c>
      <c r="K1741" s="1">
        <v>46034</v>
      </c>
      <c r="L1741">
        <v>34</v>
      </c>
      <c r="M1741">
        <v>5.1100000000000003</v>
      </c>
      <c r="N1741">
        <v>5.1100000000000003</v>
      </c>
      <c r="O1741">
        <v>0</v>
      </c>
      <c r="P1741">
        <v>0</v>
      </c>
      <c r="Q1741" t="s">
        <v>108</v>
      </c>
    </row>
    <row r="1742" spans="1:17">
      <c r="A1742" t="s">
        <v>93</v>
      </c>
      <c r="B1742" t="s">
        <v>106</v>
      </c>
      <c r="C1742" t="s">
        <v>56</v>
      </c>
      <c r="D1742" t="s">
        <v>1525</v>
      </c>
      <c r="E1742">
        <v>22</v>
      </c>
      <c r="F1742" t="str">
        <f>VLOOKUP(E1742,[1]LOJA!$A:$B,2,0)</f>
        <v>GUARÁ</v>
      </c>
      <c r="G1742" t="s">
        <v>19</v>
      </c>
      <c r="H1742" t="s">
        <v>19</v>
      </c>
      <c r="I1742" s="1">
        <v>46034</v>
      </c>
      <c r="J1742" s="1">
        <v>46034</v>
      </c>
      <c r="K1742" s="1">
        <v>46034</v>
      </c>
      <c r="L1742">
        <v>34</v>
      </c>
      <c r="M1742">
        <v>2.54</v>
      </c>
      <c r="N1742">
        <v>2.54</v>
      </c>
      <c r="O1742">
        <v>0</v>
      </c>
      <c r="P1742">
        <v>0</v>
      </c>
      <c r="Q1742" t="s">
        <v>108</v>
      </c>
    </row>
    <row r="1743" spans="1:17">
      <c r="A1743" t="s">
        <v>93</v>
      </c>
      <c r="B1743" t="s">
        <v>106</v>
      </c>
      <c r="C1743" t="s">
        <v>56</v>
      </c>
      <c r="D1743" t="s">
        <v>1526</v>
      </c>
      <c r="E1743">
        <v>22</v>
      </c>
      <c r="F1743" t="str">
        <f>VLOOKUP(E1743,[1]LOJA!$A:$B,2,0)</f>
        <v>GUARÁ</v>
      </c>
      <c r="G1743" t="s">
        <v>19</v>
      </c>
      <c r="H1743" t="s">
        <v>19</v>
      </c>
      <c r="I1743" s="1">
        <v>46034</v>
      </c>
      <c r="J1743" s="1">
        <v>46033</v>
      </c>
      <c r="K1743" s="1">
        <v>46034</v>
      </c>
      <c r="L1743">
        <v>34</v>
      </c>
      <c r="M1743">
        <v>9.7200000000000006</v>
      </c>
      <c r="N1743">
        <v>9.7200000000000006</v>
      </c>
      <c r="O1743">
        <v>0</v>
      </c>
      <c r="P1743">
        <v>0</v>
      </c>
      <c r="Q1743" t="s">
        <v>108</v>
      </c>
    </row>
    <row r="1744" spans="1:17">
      <c r="A1744" t="s">
        <v>93</v>
      </c>
      <c r="B1744" t="s">
        <v>106</v>
      </c>
      <c r="C1744" t="s">
        <v>56</v>
      </c>
      <c r="D1744" t="s">
        <v>1527</v>
      </c>
      <c r="E1744">
        <v>22</v>
      </c>
      <c r="F1744" t="str">
        <f>VLOOKUP(E1744,[1]LOJA!$A:$B,2,0)</f>
        <v>GUARÁ</v>
      </c>
      <c r="G1744" t="s">
        <v>19</v>
      </c>
      <c r="H1744" t="s">
        <v>19</v>
      </c>
      <c r="I1744" s="1">
        <v>46034</v>
      </c>
      <c r="J1744" s="1">
        <v>46034</v>
      </c>
      <c r="K1744" s="1">
        <v>46034</v>
      </c>
      <c r="L1744">
        <v>34</v>
      </c>
      <c r="M1744">
        <v>4.6500000000000004</v>
      </c>
      <c r="N1744">
        <v>4.6500000000000004</v>
      </c>
      <c r="O1744">
        <v>0</v>
      </c>
      <c r="P1744">
        <v>0</v>
      </c>
      <c r="Q1744" t="s">
        <v>108</v>
      </c>
    </row>
    <row r="1745" spans="1:17">
      <c r="A1745" t="s">
        <v>93</v>
      </c>
      <c r="B1745" t="s">
        <v>106</v>
      </c>
      <c r="C1745" t="s">
        <v>56</v>
      </c>
      <c r="D1745" t="s">
        <v>1528</v>
      </c>
      <c r="E1745">
        <v>22</v>
      </c>
      <c r="F1745" t="str">
        <f>VLOOKUP(E1745,[1]LOJA!$A:$B,2,0)</f>
        <v>GUARÁ</v>
      </c>
      <c r="G1745" t="s">
        <v>19</v>
      </c>
      <c r="H1745" t="s">
        <v>19</v>
      </c>
      <c r="I1745" s="1">
        <v>46034</v>
      </c>
      <c r="J1745" s="1">
        <v>46032</v>
      </c>
      <c r="K1745" s="1">
        <v>46034</v>
      </c>
      <c r="L1745">
        <v>34</v>
      </c>
      <c r="M1745">
        <v>2.7</v>
      </c>
      <c r="N1745">
        <v>2.7</v>
      </c>
      <c r="O1745">
        <v>0</v>
      </c>
      <c r="P1745">
        <v>0</v>
      </c>
      <c r="Q1745" t="s">
        <v>108</v>
      </c>
    </row>
    <row r="1746" spans="1:17">
      <c r="A1746" t="s">
        <v>93</v>
      </c>
      <c r="B1746" t="s">
        <v>106</v>
      </c>
      <c r="C1746" t="s">
        <v>56</v>
      </c>
      <c r="D1746" t="s">
        <v>1529</v>
      </c>
      <c r="E1746">
        <v>22</v>
      </c>
      <c r="F1746" t="str">
        <f>VLOOKUP(E1746,[1]LOJA!$A:$B,2,0)</f>
        <v>GUARÁ</v>
      </c>
      <c r="G1746" t="s">
        <v>19</v>
      </c>
      <c r="H1746" t="s">
        <v>19</v>
      </c>
      <c r="I1746" s="1">
        <v>46034</v>
      </c>
      <c r="J1746" s="1">
        <v>46032</v>
      </c>
      <c r="K1746" s="1">
        <v>46034</v>
      </c>
      <c r="L1746">
        <v>34</v>
      </c>
      <c r="M1746">
        <v>1.37</v>
      </c>
      <c r="N1746">
        <v>1.37</v>
      </c>
      <c r="O1746">
        <v>0</v>
      </c>
      <c r="P1746">
        <v>0</v>
      </c>
      <c r="Q1746" t="s">
        <v>108</v>
      </c>
    </row>
    <row r="1747" spans="1:17">
      <c r="A1747" t="s">
        <v>93</v>
      </c>
      <c r="B1747" t="s">
        <v>106</v>
      </c>
      <c r="C1747" t="s">
        <v>56</v>
      </c>
      <c r="D1747" t="s">
        <v>1530</v>
      </c>
      <c r="E1747">
        <v>22</v>
      </c>
      <c r="F1747" t="str">
        <f>VLOOKUP(E1747,[1]LOJA!$A:$B,2,0)</f>
        <v>GUARÁ</v>
      </c>
      <c r="G1747" t="s">
        <v>19</v>
      </c>
      <c r="H1747" t="s">
        <v>19</v>
      </c>
      <c r="I1747" s="1">
        <v>46034</v>
      </c>
      <c r="J1747" s="1">
        <v>46032</v>
      </c>
      <c r="K1747" s="1">
        <v>46034</v>
      </c>
      <c r="L1747">
        <v>34</v>
      </c>
      <c r="M1747">
        <v>2.5099999999999998</v>
      </c>
      <c r="N1747">
        <v>2.5099999999999998</v>
      </c>
      <c r="O1747">
        <v>0</v>
      </c>
      <c r="P1747">
        <v>0</v>
      </c>
      <c r="Q1747" t="s">
        <v>108</v>
      </c>
    </row>
    <row r="1748" spans="1:17">
      <c r="A1748" t="s">
        <v>93</v>
      </c>
      <c r="B1748" t="s">
        <v>106</v>
      </c>
      <c r="C1748" t="s">
        <v>56</v>
      </c>
      <c r="D1748" t="s">
        <v>1531</v>
      </c>
      <c r="E1748">
        <v>22</v>
      </c>
      <c r="F1748" t="str">
        <f>VLOOKUP(E1748,[1]LOJA!$A:$B,2,0)</f>
        <v>GUARÁ</v>
      </c>
      <c r="G1748" t="s">
        <v>19</v>
      </c>
      <c r="H1748" t="s">
        <v>19</v>
      </c>
      <c r="I1748" s="1">
        <v>46034</v>
      </c>
      <c r="J1748" s="1">
        <v>46032</v>
      </c>
      <c r="K1748" s="1">
        <v>46034</v>
      </c>
      <c r="L1748">
        <v>34</v>
      </c>
      <c r="M1748">
        <v>2.89</v>
      </c>
      <c r="N1748">
        <v>2.89</v>
      </c>
      <c r="O1748">
        <v>0</v>
      </c>
      <c r="P1748">
        <v>0</v>
      </c>
      <c r="Q1748" t="s">
        <v>108</v>
      </c>
    </row>
    <row r="1749" spans="1:17">
      <c r="A1749" t="s">
        <v>93</v>
      </c>
      <c r="B1749" t="s">
        <v>106</v>
      </c>
      <c r="C1749" t="s">
        <v>56</v>
      </c>
      <c r="D1749" t="s">
        <v>1532</v>
      </c>
      <c r="E1749">
        <v>22</v>
      </c>
      <c r="F1749" t="str">
        <f>VLOOKUP(E1749,[1]LOJA!$A:$B,2,0)</f>
        <v>GUARÁ</v>
      </c>
      <c r="G1749" t="s">
        <v>19</v>
      </c>
      <c r="H1749" t="s">
        <v>19</v>
      </c>
      <c r="I1749" s="1">
        <v>46034</v>
      </c>
      <c r="J1749" s="1">
        <v>46033</v>
      </c>
      <c r="K1749" s="1">
        <v>46034</v>
      </c>
      <c r="L1749">
        <v>34</v>
      </c>
      <c r="M1749">
        <v>0.49</v>
      </c>
      <c r="N1749">
        <v>0.49</v>
      </c>
      <c r="O1749">
        <v>0</v>
      </c>
      <c r="P1749">
        <v>0</v>
      </c>
      <c r="Q1749" t="s">
        <v>108</v>
      </c>
    </row>
    <row r="1750" spans="1:17">
      <c r="A1750" t="s">
        <v>93</v>
      </c>
      <c r="B1750" t="s">
        <v>106</v>
      </c>
      <c r="C1750" t="s">
        <v>56</v>
      </c>
      <c r="D1750" t="s">
        <v>1533</v>
      </c>
      <c r="E1750">
        <v>22</v>
      </c>
      <c r="F1750" t="str">
        <f>VLOOKUP(E1750,[1]LOJA!$A:$B,2,0)</f>
        <v>GUARÁ</v>
      </c>
      <c r="G1750" t="s">
        <v>19</v>
      </c>
      <c r="H1750" t="s">
        <v>19</v>
      </c>
      <c r="I1750" s="1">
        <v>46034</v>
      </c>
      <c r="J1750" s="1">
        <v>46033</v>
      </c>
      <c r="K1750" s="1">
        <v>46034</v>
      </c>
      <c r="L1750">
        <v>34</v>
      </c>
      <c r="M1750">
        <v>0.53</v>
      </c>
      <c r="N1750">
        <v>0.53</v>
      </c>
      <c r="O1750">
        <v>0</v>
      </c>
      <c r="P1750">
        <v>0</v>
      </c>
      <c r="Q1750" t="s">
        <v>108</v>
      </c>
    </row>
    <row r="1751" spans="1:17">
      <c r="A1751" t="s">
        <v>93</v>
      </c>
      <c r="B1751" t="s">
        <v>106</v>
      </c>
      <c r="C1751" t="s">
        <v>56</v>
      </c>
      <c r="D1751" t="s">
        <v>1534</v>
      </c>
      <c r="E1751">
        <v>22</v>
      </c>
      <c r="F1751" t="str">
        <f>VLOOKUP(E1751,[1]LOJA!$A:$B,2,0)</f>
        <v>GUARÁ</v>
      </c>
      <c r="G1751" t="s">
        <v>19</v>
      </c>
      <c r="H1751" t="s">
        <v>19</v>
      </c>
      <c r="I1751" s="1">
        <v>46034</v>
      </c>
      <c r="J1751" s="1">
        <v>46033</v>
      </c>
      <c r="K1751" s="1">
        <v>46034</v>
      </c>
      <c r="L1751">
        <v>34</v>
      </c>
      <c r="M1751">
        <v>1.19</v>
      </c>
      <c r="N1751">
        <v>1.19</v>
      </c>
      <c r="O1751">
        <v>0</v>
      </c>
      <c r="P1751">
        <v>0</v>
      </c>
      <c r="Q1751" t="s">
        <v>108</v>
      </c>
    </row>
    <row r="1752" spans="1:17">
      <c r="A1752" t="s">
        <v>93</v>
      </c>
      <c r="B1752" t="s">
        <v>106</v>
      </c>
      <c r="C1752" t="s">
        <v>56</v>
      </c>
      <c r="D1752" t="s">
        <v>1535</v>
      </c>
      <c r="E1752">
        <v>22</v>
      </c>
      <c r="F1752" t="str">
        <f>VLOOKUP(E1752,[1]LOJA!$A:$B,2,0)</f>
        <v>GUARÁ</v>
      </c>
      <c r="G1752" t="s">
        <v>19</v>
      </c>
      <c r="H1752" t="s">
        <v>19</v>
      </c>
      <c r="I1752" s="1">
        <v>46034</v>
      </c>
      <c r="J1752" s="1">
        <v>46033</v>
      </c>
      <c r="K1752" s="1">
        <v>46034</v>
      </c>
      <c r="L1752">
        <v>34</v>
      </c>
      <c r="M1752">
        <v>2.66</v>
      </c>
      <c r="N1752">
        <v>2.66</v>
      </c>
      <c r="O1752">
        <v>0</v>
      </c>
      <c r="P1752">
        <v>0</v>
      </c>
      <c r="Q1752" t="s">
        <v>108</v>
      </c>
    </row>
    <row r="1753" spans="1:17">
      <c r="A1753" t="s">
        <v>93</v>
      </c>
      <c r="B1753" t="s">
        <v>106</v>
      </c>
      <c r="C1753" t="s">
        <v>56</v>
      </c>
      <c r="D1753" t="s">
        <v>1536</v>
      </c>
      <c r="E1753">
        <v>22</v>
      </c>
      <c r="F1753" t="str">
        <f>VLOOKUP(E1753,[1]LOJA!$A:$B,2,0)</f>
        <v>GUARÁ</v>
      </c>
      <c r="G1753" t="s">
        <v>19</v>
      </c>
      <c r="H1753" t="s">
        <v>19</v>
      </c>
      <c r="I1753" s="1">
        <v>46034</v>
      </c>
      <c r="J1753" s="1">
        <v>46033</v>
      </c>
      <c r="K1753" s="1">
        <v>46034</v>
      </c>
      <c r="L1753">
        <v>34</v>
      </c>
      <c r="M1753">
        <v>7.0000000000000007E-2</v>
      </c>
      <c r="N1753">
        <v>7.0000000000000007E-2</v>
      </c>
      <c r="O1753">
        <v>0</v>
      </c>
      <c r="P1753">
        <v>0</v>
      </c>
      <c r="Q1753" t="s">
        <v>108</v>
      </c>
    </row>
    <row r="1754" spans="1:17">
      <c r="A1754" t="s">
        <v>93</v>
      </c>
      <c r="B1754" t="s">
        <v>106</v>
      </c>
      <c r="C1754" t="s">
        <v>56</v>
      </c>
      <c r="D1754" t="s">
        <v>1537</v>
      </c>
      <c r="E1754">
        <v>22</v>
      </c>
      <c r="F1754" t="str">
        <f>VLOOKUP(E1754,[1]LOJA!$A:$B,2,0)</f>
        <v>GUARÁ</v>
      </c>
      <c r="G1754" t="s">
        <v>19</v>
      </c>
      <c r="H1754" t="s">
        <v>19</v>
      </c>
      <c r="I1754" s="1">
        <v>46034</v>
      </c>
      <c r="J1754" s="1">
        <v>46033</v>
      </c>
      <c r="K1754" s="1">
        <v>46034</v>
      </c>
      <c r="L1754">
        <v>34</v>
      </c>
      <c r="M1754">
        <v>1.31</v>
      </c>
      <c r="N1754">
        <v>1.31</v>
      </c>
      <c r="O1754">
        <v>0</v>
      </c>
      <c r="P1754">
        <v>0</v>
      </c>
      <c r="Q1754" t="s">
        <v>108</v>
      </c>
    </row>
    <row r="1755" spans="1:17">
      <c r="A1755" t="s">
        <v>93</v>
      </c>
      <c r="B1755" t="s">
        <v>106</v>
      </c>
      <c r="C1755" t="s">
        <v>56</v>
      </c>
      <c r="D1755" t="s">
        <v>1538</v>
      </c>
      <c r="E1755">
        <v>22</v>
      </c>
      <c r="F1755" t="str">
        <f>VLOOKUP(E1755,[1]LOJA!$A:$B,2,0)</f>
        <v>GUARÁ</v>
      </c>
      <c r="G1755" t="s">
        <v>19</v>
      </c>
      <c r="H1755" t="s">
        <v>19</v>
      </c>
      <c r="I1755" s="1">
        <v>46034</v>
      </c>
      <c r="J1755" s="1">
        <v>46033</v>
      </c>
      <c r="K1755" s="1">
        <v>46034</v>
      </c>
      <c r="L1755">
        <v>34</v>
      </c>
      <c r="M1755">
        <v>3.06</v>
      </c>
      <c r="N1755">
        <v>3.06</v>
      </c>
      <c r="O1755">
        <v>0</v>
      </c>
      <c r="P1755">
        <v>0</v>
      </c>
      <c r="Q1755" t="s">
        <v>108</v>
      </c>
    </row>
    <row r="1756" spans="1:17">
      <c r="A1756" t="s">
        <v>93</v>
      </c>
      <c r="B1756" t="s">
        <v>106</v>
      </c>
      <c r="C1756" t="s">
        <v>56</v>
      </c>
      <c r="D1756" t="s">
        <v>1539</v>
      </c>
      <c r="E1756">
        <v>22</v>
      </c>
      <c r="F1756" t="str">
        <f>VLOOKUP(E1756,[1]LOJA!$A:$B,2,0)</f>
        <v>GUARÁ</v>
      </c>
      <c r="G1756" t="s">
        <v>19</v>
      </c>
      <c r="H1756" t="s">
        <v>19</v>
      </c>
      <c r="I1756" s="1">
        <v>46034</v>
      </c>
      <c r="J1756" s="1">
        <v>46033</v>
      </c>
      <c r="K1756" s="1">
        <v>46034</v>
      </c>
      <c r="L1756">
        <v>34</v>
      </c>
      <c r="M1756">
        <v>0.49</v>
      </c>
      <c r="N1756">
        <v>0.49</v>
      </c>
      <c r="O1756">
        <v>0</v>
      </c>
      <c r="P1756">
        <v>0</v>
      </c>
      <c r="Q1756" t="s">
        <v>108</v>
      </c>
    </row>
    <row r="1757" spans="1:17">
      <c r="A1757" t="s">
        <v>93</v>
      </c>
      <c r="B1757" t="s">
        <v>106</v>
      </c>
      <c r="C1757" t="s">
        <v>56</v>
      </c>
      <c r="D1757" t="s">
        <v>1540</v>
      </c>
      <c r="E1757">
        <v>22</v>
      </c>
      <c r="F1757" t="str">
        <f>VLOOKUP(E1757,[1]LOJA!$A:$B,2,0)</f>
        <v>GUARÁ</v>
      </c>
      <c r="G1757" t="s">
        <v>19</v>
      </c>
      <c r="H1757" t="s">
        <v>19</v>
      </c>
      <c r="I1757" s="1">
        <v>46034</v>
      </c>
      <c r="J1757" s="1">
        <v>46033</v>
      </c>
      <c r="K1757" s="1">
        <v>46034</v>
      </c>
      <c r="L1757">
        <v>34</v>
      </c>
      <c r="M1757">
        <v>1.23</v>
      </c>
      <c r="N1757">
        <v>1.23</v>
      </c>
      <c r="O1757">
        <v>0</v>
      </c>
      <c r="P1757">
        <v>0</v>
      </c>
      <c r="Q1757" t="s">
        <v>108</v>
      </c>
    </row>
    <row r="1758" spans="1:17">
      <c r="A1758" t="s">
        <v>93</v>
      </c>
      <c r="B1758" t="s">
        <v>106</v>
      </c>
      <c r="C1758" t="s">
        <v>56</v>
      </c>
      <c r="D1758" t="s">
        <v>1541</v>
      </c>
      <c r="E1758">
        <v>22</v>
      </c>
      <c r="F1758" t="str">
        <f>VLOOKUP(E1758,[1]LOJA!$A:$B,2,0)</f>
        <v>GUARÁ</v>
      </c>
      <c r="G1758" t="s">
        <v>19</v>
      </c>
      <c r="H1758" t="s">
        <v>19</v>
      </c>
      <c r="I1758" s="1">
        <v>46034</v>
      </c>
      <c r="J1758" s="1">
        <v>46033</v>
      </c>
      <c r="K1758" s="1">
        <v>46034</v>
      </c>
      <c r="L1758">
        <v>34</v>
      </c>
      <c r="M1758">
        <v>2.54</v>
      </c>
      <c r="N1758">
        <v>2.54</v>
      </c>
      <c r="O1758">
        <v>0</v>
      </c>
      <c r="P1758">
        <v>0</v>
      </c>
      <c r="Q1758" t="s">
        <v>108</v>
      </c>
    </row>
    <row r="1759" spans="1:17">
      <c r="A1759" t="s">
        <v>93</v>
      </c>
      <c r="B1759" t="s">
        <v>106</v>
      </c>
      <c r="C1759" t="s">
        <v>56</v>
      </c>
      <c r="D1759" t="s">
        <v>1542</v>
      </c>
      <c r="E1759">
        <v>22</v>
      </c>
      <c r="F1759" t="str">
        <f>VLOOKUP(E1759,[1]LOJA!$A:$B,2,0)</f>
        <v>GUARÁ</v>
      </c>
      <c r="G1759" t="s">
        <v>19</v>
      </c>
      <c r="H1759" t="s">
        <v>19</v>
      </c>
      <c r="I1759" s="1">
        <v>46034</v>
      </c>
      <c r="J1759" s="1">
        <v>46034</v>
      </c>
      <c r="K1759" s="1">
        <v>46034</v>
      </c>
      <c r="L1759">
        <v>34</v>
      </c>
      <c r="M1759">
        <v>2.74</v>
      </c>
      <c r="N1759">
        <v>2.74</v>
      </c>
      <c r="O1759">
        <v>0</v>
      </c>
      <c r="P1759">
        <v>0</v>
      </c>
      <c r="Q1759" t="s">
        <v>108</v>
      </c>
    </row>
    <row r="1760" spans="1:17">
      <c r="A1760" t="s">
        <v>93</v>
      </c>
      <c r="B1760" t="s">
        <v>106</v>
      </c>
      <c r="C1760" t="s">
        <v>56</v>
      </c>
      <c r="D1760" t="s">
        <v>1543</v>
      </c>
      <c r="E1760">
        <v>22</v>
      </c>
      <c r="F1760" t="str">
        <f>VLOOKUP(E1760,[1]LOJA!$A:$B,2,0)</f>
        <v>GUARÁ</v>
      </c>
      <c r="G1760" t="s">
        <v>19</v>
      </c>
      <c r="H1760" t="s">
        <v>19</v>
      </c>
      <c r="I1760" s="1">
        <v>46034</v>
      </c>
      <c r="J1760" s="1">
        <v>46034</v>
      </c>
      <c r="K1760" s="1">
        <v>46034</v>
      </c>
      <c r="L1760">
        <v>34</v>
      </c>
      <c r="M1760">
        <v>0.18</v>
      </c>
      <c r="N1760">
        <v>0.18</v>
      </c>
      <c r="O1760">
        <v>0</v>
      </c>
      <c r="P1760">
        <v>0</v>
      </c>
      <c r="Q1760" t="s">
        <v>108</v>
      </c>
    </row>
    <row r="1761" spans="1:17">
      <c r="A1761" t="s">
        <v>93</v>
      </c>
      <c r="B1761" t="s">
        <v>106</v>
      </c>
      <c r="C1761" t="s">
        <v>56</v>
      </c>
      <c r="D1761" t="s">
        <v>1544</v>
      </c>
      <c r="E1761">
        <v>22</v>
      </c>
      <c r="F1761" t="str">
        <f>VLOOKUP(E1761,[1]LOJA!$A:$B,2,0)</f>
        <v>GUARÁ</v>
      </c>
      <c r="G1761" t="s">
        <v>19</v>
      </c>
      <c r="H1761" t="s">
        <v>19</v>
      </c>
      <c r="I1761" s="1">
        <v>46034</v>
      </c>
      <c r="J1761" s="1">
        <v>46034</v>
      </c>
      <c r="K1761" s="1">
        <v>46034</v>
      </c>
      <c r="L1761">
        <v>34</v>
      </c>
      <c r="M1761">
        <v>1.9</v>
      </c>
      <c r="N1761">
        <v>1.9</v>
      </c>
      <c r="O1761">
        <v>0</v>
      </c>
      <c r="P1761">
        <v>0</v>
      </c>
      <c r="Q1761" t="s">
        <v>108</v>
      </c>
    </row>
    <row r="1762" spans="1:17">
      <c r="A1762" t="s">
        <v>93</v>
      </c>
      <c r="B1762" t="s">
        <v>106</v>
      </c>
      <c r="C1762" t="s">
        <v>56</v>
      </c>
      <c r="D1762" t="s">
        <v>1545</v>
      </c>
      <c r="E1762">
        <v>22</v>
      </c>
      <c r="F1762" t="str">
        <f>VLOOKUP(E1762,[1]LOJA!$A:$B,2,0)</f>
        <v>GUARÁ</v>
      </c>
      <c r="G1762" t="s">
        <v>19</v>
      </c>
      <c r="H1762" t="s">
        <v>19</v>
      </c>
      <c r="I1762" s="1">
        <v>46034</v>
      </c>
      <c r="J1762" s="1">
        <v>46034</v>
      </c>
      <c r="K1762" s="1">
        <v>46034</v>
      </c>
      <c r="L1762">
        <v>34</v>
      </c>
      <c r="M1762">
        <v>0.51</v>
      </c>
      <c r="N1762">
        <v>0.51</v>
      </c>
      <c r="O1762">
        <v>0</v>
      </c>
      <c r="P1762">
        <v>0</v>
      </c>
      <c r="Q1762" t="s">
        <v>108</v>
      </c>
    </row>
    <row r="1763" spans="1:17">
      <c r="A1763" t="s">
        <v>93</v>
      </c>
      <c r="B1763" t="s">
        <v>106</v>
      </c>
      <c r="C1763" t="s">
        <v>56</v>
      </c>
      <c r="D1763" t="s">
        <v>1546</v>
      </c>
      <c r="E1763">
        <v>22</v>
      </c>
      <c r="F1763" t="str">
        <f>VLOOKUP(E1763,[1]LOJA!$A:$B,2,0)</f>
        <v>GUARÁ</v>
      </c>
      <c r="G1763" t="s">
        <v>19</v>
      </c>
      <c r="H1763" t="s">
        <v>19</v>
      </c>
      <c r="I1763" s="1">
        <v>46034</v>
      </c>
      <c r="J1763" s="1">
        <v>46034</v>
      </c>
      <c r="K1763" s="1">
        <v>46034</v>
      </c>
      <c r="L1763">
        <v>34</v>
      </c>
      <c r="M1763">
        <v>1.56</v>
      </c>
      <c r="N1763">
        <v>1.56</v>
      </c>
      <c r="O1763">
        <v>0</v>
      </c>
      <c r="P1763">
        <v>0</v>
      </c>
      <c r="Q1763" t="s">
        <v>108</v>
      </c>
    </row>
    <row r="1764" spans="1:17">
      <c r="A1764" t="s">
        <v>93</v>
      </c>
      <c r="B1764" t="s">
        <v>106</v>
      </c>
      <c r="C1764" t="s">
        <v>56</v>
      </c>
      <c r="D1764" t="s">
        <v>1547</v>
      </c>
      <c r="E1764">
        <v>22</v>
      </c>
      <c r="F1764" t="str">
        <f>VLOOKUP(E1764,[1]LOJA!$A:$B,2,0)</f>
        <v>GUARÁ</v>
      </c>
      <c r="G1764" t="s">
        <v>19</v>
      </c>
      <c r="H1764" t="s">
        <v>19</v>
      </c>
      <c r="I1764" s="1">
        <v>46034</v>
      </c>
      <c r="J1764" s="1">
        <v>46034</v>
      </c>
      <c r="K1764" s="1">
        <v>46034</v>
      </c>
      <c r="L1764">
        <v>34</v>
      </c>
      <c r="M1764">
        <v>1.05</v>
      </c>
      <c r="N1764">
        <v>1.05</v>
      </c>
      <c r="O1764">
        <v>0</v>
      </c>
      <c r="P1764">
        <v>0</v>
      </c>
      <c r="Q1764" t="s">
        <v>108</v>
      </c>
    </row>
    <row r="1765" spans="1:17">
      <c r="A1765" t="s">
        <v>93</v>
      </c>
      <c r="B1765" t="s">
        <v>106</v>
      </c>
      <c r="C1765" t="s">
        <v>56</v>
      </c>
      <c r="D1765" t="s">
        <v>1548</v>
      </c>
      <c r="E1765">
        <v>22</v>
      </c>
      <c r="F1765" t="str">
        <f>VLOOKUP(E1765,[1]LOJA!$A:$B,2,0)</f>
        <v>GUARÁ</v>
      </c>
      <c r="G1765" t="s">
        <v>19</v>
      </c>
      <c r="H1765" t="s">
        <v>19</v>
      </c>
      <c r="I1765" s="1">
        <v>46034</v>
      </c>
      <c r="J1765" s="1">
        <v>46034</v>
      </c>
      <c r="K1765" s="1">
        <v>46034</v>
      </c>
      <c r="L1765">
        <v>34</v>
      </c>
      <c r="M1765">
        <v>0.49</v>
      </c>
      <c r="N1765">
        <v>0.49</v>
      </c>
      <c r="O1765">
        <v>0</v>
      </c>
      <c r="P1765">
        <v>0</v>
      </c>
      <c r="Q1765" t="s">
        <v>108</v>
      </c>
    </row>
    <row r="1766" spans="1:17">
      <c r="A1766" t="s">
        <v>93</v>
      </c>
      <c r="B1766" t="s">
        <v>106</v>
      </c>
      <c r="C1766" t="s">
        <v>56</v>
      </c>
      <c r="D1766" t="s">
        <v>1549</v>
      </c>
      <c r="E1766">
        <v>22</v>
      </c>
      <c r="F1766" t="str">
        <f>VLOOKUP(E1766,[1]LOJA!$A:$B,2,0)</f>
        <v>GUARÁ</v>
      </c>
      <c r="G1766" t="s">
        <v>19</v>
      </c>
      <c r="H1766" t="s">
        <v>19</v>
      </c>
      <c r="I1766" s="1">
        <v>46034</v>
      </c>
      <c r="J1766" s="1">
        <v>46032</v>
      </c>
      <c r="K1766" s="1">
        <v>46034</v>
      </c>
      <c r="L1766">
        <v>34</v>
      </c>
      <c r="M1766">
        <v>0.91</v>
      </c>
      <c r="N1766">
        <v>0.91</v>
      </c>
      <c r="O1766">
        <v>0</v>
      </c>
      <c r="P1766">
        <v>0</v>
      </c>
      <c r="Q1766" t="s">
        <v>108</v>
      </c>
    </row>
    <row r="1767" spans="1:17">
      <c r="A1767" t="s">
        <v>93</v>
      </c>
      <c r="B1767" t="s">
        <v>106</v>
      </c>
      <c r="C1767" t="s">
        <v>56</v>
      </c>
      <c r="D1767" t="s">
        <v>1550</v>
      </c>
      <c r="E1767">
        <v>22</v>
      </c>
      <c r="F1767" t="str">
        <f>VLOOKUP(E1767,[1]LOJA!$A:$B,2,0)</f>
        <v>GUARÁ</v>
      </c>
      <c r="G1767" t="s">
        <v>19</v>
      </c>
      <c r="H1767" t="s">
        <v>19</v>
      </c>
      <c r="I1767" s="1">
        <v>46034</v>
      </c>
      <c r="J1767" s="1">
        <v>46032</v>
      </c>
      <c r="K1767" s="1">
        <v>46034</v>
      </c>
      <c r="L1767">
        <v>34</v>
      </c>
      <c r="M1767">
        <v>0.16</v>
      </c>
      <c r="N1767">
        <v>0.16</v>
      </c>
      <c r="O1767">
        <v>0</v>
      </c>
      <c r="P1767">
        <v>0</v>
      </c>
      <c r="Q1767" t="s">
        <v>108</v>
      </c>
    </row>
    <row r="1768" spans="1:17">
      <c r="A1768" t="s">
        <v>93</v>
      </c>
      <c r="B1768" t="s">
        <v>106</v>
      </c>
      <c r="C1768" t="s">
        <v>56</v>
      </c>
      <c r="D1768" t="s">
        <v>1551</v>
      </c>
      <c r="E1768">
        <v>22</v>
      </c>
      <c r="F1768" t="str">
        <f>VLOOKUP(E1768,[1]LOJA!$A:$B,2,0)</f>
        <v>GUARÁ</v>
      </c>
      <c r="G1768" t="s">
        <v>19</v>
      </c>
      <c r="H1768" t="s">
        <v>19</v>
      </c>
      <c r="I1768" s="1">
        <v>46034</v>
      </c>
      <c r="J1768" s="1">
        <v>46032</v>
      </c>
      <c r="K1768" s="1">
        <v>46034</v>
      </c>
      <c r="L1768">
        <v>34</v>
      </c>
      <c r="M1768">
        <v>0.24</v>
      </c>
      <c r="N1768">
        <v>0.24</v>
      </c>
      <c r="O1768">
        <v>0</v>
      </c>
      <c r="P1768">
        <v>0</v>
      </c>
      <c r="Q1768" t="s">
        <v>108</v>
      </c>
    </row>
    <row r="1769" spans="1:17">
      <c r="A1769" t="s">
        <v>93</v>
      </c>
      <c r="B1769" t="s">
        <v>106</v>
      </c>
      <c r="C1769" t="s">
        <v>56</v>
      </c>
      <c r="D1769" t="s">
        <v>1552</v>
      </c>
      <c r="E1769">
        <v>22</v>
      </c>
      <c r="F1769" t="str">
        <f>VLOOKUP(E1769,[1]LOJA!$A:$B,2,0)</f>
        <v>GUARÁ</v>
      </c>
      <c r="G1769" t="s">
        <v>19</v>
      </c>
      <c r="H1769" t="s">
        <v>19</v>
      </c>
      <c r="I1769" s="1">
        <v>46034</v>
      </c>
      <c r="J1769" s="1">
        <v>46032</v>
      </c>
      <c r="K1769" s="1">
        <v>46034</v>
      </c>
      <c r="L1769">
        <v>34</v>
      </c>
      <c r="M1769">
        <v>0.57999999999999996</v>
      </c>
      <c r="N1769">
        <v>0.57999999999999996</v>
      </c>
      <c r="O1769">
        <v>0</v>
      </c>
      <c r="P1769">
        <v>0</v>
      </c>
      <c r="Q1769" t="s">
        <v>108</v>
      </c>
    </row>
    <row r="1770" spans="1:17">
      <c r="A1770" t="s">
        <v>93</v>
      </c>
      <c r="B1770" t="s">
        <v>106</v>
      </c>
      <c r="C1770" t="s">
        <v>56</v>
      </c>
      <c r="D1770" t="s">
        <v>1553</v>
      </c>
      <c r="E1770">
        <v>22</v>
      </c>
      <c r="F1770" t="str">
        <f>VLOOKUP(E1770,[1]LOJA!$A:$B,2,0)</f>
        <v>GUARÁ</v>
      </c>
      <c r="G1770" t="s">
        <v>19</v>
      </c>
      <c r="H1770" t="s">
        <v>19</v>
      </c>
      <c r="I1770" s="1">
        <v>46034</v>
      </c>
      <c r="J1770" s="1">
        <v>46032</v>
      </c>
      <c r="K1770" s="1">
        <v>46034</v>
      </c>
      <c r="L1770">
        <v>34</v>
      </c>
      <c r="M1770">
        <v>1.01</v>
      </c>
      <c r="N1770">
        <v>1.01</v>
      </c>
      <c r="O1770">
        <v>0</v>
      </c>
      <c r="P1770">
        <v>0</v>
      </c>
      <c r="Q1770" t="s">
        <v>108</v>
      </c>
    </row>
    <row r="1771" spans="1:17">
      <c r="A1771" t="s">
        <v>93</v>
      </c>
      <c r="B1771" t="s">
        <v>106</v>
      </c>
      <c r="C1771" t="s">
        <v>56</v>
      </c>
      <c r="D1771" t="s">
        <v>1554</v>
      </c>
      <c r="E1771">
        <v>22</v>
      </c>
      <c r="F1771" t="str">
        <f>VLOOKUP(E1771,[1]LOJA!$A:$B,2,0)</f>
        <v>GUARÁ</v>
      </c>
      <c r="G1771" t="s">
        <v>19</v>
      </c>
      <c r="H1771" t="s">
        <v>19</v>
      </c>
      <c r="I1771" s="1">
        <v>46034</v>
      </c>
      <c r="J1771" s="1">
        <v>46032</v>
      </c>
      <c r="K1771" s="1">
        <v>46034</v>
      </c>
      <c r="L1771">
        <v>34</v>
      </c>
      <c r="M1771">
        <v>0.1</v>
      </c>
      <c r="N1771">
        <v>0.1</v>
      </c>
      <c r="O1771">
        <v>0</v>
      </c>
      <c r="P1771">
        <v>0</v>
      </c>
      <c r="Q1771" t="s">
        <v>108</v>
      </c>
    </row>
    <row r="1772" spans="1:17">
      <c r="A1772" t="s">
        <v>93</v>
      </c>
      <c r="B1772" t="s">
        <v>106</v>
      </c>
      <c r="C1772" t="s">
        <v>56</v>
      </c>
      <c r="D1772" t="s">
        <v>1555</v>
      </c>
      <c r="E1772">
        <v>22</v>
      </c>
      <c r="F1772" t="str">
        <f>VLOOKUP(E1772,[1]LOJA!$A:$B,2,0)</f>
        <v>GUARÁ</v>
      </c>
      <c r="G1772" t="s">
        <v>19</v>
      </c>
      <c r="H1772" t="s">
        <v>19</v>
      </c>
      <c r="I1772" s="1">
        <v>46034</v>
      </c>
      <c r="J1772" s="1">
        <v>46032</v>
      </c>
      <c r="K1772" s="1">
        <v>46034</v>
      </c>
      <c r="L1772">
        <v>34</v>
      </c>
      <c r="M1772">
        <v>0.18</v>
      </c>
      <c r="N1772">
        <v>0.18</v>
      </c>
      <c r="O1772">
        <v>0</v>
      </c>
      <c r="P1772">
        <v>0</v>
      </c>
      <c r="Q1772" t="s">
        <v>108</v>
      </c>
    </row>
    <row r="1773" spans="1:17">
      <c r="A1773" t="s">
        <v>93</v>
      </c>
      <c r="B1773" t="s">
        <v>106</v>
      </c>
      <c r="C1773" t="s">
        <v>56</v>
      </c>
      <c r="D1773" t="s">
        <v>1556</v>
      </c>
      <c r="E1773">
        <v>22</v>
      </c>
      <c r="F1773" t="str">
        <f>VLOOKUP(E1773,[1]LOJA!$A:$B,2,0)</f>
        <v>GUARÁ</v>
      </c>
      <c r="G1773" t="s">
        <v>19</v>
      </c>
      <c r="H1773" t="s">
        <v>19</v>
      </c>
      <c r="I1773" s="1">
        <v>46034</v>
      </c>
      <c r="J1773" s="1">
        <v>46033</v>
      </c>
      <c r="K1773" s="1">
        <v>46034</v>
      </c>
      <c r="L1773">
        <v>34</v>
      </c>
      <c r="M1773">
        <v>0.27</v>
      </c>
      <c r="N1773">
        <v>0.27</v>
      </c>
      <c r="O1773">
        <v>0</v>
      </c>
      <c r="P1773">
        <v>0</v>
      </c>
      <c r="Q1773" t="s">
        <v>108</v>
      </c>
    </row>
    <row r="1774" spans="1:17">
      <c r="A1774" t="s">
        <v>93</v>
      </c>
      <c r="B1774" t="s">
        <v>106</v>
      </c>
      <c r="C1774" t="s">
        <v>56</v>
      </c>
      <c r="D1774" t="s">
        <v>1557</v>
      </c>
      <c r="E1774">
        <v>22</v>
      </c>
      <c r="F1774" t="str">
        <f>VLOOKUP(E1774,[1]LOJA!$A:$B,2,0)</f>
        <v>GUARÁ</v>
      </c>
      <c r="G1774" t="s">
        <v>19</v>
      </c>
      <c r="H1774" t="s">
        <v>19</v>
      </c>
      <c r="I1774" s="1">
        <v>46034</v>
      </c>
      <c r="J1774" s="1">
        <v>46033</v>
      </c>
      <c r="K1774" s="1">
        <v>46034</v>
      </c>
      <c r="L1774">
        <v>34</v>
      </c>
      <c r="M1774">
        <v>0.34</v>
      </c>
      <c r="N1774">
        <v>0.34</v>
      </c>
      <c r="O1774">
        <v>0</v>
      </c>
      <c r="P1774">
        <v>0</v>
      </c>
      <c r="Q1774" t="s">
        <v>108</v>
      </c>
    </row>
    <row r="1775" spans="1:17">
      <c r="A1775" t="s">
        <v>93</v>
      </c>
      <c r="B1775" t="s">
        <v>106</v>
      </c>
      <c r="C1775" t="s">
        <v>56</v>
      </c>
      <c r="D1775" t="s">
        <v>1558</v>
      </c>
      <c r="E1775">
        <v>22</v>
      </c>
      <c r="F1775" t="str">
        <f>VLOOKUP(E1775,[1]LOJA!$A:$B,2,0)</f>
        <v>GUARÁ</v>
      </c>
      <c r="G1775" t="s">
        <v>19</v>
      </c>
      <c r="H1775" t="s">
        <v>19</v>
      </c>
      <c r="I1775" s="1">
        <v>46034</v>
      </c>
      <c r="J1775" s="1">
        <v>46033</v>
      </c>
      <c r="K1775" s="1">
        <v>46034</v>
      </c>
      <c r="L1775">
        <v>34</v>
      </c>
      <c r="M1775">
        <v>7.0000000000000007E-2</v>
      </c>
      <c r="N1775">
        <v>7.0000000000000007E-2</v>
      </c>
      <c r="O1775">
        <v>0</v>
      </c>
      <c r="P1775">
        <v>0</v>
      </c>
      <c r="Q1775" t="s">
        <v>108</v>
      </c>
    </row>
    <row r="1776" spans="1:17">
      <c r="A1776" t="s">
        <v>93</v>
      </c>
      <c r="B1776" t="s">
        <v>106</v>
      </c>
      <c r="C1776" t="s">
        <v>56</v>
      </c>
      <c r="D1776" t="s">
        <v>1559</v>
      </c>
      <c r="E1776">
        <v>22</v>
      </c>
      <c r="F1776" t="str">
        <f>VLOOKUP(E1776,[1]LOJA!$A:$B,2,0)</f>
        <v>GUARÁ</v>
      </c>
      <c r="G1776" t="s">
        <v>19</v>
      </c>
      <c r="H1776" t="s">
        <v>19</v>
      </c>
      <c r="I1776" s="1">
        <v>46034</v>
      </c>
      <c r="J1776" s="1">
        <v>46033</v>
      </c>
      <c r="K1776" s="1">
        <v>46034</v>
      </c>
      <c r="L1776">
        <v>34</v>
      </c>
      <c r="M1776">
        <v>0.64</v>
      </c>
      <c r="N1776">
        <v>0.64</v>
      </c>
      <c r="O1776">
        <v>0</v>
      </c>
      <c r="P1776">
        <v>0</v>
      </c>
      <c r="Q1776" t="s">
        <v>108</v>
      </c>
    </row>
    <row r="1777" spans="1:17">
      <c r="A1777" t="s">
        <v>93</v>
      </c>
      <c r="B1777" t="s">
        <v>106</v>
      </c>
      <c r="C1777" t="s">
        <v>56</v>
      </c>
      <c r="D1777" t="s">
        <v>1560</v>
      </c>
      <c r="E1777">
        <v>22</v>
      </c>
      <c r="F1777" t="str">
        <f>VLOOKUP(E1777,[1]LOJA!$A:$B,2,0)</f>
        <v>GUARÁ</v>
      </c>
      <c r="G1777" t="s">
        <v>19</v>
      </c>
      <c r="H1777" t="s">
        <v>19</v>
      </c>
      <c r="I1777" s="1">
        <v>46034</v>
      </c>
      <c r="J1777" s="1">
        <v>46033</v>
      </c>
      <c r="K1777" s="1">
        <v>46034</v>
      </c>
      <c r="L1777">
        <v>34</v>
      </c>
      <c r="M1777">
        <v>0.11</v>
      </c>
      <c r="N1777">
        <v>0.11</v>
      </c>
      <c r="O1777">
        <v>0</v>
      </c>
      <c r="P1777">
        <v>0</v>
      </c>
      <c r="Q1777" t="s">
        <v>108</v>
      </c>
    </row>
    <row r="1778" spans="1:17">
      <c r="A1778" t="s">
        <v>93</v>
      </c>
      <c r="B1778" t="s">
        <v>106</v>
      </c>
      <c r="C1778" t="s">
        <v>56</v>
      </c>
      <c r="D1778" t="s">
        <v>1561</v>
      </c>
      <c r="E1778">
        <v>22</v>
      </c>
      <c r="F1778" t="str">
        <f>VLOOKUP(E1778,[1]LOJA!$A:$B,2,0)</f>
        <v>GUARÁ</v>
      </c>
      <c r="G1778" t="s">
        <v>19</v>
      </c>
      <c r="H1778" t="s">
        <v>19</v>
      </c>
      <c r="I1778" s="1">
        <v>46034</v>
      </c>
      <c r="J1778" s="1">
        <v>46033</v>
      </c>
      <c r="K1778" s="1">
        <v>46034</v>
      </c>
      <c r="L1778">
        <v>34</v>
      </c>
      <c r="M1778">
        <v>0.25</v>
      </c>
      <c r="N1778">
        <v>0.25</v>
      </c>
      <c r="O1778">
        <v>0</v>
      </c>
      <c r="P1778">
        <v>0</v>
      </c>
      <c r="Q1778" t="s">
        <v>108</v>
      </c>
    </row>
    <row r="1779" spans="1:17">
      <c r="A1779" t="s">
        <v>93</v>
      </c>
      <c r="B1779" t="s">
        <v>106</v>
      </c>
      <c r="C1779" t="s">
        <v>56</v>
      </c>
      <c r="D1779" t="s">
        <v>1562</v>
      </c>
      <c r="E1779">
        <v>22</v>
      </c>
      <c r="F1779" t="str">
        <f>VLOOKUP(E1779,[1]LOJA!$A:$B,2,0)</f>
        <v>GUARÁ</v>
      </c>
      <c r="G1779" t="s">
        <v>19</v>
      </c>
      <c r="H1779" t="s">
        <v>19</v>
      </c>
      <c r="I1779" s="1">
        <v>46034</v>
      </c>
      <c r="J1779" s="1">
        <v>46033</v>
      </c>
      <c r="K1779" s="1">
        <v>46034</v>
      </c>
      <c r="L1779">
        <v>34</v>
      </c>
      <c r="M1779">
        <v>0.42</v>
      </c>
      <c r="N1779">
        <v>0.42</v>
      </c>
      <c r="O1779">
        <v>0</v>
      </c>
      <c r="P1779">
        <v>0</v>
      </c>
      <c r="Q1779" t="s">
        <v>108</v>
      </c>
    </row>
    <row r="1780" spans="1:17">
      <c r="A1780" t="s">
        <v>93</v>
      </c>
      <c r="B1780" t="s">
        <v>106</v>
      </c>
      <c r="C1780" t="s">
        <v>56</v>
      </c>
      <c r="D1780" t="s">
        <v>1563</v>
      </c>
      <c r="E1780">
        <v>22</v>
      </c>
      <c r="F1780" t="str">
        <f>VLOOKUP(E1780,[1]LOJA!$A:$B,2,0)</f>
        <v>GUARÁ</v>
      </c>
      <c r="G1780" t="s">
        <v>19</v>
      </c>
      <c r="H1780" t="s">
        <v>19</v>
      </c>
      <c r="I1780" s="1">
        <v>46034</v>
      </c>
      <c r="J1780" s="1">
        <v>46033</v>
      </c>
      <c r="K1780" s="1">
        <v>46034</v>
      </c>
      <c r="L1780">
        <v>34</v>
      </c>
      <c r="M1780">
        <v>0.34</v>
      </c>
      <c r="N1780">
        <v>0.34</v>
      </c>
      <c r="O1780">
        <v>0</v>
      </c>
      <c r="P1780">
        <v>0</v>
      </c>
      <c r="Q1780" t="s">
        <v>108</v>
      </c>
    </row>
    <row r="1781" spans="1:17">
      <c r="A1781" t="s">
        <v>93</v>
      </c>
      <c r="B1781" t="s">
        <v>106</v>
      </c>
      <c r="C1781" t="s">
        <v>56</v>
      </c>
      <c r="D1781" t="s">
        <v>1564</v>
      </c>
      <c r="E1781">
        <v>22</v>
      </c>
      <c r="F1781" t="str">
        <f>VLOOKUP(E1781,[1]LOJA!$A:$B,2,0)</f>
        <v>GUARÁ</v>
      </c>
      <c r="G1781" t="s">
        <v>19</v>
      </c>
      <c r="H1781" t="s">
        <v>19</v>
      </c>
      <c r="I1781" s="1">
        <v>46034</v>
      </c>
      <c r="J1781" s="1">
        <v>46033</v>
      </c>
      <c r="K1781" s="1">
        <v>46034</v>
      </c>
      <c r="L1781">
        <v>34</v>
      </c>
      <c r="M1781">
        <v>6.7</v>
      </c>
      <c r="N1781">
        <v>6.7</v>
      </c>
      <c r="O1781">
        <v>0</v>
      </c>
      <c r="P1781">
        <v>0</v>
      </c>
      <c r="Q1781" t="s">
        <v>108</v>
      </c>
    </row>
    <row r="1782" spans="1:17">
      <c r="A1782" t="s">
        <v>93</v>
      </c>
      <c r="B1782" t="s">
        <v>106</v>
      </c>
      <c r="C1782" t="s">
        <v>56</v>
      </c>
      <c r="D1782" t="s">
        <v>1565</v>
      </c>
      <c r="E1782">
        <v>22</v>
      </c>
      <c r="F1782" t="str">
        <f>VLOOKUP(E1782,[1]LOJA!$A:$B,2,0)</f>
        <v>GUARÁ</v>
      </c>
      <c r="G1782" t="s">
        <v>19</v>
      </c>
      <c r="H1782" t="s">
        <v>19</v>
      </c>
      <c r="I1782" s="1">
        <v>46034</v>
      </c>
      <c r="J1782" s="1">
        <v>46032</v>
      </c>
      <c r="K1782" s="1">
        <v>46034</v>
      </c>
      <c r="L1782">
        <v>34</v>
      </c>
      <c r="M1782">
        <v>0.05</v>
      </c>
      <c r="N1782">
        <v>0.05</v>
      </c>
      <c r="O1782">
        <v>0</v>
      </c>
      <c r="P1782">
        <v>0</v>
      </c>
      <c r="Q1782" t="s">
        <v>108</v>
      </c>
    </row>
    <row r="1783" spans="1:17">
      <c r="A1783" t="s">
        <v>93</v>
      </c>
      <c r="B1783" t="s">
        <v>106</v>
      </c>
      <c r="C1783" t="s">
        <v>56</v>
      </c>
      <c r="D1783" t="s">
        <v>1566</v>
      </c>
      <c r="E1783">
        <v>22</v>
      </c>
      <c r="F1783" t="str">
        <f>VLOOKUP(E1783,[1]LOJA!$A:$B,2,0)</f>
        <v>GUARÁ</v>
      </c>
      <c r="G1783" t="s">
        <v>19</v>
      </c>
      <c r="H1783" t="s">
        <v>19</v>
      </c>
      <c r="I1783" s="1">
        <v>46035</v>
      </c>
      <c r="J1783" s="1">
        <v>46035</v>
      </c>
      <c r="K1783" s="1">
        <v>46035</v>
      </c>
      <c r="L1783">
        <v>34</v>
      </c>
      <c r="M1783">
        <v>4.46</v>
      </c>
      <c r="N1783">
        <v>4.46</v>
      </c>
      <c r="O1783">
        <v>0</v>
      </c>
      <c r="P1783">
        <v>0</v>
      </c>
      <c r="Q1783" t="s">
        <v>108</v>
      </c>
    </row>
    <row r="1784" spans="1:17">
      <c r="A1784" t="s">
        <v>93</v>
      </c>
      <c r="B1784" t="s">
        <v>106</v>
      </c>
      <c r="C1784" t="s">
        <v>56</v>
      </c>
      <c r="D1784" t="s">
        <v>1567</v>
      </c>
      <c r="E1784">
        <v>22</v>
      </c>
      <c r="F1784" t="str">
        <f>VLOOKUP(E1784,[1]LOJA!$A:$B,2,0)</f>
        <v>GUARÁ</v>
      </c>
      <c r="G1784" t="s">
        <v>19</v>
      </c>
      <c r="H1784" t="s">
        <v>19</v>
      </c>
      <c r="I1784" s="1">
        <v>46035</v>
      </c>
      <c r="J1784" s="1">
        <v>46035</v>
      </c>
      <c r="K1784" s="1">
        <v>46035</v>
      </c>
      <c r="L1784">
        <v>34</v>
      </c>
      <c r="M1784">
        <v>8.76</v>
      </c>
      <c r="N1784">
        <v>8.76</v>
      </c>
      <c r="O1784">
        <v>0</v>
      </c>
      <c r="P1784">
        <v>0</v>
      </c>
      <c r="Q1784" t="s">
        <v>108</v>
      </c>
    </row>
    <row r="1785" spans="1:17">
      <c r="A1785" t="s">
        <v>93</v>
      </c>
      <c r="B1785" t="s">
        <v>106</v>
      </c>
      <c r="C1785" t="s">
        <v>56</v>
      </c>
      <c r="D1785" t="s">
        <v>1568</v>
      </c>
      <c r="E1785">
        <v>22</v>
      </c>
      <c r="F1785" t="str">
        <f>VLOOKUP(E1785,[1]LOJA!$A:$B,2,0)</f>
        <v>GUARÁ</v>
      </c>
      <c r="G1785" t="s">
        <v>19</v>
      </c>
      <c r="H1785" t="s">
        <v>19</v>
      </c>
      <c r="I1785" s="1">
        <v>46035</v>
      </c>
      <c r="J1785" s="1">
        <v>46035</v>
      </c>
      <c r="K1785" s="1">
        <v>46035</v>
      </c>
      <c r="L1785">
        <v>34</v>
      </c>
      <c r="M1785">
        <v>2.68</v>
      </c>
      <c r="N1785">
        <v>2.68</v>
      </c>
      <c r="O1785">
        <v>0</v>
      </c>
      <c r="P1785">
        <v>0</v>
      </c>
      <c r="Q1785" t="s">
        <v>108</v>
      </c>
    </row>
    <row r="1786" spans="1:17">
      <c r="A1786" t="s">
        <v>93</v>
      </c>
      <c r="B1786" t="s">
        <v>106</v>
      </c>
      <c r="C1786" t="s">
        <v>56</v>
      </c>
      <c r="D1786" t="s">
        <v>1569</v>
      </c>
      <c r="E1786">
        <v>22</v>
      </c>
      <c r="F1786" t="str">
        <f>VLOOKUP(E1786,[1]LOJA!$A:$B,2,0)</f>
        <v>GUARÁ</v>
      </c>
      <c r="G1786" t="s">
        <v>19</v>
      </c>
      <c r="H1786" t="s">
        <v>19</v>
      </c>
      <c r="I1786" s="1">
        <v>46035</v>
      </c>
      <c r="J1786" s="1">
        <v>46035</v>
      </c>
      <c r="K1786" s="1">
        <v>46035</v>
      </c>
      <c r="L1786">
        <v>34</v>
      </c>
      <c r="M1786">
        <v>1.28</v>
      </c>
      <c r="N1786">
        <v>1.28</v>
      </c>
      <c r="O1786">
        <v>0</v>
      </c>
      <c r="P1786">
        <v>0</v>
      </c>
      <c r="Q1786" t="s">
        <v>108</v>
      </c>
    </row>
    <row r="1787" spans="1:17">
      <c r="A1787" t="s">
        <v>93</v>
      </c>
      <c r="B1787" t="s">
        <v>106</v>
      </c>
      <c r="C1787" t="s">
        <v>56</v>
      </c>
      <c r="D1787" t="s">
        <v>1570</v>
      </c>
      <c r="E1787">
        <v>22</v>
      </c>
      <c r="F1787" t="str">
        <f>VLOOKUP(E1787,[1]LOJA!$A:$B,2,0)</f>
        <v>GUARÁ</v>
      </c>
      <c r="G1787" t="s">
        <v>19</v>
      </c>
      <c r="H1787" t="s">
        <v>19</v>
      </c>
      <c r="I1787" s="1">
        <v>46035</v>
      </c>
      <c r="J1787" s="1">
        <v>46035</v>
      </c>
      <c r="K1787" s="1">
        <v>46035</v>
      </c>
      <c r="L1787">
        <v>34</v>
      </c>
      <c r="M1787">
        <v>3.11</v>
      </c>
      <c r="N1787">
        <v>3.11</v>
      </c>
      <c r="O1787">
        <v>0</v>
      </c>
      <c r="P1787">
        <v>0</v>
      </c>
      <c r="Q1787" t="s">
        <v>108</v>
      </c>
    </row>
    <row r="1788" spans="1:17">
      <c r="A1788" t="s">
        <v>93</v>
      </c>
      <c r="B1788" t="s">
        <v>106</v>
      </c>
      <c r="C1788" t="s">
        <v>56</v>
      </c>
      <c r="D1788" t="s">
        <v>1571</v>
      </c>
      <c r="E1788">
        <v>22</v>
      </c>
      <c r="F1788" t="str">
        <f>VLOOKUP(E1788,[1]LOJA!$A:$B,2,0)</f>
        <v>GUARÁ</v>
      </c>
      <c r="G1788" t="s">
        <v>19</v>
      </c>
      <c r="H1788" t="s">
        <v>19</v>
      </c>
      <c r="I1788" s="1">
        <v>46035</v>
      </c>
      <c r="J1788" s="1">
        <v>46035</v>
      </c>
      <c r="K1788" s="1">
        <v>46035</v>
      </c>
      <c r="L1788">
        <v>34</v>
      </c>
      <c r="M1788">
        <v>2</v>
      </c>
      <c r="N1788">
        <v>2</v>
      </c>
      <c r="O1788">
        <v>0</v>
      </c>
      <c r="P1788">
        <v>0</v>
      </c>
      <c r="Q1788" t="s">
        <v>108</v>
      </c>
    </row>
    <row r="1789" spans="1:17">
      <c r="A1789" t="s">
        <v>93</v>
      </c>
      <c r="B1789" t="s">
        <v>106</v>
      </c>
      <c r="C1789" t="s">
        <v>56</v>
      </c>
      <c r="D1789" t="s">
        <v>1572</v>
      </c>
      <c r="E1789">
        <v>22</v>
      </c>
      <c r="F1789" t="str">
        <f>VLOOKUP(E1789,[1]LOJA!$A:$B,2,0)</f>
        <v>GUARÁ</v>
      </c>
      <c r="G1789" t="s">
        <v>19</v>
      </c>
      <c r="H1789" t="s">
        <v>19</v>
      </c>
      <c r="I1789" s="1">
        <v>46035</v>
      </c>
      <c r="J1789" s="1">
        <v>46035</v>
      </c>
      <c r="K1789" s="1">
        <v>46035</v>
      </c>
      <c r="L1789">
        <v>34</v>
      </c>
      <c r="M1789">
        <v>0.14000000000000001</v>
      </c>
      <c r="N1789">
        <v>0.14000000000000001</v>
      </c>
      <c r="O1789">
        <v>0</v>
      </c>
      <c r="P1789">
        <v>0</v>
      </c>
      <c r="Q1789" t="s">
        <v>108</v>
      </c>
    </row>
    <row r="1790" spans="1:17">
      <c r="A1790" t="s">
        <v>93</v>
      </c>
      <c r="B1790" t="s">
        <v>106</v>
      </c>
      <c r="C1790" t="s">
        <v>56</v>
      </c>
      <c r="D1790" t="s">
        <v>1573</v>
      </c>
      <c r="E1790">
        <v>22</v>
      </c>
      <c r="F1790" t="str">
        <f>VLOOKUP(E1790,[1]LOJA!$A:$B,2,0)</f>
        <v>GUARÁ</v>
      </c>
      <c r="G1790" t="s">
        <v>19</v>
      </c>
      <c r="H1790" t="s">
        <v>19</v>
      </c>
      <c r="I1790" s="1">
        <v>46035</v>
      </c>
      <c r="J1790" s="1">
        <v>46035</v>
      </c>
      <c r="K1790" s="1">
        <v>46035</v>
      </c>
      <c r="L1790">
        <v>34</v>
      </c>
      <c r="M1790">
        <v>1.82</v>
      </c>
      <c r="N1790">
        <v>1.82</v>
      </c>
      <c r="O1790">
        <v>0</v>
      </c>
      <c r="P1790">
        <v>0</v>
      </c>
      <c r="Q1790" t="s">
        <v>108</v>
      </c>
    </row>
    <row r="1791" spans="1:17">
      <c r="A1791" t="s">
        <v>93</v>
      </c>
      <c r="B1791" t="s">
        <v>106</v>
      </c>
      <c r="C1791" t="s">
        <v>56</v>
      </c>
      <c r="D1791" t="s">
        <v>1574</v>
      </c>
      <c r="E1791">
        <v>22</v>
      </c>
      <c r="F1791" t="str">
        <f>VLOOKUP(E1791,[1]LOJA!$A:$B,2,0)</f>
        <v>GUARÁ</v>
      </c>
      <c r="G1791" t="s">
        <v>19</v>
      </c>
      <c r="H1791" t="s">
        <v>19</v>
      </c>
      <c r="I1791" s="1">
        <v>46035</v>
      </c>
      <c r="J1791" s="1">
        <v>46035</v>
      </c>
      <c r="K1791" s="1">
        <v>46035</v>
      </c>
      <c r="L1791">
        <v>34</v>
      </c>
      <c r="M1791">
        <v>0.18</v>
      </c>
      <c r="N1791">
        <v>0.18</v>
      </c>
      <c r="O1791">
        <v>0</v>
      </c>
      <c r="P1791">
        <v>0</v>
      </c>
      <c r="Q1791" t="s">
        <v>108</v>
      </c>
    </row>
    <row r="1792" spans="1:17">
      <c r="A1792" t="s">
        <v>93</v>
      </c>
      <c r="B1792" t="s">
        <v>106</v>
      </c>
      <c r="C1792" t="s">
        <v>56</v>
      </c>
      <c r="D1792" t="s">
        <v>1575</v>
      </c>
      <c r="E1792">
        <v>22</v>
      </c>
      <c r="F1792" t="str">
        <f>VLOOKUP(E1792,[1]LOJA!$A:$B,2,0)</f>
        <v>GUARÁ</v>
      </c>
      <c r="G1792" t="s">
        <v>19</v>
      </c>
      <c r="H1792" t="s">
        <v>19</v>
      </c>
      <c r="I1792" s="1">
        <v>46035</v>
      </c>
      <c r="J1792" s="1">
        <v>46035</v>
      </c>
      <c r="K1792" s="1">
        <v>46035</v>
      </c>
      <c r="L1792">
        <v>34</v>
      </c>
      <c r="M1792">
        <v>0.79</v>
      </c>
      <c r="N1792">
        <v>0.79</v>
      </c>
      <c r="O1792">
        <v>0</v>
      </c>
      <c r="P1792">
        <v>0</v>
      </c>
      <c r="Q1792" t="s">
        <v>108</v>
      </c>
    </row>
    <row r="1793" spans="1:17">
      <c r="A1793" t="s">
        <v>93</v>
      </c>
      <c r="B1793" t="s">
        <v>106</v>
      </c>
      <c r="C1793" t="s">
        <v>56</v>
      </c>
      <c r="D1793" t="s">
        <v>1576</v>
      </c>
      <c r="E1793">
        <v>22</v>
      </c>
      <c r="F1793" t="str">
        <f>VLOOKUP(E1793,[1]LOJA!$A:$B,2,0)</f>
        <v>GUARÁ</v>
      </c>
      <c r="G1793" t="s">
        <v>19</v>
      </c>
      <c r="H1793" t="s">
        <v>19</v>
      </c>
      <c r="I1793" s="1">
        <v>46035</v>
      </c>
      <c r="J1793" s="1">
        <v>46035</v>
      </c>
      <c r="K1793" s="1">
        <v>46035</v>
      </c>
      <c r="L1793">
        <v>34</v>
      </c>
      <c r="M1793">
        <v>0.11</v>
      </c>
      <c r="N1793">
        <v>0.11</v>
      </c>
      <c r="O1793">
        <v>0</v>
      </c>
      <c r="P1793">
        <v>0</v>
      </c>
      <c r="Q1793" t="s">
        <v>108</v>
      </c>
    </row>
    <row r="1794" spans="1:17">
      <c r="A1794" t="s">
        <v>93</v>
      </c>
      <c r="B1794" t="s">
        <v>106</v>
      </c>
      <c r="C1794" t="s">
        <v>56</v>
      </c>
      <c r="D1794" t="s">
        <v>1577</v>
      </c>
      <c r="E1794">
        <v>22</v>
      </c>
      <c r="F1794" t="str">
        <f>VLOOKUP(E1794,[1]LOJA!$A:$B,2,0)</f>
        <v>GUARÁ</v>
      </c>
      <c r="G1794" t="s">
        <v>19</v>
      </c>
      <c r="H1794" t="s">
        <v>19</v>
      </c>
      <c r="I1794" s="1">
        <v>46035</v>
      </c>
      <c r="J1794" s="1">
        <v>46035</v>
      </c>
      <c r="K1794" s="1">
        <v>46035</v>
      </c>
      <c r="L1794">
        <v>34</v>
      </c>
      <c r="M1794">
        <v>0.13</v>
      </c>
      <c r="N1794">
        <v>0.13</v>
      </c>
      <c r="O1794">
        <v>0</v>
      </c>
      <c r="P1794">
        <v>0</v>
      </c>
      <c r="Q1794" t="s">
        <v>108</v>
      </c>
    </row>
    <row r="1795" spans="1:17">
      <c r="A1795" t="s">
        <v>93</v>
      </c>
      <c r="B1795" t="s">
        <v>106</v>
      </c>
      <c r="C1795" t="s">
        <v>56</v>
      </c>
      <c r="D1795" t="s">
        <v>1578</v>
      </c>
      <c r="E1795">
        <v>22</v>
      </c>
      <c r="F1795" t="str">
        <f>VLOOKUP(E1795,[1]LOJA!$A:$B,2,0)</f>
        <v>GUARÁ</v>
      </c>
      <c r="G1795" t="s">
        <v>19</v>
      </c>
      <c r="H1795" t="s">
        <v>19</v>
      </c>
      <c r="I1795" s="1">
        <v>46035</v>
      </c>
      <c r="J1795" s="1">
        <v>46035</v>
      </c>
      <c r="K1795" s="1">
        <v>46035</v>
      </c>
      <c r="L1795">
        <v>34</v>
      </c>
      <c r="M1795">
        <v>0.31</v>
      </c>
      <c r="N1795">
        <v>0.31</v>
      </c>
      <c r="O1795">
        <v>0</v>
      </c>
      <c r="P1795">
        <v>0</v>
      </c>
      <c r="Q1795" t="s">
        <v>108</v>
      </c>
    </row>
    <row r="1796" spans="1:17">
      <c r="A1796" t="s">
        <v>93</v>
      </c>
      <c r="B1796" t="s">
        <v>106</v>
      </c>
      <c r="C1796" t="s">
        <v>56</v>
      </c>
      <c r="D1796" t="s">
        <v>1579</v>
      </c>
      <c r="E1796">
        <v>22</v>
      </c>
      <c r="F1796" t="str">
        <f>VLOOKUP(E1796,[1]LOJA!$A:$B,2,0)</f>
        <v>GUARÁ</v>
      </c>
      <c r="G1796" t="s">
        <v>19</v>
      </c>
      <c r="H1796" t="s">
        <v>19</v>
      </c>
      <c r="I1796" s="1">
        <v>46035</v>
      </c>
      <c r="J1796" s="1">
        <v>46035</v>
      </c>
      <c r="K1796" s="1">
        <v>46035</v>
      </c>
      <c r="L1796">
        <v>34</v>
      </c>
      <c r="M1796">
        <v>3.6</v>
      </c>
      <c r="N1796">
        <v>3.6</v>
      </c>
      <c r="O1796">
        <v>0</v>
      </c>
      <c r="P1796">
        <v>0</v>
      </c>
      <c r="Q1796" t="s">
        <v>108</v>
      </c>
    </row>
    <row r="1797" spans="1:17">
      <c r="A1797" t="s">
        <v>93</v>
      </c>
      <c r="B1797" t="s">
        <v>106</v>
      </c>
      <c r="C1797" t="s">
        <v>56</v>
      </c>
      <c r="D1797" t="s">
        <v>1580</v>
      </c>
      <c r="E1797">
        <v>22</v>
      </c>
      <c r="F1797" t="str">
        <f>VLOOKUP(E1797,[1]LOJA!$A:$B,2,0)</f>
        <v>GUARÁ</v>
      </c>
      <c r="G1797" t="s">
        <v>19</v>
      </c>
      <c r="H1797" t="s">
        <v>19</v>
      </c>
      <c r="I1797" s="1">
        <v>46035</v>
      </c>
      <c r="J1797" s="1">
        <v>46035</v>
      </c>
      <c r="K1797" s="1">
        <v>46035</v>
      </c>
      <c r="L1797">
        <v>34</v>
      </c>
      <c r="M1797">
        <v>0.44</v>
      </c>
      <c r="N1797">
        <v>0.44</v>
      </c>
      <c r="O1797">
        <v>0</v>
      </c>
      <c r="P1797">
        <v>0</v>
      </c>
      <c r="Q1797" t="s">
        <v>108</v>
      </c>
    </row>
    <row r="1798" spans="1:17">
      <c r="A1798" t="s">
        <v>93</v>
      </c>
      <c r="B1798" t="s">
        <v>106</v>
      </c>
      <c r="C1798" t="s">
        <v>56</v>
      </c>
      <c r="D1798" t="s">
        <v>1581</v>
      </c>
      <c r="E1798">
        <v>22</v>
      </c>
      <c r="F1798" t="str">
        <f>VLOOKUP(E1798,[1]LOJA!$A:$B,2,0)</f>
        <v>GUARÁ</v>
      </c>
      <c r="G1798" t="s">
        <v>19</v>
      </c>
      <c r="H1798" t="s">
        <v>19</v>
      </c>
      <c r="I1798" s="1">
        <v>46035</v>
      </c>
      <c r="J1798" s="1">
        <v>46035</v>
      </c>
      <c r="K1798" s="1">
        <v>46035</v>
      </c>
      <c r="L1798">
        <v>34</v>
      </c>
      <c r="M1798">
        <v>0.11</v>
      </c>
      <c r="N1798">
        <v>0.11</v>
      </c>
      <c r="O1798">
        <v>0</v>
      </c>
      <c r="P1798">
        <v>0</v>
      </c>
      <c r="Q1798" t="s">
        <v>108</v>
      </c>
    </row>
    <row r="1799" spans="1:17">
      <c r="A1799" t="s">
        <v>93</v>
      </c>
      <c r="B1799" t="s">
        <v>106</v>
      </c>
      <c r="C1799" t="s">
        <v>56</v>
      </c>
      <c r="D1799" t="s">
        <v>1582</v>
      </c>
      <c r="E1799">
        <v>22</v>
      </c>
      <c r="F1799" t="str">
        <f>VLOOKUP(E1799,[1]LOJA!$A:$B,2,0)</f>
        <v>GUARÁ</v>
      </c>
      <c r="G1799" t="s">
        <v>19</v>
      </c>
      <c r="H1799" t="s">
        <v>19</v>
      </c>
      <c r="I1799" s="1">
        <v>46035</v>
      </c>
      <c r="J1799" s="1">
        <v>46035</v>
      </c>
      <c r="K1799" s="1">
        <v>46035</v>
      </c>
      <c r="L1799">
        <v>34</v>
      </c>
      <c r="M1799">
        <v>0.49</v>
      </c>
      <c r="N1799">
        <v>0.49</v>
      </c>
      <c r="O1799">
        <v>0</v>
      </c>
      <c r="P1799">
        <v>0</v>
      </c>
      <c r="Q1799" t="s">
        <v>108</v>
      </c>
    </row>
    <row r="1800" spans="1:17">
      <c r="A1800" t="s">
        <v>93</v>
      </c>
      <c r="B1800" t="s">
        <v>106</v>
      </c>
      <c r="C1800" t="s">
        <v>56</v>
      </c>
      <c r="D1800" t="s">
        <v>1583</v>
      </c>
      <c r="E1800">
        <v>22</v>
      </c>
      <c r="F1800" t="str">
        <f>VLOOKUP(E1800,[1]LOJA!$A:$B,2,0)</f>
        <v>GUARÁ</v>
      </c>
      <c r="G1800" t="s">
        <v>19</v>
      </c>
      <c r="H1800" t="s">
        <v>19</v>
      </c>
      <c r="I1800" s="1">
        <v>46035</v>
      </c>
      <c r="J1800" s="1">
        <v>46035</v>
      </c>
      <c r="K1800" s="1">
        <v>46035</v>
      </c>
      <c r="L1800">
        <v>34</v>
      </c>
      <c r="M1800">
        <v>0.38</v>
      </c>
      <c r="N1800">
        <v>0.38</v>
      </c>
      <c r="O1800">
        <v>0</v>
      </c>
      <c r="P1800">
        <v>0</v>
      </c>
      <c r="Q1800" t="s">
        <v>108</v>
      </c>
    </row>
    <row r="1801" spans="1:17">
      <c r="A1801" t="s">
        <v>93</v>
      </c>
      <c r="B1801" t="s">
        <v>106</v>
      </c>
      <c r="C1801" t="s">
        <v>56</v>
      </c>
      <c r="D1801" t="s">
        <v>1584</v>
      </c>
      <c r="E1801">
        <v>22</v>
      </c>
      <c r="F1801" t="str">
        <f>VLOOKUP(E1801,[1]LOJA!$A:$B,2,0)</f>
        <v>GUARÁ</v>
      </c>
      <c r="G1801" t="s">
        <v>19</v>
      </c>
      <c r="H1801" t="s">
        <v>19</v>
      </c>
      <c r="I1801" s="1">
        <v>46036</v>
      </c>
      <c r="J1801" s="1">
        <v>46036</v>
      </c>
      <c r="K1801" s="1">
        <v>46036</v>
      </c>
      <c r="L1801">
        <v>34</v>
      </c>
      <c r="M1801">
        <v>4.38</v>
      </c>
      <c r="N1801">
        <v>4.38</v>
      </c>
      <c r="O1801">
        <v>0</v>
      </c>
      <c r="P1801">
        <v>0</v>
      </c>
      <c r="Q1801" t="s">
        <v>108</v>
      </c>
    </row>
    <row r="1802" spans="1:17">
      <c r="A1802" t="s">
        <v>93</v>
      </c>
      <c r="B1802" t="s">
        <v>106</v>
      </c>
      <c r="C1802" t="s">
        <v>56</v>
      </c>
      <c r="D1802" t="s">
        <v>1585</v>
      </c>
      <c r="E1802">
        <v>22</v>
      </c>
      <c r="F1802" t="str">
        <f>VLOOKUP(E1802,[1]LOJA!$A:$B,2,0)</f>
        <v>GUARÁ</v>
      </c>
      <c r="G1802" t="s">
        <v>19</v>
      </c>
      <c r="H1802" t="s">
        <v>19</v>
      </c>
      <c r="I1802" s="1">
        <v>46036</v>
      </c>
      <c r="J1802" s="1">
        <v>46036</v>
      </c>
      <c r="K1802" s="1">
        <v>46036</v>
      </c>
      <c r="L1802">
        <v>34</v>
      </c>
      <c r="M1802">
        <v>0.56000000000000005</v>
      </c>
      <c r="N1802">
        <v>0.56000000000000005</v>
      </c>
      <c r="O1802">
        <v>0</v>
      </c>
      <c r="P1802">
        <v>0</v>
      </c>
      <c r="Q1802" t="s">
        <v>108</v>
      </c>
    </row>
    <row r="1803" spans="1:17">
      <c r="A1803" t="s">
        <v>93</v>
      </c>
      <c r="B1803" t="s">
        <v>106</v>
      </c>
      <c r="C1803" t="s">
        <v>56</v>
      </c>
      <c r="D1803" t="s">
        <v>1586</v>
      </c>
      <c r="E1803">
        <v>22</v>
      </c>
      <c r="F1803" t="str">
        <f>VLOOKUP(E1803,[1]LOJA!$A:$B,2,0)</f>
        <v>GUARÁ</v>
      </c>
      <c r="G1803" t="s">
        <v>19</v>
      </c>
      <c r="H1803" t="s">
        <v>19</v>
      </c>
      <c r="I1803" s="1">
        <v>46036</v>
      </c>
      <c r="J1803" s="1">
        <v>46036</v>
      </c>
      <c r="K1803" s="1">
        <v>46036</v>
      </c>
      <c r="L1803">
        <v>34</v>
      </c>
      <c r="M1803">
        <v>0.2</v>
      </c>
      <c r="N1803">
        <v>0.2</v>
      </c>
      <c r="O1803">
        <v>0</v>
      </c>
      <c r="P1803">
        <v>0</v>
      </c>
      <c r="Q1803" t="s">
        <v>108</v>
      </c>
    </row>
    <row r="1804" spans="1:17">
      <c r="A1804" t="s">
        <v>93</v>
      </c>
      <c r="B1804" t="s">
        <v>106</v>
      </c>
      <c r="C1804" t="s">
        <v>56</v>
      </c>
      <c r="D1804" t="s">
        <v>1587</v>
      </c>
      <c r="E1804">
        <v>22</v>
      </c>
      <c r="F1804" t="str">
        <f>VLOOKUP(E1804,[1]LOJA!$A:$B,2,0)</f>
        <v>GUARÁ</v>
      </c>
      <c r="G1804" t="s">
        <v>19</v>
      </c>
      <c r="H1804" t="s">
        <v>19</v>
      </c>
      <c r="I1804" s="1">
        <v>46036</v>
      </c>
      <c r="J1804" s="1">
        <v>46036</v>
      </c>
      <c r="K1804" s="1">
        <v>46036</v>
      </c>
      <c r="L1804">
        <v>34</v>
      </c>
      <c r="M1804">
        <v>0.36</v>
      </c>
      <c r="N1804">
        <v>0.36</v>
      </c>
      <c r="O1804">
        <v>0</v>
      </c>
      <c r="P1804">
        <v>0</v>
      </c>
      <c r="Q1804" t="s">
        <v>108</v>
      </c>
    </row>
    <row r="1805" spans="1:17">
      <c r="A1805" t="s">
        <v>93</v>
      </c>
      <c r="B1805" t="s">
        <v>106</v>
      </c>
      <c r="C1805" t="s">
        <v>56</v>
      </c>
      <c r="D1805" t="s">
        <v>1588</v>
      </c>
      <c r="E1805">
        <v>22</v>
      </c>
      <c r="F1805" t="str">
        <f>VLOOKUP(E1805,[1]LOJA!$A:$B,2,0)</f>
        <v>GUARÁ</v>
      </c>
      <c r="G1805" t="s">
        <v>19</v>
      </c>
      <c r="H1805" t="s">
        <v>19</v>
      </c>
      <c r="I1805" s="1">
        <v>46036</v>
      </c>
      <c r="J1805" s="1">
        <v>46036</v>
      </c>
      <c r="K1805" s="1">
        <v>46036</v>
      </c>
      <c r="L1805">
        <v>34</v>
      </c>
      <c r="M1805">
        <v>0.12</v>
      </c>
      <c r="N1805">
        <v>0.12</v>
      </c>
      <c r="O1805">
        <v>0</v>
      </c>
      <c r="P1805">
        <v>0</v>
      </c>
      <c r="Q1805" t="s">
        <v>108</v>
      </c>
    </row>
    <row r="1806" spans="1:17">
      <c r="A1806" t="s">
        <v>93</v>
      </c>
      <c r="B1806" t="s">
        <v>106</v>
      </c>
      <c r="C1806" t="s">
        <v>56</v>
      </c>
      <c r="D1806" t="s">
        <v>1589</v>
      </c>
      <c r="E1806">
        <v>22</v>
      </c>
      <c r="F1806" t="str">
        <f>VLOOKUP(E1806,[1]LOJA!$A:$B,2,0)</f>
        <v>GUARÁ</v>
      </c>
      <c r="G1806" t="s">
        <v>19</v>
      </c>
      <c r="H1806" t="s">
        <v>19</v>
      </c>
      <c r="I1806" s="1">
        <v>46036</v>
      </c>
      <c r="J1806" s="1">
        <v>46036</v>
      </c>
      <c r="K1806" s="1">
        <v>46036</v>
      </c>
      <c r="L1806">
        <v>34</v>
      </c>
      <c r="M1806">
        <v>0.49</v>
      </c>
      <c r="N1806">
        <v>0.49</v>
      </c>
      <c r="O1806">
        <v>0</v>
      </c>
      <c r="P1806">
        <v>0</v>
      </c>
      <c r="Q1806" t="s">
        <v>108</v>
      </c>
    </row>
    <row r="1807" spans="1:17">
      <c r="A1807" t="s">
        <v>93</v>
      </c>
      <c r="B1807" t="s">
        <v>106</v>
      </c>
      <c r="C1807" t="s">
        <v>56</v>
      </c>
      <c r="D1807" t="s">
        <v>1590</v>
      </c>
      <c r="E1807">
        <v>22</v>
      </c>
      <c r="F1807" t="str">
        <f>VLOOKUP(E1807,[1]LOJA!$A:$B,2,0)</f>
        <v>GUARÁ</v>
      </c>
      <c r="G1807" t="s">
        <v>19</v>
      </c>
      <c r="H1807" t="s">
        <v>19</v>
      </c>
      <c r="I1807" s="1">
        <v>46036</v>
      </c>
      <c r="J1807" s="1">
        <v>46036</v>
      </c>
      <c r="K1807" s="1">
        <v>46036</v>
      </c>
      <c r="L1807">
        <v>34</v>
      </c>
      <c r="M1807">
        <v>0.06</v>
      </c>
      <c r="N1807">
        <v>0.06</v>
      </c>
      <c r="O1807">
        <v>0</v>
      </c>
      <c r="P1807">
        <v>0</v>
      </c>
      <c r="Q1807" t="s">
        <v>108</v>
      </c>
    </row>
    <row r="1808" spans="1:17">
      <c r="A1808" t="s">
        <v>93</v>
      </c>
      <c r="B1808" t="s">
        <v>106</v>
      </c>
      <c r="C1808" t="s">
        <v>56</v>
      </c>
      <c r="D1808" t="s">
        <v>1591</v>
      </c>
      <c r="E1808">
        <v>22</v>
      </c>
      <c r="F1808" t="str">
        <f>VLOOKUP(E1808,[1]LOJA!$A:$B,2,0)</f>
        <v>GUARÁ</v>
      </c>
      <c r="G1808" t="s">
        <v>19</v>
      </c>
      <c r="H1808" t="s">
        <v>19</v>
      </c>
      <c r="I1808" s="1">
        <v>46036</v>
      </c>
      <c r="J1808" s="1">
        <v>46036</v>
      </c>
      <c r="K1808" s="1">
        <v>46036</v>
      </c>
      <c r="L1808">
        <v>34</v>
      </c>
      <c r="M1808">
        <v>0.21</v>
      </c>
      <c r="N1808">
        <v>0.21</v>
      </c>
      <c r="O1808">
        <v>0</v>
      </c>
      <c r="P1808">
        <v>0</v>
      </c>
      <c r="Q1808" t="s">
        <v>108</v>
      </c>
    </row>
    <row r="1809" spans="1:17">
      <c r="A1809" t="s">
        <v>93</v>
      </c>
      <c r="B1809" t="s">
        <v>106</v>
      </c>
      <c r="C1809" t="s">
        <v>56</v>
      </c>
      <c r="D1809" t="s">
        <v>1592</v>
      </c>
      <c r="E1809">
        <v>22</v>
      </c>
      <c r="F1809" t="str">
        <f>VLOOKUP(E1809,[1]LOJA!$A:$B,2,0)</f>
        <v>GUARÁ</v>
      </c>
      <c r="G1809" t="s">
        <v>19</v>
      </c>
      <c r="H1809" t="s">
        <v>19</v>
      </c>
      <c r="I1809" s="1">
        <v>46036</v>
      </c>
      <c r="J1809" s="1">
        <v>46036</v>
      </c>
      <c r="K1809" s="1">
        <v>46036</v>
      </c>
      <c r="L1809">
        <v>34</v>
      </c>
      <c r="M1809">
        <v>0.87</v>
      </c>
      <c r="N1809">
        <v>0.87</v>
      </c>
      <c r="O1809">
        <v>0</v>
      </c>
      <c r="P1809">
        <v>0</v>
      </c>
      <c r="Q1809" t="s">
        <v>108</v>
      </c>
    </row>
    <row r="1810" spans="1:17">
      <c r="A1810" t="s">
        <v>93</v>
      </c>
      <c r="B1810" t="s">
        <v>106</v>
      </c>
      <c r="C1810" t="s">
        <v>56</v>
      </c>
      <c r="D1810" t="s">
        <v>1593</v>
      </c>
      <c r="E1810">
        <v>22</v>
      </c>
      <c r="F1810" t="str">
        <f>VLOOKUP(E1810,[1]LOJA!$A:$B,2,0)</f>
        <v>GUARÁ</v>
      </c>
      <c r="G1810" t="s">
        <v>19</v>
      </c>
      <c r="H1810" t="s">
        <v>19</v>
      </c>
      <c r="I1810" s="1">
        <v>46036</v>
      </c>
      <c r="J1810" s="1">
        <v>46036</v>
      </c>
      <c r="K1810" s="1">
        <v>46036</v>
      </c>
      <c r="L1810">
        <v>34</v>
      </c>
      <c r="M1810">
        <v>0.25</v>
      </c>
      <c r="N1810">
        <v>0.25</v>
      </c>
      <c r="O1810">
        <v>0</v>
      </c>
      <c r="P1810">
        <v>0</v>
      </c>
      <c r="Q1810" t="s">
        <v>108</v>
      </c>
    </row>
    <row r="1811" spans="1:17">
      <c r="A1811" t="s">
        <v>93</v>
      </c>
      <c r="B1811" t="s">
        <v>106</v>
      </c>
      <c r="C1811" t="s">
        <v>56</v>
      </c>
      <c r="D1811" t="s">
        <v>1594</v>
      </c>
      <c r="E1811">
        <v>22</v>
      </c>
      <c r="F1811" t="str">
        <f>VLOOKUP(E1811,[1]LOJA!$A:$B,2,0)</f>
        <v>GUARÁ</v>
      </c>
      <c r="G1811" t="s">
        <v>19</v>
      </c>
      <c r="H1811" t="s">
        <v>19</v>
      </c>
      <c r="I1811" s="1">
        <v>46036</v>
      </c>
      <c r="J1811" s="1">
        <v>46036</v>
      </c>
      <c r="K1811" s="1">
        <v>46036</v>
      </c>
      <c r="L1811">
        <v>34</v>
      </c>
      <c r="M1811">
        <v>0.17</v>
      </c>
      <c r="N1811">
        <v>0.17</v>
      </c>
      <c r="O1811">
        <v>0</v>
      </c>
      <c r="P1811">
        <v>0</v>
      </c>
      <c r="Q1811" t="s">
        <v>108</v>
      </c>
    </row>
    <row r="1812" spans="1:17">
      <c r="A1812" t="s">
        <v>93</v>
      </c>
      <c r="B1812" t="s">
        <v>106</v>
      </c>
      <c r="C1812" t="s">
        <v>56</v>
      </c>
      <c r="D1812" t="s">
        <v>1595</v>
      </c>
      <c r="E1812">
        <v>22</v>
      </c>
      <c r="F1812" t="str">
        <f>VLOOKUP(E1812,[1]LOJA!$A:$B,2,0)</f>
        <v>GUARÁ</v>
      </c>
      <c r="G1812" t="s">
        <v>19</v>
      </c>
      <c r="H1812" t="s">
        <v>19</v>
      </c>
      <c r="I1812" s="1">
        <v>46036</v>
      </c>
      <c r="J1812" s="1">
        <v>46036</v>
      </c>
      <c r="K1812" s="1">
        <v>46036</v>
      </c>
      <c r="L1812">
        <v>34</v>
      </c>
      <c r="M1812">
        <v>0.04</v>
      </c>
      <c r="N1812">
        <v>0.04</v>
      </c>
      <c r="O1812">
        <v>0</v>
      </c>
      <c r="P1812">
        <v>0</v>
      </c>
      <c r="Q1812" t="s">
        <v>108</v>
      </c>
    </row>
    <row r="1813" spans="1:17">
      <c r="A1813" t="s">
        <v>93</v>
      </c>
      <c r="B1813" t="s">
        <v>106</v>
      </c>
      <c r="C1813" t="s">
        <v>56</v>
      </c>
      <c r="D1813" t="s">
        <v>1596</v>
      </c>
      <c r="E1813">
        <v>22</v>
      </c>
      <c r="F1813" t="str">
        <f>VLOOKUP(E1813,[1]LOJA!$A:$B,2,0)</f>
        <v>GUARÁ</v>
      </c>
      <c r="G1813" t="s">
        <v>19</v>
      </c>
      <c r="H1813" t="s">
        <v>19</v>
      </c>
      <c r="I1813" s="1">
        <v>46036</v>
      </c>
      <c r="J1813" s="1">
        <v>46036</v>
      </c>
      <c r="K1813" s="1">
        <v>46036</v>
      </c>
      <c r="L1813">
        <v>34</v>
      </c>
      <c r="M1813">
        <v>0.74</v>
      </c>
      <c r="N1813">
        <v>0.74</v>
      </c>
      <c r="O1813">
        <v>0</v>
      </c>
      <c r="P1813">
        <v>0</v>
      </c>
      <c r="Q1813" t="s">
        <v>108</v>
      </c>
    </row>
    <row r="1814" spans="1:17">
      <c r="A1814" t="s">
        <v>93</v>
      </c>
      <c r="B1814" t="s">
        <v>106</v>
      </c>
      <c r="C1814" t="s">
        <v>56</v>
      </c>
      <c r="D1814" t="s">
        <v>1597</v>
      </c>
      <c r="E1814">
        <v>22</v>
      </c>
      <c r="F1814" t="str">
        <f>VLOOKUP(E1814,[1]LOJA!$A:$B,2,0)</f>
        <v>GUARÁ</v>
      </c>
      <c r="G1814" t="s">
        <v>19</v>
      </c>
      <c r="H1814" t="s">
        <v>19</v>
      </c>
      <c r="I1814" s="1">
        <v>46036</v>
      </c>
      <c r="J1814" s="1">
        <v>46036</v>
      </c>
      <c r="K1814" s="1">
        <v>46036</v>
      </c>
      <c r="L1814">
        <v>34</v>
      </c>
      <c r="M1814">
        <v>2.11</v>
      </c>
      <c r="N1814">
        <v>2.11</v>
      </c>
      <c r="O1814">
        <v>0</v>
      </c>
      <c r="P1814">
        <v>0</v>
      </c>
      <c r="Q1814" t="s">
        <v>108</v>
      </c>
    </row>
    <row r="1815" spans="1:17">
      <c r="A1815" t="s">
        <v>93</v>
      </c>
      <c r="B1815" t="s">
        <v>106</v>
      </c>
      <c r="C1815" t="s">
        <v>56</v>
      </c>
      <c r="D1815" t="s">
        <v>1598</v>
      </c>
      <c r="E1815">
        <v>22</v>
      </c>
      <c r="F1815" t="str">
        <f>VLOOKUP(E1815,[1]LOJA!$A:$B,2,0)</f>
        <v>GUARÁ</v>
      </c>
      <c r="G1815" t="s">
        <v>19</v>
      </c>
      <c r="H1815" t="s">
        <v>19</v>
      </c>
      <c r="I1815" s="1">
        <v>46036</v>
      </c>
      <c r="J1815" s="1">
        <v>46036</v>
      </c>
      <c r="K1815" s="1">
        <v>46036</v>
      </c>
      <c r="L1815">
        <v>34</v>
      </c>
      <c r="M1815">
        <v>0.11</v>
      </c>
      <c r="N1815">
        <v>0.11</v>
      </c>
      <c r="O1815">
        <v>0</v>
      </c>
      <c r="P1815">
        <v>0</v>
      </c>
      <c r="Q1815" t="s">
        <v>108</v>
      </c>
    </row>
    <row r="1816" spans="1:17">
      <c r="A1816" t="s">
        <v>93</v>
      </c>
      <c r="B1816" t="s">
        <v>106</v>
      </c>
      <c r="C1816" t="s">
        <v>56</v>
      </c>
      <c r="D1816" t="s">
        <v>1599</v>
      </c>
      <c r="E1816">
        <v>22</v>
      </c>
      <c r="F1816" t="str">
        <f>VLOOKUP(E1816,[1]LOJA!$A:$B,2,0)</f>
        <v>GUARÁ</v>
      </c>
      <c r="G1816" t="s">
        <v>19</v>
      </c>
      <c r="H1816" t="s">
        <v>19</v>
      </c>
      <c r="I1816" s="1">
        <v>46036</v>
      </c>
      <c r="J1816" s="1">
        <v>46036</v>
      </c>
      <c r="K1816" s="1">
        <v>46036</v>
      </c>
      <c r="L1816">
        <v>34</v>
      </c>
      <c r="M1816">
        <v>0.18</v>
      </c>
      <c r="N1816">
        <v>0.18</v>
      </c>
      <c r="O1816">
        <v>0</v>
      </c>
      <c r="P1816">
        <v>0</v>
      </c>
      <c r="Q1816" t="s">
        <v>108</v>
      </c>
    </row>
    <row r="1817" spans="1:17">
      <c r="A1817" t="s">
        <v>93</v>
      </c>
      <c r="B1817" t="s">
        <v>106</v>
      </c>
      <c r="C1817" t="s">
        <v>56</v>
      </c>
      <c r="D1817" t="s">
        <v>1600</v>
      </c>
      <c r="E1817">
        <v>22</v>
      </c>
      <c r="F1817" t="str">
        <f>VLOOKUP(E1817,[1]LOJA!$A:$B,2,0)</f>
        <v>GUARÁ</v>
      </c>
      <c r="G1817" t="s">
        <v>19</v>
      </c>
      <c r="H1817" t="s">
        <v>19</v>
      </c>
      <c r="I1817" s="1">
        <v>46037</v>
      </c>
      <c r="J1817" s="1">
        <v>46037</v>
      </c>
      <c r="K1817" s="1">
        <v>46037</v>
      </c>
      <c r="L1817">
        <v>34</v>
      </c>
      <c r="M1817">
        <v>3.65</v>
      </c>
      <c r="N1817">
        <v>3.65</v>
      </c>
      <c r="O1817">
        <v>0</v>
      </c>
      <c r="P1817">
        <v>0</v>
      </c>
      <c r="Q1817" t="s">
        <v>108</v>
      </c>
    </row>
    <row r="1818" spans="1:17">
      <c r="A1818" t="s">
        <v>93</v>
      </c>
      <c r="B1818" t="s">
        <v>106</v>
      </c>
      <c r="C1818" t="s">
        <v>56</v>
      </c>
      <c r="D1818" t="s">
        <v>1601</v>
      </c>
      <c r="E1818">
        <v>22</v>
      </c>
      <c r="F1818" t="str">
        <f>VLOOKUP(E1818,[1]LOJA!$A:$B,2,0)</f>
        <v>GUARÁ</v>
      </c>
      <c r="G1818" t="s">
        <v>19</v>
      </c>
      <c r="H1818" t="s">
        <v>19</v>
      </c>
      <c r="I1818" s="1">
        <v>46037</v>
      </c>
      <c r="J1818" s="1">
        <v>46037</v>
      </c>
      <c r="K1818" s="1">
        <v>46037</v>
      </c>
      <c r="L1818">
        <v>34</v>
      </c>
      <c r="M1818">
        <v>5.98</v>
      </c>
      <c r="N1818">
        <v>5.98</v>
      </c>
      <c r="O1818">
        <v>0</v>
      </c>
      <c r="P1818">
        <v>0</v>
      </c>
      <c r="Q1818" t="s">
        <v>108</v>
      </c>
    </row>
    <row r="1819" spans="1:17">
      <c r="A1819" t="s">
        <v>93</v>
      </c>
      <c r="B1819" t="s">
        <v>106</v>
      </c>
      <c r="C1819" t="s">
        <v>56</v>
      </c>
      <c r="D1819" t="s">
        <v>1602</v>
      </c>
      <c r="E1819">
        <v>22</v>
      </c>
      <c r="F1819" t="str">
        <f>VLOOKUP(E1819,[1]LOJA!$A:$B,2,0)</f>
        <v>GUARÁ</v>
      </c>
      <c r="G1819" t="s">
        <v>19</v>
      </c>
      <c r="H1819" t="s">
        <v>19</v>
      </c>
      <c r="I1819" s="1">
        <v>46037</v>
      </c>
      <c r="J1819" s="1">
        <v>46037</v>
      </c>
      <c r="K1819" s="1">
        <v>46037</v>
      </c>
      <c r="L1819">
        <v>34</v>
      </c>
      <c r="M1819">
        <v>7.3</v>
      </c>
      <c r="N1819">
        <v>7.3</v>
      </c>
      <c r="O1819">
        <v>0</v>
      </c>
      <c r="P1819">
        <v>0</v>
      </c>
      <c r="Q1819" t="s">
        <v>108</v>
      </c>
    </row>
    <row r="1820" spans="1:17">
      <c r="A1820" t="s">
        <v>93</v>
      </c>
      <c r="B1820" t="s">
        <v>106</v>
      </c>
      <c r="C1820" t="s">
        <v>56</v>
      </c>
      <c r="D1820" t="s">
        <v>1603</v>
      </c>
      <c r="E1820">
        <v>22</v>
      </c>
      <c r="F1820" t="str">
        <f>VLOOKUP(E1820,[1]LOJA!$A:$B,2,0)</f>
        <v>GUARÁ</v>
      </c>
      <c r="G1820" t="s">
        <v>19</v>
      </c>
      <c r="H1820" t="s">
        <v>19</v>
      </c>
      <c r="I1820" s="1">
        <v>46037</v>
      </c>
      <c r="J1820" s="1">
        <v>46037</v>
      </c>
      <c r="K1820" s="1">
        <v>46037</v>
      </c>
      <c r="L1820">
        <v>34</v>
      </c>
      <c r="M1820">
        <v>1.33</v>
      </c>
      <c r="N1820">
        <v>1.33</v>
      </c>
      <c r="O1820">
        <v>0</v>
      </c>
      <c r="P1820">
        <v>0</v>
      </c>
      <c r="Q1820" t="s">
        <v>108</v>
      </c>
    </row>
    <row r="1821" spans="1:17">
      <c r="A1821" t="s">
        <v>93</v>
      </c>
      <c r="B1821" t="s">
        <v>106</v>
      </c>
      <c r="C1821" t="s">
        <v>56</v>
      </c>
      <c r="D1821" t="s">
        <v>1604</v>
      </c>
      <c r="E1821">
        <v>22</v>
      </c>
      <c r="F1821" t="str">
        <f>VLOOKUP(E1821,[1]LOJA!$A:$B,2,0)</f>
        <v>GUARÁ</v>
      </c>
      <c r="G1821" t="s">
        <v>19</v>
      </c>
      <c r="H1821" t="s">
        <v>19</v>
      </c>
      <c r="I1821" s="1">
        <v>46037</v>
      </c>
      <c r="J1821" s="1">
        <v>46037</v>
      </c>
      <c r="K1821" s="1">
        <v>46037</v>
      </c>
      <c r="L1821">
        <v>34</v>
      </c>
      <c r="M1821">
        <v>3.65</v>
      </c>
      <c r="N1821">
        <v>3.65</v>
      </c>
      <c r="O1821">
        <v>0</v>
      </c>
      <c r="P1821">
        <v>0</v>
      </c>
      <c r="Q1821" t="s">
        <v>108</v>
      </c>
    </row>
    <row r="1822" spans="1:17">
      <c r="A1822" t="s">
        <v>93</v>
      </c>
      <c r="B1822" t="s">
        <v>106</v>
      </c>
      <c r="C1822" t="s">
        <v>56</v>
      </c>
      <c r="D1822" t="s">
        <v>1605</v>
      </c>
      <c r="E1822">
        <v>22</v>
      </c>
      <c r="F1822" t="str">
        <f>VLOOKUP(E1822,[1]LOJA!$A:$B,2,0)</f>
        <v>GUARÁ</v>
      </c>
      <c r="G1822" t="s">
        <v>19</v>
      </c>
      <c r="H1822" t="s">
        <v>19</v>
      </c>
      <c r="I1822" s="1">
        <v>46037</v>
      </c>
      <c r="J1822" s="1">
        <v>46037</v>
      </c>
      <c r="K1822" s="1">
        <v>46037</v>
      </c>
      <c r="L1822">
        <v>34</v>
      </c>
      <c r="M1822">
        <v>0.7</v>
      </c>
      <c r="N1822">
        <v>0.7</v>
      </c>
      <c r="O1822">
        <v>0</v>
      </c>
      <c r="P1822">
        <v>0</v>
      </c>
      <c r="Q1822" t="s">
        <v>108</v>
      </c>
    </row>
    <row r="1823" spans="1:17">
      <c r="A1823" t="s">
        <v>93</v>
      </c>
      <c r="B1823" t="s">
        <v>106</v>
      </c>
      <c r="C1823" t="s">
        <v>56</v>
      </c>
      <c r="D1823" t="s">
        <v>1606</v>
      </c>
      <c r="E1823">
        <v>22</v>
      </c>
      <c r="F1823" t="str">
        <f>VLOOKUP(E1823,[1]LOJA!$A:$B,2,0)</f>
        <v>GUARÁ</v>
      </c>
      <c r="G1823" t="s">
        <v>19</v>
      </c>
      <c r="H1823" t="s">
        <v>19</v>
      </c>
      <c r="I1823" s="1">
        <v>46037</v>
      </c>
      <c r="J1823" s="1">
        <v>46037</v>
      </c>
      <c r="K1823" s="1">
        <v>46037</v>
      </c>
      <c r="L1823">
        <v>34</v>
      </c>
      <c r="M1823">
        <v>1.1000000000000001</v>
      </c>
      <c r="N1823">
        <v>1.1000000000000001</v>
      </c>
      <c r="O1823">
        <v>0</v>
      </c>
      <c r="P1823">
        <v>0</v>
      </c>
      <c r="Q1823" t="s">
        <v>108</v>
      </c>
    </row>
    <row r="1824" spans="1:17">
      <c r="A1824" t="s">
        <v>93</v>
      </c>
      <c r="B1824" t="s">
        <v>106</v>
      </c>
      <c r="C1824" t="s">
        <v>56</v>
      </c>
      <c r="D1824" t="s">
        <v>1607</v>
      </c>
      <c r="E1824">
        <v>22</v>
      </c>
      <c r="F1824" t="str">
        <f>VLOOKUP(E1824,[1]LOJA!$A:$B,2,0)</f>
        <v>GUARÁ</v>
      </c>
      <c r="G1824" t="s">
        <v>19</v>
      </c>
      <c r="H1824" t="s">
        <v>19</v>
      </c>
      <c r="I1824" s="1">
        <v>46037</v>
      </c>
      <c r="J1824" s="1">
        <v>46037</v>
      </c>
      <c r="K1824" s="1">
        <v>46037</v>
      </c>
      <c r="L1824">
        <v>34</v>
      </c>
      <c r="M1824">
        <v>2.54</v>
      </c>
      <c r="N1824">
        <v>2.54</v>
      </c>
      <c r="O1824">
        <v>0</v>
      </c>
      <c r="P1824">
        <v>0</v>
      </c>
      <c r="Q1824" t="s">
        <v>108</v>
      </c>
    </row>
    <row r="1825" spans="1:17">
      <c r="A1825" t="s">
        <v>93</v>
      </c>
      <c r="B1825" t="s">
        <v>106</v>
      </c>
      <c r="C1825" t="s">
        <v>56</v>
      </c>
      <c r="D1825" t="s">
        <v>1608</v>
      </c>
      <c r="E1825">
        <v>22</v>
      </c>
      <c r="F1825" t="str">
        <f>VLOOKUP(E1825,[1]LOJA!$A:$B,2,0)</f>
        <v>GUARÁ</v>
      </c>
      <c r="G1825" t="s">
        <v>19</v>
      </c>
      <c r="H1825" t="s">
        <v>19</v>
      </c>
      <c r="I1825" s="1">
        <v>46037</v>
      </c>
      <c r="J1825" s="1">
        <v>46037</v>
      </c>
      <c r="K1825" s="1">
        <v>46037</v>
      </c>
      <c r="L1825">
        <v>34</v>
      </c>
      <c r="M1825">
        <v>3.72</v>
      </c>
      <c r="N1825">
        <v>3.72</v>
      </c>
      <c r="O1825">
        <v>0</v>
      </c>
      <c r="P1825">
        <v>0</v>
      </c>
      <c r="Q1825" t="s">
        <v>108</v>
      </c>
    </row>
    <row r="1826" spans="1:17">
      <c r="A1826" t="s">
        <v>93</v>
      </c>
      <c r="B1826" t="s">
        <v>106</v>
      </c>
      <c r="C1826" t="s">
        <v>56</v>
      </c>
      <c r="D1826" t="s">
        <v>1609</v>
      </c>
      <c r="E1826">
        <v>22</v>
      </c>
      <c r="F1826" t="str">
        <f>VLOOKUP(E1826,[1]LOJA!$A:$B,2,0)</f>
        <v>GUARÁ</v>
      </c>
      <c r="G1826" t="s">
        <v>19</v>
      </c>
      <c r="H1826" t="s">
        <v>19</v>
      </c>
      <c r="I1826" s="1">
        <v>46037</v>
      </c>
      <c r="J1826" s="1">
        <v>46037</v>
      </c>
      <c r="K1826" s="1">
        <v>46037</v>
      </c>
      <c r="L1826">
        <v>34</v>
      </c>
      <c r="M1826">
        <v>0.79</v>
      </c>
      <c r="N1826">
        <v>0.79</v>
      </c>
      <c r="O1826">
        <v>0</v>
      </c>
      <c r="P1826">
        <v>0</v>
      </c>
      <c r="Q1826" t="s">
        <v>108</v>
      </c>
    </row>
    <row r="1827" spans="1:17">
      <c r="A1827" t="s">
        <v>93</v>
      </c>
      <c r="B1827" t="s">
        <v>106</v>
      </c>
      <c r="C1827" t="s">
        <v>56</v>
      </c>
      <c r="D1827" t="s">
        <v>1610</v>
      </c>
      <c r="E1827">
        <v>22</v>
      </c>
      <c r="F1827" t="str">
        <f>VLOOKUP(E1827,[1]LOJA!$A:$B,2,0)</f>
        <v>GUARÁ</v>
      </c>
      <c r="G1827" t="s">
        <v>19</v>
      </c>
      <c r="H1827" t="s">
        <v>19</v>
      </c>
      <c r="I1827" s="1">
        <v>46037</v>
      </c>
      <c r="J1827" s="1">
        <v>46037</v>
      </c>
      <c r="K1827" s="1">
        <v>46037</v>
      </c>
      <c r="L1827">
        <v>34</v>
      </c>
      <c r="M1827">
        <v>0.14000000000000001</v>
      </c>
      <c r="N1827">
        <v>0.14000000000000001</v>
      </c>
      <c r="O1827">
        <v>0</v>
      </c>
      <c r="P1827">
        <v>0</v>
      </c>
      <c r="Q1827" t="s">
        <v>108</v>
      </c>
    </row>
    <row r="1828" spans="1:17">
      <c r="A1828" t="s">
        <v>93</v>
      </c>
      <c r="B1828" t="s">
        <v>106</v>
      </c>
      <c r="C1828" t="s">
        <v>56</v>
      </c>
      <c r="D1828" t="s">
        <v>1611</v>
      </c>
      <c r="E1828">
        <v>22</v>
      </c>
      <c r="F1828" t="str">
        <f>VLOOKUP(E1828,[1]LOJA!$A:$B,2,0)</f>
        <v>GUARÁ</v>
      </c>
      <c r="G1828" t="s">
        <v>19</v>
      </c>
      <c r="H1828" t="s">
        <v>19</v>
      </c>
      <c r="I1828" s="1">
        <v>46037</v>
      </c>
      <c r="J1828" s="1">
        <v>46037</v>
      </c>
      <c r="K1828" s="1">
        <v>46037</v>
      </c>
      <c r="L1828">
        <v>34</v>
      </c>
      <c r="M1828">
        <v>0.12</v>
      </c>
      <c r="N1828">
        <v>0.12</v>
      </c>
      <c r="O1828">
        <v>0</v>
      </c>
      <c r="P1828">
        <v>0</v>
      </c>
      <c r="Q1828" t="s">
        <v>108</v>
      </c>
    </row>
    <row r="1829" spans="1:17">
      <c r="A1829" t="s">
        <v>93</v>
      </c>
      <c r="B1829" t="s">
        <v>106</v>
      </c>
      <c r="C1829" t="s">
        <v>56</v>
      </c>
      <c r="D1829" t="s">
        <v>1612</v>
      </c>
      <c r="E1829">
        <v>22</v>
      </c>
      <c r="F1829" t="str">
        <f>VLOOKUP(E1829,[1]LOJA!$A:$B,2,0)</f>
        <v>GUARÁ</v>
      </c>
      <c r="G1829" t="s">
        <v>19</v>
      </c>
      <c r="H1829" t="s">
        <v>19</v>
      </c>
      <c r="I1829" s="1">
        <v>46037</v>
      </c>
      <c r="J1829" s="1">
        <v>46037</v>
      </c>
      <c r="K1829" s="1">
        <v>46037</v>
      </c>
      <c r="L1829">
        <v>34</v>
      </c>
      <c r="M1829">
        <v>0.72</v>
      </c>
      <c r="N1829">
        <v>0.72</v>
      </c>
      <c r="O1829">
        <v>0</v>
      </c>
      <c r="P1829">
        <v>0</v>
      </c>
      <c r="Q1829" t="s">
        <v>108</v>
      </c>
    </row>
    <row r="1830" spans="1:17">
      <c r="A1830" t="s">
        <v>93</v>
      </c>
      <c r="B1830" t="s">
        <v>106</v>
      </c>
      <c r="C1830" t="s">
        <v>56</v>
      </c>
      <c r="D1830" t="s">
        <v>1613</v>
      </c>
      <c r="E1830">
        <v>22</v>
      </c>
      <c r="F1830" t="str">
        <f>VLOOKUP(E1830,[1]LOJA!$A:$B,2,0)</f>
        <v>GUARÁ</v>
      </c>
      <c r="G1830" t="s">
        <v>19</v>
      </c>
      <c r="H1830" t="s">
        <v>19</v>
      </c>
      <c r="I1830" s="1">
        <v>46037</v>
      </c>
      <c r="J1830" s="1">
        <v>46037</v>
      </c>
      <c r="K1830" s="1">
        <v>46037</v>
      </c>
      <c r="L1830">
        <v>34</v>
      </c>
      <c r="M1830">
        <v>0.32</v>
      </c>
      <c r="N1830">
        <v>0.32</v>
      </c>
      <c r="O1830">
        <v>0</v>
      </c>
      <c r="P1830">
        <v>0</v>
      </c>
      <c r="Q1830" t="s">
        <v>108</v>
      </c>
    </row>
    <row r="1831" spans="1:17">
      <c r="A1831" t="s">
        <v>93</v>
      </c>
      <c r="B1831" t="s">
        <v>106</v>
      </c>
      <c r="C1831" t="s">
        <v>56</v>
      </c>
      <c r="D1831" t="s">
        <v>1614</v>
      </c>
      <c r="E1831">
        <v>22</v>
      </c>
      <c r="F1831" t="str">
        <f>VLOOKUP(E1831,[1]LOJA!$A:$B,2,0)</f>
        <v>GUARÁ</v>
      </c>
      <c r="G1831" t="s">
        <v>19</v>
      </c>
      <c r="H1831" t="s">
        <v>19</v>
      </c>
      <c r="I1831" s="1">
        <v>46037</v>
      </c>
      <c r="J1831" s="1">
        <v>46037</v>
      </c>
      <c r="K1831" s="1">
        <v>46037</v>
      </c>
      <c r="L1831">
        <v>34</v>
      </c>
      <c r="M1831">
        <v>0.23</v>
      </c>
      <c r="N1831">
        <v>0.23</v>
      </c>
      <c r="O1831">
        <v>0</v>
      </c>
      <c r="P1831">
        <v>0</v>
      </c>
      <c r="Q1831" t="s">
        <v>108</v>
      </c>
    </row>
    <row r="1832" spans="1:17">
      <c r="A1832" t="s">
        <v>93</v>
      </c>
      <c r="B1832" t="s">
        <v>106</v>
      </c>
      <c r="C1832" t="s">
        <v>56</v>
      </c>
      <c r="D1832" t="s">
        <v>1615</v>
      </c>
      <c r="E1832">
        <v>22</v>
      </c>
      <c r="F1832" t="str">
        <f>VLOOKUP(E1832,[1]LOJA!$A:$B,2,0)</f>
        <v>GUARÁ</v>
      </c>
      <c r="G1832" t="s">
        <v>19</v>
      </c>
      <c r="H1832" t="s">
        <v>19</v>
      </c>
      <c r="I1832" s="1">
        <v>46037</v>
      </c>
      <c r="J1832" s="1">
        <v>46037</v>
      </c>
      <c r="K1832" s="1">
        <v>46037</v>
      </c>
      <c r="L1832">
        <v>34</v>
      </c>
      <c r="M1832">
        <v>0.1</v>
      </c>
      <c r="N1832">
        <v>0.1</v>
      </c>
      <c r="O1832">
        <v>0</v>
      </c>
      <c r="P1832">
        <v>0</v>
      </c>
      <c r="Q1832" t="s">
        <v>108</v>
      </c>
    </row>
    <row r="1833" spans="1:17">
      <c r="A1833" t="s">
        <v>93</v>
      </c>
      <c r="B1833" t="s">
        <v>106</v>
      </c>
      <c r="C1833" t="s">
        <v>56</v>
      </c>
      <c r="D1833" t="s">
        <v>1616</v>
      </c>
      <c r="E1833">
        <v>22</v>
      </c>
      <c r="F1833" t="str">
        <f>VLOOKUP(E1833,[1]LOJA!$A:$B,2,0)</f>
        <v>GUARÁ</v>
      </c>
      <c r="G1833" t="s">
        <v>19</v>
      </c>
      <c r="H1833" t="s">
        <v>19</v>
      </c>
      <c r="I1833" s="1">
        <v>46037</v>
      </c>
      <c r="J1833" s="1">
        <v>46037</v>
      </c>
      <c r="K1833" s="1">
        <v>46037</v>
      </c>
      <c r="L1833">
        <v>34</v>
      </c>
      <c r="M1833">
        <v>0.11</v>
      </c>
      <c r="N1833">
        <v>0.11</v>
      </c>
      <c r="O1833">
        <v>0</v>
      </c>
      <c r="P1833">
        <v>0</v>
      </c>
      <c r="Q1833" t="s">
        <v>108</v>
      </c>
    </row>
    <row r="1834" spans="1:17">
      <c r="A1834" t="s">
        <v>93</v>
      </c>
      <c r="B1834" t="s">
        <v>106</v>
      </c>
      <c r="C1834" t="s">
        <v>56</v>
      </c>
      <c r="D1834" t="s">
        <v>1617</v>
      </c>
      <c r="E1834">
        <v>22</v>
      </c>
      <c r="F1834" t="str">
        <f>VLOOKUP(E1834,[1]LOJA!$A:$B,2,0)</f>
        <v>GUARÁ</v>
      </c>
      <c r="G1834" t="s">
        <v>19</v>
      </c>
      <c r="H1834" t="s">
        <v>19</v>
      </c>
      <c r="I1834" s="1">
        <v>46037</v>
      </c>
      <c r="J1834" s="1">
        <v>46037</v>
      </c>
      <c r="K1834" s="1">
        <v>46037</v>
      </c>
      <c r="L1834">
        <v>34</v>
      </c>
      <c r="M1834">
        <v>0.12</v>
      </c>
      <c r="N1834">
        <v>0.12</v>
      </c>
      <c r="O1834">
        <v>0</v>
      </c>
      <c r="P1834">
        <v>0</v>
      </c>
      <c r="Q1834" t="s">
        <v>108</v>
      </c>
    </row>
    <row r="1835" spans="1:17">
      <c r="A1835" t="s">
        <v>93</v>
      </c>
      <c r="B1835" t="s">
        <v>106</v>
      </c>
      <c r="C1835" t="s">
        <v>56</v>
      </c>
      <c r="D1835" t="s">
        <v>1618</v>
      </c>
      <c r="E1835">
        <v>22</v>
      </c>
      <c r="F1835" t="str">
        <f>VLOOKUP(E1835,[1]LOJA!$A:$B,2,0)</f>
        <v>GUARÁ</v>
      </c>
      <c r="G1835" t="s">
        <v>19</v>
      </c>
      <c r="H1835" t="s">
        <v>19</v>
      </c>
      <c r="I1835" s="1">
        <v>46037</v>
      </c>
      <c r="J1835" s="1">
        <v>46037</v>
      </c>
      <c r="K1835" s="1">
        <v>46037</v>
      </c>
      <c r="L1835">
        <v>34</v>
      </c>
      <c r="M1835">
        <v>0.6</v>
      </c>
      <c r="N1835">
        <v>0.6</v>
      </c>
      <c r="O1835">
        <v>0</v>
      </c>
      <c r="P1835">
        <v>0</v>
      </c>
      <c r="Q1835" t="s">
        <v>108</v>
      </c>
    </row>
    <row r="1836" spans="1:17">
      <c r="A1836" t="s">
        <v>93</v>
      </c>
      <c r="B1836" t="s">
        <v>106</v>
      </c>
      <c r="C1836" t="s">
        <v>56</v>
      </c>
      <c r="D1836" t="s">
        <v>1619</v>
      </c>
      <c r="E1836">
        <v>22</v>
      </c>
      <c r="F1836" t="str">
        <f>VLOOKUP(E1836,[1]LOJA!$A:$B,2,0)</f>
        <v>GUARÁ</v>
      </c>
      <c r="G1836" t="s">
        <v>19</v>
      </c>
      <c r="H1836" t="s">
        <v>19</v>
      </c>
      <c r="I1836" s="1">
        <v>46037</v>
      </c>
      <c r="J1836" s="1">
        <v>46037</v>
      </c>
      <c r="K1836" s="1">
        <v>46037</v>
      </c>
      <c r="L1836">
        <v>34</v>
      </c>
      <c r="M1836">
        <v>0.97</v>
      </c>
      <c r="N1836">
        <v>0.97</v>
      </c>
      <c r="O1836">
        <v>0</v>
      </c>
      <c r="P1836">
        <v>0</v>
      </c>
      <c r="Q1836" t="s">
        <v>108</v>
      </c>
    </row>
    <row r="1837" spans="1:17">
      <c r="A1837" t="s">
        <v>93</v>
      </c>
      <c r="B1837" t="s">
        <v>106</v>
      </c>
      <c r="C1837" t="s">
        <v>56</v>
      </c>
      <c r="D1837" t="s">
        <v>1620</v>
      </c>
      <c r="E1837">
        <v>22</v>
      </c>
      <c r="F1837" t="str">
        <f>VLOOKUP(E1837,[1]LOJA!$A:$B,2,0)</f>
        <v>GUARÁ</v>
      </c>
      <c r="G1837" t="s">
        <v>19</v>
      </c>
      <c r="H1837" t="s">
        <v>19</v>
      </c>
      <c r="I1837" s="1">
        <v>46038</v>
      </c>
      <c r="J1837" s="1">
        <v>46038</v>
      </c>
      <c r="K1837" s="1">
        <v>46038</v>
      </c>
      <c r="L1837">
        <v>34</v>
      </c>
      <c r="M1837">
        <v>7.67</v>
      </c>
      <c r="N1837">
        <v>7.67</v>
      </c>
      <c r="O1837">
        <v>0</v>
      </c>
      <c r="P1837">
        <v>0</v>
      </c>
      <c r="Q1837" t="s">
        <v>108</v>
      </c>
    </row>
    <row r="1838" spans="1:17">
      <c r="A1838" t="s">
        <v>93</v>
      </c>
      <c r="B1838" t="s">
        <v>106</v>
      </c>
      <c r="C1838" t="s">
        <v>56</v>
      </c>
      <c r="D1838" t="s">
        <v>1621</v>
      </c>
      <c r="E1838">
        <v>22</v>
      </c>
      <c r="F1838" t="str">
        <f>VLOOKUP(E1838,[1]LOJA!$A:$B,2,0)</f>
        <v>GUARÁ</v>
      </c>
      <c r="G1838" t="s">
        <v>19</v>
      </c>
      <c r="H1838" t="s">
        <v>19</v>
      </c>
      <c r="I1838" s="1">
        <v>46038</v>
      </c>
      <c r="J1838" s="1">
        <v>46038</v>
      </c>
      <c r="K1838" s="1">
        <v>46038</v>
      </c>
      <c r="L1838">
        <v>34</v>
      </c>
      <c r="M1838">
        <v>2.3199999999999998</v>
      </c>
      <c r="N1838">
        <v>2.3199999999999998</v>
      </c>
      <c r="O1838">
        <v>0</v>
      </c>
      <c r="P1838">
        <v>0</v>
      </c>
      <c r="Q1838" t="s">
        <v>108</v>
      </c>
    </row>
    <row r="1839" spans="1:17">
      <c r="A1839" t="s">
        <v>93</v>
      </c>
      <c r="B1839" t="s">
        <v>106</v>
      </c>
      <c r="C1839" t="s">
        <v>56</v>
      </c>
      <c r="D1839" t="s">
        <v>1622</v>
      </c>
      <c r="E1839">
        <v>22</v>
      </c>
      <c r="F1839" t="str">
        <f>VLOOKUP(E1839,[1]LOJA!$A:$B,2,0)</f>
        <v>GUARÁ</v>
      </c>
      <c r="G1839" t="s">
        <v>19</v>
      </c>
      <c r="H1839" t="s">
        <v>19</v>
      </c>
      <c r="I1839" s="1">
        <v>46038</v>
      </c>
      <c r="J1839" s="1">
        <v>46038</v>
      </c>
      <c r="K1839" s="1">
        <v>46038</v>
      </c>
      <c r="L1839">
        <v>34</v>
      </c>
      <c r="M1839">
        <v>2.73</v>
      </c>
      <c r="N1839">
        <v>2.73</v>
      </c>
      <c r="O1839">
        <v>0</v>
      </c>
      <c r="P1839">
        <v>0</v>
      </c>
      <c r="Q1839" t="s">
        <v>108</v>
      </c>
    </row>
    <row r="1840" spans="1:17">
      <c r="A1840" t="s">
        <v>93</v>
      </c>
      <c r="B1840" t="s">
        <v>106</v>
      </c>
      <c r="C1840" t="s">
        <v>56</v>
      </c>
      <c r="D1840" t="s">
        <v>1623</v>
      </c>
      <c r="E1840">
        <v>22</v>
      </c>
      <c r="F1840" t="str">
        <f>VLOOKUP(E1840,[1]LOJA!$A:$B,2,0)</f>
        <v>GUARÁ</v>
      </c>
      <c r="G1840" t="s">
        <v>19</v>
      </c>
      <c r="H1840" t="s">
        <v>19</v>
      </c>
      <c r="I1840" s="1">
        <v>46038</v>
      </c>
      <c r="J1840" s="1">
        <v>46038</v>
      </c>
      <c r="K1840" s="1">
        <v>46038</v>
      </c>
      <c r="L1840">
        <v>34</v>
      </c>
      <c r="M1840">
        <v>1.22</v>
      </c>
      <c r="N1840">
        <v>1.22</v>
      </c>
      <c r="O1840">
        <v>0</v>
      </c>
      <c r="P1840">
        <v>0</v>
      </c>
      <c r="Q1840" t="s">
        <v>108</v>
      </c>
    </row>
    <row r="1841" spans="1:17">
      <c r="A1841" t="s">
        <v>93</v>
      </c>
      <c r="B1841" t="s">
        <v>106</v>
      </c>
      <c r="C1841" t="s">
        <v>56</v>
      </c>
      <c r="D1841" t="s">
        <v>1624</v>
      </c>
      <c r="E1841">
        <v>22</v>
      </c>
      <c r="F1841" t="str">
        <f>VLOOKUP(E1841,[1]LOJA!$A:$B,2,0)</f>
        <v>GUARÁ</v>
      </c>
      <c r="G1841" t="s">
        <v>19</v>
      </c>
      <c r="H1841" t="s">
        <v>19</v>
      </c>
      <c r="I1841" s="1">
        <v>46038</v>
      </c>
      <c r="J1841" s="1">
        <v>46038</v>
      </c>
      <c r="K1841" s="1">
        <v>46038</v>
      </c>
      <c r="L1841">
        <v>34</v>
      </c>
      <c r="M1841">
        <v>2.69</v>
      </c>
      <c r="N1841">
        <v>2.69</v>
      </c>
      <c r="O1841">
        <v>0</v>
      </c>
      <c r="P1841">
        <v>0</v>
      </c>
      <c r="Q1841" t="s">
        <v>108</v>
      </c>
    </row>
    <row r="1842" spans="1:17">
      <c r="A1842" t="s">
        <v>93</v>
      </c>
      <c r="B1842" t="s">
        <v>106</v>
      </c>
      <c r="C1842" t="s">
        <v>56</v>
      </c>
      <c r="D1842" t="s">
        <v>1625</v>
      </c>
      <c r="E1842">
        <v>22</v>
      </c>
      <c r="F1842" t="str">
        <f>VLOOKUP(E1842,[1]LOJA!$A:$B,2,0)</f>
        <v>GUARÁ</v>
      </c>
      <c r="G1842" t="s">
        <v>19</v>
      </c>
      <c r="H1842" t="s">
        <v>19</v>
      </c>
      <c r="I1842" s="1">
        <v>46038</v>
      </c>
      <c r="J1842" s="1">
        <v>46038</v>
      </c>
      <c r="K1842" s="1">
        <v>46038</v>
      </c>
      <c r="L1842">
        <v>34</v>
      </c>
      <c r="M1842">
        <v>7.0000000000000007E-2</v>
      </c>
      <c r="N1842">
        <v>7.0000000000000007E-2</v>
      </c>
      <c r="O1842">
        <v>0</v>
      </c>
      <c r="P1842">
        <v>0</v>
      </c>
      <c r="Q1842" t="s">
        <v>108</v>
      </c>
    </row>
    <row r="1843" spans="1:17">
      <c r="A1843" t="s">
        <v>93</v>
      </c>
      <c r="B1843" t="s">
        <v>106</v>
      </c>
      <c r="C1843" t="s">
        <v>56</v>
      </c>
      <c r="D1843" t="s">
        <v>1626</v>
      </c>
      <c r="E1843">
        <v>22</v>
      </c>
      <c r="F1843" t="str">
        <f>VLOOKUP(E1843,[1]LOJA!$A:$B,2,0)</f>
        <v>GUARÁ</v>
      </c>
      <c r="G1843" t="s">
        <v>19</v>
      </c>
      <c r="H1843" t="s">
        <v>19</v>
      </c>
      <c r="I1843" s="1">
        <v>46038</v>
      </c>
      <c r="J1843" s="1">
        <v>46038</v>
      </c>
      <c r="K1843" s="1">
        <v>46038</v>
      </c>
      <c r="L1843">
        <v>34</v>
      </c>
      <c r="M1843">
        <v>1.1000000000000001</v>
      </c>
      <c r="N1843">
        <v>1.1000000000000001</v>
      </c>
      <c r="O1843">
        <v>0</v>
      </c>
      <c r="P1843">
        <v>0</v>
      </c>
      <c r="Q1843" t="s">
        <v>108</v>
      </c>
    </row>
    <row r="1844" spans="1:17">
      <c r="A1844" t="s">
        <v>93</v>
      </c>
      <c r="B1844" t="s">
        <v>106</v>
      </c>
      <c r="C1844" t="s">
        <v>56</v>
      </c>
      <c r="D1844" t="s">
        <v>1627</v>
      </c>
      <c r="E1844">
        <v>22</v>
      </c>
      <c r="F1844" t="str">
        <f>VLOOKUP(E1844,[1]LOJA!$A:$B,2,0)</f>
        <v>GUARÁ</v>
      </c>
      <c r="G1844" t="s">
        <v>19</v>
      </c>
      <c r="H1844" t="s">
        <v>19</v>
      </c>
      <c r="I1844" s="1">
        <v>46038</v>
      </c>
      <c r="J1844" s="1">
        <v>46038</v>
      </c>
      <c r="K1844" s="1">
        <v>46038</v>
      </c>
      <c r="L1844">
        <v>34</v>
      </c>
      <c r="M1844">
        <v>0.17</v>
      </c>
      <c r="N1844">
        <v>0.17</v>
      </c>
      <c r="O1844">
        <v>0</v>
      </c>
      <c r="P1844">
        <v>0</v>
      </c>
      <c r="Q1844" t="s">
        <v>108</v>
      </c>
    </row>
    <row r="1845" spans="1:17">
      <c r="A1845" t="s">
        <v>93</v>
      </c>
      <c r="B1845" t="s">
        <v>106</v>
      </c>
      <c r="C1845" t="s">
        <v>56</v>
      </c>
      <c r="D1845" t="s">
        <v>1628</v>
      </c>
      <c r="E1845">
        <v>22</v>
      </c>
      <c r="F1845" t="str">
        <f>VLOOKUP(E1845,[1]LOJA!$A:$B,2,0)</f>
        <v>GUARÁ</v>
      </c>
      <c r="G1845" t="s">
        <v>19</v>
      </c>
      <c r="H1845" t="s">
        <v>19</v>
      </c>
      <c r="I1845" s="1">
        <v>46038</v>
      </c>
      <c r="J1845" s="1">
        <v>46038</v>
      </c>
      <c r="K1845" s="1">
        <v>46038</v>
      </c>
      <c r="L1845">
        <v>34</v>
      </c>
      <c r="M1845">
        <v>0.27</v>
      </c>
      <c r="N1845">
        <v>0.27</v>
      </c>
      <c r="O1845">
        <v>0</v>
      </c>
      <c r="P1845">
        <v>0</v>
      </c>
      <c r="Q1845" t="s">
        <v>108</v>
      </c>
    </row>
    <row r="1846" spans="1:17">
      <c r="A1846" t="s">
        <v>93</v>
      </c>
      <c r="B1846" t="s">
        <v>106</v>
      </c>
      <c r="C1846" t="s">
        <v>56</v>
      </c>
      <c r="D1846" t="s">
        <v>1629</v>
      </c>
      <c r="E1846">
        <v>22</v>
      </c>
      <c r="F1846" t="str">
        <f>VLOOKUP(E1846,[1]LOJA!$A:$B,2,0)</f>
        <v>GUARÁ</v>
      </c>
      <c r="G1846" t="s">
        <v>19</v>
      </c>
      <c r="H1846" t="s">
        <v>19</v>
      </c>
      <c r="I1846" s="1">
        <v>46038</v>
      </c>
      <c r="J1846" s="1">
        <v>46038</v>
      </c>
      <c r="K1846" s="1">
        <v>46038</v>
      </c>
      <c r="L1846">
        <v>34</v>
      </c>
      <c r="M1846">
        <v>0.6</v>
      </c>
      <c r="N1846">
        <v>0.6</v>
      </c>
      <c r="O1846">
        <v>0</v>
      </c>
      <c r="P1846">
        <v>0</v>
      </c>
      <c r="Q1846" t="s">
        <v>108</v>
      </c>
    </row>
    <row r="1847" spans="1:17">
      <c r="A1847" t="s">
        <v>93</v>
      </c>
      <c r="B1847" t="s">
        <v>106</v>
      </c>
      <c r="C1847" t="s">
        <v>56</v>
      </c>
      <c r="D1847" t="s">
        <v>1630</v>
      </c>
      <c r="E1847">
        <v>22</v>
      </c>
      <c r="F1847" t="str">
        <f>VLOOKUP(E1847,[1]LOJA!$A:$B,2,0)</f>
        <v>GUARÁ</v>
      </c>
      <c r="G1847" t="s">
        <v>19</v>
      </c>
      <c r="H1847" t="s">
        <v>19</v>
      </c>
      <c r="I1847" s="1">
        <v>46038</v>
      </c>
      <c r="J1847" s="1">
        <v>46038</v>
      </c>
      <c r="K1847" s="1">
        <v>46038</v>
      </c>
      <c r="L1847">
        <v>34</v>
      </c>
      <c r="M1847">
        <v>0.19</v>
      </c>
      <c r="N1847">
        <v>0.19</v>
      </c>
      <c r="O1847">
        <v>0</v>
      </c>
      <c r="P1847">
        <v>0</v>
      </c>
      <c r="Q1847" t="s">
        <v>108</v>
      </c>
    </row>
    <row r="1848" spans="1:17">
      <c r="A1848" t="s">
        <v>93</v>
      </c>
      <c r="B1848" t="s">
        <v>106</v>
      </c>
      <c r="C1848" t="s">
        <v>56</v>
      </c>
      <c r="D1848" t="s">
        <v>1631</v>
      </c>
      <c r="E1848">
        <v>22</v>
      </c>
      <c r="F1848" t="str">
        <f>VLOOKUP(E1848,[1]LOJA!$A:$B,2,0)</f>
        <v>GUARÁ</v>
      </c>
      <c r="G1848" t="s">
        <v>19</v>
      </c>
      <c r="H1848" t="s">
        <v>19</v>
      </c>
      <c r="I1848" s="1">
        <v>46038</v>
      </c>
      <c r="J1848" s="1">
        <v>46038</v>
      </c>
      <c r="K1848" s="1">
        <v>46038</v>
      </c>
      <c r="L1848">
        <v>34</v>
      </c>
      <c r="M1848">
        <v>0.72</v>
      </c>
      <c r="N1848">
        <v>0.72</v>
      </c>
      <c r="O1848">
        <v>0</v>
      </c>
      <c r="P1848">
        <v>0</v>
      </c>
      <c r="Q1848" t="s">
        <v>108</v>
      </c>
    </row>
    <row r="1849" spans="1:17">
      <c r="A1849" t="s">
        <v>93</v>
      </c>
      <c r="B1849" t="s">
        <v>106</v>
      </c>
      <c r="C1849" t="s">
        <v>56</v>
      </c>
      <c r="D1849" t="s">
        <v>1632</v>
      </c>
      <c r="E1849">
        <v>22</v>
      </c>
      <c r="F1849" t="str">
        <f>VLOOKUP(E1849,[1]LOJA!$A:$B,2,0)</f>
        <v>GUARÁ</v>
      </c>
      <c r="G1849" t="s">
        <v>19</v>
      </c>
      <c r="H1849" t="s">
        <v>19</v>
      </c>
      <c r="I1849" s="1">
        <v>46038</v>
      </c>
      <c r="J1849" s="1">
        <v>46038</v>
      </c>
      <c r="K1849" s="1">
        <v>46038</v>
      </c>
      <c r="L1849">
        <v>34</v>
      </c>
      <c r="M1849">
        <v>0.17</v>
      </c>
      <c r="N1849">
        <v>0.17</v>
      </c>
      <c r="O1849">
        <v>0</v>
      </c>
      <c r="P1849">
        <v>0</v>
      </c>
      <c r="Q1849" t="s">
        <v>108</v>
      </c>
    </row>
    <row r="1850" spans="1:17">
      <c r="A1850" t="s">
        <v>93</v>
      </c>
      <c r="B1850" t="s">
        <v>106</v>
      </c>
      <c r="C1850" t="s">
        <v>56</v>
      </c>
      <c r="D1850" t="s">
        <v>1633</v>
      </c>
      <c r="E1850">
        <v>22</v>
      </c>
      <c r="F1850" t="str">
        <f>VLOOKUP(E1850,[1]LOJA!$A:$B,2,0)</f>
        <v>GUARÁ</v>
      </c>
      <c r="G1850" t="s">
        <v>19</v>
      </c>
      <c r="H1850" t="s">
        <v>19</v>
      </c>
      <c r="I1850" s="1">
        <v>46038</v>
      </c>
      <c r="J1850" s="1">
        <v>46038</v>
      </c>
      <c r="K1850" s="1">
        <v>46038</v>
      </c>
      <c r="L1850">
        <v>34</v>
      </c>
      <c r="M1850">
        <v>0.23</v>
      </c>
      <c r="N1850">
        <v>0.23</v>
      </c>
      <c r="O1850">
        <v>0</v>
      </c>
      <c r="P1850">
        <v>0</v>
      </c>
      <c r="Q1850" t="s">
        <v>108</v>
      </c>
    </row>
    <row r="1851" spans="1:17">
      <c r="A1851" t="s">
        <v>93</v>
      </c>
      <c r="B1851" t="s">
        <v>106</v>
      </c>
      <c r="C1851" t="s">
        <v>56</v>
      </c>
      <c r="D1851" t="s">
        <v>1634</v>
      </c>
      <c r="E1851">
        <v>22</v>
      </c>
      <c r="F1851" t="str">
        <f>VLOOKUP(E1851,[1]LOJA!$A:$B,2,0)</f>
        <v>GUARÁ</v>
      </c>
      <c r="G1851" t="s">
        <v>19</v>
      </c>
      <c r="H1851" t="s">
        <v>19</v>
      </c>
      <c r="I1851" s="1">
        <v>46038</v>
      </c>
      <c r="J1851" s="1">
        <v>46038</v>
      </c>
      <c r="K1851" s="1">
        <v>46038</v>
      </c>
      <c r="L1851">
        <v>34</v>
      </c>
      <c r="M1851">
        <v>0.17</v>
      </c>
      <c r="N1851">
        <v>0.17</v>
      </c>
      <c r="O1851">
        <v>0</v>
      </c>
      <c r="P1851">
        <v>0</v>
      </c>
      <c r="Q1851" t="s">
        <v>108</v>
      </c>
    </row>
    <row r="1852" spans="1:17">
      <c r="A1852" t="s">
        <v>93</v>
      </c>
      <c r="B1852" t="s">
        <v>106</v>
      </c>
      <c r="C1852" t="s">
        <v>56</v>
      </c>
      <c r="D1852" t="s">
        <v>1635</v>
      </c>
      <c r="E1852">
        <v>22</v>
      </c>
      <c r="F1852" t="str">
        <f>VLOOKUP(E1852,[1]LOJA!$A:$B,2,0)</f>
        <v>GUARÁ</v>
      </c>
      <c r="G1852" t="s">
        <v>19</v>
      </c>
      <c r="H1852" t="s">
        <v>19</v>
      </c>
      <c r="I1852" s="1">
        <v>46038</v>
      </c>
      <c r="J1852" s="1">
        <v>46038</v>
      </c>
      <c r="K1852" s="1">
        <v>46038</v>
      </c>
      <c r="L1852">
        <v>34</v>
      </c>
      <c r="M1852">
        <v>0.36</v>
      </c>
      <c r="N1852">
        <v>0.36</v>
      </c>
      <c r="O1852">
        <v>0</v>
      </c>
      <c r="P1852">
        <v>0</v>
      </c>
      <c r="Q1852" t="s">
        <v>108</v>
      </c>
    </row>
    <row r="1853" spans="1:17">
      <c r="A1853" t="s">
        <v>93</v>
      </c>
      <c r="B1853" t="s">
        <v>106</v>
      </c>
      <c r="C1853" t="s">
        <v>56</v>
      </c>
      <c r="D1853" t="s">
        <v>1636</v>
      </c>
      <c r="E1853">
        <v>22</v>
      </c>
      <c r="F1853" t="str">
        <f>VLOOKUP(E1853,[1]LOJA!$A:$B,2,0)</f>
        <v>GUARÁ</v>
      </c>
      <c r="G1853" t="s">
        <v>19</v>
      </c>
      <c r="H1853" t="s">
        <v>19</v>
      </c>
      <c r="I1853" s="1">
        <v>46038</v>
      </c>
      <c r="J1853" s="1">
        <v>46038</v>
      </c>
      <c r="K1853" s="1">
        <v>46038</v>
      </c>
      <c r="L1853">
        <v>34</v>
      </c>
      <c r="M1853">
        <v>0.13</v>
      </c>
      <c r="N1853">
        <v>0.13</v>
      </c>
      <c r="O1853">
        <v>0</v>
      </c>
      <c r="P1853">
        <v>0</v>
      </c>
      <c r="Q1853" t="s">
        <v>108</v>
      </c>
    </row>
    <row r="1854" spans="1:17">
      <c r="A1854" t="s">
        <v>93</v>
      </c>
      <c r="B1854" t="s">
        <v>106</v>
      </c>
      <c r="C1854" t="s">
        <v>56</v>
      </c>
      <c r="D1854" t="s">
        <v>1637</v>
      </c>
      <c r="E1854">
        <v>22</v>
      </c>
      <c r="F1854" t="str">
        <f>VLOOKUP(E1854,[1]LOJA!$A:$B,2,0)</f>
        <v>GUARÁ</v>
      </c>
      <c r="G1854" t="s">
        <v>19</v>
      </c>
      <c r="H1854" t="s">
        <v>19</v>
      </c>
      <c r="I1854" s="1">
        <v>46038</v>
      </c>
      <c r="J1854" s="1">
        <v>46038</v>
      </c>
      <c r="K1854" s="1">
        <v>46038</v>
      </c>
      <c r="L1854">
        <v>34</v>
      </c>
      <c r="M1854">
        <v>5.36</v>
      </c>
      <c r="N1854">
        <v>5.36</v>
      </c>
      <c r="O1854">
        <v>0</v>
      </c>
      <c r="P1854">
        <v>0</v>
      </c>
      <c r="Q1854" t="s">
        <v>108</v>
      </c>
    </row>
    <row r="1855" spans="1:17">
      <c r="A1855" t="s">
        <v>93</v>
      </c>
      <c r="B1855" t="s">
        <v>106</v>
      </c>
      <c r="C1855" t="s">
        <v>56</v>
      </c>
      <c r="D1855" t="s">
        <v>1638</v>
      </c>
      <c r="E1855">
        <v>22</v>
      </c>
      <c r="F1855" t="str">
        <f>VLOOKUP(E1855,[1]LOJA!$A:$B,2,0)</f>
        <v>GUARÁ</v>
      </c>
      <c r="G1855" t="s">
        <v>19</v>
      </c>
      <c r="H1855" t="s">
        <v>19</v>
      </c>
      <c r="I1855" s="1">
        <v>46038</v>
      </c>
      <c r="J1855" s="1">
        <v>46038</v>
      </c>
      <c r="K1855" s="1">
        <v>46038</v>
      </c>
      <c r="L1855">
        <v>34</v>
      </c>
      <c r="M1855">
        <v>0.04</v>
      </c>
      <c r="N1855">
        <v>0.04</v>
      </c>
      <c r="O1855">
        <v>0</v>
      </c>
      <c r="P1855">
        <v>0</v>
      </c>
      <c r="Q1855" t="s">
        <v>108</v>
      </c>
    </row>
    <row r="1856" spans="1:17">
      <c r="A1856" t="s">
        <v>93</v>
      </c>
      <c r="B1856" t="s">
        <v>106</v>
      </c>
      <c r="C1856" t="s">
        <v>56</v>
      </c>
      <c r="D1856" t="s">
        <v>1639</v>
      </c>
      <c r="E1856">
        <v>22</v>
      </c>
      <c r="F1856" t="str">
        <f>VLOOKUP(E1856,[1]LOJA!$A:$B,2,0)</f>
        <v>GUARÁ</v>
      </c>
      <c r="G1856" t="s">
        <v>19</v>
      </c>
      <c r="H1856" t="s">
        <v>19</v>
      </c>
      <c r="I1856" s="1">
        <v>46038</v>
      </c>
      <c r="J1856" s="1">
        <v>46038</v>
      </c>
      <c r="K1856" s="1">
        <v>46038</v>
      </c>
      <c r="L1856">
        <v>34</v>
      </c>
      <c r="M1856">
        <v>0.2</v>
      </c>
      <c r="N1856">
        <v>0.2</v>
      </c>
      <c r="O1856">
        <v>0</v>
      </c>
      <c r="P1856">
        <v>0</v>
      </c>
      <c r="Q1856" t="s">
        <v>108</v>
      </c>
    </row>
    <row r="1857" spans="1:17">
      <c r="A1857" t="s">
        <v>93</v>
      </c>
      <c r="B1857" t="s">
        <v>106</v>
      </c>
      <c r="C1857" t="s">
        <v>56</v>
      </c>
      <c r="D1857" t="s">
        <v>1640</v>
      </c>
      <c r="E1857">
        <v>22</v>
      </c>
      <c r="F1857" t="str">
        <f>VLOOKUP(E1857,[1]LOJA!$A:$B,2,0)</f>
        <v>GUARÁ</v>
      </c>
      <c r="G1857" t="s">
        <v>19</v>
      </c>
      <c r="H1857" t="s">
        <v>19</v>
      </c>
      <c r="I1857" s="1">
        <v>46038</v>
      </c>
      <c r="J1857" s="1">
        <v>46038</v>
      </c>
      <c r="K1857" s="1">
        <v>46038</v>
      </c>
      <c r="L1857">
        <v>34</v>
      </c>
      <c r="M1857">
        <v>1.53</v>
      </c>
      <c r="N1857">
        <v>1.53</v>
      </c>
      <c r="O1857">
        <v>0</v>
      </c>
      <c r="P1857">
        <v>0</v>
      </c>
      <c r="Q1857" t="s">
        <v>108</v>
      </c>
    </row>
    <row r="1858" spans="1:17">
      <c r="A1858" t="s">
        <v>93</v>
      </c>
      <c r="B1858" t="s">
        <v>106</v>
      </c>
      <c r="C1858" t="s">
        <v>56</v>
      </c>
      <c r="D1858" t="s">
        <v>1641</v>
      </c>
      <c r="E1858">
        <v>22</v>
      </c>
      <c r="F1858" t="str">
        <f>VLOOKUP(E1858,[1]LOJA!$A:$B,2,0)</f>
        <v>GUARÁ</v>
      </c>
      <c r="G1858" t="s">
        <v>19</v>
      </c>
      <c r="H1858" t="s">
        <v>19</v>
      </c>
      <c r="I1858" s="1">
        <v>46038</v>
      </c>
      <c r="J1858" s="1">
        <v>46038</v>
      </c>
      <c r="K1858" s="1">
        <v>46038</v>
      </c>
      <c r="L1858">
        <v>34</v>
      </c>
      <c r="M1858">
        <v>0.87</v>
      </c>
      <c r="N1858">
        <v>0.87</v>
      </c>
      <c r="O1858">
        <v>0</v>
      </c>
      <c r="P1858">
        <v>0</v>
      </c>
      <c r="Q1858" t="s">
        <v>108</v>
      </c>
    </row>
    <row r="1859" spans="1:17">
      <c r="A1859" t="s">
        <v>93</v>
      </c>
      <c r="B1859" t="s">
        <v>106</v>
      </c>
      <c r="C1859" t="s">
        <v>56</v>
      </c>
      <c r="D1859" t="s">
        <v>1642</v>
      </c>
      <c r="E1859">
        <v>22</v>
      </c>
      <c r="F1859" t="str">
        <f>VLOOKUP(E1859,[1]LOJA!$A:$B,2,0)</f>
        <v>GUARÁ</v>
      </c>
      <c r="G1859" t="s">
        <v>19</v>
      </c>
      <c r="H1859" t="s">
        <v>19</v>
      </c>
      <c r="I1859" s="1">
        <v>46038</v>
      </c>
      <c r="J1859" s="1">
        <v>46038</v>
      </c>
      <c r="K1859" s="1">
        <v>46038</v>
      </c>
      <c r="L1859">
        <v>34</v>
      </c>
      <c r="M1859">
        <v>0.23</v>
      </c>
      <c r="N1859">
        <v>0.23</v>
      </c>
      <c r="O1859">
        <v>0</v>
      </c>
      <c r="P1859">
        <v>0</v>
      </c>
      <c r="Q1859" t="s">
        <v>108</v>
      </c>
    </row>
    <row r="1860" spans="1:17">
      <c r="A1860" t="s">
        <v>93</v>
      </c>
      <c r="B1860" t="s">
        <v>106</v>
      </c>
      <c r="C1860" t="s">
        <v>56</v>
      </c>
      <c r="D1860" t="s">
        <v>1643</v>
      </c>
      <c r="E1860">
        <v>22</v>
      </c>
      <c r="F1860" t="str">
        <f>VLOOKUP(E1860,[1]LOJA!$A:$B,2,0)</f>
        <v>GUARÁ</v>
      </c>
      <c r="G1860" t="s">
        <v>19</v>
      </c>
      <c r="H1860" t="s">
        <v>19</v>
      </c>
      <c r="I1860" s="1">
        <v>46038</v>
      </c>
      <c r="J1860" s="1">
        <v>46038</v>
      </c>
      <c r="K1860" s="1">
        <v>46038</v>
      </c>
      <c r="L1860">
        <v>34</v>
      </c>
      <c r="M1860">
        <v>0.22</v>
      </c>
      <c r="N1860">
        <v>0.22</v>
      </c>
      <c r="O1860">
        <v>0</v>
      </c>
      <c r="P1860">
        <v>0</v>
      </c>
      <c r="Q1860" t="s">
        <v>108</v>
      </c>
    </row>
    <row r="1861" spans="1:17">
      <c r="A1861" t="s">
        <v>93</v>
      </c>
      <c r="B1861" t="s">
        <v>106</v>
      </c>
      <c r="C1861" t="s">
        <v>56</v>
      </c>
      <c r="D1861" t="s">
        <v>1644</v>
      </c>
      <c r="E1861">
        <v>22</v>
      </c>
      <c r="F1861" t="str">
        <f>VLOOKUP(E1861,[1]LOJA!$A:$B,2,0)</f>
        <v>GUARÁ</v>
      </c>
      <c r="G1861" t="s">
        <v>19</v>
      </c>
      <c r="H1861" t="s">
        <v>19</v>
      </c>
      <c r="I1861" s="1">
        <v>46038</v>
      </c>
      <c r="J1861" s="1">
        <v>46038</v>
      </c>
      <c r="K1861" s="1">
        <v>46038</v>
      </c>
      <c r="L1861">
        <v>34</v>
      </c>
      <c r="M1861">
        <v>0.05</v>
      </c>
      <c r="N1861">
        <v>0.05</v>
      </c>
      <c r="O1861">
        <v>0</v>
      </c>
      <c r="P1861">
        <v>0</v>
      </c>
      <c r="Q1861" t="s">
        <v>108</v>
      </c>
    </row>
    <row r="1862" spans="1:17">
      <c r="A1862" t="s">
        <v>93</v>
      </c>
      <c r="B1862" t="s">
        <v>106</v>
      </c>
      <c r="C1862" t="s">
        <v>56</v>
      </c>
      <c r="D1862" t="s">
        <v>1645</v>
      </c>
      <c r="E1862">
        <v>22</v>
      </c>
      <c r="F1862" t="str">
        <f>VLOOKUP(E1862,[1]LOJA!$A:$B,2,0)</f>
        <v>GUARÁ</v>
      </c>
      <c r="G1862" t="s">
        <v>19</v>
      </c>
      <c r="H1862" t="s">
        <v>19</v>
      </c>
      <c r="I1862" s="1">
        <v>46041</v>
      </c>
      <c r="J1862" s="1">
        <v>46041</v>
      </c>
      <c r="K1862" s="1">
        <v>46041</v>
      </c>
      <c r="L1862">
        <v>34</v>
      </c>
      <c r="M1862">
        <v>6.57</v>
      </c>
      <c r="N1862">
        <v>6.57</v>
      </c>
      <c r="O1862">
        <v>0</v>
      </c>
      <c r="P1862">
        <v>0</v>
      </c>
      <c r="Q1862" t="s">
        <v>108</v>
      </c>
    </row>
    <row r="1863" spans="1:17">
      <c r="A1863" t="s">
        <v>93</v>
      </c>
      <c r="B1863" t="s">
        <v>106</v>
      </c>
      <c r="C1863" t="s">
        <v>56</v>
      </c>
      <c r="D1863" t="s">
        <v>1646</v>
      </c>
      <c r="E1863">
        <v>22</v>
      </c>
      <c r="F1863" t="str">
        <f>VLOOKUP(E1863,[1]LOJA!$A:$B,2,0)</f>
        <v>GUARÁ</v>
      </c>
      <c r="G1863" t="s">
        <v>19</v>
      </c>
      <c r="H1863" t="s">
        <v>19</v>
      </c>
      <c r="I1863" s="1">
        <v>46041</v>
      </c>
      <c r="J1863" s="1">
        <v>46041</v>
      </c>
      <c r="K1863" s="1">
        <v>46041</v>
      </c>
      <c r="L1863">
        <v>34</v>
      </c>
      <c r="M1863">
        <v>2.69</v>
      </c>
      <c r="N1863">
        <v>2.69</v>
      </c>
      <c r="O1863">
        <v>0</v>
      </c>
      <c r="P1863">
        <v>0</v>
      </c>
      <c r="Q1863" t="s">
        <v>108</v>
      </c>
    </row>
    <row r="1864" spans="1:17">
      <c r="A1864" t="s">
        <v>93</v>
      </c>
      <c r="B1864" t="s">
        <v>106</v>
      </c>
      <c r="C1864" t="s">
        <v>56</v>
      </c>
      <c r="D1864" t="s">
        <v>1647</v>
      </c>
      <c r="E1864">
        <v>22</v>
      </c>
      <c r="F1864" t="str">
        <f>VLOOKUP(E1864,[1]LOJA!$A:$B,2,0)</f>
        <v>GUARÁ</v>
      </c>
      <c r="G1864" t="s">
        <v>19</v>
      </c>
      <c r="H1864" t="s">
        <v>19</v>
      </c>
      <c r="I1864" s="1">
        <v>46041</v>
      </c>
      <c r="J1864" s="1">
        <v>46041</v>
      </c>
      <c r="K1864" s="1">
        <v>46041</v>
      </c>
      <c r="L1864">
        <v>34</v>
      </c>
      <c r="M1864">
        <v>2.63</v>
      </c>
      <c r="N1864">
        <v>2.63</v>
      </c>
      <c r="O1864">
        <v>0</v>
      </c>
      <c r="P1864">
        <v>0</v>
      </c>
      <c r="Q1864" t="s">
        <v>108</v>
      </c>
    </row>
    <row r="1865" spans="1:17">
      <c r="A1865" t="s">
        <v>93</v>
      </c>
      <c r="B1865" t="s">
        <v>106</v>
      </c>
      <c r="C1865" t="s">
        <v>56</v>
      </c>
      <c r="D1865" t="s">
        <v>1648</v>
      </c>
      <c r="E1865">
        <v>22</v>
      </c>
      <c r="F1865" t="str">
        <f>VLOOKUP(E1865,[1]LOJA!$A:$B,2,0)</f>
        <v>GUARÁ</v>
      </c>
      <c r="G1865" t="s">
        <v>19</v>
      </c>
      <c r="H1865" t="s">
        <v>19</v>
      </c>
      <c r="I1865" s="1">
        <v>46041</v>
      </c>
      <c r="J1865" s="1">
        <v>46040</v>
      </c>
      <c r="K1865" s="1">
        <v>46041</v>
      </c>
      <c r="L1865">
        <v>34</v>
      </c>
      <c r="M1865">
        <v>2.21</v>
      </c>
      <c r="N1865">
        <v>2.21</v>
      </c>
      <c r="O1865">
        <v>0</v>
      </c>
      <c r="P1865">
        <v>0</v>
      </c>
      <c r="Q1865" t="s">
        <v>108</v>
      </c>
    </row>
    <row r="1866" spans="1:17">
      <c r="A1866" t="s">
        <v>93</v>
      </c>
      <c r="B1866" t="s">
        <v>106</v>
      </c>
      <c r="C1866" t="s">
        <v>56</v>
      </c>
      <c r="D1866" t="s">
        <v>1649</v>
      </c>
      <c r="E1866">
        <v>22</v>
      </c>
      <c r="F1866" t="str">
        <f>VLOOKUP(E1866,[1]LOJA!$A:$B,2,0)</f>
        <v>GUARÁ</v>
      </c>
      <c r="G1866" t="s">
        <v>19</v>
      </c>
      <c r="H1866" t="s">
        <v>19</v>
      </c>
      <c r="I1866" s="1">
        <v>46041</v>
      </c>
      <c r="J1866" s="1">
        <v>46040</v>
      </c>
      <c r="K1866" s="1">
        <v>46041</v>
      </c>
      <c r="L1866">
        <v>34</v>
      </c>
      <c r="M1866">
        <v>2.29</v>
      </c>
      <c r="N1866">
        <v>2.29</v>
      </c>
      <c r="O1866">
        <v>0</v>
      </c>
      <c r="P1866">
        <v>0</v>
      </c>
      <c r="Q1866" t="s">
        <v>108</v>
      </c>
    </row>
    <row r="1867" spans="1:17">
      <c r="A1867" t="s">
        <v>93</v>
      </c>
      <c r="B1867" t="s">
        <v>106</v>
      </c>
      <c r="C1867" t="s">
        <v>56</v>
      </c>
      <c r="D1867" t="s">
        <v>1650</v>
      </c>
      <c r="E1867">
        <v>22</v>
      </c>
      <c r="F1867" t="str">
        <f>VLOOKUP(E1867,[1]LOJA!$A:$B,2,0)</f>
        <v>GUARÁ</v>
      </c>
      <c r="G1867" t="s">
        <v>19</v>
      </c>
      <c r="H1867" t="s">
        <v>19</v>
      </c>
      <c r="I1867" s="1">
        <v>46041</v>
      </c>
      <c r="J1867" s="1">
        <v>46041</v>
      </c>
      <c r="K1867" s="1">
        <v>46041</v>
      </c>
      <c r="L1867">
        <v>34</v>
      </c>
      <c r="M1867">
        <v>2.19</v>
      </c>
      <c r="N1867">
        <v>2.19</v>
      </c>
      <c r="O1867">
        <v>0</v>
      </c>
      <c r="P1867">
        <v>0</v>
      </c>
      <c r="Q1867" t="s">
        <v>108</v>
      </c>
    </row>
    <row r="1868" spans="1:17">
      <c r="A1868" t="s">
        <v>93</v>
      </c>
      <c r="B1868" t="s">
        <v>106</v>
      </c>
      <c r="C1868" t="s">
        <v>56</v>
      </c>
      <c r="D1868" t="s">
        <v>1651</v>
      </c>
      <c r="E1868">
        <v>22</v>
      </c>
      <c r="F1868" t="str">
        <f>VLOOKUP(E1868,[1]LOJA!$A:$B,2,0)</f>
        <v>GUARÁ</v>
      </c>
      <c r="G1868" t="s">
        <v>19</v>
      </c>
      <c r="H1868" t="s">
        <v>19</v>
      </c>
      <c r="I1868" s="1">
        <v>46041</v>
      </c>
      <c r="J1868" s="1">
        <v>46041</v>
      </c>
      <c r="K1868" s="1">
        <v>46041</v>
      </c>
      <c r="L1868">
        <v>34</v>
      </c>
      <c r="M1868">
        <v>6.12</v>
      </c>
      <c r="N1868">
        <v>6.12</v>
      </c>
      <c r="O1868">
        <v>0</v>
      </c>
      <c r="P1868">
        <v>0</v>
      </c>
      <c r="Q1868" t="s">
        <v>108</v>
      </c>
    </row>
    <row r="1869" spans="1:17">
      <c r="A1869" t="s">
        <v>93</v>
      </c>
      <c r="B1869" t="s">
        <v>106</v>
      </c>
      <c r="C1869" t="s">
        <v>56</v>
      </c>
      <c r="D1869" t="s">
        <v>1652</v>
      </c>
      <c r="E1869">
        <v>22</v>
      </c>
      <c r="F1869" t="str">
        <f>VLOOKUP(E1869,[1]LOJA!$A:$B,2,0)</f>
        <v>GUARÁ</v>
      </c>
      <c r="G1869" t="s">
        <v>19</v>
      </c>
      <c r="H1869" t="s">
        <v>19</v>
      </c>
      <c r="I1869" s="1">
        <v>46041</v>
      </c>
      <c r="J1869" s="1">
        <v>46041</v>
      </c>
      <c r="K1869" s="1">
        <v>46041</v>
      </c>
      <c r="L1869">
        <v>34</v>
      </c>
      <c r="M1869">
        <v>2.42</v>
      </c>
      <c r="N1869">
        <v>2.42</v>
      </c>
      <c r="O1869">
        <v>0</v>
      </c>
      <c r="P1869">
        <v>0</v>
      </c>
      <c r="Q1869" t="s">
        <v>108</v>
      </c>
    </row>
    <row r="1870" spans="1:17">
      <c r="A1870" t="s">
        <v>93</v>
      </c>
      <c r="B1870" t="s">
        <v>106</v>
      </c>
      <c r="C1870" t="s">
        <v>56</v>
      </c>
      <c r="D1870" t="s">
        <v>1653</v>
      </c>
      <c r="E1870">
        <v>22</v>
      </c>
      <c r="F1870" t="str">
        <f>VLOOKUP(E1870,[1]LOJA!$A:$B,2,0)</f>
        <v>GUARÁ</v>
      </c>
      <c r="G1870" t="s">
        <v>19</v>
      </c>
      <c r="H1870" t="s">
        <v>19</v>
      </c>
      <c r="I1870" s="1">
        <v>46041</v>
      </c>
      <c r="J1870" s="1">
        <v>46041</v>
      </c>
      <c r="K1870" s="1">
        <v>46041</v>
      </c>
      <c r="L1870">
        <v>34</v>
      </c>
      <c r="M1870">
        <v>3.39</v>
      </c>
      <c r="N1870">
        <v>3.39</v>
      </c>
      <c r="O1870">
        <v>0</v>
      </c>
      <c r="P1870">
        <v>0</v>
      </c>
      <c r="Q1870" t="s">
        <v>108</v>
      </c>
    </row>
    <row r="1871" spans="1:17">
      <c r="A1871" t="s">
        <v>93</v>
      </c>
      <c r="B1871" t="s">
        <v>106</v>
      </c>
      <c r="C1871" t="s">
        <v>56</v>
      </c>
      <c r="D1871" t="s">
        <v>1654</v>
      </c>
      <c r="E1871">
        <v>22</v>
      </c>
      <c r="F1871" t="str">
        <f>VLOOKUP(E1871,[1]LOJA!$A:$B,2,0)</f>
        <v>GUARÁ</v>
      </c>
      <c r="G1871" t="s">
        <v>19</v>
      </c>
      <c r="H1871" t="s">
        <v>19</v>
      </c>
      <c r="I1871" s="1">
        <v>46041</v>
      </c>
      <c r="J1871" s="1">
        <v>46039</v>
      </c>
      <c r="K1871" s="1">
        <v>46041</v>
      </c>
      <c r="L1871">
        <v>34</v>
      </c>
      <c r="M1871">
        <v>2.2999999999999998</v>
      </c>
      <c r="N1871">
        <v>2.2999999999999998</v>
      </c>
      <c r="O1871">
        <v>0</v>
      </c>
      <c r="P1871">
        <v>0</v>
      </c>
      <c r="Q1871" t="s">
        <v>108</v>
      </c>
    </row>
    <row r="1872" spans="1:17">
      <c r="A1872" t="s">
        <v>93</v>
      </c>
      <c r="B1872" t="s">
        <v>106</v>
      </c>
      <c r="C1872" t="s">
        <v>56</v>
      </c>
      <c r="D1872" t="s">
        <v>1655</v>
      </c>
      <c r="E1872">
        <v>22</v>
      </c>
      <c r="F1872" t="str">
        <f>VLOOKUP(E1872,[1]LOJA!$A:$B,2,0)</f>
        <v>GUARÁ</v>
      </c>
      <c r="G1872" t="s">
        <v>19</v>
      </c>
      <c r="H1872" t="s">
        <v>19</v>
      </c>
      <c r="I1872" s="1">
        <v>46041</v>
      </c>
      <c r="J1872" s="1">
        <v>46039</v>
      </c>
      <c r="K1872" s="1">
        <v>46041</v>
      </c>
      <c r="L1872">
        <v>34</v>
      </c>
      <c r="M1872">
        <v>0.79</v>
      </c>
      <c r="N1872">
        <v>0.79</v>
      </c>
      <c r="O1872">
        <v>0</v>
      </c>
      <c r="P1872">
        <v>0</v>
      </c>
      <c r="Q1872" t="s">
        <v>108</v>
      </c>
    </row>
    <row r="1873" spans="1:17">
      <c r="A1873" t="s">
        <v>93</v>
      </c>
      <c r="B1873" t="s">
        <v>106</v>
      </c>
      <c r="C1873" t="s">
        <v>56</v>
      </c>
      <c r="D1873" t="s">
        <v>1656</v>
      </c>
      <c r="E1873">
        <v>22</v>
      </c>
      <c r="F1873" t="str">
        <f>VLOOKUP(E1873,[1]LOJA!$A:$B,2,0)</f>
        <v>GUARÁ</v>
      </c>
      <c r="G1873" t="s">
        <v>19</v>
      </c>
      <c r="H1873" t="s">
        <v>19</v>
      </c>
      <c r="I1873" s="1">
        <v>46041</v>
      </c>
      <c r="J1873" s="1">
        <v>46039</v>
      </c>
      <c r="K1873" s="1">
        <v>46041</v>
      </c>
      <c r="L1873">
        <v>34</v>
      </c>
      <c r="M1873">
        <v>2.2200000000000002</v>
      </c>
      <c r="N1873">
        <v>2.2200000000000002</v>
      </c>
      <c r="O1873">
        <v>0</v>
      </c>
      <c r="P1873">
        <v>0</v>
      </c>
      <c r="Q1873" t="s">
        <v>108</v>
      </c>
    </row>
    <row r="1874" spans="1:17">
      <c r="A1874" t="s">
        <v>93</v>
      </c>
      <c r="B1874" t="s">
        <v>106</v>
      </c>
      <c r="C1874" t="s">
        <v>56</v>
      </c>
      <c r="D1874" t="s">
        <v>1657</v>
      </c>
      <c r="E1874">
        <v>22</v>
      </c>
      <c r="F1874" t="str">
        <f>VLOOKUP(E1874,[1]LOJA!$A:$B,2,0)</f>
        <v>GUARÁ</v>
      </c>
      <c r="G1874" t="s">
        <v>19</v>
      </c>
      <c r="H1874" t="s">
        <v>19</v>
      </c>
      <c r="I1874" s="1">
        <v>46041</v>
      </c>
      <c r="J1874" s="1">
        <v>46040</v>
      </c>
      <c r="K1874" s="1">
        <v>46041</v>
      </c>
      <c r="L1874">
        <v>34</v>
      </c>
      <c r="M1874">
        <v>1.3</v>
      </c>
      <c r="N1874">
        <v>1.3</v>
      </c>
      <c r="O1874">
        <v>0</v>
      </c>
      <c r="P1874">
        <v>0</v>
      </c>
      <c r="Q1874" t="s">
        <v>108</v>
      </c>
    </row>
    <row r="1875" spans="1:17">
      <c r="A1875" t="s">
        <v>93</v>
      </c>
      <c r="B1875" t="s">
        <v>106</v>
      </c>
      <c r="C1875" t="s">
        <v>56</v>
      </c>
      <c r="D1875" t="s">
        <v>1658</v>
      </c>
      <c r="E1875">
        <v>22</v>
      </c>
      <c r="F1875" t="str">
        <f>VLOOKUP(E1875,[1]LOJA!$A:$B,2,0)</f>
        <v>GUARÁ</v>
      </c>
      <c r="G1875" t="s">
        <v>19</v>
      </c>
      <c r="H1875" t="s">
        <v>19</v>
      </c>
      <c r="I1875" s="1">
        <v>46041</v>
      </c>
      <c r="J1875" s="1">
        <v>46040</v>
      </c>
      <c r="K1875" s="1">
        <v>46041</v>
      </c>
      <c r="L1875">
        <v>34</v>
      </c>
      <c r="M1875">
        <v>1.1399999999999999</v>
      </c>
      <c r="N1875">
        <v>1.1399999999999999</v>
      </c>
      <c r="O1875">
        <v>0</v>
      </c>
      <c r="P1875">
        <v>0</v>
      </c>
      <c r="Q1875" t="s">
        <v>108</v>
      </c>
    </row>
    <row r="1876" spans="1:17">
      <c r="A1876" t="s">
        <v>93</v>
      </c>
      <c r="B1876" t="s">
        <v>106</v>
      </c>
      <c r="C1876" t="s">
        <v>56</v>
      </c>
      <c r="D1876" t="s">
        <v>1659</v>
      </c>
      <c r="E1876">
        <v>22</v>
      </c>
      <c r="F1876" t="str">
        <f>VLOOKUP(E1876,[1]LOJA!$A:$B,2,0)</f>
        <v>GUARÁ</v>
      </c>
      <c r="G1876" t="s">
        <v>19</v>
      </c>
      <c r="H1876" t="s">
        <v>19</v>
      </c>
      <c r="I1876" s="1">
        <v>46041</v>
      </c>
      <c r="J1876" s="1">
        <v>46040</v>
      </c>
      <c r="K1876" s="1">
        <v>46041</v>
      </c>
      <c r="L1876">
        <v>34</v>
      </c>
      <c r="M1876">
        <v>1.1399999999999999</v>
      </c>
      <c r="N1876">
        <v>1.1399999999999999</v>
      </c>
      <c r="O1876">
        <v>0</v>
      </c>
      <c r="P1876">
        <v>0</v>
      </c>
      <c r="Q1876" t="s">
        <v>108</v>
      </c>
    </row>
    <row r="1877" spans="1:17">
      <c r="A1877" t="s">
        <v>93</v>
      </c>
      <c r="B1877" t="s">
        <v>106</v>
      </c>
      <c r="C1877" t="s">
        <v>56</v>
      </c>
      <c r="D1877" t="s">
        <v>1660</v>
      </c>
      <c r="E1877">
        <v>22</v>
      </c>
      <c r="F1877" t="str">
        <f>VLOOKUP(E1877,[1]LOJA!$A:$B,2,0)</f>
        <v>GUARÁ</v>
      </c>
      <c r="G1877" t="s">
        <v>19</v>
      </c>
      <c r="H1877" t="s">
        <v>19</v>
      </c>
      <c r="I1877" s="1">
        <v>46041</v>
      </c>
      <c r="J1877" s="1">
        <v>46040</v>
      </c>
      <c r="K1877" s="1">
        <v>46041</v>
      </c>
      <c r="L1877">
        <v>34</v>
      </c>
      <c r="M1877">
        <v>0.84</v>
      </c>
      <c r="N1877">
        <v>0.84</v>
      </c>
      <c r="O1877">
        <v>0</v>
      </c>
      <c r="P1877">
        <v>0</v>
      </c>
      <c r="Q1877" t="s">
        <v>108</v>
      </c>
    </row>
    <row r="1878" spans="1:17">
      <c r="A1878" t="s">
        <v>93</v>
      </c>
      <c r="B1878" t="s">
        <v>106</v>
      </c>
      <c r="C1878" t="s">
        <v>56</v>
      </c>
      <c r="D1878" t="s">
        <v>1661</v>
      </c>
      <c r="E1878">
        <v>22</v>
      </c>
      <c r="F1878" t="str">
        <f>VLOOKUP(E1878,[1]LOJA!$A:$B,2,0)</f>
        <v>GUARÁ</v>
      </c>
      <c r="G1878" t="s">
        <v>19</v>
      </c>
      <c r="H1878" t="s">
        <v>19</v>
      </c>
      <c r="I1878" s="1">
        <v>46041</v>
      </c>
      <c r="J1878" s="1">
        <v>46040</v>
      </c>
      <c r="K1878" s="1">
        <v>46041</v>
      </c>
      <c r="L1878">
        <v>34</v>
      </c>
      <c r="M1878">
        <v>3.01</v>
      </c>
      <c r="N1878">
        <v>3.01</v>
      </c>
      <c r="O1878">
        <v>0</v>
      </c>
      <c r="P1878">
        <v>0</v>
      </c>
      <c r="Q1878" t="s">
        <v>108</v>
      </c>
    </row>
    <row r="1879" spans="1:17">
      <c r="A1879" t="s">
        <v>93</v>
      </c>
      <c r="B1879" t="s">
        <v>106</v>
      </c>
      <c r="C1879" t="s">
        <v>56</v>
      </c>
      <c r="D1879" t="s">
        <v>1662</v>
      </c>
      <c r="E1879">
        <v>22</v>
      </c>
      <c r="F1879" t="str">
        <f>VLOOKUP(E1879,[1]LOJA!$A:$B,2,0)</f>
        <v>GUARÁ</v>
      </c>
      <c r="G1879" t="s">
        <v>19</v>
      </c>
      <c r="H1879" t="s">
        <v>19</v>
      </c>
      <c r="I1879" s="1">
        <v>46041</v>
      </c>
      <c r="J1879" s="1">
        <v>46040</v>
      </c>
      <c r="K1879" s="1">
        <v>46041</v>
      </c>
      <c r="L1879">
        <v>34</v>
      </c>
      <c r="M1879">
        <v>0.89</v>
      </c>
      <c r="N1879">
        <v>0.89</v>
      </c>
      <c r="O1879">
        <v>0</v>
      </c>
      <c r="P1879">
        <v>0</v>
      </c>
      <c r="Q1879" t="s">
        <v>108</v>
      </c>
    </row>
    <row r="1880" spans="1:17">
      <c r="A1880" t="s">
        <v>93</v>
      </c>
      <c r="B1880" t="s">
        <v>106</v>
      </c>
      <c r="C1880" t="s">
        <v>56</v>
      </c>
      <c r="D1880" t="s">
        <v>1663</v>
      </c>
      <c r="E1880">
        <v>22</v>
      </c>
      <c r="F1880" t="str">
        <f>VLOOKUP(E1880,[1]LOJA!$A:$B,2,0)</f>
        <v>GUARÁ</v>
      </c>
      <c r="G1880" t="s">
        <v>19</v>
      </c>
      <c r="H1880" t="s">
        <v>19</v>
      </c>
      <c r="I1880" s="1">
        <v>46041</v>
      </c>
      <c r="J1880" s="1">
        <v>46040</v>
      </c>
      <c r="K1880" s="1">
        <v>46041</v>
      </c>
      <c r="L1880">
        <v>34</v>
      </c>
      <c r="M1880">
        <v>2.4900000000000002</v>
      </c>
      <c r="N1880">
        <v>2.4900000000000002</v>
      </c>
      <c r="O1880">
        <v>0</v>
      </c>
      <c r="P1880">
        <v>0</v>
      </c>
      <c r="Q1880" t="s">
        <v>108</v>
      </c>
    </row>
    <row r="1881" spans="1:17">
      <c r="A1881" t="s">
        <v>93</v>
      </c>
      <c r="B1881" t="s">
        <v>106</v>
      </c>
      <c r="C1881" t="s">
        <v>56</v>
      </c>
      <c r="D1881" t="s">
        <v>1664</v>
      </c>
      <c r="E1881">
        <v>22</v>
      </c>
      <c r="F1881" t="str">
        <f>VLOOKUP(E1881,[1]LOJA!$A:$B,2,0)</f>
        <v>GUARÁ</v>
      </c>
      <c r="G1881" t="s">
        <v>19</v>
      </c>
      <c r="H1881" t="s">
        <v>19</v>
      </c>
      <c r="I1881" s="1">
        <v>46041</v>
      </c>
      <c r="J1881" s="1">
        <v>46040</v>
      </c>
      <c r="K1881" s="1">
        <v>46041</v>
      </c>
      <c r="L1881">
        <v>34</v>
      </c>
      <c r="M1881">
        <v>3.48</v>
      </c>
      <c r="N1881">
        <v>3.48</v>
      </c>
      <c r="O1881">
        <v>0</v>
      </c>
      <c r="P1881">
        <v>0</v>
      </c>
      <c r="Q1881" t="s">
        <v>108</v>
      </c>
    </row>
    <row r="1882" spans="1:17">
      <c r="A1882" t="s">
        <v>93</v>
      </c>
      <c r="B1882" t="s">
        <v>106</v>
      </c>
      <c r="C1882" t="s">
        <v>56</v>
      </c>
      <c r="D1882" t="s">
        <v>1665</v>
      </c>
      <c r="E1882">
        <v>22</v>
      </c>
      <c r="F1882" t="str">
        <f>VLOOKUP(E1882,[1]LOJA!$A:$B,2,0)</f>
        <v>GUARÁ</v>
      </c>
      <c r="G1882" t="s">
        <v>19</v>
      </c>
      <c r="H1882" t="s">
        <v>19</v>
      </c>
      <c r="I1882" s="1">
        <v>46041</v>
      </c>
      <c r="J1882" s="1">
        <v>46041</v>
      </c>
      <c r="K1882" s="1">
        <v>46041</v>
      </c>
      <c r="L1882">
        <v>34</v>
      </c>
      <c r="M1882">
        <v>0.67</v>
      </c>
      <c r="N1882">
        <v>0.67</v>
      </c>
      <c r="O1882">
        <v>0</v>
      </c>
      <c r="P1882">
        <v>0</v>
      </c>
      <c r="Q1882" t="s">
        <v>108</v>
      </c>
    </row>
    <row r="1883" spans="1:17">
      <c r="A1883" t="s">
        <v>93</v>
      </c>
      <c r="B1883" t="s">
        <v>106</v>
      </c>
      <c r="C1883" t="s">
        <v>56</v>
      </c>
      <c r="D1883" t="s">
        <v>1666</v>
      </c>
      <c r="E1883">
        <v>22</v>
      </c>
      <c r="F1883" t="str">
        <f>VLOOKUP(E1883,[1]LOJA!$A:$B,2,0)</f>
        <v>GUARÁ</v>
      </c>
      <c r="G1883" t="s">
        <v>19</v>
      </c>
      <c r="H1883" t="s">
        <v>19</v>
      </c>
      <c r="I1883" s="1">
        <v>46041</v>
      </c>
      <c r="J1883" s="1">
        <v>46041</v>
      </c>
      <c r="K1883" s="1">
        <v>46041</v>
      </c>
      <c r="L1883">
        <v>34</v>
      </c>
      <c r="M1883">
        <v>1.1399999999999999</v>
      </c>
      <c r="N1883">
        <v>1.1399999999999999</v>
      </c>
      <c r="O1883">
        <v>0</v>
      </c>
      <c r="P1883">
        <v>0</v>
      </c>
      <c r="Q1883" t="s">
        <v>108</v>
      </c>
    </row>
    <row r="1884" spans="1:17">
      <c r="A1884" t="s">
        <v>93</v>
      </c>
      <c r="B1884" t="s">
        <v>106</v>
      </c>
      <c r="C1884" t="s">
        <v>56</v>
      </c>
      <c r="D1884" t="s">
        <v>1667</v>
      </c>
      <c r="E1884">
        <v>22</v>
      </c>
      <c r="F1884" t="str">
        <f>VLOOKUP(E1884,[1]LOJA!$A:$B,2,0)</f>
        <v>GUARÁ</v>
      </c>
      <c r="G1884" t="s">
        <v>19</v>
      </c>
      <c r="H1884" t="s">
        <v>19</v>
      </c>
      <c r="I1884" s="1">
        <v>46041</v>
      </c>
      <c r="J1884" s="1">
        <v>46041</v>
      </c>
      <c r="K1884" s="1">
        <v>46041</v>
      </c>
      <c r="L1884">
        <v>34</v>
      </c>
      <c r="M1884">
        <v>7.3</v>
      </c>
      <c r="N1884">
        <v>7.3</v>
      </c>
      <c r="O1884">
        <v>0</v>
      </c>
      <c r="P1884">
        <v>0</v>
      </c>
      <c r="Q1884" t="s">
        <v>108</v>
      </c>
    </row>
    <row r="1885" spans="1:17">
      <c r="A1885" t="s">
        <v>93</v>
      </c>
      <c r="B1885" t="s">
        <v>106</v>
      </c>
      <c r="C1885" t="s">
        <v>56</v>
      </c>
      <c r="D1885" t="s">
        <v>1668</v>
      </c>
      <c r="E1885">
        <v>22</v>
      </c>
      <c r="F1885" t="str">
        <f>VLOOKUP(E1885,[1]LOJA!$A:$B,2,0)</f>
        <v>GUARÁ</v>
      </c>
      <c r="G1885" t="s">
        <v>19</v>
      </c>
      <c r="H1885" t="s">
        <v>19</v>
      </c>
      <c r="I1885" s="1">
        <v>46041</v>
      </c>
      <c r="J1885" s="1">
        <v>46041</v>
      </c>
      <c r="K1885" s="1">
        <v>46041</v>
      </c>
      <c r="L1885">
        <v>34</v>
      </c>
      <c r="M1885">
        <v>1.75</v>
      </c>
      <c r="N1885">
        <v>1.75</v>
      </c>
      <c r="O1885">
        <v>0</v>
      </c>
      <c r="P1885">
        <v>0</v>
      </c>
      <c r="Q1885" t="s">
        <v>108</v>
      </c>
    </row>
    <row r="1886" spans="1:17">
      <c r="A1886" t="s">
        <v>93</v>
      </c>
      <c r="B1886" t="s">
        <v>106</v>
      </c>
      <c r="C1886" t="s">
        <v>56</v>
      </c>
      <c r="D1886" t="s">
        <v>1669</v>
      </c>
      <c r="E1886">
        <v>22</v>
      </c>
      <c r="F1886" t="str">
        <f>VLOOKUP(E1886,[1]LOJA!$A:$B,2,0)</f>
        <v>GUARÁ</v>
      </c>
      <c r="G1886" t="s">
        <v>19</v>
      </c>
      <c r="H1886" t="s">
        <v>19</v>
      </c>
      <c r="I1886" s="1">
        <v>46041</v>
      </c>
      <c r="J1886" s="1">
        <v>46041</v>
      </c>
      <c r="K1886" s="1">
        <v>46041</v>
      </c>
      <c r="L1886">
        <v>34</v>
      </c>
      <c r="M1886">
        <v>4.0199999999999996</v>
      </c>
      <c r="N1886">
        <v>4.0199999999999996</v>
      </c>
      <c r="O1886">
        <v>0</v>
      </c>
      <c r="P1886">
        <v>0</v>
      </c>
      <c r="Q1886" t="s">
        <v>108</v>
      </c>
    </row>
    <row r="1887" spans="1:17">
      <c r="A1887" t="s">
        <v>93</v>
      </c>
      <c r="B1887" t="s">
        <v>106</v>
      </c>
      <c r="C1887" t="s">
        <v>56</v>
      </c>
      <c r="D1887" t="s">
        <v>1670</v>
      </c>
      <c r="E1887">
        <v>22</v>
      </c>
      <c r="F1887" t="str">
        <f>VLOOKUP(E1887,[1]LOJA!$A:$B,2,0)</f>
        <v>GUARÁ</v>
      </c>
      <c r="G1887" t="s">
        <v>19</v>
      </c>
      <c r="H1887" t="s">
        <v>19</v>
      </c>
      <c r="I1887" s="1">
        <v>46041</v>
      </c>
      <c r="J1887" s="1">
        <v>46041</v>
      </c>
      <c r="K1887" s="1">
        <v>46041</v>
      </c>
      <c r="L1887">
        <v>34</v>
      </c>
      <c r="M1887">
        <v>0.7</v>
      </c>
      <c r="N1887">
        <v>0.7</v>
      </c>
      <c r="O1887">
        <v>0</v>
      </c>
      <c r="P1887">
        <v>0</v>
      </c>
      <c r="Q1887" t="s">
        <v>108</v>
      </c>
    </row>
    <row r="1888" spans="1:17">
      <c r="A1888" t="s">
        <v>93</v>
      </c>
      <c r="B1888" t="s">
        <v>106</v>
      </c>
      <c r="C1888" t="s">
        <v>56</v>
      </c>
      <c r="D1888" t="s">
        <v>1671</v>
      </c>
      <c r="E1888">
        <v>22</v>
      </c>
      <c r="F1888" t="str">
        <f>VLOOKUP(E1888,[1]LOJA!$A:$B,2,0)</f>
        <v>GUARÁ</v>
      </c>
      <c r="G1888" t="s">
        <v>19</v>
      </c>
      <c r="H1888" t="s">
        <v>19</v>
      </c>
      <c r="I1888" s="1">
        <v>46041</v>
      </c>
      <c r="J1888" s="1">
        <v>46039</v>
      </c>
      <c r="K1888" s="1">
        <v>46041</v>
      </c>
      <c r="L1888">
        <v>34</v>
      </c>
      <c r="M1888">
        <v>0.09</v>
      </c>
      <c r="N1888">
        <v>0.09</v>
      </c>
      <c r="O1888">
        <v>0</v>
      </c>
      <c r="P1888">
        <v>0</v>
      </c>
      <c r="Q1888" t="s">
        <v>108</v>
      </c>
    </row>
    <row r="1889" spans="1:17">
      <c r="A1889" t="s">
        <v>93</v>
      </c>
      <c r="B1889" t="s">
        <v>106</v>
      </c>
      <c r="C1889" t="s">
        <v>56</v>
      </c>
      <c r="D1889" t="s">
        <v>1672</v>
      </c>
      <c r="E1889">
        <v>22</v>
      </c>
      <c r="F1889" t="str">
        <f>VLOOKUP(E1889,[1]LOJA!$A:$B,2,0)</f>
        <v>GUARÁ</v>
      </c>
      <c r="G1889" t="s">
        <v>19</v>
      </c>
      <c r="H1889" t="s">
        <v>19</v>
      </c>
      <c r="I1889" s="1">
        <v>46041</v>
      </c>
      <c r="J1889" s="1">
        <v>46039</v>
      </c>
      <c r="K1889" s="1">
        <v>46041</v>
      </c>
      <c r="L1889">
        <v>34</v>
      </c>
      <c r="M1889">
        <v>0.06</v>
      </c>
      <c r="N1889">
        <v>0.06</v>
      </c>
      <c r="O1889">
        <v>0</v>
      </c>
      <c r="P1889">
        <v>0</v>
      </c>
      <c r="Q1889" t="s">
        <v>108</v>
      </c>
    </row>
    <row r="1890" spans="1:17">
      <c r="A1890" t="s">
        <v>93</v>
      </c>
      <c r="B1890" t="s">
        <v>106</v>
      </c>
      <c r="C1890" t="s">
        <v>56</v>
      </c>
      <c r="D1890" t="s">
        <v>1673</v>
      </c>
      <c r="E1890">
        <v>22</v>
      </c>
      <c r="F1890" t="str">
        <f>VLOOKUP(E1890,[1]LOJA!$A:$B,2,0)</f>
        <v>GUARÁ</v>
      </c>
      <c r="G1890" t="s">
        <v>19</v>
      </c>
      <c r="H1890" t="s">
        <v>19</v>
      </c>
      <c r="I1890" s="1">
        <v>46041</v>
      </c>
      <c r="J1890" s="1">
        <v>46039</v>
      </c>
      <c r="K1890" s="1">
        <v>46041</v>
      </c>
      <c r="L1890">
        <v>34</v>
      </c>
      <c r="M1890">
        <v>0.13</v>
      </c>
      <c r="N1890">
        <v>0.13</v>
      </c>
      <c r="O1890">
        <v>0</v>
      </c>
      <c r="P1890">
        <v>0</v>
      </c>
      <c r="Q1890" t="s">
        <v>108</v>
      </c>
    </row>
    <row r="1891" spans="1:17">
      <c r="A1891" t="s">
        <v>93</v>
      </c>
      <c r="B1891" t="s">
        <v>106</v>
      </c>
      <c r="C1891" t="s">
        <v>56</v>
      </c>
      <c r="D1891" t="s">
        <v>1674</v>
      </c>
      <c r="E1891">
        <v>22</v>
      </c>
      <c r="F1891" t="str">
        <f>VLOOKUP(E1891,[1]LOJA!$A:$B,2,0)</f>
        <v>GUARÁ</v>
      </c>
      <c r="G1891" t="s">
        <v>19</v>
      </c>
      <c r="H1891" t="s">
        <v>19</v>
      </c>
      <c r="I1891" s="1">
        <v>46041</v>
      </c>
      <c r="J1891" s="1">
        <v>46039</v>
      </c>
      <c r="K1891" s="1">
        <v>46041</v>
      </c>
      <c r="L1891">
        <v>34</v>
      </c>
      <c r="M1891">
        <v>0.37</v>
      </c>
      <c r="N1891">
        <v>0.37</v>
      </c>
      <c r="O1891">
        <v>0</v>
      </c>
      <c r="P1891">
        <v>0</v>
      </c>
      <c r="Q1891" t="s">
        <v>108</v>
      </c>
    </row>
    <row r="1892" spans="1:17">
      <c r="A1892" t="s">
        <v>93</v>
      </c>
      <c r="B1892" t="s">
        <v>106</v>
      </c>
      <c r="C1892" t="s">
        <v>56</v>
      </c>
      <c r="D1892" t="s">
        <v>1675</v>
      </c>
      <c r="E1892">
        <v>22</v>
      </c>
      <c r="F1892" t="str">
        <f>VLOOKUP(E1892,[1]LOJA!$A:$B,2,0)</f>
        <v>GUARÁ</v>
      </c>
      <c r="G1892" t="s">
        <v>19</v>
      </c>
      <c r="H1892" t="s">
        <v>19</v>
      </c>
      <c r="I1892" s="1">
        <v>46041</v>
      </c>
      <c r="J1892" s="1">
        <v>46039</v>
      </c>
      <c r="K1892" s="1">
        <v>46041</v>
      </c>
      <c r="L1892">
        <v>34</v>
      </c>
      <c r="M1892">
        <v>0.13</v>
      </c>
      <c r="N1892">
        <v>0.13</v>
      </c>
      <c r="O1892">
        <v>0</v>
      </c>
      <c r="P1892">
        <v>0</v>
      </c>
      <c r="Q1892" t="s">
        <v>108</v>
      </c>
    </row>
    <row r="1893" spans="1:17">
      <c r="A1893" t="s">
        <v>93</v>
      </c>
      <c r="B1893" t="s">
        <v>106</v>
      </c>
      <c r="C1893" t="s">
        <v>56</v>
      </c>
      <c r="D1893" t="s">
        <v>1676</v>
      </c>
      <c r="E1893">
        <v>22</v>
      </c>
      <c r="F1893" t="str">
        <f>VLOOKUP(E1893,[1]LOJA!$A:$B,2,0)</f>
        <v>GUARÁ</v>
      </c>
      <c r="G1893" t="s">
        <v>19</v>
      </c>
      <c r="H1893" t="s">
        <v>19</v>
      </c>
      <c r="I1893" s="1">
        <v>46041</v>
      </c>
      <c r="J1893" s="1">
        <v>46039</v>
      </c>
      <c r="K1893" s="1">
        <v>46041</v>
      </c>
      <c r="L1893">
        <v>34</v>
      </c>
      <c r="M1893">
        <v>6.7</v>
      </c>
      <c r="N1893">
        <v>6.7</v>
      </c>
      <c r="O1893">
        <v>0</v>
      </c>
      <c r="P1893">
        <v>0</v>
      </c>
      <c r="Q1893" t="s">
        <v>108</v>
      </c>
    </row>
    <row r="1894" spans="1:17">
      <c r="A1894" t="s">
        <v>93</v>
      </c>
      <c r="B1894" t="s">
        <v>106</v>
      </c>
      <c r="C1894" t="s">
        <v>56</v>
      </c>
      <c r="D1894" t="s">
        <v>1677</v>
      </c>
      <c r="E1894">
        <v>22</v>
      </c>
      <c r="F1894" t="str">
        <f>VLOOKUP(E1894,[1]LOJA!$A:$B,2,0)</f>
        <v>GUARÁ</v>
      </c>
      <c r="G1894" t="s">
        <v>19</v>
      </c>
      <c r="H1894" t="s">
        <v>19</v>
      </c>
      <c r="I1894" s="1">
        <v>46041</v>
      </c>
      <c r="J1894" s="1">
        <v>46039</v>
      </c>
      <c r="K1894" s="1">
        <v>46041</v>
      </c>
      <c r="L1894">
        <v>34</v>
      </c>
      <c r="M1894">
        <v>0.28999999999999998</v>
      </c>
      <c r="N1894">
        <v>0.28999999999999998</v>
      </c>
      <c r="O1894">
        <v>0</v>
      </c>
      <c r="P1894">
        <v>0</v>
      </c>
      <c r="Q1894" t="s">
        <v>108</v>
      </c>
    </row>
    <row r="1895" spans="1:17">
      <c r="A1895" t="s">
        <v>93</v>
      </c>
      <c r="B1895" t="s">
        <v>106</v>
      </c>
      <c r="C1895" t="s">
        <v>56</v>
      </c>
      <c r="D1895" t="s">
        <v>1678</v>
      </c>
      <c r="E1895">
        <v>22</v>
      </c>
      <c r="F1895" t="str">
        <f>VLOOKUP(E1895,[1]LOJA!$A:$B,2,0)</f>
        <v>GUARÁ</v>
      </c>
      <c r="G1895" t="s">
        <v>19</v>
      </c>
      <c r="H1895" t="s">
        <v>19</v>
      </c>
      <c r="I1895" s="1">
        <v>46041</v>
      </c>
      <c r="J1895" s="1">
        <v>46039</v>
      </c>
      <c r="K1895" s="1">
        <v>46041</v>
      </c>
      <c r="L1895">
        <v>34</v>
      </c>
      <c r="M1895">
        <v>0.98</v>
      </c>
      <c r="N1895">
        <v>0.98</v>
      </c>
      <c r="O1895">
        <v>0</v>
      </c>
      <c r="P1895">
        <v>0</v>
      </c>
      <c r="Q1895" t="s">
        <v>108</v>
      </c>
    </row>
    <row r="1896" spans="1:17">
      <c r="A1896" t="s">
        <v>93</v>
      </c>
      <c r="B1896" t="s">
        <v>106</v>
      </c>
      <c r="C1896" t="s">
        <v>56</v>
      </c>
      <c r="D1896" t="s">
        <v>1679</v>
      </c>
      <c r="E1896">
        <v>22</v>
      </c>
      <c r="F1896" t="str">
        <f>VLOOKUP(E1896,[1]LOJA!$A:$B,2,0)</f>
        <v>GUARÁ</v>
      </c>
      <c r="G1896" t="s">
        <v>19</v>
      </c>
      <c r="H1896" t="s">
        <v>19</v>
      </c>
      <c r="I1896" s="1">
        <v>46041</v>
      </c>
      <c r="J1896" s="1">
        <v>46039</v>
      </c>
      <c r="K1896" s="1">
        <v>46041</v>
      </c>
      <c r="L1896">
        <v>34</v>
      </c>
      <c r="M1896">
        <v>0.05</v>
      </c>
      <c r="N1896">
        <v>0.05</v>
      </c>
      <c r="O1896">
        <v>0</v>
      </c>
      <c r="P1896">
        <v>0</v>
      </c>
      <c r="Q1896" t="s">
        <v>108</v>
      </c>
    </row>
    <row r="1897" spans="1:17">
      <c r="A1897" t="s">
        <v>93</v>
      </c>
      <c r="B1897" t="s">
        <v>106</v>
      </c>
      <c r="C1897" t="s">
        <v>56</v>
      </c>
      <c r="D1897" t="s">
        <v>1680</v>
      </c>
      <c r="E1897">
        <v>22</v>
      </c>
      <c r="F1897" t="str">
        <f>VLOOKUP(E1897,[1]LOJA!$A:$B,2,0)</f>
        <v>GUARÁ</v>
      </c>
      <c r="G1897" t="s">
        <v>19</v>
      </c>
      <c r="H1897" t="s">
        <v>19</v>
      </c>
      <c r="I1897" s="1">
        <v>46041</v>
      </c>
      <c r="J1897" s="1">
        <v>46039</v>
      </c>
      <c r="K1897" s="1">
        <v>46041</v>
      </c>
      <c r="L1897">
        <v>34</v>
      </c>
      <c r="M1897">
        <v>0.05</v>
      </c>
      <c r="N1897">
        <v>0.05</v>
      </c>
      <c r="O1897">
        <v>0</v>
      </c>
      <c r="P1897">
        <v>0</v>
      </c>
      <c r="Q1897" t="s">
        <v>108</v>
      </c>
    </row>
    <row r="1898" spans="1:17">
      <c r="A1898" t="s">
        <v>93</v>
      </c>
      <c r="B1898" t="s">
        <v>106</v>
      </c>
      <c r="C1898" t="s">
        <v>56</v>
      </c>
      <c r="D1898" t="s">
        <v>1681</v>
      </c>
      <c r="E1898">
        <v>22</v>
      </c>
      <c r="F1898" t="str">
        <f>VLOOKUP(E1898,[1]LOJA!$A:$B,2,0)</f>
        <v>GUARÁ</v>
      </c>
      <c r="G1898" t="s">
        <v>19</v>
      </c>
      <c r="H1898" t="s">
        <v>19</v>
      </c>
      <c r="I1898" s="1">
        <v>46041</v>
      </c>
      <c r="J1898" s="1">
        <v>46039</v>
      </c>
      <c r="K1898" s="1">
        <v>46041</v>
      </c>
      <c r="L1898">
        <v>34</v>
      </c>
      <c r="M1898">
        <v>0.43</v>
      </c>
      <c r="N1898">
        <v>0.43</v>
      </c>
      <c r="O1898">
        <v>0</v>
      </c>
      <c r="P1898">
        <v>0</v>
      </c>
      <c r="Q1898" t="s">
        <v>108</v>
      </c>
    </row>
    <row r="1899" spans="1:17">
      <c r="A1899" t="s">
        <v>93</v>
      </c>
      <c r="B1899" t="s">
        <v>106</v>
      </c>
      <c r="C1899" t="s">
        <v>56</v>
      </c>
      <c r="D1899" t="s">
        <v>1682</v>
      </c>
      <c r="E1899">
        <v>22</v>
      </c>
      <c r="F1899" t="str">
        <f>VLOOKUP(E1899,[1]LOJA!$A:$B,2,0)</f>
        <v>GUARÁ</v>
      </c>
      <c r="G1899" t="s">
        <v>19</v>
      </c>
      <c r="H1899" t="s">
        <v>19</v>
      </c>
      <c r="I1899" s="1">
        <v>46041</v>
      </c>
      <c r="J1899" s="1">
        <v>46039</v>
      </c>
      <c r="K1899" s="1">
        <v>46041</v>
      </c>
      <c r="L1899">
        <v>34</v>
      </c>
      <c r="M1899">
        <v>0.34</v>
      </c>
      <c r="N1899">
        <v>0.34</v>
      </c>
      <c r="O1899">
        <v>0</v>
      </c>
      <c r="P1899">
        <v>0</v>
      </c>
      <c r="Q1899" t="s">
        <v>108</v>
      </c>
    </row>
    <row r="1900" spans="1:17">
      <c r="A1900" t="s">
        <v>93</v>
      </c>
      <c r="B1900" t="s">
        <v>106</v>
      </c>
      <c r="C1900" t="s">
        <v>56</v>
      </c>
      <c r="D1900" t="s">
        <v>1683</v>
      </c>
      <c r="E1900">
        <v>22</v>
      </c>
      <c r="F1900" t="str">
        <f>VLOOKUP(E1900,[1]LOJA!$A:$B,2,0)</f>
        <v>GUARÁ</v>
      </c>
      <c r="G1900" t="s">
        <v>19</v>
      </c>
      <c r="H1900" t="s">
        <v>19</v>
      </c>
      <c r="I1900" s="1">
        <v>46041</v>
      </c>
      <c r="J1900" s="1">
        <v>46039</v>
      </c>
      <c r="K1900" s="1">
        <v>46041</v>
      </c>
      <c r="L1900">
        <v>34</v>
      </c>
      <c r="M1900">
        <v>0.57999999999999996</v>
      </c>
      <c r="N1900">
        <v>0.57999999999999996</v>
      </c>
      <c r="O1900">
        <v>0</v>
      </c>
      <c r="P1900">
        <v>0</v>
      </c>
      <c r="Q1900" t="s">
        <v>108</v>
      </c>
    </row>
    <row r="1901" spans="1:17">
      <c r="A1901" t="s">
        <v>93</v>
      </c>
      <c r="B1901" t="s">
        <v>106</v>
      </c>
      <c r="C1901" t="s">
        <v>56</v>
      </c>
      <c r="D1901" t="s">
        <v>1684</v>
      </c>
      <c r="E1901">
        <v>22</v>
      </c>
      <c r="F1901" t="str">
        <f>VLOOKUP(E1901,[1]LOJA!$A:$B,2,0)</f>
        <v>GUARÁ</v>
      </c>
      <c r="G1901" t="s">
        <v>19</v>
      </c>
      <c r="H1901" t="s">
        <v>19</v>
      </c>
      <c r="I1901" s="1">
        <v>46041</v>
      </c>
      <c r="J1901" s="1">
        <v>46039</v>
      </c>
      <c r="K1901" s="1">
        <v>46041</v>
      </c>
      <c r="L1901">
        <v>34</v>
      </c>
      <c r="M1901">
        <v>1.1000000000000001</v>
      </c>
      <c r="N1901">
        <v>1.1000000000000001</v>
      </c>
      <c r="O1901">
        <v>0</v>
      </c>
      <c r="P1901">
        <v>0</v>
      </c>
      <c r="Q1901" t="s">
        <v>108</v>
      </c>
    </row>
    <row r="1902" spans="1:17">
      <c r="A1902" t="s">
        <v>93</v>
      </c>
      <c r="B1902" t="s">
        <v>106</v>
      </c>
      <c r="C1902" t="s">
        <v>56</v>
      </c>
      <c r="D1902" t="s">
        <v>1685</v>
      </c>
      <c r="E1902">
        <v>22</v>
      </c>
      <c r="F1902" t="str">
        <f>VLOOKUP(E1902,[1]LOJA!$A:$B,2,0)</f>
        <v>GUARÁ</v>
      </c>
      <c r="G1902" t="s">
        <v>19</v>
      </c>
      <c r="H1902" t="s">
        <v>19</v>
      </c>
      <c r="I1902" s="1">
        <v>46041</v>
      </c>
      <c r="J1902" s="1">
        <v>46039</v>
      </c>
      <c r="K1902" s="1">
        <v>46041</v>
      </c>
      <c r="L1902">
        <v>34</v>
      </c>
      <c r="M1902">
        <v>0.09</v>
      </c>
      <c r="N1902">
        <v>0.09</v>
      </c>
      <c r="O1902">
        <v>0</v>
      </c>
      <c r="P1902">
        <v>0</v>
      </c>
      <c r="Q1902" t="s">
        <v>108</v>
      </c>
    </row>
    <row r="1903" spans="1:17">
      <c r="A1903" t="s">
        <v>93</v>
      </c>
      <c r="B1903" t="s">
        <v>106</v>
      </c>
      <c r="C1903" t="s">
        <v>56</v>
      </c>
      <c r="D1903" t="s">
        <v>1686</v>
      </c>
      <c r="E1903">
        <v>22</v>
      </c>
      <c r="F1903" t="str">
        <f>VLOOKUP(E1903,[1]LOJA!$A:$B,2,0)</f>
        <v>GUARÁ</v>
      </c>
      <c r="G1903" t="s">
        <v>19</v>
      </c>
      <c r="H1903" t="s">
        <v>19</v>
      </c>
      <c r="I1903" s="1">
        <v>46041</v>
      </c>
      <c r="J1903" s="1">
        <v>46039</v>
      </c>
      <c r="K1903" s="1">
        <v>46041</v>
      </c>
      <c r="L1903">
        <v>34</v>
      </c>
      <c r="M1903">
        <v>2.4900000000000002</v>
      </c>
      <c r="N1903">
        <v>2.4900000000000002</v>
      </c>
      <c r="O1903">
        <v>0</v>
      </c>
      <c r="P1903">
        <v>0</v>
      </c>
      <c r="Q1903" t="s">
        <v>108</v>
      </c>
    </row>
    <row r="1904" spans="1:17">
      <c r="A1904" t="s">
        <v>93</v>
      </c>
      <c r="B1904" t="s">
        <v>106</v>
      </c>
      <c r="C1904" t="s">
        <v>56</v>
      </c>
      <c r="D1904" t="s">
        <v>1687</v>
      </c>
      <c r="E1904">
        <v>22</v>
      </c>
      <c r="F1904" t="str">
        <f>VLOOKUP(E1904,[1]LOJA!$A:$B,2,0)</f>
        <v>GUARÁ</v>
      </c>
      <c r="G1904" t="s">
        <v>19</v>
      </c>
      <c r="H1904" t="s">
        <v>19</v>
      </c>
      <c r="I1904" s="1">
        <v>46041</v>
      </c>
      <c r="J1904" s="1">
        <v>46039</v>
      </c>
      <c r="K1904" s="1">
        <v>46041</v>
      </c>
      <c r="L1904">
        <v>34</v>
      </c>
      <c r="M1904">
        <v>1.1200000000000001</v>
      </c>
      <c r="N1904">
        <v>1.1200000000000001</v>
      </c>
      <c r="O1904">
        <v>0</v>
      </c>
      <c r="P1904">
        <v>0</v>
      </c>
      <c r="Q1904" t="s">
        <v>108</v>
      </c>
    </row>
    <row r="1905" spans="1:17">
      <c r="A1905" t="s">
        <v>93</v>
      </c>
      <c r="B1905" t="s">
        <v>106</v>
      </c>
      <c r="C1905" t="s">
        <v>56</v>
      </c>
      <c r="D1905" t="s">
        <v>1688</v>
      </c>
      <c r="E1905">
        <v>22</v>
      </c>
      <c r="F1905" t="str">
        <f>VLOOKUP(E1905,[1]LOJA!$A:$B,2,0)</f>
        <v>GUARÁ</v>
      </c>
      <c r="G1905" t="s">
        <v>19</v>
      </c>
      <c r="H1905" t="s">
        <v>19</v>
      </c>
      <c r="I1905" s="1">
        <v>46041</v>
      </c>
      <c r="J1905" s="1">
        <v>46039</v>
      </c>
      <c r="K1905" s="1">
        <v>46041</v>
      </c>
      <c r="L1905">
        <v>34</v>
      </c>
      <c r="M1905">
        <v>0.9</v>
      </c>
      <c r="N1905">
        <v>0.9</v>
      </c>
      <c r="O1905">
        <v>0</v>
      </c>
      <c r="P1905">
        <v>0</v>
      </c>
      <c r="Q1905" t="s">
        <v>108</v>
      </c>
    </row>
    <row r="1906" spans="1:17">
      <c r="A1906" t="s">
        <v>93</v>
      </c>
      <c r="B1906" t="s">
        <v>106</v>
      </c>
      <c r="C1906" t="s">
        <v>56</v>
      </c>
      <c r="D1906" t="s">
        <v>1689</v>
      </c>
      <c r="E1906">
        <v>22</v>
      </c>
      <c r="F1906" t="str">
        <f>VLOOKUP(E1906,[1]LOJA!$A:$B,2,0)</f>
        <v>GUARÁ</v>
      </c>
      <c r="G1906" t="s">
        <v>19</v>
      </c>
      <c r="H1906" t="s">
        <v>19</v>
      </c>
      <c r="I1906" s="1">
        <v>46041</v>
      </c>
      <c r="J1906" s="1">
        <v>46039</v>
      </c>
      <c r="K1906" s="1">
        <v>46041</v>
      </c>
      <c r="L1906">
        <v>34</v>
      </c>
      <c r="M1906">
        <v>0.6</v>
      </c>
      <c r="N1906">
        <v>0.6</v>
      </c>
      <c r="O1906">
        <v>0</v>
      </c>
      <c r="P1906">
        <v>0</v>
      </c>
      <c r="Q1906" t="s">
        <v>108</v>
      </c>
    </row>
    <row r="1907" spans="1:17">
      <c r="A1907" t="s">
        <v>93</v>
      </c>
      <c r="B1907" t="s">
        <v>106</v>
      </c>
      <c r="C1907" t="s">
        <v>56</v>
      </c>
      <c r="D1907" t="s">
        <v>1690</v>
      </c>
      <c r="E1907">
        <v>22</v>
      </c>
      <c r="F1907" t="str">
        <f>VLOOKUP(E1907,[1]LOJA!$A:$B,2,0)</f>
        <v>GUARÁ</v>
      </c>
      <c r="G1907" t="s">
        <v>19</v>
      </c>
      <c r="H1907" t="s">
        <v>19</v>
      </c>
      <c r="I1907" s="1">
        <v>46041</v>
      </c>
      <c r="J1907" s="1">
        <v>46039</v>
      </c>
      <c r="K1907" s="1">
        <v>46041</v>
      </c>
      <c r="L1907">
        <v>34</v>
      </c>
      <c r="M1907">
        <v>0.46</v>
      </c>
      <c r="N1907">
        <v>0.46</v>
      </c>
      <c r="O1907">
        <v>0</v>
      </c>
      <c r="P1907">
        <v>0</v>
      </c>
      <c r="Q1907" t="s">
        <v>108</v>
      </c>
    </row>
    <row r="1908" spans="1:17">
      <c r="A1908" t="s">
        <v>93</v>
      </c>
      <c r="B1908" t="s">
        <v>106</v>
      </c>
      <c r="C1908" t="s">
        <v>56</v>
      </c>
      <c r="D1908" t="s">
        <v>1691</v>
      </c>
      <c r="E1908">
        <v>22</v>
      </c>
      <c r="F1908" t="str">
        <f>VLOOKUP(E1908,[1]LOJA!$A:$B,2,0)</f>
        <v>GUARÁ</v>
      </c>
      <c r="G1908" t="s">
        <v>19</v>
      </c>
      <c r="H1908" t="s">
        <v>19</v>
      </c>
      <c r="I1908" s="1">
        <v>46041</v>
      </c>
      <c r="J1908" s="1">
        <v>46039</v>
      </c>
      <c r="K1908" s="1">
        <v>46041</v>
      </c>
      <c r="L1908">
        <v>34</v>
      </c>
      <c r="M1908">
        <v>0.05</v>
      </c>
      <c r="N1908">
        <v>0.05</v>
      </c>
      <c r="O1908">
        <v>0</v>
      </c>
      <c r="P1908">
        <v>0</v>
      </c>
      <c r="Q1908" t="s">
        <v>108</v>
      </c>
    </row>
    <row r="1909" spans="1:17">
      <c r="A1909" t="s">
        <v>93</v>
      </c>
      <c r="B1909" t="s">
        <v>106</v>
      </c>
      <c r="C1909" t="s">
        <v>56</v>
      </c>
      <c r="D1909" t="s">
        <v>1692</v>
      </c>
      <c r="E1909">
        <v>22</v>
      </c>
      <c r="F1909" t="str">
        <f>VLOOKUP(E1909,[1]LOJA!$A:$B,2,0)</f>
        <v>GUARÁ</v>
      </c>
      <c r="G1909" t="s">
        <v>19</v>
      </c>
      <c r="H1909" t="s">
        <v>19</v>
      </c>
      <c r="I1909" s="1">
        <v>46041</v>
      </c>
      <c r="J1909" s="1">
        <v>46039</v>
      </c>
      <c r="K1909" s="1">
        <v>46041</v>
      </c>
      <c r="L1909">
        <v>34</v>
      </c>
      <c r="M1909">
        <v>0.55000000000000004</v>
      </c>
      <c r="N1909">
        <v>0.55000000000000004</v>
      </c>
      <c r="O1909">
        <v>0</v>
      </c>
      <c r="P1909">
        <v>0</v>
      </c>
      <c r="Q1909" t="s">
        <v>108</v>
      </c>
    </row>
    <row r="1910" spans="1:17">
      <c r="A1910" t="s">
        <v>93</v>
      </c>
      <c r="B1910" t="s">
        <v>106</v>
      </c>
      <c r="C1910" t="s">
        <v>56</v>
      </c>
      <c r="D1910" t="s">
        <v>1693</v>
      </c>
      <c r="E1910">
        <v>22</v>
      </c>
      <c r="F1910" t="str">
        <f>VLOOKUP(E1910,[1]LOJA!$A:$B,2,0)</f>
        <v>GUARÁ</v>
      </c>
      <c r="G1910" t="s">
        <v>19</v>
      </c>
      <c r="H1910" t="s">
        <v>19</v>
      </c>
      <c r="I1910" s="1">
        <v>46041</v>
      </c>
      <c r="J1910" s="1">
        <v>46039</v>
      </c>
      <c r="K1910" s="1">
        <v>46041</v>
      </c>
      <c r="L1910">
        <v>34</v>
      </c>
      <c r="M1910">
        <v>0.11</v>
      </c>
      <c r="N1910">
        <v>0.11</v>
      </c>
      <c r="O1910">
        <v>0</v>
      </c>
      <c r="P1910">
        <v>0</v>
      </c>
      <c r="Q1910" t="s">
        <v>108</v>
      </c>
    </row>
    <row r="1911" spans="1:17">
      <c r="A1911" t="s">
        <v>93</v>
      </c>
      <c r="B1911" t="s">
        <v>106</v>
      </c>
      <c r="C1911" t="s">
        <v>56</v>
      </c>
      <c r="D1911" t="s">
        <v>1694</v>
      </c>
      <c r="E1911">
        <v>22</v>
      </c>
      <c r="F1911" t="str">
        <f>VLOOKUP(E1911,[1]LOJA!$A:$B,2,0)</f>
        <v>GUARÁ</v>
      </c>
      <c r="G1911" t="s">
        <v>19</v>
      </c>
      <c r="H1911" t="s">
        <v>19</v>
      </c>
      <c r="I1911" s="1">
        <v>46041</v>
      </c>
      <c r="J1911" s="1">
        <v>46039</v>
      </c>
      <c r="K1911" s="1">
        <v>46041</v>
      </c>
      <c r="L1911">
        <v>34</v>
      </c>
      <c r="M1911">
        <v>0.05</v>
      </c>
      <c r="N1911">
        <v>0.05</v>
      </c>
      <c r="O1911">
        <v>0</v>
      </c>
      <c r="P1911">
        <v>0</v>
      </c>
      <c r="Q1911" t="s">
        <v>108</v>
      </c>
    </row>
    <row r="1912" spans="1:17">
      <c r="A1912" t="s">
        <v>93</v>
      </c>
      <c r="B1912" t="s">
        <v>106</v>
      </c>
      <c r="C1912" t="s">
        <v>56</v>
      </c>
      <c r="D1912" t="s">
        <v>1695</v>
      </c>
      <c r="E1912">
        <v>22</v>
      </c>
      <c r="F1912" t="str">
        <f>VLOOKUP(E1912,[1]LOJA!$A:$B,2,0)</f>
        <v>GUARÁ</v>
      </c>
      <c r="G1912" t="s">
        <v>19</v>
      </c>
      <c r="H1912" t="s">
        <v>19</v>
      </c>
      <c r="I1912" s="1">
        <v>46041</v>
      </c>
      <c r="J1912" s="1">
        <v>46039</v>
      </c>
      <c r="K1912" s="1">
        <v>46041</v>
      </c>
      <c r="L1912">
        <v>34</v>
      </c>
      <c r="M1912">
        <v>0.77</v>
      </c>
      <c r="N1912">
        <v>0.77</v>
      </c>
      <c r="O1912">
        <v>0</v>
      </c>
      <c r="P1912">
        <v>0</v>
      </c>
      <c r="Q1912" t="s">
        <v>108</v>
      </c>
    </row>
    <row r="1913" spans="1:17">
      <c r="A1913" t="s">
        <v>93</v>
      </c>
      <c r="B1913" t="s">
        <v>106</v>
      </c>
      <c r="C1913" t="s">
        <v>56</v>
      </c>
      <c r="D1913" t="s">
        <v>1696</v>
      </c>
      <c r="E1913">
        <v>22</v>
      </c>
      <c r="F1913" t="str">
        <f>VLOOKUP(E1913,[1]LOJA!$A:$B,2,0)</f>
        <v>GUARÁ</v>
      </c>
      <c r="G1913" t="s">
        <v>19</v>
      </c>
      <c r="H1913" t="s">
        <v>19</v>
      </c>
      <c r="I1913" s="1">
        <v>46041</v>
      </c>
      <c r="J1913" s="1">
        <v>46039</v>
      </c>
      <c r="K1913" s="1">
        <v>46041</v>
      </c>
      <c r="L1913">
        <v>34</v>
      </c>
      <c r="M1913">
        <v>0.55000000000000004</v>
      </c>
      <c r="N1913">
        <v>0.55000000000000004</v>
      </c>
      <c r="O1913">
        <v>0</v>
      </c>
      <c r="P1913">
        <v>0</v>
      </c>
      <c r="Q1913" t="s">
        <v>108</v>
      </c>
    </row>
    <row r="1914" spans="1:17">
      <c r="A1914" t="s">
        <v>93</v>
      </c>
      <c r="B1914" t="s">
        <v>106</v>
      </c>
      <c r="C1914" t="s">
        <v>56</v>
      </c>
      <c r="D1914" t="s">
        <v>1697</v>
      </c>
      <c r="E1914">
        <v>22</v>
      </c>
      <c r="F1914" t="str">
        <f>VLOOKUP(E1914,[1]LOJA!$A:$B,2,0)</f>
        <v>GUARÁ</v>
      </c>
      <c r="G1914" t="s">
        <v>19</v>
      </c>
      <c r="H1914" t="s">
        <v>19</v>
      </c>
      <c r="I1914" s="1">
        <v>46041</v>
      </c>
      <c r="J1914" s="1">
        <v>46039</v>
      </c>
      <c r="K1914" s="1">
        <v>46041</v>
      </c>
      <c r="L1914">
        <v>34</v>
      </c>
      <c r="M1914">
        <v>0.22</v>
      </c>
      <c r="N1914">
        <v>0.22</v>
      </c>
      <c r="O1914">
        <v>0</v>
      </c>
      <c r="P1914">
        <v>0</v>
      </c>
      <c r="Q1914" t="s">
        <v>108</v>
      </c>
    </row>
    <row r="1915" spans="1:17">
      <c r="A1915" t="s">
        <v>93</v>
      </c>
      <c r="B1915" t="s">
        <v>106</v>
      </c>
      <c r="C1915" t="s">
        <v>56</v>
      </c>
      <c r="D1915" t="s">
        <v>1698</v>
      </c>
      <c r="E1915">
        <v>22</v>
      </c>
      <c r="F1915" t="str">
        <f>VLOOKUP(E1915,[1]LOJA!$A:$B,2,0)</f>
        <v>GUARÁ</v>
      </c>
      <c r="G1915" t="s">
        <v>19</v>
      </c>
      <c r="H1915" t="s">
        <v>19</v>
      </c>
      <c r="I1915" s="1">
        <v>46041</v>
      </c>
      <c r="J1915" s="1">
        <v>46040</v>
      </c>
      <c r="K1915" s="1">
        <v>46041</v>
      </c>
      <c r="L1915">
        <v>34</v>
      </c>
      <c r="M1915">
        <v>0.05</v>
      </c>
      <c r="N1915">
        <v>0.05</v>
      </c>
      <c r="O1915">
        <v>0</v>
      </c>
      <c r="P1915">
        <v>0</v>
      </c>
      <c r="Q1915" t="s">
        <v>108</v>
      </c>
    </row>
    <row r="1916" spans="1:17">
      <c r="A1916" t="s">
        <v>93</v>
      </c>
      <c r="B1916" t="s">
        <v>106</v>
      </c>
      <c r="C1916" t="s">
        <v>56</v>
      </c>
      <c r="D1916" t="s">
        <v>1699</v>
      </c>
      <c r="E1916">
        <v>22</v>
      </c>
      <c r="F1916" t="str">
        <f>VLOOKUP(E1916,[1]LOJA!$A:$B,2,0)</f>
        <v>GUARÁ</v>
      </c>
      <c r="G1916" t="s">
        <v>19</v>
      </c>
      <c r="H1916" t="s">
        <v>19</v>
      </c>
      <c r="I1916" s="1">
        <v>46041</v>
      </c>
      <c r="J1916" s="1">
        <v>46040</v>
      </c>
      <c r="K1916" s="1">
        <v>46041</v>
      </c>
      <c r="L1916">
        <v>34</v>
      </c>
      <c r="M1916">
        <v>0.42</v>
      </c>
      <c r="N1916">
        <v>0.42</v>
      </c>
      <c r="O1916">
        <v>0</v>
      </c>
      <c r="P1916">
        <v>0</v>
      </c>
      <c r="Q1916" t="s">
        <v>108</v>
      </c>
    </row>
    <row r="1917" spans="1:17">
      <c r="A1917" t="s">
        <v>93</v>
      </c>
      <c r="B1917" t="s">
        <v>106</v>
      </c>
      <c r="C1917" t="s">
        <v>56</v>
      </c>
      <c r="D1917" t="s">
        <v>1700</v>
      </c>
      <c r="E1917">
        <v>22</v>
      </c>
      <c r="F1917" t="str">
        <f>VLOOKUP(E1917,[1]LOJA!$A:$B,2,0)</f>
        <v>GUARÁ</v>
      </c>
      <c r="G1917" t="s">
        <v>19</v>
      </c>
      <c r="H1917" t="s">
        <v>19</v>
      </c>
      <c r="I1917" s="1">
        <v>46041</v>
      </c>
      <c r="J1917" s="1">
        <v>46040</v>
      </c>
      <c r="K1917" s="1">
        <v>46041</v>
      </c>
      <c r="L1917">
        <v>34</v>
      </c>
      <c r="M1917">
        <v>0.08</v>
      </c>
      <c r="N1917">
        <v>0.08</v>
      </c>
      <c r="O1917">
        <v>0</v>
      </c>
      <c r="P1917">
        <v>0</v>
      </c>
      <c r="Q1917" t="s">
        <v>108</v>
      </c>
    </row>
    <row r="1918" spans="1:17">
      <c r="A1918" t="s">
        <v>93</v>
      </c>
      <c r="B1918" t="s">
        <v>106</v>
      </c>
      <c r="C1918" t="s">
        <v>56</v>
      </c>
      <c r="D1918" t="s">
        <v>1701</v>
      </c>
      <c r="E1918">
        <v>22</v>
      </c>
      <c r="F1918" t="str">
        <f>VLOOKUP(E1918,[1]LOJA!$A:$B,2,0)</f>
        <v>GUARÁ</v>
      </c>
      <c r="G1918" t="s">
        <v>19</v>
      </c>
      <c r="H1918" t="s">
        <v>19</v>
      </c>
      <c r="I1918" s="1">
        <v>46041</v>
      </c>
      <c r="J1918" s="1">
        <v>46040</v>
      </c>
      <c r="K1918" s="1">
        <v>46041</v>
      </c>
      <c r="L1918">
        <v>34</v>
      </c>
      <c r="M1918">
        <v>0.21</v>
      </c>
      <c r="N1918">
        <v>0.21</v>
      </c>
      <c r="O1918">
        <v>0</v>
      </c>
      <c r="P1918">
        <v>0</v>
      </c>
      <c r="Q1918" t="s">
        <v>108</v>
      </c>
    </row>
    <row r="1919" spans="1:17">
      <c r="A1919" t="s">
        <v>93</v>
      </c>
      <c r="B1919" t="s">
        <v>106</v>
      </c>
      <c r="C1919" t="s">
        <v>56</v>
      </c>
      <c r="D1919" t="s">
        <v>1702</v>
      </c>
      <c r="E1919">
        <v>22</v>
      </c>
      <c r="F1919" t="str">
        <f>VLOOKUP(E1919,[1]LOJA!$A:$B,2,0)</f>
        <v>GUARÁ</v>
      </c>
      <c r="G1919" t="s">
        <v>19</v>
      </c>
      <c r="H1919" t="s">
        <v>19</v>
      </c>
      <c r="I1919" s="1">
        <v>46041</v>
      </c>
      <c r="J1919" s="1">
        <v>46040</v>
      </c>
      <c r="K1919" s="1">
        <v>46041</v>
      </c>
      <c r="L1919">
        <v>34</v>
      </c>
      <c r="M1919">
        <v>0.56999999999999995</v>
      </c>
      <c r="N1919">
        <v>0.56999999999999995</v>
      </c>
      <c r="O1919">
        <v>0</v>
      </c>
      <c r="P1919">
        <v>0</v>
      </c>
      <c r="Q1919" t="s">
        <v>108</v>
      </c>
    </row>
    <row r="1920" spans="1:17">
      <c r="A1920" t="s">
        <v>93</v>
      </c>
      <c r="B1920" t="s">
        <v>106</v>
      </c>
      <c r="C1920" t="s">
        <v>56</v>
      </c>
      <c r="D1920" t="s">
        <v>1703</v>
      </c>
      <c r="E1920">
        <v>22</v>
      </c>
      <c r="F1920" t="str">
        <f>VLOOKUP(E1920,[1]LOJA!$A:$B,2,0)</f>
        <v>GUARÁ</v>
      </c>
      <c r="G1920" t="s">
        <v>19</v>
      </c>
      <c r="H1920" t="s">
        <v>19</v>
      </c>
      <c r="I1920" s="1">
        <v>46041</v>
      </c>
      <c r="J1920" s="1">
        <v>46040</v>
      </c>
      <c r="K1920" s="1">
        <v>46041</v>
      </c>
      <c r="L1920">
        <v>34</v>
      </c>
      <c r="M1920">
        <v>0.4</v>
      </c>
      <c r="N1920">
        <v>0.4</v>
      </c>
      <c r="O1920">
        <v>0</v>
      </c>
      <c r="P1920">
        <v>0</v>
      </c>
      <c r="Q1920" t="s">
        <v>108</v>
      </c>
    </row>
    <row r="1921" spans="1:17">
      <c r="A1921" t="s">
        <v>93</v>
      </c>
      <c r="B1921" t="s">
        <v>106</v>
      </c>
      <c r="C1921" t="s">
        <v>56</v>
      </c>
      <c r="D1921" t="s">
        <v>1704</v>
      </c>
      <c r="E1921">
        <v>22</v>
      </c>
      <c r="F1921" t="str">
        <f>VLOOKUP(E1921,[1]LOJA!$A:$B,2,0)</f>
        <v>GUARÁ</v>
      </c>
      <c r="G1921" t="s">
        <v>19</v>
      </c>
      <c r="H1921" t="s">
        <v>19</v>
      </c>
      <c r="I1921" s="1">
        <v>46042</v>
      </c>
      <c r="J1921" s="1">
        <v>46042</v>
      </c>
      <c r="K1921" s="1">
        <v>46042</v>
      </c>
      <c r="L1921">
        <v>34</v>
      </c>
      <c r="M1921">
        <v>16.47</v>
      </c>
      <c r="N1921">
        <v>16.47</v>
      </c>
      <c r="O1921">
        <v>0</v>
      </c>
      <c r="P1921">
        <v>0</v>
      </c>
      <c r="Q1921" t="s">
        <v>108</v>
      </c>
    </row>
    <row r="1922" spans="1:17">
      <c r="A1922" t="s">
        <v>93</v>
      </c>
      <c r="B1922" t="s">
        <v>106</v>
      </c>
      <c r="C1922" t="s">
        <v>56</v>
      </c>
      <c r="D1922" t="s">
        <v>1705</v>
      </c>
      <c r="E1922">
        <v>22</v>
      </c>
      <c r="F1922" t="str">
        <f>VLOOKUP(E1922,[1]LOJA!$A:$B,2,0)</f>
        <v>GUARÁ</v>
      </c>
      <c r="G1922" t="s">
        <v>19</v>
      </c>
      <c r="H1922" t="s">
        <v>19</v>
      </c>
      <c r="I1922" s="1">
        <v>46042</v>
      </c>
      <c r="J1922" s="1">
        <v>46042</v>
      </c>
      <c r="K1922" s="1">
        <v>46042</v>
      </c>
      <c r="L1922">
        <v>34</v>
      </c>
      <c r="M1922">
        <v>6.62</v>
      </c>
      <c r="N1922">
        <v>6.62</v>
      </c>
      <c r="O1922">
        <v>0</v>
      </c>
      <c r="P1922">
        <v>0</v>
      </c>
      <c r="Q1922" t="s">
        <v>108</v>
      </c>
    </row>
    <row r="1923" spans="1:17">
      <c r="A1923" t="s">
        <v>93</v>
      </c>
      <c r="B1923" t="s">
        <v>106</v>
      </c>
      <c r="C1923" t="s">
        <v>56</v>
      </c>
      <c r="D1923" t="s">
        <v>1706</v>
      </c>
      <c r="E1923">
        <v>22</v>
      </c>
      <c r="F1923" t="str">
        <f>VLOOKUP(E1923,[1]LOJA!$A:$B,2,0)</f>
        <v>GUARÁ</v>
      </c>
      <c r="G1923" t="s">
        <v>19</v>
      </c>
      <c r="H1923" t="s">
        <v>19</v>
      </c>
      <c r="I1923" s="1">
        <v>46042</v>
      </c>
      <c r="J1923" s="1">
        <v>46042</v>
      </c>
      <c r="K1923" s="1">
        <v>46042</v>
      </c>
      <c r="L1923">
        <v>34</v>
      </c>
      <c r="M1923">
        <v>2.2999999999999998</v>
      </c>
      <c r="N1923">
        <v>2.2999999999999998</v>
      </c>
      <c r="O1923">
        <v>0</v>
      </c>
      <c r="P1923">
        <v>0</v>
      </c>
      <c r="Q1923" t="s">
        <v>108</v>
      </c>
    </row>
    <row r="1924" spans="1:17">
      <c r="A1924" t="s">
        <v>93</v>
      </c>
      <c r="B1924" t="s">
        <v>106</v>
      </c>
      <c r="C1924" t="s">
        <v>56</v>
      </c>
      <c r="D1924" t="s">
        <v>1707</v>
      </c>
      <c r="E1924">
        <v>22</v>
      </c>
      <c r="F1924" t="str">
        <f>VLOOKUP(E1924,[1]LOJA!$A:$B,2,0)</f>
        <v>GUARÁ</v>
      </c>
      <c r="G1924" t="s">
        <v>19</v>
      </c>
      <c r="H1924" t="s">
        <v>19</v>
      </c>
      <c r="I1924" s="1">
        <v>46042</v>
      </c>
      <c r="J1924" s="1">
        <v>46042</v>
      </c>
      <c r="K1924" s="1">
        <v>46042</v>
      </c>
      <c r="L1924">
        <v>34</v>
      </c>
      <c r="M1924">
        <v>2.39</v>
      </c>
      <c r="N1924">
        <v>2.39</v>
      </c>
      <c r="O1924">
        <v>0</v>
      </c>
      <c r="P1924">
        <v>0</v>
      </c>
      <c r="Q1924" t="s">
        <v>108</v>
      </c>
    </row>
    <row r="1925" spans="1:17">
      <c r="A1925" t="s">
        <v>93</v>
      </c>
      <c r="B1925" t="s">
        <v>106</v>
      </c>
      <c r="C1925" t="s">
        <v>56</v>
      </c>
      <c r="D1925" t="s">
        <v>1708</v>
      </c>
      <c r="E1925">
        <v>22</v>
      </c>
      <c r="F1925" t="str">
        <f>VLOOKUP(E1925,[1]LOJA!$A:$B,2,0)</f>
        <v>GUARÁ</v>
      </c>
      <c r="G1925" t="s">
        <v>19</v>
      </c>
      <c r="H1925" t="s">
        <v>19</v>
      </c>
      <c r="I1925" s="1">
        <v>46042</v>
      </c>
      <c r="J1925" s="1">
        <v>46042</v>
      </c>
      <c r="K1925" s="1">
        <v>46042</v>
      </c>
      <c r="L1925">
        <v>34</v>
      </c>
      <c r="M1925">
        <v>4.25</v>
      </c>
      <c r="N1925">
        <v>4.25</v>
      </c>
      <c r="O1925">
        <v>0</v>
      </c>
      <c r="P1925">
        <v>0</v>
      </c>
      <c r="Q1925" t="s">
        <v>108</v>
      </c>
    </row>
    <row r="1926" spans="1:17">
      <c r="A1926" t="s">
        <v>93</v>
      </c>
      <c r="B1926" t="s">
        <v>106</v>
      </c>
      <c r="C1926" t="s">
        <v>56</v>
      </c>
      <c r="D1926" t="s">
        <v>1709</v>
      </c>
      <c r="E1926">
        <v>22</v>
      </c>
      <c r="F1926" t="str">
        <f>VLOOKUP(E1926,[1]LOJA!$A:$B,2,0)</f>
        <v>GUARÁ</v>
      </c>
      <c r="G1926" t="s">
        <v>19</v>
      </c>
      <c r="H1926" t="s">
        <v>19</v>
      </c>
      <c r="I1926" s="1">
        <v>46042</v>
      </c>
      <c r="J1926" s="1">
        <v>46042</v>
      </c>
      <c r="K1926" s="1">
        <v>46042</v>
      </c>
      <c r="L1926">
        <v>34</v>
      </c>
      <c r="M1926">
        <v>2.9</v>
      </c>
      <c r="N1926">
        <v>2.9</v>
      </c>
      <c r="O1926">
        <v>0</v>
      </c>
      <c r="P1926">
        <v>0</v>
      </c>
      <c r="Q1926" t="s">
        <v>108</v>
      </c>
    </row>
    <row r="1927" spans="1:17">
      <c r="A1927" t="s">
        <v>93</v>
      </c>
      <c r="B1927" t="s">
        <v>106</v>
      </c>
      <c r="C1927" t="s">
        <v>56</v>
      </c>
      <c r="D1927" t="s">
        <v>1710</v>
      </c>
      <c r="E1927">
        <v>22</v>
      </c>
      <c r="F1927" t="str">
        <f>VLOOKUP(E1927,[1]LOJA!$A:$B,2,0)</f>
        <v>GUARÁ</v>
      </c>
      <c r="G1927" t="s">
        <v>19</v>
      </c>
      <c r="H1927" t="s">
        <v>19</v>
      </c>
      <c r="I1927" s="1">
        <v>46042</v>
      </c>
      <c r="J1927" s="1">
        <v>46042</v>
      </c>
      <c r="K1927" s="1">
        <v>46042</v>
      </c>
      <c r="L1927">
        <v>34</v>
      </c>
      <c r="M1927">
        <v>3.99</v>
      </c>
      <c r="N1927">
        <v>3.99</v>
      </c>
      <c r="O1927">
        <v>0</v>
      </c>
      <c r="P1927">
        <v>0</v>
      </c>
      <c r="Q1927" t="s">
        <v>108</v>
      </c>
    </row>
    <row r="1928" spans="1:17">
      <c r="A1928" t="s">
        <v>93</v>
      </c>
      <c r="B1928" t="s">
        <v>106</v>
      </c>
      <c r="C1928" t="s">
        <v>56</v>
      </c>
      <c r="D1928" t="s">
        <v>1711</v>
      </c>
      <c r="E1928">
        <v>22</v>
      </c>
      <c r="F1928" t="str">
        <f>VLOOKUP(E1928,[1]LOJA!$A:$B,2,0)</f>
        <v>GUARÁ</v>
      </c>
      <c r="G1928" t="s">
        <v>19</v>
      </c>
      <c r="H1928" t="s">
        <v>19</v>
      </c>
      <c r="I1928" s="1">
        <v>46042</v>
      </c>
      <c r="J1928" s="1">
        <v>46042</v>
      </c>
      <c r="K1928" s="1">
        <v>46042</v>
      </c>
      <c r="L1928">
        <v>34</v>
      </c>
      <c r="M1928">
        <v>2.4</v>
      </c>
      <c r="N1928">
        <v>2.4</v>
      </c>
      <c r="O1928">
        <v>0</v>
      </c>
      <c r="P1928">
        <v>0</v>
      </c>
      <c r="Q1928" t="s">
        <v>108</v>
      </c>
    </row>
    <row r="1929" spans="1:17">
      <c r="A1929" t="s">
        <v>93</v>
      </c>
      <c r="B1929" t="s">
        <v>106</v>
      </c>
      <c r="C1929" t="s">
        <v>56</v>
      </c>
      <c r="D1929" t="s">
        <v>1712</v>
      </c>
      <c r="E1929">
        <v>22</v>
      </c>
      <c r="F1929" t="str">
        <f>VLOOKUP(E1929,[1]LOJA!$A:$B,2,0)</f>
        <v>GUARÁ</v>
      </c>
      <c r="G1929" t="s">
        <v>19</v>
      </c>
      <c r="H1929" t="s">
        <v>19</v>
      </c>
      <c r="I1929" s="1">
        <v>46042</v>
      </c>
      <c r="J1929" s="1">
        <v>46042</v>
      </c>
      <c r="K1929" s="1">
        <v>46042</v>
      </c>
      <c r="L1929">
        <v>34</v>
      </c>
      <c r="M1929">
        <v>4.17</v>
      </c>
      <c r="N1929">
        <v>4.17</v>
      </c>
      <c r="O1929">
        <v>0</v>
      </c>
      <c r="P1929">
        <v>0</v>
      </c>
      <c r="Q1929" t="s">
        <v>108</v>
      </c>
    </row>
    <row r="1930" spans="1:17">
      <c r="A1930" t="s">
        <v>93</v>
      </c>
      <c r="B1930" t="s">
        <v>106</v>
      </c>
      <c r="C1930" t="s">
        <v>56</v>
      </c>
      <c r="D1930" t="s">
        <v>1713</v>
      </c>
      <c r="E1930">
        <v>22</v>
      </c>
      <c r="F1930" t="str">
        <f>VLOOKUP(E1930,[1]LOJA!$A:$B,2,0)</f>
        <v>GUARÁ</v>
      </c>
      <c r="G1930" t="s">
        <v>19</v>
      </c>
      <c r="H1930" t="s">
        <v>19</v>
      </c>
      <c r="I1930" s="1">
        <v>46042</v>
      </c>
      <c r="J1930" s="1">
        <v>46042</v>
      </c>
      <c r="K1930" s="1">
        <v>46042</v>
      </c>
      <c r="L1930">
        <v>34</v>
      </c>
      <c r="M1930">
        <v>1.1200000000000001</v>
      </c>
      <c r="N1930">
        <v>1.1200000000000001</v>
      </c>
      <c r="O1930">
        <v>0</v>
      </c>
      <c r="P1930">
        <v>0</v>
      </c>
      <c r="Q1930" t="s">
        <v>108</v>
      </c>
    </row>
    <row r="1931" spans="1:17">
      <c r="A1931" t="s">
        <v>93</v>
      </c>
      <c r="B1931" t="s">
        <v>106</v>
      </c>
      <c r="C1931" t="s">
        <v>56</v>
      </c>
      <c r="D1931" t="s">
        <v>1714</v>
      </c>
      <c r="E1931">
        <v>22</v>
      </c>
      <c r="F1931" t="str">
        <f>VLOOKUP(E1931,[1]LOJA!$A:$B,2,0)</f>
        <v>GUARÁ</v>
      </c>
      <c r="G1931" t="s">
        <v>19</v>
      </c>
      <c r="H1931" t="s">
        <v>19</v>
      </c>
      <c r="I1931" s="1">
        <v>46042</v>
      </c>
      <c r="J1931" s="1">
        <v>46042</v>
      </c>
      <c r="K1931" s="1">
        <v>46042</v>
      </c>
      <c r="L1931">
        <v>34</v>
      </c>
      <c r="M1931">
        <v>1.27</v>
      </c>
      <c r="N1931">
        <v>1.27</v>
      </c>
      <c r="O1931">
        <v>0</v>
      </c>
      <c r="P1931">
        <v>0</v>
      </c>
      <c r="Q1931" t="s">
        <v>108</v>
      </c>
    </row>
    <row r="1932" spans="1:17">
      <c r="A1932" t="s">
        <v>93</v>
      </c>
      <c r="B1932" t="s">
        <v>106</v>
      </c>
      <c r="C1932" t="s">
        <v>56</v>
      </c>
      <c r="D1932" t="s">
        <v>1715</v>
      </c>
      <c r="E1932">
        <v>22</v>
      </c>
      <c r="F1932" t="str">
        <f>VLOOKUP(E1932,[1]LOJA!$A:$B,2,0)</f>
        <v>GUARÁ</v>
      </c>
      <c r="G1932" t="s">
        <v>19</v>
      </c>
      <c r="H1932" t="s">
        <v>19</v>
      </c>
      <c r="I1932" s="1">
        <v>46042</v>
      </c>
      <c r="J1932" s="1">
        <v>46042</v>
      </c>
      <c r="K1932" s="1">
        <v>46042</v>
      </c>
      <c r="L1932">
        <v>34</v>
      </c>
      <c r="M1932">
        <v>3.64</v>
      </c>
      <c r="N1932">
        <v>3.64</v>
      </c>
      <c r="O1932">
        <v>0</v>
      </c>
      <c r="P1932">
        <v>0</v>
      </c>
      <c r="Q1932" t="s">
        <v>108</v>
      </c>
    </row>
    <row r="1933" spans="1:17">
      <c r="A1933" t="s">
        <v>93</v>
      </c>
      <c r="B1933" t="s">
        <v>106</v>
      </c>
      <c r="C1933" t="s">
        <v>56</v>
      </c>
      <c r="D1933" t="s">
        <v>1716</v>
      </c>
      <c r="E1933">
        <v>22</v>
      </c>
      <c r="F1933" t="str">
        <f>VLOOKUP(E1933,[1]LOJA!$A:$B,2,0)</f>
        <v>GUARÁ</v>
      </c>
      <c r="G1933" t="s">
        <v>19</v>
      </c>
      <c r="H1933" t="s">
        <v>19</v>
      </c>
      <c r="I1933" s="1">
        <v>46042</v>
      </c>
      <c r="J1933" s="1">
        <v>46042</v>
      </c>
      <c r="K1933" s="1">
        <v>46042</v>
      </c>
      <c r="L1933">
        <v>34</v>
      </c>
      <c r="M1933">
        <v>0.53</v>
      </c>
      <c r="N1933">
        <v>0.53</v>
      </c>
      <c r="O1933">
        <v>0</v>
      </c>
      <c r="P1933">
        <v>0</v>
      </c>
      <c r="Q1933" t="s">
        <v>108</v>
      </c>
    </row>
    <row r="1934" spans="1:17">
      <c r="A1934" t="s">
        <v>93</v>
      </c>
      <c r="B1934" t="s">
        <v>106</v>
      </c>
      <c r="C1934" t="s">
        <v>56</v>
      </c>
      <c r="D1934" t="s">
        <v>1717</v>
      </c>
      <c r="E1934">
        <v>22</v>
      </c>
      <c r="F1934" t="str">
        <f>VLOOKUP(E1934,[1]LOJA!$A:$B,2,0)</f>
        <v>GUARÁ</v>
      </c>
      <c r="G1934" t="s">
        <v>19</v>
      </c>
      <c r="H1934" t="s">
        <v>19</v>
      </c>
      <c r="I1934" s="1">
        <v>46042</v>
      </c>
      <c r="J1934" s="1">
        <v>46042</v>
      </c>
      <c r="K1934" s="1">
        <v>46042</v>
      </c>
      <c r="L1934">
        <v>34</v>
      </c>
      <c r="M1934">
        <v>1.93</v>
      </c>
      <c r="N1934">
        <v>1.93</v>
      </c>
      <c r="O1934">
        <v>0</v>
      </c>
      <c r="P1934">
        <v>0</v>
      </c>
      <c r="Q1934" t="s">
        <v>108</v>
      </c>
    </row>
    <row r="1935" spans="1:17">
      <c r="A1935" t="s">
        <v>93</v>
      </c>
      <c r="B1935" t="s">
        <v>106</v>
      </c>
      <c r="C1935" t="s">
        <v>56</v>
      </c>
      <c r="D1935" t="s">
        <v>1718</v>
      </c>
      <c r="E1935">
        <v>22</v>
      </c>
      <c r="F1935" t="str">
        <f>VLOOKUP(E1935,[1]LOJA!$A:$B,2,0)</f>
        <v>GUARÁ</v>
      </c>
      <c r="G1935" t="s">
        <v>19</v>
      </c>
      <c r="H1935" t="s">
        <v>19</v>
      </c>
      <c r="I1935" s="1">
        <v>46042</v>
      </c>
      <c r="J1935" s="1">
        <v>46042</v>
      </c>
      <c r="K1935" s="1">
        <v>46042</v>
      </c>
      <c r="L1935">
        <v>34</v>
      </c>
      <c r="M1935">
        <v>0.34</v>
      </c>
      <c r="N1935">
        <v>0.34</v>
      </c>
      <c r="O1935">
        <v>0</v>
      </c>
      <c r="P1935">
        <v>0</v>
      </c>
      <c r="Q1935" t="s">
        <v>108</v>
      </c>
    </row>
    <row r="1936" spans="1:17">
      <c r="A1936" t="s">
        <v>93</v>
      </c>
      <c r="B1936" t="s">
        <v>106</v>
      </c>
      <c r="C1936" t="s">
        <v>56</v>
      </c>
      <c r="D1936" t="s">
        <v>1719</v>
      </c>
      <c r="E1936">
        <v>22</v>
      </c>
      <c r="F1936" t="str">
        <f>VLOOKUP(E1936,[1]LOJA!$A:$B,2,0)</f>
        <v>GUARÁ</v>
      </c>
      <c r="G1936" t="s">
        <v>19</v>
      </c>
      <c r="H1936" t="s">
        <v>19</v>
      </c>
      <c r="I1936" s="1">
        <v>46042</v>
      </c>
      <c r="J1936" s="1">
        <v>46042</v>
      </c>
      <c r="K1936" s="1">
        <v>46042</v>
      </c>
      <c r="L1936">
        <v>34</v>
      </c>
      <c r="M1936">
        <v>0.6</v>
      </c>
      <c r="N1936">
        <v>0.6</v>
      </c>
      <c r="O1936">
        <v>0</v>
      </c>
      <c r="P1936">
        <v>0</v>
      </c>
      <c r="Q1936" t="s">
        <v>108</v>
      </c>
    </row>
    <row r="1937" spans="1:17">
      <c r="A1937" t="s">
        <v>93</v>
      </c>
      <c r="B1937" t="s">
        <v>106</v>
      </c>
      <c r="C1937" t="s">
        <v>56</v>
      </c>
      <c r="D1937" t="s">
        <v>1720</v>
      </c>
      <c r="E1937">
        <v>22</v>
      </c>
      <c r="F1937" t="str">
        <f>VLOOKUP(E1937,[1]LOJA!$A:$B,2,0)</f>
        <v>GUARÁ</v>
      </c>
      <c r="G1937" t="s">
        <v>19</v>
      </c>
      <c r="H1937" t="s">
        <v>19</v>
      </c>
      <c r="I1937" s="1">
        <v>46042</v>
      </c>
      <c r="J1937" s="1">
        <v>46042</v>
      </c>
      <c r="K1937" s="1">
        <v>46042</v>
      </c>
      <c r="L1937">
        <v>34</v>
      </c>
      <c r="M1937">
        <v>0.44</v>
      </c>
      <c r="N1937">
        <v>0.44</v>
      </c>
      <c r="O1937">
        <v>0</v>
      </c>
      <c r="P1937">
        <v>0</v>
      </c>
      <c r="Q1937" t="s">
        <v>108</v>
      </c>
    </row>
    <row r="1938" spans="1:17">
      <c r="A1938" t="s">
        <v>93</v>
      </c>
      <c r="B1938" t="s">
        <v>106</v>
      </c>
      <c r="C1938" t="s">
        <v>56</v>
      </c>
      <c r="D1938" t="s">
        <v>1721</v>
      </c>
      <c r="E1938">
        <v>22</v>
      </c>
      <c r="F1938" t="str">
        <f>VLOOKUP(E1938,[1]LOJA!$A:$B,2,0)</f>
        <v>GUARÁ</v>
      </c>
      <c r="G1938" t="s">
        <v>19</v>
      </c>
      <c r="H1938" t="s">
        <v>19</v>
      </c>
      <c r="I1938" s="1">
        <v>46042</v>
      </c>
      <c r="J1938" s="1">
        <v>46042</v>
      </c>
      <c r="K1938" s="1">
        <v>46042</v>
      </c>
      <c r="L1938">
        <v>34</v>
      </c>
      <c r="M1938">
        <v>0.18</v>
      </c>
      <c r="N1938">
        <v>0.18</v>
      </c>
      <c r="O1938">
        <v>0</v>
      </c>
      <c r="P1938">
        <v>0</v>
      </c>
      <c r="Q1938" t="s">
        <v>108</v>
      </c>
    </row>
    <row r="1939" spans="1:17">
      <c r="A1939" t="s">
        <v>93</v>
      </c>
      <c r="B1939" t="s">
        <v>106</v>
      </c>
      <c r="C1939" t="s">
        <v>56</v>
      </c>
      <c r="D1939" t="s">
        <v>1722</v>
      </c>
      <c r="E1939">
        <v>22</v>
      </c>
      <c r="F1939" t="str">
        <f>VLOOKUP(E1939,[1]LOJA!$A:$B,2,0)</f>
        <v>GUARÁ</v>
      </c>
      <c r="G1939" t="s">
        <v>19</v>
      </c>
      <c r="H1939" t="s">
        <v>19</v>
      </c>
      <c r="I1939" s="1">
        <v>46042</v>
      </c>
      <c r="J1939" s="1">
        <v>46042</v>
      </c>
      <c r="K1939" s="1">
        <v>46042</v>
      </c>
      <c r="L1939">
        <v>34</v>
      </c>
      <c r="M1939">
        <v>0.28000000000000003</v>
      </c>
      <c r="N1939">
        <v>0.28000000000000003</v>
      </c>
      <c r="O1939">
        <v>0</v>
      </c>
      <c r="P1939">
        <v>0</v>
      </c>
      <c r="Q1939" t="s">
        <v>108</v>
      </c>
    </row>
    <row r="1940" spans="1:17">
      <c r="A1940" t="s">
        <v>93</v>
      </c>
      <c r="B1940" t="s">
        <v>106</v>
      </c>
      <c r="C1940" t="s">
        <v>56</v>
      </c>
      <c r="D1940" t="s">
        <v>1723</v>
      </c>
      <c r="E1940">
        <v>22</v>
      </c>
      <c r="F1940" t="str">
        <f>VLOOKUP(E1940,[1]LOJA!$A:$B,2,0)</f>
        <v>GUARÁ</v>
      </c>
      <c r="G1940" t="s">
        <v>19</v>
      </c>
      <c r="H1940" t="s">
        <v>19</v>
      </c>
      <c r="I1940" s="1">
        <v>46042</v>
      </c>
      <c r="J1940" s="1">
        <v>46042</v>
      </c>
      <c r="K1940" s="1">
        <v>46042</v>
      </c>
      <c r="L1940">
        <v>34</v>
      </c>
      <c r="M1940">
        <v>1.0900000000000001</v>
      </c>
      <c r="N1940">
        <v>1.0900000000000001</v>
      </c>
      <c r="O1940">
        <v>0</v>
      </c>
      <c r="P1940">
        <v>0</v>
      </c>
      <c r="Q1940" t="s">
        <v>108</v>
      </c>
    </row>
    <row r="1941" spans="1:17">
      <c r="A1941" t="s">
        <v>93</v>
      </c>
      <c r="B1941" t="s">
        <v>106</v>
      </c>
      <c r="C1941" t="s">
        <v>56</v>
      </c>
      <c r="D1941" t="s">
        <v>1724</v>
      </c>
      <c r="E1941">
        <v>22</v>
      </c>
      <c r="F1941" t="str">
        <f>VLOOKUP(E1941,[1]LOJA!$A:$B,2,0)</f>
        <v>GUARÁ</v>
      </c>
      <c r="G1941" t="s">
        <v>19</v>
      </c>
      <c r="H1941" t="s">
        <v>19</v>
      </c>
      <c r="I1941" s="1">
        <v>46042</v>
      </c>
      <c r="J1941" s="1">
        <v>46042</v>
      </c>
      <c r="K1941" s="1">
        <v>46042</v>
      </c>
      <c r="L1941">
        <v>34</v>
      </c>
      <c r="M1941">
        <v>0.5</v>
      </c>
      <c r="N1941">
        <v>0.5</v>
      </c>
      <c r="O1941">
        <v>0</v>
      </c>
      <c r="P1941">
        <v>0</v>
      </c>
      <c r="Q1941" t="s">
        <v>108</v>
      </c>
    </row>
    <row r="1942" spans="1:17">
      <c r="A1942" t="s">
        <v>93</v>
      </c>
      <c r="B1942" t="s">
        <v>106</v>
      </c>
      <c r="C1942" t="s">
        <v>56</v>
      </c>
      <c r="D1942" t="s">
        <v>1725</v>
      </c>
      <c r="E1942">
        <v>22</v>
      </c>
      <c r="F1942" t="str">
        <f>VLOOKUP(E1942,[1]LOJA!$A:$B,2,0)</f>
        <v>GUARÁ</v>
      </c>
      <c r="G1942" t="s">
        <v>19</v>
      </c>
      <c r="H1942" t="s">
        <v>19</v>
      </c>
      <c r="I1942" s="1">
        <v>46042</v>
      </c>
      <c r="J1942" s="1">
        <v>46042</v>
      </c>
      <c r="K1942" s="1">
        <v>46042</v>
      </c>
      <c r="L1942">
        <v>34</v>
      </c>
      <c r="M1942">
        <v>0.12</v>
      </c>
      <c r="N1942">
        <v>0.12</v>
      </c>
      <c r="O1942">
        <v>0</v>
      </c>
      <c r="P1942">
        <v>0</v>
      </c>
      <c r="Q1942" t="s">
        <v>108</v>
      </c>
    </row>
    <row r="1943" spans="1:17">
      <c r="A1943" t="s">
        <v>93</v>
      </c>
      <c r="B1943" t="s">
        <v>106</v>
      </c>
      <c r="C1943" t="s">
        <v>56</v>
      </c>
      <c r="D1943" t="s">
        <v>1726</v>
      </c>
      <c r="E1943">
        <v>22</v>
      </c>
      <c r="F1943" t="str">
        <f>VLOOKUP(E1943,[1]LOJA!$A:$B,2,0)</f>
        <v>GUARÁ</v>
      </c>
      <c r="G1943" t="s">
        <v>19</v>
      </c>
      <c r="H1943" t="s">
        <v>19</v>
      </c>
      <c r="I1943" s="1">
        <v>46042</v>
      </c>
      <c r="J1943" s="1">
        <v>46042</v>
      </c>
      <c r="K1943" s="1">
        <v>46042</v>
      </c>
      <c r="L1943">
        <v>34</v>
      </c>
      <c r="M1943">
        <v>0.77</v>
      </c>
      <c r="N1943">
        <v>0.77</v>
      </c>
      <c r="O1943">
        <v>0</v>
      </c>
      <c r="P1943">
        <v>0</v>
      </c>
      <c r="Q1943" t="s">
        <v>108</v>
      </c>
    </row>
    <row r="1944" spans="1:17">
      <c r="A1944" t="s">
        <v>93</v>
      </c>
      <c r="B1944" t="s">
        <v>106</v>
      </c>
      <c r="C1944" t="s">
        <v>56</v>
      </c>
      <c r="D1944" t="s">
        <v>1727</v>
      </c>
      <c r="E1944">
        <v>22</v>
      </c>
      <c r="F1944" t="str">
        <f>VLOOKUP(E1944,[1]LOJA!$A:$B,2,0)</f>
        <v>GUARÁ</v>
      </c>
      <c r="G1944" t="s">
        <v>19</v>
      </c>
      <c r="H1944" t="s">
        <v>19</v>
      </c>
      <c r="I1944" s="1">
        <v>46042</v>
      </c>
      <c r="J1944" s="1">
        <v>46042</v>
      </c>
      <c r="K1944" s="1">
        <v>46042</v>
      </c>
      <c r="L1944">
        <v>34</v>
      </c>
      <c r="M1944">
        <v>0.34</v>
      </c>
      <c r="N1944">
        <v>0.34</v>
      </c>
      <c r="O1944">
        <v>0</v>
      </c>
      <c r="P1944">
        <v>0</v>
      </c>
      <c r="Q1944" t="s">
        <v>108</v>
      </c>
    </row>
    <row r="1945" spans="1:17">
      <c r="A1945" t="s">
        <v>93</v>
      </c>
      <c r="B1945" t="s">
        <v>106</v>
      </c>
      <c r="C1945" t="s">
        <v>56</v>
      </c>
      <c r="D1945" t="s">
        <v>1728</v>
      </c>
      <c r="E1945">
        <v>22</v>
      </c>
      <c r="F1945" t="str">
        <f>VLOOKUP(E1945,[1]LOJA!$A:$B,2,0)</f>
        <v>GUARÁ</v>
      </c>
      <c r="G1945" t="s">
        <v>19</v>
      </c>
      <c r="H1945" t="s">
        <v>19</v>
      </c>
      <c r="I1945" s="1">
        <v>46042</v>
      </c>
      <c r="J1945" s="1">
        <v>46042</v>
      </c>
      <c r="K1945" s="1">
        <v>46042</v>
      </c>
      <c r="L1945">
        <v>34</v>
      </c>
      <c r="M1945">
        <v>0.42</v>
      </c>
      <c r="N1945">
        <v>0.42</v>
      </c>
      <c r="O1945">
        <v>0</v>
      </c>
      <c r="P1945">
        <v>0</v>
      </c>
      <c r="Q1945" t="s">
        <v>108</v>
      </c>
    </row>
    <row r="1946" spans="1:17">
      <c r="A1946" t="s">
        <v>93</v>
      </c>
      <c r="B1946" t="s">
        <v>106</v>
      </c>
      <c r="C1946" t="s">
        <v>56</v>
      </c>
      <c r="D1946" t="s">
        <v>1729</v>
      </c>
      <c r="E1946">
        <v>22</v>
      </c>
      <c r="F1946" t="str">
        <f>VLOOKUP(E1946,[1]LOJA!$A:$B,2,0)</f>
        <v>GUARÁ</v>
      </c>
      <c r="G1946" t="s">
        <v>19</v>
      </c>
      <c r="H1946" t="s">
        <v>19</v>
      </c>
      <c r="I1946" s="1">
        <v>46042</v>
      </c>
      <c r="J1946" s="1">
        <v>46042</v>
      </c>
      <c r="K1946" s="1">
        <v>46042</v>
      </c>
      <c r="L1946">
        <v>34</v>
      </c>
      <c r="M1946">
        <v>0.15</v>
      </c>
      <c r="N1946">
        <v>0.15</v>
      </c>
      <c r="O1946">
        <v>0</v>
      </c>
      <c r="P1946">
        <v>0</v>
      </c>
      <c r="Q1946" t="s">
        <v>108</v>
      </c>
    </row>
    <row r="1947" spans="1:17">
      <c r="A1947" t="s">
        <v>93</v>
      </c>
      <c r="B1947" t="s">
        <v>106</v>
      </c>
      <c r="C1947" t="s">
        <v>56</v>
      </c>
      <c r="D1947" t="s">
        <v>1730</v>
      </c>
      <c r="E1947">
        <v>22</v>
      </c>
      <c r="F1947" t="str">
        <f>VLOOKUP(E1947,[1]LOJA!$A:$B,2,0)</f>
        <v>GUARÁ</v>
      </c>
      <c r="G1947" t="s">
        <v>19</v>
      </c>
      <c r="H1947" t="s">
        <v>19</v>
      </c>
      <c r="I1947" s="1">
        <v>46043</v>
      </c>
      <c r="J1947" s="1">
        <v>46043</v>
      </c>
      <c r="K1947" s="1">
        <v>46043</v>
      </c>
      <c r="L1947">
        <v>34</v>
      </c>
      <c r="M1947">
        <v>4.38</v>
      </c>
      <c r="N1947">
        <v>4.38</v>
      </c>
      <c r="O1947">
        <v>0</v>
      </c>
      <c r="P1947">
        <v>0</v>
      </c>
      <c r="Q1947" t="s">
        <v>108</v>
      </c>
    </row>
    <row r="1948" spans="1:17">
      <c r="A1948" t="s">
        <v>93</v>
      </c>
      <c r="B1948" t="s">
        <v>106</v>
      </c>
      <c r="C1948" t="s">
        <v>56</v>
      </c>
      <c r="D1948" t="s">
        <v>1731</v>
      </c>
      <c r="E1948">
        <v>22</v>
      </c>
      <c r="F1948" t="str">
        <f>VLOOKUP(E1948,[1]LOJA!$A:$B,2,0)</f>
        <v>GUARÁ</v>
      </c>
      <c r="G1948" t="s">
        <v>19</v>
      </c>
      <c r="H1948" t="s">
        <v>19</v>
      </c>
      <c r="I1948" s="1">
        <v>46043</v>
      </c>
      <c r="J1948" s="1">
        <v>46043</v>
      </c>
      <c r="K1948" s="1">
        <v>46043</v>
      </c>
      <c r="L1948">
        <v>34</v>
      </c>
      <c r="M1948">
        <v>4.07</v>
      </c>
      <c r="N1948">
        <v>4.07</v>
      </c>
      <c r="O1948">
        <v>0</v>
      </c>
      <c r="P1948">
        <v>0</v>
      </c>
      <c r="Q1948" t="s">
        <v>108</v>
      </c>
    </row>
    <row r="1949" spans="1:17">
      <c r="A1949" t="s">
        <v>93</v>
      </c>
      <c r="B1949" t="s">
        <v>106</v>
      </c>
      <c r="C1949" t="s">
        <v>56</v>
      </c>
      <c r="D1949" t="s">
        <v>1732</v>
      </c>
      <c r="E1949">
        <v>22</v>
      </c>
      <c r="F1949" t="str">
        <f>VLOOKUP(E1949,[1]LOJA!$A:$B,2,0)</f>
        <v>GUARÁ</v>
      </c>
      <c r="G1949" t="s">
        <v>19</v>
      </c>
      <c r="H1949" t="s">
        <v>19</v>
      </c>
      <c r="I1949" s="1">
        <v>46043</v>
      </c>
      <c r="J1949" s="1">
        <v>46043</v>
      </c>
      <c r="K1949" s="1">
        <v>46043</v>
      </c>
      <c r="L1949">
        <v>34</v>
      </c>
      <c r="M1949">
        <v>16.79</v>
      </c>
      <c r="N1949">
        <v>16.79</v>
      </c>
      <c r="O1949">
        <v>0</v>
      </c>
      <c r="P1949">
        <v>0</v>
      </c>
      <c r="Q1949" t="s">
        <v>108</v>
      </c>
    </row>
    <row r="1950" spans="1:17">
      <c r="A1950" t="s">
        <v>93</v>
      </c>
      <c r="B1950" t="s">
        <v>106</v>
      </c>
      <c r="C1950" t="s">
        <v>56</v>
      </c>
      <c r="D1950" t="s">
        <v>1733</v>
      </c>
      <c r="E1950">
        <v>22</v>
      </c>
      <c r="F1950" t="str">
        <f>VLOOKUP(E1950,[1]LOJA!$A:$B,2,0)</f>
        <v>GUARÁ</v>
      </c>
      <c r="G1950" t="s">
        <v>19</v>
      </c>
      <c r="H1950" t="s">
        <v>19</v>
      </c>
      <c r="I1950" s="1">
        <v>46043</v>
      </c>
      <c r="J1950" s="1">
        <v>46043</v>
      </c>
      <c r="K1950" s="1">
        <v>46043</v>
      </c>
      <c r="L1950">
        <v>34</v>
      </c>
      <c r="M1950">
        <v>0.53</v>
      </c>
      <c r="N1950">
        <v>0.53</v>
      </c>
      <c r="O1950">
        <v>0</v>
      </c>
      <c r="P1950">
        <v>0</v>
      </c>
      <c r="Q1950" t="s">
        <v>108</v>
      </c>
    </row>
    <row r="1951" spans="1:17">
      <c r="A1951" t="s">
        <v>93</v>
      </c>
      <c r="B1951" t="s">
        <v>106</v>
      </c>
      <c r="C1951" t="s">
        <v>56</v>
      </c>
      <c r="D1951" t="s">
        <v>1734</v>
      </c>
      <c r="E1951">
        <v>22</v>
      </c>
      <c r="F1951" t="str">
        <f>VLOOKUP(E1951,[1]LOJA!$A:$B,2,0)</f>
        <v>GUARÁ</v>
      </c>
      <c r="G1951" t="s">
        <v>19</v>
      </c>
      <c r="H1951" t="s">
        <v>19</v>
      </c>
      <c r="I1951" s="1">
        <v>46043</v>
      </c>
      <c r="J1951" s="1">
        <v>46043</v>
      </c>
      <c r="K1951" s="1">
        <v>46043</v>
      </c>
      <c r="L1951">
        <v>34</v>
      </c>
      <c r="M1951">
        <v>0.57999999999999996</v>
      </c>
      <c r="N1951">
        <v>0.57999999999999996</v>
      </c>
      <c r="O1951">
        <v>0</v>
      </c>
      <c r="P1951">
        <v>0</v>
      </c>
      <c r="Q1951" t="s">
        <v>108</v>
      </c>
    </row>
    <row r="1952" spans="1:17">
      <c r="A1952" t="s">
        <v>93</v>
      </c>
      <c r="B1952" t="s">
        <v>106</v>
      </c>
      <c r="C1952" t="s">
        <v>56</v>
      </c>
      <c r="D1952" t="s">
        <v>1735</v>
      </c>
      <c r="E1952">
        <v>22</v>
      </c>
      <c r="F1952" t="str">
        <f>VLOOKUP(E1952,[1]LOJA!$A:$B,2,0)</f>
        <v>GUARÁ</v>
      </c>
      <c r="G1952" t="s">
        <v>19</v>
      </c>
      <c r="H1952" t="s">
        <v>19</v>
      </c>
      <c r="I1952" s="1">
        <v>46043</v>
      </c>
      <c r="J1952" s="1">
        <v>46043</v>
      </c>
      <c r="K1952" s="1">
        <v>46043</v>
      </c>
      <c r="L1952">
        <v>34</v>
      </c>
      <c r="M1952">
        <v>0.3</v>
      </c>
      <c r="N1952">
        <v>0.3</v>
      </c>
      <c r="O1952">
        <v>0</v>
      </c>
      <c r="P1952">
        <v>0</v>
      </c>
      <c r="Q1952" t="s">
        <v>108</v>
      </c>
    </row>
    <row r="1953" spans="1:17">
      <c r="A1953" t="s">
        <v>93</v>
      </c>
      <c r="B1953" t="s">
        <v>106</v>
      </c>
      <c r="C1953" t="s">
        <v>56</v>
      </c>
      <c r="D1953" t="s">
        <v>1736</v>
      </c>
      <c r="E1953">
        <v>22</v>
      </c>
      <c r="F1953" t="str">
        <f>VLOOKUP(E1953,[1]LOJA!$A:$B,2,0)</f>
        <v>GUARÁ</v>
      </c>
      <c r="G1953" t="s">
        <v>19</v>
      </c>
      <c r="H1953" t="s">
        <v>19</v>
      </c>
      <c r="I1953" s="1">
        <v>46043</v>
      </c>
      <c r="J1953" s="1">
        <v>46043</v>
      </c>
      <c r="K1953" s="1">
        <v>46043</v>
      </c>
      <c r="L1953">
        <v>34</v>
      </c>
      <c r="M1953">
        <v>0.54</v>
      </c>
      <c r="N1953">
        <v>0.54</v>
      </c>
      <c r="O1953">
        <v>0</v>
      </c>
      <c r="P1953">
        <v>0</v>
      </c>
      <c r="Q1953" t="s">
        <v>108</v>
      </c>
    </row>
    <row r="1954" spans="1:17">
      <c r="A1954" t="s">
        <v>93</v>
      </c>
      <c r="B1954" t="s">
        <v>106</v>
      </c>
      <c r="C1954" t="s">
        <v>56</v>
      </c>
      <c r="D1954" t="s">
        <v>1737</v>
      </c>
      <c r="E1954">
        <v>22</v>
      </c>
      <c r="F1954" t="str">
        <f>VLOOKUP(E1954,[1]LOJA!$A:$B,2,0)</f>
        <v>GUARÁ</v>
      </c>
      <c r="G1954" t="s">
        <v>19</v>
      </c>
      <c r="H1954" t="s">
        <v>19</v>
      </c>
      <c r="I1954" s="1">
        <v>46043</v>
      </c>
      <c r="J1954" s="1">
        <v>46043</v>
      </c>
      <c r="K1954" s="1">
        <v>46043</v>
      </c>
      <c r="L1954">
        <v>34</v>
      </c>
      <c r="M1954">
        <v>0.16</v>
      </c>
      <c r="N1954">
        <v>0.16</v>
      </c>
      <c r="O1954">
        <v>0</v>
      </c>
      <c r="P1954">
        <v>0</v>
      </c>
      <c r="Q1954" t="s">
        <v>108</v>
      </c>
    </row>
    <row r="1955" spans="1:17">
      <c r="A1955" t="s">
        <v>93</v>
      </c>
      <c r="B1955" t="s">
        <v>106</v>
      </c>
      <c r="C1955" t="s">
        <v>56</v>
      </c>
      <c r="D1955" t="s">
        <v>1738</v>
      </c>
      <c r="E1955">
        <v>22</v>
      </c>
      <c r="F1955" t="str">
        <f>VLOOKUP(E1955,[1]LOJA!$A:$B,2,0)</f>
        <v>GUARÁ</v>
      </c>
      <c r="G1955" t="s">
        <v>19</v>
      </c>
      <c r="H1955" t="s">
        <v>19</v>
      </c>
      <c r="I1955" s="1">
        <v>46043</v>
      </c>
      <c r="J1955" s="1">
        <v>46043</v>
      </c>
      <c r="K1955" s="1">
        <v>46043</v>
      </c>
      <c r="L1955">
        <v>34</v>
      </c>
      <c r="M1955">
        <v>0.25</v>
      </c>
      <c r="N1955">
        <v>0.25</v>
      </c>
      <c r="O1955">
        <v>0</v>
      </c>
      <c r="P1955">
        <v>0</v>
      </c>
      <c r="Q1955" t="s">
        <v>108</v>
      </c>
    </row>
    <row r="1956" spans="1:17">
      <c r="A1956" t="s">
        <v>93</v>
      </c>
      <c r="B1956" t="s">
        <v>106</v>
      </c>
      <c r="C1956" t="s">
        <v>56</v>
      </c>
      <c r="D1956" t="s">
        <v>1739</v>
      </c>
      <c r="E1956">
        <v>22</v>
      </c>
      <c r="F1956" t="str">
        <f>VLOOKUP(E1956,[1]LOJA!$A:$B,2,0)</f>
        <v>GUARÁ</v>
      </c>
      <c r="G1956" t="s">
        <v>19</v>
      </c>
      <c r="H1956" t="s">
        <v>19</v>
      </c>
      <c r="I1956" s="1">
        <v>46043</v>
      </c>
      <c r="J1956" s="1">
        <v>46043</v>
      </c>
      <c r="K1956" s="1">
        <v>46043</v>
      </c>
      <c r="L1956">
        <v>34</v>
      </c>
      <c r="M1956">
        <v>0.28999999999999998</v>
      </c>
      <c r="N1956">
        <v>0.28999999999999998</v>
      </c>
      <c r="O1956">
        <v>0</v>
      </c>
      <c r="P1956">
        <v>0</v>
      </c>
      <c r="Q1956" t="s">
        <v>108</v>
      </c>
    </row>
    <row r="1957" spans="1:17">
      <c r="A1957" t="s">
        <v>93</v>
      </c>
      <c r="B1957" t="s">
        <v>106</v>
      </c>
      <c r="C1957" t="s">
        <v>56</v>
      </c>
      <c r="D1957" t="s">
        <v>1740</v>
      </c>
      <c r="E1957">
        <v>22</v>
      </c>
      <c r="F1957" t="str">
        <f>VLOOKUP(E1957,[1]LOJA!$A:$B,2,0)</f>
        <v>GUARÁ</v>
      </c>
      <c r="G1957" t="s">
        <v>19</v>
      </c>
      <c r="H1957" t="s">
        <v>19</v>
      </c>
      <c r="I1957" s="1">
        <v>46043</v>
      </c>
      <c r="J1957" s="1">
        <v>46043</v>
      </c>
      <c r="K1957" s="1">
        <v>46043</v>
      </c>
      <c r="L1957">
        <v>34</v>
      </c>
      <c r="M1957">
        <v>0.17</v>
      </c>
      <c r="N1957">
        <v>0.17</v>
      </c>
      <c r="O1957">
        <v>0</v>
      </c>
      <c r="P1957">
        <v>0</v>
      </c>
      <c r="Q1957" t="s">
        <v>108</v>
      </c>
    </row>
    <row r="1958" spans="1:17">
      <c r="A1958" t="s">
        <v>93</v>
      </c>
      <c r="B1958" t="s">
        <v>106</v>
      </c>
      <c r="C1958" t="s">
        <v>56</v>
      </c>
      <c r="D1958" t="s">
        <v>1741</v>
      </c>
      <c r="E1958">
        <v>22</v>
      </c>
      <c r="F1958" t="str">
        <f>VLOOKUP(E1958,[1]LOJA!$A:$B,2,0)</f>
        <v>GUARÁ</v>
      </c>
      <c r="G1958" t="s">
        <v>19</v>
      </c>
      <c r="H1958" t="s">
        <v>19</v>
      </c>
      <c r="I1958" s="1">
        <v>46043</v>
      </c>
      <c r="J1958" s="1">
        <v>46043</v>
      </c>
      <c r="K1958" s="1">
        <v>46043</v>
      </c>
      <c r="L1958">
        <v>34</v>
      </c>
      <c r="M1958">
        <v>0.04</v>
      </c>
      <c r="N1958">
        <v>0.04</v>
      </c>
      <c r="O1958">
        <v>0</v>
      </c>
      <c r="P1958">
        <v>0</v>
      </c>
      <c r="Q1958" t="s">
        <v>108</v>
      </c>
    </row>
    <row r="1959" spans="1:17">
      <c r="A1959" t="s">
        <v>93</v>
      </c>
      <c r="B1959" t="s">
        <v>106</v>
      </c>
      <c r="C1959" t="s">
        <v>56</v>
      </c>
      <c r="D1959" t="s">
        <v>1742</v>
      </c>
      <c r="E1959">
        <v>22</v>
      </c>
      <c r="F1959" t="str">
        <f>VLOOKUP(E1959,[1]LOJA!$A:$B,2,0)</f>
        <v>GUARÁ</v>
      </c>
      <c r="G1959" t="s">
        <v>19</v>
      </c>
      <c r="H1959" t="s">
        <v>19</v>
      </c>
      <c r="I1959" s="1">
        <v>46043</v>
      </c>
      <c r="J1959" s="1">
        <v>46043</v>
      </c>
      <c r="K1959" s="1">
        <v>46043</v>
      </c>
      <c r="L1959">
        <v>34</v>
      </c>
      <c r="M1959">
        <v>0.23</v>
      </c>
      <c r="N1959">
        <v>0.23</v>
      </c>
      <c r="O1959">
        <v>0</v>
      </c>
      <c r="P1959">
        <v>0</v>
      </c>
      <c r="Q1959" t="s">
        <v>108</v>
      </c>
    </row>
    <row r="1960" spans="1:17">
      <c r="A1960" t="s">
        <v>93</v>
      </c>
      <c r="B1960" t="s">
        <v>106</v>
      </c>
      <c r="C1960" t="s">
        <v>56</v>
      </c>
      <c r="D1960" t="s">
        <v>1743</v>
      </c>
      <c r="E1960">
        <v>22</v>
      </c>
      <c r="F1960" t="str">
        <f>VLOOKUP(E1960,[1]LOJA!$A:$B,2,0)</f>
        <v>GUARÁ</v>
      </c>
      <c r="G1960" t="s">
        <v>19</v>
      </c>
      <c r="H1960" t="s">
        <v>19</v>
      </c>
      <c r="I1960" s="1">
        <v>46043</v>
      </c>
      <c r="J1960" s="1">
        <v>46043</v>
      </c>
      <c r="K1960" s="1">
        <v>46043</v>
      </c>
      <c r="L1960">
        <v>34</v>
      </c>
      <c r="M1960">
        <v>0.3</v>
      </c>
      <c r="N1960">
        <v>0.3</v>
      </c>
      <c r="O1960">
        <v>0</v>
      </c>
      <c r="P1960">
        <v>0</v>
      </c>
      <c r="Q1960" t="s">
        <v>108</v>
      </c>
    </row>
    <row r="1961" spans="1:17">
      <c r="A1961" t="s">
        <v>93</v>
      </c>
      <c r="B1961" t="s">
        <v>106</v>
      </c>
      <c r="C1961" t="s">
        <v>56</v>
      </c>
      <c r="D1961" t="s">
        <v>1744</v>
      </c>
      <c r="E1961">
        <v>22</v>
      </c>
      <c r="F1961" t="str">
        <f>VLOOKUP(E1961,[1]LOJA!$A:$B,2,0)</f>
        <v>GUARÁ</v>
      </c>
      <c r="G1961" t="s">
        <v>19</v>
      </c>
      <c r="H1961" t="s">
        <v>19</v>
      </c>
      <c r="I1961" s="1">
        <v>46043</v>
      </c>
      <c r="J1961" s="1">
        <v>46043</v>
      </c>
      <c r="K1961" s="1">
        <v>46043</v>
      </c>
      <c r="L1961">
        <v>34</v>
      </c>
      <c r="M1961">
        <v>3.94</v>
      </c>
      <c r="N1961">
        <v>3.94</v>
      </c>
      <c r="O1961">
        <v>0</v>
      </c>
      <c r="P1961">
        <v>0</v>
      </c>
      <c r="Q1961" t="s">
        <v>108</v>
      </c>
    </row>
    <row r="1962" spans="1:17">
      <c r="A1962" t="s">
        <v>93</v>
      </c>
      <c r="B1962" t="s">
        <v>106</v>
      </c>
      <c r="C1962" t="s">
        <v>56</v>
      </c>
      <c r="D1962" t="s">
        <v>1745</v>
      </c>
      <c r="E1962">
        <v>22</v>
      </c>
      <c r="F1962" t="str">
        <f>VLOOKUP(E1962,[1]LOJA!$A:$B,2,0)</f>
        <v>GUARÁ</v>
      </c>
      <c r="G1962" t="s">
        <v>19</v>
      </c>
      <c r="H1962" t="s">
        <v>19</v>
      </c>
      <c r="I1962" s="1">
        <v>46043</v>
      </c>
      <c r="J1962" s="1">
        <v>46043</v>
      </c>
      <c r="K1962" s="1">
        <v>46043</v>
      </c>
      <c r="L1962">
        <v>34</v>
      </c>
      <c r="M1962">
        <v>0.91</v>
      </c>
      <c r="N1962">
        <v>0.91</v>
      </c>
      <c r="O1962">
        <v>0</v>
      </c>
      <c r="P1962">
        <v>0</v>
      </c>
      <c r="Q1962" t="s">
        <v>108</v>
      </c>
    </row>
    <row r="1963" spans="1:17">
      <c r="A1963" t="s">
        <v>93</v>
      </c>
      <c r="B1963" t="s">
        <v>106</v>
      </c>
      <c r="C1963" t="s">
        <v>56</v>
      </c>
      <c r="D1963" t="s">
        <v>1746</v>
      </c>
      <c r="E1963">
        <v>22</v>
      </c>
      <c r="F1963" t="str">
        <f>VLOOKUP(E1963,[1]LOJA!$A:$B,2,0)</f>
        <v>GUARÁ</v>
      </c>
      <c r="G1963" t="s">
        <v>19</v>
      </c>
      <c r="H1963" t="s">
        <v>19</v>
      </c>
      <c r="I1963" s="1">
        <v>46043</v>
      </c>
      <c r="J1963" s="1">
        <v>46043</v>
      </c>
      <c r="K1963" s="1">
        <v>46043</v>
      </c>
      <c r="L1963">
        <v>34</v>
      </c>
      <c r="M1963">
        <v>0.05</v>
      </c>
      <c r="N1963">
        <v>0.05</v>
      </c>
      <c r="O1963">
        <v>0</v>
      </c>
      <c r="P1963">
        <v>0</v>
      </c>
      <c r="Q1963" t="s">
        <v>108</v>
      </c>
    </row>
    <row r="1964" spans="1:17">
      <c r="A1964" t="s">
        <v>93</v>
      </c>
      <c r="B1964" t="s">
        <v>106</v>
      </c>
      <c r="C1964" t="s">
        <v>56</v>
      </c>
      <c r="D1964" t="s">
        <v>1747</v>
      </c>
      <c r="E1964">
        <v>22</v>
      </c>
      <c r="F1964" t="str">
        <f>VLOOKUP(E1964,[1]LOJA!$A:$B,2,0)</f>
        <v>GUARÁ</v>
      </c>
      <c r="G1964" t="s">
        <v>19</v>
      </c>
      <c r="H1964" t="s">
        <v>19</v>
      </c>
      <c r="I1964" s="1">
        <v>46043</v>
      </c>
      <c r="J1964" s="1">
        <v>46043</v>
      </c>
      <c r="K1964" s="1">
        <v>46043</v>
      </c>
      <c r="L1964">
        <v>34</v>
      </c>
      <c r="M1964">
        <v>0.08</v>
      </c>
      <c r="N1964">
        <v>0.08</v>
      </c>
      <c r="O1964">
        <v>0</v>
      </c>
      <c r="P1964">
        <v>0</v>
      </c>
      <c r="Q1964" t="s">
        <v>108</v>
      </c>
    </row>
    <row r="1965" spans="1:17">
      <c r="A1965" t="s">
        <v>93</v>
      </c>
      <c r="B1965" t="s">
        <v>106</v>
      </c>
      <c r="C1965" t="s">
        <v>56</v>
      </c>
      <c r="D1965" t="s">
        <v>1748</v>
      </c>
      <c r="E1965">
        <v>22</v>
      </c>
      <c r="F1965" t="str">
        <f>VLOOKUP(E1965,[1]LOJA!$A:$B,2,0)</f>
        <v>GUARÁ</v>
      </c>
      <c r="G1965" t="s">
        <v>19</v>
      </c>
      <c r="H1965" t="s">
        <v>19</v>
      </c>
      <c r="I1965" s="1">
        <v>46043</v>
      </c>
      <c r="J1965" s="1">
        <v>46043</v>
      </c>
      <c r="K1965" s="1">
        <v>46043</v>
      </c>
      <c r="L1965">
        <v>34</v>
      </c>
      <c r="M1965">
        <v>0.49</v>
      </c>
      <c r="N1965">
        <v>0.49</v>
      </c>
      <c r="O1965">
        <v>0</v>
      </c>
      <c r="P1965">
        <v>0</v>
      </c>
      <c r="Q1965" t="s">
        <v>108</v>
      </c>
    </row>
    <row r="1966" spans="1:17">
      <c r="A1966" t="s">
        <v>93</v>
      </c>
      <c r="B1966" t="s">
        <v>106</v>
      </c>
      <c r="C1966" t="s">
        <v>56</v>
      </c>
      <c r="D1966" t="s">
        <v>1749</v>
      </c>
      <c r="E1966">
        <v>22</v>
      </c>
      <c r="F1966" t="str">
        <f>VLOOKUP(E1966,[1]LOJA!$A:$B,2,0)</f>
        <v>GUARÁ</v>
      </c>
      <c r="G1966" t="s">
        <v>19</v>
      </c>
      <c r="H1966" t="s">
        <v>19</v>
      </c>
      <c r="I1966" s="1">
        <v>46043</v>
      </c>
      <c r="J1966" s="1">
        <v>46043</v>
      </c>
      <c r="K1966" s="1">
        <v>46043</v>
      </c>
      <c r="L1966">
        <v>34</v>
      </c>
      <c r="M1966">
        <v>0.93</v>
      </c>
      <c r="N1966">
        <v>0.93</v>
      </c>
      <c r="O1966">
        <v>0</v>
      </c>
      <c r="P1966">
        <v>0</v>
      </c>
      <c r="Q1966" t="s">
        <v>108</v>
      </c>
    </row>
    <row r="1967" spans="1:17">
      <c r="A1967" t="s">
        <v>93</v>
      </c>
      <c r="B1967" t="s">
        <v>106</v>
      </c>
      <c r="C1967" t="s">
        <v>56</v>
      </c>
      <c r="D1967" t="s">
        <v>1750</v>
      </c>
      <c r="E1967">
        <v>22</v>
      </c>
      <c r="F1967" t="str">
        <f>VLOOKUP(E1967,[1]LOJA!$A:$B,2,0)</f>
        <v>GUARÁ</v>
      </c>
      <c r="G1967" t="s">
        <v>19</v>
      </c>
      <c r="H1967" t="s">
        <v>19</v>
      </c>
      <c r="I1967" s="1">
        <v>46043</v>
      </c>
      <c r="J1967" s="1">
        <v>46043</v>
      </c>
      <c r="K1967" s="1">
        <v>46043</v>
      </c>
      <c r="L1967">
        <v>34</v>
      </c>
      <c r="M1967">
        <v>0.36</v>
      </c>
      <c r="N1967">
        <v>0.36</v>
      </c>
      <c r="O1967">
        <v>0</v>
      </c>
      <c r="P1967">
        <v>0</v>
      </c>
      <c r="Q1967" t="s">
        <v>108</v>
      </c>
    </row>
    <row r="1968" spans="1:17">
      <c r="A1968" t="s">
        <v>93</v>
      </c>
      <c r="B1968" t="s">
        <v>106</v>
      </c>
      <c r="C1968" t="s">
        <v>56</v>
      </c>
      <c r="D1968" t="s">
        <v>1751</v>
      </c>
      <c r="E1968">
        <v>22</v>
      </c>
      <c r="F1968" t="str">
        <f>VLOOKUP(E1968,[1]LOJA!$A:$B,2,0)</f>
        <v>GUARÁ</v>
      </c>
      <c r="G1968" t="s">
        <v>19</v>
      </c>
      <c r="H1968" t="s">
        <v>19</v>
      </c>
      <c r="I1968" s="1">
        <v>46043</v>
      </c>
      <c r="J1968" s="1">
        <v>46043</v>
      </c>
      <c r="K1968" s="1">
        <v>46043</v>
      </c>
      <c r="L1968">
        <v>34</v>
      </c>
      <c r="M1968">
        <v>0.11</v>
      </c>
      <c r="N1968">
        <v>0.11</v>
      </c>
      <c r="O1968">
        <v>0</v>
      </c>
      <c r="P1968">
        <v>0</v>
      </c>
      <c r="Q1968" t="s">
        <v>108</v>
      </c>
    </row>
    <row r="1969" spans="1:17">
      <c r="A1969" t="s">
        <v>93</v>
      </c>
      <c r="B1969" t="s">
        <v>106</v>
      </c>
      <c r="C1969" t="s">
        <v>56</v>
      </c>
      <c r="D1969" t="s">
        <v>1752</v>
      </c>
      <c r="E1969">
        <v>22</v>
      </c>
      <c r="F1969" t="str">
        <f>VLOOKUP(E1969,[1]LOJA!$A:$B,2,0)</f>
        <v>GUARÁ</v>
      </c>
      <c r="G1969" t="s">
        <v>19</v>
      </c>
      <c r="H1969" t="s">
        <v>19</v>
      </c>
      <c r="I1969" s="1">
        <v>46043</v>
      </c>
      <c r="J1969" s="1">
        <v>46043</v>
      </c>
      <c r="K1969" s="1">
        <v>46043</v>
      </c>
      <c r="L1969">
        <v>34</v>
      </c>
      <c r="M1969">
        <v>1.17</v>
      </c>
      <c r="N1969">
        <v>1.17</v>
      </c>
      <c r="O1969">
        <v>0</v>
      </c>
      <c r="P1969">
        <v>0</v>
      </c>
      <c r="Q1969" t="s">
        <v>108</v>
      </c>
    </row>
    <row r="1970" spans="1:17">
      <c r="A1970" t="s">
        <v>93</v>
      </c>
      <c r="B1970" t="s">
        <v>106</v>
      </c>
      <c r="C1970" t="s">
        <v>56</v>
      </c>
      <c r="D1970" t="s">
        <v>1753</v>
      </c>
      <c r="E1970">
        <v>22</v>
      </c>
      <c r="F1970" t="str">
        <f>VLOOKUP(E1970,[1]LOJA!$A:$B,2,0)</f>
        <v>GUARÁ</v>
      </c>
      <c r="G1970" t="s">
        <v>19</v>
      </c>
      <c r="H1970" t="s">
        <v>19</v>
      </c>
      <c r="I1970" s="1">
        <v>46043</v>
      </c>
      <c r="J1970" s="1">
        <v>46043</v>
      </c>
      <c r="K1970" s="1">
        <v>46043</v>
      </c>
      <c r="L1970">
        <v>34</v>
      </c>
      <c r="M1970">
        <v>1.47</v>
      </c>
      <c r="N1970">
        <v>1.47</v>
      </c>
      <c r="O1970">
        <v>0</v>
      </c>
      <c r="P1970">
        <v>0</v>
      </c>
      <c r="Q1970" t="s">
        <v>108</v>
      </c>
    </row>
    <row r="1971" spans="1:17">
      <c r="A1971" t="s">
        <v>93</v>
      </c>
      <c r="B1971" t="s">
        <v>106</v>
      </c>
      <c r="C1971" t="s">
        <v>56</v>
      </c>
      <c r="D1971" t="s">
        <v>1754</v>
      </c>
      <c r="E1971">
        <v>22</v>
      </c>
      <c r="F1971" t="str">
        <f>VLOOKUP(E1971,[1]LOJA!$A:$B,2,0)</f>
        <v>GUARÁ</v>
      </c>
      <c r="G1971" t="s">
        <v>19</v>
      </c>
      <c r="H1971" t="s">
        <v>19</v>
      </c>
      <c r="I1971" s="1">
        <v>46044</v>
      </c>
      <c r="J1971" s="1">
        <v>46044</v>
      </c>
      <c r="K1971" s="1">
        <v>46044</v>
      </c>
      <c r="L1971">
        <v>34</v>
      </c>
      <c r="M1971">
        <v>2.19</v>
      </c>
      <c r="N1971">
        <v>2.19</v>
      </c>
      <c r="O1971">
        <v>0</v>
      </c>
      <c r="P1971">
        <v>0</v>
      </c>
      <c r="Q1971" t="s">
        <v>108</v>
      </c>
    </row>
    <row r="1972" spans="1:17">
      <c r="A1972" t="s">
        <v>93</v>
      </c>
      <c r="B1972" t="s">
        <v>106</v>
      </c>
      <c r="C1972" t="s">
        <v>56</v>
      </c>
      <c r="D1972" t="s">
        <v>1755</v>
      </c>
      <c r="E1972">
        <v>22</v>
      </c>
      <c r="F1972" t="str">
        <f>VLOOKUP(E1972,[1]LOJA!$A:$B,2,0)</f>
        <v>GUARÁ</v>
      </c>
      <c r="G1972" t="s">
        <v>19</v>
      </c>
      <c r="H1972" t="s">
        <v>19</v>
      </c>
      <c r="I1972" s="1">
        <v>46044</v>
      </c>
      <c r="J1972" s="1">
        <v>46044</v>
      </c>
      <c r="K1972" s="1">
        <v>46044</v>
      </c>
      <c r="L1972">
        <v>34</v>
      </c>
      <c r="M1972">
        <v>2.92</v>
      </c>
      <c r="N1972">
        <v>2.92</v>
      </c>
      <c r="O1972">
        <v>0</v>
      </c>
      <c r="P1972">
        <v>0</v>
      </c>
      <c r="Q1972" t="s">
        <v>108</v>
      </c>
    </row>
    <row r="1973" spans="1:17">
      <c r="A1973" t="s">
        <v>93</v>
      </c>
      <c r="B1973" t="s">
        <v>106</v>
      </c>
      <c r="C1973" t="s">
        <v>56</v>
      </c>
      <c r="D1973" t="s">
        <v>1756</v>
      </c>
      <c r="E1973">
        <v>22</v>
      </c>
      <c r="F1973" t="str">
        <f>VLOOKUP(E1973,[1]LOJA!$A:$B,2,0)</f>
        <v>GUARÁ</v>
      </c>
      <c r="G1973" t="s">
        <v>19</v>
      </c>
      <c r="H1973" t="s">
        <v>19</v>
      </c>
      <c r="I1973" s="1">
        <v>46044</v>
      </c>
      <c r="J1973" s="1">
        <v>46044</v>
      </c>
      <c r="K1973" s="1">
        <v>46044</v>
      </c>
      <c r="L1973">
        <v>34</v>
      </c>
      <c r="M1973">
        <v>6.01</v>
      </c>
      <c r="N1973">
        <v>6.01</v>
      </c>
      <c r="O1973">
        <v>0</v>
      </c>
      <c r="P1973">
        <v>0</v>
      </c>
      <c r="Q1973" t="s">
        <v>108</v>
      </c>
    </row>
    <row r="1974" spans="1:17">
      <c r="A1974" t="s">
        <v>93</v>
      </c>
      <c r="B1974" t="s">
        <v>106</v>
      </c>
      <c r="C1974" t="s">
        <v>56</v>
      </c>
      <c r="D1974" t="s">
        <v>1757</v>
      </c>
      <c r="E1974">
        <v>22</v>
      </c>
      <c r="F1974" t="str">
        <f>VLOOKUP(E1974,[1]LOJA!$A:$B,2,0)</f>
        <v>GUARÁ</v>
      </c>
      <c r="G1974" t="s">
        <v>19</v>
      </c>
      <c r="H1974" t="s">
        <v>19</v>
      </c>
      <c r="I1974" s="1">
        <v>46044</v>
      </c>
      <c r="J1974" s="1">
        <v>46044</v>
      </c>
      <c r="K1974" s="1">
        <v>46044</v>
      </c>
      <c r="L1974">
        <v>34</v>
      </c>
      <c r="M1974">
        <v>0.51</v>
      </c>
      <c r="N1974">
        <v>0.51</v>
      </c>
      <c r="O1974">
        <v>0</v>
      </c>
      <c r="P1974">
        <v>0</v>
      </c>
      <c r="Q1974" t="s">
        <v>108</v>
      </c>
    </row>
    <row r="1975" spans="1:17">
      <c r="A1975" t="s">
        <v>93</v>
      </c>
      <c r="B1975" t="s">
        <v>106</v>
      </c>
      <c r="C1975" t="s">
        <v>56</v>
      </c>
      <c r="D1975" t="s">
        <v>1758</v>
      </c>
      <c r="E1975">
        <v>22</v>
      </c>
      <c r="F1975" t="str">
        <f>VLOOKUP(E1975,[1]LOJA!$A:$B,2,0)</f>
        <v>GUARÁ</v>
      </c>
      <c r="G1975" t="s">
        <v>19</v>
      </c>
      <c r="H1975" t="s">
        <v>19</v>
      </c>
      <c r="I1975" s="1">
        <v>46044</v>
      </c>
      <c r="J1975" s="1">
        <v>46044</v>
      </c>
      <c r="K1975" s="1">
        <v>46044</v>
      </c>
      <c r="L1975">
        <v>34</v>
      </c>
      <c r="M1975">
        <v>2.59</v>
      </c>
      <c r="N1975">
        <v>2.59</v>
      </c>
      <c r="O1975">
        <v>0</v>
      </c>
      <c r="P1975">
        <v>0</v>
      </c>
      <c r="Q1975" t="s">
        <v>108</v>
      </c>
    </row>
    <row r="1976" spans="1:17">
      <c r="A1976" t="s">
        <v>93</v>
      </c>
      <c r="B1976" t="s">
        <v>106</v>
      </c>
      <c r="C1976" t="s">
        <v>56</v>
      </c>
      <c r="D1976" t="s">
        <v>1759</v>
      </c>
      <c r="E1976">
        <v>22</v>
      </c>
      <c r="F1976" t="str">
        <f>VLOOKUP(E1976,[1]LOJA!$A:$B,2,0)</f>
        <v>GUARÁ</v>
      </c>
      <c r="G1976" t="s">
        <v>19</v>
      </c>
      <c r="H1976" t="s">
        <v>19</v>
      </c>
      <c r="I1976" s="1">
        <v>46044</v>
      </c>
      <c r="J1976" s="1">
        <v>46044</v>
      </c>
      <c r="K1976" s="1">
        <v>46044</v>
      </c>
      <c r="L1976">
        <v>34</v>
      </c>
      <c r="M1976">
        <v>1.66</v>
      </c>
      <c r="N1976">
        <v>1.66</v>
      </c>
      <c r="O1976">
        <v>0</v>
      </c>
      <c r="P1976">
        <v>0</v>
      </c>
      <c r="Q1976" t="s">
        <v>108</v>
      </c>
    </row>
    <row r="1977" spans="1:17">
      <c r="A1977" t="s">
        <v>93</v>
      </c>
      <c r="B1977" t="s">
        <v>106</v>
      </c>
      <c r="C1977" t="s">
        <v>56</v>
      </c>
      <c r="D1977" t="s">
        <v>1760</v>
      </c>
      <c r="E1977">
        <v>22</v>
      </c>
      <c r="F1977" t="str">
        <f>VLOOKUP(E1977,[1]LOJA!$A:$B,2,0)</f>
        <v>GUARÁ</v>
      </c>
      <c r="G1977" t="s">
        <v>19</v>
      </c>
      <c r="H1977" t="s">
        <v>19</v>
      </c>
      <c r="I1977" s="1">
        <v>46044</v>
      </c>
      <c r="J1977" s="1">
        <v>46044</v>
      </c>
      <c r="K1977" s="1">
        <v>46044</v>
      </c>
      <c r="L1977">
        <v>34</v>
      </c>
      <c r="M1977">
        <v>0.3</v>
      </c>
      <c r="N1977">
        <v>0.3</v>
      </c>
      <c r="O1977">
        <v>0</v>
      </c>
      <c r="P1977">
        <v>0</v>
      </c>
      <c r="Q1977" t="s">
        <v>108</v>
      </c>
    </row>
    <row r="1978" spans="1:17">
      <c r="A1978" t="s">
        <v>93</v>
      </c>
      <c r="B1978" t="s">
        <v>106</v>
      </c>
      <c r="C1978" t="s">
        <v>56</v>
      </c>
      <c r="D1978" t="s">
        <v>1761</v>
      </c>
      <c r="E1978">
        <v>22</v>
      </c>
      <c r="F1978" t="str">
        <f>VLOOKUP(E1978,[1]LOJA!$A:$B,2,0)</f>
        <v>GUARÁ</v>
      </c>
      <c r="G1978" t="s">
        <v>19</v>
      </c>
      <c r="H1978" t="s">
        <v>19</v>
      </c>
      <c r="I1978" s="1">
        <v>46044</v>
      </c>
      <c r="J1978" s="1">
        <v>46044</v>
      </c>
      <c r="K1978" s="1">
        <v>46044</v>
      </c>
      <c r="L1978">
        <v>34</v>
      </c>
      <c r="M1978">
        <v>0.11</v>
      </c>
      <c r="N1978">
        <v>0.11</v>
      </c>
      <c r="O1978">
        <v>0</v>
      </c>
      <c r="P1978">
        <v>0</v>
      </c>
      <c r="Q1978" t="s">
        <v>108</v>
      </c>
    </row>
    <row r="1979" spans="1:17">
      <c r="A1979" t="s">
        <v>93</v>
      </c>
      <c r="B1979" t="s">
        <v>106</v>
      </c>
      <c r="C1979" t="s">
        <v>56</v>
      </c>
      <c r="D1979" t="s">
        <v>1762</v>
      </c>
      <c r="E1979">
        <v>22</v>
      </c>
      <c r="F1979" t="str">
        <f>VLOOKUP(E1979,[1]LOJA!$A:$B,2,0)</f>
        <v>GUARÁ</v>
      </c>
      <c r="G1979" t="s">
        <v>19</v>
      </c>
      <c r="H1979" t="s">
        <v>19</v>
      </c>
      <c r="I1979" s="1">
        <v>46044</v>
      </c>
      <c r="J1979" s="1">
        <v>46044</v>
      </c>
      <c r="K1979" s="1">
        <v>46044</v>
      </c>
      <c r="L1979">
        <v>34</v>
      </c>
      <c r="M1979">
        <v>1.49</v>
      </c>
      <c r="N1979">
        <v>1.49</v>
      </c>
      <c r="O1979">
        <v>0</v>
      </c>
      <c r="P1979">
        <v>0</v>
      </c>
      <c r="Q1979" t="s">
        <v>108</v>
      </c>
    </row>
    <row r="1980" spans="1:17">
      <c r="A1980" t="s">
        <v>93</v>
      </c>
      <c r="B1980" t="s">
        <v>106</v>
      </c>
      <c r="C1980" t="s">
        <v>56</v>
      </c>
      <c r="D1980" t="s">
        <v>1763</v>
      </c>
      <c r="E1980">
        <v>22</v>
      </c>
      <c r="F1980" t="str">
        <f>VLOOKUP(E1980,[1]LOJA!$A:$B,2,0)</f>
        <v>GUARÁ</v>
      </c>
      <c r="G1980" t="s">
        <v>19</v>
      </c>
      <c r="H1980" t="s">
        <v>19</v>
      </c>
      <c r="I1980" s="1">
        <v>46044</v>
      </c>
      <c r="J1980" s="1">
        <v>46044</v>
      </c>
      <c r="K1980" s="1">
        <v>46044</v>
      </c>
      <c r="L1980">
        <v>34</v>
      </c>
      <c r="M1980">
        <v>1.56</v>
      </c>
      <c r="N1980">
        <v>1.56</v>
      </c>
      <c r="O1980">
        <v>0</v>
      </c>
      <c r="P1980">
        <v>0</v>
      </c>
      <c r="Q1980" t="s">
        <v>108</v>
      </c>
    </row>
    <row r="1981" spans="1:17">
      <c r="A1981" t="s">
        <v>93</v>
      </c>
      <c r="B1981" t="s">
        <v>106</v>
      </c>
      <c r="C1981" t="s">
        <v>56</v>
      </c>
      <c r="D1981" t="s">
        <v>1764</v>
      </c>
      <c r="E1981">
        <v>22</v>
      </c>
      <c r="F1981" t="str">
        <f>VLOOKUP(E1981,[1]LOJA!$A:$B,2,0)</f>
        <v>GUARÁ</v>
      </c>
      <c r="G1981" t="s">
        <v>19</v>
      </c>
      <c r="H1981" t="s">
        <v>19</v>
      </c>
      <c r="I1981" s="1">
        <v>46044</v>
      </c>
      <c r="J1981" s="1">
        <v>46044</v>
      </c>
      <c r="K1981" s="1">
        <v>46044</v>
      </c>
      <c r="L1981">
        <v>34</v>
      </c>
      <c r="M1981">
        <v>1.22</v>
      </c>
      <c r="N1981">
        <v>1.22</v>
      </c>
      <c r="O1981">
        <v>0</v>
      </c>
      <c r="P1981">
        <v>0</v>
      </c>
      <c r="Q1981" t="s">
        <v>108</v>
      </c>
    </row>
    <row r="1982" spans="1:17">
      <c r="A1982" t="s">
        <v>93</v>
      </c>
      <c r="B1982" t="s">
        <v>106</v>
      </c>
      <c r="C1982" t="s">
        <v>56</v>
      </c>
      <c r="D1982" t="s">
        <v>1765</v>
      </c>
      <c r="E1982">
        <v>22</v>
      </c>
      <c r="F1982" t="str">
        <f>VLOOKUP(E1982,[1]LOJA!$A:$B,2,0)</f>
        <v>GUARÁ</v>
      </c>
      <c r="G1982" t="s">
        <v>19</v>
      </c>
      <c r="H1982" t="s">
        <v>19</v>
      </c>
      <c r="I1982" s="1">
        <v>46044</v>
      </c>
      <c r="J1982" s="1">
        <v>46044</v>
      </c>
      <c r="K1982" s="1">
        <v>46044</v>
      </c>
      <c r="L1982">
        <v>34</v>
      </c>
      <c r="M1982">
        <v>0.3</v>
      </c>
      <c r="N1982">
        <v>0.3</v>
      </c>
      <c r="O1982">
        <v>0</v>
      </c>
      <c r="P1982">
        <v>0</v>
      </c>
      <c r="Q1982" t="s">
        <v>108</v>
      </c>
    </row>
    <row r="1983" spans="1:17">
      <c r="A1983" t="s">
        <v>93</v>
      </c>
      <c r="B1983" t="s">
        <v>106</v>
      </c>
      <c r="C1983" t="s">
        <v>56</v>
      </c>
      <c r="D1983" t="s">
        <v>1766</v>
      </c>
      <c r="E1983">
        <v>22</v>
      </c>
      <c r="F1983" t="str">
        <f>VLOOKUP(E1983,[1]LOJA!$A:$B,2,0)</f>
        <v>GUARÁ</v>
      </c>
      <c r="G1983" t="s">
        <v>19</v>
      </c>
      <c r="H1983" t="s">
        <v>19</v>
      </c>
      <c r="I1983" s="1">
        <v>46044</v>
      </c>
      <c r="J1983" s="1">
        <v>46044</v>
      </c>
      <c r="K1983" s="1">
        <v>46044</v>
      </c>
      <c r="L1983">
        <v>34</v>
      </c>
      <c r="M1983">
        <v>0.57999999999999996</v>
      </c>
      <c r="N1983">
        <v>0.57999999999999996</v>
      </c>
      <c r="O1983">
        <v>0</v>
      </c>
      <c r="P1983">
        <v>0</v>
      </c>
      <c r="Q1983" t="s">
        <v>108</v>
      </c>
    </row>
    <row r="1984" spans="1:17">
      <c r="A1984" t="s">
        <v>93</v>
      </c>
      <c r="B1984" t="s">
        <v>106</v>
      </c>
      <c r="C1984" t="s">
        <v>56</v>
      </c>
      <c r="D1984" t="s">
        <v>1767</v>
      </c>
      <c r="E1984">
        <v>22</v>
      </c>
      <c r="F1984" t="str">
        <f>VLOOKUP(E1984,[1]LOJA!$A:$B,2,0)</f>
        <v>GUARÁ</v>
      </c>
      <c r="G1984" t="s">
        <v>19</v>
      </c>
      <c r="H1984" t="s">
        <v>19</v>
      </c>
      <c r="I1984" s="1">
        <v>46044</v>
      </c>
      <c r="J1984" s="1">
        <v>46044</v>
      </c>
      <c r="K1984" s="1">
        <v>46044</v>
      </c>
      <c r="L1984">
        <v>34</v>
      </c>
      <c r="M1984">
        <v>0.16</v>
      </c>
      <c r="N1984">
        <v>0.16</v>
      </c>
      <c r="O1984">
        <v>0</v>
      </c>
      <c r="P1984">
        <v>0</v>
      </c>
      <c r="Q1984" t="s">
        <v>108</v>
      </c>
    </row>
    <row r="1985" spans="1:17">
      <c r="A1985" t="s">
        <v>93</v>
      </c>
      <c r="B1985" t="s">
        <v>106</v>
      </c>
      <c r="C1985" t="s">
        <v>56</v>
      </c>
      <c r="D1985" t="s">
        <v>1768</v>
      </c>
      <c r="E1985">
        <v>22</v>
      </c>
      <c r="F1985" t="str">
        <f>VLOOKUP(E1985,[1]LOJA!$A:$B,2,0)</f>
        <v>GUARÁ</v>
      </c>
      <c r="G1985" t="s">
        <v>19</v>
      </c>
      <c r="H1985" t="s">
        <v>19</v>
      </c>
      <c r="I1985" s="1">
        <v>46044</v>
      </c>
      <c r="J1985" s="1">
        <v>46044</v>
      </c>
      <c r="K1985" s="1">
        <v>46044</v>
      </c>
      <c r="L1985">
        <v>34</v>
      </c>
      <c r="M1985">
        <v>0.42</v>
      </c>
      <c r="N1985">
        <v>0.42</v>
      </c>
      <c r="O1985">
        <v>0</v>
      </c>
      <c r="P1985">
        <v>0</v>
      </c>
      <c r="Q1985" t="s">
        <v>108</v>
      </c>
    </row>
    <row r="1986" spans="1:17">
      <c r="A1986" t="s">
        <v>93</v>
      </c>
      <c r="B1986" t="s">
        <v>106</v>
      </c>
      <c r="C1986" t="s">
        <v>56</v>
      </c>
      <c r="D1986" t="s">
        <v>1769</v>
      </c>
      <c r="E1986">
        <v>22</v>
      </c>
      <c r="F1986" t="str">
        <f>VLOOKUP(E1986,[1]LOJA!$A:$B,2,0)</f>
        <v>GUARÁ</v>
      </c>
      <c r="G1986" t="s">
        <v>19</v>
      </c>
      <c r="H1986" t="s">
        <v>19</v>
      </c>
      <c r="I1986" s="1">
        <v>46044</v>
      </c>
      <c r="J1986" s="1">
        <v>46044</v>
      </c>
      <c r="K1986" s="1">
        <v>46044</v>
      </c>
      <c r="L1986">
        <v>34</v>
      </c>
      <c r="M1986">
        <v>0.26</v>
      </c>
      <c r="N1986">
        <v>0.26</v>
      </c>
      <c r="O1986">
        <v>0</v>
      </c>
      <c r="P1986">
        <v>0</v>
      </c>
      <c r="Q1986" t="s">
        <v>108</v>
      </c>
    </row>
    <row r="1987" spans="1:17">
      <c r="A1987" t="s">
        <v>93</v>
      </c>
      <c r="B1987" t="s">
        <v>106</v>
      </c>
      <c r="C1987" t="s">
        <v>56</v>
      </c>
      <c r="D1987" t="s">
        <v>1770</v>
      </c>
      <c r="E1987">
        <v>22</v>
      </c>
      <c r="F1987" t="str">
        <f>VLOOKUP(E1987,[1]LOJA!$A:$B,2,0)</f>
        <v>GUARÁ</v>
      </c>
      <c r="G1987" t="s">
        <v>19</v>
      </c>
      <c r="H1987" t="s">
        <v>19</v>
      </c>
      <c r="I1987" s="1">
        <v>46044</v>
      </c>
      <c r="J1987" s="1">
        <v>46044</v>
      </c>
      <c r="K1987" s="1">
        <v>46044</v>
      </c>
      <c r="L1987">
        <v>34</v>
      </c>
      <c r="M1987">
        <v>0.11</v>
      </c>
      <c r="N1987">
        <v>0.11</v>
      </c>
      <c r="O1987">
        <v>0</v>
      </c>
      <c r="P1987">
        <v>0</v>
      </c>
      <c r="Q1987" t="s">
        <v>108</v>
      </c>
    </row>
    <row r="1988" spans="1:17">
      <c r="A1988" t="s">
        <v>93</v>
      </c>
      <c r="B1988" t="s">
        <v>106</v>
      </c>
      <c r="C1988" t="s">
        <v>56</v>
      </c>
      <c r="D1988" t="s">
        <v>1771</v>
      </c>
      <c r="E1988">
        <v>22</v>
      </c>
      <c r="F1988" t="str">
        <f>VLOOKUP(E1988,[1]LOJA!$A:$B,2,0)</f>
        <v>GUARÁ</v>
      </c>
      <c r="G1988" t="s">
        <v>19</v>
      </c>
      <c r="H1988" t="s">
        <v>19</v>
      </c>
      <c r="I1988" s="1">
        <v>46044</v>
      </c>
      <c r="J1988" s="1">
        <v>46044</v>
      </c>
      <c r="K1988" s="1">
        <v>46044</v>
      </c>
      <c r="L1988">
        <v>34</v>
      </c>
      <c r="M1988">
        <v>0.69</v>
      </c>
      <c r="N1988">
        <v>0.69</v>
      </c>
      <c r="O1988">
        <v>0</v>
      </c>
      <c r="P1988">
        <v>0</v>
      </c>
      <c r="Q1988" t="s">
        <v>108</v>
      </c>
    </row>
    <row r="1989" spans="1:17">
      <c r="A1989" t="s">
        <v>93</v>
      </c>
      <c r="B1989" t="s">
        <v>106</v>
      </c>
      <c r="C1989" t="s">
        <v>56</v>
      </c>
      <c r="D1989" t="s">
        <v>1772</v>
      </c>
      <c r="E1989">
        <v>22</v>
      </c>
      <c r="F1989" t="str">
        <f>VLOOKUP(E1989,[1]LOJA!$A:$B,2,0)</f>
        <v>GUARÁ</v>
      </c>
      <c r="G1989" t="s">
        <v>19</v>
      </c>
      <c r="H1989" t="s">
        <v>19</v>
      </c>
      <c r="I1989" s="1">
        <v>46044</v>
      </c>
      <c r="J1989" s="1">
        <v>46044</v>
      </c>
      <c r="K1989" s="1">
        <v>46044</v>
      </c>
      <c r="L1989">
        <v>34</v>
      </c>
      <c r="M1989">
        <v>0.22</v>
      </c>
      <c r="N1989">
        <v>0.22</v>
      </c>
      <c r="O1989">
        <v>0</v>
      </c>
      <c r="P1989">
        <v>0</v>
      </c>
      <c r="Q1989" t="s">
        <v>108</v>
      </c>
    </row>
    <row r="1990" spans="1:17">
      <c r="A1990" t="s">
        <v>93</v>
      </c>
      <c r="B1990" t="s">
        <v>106</v>
      </c>
      <c r="C1990" t="s">
        <v>56</v>
      </c>
      <c r="D1990" t="s">
        <v>1773</v>
      </c>
      <c r="E1990">
        <v>22</v>
      </c>
      <c r="F1990" t="str">
        <f>VLOOKUP(E1990,[1]LOJA!$A:$B,2,0)</f>
        <v>GUARÁ</v>
      </c>
      <c r="G1990" t="s">
        <v>19</v>
      </c>
      <c r="H1990" t="s">
        <v>19</v>
      </c>
      <c r="I1990" s="1">
        <v>46044</v>
      </c>
      <c r="J1990" s="1">
        <v>46044</v>
      </c>
      <c r="K1990" s="1">
        <v>46044</v>
      </c>
      <c r="L1990">
        <v>34</v>
      </c>
      <c r="M1990">
        <v>0.5</v>
      </c>
      <c r="N1990">
        <v>0.5</v>
      </c>
      <c r="O1990">
        <v>0</v>
      </c>
      <c r="P1990">
        <v>0</v>
      </c>
      <c r="Q1990" t="s">
        <v>108</v>
      </c>
    </row>
    <row r="1991" spans="1:17">
      <c r="A1991" t="s">
        <v>93</v>
      </c>
      <c r="B1991" t="s">
        <v>106</v>
      </c>
      <c r="C1991" t="s">
        <v>56</v>
      </c>
      <c r="D1991" t="s">
        <v>1774</v>
      </c>
      <c r="E1991">
        <v>22</v>
      </c>
      <c r="F1991" t="str">
        <f>VLOOKUP(E1991,[1]LOJA!$A:$B,2,0)</f>
        <v>GUARÁ</v>
      </c>
      <c r="G1991" t="s">
        <v>19</v>
      </c>
      <c r="H1991" t="s">
        <v>19</v>
      </c>
      <c r="I1991" s="1">
        <v>46044</v>
      </c>
      <c r="J1991" s="1">
        <v>46044</v>
      </c>
      <c r="K1991" s="1">
        <v>46044</v>
      </c>
      <c r="L1991">
        <v>34</v>
      </c>
      <c r="M1991">
        <v>0.38</v>
      </c>
      <c r="N1991">
        <v>0.38</v>
      </c>
      <c r="O1991">
        <v>0</v>
      </c>
      <c r="P1991">
        <v>0</v>
      </c>
      <c r="Q1991" t="s">
        <v>108</v>
      </c>
    </row>
    <row r="1992" spans="1:17">
      <c r="A1992" t="s">
        <v>93</v>
      </c>
      <c r="B1992" t="s">
        <v>106</v>
      </c>
      <c r="C1992" t="s">
        <v>56</v>
      </c>
      <c r="D1992" t="s">
        <v>1775</v>
      </c>
      <c r="E1992">
        <v>22</v>
      </c>
      <c r="F1992" t="str">
        <f>VLOOKUP(E1992,[1]LOJA!$A:$B,2,0)</f>
        <v>GUARÁ</v>
      </c>
      <c r="G1992" t="s">
        <v>19</v>
      </c>
      <c r="H1992" t="s">
        <v>19</v>
      </c>
      <c r="I1992" s="1">
        <v>46044</v>
      </c>
      <c r="J1992" s="1">
        <v>46044</v>
      </c>
      <c r="K1992" s="1">
        <v>46044</v>
      </c>
      <c r="L1992">
        <v>34</v>
      </c>
      <c r="M1992">
        <v>0.19</v>
      </c>
      <c r="N1992">
        <v>0.19</v>
      </c>
      <c r="O1992">
        <v>0</v>
      </c>
      <c r="P1992">
        <v>0</v>
      </c>
      <c r="Q1992" t="s">
        <v>108</v>
      </c>
    </row>
    <row r="1993" spans="1:17">
      <c r="A1993" t="s">
        <v>93</v>
      </c>
      <c r="B1993" t="s">
        <v>106</v>
      </c>
      <c r="C1993" t="s">
        <v>56</v>
      </c>
      <c r="D1993" t="s">
        <v>1776</v>
      </c>
      <c r="E1993">
        <v>22</v>
      </c>
      <c r="F1993" t="str">
        <f>VLOOKUP(E1993,[1]LOJA!$A:$B,2,0)</f>
        <v>GUARÁ</v>
      </c>
      <c r="G1993" t="s">
        <v>19</v>
      </c>
      <c r="H1993" t="s">
        <v>19</v>
      </c>
      <c r="I1993" s="1">
        <v>46044</v>
      </c>
      <c r="J1993" s="1">
        <v>46044</v>
      </c>
      <c r="K1993" s="1">
        <v>46044</v>
      </c>
      <c r="L1993">
        <v>34</v>
      </c>
      <c r="M1993">
        <v>0.16</v>
      </c>
      <c r="N1993">
        <v>0.16</v>
      </c>
      <c r="O1993">
        <v>0</v>
      </c>
      <c r="P1993">
        <v>0</v>
      </c>
      <c r="Q1993" t="s">
        <v>108</v>
      </c>
    </row>
    <row r="1994" spans="1:17">
      <c r="A1994" t="s">
        <v>93</v>
      </c>
      <c r="B1994" t="s">
        <v>106</v>
      </c>
      <c r="C1994" t="s">
        <v>56</v>
      </c>
      <c r="D1994" t="s">
        <v>1777</v>
      </c>
      <c r="E1994">
        <v>22</v>
      </c>
      <c r="F1994" t="str">
        <f>VLOOKUP(E1994,[1]LOJA!$A:$B,2,0)</f>
        <v>GUARÁ</v>
      </c>
      <c r="G1994" t="s">
        <v>19</v>
      </c>
      <c r="H1994" t="s">
        <v>19</v>
      </c>
      <c r="I1994" s="1">
        <v>46044</v>
      </c>
      <c r="J1994" s="1">
        <v>46044</v>
      </c>
      <c r="K1994" s="1">
        <v>46044</v>
      </c>
      <c r="L1994">
        <v>34</v>
      </c>
      <c r="M1994">
        <v>0.67</v>
      </c>
      <c r="N1994">
        <v>0.67</v>
      </c>
      <c r="O1994">
        <v>0</v>
      </c>
      <c r="P1994">
        <v>0</v>
      </c>
      <c r="Q1994" t="s">
        <v>108</v>
      </c>
    </row>
    <row r="1995" spans="1:17">
      <c r="A1995" t="s">
        <v>93</v>
      </c>
      <c r="B1995" t="s">
        <v>106</v>
      </c>
      <c r="C1995" t="s">
        <v>56</v>
      </c>
      <c r="D1995" t="s">
        <v>1778</v>
      </c>
      <c r="E1995">
        <v>22</v>
      </c>
      <c r="F1995" t="str">
        <f>VLOOKUP(E1995,[1]LOJA!$A:$B,2,0)</f>
        <v>GUARÁ</v>
      </c>
      <c r="G1995" t="s">
        <v>19</v>
      </c>
      <c r="H1995" t="s">
        <v>19</v>
      </c>
      <c r="I1995" s="1">
        <v>46045</v>
      </c>
      <c r="J1995" s="1">
        <v>46045</v>
      </c>
      <c r="K1995" s="1">
        <v>46045</v>
      </c>
      <c r="L1995">
        <v>34</v>
      </c>
      <c r="M1995">
        <v>4.53</v>
      </c>
      <c r="N1995">
        <v>4.53</v>
      </c>
      <c r="O1995">
        <v>0</v>
      </c>
      <c r="P1995">
        <v>0</v>
      </c>
      <c r="Q1995" t="s">
        <v>108</v>
      </c>
    </row>
    <row r="1996" spans="1:17">
      <c r="A1996" t="s">
        <v>93</v>
      </c>
      <c r="B1996" t="s">
        <v>106</v>
      </c>
      <c r="C1996" t="s">
        <v>56</v>
      </c>
      <c r="D1996" t="s">
        <v>1779</v>
      </c>
      <c r="E1996">
        <v>22</v>
      </c>
      <c r="F1996" t="str">
        <f>VLOOKUP(E1996,[1]LOJA!$A:$B,2,0)</f>
        <v>GUARÁ</v>
      </c>
      <c r="G1996" t="s">
        <v>19</v>
      </c>
      <c r="H1996" t="s">
        <v>19</v>
      </c>
      <c r="I1996" s="1">
        <v>46045</v>
      </c>
      <c r="J1996" s="1">
        <v>46045</v>
      </c>
      <c r="K1996" s="1">
        <v>46045</v>
      </c>
      <c r="L1996">
        <v>34</v>
      </c>
      <c r="M1996">
        <v>2.58</v>
      </c>
      <c r="N1996">
        <v>2.58</v>
      </c>
      <c r="O1996">
        <v>0</v>
      </c>
      <c r="P1996">
        <v>0</v>
      </c>
      <c r="Q1996" t="s">
        <v>108</v>
      </c>
    </row>
    <row r="1997" spans="1:17">
      <c r="A1997" t="s">
        <v>93</v>
      </c>
      <c r="B1997" t="s">
        <v>106</v>
      </c>
      <c r="C1997" t="s">
        <v>56</v>
      </c>
      <c r="D1997" t="s">
        <v>1780</v>
      </c>
      <c r="E1997">
        <v>22</v>
      </c>
      <c r="F1997" t="str">
        <f>VLOOKUP(E1997,[1]LOJA!$A:$B,2,0)</f>
        <v>GUARÁ</v>
      </c>
      <c r="G1997" t="s">
        <v>19</v>
      </c>
      <c r="H1997" t="s">
        <v>19</v>
      </c>
      <c r="I1997" s="1">
        <v>46045</v>
      </c>
      <c r="J1997" s="1">
        <v>46045</v>
      </c>
      <c r="K1997" s="1">
        <v>46045</v>
      </c>
      <c r="L1997">
        <v>34</v>
      </c>
      <c r="M1997">
        <v>0.74</v>
      </c>
      <c r="N1997">
        <v>0.74</v>
      </c>
      <c r="O1997">
        <v>0</v>
      </c>
      <c r="P1997">
        <v>0</v>
      </c>
      <c r="Q1997" t="s">
        <v>108</v>
      </c>
    </row>
    <row r="1998" spans="1:17">
      <c r="A1998" t="s">
        <v>93</v>
      </c>
      <c r="B1998" t="s">
        <v>106</v>
      </c>
      <c r="C1998" t="s">
        <v>56</v>
      </c>
      <c r="D1998" t="s">
        <v>1781</v>
      </c>
      <c r="E1998">
        <v>22</v>
      </c>
      <c r="F1998" t="str">
        <f>VLOOKUP(E1998,[1]LOJA!$A:$B,2,0)</f>
        <v>GUARÁ</v>
      </c>
      <c r="G1998" t="s">
        <v>19</v>
      </c>
      <c r="H1998" t="s">
        <v>19</v>
      </c>
      <c r="I1998" s="1">
        <v>46045</v>
      </c>
      <c r="J1998" s="1">
        <v>46045</v>
      </c>
      <c r="K1998" s="1">
        <v>46045</v>
      </c>
      <c r="L1998">
        <v>34</v>
      </c>
      <c r="M1998">
        <v>10.6</v>
      </c>
      <c r="N1998">
        <v>10.6</v>
      </c>
      <c r="O1998">
        <v>0</v>
      </c>
      <c r="P1998">
        <v>0</v>
      </c>
      <c r="Q1998" t="s">
        <v>108</v>
      </c>
    </row>
    <row r="1999" spans="1:17">
      <c r="A1999" t="s">
        <v>93</v>
      </c>
      <c r="B1999" t="s">
        <v>106</v>
      </c>
      <c r="C1999" t="s">
        <v>56</v>
      </c>
      <c r="D1999" t="s">
        <v>1782</v>
      </c>
      <c r="E1999">
        <v>22</v>
      </c>
      <c r="F1999" t="str">
        <f>VLOOKUP(E1999,[1]LOJA!$A:$B,2,0)</f>
        <v>GUARÁ</v>
      </c>
      <c r="G1999" t="s">
        <v>19</v>
      </c>
      <c r="H1999" t="s">
        <v>19</v>
      </c>
      <c r="I1999" s="1">
        <v>46045</v>
      </c>
      <c r="J1999" s="1">
        <v>46045</v>
      </c>
      <c r="K1999" s="1">
        <v>46045</v>
      </c>
      <c r="L1999">
        <v>34</v>
      </c>
      <c r="M1999">
        <v>3.66</v>
      </c>
      <c r="N1999">
        <v>3.66</v>
      </c>
      <c r="O1999">
        <v>0</v>
      </c>
      <c r="P1999">
        <v>0</v>
      </c>
      <c r="Q1999" t="s">
        <v>108</v>
      </c>
    </row>
    <row r="2000" spans="1:17">
      <c r="A2000" t="s">
        <v>93</v>
      </c>
      <c r="B2000" t="s">
        <v>106</v>
      </c>
      <c r="C2000" t="s">
        <v>56</v>
      </c>
      <c r="D2000" t="s">
        <v>1783</v>
      </c>
      <c r="E2000">
        <v>22</v>
      </c>
      <c r="F2000" t="str">
        <f>VLOOKUP(E2000,[1]LOJA!$A:$B,2,0)</f>
        <v>GUARÁ</v>
      </c>
      <c r="G2000" t="s">
        <v>19</v>
      </c>
      <c r="H2000" t="s">
        <v>19</v>
      </c>
      <c r="I2000" s="1">
        <v>46045</v>
      </c>
      <c r="J2000" s="1">
        <v>46045</v>
      </c>
      <c r="K2000" s="1">
        <v>46045</v>
      </c>
      <c r="L2000">
        <v>34</v>
      </c>
      <c r="M2000">
        <v>1.86</v>
      </c>
      <c r="N2000">
        <v>1.86</v>
      </c>
      <c r="O2000">
        <v>0</v>
      </c>
      <c r="P2000">
        <v>0</v>
      </c>
      <c r="Q2000" t="s">
        <v>108</v>
      </c>
    </row>
    <row r="2001" spans="1:17">
      <c r="A2001" t="s">
        <v>93</v>
      </c>
      <c r="B2001" t="s">
        <v>106</v>
      </c>
      <c r="C2001" t="s">
        <v>56</v>
      </c>
      <c r="D2001" t="s">
        <v>1784</v>
      </c>
      <c r="E2001">
        <v>22</v>
      </c>
      <c r="F2001" t="str">
        <f>VLOOKUP(E2001,[1]LOJA!$A:$B,2,0)</f>
        <v>GUARÁ</v>
      </c>
      <c r="G2001" t="s">
        <v>19</v>
      </c>
      <c r="H2001" t="s">
        <v>19</v>
      </c>
      <c r="I2001" s="1">
        <v>46045</v>
      </c>
      <c r="J2001" s="1">
        <v>46045</v>
      </c>
      <c r="K2001" s="1">
        <v>46045</v>
      </c>
      <c r="L2001">
        <v>34</v>
      </c>
      <c r="M2001">
        <v>0.6</v>
      </c>
      <c r="N2001">
        <v>0.6</v>
      </c>
      <c r="O2001">
        <v>0</v>
      </c>
      <c r="P2001">
        <v>0</v>
      </c>
      <c r="Q2001" t="s">
        <v>108</v>
      </c>
    </row>
    <row r="2002" spans="1:17">
      <c r="A2002" t="s">
        <v>93</v>
      </c>
      <c r="B2002" t="s">
        <v>106</v>
      </c>
      <c r="C2002" t="s">
        <v>56</v>
      </c>
      <c r="D2002" t="s">
        <v>1785</v>
      </c>
      <c r="E2002">
        <v>22</v>
      </c>
      <c r="F2002" t="str">
        <f>VLOOKUP(E2002,[1]LOJA!$A:$B,2,0)</f>
        <v>GUARÁ</v>
      </c>
      <c r="G2002" t="s">
        <v>19</v>
      </c>
      <c r="H2002" t="s">
        <v>19</v>
      </c>
      <c r="I2002" s="1">
        <v>46045</v>
      </c>
      <c r="J2002" s="1">
        <v>46045</v>
      </c>
      <c r="K2002" s="1">
        <v>46045</v>
      </c>
      <c r="L2002">
        <v>34</v>
      </c>
      <c r="M2002">
        <v>2.29</v>
      </c>
      <c r="N2002">
        <v>2.29</v>
      </c>
      <c r="O2002">
        <v>0</v>
      </c>
      <c r="P2002">
        <v>0</v>
      </c>
      <c r="Q2002" t="s">
        <v>108</v>
      </c>
    </row>
    <row r="2003" spans="1:17">
      <c r="A2003" t="s">
        <v>93</v>
      </c>
      <c r="B2003" t="s">
        <v>106</v>
      </c>
      <c r="C2003" t="s">
        <v>56</v>
      </c>
      <c r="D2003" t="s">
        <v>1786</v>
      </c>
      <c r="E2003">
        <v>22</v>
      </c>
      <c r="F2003" t="str">
        <f>VLOOKUP(E2003,[1]LOJA!$A:$B,2,0)</f>
        <v>GUARÁ</v>
      </c>
      <c r="G2003" t="s">
        <v>19</v>
      </c>
      <c r="H2003" t="s">
        <v>19</v>
      </c>
      <c r="I2003" s="1">
        <v>46045</v>
      </c>
      <c r="J2003" s="1">
        <v>46045</v>
      </c>
      <c r="K2003" s="1">
        <v>46045</v>
      </c>
      <c r="L2003">
        <v>34</v>
      </c>
      <c r="M2003">
        <v>0.94</v>
      </c>
      <c r="N2003">
        <v>0.94</v>
      </c>
      <c r="O2003">
        <v>0</v>
      </c>
      <c r="P2003">
        <v>0</v>
      </c>
      <c r="Q2003" t="s">
        <v>108</v>
      </c>
    </row>
    <row r="2004" spans="1:17">
      <c r="A2004" t="s">
        <v>93</v>
      </c>
      <c r="B2004" t="s">
        <v>106</v>
      </c>
      <c r="C2004" t="s">
        <v>56</v>
      </c>
      <c r="D2004" t="s">
        <v>1787</v>
      </c>
      <c r="E2004">
        <v>22</v>
      </c>
      <c r="F2004" t="str">
        <f>VLOOKUP(E2004,[1]LOJA!$A:$B,2,0)</f>
        <v>GUARÁ</v>
      </c>
      <c r="G2004" t="s">
        <v>19</v>
      </c>
      <c r="H2004" t="s">
        <v>19</v>
      </c>
      <c r="I2004" s="1">
        <v>46045</v>
      </c>
      <c r="J2004" s="1">
        <v>46045</v>
      </c>
      <c r="K2004" s="1">
        <v>46045</v>
      </c>
      <c r="L2004">
        <v>34</v>
      </c>
      <c r="M2004">
        <v>0.96</v>
      </c>
      <c r="N2004">
        <v>0.96</v>
      </c>
      <c r="O2004">
        <v>0</v>
      </c>
      <c r="P2004">
        <v>0</v>
      </c>
      <c r="Q2004" t="s">
        <v>108</v>
      </c>
    </row>
    <row r="2005" spans="1:17">
      <c r="A2005" t="s">
        <v>93</v>
      </c>
      <c r="B2005" t="s">
        <v>106</v>
      </c>
      <c r="C2005" t="s">
        <v>56</v>
      </c>
      <c r="D2005" t="s">
        <v>1788</v>
      </c>
      <c r="E2005">
        <v>22</v>
      </c>
      <c r="F2005" t="str">
        <f>VLOOKUP(E2005,[1]LOJA!$A:$B,2,0)</f>
        <v>GUARÁ</v>
      </c>
      <c r="G2005" t="s">
        <v>19</v>
      </c>
      <c r="H2005" t="s">
        <v>19</v>
      </c>
      <c r="I2005" s="1">
        <v>46045</v>
      </c>
      <c r="J2005" s="1">
        <v>46045</v>
      </c>
      <c r="K2005" s="1">
        <v>46045</v>
      </c>
      <c r="L2005">
        <v>34</v>
      </c>
      <c r="M2005">
        <v>0.37</v>
      </c>
      <c r="N2005">
        <v>0.37</v>
      </c>
      <c r="O2005">
        <v>0</v>
      </c>
      <c r="P2005">
        <v>0</v>
      </c>
      <c r="Q2005" t="s">
        <v>108</v>
      </c>
    </row>
    <row r="2006" spans="1:17">
      <c r="A2006" t="s">
        <v>93</v>
      </c>
      <c r="B2006" t="s">
        <v>106</v>
      </c>
      <c r="C2006" t="s">
        <v>56</v>
      </c>
      <c r="D2006" t="s">
        <v>1789</v>
      </c>
      <c r="E2006">
        <v>22</v>
      </c>
      <c r="F2006" t="str">
        <f>VLOOKUP(E2006,[1]LOJA!$A:$B,2,0)</f>
        <v>GUARÁ</v>
      </c>
      <c r="G2006" t="s">
        <v>19</v>
      </c>
      <c r="H2006" t="s">
        <v>19</v>
      </c>
      <c r="I2006" s="1">
        <v>46045</v>
      </c>
      <c r="J2006" s="1">
        <v>46045</v>
      </c>
      <c r="K2006" s="1">
        <v>46045</v>
      </c>
      <c r="L2006">
        <v>34</v>
      </c>
      <c r="M2006">
        <v>0.73</v>
      </c>
      <c r="N2006">
        <v>0.73</v>
      </c>
      <c r="O2006">
        <v>0</v>
      </c>
      <c r="P2006">
        <v>0</v>
      </c>
      <c r="Q2006" t="s">
        <v>108</v>
      </c>
    </row>
    <row r="2007" spans="1:17">
      <c r="A2007" t="s">
        <v>93</v>
      </c>
      <c r="B2007" t="s">
        <v>106</v>
      </c>
      <c r="C2007" t="s">
        <v>56</v>
      </c>
      <c r="D2007" t="s">
        <v>1790</v>
      </c>
      <c r="E2007">
        <v>22</v>
      </c>
      <c r="F2007" t="str">
        <f>VLOOKUP(E2007,[1]LOJA!$A:$B,2,0)</f>
        <v>GUARÁ</v>
      </c>
      <c r="G2007" t="s">
        <v>19</v>
      </c>
      <c r="H2007" t="s">
        <v>19</v>
      </c>
      <c r="I2007" s="1">
        <v>46045</v>
      </c>
      <c r="J2007" s="1">
        <v>46045</v>
      </c>
      <c r="K2007" s="1">
        <v>46045</v>
      </c>
      <c r="L2007">
        <v>34</v>
      </c>
      <c r="M2007">
        <v>1.07</v>
      </c>
      <c r="N2007">
        <v>1.07</v>
      </c>
      <c r="O2007">
        <v>0</v>
      </c>
      <c r="P2007">
        <v>0</v>
      </c>
      <c r="Q2007" t="s">
        <v>108</v>
      </c>
    </row>
    <row r="2008" spans="1:17">
      <c r="A2008" t="s">
        <v>93</v>
      </c>
      <c r="B2008" t="s">
        <v>106</v>
      </c>
      <c r="C2008" t="s">
        <v>56</v>
      </c>
      <c r="D2008" t="s">
        <v>1791</v>
      </c>
      <c r="E2008">
        <v>22</v>
      </c>
      <c r="F2008" t="str">
        <f>VLOOKUP(E2008,[1]LOJA!$A:$B,2,0)</f>
        <v>GUARÁ</v>
      </c>
      <c r="G2008" t="s">
        <v>19</v>
      </c>
      <c r="H2008" t="s">
        <v>19</v>
      </c>
      <c r="I2008" s="1">
        <v>46045</v>
      </c>
      <c r="J2008" s="1">
        <v>46045</v>
      </c>
      <c r="K2008" s="1">
        <v>46045</v>
      </c>
      <c r="L2008">
        <v>34</v>
      </c>
      <c r="M2008">
        <v>0.13</v>
      </c>
      <c r="N2008">
        <v>0.13</v>
      </c>
      <c r="O2008">
        <v>0</v>
      </c>
      <c r="P2008">
        <v>0</v>
      </c>
      <c r="Q2008" t="s">
        <v>108</v>
      </c>
    </row>
    <row r="2009" spans="1:17">
      <c r="A2009" t="s">
        <v>93</v>
      </c>
      <c r="B2009" t="s">
        <v>106</v>
      </c>
      <c r="C2009" t="s">
        <v>56</v>
      </c>
      <c r="D2009" t="s">
        <v>1792</v>
      </c>
      <c r="E2009">
        <v>22</v>
      </c>
      <c r="F2009" t="str">
        <f>VLOOKUP(E2009,[1]LOJA!$A:$B,2,0)</f>
        <v>GUARÁ</v>
      </c>
      <c r="G2009" t="s">
        <v>19</v>
      </c>
      <c r="H2009" t="s">
        <v>19</v>
      </c>
      <c r="I2009" s="1">
        <v>46045</v>
      </c>
      <c r="J2009" s="1">
        <v>46045</v>
      </c>
      <c r="K2009" s="1">
        <v>46045</v>
      </c>
      <c r="L2009">
        <v>34</v>
      </c>
      <c r="M2009">
        <v>0.39</v>
      </c>
      <c r="N2009">
        <v>0.39</v>
      </c>
      <c r="O2009">
        <v>0</v>
      </c>
      <c r="P2009">
        <v>0</v>
      </c>
      <c r="Q2009" t="s">
        <v>108</v>
      </c>
    </row>
    <row r="2010" spans="1:17">
      <c r="A2010" t="s">
        <v>93</v>
      </c>
      <c r="B2010" t="s">
        <v>106</v>
      </c>
      <c r="C2010" t="s">
        <v>56</v>
      </c>
      <c r="D2010" t="s">
        <v>1793</v>
      </c>
      <c r="E2010">
        <v>22</v>
      </c>
      <c r="F2010" t="str">
        <f>VLOOKUP(E2010,[1]LOJA!$A:$B,2,0)</f>
        <v>GUARÁ</v>
      </c>
      <c r="G2010" t="s">
        <v>19</v>
      </c>
      <c r="H2010" t="s">
        <v>19</v>
      </c>
      <c r="I2010" s="1">
        <v>46045</v>
      </c>
      <c r="J2010" s="1">
        <v>46045</v>
      </c>
      <c r="K2010" s="1">
        <v>46045</v>
      </c>
      <c r="L2010">
        <v>34</v>
      </c>
      <c r="M2010">
        <v>0.11</v>
      </c>
      <c r="N2010">
        <v>0.11</v>
      </c>
      <c r="O2010">
        <v>0</v>
      </c>
      <c r="P2010">
        <v>0</v>
      </c>
      <c r="Q2010" t="s">
        <v>108</v>
      </c>
    </row>
    <row r="2011" spans="1:17">
      <c r="A2011" t="s">
        <v>93</v>
      </c>
      <c r="B2011" t="s">
        <v>106</v>
      </c>
      <c r="C2011" t="s">
        <v>56</v>
      </c>
      <c r="D2011" t="s">
        <v>1794</v>
      </c>
      <c r="E2011">
        <v>22</v>
      </c>
      <c r="F2011" t="str">
        <f>VLOOKUP(E2011,[1]LOJA!$A:$B,2,0)</f>
        <v>GUARÁ</v>
      </c>
      <c r="G2011" t="s">
        <v>19</v>
      </c>
      <c r="H2011" t="s">
        <v>19</v>
      </c>
      <c r="I2011" s="1">
        <v>46045</v>
      </c>
      <c r="J2011" s="1">
        <v>46045</v>
      </c>
      <c r="K2011" s="1">
        <v>46045</v>
      </c>
      <c r="L2011">
        <v>34</v>
      </c>
      <c r="M2011">
        <v>0.1</v>
      </c>
      <c r="N2011">
        <v>0.1</v>
      </c>
      <c r="O2011">
        <v>0</v>
      </c>
      <c r="P2011">
        <v>0</v>
      </c>
      <c r="Q2011" t="s">
        <v>108</v>
      </c>
    </row>
    <row r="2012" spans="1:17">
      <c r="A2012" t="s">
        <v>93</v>
      </c>
      <c r="B2012" t="s">
        <v>106</v>
      </c>
      <c r="C2012" t="s">
        <v>56</v>
      </c>
      <c r="D2012" t="s">
        <v>1795</v>
      </c>
      <c r="E2012">
        <v>22</v>
      </c>
      <c r="F2012" t="str">
        <f>VLOOKUP(E2012,[1]LOJA!$A:$B,2,0)</f>
        <v>GUARÁ</v>
      </c>
      <c r="G2012" t="s">
        <v>19</v>
      </c>
      <c r="H2012" t="s">
        <v>19</v>
      </c>
      <c r="I2012" s="1">
        <v>46045</v>
      </c>
      <c r="J2012" s="1">
        <v>46045</v>
      </c>
      <c r="K2012" s="1">
        <v>46045</v>
      </c>
      <c r="L2012">
        <v>34</v>
      </c>
      <c r="M2012">
        <v>7.0000000000000007E-2</v>
      </c>
      <c r="N2012">
        <v>7.0000000000000007E-2</v>
      </c>
      <c r="O2012">
        <v>0</v>
      </c>
      <c r="P2012">
        <v>0</v>
      </c>
      <c r="Q2012" t="s">
        <v>108</v>
      </c>
    </row>
    <row r="2013" spans="1:17">
      <c r="A2013" t="s">
        <v>93</v>
      </c>
      <c r="B2013" t="s">
        <v>106</v>
      </c>
      <c r="C2013" t="s">
        <v>56</v>
      </c>
      <c r="D2013" t="s">
        <v>1796</v>
      </c>
      <c r="E2013">
        <v>22</v>
      </c>
      <c r="F2013" t="str">
        <f>VLOOKUP(E2013,[1]LOJA!$A:$B,2,0)</f>
        <v>GUARÁ</v>
      </c>
      <c r="G2013" t="s">
        <v>19</v>
      </c>
      <c r="H2013" t="s">
        <v>19</v>
      </c>
      <c r="I2013" s="1">
        <v>46045</v>
      </c>
      <c r="J2013" s="1">
        <v>46045</v>
      </c>
      <c r="K2013" s="1">
        <v>46045</v>
      </c>
      <c r="L2013">
        <v>34</v>
      </c>
      <c r="M2013">
        <v>0.24</v>
      </c>
      <c r="N2013">
        <v>0.24</v>
      </c>
      <c r="O2013">
        <v>0</v>
      </c>
      <c r="P2013">
        <v>0</v>
      </c>
      <c r="Q2013" t="s">
        <v>108</v>
      </c>
    </row>
    <row r="2014" spans="1:17">
      <c r="A2014" t="s">
        <v>93</v>
      </c>
      <c r="B2014" t="s">
        <v>106</v>
      </c>
      <c r="C2014" t="s">
        <v>56</v>
      </c>
      <c r="D2014" t="s">
        <v>1797</v>
      </c>
      <c r="E2014">
        <v>22</v>
      </c>
      <c r="F2014" t="str">
        <f>VLOOKUP(E2014,[1]LOJA!$A:$B,2,0)</f>
        <v>GUARÁ</v>
      </c>
      <c r="G2014" t="s">
        <v>19</v>
      </c>
      <c r="H2014" t="s">
        <v>19</v>
      </c>
      <c r="I2014" s="1">
        <v>46045</v>
      </c>
      <c r="J2014" s="1">
        <v>46045</v>
      </c>
      <c r="K2014" s="1">
        <v>46045</v>
      </c>
      <c r="L2014">
        <v>34</v>
      </c>
      <c r="M2014">
        <v>1.17</v>
      </c>
      <c r="N2014">
        <v>1.17</v>
      </c>
      <c r="O2014">
        <v>0</v>
      </c>
      <c r="P2014">
        <v>0</v>
      </c>
      <c r="Q2014" t="s">
        <v>108</v>
      </c>
    </row>
    <row r="2015" spans="1:17">
      <c r="A2015" t="s">
        <v>93</v>
      </c>
      <c r="B2015" t="s">
        <v>106</v>
      </c>
      <c r="C2015" t="s">
        <v>56</v>
      </c>
      <c r="D2015" t="s">
        <v>1798</v>
      </c>
      <c r="E2015">
        <v>22</v>
      </c>
      <c r="F2015" t="str">
        <f>VLOOKUP(E2015,[1]LOJA!$A:$B,2,0)</f>
        <v>GUARÁ</v>
      </c>
      <c r="G2015" t="s">
        <v>19</v>
      </c>
      <c r="H2015" t="s">
        <v>19</v>
      </c>
      <c r="I2015" s="1">
        <v>46045</v>
      </c>
      <c r="J2015" s="1">
        <v>46045</v>
      </c>
      <c r="K2015" s="1">
        <v>46045</v>
      </c>
      <c r="L2015">
        <v>34</v>
      </c>
      <c r="M2015">
        <v>1.17</v>
      </c>
      <c r="N2015">
        <v>1.17</v>
      </c>
      <c r="O2015">
        <v>0</v>
      </c>
      <c r="P2015">
        <v>0</v>
      </c>
      <c r="Q2015" t="s">
        <v>108</v>
      </c>
    </row>
    <row r="2016" spans="1:17">
      <c r="A2016" t="s">
        <v>93</v>
      </c>
      <c r="B2016" t="s">
        <v>106</v>
      </c>
      <c r="C2016" t="s">
        <v>56</v>
      </c>
      <c r="D2016" t="s">
        <v>1799</v>
      </c>
      <c r="E2016">
        <v>22</v>
      </c>
      <c r="F2016" t="str">
        <f>VLOOKUP(E2016,[1]LOJA!$A:$B,2,0)</f>
        <v>GUARÁ</v>
      </c>
      <c r="G2016" t="s">
        <v>19</v>
      </c>
      <c r="H2016" t="s">
        <v>19</v>
      </c>
      <c r="I2016" s="1">
        <v>46045</v>
      </c>
      <c r="J2016" s="1">
        <v>46045</v>
      </c>
      <c r="K2016" s="1">
        <v>46045</v>
      </c>
      <c r="L2016">
        <v>34</v>
      </c>
      <c r="M2016">
        <v>0.85</v>
      </c>
      <c r="N2016">
        <v>0.85</v>
      </c>
      <c r="O2016">
        <v>0</v>
      </c>
      <c r="P2016">
        <v>0</v>
      </c>
      <c r="Q2016" t="s">
        <v>108</v>
      </c>
    </row>
    <row r="2017" spans="1:17">
      <c r="A2017" t="s">
        <v>93</v>
      </c>
      <c r="B2017" t="s">
        <v>106</v>
      </c>
      <c r="C2017" t="s">
        <v>56</v>
      </c>
      <c r="D2017" t="s">
        <v>1800</v>
      </c>
      <c r="E2017">
        <v>22</v>
      </c>
      <c r="F2017" t="str">
        <f>VLOOKUP(E2017,[1]LOJA!$A:$B,2,0)</f>
        <v>GUARÁ</v>
      </c>
      <c r="G2017" t="s">
        <v>19</v>
      </c>
      <c r="H2017" t="s">
        <v>19</v>
      </c>
      <c r="I2017" s="1">
        <v>46045</v>
      </c>
      <c r="J2017" s="1">
        <v>46045</v>
      </c>
      <c r="K2017" s="1">
        <v>46045</v>
      </c>
      <c r="L2017">
        <v>34</v>
      </c>
      <c r="M2017">
        <v>0.11</v>
      </c>
      <c r="N2017">
        <v>0.11</v>
      </c>
      <c r="O2017">
        <v>0</v>
      </c>
      <c r="P2017">
        <v>0</v>
      </c>
      <c r="Q2017" t="s">
        <v>108</v>
      </c>
    </row>
    <row r="2018" spans="1:17">
      <c r="A2018" t="s">
        <v>93</v>
      </c>
      <c r="B2018" t="s">
        <v>106</v>
      </c>
      <c r="C2018" t="s">
        <v>56</v>
      </c>
      <c r="D2018" t="s">
        <v>1801</v>
      </c>
      <c r="E2018">
        <v>22</v>
      </c>
      <c r="F2018" t="str">
        <f>VLOOKUP(E2018,[1]LOJA!$A:$B,2,0)</f>
        <v>GUARÁ</v>
      </c>
      <c r="G2018" t="s">
        <v>19</v>
      </c>
      <c r="H2018" t="s">
        <v>19</v>
      </c>
      <c r="I2018" s="1">
        <v>46045</v>
      </c>
      <c r="J2018" s="1">
        <v>46045</v>
      </c>
      <c r="K2018" s="1">
        <v>46045</v>
      </c>
      <c r="L2018">
        <v>34</v>
      </c>
      <c r="M2018">
        <v>0.26</v>
      </c>
      <c r="N2018">
        <v>0.26</v>
      </c>
      <c r="O2018">
        <v>0</v>
      </c>
      <c r="P2018">
        <v>0</v>
      </c>
      <c r="Q2018" t="s">
        <v>108</v>
      </c>
    </row>
    <row r="2019" spans="1:17">
      <c r="A2019" t="s">
        <v>93</v>
      </c>
      <c r="B2019" t="s">
        <v>106</v>
      </c>
      <c r="C2019" t="s">
        <v>56</v>
      </c>
      <c r="D2019" t="s">
        <v>1802</v>
      </c>
      <c r="E2019">
        <v>22</v>
      </c>
      <c r="F2019" t="str">
        <f>VLOOKUP(E2019,[1]LOJA!$A:$B,2,0)</f>
        <v>GUARÁ</v>
      </c>
      <c r="G2019" t="s">
        <v>19</v>
      </c>
      <c r="H2019" t="s">
        <v>19</v>
      </c>
      <c r="I2019" s="1">
        <v>46049</v>
      </c>
      <c r="J2019" s="1">
        <v>46049</v>
      </c>
      <c r="K2019" s="1">
        <v>46049</v>
      </c>
      <c r="L2019">
        <v>34</v>
      </c>
      <c r="M2019">
        <v>6.57</v>
      </c>
      <c r="N2019">
        <v>6.57</v>
      </c>
      <c r="O2019">
        <v>0</v>
      </c>
      <c r="P2019">
        <v>0</v>
      </c>
      <c r="Q2019" t="s">
        <v>108</v>
      </c>
    </row>
    <row r="2020" spans="1:17">
      <c r="A2020" t="s">
        <v>93</v>
      </c>
      <c r="B2020" t="s">
        <v>106</v>
      </c>
      <c r="C2020" t="s">
        <v>56</v>
      </c>
      <c r="D2020" t="s">
        <v>1803</v>
      </c>
      <c r="E2020">
        <v>22</v>
      </c>
      <c r="F2020" t="str">
        <f>VLOOKUP(E2020,[1]LOJA!$A:$B,2,0)</f>
        <v>GUARÁ</v>
      </c>
      <c r="G2020" t="s">
        <v>19</v>
      </c>
      <c r="H2020" t="s">
        <v>19</v>
      </c>
      <c r="I2020" s="1">
        <v>46049</v>
      </c>
      <c r="J2020" s="1">
        <v>46049</v>
      </c>
      <c r="K2020" s="1">
        <v>46049</v>
      </c>
      <c r="L2020">
        <v>34</v>
      </c>
      <c r="M2020">
        <v>20.93</v>
      </c>
      <c r="N2020">
        <v>20.93</v>
      </c>
      <c r="O2020">
        <v>0</v>
      </c>
      <c r="P2020">
        <v>0</v>
      </c>
      <c r="Q2020" t="s">
        <v>108</v>
      </c>
    </row>
    <row r="2021" spans="1:17">
      <c r="A2021" t="s">
        <v>93</v>
      </c>
      <c r="B2021" t="s">
        <v>106</v>
      </c>
      <c r="C2021" t="s">
        <v>56</v>
      </c>
      <c r="D2021" t="s">
        <v>1804</v>
      </c>
      <c r="E2021">
        <v>22</v>
      </c>
      <c r="F2021" t="str">
        <f>VLOOKUP(E2021,[1]LOJA!$A:$B,2,0)</f>
        <v>GUARÁ</v>
      </c>
      <c r="G2021" t="s">
        <v>19</v>
      </c>
      <c r="H2021" t="s">
        <v>19</v>
      </c>
      <c r="I2021" s="1">
        <v>46049</v>
      </c>
      <c r="J2021" s="1">
        <v>46049</v>
      </c>
      <c r="K2021" s="1">
        <v>46049</v>
      </c>
      <c r="L2021">
        <v>34</v>
      </c>
      <c r="M2021">
        <v>4.8499999999999996</v>
      </c>
      <c r="N2021">
        <v>4.8499999999999996</v>
      </c>
      <c r="O2021">
        <v>0</v>
      </c>
      <c r="P2021">
        <v>0</v>
      </c>
      <c r="Q2021" t="s">
        <v>108</v>
      </c>
    </row>
    <row r="2022" spans="1:17">
      <c r="A2022" t="s">
        <v>93</v>
      </c>
      <c r="B2022" t="s">
        <v>106</v>
      </c>
      <c r="C2022" t="s">
        <v>56</v>
      </c>
      <c r="D2022" t="s">
        <v>1805</v>
      </c>
      <c r="E2022">
        <v>22</v>
      </c>
      <c r="F2022" t="str">
        <f>VLOOKUP(E2022,[1]LOJA!$A:$B,2,0)</f>
        <v>GUARÁ</v>
      </c>
      <c r="G2022" t="s">
        <v>19</v>
      </c>
      <c r="H2022" t="s">
        <v>19</v>
      </c>
      <c r="I2022" s="1">
        <v>46049</v>
      </c>
      <c r="J2022" s="1">
        <v>46049</v>
      </c>
      <c r="K2022" s="1">
        <v>46049</v>
      </c>
      <c r="L2022">
        <v>34</v>
      </c>
      <c r="M2022">
        <v>2.54</v>
      </c>
      <c r="N2022">
        <v>2.54</v>
      </c>
      <c r="O2022">
        <v>0</v>
      </c>
      <c r="P2022">
        <v>0</v>
      </c>
      <c r="Q2022" t="s">
        <v>108</v>
      </c>
    </row>
    <row r="2023" spans="1:17">
      <c r="A2023" t="s">
        <v>93</v>
      </c>
      <c r="B2023" t="s">
        <v>106</v>
      </c>
      <c r="C2023" t="s">
        <v>56</v>
      </c>
      <c r="D2023" t="s">
        <v>1806</v>
      </c>
      <c r="E2023">
        <v>22</v>
      </c>
      <c r="F2023" t="str">
        <f>VLOOKUP(E2023,[1]LOJA!$A:$B,2,0)</f>
        <v>GUARÁ</v>
      </c>
      <c r="G2023" t="s">
        <v>19</v>
      </c>
      <c r="H2023" t="s">
        <v>19</v>
      </c>
      <c r="I2023" s="1">
        <v>46049</v>
      </c>
      <c r="J2023" s="1">
        <v>46049</v>
      </c>
      <c r="K2023" s="1">
        <v>46049</v>
      </c>
      <c r="L2023">
        <v>34</v>
      </c>
      <c r="M2023">
        <v>0.68</v>
      </c>
      <c r="N2023">
        <v>0.68</v>
      </c>
      <c r="O2023">
        <v>0</v>
      </c>
      <c r="P2023">
        <v>0</v>
      </c>
      <c r="Q2023" t="s">
        <v>108</v>
      </c>
    </row>
    <row r="2024" spans="1:17">
      <c r="A2024" t="s">
        <v>93</v>
      </c>
      <c r="B2024" t="s">
        <v>106</v>
      </c>
      <c r="C2024" t="s">
        <v>56</v>
      </c>
      <c r="D2024" t="s">
        <v>1807</v>
      </c>
      <c r="E2024">
        <v>22</v>
      </c>
      <c r="F2024" t="str">
        <f>VLOOKUP(E2024,[1]LOJA!$A:$B,2,0)</f>
        <v>GUARÁ</v>
      </c>
      <c r="G2024" t="s">
        <v>19</v>
      </c>
      <c r="H2024" t="s">
        <v>19</v>
      </c>
      <c r="I2024" s="1">
        <v>46049</v>
      </c>
      <c r="J2024" s="1">
        <v>46049</v>
      </c>
      <c r="K2024" s="1">
        <v>46049</v>
      </c>
      <c r="L2024">
        <v>34</v>
      </c>
      <c r="M2024">
        <v>0.51</v>
      </c>
      <c r="N2024">
        <v>0.51</v>
      </c>
      <c r="O2024">
        <v>0</v>
      </c>
      <c r="P2024">
        <v>0</v>
      </c>
      <c r="Q2024" t="s">
        <v>108</v>
      </c>
    </row>
    <row r="2025" spans="1:17">
      <c r="A2025" t="s">
        <v>93</v>
      </c>
      <c r="B2025" t="s">
        <v>106</v>
      </c>
      <c r="C2025" t="s">
        <v>56</v>
      </c>
      <c r="D2025" t="s">
        <v>1808</v>
      </c>
      <c r="E2025">
        <v>22</v>
      </c>
      <c r="F2025" t="str">
        <f>VLOOKUP(E2025,[1]LOJA!$A:$B,2,0)</f>
        <v>GUARÁ</v>
      </c>
      <c r="G2025" t="s">
        <v>19</v>
      </c>
      <c r="H2025" t="s">
        <v>19</v>
      </c>
      <c r="I2025" s="1">
        <v>46049</v>
      </c>
      <c r="J2025" s="1">
        <v>46049</v>
      </c>
      <c r="K2025" s="1">
        <v>46049</v>
      </c>
      <c r="L2025">
        <v>34</v>
      </c>
      <c r="M2025">
        <v>0.35</v>
      </c>
      <c r="N2025">
        <v>0.35</v>
      </c>
      <c r="O2025">
        <v>0</v>
      </c>
      <c r="P2025">
        <v>0</v>
      </c>
      <c r="Q2025" t="s">
        <v>108</v>
      </c>
    </row>
    <row r="2026" spans="1:17">
      <c r="A2026" t="s">
        <v>93</v>
      </c>
      <c r="B2026" t="s">
        <v>106</v>
      </c>
      <c r="C2026" t="s">
        <v>56</v>
      </c>
      <c r="D2026" t="s">
        <v>1809</v>
      </c>
      <c r="E2026">
        <v>22</v>
      </c>
      <c r="F2026" t="str">
        <f>VLOOKUP(E2026,[1]LOJA!$A:$B,2,0)</f>
        <v>GUARÁ</v>
      </c>
      <c r="G2026" t="s">
        <v>19</v>
      </c>
      <c r="H2026" t="s">
        <v>19</v>
      </c>
      <c r="I2026" s="1">
        <v>46049</v>
      </c>
      <c r="J2026" s="1">
        <v>46049</v>
      </c>
      <c r="K2026" s="1">
        <v>46049</v>
      </c>
      <c r="L2026">
        <v>34</v>
      </c>
      <c r="M2026">
        <v>0.22</v>
      </c>
      <c r="N2026">
        <v>0.22</v>
      </c>
      <c r="O2026">
        <v>0</v>
      </c>
      <c r="P2026">
        <v>0</v>
      </c>
      <c r="Q2026" t="s">
        <v>108</v>
      </c>
    </row>
    <row r="2027" spans="1:17">
      <c r="A2027" t="s">
        <v>93</v>
      </c>
      <c r="B2027" t="s">
        <v>106</v>
      </c>
      <c r="C2027" t="s">
        <v>56</v>
      </c>
      <c r="D2027" t="s">
        <v>1810</v>
      </c>
      <c r="E2027">
        <v>22</v>
      </c>
      <c r="F2027" t="str">
        <f>VLOOKUP(E2027,[1]LOJA!$A:$B,2,0)</f>
        <v>GUARÁ</v>
      </c>
      <c r="G2027" t="s">
        <v>19</v>
      </c>
      <c r="H2027" t="s">
        <v>19</v>
      </c>
      <c r="I2027" s="1">
        <v>46049</v>
      </c>
      <c r="J2027" s="1">
        <v>46049</v>
      </c>
      <c r="K2027" s="1">
        <v>46049</v>
      </c>
      <c r="L2027">
        <v>34</v>
      </c>
      <c r="M2027">
        <v>0.18</v>
      </c>
      <c r="N2027">
        <v>0.18</v>
      </c>
      <c r="O2027">
        <v>0</v>
      </c>
      <c r="P2027">
        <v>0</v>
      </c>
      <c r="Q2027" t="s">
        <v>108</v>
      </c>
    </row>
    <row r="2028" spans="1:17">
      <c r="A2028" t="s">
        <v>93</v>
      </c>
      <c r="B2028" t="s">
        <v>106</v>
      </c>
      <c r="C2028" t="s">
        <v>56</v>
      </c>
      <c r="D2028" t="s">
        <v>1811</v>
      </c>
      <c r="E2028">
        <v>22</v>
      </c>
      <c r="F2028" t="str">
        <f>VLOOKUP(E2028,[1]LOJA!$A:$B,2,0)</f>
        <v>GUARÁ</v>
      </c>
      <c r="G2028" t="s">
        <v>19</v>
      </c>
      <c r="H2028" t="s">
        <v>19</v>
      </c>
      <c r="I2028" s="1">
        <v>46049</v>
      </c>
      <c r="J2028" s="1">
        <v>46049</v>
      </c>
      <c r="K2028" s="1">
        <v>46049</v>
      </c>
      <c r="L2028">
        <v>34</v>
      </c>
      <c r="M2028">
        <v>0.14000000000000001</v>
      </c>
      <c r="N2028">
        <v>0.14000000000000001</v>
      </c>
      <c r="O2028">
        <v>0</v>
      </c>
      <c r="P2028">
        <v>0</v>
      </c>
      <c r="Q2028" t="s">
        <v>108</v>
      </c>
    </row>
    <row r="2029" spans="1:17">
      <c r="A2029" t="s">
        <v>93</v>
      </c>
      <c r="B2029" t="s">
        <v>106</v>
      </c>
      <c r="C2029" t="s">
        <v>56</v>
      </c>
      <c r="D2029" t="s">
        <v>1812</v>
      </c>
      <c r="E2029">
        <v>22</v>
      </c>
      <c r="F2029" t="str">
        <f>VLOOKUP(E2029,[1]LOJA!$A:$B,2,0)</f>
        <v>GUARÁ</v>
      </c>
      <c r="G2029" t="s">
        <v>19</v>
      </c>
      <c r="H2029" t="s">
        <v>19</v>
      </c>
      <c r="I2029" s="1">
        <v>46049</v>
      </c>
      <c r="J2029" s="1">
        <v>46049</v>
      </c>
      <c r="K2029" s="1">
        <v>46049</v>
      </c>
      <c r="L2029">
        <v>34</v>
      </c>
      <c r="M2029">
        <v>0.55000000000000004</v>
      </c>
      <c r="N2029">
        <v>0.55000000000000004</v>
      </c>
      <c r="O2029">
        <v>0</v>
      </c>
      <c r="P2029">
        <v>0</v>
      </c>
      <c r="Q2029" t="s">
        <v>108</v>
      </c>
    </row>
    <row r="2030" spans="1:17">
      <c r="A2030" t="s">
        <v>93</v>
      </c>
      <c r="B2030" t="s">
        <v>106</v>
      </c>
      <c r="C2030" t="s">
        <v>56</v>
      </c>
      <c r="D2030" t="s">
        <v>1813</v>
      </c>
      <c r="E2030">
        <v>22</v>
      </c>
      <c r="F2030" t="str">
        <f>VLOOKUP(E2030,[1]LOJA!$A:$B,2,0)</f>
        <v>GUARÁ</v>
      </c>
      <c r="G2030" t="s">
        <v>19</v>
      </c>
      <c r="H2030" t="s">
        <v>19</v>
      </c>
      <c r="I2030" s="1">
        <v>46049</v>
      </c>
      <c r="J2030" s="1">
        <v>46049</v>
      </c>
      <c r="K2030" s="1">
        <v>46049</v>
      </c>
      <c r="L2030">
        <v>34</v>
      </c>
      <c r="M2030">
        <v>0.28999999999999998</v>
      </c>
      <c r="N2030">
        <v>0.28999999999999998</v>
      </c>
      <c r="O2030">
        <v>0</v>
      </c>
      <c r="P2030">
        <v>0</v>
      </c>
      <c r="Q2030" t="s">
        <v>108</v>
      </c>
    </row>
    <row r="2031" spans="1:17">
      <c r="A2031" t="s">
        <v>93</v>
      </c>
      <c r="B2031" t="s">
        <v>106</v>
      </c>
      <c r="C2031" t="s">
        <v>56</v>
      </c>
      <c r="D2031" t="s">
        <v>1814</v>
      </c>
      <c r="E2031">
        <v>22</v>
      </c>
      <c r="F2031" t="str">
        <f>VLOOKUP(E2031,[1]LOJA!$A:$B,2,0)</f>
        <v>GUARÁ</v>
      </c>
      <c r="G2031" t="s">
        <v>19</v>
      </c>
      <c r="H2031" t="s">
        <v>19</v>
      </c>
      <c r="I2031" s="1">
        <v>46049</v>
      </c>
      <c r="J2031" s="1">
        <v>46049</v>
      </c>
      <c r="K2031" s="1">
        <v>46049</v>
      </c>
      <c r="L2031">
        <v>34</v>
      </c>
      <c r="M2031">
        <v>0.17</v>
      </c>
      <c r="N2031">
        <v>0.17</v>
      </c>
      <c r="O2031">
        <v>0</v>
      </c>
      <c r="P2031">
        <v>0</v>
      </c>
      <c r="Q2031" t="s">
        <v>108</v>
      </c>
    </row>
    <row r="2032" spans="1:17">
      <c r="A2032" t="s">
        <v>93</v>
      </c>
      <c r="B2032" t="s">
        <v>106</v>
      </c>
      <c r="C2032" t="s">
        <v>56</v>
      </c>
      <c r="D2032" t="s">
        <v>1815</v>
      </c>
      <c r="E2032">
        <v>22</v>
      </c>
      <c r="F2032" t="str">
        <f>VLOOKUP(E2032,[1]LOJA!$A:$B,2,0)</f>
        <v>GUARÁ</v>
      </c>
      <c r="G2032" t="s">
        <v>19</v>
      </c>
      <c r="H2032" t="s">
        <v>19</v>
      </c>
      <c r="I2032" s="1">
        <v>46049</v>
      </c>
      <c r="J2032" s="1">
        <v>46049</v>
      </c>
      <c r="K2032" s="1">
        <v>46049</v>
      </c>
      <c r="L2032">
        <v>34</v>
      </c>
      <c r="M2032">
        <v>0.05</v>
      </c>
      <c r="N2032">
        <v>0.05</v>
      </c>
      <c r="O2032">
        <v>0</v>
      </c>
      <c r="P2032">
        <v>0</v>
      </c>
      <c r="Q2032" t="s">
        <v>108</v>
      </c>
    </row>
    <row r="2033" spans="1:17">
      <c r="A2033" t="s">
        <v>93</v>
      </c>
      <c r="B2033" t="s">
        <v>106</v>
      </c>
      <c r="C2033" t="s">
        <v>56</v>
      </c>
      <c r="D2033" t="s">
        <v>1816</v>
      </c>
      <c r="E2033">
        <v>22</v>
      </c>
      <c r="F2033" t="str">
        <f>VLOOKUP(E2033,[1]LOJA!$A:$B,2,0)</f>
        <v>GUARÁ</v>
      </c>
      <c r="G2033" t="s">
        <v>19</v>
      </c>
      <c r="H2033" t="s">
        <v>19</v>
      </c>
      <c r="I2033" s="1">
        <v>46049</v>
      </c>
      <c r="J2033" s="1">
        <v>46049</v>
      </c>
      <c r="K2033" s="1">
        <v>46049</v>
      </c>
      <c r="L2033">
        <v>34</v>
      </c>
      <c r="M2033">
        <v>0.18</v>
      </c>
      <c r="N2033">
        <v>0.18</v>
      </c>
      <c r="O2033">
        <v>0</v>
      </c>
      <c r="P2033">
        <v>0</v>
      </c>
      <c r="Q2033" t="s">
        <v>108</v>
      </c>
    </row>
    <row r="2034" spans="1:17">
      <c r="A2034" t="s">
        <v>93</v>
      </c>
      <c r="B2034" t="s">
        <v>106</v>
      </c>
      <c r="C2034" t="s">
        <v>56</v>
      </c>
      <c r="D2034" t="s">
        <v>1817</v>
      </c>
      <c r="E2034">
        <v>22</v>
      </c>
      <c r="F2034" t="str">
        <f>VLOOKUP(E2034,[1]LOJA!$A:$B,2,0)</f>
        <v>GUARÁ</v>
      </c>
      <c r="G2034" t="s">
        <v>19</v>
      </c>
      <c r="H2034" t="s">
        <v>19</v>
      </c>
      <c r="I2034" s="1">
        <v>46049</v>
      </c>
      <c r="J2034" s="1">
        <v>46049</v>
      </c>
      <c r="K2034" s="1">
        <v>46049</v>
      </c>
      <c r="L2034">
        <v>34</v>
      </c>
      <c r="M2034">
        <v>0.27</v>
      </c>
      <c r="N2034">
        <v>0.27</v>
      </c>
      <c r="O2034">
        <v>0</v>
      </c>
      <c r="P2034">
        <v>0</v>
      </c>
      <c r="Q2034" t="s">
        <v>108</v>
      </c>
    </row>
    <row r="2035" spans="1:17">
      <c r="A2035" t="s">
        <v>93</v>
      </c>
      <c r="B2035" t="s">
        <v>106</v>
      </c>
      <c r="C2035" t="s">
        <v>56</v>
      </c>
      <c r="D2035" t="s">
        <v>1818</v>
      </c>
      <c r="E2035">
        <v>22</v>
      </c>
      <c r="F2035" t="str">
        <f>VLOOKUP(E2035,[1]LOJA!$A:$B,2,0)</f>
        <v>GUARÁ</v>
      </c>
      <c r="G2035" t="s">
        <v>19</v>
      </c>
      <c r="H2035" t="s">
        <v>19</v>
      </c>
      <c r="I2035" s="1">
        <v>46049</v>
      </c>
      <c r="J2035" s="1">
        <v>46049</v>
      </c>
      <c r="K2035" s="1">
        <v>46049</v>
      </c>
      <c r="L2035">
        <v>34</v>
      </c>
      <c r="M2035">
        <v>0.14000000000000001</v>
      </c>
      <c r="N2035">
        <v>0.14000000000000001</v>
      </c>
      <c r="O2035">
        <v>0</v>
      </c>
      <c r="P2035">
        <v>0</v>
      </c>
      <c r="Q2035" t="s">
        <v>108</v>
      </c>
    </row>
    <row r="2036" spans="1:17">
      <c r="A2036" t="s">
        <v>93</v>
      </c>
      <c r="B2036" t="s">
        <v>106</v>
      </c>
      <c r="C2036" t="s">
        <v>56</v>
      </c>
      <c r="D2036" t="s">
        <v>1819</v>
      </c>
      <c r="E2036">
        <v>22</v>
      </c>
      <c r="F2036" t="str">
        <f>VLOOKUP(E2036,[1]LOJA!$A:$B,2,0)</f>
        <v>GUARÁ</v>
      </c>
      <c r="G2036" t="s">
        <v>19</v>
      </c>
      <c r="H2036" t="s">
        <v>19</v>
      </c>
      <c r="I2036" s="1">
        <v>46049</v>
      </c>
      <c r="J2036" s="1">
        <v>46049</v>
      </c>
      <c r="K2036" s="1">
        <v>46049</v>
      </c>
      <c r="L2036">
        <v>34</v>
      </c>
      <c r="M2036">
        <v>7.0000000000000007E-2</v>
      </c>
      <c r="N2036">
        <v>7.0000000000000007E-2</v>
      </c>
      <c r="O2036">
        <v>0</v>
      </c>
      <c r="P2036">
        <v>0</v>
      </c>
      <c r="Q2036" t="s">
        <v>108</v>
      </c>
    </row>
    <row r="2037" spans="1:17">
      <c r="A2037" t="s">
        <v>93</v>
      </c>
      <c r="B2037" t="s">
        <v>106</v>
      </c>
      <c r="C2037" t="s">
        <v>56</v>
      </c>
      <c r="D2037" t="s">
        <v>1820</v>
      </c>
      <c r="E2037">
        <v>22</v>
      </c>
      <c r="F2037" t="str">
        <f>VLOOKUP(E2037,[1]LOJA!$A:$B,2,0)</f>
        <v>GUARÁ</v>
      </c>
      <c r="G2037" t="s">
        <v>19</v>
      </c>
      <c r="H2037" t="s">
        <v>19</v>
      </c>
      <c r="I2037" s="1">
        <v>46049</v>
      </c>
      <c r="J2037" s="1">
        <v>46049</v>
      </c>
      <c r="K2037" s="1">
        <v>46049</v>
      </c>
      <c r="L2037">
        <v>34</v>
      </c>
      <c r="M2037">
        <v>0.3</v>
      </c>
      <c r="N2037">
        <v>0.3</v>
      </c>
      <c r="O2037">
        <v>0</v>
      </c>
      <c r="P2037">
        <v>0</v>
      </c>
      <c r="Q2037" t="s">
        <v>108</v>
      </c>
    </row>
    <row r="2038" spans="1:17">
      <c r="A2038" t="s">
        <v>93</v>
      </c>
      <c r="B2038" t="s">
        <v>106</v>
      </c>
      <c r="C2038" t="s">
        <v>56</v>
      </c>
      <c r="D2038" t="s">
        <v>1821</v>
      </c>
      <c r="E2038">
        <v>22</v>
      </c>
      <c r="F2038" t="str">
        <f>VLOOKUP(E2038,[1]LOJA!$A:$B,2,0)</f>
        <v>GUARÁ</v>
      </c>
      <c r="G2038" t="s">
        <v>19</v>
      </c>
      <c r="H2038" t="s">
        <v>19</v>
      </c>
      <c r="I2038" s="1">
        <v>46049</v>
      </c>
      <c r="J2038" s="1">
        <v>46049</v>
      </c>
      <c r="K2038" s="1">
        <v>46049</v>
      </c>
      <c r="L2038">
        <v>34</v>
      </c>
      <c r="M2038">
        <v>0.44</v>
      </c>
      <c r="N2038">
        <v>0.44</v>
      </c>
      <c r="O2038">
        <v>0</v>
      </c>
      <c r="P2038">
        <v>0</v>
      </c>
      <c r="Q2038" t="s">
        <v>108</v>
      </c>
    </row>
    <row r="2039" spans="1:17">
      <c r="A2039" t="s">
        <v>93</v>
      </c>
      <c r="B2039" t="s">
        <v>106</v>
      </c>
      <c r="C2039" t="s">
        <v>56</v>
      </c>
      <c r="D2039" t="s">
        <v>1822</v>
      </c>
      <c r="E2039">
        <v>22</v>
      </c>
      <c r="F2039" t="str">
        <f>VLOOKUP(E2039,[1]LOJA!$A:$B,2,0)</f>
        <v>GUARÁ</v>
      </c>
      <c r="G2039" t="s">
        <v>19</v>
      </c>
      <c r="H2039" t="s">
        <v>19</v>
      </c>
      <c r="I2039" s="1">
        <v>46048</v>
      </c>
      <c r="J2039" s="1">
        <v>46048</v>
      </c>
      <c r="K2039" s="1">
        <v>46048</v>
      </c>
      <c r="L2039">
        <v>34</v>
      </c>
      <c r="M2039">
        <v>4.38</v>
      </c>
      <c r="N2039">
        <v>4.38</v>
      </c>
      <c r="O2039">
        <v>0</v>
      </c>
      <c r="P2039">
        <v>0</v>
      </c>
      <c r="Q2039" t="s">
        <v>108</v>
      </c>
    </row>
    <row r="2040" spans="1:17">
      <c r="A2040" t="s">
        <v>93</v>
      </c>
      <c r="B2040" t="s">
        <v>106</v>
      </c>
      <c r="C2040" t="s">
        <v>56</v>
      </c>
      <c r="D2040" t="s">
        <v>1823</v>
      </c>
      <c r="E2040">
        <v>22</v>
      </c>
      <c r="F2040" t="str">
        <f>VLOOKUP(E2040,[1]LOJA!$A:$B,2,0)</f>
        <v>GUARÁ</v>
      </c>
      <c r="G2040" t="s">
        <v>19</v>
      </c>
      <c r="H2040" t="s">
        <v>19</v>
      </c>
      <c r="I2040" s="1">
        <v>46048</v>
      </c>
      <c r="J2040" s="1">
        <v>46048</v>
      </c>
      <c r="K2040" s="1">
        <v>46048</v>
      </c>
      <c r="L2040">
        <v>34</v>
      </c>
      <c r="M2040">
        <v>2.85</v>
      </c>
      <c r="N2040">
        <v>2.85</v>
      </c>
      <c r="O2040">
        <v>0</v>
      </c>
      <c r="P2040">
        <v>0</v>
      </c>
      <c r="Q2040" t="s">
        <v>108</v>
      </c>
    </row>
    <row r="2041" spans="1:17">
      <c r="A2041" t="s">
        <v>93</v>
      </c>
      <c r="B2041" t="s">
        <v>106</v>
      </c>
      <c r="C2041" t="s">
        <v>56</v>
      </c>
      <c r="D2041" t="s">
        <v>1824</v>
      </c>
      <c r="E2041">
        <v>22</v>
      </c>
      <c r="F2041" t="str">
        <f>VLOOKUP(E2041,[1]LOJA!$A:$B,2,0)</f>
        <v>GUARÁ</v>
      </c>
      <c r="G2041" t="s">
        <v>19</v>
      </c>
      <c r="H2041" t="s">
        <v>19</v>
      </c>
      <c r="I2041" s="1">
        <v>46048</v>
      </c>
      <c r="J2041" s="1">
        <v>46047</v>
      </c>
      <c r="K2041" s="1">
        <v>46048</v>
      </c>
      <c r="L2041">
        <v>34</v>
      </c>
      <c r="M2041">
        <v>4.04</v>
      </c>
      <c r="N2041">
        <v>4.04</v>
      </c>
      <c r="O2041">
        <v>0</v>
      </c>
      <c r="P2041">
        <v>0</v>
      </c>
      <c r="Q2041" t="s">
        <v>108</v>
      </c>
    </row>
    <row r="2042" spans="1:17">
      <c r="A2042" t="s">
        <v>93</v>
      </c>
      <c r="B2042" t="s">
        <v>106</v>
      </c>
      <c r="C2042" t="s">
        <v>56</v>
      </c>
      <c r="D2042" t="s">
        <v>1825</v>
      </c>
      <c r="E2042">
        <v>22</v>
      </c>
      <c r="F2042" t="str">
        <f>VLOOKUP(E2042,[1]LOJA!$A:$B,2,0)</f>
        <v>GUARÁ</v>
      </c>
      <c r="G2042" t="s">
        <v>19</v>
      </c>
      <c r="H2042" t="s">
        <v>19</v>
      </c>
      <c r="I2042" s="1">
        <v>46048</v>
      </c>
      <c r="J2042" s="1">
        <v>46047</v>
      </c>
      <c r="K2042" s="1">
        <v>46048</v>
      </c>
      <c r="L2042">
        <v>34</v>
      </c>
      <c r="M2042">
        <v>2.63</v>
      </c>
      <c r="N2042">
        <v>2.63</v>
      </c>
      <c r="O2042">
        <v>0</v>
      </c>
      <c r="P2042">
        <v>0</v>
      </c>
      <c r="Q2042" t="s">
        <v>108</v>
      </c>
    </row>
    <row r="2043" spans="1:17">
      <c r="A2043" t="s">
        <v>93</v>
      </c>
      <c r="B2043" t="s">
        <v>106</v>
      </c>
      <c r="C2043" t="s">
        <v>56</v>
      </c>
      <c r="D2043" t="s">
        <v>1826</v>
      </c>
      <c r="E2043">
        <v>22</v>
      </c>
      <c r="F2043" t="str">
        <f>VLOOKUP(E2043,[1]LOJA!$A:$B,2,0)</f>
        <v>GUARÁ</v>
      </c>
      <c r="G2043" t="s">
        <v>19</v>
      </c>
      <c r="H2043" t="s">
        <v>19</v>
      </c>
      <c r="I2043" s="1">
        <v>46048</v>
      </c>
      <c r="J2043" s="1">
        <v>46048</v>
      </c>
      <c r="K2043" s="1">
        <v>46048</v>
      </c>
      <c r="L2043">
        <v>34</v>
      </c>
      <c r="M2043">
        <v>3.83</v>
      </c>
      <c r="N2043">
        <v>3.83</v>
      </c>
      <c r="O2043">
        <v>0</v>
      </c>
      <c r="P2043">
        <v>0</v>
      </c>
      <c r="Q2043" t="s">
        <v>108</v>
      </c>
    </row>
    <row r="2044" spans="1:17">
      <c r="A2044" t="s">
        <v>93</v>
      </c>
      <c r="B2044" t="s">
        <v>106</v>
      </c>
      <c r="C2044" t="s">
        <v>56</v>
      </c>
      <c r="D2044" t="s">
        <v>1827</v>
      </c>
      <c r="E2044">
        <v>22</v>
      </c>
      <c r="F2044" t="str">
        <f>VLOOKUP(E2044,[1]LOJA!$A:$B,2,0)</f>
        <v>GUARÁ</v>
      </c>
      <c r="G2044" t="s">
        <v>19</v>
      </c>
      <c r="H2044" t="s">
        <v>19</v>
      </c>
      <c r="I2044" s="1">
        <v>46048</v>
      </c>
      <c r="J2044" s="1">
        <v>46047</v>
      </c>
      <c r="K2044" s="1">
        <v>46048</v>
      </c>
      <c r="L2044">
        <v>34</v>
      </c>
      <c r="M2044">
        <v>3.19</v>
      </c>
      <c r="N2044">
        <v>3.19</v>
      </c>
      <c r="O2044">
        <v>0</v>
      </c>
      <c r="P2044">
        <v>0</v>
      </c>
      <c r="Q2044" t="s">
        <v>108</v>
      </c>
    </row>
    <row r="2045" spans="1:17">
      <c r="A2045" t="s">
        <v>93</v>
      </c>
      <c r="B2045" t="s">
        <v>106</v>
      </c>
      <c r="C2045" t="s">
        <v>56</v>
      </c>
      <c r="D2045" t="s">
        <v>1828</v>
      </c>
      <c r="E2045">
        <v>22</v>
      </c>
      <c r="F2045" t="str">
        <f>VLOOKUP(E2045,[1]LOJA!$A:$B,2,0)</f>
        <v>GUARÁ</v>
      </c>
      <c r="G2045" t="s">
        <v>19</v>
      </c>
      <c r="H2045" t="s">
        <v>19</v>
      </c>
      <c r="I2045" s="1">
        <v>46048</v>
      </c>
      <c r="J2045" s="1">
        <v>46047</v>
      </c>
      <c r="K2045" s="1">
        <v>46048</v>
      </c>
      <c r="L2045">
        <v>34</v>
      </c>
      <c r="M2045">
        <v>2.88</v>
      </c>
      <c r="N2045">
        <v>2.88</v>
      </c>
      <c r="O2045">
        <v>0</v>
      </c>
      <c r="P2045">
        <v>0</v>
      </c>
      <c r="Q2045" t="s">
        <v>108</v>
      </c>
    </row>
    <row r="2046" spans="1:17">
      <c r="A2046" t="s">
        <v>93</v>
      </c>
      <c r="B2046" t="s">
        <v>106</v>
      </c>
      <c r="C2046" t="s">
        <v>56</v>
      </c>
      <c r="D2046" t="s">
        <v>1829</v>
      </c>
      <c r="E2046">
        <v>22</v>
      </c>
      <c r="F2046" t="str">
        <f>VLOOKUP(E2046,[1]LOJA!$A:$B,2,0)</f>
        <v>GUARÁ</v>
      </c>
      <c r="G2046" t="s">
        <v>19</v>
      </c>
      <c r="H2046" t="s">
        <v>19</v>
      </c>
      <c r="I2046" s="1">
        <v>46048</v>
      </c>
      <c r="J2046" s="1">
        <v>46046</v>
      </c>
      <c r="K2046" s="1">
        <v>46048</v>
      </c>
      <c r="L2046">
        <v>34</v>
      </c>
      <c r="M2046">
        <v>3.83</v>
      </c>
      <c r="N2046">
        <v>3.83</v>
      </c>
      <c r="O2046">
        <v>0</v>
      </c>
      <c r="P2046">
        <v>0</v>
      </c>
      <c r="Q2046" t="s">
        <v>108</v>
      </c>
    </row>
    <row r="2047" spans="1:17">
      <c r="A2047" t="s">
        <v>93</v>
      </c>
      <c r="B2047" t="s">
        <v>106</v>
      </c>
      <c r="C2047" t="s">
        <v>56</v>
      </c>
      <c r="D2047" t="s">
        <v>1830</v>
      </c>
      <c r="E2047">
        <v>22</v>
      </c>
      <c r="F2047" t="str">
        <f>VLOOKUP(E2047,[1]LOJA!$A:$B,2,0)</f>
        <v>GUARÁ</v>
      </c>
      <c r="G2047" t="s">
        <v>19</v>
      </c>
      <c r="H2047" t="s">
        <v>19</v>
      </c>
      <c r="I2047" s="1">
        <v>46048</v>
      </c>
      <c r="J2047" s="1">
        <v>46048</v>
      </c>
      <c r="K2047" s="1">
        <v>46048</v>
      </c>
      <c r="L2047">
        <v>34</v>
      </c>
      <c r="M2047">
        <v>2.17</v>
      </c>
      <c r="N2047">
        <v>2.17</v>
      </c>
      <c r="O2047">
        <v>0</v>
      </c>
      <c r="P2047">
        <v>0</v>
      </c>
      <c r="Q2047" t="s">
        <v>108</v>
      </c>
    </row>
    <row r="2048" spans="1:17">
      <c r="A2048" t="s">
        <v>93</v>
      </c>
      <c r="B2048" t="s">
        <v>106</v>
      </c>
      <c r="C2048" t="s">
        <v>56</v>
      </c>
      <c r="D2048" t="s">
        <v>1831</v>
      </c>
      <c r="E2048">
        <v>22</v>
      </c>
      <c r="F2048" t="str">
        <f>VLOOKUP(E2048,[1]LOJA!$A:$B,2,0)</f>
        <v>GUARÁ</v>
      </c>
      <c r="G2048" t="s">
        <v>19</v>
      </c>
      <c r="H2048" t="s">
        <v>19</v>
      </c>
      <c r="I2048" s="1">
        <v>46048</v>
      </c>
      <c r="J2048" s="1">
        <v>46048</v>
      </c>
      <c r="K2048" s="1">
        <v>46048</v>
      </c>
      <c r="L2048">
        <v>34</v>
      </c>
      <c r="M2048">
        <v>1.05</v>
      </c>
      <c r="N2048">
        <v>1.05</v>
      </c>
      <c r="O2048">
        <v>0</v>
      </c>
      <c r="P2048">
        <v>0</v>
      </c>
      <c r="Q2048" t="s">
        <v>108</v>
      </c>
    </row>
    <row r="2049" spans="1:17">
      <c r="A2049" t="s">
        <v>93</v>
      </c>
      <c r="B2049" t="s">
        <v>106</v>
      </c>
      <c r="C2049" t="s">
        <v>56</v>
      </c>
      <c r="D2049" t="s">
        <v>1832</v>
      </c>
      <c r="E2049">
        <v>22</v>
      </c>
      <c r="F2049" t="str">
        <f>VLOOKUP(E2049,[1]LOJA!$A:$B,2,0)</f>
        <v>GUARÁ</v>
      </c>
      <c r="G2049" t="s">
        <v>19</v>
      </c>
      <c r="H2049" t="s">
        <v>19</v>
      </c>
      <c r="I2049" s="1">
        <v>46048</v>
      </c>
      <c r="J2049" s="1">
        <v>46048</v>
      </c>
      <c r="K2049" s="1">
        <v>46048</v>
      </c>
      <c r="L2049">
        <v>34</v>
      </c>
      <c r="M2049">
        <v>0.48</v>
      </c>
      <c r="N2049">
        <v>0.48</v>
      </c>
      <c r="O2049">
        <v>0</v>
      </c>
      <c r="P2049">
        <v>0</v>
      </c>
      <c r="Q2049" t="s">
        <v>108</v>
      </c>
    </row>
    <row r="2050" spans="1:17">
      <c r="A2050" t="s">
        <v>93</v>
      </c>
      <c r="B2050" t="s">
        <v>106</v>
      </c>
      <c r="C2050" t="s">
        <v>56</v>
      </c>
      <c r="D2050" t="s">
        <v>1833</v>
      </c>
      <c r="E2050">
        <v>22</v>
      </c>
      <c r="F2050" t="str">
        <f>VLOOKUP(E2050,[1]LOJA!$A:$B,2,0)</f>
        <v>GUARÁ</v>
      </c>
      <c r="G2050" t="s">
        <v>19</v>
      </c>
      <c r="H2050" t="s">
        <v>19</v>
      </c>
      <c r="I2050" s="1">
        <v>46048</v>
      </c>
      <c r="J2050" s="1">
        <v>46048</v>
      </c>
      <c r="K2050" s="1">
        <v>46048</v>
      </c>
      <c r="L2050">
        <v>34</v>
      </c>
      <c r="M2050">
        <v>3.11</v>
      </c>
      <c r="N2050">
        <v>3.11</v>
      </c>
      <c r="O2050">
        <v>0</v>
      </c>
      <c r="P2050">
        <v>0</v>
      </c>
      <c r="Q2050" t="s">
        <v>108</v>
      </c>
    </row>
    <row r="2051" spans="1:17">
      <c r="A2051" t="s">
        <v>93</v>
      </c>
      <c r="B2051" t="s">
        <v>106</v>
      </c>
      <c r="C2051" t="s">
        <v>56</v>
      </c>
      <c r="D2051" t="s">
        <v>1834</v>
      </c>
      <c r="E2051">
        <v>22</v>
      </c>
      <c r="F2051" t="str">
        <f>VLOOKUP(E2051,[1]LOJA!$A:$B,2,0)</f>
        <v>GUARÁ</v>
      </c>
      <c r="G2051" t="s">
        <v>19</v>
      </c>
      <c r="H2051" t="s">
        <v>19</v>
      </c>
      <c r="I2051" s="1">
        <v>46048</v>
      </c>
      <c r="J2051" s="1">
        <v>46048</v>
      </c>
      <c r="K2051" s="1">
        <v>46048</v>
      </c>
      <c r="L2051">
        <v>34</v>
      </c>
      <c r="M2051">
        <v>1.41</v>
      </c>
      <c r="N2051">
        <v>1.41</v>
      </c>
      <c r="O2051">
        <v>0</v>
      </c>
      <c r="P2051">
        <v>0</v>
      </c>
      <c r="Q2051" t="s">
        <v>108</v>
      </c>
    </row>
    <row r="2052" spans="1:17">
      <c r="A2052" t="s">
        <v>93</v>
      </c>
      <c r="B2052" t="s">
        <v>106</v>
      </c>
      <c r="C2052" t="s">
        <v>56</v>
      </c>
      <c r="D2052" t="s">
        <v>1835</v>
      </c>
      <c r="E2052">
        <v>22</v>
      </c>
      <c r="F2052" t="str">
        <f>VLOOKUP(E2052,[1]LOJA!$A:$B,2,0)</f>
        <v>GUARÁ</v>
      </c>
      <c r="G2052" t="s">
        <v>19</v>
      </c>
      <c r="H2052" t="s">
        <v>19</v>
      </c>
      <c r="I2052" s="1">
        <v>46048</v>
      </c>
      <c r="J2052" s="1">
        <v>46046</v>
      </c>
      <c r="K2052" s="1">
        <v>46048</v>
      </c>
      <c r="L2052">
        <v>34</v>
      </c>
      <c r="M2052">
        <v>0.15</v>
      </c>
      <c r="N2052">
        <v>0.15</v>
      </c>
      <c r="O2052">
        <v>0</v>
      </c>
      <c r="P2052">
        <v>0</v>
      </c>
      <c r="Q2052" t="s">
        <v>108</v>
      </c>
    </row>
    <row r="2053" spans="1:17">
      <c r="A2053" t="s">
        <v>93</v>
      </c>
      <c r="B2053" t="s">
        <v>106</v>
      </c>
      <c r="C2053" t="s">
        <v>56</v>
      </c>
      <c r="D2053" t="s">
        <v>1836</v>
      </c>
      <c r="E2053">
        <v>22</v>
      </c>
      <c r="F2053" t="str">
        <f>VLOOKUP(E2053,[1]LOJA!$A:$B,2,0)</f>
        <v>GUARÁ</v>
      </c>
      <c r="G2053" t="s">
        <v>19</v>
      </c>
      <c r="H2053" t="s">
        <v>19</v>
      </c>
      <c r="I2053" s="1">
        <v>46048</v>
      </c>
      <c r="J2053" s="1">
        <v>46046</v>
      </c>
      <c r="K2053" s="1">
        <v>46048</v>
      </c>
      <c r="L2053">
        <v>34</v>
      </c>
      <c r="M2053">
        <v>0.14000000000000001</v>
      </c>
      <c r="N2053">
        <v>0.14000000000000001</v>
      </c>
      <c r="O2053">
        <v>0</v>
      </c>
      <c r="P2053">
        <v>0</v>
      </c>
      <c r="Q2053" t="s">
        <v>108</v>
      </c>
    </row>
    <row r="2054" spans="1:17">
      <c r="A2054" t="s">
        <v>93</v>
      </c>
      <c r="B2054" t="s">
        <v>106</v>
      </c>
      <c r="C2054" t="s">
        <v>56</v>
      </c>
      <c r="D2054" t="s">
        <v>1837</v>
      </c>
      <c r="E2054">
        <v>22</v>
      </c>
      <c r="F2054" t="str">
        <f>VLOOKUP(E2054,[1]LOJA!$A:$B,2,0)</f>
        <v>GUARÁ</v>
      </c>
      <c r="G2054" t="s">
        <v>19</v>
      </c>
      <c r="H2054" t="s">
        <v>19</v>
      </c>
      <c r="I2054" s="1">
        <v>46048</v>
      </c>
      <c r="J2054" s="1">
        <v>46046</v>
      </c>
      <c r="K2054" s="1">
        <v>46048</v>
      </c>
      <c r="L2054">
        <v>34</v>
      </c>
      <c r="M2054">
        <v>0.06</v>
      </c>
      <c r="N2054">
        <v>0.06</v>
      </c>
      <c r="O2054">
        <v>0</v>
      </c>
      <c r="P2054">
        <v>0</v>
      </c>
      <c r="Q2054" t="s">
        <v>108</v>
      </c>
    </row>
    <row r="2055" spans="1:17">
      <c r="A2055" t="s">
        <v>93</v>
      </c>
      <c r="B2055" t="s">
        <v>106</v>
      </c>
      <c r="C2055" t="s">
        <v>56</v>
      </c>
      <c r="D2055" t="s">
        <v>1838</v>
      </c>
      <c r="E2055">
        <v>22</v>
      </c>
      <c r="F2055" t="str">
        <f>VLOOKUP(E2055,[1]LOJA!$A:$B,2,0)</f>
        <v>GUARÁ</v>
      </c>
      <c r="G2055" t="s">
        <v>19</v>
      </c>
      <c r="H2055" t="s">
        <v>19</v>
      </c>
      <c r="I2055" s="1">
        <v>46048</v>
      </c>
      <c r="J2055" s="1">
        <v>46046</v>
      </c>
      <c r="K2055" s="1">
        <v>46048</v>
      </c>
      <c r="L2055">
        <v>34</v>
      </c>
      <c r="M2055">
        <v>0.11</v>
      </c>
      <c r="N2055">
        <v>0.11</v>
      </c>
      <c r="O2055">
        <v>0</v>
      </c>
      <c r="P2055">
        <v>0</v>
      </c>
      <c r="Q2055" t="s">
        <v>108</v>
      </c>
    </row>
    <row r="2056" spans="1:17">
      <c r="A2056" t="s">
        <v>93</v>
      </c>
      <c r="B2056" t="s">
        <v>106</v>
      </c>
      <c r="C2056" t="s">
        <v>56</v>
      </c>
      <c r="D2056" t="s">
        <v>1839</v>
      </c>
      <c r="E2056">
        <v>22</v>
      </c>
      <c r="F2056" t="str">
        <f>VLOOKUP(E2056,[1]LOJA!$A:$B,2,0)</f>
        <v>GUARÁ</v>
      </c>
      <c r="G2056" t="s">
        <v>19</v>
      </c>
      <c r="H2056" t="s">
        <v>19</v>
      </c>
      <c r="I2056" s="1">
        <v>46048</v>
      </c>
      <c r="J2056" s="1">
        <v>46046</v>
      </c>
      <c r="K2056" s="1">
        <v>46048</v>
      </c>
      <c r="L2056">
        <v>34</v>
      </c>
      <c r="M2056">
        <v>0.16</v>
      </c>
      <c r="N2056">
        <v>0.16</v>
      </c>
      <c r="O2056">
        <v>0</v>
      </c>
      <c r="P2056">
        <v>0</v>
      </c>
      <c r="Q2056" t="s">
        <v>108</v>
      </c>
    </row>
    <row r="2057" spans="1:17">
      <c r="A2057" t="s">
        <v>93</v>
      </c>
      <c r="B2057" t="s">
        <v>106</v>
      </c>
      <c r="C2057" t="s">
        <v>56</v>
      </c>
      <c r="D2057" t="s">
        <v>1840</v>
      </c>
      <c r="E2057">
        <v>22</v>
      </c>
      <c r="F2057" t="str">
        <f>VLOOKUP(E2057,[1]LOJA!$A:$B,2,0)</f>
        <v>GUARÁ</v>
      </c>
      <c r="G2057" t="s">
        <v>19</v>
      </c>
      <c r="H2057" t="s">
        <v>19</v>
      </c>
      <c r="I2057" s="1">
        <v>46048</v>
      </c>
      <c r="J2057" s="1">
        <v>46046</v>
      </c>
      <c r="K2057" s="1">
        <v>46048</v>
      </c>
      <c r="L2057">
        <v>34</v>
      </c>
      <c r="M2057">
        <v>7.64</v>
      </c>
      <c r="N2057">
        <v>7.64</v>
      </c>
      <c r="O2057">
        <v>0</v>
      </c>
      <c r="P2057">
        <v>0</v>
      </c>
      <c r="Q2057" t="s">
        <v>108</v>
      </c>
    </row>
    <row r="2058" spans="1:17">
      <c r="A2058" t="s">
        <v>93</v>
      </c>
      <c r="B2058" t="s">
        <v>106</v>
      </c>
      <c r="C2058" t="s">
        <v>56</v>
      </c>
      <c r="D2058" t="s">
        <v>1841</v>
      </c>
      <c r="E2058">
        <v>22</v>
      </c>
      <c r="F2058" t="str">
        <f>VLOOKUP(E2058,[1]LOJA!$A:$B,2,0)</f>
        <v>GUARÁ</v>
      </c>
      <c r="G2058" t="s">
        <v>19</v>
      </c>
      <c r="H2058" t="s">
        <v>19</v>
      </c>
      <c r="I2058" s="1">
        <v>46048</v>
      </c>
      <c r="J2058" s="1">
        <v>46046</v>
      </c>
      <c r="K2058" s="1">
        <v>46048</v>
      </c>
      <c r="L2058">
        <v>34</v>
      </c>
      <c r="M2058">
        <v>0.2</v>
      </c>
      <c r="N2058">
        <v>0.2</v>
      </c>
      <c r="O2058">
        <v>0</v>
      </c>
      <c r="P2058">
        <v>0</v>
      </c>
      <c r="Q2058" t="s">
        <v>108</v>
      </c>
    </row>
    <row r="2059" spans="1:17">
      <c r="A2059" t="s">
        <v>93</v>
      </c>
      <c r="B2059" t="s">
        <v>106</v>
      </c>
      <c r="C2059" t="s">
        <v>56</v>
      </c>
      <c r="D2059" t="s">
        <v>1842</v>
      </c>
      <c r="E2059">
        <v>22</v>
      </c>
      <c r="F2059" t="str">
        <f>VLOOKUP(E2059,[1]LOJA!$A:$B,2,0)</f>
        <v>GUARÁ</v>
      </c>
      <c r="G2059" t="s">
        <v>19</v>
      </c>
      <c r="H2059" t="s">
        <v>19</v>
      </c>
      <c r="I2059" s="1">
        <v>46048</v>
      </c>
      <c r="J2059" s="1">
        <v>46048</v>
      </c>
      <c r="K2059" s="1">
        <v>46048</v>
      </c>
      <c r="L2059">
        <v>34</v>
      </c>
      <c r="M2059">
        <v>0.3</v>
      </c>
      <c r="N2059">
        <v>0.3</v>
      </c>
      <c r="O2059">
        <v>0</v>
      </c>
      <c r="P2059">
        <v>0</v>
      </c>
      <c r="Q2059" t="s">
        <v>108</v>
      </c>
    </row>
    <row r="2060" spans="1:17">
      <c r="A2060" t="s">
        <v>93</v>
      </c>
      <c r="B2060" t="s">
        <v>106</v>
      </c>
      <c r="C2060" t="s">
        <v>56</v>
      </c>
      <c r="D2060" t="s">
        <v>1843</v>
      </c>
      <c r="E2060">
        <v>22</v>
      </c>
      <c r="F2060" t="str">
        <f>VLOOKUP(E2060,[1]LOJA!$A:$B,2,0)</f>
        <v>GUARÁ</v>
      </c>
      <c r="G2060" t="s">
        <v>19</v>
      </c>
      <c r="H2060" t="s">
        <v>19</v>
      </c>
      <c r="I2060" s="1">
        <v>46048</v>
      </c>
      <c r="J2060" s="1">
        <v>46046</v>
      </c>
      <c r="K2060" s="1">
        <v>46048</v>
      </c>
      <c r="L2060">
        <v>34</v>
      </c>
      <c r="M2060">
        <v>0.82</v>
      </c>
      <c r="N2060">
        <v>0.82</v>
      </c>
      <c r="O2060">
        <v>0</v>
      </c>
      <c r="P2060">
        <v>0</v>
      </c>
      <c r="Q2060" t="s">
        <v>108</v>
      </c>
    </row>
    <row r="2061" spans="1:17">
      <c r="A2061" t="s">
        <v>93</v>
      </c>
      <c r="B2061" t="s">
        <v>106</v>
      </c>
      <c r="C2061" t="s">
        <v>56</v>
      </c>
      <c r="D2061" t="s">
        <v>1844</v>
      </c>
      <c r="E2061">
        <v>22</v>
      </c>
      <c r="F2061" t="str">
        <f>VLOOKUP(E2061,[1]LOJA!$A:$B,2,0)</f>
        <v>GUARÁ</v>
      </c>
      <c r="G2061" t="s">
        <v>19</v>
      </c>
      <c r="H2061" t="s">
        <v>19</v>
      </c>
      <c r="I2061" s="1">
        <v>46048</v>
      </c>
      <c r="J2061" s="1">
        <v>46046</v>
      </c>
      <c r="K2061" s="1">
        <v>46048</v>
      </c>
      <c r="L2061">
        <v>34</v>
      </c>
      <c r="M2061">
        <v>0.11</v>
      </c>
      <c r="N2061">
        <v>0.11</v>
      </c>
      <c r="O2061">
        <v>0</v>
      </c>
      <c r="P2061">
        <v>0</v>
      </c>
      <c r="Q2061" t="s">
        <v>108</v>
      </c>
    </row>
    <row r="2062" spans="1:17">
      <c r="A2062" t="s">
        <v>93</v>
      </c>
      <c r="B2062" t="s">
        <v>106</v>
      </c>
      <c r="C2062" t="s">
        <v>56</v>
      </c>
      <c r="D2062" t="s">
        <v>1845</v>
      </c>
      <c r="E2062">
        <v>22</v>
      </c>
      <c r="F2062" t="str">
        <f>VLOOKUP(E2062,[1]LOJA!$A:$B,2,0)</f>
        <v>GUARÁ</v>
      </c>
      <c r="G2062" t="s">
        <v>19</v>
      </c>
      <c r="H2062" t="s">
        <v>19</v>
      </c>
      <c r="I2062" s="1">
        <v>46048</v>
      </c>
      <c r="J2062" s="1">
        <v>46046</v>
      </c>
      <c r="K2062" s="1">
        <v>46048</v>
      </c>
      <c r="L2062">
        <v>34</v>
      </c>
      <c r="M2062">
        <v>0.09</v>
      </c>
      <c r="N2062">
        <v>0.09</v>
      </c>
      <c r="O2062">
        <v>0</v>
      </c>
      <c r="P2062">
        <v>0</v>
      </c>
      <c r="Q2062" t="s">
        <v>108</v>
      </c>
    </row>
    <row r="2063" spans="1:17">
      <c r="A2063" t="s">
        <v>93</v>
      </c>
      <c r="B2063" t="s">
        <v>106</v>
      </c>
      <c r="C2063" t="s">
        <v>56</v>
      </c>
      <c r="D2063" t="s">
        <v>1846</v>
      </c>
      <c r="E2063">
        <v>22</v>
      </c>
      <c r="F2063" t="str">
        <f>VLOOKUP(E2063,[1]LOJA!$A:$B,2,0)</f>
        <v>GUARÁ</v>
      </c>
      <c r="G2063" t="s">
        <v>19</v>
      </c>
      <c r="H2063" t="s">
        <v>19</v>
      </c>
      <c r="I2063" s="1">
        <v>46048</v>
      </c>
      <c r="J2063" s="1">
        <v>46046</v>
      </c>
      <c r="K2063" s="1">
        <v>46048</v>
      </c>
      <c r="L2063">
        <v>34</v>
      </c>
      <c r="M2063">
        <v>0.35</v>
      </c>
      <c r="N2063">
        <v>0.35</v>
      </c>
      <c r="O2063">
        <v>0</v>
      </c>
      <c r="P2063">
        <v>0</v>
      </c>
      <c r="Q2063" t="s">
        <v>108</v>
      </c>
    </row>
    <row r="2064" spans="1:17">
      <c r="A2064" t="s">
        <v>93</v>
      </c>
      <c r="B2064" t="s">
        <v>106</v>
      </c>
      <c r="C2064" t="s">
        <v>56</v>
      </c>
      <c r="D2064" t="s">
        <v>1847</v>
      </c>
      <c r="E2064">
        <v>22</v>
      </c>
      <c r="F2064" t="str">
        <f>VLOOKUP(E2064,[1]LOJA!$A:$B,2,0)</f>
        <v>GUARÁ</v>
      </c>
      <c r="G2064" t="s">
        <v>19</v>
      </c>
      <c r="H2064" t="s">
        <v>19</v>
      </c>
      <c r="I2064" s="1">
        <v>46048</v>
      </c>
      <c r="J2064" s="1">
        <v>46046</v>
      </c>
      <c r="K2064" s="1">
        <v>46048</v>
      </c>
      <c r="L2064">
        <v>34</v>
      </c>
      <c r="M2064">
        <v>0.3</v>
      </c>
      <c r="N2064">
        <v>0.3</v>
      </c>
      <c r="O2064">
        <v>0</v>
      </c>
      <c r="P2064">
        <v>0</v>
      </c>
      <c r="Q2064" t="s">
        <v>108</v>
      </c>
    </row>
    <row r="2065" spans="1:17">
      <c r="A2065" t="s">
        <v>93</v>
      </c>
      <c r="B2065" t="s">
        <v>106</v>
      </c>
      <c r="C2065" t="s">
        <v>56</v>
      </c>
      <c r="D2065" t="s">
        <v>1848</v>
      </c>
      <c r="E2065">
        <v>22</v>
      </c>
      <c r="F2065" t="str">
        <f>VLOOKUP(E2065,[1]LOJA!$A:$B,2,0)</f>
        <v>GUARÁ</v>
      </c>
      <c r="G2065" t="s">
        <v>19</v>
      </c>
      <c r="H2065" t="s">
        <v>19</v>
      </c>
      <c r="I2065" s="1">
        <v>46048</v>
      </c>
      <c r="J2065" s="1">
        <v>46046</v>
      </c>
      <c r="K2065" s="1">
        <v>46048</v>
      </c>
      <c r="L2065">
        <v>34</v>
      </c>
      <c r="M2065">
        <v>0.92</v>
      </c>
      <c r="N2065">
        <v>0.92</v>
      </c>
      <c r="O2065">
        <v>0</v>
      </c>
      <c r="P2065">
        <v>0</v>
      </c>
      <c r="Q2065" t="s">
        <v>108</v>
      </c>
    </row>
    <row r="2066" spans="1:17">
      <c r="A2066" t="s">
        <v>93</v>
      </c>
      <c r="B2066" t="s">
        <v>106</v>
      </c>
      <c r="C2066" t="s">
        <v>56</v>
      </c>
      <c r="D2066" t="s">
        <v>1849</v>
      </c>
      <c r="E2066">
        <v>22</v>
      </c>
      <c r="F2066" t="str">
        <f>VLOOKUP(E2066,[1]LOJA!$A:$B,2,0)</f>
        <v>GUARÁ</v>
      </c>
      <c r="G2066" t="s">
        <v>19</v>
      </c>
      <c r="H2066" t="s">
        <v>19</v>
      </c>
      <c r="I2066" s="1">
        <v>46048</v>
      </c>
      <c r="J2066" s="1">
        <v>46046</v>
      </c>
      <c r="K2066" s="1">
        <v>46048</v>
      </c>
      <c r="L2066">
        <v>34</v>
      </c>
      <c r="M2066">
        <v>0.51</v>
      </c>
      <c r="N2066">
        <v>0.51</v>
      </c>
      <c r="O2066">
        <v>0</v>
      </c>
      <c r="P2066">
        <v>0</v>
      </c>
      <c r="Q2066" t="s">
        <v>108</v>
      </c>
    </row>
    <row r="2067" spans="1:17">
      <c r="A2067" t="s">
        <v>93</v>
      </c>
      <c r="B2067" t="s">
        <v>106</v>
      </c>
      <c r="C2067" t="s">
        <v>56</v>
      </c>
      <c r="D2067" t="s">
        <v>1850</v>
      </c>
      <c r="E2067">
        <v>22</v>
      </c>
      <c r="F2067" t="str">
        <f>VLOOKUP(E2067,[1]LOJA!$A:$B,2,0)</f>
        <v>GUARÁ</v>
      </c>
      <c r="G2067" t="s">
        <v>19</v>
      </c>
      <c r="H2067" t="s">
        <v>19</v>
      </c>
      <c r="I2067" s="1">
        <v>46048</v>
      </c>
      <c r="J2067" s="1">
        <v>46046</v>
      </c>
      <c r="K2067" s="1">
        <v>46048</v>
      </c>
      <c r="L2067">
        <v>34</v>
      </c>
      <c r="M2067">
        <v>0.15</v>
      </c>
      <c r="N2067">
        <v>0.15</v>
      </c>
      <c r="O2067">
        <v>0</v>
      </c>
      <c r="P2067">
        <v>0</v>
      </c>
      <c r="Q2067" t="s">
        <v>108</v>
      </c>
    </row>
    <row r="2068" spans="1:17">
      <c r="A2068" t="s">
        <v>93</v>
      </c>
      <c r="B2068" t="s">
        <v>106</v>
      </c>
      <c r="C2068" t="s">
        <v>56</v>
      </c>
      <c r="D2068" t="s">
        <v>1851</v>
      </c>
      <c r="E2068">
        <v>22</v>
      </c>
      <c r="F2068" t="str">
        <f>VLOOKUP(E2068,[1]LOJA!$A:$B,2,0)</f>
        <v>GUARÁ</v>
      </c>
      <c r="G2068" t="s">
        <v>19</v>
      </c>
      <c r="H2068" t="s">
        <v>19</v>
      </c>
      <c r="I2068" s="1">
        <v>46048</v>
      </c>
      <c r="J2068" s="1">
        <v>46047</v>
      </c>
      <c r="K2068" s="1">
        <v>46048</v>
      </c>
      <c r="L2068">
        <v>34</v>
      </c>
      <c r="M2068">
        <v>0.2</v>
      </c>
      <c r="N2068">
        <v>0.2</v>
      </c>
      <c r="O2068">
        <v>0</v>
      </c>
      <c r="P2068">
        <v>0</v>
      </c>
      <c r="Q2068" t="s">
        <v>108</v>
      </c>
    </row>
    <row r="2069" spans="1:17">
      <c r="A2069" t="s">
        <v>93</v>
      </c>
      <c r="B2069" t="s">
        <v>106</v>
      </c>
      <c r="C2069" t="s">
        <v>56</v>
      </c>
      <c r="D2069" t="s">
        <v>1852</v>
      </c>
      <c r="E2069">
        <v>22</v>
      </c>
      <c r="F2069" t="str">
        <f>VLOOKUP(E2069,[1]LOJA!$A:$B,2,0)</f>
        <v>GUARÁ</v>
      </c>
      <c r="G2069" t="s">
        <v>19</v>
      </c>
      <c r="H2069" t="s">
        <v>19</v>
      </c>
      <c r="I2069" s="1">
        <v>46048</v>
      </c>
      <c r="J2069" s="1">
        <v>46047</v>
      </c>
      <c r="K2069" s="1">
        <v>46048</v>
      </c>
      <c r="L2069">
        <v>34</v>
      </c>
      <c r="M2069">
        <v>0.18</v>
      </c>
      <c r="N2069">
        <v>0.18</v>
      </c>
      <c r="O2069">
        <v>0</v>
      </c>
      <c r="P2069">
        <v>0</v>
      </c>
      <c r="Q2069" t="s">
        <v>108</v>
      </c>
    </row>
    <row r="2070" spans="1:17">
      <c r="A2070" t="s">
        <v>93</v>
      </c>
      <c r="B2070" t="s">
        <v>106</v>
      </c>
      <c r="C2070" t="s">
        <v>56</v>
      </c>
      <c r="D2070" t="s">
        <v>1853</v>
      </c>
      <c r="E2070">
        <v>22</v>
      </c>
      <c r="F2070" t="str">
        <f>VLOOKUP(E2070,[1]LOJA!$A:$B,2,0)</f>
        <v>GUARÁ</v>
      </c>
      <c r="G2070" t="s">
        <v>19</v>
      </c>
      <c r="H2070" t="s">
        <v>19</v>
      </c>
      <c r="I2070" s="1">
        <v>46048</v>
      </c>
      <c r="J2070" s="1">
        <v>46047</v>
      </c>
      <c r="K2070" s="1">
        <v>46048</v>
      </c>
      <c r="L2070">
        <v>34</v>
      </c>
      <c r="M2070">
        <v>0.44</v>
      </c>
      <c r="N2070">
        <v>0.44</v>
      </c>
      <c r="O2070">
        <v>0</v>
      </c>
      <c r="P2070">
        <v>0</v>
      </c>
      <c r="Q2070" t="s">
        <v>108</v>
      </c>
    </row>
    <row r="2071" spans="1:17">
      <c r="A2071" t="s">
        <v>93</v>
      </c>
      <c r="B2071" t="s">
        <v>106</v>
      </c>
      <c r="C2071" t="s">
        <v>56</v>
      </c>
      <c r="D2071" t="s">
        <v>1854</v>
      </c>
      <c r="E2071">
        <v>22</v>
      </c>
      <c r="F2071" t="str">
        <f>VLOOKUP(E2071,[1]LOJA!$A:$B,2,0)</f>
        <v>GUARÁ</v>
      </c>
      <c r="G2071" t="s">
        <v>19</v>
      </c>
      <c r="H2071" t="s">
        <v>19</v>
      </c>
      <c r="I2071" s="1">
        <v>46048</v>
      </c>
      <c r="J2071" s="1">
        <v>46047</v>
      </c>
      <c r="K2071" s="1">
        <v>46048</v>
      </c>
      <c r="L2071">
        <v>34</v>
      </c>
      <c r="M2071">
        <v>0.67</v>
      </c>
      <c r="N2071">
        <v>0.67</v>
      </c>
      <c r="O2071">
        <v>0</v>
      </c>
      <c r="P2071">
        <v>0</v>
      </c>
      <c r="Q2071" t="s">
        <v>108</v>
      </c>
    </row>
    <row r="2072" spans="1:17">
      <c r="A2072" t="s">
        <v>93</v>
      </c>
      <c r="B2072" t="s">
        <v>106</v>
      </c>
      <c r="C2072" t="s">
        <v>56</v>
      </c>
      <c r="D2072" t="s">
        <v>1855</v>
      </c>
      <c r="E2072">
        <v>22</v>
      </c>
      <c r="F2072" t="str">
        <f>VLOOKUP(E2072,[1]LOJA!$A:$B,2,0)</f>
        <v>GUARÁ</v>
      </c>
      <c r="G2072" t="s">
        <v>19</v>
      </c>
      <c r="H2072" t="s">
        <v>19</v>
      </c>
      <c r="I2072" s="1">
        <v>46048</v>
      </c>
      <c r="J2072" s="1">
        <v>46047</v>
      </c>
      <c r="K2072" s="1">
        <v>46048</v>
      </c>
      <c r="L2072">
        <v>34</v>
      </c>
      <c r="M2072">
        <v>0.34</v>
      </c>
      <c r="N2072">
        <v>0.34</v>
      </c>
      <c r="O2072">
        <v>0</v>
      </c>
      <c r="P2072">
        <v>0</v>
      </c>
      <c r="Q2072" t="s">
        <v>108</v>
      </c>
    </row>
    <row r="2073" spans="1:17">
      <c r="A2073" t="s">
        <v>93</v>
      </c>
      <c r="B2073" t="s">
        <v>106</v>
      </c>
      <c r="C2073" t="s">
        <v>56</v>
      </c>
      <c r="D2073" t="s">
        <v>1856</v>
      </c>
      <c r="E2073">
        <v>22</v>
      </c>
      <c r="F2073" t="str">
        <f>VLOOKUP(E2073,[1]LOJA!$A:$B,2,0)</f>
        <v>GUARÁ</v>
      </c>
      <c r="G2073" t="s">
        <v>19</v>
      </c>
      <c r="H2073" t="s">
        <v>19</v>
      </c>
      <c r="I2073" s="1">
        <v>46048</v>
      </c>
      <c r="J2073" s="1">
        <v>46047</v>
      </c>
      <c r="K2073" s="1">
        <v>46048</v>
      </c>
      <c r="L2073">
        <v>34</v>
      </c>
      <c r="M2073">
        <v>8.0399999999999991</v>
      </c>
      <c r="N2073">
        <v>8.0399999999999991</v>
      </c>
      <c r="O2073">
        <v>0</v>
      </c>
      <c r="P2073">
        <v>0</v>
      </c>
      <c r="Q2073" t="s">
        <v>108</v>
      </c>
    </row>
    <row r="2074" spans="1:17">
      <c r="A2074" t="s">
        <v>93</v>
      </c>
      <c r="B2074" t="s">
        <v>106</v>
      </c>
      <c r="C2074" t="s">
        <v>56</v>
      </c>
      <c r="D2074" t="s">
        <v>1857</v>
      </c>
      <c r="E2074">
        <v>22</v>
      </c>
      <c r="F2074" t="str">
        <f>VLOOKUP(E2074,[1]LOJA!$A:$B,2,0)</f>
        <v>GUARÁ</v>
      </c>
      <c r="G2074" t="s">
        <v>19</v>
      </c>
      <c r="H2074" t="s">
        <v>19</v>
      </c>
      <c r="I2074" s="1">
        <v>46048</v>
      </c>
      <c r="J2074" s="1">
        <v>46047</v>
      </c>
      <c r="K2074" s="1">
        <v>46048</v>
      </c>
      <c r="L2074">
        <v>34</v>
      </c>
      <c r="M2074">
        <v>0.03</v>
      </c>
      <c r="N2074">
        <v>0.03</v>
      </c>
      <c r="O2074">
        <v>0</v>
      </c>
      <c r="P2074">
        <v>0</v>
      </c>
      <c r="Q2074" t="s">
        <v>108</v>
      </c>
    </row>
    <row r="2075" spans="1:17">
      <c r="A2075" t="s">
        <v>93</v>
      </c>
      <c r="B2075" t="s">
        <v>106</v>
      </c>
      <c r="C2075" t="s">
        <v>56</v>
      </c>
      <c r="D2075" t="s">
        <v>1858</v>
      </c>
      <c r="E2075">
        <v>22</v>
      </c>
      <c r="F2075" t="str">
        <f>VLOOKUP(E2075,[1]LOJA!$A:$B,2,0)</f>
        <v>GUARÁ</v>
      </c>
      <c r="G2075" t="s">
        <v>19</v>
      </c>
      <c r="H2075" t="s">
        <v>19</v>
      </c>
      <c r="I2075" s="1">
        <v>46048</v>
      </c>
      <c r="J2075" s="1">
        <v>46047</v>
      </c>
      <c r="K2075" s="1">
        <v>46048</v>
      </c>
      <c r="L2075">
        <v>34</v>
      </c>
      <c r="M2075">
        <v>0.27</v>
      </c>
      <c r="N2075">
        <v>0.27</v>
      </c>
      <c r="O2075">
        <v>0</v>
      </c>
      <c r="P2075">
        <v>0</v>
      </c>
      <c r="Q2075" t="s">
        <v>108</v>
      </c>
    </row>
    <row r="2076" spans="1:17">
      <c r="A2076" t="s">
        <v>93</v>
      </c>
      <c r="B2076" t="s">
        <v>106</v>
      </c>
      <c r="C2076" t="s">
        <v>56</v>
      </c>
      <c r="D2076" t="s">
        <v>1859</v>
      </c>
      <c r="E2076">
        <v>22</v>
      </c>
      <c r="F2076" t="str">
        <f>VLOOKUP(E2076,[1]LOJA!$A:$B,2,0)</f>
        <v>GUARÁ</v>
      </c>
      <c r="G2076" t="s">
        <v>19</v>
      </c>
      <c r="H2076" t="s">
        <v>19</v>
      </c>
      <c r="I2076" s="1">
        <v>46048</v>
      </c>
      <c r="J2076" s="1">
        <v>46047</v>
      </c>
      <c r="K2076" s="1">
        <v>46048</v>
      </c>
      <c r="L2076">
        <v>34</v>
      </c>
      <c r="M2076">
        <v>0.32</v>
      </c>
      <c r="N2076">
        <v>0.32</v>
      </c>
      <c r="O2076">
        <v>0</v>
      </c>
      <c r="P2076">
        <v>0</v>
      </c>
      <c r="Q2076" t="s">
        <v>108</v>
      </c>
    </row>
    <row r="2077" spans="1:17">
      <c r="A2077" t="s">
        <v>93</v>
      </c>
      <c r="B2077" t="s">
        <v>106</v>
      </c>
      <c r="C2077" t="s">
        <v>56</v>
      </c>
      <c r="D2077" t="s">
        <v>1860</v>
      </c>
      <c r="E2077">
        <v>22</v>
      </c>
      <c r="F2077" t="str">
        <f>VLOOKUP(E2077,[1]LOJA!$A:$B,2,0)</f>
        <v>GUARÁ</v>
      </c>
      <c r="G2077" t="s">
        <v>19</v>
      </c>
      <c r="H2077" t="s">
        <v>19</v>
      </c>
      <c r="I2077" s="1">
        <v>46048</v>
      </c>
      <c r="J2077" s="1">
        <v>46047</v>
      </c>
      <c r="K2077" s="1">
        <v>46048</v>
      </c>
      <c r="L2077">
        <v>34</v>
      </c>
      <c r="M2077">
        <v>0.42</v>
      </c>
      <c r="N2077">
        <v>0.42</v>
      </c>
      <c r="O2077">
        <v>0</v>
      </c>
      <c r="P2077">
        <v>0</v>
      </c>
      <c r="Q2077" t="s">
        <v>108</v>
      </c>
    </row>
    <row r="2078" spans="1:17">
      <c r="A2078" t="s">
        <v>93</v>
      </c>
      <c r="B2078" t="s">
        <v>106</v>
      </c>
      <c r="C2078" t="s">
        <v>56</v>
      </c>
      <c r="D2078" t="s">
        <v>1861</v>
      </c>
      <c r="E2078">
        <v>22</v>
      </c>
      <c r="F2078" t="str">
        <f>VLOOKUP(E2078,[1]LOJA!$A:$B,2,0)</f>
        <v>GUARÁ</v>
      </c>
      <c r="G2078" t="s">
        <v>19</v>
      </c>
      <c r="H2078" t="s">
        <v>19</v>
      </c>
      <c r="I2078" s="1">
        <v>46048</v>
      </c>
      <c r="J2078" s="1">
        <v>46047</v>
      </c>
      <c r="K2078" s="1">
        <v>46048</v>
      </c>
      <c r="L2078">
        <v>34</v>
      </c>
      <c r="M2078">
        <v>0.2</v>
      </c>
      <c r="N2078">
        <v>0.2</v>
      </c>
      <c r="O2078">
        <v>0</v>
      </c>
      <c r="P2078">
        <v>0</v>
      </c>
      <c r="Q2078" t="s">
        <v>108</v>
      </c>
    </row>
    <row r="2079" spans="1:17">
      <c r="A2079" t="s">
        <v>93</v>
      </c>
      <c r="B2079" t="s">
        <v>106</v>
      </c>
      <c r="C2079" t="s">
        <v>56</v>
      </c>
      <c r="D2079" t="s">
        <v>1862</v>
      </c>
      <c r="E2079">
        <v>22</v>
      </c>
      <c r="F2079" t="str">
        <f>VLOOKUP(E2079,[1]LOJA!$A:$B,2,0)</f>
        <v>GUARÁ</v>
      </c>
      <c r="G2079" t="s">
        <v>19</v>
      </c>
      <c r="H2079" t="s">
        <v>19</v>
      </c>
      <c r="I2079" s="1">
        <v>46048</v>
      </c>
      <c r="J2079" s="1">
        <v>46047</v>
      </c>
      <c r="K2079" s="1">
        <v>46048</v>
      </c>
      <c r="L2079">
        <v>34</v>
      </c>
      <c r="M2079">
        <v>0.3</v>
      </c>
      <c r="N2079">
        <v>0.3</v>
      </c>
      <c r="O2079">
        <v>0</v>
      </c>
      <c r="P2079">
        <v>0</v>
      </c>
      <c r="Q2079" t="s">
        <v>108</v>
      </c>
    </row>
    <row r="2080" spans="1:17">
      <c r="A2080" t="s">
        <v>93</v>
      </c>
      <c r="B2080" t="s">
        <v>106</v>
      </c>
      <c r="C2080" t="s">
        <v>56</v>
      </c>
      <c r="D2080" t="s">
        <v>1863</v>
      </c>
      <c r="E2080">
        <v>22</v>
      </c>
      <c r="F2080" t="str">
        <f>VLOOKUP(E2080,[1]LOJA!$A:$B,2,0)</f>
        <v>GUARÁ</v>
      </c>
      <c r="G2080" t="s">
        <v>19</v>
      </c>
      <c r="H2080" t="s">
        <v>19</v>
      </c>
      <c r="I2080" s="1">
        <v>46048</v>
      </c>
      <c r="J2080" s="1">
        <v>46047</v>
      </c>
      <c r="K2080" s="1">
        <v>46048</v>
      </c>
      <c r="L2080">
        <v>34</v>
      </c>
      <c r="M2080">
        <v>7.0000000000000007E-2</v>
      </c>
      <c r="N2080">
        <v>7.0000000000000007E-2</v>
      </c>
      <c r="O2080">
        <v>0</v>
      </c>
      <c r="P2080">
        <v>0</v>
      </c>
      <c r="Q2080" t="s">
        <v>108</v>
      </c>
    </row>
    <row r="2081" spans="1:17">
      <c r="A2081" t="s">
        <v>93</v>
      </c>
      <c r="B2081" t="s">
        <v>106</v>
      </c>
      <c r="C2081" t="s">
        <v>56</v>
      </c>
      <c r="D2081" t="s">
        <v>1864</v>
      </c>
      <c r="E2081">
        <v>22</v>
      </c>
      <c r="F2081" t="str">
        <f>VLOOKUP(E2081,[1]LOJA!$A:$B,2,0)</f>
        <v>GUARÁ</v>
      </c>
      <c r="G2081" t="s">
        <v>19</v>
      </c>
      <c r="H2081" t="s">
        <v>19</v>
      </c>
      <c r="I2081" s="1">
        <v>46048</v>
      </c>
      <c r="J2081" s="1">
        <v>46047</v>
      </c>
      <c r="K2081" s="1">
        <v>46048</v>
      </c>
      <c r="L2081">
        <v>34</v>
      </c>
      <c r="M2081">
        <v>0.67</v>
      </c>
      <c r="N2081">
        <v>0.67</v>
      </c>
      <c r="O2081">
        <v>0</v>
      </c>
      <c r="P2081">
        <v>0</v>
      </c>
      <c r="Q2081" t="s">
        <v>108</v>
      </c>
    </row>
    <row r="2082" spans="1:17">
      <c r="A2082" t="s">
        <v>93</v>
      </c>
      <c r="B2082" t="s">
        <v>106</v>
      </c>
      <c r="C2082" t="s">
        <v>56</v>
      </c>
      <c r="D2082" t="s">
        <v>1865</v>
      </c>
      <c r="E2082">
        <v>24</v>
      </c>
      <c r="F2082" t="str">
        <f>VLOOKUP(E2082,[1]LOJA!$A:$B,2,0)</f>
        <v>LUZIÂNIA</v>
      </c>
      <c r="G2082" t="s">
        <v>19</v>
      </c>
      <c r="H2082" t="s">
        <v>19</v>
      </c>
      <c r="I2082" s="1">
        <v>46024</v>
      </c>
      <c r="J2082" s="1">
        <v>46024</v>
      </c>
      <c r="K2082" s="1">
        <v>46024</v>
      </c>
      <c r="L2082">
        <v>34</v>
      </c>
      <c r="M2082">
        <v>21.59</v>
      </c>
      <c r="N2082">
        <v>21.59</v>
      </c>
      <c r="O2082">
        <v>0</v>
      </c>
      <c r="P2082">
        <v>0</v>
      </c>
      <c r="Q2082" t="s">
        <v>108</v>
      </c>
    </row>
    <row r="2083" spans="1:17">
      <c r="A2083" t="s">
        <v>93</v>
      </c>
      <c r="B2083" t="s">
        <v>106</v>
      </c>
      <c r="C2083" t="s">
        <v>56</v>
      </c>
      <c r="D2083" t="s">
        <v>1866</v>
      </c>
      <c r="E2083">
        <v>24</v>
      </c>
      <c r="F2083" t="str">
        <f>VLOOKUP(E2083,[1]LOJA!$A:$B,2,0)</f>
        <v>LUZIÂNIA</v>
      </c>
      <c r="G2083" t="s">
        <v>19</v>
      </c>
      <c r="H2083" t="s">
        <v>19</v>
      </c>
      <c r="I2083" s="1">
        <v>46024</v>
      </c>
      <c r="J2083" s="1">
        <v>46024</v>
      </c>
      <c r="K2083" s="1">
        <v>46024</v>
      </c>
      <c r="L2083">
        <v>34</v>
      </c>
      <c r="M2083">
        <v>5.84</v>
      </c>
      <c r="N2083">
        <v>5.84</v>
      </c>
      <c r="O2083">
        <v>0</v>
      </c>
      <c r="P2083">
        <v>0</v>
      </c>
      <c r="Q2083" t="s">
        <v>108</v>
      </c>
    </row>
    <row r="2084" spans="1:17">
      <c r="A2084" t="s">
        <v>93</v>
      </c>
      <c r="B2084" t="s">
        <v>106</v>
      </c>
      <c r="C2084" t="s">
        <v>56</v>
      </c>
      <c r="D2084" t="s">
        <v>1867</v>
      </c>
      <c r="E2084">
        <v>24</v>
      </c>
      <c r="F2084" t="str">
        <f>VLOOKUP(E2084,[1]LOJA!$A:$B,2,0)</f>
        <v>LUZIÂNIA</v>
      </c>
      <c r="G2084" t="s">
        <v>19</v>
      </c>
      <c r="H2084" t="s">
        <v>19</v>
      </c>
      <c r="I2084" s="1">
        <v>46024</v>
      </c>
      <c r="J2084" s="1">
        <v>46024</v>
      </c>
      <c r="K2084" s="1">
        <v>46024</v>
      </c>
      <c r="L2084">
        <v>34</v>
      </c>
      <c r="M2084">
        <v>22.29</v>
      </c>
      <c r="N2084">
        <v>22.29</v>
      </c>
      <c r="O2084">
        <v>0</v>
      </c>
      <c r="P2084">
        <v>0</v>
      </c>
      <c r="Q2084" t="s">
        <v>108</v>
      </c>
    </row>
    <row r="2085" spans="1:17">
      <c r="A2085" t="s">
        <v>93</v>
      </c>
      <c r="B2085" t="s">
        <v>106</v>
      </c>
      <c r="C2085" t="s">
        <v>56</v>
      </c>
      <c r="D2085" t="s">
        <v>1868</v>
      </c>
      <c r="E2085">
        <v>24</v>
      </c>
      <c r="F2085" t="str">
        <f>VLOOKUP(E2085,[1]LOJA!$A:$B,2,0)</f>
        <v>LUZIÂNIA</v>
      </c>
      <c r="G2085" t="s">
        <v>19</v>
      </c>
      <c r="H2085" t="s">
        <v>19</v>
      </c>
      <c r="I2085" s="1">
        <v>46024</v>
      </c>
      <c r="J2085" s="1">
        <v>46024</v>
      </c>
      <c r="K2085" s="1">
        <v>46024</v>
      </c>
      <c r="L2085">
        <v>34</v>
      </c>
      <c r="M2085">
        <v>5.98</v>
      </c>
      <c r="N2085">
        <v>5.98</v>
      </c>
      <c r="O2085">
        <v>0</v>
      </c>
      <c r="P2085">
        <v>0</v>
      </c>
      <c r="Q2085" t="s">
        <v>108</v>
      </c>
    </row>
    <row r="2086" spans="1:17">
      <c r="A2086" t="s">
        <v>93</v>
      </c>
      <c r="B2086" t="s">
        <v>106</v>
      </c>
      <c r="C2086" t="s">
        <v>56</v>
      </c>
      <c r="D2086" t="s">
        <v>1869</v>
      </c>
      <c r="E2086">
        <v>24</v>
      </c>
      <c r="F2086" t="str">
        <f>VLOOKUP(E2086,[1]LOJA!$A:$B,2,0)</f>
        <v>LUZIÂNIA</v>
      </c>
      <c r="G2086" t="s">
        <v>19</v>
      </c>
      <c r="H2086" t="s">
        <v>19</v>
      </c>
      <c r="I2086" s="1">
        <v>46024</v>
      </c>
      <c r="J2086" s="1">
        <v>46024</v>
      </c>
      <c r="K2086" s="1">
        <v>46024</v>
      </c>
      <c r="L2086">
        <v>34</v>
      </c>
      <c r="M2086">
        <v>7.3</v>
      </c>
      <c r="N2086">
        <v>7.3</v>
      </c>
      <c r="O2086">
        <v>0</v>
      </c>
      <c r="P2086">
        <v>0</v>
      </c>
      <c r="Q2086" t="s">
        <v>108</v>
      </c>
    </row>
    <row r="2087" spans="1:17">
      <c r="A2087" t="s">
        <v>93</v>
      </c>
      <c r="B2087" t="s">
        <v>106</v>
      </c>
      <c r="C2087" t="s">
        <v>56</v>
      </c>
      <c r="D2087" t="s">
        <v>1870</v>
      </c>
      <c r="E2087">
        <v>24</v>
      </c>
      <c r="F2087" t="str">
        <f>VLOOKUP(E2087,[1]LOJA!$A:$B,2,0)</f>
        <v>LUZIÂNIA</v>
      </c>
      <c r="G2087" t="s">
        <v>19</v>
      </c>
      <c r="H2087" t="s">
        <v>19</v>
      </c>
      <c r="I2087" s="1">
        <v>46024</v>
      </c>
      <c r="J2087" s="1">
        <v>46024</v>
      </c>
      <c r="K2087" s="1">
        <v>46024</v>
      </c>
      <c r="L2087">
        <v>34</v>
      </c>
      <c r="M2087">
        <v>3.65</v>
      </c>
      <c r="N2087">
        <v>3.65</v>
      </c>
      <c r="O2087">
        <v>0</v>
      </c>
      <c r="P2087">
        <v>0</v>
      </c>
      <c r="Q2087" t="s">
        <v>108</v>
      </c>
    </row>
    <row r="2088" spans="1:17">
      <c r="A2088" t="s">
        <v>93</v>
      </c>
      <c r="B2088" t="s">
        <v>106</v>
      </c>
      <c r="C2088" t="s">
        <v>56</v>
      </c>
      <c r="D2088" t="s">
        <v>1871</v>
      </c>
      <c r="E2088">
        <v>24</v>
      </c>
      <c r="F2088" t="str">
        <f>VLOOKUP(E2088,[1]LOJA!$A:$B,2,0)</f>
        <v>LUZIÂNIA</v>
      </c>
      <c r="G2088" t="s">
        <v>19</v>
      </c>
      <c r="H2088" t="s">
        <v>19</v>
      </c>
      <c r="I2088" s="1">
        <v>46024</v>
      </c>
      <c r="J2088" s="1">
        <v>46024</v>
      </c>
      <c r="K2088" s="1">
        <v>46024</v>
      </c>
      <c r="L2088">
        <v>34</v>
      </c>
      <c r="M2088">
        <v>11.95</v>
      </c>
      <c r="N2088">
        <v>11.95</v>
      </c>
      <c r="O2088">
        <v>0</v>
      </c>
      <c r="P2088">
        <v>0</v>
      </c>
      <c r="Q2088" t="s">
        <v>108</v>
      </c>
    </row>
    <row r="2089" spans="1:17">
      <c r="A2089" t="s">
        <v>93</v>
      </c>
      <c r="B2089" t="s">
        <v>106</v>
      </c>
      <c r="C2089" t="s">
        <v>56</v>
      </c>
      <c r="D2089" t="s">
        <v>1872</v>
      </c>
      <c r="E2089">
        <v>24</v>
      </c>
      <c r="F2089" t="str">
        <f>VLOOKUP(E2089,[1]LOJA!$A:$B,2,0)</f>
        <v>LUZIÂNIA</v>
      </c>
      <c r="G2089" t="s">
        <v>19</v>
      </c>
      <c r="H2089" t="s">
        <v>19</v>
      </c>
      <c r="I2089" s="1">
        <v>46024</v>
      </c>
      <c r="J2089" s="1">
        <v>46024</v>
      </c>
      <c r="K2089" s="1">
        <v>46024</v>
      </c>
      <c r="L2089">
        <v>34</v>
      </c>
      <c r="M2089">
        <v>2.34</v>
      </c>
      <c r="N2089">
        <v>2.34</v>
      </c>
      <c r="O2089">
        <v>0</v>
      </c>
      <c r="P2089">
        <v>0</v>
      </c>
      <c r="Q2089" t="s">
        <v>108</v>
      </c>
    </row>
    <row r="2090" spans="1:17">
      <c r="A2090" t="s">
        <v>93</v>
      </c>
      <c r="B2090" t="s">
        <v>106</v>
      </c>
      <c r="C2090" t="s">
        <v>56</v>
      </c>
      <c r="D2090" t="s">
        <v>1873</v>
      </c>
      <c r="E2090">
        <v>24</v>
      </c>
      <c r="F2090" t="str">
        <f>VLOOKUP(E2090,[1]LOJA!$A:$B,2,0)</f>
        <v>LUZIÂNIA</v>
      </c>
      <c r="G2090" t="s">
        <v>19</v>
      </c>
      <c r="H2090" t="s">
        <v>19</v>
      </c>
      <c r="I2090" s="1">
        <v>46024</v>
      </c>
      <c r="J2090" s="1">
        <v>46024</v>
      </c>
      <c r="K2090" s="1">
        <v>46024</v>
      </c>
      <c r="L2090">
        <v>34</v>
      </c>
      <c r="M2090">
        <v>4.54</v>
      </c>
      <c r="N2090">
        <v>4.54</v>
      </c>
      <c r="O2090">
        <v>0</v>
      </c>
      <c r="P2090">
        <v>0</v>
      </c>
      <c r="Q2090" t="s">
        <v>108</v>
      </c>
    </row>
    <row r="2091" spans="1:17">
      <c r="A2091" t="s">
        <v>93</v>
      </c>
      <c r="B2091" t="s">
        <v>106</v>
      </c>
      <c r="C2091" t="s">
        <v>56</v>
      </c>
      <c r="D2091" t="s">
        <v>1874</v>
      </c>
      <c r="E2091">
        <v>24</v>
      </c>
      <c r="F2091" t="str">
        <f>VLOOKUP(E2091,[1]LOJA!$A:$B,2,0)</f>
        <v>LUZIÂNIA</v>
      </c>
      <c r="G2091" t="s">
        <v>19</v>
      </c>
      <c r="H2091" t="s">
        <v>19</v>
      </c>
      <c r="I2091" s="1">
        <v>46024</v>
      </c>
      <c r="J2091" s="1">
        <v>46024</v>
      </c>
      <c r="K2091" s="1">
        <v>46024</v>
      </c>
      <c r="L2091">
        <v>34</v>
      </c>
      <c r="M2091">
        <v>2.7</v>
      </c>
      <c r="N2091">
        <v>2.7</v>
      </c>
      <c r="O2091">
        <v>0</v>
      </c>
      <c r="P2091">
        <v>0</v>
      </c>
      <c r="Q2091" t="s">
        <v>108</v>
      </c>
    </row>
    <row r="2092" spans="1:17">
      <c r="A2092" t="s">
        <v>93</v>
      </c>
      <c r="B2092" t="s">
        <v>106</v>
      </c>
      <c r="C2092" t="s">
        <v>56</v>
      </c>
      <c r="D2092" t="s">
        <v>1875</v>
      </c>
      <c r="E2092">
        <v>24</v>
      </c>
      <c r="F2092" t="str">
        <f>VLOOKUP(E2092,[1]LOJA!$A:$B,2,0)</f>
        <v>LUZIÂNIA</v>
      </c>
      <c r="G2092" t="s">
        <v>19</v>
      </c>
      <c r="H2092" t="s">
        <v>19</v>
      </c>
      <c r="I2092" s="1">
        <v>46024</v>
      </c>
      <c r="J2092" s="1">
        <v>46024</v>
      </c>
      <c r="K2092" s="1">
        <v>46024</v>
      </c>
      <c r="L2092">
        <v>34</v>
      </c>
      <c r="M2092">
        <v>6.78</v>
      </c>
      <c r="N2092">
        <v>6.78</v>
      </c>
      <c r="O2092">
        <v>0</v>
      </c>
      <c r="P2092">
        <v>0</v>
      </c>
      <c r="Q2092" t="s">
        <v>108</v>
      </c>
    </row>
    <row r="2093" spans="1:17">
      <c r="A2093" t="s">
        <v>93</v>
      </c>
      <c r="B2093" t="s">
        <v>106</v>
      </c>
      <c r="C2093" t="s">
        <v>56</v>
      </c>
      <c r="D2093" t="s">
        <v>1876</v>
      </c>
      <c r="E2093">
        <v>24</v>
      </c>
      <c r="F2093" t="str">
        <f>VLOOKUP(E2093,[1]LOJA!$A:$B,2,0)</f>
        <v>LUZIÂNIA</v>
      </c>
      <c r="G2093" t="s">
        <v>19</v>
      </c>
      <c r="H2093" t="s">
        <v>19</v>
      </c>
      <c r="I2093" s="1">
        <v>46024</v>
      </c>
      <c r="J2093" s="1">
        <v>46024</v>
      </c>
      <c r="K2093" s="1">
        <v>46024</v>
      </c>
      <c r="L2093">
        <v>34</v>
      </c>
      <c r="M2093">
        <v>32.85</v>
      </c>
      <c r="N2093">
        <v>32.85</v>
      </c>
      <c r="O2093">
        <v>0</v>
      </c>
      <c r="P2093">
        <v>0</v>
      </c>
      <c r="Q2093" t="s">
        <v>108</v>
      </c>
    </row>
    <row r="2094" spans="1:17">
      <c r="A2094" t="s">
        <v>93</v>
      </c>
      <c r="B2094" t="s">
        <v>106</v>
      </c>
      <c r="C2094" t="s">
        <v>56</v>
      </c>
      <c r="D2094" t="s">
        <v>1877</v>
      </c>
      <c r="E2094">
        <v>24</v>
      </c>
      <c r="F2094" t="str">
        <f>VLOOKUP(E2094,[1]LOJA!$A:$B,2,0)</f>
        <v>LUZIÂNIA</v>
      </c>
      <c r="G2094" t="s">
        <v>19</v>
      </c>
      <c r="H2094" t="s">
        <v>19</v>
      </c>
      <c r="I2094" s="1">
        <v>46024</v>
      </c>
      <c r="J2094" s="1">
        <v>46023</v>
      </c>
      <c r="K2094" s="1">
        <v>46024</v>
      </c>
      <c r="L2094">
        <v>34</v>
      </c>
      <c r="M2094">
        <v>0.61</v>
      </c>
      <c r="N2094">
        <v>0.61</v>
      </c>
      <c r="O2094">
        <v>0</v>
      </c>
      <c r="P2094">
        <v>0</v>
      </c>
      <c r="Q2094" t="s">
        <v>108</v>
      </c>
    </row>
    <row r="2095" spans="1:17">
      <c r="A2095" t="s">
        <v>93</v>
      </c>
      <c r="B2095" t="s">
        <v>106</v>
      </c>
      <c r="C2095" t="s">
        <v>56</v>
      </c>
      <c r="D2095" t="s">
        <v>1878</v>
      </c>
      <c r="E2095">
        <v>24</v>
      </c>
      <c r="F2095" t="str">
        <f>VLOOKUP(E2095,[1]LOJA!$A:$B,2,0)</f>
        <v>LUZIÂNIA</v>
      </c>
      <c r="G2095" t="s">
        <v>19</v>
      </c>
      <c r="H2095" t="s">
        <v>19</v>
      </c>
      <c r="I2095" s="1">
        <v>46024</v>
      </c>
      <c r="J2095" s="1">
        <v>46023</v>
      </c>
      <c r="K2095" s="1">
        <v>46024</v>
      </c>
      <c r="L2095">
        <v>34</v>
      </c>
      <c r="M2095">
        <v>1.19</v>
      </c>
      <c r="N2095">
        <v>1.19</v>
      </c>
      <c r="O2095">
        <v>0</v>
      </c>
      <c r="P2095">
        <v>0</v>
      </c>
      <c r="Q2095" t="s">
        <v>108</v>
      </c>
    </row>
    <row r="2096" spans="1:17">
      <c r="A2096" t="s">
        <v>93</v>
      </c>
      <c r="B2096" t="s">
        <v>106</v>
      </c>
      <c r="C2096" t="s">
        <v>56</v>
      </c>
      <c r="D2096" t="s">
        <v>1879</v>
      </c>
      <c r="E2096">
        <v>24</v>
      </c>
      <c r="F2096" t="str">
        <f>VLOOKUP(E2096,[1]LOJA!$A:$B,2,0)</f>
        <v>LUZIÂNIA</v>
      </c>
      <c r="G2096" t="s">
        <v>19</v>
      </c>
      <c r="H2096" t="s">
        <v>19</v>
      </c>
      <c r="I2096" s="1">
        <v>46024</v>
      </c>
      <c r="J2096" s="1">
        <v>46023</v>
      </c>
      <c r="K2096" s="1">
        <v>46024</v>
      </c>
      <c r="L2096">
        <v>34</v>
      </c>
      <c r="M2096">
        <v>0.63</v>
      </c>
      <c r="N2096">
        <v>0.63</v>
      </c>
      <c r="O2096">
        <v>0</v>
      </c>
      <c r="P2096">
        <v>0</v>
      </c>
      <c r="Q2096" t="s">
        <v>108</v>
      </c>
    </row>
    <row r="2097" spans="1:17">
      <c r="A2097" t="s">
        <v>93</v>
      </c>
      <c r="B2097" t="s">
        <v>106</v>
      </c>
      <c r="C2097" t="s">
        <v>56</v>
      </c>
      <c r="D2097" t="s">
        <v>1880</v>
      </c>
      <c r="E2097">
        <v>24</v>
      </c>
      <c r="F2097" t="str">
        <f>VLOOKUP(E2097,[1]LOJA!$A:$B,2,0)</f>
        <v>LUZIÂNIA</v>
      </c>
      <c r="G2097" t="s">
        <v>19</v>
      </c>
      <c r="H2097" t="s">
        <v>19</v>
      </c>
      <c r="I2097" s="1">
        <v>46024</v>
      </c>
      <c r="J2097" s="1">
        <v>46024</v>
      </c>
      <c r="K2097" s="1">
        <v>46024</v>
      </c>
      <c r="L2097">
        <v>34</v>
      </c>
      <c r="M2097">
        <v>2.89</v>
      </c>
      <c r="N2097">
        <v>2.89</v>
      </c>
      <c r="O2097">
        <v>0</v>
      </c>
      <c r="P2097">
        <v>0</v>
      </c>
      <c r="Q2097" t="s">
        <v>108</v>
      </c>
    </row>
    <row r="2098" spans="1:17">
      <c r="A2098" t="s">
        <v>93</v>
      </c>
      <c r="B2098" t="s">
        <v>106</v>
      </c>
      <c r="C2098" t="s">
        <v>56</v>
      </c>
      <c r="D2098" t="s">
        <v>1881</v>
      </c>
      <c r="E2098">
        <v>24</v>
      </c>
      <c r="F2098" t="str">
        <f>VLOOKUP(E2098,[1]LOJA!$A:$B,2,0)</f>
        <v>LUZIÂNIA</v>
      </c>
      <c r="G2098" t="s">
        <v>19</v>
      </c>
      <c r="H2098" t="s">
        <v>19</v>
      </c>
      <c r="I2098" s="1">
        <v>46024</v>
      </c>
      <c r="J2098" s="1">
        <v>46024</v>
      </c>
      <c r="K2098" s="1">
        <v>46024</v>
      </c>
      <c r="L2098">
        <v>34</v>
      </c>
      <c r="M2098">
        <v>2.19</v>
      </c>
      <c r="N2098">
        <v>2.19</v>
      </c>
      <c r="O2098">
        <v>0</v>
      </c>
      <c r="P2098">
        <v>0</v>
      </c>
      <c r="Q2098" t="s">
        <v>108</v>
      </c>
    </row>
    <row r="2099" spans="1:17">
      <c r="A2099" t="s">
        <v>93</v>
      </c>
      <c r="B2099" t="s">
        <v>106</v>
      </c>
      <c r="C2099" t="s">
        <v>56</v>
      </c>
      <c r="D2099" t="s">
        <v>1882</v>
      </c>
      <c r="E2099">
        <v>24</v>
      </c>
      <c r="F2099" t="str">
        <f>VLOOKUP(E2099,[1]LOJA!$A:$B,2,0)</f>
        <v>LUZIÂNIA</v>
      </c>
      <c r="G2099" t="s">
        <v>19</v>
      </c>
      <c r="H2099" t="s">
        <v>19</v>
      </c>
      <c r="I2099" s="1">
        <v>46024</v>
      </c>
      <c r="J2099" s="1">
        <v>46024</v>
      </c>
      <c r="K2099" s="1">
        <v>46024</v>
      </c>
      <c r="L2099">
        <v>34</v>
      </c>
      <c r="M2099">
        <v>0.79</v>
      </c>
      <c r="N2099">
        <v>0.79</v>
      </c>
      <c r="O2099">
        <v>0</v>
      </c>
      <c r="P2099">
        <v>0</v>
      </c>
      <c r="Q2099" t="s">
        <v>108</v>
      </c>
    </row>
    <row r="2100" spans="1:17">
      <c r="A2100" t="s">
        <v>93</v>
      </c>
      <c r="B2100" t="s">
        <v>106</v>
      </c>
      <c r="C2100" t="s">
        <v>56</v>
      </c>
      <c r="D2100" t="s">
        <v>1883</v>
      </c>
      <c r="E2100">
        <v>24</v>
      </c>
      <c r="F2100" t="str">
        <f>VLOOKUP(E2100,[1]LOJA!$A:$B,2,0)</f>
        <v>LUZIÂNIA</v>
      </c>
      <c r="G2100" t="s">
        <v>19</v>
      </c>
      <c r="H2100" t="s">
        <v>19</v>
      </c>
      <c r="I2100" s="1">
        <v>46024</v>
      </c>
      <c r="J2100" s="1">
        <v>46024</v>
      </c>
      <c r="K2100" s="1">
        <v>46024</v>
      </c>
      <c r="L2100">
        <v>34</v>
      </c>
      <c r="M2100">
        <v>35</v>
      </c>
      <c r="N2100">
        <v>35</v>
      </c>
      <c r="O2100">
        <v>0</v>
      </c>
      <c r="P2100">
        <v>0</v>
      </c>
      <c r="Q2100" t="s">
        <v>108</v>
      </c>
    </row>
    <row r="2101" spans="1:17">
      <c r="A2101" t="s">
        <v>93</v>
      </c>
      <c r="B2101" t="s">
        <v>106</v>
      </c>
      <c r="C2101" t="s">
        <v>56</v>
      </c>
      <c r="D2101" t="s">
        <v>1884</v>
      </c>
      <c r="E2101">
        <v>24</v>
      </c>
      <c r="F2101" t="str">
        <f>VLOOKUP(E2101,[1]LOJA!$A:$B,2,0)</f>
        <v>LUZIÂNIA</v>
      </c>
      <c r="G2101" t="s">
        <v>19</v>
      </c>
      <c r="H2101" t="s">
        <v>19</v>
      </c>
      <c r="I2101" s="1">
        <v>46024</v>
      </c>
      <c r="J2101" s="1">
        <v>46024</v>
      </c>
      <c r="K2101" s="1">
        <v>46024</v>
      </c>
      <c r="L2101">
        <v>34</v>
      </c>
      <c r="M2101">
        <v>2.92</v>
      </c>
      <c r="N2101">
        <v>2.92</v>
      </c>
      <c r="O2101">
        <v>0</v>
      </c>
      <c r="P2101">
        <v>0</v>
      </c>
      <c r="Q2101" t="s">
        <v>108</v>
      </c>
    </row>
    <row r="2102" spans="1:17">
      <c r="A2102" t="s">
        <v>93</v>
      </c>
      <c r="B2102" t="s">
        <v>106</v>
      </c>
      <c r="C2102" t="s">
        <v>56</v>
      </c>
      <c r="D2102" t="s">
        <v>1885</v>
      </c>
      <c r="E2102">
        <v>24</v>
      </c>
      <c r="F2102" t="str">
        <f>VLOOKUP(E2102,[1]LOJA!$A:$B,2,0)</f>
        <v>LUZIÂNIA</v>
      </c>
      <c r="G2102" t="s">
        <v>19</v>
      </c>
      <c r="H2102" t="s">
        <v>19</v>
      </c>
      <c r="I2102" s="1">
        <v>46024</v>
      </c>
      <c r="J2102" s="1">
        <v>46024</v>
      </c>
      <c r="K2102" s="1">
        <v>46024</v>
      </c>
      <c r="L2102">
        <v>34</v>
      </c>
      <c r="M2102">
        <v>2.4500000000000002</v>
      </c>
      <c r="N2102">
        <v>2.4500000000000002</v>
      </c>
      <c r="O2102">
        <v>0</v>
      </c>
      <c r="P2102">
        <v>0</v>
      </c>
      <c r="Q2102" t="s">
        <v>108</v>
      </c>
    </row>
    <row r="2103" spans="1:17">
      <c r="A2103" t="s">
        <v>93</v>
      </c>
      <c r="B2103" t="s">
        <v>106</v>
      </c>
      <c r="C2103" t="s">
        <v>56</v>
      </c>
      <c r="D2103" t="s">
        <v>1886</v>
      </c>
      <c r="E2103">
        <v>24</v>
      </c>
      <c r="F2103" t="str">
        <f>VLOOKUP(E2103,[1]LOJA!$A:$B,2,0)</f>
        <v>LUZIÂNIA</v>
      </c>
      <c r="G2103" t="s">
        <v>19</v>
      </c>
      <c r="H2103" t="s">
        <v>19</v>
      </c>
      <c r="I2103" s="1">
        <v>46024</v>
      </c>
      <c r="J2103" s="1">
        <v>46024</v>
      </c>
      <c r="K2103" s="1">
        <v>46024</v>
      </c>
      <c r="L2103">
        <v>34</v>
      </c>
      <c r="M2103">
        <v>1.37</v>
      </c>
      <c r="N2103">
        <v>1.37</v>
      </c>
      <c r="O2103">
        <v>0</v>
      </c>
      <c r="P2103">
        <v>0</v>
      </c>
      <c r="Q2103" t="s">
        <v>108</v>
      </c>
    </row>
    <row r="2104" spans="1:17">
      <c r="A2104" t="s">
        <v>93</v>
      </c>
      <c r="B2104" t="s">
        <v>106</v>
      </c>
      <c r="C2104" t="s">
        <v>56</v>
      </c>
      <c r="D2104" t="s">
        <v>1887</v>
      </c>
      <c r="E2104">
        <v>24</v>
      </c>
      <c r="F2104" t="str">
        <f>VLOOKUP(E2104,[1]LOJA!$A:$B,2,0)</f>
        <v>LUZIÂNIA</v>
      </c>
      <c r="G2104" t="s">
        <v>19</v>
      </c>
      <c r="H2104" t="s">
        <v>19</v>
      </c>
      <c r="I2104" s="1">
        <v>46024</v>
      </c>
      <c r="J2104" s="1">
        <v>46024</v>
      </c>
      <c r="K2104" s="1">
        <v>46024</v>
      </c>
      <c r="L2104">
        <v>34</v>
      </c>
      <c r="M2104">
        <v>5.9</v>
      </c>
      <c r="N2104">
        <v>5.9</v>
      </c>
      <c r="O2104">
        <v>0</v>
      </c>
      <c r="P2104">
        <v>0</v>
      </c>
      <c r="Q2104" t="s">
        <v>108</v>
      </c>
    </row>
    <row r="2105" spans="1:17">
      <c r="A2105" t="s">
        <v>93</v>
      </c>
      <c r="B2105" t="s">
        <v>106</v>
      </c>
      <c r="C2105" t="s">
        <v>56</v>
      </c>
      <c r="D2105" t="s">
        <v>1888</v>
      </c>
      <c r="E2105">
        <v>24</v>
      </c>
      <c r="F2105" t="str">
        <f>VLOOKUP(E2105,[1]LOJA!$A:$B,2,0)</f>
        <v>LUZIÂNIA</v>
      </c>
      <c r="G2105" t="s">
        <v>19</v>
      </c>
      <c r="H2105" t="s">
        <v>19</v>
      </c>
      <c r="I2105" s="1">
        <v>46024</v>
      </c>
      <c r="J2105" s="1">
        <v>46024</v>
      </c>
      <c r="K2105" s="1">
        <v>46024</v>
      </c>
      <c r="L2105">
        <v>34</v>
      </c>
      <c r="M2105">
        <v>2.2799999999999998</v>
      </c>
      <c r="N2105">
        <v>2.2799999999999998</v>
      </c>
      <c r="O2105">
        <v>0</v>
      </c>
      <c r="P2105">
        <v>0</v>
      </c>
      <c r="Q2105" t="s">
        <v>108</v>
      </c>
    </row>
    <row r="2106" spans="1:17">
      <c r="A2106" t="s">
        <v>93</v>
      </c>
      <c r="B2106" t="s">
        <v>106</v>
      </c>
      <c r="C2106" t="s">
        <v>56</v>
      </c>
      <c r="D2106" t="s">
        <v>1889</v>
      </c>
      <c r="E2106">
        <v>24</v>
      </c>
      <c r="F2106" t="str">
        <f>VLOOKUP(E2106,[1]LOJA!$A:$B,2,0)</f>
        <v>LUZIÂNIA</v>
      </c>
      <c r="G2106" t="s">
        <v>19</v>
      </c>
      <c r="H2106" t="s">
        <v>19</v>
      </c>
      <c r="I2106" s="1">
        <v>46024</v>
      </c>
      <c r="J2106" s="1">
        <v>46024</v>
      </c>
      <c r="K2106" s="1">
        <v>46024</v>
      </c>
      <c r="L2106">
        <v>34</v>
      </c>
      <c r="M2106">
        <v>2.14</v>
      </c>
      <c r="N2106">
        <v>2.14</v>
      </c>
      <c r="O2106">
        <v>0</v>
      </c>
      <c r="P2106">
        <v>0</v>
      </c>
      <c r="Q2106" t="s">
        <v>108</v>
      </c>
    </row>
    <row r="2107" spans="1:17">
      <c r="A2107" t="s">
        <v>93</v>
      </c>
      <c r="B2107" t="s">
        <v>106</v>
      </c>
      <c r="C2107" t="s">
        <v>56</v>
      </c>
      <c r="D2107" t="s">
        <v>1890</v>
      </c>
      <c r="E2107">
        <v>24</v>
      </c>
      <c r="F2107" t="str">
        <f>VLOOKUP(E2107,[1]LOJA!$A:$B,2,0)</f>
        <v>LUZIÂNIA</v>
      </c>
      <c r="G2107" t="s">
        <v>19</v>
      </c>
      <c r="H2107" t="s">
        <v>19</v>
      </c>
      <c r="I2107" s="1">
        <v>46024</v>
      </c>
      <c r="J2107" s="1">
        <v>46024</v>
      </c>
      <c r="K2107" s="1">
        <v>46024</v>
      </c>
      <c r="L2107">
        <v>34</v>
      </c>
      <c r="M2107">
        <v>0.84</v>
      </c>
      <c r="N2107">
        <v>0.84</v>
      </c>
      <c r="O2107">
        <v>0</v>
      </c>
      <c r="P2107">
        <v>0</v>
      </c>
      <c r="Q2107" t="s">
        <v>108</v>
      </c>
    </row>
    <row r="2108" spans="1:17">
      <c r="A2108" t="s">
        <v>93</v>
      </c>
      <c r="B2108" t="s">
        <v>106</v>
      </c>
      <c r="C2108" t="s">
        <v>56</v>
      </c>
      <c r="D2108" t="s">
        <v>1891</v>
      </c>
      <c r="E2108">
        <v>24</v>
      </c>
      <c r="F2108" t="str">
        <f>VLOOKUP(E2108,[1]LOJA!$A:$B,2,0)</f>
        <v>LUZIÂNIA</v>
      </c>
      <c r="G2108" t="s">
        <v>19</v>
      </c>
      <c r="H2108" t="s">
        <v>19</v>
      </c>
      <c r="I2108" s="1">
        <v>46024</v>
      </c>
      <c r="J2108" s="1">
        <v>46023</v>
      </c>
      <c r="K2108" s="1">
        <v>46024</v>
      </c>
      <c r="L2108">
        <v>34</v>
      </c>
      <c r="M2108">
        <v>0.34</v>
      </c>
      <c r="N2108">
        <v>0.34</v>
      </c>
      <c r="O2108">
        <v>0</v>
      </c>
      <c r="P2108">
        <v>0</v>
      </c>
      <c r="Q2108" t="s">
        <v>108</v>
      </c>
    </row>
    <row r="2109" spans="1:17">
      <c r="A2109" t="s">
        <v>93</v>
      </c>
      <c r="B2109" t="s">
        <v>106</v>
      </c>
      <c r="C2109" t="s">
        <v>56</v>
      </c>
      <c r="D2109" t="s">
        <v>1892</v>
      </c>
      <c r="E2109">
        <v>24</v>
      </c>
      <c r="F2109" t="str">
        <f>VLOOKUP(E2109,[1]LOJA!$A:$B,2,0)</f>
        <v>LUZIÂNIA</v>
      </c>
      <c r="G2109" t="s">
        <v>19</v>
      </c>
      <c r="H2109" t="s">
        <v>19</v>
      </c>
      <c r="I2109" s="1">
        <v>46024</v>
      </c>
      <c r="J2109" s="1">
        <v>46023</v>
      </c>
      <c r="K2109" s="1">
        <v>46024</v>
      </c>
      <c r="L2109">
        <v>34</v>
      </c>
      <c r="M2109">
        <v>1</v>
      </c>
      <c r="N2109">
        <v>1</v>
      </c>
      <c r="O2109">
        <v>0</v>
      </c>
      <c r="P2109">
        <v>0</v>
      </c>
      <c r="Q2109" t="s">
        <v>108</v>
      </c>
    </row>
    <row r="2110" spans="1:17">
      <c r="A2110" t="s">
        <v>93</v>
      </c>
      <c r="B2110" t="s">
        <v>106</v>
      </c>
      <c r="C2110" t="s">
        <v>56</v>
      </c>
      <c r="D2110" t="s">
        <v>1893</v>
      </c>
      <c r="E2110">
        <v>24</v>
      </c>
      <c r="F2110" t="str">
        <f>VLOOKUP(E2110,[1]LOJA!$A:$B,2,0)</f>
        <v>LUZIÂNIA</v>
      </c>
      <c r="G2110" t="s">
        <v>19</v>
      </c>
      <c r="H2110" t="s">
        <v>19</v>
      </c>
      <c r="I2110" s="1">
        <v>46024</v>
      </c>
      <c r="J2110" s="1">
        <v>46023</v>
      </c>
      <c r="K2110" s="1">
        <v>46024</v>
      </c>
      <c r="L2110">
        <v>34</v>
      </c>
      <c r="M2110">
        <v>0.5</v>
      </c>
      <c r="N2110">
        <v>0.5</v>
      </c>
      <c r="O2110">
        <v>0</v>
      </c>
      <c r="P2110">
        <v>0</v>
      </c>
      <c r="Q2110" t="s">
        <v>108</v>
      </c>
    </row>
    <row r="2111" spans="1:17">
      <c r="A2111" t="s">
        <v>93</v>
      </c>
      <c r="B2111" t="s">
        <v>106</v>
      </c>
      <c r="C2111" t="s">
        <v>56</v>
      </c>
      <c r="D2111" t="s">
        <v>1894</v>
      </c>
      <c r="E2111">
        <v>24</v>
      </c>
      <c r="F2111" t="str">
        <f>VLOOKUP(E2111,[1]LOJA!$A:$B,2,0)</f>
        <v>LUZIÂNIA</v>
      </c>
      <c r="G2111" t="s">
        <v>19</v>
      </c>
      <c r="H2111" t="s">
        <v>19</v>
      </c>
      <c r="I2111" s="1">
        <v>46024</v>
      </c>
      <c r="J2111" s="1">
        <v>46023</v>
      </c>
      <c r="K2111" s="1">
        <v>46024</v>
      </c>
      <c r="L2111">
        <v>34</v>
      </c>
      <c r="M2111">
        <v>0.47</v>
      </c>
      <c r="N2111">
        <v>0.47</v>
      </c>
      <c r="O2111">
        <v>0</v>
      </c>
      <c r="P2111">
        <v>0</v>
      </c>
      <c r="Q2111" t="s">
        <v>108</v>
      </c>
    </row>
    <row r="2112" spans="1:17">
      <c r="A2112" t="s">
        <v>93</v>
      </c>
      <c r="B2112" t="s">
        <v>106</v>
      </c>
      <c r="C2112" t="s">
        <v>56</v>
      </c>
      <c r="D2112" t="s">
        <v>1895</v>
      </c>
      <c r="E2112">
        <v>24</v>
      </c>
      <c r="F2112" t="str">
        <f>VLOOKUP(E2112,[1]LOJA!$A:$B,2,0)</f>
        <v>LUZIÂNIA</v>
      </c>
      <c r="G2112" t="s">
        <v>19</v>
      </c>
      <c r="H2112" t="s">
        <v>19</v>
      </c>
      <c r="I2112" s="1">
        <v>46024</v>
      </c>
      <c r="J2112" s="1">
        <v>46023</v>
      </c>
      <c r="K2112" s="1">
        <v>46024</v>
      </c>
      <c r="L2112">
        <v>34</v>
      </c>
      <c r="M2112">
        <v>0.13</v>
      </c>
      <c r="N2112">
        <v>0.13</v>
      </c>
      <c r="O2112">
        <v>0</v>
      </c>
      <c r="P2112">
        <v>0</v>
      </c>
      <c r="Q2112" t="s">
        <v>108</v>
      </c>
    </row>
    <row r="2113" spans="1:17">
      <c r="A2113" t="s">
        <v>93</v>
      </c>
      <c r="B2113" t="s">
        <v>106</v>
      </c>
      <c r="C2113" t="s">
        <v>56</v>
      </c>
      <c r="D2113" t="s">
        <v>1896</v>
      </c>
      <c r="E2113">
        <v>24</v>
      </c>
      <c r="F2113" t="str">
        <f>VLOOKUP(E2113,[1]LOJA!$A:$B,2,0)</f>
        <v>LUZIÂNIA</v>
      </c>
      <c r="G2113" t="s">
        <v>19</v>
      </c>
      <c r="H2113" t="s">
        <v>19</v>
      </c>
      <c r="I2113" s="1">
        <v>46024</v>
      </c>
      <c r="J2113" s="1">
        <v>46023</v>
      </c>
      <c r="K2113" s="1">
        <v>46024</v>
      </c>
      <c r="L2113">
        <v>34</v>
      </c>
      <c r="M2113">
        <v>0.17</v>
      </c>
      <c r="N2113">
        <v>0.17</v>
      </c>
      <c r="O2113">
        <v>0</v>
      </c>
      <c r="P2113">
        <v>0</v>
      </c>
      <c r="Q2113" t="s">
        <v>108</v>
      </c>
    </row>
    <row r="2114" spans="1:17">
      <c r="A2114" t="s">
        <v>93</v>
      </c>
      <c r="B2114" t="s">
        <v>106</v>
      </c>
      <c r="C2114" t="s">
        <v>56</v>
      </c>
      <c r="D2114" t="s">
        <v>1897</v>
      </c>
      <c r="E2114">
        <v>24</v>
      </c>
      <c r="F2114" t="str">
        <f>VLOOKUP(E2114,[1]LOJA!$A:$B,2,0)</f>
        <v>LUZIÂNIA</v>
      </c>
      <c r="G2114" t="s">
        <v>19</v>
      </c>
      <c r="H2114" t="s">
        <v>19</v>
      </c>
      <c r="I2114" s="1">
        <v>46024</v>
      </c>
      <c r="J2114" s="1">
        <v>46023</v>
      </c>
      <c r="K2114" s="1">
        <v>46024</v>
      </c>
      <c r="L2114">
        <v>34</v>
      </c>
      <c r="M2114">
        <v>0.08</v>
      </c>
      <c r="N2114">
        <v>0.08</v>
      </c>
      <c r="O2114">
        <v>0</v>
      </c>
      <c r="P2114">
        <v>0</v>
      </c>
      <c r="Q2114" t="s">
        <v>108</v>
      </c>
    </row>
    <row r="2115" spans="1:17">
      <c r="A2115" t="s">
        <v>93</v>
      </c>
      <c r="B2115" t="s">
        <v>106</v>
      </c>
      <c r="C2115" t="s">
        <v>56</v>
      </c>
      <c r="D2115" t="s">
        <v>1898</v>
      </c>
      <c r="E2115">
        <v>24</v>
      </c>
      <c r="F2115" t="str">
        <f>VLOOKUP(E2115,[1]LOJA!$A:$B,2,0)</f>
        <v>LUZIÂNIA</v>
      </c>
      <c r="G2115" t="s">
        <v>19</v>
      </c>
      <c r="H2115" t="s">
        <v>19</v>
      </c>
      <c r="I2115" s="1">
        <v>46024</v>
      </c>
      <c r="J2115" s="1">
        <v>46023</v>
      </c>
      <c r="K2115" s="1">
        <v>46024</v>
      </c>
      <c r="L2115">
        <v>34</v>
      </c>
      <c r="M2115">
        <v>0.04</v>
      </c>
      <c r="N2115">
        <v>0.04</v>
      </c>
      <c r="O2115">
        <v>0</v>
      </c>
      <c r="P2115">
        <v>0</v>
      </c>
      <c r="Q2115" t="s">
        <v>108</v>
      </c>
    </row>
    <row r="2116" spans="1:17">
      <c r="A2116" t="s">
        <v>93</v>
      </c>
      <c r="B2116" t="s">
        <v>106</v>
      </c>
      <c r="C2116" t="s">
        <v>56</v>
      </c>
      <c r="D2116" t="s">
        <v>1899</v>
      </c>
      <c r="E2116">
        <v>24</v>
      </c>
      <c r="F2116" t="str">
        <f>VLOOKUP(E2116,[1]LOJA!$A:$B,2,0)</f>
        <v>LUZIÂNIA</v>
      </c>
      <c r="G2116" t="s">
        <v>19</v>
      </c>
      <c r="H2116" t="s">
        <v>19</v>
      </c>
      <c r="I2116" s="1">
        <v>46024</v>
      </c>
      <c r="J2116" s="1">
        <v>46023</v>
      </c>
      <c r="K2116" s="1">
        <v>46024</v>
      </c>
      <c r="L2116">
        <v>34</v>
      </c>
      <c r="M2116">
        <v>1.51</v>
      </c>
      <c r="N2116">
        <v>1.51</v>
      </c>
      <c r="O2116">
        <v>0</v>
      </c>
      <c r="P2116">
        <v>0</v>
      </c>
      <c r="Q2116" t="s">
        <v>108</v>
      </c>
    </row>
    <row r="2117" spans="1:17">
      <c r="A2117" t="s">
        <v>93</v>
      </c>
      <c r="B2117" t="s">
        <v>106</v>
      </c>
      <c r="C2117" t="s">
        <v>56</v>
      </c>
      <c r="D2117" t="s">
        <v>1900</v>
      </c>
      <c r="E2117">
        <v>24</v>
      </c>
      <c r="F2117" t="str">
        <f>VLOOKUP(E2117,[1]LOJA!$A:$B,2,0)</f>
        <v>LUZIÂNIA</v>
      </c>
      <c r="G2117" t="s">
        <v>19</v>
      </c>
      <c r="H2117" t="s">
        <v>19</v>
      </c>
      <c r="I2117" s="1">
        <v>46024</v>
      </c>
      <c r="J2117" s="1">
        <v>46023</v>
      </c>
      <c r="K2117" s="1">
        <v>46024</v>
      </c>
      <c r="L2117">
        <v>34</v>
      </c>
      <c r="M2117">
        <v>5.99</v>
      </c>
      <c r="N2117">
        <v>5.99</v>
      </c>
      <c r="O2117">
        <v>0</v>
      </c>
      <c r="P2117">
        <v>0</v>
      </c>
      <c r="Q2117" t="s">
        <v>108</v>
      </c>
    </row>
    <row r="2118" spans="1:17">
      <c r="A2118" t="s">
        <v>93</v>
      </c>
      <c r="B2118" t="s">
        <v>106</v>
      </c>
      <c r="C2118" t="s">
        <v>56</v>
      </c>
      <c r="D2118" t="s">
        <v>1901</v>
      </c>
      <c r="E2118">
        <v>24</v>
      </c>
      <c r="F2118" t="str">
        <f>VLOOKUP(E2118,[1]LOJA!$A:$B,2,0)</f>
        <v>LUZIÂNIA</v>
      </c>
      <c r="G2118" t="s">
        <v>19</v>
      </c>
      <c r="H2118" t="s">
        <v>19</v>
      </c>
      <c r="I2118" s="1">
        <v>46024</v>
      </c>
      <c r="J2118" s="1">
        <v>46023</v>
      </c>
      <c r="K2118" s="1">
        <v>46024</v>
      </c>
      <c r="L2118">
        <v>34</v>
      </c>
      <c r="M2118">
        <v>4.99</v>
      </c>
      <c r="N2118">
        <v>4.99</v>
      </c>
      <c r="O2118">
        <v>0</v>
      </c>
      <c r="P2118">
        <v>0</v>
      </c>
      <c r="Q2118" t="s">
        <v>108</v>
      </c>
    </row>
    <row r="2119" spans="1:17">
      <c r="A2119" t="s">
        <v>93</v>
      </c>
      <c r="B2119" t="s">
        <v>106</v>
      </c>
      <c r="C2119" t="s">
        <v>56</v>
      </c>
      <c r="D2119" t="s">
        <v>1902</v>
      </c>
      <c r="E2119">
        <v>24</v>
      </c>
      <c r="F2119" t="str">
        <f>VLOOKUP(E2119,[1]LOJA!$A:$B,2,0)</f>
        <v>LUZIÂNIA</v>
      </c>
      <c r="G2119" t="s">
        <v>19</v>
      </c>
      <c r="H2119" t="s">
        <v>19</v>
      </c>
      <c r="I2119" s="1">
        <v>46027</v>
      </c>
      <c r="J2119" s="1">
        <v>46027</v>
      </c>
      <c r="K2119" s="1">
        <v>46027</v>
      </c>
      <c r="L2119">
        <v>34</v>
      </c>
      <c r="M2119">
        <v>9.15</v>
      </c>
      <c r="N2119">
        <v>9.15</v>
      </c>
      <c r="O2119">
        <v>0</v>
      </c>
      <c r="P2119">
        <v>0</v>
      </c>
      <c r="Q2119" t="s">
        <v>108</v>
      </c>
    </row>
    <row r="2120" spans="1:17">
      <c r="A2120" t="s">
        <v>93</v>
      </c>
      <c r="B2120" t="s">
        <v>106</v>
      </c>
      <c r="C2120" t="s">
        <v>56</v>
      </c>
      <c r="D2120" t="s">
        <v>1903</v>
      </c>
      <c r="E2120">
        <v>24</v>
      </c>
      <c r="F2120" t="str">
        <f>VLOOKUP(E2120,[1]LOJA!$A:$B,2,0)</f>
        <v>LUZIÂNIA</v>
      </c>
      <c r="G2120" t="s">
        <v>19</v>
      </c>
      <c r="H2120" t="s">
        <v>19</v>
      </c>
      <c r="I2120" s="1">
        <v>46027</v>
      </c>
      <c r="J2120" s="1">
        <v>46026</v>
      </c>
      <c r="K2120" s="1">
        <v>46027</v>
      </c>
      <c r="L2120">
        <v>34</v>
      </c>
      <c r="M2120">
        <v>40.68</v>
      </c>
      <c r="N2120">
        <v>40.68</v>
      </c>
      <c r="O2120">
        <v>0</v>
      </c>
      <c r="P2120">
        <v>0</v>
      </c>
      <c r="Q2120" t="s">
        <v>108</v>
      </c>
    </row>
    <row r="2121" spans="1:17">
      <c r="A2121" t="s">
        <v>93</v>
      </c>
      <c r="B2121" t="s">
        <v>106</v>
      </c>
      <c r="C2121" t="s">
        <v>56</v>
      </c>
      <c r="D2121" t="s">
        <v>1904</v>
      </c>
      <c r="E2121">
        <v>24</v>
      </c>
      <c r="F2121" t="str">
        <f>VLOOKUP(E2121,[1]LOJA!$A:$B,2,0)</f>
        <v>LUZIÂNIA</v>
      </c>
      <c r="G2121" t="s">
        <v>19</v>
      </c>
      <c r="H2121" t="s">
        <v>19</v>
      </c>
      <c r="I2121" s="1">
        <v>46027</v>
      </c>
      <c r="J2121" s="1">
        <v>46026</v>
      </c>
      <c r="K2121" s="1">
        <v>46027</v>
      </c>
      <c r="L2121">
        <v>34</v>
      </c>
      <c r="M2121">
        <v>9.08</v>
      </c>
      <c r="N2121">
        <v>9.08</v>
      </c>
      <c r="O2121">
        <v>0</v>
      </c>
      <c r="P2121">
        <v>0</v>
      </c>
      <c r="Q2121" t="s">
        <v>108</v>
      </c>
    </row>
    <row r="2122" spans="1:17">
      <c r="A2122" t="s">
        <v>93</v>
      </c>
      <c r="B2122" t="s">
        <v>106</v>
      </c>
      <c r="C2122" t="s">
        <v>56</v>
      </c>
      <c r="D2122" t="s">
        <v>1905</v>
      </c>
      <c r="E2122">
        <v>24</v>
      </c>
      <c r="F2122" t="str">
        <f>VLOOKUP(E2122,[1]LOJA!$A:$B,2,0)</f>
        <v>LUZIÂNIA</v>
      </c>
      <c r="G2122" t="s">
        <v>19</v>
      </c>
      <c r="H2122" t="s">
        <v>19</v>
      </c>
      <c r="I2122" s="1">
        <v>46027</v>
      </c>
      <c r="J2122" s="1">
        <v>46026</v>
      </c>
      <c r="K2122" s="1">
        <v>46027</v>
      </c>
      <c r="L2122">
        <v>34</v>
      </c>
      <c r="M2122">
        <v>6.61</v>
      </c>
      <c r="N2122">
        <v>6.61</v>
      </c>
      <c r="O2122">
        <v>0</v>
      </c>
      <c r="P2122">
        <v>0</v>
      </c>
      <c r="Q2122" t="s">
        <v>108</v>
      </c>
    </row>
    <row r="2123" spans="1:17">
      <c r="A2123" t="s">
        <v>93</v>
      </c>
      <c r="B2123" t="s">
        <v>106</v>
      </c>
      <c r="C2123" t="s">
        <v>56</v>
      </c>
      <c r="D2123" t="s">
        <v>1906</v>
      </c>
      <c r="E2123">
        <v>24</v>
      </c>
      <c r="F2123" t="str">
        <f>VLOOKUP(E2123,[1]LOJA!$A:$B,2,0)</f>
        <v>LUZIÂNIA</v>
      </c>
      <c r="G2123" t="s">
        <v>19</v>
      </c>
      <c r="H2123" t="s">
        <v>19</v>
      </c>
      <c r="I2123" s="1">
        <v>46027</v>
      </c>
      <c r="J2123" s="1">
        <v>46026</v>
      </c>
      <c r="K2123" s="1">
        <v>46027</v>
      </c>
      <c r="L2123">
        <v>34</v>
      </c>
      <c r="M2123">
        <v>9.24</v>
      </c>
      <c r="N2123">
        <v>9.24</v>
      </c>
      <c r="O2123">
        <v>0</v>
      </c>
      <c r="P2123">
        <v>0</v>
      </c>
      <c r="Q2123" t="s">
        <v>108</v>
      </c>
    </row>
    <row r="2124" spans="1:17">
      <c r="A2124" t="s">
        <v>93</v>
      </c>
      <c r="B2124" t="s">
        <v>106</v>
      </c>
      <c r="C2124" t="s">
        <v>56</v>
      </c>
      <c r="D2124" t="s">
        <v>1907</v>
      </c>
      <c r="E2124">
        <v>24</v>
      </c>
      <c r="F2124" t="str">
        <f>VLOOKUP(E2124,[1]LOJA!$A:$B,2,0)</f>
        <v>LUZIÂNIA</v>
      </c>
      <c r="G2124" t="s">
        <v>19</v>
      </c>
      <c r="H2124" t="s">
        <v>19</v>
      </c>
      <c r="I2124" s="1">
        <v>46027</v>
      </c>
      <c r="J2124" s="1">
        <v>46027</v>
      </c>
      <c r="K2124" s="1">
        <v>46027</v>
      </c>
      <c r="L2124">
        <v>34</v>
      </c>
      <c r="M2124">
        <v>4.96</v>
      </c>
      <c r="N2124">
        <v>4.96</v>
      </c>
      <c r="O2124">
        <v>0</v>
      </c>
      <c r="P2124">
        <v>0</v>
      </c>
      <c r="Q2124" t="s">
        <v>108</v>
      </c>
    </row>
    <row r="2125" spans="1:17">
      <c r="A2125" t="s">
        <v>93</v>
      </c>
      <c r="B2125" t="s">
        <v>106</v>
      </c>
      <c r="C2125" t="s">
        <v>56</v>
      </c>
      <c r="D2125" t="s">
        <v>1908</v>
      </c>
      <c r="E2125">
        <v>24</v>
      </c>
      <c r="F2125" t="str">
        <f>VLOOKUP(E2125,[1]LOJA!$A:$B,2,0)</f>
        <v>LUZIÂNIA</v>
      </c>
      <c r="G2125" t="s">
        <v>19</v>
      </c>
      <c r="H2125" t="s">
        <v>19</v>
      </c>
      <c r="I2125" s="1">
        <v>46027</v>
      </c>
      <c r="J2125" s="1">
        <v>46027</v>
      </c>
      <c r="K2125" s="1">
        <v>46027</v>
      </c>
      <c r="L2125">
        <v>34</v>
      </c>
      <c r="M2125">
        <v>4.9800000000000004</v>
      </c>
      <c r="N2125">
        <v>4.9800000000000004</v>
      </c>
      <c r="O2125">
        <v>0</v>
      </c>
      <c r="P2125">
        <v>0</v>
      </c>
      <c r="Q2125" t="s">
        <v>108</v>
      </c>
    </row>
    <row r="2126" spans="1:17">
      <c r="A2126" t="s">
        <v>93</v>
      </c>
      <c r="B2126" t="s">
        <v>106</v>
      </c>
      <c r="C2126" t="s">
        <v>56</v>
      </c>
      <c r="D2126" t="s">
        <v>1909</v>
      </c>
      <c r="E2126">
        <v>24</v>
      </c>
      <c r="F2126" t="str">
        <f>VLOOKUP(E2126,[1]LOJA!$A:$B,2,0)</f>
        <v>LUZIÂNIA</v>
      </c>
      <c r="G2126" t="s">
        <v>19</v>
      </c>
      <c r="H2126" t="s">
        <v>19</v>
      </c>
      <c r="I2126" s="1">
        <v>46027</v>
      </c>
      <c r="J2126" s="1">
        <v>46027</v>
      </c>
      <c r="K2126" s="1">
        <v>46027</v>
      </c>
      <c r="L2126">
        <v>34</v>
      </c>
      <c r="M2126">
        <v>5.84</v>
      </c>
      <c r="N2126">
        <v>5.84</v>
      </c>
      <c r="O2126">
        <v>0</v>
      </c>
      <c r="P2126">
        <v>0</v>
      </c>
      <c r="Q2126" t="s">
        <v>108</v>
      </c>
    </row>
    <row r="2127" spans="1:17">
      <c r="A2127" t="s">
        <v>93</v>
      </c>
      <c r="B2127" t="s">
        <v>106</v>
      </c>
      <c r="C2127" t="s">
        <v>56</v>
      </c>
      <c r="D2127" t="s">
        <v>1910</v>
      </c>
      <c r="E2127">
        <v>24</v>
      </c>
      <c r="F2127" t="str">
        <f>VLOOKUP(E2127,[1]LOJA!$A:$B,2,0)</f>
        <v>LUZIÂNIA</v>
      </c>
      <c r="G2127" t="s">
        <v>19</v>
      </c>
      <c r="H2127" t="s">
        <v>19</v>
      </c>
      <c r="I2127" s="1">
        <v>46027</v>
      </c>
      <c r="J2127" s="1">
        <v>46027</v>
      </c>
      <c r="K2127" s="1">
        <v>46027</v>
      </c>
      <c r="L2127">
        <v>34</v>
      </c>
      <c r="M2127">
        <v>13.87</v>
      </c>
      <c r="N2127">
        <v>13.87</v>
      </c>
      <c r="O2127">
        <v>0</v>
      </c>
      <c r="P2127">
        <v>0</v>
      </c>
      <c r="Q2127" t="s">
        <v>108</v>
      </c>
    </row>
    <row r="2128" spans="1:17">
      <c r="A2128" t="s">
        <v>93</v>
      </c>
      <c r="B2128" t="s">
        <v>106</v>
      </c>
      <c r="C2128" t="s">
        <v>56</v>
      </c>
      <c r="D2128" t="s">
        <v>1911</v>
      </c>
      <c r="E2128">
        <v>24</v>
      </c>
      <c r="F2128" t="str">
        <f>VLOOKUP(E2128,[1]LOJA!$A:$B,2,0)</f>
        <v>LUZIÂNIA</v>
      </c>
      <c r="G2128" t="s">
        <v>19</v>
      </c>
      <c r="H2128" t="s">
        <v>19</v>
      </c>
      <c r="I2128" s="1">
        <v>46027</v>
      </c>
      <c r="J2128" s="1">
        <v>46027</v>
      </c>
      <c r="K2128" s="1">
        <v>46027</v>
      </c>
      <c r="L2128">
        <v>34</v>
      </c>
      <c r="M2128">
        <v>6.06</v>
      </c>
      <c r="N2128">
        <v>6.06</v>
      </c>
      <c r="O2128">
        <v>0</v>
      </c>
      <c r="P2128">
        <v>0</v>
      </c>
      <c r="Q2128" t="s">
        <v>108</v>
      </c>
    </row>
    <row r="2129" spans="1:17">
      <c r="A2129" t="s">
        <v>93</v>
      </c>
      <c r="B2129" t="s">
        <v>106</v>
      </c>
      <c r="C2129" t="s">
        <v>56</v>
      </c>
      <c r="D2129" t="s">
        <v>1912</v>
      </c>
      <c r="E2129">
        <v>24</v>
      </c>
      <c r="F2129" t="str">
        <f>VLOOKUP(E2129,[1]LOJA!$A:$B,2,0)</f>
        <v>LUZIÂNIA</v>
      </c>
      <c r="G2129" t="s">
        <v>19</v>
      </c>
      <c r="H2129" t="s">
        <v>19</v>
      </c>
      <c r="I2129" s="1">
        <v>46027</v>
      </c>
      <c r="J2129" s="1">
        <v>46025</v>
      </c>
      <c r="K2129" s="1">
        <v>46027</v>
      </c>
      <c r="L2129">
        <v>34</v>
      </c>
      <c r="M2129">
        <v>1.1000000000000001</v>
      </c>
      <c r="N2129">
        <v>1.1000000000000001</v>
      </c>
      <c r="O2129">
        <v>0</v>
      </c>
      <c r="P2129">
        <v>0</v>
      </c>
      <c r="Q2129" t="s">
        <v>108</v>
      </c>
    </row>
    <row r="2130" spans="1:17">
      <c r="A2130" t="s">
        <v>93</v>
      </c>
      <c r="B2130" t="s">
        <v>106</v>
      </c>
      <c r="C2130" t="s">
        <v>56</v>
      </c>
      <c r="D2130" t="s">
        <v>1913</v>
      </c>
      <c r="E2130">
        <v>24</v>
      </c>
      <c r="F2130" t="str">
        <f>VLOOKUP(E2130,[1]LOJA!$A:$B,2,0)</f>
        <v>LUZIÂNIA</v>
      </c>
      <c r="G2130" t="s">
        <v>19</v>
      </c>
      <c r="H2130" t="s">
        <v>19</v>
      </c>
      <c r="I2130" s="1">
        <v>46027</v>
      </c>
      <c r="J2130" s="1">
        <v>46025</v>
      </c>
      <c r="K2130" s="1">
        <v>46027</v>
      </c>
      <c r="L2130">
        <v>34</v>
      </c>
      <c r="M2130">
        <v>2.1</v>
      </c>
      <c r="N2130">
        <v>2.1</v>
      </c>
      <c r="O2130">
        <v>0</v>
      </c>
      <c r="P2130">
        <v>0</v>
      </c>
      <c r="Q2130" t="s">
        <v>108</v>
      </c>
    </row>
    <row r="2131" spans="1:17">
      <c r="A2131" t="s">
        <v>93</v>
      </c>
      <c r="B2131" t="s">
        <v>106</v>
      </c>
      <c r="C2131" t="s">
        <v>56</v>
      </c>
      <c r="D2131" t="s">
        <v>1914</v>
      </c>
      <c r="E2131">
        <v>24</v>
      </c>
      <c r="F2131" t="str">
        <f>VLOOKUP(E2131,[1]LOJA!$A:$B,2,0)</f>
        <v>LUZIÂNIA</v>
      </c>
      <c r="G2131" t="s">
        <v>19</v>
      </c>
      <c r="H2131" t="s">
        <v>19</v>
      </c>
      <c r="I2131" s="1">
        <v>46027</v>
      </c>
      <c r="J2131" s="1">
        <v>46025</v>
      </c>
      <c r="K2131" s="1">
        <v>46027</v>
      </c>
      <c r="L2131">
        <v>34</v>
      </c>
      <c r="M2131">
        <v>1.49</v>
      </c>
      <c r="N2131">
        <v>1.49</v>
      </c>
      <c r="O2131">
        <v>0</v>
      </c>
      <c r="P2131">
        <v>0</v>
      </c>
      <c r="Q2131" t="s">
        <v>108</v>
      </c>
    </row>
    <row r="2132" spans="1:17">
      <c r="A2132" t="s">
        <v>93</v>
      </c>
      <c r="B2132" t="s">
        <v>106</v>
      </c>
      <c r="C2132" t="s">
        <v>56</v>
      </c>
      <c r="D2132" t="s">
        <v>1915</v>
      </c>
      <c r="E2132">
        <v>24</v>
      </c>
      <c r="F2132" t="str">
        <f>VLOOKUP(E2132,[1]LOJA!$A:$B,2,0)</f>
        <v>LUZIÂNIA</v>
      </c>
      <c r="G2132" t="s">
        <v>19</v>
      </c>
      <c r="H2132" t="s">
        <v>19</v>
      </c>
      <c r="I2132" s="1">
        <v>46027</v>
      </c>
      <c r="J2132" s="1">
        <v>46025</v>
      </c>
      <c r="K2132" s="1">
        <v>46027</v>
      </c>
      <c r="L2132">
        <v>34</v>
      </c>
      <c r="M2132">
        <v>0.72</v>
      </c>
      <c r="N2132">
        <v>0.72</v>
      </c>
      <c r="O2132">
        <v>0</v>
      </c>
      <c r="P2132">
        <v>0</v>
      </c>
      <c r="Q2132" t="s">
        <v>108</v>
      </c>
    </row>
    <row r="2133" spans="1:17">
      <c r="A2133" t="s">
        <v>93</v>
      </c>
      <c r="B2133" t="s">
        <v>106</v>
      </c>
      <c r="C2133" t="s">
        <v>56</v>
      </c>
      <c r="D2133" t="s">
        <v>1916</v>
      </c>
      <c r="E2133">
        <v>24</v>
      </c>
      <c r="F2133" t="str">
        <f>VLOOKUP(E2133,[1]LOJA!$A:$B,2,0)</f>
        <v>LUZIÂNIA</v>
      </c>
      <c r="G2133" t="s">
        <v>19</v>
      </c>
      <c r="H2133" t="s">
        <v>19</v>
      </c>
      <c r="I2133" s="1">
        <v>46027</v>
      </c>
      <c r="J2133" s="1">
        <v>46026</v>
      </c>
      <c r="K2133" s="1">
        <v>46027</v>
      </c>
      <c r="L2133">
        <v>34</v>
      </c>
      <c r="M2133">
        <v>1.75</v>
      </c>
      <c r="N2133">
        <v>1.75</v>
      </c>
      <c r="O2133">
        <v>0</v>
      </c>
      <c r="P2133">
        <v>0</v>
      </c>
      <c r="Q2133" t="s">
        <v>108</v>
      </c>
    </row>
    <row r="2134" spans="1:17">
      <c r="A2134" t="s">
        <v>93</v>
      </c>
      <c r="B2134" t="s">
        <v>106</v>
      </c>
      <c r="C2134" t="s">
        <v>56</v>
      </c>
      <c r="D2134" t="s">
        <v>1917</v>
      </c>
      <c r="E2134">
        <v>24</v>
      </c>
      <c r="F2134" t="str">
        <f>VLOOKUP(E2134,[1]LOJA!$A:$B,2,0)</f>
        <v>LUZIÂNIA</v>
      </c>
      <c r="G2134" t="s">
        <v>19</v>
      </c>
      <c r="H2134" t="s">
        <v>19</v>
      </c>
      <c r="I2134" s="1">
        <v>46027</v>
      </c>
      <c r="J2134" s="1">
        <v>46026</v>
      </c>
      <c r="K2134" s="1">
        <v>46027</v>
      </c>
      <c r="L2134">
        <v>34</v>
      </c>
      <c r="M2134">
        <v>10.67</v>
      </c>
      <c r="N2134">
        <v>10.67</v>
      </c>
      <c r="O2134">
        <v>0</v>
      </c>
      <c r="P2134">
        <v>0</v>
      </c>
      <c r="Q2134" t="s">
        <v>108</v>
      </c>
    </row>
    <row r="2135" spans="1:17">
      <c r="A2135" t="s">
        <v>93</v>
      </c>
      <c r="B2135" t="s">
        <v>106</v>
      </c>
      <c r="C2135" t="s">
        <v>56</v>
      </c>
      <c r="D2135" t="s">
        <v>1918</v>
      </c>
      <c r="E2135">
        <v>24</v>
      </c>
      <c r="F2135" t="str">
        <f>VLOOKUP(E2135,[1]LOJA!$A:$B,2,0)</f>
        <v>LUZIÂNIA</v>
      </c>
      <c r="G2135" t="s">
        <v>19</v>
      </c>
      <c r="H2135" t="s">
        <v>19</v>
      </c>
      <c r="I2135" s="1">
        <v>46027</v>
      </c>
      <c r="J2135" s="1">
        <v>46026</v>
      </c>
      <c r="K2135" s="1">
        <v>46027</v>
      </c>
      <c r="L2135">
        <v>34</v>
      </c>
      <c r="M2135">
        <v>3.18</v>
      </c>
      <c r="N2135">
        <v>3.18</v>
      </c>
      <c r="O2135">
        <v>0</v>
      </c>
      <c r="P2135">
        <v>0</v>
      </c>
      <c r="Q2135" t="s">
        <v>108</v>
      </c>
    </row>
    <row r="2136" spans="1:17">
      <c r="A2136" t="s">
        <v>93</v>
      </c>
      <c r="B2136" t="s">
        <v>106</v>
      </c>
      <c r="C2136" t="s">
        <v>56</v>
      </c>
      <c r="D2136" t="s">
        <v>1919</v>
      </c>
      <c r="E2136">
        <v>24</v>
      </c>
      <c r="F2136" t="str">
        <f>VLOOKUP(E2136,[1]LOJA!$A:$B,2,0)</f>
        <v>LUZIÂNIA</v>
      </c>
      <c r="G2136" t="s">
        <v>19</v>
      </c>
      <c r="H2136" t="s">
        <v>19</v>
      </c>
      <c r="I2136" s="1">
        <v>46027</v>
      </c>
      <c r="J2136" s="1">
        <v>46026</v>
      </c>
      <c r="K2136" s="1">
        <v>46027</v>
      </c>
      <c r="L2136">
        <v>34</v>
      </c>
      <c r="M2136">
        <v>4.54</v>
      </c>
      <c r="N2136">
        <v>4.54</v>
      </c>
      <c r="O2136">
        <v>0</v>
      </c>
      <c r="P2136">
        <v>0</v>
      </c>
      <c r="Q2136" t="s">
        <v>108</v>
      </c>
    </row>
    <row r="2137" spans="1:17">
      <c r="A2137" t="s">
        <v>93</v>
      </c>
      <c r="B2137" t="s">
        <v>106</v>
      </c>
      <c r="C2137" t="s">
        <v>56</v>
      </c>
      <c r="D2137" t="s">
        <v>1920</v>
      </c>
      <c r="E2137">
        <v>24</v>
      </c>
      <c r="F2137" t="str">
        <f>VLOOKUP(E2137,[1]LOJA!$A:$B,2,0)</f>
        <v>LUZIÂNIA</v>
      </c>
      <c r="G2137" t="s">
        <v>19</v>
      </c>
      <c r="H2137" t="s">
        <v>19</v>
      </c>
      <c r="I2137" s="1">
        <v>46027</v>
      </c>
      <c r="J2137" s="1">
        <v>46026</v>
      </c>
      <c r="K2137" s="1">
        <v>46027</v>
      </c>
      <c r="L2137">
        <v>34</v>
      </c>
      <c r="M2137">
        <v>32.85</v>
      </c>
      <c r="N2137">
        <v>32.85</v>
      </c>
      <c r="O2137">
        <v>0</v>
      </c>
      <c r="P2137">
        <v>0</v>
      </c>
      <c r="Q2137" t="s">
        <v>108</v>
      </c>
    </row>
    <row r="2138" spans="1:17">
      <c r="A2138" t="s">
        <v>93</v>
      </c>
      <c r="B2138" t="s">
        <v>106</v>
      </c>
      <c r="C2138" t="s">
        <v>56</v>
      </c>
      <c r="D2138" t="s">
        <v>1921</v>
      </c>
      <c r="E2138">
        <v>24</v>
      </c>
      <c r="F2138" t="str">
        <f>VLOOKUP(E2138,[1]LOJA!$A:$B,2,0)</f>
        <v>LUZIÂNIA</v>
      </c>
      <c r="G2138" t="s">
        <v>19</v>
      </c>
      <c r="H2138" t="s">
        <v>19</v>
      </c>
      <c r="I2138" s="1">
        <v>46027</v>
      </c>
      <c r="J2138" s="1">
        <v>46026</v>
      </c>
      <c r="K2138" s="1">
        <v>46027</v>
      </c>
      <c r="L2138">
        <v>34</v>
      </c>
      <c r="M2138">
        <v>0.93</v>
      </c>
      <c r="N2138">
        <v>0.93</v>
      </c>
      <c r="O2138">
        <v>0</v>
      </c>
      <c r="P2138">
        <v>0</v>
      </c>
      <c r="Q2138" t="s">
        <v>108</v>
      </c>
    </row>
    <row r="2139" spans="1:17">
      <c r="A2139" t="s">
        <v>93</v>
      </c>
      <c r="B2139" t="s">
        <v>106</v>
      </c>
      <c r="C2139" t="s">
        <v>56</v>
      </c>
      <c r="D2139" t="s">
        <v>1922</v>
      </c>
      <c r="E2139">
        <v>24</v>
      </c>
      <c r="F2139" t="str">
        <f>VLOOKUP(E2139,[1]LOJA!$A:$B,2,0)</f>
        <v>LUZIÂNIA</v>
      </c>
      <c r="G2139" t="s">
        <v>19</v>
      </c>
      <c r="H2139" t="s">
        <v>19</v>
      </c>
      <c r="I2139" s="1">
        <v>46027</v>
      </c>
      <c r="J2139" s="1">
        <v>46026</v>
      </c>
      <c r="K2139" s="1">
        <v>46027</v>
      </c>
      <c r="L2139">
        <v>34</v>
      </c>
      <c r="M2139">
        <v>3.5</v>
      </c>
      <c r="N2139">
        <v>3.5</v>
      </c>
      <c r="O2139">
        <v>0</v>
      </c>
      <c r="P2139">
        <v>0</v>
      </c>
      <c r="Q2139" t="s">
        <v>108</v>
      </c>
    </row>
    <row r="2140" spans="1:17">
      <c r="A2140" t="s">
        <v>93</v>
      </c>
      <c r="B2140" t="s">
        <v>106</v>
      </c>
      <c r="C2140" t="s">
        <v>56</v>
      </c>
      <c r="D2140" t="s">
        <v>1923</v>
      </c>
      <c r="E2140">
        <v>24</v>
      </c>
      <c r="F2140" t="str">
        <f>VLOOKUP(E2140,[1]LOJA!$A:$B,2,0)</f>
        <v>LUZIÂNIA</v>
      </c>
      <c r="G2140" t="s">
        <v>19</v>
      </c>
      <c r="H2140" t="s">
        <v>19</v>
      </c>
      <c r="I2140" s="1">
        <v>46027</v>
      </c>
      <c r="J2140" s="1">
        <v>46027</v>
      </c>
      <c r="K2140" s="1">
        <v>46027</v>
      </c>
      <c r="L2140">
        <v>34</v>
      </c>
      <c r="M2140">
        <v>1.49</v>
      </c>
      <c r="N2140">
        <v>1.49</v>
      </c>
      <c r="O2140">
        <v>0</v>
      </c>
      <c r="P2140">
        <v>0</v>
      </c>
      <c r="Q2140" t="s">
        <v>108</v>
      </c>
    </row>
    <row r="2141" spans="1:17">
      <c r="A2141" t="s">
        <v>93</v>
      </c>
      <c r="B2141" t="s">
        <v>106</v>
      </c>
      <c r="C2141" t="s">
        <v>56</v>
      </c>
      <c r="D2141" t="s">
        <v>1924</v>
      </c>
      <c r="E2141">
        <v>24</v>
      </c>
      <c r="F2141" t="str">
        <f>VLOOKUP(E2141,[1]LOJA!$A:$B,2,0)</f>
        <v>LUZIÂNIA</v>
      </c>
      <c r="G2141" t="s">
        <v>19</v>
      </c>
      <c r="H2141" t="s">
        <v>19</v>
      </c>
      <c r="I2141" s="1">
        <v>46027</v>
      </c>
      <c r="J2141" s="1">
        <v>46027</v>
      </c>
      <c r="K2141" s="1">
        <v>46027</v>
      </c>
      <c r="L2141">
        <v>34</v>
      </c>
      <c r="M2141">
        <v>2.94</v>
      </c>
      <c r="N2141">
        <v>2.94</v>
      </c>
      <c r="O2141">
        <v>0</v>
      </c>
      <c r="P2141">
        <v>0</v>
      </c>
      <c r="Q2141" t="s">
        <v>108</v>
      </c>
    </row>
    <row r="2142" spans="1:17">
      <c r="A2142" t="s">
        <v>93</v>
      </c>
      <c r="B2142" t="s">
        <v>106</v>
      </c>
      <c r="C2142" t="s">
        <v>56</v>
      </c>
      <c r="D2142" t="s">
        <v>1925</v>
      </c>
      <c r="E2142">
        <v>24</v>
      </c>
      <c r="F2142" t="str">
        <f>VLOOKUP(E2142,[1]LOJA!$A:$B,2,0)</f>
        <v>LUZIÂNIA</v>
      </c>
      <c r="G2142" t="s">
        <v>19</v>
      </c>
      <c r="H2142" t="s">
        <v>19</v>
      </c>
      <c r="I2142" s="1">
        <v>46027</v>
      </c>
      <c r="J2142" s="1">
        <v>46027</v>
      </c>
      <c r="K2142" s="1">
        <v>46027</v>
      </c>
      <c r="L2142">
        <v>34</v>
      </c>
      <c r="M2142">
        <v>2.0299999999999998</v>
      </c>
      <c r="N2142">
        <v>2.0299999999999998</v>
      </c>
      <c r="O2142">
        <v>0</v>
      </c>
      <c r="P2142">
        <v>0</v>
      </c>
      <c r="Q2142" t="s">
        <v>108</v>
      </c>
    </row>
    <row r="2143" spans="1:17">
      <c r="A2143" t="s">
        <v>93</v>
      </c>
      <c r="B2143" t="s">
        <v>106</v>
      </c>
      <c r="C2143" t="s">
        <v>56</v>
      </c>
      <c r="D2143" t="s">
        <v>1926</v>
      </c>
      <c r="E2143">
        <v>24</v>
      </c>
      <c r="F2143" t="str">
        <f>VLOOKUP(E2143,[1]LOJA!$A:$B,2,0)</f>
        <v>LUZIÂNIA</v>
      </c>
      <c r="G2143" t="s">
        <v>19</v>
      </c>
      <c r="H2143" t="s">
        <v>19</v>
      </c>
      <c r="I2143" s="1">
        <v>46027</v>
      </c>
      <c r="J2143" s="1">
        <v>46027</v>
      </c>
      <c r="K2143" s="1">
        <v>46027</v>
      </c>
      <c r="L2143">
        <v>34</v>
      </c>
      <c r="M2143">
        <v>1.93</v>
      </c>
      <c r="N2143">
        <v>1.93</v>
      </c>
      <c r="O2143">
        <v>0</v>
      </c>
      <c r="P2143">
        <v>0</v>
      </c>
      <c r="Q2143" t="s">
        <v>108</v>
      </c>
    </row>
    <row r="2144" spans="1:17">
      <c r="A2144" t="s">
        <v>93</v>
      </c>
      <c r="B2144" t="s">
        <v>106</v>
      </c>
      <c r="C2144" t="s">
        <v>56</v>
      </c>
      <c r="D2144" t="s">
        <v>1927</v>
      </c>
      <c r="E2144">
        <v>24</v>
      </c>
      <c r="F2144" t="str">
        <f>VLOOKUP(E2144,[1]LOJA!$A:$B,2,0)</f>
        <v>LUZIÂNIA</v>
      </c>
      <c r="G2144" t="s">
        <v>19</v>
      </c>
      <c r="H2144" t="s">
        <v>19</v>
      </c>
      <c r="I2144" s="1">
        <v>46027</v>
      </c>
      <c r="J2144" s="1">
        <v>46027</v>
      </c>
      <c r="K2144" s="1">
        <v>46027</v>
      </c>
      <c r="L2144">
        <v>34</v>
      </c>
      <c r="M2144">
        <v>4.59</v>
      </c>
      <c r="N2144">
        <v>4.59</v>
      </c>
      <c r="O2144">
        <v>0</v>
      </c>
      <c r="P2144">
        <v>0</v>
      </c>
      <c r="Q2144" t="s">
        <v>108</v>
      </c>
    </row>
    <row r="2145" spans="1:17">
      <c r="A2145" t="s">
        <v>93</v>
      </c>
      <c r="B2145" t="s">
        <v>106</v>
      </c>
      <c r="C2145" t="s">
        <v>56</v>
      </c>
      <c r="D2145" t="s">
        <v>1928</v>
      </c>
      <c r="E2145">
        <v>24</v>
      </c>
      <c r="F2145" t="str">
        <f>VLOOKUP(E2145,[1]LOJA!$A:$B,2,0)</f>
        <v>LUZIÂNIA</v>
      </c>
      <c r="G2145" t="s">
        <v>19</v>
      </c>
      <c r="H2145" t="s">
        <v>19</v>
      </c>
      <c r="I2145" s="1">
        <v>46027</v>
      </c>
      <c r="J2145" s="1">
        <v>46027</v>
      </c>
      <c r="K2145" s="1">
        <v>46027</v>
      </c>
      <c r="L2145">
        <v>34</v>
      </c>
      <c r="M2145">
        <v>10.01</v>
      </c>
      <c r="N2145">
        <v>10.01</v>
      </c>
      <c r="O2145">
        <v>0</v>
      </c>
      <c r="P2145">
        <v>0</v>
      </c>
      <c r="Q2145" t="s">
        <v>108</v>
      </c>
    </row>
    <row r="2146" spans="1:17">
      <c r="A2146" t="s">
        <v>93</v>
      </c>
      <c r="B2146" t="s">
        <v>106</v>
      </c>
      <c r="C2146" t="s">
        <v>56</v>
      </c>
      <c r="D2146" t="s">
        <v>1929</v>
      </c>
      <c r="E2146">
        <v>24</v>
      </c>
      <c r="F2146" t="str">
        <f>VLOOKUP(E2146,[1]LOJA!$A:$B,2,0)</f>
        <v>LUZIÂNIA</v>
      </c>
      <c r="G2146" t="s">
        <v>19</v>
      </c>
      <c r="H2146" t="s">
        <v>19</v>
      </c>
      <c r="I2146" s="1">
        <v>46027</v>
      </c>
      <c r="J2146" s="1">
        <v>46027</v>
      </c>
      <c r="K2146" s="1">
        <v>46027</v>
      </c>
      <c r="L2146">
        <v>34</v>
      </c>
      <c r="M2146">
        <v>2.1</v>
      </c>
      <c r="N2146">
        <v>2.1</v>
      </c>
      <c r="O2146">
        <v>0</v>
      </c>
      <c r="P2146">
        <v>0</v>
      </c>
      <c r="Q2146" t="s">
        <v>108</v>
      </c>
    </row>
    <row r="2147" spans="1:17">
      <c r="A2147" t="s">
        <v>93</v>
      </c>
      <c r="B2147" t="s">
        <v>106</v>
      </c>
      <c r="C2147" t="s">
        <v>56</v>
      </c>
      <c r="D2147" t="s">
        <v>1930</v>
      </c>
      <c r="E2147">
        <v>24</v>
      </c>
      <c r="F2147" t="str">
        <f>VLOOKUP(E2147,[1]LOJA!$A:$B,2,0)</f>
        <v>LUZIÂNIA</v>
      </c>
      <c r="G2147" t="s">
        <v>19</v>
      </c>
      <c r="H2147" t="s">
        <v>19</v>
      </c>
      <c r="I2147" s="1">
        <v>46027</v>
      </c>
      <c r="J2147" s="1">
        <v>46027</v>
      </c>
      <c r="K2147" s="1">
        <v>46027</v>
      </c>
      <c r="L2147">
        <v>34</v>
      </c>
      <c r="M2147">
        <v>8.7100000000000009</v>
      </c>
      <c r="N2147">
        <v>8.7100000000000009</v>
      </c>
      <c r="O2147">
        <v>0</v>
      </c>
      <c r="P2147">
        <v>0</v>
      </c>
      <c r="Q2147" t="s">
        <v>108</v>
      </c>
    </row>
    <row r="2148" spans="1:17">
      <c r="A2148" t="s">
        <v>93</v>
      </c>
      <c r="B2148" t="s">
        <v>106</v>
      </c>
      <c r="C2148" t="s">
        <v>56</v>
      </c>
      <c r="D2148" t="s">
        <v>1931</v>
      </c>
      <c r="E2148">
        <v>24</v>
      </c>
      <c r="F2148" t="str">
        <f>VLOOKUP(E2148,[1]LOJA!$A:$B,2,0)</f>
        <v>LUZIÂNIA</v>
      </c>
      <c r="G2148" t="s">
        <v>19</v>
      </c>
      <c r="H2148" t="s">
        <v>19</v>
      </c>
      <c r="I2148" s="1">
        <v>46027</v>
      </c>
      <c r="J2148" s="1">
        <v>46027</v>
      </c>
      <c r="K2148" s="1">
        <v>46027</v>
      </c>
      <c r="L2148">
        <v>34</v>
      </c>
      <c r="M2148">
        <v>2.77</v>
      </c>
      <c r="N2148">
        <v>2.77</v>
      </c>
      <c r="O2148">
        <v>0</v>
      </c>
      <c r="P2148">
        <v>0</v>
      </c>
      <c r="Q2148" t="s">
        <v>108</v>
      </c>
    </row>
    <row r="2149" spans="1:17">
      <c r="A2149" t="s">
        <v>93</v>
      </c>
      <c r="B2149" t="s">
        <v>106</v>
      </c>
      <c r="C2149" t="s">
        <v>56</v>
      </c>
      <c r="D2149" t="s">
        <v>1932</v>
      </c>
      <c r="E2149">
        <v>24</v>
      </c>
      <c r="F2149" t="str">
        <f>VLOOKUP(E2149,[1]LOJA!$A:$B,2,0)</f>
        <v>LUZIÂNIA</v>
      </c>
      <c r="G2149" t="s">
        <v>19</v>
      </c>
      <c r="H2149" t="s">
        <v>19</v>
      </c>
      <c r="I2149" s="1">
        <v>46027</v>
      </c>
      <c r="J2149" s="1">
        <v>46027</v>
      </c>
      <c r="K2149" s="1">
        <v>46027</v>
      </c>
      <c r="L2149">
        <v>34</v>
      </c>
      <c r="M2149">
        <v>2.92</v>
      </c>
      <c r="N2149">
        <v>2.92</v>
      </c>
      <c r="O2149">
        <v>0</v>
      </c>
      <c r="P2149">
        <v>0</v>
      </c>
      <c r="Q2149" t="s">
        <v>108</v>
      </c>
    </row>
    <row r="2150" spans="1:17">
      <c r="A2150" t="s">
        <v>93</v>
      </c>
      <c r="B2150" t="s">
        <v>106</v>
      </c>
      <c r="C2150" t="s">
        <v>56</v>
      </c>
      <c r="D2150" t="s">
        <v>1933</v>
      </c>
      <c r="E2150">
        <v>24</v>
      </c>
      <c r="F2150" t="str">
        <f>VLOOKUP(E2150,[1]LOJA!$A:$B,2,0)</f>
        <v>LUZIÂNIA</v>
      </c>
      <c r="G2150" t="s">
        <v>19</v>
      </c>
      <c r="H2150" t="s">
        <v>19</v>
      </c>
      <c r="I2150" s="1">
        <v>46027</v>
      </c>
      <c r="J2150" s="1">
        <v>46027</v>
      </c>
      <c r="K2150" s="1">
        <v>46027</v>
      </c>
      <c r="L2150">
        <v>34</v>
      </c>
      <c r="M2150">
        <v>1.31</v>
      </c>
      <c r="N2150">
        <v>1.31</v>
      </c>
      <c r="O2150">
        <v>0</v>
      </c>
      <c r="P2150">
        <v>0</v>
      </c>
      <c r="Q2150" t="s">
        <v>108</v>
      </c>
    </row>
    <row r="2151" spans="1:17">
      <c r="A2151" t="s">
        <v>93</v>
      </c>
      <c r="B2151" t="s">
        <v>106</v>
      </c>
      <c r="C2151" t="s">
        <v>56</v>
      </c>
      <c r="D2151" t="s">
        <v>1934</v>
      </c>
      <c r="E2151">
        <v>24</v>
      </c>
      <c r="F2151" t="str">
        <f>VLOOKUP(E2151,[1]LOJA!$A:$B,2,0)</f>
        <v>LUZIÂNIA</v>
      </c>
      <c r="G2151" t="s">
        <v>19</v>
      </c>
      <c r="H2151" t="s">
        <v>19</v>
      </c>
      <c r="I2151" s="1">
        <v>46027</v>
      </c>
      <c r="J2151" s="1">
        <v>46027</v>
      </c>
      <c r="K2151" s="1">
        <v>46027</v>
      </c>
      <c r="L2151">
        <v>34</v>
      </c>
      <c r="M2151">
        <v>23.73</v>
      </c>
      <c r="N2151">
        <v>23.73</v>
      </c>
      <c r="O2151">
        <v>0</v>
      </c>
      <c r="P2151">
        <v>0</v>
      </c>
      <c r="Q2151" t="s">
        <v>108</v>
      </c>
    </row>
    <row r="2152" spans="1:17">
      <c r="A2152" t="s">
        <v>93</v>
      </c>
      <c r="B2152" t="s">
        <v>106</v>
      </c>
      <c r="C2152" t="s">
        <v>56</v>
      </c>
      <c r="D2152" t="s">
        <v>1935</v>
      </c>
      <c r="E2152">
        <v>24</v>
      </c>
      <c r="F2152" t="str">
        <f>VLOOKUP(E2152,[1]LOJA!$A:$B,2,0)</f>
        <v>LUZIÂNIA</v>
      </c>
      <c r="G2152" t="s">
        <v>19</v>
      </c>
      <c r="H2152" t="s">
        <v>19</v>
      </c>
      <c r="I2152" s="1">
        <v>46027</v>
      </c>
      <c r="J2152" s="1">
        <v>46027</v>
      </c>
      <c r="K2152" s="1">
        <v>46027</v>
      </c>
      <c r="L2152">
        <v>34</v>
      </c>
      <c r="M2152">
        <v>2.8</v>
      </c>
      <c r="N2152">
        <v>2.8</v>
      </c>
      <c r="O2152">
        <v>0</v>
      </c>
      <c r="P2152">
        <v>0</v>
      </c>
      <c r="Q2152" t="s">
        <v>108</v>
      </c>
    </row>
    <row r="2153" spans="1:17">
      <c r="A2153" t="s">
        <v>93</v>
      </c>
      <c r="B2153" t="s">
        <v>106</v>
      </c>
      <c r="C2153" t="s">
        <v>56</v>
      </c>
      <c r="D2153" t="s">
        <v>1936</v>
      </c>
      <c r="E2153">
        <v>24</v>
      </c>
      <c r="F2153" t="str">
        <f>VLOOKUP(E2153,[1]LOJA!$A:$B,2,0)</f>
        <v>LUZIÂNIA</v>
      </c>
      <c r="G2153" t="s">
        <v>19</v>
      </c>
      <c r="H2153" t="s">
        <v>19</v>
      </c>
      <c r="I2153" s="1">
        <v>46027</v>
      </c>
      <c r="J2153" s="1">
        <v>46025</v>
      </c>
      <c r="K2153" s="1">
        <v>46027</v>
      </c>
      <c r="L2153">
        <v>34</v>
      </c>
      <c r="M2153">
        <v>2.0099999999999998</v>
      </c>
      <c r="N2153">
        <v>2.0099999999999998</v>
      </c>
      <c r="O2153">
        <v>0</v>
      </c>
      <c r="P2153">
        <v>0</v>
      </c>
      <c r="Q2153" t="s">
        <v>108</v>
      </c>
    </row>
    <row r="2154" spans="1:17">
      <c r="A2154" t="s">
        <v>93</v>
      </c>
      <c r="B2154" t="s">
        <v>106</v>
      </c>
      <c r="C2154" t="s">
        <v>56</v>
      </c>
      <c r="D2154" t="s">
        <v>1937</v>
      </c>
      <c r="E2154">
        <v>24</v>
      </c>
      <c r="F2154" t="str">
        <f>VLOOKUP(E2154,[1]LOJA!$A:$B,2,0)</f>
        <v>LUZIÂNIA</v>
      </c>
      <c r="G2154" t="s">
        <v>19</v>
      </c>
      <c r="H2154" t="s">
        <v>19</v>
      </c>
      <c r="I2154" s="1">
        <v>46027</v>
      </c>
      <c r="J2154" s="1">
        <v>46025</v>
      </c>
      <c r="K2154" s="1">
        <v>46027</v>
      </c>
      <c r="L2154">
        <v>34</v>
      </c>
      <c r="M2154">
        <v>0.4</v>
      </c>
      <c r="N2154">
        <v>0.4</v>
      </c>
      <c r="O2154">
        <v>0</v>
      </c>
      <c r="P2154">
        <v>0</v>
      </c>
      <c r="Q2154" t="s">
        <v>108</v>
      </c>
    </row>
    <row r="2155" spans="1:17">
      <c r="A2155" t="s">
        <v>93</v>
      </c>
      <c r="B2155" t="s">
        <v>106</v>
      </c>
      <c r="C2155" t="s">
        <v>56</v>
      </c>
      <c r="D2155" t="s">
        <v>1938</v>
      </c>
      <c r="E2155">
        <v>24</v>
      </c>
      <c r="F2155" t="str">
        <f>VLOOKUP(E2155,[1]LOJA!$A:$B,2,0)</f>
        <v>LUZIÂNIA</v>
      </c>
      <c r="G2155" t="s">
        <v>19</v>
      </c>
      <c r="H2155" t="s">
        <v>19</v>
      </c>
      <c r="I2155" s="1">
        <v>46027</v>
      </c>
      <c r="J2155" s="1">
        <v>46025</v>
      </c>
      <c r="K2155" s="1">
        <v>46027</v>
      </c>
      <c r="L2155">
        <v>34</v>
      </c>
      <c r="M2155">
        <v>0.2</v>
      </c>
      <c r="N2155">
        <v>0.2</v>
      </c>
      <c r="O2155">
        <v>0</v>
      </c>
      <c r="P2155">
        <v>0</v>
      </c>
      <c r="Q2155" t="s">
        <v>108</v>
      </c>
    </row>
    <row r="2156" spans="1:17">
      <c r="A2156" t="s">
        <v>93</v>
      </c>
      <c r="B2156" t="s">
        <v>106</v>
      </c>
      <c r="C2156" t="s">
        <v>56</v>
      </c>
      <c r="D2156" t="s">
        <v>1939</v>
      </c>
      <c r="E2156">
        <v>24</v>
      </c>
      <c r="F2156" t="str">
        <f>VLOOKUP(E2156,[1]LOJA!$A:$B,2,0)</f>
        <v>LUZIÂNIA</v>
      </c>
      <c r="G2156" t="s">
        <v>19</v>
      </c>
      <c r="H2156" t="s">
        <v>19</v>
      </c>
      <c r="I2156" s="1">
        <v>46027</v>
      </c>
      <c r="J2156" s="1">
        <v>46025</v>
      </c>
      <c r="K2156" s="1">
        <v>46027</v>
      </c>
      <c r="L2156">
        <v>34</v>
      </c>
      <c r="M2156">
        <v>0.68</v>
      </c>
      <c r="N2156">
        <v>0.68</v>
      </c>
      <c r="O2156">
        <v>0</v>
      </c>
      <c r="P2156">
        <v>0</v>
      </c>
      <c r="Q2156" t="s">
        <v>108</v>
      </c>
    </row>
    <row r="2157" spans="1:17">
      <c r="A2157" t="s">
        <v>93</v>
      </c>
      <c r="B2157" t="s">
        <v>106</v>
      </c>
      <c r="C2157" t="s">
        <v>56</v>
      </c>
      <c r="D2157" t="s">
        <v>1940</v>
      </c>
      <c r="E2157">
        <v>24</v>
      </c>
      <c r="F2157" t="str">
        <f>VLOOKUP(E2157,[1]LOJA!$A:$B,2,0)</f>
        <v>LUZIÂNIA</v>
      </c>
      <c r="G2157" t="s">
        <v>19</v>
      </c>
      <c r="H2157" t="s">
        <v>19</v>
      </c>
      <c r="I2157" s="1">
        <v>46027</v>
      </c>
      <c r="J2157" s="1">
        <v>46025</v>
      </c>
      <c r="K2157" s="1">
        <v>46027</v>
      </c>
      <c r="L2157">
        <v>34</v>
      </c>
      <c r="M2157">
        <v>0.67</v>
      </c>
      <c r="N2157">
        <v>0.67</v>
      </c>
      <c r="O2157">
        <v>0</v>
      </c>
      <c r="P2157">
        <v>0</v>
      </c>
      <c r="Q2157" t="s">
        <v>108</v>
      </c>
    </row>
    <row r="2158" spans="1:17">
      <c r="A2158" t="s">
        <v>93</v>
      </c>
      <c r="B2158" t="s">
        <v>106</v>
      </c>
      <c r="C2158" t="s">
        <v>56</v>
      </c>
      <c r="D2158" t="s">
        <v>1941</v>
      </c>
      <c r="E2158">
        <v>24</v>
      </c>
      <c r="F2158" t="str">
        <f>VLOOKUP(E2158,[1]LOJA!$A:$B,2,0)</f>
        <v>LUZIÂNIA</v>
      </c>
      <c r="G2158" t="s">
        <v>19</v>
      </c>
      <c r="H2158" t="s">
        <v>19</v>
      </c>
      <c r="I2158" s="1">
        <v>46027</v>
      </c>
      <c r="J2158" s="1">
        <v>46025</v>
      </c>
      <c r="K2158" s="1">
        <v>46027</v>
      </c>
      <c r="L2158">
        <v>34</v>
      </c>
      <c r="M2158">
        <v>0.97</v>
      </c>
      <c r="N2158">
        <v>0.97</v>
      </c>
      <c r="O2158">
        <v>0</v>
      </c>
      <c r="P2158">
        <v>0</v>
      </c>
      <c r="Q2158" t="s">
        <v>108</v>
      </c>
    </row>
    <row r="2159" spans="1:17">
      <c r="A2159" t="s">
        <v>93</v>
      </c>
      <c r="B2159" t="s">
        <v>106</v>
      </c>
      <c r="C2159" t="s">
        <v>56</v>
      </c>
      <c r="D2159" t="s">
        <v>1942</v>
      </c>
      <c r="E2159">
        <v>24</v>
      </c>
      <c r="F2159" t="str">
        <f>VLOOKUP(E2159,[1]LOJA!$A:$B,2,0)</f>
        <v>LUZIÂNIA</v>
      </c>
      <c r="G2159" t="s">
        <v>19</v>
      </c>
      <c r="H2159" t="s">
        <v>19</v>
      </c>
      <c r="I2159" s="1">
        <v>46027</v>
      </c>
      <c r="J2159" s="1">
        <v>46025</v>
      </c>
      <c r="K2159" s="1">
        <v>46027</v>
      </c>
      <c r="L2159">
        <v>34</v>
      </c>
      <c r="M2159">
        <v>1.38</v>
      </c>
      <c r="N2159">
        <v>1.38</v>
      </c>
      <c r="O2159">
        <v>0</v>
      </c>
      <c r="P2159">
        <v>0</v>
      </c>
      <c r="Q2159" t="s">
        <v>108</v>
      </c>
    </row>
    <row r="2160" spans="1:17">
      <c r="A2160" t="s">
        <v>93</v>
      </c>
      <c r="B2160" t="s">
        <v>106</v>
      </c>
      <c r="C2160" t="s">
        <v>56</v>
      </c>
      <c r="D2160" t="s">
        <v>1943</v>
      </c>
      <c r="E2160">
        <v>24</v>
      </c>
      <c r="F2160" t="str">
        <f>VLOOKUP(E2160,[1]LOJA!$A:$B,2,0)</f>
        <v>LUZIÂNIA</v>
      </c>
      <c r="G2160" t="s">
        <v>19</v>
      </c>
      <c r="H2160" t="s">
        <v>19</v>
      </c>
      <c r="I2160" s="1">
        <v>46027</v>
      </c>
      <c r="J2160" s="1">
        <v>46025</v>
      </c>
      <c r="K2160" s="1">
        <v>46027</v>
      </c>
      <c r="L2160">
        <v>34</v>
      </c>
      <c r="M2160">
        <v>0.93</v>
      </c>
      <c r="N2160">
        <v>0.93</v>
      </c>
      <c r="O2160">
        <v>0</v>
      </c>
      <c r="P2160">
        <v>0</v>
      </c>
      <c r="Q2160" t="s">
        <v>108</v>
      </c>
    </row>
    <row r="2161" spans="1:17">
      <c r="A2161" t="s">
        <v>93</v>
      </c>
      <c r="B2161" t="s">
        <v>106</v>
      </c>
      <c r="C2161" t="s">
        <v>56</v>
      </c>
      <c r="D2161" t="s">
        <v>1944</v>
      </c>
      <c r="E2161">
        <v>24</v>
      </c>
      <c r="F2161" t="str">
        <f>VLOOKUP(E2161,[1]LOJA!$A:$B,2,0)</f>
        <v>LUZIÂNIA</v>
      </c>
      <c r="G2161" t="s">
        <v>19</v>
      </c>
      <c r="H2161" t="s">
        <v>19</v>
      </c>
      <c r="I2161" s="1">
        <v>46027</v>
      </c>
      <c r="J2161" s="1">
        <v>46025</v>
      </c>
      <c r="K2161" s="1">
        <v>46027</v>
      </c>
      <c r="L2161">
        <v>34</v>
      </c>
      <c r="M2161">
        <v>0.6</v>
      </c>
      <c r="N2161">
        <v>0.6</v>
      </c>
      <c r="O2161">
        <v>0</v>
      </c>
      <c r="P2161">
        <v>0</v>
      </c>
      <c r="Q2161" t="s">
        <v>108</v>
      </c>
    </row>
    <row r="2162" spans="1:17">
      <c r="A2162" t="s">
        <v>93</v>
      </c>
      <c r="B2162" t="s">
        <v>106</v>
      </c>
      <c r="C2162" t="s">
        <v>56</v>
      </c>
      <c r="D2162" t="s">
        <v>1945</v>
      </c>
      <c r="E2162">
        <v>24</v>
      </c>
      <c r="F2162" t="str">
        <f>VLOOKUP(E2162,[1]LOJA!$A:$B,2,0)</f>
        <v>LUZIÂNIA</v>
      </c>
      <c r="G2162" t="s">
        <v>19</v>
      </c>
      <c r="H2162" t="s">
        <v>19</v>
      </c>
      <c r="I2162" s="1">
        <v>46027</v>
      </c>
      <c r="J2162" s="1">
        <v>46025</v>
      </c>
      <c r="K2162" s="1">
        <v>46027</v>
      </c>
      <c r="L2162">
        <v>34</v>
      </c>
      <c r="M2162">
        <v>0.06</v>
      </c>
      <c r="N2162">
        <v>0.06</v>
      </c>
      <c r="O2162">
        <v>0</v>
      </c>
      <c r="P2162">
        <v>0</v>
      </c>
      <c r="Q2162" t="s">
        <v>108</v>
      </c>
    </row>
    <row r="2163" spans="1:17">
      <c r="A2163" t="s">
        <v>93</v>
      </c>
      <c r="B2163" t="s">
        <v>106</v>
      </c>
      <c r="C2163" t="s">
        <v>56</v>
      </c>
      <c r="D2163" t="s">
        <v>1946</v>
      </c>
      <c r="E2163">
        <v>24</v>
      </c>
      <c r="F2163" t="str">
        <f>VLOOKUP(E2163,[1]LOJA!$A:$B,2,0)</f>
        <v>LUZIÂNIA</v>
      </c>
      <c r="G2163" t="s">
        <v>19</v>
      </c>
      <c r="H2163" t="s">
        <v>19</v>
      </c>
      <c r="I2163" s="1">
        <v>46027</v>
      </c>
      <c r="J2163" s="1">
        <v>46025</v>
      </c>
      <c r="K2163" s="1">
        <v>46027</v>
      </c>
      <c r="L2163">
        <v>34</v>
      </c>
      <c r="M2163">
        <v>0.24</v>
      </c>
      <c r="N2163">
        <v>0.24</v>
      </c>
      <c r="O2163">
        <v>0</v>
      </c>
      <c r="P2163">
        <v>0</v>
      </c>
      <c r="Q2163" t="s">
        <v>108</v>
      </c>
    </row>
    <row r="2164" spans="1:17">
      <c r="A2164" t="s">
        <v>93</v>
      </c>
      <c r="B2164" t="s">
        <v>106</v>
      </c>
      <c r="C2164" t="s">
        <v>56</v>
      </c>
      <c r="D2164" t="s">
        <v>1947</v>
      </c>
      <c r="E2164">
        <v>24</v>
      </c>
      <c r="F2164" t="str">
        <f>VLOOKUP(E2164,[1]LOJA!$A:$B,2,0)</f>
        <v>LUZIÂNIA</v>
      </c>
      <c r="G2164" t="s">
        <v>19</v>
      </c>
      <c r="H2164" t="s">
        <v>19</v>
      </c>
      <c r="I2164" s="1">
        <v>46027</v>
      </c>
      <c r="J2164" s="1">
        <v>46026</v>
      </c>
      <c r="K2164" s="1">
        <v>46027</v>
      </c>
      <c r="L2164">
        <v>34</v>
      </c>
      <c r="M2164">
        <v>0.27</v>
      </c>
      <c r="N2164">
        <v>0.27</v>
      </c>
      <c r="O2164">
        <v>0</v>
      </c>
      <c r="P2164">
        <v>0</v>
      </c>
      <c r="Q2164" t="s">
        <v>108</v>
      </c>
    </row>
    <row r="2165" spans="1:17">
      <c r="A2165" t="s">
        <v>93</v>
      </c>
      <c r="B2165" t="s">
        <v>106</v>
      </c>
      <c r="C2165" t="s">
        <v>56</v>
      </c>
      <c r="D2165" t="s">
        <v>1948</v>
      </c>
      <c r="E2165">
        <v>24</v>
      </c>
      <c r="F2165" t="str">
        <f>VLOOKUP(E2165,[1]LOJA!$A:$B,2,0)</f>
        <v>LUZIÂNIA</v>
      </c>
      <c r="G2165" t="s">
        <v>19</v>
      </c>
      <c r="H2165" t="s">
        <v>19</v>
      </c>
      <c r="I2165" s="1">
        <v>46027</v>
      </c>
      <c r="J2165" s="1">
        <v>46026</v>
      </c>
      <c r="K2165" s="1">
        <v>46027</v>
      </c>
      <c r="L2165">
        <v>34</v>
      </c>
      <c r="M2165">
        <v>1.97</v>
      </c>
      <c r="N2165">
        <v>1.97</v>
      </c>
      <c r="O2165">
        <v>0</v>
      </c>
      <c r="P2165">
        <v>0</v>
      </c>
      <c r="Q2165" t="s">
        <v>108</v>
      </c>
    </row>
    <row r="2166" spans="1:17">
      <c r="A2166" t="s">
        <v>93</v>
      </c>
      <c r="B2166" t="s">
        <v>106</v>
      </c>
      <c r="C2166" t="s">
        <v>56</v>
      </c>
      <c r="D2166" t="s">
        <v>1949</v>
      </c>
      <c r="E2166">
        <v>24</v>
      </c>
      <c r="F2166" t="str">
        <f>VLOOKUP(E2166,[1]LOJA!$A:$B,2,0)</f>
        <v>LUZIÂNIA</v>
      </c>
      <c r="G2166" t="s">
        <v>19</v>
      </c>
      <c r="H2166" t="s">
        <v>19</v>
      </c>
      <c r="I2166" s="1">
        <v>46027</v>
      </c>
      <c r="J2166" s="1">
        <v>46026</v>
      </c>
      <c r="K2166" s="1">
        <v>46027</v>
      </c>
      <c r="L2166">
        <v>34</v>
      </c>
      <c r="M2166">
        <v>0.3</v>
      </c>
      <c r="N2166">
        <v>0.3</v>
      </c>
      <c r="O2166">
        <v>0</v>
      </c>
      <c r="P2166">
        <v>0</v>
      </c>
      <c r="Q2166" t="s">
        <v>108</v>
      </c>
    </row>
    <row r="2167" spans="1:17">
      <c r="A2167" t="s">
        <v>93</v>
      </c>
      <c r="B2167" t="s">
        <v>106</v>
      </c>
      <c r="C2167" t="s">
        <v>56</v>
      </c>
      <c r="D2167" t="s">
        <v>1950</v>
      </c>
      <c r="E2167">
        <v>24</v>
      </c>
      <c r="F2167" t="str">
        <f>VLOOKUP(E2167,[1]LOJA!$A:$B,2,0)</f>
        <v>LUZIÂNIA</v>
      </c>
      <c r="G2167" t="s">
        <v>19</v>
      </c>
      <c r="H2167" t="s">
        <v>19</v>
      </c>
      <c r="I2167" s="1">
        <v>46027</v>
      </c>
      <c r="J2167" s="1">
        <v>46026</v>
      </c>
      <c r="K2167" s="1">
        <v>46027</v>
      </c>
      <c r="L2167">
        <v>34</v>
      </c>
      <c r="M2167">
        <v>0.1</v>
      </c>
      <c r="N2167">
        <v>0.1</v>
      </c>
      <c r="O2167">
        <v>0</v>
      </c>
      <c r="P2167">
        <v>0</v>
      </c>
      <c r="Q2167" t="s">
        <v>108</v>
      </c>
    </row>
    <row r="2168" spans="1:17">
      <c r="A2168" t="s">
        <v>93</v>
      </c>
      <c r="B2168" t="s">
        <v>106</v>
      </c>
      <c r="C2168" t="s">
        <v>56</v>
      </c>
      <c r="D2168" t="s">
        <v>1951</v>
      </c>
      <c r="E2168">
        <v>24</v>
      </c>
      <c r="F2168" t="str">
        <f>VLOOKUP(E2168,[1]LOJA!$A:$B,2,0)</f>
        <v>LUZIÂNIA</v>
      </c>
      <c r="G2168" t="s">
        <v>19</v>
      </c>
      <c r="H2168" t="s">
        <v>19</v>
      </c>
      <c r="I2168" s="1">
        <v>46027</v>
      </c>
      <c r="J2168" s="1">
        <v>46026</v>
      </c>
      <c r="K2168" s="1">
        <v>46027</v>
      </c>
      <c r="L2168">
        <v>34</v>
      </c>
      <c r="M2168">
        <v>0.27</v>
      </c>
      <c r="N2168">
        <v>0.27</v>
      </c>
      <c r="O2168">
        <v>0</v>
      </c>
      <c r="P2168">
        <v>0</v>
      </c>
      <c r="Q2168" t="s">
        <v>108</v>
      </c>
    </row>
    <row r="2169" spans="1:17">
      <c r="A2169" t="s">
        <v>93</v>
      </c>
      <c r="B2169" t="s">
        <v>106</v>
      </c>
      <c r="C2169" t="s">
        <v>56</v>
      </c>
      <c r="D2169" t="s">
        <v>1952</v>
      </c>
      <c r="E2169">
        <v>24</v>
      </c>
      <c r="F2169" t="str">
        <f>VLOOKUP(E2169,[1]LOJA!$A:$B,2,0)</f>
        <v>LUZIÂNIA</v>
      </c>
      <c r="G2169" t="s">
        <v>19</v>
      </c>
      <c r="H2169" t="s">
        <v>19</v>
      </c>
      <c r="I2169" s="1">
        <v>46027</v>
      </c>
      <c r="J2169" s="1">
        <v>46026</v>
      </c>
      <c r="K2169" s="1">
        <v>46027</v>
      </c>
      <c r="L2169">
        <v>34</v>
      </c>
      <c r="M2169">
        <v>0.4</v>
      </c>
      <c r="N2169">
        <v>0.4</v>
      </c>
      <c r="O2169">
        <v>0</v>
      </c>
      <c r="P2169">
        <v>0</v>
      </c>
      <c r="Q2169" t="s">
        <v>108</v>
      </c>
    </row>
    <row r="2170" spans="1:17">
      <c r="A2170" t="s">
        <v>93</v>
      </c>
      <c r="B2170" t="s">
        <v>106</v>
      </c>
      <c r="C2170" t="s">
        <v>56</v>
      </c>
      <c r="D2170" t="s">
        <v>1953</v>
      </c>
      <c r="E2170">
        <v>24</v>
      </c>
      <c r="F2170" t="str">
        <f>VLOOKUP(E2170,[1]LOJA!$A:$B,2,0)</f>
        <v>LUZIÂNIA</v>
      </c>
      <c r="G2170" t="s">
        <v>19</v>
      </c>
      <c r="H2170" t="s">
        <v>19</v>
      </c>
      <c r="I2170" s="1">
        <v>46027</v>
      </c>
      <c r="J2170" s="1">
        <v>46026</v>
      </c>
      <c r="K2170" s="1">
        <v>46027</v>
      </c>
      <c r="L2170">
        <v>34</v>
      </c>
      <c r="M2170">
        <v>0.78</v>
      </c>
      <c r="N2170">
        <v>0.78</v>
      </c>
      <c r="O2170">
        <v>0</v>
      </c>
      <c r="P2170">
        <v>0</v>
      </c>
      <c r="Q2170" t="s">
        <v>108</v>
      </c>
    </row>
    <row r="2171" spans="1:17">
      <c r="A2171" t="s">
        <v>93</v>
      </c>
      <c r="B2171" t="s">
        <v>106</v>
      </c>
      <c r="C2171" t="s">
        <v>56</v>
      </c>
      <c r="D2171" t="s">
        <v>1954</v>
      </c>
      <c r="E2171">
        <v>24</v>
      </c>
      <c r="F2171" t="str">
        <f>VLOOKUP(E2171,[1]LOJA!$A:$B,2,0)</f>
        <v>LUZIÂNIA</v>
      </c>
      <c r="G2171" t="s">
        <v>19</v>
      </c>
      <c r="H2171" t="s">
        <v>19</v>
      </c>
      <c r="I2171" s="1">
        <v>46027</v>
      </c>
      <c r="J2171" s="1">
        <v>46026</v>
      </c>
      <c r="K2171" s="1">
        <v>46027</v>
      </c>
      <c r="L2171">
        <v>34</v>
      </c>
      <c r="M2171">
        <v>0.24</v>
      </c>
      <c r="N2171">
        <v>0.24</v>
      </c>
      <c r="O2171">
        <v>0</v>
      </c>
      <c r="P2171">
        <v>0</v>
      </c>
      <c r="Q2171" t="s">
        <v>108</v>
      </c>
    </row>
    <row r="2172" spans="1:17">
      <c r="A2172" t="s">
        <v>93</v>
      </c>
      <c r="B2172" t="s">
        <v>106</v>
      </c>
      <c r="C2172" t="s">
        <v>56</v>
      </c>
      <c r="D2172" t="s">
        <v>1955</v>
      </c>
      <c r="E2172">
        <v>24</v>
      </c>
      <c r="F2172" t="str">
        <f>VLOOKUP(E2172,[1]LOJA!$A:$B,2,0)</f>
        <v>LUZIÂNIA</v>
      </c>
      <c r="G2172" t="s">
        <v>19</v>
      </c>
      <c r="H2172" t="s">
        <v>19</v>
      </c>
      <c r="I2172" s="1">
        <v>46028</v>
      </c>
      <c r="J2172" s="1">
        <v>46028</v>
      </c>
      <c r="K2172" s="1">
        <v>46028</v>
      </c>
      <c r="L2172">
        <v>34</v>
      </c>
      <c r="M2172">
        <v>2.48</v>
      </c>
      <c r="N2172">
        <v>2.48</v>
      </c>
      <c r="O2172">
        <v>0</v>
      </c>
      <c r="P2172">
        <v>0</v>
      </c>
      <c r="Q2172" t="s">
        <v>108</v>
      </c>
    </row>
    <row r="2173" spans="1:17">
      <c r="A2173" t="s">
        <v>93</v>
      </c>
      <c r="B2173" t="s">
        <v>106</v>
      </c>
      <c r="C2173" t="s">
        <v>56</v>
      </c>
      <c r="D2173" t="s">
        <v>1956</v>
      </c>
      <c r="E2173">
        <v>24</v>
      </c>
      <c r="F2173" t="str">
        <f>VLOOKUP(E2173,[1]LOJA!$A:$B,2,0)</f>
        <v>LUZIÂNIA</v>
      </c>
      <c r="G2173" t="s">
        <v>19</v>
      </c>
      <c r="H2173" t="s">
        <v>19</v>
      </c>
      <c r="I2173" s="1">
        <v>46028</v>
      </c>
      <c r="J2173" s="1">
        <v>46028</v>
      </c>
      <c r="K2173" s="1">
        <v>46028</v>
      </c>
      <c r="L2173">
        <v>34</v>
      </c>
      <c r="M2173">
        <v>18.13</v>
      </c>
      <c r="N2173">
        <v>18.13</v>
      </c>
      <c r="O2173">
        <v>0</v>
      </c>
      <c r="P2173">
        <v>0</v>
      </c>
      <c r="Q2173" t="s">
        <v>108</v>
      </c>
    </row>
    <row r="2174" spans="1:17">
      <c r="A2174" t="s">
        <v>93</v>
      </c>
      <c r="B2174" t="s">
        <v>106</v>
      </c>
      <c r="C2174" t="s">
        <v>56</v>
      </c>
      <c r="D2174" t="s">
        <v>1957</v>
      </c>
      <c r="E2174">
        <v>24</v>
      </c>
      <c r="F2174" t="str">
        <f>VLOOKUP(E2174,[1]LOJA!$A:$B,2,0)</f>
        <v>LUZIÂNIA</v>
      </c>
      <c r="G2174" t="s">
        <v>19</v>
      </c>
      <c r="H2174" t="s">
        <v>19</v>
      </c>
      <c r="I2174" s="1">
        <v>46028</v>
      </c>
      <c r="J2174" s="1">
        <v>46028</v>
      </c>
      <c r="K2174" s="1">
        <v>46028</v>
      </c>
      <c r="L2174">
        <v>34</v>
      </c>
      <c r="M2174">
        <v>2.92</v>
      </c>
      <c r="N2174">
        <v>2.92</v>
      </c>
      <c r="O2174">
        <v>0</v>
      </c>
      <c r="P2174">
        <v>0</v>
      </c>
      <c r="Q2174" t="s">
        <v>108</v>
      </c>
    </row>
    <row r="2175" spans="1:17">
      <c r="A2175" t="s">
        <v>93</v>
      </c>
      <c r="B2175" t="s">
        <v>106</v>
      </c>
      <c r="C2175" t="s">
        <v>56</v>
      </c>
      <c r="D2175" t="s">
        <v>1958</v>
      </c>
      <c r="E2175">
        <v>24</v>
      </c>
      <c r="F2175" t="str">
        <f>VLOOKUP(E2175,[1]LOJA!$A:$B,2,0)</f>
        <v>LUZIÂNIA</v>
      </c>
      <c r="G2175" t="s">
        <v>19</v>
      </c>
      <c r="H2175" t="s">
        <v>19</v>
      </c>
      <c r="I2175" s="1">
        <v>46028</v>
      </c>
      <c r="J2175" s="1">
        <v>46028</v>
      </c>
      <c r="K2175" s="1">
        <v>46028</v>
      </c>
      <c r="L2175">
        <v>34</v>
      </c>
      <c r="M2175">
        <v>3.29</v>
      </c>
      <c r="N2175">
        <v>3.29</v>
      </c>
      <c r="O2175">
        <v>0</v>
      </c>
      <c r="P2175">
        <v>0</v>
      </c>
      <c r="Q2175" t="s">
        <v>108</v>
      </c>
    </row>
    <row r="2176" spans="1:17">
      <c r="A2176" t="s">
        <v>93</v>
      </c>
      <c r="B2176" t="s">
        <v>106</v>
      </c>
      <c r="C2176" t="s">
        <v>56</v>
      </c>
      <c r="D2176" t="s">
        <v>1959</v>
      </c>
      <c r="E2176">
        <v>24</v>
      </c>
      <c r="F2176" t="str">
        <f>VLOOKUP(E2176,[1]LOJA!$A:$B,2,0)</f>
        <v>LUZIÂNIA</v>
      </c>
      <c r="G2176" t="s">
        <v>19</v>
      </c>
      <c r="H2176" t="s">
        <v>19</v>
      </c>
      <c r="I2176" s="1">
        <v>46028</v>
      </c>
      <c r="J2176" s="1">
        <v>46028</v>
      </c>
      <c r="K2176" s="1">
        <v>46028</v>
      </c>
      <c r="L2176">
        <v>34</v>
      </c>
      <c r="M2176">
        <v>2.89</v>
      </c>
      <c r="N2176">
        <v>2.89</v>
      </c>
      <c r="O2176">
        <v>0</v>
      </c>
      <c r="P2176">
        <v>0</v>
      </c>
      <c r="Q2176" t="s">
        <v>108</v>
      </c>
    </row>
    <row r="2177" spans="1:17">
      <c r="A2177" t="s">
        <v>93</v>
      </c>
      <c r="B2177" t="s">
        <v>106</v>
      </c>
      <c r="C2177" t="s">
        <v>56</v>
      </c>
      <c r="D2177" t="s">
        <v>1960</v>
      </c>
      <c r="E2177">
        <v>24</v>
      </c>
      <c r="F2177" t="str">
        <f>VLOOKUP(E2177,[1]LOJA!$A:$B,2,0)</f>
        <v>LUZIÂNIA</v>
      </c>
      <c r="G2177" t="s">
        <v>19</v>
      </c>
      <c r="H2177" t="s">
        <v>19</v>
      </c>
      <c r="I2177" s="1">
        <v>46028</v>
      </c>
      <c r="J2177" s="1">
        <v>46028</v>
      </c>
      <c r="K2177" s="1">
        <v>46028</v>
      </c>
      <c r="L2177">
        <v>34</v>
      </c>
      <c r="M2177">
        <v>13.65</v>
      </c>
      <c r="N2177">
        <v>13.65</v>
      </c>
      <c r="O2177">
        <v>0</v>
      </c>
      <c r="P2177">
        <v>0</v>
      </c>
      <c r="Q2177" t="s">
        <v>108</v>
      </c>
    </row>
    <row r="2178" spans="1:17">
      <c r="A2178" t="s">
        <v>93</v>
      </c>
      <c r="B2178" t="s">
        <v>106</v>
      </c>
      <c r="C2178" t="s">
        <v>56</v>
      </c>
      <c r="D2178" t="s">
        <v>1961</v>
      </c>
      <c r="E2178">
        <v>24</v>
      </c>
      <c r="F2178" t="str">
        <f>VLOOKUP(E2178,[1]LOJA!$A:$B,2,0)</f>
        <v>LUZIÂNIA</v>
      </c>
      <c r="G2178" t="s">
        <v>19</v>
      </c>
      <c r="H2178" t="s">
        <v>19</v>
      </c>
      <c r="I2178" s="1">
        <v>46028</v>
      </c>
      <c r="J2178" s="1">
        <v>46028</v>
      </c>
      <c r="K2178" s="1">
        <v>46028</v>
      </c>
      <c r="L2178">
        <v>34</v>
      </c>
      <c r="M2178">
        <v>2.46</v>
      </c>
      <c r="N2178">
        <v>2.46</v>
      </c>
      <c r="O2178">
        <v>0</v>
      </c>
      <c r="P2178">
        <v>0</v>
      </c>
      <c r="Q2178" t="s">
        <v>108</v>
      </c>
    </row>
    <row r="2179" spans="1:17">
      <c r="A2179" t="s">
        <v>93</v>
      </c>
      <c r="B2179" t="s">
        <v>106</v>
      </c>
      <c r="C2179" t="s">
        <v>56</v>
      </c>
      <c r="D2179" t="s">
        <v>1962</v>
      </c>
      <c r="E2179">
        <v>24</v>
      </c>
      <c r="F2179" t="str">
        <f>VLOOKUP(E2179,[1]LOJA!$A:$B,2,0)</f>
        <v>LUZIÂNIA</v>
      </c>
      <c r="G2179" t="s">
        <v>19</v>
      </c>
      <c r="H2179" t="s">
        <v>19</v>
      </c>
      <c r="I2179" s="1">
        <v>46028</v>
      </c>
      <c r="J2179" s="1">
        <v>46028</v>
      </c>
      <c r="K2179" s="1">
        <v>46028</v>
      </c>
      <c r="L2179">
        <v>34</v>
      </c>
      <c r="M2179">
        <v>2.61</v>
      </c>
      <c r="N2179">
        <v>2.61</v>
      </c>
      <c r="O2179">
        <v>0</v>
      </c>
      <c r="P2179">
        <v>0</v>
      </c>
      <c r="Q2179" t="s">
        <v>108</v>
      </c>
    </row>
    <row r="2180" spans="1:17">
      <c r="A2180" t="s">
        <v>93</v>
      </c>
      <c r="B2180" t="s">
        <v>106</v>
      </c>
      <c r="C2180" t="s">
        <v>56</v>
      </c>
      <c r="D2180" t="s">
        <v>1963</v>
      </c>
      <c r="E2180">
        <v>24</v>
      </c>
      <c r="F2180" t="str">
        <f>VLOOKUP(E2180,[1]LOJA!$A:$B,2,0)</f>
        <v>LUZIÂNIA</v>
      </c>
      <c r="G2180" t="s">
        <v>19</v>
      </c>
      <c r="H2180" t="s">
        <v>19</v>
      </c>
      <c r="I2180" s="1">
        <v>46028</v>
      </c>
      <c r="J2180" s="1">
        <v>46028</v>
      </c>
      <c r="K2180" s="1">
        <v>46028</v>
      </c>
      <c r="L2180">
        <v>34</v>
      </c>
      <c r="M2180">
        <v>2</v>
      </c>
      <c r="N2180">
        <v>2</v>
      </c>
      <c r="O2180">
        <v>0</v>
      </c>
      <c r="P2180">
        <v>0</v>
      </c>
      <c r="Q2180" t="s">
        <v>108</v>
      </c>
    </row>
    <row r="2181" spans="1:17">
      <c r="A2181" t="s">
        <v>93</v>
      </c>
      <c r="B2181" t="s">
        <v>106</v>
      </c>
      <c r="C2181" t="s">
        <v>56</v>
      </c>
      <c r="D2181" t="s">
        <v>1964</v>
      </c>
      <c r="E2181">
        <v>24</v>
      </c>
      <c r="F2181" t="str">
        <f>VLOOKUP(E2181,[1]LOJA!$A:$B,2,0)</f>
        <v>LUZIÂNIA</v>
      </c>
      <c r="G2181" t="s">
        <v>19</v>
      </c>
      <c r="H2181" t="s">
        <v>19</v>
      </c>
      <c r="I2181" s="1">
        <v>46028</v>
      </c>
      <c r="J2181" s="1">
        <v>46028</v>
      </c>
      <c r="K2181" s="1">
        <v>46028</v>
      </c>
      <c r="L2181">
        <v>34</v>
      </c>
      <c r="M2181">
        <v>4.29</v>
      </c>
      <c r="N2181">
        <v>4.29</v>
      </c>
      <c r="O2181">
        <v>0</v>
      </c>
      <c r="P2181">
        <v>0</v>
      </c>
      <c r="Q2181" t="s">
        <v>108</v>
      </c>
    </row>
    <row r="2182" spans="1:17">
      <c r="A2182" t="s">
        <v>93</v>
      </c>
      <c r="B2182" t="s">
        <v>106</v>
      </c>
      <c r="C2182" t="s">
        <v>56</v>
      </c>
      <c r="D2182" t="s">
        <v>1965</v>
      </c>
      <c r="E2182">
        <v>24</v>
      </c>
      <c r="F2182" t="str">
        <f>VLOOKUP(E2182,[1]LOJA!$A:$B,2,0)</f>
        <v>LUZIÂNIA</v>
      </c>
      <c r="G2182" t="s">
        <v>19</v>
      </c>
      <c r="H2182" t="s">
        <v>19</v>
      </c>
      <c r="I2182" s="1">
        <v>46028</v>
      </c>
      <c r="J2182" s="1">
        <v>46028</v>
      </c>
      <c r="K2182" s="1">
        <v>46028</v>
      </c>
      <c r="L2182">
        <v>34</v>
      </c>
      <c r="M2182">
        <v>6.02</v>
      </c>
      <c r="N2182">
        <v>6.02</v>
      </c>
      <c r="O2182">
        <v>0</v>
      </c>
      <c r="P2182">
        <v>0</v>
      </c>
      <c r="Q2182" t="s">
        <v>108</v>
      </c>
    </row>
    <row r="2183" spans="1:17">
      <c r="A2183" t="s">
        <v>93</v>
      </c>
      <c r="B2183" t="s">
        <v>106</v>
      </c>
      <c r="C2183" t="s">
        <v>56</v>
      </c>
      <c r="D2183" t="s">
        <v>1966</v>
      </c>
      <c r="E2183">
        <v>24</v>
      </c>
      <c r="F2183" t="str">
        <f>VLOOKUP(E2183,[1]LOJA!$A:$B,2,0)</f>
        <v>LUZIÂNIA</v>
      </c>
      <c r="G2183" t="s">
        <v>19</v>
      </c>
      <c r="H2183" t="s">
        <v>19</v>
      </c>
      <c r="I2183" s="1">
        <v>46028</v>
      </c>
      <c r="J2183" s="1">
        <v>46028</v>
      </c>
      <c r="K2183" s="1">
        <v>46028</v>
      </c>
      <c r="L2183">
        <v>34</v>
      </c>
      <c r="M2183">
        <v>0.22</v>
      </c>
      <c r="N2183">
        <v>0.22</v>
      </c>
      <c r="O2183">
        <v>0</v>
      </c>
      <c r="P2183">
        <v>0</v>
      </c>
      <c r="Q2183" t="s">
        <v>108</v>
      </c>
    </row>
    <row r="2184" spans="1:17">
      <c r="A2184" t="s">
        <v>93</v>
      </c>
      <c r="B2184" t="s">
        <v>106</v>
      </c>
      <c r="C2184" t="s">
        <v>56</v>
      </c>
      <c r="D2184" t="s">
        <v>1967</v>
      </c>
      <c r="E2184">
        <v>24</v>
      </c>
      <c r="F2184" t="str">
        <f>VLOOKUP(E2184,[1]LOJA!$A:$B,2,0)</f>
        <v>LUZIÂNIA</v>
      </c>
      <c r="G2184" t="s">
        <v>19</v>
      </c>
      <c r="H2184" t="s">
        <v>19</v>
      </c>
      <c r="I2184" s="1">
        <v>46028</v>
      </c>
      <c r="J2184" s="1">
        <v>46028</v>
      </c>
      <c r="K2184" s="1">
        <v>46028</v>
      </c>
      <c r="L2184">
        <v>34</v>
      </c>
      <c r="M2184">
        <v>0.5</v>
      </c>
      <c r="N2184">
        <v>0.5</v>
      </c>
      <c r="O2184">
        <v>0</v>
      </c>
      <c r="P2184">
        <v>0</v>
      </c>
      <c r="Q2184" t="s">
        <v>108</v>
      </c>
    </row>
    <row r="2185" spans="1:17">
      <c r="A2185" t="s">
        <v>93</v>
      </c>
      <c r="B2185" t="s">
        <v>106</v>
      </c>
      <c r="C2185" t="s">
        <v>56</v>
      </c>
      <c r="D2185" t="s">
        <v>1968</v>
      </c>
      <c r="E2185">
        <v>24</v>
      </c>
      <c r="F2185" t="str">
        <f>VLOOKUP(E2185,[1]LOJA!$A:$B,2,0)</f>
        <v>LUZIÂNIA</v>
      </c>
      <c r="G2185" t="s">
        <v>19</v>
      </c>
      <c r="H2185" t="s">
        <v>19</v>
      </c>
      <c r="I2185" s="1">
        <v>46028</v>
      </c>
      <c r="J2185" s="1">
        <v>46028</v>
      </c>
      <c r="K2185" s="1">
        <v>46028</v>
      </c>
      <c r="L2185">
        <v>34</v>
      </c>
      <c r="M2185">
        <v>0.47</v>
      </c>
      <c r="N2185">
        <v>0.47</v>
      </c>
      <c r="O2185">
        <v>0</v>
      </c>
      <c r="P2185">
        <v>0</v>
      </c>
      <c r="Q2185" t="s">
        <v>108</v>
      </c>
    </row>
    <row r="2186" spans="1:17">
      <c r="A2186" t="s">
        <v>93</v>
      </c>
      <c r="B2186" t="s">
        <v>106</v>
      </c>
      <c r="C2186" t="s">
        <v>56</v>
      </c>
      <c r="D2186" t="s">
        <v>1969</v>
      </c>
      <c r="E2186">
        <v>24</v>
      </c>
      <c r="F2186" t="str">
        <f>VLOOKUP(E2186,[1]LOJA!$A:$B,2,0)</f>
        <v>LUZIÂNIA</v>
      </c>
      <c r="G2186" t="s">
        <v>19</v>
      </c>
      <c r="H2186" t="s">
        <v>19</v>
      </c>
      <c r="I2186" s="1">
        <v>46028</v>
      </c>
      <c r="J2186" s="1">
        <v>46028</v>
      </c>
      <c r="K2186" s="1">
        <v>46028</v>
      </c>
      <c r="L2186">
        <v>34</v>
      </c>
      <c r="M2186">
        <v>0.13</v>
      </c>
      <c r="N2186">
        <v>0.13</v>
      </c>
      <c r="O2186">
        <v>0</v>
      </c>
      <c r="P2186">
        <v>0</v>
      </c>
      <c r="Q2186" t="s">
        <v>108</v>
      </c>
    </row>
    <row r="2187" spans="1:17">
      <c r="A2187" t="s">
        <v>93</v>
      </c>
      <c r="B2187" t="s">
        <v>106</v>
      </c>
      <c r="C2187" t="s">
        <v>56</v>
      </c>
      <c r="D2187" t="s">
        <v>1970</v>
      </c>
      <c r="E2187">
        <v>24</v>
      </c>
      <c r="F2187" t="str">
        <f>VLOOKUP(E2187,[1]LOJA!$A:$B,2,0)</f>
        <v>LUZIÂNIA</v>
      </c>
      <c r="G2187" t="s">
        <v>19</v>
      </c>
      <c r="H2187" t="s">
        <v>19</v>
      </c>
      <c r="I2187" s="1">
        <v>46028</v>
      </c>
      <c r="J2187" s="1">
        <v>46028</v>
      </c>
      <c r="K2187" s="1">
        <v>46028</v>
      </c>
      <c r="L2187">
        <v>34</v>
      </c>
      <c r="M2187">
        <v>1.61</v>
      </c>
      <c r="N2187">
        <v>1.61</v>
      </c>
      <c r="O2187">
        <v>0</v>
      </c>
      <c r="P2187">
        <v>0</v>
      </c>
      <c r="Q2187" t="s">
        <v>108</v>
      </c>
    </row>
    <row r="2188" spans="1:17">
      <c r="A2188" t="s">
        <v>93</v>
      </c>
      <c r="B2188" t="s">
        <v>106</v>
      </c>
      <c r="C2188" t="s">
        <v>56</v>
      </c>
      <c r="D2188" t="s">
        <v>1971</v>
      </c>
      <c r="E2188">
        <v>24</v>
      </c>
      <c r="F2188" t="str">
        <f>VLOOKUP(E2188,[1]LOJA!$A:$B,2,0)</f>
        <v>LUZIÂNIA</v>
      </c>
      <c r="G2188" t="s">
        <v>19</v>
      </c>
      <c r="H2188" t="s">
        <v>19</v>
      </c>
      <c r="I2188" s="1">
        <v>46028</v>
      </c>
      <c r="J2188" s="1">
        <v>46028</v>
      </c>
      <c r="K2188" s="1">
        <v>46028</v>
      </c>
      <c r="L2188">
        <v>34</v>
      </c>
      <c r="M2188">
        <v>0.2</v>
      </c>
      <c r="N2188">
        <v>0.2</v>
      </c>
      <c r="O2188">
        <v>0</v>
      </c>
      <c r="P2188">
        <v>0</v>
      </c>
      <c r="Q2188" t="s">
        <v>108</v>
      </c>
    </row>
    <row r="2189" spans="1:17">
      <c r="A2189" t="s">
        <v>93</v>
      </c>
      <c r="B2189" t="s">
        <v>106</v>
      </c>
      <c r="C2189" t="s">
        <v>56</v>
      </c>
      <c r="D2189" t="s">
        <v>1972</v>
      </c>
      <c r="E2189">
        <v>24</v>
      </c>
      <c r="F2189" t="str">
        <f>VLOOKUP(E2189,[1]LOJA!$A:$B,2,0)</f>
        <v>LUZIÂNIA</v>
      </c>
      <c r="G2189" t="s">
        <v>19</v>
      </c>
      <c r="H2189" t="s">
        <v>19</v>
      </c>
      <c r="I2189" s="1">
        <v>46028</v>
      </c>
      <c r="J2189" s="1">
        <v>46028</v>
      </c>
      <c r="K2189" s="1">
        <v>46028</v>
      </c>
      <c r="L2189">
        <v>34</v>
      </c>
      <c r="M2189">
        <v>0.47</v>
      </c>
      <c r="N2189">
        <v>0.47</v>
      </c>
      <c r="O2189">
        <v>0</v>
      </c>
      <c r="P2189">
        <v>0</v>
      </c>
      <c r="Q2189" t="s">
        <v>108</v>
      </c>
    </row>
    <row r="2190" spans="1:17">
      <c r="A2190" t="s">
        <v>93</v>
      </c>
      <c r="B2190" t="s">
        <v>106</v>
      </c>
      <c r="C2190" t="s">
        <v>56</v>
      </c>
      <c r="D2190" t="s">
        <v>1973</v>
      </c>
      <c r="E2190">
        <v>24</v>
      </c>
      <c r="F2190" t="str">
        <f>VLOOKUP(E2190,[1]LOJA!$A:$B,2,0)</f>
        <v>LUZIÂNIA</v>
      </c>
      <c r="G2190" t="s">
        <v>19</v>
      </c>
      <c r="H2190" t="s">
        <v>19</v>
      </c>
      <c r="I2190" s="1">
        <v>46028</v>
      </c>
      <c r="J2190" s="1">
        <v>46028</v>
      </c>
      <c r="K2190" s="1">
        <v>46028</v>
      </c>
      <c r="L2190">
        <v>34</v>
      </c>
      <c r="M2190">
        <v>0.31</v>
      </c>
      <c r="N2190">
        <v>0.31</v>
      </c>
      <c r="O2190">
        <v>0</v>
      </c>
      <c r="P2190">
        <v>0</v>
      </c>
      <c r="Q2190" t="s">
        <v>108</v>
      </c>
    </row>
    <row r="2191" spans="1:17">
      <c r="A2191" t="s">
        <v>93</v>
      </c>
      <c r="B2191" t="s">
        <v>106</v>
      </c>
      <c r="C2191" t="s">
        <v>56</v>
      </c>
      <c r="D2191" t="s">
        <v>1974</v>
      </c>
      <c r="E2191">
        <v>24</v>
      </c>
      <c r="F2191" t="str">
        <f>VLOOKUP(E2191,[1]LOJA!$A:$B,2,0)</f>
        <v>LUZIÂNIA</v>
      </c>
      <c r="G2191" t="s">
        <v>19</v>
      </c>
      <c r="H2191" t="s">
        <v>19</v>
      </c>
      <c r="I2191" s="1">
        <v>46028</v>
      </c>
      <c r="J2191" s="1">
        <v>46028</v>
      </c>
      <c r="K2191" s="1">
        <v>46028</v>
      </c>
      <c r="L2191">
        <v>34</v>
      </c>
      <c r="M2191">
        <v>5.84</v>
      </c>
      <c r="N2191">
        <v>5.84</v>
      </c>
      <c r="O2191">
        <v>0</v>
      </c>
      <c r="P2191">
        <v>0</v>
      </c>
      <c r="Q2191" t="s">
        <v>108</v>
      </c>
    </row>
    <row r="2192" spans="1:17">
      <c r="A2192" t="s">
        <v>93</v>
      </c>
      <c r="B2192" t="s">
        <v>106</v>
      </c>
      <c r="C2192" t="s">
        <v>56</v>
      </c>
      <c r="D2192" t="s">
        <v>1975</v>
      </c>
      <c r="E2192">
        <v>24</v>
      </c>
      <c r="F2192" t="str">
        <f>VLOOKUP(E2192,[1]LOJA!$A:$B,2,0)</f>
        <v>LUZIÂNIA</v>
      </c>
      <c r="G2192" t="s">
        <v>19</v>
      </c>
      <c r="H2192" t="s">
        <v>19</v>
      </c>
      <c r="I2192" s="1">
        <v>46028</v>
      </c>
      <c r="J2192" s="1">
        <v>46028</v>
      </c>
      <c r="K2192" s="1">
        <v>46028</v>
      </c>
      <c r="L2192">
        <v>34</v>
      </c>
      <c r="M2192">
        <v>2.76</v>
      </c>
      <c r="N2192">
        <v>2.76</v>
      </c>
      <c r="O2192">
        <v>0</v>
      </c>
      <c r="P2192">
        <v>0</v>
      </c>
      <c r="Q2192" t="s">
        <v>108</v>
      </c>
    </row>
    <row r="2193" spans="1:17">
      <c r="A2193" t="s">
        <v>93</v>
      </c>
      <c r="B2193" t="s">
        <v>106</v>
      </c>
      <c r="C2193" t="s">
        <v>56</v>
      </c>
      <c r="D2193" t="s">
        <v>1976</v>
      </c>
      <c r="E2193">
        <v>24</v>
      </c>
      <c r="F2193" t="str">
        <f>VLOOKUP(E2193,[1]LOJA!$A:$B,2,0)</f>
        <v>LUZIÂNIA</v>
      </c>
      <c r="G2193" t="s">
        <v>19</v>
      </c>
      <c r="H2193" t="s">
        <v>19</v>
      </c>
      <c r="I2193" s="1">
        <v>46028</v>
      </c>
      <c r="J2193" s="1">
        <v>46028</v>
      </c>
      <c r="K2193" s="1">
        <v>46028</v>
      </c>
      <c r="L2193">
        <v>34</v>
      </c>
      <c r="M2193">
        <v>2.08</v>
      </c>
      <c r="N2193">
        <v>2.08</v>
      </c>
      <c r="O2193">
        <v>0</v>
      </c>
      <c r="P2193">
        <v>0</v>
      </c>
      <c r="Q2193" t="s">
        <v>108</v>
      </c>
    </row>
    <row r="2194" spans="1:17">
      <c r="A2194" t="s">
        <v>93</v>
      </c>
      <c r="B2194" t="s">
        <v>106</v>
      </c>
      <c r="C2194" t="s">
        <v>56</v>
      </c>
      <c r="D2194" t="s">
        <v>1977</v>
      </c>
      <c r="E2194">
        <v>24</v>
      </c>
      <c r="F2194" t="str">
        <f>VLOOKUP(E2194,[1]LOJA!$A:$B,2,0)</f>
        <v>LUZIÂNIA</v>
      </c>
      <c r="G2194" t="s">
        <v>19</v>
      </c>
      <c r="H2194" t="s">
        <v>19</v>
      </c>
      <c r="I2194" s="1">
        <v>46028</v>
      </c>
      <c r="J2194" s="1">
        <v>46028</v>
      </c>
      <c r="K2194" s="1">
        <v>46028</v>
      </c>
      <c r="L2194">
        <v>34</v>
      </c>
      <c r="M2194">
        <v>3.35</v>
      </c>
      <c r="N2194">
        <v>3.35</v>
      </c>
      <c r="O2194">
        <v>0</v>
      </c>
      <c r="P2194">
        <v>0</v>
      </c>
      <c r="Q2194" t="s">
        <v>108</v>
      </c>
    </row>
    <row r="2195" spans="1:17">
      <c r="A2195" t="s">
        <v>93</v>
      </c>
      <c r="B2195" t="s">
        <v>106</v>
      </c>
      <c r="C2195" t="s">
        <v>56</v>
      </c>
      <c r="D2195" t="s">
        <v>1978</v>
      </c>
      <c r="E2195">
        <v>24</v>
      </c>
      <c r="F2195" t="str">
        <f>VLOOKUP(E2195,[1]LOJA!$A:$B,2,0)</f>
        <v>LUZIÂNIA</v>
      </c>
      <c r="G2195" t="s">
        <v>19</v>
      </c>
      <c r="H2195" t="s">
        <v>19</v>
      </c>
      <c r="I2195" s="1">
        <v>46028</v>
      </c>
      <c r="J2195" s="1">
        <v>46028</v>
      </c>
      <c r="K2195" s="1">
        <v>46028</v>
      </c>
      <c r="L2195">
        <v>34</v>
      </c>
      <c r="M2195">
        <v>1.37</v>
      </c>
      <c r="N2195">
        <v>1.37</v>
      </c>
      <c r="O2195">
        <v>0</v>
      </c>
      <c r="P2195">
        <v>0</v>
      </c>
      <c r="Q2195" t="s">
        <v>108</v>
      </c>
    </row>
    <row r="2196" spans="1:17">
      <c r="A2196" t="s">
        <v>93</v>
      </c>
      <c r="B2196" t="s">
        <v>106</v>
      </c>
      <c r="C2196" t="s">
        <v>56</v>
      </c>
      <c r="D2196" t="s">
        <v>1979</v>
      </c>
      <c r="E2196">
        <v>24</v>
      </c>
      <c r="F2196" t="str">
        <f>VLOOKUP(E2196,[1]LOJA!$A:$B,2,0)</f>
        <v>LUZIÂNIA</v>
      </c>
      <c r="G2196" t="s">
        <v>19</v>
      </c>
      <c r="H2196" t="s">
        <v>19</v>
      </c>
      <c r="I2196" s="1">
        <v>46028</v>
      </c>
      <c r="J2196" s="1">
        <v>46028</v>
      </c>
      <c r="K2196" s="1">
        <v>46028</v>
      </c>
      <c r="L2196">
        <v>34</v>
      </c>
      <c r="M2196">
        <v>0.28999999999999998</v>
      </c>
      <c r="N2196">
        <v>0.28999999999999998</v>
      </c>
      <c r="O2196">
        <v>0</v>
      </c>
      <c r="P2196">
        <v>0</v>
      </c>
      <c r="Q2196" t="s">
        <v>108</v>
      </c>
    </row>
    <row r="2197" spans="1:17">
      <c r="A2197" t="s">
        <v>93</v>
      </c>
      <c r="B2197" t="s">
        <v>106</v>
      </c>
      <c r="C2197" t="s">
        <v>56</v>
      </c>
      <c r="D2197" t="s">
        <v>1980</v>
      </c>
      <c r="E2197">
        <v>24</v>
      </c>
      <c r="F2197" t="str">
        <f>VLOOKUP(E2197,[1]LOJA!$A:$B,2,0)</f>
        <v>LUZIÂNIA</v>
      </c>
      <c r="G2197" t="s">
        <v>19</v>
      </c>
      <c r="H2197" t="s">
        <v>19</v>
      </c>
      <c r="I2197" s="1">
        <v>46028</v>
      </c>
      <c r="J2197" s="1">
        <v>46028</v>
      </c>
      <c r="K2197" s="1">
        <v>46028</v>
      </c>
      <c r="L2197">
        <v>34</v>
      </c>
      <c r="M2197">
        <v>7.43</v>
      </c>
      <c r="N2197">
        <v>7.43</v>
      </c>
      <c r="O2197">
        <v>0</v>
      </c>
      <c r="P2197">
        <v>0</v>
      </c>
      <c r="Q2197" t="s">
        <v>108</v>
      </c>
    </row>
    <row r="2198" spans="1:17">
      <c r="A2198" t="s">
        <v>93</v>
      </c>
      <c r="B2198" t="s">
        <v>106</v>
      </c>
      <c r="C2198" t="s">
        <v>56</v>
      </c>
      <c r="D2198" t="s">
        <v>1981</v>
      </c>
      <c r="E2198">
        <v>24</v>
      </c>
      <c r="F2198" t="str">
        <f>VLOOKUP(E2198,[1]LOJA!$A:$B,2,0)</f>
        <v>LUZIÂNIA</v>
      </c>
      <c r="G2198" t="s">
        <v>19</v>
      </c>
      <c r="H2198" t="s">
        <v>19</v>
      </c>
      <c r="I2198" s="1">
        <v>46028</v>
      </c>
      <c r="J2198" s="1">
        <v>46028</v>
      </c>
      <c r="K2198" s="1">
        <v>46028</v>
      </c>
      <c r="L2198">
        <v>34</v>
      </c>
      <c r="M2198">
        <v>2.99</v>
      </c>
      <c r="N2198">
        <v>2.99</v>
      </c>
      <c r="O2198">
        <v>0</v>
      </c>
      <c r="P2198">
        <v>0</v>
      </c>
      <c r="Q2198" t="s">
        <v>108</v>
      </c>
    </row>
    <row r="2199" spans="1:17">
      <c r="A2199" t="s">
        <v>93</v>
      </c>
      <c r="B2199" t="s">
        <v>106</v>
      </c>
      <c r="C2199" t="s">
        <v>56</v>
      </c>
      <c r="D2199" t="s">
        <v>1982</v>
      </c>
      <c r="E2199">
        <v>24</v>
      </c>
      <c r="F2199" t="str">
        <f>VLOOKUP(E2199,[1]LOJA!$A:$B,2,0)</f>
        <v>LUZIÂNIA</v>
      </c>
      <c r="G2199" t="s">
        <v>19</v>
      </c>
      <c r="H2199" t="s">
        <v>19</v>
      </c>
      <c r="I2199" s="1">
        <v>46028</v>
      </c>
      <c r="J2199" s="1">
        <v>46028</v>
      </c>
      <c r="K2199" s="1">
        <v>46028</v>
      </c>
      <c r="L2199">
        <v>34</v>
      </c>
      <c r="M2199">
        <v>0.39</v>
      </c>
      <c r="N2199">
        <v>0.39</v>
      </c>
      <c r="O2199">
        <v>0</v>
      </c>
      <c r="P2199">
        <v>0</v>
      </c>
      <c r="Q2199" t="s">
        <v>108</v>
      </c>
    </row>
    <row r="2200" spans="1:17">
      <c r="A2200" t="s">
        <v>93</v>
      </c>
      <c r="B2200" t="s">
        <v>106</v>
      </c>
      <c r="C2200" t="s">
        <v>56</v>
      </c>
      <c r="D2200" t="s">
        <v>1983</v>
      </c>
      <c r="E2200">
        <v>24</v>
      </c>
      <c r="F2200" t="str">
        <f>VLOOKUP(E2200,[1]LOJA!$A:$B,2,0)</f>
        <v>LUZIÂNIA</v>
      </c>
      <c r="G2200" t="s">
        <v>19</v>
      </c>
      <c r="H2200" t="s">
        <v>19</v>
      </c>
      <c r="I2200" s="1">
        <v>46028</v>
      </c>
      <c r="J2200" s="1">
        <v>46028</v>
      </c>
      <c r="K2200" s="1">
        <v>46028</v>
      </c>
      <c r="L2200">
        <v>34</v>
      </c>
      <c r="M2200">
        <v>0.27</v>
      </c>
      <c r="N2200">
        <v>0.27</v>
      </c>
      <c r="O2200">
        <v>0</v>
      </c>
      <c r="P2200">
        <v>0</v>
      </c>
      <c r="Q2200" t="s">
        <v>108</v>
      </c>
    </row>
    <row r="2201" spans="1:17">
      <c r="A2201" t="s">
        <v>93</v>
      </c>
      <c r="B2201" t="s">
        <v>106</v>
      </c>
      <c r="C2201" t="s">
        <v>56</v>
      </c>
      <c r="D2201" t="s">
        <v>1984</v>
      </c>
      <c r="E2201">
        <v>24</v>
      </c>
      <c r="F2201" t="str">
        <f>VLOOKUP(E2201,[1]LOJA!$A:$B,2,0)</f>
        <v>LUZIÂNIA</v>
      </c>
      <c r="G2201" t="s">
        <v>19</v>
      </c>
      <c r="H2201" t="s">
        <v>19</v>
      </c>
      <c r="I2201" s="1">
        <v>46029</v>
      </c>
      <c r="J2201" s="1">
        <v>46029</v>
      </c>
      <c r="K2201" s="1">
        <v>46029</v>
      </c>
      <c r="L2201">
        <v>34</v>
      </c>
      <c r="M2201">
        <v>5.48</v>
      </c>
      <c r="N2201">
        <v>5.48</v>
      </c>
      <c r="O2201">
        <v>0</v>
      </c>
      <c r="P2201">
        <v>0</v>
      </c>
      <c r="Q2201" t="s">
        <v>108</v>
      </c>
    </row>
    <row r="2202" spans="1:17">
      <c r="A2202" t="s">
        <v>93</v>
      </c>
      <c r="B2202" t="s">
        <v>106</v>
      </c>
      <c r="C2202" t="s">
        <v>56</v>
      </c>
      <c r="D2202" t="s">
        <v>1985</v>
      </c>
      <c r="E2202">
        <v>24</v>
      </c>
      <c r="F2202" t="str">
        <f>VLOOKUP(E2202,[1]LOJA!$A:$B,2,0)</f>
        <v>LUZIÂNIA</v>
      </c>
      <c r="G2202" t="s">
        <v>19</v>
      </c>
      <c r="H2202" t="s">
        <v>19</v>
      </c>
      <c r="I2202" s="1">
        <v>46029</v>
      </c>
      <c r="J2202" s="1">
        <v>46029</v>
      </c>
      <c r="K2202" s="1">
        <v>46029</v>
      </c>
      <c r="L2202">
        <v>34</v>
      </c>
      <c r="M2202">
        <v>6.77</v>
      </c>
      <c r="N2202">
        <v>6.77</v>
      </c>
      <c r="O2202">
        <v>0</v>
      </c>
      <c r="P2202">
        <v>0</v>
      </c>
      <c r="Q2202" t="s">
        <v>108</v>
      </c>
    </row>
    <row r="2203" spans="1:17">
      <c r="A2203" t="s">
        <v>93</v>
      </c>
      <c r="B2203" t="s">
        <v>106</v>
      </c>
      <c r="C2203" t="s">
        <v>56</v>
      </c>
      <c r="D2203" t="s">
        <v>1986</v>
      </c>
      <c r="E2203">
        <v>24</v>
      </c>
      <c r="F2203" t="str">
        <f>VLOOKUP(E2203,[1]LOJA!$A:$B,2,0)</f>
        <v>LUZIÂNIA</v>
      </c>
      <c r="G2203" t="s">
        <v>19</v>
      </c>
      <c r="H2203" t="s">
        <v>19</v>
      </c>
      <c r="I2203" s="1">
        <v>46029</v>
      </c>
      <c r="J2203" s="1">
        <v>46029</v>
      </c>
      <c r="K2203" s="1">
        <v>46029</v>
      </c>
      <c r="L2203">
        <v>34</v>
      </c>
      <c r="M2203">
        <v>2.8</v>
      </c>
      <c r="N2203">
        <v>2.8</v>
      </c>
      <c r="O2203">
        <v>0</v>
      </c>
      <c r="P2203">
        <v>0</v>
      </c>
      <c r="Q2203" t="s">
        <v>108</v>
      </c>
    </row>
    <row r="2204" spans="1:17">
      <c r="A2204" t="s">
        <v>93</v>
      </c>
      <c r="B2204" t="s">
        <v>106</v>
      </c>
      <c r="C2204" t="s">
        <v>56</v>
      </c>
      <c r="D2204" t="s">
        <v>1987</v>
      </c>
      <c r="E2204">
        <v>24</v>
      </c>
      <c r="F2204" t="str">
        <f>VLOOKUP(E2204,[1]LOJA!$A:$B,2,0)</f>
        <v>LUZIÂNIA</v>
      </c>
      <c r="G2204" t="s">
        <v>19</v>
      </c>
      <c r="H2204" t="s">
        <v>19</v>
      </c>
      <c r="I2204" s="1">
        <v>46029</v>
      </c>
      <c r="J2204" s="1">
        <v>46029</v>
      </c>
      <c r="K2204" s="1">
        <v>46029</v>
      </c>
      <c r="L2204">
        <v>34</v>
      </c>
      <c r="M2204">
        <v>0.76</v>
      </c>
      <c r="N2204">
        <v>0.76</v>
      </c>
      <c r="O2204">
        <v>0</v>
      </c>
      <c r="P2204">
        <v>0</v>
      </c>
      <c r="Q2204" t="s">
        <v>108</v>
      </c>
    </row>
    <row r="2205" spans="1:17">
      <c r="A2205" t="s">
        <v>93</v>
      </c>
      <c r="B2205" t="s">
        <v>106</v>
      </c>
      <c r="C2205" t="s">
        <v>56</v>
      </c>
      <c r="D2205" t="s">
        <v>1988</v>
      </c>
      <c r="E2205">
        <v>24</v>
      </c>
      <c r="F2205" t="str">
        <f>VLOOKUP(E2205,[1]LOJA!$A:$B,2,0)</f>
        <v>LUZIÂNIA</v>
      </c>
      <c r="G2205" t="s">
        <v>19</v>
      </c>
      <c r="H2205" t="s">
        <v>19</v>
      </c>
      <c r="I2205" s="1">
        <v>46029</v>
      </c>
      <c r="J2205" s="1">
        <v>46029</v>
      </c>
      <c r="K2205" s="1">
        <v>46029</v>
      </c>
      <c r="L2205">
        <v>34</v>
      </c>
      <c r="M2205">
        <v>0.65</v>
      </c>
      <c r="N2205">
        <v>0.65</v>
      </c>
      <c r="O2205">
        <v>0</v>
      </c>
      <c r="P2205">
        <v>0</v>
      </c>
      <c r="Q2205" t="s">
        <v>108</v>
      </c>
    </row>
    <row r="2206" spans="1:17">
      <c r="A2206" t="s">
        <v>93</v>
      </c>
      <c r="B2206" t="s">
        <v>106</v>
      </c>
      <c r="C2206" t="s">
        <v>56</v>
      </c>
      <c r="D2206" t="s">
        <v>1989</v>
      </c>
      <c r="E2206">
        <v>24</v>
      </c>
      <c r="F2206" t="str">
        <f>VLOOKUP(E2206,[1]LOJA!$A:$B,2,0)</f>
        <v>LUZIÂNIA</v>
      </c>
      <c r="G2206" t="s">
        <v>19</v>
      </c>
      <c r="H2206" t="s">
        <v>19</v>
      </c>
      <c r="I2206" s="1">
        <v>46029</v>
      </c>
      <c r="J2206" s="1">
        <v>46029</v>
      </c>
      <c r="K2206" s="1">
        <v>46029</v>
      </c>
      <c r="L2206">
        <v>34</v>
      </c>
      <c r="M2206">
        <v>0.18</v>
      </c>
      <c r="N2206">
        <v>0.18</v>
      </c>
      <c r="O2206">
        <v>0</v>
      </c>
      <c r="P2206">
        <v>0</v>
      </c>
      <c r="Q2206" t="s">
        <v>108</v>
      </c>
    </row>
    <row r="2207" spans="1:17">
      <c r="A2207" t="s">
        <v>93</v>
      </c>
      <c r="B2207" t="s">
        <v>106</v>
      </c>
      <c r="C2207" t="s">
        <v>56</v>
      </c>
      <c r="D2207" t="s">
        <v>1990</v>
      </c>
      <c r="E2207">
        <v>24</v>
      </c>
      <c r="F2207" t="str">
        <f>VLOOKUP(E2207,[1]LOJA!$A:$B,2,0)</f>
        <v>LUZIÂNIA</v>
      </c>
      <c r="G2207" t="s">
        <v>19</v>
      </c>
      <c r="H2207" t="s">
        <v>19</v>
      </c>
      <c r="I2207" s="1">
        <v>46029</v>
      </c>
      <c r="J2207" s="1">
        <v>46029</v>
      </c>
      <c r="K2207" s="1">
        <v>46029</v>
      </c>
      <c r="L2207">
        <v>34</v>
      </c>
      <c r="M2207">
        <v>0.42</v>
      </c>
      <c r="N2207">
        <v>0.42</v>
      </c>
      <c r="O2207">
        <v>0</v>
      </c>
      <c r="P2207">
        <v>0</v>
      </c>
      <c r="Q2207" t="s">
        <v>108</v>
      </c>
    </row>
    <row r="2208" spans="1:17">
      <c r="A2208" t="s">
        <v>93</v>
      </c>
      <c r="B2208" t="s">
        <v>106</v>
      </c>
      <c r="C2208" t="s">
        <v>56</v>
      </c>
      <c r="D2208" t="s">
        <v>1991</v>
      </c>
      <c r="E2208">
        <v>24</v>
      </c>
      <c r="F2208" t="str">
        <f>VLOOKUP(E2208,[1]LOJA!$A:$B,2,0)</f>
        <v>LUZIÂNIA</v>
      </c>
      <c r="G2208" t="s">
        <v>19</v>
      </c>
      <c r="H2208" t="s">
        <v>19</v>
      </c>
      <c r="I2208" s="1">
        <v>46029</v>
      </c>
      <c r="J2208" s="1">
        <v>46029</v>
      </c>
      <c r="K2208" s="1">
        <v>46029</v>
      </c>
      <c r="L2208">
        <v>34</v>
      </c>
      <c r="M2208">
        <v>0.44</v>
      </c>
      <c r="N2208">
        <v>0.44</v>
      </c>
      <c r="O2208">
        <v>0</v>
      </c>
      <c r="P2208">
        <v>0</v>
      </c>
      <c r="Q2208" t="s">
        <v>108</v>
      </c>
    </row>
    <row r="2209" spans="1:17">
      <c r="A2209" t="s">
        <v>93</v>
      </c>
      <c r="B2209" t="s">
        <v>106</v>
      </c>
      <c r="C2209" t="s">
        <v>56</v>
      </c>
      <c r="D2209" t="s">
        <v>1992</v>
      </c>
      <c r="E2209">
        <v>24</v>
      </c>
      <c r="F2209" t="str">
        <f>VLOOKUP(E2209,[1]LOJA!$A:$B,2,0)</f>
        <v>LUZIÂNIA</v>
      </c>
      <c r="G2209" t="s">
        <v>19</v>
      </c>
      <c r="H2209" t="s">
        <v>19</v>
      </c>
      <c r="I2209" s="1">
        <v>46029</v>
      </c>
      <c r="J2209" s="1">
        <v>46029</v>
      </c>
      <c r="K2209" s="1">
        <v>46029</v>
      </c>
      <c r="L2209">
        <v>34</v>
      </c>
      <c r="M2209">
        <v>0.38</v>
      </c>
      <c r="N2209">
        <v>0.38</v>
      </c>
      <c r="O2209">
        <v>0</v>
      </c>
      <c r="P2209">
        <v>0</v>
      </c>
      <c r="Q2209" t="s">
        <v>108</v>
      </c>
    </row>
    <row r="2210" spans="1:17">
      <c r="A2210" t="s">
        <v>93</v>
      </c>
      <c r="B2210" t="s">
        <v>106</v>
      </c>
      <c r="C2210" t="s">
        <v>56</v>
      </c>
      <c r="D2210" t="s">
        <v>1993</v>
      </c>
      <c r="E2210">
        <v>24</v>
      </c>
      <c r="F2210" t="str">
        <f>VLOOKUP(E2210,[1]LOJA!$A:$B,2,0)</f>
        <v>LUZIÂNIA</v>
      </c>
      <c r="G2210" t="s">
        <v>19</v>
      </c>
      <c r="H2210" t="s">
        <v>19</v>
      </c>
      <c r="I2210" s="1">
        <v>46029</v>
      </c>
      <c r="J2210" s="1">
        <v>46029</v>
      </c>
      <c r="K2210" s="1">
        <v>46029</v>
      </c>
      <c r="L2210">
        <v>34</v>
      </c>
      <c r="M2210">
        <v>0.08</v>
      </c>
      <c r="N2210">
        <v>0.08</v>
      </c>
      <c r="O2210">
        <v>0</v>
      </c>
      <c r="P2210">
        <v>0</v>
      </c>
      <c r="Q2210" t="s">
        <v>108</v>
      </c>
    </row>
    <row r="2211" spans="1:17">
      <c r="A2211" t="s">
        <v>93</v>
      </c>
      <c r="B2211" t="s">
        <v>106</v>
      </c>
      <c r="C2211" t="s">
        <v>56</v>
      </c>
      <c r="D2211" t="s">
        <v>1994</v>
      </c>
      <c r="E2211">
        <v>24</v>
      </c>
      <c r="F2211" t="str">
        <f>VLOOKUP(E2211,[1]LOJA!$A:$B,2,0)</f>
        <v>LUZIÂNIA</v>
      </c>
      <c r="G2211" t="s">
        <v>19</v>
      </c>
      <c r="H2211" t="s">
        <v>19</v>
      </c>
      <c r="I2211" s="1">
        <v>46029</v>
      </c>
      <c r="J2211" s="1">
        <v>46029</v>
      </c>
      <c r="K2211" s="1">
        <v>46029</v>
      </c>
      <c r="L2211">
        <v>34</v>
      </c>
      <c r="M2211">
        <v>0.44</v>
      </c>
      <c r="N2211">
        <v>0.44</v>
      </c>
      <c r="O2211">
        <v>0</v>
      </c>
      <c r="P2211">
        <v>0</v>
      </c>
      <c r="Q2211" t="s">
        <v>108</v>
      </c>
    </row>
    <row r="2212" spans="1:17">
      <c r="A2212" t="s">
        <v>93</v>
      </c>
      <c r="B2212" t="s">
        <v>106</v>
      </c>
      <c r="C2212" t="s">
        <v>56</v>
      </c>
      <c r="D2212" t="s">
        <v>1995</v>
      </c>
      <c r="E2212">
        <v>24</v>
      </c>
      <c r="F2212" t="str">
        <f>VLOOKUP(E2212,[1]LOJA!$A:$B,2,0)</f>
        <v>LUZIÂNIA</v>
      </c>
      <c r="G2212" t="s">
        <v>19</v>
      </c>
      <c r="H2212" t="s">
        <v>19</v>
      </c>
      <c r="I2212" s="1">
        <v>46029</v>
      </c>
      <c r="J2212" s="1">
        <v>46029</v>
      </c>
      <c r="K2212" s="1">
        <v>46029</v>
      </c>
      <c r="L2212">
        <v>34</v>
      </c>
      <c r="M2212">
        <v>0.18</v>
      </c>
      <c r="N2212">
        <v>0.18</v>
      </c>
      <c r="O2212">
        <v>0</v>
      </c>
      <c r="P2212">
        <v>0</v>
      </c>
      <c r="Q2212" t="s">
        <v>108</v>
      </c>
    </row>
    <row r="2213" spans="1:17">
      <c r="A2213" t="s">
        <v>93</v>
      </c>
      <c r="B2213" t="s">
        <v>106</v>
      </c>
      <c r="C2213" t="s">
        <v>56</v>
      </c>
      <c r="D2213" t="s">
        <v>1996</v>
      </c>
      <c r="E2213">
        <v>24</v>
      </c>
      <c r="F2213" t="str">
        <f>VLOOKUP(E2213,[1]LOJA!$A:$B,2,0)</f>
        <v>LUZIÂNIA</v>
      </c>
      <c r="G2213" t="s">
        <v>19</v>
      </c>
      <c r="H2213" t="s">
        <v>19</v>
      </c>
      <c r="I2213" s="1">
        <v>46029</v>
      </c>
      <c r="J2213" s="1">
        <v>46029</v>
      </c>
      <c r="K2213" s="1">
        <v>46029</v>
      </c>
      <c r="L2213">
        <v>34</v>
      </c>
      <c r="M2213">
        <v>0.87</v>
      </c>
      <c r="N2213">
        <v>0.87</v>
      </c>
      <c r="O2213">
        <v>0</v>
      </c>
      <c r="P2213">
        <v>0</v>
      </c>
      <c r="Q2213" t="s">
        <v>108</v>
      </c>
    </row>
    <row r="2214" spans="1:17">
      <c r="A2214" t="s">
        <v>93</v>
      </c>
      <c r="B2214" t="s">
        <v>106</v>
      </c>
      <c r="C2214" t="s">
        <v>56</v>
      </c>
      <c r="D2214" t="s">
        <v>1997</v>
      </c>
      <c r="E2214">
        <v>24</v>
      </c>
      <c r="F2214" t="str">
        <f>VLOOKUP(E2214,[1]LOJA!$A:$B,2,0)</f>
        <v>LUZIÂNIA</v>
      </c>
      <c r="G2214" t="s">
        <v>19</v>
      </c>
      <c r="H2214" t="s">
        <v>19</v>
      </c>
      <c r="I2214" s="1">
        <v>46030</v>
      </c>
      <c r="J2214" s="1">
        <v>46030</v>
      </c>
      <c r="K2214" s="1">
        <v>46030</v>
      </c>
      <c r="L2214">
        <v>34</v>
      </c>
      <c r="M2214">
        <v>20.81</v>
      </c>
      <c r="N2214">
        <v>20.81</v>
      </c>
      <c r="O2214">
        <v>0</v>
      </c>
      <c r="P2214">
        <v>0</v>
      </c>
      <c r="Q2214" t="s">
        <v>108</v>
      </c>
    </row>
    <row r="2215" spans="1:17">
      <c r="A2215" t="s">
        <v>93</v>
      </c>
      <c r="B2215" t="s">
        <v>106</v>
      </c>
      <c r="C2215" t="s">
        <v>56</v>
      </c>
      <c r="D2215" t="s">
        <v>1998</v>
      </c>
      <c r="E2215">
        <v>24</v>
      </c>
      <c r="F2215" t="str">
        <f>VLOOKUP(E2215,[1]LOJA!$A:$B,2,0)</f>
        <v>LUZIÂNIA</v>
      </c>
      <c r="G2215" t="s">
        <v>19</v>
      </c>
      <c r="H2215" t="s">
        <v>19</v>
      </c>
      <c r="I2215" s="1">
        <v>46030</v>
      </c>
      <c r="J2215" s="1">
        <v>46030</v>
      </c>
      <c r="K2215" s="1">
        <v>46030</v>
      </c>
      <c r="L2215">
        <v>34</v>
      </c>
      <c r="M2215">
        <v>9.44</v>
      </c>
      <c r="N2215">
        <v>9.44</v>
      </c>
      <c r="O2215">
        <v>0</v>
      </c>
      <c r="P2215">
        <v>0</v>
      </c>
      <c r="Q2215" t="s">
        <v>108</v>
      </c>
    </row>
    <row r="2216" spans="1:17">
      <c r="A2216" t="s">
        <v>93</v>
      </c>
      <c r="B2216" t="s">
        <v>106</v>
      </c>
      <c r="C2216" t="s">
        <v>56</v>
      </c>
      <c r="D2216" t="s">
        <v>1999</v>
      </c>
      <c r="E2216">
        <v>24</v>
      </c>
      <c r="F2216" t="str">
        <f>VLOOKUP(E2216,[1]LOJA!$A:$B,2,0)</f>
        <v>LUZIÂNIA</v>
      </c>
      <c r="G2216" t="s">
        <v>19</v>
      </c>
      <c r="H2216" t="s">
        <v>19</v>
      </c>
      <c r="I2216" s="1">
        <v>46030</v>
      </c>
      <c r="J2216" s="1">
        <v>46030</v>
      </c>
      <c r="K2216" s="1">
        <v>46030</v>
      </c>
      <c r="L2216">
        <v>34</v>
      </c>
      <c r="M2216">
        <v>1.58</v>
      </c>
      <c r="N2216">
        <v>1.58</v>
      </c>
      <c r="O2216">
        <v>0</v>
      </c>
      <c r="P2216">
        <v>0</v>
      </c>
      <c r="Q2216" t="s">
        <v>108</v>
      </c>
    </row>
    <row r="2217" spans="1:17">
      <c r="A2217" t="s">
        <v>93</v>
      </c>
      <c r="B2217" t="s">
        <v>106</v>
      </c>
      <c r="C2217" t="s">
        <v>56</v>
      </c>
      <c r="D2217" t="s">
        <v>2000</v>
      </c>
      <c r="E2217">
        <v>24</v>
      </c>
      <c r="F2217" t="str">
        <f>VLOOKUP(E2217,[1]LOJA!$A:$B,2,0)</f>
        <v>LUZIÂNIA</v>
      </c>
      <c r="G2217" t="s">
        <v>19</v>
      </c>
      <c r="H2217" t="s">
        <v>19</v>
      </c>
      <c r="I2217" s="1">
        <v>46030</v>
      </c>
      <c r="J2217" s="1">
        <v>46030</v>
      </c>
      <c r="K2217" s="1">
        <v>46030</v>
      </c>
      <c r="L2217">
        <v>34</v>
      </c>
      <c r="M2217">
        <v>4.9000000000000004</v>
      </c>
      <c r="N2217">
        <v>4.9000000000000004</v>
      </c>
      <c r="O2217">
        <v>0</v>
      </c>
      <c r="P2217">
        <v>0</v>
      </c>
      <c r="Q2217" t="s">
        <v>108</v>
      </c>
    </row>
    <row r="2218" spans="1:17">
      <c r="A2218" t="s">
        <v>93</v>
      </c>
      <c r="B2218" t="s">
        <v>106</v>
      </c>
      <c r="C2218" t="s">
        <v>56</v>
      </c>
      <c r="D2218" t="s">
        <v>2001</v>
      </c>
      <c r="E2218">
        <v>24</v>
      </c>
      <c r="F2218" t="str">
        <f>VLOOKUP(E2218,[1]LOJA!$A:$B,2,0)</f>
        <v>LUZIÂNIA</v>
      </c>
      <c r="G2218" t="s">
        <v>19</v>
      </c>
      <c r="H2218" t="s">
        <v>19</v>
      </c>
      <c r="I2218" s="1">
        <v>46030</v>
      </c>
      <c r="J2218" s="1">
        <v>46030</v>
      </c>
      <c r="K2218" s="1">
        <v>46030</v>
      </c>
      <c r="L2218">
        <v>34</v>
      </c>
      <c r="M2218">
        <v>1.75</v>
      </c>
      <c r="N2218">
        <v>1.75</v>
      </c>
      <c r="O2218">
        <v>0</v>
      </c>
      <c r="P2218">
        <v>0</v>
      </c>
      <c r="Q2218" t="s">
        <v>108</v>
      </c>
    </row>
    <row r="2219" spans="1:17">
      <c r="A2219" t="s">
        <v>93</v>
      </c>
      <c r="B2219" t="s">
        <v>106</v>
      </c>
      <c r="C2219" t="s">
        <v>56</v>
      </c>
      <c r="D2219" t="s">
        <v>2002</v>
      </c>
      <c r="E2219">
        <v>24</v>
      </c>
      <c r="F2219" t="str">
        <f>VLOOKUP(E2219,[1]LOJA!$A:$B,2,0)</f>
        <v>LUZIÂNIA</v>
      </c>
      <c r="G2219" t="s">
        <v>19</v>
      </c>
      <c r="H2219" t="s">
        <v>19</v>
      </c>
      <c r="I2219" s="1">
        <v>46030</v>
      </c>
      <c r="J2219" s="1">
        <v>46030</v>
      </c>
      <c r="K2219" s="1">
        <v>46030</v>
      </c>
      <c r="L2219">
        <v>34</v>
      </c>
      <c r="M2219">
        <v>1.63</v>
      </c>
      <c r="N2219">
        <v>1.63</v>
      </c>
      <c r="O2219">
        <v>0</v>
      </c>
      <c r="P2219">
        <v>0</v>
      </c>
      <c r="Q2219" t="s">
        <v>108</v>
      </c>
    </row>
    <row r="2220" spans="1:17">
      <c r="A2220" t="s">
        <v>93</v>
      </c>
      <c r="B2220" t="s">
        <v>106</v>
      </c>
      <c r="C2220" t="s">
        <v>56</v>
      </c>
      <c r="D2220" t="s">
        <v>2003</v>
      </c>
      <c r="E2220">
        <v>24</v>
      </c>
      <c r="F2220" t="str">
        <f>VLOOKUP(E2220,[1]LOJA!$A:$B,2,0)</f>
        <v>LUZIÂNIA</v>
      </c>
      <c r="G2220" t="s">
        <v>19</v>
      </c>
      <c r="H2220" t="s">
        <v>19</v>
      </c>
      <c r="I2220" s="1">
        <v>46030</v>
      </c>
      <c r="J2220" s="1">
        <v>46030</v>
      </c>
      <c r="K2220" s="1">
        <v>46030</v>
      </c>
      <c r="L2220">
        <v>34</v>
      </c>
      <c r="M2220">
        <v>2.56</v>
      </c>
      <c r="N2220">
        <v>2.56</v>
      </c>
      <c r="O2220">
        <v>0</v>
      </c>
      <c r="P2220">
        <v>0</v>
      </c>
      <c r="Q2220" t="s">
        <v>108</v>
      </c>
    </row>
    <row r="2221" spans="1:17">
      <c r="A2221" t="s">
        <v>93</v>
      </c>
      <c r="B2221" t="s">
        <v>106</v>
      </c>
      <c r="C2221" t="s">
        <v>56</v>
      </c>
      <c r="D2221" t="s">
        <v>2004</v>
      </c>
      <c r="E2221">
        <v>24</v>
      </c>
      <c r="F2221" t="str">
        <f>VLOOKUP(E2221,[1]LOJA!$A:$B,2,0)</f>
        <v>LUZIÂNIA</v>
      </c>
      <c r="G2221" t="s">
        <v>19</v>
      </c>
      <c r="H2221" t="s">
        <v>19</v>
      </c>
      <c r="I2221" s="1">
        <v>46030</v>
      </c>
      <c r="J2221" s="1">
        <v>46030</v>
      </c>
      <c r="K2221" s="1">
        <v>46030</v>
      </c>
      <c r="L2221">
        <v>34</v>
      </c>
      <c r="M2221">
        <v>1.68</v>
      </c>
      <c r="N2221">
        <v>1.68</v>
      </c>
      <c r="O2221">
        <v>0</v>
      </c>
      <c r="P2221">
        <v>0</v>
      </c>
      <c r="Q2221" t="s">
        <v>108</v>
      </c>
    </row>
    <row r="2222" spans="1:17">
      <c r="A2222" t="s">
        <v>93</v>
      </c>
      <c r="B2222" t="s">
        <v>106</v>
      </c>
      <c r="C2222" t="s">
        <v>56</v>
      </c>
      <c r="D2222" t="s">
        <v>2005</v>
      </c>
      <c r="E2222">
        <v>24</v>
      </c>
      <c r="F2222" t="str">
        <f>VLOOKUP(E2222,[1]LOJA!$A:$B,2,0)</f>
        <v>LUZIÂNIA</v>
      </c>
      <c r="G2222" t="s">
        <v>19</v>
      </c>
      <c r="H2222" t="s">
        <v>19</v>
      </c>
      <c r="I2222" s="1">
        <v>46030</v>
      </c>
      <c r="J2222" s="1">
        <v>46030</v>
      </c>
      <c r="K2222" s="1">
        <v>46030</v>
      </c>
      <c r="L2222">
        <v>34</v>
      </c>
      <c r="M2222">
        <v>1.1399999999999999</v>
      </c>
      <c r="N2222">
        <v>1.1399999999999999</v>
      </c>
      <c r="O2222">
        <v>0</v>
      </c>
      <c r="P2222">
        <v>0</v>
      </c>
      <c r="Q2222" t="s">
        <v>108</v>
      </c>
    </row>
    <row r="2223" spans="1:17">
      <c r="A2223" t="s">
        <v>93</v>
      </c>
      <c r="B2223" t="s">
        <v>106</v>
      </c>
      <c r="C2223" t="s">
        <v>56</v>
      </c>
      <c r="D2223" t="s">
        <v>2006</v>
      </c>
      <c r="E2223">
        <v>24</v>
      </c>
      <c r="F2223" t="str">
        <f>VLOOKUP(E2223,[1]LOJA!$A:$B,2,0)</f>
        <v>LUZIÂNIA</v>
      </c>
      <c r="G2223" t="s">
        <v>19</v>
      </c>
      <c r="H2223" t="s">
        <v>19</v>
      </c>
      <c r="I2223" s="1">
        <v>46030</v>
      </c>
      <c r="J2223" s="1">
        <v>46030</v>
      </c>
      <c r="K2223" s="1">
        <v>46030</v>
      </c>
      <c r="L2223">
        <v>34</v>
      </c>
      <c r="M2223">
        <v>1.98</v>
      </c>
      <c r="N2223">
        <v>1.98</v>
      </c>
      <c r="O2223">
        <v>0</v>
      </c>
      <c r="P2223">
        <v>0</v>
      </c>
      <c r="Q2223" t="s">
        <v>108</v>
      </c>
    </row>
    <row r="2224" spans="1:17">
      <c r="A2224" t="s">
        <v>93</v>
      </c>
      <c r="B2224" t="s">
        <v>106</v>
      </c>
      <c r="C2224" t="s">
        <v>56</v>
      </c>
      <c r="D2224" t="s">
        <v>2007</v>
      </c>
      <c r="E2224">
        <v>24</v>
      </c>
      <c r="F2224" t="str">
        <f>VLOOKUP(E2224,[1]LOJA!$A:$B,2,0)</f>
        <v>LUZIÂNIA</v>
      </c>
      <c r="G2224" t="s">
        <v>19</v>
      </c>
      <c r="H2224" t="s">
        <v>19</v>
      </c>
      <c r="I2224" s="1">
        <v>46030</v>
      </c>
      <c r="J2224" s="1">
        <v>46030</v>
      </c>
      <c r="K2224" s="1">
        <v>46030</v>
      </c>
      <c r="L2224">
        <v>34</v>
      </c>
      <c r="M2224">
        <v>2.19</v>
      </c>
      <c r="N2224">
        <v>2.19</v>
      </c>
      <c r="O2224">
        <v>0</v>
      </c>
      <c r="P2224">
        <v>0</v>
      </c>
      <c r="Q2224" t="s">
        <v>108</v>
      </c>
    </row>
    <row r="2225" spans="1:17">
      <c r="A2225" t="s">
        <v>93</v>
      </c>
      <c r="B2225" t="s">
        <v>106</v>
      </c>
      <c r="C2225" t="s">
        <v>56</v>
      </c>
      <c r="D2225" t="s">
        <v>2008</v>
      </c>
      <c r="E2225">
        <v>24</v>
      </c>
      <c r="F2225" t="str">
        <f>VLOOKUP(E2225,[1]LOJA!$A:$B,2,0)</f>
        <v>LUZIÂNIA</v>
      </c>
      <c r="G2225" t="s">
        <v>19</v>
      </c>
      <c r="H2225" t="s">
        <v>19</v>
      </c>
      <c r="I2225" s="1">
        <v>46030</v>
      </c>
      <c r="J2225" s="1">
        <v>46030</v>
      </c>
      <c r="K2225" s="1">
        <v>46030</v>
      </c>
      <c r="L2225">
        <v>34</v>
      </c>
      <c r="M2225">
        <v>6.13</v>
      </c>
      <c r="N2225">
        <v>6.13</v>
      </c>
      <c r="O2225">
        <v>0</v>
      </c>
      <c r="P2225">
        <v>0</v>
      </c>
      <c r="Q2225" t="s">
        <v>108</v>
      </c>
    </row>
    <row r="2226" spans="1:17">
      <c r="A2226" t="s">
        <v>93</v>
      </c>
      <c r="B2226" t="s">
        <v>106</v>
      </c>
      <c r="C2226" t="s">
        <v>56</v>
      </c>
      <c r="D2226" t="s">
        <v>2009</v>
      </c>
      <c r="E2226">
        <v>24</v>
      </c>
      <c r="F2226" t="str">
        <f>VLOOKUP(E2226,[1]LOJA!$A:$B,2,0)</f>
        <v>LUZIÂNIA</v>
      </c>
      <c r="G2226" t="s">
        <v>19</v>
      </c>
      <c r="H2226" t="s">
        <v>19</v>
      </c>
      <c r="I2226" s="1">
        <v>46030</v>
      </c>
      <c r="J2226" s="1">
        <v>46030</v>
      </c>
      <c r="K2226" s="1">
        <v>46030</v>
      </c>
      <c r="L2226">
        <v>34</v>
      </c>
      <c r="M2226">
        <v>0.3</v>
      </c>
      <c r="N2226">
        <v>0.3</v>
      </c>
      <c r="O2226">
        <v>0</v>
      </c>
      <c r="P2226">
        <v>0</v>
      </c>
      <c r="Q2226" t="s">
        <v>108</v>
      </c>
    </row>
    <row r="2227" spans="1:17">
      <c r="A2227" t="s">
        <v>93</v>
      </c>
      <c r="B2227" t="s">
        <v>106</v>
      </c>
      <c r="C2227" t="s">
        <v>56</v>
      </c>
      <c r="D2227" t="s">
        <v>2010</v>
      </c>
      <c r="E2227">
        <v>24</v>
      </c>
      <c r="F2227" t="str">
        <f>VLOOKUP(E2227,[1]LOJA!$A:$B,2,0)</f>
        <v>LUZIÂNIA</v>
      </c>
      <c r="G2227" t="s">
        <v>19</v>
      </c>
      <c r="H2227" t="s">
        <v>19</v>
      </c>
      <c r="I2227" s="1">
        <v>46030</v>
      </c>
      <c r="J2227" s="1">
        <v>46030</v>
      </c>
      <c r="K2227" s="1">
        <v>46030</v>
      </c>
      <c r="L2227">
        <v>34</v>
      </c>
      <c r="M2227">
        <v>0.28000000000000003</v>
      </c>
      <c r="N2227">
        <v>0.28000000000000003</v>
      </c>
      <c r="O2227">
        <v>0</v>
      </c>
      <c r="P2227">
        <v>0</v>
      </c>
      <c r="Q2227" t="s">
        <v>108</v>
      </c>
    </row>
    <row r="2228" spans="1:17">
      <c r="A2228" t="s">
        <v>93</v>
      </c>
      <c r="B2228" t="s">
        <v>106</v>
      </c>
      <c r="C2228" t="s">
        <v>56</v>
      </c>
      <c r="D2228" t="s">
        <v>2011</v>
      </c>
      <c r="E2228">
        <v>24</v>
      </c>
      <c r="F2228" t="str">
        <f>VLOOKUP(E2228,[1]LOJA!$A:$B,2,0)</f>
        <v>LUZIÂNIA</v>
      </c>
      <c r="G2228" t="s">
        <v>19</v>
      </c>
      <c r="H2228" t="s">
        <v>19</v>
      </c>
      <c r="I2228" s="1">
        <v>46030</v>
      </c>
      <c r="J2228" s="1">
        <v>46030</v>
      </c>
      <c r="K2228" s="1">
        <v>46030</v>
      </c>
      <c r="L2228">
        <v>34</v>
      </c>
      <c r="M2228">
        <v>0.37</v>
      </c>
      <c r="N2228">
        <v>0.37</v>
      </c>
      <c r="O2228">
        <v>0</v>
      </c>
      <c r="P2228">
        <v>0</v>
      </c>
      <c r="Q2228" t="s">
        <v>108</v>
      </c>
    </row>
    <row r="2229" spans="1:17">
      <c r="A2229" t="s">
        <v>93</v>
      </c>
      <c r="B2229" t="s">
        <v>106</v>
      </c>
      <c r="C2229" t="s">
        <v>56</v>
      </c>
      <c r="D2229" t="s">
        <v>2012</v>
      </c>
      <c r="E2229">
        <v>24</v>
      </c>
      <c r="F2229" t="str">
        <f>VLOOKUP(E2229,[1]LOJA!$A:$B,2,0)</f>
        <v>LUZIÂNIA</v>
      </c>
      <c r="G2229" t="s">
        <v>19</v>
      </c>
      <c r="H2229" t="s">
        <v>19</v>
      </c>
      <c r="I2229" s="1">
        <v>46030</v>
      </c>
      <c r="J2229" s="1">
        <v>46030</v>
      </c>
      <c r="K2229" s="1">
        <v>46030</v>
      </c>
      <c r="L2229">
        <v>34</v>
      </c>
      <c r="M2229">
        <v>0.04</v>
      </c>
      <c r="N2229">
        <v>0.04</v>
      </c>
      <c r="O2229">
        <v>0</v>
      </c>
      <c r="P2229">
        <v>0</v>
      </c>
      <c r="Q2229" t="s">
        <v>108</v>
      </c>
    </row>
    <row r="2230" spans="1:17">
      <c r="A2230" t="s">
        <v>93</v>
      </c>
      <c r="B2230" t="s">
        <v>106</v>
      </c>
      <c r="C2230" t="s">
        <v>56</v>
      </c>
      <c r="D2230" t="s">
        <v>2013</v>
      </c>
      <c r="E2230">
        <v>24</v>
      </c>
      <c r="F2230" t="str">
        <f>VLOOKUP(E2230,[1]LOJA!$A:$B,2,0)</f>
        <v>LUZIÂNIA</v>
      </c>
      <c r="G2230" t="s">
        <v>19</v>
      </c>
      <c r="H2230" t="s">
        <v>19</v>
      </c>
      <c r="I2230" s="1">
        <v>46030</v>
      </c>
      <c r="J2230" s="1">
        <v>46030</v>
      </c>
      <c r="K2230" s="1">
        <v>46030</v>
      </c>
      <c r="L2230">
        <v>34</v>
      </c>
      <c r="M2230">
        <v>1.07</v>
      </c>
      <c r="N2230">
        <v>1.07</v>
      </c>
      <c r="O2230">
        <v>0</v>
      </c>
      <c r="P2230">
        <v>0</v>
      </c>
      <c r="Q2230" t="s">
        <v>108</v>
      </c>
    </row>
    <row r="2231" spans="1:17">
      <c r="A2231" t="s">
        <v>93</v>
      </c>
      <c r="B2231" t="s">
        <v>106</v>
      </c>
      <c r="C2231" t="s">
        <v>56</v>
      </c>
      <c r="D2231" t="s">
        <v>2014</v>
      </c>
      <c r="E2231">
        <v>24</v>
      </c>
      <c r="F2231" t="str">
        <f>VLOOKUP(E2231,[1]LOJA!$A:$B,2,0)</f>
        <v>LUZIÂNIA</v>
      </c>
      <c r="G2231" t="s">
        <v>19</v>
      </c>
      <c r="H2231" t="s">
        <v>19</v>
      </c>
      <c r="I2231" s="1">
        <v>46030</v>
      </c>
      <c r="J2231" s="1">
        <v>46030</v>
      </c>
      <c r="K2231" s="1">
        <v>46030</v>
      </c>
      <c r="L2231">
        <v>34</v>
      </c>
      <c r="M2231">
        <v>0.15</v>
      </c>
      <c r="N2231">
        <v>0.15</v>
      </c>
      <c r="O2231">
        <v>0</v>
      </c>
      <c r="P2231">
        <v>0</v>
      </c>
      <c r="Q2231" t="s">
        <v>108</v>
      </c>
    </row>
    <row r="2232" spans="1:17">
      <c r="A2232" t="s">
        <v>93</v>
      </c>
      <c r="B2232" t="s">
        <v>106</v>
      </c>
      <c r="C2232" t="s">
        <v>56</v>
      </c>
      <c r="D2232" t="s">
        <v>2015</v>
      </c>
      <c r="E2232">
        <v>24</v>
      </c>
      <c r="F2232" t="str">
        <f>VLOOKUP(E2232,[1]LOJA!$A:$B,2,0)</f>
        <v>LUZIÂNIA</v>
      </c>
      <c r="G2232" t="s">
        <v>19</v>
      </c>
      <c r="H2232" t="s">
        <v>19</v>
      </c>
      <c r="I2232" s="1">
        <v>46030</v>
      </c>
      <c r="J2232" s="1">
        <v>46030</v>
      </c>
      <c r="K2232" s="1">
        <v>46030</v>
      </c>
      <c r="L2232">
        <v>34</v>
      </c>
      <c r="M2232">
        <v>0.03</v>
      </c>
      <c r="N2232">
        <v>0.03</v>
      </c>
      <c r="O2232">
        <v>0</v>
      </c>
      <c r="P2232">
        <v>0</v>
      </c>
      <c r="Q2232" t="s">
        <v>108</v>
      </c>
    </row>
    <row r="2233" spans="1:17">
      <c r="A2233" t="s">
        <v>93</v>
      </c>
      <c r="B2233" t="s">
        <v>106</v>
      </c>
      <c r="C2233" t="s">
        <v>56</v>
      </c>
      <c r="D2233" t="s">
        <v>2016</v>
      </c>
      <c r="E2233">
        <v>24</v>
      </c>
      <c r="F2233" t="str">
        <f>VLOOKUP(E2233,[1]LOJA!$A:$B,2,0)</f>
        <v>LUZIÂNIA</v>
      </c>
      <c r="G2233" t="s">
        <v>19</v>
      </c>
      <c r="H2233" t="s">
        <v>19</v>
      </c>
      <c r="I2233" s="1">
        <v>46030</v>
      </c>
      <c r="J2233" s="1">
        <v>46030</v>
      </c>
      <c r="K2233" s="1">
        <v>46030</v>
      </c>
      <c r="L2233">
        <v>34</v>
      </c>
      <c r="M2233">
        <v>0.5</v>
      </c>
      <c r="N2233">
        <v>0.5</v>
      </c>
      <c r="O2233">
        <v>0</v>
      </c>
      <c r="P2233">
        <v>0</v>
      </c>
      <c r="Q2233" t="s">
        <v>108</v>
      </c>
    </row>
    <row r="2234" spans="1:17">
      <c r="A2234" t="s">
        <v>93</v>
      </c>
      <c r="B2234" t="s">
        <v>106</v>
      </c>
      <c r="C2234" t="s">
        <v>56</v>
      </c>
      <c r="D2234" t="s">
        <v>2017</v>
      </c>
      <c r="E2234">
        <v>24</v>
      </c>
      <c r="F2234" t="str">
        <f>VLOOKUP(E2234,[1]LOJA!$A:$B,2,0)</f>
        <v>LUZIÂNIA</v>
      </c>
      <c r="G2234" t="s">
        <v>19</v>
      </c>
      <c r="H2234" t="s">
        <v>19</v>
      </c>
      <c r="I2234" s="1">
        <v>46030</v>
      </c>
      <c r="J2234" s="1">
        <v>46030</v>
      </c>
      <c r="K2234" s="1">
        <v>46030</v>
      </c>
      <c r="L2234">
        <v>34</v>
      </c>
      <c r="M2234">
        <v>0.6</v>
      </c>
      <c r="N2234">
        <v>0.6</v>
      </c>
      <c r="O2234">
        <v>0</v>
      </c>
      <c r="P2234">
        <v>0</v>
      </c>
      <c r="Q2234" t="s">
        <v>108</v>
      </c>
    </row>
    <row r="2235" spans="1:17">
      <c r="A2235" t="s">
        <v>93</v>
      </c>
      <c r="B2235" t="s">
        <v>106</v>
      </c>
      <c r="C2235" t="s">
        <v>56</v>
      </c>
      <c r="D2235" t="s">
        <v>2018</v>
      </c>
      <c r="E2235">
        <v>24</v>
      </c>
      <c r="F2235" t="str">
        <f>VLOOKUP(E2235,[1]LOJA!$A:$B,2,0)</f>
        <v>LUZIÂNIA</v>
      </c>
      <c r="G2235" t="s">
        <v>19</v>
      </c>
      <c r="H2235" t="s">
        <v>19</v>
      </c>
      <c r="I2235" s="1">
        <v>46030</v>
      </c>
      <c r="J2235" s="1">
        <v>46030</v>
      </c>
      <c r="K2235" s="1">
        <v>46030</v>
      </c>
      <c r="L2235">
        <v>34</v>
      </c>
      <c r="M2235">
        <v>0.95</v>
      </c>
      <c r="N2235">
        <v>0.95</v>
      </c>
      <c r="O2235">
        <v>0</v>
      </c>
      <c r="P2235">
        <v>0</v>
      </c>
      <c r="Q2235" t="s">
        <v>108</v>
      </c>
    </row>
    <row r="2236" spans="1:17">
      <c r="A2236" t="s">
        <v>93</v>
      </c>
      <c r="B2236" t="s">
        <v>106</v>
      </c>
      <c r="C2236" t="s">
        <v>56</v>
      </c>
      <c r="D2236" t="s">
        <v>2019</v>
      </c>
      <c r="E2236">
        <v>24</v>
      </c>
      <c r="F2236" t="str">
        <f>VLOOKUP(E2236,[1]LOJA!$A:$B,2,0)</f>
        <v>LUZIÂNIA</v>
      </c>
      <c r="G2236" t="s">
        <v>19</v>
      </c>
      <c r="H2236" t="s">
        <v>19</v>
      </c>
      <c r="I2236" s="1">
        <v>46031</v>
      </c>
      <c r="J2236" s="1">
        <v>46031</v>
      </c>
      <c r="K2236" s="1">
        <v>46031</v>
      </c>
      <c r="L2236">
        <v>34</v>
      </c>
      <c r="M2236">
        <v>4.42</v>
      </c>
      <c r="N2236">
        <v>4.42</v>
      </c>
      <c r="O2236">
        <v>0</v>
      </c>
      <c r="P2236">
        <v>0</v>
      </c>
      <c r="Q2236" t="s">
        <v>108</v>
      </c>
    </row>
    <row r="2237" spans="1:17">
      <c r="A2237" t="s">
        <v>93</v>
      </c>
      <c r="B2237" t="s">
        <v>106</v>
      </c>
      <c r="C2237" t="s">
        <v>56</v>
      </c>
      <c r="D2237" t="s">
        <v>2020</v>
      </c>
      <c r="E2237">
        <v>24</v>
      </c>
      <c r="F2237" t="str">
        <f>VLOOKUP(E2237,[1]LOJA!$A:$B,2,0)</f>
        <v>LUZIÂNIA</v>
      </c>
      <c r="G2237" t="s">
        <v>19</v>
      </c>
      <c r="H2237" t="s">
        <v>19</v>
      </c>
      <c r="I2237" s="1">
        <v>46031</v>
      </c>
      <c r="J2237" s="1">
        <v>46031</v>
      </c>
      <c r="K2237" s="1">
        <v>46031</v>
      </c>
      <c r="L2237">
        <v>34</v>
      </c>
      <c r="M2237">
        <v>2.92</v>
      </c>
      <c r="N2237">
        <v>2.92</v>
      </c>
      <c r="O2237">
        <v>0</v>
      </c>
      <c r="P2237">
        <v>0</v>
      </c>
      <c r="Q2237" t="s">
        <v>108</v>
      </c>
    </row>
    <row r="2238" spans="1:17">
      <c r="A2238" t="s">
        <v>93</v>
      </c>
      <c r="B2238" t="s">
        <v>106</v>
      </c>
      <c r="C2238" t="s">
        <v>56</v>
      </c>
      <c r="D2238" t="s">
        <v>2021</v>
      </c>
      <c r="E2238">
        <v>24</v>
      </c>
      <c r="F2238" t="str">
        <f>VLOOKUP(E2238,[1]LOJA!$A:$B,2,0)</f>
        <v>LUZIÂNIA</v>
      </c>
      <c r="G2238" t="s">
        <v>19</v>
      </c>
      <c r="H2238" t="s">
        <v>19</v>
      </c>
      <c r="I2238" s="1">
        <v>46031</v>
      </c>
      <c r="J2238" s="1">
        <v>46031</v>
      </c>
      <c r="K2238" s="1">
        <v>46031</v>
      </c>
      <c r="L2238">
        <v>34</v>
      </c>
      <c r="M2238">
        <v>0.61</v>
      </c>
      <c r="N2238">
        <v>0.61</v>
      </c>
      <c r="O2238">
        <v>0</v>
      </c>
      <c r="P2238">
        <v>0</v>
      </c>
      <c r="Q2238" t="s">
        <v>108</v>
      </c>
    </row>
    <row r="2239" spans="1:17">
      <c r="A2239" t="s">
        <v>93</v>
      </c>
      <c r="B2239" t="s">
        <v>106</v>
      </c>
      <c r="C2239" t="s">
        <v>56</v>
      </c>
      <c r="D2239" t="s">
        <v>2022</v>
      </c>
      <c r="E2239">
        <v>24</v>
      </c>
      <c r="F2239" t="str">
        <f>VLOOKUP(E2239,[1]LOJA!$A:$B,2,0)</f>
        <v>LUZIÂNIA</v>
      </c>
      <c r="G2239" t="s">
        <v>19</v>
      </c>
      <c r="H2239" t="s">
        <v>19</v>
      </c>
      <c r="I2239" s="1">
        <v>46031</v>
      </c>
      <c r="J2239" s="1">
        <v>46031</v>
      </c>
      <c r="K2239" s="1">
        <v>46031</v>
      </c>
      <c r="L2239">
        <v>34</v>
      </c>
      <c r="M2239">
        <v>1.43</v>
      </c>
      <c r="N2239">
        <v>1.43</v>
      </c>
      <c r="O2239">
        <v>0</v>
      </c>
      <c r="P2239">
        <v>0</v>
      </c>
      <c r="Q2239" t="s">
        <v>108</v>
      </c>
    </row>
    <row r="2240" spans="1:17">
      <c r="A2240" t="s">
        <v>93</v>
      </c>
      <c r="B2240" t="s">
        <v>106</v>
      </c>
      <c r="C2240" t="s">
        <v>56</v>
      </c>
      <c r="D2240" t="s">
        <v>2023</v>
      </c>
      <c r="E2240">
        <v>24</v>
      </c>
      <c r="F2240" t="str">
        <f>VLOOKUP(E2240,[1]LOJA!$A:$B,2,0)</f>
        <v>LUZIÂNIA</v>
      </c>
      <c r="G2240" t="s">
        <v>19</v>
      </c>
      <c r="H2240" t="s">
        <v>19</v>
      </c>
      <c r="I2240" s="1">
        <v>46031</v>
      </c>
      <c r="J2240" s="1">
        <v>46031</v>
      </c>
      <c r="K2240" s="1">
        <v>46031</v>
      </c>
      <c r="L2240">
        <v>34</v>
      </c>
      <c r="M2240">
        <v>2.1</v>
      </c>
      <c r="N2240">
        <v>2.1</v>
      </c>
      <c r="O2240">
        <v>0</v>
      </c>
      <c r="P2240">
        <v>0</v>
      </c>
      <c r="Q2240" t="s">
        <v>108</v>
      </c>
    </row>
    <row r="2241" spans="1:17">
      <c r="A2241" t="s">
        <v>93</v>
      </c>
      <c r="B2241" t="s">
        <v>106</v>
      </c>
      <c r="C2241" t="s">
        <v>56</v>
      </c>
      <c r="D2241" t="s">
        <v>2024</v>
      </c>
      <c r="E2241">
        <v>24</v>
      </c>
      <c r="F2241" t="str">
        <f>VLOOKUP(E2241,[1]LOJA!$A:$B,2,0)</f>
        <v>LUZIÂNIA</v>
      </c>
      <c r="G2241" t="s">
        <v>19</v>
      </c>
      <c r="H2241" t="s">
        <v>19</v>
      </c>
      <c r="I2241" s="1">
        <v>46031</v>
      </c>
      <c r="J2241" s="1">
        <v>46031</v>
      </c>
      <c r="K2241" s="1">
        <v>46031</v>
      </c>
      <c r="L2241">
        <v>34</v>
      </c>
      <c r="M2241">
        <v>1.19</v>
      </c>
      <c r="N2241">
        <v>1.19</v>
      </c>
      <c r="O2241">
        <v>0</v>
      </c>
      <c r="P2241">
        <v>0</v>
      </c>
      <c r="Q2241" t="s">
        <v>108</v>
      </c>
    </row>
    <row r="2242" spans="1:17">
      <c r="A2242" t="s">
        <v>93</v>
      </c>
      <c r="B2242" t="s">
        <v>106</v>
      </c>
      <c r="C2242" t="s">
        <v>56</v>
      </c>
      <c r="D2242" t="s">
        <v>2025</v>
      </c>
      <c r="E2242">
        <v>24</v>
      </c>
      <c r="F2242" t="str">
        <f>VLOOKUP(E2242,[1]LOJA!$A:$B,2,0)</f>
        <v>LUZIÂNIA</v>
      </c>
      <c r="G2242" t="s">
        <v>19</v>
      </c>
      <c r="H2242" t="s">
        <v>19</v>
      </c>
      <c r="I2242" s="1">
        <v>46031</v>
      </c>
      <c r="J2242" s="1">
        <v>46031</v>
      </c>
      <c r="K2242" s="1">
        <v>46031</v>
      </c>
      <c r="L2242">
        <v>34</v>
      </c>
      <c r="M2242">
        <v>0.61</v>
      </c>
      <c r="N2242">
        <v>0.61</v>
      </c>
      <c r="O2242">
        <v>0</v>
      </c>
      <c r="P2242">
        <v>0</v>
      </c>
      <c r="Q2242" t="s">
        <v>108</v>
      </c>
    </row>
    <row r="2243" spans="1:17">
      <c r="A2243" t="s">
        <v>93</v>
      </c>
      <c r="B2243" t="s">
        <v>106</v>
      </c>
      <c r="C2243" t="s">
        <v>56</v>
      </c>
      <c r="D2243" t="s">
        <v>2026</v>
      </c>
      <c r="E2243">
        <v>24</v>
      </c>
      <c r="F2243" t="str">
        <f>VLOOKUP(E2243,[1]LOJA!$A:$B,2,0)</f>
        <v>LUZIÂNIA</v>
      </c>
      <c r="G2243" t="s">
        <v>19</v>
      </c>
      <c r="H2243" t="s">
        <v>19</v>
      </c>
      <c r="I2243" s="1">
        <v>46031</v>
      </c>
      <c r="J2243" s="1">
        <v>46031</v>
      </c>
      <c r="K2243" s="1">
        <v>46031</v>
      </c>
      <c r="L2243">
        <v>34</v>
      </c>
      <c r="M2243">
        <v>1.93</v>
      </c>
      <c r="N2243">
        <v>1.93</v>
      </c>
      <c r="O2243">
        <v>0</v>
      </c>
      <c r="P2243">
        <v>0</v>
      </c>
      <c r="Q2243" t="s">
        <v>108</v>
      </c>
    </row>
    <row r="2244" spans="1:17">
      <c r="A2244" t="s">
        <v>93</v>
      </c>
      <c r="B2244" t="s">
        <v>106</v>
      </c>
      <c r="C2244" t="s">
        <v>56</v>
      </c>
      <c r="D2244" t="s">
        <v>2027</v>
      </c>
      <c r="E2244">
        <v>24</v>
      </c>
      <c r="F2244" t="str">
        <f>VLOOKUP(E2244,[1]LOJA!$A:$B,2,0)</f>
        <v>LUZIÂNIA</v>
      </c>
      <c r="G2244" t="s">
        <v>19</v>
      </c>
      <c r="H2244" t="s">
        <v>19</v>
      </c>
      <c r="I2244" s="1">
        <v>46031</v>
      </c>
      <c r="J2244" s="1">
        <v>46031</v>
      </c>
      <c r="K2244" s="1">
        <v>46031</v>
      </c>
      <c r="L2244">
        <v>34</v>
      </c>
      <c r="M2244">
        <v>1.33</v>
      </c>
      <c r="N2244">
        <v>1.33</v>
      </c>
      <c r="O2244">
        <v>0</v>
      </c>
      <c r="P2244">
        <v>0</v>
      </c>
      <c r="Q2244" t="s">
        <v>108</v>
      </c>
    </row>
    <row r="2245" spans="1:17">
      <c r="A2245" t="s">
        <v>93</v>
      </c>
      <c r="B2245" t="s">
        <v>106</v>
      </c>
      <c r="C2245" t="s">
        <v>56</v>
      </c>
      <c r="D2245" t="s">
        <v>2028</v>
      </c>
      <c r="E2245">
        <v>24</v>
      </c>
      <c r="F2245" t="str">
        <f>VLOOKUP(E2245,[1]LOJA!$A:$B,2,0)</f>
        <v>LUZIÂNIA</v>
      </c>
      <c r="G2245" t="s">
        <v>19</v>
      </c>
      <c r="H2245" t="s">
        <v>19</v>
      </c>
      <c r="I2245" s="1">
        <v>46031</v>
      </c>
      <c r="J2245" s="1">
        <v>46031</v>
      </c>
      <c r="K2245" s="1">
        <v>46031</v>
      </c>
      <c r="L2245">
        <v>34</v>
      </c>
      <c r="M2245">
        <v>0.12</v>
      </c>
      <c r="N2245">
        <v>0.12</v>
      </c>
      <c r="O2245">
        <v>0</v>
      </c>
      <c r="P2245">
        <v>0</v>
      </c>
      <c r="Q2245" t="s">
        <v>108</v>
      </c>
    </row>
    <row r="2246" spans="1:17">
      <c r="A2246" t="s">
        <v>93</v>
      </c>
      <c r="B2246" t="s">
        <v>106</v>
      </c>
      <c r="C2246" t="s">
        <v>56</v>
      </c>
      <c r="D2246" t="s">
        <v>2029</v>
      </c>
      <c r="E2246">
        <v>24</v>
      </c>
      <c r="F2246" t="str">
        <f>VLOOKUP(E2246,[1]LOJA!$A:$B,2,0)</f>
        <v>LUZIÂNIA</v>
      </c>
      <c r="G2246" t="s">
        <v>19</v>
      </c>
      <c r="H2246" t="s">
        <v>19</v>
      </c>
      <c r="I2246" s="1">
        <v>46031</v>
      </c>
      <c r="J2246" s="1">
        <v>46031</v>
      </c>
      <c r="K2246" s="1">
        <v>46031</v>
      </c>
      <c r="L2246">
        <v>34</v>
      </c>
      <c r="M2246">
        <v>0.9</v>
      </c>
      <c r="N2246">
        <v>0.9</v>
      </c>
      <c r="O2246">
        <v>0</v>
      </c>
      <c r="P2246">
        <v>0</v>
      </c>
      <c r="Q2246" t="s">
        <v>108</v>
      </c>
    </row>
    <row r="2247" spans="1:17">
      <c r="A2247" t="s">
        <v>93</v>
      </c>
      <c r="B2247" t="s">
        <v>106</v>
      </c>
      <c r="C2247" t="s">
        <v>56</v>
      </c>
      <c r="D2247" t="s">
        <v>2030</v>
      </c>
      <c r="E2247">
        <v>24</v>
      </c>
      <c r="F2247" t="str">
        <f>VLOOKUP(E2247,[1]LOJA!$A:$B,2,0)</f>
        <v>LUZIÂNIA</v>
      </c>
      <c r="G2247" t="s">
        <v>19</v>
      </c>
      <c r="H2247" t="s">
        <v>19</v>
      </c>
      <c r="I2247" s="1">
        <v>46031</v>
      </c>
      <c r="J2247" s="1">
        <v>46031</v>
      </c>
      <c r="K2247" s="1">
        <v>46031</v>
      </c>
      <c r="L2247">
        <v>34</v>
      </c>
      <c r="M2247">
        <v>1.21</v>
      </c>
      <c r="N2247">
        <v>1.21</v>
      </c>
      <c r="O2247">
        <v>0</v>
      </c>
      <c r="P2247">
        <v>0</v>
      </c>
      <c r="Q2247" t="s">
        <v>108</v>
      </c>
    </row>
    <row r="2248" spans="1:17">
      <c r="A2248" t="s">
        <v>93</v>
      </c>
      <c r="B2248" t="s">
        <v>106</v>
      </c>
      <c r="C2248" t="s">
        <v>56</v>
      </c>
      <c r="D2248" t="s">
        <v>2031</v>
      </c>
      <c r="E2248">
        <v>24</v>
      </c>
      <c r="F2248" t="str">
        <f>VLOOKUP(E2248,[1]LOJA!$A:$B,2,0)</f>
        <v>LUZIÂNIA</v>
      </c>
      <c r="G2248" t="s">
        <v>19</v>
      </c>
      <c r="H2248" t="s">
        <v>19</v>
      </c>
      <c r="I2248" s="1">
        <v>46031</v>
      </c>
      <c r="J2248" s="1">
        <v>46031</v>
      </c>
      <c r="K2248" s="1">
        <v>46031</v>
      </c>
      <c r="L2248">
        <v>34</v>
      </c>
      <c r="M2248">
        <v>0.22</v>
      </c>
      <c r="N2248">
        <v>0.22</v>
      </c>
      <c r="O2248">
        <v>0</v>
      </c>
      <c r="P2248">
        <v>0</v>
      </c>
      <c r="Q2248" t="s">
        <v>108</v>
      </c>
    </row>
    <row r="2249" spans="1:17">
      <c r="A2249" t="s">
        <v>93</v>
      </c>
      <c r="B2249" t="s">
        <v>106</v>
      </c>
      <c r="C2249" t="s">
        <v>56</v>
      </c>
      <c r="D2249" t="s">
        <v>2032</v>
      </c>
      <c r="E2249">
        <v>24</v>
      </c>
      <c r="F2249" t="str">
        <f>VLOOKUP(E2249,[1]LOJA!$A:$B,2,0)</f>
        <v>LUZIÂNIA</v>
      </c>
      <c r="G2249" t="s">
        <v>19</v>
      </c>
      <c r="H2249" t="s">
        <v>19</v>
      </c>
      <c r="I2249" s="1">
        <v>46031</v>
      </c>
      <c r="J2249" s="1">
        <v>46031</v>
      </c>
      <c r="K2249" s="1">
        <v>46031</v>
      </c>
      <c r="L2249">
        <v>34</v>
      </c>
      <c r="M2249">
        <v>0.09</v>
      </c>
      <c r="N2249">
        <v>0.09</v>
      </c>
      <c r="O2249">
        <v>0</v>
      </c>
      <c r="P2249">
        <v>0</v>
      </c>
      <c r="Q2249" t="s">
        <v>108</v>
      </c>
    </row>
    <row r="2250" spans="1:17">
      <c r="A2250" t="s">
        <v>93</v>
      </c>
      <c r="B2250" t="s">
        <v>106</v>
      </c>
      <c r="C2250" t="s">
        <v>56</v>
      </c>
      <c r="D2250" t="s">
        <v>2033</v>
      </c>
      <c r="E2250">
        <v>24</v>
      </c>
      <c r="F2250" t="str">
        <f>VLOOKUP(E2250,[1]LOJA!$A:$B,2,0)</f>
        <v>LUZIÂNIA</v>
      </c>
      <c r="G2250" t="s">
        <v>19</v>
      </c>
      <c r="H2250" t="s">
        <v>19</v>
      </c>
      <c r="I2250" s="1">
        <v>46031</v>
      </c>
      <c r="J2250" s="1">
        <v>46031</v>
      </c>
      <c r="K2250" s="1">
        <v>46031</v>
      </c>
      <c r="L2250">
        <v>34</v>
      </c>
      <c r="M2250">
        <v>0.11</v>
      </c>
      <c r="N2250">
        <v>0.11</v>
      </c>
      <c r="O2250">
        <v>0</v>
      </c>
      <c r="P2250">
        <v>0</v>
      </c>
      <c r="Q2250" t="s">
        <v>108</v>
      </c>
    </row>
    <row r="2251" spans="1:17">
      <c r="A2251" t="s">
        <v>93</v>
      </c>
      <c r="B2251" t="s">
        <v>106</v>
      </c>
      <c r="C2251" t="s">
        <v>56</v>
      </c>
      <c r="D2251" t="s">
        <v>2034</v>
      </c>
      <c r="E2251">
        <v>24</v>
      </c>
      <c r="F2251" t="str">
        <f>VLOOKUP(E2251,[1]LOJA!$A:$B,2,0)</f>
        <v>LUZIÂNIA</v>
      </c>
      <c r="G2251" t="s">
        <v>19</v>
      </c>
      <c r="H2251" t="s">
        <v>19</v>
      </c>
      <c r="I2251" s="1">
        <v>46031</v>
      </c>
      <c r="J2251" s="1">
        <v>46031</v>
      </c>
      <c r="K2251" s="1">
        <v>46031</v>
      </c>
      <c r="L2251">
        <v>34</v>
      </c>
      <c r="M2251">
        <v>1.03</v>
      </c>
      <c r="N2251">
        <v>1.03</v>
      </c>
      <c r="O2251">
        <v>0</v>
      </c>
      <c r="P2251">
        <v>0</v>
      </c>
      <c r="Q2251" t="s">
        <v>108</v>
      </c>
    </row>
    <row r="2252" spans="1:17">
      <c r="A2252" t="s">
        <v>93</v>
      </c>
      <c r="B2252" t="s">
        <v>106</v>
      </c>
      <c r="C2252" t="s">
        <v>56</v>
      </c>
      <c r="D2252" t="s">
        <v>2035</v>
      </c>
      <c r="E2252">
        <v>24</v>
      </c>
      <c r="F2252" t="str">
        <f>VLOOKUP(E2252,[1]LOJA!$A:$B,2,0)</f>
        <v>LUZIÂNIA</v>
      </c>
      <c r="G2252" t="s">
        <v>19</v>
      </c>
      <c r="H2252" t="s">
        <v>19</v>
      </c>
      <c r="I2252" s="1">
        <v>46031</v>
      </c>
      <c r="J2252" s="1">
        <v>46031</v>
      </c>
      <c r="K2252" s="1">
        <v>46031</v>
      </c>
      <c r="L2252">
        <v>34</v>
      </c>
      <c r="M2252">
        <v>2.0699999999999998</v>
      </c>
      <c r="N2252">
        <v>2.0699999999999998</v>
      </c>
      <c r="O2252">
        <v>0</v>
      </c>
      <c r="P2252">
        <v>0</v>
      </c>
      <c r="Q2252" t="s">
        <v>108</v>
      </c>
    </row>
    <row r="2253" spans="1:17">
      <c r="A2253" t="s">
        <v>93</v>
      </c>
      <c r="B2253" t="s">
        <v>106</v>
      </c>
      <c r="C2253" t="s">
        <v>56</v>
      </c>
      <c r="D2253" t="s">
        <v>2036</v>
      </c>
      <c r="E2253">
        <v>24</v>
      </c>
      <c r="F2253" t="str">
        <f>VLOOKUP(E2253,[1]LOJA!$A:$B,2,0)</f>
        <v>LUZIÂNIA</v>
      </c>
      <c r="G2253" t="s">
        <v>19</v>
      </c>
      <c r="H2253" t="s">
        <v>19</v>
      </c>
      <c r="I2253" s="1">
        <v>46031</v>
      </c>
      <c r="J2253" s="1">
        <v>46031</v>
      </c>
      <c r="K2253" s="1">
        <v>46031</v>
      </c>
      <c r="L2253">
        <v>34</v>
      </c>
      <c r="M2253">
        <v>0.82</v>
      </c>
      <c r="N2253">
        <v>0.82</v>
      </c>
      <c r="O2253">
        <v>0</v>
      </c>
      <c r="P2253">
        <v>0</v>
      </c>
      <c r="Q2253" t="s">
        <v>108</v>
      </c>
    </row>
    <row r="2254" spans="1:17">
      <c r="A2254" t="s">
        <v>93</v>
      </c>
      <c r="B2254" t="s">
        <v>106</v>
      </c>
      <c r="C2254" t="s">
        <v>56</v>
      </c>
      <c r="D2254" t="s">
        <v>2037</v>
      </c>
      <c r="E2254">
        <v>24</v>
      </c>
      <c r="F2254" t="str">
        <f>VLOOKUP(E2254,[1]LOJA!$A:$B,2,0)</f>
        <v>LUZIÂNIA</v>
      </c>
      <c r="G2254" t="s">
        <v>19</v>
      </c>
      <c r="H2254" t="s">
        <v>19</v>
      </c>
      <c r="I2254" s="1">
        <v>46031</v>
      </c>
      <c r="J2254" s="1">
        <v>46031</v>
      </c>
      <c r="K2254" s="1">
        <v>46031</v>
      </c>
      <c r="L2254">
        <v>34</v>
      </c>
      <c r="M2254">
        <v>1.74</v>
      </c>
      <c r="N2254">
        <v>1.74</v>
      </c>
      <c r="O2254">
        <v>0</v>
      </c>
      <c r="P2254">
        <v>0</v>
      </c>
      <c r="Q2254" t="s">
        <v>108</v>
      </c>
    </row>
    <row r="2255" spans="1:17">
      <c r="A2255" t="s">
        <v>93</v>
      </c>
      <c r="B2255" t="s">
        <v>106</v>
      </c>
      <c r="C2255" t="s">
        <v>56</v>
      </c>
      <c r="D2255" t="s">
        <v>2038</v>
      </c>
      <c r="E2255">
        <v>24</v>
      </c>
      <c r="F2255" t="str">
        <f>VLOOKUP(E2255,[1]LOJA!$A:$B,2,0)</f>
        <v>LUZIÂNIA</v>
      </c>
      <c r="G2255" t="s">
        <v>19</v>
      </c>
      <c r="H2255" t="s">
        <v>19</v>
      </c>
      <c r="I2255" s="1">
        <v>46031</v>
      </c>
      <c r="J2255" s="1">
        <v>46031</v>
      </c>
      <c r="K2255" s="1">
        <v>46031</v>
      </c>
      <c r="L2255">
        <v>34</v>
      </c>
      <c r="M2255">
        <v>0.14000000000000001</v>
      </c>
      <c r="N2255">
        <v>0.14000000000000001</v>
      </c>
      <c r="O2255">
        <v>0</v>
      </c>
      <c r="P2255">
        <v>0</v>
      </c>
      <c r="Q2255" t="s">
        <v>108</v>
      </c>
    </row>
    <row r="2256" spans="1:17">
      <c r="A2256" t="s">
        <v>93</v>
      </c>
      <c r="B2256" t="s">
        <v>106</v>
      </c>
      <c r="C2256" t="s">
        <v>56</v>
      </c>
      <c r="D2256" t="s">
        <v>2039</v>
      </c>
      <c r="E2256">
        <v>24</v>
      </c>
      <c r="F2256" t="str">
        <f>VLOOKUP(E2256,[1]LOJA!$A:$B,2,0)</f>
        <v>LUZIÂNIA</v>
      </c>
      <c r="G2256" t="s">
        <v>19</v>
      </c>
      <c r="H2256" t="s">
        <v>19</v>
      </c>
      <c r="I2256" s="1">
        <v>46031</v>
      </c>
      <c r="J2256" s="1">
        <v>46031</v>
      </c>
      <c r="K2256" s="1">
        <v>46031</v>
      </c>
      <c r="L2256">
        <v>34</v>
      </c>
      <c r="M2256">
        <v>13.4</v>
      </c>
      <c r="N2256">
        <v>13.4</v>
      </c>
      <c r="O2256">
        <v>0</v>
      </c>
      <c r="P2256">
        <v>0</v>
      </c>
      <c r="Q2256" t="s">
        <v>108</v>
      </c>
    </row>
    <row r="2257" spans="1:17">
      <c r="A2257" t="s">
        <v>93</v>
      </c>
      <c r="B2257" t="s">
        <v>106</v>
      </c>
      <c r="C2257" t="s">
        <v>56</v>
      </c>
      <c r="D2257" t="s">
        <v>2040</v>
      </c>
      <c r="E2257">
        <v>24</v>
      </c>
      <c r="F2257" t="str">
        <f>VLOOKUP(E2257,[1]LOJA!$A:$B,2,0)</f>
        <v>LUZIÂNIA</v>
      </c>
      <c r="G2257" t="s">
        <v>19</v>
      </c>
      <c r="H2257" t="s">
        <v>19</v>
      </c>
      <c r="I2257" s="1">
        <v>46031</v>
      </c>
      <c r="J2257" s="1">
        <v>46031</v>
      </c>
      <c r="K2257" s="1">
        <v>46031</v>
      </c>
      <c r="L2257">
        <v>34</v>
      </c>
      <c r="M2257">
        <v>0.17</v>
      </c>
      <c r="N2257">
        <v>0.17</v>
      </c>
      <c r="O2257">
        <v>0</v>
      </c>
      <c r="P2257">
        <v>0</v>
      </c>
      <c r="Q2257" t="s">
        <v>108</v>
      </c>
    </row>
    <row r="2258" spans="1:17">
      <c r="A2258" t="s">
        <v>93</v>
      </c>
      <c r="B2258" t="s">
        <v>106</v>
      </c>
      <c r="C2258" t="s">
        <v>56</v>
      </c>
      <c r="D2258" t="s">
        <v>2041</v>
      </c>
      <c r="E2258">
        <v>24</v>
      </c>
      <c r="F2258" t="str">
        <f>VLOOKUP(E2258,[1]LOJA!$A:$B,2,0)</f>
        <v>LUZIÂNIA</v>
      </c>
      <c r="G2258" t="s">
        <v>19</v>
      </c>
      <c r="H2258" t="s">
        <v>19</v>
      </c>
      <c r="I2258" s="1">
        <v>46031</v>
      </c>
      <c r="J2258" s="1">
        <v>46031</v>
      </c>
      <c r="K2258" s="1">
        <v>46031</v>
      </c>
      <c r="L2258">
        <v>34</v>
      </c>
      <c r="M2258">
        <v>0.03</v>
      </c>
      <c r="N2258">
        <v>0.03</v>
      </c>
      <c r="O2258">
        <v>0</v>
      </c>
      <c r="P2258">
        <v>0</v>
      </c>
      <c r="Q2258" t="s">
        <v>108</v>
      </c>
    </row>
    <row r="2259" spans="1:17">
      <c r="A2259" t="s">
        <v>93</v>
      </c>
      <c r="B2259" t="s">
        <v>106</v>
      </c>
      <c r="C2259" t="s">
        <v>56</v>
      </c>
      <c r="D2259" t="s">
        <v>2042</v>
      </c>
      <c r="E2259">
        <v>24</v>
      </c>
      <c r="F2259" t="str">
        <f>VLOOKUP(E2259,[1]LOJA!$A:$B,2,0)</f>
        <v>LUZIÂNIA</v>
      </c>
      <c r="G2259" t="s">
        <v>19</v>
      </c>
      <c r="H2259" t="s">
        <v>19</v>
      </c>
      <c r="I2259" s="1">
        <v>46031</v>
      </c>
      <c r="J2259" s="1">
        <v>46031</v>
      </c>
      <c r="K2259" s="1">
        <v>46031</v>
      </c>
      <c r="L2259">
        <v>34</v>
      </c>
      <c r="M2259">
        <v>0.27</v>
      </c>
      <c r="N2259">
        <v>0.27</v>
      </c>
      <c r="O2259">
        <v>0</v>
      </c>
      <c r="P2259">
        <v>0</v>
      </c>
      <c r="Q2259" t="s">
        <v>108</v>
      </c>
    </row>
    <row r="2260" spans="1:17">
      <c r="A2260" t="s">
        <v>93</v>
      </c>
      <c r="B2260" t="s">
        <v>106</v>
      </c>
      <c r="C2260" t="s">
        <v>56</v>
      </c>
      <c r="D2260" t="s">
        <v>2043</v>
      </c>
      <c r="E2260">
        <v>24</v>
      </c>
      <c r="F2260" t="str">
        <f>VLOOKUP(E2260,[1]LOJA!$A:$B,2,0)</f>
        <v>LUZIÂNIA</v>
      </c>
      <c r="G2260" t="s">
        <v>19</v>
      </c>
      <c r="H2260" t="s">
        <v>19</v>
      </c>
      <c r="I2260" s="1">
        <v>46031</v>
      </c>
      <c r="J2260" s="1">
        <v>46031</v>
      </c>
      <c r="K2260" s="1">
        <v>46031</v>
      </c>
      <c r="L2260">
        <v>34</v>
      </c>
      <c r="M2260">
        <v>1.66</v>
      </c>
      <c r="N2260">
        <v>1.66</v>
      </c>
      <c r="O2260">
        <v>0</v>
      </c>
      <c r="P2260">
        <v>0</v>
      </c>
      <c r="Q2260" t="s">
        <v>108</v>
      </c>
    </row>
    <row r="2261" spans="1:17">
      <c r="A2261" t="s">
        <v>93</v>
      </c>
      <c r="B2261" t="s">
        <v>106</v>
      </c>
      <c r="C2261" t="s">
        <v>56</v>
      </c>
      <c r="D2261" t="s">
        <v>2044</v>
      </c>
      <c r="E2261">
        <v>24</v>
      </c>
      <c r="F2261" t="str">
        <f>VLOOKUP(E2261,[1]LOJA!$A:$B,2,0)</f>
        <v>LUZIÂNIA</v>
      </c>
      <c r="G2261" t="s">
        <v>19</v>
      </c>
      <c r="H2261" t="s">
        <v>19</v>
      </c>
      <c r="I2261" s="1">
        <v>46031</v>
      </c>
      <c r="J2261" s="1">
        <v>46031</v>
      </c>
      <c r="K2261" s="1">
        <v>46031</v>
      </c>
      <c r="L2261">
        <v>34</v>
      </c>
      <c r="M2261">
        <v>0.77</v>
      </c>
      <c r="N2261">
        <v>0.77</v>
      </c>
      <c r="O2261">
        <v>0</v>
      </c>
      <c r="P2261">
        <v>0</v>
      </c>
      <c r="Q2261" t="s">
        <v>108</v>
      </c>
    </row>
    <row r="2262" spans="1:17">
      <c r="A2262" t="s">
        <v>93</v>
      </c>
      <c r="B2262" t="s">
        <v>106</v>
      </c>
      <c r="C2262" t="s">
        <v>56</v>
      </c>
      <c r="D2262" t="s">
        <v>2045</v>
      </c>
      <c r="E2262">
        <v>24</v>
      </c>
      <c r="F2262" t="str">
        <f>VLOOKUP(E2262,[1]LOJA!$A:$B,2,0)</f>
        <v>LUZIÂNIA</v>
      </c>
      <c r="G2262" t="s">
        <v>19</v>
      </c>
      <c r="H2262" t="s">
        <v>19</v>
      </c>
      <c r="I2262" s="1">
        <v>46031</v>
      </c>
      <c r="J2262" s="1">
        <v>46031</v>
      </c>
      <c r="K2262" s="1">
        <v>46031</v>
      </c>
      <c r="L2262">
        <v>34</v>
      </c>
      <c r="M2262">
        <v>7.35</v>
      </c>
      <c r="N2262">
        <v>7.35</v>
      </c>
      <c r="O2262">
        <v>0</v>
      </c>
      <c r="P2262">
        <v>0</v>
      </c>
      <c r="Q2262" t="s">
        <v>108</v>
      </c>
    </row>
    <row r="2263" spans="1:17">
      <c r="A2263" t="s">
        <v>93</v>
      </c>
      <c r="B2263" t="s">
        <v>106</v>
      </c>
      <c r="C2263" t="s">
        <v>56</v>
      </c>
      <c r="D2263" t="s">
        <v>2046</v>
      </c>
      <c r="E2263">
        <v>24</v>
      </c>
      <c r="F2263" t="str">
        <f>VLOOKUP(E2263,[1]LOJA!$A:$B,2,0)</f>
        <v>LUZIÂNIA</v>
      </c>
      <c r="G2263" t="s">
        <v>19</v>
      </c>
      <c r="H2263" t="s">
        <v>19</v>
      </c>
      <c r="I2263" s="1">
        <v>46034</v>
      </c>
      <c r="J2263" s="1">
        <v>46034</v>
      </c>
      <c r="K2263" s="1">
        <v>46034</v>
      </c>
      <c r="L2263">
        <v>34</v>
      </c>
      <c r="M2263">
        <v>3.65</v>
      </c>
      <c r="N2263">
        <v>3.65</v>
      </c>
      <c r="O2263">
        <v>0</v>
      </c>
      <c r="P2263">
        <v>0</v>
      </c>
      <c r="Q2263" t="s">
        <v>108</v>
      </c>
    </row>
    <row r="2264" spans="1:17">
      <c r="A2264" t="s">
        <v>93</v>
      </c>
      <c r="B2264" t="s">
        <v>106</v>
      </c>
      <c r="C2264" t="s">
        <v>56</v>
      </c>
      <c r="D2264" t="s">
        <v>2047</v>
      </c>
      <c r="E2264">
        <v>24</v>
      </c>
      <c r="F2264" t="str">
        <f>VLOOKUP(E2264,[1]LOJA!$A:$B,2,0)</f>
        <v>LUZIÂNIA</v>
      </c>
      <c r="G2264" t="s">
        <v>19</v>
      </c>
      <c r="H2264" t="s">
        <v>19</v>
      </c>
      <c r="I2264" s="1">
        <v>46034</v>
      </c>
      <c r="J2264" s="1">
        <v>46034</v>
      </c>
      <c r="K2264" s="1">
        <v>46034</v>
      </c>
      <c r="L2264">
        <v>34</v>
      </c>
      <c r="M2264">
        <v>27.38</v>
      </c>
      <c r="N2264">
        <v>27.38</v>
      </c>
      <c r="O2264">
        <v>0</v>
      </c>
      <c r="P2264">
        <v>0</v>
      </c>
      <c r="Q2264" t="s">
        <v>108</v>
      </c>
    </row>
    <row r="2265" spans="1:17">
      <c r="A2265" t="s">
        <v>93</v>
      </c>
      <c r="B2265" t="s">
        <v>106</v>
      </c>
      <c r="C2265" t="s">
        <v>56</v>
      </c>
      <c r="D2265" t="s">
        <v>2048</v>
      </c>
      <c r="E2265">
        <v>24</v>
      </c>
      <c r="F2265" t="str">
        <f>VLOOKUP(E2265,[1]LOJA!$A:$B,2,0)</f>
        <v>LUZIÂNIA</v>
      </c>
      <c r="G2265" t="s">
        <v>19</v>
      </c>
      <c r="H2265" t="s">
        <v>19</v>
      </c>
      <c r="I2265" s="1">
        <v>46034</v>
      </c>
      <c r="J2265" s="1">
        <v>46034</v>
      </c>
      <c r="K2265" s="1">
        <v>46034</v>
      </c>
      <c r="L2265">
        <v>34</v>
      </c>
      <c r="M2265">
        <v>3.3</v>
      </c>
      <c r="N2265">
        <v>3.3</v>
      </c>
      <c r="O2265">
        <v>0</v>
      </c>
      <c r="P2265">
        <v>0</v>
      </c>
      <c r="Q2265" t="s">
        <v>108</v>
      </c>
    </row>
    <row r="2266" spans="1:17">
      <c r="A2266" t="s">
        <v>93</v>
      </c>
      <c r="B2266" t="s">
        <v>106</v>
      </c>
      <c r="C2266" t="s">
        <v>56</v>
      </c>
      <c r="D2266" t="s">
        <v>2049</v>
      </c>
      <c r="E2266">
        <v>24</v>
      </c>
      <c r="F2266" t="str">
        <f>VLOOKUP(E2266,[1]LOJA!$A:$B,2,0)</f>
        <v>LUZIÂNIA</v>
      </c>
      <c r="G2266" t="s">
        <v>19</v>
      </c>
      <c r="H2266" t="s">
        <v>19</v>
      </c>
      <c r="I2266" s="1">
        <v>46034</v>
      </c>
      <c r="J2266" s="1">
        <v>46034</v>
      </c>
      <c r="K2266" s="1">
        <v>46034</v>
      </c>
      <c r="L2266">
        <v>34</v>
      </c>
      <c r="M2266">
        <v>4.49</v>
      </c>
      <c r="N2266">
        <v>4.49</v>
      </c>
      <c r="O2266">
        <v>0</v>
      </c>
      <c r="P2266">
        <v>0</v>
      </c>
      <c r="Q2266" t="s">
        <v>108</v>
      </c>
    </row>
    <row r="2267" spans="1:17">
      <c r="A2267" t="s">
        <v>93</v>
      </c>
      <c r="B2267" t="s">
        <v>106</v>
      </c>
      <c r="C2267" t="s">
        <v>56</v>
      </c>
      <c r="D2267" t="s">
        <v>2050</v>
      </c>
      <c r="E2267">
        <v>24</v>
      </c>
      <c r="F2267" t="str">
        <f>VLOOKUP(E2267,[1]LOJA!$A:$B,2,0)</f>
        <v>LUZIÂNIA</v>
      </c>
      <c r="G2267" t="s">
        <v>19</v>
      </c>
      <c r="H2267" t="s">
        <v>19</v>
      </c>
      <c r="I2267" s="1">
        <v>46034</v>
      </c>
      <c r="J2267" s="1">
        <v>46033</v>
      </c>
      <c r="K2267" s="1">
        <v>46034</v>
      </c>
      <c r="L2267">
        <v>34</v>
      </c>
      <c r="M2267">
        <v>3.6</v>
      </c>
      <c r="N2267">
        <v>3.6</v>
      </c>
      <c r="O2267">
        <v>0</v>
      </c>
      <c r="P2267">
        <v>0</v>
      </c>
      <c r="Q2267" t="s">
        <v>108</v>
      </c>
    </row>
    <row r="2268" spans="1:17">
      <c r="A2268" t="s">
        <v>93</v>
      </c>
      <c r="B2268" t="s">
        <v>106</v>
      </c>
      <c r="C2268" t="s">
        <v>56</v>
      </c>
      <c r="D2268" t="s">
        <v>2051</v>
      </c>
      <c r="E2268">
        <v>24</v>
      </c>
      <c r="F2268" t="str">
        <f>VLOOKUP(E2268,[1]LOJA!$A:$B,2,0)</f>
        <v>LUZIÂNIA</v>
      </c>
      <c r="G2268" t="s">
        <v>19</v>
      </c>
      <c r="H2268" t="s">
        <v>19</v>
      </c>
      <c r="I2268" s="1">
        <v>46034</v>
      </c>
      <c r="J2268" s="1">
        <v>46033</v>
      </c>
      <c r="K2268" s="1">
        <v>46034</v>
      </c>
      <c r="L2268">
        <v>34</v>
      </c>
      <c r="M2268">
        <v>13.69</v>
      </c>
      <c r="N2268">
        <v>13.69</v>
      </c>
      <c r="O2268">
        <v>0</v>
      </c>
      <c r="P2268">
        <v>0</v>
      </c>
      <c r="Q2268" t="s">
        <v>108</v>
      </c>
    </row>
    <row r="2269" spans="1:17">
      <c r="A2269" t="s">
        <v>93</v>
      </c>
      <c r="B2269" t="s">
        <v>106</v>
      </c>
      <c r="C2269" t="s">
        <v>56</v>
      </c>
      <c r="D2269" t="s">
        <v>2052</v>
      </c>
      <c r="E2269">
        <v>24</v>
      </c>
      <c r="F2269" t="str">
        <f>VLOOKUP(E2269,[1]LOJA!$A:$B,2,0)</f>
        <v>LUZIÂNIA</v>
      </c>
      <c r="G2269" t="s">
        <v>19</v>
      </c>
      <c r="H2269" t="s">
        <v>19</v>
      </c>
      <c r="I2269" s="1">
        <v>46034</v>
      </c>
      <c r="J2269" s="1">
        <v>46033</v>
      </c>
      <c r="K2269" s="1">
        <v>46034</v>
      </c>
      <c r="L2269">
        <v>34</v>
      </c>
      <c r="M2269">
        <v>3.29</v>
      </c>
      <c r="N2269">
        <v>3.29</v>
      </c>
      <c r="O2269">
        <v>0</v>
      </c>
      <c r="P2269">
        <v>0</v>
      </c>
      <c r="Q2269" t="s">
        <v>108</v>
      </c>
    </row>
    <row r="2270" spans="1:17">
      <c r="A2270" t="s">
        <v>93</v>
      </c>
      <c r="B2270" t="s">
        <v>106</v>
      </c>
      <c r="C2270" t="s">
        <v>56</v>
      </c>
      <c r="D2270" t="s">
        <v>2053</v>
      </c>
      <c r="E2270">
        <v>24</v>
      </c>
      <c r="F2270" t="str">
        <f>VLOOKUP(E2270,[1]LOJA!$A:$B,2,0)</f>
        <v>LUZIÂNIA</v>
      </c>
      <c r="G2270" t="s">
        <v>19</v>
      </c>
      <c r="H2270" t="s">
        <v>19</v>
      </c>
      <c r="I2270" s="1">
        <v>46034</v>
      </c>
      <c r="J2270" s="1">
        <v>46034</v>
      </c>
      <c r="K2270" s="1">
        <v>46034</v>
      </c>
      <c r="L2270">
        <v>34</v>
      </c>
      <c r="M2270">
        <v>10.95</v>
      </c>
      <c r="N2270">
        <v>10.95</v>
      </c>
      <c r="O2270">
        <v>0</v>
      </c>
      <c r="P2270">
        <v>0</v>
      </c>
      <c r="Q2270" t="s">
        <v>108</v>
      </c>
    </row>
    <row r="2271" spans="1:17">
      <c r="A2271" t="s">
        <v>93</v>
      </c>
      <c r="B2271" t="s">
        <v>106</v>
      </c>
      <c r="C2271" t="s">
        <v>56</v>
      </c>
      <c r="D2271" t="s">
        <v>2054</v>
      </c>
      <c r="E2271">
        <v>24</v>
      </c>
      <c r="F2271" t="str">
        <f>VLOOKUP(E2271,[1]LOJA!$A:$B,2,0)</f>
        <v>LUZIÂNIA</v>
      </c>
      <c r="G2271" t="s">
        <v>19</v>
      </c>
      <c r="H2271" t="s">
        <v>19</v>
      </c>
      <c r="I2271" s="1">
        <v>46034</v>
      </c>
      <c r="J2271" s="1">
        <v>46034</v>
      </c>
      <c r="K2271" s="1">
        <v>46034</v>
      </c>
      <c r="L2271">
        <v>34</v>
      </c>
      <c r="M2271">
        <v>13.98</v>
      </c>
      <c r="N2271">
        <v>13.98</v>
      </c>
      <c r="O2271">
        <v>0</v>
      </c>
      <c r="P2271">
        <v>0</v>
      </c>
      <c r="Q2271" t="s">
        <v>108</v>
      </c>
    </row>
    <row r="2272" spans="1:17">
      <c r="A2272" t="s">
        <v>93</v>
      </c>
      <c r="B2272" t="s">
        <v>106</v>
      </c>
      <c r="C2272" t="s">
        <v>56</v>
      </c>
      <c r="D2272" t="s">
        <v>2055</v>
      </c>
      <c r="E2272">
        <v>24</v>
      </c>
      <c r="F2272" t="str">
        <f>VLOOKUP(E2272,[1]LOJA!$A:$B,2,0)</f>
        <v>LUZIÂNIA</v>
      </c>
      <c r="G2272" t="s">
        <v>19</v>
      </c>
      <c r="H2272" t="s">
        <v>19</v>
      </c>
      <c r="I2272" s="1">
        <v>46034</v>
      </c>
      <c r="J2272" s="1">
        <v>46034</v>
      </c>
      <c r="K2272" s="1">
        <v>46034</v>
      </c>
      <c r="L2272">
        <v>34</v>
      </c>
      <c r="M2272">
        <v>2.4500000000000002</v>
      </c>
      <c r="N2272">
        <v>2.4500000000000002</v>
      </c>
      <c r="O2272">
        <v>0</v>
      </c>
      <c r="P2272">
        <v>0</v>
      </c>
      <c r="Q2272" t="s">
        <v>108</v>
      </c>
    </row>
    <row r="2273" spans="1:17">
      <c r="A2273" t="s">
        <v>93</v>
      </c>
      <c r="B2273" t="s">
        <v>106</v>
      </c>
      <c r="C2273" t="s">
        <v>56</v>
      </c>
      <c r="D2273" t="s">
        <v>2056</v>
      </c>
      <c r="E2273">
        <v>24</v>
      </c>
      <c r="F2273" t="str">
        <f>VLOOKUP(E2273,[1]LOJA!$A:$B,2,0)</f>
        <v>LUZIÂNIA</v>
      </c>
      <c r="G2273" t="s">
        <v>19</v>
      </c>
      <c r="H2273" t="s">
        <v>19</v>
      </c>
      <c r="I2273" s="1">
        <v>46034</v>
      </c>
      <c r="J2273" s="1">
        <v>46032</v>
      </c>
      <c r="K2273" s="1">
        <v>46034</v>
      </c>
      <c r="L2273">
        <v>34</v>
      </c>
      <c r="M2273">
        <v>1.82</v>
      </c>
      <c r="N2273">
        <v>1.82</v>
      </c>
      <c r="O2273">
        <v>0</v>
      </c>
      <c r="P2273">
        <v>0</v>
      </c>
      <c r="Q2273" t="s">
        <v>108</v>
      </c>
    </row>
    <row r="2274" spans="1:17">
      <c r="A2274" t="s">
        <v>93</v>
      </c>
      <c r="B2274" t="s">
        <v>106</v>
      </c>
      <c r="C2274" t="s">
        <v>56</v>
      </c>
      <c r="D2274" t="s">
        <v>2057</v>
      </c>
      <c r="E2274">
        <v>24</v>
      </c>
      <c r="F2274" t="str">
        <f>VLOOKUP(E2274,[1]LOJA!$A:$B,2,0)</f>
        <v>LUZIÂNIA</v>
      </c>
      <c r="G2274" t="s">
        <v>19</v>
      </c>
      <c r="H2274" t="s">
        <v>19</v>
      </c>
      <c r="I2274" s="1">
        <v>46034</v>
      </c>
      <c r="J2274" s="1">
        <v>46032</v>
      </c>
      <c r="K2274" s="1">
        <v>46034</v>
      </c>
      <c r="L2274">
        <v>34</v>
      </c>
      <c r="M2274">
        <v>4.55</v>
      </c>
      <c r="N2274">
        <v>4.55</v>
      </c>
      <c r="O2274">
        <v>0</v>
      </c>
      <c r="P2274">
        <v>0</v>
      </c>
      <c r="Q2274" t="s">
        <v>108</v>
      </c>
    </row>
    <row r="2275" spans="1:17">
      <c r="A2275" t="s">
        <v>93</v>
      </c>
      <c r="B2275" t="s">
        <v>106</v>
      </c>
      <c r="C2275" t="s">
        <v>56</v>
      </c>
      <c r="D2275" t="s">
        <v>2058</v>
      </c>
      <c r="E2275">
        <v>24</v>
      </c>
      <c r="F2275" t="str">
        <f>VLOOKUP(E2275,[1]LOJA!$A:$B,2,0)</f>
        <v>LUZIÂNIA</v>
      </c>
      <c r="G2275" t="s">
        <v>19</v>
      </c>
      <c r="H2275" t="s">
        <v>19</v>
      </c>
      <c r="I2275" s="1">
        <v>46034</v>
      </c>
      <c r="J2275" s="1">
        <v>46032</v>
      </c>
      <c r="K2275" s="1">
        <v>46034</v>
      </c>
      <c r="L2275">
        <v>34</v>
      </c>
      <c r="M2275">
        <v>1.75</v>
      </c>
      <c r="N2275">
        <v>1.75</v>
      </c>
      <c r="O2275">
        <v>0</v>
      </c>
      <c r="P2275">
        <v>0</v>
      </c>
      <c r="Q2275" t="s">
        <v>108</v>
      </c>
    </row>
    <row r="2276" spans="1:17">
      <c r="A2276" t="s">
        <v>93</v>
      </c>
      <c r="B2276" t="s">
        <v>106</v>
      </c>
      <c r="C2276" t="s">
        <v>56</v>
      </c>
      <c r="D2276" t="s">
        <v>2059</v>
      </c>
      <c r="E2276">
        <v>24</v>
      </c>
      <c r="F2276" t="str">
        <f>VLOOKUP(E2276,[1]LOJA!$A:$B,2,0)</f>
        <v>LUZIÂNIA</v>
      </c>
      <c r="G2276" t="s">
        <v>19</v>
      </c>
      <c r="H2276" t="s">
        <v>19</v>
      </c>
      <c r="I2276" s="1">
        <v>46034</v>
      </c>
      <c r="J2276" s="1">
        <v>46032</v>
      </c>
      <c r="K2276" s="1">
        <v>46034</v>
      </c>
      <c r="L2276">
        <v>34</v>
      </c>
      <c r="M2276">
        <v>3.5</v>
      </c>
      <c r="N2276">
        <v>3.5</v>
      </c>
      <c r="O2276">
        <v>0</v>
      </c>
      <c r="P2276">
        <v>0</v>
      </c>
      <c r="Q2276" t="s">
        <v>108</v>
      </c>
    </row>
    <row r="2277" spans="1:17">
      <c r="A2277" t="s">
        <v>93</v>
      </c>
      <c r="B2277" t="s">
        <v>106</v>
      </c>
      <c r="C2277" t="s">
        <v>56</v>
      </c>
      <c r="D2277" t="s">
        <v>2060</v>
      </c>
      <c r="E2277">
        <v>24</v>
      </c>
      <c r="F2277" t="str">
        <f>VLOOKUP(E2277,[1]LOJA!$A:$B,2,0)</f>
        <v>LUZIÂNIA</v>
      </c>
      <c r="G2277" t="s">
        <v>19</v>
      </c>
      <c r="H2277" t="s">
        <v>19</v>
      </c>
      <c r="I2277" s="1">
        <v>46034</v>
      </c>
      <c r="J2277" s="1">
        <v>46032</v>
      </c>
      <c r="K2277" s="1">
        <v>46034</v>
      </c>
      <c r="L2277">
        <v>34</v>
      </c>
      <c r="M2277">
        <v>0.61</v>
      </c>
      <c r="N2277">
        <v>0.61</v>
      </c>
      <c r="O2277">
        <v>0</v>
      </c>
      <c r="P2277">
        <v>0</v>
      </c>
      <c r="Q2277" t="s">
        <v>108</v>
      </c>
    </row>
    <row r="2278" spans="1:17">
      <c r="A2278" t="s">
        <v>93</v>
      </c>
      <c r="B2278" t="s">
        <v>106</v>
      </c>
      <c r="C2278" t="s">
        <v>56</v>
      </c>
      <c r="D2278" t="s">
        <v>2061</v>
      </c>
      <c r="E2278">
        <v>24</v>
      </c>
      <c r="F2278" t="str">
        <f>VLOOKUP(E2278,[1]LOJA!$A:$B,2,0)</f>
        <v>LUZIÂNIA</v>
      </c>
      <c r="G2278" t="s">
        <v>19</v>
      </c>
      <c r="H2278" t="s">
        <v>19</v>
      </c>
      <c r="I2278" s="1">
        <v>46034</v>
      </c>
      <c r="J2278" s="1">
        <v>46033</v>
      </c>
      <c r="K2278" s="1">
        <v>46034</v>
      </c>
      <c r="L2278">
        <v>34</v>
      </c>
      <c r="M2278">
        <v>1.75</v>
      </c>
      <c r="N2278">
        <v>1.75</v>
      </c>
      <c r="O2278">
        <v>0</v>
      </c>
      <c r="P2278">
        <v>0</v>
      </c>
      <c r="Q2278" t="s">
        <v>108</v>
      </c>
    </row>
    <row r="2279" spans="1:17">
      <c r="A2279" t="s">
        <v>93</v>
      </c>
      <c r="B2279" t="s">
        <v>106</v>
      </c>
      <c r="C2279" t="s">
        <v>56</v>
      </c>
      <c r="D2279" t="s">
        <v>2062</v>
      </c>
      <c r="E2279">
        <v>24</v>
      </c>
      <c r="F2279" t="str">
        <f>VLOOKUP(E2279,[1]LOJA!$A:$B,2,0)</f>
        <v>LUZIÂNIA</v>
      </c>
      <c r="G2279" t="s">
        <v>19</v>
      </c>
      <c r="H2279" t="s">
        <v>19</v>
      </c>
      <c r="I2279" s="1">
        <v>46034</v>
      </c>
      <c r="J2279" s="1">
        <v>46033</v>
      </c>
      <c r="K2279" s="1">
        <v>46034</v>
      </c>
      <c r="L2279">
        <v>34</v>
      </c>
      <c r="M2279">
        <v>2.59</v>
      </c>
      <c r="N2279">
        <v>2.59</v>
      </c>
      <c r="O2279">
        <v>0</v>
      </c>
      <c r="P2279">
        <v>0</v>
      </c>
      <c r="Q2279" t="s">
        <v>108</v>
      </c>
    </row>
    <row r="2280" spans="1:17">
      <c r="A2280" t="s">
        <v>93</v>
      </c>
      <c r="B2280" t="s">
        <v>106</v>
      </c>
      <c r="C2280" t="s">
        <v>56</v>
      </c>
      <c r="D2280" t="s">
        <v>2063</v>
      </c>
      <c r="E2280">
        <v>24</v>
      </c>
      <c r="F2280" t="str">
        <f>VLOOKUP(E2280,[1]LOJA!$A:$B,2,0)</f>
        <v>LUZIÂNIA</v>
      </c>
      <c r="G2280" t="s">
        <v>19</v>
      </c>
      <c r="H2280" t="s">
        <v>19</v>
      </c>
      <c r="I2280" s="1">
        <v>46034</v>
      </c>
      <c r="J2280" s="1">
        <v>46033</v>
      </c>
      <c r="K2280" s="1">
        <v>46034</v>
      </c>
      <c r="L2280">
        <v>34</v>
      </c>
      <c r="M2280">
        <v>2.19</v>
      </c>
      <c r="N2280">
        <v>2.19</v>
      </c>
      <c r="O2280">
        <v>0</v>
      </c>
      <c r="P2280">
        <v>0</v>
      </c>
      <c r="Q2280" t="s">
        <v>108</v>
      </c>
    </row>
    <row r="2281" spans="1:17">
      <c r="A2281" t="s">
        <v>93</v>
      </c>
      <c r="B2281" t="s">
        <v>106</v>
      </c>
      <c r="C2281" t="s">
        <v>56</v>
      </c>
      <c r="D2281" t="s">
        <v>2064</v>
      </c>
      <c r="E2281">
        <v>24</v>
      </c>
      <c r="F2281" t="str">
        <f>VLOOKUP(E2281,[1]LOJA!$A:$B,2,0)</f>
        <v>LUZIÂNIA</v>
      </c>
      <c r="G2281" t="s">
        <v>19</v>
      </c>
      <c r="H2281" t="s">
        <v>19</v>
      </c>
      <c r="I2281" s="1">
        <v>46034</v>
      </c>
      <c r="J2281" s="1">
        <v>46033</v>
      </c>
      <c r="K2281" s="1">
        <v>46034</v>
      </c>
      <c r="L2281">
        <v>34</v>
      </c>
      <c r="M2281">
        <v>2.4700000000000002</v>
      </c>
      <c r="N2281">
        <v>2.4700000000000002</v>
      </c>
      <c r="O2281">
        <v>0</v>
      </c>
      <c r="P2281">
        <v>0</v>
      </c>
      <c r="Q2281" t="s">
        <v>108</v>
      </c>
    </row>
    <row r="2282" spans="1:17">
      <c r="A2282" t="s">
        <v>93</v>
      </c>
      <c r="B2282" t="s">
        <v>106</v>
      </c>
      <c r="C2282" t="s">
        <v>56</v>
      </c>
      <c r="D2282" t="s">
        <v>2065</v>
      </c>
      <c r="E2282">
        <v>24</v>
      </c>
      <c r="F2282" t="str">
        <f>VLOOKUP(E2282,[1]LOJA!$A:$B,2,0)</f>
        <v>LUZIÂNIA</v>
      </c>
      <c r="G2282" t="s">
        <v>19</v>
      </c>
      <c r="H2282" t="s">
        <v>19</v>
      </c>
      <c r="I2282" s="1">
        <v>46034</v>
      </c>
      <c r="J2282" s="1">
        <v>46033</v>
      </c>
      <c r="K2282" s="1">
        <v>46034</v>
      </c>
      <c r="L2282">
        <v>34</v>
      </c>
      <c r="M2282">
        <v>4.6399999999999997</v>
      </c>
      <c r="N2282">
        <v>4.6399999999999997</v>
      </c>
      <c r="O2282">
        <v>0</v>
      </c>
      <c r="P2282">
        <v>0</v>
      </c>
      <c r="Q2282" t="s">
        <v>108</v>
      </c>
    </row>
    <row r="2283" spans="1:17">
      <c r="A2283" t="s">
        <v>93</v>
      </c>
      <c r="B2283" t="s">
        <v>106</v>
      </c>
      <c r="C2283" t="s">
        <v>56</v>
      </c>
      <c r="D2283" t="s">
        <v>2066</v>
      </c>
      <c r="E2283">
        <v>24</v>
      </c>
      <c r="F2283" t="str">
        <f>VLOOKUP(E2283,[1]LOJA!$A:$B,2,0)</f>
        <v>LUZIÂNIA</v>
      </c>
      <c r="G2283" t="s">
        <v>19</v>
      </c>
      <c r="H2283" t="s">
        <v>19</v>
      </c>
      <c r="I2283" s="1">
        <v>46034</v>
      </c>
      <c r="J2283" s="1">
        <v>46033</v>
      </c>
      <c r="K2283" s="1">
        <v>46034</v>
      </c>
      <c r="L2283">
        <v>34</v>
      </c>
      <c r="M2283">
        <v>3.18</v>
      </c>
      <c r="N2283">
        <v>3.18</v>
      </c>
      <c r="O2283">
        <v>0</v>
      </c>
      <c r="P2283">
        <v>0</v>
      </c>
      <c r="Q2283" t="s">
        <v>108</v>
      </c>
    </row>
    <row r="2284" spans="1:17">
      <c r="A2284" t="s">
        <v>93</v>
      </c>
      <c r="B2284" t="s">
        <v>106</v>
      </c>
      <c r="C2284" t="s">
        <v>56</v>
      </c>
      <c r="D2284" t="s">
        <v>2067</v>
      </c>
      <c r="E2284">
        <v>24</v>
      </c>
      <c r="F2284" t="str">
        <f>VLOOKUP(E2284,[1]LOJA!$A:$B,2,0)</f>
        <v>LUZIÂNIA</v>
      </c>
      <c r="G2284" t="s">
        <v>19</v>
      </c>
      <c r="H2284" t="s">
        <v>19</v>
      </c>
      <c r="I2284" s="1">
        <v>46034</v>
      </c>
      <c r="J2284" s="1">
        <v>46033</v>
      </c>
      <c r="K2284" s="1">
        <v>46034</v>
      </c>
      <c r="L2284">
        <v>34</v>
      </c>
      <c r="M2284">
        <v>1.57</v>
      </c>
      <c r="N2284">
        <v>1.57</v>
      </c>
      <c r="O2284">
        <v>0</v>
      </c>
      <c r="P2284">
        <v>0</v>
      </c>
      <c r="Q2284" t="s">
        <v>108</v>
      </c>
    </row>
    <row r="2285" spans="1:17">
      <c r="A2285" t="s">
        <v>93</v>
      </c>
      <c r="B2285" t="s">
        <v>106</v>
      </c>
      <c r="C2285" t="s">
        <v>56</v>
      </c>
      <c r="D2285" t="s">
        <v>2068</v>
      </c>
      <c r="E2285">
        <v>24</v>
      </c>
      <c r="F2285" t="str">
        <f>VLOOKUP(E2285,[1]LOJA!$A:$B,2,0)</f>
        <v>LUZIÂNIA</v>
      </c>
      <c r="G2285" t="s">
        <v>19</v>
      </c>
      <c r="H2285" t="s">
        <v>19</v>
      </c>
      <c r="I2285" s="1">
        <v>46034</v>
      </c>
      <c r="J2285" s="1">
        <v>46033</v>
      </c>
      <c r="K2285" s="1">
        <v>46034</v>
      </c>
      <c r="L2285">
        <v>34</v>
      </c>
      <c r="M2285">
        <v>1.57</v>
      </c>
      <c r="N2285">
        <v>1.57</v>
      </c>
      <c r="O2285">
        <v>0</v>
      </c>
      <c r="P2285">
        <v>0</v>
      </c>
      <c r="Q2285" t="s">
        <v>108</v>
      </c>
    </row>
    <row r="2286" spans="1:17">
      <c r="A2286" t="s">
        <v>93</v>
      </c>
      <c r="B2286" t="s">
        <v>106</v>
      </c>
      <c r="C2286" t="s">
        <v>56</v>
      </c>
      <c r="D2286" t="s">
        <v>2069</v>
      </c>
      <c r="E2286">
        <v>24</v>
      </c>
      <c r="F2286" t="str">
        <f>VLOOKUP(E2286,[1]LOJA!$A:$B,2,0)</f>
        <v>LUZIÂNIA</v>
      </c>
      <c r="G2286" t="s">
        <v>19</v>
      </c>
      <c r="H2286" t="s">
        <v>19</v>
      </c>
      <c r="I2286" s="1">
        <v>46034</v>
      </c>
      <c r="J2286" s="1">
        <v>46033</v>
      </c>
      <c r="K2286" s="1">
        <v>46034</v>
      </c>
      <c r="L2286">
        <v>34</v>
      </c>
      <c r="M2286">
        <v>20.94</v>
      </c>
      <c r="N2286">
        <v>20.94</v>
      </c>
      <c r="O2286">
        <v>0</v>
      </c>
      <c r="P2286">
        <v>0</v>
      </c>
      <c r="Q2286" t="s">
        <v>108</v>
      </c>
    </row>
    <row r="2287" spans="1:17">
      <c r="A2287" t="s">
        <v>93</v>
      </c>
      <c r="B2287" t="s">
        <v>106</v>
      </c>
      <c r="C2287" t="s">
        <v>56</v>
      </c>
      <c r="D2287" t="s">
        <v>2070</v>
      </c>
      <c r="E2287">
        <v>24</v>
      </c>
      <c r="F2287" t="str">
        <f>VLOOKUP(E2287,[1]LOJA!$A:$B,2,0)</f>
        <v>LUZIÂNIA</v>
      </c>
      <c r="G2287" t="s">
        <v>19</v>
      </c>
      <c r="H2287" t="s">
        <v>19</v>
      </c>
      <c r="I2287" s="1">
        <v>46034</v>
      </c>
      <c r="J2287" s="1">
        <v>46033</v>
      </c>
      <c r="K2287" s="1">
        <v>46034</v>
      </c>
      <c r="L2287">
        <v>34</v>
      </c>
      <c r="M2287">
        <v>1.8</v>
      </c>
      <c r="N2287">
        <v>1.8</v>
      </c>
      <c r="O2287">
        <v>0</v>
      </c>
      <c r="P2287">
        <v>0</v>
      </c>
      <c r="Q2287" t="s">
        <v>108</v>
      </c>
    </row>
    <row r="2288" spans="1:17">
      <c r="A2288" t="s">
        <v>93</v>
      </c>
      <c r="B2288" t="s">
        <v>106</v>
      </c>
      <c r="C2288" t="s">
        <v>56</v>
      </c>
      <c r="D2288" t="s">
        <v>2071</v>
      </c>
      <c r="E2288">
        <v>24</v>
      </c>
      <c r="F2288" t="str">
        <f>VLOOKUP(E2288,[1]LOJA!$A:$B,2,0)</f>
        <v>LUZIÂNIA</v>
      </c>
      <c r="G2288" t="s">
        <v>19</v>
      </c>
      <c r="H2288" t="s">
        <v>19</v>
      </c>
      <c r="I2288" s="1">
        <v>46034</v>
      </c>
      <c r="J2288" s="1">
        <v>46033</v>
      </c>
      <c r="K2288" s="1">
        <v>46034</v>
      </c>
      <c r="L2288">
        <v>34</v>
      </c>
      <c r="M2288">
        <v>0.63</v>
      </c>
      <c r="N2288">
        <v>0.63</v>
      </c>
      <c r="O2288">
        <v>0</v>
      </c>
      <c r="P2288">
        <v>0</v>
      </c>
      <c r="Q2288" t="s">
        <v>108</v>
      </c>
    </row>
    <row r="2289" spans="1:17">
      <c r="A2289" t="s">
        <v>93</v>
      </c>
      <c r="B2289" t="s">
        <v>106</v>
      </c>
      <c r="C2289" t="s">
        <v>56</v>
      </c>
      <c r="D2289" t="s">
        <v>2072</v>
      </c>
      <c r="E2289">
        <v>24</v>
      </c>
      <c r="F2289" t="str">
        <f>VLOOKUP(E2289,[1]LOJA!$A:$B,2,0)</f>
        <v>LUZIÂNIA</v>
      </c>
      <c r="G2289" t="s">
        <v>19</v>
      </c>
      <c r="H2289" t="s">
        <v>19</v>
      </c>
      <c r="I2289" s="1">
        <v>46034</v>
      </c>
      <c r="J2289" s="1">
        <v>46033</v>
      </c>
      <c r="K2289" s="1">
        <v>46034</v>
      </c>
      <c r="L2289">
        <v>34</v>
      </c>
      <c r="M2289">
        <v>0.42</v>
      </c>
      <c r="N2289">
        <v>0.42</v>
      </c>
      <c r="O2289">
        <v>0</v>
      </c>
      <c r="P2289">
        <v>0</v>
      </c>
      <c r="Q2289" t="s">
        <v>108</v>
      </c>
    </row>
    <row r="2290" spans="1:17">
      <c r="A2290" t="s">
        <v>93</v>
      </c>
      <c r="B2290" t="s">
        <v>106</v>
      </c>
      <c r="C2290" t="s">
        <v>56</v>
      </c>
      <c r="D2290" t="s">
        <v>2073</v>
      </c>
      <c r="E2290">
        <v>24</v>
      </c>
      <c r="F2290" t="str">
        <f>VLOOKUP(E2290,[1]LOJA!$A:$B,2,0)</f>
        <v>LUZIÂNIA</v>
      </c>
      <c r="G2290" t="s">
        <v>19</v>
      </c>
      <c r="H2290" t="s">
        <v>19</v>
      </c>
      <c r="I2290" s="1">
        <v>46034</v>
      </c>
      <c r="J2290" s="1">
        <v>46033</v>
      </c>
      <c r="K2290" s="1">
        <v>46034</v>
      </c>
      <c r="L2290">
        <v>34</v>
      </c>
      <c r="M2290">
        <v>3.76</v>
      </c>
      <c r="N2290">
        <v>3.76</v>
      </c>
      <c r="O2290">
        <v>0</v>
      </c>
      <c r="P2290">
        <v>0</v>
      </c>
      <c r="Q2290" t="s">
        <v>108</v>
      </c>
    </row>
    <row r="2291" spans="1:17">
      <c r="A2291" t="s">
        <v>93</v>
      </c>
      <c r="B2291" t="s">
        <v>106</v>
      </c>
      <c r="C2291" t="s">
        <v>56</v>
      </c>
      <c r="D2291" t="s">
        <v>2074</v>
      </c>
      <c r="E2291">
        <v>24</v>
      </c>
      <c r="F2291" t="str">
        <f>VLOOKUP(E2291,[1]LOJA!$A:$B,2,0)</f>
        <v>LUZIÂNIA</v>
      </c>
      <c r="G2291" t="s">
        <v>19</v>
      </c>
      <c r="H2291" t="s">
        <v>19</v>
      </c>
      <c r="I2291" s="1">
        <v>46034</v>
      </c>
      <c r="J2291" s="1">
        <v>46033</v>
      </c>
      <c r="K2291" s="1">
        <v>46034</v>
      </c>
      <c r="L2291">
        <v>34</v>
      </c>
      <c r="M2291">
        <v>3.5</v>
      </c>
      <c r="N2291">
        <v>3.5</v>
      </c>
      <c r="O2291">
        <v>0</v>
      </c>
      <c r="P2291">
        <v>0</v>
      </c>
      <c r="Q2291" t="s">
        <v>108</v>
      </c>
    </row>
    <row r="2292" spans="1:17">
      <c r="A2292" t="s">
        <v>93</v>
      </c>
      <c r="B2292" t="s">
        <v>106</v>
      </c>
      <c r="C2292" t="s">
        <v>56</v>
      </c>
      <c r="D2292" t="s">
        <v>2075</v>
      </c>
      <c r="E2292">
        <v>24</v>
      </c>
      <c r="F2292" t="str">
        <f>VLOOKUP(E2292,[1]LOJA!$A:$B,2,0)</f>
        <v>LUZIÂNIA</v>
      </c>
      <c r="G2292" t="s">
        <v>19</v>
      </c>
      <c r="H2292" t="s">
        <v>19</v>
      </c>
      <c r="I2292" s="1">
        <v>46034</v>
      </c>
      <c r="J2292" s="1">
        <v>46034</v>
      </c>
      <c r="K2292" s="1">
        <v>46034</v>
      </c>
      <c r="L2292">
        <v>34</v>
      </c>
      <c r="M2292">
        <v>0.79</v>
      </c>
      <c r="N2292">
        <v>0.79</v>
      </c>
      <c r="O2292">
        <v>0</v>
      </c>
      <c r="P2292">
        <v>0</v>
      </c>
      <c r="Q2292" t="s">
        <v>108</v>
      </c>
    </row>
    <row r="2293" spans="1:17">
      <c r="A2293" t="s">
        <v>93</v>
      </c>
      <c r="B2293" t="s">
        <v>106</v>
      </c>
      <c r="C2293" t="s">
        <v>56</v>
      </c>
      <c r="D2293" t="s">
        <v>2076</v>
      </c>
      <c r="E2293">
        <v>24</v>
      </c>
      <c r="F2293" t="str">
        <f>VLOOKUP(E2293,[1]LOJA!$A:$B,2,0)</f>
        <v>LUZIÂNIA</v>
      </c>
      <c r="G2293" t="s">
        <v>19</v>
      </c>
      <c r="H2293" t="s">
        <v>19</v>
      </c>
      <c r="I2293" s="1">
        <v>46034</v>
      </c>
      <c r="J2293" s="1">
        <v>46034</v>
      </c>
      <c r="K2293" s="1">
        <v>46034</v>
      </c>
      <c r="L2293">
        <v>34</v>
      </c>
      <c r="M2293">
        <v>3.06</v>
      </c>
      <c r="N2293">
        <v>3.06</v>
      </c>
      <c r="O2293">
        <v>0</v>
      </c>
      <c r="P2293">
        <v>0</v>
      </c>
      <c r="Q2293" t="s">
        <v>108</v>
      </c>
    </row>
    <row r="2294" spans="1:17">
      <c r="A2294" t="s">
        <v>93</v>
      </c>
      <c r="B2294" t="s">
        <v>106</v>
      </c>
      <c r="C2294" t="s">
        <v>56</v>
      </c>
      <c r="D2294" t="s">
        <v>2077</v>
      </c>
      <c r="E2294">
        <v>24</v>
      </c>
      <c r="F2294" t="str">
        <f>VLOOKUP(E2294,[1]LOJA!$A:$B,2,0)</f>
        <v>LUZIÂNIA</v>
      </c>
      <c r="G2294" t="s">
        <v>19</v>
      </c>
      <c r="H2294" t="s">
        <v>19</v>
      </c>
      <c r="I2294" s="1">
        <v>46034</v>
      </c>
      <c r="J2294" s="1">
        <v>46034</v>
      </c>
      <c r="K2294" s="1">
        <v>46034</v>
      </c>
      <c r="L2294">
        <v>34</v>
      </c>
      <c r="M2294">
        <v>0.84</v>
      </c>
      <c r="N2294">
        <v>0.84</v>
      </c>
      <c r="O2294">
        <v>0</v>
      </c>
      <c r="P2294">
        <v>0</v>
      </c>
      <c r="Q2294" t="s">
        <v>108</v>
      </c>
    </row>
    <row r="2295" spans="1:17">
      <c r="A2295" t="s">
        <v>93</v>
      </c>
      <c r="B2295" t="s">
        <v>106</v>
      </c>
      <c r="C2295" t="s">
        <v>56</v>
      </c>
      <c r="D2295" t="s">
        <v>2078</v>
      </c>
      <c r="E2295">
        <v>24</v>
      </c>
      <c r="F2295" t="str">
        <f>VLOOKUP(E2295,[1]LOJA!$A:$B,2,0)</f>
        <v>LUZIÂNIA</v>
      </c>
      <c r="G2295" t="s">
        <v>19</v>
      </c>
      <c r="H2295" t="s">
        <v>19</v>
      </c>
      <c r="I2295" s="1">
        <v>46034</v>
      </c>
      <c r="J2295" s="1">
        <v>46034</v>
      </c>
      <c r="K2295" s="1">
        <v>46034</v>
      </c>
      <c r="L2295">
        <v>34</v>
      </c>
      <c r="M2295">
        <v>1.75</v>
      </c>
      <c r="N2295">
        <v>1.75</v>
      </c>
      <c r="O2295">
        <v>0</v>
      </c>
      <c r="P2295">
        <v>0</v>
      </c>
      <c r="Q2295" t="s">
        <v>108</v>
      </c>
    </row>
    <row r="2296" spans="1:17">
      <c r="A2296" t="s">
        <v>93</v>
      </c>
      <c r="B2296" t="s">
        <v>106</v>
      </c>
      <c r="C2296" t="s">
        <v>56</v>
      </c>
      <c r="D2296" t="s">
        <v>2079</v>
      </c>
      <c r="E2296">
        <v>24</v>
      </c>
      <c r="F2296" t="str">
        <f>VLOOKUP(E2296,[1]LOJA!$A:$B,2,0)</f>
        <v>LUZIÂNIA</v>
      </c>
      <c r="G2296" t="s">
        <v>19</v>
      </c>
      <c r="H2296" t="s">
        <v>19</v>
      </c>
      <c r="I2296" s="1">
        <v>46034</v>
      </c>
      <c r="J2296" s="1">
        <v>46034</v>
      </c>
      <c r="K2296" s="1">
        <v>46034</v>
      </c>
      <c r="L2296">
        <v>34</v>
      </c>
      <c r="M2296">
        <v>1.1200000000000001</v>
      </c>
      <c r="N2296">
        <v>1.1200000000000001</v>
      </c>
      <c r="O2296">
        <v>0</v>
      </c>
      <c r="P2296">
        <v>0</v>
      </c>
      <c r="Q2296" t="s">
        <v>108</v>
      </c>
    </row>
    <row r="2297" spans="1:17">
      <c r="A2297" t="s">
        <v>93</v>
      </c>
      <c r="B2297" t="s">
        <v>106</v>
      </c>
      <c r="C2297" t="s">
        <v>56</v>
      </c>
      <c r="D2297" t="s">
        <v>2080</v>
      </c>
      <c r="E2297">
        <v>24</v>
      </c>
      <c r="F2297" t="str">
        <f>VLOOKUP(E2297,[1]LOJA!$A:$B,2,0)</f>
        <v>LUZIÂNIA</v>
      </c>
      <c r="G2297" t="s">
        <v>19</v>
      </c>
      <c r="H2297" t="s">
        <v>19</v>
      </c>
      <c r="I2297" s="1">
        <v>46034</v>
      </c>
      <c r="J2297" s="1">
        <v>46034</v>
      </c>
      <c r="K2297" s="1">
        <v>46034</v>
      </c>
      <c r="L2297">
        <v>34</v>
      </c>
      <c r="M2297">
        <v>1.05</v>
      </c>
      <c r="N2297">
        <v>1.05</v>
      </c>
      <c r="O2297">
        <v>0</v>
      </c>
      <c r="P2297">
        <v>0</v>
      </c>
      <c r="Q2297" t="s">
        <v>108</v>
      </c>
    </row>
    <row r="2298" spans="1:17">
      <c r="A2298" t="s">
        <v>93</v>
      </c>
      <c r="B2298" t="s">
        <v>106</v>
      </c>
      <c r="C2298" t="s">
        <v>56</v>
      </c>
      <c r="D2298" t="s">
        <v>2081</v>
      </c>
      <c r="E2298">
        <v>24</v>
      </c>
      <c r="F2298" t="str">
        <f>VLOOKUP(E2298,[1]LOJA!$A:$B,2,0)</f>
        <v>LUZIÂNIA</v>
      </c>
      <c r="G2298" t="s">
        <v>19</v>
      </c>
      <c r="H2298" t="s">
        <v>19</v>
      </c>
      <c r="I2298" s="1">
        <v>46034</v>
      </c>
      <c r="J2298" s="1">
        <v>46034</v>
      </c>
      <c r="K2298" s="1">
        <v>46034</v>
      </c>
      <c r="L2298">
        <v>34</v>
      </c>
      <c r="M2298">
        <v>2.52</v>
      </c>
      <c r="N2298">
        <v>2.52</v>
      </c>
      <c r="O2298">
        <v>0</v>
      </c>
      <c r="P2298">
        <v>0</v>
      </c>
      <c r="Q2298" t="s">
        <v>108</v>
      </c>
    </row>
    <row r="2299" spans="1:17">
      <c r="A2299" t="s">
        <v>93</v>
      </c>
      <c r="B2299" t="s">
        <v>106</v>
      </c>
      <c r="C2299" t="s">
        <v>56</v>
      </c>
      <c r="D2299" t="s">
        <v>2082</v>
      </c>
      <c r="E2299">
        <v>24</v>
      </c>
      <c r="F2299" t="str">
        <f>VLOOKUP(E2299,[1]LOJA!$A:$B,2,0)</f>
        <v>LUZIÂNIA</v>
      </c>
      <c r="G2299" t="s">
        <v>19</v>
      </c>
      <c r="H2299" t="s">
        <v>19</v>
      </c>
      <c r="I2299" s="1">
        <v>46034</v>
      </c>
      <c r="J2299" s="1">
        <v>46034</v>
      </c>
      <c r="K2299" s="1">
        <v>46034</v>
      </c>
      <c r="L2299">
        <v>34</v>
      </c>
      <c r="M2299">
        <v>0.56000000000000005</v>
      </c>
      <c r="N2299">
        <v>0.56000000000000005</v>
      </c>
      <c r="O2299">
        <v>0</v>
      </c>
      <c r="P2299">
        <v>0</v>
      </c>
      <c r="Q2299" t="s">
        <v>108</v>
      </c>
    </row>
    <row r="2300" spans="1:17">
      <c r="A2300" t="s">
        <v>93</v>
      </c>
      <c r="B2300" t="s">
        <v>106</v>
      </c>
      <c r="C2300" t="s">
        <v>56</v>
      </c>
      <c r="D2300" t="s">
        <v>2083</v>
      </c>
      <c r="E2300">
        <v>24</v>
      </c>
      <c r="F2300" t="str">
        <f>VLOOKUP(E2300,[1]LOJA!$A:$B,2,0)</f>
        <v>LUZIÂNIA</v>
      </c>
      <c r="G2300" t="s">
        <v>19</v>
      </c>
      <c r="H2300" t="s">
        <v>19</v>
      </c>
      <c r="I2300" s="1">
        <v>46034</v>
      </c>
      <c r="J2300" s="1">
        <v>46034</v>
      </c>
      <c r="K2300" s="1">
        <v>46034</v>
      </c>
      <c r="L2300">
        <v>34</v>
      </c>
      <c r="M2300">
        <v>1.72</v>
      </c>
      <c r="N2300">
        <v>1.72</v>
      </c>
      <c r="O2300">
        <v>0</v>
      </c>
      <c r="P2300">
        <v>0</v>
      </c>
      <c r="Q2300" t="s">
        <v>108</v>
      </c>
    </row>
    <row r="2301" spans="1:17">
      <c r="A2301" t="s">
        <v>93</v>
      </c>
      <c r="B2301" t="s">
        <v>106</v>
      </c>
      <c r="C2301" t="s">
        <v>56</v>
      </c>
      <c r="D2301" t="s">
        <v>2084</v>
      </c>
      <c r="E2301">
        <v>24</v>
      </c>
      <c r="F2301" t="str">
        <f>VLOOKUP(E2301,[1]LOJA!$A:$B,2,0)</f>
        <v>LUZIÂNIA</v>
      </c>
      <c r="G2301" t="s">
        <v>19</v>
      </c>
      <c r="H2301" t="s">
        <v>19</v>
      </c>
      <c r="I2301" s="1">
        <v>46034</v>
      </c>
      <c r="J2301" s="1">
        <v>46034</v>
      </c>
      <c r="K2301" s="1">
        <v>46034</v>
      </c>
      <c r="L2301">
        <v>34</v>
      </c>
      <c r="M2301">
        <v>7.63</v>
      </c>
      <c r="N2301">
        <v>7.63</v>
      </c>
      <c r="O2301">
        <v>0</v>
      </c>
      <c r="P2301">
        <v>0</v>
      </c>
      <c r="Q2301" t="s">
        <v>108</v>
      </c>
    </row>
    <row r="2302" spans="1:17">
      <c r="A2302" t="s">
        <v>93</v>
      </c>
      <c r="B2302" t="s">
        <v>106</v>
      </c>
      <c r="C2302" t="s">
        <v>56</v>
      </c>
      <c r="D2302" t="s">
        <v>2085</v>
      </c>
      <c r="E2302">
        <v>24</v>
      </c>
      <c r="F2302" t="str">
        <f>VLOOKUP(E2302,[1]LOJA!$A:$B,2,0)</f>
        <v>LUZIÂNIA</v>
      </c>
      <c r="G2302" t="s">
        <v>19</v>
      </c>
      <c r="H2302" t="s">
        <v>19</v>
      </c>
      <c r="I2302" s="1">
        <v>46034</v>
      </c>
      <c r="J2302" s="1">
        <v>46034</v>
      </c>
      <c r="K2302" s="1">
        <v>46034</v>
      </c>
      <c r="L2302">
        <v>34</v>
      </c>
      <c r="M2302">
        <v>0.93</v>
      </c>
      <c r="N2302">
        <v>0.93</v>
      </c>
      <c r="O2302">
        <v>0</v>
      </c>
      <c r="P2302">
        <v>0</v>
      </c>
      <c r="Q2302" t="s">
        <v>108</v>
      </c>
    </row>
    <row r="2303" spans="1:17">
      <c r="A2303" t="s">
        <v>93</v>
      </c>
      <c r="B2303" t="s">
        <v>106</v>
      </c>
      <c r="C2303" t="s">
        <v>56</v>
      </c>
      <c r="D2303" t="s">
        <v>2086</v>
      </c>
      <c r="E2303">
        <v>24</v>
      </c>
      <c r="F2303" t="str">
        <f>VLOOKUP(E2303,[1]LOJA!$A:$B,2,0)</f>
        <v>LUZIÂNIA</v>
      </c>
      <c r="G2303" t="s">
        <v>19</v>
      </c>
      <c r="H2303" t="s">
        <v>19</v>
      </c>
      <c r="I2303" s="1">
        <v>46034</v>
      </c>
      <c r="J2303" s="1">
        <v>46034</v>
      </c>
      <c r="K2303" s="1">
        <v>46034</v>
      </c>
      <c r="L2303">
        <v>34</v>
      </c>
      <c r="M2303">
        <v>1.23</v>
      </c>
      <c r="N2303">
        <v>1.23</v>
      </c>
      <c r="O2303">
        <v>0</v>
      </c>
      <c r="P2303">
        <v>0</v>
      </c>
      <c r="Q2303" t="s">
        <v>108</v>
      </c>
    </row>
    <row r="2304" spans="1:17">
      <c r="A2304" t="s">
        <v>93</v>
      </c>
      <c r="B2304" t="s">
        <v>106</v>
      </c>
      <c r="C2304" t="s">
        <v>56</v>
      </c>
      <c r="D2304" t="s">
        <v>2087</v>
      </c>
      <c r="E2304">
        <v>24</v>
      </c>
      <c r="F2304" t="str">
        <f>VLOOKUP(E2304,[1]LOJA!$A:$B,2,0)</f>
        <v>LUZIÂNIA</v>
      </c>
      <c r="G2304" t="s">
        <v>19</v>
      </c>
      <c r="H2304" t="s">
        <v>19</v>
      </c>
      <c r="I2304" s="1">
        <v>46034</v>
      </c>
      <c r="J2304" s="1">
        <v>46032</v>
      </c>
      <c r="K2304" s="1">
        <v>46034</v>
      </c>
      <c r="L2304">
        <v>34</v>
      </c>
      <c r="M2304">
        <v>0.35</v>
      </c>
      <c r="N2304">
        <v>0.35</v>
      </c>
      <c r="O2304">
        <v>0</v>
      </c>
      <c r="P2304">
        <v>0</v>
      </c>
      <c r="Q2304" t="s">
        <v>108</v>
      </c>
    </row>
    <row r="2305" spans="1:17">
      <c r="A2305" t="s">
        <v>93</v>
      </c>
      <c r="B2305" t="s">
        <v>106</v>
      </c>
      <c r="C2305" t="s">
        <v>56</v>
      </c>
      <c r="D2305" t="s">
        <v>2088</v>
      </c>
      <c r="E2305">
        <v>24</v>
      </c>
      <c r="F2305" t="str">
        <f>VLOOKUP(E2305,[1]LOJA!$A:$B,2,0)</f>
        <v>LUZIÂNIA</v>
      </c>
      <c r="G2305" t="s">
        <v>19</v>
      </c>
      <c r="H2305" t="s">
        <v>19</v>
      </c>
      <c r="I2305" s="1">
        <v>46034</v>
      </c>
      <c r="J2305" s="1">
        <v>46032</v>
      </c>
      <c r="K2305" s="1">
        <v>46034</v>
      </c>
      <c r="L2305">
        <v>34</v>
      </c>
      <c r="M2305">
        <v>1.5</v>
      </c>
      <c r="N2305">
        <v>1.5</v>
      </c>
      <c r="O2305">
        <v>0</v>
      </c>
      <c r="P2305">
        <v>0</v>
      </c>
      <c r="Q2305" t="s">
        <v>108</v>
      </c>
    </row>
    <row r="2306" spans="1:17">
      <c r="A2306" t="s">
        <v>93</v>
      </c>
      <c r="B2306" t="s">
        <v>106</v>
      </c>
      <c r="C2306" t="s">
        <v>56</v>
      </c>
      <c r="D2306" t="s">
        <v>2089</v>
      </c>
      <c r="E2306">
        <v>24</v>
      </c>
      <c r="F2306" t="str">
        <f>VLOOKUP(E2306,[1]LOJA!$A:$B,2,0)</f>
        <v>LUZIÂNIA</v>
      </c>
      <c r="G2306" t="s">
        <v>19</v>
      </c>
      <c r="H2306" t="s">
        <v>19</v>
      </c>
      <c r="I2306" s="1">
        <v>46034</v>
      </c>
      <c r="J2306" s="1">
        <v>46032</v>
      </c>
      <c r="K2306" s="1">
        <v>46034</v>
      </c>
      <c r="L2306">
        <v>34</v>
      </c>
      <c r="M2306">
        <v>1.01</v>
      </c>
      <c r="N2306">
        <v>1.01</v>
      </c>
      <c r="O2306">
        <v>0</v>
      </c>
      <c r="P2306">
        <v>0</v>
      </c>
      <c r="Q2306" t="s">
        <v>108</v>
      </c>
    </row>
    <row r="2307" spans="1:17">
      <c r="A2307" t="s">
        <v>93</v>
      </c>
      <c r="B2307" t="s">
        <v>106</v>
      </c>
      <c r="C2307" t="s">
        <v>56</v>
      </c>
      <c r="D2307" t="s">
        <v>2090</v>
      </c>
      <c r="E2307">
        <v>24</v>
      </c>
      <c r="F2307" t="str">
        <f>VLOOKUP(E2307,[1]LOJA!$A:$B,2,0)</f>
        <v>LUZIÂNIA</v>
      </c>
      <c r="G2307" t="s">
        <v>19</v>
      </c>
      <c r="H2307" t="s">
        <v>19</v>
      </c>
      <c r="I2307" s="1">
        <v>46034</v>
      </c>
      <c r="J2307" s="1">
        <v>46032</v>
      </c>
      <c r="K2307" s="1">
        <v>46034</v>
      </c>
      <c r="L2307">
        <v>34</v>
      </c>
      <c r="M2307">
        <v>0.26</v>
      </c>
      <c r="N2307">
        <v>0.26</v>
      </c>
      <c r="O2307">
        <v>0</v>
      </c>
      <c r="P2307">
        <v>0</v>
      </c>
      <c r="Q2307" t="s">
        <v>108</v>
      </c>
    </row>
    <row r="2308" spans="1:17">
      <c r="A2308" t="s">
        <v>93</v>
      </c>
      <c r="B2308" t="s">
        <v>106</v>
      </c>
      <c r="C2308" t="s">
        <v>56</v>
      </c>
      <c r="D2308" t="s">
        <v>2091</v>
      </c>
      <c r="E2308">
        <v>24</v>
      </c>
      <c r="F2308" t="str">
        <f>VLOOKUP(E2308,[1]LOJA!$A:$B,2,0)</f>
        <v>LUZIÂNIA</v>
      </c>
      <c r="G2308" t="s">
        <v>19</v>
      </c>
      <c r="H2308" t="s">
        <v>19</v>
      </c>
      <c r="I2308" s="1">
        <v>46034</v>
      </c>
      <c r="J2308" s="1">
        <v>46032</v>
      </c>
      <c r="K2308" s="1">
        <v>46034</v>
      </c>
      <c r="L2308">
        <v>34</v>
      </c>
      <c r="M2308">
        <v>1.1399999999999999</v>
      </c>
      <c r="N2308">
        <v>1.1399999999999999</v>
      </c>
      <c r="O2308">
        <v>0</v>
      </c>
      <c r="P2308">
        <v>0</v>
      </c>
      <c r="Q2308" t="s">
        <v>108</v>
      </c>
    </row>
    <row r="2309" spans="1:17">
      <c r="A2309" t="s">
        <v>93</v>
      </c>
      <c r="B2309" t="s">
        <v>106</v>
      </c>
      <c r="C2309" t="s">
        <v>56</v>
      </c>
      <c r="D2309" t="s">
        <v>2092</v>
      </c>
      <c r="E2309">
        <v>24</v>
      </c>
      <c r="F2309" t="str">
        <f>VLOOKUP(E2309,[1]LOJA!$A:$B,2,0)</f>
        <v>LUZIÂNIA</v>
      </c>
      <c r="G2309" t="s">
        <v>19</v>
      </c>
      <c r="H2309" t="s">
        <v>19</v>
      </c>
      <c r="I2309" s="1">
        <v>46034</v>
      </c>
      <c r="J2309" s="1">
        <v>46032</v>
      </c>
      <c r="K2309" s="1">
        <v>46034</v>
      </c>
      <c r="L2309">
        <v>34</v>
      </c>
      <c r="M2309">
        <v>0.06</v>
      </c>
      <c r="N2309">
        <v>0.06</v>
      </c>
      <c r="O2309">
        <v>0</v>
      </c>
      <c r="P2309">
        <v>0</v>
      </c>
      <c r="Q2309" t="s">
        <v>108</v>
      </c>
    </row>
    <row r="2310" spans="1:17">
      <c r="A2310" t="s">
        <v>93</v>
      </c>
      <c r="B2310" t="s">
        <v>106</v>
      </c>
      <c r="C2310" t="s">
        <v>56</v>
      </c>
      <c r="D2310" t="s">
        <v>2093</v>
      </c>
      <c r="E2310">
        <v>24</v>
      </c>
      <c r="F2310" t="str">
        <f>VLOOKUP(E2310,[1]LOJA!$A:$B,2,0)</f>
        <v>LUZIÂNIA</v>
      </c>
      <c r="G2310" t="s">
        <v>19</v>
      </c>
      <c r="H2310" t="s">
        <v>19</v>
      </c>
      <c r="I2310" s="1">
        <v>46034</v>
      </c>
      <c r="J2310" s="1">
        <v>46032</v>
      </c>
      <c r="K2310" s="1">
        <v>46034</v>
      </c>
      <c r="L2310">
        <v>34</v>
      </c>
      <c r="M2310">
        <v>0.09</v>
      </c>
      <c r="N2310">
        <v>0.09</v>
      </c>
      <c r="O2310">
        <v>0</v>
      </c>
      <c r="P2310">
        <v>0</v>
      </c>
      <c r="Q2310" t="s">
        <v>108</v>
      </c>
    </row>
    <row r="2311" spans="1:17">
      <c r="A2311" t="s">
        <v>93</v>
      </c>
      <c r="B2311" t="s">
        <v>106</v>
      </c>
      <c r="C2311" t="s">
        <v>56</v>
      </c>
      <c r="D2311" t="s">
        <v>2094</v>
      </c>
      <c r="E2311">
        <v>24</v>
      </c>
      <c r="F2311" t="str">
        <f>VLOOKUP(E2311,[1]LOJA!$A:$B,2,0)</f>
        <v>LUZIÂNIA</v>
      </c>
      <c r="G2311" t="s">
        <v>19</v>
      </c>
      <c r="H2311" t="s">
        <v>19</v>
      </c>
      <c r="I2311" s="1">
        <v>46034</v>
      </c>
      <c r="J2311" s="1">
        <v>46032</v>
      </c>
      <c r="K2311" s="1">
        <v>46034</v>
      </c>
      <c r="L2311">
        <v>34</v>
      </c>
      <c r="M2311">
        <v>0.27</v>
      </c>
      <c r="N2311">
        <v>0.27</v>
      </c>
      <c r="O2311">
        <v>0</v>
      </c>
      <c r="P2311">
        <v>0</v>
      </c>
      <c r="Q2311" t="s">
        <v>108</v>
      </c>
    </row>
    <row r="2312" spans="1:17">
      <c r="A2312" t="s">
        <v>93</v>
      </c>
      <c r="B2312" t="s">
        <v>106</v>
      </c>
      <c r="C2312" t="s">
        <v>56</v>
      </c>
      <c r="D2312" t="s">
        <v>2095</v>
      </c>
      <c r="E2312">
        <v>24</v>
      </c>
      <c r="F2312" t="str">
        <f>VLOOKUP(E2312,[1]LOJA!$A:$B,2,0)</f>
        <v>LUZIÂNIA</v>
      </c>
      <c r="G2312" t="s">
        <v>19</v>
      </c>
      <c r="H2312" t="s">
        <v>19</v>
      </c>
      <c r="I2312" s="1">
        <v>46034</v>
      </c>
      <c r="J2312" s="1">
        <v>46032</v>
      </c>
      <c r="K2312" s="1">
        <v>46034</v>
      </c>
      <c r="L2312">
        <v>34</v>
      </c>
      <c r="M2312">
        <v>0.47</v>
      </c>
      <c r="N2312">
        <v>0.47</v>
      </c>
      <c r="O2312">
        <v>0</v>
      </c>
      <c r="P2312">
        <v>0</v>
      </c>
      <c r="Q2312" t="s">
        <v>108</v>
      </c>
    </row>
    <row r="2313" spans="1:17">
      <c r="A2313" t="s">
        <v>93</v>
      </c>
      <c r="B2313" t="s">
        <v>106</v>
      </c>
      <c r="C2313" t="s">
        <v>56</v>
      </c>
      <c r="D2313" t="s">
        <v>2096</v>
      </c>
      <c r="E2313">
        <v>24</v>
      </c>
      <c r="F2313" t="str">
        <f>VLOOKUP(E2313,[1]LOJA!$A:$B,2,0)</f>
        <v>LUZIÂNIA</v>
      </c>
      <c r="G2313" t="s">
        <v>19</v>
      </c>
      <c r="H2313" t="s">
        <v>19</v>
      </c>
      <c r="I2313" s="1">
        <v>46034</v>
      </c>
      <c r="J2313" s="1">
        <v>46032</v>
      </c>
      <c r="K2313" s="1">
        <v>46034</v>
      </c>
      <c r="L2313">
        <v>34</v>
      </c>
      <c r="M2313">
        <v>0.44</v>
      </c>
      <c r="N2313">
        <v>0.44</v>
      </c>
      <c r="O2313">
        <v>0</v>
      </c>
      <c r="P2313">
        <v>0</v>
      </c>
      <c r="Q2313" t="s">
        <v>108</v>
      </c>
    </row>
    <row r="2314" spans="1:17">
      <c r="A2314" t="s">
        <v>93</v>
      </c>
      <c r="B2314" t="s">
        <v>106</v>
      </c>
      <c r="C2314" t="s">
        <v>56</v>
      </c>
      <c r="D2314" t="s">
        <v>2097</v>
      </c>
      <c r="E2314">
        <v>24</v>
      </c>
      <c r="F2314" t="str">
        <f>VLOOKUP(E2314,[1]LOJA!$A:$B,2,0)</f>
        <v>LUZIÂNIA</v>
      </c>
      <c r="G2314" t="s">
        <v>19</v>
      </c>
      <c r="H2314" t="s">
        <v>19</v>
      </c>
      <c r="I2314" s="1">
        <v>46034</v>
      </c>
      <c r="J2314" s="1">
        <v>46032</v>
      </c>
      <c r="K2314" s="1">
        <v>46034</v>
      </c>
      <c r="L2314">
        <v>34</v>
      </c>
      <c r="M2314">
        <v>0.5</v>
      </c>
      <c r="N2314">
        <v>0.5</v>
      </c>
      <c r="O2314">
        <v>0</v>
      </c>
      <c r="P2314">
        <v>0</v>
      </c>
      <c r="Q2314" t="s">
        <v>108</v>
      </c>
    </row>
    <row r="2315" spans="1:17">
      <c r="A2315" t="s">
        <v>93</v>
      </c>
      <c r="B2315" t="s">
        <v>106</v>
      </c>
      <c r="C2315" t="s">
        <v>56</v>
      </c>
      <c r="D2315" t="s">
        <v>2098</v>
      </c>
      <c r="E2315">
        <v>24</v>
      </c>
      <c r="F2315" t="str">
        <f>VLOOKUP(E2315,[1]LOJA!$A:$B,2,0)</f>
        <v>LUZIÂNIA</v>
      </c>
      <c r="G2315" t="s">
        <v>19</v>
      </c>
      <c r="H2315" t="s">
        <v>19</v>
      </c>
      <c r="I2315" s="1">
        <v>46034</v>
      </c>
      <c r="J2315" s="1">
        <v>46032</v>
      </c>
      <c r="K2315" s="1">
        <v>46034</v>
      </c>
      <c r="L2315">
        <v>34</v>
      </c>
      <c r="M2315">
        <v>0.08</v>
      </c>
      <c r="N2315">
        <v>0.08</v>
      </c>
      <c r="O2315">
        <v>0</v>
      </c>
      <c r="P2315">
        <v>0</v>
      </c>
      <c r="Q2315" t="s">
        <v>108</v>
      </c>
    </row>
    <row r="2316" spans="1:17">
      <c r="A2316" t="s">
        <v>93</v>
      </c>
      <c r="B2316" t="s">
        <v>106</v>
      </c>
      <c r="C2316" t="s">
        <v>56</v>
      </c>
      <c r="D2316" t="s">
        <v>2099</v>
      </c>
      <c r="E2316">
        <v>24</v>
      </c>
      <c r="F2316" t="str">
        <f>VLOOKUP(E2316,[1]LOJA!$A:$B,2,0)</f>
        <v>LUZIÂNIA</v>
      </c>
      <c r="G2316" t="s">
        <v>19</v>
      </c>
      <c r="H2316" t="s">
        <v>19</v>
      </c>
      <c r="I2316" s="1">
        <v>46034</v>
      </c>
      <c r="J2316" s="1">
        <v>46032</v>
      </c>
      <c r="K2316" s="1">
        <v>46034</v>
      </c>
      <c r="L2316">
        <v>34</v>
      </c>
      <c r="M2316">
        <v>1.98</v>
      </c>
      <c r="N2316">
        <v>1.98</v>
      </c>
      <c r="O2316">
        <v>0</v>
      </c>
      <c r="P2316">
        <v>0</v>
      </c>
      <c r="Q2316" t="s">
        <v>108</v>
      </c>
    </row>
    <row r="2317" spans="1:17">
      <c r="A2317" t="s">
        <v>93</v>
      </c>
      <c r="B2317" t="s">
        <v>106</v>
      </c>
      <c r="C2317" t="s">
        <v>56</v>
      </c>
      <c r="D2317" t="s">
        <v>2100</v>
      </c>
      <c r="E2317">
        <v>24</v>
      </c>
      <c r="F2317" t="str">
        <f>VLOOKUP(E2317,[1]LOJA!$A:$B,2,0)</f>
        <v>LUZIÂNIA</v>
      </c>
      <c r="G2317" t="s">
        <v>19</v>
      </c>
      <c r="H2317" t="s">
        <v>19</v>
      </c>
      <c r="I2317" s="1">
        <v>46034</v>
      </c>
      <c r="J2317" s="1">
        <v>46032</v>
      </c>
      <c r="K2317" s="1">
        <v>46034</v>
      </c>
      <c r="L2317">
        <v>34</v>
      </c>
      <c r="M2317">
        <v>1.56</v>
      </c>
      <c r="N2317">
        <v>1.56</v>
      </c>
      <c r="O2317">
        <v>0</v>
      </c>
      <c r="P2317">
        <v>0</v>
      </c>
      <c r="Q2317" t="s">
        <v>108</v>
      </c>
    </row>
    <row r="2318" spans="1:17">
      <c r="A2318" t="s">
        <v>93</v>
      </c>
      <c r="B2318" t="s">
        <v>106</v>
      </c>
      <c r="C2318" t="s">
        <v>56</v>
      </c>
      <c r="D2318" t="s">
        <v>2101</v>
      </c>
      <c r="E2318">
        <v>24</v>
      </c>
      <c r="F2318" t="str">
        <f>VLOOKUP(E2318,[1]LOJA!$A:$B,2,0)</f>
        <v>LUZIÂNIA</v>
      </c>
      <c r="G2318" t="s">
        <v>19</v>
      </c>
      <c r="H2318" t="s">
        <v>19</v>
      </c>
      <c r="I2318" s="1">
        <v>46034</v>
      </c>
      <c r="J2318" s="1">
        <v>46033</v>
      </c>
      <c r="K2318" s="1">
        <v>46034</v>
      </c>
      <c r="L2318">
        <v>34</v>
      </c>
      <c r="M2318">
        <v>0.25</v>
      </c>
      <c r="N2318">
        <v>0.25</v>
      </c>
      <c r="O2318">
        <v>0</v>
      </c>
      <c r="P2318">
        <v>0</v>
      </c>
      <c r="Q2318" t="s">
        <v>108</v>
      </c>
    </row>
    <row r="2319" spans="1:17">
      <c r="A2319" t="s">
        <v>93</v>
      </c>
      <c r="B2319" t="s">
        <v>106</v>
      </c>
      <c r="C2319" t="s">
        <v>56</v>
      </c>
      <c r="D2319" t="s">
        <v>2102</v>
      </c>
      <c r="E2319">
        <v>24</v>
      </c>
      <c r="F2319" t="str">
        <f>VLOOKUP(E2319,[1]LOJA!$A:$B,2,0)</f>
        <v>LUZIÂNIA</v>
      </c>
      <c r="G2319" t="s">
        <v>19</v>
      </c>
      <c r="H2319" t="s">
        <v>19</v>
      </c>
      <c r="I2319" s="1">
        <v>46034</v>
      </c>
      <c r="J2319" s="1">
        <v>46033</v>
      </c>
      <c r="K2319" s="1">
        <v>46034</v>
      </c>
      <c r="L2319">
        <v>34</v>
      </c>
      <c r="M2319">
        <v>1.1499999999999999</v>
      </c>
      <c r="N2319">
        <v>1.1499999999999999</v>
      </c>
      <c r="O2319">
        <v>0</v>
      </c>
      <c r="P2319">
        <v>0</v>
      </c>
      <c r="Q2319" t="s">
        <v>108</v>
      </c>
    </row>
    <row r="2320" spans="1:17">
      <c r="A2320" t="s">
        <v>93</v>
      </c>
      <c r="B2320" t="s">
        <v>106</v>
      </c>
      <c r="C2320" t="s">
        <v>56</v>
      </c>
      <c r="D2320" t="s">
        <v>2103</v>
      </c>
      <c r="E2320">
        <v>24</v>
      </c>
      <c r="F2320" t="str">
        <f>VLOOKUP(E2320,[1]LOJA!$A:$B,2,0)</f>
        <v>LUZIÂNIA</v>
      </c>
      <c r="G2320" t="s">
        <v>19</v>
      </c>
      <c r="H2320" t="s">
        <v>19</v>
      </c>
      <c r="I2320" s="1">
        <v>46034</v>
      </c>
      <c r="J2320" s="1">
        <v>46033</v>
      </c>
      <c r="K2320" s="1">
        <v>46034</v>
      </c>
      <c r="L2320">
        <v>34</v>
      </c>
      <c r="M2320">
        <v>0.25</v>
      </c>
      <c r="N2320">
        <v>0.25</v>
      </c>
      <c r="O2320">
        <v>0</v>
      </c>
      <c r="P2320">
        <v>0</v>
      </c>
      <c r="Q2320" t="s">
        <v>108</v>
      </c>
    </row>
    <row r="2321" spans="1:17">
      <c r="A2321" t="s">
        <v>93</v>
      </c>
      <c r="B2321" t="s">
        <v>106</v>
      </c>
      <c r="C2321" t="s">
        <v>56</v>
      </c>
      <c r="D2321" t="s">
        <v>2104</v>
      </c>
      <c r="E2321">
        <v>24</v>
      </c>
      <c r="F2321" t="str">
        <f>VLOOKUP(E2321,[1]LOJA!$A:$B,2,0)</f>
        <v>LUZIÂNIA</v>
      </c>
      <c r="G2321" t="s">
        <v>19</v>
      </c>
      <c r="H2321" t="s">
        <v>19</v>
      </c>
      <c r="I2321" s="1">
        <v>46034</v>
      </c>
      <c r="J2321" s="1">
        <v>46033</v>
      </c>
      <c r="K2321" s="1">
        <v>46034</v>
      </c>
      <c r="L2321">
        <v>34</v>
      </c>
      <c r="M2321">
        <v>0.56000000000000005</v>
      </c>
      <c r="N2321">
        <v>0.56000000000000005</v>
      </c>
      <c r="O2321">
        <v>0</v>
      </c>
      <c r="P2321">
        <v>0</v>
      </c>
      <c r="Q2321" t="s">
        <v>108</v>
      </c>
    </row>
    <row r="2322" spans="1:17">
      <c r="A2322" t="s">
        <v>93</v>
      </c>
      <c r="B2322" t="s">
        <v>106</v>
      </c>
      <c r="C2322" t="s">
        <v>56</v>
      </c>
      <c r="D2322" t="s">
        <v>2105</v>
      </c>
      <c r="E2322">
        <v>24</v>
      </c>
      <c r="F2322" t="str">
        <f>VLOOKUP(E2322,[1]LOJA!$A:$B,2,0)</f>
        <v>LUZIÂNIA</v>
      </c>
      <c r="G2322" t="s">
        <v>19</v>
      </c>
      <c r="H2322" t="s">
        <v>19</v>
      </c>
      <c r="I2322" s="1">
        <v>46034</v>
      </c>
      <c r="J2322" s="1">
        <v>46033</v>
      </c>
      <c r="K2322" s="1">
        <v>46034</v>
      </c>
      <c r="L2322">
        <v>34</v>
      </c>
      <c r="M2322">
        <v>0.57999999999999996</v>
      </c>
      <c r="N2322">
        <v>0.57999999999999996</v>
      </c>
      <c r="O2322">
        <v>0</v>
      </c>
      <c r="P2322">
        <v>0</v>
      </c>
      <c r="Q2322" t="s">
        <v>108</v>
      </c>
    </row>
    <row r="2323" spans="1:17">
      <c r="A2323" t="s">
        <v>93</v>
      </c>
      <c r="B2323" t="s">
        <v>106</v>
      </c>
      <c r="C2323" t="s">
        <v>56</v>
      </c>
      <c r="D2323" t="s">
        <v>2106</v>
      </c>
      <c r="E2323">
        <v>24</v>
      </c>
      <c r="F2323" t="str">
        <f>VLOOKUP(E2323,[1]LOJA!$A:$B,2,0)</f>
        <v>LUZIÂNIA</v>
      </c>
      <c r="G2323" t="s">
        <v>19</v>
      </c>
      <c r="H2323" t="s">
        <v>19</v>
      </c>
      <c r="I2323" s="1">
        <v>46034</v>
      </c>
      <c r="J2323" s="1">
        <v>46033</v>
      </c>
      <c r="K2323" s="1">
        <v>46034</v>
      </c>
      <c r="L2323">
        <v>34</v>
      </c>
      <c r="M2323">
        <v>0.4</v>
      </c>
      <c r="N2323">
        <v>0.4</v>
      </c>
      <c r="O2323">
        <v>0</v>
      </c>
      <c r="P2323">
        <v>0</v>
      </c>
      <c r="Q2323" t="s">
        <v>108</v>
      </c>
    </row>
    <row r="2324" spans="1:17">
      <c r="A2324" t="s">
        <v>93</v>
      </c>
      <c r="B2324" t="s">
        <v>106</v>
      </c>
      <c r="C2324" t="s">
        <v>56</v>
      </c>
      <c r="D2324" t="s">
        <v>2107</v>
      </c>
      <c r="E2324">
        <v>24</v>
      </c>
      <c r="F2324" t="str">
        <f>VLOOKUP(E2324,[1]LOJA!$A:$B,2,0)</f>
        <v>LUZIÂNIA</v>
      </c>
      <c r="G2324" t="s">
        <v>19</v>
      </c>
      <c r="H2324" t="s">
        <v>19</v>
      </c>
      <c r="I2324" s="1">
        <v>46034</v>
      </c>
      <c r="J2324" s="1">
        <v>46033</v>
      </c>
      <c r="K2324" s="1">
        <v>46034</v>
      </c>
      <c r="L2324">
        <v>34</v>
      </c>
      <c r="M2324">
        <v>0.06</v>
      </c>
      <c r="N2324">
        <v>0.06</v>
      </c>
      <c r="O2324">
        <v>0</v>
      </c>
      <c r="P2324">
        <v>0</v>
      </c>
      <c r="Q2324" t="s">
        <v>108</v>
      </c>
    </row>
    <row r="2325" spans="1:17">
      <c r="A2325" t="s">
        <v>93</v>
      </c>
      <c r="B2325" t="s">
        <v>106</v>
      </c>
      <c r="C2325" t="s">
        <v>56</v>
      </c>
      <c r="D2325" t="s">
        <v>2108</v>
      </c>
      <c r="E2325">
        <v>24</v>
      </c>
      <c r="F2325" t="str">
        <f>VLOOKUP(E2325,[1]LOJA!$A:$B,2,0)</f>
        <v>LUZIÂNIA</v>
      </c>
      <c r="G2325" t="s">
        <v>19</v>
      </c>
      <c r="H2325" t="s">
        <v>19</v>
      </c>
      <c r="I2325" s="1">
        <v>46034</v>
      </c>
      <c r="J2325" s="1">
        <v>46033</v>
      </c>
      <c r="K2325" s="1">
        <v>46034</v>
      </c>
      <c r="L2325">
        <v>34</v>
      </c>
      <c r="M2325">
        <v>0.56000000000000005</v>
      </c>
      <c r="N2325">
        <v>0.56000000000000005</v>
      </c>
      <c r="O2325">
        <v>0</v>
      </c>
      <c r="P2325">
        <v>0</v>
      </c>
      <c r="Q2325" t="s">
        <v>108</v>
      </c>
    </row>
    <row r="2326" spans="1:17">
      <c r="A2326" t="s">
        <v>93</v>
      </c>
      <c r="B2326" t="s">
        <v>106</v>
      </c>
      <c r="C2326" t="s">
        <v>56</v>
      </c>
      <c r="D2326" t="s">
        <v>2109</v>
      </c>
      <c r="E2326">
        <v>24</v>
      </c>
      <c r="F2326" t="str">
        <f>VLOOKUP(E2326,[1]LOJA!$A:$B,2,0)</f>
        <v>LUZIÂNIA</v>
      </c>
      <c r="G2326" t="s">
        <v>19</v>
      </c>
      <c r="H2326" t="s">
        <v>19</v>
      </c>
      <c r="I2326" s="1">
        <v>46034</v>
      </c>
      <c r="J2326" s="1">
        <v>46032</v>
      </c>
      <c r="K2326" s="1">
        <v>46034</v>
      </c>
      <c r="L2326">
        <v>34</v>
      </c>
      <c r="M2326">
        <v>0.56000000000000005</v>
      </c>
      <c r="N2326">
        <v>0.56000000000000005</v>
      </c>
      <c r="O2326">
        <v>0</v>
      </c>
      <c r="P2326">
        <v>0</v>
      </c>
      <c r="Q2326" t="s">
        <v>108</v>
      </c>
    </row>
    <row r="2327" spans="1:17">
      <c r="A2327" t="s">
        <v>93</v>
      </c>
      <c r="B2327" t="s">
        <v>106</v>
      </c>
      <c r="C2327" t="s">
        <v>56</v>
      </c>
      <c r="D2327" t="s">
        <v>2110</v>
      </c>
      <c r="E2327">
        <v>24</v>
      </c>
      <c r="F2327" t="str">
        <f>VLOOKUP(E2327,[1]LOJA!$A:$B,2,0)</f>
        <v>LUZIÂNIA</v>
      </c>
      <c r="G2327" t="s">
        <v>19</v>
      </c>
      <c r="H2327" t="s">
        <v>19</v>
      </c>
      <c r="I2327" s="1">
        <v>46035</v>
      </c>
      <c r="J2327" s="1">
        <v>46035</v>
      </c>
      <c r="K2327" s="1">
        <v>46035</v>
      </c>
      <c r="L2327">
        <v>34</v>
      </c>
      <c r="M2327">
        <v>8.39</v>
      </c>
      <c r="N2327">
        <v>8.39</v>
      </c>
      <c r="O2327">
        <v>0</v>
      </c>
      <c r="P2327">
        <v>0</v>
      </c>
      <c r="Q2327" t="s">
        <v>108</v>
      </c>
    </row>
    <row r="2328" spans="1:17">
      <c r="A2328" t="s">
        <v>93</v>
      </c>
      <c r="B2328" t="s">
        <v>106</v>
      </c>
      <c r="C2328" t="s">
        <v>56</v>
      </c>
      <c r="D2328" t="s">
        <v>2111</v>
      </c>
      <c r="E2328">
        <v>24</v>
      </c>
      <c r="F2328" t="str">
        <f>VLOOKUP(E2328,[1]LOJA!$A:$B,2,0)</f>
        <v>LUZIÂNIA</v>
      </c>
      <c r="G2328" t="s">
        <v>19</v>
      </c>
      <c r="H2328" t="s">
        <v>19</v>
      </c>
      <c r="I2328" s="1">
        <v>46035</v>
      </c>
      <c r="J2328" s="1">
        <v>46035</v>
      </c>
      <c r="K2328" s="1">
        <v>46035</v>
      </c>
      <c r="L2328">
        <v>34</v>
      </c>
      <c r="M2328">
        <v>3.49</v>
      </c>
      <c r="N2328">
        <v>3.49</v>
      </c>
      <c r="O2328">
        <v>0</v>
      </c>
      <c r="P2328">
        <v>0</v>
      </c>
      <c r="Q2328" t="s">
        <v>108</v>
      </c>
    </row>
    <row r="2329" spans="1:17">
      <c r="A2329" t="s">
        <v>93</v>
      </c>
      <c r="B2329" t="s">
        <v>106</v>
      </c>
      <c r="C2329" t="s">
        <v>56</v>
      </c>
      <c r="D2329" t="s">
        <v>2112</v>
      </c>
      <c r="E2329">
        <v>24</v>
      </c>
      <c r="F2329" t="str">
        <f>VLOOKUP(E2329,[1]LOJA!$A:$B,2,0)</f>
        <v>LUZIÂNIA</v>
      </c>
      <c r="G2329" t="s">
        <v>19</v>
      </c>
      <c r="H2329" t="s">
        <v>19</v>
      </c>
      <c r="I2329" s="1">
        <v>46035</v>
      </c>
      <c r="J2329" s="1">
        <v>46035</v>
      </c>
      <c r="K2329" s="1">
        <v>46035</v>
      </c>
      <c r="L2329">
        <v>34</v>
      </c>
      <c r="M2329">
        <v>10.95</v>
      </c>
      <c r="N2329">
        <v>10.95</v>
      </c>
      <c r="O2329">
        <v>0</v>
      </c>
      <c r="P2329">
        <v>0</v>
      </c>
      <c r="Q2329" t="s">
        <v>108</v>
      </c>
    </row>
    <row r="2330" spans="1:17">
      <c r="A2330" t="s">
        <v>93</v>
      </c>
      <c r="B2330" t="s">
        <v>106</v>
      </c>
      <c r="C2330" t="s">
        <v>56</v>
      </c>
      <c r="D2330" t="s">
        <v>2113</v>
      </c>
      <c r="E2330">
        <v>24</v>
      </c>
      <c r="F2330" t="str">
        <f>VLOOKUP(E2330,[1]LOJA!$A:$B,2,0)</f>
        <v>LUZIÂNIA</v>
      </c>
      <c r="G2330" t="s">
        <v>19</v>
      </c>
      <c r="H2330" t="s">
        <v>19</v>
      </c>
      <c r="I2330" s="1">
        <v>46035</v>
      </c>
      <c r="J2330" s="1">
        <v>46035</v>
      </c>
      <c r="K2330" s="1">
        <v>46035</v>
      </c>
      <c r="L2330">
        <v>34</v>
      </c>
      <c r="M2330">
        <v>4.3600000000000003</v>
      </c>
      <c r="N2330">
        <v>4.3600000000000003</v>
      </c>
      <c r="O2330">
        <v>0</v>
      </c>
      <c r="P2330">
        <v>0</v>
      </c>
      <c r="Q2330" t="s">
        <v>108</v>
      </c>
    </row>
    <row r="2331" spans="1:17">
      <c r="A2331" t="s">
        <v>93</v>
      </c>
      <c r="B2331" t="s">
        <v>106</v>
      </c>
      <c r="C2331" t="s">
        <v>56</v>
      </c>
      <c r="D2331" t="s">
        <v>2114</v>
      </c>
      <c r="E2331">
        <v>24</v>
      </c>
      <c r="F2331" t="str">
        <f>VLOOKUP(E2331,[1]LOJA!$A:$B,2,0)</f>
        <v>LUZIÂNIA</v>
      </c>
      <c r="G2331" t="s">
        <v>19</v>
      </c>
      <c r="H2331" t="s">
        <v>19</v>
      </c>
      <c r="I2331" s="1">
        <v>46035</v>
      </c>
      <c r="J2331" s="1">
        <v>46035</v>
      </c>
      <c r="K2331" s="1">
        <v>46035</v>
      </c>
      <c r="L2331">
        <v>34</v>
      </c>
      <c r="M2331">
        <v>2.19</v>
      </c>
      <c r="N2331">
        <v>2.19</v>
      </c>
      <c r="O2331">
        <v>0</v>
      </c>
      <c r="P2331">
        <v>0</v>
      </c>
      <c r="Q2331" t="s">
        <v>108</v>
      </c>
    </row>
    <row r="2332" spans="1:17">
      <c r="A2332" t="s">
        <v>93</v>
      </c>
      <c r="B2332" t="s">
        <v>106</v>
      </c>
      <c r="C2332" t="s">
        <v>56</v>
      </c>
      <c r="D2332" t="s">
        <v>2115</v>
      </c>
      <c r="E2332">
        <v>24</v>
      </c>
      <c r="F2332" t="str">
        <f>VLOOKUP(E2332,[1]LOJA!$A:$B,2,0)</f>
        <v>LUZIÂNIA</v>
      </c>
      <c r="G2332" t="s">
        <v>19</v>
      </c>
      <c r="H2332" t="s">
        <v>19</v>
      </c>
      <c r="I2332" s="1">
        <v>46035</v>
      </c>
      <c r="J2332" s="1">
        <v>46035</v>
      </c>
      <c r="K2332" s="1">
        <v>46035</v>
      </c>
      <c r="L2332">
        <v>34</v>
      </c>
      <c r="M2332">
        <v>4.95</v>
      </c>
      <c r="N2332">
        <v>4.95</v>
      </c>
      <c r="O2332">
        <v>0</v>
      </c>
      <c r="P2332">
        <v>0</v>
      </c>
      <c r="Q2332" t="s">
        <v>108</v>
      </c>
    </row>
    <row r="2333" spans="1:17">
      <c r="A2333" t="s">
        <v>93</v>
      </c>
      <c r="B2333" t="s">
        <v>106</v>
      </c>
      <c r="C2333" t="s">
        <v>56</v>
      </c>
      <c r="D2333" t="s">
        <v>2116</v>
      </c>
      <c r="E2333">
        <v>24</v>
      </c>
      <c r="F2333" t="str">
        <f>VLOOKUP(E2333,[1]LOJA!$A:$B,2,0)</f>
        <v>LUZIÂNIA</v>
      </c>
      <c r="G2333" t="s">
        <v>19</v>
      </c>
      <c r="H2333" t="s">
        <v>19</v>
      </c>
      <c r="I2333" s="1">
        <v>46035</v>
      </c>
      <c r="J2333" s="1">
        <v>46035</v>
      </c>
      <c r="K2333" s="1">
        <v>46035</v>
      </c>
      <c r="L2333">
        <v>34</v>
      </c>
      <c r="M2333">
        <v>3.94</v>
      </c>
      <c r="N2333">
        <v>3.94</v>
      </c>
      <c r="O2333">
        <v>0</v>
      </c>
      <c r="P2333">
        <v>0</v>
      </c>
      <c r="Q2333" t="s">
        <v>108</v>
      </c>
    </row>
    <row r="2334" spans="1:17">
      <c r="A2334" t="s">
        <v>93</v>
      </c>
      <c r="B2334" t="s">
        <v>106</v>
      </c>
      <c r="C2334" t="s">
        <v>56</v>
      </c>
      <c r="D2334" t="s">
        <v>2117</v>
      </c>
      <c r="E2334">
        <v>24</v>
      </c>
      <c r="F2334" t="str">
        <f>VLOOKUP(E2334,[1]LOJA!$A:$B,2,0)</f>
        <v>LUZIÂNIA</v>
      </c>
      <c r="G2334" t="s">
        <v>19</v>
      </c>
      <c r="H2334" t="s">
        <v>19</v>
      </c>
      <c r="I2334" s="1">
        <v>46035</v>
      </c>
      <c r="J2334" s="1">
        <v>46035</v>
      </c>
      <c r="K2334" s="1">
        <v>46035</v>
      </c>
      <c r="L2334">
        <v>34</v>
      </c>
      <c r="M2334">
        <v>7.72</v>
      </c>
      <c r="N2334">
        <v>7.72</v>
      </c>
      <c r="O2334">
        <v>0</v>
      </c>
      <c r="P2334">
        <v>0</v>
      </c>
      <c r="Q2334" t="s">
        <v>108</v>
      </c>
    </row>
    <row r="2335" spans="1:17">
      <c r="A2335" t="s">
        <v>93</v>
      </c>
      <c r="B2335" t="s">
        <v>106</v>
      </c>
      <c r="C2335" t="s">
        <v>56</v>
      </c>
      <c r="D2335" t="s">
        <v>2118</v>
      </c>
      <c r="E2335">
        <v>24</v>
      </c>
      <c r="F2335" t="str">
        <f>VLOOKUP(E2335,[1]LOJA!$A:$B,2,0)</f>
        <v>LUZIÂNIA</v>
      </c>
      <c r="G2335" t="s">
        <v>19</v>
      </c>
      <c r="H2335" t="s">
        <v>19</v>
      </c>
      <c r="I2335" s="1">
        <v>46035</v>
      </c>
      <c r="J2335" s="1">
        <v>46035</v>
      </c>
      <c r="K2335" s="1">
        <v>46035</v>
      </c>
      <c r="L2335">
        <v>34</v>
      </c>
      <c r="M2335">
        <v>7.17</v>
      </c>
      <c r="N2335">
        <v>7.17</v>
      </c>
      <c r="O2335">
        <v>0</v>
      </c>
      <c r="P2335">
        <v>0</v>
      </c>
      <c r="Q2335" t="s">
        <v>108</v>
      </c>
    </row>
    <row r="2336" spans="1:17">
      <c r="A2336" t="s">
        <v>93</v>
      </c>
      <c r="B2336" t="s">
        <v>106</v>
      </c>
      <c r="C2336" t="s">
        <v>56</v>
      </c>
      <c r="D2336" t="s">
        <v>2119</v>
      </c>
      <c r="E2336">
        <v>24</v>
      </c>
      <c r="F2336" t="str">
        <f>VLOOKUP(E2336,[1]LOJA!$A:$B,2,0)</f>
        <v>LUZIÂNIA</v>
      </c>
      <c r="G2336" t="s">
        <v>19</v>
      </c>
      <c r="H2336" t="s">
        <v>19</v>
      </c>
      <c r="I2336" s="1">
        <v>46035</v>
      </c>
      <c r="J2336" s="1">
        <v>46035</v>
      </c>
      <c r="K2336" s="1">
        <v>46035</v>
      </c>
      <c r="L2336">
        <v>34</v>
      </c>
      <c r="M2336">
        <v>2.98</v>
      </c>
      <c r="N2336">
        <v>2.98</v>
      </c>
      <c r="O2336">
        <v>0</v>
      </c>
      <c r="P2336">
        <v>0</v>
      </c>
      <c r="Q2336" t="s">
        <v>108</v>
      </c>
    </row>
    <row r="2337" spans="1:17">
      <c r="A2337" t="s">
        <v>93</v>
      </c>
      <c r="B2337" t="s">
        <v>106</v>
      </c>
      <c r="C2337" t="s">
        <v>56</v>
      </c>
      <c r="D2337" t="s">
        <v>2120</v>
      </c>
      <c r="E2337">
        <v>24</v>
      </c>
      <c r="F2337" t="str">
        <f>VLOOKUP(E2337,[1]LOJA!$A:$B,2,0)</f>
        <v>LUZIÂNIA</v>
      </c>
      <c r="G2337" t="s">
        <v>19</v>
      </c>
      <c r="H2337" t="s">
        <v>19</v>
      </c>
      <c r="I2337" s="1">
        <v>46035</v>
      </c>
      <c r="J2337" s="1">
        <v>46035</v>
      </c>
      <c r="K2337" s="1">
        <v>46035</v>
      </c>
      <c r="L2337">
        <v>34</v>
      </c>
      <c r="M2337">
        <v>1.6</v>
      </c>
      <c r="N2337">
        <v>1.6</v>
      </c>
      <c r="O2337">
        <v>0</v>
      </c>
      <c r="P2337">
        <v>0</v>
      </c>
      <c r="Q2337" t="s">
        <v>108</v>
      </c>
    </row>
    <row r="2338" spans="1:17">
      <c r="A2338" t="s">
        <v>93</v>
      </c>
      <c r="B2338" t="s">
        <v>106</v>
      </c>
      <c r="C2338" t="s">
        <v>56</v>
      </c>
      <c r="D2338" t="s">
        <v>2121</v>
      </c>
      <c r="E2338">
        <v>24</v>
      </c>
      <c r="F2338" t="str">
        <f>VLOOKUP(E2338,[1]LOJA!$A:$B,2,0)</f>
        <v>LUZIÂNIA</v>
      </c>
      <c r="G2338" t="s">
        <v>19</v>
      </c>
      <c r="H2338" t="s">
        <v>19</v>
      </c>
      <c r="I2338" s="1">
        <v>46035</v>
      </c>
      <c r="J2338" s="1">
        <v>46035</v>
      </c>
      <c r="K2338" s="1">
        <v>46035</v>
      </c>
      <c r="L2338">
        <v>34</v>
      </c>
      <c r="M2338">
        <v>0.27</v>
      </c>
      <c r="N2338">
        <v>0.27</v>
      </c>
      <c r="O2338">
        <v>0</v>
      </c>
      <c r="P2338">
        <v>0</v>
      </c>
      <c r="Q2338" t="s">
        <v>108</v>
      </c>
    </row>
    <row r="2339" spans="1:17">
      <c r="A2339" t="s">
        <v>93</v>
      </c>
      <c r="B2339" t="s">
        <v>106</v>
      </c>
      <c r="C2339" t="s">
        <v>56</v>
      </c>
      <c r="D2339" t="s">
        <v>2122</v>
      </c>
      <c r="E2339">
        <v>24</v>
      </c>
      <c r="F2339" t="str">
        <f>VLOOKUP(E2339,[1]LOJA!$A:$B,2,0)</f>
        <v>LUZIÂNIA</v>
      </c>
      <c r="G2339" t="s">
        <v>19</v>
      </c>
      <c r="H2339" t="s">
        <v>19</v>
      </c>
      <c r="I2339" s="1">
        <v>46035</v>
      </c>
      <c r="J2339" s="1">
        <v>46035</v>
      </c>
      <c r="K2339" s="1">
        <v>46035</v>
      </c>
      <c r="L2339">
        <v>34</v>
      </c>
      <c r="M2339">
        <v>0.12</v>
      </c>
      <c r="N2339">
        <v>0.12</v>
      </c>
      <c r="O2339">
        <v>0</v>
      </c>
      <c r="P2339">
        <v>0</v>
      </c>
      <c r="Q2339" t="s">
        <v>108</v>
      </c>
    </row>
    <row r="2340" spans="1:17">
      <c r="A2340" t="s">
        <v>93</v>
      </c>
      <c r="B2340" t="s">
        <v>106</v>
      </c>
      <c r="C2340" t="s">
        <v>56</v>
      </c>
      <c r="D2340" t="s">
        <v>2123</v>
      </c>
      <c r="E2340">
        <v>24</v>
      </c>
      <c r="F2340" t="str">
        <f>VLOOKUP(E2340,[1]LOJA!$A:$B,2,0)</f>
        <v>LUZIÂNIA</v>
      </c>
      <c r="G2340" t="s">
        <v>19</v>
      </c>
      <c r="H2340" t="s">
        <v>19</v>
      </c>
      <c r="I2340" s="1">
        <v>46035</v>
      </c>
      <c r="J2340" s="1">
        <v>46035</v>
      </c>
      <c r="K2340" s="1">
        <v>46035</v>
      </c>
      <c r="L2340">
        <v>34</v>
      </c>
      <c r="M2340">
        <v>0.87</v>
      </c>
      <c r="N2340">
        <v>0.87</v>
      </c>
      <c r="O2340">
        <v>0</v>
      </c>
      <c r="P2340">
        <v>0</v>
      </c>
      <c r="Q2340" t="s">
        <v>108</v>
      </c>
    </row>
    <row r="2341" spans="1:17">
      <c r="A2341" t="s">
        <v>93</v>
      </c>
      <c r="B2341" t="s">
        <v>106</v>
      </c>
      <c r="C2341" t="s">
        <v>56</v>
      </c>
      <c r="D2341" t="s">
        <v>2124</v>
      </c>
      <c r="E2341">
        <v>24</v>
      </c>
      <c r="F2341" t="str">
        <f>VLOOKUP(E2341,[1]LOJA!$A:$B,2,0)</f>
        <v>LUZIÂNIA</v>
      </c>
      <c r="G2341" t="s">
        <v>19</v>
      </c>
      <c r="H2341" t="s">
        <v>19</v>
      </c>
      <c r="I2341" s="1">
        <v>46035</v>
      </c>
      <c r="J2341" s="1">
        <v>46035</v>
      </c>
      <c r="K2341" s="1">
        <v>46035</v>
      </c>
      <c r="L2341">
        <v>34</v>
      </c>
      <c r="M2341">
        <v>0.74</v>
      </c>
      <c r="N2341">
        <v>0.74</v>
      </c>
      <c r="O2341">
        <v>0</v>
      </c>
      <c r="P2341">
        <v>0</v>
      </c>
      <c r="Q2341" t="s">
        <v>108</v>
      </c>
    </row>
    <row r="2342" spans="1:17">
      <c r="A2342" t="s">
        <v>93</v>
      </c>
      <c r="B2342" t="s">
        <v>106</v>
      </c>
      <c r="C2342" t="s">
        <v>56</v>
      </c>
      <c r="D2342" t="s">
        <v>2125</v>
      </c>
      <c r="E2342">
        <v>24</v>
      </c>
      <c r="F2342" t="str">
        <f>VLOOKUP(E2342,[1]LOJA!$A:$B,2,0)</f>
        <v>LUZIÂNIA</v>
      </c>
      <c r="G2342" t="s">
        <v>19</v>
      </c>
      <c r="H2342" t="s">
        <v>19</v>
      </c>
      <c r="I2342" s="1">
        <v>46035</v>
      </c>
      <c r="J2342" s="1">
        <v>46035</v>
      </c>
      <c r="K2342" s="1">
        <v>46035</v>
      </c>
      <c r="L2342">
        <v>34</v>
      </c>
      <c r="M2342">
        <v>0.05</v>
      </c>
      <c r="N2342">
        <v>0.05</v>
      </c>
      <c r="O2342">
        <v>0</v>
      </c>
      <c r="P2342">
        <v>0</v>
      </c>
      <c r="Q2342" t="s">
        <v>108</v>
      </c>
    </row>
    <row r="2343" spans="1:17">
      <c r="A2343" t="s">
        <v>93</v>
      </c>
      <c r="B2343" t="s">
        <v>106</v>
      </c>
      <c r="C2343" t="s">
        <v>56</v>
      </c>
      <c r="D2343" t="s">
        <v>2126</v>
      </c>
      <c r="E2343">
        <v>24</v>
      </c>
      <c r="F2343" t="str">
        <f>VLOOKUP(E2343,[1]LOJA!$A:$B,2,0)</f>
        <v>LUZIÂNIA</v>
      </c>
      <c r="G2343" t="s">
        <v>19</v>
      </c>
      <c r="H2343" t="s">
        <v>19</v>
      </c>
      <c r="I2343" s="1">
        <v>46035</v>
      </c>
      <c r="J2343" s="1">
        <v>46035</v>
      </c>
      <c r="K2343" s="1">
        <v>46035</v>
      </c>
      <c r="L2343">
        <v>34</v>
      </c>
      <c r="M2343">
        <v>0.06</v>
      </c>
      <c r="N2343">
        <v>0.06</v>
      </c>
      <c r="O2343">
        <v>0</v>
      </c>
      <c r="P2343">
        <v>0</v>
      </c>
      <c r="Q2343" t="s">
        <v>108</v>
      </c>
    </row>
    <row r="2344" spans="1:17">
      <c r="A2344" t="s">
        <v>93</v>
      </c>
      <c r="B2344" t="s">
        <v>106</v>
      </c>
      <c r="C2344" t="s">
        <v>56</v>
      </c>
      <c r="D2344" t="s">
        <v>2127</v>
      </c>
      <c r="E2344">
        <v>24</v>
      </c>
      <c r="F2344" t="str">
        <f>VLOOKUP(E2344,[1]LOJA!$A:$B,2,0)</f>
        <v>LUZIÂNIA</v>
      </c>
      <c r="G2344" t="s">
        <v>19</v>
      </c>
      <c r="H2344" t="s">
        <v>19</v>
      </c>
      <c r="I2344" s="1">
        <v>46035</v>
      </c>
      <c r="J2344" s="1">
        <v>46035</v>
      </c>
      <c r="K2344" s="1">
        <v>46035</v>
      </c>
      <c r="L2344">
        <v>34</v>
      </c>
      <c r="M2344">
        <v>0.91</v>
      </c>
      <c r="N2344">
        <v>0.91</v>
      </c>
      <c r="O2344">
        <v>0</v>
      </c>
      <c r="P2344">
        <v>0</v>
      </c>
      <c r="Q2344" t="s">
        <v>108</v>
      </c>
    </row>
    <row r="2345" spans="1:17">
      <c r="A2345" t="s">
        <v>93</v>
      </c>
      <c r="B2345" t="s">
        <v>106</v>
      </c>
      <c r="C2345" t="s">
        <v>56</v>
      </c>
      <c r="D2345" t="s">
        <v>2128</v>
      </c>
      <c r="E2345">
        <v>24</v>
      </c>
      <c r="F2345" t="str">
        <f>VLOOKUP(E2345,[1]LOJA!$A:$B,2,0)</f>
        <v>LUZIÂNIA</v>
      </c>
      <c r="G2345" t="s">
        <v>19</v>
      </c>
      <c r="H2345" t="s">
        <v>19</v>
      </c>
      <c r="I2345" s="1">
        <v>46035</v>
      </c>
      <c r="J2345" s="1">
        <v>46035</v>
      </c>
      <c r="K2345" s="1">
        <v>46035</v>
      </c>
      <c r="L2345">
        <v>34</v>
      </c>
      <c r="M2345">
        <v>0.12</v>
      </c>
      <c r="N2345">
        <v>0.12</v>
      </c>
      <c r="O2345">
        <v>0</v>
      </c>
      <c r="P2345">
        <v>0</v>
      </c>
      <c r="Q2345" t="s">
        <v>108</v>
      </c>
    </row>
    <row r="2346" spans="1:17">
      <c r="A2346" t="s">
        <v>93</v>
      </c>
      <c r="B2346" t="s">
        <v>106</v>
      </c>
      <c r="C2346" t="s">
        <v>56</v>
      </c>
      <c r="D2346" t="s">
        <v>2129</v>
      </c>
      <c r="E2346">
        <v>24</v>
      </c>
      <c r="F2346" t="str">
        <f>VLOOKUP(E2346,[1]LOJA!$A:$B,2,0)</f>
        <v>LUZIÂNIA</v>
      </c>
      <c r="G2346" t="s">
        <v>19</v>
      </c>
      <c r="H2346" t="s">
        <v>19</v>
      </c>
      <c r="I2346" s="1">
        <v>46035</v>
      </c>
      <c r="J2346" s="1">
        <v>46035</v>
      </c>
      <c r="K2346" s="1">
        <v>46035</v>
      </c>
      <c r="L2346">
        <v>34</v>
      </c>
      <c r="M2346">
        <v>0.05</v>
      </c>
      <c r="N2346">
        <v>0.05</v>
      </c>
      <c r="O2346">
        <v>0</v>
      </c>
      <c r="P2346">
        <v>0</v>
      </c>
      <c r="Q2346" t="s">
        <v>108</v>
      </c>
    </row>
    <row r="2347" spans="1:17">
      <c r="A2347" t="s">
        <v>93</v>
      </c>
      <c r="B2347" t="s">
        <v>106</v>
      </c>
      <c r="C2347" t="s">
        <v>56</v>
      </c>
      <c r="D2347" t="s">
        <v>2130</v>
      </c>
      <c r="E2347">
        <v>24</v>
      </c>
      <c r="F2347" t="str">
        <f>VLOOKUP(E2347,[1]LOJA!$A:$B,2,0)</f>
        <v>LUZIÂNIA</v>
      </c>
      <c r="G2347" t="s">
        <v>19</v>
      </c>
      <c r="H2347" t="s">
        <v>19</v>
      </c>
      <c r="I2347" s="1">
        <v>46035</v>
      </c>
      <c r="J2347" s="1">
        <v>46035</v>
      </c>
      <c r="K2347" s="1">
        <v>46035</v>
      </c>
      <c r="L2347">
        <v>34</v>
      </c>
      <c r="M2347">
        <v>0.04</v>
      </c>
      <c r="N2347">
        <v>0.04</v>
      </c>
      <c r="O2347">
        <v>0</v>
      </c>
      <c r="P2347">
        <v>0</v>
      </c>
      <c r="Q2347" t="s">
        <v>108</v>
      </c>
    </row>
    <row r="2348" spans="1:17">
      <c r="A2348" t="s">
        <v>93</v>
      </c>
      <c r="B2348" t="s">
        <v>106</v>
      </c>
      <c r="C2348" t="s">
        <v>56</v>
      </c>
      <c r="D2348" t="s">
        <v>2131</v>
      </c>
      <c r="E2348">
        <v>24</v>
      </c>
      <c r="F2348" t="str">
        <f>VLOOKUP(E2348,[1]LOJA!$A:$B,2,0)</f>
        <v>LUZIÂNIA</v>
      </c>
      <c r="G2348" t="s">
        <v>19</v>
      </c>
      <c r="H2348" t="s">
        <v>19</v>
      </c>
      <c r="I2348" s="1">
        <v>46035</v>
      </c>
      <c r="J2348" s="1">
        <v>46035</v>
      </c>
      <c r="K2348" s="1">
        <v>46035</v>
      </c>
      <c r="L2348">
        <v>34</v>
      </c>
      <c r="M2348">
        <v>11.35</v>
      </c>
      <c r="N2348">
        <v>11.35</v>
      </c>
      <c r="O2348">
        <v>0</v>
      </c>
      <c r="P2348">
        <v>0</v>
      </c>
      <c r="Q2348" t="s">
        <v>108</v>
      </c>
    </row>
    <row r="2349" spans="1:17">
      <c r="A2349" t="s">
        <v>93</v>
      </c>
      <c r="B2349" t="s">
        <v>106</v>
      </c>
      <c r="C2349" t="s">
        <v>56</v>
      </c>
      <c r="D2349" t="s">
        <v>2132</v>
      </c>
      <c r="E2349">
        <v>24</v>
      </c>
      <c r="F2349" t="str">
        <f>VLOOKUP(E2349,[1]LOJA!$A:$B,2,0)</f>
        <v>LUZIÂNIA</v>
      </c>
      <c r="G2349" t="s">
        <v>19</v>
      </c>
      <c r="H2349" t="s">
        <v>19</v>
      </c>
      <c r="I2349" s="1">
        <v>46035</v>
      </c>
      <c r="J2349" s="1">
        <v>46035</v>
      </c>
      <c r="K2349" s="1">
        <v>46035</v>
      </c>
      <c r="L2349">
        <v>34</v>
      </c>
      <c r="M2349">
        <v>0.56000000000000005</v>
      </c>
      <c r="N2349">
        <v>0.56000000000000005</v>
      </c>
      <c r="O2349">
        <v>0</v>
      </c>
      <c r="P2349">
        <v>0</v>
      </c>
      <c r="Q2349" t="s">
        <v>108</v>
      </c>
    </row>
    <row r="2350" spans="1:17">
      <c r="A2350" t="s">
        <v>93</v>
      </c>
      <c r="B2350" t="s">
        <v>106</v>
      </c>
      <c r="C2350" t="s">
        <v>56</v>
      </c>
      <c r="D2350" t="s">
        <v>2133</v>
      </c>
      <c r="E2350">
        <v>24</v>
      </c>
      <c r="F2350" t="str">
        <f>VLOOKUP(E2350,[1]LOJA!$A:$B,2,0)</f>
        <v>LUZIÂNIA</v>
      </c>
      <c r="G2350" t="s">
        <v>19</v>
      </c>
      <c r="H2350" t="s">
        <v>19</v>
      </c>
      <c r="I2350" s="1">
        <v>46035</v>
      </c>
      <c r="J2350" s="1">
        <v>46035</v>
      </c>
      <c r="K2350" s="1">
        <v>46035</v>
      </c>
      <c r="L2350">
        <v>34</v>
      </c>
      <c r="M2350">
        <v>0.12</v>
      </c>
      <c r="N2350">
        <v>0.12</v>
      </c>
      <c r="O2350">
        <v>0</v>
      </c>
      <c r="P2350">
        <v>0</v>
      </c>
      <c r="Q2350" t="s">
        <v>108</v>
      </c>
    </row>
    <row r="2351" spans="1:17">
      <c r="A2351" t="s">
        <v>93</v>
      </c>
      <c r="B2351" t="s">
        <v>106</v>
      </c>
      <c r="C2351" t="s">
        <v>56</v>
      </c>
      <c r="D2351" t="s">
        <v>2134</v>
      </c>
      <c r="E2351">
        <v>24</v>
      </c>
      <c r="F2351" t="str">
        <f>VLOOKUP(E2351,[1]LOJA!$A:$B,2,0)</f>
        <v>LUZIÂNIA</v>
      </c>
      <c r="G2351" t="s">
        <v>19</v>
      </c>
      <c r="H2351" t="s">
        <v>19</v>
      </c>
      <c r="I2351" s="1">
        <v>46035</v>
      </c>
      <c r="J2351" s="1">
        <v>46035</v>
      </c>
      <c r="K2351" s="1">
        <v>46035</v>
      </c>
      <c r="L2351">
        <v>34</v>
      </c>
      <c r="M2351">
        <v>0.13</v>
      </c>
      <c r="N2351">
        <v>0.13</v>
      </c>
      <c r="O2351">
        <v>0</v>
      </c>
      <c r="P2351">
        <v>0</v>
      </c>
      <c r="Q2351" t="s">
        <v>108</v>
      </c>
    </row>
    <row r="2352" spans="1:17">
      <c r="A2352" t="s">
        <v>93</v>
      </c>
      <c r="B2352" t="s">
        <v>106</v>
      </c>
      <c r="C2352" t="s">
        <v>56</v>
      </c>
      <c r="D2352" t="s">
        <v>2135</v>
      </c>
      <c r="E2352">
        <v>24</v>
      </c>
      <c r="F2352" t="str">
        <f>VLOOKUP(E2352,[1]LOJA!$A:$B,2,0)</f>
        <v>LUZIÂNIA</v>
      </c>
      <c r="G2352" t="s">
        <v>19</v>
      </c>
      <c r="H2352" t="s">
        <v>19</v>
      </c>
      <c r="I2352" s="1">
        <v>46035</v>
      </c>
      <c r="J2352" s="1">
        <v>46035</v>
      </c>
      <c r="K2352" s="1">
        <v>46035</v>
      </c>
      <c r="L2352">
        <v>34</v>
      </c>
      <c r="M2352">
        <v>0.13</v>
      </c>
      <c r="N2352">
        <v>0.13</v>
      </c>
      <c r="O2352">
        <v>0</v>
      </c>
      <c r="P2352">
        <v>0</v>
      </c>
      <c r="Q2352" t="s">
        <v>108</v>
      </c>
    </row>
    <row r="2353" spans="1:17">
      <c r="A2353" t="s">
        <v>93</v>
      </c>
      <c r="B2353" t="s">
        <v>106</v>
      </c>
      <c r="C2353" t="s">
        <v>56</v>
      </c>
      <c r="D2353" t="s">
        <v>2136</v>
      </c>
      <c r="E2353">
        <v>24</v>
      </c>
      <c r="F2353" t="str">
        <f>VLOOKUP(E2353,[1]LOJA!$A:$B,2,0)</f>
        <v>LUZIÂNIA</v>
      </c>
      <c r="G2353" t="s">
        <v>19</v>
      </c>
      <c r="H2353" t="s">
        <v>19</v>
      </c>
      <c r="I2353" s="1">
        <v>46035</v>
      </c>
      <c r="J2353" s="1">
        <v>46035</v>
      </c>
      <c r="K2353" s="1">
        <v>46035</v>
      </c>
      <c r="L2353">
        <v>34</v>
      </c>
      <c r="M2353">
        <v>0.2</v>
      </c>
      <c r="N2353">
        <v>0.2</v>
      </c>
      <c r="O2353">
        <v>0</v>
      </c>
      <c r="P2353">
        <v>0</v>
      </c>
      <c r="Q2353" t="s">
        <v>108</v>
      </c>
    </row>
    <row r="2354" spans="1:17">
      <c r="A2354" t="s">
        <v>93</v>
      </c>
      <c r="B2354" t="s">
        <v>106</v>
      </c>
      <c r="C2354" t="s">
        <v>56</v>
      </c>
      <c r="D2354" t="s">
        <v>2137</v>
      </c>
      <c r="E2354">
        <v>24</v>
      </c>
      <c r="F2354" t="str">
        <f>VLOOKUP(E2354,[1]LOJA!$A:$B,2,0)</f>
        <v>LUZIÂNIA</v>
      </c>
      <c r="G2354" t="s">
        <v>19</v>
      </c>
      <c r="H2354" t="s">
        <v>19</v>
      </c>
      <c r="I2354" s="1">
        <v>46035</v>
      </c>
      <c r="J2354" s="1">
        <v>46035</v>
      </c>
      <c r="K2354" s="1">
        <v>46035</v>
      </c>
      <c r="L2354">
        <v>34</v>
      </c>
      <c r="M2354">
        <v>12.31</v>
      </c>
      <c r="N2354">
        <v>12.31</v>
      </c>
      <c r="O2354">
        <v>0</v>
      </c>
      <c r="P2354">
        <v>0</v>
      </c>
      <c r="Q2354" t="s">
        <v>108</v>
      </c>
    </row>
    <row r="2355" spans="1:17">
      <c r="A2355" t="s">
        <v>93</v>
      </c>
      <c r="B2355" t="s">
        <v>106</v>
      </c>
      <c r="C2355" t="s">
        <v>56</v>
      </c>
      <c r="D2355" t="s">
        <v>2138</v>
      </c>
      <c r="E2355">
        <v>24</v>
      </c>
      <c r="F2355" t="str">
        <f>VLOOKUP(E2355,[1]LOJA!$A:$B,2,0)</f>
        <v>LUZIÂNIA</v>
      </c>
      <c r="G2355" t="s">
        <v>19</v>
      </c>
      <c r="H2355" t="s">
        <v>19</v>
      </c>
      <c r="I2355" s="1">
        <v>46035</v>
      </c>
      <c r="J2355" s="1">
        <v>46035</v>
      </c>
      <c r="K2355" s="1">
        <v>46035</v>
      </c>
      <c r="L2355">
        <v>34</v>
      </c>
      <c r="M2355">
        <v>0.38</v>
      </c>
      <c r="N2355">
        <v>0.38</v>
      </c>
      <c r="O2355">
        <v>0</v>
      </c>
      <c r="P2355">
        <v>0</v>
      </c>
      <c r="Q2355" t="s">
        <v>108</v>
      </c>
    </row>
    <row r="2356" spans="1:17">
      <c r="A2356" t="s">
        <v>93</v>
      </c>
      <c r="B2356" t="s">
        <v>106</v>
      </c>
      <c r="C2356" t="s">
        <v>56</v>
      </c>
      <c r="D2356" t="s">
        <v>2139</v>
      </c>
      <c r="E2356">
        <v>24</v>
      </c>
      <c r="F2356" t="str">
        <f>VLOOKUP(E2356,[1]LOJA!$A:$B,2,0)</f>
        <v>LUZIÂNIA</v>
      </c>
      <c r="G2356" t="s">
        <v>19</v>
      </c>
      <c r="H2356" t="s">
        <v>19</v>
      </c>
      <c r="I2356" s="1">
        <v>46035</v>
      </c>
      <c r="J2356" s="1">
        <v>46035</v>
      </c>
      <c r="K2356" s="1">
        <v>46035</v>
      </c>
      <c r="L2356">
        <v>34</v>
      </c>
      <c r="M2356">
        <v>0.37</v>
      </c>
      <c r="N2356">
        <v>0.37</v>
      </c>
      <c r="O2356">
        <v>0</v>
      </c>
      <c r="P2356">
        <v>0</v>
      </c>
      <c r="Q2356" t="s">
        <v>108</v>
      </c>
    </row>
    <row r="2357" spans="1:17">
      <c r="A2357" t="s">
        <v>93</v>
      </c>
      <c r="B2357" t="s">
        <v>106</v>
      </c>
      <c r="C2357" t="s">
        <v>56</v>
      </c>
      <c r="D2357" t="s">
        <v>2140</v>
      </c>
      <c r="E2357">
        <v>24</v>
      </c>
      <c r="F2357" t="str">
        <f>VLOOKUP(E2357,[1]LOJA!$A:$B,2,0)</f>
        <v>LUZIÂNIA</v>
      </c>
      <c r="G2357" t="s">
        <v>19</v>
      </c>
      <c r="H2357" t="s">
        <v>19</v>
      </c>
      <c r="I2357" s="1">
        <v>46035</v>
      </c>
      <c r="J2357" s="1">
        <v>46035</v>
      </c>
      <c r="K2357" s="1">
        <v>46035</v>
      </c>
      <c r="L2357">
        <v>34</v>
      </c>
      <c r="M2357">
        <v>2.79</v>
      </c>
      <c r="N2357">
        <v>2.79</v>
      </c>
      <c r="O2357">
        <v>0</v>
      </c>
      <c r="P2357">
        <v>0</v>
      </c>
      <c r="Q2357" t="s">
        <v>108</v>
      </c>
    </row>
    <row r="2358" spans="1:17">
      <c r="A2358" t="s">
        <v>93</v>
      </c>
      <c r="B2358" t="s">
        <v>106</v>
      </c>
      <c r="C2358" t="s">
        <v>56</v>
      </c>
      <c r="D2358" t="s">
        <v>2141</v>
      </c>
      <c r="E2358">
        <v>24</v>
      </c>
      <c r="F2358" t="str">
        <f>VLOOKUP(E2358,[1]LOJA!$A:$B,2,0)</f>
        <v>LUZIÂNIA</v>
      </c>
      <c r="G2358" t="s">
        <v>19</v>
      </c>
      <c r="H2358" t="s">
        <v>19</v>
      </c>
      <c r="I2358" s="1">
        <v>46035</v>
      </c>
      <c r="J2358" s="1">
        <v>46035</v>
      </c>
      <c r="K2358" s="1">
        <v>46035</v>
      </c>
      <c r="L2358">
        <v>34</v>
      </c>
      <c r="M2358">
        <v>0.27</v>
      </c>
      <c r="N2358">
        <v>0.27</v>
      </c>
      <c r="O2358">
        <v>0</v>
      </c>
      <c r="P2358">
        <v>0</v>
      </c>
      <c r="Q2358" t="s">
        <v>108</v>
      </c>
    </row>
    <row r="2359" spans="1:17">
      <c r="A2359" t="s">
        <v>93</v>
      </c>
      <c r="B2359" t="s">
        <v>106</v>
      </c>
      <c r="C2359" t="s">
        <v>56</v>
      </c>
      <c r="D2359" t="s">
        <v>2142</v>
      </c>
      <c r="E2359">
        <v>24</v>
      </c>
      <c r="F2359" t="str">
        <f>VLOOKUP(E2359,[1]LOJA!$A:$B,2,0)</f>
        <v>LUZIÂNIA</v>
      </c>
      <c r="G2359" t="s">
        <v>19</v>
      </c>
      <c r="H2359" t="s">
        <v>19</v>
      </c>
      <c r="I2359" s="1">
        <v>46035</v>
      </c>
      <c r="J2359" s="1">
        <v>46035</v>
      </c>
      <c r="K2359" s="1">
        <v>46035</v>
      </c>
      <c r="L2359">
        <v>34</v>
      </c>
      <c r="M2359">
        <v>0.44</v>
      </c>
      <c r="N2359">
        <v>0.44</v>
      </c>
      <c r="O2359">
        <v>0</v>
      </c>
      <c r="P2359">
        <v>0</v>
      </c>
      <c r="Q2359" t="s">
        <v>108</v>
      </c>
    </row>
    <row r="2360" spans="1:17">
      <c r="A2360" t="s">
        <v>93</v>
      </c>
      <c r="B2360" t="s">
        <v>106</v>
      </c>
      <c r="C2360" t="s">
        <v>56</v>
      </c>
      <c r="D2360" t="s">
        <v>2143</v>
      </c>
      <c r="E2360">
        <v>24</v>
      </c>
      <c r="F2360" t="str">
        <f>VLOOKUP(E2360,[1]LOJA!$A:$B,2,0)</f>
        <v>LUZIÂNIA</v>
      </c>
      <c r="G2360" t="s">
        <v>19</v>
      </c>
      <c r="H2360" t="s">
        <v>19</v>
      </c>
      <c r="I2360" s="1">
        <v>46036</v>
      </c>
      <c r="J2360" s="1">
        <v>46036</v>
      </c>
      <c r="K2360" s="1">
        <v>46036</v>
      </c>
      <c r="L2360">
        <v>34</v>
      </c>
      <c r="M2360">
        <v>14.44</v>
      </c>
      <c r="N2360">
        <v>14.44</v>
      </c>
      <c r="O2360">
        <v>0</v>
      </c>
      <c r="P2360">
        <v>0</v>
      </c>
      <c r="Q2360" t="s">
        <v>108</v>
      </c>
    </row>
    <row r="2361" spans="1:17">
      <c r="A2361" t="s">
        <v>93</v>
      </c>
      <c r="B2361" t="s">
        <v>106</v>
      </c>
      <c r="C2361" t="s">
        <v>56</v>
      </c>
      <c r="D2361" t="s">
        <v>2144</v>
      </c>
      <c r="E2361">
        <v>24</v>
      </c>
      <c r="F2361" t="str">
        <f>VLOOKUP(E2361,[1]LOJA!$A:$B,2,0)</f>
        <v>LUZIÂNIA</v>
      </c>
      <c r="G2361" t="s">
        <v>19</v>
      </c>
      <c r="H2361" t="s">
        <v>19</v>
      </c>
      <c r="I2361" s="1">
        <v>46036</v>
      </c>
      <c r="J2361" s="1">
        <v>46036</v>
      </c>
      <c r="K2361" s="1">
        <v>46036</v>
      </c>
      <c r="L2361">
        <v>34</v>
      </c>
      <c r="M2361">
        <v>2.19</v>
      </c>
      <c r="N2361">
        <v>2.19</v>
      </c>
      <c r="O2361">
        <v>0</v>
      </c>
      <c r="P2361">
        <v>0</v>
      </c>
      <c r="Q2361" t="s">
        <v>108</v>
      </c>
    </row>
    <row r="2362" spans="1:17">
      <c r="A2362" t="s">
        <v>93</v>
      </c>
      <c r="B2362" t="s">
        <v>106</v>
      </c>
      <c r="C2362" t="s">
        <v>56</v>
      </c>
      <c r="D2362" t="s">
        <v>2145</v>
      </c>
      <c r="E2362">
        <v>24</v>
      </c>
      <c r="F2362" t="str">
        <f>VLOOKUP(E2362,[1]LOJA!$A:$B,2,0)</f>
        <v>LUZIÂNIA</v>
      </c>
      <c r="G2362" t="s">
        <v>19</v>
      </c>
      <c r="H2362" t="s">
        <v>19</v>
      </c>
      <c r="I2362" s="1">
        <v>46036</v>
      </c>
      <c r="J2362" s="1">
        <v>46036</v>
      </c>
      <c r="K2362" s="1">
        <v>46036</v>
      </c>
      <c r="L2362">
        <v>34</v>
      </c>
      <c r="M2362">
        <v>4.38</v>
      </c>
      <c r="N2362">
        <v>4.38</v>
      </c>
      <c r="O2362">
        <v>0</v>
      </c>
      <c r="P2362">
        <v>0</v>
      </c>
      <c r="Q2362" t="s">
        <v>108</v>
      </c>
    </row>
    <row r="2363" spans="1:17">
      <c r="A2363" t="s">
        <v>93</v>
      </c>
      <c r="B2363" t="s">
        <v>106</v>
      </c>
      <c r="C2363" t="s">
        <v>56</v>
      </c>
      <c r="D2363" t="s">
        <v>2146</v>
      </c>
      <c r="E2363">
        <v>24</v>
      </c>
      <c r="F2363" t="str">
        <f>VLOOKUP(E2363,[1]LOJA!$A:$B,2,0)</f>
        <v>LUZIÂNIA</v>
      </c>
      <c r="G2363" t="s">
        <v>19</v>
      </c>
      <c r="H2363" t="s">
        <v>19</v>
      </c>
      <c r="I2363" s="1">
        <v>46036</v>
      </c>
      <c r="J2363" s="1">
        <v>46036</v>
      </c>
      <c r="K2363" s="1">
        <v>46036</v>
      </c>
      <c r="L2363">
        <v>34</v>
      </c>
      <c r="M2363">
        <v>5.6</v>
      </c>
      <c r="N2363">
        <v>5.6</v>
      </c>
      <c r="O2363">
        <v>0</v>
      </c>
      <c r="P2363">
        <v>0</v>
      </c>
      <c r="Q2363" t="s">
        <v>108</v>
      </c>
    </row>
    <row r="2364" spans="1:17">
      <c r="A2364" t="s">
        <v>93</v>
      </c>
      <c r="B2364" t="s">
        <v>106</v>
      </c>
      <c r="C2364" t="s">
        <v>56</v>
      </c>
      <c r="D2364" t="s">
        <v>2147</v>
      </c>
      <c r="E2364">
        <v>24</v>
      </c>
      <c r="F2364" t="str">
        <f>VLOOKUP(E2364,[1]LOJA!$A:$B,2,0)</f>
        <v>LUZIÂNIA</v>
      </c>
      <c r="G2364" t="s">
        <v>19</v>
      </c>
      <c r="H2364" t="s">
        <v>19</v>
      </c>
      <c r="I2364" s="1">
        <v>46036</v>
      </c>
      <c r="J2364" s="1">
        <v>46036</v>
      </c>
      <c r="K2364" s="1">
        <v>46036</v>
      </c>
      <c r="L2364">
        <v>34</v>
      </c>
      <c r="M2364">
        <v>5.27</v>
      </c>
      <c r="N2364">
        <v>5.27</v>
      </c>
      <c r="O2364">
        <v>0</v>
      </c>
      <c r="P2364">
        <v>0</v>
      </c>
      <c r="Q2364" t="s">
        <v>108</v>
      </c>
    </row>
    <row r="2365" spans="1:17">
      <c r="A2365" t="s">
        <v>93</v>
      </c>
      <c r="B2365" t="s">
        <v>106</v>
      </c>
      <c r="C2365" t="s">
        <v>56</v>
      </c>
      <c r="D2365" t="s">
        <v>2148</v>
      </c>
      <c r="E2365">
        <v>24</v>
      </c>
      <c r="F2365" t="str">
        <f>VLOOKUP(E2365,[1]LOJA!$A:$B,2,0)</f>
        <v>LUZIÂNIA</v>
      </c>
      <c r="G2365" t="s">
        <v>19</v>
      </c>
      <c r="H2365" t="s">
        <v>19</v>
      </c>
      <c r="I2365" s="1">
        <v>46036</v>
      </c>
      <c r="J2365" s="1">
        <v>46036</v>
      </c>
      <c r="K2365" s="1">
        <v>46036</v>
      </c>
      <c r="L2365">
        <v>34</v>
      </c>
      <c r="M2365">
        <v>11.6</v>
      </c>
      <c r="N2365">
        <v>11.6</v>
      </c>
      <c r="O2365">
        <v>0</v>
      </c>
      <c r="P2365">
        <v>0</v>
      </c>
      <c r="Q2365" t="s">
        <v>108</v>
      </c>
    </row>
    <row r="2366" spans="1:17">
      <c r="A2366" t="s">
        <v>93</v>
      </c>
      <c r="B2366" t="s">
        <v>106</v>
      </c>
      <c r="C2366" t="s">
        <v>56</v>
      </c>
      <c r="D2366" t="s">
        <v>2149</v>
      </c>
      <c r="E2366">
        <v>24</v>
      </c>
      <c r="F2366" t="str">
        <f>VLOOKUP(E2366,[1]LOJA!$A:$B,2,0)</f>
        <v>LUZIÂNIA</v>
      </c>
      <c r="G2366" t="s">
        <v>19</v>
      </c>
      <c r="H2366" t="s">
        <v>19</v>
      </c>
      <c r="I2366" s="1">
        <v>46036</v>
      </c>
      <c r="J2366" s="1">
        <v>46036</v>
      </c>
      <c r="K2366" s="1">
        <v>46036</v>
      </c>
      <c r="L2366">
        <v>34</v>
      </c>
      <c r="M2366">
        <v>5.79</v>
      </c>
      <c r="N2366">
        <v>5.79</v>
      </c>
      <c r="O2366">
        <v>0</v>
      </c>
      <c r="P2366">
        <v>0</v>
      </c>
      <c r="Q2366" t="s">
        <v>108</v>
      </c>
    </row>
    <row r="2367" spans="1:17">
      <c r="A2367" t="s">
        <v>93</v>
      </c>
      <c r="B2367" t="s">
        <v>106</v>
      </c>
      <c r="C2367" t="s">
        <v>56</v>
      </c>
      <c r="D2367" t="s">
        <v>2150</v>
      </c>
      <c r="E2367">
        <v>24</v>
      </c>
      <c r="F2367" t="str">
        <f>VLOOKUP(E2367,[1]LOJA!$A:$B,2,0)</f>
        <v>LUZIÂNIA</v>
      </c>
      <c r="G2367" t="s">
        <v>19</v>
      </c>
      <c r="H2367" t="s">
        <v>19</v>
      </c>
      <c r="I2367" s="1">
        <v>46036</v>
      </c>
      <c r="J2367" s="1">
        <v>46036</v>
      </c>
      <c r="K2367" s="1">
        <v>46036</v>
      </c>
      <c r="L2367">
        <v>34</v>
      </c>
      <c r="M2367">
        <v>6.64</v>
      </c>
      <c r="N2367">
        <v>6.64</v>
      </c>
      <c r="O2367">
        <v>0</v>
      </c>
      <c r="P2367">
        <v>0</v>
      </c>
      <c r="Q2367" t="s">
        <v>108</v>
      </c>
    </row>
    <row r="2368" spans="1:17">
      <c r="A2368" t="s">
        <v>93</v>
      </c>
      <c r="B2368" t="s">
        <v>106</v>
      </c>
      <c r="C2368" t="s">
        <v>56</v>
      </c>
      <c r="D2368" t="s">
        <v>2151</v>
      </c>
      <c r="E2368">
        <v>24</v>
      </c>
      <c r="F2368" t="str">
        <f>VLOOKUP(E2368,[1]LOJA!$A:$B,2,0)</f>
        <v>LUZIÂNIA</v>
      </c>
      <c r="G2368" t="s">
        <v>19</v>
      </c>
      <c r="H2368" t="s">
        <v>19</v>
      </c>
      <c r="I2368" s="1">
        <v>46036</v>
      </c>
      <c r="J2368" s="1">
        <v>46036</v>
      </c>
      <c r="K2368" s="1">
        <v>46036</v>
      </c>
      <c r="L2368">
        <v>34</v>
      </c>
      <c r="M2368">
        <v>0.8</v>
      </c>
      <c r="N2368">
        <v>0.8</v>
      </c>
      <c r="O2368">
        <v>0</v>
      </c>
      <c r="P2368">
        <v>0</v>
      </c>
      <c r="Q2368" t="s">
        <v>108</v>
      </c>
    </row>
    <row r="2369" spans="1:17">
      <c r="A2369" t="s">
        <v>93</v>
      </c>
      <c r="B2369" t="s">
        <v>106</v>
      </c>
      <c r="C2369" t="s">
        <v>56</v>
      </c>
      <c r="D2369" t="s">
        <v>2152</v>
      </c>
      <c r="E2369">
        <v>24</v>
      </c>
      <c r="F2369" t="str">
        <f>VLOOKUP(E2369,[1]LOJA!$A:$B,2,0)</f>
        <v>LUZIÂNIA</v>
      </c>
      <c r="G2369" t="s">
        <v>19</v>
      </c>
      <c r="H2369" t="s">
        <v>19</v>
      </c>
      <c r="I2369" s="1">
        <v>46036</v>
      </c>
      <c r="J2369" s="1">
        <v>46036</v>
      </c>
      <c r="K2369" s="1">
        <v>46036</v>
      </c>
      <c r="L2369">
        <v>34</v>
      </c>
      <c r="M2369">
        <v>0.03</v>
      </c>
      <c r="N2369">
        <v>0.03</v>
      </c>
      <c r="O2369">
        <v>0</v>
      </c>
      <c r="P2369">
        <v>0</v>
      </c>
      <c r="Q2369" t="s">
        <v>108</v>
      </c>
    </row>
    <row r="2370" spans="1:17">
      <c r="A2370" t="s">
        <v>93</v>
      </c>
      <c r="B2370" t="s">
        <v>106</v>
      </c>
      <c r="C2370" t="s">
        <v>56</v>
      </c>
      <c r="D2370" t="s">
        <v>2153</v>
      </c>
      <c r="E2370">
        <v>24</v>
      </c>
      <c r="F2370" t="str">
        <f>VLOOKUP(E2370,[1]LOJA!$A:$B,2,0)</f>
        <v>LUZIÂNIA</v>
      </c>
      <c r="G2370" t="s">
        <v>19</v>
      </c>
      <c r="H2370" t="s">
        <v>19</v>
      </c>
      <c r="I2370" s="1">
        <v>46036</v>
      </c>
      <c r="J2370" s="1">
        <v>46036</v>
      </c>
      <c r="K2370" s="1">
        <v>46036</v>
      </c>
      <c r="L2370">
        <v>34</v>
      </c>
      <c r="M2370">
        <v>0.13</v>
      </c>
      <c r="N2370">
        <v>0.13</v>
      </c>
      <c r="O2370">
        <v>0</v>
      </c>
      <c r="P2370">
        <v>0</v>
      </c>
      <c r="Q2370" t="s">
        <v>108</v>
      </c>
    </row>
    <row r="2371" spans="1:17">
      <c r="A2371" t="s">
        <v>93</v>
      </c>
      <c r="B2371" t="s">
        <v>106</v>
      </c>
      <c r="C2371" t="s">
        <v>56</v>
      </c>
      <c r="D2371" t="s">
        <v>2154</v>
      </c>
      <c r="E2371">
        <v>24</v>
      </c>
      <c r="F2371" t="str">
        <f>VLOOKUP(E2371,[1]LOJA!$A:$B,2,0)</f>
        <v>LUZIÂNIA</v>
      </c>
      <c r="G2371" t="s">
        <v>19</v>
      </c>
      <c r="H2371" t="s">
        <v>19</v>
      </c>
      <c r="I2371" s="1">
        <v>46036</v>
      </c>
      <c r="J2371" s="1">
        <v>46036</v>
      </c>
      <c r="K2371" s="1">
        <v>46036</v>
      </c>
      <c r="L2371">
        <v>34</v>
      </c>
      <c r="M2371">
        <v>0.04</v>
      </c>
      <c r="N2371">
        <v>0.04</v>
      </c>
      <c r="O2371">
        <v>0</v>
      </c>
      <c r="P2371">
        <v>0</v>
      </c>
      <c r="Q2371" t="s">
        <v>108</v>
      </c>
    </row>
    <row r="2372" spans="1:17">
      <c r="A2372" t="s">
        <v>93</v>
      </c>
      <c r="B2372" t="s">
        <v>106</v>
      </c>
      <c r="C2372" t="s">
        <v>56</v>
      </c>
      <c r="D2372" t="s">
        <v>2155</v>
      </c>
      <c r="E2372">
        <v>24</v>
      </c>
      <c r="F2372" t="str">
        <f>VLOOKUP(E2372,[1]LOJA!$A:$B,2,0)</f>
        <v>LUZIÂNIA</v>
      </c>
      <c r="G2372" t="s">
        <v>19</v>
      </c>
      <c r="H2372" t="s">
        <v>19</v>
      </c>
      <c r="I2372" s="1">
        <v>46036</v>
      </c>
      <c r="J2372" s="1">
        <v>46036</v>
      </c>
      <c r="K2372" s="1">
        <v>46036</v>
      </c>
      <c r="L2372">
        <v>34</v>
      </c>
      <c r="M2372">
        <v>0.9</v>
      </c>
      <c r="N2372">
        <v>0.9</v>
      </c>
      <c r="O2372">
        <v>0</v>
      </c>
      <c r="P2372">
        <v>0</v>
      </c>
      <c r="Q2372" t="s">
        <v>108</v>
      </c>
    </row>
    <row r="2373" spans="1:17">
      <c r="A2373" t="s">
        <v>93</v>
      </c>
      <c r="B2373" t="s">
        <v>106</v>
      </c>
      <c r="C2373" t="s">
        <v>56</v>
      </c>
      <c r="D2373" t="s">
        <v>2156</v>
      </c>
      <c r="E2373">
        <v>24</v>
      </c>
      <c r="F2373" t="str">
        <f>VLOOKUP(E2373,[1]LOJA!$A:$B,2,0)</f>
        <v>LUZIÂNIA</v>
      </c>
      <c r="G2373" t="s">
        <v>19</v>
      </c>
      <c r="H2373" t="s">
        <v>19</v>
      </c>
      <c r="I2373" s="1">
        <v>46036</v>
      </c>
      <c r="J2373" s="1">
        <v>46036</v>
      </c>
      <c r="K2373" s="1">
        <v>46036</v>
      </c>
      <c r="L2373">
        <v>34</v>
      </c>
      <c r="M2373">
        <v>1.39</v>
      </c>
      <c r="N2373">
        <v>1.39</v>
      </c>
      <c r="O2373">
        <v>0</v>
      </c>
      <c r="P2373">
        <v>0</v>
      </c>
      <c r="Q2373" t="s">
        <v>108</v>
      </c>
    </row>
    <row r="2374" spans="1:17">
      <c r="A2374" t="s">
        <v>93</v>
      </c>
      <c r="B2374" t="s">
        <v>106</v>
      </c>
      <c r="C2374" t="s">
        <v>56</v>
      </c>
      <c r="D2374" t="s">
        <v>2157</v>
      </c>
      <c r="E2374">
        <v>24</v>
      </c>
      <c r="F2374" t="str">
        <f>VLOOKUP(E2374,[1]LOJA!$A:$B,2,0)</f>
        <v>LUZIÂNIA</v>
      </c>
      <c r="G2374" t="s">
        <v>19</v>
      </c>
      <c r="H2374" t="s">
        <v>19</v>
      </c>
      <c r="I2374" s="1">
        <v>46036</v>
      </c>
      <c r="J2374" s="1">
        <v>46036</v>
      </c>
      <c r="K2374" s="1">
        <v>46036</v>
      </c>
      <c r="L2374">
        <v>34</v>
      </c>
      <c r="M2374">
        <v>0.32</v>
      </c>
      <c r="N2374">
        <v>0.32</v>
      </c>
      <c r="O2374">
        <v>0</v>
      </c>
      <c r="P2374">
        <v>0</v>
      </c>
      <c r="Q2374" t="s">
        <v>108</v>
      </c>
    </row>
    <row r="2375" spans="1:17">
      <c r="A2375" t="s">
        <v>93</v>
      </c>
      <c r="B2375" t="s">
        <v>106</v>
      </c>
      <c r="C2375" t="s">
        <v>56</v>
      </c>
      <c r="D2375" t="s">
        <v>2158</v>
      </c>
      <c r="E2375">
        <v>24</v>
      </c>
      <c r="F2375" t="str">
        <f>VLOOKUP(E2375,[1]LOJA!$A:$B,2,0)</f>
        <v>LUZIÂNIA</v>
      </c>
      <c r="G2375" t="s">
        <v>19</v>
      </c>
      <c r="H2375" t="s">
        <v>19</v>
      </c>
      <c r="I2375" s="1">
        <v>46036</v>
      </c>
      <c r="J2375" s="1">
        <v>46036</v>
      </c>
      <c r="K2375" s="1">
        <v>46036</v>
      </c>
      <c r="L2375">
        <v>34</v>
      </c>
      <c r="M2375">
        <v>0.63</v>
      </c>
      <c r="N2375">
        <v>0.63</v>
      </c>
      <c r="O2375">
        <v>0</v>
      </c>
      <c r="P2375">
        <v>0</v>
      </c>
      <c r="Q2375" t="s">
        <v>108</v>
      </c>
    </row>
    <row r="2376" spans="1:17">
      <c r="A2376" t="s">
        <v>93</v>
      </c>
      <c r="B2376" t="s">
        <v>106</v>
      </c>
      <c r="C2376" t="s">
        <v>56</v>
      </c>
      <c r="D2376" t="s">
        <v>2159</v>
      </c>
      <c r="E2376">
        <v>24</v>
      </c>
      <c r="F2376" t="str">
        <f>VLOOKUP(E2376,[1]LOJA!$A:$B,2,0)</f>
        <v>LUZIÂNIA</v>
      </c>
      <c r="G2376" t="s">
        <v>19</v>
      </c>
      <c r="H2376" t="s">
        <v>19</v>
      </c>
      <c r="I2376" s="1">
        <v>46036</v>
      </c>
      <c r="J2376" s="1">
        <v>46036</v>
      </c>
      <c r="K2376" s="1">
        <v>46036</v>
      </c>
      <c r="L2376">
        <v>34</v>
      </c>
      <c r="M2376">
        <v>1.17</v>
      </c>
      <c r="N2376">
        <v>1.17</v>
      </c>
      <c r="O2376">
        <v>0</v>
      </c>
      <c r="P2376">
        <v>0</v>
      </c>
      <c r="Q2376" t="s">
        <v>108</v>
      </c>
    </row>
    <row r="2377" spans="1:17">
      <c r="A2377" t="s">
        <v>93</v>
      </c>
      <c r="B2377" t="s">
        <v>106</v>
      </c>
      <c r="C2377" t="s">
        <v>56</v>
      </c>
      <c r="D2377" t="s">
        <v>2160</v>
      </c>
      <c r="E2377">
        <v>24</v>
      </c>
      <c r="F2377" t="str">
        <f>VLOOKUP(E2377,[1]LOJA!$A:$B,2,0)</f>
        <v>LUZIÂNIA</v>
      </c>
      <c r="G2377" t="s">
        <v>19</v>
      </c>
      <c r="H2377" t="s">
        <v>19</v>
      </c>
      <c r="I2377" s="1">
        <v>46036</v>
      </c>
      <c r="J2377" s="1">
        <v>46036</v>
      </c>
      <c r="K2377" s="1">
        <v>46036</v>
      </c>
      <c r="L2377">
        <v>34</v>
      </c>
      <c r="M2377">
        <v>1.1299999999999999</v>
      </c>
      <c r="N2377">
        <v>1.1299999999999999</v>
      </c>
      <c r="O2377">
        <v>0</v>
      </c>
      <c r="P2377">
        <v>0</v>
      </c>
      <c r="Q2377" t="s">
        <v>108</v>
      </c>
    </row>
    <row r="2378" spans="1:17">
      <c r="A2378" t="s">
        <v>93</v>
      </c>
      <c r="B2378" t="s">
        <v>106</v>
      </c>
      <c r="C2378" t="s">
        <v>56</v>
      </c>
      <c r="D2378" t="s">
        <v>2161</v>
      </c>
      <c r="E2378">
        <v>24</v>
      </c>
      <c r="F2378" t="str">
        <f>VLOOKUP(E2378,[1]LOJA!$A:$B,2,0)</f>
        <v>LUZIÂNIA</v>
      </c>
      <c r="G2378" t="s">
        <v>19</v>
      </c>
      <c r="H2378" t="s">
        <v>19</v>
      </c>
      <c r="I2378" s="1">
        <v>46036</v>
      </c>
      <c r="J2378" s="1">
        <v>46036</v>
      </c>
      <c r="K2378" s="1">
        <v>46036</v>
      </c>
      <c r="L2378">
        <v>34</v>
      </c>
      <c r="M2378">
        <v>1.26</v>
      </c>
      <c r="N2378">
        <v>1.26</v>
      </c>
      <c r="O2378">
        <v>0</v>
      </c>
      <c r="P2378">
        <v>0</v>
      </c>
      <c r="Q2378" t="s">
        <v>108</v>
      </c>
    </row>
    <row r="2379" spans="1:17">
      <c r="A2379" t="s">
        <v>93</v>
      </c>
      <c r="B2379" t="s">
        <v>106</v>
      </c>
      <c r="C2379" t="s">
        <v>56</v>
      </c>
      <c r="D2379" t="s">
        <v>2162</v>
      </c>
      <c r="E2379">
        <v>24</v>
      </c>
      <c r="F2379" t="str">
        <f>VLOOKUP(E2379,[1]LOJA!$A:$B,2,0)</f>
        <v>LUZIÂNIA</v>
      </c>
      <c r="G2379" t="s">
        <v>19</v>
      </c>
      <c r="H2379" t="s">
        <v>19</v>
      </c>
      <c r="I2379" s="1">
        <v>46036</v>
      </c>
      <c r="J2379" s="1">
        <v>46036</v>
      </c>
      <c r="K2379" s="1">
        <v>46036</v>
      </c>
      <c r="L2379">
        <v>34</v>
      </c>
      <c r="M2379">
        <v>0.12</v>
      </c>
      <c r="N2379">
        <v>0.12</v>
      </c>
      <c r="O2379">
        <v>0</v>
      </c>
      <c r="P2379">
        <v>0</v>
      </c>
      <c r="Q2379" t="s">
        <v>108</v>
      </c>
    </row>
    <row r="2380" spans="1:17">
      <c r="A2380" t="s">
        <v>93</v>
      </c>
      <c r="B2380" t="s">
        <v>106</v>
      </c>
      <c r="C2380" t="s">
        <v>56</v>
      </c>
      <c r="D2380" t="s">
        <v>2163</v>
      </c>
      <c r="E2380">
        <v>24</v>
      </c>
      <c r="F2380" t="str">
        <f>VLOOKUP(E2380,[1]LOJA!$A:$B,2,0)</f>
        <v>LUZIÂNIA</v>
      </c>
      <c r="G2380" t="s">
        <v>19</v>
      </c>
      <c r="H2380" t="s">
        <v>19</v>
      </c>
      <c r="I2380" s="1">
        <v>46036</v>
      </c>
      <c r="J2380" s="1">
        <v>46036</v>
      </c>
      <c r="K2380" s="1">
        <v>46036</v>
      </c>
      <c r="L2380">
        <v>34</v>
      </c>
      <c r="M2380">
        <v>2.11</v>
      </c>
      <c r="N2380">
        <v>2.11</v>
      </c>
      <c r="O2380">
        <v>0</v>
      </c>
      <c r="P2380">
        <v>0</v>
      </c>
      <c r="Q2380" t="s">
        <v>108</v>
      </c>
    </row>
    <row r="2381" spans="1:17">
      <c r="A2381" t="s">
        <v>93</v>
      </c>
      <c r="B2381" t="s">
        <v>106</v>
      </c>
      <c r="C2381" t="s">
        <v>56</v>
      </c>
      <c r="D2381" t="s">
        <v>2164</v>
      </c>
      <c r="E2381">
        <v>24</v>
      </c>
      <c r="F2381" t="str">
        <f>VLOOKUP(E2381,[1]LOJA!$A:$B,2,0)</f>
        <v>LUZIÂNIA</v>
      </c>
      <c r="G2381" t="s">
        <v>19</v>
      </c>
      <c r="H2381" t="s">
        <v>19</v>
      </c>
      <c r="I2381" s="1">
        <v>46036</v>
      </c>
      <c r="J2381" s="1">
        <v>46036</v>
      </c>
      <c r="K2381" s="1">
        <v>46036</v>
      </c>
      <c r="L2381">
        <v>34</v>
      </c>
      <c r="M2381">
        <v>0.74</v>
      </c>
      <c r="N2381">
        <v>0.74</v>
      </c>
      <c r="O2381">
        <v>0</v>
      </c>
      <c r="P2381">
        <v>0</v>
      </c>
      <c r="Q2381" t="s">
        <v>108</v>
      </c>
    </row>
    <row r="2382" spans="1:17">
      <c r="A2382" t="s">
        <v>93</v>
      </c>
      <c r="B2382" t="s">
        <v>106</v>
      </c>
      <c r="C2382" t="s">
        <v>56</v>
      </c>
      <c r="D2382" t="s">
        <v>2165</v>
      </c>
      <c r="E2382">
        <v>24</v>
      </c>
      <c r="F2382" t="str">
        <f>VLOOKUP(E2382,[1]LOJA!$A:$B,2,0)</f>
        <v>LUZIÂNIA</v>
      </c>
      <c r="G2382" t="s">
        <v>19</v>
      </c>
      <c r="H2382" t="s">
        <v>19</v>
      </c>
      <c r="I2382" s="1">
        <v>46036</v>
      </c>
      <c r="J2382" s="1">
        <v>46036</v>
      </c>
      <c r="K2382" s="1">
        <v>46036</v>
      </c>
      <c r="L2382">
        <v>34</v>
      </c>
      <c r="M2382">
        <v>0.05</v>
      </c>
      <c r="N2382">
        <v>0.05</v>
      </c>
      <c r="O2382">
        <v>0</v>
      </c>
      <c r="P2382">
        <v>0</v>
      </c>
      <c r="Q2382" t="s">
        <v>108</v>
      </c>
    </row>
    <row r="2383" spans="1:17">
      <c r="A2383" t="s">
        <v>93</v>
      </c>
      <c r="B2383" t="s">
        <v>106</v>
      </c>
      <c r="C2383" t="s">
        <v>56</v>
      </c>
      <c r="D2383" t="s">
        <v>2166</v>
      </c>
      <c r="E2383">
        <v>24</v>
      </c>
      <c r="F2383" t="str">
        <f>VLOOKUP(E2383,[1]LOJA!$A:$B,2,0)</f>
        <v>LUZIÂNIA</v>
      </c>
      <c r="G2383" t="s">
        <v>19</v>
      </c>
      <c r="H2383" t="s">
        <v>19</v>
      </c>
      <c r="I2383" s="1">
        <v>46036</v>
      </c>
      <c r="J2383" s="1">
        <v>46036</v>
      </c>
      <c r="K2383" s="1">
        <v>46036</v>
      </c>
      <c r="L2383">
        <v>34</v>
      </c>
      <c r="M2383">
        <v>0.9</v>
      </c>
      <c r="N2383">
        <v>0.9</v>
      </c>
      <c r="O2383">
        <v>0</v>
      </c>
      <c r="P2383">
        <v>0</v>
      </c>
      <c r="Q2383" t="s">
        <v>108</v>
      </c>
    </row>
    <row r="2384" spans="1:17">
      <c r="A2384" t="s">
        <v>93</v>
      </c>
      <c r="B2384" t="s">
        <v>106</v>
      </c>
      <c r="C2384" t="s">
        <v>56</v>
      </c>
      <c r="D2384" t="s">
        <v>2167</v>
      </c>
      <c r="E2384">
        <v>24</v>
      </c>
      <c r="F2384" t="str">
        <f>VLOOKUP(E2384,[1]LOJA!$A:$B,2,0)</f>
        <v>LUZIÂNIA</v>
      </c>
      <c r="G2384" t="s">
        <v>19</v>
      </c>
      <c r="H2384" t="s">
        <v>19</v>
      </c>
      <c r="I2384" s="1">
        <v>46036</v>
      </c>
      <c r="J2384" s="1">
        <v>46036</v>
      </c>
      <c r="K2384" s="1">
        <v>46036</v>
      </c>
      <c r="L2384">
        <v>34</v>
      </c>
      <c r="M2384">
        <v>0.9</v>
      </c>
      <c r="N2384">
        <v>0.9</v>
      </c>
      <c r="O2384">
        <v>0</v>
      </c>
      <c r="P2384">
        <v>0</v>
      </c>
      <c r="Q2384" t="s">
        <v>108</v>
      </c>
    </row>
    <row r="2385" spans="1:17">
      <c r="A2385" t="s">
        <v>93</v>
      </c>
      <c r="B2385" t="s">
        <v>106</v>
      </c>
      <c r="C2385" t="s">
        <v>56</v>
      </c>
      <c r="D2385" t="s">
        <v>2168</v>
      </c>
      <c r="E2385">
        <v>24</v>
      </c>
      <c r="F2385" t="str">
        <f>VLOOKUP(E2385,[1]LOJA!$A:$B,2,0)</f>
        <v>LUZIÂNIA</v>
      </c>
      <c r="G2385" t="s">
        <v>19</v>
      </c>
      <c r="H2385" t="s">
        <v>19</v>
      </c>
      <c r="I2385" s="1">
        <v>46037</v>
      </c>
      <c r="J2385" s="1">
        <v>46037</v>
      </c>
      <c r="K2385" s="1">
        <v>46037</v>
      </c>
      <c r="L2385">
        <v>34</v>
      </c>
      <c r="M2385">
        <v>18.03</v>
      </c>
      <c r="N2385">
        <v>18.03</v>
      </c>
      <c r="O2385">
        <v>0</v>
      </c>
      <c r="P2385">
        <v>0</v>
      </c>
      <c r="Q2385" t="s">
        <v>108</v>
      </c>
    </row>
    <row r="2386" spans="1:17">
      <c r="A2386" t="s">
        <v>93</v>
      </c>
      <c r="B2386" t="s">
        <v>106</v>
      </c>
      <c r="C2386" t="s">
        <v>56</v>
      </c>
      <c r="D2386" t="s">
        <v>2169</v>
      </c>
      <c r="E2386">
        <v>24</v>
      </c>
      <c r="F2386" t="str">
        <f>VLOOKUP(E2386,[1]LOJA!$A:$B,2,0)</f>
        <v>LUZIÂNIA</v>
      </c>
      <c r="G2386" t="s">
        <v>19</v>
      </c>
      <c r="H2386" t="s">
        <v>19</v>
      </c>
      <c r="I2386" s="1">
        <v>46037</v>
      </c>
      <c r="J2386" s="1">
        <v>46037</v>
      </c>
      <c r="K2386" s="1">
        <v>46037</v>
      </c>
      <c r="L2386">
        <v>34</v>
      </c>
      <c r="M2386">
        <v>7.7</v>
      </c>
      <c r="N2386">
        <v>7.7</v>
      </c>
      <c r="O2386">
        <v>0</v>
      </c>
      <c r="P2386">
        <v>0</v>
      </c>
      <c r="Q2386" t="s">
        <v>108</v>
      </c>
    </row>
    <row r="2387" spans="1:17">
      <c r="A2387" t="s">
        <v>93</v>
      </c>
      <c r="B2387" t="s">
        <v>106</v>
      </c>
      <c r="C2387" t="s">
        <v>56</v>
      </c>
      <c r="D2387" t="s">
        <v>2170</v>
      </c>
      <c r="E2387">
        <v>24</v>
      </c>
      <c r="F2387" t="str">
        <f>VLOOKUP(E2387,[1]LOJA!$A:$B,2,0)</f>
        <v>LUZIÂNIA</v>
      </c>
      <c r="G2387" t="s">
        <v>19</v>
      </c>
      <c r="H2387" t="s">
        <v>19</v>
      </c>
      <c r="I2387" s="1">
        <v>46037</v>
      </c>
      <c r="J2387" s="1">
        <v>46037</v>
      </c>
      <c r="K2387" s="1">
        <v>46037</v>
      </c>
      <c r="L2387">
        <v>34</v>
      </c>
      <c r="M2387">
        <v>7.93</v>
      </c>
      <c r="N2387">
        <v>7.93</v>
      </c>
      <c r="O2387">
        <v>0</v>
      </c>
      <c r="P2387">
        <v>0</v>
      </c>
      <c r="Q2387" t="s">
        <v>108</v>
      </c>
    </row>
    <row r="2388" spans="1:17">
      <c r="A2388" t="s">
        <v>93</v>
      </c>
      <c r="B2388" t="s">
        <v>106</v>
      </c>
      <c r="C2388" t="s">
        <v>56</v>
      </c>
      <c r="D2388" t="s">
        <v>2171</v>
      </c>
      <c r="E2388">
        <v>24</v>
      </c>
      <c r="F2388" t="str">
        <f>VLOOKUP(E2388,[1]LOJA!$A:$B,2,0)</f>
        <v>LUZIÂNIA</v>
      </c>
      <c r="G2388" t="s">
        <v>19</v>
      </c>
      <c r="H2388" t="s">
        <v>19</v>
      </c>
      <c r="I2388" s="1">
        <v>46037</v>
      </c>
      <c r="J2388" s="1">
        <v>46037</v>
      </c>
      <c r="K2388" s="1">
        <v>46037</v>
      </c>
      <c r="L2388">
        <v>34</v>
      </c>
      <c r="M2388">
        <v>3.45</v>
      </c>
      <c r="N2388">
        <v>3.45</v>
      </c>
      <c r="O2388">
        <v>0</v>
      </c>
      <c r="P2388">
        <v>0</v>
      </c>
      <c r="Q2388" t="s">
        <v>108</v>
      </c>
    </row>
    <row r="2389" spans="1:17">
      <c r="A2389" t="s">
        <v>93</v>
      </c>
      <c r="B2389" t="s">
        <v>106</v>
      </c>
      <c r="C2389" t="s">
        <v>56</v>
      </c>
      <c r="D2389" t="s">
        <v>2172</v>
      </c>
      <c r="E2389">
        <v>24</v>
      </c>
      <c r="F2389" t="str">
        <f>VLOOKUP(E2389,[1]LOJA!$A:$B,2,0)</f>
        <v>LUZIÂNIA</v>
      </c>
      <c r="G2389" t="s">
        <v>19</v>
      </c>
      <c r="H2389" t="s">
        <v>19</v>
      </c>
      <c r="I2389" s="1">
        <v>46037</v>
      </c>
      <c r="J2389" s="1">
        <v>46037</v>
      </c>
      <c r="K2389" s="1">
        <v>46037</v>
      </c>
      <c r="L2389">
        <v>34</v>
      </c>
      <c r="M2389">
        <v>7.12</v>
      </c>
      <c r="N2389">
        <v>7.12</v>
      </c>
      <c r="O2389">
        <v>0</v>
      </c>
      <c r="P2389">
        <v>0</v>
      </c>
      <c r="Q2389" t="s">
        <v>108</v>
      </c>
    </row>
    <row r="2390" spans="1:17">
      <c r="A2390" t="s">
        <v>93</v>
      </c>
      <c r="B2390" t="s">
        <v>106</v>
      </c>
      <c r="C2390" t="s">
        <v>56</v>
      </c>
      <c r="D2390" t="s">
        <v>2173</v>
      </c>
      <c r="E2390">
        <v>24</v>
      </c>
      <c r="F2390" t="str">
        <f>VLOOKUP(E2390,[1]LOJA!$A:$B,2,0)</f>
        <v>LUZIÂNIA</v>
      </c>
      <c r="G2390" t="s">
        <v>19</v>
      </c>
      <c r="H2390" t="s">
        <v>19</v>
      </c>
      <c r="I2390" s="1">
        <v>46037</v>
      </c>
      <c r="J2390" s="1">
        <v>46037</v>
      </c>
      <c r="K2390" s="1">
        <v>46037</v>
      </c>
      <c r="L2390">
        <v>34</v>
      </c>
      <c r="M2390">
        <v>16.43</v>
      </c>
      <c r="N2390">
        <v>16.43</v>
      </c>
      <c r="O2390">
        <v>0</v>
      </c>
      <c r="P2390">
        <v>0</v>
      </c>
      <c r="Q2390" t="s">
        <v>108</v>
      </c>
    </row>
    <row r="2391" spans="1:17">
      <c r="A2391" t="s">
        <v>93</v>
      </c>
      <c r="B2391" t="s">
        <v>106</v>
      </c>
      <c r="C2391" t="s">
        <v>56</v>
      </c>
      <c r="D2391" t="s">
        <v>2174</v>
      </c>
      <c r="E2391">
        <v>24</v>
      </c>
      <c r="F2391" t="str">
        <f>VLOOKUP(E2391,[1]LOJA!$A:$B,2,0)</f>
        <v>LUZIÂNIA</v>
      </c>
      <c r="G2391" t="s">
        <v>19</v>
      </c>
      <c r="H2391" t="s">
        <v>19</v>
      </c>
      <c r="I2391" s="1">
        <v>46037</v>
      </c>
      <c r="J2391" s="1">
        <v>46037</v>
      </c>
      <c r="K2391" s="1">
        <v>46037</v>
      </c>
      <c r="L2391">
        <v>34</v>
      </c>
      <c r="M2391">
        <v>5.1100000000000003</v>
      </c>
      <c r="N2391">
        <v>5.1100000000000003</v>
      </c>
      <c r="O2391">
        <v>0</v>
      </c>
      <c r="P2391">
        <v>0</v>
      </c>
      <c r="Q2391" t="s">
        <v>108</v>
      </c>
    </row>
    <row r="2392" spans="1:17">
      <c r="A2392" t="s">
        <v>93</v>
      </c>
      <c r="B2392" t="s">
        <v>106</v>
      </c>
      <c r="C2392" t="s">
        <v>56</v>
      </c>
      <c r="D2392" t="s">
        <v>2175</v>
      </c>
      <c r="E2392">
        <v>24</v>
      </c>
      <c r="F2392" t="str">
        <f>VLOOKUP(E2392,[1]LOJA!$A:$B,2,0)</f>
        <v>LUZIÂNIA</v>
      </c>
      <c r="G2392" t="s">
        <v>19</v>
      </c>
      <c r="H2392" t="s">
        <v>19</v>
      </c>
      <c r="I2392" s="1">
        <v>46037</v>
      </c>
      <c r="J2392" s="1">
        <v>46037</v>
      </c>
      <c r="K2392" s="1">
        <v>46037</v>
      </c>
      <c r="L2392">
        <v>34</v>
      </c>
      <c r="M2392">
        <v>4.6399999999999997</v>
      </c>
      <c r="N2392">
        <v>4.6399999999999997</v>
      </c>
      <c r="O2392">
        <v>0</v>
      </c>
      <c r="P2392">
        <v>0</v>
      </c>
      <c r="Q2392" t="s">
        <v>108</v>
      </c>
    </row>
    <row r="2393" spans="1:17">
      <c r="A2393" t="s">
        <v>93</v>
      </c>
      <c r="B2393" t="s">
        <v>106</v>
      </c>
      <c r="C2393" t="s">
        <v>56</v>
      </c>
      <c r="D2393" t="s">
        <v>2176</v>
      </c>
      <c r="E2393">
        <v>24</v>
      </c>
      <c r="F2393" t="str">
        <f>VLOOKUP(E2393,[1]LOJA!$A:$B,2,0)</f>
        <v>LUZIÂNIA</v>
      </c>
      <c r="G2393" t="s">
        <v>19</v>
      </c>
      <c r="H2393" t="s">
        <v>19</v>
      </c>
      <c r="I2393" s="1">
        <v>46037</v>
      </c>
      <c r="J2393" s="1">
        <v>46037</v>
      </c>
      <c r="K2393" s="1">
        <v>46037</v>
      </c>
      <c r="L2393">
        <v>34</v>
      </c>
      <c r="M2393">
        <v>1.75</v>
      </c>
      <c r="N2393">
        <v>1.75</v>
      </c>
      <c r="O2393">
        <v>0</v>
      </c>
      <c r="P2393">
        <v>0</v>
      </c>
      <c r="Q2393" t="s">
        <v>108</v>
      </c>
    </row>
    <row r="2394" spans="1:17">
      <c r="A2394" t="s">
        <v>93</v>
      </c>
      <c r="B2394" t="s">
        <v>106</v>
      </c>
      <c r="C2394" t="s">
        <v>56</v>
      </c>
      <c r="D2394" t="s">
        <v>2177</v>
      </c>
      <c r="E2394">
        <v>24</v>
      </c>
      <c r="F2394" t="str">
        <f>VLOOKUP(E2394,[1]LOJA!$A:$B,2,0)</f>
        <v>LUZIÂNIA</v>
      </c>
      <c r="G2394" t="s">
        <v>19</v>
      </c>
      <c r="H2394" t="s">
        <v>19</v>
      </c>
      <c r="I2394" s="1">
        <v>46037</v>
      </c>
      <c r="J2394" s="1">
        <v>46037</v>
      </c>
      <c r="K2394" s="1">
        <v>46037</v>
      </c>
      <c r="L2394">
        <v>34</v>
      </c>
      <c r="M2394">
        <v>0.53</v>
      </c>
      <c r="N2394">
        <v>0.53</v>
      </c>
      <c r="O2394">
        <v>0</v>
      </c>
      <c r="P2394">
        <v>0</v>
      </c>
      <c r="Q2394" t="s">
        <v>108</v>
      </c>
    </row>
    <row r="2395" spans="1:17">
      <c r="A2395" t="s">
        <v>93</v>
      </c>
      <c r="B2395" t="s">
        <v>106</v>
      </c>
      <c r="C2395" t="s">
        <v>56</v>
      </c>
      <c r="D2395" t="s">
        <v>2178</v>
      </c>
      <c r="E2395">
        <v>24</v>
      </c>
      <c r="F2395" t="str">
        <f>VLOOKUP(E2395,[1]LOJA!$A:$B,2,0)</f>
        <v>LUZIÂNIA</v>
      </c>
      <c r="G2395" t="s">
        <v>19</v>
      </c>
      <c r="H2395" t="s">
        <v>19</v>
      </c>
      <c r="I2395" s="1">
        <v>46037</v>
      </c>
      <c r="J2395" s="1">
        <v>46037</v>
      </c>
      <c r="K2395" s="1">
        <v>46037</v>
      </c>
      <c r="L2395">
        <v>34</v>
      </c>
      <c r="M2395">
        <v>2.33</v>
      </c>
      <c r="N2395">
        <v>2.33</v>
      </c>
      <c r="O2395">
        <v>0</v>
      </c>
      <c r="P2395">
        <v>0</v>
      </c>
      <c r="Q2395" t="s">
        <v>108</v>
      </c>
    </row>
    <row r="2396" spans="1:17">
      <c r="A2396" t="s">
        <v>93</v>
      </c>
      <c r="B2396" t="s">
        <v>106</v>
      </c>
      <c r="C2396" t="s">
        <v>56</v>
      </c>
      <c r="D2396" t="s">
        <v>2179</v>
      </c>
      <c r="E2396">
        <v>24</v>
      </c>
      <c r="F2396" t="str">
        <f>VLOOKUP(E2396,[1]LOJA!$A:$B,2,0)</f>
        <v>LUZIÂNIA</v>
      </c>
      <c r="G2396" t="s">
        <v>19</v>
      </c>
      <c r="H2396" t="s">
        <v>19</v>
      </c>
      <c r="I2396" s="1">
        <v>46037</v>
      </c>
      <c r="J2396" s="1">
        <v>46037</v>
      </c>
      <c r="K2396" s="1">
        <v>46037</v>
      </c>
      <c r="L2396">
        <v>34</v>
      </c>
      <c r="M2396">
        <v>5.1100000000000003</v>
      </c>
      <c r="N2396">
        <v>5.1100000000000003</v>
      </c>
      <c r="O2396">
        <v>0</v>
      </c>
      <c r="P2396">
        <v>0</v>
      </c>
      <c r="Q2396" t="s">
        <v>108</v>
      </c>
    </row>
    <row r="2397" spans="1:17">
      <c r="A2397" t="s">
        <v>93</v>
      </c>
      <c r="B2397" t="s">
        <v>106</v>
      </c>
      <c r="C2397" t="s">
        <v>56</v>
      </c>
      <c r="D2397" t="s">
        <v>2180</v>
      </c>
      <c r="E2397">
        <v>24</v>
      </c>
      <c r="F2397" t="str">
        <f>VLOOKUP(E2397,[1]LOJA!$A:$B,2,0)</f>
        <v>LUZIÂNIA</v>
      </c>
      <c r="G2397" t="s">
        <v>19</v>
      </c>
      <c r="H2397" t="s">
        <v>19</v>
      </c>
      <c r="I2397" s="1">
        <v>46037</v>
      </c>
      <c r="J2397" s="1">
        <v>46037</v>
      </c>
      <c r="K2397" s="1">
        <v>46037</v>
      </c>
      <c r="L2397">
        <v>34</v>
      </c>
      <c r="M2397">
        <v>5.04</v>
      </c>
      <c r="N2397">
        <v>5.04</v>
      </c>
      <c r="O2397">
        <v>0</v>
      </c>
      <c r="P2397">
        <v>0</v>
      </c>
      <c r="Q2397" t="s">
        <v>108</v>
      </c>
    </row>
    <row r="2398" spans="1:17">
      <c r="A2398" t="s">
        <v>93</v>
      </c>
      <c r="B2398" t="s">
        <v>106</v>
      </c>
      <c r="C2398" t="s">
        <v>56</v>
      </c>
      <c r="D2398" t="s">
        <v>2181</v>
      </c>
      <c r="E2398">
        <v>24</v>
      </c>
      <c r="F2398" t="str">
        <f>VLOOKUP(E2398,[1]LOJA!$A:$B,2,0)</f>
        <v>LUZIÂNIA</v>
      </c>
      <c r="G2398" t="s">
        <v>19</v>
      </c>
      <c r="H2398" t="s">
        <v>19</v>
      </c>
      <c r="I2398" s="1">
        <v>46037</v>
      </c>
      <c r="J2398" s="1">
        <v>46037</v>
      </c>
      <c r="K2398" s="1">
        <v>46037</v>
      </c>
      <c r="L2398">
        <v>34</v>
      </c>
      <c r="M2398">
        <v>0.89</v>
      </c>
      <c r="N2398">
        <v>0.89</v>
      </c>
      <c r="O2398">
        <v>0</v>
      </c>
      <c r="P2398">
        <v>0</v>
      </c>
      <c r="Q2398" t="s">
        <v>108</v>
      </c>
    </row>
    <row r="2399" spans="1:17">
      <c r="A2399" t="s">
        <v>93</v>
      </c>
      <c r="B2399" t="s">
        <v>106</v>
      </c>
      <c r="C2399" t="s">
        <v>56</v>
      </c>
      <c r="D2399" t="s">
        <v>2182</v>
      </c>
      <c r="E2399">
        <v>24</v>
      </c>
      <c r="F2399" t="str">
        <f>VLOOKUP(E2399,[1]LOJA!$A:$B,2,0)</f>
        <v>LUZIÂNIA</v>
      </c>
      <c r="G2399" t="s">
        <v>19</v>
      </c>
      <c r="H2399" t="s">
        <v>19</v>
      </c>
      <c r="I2399" s="1">
        <v>46037</v>
      </c>
      <c r="J2399" s="1">
        <v>46037</v>
      </c>
      <c r="K2399" s="1">
        <v>46037</v>
      </c>
      <c r="L2399">
        <v>34</v>
      </c>
      <c r="M2399">
        <v>3.22</v>
      </c>
      <c r="N2399">
        <v>3.22</v>
      </c>
      <c r="O2399">
        <v>0</v>
      </c>
      <c r="P2399">
        <v>0</v>
      </c>
      <c r="Q2399" t="s">
        <v>108</v>
      </c>
    </row>
    <row r="2400" spans="1:17">
      <c r="A2400" t="s">
        <v>93</v>
      </c>
      <c r="B2400" t="s">
        <v>106</v>
      </c>
      <c r="C2400" t="s">
        <v>56</v>
      </c>
      <c r="D2400" t="s">
        <v>2183</v>
      </c>
      <c r="E2400">
        <v>24</v>
      </c>
      <c r="F2400" t="str">
        <f>VLOOKUP(E2400,[1]LOJA!$A:$B,2,0)</f>
        <v>LUZIÂNIA</v>
      </c>
      <c r="G2400" t="s">
        <v>19</v>
      </c>
      <c r="H2400" t="s">
        <v>19</v>
      </c>
      <c r="I2400" s="1">
        <v>46037</v>
      </c>
      <c r="J2400" s="1">
        <v>46037</v>
      </c>
      <c r="K2400" s="1">
        <v>46037</v>
      </c>
      <c r="L2400">
        <v>34</v>
      </c>
      <c r="M2400">
        <v>0.18</v>
      </c>
      <c r="N2400">
        <v>0.18</v>
      </c>
      <c r="O2400">
        <v>0</v>
      </c>
      <c r="P2400">
        <v>0</v>
      </c>
      <c r="Q2400" t="s">
        <v>108</v>
      </c>
    </row>
    <row r="2401" spans="1:17">
      <c r="A2401" t="s">
        <v>93</v>
      </c>
      <c r="B2401" t="s">
        <v>106</v>
      </c>
      <c r="C2401" t="s">
        <v>56</v>
      </c>
      <c r="D2401" t="s">
        <v>2184</v>
      </c>
      <c r="E2401">
        <v>24</v>
      </c>
      <c r="F2401" t="str">
        <f>VLOOKUP(E2401,[1]LOJA!$A:$B,2,0)</f>
        <v>LUZIÂNIA</v>
      </c>
      <c r="G2401" t="s">
        <v>19</v>
      </c>
      <c r="H2401" t="s">
        <v>19</v>
      </c>
      <c r="I2401" s="1">
        <v>46037</v>
      </c>
      <c r="J2401" s="1">
        <v>46037</v>
      </c>
      <c r="K2401" s="1">
        <v>46037</v>
      </c>
      <c r="L2401">
        <v>34</v>
      </c>
      <c r="M2401">
        <v>1.17</v>
      </c>
      <c r="N2401">
        <v>1.17</v>
      </c>
      <c r="O2401">
        <v>0</v>
      </c>
      <c r="P2401">
        <v>0</v>
      </c>
      <c r="Q2401" t="s">
        <v>108</v>
      </c>
    </row>
    <row r="2402" spans="1:17">
      <c r="A2402" t="s">
        <v>93</v>
      </c>
      <c r="B2402" t="s">
        <v>106</v>
      </c>
      <c r="C2402" t="s">
        <v>56</v>
      </c>
      <c r="D2402" t="s">
        <v>2185</v>
      </c>
      <c r="E2402">
        <v>24</v>
      </c>
      <c r="F2402" t="str">
        <f>VLOOKUP(E2402,[1]LOJA!$A:$B,2,0)</f>
        <v>LUZIÂNIA</v>
      </c>
      <c r="G2402" t="s">
        <v>19</v>
      </c>
      <c r="H2402" t="s">
        <v>19</v>
      </c>
      <c r="I2402" s="1">
        <v>46037</v>
      </c>
      <c r="J2402" s="1">
        <v>46037</v>
      </c>
      <c r="K2402" s="1">
        <v>46037</v>
      </c>
      <c r="L2402">
        <v>34</v>
      </c>
      <c r="M2402">
        <v>1.44</v>
      </c>
      <c r="N2402">
        <v>1.44</v>
      </c>
      <c r="O2402">
        <v>0</v>
      </c>
      <c r="P2402">
        <v>0</v>
      </c>
      <c r="Q2402" t="s">
        <v>108</v>
      </c>
    </row>
    <row r="2403" spans="1:17">
      <c r="A2403" t="s">
        <v>93</v>
      </c>
      <c r="B2403" t="s">
        <v>106</v>
      </c>
      <c r="C2403" t="s">
        <v>56</v>
      </c>
      <c r="D2403" t="s">
        <v>2186</v>
      </c>
      <c r="E2403">
        <v>24</v>
      </c>
      <c r="F2403" t="str">
        <f>VLOOKUP(E2403,[1]LOJA!$A:$B,2,0)</f>
        <v>LUZIÂNIA</v>
      </c>
      <c r="G2403" t="s">
        <v>19</v>
      </c>
      <c r="H2403" t="s">
        <v>19</v>
      </c>
      <c r="I2403" s="1">
        <v>46037</v>
      </c>
      <c r="J2403" s="1">
        <v>46037</v>
      </c>
      <c r="K2403" s="1">
        <v>46037</v>
      </c>
      <c r="L2403">
        <v>34</v>
      </c>
      <c r="M2403">
        <v>0.33</v>
      </c>
      <c r="N2403">
        <v>0.33</v>
      </c>
      <c r="O2403">
        <v>0</v>
      </c>
      <c r="P2403">
        <v>0</v>
      </c>
      <c r="Q2403" t="s">
        <v>108</v>
      </c>
    </row>
    <row r="2404" spans="1:17">
      <c r="A2404" t="s">
        <v>93</v>
      </c>
      <c r="B2404" t="s">
        <v>106</v>
      </c>
      <c r="C2404" t="s">
        <v>56</v>
      </c>
      <c r="D2404" t="s">
        <v>2187</v>
      </c>
      <c r="E2404">
        <v>24</v>
      </c>
      <c r="F2404" t="str">
        <f>VLOOKUP(E2404,[1]LOJA!$A:$B,2,0)</f>
        <v>LUZIÂNIA</v>
      </c>
      <c r="G2404" t="s">
        <v>19</v>
      </c>
      <c r="H2404" t="s">
        <v>19</v>
      </c>
      <c r="I2404" s="1">
        <v>46037</v>
      </c>
      <c r="J2404" s="1">
        <v>46037</v>
      </c>
      <c r="K2404" s="1">
        <v>46037</v>
      </c>
      <c r="L2404">
        <v>34</v>
      </c>
      <c r="M2404">
        <v>1.25</v>
      </c>
      <c r="N2404">
        <v>1.25</v>
      </c>
      <c r="O2404">
        <v>0</v>
      </c>
      <c r="P2404">
        <v>0</v>
      </c>
      <c r="Q2404" t="s">
        <v>108</v>
      </c>
    </row>
    <row r="2405" spans="1:17">
      <c r="A2405" t="s">
        <v>93</v>
      </c>
      <c r="B2405" t="s">
        <v>106</v>
      </c>
      <c r="C2405" t="s">
        <v>56</v>
      </c>
      <c r="D2405" t="s">
        <v>2188</v>
      </c>
      <c r="E2405">
        <v>24</v>
      </c>
      <c r="F2405" t="str">
        <f>VLOOKUP(E2405,[1]LOJA!$A:$B,2,0)</f>
        <v>LUZIÂNIA</v>
      </c>
      <c r="G2405" t="s">
        <v>19</v>
      </c>
      <c r="H2405" t="s">
        <v>19</v>
      </c>
      <c r="I2405" s="1">
        <v>46037</v>
      </c>
      <c r="J2405" s="1">
        <v>46037</v>
      </c>
      <c r="K2405" s="1">
        <v>46037</v>
      </c>
      <c r="L2405">
        <v>34</v>
      </c>
      <c r="M2405">
        <v>0.47</v>
      </c>
      <c r="N2405">
        <v>0.47</v>
      </c>
      <c r="O2405">
        <v>0</v>
      </c>
      <c r="P2405">
        <v>0</v>
      </c>
      <c r="Q2405" t="s">
        <v>108</v>
      </c>
    </row>
    <row r="2406" spans="1:17">
      <c r="A2406" t="s">
        <v>93</v>
      </c>
      <c r="B2406" t="s">
        <v>106</v>
      </c>
      <c r="C2406" t="s">
        <v>56</v>
      </c>
      <c r="D2406" t="s">
        <v>2189</v>
      </c>
      <c r="E2406">
        <v>24</v>
      </c>
      <c r="F2406" t="str">
        <f>VLOOKUP(E2406,[1]LOJA!$A:$B,2,0)</f>
        <v>LUZIÂNIA</v>
      </c>
      <c r="G2406" t="s">
        <v>19</v>
      </c>
      <c r="H2406" t="s">
        <v>19</v>
      </c>
      <c r="I2406" s="1">
        <v>46037</v>
      </c>
      <c r="J2406" s="1">
        <v>46037</v>
      </c>
      <c r="K2406" s="1">
        <v>46037</v>
      </c>
      <c r="L2406">
        <v>34</v>
      </c>
      <c r="M2406">
        <v>1.05</v>
      </c>
      <c r="N2406">
        <v>1.05</v>
      </c>
      <c r="O2406">
        <v>0</v>
      </c>
      <c r="P2406">
        <v>0</v>
      </c>
      <c r="Q2406" t="s">
        <v>108</v>
      </c>
    </row>
    <row r="2407" spans="1:17">
      <c r="A2407" t="s">
        <v>93</v>
      </c>
      <c r="B2407" t="s">
        <v>106</v>
      </c>
      <c r="C2407" t="s">
        <v>56</v>
      </c>
      <c r="D2407" t="s">
        <v>2190</v>
      </c>
      <c r="E2407">
        <v>24</v>
      </c>
      <c r="F2407" t="str">
        <f>VLOOKUP(E2407,[1]LOJA!$A:$B,2,0)</f>
        <v>LUZIÂNIA</v>
      </c>
      <c r="G2407" t="s">
        <v>19</v>
      </c>
      <c r="H2407" t="s">
        <v>19</v>
      </c>
      <c r="I2407" s="1">
        <v>46037</v>
      </c>
      <c r="J2407" s="1">
        <v>46037</v>
      </c>
      <c r="K2407" s="1">
        <v>46037</v>
      </c>
      <c r="L2407">
        <v>34</v>
      </c>
      <c r="M2407">
        <v>0.21</v>
      </c>
      <c r="N2407">
        <v>0.21</v>
      </c>
      <c r="O2407">
        <v>0</v>
      </c>
      <c r="P2407">
        <v>0</v>
      </c>
      <c r="Q2407" t="s">
        <v>108</v>
      </c>
    </row>
    <row r="2408" spans="1:17">
      <c r="A2408" t="s">
        <v>93</v>
      </c>
      <c r="B2408" t="s">
        <v>106</v>
      </c>
      <c r="C2408" t="s">
        <v>56</v>
      </c>
      <c r="D2408" t="s">
        <v>2191</v>
      </c>
      <c r="E2408">
        <v>24</v>
      </c>
      <c r="F2408" t="str">
        <f>VLOOKUP(E2408,[1]LOJA!$A:$B,2,0)</f>
        <v>LUZIÂNIA</v>
      </c>
      <c r="G2408" t="s">
        <v>19</v>
      </c>
      <c r="H2408" t="s">
        <v>19</v>
      </c>
      <c r="I2408" s="1">
        <v>46037</v>
      </c>
      <c r="J2408" s="1">
        <v>46037</v>
      </c>
      <c r="K2408" s="1">
        <v>46037</v>
      </c>
      <c r="L2408">
        <v>34</v>
      </c>
      <c r="M2408">
        <v>4.67</v>
      </c>
      <c r="N2408">
        <v>4.67</v>
      </c>
      <c r="O2408">
        <v>0</v>
      </c>
      <c r="P2408">
        <v>0</v>
      </c>
      <c r="Q2408" t="s">
        <v>108</v>
      </c>
    </row>
    <row r="2409" spans="1:17">
      <c r="A2409" t="s">
        <v>93</v>
      </c>
      <c r="B2409" t="s">
        <v>106</v>
      </c>
      <c r="C2409" t="s">
        <v>56</v>
      </c>
      <c r="D2409" t="s">
        <v>2192</v>
      </c>
      <c r="E2409">
        <v>24</v>
      </c>
      <c r="F2409" t="str">
        <f>VLOOKUP(E2409,[1]LOJA!$A:$B,2,0)</f>
        <v>LUZIÂNIA</v>
      </c>
      <c r="G2409" t="s">
        <v>19</v>
      </c>
      <c r="H2409" t="s">
        <v>19</v>
      </c>
      <c r="I2409" s="1">
        <v>46037</v>
      </c>
      <c r="J2409" s="1">
        <v>46037</v>
      </c>
      <c r="K2409" s="1">
        <v>46037</v>
      </c>
      <c r="L2409">
        <v>34</v>
      </c>
      <c r="M2409">
        <v>0.97</v>
      </c>
      <c r="N2409">
        <v>0.97</v>
      </c>
      <c r="O2409">
        <v>0</v>
      </c>
      <c r="P2409">
        <v>0</v>
      </c>
      <c r="Q2409" t="s">
        <v>108</v>
      </c>
    </row>
    <row r="2410" spans="1:17">
      <c r="A2410" t="s">
        <v>93</v>
      </c>
      <c r="B2410" t="s">
        <v>106</v>
      </c>
      <c r="C2410" t="s">
        <v>56</v>
      </c>
      <c r="D2410" t="s">
        <v>2193</v>
      </c>
      <c r="E2410">
        <v>24</v>
      </c>
      <c r="F2410" t="str">
        <f>VLOOKUP(E2410,[1]LOJA!$A:$B,2,0)</f>
        <v>LUZIÂNIA</v>
      </c>
      <c r="G2410" t="s">
        <v>19</v>
      </c>
      <c r="H2410" t="s">
        <v>19</v>
      </c>
      <c r="I2410" s="1">
        <v>46037</v>
      </c>
      <c r="J2410" s="1">
        <v>46037</v>
      </c>
      <c r="K2410" s="1">
        <v>46037</v>
      </c>
      <c r="L2410">
        <v>34</v>
      </c>
      <c r="M2410">
        <v>0.87</v>
      </c>
      <c r="N2410">
        <v>0.87</v>
      </c>
      <c r="O2410">
        <v>0</v>
      </c>
      <c r="P2410">
        <v>0</v>
      </c>
      <c r="Q2410" t="s">
        <v>108</v>
      </c>
    </row>
    <row r="2411" spans="1:17">
      <c r="A2411" t="s">
        <v>93</v>
      </c>
      <c r="B2411" t="s">
        <v>106</v>
      </c>
      <c r="C2411" t="s">
        <v>56</v>
      </c>
      <c r="D2411" t="s">
        <v>2194</v>
      </c>
      <c r="E2411">
        <v>24</v>
      </c>
      <c r="F2411" t="str">
        <f>VLOOKUP(E2411,[1]LOJA!$A:$B,2,0)</f>
        <v>LUZIÂNIA</v>
      </c>
      <c r="G2411" t="s">
        <v>19</v>
      </c>
      <c r="H2411" t="s">
        <v>19</v>
      </c>
      <c r="I2411" s="1">
        <v>46037</v>
      </c>
      <c r="J2411" s="1">
        <v>46037</v>
      </c>
      <c r="K2411" s="1">
        <v>46037</v>
      </c>
      <c r="L2411">
        <v>34</v>
      </c>
      <c r="M2411">
        <v>0.18</v>
      </c>
      <c r="N2411">
        <v>0.18</v>
      </c>
      <c r="O2411">
        <v>0</v>
      </c>
      <c r="P2411">
        <v>0</v>
      </c>
      <c r="Q2411" t="s">
        <v>108</v>
      </c>
    </row>
    <row r="2412" spans="1:17">
      <c r="A2412" t="s">
        <v>93</v>
      </c>
      <c r="B2412" t="s">
        <v>106</v>
      </c>
      <c r="C2412" t="s">
        <v>56</v>
      </c>
      <c r="D2412" t="s">
        <v>2195</v>
      </c>
      <c r="E2412">
        <v>24</v>
      </c>
      <c r="F2412" t="str">
        <f>VLOOKUP(E2412,[1]LOJA!$A:$B,2,0)</f>
        <v>LUZIÂNIA</v>
      </c>
      <c r="G2412" t="s">
        <v>19</v>
      </c>
      <c r="H2412" t="s">
        <v>19</v>
      </c>
      <c r="I2412" s="1">
        <v>46037</v>
      </c>
      <c r="J2412" s="1">
        <v>46037</v>
      </c>
      <c r="K2412" s="1">
        <v>46037</v>
      </c>
      <c r="L2412">
        <v>34</v>
      </c>
      <c r="M2412">
        <v>0.37</v>
      </c>
      <c r="N2412">
        <v>0.37</v>
      </c>
      <c r="O2412">
        <v>0</v>
      </c>
      <c r="P2412">
        <v>0</v>
      </c>
      <c r="Q2412" t="s">
        <v>108</v>
      </c>
    </row>
    <row r="2413" spans="1:17">
      <c r="A2413" t="s">
        <v>93</v>
      </c>
      <c r="B2413" t="s">
        <v>106</v>
      </c>
      <c r="C2413" t="s">
        <v>56</v>
      </c>
      <c r="D2413" t="s">
        <v>2196</v>
      </c>
      <c r="E2413">
        <v>24</v>
      </c>
      <c r="F2413" t="str">
        <f>VLOOKUP(E2413,[1]LOJA!$A:$B,2,0)</f>
        <v>LUZIÂNIA</v>
      </c>
      <c r="G2413" t="s">
        <v>19</v>
      </c>
      <c r="H2413" t="s">
        <v>19</v>
      </c>
      <c r="I2413" s="1">
        <v>46037</v>
      </c>
      <c r="J2413" s="1">
        <v>46037</v>
      </c>
      <c r="K2413" s="1">
        <v>46037</v>
      </c>
      <c r="L2413">
        <v>34</v>
      </c>
      <c r="M2413">
        <v>0.09</v>
      </c>
      <c r="N2413">
        <v>0.09</v>
      </c>
      <c r="O2413">
        <v>0</v>
      </c>
      <c r="P2413">
        <v>0</v>
      </c>
      <c r="Q2413" t="s">
        <v>108</v>
      </c>
    </row>
    <row r="2414" spans="1:17">
      <c r="A2414" t="s">
        <v>93</v>
      </c>
      <c r="B2414" t="s">
        <v>106</v>
      </c>
      <c r="C2414" t="s">
        <v>56</v>
      </c>
      <c r="D2414" t="s">
        <v>2197</v>
      </c>
      <c r="E2414">
        <v>24</v>
      </c>
      <c r="F2414" t="str">
        <f>VLOOKUP(E2414,[1]LOJA!$A:$B,2,0)</f>
        <v>LUZIÂNIA</v>
      </c>
      <c r="G2414" t="s">
        <v>19</v>
      </c>
      <c r="H2414" t="s">
        <v>19</v>
      </c>
      <c r="I2414" s="1">
        <v>46037</v>
      </c>
      <c r="J2414" s="1">
        <v>46037</v>
      </c>
      <c r="K2414" s="1">
        <v>46037</v>
      </c>
      <c r="L2414">
        <v>34</v>
      </c>
      <c r="M2414">
        <v>0.05</v>
      </c>
      <c r="N2414">
        <v>0.05</v>
      </c>
      <c r="O2414">
        <v>0</v>
      </c>
      <c r="P2414">
        <v>0</v>
      </c>
      <c r="Q2414" t="s">
        <v>108</v>
      </c>
    </row>
    <row r="2415" spans="1:17">
      <c r="A2415" t="s">
        <v>93</v>
      </c>
      <c r="B2415" t="s">
        <v>106</v>
      </c>
      <c r="C2415" t="s">
        <v>56</v>
      </c>
      <c r="D2415" t="s">
        <v>2198</v>
      </c>
      <c r="E2415">
        <v>24</v>
      </c>
      <c r="F2415" t="str">
        <f>VLOOKUP(E2415,[1]LOJA!$A:$B,2,0)</f>
        <v>LUZIÂNIA</v>
      </c>
      <c r="G2415" t="s">
        <v>19</v>
      </c>
      <c r="H2415" t="s">
        <v>19</v>
      </c>
      <c r="I2415" s="1">
        <v>46037</v>
      </c>
      <c r="J2415" s="1">
        <v>46037</v>
      </c>
      <c r="K2415" s="1">
        <v>46037</v>
      </c>
      <c r="L2415">
        <v>34</v>
      </c>
      <c r="M2415">
        <v>2.65</v>
      </c>
      <c r="N2415">
        <v>2.65</v>
      </c>
      <c r="O2415">
        <v>0</v>
      </c>
      <c r="P2415">
        <v>0</v>
      </c>
      <c r="Q2415" t="s">
        <v>108</v>
      </c>
    </row>
    <row r="2416" spans="1:17">
      <c r="A2416" t="s">
        <v>93</v>
      </c>
      <c r="B2416" t="s">
        <v>106</v>
      </c>
      <c r="C2416" t="s">
        <v>56</v>
      </c>
      <c r="D2416" t="s">
        <v>2199</v>
      </c>
      <c r="E2416">
        <v>24</v>
      </c>
      <c r="F2416" t="str">
        <f>VLOOKUP(E2416,[1]LOJA!$A:$B,2,0)</f>
        <v>LUZIÂNIA</v>
      </c>
      <c r="G2416" t="s">
        <v>19</v>
      </c>
      <c r="H2416" t="s">
        <v>19</v>
      </c>
      <c r="I2416" s="1">
        <v>46037</v>
      </c>
      <c r="J2416" s="1">
        <v>46037</v>
      </c>
      <c r="K2416" s="1">
        <v>46037</v>
      </c>
      <c r="L2416">
        <v>34</v>
      </c>
      <c r="M2416">
        <v>0.32</v>
      </c>
      <c r="N2416">
        <v>0.32</v>
      </c>
      <c r="O2416">
        <v>0</v>
      </c>
      <c r="P2416">
        <v>0</v>
      </c>
      <c r="Q2416" t="s">
        <v>108</v>
      </c>
    </row>
    <row r="2417" spans="1:17">
      <c r="A2417" t="s">
        <v>93</v>
      </c>
      <c r="B2417" t="s">
        <v>106</v>
      </c>
      <c r="C2417" t="s">
        <v>56</v>
      </c>
      <c r="D2417" t="s">
        <v>2200</v>
      </c>
      <c r="E2417">
        <v>24</v>
      </c>
      <c r="F2417" t="str">
        <f>VLOOKUP(E2417,[1]LOJA!$A:$B,2,0)</f>
        <v>LUZIÂNIA</v>
      </c>
      <c r="G2417" t="s">
        <v>19</v>
      </c>
      <c r="H2417" t="s">
        <v>19</v>
      </c>
      <c r="I2417" s="1">
        <v>46038</v>
      </c>
      <c r="J2417" s="1">
        <v>46038</v>
      </c>
      <c r="K2417" s="1">
        <v>46038</v>
      </c>
      <c r="L2417">
        <v>34</v>
      </c>
      <c r="M2417">
        <v>14.05</v>
      </c>
      <c r="N2417">
        <v>14.05</v>
      </c>
      <c r="O2417">
        <v>0</v>
      </c>
      <c r="P2417">
        <v>0</v>
      </c>
      <c r="Q2417" t="s">
        <v>108</v>
      </c>
    </row>
    <row r="2418" spans="1:17">
      <c r="A2418" t="s">
        <v>93</v>
      </c>
      <c r="B2418" t="s">
        <v>106</v>
      </c>
      <c r="C2418" t="s">
        <v>56</v>
      </c>
      <c r="D2418" t="s">
        <v>2201</v>
      </c>
      <c r="E2418">
        <v>24</v>
      </c>
      <c r="F2418" t="str">
        <f>VLOOKUP(E2418,[1]LOJA!$A:$B,2,0)</f>
        <v>LUZIÂNIA</v>
      </c>
      <c r="G2418" t="s">
        <v>19</v>
      </c>
      <c r="H2418" t="s">
        <v>19</v>
      </c>
      <c r="I2418" s="1">
        <v>46038</v>
      </c>
      <c r="J2418" s="1">
        <v>46038</v>
      </c>
      <c r="K2418" s="1">
        <v>46038</v>
      </c>
      <c r="L2418">
        <v>34</v>
      </c>
      <c r="M2418">
        <v>5.1100000000000003</v>
      </c>
      <c r="N2418">
        <v>5.1100000000000003</v>
      </c>
      <c r="O2418">
        <v>0</v>
      </c>
      <c r="P2418">
        <v>0</v>
      </c>
      <c r="Q2418" t="s">
        <v>108</v>
      </c>
    </row>
    <row r="2419" spans="1:17">
      <c r="A2419" t="s">
        <v>93</v>
      </c>
      <c r="B2419" t="s">
        <v>106</v>
      </c>
      <c r="C2419" t="s">
        <v>56</v>
      </c>
      <c r="D2419" t="s">
        <v>2202</v>
      </c>
      <c r="E2419">
        <v>24</v>
      </c>
      <c r="F2419" t="str">
        <f>VLOOKUP(E2419,[1]LOJA!$A:$B,2,0)</f>
        <v>LUZIÂNIA</v>
      </c>
      <c r="G2419" t="s">
        <v>19</v>
      </c>
      <c r="H2419" t="s">
        <v>19</v>
      </c>
      <c r="I2419" s="1">
        <v>46038</v>
      </c>
      <c r="J2419" s="1">
        <v>46038</v>
      </c>
      <c r="K2419" s="1">
        <v>46038</v>
      </c>
      <c r="L2419">
        <v>34</v>
      </c>
      <c r="M2419">
        <v>6.75</v>
      </c>
      <c r="N2419">
        <v>6.75</v>
      </c>
      <c r="O2419">
        <v>0</v>
      </c>
      <c r="P2419">
        <v>0</v>
      </c>
      <c r="Q2419" t="s">
        <v>108</v>
      </c>
    </row>
    <row r="2420" spans="1:17">
      <c r="A2420" t="s">
        <v>93</v>
      </c>
      <c r="B2420" t="s">
        <v>106</v>
      </c>
      <c r="C2420" t="s">
        <v>56</v>
      </c>
      <c r="D2420" t="s">
        <v>2203</v>
      </c>
      <c r="E2420">
        <v>24</v>
      </c>
      <c r="F2420" t="str">
        <f>VLOOKUP(E2420,[1]LOJA!$A:$B,2,0)</f>
        <v>LUZIÂNIA</v>
      </c>
      <c r="G2420" t="s">
        <v>19</v>
      </c>
      <c r="H2420" t="s">
        <v>19</v>
      </c>
      <c r="I2420" s="1">
        <v>46038</v>
      </c>
      <c r="J2420" s="1">
        <v>46038</v>
      </c>
      <c r="K2420" s="1">
        <v>46038</v>
      </c>
      <c r="L2420">
        <v>34</v>
      </c>
      <c r="M2420">
        <v>10.58</v>
      </c>
      <c r="N2420">
        <v>10.58</v>
      </c>
      <c r="O2420">
        <v>0</v>
      </c>
      <c r="P2420">
        <v>0</v>
      </c>
      <c r="Q2420" t="s">
        <v>108</v>
      </c>
    </row>
    <row r="2421" spans="1:17">
      <c r="A2421" t="s">
        <v>93</v>
      </c>
      <c r="B2421" t="s">
        <v>106</v>
      </c>
      <c r="C2421" t="s">
        <v>56</v>
      </c>
      <c r="D2421" t="s">
        <v>2204</v>
      </c>
      <c r="E2421">
        <v>24</v>
      </c>
      <c r="F2421" t="str">
        <f>VLOOKUP(E2421,[1]LOJA!$A:$B,2,0)</f>
        <v>LUZIÂNIA</v>
      </c>
      <c r="G2421" t="s">
        <v>19</v>
      </c>
      <c r="H2421" t="s">
        <v>19</v>
      </c>
      <c r="I2421" s="1">
        <v>46038</v>
      </c>
      <c r="J2421" s="1">
        <v>46038</v>
      </c>
      <c r="K2421" s="1">
        <v>46038</v>
      </c>
      <c r="L2421">
        <v>34</v>
      </c>
      <c r="M2421">
        <v>5.27</v>
      </c>
      <c r="N2421">
        <v>5.27</v>
      </c>
      <c r="O2421">
        <v>0</v>
      </c>
      <c r="P2421">
        <v>0</v>
      </c>
      <c r="Q2421" t="s">
        <v>108</v>
      </c>
    </row>
    <row r="2422" spans="1:17">
      <c r="A2422" t="s">
        <v>93</v>
      </c>
      <c r="B2422" t="s">
        <v>106</v>
      </c>
      <c r="C2422" t="s">
        <v>56</v>
      </c>
      <c r="D2422" t="s">
        <v>2205</v>
      </c>
      <c r="E2422">
        <v>24</v>
      </c>
      <c r="F2422" t="str">
        <f>VLOOKUP(E2422,[1]LOJA!$A:$B,2,0)</f>
        <v>LUZIÂNIA</v>
      </c>
      <c r="G2422" t="s">
        <v>19</v>
      </c>
      <c r="H2422" t="s">
        <v>19</v>
      </c>
      <c r="I2422" s="1">
        <v>46038</v>
      </c>
      <c r="J2422" s="1">
        <v>46038</v>
      </c>
      <c r="K2422" s="1">
        <v>46038</v>
      </c>
      <c r="L2422">
        <v>34</v>
      </c>
      <c r="M2422">
        <v>3.84</v>
      </c>
      <c r="N2422">
        <v>3.84</v>
      </c>
      <c r="O2422">
        <v>0</v>
      </c>
      <c r="P2422">
        <v>0</v>
      </c>
      <c r="Q2422" t="s">
        <v>108</v>
      </c>
    </row>
    <row r="2423" spans="1:17">
      <c r="A2423" t="s">
        <v>93</v>
      </c>
      <c r="B2423" t="s">
        <v>106</v>
      </c>
      <c r="C2423" t="s">
        <v>56</v>
      </c>
      <c r="D2423" t="s">
        <v>2206</v>
      </c>
      <c r="E2423">
        <v>24</v>
      </c>
      <c r="F2423" t="str">
        <f>VLOOKUP(E2423,[1]LOJA!$A:$B,2,0)</f>
        <v>LUZIÂNIA</v>
      </c>
      <c r="G2423" t="s">
        <v>19</v>
      </c>
      <c r="H2423" t="s">
        <v>19</v>
      </c>
      <c r="I2423" s="1">
        <v>46038</v>
      </c>
      <c r="J2423" s="1">
        <v>46038</v>
      </c>
      <c r="K2423" s="1">
        <v>46038</v>
      </c>
      <c r="L2423">
        <v>34</v>
      </c>
      <c r="M2423">
        <v>2.41</v>
      </c>
      <c r="N2423">
        <v>2.41</v>
      </c>
      <c r="O2423">
        <v>0</v>
      </c>
      <c r="P2423">
        <v>0</v>
      </c>
      <c r="Q2423" t="s">
        <v>108</v>
      </c>
    </row>
    <row r="2424" spans="1:17">
      <c r="A2424" t="s">
        <v>93</v>
      </c>
      <c r="B2424" t="s">
        <v>106</v>
      </c>
      <c r="C2424" t="s">
        <v>56</v>
      </c>
      <c r="D2424" t="s">
        <v>2207</v>
      </c>
      <c r="E2424">
        <v>24</v>
      </c>
      <c r="F2424" t="str">
        <f>VLOOKUP(E2424,[1]LOJA!$A:$B,2,0)</f>
        <v>LUZIÂNIA</v>
      </c>
      <c r="G2424" t="s">
        <v>19</v>
      </c>
      <c r="H2424" t="s">
        <v>19</v>
      </c>
      <c r="I2424" s="1">
        <v>46038</v>
      </c>
      <c r="J2424" s="1">
        <v>46038</v>
      </c>
      <c r="K2424" s="1">
        <v>46038</v>
      </c>
      <c r="L2424">
        <v>34</v>
      </c>
      <c r="M2424">
        <v>1.54</v>
      </c>
      <c r="N2424">
        <v>1.54</v>
      </c>
      <c r="O2424">
        <v>0</v>
      </c>
      <c r="P2424">
        <v>0</v>
      </c>
      <c r="Q2424" t="s">
        <v>108</v>
      </c>
    </row>
    <row r="2425" spans="1:17">
      <c r="A2425" t="s">
        <v>93</v>
      </c>
      <c r="B2425" t="s">
        <v>106</v>
      </c>
      <c r="C2425" t="s">
        <v>56</v>
      </c>
      <c r="D2425" t="s">
        <v>2208</v>
      </c>
      <c r="E2425">
        <v>24</v>
      </c>
      <c r="F2425" t="str">
        <f>VLOOKUP(E2425,[1]LOJA!$A:$B,2,0)</f>
        <v>LUZIÂNIA</v>
      </c>
      <c r="G2425" t="s">
        <v>19</v>
      </c>
      <c r="H2425" t="s">
        <v>19</v>
      </c>
      <c r="I2425" s="1">
        <v>46038</v>
      </c>
      <c r="J2425" s="1">
        <v>46038</v>
      </c>
      <c r="K2425" s="1">
        <v>46038</v>
      </c>
      <c r="L2425">
        <v>34</v>
      </c>
      <c r="M2425">
        <v>0.21</v>
      </c>
      <c r="N2425">
        <v>0.21</v>
      </c>
      <c r="O2425">
        <v>0</v>
      </c>
      <c r="P2425">
        <v>0</v>
      </c>
      <c r="Q2425" t="s">
        <v>108</v>
      </c>
    </row>
    <row r="2426" spans="1:17">
      <c r="A2426" t="s">
        <v>93</v>
      </c>
      <c r="B2426" t="s">
        <v>106</v>
      </c>
      <c r="C2426" t="s">
        <v>56</v>
      </c>
      <c r="D2426" t="s">
        <v>2209</v>
      </c>
      <c r="E2426">
        <v>24</v>
      </c>
      <c r="F2426" t="str">
        <f>VLOOKUP(E2426,[1]LOJA!$A:$B,2,0)</f>
        <v>LUZIÂNIA</v>
      </c>
      <c r="G2426" t="s">
        <v>19</v>
      </c>
      <c r="H2426" t="s">
        <v>19</v>
      </c>
      <c r="I2426" s="1">
        <v>46038</v>
      </c>
      <c r="J2426" s="1">
        <v>46038</v>
      </c>
      <c r="K2426" s="1">
        <v>46038</v>
      </c>
      <c r="L2426">
        <v>34</v>
      </c>
      <c r="M2426">
        <v>10.48</v>
      </c>
      <c r="N2426">
        <v>10.48</v>
      </c>
      <c r="O2426">
        <v>0</v>
      </c>
      <c r="P2426">
        <v>0</v>
      </c>
      <c r="Q2426" t="s">
        <v>108</v>
      </c>
    </row>
    <row r="2427" spans="1:17">
      <c r="A2427" t="s">
        <v>93</v>
      </c>
      <c r="B2427" t="s">
        <v>106</v>
      </c>
      <c r="C2427" t="s">
        <v>56</v>
      </c>
      <c r="D2427" t="s">
        <v>2210</v>
      </c>
      <c r="E2427">
        <v>24</v>
      </c>
      <c r="F2427" t="str">
        <f>VLOOKUP(E2427,[1]LOJA!$A:$B,2,0)</f>
        <v>LUZIÂNIA</v>
      </c>
      <c r="G2427" t="s">
        <v>19</v>
      </c>
      <c r="H2427" t="s">
        <v>19</v>
      </c>
      <c r="I2427" s="1">
        <v>46038</v>
      </c>
      <c r="J2427" s="1">
        <v>46038</v>
      </c>
      <c r="K2427" s="1">
        <v>46038</v>
      </c>
      <c r="L2427">
        <v>34</v>
      </c>
      <c r="M2427">
        <v>2.1</v>
      </c>
      <c r="N2427">
        <v>2.1</v>
      </c>
      <c r="O2427">
        <v>0</v>
      </c>
      <c r="P2427">
        <v>0</v>
      </c>
      <c r="Q2427" t="s">
        <v>108</v>
      </c>
    </row>
    <row r="2428" spans="1:17">
      <c r="A2428" t="s">
        <v>93</v>
      </c>
      <c r="B2428" t="s">
        <v>106</v>
      </c>
      <c r="C2428" t="s">
        <v>56</v>
      </c>
      <c r="D2428" t="s">
        <v>2211</v>
      </c>
      <c r="E2428">
        <v>24</v>
      </c>
      <c r="F2428" t="str">
        <f>VLOOKUP(E2428,[1]LOJA!$A:$B,2,0)</f>
        <v>LUZIÂNIA</v>
      </c>
      <c r="G2428" t="s">
        <v>19</v>
      </c>
      <c r="H2428" t="s">
        <v>19</v>
      </c>
      <c r="I2428" s="1">
        <v>46038</v>
      </c>
      <c r="J2428" s="1">
        <v>46038</v>
      </c>
      <c r="K2428" s="1">
        <v>46038</v>
      </c>
      <c r="L2428">
        <v>34</v>
      </c>
      <c r="M2428">
        <v>2.17</v>
      </c>
      <c r="N2428">
        <v>2.17</v>
      </c>
      <c r="O2428">
        <v>0</v>
      </c>
      <c r="P2428">
        <v>0</v>
      </c>
      <c r="Q2428" t="s">
        <v>108</v>
      </c>
    </row>
    <row r="2429" spans="1:17">
      <c r="A2429" t="s">
        <v>93</v>
      </c>
      <c r="B2429" t="s">
        <v>106</v>
      </c>
      <c r="C2429" t="s">
        <v>56</v>
      </c>
      <c r="D2429" t="s">
        <v>2212</v>
      </c>
      <c r="E2429">
        <v>24</v>
      </c>
      <c r="F2429" t="str">
        <f>VLOOKUP(E2429,[1]LOJA!$A:$B,2,0)</f>
        <v>LUZIÂNIA</v>
      </c>
      <c r="G2429" t="s">
        <v>19</v>
      </c>
      <c r="H2429" t="s">
        <v>19</v>
      </c>
      <c r="I2429" s="1">
        <v>46038</v>
      </c>
      <c r="J2429" s="1">
        <v>46038</v>
      </c>
      <c r="K2429" s="1">
        <v>46038</v>
      </c>
      <c r="L2429">
        <v>34</v>
      </c>
      <c r="M2429">
        <v>0.53</v>
      </c>
      <c r="N2429">
        <v>0.53</v>
      </c>
      <c r="O2429">
        <v>0</v>
      </c>
      <c r="P2429">
        <v>0</v>
      </c>
      <c r="Q2429" t="s">
        <v>108</v>
      </c>
    </row>
    <row r="2430" spans="1:17">
      <c r="A2430" t="s">
        <v>93</v>
      </c>
      <c r="B2430" t="s">
        <v>106</v>
      </c>
      <c r="C2430" t="s">
        <v>56</v>
      </c>
      <c r="D2430" t="s">
        <v>2213</v>
      </c>
      <c r="E2430">
        <v>24</v>
      </c>
      <c r="F2430" t="str">
        <f>VLOOKUP(E2430,[1]LOJA!$A:$B,2,0)</f>
        <v>LUZIÂNIA</v>
      </c>
      <c r="G2430" t="s">
        <v>19</v>
      </c>
      <c r="H2430" t="s">
        <v>19</v>
      </c>
      <c r="I2430" s="1">
        <v>46038</v>
      </c>
      <c r="J2430" s="1">
        <v>46038</v>
      </c>
      <c r="K2430" s="1">
        <v>46038</v>
      </c>
      <c r="L2430">
        <v>34</v>
      </c>
      <c r="M2430">
        <v>5.07</v>
      </c>
      <c r="N2430">
        <v>5.07</v>
      </c>
      <c r="O2430">
        <v>0</v>
      </c>
      <c r="P2430">
        <v>0</v>
      </c>
      <c r="Q2430" t="s">
        <v>108</v>
      </c>
    </row>
    <row r="2431" spans="1:17">
      <c r="A2431" t="s">
        <v>93</v>
      </c>
      <c r="B2431" t="s">
        <v>106</v>
      </c>
      <c r="C2431" t="s">
        <v>56</v>
      </c>
      <c r="D2431" t="s">
        <v>2214</v>
      </c>
      <c r="E2431">
        <v>24</v>
      </c>
      <c r="F2431" t="str">
        <f>VLOOKUP(E2431,[1]LOJA!$A:$B,2,0)</f>
        <v>LUZIÂNIA</v>
      </c>
      <c r="G2431" t="s">
        <v>19</v>
      </c>
      <c r="H2431" t="s">
        <v>19</v>
      </c>
      <c r="I2431" s="1">
        <v>46038</v>
      </c>
      <c r="J2431" s="1">
        <v>46038</v>
      </c>
      <c r="K2431" s="1">
        <v>46038</v>
      </c>
      <c r="L2431">
        <v>34</v>
      </c>
      <c r="M2431">
        <v>0.26</v>
      </c>
      <c r="N2431">
        <v>0.26</v>
      </c>
      <c r="O2431">
        <v>0</v>
      </c>
      <c r="P2431">
        <v>0</v>
      </c>
      <c r="Q2431" t="s">
        <v>108</v>
      </c>
    </row>
    <row r="2432" spans="1:17">
      <c r="A2432" t="s">
        <v>93</v>
      </c>
      <c r="B2432" t="s">
        <v>106</v>
      </c>
      <c r="C2432" t="s">
        <v>56</v>
      </c>
      <c r="D2432" t="s">
        <v>2215</v>
      </c>
      <c r="E2432">
        <v>24</v>
      </c>
      <c r="F2432" t="str">
        <f>VLOOKUP(E2432,[1]LOJA!$A:$B,2,0)</f>
        <v>LUZIÂNIA</v>
      </c>
      <c r="G2432" t="s">
        <v>19</v>
      </c>
      <c r="H2432" t="s">
        <v>19</v>
      </c>
      <c r="I2432" s="1">
        <v>46038</v>
      </c>
      <c r="J2432" s="1">
        <v>46038</v>
      </c>
      <c r="K2432" s="1">
        <v>46038</v>
      </c>
      <c r="L2432">
        <v>34</v>
      </c>
      <c r="M2432">
        <v>0.74</v>
      </c>
      <c r="N2432">
        <v>0.74</v>
      </c>
      <c r="O2432">
        <v>0</v>
      </c>
      <c r="P2432">
        <v>0</v>
      </c>
      <c r="Q2432" t="s">
        <v>108</v>
      </c>
    </row>
    <row r="2433" spans="1:17">
      <c r="A2433" t="s">
        <v>93</v>
      </c>
      <c r="B2433" t="s">
        <v>106</v>
      </c>
      <c r="C2433" t="s">
        <v>56</v>
      </c>
      <c r="D2433" t="s">
        <v>2216</v>
      </c>
      <c r="E2433">
        <v>24</v>
      </c>
      <c r="F2433" t="str">
        <f>VLOOKUP(E2433,[1]LOJA!$A:$B,2,0)</f>
        <v>LUZIÂNIA</v>
      </c>
      <c r="G2433" t="s">
        <v>19</v>
      </c>
      <c r="H2433" t="s">
        <v>19</v>
      </c>
      <c r="I2433" s="1">
        <v>46038</v>
      </c>
      <c r="J2433" s="1">
        <v>46038</v>
      </c>
      <c r="K2433" s="1">
        <v>46038</v>
      </c>
      <c r="L2433">
        <v>34</v>
      </c>
      <c r="M2433">
        <v>0.46</v>
      </c>
      <c r="N2433">
        <v>0.46</v>
      </c>
      <c r="O2433">
        <v>0</v>
      </c>
      <c r="P2433">
        <v>0</v>
      </c>
      <c r="Q2433" t="s">
        <v>108</v>
      </c>
    </row>
    <row r="2434" spans="1:17">
      <c r="A2434" t="s">
        <v>93</v>
      </c>
      <c r="B2434" t="s">
        <v>106</v>
      </c>
      <c r="C2434" t="s">
        <v>56</v>
      </c>
      <c r="D2434" t="s">
        <v>2217</v>
      </c>
      <c r="E2434">
        <v>24</v>
      </c>
      <c r="F2434" t="str">
        <f>VLOOKUP(E2434,[1]LOJA!$A:$B,2,0)</f>
        <v>LUZIÂNIA</v>
      </c>
      <c r="G2434" t="s">
        <v>19</v>
      </c>
      <c r="H2434" t="s">
        <v>19</v>
      </c>
      <c r="I2434" s="1">
        <v>46038</v>
      </c>
      <c r="J2434" s="1">
        <v>46038</v>
      </c>
      <c r="K2434" s="1">
        <v>46038</v>
      </c>
      <c r="L2434">
        <v>34</v>
      </c>
      <c r="M2434">
        <v>1.0900000000000001</v>
      </c>
      <c r="N2434">
        <v>1.0900000000000001</v>
      </c>
      <c r="O2434">
        <v>0</v>
      </c>
      <c r="P2434">
        <v>0</v>
      </c>
      <c r="Q2434" t="s">
        <v>108</v>
      </c>
    </row>
    <row r="2435" spans="1:17">
      <c r="A2435" t="s">
        <v>93</v>
      </c>
      <c r="B2435" t="s">
        <v>106</v>
      </c>
      <c r="C2435" t="s">
        <v>56</v>
      </c>
      <c r="D2435" t="s">
        <v>2218</v>
      </c>
      <c r="E2435">
        <v>24</v>
      </c>
      <c r="F2435" t="str">
        <f>VLOOKUP(E2435,[1]LOJA!$A:$B,2,0)</f>
        <v>LUZIÂNIA</v>
      </c>
      <c r="G2435" t="s">
        <v>19</v>
      </c>
      <c r="H2435" t="s">
        <v>19</v>
      </c>
      <c r="I2435" s="1">
        <v>46038</v>
      </c>
      <c r="J2435" s="1">
        <v>46038</v>
      </c>
      <c r="K2435" s="1">
        <v>46038</v>
      </c>
      <c r="L2435">
        <v>34</v>
      </c>
      <c r="M2435">
        <v>0.03</v>
      </c>
      <c r="N2435">
        <v>0.03</v>
      </c>
      <c r="O2435">
        <v>0</v>
      </c>
      <c r="P2435">
        <v>0</v>
      </c>
      <c r="Q2435" t="s">
        <v>108</v>
      </c>
    </row>
    <row r="2436" spans="1:17">
      <c r="A2436" t="s">
        <v>93</v>
      </c>
      <c r="B2436" t="s">
        <v>106</v>
      </c>
      <c r="C2436" t="s">
        <v>56</v>
      </c>
      <c r="D2436" t="s">
        <v>2219</v>
      </c>
      <c r="E2436">
        <v>24</v>
      </c>
      <c r="F2436" t="str">
        <f>VLOOKUP(E2436,[1]LOJA!$A:$B,2,0)</f>
        <v>LUZIÂNIA</v>
      </c>
      <c r="G2436" t="s">
        <v>19</v>
      </c>
      <c r="H2436" t="s">
        <v>19</v>
      </c>
      <c r="I2436" s="1">
        <v>46038</v>
      </c>
      <c r="J2436" s="1">
        <v>46038</v>
      </c>
      <c r="K2436" s="1">
        <v>46038</v>
      </c>
      <c r="L2436">
        <v>34</v>
      </c>
      <c r="M2436">
        <v>0.5</v>
      </c>
      <c r="N2436">
        <v>0.5</v>
      </c>
      <c r="O2436">
        <v>0</v>
      </c>
      <c r="P2436">
        <v>0</v>
      </c>
      <c r="Q2436" t="s">
        <v>108</v>
      </c>
    </row>
    <row r="2437" spans="1:17">
      <c r="A2437" t="s">
        <v>93</v>
      </c>
      <c r="B2437" t="s">
        <v>106</v>
      </c>
      <c r="C2437" t="s">
        <v>56</v>
      </c>
      <c r="D2437" t="s">
        <v>2220</v>
      </c>
      <c r="E2437">
        <v>24</v>
      </c>
      <c r="F2437" t="str">
        <f>VLOOKUP(E2437,[1]LOJA!$A:$B,2,0)</f>
        <v>LUZIÂNIA</v>
      </c>
      <c r="G2437" t="s">
        <v>19</v>
      </c>
      <c r="H2437" t="s">
        <v>19</v>
      </c>
      <c r="I2437" s="1">
        <v>46038</v>
      </c>
      <c r="J2437" s="1">
        <v>46038</v>
      </c>
      <c r="K2437" s="1">
        <v>46038</v>
      </c>
      <c r="L2437">
        <v>34</v>
      </c>
      <c r="M2437">
        <v>0.46</v>
      </c>
      <c r="N2437">
        <v>0.46</v>
      </c>
      <c r="O2437">
        <v>0</v>
      </c>
      <c r="P2437">
        <v>0</v>
      </c>
      <c r="Q2437" t="s">
        <v>108</v>
      </c>
    </row>
    <row r="2438" spans="1:17">
      <c r="A2438" t="s">
        <v>93</v>
      </c>
      <c r="B2438" t="s">
        <v>106</v>
      </c>
      <c r="C2438" t="s">
        <v>56</v>
      </c>
      <c r="D2438" t="s">
        <v>2221</v>
      </c>
      <c r="E2438">
        <v>24</v>
      </c>
      <c r="F2438" t="str">
        <f>VLOOKUP(E2438,[1]LOJA!$A:$B,2,0)</f>
        <v>LUZIÂNIA</v>
      </c>
      <c r="G2438" t="s">
        <v>19</v>
      </c>
      <c r="H2438" t="s">
        <v>19</v>
      </c>
      <c r="I2438" s="1">
        <v>46038</v>
      </c>
      <c r="J2438" s="1">
        <v>46038</v>
      </c>
      <c r="K2438" s="1">
        <v>46038</v>
      </c>
      <c r="L2438">
        <v>34</v>
      </c>
      <c r="M2438">
        <v>0.17</v>
      </c>
      <c r="N2438">
        <v>0.17</v>
      </c>
      <c r="O2438">
        <v>0</v>
      </c>
      <c r="P2438">
        <v>0</v>
      </c>
      <c r="Q2438" t="s">
        <v>108</v>
      </c>
    </row>
    <row r="2439" spans="1:17">
      <c r="A2439" t="s">
        <v>93</v>
      </c>
      <c r="B2439" t="s">
        <v>106</v>
      </c>
      <c r="C2439" t="s">
        <v>56</v>
      </c>
      <c r="D2439" t="s">
        <v>2222</v>
      </c>
      <c r="E2439">
        <v>24</v>
      </c>
      <c r="F2439" t="str">
        <f>VLOOKUP(E2439,[1]LOJA!$A:$B,2,0)</f>
        <v>LUZIÂNIA</v>
      </c>
      <c r="G2439" t="s">
        <v>19</v>
      </c>
      <c r="H2439" t="s">
        <v>19</v>
      </c>
      <c r="I2439" s="1">
        <v>46038</v>
      </c>
      <c r="J2439" s="1">
        <v>46038</v>
      </c>
      <c r="K2439" s="1">
        <v>46038</v>
      </c>
      <c r="L2439">
        <v>34</v>
      </c>
      <c r="M2439">
        <v>3.92</v>
      </c>
      <c r="N2439">
        <v>3.92</v>
      </c>
      <c r="O2439">
        <v>0</v>
      </c>
      <c r="P2439">
        <v>0</v>
      </c>
      <c r="Q2439" t="s">
        <v>108</v>
      </c>
    </row>
    <row r="2440" spans="1:17">
      <c r="A2440" t="s">
        <v>93</v>
      </c>
      <c r="B2440" t="s">
        <v>106</v>
      </c>
      <c r="C2440" t="s">
        <v>56</v>
      </c>
      <c r="D2440" t="s">
        <v>2223</v>
      </c>
      <c r="E2440">
        <v>24</v>
      </c>
      <c r="F2440" t="str">
        <f>VLOOKUP(E2440,[1]LOJA!$A:$B,2,0)</f>
        <v>LUZIÂNIA</v>
      </c>
      <c r="G2440" t="s">
        <v>19</v>
      </c>
      <c r="H2440" t="s">
        <v>19</v>
      </c>
      <c r="I2440" s="1">
        <v>46038</v>
      </c>
      <c r="J2440" s="1">
        <v>46038</v>
      </c>
      <c r="K2440" s="1">
        <v>46038</v>
      </c>
      <c r="L2440">
        <v>34</v>
      </c>
      <c r="M2440">
        <v>0.87</v>
      </c>
      <c r="N2440">
        <v>0.87</v>
      </c>
      <c r="O2440">
        <v>0</v>
      </c>
      <c r="P2440">
        <v>0</v>
      </c>
      <c r="Q2440" t="s">
        <v>108</v>
      </c>
    </row>
    <row r="2441" spans="1:17">
      <c r="A2441" t="s">
        <v>93</v>
      </c>
      <c r="B2441" t="s">
        <v>106</v>
      </c>
      <c r="C2441" t="s">
        <v>56</v>
      </c>
      <c r="D2441" t="s">
        <v>2224</v>
      </c>
      <c r="E2441">
        <v>24</v>
      </c>
      <c r="F2441" t="str">
        <f>VLOOKUP(E2441,[1]LOJA!$A:$B,2,0)</f>
        <v>LUZIÂNIA</v>
      </c>
      <c r="G2441" t="s">
        <v>19</v>
      </c>
      <c r="H2441" t="s">
        <v>19</v>
      </c>
      <c r="I2441" s="1">
        <v>46038</v>
      </c>
      <c r="J2441" s="1">
        <v>46038</v>
      </c>
      <c r="K2441" s="1">
        <v>46038</v>
      </c>
      <c r="L2441">
        <v>34</v>
      </c>
      <c r="M2441">
        <v>0.24</v>
      </c>
      <c r="N2441">
        <v>0.24</v>
      </c>
      <c r="O2441">
        <v>0</v>
      </c>
      <c r="P2441">
        <v>0</v>
      </c>
      <c r="Q2441" t="s">
        <v>108</v>
      </c>
    </row>
    <row r="2442" spans="1:17">
      <c r="A2442" t="s">
        <v>93</v>
      </c>
      <c r="B2442" t="s">
        <v>106</v>
      </c>
      <c r="C2442" t="s">
        <v>56</v>
      </c>
      <c r="D2442" t="s">
        <v>2225</v>
      </c>
      <c r="E2442">
        <v>24</v>
      </c>
      <c r="F2442" t="str">
        <f>VLOOKUP(E2442,[1]LOJA!$A:$B,2,0)</f>
        <v>LUZIÂNIA</v>
      </c>
      <c r="G2442" t="s">
        <v>19</v>
      </c>
      <c r="H2442" t="s">
        <v>19</v>
      </c>
      <c r="I2442" s="1">
        <v>46038</v>
      </c>
      <c r="J2442" s="1">
        <v>46038</v>
      </c>
      <c r="K2442" s="1">
        <v>46038</v>
      </c>
      <c r="L2442">
        <v>34</v>
      </c>
      <c r="M2442">
        <v>0.24</v>
      </c>
      <c r="N2442">
        <v>0.24</v>
      </c>
      <c r="O2442">
        <v>0</v>
      </c>
      <c r="P2442">
        <v>0</v>
      </c>
      <c r="Q2442" t="s">
        <v>108</v>
      </c>
    </row>
    <row r="2443" spans="1:17">
      <c r="A2443" t="s">
        <v>93</v>
      </c>
      <c r="B2443" t="s">
        <v>106</v>
      </c>
      <c r="C2443" t="s">
        <v>56</v>
      </c>
      <c r="D2443" t="s">
        <v>2226</v>
      </c>
      <c r="E2443">
        <v>24</v>
      </c>
      <c r="F2443" t="str">
        <f>VLOOKUP(E2443,[1]LOJA!$A:$B,2,0)</f>
        <v>LUZIÂNIA</v>
      </c>
      <c r="G2443" t="s">
        <v>19</v>
      </c>
      <c r="H2443" t="s">
        <v>19</v>
      </c>
      <c r="I2443" s="1">
        <v>46038</v>
      </c>
      <c r="J2443" s="1">
        <v>46038</v>
      </c>
      <c r="K2443" s="1">
        <v>46038</v>
      </c>
      <c r="L2443">
        <v>34</v>
      </c>
      <c r="M2443">
        <v>0.2</v>
      </c>
      <c r="N2443">
        <v>0.2</v>
      </c>
      <c r="O2443">
        <v>0</v>
      </c>
      <c r="P2443">
        <v>0</v>
      </c>
      <c r="Q2443" t="s">
        <v>108</v>
      </c>
    </row>
    <row r="2444" spans="1:17">
      <c r="A2444" t="s">
        <v>93</v>
      </c>
      <c r="B2444" t="s">
        <v>106</v>
      </c>
      <c r="C2444" t="s">
        <v>56</v>
      </c>
      <c r="D2444" t="s">
        <v>2227</v>
      </c>
      <c r="E2444">
        <v>24</v>
      </c>
      <c r="F2444" t="str">
        <f>VLOOKUP(E2444,[1]LOJA!$A:$B,2,0)</f>
        <v>LUZIÂNIA</v>
      </c>
      <c r="G2444" t="s">
        <v>19</v>
      </c>
      <c r="H2444" t="s">
        <v>19</v>
      </c>
      <c r="I2444" s="1">
        <v>46038</v>
      </c>
      <c r="J2444" s="1">
        <v>46038</v>
      </c>
      <c r="K2444" s="1">
        <v>46038</v>
      </c>
      <c r="L2444">
        <v>34</v>
      </c>
      <c r="M2444">
        <v>0.12</v>
      </c>
      <c r="N2444">
        <v>0.12</v>
      </c>
      <c r="O2444">
        <v>0</v>
      </c>
      <c r="P2444">
        <v>0</v>
      </c>
      <c r="Q2444" t="s">
        <v>108</v>
      </c>
    </row>
    <row r="2445" spans="1:17">
      <c r="A2445" t="s">
        <v>93</v>
      </c>
      <c r="B2445" t="s">
        <v>106</v>
      </c>
      <c r="C2445" t="s">
        <v>56</v>
      </c>
      <c r="D2445" t="s">
        <v>2228</v>
      </c>
      <c r="E2445">
        <v>24</v>
      </c>
      <c r="F2445" t="str">
        <f>VLOOKUP(E2445,[1]LOJA!$A:$B,2,0)</f>
        <v>LUZIÂNIA</v>
      </c>
      <c r="G2445" t="s">
        <v>19</v>
      </c>
      <c r="H2445" t="s">
        <v>19</v>
      </c>
      <c r="I2445" s="1">
        <v>46038</v>
      </c>
      <c r="J2445" s="1">
        <v>46038</v>
      </c>
      <c r="K2445" s="1">
        <v>46038</v>
      </c>
      <c r="L2445">
        <v>34</v>
      </c>
      <c r="M2445">
        <v>0.21</v>
      </c>
      <c r="N2445">
        <v>0.21</v>
      </c>
      <c r="O2445">
        <v>0</v>
      </c>
      <c r="P2445">
        <v>0</v>
      </c>
      <c r="Q2445" t="s">
        <v>108</v>
      </c>
    </row>
    <row r="2446" spans="1:17">
      <c r="A2446" t="s">
        <v>93</v>
      </c>
      <c r="B2446" t="s">
        <v>106</v>
      </c>
      <c r="C2446" t="s">
        <v>56</v>
      </c>
      <c r="D2446" t="s">
        <v>2229</v>
      </c>
      <c r="E2446">
        <v>24</v>
      </c>
      <c r="F2446" t="str">
        <f>VLOOKUP(E2446,[1]LOJA!$A:$B,2,0)</f>
        <v>LUZIÂNIA</v>
      </c>
      <c r="G2446" t="s">
        <v>19</v>
      </c>
      <c r="H2446" t="s">
        <v>19</v>
      </c>
      <c r="I2446" s="1">
        <v>46038</v>
      </c>
      <c r="J2446" s="1">
        <v>46038</v>
      </c>
      <c r="K2446" s="1">
        <v>46038</v>
      </c>
      <c r="L2446">
        <v>34</v>
      </c>
      <c r="M2446">
        <v>1.1399999999999999</v>
      </c>
      <c r="N2446">
        <v>1.1399999999999999</v>
      </c>
      <c r="O2446">
        <v>0</v>
      </c>
      <c r="P2446">
        <v>0</v>
      </c>
      <c r="Q2446" t="s">
        <v>108</v>
      </c>
    </row>
    <row r="2447" spans="1:17">
      <c r="A2447" t="s">
        <v>93</v>
      </c>
      <c r="B2447" t="s">
        <v>106</v>
      </c>
      <c r="C2447" t="s">
        <v>56</v>
      </c>
      <c r="D2447" t="s">
        <v>2230</v>
      </c>
      <c r="E2447">
        <v>24</v>
      </c>
      <c r="F2447" t="str">
        <f>VLOOKUP(E2447,[1]LOJA!$A:$B,2,0)</f>
        <v>LUZIÂNIA</v>
      </c>
      <c r="G2447" t="s">
        <v>19</v>
      </c>
      <c r="H2447" t="s">
        <v>19</v>
      </c>
      <c r="I2447" s="1">
        <v>46038</v>
      </c>
      <c r="J2447" s="1">
        <v>46038</v>
      </c>
      <c r="K2447" s="1">
        <v>46038</v>
      </c>
      <c r="L2447">
        <v>34</v>
      </c>
      <c r="M2447">
        <v>0.47</v>
      </c>
      <c r="N2447">
        <v>0.47</v>
      </c>
      <c r="O2447">
        <v>0</v>
      </c>
      <c r="P2447">
        <v>0</v>
      </c>
      <c r="Q2447" t="s">
        <v>108</v>
      </c>
    </row>
    <row r="2448" spans="1:17">
      <c r="A2448" t="s">
        <v>93</v>
      </c>
      <c r="B2448" t="s">
        <v>106</v>
      </c>
      <c r="C2448" t="s">
        <v>56</v>
      </c>
      <c r="D2448" t="s">
        <v>2231</v>
      </c>
      <c r="E2448">
        <v>24</v>
      </c>
      <c r="F2448" t="str">
        <f>VLOOKUP(E2448,[1]LOJA!$A:$B,2,0)</f>
        <v>LUZIÂNIA</v>
      </c>
      <c r="G2448" t="s">
        <v>19</v>
      </c>
      <c r="H2448" t="s">
        <v>19</v>
      </c>
      <c r="I2448" s="1">
        <v>46038</v>
      </c>
      <c r="J2448" s="1">
        <v>46038</v>
      </c>
      <c r="K2448" s="1">
        <v>46038</v>
      </c>
      <c r="L2448">
        <v>34</v>
      </c>
      <c r="M2448">
        <v>5.67</v>
      </c>
      <c r="N2448">
        <v>5.67</v>
      </c>
      <c r="O2448">
        <v>0</v>
      </c>
      <c r="P2448">
        <v>0</v>
      </c>
      <c r="Q2448" t="s">
        <v>108</v>
      </c>
    </row>
    <row r="2449" spans="1:17">
      <c r="A2449" t="s">
        <v>93</v>
      </c>
      <c r="B2449" t="s">
        <v>106</v>
      </c>
      <c r="C2449" t="s">
        <v>56</v>
      </c>
      <c r="D2449" t="s">
        <v>2232</v>
      </c>
      <c r="E2449">
        <v>24</v>
      </c>
      <c r="F2449" t="str">
        <f>VLOOKUP(E2449,[1]LOJA!$A:$B,2,0)</f>
        <v>LUZIÂNIA</v>
      </c>
      <c r="G2449" t="s">
        <v>19</v>
      </c>
      <c r="H2449" t="s">
        <v>19</v>
      </c>
      <c r="I2449" s="1">
        <v>46038</v>
      </c>
      <c r="J2449" s="1">
        <v>46038</v>
      </c>
      <c r="K2449" s="1">
        <v>46038</v>
      </c>
      <c r="L2449">
        <v>34</v>
      </c>
      <c r="M2449">
        <v>0.3</v>
      </c>
      <c r="N2449">
        <v>0.3</v>
      </c>
      <c r="O2449">
        <v>0</v>
      </c>
      <c r="P2449">
        <v>0</v>
      </c>
      <c r="Q2449" t="s">
        <v>108</v>
      </c>
    </row>
    <row r="2450" spans="1:17">
      <c r="A2450" t="s">
        <v>93</v>
      </c>
      <c r="B2450" t="s">
        <v>106</v>
      </c>
      <c r="C2450" t="s">
        <v>56</v>
      </c>
      <c r="D2450" t="s">
        <v>2233</v>
      </c>
      <c r="E2450">
        <v>24</v>
      </c>
      <c r="F2450" t="str">
        <f>VLOOKUP(E2450,[1]LOJA!$A:$B,2,0)</f>
        <v>LUZIÂNIA</v>
      </c>
      <c r="G2450" t="s">
        <v>19</v>
      </c>
      <c r="H2450" t="s">
        <v>19</v>
      </c>
      <c r="I2450" s="1">
        <v>46038</v>
      </c>
      <c r="J2450" s="1">
        <v>46038</v>
      </c>
      <c r="K2450" s="1">
        <v>46038</v>
      </c>
      <c r="L2450">
        <v>34</v>
      </c>
      <c r="M2450">
        <v>0.74</v>
      </c>
      <c r="N2450">
        <v>0.74</v>
      </c>
      <c r="O2450">
        <v>0</v>
      </c>
      <c r="P2450">
        <v>0</v>
      </c>
      <c r="Q2450" t="s">
        <v>108</v>
      </c>
    </row>
    <row r="2451" spans="1:17">
      <c r="A2451" t="s">
        <v>93</v>
      </c>
      <c r="B2451" t="s">
        <v>106</v>
      </c>
      <c r="C2451" t="s">
        <v>56</v>
      </c>
      <c r="D2451" t="s">
        <v>2234</v>
      </c>
      <c r="E2451">
        <v>24</v>
      </c>
      <c r="F2451" t="str">
        <f>VLOOKUP(E2451,[1]LOJA!$A:$B,2,0)</f>
        <v>LUZIÂNIA</v>
      </c>
      <c r="G2451" t="s">
        <v>19</v>
      </c>
      <c r="H2451" t="s">
        <v>19</v>
      </c>
      <c r="I2451" s="1">
        <v>46038</v>
      </c>
      <c r="J2451" s="1">
        <v>46038</v>
      </c>
      <c r="K2451" s="1">
        <v>46038</v>
      </c>
      <c r="L2451">
        <v>34</v>
      </c>
      <c r="M2451">
        <v>15.59</v>
      </c>
      <c r="N2451">
        <v>15.59</v>
      </c>
      <c r="O2451">
        <v>0</v>
      </c>
      <c r="P2451">
        <v>0</v>
      </c>
      <c r="Q2451" t="s">
        <v>108</v>
      </c>
    </row>
    <row r="2452" spans="1:17">
      <c r="A2452" t="s">
        <v>93</v>
      </c>
      <c r="B2452" t="s">
        <v>106</v>
      </c>
      <c r="C2452" t="s">
        <v>56</v>
      </c>
      <c r="D2452" t="s">
        <v>2235</v>
      </c>
      <c r="E2452">
        <v>24</v>
      </c>
      <c r="F2452" t="str">
        <f>VLOOKUP(E2452,[1]LOJA!$A:$B,2,0)</f>
        <v>LUZIÂNIA</v>
      </c>
      <c r="G2452" t="s">
        <v>19</v>
      </c>
      <c r="H2452" t="s">
        <v>19</v>
      </c>
      <c r="I2452" s="1">
        <v>46043</v>
      </c>
      <c r="J2452" s="1">
        <v>46043</v>
      </c>
      <c r="K2452" s="1">
        <v>46043</v>
      </c>
      <c r="L2452">
        <v>34</v>
      </c>
      <c r="M2452">
        <v>7.21</v>
      </c>
      <c r="N2452">
        <v>7.21</v>
      </c>
      <c r="O2452">
        <v>0</v>
      </c>
      <c r="P2452">
        <v>0</v>
      </c>
      <c r="Q2452" t="s">
        <v>108</v>
      </c>
    </row>
    <row r="2453" spans="1:17">
      <c r="A2453" t="s">
        <v>93</v>
      </c>
      <c r="B2453" t="s">
        <v>106</v>
      </c>
      <c r="C2453" t="s">
        <v>56</v>
      </c>
      <c r="D2453" t="s">
        <v>2236</v>
      </c>
      <c r="E2453">
        <v>24</v>
      </c>
      <c r="F2453" t="str">
        <f>VLOOKUP(E2453,[1]LOJA!$A:$B,2,0)</f>
        <v>LUZIÂNIA</v>
      </c>
      <c r="G2453" t="s">
        <v>19</v>
      </c>
      <c r="H2453" t="s">
        <v>19</v>
      </c>
      <c r="I2453" s="1">
        <v>46043</v>
      </c>
      <c r="J2453" s="1">
        <v>46043</v>
      </c>
      <c r="K2453" s="1">
        <v>46043</v>
      </c>
      <c r="L2453">
        <v>34</v>
      </c>
      <c r="M2453">
        <v>2.2799999999999998</v>
      </c>
      <c r="N2453">
        <v>2.2799999999999998</v>
      </c>
      <c r="O2453">
        <v>0</v>
      </c>
      <c r="P2453">
        <v>0</v>
      </c>
      <c r="Q2453" t="s">
        <v>108</v>
      </c>
    </row>
    <row r="2454" spans="1:17">
      <c r="A2454" t="s">
        <v>93</v>
      </c>
      <c r="B2454" t="s">
        <v>106</v>
      </c>
      <c r="C2454" t="s">
        <v>56</v>
      </c>
      <c r="D2454" t="s">
        <v>2237</v>
      </c>
      <c r="E2454">
        <v>24</v>
      </c>
      <c r="F2454" t="str">
        <f>VLOOKUP(E2454,[1]LOJA!$A:$B,2,0)</f>
        <v>LUZIÂNIA</v>
      </c>
      <c r="G2454" t="s">
        <v>19</v>
      </c>
      <c r="H2454" t="s">
        <v>19</v>
      </c>
      <c r="I2454" s="1">
        <v>46043</v>
      </c>
      <c r="J2454" s="1">
        <v>46043</v>
      </c>
      <c r="K2454" s="1">
        <v>46043</v>
      </c>
      <c r="L2454">
        <v>34</v>
      </c>
      <c r="M2454">
        <v>0.23</v>
      </c>
      <c r="N2454">
        <v>0.23</v>
      </c>
      <c r="O2454">
        <v>0</v>
      </c>
      <c r="P2454">
        <v>0</v>
      </c>
      <c r="Q2454" t="s">
        <v>108</v>
      </c>
    </row>
    <row r="2455" spans="1:17">
      <c r="A2455" t="s">
        <v>93</v>
      </c>
      <c r="B2455" t="s">
        <v>106</v>
      </c>
      <c r="C2455" t="s">
        <v>56</v>
      </c>
      <c r="D2455" t="s">
        <v>2238</v>
      </c>
      <c r="E2455">
        <v>24</v>
      </c>
      <c r="F2455" t="str">
        <f>VLOOKUP(E2455,[1]LOJA!$A:$B,2,0)</f>
        <v>LUZIÂNIA</v>
      </c>
      <c r="G2455" t="s">
        <v>19</v>
      </c>
      <c r="H2455" t="s">
        <v>19</v>
      </c>
      <c r="I2455" s="1">
        <v>46043</v>
      </c>
      <c r="J2455" s="1">
        <v>46043</v>
      </c>
      <c r="K2455" s="1">
        <v>46043</v>
      </c>
      <c r="L2455">
        <v>34</v>
      </c>
      <c r="M2455">
        <v>0.15</v>
      </c>
      <c r="N2455">
        <v>0.15</v>
      </c>
      <c r="O2455">
        <v>0</v>
      </c>
      <c r="P2455">
        <v>0</v>
      </c>
      <c r="Q2455" t="s">
        <v>108</v>
      </c>
    </row>
    <row r="2456" spans="1:17">
      <c r="A2456" t="s">
        <v>93</v>
      </c>
      <c r="B2456" t="s">
        <v>106</v>
      </c>
      <c r="C2456" t="s">
        <v>56</v>
      </c>
      <c r="D2456" t="s">
        <v>2239</v>
      </c>
      <c r="E2456">
        <v>24</v>
      </c>
      <c r="F2456" t="str">
        <f>VLOOKUP(E2456,[1]LOJA!$A:$B,2,0)</f>
        <v>LUZIÂNIA</v>
      </c>
      <c r="G2456" t="s">
        <v>19</v>
      </c>
      <c r="H2456" t="s">
        <v>19</v>
      </c>
      <c r="I2456" s="1">
        <v>46043</v>
      </c>
      <c r="J2456" s="1">
        <v>46043</v>
      </c>
      <c r="K2456" s="1">
        <v>46043</v>
      </c>
      <c r="L2456">
        <v>34</v>
      </c>
      <c r="M2456">
        <v>0.47</v>
      </c>
      <c r="N2456">
        <v>0.47</v>
      </c>
      <c r="O2456">
        <v>0</v>
      </c>
      <c r="P2456">
        <v>0</v>
      </c>
      <c r="Q2456" t="s">
        <v>108</v>
      </c>
    </row>
    <row r="2457" spans="1:17">
      <c r="A2457" t="s">
        <v>93</v>
      </c>
      <c r="B2457" t="s">
        <v>106</v>
      </c>
      <c r="C2457" t="s">
        <v>56</v>
      </c>
      <c r="D2457" t="s">
        <v>2240</v>
      </c>
      <c r="E2457">
        <v>24</v>
      </c>
      <c r="F2457" t="str">
        <f>VLOOKUP(E2457,[1]LOJA!$A:$B,2,0)</f>
        <v>LUZIÂNIA</v>
      </c>
      <c r="G2457" t="s">
        <v>19</v>
      </c>
      <c r="H2457" t="s">
        <v>19</v>
      </c>
      <c r="I2457" s="1">
        <v>46043</v>
      </c>
      <c r="J2457" s="1">
        <v>46043</v>
      </c>
      <c r="K2457" s="1">
        <v>46043</v>
      </c>
      <c r="L2457">
        <v>34</v>
      </c>
      <c r="M2457">
        <v>2.5499999999999998</v>
      </c>
      <c r="N2457">
        <v>2.5499999999999998</v>
      </c>
      <c r="O2457">
        <v>0</v>
      </c>
      <c r="P2457">
        <v>0</v>
      </c>
      <c r="Q2457" t="s">
        <v>108</v>
      </c>
    </row>
    <row r="2458" spans="1:17">
      <c r="A2458" t="s">
        <v>93</v>
      </c>
      <c r="B2458" t="s">
        <v>106</v>
      </c>
      <c r="C2458" t="s">
        <v>56</v>
      </c>
      <c r="D2458" t="s">
        <v>2241</v>
      </c>
      <c r="E2458">
        <v>24</v>
      </c>
      <c r="F2458" t="str">
        <f>VLOOKUP(E2458,[1]LOJA!$A:$B,2,0)</f>
        <v>LUZIÂNIA</v>
      </c>
      <c r="G2458" t="s">
        <v>19</v>
      </c>
      <c r="H2458" t="s">
        <v>19</v>
      </c>
      <c r="I2458" s="1">
        <v>46043</v>
      </c>
      <c r="J2458" s="1">
        <v>46043</v>
      </c>
      <c r="K2458" s="1">
        <v>46043</v>
      </c>
      <c r="L2458">
        <v>34</v>
      </c>
      <c r="M2458">
        <v>0.1</v>
      </c>
      <c r="N2458">
        <v>0.1</v>
      </c>
      <c r="O2458">
        <v>0</v>
      </c>
      <c r="P2458">
        <v>0</v>
      </c>
      <c r="Q2458" t="s">
        <v>108</v>
      </c>
    </row>
    <row r="2459" spans="1:17">
      <c r="A2459" t="s">
        <v>93</v>
      </c>
      <c r="B2459" t="s">
        <v>106</v>
      </c>
      <c r="C2459" t="s">
        <v>56</v>
      </c>
      <c r="D2459" t="s">
        <v>2242</v>
      </c>
      <c r="E2459">
        <v>24</v>
      </c>
      <c r="F2459" t="str">
        <f>VLOOKUP(E2459,[1]LOJA!$A:$B,2,0)</f>
        <v>LUZIÂNIA</v>
      </c>
      <c r="G2459" t="s">
        <v>19</v>
      </c>
      <c r="H2459" t="s">
        <v>19</v>
      </c>
      <c r="I2459" s="1">
        <v>46043</v>
      </c>
      <c r="J2459" s="1">
        <v>46043</v>
      </c>
      <c r="K2459" s="1">
        <v>46043</v>
      </c>
      <c r="L2459">
        <v>34</v>
      </c>
      <c r="M2459">
        <v>0.66</v>
      </c>
      <c r="N2459">
        <v>0.66</v>
      </c>
      <c r="O2459">
        <v>0</v>
      </c>
      <c r="P2459">
        <v>0</v>
      </c>
      <c r="Q2459" t="s">
        <v>108</v>
      </c>
    </row>
    <row r="2460" spans="1:17">
      <c r="A2460" t="s">
        <v>93</v>
      </c>
      <c r="B2460" t="s">
        <v>106</v>
      </c>
      <c r="C2460" t="s">
        <v>56</v>
      </c>
      <c r="D2460" t="s">
        <v>2243</v>
      </c>
      <c r="E2460">
        <v>24</v>
      </c>
      <c r="F2460" t="str">
        <f>VLOOKUP(E2460,[1]LOJA!$A:$B,2,0)</f>
        <v>LUZIÂNIA</v>
      </c>
      <c r="G2460" t="s">
        <v>19</v>
      </c>
      <c r="H2460" t="s">
        <v>19</v>
      </c>
      <c r="I2460" s="1">
        <v>46043</v>
      </c>
      <c r="J2460" s="1">
        <v>46043</v>
      </c>
      <c r="K2460" s="1">
        <v>46043</v>
      </c>
      <c r="L2460">
        <v>34</v>
      </c>
      <c r="M2460">
        <v>0.06</v>
      </c>
      <c r="N2460">
        <v>0.06</v>
      </c>
      <c r="O2460">
        <v>0</v>
      </c>
      <c r="P2460">
        <v>0</v>
      </c>
      <c r="Q2460" t="s">
        <v>108</v>
      </c>
    </row>
    <row r="2461" spans="1:17">
      <c r="A2461" t="s">
        <v>93</v>
      </c>
      <c r="B2461" t="s">
        <v>106</v>
      </c>
      <c r="C2461" t="s">
        <v>56</v>
      </c>
      <c r="D2461" t="s">
        <v>2244</v>
      </c>
      <c r="E2461">
        <v>24</v>
      </c>
      <c r="F2461" t="str">
        <f>VLOOKUP(E2461,[1]LOJA!$A:$B,2,0)</f>
        <v>LUZIÂNIA</v>
      </c>
      <c r="G2461" t="s">
        <v>19</v>
      </c>
      <c r="H2461" t="s">
        <v>19</v>
      </c>
      <c r="I2461" s="1">
        <v>46043</v>
      </c>
      <c r="J2461" s="1">
        <v>46043</v>
      </c>
      <c r="K2461" s="1">
        <v>46043</v>
      </c>
      <c r="L2461">
        <v>34</v>
      </c>
      <c r="M2461">
        <v>0.53</v>
      </c>
      <c r="N2461">
        <v>0.53</v>
      </c>
      <c r="O2461">
        <v>0</v>
      </c>
      <c r="P2461">
        <v>0</v>
      </c>
      <c r="Q2461" t="s">
        <v>108</v>
      </c>
    </row>
    <row r="2462" spans="1:17">
      <c r="A2462" t="s">
        <v>93</v>
      </c>
      <c r="B2462" t="s">
        <v>106</v>
      </c>
      <c r="C2462" t="s">
        <v>56</v>
      </c>
      <c r="D2462" t="s">
        <v>2245</v>
      </c>
      <c r="E2462">
        <v>24</v>
      </c>
      <c r="F2462" t="str">
        <f>VLOOKUP(E2462,[1]LOJA!$A:$B,2,0)</f>
        <v>LUZIÂNIA</v>
      </c>
      <c r="G2462" t="s">
        <v>19</v>
      </c>
      <c r="H2462" t="s">
        <v>19</v>
      </c>
      <c r="I2462" s="1">
        <v>46043</v>
      </c>
      <c r="J2462" s="1">
        <v>46043</v>
      </c>
      <c r="K2462" s="1">
        <v>46043</v>
      </c>
      <c r="L2462">
        <v>34</v>
      </c>
      <c r="M2462">
        <v>0.14000000000000001</v>
      </c>
      <c r="N2462">
        <v>0.14000000000000001</v>
      </c>
      <c r="O2462">
        <v>0</v>
      </c>
      <c r="P2462">
        <v>0</v>
      </c>
      <c r="Q2462" t="s">
        <v>108</v>
      </c>
    </row>
    <row r="2463" spans="1:17">
      <c r="A2463" t="s">
        <v>93</v>
      </c>
      <c r="B2463" t="s">
        <v>106</v>
      </c>
      <c r="C2463" t="s">
        <v>56</v>
      </c>
      <c r="D2463" t="s">
        <v>2246</v>
      </c>
      <c r="E2463">
        <v>24</v>
      </c>
      <c r="F2463" t="str">
        <f>VLOOKUP(E2463,[1]LOJA!$A:$B,2,0)</f>
        <v>LUZIÂNIA</v>
      </c>
      <c r="G2463" t="s">
        <v>19</v>
      </c>
      <c r="H2463" t="s">
        <v>19</v>
      </c>
      <c r="I2463" s="1">
        <v>46043</v>
      </c>
      <c r="J2463" s="1">
        <v>46043</v>
      </c>
      <c r="K2463" s="1">
        <v>46043</v>
      </c>
      <c r="L2463">
        <v>34</v>
      </c>
      <c r="M2463">
        <v>1.1299999999999999</v>
      </c>
      <c r="N2463">
        <v>1.1299999999999999</v>
      </c>
      <c r="O2463">
        <v>0</v>
      </c>
      <c r="P2463">
        <v>0</v>
      </c>
      <c r="Q2463" t="s">
        <v>108</v>
      </c>
    </row>
    <row r="2464" spans="1:17">
      <c r="A2464" t="s">
        <v>93</v>
      </c>
      <c r="B2464" t="s">
        <v>106</v>
      </c>
      <c r="C2464" t="s">
        <v>56</v>
      </c>
      <c r="D2464" t="s">
        <v>2247</v>
      </c>
      <c r="E2464">
        <v>24</v>
      </c>
      <c r="F2464" t="str">
        <f>VLOOKUP(E2464,[1]LOJA!$A:$B,2,0)</f>
        <v>LUZIÂNIA</v>
      </c>
      <c r="G2464" t="s">
        <v>19</v>
      </c>
      <c r="H2464" t="s">
        <v>19</v>
      </c>
      <c r="I2464" s="1">
        <v>46043</v>
      </c>
      <c r="J2464" s="1">
        <v>46043</v>
      </c>
      <c r="K2464" s="1">
        <v>46043</v>
      </c>
      <c r="L2464">
        <v>34</v>
      </c>
      <c r="M2464">
        <v>0.42</v>
      </c>
      <c r="N2464">
        <v>0.42</v>
      </c>
      <c r="O2464">
        <v>0</v>
      </c>
      <c r="P2464">
        <v>0</v>
      </c>
      <c r="Q2464" t="s">
        <v>108</v>
      </c>
    </row>
    <row r="2465" spans="1:17">
      <c r="A2465" t="s">
        <v>93</v>
      </c>
      <c r="B2465" t="s">
        <v>106</v>
      </c>
      <c r="C2465" t="s">
        <v>56</v>
      </c>
      <c r="D2465" t="s">
        <v>2248</v>
      </c>
      <c r="E2465">
        <v>24</v>
      </c>
      <c r="F2465" t="str">
        <f>VLOOKUP(E2465,[1]LOJA!$A:$B,2,0)</f>
        <v>LUZIÂNIA</v>
      </c>
      <c r="G2465" t="s">
        <v>19</v>
      </c>
      <c r="H2465" t="s">
        <v>19</v>
      </c>
      <c r="I2465" s="1">
        <v>46043</v>
      </c>
      <c r="J2465" s="1">
        <v>46043</v>
      </c>
      <c r="K2465" s="1">
        <v>46043</v>
      </c>
      <c r="L2465">
        <v>34</v>
      </c>
      <c r="M2465">
        <v>3.12</v>
      </c>
      <c r="N2465">
        <v>3.12</v>
      </c>
      <c r="O2465">
        <v>0</v>
      </c>
      <c r="P2465">
        <v>0</v>
      </c>
      <c r="Q2465" t="s">
        <v>108</v>
      </c>
    </row>
    <row r="2466" spans="1:17">
      <c r="A2466" t="s">
        <v>93</v>
      </c>
      <c r="B2466" t="s">
        <v>106</v>
      </c>
      <c r="C2466" t="s">
        <v>56</v>
      </c>
      <c r="D2466" t="s">
        <v>2249</v>
      </c>
      <c r="E2466">
        <v>24</v>
      </c>
      <c r="F2466" t="str">
        <f>VLOOKUP(E2466,[1]LOJA!$A:$B,2,0)</f>
        <v>LUZIÂNIA</v>
      </c>
      <c r="G2466" t="s">
        <v>19</v>
      </c>
      <c r="H2466" t="s">
        <v>19</v>
      </c>
      <c r="I2466" s="1">
        <v>46043</v>
      </c>
      <c r="J2466" s="1">
        <v>46043</v>
      </c>
      <c r="K2466" s="1">
        <v>46043</v>
      </c>
      <c r="L2466">
        <v>34</v>
      </c>
      <c r="M2466">
        <v>0.48</v>
      </c>
      <c r="N2466">
        <v>0.48</v>
      </c>
      <c r="O2466">
        <v>0</v>
      </c>
      <c r="P2466">
        <v>0</v>
      </c>
      <c r="Q2466" t="s">
        <v>108</v>
      </c>
    </row>
    <row r="2467" spans="1:17">
      <c r="A2467" t="s">
        <v>93</v>
      </c>
      <c r="B2467" t="s">
        <v>106</v>
      </c>
      <c r="C2467" t="s">
        <v>56</v>
      </c>
      <c r="D2467" t="s">
        <v>2250</v>
      </c>
      <c r="E2467">
        <v>24</v>
      </c>
      <c r="F2467" t="str">
        <f>VLOOKUP(E2467,[1]LOJA!$A:$B,2,0)</f>
        <v>LUZIÂNIA</v>
      </c>
      <c r="G2467" t="s">
        <v>19</v>
      </c>
      <c r="H2467" t="s">
        <v>19</v>
      </c>
      <c r="I2467" s="1">
        <v>46043</v>
      </c>
      <c r="J2467" s="1">
        <v>46043</v>
      </c>
      <c r="K2467" s="1">
        <v>46043</v>
      </c>
      <c r="L2467">
        <v>34</v>
      </c>
      <c r="M2467">
        <v>3.69</v>
      </c>
      <c r="N2467">
        <v>3.69</v>
      </c>
      <c r="O2467">
        <v>0</v>
      </c>
      <c r="P2467">
        <v>0</v>
      </c>
      <c r="Q2467" t="s">
        <v>108</v>
      </c>
    </row>
    <row r="2468" spans="1:17">
      <c r="A2468" t="s">
        <v>93</v>
      </c>
      <c r="B2468" t="s">
        <v>106</v>
      </c>
      <c r="C2468" t="s">
        <v>56</v>
      </c>
      <c r="D2468" t="s">
        <v>2251</v>
      </c>
      <c r="E2468">
        <v>24</v>
      </c>
      <c r="F2468" t="str">
        <f>VLOOKUP(E2468,[1]LOJA!$A:$B,2,0)</f>
        <v>LUZIÂNIA</v>
      </c>
      <c r="G2468" t="s">
        <v>19</v>
      </c>
      <c r="H2468" t="s">
        <v>19</v>
      </c>
      <c r="I2468" s="1">
        <v>46043</v>
      </c>
      <c r="J2468" s="1">
        <v>46043</v>
      </c>
      <c r="K2468" s="1">
        <v>46043</v>
      </c>
      <c r="L2468">
        <v>34</v>
      </c>
      <c r="M2468">
        <v>0.4</v>
      </c>
      <c r="N2468">
        <v>0.4</v>
      </c>
      <c r="O2468">
        <v>0</v>
      </c>
      <c r="P2468">
        <v>0</v>
      </c>
      <c r="Q2468" t="s">
        <v>108</v>
      </c>
    </row>
    <row r="2469" spans="1:17">
      <c r="A2469" t="s">
        <v>93</v>
      </c>
      <c r="B2469" t="s">
        <v>106</v>
      </c>
      <c r="C2469" t="s">
        <v>56</v>
      </c>
      <c r="D2469" t="s">
        <v>2252</v>
      </c>
      <c r="E2469">
        <v>24</v>
      </c>
      <c r="F2469" t="str">
        <f>VLOOKUP(E2469,[1]LOJA!$A:$B,2,0)</f>
        <v>LUZIÂNIA</v>
      </c>
      <c r="G2469" t="s">
        <v>19</v>
      </c>
      <c r="H2469" t="s">
        <v>19</v>
      </c>
      <c r="I2469" s="1">
        <v>46042</v>
      </c>
      <c r="J2469" s="1">
        <v>46042</v>
      </c>
      <c r="K2469" s="1">
        <v>46042</v>
      </c>
      <c r="L2469">
        <v>34</v>
      </c>
      <c r="M2469">
        <v>3.56</v>
      </c>
      <c r="N2469">
        <v>3.56</v>
      </c>
      <c r="O2469">
        <v>0</v>
      </c>
      <c r="P2469">
        <v>0</v>
      </c>
      <c r="Q2469" t="s">
        <v>108</v>
      </c>
    </row>
    <row r="2470" spans="1:17">
      <c r="A2470" t="s">
        <v>93</v>
      </c>
      <c r="B2470" t="s">
        <v>106</v>
      </c>
      <c r="C2470" t="s">
        <v>56</v>
      </c>
      <c r="D2470" t="s">
        <v>2253</v>
      </c>
      <c r="E2470">
        <v>24</v>
      </c>
      <c r="F2470" t="str">
        <f>VLOOKUP(E2470,[1]LOJA!$A:$B,2,0)</f>
        <v>LUZIÂNIA</v>
      </c>
      <c r="G2470" t="s">
        <v>19</v>
      </c>
      <c r="H2470" t="s">
        <v>19</v>
      </c>
      <c r="I2470" s="1">
        <v>46042</v>
      </c>
      <c r="J2470" s="1">
        <v>46042</v>
      </c>
      <c r="K2470" s="1">
        <v>46042</v>
      </c>
      <c r="L2470">
        <v>34</v>
      </c>
      <c r="M2470">
        <v>2.39</v>
      </c>
      <c r="N2470">
        <v>2.39</v>
      </c>
      <c r="O2470">
        <v>0</v>
      </c>
      <c r="P2470">
        <v>0</v>
      </c>
      <c r="Q2470" t="s">
        <v>108</v>
      </c>
    </row>
    <row r="2471" spans="1:17">
      <c r="A2471" t="s">
        <v>93</v>
      </c>
      <c r="B2471" t="s">
        <v>106</v>
      </c>
      <c r="C2471" t="s">
        <v>56</v>
      </c>
      <c r="D2471" t="s">
        <v>2254</v>
      </c>
      <c r="E2471">
        <v>24</v>
      </c>
      <c r="F2471" t="str">
        <f>VLOOKUP(E2471,[1]LOJA!$A:$B,2,0)</f>
        <v>LUZIÂNIA</v>
      </c>
      <c r="G2471" t="s">
        <v>19</v>
      </c>
      <c r="H2471" t="s">
        <v>19</v>
      </c>
      <c r="I2471" s="1">
        <v>46042</v>
      </c>
      <c r="J2471" s="1">
        <v>46042</v>
      </c>
      <c r="K2471" s="1">
        <v>46042</v>
      </c>
      <c r="L2471">
        <v>34</v>
      </c>
      <c r="M2471">
        <v>2.76</v>
      </c>
      <c r="N2471">
        <v>2.76</v>
      </c>
      <c r="O2471">
        <v>0</v>
      </c>
      <c r="P2471">
        <v>0</v>
      </c>
      <c r="Q2471" t="s">
        <v>108</v>
      </c>
    </row>
    <row r="2472" spans="1:17">
      <c r="A2472" t="s">
        <v>93</v>
      </c>
      <c r="B2472" t="s">
        <v>106</v>
      </c>
      <c r="C2472" t="s">
        <v>56</v>
      </c>
      <c r="D2472" t="s">
        <v>2255</v>
      </c>
      <c r="E2472">
        <v>24</v>
      </c>
      <c r="F2472" t="str">
        <f>VLOOKUP(E2472,[1]LOJA!$A:$B,2,0)</f>
        <v>LUZIÂNIA</v>
      </c>
      <c r="G2472" t="s">
        <v>19</v>
      </c>
      <c r="H2472" t="s">
        <v>19</v>
      </c>
      <c r="I2472" s="1">
        <v>46042</v>
      </c>
      <c r="J2472" s="1">
        <v>46042</v>
      </c>
      <c r="K2472" s="1">
        <v>46042</v>
      </c>
      <c r="L2472">
        <v>34</v>
      </c>
      <c r="M2472">
        <v>3.3</v>
      </c>
      <c r="N2472">
        <v>3.3</v>
      </c>
      <c r="O2472">
        <v>0</v>
      </c>
      <c r="P2472">
        <v>0</v>
      </c>
      <c r="Q2472" t="s">
        <v>108</v>
      </c>
    </row>
    <row r="2473" spans="1:17">
      <c r="A2473" t="s">
        <v>93</v>
      </c>
      <c r="B2473" t="s">
        <v>106</v>
      </c>
      <c r="C2473" t="s">
        <v>56</v>
      </c>
      <c r="D2473" t="s">
        <v>2256</v>
      </c>
      <c r="E2473">
        <v>24</v>
      </c>
      <c r="F2473" t="str">
        <f>VLOOKUP(E2473,[1]LOJA!$A:$B,2,0)</f>
        <v>LUZIÂNIA</v>
      </c>
      <c r="G2473" t="s">
        <v>19</v>
      </c>
      <c r="H2473" t="s">
        <v>19</v>
      </c>
      <c r="I2473" s="1">
        <v>46042</v>
      </c>
      <c r="J2473" s="1">
        <v>46042</v>
      </c>
      <c r="K2473" s="1">
        <v>46042</v>
      </c>
      <c r="L2473">
        <v>34</v>
      </c>
      <c r="M2473">
        <v>10.95</v>
      </c>
      <c r="N2473">
        <v>10.95</v>
      </c>
      <c r="O2473">
        <v>0</v>
      </c>
      <c r="P2473">
        <v>0</v>
      </c>
      <c r="Q2473" t="s">
        <v>108</v>
      </c>
    </row>
    <row r="2474" spans="1:17">
      <c r="A2474" t="s">
        <v>93</v>
      </c>
      <c r="B2474" t="s">
        <v>106</v>
      </c>
      <c r="C2474" t="s">
        <v>56</v>
      </c>
      <c r="D2474" t="s">
        <v>2257</v>
      </c>
      <c r="E2474">
        <v>24</v>
      </c>
      <c r="F2474" t="str">
        <f>VLOOKUP(E2474,[1]LOJA!$A:$B,2,0)</f>
        <v>LUZIÂNIA</v>
      </c>
      <c r="G2474" t="s">
        <v>19</v>
      </c>
      <c r="H2474" t="s">
        <v>19</v>
      </c>
      <c r="I2474" s="1">
        <v>46042</v>
      </c>
      <c r="J2474" s="1">
        <v>46042</v>
      </c>
      <c r="K2474" s="1">
        <v>46042</v>
      </c>
      <c r="L2474">
        <v>34</v>
      </c>
      <c r="M2474">
        <v>8.41</v>
      </c>
      <c r="N2474">
        <v>8.41</v>
      </c>
      <c r="O2474">
        <v>0</v>
      </c>
      <c r="P2474">
        <v>0</v>
      </c>
      <c r="Q2474" t="s">
        <v>108</v>
      </c>
    </row>
    <row r="2475" spans="1:17">
      <c r="A2475" t="s">
        <v>93</v>
      </c>
      <c r="B2475" t="s">
        <v>106</v>
      </c>
      <c r="C2475" t="s">
        <v>56</v>
      </c>
      <c r="D2475" t="s">
        <v>2258</v>
      </c>
      <c r="E2475">
        <v>24</v>
      </c>
      <c r="F2475" t="str">
        <f>VLOOKUP(E2475,[1]LOJA!$A:$B,2,0)</f>
        <v>LUZIÂNIA</v>
      </c>
      <c r="G2475" t="s">
        <v>19</v>
      </c>
      <c r="H2475" t="s">
        <v>19</v>
      </c>
      <c r="I2475" s="1">
        <v>46042</v>
      </c>
      <c r="J2475" s="1">
        <v>46042</v>
      </c>
      <c r="K2475" s="1">
        <v>46042</v>
      </c>
      <c r="L2475">
        <v>34</v>
      </c>
      <c r="M2475">
        <v>3.55</v>
      </c>
      <c r="N2475">
        <v>3.55</v>
      </c>
      <c r="O2475">
        <v>0</v>
      </c>
      <c r="P2475">
        <v>0</v>
      </c>
      <c r="Q2475" t="s">
        <v>108</v>
      </c>
    </row>
    <row r="2476" spans="1:17">
      <c r="A2476" t="s">
        <v>93</v>
      </c>
      <c r="B2476" t="s">
        <v>106</v>
      </c>
      <c r="C2476" t="s">
        <v>56</v>
      </c>
      <c r="D2476" t="s">
        <v>2259</v>
      </c>
      <c r="E2476">
        <v>24</v>
      </c>
      <c r="F2476" t="str">
        <f>VLOOKUP(E2476,[1]LOJA!$A:$B,2,0)</f>
        <v>LUZIÂNIA</v>
      </c>
      <c r="G2476" t="s">
        <v>19</v>
      </c>
      <c r="H2476" t="s">
        <v>19</v>
      </c>
      <c r="I2476" s="1">
        <v>46042</v>
      </c>
      <c r="J2476" s="1">
        <v>46042</v>
      </c>
      <c r="K2476" s="1">
        <v>46042</v>
      </c>
      <c r="L2476">
        <v>34</v>
      </c>
      <c r="M2476">
        <v>0.96</v>
      </c>
      <c r="N2476">
        <v>0.96</v>
      </c>
      <c r="O2476">
        <v>0</v>
      </c>
      <c r="P2476">
        <v>0</v>
      </c>
      <c r="Q2476" t="s">
        <v>108</v>
      </c>
    </row>
    <row r="2477" spans="1:17">
      <c r="A2477" t="s">
        <v>93</v>
      </c>
      <c r="B2477" t="s">
        <v>106</v>
      </c>
      <c r="C2477" t="s">
        <v>56</v>
      </c>
      <c r="D2477" t="s">
        <v>2260</v>
      </c>
      <c r="E2477">
        <v>24</v>
      </c>
      <c r="F2477" t="str">
        <f>VLOOKUP(E2477,[1]LOJA!$A:$B,2,0)</f>
        <v>LUZIÂNIA</v>
      </c>
      <c r="G2477" t="s">
        <v>19</v>
      </c>
      <c r="H2477" t="s">
        <v>19</v>
      </c>
      <c r="I2477" s="1">
        <v>46042</v>
      </c>
      <c r="J2477" s="1">
        <v>46042</v>
      </c>
      <c r="K2477" s="1">
        <v>46042</v>
      </c>
      <c r="L2477">
        <v>34</v>
      </c>
      <c r="M2477">
        <v>8.2100000000000009</v>
      </c>
      <c r="N2477">
        <v>8.2100000000000009</v>
      </c>
      <c r="O2477">
        <v>0</v>
      </c>
      <c r="P2477">
        <v>0</v>
      </c>
      <c r="Q2477" t="s">
        <v>108</v>
      </c>
    </row>
    <row r="2478" spans="1:17">
      <c r="A2478" t="s">
        <v>93</v>
      </c>
      <c r="B2478" t="s">
        <v>106</v>
      </c>
      <c r="C2478" t="s">
        <v>56</v>
      </c>
      <c r="D2478" t="s">
        <v>2261</v>
      </c>
      <c r="E2478">
        <v>24</v>
      </c>
      <c r="F2478" t="str">
        <f>VLOOKUP(E2478,[1]LOJA!$A:$B,2,0)</f>
        <v>LUZIÂNIA</v>
      </c>
      <c r="G2478" t="s">
        <v>19</v>
      </c>
      <c r="H2478" t="s">
        <v>19</v>
      </c>
      <c r="I2478" s="1">
        <v>46042</v>
      </c>
      <c r="J2478" s="1">
        <v>46042</v>
      </c>
      <c r="K2478" s="1">
        <v>46042</v>
      </c>
      <c r="L2478">
        <v>34</v>
      </c>
      <c r="M2478">
        <v>0.55000000000000004</v>
      </c>
      <c r="N2478">
        <v>0.55000000000000004</v>
      </c>
      <c r="O2478">
        <v>0</v>
      </c>
      <c r="P2478">
        <v>0</v>
      </c>
      <c r="Q2478" t="s">
        <v>108</v>
      </c>
    </row>
    <row r="2479" spans="1:17">
      <c r="A2479" t="s">
        <v>93</v>
      </c>
      <c r="B2479" t="s">
        <v>106</v>
      </c>
      <c r="C2479" t="s">
        <v>56</v>
      </c>
      <c r="D2479" t="s">
        <v>2262</v>
      </c>
      <c r="E2479">
        <v>24</v>
      </c>
      <c r="F2479" t="str">
        <f>VLOOKUP(E2479,[1]LOJA!$A:$B,2,0)</f>
        <v>LUZIÂNIA</v>
      </c>
      <c r="G2479" t="s">
        <v>19</v>
      </c>
      <c r="H2479" t="s">
        <v>19</v>
      </c>
      <c r="I2479" s="1">
        <v>46042</v>
      </c>
      <c r="J2479" s="1">
        <v>46042</v>
      </c>
      <c r="K2479" s="1">
        <v>46042</v>
      </c>
      <c r="L2479">
        <v>34</v>
      </c>
      <c r="M2479">
        <v>3.14</v>
      </c>
      <c r="N2479">
        <v>3.14</v>
      </c>
      <c r="O2479">
        <v>0</v>
      </c>
      <c r="P2479">
        <v>0</v>
      </c>
      <c r="Q2479" t="s">
        <v>108</v>
      </c>
    </row>
    <row r="2480" spans="1:17">
      <c r="A2480" t="s">
        <v>93</v>
      </c>
      <c r="B2480" t="s">
        <v>106</v>
      </c>
      <c r="C2480" t="s">
        <v>56</v>
      </c>
      <c r="D2480" t="s">
        <v>2263</v>
      </c>
      <c r="E2480">
        <v>24</v>
      </c>
      <c r="F2480" t="str">
        <f>VLOOKUP(E2480,[1]LOJA!$A:$B,2,0)</f>
        <v>LUZIÂNIA</v>
      </c>
      <c r="G2480" t="s">
        <v>19</v>
      </c>
      <c r="H2480" t="s">
        <v>19</v>
      </c>
      <c r="I2480" s="1">
        <v>46042</v>
      </c>
      <c r="J2480" s="1">
        <v>46042</v>
      </c>
      <c r="K2480" s="1">
        <v>46042</v>
      </c>
      <c r="L2480">
        <v>34</v>
      </c>
      <c r="M2480">
        <v>11.46</v>
      </c>
      <c r="N2480">
        <v>11.46</v>
      </c>
      <c r="O2480">
        <v>0</v>
      </c>
      <c r="P2480">
        <v>0</v>
      </c>
      <c r="Q2480" t="s">
        <v>108</v>
      </c>
    </row>
    <row r="2481" spans="1:17">
      <c r="A2481" t="s">
        <v>93</v>
      </c>
      <c r="B2481" t="s">
        <v>106</v>
      </c>
      <c r="C2481" t="s">
        <v>56</v>
      </c>
      <c r="D2481" t="s">
        <v>2264</v>
      </c>
      <c r="E2481">
        <v>24</v>
      </c>
      <c r="F2481" t="str">
        <f>VLOOKUP(E2481,[1]LOJA!$A:$B,2,0)</f>
        <v>LUZIÂNIA</v>
      </c>
      <c r="G2481" t="s">
        <v>19</v>
      </c>
      <c r="H2481" t="s">
        <v>19</v>
      </c>
      <c r="I2481" s="1">
        <v>46042</v>
      </c>
      <c r="J2481" s="1">
        <v>46042</v>
      </c>
      <c r="K2481" s="1">
        <v>46042</v>
      </c>
      <c r="L2481">
        <v>34</v>
      </c>
      <c r="M2481">
        <v>12.25</v>
      </c>
      <c r="N2481">
        <v>12.25</v>
      </c>
      <c r="O2481">
        <v>0</v>
      </c>
      <c r="P2481">
        <v>0</v>
      </c>
      <c r="Q2481" t="s">
        <v>108</v>
      </c>
    </row>
    <row r="2482" spans="1:17">
      <c r="A2482" t="s">
        <v>93</v>
      </c>
      <c r="B2482" t="s">
        <v>106</v>
      </c>
      <c r="C2482" t="s">
        <v>56</v>
      </c>
      <c r="D2482" t="s">
        <v>2265</v>
      </c>
      <c r="E2482">
        <v>24</v>
      </c>
      <c r="F2482" t="str">
        <f>VLOOKUP(E2482,[1]LOJA!$A:$B,2,0)</f>
        <v>LUZIÂNIA</v>
      </c>
      <c r="G2482" t="s">
        <v>19</v>
      </c>
      <c r="H2482" t="s">
        <v>19</v>
      </c>
      <c r="I2482" s="1">
        <v>46042</v>
      </c>
      <c r="J2482" s="1">
        <v>46042</v>
      </c>
      <c r="K2482" s="1">
        <v>46042</v>
      </c>
      <c r="L2482">
        <v>34</v>
      </c>
      <c r="M2482">
        <v>0.98</v>
      </c>
      <c r="N2482">
        <v>0.98</v>
      </c>
      <c r="O2482">
        <v>0</v>
      </c>
      <c r="P2482">
        <v>0</v>
      </c>
      <c r="Q2482" t="s">
        <v>108</v>
      </c>
    </row>
    <row r="2483" spans="1:17">
      <c r="A2483" t="s">
        <v>93</v>
      </c>
      <c r="B2483" t="s">
        <v>106</v>
      </c>
      <c r="C2483" t="s">
        <v>56</v>
      </c>
      <c r="D2483" t="s">
        <v>2266</v>
      </c>
      <c r="E2483">
        <v>24</v>
      </c>
      <c r="F2483" t="str">
        <f>VLOOKUP(E2483,[1]LOJA!$A:$B,2,0)</f>
        <v>LUZIÂNIA</v>
      </c>
      <c r="G2483" t="s">
        <v>19</v>
      </c>
      <c r="H2483" t="s">
        <v>19</v>
      </c>
      <c r="I2483" s="1">
        <v>46042</v>
      </c>
      <c r="J2483" s="1">
        <v>46042</v>
      </c>
      <c r="K2483" s="1">
        <v>46042</v>
      </c>
      <c r="L2483">
        <v>34</v>
      </c>
      <c r="M2483">
        <v>1.37</v>
      </c>
      <c r="N2483">
        <v>1.37</v>
      </c>
      <c r="O2483">
        <v>0</v>
      </c>
      <c r="P2483">
        <v>0</v>
      </c>
      <c r="Q2483" t="s">
        <v>108</v>
      </c>
    </row>
    <row r="2484" spans="1:17">
      <c r="A2484" t="s">
        <v>93</v>
      </c>
      <c r="B2484" t="s">
        <v>106</v>
      </c>
      <c r="C2484" t="s">
        <v>56</v>
      </c>
      <c r="D2484" t="s">
        <v>2267</v>
      </c>
      <c r="E2484">
        <v>24</v>
      </c>
      <c r="F2484" t="str">
        <f>VLOOKUP(E2484,[1]LOJA!$A:$B,2,0)</f>
        <v>LUZIÂNIA</v>
      </c>
      <c r="G2484" t="s">
        <v>19</v>
      </c>
      <c r="H2484" t="s">
        <v>19</v>
      </c>
      <c r="I2484" s="1">
        <v>46042</v>
      </c>
      <c r="J2484" s="1">
        <v>46042</v>
      </c>
      <c r="K2484" s="1">
        <v>46042</v>
      </c>
      <c r="L2484">
        <v>34</v>
      </c>
      <c r="M2484">
        <v>0.6</v>
      </c>
      <c r="N2484">
        <v>0.6</v>
      </c>
      <c r="O2484">
        <v>0</v>
      </c>
      <c r="P2484">
        <v>0</v>
      </c>
      <c r="Q2484" t="s">
        <v>108</v>
      </c>
    </row>
    <row r="2485" spans="1:17">
      <c r="A2485" t="s">
        <v>93</v>
      </c>
      <c r="B2485" t="s">
        <v>106</v>
      </c>
      <c r="C2485" t="s">
        <v>56</v>
      </c>
      <c r="D2485" t="s">
        <v>2268</v>
      </c>
      <c r="E2485">
        <v>24</v>
      </c>
      <c r="F2485" t="str">
        <f>VLOOKUP(E2485,[1]LOJA!$A:$B,2,0)</f>
        <v>LUZIÂNIA</v>
      </c>
      <c r="G2485" t="s">
        <v>19</v>
      </c>
      <c r="H2485" t="s">
        <v>19</v>
      </c>
      <c r="I2485" s="1">
        <v>46042</v>
      </c>
      <c r="J2485" s="1">
        <v>46042</v>
      </c>
      <c r="K2485" s="1">
        <v>46042</v>
      </c>
      <c r="L2485">
        <v>34</v>
      </c>
      <c r="M2485">
        <v>0.47</v>
      </c>
      <c r="N2485">
        <v>0.47</v>
      </c>
      <c r="O2485">
        <v>0</v>
      </c>
      <c r="P2485">
        <v>0</v>
      </c>
      <c r="Q2485" t="s">
        <v>108</v>
      </c>
    </row>
    <row r="2486" spans="1:17">
      <c r="A2486" t="s">
        <v>93</v>
      </c>
      <c r="B2486" t="s">
        <v>106</v>
      </c>
      <c r="C2486" t="s">
        <v>56</v>
      </c>
      <c r="D2486" t="s">
        <v>2269</v>
      </c>
      <c r="E2486">
        <v>24</v>
      </c>
      <c r="F2486" t="str">
        <f>VLOOKUP(E2486,[1]LOJA!$A:$B,2,0)</f>
        <v>LUZIÂNIA</v>
      </c>
      <c r="G2486" t="s">
        <v>19</v>
      </c>
      <c r="H2486" t="s">
        <v>19</v>
      </c>
      <c r="I2486" s="1">
        <v>46042</v>
      </c>
      <c r="J2486" s="1">
        <v>46042</v>
      </c>
      <c r="K2486" s="1">
        <v>46042</v>
      </c>
      <c r="L2486">
        <v>34</v>
      </c>
      <c r="M2486">
        <v>0.16</v>
      </c>
      <c r="N2486">
        <v>0.16</v>
      </c>
      <c r="O2486">
        <v>0</v>
      </c>
      <c r="P2486">
        <v>0</v>
      </c>
      <c r="Q2486" t="s">
        <v>108</v>
      </c>
    </row>
    <row r="2487" spans="1:17">
      <c r="A2487" t="s">
        <v>93</v>
      </c>
      <c r="B2487" t="s">
        <v>106</v>
      </c>
      <c r="C2487" t="s">
        <v>56</v>
      </c>
      <c r="D2487" t="s">
        <v>2270</v>
      </c>
      <c r="E2487">
        <v>24</v>
      </c>
      <c r="F2487" t="str">
        <f>VLOOKUP(E2487,[1]LOJA!$A:$B,2,0)</f>
        <v>LUZIÂNIA</v>
      </c>
      <c r="G2487" t="s">
        <v>19</v>
      </c>
      <c r="H2487" t="s">
        <v>19</v>
      </c>
      <c r="I2487" s="1">
        <v>46042</v>
      </c>
      <c r="J2487" s="1">
        <v>46042</v>
      </c>
      <c r="K2487" s="1">
        <v>46042</v>
      </c>
      <c r="L2487">
        <v>34</v>
      </c>
      <c r="M2487">
        <v>1.27</v>
      </c>
      <c r="N2487">
        <v>1.27</v>
      </c>
      <c r="O2487">
        <v>0</v>
      </c>
      <c r="P2487">
        <v>0</v>
      </c>
      <c r="Q2487" t="s">
        <v>108</v>
      </c>
    </row>
    <row r="2488" spans="1:17">
      <c r="A2488" t="s">
        <v>93</v>
      </c>
      <c r="B2488" t="s">
        <v>106</v>
      </c>
      <c r="C2488" t="s">
        <v>56</v>
      </c>
      <c r="D2488" t="s">
        <v>2271</v>
      </c>
      <c r="E2488">
        <v>24</v>
      </c>
      <c r="F2488" t="str">
        <f>VLOOKUP(E2488,[1]LOJA!$A:$B,2,0)</f>
        <v>LUZIÂNIA</v>
      </c>
      <c r="G2488" t="s">
        <v>19</v>
      </c>
      <c r="H2488" t="s">
        <v>19</v>
      </c>
      <c r="I2488" s="1">
        <v>46042</v>
      </c>
      <c r="J2488" s="1">
        <v>46042</v>
      </c>
      <c r="K2488" s="1">
        <v>46042</v>
      </c>
      <c r="L2488">
        <v>34</v>
      </c>
      <c r="M2488">
        <v>0.47</v>
      </c>
      <c r="N2488">
        <v>0.47</v>
      </c>
      <c r="O2488">
        <v>0</v>
      </c>
      <c r="P2488">
        <v>0</v>
      </c>
      <c r="Q2488" t="s">
        <v>108</v>
      </c>
    </row>
    <row r="2489" spans="1:17">
      <c r="A2489" t="s">
        <v>93</v>
      </c>
      <c r="B2489" t="s">
        <v>106</v>
      </c>
      <c r="C2489" t="s">
        <v>56</v>
      </c>
      <c r="D2489" t="s">
        <v>2272</v>
      </c>
      <c r="E2489">
        <v>24</v>
      </c>
      <c r="F2489" t="str">
        <f>VLOOKUP(E2489,[1]LOJA!$A:$B,2,0)</f>
        <v>LUZIÂNIA</v>
      </c>
      <c r="G2489" t="s">
        <v>19</v>
      </c>
      <c r="H2489" t="s">
        <v>19</v>
      </c>
      <c r="I2489" s="1">
        <v>46042</v>
      </c>
      <c r="J2489" s="1">
        <v>46042</v>
      </c>
      <c r="K2489" s="1">
        <v>46042</v>
      </c>
      <c r="L2489">
        <v>34</v>
      </c>
      <c r="M2489">
        <v>0.13</v>
      </c>
      <c r="N2489">
        <v>0.13</v>
      </c>
      <c r="O2489">
        <v>0</v>
      </c>
      <c r="P2489">
        <v>0</v>
      </c>
      <c r="Q2489" t="s">
        <v>108</v>
      </c>
    </row>
    <row r="2490" spans="1:17">
      <c r="A2490" t="s">
        <v>93</v>
      </c>
      <c r="B2490" t="s">
        <v>106</v>
      </c>
      <c r="C2490" t="s">
        <v>56</v>
      </c>
      <c r="D2490" t="s">
        <v>2273</v>
      </c>
      <c r="E2490">
        <v>24</v>
      </c>
      <c r="F2490" t="str">
        <f>VLOOKUP(E2490,[1]LOJA!$A:$B,2,0)</f>
        <v>LUZIÂNIA</v>
      </c>
      <c r="G2490" t="s">
        <v>19</v>
      </c>
      <c r="H2490" t="s">
        <v>19</v>
      </c>
      <c r="I2490" s="1">
        <v>46042</v>
      </c>
      <c r="J2490" s="1">
        <v>46042</v>
      </c>
      <c r="K2490" s="1">
        <v>46042</v>
      </c>
      <c r="L2490">
        <v>34</v>
      </c>
      <c r="M2490">
        <v>0.73</v>
      </c>
      <c r="N2490">
        <v>0.73</v>
      </c>
      <c r="O2490">
        <v>0</v>
      </c>
      <c r="P2490">
        <v>0</v>
      </c>
      <c r="Q2490" t="s">
        <v>108</v>
      </c>
    </row>
    <row r="2491" spans="1:17">
      <c r="A2491" t="s">
        <v>93</v>
      </c>
      <c r="B2491" t="s">
        <v>106</v>
      </c>
      <c r="C2491" t="s">
        <v>56</v>
      </c>
      <c r="D2491" t="s">
        <v>2274</v>
      </c>
      <c r="E2491">
        <v>24</v>
      </c>
      <c r="F2491" t="str">
        <f>VLOOKUP(E2491,[1]LOJA!$A:$B,2,0)</f>
        <v>LUZIÂNIA</v>
      </c>
      <c r="G2491" t="s">
        <v>19</v>
      </c>
      <c r="H2491" t="s">
        <v>19</v>
      </c>
      <c r="I2491" s="1">
        <v>46042</v>
      </c>
      <c r="J2491" s="1">
        <v>46042</v>
      </c>
      <c r="K2491" s="1">
        <v>46042</v>
      </c>
      <c r="L2491">
        <v>34</v>
      </c>
      <c r="M2491">
        <v>3.41</v>
      </c>
      <c r="N2491">
        <v>3.41</v>
      </c>
      <c r="O2491">
        <v>0</v>
      </c>
      <c r="P2491">
        <v>0</v>
      </c>
      <c r="Q2491" t="s">
        <v>108</v>
      </c>
    </row>
    <row r="2492" spans="1:17">
      <c r="A2492" t="s">
        <v>93</v>
      </c>
      <c r="B2492" t="s">
        <v>106</v>
      </c>
      <c r="C2492" t="s">
        <v>56</v>
      </c>
      <c r="D2492" t="s">
        <v>2275</v>
      </c>
      <c r="E2492">
        <v>24</v>
      </c>
      <c r="F2492" t="str">
        <f>VLOOKUP(E2492,[1]LOJA!$A:$B,2,0)</f>
        <v>LUZIÂNIA</v>
      </c>
      <c r="G2492" t="s">
        <v>19</v>
      </c>
      <c r="H2492" t="s">
        <v>19</v>
      </c>
      <c r="I2492" s="1">
        <v>46042</v>
      </c>
      <c r="J2492" s="1">
        <v>46042</v>
      </c>
      <c r="K2492" s="1">
        <v>46042</v>
      </c>
      <c r="L2492">
        <v>34</v>
      </c>
      <c r="M2492">
        <v>5.03</v>
      </c>
      <c r="N2492">
        <v>5.03</v>
      </c>
      <c r="O2492">
        <v>0</v>
      </c>
      <c r="P2492">
        <v>0</v>
      </c>
      <c r="Q2492" t="s">
        <v>108</v>
      </c>
    </row>
    <row r="2493" spans="1:17">
      <c r="A2493" t="s">
        <v>93</v>
      </c>
      <c r="B2493" t="s">
        <v>106</v>
      </c>
      <c r="C2493" t="s">
        <v>56</v>
      </c>
      <c r="D2493" t="s">
        <v>2276</v>
      </c>
      <c r="E2493">
        <v>24</v>
      </c>
      <c r="F2493" t="str">
        <f>VLOOKUP(E2493,[1]LOJA!$A:$B,2,0)</f>
        <v>LUZIÂNIA</v>
      </c>
      <c r="G2493" t="s">
        <v>19</v>
      </c>
      <c r="H2493" t="s">
        <v>19</v>
      </c>
      <c r="I2493" s="1">
        <v>46042</v>
      </c>
      <c r="J2493" s="1">
        <v>46042</v>
      </c>
      <c r="K2493" s="1">
        <v>46042</v>
      </c>
      <c r="L2493">
        <v>34</v>
      </c>
      <c r="M2493">
        <v>0.25</v>
      </c>
      <c r="N2493">
        <v>0.25</v>
      </c>
      <c r="O2493">
        <v>0</v>
      </c>
      <c r="P2493">
        <v>0</v>
      </c>
      <c r="Q2493" t="s">
        <v>108</v>
      </c>
    </row>
    <row r="2494" spans="1:17">
      <c r="A2494" t="s">
        <v>93</v>
      </c>
      <c r="B2494" t="s">
        <v>106</v>
      </c>
      <c r="C2494" t="s">
        <v>56</v>
      </c>
      <c r="D2494" t="s">
        <v>2277</v>
      </c>
      <c r="E2494">
        <v>24</v>
      </c>
      <c r="F2494" t="str">
        <f>VLOOKUP(E2494,[1]LOJA!$A:$B,2,0)</f>
        <v>LUZIÂNIA</v>
      </c>
      <c r="G2494" t="s">
        <v>19</v>
      </c>
      <c r="H2494" t="s">
        <v>19</v>
      </c>
      <c r="I2494" s="1">
        <v>46042</v>
      </c>
      <c r="J2494" s="1">
        <v>46042</v>
      </c>
      <c r="K2494" s="1">
        <v>46042</v>
      </c>
      <c r="L2494">
        <v>34</v>
      </c>
      <c r="M2494">
        <v>2.76</v>
      </c>
      <c r="N2494">
        <v>2.76</v>
      </c>
      <c r="O2494">
        <v>0</v>
      </c>
      <c r="P2494">
        <v>0</v>
      </c>
      <c r="Q2494" t="s">
        <v>108</v>
      </c>
    </row>
    <row r="2495" spans="1:17">
      <c r="A2495" t="s">
        <v>93</v>
      </c>
      <c r="B2495" t="s">
        <v>106</v>
      </c>
      <c r="C2495" t="s">
        <v>56</v>
      </c>
      <c r="D2495" t="s">
        <v>2278</v>
      </c>
      <c r="E2495">
        <v>24</v>
      </c>
      <c r="F2495" t="str">
        <f>VLOOKUP(E2495,[1]LOJA!$A:$B,2,0)</f>
        <v>LUZIÂNIA</v>
      </c>
      <c r="G2495" t="s">
        <v>19</v>
      </c>
      <c r="H2495" t="s">
        <v>19</v>
      </c>
      <c r="I2495" s="1">
        <v>46042</v>
      </c>
      <c r="J2495" s="1">
        <v>46042</v>
      </c>
      <c r="K2495" s="1">
        <v>46042</v>
      </c>
      <c r="L2495">
        <v>34</v>
      </c>
      <c r="M2495">
        <v>1.72</v>
      </c>
      <c r="N2495">
        <v>1.72</v>
      </c>
      <c r="O2495">
        <v>0</v>
      </c>
      <c r="P2495">
        <v>0</v>
      </c>
      <c r="Q2495" t="s">
        <v>108</v>
      </c>
    </row>
    <row r="2496" spans="1:17">
      <c r="A2496" t="s">
        <v>93</v>
      </c>
      <c r="B2496" t="s">
        <v>106</v>
      </c>
      <c r="C2496" t="s">
        <v>56</v>
      </c>
      <c r="D2496" t="s">
        <v>2279</v>
      </c>
      <c r="E2496">
        <v>24</v>
      </c>
      <c r="F2496" t="str">
        <f>VLOOKUP(E2496,[1]LOJA!$A:$B,2,0)</f>
        <v>LUZIÂNIA</v>
      </c>
      <c r="G2496" t="s">
        <v>19</v>
      </c>
      <c r="H2496" t="s">
        <v>19</v>
      </c>
      <c r="I2496" s="1">
        <v>46041</v>
      </c>
      <c r="J2496" s="1">
        <v>46041</v>
      </c>
      <c r="K2496" s="1">
        <v>46041</v>
      </c>
      <c r="L2496">
        <v>34</v>
      </c>
      <c r="M2496">
        <v>29.9</v>
      </c>
      <c r="N2496">
        <v>29.9</v>
      </c>
      <c r="O2496">
        <v>0</v>
      </c>
      <c r="P2496">
        <v>0</v>
      </c>
      <c r="Q2496" t="s">
        <v>108</v>
      </c>
    </row>
    <row r="2497" spans="1:17">
      <c r="A2497" t="s">
        <v>93</v>
      </c>
      <c r="B2497" t="s">
        <v>106</v>
      </c>
      <c r="C2497" t="s">
        <v>56</v>
      </c>
      <c r="D2497" t="s">
        <v>2280</v>
      </c>
      <c r="E2497">
        <v>24</v>
      </c>
      <c r="F2497" t="str">
        <f>VLOOKUP(E2497,[1]LOJA!$A:$B,2,0)</f>
        <v>LUZIÂNIA</v>
      </c>
      <c r="G2497" t="s">
        <v>19</v>
      </c>
      <c r="H2497" t="s">
        <v>19</v>
      </c>
      <c r="I2497" s="1">
        <v>46041</v>
      </c>
      <c r="J2497" s="1">
        <v>46041</v>
      </c>
      <c r="K2497" s="1">
        <v>46041</v>
      </c>
      <c r="L2497">
        <v>34</v>
      </c>
      <c r="M2497">
        <v>4.93</v>
      </c>
      <c r="N2497">
        <v>4.93</v>
      </c>
      <c r="O2497">
        <v>0</v>
      </c>
      <c r="P2497">
        <v>0</v>
      </c>
      <c r="Q2497" t="s">
        <v>108</v>
      </c>
    </row>
    <row r="2498" spans="1:17">
      <c r="A2498" t="s">
        <v>93</v>
      </c>
      <c r="B2498" t="s">
        <v>106</v>
      </c>
      <c r="C2498" t="s">
        <v>56</v>
      </c>
      <c r="D2498" t="s">
        <v>2281</v>
      </c>
      <c r="E2498">
        <v>24</v>
      </c>
      <c r="F2498" t="str">
        <f>VLOOKUP(E2498,[1]LOJA!$A:$B,2,0)</f>
        <v>LUZIÂNIA</v>
      </c>
      <c r="G2498" t="s">
        <v>19</v>
      </c>
      <c r="H2498" t="s">
        <v>19</v>
      </c>
      <c r="I2498" s="1">
        <v>46041</v>
      </c>
      <c r="J2498" s="1">
        <v>46041</v>
      </c>
      <c r="K2498" s="1">
        <v>46041</v>
      </c>
      <c r="L2498">
        <v>34</v>
      </c>
      <c r="M2498">
        <v>8.76</v>
      </c>
      <c r="N2498">
        <v>8.76</v>
      </c>
      <c r="O2498">
        <v>0</v>
      </c>
      <c r="P2498">
        <v>0</v>
      </c>
      <c r="Q2498" t="s">
        <v>108</v>
      </c>
    </row>
    <row r="2499" spans="1:17">
      <c r="A2499" t="s">
        <v>93</v>
      </c>
      <c r="B2499" t="s">
        <v>106</v>
      </c>
      <c r="C2499" t="s">
        <v>56</v>
      </c>
      <c r="D2499" t="s">
        <v>2282</v>
      </c>
      <c r="E2499">
        <v>24</v>
      </c>
      <c r="F2499" t="str">
        <f>VLOOKUP(E2499,[1]LOJA!$A:$B,2,0)</f>
        <v>LUZIÂNIA</v>
      </c>
      <c r="G2499" t="s">
        <v>19</v>
      </c>
      <c r="H2499" t="s">
        <v>19</v>
      </c>
      <c r="I2499" s="1">
        <v>46041</v>
      </c>
      <c r="J2499" s="1">
        <v>46041</v>
      </c>
      <c r="K2499" s="1">
        <v>46041</v>
      </c>
      <c r="L2499">
        <v>34</v>
      </c>
      <c r="M2499">
        <v>6.93</v>
      </c>
      <c r="N2499">
        <v>6.93</v>
      </c>
      <c r="O2499">
        <v>0</v>
      </c>
      <c r="P2499">
        <v>0</v>
      </c>
      <c r="Q2499" t="s">
        <v>108</v>
      </c>
    </row>
    <row r="2500" spans="1:17">
      <c r="A2500" t="s">
        <v>93</v>
      </c>
      <c r="B2500" t="s">
        <v>106</v>
      </c>
      <c r="C2500" t="s">
        <v>56</v>
      </c>
      <c r="D2500" t="s">
        <v>2283</v>
      </c>
      <c r="E2500">
        <v>24</v>
      </c>
      <c r="F2500" t="str">
        <f>VLOOKUP(E2500,[1]LOJA!$A:$B,2,0)</f>
        <v>LUZIÂNIA</v>
      </c>
      <c r="G2500" t="s">
        <v>19</v>
      </c>
      <c r="H2500" t="s">
        <v>19</v>
      </c>
      <c r="I2500" s="1">
        <v>46041</v>
      </c>
      <c r="J2500" s="1">
        <v>46041</v>
      </c>
      <c r="K2500" s="1">
        <v>46041</v>
      </c>
      <c r="L2500">
        <v>34</v>
      </c>
      <c r="M2500">
        <v>3.43</v>
      </c>
      <c r="N2500">
        <v>3.43</v>
      </c>
      <c r="O2500">
        <v>0</v>
      </c>
      <c r="P2500">
        <v>0</v>
      </c>
      <c r="Q2500" t="s">
        <v>108</v>
      </c>
    </row>
    <row r="2501" spans="1:17">
      <c r="A2501" t="s">
        <v>93</v>
      </c>
      <c r="B2501" t="s">
        <v>106</v>
      </c>
      <c r="C2501" t="s">
        <v>56</v>
      </c>
      <c r="D2501" t="s">
        <v>2284</v>
      </c>
      <c r="E2501">
        <v>24</v>
      </c>
      <c r="F2501" t="str">
        <f>VLOOKUP(E2501,[1]LOJA!$A:$B,2,0)</f>
        <v>LUZIÂNIA</v>
      </c>
      <c r="G2501" t="s">
        <v>19</v>
      </c>
      <c r="H2501" t="s">
        <v>19</v>
      </c>
      <c r="I2501" s="1">
        <v>46041</v>
      </c>
      <c r="J2501" s="1">
        <v>46041</v>
      </c>
      <c r="K2501" s="1">
        <v>46041</v>
      </c>
      <c r="L2501">
        <v>34</v>
      </c>
      <c r="M2501">
        <v>2.6</v>
      </c>
      <c r="N2501">
        <v>2.6</v>
      </c>
      <c r="O2501">
        <v>0</v>
      </c>
      <c r="P2501">
        <v>0</v>
      </c>
      <c r="Q2501" t="s">
        <v>108</v>
      </c>
    </row>
    <row r="2502" spans="1:17">
      <c r="A2502" t="s">
        <v>93</v>
      </c>
      <c r="B2502" t="s">
        <v>106</v>
      </c>
      <c r="C2502" t="s">
        <v>56</v>
      </c>
      <c r="D2502" t="s">
        <v>2285</v>
      </c>
      <c r="E2502">
        <v>24</v>
      </c>
      <c r="F2502" t="str">
        <f>VLOOKUP(E2502,[1]LOJA!$A:$B,2,0)</f>
        <v>LUZIÂNIA</v>
      </c>
      <c r="G2502" t="s">
        <v>19</v>
      </c>
      <c r="H2502" t="s">
        <v>19</v>
      </c>
      <c r="I2502" s="1">
        <v>46041</v>
      </c>
      <c r="J2502" s="1">
        <v>46040</v>
      </c>
      <c r="K2502" s="1">
        <v>46041</v>
      </c>
      <c r="L2502">
        <v>34</v>
      </c>
      <c r="M2502">
        <v>4.74</v>
      </c>
      <c r="N2502">
        <v>4.74</v>
      </c>
      <c r="O2502">
        <v>0</v>
      </c>
      <c r="P2502">
        <v>0</v>
      </c>
      <c r="Q2502" t="s">
        <v>108</v>
      </c>
    </row>
    <row r="2503" spans="1:17">
      <c r="A2503" t="s">
        <v>93</v>
      </c>
      <c r="B2503" t="s">
        <v>106</v>
      </c>
      <c r="C2503" t="s">
        <v>56</v>
      </c>
      <c r="D2503" t="s">
        <v>2286</v>
      </c>
      <c r="E2503">
        <v>24</v>
      </c>
      <c r="F2503" t="str">
        <f>VLOOKUP(E2503,[1]LOJA!$A:$B,2,0)</f>
        <v>LUZIÂNIA</v>
      </c>
      <c r="G2503" t="s">
        <v>19</v>
      </c>
      <c r="H2503" t="s">
        <v>19</v>
      </c>
      <c r="I2503" s="1">
        <v>46041</v>
      </c>
      <c r="J2503" s="1">
        <v>46040</v>
      </c>
      <c r="K2503" s="1">
        <v>46041</v>
      </c>
      <c r="L2503">
        <v>34</v>
      </c>
      <c r="M2503">
        <v>4.74</v>
      </c>
      <c r="N2503">
        <v>4.74</v>
      </c>
      <c r="O2503">
        <v>0</v>
      </c>
      <c r="P2503">
        <v>0</v>
      </c>
      <c r="Q2503" t="s">
        <v>108</v>
      </c>
    </row>
    <row r="2504" spans="1:17">
      <c r="A2504" t="s">
        <v>93</v>
      </c>
      <c r="B2504" t="s">
        <v>106</v>
      </c>
      <c r="C2504" t="s">
        <v>56</v>
      </c>
      <c r="D2504" t="s">
        <v>2287</v>
      </c>
      <c r="E2504">
        <v>24</v>
      </c>
      <c r="F2504" t="str">
        <f>VLOOKUP(E2504,[1]LOJA!$A:$B,2,0)</f>
        <v>LUZIÂNIA</v>
      </c>
      <c r="G2504" t="s">
        <v>19</v>
      </c>
      <c r="H2504" t="s">
        <v>19</v>
      </c>
      <c r="I2504" s="1">
        <v>46041</v>
      </c>
      <c r="J2504" s="1">
        <v>46040</v>
      </c>
      <c r="K2504" s="1">
        <v>46041</v>
      </c>
      <c r="L2504">
        <v>34</v>
      </c>
      <c r="M2504">
        <v>4.93</v>
      </c>
      <c r="N2504">
        <v>4.93</v>
      </c>
      <c r="O2504">
        <v>0</v>
      </c>
      <c r="P2504">
        <v>0</v>
      </c>
      <c r="Q2504" t="s">
        <v>108</v>
      </c>
    </row>
    <row r="2505" spans="1:17">
      <c r="A2505" t="s">
        <v>93</v>
      </c>
      <c r="B2505" t="s">
        <v>106</v>
      </c>
      <c r="C2505" t="s">
        <v>56</v>
      </c>
      <c r="D2505" t="s">
        <v>2288</v>
      </c>
      <c r="E2505">
        <v>24</v>
      </c>
      <c r="F2505" t="str">
        <f>VLOOKUP(E2505,[1]LOJA!$A:$B,2,0)</f>
        <v>LUZIÂNIA</v>
      </c>
      <c r="G2505" t="s">
        <v>19</v>
      </c>
      <c r="H2505" t="s">
        <v>19</v>
      </c>
      <c r="I2505" s="1">
        <v>46041</v>
      </c>
      <c r="J2505" s="1">
        <v>46041</v>
      </c>
      <c r="K2505" s="1">
        <v>46041</v>
      </c>
      <c r="L2505">
        <v>34</v>
      </c>
      <c r="M2505">
        <v>10.89</v>
      </c>
      <c r="N2505">
        <v>10.89</v>
      </c>
      <c r="O2505">
        <v>0</v>
      </c>
      <c r="P2505">
        <v>0</v>
      </c>
      <c r="Q2505" t="s">
        <v>108</v>
      </c>
    </row>
    <row r="2506" spans="1:17">
      <c r="A2506" t="s">
        <v>93</v>
      </c>
      <c r="B2506" t="s">
        <v>106</v>
      </c>
      <c r="C2506" t="s">
        <v>56</v>
      </c>
      <c r="D2506" t="s">
        <v>2289</v>
      </c>
      <c r="E2506">
        <v>24</v>
      </c>
      <c r="F2506" t="str">
        <f>VLOOKUP(E2506,[1]LOJA!$A:$B,2,0)</f>
        <v>LUZIÂNIA</v>
      </c>
      <c r="G2506" t="s">
        <v>19</v>
      </c>
      <c r="H2506" t="s">
        <v>19</v>
      </c>
      <c r="I2506" s="1">
        <v>46041</v>
      </c>
      <c r="J2506" s="1">
        <v>46039</v>
      </c>
      <c r="K2506" s="1">
        <v>46041</v>
      </c>
      <c r="L2506">
        <v>34</v>
      </c>
      <c r="M2506">
        <v>1.05</v>
      </c>
      <c r="N2506">
        <v>1.05</v>
      </c>
      <c r="O2506">
        <v>0</v>
      </c>
      <c r="P2506">
        <v>0</v>
      </c>
      <c r="Q2506" t="s">
        <v>108</v>
      </c>
    </row>
    <row r="2507" spans="1:17">
      <c r="A2507" t="s">
        <v>93</v>
      </c>
      <c r="B2507" t="s">
        <v>106</v>
      </c>
      <c r="C2507" t="s">
        <v>56</v>
      </c>
      <c r="D2507" t="s">
        <v>2290</v>
      </c>
      <c r="E2507">
        <v>24</v>
      </c>
      <c r="F2507" t="str">
        <f>VLOOKUP(E2507,[1]LOJA!$A:$B,2,0)</f>
        <v>LUZIÂNIA</v>
      </c>
      <c r="G2507" t="s">
        <v>19</v>
      </c>
      <c r="H2507" t="s">
        <v>19</v>
      </c>
      <c r="I2507" s="1">
        <v>46041</v>
      </c>
      <c r="J2507" s="1">
        <v>46039</v>
      </c>
      <c r="K2507" s="1">
        <v>46041</v>
      </c>
      <c r="L2507">
        <v>34</v>
      </c>
      <c r="M2507">
        <v>0.44</v>
      </c>
      <c r="N2507">
        <v>0.44</v>
      </c>
      <c r="O2507">
        <v>0</v>
      </c>
      <c r="P2507">
        <v>0</v>
      </c>
      <c r="Q2507" t="s">
        <v>108</v>
      </c>
    </row>
    <row r="2508" spans="1:17">
      <c r="A2508" t="s">
        <v>93</v>
      </c>
      <c r="B2508" t="s">
        <v>106</v>
      </c>
      <c r="C2508" t="s">
        <v>56</v>
      </c>
      <c r="D2508" t="s">
        <v>2291</v>
      </c>
      <c r="E2508">
        <v>24</v>
      </c>
      <c r="F2508" t="str">
        <f>VLOOKUP(E2508,[1]LOJA!$A:$B,2,0)</f>
        <v>LUZIÂNIA</v>
      </c>
      <c r="G2508" t="s">
        <v>19</v>
      </c>
      <c r="H2508" t="s">
        <v>19</v>
      </c>
      <c r="I2508" s="1">
        <v>46041</v>
      </c>
      <c r="J2508" s="1">
        <v>46039</v>
      </c>
      <c r="K2508" s="1">
        <v>46041</v>
      </c>
      <c r="L2508">
        <v>34</v>
      </c>
      <c r="M2508">
        <v>0.49</v>
      </c>
      <c r="N2508">
        <v>0.49</v>
      </c>
      <c r="O2508">
        <v>0</v>
      </c>
      <c r="P2508">
        <v>0</v>
      </c>
      <c r="Q2508" t="s">
        <v>108</v>
      </c>
    </row>
    <row r="2509" spans="1:17">
      <c r="A2509" t="s">
        <v>93</v>
      </c>
      <c r="B2509" t="s">
        <v>106</v>
      </c>
      <c r="C2509" t="s">
        <v>56</v>
      </c>
      <c r="D2509" t="s">
        <v>2292</v>
      </c>
      <c r="E2509">
        <v>24</v>
      </c>
      <c r="F2509" t="str">
        <f>VLOOKUP(E2509,[1]LOJA!$A:$B,2,0)</f>
        <v>LUZIÂNIA</v>
      </c>
      <c r="G2509" t="s">
        <v>19</v>
      </c>
      <c r="H2509" t="s">
        <v>19</v>
      </c>
      <c r="I2509" s="1">
        <v>46041</v>
      </c>
      <c r="J2509" s="1">
        <v>46039</v>
      </c>
      <c r="K2509" s="1">
        <v>46041</v>
      </c>
      <c r="L2509">
        <v>34</v>
      </c>
      <c r="M2509">
        <v>2.36</v>
      </c>
      <c r="N2509">
        <v>2.36</v>
      </c>
      <c r="O2509">
        <v>0</v>
      </c>
      <c r="P2509">
        <v>0</v>
      </c>
      <c r="Q2509" t="s">
        <v>108</v>
      </c>
    </row>
    <row r="2510" spans="1:17">
      <c r="A2510" t="s">
        <v>93</v>
      </c>
      <c r="B2510" t="s">
        <v>106</v>
      </c>
      <c r="C2510" t="s">
        <v>56</v>
      </c>
      <c r="D2510" t="s">
        <v>2293</v>
      </c>
      <c r="E2510">
        <v>24</v>
      </c>
      <c r="F2510" t="str">
        <f>VLOOKUP(E2510,[1]LOJA!$A:$B,2,0)</f>
        <v>LUZIÂNIA</v>
      </c>
      <c r="G2510" t="s">
        <v>19</v>
      </c>
      <c r="H2510" t="s">
        <v>19</v>
      </c>
      <c r="I2510" s="1">
        <v>46041</v>
      </c>
      <c r="J2510" s="1">
        <v>46039</v>
      </c>
      <c r="K2510" s="1">
        <v>46041</v>
      </c>
      <c r="L2510">
        <v>34</v>
      </c>
      <c r="M2510">
        <v>2.56</v>
      </c>
      <c r="N2510">
        <v>2.56</v>
      </c>
      <c r="O2510">
        <v>0</v>
      </c>
      <c r="P2510">
        <v>0</v>
      </c>
      <c r="Q2510" t="s">
        <v>108</v>
      </c>
    </row>
    <row r="2511" spans="1:17">
      <c r="A2511" t="s">
        <v>93</v>
      </c>
      <c r="B2511" t="s">
        <v>106</v>
      </c>
      <c r="C2511" t="s">
        <v>56</v>
      </c>
      <c r="D2511" t="s">
        <v>2294</v>
      </c>
      <c r="E2511">
        <v>24</v>
      </c>
      <c r="F2511" t="str">
        <f>VLOOKUP(E2511,[1]LOJA!$A:$B,2,0)</f>
        <v>LUZIÂNIA</v>
      </c>
      <c r="G2511" t="s">
        <v>19</v>
      </c>
      <c r="H2511" t="s">
        <v>19</v>
      </c>
      <c r="I2511" s="1">
        <v>46041</v>
      </c>
      <c r="J2511" s="1">
        <v>46039</v>
      </c>
      <c r="K2511" s="1">
        <v>46041</v>
      </c>
      <c r="L2511">
        <v>34</v>
      </c>
      <c r="M2511">
        <v>4.38</v>
      </c>
      <c r="N2511">
        <v>4.38</v>
      </c>
      <c r="O2511">
        <v>0</v>
      </c>
      <c r="P2511">
        <v>0</v>
      </c>
      <c r="Q2511" t="s">
        <v>108</v>
      </c>
    </row>
    <row r="2512" spans="1:17">
      <c r="A2512" t="s">
        <v>93</v>
      </c>
      <c r="B2512" t="s">
        <v>106</v>
      </c>
      <c r="C2512" t="s">
        <v>56</v>
      </c>
      <c r="D2512" t="s">
        <v>2295</v>
      </c>
      <c r="E2512">
        <v>24</v>
      </c>
      <c r="F2512" t="str">
        <f>VLOOKUP(E2512,[1]LOJA!$A:$B,2,0)</f>
        <v>LUZIÂNIA</v>
      </c>
      <c r="G2512" t="s">
        <v>19</v>
      </c>
      <c r="H2512" t="s">
        <v>19</v>
      </c>
      <c r="I2512" s="1">
        <v>46041</v>
      </c>
      <c r="J2512" s="1">
        <v>46039</v>
      </c>
      <c r="K2512" s="1">
        <v>46041</v>
      </c>
      <c r="L2512">
        <v>34</v>
      </c>
      <c r="M2512">
        <v>2.19</v>
      </c>
      <c r="N2512">
        <v>2.19</v>
      </c>
      <c r="O2512">
        <v>0</v>
      </c>
      <c r="P2512">
        <v>0</v>
      </c>
      <c r="Q2512" t="s">
        <v>108</v>
      </c>
    </row>
    <row r="2513" spans="1:17">
      <c r="A2513" t="s">
        <v>93</v>
      </c>
      <c r="B2513" t="s">
        <v>106</v>
      </c>
      <c r="C2513" t="s">
        <v>56</v>
      </c>
      <c r="D2513" t="s">
        <v>2296</v>
      </c>
      <c r="E2513">
        <v>24</v>
      </c>
      <c r="F2513" t="str">
        <f>VLOOKUP(E2513,[1]LOJA!$A:$B,2,0)</f>
        <v>LUZIÂNIA</v>
      </c>
      <c r="G2513" t="s">
        <v>19</v>
      </c>
      <c r="H2513" t="s">
        <v>19</v>
      </c>
      <c r="I2513" s="1">
        <v>46041</v>
      </c>
      <c r="J2513" s="1">
        <v>46039</v>
      </c>
      <c r="K2513" s="1">
        <v>46041</v>
      </c>
      <c r="L2513">
        <v>34</v>
      </c>
      <c r="M2513">
        <v>1.9</v>
      </c>
      <c r="N2513">
        <v>1.9</v>
      </c>
      <c r="O2513">
        <v>0</v>
      </c>
      <c r="P2513">
        <v>0</v>
      </c>
      <c r="Q2513" t="s">
        <v>108</v>
      </c>
    </row>
    <row r="2514" spans="1:17">
      <c r="A2514" t="s">
        <v>93</v>
      </c>
      <c r="B2514" t="s">
        <v>106</v>
      </c>
      <c r="C2514" t="s">
        <v>56</v>
      </c>
      <c r="D2514" t="s">
        <v>2297</v>
      </c>
      <c r="E2514">
        <v>24</v>
      </c>
      <c r="F2514" t="str">
        <f>VLOOKUP(E2514,[1]LOJA!$A:$B,2,0)</f>
        <v>LUZIÂNIA</v>
      </c>
      <c r="G2514" t="s">
        <v>19</v>
      </c>
      <c r="H2514" t="s">
        <v>19</v>
      </c>
      <c r="I2514" s="1">
        <v>46041</v>
      </c>
      <c r="J2514" s="1">
        <v>46039</v>
      </c>
      <c r="K2514" s="1">
        <v>46041</v>
      </c>
      <c r="L2514">
        <v>34</v>
      </c>
      <c r="M2514">
        <v>0.44</v>
      </c>
      <c r="N2514">
        <v>0.44</v>
      </c>
      <c r="O2514">
        <v>0</v>
      </c>
      <c r="P2514">
        <v>0</v>
      </c>
      <c r="Q2514" t="s">
        <v>108</v>
      </c>
    </row>
    <row r="2515" spans="1:17">
      <c r="A2515" t="s">
        <v>93</v>
      </c>
      <c r="B2515" t="s">
        <v>106</v>
      </c>
      <c r="C2515" t="s">
        <v>56</v>
      </c>
      <c r="D2515" t="s">
        <v>2298</v>
      </c>
      <c r="E2515">
        <v>24</v>
      </c>
      <c r="F2515" t="str">
        <f>VLOOKUP(E2515,[1]LOJA!$A:$B,2,0)</f>
        <v>LUZIÂNIA</v>
      </c>
      <c r="G2515" t="s">
        <v>19</v>
      </c>
      <c r="H2515" t="s">
        <v>19</v>
      </c>
      <c r="I2515" s="1">
        <v>46041</v>
      </c>
      <c r="J2515" s="1">
        <v>46039</v>
      </c>
      <c r="K2515" s="1">
        <v>46041</v>
      </c>
      <c r="L2515">
        <v>34</v>
      </c>
      <c r="M2515">
        <v>0.46</v>
      </c>
      <c r="N2515">
        <v>0.46</v>
      </c>
      <c r="O2515">
        <v>0</v>
      </c>
      <c r="P2515">
        <v>0</v>
      </c>
      <c r="Q2515" t="s">
        <v>108</v>
      </c>
    </row>
    <row r="2516" spans="1:17">
      <c r="A2516" t="s">
        <v>93</v>
      </c>
      <c r="B2516" t="s">
        <v>106</v>
      </c>
      <c r="C2516" t="s">
        <v>56</v>
      </c>
      <c r="D2516" t="s">
        <v>2299</v>
      </c>
      <c r="E2516">
        <v>24</v>
      </c>
      <c r="F2516" t="str">
        <f>VLOOKUP(E2516,[1]LOJA!$A:$B,2,0)</f>
        <v>LUZIÂNIA</v>
      </c>
      <c r="G2516" t="s">
        <v>19</v>
      </c>
      <c r="H2516" t="s">
        <v>19</v>
      </c>
      <c r="I2516" s="1">
        <v>46041</v>
      </c>
      <c r="J2516" s="1">
        <v>46039</v>
      </c>
      <c r="K2516" s="1">
        <v>46041</v>
      </c>
      <c r="L2516">
        <v>34</v>
      </c>
      <c r="M2516">
        <v>6.35</v>
      </c>
      <c r="N2516">
        <v>6.35</v>
      </c>
      <c r="O2516">
        <v>0</v>
      </c>
      <c r="P2516">
        <v>0</v>
      </c>
      <c r="Q2516" t="s">
        <v>108</v>
      </c>
    </row>
    <row r="2517" spans="1:17">
      <c r="A2517" t="s">
        <v>93</v>
      </c>
      <c r="B2517" t="s">
        <v>106</v>
      </c>
      <c r="C2517" t="s">
        <v>56</v>
      </c>
      <c r="D2517" t="s">
        <v>2300</v>
      </c>
      <c r="E2517">
        <v>24</v>
      </c>
      <c r="F2517" t="str">
        <f>VLOOKUP(E2517,[1]LOJA!$A:$B,2,0)</f>
        <v>LUZIÂNIA</v>
      </c>
      <c r="G2517" t="s">
        <v>19</v>
      </c>
      <c r="H2517" t="s">
        <v>19</v>
      </c>
      <c r="I2517" s="1">
        <v>46041</v>
      </c>
      <c r="J2517" s="1">
        <v>46040</v>
      </c>
      <c r="K2517" s="1">
        <v>46041</v>
      </c>
      <c r="L2517">
        <v>34</v>
      </c>
      <c r="M2517">
        <v>5.32</v>
      </c>
      <c r="N2517">
        <v>5.32</v>
      </c>
      <c r="O2517">
        <v>0</v>
      </c>
      <c r="P2517">
        <v>0</v>
      </c>
      <c r="Q2517" t="s">
        <v>108</v>
      </c>
    </row>
    <row r="2518" spans="1:17">
      <c r="A2518" t="s">
        <v>93</v>
      </c>
      <c r="B2518" t="s">
        <v>106</v>
      </c>
      <c r="C2518" t="s">
        <v>56</v>
      </c>
      <c r="D2518" t="s">
        <v>2301</v>
      </c>
      <c r="E2518">
        <v>24</v>
      </c>
      <c r="F2518" t="str">
        <f>VLOOKUP(E2518,[1]LOJA!$A:$B,2,0)</f>
        <v>LUZIÂNIA</v>
      </c>
      <c r="G2518" t="s">
        <v>19</v>
      </c>
      <c r="H2518" t="s">
        <v>19</v>
      </c>
      <c r="I2518" s="1">
        <v>46041</v>
      </c>
      <c r="J2518" s="1">
        <v>46040</v>
      </c>
      <c r="K2518" s="1">
        <v>46041</v>
      </c>
      <c r="L2518">
        <v>34</v>
      </c>
      <c r="M2518">
        <v>0.7</v>
      </c>
      <c r="N2518">
        <v>0.7</v>
      </c>
      <c r="O2518">
        <v>0</v>
      </c>
      <c r="P2518">
        <v>0</v>
      </c>
      <c r="Q2518" t="s">
        <v>108</v>
      </c>
    </row>
    <row r="2519" spans="1:17">
      <c r="A2519" t="s">
        <v>93</v>
      </c>
      <c r="B2519" t="s">
        <v>106</v>
      </c>
      <c r="C2519" t="s">
        <v>56</v>
      </c>
      <c r="D2519" t="s">
        <v>2302</v>
      </c>
      <c r="E2519">
        <v>24</v>
      </c>
      <c r="F2519" t="str">
        <f>VLOOKUP(E2519,[1]LOJA!$A:$B,2,0)</f>
        <v>LUZIÂNIA</v>
      </c>
      <c r="G2519" t="s">
        <v>19</v>
      </c>
      <c r="H2519" t="s">
        <v>19</v>
      </c>
      <c r="I2519" s="1">
        <v>46041</v>
      </c>
      <c r="J2519" s="1">
        <v>46040</v>
      </c>
      <c r="K2519" s="1">
        <v>46041</v>
      </c>
      <c r="L2519">
        <v>34</v>
      </c>
      <c r="M2519">
        <v>0.18</v>
      </c>
      <c r="N2519">
        <v>0.18</v>
      </c>
      <c r="O2519">
        <v>0</v>
      </c>
      <c r="P2519">
        <v>0</v>
      </c>
      <c r="Q2519" t="s">
        <v>108</v>
      </c>
    </row>
    <row r="2520" spans="1:17">
      <c r="A2520" t="s">
        <v>93</v>
      </c>
      <c r="B2520" t="s">
        <v>106</v>
      </c>
      <c r="C2520" t="s">
        <v>56</v>
      </c>
      <c r="D2520" t="s">
        <v>2303</v>
      </c>
      <c r="E2520">
        <v>24</v>
      </c>
      <c r="F2520" t="str">
        <f>VLOOKUP(E2520,[1]LOJA!$A:$B,2,0)</f>
        <v>LUZIÂNIA</v>
      </c>
      <c r="G2520" t="s">
        <v>19</v>
      </c>
      <c r="H2520" t="s">
        <v>19</v>
      </c>
      <c r="I2520" s="1">
        <v>46041</v>
      </c>
      <c r="J2520" s="1">
        <v>46040</v>
      </c>
      <c r="K2520" s="1">
        <v>46041</v>
      </c>
      <c r="L2520">
        <v>34</v>
      </c>
      <c r="M2520">
        <v>0.18</v>
      </c>
      <c r="N2520">
        <v>0.18</v>
      </c>
      <c r="O2520">
        <v>0</v>
      </c>
      <c r="P2520">
        <v>0</v>
      </c>
      <c r="Q2520" t="s">
        <v>108</v>
      </c>
    </row>
    <row r="2521" spans="1:17">
      <c r="A2521" t="s">
        <v>93</v>
      </c>
      <c r="B2521" t="s">
        <v>106</v>
      </c>
      <c r="C2521" t="s">
        <v>56</v>
      </c>
      <c r="D2521" t="s">
        <v>2304</v>
      </c>
      <c r="E2521">
        <v>24</v>
      </c>
      <c r="F2521" t="str">
        <f>VLOOKUP(E2521,[1]LOJA!$A:$B,2,0)</f>
        <v>LUZIÂNIA</v>
      </c>
      <c r="G2521" t="s">
        <v>19</v>
      </c>
      <c r="H2521" t="s">
        <v>19</v>
      </c>
      <c r="I2521" s="1">
        <v>46041</v>
      </c>
      <c r="J2521" s="1">
        <v>46040</v>
      </c>
      <c r="K2521" s="1">
        <v>46041</v>
      </c>
      <c r="L2521">
        <v>34</v>
      </c>
      <c r="M2521">
        <v>5.59</v>
      </c>
      <c r="N2521">
        <v>5.59</v>
      </c>
      <c r="O2521">
        <v>0</v>
      </c>
      <c r="P2521">
        <v>0</v>
      </c>
      <c r="Q2521" t="s">
        <v>108</v>
      </c>
    </row>
    <row r="2522" spans="1:17">
      <c r="A2522" t="s">
        <v>93</v>
      </c>
      <c r="B2522" t="s">
        <v>106</v>
      </c>
      <c r="C2522" t="s">
        <v>56</v>
      </c>
      <c r="D2522" t="s">
        <v>2305</v>
      </c>
      <c r="E2522">
        <v>24</v>
      </c>
      <c r="F2522" t="str">
        <f>VLOOKUP(E2522,[1]LOJA!$A:$B,2,0)</f>
        <v>LUZIÂNIA</v>
      </c>
      <c r="G2522" t="s">
        <v>19</v>
      </c>
      <c r="H2522" t="s">
        <v>19</v>
      </c>
      <c r="I2522" s="1">
        <v>46041</v>
      </c>
      <c r="J2522" s="1">
        <v>46040</v>
      </c>
      <c r="K2522" s="1">
        <v>46041</v>
      </c>
      <c r="L2522">
        <v>34</v>
      </c>
      <c r="M2522">
        <v>3.5</v>
      </c>
      <c r="N2522">
        <v>3.5</v>
      </c>
      <c r="O2522">
        <v>0</v>
      </c>
      <c r="P2522">
        <v>0</v>
      </c>
      <c r="Q2522" t="s">
        <v>108</v>
      </c>
    </row>
    <row r="2523" spans="1:17">
      <c r="A2523" t="s">
        <v>93</v>
      </c>
      <c r="B2523" t="s">
        <v>106</v>
      </c>
      <c r="C2523" t="s">
        <v>56</v>
      </c>
      <c r="D2523" t="s">
        <v>2306</v>
      </c>
      <c r="E2523">
        <v>24</v>
      </c>
      <c r="F2523" t="str">
        <f>VLOOKUP(E2523,[1]LOJA!$A:$B,2,0)</f>
        <v>LUZIÂNIA</v>
      </c>
      <c r="G2523" t="s">
        <v>19</v>
      </c>
      <c r="H2523" t="s">
        <v>19</v>
      </c>
      <c r="I2523" s="1">
        <v>46041</v>
      </c>
      <c r="J2523" s="1">
        <v>46040</v>
      </c>
      <c r="K2523" s="1">
        <v>46041</v>
      </c>
      <c r="L2523">
        <v>34</v>
      </c>
      <c r="M2523">
        <v>0.71</v>
      </c>
      <c r="N2523">
        <v>0.71</v>
      </c>
      <c r="O2523">
        <v>0</v>
      </c>
      <c r="P2523">
        <v>0</v>
      </c>
      <c r="Q2523" t="s">
        <v>108</v>
      </c>
    </row>
    <row r="2524" spans="1:17">
      <c r="A2524" t="s">
        <v>93</v>
      </c>
      <c r="B2524" t="s">
        <v>106</v>
      </c>
      <c r="C2524" t="s">
        <v>56</v>
      </c>
      <c r="D2524" t="s">
        <v>2307</v>
      </c>
      <c r="E2524">
        <v>24</v>
      </c>
      <c r="F2524" t="str">
        <f>VLOOKUP(E2524,[1]LOJA!$A:$B,2,0)</f>
        <v>LUZIÂNIA</v>
      </c>
      <c r="G2524" t="s">
        <v>19</v>
      </c>
      <c r="H2524" t="s">
        <v>19</v>
      </c>
      <c r="I2524" s="1">
        <v>46041</v>
      </c>
      <c r="J2524" s="1">
        <v>46040</v>
      </c>
      <c r="K2524" s="1">
        <v>46041</v>
      </c>
      <c r="L2524">
        <v>34</v>
      </c>
      <c r="M2524">
        <v>2.1</v>
      </c>
      <c r="N2524">
        <v>2.1</v>
      </c>
      <c r="O2524">
        <v>0</v>
      </c>
      <c r="P2524">
        <v>0</v>
      </c>
      <c r="Q2524" t="s">
        <v>108</v>
      </c>
    </row>
    <row r="2525" spans="1:17">
      <c r="A2525" t="s">
        <v>93</v>
      </c>
      <c r="B2525" t="s">
        <v>106</v>
      </c>
      <c r="C2525" t="s">
        <v>56</v>
      </c>
      <c r="D2525" t="s">
        <v>2308</v>
      </c>
      <c r="E2525">
        <v>24</v>
      </c>
      <c r="F2525" t="str">
        <f>VLOOKUP(E2525,[1]LOJA!$A:$B,2,0)</f>
        <v>LUZIÂNIA</v>
      </c>
      <c r="G2525" t="s">
        <v>19</v>
      </c>
      <c r="H2525" t="s">
        <v>19</v>
      </c>
      <c r="I2525" s="1">
        <v>46041</v>
      </c>
      <c r="J2525" s="1">
        <v>46040</v>
      </c>
      <c r="K2525" s="1">
        <v>46041</v>
      </c>
      <c r="L2525">
        <v>34</v>
      </c>
      <c r="M2525">
        <v>1.1599999999999999</v>
      </c>
      <c r="N2525">
        <v>1.1599999999999999</v>
      </c>
      <c r="O2525">
        <v>0</v>
      </c>
      <c r="P2525">
        <v>0</v>
      </c>
      <c r="Q2525" t="s">
        <v>108</v>
      </c>
    </row>
    <row r="2526" spans="1:17">
      <c r="A2526" t="s">
        <v>93</v>
      </c>
      <c r="B2526" t="s">
        <v>106</v>
      </c>
      <c r="C2526" t="s">
        <v>56</v>
      </c>
      <c r="D2526" t="s">
        <v>2309</v>
      </c>
      <c r="E2526">
        <v>24</v>
      </c>
      <c r="F2526" t="str">
        <f>VLOOKUP(E2526,[1]LOJA!$A:$B,2,0)</f>
        <v>LUZIÂNIA</v>
      </c>
      <c r="G2526" t="s">
        <v>19</v>
      </c>
      <c r="H2526" t="s">
        <v>19</v>
      </c>
      <c r="I2526" s="1">
        <v>46041</v>
      </c>
      <c r="J2526" s="1">
        <v>46040</v>
      </c>
      <c r="K2526" s="1">
        <v>46041</v>
      </c>
      <c r="L2526">
        <v>34</v>
      </c>
      <c r="M2526">
        <v>3.2</v>
      </c>
      <c r="N2526">
        <v>3.2</v>
      </c>
      <c r="O2526">
        <v>0</v>
      </c>
      <c r="P2526">
        <v>0</v>
      </c>
      <c r="Q2526" t="s">
        <v>108</v>
      </c>
    </row>
    <row r="2527" spans="1:17">
      <c r="A2527" t="s">
        <v>93</v>
      </c>
      <c r="B2527" t="s">
        <v>106</v>
      </c>
      <c r="C2527" t="s">
        <v>56</v>
      </c>
      <c r="D2527" t="s">
        <v>2310</v>
      </c>
      <c r="E2527">
        <v>24</v>
      </c>
      <c r="F2527" t="str">
        <f>VLOOKUP(E2527,[1]LOJA!$A:$B,2,0)</f>
        <v>LUZIÂNIA</v>
      </c>
      <c r="G2527" t="s">
        <v>19</v>
      </c>
      <c r="H2527" t="s">
        <v>19</v>
      </c>
      <c r="I2527" s="1">
        <v>46041</v>
      </c>
      <c r="J2527" s="1">
        <v>46040</v>
      </c>
      <c r="K2527" s="1">
        <v>46041</v>
      </c>
      <c r="L2527">
        <v>34</v>
      </c>
      <c r="M2527">
        <v>1.75</v>
      </c>
      <c r="N2527">
        <v>1.75</v>
      </c>
      <c r="O2527">
        <v>0</v>
      </c>
      <c r="P2527">
        <v>0</v>
      </c>
      <c r="Q2527" t="s">
        <v>108</v>
      </c>
    </row>
    <row r="2528" spans="1:17">
      <c r="A2528" t="s">
        <v>93</v>
      </c>
      <c r="B2528" t="s">
        <v>106</v>
      </c>
      <c r="C2528" t="s">
        <v>56</v>
      </c>
      <c r="D2528" t="s">
        <v>2311</v>
      </c>
      <c r="E2528">
        <v>24</v>
      </c>
      <c r="F2528" t="str">
        <f>VLOOKUP(E2528,[1]LOJA!$A:$B,2,0)</f>
        <v>LUZIÂNIA</v>
      </c>
      <c r="G2528" t="s">
        <v>19</v>
      </c>
      <c r="H2528" t="s">
        <v>19</v>
      </c>
      <c r="I2528" s="1">
        <v>46041</v>
      </c>
      <c r="J2528" s="1">
        <v>46040</v>
      </c>
      <c r="K2528" s="1">
        <v>46041</v>
      </c>
      <c r="L2528">
        <v>34</v>
      </c>
      <c r="M2528">
        <v>1.86</v>
      </c>
      <c r="N2528">
        <v>1.86</v>
      </c>
      <c r="O2528">
        <v>0</v>
      </c>
      <c r="P2528">
        <v>0</v>
      </c>
      <c r="Q2528" t="s">
        <v>108</v>
      </c>
    </row>
    <row r="2529" spans="1:17">
      <c r="A2529" t="s">
        <v>93</v>
      </c>
      <c r="B2529" t="s">
        <v>106</v>
      </c>
      <c r="C2529" t="s">
        <v>56</v>
      </c>
      <c r="D2529" t="s">
        <v>2312</v>
      </c>
      <c r="E2529">
        <v>24</v>
      </c>
      <c r="F2529" t="str">
        <f>VLOOKUP(E2529,[1]LOJA!$A:$B,2,0)</f>
        <v>LUZIÂNIA</v>
      </c>
      <c r="G2529" t="s">
        <v>19</v>
      </c>
      <c r="H2529" t="s">
        <v>19</v>
      </c>
      <c r="I2529" s="1">
        <v>46041</v>
      </c>
      <c r="J2529" s="1">
        <v>46041</v>
      </c>
      <c r="K2529" s="1">
        <v>46041</v>
      </c>
      <c r="L2529">
        <v>34</v>
      </c>
      <c r="M2529">
        <v>0.96</v>
      </c>
      <c r="N2529">
        <v>0.96</v>
      </c>
      <c r="O2529">
        <v>0</v>
      </c>
      <c r="P2529">
        <v>0</v>
      </c>
      <c r="Q2529" t="s">
        <v>108</v>
      </c>
    </row>
    <row r="2530" spans="1:17">
      <c r="A2530" t="s">
        <v>93</v>
      </c>
      <c r="B2530" t="s">
        <v>106</v>
      </c>
      <c r="C2530" t="s">
        <v>56</v>
      </c>
      <c r="D2530" t="s">
        <v>2313</v>
      </c>
      <c r="E2530">
        <v>24</v>
      </c>
      <c r="F2530" t="str">
        <f>VLOOKUP(E2530,[1]LOJA!$A:$B,2,0)</f>
        <v>LUZIÂNIA</v>
      </c>
      <c r="G2530" t="s">
        <v>19</v>
      </c>
      <c r="H2530" t="s">
        <v>19</v>
      </c>
      <c r="I2530" s="1">
        <v>46041</v>
      </c>
      <c r="J2530" s="1">
        <v>46041</v>
      </c>
      <c r="K2530" s="1">
        <v>46041</v>
      </c>
      <c r="L2530">
        <v>34</v>
      </c>
      <c r="M2530">
        <v>2.21</v>
      </c>
      <c r="N2530">
        <v>2.21</v>
      </c>
      <c r="O2530">
        <v>0</v>
      </c>
      <c r="P2530">
        <v>0</v>
      </c>
      <c r="Q2530" t="s">
        <v>108</v>
      </c>
    </row>
    <row r="2531" spans="1:17">
      <c r="A2531" t="s">
        <v>93</v>
      </c>
      <c r="B2531" t="s">
        <v>106</v>
      </c>
      <c r="C2531" t="s">
        <v>56</v>
      </c>
      <c r="D2531" t="s">
        <v>2314</v>
      </c>
      <c r="E2531">
        <v>24</v>
      </c>
      <c r="F2531" t="str">
        <f>VLOOKUP(E2531,[1]LOJA!$A:$B,2,0)</f>
        <v>LUZIÂNIA</v>
      </c>
      <c r="G2531" t="s">
        <v>19</v>
      </c>
      <c r="H2531" t="s">
        <v>19</v>
      </c>
      <c r="I2531" s="1">
        <v>46041</v>
      </c>
      <c r="J2531" s="1">
        <v>46041</v>
      </c>
      <c r="K2531" s="1">
        <v>46041</v>
      </c>
      <c r="L2531">
        <v>34</v>
      </c>
      <c r="M2531">
        <v>0.61</v>
      </c>
      <c r="N2531">
        <v>0.61</v>
      </c>
      <c r="O2531">
        <v>0</v>
      </c>
      <c r="P2531">
        <v>0</v>
      </c>
      <c r="Q2531" t="s">
        <v>108</v>
      </c>
    </row>
    <row r="2532" spans="1:17">
      <c r="A2532" t="s">
        <v>93</v>
      </c>
      <c r="B2532" t="s">
        <v>106</v>
      </c>
      <c r="C2532" t="s">
        <v>56</v>
      </c>
      <c r="D2532" t="s">
        <v>2315</v>
      </c>
      <c r="E2532">
        <v>24</v>
      </c>
      <c r="F2532" t="str">
        <f>VLOOKUP(E2532,[1]LOJA!$A:$B,2,0)</f>
        <v>LUZIÂNIA</v>
      </c>
      <c r="G2532" t="s">
        <v>19</v>
      </c>
      <c r="H2532" t="s">
        <v>19</v>
      </c>
      <c r="I2532" s="1">
        <v>46041</v>
      </c>
      <c r="J2532" s="1">
        <v>46041</v>
      </c>
      <c r="K2532" s="1">
        <v>46041</v>
      </c>
      <c r="L2532">
        <v>34</v>
      </c>
      <c r="M2532">
        <v>0.88</v>
      </c>
      <c r="N2532">
        <v>0.88</v>
      </c>
      <c r="O2532">
        <v>0</v>
      </c>
      <c r="P2532">
        <v>0</v>
      </c>
      <c r="Q2532" t="s">
        <v>108</v>
      </c>
    </row>
    <row r="2533" spans="1:17">
      <c r="A2533" t="s">
        <v>93</v>
      </c>
      <c r="B2533" t="s">
        <v>106</v>
      </c>
      <c r="C2533" t="s">
        <v>56</v>
      </c>
      <c r="D2533" t="s">
        <v>2316</v>
      </c>
      <c r="E2533">
        <v>24</v>
      </c>
      <c r="F2533" t="str">
        <f>VLOOKUP(E2533,[1]LOJA!$A:$B,2,0)</f>
        <v>LUZIÂNIA</v>
      </c>
      <c r="G2533" t="s">
        <v>19</v>
      </c>
      <c r="H2533" t="s">
        <v>19</v>
      </c>
      <c r="I2533" s="1">
        <v>46041</v>
      </c>
      <c r="J2533" s="1">
        <v>46041</v>
      </c>
      <c r="K2533" s="1">
        <v>46041</v>
      </c>
      <c r="L2533">
        <v>34</v>
      </c>
      <c r="M2533">
        <v>2.4500000000000002</v>
      </c>
      <c r="N2533">
        <v>2.4500000000000002</v>
      </c>
      <c r="O2533">
        <v>0</v>
      </c>
      <c r="P2533">
        <v>0</v>
      </c>
      <c r="Q2533" t="s">
        <v>108</v>
      </c>
    </row>
    <row r="2534" spans="1:17">
      <c r="A2534" t="s">
        <v>93</v>
      </c>
      <c r="B2534" t="s">
        <v>106</v>
      </c>
      <c r="C2534" t="s">
        <v>56</v>
      </c>
      <c r="D2534" t="s">
        <v>2317</v>
      </c>
      <c r="E2534">
        <v>24</v>
      </c>
      <c r="F2534" t="str">
        <f>VLOOKUP(E2534,[1]LOJA!$A:$B,2,0)</f>
        <v>LUZIÂNIA</v>
      </c>
      <c r="G2534" t="s">
        <v>19</v>
      </c>
      <c r="H2534" t="s">
        <v>19</v>
      </c>
      <c r="I2534" s="1">
        <v>46041</v>
      </c>
      <c r="J2534" s="1">
        <v>46041</v>
      </c>
      <c r="K2534" s="1">
        <v>46041</v>
      </c>
      <c r="L2534">
        <v>34</v>
      </c>
      <c r="M2534">
        <v>1.38</v>
      </c>
      <c r="N2534">
        <v>1.38</v>
      </c>
      <c r="O2534">
        <v>0</v>
      </c>
      <c r="P2534">
        <v>0</v>
      </c>
      <c r="Q2534" t="s">
        <v>108</v>
      </c>
    </row>
    <row r="2535" spans="1:17">
      <c r="A2535" t="s">
        <v>93</v>
      </c>
      <c r="B2535" t="s">
        <v>106</v>
      </c>
      <c r="C2535" t="s">
        <v>56</v>
      </c>
      <c r="D2535" t="s">
        <v>2318</v>
      </c>
      <c r="E2535">
        <v>24</v>
      </c>
      <c r="F2535" t="str">
        <f>VLOOKUP(E2535,[1]LOJA!$A:$B,2,0)</f>
        <v>LUZIÂNIA</v>
      </c>
      <c r="G2535" t="s">
        <v>19</v>
      </c>
      <c r="H2535" t="s">
        <v>19</v>
      </c>
      <c r="I2535" s="1">
        <v>46041</v>
      </c>
      <c r="J2535" s="1">
        <v>46041</v>
      </c>
      <c r="K2535" s="1">
        <v>46041</v>
      </c>
      <c r="L2535">
        <v>34</v>
      </c>
      <c r="M2535">
        <v>0.61</v>
      </c>
      <c r="N2535">
        <v>0.61</v>
      </c>
      <c r="O2535">
        <v>0</v>
      </c>
      <c r="P2535">
        <v>0</v>
      </c>
      <c r="Q2535" t="s">
        <v>108</v>
      </c>
    </row>
    <row r="2536" spans="1:17">
      <c r="A2536" t="s">
        <v>93</v>
      </c>
      <c r="B2536" t="s">
        <v>106</v>
      </c>
      <c r="C2536" t="s">
        <v>56</v>
      </c>
      <c r="D2536" t="s">
        <v>2319</v>
      </c>
      <c r="E2536">
        <v>24</v>
      </c>
      <c r="F2536" t="str">
        <f>VLOOKUP(E2536,[1]LOJA!$A:$B,2,0)</f>
        <v>LUZIÂNIA</v>
      </c>
      <c r="G2536" t="s">
        <v>19</v>
      </c>
      <c r="H2536" t="s">
        <v>19</v>
      </c>
      <c r="I2536" s="1">
        <v>46041</v>
      </c>
      <c r="J2536" s="1">
        <v>46041</v>
      </c>
      <c r="K2536" s="1">
        <v>46041</v>
      </c>
      <c r="L2536">
        <v>34</v>
      </c>
      <c r="M2536">
        <v>59.5</v>
      </c>
      <c r="N2536">
        <v>59.5</v>
      </c>
      <c r="O2536">
        <v>0</v>
      </c>
      <c r="P2536">
        <v>0</v>
      </c>
      <c r="Q2536" t="s">
        <v>108</v>
      </c>
    </row>
    <row r="2537" spans="1:17">
      <c r="A2537" t="s">
        <v>93</v>
      </c>
      <c r="B2537" t="s">
        <v>106</v>
      </c>
      <c r="C2537" t="s">
        <v>56</v>
      </c>
      <c r="D2537" t="s">
        <v>2320</v>
      </c>
      <c r="E2537">
        <v>24</v>
      </c>
      <c r="F2537" t="str">
        <f>VLOOKUP(E2537,[1]LOJA!$A:$B,2,0)</f>
        <v>LUZIÂNIA</v>
      </c>
      <c r="G2537" t="s">
        <v>19</v>
      </c>
      <c r="H2537" t="s">
        <v>19</v>
      </c>
      <c r="I2537" s="1">
        <v>46041</v>
      </c>
      <c r="J2537" s="1">
        <v>46039</v>
      </c>
      <c r="K2537" s="1">
        <v>46041</v>
      </c>
      <c r="L2537">
        <v>34</v>
      </c>
      <c r="M2537">
        <v>0.05</v>
      </c>
      <c r="N2537">
        <v>0.05</v>
      </c>
      <c r="O2537">
        <v>0</v>
      </c>
      <c r="P2537">
        <v>0</v>
      </c>
      <c r="Q2537" t="s">
        <v>108</v>
      </c>
    </row>
    <row r="2538" spans="1:17">
      <c r="A2538" t="s">
        <v>93</v>
      </c>
      <c r="B2538" t="s">
        <v>106</v>
      </c>
      <c r="C2538" t="s">
        <v>56</v>
      </c>
      <c r="D2538" t="s">
        <v>2321</v>
      </c>
      <c r="E2538">
        <v>24</v>
      </c>
      <c r="F2538" t="str">
        <f>VLOOKUP(E2538,[1]LOJA!$A:$B,2,0)</f>
        <v>LUZIÂNIA</v>
      </c>
      <c r="G2538" t="s">
        <v>19</v>
      </c>
      <c r="H2538" t="s">
        <v>19</v>
      </c>
      <c r="I2538" s="1">
        <v>46041</v>
      </c>
      <c r="J2538" s="1">
        <v>46039</v>
      </c>
      <c r="K2538" s="1">
        <v>46041</v>
      </c>
      <c r="L2538">
        <v>34</v>
      </c>
      <c r="M2538">
        <v>1.94</v>
      </c>
      <c r="N2538">
        <v>1.94</v>
      </c>
      <c r="O2538">
        <v>0</v>
      </c>
      <c r="P2538">
        <v>0</v>
      </c>
      <c r="Q2538" t="s">
        <v>108</v>
      </c>
    </row>
    <row r="2539" spans="1:17">
      <c r="A2539" t="s">
        <v>93</v>
      </c>
      <c r="B2539" t="s">
        <v>106</v>
      </c>
      <c r="C2539" t="s">
        <v>56</v>
      </c>
      <c r="D2539" t="s">
        <v>2322</v>
      </c>
      <c r="E2539">
        <v>24</v>
      </c>
      <c r="F2539" t="str">
        <f>VLOOKUP(E2539,[1]LOJA!$A:$B,2,0)</f>
        <v>LUZIÂNIA</v>
      </c>
      <c r="G2539" t="s">
        <v>19</v>
      </c>
      <c r="H2539" t="s">
        <v>19</v>
      </c>
      <c r="I2539" s="1">
        <v>46041</v>
      </c>
      <c r="J2539" s="1">
        <v>46039</v>
      </c>
      <c r="K2539" s="1">
        <v>46041</v>
      </c>
      <c r="L2539">
        <v>34</v>
      </c>
      <c r="M2539">
        <v>0.8</v>
      </c>
      <c r="N2539">
        <v>0.8</v>
      </c>
      <c r="O2539">
        <v>0</v>
      </c>
      <c r="P2539">
        <v>0</v>
      </c>
      <c r="Q2539" t="s">
        <v>108</v>
      </c>
    </row>
    <row r="2540" spans="1:17">
      <c r="A2540" t="s">
        <v>93</v>
      </c>
      <c r="B2540" t="s">
        <v>106</v>
      </c>
      <c r="C2540" t="s">
        <v>56</v>
      </c>
      <c r="D2540" t="s">
        <v>2323</v>
      </c>
      <c r="E2540">
        <v>24</v>
      </c>
      <c r="F2540" t="str">
        <f>VLOOKUP(E2540,[1]LOJA!$A:$B,2,0)</f>
        <v>LUZIÂNIA</v>
      </c>
      <c r="G2540" t="s">
        <v>19</v>
      </c>
      <c r="H2540" t="s">
        <v>19</v>
      </c>
      <c r="I2540" s="1">
        <v>46041</v>
      </c>
      <c r="J2540" s="1">
        <v>46039</v>
      </c>
      <c r="K2540" s="1">
        <v>46041</v>
      </c>
      <c r="L2540">
        <v>34</v>
      </c>
      <c r="M2540">
        <v>0.44</v>
      </c>
      <c r="N2540">
        <v>0.44</v>
      </c>
      <c r="O2540">
        <v>0</v>
      </c>
      <c r="P2540">
        <v>0</v>
      </c>
      <c r="Q2540" t="s">
        <v>108</v>
      </c>
    </row>
    <row r="2541" spans="1:17">
      <c r="A2541" t="s">
        <v>93</v>
      </c>
      <c r="B2541" t="s">
        <v>106</v>
      </c>
      <c r="C2541" t="s">
        <v>56</v>
      </c>
      <c r="D2541" t="s">
        <v>2324</v>
      </c>
      <c r="E2541">
        <v>24</v>
      </c>
      <c r="F2541" t="str">
        <f>VLOOKUP(E2541,[1]LOJA!$A:$B,2,0)</f>
        <v>LUZIÂNIA</v>
      </c>
      <c r="G2541" t="s">
        <v>19</v>
      </c>
      <c r="H2541" t="s">
        <v>19</v>
      </c>
      <c r="I2541" s="1">
        <v>46041</v>
      </c>
      <c r="J2541" s="1">
        <v>46039</v>
      </c>
      <c r="K2541" s="1">
        <v>46041</v>
      </c>
      <c r="L2541">
        <v>34</v>
      </c>
      <c r="M2541">
        <v>0.28999999999999998</v>
      </c>
      <c r="N2541">
        <v>0.28999999999999998</v>
      </c>
      <c r="O2541">
        <v>0</v>
      </c>
      <c r="P2541">
        <v>0</v>
      </c>
      <c r="Q2541" t="s">
        <v>108</v>
      </c>
    </row>
    <row r="2542" spans="1:17">
      <c r="A2542" t="s">
        <v>93</v>
      </c>
      <c r="B2542" t="s">
        <v>106</v>
      </c>
      <c r="C2542" t="s">
        <v>56</v>
      </c>
      <c r="D2542" t="s">
        <v>2325</v>
      </c>
      <c r="E2542">
        <v>24</v>
      </c>
      <c r="F2542" t="str">
        <f>VLOOKUP(E2542,[1]LOJA!$A:$B,2,0)</f>
        <v>LUZIÂNIA</v>
      </c>
      <c r="G2542" t="s">
        <v>19</v>
      </c>
      <c r="H2542" t="s">
        <v>19</v>
      </c>
      <c r="I2542" s="1">
        <v>46041</v>
      </c>
      <c r="J2542" s="1">
        <v>46039</v>
      </c>
      <c r="K2542" s="1">
        <v>46041</v>
      </c>
      <c r="L2542">
        <v>34</v>
      </c>
      <c r="M2542">
        <v>0.4</v>
      </c>
      <c r="N2542">
        <v>0.4</v>
      </c>
      <c r="O2542">
        <v>0</v>
      </c>
      <c r="P2542">
        <v>0</v>
      </c>
      <c r="Q2542" t="s">
        <v>108</v>
      </c>
    </row>
    <row r="2543" spans="1:17">
      <c r="A2543" t="s">
        <v>93</v>
      </c>
      <c r="B2543" t="s">
        <v>106</v>
      </c>
      <c r="C2543" t="s">
        <v>56</v>
      </c>
      <c r="D2543" t="s">
        <v>2326</v>
      </c>
      <c r="E2543">
        <v>24</v>
      </c>
      <c r="F2543" t="str">
        <f>VLOOKUP(E2543,[1]LOJA!$A:$B,2,0)</f>
        <v>LUZIÂNIA</v>
      </c>
      <c r="G2543" t="s">
        <v>19</v>
      </c>
      <c r="H2543" t="s">
        <v>19</v>
      </c>
      <c r="I2543" s="1">
        <v>46041</v>
      </c>
      <c r="J2543" s="1">
        <v>46039</v>
      </c>
      <c r="K2543" s="1">
        <v>46041</v>
      </c>
      <c r="L2543">
        <v>34</v>
      </c>
      <c r="M2543">
        <v>0.28999999999999998</v>
      </c>
      <c r="N2543">
        <v>0.28999999999999998</v>
      </c>
      <c r="O2543">
        <v>0</v>
      </c>
      <c r="P2543">
        <v>0</v>
      </c>
      <c r="Q2543" t="s">
        <v>108</v>
      </c>
    </row>
    <row r="2544" spans="1:17">
      <c r="A2544" t="s">
        <v>93</v>
      </c>
      <c r="B2544" t="s">
        <v>106</v>
      </c>
      <c r="C2544" t="s">
        <v>56</v>
      </c>
      <c r="D2544" t="s">
        <v>2327</v>
      </c>
      <c r="E2544">
        <v>24</v>
      </c>
      <c r="F2544" t="str">
        <f>VLOOKUP(E2544,[1]LOJA!$A:$B,2,0)</f>
        <v>LUZIÂNIA</v>
      </c>
      <c r="G2544" t="s">
        <v>19</v>
      </c>
      <c r="H2544" t="s">
        <v>19</v>
      </c>
      <c r="I2544" s="1">
        <v>46041</v>
      </c>
      <c r="J2544" s="1">
        <v>46039</v>
      </c>
      <c r="K2544" s="1">
        <v>46041</v>
      </c>
      <c r="L2544">
        <v>34</v>
      </c>
      <c r="M2544">
        <v>1.06</v>
      </c>
      <c r="N2544">
        <v>1.06</v>
      </c>
      <c r="O2544">
        <v>0</v>
      </c>
      <c r="P2544">
        <v>0</v>
      </c>
      <c r="Q2544" t="s">
        <v>108</v>
      </c>
    </row>
    <row r="2545" spans="1:17">
      <c r="A2545" t="s">
        <v>93</v>
      </c>
      <c r="B2545" t="s">
        <v>106</v>
      </c>
      <c r="C2545" t="s">
        <v>56</v>
      </c>
      <c r="D2545" t="s">
        <v>2328</v>
      </c>
      <c r="E2545">
        <v>24</v>
      </c>
      <c r="F2545" t="str">
        <f>VLOOKUP(E2545,[1]LOJA!$A:$B,2,0)</f>
        <v>LUZIÂNIA</v>
      </c>
      <c r="G2545" t="s">
        <v>19</v>
      </c>
      <c r="H2545" t="s">
        <v>19</v>
      </c>
      <c r="I2545" s="1">
        <v>46041</v>
      </c>
      <c r="J2545" s="1">
        <v>46039</v>
      </c>
      <c r="K2545" s="1">
        <v>46041</v>
      </c>
      <c r="L2545">
        <v>34</v>
      </c>
      <c r="M2545">
        <v>0.13</v>
      </c>
      <c r="N2545">
        <v>0.13</v>
      </c>
      <c r="O2545">
        <v>0</v>
      </c>
      <c r="P2545">
        <v>0</v>
      </c>
      <c r="Q2545" t="s">
        <v>108</v>
      </c>
    </row>
    <row r="2546" spans="1:17">
      <c r="A2546" t="s">
        <v>93</v>
      </c>
      <c r="B2546" t="s">
        <v>106</v>
      </c>
      <c r="C2546" t="s">
        <v>56</v>
      </c>
      <c r="D2546" t="s">
        <v>2329</v>
      </c>
      <c r="E2546">
        <v>24</v>
      </c>
      <c r="F2546" t="str">
        <f>VLOOKUP(E2546,[1]LOJA!$A:$B,2,0)</f>
        <v>LUZIÂNIA</v>
      </c>
      <c r="G2546" t="s">
        <v>19</v>
      </c>
      <c r="H2546" t="s">
        <v>19</v>
      </c>
      <c r="I2546" s="1">
        <v>46041</v>
      </c>
      <c r="J2546" s="1">
        <v>46039</v>
      </c>
      <c r="K2546" s="1">
        <v>46041</v>
      </c>
      <c r="L2546">
        <v>34</v>
      </c>
      <c r="M2546">
        <v>0.79</v>
      </c>
      <c r="N2546">
        <v>0.79</v>
      </c>
      <c r="O2546">
        <v>0</v>
      </c>
      <c r="P2546">
        <v>0</v>
      </c>
      <c r="Q2546" t="s">
        <v>108</v>
      </c>
    </row>
    <row r="2547" spans="1:17">
      <c r="A2547" t="s">
        <v>93</v>
      </c>
      <c r="B2547" t="s">
        <v>106</v>
      </c>
      <c r="C2547" t="s">
        <v>56</v>
      </c>
      <c r="D2547" t="s">
        <v>2330</v>
      </c>
      <c r="E2547">
        <v>24</v>
      </c>
      <c r="F2547" t="str">
        <f>VLOOKUP(E2547,[1]LOJA!$A:$B,2,0)</f>
        <v>LUZIÂNIA</v>
      </c>
      <c r="G2547" t="s">
        <v>19</v>
      </c>
      <c r="H2547" t="s">
        <v>19</v>
      </c>
      <c r="I2547" s="1">
        <v>46041</v>
      </c>
      <c r="J2547" s="1">
        <v>46039</v>
      </c>
      <c r="K2547" s="1">
        <v>46041</v>
      </c>
      <c r="L2547">
        <v>34</v>
      </c>
      <c r="M2547">
        <v>0.25</v>
      </c>
      <c r="N2547">
        <v>0.25</v>
      </c>
      <c r="O2547">
        <v>0</v>
      </c>
      <c r="P2547">
        <v>0</v>
      </c>
      <c r="Q2547" t="s">
        <v>108</v>
      </c>
    </row>
    <row r="2548" spans="1:17">
      <c r="A2548" t="s">
        <v>93</v>
      </c>
      <c r="B2548" t="s">
        <v>106</v>
      </c>
      <c r="C2548" t="s">
        <v>56</v>
      </c>
      <c r="D2548" t="s">
        <v>2331</v>
      </c>
      <c r="E2548">
        <v>24</v>
      </c>
      <c r="F2548" t="str">
        <f>VLOOKUP(E2548,[1]LOJA!$A:$B,2,0)</f>
        <v>LUZIÂNIA</v>
      </c>
      <c r="G2548" t="s">
        <v>19</v>
      </c>
      <c r="H2548" t="s">
        <v>19</v>
      </c>
      <c r="I2548" s="1">
        <v>46041</v>
      </c>
      <c r="J2548" s="1">
        <v>46039</v>
      </c>
      <c r="K2548" s="1">
        <v>46041</v>
      </c>
      <c r="L2548">
        <v>34</v>
      </c>
      <c r="M2548">
        <v>0.08</v>
      </c>
      <c r="N2548">
        <v>0.08</v>
      </c>
      <c r="O2548">
        <v>0</v>
      </c>
      <c r="P2548">
        <v>0</v>
      </c>
      <c r="Q2548" t="s">
        <v>108</v>
      </c>
    </row>
    <row r="2549" spans="1:17">
      <c r="A2549" t="s">
        <v>93</v>
      </c>
      <c r="B2549" t="s">
        <v>106</v>
      </c>
      <c r="C2549" t="s">
        <v>56</v>
      </c>
      <c r="D2549" t="s">
        <v>2332</v>
      </c>
      <c r="E2549">
        <v>24</v>
      </c>
      <c r="F2549" t="str">
        <f>VLOOKUP(E2549,[1]LOJA!$A:$B,2,0)</f>
        <v>LUZIÂNIA</v>
      </c>
      <c r="G2549" t="s">
        <v>19</v>
      </c>
      <c r="H2549" t="s">
        <v>19</v>
      </c>
      <c r="I2549" s="1">
        <v>46041</v>
      </c>
      <c r="J2549" s="1">
        <v>46039</v>
      </c>
      <c r="K2549" s="1">
        <v>46041</v>
      </c>
      <c r="L2549">
        <v>34</v>
      </c>
      <c r="M2549">
        <v>0.05</v>
      </c>
      <c r="N2549">
        <v>0.05</v>
      </c>
      <c r="O2549">
        <v>0</v>
      </c>
      <c r="P2549">
        <v>0</v>
      </c>
      <c r="Q2549" t="s">
        <v>108</v>
      </c>
    </row>
    <row r="2550" spans="1:17">
      <c r="A2550" t="s">
        <v>93</v>
      </c>
      <c r="B2550" t="s">
        <v>106</v>
      </c>
      <c r="C2550" t="s">
        <v>56</v>
      </c>
      <c r="D2550" t="s">
        <v>2333</v>
      </c>
      <c r="E2550">
        <v>24</v>
      </c>
      <c r="F2550" t="str">
        <f>VLOOKUP(E2550,[1]LOJA!$A:$B,2,0)</f>
        <v>LUZIÂNIA</v>
      </c>
      <c r="G2550" t="s">
        <v>19</v>
      </c>
      <c r="H2550" t="s">
        <v>19</v>
      </c>
      <c r="I2550" s="1">
        <v>46041</v>
      </c>
      <c r="J2550" s="1">
        <v>46039</v>
      </c>
      <c r="K2550" s="1">
        <v>46041</v>
      </c>
      <c r="L2550">
        <v>34</v>
      </c>
      <c r="M2550">
        <v>0.23</v>
      </c>
      <c r="N2550">
        <v>0.23</v>
      </c>
      <c r="O2550">
        <v>0</v>
      </c>
      <c r="P2550">
        <v>0</v>
      </c>
      <c r="Q2550" t="s">
        <v>108</v>
      </c>
    </row>
    <row r="2551" spans="1:17">
      <c r="A2551" t="s">
        <v>93</v>
      </c>
      <c r="B2551" t="s">
        <v>106</v>
      </c>
      <c r="C2551" t="s">
        <v>56</v>
      </c>
      <c r="D2551" t="s">
        <v>2334</v>
      </c>
      <c r="E2551">
        <v>24</v>
      </c>
      <c r="F2551" t="str">
        <f>VLOOKUP(E2551,[1]LOJA!$A:$B,2,0)</f>
        <v>LUZIÂNIA</v>
      </c>
      <c r="G2551" t="s">
        <v>19</v>
      </c>
      <c r="H2551" t="s">
        <v>19</v>
      </c>
      <c r="I2551" s="1">
        <v>46041</v>
      </c>
      <c r="J2551" s="1">
        <v>46039</v>
      </c>
      <c r="K2551" s="1">
        <v>46041</v>
      </c>
      <c r="L2551">
        <v>34</v>
      </c>
      <c r="M2551">
        <v>0.13</v>
      </c>
      <c r="N2551">
        <v>0.13</v>
      </c>
      <c r="O2551">
        <v>0</v>
      </c>
      <c r="P2551">
        <v>0</v>
      </c>
      <c r="Q2551" t="s">
        <v>108</v>
      </c>
    </row>
    <row r="2552" spans="1:17">
      <c r="A2552" t="s">
        <v>93</v>
      </c>
      <c r="B2552" t="s">
        <v>106</v>
      </c>
      <c r="C2552" t="s">
        <v>56</v>
      </c>
      <c r="D2552" t="s">
        <v>2335</v>
      </c>
      <c r="E2552">
        <v>24</v>
      </c>
      <c r="F2552" t="str">
        <f>VLOOKUP(E2552,[1]LOJA!$A:$B,2,0)</f>
        <v>LUZIÂNIA</v>
      </c>
      <c r="G2552" t="s">
        <v>19</v>
      </c>
      <c r="H2552" t="s">
        <v>19</v>
      </c>
      <c r="I2552" s="1">
        <v>46041</v>
      </c>
      <c r="J2552" s="1">
        <v>46039</v>
      </c>
      <c r="K2552" s="1">
        <v>46041</v>
      </c>
      <c r="L2552">
        <v>34</v>
      </c>
      <c r="M2552">
        <v>1.84</v>
      </c>
      <c r="N2552">
        <v>1.84</v>
      </c>
      <c r="O2552">
        <v>0</v>
      </c>
      <c r="P2552">
        <v>0</v>
      </c>
      <c r="Q2552" t="s">
        <v>108</v>
      </c>
    </row>
    <row r="2553" spans="1:17">
      <c r="A2553" t="s">
        <v>93</v>
      </c>
      <c r="B2553" t="s">
        <v>106</v>
      </c>
      <c r="C2553" t="s">
        <v>56</v>
      </c>
      <c r="D2553" t="s">
        <v>2336</v>
      </c>
      <c r="E2553">
        <v>24</v>
      </c>
      <c r="F2553" t="str">
        <f>VLOOKUP(E2553,[1]LOJA!$A:$B,2,0)</f>
        <v>LUZIÂNIA</v>
      </c>
      <c r="G2553" t="s">
        <v>19</v>
      </c>
      <c r="H2553" t="s">
        <v>19</v>
      </c>
      <c r="I2553" s="1">
        <v>46041</v>
      </c>
      <c r="J2553" s="1">
        <v>46040</v>
      </c>
      <c r="K2553" s="1">
        <v>46041</v>
      </c>
      <c r="L2553">
        <v>34</v>
      </c>
      <c r="M2553">
        <v>0.3</v>
      </c>
      <c r="N2553">
        <v>0.3</v>
      </c>
      <c r="O2553">
        <v>0</v>
      </c>
      <c r="P2553">
        <v>0</v>
      </c>
      <c r="Q2553" t="s">
        <v>108</v>
      </c>
    </row>
    <row r="2554" spans="1:17">
      <c r="A2554" t="s">
        <v>93</v>
      </c>
      <c r="B2554" t="s">
        <v>106</v>
      </c>
      <c r="C2554" t="s">
        <v>56</v>
      </c>
      <c r="D2554" t="s">
        <v>2337</v>
      </c>
      <c r="E2554">
        <v>24</v>
      </c>
      <c r="F2554" t="str">
        <f>VLOOKUP(E2554,[1]LOJA!$A:$B,2,0)</f>
        <v>LUZIÂNIA</v>
      </c>
      <c r="G2554" t="s">
        <v>19</v>
      </c>
      <c r="H2554" t="s">
        <v>19</v>
      </c>
      <c r="I2554" s="1">
        <v>46041</v>
      </c>
      <c r="J2554" s="1">
        <v>46040</v>
      </c>
      <c r="K2554" s="1">
        <v>46041</v>
      </c>
      <c r="L2554">
        <v>34</v>
      </c>
      <c r="M2554">
        <v>0.11</v>
      </c>
      <c r="N2554">
        <v>0.11</v>
      </c>
      <c r="O2554">
        <v>0</v>
      </c>
      <c r="P2554">
        <v>0</v>
      </c>
      <c r="Q2554" t="s">
        <v>108</v>
      </c>
    </row>
    <row r="2555" spans="1:17">
      <c r="A2555" t="s">
        <v>93</v>
      </c>
      <c r="B2555" t="s">
        <v>106</v>
      </c>
      <c r="C2555" t="s">
        <v>56</v>
      </c>
      <c r="D2555" t="s">
        <v>2338</v>
      </c>
      <c r="E2555">
        <v>24</v>
      </c>
      <c r="F2555" t="str">
        <f>VLOOKUP(E2555,[1]LOJA!$A:$B,2,0)</f>
        <v>LUZIÂNIA</v>
      </c>
      <c r="G2555" t="s">
        <v>19</v>
      </c>
      <c r="H2555" t="s">
        <v>19</v>
      </c>
      <c r="I2555" s="1">
        <v>46041</v>
      </c>
      <c r="J2555" s="1">
        <v>46040</v>
      </c>
      <c r="K2555" s="1">
        <v>46041</v>
      </c>
      <c r="L2555">
        <v>34</v>
      </c>
      <c r="M2555">
        <v>1.94</v>
      </c>
      <c r="N2555">
        <v>1.94</v>
      </c>
      <c r="O2555">
        <v>0</v>
      </c>
      <c r="P2555">
        <v>0</v>
      </c>
      <c r="Q2555" t="s">
        <v>108</v>
      </c>
    </row>
    <row r="2556" spans="1:17">
      <c r="A2556" t="s">
        <v>93</v>
      </c>
      <c r="B2556" t="s">
        <v>106</v>
      </c>
      <c r="C2556" t="s">
        <v>56</v>
      </c>
      <c r="D2556" t="s">
        <v>2339</v>
      </c>
      <c r="E2556">
        <v>24</v>
      </c>
      <c r="F2556" t="str">
        <f>VLOOKUP(E2556,[1]LOJA!$A:$B,2,0)</f>
        <v>LUZIÂNIA</v>
      </c>
      <c r="G2556" t="s">
        <v>19</v>
      </c>
      <c r="H2556" t="s">
        <v>19</v>
      </c>
      <c r="I2556" s="1">
        <v>46041</v>
      </c>
      <c r="J2556" s="1">
        <v>46040</v>
      </c>
      <c r="K2556" s="1">
        <v>46041</v>
      </c>
      <c r="L2556">
        <v>34</v>
      </c>
      <c r="M2556">
        <v>0.4</v>
      </c>
      <c r="N2556">
        <v>0.4</v>
      </c>
      <c r="O2556">
        <v>0</v>
      </c>
      <c r="P2556">
        <v>0</v>
      </c>
      <c r="Q2556" t="s">
        <v>108</v>
      </c>
    </row>
    <row r="2557" spans="1:17">
      <c r="A2557" t="s">
        <v>93</v>
      </c>
      <c r="B2557" t="s">
        <v>106</v>
      </c>
      <c r="C2557" t="s">
        <v>56</v>
      </c>
      <c r="D2557" t="s">
        <v>2340</v>
      </c>
      <c r="E2557">
        <v>24</v>
      </c>
      <c r="F2557" t="str">
        <f>VLOOKUP(E2557,[1]LOJA!$A:$B,2,0)</f>
        <v>LUZIÂNIA</v>
      </c>
      <c r="G2557" t="s">
        <v>19</v>
      </c>
      <c r="H2557" t="s">
        <v>19</v>
      </c>
      <c r="I2557" s="1">
        <v>46041</v>
      </c>
      <c r="J2557" s="1">
        <v>46040</v>
      </c>
      <c r="K2557" s="1">
        <v>46041</v>
      </c>
      <c r="L2557">
        <v>34</v>
      </c>
      <c r="M2557">
        <v>0.05</v>
      </c>
      <c r="N2557">
        <v>0.05</v>
      </c>
      <c r="O2557">
        <v>0</v>
      </c>
      <c r="P2557">
        <v>0</v>
      </c>
      <c r="Q2557" t="s">
        <v>108</v>
      </c>
    </row>
    <row r="2558" spans="1:17">
      <c r="A2558" t="s">
        <v>93</v>
      </c>
      <c r="B2558" t="s">
        <v>106</v>
      </c>
      <c r="C2558" t="s">
        <v>56</v>
      </c>
      <c r="D2558" t="s">
        <v>2341</v>
      </c>
      <c r="E2558">
        <v>24</v>
      </c>
      <c r="F2558" t="str">
        <f>VLOOKUP(E2558,[1]LOJA!$A:$B,2,0)</f>
        <v>LUZIÂNIA</v>
      </c>
      <c r="G2558" t="s">
        <v>19</v>
      </c>
      <c r="H2558" t="s">
        <v>19</v>
      </c>
      <c r="I2558" s="1">
        <v>46041</v>
      </c>
      <c r="J2558" s="1">
        <v>46040</v>
      </c>
      <c r="K2558" s="1">
        <v>46041</v>
      </c>
      <c r="L2558">
        <v>34</v>
      </c>
      <c r="M2558">
        <v>0.37</v>
      </c>
      <c r="N2558">
        <v>0.37</v>
      </c>
      <c r="O2558">
        <v>0</v>
      </c>
      <c r="P2558">
        <v>0</v>
      </c>
      <c r="Q2558" t="s">
        <v>108</v>
      </c>
    </row>
    <row r="2559" spans="1:17">
      <c r="A2559" t="s">
        <v>93</v>
      </c>
      <c r="B2559" t="s">
        <v>106</v>
      </c>
      <c r="C2559" t="s">
        <v>56</v>
      </c>
      <c r="D2559" t="s">
        <v>2342</v>
      </c>
      <c r="E2559">
        <v>24</v>
      </c>
      <c r="F2559" t="str">
        <f>VLOOKUP(E2559,[1]LOJA!$A:$B,2,0)</f>
        <v>LUZIÂNIA</v>
      </c>
      <c r="G2559" t="s">
        <v>19</v>
      </c>
      <c r="H2559" t="s">
        <v>19</v>
      </c>
      <c r="I2559" s="1">
        <v>46041</v>
      </c>
      <c r="J2559" s="1">
        <v>46040</v>
      </c>
      <c r="K2559" s="1">
        <v>46041</v>
      </c>
      <c r="L2559">
        <v>34</v>
      </c>
      <c r="M2559">
        <v>0.13</v>
      </c>
      <c r="N2559">
        <v>0.13</v>
      </c>
      <c r="O2559">
        <v>0</v>
      </c>
      <c r="P2559">
        <v>0</v>
      </c>
      <c r="Q2559" t="s">
        <v>108</v>
      </c>
    </row>
    <row r="2560" spans="1:17">
      <c r="A2560" t="s">
        <v>93</v>
      </c>
      <c r="B2560" t="s">
        <v>106</v>
      </c>
      <c r="C2560" t="s">
        <v>56</v>
      </c>
      <c r="D2560" t="s">
        <v>2343</v>
      </c>
      <c r="E2560">
        <v>24</v>
      </c>
      <c r="F2560" t="str">
        <f>VLOOKUP(E2560,[1]LOJA!$A:$B,2,0)</f>
        <v>LUZIÂNIA</v>
      </c>
      <c r="G2560" t="s">
        <v>19</v>
      </c>
      <c r="H2560" t="s">
        <v>19</v>
      </c>
      <c r="I2560" s="1">
        <v>46041</v>
      </c>
      <c r="J2560" s="1">
        <v>46040</v>
      </c>
      <c r="K2560" s="1">
        <v>46041</v>
      </c>
      <c r="L2560">
        <v>34</v>
      </c>
      <c r="M2560">
        <v>1.91</v>
      </c>
      <c r="N2560">
        <v>1.91</v>
      </c>
      <c r="O2560">
        <v>0</v>
      </c>
      <c r="P2560">
        <v>0</v>
      </c>
      <c r="Q2560" t="s">
        <v>108</v>
      </c>
    </row>
    <row r="2561" spans="1:17">
      <c r="A2561" t="s">
        <v>93</v>
      </c>
      <c r="B2561" t="s">
        <v>106</v>
      </c>
      <c r="C2561" t="s">
        <v>56</v>
      </c>
      <c r="D2561" t="s">
        <v>2344</v>
      </c>
      <c r="E2561">
        <v>24</v>
      </c>
      <c r="F2561" t="str">
        <f>VLOOKUP(E2561,[1]LOJA!$A:$B,2,0)</f>
        <v>LUZIÂNIA</v>
      </c>
      <c r="G2561" t="s">
        <v>19</v>
      </c>
      <c r="H2561" t="s">
        <v>19</v>
      </c>
      <c r="I2561" s="1">
        <v>46041</v>
      </c>
      <c r="J2561" s="1">
        <v>46040</v>
      </c>
      <c r="K2561" s="1">
        <v>46041</v>
      </c>
      <c r="L2561">
        <v>34</v>
      </c>
      <c r="M2561">
        <v>2.21</v>
      </c>
      <c r="N2561">
        <v>2.21</v>
      </c>
      <c r="O2561">
        <v>0</v>
      </c>
      <c r="P2561">
        <v>0</v>
      </c>
      <c r="Q2561" t="s">
        <v>108</v>
      </c>
    </row>
    <row r="2562" spans="1:17">
      <c r="A2562" t="s">
        <v>93</v>
      </c>
      <c r="B2562" t="s">
        <v>106</v>
      </c>
      <c r="C2562" t="s">
        <v>56</v>
      </c>
      <c r="D2562" t="s">
        <v>2345</v>
      </c>
      <c r="E2562">
        <v>24</v>
      </c>
      <c r="F2562" t="str">
        <f>VLOOKUP(E2562,[1]LOJA!$A:$B,2,0)</f>
        <v>LUZIÂNIA</v>
      </c>
      <c r="G2562" t="s">
        <v>19</v>
      </c>
      <c r="H2562" t="s">
        <v>19</v>
      </c>
      <c r="I2562" s="1">
        <v>46041</v>
      </c>
      <c r="J2562" s="1">
        <v>46040</v>
      </c>
      <c r="K2562" s="1">
        <v>46041</v>
      </c>
      <c r="L2562">
        <v>34</v>
      </c>
      <c r="M2562">
        <v>1.2</v>
      </c>
      <c r="N2562">
        <v>1.2</v>
      </c>
      <c r="O2562">
        <v>0</v>
      </c>
      <c r="P2562">
        <v>0</v>
      </c>
      <c r="Q2562" t="s">
        <v>108</v>
      </c>
    </row>
    <row r="2563" spans="1:17">
      <c r="A2563" t="s">
        <v>93</v>
      </c>
      <c r="B2563" t="s">
        <v>106</v>
      </c>
      <c r="C2563" t="s">
        <v>56</v>
      </c>
      <c r="D2563" t="s">
        <v>2346</v>
      </c>
      <c r="E2563">
        <v>24</v>
      </c>
      <c r="F2563" t="str">
        <f>VLOOKUP(E2563,[1]LOJA!$A:$B,2,0)</f>
        <v>LUZIÂNIA</v>
      </c>
      <c r="G2563" t="s">
        <v>19</v>
      </c>
      <c r="H2563" t="s">
        <v>19</v>
      </c>
      <c r="I2563" s="1">
        <v>46041</v>
      </c>
      <c r="J2563" s="1">
        <v>46040</v>
      </c>
      <c r="K2563" s="1">
        <v>46041</v>
      </c>
      <c r="L2563">
        <v>34</v>
      </c>
      <c r="M2563">
        <v>0.44</v>
      </c>
      <c r="N2563">
        <v>0.44</v>
      </c>
      <c r="O2563">
        <v>0</v>
      </c>
      <c r="P2563">
        <v>0</v>
      </c>
      <c r="Q2563" t="s">
        <v>108</v>
      </c>
    </row>
    <row r="2564" spans="1:17">
      <c r="A2564" t="s">
        <v>93</v>
      </c>
      <c r="B2564" t="s">
        <v>106</v>
      </c>
      <c r="C2564" t="s">
        <v>56</v>
      </c>
      <c r="D2564" t="s">
        <v>2347</v>
      </c>
      <c r="E2564">
        <v>24</v>
      </c>
      <c r="F2564" t="str">
        <f>VLOOKUP(E2564,[1]LOJA!$A:$B,2,0)</f>
        <v>LUZIÂNIA</v>
      </c>
      <c r="G2564" t="s">
        <v>19</v>
      </c>
      <c r="H2564" t="s">
        <v>19</v>
      </c>
      <c r="I2564" s="1">
        <v>46041</v>
      </c>
      <c r="J2564" s="1">
        <v>46040</v>
      </c>
      <c r="K2564" s="1">
        <v>46041</v>
      </c>
      <c r="L2564">
        <v>34</v>
      </c>
      <c r="M2564">
        <v>1.47</v>
      </c>
      <c r="N2564">
        <v>1.47</v>
      </c>
      <c r="O2564">
        <v>0</v>
      </c>
      <c r="P2564">
        <v>0</v>
      </c>
      <c r="Q2564" t="s">
        <v>108</v>
      </c>
    </row>
    <row r="2565" spans="1:17">
      <c r="A2565" t="s">
        <v>93</v>
      </c>
      <c r="B2565" t="s">
        <v>106</v>
      </c>
      <c r="C2565" t="s">
        <v>56</v>
      </c>
      <c r="D2565" t="s">
        <v>2348</v>
      </c>
      <c r="E2565">
        <v>24</v>
      </c>
      <c r="F2565" t="str">
        <f>VLOOKUP(E2565,[1]LOJA!$A:$B,2,0)</f>
        <v>LUZIÂNIA</v>
      </c>
      <c r="G2565" t="s">
        <v>19</v>
      </c>
      <c r="H2565" t="s">
        <v>19</v>
      </c>
      <c r="I2565" s="1">
        <v>46041</v>
      </c>
      <c r="J2565" s="1">
        <v>46040</v>
      </c>
      <c r="K2565" s="1">
        <v>46041</v>
      </c>
      <c r="L2565">
        <v>34</v>
      </c>
      <c r="M2565">
        <v>0.31</v>
      </c>
      <c r="N2565">
        <v>0.31</v>
      </c>
      <c r="O2565">
        <v>0</v>
      </c>
      <c r="P2565">
        <v>0</v>
      </c>
      <c r="Q2565" t="s">
        <v>108</v>
      </c>
    </row>
    <row r="2566" spans="1:17">
      <c r="A2566" t="s">
        <v>93</v>
      </c>
      <c r="B2566" t="s">
        <v>106</v>
      </c>
      <c r="C2566" t="s">
        <v>56</v>
      </c>
      <c r="D2566" t="s">
        <v>2349</v>
      </c>
      <c r="E2566">
        <v>24</v>
      </c>
      <c r="F2566" t="str">
        <f>VLOOKUP(E2566,[1]LOJA!$A:$B,2,0)</f>
        <v>LUZIÂNIA</v>
      </c>
      <c r="G2566" t="s">
        <v>19</v>
      </c>
      <c r="H2566" t="s">
        <v>19</v>
      </c>
      <c r="I2566" s="1">
        <v>46041</v>
      </c>
      <c r="J2566" s="1">
        <v>46040</v>
      </c>
      <c r="K2566" s="1">
        <v>46041</v>
      </c>
      <c r="L2566">
        <v>34</v>
      </c>
      <c r="M2566">
        <v>1.21</v>
      </c>
      <c r="N2566">
        <v>1.21</v>
      </c>
      <c r="O2566">
        <v>0</v>
      </c>
      <c r="P2566">
        <v>0</v>
      </c>
      <c r="Q2566" t="s">
        <v>108</v>
      </c>
    </row>
    <row r="2567" spans="1:17">
      <c r="A2567" t="s">
        <v>93</v>
      </c>
      <c r="B2567" t="s">
        <v>106</v>
      </c>
      <c r="C2567" t="s">
        <v>56</v>
      </c>
      <c r="D2567" t="s">
        <v>2350</v>
      </c>
      <c r="E2567">
        <v>24</v>
      </c>
      <c r="F2567" t="str">
        <f>VLOOKUP(E2567,[1]LOJA!$A:$B,2,0)</f>
        <v>LUZIÂNIA</v>
      </c>
      <c r="G2567" t="s">
        <v>19</v>
      </c>
      <c r="H2567" t="s">
        <v>19</v>
      </c>
      <c r="I2567" s="1">
        <v>46041</v>
      </c>
      <c r="J2567" s="1">
        <v>46040</v>
      </c>
      <c r="K2567" s="1">
        <v>46041</v>
      </c>
      <c r="L2567">
        <v>34</v>
      </c>
      <c r="M2567">
        <v>1.24</v>
      </c>
      <c r="N2567">
        <v>1.24</v>
      </c>
      <c r="O2567">
        <v>0</v>
      </c>
      <c r="P2567">
        <v>0</v>
      </c>
      <c r="Q2567" t="s">
        <v>108</v>
      </c>
    </row>
    <row r="2568" spans="1:17">
      <c r="A2568" t="s">
        <v>93</v>
      </c>
      <c r="B2568" t="s">
        <v>106</v>
      </c>
      <c r="C2568" t="s">
        <v>56</v>
      </c>
      <c r="D2568" t="s">
        <v>2351</v>
      </c>
      <c r="E2568">
        <v>24</v>
      </c>
      <c r="F2568" t="str">
        <f>VLOOKUP(E2568,[1]LOJA!$A:$B,2,0)</f>
        <v>LUZIÂNIA</v>
      </c>
      <c r="G2568" t="s">
        <v>19</v>
      </c>
      <c r="H2568" t="s">
        <v>19</v>
      </c>
      <c r="I2568" s="1">
        <v>46041</v>
      </c>
      <c r="J2568" s="1">
        <v>46040</v>
      </c>
      <c r="K2568" s="1">
        <v>46041</v>
      </c>
      <c r="L2568">
        <v>34</v>
      </c>
      <c r="M2568">
        <v>1.1299999999999999</v>
      </c>
      <c r="N2568">
        <v>1.1299999999999999</v>
      </c>
      <c r="O2568">
        <v>0</v>
      </c>
      <c r="P2568">
        <v>0</v>
      </c>
      <c r="Q2568" t="s">
        <v>108</v>
      </c>
    </row>
    <row r="2569" spans="1:17">
      <c r="A2569" t="s">
        <v>93</v>
      </c>
      <c r="B2569" t="s">
        <v>106</v>
      </c>
      <c r="C2569" t="s">
        <v>56</v>
      </c>
      <c r="D2569" t="s">
        <v>2352</v>
      </c>
      <c r="E2569">
        <v>24</v>
      </c>
      <c r="F2569" t="str">
        <f>VLOOKUP(E2569,[1]LOJA!$A:$B,2,0)</f>
        <v>LUZIÂNIA</v>
      </c>
      <c r="G2569" t="s">
        <v>19</v>
      </c>
      <c r="H2569" t="s">
        <v>19</v>
      </c>
      <c r="I2569" s="1">
        <v>46041</v>
      </c>
      <c r="J2569" s="1">
        <v>46039</v>
      </c>
      <c r="K2569" s="1">
        <v>46041</v>
      </c>
      <c r="L2569">
        <v>34</v>
      </c>
      <c r="M2569">
        <v>0.32</v>
      </c>
      <c r="N2569">
        <v>0.32</v>
      </c>
      <c r="O2569">
        <v>0</v>
      </c>
      <c r="P2569">
        <v>0</v>
      </c>
      <c r="Q2569" t="s">
        <v>108</v>
      </c>
    </row>
    <row r="2570" spans="1:17">
      <c r="A2570" t="s">
        <v>93</v>
      </c>
      <c r="B2570" t="s">
        <v>106</v>
      </c>
      <c r="C2570" t="s">
        <v>56</v>
      </c>
      <c r="D2570" t="s">
        <v>2353</v>
      </c>
      <c r="E2570">
        <v>24</v>
      </c>
      <c r="F2570" t="str">
        <f>VLOOKUP(E2570,[1]LOJA!$A:$B,2,0)</f>
        <v>LUZIÂNIA</v>
      </c>
      <c r="G2570" t="s">
        <v>19</v>
      </c>
      <c r="H2570" t="s">
        <v>19</v>
      </c>
      <c r="I2570" s="1">
        <v>46044</v>
      </c>
      <c r="J2570" s="1">
        <v>46044</v>
      </c>
      <c r="K2570" s="1">
        <v>46044</v>
      </c>
      <c r="L2570">
        <v>34</v>
      </c>
      <c r="M2570">
        <v>20.11</v>
      </c>
      <c r="N2570">
        <v>20.11</v>
      </c>
      <c r="O2570">
        <v>0</v>
      </c>
      <c r="P2570">
        <v>0</v>
      </c>
      <c r="Q2570" t="s">
        <v>108</v>
      </c>
    </row>
    <row r="2571" spans="1:17">
      <c r="A2571" t="s">
        <v>93</v>
      </c>
      <c r="B2571" t="s">
        <v>106</v>
      </c>
      <c r="C2571" t="s">
        <v>56</v>
      </c>
      <c r="D2571" t="s">
        <v>2354</v>
      </c>
      <c r="E2571">
        <v>24</v>
      </c>
      <c r="F2571" t="str">
        <f>VLOOKUP(E2571,[1]LOJA!$A:$B,2,0)</f>
        <v>LUZIÂNIA</v>
      </c>
      <c r="G2571" t="s">
        <v>19</v>
      </c>
      <c r="H2571" t="s">
        <v>19</v>
      </c>
      <c r="I2571" s="1">
        <v>46044</v>
      </c>
      <c r="J2571" s="1">
        <v>46044</v>
      </c>
      <c r="K2571" s="1">
        <v>46044</v>
      </c>
      <c r="L2571">
        <v>34</v>
      </c>
      <c r="M2571">
        <v>6.2</v>
      </c>
      <c r="N2571">
        <v>6.2</v>
      </c>
      <c r="O2571">
        <v>0</v>
      </c>
      <c r="P2571">
        <v>0</v>
      </c>
      <c r="Q2571" t="s">
        <v>108</v>
      </c>
    </row>
    <row r="2572" spans="1:17">
      <c r="A2572" t="s">
        <v>93</v>
      </c>
      <c r="B2572" t="s">
        <v>106</v>
      </c>
      <c r="C2572" t="s">
        <v>56</v>
      </c>
      <c r="D2572" t="s">
        <v>2355</v>
      </c>
      <c r="E2572">
        <v>24</v>
      </c>
      <c r="F2572" t="str">
        <f>VLOOKUP(E2572,[1]LOJA!$A:$B,2,0)</f>
        <v>LUZIÂNIA</v>
      </c>
      <c r="G2572" t="s">
        <v>19</v>
      </c>
      <c r="H2572" t="s">
        <v>19</v>
      </c>
      <c r="I2572" s="1">
        <v>46044</v>
      </c>
      <c r="J2572" s="1">
        <v>46044</v>
      </c>
      <c r="K2572" s="1">
        <v>46044</v>
      </c>
      <c r="L2572">
        <v>34</v>
      </c>
      <c r="M2572">
        <v>3.89</v>
      </c>
      <c r="N2572">
        <v>3.89</v>
      </c>
      <c r="O2572">
        <v>0</v>
      </c>
      <c r="P2572">
        <v>0</v>
      </c>
      <c r="Q2572" t="s">
        <v>108</v>
      </c>
    </row>
    <row r="2573" spans="1:17">
      <c r="A2573" t="s">
        <v>93</v>
      </c>
      <c r="B2573" t="s">
        <v>106</v>
      </c>
      <c r="C2573" t="s">
        <v>56</v>
      </c>
      <c r="D2573" t="s">
        <v>2356</v>
      </c>
      <c r="E2573">
        <v>24</v>
      </c>
      <c r="F2573" t="str">
        <f>VLOOKUP(E2573,[1]LOJA!$A:$B,2,0)</f>
        <v>LUZIÂNIA</v>
      </c>
      <c r="G2573" t="s">
        <v>19</v>
      </c>
      <c r="H2573" t="s">
        <v>19</v>
      </c>
      <c r="I2573" s="1">
        <v>46044</v>
      </c>
      <c r="J2573" s="1">
        <v>46044</v>
      </c>
      <c r="K2573" s="1">
        <v>46044</v>
      </c>
      <c r="L2573">
        <v>34</v>
      </c>
      <c r="M2573">
        <v>2.58</v>
      </c>
      <c r="N2573">
        <v>2.58</v>
      </c>
      <c r="O2573">
        <v>0</v>
      </c>
      <c r="P2573">
        <v>0</v>
      </c>
      <c r="Q2573" t="s">
        <v>108</v>
      </c>
    </row>
    <row r="2574" spans="1:17">
      <c r="A2574" t="s">
        <v>93</v>
      </c>
      <c r="B2574" t="s">
        <v>106</v>
      </c>
      <c r="C2574" t="s">
        <v>56</v>
      </c>
      <c r="D2574" t="s">
        <v>2357</v>
      </c>
      <c r="E2574">
        <v>24</v>
      </c>
      <c r="F2574" t="str">
        <f>VLOOKUP(E2574,[1]LOJA!$A:$B,2,0)</f>
        <v>LUZIÂNIA</v>
      </c>
      <c r="G2574" t="s">
        <v>19</v>
      </c>
      <c r="H2574" t="s">
        <v>19</v>
      </c>
      <c r="I2574" s="1">
        <v>46044</v>
      </c>
      <c r="J2574" s="1">
        <v>46044</v>
      </c>
      <c r="K2574" s="1">
        <v>46044</v>
      </c>
      <c r="L2574">
        <v>34</v>
      </c>
      <c r="M2574">
        <v>5.86</v>
      </c>
      <c r="N2574">
        <v>5.86</v>
      </c>
      <c r="O2574">
        <v>0</v>
      </c>
      <c r="P2574">
        <v>0</v>
      </c>
      <c r="Q2574" t="s">
        <v>108</v>
      </c>
    </row>
    <row r="2575" spans="1:17">
      <c r="A2575" t="s">
        <v>93</v>
      </c>
      <c r="B2575" t="s">
        <v>106</v>
      </c>
      <c r="C2575" t="s">
        <v>56</v>
      </c>
      <c r="D2575" t="s">
        <v>2358</v>
      </c>
      <c r="E2575">
        <v>24</v>
      </c>
      <c r="F2575" t="str">
        <f>VLOOKUP(E2575,[1]LOJA!$A:$B,2,0)</f>
        <v>LUZIÂNIA</v>
      </c>
      <c r="G2575" t="s">
        <v>19</v>
      </c>
      <c r="H2575" t="s">
        <v>19</v>
      </c>
      <c r="I2575" s="1">
        <v>46044</v>
      </c>
      <c r="J2575" s="1">
        <v>46044</v>
      </c>
      <c r="K2575" s="1">
        <v>46044</v>
      </c>
      <c r="L2575">
        <v>34</v>
      </c>
      <c r="M2575">
        <v>2.2599999999999998</v>
      </c>
      <c r="N2575">
        <v>2.2599999999999998</v>
      </c>
      <c r="O2575">
        <v>0</v>
      </c>
      <c r="P2575">
        <v>0</v>
      </c>
      <c r="Q2575" t="s">
        <v>108</v>
      </c>
    </row>
    <row r="2576" spans="1:17">
      <c r="A2576" t="s">
        <v>93</v>
      </c>
      <c r="B2576" t="s">
        <v>106</v>
      </c>
      <c r="C2576" t="s">
        <v>56</v>
      </c>
      <c r="D2576" t="s">
        <v>2359</v>
      </c>
      <c r="E2576">
        <v>24</v>
      </c>
      <c r="F2576" t="str">
        <f>VLOOKUP(E2576,[1]LOJA!$A:$B,2,0)</f>
        <v>LUZIÂNIA</v>
      </c>
      <c r="G2576" t="s">
        <v>19</v>
      </c>
      <c r="H2576" t="s">
        <v>19</v>
      </c>
      <c r="I2576" s="1">
        <v>46044</v>
      </c>
      <c r="J2576" s="1">
        <v>46044</v>
      </c>
      <c r="K2576" s="1">
        <v>46044</v>
      </c>
      <c r="L2576">
        <v>34</v>
      </c>
      <c r="M2576">
        <v>2.63</v>
      </c>
      <c r="N2576">
        <v>2.63</v>
      </c>
      <c r="O2576">
        <v>0</v>
      </c>
      <c r="P2576">
        <v>0</v>
      </c>
      <c r="Q2576" t="s">
        <v>108</v>
      </c>
    </row>
    <row r="2577" spans="1:17">
      <c r="A2577" t="s">
        <v>93</v>
      </c>
      <c r="B2577" t="s">
        <v>106</v>
      </c>
      <c r="C2577" t="s">
        <v>56</v>
      </c>
      <c r="D2577" t="s">
        <v>2360</v>
      </c>
      <c r="E2577">
        <v>24</v>
      </c>
      <c r="F2577" t="str">
        <f>VLOOKUP(E2577,[1]LOJA!$A:$B,2,0)</f>
        <v>LUZIÂNIA</v>
      </c>
      <c r="G2577" t="s">
        <v>19</v>
      </c>
      <c r="H2577" t="s">
        <v>19</v>
      </c>
      <c r="I2577" s="1">
        <v>46044</v>
      </c>
      <c r="J2577" s="1">
        <v>46044</v>
      </c>
      <c r="K2577" s="1">
        <v>46044</v>
      </c>
      <c r="L2577">
        <v>34</v>
      </c>
      <c r="M2577">
        <v>3.11</v>
      </c>
      <c r="N2577">
        <v>3.11</v>
      </c>
      <c r="O2577">
        <v>0</v>
      </c>
      <c r="P2577">
        <v>0</v>
      </c>
      <c r="Q2577" t="s">
        <v>108</v>
      </c>
    </row>
    <row r="2578" spans="1:17">
      <c r="A2578" t="s">
        <v>93</v>
      </c>
      <c r="B2578" t="s">
        <v>106</v>
      </c>
      <c r="C2578" t="s">
        <v>56</v>
      </c>
      <c r="D2578" t="s">
        <v>2361</v>
      </c>
      <c r="E2578">
        <v>24</v>
      </c>
      <c r="F2578" t="str">
        <f>VLOOKUP(E2578,[1]LOJA!$A:$B,2,0)</f>
        <v>LUZIÂNIA</v>
      </c>
      <c r="G2578" t="s">
        <v>19</v>
      </c>
      <c r="H2578" t="s">
        <v>19</v>
      </c>
      <c r="I2578" s="1">
        <v>46044</v>
      </c>
      <c r="J2578" s="1">
        <v>46044</v>
      </c>
      <c r="K2578" s="1">
        <v>46044</v>
      </c>
      <c r="L2578">
        <v>34</v>
      </c>
      <c r="M2578">
        <v>3.29</v>
      </c>
      <c r="N2578">
        <v>3.29</v>
      </c>
      <c r="O2578">
        <v>0</v>
      </c>
      <c r="P2578">
        <v>0</v>
      </c>
      <c r="Q2578" t="s">
        <v>108</v>
      </c>
    </row>
    <row r="2579" spans="1:17">
      <c r="A2579" t="s">
        <v>93</v>
      </c>
      <c r="B2579" t="s">
        <v>106</v>
      </c>
      <c r="C2579" t="s">
        <v>56</v>
      </c>
      <c r="D2579" t="s">
        <v>2362</v>
      </c>
      <c r="E2579">
        <v>24</v>
      </c>
      <c r="F2579" t="str">
        <f>VLOOKUP(E2579,[1]LOJA!$A:$B,2,0)</f>
        <v>LUZIÂNIA</v>
      </c>
      <c r="G2579" t="s">
        <v>19</v>
      </c>
      <c r="H2579" t="s">
        <v>19</v>
      </c>
      <c r="I2579" s="1">
        <v>46044</v>
      </c>
      <c r="J2579" s="1">
        <v>46044</v>
      </c>
      <c r="K2579" s="1">
        <v>46044</v>
      </c>
      <c r="L2579">
        <v>34</v>
      </c>
      <c r="M2579">
        <v>3.27</v>
      </c>
      <c r="N2579">
        <v>3.27</v>
      </c>
      <c r="O2579">
        <v>0</v>
      </c>
      <c r="P2579">
        <v>0</v>
      </c>
      <c r="Q2579" t="s">
        <v>108</v>
      </c>
    </row>
    <row r="2580" spans="1:17">
      <c r="A2580" t="s">
        <v>93</v>
      </c>
      <c r="B2580" t="s">
        <v>106</v>
      </c>
      <c r="C2580" t="s">
        <v>56</v>
      </c>
      <c r="D2580" t="s">
        <v>2363</v>
      </c>
      <c r="E2580">
        <v>24</v>
      </c>
      <c r="F2580" t="str">
        <f>VLOOKUP(E2580,[1]LOJA!$A:$B,2,0)</f>
        <v>LUZIÂNIA</v>
      </c>
      <c r="G2580" t="s">
        <v>19</v>
      </c>
      <c r="H2580" t="s">
        <v>19</v>
      </c>
      <c r="I2580" s="1">
        <v>46044</v>
      </c>
      <c r="J2580" s="1">
        <v>46044</v>
      </c>
      <c r="K2580" s="1">
        <v>46044</v>
      </c>
      <c r="L2580">
        <v>34</v>
      </c>
      <c r="M2580">
        <v>0.77</v>
      </c>
      <c r="N2580">
        <v>0.77</v>
      </c>
      <c r="O2580">
        <v>0</v>
      </c>
      <c r="P2580">
        <v>0</v>
      </c>
      <c r="Q2580" t="s">
        <v>108</v>
      </c>
    </row>
    <row r="2581" spans="1:17">
      <c r="A2581" t="s">
        <v>93</v>
      </c>
      <c r="B2581" t="s">
        <v>106</v>
      </c>
      <c r="C2581" t="s">
        <v>56</v>
      </c>
      <c r="D2581" t="s">
        <v>2364</v>
      </c>
      <c r="E2581">
        <v>24</v>
      </c>
      <c r="F2581" t="str">
        <f>VLOOKUP(E2581,[1]LOJA!$A:$B,2,0)</f>
        <v>LUZIÂNIA</v>
      </c>
      <c r="G2581" t="s">
        <v>19</v>
      </c>
      <c r="H2581" t="s">
        <v>19</v>
      </c>
      <c r="I2581" s="1">
        <v>46044</v>
      </c>
      <c r="J2581" s="1">
        <v>46044</v>
      </c>
      <c r="K2581" s="1">
        <v>46044</v>
      </c>
      <c r="L2581">
        <v>34</v>
      </c>
      <c r="M2581">
        <v>5.32</v>
      </c>
      <c r="N2581">
        <v>5.32</v>
      </c>
      <c r="O2581">
        <v>0</v>
      </c>
      <c r="P2581">
        <v>0</v>
      </c>
      <c r="Q2581" t="s">
        <v>108</v>
      </c>
    </row>
    <row r="2582" spans="1:17">
      <c r="A2582" t="s">
        <v>93</v>
      </c>
      <c r="B2582" t="s">
        <v>106</v>
      </c>
      <c r="C2582" t="s">
        <v>56</v>
      </c>
      <c r="D2582" t="s">
        <v>2365</v>
      </c>
      <c r="E2582">
        <v>24</v>
      </c>
      <c r="F2582" t="str">
        <f>VLOOKUP(E2582,[1]LOJA!$A:$B,2,0)</f>
        <v>LUZIÂNIA</v>
      </c>
      <c r="G2582" t="s">
        <v>19</v>
      </c>
      <c r="H2582" t="s">
        <v>19</v>
      </c>
      <c r="I2582" s="1">
        <v>46044</v>
      </c>
      <c r="J2582" s="1">
        <v>46044</v>
      </c>
      <c r="K2582" s="1">
        <v>46044</v>
      </c>
      <c r="L2582">
        <v>34</v>
      </c>
      <c r="M2582">
        <v>1.75</v>
      </c>
      <c r="N2582">
        <v>1.75</v>
      </c>
      <c r="O2582">
        <v>0</v>
      </c>
      <c r="P2582">
        <v>0</v>
      </c>
      <c r="Q2582" t="s">
        <v>108</v>
      </c>
    </row>
    <row r="2583" spans="1:17">
      <c r="A2583" t="s">
        <v>93</v>
      </c>
      <c r="B2583" t="s">
        <v>106</v>
      </c>
      <c r="C2583" t="s">
        <v>56</v>
      </c>
      <c r="D2583" t="s">
        <v>2366</v>
      </c>
      <c r="E2583">
        <v>24</v>
      </c>
      <c r="F2583" t="str">
        <f>VLOOKUP(E2583,[1]LOJA!$A:$B,2,0)</f>
        <v>LUZIÂNIA</v>
      </c>
      <c r="G2583" t="s">
        <v>19</v>
      </c>
      <c r="H2583" t="s">
        <v>19</v>
      </c>
      <c r="I2583" s="1">
        <v>46044</v>
      </c>
      <c r="J2583" s="1">
        <v>46044</v>
      </c>
      <c r="K2583" s="1">
        <v>46044</v>
      </c>
      <c r="L2583">
        <v>34</v>
      </c>
      <c r="M2583">
        <v>2.4500000000000002</v>
      </c>
      <c r="N2583">
        <v>2.4500000000000002</v>
      </c>
      <c r="O2583">
        <v>0</v>
      </c>
      <c r="P2583">
        <v>0</v>
      </c>
      <c r="Q2583" t="s">
        <v>108</v>
      </c>
    </row>
    <row r="2584" spans="1:17">
      <c r="A2584" t="s">
        <v>93</v>
      </c>
      <c r="B2584" t="s">
        <v>106</v>
      </c>
      <c r="C2584" t="s">
        <v>56</v>
      </c>
      <c r="D2584" t="s">
        <v>2367</v>
      </c>
      <c r="E2584">
        <v>24</v>
      </c>
      <c r="F2584" t="str">
        <f>VLOOKUP(E2584,[1]LOJA!$A:$B,2,0)</f>
        <v>LUZIÂNIA</v>
      </c>
      <c r="G2584" t="s">
        <v>19</v>
      </c>
      <c r="H2584" t="s">
        <v>19</v>
      </c>
      <c r="I2584" s="1">
        <v>46044</v>
      </c>
      <c r="J2584" s="1">
        <v>46044</v>
      </c>
      <c r="K2584" s="1">
        <v>46044</v>
      </c>
      <c r="L2584">
        <v>34</v>
      </c>
      <c r="M2584">
        <v>1.75</v>
      </c>
      <c r="N2584">
        <v>1.75</v>
      </c>
      <c r="O2584">
        <v>0</v>
      </c>
      <c r="P2584">
        <v>0</v>
      </c>
      <c r="Q2584" t="s">
        <v>108</v>
      </c>
    </row>
    <row r="2585" spans="1:17">
      <c r="A2585" t="s">
        <v>93</v>
      </c>
      <c r="B2585" t="s">
        <v>106</v>
      </c>
      <c r="C2585" t="s">
        <v>56</v>
      </c>
      <c r="D2585" t="s">
        <v>2368</v>
      </c>
      <c r="E2585">
        <v>24</v>
      </c>
      <c r="F2585" t="str">
        <f>VLOOKUP(E2585,[1]LOJA!$A:$B,2,0)</f>
        <v>LUZIÂNIA</v>
      </c>
      <c r="G2585" t="s">
        <v>19</v>
      </c>
      <c r="H2585" t="s">
        <v>19</v>
      </c>
      <c r="I2585" s="1">
        <v>46044</v>
      </c>
      <c r="J2585" s="1">
        <v>46044</v>
      </c>
      <c r="K2585" s="1">
        <v>46044</v>
      </c>
      <c r="L2585">
        <v>34</v>
      </c>
      <c r="M2585">
        <v>4.9400000000000004</v>
      </c>
      <c r="N2585">
        <v>4.9400000000000004</v>
      </c>
      <c r="O2585">
        <v>0</v>
      </c>
      <c r="P2585">
        <v>0</v>
      </c>
      <c r="Q2585" t="s">
        <v>108</v>
      </c>
    </row>
    <row r="2586" spans="1:17">
      <c r="A2586" t="s">
        <v>93</v>
      </c>
      <c r="B2586" t="s">
        <v>106</v>
      </c>
      <c r="C2586" t="s">
        <v>56</v>
      </c>
      <c r="D2586" t="s">
        <v>2369</v>
      </c>
      <c r="E2586">
        <v>24</v>
      </c>
      <c r="F2586" t="str">
        <f>VLOOKUP(E2586,[1]LOJA!$A:$B,2,0)</f>
        <v>LUZIÂNIA</v>
      </c>
      <c r="G2586" t="s">
        <v>19</v>
      </c>
      <c r="H2586" t="s">
        <v>19</v>
      </c>
      <c r="I2586" s="1">
        <v>46044</v>
      </c>
      <c r="J2586" s="1">
        <v>46044</v>
      </c>
      <c r="K2586" s="1">
        <v>46044</v>
      </c>
      <c r="L2586">
        <v>34</v>
      </c>
      <c r="M2586">
        <v>2.19</v>
      </c>
      <c r="N2586">
        <v>2.19</v>
      </c>
      <c r="O2586">
        <v>0</v>
      </c>
      <c r="P2586">
        <v>0</v>
      </c>
      <c r="Q2586" t="s">
        <v>108</v>
      </c>
    </row>
    <row r="2587" spans="1:17">
      <c r="A2587" t="s">
        <v>93</v>
      </c>
      <c r="B2587" t="s">
        <v>106</v>
      </c>
      <c r="C2587" t="s">
        <v>56</v>
      </c>
      <c r="D2587" t="s">
        <v>2370</v>
      </c>
      <c r="E2587">
        <v>24</v>
      </c>
      <c r="F2587" t="str">
        <f>VLOOKUP(E2587,[1]LOJA!$A:$B,2,0)</f>
        <v>LUZIÂNIA</v>
      </c>
      <c r="G2587" t="s">
        <v>19</v>
      </c>
      <c r="H2587" t="s">
        <v>19</v>
      </c>
      <c r="I2587" s="1">
        <v>46044</v>
      </c>
      <c r="J2587" s="1">
        <v>46044</v>
      </c>
      <c r="K2587" s="1">
        <v>46044</v>
      </c>
      <c r="L2587">
        <v>34</v>
      </c>
      <c r="M2587">
        <v>6.63</v>
      </c>
      <c r="N2587">
        <v>6.63</v>
      </c>
      <c r="O2587">
        <v>0</v>
      </c>
      <c r="P2587">
        <v>0</v>
      </c>
      <c r="Q2587" t="s">
        <v>108</v>
      </c>
    </row>
    <row r="2588" spans="1:17">
      <c r="A2588" t="s">
        <v>93</v>
      </c>
      <c r="B2588" t="s">
        <v>106</v>
      </c>
      <c r="C2588" t="s">
        <v>56</v>
      </c>
      <c r="D2588" t="s">
        <v>2371</v>
      </c>
      <c r="E2588">
        <v>24</v>
      </c>
      <c r="F2588" t="str">
        <f>VLOOKUP(E2588,[1]LOJA!$A:$B,2,0)</f>
        <v>LUZIÂNIA</v>
      </c>
      <c r="G2588" t="s">
        <v>19</v>
      </c>
      <c r="H2588" t="s">
        <v>19</v>
      </c>
      <c r="I2588" s="1">
        <v>46044</v>
      </c>
      <c r="J2588" s="1">
        <v>46044</v>
      </c>
      <c r="K2588" s="1">
        <v>46044</v>
      </c>
      <c r="L2588">
        <v>34</v>
      </c>
      <c r="M2588">
        <v>2.08</v>
      </c>
      <c r="N2588">
        <v>2.08</v>
      </c>
      <c r="O2588">
        <v>0</v>
      </c>
      <c r="P2588">
        <v>0</v>
      </c>
      <c r="Q2588" t="s">
        <v>108</v>
      </c>
    </row>
    <row r="2589" spans="1:17">
      <c r="A2589" t="s">
        <v>93</v>
      </c>
      <c r="B2589" t="s">
        <v>106</v>
      </c>
      <c r="C2589" t="s">
        <v>56</v>
      </c>
      <c r="D2589" t="s">
        <v>2372</v>
      </c>
      <c r="E2589">
        <v>24</v>
      </c>
      <c r="F2589" t="str">
        <f>VLOOKUP(E2589,[1]LOJA!$A:$B,2,0)</f>
        <v>LUZIÂNIA</v>
      </c>
      <c r="G2589" t="s">
        <v>19</v>
      </c>
      <c r="H2589" t="s">
        <v>19</v>
      </c>
      <c r="I2589" s="1">
        <v>46044</v>
      </c>
      <c r="J2589" s="1">
        <v>46044</v>
      </c>
      <c r="K2589" s="1">
        <v>46044</v>
      </c>
      <c r="L2589">
        <v>34</v>
      </c>
      <c r="M2589">
        <v>0.33</v>
      </c>
      <c r="N2589">
        <v>0.33</v>
      </c>
      <c r="O2589">
        <v>0</v>
      </c>
      <c r="P2589">
        <v>0</v>
      </c>
      <c r="Q2589" t="s">
        <v>108</v>
      </c>
    </row>
    <row r="2590" spans="1:17">
      <c r="A2590" t="s">
        <v>93</v>
      </c>
      <c r="B2590" t="s">
        <v>106</v>
      </c>
      <c r="C2590" t="s">
        <v>56</v>
      </c>
      <c r="D2590" t="s">
        <v>2373</v>
      </c>
      <c r="E2590">
        <v>24</v>
      </c>
      <c r="F2590" t="str">
        <f>VLOOKUP(E2590,[1]LOJA!$A:$B,2,0)</f>
        <v>LUZIÂNIA</v>
      </c>
      <c r="G2590" t="s">
        <v>19</v>
      </c>
      <c r="H2590" t="s">
        <v>19</v>
      </c>
      <c r="I2590" s="1">
        <v>46044</v>
      </c>
      <c r="J2590" s="1">
        <v>46044</v>
      </c>
      <c r="K2590" s="1">
        <v>46044</v>
      </c>
      <c r="L2590">
        <v>34</v>
      </c>
      <c r="M2590">
        <v>0.19</v>
      </c>
      <c r="N2590">
        <v>0.19</v>
      </c>
      <c r="O2590">
        <v>0</v>
      </c>
      <c r="P2590">
        <v>0</v>
      </c>
      <c r="Q2590" t="s">
        <v>108</v>
      </c>
    </row>
    <row r="2591" spans="1:17">
      <c r="A2591" t="s">
        <v>93</v>
      </c>
      <c r="B2591" t="s">
        <v>106</v>
      </c>
      <c r="C2591" t="s">
        <v>56</v>
      </c>
      <c r="D2591" t="s">
        <v>2374</v>
      </c>
      <c r="E2591">
        <v>24</v>
      </c>
      <c r="F2591" t="str">
        <f>VLOOKUP(E2591,[1]LOJA!$A:$B,2,0)</f>
        <v>LUZIÂNIA</v>
      </c>
      <c r="G2591" t="s">
        <v>19</v>
      </c>
      <c r="H2591" t="s">
        <v>19</v>
      </c>
      <c r="I2591" s="1">
        <v>46044</v>
      </c>
      <c r="J2591" s="1">
        <v>46044</v>
      </c>
      <c r="K2591" s="1">
        <v>46044</v>
      </c>
      <c r="L2591">
        <v>34</v>
      </c>
      <c r="M2591">
        <v>2.84</v>
      </c>
      <c r="N2591">
        <v>2.84</v>
      </c>
      <c r="O2591">
        <v>0</v>
      </c>
      <c r="P2591">
        <v>0</v>
      </c>
      <c r="Q2591" t="s">
        <v>108</v>
      </c>
    </row>
    <row r="2592" spans="1:17">
      <c r="A2592" t="s">
        <v>93</v>
      </c>
      <c r="B2592" t="s">
        <v>106</v>
      </c>
      <c r="C2592" t="s">
        <v>56</v>
      </c>
      <c r="D2592" t="s">
        <v>2375</v>
      </c>
      <c r="E2592">
        <v>24</v>
      </c>
      <c r="F2592" t="str">
        <f>VLOOKUP(E2592,[1]LOJA!$A:$B,2,0)</f>
        <v>LUZIÂNIA</v>
      </c>
      <c r="G2592" t="s">
        <v>19</v>
      </c>
      <c r="H2592" t="s">
        <v>19</v>
      </c>
      <c r="I2592" s="1">
        <v>46044</v>
      </c>
      <c r="J2592" s="1">
        <v>46044</v>
      </c>
      <c r="K2592" s="1">
        <v>46044</v>
      </c>
      <c r="L2592">
        <v>34</v>
      </c>
      <c r="M2592">
        <v>0.23</v>
      </c>
      <c r="N2592">
        <v>0.23</v>
      </c>
      <c r="O2592">
        <v>0</v>
      </c>
      <c r="P2592">
        <v>0</v>
      </c>
      <c r="Q2592" t="s">
        <v>108</v>
      </c>
    </row>
    <row r="2593" spans="1:17">
      <c r="A2593" t="s">
        <v>93</v>
      </c>
      <c r="B2593" t="s">
        <v>106</v>
      </c>
      <c r="C2593" t="s">
        <v>56</v>
      </c>
      <c r="D2593" t="s">
        <v>2376</v>
      </c>
      <c r="E2593">
        <v>24</v>
      </c>
      <c r="F2593" t="str">
        <f>VLOOKUP(E2593,[1]LOJA!$A:$B,2,0)</f>
        <v>LUZIÂNIA</v>
      </c>
      <c r="G2593" t="s">
        <v>19</v>
      </c>
      <c r="H2593" t="s">
        <v>19</v>
      </c>
      <c r="I2593" s="1">
        <v>46044</v>
      </c>
      <c r="J2593" s="1">
        <v>46044</v>
      </c>
      <c r="K2593" s="1">
        <v>46044</v>
      </c>
      <c r="L2593">
        <v>34</v>
      </c>
      <c r="M2593">
        <v>1.58</v>
      </c>
      <c r="N2593">
        <v>1.58</v>
      </c>
      <c r="O2593">
        <v>0</v>
      </c>
      <c r="P2593">
        <v>0</v>
      </c>
      <c r="Q2593" t="s">
        <v>108</v>
      </c>
    </row>
    <row r="2594" spans="1:17">
      <c r="A2594" t="s">
        <v>93</v>
      </c>
      <c r="B2594" t="s">
        <v>106</v>
      </c>
      <c r="C2594" t="s">
        <v>56</v>
      </c>
      <c r="D2594" t="s">
        <v>2377</v>
      </c>
      <c r="E2594">
        <v>24</v>
      </c>
      <c r="F2594" t="str">
        <f>VLOOKUP(E2594,[1]LOJA!$A:$B,2,0)</f>
        <v>LUZIÂNIA</v>
      </c>
      <c r="G2594" t="s">
        <v>19</v>
      </c>
      <c r="H2594" t="s">
        <v>19</v>
      </c>
      <c r="I2594" s="1">
        <v>46044</v>
      </c>
      <c r="J2594" s="1">
        <v>46044</v>
      </c>
      <c r="K2594" s="1">
        <v>46044</v>
      </c>
      <c r="L2594">
        <v>34</v>
      </c>
      <c r="M2594">
        <v>8.0299999999999994</v>
      </c>
      <c r="N2594">
        <v>8.0299999999999994</v>
      </c>
      <c r="O2594">
        <v>0</v>
      </c>
      <c r="P2594">
        <v>0</v>
      </c>
      <c r="Q2594" t="s">
        <v>108</v>
      </c>
    </row>
    <row r="2595" spans="1:17">
      <c r="A2595" t="s">
        <v>93</v>
      </c>
      <c r="B2595" t="s">
        <v>106</v>
      </c>
      <c r="C2595" t="s">
        <v>56</v>
      </c>
      <c r="D2595" t="s">
        <v>2378</v>
      </c>
      <c r="E2595">
        <v>24</v>
      </c>
      <c r="F2595" t="str">
        <f>VLOOKUP(E2595,[1]LOJA!$A:$B,2,0)</f>
        <v>LUZIÂNIA</v>
      </c>
      <c r="G2595" t="s">
        <v>19</v>
      </c>
      <c r="H2595" t="s">
        <v>19</v>
      </c>
      <c r="I2595" s="1">
        <v>46044</v>
      </c>
      <c r="J2595" s="1">
        <v>46044</v>
      </c>
      <c r="K2595" s="1">
        <v>46044</v>
      </c>
      <c r="L2595">
        <v>34</v>
      </c>
      <c r="M2595">
        <v>0.12</v>
      </c>
      <c r="N2595">
        <v>0.12</v>
      </c>
      <c r="O2595">
        <v>0</v>
      </c>
      <c r="P2595">
        <v>0</v>
      </c>
      <c r="Q2595" t="s">
        <v>108</v>
      </c>
    </row>
    <row r="2596" spans="1:17">
      <c r="A2596" t="s">
        <v>93</v>
      </c>
      <c r="B2596" t="s">
        <v>106</v>
      </c>
      <c r="C2596" t="s">
        <v>56</v>
      </c>
      <c r="D2596" t="s">
        <v>2379</v>
      </c>
      <c r="E2596">
        <v>24</v>
      </c>
      <c r="F2596" t="str">
        <f>VLOOKUP(E2596,[1]LOJA!$A:$B,2,0)</f>
        <v>LUZIÂNIA</v>
      </c>
      <c r="G2596" t="s">
        <v>19</v>
      </c>
      <c r="H2596" t="s">
        <v>19</v>
      </c>
      <c r="I2596" s="1">
        <v>46044</v>
      </c>
      <c r="J2596" s="1">
        <v>46044</v>
      </c>
      <c r="K2596" s="1">
        <v>46044</v>
      </c>
      <c r="L2596">
        <v>34</v>
      </c>
      <c r="M2596">
        <v>1.1000000000000001</v>
      </c>
      <c r="N2596">
        <v>1.1000000000000001</v>
      </c>
      <c r="O2596">
        <v>0</v>
      </c>
      <c r="P2596">
        <v>0</v>
      </c>
      <c r="Q2596" t="s">
        <v>108</v>
      </c>
    </row>
    <row r="2597" spans="1:17">
      <c r="A2597" t="s">
        <v>93</v>
      </c>
      <c r="B2597" t="s">
        <v>106</v>
      </c>
      <c r="C2597" t="s">
        <v>56</v>
      </c>
      <c r="D2597" t="s">
        <v>2380</v>
      </c>
      <c r="E2597">
        <v>24</v>
      </c>
      <c r="F2597" t="str">
        <f>VLOOKUP(E2597,[1]LOJA!$A:$B,2,0)</f>
        <v>LUZIÂNIA</v>
      </c>
      <c r="G2597" t="s">
        <v>19</v>
      </c>
      <c r="H2597" t="s">
        <v>19</v>
      </c>
      <c r="I2597" s="1">
        <v>46044</v>
      </c>
      <c r="J2597" s="1">
        <v>46044</v>
      </c>
      <c r="K2597" s="1">
        <v>46044</v>
      </c>
      <c r="L2597">
        <v>34</v>
      </c>
      <c r="M2597">
        <v>0.1</v>
      </c>
      <c r="N2597">
        <v>0.1</v>
      </c>
      <c r="O2597">
        <v>0</v>
      </c>
      <c r="P2597">
        <v>0</v>
      </c>
      <c r="Q2597" t="s">
        <v>108</v>
      </c>
    </row>
    <row r="2598" spans="1:17">
      <c r="A2598" t="s">
        <v>93</v>
      </c>
      <c r="B2598" t="s">
        <v>106</v>
      </c>
      <c r="C2598" t="s">
        <v>56</v>
      </c>
      <c r="D2598" t="s">
        <v>2381</v>
      </c>
      <c r="E2598">
        <v>24</v>
      </c>
      <c r="F2598" t="str">
        <f>VLOOKUP(E2598,[1]LOJA!$A:$B,2,0)</f>
        <v>LUZIÂNIA</v>
      </c>
      <c r="G2598" t="s">
        <v>19</v>
      </c>
      <c r="H2598" t="s">
        <v>19</v>
      </c>
      <c r="I2598" s="1">
        <v>46044</v>
      </c>
      <c r="J2598" s="1">
        <v>46044</v>
      </c>
      <c r="K2598" s="1">
        <v>46044</v>
      </c>
      <c r="L2598">
        <v>34</v>
      </c>
      <c r="M2598">
        <v>0.34</v>
      </c>
      <c r="N2598">
        <v>0.34</v>
      </c>
      <c r="O2598">
        <v>0</v>
      </c>
      <c r="P2598">
        <v>0</v>
      </c>
      <c r="Q2598" t="s">
        <v>108</v>
      </c>
    </row>
    <row r="2599" spans="1:17">
      <c r="A2599" t="s">
        <v>93</v>
      </c>
      <c r="B2599" t="s">
        <v>106</v>
      </c>
      <c r="C2599" t="s">
        <v>56</v>
      </c>
      <c r="D2599" t="s">
        <v>2382</v>
      </c>
      <c r="E2599">
        <v>24</v>
      </c>
      <c r="F2599" t="str">
        <f>VLOOKUP(E2599,[1]LOJA!$A:$B,2,0)</f>
        <v>LUZIÂNIA</v>
      </c>
      <c r="G2599" t="s">
        <v>19</v>
      </c>
      <c r="H2599" t="s">
        <v>19</v>
      </c>
      <c r="I2599" s="1">
        <v>46044</v>
      </c>
      <c r="J2599" s="1">
        <v>46044</v>
      </c>
      <c r="K2599" s="1">
        <v>46044</v>
      </c>
      <c r="L2599">
        <v>34</v>
      </c>
      <c r="M2599">
        <v>0.15</v>
      </c>
      <c r="N2599">
        <v>0.15</v>
      </c>
      <c r="O2599">
        <v>0</v>
      </c>
      <c r="P2599">
        <v>0</v>
      </c>
      <c r="Q2599" t="s">
        <v>108</v>
      </c>
    </row>
    <row r="2600" spans="1:17">
      <c r="A2600" t="s">
        <v>93</v>
      </c>
      <c r="B2600" t="s">
        <v>106</v>
      </c>
      <c r="C2600" t="s">
        <v>56</v>
      </c>
      <c r="D2600" t="s">
        <v>2383</v>
      </c>
      <c r="E2600">
        <v>24</v>
      </c>
      <c r="F2600" t="str">
        <f>VLOOKUP(E2600,[1]LOJA!$A:$B,2,0)</f>
        <v>LUZIÂNIA</v>
      </c>
      <c r="G2600" t="s">
        <v>19</v>
      </c>
      <c r="H2600" t="s">
        <v>19</v>
      </c>
      <c r="I2600" s="1">
        <v>46044</v>
      </c>
      <c r="J2600" s="1">
        <v>46044</v>
      </c>
      <c r="K2600" s="1">
        <v>46044</v>
      </c>
      <c r="L2600">
        <v>34</v>
      </c>
      <c r="M2600">
        <v>0.56999999999999995</v>
      </c>
      <c r="N2600">
        <v>0.56999999999999995</v>
      </c>
      <c r="O2600">
        <v>0</v>
      </c>
      <c r="P2600">
        <v>0</v>
      </c>
      <c r="Q2600" t="s">
        <v>108</v>
      </c>
    </row>
    <row r="2601" spans="1:17">
      <c r="A2601" t="s">
        <v>93</v>
      </c>
      <c r="B2601" t="s">
        <v>106</v>
      </c>
      <c r="C2601" t="s">
        <v>56</v>
      </c>
      <c r="D2601" t="s">
        <v>2384</v>
      </c>
      <c r="E2601">
        <v>24</v>
      </c>
      <c r="F2601" t="str">
        <f>VLOOKUP(E2601,[1]LOJA!$A:$B,2,0)</f>
        <v>LUZIÂNIA</v>
      </c>
      <c r="G2601" t="s">
        <v>19</v>
      </c>
      <c r="H2601" t="s">
        <v>19</v>
      </c>
      <c r="I2601" s="1">
        <v>46044</v>
      </c>
      <c r="J2601" s="1">
        <v>46044</v>
      </c>
      <c r="K2601" s="1">
        <v>46044</v>
      </c>
      <c r="L2601">
        <v>34</v>
      </c>
      <c r="M2601">
        <v>0.09</v>
      </c>
      <c r="N2601">
        <v>0.09</v>
      </c>
      <c r="O2601">
        <v>0</v>
      </c>
      <c r="P2601">
        <v>0</v>
      </c>
      <c r="Q2601" t="s">
        <v>108</v>
      </c>
    </row>
    <row r="2602" spans="1:17">
      <c r="A2602" t="s">
        <v>93</v>
      </c>
      <c r="B2602" t="s">
        <v>106</v>
      </c>
      <c r="C2602" t="s">
        <v>56</v>
      </c>
      <c r="D2602" t="s">
        <v>2385</v>
      </c>
      <c r="E2602">
        <v>24</v>
      </c>
      <c r="F2602" t="str">
        <f>VLOOKUP(E2602,[1]LOJA!$A:$B,2,0)</f>
        <v>LUZIÂNIA</v>
      </c>
      <c r="G2602" t="s">
        <v>19</v>
      </c>
      <c r="H2602" t="s">
        <v>19</v>
      </c>
      <c r="I2602" s="1">
        <v>46044</v>
      </c>
      <c r="J2602" s="1">
        <v>46044</v>
      </c>
      <c r="K2602" s="1">
        <v>46044</v>
      </c>
      <c r="L2602">
        <v>34</v>
      </c>
      <c r="M2602">
        <v>0.05</v>
      </c>
      <c r="N2602">
        <v>0.05</v>
      </c>
      <c r="O2602">
        <v>0</v>
      </c>
      <c r="P2602">
        <v>0</v>
      </c>
      <c r="Q2602" t="s">
        <v>108</v>
      </c>
    </row>
    <row r="2603" spans="1:17">
      <c r="A2603" t="s">
        <v>93</v>
      </c>
      <c r="B2603" t="s">
        <v>106</v>
      </c>
      <c r="C2603" t="s">
        <v>56</v>
      </c>
      <c r="D2603" t="s">
        <v>2386</v>
      </c>
      <c r="E2603">
        <v>24</v>
      </c>
      <c r="F2603" t="str">
        <f>VLOOKUP(E2603,[1]LOJA!$A:$B,2,0)</f>
        <v>LUZIÂNIA</v>
      </c>
      <c r="G2603" t="s">
        <v>19</v>
      </c>
      <c r="H2603" t="s">
        <v>19</v>
      </c>
      <c r="I2603" s="1">
        <v>46044</v>
      </c>
      <c r="J2603" s="1">
        <v>46044</v>
      </c>
      <c r="K2603" s="1">
        <v>46044</v>
      </c>
      <c r="L2603">
        <v>34</v>
      </c>
      <c r="M2603">
        <v>0.08</v>
      </c>
      <c r="N2603">
        <v>0.08</v>
      </c>
      <c r="O2603">
        <v>0</v>
      </c>
      <c r="P2603">
        <v>0</v>
      </c>
      <c r="Q2603" t="s">
        <v>108</v>
      </c>
    </row>
    <row r="2604" spans="1:17">
      <c r="A2604" t="s">
        <v>93</v>
      </c>
      <c r="B2604" t="s">
        <v>106</v>
      </c>
      <c r="C2604" t="s">
        <v>56</v>
      </c>
      <c r="D2604" t="s">
        <v>2387</v>
      </c>
      <c r="E2604">
        <v>24</v>
      </c>
      <c r="F2604" t="str">
        <f>VLOOKUP(E2604,[1]LOJA!$A:$B,2,0)</f>
        <v>LUZIÂNIA</v>
      </c>
      <c r="G2604" t="s">
        <v>19</v>
      </c>
      <c r="H2604" t="s">
        <v>19</v>
      </c>
      <c r="I2604" s="1">
        <v>46044</v>
      </c>
      <c r="J2604" s="1">
        <v>46044</v>
      </c>
      <c r="K2604" s="1">
        <v>46044</v>
      </c>
      <c r="L2604">
        <v>34</v>
      </c>
      <c r="M2604">
        <v>6.88</v>
      </c>
      <c r="N2604">
        <v>6.88</v>
      </c>
      <c r="O2604">
        <v>0</v>
      </c>
      <c r="P2604">
        <v>0</v>
      </c>
      <c r="Q2604" t="s">
        <v>108</v>
      </c>
    </row>
    <row r="2605" spans="1:17">
      <c r="A2605" t="s">
        <v>93</v>
      </c>
      <c r="B2605" t="s">
        <v>106</v>
      </c>
      <c r="C2605" t="s">
        <v>56</v>
      </c>
      <c r="D2605" t="s">
        <v>2388</v>
      </c>
      <c r="E2605">
        <v>24</v>
      </c>
      <c r="F2605" t="str">
        <f>VLOOKUP(E2605,[1]LOJA!$A:$B,2,0)</f>
        <v>LUZIÂNIA</v>
      </c>
      <c r="G2605" t="s">
        <v>19</v>
      </c>
      <c r="H2605" t="s">
        <v>19</v>
      </c>
      <c r="I2605" s="1">
        <v>46044</v>
      </c>
      <c r="J2605" s="1">
        <v>46044</v>
      </c>
      <c r="K2605" s="1">
        <v>46044</v>
      </c>
      <c r="L2605">
        <v>34</v>
      </c>
      <c r="M2605">
        <v>0.28000000000000003</v>
      </c>
      <c r="N2605">
        <v>0.28000000000000003</v>
      </c>
      <c r="O2605">
        <v>0</v>
      </c>
      <c r="P2605">
        <v>0</v>
      </c>
      <c r="Q2605" t="s">
        <v>108</v>
      </c>
    </row>
    <row r="2606" spans="1:17">
      <c r="A2606" t="s">
        <v>93</v>
      </c>
      <c r="B2606" t="s">
        <v>106</v>
      </c>
      <c r="C2606" t="s">
        <v>56</v>
      </c>
      <c r="D2606" t="s">
        <v>2389</v>
      </c>
      <c r="E2606">
        <v>24</v>
      </c>
      <c r="F2606" t="str">
        <f>VLOOKUP(E2606,[1]LOJA!$A:$B,2,0)</f>
        <v>LUZIÂNIA</v>
      </c>
      <c r="G2606" t="s">
        <v>19</v>
      </c>
      <c r="H2606" t="s">
        <v>19</v>
      </c>
      <c r="I2606" s="1">
        <v>46044</v>
      </c>
      <c r="J2606" s="1">
        <v>46044</v>
      </c>
      <c r="K2606" s="1">
        <v>46044</v>
      </c>
      <c r="L2606">
        <v>34</v>
      </c>
      <c r="M2606">
        <v>0.19</v>
      </c>
      <c r="N2606">
        <v>0.19</v>
      </c>
      <c r="O2606">
        <v>0</v>
      </c>
      <c r="P2606">
        <v>0</v>
      </c>
      <c r="Q2606" t="s">
        <v>108</v>
      </c>
    </row>
    <row r="2607" spans="1:17">
      <c r="A2607" t="s">
        <v>93</v>
      </c>
      <c r="B2607" t="s">
        <v>106</v>
      </c>
      <c r="C2607" t="s">
        <v>56</v>
      </c>
      <c r="D2607" t="s">
        <v>2390</v>
      </c>
      <c r="E2607">
        <v>24</v>
      </c>
      <c r="F2607" t="str">
        <f>VLOOKUP(E2607,[1]LOJA!$A:$B,2,0)</f>
        <v>LUZIÂNIA</v>
      </c>
      <c r="G2607" t="s">
        <v>19</v>
      </c>
      <c r="H2607" t="s">
        <v>19</v>
      </c>
      <c r="I2607" s="1">
        <v>46044</v>
      </c>
      <c r="J2607" s="1">
        <v>46044</v>
      </c>
      <c r="K2607" s="1">
        <v>46044</v>
      </c>
      <c r="L2607">
        <v>34</v>
      </c>
      <c r="M2607">
        <v>0.08</v>
      </c>
      <c r="N2607">
        <v>0.08</v>
      </c>
      <c r="O2607">
        <v>0</v>
      </c>
      <c r="P2607">
        <v>0</v>
      </c>
      <c r="Q2607" t="s">
        <v>108</v>
      </c>
    </row>
    <row r="2608" spans="1:17">
      <c r="A2608" t="s">
        <v>93</v>
      </c>
      <c r="B2608" t="s">
        <v>106</v>
      </c>
      <c r="C2608" t="s">
        <v>56</v>
      </c>
      <c r="D2608" t="s">
        <v>2391</v>
      </c>
      <c r="E2608">
        <v>24</v>
      </c>
      <c r="F2608" t="str">
        <f>VLOOKUP(E2608,[1]LOJA!$A:$B,2,0)</f>
        <v>LUZIÂNIA</v>
      </c>
      <c r="G2608" t="s">
        <v>19</v>
      </c>
      <c r="H2608" t="s">
        <v>19</v>
      </c>
      <c r="I2608" s="1">
        <v>46044</v>
      </c>
      <c r="J2608" s="1">
        <v>46044</v>
      </c>
      <c r="K2608" s="1">
        <v>46044</v>
      </c>
      <c r="L2608">
        <v>34</v>
      </c>
      <c r="M2608">
        <v>0.05</v>
      </c>
      <c r="N2608">
        <v>0.05</v>
      </c>
      <c r="O2608">
        <v>0</v>
      </c>
      <c r="P2608">
        <v>0</v>
      </c>
      <c r="Q2608" t="s">
        <v>108</v>
      </c>
    </row>
    <row r="2609" spans="1:17">
      <c r="A2609" t="s">
        <v>93</v>
      </c>
      <c r="B2609" t="s">
        <v>106</v>
      </c>
      <c r="C2609" t="s">
        <v>56</v>
      </c>
      <c r="D2609" t="s">
        <v>2392</v>
      </c>
      <c r="E2609">
        <v>24</v>
      </c>
      <c r="F2609" t="str">
        <f>VLOOKUP(E2609,[1]LOJA!$A:$B,2,0)</f>
        <v>LUZIÂNIA</v>
      </c>
      <c r="G2609" t="s">
        <v>19</v>
      </c>
      <c r="H2609" t="s">
        <v>19</v>
      </c>
      <c r="I2609" s="1">
        <v>46044</v>
      </c>
      <c r="J2609" s="1">
        <v>46044</v>
      </c>
      <c r="K2609" s="1">
        <v>46044</v>
      </c>
      <c r="L2609">
        <v>34</v>
      </c>
      <c r="M2609">
        <v>0.12</v>
      </c>
      <c r="N2609">
        <v>0.12</v>
      </c>
      <c r="O2609">
        <v>0</v>
      </c>
      <c r="P2609">
        <v>0</v>
      </c>
      <c r="Q2609" t="s">
        <v>108</v>
      </c>
    </row>
    <row r="2610" spans="1:17">
      <c r="A2610" t="s">
        <v>93</v>
      </c>
      <c r="B2610" t="s">
        <v>106</v>
      </c>
      <c r="C2610" t="s">
        <v>56</v>
      </c>
      <c r="D2610" t="s">
        <v>2393</v>
      </c>
      <c r="E2610">
        <v>24</v>
      </c>
      <c r="F2610" t="str">
        <f>VLOOKUP(E2610,[1]LOJA!$A:$B,2,0)</f>
        <v>LUZIÂNIA</v>
      </c>
      <c r="G2610" t="s">
        <v>19</v>
      </c>
      <c r="H2610" t="s">
        <v>19</v>
      </c>
      <c r="I2610" s="1">
        <v>46044</v>
      </c>
      <c r="J2610" s="1">
        <v>46044</v>
      </c>
      <c r="K2610" s="1">
        <v>46044</v>
      </c>
      <c r="L2610">
        <v>34</v>
      </c>
      <c r="M2610">
        <v>0.47</v>
      </c>
      <c r="N2610">
        <v>0.47</v>
      </c>
      <c r="O2610">
        <v>0</v>
      </c>
      <c r="P2610">
        <v>0</v>
      </c>
      <c r="Q2610" t="s">
        <v>108</v>
      </c>
    </row>
    <row r="2611" spans="1:17">
      <c r="A2611" t="s">
        <v>93</v>
      </c>
      <c r="B2611" t="s">
        <v>106</v>
      </c>
      <c r="C2611" t="s">
        <v>56</v>
      </c>
      <c r="D2611" t="s">
        <v>2394</v>
      </c>
      <c r="E2611">
        <v>24</v>
      </c>
      <c r="F2611" t="str">
        <f>VLOOKUP(E2611,[1]LOJA!$A:$B,2,0)</f>
        <v>LUZIÂNIA</v>
      </c>
      <c r="G2611" t="s">
        <v>19</v>
      </c>
      <c r="H2611" t="s">
        <v>19</v>
      </c>
      <c r="I2611" s="1">
        <v>46044</v>
      </c>
      <c r="J2611" s="1">
        <v>46044</v>
      </c>
      <c r="K2611" s="1">
        <v>46044</v>
      </c>
      <c r="L2611">
        <v>34</v>
      </c>
      <c r="M2611">
        <v>0.42</v>
      </c>
      <c r="N2611">
        <v>0.42</v>
      </c>
      <c r="O2611">
        <v>0</v>
      </c>
      <c r="P2611">
        <v>0</v>
      </c>
      <c r="Q2611" t="s">
        <v>108</v>
      </c>
    </row>
    <row r="2612" spans="1:17">
      <c r="A2612" t="s">
        <v>93</v>
      </c>
      <c r="B2612" t="s">
        <v>106</v>
      </c>
      <c r="C2612" t="s">
        <v>56</v>
      </c>
      <c r="D2612" t="s">
        <v>2395</v>
      </c>
      <c r="E2612">
        <v>24</v>
      </c>
      <c r="F2612" t="str">
        <f>VLOOKUP(E2612,[1]LOJA!$A:$B,2,0)</f>
        <v>LUZIÂNIA</v>
      </c>
      <c r="G2612" t="s">
        <v>19</v>
      </c>
      <c r="H2612" t="s">
        <v>19</v>
      </c>
      <c r="I2612" s="1">
        <v>46044</v>
      </c>
      <c r="J2612" s="1">
        <v>46044</v>
      </c>
      <c r="K2612" s="1">
        <v>46044</v>
      </c>
      <c r="L2612">
        <v>34</v>
      </c>
      <c r="M2612">
        <v>0.36</v>
      </c>
      <c r="N2612">
        <v>0.36</v>
      </c>
      <c r="O2612">
        <v>0</v>
      </c>
      <c r="P2612">
        <v>0</v>
      </c>
      <c r="Q2612" t="s">
        <v>108</v>
      </c>
    </row>
    <row r="2613" spans="1:17">
      <c r="A2613" t="s">
        <v>93</v>
      </c>
      <c r="B2613" t="s">
        <v>106</v>
      </c>
      <c r="C2613" t="s">
        <v>56</v>
      </c>
      <c r="D2613" t="s">
        <v>2396</v>
      </c>
      <c r="E2613">
        <v>24</v>
      </c>
      <c r="F2613" t="str">
        <f>VLOOKUP(E2613,[1]LOJA!$A:$B,2,0)</f>
        <v>LUZIÂNIA</v>
      </c>
      <c r="G2613" t="s">
        <v>19</v>
      </c>
      <c r="H2613" t="s">
        <v>19</v>
      </c>
      <c r="I2613" s="1">
        <v>46044</v>
      </c>
      <c r="J2613" s="1">
        <v>46044</v>
      </c>
      <c r="K2613" s="1">
        <v>46044</v>
      </c>
      <c r="L2613">
        <v>34</v>
      </c>
      <c r="M2613">
        <v>0.27</v>
      </c>
      <c r="N2613">
        <v>0.27</v>
      </c>
      <c r="O2613">
        <v>0</v>
      </c>
      <c r="P2613">
        <v>0</v>
      </c>
      <c r="Q2613" t="s">
        <v>108</v>
      </c>
    </row>
    <row r="2614" spans="1:17">
      <c r="A2614" t="s">
        <v>93</v>
      </c>
      <c r="B2614" t="s">
        <v>106</v>
      </c>
      <c r="C2614" t="s">
        <v>56</v>
      </c>
      <c r="D2614" t="s">
        <v>2397</v>
      </c>
      <c r="E2614">
        <v>24</v>
      </c>
      <c r="F2614" t="str">
        <f>VLOOKUP(E2614,[1]LOJA!$A:$B,2,0)</f>
        <v>LUZIÂNIA</v>
      </c>
      <c r="G2614" t="s">
        <v>19</v>
      </c>
      <c r="H2614" t="s">
        <v>19</v>
      </c>
      <c r="I2614" s="1">
        <v>46044</v>
      </c>
      <c r="J2614" s="1">
        <v>46044</v>
      </c>
      <c r="K2614" s="1">
        <v>46044</v>
      </c>
      <c r="L2614">
        <v>34</v>
      </c>
      <c r="M2614">
        <v>0.27</v>
      </c>
      <c r="N2614">
        <v>0.27</v>
      </c>
      <c r="O2614">
        <v>0</v>
      </c>
      <c r="P2614">
        <v>0</v>
      </c>
      <c r="Q2614" t="s">
        <v>108</v>
      </c>
    </row>
    <row r="2615" spans="1:17">
      <c r="A2615" t="s">
        <v>93</v>
      </c>
      <c r="B2615" t="s">
        <v>106</v>
      </c>
      <c r="C2615" t="s">
        <v>56</v>
      </c>
      <c r="D2615" t="s">
        <v>2398</v>
      </c>
      <c r="E2615">
        <v>24</v>
      </c>
      <c r="F2615" t="str">
        <f>VLOOKUP(E2615,[1]LOJA!$A:$B,2,0)</f>
        <v>LUZIÂNIA</v>
      </c>
      <c r="G2615" t="s">
        <v>19</v>
      </c>
      <c r="H2615" t="s">
        <v>19</v>
      </c>
      <c r="I2615" s="1">
        <v>46045</v>
      </c>
      <c r="J2615" s="1">
        <v>46045</v>
      </c>
      <c r="K2615" s="1">
        <v>46045</v>
      </c>
      <c r="L2615">
        <v>34</v>
      </c>
      <c r="M2615">
        <v>0.26</v>
      </c>
      <c r="N2615">
        <v>0.26</v>
      </c>
      <c r="O2615">
        <v>0</v>
      </c>
      <c r="P2615">
        <v>0</v>
      </c>
      <c r="Q2615" t="s">
        <v>108</v>
      </c>
    </row>
    <row r="2616" spans="1:17">
      <c r="A2616" t="s">
        <v>93</v>
      </c>
      <c r="B2616" t="s">
        <v>106</v>
      </c>
      <c r="C2616" t="s">
        <v>56</v>
      </c>
      <c r="D2616" t="s">
        <v>2399</v>
      </c>
      <c r="E2616">
        <v>24</v>
      </c>
      <c r="F2616" t="str">
        <f>VLOOKUP(E2616,[1]LOJA!$A:$B,2,0)</f>
        <v>LUZIÂNIA</v>
      </c>
      <c r="G2616" t="s">
        <v>19</v>
      </c>
      <c r="H2616" t="s">
        <v>19</v>
      </c>
      <c r="I2616" s="1">
        <v>46045</v>
      </c>
      <c r="J2616" s="1">
        <v>46045</v>
      </c>
      <c r="K2616" s="1">
        <v>46045</v>
      </c>
      <c r="L2616">
        <v>34</v>
      </c>
      <c r="M2616">
        <v>1.1000000000000001</v>
      </c>
      <c r="N2616">
        <v>1.1000000000000001</v>
      </c>
      <c r="O2616">
        <v>0</v>
      </c>
      <c r="P2616">
        <v>0</v>
      </c>
      <c r="Q2616" t="s">
        <v>108</v>
      </c>
    </row>
    <row r="2617" spans="1:17">
      <c r="A2617" t="s">
        <v>93</v>
      </c>
      <c r="B2617" t="s">
        <v>106</v>
      </c>
      <c r="C2617" t="s">
        <v>56</v>
      </c>
      <c r="D2617" t="s">
        <v>2400</v>
      </c>
      <c r="E2617">
        <v>24</v>
      </c>
      <c r="F2617" t="str">
        <f>VLOOKUP(E2617,[1]LOJA!$A:$B,2,0)</f>
        <v>LUZIÂNIA</v>
      </c>
      <c r="G2617" t="s">
        <v>19</v>
      </c>
      <c r="H2617" t="s">
        <v>19</v>
      </c>
      <c r="I2617" s="1">
        <v>46045</v>
      </c>
      <c r="J2617" s="1">
        <v>46045</v>
      </c>
      <c r="K2617" s="1">
        <v>46045</v>
      </c>
      <c r="L2617">
        <v>34</v>
      </c>
      <c r="M2617">
        <v>0.2</v>
      </c>
      <c r="N2617">
        <v>0.2</v>
      </c>
      <c r="O2617">
        <v>0</v>
      </c>
      <c r="P2617">
        <v>0</v>
      </c>
      <c r="Q2617" t="s">
        <v>108</v>
      </c>
    </row>
    <row r="2618" spans="1:17">
      <c r="A2618" t="s">
        <v>93</v>
      </c>
      <c r="B2618" t="s">
        <v>106</v>
      </c>
      <c r="C2618" t="s">
        <v>56</v>
      </c>
      <c r="D2618" t="s">
        <v>2401</v>
      </c>
      <c r="E2618">
        <v>24</v>
      </c>
      <c r="F2618" t="str">
        <f>VLOOKUP(E2618,[1]LOJA!$A:$B,2,0)</f>
        <v>LUZIÂNIA</v>
      </c>
      <c r="G2618" t="s">
        <v>19</v>
      </c>
      <c r="H2618" t="s">
        <v>19</v>
      </c>
      <c r="I2618" s="1">
        <v>46045</v>
      </c>
      <c r="J2618" s="1">
        <v>46045</v>
      </c>
      <c r="K2618" s="1">
        <v>46045</v>
      </c>
      <c r="L2618">
        <v>34</v>
      </c>
      <c r="M2618">
        <v>2.4300000000000002</v>
      </c>
      <c r="N2618">
        <v>2.4300000000000002</v>
      </c>
      <c r="O2618">
        <v>0</v>
      </c>
      <c r="P2618">
        <v>0</v>
      </c>
      <c r="Q2618" t="s">
        <v>108</v>
      </c>
    </row>
    <row r="2619" spans="1:17">
      <c r="A2619" t="s">
        <v>93</v>
      </c>
      <c r="B2619" t="s">
        <v>106</v>
      </c>
      <c r="C2619" t="s">
        <v>56</v>
      </c>
      <c r="D2619" t="s">
        <v>2402</v>
      </c>
      <c r="E2619">
        <v>24</v>
      </c>
      <c r="F2619" t="str">
        <f>VLOOKUP(E2619,[1]LOJA!$A:$B,2,0)</f>
        <v>LUZIÂNIA</v>
      </c>
      <c r="G2619" t="s">
        <v>19</v>
      </c>
      <c r="H2619" t="s">
        <v>19</v>
      </c>
      <c r="I2619" s="1">
        <v>46045</v>
      </c>
      <c r="J2619" s="1">
        <v>46045</v>
      </c>
      <c r="K2619" s="1">
        <v>46045</v>
      </c>
      <c r="L2619">
        <v>34</v>
      </c>
      <c r="M2619">
        <v>2.46</v>
      </c>
      <c r="N2619">
        <v>2.46</v>
      </c>
      <c r="O2619">
        <v>0</v>
      </c>
      <c r="P2619">
        <v>0</v>
      </c>
      <c r="Q2619" t="s">
        <v>108</v>
      </c>
    </row>
    <row r="2620" spans="1:17">
      <c r="A2620" t="s">
        <v>93</v>
      </c>
      <c r="B2620" t="s">
        <v>106</v>
      </c>
      <c r="C2620" t="s">
        <v>56</v>
      </c>
      <c r="D2620" t="s">
        <v>2403</v>
      </c>
      <c r="E2620">
        <v>24</v>
      </c>
      <c r="F2620" t="str">
        <f>VLOOKUP(E2620,[1]LOJA!$A:$B,2,0)</f>
        <v>LUZIÂNIA</v>
      </c>
      <c r="G2620" t="s">
        <v>19</v>
      </c>
      <c r="H2620" t="s">
        <v>19</v>
      </c>
      <c r="I2620" s="1">
        <v>46045</v>
      </c>
      <c r="J2620" s="1">
        <v>46045</v>
      </c>
      <c r="K2620" s="1">
        <v>46045</v>
      </c>
      <c r="L2620">
        <v>34</v>
      </c>
      <c r="M2620">
        <v>1.23</v>
      </c>
      <c r="N2620">
        <v>1.23</v>
      </c>
      <c r="O2620">
        <v>0</v>
      </c>
      <c r="P2620">
        <v>0</v>
      </c>
      <c r="Q2620" t="s">
        <v>108</v>
      </c>
    </row>
    <row r="2621" spans="1:17">
      <c r="A2621" t="s">
        <v>93</v>
      </c>
      <c r="B2621" t="s">
        <v>106</v>
      </c>
      <c r="C2621" t="s">
        <v>56</v>
      </c>
      <c r="D2621" t="s">
        <v>2404</v>
      </c>
      <c r="E2621">
        <v>24</v>
      </c>
      <c r="F2621" t="str">
        <f>VLOOKUP(E2621,[1]LOJA!$A:$B,2,0)</f>
        <v>LUZIÂNIA</v>
      </c>
      <c r="G2621" t="s">
        <v>19</v>
      </c>
      <c r="H2621" t="s">
        <v>19</v>
      </c>
      <c r="I2621" s="1">
        <v>46045</v>
      </c>
      <c r="J2621" s="1">
        <v>46045</v>
      </c>
      <c r="K2621" s="1">
        <v>46045</v>
      </c>
      <c r="L2621">
        <v>34</v>
      </c>
      <c r="M2621">
        <v>5.04</v>
      </c>
      <c r="N2621">
        <v>5.04</v>
      </c>
      <c r="O2621">
        <v>0</v>
      </c>
      <c r="P2621">
        <v>0</v>
      </c>
      <c r="Q2621" t="s">
        <v>108</v>
      </c>
    </row>
    <row r="2622" spans="1:17">
      <c r="A2622" t="s">
        <v>93</v>
      </c>
      <c r="B2622" t="s">
        <v>106</v>
      </c>
      <c r="C2622" t="s">
        <v>56</v>
      </c>
      <c r="D2622" t="s">
        <v>2405</v>
      </c>
      <c r="E2622">
        <v>24</v>
      </c>
      <c r="F2622" t="str">
        <f>VLOOKUP(E2622,[1]LOJA!$A:$B,2,0)</f>
        <v>LUZIÂNIA</v>
      </c>
      <c r="G2622" t="s">
        <v>19</v>
      </c>
      <c r="H2622" t="s">
        <v>19</v>
      </c>
      <c r="I2622" s="1">
        <v>46045</v>
      </c>
      <c r="J2622" s="1">
        <v>46045</v>
      </c>
      <c r="K2622" s="1">
        <v>46045</v>
      </c>
      <c r="L2622">
        <v>34</v>
      </c>
      <c r="M2622">
        <v>2.41</v>
      </c>
      <c r="N2622">
        <v>2.41</v>
      </c>
      <c r="O2622">
        <v>0</v>
      </c>
      <c r="P2622">
        <v>0</v>
      </c>
      <c r="Q2622" t="s">
        <v>108</v>
      </c>
    </row>
    <row r="2623" spans="1:17">
      <c r="A2623" t="s">
        <v>93</v>
      </c>
      <c r="B2623" t="s">
        <v>106</v>
      </c>
      <c r="C2623" t="s">
        <v>56</v>
      </c>
      <c r="D2623" t="s">
        <v>2406</v>
      </c>
      <c r="E2623">
        <v>24</v>
      </c>
      <c r="F2623" t="str">
        <f>VLOOKUP(E2623,[1]LOJA!$A:$B,2,0)</f>
        <v>LUZIÂNIA</v>
      </c>
      <c r="G2623" t="s">
        <v>19</v>
      </c>
      <c r="H2623" t="s">
        <v>19</v>
      </c>
      <c r="I2623" s="1">
        <v>46045</v>
      </c>
      <c r="J2623" s="1">
        <v>46045</v>
      </c>
      <c r="K2623" s="1">
        <v>46045</v>
      </c>
      <c r="L2623">
        <v>34</v>
      </c>
      <c r="M2623">
        <v>0.41</v>
      </c>
      <c r="N2623">
        <v>0.41</v>
      </c>
      <c r="O2623">
        <v>0</v>
      </c>
      <c r="P2623">
        <v>0</v>
      </c>
      <c r="Q2623" t="s">
        <v>108</v>
      </c>
    </row>
    <row r="2624" spans="1:17">
      <c r="A2624" t="s">
        <v>93</v>
      </c>
      <c r="B2624" t="s">
        <v>106</v>
      </c>
      <c r="C2624" t="s">
        <v>56</v>
      </c>
      <c r="D2624" t="s">
        <v>2407</v>
      </c>
      <c r="E2624">
        <v>24</v>
      </c>
      <c r="F2624" t="str">
        <f>VLOOKUP(E2624,[1]LOJA!$A:$B,2,0)</f>
        <v>LUZIÂNIA</v>
      </c>
      <c r="G2624" t="s">
        <v>19</v>
      </c>
      <c r="H2624" t="s">
        <v>19</v>
      </c>
      <c r="I2624" s="1">
        <v>46045</v>
      </c>
      <c r="J2624" s="1">
        <v>46045</v>
      </c>
      <c r="K2624" s="1">
        <v>46045</v>
      </c>
      <c r="L2624">
        <v>34</v>
      </c>
      <c r="M2624">
        <v>0.67</v>
      </c>
      <c r="N2624">
        <v>0.67</v>
      </c>
      <c r="O2624">
        <v>0</v>
      </c>
      <c r="P2624">
        <v>0</v>
      </c>
      <c r="Q2624" t="s">
        <v>108</v>
      </c>
    </row>
    <row r="2625" spans="1:17">
      <c r="A2625" t="s">
        <v>93</v>
      </c>
      <c r="B2625" t="s">
        <v>106</v>
      </c>
      <c r="C2625" t="s">
        <v>56</v>
      </c>
      <c r="D2625" t="s">
        <v>2408</v>
      </c>
      <c r="E2625">
        <v>24</v>
      </c>
      <c r="F2625" t="str">
        <f>VLOOKUP(E2625,[1]LOJA!$A:$B,2,0)</f>
        <v>LUZIÂNIA</v>
      </c>
      <c r="G2625" t="s">
        <v>19</v>
      </c>
      <c r="H2625" t="s">
        <v>19</v>
      </c>
      <c r="I2625" s="1">
        <v>46045</v>
      </c>
      <c r="J2625" s="1">
        <v>46045</v>
      </c>
      <c r="K2625" s="1">
        <v>46045</v>
      </c>
      <c r="L2625">
        <v>34</v>
      </c>
      <c r="M2625">
        <v>2.98</v>
      </c>
      <c r="N2625">
        <v>2.98</v>
      </c>
      <c r="O2625">
        <v>0</v>
      </c>
      <c r="P2625">
        <v>0</v>
      </c>
      <c r="Q2625" t="s">
        <v>108</v>
      </c>
    </row>
    <row r="2626" spans="1:17">
      <c r="A2626" t="s">
        <v>93</v>
      </c>
      <c r="B2626" t="s">
        <v>106</v>
      </c>
      <c r="C2626" t="s">
        <v>56</v>
      </c>
      <c r="D2626" t="s">
        <v>2409</v>
      </c>
      <c r="E2626">
        <v>24</v>
      </c>
      <c r="F2626" t="str">
        <f>VLOOKUP(E2626,[1]LOJA!$A:$B,2,0)</f>
        <v>LUZIÂNIA</v>
      </c>
      <c r="G2626" t="s">
        <v>19</v>
      </c>
      <c r="H2626" t="s">
        <v>19</v>
      </c>
      <c r="I2626" s="1">
        <v>46045</v>
      </c>
      <c r="J2626" s="1">
        <v>46045</v>
      </c>
      <c r="K2626" s="1">
        <v>46045</v>
      </c>
      <c r="L2626">
        <v>34</v>
      </c>
      <c r="M2626">
        <v>1.96</v>
      </c>
      <c r="N2626">
        <v>1.96</v>
      </c>
      <c r="O2626">
        <v>0</v>
      </c>
      <c r="P2626">
        <v>0</v>
      </c>
      <c r="Q2626" t="s">
        <v>108</v>
      </c>
    </row>
    <row r="2627" spans="1:17">
      <c r="A2627" t="s">
        <v>93</v>
      </c>
      <c r="B2627" t="s">
        <v>106</v>
      </c>
      <c r="C2627" t="s">
        <v>56</v>
      </c>
      <c r="D2627" t="s">
        <v>2410</v>
      </c>
      <c r="E2627">
        <v>24</v>
      </c>
      <c r="F2627" t="str">
        <f>VLOOKUP(E2627,[1]LOJA!$A:$B,2,0)</f>
        <v>LUZIÂNIA</v>
      </c>
      <c r="G2627" t="s">
        <v>19</v>
      </c>
      <c r="H2627" t="s">
        <v>19</v>
      </c>
      <c r="I2627" s="1">
        <v>46045</v>
      </c>
      <c r="J2627" s="1">
        <v>46045</v>
      </c>
      <c r="K2627" s="1">
        <v>46045</v>
      </c>
      <c r="L2627">
        <v>34</v>
      </c>
      <c r="M2627">
        <v>0.38</v>
      </c>
      <c r="N2627">
        <v>0.38</v>
      </c>
      <c r="O2627">
        <v>0</v>
      </c>
      <c r="P2627">
        <v>0</v>
      </c>
      <c r="Q2627" t="s">
        <v>108</v>
      </c>
    </row>
    <row r="2628" spans="1:17">
      <c r="A2628" t="s">
        <v>93</v>
      </c>
      <c r="B2628" t="s">
        <v>106</v>
      </c>
      <c r="C2628" t="s">
        <v>56</v>
      </c>
      <c r="D2628" t="s">
        <v>2411</v>
      </c>
      <c r="E2628">
        <v>24</v>
      </c>
      <c r="F2628" t="str">
        <f>VLOOKUP(E2628,[1]LOJA!$A:$B,2,0)</f>
        <v>LUZIÂNIA</v>
      </c>
      <c r="G2628" t="s">
        <v>19</v>
      </c>
      <c r="H2628" t="s">
        <v>19</v>
      </c>
      <c r="I2628" s="1">
        <v>46045</v>
      </c>
      <c r="J2628" s="1">
        <v>46045</v>
      </c>
      <c r="K2628" s="1">
        <v>46045</v>
      </c>
      <c r="L2628">
        <v>34</v>
      </c>
      <c r="M2628">
        <v>0.16</v>
      </c>
      <c r="N2628">
        <v>0.16</v>
      </c>
      <c r="O2628">
        <v>0</v>
      </c>
      <c r="P2628">
        <v>0</v>
      </c>
      <c r="Q2628" t="s">
        <v>108</v>
      </c>
    </row>
    <row r="2629" spans="1:17">
      <c r="A2629" t="s">
        <v>93</v>
      </c>
      <c r="B2629" t="s">
        <v>106</v>
      </c>
      <c r="C2629" t="s">
        <v>56</v>
      </c>
      <c r="D2629" t="s">
        <v>2412</v>
      </c>
      <c r="E2629">
        <v>24</v>
      </c>
      <c r="F2629" t="str">
        <f>VLOOKUP(E2629,[1]LOJA!$A:$B,2,0)</f>
        <v>LUZIÂNIA</v>
      </c>
      <c r="G2629" t="s">
        <v>19</v>
      </c>
      <c r="H2629" t="s">
        <v>19</v>
      </c>
      <c r="I2629" s="1">
        <v>46045</v>
      </c>
      <c r="J2629" s="1">
        <v>46045</v>
      </c>
      <c r="K2629" s="1">
        <v>46045</v>
      </c>
      <c r="L2629">
        <v>34</v>
      </c>
      <c r="M2629">
        <v>1.97</v>
      </c>
      <c r="N2629">
        <v>1.97</v>
      </c>
      <c r="O2629">
        <v>0</v>
      </c>
      <c r="P2629">
        <v>0</v>
      </c>
      <c r="Q2629" t="s">
        <v>108</v>
      </c>
    </row>
    <row r="2630" spans="1:17">
      <c r="A2630" t="s">
        <v>93</v>
      </c>
      <c r="B2630" t="s">
        <v>106</v>
      </c>
      <c r="C2630" t="s">
        <v>56</v>
      </c>
      <c r="D2630" t="s">
        <v>2413</v>
      </c>
      <c r="E2630">
        <v>24</v>
      </c>
      <c r="F2630" t="str">
        <f>VLOOKUP(E2630,[1]LOJA!$A:$B,2,0)</f>
        <v>LUZIÂNIA</v>
      </c>
      <c r="G2630" t="s">
        <v>19</v>
      </c>
      <c r="H2630" t="s">
        <v>19</v>
      </c>
      <c r="I2630" s="1">
        <v>46045</v>
      </c>
      <c r="J2630" s="1">
        <v>46045</v>
      </c>
      <c r="K2630" s="1">
        <v>46045</v>
      </c>
      <c r="L2630">
        <v>34</v>
      </c>
      <c r="M2630">
        <v>0.47</v>
      </c>
      <c r="N2630">
        <v>0.47</v>
      </c>
      <c r="O2630">
        <v>0</v>
      </c>
      <c r="P2630">
        <v>0</v>
      </c>
      <c r="Q2630" t="s">
        <v>108</v>
      </c>
    </row>
    <row r="2631" spans="1:17">
      <c r="A2631" t="s">
        <v>93</v>
      </c>
      <c r="B2631" t="s">
        <v>106</v>
      </c>
      <c r="C2631" t="s">
        <v>56</v>
      </c>
      <c r="D2631" t="s">
        <v>2414</v>
      </c>
      <c r="E2631">
        <v>24</v>
      </c>
      <c r="F2631" t="str">
        <f>VLOOKUP(E2631,[1]LOJA!$A:$B,2,0)</f>
        <v>LUZIÂNIA</v>
      </c>
      <c r="G2631" t="s">
        <v>19</v>
      </c>
      <c r="H2631" t="s">
        <v>19</v>
      </c>
      <c r="I2631" s="1">
        <v>46045</v>
      </c>
      <c r="J2631" s="1">
        <v>46045</v>
      </c>
      <c r="K2631" s="1">
        <v>46045</v>
      </c>
      <c r="L2631">
        <v>34</v>
      </c>
      <c r="M2631">
        <v>1.76</v>
      </c>
      <c r="N2631">
        <v>1.76</v>
      </c>
      <c r="O2631">
        <v>0</v>
      </c>
      <c r="P2631">
        <v>0</v>
      </c>
      <c r="Q2631" t="s">
        <v>108</v>
      </c>
    </row>
    <row r="2632" spans="1:17">
      <c r="A2632" t="s">
        <v>93</v>
      </c>
      <c r="B2632" t="s">
        <v>106</v>
      </c>
      <c r="C2632" t="s">
        <v>56</v>
      </c>
      <c r="D2632" t="s">
        <v>2415</v>
      </c>
      <c r="E2632">
        <v>24</v>
      </c>
      <c r="F2632" t="str">
        <f>VLOOKUP(E2632,[1]LOJA!$A:$B,2,0)</f>
        <v>LUZIÂNIA</v>
      </c>
      <c r="G2632" t="s">
        <v>19</v>
      </c>
      <c r="H2632" t="s">
        <v>19</v>
      </c>
      <c r="I2632" s="1">
        <v>46045</v>
      </c>
      <c r="J2632" s="1">
        <v>46045</v>
      </c>
      <c r="K2632" s="1">
        <v>46045</v>
      </c>
      <c r="L2632">
        <v>34</v>
      </c>
      <c r="M2632">
        <v>0.05</v>
      </c>
      <c r="N2632">
        <v>0.05</v>
      </c>
      <c r="O2632">
        <v>0</v>
      </c>
      <c r="P2632">
        <v>0</v>
      </c>
      <c r="Q2632" t="s">
        <v>108</v>
      </c>
    </row>
    <row r="2633" spans="1:17">
      <c r="A2633" t="s">
        <v>93</v>
      </c>
      <c r="B2633" t="s">
        <v>106</v>
      </c>
      <c r="C2633" t="s">
        <v>56</v>
      </c>
      <c r="D2633" t="s">
        <v>2416</v>
      </c>
      <c r="E2633">
        <v>24</v>
      </c>
      <c r="F2633" t="str">
        <f>VLOOKUP(E2633,[1]LOJA!$A:$B,2,0)</f>
        <v>LUZIÂNIA</v>
      </c>
      <c r="G2633" t="s">
        <v>19</v>
      </c>
      <c r="H2633" t="s">
        <v>19</v>
      </c>
      <c r="I2633" s="1">
        <v>46045</v>
      </c>
      <c r="J2633" s="1">
        <v>46045</v>
      </c>
      <c r="K2633" s="1">
        <v>46045</v>
      </c>
      <c r="L2633">
        <v>34</v>
      </c>
      <c r="M2633">
        <v>1.1100000000000001</v>
      </c>
      <c r="N2633">
        <v>1.1100000000000001</v>
      </c>
      <c r="O2633">
        <v>0</v>
      </c>
      <c r="P2633">
        <v>0</v>
      </c>
      <c r="Q2633" t="s">
        <v>108</v>
      </c>
    </row>
    <row r="2634" spans="1:17">
      <c r="A2634" t="s">
        <v>93</v>
      </c>
      <c r="B2634" t="s">
        <v>106</v>
      </c>
      <c r="C2634" t="s">
        <v>56</v>
      </c>
      <c r="D2634" t="s">
        <v>2417</v>
      </c>
      <c r="E2634">
        <v>24</v>
      </c>
      <c r="F2634" t="str">
        <f>VLOOKUP(E2634,[1]LOJA!$A:$B,2,0)</f>
        <v>LUZIÂNIA</v>
      </c>
      <c r="G2634" t="s">
        <v>19</v>
      </c>
      <c r="H2634" t="s">
        <v>19</v>
      </c>
      <c r="I2634" s="1">
        <v>46045</v>
      </c>
      <c r="J2634" s="1">
        <v>46045</v>
      </c>
      <c r="K2634" s="1">
        <v>46045</v>
      </c>
      <c r="L2634">
        <v>34</v>
      </c>
      <c r="M2634">
        <v>0.6</v>
      </c>
      <c r="N2634">
        <v>0.6</v>
      </c>
      <c r="O2634">
        <v>0</v>
      </c>
      <c r="P2634">
        <v>0</v>
      </c>
      <c r="Q2634" t="s">
        <v>108</v>
      </c>
    </row>
    <row r="2635" spans="1:17">
      <c r="A2635" t="s">
        <v>93</v>
      </c>
      <c r="B2635" t="s">
        <v>106</v>
      </c>
      <c r="C2635" t="s">
        <v>56</v>
      </c>
      <c r="D2635" t="s">
        <v>2418</v>
      </c>
      <c r="E2635">
        <v>24</v>
      </c>
      <c r="F2635" t="str">
        <f>VLOOKUP(E2635,[1]LOJA!$A:$B,2,0)</f>
        <v>LUZIÂNIA</v>
      </c>
      <c r="G2635" t="s">
        <v>19</v>
      </c>
      <c r="H2635" t="s">
        <v>19</v>
      </c>
      <c r="I2635" s="1">
        <v>46045</v>
      </c>
      <c r="J2635" s="1">
        <v>46045</v>
      </c>
      <c r="K2635" s="1">
        <v>46045</v>
      </c>
      <c r="L2635">
        <v>34</v>
      </c>
      <c r="M2635">
        <v>0.57999999999999996</v>
      </c>
      <c r="N2635">
        <v>0.57999999999999996</v>
      </c>
      <c r="O2635">
        <v>0</v>
      </c>
      <c r="P2635">
        <v>0</v>
      </c>
      <c r="Q2635" t="s">
        <v>108</v>
      </c>
    </row>
    <row r="2636" spans="1:17">
      <c r="A2636" t="s">
        <v>93</v>
      </c>
      <c r="B2636" t="s">
        <v>106</v>
      </c>
      <c r="C2636" t="s">
        <v>56</v>
      </c>
      <c r="D2636" t="s">
        <v>2419</v>
      </c>
      <c r="E2636">
        <v>24</v>
      </c>
      <c r="F2636" t="str">
        <f>VLOOKUP(E2636,[1]LOJA!$A:$B,2,0)</f>
        <v>LUZIÂNIA</v>
      </c>
      <c r="G2636" t="s">
        <v>19</v>
      </c>
      <c r="H2636" t="s">
        <v>19</v>
      </c>
      <c r="I2636" s="1">
        <v>46045</v>
      </c>
      <c r="J2636" s="1">
        <v>46045</v>
      </c>
      <c r="K2636" s="1">
        <v>46045</v>
      </c>
      <c r="L2636">
        <v>34</v>
      </c>
      <c r="M2636">
        <v>0.15</v>
      </c>
      <c r="N2636">
        <v>0.15</v>
      </c>
      <c r="O2636">
        <v>0</v>
      </c>
      <c r="P2636">
        <v>0</v>
      </c>
      <c r="Q2636" t="s">
        <v>108</v>
      </c>
    </row>
    <row r="2637" spans="1:17">
      <c r="A2637" t="s">
        <v>93</v>
      </c>
      <c r="B2637" t="s">
        <v>106</v>
      </c>
      <c r="C2637" t="s">
        <v>56</v>
      </c>
      <c r="D2637" t="s">
        <v>2420</v>
      </c>
      <c r="E2637">
        <v>24</v>
      </c>
      <c r="F2637" t="str">
        <f>VLOOKUP(E2637,[1]LOJA!$A:$B,2,0)</f>
        <v>LUZIÂNIA</v>
      </c>
      <c r="G2637" t="s">
        <v>19</v>
      </c>
      <c r="H2637" t="s">
        <v>19</v>
      </c>
      <c r="I2637" s="1">
        <v>46045</v>
      </c>
      <c r="J2637" s="1">
        <v>46045</v>
      </c>
      <c r="K2637" s="1">
        <v>46045</v>
      </c>
      <c r="L2637">
        <v>34</v>
      </c>
      <c r="M2637">
        <v>0.94</v>
      </c>
      <c r="N2637">
        <v>0.94</v>
      </c>
      <c r="O2637">
        <v>0</v>
      </c>
      <c r="P2637">
        <v>0</v>
      </c>
      <c r="Q2637" t="s">
        <v>108</v>
      </c>
    </row>
    <row r="2638" spans="1:17">
      <c r="A2638" t="s">
        <v>93</v>
      </c>
      <c r="B2638" t="s">
        <v>106</v>
      </c>
      <c r="C2638" t="s">
        <v>56</v>
      </c>
      <c r="D2638" t="s">
        <v>2421</v>
      </c>
      <c r="E2638">
        <v>24</v>
      </c>
      <c r="F2638" t="str">
        <f>VLOOKUP(E2638,[1]LOJA!$A:$B,2,0)</f>
        <v>LUZIÂNIA</v>
      </c>
      <c r="G2638" t="s">
        <v>19</v>
      </c>
      <c r="H2638" t="s">
        <v>19</v>
      </c>
      <c r="I2638" s="1">
        <v>46045</v>
      </c>
      <c r="J2638" s="1">
        <v>46045</v>
      </c>
      <c r="K2638" s="1">
        <v>46045</v>
      </c>
      <c r="L2638">
        <v>34</v>
      </c>
      <c r="M2638">
        <v>0.1</v>
      </c>
      <c r="N2638">
        <v>0.1</v>
      </c>
      <c r="O2638">
        <v>0</v>
      </c>
      <c r="P2638">
        <v>0</v>
      </c>
      <c r="Q2638" t="s">
        <v>108</v>
      </c>
    </row>
    <row r="2639" spans="1:17">
      <c r="A2639" t="s">
        <v>93</v>
      </c>
      <c r="B2639" t="s">
        <v>106</v>
      </c>
      <c r="C2639" t="s">
        <v>56</v>
      </c>
      <c r="D2639" t="s">
        <v>2422</v>
      </c>
      <c r="E2639">
        <v>24</v>
      </c>
      <c r="F2639" t="str">
        <f>VLOOKUP(E2639,[1]LOJA!$A:$B,2,0)</f>
        <v>LUZIÂNIA</v>
      </c>
      <c r="G2639" t="s">
        <v>19</v>
      </c>
      <c r="H2639" t="s">
        <v>19</v>
      </c>
      <c r="I2639" s="1">
        <v>46049</v>
      </c>
      <c r="J2639" s="1">
        <v>46049</v>
      </c>
      <c r="K2639" s="1">
        <v>46049</v>
      </c>
      <c r="L2639">
        <v>34</v>
      </c>
      <c r="M2639">
        <v>2.74</v>
      </c>
      <c r="N2639">
        <v>2.74</v>
      </c>
      <c r="O2639">
        <v>0</v>
      </c>
      <c r="P2639">
        <v>0</v>
      </c>
      <c r="Q2639" t="s">
        <v>108</v>
      </c>
    </row>
    <row r="2640" spans="1:17">
      <c r="A2640" t="s">
        <v>93</v>
      </c>
      <c r="B2640" t="s">
        <v>106</v>
      </c>
      <c r="C2640" t="s">
        <v>56</v>
      </c>
      <c r="D2640" t="s">
        <v>2423</v>
      </c>
      <c r="E2640">
        <v>24</v>
      </c>
      <c r="F2640" t="str">
        <f>VLOOKUP(E2640,[1]LOJA!$A:$B,2,0)</f>
        <v>LUZIÂNIA</v>
      </c>
      <c r="G2640" t="s">
        <v>19</v>
      </c>
      <c r="H2640" t="s">
        <v>19</v>
      </c>
      <c r="I2640" s="1">
        <v>46049</v>
      </c>
      <c r="J2640" s="1">
        <v>46049</v>
      </c>
      <c r="K2640" s="1">
        <v>46049</v>
      </c>
      <c r="L2640">
        <v>34</v>
      </c>
      <c r="M2640">
        <v>2.31</v>
      </c>
      <c r="N2640">
        <v>2.31</v>
      </c>
      <c r="O2640">
        <v>0</v>
      </c>
      <c r="P2640">
        <v>0</v>
      </c>
      <c r="Q2640" t="s">
        <v>108</v>
      </c>
    </row>
    <row r="2641" spans="1:17">
      <c r="A2641" t="s">
        <v>93</v>
      </c>
      <c r="B2641" t="s">
        <v>106</v>
      </c>
      <c r="C2641" t="s">
        <v>56</v>
      </c>
      <c r="D2641" t="s">
        <v>2424</v>
      </c>
      <c r="E2641">
        <v>24</v>
      </c>
      <c r="F2641" t="str">
        <f>VLOOKUP(E2641,[1]LOJA!$A:$B,2,0)</f>
        <v>LUZIÂNIA</v>
      </c>
      <c r="G2641" t="s">
        <v>19</v>
      </c>
      <c r="H2641" t="s">
        <v>19</v>
      </c>
      <c r="I2641" s="1">
        <v>46049</v>
      </c>
      <c r="J2641" s="1">
        <v>46049</v>
      </c>
      <c r="K2641" s="1">
        <v>46049</v>
      </c>
      <c r="L2641">
        <v>34</v>
      </c>
      <c r="M2641">
        <v>13.14</v>
      </c>
      <c r="N2641">
        <v>13.14</v>
      </c>
      <c r="O2641">
        <v>0</v>
      </c>
      <c r="P2641">
        <v>0</v>
      </c>
      <c r="Q2641" t="s">
        <v>108</v>
      </c>
    </row>
    <row r="2642" spans="1:17">
      <c r="A2642" t="s">
        <v>93</v>
      </c>
      <c r="B2642" t="s">
        <v>106</v>
      </c>
      <c r="C2642" t="s">
        <v>56</v>
      </c>
      <c r="D2642" t="s">
        <v>2425</v>
      </c>
      <c r="E2642">
        <v>24</v>
      </c>
      <c r="F2642" t="str">
        <f>VLOOKUP(E2642,[1]LOJA!$A:$B,2,0)</f>
        <v>LUZIÂNIA</v>
      </c>
      <c r="G2642" t="s">
        <v>19</v>
      </c>
      <c r="H2642" t="s">
        <v>19</v>
      </c>
      <c r="I2642" s="1">
        <v>46049</v>
      </c>
      <c r="J2642" s="1">
        <v>46049</v>
      </c>
      <c r="K2642" s="1">
        <v>46049</v>
      </c>
      <c r="L2642">
        <v>34</v>
      </c>
      <c r="M2642">
        <v>3.68</v>
      </c>
      <c r="N2642">
        <v>3.68</v>
      </c>
      <c r="O2642">
        <v>0</v>
      </c>
      <c r="P2642">
        <v>0</v>
      </c>
      <c r="Q2642" t="s">
        <v>108</v>
      </c>
    </row>
    <row r="2643" spans="1:17">
      <c r="A2643" t="s">
        <v>93</v>
      </c>
      <c r="B2643" t="s">
        <v>106</v>
      </c>
      <c r="C2643" t="s">
        <v>56</v>
      </c>
      <c r="D2643" t="s">
        <v>2426</v>
      </c>
      <c r="E2643">
        <v>24</v>
      </c>
      <c r="F2643" t="str">
        <f>VLOOKUP(E2643,[1]LOJA!$A:$B,2,0)</f>
        <v>LUZIÂNIA</v>
      </c>
      <c r="G2643" t="s">
        <v>19</v>
      </c>
      <c r="H2643" t="s">
        <v>19</v>
      </c>
      <c r="I2643" s="1">
        <v>46049</v>
      </c>
      <c r="J2643" s="1">
        <v>46049</v>
      </c>
      <c r="K2643" s="1">
        <v>46049</v>
      </c>
      <c r="L2643">
        <v>34</v>
      </c>
      <c r="M2643">
        <v>3.5</v>
      </c>
      <c r="N2643">
        <v>3.5</v>
      </c>
      <c r="O2643">
        <v>0</v>
      </c>
      <c r="P2643">
        <v>0</v>
      </c>
      <c r="Q2643" t="s">
        <v>108</v>
      </c>
    </row>
    <row r="2644" spans="1:17">
      <c r="A2644" t="s">
        <v>93</v>
      </c>
      <c r="B2644" t="s">
        <v>106</v>
      </c>
      <c r="C2644" t="s">
        <v>56</v>
      </c>
      <c r="D2644" t="s">
        <v>2427</v>
      </c>
      <c r="E2644">
        <v>24</v>
      </c>
      <c r="F2644" t="str">
        <f>VLOOKUP(E2644,[1]LOJA!$A:$B,2,0)</f>
        <v>LUZIÂNIA</v>
      </c>
      <c r="G2644" t="s">
        <v>19</v>
      </c>
      <c r="H2644" t="s">
        <v>19</v>
      </c>
      <c r="I2644" s="1">
        <v>46049</v>
      </c>
      <c r="J2644" s="1">
        <v>46049</v>
      </c>
      <c r="K2644" s="1">
        <v>46049</v>
      </c>
      <c r="L2644">
        <v>34</v>
      </c>
      <c r="M2644">
        <v>1.68</v>
      </c>
      <c r="N2644">
        <v>1.68</v>
      </c>
      <c r="O2644">
        <v>0</v>
      </c>
      <c r="P2644">
        <v>0</v>
      </c>
      <c r="Q2644" t="s">
        <v>108</v>
      </c>
    </row>
    <row r="2645" spans="1:17">
      <c r="A2645" t="s">
        <v>93</v>
      </c>
      <c r="B2645" t="s">
        <v>106</v>
      </c>
      <c r="C2645" t="s">
        <v>56</v>
      </c>
      <c r="D2645" t="s">
        <v>2428</v>
      </c>
      <c r="E2645">
        <v>24</v>
      </c>
      <c r="F2645" t="str">
        <f>VLOOKUP(E2645,[1]LOJA!$A:$B,2,0)</f>
        <v>LUZIÂNIA</v>
      </c>
      <c r="G2645" t="s">
        <v>19</v>
      </c>
      <c r="H2645" t="s">
        <v>19</v>
      </c>
      <c r="I2645" s="1">
        <v>46049</v>
      </c>
      <c r="J2645" s="1">
        <v>46049</v>
      </c>
      <c r="K2645" s="1">
        <v>46049</v>
      </c>
      <c r="L2645">
        <v>34</v>
      </c>
      <c r="M2645">
        <v>3.85</v>
      </c>
      <c r="N2645">
        <v>3.85</v>
      </c>
      <c r="O2645">
        <v>0</v>
      </c>
      <c r="P2645">
        <v>0</v>
      </c>
      <c r="Q2645" t="s">
        <v>108</v>
      </c>
    </row>
    <row r="2646" spans="1:17">
      <c r="A2646" t="s">
        <v>93</v>
      </c>
      <c r="B2646" t="s">
        <v>106</v>
      </c>
      <c r="C2646" t="s">
        <v>56</v>
      </c>
      <c r="D2646" t="s">
        <v>2429</v>
      </c>
      <c r="E2646">
        <v>24</v>
      </c>
      <c r="F2646" t="str">
        <f>VLOOKUP(E2646,[1]LOJA!$A:$B,2,0)</f>
        <v>LUZIÂNIA</v>
      </c>
      <c r="G2646" t="s">
        <v>19</v>
      </c>
      <c r="H2646" t="s">
        <v>19</v>
      </c>
      <c r="I2646" s="1">
        <v>46049</v>
      </c>
      <c r="J2646" s="1">
        <v>46049</v>
      </c>
      <c r="K2646" s="1">
        <v>46049</v>
      </c>
      <c r="L2646">
        <v>34</v>
      </c>
      <c r="M2646">
        <v>0.79</v>
      </c>
      <c r="N2646">
        <v>0.79</v>
      </c>
      <c r="O2646">
        <v>0</v>
      </c>
      <c r="P2646">
        <v>0</v>
      </c>
      <c r="Q2646" t="s">
        <v>108</v>
      </c>
    </row>
    <row r="2647" spans="1:17">
      <c r="A2647" t="s">
        <v>93</v>
      </c>
      <c r="B2647" t="s">
        <v>106</v>
      </c>
      <c r="C2647" t="s">
        <v>56</v>
      </c>
      <c r="D2647" t="s">
        <v>2430</v>
      </c>
      <c r="E2647">
        <v>24</v>
      </c>
      <c r="F2647" t="str">
        <f>VLOOKUP(E2647,[1]LOJA!$A:$B,2,0)</f>
        <v>LUZIÂNIA</v>
      </c>
      <c r="G2647" t="s">
        <v>19</v>
      </c>
      <c r="H2647" t="s">
        <v>19</v>
      </c>
      <c r="I2647" s="1">
        <v>46049</v>
      </c>
      <c r="J2647" s="1">
        <v>46049</v>
      </c>
      <c r="K2647" s="1">
        <v>46049</v>
      </c>
      <c r="L2647">
        <v>34</v>
      </c>
      <c r="M2647">
        <v>0.53</v>
      </c>
      <c r="N2647">
        <v>0.53</v>
      </c>
      <c r="O2647">
        <v>0</v>
      </c>
      <c r="P2647">
        <v>0</v>
      </c>
      <c r="Q2647" t="s">
        <v>108</v>
      </c>
    </row>
    <row r="2648" spans="1:17">
      <c r="A2648" t="s">
        <v>93</v>
      </c>
      <c r="B2648" t="s">
        <v>106</v>
      </c>
      <c r="C2648" t="s">
        <v>56</v>
      </c>
      <c r="D2648" t="s">
        <v>2431</v>
      </c>
      <c r="E2648">
        <v>24</v>
      </c>
      <c r="F2648" t="str">
        <f>VLOOKUP(E2648,[1]LOJA!$A:$B,2,0)</f>
        <v>LUZIÂNIA</v>
      </c>
      <c r="G2648" t="s">
        <v>19</v>
      </c>
      <c r="H2648" t="s">
        <v>19</v>
      </c>
      <c r="I2648" s="1">
        <v>46049</v>
      </c>
      <c r="J2648" s="1">
        <v>46049</v>
      </c>
      <c r="K2648" s="1">
        <v>46049</v>
      </c>
      <c r="L2648">
        <v>34</v>
      </c>
      <c r="M2648">
        <v>0.49</v>
      </c>
      <c r="N2648">
        <v>0.49</v>
      </c>
      <c r="O2648">
        <v>0</v>
      </c>
      <c r="P2648">
        <v>0</v>
      </c>
      <c r="Q2648" t="s">
        <v>108</v>
      </c>
    </row>
    <row r="2649" spans="1:17">
      <c r="A2649" t="s">
        <v>93</v>
      </c>
      <c r="B2649" t="s">
        <v>106</v>
      </c>
      <c r="C2649" t="s">
        <v>56</v>
      </c>
      <c r="D2649" t="s">
        <v>2432</v>
      </c>
      <c r="E2649">
        <v>24</v>
      </c>
      <c r="F2649" t="str">
        <f>VLOOKUP(E2649,[1]LOJA!$A:$B,2,0)</f>
        <v>LUZIÂNIA</v>
      </c>
      <c r="G2649" t="s">
        <v>19</v>
      </c>
      <c r="H2649" t="s">
        <v>19</v>
      </c>
      <c r="I2649" s="1">
        <v>46049</v>
      </c>
      <c r="J2649" s="1">
        <v>46049</v>
      </c>
      <c r="K2649" s="1">
        <v>46049</v>
      </c>
      <c r="L2649">
        <v>34</v>
      </c>
      <c r="M2649">
        <v>0.84</v>
      </c>
      <c r="N2649">
        <v>0.84</v>
      </c>
      <c r="O2649">
        <v>0</v>
      </c>
      <c r="P2649">
        <v>0</v>
      </c>
      <c r="Q2649" t="s">
        <v>108</v>
      </c>
    </row>
    <row r="2650" spans="1:17">
      <c r="A2650" t="s">
        <v>93</v>
      </c>
      <c r="B2650" t="s">
        <v>106</v>
      </c>
      <c r="C2650" t="s">
        <v>56</v>
      </c>
      <c r="D2650" t="s">
        <v>2433</v>
      </c>
      <c r="E2650">
        <v>24</v>
      </c>
      <c r="F2650" t="str">
        <f>VLOOKUP(E2650,[1]LOJA!$A:$B,2,0)</f>
        <v>LUZIÂNIA</v>
      </c>
      <c r="G2650" t="s">
        <v>19</v>
      </c>
      <c r="H2650" t="s">
        <v>19</v>
      </c>
      <c r="I2650" s="1">
        <v>46049</v>
      </c>
      <c r="J2650" s="1">
        <v>46049</v>
      </c>
      <c r="K2650" s="1">
        <v>46049</v>
      </c>
      <c r="L2650">
        <v>34</v>
      </c>
      <c r="M2650">
        <v>1.47</v>
      </c>
      <c r="N2650">
        <v>1.47</v>
      </c>
      <c r="O2650">
        <v>0</v>
      </c>
      <c r="P2650">
        <v>0</v>
      </c>
      <c r="Q2650" t="s">
        <v>108</v>
      </c>
    </row>
    <row r="2651" spans="1:17">
      <c r="A2651" t="s">
        <v>93</v>
      </c>
      <c r="B2651" t="s">
        <v>106</v>
      </c>
      <c r="C2651" t="s">
        <v>56</v>
      </c>
      <c r="D2651" t="s">
        <v>2434</v>
      </c>
      <c r="E2651">
        <v>24</v>
      </c>
      <c r="F2651" t="str">
        <f>VLOOKUP(E2651,[1]LOJA!$A:$B,2,0)</f>
        <v>LUZIÂNIA</v>
      </c>
      <c r="G2651" t="s">
        <v>19</v>
      </c>
      <c r="H2651" t="s">
        <v>19</v>
      </c>
      <c r="I2651" s="1">
        <v>46049</v>
      </c>
      <c r="J2651" s="1">
        <v>46049</v>
      </c>
      <c r="K2651" s="1">
        <v>46049</v>
      </c>
      <c r="L2651">
        <v>34</v>
      </c>
      <c r="M2651">
        <v>0.67</v>
      </c>
      <c r="N2651">
        <v>0.67</v>
      </c>
      <c r="O2651">
        <v>0</v>
      </c>
      <c r="P2651">
        <v>0</v>
      </c>
      <c r="Q2651" t="s">
        <v>108</v>
      </c>
    </row>
    <row r="2652" spans="1:17">
      <c r="A2652" t="s">
        <v>93</v>
      </c>
      <c r="B2652" t="s">
        <v>106</v>
      </c>
      <c r="C2652" t="s">
        <v>56</v>
      </c>
      <c r="D2652" t="s">
        <v>2435</v>
      </c>
      <c r="E2652">
        <v>24</v>
      </c>
      <c r="F2652" t="str">
        <f>VLOOKUP(E2652,[1]LOJA!$A:$B,2,0)</f>
        <v>LUZIÂNIA</v>
      </c>
      <c r="G2652" t="s">
        <v>19</v>
      </c>
      <c r="H2652" t="s">
        <v>19</v>
      </c>
      <c r="I2652" s="1">
        <v>46049</v>
      </c>
      <c r="J2652" s="1">
        <v>46049</v>
      </c>
      <c r="K2652" s="1">
        <v>46049</v>
      </c>
      <c r="L2652">
        <v>34</v>
      </c>
      <c r="M2652">
        <v>2.0099999999999998</v>
      </c>
      <c r="N2652">
        <v>2.0099999999999998</v>
      </c>
      <c r="O2652">
        <v>0</v>
      </c>
      <c r="P2652">
        <v>0</v>
      </c>
      <c r="Q2652" t="s">
        <v>108</v>
      </c>
    </row>
    <row r="2653" spans="1:17">
      <c r="A2653" t="s">
        <v>93</v>
      </c>
      <c r="B2653" t="s">
        <v>106</v>
      </c>
      <c r="C2653" t="s">
        <v>56</v>
      </c>
      <c r="D2653" t="s">
        <v>2436</v>
      </c>
      <c r="E2653">
        <v>24</v>
      </c>
      <c r="F2653" t="str">
        <f>VLOOKUP(E2653,[1]LOJA!$A:$B,2,0)</f>
        <v>LUZIÂNIA</v>
      </c>
      <c r="G2653" t="s">
        <v>19</v>
      </c>
      <c r="H2653" t="s">
        <v>19</v>
      </c>
      <c r="I2653" s="1">
        <v>46049</v>
      </c>
      <c r="J2653" s="1">
        <v>46049</v>
      </c>
      <c r="K2653" s="1">
        <v>46049</v>
      </c>
      <c r="L2653">
        <v>34</v>
      </c>
      <c r="M2653">
        <v>0.87</v>
      </c>
      <c r="N2653">
        <v>0.87</v>
      </c>
      <c r="O2653">
        <v>0</v>
      </c>
      <c r="P2653">
        <v>0</v>
      </c>
      <c r="Q2653" t="s">
        <v>108</v>
      </c>
    </row>
    <row r="2654" spans="1:17">
      <c r="A2654" t="s">
        <v>93</v>
      </c>
      <c r="B2654" t="s">
        <v>106</v>
      </c>
      <c r="C2654" t="s">
        <v>56</v>
      </c>
      <c r="D2654" t="s">
        <v>2437</v>
      </c>
      <c r="E2654">
        <v>24</v>
      </c>
      <c r="F2654" t="str">
        <f>VLOOKUP(E2654,[1]LOJA!$A:$B,2,0)</f>
        <v>LUZIÂNIA</v>
      </c>
      <c r="G2654" t="s">
        <v>19</v>
      </c>
      <c r="H2654" t="s">
        <v>19</v>
      </c>
      <c r="I2654" s="1">
        <v>46049</v>
      </c>
      <c r="J2654" s="1">
        <v>46049</v>
      </c>
      <c r="K2654" s="1">
        <v>46049</v>
      </c>
      <c r="L2654">
        <v>34</v>
      </c>
      <c r="M2654">
        <v>0.23</v>
      </c>
      <c r="N2654">
        <v>0.23</v>
      </c>
      <c r="O2654">
        <v>0</v>
      </c>
      <c r="P2654">
        <v>0</v>
      </c>
      <c r="Q2654" t="s">
        <v>108</v>
      </c>
    </row>
    <row r="2655" spans="1:17">
      <c r="A2655" t="s">
        <v>93</v>
      </c>
      <c r="B2655" t="s">
        <v>106</v>
      </c>
      <c r="C2655" t="s">
        <v>56</v>
      </c>
      <c r="D2655" t="s">
        <v>2438</v>
      </c>
      <c r="E2655">
        <v>24</v>
      </c>
      <c r="F2655" t="str">
        <f>VLOOKUP(E2655,[1]LOJA!$A:$B,2,0)</f>
        <v>LUZIÂNIA</v>
      </c>
      <c r="G2655" t="s">
        <v>19</v>
      </c>
      <c r="H2655" t="s">
        <v>19</v>
      </c>
      <c r="I2655" s="1">
        <v>46049</v>
      </c>
      <c r="J2655" s="1">
        <v>46049</v>
      </c>
      <c r="K2655" s="1">
        <v>46049</v>
      </c>
      <c r="L2655">
        <v>34</v>
      </c>
      <c r="M2655">
        <v>0.19</v>
      </c>
      <c r="N2655">
        <v>0.19</v>
      </c>
      <c r="O2655">
        <v>0</v>
      </c>
      <c r="P2655">
        <v>0</v>
      </c>
      <c r="Q2655" t="s">
        <v>108</v>
      </c>
    </row>
    <row r="2656" spans="1:17">
      <c r="A2656" t="s">
        <v>93</v>
      </c>
      <c r="B2656" t="s">
        <v>106</v>
      </c>
      <c r="C2656" t="s">
        <v>56</v>
      </c>
      <c r="D2656" t="s">
        <v>2439</v>
      </c>
      <c r="E2656">
        <v>24</v>
      </c>
      <c r="F2656" t="str">
        <f>VLOOKUP(E2656,[1]LOJA!$A:$B,2,0)</f>
        <v>LUZIÂNIA</v>
      </c>
      <c r="G2656" t="s">
        <v>19</v>
      </c>
      <c r="H2656" t="s">
        <v>19</v>
      </c>
      <c r="I2656" s="1">
        <v>46049</v>
      </c>
      <c r="J2656" s="1">
        <v>46049</v>
      </c>
      <c r="K2656" s="1">
        <v>46049</v>
      </c>
      <c r="L2656">
        <v>34</v>
      </c>
      <c r="M2656">
        <v>0.03</v>
      </c>
      <c r="N2656">
        <v>0.03</v>
      </c>
      <c r="O2656">
        <v>0</v>
      </c>
      <c r="P2656">
        <v>0</v>
      </c>
      <c r="Q2656" t="s">
        <v>108</v>
      </c>
    </row>
    <row r="2657" spans="1:17">
      <c r="A2657" t="s">
        <v>93</v>
      </c>
      <c r="B2657" t="s">
        <v>106</v>
      </c>
      <c r="C2657" t="s">
        <v>56</v>
      </c>
      <c r="D2657" t="s">
        <v>2440</v>
      </c>
      <c r="E2657">
        <v>24</v>
      </c>
      <c r="F2657" t="str">
        <f>VLOOKUP(E2657,[1]LOJA!$A:$B,2,0)</f>
        <v>LUZIÂNIA</v>
      </c>
      <c r="G2657" t="s">
        <v>19</v>
      </c>
      <c r="H2657" t="s">
        <v>19</v>
      </c>
      <c r="I2657" s="1">
        <v>46049</v>
      </c>
      <c r="J2657" s="1">
        <v>46049</v>
      </c>
      <c r="K2657" s="1">
        <v>46049</v>
      </c>
      <c r="L2657">
        <v>34</v>
      </c>
      <c r="M2657">
        <v>1.33</v>
      </c>
      <c r="N2657">
        <v>1.33</v>
      </c>
      <c r="O2657">
        <v>0</v>
      </c>
      <c r="P2657">
        <v>0</v>
      </c>
      <c r="Q2657" t="s">
        <v>108</v>
      </c>
    </row>
    <row r="2658" spans="1:17">
      <c r="A2658" t="s">
        <v>93</v>
      </c>
      <c r="B2658" t="s">
        <v>106</v>
      </c>
      <c r="C2658" t="s">
        <v>56</v>
      </c>
      <c r="D2658" t="s">
        <v>2441</v>
      </c>
      <c r="E2658">
        <v>24</v>
      </c>
      <c r="F2658" t="str">
        <f>VLOOKUP(E2658,[1]LOJA!$A:$B,2,0)</f>
        <v>LUZIÂNIA</v>
      </c>
      <c r="G2658" t="s">
        <v>19</v>
      </c>
      <c r="H2658" t="s">
        <v>19</v>
      </c>
      <c r="I2658" s="1">
        <v>46049</v>
      </c>
      <c r="J2658" s="1">
        <v>46049</v>
      </c>
      <c r="K2658" s="1">
        <v>46049</v>
      </c>
      <c r="L2658">
        <v>34</v>
      </c>
      <c r="M2658">
        <v>0.06</v>
      </c>
      <c r="N2658">
        <v>0.06</v>
      </c>
      <c r="O2658">
        <v>0</v>
      </c>
      <c r="P2658">
        <v>0</v>
      </c>
      <c r="Q2658" t="s">
        <v>108</v>
      </c>
    </row>
    <row r="2659" spans="1:17">
      <c r="A2659" t="s">
        <v>93</v>
      </c>
      <c r="B2659" t="s">
        <v>106</v>
      </c>
      <c r="C2659" t="s">
        <v>56</v>
      </c>
      <c r="D2659" t="s">
        <v>2442</v>
      </c>
      <c r="E2659">
        <v>24</v>
      </c>
      <c r="F2659" t="str">
        <f>VLOOKUP(E2659,[1]LOJA!$A:$B,2,0)</f>
        <v>LUZIÂNIA</v>
      </c>
      <c r="G2659" t="s">
        <v>19</v>
      </c>
      <c r="H2659" t="s">
        <v>19</v>
      </c>
      <c r="I2659" s="1">
        <v>46049</v>
      </c>
      <c r="J2659" s="1">
        <v>46049</v>
      </c>
      <c r="K2659" s="1">
        <v>46049</v>
      </c>
      <c r="L2659">
        <v>34</v>
      </c>
      <c r="M2659">
        <v>0.15</v>
      </c>
      <c r="N2659">
        <v>0.15</v>
      </c>
      <c r="O2659">
        <v>0</v>
      </c>
      <c r="P2659">
        <v>0</v>
      </c>
      <c r="Q2659" t="s">
        <v>108</v>
      </c>
    </row>
    <row r="2660" spans="1:17">
      <c r="A2660" t="s">
        <v>93</v>
      </c>
      <c r="B2660" t="s">
        <v>106</v>
      </c>
      <c r="C2660" t="s">
        <v>56</v>
      </c>
      <c r="D2660" t="s">
        <v>2443</v>
      </c>
      <c r="E2660">
        <v>24</v>
      </c>
      <c r="F2660" t="str">
        <f>VLOOKUP(E2660,[1]LOJA!$A:$B,2,0)</f>
        <v>LUZIÂNIA</v>
      </c>
      <c r="G2660" t="s">
        <v>19</v>
      </c>
      <c r="H2660" t="s">
        <v>19</v>
      </c>
      <c r="I2660" s="1">
        <v>46049</v>
      </c>
      <c r="J2660" s="1">
        <v>46049</v>
      </c>
      <c r="K2660" s="1">
        <v>46049</v>
      </c>
      <c r="L2660">
        <v>34</v>
      </c>
      <c r="M2660">
        <v>1.92</v>
      </c>
      <c r="N2660">
        <v>1.92</v>
      </c>
      <c r="O2660">
        <v>0</v>
      </c>
      <c r="P2660">
        <v>0</v>
      </c>
      <c r="Q2660" t="s">
        <v>108</v>
      </c>
    </row>
    <row r="2661" spans="1:17">
      <c r="A2661" t="s">
        <v>93</v>
      </c>
      <c r="B2661" t="s">
        <v>106</v>
      </c>
      <c r="C2661" t="s">
        <v>56</v>
      </c>
      <c r="D2661" t="s">
        <v>2444</v>
      </c>
      <c r="E2661">
        <v>24</v>
      </c>
      <c r="F2661" t="str">
        <f>VLOOKUP(E2661,[1]LOJA!$A:$B,2,0)</f>
        <v>LUZIÂNIA</v>
      </c>
      <c r="G2661" t="s">
        <v>19</v>
      </c>
      <c r="H2661" t="s">
        <v>19</v>
      </c>
      <c r="I2661" s="1">
        <v>46049</v>
      </c>
      <c r="J2661" s="1">
        <v>46049</v>
      </c>
      <c r="K2661" s="1">
        <v>46049</v>
      </c>
      <c r="L2661">
        <v>34</v>
      </c>
      <c r="M2661">
        <v>2.72</v>
      </c>
      <c r="N2661">
        <v>2.72</v>
      </c>
      <c r="O2661">
        <v>0</v>
      </c>
      <c r="P2661">
        <v>0</v>
      </c>
      <c r="Q2661" t="s">
        <v>108</v>
      </c>
    </row>
    <row r="2662" spans="1:17">
      <c r="A2662" t="s">
        <v>93</v>
      </c>
      <c r="B2662" t="s">
        <v>106</v>
      </c>
      <c r="C2662" t="s">
        <v>56</v>
      </c>
      <c r="D2662" t="s">
        <v>2445</v>
      </c>
      <c r="E2662">
        <v>24</v>
      </c>
      <c r="F2662" t="str">
        <f>VLOOKUP(E2662,[1]LOJA!$A:$B,2,0)</f>
        <v>LUZIÂNIA</v>
      </c>
      <c r="G2662" t="s">
        <v>19</v>
      </c>
      <c r="H2662" t="s">
        <v>19</v>
      </c>
      <c r="I2662" s="1">
        <v>46049</v>
      </c>
      <c r="J2662" s="1">
        <v>46049</v>
      </c>
      <c r="K2662" s="1">
        <v>46049</v>
      </c>
      <c r="L2662">
        <v>34</v>
      </c>
      <c r="M2662">
        <v>1.74</v>
      </c>
      <c r="N2662">
        <v>1.74</v>
      </c>
      <c r="O2662">
        <v>0</v>
      </c>
      <c r="P2662">
        <v>0</v>
      </c>
      <c r="Q2662" t="s">
        <v>108</v>
      </c>
    </row>
    <row r="2663" spans="1:17">
      <c r="A2663" t="s">
        <v>93</v>
      </c>
      <c r="B2663" t="s">
        <v>106</v>
      </c>
      <c r="C2663" t="s">
        <v>56</v>
      </c>
      <c r="D2663" t="s">
        <v>2446</v>
      </c>
      <c r="E2663">
        <v>24</v>
      </c>
      <c r="F2663" t="str">
        <f>VLOOKUP(E2663,[1]LOJA!$A:$B,2,0)</f>
        <v>LUZIÂNIA</v>
      </c>
      <c r="G2663" t="s">
        <v>19</v>
      </c>
      <c r="H2663" t="s">
        <v>19</v>
      </c>
      <c r="I2663" s="1">
        <v>46049</v>
      </c>
      <c r="J2663" s="1">
        <v>46049</v>
      </c>
      <c r="K2663" s="1">
        <v>46049</v>
      </c>
      <c r="L2663">
        <v>34</v>
      </c>
      <c r="M2663">
        <v>0.76</v>
      </c>
      <c r="N2663">
        <v>0.76</v>
      </c>
      <c r="O2663">
        <v>0</v>
      </c>
      <c r="P2663">
        <v>0</v>
      </c>
      <c r="Q2663" t="s">
        <v>108</v>
      </c>
    </row>
    <row r="2664" spans="1:17">
      <c r="A2664" t="s">
        <v>93</v>
      </c>
      <c r="B2664" t="s">
        <v>106</v>
      </c>
      <c r="C2664" t="s">
        <v>56</v>
      </c>
      <c r="D2664" t="s">
        <v>2447</v>
      </c>
      <c r="E2664">
        <v>24</v>
      </c>
      <c r="F2664" t="str">
        <f>VLOOKUP(E2664,[1]LOJA!$A:$B,2,0)</f>
        <v>LUZIÂNIA</v>
      </c>
      <c r="G2664" t="s">
        <v>19</v>
      </c>
      <c r="H2664" t="s">
        <v>19</v>
      </c>
      <c r="I2664" s="1">
        <v>46049</v>
      </c>
      <c r="J2664" s="1">
        <v>46049</v>
      </c>
      <c r="K2664" s="1">
        <v>46049</v>
      </c>
      <c r="L2664">
        <v>34</v>
      </c>
      <c r="M2664">
        <v>0.51</v>
      </c>
      <c r="N2664">
        <v>0.51</v>
      </c>
      <c r="O2664">
        <v>0</v>
      </c>
      <c r="P2664">
        <v>0</v>
      </c>
      <c r="Q2664" t="s">
        <v>108</v>
      </c>
    </row>
    <row r="2665" spans="1:17">
      <c r="A2665" t="s">
        <v>93</v>
      </c>
      <c r="B2665" t="s">
        <v>106</v>
      </c>
      <c r="C2665" t="s">
        <v>56</v>
      </c>
      <c r="D2665" t="s">
        <v>2448</v>
      </c>
      <c r="E2665">
        <v>24</v>
      </c>
      <c r="F2665" t="str">
        <f>VLOOKUP(E2665,[1]LOJA!$A:$B,2,0)</f>
        <v>LUZIÂNIA</v>
      </c>
      <c r="G2665" t="s">
        <v>19</v>
      </c>
      <c r="H2665" t="s">
        <v>19</v>
      </c>
      <c r="I2665" s="1">
        <v>46049</v>
      </c>
      <c r="J2665" s="1">
        <v>46049</v>
      </c>
      <c r="K2665" s="1">
        <v>46049</v>
      </c>
      <c r="L2665">
        <v>34</v>
      </c>
      <c r="M2665">
        <v>0.77</v>
      </c>
      <c r="N2665">
        <v>0.77</v>
      </c>
      <c r="O2665">
        <v>0</v>
      </c>
      <c r="P2665">
        <v>0</v>
      </c>
      <c r="Q2665" t="s">
        <v>108</v>
      </c>
    </row>
    <row r="2666" spans="1:17">
      <c r="A2666" t="s">
        <v>93</v>
      </c>
      <c r="B2666" t="s">
        <v>106</v>
      </c>
      <c r="C2666" t="s">
        <v>56</v>
      </c>
      <c r="D2666" t="s">
        <v>2449</v>
      </c>
      <c r="E2666">
        <v>24</v>
      </c>
      <c r="F2666" t="str">
        <f>VLOOKUP(E2666,[1]LOJA!$A:$B,2,0)</f>
        <v>LUZIÂNIA</v>
      </c>
      <c r="G2666" t="s">
        <v>19</v>
      </c>
      <c r="H2666" t="s">
        <v>19</v>
      </c>
      <c r="I2666" s="1">
        <v>46049</v>
      </c>
      <c r="J2666" s="1">
        <v>46049</v>
      </c>
      <c r="K2666" s="1">
        <v>46049</v>
      </c>
      <c r="L2666">
        <v>34</v>
      </c>
      <c r="M2666">
        <v>1.43</v>
      </c>
      <c r="N2666">
        <v>1.43</v>
      </c>
      <c r="O2666">
        <v>0</v>
      </c>
      <c r="P2666">
        <v>0</v>
      </c>
      <c r="Q2666" t="s">
        <v>108</v>
      </c>
    </row>
    <row r="2667" spans="1:17">
      <c r="A2667" t="s">
        <v>93</v>
      </c>
      <c r="B2667" t="s">
        <v>106</v>
      </c>
      <c r="C2667" t="s">
        <v>56</v>
      </c>
      <c r="D2667" t="s">
        <v>2450</v>
      </c>
      <c r="E2667">
        <v>24</v>
      </c>
      <c r="F2667" t="str">
        <f>VLOOKUP(E2667,[1]LOJA!$A:$B,2,0)</f>
        <v>LUZIÂNIA</v>
      </c>
      <c r="G2667" t="s">
        <v>19</v>
      </c>
      <c r="H2667" t="s">
        <v>19</v>
      </c>
      <c r="I2667" s="1">
        <v>46049</v>
      </c>
      <c r="J2667" s="1">
        <v>46049</v>
      </c>
      <c r="K2667" s="1">
        <v>46049</v>
      </c>
      <c r="L2667">
        <v>34</v>
      </c>
      <c r="M2667">
        <v>0.19</v>
      </c>
      <c r="N2667">
        <v>0.19</v>
      </c>
      <c r="O2667">
        <v>0</v>
      </c>
      <c r="P2667">
        <v>0</v>
      </c>
      <c r="Q2667" t="s">
        <v>108</v>
      </c>
    </row>
    <row r="2668" spans="1:17">
      <c r="A2668" t="s">
        <v>93</v>
      </c>
      <c r="B2668" t="s">
        <v>106</v>
      </c>
      <c r="C2668" t="s">
        <v>56</v>
      </c>
      <c r="D2668" t="s">
        <v>2451</v>
      </c>
      <c r="E2668">
        <v>24</v>
      </c>
      <c r="F2668" t="str">
        <f>VLOOKUP(E2668,[1]LOJA!$A:$B,2,0)</f>
        <v>LUZIÂNIA</v>
      </c>
      <c r="G2668" t="s">
        <v>19</v>
      </c>
      <c r="H2668" t="s">
        <v>19</v>
      </c>
      <c r="I2668" s="1">
        <v>46049</v>
      </c>
      <c r="J2668" s="1">
        <v>46049</v>
      </c>
      <c r="K2668" s="1">
        <v>46049</v>
      </c>
      <c r="L2668">
        <v>34</v>
      </c>
      <c r="M2668">
        <v>0.37</v>
      </c>
      <c r="N2668">
        <v>0.37</v>
      </c>
      <c r="O2668">
        <v>0</v>
      </c>
      <c r="P2668">
        <v>0</v>
      </c>
      <c r="Q2668" t="s">
        <v>108</v>
      </c>
    </row>
    <row r="2669" spans="1:17">
      <c r="A2669" t="s">
        <v>93</v>
      </c>
      <c r="B2669" t="s">
        <v>106</v>
      </c>
      <c r="C2669" t="s">
        <v>56</v>
      </c>
      <c r="D2669" t="s">
        <v>2452</v>
      </c>
      <c r="E2669">
        <v>24</v>
      </c>
      <c r="F2669" t="str">
        <f>VLOOKUP(E2669,[1]LOJA!$A:$B,2,0)</f>
        <v>LUZIÂNIA</v>
      </c>
      <c r="G2669" t="s">
        <v>19</v>
      </c>
      <c r="H2669" t="s">
        <v>19</v>
      </c>
      <c r="I2669" s="1">
        <v>46049</v>
      </c>
      <c r="J2669" s="1">
        <v>46049</v>
      </c>
      <c r="K2669" s="1">
        <v>46049</v>
      </c>
      <c r="L2669">
        <v>34</v>
      </c>
      <c r="M2669">
        <v>1.01</v>
      </c>
      <c r="N2669">
        <v>1.01</v>
      </c>
      <c r="O2669">
        <v>0</v>
      </c>
      <c r="P2669">
        <v>0</v>
      </c>
      <c r="Q2669" t="s">
        <v>108</v>
      </c>
    </row>
    <row r="2670" spans="1:17">
      <c r="A2670" t="s">
        <v>93</v>
      </c>
      <c r="B2670" t="s">
        <v>106</v>
      </c>
      <c r="C2670" t="s">
        <v>56</v>
      </c>
      <c r="D2670" t="s">
        <v>2453</v>
      </c>
      <c r="E2670">
        <v>24</v>
      </c>
      <c r="F2670" t="str">
        <f>VLOOKUP(E2670,[1]LOJA!$A:$B,2,0)</f>
        <v>LUZIÂNIA</v>
      </c>
      <c r="G2670" t="s">
        <v>19</v>
      </c>
      <c r="H2670" t="s">
        <v>19</v>
      </c>
      <c r="I2670" s="1">
        <v>46049</v>
      </c>
      <c r="J2670" s="1">
        <v>46049</v>
      </c>
      <c r="K2670" s="1">
        <v>46049</v>
      </c>
      <c r="L2670">
        <v>34</v>
      </c>
      <c r="M2670">
        <v>0.36</v>
      </c>
      <c r="N2670">
        <v>0.36</v>
      </c>
      <c r="O2670">
        <v>0</v>
      </c>
      <c r="P2670">
        <v>0</v>
      </c>
      <c r="Q2670" t="s">
        <v>108</v>
      </c>
    </row>
    <row r="2671" spans="1:17">
      <c r="A2671" t="s">
        <v>93</v>
      </c>
      <c r="B2671" t="s">
        <v>106</v>
      </c>
      <c r="C2671" t="s">
        <v>56</v>
      </c>
      <c r="D2671" t="s">
        <v>2454</v>
      </c>
      <c r="E2671">
        <v>24</v>
      </c>
      <c r="F2671" t="str">
        <f>VLOOKUP(E2671,[1]LOJA!$A:$B,2,0)</f>
        <v>LUZIÂNIA</v>
      </c>
      <c r="G2671" t="s">
        <v>19</v>
      </c>
      <c r="H2671" t="s">
        <v>19</v>
      </c>
      <c r="I2671" s="1">
        <v>46049</v>
      </c>
      <c r="J2671" s="1">
        <v>46049</v>
      </c>
      <c r="K2671" s="1">
        <v>46049</v>
      </c>
      <c r="L2671">
        <v>34</v>
      </c>
      <c r="M2671">
        <v>1.18</v>
      </c>
      <c r="N2671">
        <v>1.18</v>
      </c>
      <c r="O2671">
        <v>0</v>
      </c>
      <c r="P2671">
        <v>0</v>
      </c>
      <c r="Q2671" t="s">
        <v>108</v>
      </c>
    </row>
    <row r="2672" spans="1:17">
      <c r="A2672" t="s">
        <v>93</v>
      </c>
      <c r="B2672" t="s">
        <v>106</v>
      </c>
      <c r="C2672" t="s">
        <v>56</v>
      </c>
      <c r="D2672" t="s">
        <v>2455</v>
      </c>
      <c r="E2672">
        <v>24</v>
      </c>
      <c r="F2672" t="str">
        <f>VLOOKUP(E2672,[1]LOJA!$A:$B,2,0)</f>
        <v>LUZIÂNIA</v>
      </c>
      <c r="G2672" t="s">
        <v>19</v>
      </c>
      <c r="H2672" t="s">
        <v>19</v>
      </c>
      <c r="I2672" s="1">
        <v>46049</v>
      </c>
      <c r="J2672" s="1">
        <v>46049</v>
      </c>
      <c r="K2672" s="1">
        <v>46049</v>
      </c>
      <c r="L2672">
        <v>34</v>
      </c>
      <c r="M2672">
        <v>1.1100000000000001</v>
      </c>
      <c r="N2672">
        <v>1.1100000000000001</v>
      </c>
      <c r="O2672">
        <v>0</v>
      </c>
      <c r="P2672">
        <v>0</v>
      </c>
      <c r="Q2672" t="s">
        <v>108</v>
      </c>
    </row>
    <row r="2673" spans="1:17">
      <c r="A2673" t="s">
        <v>93</v>
      </c>
      <c r="B2673" t="s">
        <v>106</v>
      </c>
      <c r="C2673" t="s">
        <v>56</v>
      </c>
      <c r="D2673" t="s">
        <v>2456</v>
      </c>
      <c r="E2673">
        <v>24</v>
      </c>
      <c r="F2673" t="str">
        <f>VLOOKUP(E2673,[1]LOJA!$A:$B,2,0)</f>
        <v>LUZIÂNIA</v>
      </c>
      <c r="G2673" t="s">
        <v>19</v>
      </c>
      <c r="H2673" t="s">
        <v>19</v>
      </c>
      <c r="I2673" s="1">
        <v>46049</v>
      </c>
      <c r="J2673" s="1">
        <v>46049</v>
      </c>
      <c r="K2673" s="1">
        <v>46049</v>
      </c>
      <c r="L2673">
        <v>34</v>
      </c>
      <c r="M2673">
        <v>0.57999999999999996</v>
      </c>
      <c r="N2673">
        <v>0.57999999999999996</v>
      </c>
      <c r="O2673">
        <v>0</v>
      </c>
      <c r="P2673">
        <v>0</v>
      </c>
      <c r="Q2673" t="s">
        <v>108</v>
      </c>
    </row>
    <row r="2674" spans="1:17">
      <c r="A2674" t="s">
        <v>93</v>
      </c>
      <c r="B2674" t="s">
        <v>106</v>
      </c>
      <c r="C2674" t="s">
        <v>56</v>
      </c>
      <c r="D2674" t="s">
        <v>2457</v>
      </c>
      <c r="E2674">
        <v>24</v>
      </c>
      <c r="F2674" t="str">
        <f>VLOOKUP(E2674,[1]LOJA!$A:$B,2,0)</f>
        <v>LUZIÂNIA</v>
      </c>
      <c r="G2674" t="s">
        <v>19</v>
      </c>
      <c r="H2674" t="s">
        <v>19</v>
      </c>
      <c r="I2674" s="1">
        <v>46049</v>
      </c>
      <c r="J2674" s="1">
        <v>46049</v>
      </c>
      <c r="K2674" s="1">
        <v>46049</v>
      </c>
      <c r="L2674">
        <v>34</v>
      </c>
      <c r="M2674">
        <v>0.22</v>
      </c>
      <c r="N2674">
        <v>0.22</v>
      </c>
      <c r="O2674">
        <v>0</v>
      </c>
      <c r="P2674">
        <v>0</v>
      </c>
      <c r="Q2674" t="s">
        <v>108</v>
      </c>
    </row>
    <row r="2675" spans="1:17">
      <c r="A2675" t="s">
        <v>93</v>
      </c>
      <c r="B2675" t="s">
        <v>106</v>
      </c>
      <c r="C2675" t="s">
        <v>56</v>
      </c>
      <c r="D2675" t="s">
        <v>2458</v>
      </c>
      <c r="E2675">
        <v>24</v>
      </c>
      <c r="F2675" t="str">
        <f>VLOOKUP(E2675,[1]LOJA!$A:$B,2,0)</f>
        <v>LUZIÂNIA</v>
      </c>
      <c r="G2675" t="s">
        <v>19</v>
      </c>
      <c r="H2675" t="s">
        <v>19</v>
      </c>
      <c r="I2675" s="1">
        <v>46049</v>
      </c>
      <c r="J2675" s="1">
        <v>46049</v>
      </c>
      <c r="K2675" s="1">
        <v>46049</v>
      </c>
      <c r="L2675">
        <v>34</v>
      </c>
      <c r="M2675">
        <v>15.67</v>
      </c>
      <c r="N2675">
        <v>15.67</v>
      </c>
      <c r="O2675">
        <v>0</v>
      </c>
      <c r="P2675">
        <v>0</v>
      </c>
      <c r="Q2675" t="s">
        <v>108</v>
      </c>
    </row>
    <row r="2676" spans="1:17">
      <c r="A2676" t="s">
        <v>93</v>
      </c>
      <c r="B2676" t="s">
        <v>106</v>
      </c>
      <c r="C2676" t="s">
        <v>56</v>
      </c>
      <c r="D2676" t="s">
        <v>2459</v>
      </c>
      <c r="E2676">
        <v>24</v>
      </c>
      <c r="F2676" t="str">
        <f>VLOOKUP(E2676,[1]LOJA!$A:$B,2,0)</f>
        <v>LUZIÂNIA</v>
      </c>
      <c r="G2676" t="s">
        <v>19</v>
      </c>
      <c r="H2676" t="s">
        <v>19</v>
      </c>
      <c r="I2676" s="1">
        <v>46048</v>
      </c>
      <c r="J2676" s="1">
        <v>46048</v>
      </c>
      <c r="K2676" s="1">
        <v>46048</v>
      </c>
      <c r="L2676">
        <v>34</v>
      </c>
      <c r="M2676">
        <v>7.44</v>
      </c>
      <c r="N2676">
        <v>7.44</v>
      </c>
      <c r="O2676">
        <v>0</v>
      </c>
      <c r="P2676">
        <v>0</v>
      </c>
      <c r="Q2676" t="s">
        <v>108</v>
      </c>
    </row>
    <row r="2677" spans="1:17">
      <c r="A2677" t="s">
        <v>93</v>
      </c>
      <c r="B2677" t="s">
        <v>106</v>
      </c>
      <c r="C2677" t="s">
        <v>56</v>
      </c>
      <c r="D2677" t="s">
        <v>2460</v>
      </c>
      <c r="E2677">
        <v>24</v>
      </c>
      <c r="F2677" t="str">
        <f>VLOOKUP(E2677,[1]LOJA!$A:$B,2,0)</f>
        <v>LUZIÂNIA</v>
      </c>
      <c r="G2677" t="s">
        <v>19</v>
      </c>
      <c r="H2677" t="s">
        <v>19</v>
      </c>
      <c r="I2677" s="1">
        <v>46048</v>
      </c>
      <c r="J2677" s="1">
        <v>46048</v>
      </c>
      <c r="K2677" s="1">
        <v>46048</v>
      </c>
      <c r="L2677">
        <v>34</v>
      </c>
      <c r="M2677">
        <v>14.33</v>
      </c>
      <c r="N2677">
        <v>14.33</v>
      </c>
      <c r="O2677">
        <v>0</v>
      </c>
      <c r="P2677">
        <v>0</v>
      </c>
      <c r="Q2677" t="s">
        <v>108</v>
      </c>
    </row>
    <row r="2678" spans="1:17">
      <c r="A2678" t="s">
        <v>93</v>
      </c>
      <c r="B2678" t="s">
        <v>106</v>
      </c>
      <c r="C2678" t="s">
        <v>56</v>
      </c>
      <c r="D2678" t="s">
        <v>2461</v>
      </c>
      <c r="E2678">
        <v>24</v>
      </c>
      <c r="F2678" t="str">
        <f>VLOOKUP(E2678,[1]LOJA!$A:$B,2,0)</f>
        <v>LUZIÂNIA</v>
      </c>
      <c r="G2678" t="s">
        <v>19</v>
      </c>
      <c r="H2678" t="s">
        <v>19</v>
      </c>
      <c r="I2678" s="1">
        <v>46048</v>
      </c>
      <c r="J2678" s="1">
        <v>46048</v>
      </c>
      <c r="K2678" s="1">
        <v>46048</v>
      </c>
      <c r="L2678">
        <v>34</v>
      </c>
      <c r="M2678">
        <v>4.6500000000000004</v>
      </c>
      <c r="N2678">
        <v>4.6500000000000004</v>
      </c>
      <c r="O2678">
        <v>0</v>
      </c>
      <c r="P2678">
        <v>0</v>
      </c>
      <c r="Q2678" t="s">
        <v>108</v>
      </c>
    </row>
    <row r="2679" spans="1:17">
      <c r="A2679" t="s">
        <v>93</v>
      </c>
      <c r="B2679" t="s">
        <v>106</v>
      </c>
      <c r="C2679" t="s">
        <v>56</v>
      </c>
      <c r="D2679" t="s">
        <v>2462</v>
      </c>
      <c r="E2679">
        <v>24</v>
      </c>
      <c r="F2679" t="str">
        <f>VLOOKUP(E2679,[1]LOJA!$A:$B,2,0)</f>
        <v>LUZIÂNIA</v>
      </c>
      <c r="G2679" t="s">
        <v>19</v>
      </c>
      <c r="H2679" t="s">
        <v>19</v>
      </c>
      <c r="I2679" s="1">
        <v>46048</v>
      </c>
      <c r="J2679" s="1">
        <v>46047</v>
      </c>
      <c r="K2679" s="1">
        <v>46048</v>
      </c>
      <c r="L2679">
        <v>34</v>
      </c>
      <c r="M2679">
        <v>2.85</v>
      </c>
      <c r="N2679">
        <v>2.85</v>
      </c>
      <c r="O2679">
        <v>0</v>
      </c>
      <c r="P2679">
        <v>0</v>
      </c>
      <c r="Q2679" t="s">
        <v>108</v>
      </c>
    </row>
    <row r="2680" spans="1:17">
      <c r="A2680" t="s">
        <v>93</v>
      </c>
      <c r="B2680" t="s">
        <v>106</v>
      </c>
      <c r="C2680" t="s">
        <v>56</v>
      </c>
      <c r="D2680" t="s">
        <v>2463</v>
      </c>
      <c r="E2680">
        <v>24</v>
      </c>
      <c r="F2680" t="str">
        <f>VLOOKUP(E2680,[1]LOJA!$A:$B,2,0)</f>
        <v>LUZIÂNIA</v>
      </c>
      <c r="G2680" t="s">
        <v>19</v>
      </c>
      <c r="H2680" t="s">
        <v>19</v>
      </c>
      <c r="I2680" s="1">
        <v>46048</v>
      </c>
      <c r="J2680" s="1">
        <v>46047</v>
      </c>
      <c r="K2680" s="1">
        <v>46048</v>
      </c>
      <c r="L2680">
        <v>34</v>
      </c>
      <c r="M2680">
        <v>3.64</v>
      </c>
      <c r="N2680">
        <v>3.64</v>
      </c>
      <c r="O2680">
        <v>0</v>
      </c>
      <c r="P2680">
        <v>0</v>
      </c>
      <c r="Q2680" t="s">
        <v>108</v>
      </c>
    </row>
    <row r="2681" spans="1:17">
      <c r="A2681" t="s">
        <v>93</v>
      </c>
      <c r="B2681" t="s">
        <v>106</v>
      </c>
      <c r="C2681" t="s">
        <v>56</v>
      </c>
      <c r="D2681" t="s">
        <v>2464</v>
      </c>
      <c r="E2681">
        <v>24</v>
      </c>
      <c r="F2681" t="str">
        <f>VLOOKUP(E2681,[1]LOJA!$A:$B,2,0)</f>
        <v>LUZIÂNIA</v>
      </c>
      <c r="G2681" t="s">
        <v>19</v>
      </c>
      <c r="H2681" t="s">
        <v>19</v>
      </c>
      <c r="I2681" s="1">
        <v>46048</v>
      </c>
      <c r="J2681" s="1">
        <v>46047</v>
      </c>
      <c r="K2681" s="1">
        <v>46048</v>
      </c>
      <c r="L2681">
        <v>34</v>
      </c>
      <c r="M2681">
        <v>2.23</v>
      </c>
      <c r="N2681">
        <v>2.23</v>
      </c>
      <c r="O2681">
        <v>0</v>
      </c>
      <c r="P2681">
        <v>0</v>
      </c>
      <c r="Q2681" t="s">
        <v>108</v>
      </c>
    </row>
    <row r="2682" spans="1:17">
      <c r="A2682" t="s">
        <v>93</v>
      </c>
      <c r="B2682" t="s">
        <v>106</v>
      </c>
      <c r="C2682" t="s">
        <v>56</v>
      </c>
      <c r="D2682" t="s">
        <v>2465</v>
      </c>
      <c r="E2682">
        <v>24</v>
      </c>
      <c r="F2682" t="str">
        <f>VLOOKUP(E2682,[1]LOJA!$A:$B,2,0)</f>
        <v>LUZIÂNIA</v>
      </c>
      <c r="G2682" t="s">
        <v>19</v>
      </c>
      <c r="H2682" t="s">
        <v>19</v>
      </c>
      <c r="I2682" s="1">
        <v>46048</v>
      </c>
      <c r="J2682" s="1">
        <v>46048</v>
      </c>
      <c r="K2682" s="1">
        <v>46048</v>
      </c>
      <c r="L2682">
        <v>34</v>
      </c>
      <c r="M2682">
        <v>5.65</v>
      </c>
      <c r="N2682">
        <v>5.65</v>
      </c>
      <c r="O2682">
        <v>0</v>
      </c>
      <c r="P2682">
        <v>0</v>
      </c>
      <c r="Q2682" t="s">
        <v>108</v>
      </c>
    </row>
    <row r="2683" spans="1:17">
      <c r="A2683" t="s">
        <v>93</v>
      </c>
      <c r="B2683" t="s">
        <v>106</v>
      </c>
      <c r="C2683" t="s">
        <v>56</v>
      </c>
      <c r="D2683" t="s">
        <v>2466</v>
      </c>
      <c r="E2683">
        <v>24</v>
      </c>
      <c r="F2683" t="str">
        <f>VLOOKUP(E2683,[1]LOJA!$A:$B,2,0)</f>
        <v>LUZIÂNIA</v>
      </c>
      <c r="G2683" t="s">
        <v>19</v>
      </c>
      <c r="H2683" t="s">
        <v>19</v>
      </c>
      <c r="I2683" s="1">
        <v>46048</v>
      </c>
      <c r="J2683" s="1">
        <v>46048</v>
      </c>
      <c r="K2683" s="1">
        <v>46048</v>
      </c>
      <c r="L2683">
        <v>34</v>
      </c>
      <c r="M2683">
        <v>2.5099999999999998</v>
      </c>
      <c r="N2683">
        <v>2.5099999999999998</v>
      </c>
      <c r="O2683">
        <v>0</v>
      </c>
      <c r="P2683">
        <v>0</v>
      </c>
      <c r="Q2683" t="s">
        <v>108</v>
      </c>
    </row>
    <row r="2684" spans="1:17">
      <c r="A2684" t="s">
        <v>93</v>
      </c>
      <c r="B2684" t="s">
        <v>106</v>
      </c>
      <c r="C2684" t="s">
        <v>56</v>
      </c>
      <c r="D2684" t="s">
        <v>2467</v>
      </c>
      <c r="E2684">
        <v>24</v>
      </c>
      <c r="F2684" t="str">
        <f>VLOOKUP(E2684,[1]LOJA!$A:$B,2,0)</f>
        <v>LUZIÂNIA</v>
      </c>
      <c r="G2684" t="s">
        <v>19</v>
      </c>
      <c r="H2684" t="s">
        <v>19</v>
      </c>
      <c r="I2684" s="1">
        <v>46048</v>
      </c>
      <c r="J2684" s="1">
        <v>46048</v>
      </c>
      <c r="K2684" s="1">
        <v>46048</v>
      </c>
      <c r="L2684">
        <v>34</v>
      </c>
      <c r="M2684">
        <v>7.66</v>
      </c>
      <c r="N2684">
        <v>7.66</v>
      </c>
      <c r="O2684">
        <v>0</v>
      </c>
      <c r="P2684">
        <v>0</v>
      </c>
      <c r="Q2684" t="s">
        <v>108</v>
      </c>
    </row>
    <row r="2685" spans="1:17">
      <c r="A2685" t="s">
        <v>93</v>
      </c>
      <c r="B2685" t="s">
        <v>106</v>
      </c>
      <c r="C2685" t="s">
        <v>56</v>
      </c>
      <c r="D2685" t="s">
        <v>2468</v>
      </c>
      <c r="E2685">
        <v>24</v>
      </c>
      <c r="F2685" t="str">
        <f>VLOOKUP(E2685,[1]LOJA!$A:$B,2,0)</f>
        <v>LUZIÂNIA</v>
      </c>
      <c r="G2685" t="s">
        <v>19</v>
      </c>
      <c r="H2685" t="s">
        <v>19</v>
      </c>
      <c r="I2685" s="1">
        <v>46048</v>
      </c>
      <c r="J2685" s="1">
        <v>46046</v>
      </c>
      <c r="K2685" s="1">
        <v>46048</v>
      </c>
      <c r="L2685">
        <v>34</v>
      </c>
      <c r="M2685">
        <v>5.85</v>
      </c>
      <c r="N2685">
        <v>5.85</v>
      </c>
      <c r="O2685">
        <v>0</v>
      </c>
      <c r="P2685">
        <v>0</v>
      </c>
      <c r="Q2685" t="s">
        <v>108</v>
      </c>
    </row>
    <row r="2686" spans="1:17">
      <c r="A2686" t="s">
        <v>93</v>
      </c>
      <c r="B2686" t="s">
        <v>106</v>
      </c>
      <c r="C2686" t="s">
        <v>56</v>
      </c>
      <c r="D2686" t="s">
        <v>2469</v>
      </c>
      <c r="E2686">
        <v>24</v>
      </c>
      <c r="F2686" t="str">
        <f>VLOOKUP(E2686,[1]LOJA!$A:$B,2,0)</f>
        <v>LUZIÂNIA</v>
      </c>
      <c r="G2686" t="s">
        <v>19</v>
      </c>
      <c r="H2686" t="s">
        <v>19</v>
      </c>
      <c r="I2686" s="1">
        <v>46048</v>
      </c>
      <c r="J2686" s="1">
        <v>46046</v>
      </c>
      <c r="K2686" s="1">
        <v>46048</v>
      </c>
      <c r="L2686">
        <v>34</v>
      </c>
      <c r="M2686">
        <v>0.28000000000000003</v>
      </c>
      <c r="N2686">
        <v>0.28000000000000003</v>
      </c>
      <c r="O2686">
        <v>0</v>
      </c>
      <c r="P2686">
        <v>0</v>
      </c>
      <c r="Q2686" t="s">
        <v>108</v>
      </c>
    </row>
    <row r="2687" spans="1:17">
      <c r="A2687" t="s">
        <v>93</v>
      </c>
      <c r="B2687" t="s">
        <v>106</v>
      </c>
      <c r="C2687" t="s">
        <v>56</v>
      </c>
      <c r="D2687" t="s">
        <v>2470</v>
      </c>
      <c r="E2687">
        <v>24</v>
      </c>
      <c r="F2687" t="str">
        <f>VLOOKUP(E2687,[1]LOJA!$A:$B,2,0)</f>
        <v>LUZIÂNIA</v>
      </c>
      <c r="G2687" t="s">
        <v>19</v>
      </c>
      <c r="H2687" t="s">
        <v>19</v>
      </c>
      <c r="I2687" s="1">
        <v>46048</v>
      </c>
      <c r="J2687" s="1">
        <v>46048</v>
      </c>
      <c r="K2687" s="1">
        <v>46048</v>
      </c>
      <c r="L2687">
        <v>34</v>
      </c>
      <c r="M2687">
        <v>1.4</v>
      </c>
      <c r="N2687">
        <v>1.4</v>
      </c>
      <c r="O2687">
        <v>0</v>
      </c>
      <c r="P2687">
        <v>0</v>
      </c>
      <c r="Q2687" t="s">
        <v>108</v>
      </c>
    </row>
    <row r="2688" spans="1:17">
      <c r="A2688" t="s">
        <v>93</v>
      </c>
      <c r="B2688" t="s">
        <v>106</v>
      </c>
      <c r="C2688" t="s">
        <v>56</v>
      </c>
      <c r="D2688" t="s">
        <v>2471</v>
      </c>
      <c r="E2688">
        <v>24</v>
      </c>
      <c r="F2688" t="str">
        <f>VLOOKUP(E2688,[1]LOJA!$A:$B,2,0)</f>
        <v>LUZIÂNIA</v>
      </c>
      <c r="G2688" t="s">
        <v>19</v>
      </c>
      <c r="H2688" t="s">
        <v>19</v>
      </c>
      <c r="I2688" s="1">
        <v>46048</v>
      </c>
      <c r="J2688" s="1">
        <v>46048</v>
      </c>
      <c r="K2688" s="1">
        <v>46048</v>
      </c>
      <c r="L2688">
        <v>34</v>
      </c>
      <c r="M2688">
        <v>2.19</v>
      </c>
      <c r="N2688">
        <v>2.19</v>
      </c>
      <c r="O2688">
        <v>0</v>
      </c>
      <c r="P2688">
        <v>0</v>
      </c>
      <c r="Q2688" t="s">
        <v>108</v>
      </c>
    </row>
    <row r="2689" spans="1:17">
      <c r="A2689" t="s">
        <v>93</v>
      </c>
      <c r="B2689" t="s">
        <v>106</v>
      </c>
      <c r="C2689" t="s">
        <v>56</v>
      </c>
      <c r="D2689" t="s">
        <v>2472</v>
      </c>
      <c r="E2689">
        <v>24</v>
      </c>
      <c r="F2689" t="str">
        <f>VLOOKUP(E2689,[1]LOJA!$A:$B,2,0)</f>
        <v>LUZIÂNIA</v>
      </c>
      <c r="G2689" t="s">
        <v>19</v>
      </c>
      <c r="H2689" t="s">
        <v>19</v>
      </c>
      <c r="I2689" s="1">
        <v>46048</v>
      </c>
      <c r="J2689" s="1">
        <v>46048</v>
      </c>
      <c r="K2689" s="1">
        <v>46048</v>
      </c>
      <c r="L2689">
        <v>34</v>
      </c>
      <c r="M2689">
        <v>0.98</v>
      </c>
      <c r="N2689">
        <v>0.98</v>
      </c>
      <c r="O2689">
        <v>0</v>
      </c>
      <c r="P2689">
        <v>0</v>
      </c>
      <c r="Q2689" t="s">
        <v>108</v>
      </c>
    </row>
    <row r="2690" spans="1:17">
      <c r="A2690" t="s">
        <v>93</v>
      </c>
      <c r="B2690" t="s">
        <v>106</v>
      </c>
      <c r="C2690" t="s">
        <v>56</v>
      </c>
      <c r="D2690" t="s">
        <v>2473</v>
      </c>
      <c r="E2690">
        <v>24</v>
      </c>
      <c r="F2690" t="str">
        <f>VLOOKUP(E2690,[1]LOJA!$A:$B,2,0)</f>
        <v>LUZIÂNIA</v>
      </c>
      <c r="G2690" t="s">
        <v>19</v>
      </c>
      <c r="H2690" t="s">
        <v>19</v>
      </c>
      <c r="I2690" s="1">
        <v>46048</v>
      </c>
      <c r="J2690" s="1">
        <v>46048</v>
      </c>
      <c r="K2690" s="1">
        <v>46048</v>
      </c>
      <c r="L2690">
        <v>34</v>
      </c>
      <c r="M2690">
        <v>4.8600000000000003</v>
      </c>
      <c r="N2690">
        <v>4.8600000000000003</v>
      </c>
      <c r="O2690">
        <v>0</v>
      </c>
      <c r="P2690">
        <v>0</v>
      </c>
      <c r="Q2690" t="s">
        <v>108</v>
      </c>
    </row>
    <row r="2691" spans="1:17">
      <c r="A2691" t="s">
        <v>93</v>
      </c>
      <c r="B2691" t="s">
        <v>106</v>
      </c>
      <c r="C2691" t="s">
        <v>56</v>
      </c>
      <c r="D2691" t="s">
        <v>2474</v>
      </c>
      <c r="E2691">
        <v>24</v>
      </c>
      <c r="F2691" t="str">
        <f>VLOOKUP(E2691,[1]LOJA!$A:$B,2,0)</f>
        <v>LUZIÂNIA</v>
      </c>
      <c r="G2691" t="s">
        <v>19</v>
      </c>
      <c r="H2691" t="s">
        <v>19</v>
      </c>
      <c r="I2691" s="1">
        <v>46048</v>
      </c>
      <c r="J2691" s="1">
        <v>46048</v>
      </c>
      <c r="K2691" s="1">
        <v>46048</v>
      </c>
      <c r="L2691">
        <v>34</v>
      </c>
      <c r="M2691">
        <v>1.05</v>
      </c>
      <c r="N2691">
        <v>1.05</v>
      </c>
      <c r="O2691">
        <v>0</v>
      </c>
      <c r="P2691">
        <v>0</v>
      </c>
      <c r="Q2691" t="s">
        <v>108</v>
      </c>
    </row>
    <row r="2692" spans="1:17">
      <c r="A2692" t="s">
        <v>93</v>
      </c>
      <c r="B2692" t="s">
        <v>106</v>
      </c>
      <c r="C2692" t="s">
        <v>56</v>
      </c>
      <c r="D2692" t="s">
        <v>2475</v>
      </c>
      <c r="E2692">
        <v>24</v>
      </c>
      <c r="F2692" t="str">
        <f>VLOOKUP(E2692,[1]LOJA!$A:$B,2,0)</f>
        <v>LUZIÂNIA</v>
      </c>
      <c r="G2692" t="s">
        <v>19</v>
      </c>
      <c r="H2692" t="s">
        <v>19</v>
      </c>
      <c r="I2692" s="1">
        <v>46048</v>
      </c>
      <c r="J2692" s="1">
        <v>46048</v>
      </c>
      <c r="K2692" s="1">
        <v>46048</v>
      </c>
      <c r="L2692">
        <v>34</v>
      </c>
      <c r="M2692">
        <v>3.67</v>
      </c>
      <c r="N2692">
        <v>3.67</v>
      </c>
      <c r="O2692">
        <v>0</v>
      </c>
      <c r="P2692">
        <v>0</v>
      </c>
      <c r="Q2692" t="s">
        <v>108</v>
      </c>
    </row>
    <row r="2693" spans="1:17">
      <c r="A2693" t="s">
        <v>93</v>
      </c>
      <c r="B2693" t="s">
        <v>106</v>
      </c>
      <c r="C2693" t="s">
        <v>56</v>
      </c>
      <c r="D2693" t="s">
        <v>2476</v>
      </c>
      <c r="E2693">
        <v>24</v>
      </c>
      <c r="F2693" t="str">
        <f>VLOOKUP(E2693,[1]LOJA!$A:$B,2,0)</f>
        <v>LUZIÂNIA</v>
      </c>
      <c r="G2693" t="s">
        <v>19</v>
      </c>
      <c r="H2693" t="s">
        <v>19</v>
      </c>
      <c r="I2693" s="1">
        <v>46048</v>
      </c>
      <c r="J2693" s="1">
        <v>46048</v>
      </c>
      <c r="K2693" s="1">
        <v>46048</v>
      </c>
      <c r="L2693">
        <v>34</v>
      </c>
      <c r="M2693">
        <v>3.71</v>
      </c>
      <c r="N2693">
        <v>3.71</v>
      </c>
      <c r="O2693">
        <v>0</v>
      </c>
      <c r="P2693">
        <v>0</v>
      </c>
      <c r="Q2693" t="s">
        <v>108</v>
      </c>
    </row>
    <row r="2694" spans="1:17">
      <c r="A2694" t="s">
        <v>93</v>
      </c>
      <c r="B2694" t="s">
        <v>106</v>
      </c>
      <c r="C2694" t="s">
        <v>56</v>
      </c>
      <c r="D2694" t="s">
        <v>2477</v>
      </c>
      <c r="E2694">
        <v>24</v>
      </c>
      <c r="F2694" t="str">
        <f>VLOOKUP(E2694,[1]LOJA!$A:$B,2,0)</f>
        <v>LUZIÂNIA</v>
      </c>
      <c r="G2694" t="s">
        <v>19</v>
      </c>
      <c r="H2694" t="s">
        <v>19</v>
      </c>
      <c r="I2694" s="1">
        <v>46048</v>
      </c>
      <c r="J2694" s="1">
        <v>46046</v>
      </c>
      <c r="K2694" s="1">
        <v>46048</v>
      </c>
      <c r="L2694">
        <v>34</v>
      </c>
      <c r="M2694">
        <v>0.88</v>
      </c>
      <c r="N2694">
        <v>0.88</v>
      </c>
      <c r="O2694">
        <v>0</v>
      </c>
      <c r="P2694">
        <v>0</v>
      </c>
      <c r="Q2694" t="s">
        <v>108</v>
      </c>
    </row>
    <row r="2695" spans="1:17">
      <c r="A2695" t="s">
        <v>93</v>
      </c>
      <c r="B2695" t="s">
        <v>106</v>
      </c>
      <c r="C2695" t="s">
        <v>56</v>
      </c>
      <c r="D2695" t="s">
        <v>2478</v>
      </c>
      <c r="E2695">
        <v>24</v>
      </c>
      <c r="F2695" t="str">
        <f>VLOOKUP(E2695,[1]LOJA!$A:$B,2,0)</f>
        <v>LUZIÂNIA</v>
      </c>
      <c r="G2695" t="s">
        <v>19</v>
      </c>
      <c r="H2695" t="s">
        <v>19</v>
      </c>
      <c r="I2695" s="1">
        <v>46048</v>
      </c>
      <c r="J2695" s="1">
        <v>46046</v>
      </c>
      <c r="K2695" s="1">
        <v>46048</v>
      </c>
      <c r="L2695">
        <v>34</v>
      </c>
      <c r="M2695">
        <v>0.28999999999999998</v>
      </c>
      <c r="N2695">
        <v>0.28999999999999998</v>
      </c>
      <c r="O2695">
        <v>0</v>
      </c>
      <c r="P2695">
        <v>0</v>
      </c>
      <c r="Q2695" t="s">
        <v>108</v>
      </c>
    </row>
    <row r="2696" spans="1:17">
      <c r="A2696" t="s">
        <v>93</v>
      </c>
      <c r="B2696" t="s">
        <v>106</v>
      </c>
      <c r="C2696" t="s">
        <v>56</v>
      </c>
      <c r="D2696" t="s">
        <v>2479</v>
      </c>
      <c r="E2696">
        <v>24</v>
      </c>
      <c r="F2696" t="str">
        <f>VLOOKUP(E2696,[1]LOJA!$A:$B,2,0)</f>
        <v>LUZIÂNIA</v>
      </c>
      <c r="G2696" t="s">
        <v>19</v>
      </c>
      <c r="H2696" t="s">
        <v>19</v>
      </c>
      <c r="I2696" s="1">
        <v>46048</v>
      </c>
      <c r="J2696" s="1">
        <v>46046</v>
      </c>
      <c r="K2696" s="1">
        <v>46048</v>
      </c>
      <c r="L2696">
        <v>34</v>
      </c>
      <c r="M2696">
        <v>0.2</v>
      </c>
      <c r="N2696">
        <v>0.2</v>
      </c>
      <c r="O2696">
        <v>0</v>
      </c>
      <c r="P2696">
        <v>0</v>
      </c>
      <c r="Q2696" t="s">
        <v>108</v>
      </c>
    </row>
    <row r="2697" spans="1:17">
      <c r="A2697" t="s">
        <v>93</v>
      </c>
      <c r="B2697" t="s">
        <v>106</v>
      </c>
      <c r="C2697" t="s">
        <v>56</v>
      </c>
      <c r="D2697" t="s">
        <v>2480</v>
      </c>
      <c r="E2697">
        <v>24</v>
      </c>
      <c r="F2697" t="str">
        <f>VLOOKUP(E2697,[1]LOJA!$A:$B,2,0)</f>
        <v>LUZIÂNIA</v>
      </c>
      <c r="G2697" t="s">
        <v>19</v>
      </c>
      <c r="H2697" t="s">
        <v>19</v>
      </c>
      <c r="I2697" s="1">
        <v>46048</v>
      </c>
      <c r="J2697" s="1">
        <v>46046</v>
      </c>
      <c r="K2697" s="1">
        <v>46048</v>
      </c>
      <c r="L2697">
        <v>34</v>
      </c>
      <c r="M2697">
        <v>0.16</v>
      </c>
      <c r="N2697">
        <v>0.16</v>
      </c>
      <c r="O2697">
        <v>0</v>
      </c>
      <c r="P2697">
        <v>0</v>
      </c>
      <c r="Q2697" t="s">
        <v>108</v>
      </c>
    </row>
    <row r="2698" spans="1:17">
      <c r="A2698" t="s">
        <v>93</v>
      </c>
      <c r="B2698" t="s">
        <v>106</v>
      </c>
      <c r="C2698" t="s">
        <v>56</v>
      </c>
      <c r="D2698" t="s">
        <v>2481</v>
      </c>
      <c r="E2698">
        <v>24</v>
      </c>
      <c r="F2698" t="str">
        <f>VLOOKUP(E2698,[1]LOJA!$A:$B,2,0)</f>
        <v>LUZIÂNIA</v>
      </c>
      <c r="G2698" t="s">
        <v>19</v>
      </c>
      <c r="H2698" t="s">
        <v>19</v>
      </c>
      <c r="I2698" s="1">
        <v>46048</v>
      </c>
      <c r="J2698" s="1">
        <v>46046</v>
      </c>
      <c r="K2698" s="1">
        <v>46048</v>
      </c>
      <c r="L2698">
        <v>34</v>
      </c>
      <c r="M2698">
        <v>0.31</v>
      </c>
      <c r="N2698">
        <v>0.31</v>
      </c>
      <c r="O2698">
        <v>0</v>
      </c>
      <c r="P2698">
        <v>0</v>
      </c>
      <c r="Q2698" t="s">
        <v>108</v>
      </c>
    </row>
    <row r="2699" spans="1:17">
      <c r="A2699" t="s">
        <v>93</v>
      </c>
      <c r="B2699" t="s">
        <v>106</v>
      </c>
      <c r="C2699" t="s">
        <v>56</v>
      </c>
      <c r="D2699" t="s">
        <v>2482</v>
      </c>
      <c r="E2699">
        <v>24</v>
      </c>
      <c r="F2699" t="str">
        <f>VLOOKUP(E2699,[1]LOJA!$A:$B,2,0)</f>
        <v>LUZIÂNIA</v>
      </c>
      <c r="G2699" t="s">
        <v>19</v>
      </c>
      <c r="H2699" t="s">
        <v>19</v>
      </c>
      <c r="I2699" s="1">
        <v>46048</v>
      </c>
      <c r="J2699" s="1">
        <v>46046</v>
      </c>
      <c r="K2699" s="1">
        <v>46048</v>
      </c>
      <c r="L2699">
        <v>34</v>
      </c>
      <c r="M2699">
        <v>0.17</v>
      </c>
      <c r="N2699">
        <v>0.17</v>
      </c>
      <c r="O2699">
        <v>0</v>
      </c>
      <c r="P2699">
        <v>0</v>
      </c>
      <c r="Q2699" t="s">
        <v>108</v>
      </c>
    </row>
    <row r="2700" spans="1:17">
      <c r="A2700" t="s">
        <v>93</v>
      </c>
      <c r="B2700" t="s">
        <v>106</v>
      </c>
      <c r="C2700" t="s">
        <v>56</v>
      </c>
      <c r="D2700" t="s">
        <v>2483</v>
      </c>
      <c r="E2700">
        <v>24</v>
      </c>
      <c r="F2700" t="str">
        <f>VLOOKUP(E2700,[1]LOJA!$A:$B,2,0)</f>
        <v>LUZIÂNIA</v>
      </c>
      <c r="G2700" t="s">
        <v>19</v>
      </c>
      <c r="H2700" t="s">
        <v>19</v>
      </c>
      <c r="I2700" s="1">
        <v>46048</v>
      </c>
      <c r="J2700" s="1">
        <v>46046</v>
      </c>
      <c r="K2700" s="1">
        <v>46048</v>
      </c>
      <c r="L2700">
        <v>34</v>
      </c>
      <c r="M2700">
        <v>0.2</v>
      </c>
      <c r="N2700">
        <v>0.2</v>
      </c>
      <c r="O2700">
        <v>0</v>
      </c>
      <c r="P2700">
        <v>0</v>
      </c>
      <c r="Q2700" t="s">
        <v>108</v>
      </c>
    </row>
    <row r="2701" spans="1:17">
      <c r="A2701" t="s">
        <v>93</v>
      </c>
      <c r="B2701" t="s">
        <v>106</v>
      </c>
      <c r="C2701" t="s">
        <v>56</v>
      </c>
      <c r="D2701" t="s">
        <v>2484</v>
      </c>
      <c r="E2701">
        <v>24</v>
      </c>
      <c r="F2701" t="str">
        <f>VLOOKUP(E2701,[1]LOJA!$A:$B,2,0)</f>
        <v>LUZIÂNIA</v>
      </c>
      <c r="G2701" t="s">
        <v>19</v>
      </c>
      <c r="H2701" t="s">
        <v>19</v>
      </c>
      <c r="I2701" s="1">
        <v>46048</v>
      </c>
      <c r="J2701" s="1">
        <v>46046</v>
      </c>
      <c r="K2701" s="1">
        <v>46048</v>
      </c>
      <c r="L2701">
        <v>34</v>
      </c>
      <c r="M2701">
        <v>0.94</v>
      </c>
      <c r="N2701">
        <v>0.94</v>
      </c>
      <c r="O2701">
        <v>0</v>
      </c>
      <c r="P2701">
        <v>0</v>
      </c>
      <c r="Q2701" t="s">
        <v>108</v>
      </c>
    </row>
    <row r="2702" spans="1:17">
      <c r="A2702" t="s">
        <v>93</v>
      </c>
      <c r="B2702" t="s">
        <v>106</v>
      </c>
      <c r="C2702" t="s">
        <v>56</v>
      </c>
      <c r="D2702" t="s">
        <v>2485</v>
      </c>
      <c r="E2702">
        <v>24</v>
      </c>
      <c r="F2702" t="str">
        <f>VLOOKUP(E2702,[1]LOJA!$A:$B,2,0)</f>
        <v>LUZIÂNIA</v>
      </c>
      <c r="G2702" t="s">
        <v>19</v>
      </c>
      <c r="H2702" t="s">
        <v>19</v>
      </c>
      <c r="I2702" s="1">
        <v>46048</v>
      </c>
      <c r="J2702" s="1">
        <v>46046</v>
      </c>
      <c r="K2702" s="1">
        <v>46048</v>
      </c>
      <c r="L2702">
        <v>34</v>
      </c>
      <c r="M2702">
        <v>0.6</v>
      </c>
      <c r="N2702">
        <v>0.6</v>
      </c>
      <c r="O2702">
        <v>0</v>
      </c>
      <c r="P2702">
        <v>0</v>
      </c>
      <c r="Q2702" t="s">
        <v>108</v>
      </c>
    </row>
    <row r="2703" spans="1:17">
      <c r="A2703" t="s">
        <v>93</v>
      </c>
      <c r="B2703" t="s">
        <v>106</v>
      </c>
      <c r="C2703" t="s">
        <v>56</v>
      </c>
      <c r="D2703" t="s">
        <v>2486</v>
      </c>
      <c r="E2703">
        <v>24</v>
      </c>
      <c r="F2703" t="str">
        <f>VLOOKUP(E2703,[1]LOJA!$A:$B,2,0)</f>
        <v>LUZIÂNIA</v>
      </c>
      <c r="G2703" t="s">
        <v>19</v>
      </c>
      <c r="H2703" t="s">
        <v>19</v>
      </c>
      <c r="I2703" s="1">
        <v>46048</v>
      </c>
      <c r="J2703" s="1">
        <v>46046</v>
      </c>
      <c r="K2703" s="1">
        <v>46048</v>
      </c>
      <c r="L2703">
        <v>34</v>
      </c>
      <c r="M2703">
        <v>2.67</v>
      </c>
      <c r="N2703">
        <v>2.67</v>
      </c>
      <c r="O2703">
        <v>0</v>
      </c>
      <c r="P2703">
        <v>0</v>
      </c>
      <c r="Q2703" t="s">
        <v>108</v>
      </c>
    </row>
    <row r="2704" spans="1:17">
      <c r="A2704" t="s">
        <v>93</v>
      </c>
      <c r="B2704" t="s">
        <v>106</v>
      </c>
      <c r="C2704" t="s">
        <v>56</v>
      </c>
      <c r="D2704" t="s">
        <v>2487</v>
      </c>
      <c r="E2704">
        <v>24</v>
      </c>
      <c r="F2704" t="str">
        <f>VLOOKUP(E2704,[1]LOJA!$A:$B,2,0)</f>
        <v>LUZIÂNIA</v>
      </c>
      <c r="G2704" t="s">
        <v>19</v>
      </c>
      <c r="H2704" t="s">
        <v>19</v>
      </c>
      <c r="I2704" s="1">
        <v>46048</v>
      </c>
      <c r="J2704" s="1">
        <v>46046</v>
      </c>
      <c r="K2704" s="1">
        <v>46048</v>
      </c>
      <c r="L2704">
        <v>34</v>
      </c>
      <c r="M2704">
        <v>1.78</v>
      </c>
      <c r="N2704">
        <v>1.78</v>
      </c>
      <c r="O2704">
        <v>0</v>
      </c>
      <c r="P2704">
        <v>0</v>
      </c>
      <c r="Q2704" t="s">
        <v>108</v>
      </c>
    </row>
    <row r="2705" spans="1:17">
      <c r="A2705" t="s">
        <v>93</v>
      </c>
      <c r="B2705" t="s">
        <v>106</v>
      </c>
      <c r="C2705" t="s">
        <v>56</v>
      </c>
      <c r="D2705" t="s">
        <v>2488</v>
      </c>
      <c r="E2705">
        <v>24</v>
      </c>
      <c r="F2705" t="str">
        <f>VLOOKUP(E2705,[1]LOJA!$A:$B,2,0)</f>
        <v>LUZIÂNIA</v>
      </c>
      <c r="G2705" t="s">
        <v>19</v>
      </c>
      <c r="H2705" t="s">
        <v>19</v>
      </c>
      <c r="I2705" s="1">
        <v>46048</v>
      </c>
      <c r="J2705" s="1">
        <v>46046</v>
      </c>
      <c r="K2705" s="1">
        <v>46048</v>
      </c>
      <c r="L2705">
        <v>34</v>
      </c>
      <c r="M2705">
        <v>0.62</v>
      </c>
      <c r="N2705">
        <v>0.62</v>
      </c>
      <c r="O2705">
        <v>0</v>
      </c>
      <c r="P2705">
        <v>0</v>
      </c>
      <c r="Q2705" t="s">
        <v>108</v>
      </c>
    </row>
    <row r="2706" spans="1:17">
      <c r="A2706" t="s">
        <v>93</v>
      </c>
      <c r="B2706" t="s">
        <v>106</v>
      </c>
      <c r="C2706" t="s">
        <v>56</v>
      </c>
      <c r="D2706" t="s">
        <v>2489</v>
      </c>
      <c r="E2706">
        <v>24</v>
      </c>
      <c r="F2706" t="str">
        <f>VLOOKUP(E2706,[1]LOJA!$A:$B,2,0)</f>
        <v>LUZIÂNIA</v>
      </c>
      <c r="G2706" t="s">
        <v>19</v>
      </c>
      <c r="H2706" t="s">
        <v>19</v>
      </c>
      <c r="I2706" s="1">
        <v>46048</v>
      </c>
      <c r="J2706" s="1">
        <v>46046</v>
      </c>
      <c r="K2706" s="1">
        <v>46048</v>
      </c>
      <c r="L2706">
        <v>34</v>
      </c>
      <c r="M2706">
        <v>0.36</v>
      </c>
      <c r="N2706">
        <v>0.36</v>
      </c>
      <c r="O2706">
        <v>0</v>
      </c>
      <c r="P2706">
        <v>0</v>
      </c>
      <c r="Q2706" t="s">
        <v>108</v>
      </c>
    </row>
    <row r="2707" spans="1:17">
      <c r="A2707" t="s">
        <v>93</v>
      </c>
      <c r="B2707" t="s">
        <v>106</v>
      </c>
      <c r="C2707" t="s">
        <v>56</v>
      </c>
      <c r="D2707" t="s">
        <v>2490</v>
      </c>
      <c r="E2707">
        <v>24</v>
      </c>
      <c r="F2707" t="str">
        <f>VLOOKUP(E2707,[1]LOJA!$A:$B,2,0)</f>
        <v>LUZIÂNIA</v>
      </c>
      <c r="G2707" t="s">
        <v>19</v>
      </c>
      <c r="H2707" t="s">
        <v>19</v>
      </c>
      <c r="I2707" s="1">
        <v>46048</v>
      </c>
      <c r="J2707" s="1">
        <v>46046</v>
      </c>
      <c r="K2707" s="1">
        <v>46048</v>
      </c>
      <c r="L2707">
        <v>34</v>
      </c>
      <c r="M2707">
        <v>0.18</v>
      </c>
      <c r="N2707">
        <v>0.18</v>
      </c>
      <c r="O2707">
        <v>0</v>
      </c>
      <c r="P2707">
        <v>0</v>
      </c>
      <c r="Q2707" t="s">
        <v>108</v>
      </c>
    </row>
    <row r="2708" spans="1:17">
      <c r="A2708" t="s">
        <v>93</v>
      </c>
      <c r="B2708" t="s">
        <v>106</v>
      </c>
      <c r="C2708" t="s">
        <v>56</v>
      </c>
      <c r="D2708" t="s">
        <v>2491</v>
      </c>
      <c r="E2708">
        <v>24</v>
      </c>
      <c r="F2708" t="str">
        <f>VLOOKUP(E2708,[1]LOJA!$A:$B,2,0)</f>
        <v>LUZIÂNIA</v>
      </c>
      <c r="G2708" t="s">
        <v>19</v>
      </c>
      <c r="H2708" t="s">
        <v>19</v>
      </c>
      <c r="I2708" s="1">
        <v>46048</v>
      </c>
      <c r="J2708" s="1">
        <v>46047</v>
      </c>
      <c r="K2708" s="1">
        <v>46048</v>
      </c>
      <c r="L2708">
        <v>34</v>
      </c>
      <c r="M2708">
        <v>0.27</v>
      </c>
      <c r="N2708">
        <v>0.27</v>
      </c>
      <c r="O2708">
        <v>0</v>
      </c>
      <c r="P2708">
        <v>0</v>
      </c>
      <c r="Q2708" t="s">
        <v>108</v>
      </c>
    </row>
    <row r="2709" spans="1:17">
      <c r="A2709" t="s">
        <v>93</v>
      </c>
      <c r="B2709" t="s">
        <v>106</v>
      </c>
      <c r="C2709" t="s">
        <v>56</v>
      </c>
      <c r="D2709" t="s">
        <v>2492</v>
      </c>
      <c r="E2709">
        <v>24</v>
      </c>
      <c r="F2709" t="str">
        <f>VLOOKUP(E2709,[1]LOJA!$A:$B,2,0)</f>
        <v>LUZIÂNIA</v>
      </c>
      <c r="G2709" t="s">
        <v>19</v>
      </c>
      <c r="H2709" t="s">
        <v>19</v>
      </c>
      <c r="I2709" s="1">
        <v>46048</v>
      </c>
      <c r="J2709" s="1">
        <v>46047</v>
      </c>
      <c r="K2709" s="1">
        <v>46048</v>
      </c>
      <c r="L2709">
        <v>34</v>
      </c>
      <c r="M2709">
        <v>1.33</v>
      </c>
      <c r="N2709">
        <v>1.33</v>
      </c>
      <c r="O2709">
        <v>0</v>
      </c>
      <c r="P2709">
        <v>0</v>
      </c>
      <c r="Q2709" t="s">
        <v>108</v>
      </c>
    </row>
    <row r="2710" spans="1:17">
      <c r="A2710" t="s">
        <v>93</v>
      </c>
      <c r="B2710" t="s">
        <v>106</v>
      </c>
      <c r="C2710" t="s">
        <v>56</v>
      </c>
      <c r="D2710" t="s">
        <v>2493</v>
      </c>
      <c r="E2710">
        <v>24</v>
      </c>
      <c r="F2710" t="str">
        <f>VLOOKUP(E2710,[1]LOJA!$A:$B,2,0)</f>
        <v>LUZIÂNIA</v>
      </c>
      <c r="G2710" t="s">
        <v>19</v>
      </c>
      <c r="H2710" t="s">
        <v>19</v>
      </c>
      <c r="I2710" s="1">
        <v>46048</v>
      </c>
      <c r="J2710" s="1">
        <v>46047</v>
      </c>
      <c r="K2710" s="1">
        <v>46048</v>
      </c>
      <c r="L2710">
        <v>34</v>
      </c>
      <c r="M2710">
        <v>0.17</v>
      </c>
      <c r="N2710">
        <v>0.17</v>
      </c>
      <c r="O2710">
        <v>0</v>
      </c>
      <c r="P2710">
        <v>0</v>
      </c>
      <c r="Q2710" t="s">
        <v>108</v>
      </c>
    </row>
    <row r="2711" spans="1:17">
      <c r="A2711" t="s">
        <v>93</v>
      </c>
      <c r="B2711" t="s">
        <v>106</v>
      </c>
      <c r="C2711" t="s">
        <v>56</v>
      </c>
      <c r="D2711" t="s">
        <v>2494</v>
      </c>
      <c r="E2711">
        <v>24</v>
      </c>
      <c r="F2711" t="str">
        <f>VLOOKUP(E2711,[1]LOJA!$A:$B,2,0)</f>
        <v>LUZIÂNIA</v>
      </c>
      <c r="G2711" t="s">
        <v>19</v>
      </c>
      <c r="H2711" t="s">
        <v>19</v>
      </c>
      <c r="I2711" s="1">
        <v>46048</v>
      </c>
      <c r="J2711" s="1">
        <v>46047</v>
      </c>
      <c r="K2711" s="1">
        <v>46048</v>
      </c>
      <c r="L2711">
        <v>34</v>
      </c>
      <c r="M2711">
        <v>0.15</v>
      </c>
      <c r="N2711">
        <v>0.15</v>
      </c>
      <c r="O2711">
        <v>0</v>
      </c>
      <c r="P2711">
        <v>0</v>
      </c>
      <c r="Q2711" t="s">
        <v>108</v>
      </c>
    </row>
    <row r="2712" spans="1:17">
      <c r="A2712" t="s">
        <v>93</v>
      </c>
      <c r="B2712" t="s">
        <v>106</v>
      </c>
      <c r="C2712" t="s">
        <v>56</v>
      </c>
      <c r="D2712" t="s">
        <v>2495</v>
      </c>
      <c r="E2712">
        <v>24</v>
      </c>
      <c r="F2712" t="str">
        <f>VLOOKUP(E2712,[1]LOJA!$A:$B,2,0)</f>
        <v>LUZIÂNIA</v>
      </c>
      <c r="G2712" t="s">
        <v>19</v>
      </c>
      <c r="H2712" t="s">
        <v>19</v>
      </c>
      <c r="I2712" s="1">
        <v>46048</v>
      </c>
      <c r="J2712" s="1">
        <v>46047</v>
      </c>
      <c r="K2712" s="1">
        <v>46048</v>
      </c>
      <c r="L2712">
        <v>34</v>
      </c>
      <c r="M2712">
        <v>0.44</v>
      </c>
      <c r="N2712">
        <v>0.44</v>
      </c>
      <c r="O2712">
        <v>0</v>
      </c>
      <c r="P2712">
        <v>0</v>
      </c>
      <c r="Q2712" t="s">
        <v>108</v>
      </c>
    </row>
    <row r="2713" spans="1:17">
      <c r="A2713" t="s">
        <v>93</v>
      </c>
      <c r="B2713" t="s">
        <v>106</v>
      </c>
      <c r="C2713" t="s">
        <v>56</v>
      </c>
      <c r="D2713" t="s">
        <v>2496</v>
      </c>
      <c r="E2713">
        <v>24</v>
      </c>
      <c r="F2713" t="str">
        <f>VLOOKUP(E2713,[1]LOJA!$A:$B,2,0)</f>
        <v>LUZIÂNIA</v>
      </c>
      <c r="G2713" t="s">
        <v>19</v>
      </c>
      <c r="H2713" t="s">
        <v>19</v>
      </c>
      <c r="I2713" s="1">
        <v>46048</v>
      </c>
      <c r="J2713" s="1">
        <v>46047</v>
      </c>
      <c r="K2713" s="1">
        <v>46048</v>
      </c>
      <c r="L2713">
        <v>34</v>
      </c>
      <c r="M2713">
        <v>0.37</v>
      </c>
      <c r="N2713">
        <v>0.37</v>
      </c>
      <c r="O2713">
        <v>0</v>
      </c>
      <c r="P2713">
        <v>0</v>
      </c>
      <c r="Q2713" t="s">
        <v>108</v>
      </c>
    </row>
    <row r="2714" spans="1:17">
      <c r="A2714" t="s">
        <v>93</v>
      </c>
      <c r="B2714" t="s">
        <v>106</v>
      </c>
      <c r="C2714" t="s">
        <v>56</v>
      </c>
      <c r="D2714" t="s">
        <v>2497</v>
      </c>
      <c r="E2714">
        <v>24</v>
      </c>
      <c r="F2714" t="str">
        <f>VLOOKUP(E2714,[1]LOJA!$A:$B,2,0)</f>
        <v>LUZIÂNIA</v>
      </c>
      <c r="G2714" t="s">
        <v>19</v>
      </c>
      <c r="H2714" t="s">
        <v>19</v>
      </c>
      <c r="I2714" s="1">
        <v>46048</v>
      </c>
      <c r="J2714" s="1">
        <v>46047</v>
      </c>
      <c r="K2714" s="1">
        <v>46048</v>
      </c>
      <c r="L2714">
        <v>34</v>
      </c>
      <c r="M2714">
        <v>1.34</v>
      </c>
      <c r="N2714">
        <v>1.34</v>
      </c>
      <c r="O2714">
        <v>0</v>
      </c>
      <c r="P2714">
        <v>0</v>
      </c>
      <c r="Q2714" t="s">
        <v>108</v>
      </c>
    </row>
    <row r="2715" spans="1:17">
      <c r="A2715" t="s">
        <v>93</v>
      </c>
      <c r="B2715" t="s">
        <v>106</v>
      </c>
      <c r="C2715" t="s">
        <v>56</v>
      </c>
      <c r="D2715" t="s">
        <v>2498</v>
      </c>
      <c r="E2715">
        <v>24</v>
      </c>
      <c r="F2715" t="str">
        <f>VLOOKUP(E2715,[1]LOJA!$A:$B,2,0)</f>
        <v>LUZIÂNIA</v>
      </c>
      <c r="G2715" t="s">
        <v>19</v>
      </c>
      <c r="H2715" t="s">
        <v>19</v>
      </c>
      <c r="I2715" s="1">
        <v>46048</v>
      </c>
      <c r="J2715" s="1">
        <v>46047</v>
      </c>
      <c r="K2715" s="1">
        <v>46048</v>
      </c>
      <c r="L2715">
        <v>34</v>
      </c>
      <c r="M2715">
        <v>2.0099999999999998</v>
      </c>
      <c r="N2715">
        <v>2.0099999999999998</v>
      </c>
      <c r="O2715">
        <v>0</v>
      </c>
      <c r="P2715">
        <v>0</v>
      </c>
      <c r="Q2715" t="s">
        <v>108</v>
      </c>
    </row>
    <row r="2716" spans="1:17">
      <c r="A2716" t="s">
        <v>93</v>
      </c>
      <c r="B2716" t="s">
        <v>106</v>
      </c>
      <c r="C2716" t="s">
        <v>56</v>
      </c>
      <c r="D2716" t="s">
        <v>2499</v>
      </c>
      <c r="E2716">
        <v>24</v>
      </c>
      <c r="F2716" t="str">
        <f>VLOOKUP(E2716,[1]LOJA!$A:$B,2,0)</f>
        <v>LUZIÂNIA</v>
      </c>
      <c r="G2716" t="s">
        <v>19</v>
      </c>
      <c r="H2716" t="s">
        <v>19</v>
      </c>
      <c r="I2716" s="1">
        <v>46048</v>
      </c>
      <c r="J2716" s="1">
        <v>46047</v>
      </c>
      <c r="K2716" s="1">
        <v>46048</v>
      </c>
      <c r="L2716">
        <v>34</v>
      </c>
      <c r="M2716">
        <v>0.46</v>
      </c>
      <c r="N2716">
        <v>0.46</v>
      </c>
      <c r="O2716">
        <v>0</v>
      </c>
      <c r="P2716">
        <v>0</v>
      </c>
      <c r="Q2716" t="s">
        <v>108</v>
      </c>
    </row>
    <row r="2717" spans="1:17">
      <c r="A2717" t="s">
        <v>93</v>
      </c>
      <c r="B2717" t="s">
        <v>106</v>
      </c>
      <c r="C2717" t="s">
        <v>56</v>
      </c>
      <c r="D2717" t="s">
        <v>2500</v>
      </c>
      <c r="E2717">
        <v>24</v>
      </c>
      <c r="F2717" t="str">
        <f>VLOOKUP(E2717,[1]LOJA!$A:$B,2,0)</f>
        <v>LUZIÂNIA</v>
      </c>
      <c r="G2717" t="s">
        <v>19</v>
      </c>
      <c r="H2717" t="s">
        <v>19</v>
      </c>
      <c r="I2717" s="1">
        <v>46048</v>
      </c>
      <c r="J2717" s="1">
        <v>46047</v>
      </c>
      <c r="K2717" s="1">
        <v>46048</v>
      </c>
      <c r="L2717">
        <v>34</v>
      </c>
      <c r="M2717">
        <v>0.11</v>
      </c>
      <c r="N2717">
        <v>0.11</v>
      </c>
      <c r="O2717">
        <v>0</v>
      </c>
      <c r="P2717">
        <v>0</v>
      </c>
      <c r="Q2717" t="s">
        <v>108</v>
      </c>
    </row>
    <row r="2718" spans="1:17">
      <c r="A2718" t="s">
        <v>93</v>
      </c>
      <c r="B2718" t="s">
        <v>106</v>
      </c>
      <c r="C2718" t="s">
        <v>56</v>
      </c>
      <c r="D2718" t="s">
        <v>2501</v>
      </c>
      <c r="E2718">
        <v>24</v>
      </c>
      <c r="F2718" t="str">
        <f>VLOOKUP(E2718,[1]LOJA!$A:$B,2,0)</f>
        <v>LUZIÂNIA</v>
      </c>
      <c r="G2718" t="s">
        <v>19</v>
      </c>
      <c r="H2718" t="s">
        <v>19</v>
      </c>
      <c r="I2718" s="1">
        <v>46048</v>
      </c>
      <c r="J2718" s="1">
        <v>46047</v>
      </c>
      <c r="K2718" s="1">
        <v>46048</v>
      </c>
      <c r="L2718">
        <v>34</v>
      </c>
      <c r="M2718">
        <v>0.12</v>
      </c>
      <c r="N2718">
        <v>0.12</v>
      </c>
      <c r="O2718">
        <v>0</v>
      </c>
      <c r="P2718">
        <v>0</v>
      </c>
      <c r="Q2718" t="s">
        <v>108</v>
      </c>
    </row>
    <row r="2719" spans="1:17">
      <c r="A2719" t="s">
        <v>93</v>
      </c>
      <c r="B2719" t="s">
        <v>106</v>
      </c>
      <c r="C2719" t="s">
        <v>56</v>
      </c>
      <c r="D2719" t="s">
        <v>2502</v>
      </c>
      <c r="E2719">
        <v>24</v>
      </c>
      <c r="F2719" t="str">
        <f>VLOOKUP(E2719,[1]LOJA!$A:$B,2,0)</f>
        <v>LUZIÂNIA</v>
      </c>
      <c r="G2719" t="s">
        <v>19</v>
      </c>
      <c r="H2719" t="s">
        <v>19</v>
      </c>
      <c r="I2719" s="1">
        <v>46048</v>
      </c>
      <c r="J2719" s="1">
        <v>46047</v>
      </c>
      <c r="K2719" s="1">
        <v>46048</v>
      </c>
      <c r="L2719">
        <v>34</v>
      </c>
      <c r="M2719">
        <v>0.75</v>
      </c>
      <c r="N2719">
        <v>0.75</v>
      </c>
      <c r="O2719">
        <v>0</v>
      </c>
      <c r="P2719">
        <v>0</v>
      </c>
      <c r="Q2719" t="s">
        <v>108</v>
      </c>
    </row>
    <row r="2720" spans="1:17">
      <c r="A2720" t="s">
        <v>93</v>
      </c>
      <c r="B2720" t="s">
        <v>106</v>
      </c>
      <c r="C2720" t="s">
        <v>56</v>
      </c>
      <c r="D2720" t="s">
        <v>2503</v>
      </c>
      <c r="E2720">
        <v>24</v>
      </c>
      <c r="F2720" t="str">
        <f>VLOOKUP(E2720,[1]LOJA!$A:$B,2,0)</f>
        <v>LUZIÂNIA</v>
      </c>
      <c r="G2720" t="s">
        <v>19</v>
      </c>
      <c r="H2720" t="s">
        <v>19</v>
      </c>
      <c r="I2720" s="1">
        <v>46048</v>
      </c>
      <c r="J2720" s="1">
        <v>46047</v>
      </c>
      <c r="K2720" s="1">
        <v>46048</v>
      </c>
      <c r="L2720">
        <v>34</v>
      </c>
      <c r="M2720">
        <v>0.23</v>
      </c>
      <c r="N2720">
        <v>0.23</v>
      </c>
      <c r="O2720">
        <v>0</v>
      </c>
      <c r="P2720">
        <v>0</v>
      </c>
      <c r="Q2720" t="s">
        <v>108</v>
      </c>
    </row>
    <row r="2721" spans="1:17">
      <c r="A2721" t="s">
        <v>93</v>
      </c>
      <c r="B2721" t="s">
        <v>106</v>
      </c>
      <c r="C2721" t="s">
        <v>56</v>
      </c>
      <c r="D2721" t="s">
        <v>2504</v>
      </c>
      <c r="E2721">
        <v>24</v>
      </c>
      <c r="F2721" t="str">
        <f>VLOOKUP(E2721,[1]LOJA!$A:$B,2,0)</f>
        <v>LUZIÂNIA</v>
      </c>
      <c r="G2721" t="s">
        <v>19</v>
      </c>
      <c r="H2721" t="s">
        <v>19</v>
      </c>
      <c r="I2721" s="1">
        <v>46048</v>
      </c>
      <c r="J2721" s="1">
        <v>46047</v>
      </c>
      <c r="K2721" s="1">
        <v>46048</v>
      </c>
      <c r="L2721">
        <v>34</v>
      </c>
      <c r="M2721">
        <v>0.12</v>
      </c>
      <c r="N2721">
        <v>0.12</v>
      </c>
      <c r="O2721">
        <v>0</v>
      </c>
      <c r="P2721">
        <v>0</v>
      </c>
      <c r="Q2721" t="s">
        <v>108</v>
      </c>
    </row>
    <row r="2722" spans="1:17">
      <c r="A2722" t="s">
        <v>93</v>
      </c>
      <c r="B2722" t="s">
        <v>106</v>
      </c>
      <c r="C2722" t="s">
        <v>56</v>
      </c>
      <c r="D2722" t="s">
        <v>2505</v>
      </c>
      <c r="E2722">
        <v>24</v>
      </c>
      <c r="F2722" t="str">
        <f>VLOOKUP(E2722,[1]LOJA!$A:$B,2,0)</f>
        <v>LUZIÂNIA</v>
      </c>
      <c r="G2722" t="s">
        <v>19</v>
      </c>
      <c r="H2722" t="s">
        <v>19</v>
      </c>
      <c r="I2722" s="1">
        <v>46050</v>
      </c>
      <c r="J2722" s="1">
        <v>46050</v>
      </c>
      <c r="K2722" s="1">
        <v>46050</v>
      </c>
      <c r="L2722">
        <v>34</v>
      </c>
      <c r="M2722">
        <v>5.63</v>
      </c>
      <c r="N2722">
        <v>5.63</v>
      </c>
      <c r="O2722">
        <v>0</v>
      </c>
      <c r="P2722">
        <v>0</v>
      </c>
      <c r="Q2722" t="s">
        <v>108</v>
      </c>
    </row>
    <row r="2723" spans="1:17">
      <c r="A2723" t="s">
        <v>93</v>
      </c>
      <c r="B2723" t="s">
        <v>106</v>
      </c>
      <c r="C2723" t="s">
        <v>56</v>
      </c>
      <c r="D2723" t="s">
        <v>2506</v>
      </c>
      <c r="E2723">
        <v>24</v>
      </c>
      <c r="F2723" t="str">
        <f>VLOOKUP(E2723,[1]LOJA!$A:$B,2,0)</f>
        <v>LUZIÂNIA</v>
      </c>
      <c r="G2723" t="s">
        <v>19</v>
      </c>
      <c r="H2723" t="s">
        <v>19</v>
      </c>
      <c r="I2723" s="1">
        <v>46050</v>
      </c>
      <c r="J2723" s="1">
        <v>46050</v>
      </c>
      <c r="K2723" s="1">
        <v>46050</v>
      </c>
      <c r="L2723">
        <v>34</v>
      </c>
      <c r="M2723">
        <v>15.88</v>
      </c>
      <c r="N2723">
        <v>15.88</v>
      </c>
      <c r="O2723">
        <v>0</v>
      </c>
      <c r="P2723">
        <v>0</v>
      </c>
      <c r="Q2723" t="s">
        <v>108</v>
      </c>
    </row>
    <row r="2724" spans="1:17">
      <c r="A2724" t="s">
        <v>93</v>
      </c>
      <c r="B2724" t="s">
        <v>106</v>
      </c>
      <c r="C2724" t="s">
        <v>56</v>
      </c>
      <c r="D2724" t="s">
        <v>2507</v>
      </c>
      <c r="E2724">
        <v>24</v>
      </c>
      <c r="F2724" t="str">
        <f>VLOOKUP(E2724,[1]LOJA!$A:$B,2,0)</f>
        <v>LUZIÂNIA</v>
      </c>
      <c r="G2724" t="s">
        <v>19</v>
      </c>
      <c r="H2724" t="s">
        <v>19</v>
      </c>
      <c r="I2724" s="1">
        <v>46050</v>
      </c>
      <c r="J2724" s="1">
        <v>46050</v>
      </c>
      <c r="K2724" s="1">
        <v>46050</v>
      </c>
      <c r="L2724">
        <v>34</v>
      </c>
      <c r="M2724">
        <v>10.94</v>
      </c>
      <c r="N2724">
        <v>10.94</v>
      </c>
      <c r="O2724">
        <v>0</v>
      </c>
      <c r="P2724">
        <v>0</v>
      </c>
      <c r="Q2724" t="s">
        <v>108</v>
      </c>
    </row>
    <row r="2725" spans="1:17">
      <c r="A2725" t="s">
        <v>93</v>
      </c>
      <c r="B2725" t="s">
        <v>106</v>
      </c>
      <c r="C2725" t="s">
        <v>56</v>
      </c>
      <c r="D2725" t="s">
        <v>2508</v>
      </c>
      <c r="E2725">
        <v>24</v>
      </c>
      <c r="F2725" t="str">
        <f>VLOOKUP(E2725,[1]LOJA!$A:$B,2,0)</f>
        <v>LUZIÂNIA</v>
      </c>
      <c r="G2725" t="s">
        <v>19</v>
      </c>
      <c r="H2725" t="s">
        <v>19</v>
      </c>
      <c r="I2725" s="1">
        <v>46050</v>
      </c>
      <c r="J2725" s="1">
        <v>46050</v>
      </c>
      <c r="K2725" s="1">
        <v>46050</v>
      </c>
      <c r="L2725">
        <v>34</v>
      </c>
      <c r="M2725">
        <v>3.65</v>
      </c>
      <c r="N2725">
        <v>3.65</v>
      </c>
      <c r="O2725">
        <v>0</v>
      </c>
      <c r="P2725">
        <v>0</v>
      </c>
      <c r="Q2725" t="s">
        <v>108</v>
      </c>
    </row>
    <row r="2726" spans="1:17">
      <c r="A2726" t="s">
        <v>93</v>
      </c>
      <c r="B2726" t="s">
        <v>106</v>
      </c>
      <c r="C2726" t="s">
        <v>56</v>
      </c>
      <c r="D2726" t="s">
        <v>2509</v>
      </c>
      <c r="E2726">
        <v>24</v>
      </c>
      <c r="F2726" t="str">
        <f>VLOOKUP(E2726,[1]LOJA!$A:$B,2,0)</f>
        <v>LUZIÂNIA</v>
      </c>
      <c r="G2726" t="s">
        <v>19</v>
      </c>
      <c r="H2726" t="s">
        <v>19</v>
      </c>
      <c r="I2726" s="1">
        <v>46050</v>
      </c>
      <c r="J2726" s="1">
        <v>46050</v>
      </c>
      <c r="K2726" s="1">
        <v>46050</v>
      </c>
      <c r="L2726">
        <v>34</v>
      </c>
      <c r="M2726">
        <v>13.21</v>
      </c>
      <c r="N2726">
        <v>13.21</v>
      </c>
      <c r="O2726">
        <v>0</v>
      </c>
      <c r="P2726">
        <v>0</v>
      </c>
      <c r="Q2726" t="s">
        <v>108</v>
      </c>
    </row>
    <row r="2727" spans="1:17">
      <c r="A2727" t="s">
        <v>93</v>
      </c>
      <c r="B2727" t="s">
        <v>106</v>
      </c>
      <c r="C2727" t="s">
        <v>56</v>
      </c>
      <c r="D2727" t="s">
        <v>2510</v>
      </c>
      <c r="E2727">
        <v>24</v>
      </c>
      <c r="F2727" t="str">
        <f>VLOOKUP(E2727,[1]LOJA!$A:$B,2,0)</f>
        <v>LUZIÂNIA</v>
      </c>
      <c r="G2727" t="s">
        <v>19</v>
      </c>
      <c r="H2727" t="s">
        <v>19</v>
      </c>
      <c r="I2727" s="1">
        <v>46050</v>
      </c>
      <c r="J2727" s="1">
        <v>46050</v>
      </c>
      <c r="K2727" s="1">
        <v>46050</v>
      </c>
      <c r="L2727">
        <v>34</v>
      </c>
      <c r="M2727">
        <v>8.4600000000000009</v>
      </c>
      <c r="N2727">
        <v>8.4600000000000009</v>
      </c>
      <c r="O2727">
        <v>0</v>
      </c>
      <c r="P2727">
        <v>0</v>
      </c>
      <c r="Q2727" t="s">
        <v>108</v>
      </c>
    </row>
    <row r="2728" spans="1:17">
      <c r="A2728" t="s">
        <v>93</v>
      </c>
      <c r="B2728" t="s">
        <v>106</v>
      </c>
      <c r="C2728" t="s">
        <v>56</v>
      </c>
      <c r="D2728" t="s">
        <v>2511</v>
      </c>
      <c r="E2728">
        <v>24</v>
      </c>
      <c r="F2728" t="str">
        <f>VLOOKUP(E2728,[1]LOJA!$A:$B,2,0)</f>
        <v>LUZIÂNIA</v>
      </c>
      <c r="G2728" t="s">
        <v>19</v>
      </c>
      <c r="H2728" t="s">
        <v>19</v>
      </c>
      <c r="I2728" s="1">
        <v>46050</v>
      </c>
      <c r="J2728" s="1">
        <v>46050</v>
      </c>
      <c r="K2728" s="1">
        <v>46050</v>
      </c>
      <c r="L2728">
        <v>34</v>
      </c>
      <c r="M2728">
        <v>6.03</v>
      </c>
      <c r="N2728">
        <v>6.03</v>
      </c>
      <c r="O2728">
        <v>0</v>
      </c>
      <c r="P2728">
        <v>0</v>
      </c>
      <c r="Q2728" t="s">
        <v>108</v>
      </c>
    </row>
    <row r="2729" spans="1:17">
      <c r="A2729" t="s">
        <v>93</v>
      </c>
      <c r="B2729" t="s">
        <v>106</v>
      </c>
      <c r="C2729" t="s">
        <v>56</v>
      </c>
      <c r="D2729" t="s">
        <v>2512</v>
      </c>
      <c r="E2729">
        <v>24</v>
      </c>
      <c r="F2729" t="str">
        <f>VLOOKUP(E2729,[1]LOJA!$A:$B,2,0)</f>
        <v>LUZIÂNIA</v>
      </c>
      <c r="G2729" t="s">
        <v>19</v>
      </c>
      <c r="H2729" t="s">
        <v>19</v>
      </c>
      <c r="I2729" s="1">
        <v>46050</v>
      </c>
      <c r="J2729" s="1">
        <v>46050</v>
      </c>
      <c r="K2729" s="1">
        <v>46050</v>
      </c>
      <c r="L2729">
        <v>34</v>
      </c>
      <c r="M2729">
        <v>6.17</v>
      </c>
      <c r="N2729">
        <v>6.17</v>
      </c>
      <c r="O2729">
        <v>0</v>
      </c>
      <c r="P2729">
        <v>0</v>
      </c>
      <c r="Q2729" t="s">
        <v>108</v>
      </c>
    </row>
    <row r="2730" spans="1:17">
      <c r="A2730" t="s">
        <v>93</v>
      </c>
      <c r="B2730" t="s">
        <v>106</v>
      </c>
      <c r="C2730" t="s">
        <v>56</v>
      </c>
      <c r="D2730" t="s">
        <v>2513</v>
      </c>
      <c r="E2730">
        <v>24</v>
      </c>
      <c r="F2730" t="str">
        <f>VLOOKUP(E2730,[1]LOJA!$A:$B,2,0)</f>
        <v>LUZIÂNIA</v>
      </c>
      <c r="G2730" t="s">
        <v>19</v>
      </c>
      <c r="H2730" t="s">
        <v>19</v>
      </c>
      <c r="I2730" s="1">
        <v>46050</v>
      </c>
      <c r="J2730" s="1">
        <v>46050</v>
      </c>
      <c r="K2730" s="1">
        <v>46050</v>
      </c>
      <c r="L2730">
        <v>34</v>
      </c>
      <c r="M2730">
        <v>4.58</v>
      </c>
      <c r="N2730">
        <v>4.58</v>
      </c>
      <c r="O2730">
        <v>0</v>
      </c>
      <c r="P2730">
        <v>0</v>
      </c>
      <c r="Q2730" t="s">
        <v>108</v>
      </c>
    </row>
    <row r="2731" spans="1:17">
      <c r="A2731" t="s">
        <v>93</v>
      </c>
      <c r="B2731" t="s">
        <v>106</v>
      </c>
      <c r="C2731" t="s">
        <v>56</v>
      </c>
      <c r="D2731" t="s">
        <v>2514</v>
      </c>
      <c r="E2731">
        <v>24</v>
      </c>
      <c r="F2731" t="str">
        <f>VLOOKUP(E2731,[1]LOJA!$A:$B,2,0)</f>
        <v>LUZIÂNIA</v>
      </c>
      <c r="G2731" t="s">
        <v>19</v>
      </c>
      <c r="H2731" t="s">
        <v>19</v>
      </c>
      <c r="I2731" s="1">
        <v>46050</v>
      </c>
      <c r="J2731" s="1">
        <v>46050</v>
      </c>
      <c r="K2731" s="1">
        <v>46050</v>
      </c>
      <c r="L2731">
        <v>34</v>
      </c>
      <c r="M2731">
        <v>13.14</v>
      </c>
      <c r="N2731">
        <v>13.14</v>
      </c>
      <c r="O2731">
        <v>0</v>
      </c>
      <c r="P2731">
        <v>0</v>
      </c>
      <c r="Q2731" t="s">
        <v>108</v>
      </c>
    </row>
    <row r="2732" spans="1:17">
      <c r="A2732" t="s">
        <v>93</v>
      </c>
      <c r="B2732" t="s">
        <v>106</v>
      </c>
      <c r="C2732" t="s">
        <v>56</v>
      </c>
      <c r="D2732" t="s">
        <v>2515</v>
      </c>
      <c r="E2732">
        <v>24</v>
      </c>
      <c r="F2732" t="str">
        <f>VLOOKUP(E2732,[1]LOJA!$A:$B,2,0)</f>
        <v>LUZIÂNIA</v>
      </c>
      <c r="G2732" t="s">
        <v>19</v>
      </c>
      <c r="H2732" t="s">
        <v>19</v>
      </c>
      <c r="I2732" s="1">
        <v>46050</v>
      </c>
      <c r="J2732" s="1">
        <v>46050</v>
      </c>
      <c r="K2732" s="1">
        <v>46050</v>
      </c>
      <c r="L2732">
        <v>34</v>
      </c>
      <c r="M2732">
        <v>6.38</v>
      </c>
      <c r="N2732">
        <v>6.38</v>
      </c>
      <c r="O2732">
        <v>0</v>
      </c>
      <c r="P2732">
        <v>0</v>
      </c>
      <c r="Q2732" t="s">
        <v>108</v>
      </c>
    </row>
    <row r="2733" spans="1:17">
      <c r="A2733" t="s">
        <v>93</v>
      </c>
      <c r="B2733" t="s">
        <v>106</v>
      </c>
      <c r="C2733" t="s">
        <v>56</v>
      </c>
      <c r="D2733" t="s">
        <v>2516</v>
      </c>
      <c r="E2733">
        <v>24</v>
      </c>
      <c r="F2733" t="str">
        <f>VLOOKUP(E2733,[1]LOJA!$A:$B,2,0)</f>
        <v>LUZIÂNIA</v>
      </c>
      <c r="G2733" t="s">
        <v>19</v>
      </c>
      <c r="H2733" t="s">
        <v>19</v>
      </c>
      <c r="I2733" s="1">
        <v>46050</v>
      </c>
      <c r="J2733" s="1">
        <v>46050</v>
      </c>
      <c r="K2733" s="1">
        <v>46050</v>
      </c>
      <c r="L2733">
        <v>34</v>
      </c>
      <c r="M2733">
        <v>0.86</v>
      </c>
      <c r="N2733">
        <v>0.86</v>
      </c>
      <c r="O2733">
        <v>0</v>
      </c>
      <c r="P2733">
        <v>0</v>
      </c>
      <c r="Q2733" t="s">
        <v>108</v>
      </c>
    </row>
    <row r="2734" spans="1:17">
      <c r="A2734" t="s">
        <v>93</v>
      </c>
      <c r="B2734" t="s">
        <v>106</v>
      </c>
      <c r="C2734" t="s">
        <v>56</v>
      </c>
      <c r="D2734" t="s">
        <v>2517</v>
      </c>
      <c r="E2734">
        <v>24</v>
      </c>
      <c r="F2734" t="str">
        <f>VLOOKUP(E2734,[1]LOJA!$A:$B,2,0)</f>
        <v>LUZIÂNIA</v>
      </c>
      <c r="G2734" t="s">
        <v>19</v>
      </c>
      <c r="H2734" t="s">
        <v>19</v>
      </c>
      <c r="I2734" s="1">
        <v>46050</v>
      </c>
      <c r="J2734" s="1">
        <v>46050</v>
      </c>
      <c r="K2734" s="1">
        <v>46050</v>
      </c>
      <c r="L2734">
        <v>34</v>
      </c>
      <c r="M2734">
        <v>0.15</v>
      </c>
      <c r="N2734">
        <v>0.15</v>
      </c>
      <c r="O2734">
        <v>0</v>
      </c>
      <c r="P2734">
        <v>0</v>
      </c>
      <c r="Q2734" t="s">
        <v>108</v>
      </c>
    </row>
    <row r="2735" spans="1:17">
      <c r="A2735" t="s">
        <v>93</v>
      </c>
      <c r="B2735" t="s">
        <v>106</v>
      </c>
      <c r="C2735" t="s">
        <v>56</v>
      </c>
      <c r="D2735" t="s">
        <v>2518</v>
      </c>
      <c r="E2735">
        <v>24</v>
      </c>
      <c r="F2735" t="str">
        <f>VLOOKUP(E2735,[1]LOJA!$A:$B,2,0)</f>
        <v>LUZIÂNIA</v>
      </c>
      <c r="G2735" t="s">
        <v>19</v>
      </c>
      <c r="H2735" t="s">
        <v>19</v>
      </c>
      <c r="I2735" s="1">
        <v>46050</v>
      </c>
      <c r="J2735" s="1">
        <v>46050</v>
      </c>
      <c r="K2735" s="1">
        <v>46050</v>
      </c>
      <c r="L2735">
        <v>34</v>
      </c>
      <c r="M2735">
        <v>0.04</v>
      </c>
      <c r="N2735">
        <v>0.04</v>
      </c>
      <c r="O2735">
        <v>0</v>
      </c>
      <c r="P2735">
        <v>0</v>
      </c>
      <c r="Q2735" t="s">
        <v>108</v>
      </c>
    </row>
    <row r="2736" spans="1:17">
      <c r="A2736" t="s">
        <v>93</v>
      </c>
      <c r="B2736" t="s">
        <v>106</v>
      </c>
      <c r="C2736" t="s">
        <v>56</v>
      </c>
      <c r="D2736" t="s">
        <v>2519</v>
      </c>
      <c r="E2736">
        <v>24</v>
      </c>
      <c r="F2736" t="str">
        <f>VLOOKUP(E2736,[1]LOJA!$A:$B,2,0)</f>
        <v>LUZIÂNIA</v>
      </c>
      <c r="G2736" t="s">
        <v>19</v>
      </c>
      <c r="H2736" t="s">
        <v>19</v>
      </c>
      <c r="I2736" s="1">
        <v>46050</v>
      </c>
      <c r="J2736" s="1">
        <v>46050</v>
      </c>
      <c r="K2736" s="1">
        <v>46050</v>
      </c>
      <c r="L2736">
        <v>34</v>
      </c>
      <c r="M2736">
        <v>0.37</v>
      </c>
      <c r="N2736">
        <v>0.37</v>
      </c>
      <c r="O2736">
        <v>0</v>
      </c>
      <c r="P2736">
        <v>0</v>
      </c>
      <c r="Q2736" t="s">
        <v>108</v>
      </c>
    </row>
    <row r="2737" spans="1:17">
      <c r="A2737" t="s">
        <v>93</v>
      </c>
      <c r="B2737" t="s">
        <v>106</v>
      </c>
      <c r="C2737" t="s">
        <v>56</v>
      </c>
      <c r="D2737" t="s">
        <v>2520</v>
      </c>
      <c r="E2737">
        <v>24</v>
      </c>
      <c r="F2737" t="str">
        <f>VLOOKUP(E2737,[1]LOJA!$A:$B,2,0)</f>
        <v>LUZIÂNIA</v>
      </c>
      <c r="G2737" t="s">
        <v>19</v>
      </c>
      <c r="H2737" t="s">
        <v>19</v>
      </c>
      <c r="I2737" s="1">
        <v>46050</v>
      </c>
      <c r="J2737" s="1">
        <v>46050</v>
      </c>
      <c r="K2737" s="1">
        <v>46050</v>
      </c>
      <c r="L2737">
        <v>34</v>
      </c>
      <c r="M2737">
        <v>0.23</v>
      </c>
      <c r="N2737">
        <v>0.23</v>
      </c>
      <c r="O2737">
        <v>0</v>
      </c>
      <c r="P2737">
        <v>0</v>
      </c>
      <c r="Q2737" t="s">
        <v>108</v>
      </c>
    </row>
    <row r="2738" spans="1:17">
      <c r="A2738" t="s">
        <v>93</v>
      </c>
      <c r="B2738" t="s">
        <v>106</v>
      </c>
      <c r="C2738" t="s">
        <v>56</v>
      </c>
      <c r="D2738" t="s">
        <v>2521</v>
      </c>
      <c r="E2738">
        <v>24</v>
      </c>
      <c r="F2738" t="str">
        <f>VLOOKUP(E2738,[1]LOJA!$A:$B,2,0)</f>
        <v>LUZIÂNIA</v>
      </c>
      <c r="G2738" t="s">
        <v>19</v>
      </c>
      <c r="H2738" t="s">
        <v>19</v>
      </c>
      <c r="I2738" s="1">
        <v>46050</v>
      </c>
      <c r="J2738" s="1">
        <v>46050</v>
      </c>
      <c r="K2738" s="1">
        <v>46050</v>
      </c>
      <c r="L2738">
        <v>34</v>
      </c>
      <c r="M2738">
        <v>0.23</v>
      </c>
      <c r="N2738">
        <v>0.23</v>
      </c>
      <c r="O2738">
        <v>0</v>
      </c>
      <c r="P2738">
        <v>0</v>
      </c>
      <c r="Q2738" t="s">
        <v>108</v>
      </c>
    </row>
    <row r="2739" spans="1:17">
      <c r="A2739" t="s">
        <v>93</v>
      </c>
      <c r="B2739" t="s">
        <v>106</v>
      </c>
      <c r="C2739" t="s">
        <v>56</v>
      </c>
      <c r="D2739" t="s">
        <v>2522</v>
      </c>
      <c r="E2739">
        <v>24</v>
      </c>
      <c r="F2739" t="str">
        <f>VLOOKUP(E2739,[1]LOJA!$A:$B,2,0)</f>
        <v>LUZIÂNIA</v>
      </c>
      <c r="G2739" t="s">
        <v>19</v>
      </c>
      <c r="H2739" t="s">
        <v>19</v>
      </c>
      <c r="I2739" s="1">
        <v>46050</v>
      </c>
      <c r="J2739" s="1">
        <v>46050</v>
      </c>
      <c r="K2739" s="1">
        <v>46050</v>
      </c>
      <c r="L2739">
        <v>34</v>
      </c>
      <c r="M2739">
        <v>0.87</v>
      </c>
      <c r="N2739">
        <v>0.87</v>
      </c>
      <c r="O2739">
        <v>0</v>
      </c>
      <c r="P2739">
        <v>0</v>
      </c>
      <c r="Q2739" t="s">
        <v>108</v>
      </c>
    </row>
    <row r="2740" spans="1:17">
      <c r="A2740" t="s">
        <v>93</v>
      </c>
      <c r="B2740" t="s">
        <v>106</v>
      </c>
      <c r="C2740" t="s">
        <v>56</v>
      </c>
      <c r="D2740" t="s">
        <v>2523</v>
      </c>
      <c r="E2740">
        <v>24</v>
      </c>
      <c r="F2740" t="str">
        <f>VLOOKUP(E2740,[1]LOJA!$A:$B,2,0)</f>
        <v>LUZIÂNIA</v>
      </c>
      <c r="G2740" t="s">
        <v>19</v>
      </c>
      <c r="H2740" t="s">
        <v>19</v>
      </c>
      <c r="I2740" s="1">
        <v>46050</v>
      </c>
      <c r="J2740" s="1">
        <v>46050</v>
      </c>
      <c r="K2740" s="1">
        <v>46050</v>
      </c>
      <c r="L2740">
        <v>34</v>
      </c>
      <c r="M2740">
        <v>0.13</v>
      </c>
      <c r="N2740">
        <v>0.13</v>
      </c>
      <c r="O2740">
        <v>0</v>
      </c>
      <c r="P2740">
        <v>0</v>
      </c>
      <c r="Q2740" t="s">
        <v>108</v>
      </c>
    </row>
    <row r="2741" spans="1:17">
      <c r="A2741" t="s">
        <v>93</v>
      </c>
      <c r="B2741" t="s">
        <v>106</v>
      </c>
      <c r="C2741" t="s">
        <v>56</v>
      </c>
      <c r="D2741" t="s">
        <v>2524</v>
      </c>
      <c r="E2741">
        <v>24</v>
      </c>
      <c r="F2741" t="str">
        <f>VLOOKUP(E2741,[1]LOJA!$A:$B,2,0)</f>
        <v>LUZIÂNIA</v>
      </c>
      <c r="G2741" t="s">
        <v>19</v>
      </c>
      <c r="H2741" t="s">
        <v>19</v>
      </c>
      <c r="I2741" s="1">
        <v>46050</v>
      </c>
      <c r="J2741" s="1">
        <v>46050</v>
      </c>
      <c r="K2741" s="1">
        <v>46050</v>
      </c>
      <c r="L2741">
        <v>34</v>
      </c>
      <c r="M2741">
        <v>0.74</v>
      </c>
      <c r="N2741">
        <v>0.74</v>
      </c>
      <c r="O2741">
        <v>0</v>
      </c>
      <c r="P2741">
        <v>0</v>
      </c>
      <c r="Q2741" t="s">
        <v>108</v>
      </c>
    </row>
    <row r="2742" spans="1:17">
      <c r="A2742" t="s">
        <v>93</v>
      </c>
      <c r="B2742" t="s">
        <v>106</v>
      </c>
      <c r="C2742" t="s">
        <v>56</v>
      </c>
      <c r="D2742" t="s">
        <v>2525</v>
      </c>
      <c r="E2742">
        <v>24</v>
      </c>
      <c r="F2742" t="str">
        <f>VLOOKUP(E2742,[1]LOJA!$A:$B,2,0)</f>
        <v>LUZIÂNIA</v>
      </c>
      <c r="G2742" t="s">
        <v>19</v>
      </c>
      <c r="H2742" t="s">
        <v>19</v>
      </c>
      <c r="I2742" s="1">
        <v>46050</v>
      </c>
      <c r="J2742" s="1">
        <v>46050</v>
      </c>
      <c r="K2742" s="1">
        <v>46050</v>
      </c>
      <c r="L2742">
        <v>34</v>
      </c>
      <c r="M2742">
        <v>0.19</v>
      </c>
      <c r="N2742">
        <v>0.19</v>
      </c>
      <c r="O2742">
        <v>0</v>
      </c>
      <c r="P2742">
        <v>0</v>
      </c>
      <c r="Q2742" t="s">
        <v>108</v>
      </c>
    </row>
    <row r="2743" spans="1:17">
      <c r="A2743" t="s">
        <v>93</v>
      </c>
      <c r="B2743" t="s">
        <v>106</v>
      </c>
      <c r="C2743" t="s">
        <v>56</v>
      </c>
      <c r="D2743" t="s">
        <v>2526</v>
      </c>
      <c r="E2743">
        <v>24</v>
      </c>
      <c r="F2743" t="str">
        <f>VLOOKUP(E2743,[1]LOJA!$A:$B,2,0)</f>
        <v>LUZIÂNIA</v>
      </c>
      <c r="G2743" t="s">
        <v>19</v>
      </c>
      <c r="H2743" t="s">
        <v>19</v>
      </c>
      <c r="I2743" s="1">
        <v>46050</v>
      </c>
      <c r="J2743" s="1">
        <v>46050</v>
      </c>
      <c r="K2743" s="1">
        <v>46050</v>
      </c>
      <c r="L2743">
        <v>34</v>
      </c>
      <c r="M2743">
        <v>0.04</v>
      </c>
      <c r="N2743">
        <v>0.04</v>
      </c>
      <c r="O2743">
        <v>0</v>
      </c>
      <c r="P2743">
        <v>0</v>
      </c>
      <c r="Q2743" t="s">
        <v>108</v>
      </c>
    </row>
    <row r="2744" spans="1:17">
      <c r="A2744" t="s">
        <v>93</v>
      </c>
      <c r="B2744" t="s">
        <v>106</v>
      </c>
      <c r="C2744" t="s">
        <v>56</v>
      </c>
      <c r="D2744" t="s">
        <v>2527</v>
      </c>
      <c r="E2744">
        <v>24</v>
      </c>
      <c r="F2744" t="str">
        <f>VLOOKUP(E2744,[1]LOJA!$A:$B,2,0)</f>
        <v>LUZIÂNIA</v>
      </c>
      <c r="G2744" t="s">
        <v>19</v>
      </c>
      <c r="H2744" t="s">
        <v>19</v>
      </c>
      <c r="I2744" s="1">
        <v>46050</v>
      </c>
      <c r="J2744" s="1">
        <v>46050</v>
      </c>
      <c r="K2744" s="1">
        <v>46050</v>
      </c>
      <c r="L2744">
        <v>34</v>
      </c>
      <c r="M2744">
        <v>2.0099999999999998</v>
      </c>
      <c r="N2744">
        <v>2.0099999999999998</v>
      </c>
      <c r="O2744">
        <v>0</v>
      </c>
      <c r="P2744">
        <v>0</v>
      </c>
      <c r="Q2744" t="s">
        <v>108</v>
      </c>
    </row>
    <row r="2745" spans="1:17">
      <c r="A2745" t="s">
        <v>93</v>
      </c>
      <c r="B2745" t="s">
        <v>106</v>
      </c>
      <c r="C2745" t="s">
        <v>56</v>
      </c>
      <c r="D2745" t="s">
        <v>2528</v>
      </c>
      <c r="E2745">
        <v>24</v>
      </c>
      <c r="F2745" t="str">
        <f>VLOOKUP(E2745,[1]LOJA!$A:$B,2,0)</f>
        <v>LUZIÂNIA</v>
      </c>
      <c r="G2745" t="s">
        <v>19</v>
      </c>
      <c r="H2745" t="s">
        <v>19</v>
      </c>
      <c r="I2745" s="1">
        <v>46050</v>
      </c>
      <c r="J2745" s="1">
        <v>46050</v>
      </c>
      <c r="K2745" s="1">
        <v>46050</v>
      </c>
      <c r="L2745">
        <v>34</v>
      </c>
      <c r="M2745">
        <v>1.21</v>
      </c>
      <c r="N2745">
        <v>1.21</v>
      </c>
      <c r="O2745">
        <v>0</v>
      </c>
      <c r="P2745">
        <v>0</v>
      </c>
      <c r="Q2745" t="s">
        <v>108</v>
      </c>
    </row>
    <row r="2746" spans="1:17">
      <c r="A2746" t="s">
        <v>93</v>
      </c>
      <c r="B2746" t="s">
        <v>106</v>
      </c>
      <c r="C2746" t="s">
        <v>56</v>
      </c>
      <c r="D2746" t="s">
        <v>2529</v>
      </c>
      <c r="E2746">
        <v>24</v>
      </c>
      <c r="F2746" t="str">
        <f>VLOOKUP(E2746,[1]LOJA!$A:$B,2,0)</f>
        <v>LUZIÂNIA</v>
      </c>
      <c r="G2746" t="s">
        <v>19</v>
      </c>
      <c r="H2746" t="s">
        <v>19</v>
      </c>
      <c r="I2746" s="1">
        <v>46050</v>
      </c>
      <c r="J2746" s="1">
        <v>46050</v>
      </c>
      <c r="K2746" s="1">
        <v>46050</v>
      </c>
      <c r="L2746">
        <v>34</v>
      </c>
      <c r="M2746">
        <v>0.11</v>
      </c>
      <c r="N2746">
        <v>0.11</v>
      </c>
      <c r="O2746">
        <v>0</v>
      </c>
      <c r="P2746">
        <v>0</v>
      </c>
      <c r="Q2746" t="s">
        <v>108</v>
      </c>
    </row>
    <row r="2747" spans="1:17">
      <c r="A2747" t="s">
        <v>93</v>
      </c>
      <c r="B2747" t="s">
        <v>106</v>
      </c>
      <c r="C2747" t="s">
        <v>56</v>
      </c>
      <c r="D2747" t="s">
        <v>2530</v>
      </c>
      <c r="E2747">
        <v>24</v>
      </c>
      <c r="F2747" t="str">
        <f>VLOOKUP(E2747,[1]LOJA!$A:$B,2,0)</f>
        <v>LUZIÂNIA</v>
      </c>
      <c r="G2747" t="s">
        <v>19</v>
      </c>
      <c r="H2747" t="s">
        <v>19</v>
      </c>
      <c r="I2747" s="1">
        <v>46050</v>
      </c>
      <c r="J2747" s="1">
        <v>46050</v>
      </c>
      <c r="K2747" s="1">
        <v>46050</v>
      </c>
      <c r="L2747">
        <v>34</v>
      </c>
      <c r="M2747">
        <v>0.22</v>
      </c>
      <c r="N2747">
        <v>0.22</v>
      </c>
      <c r="O2747">
        <v>0</v>
      </c>
      <c r="P2747">
        <v>0</v>
      </c>
      <c r="Q2747" t="s">
        <v>108</v>
      </c>
    </row>
    <row r="2748" spans="1:17">
      <c r="A2748" t="s">
        <v>93</v>
      </c>
      <c r="B2748" t="s">
        <v>106</v>
      </c>
      <c r="C2748" t="s">
        <v>56</v>
      </c>
      <c r="D2748" t="s">
        <v>2531</v>
      </c>
      <c r="E2748">
        <v>24</v>
      </c>
      <c r="F2748" t="str">
        <f>VLOOKUP(E2748,[1]LOJA!$A:$B,2,0)</f>
        <v>LUZIÂNIA</v>
      </c>
      <c r="G2748" t="s">
        <v>19</v>
      </c>
      <c r="H2748" t="s">
        <v>19</v>
      </c>
      <c r="I2748" s="1">
        <v>46050</v>
      </c>
      <c r="J2748" s="1">
        <v>46050</v>
      </c>
      <c r="K2748" s="1">
        <v>46050</v>
      </c>
      <c r="L2748">
        <v>34</v>
      </c>
      <c r="M2748">
        <v>0.34</v>
      </c>
      <c r="N2748">
        <v>0.34</v>
      </c>
      <c r="O2748">
        <v>0</v>
      </c>
      <c r="P2748">
        <v>0</v>
      </c>
      <c r="Q2748" t="s">
        <v>108</v>
      </c>
    </row>
    <row r="2749" spans="1:17">
      <c r="A2749" t="s">
        <v>93</v>
      </c>
      <c r="B2749" t="s">
        <v>106</v>
      </c>
      <c r="C2749" t="s">
        <v>56</v>
      </c>
      <c r="D2749" t="s">
        <v>2532</v>
      </c>
      <c r="E2749">
        <v>24</v>
      </c>
      <c r="F2749" t="str">
        <f>VLOOKUP(E2749,[1]LOJA!$A:$B,2,0)</f>
        <v>LUZIÂNIA</v>
      </c>
      <c r="G2749" t="s">
        <v>19</v>
      </c>
      <c r="H2749" t="s">
        <v>19</v>
      </c>
      <c r="I2749" s="1">
        <v>46050</v>
      </c>
      <c r="J2749" s="1">
        <v>46050</v>
      </c>
      <c r="K2749" s="1">
        <v>46050</v>
      </c>
      <c r="L2749">
        <v>34</v>
      </c>
      <c r="M2749">
        <v>0.2</v>
      </c>
      <c r="N2749">
        <v>0.2</v>
      </c>
      <c r="O2749">
        <v>0</v>
      </c>
      <c r="P2749">
        <v>0</v>
      </c>
      <c r="Q2749" t="s">
        <v>108</v>
      </c>
    </row>
    <row r="2750" spans="1:17">
      <c r="A2750" t="s">
        <v>93</v>
      </c>
      <c r="B2750" t="s">
        <v>106</v>
      </c>
      <c r="C2750" t="s">
        <v>56</v>
      </c>
      <c r="D2750" t="s">
        <v>2533</v>
      </c>
      <c r="E2750">
        <v>24</v>
      </c>
      <c r="F2750" t="str">
        <f>VLOOKUP(E2750,[1]LOJA!$A:$B,2,0)</f>
        <v>LUZIÂNIA</v>
      </c>
      <c r="G2750" t="s">
        <v>19</v>
      </c>
      <c r="H2750" t="s">
        <v>19</v>
      </c>
      <c r="I2750" s="1">
        <v>46050</v>
      </c>
      <c r="J2750" s="1">
        <v>46050</v>
      </c>
      <c r="K2750" s="1">
        <v>46050</v>
      </c>
      <c r="L2750">
        <v>34</v>
      </c>
      <c r="M2750">
        <v>0.45</v>
      </c>
      <c r="N2750">
        <v>0.45</v>
      </c>
      <c r="O2750">
        <v>0</v>
      </c>
      <c r="P2750">
        <v>0</v>
      </c>
      <c r="Q2750" t="s">
        <v>108</v>
      </c>
    </row>
    <row r="2751" spans="1:17">
      <c r="A2751" t="s">
        <v>93</v>
      </c>
      <c r="B2751" t="s">
        <v>106</v>
      </c>
      <c r="C2751" t="s">
        <v>56</v>
      </c>
      <c r="D2751" t="s">
        <v>2534</v>
      </c>
      <c r="E2751">
        <v>24</v>
      </c>
      <c r="F2751" t="str">
        <f>VLOOKUP(E2751,[1]LOJA!$A:$B,2,0)</f>
        <v>LUZIÂNIA</v>
      </c>
      <c r="G2751" t="s">
        <v>19</v>
      </c>
      <c r="H2751" t="s">
        <v>19</v>
      </c>
      <c r="I2751" s="1">
        <v>46050</v>
      </c>
      <c r="J2751" s="1">
        <v>46050</v>
      </c>
      <c r="K2751" s="1">
        <v>46050</v>
      </c>
      <c r="L2751">
        <v>34</v>
      </c>
      <c r="M2751">
        <v>0.67</v>
      </c>
      <c r="N2751">
        <v>0.67</v>
      </c>
      <c r="O2751">
        <v>0</v>
      </c>
      <c r="P2751">
        <v>0</v>
      </c>
      <c r="Q2751" t="s">
        <v>108</v>
      </c>
    </row>
    <row r="2752" spans="1:17">
      <c r="A2752" t="s">
        <v>93</v>
      </c>
      <c r="B2752" t="s">
        <v>106</v>
      </c>
      <c r="C2752" t="s">
        <v>56</v>
      </c>
      <c r="D2752" t="s">
        <v>2535</v>
      </c>
      <c r="E2752">
        <v>24</v>
      </c>
      <c r="F2752" t="str">
        <f>VLOOKUP(E2752,[1]LOJA!$A:$B,2,0)</f>
        <v>LUZIÂNIA</v>
      </c>
      <c r="G2752" t="s">
        <v>19</v>
      </c>
      <c r="H2752" t="s">
        <v>19</v>
      </c>
      <c r="I2752" s="1">
        <v>46050</v>
      </c>
      <c r="J2752" s="1">
        <v>46050</v>
      </c>
      <c r="K2752" s="1">
        <v>46050</v>
      </c>
      <c r="L2752">
        <v>34</v>
      </c>
      <c r="M2752">
        <v>0.33</v>
      </c>
      <c r="N2752">
        <v>0.33</v>
      </c>
      <c r="O2752">
        <v>0</v>
      </c>
      <c r="P2752">
        <v>0</v>
      </c>
      <c r="Q2752" t="s">
        <v>108</v>
      </c>
    </row>
    <row r="2753" spans="1:17">
      <c r="A2753" t="s">
        <v>93</v>
      </c>
      <c r="B2753" t="s">
        <v>106</v>
      </c>
      <c r="C2753" t="s">
        <v>56</v>
      </c>
      <c r="D2753" t="s">
        <v>2536</v>
      </c>
      <c r="E2753">
        <v>24</v>
      </c>
      <c r="F2753" t="str">
        <f>VLOOKUP(E2753,[1]LOJA!$A:$B,2,0)</f>
        <v>LUZIÂNIA</v>
      </c>
      <c r="G2753" t="s">
        <v>19</v>
      </c>
      <c r="H2753" t="s">
        <v>19</v>
      </c>
      <c r="I2753" s="1">
        <v>46050</v>
      </c>
      <c r="J2753" s="1">
        <v>46050</v>
      </c>
      <c r="K2753" s="1">
        <v>46050</v>
      </c>
      <c r="L2753">
        <v>34</v>
      </c>
      <c r="M2753">
        <v>0.83</v>
      </c>
      <c r="N2753">
        <v>0.83</v>
      </c>
      <c r="O2753">
        <v>0</v>
      </c>
      <c r="P2753">
        <v>0</v>
      </c>
      <c r="Q2753" t="s">
        <v>108</v>
      </c>
    </row>
    <row r="2754" spans="1:17">
      <c r="A2754" t="s">
        <v>93</v>
      </c>
      <c r="B2754" t="s">
        <v>106</v>
      </c>
      <c r="C2754" t="s">
        <v>56</v>
      </c>
      <c r="D2754" t="s">
        <v>2537</v>
      </c>
      <c r="E2754">
        <v>24</v>
      </c>
      <c r="F2754" t="str">
        <f>VLOOKUP(E2754,[1]LOJA!$A:$B,2,0)</f>
        <v>LUZIÂNIA</v>
      </c>
      <c r="G2754" t="s">
        <v>19</v>
      </c>
      <c r="H2754" t="s">
        <v>19</v>
      </c>
      <c r="I2754" s="1">
        <v>46050</v>
      </c>
      <c r="J2754" s="1">
        <v>46050</v>
      </c>
      <c r="K2754" s="1">
        <v>46050</v>
      </c>
      <c r="L2754">
        <v>34</v>
      </c>
      <c r="M2754">
        <v>1.34</v>
      </c>
      <c r="N2754">
        <v>1.34</v>
      </c>
      <c r="O2754">
        <v>0</v>
      </c>
      <c r="P2754">
        <v>0</v>
      </c>
      <c r="Q2754" t="s">
        <v>108</v>
      </c>
    </row>
    <row r="2755" spans="1:17">
      <c r="A2755" t="s">
        <v>93</v>
      </c>
      <c r="B2755" t="s">
        <v>106</v>
      </c>
      <c r="C2755" t="s">
        <v>56</v>
      </c>
      <c r="D2755" t="s">
        <v>2538</v>
      </c>
      <c r="E2755">
        <v>24</v>
      </c>
      <c r="F2755" t="str">
        <f>VLOOKUP(E2755,[1]LOJA!$A:$B,2,0)</f>
        <v>LUZIÂNIA</v>
      </c>
      <c r="G2755" t="s">
        <v>19</v>
      </c>
      <c r="H2755" t="s">
        <v>19</v>
      </c>
      <c r="I2755" s="1">
        <v>46050</v>
      </c>
      <c r="J2755" s="1">
        <v>46050</v>
      </c>
      <c r="K2755" s="1">
        <v>46050</v>
      </c>
      <c r="L2755">
        <v>34</v>
      </c>
      <c r="M2755">
        <v>3.54</v>
      </c>
      <c r="N2755">
        <v>3.54</v>
      </c>
      <c r="O2755">
        <v>0</v>
      </c>
      <c r="P2755">
        <v>0</v>
      </c>
      <c r="Q2755" t="s">
        <v>108</v>
      </c>
    </row>
    <row r="2756" spans="1:17">
      <c r="A2756" t="s">
        <v>93</v>
      </c>
      <c r="B2756" t="s">
        <v>106</v>
      </c>
      <c r="C2756" t="s">
        <v>56</v>
      </c>
      <c r="D2756" t="s">
        <v>2539</v>
      </c>
      <c r="E2756">
        <v>24</v>
      </c>
      <c r="F2756" t="str">
        <f>VLOOKUP(E2756,[1]LOJA!$A:$B,2,0)</f>
        <v>LUZIÂNIA</v>
      </c>
      <c r="G2756" t="s">
        <v>19</v>
      </c>
      <c r="H2756" t="s">
        <v>19</v>
      </c>
      <c r="I2756" s="1">
        <v>46050</v>
      </c>
      <c r="J2756" s="1">
        <v>46050</v>
      </c>
      <c r="K2756" s="1">
        <v>46050</v>
      </c>
      <c r="L2756">
        <v>34</v>
      </c>
      <c r="M2756">
        <v>1.68</v>
      </c>
      <c r="N2756">
        <v>1.68</v>
      </c>
      <c r="O2756">
        <v>0</v>
      </c>
      <c r="P2756">
        <v>0</v>
      </c>
      <c r="Q2756" t="s">
        <v>108</v>
      </c>
    </row>
    <row r="2757" spans="1:17">
      <c r="A2757" t="s">
        <v>93</v>
      </c>
      <c r="B2757" t="s">
        <v>106</v>
      </c>
      <c r="C2757" t="s">
        <v>56</v>
      </c>
      <c r="D2757" t="s">
        <v>2540</v>
      </c>
      <c r="E2757">
        <v>24</v>
      </c>
      <c r="F2757" t="str">
        <f>VLOOKUP(E2757,[1]LOJA!$A:$B,2,0)</f>
        <v>LUZIÂNIA</v>
      </c>
      <c r="G2757" t="s">
        <v>19</v>
      </c>
      <c r="H2757" t="s">
        <v>19</v>
      </c>
      <c r="I2757" s="1">
        <v>46050</v>
      </c>
      <c r="J2757" s="1">
        <v>46050</v>
      </c>
      <c r="K2757" s="1">
        <v>46050</v>
      </c>
      <c r="L2757">
        <v>34</v>
      </c>
      <c r="M2757">
        <v>12.57</v>
      </c>
      <c r="N2757">
        <v>12.57</v>
      </c>
      <c r="O2757">
        <v>0</v>
      </c>
      <c r="P2757">
        <v>0</v>
      </c>
      <c r="Q2757" t="s">
        <v>108</v>
      </c>
    </row>
    <row r="2758" spans="1:17">
      <c r="A2758" t="s">
        <v>93</v>
      </c>
      <c r="B2758" t="s">
        <v>106</v>
      </c>
      <c r="C2758" t="s">
        <v>56</v>
      </c>
      <c r="D2758" t="s">
        <v>2541</v>
      </c>
      <c r="E2758">
        <v>24</v>
      </c>
      <c r="F2758" t="str">
        <f>VLOOKUP(E2758,[1]LOJA!$A:$B,2,0)</f>
        <v>LUZIÂNIA</v>
      </c>
      <c r="G2758" t="s">
        <v>19</v>
      </c>
      <c r="H2758" t="s">
        <v>19</v>
      </c>
      <c r="I2758" s="1">
        <v>46050</v>
      </c>
      <c r="J2758" s="1">
        <v>46050</v>
      </c>
      <c r="K2758" s="1">
        <v>46050</v>
      </c>
      <c r="L2758">
        <v>34</v>
      </c>
      <c r="M2758">
        <v>1.81</v>
      </c>
      <c r="N2758">
        <v>1.81</v>
      </c>
      <c r="O2758">
        <v>0</v>
      </c>
      <c r="P2758">
        <v>0</v>
      </c>
      <c r="Q2758" t="s">
        <v>108</v>
      </c>
    </row>
    <row r="2759" spans="1:17">
      <c r="A2759" t="s">
        <v>93</v>
      </c>
      <c r="B2759" t="s">
        <v>106</v>
      </c>
      <c r="C2759" t="s">
        <v>56</v>
      </c>
      <c r="D2759" t="s">
        <v>2542</v>
      </c>
      <c r="E2759">
        <v>13</v>
      </c>
      <c r="F2759" t="str">
        <f>VLOOKUP(E2759,[1]LOJA!$A:$B,2,0)</f>
        <v>CEILÂNDIA</v>
      </c>
      <c r="G2759" t="s">
        <v>19</v>
      </c>
      <c r="H2759" t="s">
        <v>19</v>
      </c>
      <c r="I2759" s="1">
        <v>46024</v>
      </c>
      <c r="J2759" s="1">
        <v>46024</v>
      </c>
      <c r="K2759" s="1">
        <v>46024</v>
      </c>
      <c r="L2759">
        <v>34</v>
      </c>
      <c r="M2759">
        <v>6.38</v>
      </c>
      <c r="N2759">
        <v>6.38</v>
      </c>
      <c r="O2759">
        <v>0</v>
      </c>
      <c r="P2759">
        <v>0</v>
      </c>
      <c r="Q2759" t="s">
        <v>108</v>
      </c>
    </row>
    <row r="2760" spans="1:17">
      <c r="A2760" t="s">
        <v>93</v>
      </c>
      <c r="B2760" t="s">
        <v>106</v>
      </c>
      <c r="C2760" t="s">
        <v>56</v>
      </c>
      <c r="D2760" t="s">
        <v>2543</v>
      </c>
      <c r="E2760">
        <v>13</v>
      </c>
      <c r="F2760" t="str">
        <f>VLOOKUP(E2760,[1]LOJA!$A:$B,2,0)</f>
        <v>CEILÂNDIA</v>
      </c>
      <c r="G2760" t="s">
        <v>19</v>
      </c>
      <c r="H2760" t="s">
        <v>19</v>
      </c>
      <c r="I2760" s="1">
        <v>46024</v>
      </c>
      <c r="J2760" s="1">
        <v>46024</v>
      </c>
      <c r="K2760" s="1">
        <v>46024</v>
      </c>
      <c r="L2760">
        <v>34</v>
      </c>
      <c r="M2760">
        <v>8.0299999999999994</v>
      </c>
      <c r="N2760">
        <v>8.0299999999999994</v>
      </c>
      <c r="O2760">
        <v>0</v>
      </c>
      <c r="P2760">
        <v>0</v>
      </c>
      <c r="Q2760" t="s">
        <v>108</v>
      </c>
    </row>
    <row r="2761" spans="1:17">
      <c r="A2761" t="s">
        <v>93</v>
      </c>
      <c r="B2761" t="s">
        <v>106</v>
      </c>
      <c r="C2761" t="s">
        <v>56</v>
      </c>
      <c r="D2761" t="s">
        <v>2544</v>
      </c>
      <c r="E2761">
        <v>13</v>
      </c>
      <c r="F2761" t="str">
        <f>VLOOKUP(E2761,[1]LOJA!$A:$B,2,0)</f>
        <v>CEILÂNDIA</v>
      </c>
      <c r="G2761" t="s">
        <v>19</v>
      </c>
      <c r="H2761" t="s">
        <v>19</v>
      </c>
      <c r="I2761" s="1">
        <v>46024</v>
      </c>
      <c r="J2761" s="1">
        <v>46024</v>
      </c>
      <c r="K2761" s="1">
        <v>46024</v>
      </c>
      <c r="L2761">
        <v>34</v>
      </c>
      <c r="M2761">
        <v>4.38</v>
      </c>
      <c r="N2761">
        <v>4.38</v>
      </c>
      <c r="O2761">
        <v>0</v>
      </c>
      <c r="P2761">
        <v>0</v>
      </c>
      <c r="Q2761" t="s">
        <v>108</v>
      </c>
    </row>
    <row r="2762" spans="1:17">
      <c r="A2762" t="s">
        <v>93</v>
      </c>
      <c r="B2762" t="s">
        <v>106</v>
      </c>
      <c r="C2762" t="s">
        <v>56</v>
      </c>
      <c r="D2762" t="s">
        <v>2545</v>
      </c>
      <c r="E2762">
        <v>13</v>
      </c>
      <c r="F2762" t="str">
        <f>VLOOKUP(E2762,[1]LOJA!$A:$B,2,0)</f>
        <v>CEILÂNDIA</v>
      </c>
      <c r="G2762" t="s">
        <v>19</v>
      </c>
      <c r="H2762" t="s">
        <v>19</v>
      </c>
      <c r="I2762" s="1">
        <v>46024</v>
      </c>
      <c r="J2762" s="1">
        <v>46024</v>
      </c>
      <c r="K2762" s="1">
        <v>46024</v>
      </c>
      <c r="L2762">
        <v>34</v>
      </c>
      <c r="M2762">
        <v>3.96</v>
      </c>
      <c r="N2762">
        <v>3.96</v>
      </c>
      <c r="O2762">
        <v>0</v>
      </c>
      <c r="P2762">
        <v>0</v>
      </c>
      <c r="Q2762" t="s">
        <v>108</v>
      </c>
    </row>
    <row r="2763" spans="1:17">
      <c r="A2763" t="s">
        <v>93</v>
      </c>
      <c r="B2763" t="s">
        <v>106</v>
      </c>
      <c r="C2763" t="s">
        <v>56</v>
      </c>
      <c r="D2763" t="s">
        <v>2546</v>
      </c>
      <c r="E2763">
        <v>13</v>
      </c>
      <c r="F2763" t="str">
        <f>VLOOKUP(E2763,[1]LOJA!$A:$B,2,0)</f>
        <v>CEILÂNDIA</v>
      </c>
      <c r="G2763" t="s">
        <v>19</v>
      </c>
      <c r="H2763" t="s">
        <v>19</v>
      </c>
      <c r="I2763" s="1">
        <v>46024</v>
      </c>
      <c r="J2763" s="1">
        <v>46024</v>
      </c>
      <c r="K2763" s="1">
        <v>46024</v>
      </c>
      <c r="L2763">
        <v>34</v>
      </c>
      <c r="M2763">
        <v>1.52</v>
      </c>
      <c r="N2763">
        <v>1.52</v>
      </c>
      <c r="O2763">
        <v>0</v>
      </c>
      <c r="P2763">
        <v>0</v>
      </c>
      <c r="Q2763" t="s">
        <v>108</v>
      </c>
    </row>
    <row r="2764" spans="1:17">
      <c r="A2764" t="s">
        <v>93</v>
      </c>
      <c r="B2764" t="s">
        <v>106</v>
      </c>
      <c r="C2764" t="s">
        <v>56</v>
      </c>
      <c r="D2764" t="s">
        <v>2547</v>
      </c>
      <c r="E2764">
        <v>13</v>
      </c>
      <c r="F2764" t="str">
        <f>VLOOKUP(E2764,[1]LOJA!$A:$B,2,0)</f>
        <v>CEILÂNDIA</v>
      </c>
      <c r="G2764" t="s">
        <v>19</v>
      </c>
      <c r="H2764" t="s">
        <v>19</v>
      </c>
      <c r="I2764" s="1">
        <v>46024</v>
      </c>
      <c r="J2764" s="1">
        <v>46024</v>
      </c>
      <c r="K2764" s="1">
        <v>46024</v>
      </c>
      <c r="L2764">
        <v>34</v>
      </c>
      <c r="M2764">
        <v>21.9</v>
      </c>
      <c r="N2764">
        <v>21.9</v>
      </c>
      <c r="O2764">
        <v>0</v>
      </c>
      <c r="P2764">
        <v>0</v>
      </c>
      <c r="Q2764" t="s">
        <v>108</v>
      </c>
    </row>
    <row r="2765" spans="1:17">
      <c r="A2765" t="s">
        <v>93</v>
      </c>
      <c r="B2765" t="s">
        <v>106</v>
      </c>
      <c r="C2765" t="s">
        <v>56</v>
      </c>
      <c r="D2765" t="s">
        <v>2548</v>
      </c>
      <c r="E2765">
        <v>13</v>
      </c>
      <c r="F2765" t="str">
        <f>VLOOKUP(E2765,[1]LOJA!$A:$B,2,0)</f>
        <v>CEILÂNDIA</v>
      </c>
      <c r="G2765" t="s">
        <v>19</v>
      </c>
      <c r="H2765" t="s">
        <v>19</v>
      </c>
      <c r="I2765" s="1">
        <v>46024</v>
      </c>
      <c r="J2765" s="1">
        <v>46024</v>
      </c>
      <c r="K2765" s="1">
        <v>46024</v>
      </c>
      <c r="L2765">
        <v>34</v>
      </c>
      <c r="M2765">
        <v>6.56</v>
      </c>
      <c r="N2765">
        <v>6.56</v>
      </c>
      <c r="O2765">
        <v>0</v>
      </c>
      <c r="P2765">
        <v>0</v>
      </c>
      <c r="Q2765" t="s">
        <v>108</v>
      </c>
    </row>
    <row r="2766" spans="1:17">
      <c r="A2766" t="s">
        <v>93</v>
      </c>
      <c r="B2766" t="s">
        <v>106</v>
      </c>
      <c r="C2766" t="s">
        <v>56</v>
      </c>
      <c r="D2766" t="s">
        <v>2549</v>
      </c>
      <c r="E2766">
        <v>13</v>
      </c>
      <c r="F2766" t="str">
        <f>VLOOKUP(E2766,[1]LOJA!$A:$B,2,0)</f>
        <v>CEILÂNDIA</v>
      </c>
      <c r="G2766" t="s">
        <v>19</v>
      </c>
      <c r="H2766" t="s">
        <v>19</v>
      </c>
      <c r="I2766" s="1">
        <v>46024</v>
      </c>
      <c r="J2766" s="1">
        <v>46023</v>
      </c>
      <c r="K2766" s="1">
        <v>46024</v>
      </c>
      <c r="L2766">
        <v>34</v>
      </c>
      <c r="M2766">
        <v>2.74</v>
      </c>
      <c r="N2766">
        <v>2.74</v>
      </c>
      <c r="O2766">
        <v>0</v>
      </c>
      <c r="P2766">
        <v>0</v>
      </c>
      <c r="Q2766" t="s">
        <v>108</v>
      </c>
    </row>
    <row r="2767" spans="1:17">
      <c r="A2767" t="s">
        <v>93</v>
      </c>
      <c r="B2767" t="s">
        <v>106</v>
      </c>
      <c r="C2767" t="s">
        <v>56</v>
      </c>
      <c r="D2767" t="s">
        <v>2550</v>
      </c>
      <c r="E2767">
        <v>13</v>
      </c>
      <c r="F2767" t="str">
        <f>VLOOKUP(E2767,[1]LOJA!$A:$B,2,0)</f>
        <v>CEILÂNDIA</v>
      </c>
      <c r="G2767" t="s">
        <v>19</v>
      </c>
      <c r="H2767" t="s">
        <v>19</v>
      </c>
      <c r="I2767" s="1">
        <v>46024</v>
      </c>
      <c r="J2767" s="1">
        <v>46023</v>
      </c>
      <c r="K2767" s="1">
        <v>46024</v>
      </c>
      <c r="L2767">
        <v>34</v>
      </c>
      <c r="M2767">
        <v>8.2100000000000009</v>
      </c>
      <c r="N2767">
        <v>8.2100000000000009</v>
      </c>
      <c r="O2767">
        <v>0</v>
      </c>
      <c r="P2767">
        <v>0</v>
      </c>
      <c r="Q2767" t="s">
        <v>108</v>
      </c>
    </row>
    <row r="2768" spans="1:17">
      <c r="A2768" t="s">
        <v>93</v>
      </c>
      <c r="B2768" t="s">
        <v>106</v>
      </c>
      <c r="C2768" t="s">
        <v>56</v>
      </c>
      <c r="D2768" t="s">
        <v>2551</v>
      </c>
      <c r="E2768">
        <v>13</v>
      </c>
      <c r="F2768" t="str">
        <f>VLOOKUP(E2768,[1]LOJA!$A:$B,2,0)</f>
        <v>CEILÂNDIA</v>
      </c>
      <c r="G2768" t="s">
        <v>19</v>
      </c>
      <c r="H2768" t="s">
        <v>19</v>
      </c>
      <c r="I2768" s="1">
        <v>46024</v>
      </c>
      <c r="J2768" s="1">
        <v>46023</v>
      </c>
      <c r="K2768" s="1">
        <v>46024</v>
      </c>
      <c r="L2768">
        <v>34</v>
      </c>
      <c r="M2768">
        <v>5.84</v>
      </c>
      <c r="N2768">
        <v>5.84</v>
      </c>
      <c r="O2768">
        <v>0</v>
      </c>
      <c r="P2768">
        <v>0</v>
      </c>
      <c r="Q2768" t="s">
        <v>108</v>
      </c>
    </row>
    <row r="2769" spans="1:17">
      <c r="A2769" t="s">
        <v>93</v>
      </c>
      <c r="B2769" t="s">
        <v>106</v>
      </c>
      <c r="C2769" t="s">
        <v>56</v>
      </c>
      <c r="D2769" t="s">
        <v>2552</v>
      </c>
      <c r="E2769">
        <v>13</v>
      </c>
      <c r="F2769" t="str">
        <f>VLOOKUP(E2769,[1]LOJA!$A:$B,2,0)</f>
        <v>CEILÂNDIA</v>
      </c>
      <c r="G2769" t="s">
        <v>19</v>
      </c>
      <c r="H2769" t="s">
        <v>19</v>
      </c>
      <c r="I2769" s="1">
        <v>46024</v>
      </c>
      <c r="J2769" s="1">
        <v>46024</v>
      </c>
      <c r="K2769" s="1">
        <v>46024</v>
      </c>
      <c r="L2769">
        <v>34</v>
      </c>
      <c r="M2769">
        <v>10.95</v>
      </c>
      <c r="N2769">
        <v>10.95</v>
      </c>
      <c r="O2769">
        <v>0</v>
      </c>
      <c r="P2769">
        <v>0</v>
      </c>
      <c r="Q2769" t="s">
        <v>108</v>
      </c>
    </row>
    <row r="2770" spans="1:17">
      <c r="A2770" t="s">
        <v>93</v>
      </c>
      <c r="B2770" t="s">
        <v>106</v>
      </c>
      <c r="C2770" t="s">
        <v>56</v>
      </c>
      <c r="D2770" t="s">
        <v>2553</v>
      </c>
      <c r="E2770">
        <v>13</v>
      </c>
      <c r="F2770" t="str">
        <f>VLOOKUP(E2770,[1]LOJA!$A:$B,2,0)</f>
        <v>CEILÂNDIA</v>
      </c>
      <c r="G2770" t="s">
        <v>19</v>
      </c>
      <c r="H2770" t="s">
        <v>19</v>
      </c>
      <c r="I2770" s="1">
        <v>46024</v>
      </c>
      <c r="J2770" s="1">
        <v>46023</v>
      </c>
      <c r="K2770" s="1">
        <v>46024</v>
      </c>
      <c r="L2770">
        <v>34</v>
      </c>
      <c r="M2770">
        <v>5.14</v>
      </c>
      <c r="N2770">
        <v>5.14</v>
      </c>
      <c r="O2770">
        <v>0</v>
      </c>
      <c r="P2770">
        <v>0</v>
      </c>
      <c r="Q2770" t="s">
        <v>108</v>
      </c>
    </row>
    <row r="2771" spans="1:17">
      <c r="A2771" t="s">
        <v>93</v>
      </c>
      <c r="B2771" t="s">
        <v>106</v>
      </c>
      <c r="C2771" t="s">
        <v>56</v>
      </c>
      <c r="D2771" t="s">
        <v>2554</v>
      </c>
      <c r="E2771">
        <v>13</v>
      </c>
      <c r="F2771" t="str">
        <f>VLOOKUP(E2771,[1]LOJA!$A:$B,2,0)</f>
        <v>CEILÂNDIA</v>
      </c>
      <c r="G2771" t="s">
        <v>19</v>
      </c>
      <c r="H2771" t="s">
        <v>19</v>
      </c>
      <c r="I2771" s="1">
        <v>46024</v>
      </c>
      <c r="J2771" s="1">
        <v>46024</v>
      </c>
      <c r="K2771" s="1">
        <v>46024</v>
      </c>
      <c r="L2771">
        <v>34</v>
      </c>
      <c r="M2771">
        <v>4.3099999999999996</v>
      </c>
      <c r="N2771">
        <v>4.3099999999999996</v>
      </c>
      <c r="O2771">
        <v>0</v>
      </c>
      <c r="P2771">
        <v>0</v>
      </c>
      <c r="Q2771" t="s">
        <v>108</v>
      </c>
    </row>
    <row r="2772" spans="1:17">
      <c r="A2772" t="s">
        <v>93</v>
      </c>
      <c r="B2772" t="s">
        <v>106</v>
      </c>
      <c r="C2772" t="s">
        <v>56</v>
      </c>
      <c r="D2772" t="s">
        <v>2555</v>
      </c>
      <c r="E2772">
        <v>13</v>
      </c>
      <c r="F2772" t="str">
        <f>VLOOKUP(E2772,[1]LOJA!$A:$B,2,0)</f>
        <v>CEILÂNDIA</v>
      </c>
      <c r="G2772" t="s">
        <v>19</v>
      </c>
      <c r="H2772" t="s">
        <v>19</v>
      </c>
      <c r="I2772" s="1">
        <v>46024</v>
      </c>
      <c r="J2772" s="1">
        <v>46024</v>
      </c>
      <c r="K2772" s="1">
        <v>46024</v>
      </c>
      <c r="L2772">
        <v>34</v>
      </c>
      <c r="M2772">
        <v>1.47</v>
      </c>
      <c r="N2772">
        <v>1.47</v>
      </c>
      <c r="O2772">
        <v>0</v>
      </c>
      <c r="P2772">
        <v>0</v>
      </c>
      <c r="Q2772" t="s">
        <v>108</v>
      </c>
    </row>
    <row r="2773" spans="1:17">
      <c r="A2773" t="s">
        <v>93</v>
      </c>
      <c r="B2773" t="s">
        <v>106</v>
      </c>
      <c r="C2773" t="s">
        <v>56</v>
      </c>
      <c r="D2773" t="s">
        <v>2556</v>
      </c>
      <c r="E2773">
        <v>13</v>
      </c>
      <c r="F2773" t="str">
        <f>VLOOKUP(E2773,[1]LOJA!$A:$B,2,0)</f>
        <v>CEILÂNDIA</v>
      </c>
      <c r="G2773" t="s">
        <v>19</v>
      </c>
      <c r="H2773" t="s">
        <v>19</v>
      </c>
      <c r="I2773" s="1">
        <v>46024</v>
      </c>
      <c r="J2773" s="1">
        <v>46024</v>
      </c>
      <c r="K2773" s="1">
        <v>46024</v>
      </c>
      <c r="L2773">
        <v>34</v>
      </c>
      <c r="M2773">
        <v>5.67</v>
      </c>
      <c r="N2773">
        <v>5.67</v>
      </c>
      <c r="O2773">
        <v>0</v>
      </c>
      <c r="P2773">
        <v>0</v>
      </c>
      <c r="Q2773" t="s">
        <v>108</v>
      </c>
    </row>
    <row r="2774" spans="1:17">
      <c r="A2774" t="s">
        <v>93</v>
      </c>
      <c r="B2774" t="s">
        <v>106</v>
      </c>
      <c r="C2774" t="s">
        <v>56</v>
      </c>
      <c r="D2774" t="s">
        <v>2557</v>
      </c>
      <c r="E2774">
        <v>13</v>
      </c>
      <c r="F2774" t="str">
        <f>VLOOKUP(E2774,[1]LOJA!$A:$B,2,0)</f>
        <v>CEILÂNDIA</v>
      </c>
      <c r="G2774" t="s">
        <v>19</v>
      </c>
      <c r="H2774" t="s">
        <v>19</v>
      </c>
      <c r="I2774" s="1">
        <v>46024</v>
      </c>
      <c r="J2774" s="1">
        <v>46024</v>
      </c>
      <c r="K2774" s="1">
        <v>46024</v>
      </c>
      <c r="L2774">
        <v>34</v>
      </c>
      <c r="M2774">
        <v>0.3</v>
      </c>
      <c r="N2774">
        <v>0.3</v>
      </c>
      <c r="O2774">
        <v>0</v>
      </c>
      <c r="P2774">
        <v>0</v>
      </c>
      <c r="Q2774" t="s">
        <v>108</v>
      </c>
    </row>
    <row r="2775" spans="1:17">
      <c r="A2775" t="s">
        <v>93</v>
      </c>
      <c r="B2775" t="s">
        <v>106</v>
      </c>
      <c r="C2775" t="s">
        <v>56</v>
      </c>
      <c r="D2775" t="s">
        <v>2558</v>
      </c>
      <c r="E2775">
        <v>13</v>
      </c>
      <c r="F2775" t="str">
        <f>VLOOKUP(E2775,[1]LOJA!$A:$B,2,0)</f>
        <v>CEILÂNDIA</v>
      </c>
      <c r="G2775" t="s">
        <v>19</v>
      </c>
      <c r="H2775" t="s">
        <v>19</v>
      </c>
      <c r="I2775" s="1">
        <v>46024</v>
      </c>
      <c r="J2775" s="1">
        <v>46024</v>
      </c>
      <c r="K2775" s="1">
        <v>46024</v>
      </c>
      <c r="L2775">
        <v>34</v>
      </c>
      <c r="M2775">
        <v>6.57</v>
      </c>
      <c r="N2775">
        <v>6.57</v>
      </c>
      <c r="O2775">
        <v>0</v>
      </c>
      <c r="P2775">
        <v>0</v>
      </c>
      <c r="Q2775" t="s">
        <v>108</v>
      </c>
    </row>
    <row r="2776" spans="1:17">
      <c r="A2776" t="s">
        <v>93</v>
      </c>
      <c r="B2776" t="s">
        <v>106</v>
      </c>
      <c r="C2776" t="s">
        <v>56</v>
      </c>
      <c r="D2776" t="s">
        <v>2559</v>
      </c>
      <c r="E2776">
        <v>13</v>
      </c>
      <c r="F2776" t="str">
        <f>VLOOKUP(E2776,[1]LOJA!$A:$B,2,0)</f>
        <v>CEILÂNDIA</v>
      </c>
      <c r="G2776" t="s">
        <v>19</v>
      </c>
      <c r="H2776" t="s">
        <v>19</v>
      </c>
      <c r="I2776" s="1">
        <v>46024</v>
      </c>
      <c r="J2776" s="1">
        <v>46023</v>
      </c>
      <c r="K2776" s="1">
        <v>46024</v>
      </c>
      <c r="L2776">
        <v>34</v>
      </c>
      <c r="M2776">
        <v>0.52</v>
      </c>
      <c r="N2776">
        <v>0.52</v>
      </c>
      <c r="O2776">
        <v>0</v>
      </c>
      <c r="P2776">
        <v>0</v>
      </c>
      <c r="Q2776" t="s">
        <v>108</v>
      </c>
    </row>
    <row r="2777" spans="1:17">
      <c r="A2777" t="s">
        <v>93</v>
      </c>
      <c r="B2777" t="s">
        <v>106</v>
      </c>
      <c r="C2777" t="s">
        <v>56</v>
      </c>
      <c r="D2777" t="s">
        <v>2560</v>
      </c>
      <c r="E2777">
        <v>13</v>
      </c>
      <c r="F2777" t="str">
        <f>VLOOKUP(E2777,[1]LOJA!$A:$B,2,0)</f>
        <v>CEILÂNDIA</v>
      </c>
      <c r="G2777" t="s">
        <v>19</v>
      </c>
      <c r="H2777" t="s">
        <v>19</v>
      </c>
      <c r="I2777" s="1">
        <v>46024</v>
      </c>
      <c r="J2777" s="1">
        <v>46023</v>
      </c>
      <c r="K2777" s="1">
        <v>46024</v>
      </c>
      <c r="L2777">
        <v>34</v>
      </c>
      <c r="M2777">
        <v>0.1</v>
      </c>
      <c r="N2777">
        <v>0.1</v>
      </c>
      <c r="O2777">
        <v>0</v>
      </c>
      <c r="P2777">
        <v>0</v>
      </c>
      <c r="Q2777" t="s">
        <v>108</v>
      </c>
    </row>
    <row r="2778" spans="1:17">
      <c r="A2778" t="s">
        <v>93</v>
      </c>
      <c r="B2778" t="s">
        <v>106</v>
      </c>
      <c r="C2778" t="s">
        <v>56</v>
      </c>
      <c r="D2778" t="s">
        <v>2561</v>
      </c>
      <c r="E2778">
        <v>13</v>
      </c>
      <c r="F2778" t="str">
        <f>VLOOKUP(E2778,[1]LOJA!$A:$B,2,0)</f>
        <v>CEILÂNDIA</v>
      </c>
      <c r="G2778" t="s">
        <v>19</v>
      </c>
      <c r="H2778" t="s">
        <v>19</v>
      </c>
      <c r="I2778" s="1">
        <v>46024</v>
      </c>
      <c r="J2778" s="1">
        <v>46023</v>
      </c>
      <c r="K2778" s="1">
        <v>46024</v>
      </c>
      <c r="L2778">
        <v>34</v>
      </c>
      <c r="M2778">
        <v>0.28999999999999998</v>
      </c>
      <c r="N2778">
        <v>0.28999999999999998</v>
      </c>
      <c r="O2778">
        <v>0</v>
      </c>
      <c r="P2778">
        <v>0</v>
      </c>
      <c r="Q2778" t="s">
        <v>108</v>
      </c>
    </row>
    <row r="2779" spans="1:17">
      <c r="A2779" t="s">
        <v>93</v>
      </c>
      <c r="B2779" t="s">
        <v>106</v>
      </c>
      <c r="C2779" t="s">
        <v>56</v>
      </c>
      <c r="D2779" t="s">
        <v>2562</v>
      </c>
      <c r="E2779">
        <v>13</v>
      </c>
      <c r="F2779" t="str">
        <f>VLOOKUP(E2779,[1]LOJA!$A:$B,2,0)</f>
        <v>CEILÂNDIA</v>
      </c>
      <c r="G2779" t="s">
        <v>19</v>
      </c>
      <c r="H2779" t="s">
        <v>19</v>
      </c>
      <c r="I2779" s="1">
        <v>46024</v>
      </c>
      <c r="J2779" s="1">
        <v>46023</v>
      </c>
      <c r="K2779" s="1">
        <v>46024</v>
      </c>
      <c r="L2779">
        <v>34</v>
      </c>
      <c r="M2779">
        <v>0.05</v>
      </c>
      <c r="N2779">
        <v>0.05</v>
      </c>
      <c r="O2779">
        <v>0</v>
      </c>
      <c r="P2779">
        <v>0</v>
      </c>
      <c r="Q2779" t="s">
        <v>108</v>
      </c>
    </row>
    <row r="2780" spans="1:17">
      <c r="A2780" t="s">
        <v>93</v>
      </c>
      <c r="B2780" t="s">
        <v>106</v>
      </c>
      <c r="C2780" t="s">
        <v>56</v>
      </c>
      <c r="D2780" t="s">
        <v>2563</v>
      </c>
      <c r="E2780">
        <v>13</v>
      </c>
      <c r="F2780" t="str">
        <f>VLOOKUP(E2780,[1]LOJA!$A:$B,2,0)</f>
        <v>CEILÂNDIA</v>
      </c>
      <c r="G2780" t="s">
        <v>19</v>
      </c>
      <c r="H2780" t="s">
        <v>19</v>
      </c>
      <c r="I2780" s="1">
        <v>46024</v>
      </c>
      <c r="J2780" s="1">
        <v>46023</v>
      </c>
      <c r="K2780" s="1">
        <v>46024</v>
      </c>
      <c r="L2780">
        <v>34</v>
      </c>
      <c r="M2780">
        <v>0.23</v>
      </c>
      <c r="N2780">
        <v>0.23</v>
      </c>
      <c r="O2780">
        <v>0</v>
      </c>
      <c r="P2780">
        <v>0</v>
      </c>
      <c r="Q2780" t="s">
        <v>108</v>
      </c>
    </row>
    <row r="2781" spans="1:17">
      <c r="A2781" t="s">
        <v>93</v>
      </c>
      <c r="B2781" t="s">
        <v>106</v>
      </c>
      <c r="C2781" t="s">
        <v>56</v>
      </c>
      <c r="D2781" t="s">
        <v>2564</v>
      </c>
      <c r="E2781">
        <v>13</v>
      </c>
      <c r="F2781" t="str">
        <f>VLOOKUP(E2781,[1]LOJA!$A:$B,2,0)</f>
        <v>CEILÂNDIA</v>
      </c>
      <c r="G2781" t="s">
        <v>19</v>
      </c>
      <c r="H2781" t="s">
        <v>19</v>
      </c>
      <c r="I2781" s="1">
        <v>46027</v>
      </c>
      <c r="J2781" s="1">
        <v>46027</v>
      </c>
      <c r="K2781" s="1">
        <v>46027</v>
      </c>
      <c r="L2781">
        <v>34</v>
      </c>
      <c r="M2781">
        <v>3.66</v>
      </c>
      <c r="N2781">
        <v>3.66</v>
      </c>
      <c r="O2781">
        <v>0</v>
      </c>
      <c r="P2781">
        <v>0</v>
      </c>
      <c r="Q2781" t="s">
        <v>108</v>
      </c>
    </row>
    <row r="2782" spans="1:17">
      <c r="A2782" t="s">
        <v>93</v>
      </c>
      <c r="B2782" t="s">
        <v>106</v>
      </c>
      <c r="C2782" t="s">
        <v>56</v>
      </c>
      <c r="D2782" t="s">
        <v>2565</v>
      </c>
      <c r="E2782">
        <v>13</v>
      </c>
      <c r="F2782" t="str">
        <f>VLOOKUP(E2782,[1]LOJA!$A:$B,2,0)</f>
        <v>CEILÂNDIA</v>
      </c>
      <c r="G2782" t="s">
        <v>19</v>
      </c>
      <c r="H2782" t="s">
        <v>19</v>
      </c>
      <c r="I2782" s="1">
        <v>46027</v>
      </c>
      <c r="J2782" s="1">
        <v>46027</v>
      </c>
      <c r="K2782" s="1">
        <v>46027</v>
      </c>
      <c r="L2782">
        <v>34</v>
      </c>
      <c r="M2782">
        <v>7.3</v>
      </c>
      <c r="N2782">
        <v>7.3</v>
      </c>
      <c r="O2782">
        <v>0</v>
      </c>
      <c r="P2782">
        <v>0</v>
      </c>
      <c r="Q2782" t="s">
        <v>108</v>
      </c>
    </row>
    <row r="2783" spans="1:17">
      <c r="A2783" t="s">
        <v>93</v>
      </c>
      <c r="B2783" t="s">
        <v>106</v>
      </c>
      <c r="C2783" t="s">
        <v>56</v>
      </c>
      <c r="D2783" t="s">
        <v>2566</v>
      </c>
      <c r="E2783">
        <v>13</v>
      </c>
      <c r="F2783" t="str">
        <f>VLOOKUP(E2783,[1]LOJA!$A:$B,2,0)</f>
        <v>CEILÂNDIA</v>
      </c>
      <c r="G2783" t="s">
        <v>19</v>
      </c>
      <c r="H2783" t="s">
        <v>19</v>
      </c>
      <c r="I2783" s="1">
        <v>46027</v>
      </c>
      <c r="J2783" s="1">
        <v>46027</v>
      </c>
      <c r="K2783" s="1">
        <v>46027</v>
      </c>
      <c r="L2783">
        <v>34</v>
      </c>
      <c r="M2783">
        <v>7.41</v>
      </c>
      <c r="N2783">
        <v>7.41</v>
      </c>
      <c r="O2783">
        <v>0</v>
      </c>
      <c r="P2783">
        <v>0</v>
      </c>
      <c r="Q2783" t="s">
        <v>108</v>
      </c>
    </row>
    <row r="2784" spans="1:17">
      <c r="A2784" t="s">
        <v>93</v>
      </c>
      <c r="B2784" t="s">
        <v>106</v>
      </c>
      <c r="C2784" t="s">
        <v>56</v>
      </c>
      <c r="D2784" t="s">
        <v>2567</v>
      </c>
      <c r="E2784">
        <v>13</v>
      </c>
      <c r="F2784" t="str">
        <f>VLOOKUP(E2784,[1]LOJA!$A:$B,2,0)</f>
        <v>CEILÂNDIA</v>
      </c>
      <c r="G2784" t="s">
        <v>19</v>
      </c>
      <c r="H2784" t="s">
        <v>19</v>
      </c>
      <c r="I2784" s="1">
        <v>46027</v>
      </c>
      <c r="J2784" s="1">
        <v>46027</v>
      </c>
      <c r="K2784" s="1">
        <v>46027</v>
      </c>
      <c r="L2784">
        <v>34</v>
      </c>
      <c r="M2784">
        <v>5.1100000000000003</v>
      </c>
      <c r="N2784">
        <v>5.1100000000000003</v>
      </c>
      <c r="O2784">
        <v>0</v>
      </c>
      <c r="P2784">
        <v>0</v>
      </c>
      <c r="Q2784" t="s">
        <v>108</v>
      </c>
    </row>
    <row r="2785" spans="1:17">
      <c r="A2785" t="s">
        <v>93</v>
      </c>
      <c r="B2785" t="s">
        <v>106</v>
      </c>
      <c r="C2785" t="s">
        <v>56</v>
      </c>
      <c r="D2785" t="s">
        <v>2568</v>
      </c>
      <c r="E2785">
        <v>13</v>
      </c>
      <c r="F2785" t="str">
        <f>VLOOKUP(E2785,[1]LOJA!$A:$B,2,0)</f>
        <v>CEILÂNDIA</v>
      </c>
      <c r="G2785" t="s">
        <v>19</v>
      </c>
      <c r="H2785" t="s">
        <v>19</v>
      </c>
      <c r="I2785" s="1">
        <v>46027</v>
      </c>
      <c r="J2785" s="1">
        <v>46027</v>
      </c>
      <c r="K2785" s="1">
        <v>46027</v>
      </c>
      <c r="L2785">
        <v>34</v>
      </c>
      <c r="M2785">
        <v>5.48</v>
      </c>
      <c r="N2785">
        <v>5.48</v>
      </c>
      <c r="O2785">
        <v>0</v>
      </c>
      <c r="P2785">
        <v>0</v>
      </c>
      <c r="Q2785" t="s">
        <v>108</v>
      </c>
    </row>
    <row r="2786" spans="1:17">
      <c r="A2786" t="s">
        <v>93</v>
      </c>
      <c r="B2786" t="s">
        <v>106</v>
      </c>
      <c r="C2786" t="s">
        <v>56</v>
      </c>
      <c r="D2786" t="s">
        <v>2569</v>
      </c>
      <c r="E2786">
        <v>13</v>
      </c>
      <c r="F2786" t="str">
        <f>VLOOKUP(E2786,[1]LOJA!$A:$B,2,0)</f>
        <v>CEILÂNDIA</v>
      </c>
      <c r="G2786" t="s">
        <v>19</v>
      </c>
      <c r="H2786" t="s">
        <v>19</v>
      </c>
      <c r="I2786" s="1">
        <v>46027</v>
      </c>
      <c r="J2786" s="1">
        <v>46027</v>
      </c>
      <c r="K2786" s="1">
        <v>46027</v>
      </c>
      <c r="L2786">
        <v>34</v>
      </c>
      <c r="M2786">
        <v>3.65</v>
      </c>
      <c r="N2786">
        <v>3.65</v>
      </c>
      <c r="O2786">
        <v>0</v>
      </c>
      <c r="P2786">
        <v>0</v>
      </c>
      <c r="Q2786" t="s">
        <v>108</v>
      </c>
    </row>
    <row r="2787" spans="1:17">
      <c r="A2787" t="s">
        <v>93</v>
      </c>
      <c r="B2787" t="s">
        <v>106</v>
      </c>
      <c r="C2787" t="s">
        <v>56</v>
      </c>
      <c r="D2787" t="s">
        <v>2570</v>
      </c>
      <c r="E2787">
        <v>13</v>
      </c>
      <c r="F2787" t="str">
        <f>VLOOKUP(E2787,[1]LOJA!$A:$B,2,0)</f>
        <v>CEILÂNDIA</v>
      </c>
      <c r="G2787" t="s">
        <v>19</v>
      </c>
      <c r="H2787" t="s">
        <v>19</v>
      </c>
      <c r="I2787" s="1">
        <v>46027</v>
      </c>
      <c r="J2787" s="1">
        <v>46026</v>
      </c>
      <c r="K2787" s="1">
        <v>46027</v>
      </c>
      <c r="L2787">
        <v>34</v>
      </c>
      <c r="M2787">
        <v>3.21</v>
      </c>
      <c r="N2787">
        <v>3.21</v>
      </c>
      <c r="O2787">
        <v>0</v>
      </c>
      <c r="P2787">
        <v>0</v>
      </c>
      <c r="Q2787" t="s">
        <v>108</v>
      </c>
    </row>
    <row r="2788" spans="1:17">
      <c r="A2788" t="s">
        <v>93</v>
      </c>
      <c r="B2788" t="s">
        <v>106</v>
      </c>
      <c r="C2788" t="s">
        <v>56</v>
      </c>
      <c r="D2788" t="s">
        <v>2571</v>
      </c>
      <c r="E2788">
        <v>13</v>
      </c>
      <c r="F2788" t="str">
        <f>VLOOKUP(E2788,[1]LOJA!$A:$B,2,0)</f>
        <v>CEILÂNDIA</v>
      </c>
      <c r="G2788" t="s">
        <v>19</v>
      </c>
      <c r="H2788" t="s">
        <v>19</v>
      </c>
      <c r="I2788" s="1">
        <v>46027</v>
      </c>
      <c r="J2788" s="1">
        <v>46027</v>
      </c>
      <c r="K2788" s="1">
        <v>46027</v>
      </c>
      <c r="L2788">
        <v>34</v>
      </c>
      <c r="M2788">
        <v>3.11</v>
      </c>
      <c r="N2788">
        <v>3.11</v>
      </c>
      <c r="O2788">
        <v>0</v>
      </c>
      <c r="P2788">
        <v>0</v>
      </c>
      <c r="Q2788" t="s">
        <v>108</v>
      </c>
    </row>
    <row r="2789" spans="1:17">
      <c r="A2789" t="s">
        <v>93</v>
      </c>
      <c r="B2789" t="s">
        <v>106</v>
      </c>
      <c r="C2789" t="s">
        <v>56</v>
      </c>
      <c r="D2789" t="s">
        <v>2572</v>
      </c>
      <c r="E2789">
        <v>13</v>
      </c>
      <c r="F2789" t="str">
        <f>VLOOKUP(E2789,[1]LOJA!$A:$B,2,0)</f>
        <v>CEILÂNDIA</v>
      </c>
      <c r="G2789" t="s">
        <v>19</v>
      </c>
      <c r="H2789" t="s">
        <v>19</v>
      </c>
      <c r="I2789" s="1">
        <v>46027</v>
      </c>
      <c r="J2789" s="1">
        <v>46027</v>
      </c>
      <c r="K2789" s="1">
        <v>46027</v>
      </c>
      <c r="L2789">
        <v>34</v>
      </c>
      <c r="M2789">
        <v>4.4000000000000004</v>
      </c>
      <c r="N2789">
        <v>4.4000000000000004</v>
      </c>
      <c r="O2789">
        <v>0</v>
      </c>
      <c r="P2789">
        <v>0</v>
      </c>
      <c r="Q2789" t="s">
        <v>108</v>
      </c>
    </row>
    <row r="2790" spans="1:17">
      <c r="A2790" t="s">
        <v>93</v>
      </c>
      <c r="B2790" t="s">
        <v>106</v>
      </c>
      <c r="C2790" t="s">
        <v>56</v>
      </c>
      <c r="D2790" t="s">
        <v>2573</v>
      </c>
      <c r="E2790">
        <v>13</v>
      </c>
      <c r="F2790" t="str">
        <f>VLOOKUP(E2790,[1]LOJA!$A:$B,2,0)</f>
        <v>CEILÂNDIA</v>
      </c>
      <c r="G2790" t="s">
        <v>19</v>
      </c>
      <c r="H2790" t="s">
        <v>19</v>
      </c>
      <c r="I2790" s="1">
        <v>46027</v>
      </c>
      <c r="J2790" s="1">
        <v>46027</v>
      </c>
      <c r="K2790" s="1">
        <v>46027</v>
      </c>
      <c r="L2790">
        <v>34</v>
      </c>
      <c r="M2790">
        <v>3.29</v>
      </c>
      <c r="N2790">
        <v>3.29</v>
      </c>
      <c r="O2790">
        <v>0</v>
      </c>
      <c r="P2790">
        <v>0</v>
      </c>
      <c r="Q2790" t="s">
        <v>108</v>
      </c>
    </row>
    <row r="2791" spans="1:17">
      <c r="A2791" t="s">
        <v>93</v>
      </c>
      <c r="B2791" t="s">
        <v>106</v>
      </c>
      <c r="C2791" t="s">
        <v>56</v>
      </c>
      <c r="D2791" t="s">
        <v>2574</v>
      </c>
      <c r="E2791">
        <v>13</v>
      </c>
      <c r="F2791" t="str">
        <f>VLOOKUP(E2791,[1]LOJA!$A:$B,2,0)</f>
        <v>CEILÂNDIA</v>
      </c>
      <c r="G2791" t="s">
        <v>19</v>
      </c>
      <c r="H2791" t="s">
        <v>19</v>
      </c>
      <c r="I2791" s="1">
        <v>46027</v>
      </c>
      <c r="J2791" s="1">
        <v>46027</v>
      </c>
      <c r="K2791" s="1">
        <v>46027</v>
      </c>
      <c r="L2791">
        <v>34</v>
      </c>
      <c r="M2791">
        <v>6.02</v>
      </c>
      <c r="N2791">
        <v>6.02</v>
      </c>
      <c r="O2791">
        <v>0</v>
      </c>
      <c r="P2791">
        <v>0</v>
      </c>
      <c r="Q2791" t="s">
        <v>108</v>
      </c>
    </row>
    <row r="2792" spans="1:17">
      <c r="A2792" t="s">
        <v>93</v>
      </c>
      <c r="B2792" t="s">
        <v>106</v>
      </c>
      <c r="C2792" t="s">
        <v>56</v>
      </c>
      <c r="D2792" t="s">
        <v>2575</v>
      </c>
      <c r="E2792">
        <v>13</v>
      </c>
      <c r="F2792" t="str">
        <f>VLOOKUP(E2792,[1]LOJA!$A:$B,2,0)</f>
        <v>CEILÂNDIA</v>
      </c>
      <c r="G2792" t="s">
        <v>19</v>
      </c>
      <c r="H2792" t="s">
        <v>19</v>
      </c>
      <c r="I2792" s="1">
        <v>46027</v>
      </c>
      <c r="J2792" s="1">
        <v>46027</v>
      </c>
      <c r="K2792" s="1">
        <v>46027</v>
      </c>
      <c r="L2792">
        <v>34</v>
      </c>
      <c r="M2792">
        <v>5.83</v>
      </c>
      <c r="N2792">
        <v>5.83</v>
      </c>
      <c r="O2792">
        <v>0</v>
      </c>
      <c r="P2792">
        <v>0</v>
      </c>
      <c r="Q2792" t="s">
        <v>108</v>
      </c>
    </row>
    <row r="2793" spans="1:17">
      <c r="A2793" t="s">
        <v>93</v>
      </c>
      <c r="B2793" t="s">
        <v>106</v>
      </c>
      <c r="C2793" t="s">
        <v>56</v>
      </c>
      <c r="D2793" t="s">
        <v>2576</v>
      </c>
      <c r="E2793">
        <v>13</v>
      </c>
      <c r="F2793" t="str">
        <f>VLOOKUP(E2793,[1]LOJA!$A:$B,2,0)</f>
        <v>CEILÂNDIA</v>
      </c>
      <c r="G2793" t="s">
        <v>19</v>
      </c>
      <c r="H2793" t="s">
        <v>19</v>
      </c>
      <c r="I2793" s="1">
        <v>46027</v>
      </c>
      <c r="J2793" s="1">
        <v>46025</v>
      </c>
      <c r="K2793" s="1">
        <v>46027</v>
      </c>
      <c r="L2793">
        <v>34</v>
      </c>
      <c r="M2793">
        <v>0.32</v>
      </c>
      <c r="N2793">
        <v>0.32</v>
      </c>
      <c r="O2793">
        <v>0</v>
      </c>
      <c r="P2793">
        <v>0</v>
      </c>
      <c r="Q2793" t="s">
        <v>108</v>
      </c>
    </row>
    <row r="2794" spans="1:17">
      <c r="A2794" t="s">
        <v>93</v>
      </c>
      <c r="B2794" t="s">
        <v>106</v>
      </c>
      <c r="C2794" t="s">
        <v>56</v>
      </c>
      <c r="D2794" t="s">
        <v>2577</v>
      </c>
      <c r="E2794">
        <v>13</v>
      </c>
      <c r="F2794" t="str">
        <f>VLOOKUP(E2794,[1]LOJA!$A:$B,2,0)</f>
        <v>CEILÂNDIA</v>
      </c>
      <c r="G2794" t="s">
        <v>19</v>
      </c>
      <c r="H2794" t="s">
        <v>19</v>
      </c>
      <c r="I2794" s="1">
        <v>46027</v>
      </c>
      <c r="J2794" s="1">
        <v>46025</v>
      </c>
      <c r="K2794" s="1">
        <v>46027</v>
      </c>
      <c r="L2794">
        <v>34</v>
      </c>
      <c r="M2794">
        <v>2.7</v>
      </c>
      <c r="N2794">
        <v>2.7</v>
      </c>
      <c r="O2794">
        <v>0</v>
      </c>
      <c r="P2794">
        <v>0</v>
      </c>
      <c r="Q2794" t="s">
        <v>108</v>
      </c>
    </row>
    <row r="2795" spans="1:17">
      <c r="A2795" t="s">
        <v>93</v>
      </c>
      <c r="B2795" t="s">
        <v>106</v>
      </c>
      <c r="C2795" t="s">
        <v>56</v>
      </c>
      <c r="D2795" t="s">
        <v>2578</v>
      </c>
      <c r="E2795">
        <v>13</v>
      </c>
      <c r="F2795" t="str">
        <f>VLOOKUP(E2795,[1]LOJA!$A:$B,2,0)</f>
        <v>CEILÂNDIA</v>
      </c>
      <c r="G2795" t="s">
        <v>19</v>
      </c>
      <c r="H2795" t="s">
        <v>19</v>
      </c>
      <c r="I2795" s="1">
        <v>46027</v>
      </c>
      <c r="J2795" s="1">
        <v>46026</v>
      </c>
      <c r="K2795" s="1">
        <v>46027</v>
      </c>
      <c r="L2795">
        <v>34</v>
      </c>
      <c r="M2795">
        <v>2.42</v>
      </c>
      <c r="N2795">
        <v>2.42</v>
      </c>
      <c r="O2795">
        <v>0</v>
      </c>
      <c r="P2795">
        <v>0</v>
      </c>
      <c r="Q2795" t="s">
        <v>108</v>
      </c>
    </row>
    <row r="2796" spans="1:17">
      <c r="A2796" t="s">
        <v>93</v>
      </c>
      <c r="B2796" t="s">
        <v>106</v>
      </c>
      <c r="C2796" t="s">
        <v>56</v>
      </c>
      <c r="D2796" t="s">
        <v>2579</v>
      </c>
      <c r="E2796">
        <v>13</v>
      </c>
      <c r="F2796" t="str">
        <f>VLOOKUP(E2796,[1]LOJA!$A:$B,2,0)</f>
        <v>CEILÂNDIA</v>
      </c>
      <c r="G2796" t="s">
        <v>19</v>
      </c>
      <c r="H2796" t="s">
        <v>19</v>
      </c>
      <c r="I2796" s="1">
        <v>46027</v>
      </c>
      <c r="J2796" s="1">
        <v>46026</v>
      </c>
      <c r="K2796" s="1">
        <v>46027</v>
      </c>
      <c r="L2796">
        <v>34</v>
      </c>
      <c r="M2796">
        <v>3.89</v>
      </c>
      <c r="N2796">
        <v>3.89</v>
      </c>
      <c r="O2796">
        <v>0</v>
      </c>
      <c r="P2796">
        <v>0</v>
      </c>
      <c r="Q2796" t="s">
        <v>108</v>
      </c>
    </row>
    <row r="2797" spans="1:17">
      <c r="A2797" t="s">
        <v>93</v>
      </c>
      <c r="B2797" t="s">
        <v>106</v>
      </c>
      <c r="C2797" t="s">
        <v>56</v>
      </c>
      <c r="D2797" t="s">
        <v>2580</v>
      </c>
      <c r="E2797">
        <v>13</v>
      </c>
      <c r="F2797" t="str">
        <f>VLOOKUP(E2797,[1]LOJA!$A:$B,2,0)</f>
        <v>CEILÂNDIA</v>
      </c>
      <c r="G2797" t="s">
        <v>19</v>
      </c>
      <c r="H2797" t="s">
        <v>19</v>
      </c>
      <c r="I2797" s="1">
        <v>46027</v>
      </c>
      <c r="J2797" s="1">
        <v>46026</v>
      </c>
      <c r="K2797" s="1">
        <v>46027</v>
      </c>
      <c r="L2797">
        <v>34</v>
      </c>
      <c r="M2797">
        <v>3.89</v>
      </c>
      <c r="N2797">
        <v>3.89</v>
      </c>
      <c r="O2797">
        <v>0</v>
      </c>
      <c r="P2797">
        <v>0</v>
      </c>
      <c r="Q2797" t="s">
        <v>108</v>
      </c>
    </row>
    <row r="2798" spans="1:17">
      <c r="A2798" t="s">
        <v>93</v>
      </c>
      <c r="B2798" t="s">
        <v>106</v>
      </c>
      <c r="C2798" t="s">
        <v>56</v>
      </c>
      <c r="D2798" t="s">
        <v>2581</v>
      </c>
      <c r="E2798">
        <v>13</v>
      </c>
      <c r="F2798" t="str">
        <f>VLOOKUP(E2798,[1]LOJA!$A:$B,2,0)</f>
        <v>CEILÂNDIA</v>
      </c>
      <c r="G2798" t="s">
        <v>19</v>
      </c>
      <c r="H2798" t="s">
        <v>19</v>
      </c>
      <c r="I2798" s="1">
        <v>46027</v>
      </c>
      <c r="J2798" s="1">
        <v>46026</v>
      </c>
      <c r="K2798" s="1">
        <v>46027</v>
      </c>
      <c r="L2798">
        <v>34</v>
      </c>
      <c r="M2798">
        <v>3.85</v>
      </c>
      <c r="N2798">
        <v>3.85</v>
      </c>
      <c r="O2798">
        <v>0</v>
      </c>
      <c r="P2798">
        <v>0</v>
      </c>
      <c r="Q2798" t="s">
        <v>108</v>
      </c>
    </row>
    <row r="2799" spans="1:17">
      <c r="A2799" t="s">
        <v>93</v>
      </c>
      <c r="B2799" t="s">
        <v>106</v>
      </c>
      <c r="C2799" t="s">
        <v>56</v>
      </c>
      <c r="D2799" t="s">
        <v>2582</v>
      </c>
      <c r="E2799">
        <v>13</v>
      </c>
      <c r="F2799" t="str">
        <f>VLOOKUP(E2799,[1]LOJA!$A:$B,2,0)</f>
        <v>CEILÂNDIA</v>
      </c>
      <c r="G2799" t="s">
        <v>19</v>
      </c>
      <c r="H2799" t="s">
        <v>19</v>
      </c>
      <c r="I2799" s="1">
        <v>46027</v>
      </c>
      <c r="J2799" s="1">
        <v>46026</v>
      </c>
      <c r="K2799" s="1">
        <v>46027</v>
      </c>
      <c r="L2799">
        <v>34</v>
      </c>
      <c r="M2799">
        <v>1.67</v>
      </c>
      <c r="N2799">
        <v>1.67</v>
      </c>
      <c r="O2799">
        <v>0</v>
      </c>
      <c r="P2799">
        <v>0</v>
      </c>
      <c r="Q2799" t="s">
        <v>108</v>
      </c>
    </row>
    <row r="2800" spans="1:17">
      <c r="A2800" t="s">
        <v>93</v>
      </c>
      <c r="B2800" t="s">
        <v>106</v>
      </c>
      <c r="C2800" t="s">
        <v>56</v>
      </c>
      <c r="D2800" t="s">
        <v>2583</v>
      </c>
      <c r="E2800">
        <v>13</v>
      </c>
      <c r="F2800" t="str">
        <f>VLOOKUP(E2800,[1]LOJA!$A:$B,2,0)</f>
        <v>CEILÂNDIA</v>
      </c>
      <c r="G2800" t="s">
        <v>19</v>
      </c>
      <c r="H2800" t="s">
        <v>19</v>
      </c>
      <c r="I2800" s="1">
        <v>46027</v>
      </c>
      <c r="J2800" s="1">
        <v>46026</v>
      </c>
      <c r="K2800" s="1">
        <v>46027</v>
      </c>
      <c r="L2800">
        <v>34</v>
      </c>
      <c r="M2800">
        <v>1.03</v>
      </c>
      <c r="N2800">
        <v>1.03</v>
      </c>
      <c r="O2800">
        <v>0</v>
      </c>
      <c r="P2800">
        <v>0</v>
      </c>
      <c r="Q2800" t="s">
        <v>108</v>
      </c>
    </row>
    <row r="2801" spans="1:17">
      <c r="A2801" t="s">
        <v>93</v>
      </c>
      <c r="B2801" t="s">
        <v>106</v>
      </c>
      <c r="C2801" t="s">
        <v>56</v>
      </c>
      <c r="D2801" t="s">
        <v>2584</v>
      </c>
      <c r="E2801">
        <v>13</v>
      </c>
      <c r="F2801" t="str">
        <f>VLOOKUP(E2801,[1]LOJA!$A:$B,2,0)</f>
        <v>CEILÂNDIA</v>
      </c>
      <c r="G2801" t="s">
        <v>19</v>
      </c>
      <c r="H2801" t="s">
        <v>19</v>
      </c>
      <c r="I2801" s="1">
        <v>46027</v>
      </c>
      <c r="J2801" s="1">
        <v>46026</v>
      </c>
      <c r="K2801" s="1">
        <v>46027</v>
      </c>
      <c r="L2801">
        <v>34</v>
      </c>
      <c r="M2801">
        <v>4.2699999999999996</v>
      </c>
      <c r="N2801">
        <v>4.2699999999999996</v>
      </c>
      <c r="O2801">
        <v>0</v>
      </c>
      <c r="P2801">
        <v>0</v>
      </c>
      <c r="Q2801" t="s">
        <v>108</v>
      </c>
    </row>
    <row r="2802" spans="1:17">
      <c r="A2802" t="s">
        <v>93</v>
      </c>
      <c r="B2802" t="s">
        <v>106</v>
      </c>
      <c r="C2802" t="s">
        <v>56</v>
      </c>
      <c r="D2802" t="s">
        <v>2585</v>
      </c>
      <c r="E2802">
        <v>13</v>
      </c>
      <c r="F2802" t="str">
        <f>VLOOKUP(E2802,[1]LOJA!$A:$B,2,0)</f>
        <v>CEILÂNDIA</v>
      </c>
      <c r="G2802" t="s">
        <v>19</v>
      </c>
      <c r="H2802" t="s">
        <v>19</v>
      </c>
      <c r="I2802" s="1">
        <v>46027</v>
      </c>
      <c r="J2802" s="1">
        <v>46027</v>
      </c>
      <c r="K2802" s="1">
        <v>46027</v>
      </c>
      <c r="L2802">
        <v>34</v>
      </c>
      <c r="M2802">
        <v>0.74</v>
      </c>
      <c r="N2802">
        <v>0.74</v>
      </c>
      <c r="O2802">
        <v>0</v>
      </c>
      <c r="P2802">
        <v>0</v>
      </c>
      <c r="Q2802" t="s">
        <v>108</v>
      </c>
    </row>
    <row r="2803" spans="1:17">
      <c r="A2803" t="s">
        <v>93</v>
      </c>
      <c r="B2803" t="s">
        <v>106</v>
      </c>
      <c r="C2803" t="s">
        <v>56</v>
      </c>
      <c r="D2803" t="s">
        <v>2586</v>
      </c>
      <c r="E2803">
        <v>13</v>
      </c>
      <c r="F2803" t="str">
        <f>VLOOKUP(E2803,[1]LOJA!$A:$B,2,0)</f>
        <v>CEILÂNDIA</v>
      </c>
      <c r="G2803" t="s">
        <v>19</v>
      </c>
      <c r="H2803" t="s">
        <v>19</v>
      </c>
      <c r="I2803" s="1">
        <v>46027</v>
      </c>
      <c r="J2803" s="1">
        <v>46027</v>
      </c>
      <c r="K2803" s="1">
        <v>46027</v>
      </c>
      <c r="L2803">
        <v>34</v>
      </c>
      <c r="M2803">
        <v>2.19</v>
      </c>
      <c r="N2803">
        <v>2.19</v>
      </c>
      <c r="O2803">
        <v>0</v>
      </c>
      <c r="P2803">
        <v>0</v>
      </c>
      <c r="Q2803" t="s">
        <v>108</v>
      </c>
    </row>
    <row r="2804" spans="1:17">
      <c r="A2804" t="s">
        <v>93</v>
      </c>
      <c r="B2804" t="s">
        <v>106</v>
      </c>
      <c r="C2804" t="s">
        <v>56</v>
      </c>
      <c r="D2804" t="s">
        <v>2587</v>
      </c>
      <c r="E2804">
        <v>13</v>
      </c>
      <c r="F2804" t="str">
        <f>VLOOKUP(E2804,[1]LOJA!$A:$B,2,0)</f>
        <v>CEILÂNDIA</v>
      </c>
      <c r="G2804" t="s">
        <v>19</v>
      </c>
      <c r="H2804" t="s">
        <v>19</v>
      </c>
      <c r="I2804" s="1">
        <v>46027</v>
      </c>
      <c r="J2804" s="1">
        <v>46027</v>
      </c>
      <c r="K2804" s="1">
        <v>46027</v>
      </c>
      <c r="L2804">
        <v>34</v>
      </c>
      <c r="M2804">
        <v>2.93</v>
      </c>
      <c r="N2804">
        <v>2.93</v>
      </c>
      <c r="O2804">
        <v>0</v>
      </c>
      <c r="P2804">
        <v>0</v>
      </c>
      <c r="Q2804" t="s">
        <v>108</v>
      </c>
    </row>
    <row r="2805" spans="1:17">
      <c r="A2805" t="s">
        <v>93</v>
      </c>
      <c r="B2805" t="s">
        <v>106</v>
      </c>
      <c r="C2805" t="s">
        <v>56</v>
      </c>
      <c r="D2805" t="s">
        <v>2588</v>
      </c>
      <c r="E2805">
        <v>13</v>
      </c>
      <c r="F2805" t="str">
        <f>VLOOKUP(E2805,[1]LOJA!$A:$B,2,0)</f>
        <v>CEILÂNDIA</v>
      </c>
      <c r="G2805" t="s">
        <v>19</v>
      </c>
      <c r="H2805" t="s">
        <v>19</v>
      </c>
      <c r="I2805" s="1">
        <v>46027</v>
      </c>
      <c r="J2805" s="1">
        <v>46027</v>
      </c>
      <c r="K2805" s="1">
        <v>46027</v>
      </c>
      <c r="L2805">
        <v>34</v>
      </c>
      <c r="M2805">
        <v>3.36</v>
      </c>
      <c r="N2805">
        <v>3.36</v>
      </c>
      <c r="O2805">
        <v>0</v>
      </c>
      <c r="P2805">
        <v>0</v>
      </c>
      <c r="Q2805" t="s">
        <v>108</v>
      </c>
    </row>
    <row r="2806" spans="1:17">
      <c r="A2806" t="s">
        <v>93</v>
      </c>
      <c r="B2806" t="s">
        <v>106</v>
      </c>
      <c r="C2806" t="s">
        <v>56</v>
      </c>
      <c r="D2806" t="s">
        <v>2589</v>
      </c>
      <c r="E2806">
        <v>13</v>
      </c>
      <c r="F2806" t="str">
        <f>VLOOKUP(E2806,[1]LOJA!$A:$B,2,0)</f>
        <v>CEILÂNDIA</v>
      </c>
      <c r="G2806" t="s">
        <v>19</v>
      </c>
      <c r="H2806" t="s">
        <v>19</v>
      </c>
      <c r="I2806" s="1">
        <v>46027</v>
      </c>
      <c r="J2806" s="1">
        <v>46027</v>
      </c>
      <c r="K2806" s="1">
        <v>46027</v>
      </c>
      <c r="L2806">
        <v>34</v>
      </c>
      <c r="M2806">
        <v>9.58</v>
      </c>
      <c r="N2806">
        <v>9.58</v>
      </c>
      <c r="O2806">
        <v>0</v>
      </c>
      <c r="P2806">
        <v>0</v>
      </c>
      <c r="Q2806" t="s">
        <v>108</v>
      </c>
    </row>
    <row r="2807" spans="1:17">
      <c r="A2807" t="s">
        <v>93</v>
      </c>
      <c r="B2807" t="s">
        <v>106</v>
      </c>
      <c r="C2807" t="s">
        <v>56</v>
      </c>
      <c r="D2807" t="s">
        <v>2590</v>
      </c>
      <c r="E2807">
        <v>13</v>
      </c>
      <c r="F2807" t="str">
        <f>VLOOKUP(E2807,[1]LOJA!$A:$B,2,0)</f>
        <v>CEILÂNDIA</v>
      </c>
      <c r="G2807" t="s">
        <v>19</v>
      </c>
      <c r="H2807" t="s">
        <v>19</v>
      </c>
      <c r="I2807" s="1">
        <v>46027</v>
      </c>
      <c r="J2807" s="1">
        <v>46025</v>
      </c>
      <c r="K2807" s="1">
        <v>46027</v>
      </c>
      <c r="L2807">
        <v>34</v>
      </c>
      <c r="M2807">
        <v>0.84</v>
      </c>
      <c r="N2807">
        <v>0.84</v>
      </c>
      <c r="O2807">
        <v>0</v>
      </c>
      <c r="P2807">
        <v>0</v>
      </c>
      <c r="Q2807" t="s">
        <v>108</v>
      </c>
    </row>
    <row r="2808" spans="1:17">
      <c r="A2808" t="s">
        <v>93</v>
      </c>
      <c r="B2808" t="s">
        <v>106</v>
      </c>
      <c r="C2808" t="s">
        <v>56</v>
      </c>
      <c r="D2808" t="s">
        <v>2591</v>
      </c>
      <c r="E2808">
        <v>13</v>
      </c>
      <c r="F2808" t="str">
        <f>VLOOKUP(E2808,[1]LOJA!$A:$B,2,0)</f>
        <v>CEILÂNDIA</v>
      </c>
      <c r="G2808" t="s">
        <v>19</v>
      </c>
      <c r="H2808" t="s">
        <v>19</v>
      </c>
      <c r="I2808" s="1">
        <v>46027</v>
      </c>
      <c r="J2808" s="1">
        <v>46025</v>
      </c>
      <c r="K2808" s="1">
        <v>46027</v>
      </c>
      <c r="L2808">
        <v>34</v>
      </c>
      <c r="M2808">
        <v>1.71</v>
      </c>
      <c r="N2808">
        <v>1.71</v>
      </c>
      <c r="O2808">
        <v>0</v>
      </c>
      <c r="P2808">
        <v>0</v>
      </c>
      <c r="Q2808" t="s">
        <v>108</v>
      </c>
    </row>
    <row r="2809" spans="1:17">
      <c r="A2809" t="s">
        <v>93</v>
      </c>
      <c r="B2809" t="s">
        <v>106</v>
      </c>
      <c r="C2809" t="s">
        <v>56</v>
      </c>
      <c r="D2809" t="s">
        <v>2592</v>
      </c>
      <c r="E2809">
        <v>13</v>
      </c>
      <c r="F2809" t="str">
        <f>VLOOKUP(E2809,[1]LOJA!$A:$B,2,0)</f>
        <v>CEILÂNDIA</v>
      </c>
      <c r="G2809" t="s">
        <v>19</v>
      </c>
      <c r="H2809" t="s">
        <v>19</v>
      </c>
      <c r="I2809" s="1">
        <v>46027</v>
      </c>
      <c r="J2809" s="1">
        <v>46025</v>
      </c>
      <c r="K2809" s="1">
        <v>46027</v>
      </c>
      <c r="L2809">
        <v>34</v>
      </c>
      <c r="M2809">
        <v>0.94</v>
      </c>
      <c r="N2809">
        <v>0.94</v>
      </c>
      <c r="O2809">
        <v>0</v>
      </c>
      <c r="P2809">
        <v>0</v>
      </c>
      <c r="Q2809" t="s">
        <v>108</v>
      </c>
    </row>
    <row r="2810" spans="1:17">
      <c r="A2810" t="s">
        <v>93</v>
      </c>
      <c r="B2810" t="s">
        <v>106</v>
      </c>
      <c r="C2810" t="s">
        <v>56</v>
      </c>
      <c r="D2810" t="s">
        <v>2593</v>
      </c>
      <c r="E2810">
        <v>13</v>
      </c>
      <c r="F2810" t="str">
        <f>VLOOKUP(E2810,[1]LOJA!$A:$B,2,0)</f>
        <v>CEILÂNDIA</v>
      </c>
      <c r="G2810" t="s">
        <v>19</v>
      </c>
      <c r="H2810" t="s">
        <v>19</v>
      </c>
      <c r="I2810" s="1">
        <v>46027</v>
      </c>
      <c r="J2810" s="1">
        <v>46025</v>
      </c>
      <c r="K2810" s="1">
        <v>46027</v>
      </c>
      <c r="L2810">
        <v>34</v>
      </c>
      <c r="M2810">
        <v>0.1</v>
      </c>
      <c r="N2810">
        <v>0.1</v>
      </c>
      <c r="O2810">
        <v>0</v>
      </c>
      <c r="P2810">
        <v>0</v>
      </c>
      <c r="Q2810" t="s">
        <v>108</v>
      </c>
    </row>
    <row r="2811" spans="1:17">
      <c r="A2811" t="s">
        <v>93</v>
      </c>
      <c r="B2811" t="s">
        <v>106</v>
      </c>
      <c r="C2811" t="s">
        <v>56</v>
      </c>
      <c r="D2811" t="s">
        <v>2594</v>
      </c>
      <c r="E2811">
        <v>13</v>
      </c>
      <c r="F2811" t="str">
        <f>VLOOKUP(E2811,[1]LOJA!$A:$B,2,0)</f>
        <v>CEILÂNDIA</v>
      </c>
      <c r="G2811" t="s">
        <v>19</v>
      </c>
      <c r="H2811" t="s">
        <v>19</v>
      </c>
      <c r="I2811" s="1">
        <v>46027</v>
      </c>
      <c r="J2811" s="1">
        <v>46025</v>
      </c>
      <c r="K2811" s="1">
        <v>46027</v>
      </c>
      <c r="L2811">
        <v>34</v>
      </c>
      <c r="M2811">
        <v>0.37</v>
      </c>
      <c r="N2811">
        <v>0.37</v>
      </c>
      <c r="O2811">
        <v>0</v>
      </c>
      <c r="P2811">
        <v>0</v>
      </c>
      <c r="Q2811" t="s">
        <v>108</v>
      </c>
    </row>
    <row r="2812" spans="1:17">
      <c r="A2812" t="s">
        <v>93</v>
      </c>
      <c r="B2812" t="s">
        <v>106</v>
      </c>
      <c r="C2812" t="s">
        <v>56</v>
      </c>
      <c r="D2812" t="s">
        <v>2595</v>
      </c>
      <c r="E2812">
        <v>13</v>
      </c>
      <c r="F2812" t="str">
        <f>VLOOKUP(E2812,[1]LOJA!$A:$B,2,0)</f>
        <v>CEILÂNDIA</v>
      </c>
      <c r="G2812" t="s">
        <v>19</v>
      </c>
      <c r="H2812" t="s">
        <v>19</v>
      </c>
      <c r="I2812" s="1">
        <v>46027</v>
      </c>
      <c r="J2812" s="1">
        <v>46026</v>
      </c>
      <c r="K2812" s="1">
        <v>46027</v>
      </c>
      <c r="L2812">
        <v>34</v>
      </c>
      <c r="M2812">
        <v>0.17</v>
      </c>
      <c r="N2812">
        <v>0.17</v>
      </c>
      <c r="O2812">
        <v>0</v>
      </c>
      <c r="P2812">
        <v>0</v>
      </c>
      <c r="Q2812" t="s">
        <v>108</v>
      </c>
    </row>
    <row r="2813" spans="1:17">
      <c r="A2813" t="s">
        <v>93</v>
      </c>
      <c r="B2813" t="s">
        <v>106</v>
      </c>
      <c r="C2813" t="s">
        <v>56</v>
      </c>
      <c r="D2813" t="s">
        <v>2596</v>
      </c>
      <c r="E2813">
        <v>13</v>
      </c>
      <c r="F2813" t="str">
        <f>VLOOKUP(E2813,[1]LOJA!$A:$B,2,0)</f>
        <v>CEILÂNDIA</v>
      </c>
      <c r="G2813" t="s">
        <v>19</v>
      </c>
      <c r="H2813" t="s">
        <v>19</v>
      </c>
      <c r="I2813" s="1">
        <v>46027</v>
      </c>
      <c r="J2813" s="1">
        <v>46026</v>
      </c>
      <c r="K2813" s="1">
        <v>46027</v>
      </c>
      <c r="L2813">
        <v>34</v>
      </c>
      <c r="M2813">
        <v>0.44</v>
      </c>
      <c r="N2813">
        <v>0.44</v>
      </c>
      <c r="O2813">
        <v>0</v>
      </c>
      <c r="P2813">
        <v>0</v>
      </c>
      <c r="Q2813" t="s">
        <v>108</v>
      </c>
    </row>
    <row r="2814" spans="1:17">
      <c r="A2814" t="s">
        <v>93</v>
      </c>
      <c r="B2814" t="s">
        <v>106</v>
      </c>
      <c r="C2814" t="s">
        <v>56</v>
      </c>
      <c r="D2814" t="s">
        <v>2597</v>
      </c>
      <c r="E2814">
        <v>13</v>
      </c>
      <c r="F2814" t="str">
        <f>VLOOKUP(E2814,[1]LOJA!$A:$B,2,0)</f>
        <v>CEILÂNDIA</v>
      </c>
      <c r="G2814" t="s">
        <v>19</v>
      </c>
      <c r="H2814" t="s">
        <v>19</v>
      </c>
      <c r="I2814" s="1">
        <v>46028</v>
      </c>
      <c r="J2814" s="1">
        <v>46028</v>
      </c>
      <c r="K2814" s="1">
        <v>46028</v>
      </c>
      <c r="L2814">
        <v>34</v>
      </c>
      <c r="M2814">
        <v>4.0999999999999996</v>
      </c>
      <c r="N2814">
        <v>4.0999999999999996</v>
      </c>
      <c r="O2814">
        <v>0</v>
      </c>
      <c r="P2814">
        <v>0</v>
      </c>
      <c r="Q2814" t="s">
        <v>108</v>
      </c>
    </row>
    <row r="2815" spans="1:17">
      <c r="A2815" t="s">
        <v>93</v>
      </c>
      <c r="B2815" t="s">
        <v>106</v>
      </c>
      <c r="C2815" t="s">
        <v>56</v>
      </c>
      <c r="D2815" t="s">
        <v>2598</v>
      </c>
      <c r="E2815">
        <v>13</v>
      </c>
      <c r="F2815" t="str">
        <f>VLOOKUP(E2815,[1]LOJA!$A:$B,2,0)</f>
        <v>CEILÂNDIA</v>
      </c>
      <c r="G2815" t="s">
        <v>19</v>
      </c>
      <c r="H2815" t="s">
        <v>19</v>
      </c>
      <c r="I2815" s="1">
        <v>46028</v>
      </c>
      <c r="J2815" s="1">
        <v>46028</v>
      </c>
      <c r="K2815" s="1">
        <v>46028</v>
      </c>
      <c r="L2815">
        <v>34</v>
      </c>
      <c r="M2815">
        <v>4.91</v>
      </c>
      <c r="N2815">
        <v>4.91</v>
      </c>
      <c r="O2815">
        <v>0</v>
      </c>
      <c r="P2815">
        <v>0</v>
      </c>
      <c r="Q2815" t="s">
        <v>108</v>
      </c>
    </row>
    <row r="2816" spans="1:17">
      <c r="A2816" t="s">
        <v>93</v>
      </c>
      <c r="B2816" t="s">
        <v>106</v>
      </c>
      <c r="C2816" t="s">
        <v>56</v>
      </c>
      <c r="D2816" t="s">
        <v>2599</v>
      </c>
      <c r="E2816">
        <v>13</v>
      </c>
      <c r="F2816" t="str">
        <f>VLOOKUP(E2816,[1]LOJA!$A:$B,2,0)</f>
        <v>CEILÂNDIA</v>
      </c>
      <c r="G2816" t="s">
        <v>19</v>
      </c>
      <c r="H2816" t="s">
        <v>19</v>
      </c>
      <c r="I2816" s="1">
        <v>46028</v>
      </c>
      <c r="J2816" s="1">
        <v>46028</v>
      </c>
      <c r="K2816" s="1">
        <v>46028</v>
      </c>
      <c r="L2816">
        <v>34</v>
      </c>
      <c r="M2816">
        <v>2.19</v>
      </c>
      <c r="N2816">
        <v>2.19</v>
      </c>
      <c r="O2816">
        <v>0</v>
      </c>
      <c r="P2816">
        <v>0</v>
      </c>
      <c r="Q2816" t="s">
        <v>108</v>
      </c>
    </row>
    <row r="2817" spans="1:17">
      <c r="A2817" t="s">
        <v>93</v>
      </c>
      <c r="B2817" t="s">
        <v>106</v>
      </c>
      <c r="C2817" t="s">
        <v>56</v>
      </c>
      <c r="D2817" t="s">
        <v>2600</v>
      </c>
      <c r="E2817">
        <v>13</v>
      </c>
      <c r="F2817" t="str">
        <f>VLOOKUP(E2817,[1]LOJA!$A:$B,2,0)</f>
        <v>CEILÂNDIA</v>
      </c>
      <c r="G2817" t="s">
        <v>19</v>
      </c>
      <c r="H2817" t="s">
        <v>19</v>
      </c>
      <c r="I2817" s="1">
        <v>46028</v>
      </c>
      <c r="J2817" s="1">
        <v>46028</v>
      </c>
      <c r="K2817" s="1">
        <v>46028</v>
      </c>
      <c r="L2817">
        <v>34</v>
      </c>
      <c r="M2817">
        <v>2.2400000000000002</v>
      </c>
      <c r="N2817">
        <v>2.2400000000000002</v>
      </c>
      <c r="O2817">
        <v>0</v>
      </c>
      <c r="P2817">
        <v>0</v>
      </c>
      <c r="Q2817" t="s">
        <v>108</v>
      </c>
    </row>
    <row r="2818" spans="1:17">
      <c r="A2818" t="s">
        <v>93</v>
      </c>
      <c r="B2818" t="s">
        <v>106</v>
      </c>
      <c r="C2818" t="s">
        <v>56</v>
      </c>
      <c r="D2818" t="s">
        <v>2601</v>
      </c>
      <c r="E2818">
        <v>13</v>
      </c>
      <c r="F2818" t="str">
        <f>VLOOKUP(E2818,[1]LOJA!$A:$B,2,0)</f>
        <v>CEILÂNDIA</v>
      </c>
      <c r="G2818" t="s">
        <v>19</v>
      </c>
      <c r="H2818" t="s">
        <v>19</v>
      </c>
      <c r="I2818" s="1">
        <v>46028</v>
      </c>
      <c r="J2818" s="1">
        <v>46028</v>
      </c>
      <c r="K2818" s="1">
        <v>46028</v>
      </c>
      <c r="L2818">
        <v>34</v>
      </c>
      <c r="M2818">
        <v>5.47</v>
      </c>
      <c r="N2818">
        <v>5.47</v>
      </c>
      <c r="O2818">
        <v>0</v>
      </c>
      <c r="P2818">
        <v>0</v>
      </c>
      <c r="Q2818" t="s">
        <v>108</v>
      </c>
    </row>
    <row r="2819" spans="1:17">
      <c r="A2819" t="s">
        <v>93</v>
      </c>
      <c r="B2819" t="s">
        <v>106</v>
      </c>
      <c r="C2819" t="s">
        <v>56</v>
      </c>
      <c r="D2819" t="s">
        <v>2602</v>
      </c>
      <c r="E2819">
        <v>13</v>
      </c>
      <c r="F2819" t="str">
        <f>VLOOKUP(E2819,[1]LOJA!$A:$B,2,0)</f>
        <v>CEILÂNDIA</v>
      </c>
      <c r="G2819" t="s">
        <v>19</v>
      </c>
      <c r="H2819" t="s">
        <v>19</v>
      </c>
      <c r="I2819" s="1">
        <v>46028</v>
      </c>
      <c r="J2819" s="1">
        <v>46028</v>
      </c>
      <c r="K2819" s="1">
        <v>46028</v>
      </c>
      <c r="L2819">
        <v>34</v>
      </c>
      <c r="M2819">
        <v>1.99</v>
      </c>
      <c r="N2819">
        <v>1.99</v>
      </c>
      <c r="O2819">
        <v>0</v>
      </c>
      <c r="P2819">
        <v>0</v>
      </c>
      <c r="Q2819" t="s">
        <v>108</v>
      </c>
    </row>
    <row r="2820" spans="1:17">
      <c r="A2820" t="s">
        <v>93</v>
      </c>
      <c r="B2820" t="s">
        <v>106</v>
      </c>
      <c r="C2820" t="s">
        <v>56</v>
      </c>
      <c r="D2820" t="s">
        <v>2603</v>
      </c>
      <c r="E2820">
        <v>13</v>
      </c>
      <c r="F2820" t="str">
        <f>VLOOKUP(E2820,[1]LOJA!$A:$B,2,0)</f>
        <v>CEILÂNDIA</v>
      </c>
      <c r="G2820" t="s">
        <v>19</v>
      </c>
      <c r="H2820" t="s">
        <v>19</v>
      </c>
      <c r="I2820" s="1">
        <v>46028</v>
      </c>
      <c r="J2820" s="1">
        <v>46028</v>
      </c>
      <c r="K2820" s="1">
        <v>46028</v>
      </c>
      <c r="L2820">
        <v>34</v>
      </c>
      <c r="M2820">
        <v>1.4</v>
      </c>
      <c r="N2820">
        <v>1.4</v>
      </c>
      <c r="O2820">
        <v>0</v>
      </c>
      <c r="P2820">
        <v>0</v>
      </c>
      <c r="Q2820" t="s">
        <v>108</v>
      </c>
    </row>
    <row r="2821" spans="1:17">
      <c r="A2821" t="s">
        <v>93</v>
      </c>
      <c r="B2821" t="s">
        <v>106</v>
      </c>
      <c r="C2821" t="s">
        <v>56</v>
      </c>
      <c r="D2821" t="s">
        <v>2604</v>
      </c>
      <c r="E2821">
        <v>13</v>
      </c>
      <c r="F2821" t="str">
        <f>VLOOKUP(E2821,[1]LOJA!$A:$B,2,0)</f>
        <v>CEILÂNDIA</v>
      </c>
      <c r="G2821" t="s">
        <v>19</v>
      </c>
      <c r="H2821" t="s">
        <v>19</v>
      </c>
      <c r="I2821" s="1">
        <v>46028</v>
      </c>
      <c r="J2821" s="1">
        <v>46028</v>
      </c>
      <c r="K2821" s="1">
        <v>46028</v>
      </c>
      <c r="L2821">
        <v>34</v>
      </c>
      <c r="M2821">
        <v>0.1</v>
      </c>
      <c r="N2821">
        <v>0.1</v>
      </c>
      <c r="O2821">
        <v>0</v>
      </c>
      <c r="P2821">
        <v>0</v>
      </c>
      <c r="Q2821" t="s">
        <v>108</v>
      </c>
    </row>
    <row r="2822" spans="1:17">
      <c r="A2822" t="s">
        <v>93</v>
      </c>
      <c r="B2822" t="s">
        <v>106</v>
      </c>
      <c r="C2822" t="s">
        <v>56</v>
      </c>
      <c r="D2822" t="s">
        <v>2605</v>
      </c>
      <c r="E2822">
        <v>13</v>
      </c>
      <c r="F2822" t="str">
        <f>VLOOKUP(E2822,[1]LOJA!$A:$B,2,0)</f>
        <v>CEILÂNDIA</v>
      </c>
      <c r="G2822" t="s">
        <v>19</v>
      </c>
      <c r="H2822" t="s">
        <v>19</v>
      </c>
      <c r="I2822" s="1">
        <v>46028</v>
      </c>
      <c r="J2822" s="1">
        <v>46028</v>
      </c>
      <c r="K2822" s="1">
        <v>46028</v>
      </c>
      <c r="L2822">
        <v>34</v>
      </c>
      <c r="M2822">
        <v>0.34</v>
      </c>
      <c r="N2822">
        <v>0.34</v>
      </c>
      <c r="O2822">
        <v>0</v>
      </c>
      <c r="P2822">
        <v>0</v>
      </c>
      <c r="Q2822" t="s">
        <v>108</v>
      </c>
    </row>
    <row r="2823" spans="1:17">
      <c r="A2823" t="s">
        <v>93</v>
      </c>
      <c r="B2823" t="s">
        <v>106</v>
      </c>
      <c r="C2823" t="s">
        <v>56</v>
      </c>
      <c r="D2823" t="s">
        <v>2606</v>
      </c>
      <c r="E2823">
        <v>13</v>
      </c>
      <c r="F2823" t="str">
        <f>VLOOKUP(E2823,[1]LOJA!$A:$B,2,0)</f>
        <v>CEILÂNDIA</v>
      </c>
      <c r="G2823" t="s">
        <v>19</v>
      </c>
      <c r="H2823" t="s">
        <v>19</v>
      </c>
      <c r="I2823" s="1">
        <v>46028</v>
      </c>
      <c r="J2823" s="1">
        <v>46028</v>
      </c>
      <c r="K2823" s="1">
        <v>46028</v>
      </c>
      <c r="L2823">
        <v>34</v>
      </c>
      <c r="M2823">
        <v>0.3</v>
      </c>
      <c r="N2823">
        <v>0.3</v>
      </c>
      <c r="O2823">
        <v>0</v>
      </c>
      <c r="P2823">
        <v>0</v>
      </c>
      <c r="Q2823" t="s">
        <v>108</v>
      </c>
    </row>
    <row r="2824" spans="1:17">
      <c r="A2824" t="s">
        <v>93</v>
      </c>
      <c r="B2824" t="s">
        <v>106</v>
      </c>
      <c r="C2824" t="s">
        <v>56</v>
      </c>
      <c r="D2824" t="s">
        <v>2607</v>
      </c>
      <c r="E2824">
        <v>13</v>
      </c>
      <c r="F2824" t="str">
        <f>VLOOKUP(E2824,[1]LOJA!$A:$B,2,0)</f>
        <v>CEILÂNDIA</v>
      </c>
      <c r="G2824" t="s">
        <v>19</v>
      </c>
      <c r="H2824" t="s">
        <v>19</v>
      </c>
      <c r="I2824" s="1">
        <v>46028</v>
      </c>
      <c r="J2824" s="1">
        <v>46028</v>
      </c>
      <c r="K2824" s="1">
        <v>46028</v>
      </c>
      <c r="L2824">
        <v>34</v>
      </c>
      <c r="M2824">
        <v>0.6</v>
      </c>
      <c r="N2824">
        <v>0.6</v>
      </c>
      <c r="O2824">
        <v>0</v>
      </c>
      <c r="P2824">
        <v>0</v>
      </c>
      <c r="Q2824" t="s">
        <v>108</v>
      </c>
    </row>
    <row r="2825" spans="1:17">
      <c r="A2825" t="s">
        <v>93</v>
      </c>
      <c r="B2825" t="s">
        <v>106</v>
      </c>
      <c r="C2825" t="s">
        <v>56</v>
      </c>
      <c r="D2825" t="s">
        <v>2608</v>
      </c>
      <c r="E2825">
        <v>13</v>
      </c>
      <c r="F2825" t="str">
        <f>VLOOKUP(E2825,[1]LOJA!$A:$B,2,0)</f>
        <v>CEILÂNDIA</v>
      </c>
      <c r="G2825" t="s">
        <v>19</v>
      </c>
      <c r="H2825" t="s">
        <v>19</v>
      </c>
      <c r="I2825" s="1">
        <v>46028</v>
      </c>
      <c r="J2825" s="1">
        <v>46028</v>
      </c>
      <c r="K2825" s="1">
        <v>46028</v>
      </c>
      <c r="L2825">
        <v>34</v>
      </c>
      <c r="M2825">
        <v>1.24</v>
      </c>
      <c r="N2825">
        <v>1.24</v>
      </c>
      <c r="O2825">
        <v>0</v>
      </c>
      <c r="P2825">
        <v>0</v>
      </c>
      <c r="Q2825" t="s">
        <v>108</v>
      </c>
    </row>
    <row r="2826" spans="1:17">
      <c r="A2826" t="s">
        <v>93</v>
      </c>
      <c r="B2826" t="s">
        <v>106</v>
      </c>
      <c r="C2826" t="s">
        <v>56</v>
      </c>
      <c r="D2826" t="s">
        <v>2609</v>
      </c>
      <c r="E2826">
        <v>13</v>
      </c>
      <c r="F2826" t="str">
        <f>VLOOKUP(E2826,[1]LOJA!$A:$B,2,0)</f>
        <v>CEILÂNDIA</v>
      </c>
      <c r="G2826" t="s">
        <v>19</v>
      </c>
      <c r="H2826" t="s">
        <v>19</v>
      </c>
      <c r="I2826" s="1">
        <v>46028</v>
      </c>
      <c r="J2826" s="1">
        <v>46028</v>
      </c>
      <c r="K2826" s="1">
        <v>46028</v>
      </c>
      <c r="L2826">
        <v>34</v>
      </c>
      <c r="M2826">
        <v>1.21</v>
      </c>
      <c r="N2826">
        <v>1.21</v>
      </c>
      <c r="O2826">
        <v>0</v>
      </c>
      <c r="P2826">
        <v>0</v>
      </c>
      <c r="Q2826" t="s">
        <v>108</v>
      </c>
    </row>
    <row r="2827" spans="1:17">
      <c r="A2827" t="s">
        <v>93</v>
      </c>
      <c r="B2827" t="s">
        <v>106</v>
      </c>
      <c r="C2827" t="s">
        <v>56</v>
      </c>
      <c r="D2827" t="s">
        <v>2610</v>
      </c>
      <c r="E2827">
        <v>13</v>
      </c>
      <c r="F2827" t="str">
        <f>VLOOKUP(E2827,[1]LOJA!$A:$B,2,0)</f>
        <v>CEILÂNDIA</v>
      </c>
      <c r="G2827" t="s">
        <v>19</v>
      </c>
      <c r="H2827" t="s">
        <v>19</v>
      </c>
      <c r="I2827" s="1">
        <v>46029</v>
      </c>
      <c r="J2827" s="1">
        <v>46029</v>
      </c>
      <c r="K2827" s="1">
        <v>46029</v>
      </c>
      <c r="L2827">
        <v>34</v>
      </c>
      <c r="M2827">
        <v>6.14</v>
      </c>
      <c r="N2827">
        <v>6.14</v>
      </c>
      <c r="O2827">
        <v>0</v>
      </c>
      <c r="P2827">
        <v>0</v>
      </c>
      <c r="Q2827" t="s">
        <v>108</v>
      </c>
    </row>
    <row r="2828" spans="1:17">
      <c r="A2828" t="s">
        <v>93</v>
      </c>
      <c r="B2828" t="s">
        <v>106</v>
      </c>
      <c r="C2828" t="s">
        <v>56</v>
      </c>
      <c r="D2828" t="s">
        <v>2611</v>
      </c>
      <c r="E2828">
        <v>13</v>
      </c>
      <c r="F2828" t="str">
        <f>VLOOKUP(E2828,[1]LOJA!$A:$B,2,0)</f>
        <v>CEILÂNDIA</v>
      </c>
      <c r="G2828" t="s">
        <v>19</v>
      </c>
      <c r="H2828" t="s">
        <v>19</v>
      </c>
      <c r="I2828" s="1">
        <v>46029</v>
      </c>
      <c r="J2828" s="1">
        <v>46029</v>
      </c>
      <c r="K2828" s="1">
        <v>46029</v>
      </c>
      <c r="L2828">
        <v>34</v>
      </c>
      <c r="M2828">
        <v>6.64</v>
      </c>
      <c r="N2828">
        <v>6.64</v>
      </c>
      <c r="O2828">
        <v>0</v>
      </c>
      <c r="P2828">
        <v>0</v>
      </c>
      <c r="Q2828" t="s">
        <v>108</v>
      </c>
    </row>
    <row r="2829" spans="1:17">
      <c r="A2829" t="s">
        <v>93</v>
      </c>
      <c r="B2829" t="s">
        <v>106</v>
      </c>
      <c r="C2829" t="s">
        <v>56</v>
      </c>
      <c r="D2829" t="s">
        <v>2612</v>
      </c>
      <c r="E2829">
        <v>13</v>
      </c>
      <c r="F2829" t="str">
        <f>VLOOKUP(E2829,[1]LOJA!$A:$B,2,0)</f>
        <v>CEILÂNDIA</v>
      </c>
      <c r="G2829" t="s">
        <v>19</v>
      </c>
      <c r="H2829" t="s">
        <v>19</v>
      </c>
      <c r="I2829" s="1">
        <v>46029</v>
      </c>
      <c r="J2829" s="1">
        <v>46029</v>
      </c>
      <c r="K2829" s="1">
        <v>46029</v>
      </c>
      <c r="L2829">
        <v>34</v>
      </c>
      <c r="M2829">
        <v>4.3099999999999996</v>
      </c>
      <c r="N2829">
        <v>4.3099999999999996</v>
      </c>
      <c r="O2829">
        <v>0</v>
      </c>
      <c r="P2829">
        <v>0</v>
      </c>
      <c r="Q2829" t="s">
        <v>108</v>
      </c>
    </row>
    <row r="2830" spans="1:17">
      <c r="A2830" t="s">
        <v>93</v>
      </c>
      <c r="B2830" t="s">
        <v>106</v>
      </c>
      <c r="C2830" t="s">
        <v>56</v>
      </c>
      <c r="D2830" t="s">
        <v>2613</v>
      </c>
      <c r="E2830">
        <v>13</v>
      </c>
      <c r="F2830" t="str">
        <f>VLOOKUP(E2830,[1]LOJA!$A:$B,2,0)</f>
        <v>CEILÂNDIA</v>
      </c>
      <c r="G2830" t="s">
        <v>19</v>
      </c>
      <c r="H2830" t="s">
        <v>19</v>
      </c>
      <c r="I2830" s="1">
        <v>46029</v>
      </c>
      <c r="J2830" s="1">
        <v>46029</v>
      </c>
      <c r="K2830" s="1">
        <v>46029</v>
      </c>
      <c r="L2830">
        <v>34</v>
      </c>
      <c r="M2830">
        <v>2.34</v>
      </c>
      <c r="N2830">
        <v>2.34</v>
      </c>
      <c r="O2830">
        <v>0</v>
      </c>
      <c r="P2830">
        <v>0</v>
      </c>
      <c r="Q2830" t="s">
        <v>108</v>
      </c>
    </row>
    <row r="2831" spans="1:17">
      <c r="A2831" t="s">
        <v>93</v>
      </c>
      <c r="B2831" t="s">
        <v>106</v>
      </c>
      <c r="C2831" t="s">
        <v>56</v>
      </c>
      <c r="D2831" t="s">
        <v>2614</v>
      </c>
      <c r="E2831">
        <v>13</v>
      </c>
      <c r="F2831" t="str">
        <f>VLOOKUP(E2831,[1]LOJA!$A:$B,2,0)</f>
        <v>CEILÂNDIA</v>
      </c>
      <c r="G2831" t="s">
        <v>19</v>
      </c>
      <c r="H2831" t="s">
        <v>19</v>
      </c>
      <c r="I2831" s="1">
        <v>46029</v>
      </c>
      <c r="J2831" s="1">
        <v>46029</v>
      </c>
      <c r="K2831" s="1">
        <v>46029</v>
      </c>
      <c r="L2831">
        <v>34</v>
      </c>
      <c r="M2831">
        <v>2.63</v>
      </c>
      <c r="N2831">
        <v>2.63</v>
      </c>
      <c r="O2831">
        <v>0</v>
      </c>
      <c r="P2831">
        <v>0</v>
      </c>
      <c r="Q2831" t="s">
        <v>108</v>
      </c>
    </row>
    <row r="2832" spans="1:17">
      <c r="A2832" t="s">
        <v>93</v>
      </c>
      <c r="B2832" t="s">
        <v>106</v>
      </c>
      <c r="C2832" t="s">
        <v>56</v>
      </c>
      <c r="D2832" t="s">
        <v>2615</v>
      </c>
      <c r="E2832">
        <v>13</v>
      </c>
      <c r="F2832" t="str">
        <f>VLOOKUP(E2832,[1]LOJA!$A:$B,2,0)</f>
        <v>CEILÂNDIA</v>
      </c>
      <c r="G2832" t="s">
        <v>19</v>
      </c>
      <c r="H2832" t="s">
        <v>19</v>
      </c>
      <c r="I2832" s="1">
        <v>46029</v>
      </c>
      <c r="J2832" s="1">
        <v>46029</v>
      </c>
      <c r="K2832" s="1">
        <v>46029</v>
      </c>
      <c r="L2832">
        <v>34</v>
      </c>
      <c r="M2832">
        <v>4.49</v>
      </c>
      <c r="N2832">
        <v>4.49</v>
      </c>
      <c r="O2832">
        <v>0</v>
      </c>
      <c r="P2832">
        <v>0</v>
      </c>
      <c r="Q2832" t="s">
        <v>108</v>
      </c>
    </row>
    <row r="2833" spans="1:17">
      <c r="A2833" t="s">
        <v>93</v>
      </c>
      <c r="B2833" t="s">
        <v>106</v>
      </c>
      <c r="C2833" t="s">
        <v>56</v>
      </c>
      <c r="D2833" t="s">
        <v>2616</v>
      </c>
      <c r="E2833">
        <v>13</v>
      </c>
      <c r="F2833" t="str">
        <f>VLOOKUP(E2833,[1]LOJA!$A:$B,2,0)</f>
        <v>CEILÂNDIA</v>
      </c>
      <c r="G2833" t="s">
        <v>19</v>
      </c>
      <c r="H2833" t="s">
        <v>19</v>
      </c>
      <c r="I2833" s="1">
        <v>46029</v>
      </c>
      <c r="J2833" s="1">
        <v>46029</v>
      </c>
      <c r="K2833" s="1">
        <v>46029</v>
      </c>
      <c r="L2833">
        <v>34</v>
      </c>
      <c r="M2833">
        <v>1.61</v>
      </c>
      <c r="N2833">
        <v>1.61</v>
      </c>
      <c r="O2833">
        <v>0</v>
      </c>
      <c r="P2833">
        <v>0</v>
      </c>
      <c r="Q2833" t="s">
        <v>108</v>
      </c>
    </row>
    <row r="2834" spans="1:17">
      <c r="A2834" t="s">
        <v>93</v>
      </c>
      <c r="B2834" t="s">
        <v>106</v>
      </c>
      <c r="C2834" t="s">
        <v>56</v>
      </c>
      <c r="D2834" t="s">
        <v>2617</v>
      </c>
      <c r="E2834">
        <v>13</v>
      </c>
      <c r="F2834" t="str">
        <f>VLOOKUP(E2834,[1]LOJA!$A:$B,2,0)</f>
        <v>CEILÂNDIA</v>
      </c>
      <c r="G2834" t="s">
        <v>19</v>
      </c>
      <c r="H2834" t="s">
        <v>19</v>
      </c>
      <c r="I2834" s="1">
        <v>46029</v>
      </c>
      <c r="J2834" s="1">
        <v>46029</v>
      </c>
      <c r="K2834" s="1">
        <v>46029</v>
      </c>
      <c r="L2834">
        <v>34</v>
      </c>
      <c r="M2834">
        <v>0.6</v>
      </c>
      <c r="N2834">
        <v>0.6</v>
      </c>
      <c r="O2834">
        <v>0</v>
      </c>
      <c r="P2834">
        <v>0</v>
      </c>
      <c r="Q2834" t="s">
        <v>108</v>
      </c>
    </row>
    <row r="2835" spans="1:17">
      <c r="A2835" t="s">
        <v>93</v>
      </c>
      <c r="B2835" t="s">
        <v>106</v>
      </c>
      <c r="C2835" t="s">
        <v>56</v>
      </c>
      <c r="D2835" t="s">
        <v>2618</v>
      </c>
      <c r="E2835">
        <v>13</v>
      </c>
      <c r="F2835" t="str">
        <f>VLOOKUP(E2835,[1]LOJA!$A:$B,2,0)</f>
        <v>CEILÂNDIA</v>
      </c>
      <c r="G2835" t="s">
        <v>19</v>
      </c>
      <c r="H2835" t="s">
        <v>19</v>
      </c>
      <c r="I2835" s="1">
        <v>46029</v>
      </c>
      <c r="J2835" s="1">
        <v>46029</v>
      </c>
      <c r="K2835" s="1">
        <v>46029</v>
      </c>
      <c r="L2835">
        <v>34</v>
      </c>
      <c r="M2835">
        <v>0.32</v>
      </c>
      <c r="N2835">
        <v>0.32</v>
      </c>
      <c r="O2835">
        <v>0</v>
      </c>
      <c r="P2835">
        <v>0</v>
      </c>
      <c r="Q2835" t="s">
        <v>108</v>
      </c>
    </row>
    <row r="2836" spans="1:17">
      <c r="A2836" t="s">
        <v>93</v>
      </c>
      <c r="B2836" t="s">
        <v>106</v>
      </c>
      <c r="C2836" t="s">
        <v>56</v>
      </c>
      <c r="D2836" t="s">
        <v>2619</v>
      </c>
      <c r="E2836">
        <v>13</v>
      </c>
      <c r="F2836" t="str">
        <f>VLOOKUP(E2836,[1]LOJA!$A:$B,2,0)</f>
        <v>CEILÂNDIA</v>
      </c>
      <c r="G2836" t="s">
        <v>19</v>
      </c>
      <c r="H2836" t="s">
        <v>19</v>
      </c>
      <c r="I2836" s="1">
        <v>46029</v>
      </c>
      <c r="J2836" s="1">
        <v>46029</v>
      </c>
      <c r="K2836" s="1">
        <v>46029</v>
      </c>
      <c r="L2836">
        <v>34</v>
      </c>
      <c r="M2836">
        <v>0.2</v>
      </c>
      <c r="N2836">
        <v>0.2</v>
      </c>
      <c r="O2836">
        <v>0</v>
      </c>
      <c r="P2836">
        <v>0</v>
      </c>
      <c r="Q2836" t="s">
        <v>108</v>
      </c>
    </row>
    <row r="2837" spans="1:17">
      <c r="A2837" t="s">
        <v>93</v>
      </c>
      <c r="B2837" t="s">
        <v>106</v>
      </c>
      <c r="C2837" t="s">
        <v>56</v>
      </c>
      <c r="D2837" t="s">
        <v>2620</v>
      </c>
      <c r="E2837">
        <v>13</v>
      </c>
      <c r="F2837" t="str">
        <f>VLOOKUP(E2837,[1]LOJA!$A:$B,2,0)</f>
        <v>CEILÂNDIA</v>
      </c>
      <c r="G2837" t="s">
        <v>19</v>
      </c>
      <c r="H2837" t="s">
        <v>19</v>
      </c>
      <c r="I2837" s="1">
        <v>46030</v>
      </c>
      <c r="J2837" s="1">
        <v>46030</v>
      </c>
      <c r="K2837" s="1">
        <v>46030</v>
      </c>
      <c r="L2837">
        <v>34</v>
      </c>
      <c r="M2837">
        <v>6.57</v>
      </c>
      <c r="N2837">
        <v>6.57</v>
      </c>
      <c r="O2837">
        <v>0</v>
      </c>
      <c r="P2837">
        <v>0</v>
      </c>
      <c r="Q2837" t="s">
        <v>108</v>
      </c>
    </row>
    <row r="2838" spans="1:17">
      <c r="A2838" t="s">
        <v>93</v>
      </c>
      <c r="B2838" t="s">
        <v>106</v>
      </c>
      <c r="C2838" t="s">
        <v>56</v>
      </c>
      <c r="D2838" t="s">
        <v>2621</v>
      </c>
      <c r="E2838">
        <v>13</v>
      </c>
      <c r="F2838" t="str">
        <f>VLOOKUP(E2838,[1]LOJA!$A:$B,2,0)</f>
        <v>CEILÂNDIA</v>
      </c>
      <c r="G2838" t="s">
        <v>19</v>
      </c>
      <c r="H2838" t="s">
        <v>19</v>
      </c>
      <c r="I2838" s="1">
        <v>46030</v>
      </c>
      <c r="J2838" s="1">
        <v>46030</v>
      </c>
      <c r="K2838" s="1">
        <v>46030</v>
      </c>
      <c r="L2838">
        <v>34</v>
      </c>
      <c r="M2838">
        <v>2.5</v>
      </c>
      <c r="N2838">
        <v>2.5</v>
      </c>
      <c r="O2838">
        <v>0</v>
      </c>
      <c r="P2838">
        <v>0</v>
      </c>
      <c r="Q2838" t="s">
        <v>108</v>
      </c>
    </row>
    <row r="2839" spans="1:17">
      <c r="A2839" t="s">
        <v>93</v>
      </c>
      <c r="B2839" t="s">
        <v>106</v>
      </c>
      <c r="C2839" t="s">
        <v>56</v>
      </c>
      <c r="D2839" t="s">
        <v>2622</v>
      </c>
      <c r="E2839">
        <v>13</v>
      </c>
      <c r="F2839" t="str">
        <f>VLOOKUP(E2839,[1]LOJA!$A:$B,2,0)</f>
        <v>CEILÂNDIA</v>
      </c>
      <c r="G2839" t="s">
        <v>19</v>
      </c>
      <c r="H2839" t="s">
        <v>19</v>
      </c>
      <c r="I2839" s="1">
        <v>46030</v>
      </c>
      <c r="J2839" s="1">
        <v>46030</v>
      </c>
      <c r="K2839" s="1">
        <v>46030</v>
      </c>
      <c r="L2839">
        <v>34</v>
      </c>
      <c r="M2839">
        <v>2.0299999999999998</v>
      </c>
      <c r="N2839">
        <v>2.0299999999999998</v>
      </c>
      <c r="O2839">
        <v>0</v>
      </c>
      <c r="P2839">
        <v>0</v>
      </c>
      <c r="Q2839" t="s">
        <v>108</v>
      </c>
    </row>
    <row r="2840" spans="1:17">
      <c r="A2840" t="s">
        <v>93</v>
      </c>
      <c r="B2840" t="s">
        <v>106</v>
      </c>
      <c r="C2840" t="s">
        <v>56</v>
      </c>
      <c r="D2840" t="s">
        <v>2623</v>
      </c>
      <c r="E2840">
        <v>13</v>
      </c>
      <c r="F2840" t="str">
        <f>VLOOKUP(E2840,[1]LOJA!$A:$B,2,0)</f>
        <v>CEILÂNDIA</v>
      </c>
      <c r="G2840" t="s">
        <v>19</v>
      </c>
      <c r="H2840" t="s">
        <v>19</v>
      </c>
      <c r="I2840" s="1">
        <v>46030</v>
      </c>
      <c r="J2840" s="1">
        <v>46030</v>
      </c>
      <c r="K2840" s="1">
        <v>46030</v>
      </c>
      <c r="L2840">
        <v>34</v>
      </c>
      <c r="M2840">
        <v>1.4</v>
      </c>
      <c r="N2840">
        <v>1.4</v>
      </c>
      <c r="O2840">
        <v>0</v>
      </c>
      <c r="P2840">
        <v>0</v>
      </c>
      <c r="Q2840" t="s">
        <v>108</v>
      </c>
    </row>
    <row r="2841" spans="1:17">
      <c r="A2841" t="s">
        <v>93</v>
      </c>
      <c r="B2841" t="s">
        <v>106</v>
      </c>
      <c r="C2841" t="s">
        <v>56</v>
      </c>
      <c r="D2841" t="s">
        <v>2624</v>
      </c>
      <c r="E2841">
        <v>13</v>
      </c>
      <c r="F2841" t="str">
        <f>VLOOKUP(E2841,[1]LOJA!$A:$B,2,0)</f>
        <v>CEILÂNDIA</v>
      </c>
      <c r="G2841" t="s">
        <v>19</v>
      </c>
      <c r="H2841" t="s">
        <v>19</v>
      </c>
      <c r="I2841" s="1">
        <v>46030</v>
      </c>
      <c r="J2841" s="1">
        <v>46030</v>
      </c>
      <c r="K2841" s="1">
        <v>46030</v>
      </c>
      <c r="L2841">
        <v>34</v>
      </c>
      <c r="M2841">
        <v>2.5099999999999998</v>
      </c>
      <c r="N2841">
        <v>2.5099999999999998</v>
      </c>
      <c r="O2841">
        <v>0</v>
      </c>
      <c r="P2841">
        <v>0</v>
      </c>
      <c r="Q2841" t="s">
        <v>108</v>
      </c>
    </row>
    <row r="2842" spans="1:17">
      <c r="A2842" t="s">
        <v>93</v>
      </c>
      <c r="B2842" t="s">
        <v>106</v>
      </c>
      <c r="C2842" t="s">
        <v>56</v>
      </c>
      <c r="D2842" t="s">
        <v>2625</v>
      </c>
      <c r="E2842">
        <v>13</v>
      </c>
      <c r="F2842" t="str">
        <f>VLOOKUP(E2842,[1]LOJA!$A:$B,2,0)</f>
        <v>CEILÂNDIA</v>
      </c>
      <c r="G2842" t="s">
        <v>19</v>
      </c>
      <c r="H2842" t="s">
        <v>19</v>
      </c>
      <c r="I2842" s="1">
        <v>46030</v>
      </c>
      <c r="J2842" s="1">
        <v>46030</v>
      </c>
      <c r="K2842" s="1">
        <v>46030</v>
      </c>
      <c r="L2842">
        <v>34</v>
      </c>
      <c r="M2842">
        <v>3.44</v>
      </c>
      <c r="N2842">
        <v>3.44</v>
      </c>
      <c r="O2842">
        <v>0</v>
      </c>
      <c r="P2842">
        <v>0</v>
      </c>
      <c r="Q2842" t="s">
        <v>108</v>
      </c>
    </row>
    <row r="2843" spans="1:17">
      <c r="A2843" t="s">
        <v>93</v>
      </c>
      <c r="B2843" t="s">
        <v>106</v>
      </c>
      <c r="C2843" t="s">
        <v>56</v>
      </c>
      <c r="D2843" t="s">
        <v>2626</v>
      </c>
      <c r="E2843">
        <v>13</v>
      </c>
      <c r="F2843" t="str">
        <f>VLOOKUP(E2843,[1]LOJA!$A:$B,2,0)</f>
        <v>CEILÂNDIA</v>
      </c>
      <c r="G2843" t="s">
        <v>19</v>
      </c>
      <c r="H2843" t="s">
        <v>19</v>
      </c>
      <c r="I2843" s="1">
        <v>46030</v>
      </c>
      <c r="J2843" s="1">
        <v>46030</v>
      </c>
      <c r="K2843" s="1">
        <v>46030</v>
      </c>
      <c r="L2843">
        <v>34</v>
      </c>
      <c r="M2843">
        <v>0.44</v>
      </c>
      <c r="N2843">
        <v>0.44</v>
      </c>
      <c r="O2843">
        <v>0</v>
      </c>
      <c r="P2843">
        <v>0</v>
      </c>
      <c r="Q2843" t="s">
        <v>108</v>
      </c>
    </row>
    <row r="2844" spans="1:17">
      <c r="A2844" t="s">
        <v>93</v>
      </c>
      <c r="B2844" t="s">
        <v>106</v>
      </c>
      <c r="C2844" t="s">
        <v>56</v>
      </c>
      <c r="D2844" t="s">
        <v>2627</v>
      </c>
      <c r="E2844">
        <v>13</v>
      </c>
      <c r="F2844" t="str">
        <f>VLOOKUP(E2844,[1]LOJA!$A:$B,2,0)</f>
        <v>CEILÂNDIA</v>
      </c>
      <c r="G2844" t="s">
        <v>19</v>
      </c>
      <c r="H2844" t="s">
        <v>19</v>
      </c>
      <c r="I2844" s="1">
        <v>46030</v>
      </c>
      <c r="J2844" s="1">
        <v>46030</v>
      </c>
      <c r="K2844" s="1">
        <v>46030</v>
      </c>
      <c r="L2844">
        <v>34</v>
      </c>
      <c r="M2844">
        <v>0.16</v>
      </c>
      <c r="N2844">
        <v>0.16</v>
      </c>
      <c r="O2844">
        <v>0</v>
      </c>
      <c r="P2844">
        <v>0</v>
      </c>
      <c r="Q2844" t="s">
        <v>108</v>
      </c>
    </row>
    <row r="2845" spans="1:17">
      <c r="A2845" t="s">
        <v>93</v>
      </c>
      <c r="B2845" t="s">
        <v>106</v>
      </c>
      <c r="C2845" t="s">
        <v>56</v>
      </c>
      <c r="D2845" t="s">
        <v>2628</v>
      </c>
      <c r="E2845">
        <v>13</v>
      </c>
      <c r="F2845" t="str">
        <f>VLOOKUP(E2845,[1]LOJA!$A:$B,2,0)</f>
        <v>CEILÂNDIA</v>
      </c>
      <c r="G2845" t="s">
        <v>19</v>
      </c>
      <c r="H2845" t="s">
        <v>19</v>
      </c>
      <c r="I2845" s="1">
        <v>46030</v>
      </c>
      <c r="J2845" s="1">
        <v>46030</v>
      </c>
      <c r="K2845" s="1">
        <v>46030</v>
      </c>
      <c r="L2845">
        <v>34</v>
      </c>
      <c r="M2845">
        <v>0.13</v>
      </c>
      <c r="N2845">
        <v>0.13</v>
      </c>
      <c r="O2845">
        <v>0</v>
      </c>
      <c r="P2845">
        <v>0</v>
      </c>
      <c r="Q2845" t="s">
        <v>108</v>
      </c>
    </row>
    <row r="2846" spans="1:17">
      <c r="A2846" t="s">
        <v>93</v>
      </c>
      <c r="B2846" t="s">
        <v>106</v>
      </c>
      <c r="C2846" t="s">
        <v>56</v>
      </c>
      <c r="D2846" t="s">
        <v>2629</v>
      </c>
      <c r="E2846">
        <v>13</v>
      </c>
      <c r="F2846" t="str">
        <f>VLOOKUP(E2846,[1]LOJA!$A:$B,2,0)</f>
        <v>CEILÂNDIA</v>
      </c>
      <c r="G2846" t="s">
        <v>19</v>
      </c>
      <c r="H2846" t="s">
        <v>19</v>
      </c>
      <c r="I2846" s="1">
        <v>46030</v>
      </c>
      <c r="J2846" s="1">
        <v>46030</v>
      </c>
      <c r="K2846" s="1">
        <v>46030</v>
      </c>
      <c r="L2846">
        <v>34</v>
      </c>
      <c r="M2846">
        <v>0.32</v>
      </c>
      <c r="N2846">
        <v>0.32</v>
      </c>
      <c r="O2846">
        <v>0</v>
      </c>
      <c r="P2846">
        <v>0</v>
      </c>
      <c r="Q2846" t="s">
        <v>108</v>
      </c>
    </row>
    <row r="2847" spans="1:17">
      <c r="A2847" t="s">
        <v>93</v>
      </c>
      <c r="B2847" t="s">
        <v>106</v>
      </c>
      <c r="C2847" t="s">
        <v>56</v>
      </c>
      <c r="D2847" t="s">
        <v>2630</v>
      </c>
      <c r="E2847">
        <v>13</v>
      </c>
      <c r="F2847" t="str">
        <f>VLOOKUP(E2847,[1]LOJA!$A:$B,2,0)</f>
        <v>CEILÂNDIA</v>
      </c>
      <c r="G2847" t="s">
        <v>19</v>
      </c>
      <c r="H2847" t="s">
        <v>19</v>
      </c>
      <c r="I2847" s="1">
        <v>46030</v>
      </c>
      <c r="J2847" s="1">
        <v>46030</v>
      </c>
      <c r="K2847" s="1">
        <v>46030</v>
      </c>
      <c r="L2847">
        <v>34</v>
      </c>
      <c r="M2847">
        <v>0.33</v>
      </c>
      <c r="N2847">
        <v>0.33</v>
      </c>
      <c r="O2847">
        <v>0</v>
      </c>
      <c r="P2847">
        <v>0</v>
      </c>
      <c r="Q2847" t="s">
        <v>108</v>
      </c>
    </row>
    <row r="2848" spans="1:17">
      <c r="A2848" t="s">
        <v>93</v>
      </c>
      <c r="B2848" t="s">
        <v>106</v>
      </c>
      <c r="C2848" t="s">
        <v>56</v>
      </c>
      <c r="D2848" t="s">
        <v>2631</v>
      </c>
      <c r="E2848">
        <v>13</v>
      </c>
      <c r="F2848" t="str">
        <f>VLOOKUP(E2848,[1]LOJA!$A:$B,2,0)</f>
        <v>CEILÂNDIA</v>
      </c>
      <c r="G2848" t="s">
        <v>19</v>
      </c>
      <c r="H2848" t="s">
        <v>19</v>
      </c>
      <c r="I2848" s="1">
        <v>46030</v>
      </c>
      <c r="J2848" s="1">
        <v>46030</v>
      </c>
      <c r="K2848" s="1">
        <v>46030</v>
      </c>
      <c r="L2848">
        <v>34</v>
      </c>
      <c r="M2848">
        <v>0.47</v>
      </c>
      <c r="N2848">
        <v>0.47</v>
      </c>
      <c r="O2848">
        <v>0</v>
      </c>
      <c r="P2848">
        <v>0</v>
      </c>
      <c r="Q2848" t="s">
        <v>108</v>
      </c>
    </row>
    <row r="2849" spans="1:17">
      <c r="A2849" t="s">
        <v>93</v>
      </c>
      <c r="B2849" t="s">
        <v>106</v>
      </c>
      <c r="C2849" t="s">
        <v>56</v>
      </c>
      <c r="D2849" t="s">
        <v>2632</v>
      </c>
      <c r="E2849">
        <v>13</v>
      </c>
      <c r="F2849" t="str">
        <f>VLOOKUP(E2849,[1]LOJA!$A:$B,2,0)</f>
        <v>CEILÂNDIA</v>
      </c>
      <c r="G2849" t="s">
        <v>19</v>
      </c>
      <c r="H2849" t="s">
        <v>19</v>
      </c>
      <c r="I2849" s="1">
        <v>46030</v>
      </c>
      <c r="J2849" s="1">
        <v>46030</v>
      </c>
      <c r="K2849" s="1">
        <v>46030</v>
      </c>
      <c r="L2849">
        <v>34</v>
      </c>
      <c r="M2849">
        <v>0.38</v>
      </c>
      <c r="N2849">
        <v>0.38</v>
      </c>
      <c r="O2849">
        <v>0</v>
      </c>
      <c r="P2849">
        <v>0</v>
      </c>
      <c r="Q2849" t="s">
        <v>108</v>
      </c>
    </row>
    <row r="2850" spans="1:17">
      <c r="A2850" t="s">
        <v>93</v>
      </c>
      <c r="B2850" t="s">
        <v>106</v>
      </c>
      <c r="C2850" t="s">
        <v>56</v>
      </c>
      <c r="D2850" t="s">
        <v>2633</v>
      </c>
      <c r="E2850">
        <v>13</v>
      </c>
      <c r="F2850" t="str">
        <f>VLOOKUP(E2850,[1]LOJA!$A:$B,2,0)</f>
        <v>CEILÂNDIA</v>
      </c>
      <c r="G2850" t="s">
        <v>19</v>
      </c>
      <c r="H2850" t="s">
        <v>19</v>
      </c>
      <c r="I2850" s="1">
        <v>46030</v>
      </c>
      <c r="J2850" s="1">
        <v>46030</v>
      </c>
      <c r="K2850" s="1">
        <v>46030</v>
      </c>
      <c r="L2850">
        <v>34</v>
      </c>
      <c r="M2850">
        <v>0.03</v>
      </c>
      <c r="N2850">
        <v>0.03</v>
      </c>
      <c r="O2850">
        <v>0</v>
      </c>
      <c r="P2850">
        <v>0</v>
      </c>
      <c r="Q2850" t="s">
        <v>108</v>
      </c>
    </row>
    <row r="2851" spans="1:17">
      <c r="A2851" t="s">
        <v>93</v>
      </c>
      <c r="B2851" t="s">
        <v>106</v>
      </c>
      <c r="C2851" t="s">
        <v>56</v>
      </c>
      <c r="D2851" t="s">
        <v>2634</v>
      </c>
      <c r="E2851">
        <v>13</v>
      </c>
      <c r="F2851" t="str">
        <f>VLOOKUP(E2851,[1]LOJA!$A:$B,2,0)</f>
        <v>CEILÂNDIA</v>
      </c>
      <c r="G2851" t="s">
        <v>19</v>
      </c>
      <c r="H2851" t="s">
        <v>19</v>
      </c>
      <c r="I2851" s="1">
        <v>46031</v>
      </c>
      <c r="J2851" s="1">
        <v>46031</v>
      </c>
      <c r="K2851" s="1">
        <v>46031</v>
      </c>
      <c r="L2851">
        <v>34</v>
      </c>
      <c r="M2851">
        <v>6.57</v>
      </c>
      <c r="N2851">
        <v>6.57</v>
      </c>
      <c r="O2851">
        <v>0</v>
      </c>
      <c r="P2851">
        <v>0</v>
      </c>
      <c r="Q2851" t="s">
        <v>108</v>
      </c>
    </row>
    <row r="2852" spans="1:17">
      <c r="A2852" t="s">
        <v>93</v>
      </c>
      <c r="B2852" t="s">
        <v>106</v>
      </c>
      <c r="C2852" t="s">
        <v>56</v>
      </c>
      <c r="D2852" t="s">
        <v>2635</v>
      </c>
      <c r="E2852">
        <v>13</v>
      </c>
      <c r="F2852" t="str">
        <f>VLOOKUP(E2852,[1]LOJA!$A:$B,2,0)</f>
        <v>CEILÂNDIA</v>
      </c>
      <c r="G2852" t="s">
        <v>19</v>
      </c>
      <c r="H2852" t="s">
        <v>19</v>
      </c>
      <c r="I2852" s="1">
        <v>46031</v>
      </c>
      <c r="J2852" s="1">
        <v>46031</v>
      </c>
      <c r="K2852" s="1">
        <v>46031</v>
      </c>
      <c r="L2852">
        <v>34</v>
      </c>
      <c r="M2852">
        <v>5.0999999999999996</v>
      </c>
      <c r="N2852">
        <v>5.0999999999999996</v>
      </c>
      <c r="O2852">
        <v>0</v>
      </c>
      <c r="P2852">
        <v>0</v>
      </c>
      <c r="Q2852" t="s">
        <v>108</v>
      </c>
    </row>
    <row r="2853" spans="1:17">
      <c r="A2853" t="s">
        <v>93</v>
      </c>
      <c r="B2853" t="s">
        <v>106</v>
      </c>
      <c r="C2853" t="s">
        <v>56</v>
      </c>
      <c r="D2853" t="s">
        <v>2636</v>
      </c>
      <c r="E2853">
        <v>13</v>
      </c>
      <c r="F2853" t="str">
        <f>VLOOKUP(E2853,[1]LOJA!$A:$B,2,0)</f>
        <v>CEILÂNDIA</v>
      </c>
      <c r="G2853" t="s">
        <v>19</v>
      </c>
      <c r="H2853" t="s">
        <v>19</v>
      </c>
      <c r="I2853" s="1">
        <v>46031</v>
      </c>
      <c r="J2853" s="1">
        <v>46031</v>
      </c>
      <c r="K2853" s="1">
        <v>46031</v>
      </c>
      <c r="L2853">
        <v>34</v>
      </c>
      <c r="M2853">
        <v>3.22</v>
      </c>
      <c r="N2853">
        <v>3.22</v>
      </c>
      <c r="O2853">
        <v>0</v>
      </c>
      <c r="P2853">
        <v>0</v>
      </c>
      <c r="Q2853" t="s">
        <v>108</v>
      </c>
    </row>
    <row r="2854" spans="1:17">
      <c r="A2854" t="s">
        <v>93</v>
      </c>
      <c r="B2854" t="s">
        <v>106</v>
      </c>
      <c r="C2854" t="s">
        <v>56</v>
      </c>
      <c r="D2854" t="s">
        <v>2637</v>
      </c>
      <c r="E2854">
        <v>13</v>
      </c>
      <c r="F2854" t="str">
        <f>VLOOKUP(E2854,[1]LOJA!$A:$B,2,0)</f>
        <v>CEILÂNDIA</v>
      </c>
      <c r="G2854" t="s">
        <v>19</v>
      </c>
      <c r="H2854" t="s">
        <v>19</v>
      </c>
      <c r="I2854" s="1">
        <v>46031</v>
      </c>
      <c r="J2854" s="1">
        <v>46031</v>
      </c>
      <c r="K2854" s="1">
        <v>46031</v>
      </c>
      <c r="L2854">
        <v>34</v>
      </c>
      <c r="M2854">
        <v>0.6</v>
      </c>
      <c r="N2854">
        <v>0.6</v>
      </c>
      <c r="O2854">
        <v>0</v>
      </c>
      <c r="P2854">
        <v>0</v>
      </c>
      <c r="Q2854" t="s">
        <v>108</v>
      </c>
    </row>
    <row r="2855" spans="1:17">
      <c r="A2855" t="s">
        <v>93</v>
      </c>
      <c r="B2855" t="s">
        <v>106</v>
      </c>
      <c r="C2855" t="s">
        <v>56</v>
      </c>
      <c r="D2855" t="s">
        <v>2638</v>
      </c>
      <c r="E2855">
        <v>13</v>
      </c>
      <c r="F2855" t="str">
        <f>VLOOKUP(E2855,[1]LOJA!$A:$B,2,0)</f>
        <v>CEILÂNDIA</v>
      </c>
      <c r="G2855" t="s">
        <v>19</v>
      </c>
      <c r="H2855" t="s">
        <v>19</v>
      </c>
      <c r="I2855" s="1">
        <v>46031</v>
      </c>
      <c r="J2855" s="1">
        <v>46031</v>
      </c>
      <c r="K2855" s="1">
        <v>46031</v>
      </c>
      <c r="L2855">
        <v>34</v>
      </c>
      <c r="M2855">
        <v>5.48</v>
      </c>
      <c r="N2855">
        <v>5.48</v>
      </c>
      <c r="O2855">
        <v>0</v>
      </c>
      <c r="P2855">
        <v>0</v>
      </c>
      <c r="Q2855" t="s">
        <v>108</v>
      </c>
    </row>
    <row r="2856" spans="1:17">
      <c r="A2856" t="s">
        <v>93</v>
      </c>
      <c r="B2856" t="s">
        <v>106</v>
      </c>
      <c r="C2856" t="s">
        <v>56</v>
      </c>
      <c r="D2856" t="s">
        <v>2639</v>
      </c>
      <c r="E2856">
        <v>13</v>
      </c>
      <c r="F2856" t="str">
        <f>VLOOKUP(E2856,[1]LOJA!$A:$B,2,0)</f>
        <v>CEILÂNDIA</v>
      </c>
      <c r="G2856" t="s">
        <v>19</v>
      </c>
      <c r="H2856" t="s">
        <v>19</v>
      </c>
      <c r="I2856" s="1">
        <v>46031</v>
      </c>
      <c r="J2856" s="1">
        <v>46031</v>
      </c>
      <c r="K2856" s="1">
        <v>46031</v>
      </c>
      <c r="L2856">
        <v>34</v>
      </c>
      <c r="M2856">
        <v>6.42</v>
      </c>
      <c r="N2856">
        <v>6.42</v>
      </c>
      <c r="O2856">
        <v>0</v>
      </c>
      <c r="P2856">
        <v>0</v>
      </c>
      <c r="Q2856" t="s">
        <v>108</v>
      </c>
    </row>
    <row r="2857" spans="1:17">
      <c r="A2857" t="s">
        <v>93</v>
      </c>
      <c r="B2857" t="s">
        <v>106</v>
      </c>
      <c r="C2857" t="s">
        <v>56</v>
      </c>
      <c r="D2857" t="s">
        <v>2640</v>
      </c>
      <c r="E2857">
        <v>13</v>
      </c>
      <c r="F2857" t="str">
        <f>VLOOKUP(E2857,[1]LOJA!$A:$B,2,0)</f>
        <v>CEILÂNDIA</v>
      </c>
      <c r="G2857" t="s">
        <v>19</v>
      </c>
      <c r="H2857" t="s">
        <v>19</v>
      </c>
      <c r="I2857" s="1">
        <v>46031</v>
      </c>
      <c r="J2857" s="1">
        <v>46031</v>
      </c>
      <c r="K2857" s="1">
        <v>46031</v>
      </c>
      <c r="L2857">
        <v>34</v>
      </c>
      <c r="M2857">
        <v>3.32</v>
      </c>
      <c r="N2857">
        <v>3.32</v>
      </c>
      <c r="O2857">
        <v>0</v>
      </c>
      <c r="P2857">
        <v>0</v>
      </c>
      <c r="Q2857" t="s">
        <v>108</v>
      </c>
    </row>
    <row r="2858" spans="1:17">
      <c r="A2858" t="s">
        <v>93</v>
      </c>
      <c r="B2858" t="s">
        <v>106</v>
      </c>
      <c r="C2858" t="s">
        <v>56</v>
      </c>
      <c r="D2858" t="s">
        <v>2641</v>
      </c>
      <c r="E2858">
        <v>13</v>
      </c>
      <c r="F2858" t="str">
        <f>VLOOKUP(E2858,[1]LOJA!$A:$B,2,0)</f>
        <v>CEILÂNDIA</v>
      </c>
      <c r="G2858" t="s">
        <v>19</v>
      </c>
      <c r="H2858" t="s">
        <v>19</v>
      </c>
      <c r="I2858" s="1">
        <v>46031</v>
      </c>
      <c r="J2858" s="1">
        <v>46031</v>
      </c>
      <c r="K2858" s="1">
        <v>46031</v>
      </c>
      <c r="L2858">
        <v>34</v>
      </c>
      <c r="M2858">
        <v>0.88</v>
      </c>
      <c r="N2858">
        <v>0.88</v>
      </c>
      <c r="O2858">
        <v>0</v>
      </c>
      <c r="P2858">
        <v>0</v>
      </c>
      <c r="Q2858" t="s">
        <v>108</v>
      </c>
    </row>
    <row r="2859" spans="1:17">
      <c r="A2859" t="s">
        <v>93</v>
      </c>
      <c r="B2859" t="s">
        <v>106</v>
      </c>
      <c r="C2859" t="s">
        <v>56</v>
      </c>
      <c r="D2859" t="s">
        <v>2642</v>
      </c>
      <c r="E2859">
        <v>13</v>
      </c>
      <c r="F2859" t="str">
        <f>VLOOKUP(E2859,[1]LOJA!$A:$B,2,0)</f>
        <v>CEILÂNDIA</v>
      </c>
      <c r="G2859" t="s">
        <v>19</v>
      </c>
      <c r="H2859" t="s">
        <v>19</v>
      </c>
      <c r="I2859" s="1">
        <v>46031</v>
      </c>
      <c r="J2859" s="1">
        <v>46031</v>
      </c>
      <c r="K2859" s="1">
        <v>46031</v>
      </c>
      <c r="L2859">
        <v>34</v>
      </c>
      <c r="M2859">
        <v>10.16</v>
      </c>
      <c r="N2859">
        <v>10.16</v>
      </c>
      <c r="O2859">
        <v>0</v>
      </c>
      <c r="P2859">
        <v>0</v>
      </c>
      <c r="Q2859" t="s">
        <v>108</v>
      </c>
    </row>
    <row r="2860" spans="1:17">
      <c r="A2860" t="s">
        <v>93</v>
      </c>
      <c r="B2860" t="s">
        <v>106</v>
      </c>
      <c r="C2860" t="s">
        <v>56</v>
      </c>
      <c r="D2860" t="s">
        <v>2643</v>
      </c>
      <c r="E2860">
        <v>13</v>
      </c>
      <c r="F2860" t="str">
        <f>VLOOKUP(E2860,[1]LOJA!$A:$B,2,0)</f>
        <v>CEILÂNDIA</v>
      </c>
      <c r="G2860" t="s">
        <v>19</v>
      </c>
      <c r="H2860" t="s">
        <v>19</v>
      </c>
      <c r="I2860" s="1">
        <v>46031</v>
      </c>
      <c r="J2860" s="1">
        <v>46031</v>
      </c>
      <c r="K2860" s="1">
        <v>46031</v>
      </c>
      <c r="L2860">
        <v>34</v>
      </c>
      <c r="M2860">
        <v>3.01</v>
      </c>
      <c r="N2860">
        <v>3.01</v>
      </c>
      <c r="O2860">
        <v>0</v>
      </c>
      <c r="P2860">
        <v>0</v>
      </c>
      <c r="Q2860" t="s">
        <v>108</v>
      </c>
    </row>
    <row r="2861" spans="1:17">
      <c r="A2861" t="s">
        <v>93</v>
      </c>
      <c r="B2861" t="s">
        <v>106</v>
      </c>
      <c r="C2861" t="s">
        <v>56</v>
      </c>
      <c r="D2861" t="s">
        <v>2644</v>
      </c>
      <c r="E2861">
        <v>13</v>
      </c>
      <c r="F2861" t="str">
        <f>VLOOKUP(E2861,[1]LOJA!$A:$B,2,0)</f>
        <v>CEILÂNDIA</v>
      </c>
      <c r="G2861" t="s">
        <v>19</v>
      </c>
      <c r="H2861" t="s">
        <v>19</v>
      </c>
      <c r="I2861" s="1">
        <v>46031</v>
      </c>
      <c r="J2861" s="1">
        <v>46031</v>
      </c>
      <c r="K2861" s="1">
        <v>46031</v>
      </c>
      <c r="L2861">
        <v>34</v>
      </c>
      <c r="M2861">
        <v>2.19</v>
      </c>
      <c r="N2861">
        <v>2.19</v>
      </c>
      <c r="O2861">
        <v>0</v>
      </c>
      <c r="P2861">
        <v>0</v>
      </c>
      <c r="Q2861" t="s">
        <v>108</v>
      </c>
    </row>
    <row r="2862" spans="1:17">
      <c r="A2862" t="s">
        <v>93</v>
      </c>
      <c r="B2862" t="s">
        <v>106</v>
      </c>
      <c r="C2862" t="s">
        <v>56</v>
      </c>
      <c r="D2862" t="s">
        <v>2645</v>
      </c>
      <c r="E2862">
        <v>13</v>
      </c>
      <c r="F2862" t="str">
        <f>VLOOKUP(E2862,[1]LOJA!$A:$B,2,0)</f>
        <v>CEILÂNDIA</v>
      </c>
      <c r="G2862" t="s">
        <v>19</v>
      </c>
      <c r="H2862" t="s">
        <v>19</v>
      </c>
      <c r="I2862" s="1">
        <v>46031</v>
      </c>
      <c r="J2862" s="1">
        <v>46031</v>
      </c>
      <c r="K2862" s="1">
        <v>46031</v>
      </c>
      <c r="L2862">
        <v>34</v>
      </c>
      <c r="M2862">
        <v>7.48</v>
      </c>
      <c r="N2862">
        <v>7.48</v>
      </c>
      <c r="O2862">
        <v>0</v>
      </c>
      <c r="P2862">
        <v>0</v>
      </c>
      <c r="Q2862" t="s">
        <v>108</v>
      </c>
    </row>
    <row r="2863" spans="1:17">
      <c r="A2863" t="s">
        <v>93</v>
      </c>
      <c r="B2863" t="s">
        <v>106</v>
      </c>
      <c r="C2863" t="s">
        <v>56</v>
      </c>
      <c r="D2863" t="s">
        <v>2646</v>
      </c>
      <c r="E2863">
        <v>13</v>
      </c>
      <c r="F2863" t="str">
        <f>VLOOKUP(E2863,[1]LOJA!$A:$B,2,0)</f>
        <v>CEILÂNDIA</v>
      </c>
      <c r="G2863" t="s">
        <v>19</v>
      </c>
      <c r="H2863" t="s">
        <v>19</v>
      </c>
      <c r="I2863" s="1">
        <v>46031</v>
      </c>
      <c r="J2863" s="1">
        <v>46031</v>
      </c>
      <c r="K2863" s="1">
        <v>46031</v>
      </c>
      <c r="L2863">
        <v>34</v>
      </c>
      <c r="M2863">
        <v>3.48</v>
      </c>
      <c r="N2863">
        <v>3.48</v>
      </c>
      <c r="O2863">
        <v>0</v>
      </c>
      <c r="P2863">
        <v>0</v>
      </c>
      <c r="Q2863" t="s">
        <v>108</v>
      </c>
    </row>
    <row r="2864" spans="1:17">
      <c r="A2864" t="s">
        <v>93</v>
      </c>
      <c r="B2864" t="s">
        <v>106</v>
      </c>
      <c r="C2864" t="s">
        <v>56</v>
      </c>
      <c r="D2864" t="s">
        <v>2647</v>
      </c>
      <c r="E2864">
        <v>13</v>
      </c>
      <c r="F2864" t="str">
        <f>VLOOKUP(E2864,[1]LOJA!$A:$B,2,0)</f>
        <v>CEILÂNDIA</v>
      </c>
      <c r="G2864" t="s">
        <v>19</v>
      </c>
      <c r="H2864" t="s">
        <v>19</v>
      </c>
      <c r="I2864" s="1">
        <v>46031</v>
      </c>
      <c r="J2864" s="1">
        <v>46031</v>
      </c>
      <c r="K2864" s="1">
        <v>46031</v>
      </c>
      <c r="L2864">
        <v>34</v>
      </c>
      <c r="M2864">
        <v>0.3</v>
      </c>
      <c r="N2864">
        <v>0.3</v>
      </c>
      <c r="O2864">
        <v>0</v>
      </c>
      <c r="P2864">
        <v>0</v>
      </c>
      <c r="Q2864" t="s">
        <v>108</v>
      </c>
    </row>
    <row r="2865" spans="1:17">
      <c r="A2865" t="s">
        <v>93</v>
      </c>
      <c r="B2865" t="s">
        <v>106</v>
      </c>
      <c r="C2865" t="s">
        <v>56</v>
      </c>
      <c r="D2865" t="s">
        <v>2648</v>
      </c>
      <c r="E2865">
        <v>13</v>
      </c>
      <c r="F2865" t="str">
        <f>VLOOKUP(E2865,[1]LOJA!$A:$B,2,0)</f>
        <v>CEILÂNDIA</v>
      </c>
      <c r="G2865" t="s">
        <v>19</v>
      </c>
      <c r="H2865" t="s">
        <v>19</v>
      </c>
      <c r="I2865" s="1">
        <v>46031</v>
      </c>
      <c r="J2865" s="1">
        <v>46031</v>
      </c>
      <c r="K2865" s="1">
        <v>46031</v>
      </c>
      <c r="L2865">
        <v>34</v>
      </c>
      <c r="M2865">
        <v>0.18</v>
      </c>
      <c r="N2865">
        <v>0.18</v>
      </c>
      <c r="O2865">
        <v>0</v>
      </c>
      <c r="P2865">
        <v>0</v>
      </c>
      <c r="Q2865" t="s">
        <v>108</v>
      </c>
    </row>
    <row r="2866" spans="1:17">
      <c r="A2866" t="s">
        <v>93</v>
      </c>
      <c r="B2866" t="s">
        <v>106</v>
      </c>
      <c r="C2866" t="s">
        <v>56</v>
      </c>
      <c r="D2866" t="s">
        <v>2649</v>
      </c>
      <c r="E2866">
        <v>13</v>
      </c>
      <c r="F2866" t="str">
        <f>VLOOKUP(E2866,[1]LOJA!$A:$B,2,0)</f>
        <v>CEILÂNDIA</v>
      </c>
      <c r="G2866" t="s">
        <v>19</v>
      </c>
      <c r="H2866" t="s">
        <v>19</v>
      </c>
      <c r="I2866" s="1">
        <v>46031</v>
      </c>
      <c r="J2866" s="1">
        <v>46031</v>
      </c>
      <c r="K2866" s="1">
        <v>46031</v>
      </c>
      <c r="L2866">
        <v>34</v>
      </c>
      <c r="M2866">
        <v>0.42</v>
      </c>
      <c r="N2866">
        <v>0.42</v>
      </c>
      <c r="O2866">
        <v>0</v>
      </c>
      <c r="P2866">
        <v>0</v>
      </c>
      <c r="Q2866" t="s">
        <v>108</v>
      </c>
    </row>
    <row r="2867" spans="1:17">
      <c r="A2867" t="s">
        <v>93</v>
      </c>
      <c r="B2867" t="s">
        <v>106</v>
      </c>
      <c r="C2867" t="s">
        <v>56</v>
      </c>
      <c r="D2867" t="s">
        <v>2650</v>
      </c>
      <c r="E2867">
        <v>13</v>
      </c>
      <c r="F2867" t="str">
        <f>VLOOKUP(E2867,[1]LOJA!$A:$B,2,0)</f>
        <v>CEILÂNDIA</v>
      </c>
      <c r="G2867" t="s">
        <v>19</v>
      </c>
      <c r="H2867" t="s">
        <v>19</v>
      </c>
      <c r="I2867" s="1">
        <v>46031</v>
      </c>
      <c r="J2867" s="1">
        <v>46031</v>
      </c>
      <c r="K2867" s="1">
        <v>46031</v>
      </c>
      <c r="L2867">
        <v>34</v>
      </c>
      <c r="M2867">
        <v>0.78</v>
      </c>
      <c r="N2867">
        <v>0.78</v>
      </c>
      <c r="O2867">
        <v>0</v>
      </c>
      <c r="P2867">
        <v>0</v>
      </c>
      <c r="Q2867" t="s">
        <v>108</v>
      </c>
    </row>
    <row r="2868" spans="1:17">
      <c r="A2868" t="s">
        <v>93</v>
      </c>
      <c r="B2868" t="s">
        <v>106</v>
      </c>
      <c r="C2868" t="s">
        <v>56</v>
      </c>
      <c r="D2868" t="s">
        <v>2651</v>
      </c>
      <c r="E2868">
        <v>13</v>
      </c>
      <c r="F2868" t="str">
        <f>VLOOKUP(E2868,[1]LOJA!$A:$B,2,0)</f>
        <v>CEILÂNDIA</v>
      </c>
      <c r="G2868" t="s">
        <v>19</v>
      </c>
      <c r="H2868" t="s">
        <v>19</v>
      </c>
      <c r="I2868" s="1">
        <v>46034</v>
      </c>
      <c r="J2868" s="1">
        <v>46034</v>
      </c>
      <c r="K2868" s="1">
        <v>46034</v>
      </c>
      <c r="L2868">
        <v>34</v>
      </c>
      <c r="M2868">
        <v>10.94</v>
      </c>
      <c r="N2868">
        <v>10.94</v>
      </c>
      <c r="O2868">
        <v>0</v>
      </c>
      <c r="P2868">
        <v>0</v>
      </c>
      <c r="Q2868" t="s">
        <v>108</v>
      </c>
    </row>
    <row r="2869" spans="1:17">
      <c r="A2869" t="s">
        <v>93</v>
      </c>
      <c r="B2869" t="s">
        <v>106</v>
      </c>
      <c r="C2869" t="s">
        <v>56</v>
      </c>
      <c r="D2869" t="s">
        <v>2652</v>
      </c>
      <c r="E2869">
        <v>13</v>
      </c>
      <c r="F2869" t="str">
        <f>VLOOKUP(E2869,[1]LOJA!$A:$B,2,0)</f>
        <v>CEILÂNDIA</v>
      </c>
      <c r="G2869" t="s">
        <v>19</v>
      </c>
      <c r="H2869" t="s">
        <v>19</v>
      </c>
      <c r="I2869" s="1">
        <v>46034</v>
      </c>
      <c r="J2869" s="1">
        <v>46034</v>
      </c>
      <c r="K2869" s="1">
        <v>46034</v>
      </c>
      <c r="L2869">
        <v>34</v>
      </c>
      <c r="M2869">
        <v>5.61</v>
      </c>
      <c r="N2869">
        <v>5.61</v>
      </c>
      <c r="O2869">
        <v>0</v>
      </c>
      <c r="P2869">
        <v>0</v>
      </c>
      <c r="Q2869" t="s">
        <v>108</v>
      </c>
    </row>
    <row r="2870" spans="1:17">
      <c r="A2870" t="s">
        <v>93</v>
      </c>
      <c r="B2870" t="s">
        <v>106</v>
      </c>
      <c r="C2870" t="s">
        <v>56</v>
      </c>
      <c r="D2870" t="s">
        <v>2653</v>
      </c>
      <c r="E2870">
        <v>13</v>
      </c>
      <c r="F2870" t="str">
        <f>VLOOKUP(E2870,[1]LOJA!$A:$B,2,0)</f>
        <v>CEILÂNDIA</v>
      </c>
      <c r="G2870" t="s">
        <v>19</v>
      </c>
      <c r="H2870" t="s">
        <v>19</v>
      </c>
      <c r="I2870" s="1">
        <v>46034</v>
      </c>
      <c r="J2870" s="1">
        <v>46034</v>
      </c>
      <c r="K2870" s="1">
        <v>46034</v>
      </c>
      <c r="L2870">
        <v>34</v>
      </c>
      <c r="M2870">
        <v>9.3800000000000008</v>
      </c>
      <c r="N2870">
        <v>9.3800000000000008</v>
      </c>
      <c r="O2870">
        <v>0</v>
      </c>
      <c r="P2870">
        <v>0</v>
      </c>
      <c r="Q2870" t="s">
        <v>108</v>
      </c>
    </row>
    <row r="2871" spans="1:17">
      <c r="A2871" t="s">
        <v>93</v>
      </c>
      <c r="B2871" t="s">
        <v>106</v>
      </c>
      <c r="C2871" t="s">
        <v>56</v>
      </c>
      <c r="D2871" t="s">
        <v>2654</v>
      </c>
      <c r="E2871">
        <v>13</v>
      </c>
      <c r="F2871" t="str">
        <f>VLOOKUP(E2871,[1]LOJA!$A:$B,2,0)</f>
        <v>CEILÂNDIA</v>
      </c>
      <c r="G2871" t="s">
        <v>19</v>
      </c>
      <c r="H2871" t="s">
        <v>19</v>
      </c>
      <c r="I2871" s="1">
        <v>46034</v>
      </c>
      <c r="J2871" s="1">
        <v>46034</v>
      </c>
      <c r="K2871" s="1">
        <v>46034</v>
      </c>
      <c r="L2871">
        <v>34</v>
      </c>
      <c r="M2871">
        <v>4.38</v>
      </c>
      <c r="N2871">
        <v>4.38</v>
      </c>
      <c r="O2871">
        <v>0</v>
      </c>
      <c r="P2871">
        <v>0</v>
      </c>
      <c r="Q2871" t="s">
        <v>108</v>
      </c>
    </row>
    <row r="2872" spans="1:17">
      <c r="A2872" t="s">
        <v>93</v>
      </c>
      <c r="B2872" t="s">
        <v>106</v>
      </c>
      <c r="C2872" t="s">
        <v>56</v>
      </c>
      <c r="D2872" t="s">
        <v>2655</v>
      </c>
      <c r="E2872">
        <v>13</v>
      </c>
      <c r="F2872" t="str">
        <f>VLOOKUP(E2872,[1]LOJA!$A:$B,2,0)</f>
        <v>CEILÂNDIA</v>
      </c>
      <c r="G2872" t="s">
        <v>19</v>
      </c>
      <c r="H2872" t="s">
        <v>19</v>
      </c>
      <c r="I2872" s="1">
        <v>46034</v>
      </c>
      <c r="J2872" s="1">
        <v>46034</v>
      </c>
      <c r="K2872" s="1">
        <v>46034</v>
      </c>
      <c r="L2872">
        <v>34</v>
      </c>
      <c r="M2872">
        <v>3.65</v>
      </c>
      <c r="N2872">
        <v>3.65</v>
      </c>
      <c r="O2872">
        <v>0</v>
      </c>
      <c r="P2872">
        <v>0</v>
      </c>
      <c r="Q2872" t="s">
        <v>108</v>
      </c>
    </row>
    <row r="2873" spans="1:17">
      <c r="A2873" t="s">
        <v>93</v>
      </c>
      <c r="B2873" t="s">
        <v>106</v>
      </c>
      <c r="C2873" t="s">
        <v>56</v>
      </c>
      <c r="D2873" t="s">
        <v>2656</v>
      </c>
      <c r="E2873">
        <v>13</v>
      </c>
      <c r="F2873" t="str">
        <f>VLOOKUP(E2873,[1]LOJA!$A:$B,2,0)</f>
        <v>CEILÂNDIA</v>
      </c>
      <c r="G2873" t="s">
        <v>19</v>
      </c>
      <c r="H2873" t="s">
        <v>19</v>
      </c>
      <c r="I2873" s="1">
        <v>46034</v>
      </c>
      <c r="J2873" s="1">
        <v>46034</v>
      </c>
      <c r="K2873" s="1">
        <v>46034</v>
      </c>
      <c r="L2873">
        <v>34</v>
      </c>
      <c r="M2873">
        <v>4.38</v>
      </c>
      <c r="N2873">
        <v>4.38</v>
      </c>
      <c r="O2873">
        <v>0</v>
      </c>
      <c r="P2873">
        <v>0</v>
      </c>
      <c r="Q2873" t="s">
        <v>108</v>
      </c>
    </row>
    <row r="2874" spans="1:17">
      <c r="A2874" t="s">
        <v>93</v>
      </c>
      <c r="B2874" t="s">
        <v>106</v>
      </c>
      <c r="C2874" t="s">
        <v>56</v>
      </c>
      <c r="D2874" t="s">
        <v>2657</v>
      </c>
      <c r="E2874">
        <v>13</v>
      </c>
      <c r="F2874" t="str">
        <f>VLOOKUP(E2874,[1]LOJA!$A:$B,2,0)</f>
        <v>CEILÂNDIA</v>
      </c>
      <c r="G2874" t="s">
        <v>19</v>
      </c>
      <c r="H2874" t="s">
        <v>19</v>
      </c>
      <c r="I2874" s="1">
        <v>46034</v>
      </c>
      <c r="J2874" s="1">
        <v>46034</v>
      </c>
      <c r="K2874" s="1">
        <v>46034</v>
      </c>
      <c r="L2874">
        <v>34</v>
      </c>
      <c r="M2874">
        <v>10.95</v>
      </c>
      <c r="N2874">
        <v>10.95</v>
      </c>
      <c r="O2874">
        <v>0</v>
      </c>
      <c r="P2874">
        <v>0</v>
      </c>
      <c r="Q2874" t="s">
        <v>108</v>
      </c>
    </row>
    <row r="2875" spans="1:17">
      <c r="A2875" t="s">
        <v>93</v>
      </c>
      <c r="B2875" t="s">
        <v>106</v>
      </c>
      <c r="C2875" t="s">
        <v>56</v>
      </c>
      <c r="D2875" t="s">
        <v>2658</v>
      </c>
      <c r="E2875">
        <v>13</v>
      </c>
      <c r="F2875" t="str">
        <f>VLOOKUP(E2875,[1]LOJA!$A:$B,2,0)</f>
        <v>CEILÂNDIA</v>
      </c>
      <c r="G2875" t="s">
        <v>19</v>
      </c>
      <c r="H2875" t="s">
        <v>19</v>
      </c>
      <c r="I2875" s="1">
        <v>46034</v>
      </c>
      <c r="J2875" s="1">
        <v>46033</v>
      </c>
      <c r="K2875" s="1">
        <v>46034</v>
      </c>
      <c r="L2875">
        <v>34</v>
      </c>
      <c r="M2875">
        <v>3.35</v>
      </c>
      <c r="N2875">
        <v>3.35</v>
      </c>
      <c r="O2875">
        <v>0</v>
      </c>
      <c r="P2875">
        <v>0</v>
      </c>
      <c r="Q2875" t="s">
        <v>108</v>
      </c>
    </row>
    <row r="2876" spans="1:17">
      <c r="A2876" t="s">
        <v>93</v>
      </c>
      <c r="B2876" t="s">
        <v>106</v>
      </c>
      <c r="C2876" t="s">
        <v>56</v>
      </c>
      <c r="D2876" t="s">
        <v>2659</v>
      </c>
      <c r="E2876">
        <v>13</v>
      </c>
      <c r="F2876" t="str">
        <f>VLOOKUP(E2876,[1]LOJA!$A:$B,2,0)</f>
        <v>CEILÂNDIA</v>
      </c>
      <c r="G2876" t="s">
        <v>19</v>
      </c>
      <c r="H2876" t="s">
        <v>19</v>
      </c>
      <c r="I2876" s="1">
        <v>46034</v>
      </c>
      <c r="J2876" s="1">
        <v>46033</v>
      </c>
      <c r="K2876" s="1">
        <v>46034</v>
      </c>
      <c r="L2876">
        <v>34</v>
      </c>
      <c r="M2876">
        <v>6.57</v>
      </c>
      <c r="N2876">
        <v>6.57</v>
      </c>
      <c r="O2876">
        <v>0</v>
      </c>
      <c r="P2876">
        <v>0</v>
      </c>
      <c r="Q2876" t="s">
        <v>108</v>
      </c>
    </row>
    <row r="2877" spans="1:17">
      <c r="A2877" t="s">
        <v>93</v>
      </c>
      <c r="B2877" t="s">
        <v>106</v>
      </c>
      <c r="C2877" t="s">
        <v>56</v>
      </c>
      <c r="D2877" t="s">
        <v>2660</v>
      </c>
      <c r="E2877">
        <v>13</v>
      </c>
      <c r="F2877" t="str">
        <f>VLOOKUP(E2877,[1]LOJA!$A:$B,2,0)</f>
        <v>CEILÂNDIA</v>
      </c>
      <c r="G2877" t="s">
        <v>19</v>
      </c>
      <c r="H2877" t="s">
        <v>19</v>
      </c>
      <c r="I2877" s="1">
        <v>46034</v>
      </c>
      <c r="J2877" s="1">
        <v>46033</v>
      </c>
      <c r="K2877" s="1">
        <v>46034</v>
      </c>
      <c r="L2877">
        <v>34</v>
      </c>
      <c r="M2877">
        <v>3.29</v>
      </c>
      <c r="N2877">
        <v>3.29</v>
      </c>
      <c r="O2877">
        <v>0</v>
      </c>
      <c r="P2877">
        <v>0</v>
      </c>
      <c r="Q2877" t="s">
        <v>108</v>
      </c>
    </row>
    <row r="2878" spans="1:17">
      <c r="A2878" t="s">
        <v>93</v>
      </c>
      <c r="B2878" t="s">
        <v>106</v>
      </c>
      <c r="C2878" t="s">
        <v>56</v>
      </c>
      <c r="D2878" t="s">
        <v>2661</v>
      </c>
      <c r="E2878">
        <v>13</v>
      </c>
      <c r="F2878" t="str">
        <f>VLOOKUP(E2878,[1]LOJA!$A:$B,2,0)</f>
        <v>CEILÂNDIA</v>
      </c>
      <c r="G2878" t="s">
        <v>19</v>
      </c>
      <c r="H2878" t="s">
        <v>19</v>
      </c>
      <c r="I2878" s="1">
        <v>46034</v>
      </c>
      <c r="J2878" s="1">
        <v>46033</v>
      </c>
      <c r="K2878" s="1">
        <v>46034</v>
      </c>
      <c r="L2878">
        <v>34</v>
      </c>
      <c r="M2878">
        <v>9.82</v>
      </c>
      <c r="N2878">
        <v>9.82</v>
      </c>
      <c r="O2878">
        <v>0</v>
      </c>
      <c r="P2878">
        <v>0</v>
      </c>
      <c r="Q2878" t="s">
        <v>108</v>
      </c>
    </row>
    <row r="2879" spans="1:17">
      <c r="A2879" t="s">
        <v>93</v>
      </c>
      <c r="B2879" t="s">
        <v>106</v>
      </c>
      <c r="C2879" t="s">
        <v>56</v>
      </c>
      <c r="D2879" t="s">
        <v>2662</v>
      </c>
      <c r="E2879">
        <v>13</v>
      </c>
      <c r="F2879" t="str">
        <f>VLOOKUP(E2879,[1]LOJA!$A:$B,2,0)</f>
        <v>CEILÂNDIA</v>
      </c>
      <c r="G2879" t="s">
        <v>19</v>
      </c>
      <c r="H2879" t="s">
        <v>19</v>
      </c>
      <c r="I2879" s="1">
        <v>46034</v>
      </c>
      <c r="J2879" s="1">
        <v>46033</v>
      </c>
      <c r="K2879" s="1">
        <v>46034</v>
      </c>
      <c r="L2879">
        <v>34</v>
      </c>
      <c r="M2879">
        <v>3.87</v>
      </c>
      <c r="N2879">
        <v>3.87</v>
      </c>
      <c r="O2879">
        <v>0</v>
      </c>
      <c r="P2879">
        <v>0</v>
      </c>
      <c r="Q2879" t="s">
        <v>108</v>
      </c>
    </row>
    <row r="2880" spans="1:17">
      <c r="A2880" t="s">
        <v>93</v>
      </c>
      <c r="B2880" t="s">
        <v>106</v>
      </c>
      <c r="C2880" t="s">
        <v>56</v>
      </c>
      <c r="D2880" t="s">
        <v>2663</v>
      </c>
      <c r="E2880">
        <v>13</v>
      </c>
      <c r="F2880" t="str">
        <f>VLOOKUP(E2880,[1]LOJA!$A:$B,2,0)</f>
        <v>CEILÂNDIA</v>
      </c>
      <c r="G2880" t="s">
        <v>19</v>
      </c>
      <c r="H2880" t="s">
        <v>19</v>
      </c>
      <c r="I2880" s="1">
        <v>46034</v>
      </c>
      <c r="J2880" s="1">
        <v>46034</v>
      </c>
      <c r="K2880" s="1">
        <v>46034</v>
      </c>
      <c r="L2880">
        <v>34</v>
      </c>
      <c r="M2880">
        <v>2.72</v>
      </c>
      <c r="N2880">
        <v>2.72</v>
      </c>
      <c r="O2880">
        <v>0</v>
      </c>
      <c r="P2880">
        <v>0</v>
      </c>
      <c r="Q2880" t="s">
        <v>108</v>
      </c>
    </row>
    <row r="2881" spans="1:17">
      <c r="A2881" t="s">
        <v>93</v>
      </c>
      <c r="B2881" t="s">
        <v>106</v>
      </c>
      <c r="C2881" t="s">
        <v>56</v>
      </c>
      <c r="D2881" t="s">
        <v>2664</v>
      </c>
      <c r="E2881">
        <v>13</v>
      </c>
      <c r="F2881" t="str">
        <f>VLOOKUP(E2881,[1]LOJA!$A:$B,2,0)</f>
        <v>CEILÂNDIA</v>
      </c>
      <c r="G2881" t="s">
        <v>19</v>
      </c>
      <c r="H2881" t="s">
        <v>19</v>
      </c>
      <c r="I2881" s="1">
        <v>46034</v>
      </c>
      <c r="J2881" s="1">
        <v>46034</v>
      </c>
      <c r="K2881" s="1">
        <v>46034</v>
      </c>
      <c r="L2881">
        <v>34</v>
      </c>
      <c r="M2881">
        <v>2.79</v>
      </c>
      <c r="N2881">
        <v>2.79</v>
      </c>
      <c r="O2881">
        <v>0</v>
      </c>
      <c r="P2881">
        <v>0</v>
      </c>
      <c r="Q2881" t="s">
        <v>108</v>
      </c>
    </row>
    <row r="2882" spans="1:17">
      <c r="A2882" t="s">
        <v>93</v>
      </c>
      <c r="B2882" t="s">
        <v>106</v>
      </c>
      <c r="C2882" t="s">
        <v>56</v>
      </c>
      <c r="D2882" t="s">
        <v>2665</v>
      </c>
      <c r="E2882">
        <v>13</v>
      </c>
      <c r="F2882" t="str">
        <f>VLOOKUP(E2882,[1]LOJA!$A:$B,2,0)</f>
        <v>CEILÂNDIA</v>
      </c>
      <c r="G2882" t="s">
        <v>19</v>
      </c>
      <c r="H2882" t="s">
        <v>19</v>
      </c>
      <c r="I2882" s="1">
        <v>46034</v>
      </c>
      <c r="J2882" s="1">
        <v>46032</v>
      </c>
      <c r="K2882" s="1">
        <v>46034</v>
      </c>
      <c r="L2882">
        <v>34</v>
      </c>
      <c r="M2882">
        <v>4.38</v>
      </c>
      <c r="N2882">
        <v>4.38</v>
      </c>
      <c r="O2882">
        <v>0</v>
      </c>
      <c r="P2882">
        <v>0</v>
      </c>
      <c r="Q2882" t="s">
        <v>108</v>
      </c>
    </row>
    <row r="2883" spans="1:17">
      <c r="A2883" t="s">
        <v>93</v>
      </c>
      <c r="B2883" t="s">
        <v>106</v>
      </c>
      <c r="C2883" t="s">
        <v>56</v>
      </c>
      <c r="D2883" t="s">
        <v>2666</v>
      </c>
      <c r="E2883">
        <v>13</v>
      </c>
      <c r="F2883" t="str">
        <f>VLOOKUP(E2883,[1]LOJA!$A:$B,2,0)</f>
        <v>CEILÂNDIA</v>
      </c>
      <c r="G2883" t="s">
        <v>19</v>
      </c>
      <c r="H2883" t="s">
        <v>19</v>
      </c>
      <c r="I2883" s="1">
        <v>46034</v>
      </c>
      <c r="J2883" s="1">
        <v>46032</v>
      </c>
      <c r="K2883" s="1">
        <v>46034</v>
      </c>
      <c r="L2883">
        <v>34</v>
      </c>
      <c r="M2883">
        <v>2.77</v>
      </c>
      <c r="N2883">
        <v>2.77</v>
      </c>
      <c r="O2883">
        <v>0</v>
      </c>
      <c r="P2883">
        <v>0</v>
      </c>
      <c r="Q2883" t="s">
        <v>108</v>
      </c>
    </row>
    <row r="2884" spans="1:17">
      <c r="A2884" t="s">
        <v>93</v>
      </c>
      <c r="B2884" t="s">
        <v>106</v>
      </c>
      <c r="C2884" t="s">
        <v>56</v>
      </c>
      <c r="D2884" t="s">
        <v>2667</v>
      </c>
      <c r="E2884">
        <v>13</v>
      </c>
      <c r="F2884" t="str">
        <f>VLOOKUP(E2884,[1]LOJA!$A:$B,2,0)</f>
        <v>CEILÂNDIA</v>
      </c>
      <c r="G2884" t="s">
        <v>19</v>
      </c>
      <c r="H2884" t="s">
        <v>19</v>
      </c>
      <c r="I2884" s="1">
        <v>46034</v>
      </c>
      <c r="J2884" s="1">
        <v>46032</v>
      </c>
      <c r="K2884" s="1">
        <v>46034</v>
      </c>
      <c r="L2884">
        <v>34</v>
      </c>
      <c r="M2884">
        <v>0.77</v>
      </c>
      <c r="N2884">
        <v>0.77</v>
      </c>
      <c r="O2884">
        <v>0</v>
      </c>
      <c r="P2884">
        <v>0</v>
      </c>
      <c r="Q2884" t="s">
        <v>108</v>
      </c>
    </row>
    <row r="2885" spans="1:17">
      <c r="A2885" t="s">
        <v>93</v>
      </c>
      <c r="B2885" t="s">
        <v>106</v>
      </c>
      <c r="C2885" t="s">
        <v>56</v>
      </c>
      <c r="D2885" t="s">
        <v>2668</v>
      </c>
      <c r="E2885">
        <v>13</v>
      </c>
      <c r="F2885" t="str">
        <f>VLOOKUP(E2885,[1]LOJA!$A:$B,2,0)</f>
        <v>CEILÂNDIA</v>
      </c>
      <c r="G2885" t="s">
        <v>19</v>
      </c>
      <c r="H2885" t="s">
        <v>19</v>
      </c>
      <c r="I2885" s="1">
        <v>46034</v>
      </c>
      <c r="J2885" s="1">
        <v>46033</v>
      </c>
      <c r="K2885" s="1">
        <v>46034</v>
      </c>
      <c r="L2885">
        <v>34</v>
      </c>
      <c r="M2885">
        <v>4.93</v>
      </c>
      <c r="N2885">
        <v>4.93</v>
      </c>
      <c r="O2885">
        <v>0</v>
      </c>
      <c r="P2885">
        <v>0</v>
      </c>
      <c r="Q2885" t="s">
        <v>108</v>
      </c>
    </row>
    <row r="2886" spans="1:17">
      <c r="A2886" t="s">
        <v>93</v>
      </c>
      <c r="B2886" t="s">
        <v>106</v>
      </c>
      <c r="C2886" t="s">
        <v>56</v>
      </c>
      <c r="D2886" t="s">
        <v>2669</v>
      </c>
      <c r="E2886">
        <v>13</v>
      </c>
      <c r="F2886" t="str">
        <f>VLOOKUP(E2886,[1]LOJA!$A:$B,2,0)</f>
        <v>CEILÂNDIA</v>
      </c>
      <c r="G2886" t="s">
        <v>19</v>
      </c>
      <c r="H2886" t="s">
        <v>19</v>
      </c>
      <c r="I2886" s="1">
        <v>46034</v>
      </c>
      <c r="J2886" s="1">
        <v>46033</v>
      </c>
      <c r="K2886" s="1">
        <v>46034</v>
      </c>
      <c r="L2886">
        <v>34</v>
      </c>
      <c r="M2886">
        <v>0.53</v>
      </c>
      <c r="N2886">
        <v>0.53</v>
      </c>
      <c r="O2886">
        <v>0</v>
      </c>
      <c r="P2886">
        <v>0</v>
      </c>
      <c r="Q2886" t="s">
        <v>108</v>
      </c>
    </row>
    <row r="2887" spans="1:17">
      <c r="A2887" t="s">
        <v>93</v>
      </c>
      <c r="B2887" t="s">
        <v>106</v>
      </c>
      <c r="C2887" t="s">
        <v>56</v>
      </c>
      <c r="D2887" t="s">
        <v>2670</v>
      </c>
      <c r="E2887">
        <v>13</v>
      </c>
      <c r="F2887" t="str">
        <f>VLOOKUP(E2887,[1]LOJA!$A:$B,2,0)</f>
        <v>CEILÂNDIA</v>
      </c>
      <c r="G2887" t="s">
        <v>19</v>
      </c>
      <c r="H2887" t="s">
        <v>19</v>
      </c>
      <c r="I2887" s="1">
        <v>46034</v>
      </c>
      <c r="J2887" s="1">
        <v>46033</v>
      </c>
      <c r="K2887" s="1">
        <v>46034</v>
      </c>
      <c r="L2887">
        <v>34</v>
      </c>
      <c r="M2887">
        <v>0.7</v>
      </c>
      <c r="N2887">
        <v>0.7</v>
      </c>
      <c r="O2887">
        <v>0</v>
      </c>
      <c r="P2887">
        <v>0</v>
      </c>
      <c r="Q2887" t="s">
        <v>108</v>
      </c>
    </row>
    <row r="2888" spans="1:17">
      <c r="A2888" t="s">
        <v>93</v>
      </c>
      <c r="B2888" t="s">
        <v>106</v>
      </c>
      <c r="C2888" t="s">
        <v>56</v>
      </c>
      <c r="D2888" t="s">
        <v>2671</v>
      </c>
      <c r="E2888">
        <v>13</v>
      </c>
      <c r="F2888" t="str">
        <f>VLOOKUP(E2888,[1]LOJA!$A:$B,2,0)</f>
        <v>CEILÂNDIA</v>
      </c>
      <c r="G2888" t="s">
        <v>19</v>
      </c>
      <c r="H2888" t="s">
        <v>19</v>
      </c>
      <c r="I2888" s="1">
        <v>46034</v>
      </c>
      <c r="J2888" s="1">
        <v>46033</v>
      </c>
      <c r="K2888" s="1">
        <v>46034</v>
      </c>
      <c r="L2888">
        <v>34</v>
      </c>
      <c r="M2888">
        <v>19.84</v>
      </c>
      <c r="N2888">
        <v>19.84</v>
      </c>
      <c r="O2888">
        <v>0</v>
      </c>
      <c r="P2888">
        <v>0</v>
      </c>
      <c r="Q2888" t="s">
        <v>108</v>
      </c>
    </row>
    <row r="2889" spans="1:17">
      <c r="A2889" t="s">
        <v>93</v>
      </c>
      <c r="B2889" t="s">
        <v>106</v>
      </c>
      <c r="C2889" t="s">
        <v>56</v>
      </c>
      <c r="D2889" t="s">
        <v>2672</v>
      </c>
      <c r="E2889">
        <v>13</v>
      </c>
      <c r="F2889" t="str">
        <f>VLOOKUP(E2889,[1]LOJA!$A:$B,2,0)</f>
        <v>CEILÂNDIA</v>
      </c>
      <c r="G2889" t="s">
        <v>19</v>
      </c>
      <c r="H2889" t="s">
        <v>19</v>
      </c>
      <c r="I2889" s="1">
        <v>46034</v>
      </c>
      <c r="J2889" s="1">
        <v>46033</v>
      </c>
      <c r="K2889" s="1">
        <v>46034</v>
      </c>
      <c r="L2889">
        <v>34</v>
      </c>
      <c r="M2889">
        <v>2.85</v>
      </c>
      <c r="N2889">
        <v>2.85</v>
      </c>
      <c r="O2889">
        <v>0</v>
      </c>
      <c r="P2889">
        <v>0</v>
      </c>
      <c r="Q2889" t="s">
        <v>108</v>
      </c>
    </row>
    <row r="2890" spans="1:17">
      <c r="A2890" t="s">
        <v>93</v>
      </c>
      <c r="B2890" t="s">
        <v>106</v>
      </c>
      <c r="C2890" t="s">
        <v>56</v>
      </c>
      <c r="D2890" t="s">
        <v>2673</v>
      </c>
      <c r="E2890">
        <v>13</v>
      </c>
      <c r="F2890" t="str">
        <f>VLOOKUP(E2890,[1]LOJA!$A:$B,2,0)</f>
        <v>CEILÂNDIA</v>
      </c>
      <c r="G2890" t="s">
        <v>19</v>
      </c>
      <c r="H2890" t="s">
        <v>19</v>
      </c>
      <c r="I2890" s="1">
        <v>46034</v>
      </c>
      <c r="J2890" s="1">
        <v>46033</v>
      </c>
      <c r="K2890" s="1">
        <v>46034</v>
      </c>
      <c r="L2890">
        <v>34</v>
      </c>
      <c r="M2890">
        <v>0.96</v>
      </c>
      <c r="N2890">
        <v>0.96</v>
      </c>
      <c r="O2890">
        <v>0</v>
      </c>
      <c r="P2890">
        <v>0</v>
      </c>
      <c r="Q2890" t="s">
        <v>108</v>
      </c>
    </row>
    <row r="2891" spans="1:17">
      <c r="A2891" t="s">
        <v>93</v>
      </c>
      <c r="B2891" t="s">
        <v>106</v>
      </c>
      <c r="C2891" t="s">
        <v>56</v>
      </c>
      <c r="D2891" t="s">
        <v>2674</v>
      </c>
      <c r="E2891">
        <v>13</v>
      </c>
      <c r="F2891" t="str">
        <f>VLOOKUP(E2891,[1]LOJA!$A:$B,2,0)</f>
        <v>CEILÂNDIA</v>
      </c>
      <c r="G2891" t="s">
        <v>19</v>
      </c>
      <c r="H2891" t="s">
        <v>19</v>
      </c>
      <c r="I2891" s="1">
        <v>46034</v>
      </c>
      <c r="J2891" s="1">
        <v>46033</v>
      </c>
      <c r="K2891" s="1">
        <v>46034</v>
      </c>
      <c r="L2891">
        <v>34</v>
      </c>
      <c r="M2891">
        <v>10.95</v>
      </c>
      <c r="N2891">
        <v>10.95</v>
      </c>
      <c r="O2891">
        <v>0</v>
      </c>
      <c r="P2891">
        <v>0</v>
      </c>
      <c r="Q2891" t="s">
        <v>108</v>
      </c>
    </row>
    <row r="2892" spans="1:17">
      <c r="A2892" t="s">
        <v>93</v>
      </c>
      <c r="B2892" t="s">
        <v>106</v>
      </c>
      <c r="C2892" t="s">
        <v>56</v>
      </c>
      <c r="D2892" t="s">
        <v>2675</v>
      </c>
      <c r="E2892">
        <v>13</v>
      </c>
      <c r="F2892" t="str">
        <f>VLOOKUP(E2892,[1]LOJA!$A:$B,2,0)</f>
        <v>CEILÂNDIA</v>
      </c>
      <c r="G2892" t="s">
        <v>19</v>
      </c>
      <c r="H2892" t="s">
        <v>19</v>
      </c>
      <c r="I2892" s="1">
        <v>46034</v>
      </c>
      <c r="J2892" s="1">
        <v>46034</v>
      </c>
      <c r="K2892" s="1">
        <v>46034</v>
      </c>
      <c r="L2892">
        <v>34</v>
      </c>
      <c r="M2892">
        <v>0.7</v>
      </c>
      <c r="N2892">
        <v>0.7</v>
      </c>
      <c r="O2892">
        <v>0</v>
      </c>
      <c r="P2892">
        <v>0</v>
      </c>
      <c r="Q2892" t="s">
        <v>108</v>
      </c>
    </row>
    <row r="2893" spans="1:17">
      <c r="A2893" t="s">
        <v>93</v>
      </c>
      <c r="B2893" t="s">
        <v>106</v>
      </c>
      <c r="C2893" t="s">
        <v>56</v>
      </c>
      <c r="D2893" t="s">
        <v>2676</v>
      </c>
      <c r="E2893">
        <v>13</v>
      </c>
      <c r="F2893" t="str">
        <f>VLOOKUP(E2893,[1]LOJA!$A:$B,2,0)</f>
        <v>CEILÂNDIA</v>
      </c>
      <c r="G2893" t="s">
        <v>19</v>
      </c>
      <c r="H2893" t="s">
        <v>19</v>
      </c>
      <c r="I2893" s="1">
        <v>46034</v>
      </c>
      <c r="J2893" s="1">
        <v>46034</v>
      </c>
      <c r="K2893" s="1">
        <v>46034</v>
      </c>
      <c r="L2893">
        <v>34</v>
      </c>
      <c r="M2893">
        <v>1.84</v>
      </c>
      <c r="N2893">
        <v>1.84</v>
      </c>
      <c r="O2893">
        <v>0</v>
      </c>
      <c r="P2893">
        <v>0</v>
      </c>
      <c r="Q2893" t="s">
        <v>108</v>
      </c>
    </row>
    <row r="2894" spans="1:17">
      <c r="A2894" t="s">
        <v>93</v>
      </c>
      <c r="B2894" t="s">
        <v>106</v>
      </c>
      <c r="C2894" t="s">
        <v>56</v>
      </c>
      <c r="D2894" t="s">
        <v>2677</v>
      </c>
      <c r="E2894">
        <v>13</v>
      </c>
      <c r="F2894" t="str">
        <f>VLOOKUP(E2894,[1]LOJA!$A:$B,2,0)</f>
        <v>CEILÂNDIA</v>
      </c>
      <c r="G2894" t="s">
        <v>19</v>
      </c>
      <c r="H2894" t="s">
        <v>19</v>
      </c>
      <c r="I2894" s="1">
        <v>46034</v>
      </c>
      <c r="J2894" s="1">
        <v>46034</v>
      </c>
      <c r="K2894" s="1">
        <v>46034</v>
      </c>
      <c r="L2894">
        <v>34</v>
      </c>
      <c r="M2894">
        <v>3.5</v>
      </c>
      <c r="N2894">
        <v>3.5</v>
      </c>
      <c r="O2894">
        <v>0</v>
      </c>
      <c r="P2894">
        <v>0</v>
      </c>
      <c r="Q2894" t="s">
        <v>108</v>
      </c>
    </row>
    <row r="2895" spans="1:17">
      <c r="A2895" t="s">
        <v>93</v>
      </c>
      <c r="B2895" t="s">
        <v>106</v>
      </c>
      <c r="C2895" t="s">
        <v>56</v>
      </c>
      <c r="D2895" t="s">
        <v>2678</v>
      </c>
      <c r="E2895">
        <v>13</v>
      </c>
      <c r="F2895" t="str">
        <f>VLOOKUP(E2895,[1]LOJA!$A:$B,2,0)</f>
        <v>CEILÂNDIA</v>
      </c>
      <c r="G2895" t="s">
        <v>19</v>
      </c>
      <c r="H2895" t="s">
        <v>19</v>
      </c>
      <c r="I2895" s="1">
        <v>46034</v>
      </c>
      <c r="J2895" s="1">
        <v>46034</v>
      </c>
      <c r="K2895" s="1">
        <v>46034</v>
      </c>
      <c r="L2895">
        <v>34</v>
      </c>
      <c r="M2895">
        <v>2.63</v>
      </c>
      <c r="N2895">
        <v>2.63</v>
      </c>
      <c r="O2895">
        <v>0</v>
      </c>
      <c r="P2895">
        <v>0</v>
      </c>
      <c r="Q2895" t="s">
        <v>108</v>
      </c>
    </row>
    <row r="2896" spans="1:17">
      <c r="A2896" t="s">
        <v>93</v>
      </c>
      <c r="B2896" t="s">
        <v>106</v>
      </c>
      <c r="C2896" t="s">
        <v>56</v>
      </c>
      <c r="D2896" t="s">
        <v>2679</v>
      </c>
      <c r="E2896">
        <v>13</v>
      </c>
      <c r="F2896" t="str">
        <f>VLOOKUP(E2896,[1]LOJA!$A:$B,2,0)</f>
        <v>CEILÂNDIA</v>
      </c>
      <c r="G2896" t="s">
        <v>19</v>
      </c>
      <c r="H2896" t="s">
        <v>19</v>
      </c>
      <c r="I2896" s="1">
        <v>46034</v>
      </c>
      <c r="J2896" s="1">
        <v>46034</v>
      </c>
      <c r="K2896" s="1">
        <v>46034</v>
      </c>
      <c r="L2896">
        <v>34</v>
      </c>
      <c r="M2896">
        <v>0.61</v>
      </c>
      <c r="N2896">
        <v>0.61</v>
      </c>
      <c r="O2896">
        <v>0</v>
      </c>
      <c r="P2896">
        <v>0</v>
      </c>
      <c r="Q2896" t="s">
        <v>108</v>
      </c>
    </row>
    <row r="2897" spans="1:17">
      <c r="A2897" t="s">
        <v>93</v>
      </c>
      <c r="B2897" t="s">
        <v>106</v>
      </c>
      <c r="C2897" t="s">
        <v>56</v>
      </c>
      <c r="D2897" t="s">
        <v>2680</v>
      </c>
      <c r="E2897">
        <v>13</v>
      </c>
      <c r="F2897" t="str">
        <f>VLOOKUP(E2897,[1]LOJA!$A:$B,2,0)</f>
        <v>CEILÂNDIA</v>
      </c>
      <c r="G2897" t="s">
        <v>19</v>
      </c>
      <c r="H2897" t="s">
        <v>19</v>
      </c>
      <c r="I2897" s="1">
        <v>46034</v>
      </c>
      <c r="J2897" s="1">
        <v>46034</v>
      </c>
      <c r="K2897" s="1">
        <v>46034</v>
      </c>
      <c r="L2897">
        <v>34</v>
      </c>
      <c r="M2897">
        <v>5.78</v>
      </c>
      <c r="N2897">
        <v>5.78</v>
      </c>
      <c r="O2897">
        <v>0</v>
      </c>
      <c r="P2897">
        <v>0</v>
      </c>
      <c r="Q2897" t="s">
        <v>108</v>
      </c>
    </row>
    <row r="2898" spans="1:17">
      <c r="A2898" t="s">
        <v>93</v>
      </c>
      <c r="B2898" t="s">
        <v>106</v>
      </c>
      <c r="C2898" t="s">
        <v>56</v>
      </c>
      <c r="D2898" t="s">
        <v>2681</v>
      </c>
      <c r="E2898">
        <v>13</v>
      </c>
      <c r="F2898" t="str">
        <f>VLOOKUP(E2898,[1]LOJA!$A:$B,2,0)</f>
        <v>CEILÂNDIA</v>
      </c>
      <c r="G2898" t="s">
        <v>19</v>
      </c>
      <c r="H2898" t="s">
        <v>19</v>
      </c>
      <c r="I2898" s="1">
        <v>46034</v>
      </c>
      <c r="J2898" s="1">
        <v>46034</v>
      </c>
      <c r="K2898" s="1">
        <v>46034</v>
      </c>
      <c r="L2898">
        <v>34</v>
      </c>
      <c r="M2898">
        <v>1.4</v>
      </c>
      <c r="N2898">
        <v>1.4</v>
      </c>
      <c r="O2898">
        <v>0</v>
      </c>
      <c r="P2898">
        <v>0</v>
      </c>
      <c r="Q2898" t="s">
        <v>108</v>
      </c>
    </row>
    <row r="2899" spans="1:17">
      <c r="A2899" t="s">
        <v>93</v>
      </c>
      <c r="B2899" t="s">
        <v>106</v>
      </c>
      <c r="C2899" t="s">
        <v>56</v>
      </c>
      <c r="D2899" t="s">
        <v>2682</v>
      </c>
      <c r="E2899">
        <v>13</v>
      </c>
      <c r="F2899" t="str">
        <f>VLOOKUP(E2899,[1]LOJA!$A:$B,2,0)</f>
        <v>CEILÂNDIA</v>
      </c>
      <c r="G2899" t="s">
        <v>19</v>
      </c>
      <c r="H2899" t="s">
        <v>19</v>
      </c>
      <c r="I2899" s="1">
        <v>46034</v>
      </c>
      <c r="J2899" s="1">
        <v>46034</v>
      </c>
      <c r="K2899" s="1">
        <v>46034</v>
      </c>
      <c r="L2899">
        <v>34</v>
      </c>
      <c r="M2899">
        <v>2.1</v>
      </c>
      <c r="N2899">
        <v>2.1</v>
      </c>
      <c r="O2899">
        <v>0</v>
      </c>
      <c r="P2899">
        <v>0</v>
      </c>
      <c r="Q2899" t="s">
        <v>108</v>
      </c>
    </row>
    <row r="2900" spans="1:17">
      <c r="A2900" t="s">
        <v>93</v>
      </c>
      <c r="B2900" t="s">
        <v>106</v>
      </c>
      <c r="C2900" t="s">
        <v>56</v>
      </c>
      <c r="D2900" t="s">
        <v>2683</v>
      </c>
      <c r="E2900">
        <v>13</v>
      </c>
      <c r="F2900" t="str">
        <f>VLOOKUP(E2900,[1]LOJA!$A:$B,2,0)</f>
        <v>CEILÂNDIA</v>
      </c>
      <c r="G2900" t="s">
        <v>19</v>
      </c>
      <c r="H2900" t="s">
        <v>19</v>
      </c>
      <c r="I2900" s="1">
        <v>46034</v>
      </c>
      <c r="J2900" s="1">
        <v>46032</v>
      </c>
      <c r="K2900" s="1">
        <v>46034</v>
      </c>
      <c r="L2900">
        <v>34</v>
      </c>
      <c r="M2900">
        <v>0.19</v>
      </c>
      <c r="N2900">
        <v>0.19</v>
      </c>
      <c r="O2900">
        <v>0</v>
      </c>
      <c r="P2900">
        <v>0</v>
      </c>
      <c r="Q2900" t="s">
        <v>108</v>
      </c>
    </row>
    <row r="2901" spans="1:17">
      <c r="A2901" t="s">
        <v>93</v>
      </c>
      <c r="B2901" t="s">
        <v>106</v>
      </c>
      <c r="C2901" t="s">
        <v>56</v>
      </c>
      <c r="D2901" t="s">
        <v>2684</v>
      </c>
      <c r="E2901">
        <v>13</v>
      </c>
      <c r="F2901" t="str">
        <f>VLOOKUP(E2901,[1]LOJA!$A:$B,2,0)</f>
        <v>CEILÂNDIA</v>
      </c>
      <c r="G2901" t="s">
        <v>19</v>
      </c>
      <c r="H2901" t="s">
        <v>19</v>
      </c>
      <c r="I2901" s="1">
        <v>46034</v>
      </c>
      <c r="J2901" s="1">
        <v>46032</v>
      </c>
      <c r="K2901" s="1">
        <v>46034</v>
      </c>
      <c r="L2901">
        <v>34</v>
      </c>
      <c r="M2901">
        <v>0.87</v>
      </c>
      <c r="N2901">
        <v>0.87</v>
      </c>
      <c r="O2901">
        <v>0</v>
      </c>
      <c r="P2901">
        <v>0</v>
      </c>
      <c r="Q2901" t="s">
        <v>108</v>
      </c>
    </row>
    <row r="2902" spans="1:17">
      <c r="A2902" t="s">
        <v>93</v>
      </c>
      <c r="B2902" t="s">
        <v>106</v>
      </c>
      <c r="C2902" t="s">
        <v>56</v>
      </c>
      <c r="D2902" t="s">
        <v>2685</v>
      </c>
      <c r="E2902">
        <v>13</v>
      </c>
      <c r="F2902" t="str">
        <f>VLOOKUP(E2902,[1]LOJA!$A:$B,2,0)</f>
        <v>CEILÂNDIA</v>
      </c>
      <c r="G2902" t="s">
        <v>19</v>
      </c>
      <c r="H2902" t="s">
        <v>19</v>
      </c>
      <c r="I2902" s="1">
        <v>46034</v>
      </c>
      <c r="J2902" s="1">
        <v>46032</v>
      </c>
      <c r="K2902" s="1">
        <v>46034</v>
      </c>
      <c r="L2902">
        <v>34</v>
      </c>
      <c r="M2902">
        <v>3.05</v>
      </c>
      <c r="N2902">
        <v>3.05</v>
      </c>
      <c r="O2902">
        <v>0</v>
      </c>
      <c r="P2902">
        <v>0</v>
      </c>
      <c r="Q2902" t="s">
        <v>108</v>
      </c>
    </row>
    <row r="2903" spans="1:17">
      <c r="A2903" t="s">
        <v>93</v>
      </c>
      <c r="B2903" t="s">
        <v>106</v>
      </c>
      <c r="C2903" t="s">
        <v>56</v>
      </c>
      <c r="D2903" t="s">
        <v>2686</v>
      </c>
      <c r="E2903">
        <v>13</v>
      </c>
      <c r="F2903" t="str">
        <f>VLOOKUP(E2903,[1]LOJA!$A:$B,2,0)</f>
        <v>CEILÂNDIA</v>
      </c>
      <c r="G2903" t="s">
        <v>19</v>
      </c>
      <c r="H2903" t="s">
        <v>19</v>
      </c>
      <c r="I2903" s="1">
        <v>46034</v>
      </c>
      <c r="J2903" s="1">
        <v>46032</v>
      </c>
      <c r="K2903" s="1">
        <v>46034</v>
      </c>
      <c r="L2903">
        <v>34</v>
      </c>
      <c r="M2903">
        <v>0.27</v>
      </c>
      <c r="N2903">
        <v>0.27</v>
      </c>
      <c r="O2903">
        <v>0</v>
      </c>
      <c r="P2903">
        <v>0</v>
      </c>
      <c r="Q2903" t="s">
        <v>108</v>
      </c>
    </row>
    <row r="2904" spans="1:17">
      <c r="A2904" t="s">
        <v>93</v>
      </c>
      <c r="B2904" t="s">
        <v>106</v>
      </c>
      <c r="C2904" t="s">
        <v>56</v>
      </c>
      <c r="D2904" t="s">
        <v>2687</v>
      </c>
      <c r="E2904">
        <v>13</v>
      </c>
      <c r="F2904" t="str">
        <f>VLOOKUP(E2904,[1]LOJA!$A:$B,2,0)</f>
        <v>CEILÂNDIA</v>
      </c>
      <c r="G2904" t="s">
        <v>19</v>
      </c>
      <c r="H2904" t="s">
        <v>19</v>
      </c>
      <c r="I2904" s="1">
        <v>46034</v>
      </c>
      <c r="J2904" s="1">
        <v>46032</v>
      </c>
      <c r="K2904" s="1">
        <v>46034</v>
      </c>
      <c r="L2904">
        <v>34</v>
      </c>
      <c r="M2904">
        <v>0.02</v>
      </c>
      <c r="N2904">
        <v>0.02</v>
      </c>
      <c r="O2904">
        <v>0</v>
      </c>
      <c r="P2904">
        <v>0</v>
      </c>
      <c r="Q2904" t="s">
        <v>108</v>
      </c>
    </row>
    <row r="2905" spans="1:17">
      <c r="A2905" t="s">
        <v>93</v>
      </c>
      <c r="B2905" t="s">
        <v>106</v>
      </c>
      <c r="C2905" t="s">
        <v>56</v>
      </c>
      <c r="D2905" t="s">
        <v>2688</v>
      </c>
      <c r="E2905">
        <v>13</v>
      </c>
      <c r="F2905" t="str">
        <f>VLOOKUP(E2905,[1]LOJA!$A:$B,2,0)</f>
        <v>CEILÂNDIA</v>
      </c>
      <c r="G2905" t="s">
        <v>19</v>
      </c>
      <c r="H2905" t="s">
        <v>19</v>
      </c>
      <c r="I2905" s="1">
        <v>46034</v>
      </c>
      <c r="J2905" s="1">
        <v>46032</v>
      </c>
      <c r="K2905" s="1">
        <v>46034</v>
      </c>
      <c r="L2905">
        <v>34</v>
      </c>
      <c r="M2905">
        <v>1.96</v>
      </c>
      <c r="N2905">
        <v>1.96</v>
      </c>
      <c r="O2905">
        <v>0</v>
      </c>
      <c r="P2905">
        <v>0</v>
      </c>
      <c r="Q2905" t="s">
        <v>108</v>
      </c>
    </row>
    <row r="2906" spans="1:17">
      <c r="A2906" t="s">
        <v>93</v>
      </c>
      <c r="B2906" t="s">
        <v>106</v>
      </c>
      <c r="C2906" t="s">
        <v>56</v>
      </c>
      <c r="D2906" t="s">
        <v>2689</v>
      </c>
      <c r="E2906">
        <v>13</v>
      </c>
      <c r="F2906" t="str">
        <f>VLOOKUP(E2906,[1]LOJA!$A:$B,2,0)</f>
        <v>CEILÂNDIA</v>
      </c>
      <c r="G2906" t="s">
        <v>19</v>
      </c>
      <c r="H2906" t="s">
        <v>19</v>
      </c>
      <c r="I2906" s="1">
        <v>46034</v>
      </c>
      <c r="J2906" s="1">
        <v>46032</v>
      </c>
      <c r="K2906" s="1">
        <v>46034</v>
      </c>
      <c r="L2906">
        <v>34</v>
      </c>
      <c r="M2906">
        <v>0.17</v>
      </c>
      <c r="N2906">
        <v>0.17</v>
      </c>
      <c r="O2906">
        <v>0</v>
      </c>
      <c r="P2906">
        <v>0</v>
      </c>
      <c r="Q2906" t="s">
        <v>108</v>
      </c>
    </row>
    <row r="2907" spans="1:17">
      <c r="A2907" t="s">
        <v>93</v>
      </c>
      <c r="B2907" t="s">
        <v>106</v>
      </c>
      <c r="C2907" t="s">
        <v>56</v>
      </c>
      <c r="D2907" t="s">
        <v>2690</v>
      </c>
      <c r="E2907">
        <v>13</v>
      </c>
      <c r="F2907" t="str">
        <f>VLOOKUP(E2907,[1]LOJA!$A:$B,2,0)</f>
        <v>CEILÂNDIA</v>
      </c>
      <c r="G2907" t="s">
        <v>19</v>
      </c>
      <c r="H2907" t="s">
        <v>19</v>
      </c>
      <c r="I2907" s="1">
        <v>46034</v>
      </c>
      <c r="J2907" s="1">
        <v>46032</v>
      </c>
      <c r="K2907" s="1">
        <v>46034</v>
      </c>
      <c r="L2907">
        <v>34</v>
      </c>
      <c r="M2907">
        <v>0.46</v>
      </c>
      <c r="N2907">
        <v>0.46</v>
      </c>
      <c r="O2907">
        <v>0</v>
      </c>
      <c r="P2907">
        <v>0</v>
      </c>
      <c r="Q2907" t="s">
        <v>108</v>
      </c>
    </row>
    <row r="2908" spans="1:17">
      <c r="A2908" t="s">
        <v>93</v>
      </c>
      <c r="B2908" t="s">
        <v>106</v>
      </c>
      <c r="C2908" t="s">
        <v>56</v>
      </c>
      <c r="D2908" t="s">
        <v>2691</v>
      </c>
      <c r="E2908">
        <v>13</v>
      </c>
      <c r="F2908" t="str">
        <f>VLOOKUP(E2908,[1]LOJA!$A:$B,2,0)</f>
        <v>CEILÂNDIA</v>
      </c>
      <c r="G2908" t="s">
        <v>19</v>
      </c>
      <c r="H2908" t="s">
        <v>19</v>
      </c>
      <c r="I2908" s="1">
        <v>46034</v>
      </c>
      <c r="J2908" s="1">
        <v>46033</v>
      </c>
      <c r="K2908" s="1">
        <v>46034</v>
      </c>
      <c r="L2908">
        <v>34</v>
      </c>
      <c r="M2908">
        <v>2.68</v>
      </c>
      <c r="N2908">
        <v>2.68</v>
      </c>
      <c r="O2908">
        <v>0</v>
      </c>
      <c r="P2908">
        <v>0</v>
      </c>
      <c r="Q2908" t="s">
        <v>108</v>
      </c>
    </row>
    <row r="2909" spans="1:17">
      <c r="A2909" t="s">
        <v>93</v>
      </c>
      <c r="B2909" t="s">
        <v>106</v>
      </c>
      <c r="C2909" t="s">
        <v>56</v>
      </c>
      <c r="D2909" t="s">
        <v>2692</v>
      </c>
      <c r="E2909">
        <v>13</v>
      </c>
      <c r="F2909" t="str">
        <f>VLOOKUP(E2909,[1]LOJA!$A:$B,2,0)</f>
        <v>CEILÂNDIA</v>
      </c>
      <c r="G2909" t="s">
        <v>19</v>
      </c>
      <c r="H2909" t="s">
        <v>19</v>
      </c>
      <c r="I2909" s="1">
        <v>46034</v>
      </c>
      <c r="J2909" s="1">
        <v>46033</v>
      </c>
      <c r="K2909" s="1">
        <v>46034</v>
      </c>
      <c r="L2909">
        <v>34</v>
      </c>
      <c r="M2909">
        <v>0.34</v>
      </c>
      <c r="N2909">
        <v>0.34</v>
      </c>
      <c r="O2909">
        <v>0</v>
      </c>
      <c r="P2909">
        <v>0</v>
      </c>
      <c r="Q2909" t="s">
        <v>108</v>
      </c>
    </row>
    <row r="2910" spans="1:17">
      <c r="A2910" t="s">
        <v>93</v>
      </c>
      <c r="B2910" t="s">
        <v>106</v>
      </c>
      <c r="C2910" t="s">
        <v>56</v>
      </c>
      <c r="D2910" t="s">
        <v>2693</v>
      </c>
      <c r="E2910">
        <v>13</v>
      </c>
      <c r="F2910" t="str">
        <f>VLOOKUP(E2910,[1]LOJA!$A:$B,2,0)</f>
        <v>CEILÂNDIA</v>
      </c>
      <c r="G2910" t="s">
        <v>19</v>
      </c>
      <c r="H2910" t="s">
        <v>19</v>
      </c>
      <c r="I2910" s="1">
        <v>46034</v>
      </c>
      <c r="J2910" s="1">
        <v>46033</v>
      </c>
      <c r="K2910" s="1">
        <v>46034</v>
      </c>
      <c r="L2910">
        <v>34</v>
      </c>
      <c r="M2910">
        <v>0.34</v>
      </c>
      <c r="N2910">
        <v>0.34</v>
      </c>
      <c r="O2910">
        <v>0</v>
      </c>
      <c r="P2910">
        <v>0</v>
      </c>
      <c r="Q2910" t="s">
        <v>108</v>
      </c>
    </row>
    <row r="2911" spans="1:17">
      <c r="A2911" t="s">
        <v>93</v>
      </c>
      <c r="B2911" t="s">
        <v>106</v>
      </c>
      <c r="C2911" t="s">
        <v>56</v>
      </c>
      <c r="D2911" t="s">
        <v>2694</v>
      </c>
      <c r="E2911">
        <v>13</v>
      </c>
      <c r="F2911" t="str">
        <f>VLOOKUP(E2911,[1]LOJA!$A:$B,2,0)</f>
        <v>CEILÂNDIA</v>
      </c>
      <c r="G2911" t="s">
        <v>19</v>
      </c>
      <c r="H2911" t="s">
        <v>19</v>
      </c>
      <c r="I2911" s="1">
        <v>46034</v>
      </c>
      <c r="J2911" s="1">
        <v>46033</v>
      </c>
      <c r="K2911" s="1">
        <v>46034</v>
      </c>
      <c r="L2911">
        <v>34</v>
      </c>
      <c r="M2911">
        <v>0.28999999999999998</v>
      </c>
      <c r="N2911">
        <v>0.28999999999999998</v>
      </c>
      <c r="O2911">
        <v>0</v>
      </c>
      <c r="P2911">
        <v>0</v>
      </c>
      <c r="Q2911" t="s">
        <v>108</v>
      </c>
    </row>
    <row r="2912" spans="1:17">
      <c r="A2912" t="s">
        <v>93</v>
      </c>
      <c r="B2912" t="s">
        <v>106</v>
      </c>
      <c r="C2912" t="s">
        <v>56</v>
      </c>
      <c r="D2912" t="s">
        <v>2695</v>
      </c>
      <c r="E2912">
        <v>13</v>
      </c>
      <c r="F2912" t="str">
        <f>VLOOKUP(E2912,[1]LOJA!$A:$B,2,0)</f>
        <v>CEILÂNDIA</v>
      </c>
      <c r="G2912" t="s">
        <v>19</v>
      </c>
      <c r="H2912" t="s">
        <v>19</v>
      </c>
      <c r="I2912" s="1">
        <v>46035</v>
      </c>
      <c r="J2912" s="1">
        <v>46035</v>
      </c>
      <c r="K2912" s="1">
        <v>46035</v>
      </c>
      <c r="L2912">
        <v>34</v>
      </c>
      <c r="M2912">
        <v>0.44</v>
      </c>
      <c r="N2912">
        <v>0.44</v>
      </c>
      <c r="O2912">
        <v>0</v>
      </c>
      <c r="P2912">
        <v>0</v>
      </c>
      <c r="Q2912" t="s">
        <v>108</v>
      </c>
    </row>
    <row r="2913" spans="1:17">
      <c r="A2913" t="s">
        <v>93</v>
      </c>
      <c r="B2913" t="s">
        <v>106</v>
      </c>
      <c r="C2913" t="s">
        <v>56</v>
      </c>
      <c r="D2913" t="s">
        <v>2696</v>
      </c>
      <c r="E2913">
        <v>13</v>
      </c>
      <c r="F2913" t="str">
        <f>VLOOKUP(E2913,[1]LOJA!$A:$B,2,0)</f>
        <v>CEILÂNDIA</v>
      </c>
      <c r="G2913" t="s">
        <v>19</v>
      </c>
      <c r="H2913" t="s">
        <v>19</v>
      </c>
      <c r="I2913" s="1">
        <v>46035</v>
      </c>
      <c r="J2913" s="1">
        <v>46035</v>
      </c>
      <c r="K2913" s="1">
        <v>46035</v>
      </c>
      <c r="L2913">
        <v>34</v>
      </c>
      <c r="M2913">
        <v>11.64</v>
      </c>
      <c r="N2913">
        <v>11.64</v>
      </c>
      <c r="O2913">
        <v>0</v>
      </c>
      <c r="P2913">
        <v>0</v>
      </c>
      <c r="Q2913" t="s">
        <v>108</v>
      </c>
    </row>
    <row r="2914" spans="1:17">
      <c r="A2914" t="s">
        <v>93</v>
      </c>
      <c r="B2914" t="s">
        <v>106</v>
      </c>
      <c r="C2914" t="s">
        <v>56</v>
      </c>
      <c r="D2914" t="s">
        <v>2697</v>
      </c>
      <c r="E2914">
        <v>13</v>
      </c>
      <c r="F2914" t="str">
        <f>VLOOKUP(E2914,[1]LOJA!$A:$B,2,0)</f>
        <v>CEILÂNDIA</v>
      </c>
      <c r="G2914" t="s">
        <v>19</v>
      </c>
      <c r="H2914" t="s">
        <v>19</v>
      </c>
      <c r="I2914" s="1">
        <v>46035</v>
      </c>
      <c r="J2914" s="1">
        <v>46035</v>
      </c>
      <c r="K2914" s="1">
        <v>46035</v>
      </c>
      <c r="L2914">
        <v>34</v>
      </c>
      <c r="M2914">
        <v>4.66</v>
      </c>
      <c r="N2914">
        <v>4.66</v>
      </c>
      <c r="O2914">
        <v>0</v>
      </c>
      <c r="P2914">
        <v>0</v>
      </c>
      <c r="Q2914" t="s">
        <v>108</v>
      </c>
    </row>
    <row r="2915" spans="1:17">
      <c r="A2915" t="s">
        <v>93</v>
      </c>
      <c r="B2915" t="s">
        <v>106</v>
      </c>
      <c r="C2915" t="s">
        <v>56</v>
      </c>
      <c r="D2915" t="s">
        <v>2698</v>
      </c>
      <c r="E2915">
        <v>13</v>
      </c>
      <c r="F2915" t="str">
        <f>VLOOKUP(E2915,[1]LOJA!$A:$B,2,0)</f>
        <v>CEILÂNDIA</v>
      </c>
      <c r="G2915" t="s">
        <v>19</v>
      </c>
      <c r="H2915" t="s">
        <v>19</v>
      </c>
      <c r="I2915" s="1">
        <v>46035</v>
      </c>
      <c r="J2915" s="1">
        <v>46035</v>
      </c>
      <c r="K2915" s="1">
        <v>46035</v>
      </c>
      <c r="L2915">
        <v>34</v>
      </c>
      <c r="M2915">
        <v>2.74</v>
      </c>
      <c r="N2915">
        <v>2.74</v>
      </c>
      <c r="O2915">
        <v>0</v>
      </c>
      <c r="P2915">
        <v>0</v>
      </c>
      <c r="Q2915" t="s">
        <v>108</v>
      </c>
    </row>
    <row r="2916" spans="1:17">
      <c r="A2916" t="s">
        <v>93</v>
      </c>
      <c r="B2916" t="s">
        <v>106</v>
      </c>
      <c r="C2916" t="s">
        <v>56</v>
      </c>
      <c r="D2916" t="s">
        <v>2699</v>
      </c>
      <c r="E2916">
        <v>13</v>
      </c>
      <c r="F2916" t="str">
        <f>VLOOKUP(E2916,[1]LOJA!$A:$B,2,0)</f>
        <v>CEILÂNDIA</v>
      </c>
      <c r="G2916" t="s">
        <v>19</v>
      </c>
      <c r="H2916" t="s">
        <v>19</v>
      </c>
      <c r="I2916" s="1">
        <v>46035</v>
      </c>
      <c r="J2916" s="1">
        <v>46035</v>
      </c>
      <c r="K2916" s="1">
        <v>46035</v>
      </c>
      <c r="L2916">
        <v>34</v>
      </c>
      <c r="M2916">
        <v>0.4</v>
      </c>
      <c r="N2916">
        <v>0.4</v>
      </c>
      <c r="O2916">
        <v>0</v>
      </c>
      <c r="P2916">
        <v>0</v>
      </c>
      <c r="Q2916" t="s">
        <v>108</v>
      </c>
    </row>
    <row r="2917" spans="1:17">
      <c r="A2917" t="s">
        <v>93</v>
      </c>
      <c r="B2917" t="s">
        <v>106</v>
      </c>
      <c r="C2917" t="s">
        <v>56</v>
      </c>
      <c r="D2917" t="s">
        <v>2700</v>
      </c>
      <c r="E2917">
        <v>13</v>
      </c>
      <c r="F2917" t="str">
        <f>VLOOKUP(E2917,[1]LOJA!$A:$B,2,0)</f>
        <v>CEILÂNDIA</v>
      </c>
      <c r="G2917" t="s">
        <v>19</v>
      </c>
      <c r="H2917" t="s">
        <v>19</v>
      </c>
      <c r="I2917" s="1">
        <v>46035</v>
      </c>
      <c r="J2917" s="1">
        <v>46035</v>
      </c>
      <c r="K2917" s="1">
        <v>46035</v>
      </c>
      <c r="L2917">
        <v>34</v>
      </c>
      <c r="M2917">
        <v>0.18</v>
      </c>
      <c r="N2917">
        <v>0.18</v>
      </c>
      <c r="O2917">
        <v>0</v>
      </c>
      <c r="P2917">
        <v>0</v>
      </c>
      <c r="Q2917" t="s">
        <v>108</v>
      </c>
    </row>
    <row r="2918" spans="1:17">
      <c r="A2918" t="s">
        <v>93</v>
      </c>
      <c r="B2918" t="s">
        <v>106</v>
      </c>
      <c r="C2918" t="s">
        <v>56</v>
      </c>
      <c r="D2918" t="s">
        <v>2701</v>
      </c>
      <c r="E2918">
        <v>13</v>
      </c>
      <c r="F2918" t="str">
        <f>VLOOKUP(E2918,[1]LOJA!$A:$B,2,0)</f>
        <v>CEILÂNDIA</v>
      </c>
      <c r="G2918" t="s">
        <v>19</v>
      </c>
      <c r="H2918" t="s">
        <v>19</v>
      </c>
      <c r="I2918" s="1">
        <v>46035</v>
      </c>
      <c r="J2918" s="1">
        <v>46035</v>
      </c>
      <c r="K2918" s="1">
        <v>46035</v>
      </c>
      <c r="L2918">
        <v>34</v>
      </c>
      <c r="M2918">
        <v>2.14</v>
      </c>
      <c r="N2918">
        <v>2.14</v>
      </c>
      <c r="O2918">
        <v>0</v>
      </c>
      <c r="P2918">
        <v>0</v>
      </c>
      <c r="Q2918" t="s">
        <v>108</v>
      </c>
    </row>
    <row r="2919" spans="1:17">
      <c r="A2919" t="s">
        <v>93</v>
      </c>
      <c r="B2919" t="s">
        <v>106</v>
      </c>
      <c r="C2919" t="s">
        <v>56</v>
      </c>
      <c r="D2919" t="s">
        <v>2702</v>
      </c>
      <c r="E2919">
        <v>13</v>
      </c>
      <c r="F2919" t="str">
        <f>VLOOKUP(E2919,[1]LOJA!$A:$B,2,0)</f>
        <v>CEILÂNDIA</v>
      </c>
      <c r="G2919" t="s">
        <v>19</v>
      </c>
      <c r="H2919" t="s">
        <v>19</v>
      </c>
      <c r="I2919" s="1">
        <v>46035</v>
      </c>
      <c r="J2919" s="1">
        <v>46035</v>
      </c>
      <c r="K2919" s="1">
        <v>46035</v>
      </c>
      <c r="L2919">
        <v>34</v>
      </c>
      <c r="M2919">
        <v>0.53</v>
      </c>
      <c r="N2919">
        <v>0.53</v>
      </c>
      <c r="O2919">
        <v>0</v>
      </c>
      <c r="P2919">
        <v>0</v>
      </c>
      <c r="Q2919" t="s">
        <v>108</v>
      </c>
    </row>
    <row r="2920" spans="1:17">
      <c r="A2920" t="s">
        <v>93</v>
      </c>
      <c r="B2920" t="s">
        <v>106</v>
      </c>
      <c r="C2920" t="s">
        <v>56</v>
      </c>
      <c r="D2920" t="s">
        <v>2703</v>
      </c>
      <c r="E2920">
        <v>13</v>
      </c>
      <c r="F2920" t="str">
        <f>VLOOKUP(E2920,[1]LOJA!$A:$B,2,0)</f>
        <v>CEILÂNDIA</v>
      </c>
      <c r="G2920" t="s">
        <v>19</v>
      </c>
      <c r="H2920" t="s">
        <v>19</v>
      </c>
      <c r="I2920" s="1">
        <v>46035</v>
      </c>
      <c r="J2920" s="1">
        <v>46035</v>
      </c>
      <c r="K2920" s="1">
        <v>46035</v>
      </c>
      <c r="L2920">
        <v>34</v>
      </c>
      <c r="M2920">
        <v>0.3</v>
      </c>
      <c r="N2920">
        <v>0.3</v>
      </c>
      <c r="O2920">
        <v>0</v>
      </c>
      <c r="P2920">
        <v>0</v>
      </c>
      <c r="Q2920" t="s">
        <v>108</v>
      </c>
    </row>
    <row r="2921" spans="1:17">
      <c r="A2921" t="s">
        <v>93</v>
      </c>
      <c r="B2921" t="s">
        <v>106</v>
      </c>
      <c r="C2921" t="s">
        <v>56</v>
      </c>
      <c r="D2921" t="s">
        <v>2704</v>
      </c>
      <c r="E2921">
        <v>13</v>
      </c>
      <c r="F2921" t="str">
        <f>VLOOKUP(E2921,[1]LOJA!$A:$B,2,0)</f>
        <v>CEILÂNDIA</v>
      </c>
      <c r="G2921" t="s">
        <v>19</v>
      </c>
      <c r="H2921" t="s">
        <v>19</v>
      </c>
      <c r="I2921" s="1">
        <v>46036</v>
      </c>
      <c r="J2921" s="1">
        <v>46036</v>
      </c>
      <c r="K2921" s="1">
        <v>46036</v>
      </c>
      <c r="L2921">
        <v>34</v>
      </c>
      <c r="M2921">
        <v>7.3</v>
      </c>
      <c r="N2921">
        <v>7.3</v>
      </c>
      <c r="O2921">
        <v>0</v>
      </c>
      <c r="P2921">
        <v>0</v>
      </c>
      <c r="Q2921" t="s">
        <v>108</v>
      </c>
    </row>
    <row r="2922" spans="1:17">
      <c r="A2922" t="s">
        <v>93</v>
      </c>
      <c r="B2922" t="s">
        <v>106</v>
      </c>
      <c r="C2922" t="s">
        <v>56</v>
      </c>
      <c r="D2922" t="s">
        <v>2705</v>
      </c>
      <c r="E2922">
        <v>13</v>
      </c>
      <c r="F2922" t="str">
        <f>VLOOKUP(E2922,[1]LOJA!$A:$B,2,0)</f>
        <v>CEILÂNDIA</v>
      </c>
      <c r="G2922" t="s">
        <v>19</v>
      </c>
      <c r="H2922" t="s">
        <v>19</v>
      </c>
      <c r="I2922" s="1">
        <v>46036</v>
      </c>
      <c r="J2922" s="1">
        <v>46036</v>
      </c>
      <c r="K2922" s="1">
        <v>46036</v>
      </c>
      <c r="L2922">
        <v>34</v>
      </c>
      <c r="M2922">
        <v>4.5599999999999996</v>
      </c>
      <c r="N2922">
        <v>4.5599999999999996</v>
      </c>
      <c r="O2922">
        <v>0</v>
      </c>
      <c r="P2922">
        <v>0</v>
      </c>
      <c r="Q2922" t="s">
        <v>108</v>
      </c>
    </row>
    <row r="2923" spans="1:17">
      <c r="A2923" t="s">
        <v>93</v>
      </c>
      <c r="B2923" t="s">
        <v>106</v>
      </c>
      <c r="C2923" t="s">
        <v>56</v>
      </c>
      <c r="D2923" t="s">
        <v>2706</v>
      </c>
      <c r="E2923">
        <v>13</v>
      </c>
      <c r="F2923" t="str">
        <f>VLOOKUP(E2923,[1]LOJA!$A:$B,2,0)</f>
        <v>CEILÂNDIA</v>
      </c>
      <c r="G2923" t="s">
        <v>19</v>
      </c>
      <c r="H2923" t="s">
        <v>19</v>
      </c>
      <c r="I2923" s="1">
        <v>46036</v>
      </c>
      <c r="J2923" s="1">
        <v>46036</v>
      </c>
      <c r="K2923" s="1">
        <v>46036</v>
      </c>
      <c r="L2923">
        <v>34</v>
      </c>
      <c r="M2923">
        <v>3.99</v>
      </c>
      <c r="N2923">
        <v>3.99</v>
      </c>
      <c r="O2923">
        <v>0</v>
      </c>
      <c r="P2923">
        <v>0</v>
      </c>
      <c r="Q2923" t="s">
        <v>108</v>
      </c>
    </row>
    <row r="2924" spans="1:17">
      <c r="A2924" t="s">
        <v>93</v>
      </c>
      <c r="B2924" t="s">
        <v>106</v>
      </c>
      <c r="C2924" t="s">
        <v>56</v>
      </c>
      <c r="D2924" t="s">
        <v>2707</v>
      </c>
      <c r="E2924">
        <v>13</v>
      </c>
      <c r="F2924" t="str">
        <f>VLOOKUP(E2924,[1]LOJA!$A:$B,2,0)</f>
        <v>CEILÂNDIA</v>
      </c>
      <c r="G2924" t="s">
        <v>19</v>
      </c>
      <c r="H2924" t="s">
        <v>19</v>
      </c>
      <c r="I2924" s="1">
        <v>46036</v>
      </c>
      <c r="J2924" s="1">
        <v>46036</v>
      </c>
      <c r="K2924" s="1">
        <v>46036</v>
      </c>
      <c r="L2924">
        <v>34</v>
      </c>
      <c r="M2924">
        <v>6.25</v>
      </c>
      <c r="N2924">
        <v>6.25</v>
      </c>
      <c r="O2924">
        <v>0</v>
      </c>
      <c r="P2924">
        <v>0</v>
      </c>
      <c r="Q2924" t="s">
        <v>108</v>
      </c>
    </row>
    <row r="2925" spans="1:17">
      <c r="A2925" t="s">
        <v>93</v>
      </c>
      <c r="B2925" t="s">
        <v>106</v>
      </c>
      <c r="C2925" t="s">
        <v>56</v>
      </c>
      <c r="D2925" t="s">
        <v>2708</v>
      </c>
      <c r="E2925">
        <v>13</v>
      </c>
      <c r="F2925" t="str">
        <f>VLOOKUP(E2925,[1]LOJA!$A:$B,2,0)</f>
        <v>CEILÂNDIA</v>
      </c>
      <c r="G2925" t="s">
        <v>19</v>
      </c>
      <c r="H2925" t="s">
        <v>19</v>
      </c>
      <c r="I2925" s="1">
        <v>46036</v>
      </c>
      <c r="J2925" s="1">
        <v>46036</v>
      </c>
      <c r="K2925" s="1">
        <v>46036</v>
      </c>
      <c r="L2925">
        <v>34</v>
      </c>
      <c r="M2925">
        <v>2.41</v>
      </c>
      <c r="N2925">
        <v>2.41</v>
      </c>
      <c r="O2925">
        <v>0</v>
      </c>
      <c r="P2925">
        <v>0</v>
      </c>
      <c r="Q2925" t="s">
        <v>108</v>
      </c>
    </row>
    <row r="2926" spans="1:17">
      <c r="A2926" t="s">
        <v>93</v>
      </c>
      <c r="B2926" t="s">
        <v>106</v>
      </c>
      <c r="C2926" t="s">
        <v>56</v>
      </c>
      <c r="D2926" t="s">
        <v>2709</v>
      </c>
      <c r="E2926">
        <v>13</v>
      </c>
      <c r="F2926" t="str">
        <f>VLOOKUP(E2926,[1]LOJA!$A:$B,2,0)</f>
        <v>CEILÂNDIA</v>
      </c>
      <c r="G2926" t="s">
        <v>19</v>
      </c>
      <c r="H2926" t="s">
        <v>19</v>
      </c>
      <c r="I2926" s="1">
        <v>46036</v>
      </c>
      <c r="J2926" s="1">
        <v>46036</v>
      </c>
      <c r="K2926" s="1">
        <v>46036</v>
      </c>
      <c r="L2926">
        <v>34</v>
      </c>
      <c r="M2926">
        <v>2.92</v>
      </c>
      <c r="N2926">
        <v>2.92</v>
      </c>
      <c r="O2926">
        <v>0</v>
      </c>
      <c r="P2926">
        <v>0</v>
      </c>
      <c r="Q2926" t="s">
        <v>108</v>
      </c>
    </row>
    <row r="2927" spans="1:17">
      <c r="A2927" t="s">
        <v>93</v>
      </c>
      <c r="B2927" t="s">
        <v>106</v>
      </c>
      <c r="C2927" t="s">
        <v>56</v>
      </c>
      <c r="D2927" t="s">
        <v>2710</v>
      </c>
      <c r="E2927">
        <v>13</v>
      </c>
      <c r="F2927" t="str">
        <f>VLOOKUP(E2927,[1]LOJA!$A:$B,2,0)</f>
        <v>CEILÂNDIA</v>
      </c>
      <c r="G2927" t="s">
        <v>19</v>
      </c>
      <c r="H2927" t="s">
        <v>19</v>
      </c>
      <c r="I2927" s="1">
        <v>46036</v>
      </c>
      <c r="J2927" s="1">
        <v>46036</v>
      </c>
      <c r="K2927" s="1">
        <v>46036</v>
      </c>
      <c r="L2927">
        <v>34</v>
      </c>
      <c r="M2927">
        <v>0.33</v>
      </c>
      <c r="N2927">
        <v>0.33</v>
      </c>
      <c r="O2927">
        <v>0</v>
      </c>
      <c r="P2927">
        <v>0</v>
      </c>
      <c r="Q2927" t="s">
        <v>108</v>
      </c>
    </row>
    <row r="2928" spans="1:17">
      <c r="A2928" t="s">
        <v>93</v>
      </c>
      <c r="B2928" t="s">
        <v>106</v>
      </c>
      <c r="C2928" t="s">
        <v>56</v>
      </c>
      <c r="D2928" t="s">
        <v>2711</v>
      </c>
      <c r="E2928">
        <v>13</v>
      </c>
      <c r="F2928" t="str">
        <f>VLOOKUP(E2928,[1]LOJA!$A:$B,2,0)</f>
        <v>CEILÂNDIA</v>
      </c>
      <c r="G2928" t="s">
        <v>19</v>
      </c>
      <c r="H2928" t="s">
        <v>19</v>
      </c>
      <c r="I2928" s="1">
        <v>46036</v>
      </c>
      <c r="J2928" s="1">
        <v>46036</v>
      </c>
      <c r="K2928" s="1">
        <v>46036</v>
      </c>
      <c r="L2928">
        <v>34</v>
      </c>
      <c r="M2928">
        <v>0.34</v>
      </c>
      <c r="N2928">
        <v>0.34</v>
      </c>
      <c r="O2928">
        <v>0</v>
      </c>
      <c r="P2928">
        <v>0</v>
      </c>
      <c r="Q2928" t="s">
        <v>108</v>
      </c>
    </row>
    <row r="2929" spans="1:17">
      <c r="A2929" t="s">
        <v>93</v>
      </c>
      <c r="B2929" t="s">
        <v>106</v>
      </c>
      <c r="C2929" t="s">
        <v>56</v>
      </c>
      <c r="D2929" t="s">
        <v>2712</v>
      </c>
      <c r="E2929">
        <v>13</v>
      </c>
      <c r="F2929" t="str">
        <f>VLOOKUP(E2929,[1]LOJA!$A:$B,2,0)</f>
        <v>CEILÂNDIA</v>
      </c>
      <c r="G2929" t="s">
        <v>19</v>
      </c>
      <c r="H2929" t="s">
        <v>19</v>
      </c>
      <c r="I2929" s="1">
        <v>46036</v>
      </c>
      <c r="J2929" s="1">
        <v>46036</v>
      </c>
      <c r="K2929" s="1">
        <v>46036</v>
      </c>
      <c r="L2929">
        <v>34</v>
      </c>
      <c r="M2929">
        <v>0.86</v>
      </c>
      <c r="N2929">
        <v>0.86</v>
      </c>
      <c r="O2929">
        <v>0</v>
      </c>
      <c r="P2929">
        <v>0</v>
      </c>
      <c r="Q2929" t="s">
        <v>108</v>
      </c>
    </row>
    <row r="2930" spans="1:17">
      <c r="A2930" t="s">
        <v>93</v>
      </c>
      <c r="B2930" t="s">
        <v>106</v>
      </c>
      <c r="C2930" t="s">
        <v>56</v>
      </c>
      <c r="D2930" t="s">
        <v>2713</v>
      </c>
      <c r="E2930">
        <v>13</v>
      </c>
      <c r="F2930" t="str">
        <f>VLOOKUP(E2930,[1]LOJA!$A:$B,2,0)</f>
        <v>CEILÂNDIA</v>
      </c>
      <c r="G2930" t="s">
        <v>19</v>
      </c>
      <c r="H2930" t="s">
        <v>19</v>
      </c>
      <c r="I2930" s="1">
        <v>46036</v>
      </c>
      <c r="J2930" s="1">
        <v>46036</v>
      </c>
      <c r="K2930" s="1">
        <v>46036</v>
      </c>
      <c r="L2930">
        <v>34</v>
      </c>
      <c r="M2930">
        <v>0.56000000000000005</v>
      </c>
      <c r="N2930">
        <v>0.56000000000000005</v>
      </c>
      <c r="O2930">
        <v>0</v>
      </c>
      <c r="P2930">
        <v>0</v>
      </c>
      <c r="Q2930" t="s">
        <v>108</v>
      </c>
    </row>
    <row r="2931" spans="1:17">
      <c r="A2931" t="s">
        <v>93</v>
      </c>
      <c r="B2931" t="s">
        <v>106</v>
      </c>
      <c r="C2931" t="s">
        <v>56</v>
      </c>
      <c r="D2931" t="s">
        <v>2714</v>
      </c>
      <c r="E2931">
        <v>13</v>
      </c>
      <c r="F2931" t="str">
        <f>VLOOKUP(E2931,[1]LOJA!$A:$B,2,0)</f>
        <v>CEILÂNDIA</v>
      </c>
      <c r="G2931" t="s">
        <v>19</v>
      </c>
      <c r="H2931" t="s">
        <v>19</v>
      </c>
      <c r="I2931" s="1">
        <v>46036</v>
      </c>
      <c r="J2931" s="1">
        <v>46036</v>
      </c>
      <c r="K2931" s="1">
        <v>46036</v>
      </c>
      <c r="L2931">
        <v>34</v>
      </c>
      <c r="M2931">
        <v>2.68</v>
      </c>
      <c r="N2931">
        <v>2.68</v>
      </c>
      <c r="O2931">
        <v>0</v>
      </c>
      <c r="P2931">
        <v>0</v>
      </c>
      <c r="Q2931" t="s">
        <v>108</v>
      </c>
    </row>
    <row r="2932" spans="1:17">
      <c r="A2932" t="s">
        <v>93</v>
      </c>
      <c r="B2932" t="s">
        <v>106</v>
      </c>
      <c r="C2932" t="s">
        <v>56</v>
      </c>
      <c r="D2932" t="s">
        <v>2715</v>
      </c>
      <c r="E2932">
        <v>13</v>
      </c>
      <c r="F2932" t="str">
        <f>VLOOKUP(E2932,[1]LOJA!$A:$B,2,0)</f>
        <v>CEILÂNDIA</v>
      </c>
      <c r="G2932" t="s">
        <v>19</v>
      </c>
      <c r="H2932" t="s">
        <v>19</v>
      </c>
      <c r="I2932" s="1">
        <v>46036</v>
      </c>
      <c r="J2932" s="1">
        <v>46036</v>
      </c>
      <c r="K2932" s="1">
        <v>46036</v>
      </c>
      <c r="L2932">
        <v>34</v>
      </c>
      <c r="M2932">
        <v>0.23</v>
      </c>
      <c r="N2932">
        <v>0.23</v>
      </c>
      <c r="O2932">
        <v>0</v>
      </c>
      <c r="P2932">
        <v>0</v>
      </c>
      <c r="Q2932" t="s">
        <v>108</v>
      </c>
    </row>
    <row r="2933" spans="1:17">
      <c r="A2933" t="s">
        <v>93</v>
      </c>
      <c r="B2933" t="s">
        <v>106</v>
      </c>
      <c r="C2933" t="s">
        <v>56</v>
      </c>
      <c r="D2933" t="s">
        <v>2716</v>
      </c>
      <c r="E2933">
        <v>13</v>
      </c>
      <c r="F2933" t="str">
        <f>VLOOKUP(E2933,[1]LOJA!$A:$B,2,0)</f>
        <v>CEILÂNDIA</v>
      </c>
      <c r="G2933" t="s">
        <v>19</v>
      </c>
      <c r="H2933" t="s">
        <v>19</v>
      </c>
      <c r="I2933" s="1">
        <v>46036</v>
      </c>
      <c r="J2933" s="1">
        <v>46036</v>
      </c>
      <c r="K2933" s="1">
        <v>46036</v>
      </c>
      <c r="L2933">
        <v>34</v>
      </c>
      <c r="M2933">
        <v>0.2</v>
      </c>
      <c r="N2933">
        <v>0.2</v>
      </c>
      <c r="O2933">
        <v>0</v>
      </c>
      <c r="P2933">
        <v>0</v>
      </c>
      <c r="Q2933" t="s">
        <v>108</v>
      </c>
    </row>
    <row r="2934" spans="1:17">
      <c r="A2934" t="s">
        <v>93</v>
      </c>
      <c r="B2934" t="s">
        <v>106</v>
      </c>
      <c r="C2934" t="s">
        <v>56</v>
      </c>
      <c r="D2934" t="s">
        <v>2717</v>
      </c>
      <c r="E2934">
        <v>13</v>
      </c>
      <c r="F2934" t="str">
        <f>VLOOKUP(E2934,[1]LOJA!$A:$B,2,0)</f>
        <v>CEILÂNDIA</v>
      </c>
      <c r="G2934" t="s">
        <v>19</v>
      </c>
      <c r="H2934" t="s">
        <v>19</v>
      </c>
      <c r="I2934" s="1">
        <v>46036</v>
      </c>
      <c r="J2934" s="1">
        <v>46036</v>
      </c>
      <c r="K2934" s="1">
        <v>46036</v>
      </c>
      <c r="L2934">
        <v>34</v>
      </c>
      <c r="M2934">
        <v>1.01</v>
      </c>
      <c r="N2934">
        <v>1.01</v>
      </c>
      <c r="O2934">
        <v>0</v>
      </c>
      <c r="P2934">
        <v>0</v>
      </c>
      <c r="Q2934" t="s">
        <v>108</v>
      </c>
    </row>
    <row r="2935" spans="1:17">
      <c r="A2935" t="s">
        <v>93</v>
      </c>
      <c r="B2935" t="s">
        <v>106</v>
      </c>
      <c r="C2935" t="s">
        <v>56</v>
      </c>
      <c r="D2935" t="s">
        <v>2718</v>
      </c>
      <c r="E2935">
        <v>13</v>
      </c>
      <c r="F2935" t="str">
        <f>VLOOKUP(E2935,[1]LOJA!$A:$B,2,0)</f>
        <v>CEILÂNDIA</v>
      </c>
      <c r="G2935" t="s">
        <v>19</v>
      </c>
      <c r="H2935" t="s">
        <v>19</v>
      </c>
      <c r="I2935" s="1">
        <v>46037</v>
      </c>
      <c r="J2935" s="1">
        <v>46037</v>
      </c>
      <c r="K2935" s="1">
        <v>46037</v>
      </c>
      <c r="L2935">
        <v>34</v>
      </c>
      <c r="M2935">
        <v>4.38</v>
      </c>
      <c r="N2935">
        <v>4.38</v>
      </c>
      <c r="O2935">
        <v>0</v>
      </c>
      <c r="P2935">
        <v>0</v>
      </c>
      <c r="Q2935" t="s">
        <v>108</v>
      </c>
    </row>
    <row r="2936" spans="1:17">
      <c r="A2936" t="s">
        <v>93</v>
      </c>
      <c r="B2936" t="s">
        <v>106</v>
      </c>
      <c r="C2936" t="s">
        <v>56</v>
      </c>
      <c r="D2936" t="s">
        <v>2719</v>
      </c>
      <c r="E2936">
        <v>13</v>
      </c>
      <c r="F2936" t="str">
        <f>VLOOKUP(E2936,[1]LOJA!$A:$B,2,0)</f>
        <v>CEILÂNDIA</v>
      </c>
      <c r="G2936" t="s">
        <v>19</v>
      </c>
      <c r="H2936" t="s">
        <v>19</v>
      </c>
      <c r="I2936" s="1">
        <v>46037</v>
      </c>
      <c r="J2936" s="1">
        <v>46037</v>
      </c>
      <c r="K2936" s="1">
        <v>46037</v>
      </c>
      <c r="L2936">
        <v>34</v>
      </c>
      <c r="M2936">
        <v>5.41</v>
      </c>
      <c r="N2936">
        <v>5.41</v>
      </c>
      <c r="O2936">
        <v>0</v>
      </c>
      <c r="P2936">
        <v>0</v>
      </c>
      <c r="Q2936" t="s">
        <v>108</v>
      </c>
    </row>
    <row r="2937" spans="1:17">
      <c r="A2937" t="s">
        <v>93</v>
      </c>
      <c r="B2937" t="s">
        <v>106</v>
      </c>
      <c r="C2937" t="s">
        <v>56</v>
      </c>
      <c r="D2937" t="s">
        <v>2720</v>
      </c>
      <c r="E2937">
        <v>13</v>
      </c>
      <c r="F2937" t="str">
        <f>VLOOKUP(E2937,[1]LOJA!$A:$B,2,0)</f>
        <v>CEILÂNDIA</v>
      </c>
      <c r="G2937" t="s">
        <v>19</v>
      </c>
      <c r="H2937" t="s">
        <v>19</v>
      </c>
      <c r="I2937" s="1">
        <v>46037</v>
      </c>
      <c r="J2937" s="1">
        <v>46037</v>
      </c>
      <c r="K2937" s="1">
        <v>46037</v>
      </c>
      <c r="L2937">
        <v>34</v>
      </c>
      <c r="M2937">
        <v>4.75</v>
      </c>
      <c r="N2937">
        <v>4.75</v>
      </c>
      <c r="O2937">
        <v>0</v>
      </c>
      <c r="P2937">
        <v>0</v>
      </c>
      <c r="Q2937" t="s">
        <v>108</v>
      </c>
    </row>
    <row r="2938" spans="1:17">
      <c r="A2938" t="s">
        <v>93</v>
      </c>
      <c r="B2938" t="s">
        <v>106</v>
      </c>
      <c r="C2938" t="s">
        <v>56</v>
      </c>
      <c r="D2938" t="s">
        <v>2721</v>
      </c>
      <c r="E2938">
        <v>13</v>
      </c>
      <c r="F2938" t="str">
        <f>VLOOKUP(E2938,[1]LOJA!$A:$B,2,0)</f>
        <v>CEILÂNDIA</v>
      </c>
      <c r="G2938" t="s">
        <v>19</v>
      </c>
      <c r="H2938" t="s">
        <v>19</v>
      </c>
      <c r="I2938" s="1">
        <v>46037</v>
      </c>
      <c r="J2938" s="1">
        <v>46037</v>
      </c>
      <c r="K2938" s="1">
        <v>46037</v>
      </c>
      <c r="L2938">
        <v>34</v>
      </c>
      <c r="M2938">
        <v>5.48</v>
      </c>
      <c r="N2938">
        <v>5.48</v>
      </c>
      <c r="O2938">
        <v>0</v>
      </c>
      <c r="P2938">
        <v>0</v>
      </c>
      <c r="Q2938" t="s">
        <v>108</v>
      </c>
    </row>
    <row r="2939" spans="1:17">
      <c r="A2939" t="s">
        <v>93</v>
      </c>
      <c r="B2939" t="s">
        <v>106</v>
      </c>
      <c r="C2939" t="s">
        <v>56</v>
      </c>
      <c r="D2939" t="s">
        <v>2722</v>
      </c>
      <c r="E2939">
        <v>13</v>
      </c>
      <c r="F2939" t="str">
        <f>VLOOKUP(E2939,[1]LOJA!$A:$B,2,0)</f>
        <v>CEILÂNDIA</v>
      </c>
      <c r="G2939" t="s">
        <v>19</v>
      </c>
      <c r="H2939" t="s">
        <v>19</v>
      </c>
      <c r="I2939" s="1">
        <v>46037</v>
      </c>
      <c r="J2939" s="1">
        <v>46037</v>
      </c>
      <c r="K2939" s="1">
        <v>46037</v>
      </c>
      <c r="L2939">
        <v>34</v>
      </c>
      <c r="M2939">
        <v>2.8</v>
      </c>
      <c r="N2939">
        <v>2.8</v>
      </c>
      <c r="O2939">
        <v>0</v>
      </c>
      <c r="P2939">
        <v>0</v>
      </c>
      <c r="Q2939" t="s">
        <v>108</v>
      </c>
    </row>
    <row r="2940" spans="1:17">
      <c r="A2940" t="s">
        <v>93</v>
      </c>
      <c r="B2940" t="s">
        <v>106</v>
      </c>
      <c r="C2940" t="s">
        <v>56</v>
      </c>
      <c r="D2940" t="s">
        <v>2723</v>
      </c>
      <c r="E2940">
        <v>13</v>
      </c>
      <c r="F2940" t="str">
        <f>VLOOKUP(E2940,[1]LOJA!$A:$B,2,0)</f>
        <v>CEILÂNDIA</v>
      </c>
      <c r="G2940" t="s">
        <v>19</v>
      </c>
      <c r="H2940" t="s">
        <v>19</v>
      </c>
      <c r="I2940" s="1">
        <v>46037</v>
      </c>
      <c r="J2940" s="1">
        <v>46037</v>
      </c>
      <c r="K2940" s="1">
        <v>46037</v>
      </c>
      <c r="L2940">
        <v>34</v>
      </c>
      <c r="M2940">
        <v>4.38</v>
      </c>
      <c r="N2940">
        <v>4.38</v>
      </c>
      <c r="O2940">
        <v>0</v>
      </c>
      <c r="P2940">
        <v>0</v>
      </c>
      <c r="Q2940" t="s">
        <v>108</v>
      </c>
    </row>
    <row r="2941" spans="1:17">
      <c r="A2941" t="s">
        <v>93</v>
      </c>
      <c r="B2941" t="s">
        <v>106</v>
      </c>
      <c r="C2941" t="s">
        <v>56</v>
      </c>
      <c r="D2941" t="s">
        <v>2724</v>
      </c>
      <c r="E2941">
        <v>13</v>
      </c>
      <c r="F2941" t="str">
        <f>VLOOKUP(E2941,[1]LOJA!$A:$B,2,0)</f>
        <v>CEILÂNDIA</v>
      </c>
      <c r="G2941" t="s">
        <v>19</v>
      </c>
      <c r="H2941" t="s">
        <v>19</v>
      </c>
      <c r="I2941" s="1">
        <v>46037</v>
      </c>
      <c r="J2941" s="1">
        <v>46037</v>
      </c>
      <c r="K2941" s="1">
        <v>46037</v>
      </c>
      <c r="L2941">
        <v>34</v>
      </c>
      <c r="M2941">
        <v>4.38</v>
      </c>
      <c r="N2941">
        <v>4.38</v>
      </c>
      <c r="O2941">
        <v>0</v>
      </c>
      <c r="P2941">
        <v>0</v>
      </c>
      <c r="Q2941" t="s">
        <v>108</v>
      </c>
    </row>
    <row r="2942" spans="1:17">
      <c r="A2942" t="s">
        <v>93</v>
      </c>
      <c r="B2942" t="s">
        <v>106</v>
      </c>
      <c r="C2942" t="s">
        <v>56</v>
      </c>
      <c r="D2942" t="s">
        <v>2725</v>
      </c>
      <c r="E2942">
        <v>13</v>
      </c>
      <c r="F2942" t="str">
        <f>VLOOKUP(E2942,[1]LOJA!$A:$B,2,0)</f>
        <v>CEILÂNDIA</v>
      </c>
      <c r="G2942" t="s">
        <v>19</v>
      </c>
      <c r="H2942" t="s">
        <v>19</v>
      </c>
      <c r="I2942" s="1">
        <v>46037</v>
      </c>
      <c r="J2942" s="1">
        <v>46037</v>
      </c>
      <c r="K2942" s="1">
        <v>46037</v>
      </c>
      <c r="L2942">
        <v>34</v>
      </c>
      <c r="M2942">
        <v>0.7</v>
      </c>
      <c r="N2942">
        <v>0.7</v>
      </c>
      <c r="O2942">
        <v>0</v>
      </c>
      <c r="P2942">
        <v>0</v>
      </c>
      <c r="Q2942" t="s">
        <v>108</v>
      </c>
    </row>
    <row r="2943" spans="1:17">
      <c r="A2943" t="s">
        <v>93</v>
      </c>
      <c r="B2943" t="s">
        <v>106</v>
      </c>
      <c r="C2943" t="s">
        <v>56</v>
      </c>
      <c r="D2943" t="s">
        <v>2726</v>
      </c>
      <c r="E2943">
        <v>13</v>
      </c>
      <c r="F2943" t="str">
        <f>VLOOKUP(E2943,[1]LOJA!$A:$B,2,0)</f>
        <v>CEILÂNDIA</v>
      </c>
      <c r="G2943" t="s">
        <v>19</v>
      </c>
      <c r="H2943" t="s">
        <v>19</v>
      </c>
      <c r="I2943" s="1">
        <v>46037</v>
      </c>
      <c r="J2943" s="1">
        <v>46037</v>
      </c>
      <c r="K2943" s="1">
        <v>46037</v>
      </c>
      <c r="L2943">
        <v>34</v>
      </c>
      <c r="M2943">
        <v>2.1800000000000002</v>
      </c>
      <c r="N2943">
        <v>2.1800000000000002</v>
      </c>
      <c r="O2943">
        <v>0</v>
      </c>
      <c r="P2943">
        <v>0</v>
      </c>
      <c r="Q2943" t="s">
        <v>108</v>
      </c>
    </row>
    <row r="2944" spans="1:17">
      <c r="A2944" t="s">
        <v>93</v>
      </c>
      <c r="B2944" t="s">
        <v>106</v>
      </c>
      <c r="C2944" t="s">
        <v>56</v>
      </c>
      <c r="D2944" t="s">
        <v>2727</v>
      </c>
      <c r="E2944">
        <v>13</v>
      </c>
      <c r="F2944" t="str">
        <f>VLOOKUP(E2944,[1]LOJA!$A:$B,2,0)</f>
        <v>CEILÂNDIA</v>
      </c>
      <c r="G2944" t="s">
        <v>19</v>
      </c>
      <c r="H2944" t="s">
        <v>19</v>
      </c>
      <c r="I2944" s="1">
        <v>46037</v>
      </c>
      <c r="J2944" s="1">
        <v>46037</v>
      </c>
      <c r="K2944" s="1">
        <v>46037</v>
      </c>
      <c r="L2944">
        <v>34</v>
      </c>
      <c r="M2944">
        <v>6.48</v>
      </c>
      <c r="N2944">
        <v>6.48</v>
      </c>
      <c r="O2944">
        <v>0</v>
      </c>
      <c r="P2944">
        <v>0</v>
      </c>
      <c r="Q2944" t="s">
        <v>108</v>
      </c>
    </row>
    <row r="2945" spans="1:17">
      <c r="A2945" t="s">
        <v>93</v>
      </c>
      <c r="B2945" t="s">
        <v>106</v>
      </c>
      <c r="C2945" t="s">
        <v>56</v>
      </c>
      <c r="D2945" t="s">
        <v>2728</v>
      </c>
      <c r="E2945">
        <v>13</v>
      </c>
      <c r="F2945" t="str">
        <f>VLOOKUP(E2945,[1]LOJA!$A:$B,2,0)</f>
        <v>CEILÂNDIA</v>
      </c>
      <c r="G2945" t="s">
        <v>19</v>
      </c>
      <c r="H2945" t="s">
        <v>19</v>
      </c>
      <c r="I2945" s="1">
        <v>46037</v>
      </c>
      <c r="J2945" s="1">
        <v>46037</v>
      </c>
      <c r="K2945" s="1">
        <v>46037</v>
      </c>
      <c r="L2945">
        <v>34</v>
      </c>
      <c r="M2945">
        <v>0.95</v>
      </c>
      <c r="N2945">
        <v>0.95</v>
      </c>
      <c r="O2945">
        <v>0</v>
      </c>
      <c r="P2945">
        <v>0</v>
      </c>
      <c r="Q2945" t="s">
        <v>108</v>
      </c>
    </row>
    <row r="2946" spans="1:17">
      <c r="A2946" t="s">
        <v>93</v>
      </c>
      <c r="B2946" t="s">
        <v>106</v>
      </c>
      <c r="C2946" t="s">
        <v>56</v>
      </c>
      <c r="D2946" t="s">
        <v>2729</v>
      </c>
      <c r="E2946">
        <v>13</v>
      </c>
      <c r="F2946" t="str">
        <f>VLOOKUP(E2946,[1]LOJA!$A:$B,2,0)</f>
        <v>CEILÂNDIA</v>
      </c>
      <c r="G2946" t="s">
        <v>19</v>
      </c>
      <c r="H2946" t="s">
        <v>19</v>
      </c>
      <c r="I2946" s="1">
        <v>46037</v>
      </c>
      <c r="J2946" s="1">
        <v>46037</v>
      </c>
      <c r="K2946" s="1">
        <v>46037</v>
      </c>
      <c r="L2946">
        <v>34</v>
      </c>
      <c r="M2946">
        <v>0.6</v>
      </c>
      <c r="N2946">
        <v>0.6</v>
      </c>
      <c r="O2946">
        <v>0</v>
      </c>
      <c r="P2946">
        <v>0</v>
      </c>
      <c r="Q2946" t="s">
        <v>108</v>
      </c>
    </row>
    <row r="2947" spans="1:17">
      <c r="A2947" t="s">
        <v>93</v>
      </c>
      <c r="B2947" t="s">
        <v>106</v>
      </c>
      <c r="C2947" t="s">
        <v>56</v>
      </c>
      <c r="D2947" t="s">
        <v>2730</v>
      </c>
      <c r="E2947">
        <v>13</v>
      </c>
      <c r="F2947" t="str">
        <f>VLOOKUP(E2947,[1]LOJA!$A:$B,2,0)</f>
        <v>CEILÂNDIA</v>
      </c>
      <c r="G2947" t="s">
        <v>19</v>
      </c>
      <c r="H2947" t="s">
        <v>19</v>
      </c>
      <c r="I2947" s="1">
        <v>46037</v>
      </c>
      <c r="J2947" s="1">
        <v>46037</v>
      </c>
      <c r="K2947" s="1">
        <v>46037</v>
      </c>
      <c r="L2947">
        <v>34</v>
      </c>
      <c r="M2947">
        <v>1.47</v>
      </c>
      <c r="N2947">
        <v>1.47</v>
      </c>
      <c r="O2947">
        <v>0</v>
      </c>
      <c r="P2947">
        <v>0</v>
      </c>
      <c r="Q2947" t="s">
        <v>108</v>
      </c>
    </row>
    <row r="2948" spans="1:17">
      <c r="A2948" t="s">
        <v>93</v>
      </c>
      <c r="B2948" t="s">
        <v>106</v>
      </c>
      <c r="C2948" t="s">
        <v>56</v>
      </c>
      <c r="D2948" t="s">
        <v>2731</v>
      </c>
      <c r="E2948">
        <v>13</v>
      </c>
      <c r="F2948" t="str">
        <f>VLOOKUP(E2948,[1]LOJA!$A:$B,2,0)</f>
        <v>CEILÂNDIA</v>
      </c>
      <c r="G2948" t="s">
        <v>19</v>
      </c>
      <c r="H2948" t="s">
        <v>19</v>
      </c>
      <c r="I2948" s="1">
        <v>46037</v>
      </c>
      <c r="J2948" s="1">
        <v>46037</v>
      </c>
      <c r="K2948" s="1">
        <v>46037</v>
      </c>
      <c r="L2948">
        <v>34</v>
      </c>
      <c r="M2948">
        <v>1.49</v>
      </c>
      <c r="N2948">
        <v>1.49</v>
      </c>
      <c r="O2948">
        <v>0</v>
      </c>
      <c r="P2948">
        <v>0</v>
      </c>
      <c r="Q2948" t="s">
        <v>108</v>
      </c>
    </row>
    <row r="2949" spans="1:17">
      <c r="A2949" t="s">
        <v>93</v>
      </c>
      <c r="B2949" t="s">
        <v>106</v>
      </c>
      <c r="C2949" t="s">
        <v>56</v>
      </c>
      <c r="D2949" t="s">
        <v>2732</v>
      </c>
      <c r="E2949">
        <v>13</v>
      </c>
      <c r="F2949" t="str">
        <f>VLOOKUP(E2949,[1]LOJA!$A:$B,2,0)</f>
        <v>CEILÂNDIA</v>
      </c>
      <c r="G2949" t="s">
        <v>19</v>
      </c>
      <c r="H2949" t="s">
        <v>19</v>
      </c>
      <c r="I2949" s="1">
        <v>46037</v>
      </c>
      <c r="J2949" s="1">
        <v>46037</v>
      </c>
      <c r="K2949" s="1">
        <v>46037</v>
      </c>
      <c r="L2949">
        <v>34</v>
      </c>
      <c r="M2949">
        <v>2.63</v>
      </c>
      <c r="N2949">
        <v>2.63</v>
      </c>
      <c r="O2949">
        <v>0</v>
      </c>
      <c r="P2949">
        <v>0</v>
      </c>
      <c r="Q2949" t="s">
        <v>108</v>
      </c>
    </row>
    <row r="2950" spans="1:17">
      <c r="A2950" t="s">
        <v>93</v>
      </c>
      <c r="B2950" t="s">
        <v>106</v>
      </c>
      <c r="C2950" t="s">
        <v>56</v>
      </c>
      <c r="D2950" t="s">
        <v>2733</v>
      </c>
      <c r="E2950">
        <v>13</v>
      </c>
      <c r="F2950" t="str">
        <f>VLOOKUP(E2950,[1]LOJA!$A:$B,2,0)</f>
        <v>CEILÂNDIA</v>
      </c>
      <c r="G2950" t="s">
        <v>19</v>
      </c>
      <c r="H2950" t="s">
        <v>19</v>
      </c>
      <c r="I2950" s="1">
        <v>46037</v>
      </c>
      <c r="J2950" s="1">
        <v>46037</v>
      </c>
      <c r="K2950" s="1">
        <v>46037</v>
      </c>
      <c r="L2950">
        <v>34</v>
      </c>
      <c r="M2950">
        <v>6.06</v>
      </c>
      <c r="N2950">
        <v>6.06</v>
      </c>
      <c r="O2950">
        <v>0</v>
      </c>
      <c r="P2950">
        <v>0</v>
      </c>
      <c r="Q2950" t="s">
        <v>108</v>
      </c>
    </row>
    <row r="2951" spans="1:17">
      <c r="A2951" t="s">
        <v>93</v>
      </c>
      <c r="B2951" t="s">
        <v>106</v>
      </c>
      <c r="C2951" t="s">
        <v>56</v>
      </c>
      <c r="D2951" t="s">
        <v>2734</v>
      </c>
      <c r="E2951">
        <v>13</v>
      </c>
      <c r="F2951" t="str">
        <f>VLOOKUP(E2951,[1]LOJA!$A:$B,2,0)</f>
        <v>CEILÂNDIA</v>
      </c>
      <c r="G2951" t="s">
        <v>19</v>
      </c>
      <c r="H2951" t="s">
        <v>19</v>
      </c>
      <c r="I2951" s="1">
        <v>46037</v>
      </c>
      <c r="J2951" s="1">
        <v>46037</v>
      </c>
      <c r="K2951" s="1">
        <v>46037</v>
      </c>
      <c r="L2951">
        <v>34</v>
      </c>
      <c r="M2951">
        <v>2</v>
      </c>
      <c r="N2951">
        <v>2</v>
      </c>
      <c r="O2951">
        <v>0</v>
      </c>
      <c r="P2951">
        <v>0</v>
      </c>
      <c r="Q2951" t="s">
        <v>108</v>
      </c>
    </row>
    <row r="2952" spans="1:17">
      <c r="A2952" t="s">
        <v>93</v>
      </c>
      <c r="B2952" t="s">
        <v>106</v>
      </c>
      <c r="C2952" t="s">
        <v>56</v>
      </c>
      <c r="D2952" t="s">
        <v>2735</v>
      </c>
      <c r="E2952">
        <v>13</v>
      </c>
      <c r="F2952" t="str">
        <f>VLOOKUP(E2952,[1]LOJA!$A:$B,2,0)</f>
        <v>CEILÂNDIA</v>
      </c>
      <c r="G2952" t="s">
        <v>19</v>
      </c>
      <c r="H2952" t="s">
        <v>19</v>
      </c>
      <c r="I2952" s="1">
        <v>46037</v>
      </c>
      <c r="J2952" s="1">
        <v>46037</v>
      </c>
      <c r="K2952" s="1">
        <v>46037</v>
      </c>
      <c r="L2952">
        <v>34</v>
      </c>
      <c r="M2952">
        <v>0.7</v>
      </c>
      <c r="N2952">
        <v>0.7</v>
      </c>
      <c r="O2952">
        <v>0</v>
      </c>
      <c r="P2952">
        <v>0</v>
      </c>
      <c r="Q2952" t="s">
        <v>108</v>
      </c>
    </row>
    <row r="2953" spans="1:17">
      <c r="A2953" t="s">
        <v>93</v>
      </c>
      <c r="B2953" t="s">
        <v>106</v>
      </c>
      <c r="C2953" t="s">
        <v>56</v>
      </c>
      <c r="D2953" t="s">
        <v>2736</v>
      </c>
      <c r="E2953">
        <v>13</v>
      </c>
      <c r="F2953" t="str">
        <f>VLOOKUP(E2953,[1]LOJA!$A:$B,2,0)</f>
        <v>CEILÂNDIA</v>
      </c>
      <c r="G2953" t="s">
        <v>19</v>
      </c>
      <c r="H2953" t="s">
        <v>19</v>
      </c>
      <c r="I2953" s="1">
        <v>46037</v>
      </c>
      <c r="J2953" s="1">
        <v>46037</v>
      </c>
      <c r="K2953" s="1">
        <v>46037</v>
      </c>
      <c r="L2953">
        <v>34</v>
      </c>
      <c r="M2953">
        <v>1.45</v>
      </c>
      <c r="N2953">
        <v>1.45</v>
      </c>
      <c r="O2953">
        <v>0</v>
      </c>
      <c r="P2953">
        <v>0</v>
      </c>
      <c r="Q2953" t="s">
        <v>108</v>
      </c>
    </row>
    <row r="2954" spans="1:17">
      <c r="A2954" t="s">
        <v>93</v>
      </c>
      <c r="B2954" t="s">
        <v>106</v>
      </c>
      <c r="C2954" t="s">
        <v>56</v>
      </c>
      <c r="D2954" t="s">
        <v>2737</v>
      </c>
      <c r="E2954">
        <v>13</v>
      </c>
      <c r="F2954" t="str">
        <f>VLOOKUP(E2954,[1]LOJA!$A:$B,2,0)</f>
        <v>CEILÂNDIA</v>
      </c>
      <c r="G2954" t="s">
        <v>19</v>
      </c>
      <c r="H2954" t="s">
        <v>19</v>
      </c>
      <c r="I2954" s="1">
        <v>46037</v>
      </c>
      <c r="J2954" s="1">
        <v>46037</v>
      </c>
      <c r="K2954" s="1">
        <v>46037</v>
      </c>
      <c r="L2954">
        <v>34</v>
      </c>
      <c r="M2954">
        <v>2.68</v>
      </c>
      <c r="N2954">
        <v>2.68</v>
      </c>
      <c r="O2954">
        <v>0</v>
      </c>
      <c r="P2954">
        <v>0</v>
      </c>
      <c r="Q2954" t="s">
        <v>108</v>
      </c>
    </row>
    <row r="2955" spans="1:17">
      <c r="A2955" t="s">
        <v>93</v>
      </c>
      <c r="B2955" t="s">
        <v>106</v>
      </c>
      <c r="C2955" t="s">
        <v>56</v>
      </c>
      <c r="D2955" t="s">
        <v>2738</v>
      </c>
      <c r="E2955">
        <v>13</v>
      </c>
      <c r="F2955" t="str">
        <f>VLOOKUP(E2955,[1]LOJA!$A:$B,2,0)</f>
        <v>CEILÂNDIA</v>
      </c>
      <c r="G2955" t="s">
        <v>19</v>
      </c>
      <c r="H2955" t="s">
        <v>19</v>
      </c>
      <c r="I2955" s="1">
        <v>46037</v>
      </c>
      <c r="J2955" s="1">
        <v>46037</v>
      </c>
      <c r="K2955" s="1">
        <v>46037</v>
      </c>
      <c r="L2955">
        <v>34</v>
      </c>
      <c r="M2955">
        <v>0.2</v>
      </c>
      <c r="N2955">
        <v>0.2</v>
      </c>
      <c r="O2955">
        <v>0</v>
      </c>
      <c r="P2955">
        <v>0</v>
      </c>
      <c r="Q2955" t="s">
        <v>108</v>
      </c>
    </row>
    <row r="2956" spans="1:17">
      <c r="A2956" t="s">
        <v>93</v>
      </c>
      <c r="B2956" t="s">
        <v>106</v>
      </c>
      <c r="C2956" t="s">
        <v>56</v>
      </c>
      <c r="D2956" t="s">
        <v>2739</v>
      </c>
      <c r="E2956">
        <v>13</v>
      </c>
      <c r="F2956" t="str">
        <f>VLOOKUP(E2956,[1]LOJA!$A:$B,2,0)</f>
        <v>CEILÂNDIA</v>
      </c>
      <c r="G2956" t="s">
        <v>19</v>
      </c>
      <c r="H2956" t="s">
        <v>19</v>
      </c>
      <c r="I2956" s="1">
        <v>46037</v>
      </c>
      <c r="J2956" s="1">
        <v>46037</v>
      </c>
      <c r="K2956" s="1">
        <v>46037</v>
      </c>
      <c r="L2956">
        <v>34</v>
      </c>
      <c r="M2956">
        <v>0.27</v>
      </c>
      <c r="N2956">
        <v>0.27</v>
      </c>
      <c r="O2956">
        <v>0</v>
      </c>
      <c r="P2956">
        <v>0</v>
      </c>
      <c r="Q2956" t="s">
        <v>108</v>
      </c>
    </row>
    <row r="2957" spans="1:17">
      <c r="A2957" t="s">
        <v>93</v>
      </c>
      <c r="B2957" t="s">
        <v>106</v>
      </c>
      <c r="C2957" t="s">
        <v>56</v>
      </c>
      <c r="D2957" t="s">
        <v>2740</v>
      </c>
      <c r="E2957">
        <v>13</v>
      </c>
      <c r="F2957" t="str">
        <f>VLOOKUP(E2957,[1]LOJA!$A:$B,2,0)</f>
        <v>CEILÂNDIA</v>
      </c>
      <c r="G2957" t="s">
        <v>19</v>
      </c>
      <c r="H2957" t="s">
        <v>19</v>
      </c>
      <c r="I2957" s="1">
        <v>46037</v>
      </c>
      <c r="J2957" s="1">
        <v>46037</v>
      </c>
      <c r="K2957" s="1">
        <v>46037</v>
      </c>
      <c r="L2957">
        <v>34</v>
      </c>
      <c r="M2957">
        <v>2.31</v>
      </c>
      <c r="N2957">
        <v>2.31</v>
      </c>
      <c r="O2957">
        <v>0</v>
      </c>
      <c r="P2957">
        <v>0</v>
      </c>
      <c r="Q2957" t="s">
        <v>108</v>
      </c>
    </row>
    <row r="2958" spans="1:17">
      <c r="A2958" t="s">
        <v>93</v>
      </c>
      <c r="B2958" t="s">
        <v>106</v>
      </c>
      <c r="C2958" t="s">
        <v>56</v>
      </c>
      <c r="D2958" t="s">
        <v>2741</v>
      </c>
      <c r="E2958">
        <v>13</v>
      </c>
      <c r="F2958" t="str">
        <f>VLOOKUP(E2958,[1]LOJA!$A:$B,2,0)</f>
        <v>CEILÂNDIA</v>
      </c>
      <c r="G2958" t="s">
        <v>19</v>
      </c>
      <c r="H2958" t="s">
        <v>19</v>
      </c>
      <c r="I2958" s="1">
        <v>46037</v>
      </c>
      <c r="J2958" s="1">
        <v>46037</v>
      </c>
      <c r="K2958" s="1">
        <v>46037</v>
      </c>
      <c r="L2958">
        <v>34</v>
      </c>
      <c r="M2958">
        <v>1.23</v>
      </c>
      <c r="N2958">
        <v>1.23</v>
      </c>
      <c r="O2958">
        <v>0</v>
      </c>
      <c r="P2958">
        <v>0</v>
      </c>
      <c r="Q2958" t="s">
        <v>108</v>
      </c>
    </row>
    <row r="2959" spans="1:17">
      <c r="A2959" t="s">
        <v>93</v>
      </c>
      <c r="B2959" t="s">
        <v>106</v>
      </c>
      <c r="C2959" t="s">
        <v>56</v>
      </c>
      <c r="D2959" t="s">
        <v>2742</v>
      </c>
      <c r="E2959">
        <v>13</v>
      </c>
      <c r="F2959" t="str">
        <f>VLOOKUP(E2959,[1]LOJA!$A:$B,2,0)</f>
        <v>CEILÂNDIA</v>
      </c>
      <c r="G2959" t="s">
        <v>19</v>
      </c>
      <c r="H2959" t="s">
        <v>19</v>
      </c>
      <c r="I2959" s="1">
        <v>46037</v>
      </c>
      <c r="J2959" s="1">
        <v>46037</v>
      </c>
      <c r="K2959" s="1">
        <v>46037</v>
      </c>
      <c r="L2959">
        <v>34</v>
      </c>
      <c r="M2959">
        <v>0.87</v>
      </c>
      <c r="N2959">
        <v>0.87</v>
      </c>
      <c r="O2959">
        <v>0</v>
      </c>
      <c r="P2959">
        <v>0</v>
      </c>
      <c r="Q2959" t="s">
        <v>108</v>
      </c>
    </row>
    <row r="2960" spans="1:17">
      <c r="A2960" t="s">
        <v>93</v>
      </c>
      <c r="B2960" t="s">
        <v>106</v>
      </c>
      <c r="C2960" t="s">
        <v>56</v>
      </c>
      <c r="D2960" t="s">
        <v>2743</v>
      </c>
      <c r="E2960">
        <v>13</v>
      </c>
      <c r="F2960" t="str">
        <f>VLOOKUP(E2960,[1]LOJA!$A:$B,2,0)</f>
        <v>CEILÂNDIA</v>
      </c>
      <c r="G2960" t="s">
        <v>19</v>
      </c>
      <c r="H2960" t="s">
        <v>19</v>
      </c>
      <c r="I2960" s="1">
        <v>46037</v>
      </c>
      <c r="J2960" s="1">
        <v>46037</v>
      </c>
      <c r="K2960" s="1">
        <v>46037</v>
      </c>
      <c r="L2960">
        <v>34</v>
      </c>
      <c r="M2960">
        <v>2.35</v>
      </c>
      <c r="N2960">
        <v>2.35</v>
      </c>
      <c r="O2960">
        <v>0</v>
      </c>
      <c r="P2960">
        <v>0</v>
      </c>
      <c r="Q2960" t="s">
        <v>108</v>
      </c>
    </row>
    <row r="2961" spans="1:17">
      <c r="A2961" t="s">
        <v>93</v>
      </c>
      <c r="B2961" t="s">
        <v>106</v>
      </c>
      <c r="C2961" t="s">
        <v>56</v>
      </c>
      <c r="D2961" t="s">
        <v>2744</v>
      </c>
      <c r="E2961">
        <v>13</v>
      </c>
      <c r="F2961" t="str">
        <f>VLOOKUP(E2961,[1]LOJA!$A:$B,2,0)</f>
        <v>CEILÂNDIA</v>
      </c>
      <c r="G2961" t="s">
        <v>19</v>
      </c>
      <c r="H2961" t="s">
        <v>19</v>
      </c>
      <c r="I2961" s="1">
        <v>46037</v>
      </c>
      <c r="J2961" s="1">
        <v>46037</v>
      </c>
      <c r="K2961" s="1">
        <v>46037</v>
      </c>
      <c r="L2961">
        <v>34</v>
      </c>
      <c r="M2961">
        <v>2.79</v>
      </c>
      <c r="N2961">
        <v>2.79</v>
      </c>
      <c r="O2961">
        <v>0</v>
      </c>
      <c r="P2961">
        <v>0</v>
      </c>
      <c r="Q2961" t="s">
        <v>108</v>
      </c>
    </row>
    <row r="2962" spans="1:17">
      <c r="A2962" t="s">
        <v>93</v>
      </c>
      <c r="B2962" t="s">
        <v>106</v>
      </c>
      <c r="C2962" t="s">
        <v>56</v>
      </c>
      <c r="D2962" t="s">
        <v>2745</v>
      </c>
      <c r="E2962">
        <v>13</v>
      </c>
      <c r="F2962" t="str">
        <f>VLOOKUP(E2962,[1]LOJA!$A:$B,2,0)</f>
        <v>CEILÂNDIA</v>
      </c>
      <c r="G2962" t="s">
        <v>19</v>
      </c>
      <c r="H2962" t="s">
        <v>19</v>
      </c>
      <c r="I2962" s="1">
        <v>46037</v>
      </c>
      <c r="J2962" s="1">
        <v>46037</v>
      </c>
      <c r="K2962" s="1">
        <v>46037</v>
      </c>
      <c r="L2962">
        <v>34</v>
      </c>
      <c r="M2962">
        <v>0.1</v>
      </c>
      <c r="N2962">
        <v>0.1</v>
      </c>
      <c r="O2962">
        <v>0</v>
      </c>
      <c r="P2962">
        <v>0</v>
      </c>
      <c r="Q2962" t="s">
        <v>108</v>
      </c>
    </row>
    <row r="2963" spans="1:17">
      <c r="A2963" t="s">
        <v>93</v>
      </c>
      <c r="B2963" t="s">
        <v>106</v>
      </c>
      <c r="C2963" t="s">
        <v>56</v>
      </c>
      <c r="D2963" t="s">
        <v>2746</v>
      </c>
      <c r="E2963">
        <v>13</v>
      </c>
      <c r="F2963" t="str">
        <f>VLOOKUP(E2963,[1]LOJA!$A:$B,2,0)</f>
        <v>CEILÂNDIA</v>
      </c>
      <c r="G2963" t="s">
        <v>19</v>
      </c>
      <c r="H2963" t="s">
        <v>19</v>
      </c>
      <c r="I2963" s="1">
        <v>46037</v>
      </c>
      <c r="J2963" s="1">
        <v>46037</v>
      </c>
      <c r="K2963" s="1">
        <v>46037</v>
      </c>
      <c r="L2963">
        <v>34</v>
      </c>
      <c r="M2963">
        <v>0.19</v>
      </c>
      <c r="N2963">
        <v>0.19</v>
      </c>
      <c r="O2963">
        <v>0</v>
      </c>
      <c r="P2963">
        <v>0</v>
      </c>
      <c r="Q2963" t="s">
        <v>108</v>
      </c>
    </row>
    <row r="2964" spans="1:17">
      <c r="A2964" t="s">
        <v>93</v>
      </c>
      <c r="B2964" t="s">
        <v>106</v>
      </c>
      <c r="C2964" t="s">
        <v>56</v>
      </c>
      <c r="D2964" t="s">
        <v>2747</v>
      </c>
      <c r="E2964">
        <v>13</v>
      </c>
      <c r="F2964" t="str">
        <f>VLOOKUP(E2964,[1]LOJA!$A:$B,2,0)</f>
        <v>CEILÂNDIA</v>
      </c>
      <c r="G2964" t="s">
        <v>19</v>
      </c>
      <c r="H2964" t="s">
        <v>19</v>
      </c>
      <c r="I2964" s="1">
        <v>46037</v>
      </c>
      <c r="J2964" s="1">
        <v>46037</v>
      </c>
      <c r="K2964" s="1">
        <v>46037</v>
      </c>
      <c r="L2964">
        <v>34</v>
      </c>
      <c r="M2964">
        <v>7.0000000000000007E-2</v>
      </c>
      <c r="N2964">
        <v>7.0000000000000007E-2</v>
      </c>
      <c r="O2964">
        <v>0</v>
      </c>
      <c r="P2964">
        <v>0</v>
      </c>
      <c r="Q2964" t="s">
        <v>108</v>
      </c>
    </row>
    <row r="2965" spans="1:17">
      <c r="A2965" t="s">
        <v>93</v>
      </c>
      <c r="B2965" t="s">
        <v>106</v>
      </c>
      <c r="C2965" t="s">
        <v>56</v>
      </c>
      <c r="D2965" t="s">
        <v>2748</v>
      </c>
      <c r="E2965">
        <v>13</v>
      </c>
      <c r="F2965" t="str">
        <f>VLOOKUP(E2965,[1]LOJA!$A:$B,2,0)</f>
        <v>CEILÂNDIA</v>
      </c>
      <c r="G2965" t="s">
        <v>19</v>
      </c>
      <c r="H2965" t="s">
        <v>19</v>
      </c>
      <c r="I2965" s="1">
        <v>46037</v>
      </c>
      <c r="J2965" s="1">
        <v>46037</v>
      </c>
      <c r="K2965" s="1">
        <v>46037</v>
      </c>
      <c r="L2965">
        <v>34</v>
      </c>
      <c r="M2965">
        <v>0.33</v>
      </c>
      <c r="N2965">
        <v>0.33</v>
      </c>
      <c r="O2965">
        <v>0</v>
      </c>
      <c r="P2965">
        <v>0</v>
      </c>
      <c r="Q2965" t="s">
        <v>108</v>
      </c>
    </row>
    <row r="2966" spans="1:17">
      <c r="A2966" t="s">
        <v>93</v>
      </c>
      <c r="B2966" t="s">
        <v>106</v>
      </c>
      <c r="C2966" t="s">
        <v>56</v>
      </c>
      <c r="D2966" t="s">
        <v>2749</v>
      </c>
      <c r="E2966">
        <v>13</v>
      </c>
      <c r="F2966" t="str">
        <f>VLOOKUP(E2966,[1]LOJA!$A:$B,2,0)</f>
        <v>CEILÂNDIA</v>
      </c>
      <c r="G2966" t="s">
        <v>19</v>
      </c>
      <c r="H2966" t="s">
        <v>19</v>
      </c>
      <c r="I2966" s="1">
        <v>46038</v>
      </c>
      <c r="J2966" s="1">
        <v>46038</v>
      </c>
      <c r="K2966" s="1">
        <v>46038</v>
      </c>
      <c r="L2966">
        <v>34</v>
      </c>
      <c r="M2966">
        <v>18.25</v>
      </c>
      <c r="N2966">
        <v>18.25</v>
      </c>
      <c r="O2966">
        <v>0</v>
      </c>
      <c r="P2966">
        <v>0</v>
      </c>
      <c r="Q2966" t="s">
        <v>108</v>
      </c>
    </row>
    <row r="2967" spans="1:17">
      <c r="A2967" t="s">
        <v>93</v>
      </c>
      <c r="B2967" t="s">
        <v>106</v>
      </c>
      <c r="C2967" t="s">
        <v>56</v>
      </c>
      <c r="D2967" t="s">
        <v>2750</v>
      </c>
      <c r="E2967">
        <v>13</v>
      </c>
      <c r="F2967" t="str">
        <f>VLOOKUP(E2967,[1]LOJA!$A:$B,2,0)</f>
        <v>CEILÂNDIA</v>
      </c>
      <c r="G2967" t="s">
        <v>19</v>
      </c>
      <c r="H2967" t="s">
        <v>19</v>
      </c>
      <c r="I2967" s="1">
        <v>46038</v>
      </c>
      <c r="J2967" s="1">
        <v>46038</v>
      </c>
      <c r="K2967" s="1">
        <v>46038</v>
      </c>
      <c r="L2967">
        <v>34</v>
      </c>
      <c r="M2967">
        <v>6.57</v>
      </c>
      <c r="N2967">
        <v>6.57</v>
      </c>
      <c r="O2967">
        <v>0</v>
      </c>
      <c r="P2967">
        <v>0</v>
      </c>
      <c r="Q2967" t="s">
        <v>108</v>
      </c>
    </row>
    <row r="2968" spans="1:17">
      <c r="A2968" t="s">
        <v>93</v>
      </c>
      <c r="B2968" t="s">
        <v>106</v>
      </c>
      <c r="C2968" t="s">
        <v>56</v>
      </c>
      <c r="D2968" t="s">
        <v>2751</v>
      </c>
      <c r="E2968">
        <v>13</v>
      </c>
      <c r="F2968" t="str">
        <f>VLOOKUP(E2968,[1]LOJA!$A:$B,2,0)</f>
        <v>CEILÂNDIA</v>
      </c>
      <c r="G2968" t="s">
        <v>19</v>
      </c>
      <c r="H2968" t="s">
        <v>19</v>
      </c>
      <c r="I2968" s="1">
        <v>46038</v>
      </c>
      <c r="J2968" s="1">
        <v>46038</v>
      </c>
      <c r="K2968" s="1">
        <v>46038</v>
      </c>
      <c r="L2968">
        <v>34</v>
      </c>
      <c r="M2968">
        <v>4.88</v>
      </c>
      <c r="N2968">
        <v>4.88</v>
      </c>
      <c r="O2968">
        <v>0</v>
      </c>
      <c r="P2968">
        <v>0</v>
      </c>
      <c r="Q2968" t="s">
        <v>108</v>
      </c>
    </row>
    <row r="2969" spans="1:17">
      <c r="A2969" t="s">
        <v>93</v>
      </c>
      <c r="B2969" t="s">
        <v>106</v>
      </c>
      <c r="C2969" t="s">
        <v>56</v>
      </c>
      <c r="D2969" t="s">
        <v>2752</v>
      </c>
      <c r="E2969">
        <v>13</v>
      </c>
      <c r="F2969" t="str">
        <f>VLOOKUP(E2969,[1]LOJA!$A:$B,2,0)</f>
        <v>CEILÂNDIA</v>
      </c>
      <c r="G2969" t="s">
        <v>19</v>
      </c>
      <c r="H2969" t="s">
        <v>19</v>
      </c>
      <c r="I2969" s="1">
        <v>46038</v>
      </c>
      <c r="J2969" s="1">
        <v>46038</v>
      </c>
      <c r="K2969" s="1">
        <v>46038</v>
      </c>
      <c r="L2969">
        <v>34</v>
      </c>
      <c r="M2969">
        <v>11.02</v>
      </c>
      <c r="N2969">
        <v>11.02</v>
      </c>
      <c r="O2969">
        <v>0</v>
      </c>
      <c r="P2969">
        <v>0</v>
      </c>
      <c r="Q2969" t="s">
        <v>108</v>
      </c>
    </row>
    <row r="2970" spans="1:17">
      <c r="A2970" t="s">
        <v>93</v>
      </c>
      <c r="B2970" t="s">
        <v>106</v>
      </c>
      <c r="C2970" t="s">
        <v>56</v>
      </c>
      <c r="D2970" t="s">
        <v>2753</v>
      </c>
      <c r="E2970">
        <v>13</v>
      </c>
      <c r="F2970" t="str">
        <f>VLOOKUP(E2970,[1]LOJA!$A:$B,2,0)</f>
        <v>CEILÂNDIA</v>
      </c>
      <c r="G2970" t="s">
        <v>19</v>
      </c>
      <c r="H2970" t="s">
        <v>19</v>
      </c>
      <c r="I2970" s="1">
        <v>46038</v>
      </c>
      <c r="J2970" s="1">
        <v>46038</v>
      </c>
      <c r="K2970" s="1">
        <v>46038</v>
      </c>
      <c r="L2970">
        <v>34</v>
      </c>
      <c r="M2970">
        <v>4.01</v>
      </c>
      <c r="N2970">
        <v>4.01</v>
      </c>
      <c r="O2970">
        <v>0</v>
      </c>
      <c r="P2970">
        <v>0</v>
      </c>
      <c r="Q2970" t="s">
        <v>108</v>
      </c>
    </row>
    <row r="2971" spans="1:17">
      <c r="A2971" t="s">
        <v>93</v>
      </c>
      <c r="B2971" t="s">
        <v>106</v>
      </c>
      <c r="C2971" t="s">
        <v>56</v>
      </c>
      <c r="D2971" t="s">
        <v>2754</v>
      </c>
      <c r="E2971">
        <v>13</v>
      </c>
      <c r="F2971" t="str">
        <f>VLOOKUP(E2971,[1]LOJA!$A:$B,2,0)</f>
        <v>CEILÂNDIA</v>
      </c>
      <c r="G2971" t="s">
        <v>19</v>
      </c>
      <c r="H2971" t="s">
        <v>19</v>
      </c>
      <c r="I2971" s="1">
        <v>46038</v>
      </c>
      <c r="J2971" s="1">
        <v>46038</v>
      </c>
      <c r="K2971" s="1">
        <v>46038</v>
      </c>
      <c r="L2971">
        <v>34</v>
      </c>
      <c r="M2971">
        <v>0.95</v>
      </c>
      <c r="N2971">
        <v>0.95</v>
      </c>
      <c r="O2971">
        <v>0</v>
      </c>
      <c r="P2971">
        <v>0</v>
      </c>
      <c r="Q2971" t="s">
        <v>108</v>
      </c>
    </row>
    <row r="2972" spans="1:17">
      <c r="A2972" t="s">
        <v>93</v>
      </c>
      <c r="B2972" t="s">
        <v>106</v>
      </c>
      <c r="C2972" t="s">
        <v>56</v>
      </c>
      <c r="D2972" t="s">
        <v>2755</v>
      </c>
      <c r="E2972">
        <v>13</v>
      </c>
      <c r="F2972" t="str">
        <f>VLOOKUP(E2972,[1]LOJA!$A:$B,2,0)</f>
        <v>CEILÂNDIA</v>
      </c>
      <c r="G2972" t="s">
        <v>19</v>
      </c>
      <c r="H2972" t="s">
        <v>19</v>
      </c>
      <c r="I2972" s="1">
        <v>46038</v>
      </c>
      <c r="J2972" s="1">
        <v>46038</v>
      </c>
      <c r="K2972" s="1">
        <v>46038</v>
      </c>
      <c r="L2972">
        <v>34</v>
      </c>
      <c r="M2972">
        <v>1.05</v>
      </c>
      <c r="N2972">
        <v>1.05</v>
      </c>
      <c r="O2972">
        <v>0</v>
      </c>
      <c r="P2972">
        <v>0</v>
      </c>
      <c r="Q2972" t="s">
        <v>108</v>
      </c>
    </row>
    <row r="2973" spans="1:17">
      <c r="A2973" t="s">
        <v>93</v>
      </c>
      <c r="B2973" t="s">
        <v>106</v>
      </c>
      <c r="C2973" t="s">
        <v>56</v>
      </c>
      <c r="D2973" t="s">
        <v>2756</v>
      </c>
      <c r="E2973">
        <v>13</v>
      </c>
      <c r="F2973" t="str">
        <f>VLOOKUP(E2973,[1]LOJA!$A:$B,2,0)</f>
        <v>CEILÂNDIA</v>
      </c>
      <c r="G2973" t="s">
        <v>19</v>
      </c>
      <c r="H2973" t="s">
        <v>19</v>
      </c>
      <c r="I2973" s="1">
        <v>46038</v>
      </c>
      <c r="J2973" s="1">
        <v>46038</v>
      </c>
      <c r="K2973" s="1">
        <v>46038</v>
      </c>
      <c r="L2973">
        <v>34</v>
      </c>
      <c r="M2973">
        <v>0.61</v>
      </c>
      <c r="N2973">
        <v>0.61</v>
      </c>
      <c r="O2973">
        <v>0</v>
      </c>
      <c r="P2973">
        <v>0</v>
      </c>
      <c r="Q2973" t="s">
        <v>108</v>
      </c>
    </row>
    <row r="2974" spans="1:17">
      <c r="A2974" t="s">
        <v>93</v>
      </c>
      <c r="B2974" t="s">
        <v>106</v>
      </c>
      <c r="C2974" t="s">
        <v>56</v>
      </c>
      <c r="D2974" t="s">
        <v>2757</v>
      </c>
      <c r="E2974">
        <v>13</v>
      </c>
      <c r="F2974" t="str">
        <f>VLOOKUP(E2974,[1]LOJA!$A:$B,2,0)</f>
        <v>CEILÂNDIA</v>
      </c>
      <c r="G2974" t="s">
        <v>19</v>
      </c>
      <c r="H2974" t="s">
        <v>19</v>
      </c>
      <c r="I2974" s="1">
        <v>46038</v>
      </c>
      <c r="J2974" s="1">
        <v>46038</v>
      </c>
      <c r="K2974" s="1">
        <v>46038</v>
      </c>
      <c r="L2974">
        <v>34</v>
      </c>
      <c r="M2974">
        <v>5.68</v>
      </c>
      <c r="N2974">
        <v>5.68</v>
      </c>
      <c r="O2974">
        <v>0</v>
      </c>
      <c r="P2974">
        <v>0</v>
      </c>
      <c r="Q2974" t="s">
        <v>108</v>
      </c>
    </row>
    <row r="2975" spans="1:17">
      <c r="A2975" t="s">
        <v>93</v>
      </c>
      <c r="B2975" t="s">
        <v>106</v>
      </c>
      <c r="C2975" t="s">
        <v>56</v>
      </c>
      <c r="D2975" t="s">
        <v>2758</v>
      </c>
      <c r="E2975">
        <v>13</v>
      </c>
      <c r="F2975" t="str">
        <f>VLOOKUP(E2975,[1]LOJA!$A:$B,2,0)</f>
        <v>CEILÂNDIA</v>
      </c>
      <c r="G2975" t="s">
        <v>19</v>
      </c>
      <c r="H2975" t="s">
        <v>19</v>
      </c>
      <c r="I2975" s="1">
        <v>46038</v>
      </c>
      <c r="J2975" s="1">
        <v>46038</v>
      </c>
      <c r="K2975" s="1">
        <v>46038</v>
      </c>
      <c r="L2975">
        <v>34</v>
      </c>
      <c r="M2975">
        <v>1.93</v>
      </c>
      <c r="N2975">
        <v>1.93</v>
      </c>
      <c r="O2975">
        <v>0</v>
      </c>
      <c r="P2975">
        <v>0</v>
      </c>
      <c r="Q2975" t="s">
        <v>108</v>
      </c>
    </row>
    <row r="2976" spans="1:17">
      <c r="A2976" t="s">
        <v>93</v>
      </c>
      <c r="B2976" t="s">
        <v>106</v>
      </c>
      <c r="C2976" t="s">
        <v>56</v>
      </c>
      <c r="D2976" t="s">
        <v>2759</v>
      </c>
      <c r="E2976">
        <v>13</v>
      </c>
      <c r="F2976" t="str">
        <f>VLOOKUP(E2976,[1]LOJA!$A:$B,2,0)</f>
        <v>CEILÂNDIA</v>
      </c>
      <c r="G2976" t="s">
        <v>19</v>
      </c>
      <c r="H2976" t="s">
        <v>19</v>
      </c>
      <c r="I2976" s="1">
        <v>46038</v>
      </c>
      <c r="J2976" s="1">
        <v>46038</v>
      </c>
      <c r="K2976" s="1">
        <v>46038</v>
      </c>
      <c r="L2976">
        <v>34</v>
      </c>
      <c r="M2976">
        <v>1.88</v>
      </c>
      <c r="N2976">
        <v>1.88</v>
      </c>
      <c r="O2976">
        <v>0</v>
      </c>
      <c r="P2976">
        <v>0</v>
      </c>
      <c r="Q2976" t="s">
        <v>108</v>
      </c>
    </row>
    <row r="2977" spans="1:17">
      <c r="A2977" t="s">
        <v>93</v>
      </c>
      <c r="B2977" t="s">
        <v>106</v>
      </c>
      <c r="C2977" t="s">
        <v>56</v>
      </c>
      <c r="D2977" t="s">
        <v>2760</v>
      </c>
      <c r="E2977">
        <v>13</v>
      </c>
      <c r="F2977" t="str">
        <f>VLOOKUP(E2977,[1]LOJA!$A:$B,2,0)</f>
        <v>CEILÂNDIA</v>
      </c>
      <c r="G2977" t="s">
        <v>19</v>
      </c>
      <c r="H2977" t="s">
        <v>19</v>
      </c>
      <c r="I2977" s="1">
        <v>46038</v>
      </c>
      <c r="J2977" s="1">
        <v>46038</v>
      </c>
      <c r="K2977" s="1">
        <v>46038</v>
      </c>
      <c r="L2977">
        <v>34</v>
      </c>
      <c r="M2977">
        <v>4.49</v>
      </c>
      <c r="N2977">
        <v>4.49</v>
      </c>
      <c r="O2977">
        <v>0</v>
      </c>
      <c r="P2977">
        <v>0</v>
      </c>
      <c r="Q2977" t="s">
        <v>108</v>
      </c>
    </row>
    <row r="2978" spans="1:17">
      <c r="A2978" t="s">
        <v>93</v>
      </c>
      <c r="B2978" t="s">
        <v>106</v>
      </c>
      <c r="C2978" t="s">
        <v>56</v>
      </c>
      <c r="D2978" t="s">
        <v>2761</v>
      </c>
      <c r="E2978">
        <v>13</v>
      </c>
      <c r="F2978" t="str">
        <f>VLOOKUP(E2978,[1]LOJA!$A:$B,2,0)</f>
        <v>CEILÂNDIA</v>
      </c>
      <c r="G2978" t="s">
        <v>19</v>
      </c>
      <c r="H2978" t="s">
        <v>19</v>
      </c>
      <c r="I2978" s="1">
        <v>46038</v>
      </c>
      <c r="J2978" s="1">
        <v>46038</v>
      </c>
      <c r="K2978" s="1">
        <v>46038</v>
      </c>
      <c r="L2978">
        <v>34</v>
      </c>
      <c r="M2978">
        <v>0.1</v>
      </c>
      <c r="N2978">
        <v>0.1</v>
      </c>
      <c r="O2978">
        <v>0</v>
      </c>
      <c r="P2978">
        <v>0</v>
      </c>
      <c r="Q2978" t="s">
        <v>108</v>
      </c>
    </row>
    <row r="2979" spans="1:17">
      <c r="A2979" t="s">
        <v>93</v>
      </c>
      <c r="B2979" t="s">
        <v>106</v>
      </c>
      <c r="C2979" t="s">
        <v>56</v>
      </c>
      <c r="D2979" t="s">
        <v>2762</v>
      </c>
      <c r="E2979">
        <v>13</v>
      </c>
      <c r="F2979" t="str">
        <f>VLOOKUP(E2979,[1]LOJA!$A:$B,2,0)</f>
        <v>CEILÂNDIA</v>
      </c>
      <c r="G2979" t="s">
        <v>19</v>
      </c>
      <c r="H2979" t="s">
        <v>19</v>
      </c>
      <c r="I2979" s="1">
        <v>46038</v>
      </c>
      <c r="J2979" s="1">
        <v>46038</v>
      </c>
      <c r="K2979" s="1">
        <v>46038</v>
      </c>
      <c r="L2979">
        <v>34</v>
      </c>
      <c r="M2979">
        <v>1.04</v>
      </c>
      <c r="N2979">
        <v>1.04</v>
      </c>
      <c r="O2979">
        <v>0</v>
      </c>
      <c r="P2979">
        <v>0</v>
      </c>
      <c r="Q2979" t="s">
        <v>108</v>
      </c>
    </row>
    <row r="2980" spans="1:17">
      <c r="A2980" t="s">
        <v>93</v>
      </c>
      <c r="B2980" t="s">
        <v>106</v>
      </c>
      <c r="C2980" t="s">
        <v>56</v>
      </c>
      <c r="D2980" t="s">
        <v>2763</v>
      </c>
      <c r="E2980">
        <v>13</v>
      </c>
      <c r="F2980" t="str">
        <f>VLOOKUP(E2980,[1]LOJA!$A:$B,2,0)</f>
        <v>CEILÂNDIA</v>
      </c>
      <c r="G2980" t="s">
        <v>19</v>
      </c>
      <c r="H2980" t="s">
        <v>19</v>
      </c>
      <c r="I2980" s="1">
        <v>46038</v>
      </c>
      <c r="J2980" s="1">
        <v>46038</v>
      </c>
      <c r="K2980" s="1">
        <v>46038</v>
      </c>
      <c r="L2980">
        <v>34</v>
      </c>
      <c r="M2980">
        <v>0.03</v>
      </c>
      <c r="N2980">
        <v>0.03</v>
      </c>
      <c r="O2980">
        <v>0</v>
      </c>
      <c r="P2980">
        <v>0</v>
      </c>
      <c r="Q2980" t="s">
        <v>108</v>
      </c>
    </row>
    <row r="2981" spans="1:17">
      <c r="A2981" t="s">
        <v>93</v>
      </c>
      <c r="B2981" t="s">
        <v>106</v>
      </c>
      <c r="C2981" t="s">
        <v>56</v>
      </c>
      <c r="D2981" t="s">
        <v>2764</v>
      </c>
      <c r="E2981">
        <v>13</v>
      </c>
      <c r="F2981" t="str">
        <f>VLOOKUP(E2981,[1]LOJA!$A:$B,2,0)</f>
        <v>CEILÂNDIA</v>
      </c>
      <c r="G2981" t="s">
        <v>19</v>
      </c>
      <c r="H2981" t="s">
        <v>19</v>
      </c>
      <c r="I2981" s="1">
        <v>46038</v>
      </c>
      <c r="J2981" s="1">
        <v>46038</v>
      </c>
      <c r="K2981" s="1">
        <v>46038</v>
      </c>
      <c r="L2981">
        <v>34</v>
      </c>
      <c r="M2981">
        <v>0.19</v>
      </c>
      <c r="N2981">
        <v>0.19</v>
      </c>
      <c r="O2981">
        <v>0</v>
      </c>
      <c r="P2981">
        <v>0</v>
      </c>
      <c r="Q2981" t="s">
        <v>108</v>
      </c>
    </row>
    <row r="2982" spans="1:17">
      <c r="A2982" t="s">
        <v>93</v>
      </c>
      <c r="B2982" t="s">
        <v>106</v>
      </c>
      <c r="C2982" t="s">
        <v>56</v>
      </c>
      <c r="D2982" t="s">
        <v>2765</v>
      </c>
      <c r="E2982">
        <v>13</v>
      </c>
      <c r="F2982" t="str">
        <f>VLOOKUP(E2982,[1]LOJA!$A:$B,2,0)</f>
        <v>CEILÂNDIA</v>
      </c>
      <c r="G2982" t="s">
        <v>19</v>
      </c>
      <c r="H2982" t="s">
        <v>19</v>
      </c>
      <c r="I2982" s="1">
        <v>46038</v>
      </c>
      <c r="J2982" s="1">
        <v>46038</v>
      </c>
      <c r="K2982" s="1">
        <v>46038</v>
      </c>
      <c r="L2982">
        <v>34</v>
      </c>
      <c r="M2982">
        <v>0.43</v>
      </c>
      <c r="N2982">
        <v>0.43</v>
      </c>
      <c r="O2982">
        <v>0</v>
      </c>
      <c r="P2982">
        <v>0</v>
      </c>
      <c r="Q2982" t="s">
        <v>108</v>
      </c>
    </row>
    <row r="2983" spans="1:17">
      <c r="A2983" t="s">
        <v>93</v>
      </c>
      <c r="B2983" t="s">
        <v>106</v>
      </c>
      <c r="C2983" t="s">
        <v>56</v>
      </c>
      <c r="D2983" t="s">
        <v>2766</v>
      </c>
      <c r="E2983">
        <v>13</v>
      </c>
      <c r="F2983" t="str">
        <f>VLOOKUP(E2983,[1]LOJA!$A:$B,2,0)</f>
        <v>CEILÂNDIA</v>
      </c>
      <c r="G2983" t="s">
        <v>19</v>
      </c>
      <c r="H2983" t="s">
        <v>19</v>
      </c>
      <c r="I2983" s="1">
        <v>46038</v>
      </c>
      <c r="J2983" s="1">
        <v>46038</v>
      </c>
      <c r="K2983" s="1">
        <v>46038</v>
      </c>
      <c r="L2983">
        <v>34</v>
      </c>
      <c r="M2983">
        <v>0.2</v>
      </c>
      <c r="N2983">
        <v>0.2</v>
      </c>
      <c r="O2983">
        <v>0</v>
      </c>
      <c r="P2983">
        <v>0</v>
      </c>
      <c r="Q2983" t="s">
        <v>108</v>
      </c>
    </row>
    <row r="2984" spans="1:17">
      <c r="A2984" t="s">
        <v>93</v>
      </c>
      <c r="B2984" t="s">
        <v>106</v>
      </c>
      <c r="C2984" t="s">
        <v>56</v>
      </c>
      <c r="D2984" t="s">
        <v>2767</v>
      </c>
      <c r="E2984">
        <v>13</v>
      </c>
      <c r="F2984" t="str">
        <f>VLOOKUP(E2984,[1]LOJA!$A:$B,2,0)</f>
        <v>CEILÂNDIA</v>
      </c>
      <c r="G2984" t="s">
        <v>19</v>
      </c>
      <c r="H2984" t="s">
        <v>19</v>
      </c>
      <c r="I2984" s="1">
        <v>46038</v>
      </c>
      <c r="J2984" s="1">
        <v>46038</v>
      </c>
      <c r="K2984" s="1">
        <v>46038</v>
      </c>
      <c r="L2984">
        <v>34</v>
      </c>
      <c r="M2984">
        <v>0.51</v>
      </c>
      <c r="N2984">
        <v>0.51</v>
      </c>
      <c r="O2984">
        <v>0</v>
      </c>
      <c r="P2984">
        <v>0</v>
      </c>
      <c r="Q2984" t="s">
        <v>108</v>
      </c>
    </row>
    <row r="2985" spans="1:17">
      <c r="A2985" t="s">
        <v>93</v>
      </c>
      <c r="B2985" t="s">
        <v>106</v>
      </c>
      <c r="C2985" t="s">
        <v>56</v>
      </c>
      <c r="D2985" t="s">
        <v>2768</v>
      </c>
      <c r="E2985">
        <v>13</v>
      </c>
      <c r="F2985" t="str">
        <f>VLOOKUP(E2985,[1]LOJA!$A:$B,2,0)</f>
        <v>CEILÂNDIA</v>
      </c>
      <c r="G2985" t="s">
        <v>19</v>
      </c>
      <c r="H2985" t="s">
        <v>19</v>
      </c>
      <c r="I2985" s="1">
        <v>46038</v>
      </c>
      <c r="J2985" s="1">
        <v>46038</v>
      </c>
      <c r="K2985" s="1">
        <v>46038</v>
      </c>
      <c r="L2985">
        <v>34</v>
      </c>
      <c r="M2985">
        <v>0.23</v>
      </c>
      <c r="N2985">
        <v>0.23</v>
      </c>
      <c r="O2985">
        <v>0</v>
      </c>
      <c r="P2985">
        <v>0</v>
      </c>
      <c r="Q2985" t="s">
        <v>108</v>
      </c>
    </row>
    <row r="2986" spans="1:17">
      <c r="A2986" t="s">
        <v>93</v>
      </c>
      <c r="B2986" t="s">
        <v>106</v>
      </c>
      <c r="C2986" t="s">
        <v>56</v>
      </c>
      <c r="D2986" t="s">
        <v>2769</v>
      </c>
      <c r="E2986">
        <v>13</v>
      </c>
      <c r="F2986" t="str">
        <f>VLOOKUP(E2986,[1]LOJA!$A:$B,2,0)</f>
        <v>CEILÂNDIA</v>
      </c>
      <c r="G2986" t="s">
        <v>19</v>
      </c>
      <c r="H2986" t="s">
        <v>19</v>
      </c>
      <c r="I2986" s="1">
        <v>46038</v>
      </c>
      <c r="J2986" s="1">
        <v>46038</v>
      </c>
      <c r="K2986" s="1">
        <v>46038</v>
      </c>
      <c r="L2986">
        <v>34</v>
      </c>
      <c r="M2986">
        <v>1.0900000000000001</v>
      </c>
      <c r="N2986">
        <v>1.0900000000000001</v>
      </c>
      <c r="O2986">
        <v>0</v>
      </c>
      <c r="P2986">
        <v>0</v>
      </c>
      <c r="Q2986" t="s">
        <v>108</v>
      </c>
    </row>
    <row r="2987" spans="1:17">
      <c r="A2987" t="s">
        <v>93</v>
      </c>
      <c r="B2987" t="s">
        <v>106</v>
      </c>
      <c r="C2987" t="s">
        <v>56</v>
      </c>
      <c r="D2987" t="s">
        <v>2770</v>
      </c>
      <c r="E2987">
        <v>13</v>
      </c>
      <c r="F2987" t="str">
        <f>VLOOKUP(E2987,[1]LOJA!$A:$B,2,0)</f>
        <v>CEILÂNDIA</v>
      </c>
      <c r="G2987" t="s">
        <v>19</v>
      </c>
      <c r="H2987" t="s">
        <v>19</v>
      </c>
      <c r="I2987" s="1">
        <v>46038</v>
      </c>
      <c r="J2987" s="1">
        <v>46038</v>
      </c>
      <c r="K2987" s="1">
        <v>46038</v>
      </c>
      <c r="L2987">
        <v>34</v>
      </c>
      <c r="M2987">
        <v>0.23</v>
      </c>
      <c r="N2987">
        <v>0.23</v>
      </c>
      <c r="O2987">
        <v>0</v>
      </c>
      <c r="P2987">
        <v>0</v>
      </c>
      <c r="Q2987" t="s">
        <v>108</v>
      </c>
    </row>
    <row r="2988" spans="1:17">
      <c r="A2988" t="s">
        <v>93</v>
      </c>
      <c r="B2988" t="s">
        <v>106</v>
      </c>
      <c r="C2988" t="s">
        <v>56</v>
      </c>
      <c r="D2988" t="s">
        <v>2771</v>
      </c>
      <c r="E2988">
        <v>13</v>
      </c>
      <c r="F2988" t="str">
        <f>VLOOKUP(E2988,[1]LOJA!$A:$B,2,0)</f>
        <v>CEILÂNDIA</v>
      </c>
      <c r="G2988" t="s">
        <v>19</v>
      </c>
      <c r="H2988" t="s">
        <v>19</v>
      </c>
      <c r="I2988" s="1">
        <v>46038</v>
      </c>
      <c r="J2988" s="1">
        <v>46038</v>
      </c>
      <c r="K2988" s="1">
        <v>46038</v>
      </c>
      <c r="L2988">
        <v>34</v>
      </c>
      <c r="M2988">
        <v>0.27</v>
      </c>
      <c r="N2988">
        <v>0.27</v>
      </c>
      <c r="O2988">
        <v>0</v>
      </c>
      <c r="P2988">
        <v>0</v>
      </c>
      <c r="Q2988" t="s">
        <v>108</v>
      </c>
    </row>
    <row r="2989" spans="1:17">
      <c r="A2989" t="s">
        <v>93</v>
      </c>
      <c r="B2989" t="s">
        <v>106</v>
      </c>
      <c r="C2989" t="s">
        <v>56</v>
      </c>
      <c r="D2989" t="s">
        <v>2772</v>
      </c>
      <c r="E2989">
        <v>13</v>
      </c>
      <c r="F2989" t="str">
        <f>VLOOKUP(E2989,[1]LOJA!$A:$B,2,0)</f>
        <v>CEILÂNDIA</v>
      </c>
      <c r="G2989" t="s">
        <v>19</v>
      </c>
      <c r="H2989" t="s">
        <v>19</v>
      </c>
      <c r="I2989" s="1">
        <v>46038</v>
      </c>
      <c r="J2989" s="1">
        <v>46038</v>
      </c>
      <c r="K2989" s="1">
        <v>46038</v>
      </c>
      <c r="L2989">
        <v>34</v>
      </c>
      <c r="M2989">
        <v>0.05</v>
      </c>
      <c r="N2989">
        <v>0.05</v>
      </c>
      <c r="O2989">
        <v>0</v>
      </c>
      <c r="P2989">
        <v>0</v>
      </c>
      <c r="Q2989" t="s">
        <v>108</v>
      </c>
    </row>
    <row r="2990" spans="1:17">
      <c r="A2990" t="s">
        <v>93</v>
      </c>
      <c r="B2990" t="s">
        <v>106</v>
      </c>
      <c r="C2990" t="s">
        <v>56</v>
      </c>
      <c r="D2990" t="s">
        <v>2773</v>
      </c>
      <c r="E2990">
        <v>13</v>
      </c>
      <c r="F2990" t="str">
        <f>VLOOKUP(E2990,[1]LOJA!$A:$B,2,0)</f>
        <v>CEILÂNDIA</v>
      </c>
      <c r="G2990" t="s">
        <v>19</v>
      </c>
      <c r="H2990" t="s">
        <v>19</v>
      </c>
      <c r="I2990" s="1">
        <v>46041</v>
      </c>
      <c r="J2990" s="1">
        <v>46040</v>
      </c>
      <c r="K2990" s="1">
        <v>46041</v>
      </c>
      <c r="L2990">
        <v>34</v>
      </c>
      <c r="M2990">
        <v>10.220000000000001</v>
      </c>
      <c r="N2990">
        <v>10.220000000000001</v>
      </c>
      <c r="O2990">
        <v>0</v>
      </c>
      <c r="P2990">
        <v>0</v>
      </c>
      <c r="Q2990" t="s">
        <v>108</v>
      </c>
    </row>
    <row r="2991" spans="1:17">
      <c r="A2991" t="s">
        <v>93</v>
      </c>
      <c r="B2991" t="s">
        <v>106</v>
      </c>
      <c r="C2991" t="s">
        <v>56</v>
      </c>
      <c r="D2991" t="s">
        <v>2774</v>
      </c>
      <c r="E2991">
        <v>13</v>
      </c>
      <c r="F2991" t="str">
        <f>VLOOKUP(E2991,[1]LOJA!$A:$B,2,0)</f>
        <v>CEILÂNDIA</v>
      </c>
      <c r="G2991" t="s">
        <v>19</v>
      </c>
      <c r="H2991" t="s">
        <v>19</v>
      </c>
      <c r="I2991" s="1">
        <v>46041</v>
      </c>
      <c r="J2991" s="1">
        <v>46040</v>
      </c>
      <c r="K2991" s="1">
        <v>46041</v>
      </c>
      <c r="L2991">
        <v>34</v>
      </c>
      <c r="M2991">
        <v>5.48</v>
      </c>
      <c r="N2991">
        <v>5.48</v>
      </c>
      <c r="O2991">
        <v>0</v>
      </c>
      <c r="P2991">
        <v>0</v>
      </c>
      <c r="Q2991" t="s">
        <v>108</v>
      </c>
    </row>
    <row r="2992" spans="1:17">
      <c r="A2992" t="s">
        <v>93</v>
      </c>
      <c r="B2992" t="s">
        <v>106</v>
      </c>
      <c r="C2992" t="s">
        <v>56</v>
      </c>
      <c r="D2992" t="s">
        <v>2775</v>
      </c>
      <c r="E2992">
        <v>13</v>
      </c>
      <c r="F2992" t="str">
        <f>VLOOKUP(E2992,[1]LOJA!$A:$B,2,0)</f>
        <v>CEILÂNDIA</v>
      </c>
      <c r="G2992" t="s">
        <v>19</v>
      </c>
      <c r="H2992" t="s">
        <v>19</v>
      </c>
      <c r="I2992" s="1">
        <v>46041</v>
      </c>
      <c r="J2992" s="1">
        <v>46041</v>
      </c>
      <c r="K2992" s="1">
        <v>46041</v>
      </c>
      <c r="L2992">
        <v>34</v>
      </c>
      <c r="M2992">
        <v>2.67</v>
      </c>
      <c r="N2992">
        <v>2.67</v>
      </c>
      <c r="O2992">
        <v>0</v>
      </c>
      <c r="P2992">
        <v>0</v>
      </c>
      <c r="Q2992" t="s">
        <v>108</v>
      </c>
    </row>
    <row r="2993" spans="1:17">
      <c r="A2993" t="s">
        <v>93</v>
      </c>
      <c r="B2993" t="s">
        <v>106</v>
      </c>
      <c r="C2993" t="s">
        <v>56</v>
      </c>
      <c r="D2993" t="s">
        <v>2776</v>
      </c>
      <c r="E2993">
        <v>13</v>
      </c>
      <c r="F2993" t="str">
        <f>VLOOKUP(E2993,[1]LOJA!$A:$B,2,0)</f>
        <v>CEILÂNDIA</v>
      </c>
      <c r="G2993" t="s">
        <v>19</v>
      </c>
      <c r="H2993" t="s">
        <v>19</v>
      </c>
      <c r="I2993" s="1">
        <v>46041</v>
      </c>
      <c r="J2993" s="1">
        <v>46041</v>
      </c>
      <c r="K2993" s="1">
        <v>46041</v>
      </c>
      <c r="L2993">
        <v>34</v>
      </c>
      <c r="M2993">
        <v>2.74</v>
      </c>
      <c r="N2993">
        <v>2.74</v>
      </c>
      <c r="O2993">
        <v>0</v>
      </c>
      <c r="P2993">
        <v>0</v>
      </c>
      <c r="Q2993" t="s">
        <v>108</v>
      </c>
    </row>
    <row r="2994" spans="1:17">
      <c r="A2994" t="s">
        <v>93</v>
      </c>
      <c r="B2994" t="s">
        <v>106</v>
      </c>
      <c r="C2994" t="s">
        <v>56</v>
      </c>
      <c r="D2994" t="s">
        <v>2777</v>
      </c>
      <c r="E2994">
        <v>13</v>
      </c>
      <c r="F2994" t="str">
        <f>VLOOKUP(E2994,[1]LOJA!$A:$B,2,0)</f>
        <v>CEILÂNDIA</v>
      </c>
      <c r="G2994" t="s">
        <v>19</v>
      </c>
      <c r="H2994" t="s">
        <v>19</v>
      </c>
      <c r="I2994" s="1">
        <v>46041</v>
      </c>
      <c r="J2994" s="1">
        <v>46041</v>
      </c>
      <c r="K2994" s="1">
        <v>46041</v>
      </c>
      <c r="L2994">
        <v>34</v>
      </c>
      <c r="M2994">
        <v>5.12</v>
      </c>
      <c r="N2994">
        <v>5.12</v>
      </c>
      <c r="O2994">
        <v>0</v>
      </c>
      <c r="P2994">
        <v>0</v>
      </c>
      <c r="Q2994" t="s">
        <v>108</v>
      </c>
    </row>
    <row r="2995" spans="1:17">
      <c r="A2995" t="s">
        <v>93</v>
      </c>
      <c r="B2995" t="s">
        <v>106</v>
      </c>
      <c r="C2995" t="s">
        <v>56</v>
      </c>
      <c r="D2995" t="s">
        <v>2778</v>
      </c>
      <c r="E2995">
        <v>13</v>
      </c>
      <c r="F2995" t="str">
        <f>VLOOKUP(E2995,[1]LOJA!$A:$B,2,0)</f>
        <v>CEILÂNDIA</v>
      </c>
      <c r="G2995" t="s">
        <v>19</v>
      </c>
      <c r="H2995" t="s">
        <v>19</v>
      </c>
      <c r="I2995" s="1">
        <v>46041</v>
      </c>
      <c r="J2995" s="1">
        <v>46039</v>
      </c>
      <c r="K2995" s="1">
        <v>46041</v>
      </c>
      <c r="L2995">
        <v>34</v>
      </c>
      <c r="M2995">
        <v>5.25</v>
      </c>
      <c r="N2995">
        <v>5.25</v>
      </c>
      <c r="O2995">
        <v>0</v>
      </c>
      <c r="P2995">
        <v>0</v>
      </c>
      <c r="Q2995" t="s">
        <v>108</v>
      </c>
    </row>
    <row r="2996" spans="1:17">
      <c r="A2996" t="s">
        <v>93</v>
      </c>
      <c r="B2996" t="s">
        <v>106</v>
      </c>
      <c r="C2996" t="s">
        <v>56</v>
      </c>
      <c r="D2996" t="s">
        <v>2779</v>
      </c>
      <c r="E2996">
        <v>13</v>
      </c>
      <c r="F2996" t="str">
        <f>VLOOKUP(E2996,[1]LOJA!$A:$B,2,0)</f>
        <v>CEILÂNDIA</v>
      </c>
      <c r="G2996" t="s">
        <v>19</v>
      </c>
      <c r="H2996" t="s">
        <v>19</v>
      </c>
      <c r="I2996" s="1">
        <v>46041</v>
      </c>
      <c r="J2996" s="1">
        <v>46039</v>
      </c>
      <c r="K2996" s="1">
        <v>46041</v>
      </c>
      <c r="L2996">
        <v>34</v>
      </c>
      <c r="M2996">
        <v>0.14000000000000001</v>
      </c>
      <c r="N2996">
        <v>0.14000000000000001</v>
      </c>
      <c r="O2996">
        <v>0</v>
      </c>
      <c r="P2996">
        <v>0</v>
      </c>
      <c r="Q2996" t="s">
        <v>108</v>
      </c>
    </row>
    <row r="2997" spans="1:17">
      <c r="A2997" t="s">
        <v>93</v>
      </c>
      <c r="B2997" t="s">
        <v>106</v>
      </c>
      <c r="C2997" t="s">
        <v>56</v>
      </c>
      <c r="D2997" t="s">
        <v>2780</v>
      </c>
      <c r="E2997">
        <v>13</v>
      </c>
      <c r="F2997" t="str">
        <f>VLOOKUP(E2997,[1]LOJA!$A:$B,2,0)</f>
        <v>CEILÂNDIA</v>
      </c>
      <c r="G2997" t="s">
        <v>19</v>
      </c>
      <c r="H2997" t="s">
        <v>19</v>
      </c>
      <c r="I2997" s="1">
        <v>46041</v>
      </c>
      <c r="J2997" s="1">
        <v>46039</v>
      </c>
      <c r="K2997" s="1">
        <v>46041</v>
      </c>
      <c r="L2997">
        <v>34</v>
      </c>
      <c r="M2997">
        <v>2.52</v>
      </c>
      <c r="N2997">
        <v>2.52</v>
      </c>
      <c r="O2997">
        <v>0</v>
      </c>
      <c r="P2997">
        <v>0</v>
      </c>
      <c r="Q2997" t="s">
        <v>108</v>
      </c>
    </row>
    <row r="2998" spans="1:17">
      <c r="A2998" t="s">
        <v>93</v>
      </c>
      <c r="B2998" t="s">
        <v>106</v>
      </c>
      <c r="C2998" t="s">
        <v>56</v>
      </c>
      <c r="D2998" t="s">
        <v>2781</v>
      </c>
      <c r="E2998">
        <v>13</v>
      </c>
      <c r="F2998" t="str">
        <f>VLOOKUP(E2998,[1]LOJA!$A:$B,2,0)</f>
        <v>CEILÂNDIA</v>
      </c>
      <c r="G2998" t="s">
        <v>19</v>
      </c>
      <c r="H2998" t="s">
        <v>19</v>
      </c>
      <c r="I2998" s="1">
        <v>46041</v>
      </c>
      <c r="J2998" s="1">
        <v>46039</v>
      </c>
      <c r="K2998" s="1">
        <v>46041</v>
      </c>
      <c r="L2998">
        <v>34</v>
      </c>
      <c r="M2998">
        <v>5.48</v>
      </c>
      <c r="N2998">
        <v>5.48</v>
      </c>
      <c r="O2998">
        <v>0</v>
      </c>
      <c r="P2998">
        <v>0</v>
      </c>
      <c r="Q2998" t="s">
        <v>108</v>
      </c>
    </row>
    <row r="2999" spans="1:17">
      <c r="A2999" t="s">
        <v>93</v>
      </c>
      <c r="B2999" t="s">
        <v>106</v>
      </c>
      <c r="C2999" t="s">
        <v>56</v>
      </c>
      <c r="D2999" t="s">
        <v>2782</v>
      </c>
      <c r="E2999">
        <v>13</v>
      </c>
      <c r="F2999" t="str">
        <f>VLOOKUP(E2999,[1]LOJA!$A:$B,2,0)</f>
        <v>CEILÂNDIA</v>
      </c>
      <c r="G2999" t="s">
        <v>19</v>
      </c>
      <c r="H2999" t="s">
        <v>19</v>
      </c>
      <c r="I2999" s="1">
        <v>46041</v>
      </c>
      <c r="J2999" s="1">
        <v>46040</v>
      </c>
      <c r="K2999" s="1">
        <v>46041</v>
      </c>
      <c r="L2999">
        <v>34</v>
      </c>
      <c r="M2999">
        <v>5.1100000000000003</v>
      </c>
      <c r="N2999">
        <v>5.1100000000000003</v>
      </c>
      <c r="O2999">
        <v>0</v>
      </c>
      <c r="P2999">
        <v>0</v>
      </c>
      <c r="Q2999" t="s">
        <v>108</v>
      </c>
    </row>
    <row r="3000" spans="1:17">
      <c r="A3000" t="s">
        <v>93</v>
      </c>
      <c r="B3000" t="s">
        <v>106</v>
      </c>
      <c r="C3000" t="s">
        <v>56</v>
      </c>
      <c r="D3000" t="s">
        <v>2783</v>
      </c>
      <c r="E3000">
        <v>13</v>
      </c>
      <c r="F3000" t="str">
        <f>VLOOKUP(E3000,[1]LOJA!$A:$B,2,0)</f>
        <v>CEILÂNDIA</v>
      </c>
      <c r="G3000" t="s">
        <v>19</v>
      </c>
      <c r="H3000" t="s">
        <v>19</v>
      </c>
      <c r="I3000" s="1">
        <v>46041</v>
      </c>
      <c r="J3000" s="1">
        <v>46040</v>
      </c>
      <c r="K3000" s="1">
        <v>46041</v>
      </c>
      <c r="L3000">
        <v>34</v>
      </c>
      <c r="M3000">
        <v>2.36</v>
      </c>
      <c r="N3000">
        <v>2.36</v>
      </c>
      <c r="O3000">
        <v>0</v>
      </c>
      <c r="P3000">
        <v>0</v>
      </c>
      <c r="Q3000" t="s">
        <v>108</v>
      </c>
    </row>
    <row r="3001" spans="1:17">
      <c r="A3001" t="s">
        <v>93</v>
      </c>
      <c r="B3001" t="s">
        <v>106</v>
      </c>
      <c r="C3001" t="s">
        <v>56</v>
      </c>
      <c r="D3001" t="s">
        <v>2784</v>
      </c>
      <c r="E3001">
        <v>13</v>
      </c>
      <c r="F3001" t="str">
        <f>VLOOKUP(E3001,[1]LOJA!$A:$B,2,0)</f>
        <v>CEILÂNDIA</v>
      </c>
      <c r="G3001" t="s">
        <v>19</v>
      </c>
      <c r="H3001" t="s">
        <v>19</v>
      </c>
      <c r="I3001" s="1">
        <v>46041</v>
      </c>
      <c r="J3001" s="1">
        <v>46040</v>
      </c>
      <c r="K3001" s="1">
        <v>46041</v>
      </c>
      <c r="L3001">
        <v>34</v>
      </c>
      <c r="M3001">
        <v>2.2400000000000002</v>
      </c>
      <c r="N3001">
        <v>2.2400000000000002</v>
      </c>
      <c r="O3001">
        <v>0</v>
      </c>
      <c r="P3001">
        <v>0</v>
      </c>
      <c r="Q3001" t="s">
        <v>108</v>
      </c>
    </row>
    <row r="3002" spans="1:17">
      <c r="A3002" t="s">
        <v>93</v>
      </c>
      <c r="B3002" t="s">
        <v>106</v>
      </c>
      <c r="C3002" t="s">
        <v>56</v>
      </c>
      <c r="D3002" t="s">
        <v>2785</v>
      </c>
      <c r="E3002">
        <v>13</v>
      </c>
      <c r="F3002" t="str">
        <f>VLOOKUP(E3002,[1]LOJA!$A:$B,2,0)</f>
        <v>CEILÂNDIA</v>
      </c>
      <c r="G3002" t="s">
        <v>19</v>
      </c>
      <c r="H3002" t="s">
        <v>19</v>
      </c>
      <c r="I3002" s="1">
        <v>46041</v>
      </c>
      <c r="J3002" s="1">
        <v>46040</v>
      </c>
      <c r="K3002" s="1">
        <v>46041</v>
      </c>
      <c r="L3002">
        <v>34</v>
      </c>
      <c r="M3002">
        <v>2.42</v>
      </c>
      <c r="N3002">
        <v>2.42</v>
      </c>
      <c r="O3002">
        <v>0</v>
      </c>
      <c r="P3002">
        <v>0</v>
      </c>
      <c r="Q3002" t="s">
        <v>108</v>
      </c>
    </row>
    <row r="3003" spans="1:17">
      <c r="A3003" t="s">
        <v>93</v>
      </c>
      <c r="B3003" t="s">
        <v>106</v>
      </c>
      <c r="C3003" t="s">
        <v>56</v>
      </c>
      <c r="D3003" t="s">
        <v>2786</v>
      </c>
      <c r="E3003">
        <v>13</v>
      </c>
      <c r="F3003" t="str">
        <f>VLOOKUP(E3003,[1]LOJA!$A:$B,2,0)</f>
        <v>CEILÂNDIA</v>
      </c>
      <c r="G3003" t="s">
        <v>19</v>
      </c>
      <c r="H3003" t="s">
        <v>19</v>
      </c>
      <c r="I3003" s="1">
        <v>46041</v>
      </c>
      <c r="J3003" s="1">
        <v>46040</v>
      </c>
      <c r="K3003" s="1">
        <v>46041</v>
      </c>
      <c r="L3003">
        <v>34</v>
      </c>
      <c r="M3003">
        <v>1.1399999999999999</v>
      </c>
      <c r="N3003">
        <v>1.1399999999999999</v>
      </c>
      <c r="O3003">
        <v>0</v>
      </c>
      <c r="P3003">
        <v>0</v>
      </c>
      <c r="Q3003" t="s">
        <v>108</v>
      </c>
    </row>
    <row r="3004" spans="1:17">
      <c r="A3004" t="s">
        <v>93</v>
      </c>
      <c r="B3004" t="s">
        <v>106</v>
      </c>
      <c r="C3004" t="s">
        <v>56</v>
      </c>
      <c r="D3004" t="s">
        <v>2787</v>
      </c>
      <c r="E3004">
        <v>13</v>
      </c>
      <c r="F3004" t="str">
        <f>VLOOKUP(E3004,[1]LOJA!$A:$B,2,0)</f>
        <v>CEILÂNDIA</v>
      </c>
      <c r="G3004" t="s">
        <v>19</v>
      </c>
      <c r="H3004" t="s">
        <v>19</v>
      </c>
      <c r="I3004" s="1">
        <v>46041</v>
      </c>
      <c r="J3004" s="1">
        <v>46040</v>
      </c>
      <c r="K3004" s="1">
        <v>46041</v>
      </c>
      <c r="L3004">
        <v>34</v>
      </c>
      <c r="M3004">
        <v>0.45</v>
      </c>
      <c r="N3004">
        <v>0.45</v>
      </c>
      <c r="O3004">
        <v>0</v>
      </c>
      <c r="P3004">
        <v>0</v>
      </c>
      <c r="Q3004" t="s">
        <v>108</v>
      </c>
    </row>
    <row r="3005" spans="1:17">
      <c r="A3005" t="s">
        <v>93</v>
      </c>
      <c r="B3005" t="s">
        <v>106</v>
      </c>
      <c r="C3005" t="s">
        <v>56</v>
      </c>
      <c r="D3005" t="s">
        <v>2788</v>
      </c>
      <c r="E3005">
        <v>13</v>
      </c>
      <c r="F3005" t="str">
        <f>VLOOKUP(E3005,[1]LOJA!$A:$B,2,0)</f>
        <v>CEILÂNDIA</v>
      </c>
      <c r="G3005" t="s">
        <v>19</v>
      </c>
      <c r="H3005" t="s">
        <v>19</v>
      </c>
      <c r="I3005" s="1">
        <v>46041</v>
      </c>
      <c r="J3005" s="1">
        <v>46040</v>
      </c>
      <c r="K3005" s="1">
        <v>46041</v>
      </c>
      <c r="L3005">
        <v>34</v>
      </c>
      <c r="M3005">
        <v>3.83</v>
      </c>
      <c r="N3005">
        <v>3.83</v>
      </c>
      <c r="O3005">
        <v>0</v>
      </c>
      <c r="P3005">
        <v>0</v>
      </c>
      <c r="Q3005" t="s">
        <v>108</v>
      </c>
    </row>
    <row r="3006" spans="1:17">
      <c r="A3006" t="s">
        <v>93</v>
      </c>
      <c r="B3006" t="s">
        <v>106</v>
      </c>
      <c r="C3006" t="s">
        <v>56</v>
      </c>
      <c r="D3006" t="s">
        <v>2789</v>
      </c>
      <c r="E3006">
        <v>13</v>
      </c>
      <c r="F3006" t="str">
        <f>VLOOKUP(E3006,[1]LOJA!$A:$B,2,0)</f>
        <v>CEILÂNDIA</v>
      </c>
      <c r="G3006" t="s">
        <v>19</v>
      </c>
      <c r="H3006" t="s">
        <v>19</v>
      </c>
      <c r="I3006" s="1">
        <v>46041</v>
      </c>
      <c r="J3006" s="1">
        <v>46040</v>
      </c>
      <c r="K3006" s="1">
        <v>46041</v>
      </c>
      <c r="L3006">
        <v>34</v>
      </c>
      <c r="M3006">
        <v>2.4300000000000002</v>
      </c>
      <c r="N3006">
        <v>2.4300000000000002</v>
      </c>
      <c r="O3006">
        <v>0</v>
      </c>
      <c r="P3006">
        <v>0</v>
      </c>
      <c r="Q3006" t="s">
        <v>108</v>
      </c>
    </row>
    <row r="3007" spans="1:17">
      <c r="A3007" t="s">
        <v>93</v>
      </c>
      <c r="B3007" t="s">
        <v>106</v>
      </c>
      <c r="C3007" t="s">
        <v>56</v>
      </c>
      <c r="D3007" t="s">
        <v>2790</v>
      </c>
      <c r="E3007">
        <v>13</v>
      </c>
      <c r="F3007" t="str">
        <f>VLOOKUP(E3007,[1]LOJA!$A:$B,2,0)</f>
        <v>CEILÂNDIA</v>
      </c>
      <c r="G3007" t="s">
        <v>19</v>
      </c>
      <c r="H3007" t="s">
        <v>19</v>
      </c>
      <c r="I3007" s="1">
        <v>46041</v>
      </c>
      <c r="J3007" s="1">
        <v>46040</v>
      </c>
      <c r="K3007" s="1">
        <v>46041</v>
      </c>
      <c r="L3007">
        <v>34</v>
      </c>
      <c r="M3007">
        <v>2.8</v>
      </c>
      <c r="N3007">
        <v>2.8</v>
      </c>
      <c r="O3007">
        <v>0</v>
      </c>
      <c r="P3007">
        <v>0</v>
      </c>
      <c r="Q3007" t="s">
        <v>108</v>
      </c>
    </row>
    <row r="3008" spans="1:17">
      <c r="A3008" t="s">
        <v>93</v>
      </c>
      <c r="B3008" t="s">
        <v>106</v>
      </c>
      <c r="C3008" t="s">
        <v>56</v>
      </c>
      <c r="D3008" t="s">
        <v>2791</v>
      </c>
      <c r="E3008">
        <v>13</v>
      </c>
      <c r="F3008" t="str">
        <f>VLOOKUP(E3008,[1]LOJA!$A:$B,2,0)</f>
        <v>CEILÂNDIA</v>
      </c>
      <c r="G3008" t="s">
        <v>19</v>
      </c>
      <c r="H3008" t="s">
        <v>19</v>
      </c>
      <c r="I3008" s="1">
        <v>46041</v>
      </c>
      <c r="J3008" s="1">
        <v>46040</v>
      </c>
      <c r="K3008" s="1">
        <v>46041</v>
      </c>
      <c r="L3008">
        <v>34</v>
      </c>
      <c r="M3008">
        <v>1.66</v>
      </c>
      <c r="N3008">
        <v>1.66</v>
      </c>
      <c r="O3008">
        <v>0</v>
      </c>
      <c r="P3008">
        <v>0</v>
      </c>
      <c r="Q3008" t="s">
        <v>108</v>
      </c>
    </row>
    <row r="3009" spans="1:17">
      <c r="A3009" t="s">
        <v>93</v>
      </c>
      <c r="B3009" t="s">
        <v>106</v>
      </c>
      <c r="C3009" t="s">
        <v>56</v>
      </c>
      <c r="D3009" t="s">
        <v>2792</v>
      </c>
      <c r="E3009">
        <v>13</v>
      </c>
      <c r="F3009" t="str">
        <f>VLOOKUP(E3009,[1]LOJA!$A:$B,2,0)</f>
        <v>CEILÂNDIA</v>
      </c>
      <c r="G3009" t="s">
        <v>19</v>
      </c>
      <c r="H3009" t="s">
        <v>19</v>
      </c>
      <c r="I3009" s="1">
        <v>46041</v>
      </c>
      <c r="J3009" s="1">
        <v>46040</v>
      </c>
      <c r="K3009" s="1">
        <v>46041</v>
      </c>
      <c r="L3009">
        <v>34</v>
      </c>
      <c r="M3009">
        <v>3.99</v>
      </c>
      <c r="N3009">
        <v>3.99</v>
      </c>
      <c r="O3009">
        <v>0</v>
      </c>
      <c r="P3009">
        <v>0</v>
      </c>
      <c r="Q3009" t="s">
        <v>108</v>
      </c>
    </row>
    <row r="3010" spans="1:17">
      <c r="A3010" t="s">
        <v>93</v>
      </c>
      <c r="B3010" t="s">
        <v>106</v>
      </c>
      <c r="C3010" t="s">
        <v>56</v>
      </c>
      <c r="D3010" t="s">
        <v>2793</v>
      </c>
      <c r="E3010">
        <v>13</v>
      </c>
      <c r="F3010" t="str">
        <f>VLOOKUP(E3010,[1]LOJA!$A:$B,2,0)</f>
        <v>CEILÂNDIA</v>
      </c>
      <c r="G3010" t="s">
        <v>19</v>
      </c>
      <c r="H3010" t="s">
        <v>19</v>
      </c>
      <c r="I3010" s="1">
        <v>46041</v>
      </c>
      <c r="J3010" s="1">
        <v>46041</v>
      </c>
      <c r="K3010" s="1">
        <v>46041</v>
      </c>
      <c r="L3010">
        <v>34</v>
      </c>
      <c r="M3010">
        <v>1.23</v>
      </c>
      <c r="N3010">
        <v>1.23</v>
      </c>
      <c r="O3010">
        <v>0</v>
      </c>
      <c r="P3010">
        <v>0</v>
      </c>
      <c r="Q3010" t="s">
        <v>108</v>
      </c>
    </row>
    <row r="3011" spans="1:17">
      <c r="A3011" t="s">
        <v>93</v>
      </c>
      <c r="B3011" t="s">
        <v>106</v>
      </c>
      <c r="C3011" t="s">
        <v>56</v>
      </c>
      <c r="D3011" t="s">
        <v>2794</v>
      </c>
      <c r="E3011">
        <v>13</v>
      </c>
      <c r="F3011" t="str">
        <f>VLOOKUP(E3011,[1]LOJA!$A:$B,2,0)</f>
        <v>CEILÂNDIA</v>
      </c>
      <c r="G3011" t="s">
        <v>19</v>
      </c>
      <c r="H3011" t="s">
        <v>19</v>
      </c>
      <c r="I3011" s="1">
        <v>46041</v>
      </c>
      <c r="J3011" s="1">
        <v>46041</v>
      </c>
      <c r="K3011" s="1">
        <v>46041</v>
      </c>
      <c r="L3011">
        <v>34</v>
      </c>
      <c r="M3011">
        <v>1.31</v>
      </c>
      <c r="N3011">
        <v>1.31</v>
      </c>
      <c r="O3011">
        <v>0</v>
      </c>
      <c r="P3011">
        <v>0</v>
      </c>
      <c r="Q3011" t="s">
        <v>108</v>
      </c>
    </row>
    <row r="3012" spans="1:17">
      <c r="A3012" t="s">
        <v>93</v>
      </c>
      <c r="B3012" t="s">
        <v>106</v>
      </c>
      <c r="C3012" t="s">
        <v>56</v>
      </c>
      <c r="D3012" t="s">
        <v>2795</v>
      </c>
      <c r="E3012">
        <v>13</v>
      </c>
      <c r="F3012" t="str">
        <f>VLOOKUP(E3012,[1]LOJA!$A:$B,2,0)</f>
        <v>CEILÂNDIA</v>
      </c>
      <c r="G3012" t="s">
        <v>19</v>
      </c>
      <c r="H3012" t="s">
        <v>19</v>
      </c>
      <c r="I3012" s="1">
        <v>46041</v>
      </c>
      <c r="J3012" s="1">
        <v>46041</v>
      </c>
      <c r="K3012" s="1">
        <v>46041</v>
      </c>
      <c r="L3012">
        <v>34</v>
      </c>
      <c r="M3012">
        <v>0.67</v>
      </c>
      <c r="N3012">
        <v>0.67</v>
      </c>
      <c r="O3012">
        <v>0</v>
      </c>
      <c r="P3012">
        <v>0</v>
      </c>
      <c r="Q3012" t="s">
        <v>108</v>
      </c>
    </row>
    <row r="3013" spans="1:17">
      <c r="A3013" t="s">
        <v>93</v>
      </c>
      <c r="B3013" t="s">
        <v>106</v>
      </c>
      <c r="C3013" t="s">
        <v>56</v>
      </c>
      <c r="D3013" t="s">
        <v>2796</v>
      </c>
      <c r="E3013">
        <v>13</v>
      </c>
      <c r="F3013" t="str">
        <f>VLOOKUP(E3013,[1]LOJA!$A:$B,2,0)</f>
        <v>CEILÂNDIA</v>
      </c>
      <c r="G3013" t="s">
        <v>19</v>
      </c>
      <c r="H3013" t="s">
        <v>19</v>
      </c>
      <c r="I3013" s="1">
        <v>46041</v>
      </c>
      <c r="J3013" s="1">
        <v>46039</v>
      </c>
      <c r="K3013" s="1">
        <v>46041</v>
      </c>
      <c r="L3013">
        <v>34</v>
      </c>
      <c r="M3013">
        <v>0.13</v>
      </c>
      <c r="N3013">
        <v>0.13</v>
      </c>
      <c r="O3013">
        <v>0</v>
      </c>
      <c r="P3013">
        <v>0</v>
      </c>
      <c r="Q3013" t="s">
        <v>108</v>
      </c>
    </row>
    <row r="3014" spans="1:17">
      <c r="A3014" t="s">
        <v>93</v>
      </c>
      <c r="B3014" t="s">
        <v>106</v>
      </c>
      <c r="C3014" t="s">
        <v>56</v>
      </c>
      <c r="D3014" t="s">
        <v>2797</v>
      </c>
      <c r="E3014">
        <v>13</v>
      </c>
      <c r="F3014" t="str">
        <f>VLOOKUP(E3014,[1]LOJA!$A:$B,2,0)</f>
        <v>CEILÂNDIA</v>
      </c>
      <c r="G3014" t="s">
        <v>19</v>
      </c>
      <c r="H3014" t="s">
        <v>19</v>
      </c>
      <c r="I3014" s="1">
        <v>46041</v>
      </c>
      <c r="J3014" s="1">
        <v>46039</v>
      </c>
      <c r="K3014" s="1">
        <v>46041</v>
      </c>
      <c r="L3014">
        <v>34</v>
      </c>
      <c r="M3014">
        <v>0.3</v>
      </c>
      <c r="N3014">
        <v>0.3</v>
      </c>
      <c r="O3014">
        <v>0</v>
      </c>
      <c r="P3014">
        <v>0</v>
      </c>
      <c r="Q3014" t="s">
        <v>108</v>
      </c>
    </row>
    <row r="3015" spans="1:17">
      <c r="A3015" t="s">
        <v>93</v>
      </c>
      <c r="B3015" t="s">
        <v>106</v>
      </c>
      <c r="C3015" t="s">
        <v>56</v>
      </c>
      <c r="D3015" t="s">
        <v>2798</v>
      </c>
      <c r="E3015">
        <v>13</v>
      </c>
      <c r="F3015" t="str">
        <f>VLOOKUP(E3015,[1]LOJA!$A:$B,2,0)</f>
        <v>CEILÂNDIA</v>
      </c>
      <c r="G3015" t="s">
        <v>19</v>
      </c>
      <c r="H3015" t="s">
        <v>19</v>
      </c>
      <c r="I3015" s="1">
        <v>46041</v>
      </c>
      <c r="J3015" s="1">
        <v>46039</v>
      </c>
      <c r="K3015" s="1">
        <v>46041</v>
      </c>
      <c r="L3015">
        <v>34</v>
      </c>
      <c r="M3015">
        <v>0.6</v>
      </c>
      <c r="N3015">
        <v>0.6</v>
      </c>
      <c r="O3015">
        <v>0</v>
      </c>
      <c r="P3015">
        <v>0</v>
      </c>
      <c r="Q3015" t="s">
        <v>108</v>
      </c>
    </row>
    <row r="3016" spans="1:17">
      <c r="A3016" t="s">
        <v>93</v>
      </c>
      <c r="B3016" t="s">
        <v>106</v>
      </c>
      <c r="C3016" t="s">
        <v>56</v>
      </c>
      <c r="D3016" t="s">
        <v>2799</v>
      </c>
      <c r="E3016">
        <v>13</v>
      </c>
      <c r="F3016" t="str">
        <f>VLOOKUP(E3016,[1]LOJA!$A:$B,2,0)</f>
        <v>CEILÂNDIA</v>
      </c>
      <c r="G3016" t="s">
        <v>19</v>
      </c>
      <c r="H3016" t="s">
        <v>19</v>
      </c>
      <c r="I3016" s="1">
        <v>46041</v>
      </c>
      <c r="J3016" s="1">
        <v>46039</v>
      </c>
      <c r="K3016" s="1">
        <v>46041</v>
      </c>
      <c r="L3016">
        <v>34</v>
      </c>
      <c r="M3016">
        <v>1.24</v>
      </c>
      <c r="N3016">
        <v>1.24</v>
      </c>
      <c r="O3016">
        <v>0</v>
      </c>
      <c r="P3016">
        <v>0</v>
      </c>
      <c r="Q3016" t="s">
        <v>108</v>
      </c>
    </row>
    <row r="3017" spans="1:17">
      <c r="A3017" t="s">
        <v>93</v>
      </c>
      <c r="B3017" t="s">
        <v>106</v>
      </c>
      <c r="C3017" t="s">
        <v>56</v>
      </c>
      <c r="D3017" t="s">
        <v>2800</v>
      </c>
      <c r="E3017">
        <v>13</v>
      </c>
      <c r="F3017" t="str">
        <f>VLOOKUP(E3017,[1]LOJA!$A:$B,2,0)</f>
        <v>CEILÂNDIA</v>
      </c>
      <c r="G3017" t="s">
        <v>19</v>
      </c>
      <c r="H3017" t="s">
        <v>19</v>
      </c>
      <c r="I3017" s="1">
        <v>46041</v>
      </c>
      <c r="J3017" s="1">
        <v>46039</v>
      </c>
      <c r="K3017" s="1">
        <v>46041</v>
      </c>
      <c r="L3017">
        <v>34</v>
      </c>
      <c r="M3017">
        <v>0.4</v>
      </c>
      <c r="N3017">
        <v>0.4</v>
      </c>
      <c r="O3017">
        <v>0</v>
      </c>
      <c r="P3017">
        <v>0</v>
      </c>
      <c r="Q3017" t="s">
        <v>108</v>
      </c>
    </row>
    <row r="3018" spans="1:17">
      <c r="A3018" t="s">
        <v>93</v>
      </c>
      <c r="B3018" t="s">
        <v>106</v>
      </c>
      <c r="C3018" t="s">
        <v>56</v>
      </c>
      <c r="D3018" t="s">
        <v>2801</v>
      </c>
      <c r="E3018">
        <v>13</v>
      </c>
      <c r="F3018" t="str">
        <f>VLOOKUP(E3018,[1]LOJA!$A:$B,2,0)</f>
        <v>CEILÂNDIA</v>
      </c>
      <c r="G3018" t="s">
        <v>19</v>
      </c>
      <c r="H3018" t="s">
        <v>19</v>
      </c>
      <c r="I3018" s="1">
        <v>46041</v>
      </c>
      <c r="J3018" s="1">
        <v>46039</v>
      </c>
      <c r="K3018" s="1">
        <v>46041</v>
      </c>
      <c r="L3018">
        <v>34</v>
      </c>
      <c r="M3018">
        <v>0.26</v>
      </c>
      <c r="N3018">
        <v>0.26</v>
      </c>
      <c r="O3018">
        <v>0</v>
      </c>
      <c r="P3018">
        <v>0</v>
      </c>
      <c r="Q3018" t="s">
        <v>108</v>
      </c>
    </row>
    <row r="3019" spans="1:17">
      <c r="A3019" t="s">
        <v>93</v>
      </c>
      <c r="B3019" t="s">
        <v>106</v>
      </c>
      <c r="C3019" t="s">
        <v>56</v>
      </c>
      <c r="D3019" t="s">
        <v>2802</v>
      </c>
      <c r="E3019">
        <v>13</v>
      </c>
      <c r="F3019" t="str">
        <f>VLOOKUP(E3019,[1]LOJA!$A:$B,2,0)</f>
        <v>CEILÂNDIA</v>
      </c>
      <c r="G3019" t="s">
        <v>19</v>
      </c>
      <c r="H3019" t="s">
        <v>19</v>
      </c>
      <c r="I3019" s="1">
        <v>46041</v>
      </c>
      <c r="J3019" s="1">
        <v>46039</v>
      </c>
      <c r="K3019" s="1">
        <v>46041</v>
      </c>
      <c r="L3019">
        <v>34</v>
      </c>
      <c r="M3019">
        <v>3.35</v>
      </c>
      <c r="N3019">
        <v>3.35</v>
      </c>
      <c r="O3019">
        <v>0</v>
      </c>
      <c r="P3019">
        <v>0</v>
      </c>
      <c r="Q3019" t="s">
        <v>108</v>
      </c>
    </row>
    <row r="3020" spans="1:17">
      <c r="A3020" t="s">
        <v>93</v>
      </c>
      <c r="B3020" t="s">
        <v>106</v>
      </c>
      <c r="C3020" t="s">
        <v>56</v>
      </c>
      <c r="D3020" t="s">
        <v>2803</v>
      </c>
      <c r="E3020">
        <v>13</v>
      </c>
      <c r="F3020" t="str">
        <f>VLOOKUP(E3020,[1]LOJA!$A:$B,2,0)</f>
        <v>CEILÂNDIA</v>
      </c>
      <c r="G3020" t="s">
        <v>19</v>
      </c>
      <c r="H3020" t="s">
        <v>19</v>
      </c>
      <c r="I3020" s="1">
        <v>46041</v>
      </c>
      <c r="J3020" s="1">
        <v>46039</v>
      </c>
      <c r="K3020" s="1">
        <v>46041</v>
      </c>
      <c r="L3020">
        <v>34</v>
      </c>
      <c r="M3020">
        <v>2.88</v>
      </c>
      <c r="N3020">
        <v>2.88</v>
      </c>
      <c r="O3020">
        <v>0</v>
      </c>
      <c r="P3020">
        <v>0</v>
      </c>
      <c r="Q3020" t="s">
        <v>108</v>
      </c>
    </row>
    <row r="3021" spans="1:17">
      <c r="A3021" t="s">
        <v>93</v>
      </c>
      <c r="B3021" t="s">
        <v>106</v>
      </c>
      <c r="C3021" t="s">
        <v>56</v>
      </c>
      <c r="D3021" t="s">
        <v>2804</v>
      </c>
      <c r="E3021">
        <v>13</v>
      </c>
      <c r="F3021" t="str">
        <f>VLOOKUP(E3021,[1]LOJA!$A:$B,2,0)</f>
        <v>CEILÂNDIA</v>
      </c>
      <c r="G3021" t="s">
        <v>19</v>
      </c>
      <c r="H3021" t="s">
        <v>19</v>
      </c>
      <c r="I3021" s="1">
        <v>46041</v>
      </c>
      <c r="J3021" s="1">
        <v>46039</v>
      </c>
      <c r="K3021" s="1">
        <v>46041</v>
      </c>
      <c r="L3021">
        <v>34</v>
      </c>
      <c r="M3021">
        <v>0.47</v>
      </c>
      <c r="N3021">
        <v>0.47</v>
      </c>
      <c r="O3021">
        <v>0</v>
      </c>
      <c r="P3021">
        <v>0</v>
      </c>
      <c r="Q3021" t="s">
        <v>108</v>
      </c>
    </row>
    <row r="3022" spans="1:17">
      <c r="A3022" t="s">
        <v>93</v>
      </c>
      <c r="B3022" t="s">
        <v>106</v>
      </c>
      <c r="C3022" t="s">
        <v>56</v>
      </c>
      <c r="D3022" t="s">
        <v>2805</v>
      </c>
      <c r="E3022">
        <v>13</v>
      </c>
      <c r="F3022" t="str">
        <f>VLOOKUP(E3022,[1]LOJA!$A:$B,2,0)</f>
        <v>CEILÂNDIA</v>
      </c>
      <c r="G3022" t="s">
        <v>19</v>
      </c>
      <c r="H3022" t="s">
        <v>19</v>
      </c>
      <c r="I3022" s="1">
        <v>46041</v>
      </c>
      <c r="J3022" s="1">
        <v>46040</v>
      </c>
      <c r="K3022" s="1">
        <v>46041</v>
      </c>
      <c r="L3022">
        <v>34</v>
      </c>
      <c r="M3022">
        <v>0.18</v>
      </c>
      <c r="N3022">
        <v>0.18</v>
      </c>
      <c r="O3022">
        <v>0</v>
      </c>
      <c r="P3022">
        <v>0</v>
      </c>
      <c r="Q3022" t="s">
        <v>108</v>
      </c>
    </row>
    <row r="3023" spans="1:17">
      <c r="A3023" t="s">
        <v>93</v>
      </c>
      <c r="B3023" t="s">
        <v>106</v>
      </c>
      <c r="C3023" t="s">
        <v>56</v>
      </c>
      <c r="D3023" t="s">
        <v>2806</v>
      </c>
      <c r="E3023">
        <v>13</v>
      </c>
      <c r="F3023" t="str">
        <f>VLOOKUP(E3023,[1]LOJA!$A:$B,2,0)</f>
        <v>CEILÂNDIA</v>
      </c>
      <c r="G3023" t="s">
        <v>19</v>
      </c>
      <c r="H3023" t="s">
        <v>19</v>
      </c>
      <c r="I3023" s="1">
        <v>46041</v>
      </c>
      <c r="J3023" s="1">
        <v>46040</v>
      </c>
      <c r="K3023" s="1">
        <v>46041</v>
      </c>
      <c r="L3023">
        <v>34</v>
      </c>
      <c r="M3023">
        <v>0.88</v>
      </c>
      <c r="N3023">
        <v>0.88</v>
      </c>
      <c r="O3023">
        <v>0</v>
      </c>
      <c r="P3023">
        <v>0</v>
      </c>
      <c r="Q3023" t="s">
        <v>108</v>
      </c>
    </row>
    <row r="3024" spans="1:17">
      <c r="A3024" t="s">
        <v>93</v>
      </c>
      <c r="B3024" t="s">
        <v>106</v>
      </c>
      <c r="C3024" t="s">
        <v>56</v>
      </c>
      <c r="D3024" t="s">
        <v>2807</v>
      </c>
      <c r="E3024">
        <v>13</v>
      </c>
      <c r="F3024" t="str">
        <f>VLOOKUP(E3024,[1]LOJA!$A:$B,2,0)</f>
        <v>CEILÂNDIA</v>
      </c>
      <c r="G3024" t="s">
        <v>19</v>
      </c>
      <c r="H3024" t="s">
        <v>19</v>
      </c>
      <c r="I3024" s="1">
        <v>46041</v>
      </c>
      <c r="J3024" s="1">
        <v>46040</v>
      </c>
      <c r="K3024" s="1">
        <v>46041</v>
      </c>
      <c r="L3024">
        <v>34</v>
      </c>
      <c r="M3024">
        <v>1.41</v>
      </c>
      <c r="N3024">
        <v>1.41</v>
      </c>
      <c r="O3024">
        <v>0</v>
      </c>
      <c r="P3024">
        <v>0</v>
      </c>
      <c r="Q3024" t="s">
        <v>108</v>
      </c>
    </row>
    <row r="3025" spans="1:17">
      <c r="A3025" t="s">
        <v>93</v>
      </c>
      <c r="B3025" t="s">
        <v>106</v>
      </c>
      <c r="C3025" t="s">
        <v>56</v>
      </c>
      <c r="D3025" t="s">
        <v>2808</v>
      </c>
      <c r="E3025">
        <v>13</v>
      </c>
      <c r="F3025" t="str">
        <f>VLOOKUP(E3025,[1]LOJA!$A:$B,2,0)</f>
        <v>CEILÂNDIA</v>
      </c>
      <c r="G3025" t="s">
        <v>19</v>
      </c>
      <c r="H3025" t="s">
        <v>19</v>
      </c>
      <c r="I3025" s="1">
        <v>46041</v>
      </c>
      <c r="J3025" s="1">
        <v>46040</v>
      </c>
      <c r="K3025" s="1">
        <v>46041</v>
      </c>
      <c r="L3025">
        <v>34</v>
      </c>
      <c r="M3025">
        <v>1.51</v>
      </c>
      <c r="N3025">
        <v>1.51</v>
      </c>
      <c r="O3025">
        <v>0</v>
      </c>
      <c r="P3025">
        <v>0</v>
      </c>
      <c r="Q3025" t="s">
        <v>108</v>
      </c>
    </row>
    <row r="3026" spans="1:17">
      <c r="A3026" t="s">
        <v>93</v>
      </c>
      <c r="B3026" t="s">
        <v>106</v>
      </c>
      <c r="C3026" t="s">
        <v>56</v>
      </c>
      <c r="D3026" t="s">
        <v>2809</v>
      </c>
      <c r="E3026">
        <v>13</v>
      </c>
      <c r="F3026" t="str">
        <f>VLOOKUP(E3026,[1]LOJA!$A:$B,2,0)</f>
        <v>CEILÂNDIA</v>
      </c>
      <c r="G3026" t="s">
        <v>19</v>
      </c>
      <c r="H3026" t="s">
        <v>19</v>
      </c>
      <c r="I3026" s="1">
        <v>46041</v>
      </c>
      <c r="J3026" s="1">
        <v>46040</v>
      </c>
      <c r="K3026" s="1">
        <v>46041</v>
      </c>
      <c r="L3026">
        <v>34</v>
      </c>
      <c r="M3026">
        <v>0.05</v>
      </c>
      <c r="N3026">
        <v>0.05</v>
      </c>
      <c r="O3026">
        <v>0</v>
      </c>
      <c r="P3026">
        <v>0</v>
      </c>
      <c r="Q3026" t="s">
        <v>108</v>
      </c>
    </row>
    <row r="3027" spans="1:17">
      <c r="A3027" t="s">
        <v>93</v>
      </c>
      <c r="B3027" t="s">
        <v>106</v>
      </c>
      <c r="C3027" t="s">
        <v>56</v>
      </c>
      <c r="D3027" t="s">
        <v>2810</v>
      </c>
      <c r="E3027">
        <v>13</v>
      </c>
      <c r="F3027" t="str">
        <f>VLOOKUP(E3027,[1]LOJA!$A:$B,2,0)</f>
        <v>CEILÂNDIA</v>
      </c>
      <c r="G3027" t="s">
        <v>19</v>
      </c>
      <c r="H3027" t="s">
        <v>19</v>
      </c>
      <c r="I3027" s="1">
        <v>46041</v>
      </c>
      <c r="J3027" s="1">
        <v>46040</v>
      </c>
      <c r="K3027" s="1">
        <v>46041</v>
      </c>
      <c r="L3027">
        <v>34</v>
      </c>
      <c r="M3027">
        <v>1.81</v>
      </c>
      <c r="N3027">
        <v>1.81</v>
      </c>
      <c r="O3027">
        <v>0</v>
      </c>
      <c r="P3027">
        <v>0</v>
      </c>
      <c r="Q3027" t="s">
        <v>108</v>
      </c>
    </row>
    <row r="3028" spans="1:17">
      <c r="A3028" t="s">
        <v>93</v>
      </c>
      <c r="B3028" t="s">
        <v>106</v>
      </c>
      <c r="C3028" t="s">
        <v>56</v>
      </c>
      <c r="D3028" t="s">
        <v>2811</v>
      </c>
      <c r="E3028">
        <v>13</v>
      </c>
      <c r="F3028" t="str">
        <f>VLOOKUP(E3028,[1]LOJA!$A:$B,2,0)</f>
        <v>CEILÂNDIA</v>
      </c>
      <c r="G3028" t="s">
        <v>19</v>
      </c>
      <c r="H3028" t="s">
        <v>19</v>
      </c>
      <c r="I3028" s="1">
        <v>46041</v>
      </c>
      <c r="J3028" s="1">
        <v>46039</v>
      </c>
      <c r="K3028" s="1">
        <v>46041</v>
      </c>
      <c r="L3028">
        <v>34</v>
      </c>
      <c r="M3028">
        <v>0.12</v>
      </c>
      <c r="N3028">
        <v>0.12</v>
      </c>
      <c r="O3028">
        <v>0</v>
      </c>
      <c r="P3028">
        <v>0</v>
      </c>
      <c r="Q3028" t="s">
        <v>108</v>
      </c>
    </row>
    <row r="3029" spans="1:17">
      <c r="A3029" t="s">
        <v>93</v>
      </c>
      <c r="B3029" t="s">
        <v>106</v>
      </c>
      <c r="C3029" t="s">
        <v>56</v>
      </c>
      <c r="D3029" t="s">
        <v>2812</v>
      </c>
      <c r="E3029">
        <v>13</v>
      </c>
      <c r="F3029" t="str">
        <f>VLOOKUP(E3029,[1]LOJA!$A:$B,2,0)</f>
        <v>CEILÂNDIA</v>
      </c>
      <c r="G3029" t="s">
        <v>19</v>
      </c>
      <c r="H3029" t="s">
        <v>19</v>
      </c>
      <c r="I3029" s="1">
        <v>46042</v>
      </c>
      <c r="J3029" s="1">
        <v>46042</v>
      </c>
      <c r="K3029" s="1">
        <v>46042</v>
      </c>
      <c r="L3029">
        <v>34</v>
      </c>
      <c r="M3029">
        <v>25.55</v>
      </c>
      <c r="N3029">
        <v>25.55</v>
      </c>
      <c r="O3029">
        <v>0</v>
      </c>
      <c r="P3029">
        <v>0</v>
      </c>
      <c r="Q3029" t="s">
        <v>108</v>
      </c>
    </row>
    <row r="3030" spans="1:17">
      <c r="A3030" t="s">
        <v>93</v>
      </c>
      <c r="B3030" t="s">
        <v>106</v>
      </c>
      <c r="C3030" t="s">
        <v>56</v>
      </c>
      <c r="D3030" t="s">
        <v>2813</v>
      </c>
      <c r="E3030">
        <v>13</v>
      </c>
      <c r="F3030" t="str">
        <f>VLOOKUP(E3030,[1]LOJA!$A:$B,2,0)</f>
        <v>CEILÂNDIA</v>
      </c>
      <c r="G3030" t="s">
        <v>19</v>
      </c>
      <c r="H3030" t="s">
        <v>19</v>
      </c>
      <c r="I3030" s="1">
        <v>46042</v>
      </c>
      <c r="J3030" s="1">
        <v>46042</v>
      </c>
      <c r="K3030" s="1">
        <v>46042</v>
      </c>
      <c r="L3030">
        <v>34</v>
      </c>
      <c r="M3030">
        <v>2.19</v>
      </c>
      <c r="N3030">
        <v>2.19</v>
      </c>
      <c r="O3030">
        <v>0</v>
      </c>
      <c r="P3030">
        <v>0</v>
      </c>
      <c r="Q3030" t="s">
        <v>108</v>
      </c>
    </row>
    <row r="3031" spans="1:17">
      <c r="A3031" t="s">
        <v>93</v>
      </c>
      <c r="B3031" t="s">
        <v>106</v>
      </c>
      <c r="C3031" t="s">
        <v>56</v>
      </c>
      <c r="D3031" t="s">
        <v>2814</v>
      </c>
      <c r="E3031">
        <v>13</v>
      </c>
      <c r="F3031" t="str">
        <f>VLOOKUP(E3031,[1]LOJA!$A:$B,2,0)</f>
        <v>CEILÂNDIA</v>
      </c>
      <c r="G3031" t="s">
        <v>19</v>
      </c>
      <c r="H3031" t="s">
        <v>19</v>
      </c>
      <c r="I3031" s="1">
        <v>46042</v>
      </c>
      <c r="J3031" s="1">
        <v>46042</v>
      </c>
      <c r="K3031" s="1">
        <v>46042</v>
      </c>
      <c r="L3031">
        <v>34</v>
      </c>
      <c r="M3031">
        <v>1.73</v>
      </c>
      <c r="N3031">
        <v>1.73</v>
      </c>
      <c r="O3031">
        <v>0</v>
      </c>
      <c r="P3031">
        <v>0</v>
      </c>
      <c r="Q3031" t="s">
        <v>108</v>
      </c>
    </row>
    <row r="3032" spans="1:17">
      <c r="A3032" t="s">
        <v>93</v>
      </c>
      <c r="B3032" t="s">
        <v>106</v>
      </c>
      <c r="C3032" t="s">
        <v>56</v>
      </c>
      <c r="D3032" t="s">
        <v>2815</v>
      </c>
      <c r="E3032">
        <v>13</v>
      </c>
      <c r="F3032" t="str">
        <f>VLOOKUP(E3032,[1]LOJA!$A:$B,2,0)</f>
        <v>CEILÂNDIA</v>
      </c>
      <c r="G3032" t="s">
        <v>19</v>
      </c>
      <c r="H3032" t="s">
        <v>19</v>
      </c>
      <c r="I3032" s="1">
        <v>46042</v>
      </c>
      <c r="J3032" s="1">
        <v>46042</v>
      </c>
      <c r="K3032" s="1">
        <v>46042</v>
      </c>
      <c r="L3032">
        <v>34</v>
      </c>
      <c r="M3032">
        <v>0.57999999999999996</v>
      </c>
      <c r="N3032">
        <v>0.57999999999999996</v>
      </c>
      <c r="O3032">
        <v>0</v>
      </c>
      <c r="P3032">
        <v>0</v>
      </c>
      <c r="Q3032" t="s">
        <v>108</v>
      </c>
    </row>
    <row r="3033" spans="1:17">
      <c r="A3033" t="s">
        <v>93</v>
      </c>
      <c r="B3033" t="s">
        <v>106</v>
      </c>
      <c r="C3033" t="s">
        <v>56</v>
      </c>
      <c r="D3033" t="s">
        <v>2816</v>
      </c>
      <c r="E3033">
        <v>13</v>
      </c>
      <c r="F3033" t="str">
        <f>VLOOKUP(E3033,[1]LOJA!$A:$B,2,0)</f>
        <v>CEILÂNDIA</v>
      </c>
      <c r="G3033" t="s">
        <v>19</v>
      </c>
      <c r="H3033" t="s">
        <v>19</v>
      </c>
      <c r="I3033" s="1">
        <v>46042</v>
      </c>
      <c r="J3033" s="1">
        <v>46042</v>
      </c>
      <c r="K3033" s="1">
        <v>46042</v>
      </c>
      <c r="L3033">
        <v>34</v>
      </c>
      <c r="M3033">
        <v>0.52</v>
      </c>
      <c r="N3033">
        <v>0.52</v>
      </c>
      <c r="O3033">
        <v>0</v>
      </c>
      <c r="P3033">
        <v>0</v>
      </c>
      <c r="Q3033" t="s">
        <v>108</v>
      </c>
    </row>
    <row r="3034" spans="1:17">
      <c r="A3034" t="s">
        <v>93</v>
      </c>
      <c r="B3034" t="s">
        <v>106</v>
      </c>
      <c r="C3034" t="s">
        <v>56</v>
      </c>
      <c r="D3034" t="s">
        <v>2817</v>
      </c>
      <c r="E3034">
        <v>13</v>
      </c>
      <c r="F3034" t="str">
        <f>VLOOKUP(E3034,[1]LOJA!$A:$B,2,0)</f>
        <v>CEILÂNDIA</v>
      </c>
      <c r="G3034" t="s">
        <v>19</v>
      </c>
      <c r="H3034" t="s">
        <v>19</v>
      </c>
      <c r="I3034" s="1">
        <v>46042</v>
      </c>
      <c r="J3034" s="1">
        <v>46042</v>
      </c>
      <c r="K3034" s="1">
        <v>46042</v>
      </c>
      <c r="L3034">
        <v>34</v>
      </c>
      <c r="M3034">
        <v>0.88</v>
      </c>
      <c r="N3034">
        <v>0.88</v>
      </c>
      <c r="O3034">
        <v>0</v>
      </c>
      <c r="P3034">
        <v>0</v>
      </c>
      <c r="Q3034" t="s">
        <v>108</v>
      </c>
    </row>
    <row r="3035" spans="1:17">
      <c r="A3035" t="s">
        <v>93</v>
      </c>
      <c r="B3035" t="s">
        <v>106</v>
      </c>
      <c r="C3035" t="s">
        <v>56</v>
      </c>
      <c r="D3035" t="s">
        <v>2818</v>
      </c>
      <c r="E3035">
        <v>13</v>
      </c>
      <c r="F3035" t="str">
        <f>VLOOKUP(E3035,[1]LOJA!$A:$B,2,0)</f>
        <v>CEILÂNDIA</v>
      </c>
      <c r="G3035" t="s">
        <v>19</v>
      </c>
      <c r="H3035" t="s">
        <v>19</v>
      </c>
      <c r="I3035" s="1">
        <v>46042</v>
      </c>
      <c r="J3035" s="1">
        <v>46042</v>
      </c>
      <c r="K3035" s="1">
        <v>46042</v>
      </c>
      <c r="L3035">
        <v>34</v>
      </c>
      <c r="M3035">
        <v>0.44</v>
      </c>
      <c r="N3035">
        <v>0.44</v>
      </c>
      <c r="O3035">
        <v>0</v>
      </c>
      <c r="P3035">
        <v>0</v>
      </c>
      <c r="Q3035" t="s">
        <v>108</v>
      </c>
    </row>
    <row r="3036" spans="1:17">
      <c r="A3036" t="s">
        <v>93</v>
      </c>
      <c r="B3036" t="s">
        <v>106</v>
      </c>
      <c r="C3036" t="s">
        <v>56</v>
      </c>
      <c r="D3036" t="s">
        <v>2819</v>
      </c>
      <c r="E3036">
        <v>13</v>
      </c>
      <c r="F3036" t="str">
        <f>VLOOKUP(E3036,[1]LOJA!$A:$B,2,0)</f>
        <v>CEILÂNDIA</v>
      </c>
      <c r="G3036" t="s">
        <v>19</v>
      </c>
      <c r="H3036" t="s">
        <v>19</v>
      </c>
      <c r="I3036" s="1">
        <v>46042</v>
      </c>
      <c r="J3036" s="1">
        <v>46042</v>
      </c>
      <c r="K3036" s="1">
        <v>46042</v>
      </c>
      <c r="L3036">
        <v>34</v>
      </c>
      <c r="M3036">
        <v>0.05</v>
      </c>
      <c r="N3036">
        <v>0.05</v>
      </c>
      <c r="O3036">
        <v>0</v>
      </c>
      <c r="P3036">
        <v>0</v>
      </c>
      <c r="Q3036" t="s">
        <v>108</v>
      </c>
    </row>
    <row r="3037" spans="1:17">
      <c r="A3037" t="s">
        <v>93</v>
      </c>
      <c r="B3037" t="s">
        <v>106</v>
      </c>
      <c r="C3037" t="s">
        <v>56</v>
      </c>
      <c r="D3037" t="s">
        <v>2820</v>
      </c>
      <c r="E3037">
        <v>13</v>
      </c>
      <c r="F3037" t="str">
        <f>VLOOKUP(E3037,[1]LOJA!$A:$B,2,0)</f>
        <v>CEILÂNDIA</v>
      </c>
      <c r="G3037" t="s">
        <v>19</v>
      </c>
      <c r="H3037" t="s">
        <v>19</v>
      </c>
      <c r="I3037" s="1">
        <v>46042</v>
      </c>
      <c r="J3037" s="1">
        <v>46042</v>
      </c>
      <c r="K3037" s="1">
        <v>46042</v>
      </c>
      <c r="L3037">
        <v>34</v>
      </c>
      <c r="M3037">
        <v>0.26</v>
      </c>
      <c r="N3037">
        <v>0.26</v>
      </c>
      <c r="O3037">
        <v>0</v>
      </c>
      <c r="P3037">
        <v>0</v>
      </c>
      <c r="Q3037" t="s">
        <v>108</v>
      </c>
    </row>
    <row r="3038" spans="1:17">
      <c r="A3038" t="s">
        <v>93</v>
      </c>
      <c r="B3038" t="s">
        <v>106</v>
      </c>
      <c r="C3038" t="s">
        <v>56</v>
      </c>
      <c r="D3038" t="s">
        <v>2821</v>
      </c>
      <c r="E3038">
        <v>13</v>
      </c>
      <c r="F3038" t="str">
        <f>VLOOKUP(E3038,[1]LOJA!$A:$B,2,0)</f>
        <v>CEILÂNDIA</v>
      </c>
      <c r="G3038" t="s">
        <v>19</v>
      </c>
      <c r="H3038" t="s">
        <v>19</v>
      </c>
      <c r="I3038" s="1">
        <v>46042</v>
      </c>
      <c r="J3038" s="1">
        <v>46042</v>
      </c>
      <c r="K3038" s="1">
        <v>46042</v>
      </c>
      <c r="L3038">
        <v>34</v>
      </c>
      <c r="M3038">
        <v>4.6900000000000004</v>
      </c>
      <c r="N3038">
        <v>4.6900000000000004</v>
      </c>
      <c r="O3038">
        <v>0</v>
      </c>
      <c r="P3038">
        <v>0</v>
      </c>
      <c r="Q3038" t="s">
        <v>108</v>
      </c>
    </row>
    <row r="3039" spans="1:17">
      <c r="A3039" t="s">
        <v>93</v>
      </c>
      <c r="B3039" t="s">
        <v>106</v>
      </c>
      <c r="C3039" t="s">
        <v>56</v>
      </c>
      <c r="D3039" t="s">
        <v>2822</v>
      </c>
      <c r="E3039">
        <v>13</v>
      </c>
      <c r="F3039" t="str">
        <f>VLOOKUP(E3039,[1]LOJA!$A:$B,2,0)</f>
        <v>CEILÂNDIA</v>
      </c>
      <c r="G3039" t="s">
        <v>19</v>
      </c>
      <c r="H3039" t="s">
        <v>19</v>
      </c>
      <c r="I3039" s="1">
        <v>46042</v>
      </c>
      <c r="J3039" s="1">
        <v>46042</v>
      </c>
      <c r="K3039" s="1">
        <v>46042</v>
      </c>
      <c r="L3039">
        <v>34</v>
      </c>
      <c r="M3039">
        <v>0.67</v>
      </c>
      <c r="N3039">
        <v>0.67</v>
      </c>
      <c r="O3039">
        <v>0</v>
      </c>
      <c r="P3039">
        <v>0</v>
      </c>
      <c r="Q3039" t="s">
        <v>108</v>
      </c>
    </row>
    <row r="3040" spans="1:17">
      <c r="A3040" t="s">
        <v>93</v>
      </c>
      <c r="B3040" t="s">
        <v>106</v>
      </c>
      <c r="C3040" t="s">
        <v>56</v>
      </c>
      <c r="D3040" t="s">
        <v>2823</v>
      </c>
      <c r="E3040">
        <v>13</v>
      </c>
      <c r="F3040" t="str">
        <f>VLOOKUP(E3040,[1]LOJA!$A:$B,2,0)</f>
        <v>CEILÂNDIA</v>
      </c>
      <c r="G3040" t="s">
        <v>19</v>
      </c>
      <c r="H3040" t="s">
        <v>19</v>
      </c>
      <c r="I3040" s="1">
        <v>46042</v>
      </c>
      <c r="J3040" s="1">
        <v>46042</v>
      </c>
      <c r="K3040" s="1">
        <v>46042</v>
      </c>
      <c r="L3040">
        <v>34</v>
      </c>
      <c r="M3040">
        <v>0.49</v>
      </c>
      <c r="N3040">
        <v>0.49</v>
      </c>
      <c r="O3040">
        <v>0</v>
      </c>
      <c r="P3040">
        <v>0</v>
      </c>
      <c r="Q3040" t="s">
        <v>108</v>
      </c>
    </row>
    <row r="3041" spans="1:17">
      <c r="A3041" t="s">
        <v>93</v>
      </c>
      <c r="B3041" t="s">
        <v>106</v>
      </c>
      <c r="C3041" t="s">
        <v>56</v>
      </c>
      <c r="D3041" t="s">
        <v>2824</v>
      </c>
      <c r="E3041">
        <v>13</v>
      </c>
      <c r="F3041" t="str">
        <f>VLOOKUP(E3041,[1]LOJA!$A:$B,2,0)</f>
        <v>CEILÂNDIA</v>
      </c>
      <c r="G3041" t="s">
        <v>19</v>
      </c>
      <c r="H3041" t="s">
        <v>19</v>
      </c>
      <c r="I3041" s="1">
        <v>46042</v>
      </c>
      <c r="J3041" s="1">
        <v>46042</v>
      </c>
      <c r="K3041" s="1">
        <v>46042</v>
      </c>
      <c r="L3041">
        <v>34</v>
      </c>
      <c r="M3041">
        <v>0.14000000000000001</v>
      </c>
      <c r="N3041">
        <v>0.14000000000000001</v>
      </c>
      <c r="O3041">
        <v>0</v>
      </c>
      <c r="P3041">
        <v>0</v>
      </c>
      <c r="Q3041" t="s">
        <v>108</v>
      </c>
    </row>
    <row r="3042" spans="1:17">
      <c r="A3042" t="s">
        <v>93</v>
      </c>
      <c r="B3042" t="s">
        <v>106</v>
      </c>
      <c r="C3042" t="s">
        <v>56</v>
      </c>
      <c r="D3042" t="s">
        <v>2825</v>
      </c>
      <c r="E3042">
        <v>13</v>
      </c>
      <c r="F3042" t="str">
        <f>VLOOKUP(E3042,[1]LOJA!$A:$B,2,0)</f>
        <v>CEILÂNDIA</v>
      </c>
      <c r="G3042" t="s">
        <v>19</v>
      </c>
      <c r="H3042" t="s">
        <v>19</v>
      </c>
      <c r="I3042" s="1">
        <v>46042</v>
      </c>
      <c r="J3042" s="1">
        <v>46042</v>
      </c>
      <c r="K3042" s="1">
        <v>46042</v>
      </c>
      <c r="L3042">
        <v>34</v>
      </c>
      <c r="M3042">
        <v>0.34</v>
      </c>
      <c r="N3042">
        <v>0.34</v>
      </c>
      <c r="O3042">
        <v>0</v>
      </c>
      <c r="P3042">
        <v>0</v>
      </c>
      <c r="Q3042" t="s">
        <v>108</v>
      </c>
    </row>
    <row r="3043" spans="1:17">
      <c r="A3043" t="s">
        <v>93</v>
      </c>
      <c r="B3043" t="s">
        <v>106</v>
      </c>
      <c r="C3043" t="s">
        <v>56</v>
      </c>
      <c r="D3043" t="s">
        <v>2826</v>
      </c>
      <c r="E3043">
        <v>13</v>
      </c>
      <c r="F3043" t="str">
        <f>VLOOKUP(E3043,[1]LOJA!$A:$B,2,0)</f>
        <v>CEILÂNDIA</v>
      </c>
      <c r="G3043" t="s">
        <v>19</v>
      </c>
      <c r="H3043" t="s">
        <v>19</v>
      </c>
      <c r="I3043" s="1">
        <v>46043</v>
      </c>
      <c r="J3043" s="1">
        <v>46043</v>
      </c>
      <c r="K3043" s="1">
        <v>46043</v>
      </c>
      <c r="L3043">
        <v>34</v>
      </c>
      <c r="M3043">
        <v>13.04</v>
      </c>
      <c r="N3043">
        <v>13.04</v>
      </c>
      <c r="O3043">
        <v>0</v>
      </c>
      <c r="P3043">
        <v>0</v>
      </c>
      <c r="Q3043" t="s">
        <v>108</v>
      </c>
    </row>
    <row r="3044" spans="1:17">
      <c r="A3044" t="s">
        <v>93</v>
      </c>
      <c r="B3044" t="s">
        <v>106</v>
      </c>
      <c r="C3044" t="s">
        <v>56</v>
      </c>
      <c r="D3044" t="s">
        <v>2827</v>
      </c>
      <c r="E3044">
        <v>13</v>
      </c>
      <c r="F3044" t="str">
        <f>VLOOKUP(E3044,[1]LOJA!$A:$B,2,0)</f>
        <v>CEILÂNDIA</v>
      </c>
      <c r="G3044" t="s">
        <v>19</v>
      </c>
      <c r="H3044" t="s">
        <v>19</v>
      </c>
      <c r="I3044" s="1">
        <v>46043</v>
      </c>
      <c r="J3044" s="1">
        <v>46043</v>
      </c>
      <c r="K3044" s="1">
        <v>46043</v>
      </c>
      <c r="L3044">
        <v>34</v>
      </c>
      <c r="M3044">
        <v>2.92</v>
      </c>
      <c r="N3044">
        <v>2.92</v>
      </c>
      <c r="O3044">
        <v>0</v>
      </c>
      <c r="P3044">
        <v>0</v>
      </c>
      <c r="Q3044" t="s">
        <v>108</v>
      </c>
    </row>
    <row r="3045" spans="1:17">
      <c r="A3045" t="s">
        <v>93</v>
      </c>
      <c r="B3045" t="s">
        <v>106</v>
      </c>
      <c r="C3045" t="s">
        <v>56</v>
      </c>
      <c r="D3045" t="s">
        <v>2828</v>
      </c>
      <c r="E3045">
        <v>13</v>
      </c>
      <c r="F3045" t="str">
        <f>VLOOKUP(E3045,[1]LOJA!$A:$B,2,0)</f>
        <v>CEILÂNDIA</v>
      </c>
      <c r="G3045" t="s">
        <v>19</v>
      </c>
      <c r="H3045" t="s">
        <v>19</v>
      </c>
      <c r="I3045" s="1">
        <v>46043</v>
      </c>
      <c r="J3045" s="1">
        <v>46043</v>
      </c>
      <c r="K3045" s="1">
        <v>46043</v>
      </c>
      <c r="L3045">
        <v>34</v>
      </c>
      <c r="M3045">
        <v>0.93</v>
      </c>
      <c r="N3045">
        <v>0.93</v>
      </c>
      <c r="O3045">
        <v>0</v>
      </c>
      <c r="P3045">
        <v>0</v>
      </c>
      <c r="Q3045" t="s">
        <v>108</v>
      </c>
    </row>
    <row r="3046" spans="1:17">
      <c r="A3046" t="s">
        <v>93</v>
      </c>
      <c r="B3046" t="s">
        <v>106</v>
      </c>
      <c r="C3046" t="s">
        <v>56</v>
      </c>
      <c r="D3046" t="s">
        <v>2829</v>
      </c>
      <c r="E3046">
        <v>13</v>
      </c>
      <c r="F3046" t="str">
        <f>VLOOKUP(E3046,[1]LOJA!$A:$B,2,0)</f>
        <v>CEILÂNDIA</v>
      </c>
      <c r="G3046" t="s">
        <v>19</v>
      </c>
      <c r="H3046" t="s">
        <v>19</v>
      </c>
      <c r="I3046" s="1">
        <v>46043</v>
      </c>
      <c r="J3046" s="1">
        <v>46043</v>
      </c>
      <c r="K3046" s="1">
        <v>46043</v>
      </c>
      <c r="L3046">
        <v>34</v>
      </c>
      <c r="M3046">
        <v>1.41</v>
      </c>
      <c r="N3046">
        <v>1.41</v>
      </c>
      <c r="O3046">
        <v>0</v>
      </c>
      <c r="P3046">
        <v>0</v>
      </c>
      <c r="Q3046" t="s">
        <v>108</v>
      </c>
    </row>
    <row r="3047" spans="1:17">
      <c r="A3047" t="s">
        <v>93</v>
      </c>
      <c r="B3047" t="s">
        <v>106</v>
      </c>
      <c r="C3047" t="s">
        <v>56</v>
      </c>
      <c r="D3047" t="s">
        <v>2830</v>
      </c>
      <c r="E3047">
        <v>13</v>
      </c>
      <c r="F3047" t="str">
        <f>VLOOKUP(E3047,[1]LOJA!$A:$B,2,0)</f>
        <v>CEILÂNDIA</v>
      </c>
      <c r="G3047" t="s">
        <v>19</v>
      </c>
      <c r="H3047" t="s">
        <v>19</v>
      </c>
      <c r="I3047" s="1">
        <v>46043</v>
      </c>
      <c r="J3047" s="1">
        <v>46043</v>
      </c>
      <c r="K3047" s="1">
        <v>46043</v>
      </c>
      <c r="L3047">
        <v>34</v>
      </c>
      <c r="M3047">
        <v>1.57</v>
      </c>
      <c r="N3047">
        <v>1.57</v>
      </c>
      <c r="O3047">
        <v>0</v>
      </c>
      <c r="P3047">
        <v>0</v>
      </c>
      <c r="Q3047" t="s">
        <v>108</v>
      </c>
    </row>
    <row r="3048" spans="1:17">
      <c r="A3048" t="s">
        <v>93</v>
      </c>
      <c r="B3048" t="s">
        <v>106</v>
      </c>
      <c r="C3048" t="s">
        <v>56</v>
      </c>
      <c r="D3048" t="s">
        <v>2831</v>
      </c>
      <c r="E3048">
        <v>13</v>
      </c>
      <c r="F3048" t="str">
        <f>VLOOKUP(E3048,[1]LOJA!$A:$B,2,0)</f>
        <v>CEILÂNDIA</v>
      </c>
      <c r="G3048" t="s">
        <v>19</v>
      </c>
      <c r="H3048" t="s">
        <v>19</v>
      </c>
      <c r="I3048" s="1">
        <v>46043</v>
      </c>
      <c r="J3048" s="1">
        <v>46043</v>
      </c>
      <c r="K3048" s="1">
        <v>46043</v>
      </c>
      <c r="L3048">
        <v>34</v>
      </c>
      <c r="M3048">
        <v>12.94</v>
      </c>
      <c r="N3048">
        <v>12.94</v>
      </c>
      <c r="O3048">
        <v>0</v>
      </c>
      <c r="P3048">
        <v>0</v>
      </c>
      <c r="Q3048" t="s">
        <v>108</v>
      </c>
    </row>
    <row r="3049" spans="1:17">
      <c r="A3049" t="s">
        <v>93</v>
      </c>
      <c r="B3049" t="s">
        <v>106</v>
      </c>
      <c r="C3049" t="s">
        <v>56</v>
      </c>
      <c r="D3049" t="s">
        <v>2832</v>
      </c>
      <c r="E3049">
        <v>13</v>
      </c>
      <c r="F3049" t="str">
        <f>VLOOKUP(E3049,[1]LOJA!$A:$B,2,0)</f>
        <v>CEILÂNDIA</v>
      </c>
      <c r="G3049" t="s">
        <v>19</v>
      </c>
      <c r="H3049" t="s">
        <v>19</v>
      </c>
      <c r="I3049" s="1">
        <v>46043</v>
      </c>
      <c r="J3049" s="1">
        <v>46043</v>
      </c>
      <c r="K3049" s="1">
        <v>46043</v>
      </c>
      <c r="L3049">
        <v>34</v>
      </c>
      <c r="M3049">
        <v>0.23</v>
      </c>
      <c r="N3049">
        <v>0.23</v>
      </c>
      <c r="O3049">
        <v>0</v>
      </c>
      <c r="P3049">
        <v>0</v>
      </c>
      <c r="Q3049" t="s">
        <v>108</v>
      </c>
    </row>
    <row r="3050" spans="1:17">
      <c r="A3050" t="s">
        <v>93</v>
      </c>
      <c r="B3050" t="s">
        <v>106</v>
      </c>
      <c r="C3050" t="s">
        <v>56</v>
      </c>
      <c r="D3050" t="s">
        <v>2833</v>
      </c>
      <c r="E3050">
        <v>13</v>
      </c>
      <c r="F3050" t="str">
        <f>VLOOKUP(E3050,[1]LOJA!$A:$B,2,0)</f>
        <v>CEILÂNDIA</v>
      </c>
      <c r="G3050" t="s">
        <v>19</v>
      </c>
      <c r="H3050" t="s">
        <v>19</v>
      </c>
      <c r="I3050" s="1">
        <v>46043</v>
      </c>
      <c r="J3050" s="1">
        <v>46043</v>
      </c>
      <c r="K3050" s="1">
        <v>46043</v>
      </c>
      <c r="L3050">
        <v>34</v>
      </c>
      <c r="M3050">
        <v>0.5</v>
      </c>
      <c r="N3050">
        <v>0.5</v>
      </c>
      <c r="O3050">
        <v>0</v>
      </c>
      <c r="P3050">
        <v>0</v>
      </c>
      <c r="Q3050" t="s">
        <v>108</v>
      </c>
    </row>
    <row r="3051" spans="1:17">
      <c r="A3051" t="s">
        <v>93</v>
      </c>
      <c r="B3051" t="s">
        <v>106</v>
      </c>
      <c r="C3051" t="s">
        <v>56</v>
      </c>
      <c r="D3051" t="s">
        <v>2834</v>
      </c>
      <c r="E3051">
        <v>13</v>
      </c>
      <c r="F3051" t="str">
        <f>VLOOKUP(E3051,[1]LOJA!$A:$B,2,0)</f>
        <v>CEILÂNDIA</v>
      </c>
      <c r="G3051" t="s">
        <v>19</v>
      </c>
      <c r="H3051" t="s">
        <v>19</v>
      </c>
      <c r="I3051" s="1">
        <v>46043</v>
      </c>
      <c r="J3051" s="1">
        <v>46043</v>
      </c>
      <c r="K3051" s="1">
        <v>46043</v>
      </c>
      <c r="L3051">
        <v>34</v>
      </c>
      <c r="M3051">
        <v>1.34</v>
      </c>
      <c r="N3051">
        <v>1.34</v>
      </c>
      <c r="O3051">
        <v>0</v>
      </c>
      <c r="P3051">
        <v>0</v>
      </c>
      <c r="Q3051" t="s">
        <v>108</v>
      </c>
    </row>
    <row r="3052" spans="1:17">
      <c r="A3052" t="s">
        <v>93</v>
      </c>
      <c r="B3052" t="s">
        <v>106</v>
      </c>
      <c r="C3052" t="s">
        <v>56</v>
      </c>
      <c r="D3052" t="s">
        <v>2835</v>
      </c>
      <c r="E3052">
        <v>13</v>
      </c>
      <c r="F3052" t="str">
        <f>VLOOKUP(E3052,[1]LOJA!$A:$B,2,0)</f>
        <v>CEILÂNDIA</v>
      </c>
      <c r="G3052" t="s">
        <v>19</v>
      </c>
      <c r="H3052" t="s">
        <v>19</v>
      </c>
      <c r="I3052" s="1">
        <v>46043</v>
      </c>
      <c r="J3052" s="1">
        <v>46043</v>
      </c>
      <c r="K3052" s="1">
        <v>46043</v>
      </c>
      <c r="L3052">
        <v>34</v>
      </c>
      <c r="M3052">
        <v>0.2</v>
      </c>
      <c r="N3052">
        <v>0.2</v>
      </c>
      <c r="O3052">
        <v>0</v>
      </c>
      <c r="P3052">
        <v>0</v>
      </c>
      <c r="Q3052" t="s">
        <v>108</v>
      </c>
    </row>
    <row r="3053" spans="1:17">
      <c r="A3053" t="s">
        <v>93</v>
      </c>
      <c r="B3053" t="s">
        <v>106</v>
      </c>
      <c r="C3053" t="s">
        <v>56</v>
      </c>
      <c r="D3053" t="s">
        <v>2836</v>
      </c>
      <c r="E3053">
        <v>13</v>
      </c>
      <c r="F3053" t="str">
        <f>VLOOKUP(E3053,[1]LOJA!$A:$B,2,0)</f>
        <v>CEILÂNDIA</v>
      </c>
      <c r="G3053" t="s">
        <v>19</v>
      </c>
      <c r="H3053" t="s">
        <v>19</v>
      </c>
      <c r="I3053" s="1">
        <v>46043</v>
      </c>
      <c r="J3053" s="1">
        <v>46043</v>
      </c>
      <c r="K3053" s="1">
        <v>46043</v>
      </c>
      <c r="L3053">
        <v>34</v>
      </c>
      <c r="M3053">
        <v>1.01</v>
      </c>
      <c r="N3053">
        <v>1.01</v>
      </c>
      <c r="O3053">
        <v>0</v>
      </c>
      <c r="P3053">
        <v>0</v>
      </c>
      <c r="Q3053" t="s">
        <v>108</v>
      </c>
    </row>
    <row r="3054" spans="1:17">
      <c r="A3054" t="s">
        <v>93</v>
      </c>
      <c r="B3054" t="s">
        <v>106</v>
      </c>
      <c r="C3054" t="s">
        <v>56</v>
      </c>
      <c r="D3054" t="s">
        <v>2837</v>
      </c>
      <c r="E3054">
        <v>13</v>
      </c>
      <c r="F3054" t="str">
        <f>VLOOKUP(E3054,[1]LOJA!$A:$B,2,0)</f>
        <v>CEILÂNDIA</v>
      </c>
      <c r="G3054" t="s">
        <v>19</v>
      </c>
      <c r="H3054" t="s">
        <v>19</v>
      </c>
      <c r="I3054" s="1">
        <v>46043</v>
      </c>
      <c r="J3054" s="1">
        <v>46043</v>
      </c>
      <c r="K3054" s="1">
        <v>46043</v>
      </c>
      <c r="L3054">
        <v>34</v>
      </c>
      <c r="M3054">
        <v>0.13</v>
      </c>
      <c r="N3054">
        <v>0.13</v>
      </c>
      <c r="O3054">
        <v>0</v>
      </c>
      <c r="P3054">
        <v>0</v>
      </c>
      <c r="Q3054" t="s">
        <v>108</v>
      </c>
    </row>
    <row r="3055" spans="1:17">
      <c r="A3055" t="s">
        <v>93</v>
      </c>
      <c r="B3055" t="s">
        <v>106</v>
      </c>
      <c r="C3055" t="s">
        <v>56</v>
      </c>
      <c r="D3055" t="s">
        <v>2838</v>
      </c>
      <c r="E3055">
        <v>13</v>
      </c>
      <c r="F3055" t="str">
        <f>VLOOKUP(E3055,[1]LOJA!$A:$B,2,0)</f>
        <v>CEILÂNDIA</v>
      </c>
      <c r="G3055" t="s">
        <v>19</v>
      </c>
      <c r="H3055" t="s">
        <v>19</v>
      </c>
      <c r="I3055" s="1">
        <v>46043</v>
      </c>
      <c r="J3055" s="1">
        <v>46043</v>
      </c>
      <c r="K3055" s="1">
        <v>46043</v>
      </c>
      <c r="L3055">
        <v>34</v>
      </c>
      <c r="M3055">
        <v>0.47</v>
      </c>
      <c r="N3055">
        <v>0.47</v>
      </c>
      <c r="O3055">
        <v>0</v>
      </c>
      <c r="P3055">
        <v>0</v>
      </c>
      <c r="Q3055" t="s">
        <v>108</v>
      </c>
    </row>
    <row r="3056" spans="1:17">
      <c r="A3056" t="s">
        <v>93</v>
      </c>
      <c r="B3056" t="s">
        <v>106</v>
      </c>
      <c r="C3056" t="s">
        <v>56</v>
      </c>
      <c r="D3056" t="s">
        <v>2839</v>
      </c>
      <c r="E3056">
        <v>13</v>
      </c>
      <c r="F3056" t="str">
        <f>VLOOKUP(E3056,[1]LOJA!$A:$B,2,0)</f>
        <v>CEILÂNDIA</v>
      </c>
      <c r="G3056" t="s">
        <v>19</v>
      </c>
      <c r="H3056" t="s">
        <v>19</v>
      </c>
      <c r="I3056" s="1">
        <v>46044</v>
      </c>
      <c r="J3056" s="1">
        <v>46044</v>
      </c>
      <c r="K3056" s="1">
        <v>46044</v>
      </c>
      <c r="L3056">
        <v>34</v>
      </c>
      <c r="M3056">
        <v>5.48</v>
      </c>
      <c r="N3056">
        <v>5.48</v>
      </c>
      <c r="O3056">
        <v>0</v>
      </c>
      <c r="P3056">
        <v>0</v>
      </c>
      <c r="Q3056" t="s">
        <v>108</v>
      </c>
    </row>
    <row r="3057" spans="1:17">
      <c r="A3057" t="s">
        <v>93</v>
      </c>
      <c r="B3057" t="s">
        <v>106</v>
      </c>
      <c r="C3057" t="s">
        <v>56</v>
      </c>
      <c r="D3057" t="s">
        <v>2840</v>
      </c>
      <c r="E3057">
        <v>13</v>
      </c>
      <c r="F3057" t="str">
        <f>VLOOKUP(E3057,[1]LOJA!$A:$B,2,0)</f>
        <v>CEILÂNDIA</v>
      </c>
      <c r="G3057" t="s">
        <v>19</v>
      </c>
      <c r="H3057" t="s">
        <v>19</v>
      </c>
      <c r="I3057" s="1">
        <v>46044</v>
      </c>
      <c r="J3057" s="1">
        <v>46044</v>
      </c>
      <c r="K3057" s="1">
        <v>46044</v>
      </c>
      <c r="L3057">
        <v>34</v>
      </c>
      <c r="M3057">
        <v>2.2000000000000002</v>
      </c>
      <c r="N3057">
        <v>2.2000000000000002</v>
      </c>
      <c r="O3057">
        <v>0</v>
      </c>
      <c r="P3057">
        <v>0</v>
      </c>
      <c r="Q3057" t="s">
        <v>108</v>
      </c>
    </row>
    <row r="3058" spans="1:17">
      <c r="A3058" t="s">
        <v>93</v>
      </c>
      <c r="B3058" t="s">
        <v>106</v>
      </c>
      <c r="C3058" t="s">
        <v>56</v>
      </c>
      <c r="D3058" t="s">
        <v>2841</v>
      </c>
      <c r="E3058">
        <v>13</v>
      </c>
      <c r="F3058" t="str">
        <f>VLOOKUP(E3058,[1]LOJA!$A:$B,2,0)</f>
        <v>CEILÂNDIA</v>
      </c>
      <c r="G3058" t="s">
        <v>19</v>
      </c>
      <c r="H3058" t="s">
        <v>19</v>
      </c>
      <c r="I3058" s="1">
        <v>46044</v>
      </c>
      <c r="J3058" s="1">
        <v>46044</v>
      </c>
      <c r="K3058" s="1">
        <v>46044</v>
      </c>
      <c r="L3058">
        <v>34</v>
      </c>
      <c r="M3058">
        <v>25.55</v>
      </c>
      <c r="N3058">
        <v>25.55</v>
      </c>
      <c r="O3058">
        <v>0</v>
      </c>
      <c r="P3058">
        <v>0</v>
      </c>
      <c r="Q3058" t="s">
        <v>108</v>
      </c>
    </row>
    <row r="3059" spans="1:17">
      <c r="A3059" t="s">
        <v>93</v>
      </c>
      <c r="B3059" t="s">
        <v>106</v>
      </c>
      <c r="C3059" t="s">
        <v>56</v>
      </c>
      <c r="D3059" t="s">
        <v>2842</v>
      </c>
      <c r="E3059">
        <v>13</v>
      </c>
      <c r="F3059" t="str">
        <f>VLOOKUP(E3059,[1]LOJA!$A:$B,2,0)</f>
        <v>CEILÂNDIA</v>
      </c>
      <c r="G3059" t="s">
        <v>19</v>
      </c>
      <c r="H3059" t="s">
        <v>19</v>
      </c>
      <c r="I3059" s="1">
        <v>46044</v>
      </c>
      <c r="J3059" s="1">
        <v>46044</v>
      </c>
      <c r="K3059" s="1">
        <v>46044</v>
      </c>
      <c r="L3059">
        <v>34</v>
      </c>
      <c r="M3059">
        <v>3.15</v>
      </c>
      <c r="N3059">
        <v>3.15</v>
      </c>
      <c r="O3059">
        <v>0</v>
      </c>
      <c r="P3059">
        <v>0</v>
      </c>
      <c r="Q3059" t="s">
        <v>108</v>
      </c>
    </row>
    <row r="3060" spans="1:17">
      <c r="A3060" t="s">
        <v>93</v>
      </c>
      <c r="B3060" t="s">
        <v>106</v>
      </c>
      <c r="C3060" t="s">
        <v>56</v>
      </c>
      <c r="D3060" t="s">
        <v>2843</v>
      </c>
      <c r="E3060">
        <v>13</v>
      </c>
      <c r="F3060" t="str">
        <f>VLOOKUP(E3060,[1]LOJA!$A:$B,2,0)</f>
        <v>CEILÂNDIA</v>
      </c>
      <c r="G3060" t="s">
        <v>19</v>
      </c>
      <c r="H3060" t="s">
        <v>19</v>
      </c>
      <c r="I3060" s="1">
        <v>46044</v>
      </c>
      <c r="J3060" s="1">
        <v>46044</v>
      </c>
      <c r="K3060" s="1">
        <v>46044</v>
      </c>
      <c r="L3060">
        <v>34</v>
      </c>
      <c r="M3060">
        <v>11.18</v>
      </c>
      <c r="N3060">
        <v>11.18</v>
      </c>
      <c r="O3060">
        <v>0</v>
      </c>
      <c r="P3060">
        <v>0</v>
      </c>
      <c r="Q3060" t="s">
        <v>108</v>
      </c>
    </row>
    <row r="3061" spans="1:17">
      <c r="A3061" t="s">
        <v>93</v>
      </c>
      <c r="B3061" t="s">
        <v>106</v>
      </c>
      <c r="C3061" t="s">
        <v>56</v>
      </c>
      <c r="D3061" t="s">
        <v>2844</v>
      </c>
      <c r="E3061">
        <v>13</v>
      </c>
      <c r="F3061" t="str">
        <f>VLOOKUP(E3061,[1]LOJA!$A:$B,2,0)</f>
        <v>CEILÂNDIA</v>
      </c>
      <c r="G3061" t="s">
        <v>19</v>
      </c>
      <c r="H3061" t="s">
        <v>19</v>
      </c>
      <c r="I3061" s="1">
        <v>46044</v>
      </c>
      <c r="J3061" s="1">
        <v>46044</v>
      </c>
      <c r="K3061" s="1">
        <v>46044</v>
      </c>
      <c r="L3061">
        <v>34</v>
      </c>
      <c r="M3061">
        <v>1.23</v>
      </c>
      <c r="N3061">
        <v>1.23</v>
      </c>
      <c r="O3061">
        <v>0</v>
      </c>
      <c r="P3061">
        <v>0</v>
      </c>
      <c r="Q3061" t="s">
        <v>108</v>
      </c>
    </row>
    <row r="3062" spans="1:17">
      <c r="A3062" t="s">
        <v>93</v>
      </c>
      <c r="B3062" t="s">
        <v>106</v>
      </c>
      <c r="C3062" t="s">
        <v>56</v>
      </c>
      <c r="D3062" t="s">
        <v>2845</v>
      </c>
      <c r="E3062">
        <v>13</v>
      </c>
      <c r="F3062" t="str">
        <f>VLOOKUP(E3062,[1]LOJA!$A:$B,2,0)</f>
        <v>CEILÂNDIA</v>
      </c>
      <c r="G3062" t="s">
        <v>19</v>
      </c>
      <c r="H3062" t="s">
        <v>19</v>
      </c>
      <c r="I3062" s="1">
        <v>46044</v>
      </c>
      <c r="J3062" s="1">
        <v>46044</v>
      </c>
      <c r="K3062" s="1">
        <v>46044</v>
      </c>
      <c r="L3062">
        <v>34</v>
      </c>
      <c r="M3062">
        <v>2.36</v>
      </c>
      <c r="N3062">
        <v>2.36</v>
      </c>
      <c r="O3062">
        <v>0</v>
      </c>
      <c r="P3062">
        <v>0</v>
      </c>
      <c r="Q3062" t="s">
        <v>108</v>
      </c>
    </row>
    <row r="3063" spans="1:17">
      <c r="A3063" t="s">
        <v>93</v>
      </c>
      <c r="B3063" t="s">
        <v>106</v>
      </c>
      <c r="C3063" t="s">
        <v>56</v>
      </c>
      <c r="D3063" t="s">
        <v>2846</v>
      </c>
      <c r="E3063">
        <v>13</v>
      </c>
      <c r="F3063" t="str">
        <f>VLOOKUP(E3063,[1]LOJA!$A:$B,2,0)</f>
        <v>CEILÂNDIA</v>
      </c>
      <c r="G3063" t="s">
        <v>19</v>
      </c>
      <c r="H3063" t="s">
        <v>19</v>
      </c>
      <c r="I3063" s="1">
        <v>46044</v>
      </c>
      <c r="J3063" s="1">
        <v>46044</v>
      </c>
      <c r="K3063" s="1">
        <v>46044</v>
      </c>
      <c r="L3063">
        <v>34</v>
      </c>
      <c r="M3063">
        <v>2.54</v>
      </c>
      <c r="N3063">
        <v>2.54</v>
      </c>
      <c r="O3063">
        <v>0</v>
      </c>
      <c r="P3063">
        <v>0</v>
      </c>
      <c r="Q3063" t="s">
        <v>108</v>
      </c>
    </row>
    <row r="3064" spans="1:17">
      <c r="A3064" t="s">
        <v>93</v>
      </c>
      <c r="B3064" t="s">
        <v>106</v>
      </c>
      <c r="C3064" t="s">
        <v>56</v>
      </c>
      <c r="D3064" t="s">
        <v>2847</v>
      </c>
      <c r="E3064">
        <v>13</v>
      </c>
      <c r="F3064" t="str">
        <f>VLOOKUP(E3064,[1]LOJA!$A:$B,2,0)</f>
        <v>CEILÂNDIA</v>
      </c>
      <c r="G3064" t="s">
        <v>19</v>
      </c>
      <c r="H3064" t="s">
        <v>19</v>
      </c>
      <c r="I3064" s="1">
        <v>46044</v>
      </c>
      <c r="J3064" s="1">
        <v>46044</v>
      </c>
      <c r="K3064" s="1">
        <v>46044</v>
      </c>
      <c r="L3064">
        <v>34</v>
      </c>
      <c r="M3064">
        <v>0.96</v>
      </c>
      <c r="N3064">
        <v>0.96</v>
      </c>
      <c r="O3064">
        <v>0</v>
      </c>
      <c r="P3064">
        <v>0</v>
      </c>
      <c r="Q3064" t="s">
        <v>108</v>
      </c>
    </row>
    <row r="3065" spans="1:17">
      <c r="A3065" t="s">
        <v>93</v>
      </c>
      <c r="B3065" t="s">
        <v>106</v>
      </c>
      <c r="C3065" t="s">
        <v>56</v>
      </c>
      <c r="D3065" t="s">
        <v>2848</v>
      </c>
      <c r="E3065">
        <v>13</v>
      </c>
      <c r="F3065" t="str">
        <f>VLOOKUP(E3065,[1]LOJA!$A:$B,2,0)</f>
        <v>CEILÂNDIA</v>
      </c>
      <c r="G3065" t="s">
        <v>19</v>
      </c>
      <c r="H3065" t="s">
        <v>19</v>
      </c>
      <c r="I3065" s="1">
        <v>46044</v>
      </c>
      <c r="J3065" s="1">
        <v>46044</v>
      </c>
      <c r="K3065" s="1">
        <v>46044</v>
      </c>
      <c r="L3065">
        <v>34</v>
      </c>
      <c r="M3065">
        <v>2.76</v>
      </c>
      <c r="N3065">
        <v>2.76</v>
      </c>
      <c r="O3065">
        <v>0</v>
      </c>
      <c r="P3065">
        <v>0</v>
      </c>
      <c r="Q3065" t="s">
        <v>108</v>
      </c>
    </row>
    <row r="3066" spans="1:17">
      <c r="A3066" t="s">
        <v>93</v>
      </c>
      <c r="B3066" t="s">
        <v>106</v>
      </c>
      <c r="C3066" t="s">
        <v>56</v>
      </c>
      <c r="D3066" t="s">
        <v>2849</v>
      </c>
      <c r="E3066">
        <v>13</v>
      </c>
      <c r="F3066" t="str">
        <f>VLOOKUP(E3066,[1]LOJA!$A:$B,2,0)</f>
        <v>CEILÂNDIA</v>
      </c>
      <c r="G3066" t="s">
        <v>19</v>
      </c>
      <c r="H3066" t="s">
        <v>19</v>
      </c>
      <c r="I3066" s="1">
        <v>46044</v>
      </c>
      <c r="J3066" s="1">
        <v>46044</v>
      </c>
      <c r="K3066" s="1">
        <v>46044</v>
      </c>
      <c r="L3066">
        <v>34</v>
      </c>
      <c r="M3066">
        <v>3.12</v>
      </c>
      <c r="N3066">
        <v>3.12</v>
      </c>
      <c r="O3066">
        <v>0</v>
      </c>
      <c r="P3066">
        <v>0</v>
      </c>
      <c r="Q3066" t="s">
        <v>108</v>
      </c>
    </row>
    <row r="3067" spans="1:17">
      <c r="A3067" t="s">
        <v>93</v>
      </c>
      <c r="B3067" t="s">
        <v>106</v>
      </c>
      <c r="C3067" t="s">
        <v>56</v>
      </c>
      <c r="D3067" t="s">
        <v>2850</v>
      </c>
      <c r="E3067">
        <v>13</v>
      </c>
      <c r="F3067" t="str">
        <f>VLOOKUP(E3067,[1]LOJA!$A:$B,2,0)</f>
        <v>CEILÂNDIA</v>
      </c>
      <c r="G3067" t="s">
        <v>19</v>
      </c>
      <c r="H3067" t="s">
        <v>19</v>
      </c>
      <c r="I3067" s="1">
        <v>46044</v>
      </c>
      <c r="J3067" s="1">
        <v>46044</v>
      </c>
      <c r="K3067" s="1">
        <v>46044</v>
      </c>
      <c r="L3067">
        <v>34</v>
      </c>
      <c r="M3067">
        <v>2.7</v>
      </c>
      <c r="N3067">
        <v>2.7</v>
      </c>
      <c r="O3067">
        <v>0</v>
      </c>
      <c r="P3067">
        <v>0</v>
      </c>
      <c r="Q3067" t="s">
        <v>108</v>
      </c>
    </row>
    <row r="3068" spans="1:17">
      <c r="A3068" t="s">
        <v>93</v>
      </c>
      <c r="B3068" t="s">
        <v>106</v>
      </c>
      <c r="C3068" t="s">
        <v>56</v>
      </c>
      <c r="D3068" t="s">
        <v>2851</v>
      </c>
      <c r="E3068">
        <v>13</v>
      </c>
      <c r="F3068" t="str">
        <f>VLOOKUP(E3068,[1]LOJA!$A:$B,2,0)</f>
        <v>CEILÂNDIA</v>
      </c>
      <c r="G3068" t="s">
        <v>19</v>
      </c>
      <c r="H3068" t="s">
        <v>19</v>
      </c>
      <c r="I3068" s="1">
        <v>46044</v>
      </c>
      <c r="J3068" s="1">
        <v>46044</v>
      </c>
      <c r="K3068" s="1">
        <v>46044</v>
      </c>
      <c r="L3068">
        <v>34</v>
      </c>
      <c r="M3068">
        <v>0.17</v>
      </c>
      <c r="N3068">
        <v>0.17</v>
      </c>
      <c r="O3068">
        <v>0</v>
      </c>
      <c r="P3068">
        <v>0</v>
      </c>
      <c r="Q3068" t="s">
        <v>108</v>
      </c>
    </row>
    <row r="3069" spans="1:17">
      <c r="A3069" t="s">
        <v>93</v>
      </c>
      <c r="B3069" t="s">
        <v>106</v>
      </c>
      <c r="C3069" t="s">
        <v>56</v>
      </c>
      <c r="D3069" t="s">
        <v>2852</v>
      </c>
      <c r="E3069">
        <v>13</v>
      </c>
      <c r="F3069" t="str">
        <f>VLOOKUP(E3069,[1]LOJA!$A:$B,2,0)</f>
        <v>CEILÂNDIA</v>
      </c>
      <c r="G3069" t="s">
        <v>19</v>
      </c>
      <c r="H3069" t="s">
        <v>19</v>
      </c>
      <c r="I3069" s="1">
        <v>46044</v>
      </c>
      <c r="J3069" s="1">
        <v>46044</v>
      </c>
      <c r="K3069" s="1">
        <v>46044</v>
      </c>
      <c r="L3069">
        <v>34</v>
      </c>
      <c r="M3069">
        <v>0.41</v>
      </c>
      <c r="N3069">
        <v>0.41</v>
      </c>
      <c r="O3069">
        <v>0</v>
      </c>
      <c r="P3069">
        <v>0</v>
      </c>
      <c r="Q3069" t="s">
        <v>108</v>
      </c>
    </row>
    <row r="3070" spans="1:17">
      <c r="A3070" t="s">
        <v>93</v>
      </c>
      <c r="B3070" t="s">
        <v>106</v>
      </c>
      <c r="C3070" t="s">
        <v>56</v>
      </c>
      <c r="D3070" t="s">
        <v>2853</v>
      </c>
      <c r="E3070">
        <v>13</v>
      </c>
      <c r="F3070" t="str">
        <f>VLOOKUP(E3070,[1]LOJA!$A:$B,2,0)</f>
        <v>CEILÂNDIA</v>
      </c>
      <c r="G3070" t="s">
        <v>19</v>
      </c>
      <c r="H3070" t="s">
        <v>19</v>
      </c>
      <c r="I3070" s="1">
        <v>46044</v>
      </c>
      <c r="J3070" s="1">
        <v>46044</v>
      </c>
      <c r="K3070" s="1">
        <v>46044</v>
      </c>
      <c r="L3070">
        <v>34</v>
      </c>
      <c r="M3070">
        <v>0.74</v>
      </c>
      <c r="N3070">
        <v>0.74</v>
      </c>
      <c r="O3070">
        <v>0</v>
      </c>
      <c r="P3070">
        <v>0</v>
      </c>
      <c r="Q3070" t="s">
        <v>108</v>
      </c>
    </row>
    <row r="3071" spans="1:17">
      <c r="A3071" t="s">
        <v>93</v>
      </c>
      <c r="B3071" t="s">
        <v>106</v>
      </c>
      <c r="C3071" t="s">
        <v>56</v>
      </c>
      <c r="D3071" t="s">
        <v>2854</v>
      </c>
      <c r="E3071">
        <v>13</v>
      </c>
      <c r="F3071" t="str">
        <f>VLOOKUP(E3071,[1]LOJA!$A:$B,2,0)</f>
        <v>CEILÂNDIA</v>
      </c>
      <c r="G3071" t="s">
        <v>19</v>
      </c>
      <c r="H3071" t="s">
        <v>19</v>
      </c>
      <c r="I3071" s="1">
        <v>46044</v>
      </c>
      <c r="J3071" s="1">
        <v>46044</v>
      </c>
      <c r="K3071" s="1">
        <v>46044</v>
      </c>
      <c r="L3071">
        <v>34</v>
      </c>
      <c r="M3071">
        <v>0.18</v>
      </c>
      <c r="N3071">
        <v>0.18</v>
      </c>
      <c r="O3071">
        <v>0</v>
      </c>
      <c r="P3071">
        <v>0</v>
      </c>
      <c r="Q3071" t="s">
        <v>108</v>
      </c>
    </row>
    <row r="3072" spans="1:17">
      <c r="A3072" t="s">
        <v>93</v>
      </c>
      <c r="B3072" t="s">
        <v>106</v>
      </c>
      <c r="C3072" t="s">
        <v>56</v>
      </c>
      <c r="D3072" t="s">
        <v>2855</v>
      </c>
      <c r="E3072">
        <v>13</v>
      </c>
      <c r="F3072" t="str">
        <f>VLOOKUP(E3072,[1]LOJA!$A:$B,2,0)</f>
        <v>CEILÂNDIA</v>
      </c>
      <c r="G3072" t="s">
        <v>19</v>
      </c>
      <c r="H3072" t="s">
        <v>19</v>
      </c>
      <c r="I3072" s="1">
        <v>46044</v>
      </c>
      <c r="J3072" s="1">
        <v>46044</v>
      </c>
      <c r="K3072" s="1">
        <v>46044</v>
      </c>
      <c r="L3072">
        <v>34</v>
      </c>
      <c r="M3072">
        <v>0.35</v>
      </c>
      <c r="N3072">
        <v>0.35</v>
      </c>
      <c r="O3072">
        <v>0</v>
      </c>
      <c r="P3072">
        <v>0</v>
      </c>
      <c r="Q3072" t="s">
        <v>108</v>
      </c>
    </row>
    <row r="3073" spans="1:17">
      <c r="A3073" t="s">
        <v>93</v>
      </c>
      <c r="B3073" t="s">
        <v>106</v>
      </c>
      <c r="C3073" t="s">
        <v>56</v>
      </c>
      <c r="D3073" t="s">
        <v>2856</v>
      </c>
      <c r="E3073">
        <v>13</v>
      </c>
      <c r="F3073" t="str">
        <f>VLOOKUP(E3073,[1]LOJA!$A:$B,2,0)</f>
        <v>CEILÂNDIA</v>
      </c>
      <c r="G3073" t="s">
        <v>19</v>
      </c>
      <c r="H3073" t="s">
        <v>19</v>
      </c>
      <c r="I3073" s="1">
        <v>46044</v>
      </c>
      <c r="J3073" s="1">
        <v>46044</v>
      </c>
      <c r="K3073" s="1">
        <v>46044</v>
      </c>
      <c r="L3073">
        <v>34</v>
      </c>
      <c r="M3073">
        <v>1.27</v>
      </c>
      <c r="N3073">
        <v>1.27</v>
      </c>
      <c r="O3073">
        <v>0</v>
      </c>
      <c r="P3073">
        <v>0</v>
      </c>
      <c r="Q3073" t="s">
        <v>108</v>
      </c>
    </row>
    <row r="3074" spans="1:17">
      <c r="A3074" t="s">
        <v>93</v>
      </c>
      <c r="B3074" t="s">
        <v>106</v>
      </c>
      <c r="C3074" t="s">
        <v>56</v>
      </c>
      <c r="D3074" t="s">
        <v>2857</v>
      </c>
      <c r="E3074">
        <v>13</v>
      </c>
      <c r="F3074" t="str">
        <f>VLOOKUP(E3074,[1]LOJA!$A:$B,2,0)</f>
        <v>CEILÂNDIA</v>
      </c>
      <c r="G3074" t="s">
        <v>19</v>
      </c>
      <c r="H3074" t="s">
        <v>19</v>
      </c>
      <c r="I3074" s="1">
        <v>46044</v>
      </c>
      <c r="J3074" s="1">
        <v>46044</v>
      </c>
      <c r="K3074" s="1">
        <v>46044</v>
      </c>
      <c r="L3074">
        <v>34</v>
      </c>
      <c r="M3074">
        <v>0.84</v>
      </c>
      <c r="N3074">
        <v>0.84</v>
      </c>
      <c r="O3074">
        <v>0</v>
      </c>
      <c r="P3074">
        <v>0</v>
      </c>
      <c r="Q3074" t="s">
        <v>108</v>
      </c>
    </row>
    <row r="3075" spans="1:17">
      <c r="A3075" t="s">
        <v>93</v>
      </c>
      <c r="B3075" t="s">
        <v>106</v>
      </c>
      <c r="C3075" t="s">
        <v>56</v>
      </c>
      <c r="D3075" t="s">
        <v>2858</v>
      </c>
      <c r="E3075">
        <v>13</v>
      </c>
      <c r="F3075" t="str">
        <f>VLOOKUP(E3075,[1]LOJA!$A:$B,2,0)</f>
        <v>CEILÂNDIA</v>
      </c>
      <c r="G3075" t="s">
        <v>19</v>
      </c>
      <c r="H3075" t="s">
        <v>19</v>
      </c>
      <c r="I3075" s="1">
        <v>46044</v>
      </c>
      <c r="J3075" s="1">
        <v>46044</v>
      </c>
      <c r="K3075" s="1">
        <v>46044</v>
      </c>
      <c r="L3075">
        <v>34</v>
      </c>
      <c r="M3075">
        <v>0.2</v>
      </c>
      <c r="N3075">
        <v>0.2</v>
      </c>
      <c r="O3075">
        <v>0</v>
      </c>
      <c r="P3075">
        <v>0</v>
      </c>
      <c r="Q3075" t="s">
        <v>108</v>
      </c>
    </row>
    <row r="3076" spans="1:17">
      <c r="A3076" t="s">
        <v>93</v>
      </c>
      <c r="B3076" t="s">
        <v>106</v>
      </c>
      <c r="C3076" t="s">
        <v>56</v>
      </c>
      <c r="D3076" t="s">
        <v>2859</v>
      </c>
      <c r="E3076">
        <v>13</v>
      </c>
      <c r="F3076" t="str">
        <f>VLOOKUP(E3076,[1]LOJA!$A:$B,2,0)</f>
        <v>CEILÂNDIA</v>
      </c>
      <c r="G3076" t="s">
        <v>19</v>
      </c>
      <c r="H3076" t="s">
        <v>19</v>
      </c>
      <c r="I3076" s="1">
        <v>46044</v>
      </c>
      <c r="J3076" s="1">
        <v>46044</v>
      </c>
      <c r="K3076" s="1">
        <v>46044</v>
      </c>
      <c r="L3076">
        <v>34</v>
      </c>
      <c r="M3076">
        <v>0.05</v>
      </c>
      <c r="N3076">
        <v>0.05</v>
      </c>
      <c r="O3076">
        <v>0</v>
      </c>
      <c r="P3076">
        <v>0</v>
      </c>
      <c r="Q3076" t="s">
        <v>108</v>
      </c>
    </row>
    <row r="3077" spans="1:17">
      <c r="A3077" t="s">
        <v>93</v>
      </c>
      <c r="B3077" t="s">
        <v>106</v>
      </c>
      <c r="C3077" t="s">
        <v>56</v>
      </c>
      <c r="D3077" t="s">
        <v>2860</v>
      </c>
      <c r="E3077">
        <v>13</v>
      </c>
      <c r="F3077" t="str">
        <f>VLOOKUP(E3077,[1]LOJA!$A:$B,2,0)</f>
        <v>CEILÂNDIA</v>
      </c>
      <c r="G3077" t="s">
        <v>19</v>
      </c>
      <c r="H3077" t="s">
        <v>19</v>
      </c>
      <c r="I3077" s="1">
        <v>46045</v>
      </c>
      <c r="J3077" s="1">
        <v>46045</v>
      </c>
      <c r="K3077" s="1">
        <v>46045</v>
      </c>
      <c r="L3077">
        <v>34</v>
      </c>
      <c r="M3077">
        <v>2.52</v>
      </c>
      <c r="N3077">
        <v>2.52</v>
      </c>
      <c r="O3077">
        <v>0</v>
      </c>
      <c r="P3077">
        <v>0</v>
      </c>
      <c r="Q3077" t="s">
        <v>108</v>
      </c>
    </row>
    <row r="3078" spans="1:17">
      <c r="A3078" t="s">
        <v>93</v>
      </c>
      <c r="B3078" t="s">
        <v>106</v>
      </c>
      <c r="C3078" t="s">
        <v>56</v>
      </c>
      <c r="D3078" t="s">
        <v>2861</v>
      </c>
      <c r="E3078">
        <v>13</v>
      </c>
      <c r="F3078" t="str">
        <f>VLOOKUP(E3078,[1]LOJA!$A:$B,2,0)</f>
        <v>CEILÂNDIA</v>
      </c>
      <c r="G3078" t="s">
        <v>19</v>
      </c>
      <c r="H3078" t="s">
        <v>19</v>
      </c>
      <c r="I3078" s="1">
        <v>46045</v>
      </c>
      <c r="J3078" s="1">
        <v>46045</v>
      </c>
      <c r="K3078" s="1">
        <v>46045</v>
      </c>
      <c r="L3078">
        <v>34</v>
      </c>
      <c r="M3078">
        <v>3.5</v>
      </c>
      <c r="N3078">
        <v>3.5</v>
      </c>
      <c r="O3078">
        <v>0</v>
      </c>
      <c r="P3078">
        <v>0</v>
      </c>
      <c r="Q3078" t="s">
        <v>108</v>
      </c>
    </row>
    <row r="3079" spans="1:17">
      <c r="A3079" t="s">
        <v>93</v>
      </c>
      <c r="B3079" t="s">
        <v>106</v>
      </c>
      <c r="C3079" t="s">
        <v>56</v>
      </c>
      <c r="D3079" t="s">
        <v>2862</v>
      </c>
      <c r="E3079">
        <v>13</v>
      </c>
      <c r="F3079" t="str">
        <f>VLOOKUP(E3079,[1]LOJA!$A:$B,2,0)</f>
        <v>CEILÂNDIA</v>
      </c>
      <c r="G3079" t="s">
        <v>19</v>
      </c>
      <c r="H3079" t="s">
        <v>19</v>
      </c>
      <c r="I3079" s="1">
        <v>46045</v>
      </c>
      <c r="J3079" s="1">
        <v>46045</v>
      </c>
      <c r="K3079" s="1">
        <v>46045</v>
      </c>
      <c r="L3079">
        <v>34</v>
      </c>
      <c r="M3079">
        <v>0.22</v>
      </c>
      <c r="N3079">
        <v>0.22</v>
      </c>
      <c r="O3079">
        <v>0</v>
      </c>
      <c r="P3079">
        <v>0</v>
      </c>
      <c r="Q3079" t="s">
        <v>108</v>
      </c>
    </row>
    <row r="3080" spans="1:17">
      <c r="A3080" t="s">
        <v>93</v>
      </c>
      <c r="B3080" t="s">
        <v>106</v>
      </c>
      <c r="C3080" t="s">
        <v>56</v>
      </c>
      <c r="D3080" t="s">
        <v>2863</v>
      </c>
      <c r="E3080">
        <v>13</v>
      </c>
      <c r="F3080" t="str">
        <f>VLOOKUP(E3080,[1]LOJA!$A:$B,2,0)</f>
        <v>CEILÂNDIA</v>
      </c>
      <c r="G3080" t="s">
        <v>19</v>
      </c>
      <c r="H3080" t="s">
        <v>19</v>
      </c>
      <c r="I3080" s="1">
        <v>46045</v>
      </c>
      <c r="J3080" s="1">
        <v>46045</v>
      </c>
      <c r="K3080" s="1">
        <v>46045</v>
      </c>
      <c r="L3080">
        <v>34</v>
      </c>
      <c r="M3080">
        <v>0.33</v>
      </c>
      <c r="N3080">
        <v>0.33</v>
      </c>
      <c r="O3080">
        <v>0</v>
      </c>
      <c r="P3080">
        <v>0</v>
      </c>
      <c r="Q3080" t="s">
        <v>108</v>
      </c>
    </row>
    <row r="3081" spans="1:17">
      <c r="A3081" t="s">
        <v>93</v>
      </c>
      <c r="B3081" t="s">
        <v>106</v>
      </c>
      <c r="C3081" t="s">
        <v>56</v>
      </c>
      <c r="D3081" t="s">
        <v>2864</v>
      </c>
      <c r="E3081">
        <v>13</v>
      </c>
      <c r="F3081" t="str">
        <f>VLOOKUP(E3081,[1]LOJA!$A:$B,2,0)</f>
        <v>CEILÂNDIA</v>
      </c>
      <c r="G3081" t="s">
        <v>19</v>
      </c>
      <c r="H3081" t="s">
        <v>19</v>
      </c>
      <c r="I3081" s="1">
        <v>46045</v>
      </c>
      <c r="J3081" s="1">
        <v>46045</v>
      </c>
      <c r="K3081" s="1">
        <v>46045</v>
      </c>
      <c r="L3081">
        <v>34</v>
      </c>
      <c r="M3081">
        <v>0.23</v>
      </c>
      <c r="N3081">
        <v>0.23</v>
      </c>
      <c r="O3081">
        <v>0</v>
      </c>
      <c r="P3081">
        <v>0</v>
      </c>
      <c r="Q3081" t="s">
        <v>108</v>
      </c>
    </row>
    <row r="3082" spans="1:17">
      <c r="A3082" t="s">
        <v>93</v>
      </c>
      <c r="B3082" t="s">
        <v>106</v>
      </c>
      <c r="C3082" t="s">
        <v>56</v>
      </c>
      <c r="D3082" t="s">
        <v>2865</v>
      </c>
      <c r="E3082">
        <v>13</v>
      </c>
      <c r="F3082" t="str">
        <f>VLOOKUP(E3082,[1]LOJA!$A:$B,2,0)</f>
        <v>CEILÂNDIA</v>
      </c>
      <c r="G3082" t="s">
        <v>19</v>
      </c>
      <c r="H3082" t="s">
        <v>19</v>
      </c>
      <c r="I3082" s="1">
        <v>46045</v>
      </c>
      <c r="J3082" s="1">
        <v>46045</v>
      </c>
      <c r="K3082" s="1">
        <v>46045</v>
      </c>
      <c r="L3082">
        <v>34</v>
      </c>
      <c r="M3082">
        <v>0.2</v>
      </c>
      <c r="N3082">
        <v>0.2</v>
      </c>
      <c r="O3082">
        <v>0</v>
      </c>
      <c r="P3082">
        <v>0</v>
      </c>
      <c r="Q3082" t="s">
        <v>108</v>
      </c>
    </row>
    <row r="3083" spans="1:17">
      <c r="A3083" t="s">
        <v>93</v>
      </c>
      <c r="B3083" t="s">
        <v>106</v>
      </c>
      <c r="C3083" t="s">
        <v>56</v>
      </c>
      <c r="D3083" t="s">
        <v>2866</v>
      </c>
      <c r="E3083">
        <v>13</v>
      </c>
      <c r="F3083" t="str">
        <f>VLOOKUP(E3083,[1]LOJA!$A:$B,2,0)</f>
        <v>CEILÂNDIA</v>
      </c>
      <c r="G3083" t="s">
        <v>19</v>
      </c>
      <c r="H3083" t="s">
        <v>19</v>
      </c>
      <c r="I3083" s="1">
        <v>46045</v>
      </c>
      <c r="J3083" s="1">
        <v>46045</v>
      </c>
      <c r="K3083" s="1">
        <v>46045</v>
      </c>
      <c r="L3083">
        <v>34</v>
      </c>
      <c r="M3083">
        <v>2.42</v>
      </c>
      <c r="N3083">
        <v>2.42</v>
      </c>
      <c r="O3083">
        <v>0</v>
      </c>
      <c r="P3083">
        <v>0</v>
      </c>
      <c r="Q3083" t="s">
        <v>108</v>
      </c>
    </row>
    <row r="3084" spans="1:17">
      <c r="A3084" t="s">
        <v>93</v>
      </c>
      <c r="B3084" t="s">
        <v>106</v>
      </c>
      <c r="C3084" t="s">
        <v>56</v>
      </c>
      <c r="D3084" t="s">
        <v>2867</v>
      </c>
      <c r="E3084">
        <v>13</v>
      </c>
      <c r="F3084" t="str">
        <f>VLOOKUP(E3084,[1]LOJA!$A:$B,2,0)</f>
        <v>CEILÂNDIA</v>
      </c>
      <c r="G3084" t="s">
        <v>19</v>
      </c>
      <c r="H3084" t="s">
        <v>19</v>
      </c>
      <c r="I3084" s="1">
        <v>46045</v>
      </c>
      <c r="J3084" s="1">
        <v>46045</v>
      </c>
      <c r="K3084" s="1">
        <v>46045</v>
      </c>
      <c r="L3084">
        <v>34</v>
      </c>
      <c r="M3084">
        <v>3.36</v>
      </c>
      <c r="N3084">
        <v>3.36</v>
      </c>
      <c r="O3084">
        <v>0</v>
      </c>
      <c r="P3084">
        <v>0</v>
      </c>
      <c r="Q3084" t="s">
        <v>108</v>
      </c>
    </row>
    <row r="3085" spans="1:17">
      <c r="A3085" t="s">
        <v>93</v>
      </c>
      <c r="B3085" t="s">
        <v>106</v>
      </c>
      <c r="C3085" t="s">
        <v>56</v>
      </c>
      <c r="D3085" t="s">
        <v>2868</v>
      </c>
      <c r="E3085">
        <v>13</v>
      </c>
      <c r="F3085" t="str">
        <f>VLOOKUP(E3085,[1]LOJA!$A:$B,2,0)</f>
        <v>CEILÂNDIA</v>
      </c>
      <c r="G3085" t="s">
        <v>19</v>
      </c>
      <c r="H3085" t="s">
        <v>19</v>
      </c>
      <c r="I3085" s="1">
        <v>46045</v>
      </c>
      <c r="J3085" s="1">
        <v>46045</v>
      </c>
      <c r="K3085" s="1">
        <v>46045</v>
      </c>
      <c r="L3085">
        <v>34</v>
      </c>
      <c r="M3085">
        <v>0.2</v>
      </c>
      <c r="N3085">
        <v>0.2</v>
      </c>
      <c r="O3085">
        <v>0</v>
      </c>
      <c r="P3085">
        <v>0</v>
      </c>
      <c r="Q3085" t="s">
        <v>108</v>
      </c>
    </row>
    <row r="3086" spans="1:17">
      <c r="A3086" t="s">
        <v>93</v>
      </c>
      <c r="B3086" t="s">
        <v>106</v>
      </c>
      <c r="C3086" t="s">
        <v>56</v>
      </c>
      <c r="D3086" t="s">
        <v>2869</v>
      </c>
      <c r="E3086">
        <v>13</v>
      </c>
      <c r="F3086" t="str">
        <f>VLOOKUP(E3086,[1]LOJA!$A:$B,2,0)</f>
        <v>CEILÂNDIA</v>
      </c>
      <c r="G3086" t="s">
        <v>19</v>
      </c>
      <c r="H3086" t="s">
        <v>19</v>
      </c>
      <c r="I3086" s="1">
        <v>46048</v>
      </c>
      <c r="J3086" s="1">
        <v>46048</v>
      </c>
      <c r="K3086" s="1">
        <v>46048</v>
      </c>
      <c r="L3086">
        <v>34</v>
      </c>
      <c r="M3086">
        <v>7.52</v>
      </c>
      <c r="N3086">
        <v>7.52</v>
      </c>
      <c r="O3086">
        <v>0</v>
      </c>
      <c r="P3086">
        <v>0</v>
      </c>
      <c r="Q3086" t="s">
        <v>108</v>
      </c>
    </row>
    <row r="3087" spans="1:17">
      <c r="A3087" t="s">
        <v>93</v>
      </c>
      <c r="B3087" t="s">
        <v>106</v>
      </c>
      <c r="C3087" t="s">
        <v>56</v>
      </c>
      <c r="D3087" t="s">
        <v>2870</v>
      </c>
      <c r="E3087">
        <v>13</v>
      </c>
      <c r="F3087" t="str">
        <f>VLOOKUP(E3087,[1]LOJA!$A:$B,2,0)</f>
        <v>CEILÂNDIA</v>
      </c>
      <c r="G3087" t="s">
        <v>19</v>
      </c>
      <c r="H3087" t="s">
        <v>19</v>
      </c>
      <c r="I3087" s="1">
        <v>46048</v>
      </c>
      <c r="J3087" s="1">
        <v>46048</v>
      </c>
      <c r="K3087" s="1">
        <v>46048</v>
      </c>
      <c r="L3087">
        <v>34</v>
      </c>
      <c r="M3087">
        <v>7.3</v>
      </c>
      <c r="N3087">
        <v>7.3</v>
      </c>
      <c r="O3087">
        <v>0</v>
      </c>
      <c r="P3087">
        <v>0</v>
      </c>
      <c r="Q3087" t="s">
        <v>108</v>
      </c>
    </row>
    <row r="3088" spans="1:17">
      <c r="A3088" t="s">
        <v>93</v>
      </c>
      <c r="B3088" t="s">
        <v>106</v>
      </c>
      <c r="C3088" t="s">
        <v>56</v>
      </c>
      <c r="D3088" t="s">
        <v>2871</v>
      </c>
      <c r="E3088">
        <v>13</v>
      </c>
      <c r="F3088" t="str">
        <f>VLOOKUP(E3088,[1]LOJA!$A:$B,2,0)</f>
        <v>CEILÂNDIA</v>
      </c>
      <c r="G3088" t="s">
        <v>19</v>
      </c>
      <c r="H3088" t="s">
        <v>19</v>
      </c>
      <c r="I3088" s="1">
        <v>46048</v>
      </c>
      <c r="J3088" s="1">
        <v>46048</v>
      </c>
      <c r="K3088" s="1">
        <v>46048</v>
      </c>
      <c r="L3088">
        <v>34</v>
      </c>
      <c r="M3088">
        <v>8.44</v>
      </c>
      <c r="N3088">
        <v>8.44</v>
      </c>
      <c r="O3088">
        <v>0</v>
      </c>
      <c r="P3088">
        <v>0</v>
      </c>
      <c r="Q3088" t="s">
        <v>108</v>
      </c>
    </row>
    <row r="3089" spans="1:17">
      <c r="A3089" t="s">
        <v>93</v>
      </c>
      <c r="B3089" t="s">
        <v>106</v>
      </c>
      <c r="C3089" t="s">
        <v>56</v>
      </c>
      <c r="D3089" t="s">
        <v>2872</v>
      </c>
      <c r="E3089">
        <v>13</v>
      </c>
      <c r="F3089" t="str">
        <f>VLOOKUP(E3089,[1]LOJA!$A:$B,2,0)</f>
        <v>CEILÂNDIA</v>
      </c>
      <c r="G3089" t="s">
        <v>19</v>
      </c>
      <c r="H3089" t="s">
        <v>19</v>
      </c>
      <c r="I3089" s="1">
        <v>46048</v>
      </c>
      <c r="J3089" s="1">
        <v>46048</v>
      </c>
      <c r="K3089" s="1">
        <v>46048</v>
      </c>
      <c r="L3089">
        <v>34</v>
      </c>
      <c r="M3089">
        <v>4.53</v>
      </c>
      <c r="N3089">
        <v>4.53</v>
      </c>
      <c r="O3089">
        <v>0</v>
      </c>
      <c r="P3089">
        <v>0</v>
      </c>
      <c r="Q3089" t="s">
        <v>108</v>
      </c>
    </row>
    <row r="3090" spans="1:17">
      <c r="A3090" t="s">
        <v>93</v>
      </c>
      <c r="B3090" t="s">
        <v>106</v>
      </c>
      <c r="C3090" t="s">
        <v>56</v>
      </c>
      <c r="D3090" t="s">
        <v>2873</v>
      </c>
      <c r="E3090">
        <v>13</v>
      </c>
      <c r="F3090" t="str">
        <f>VLOOKUP(E3090,[1]LOJA!$A:$B,2,0)</f>
        <v>CEILÂNDIA</v>
      </c>
      <c r="G3090" t="s">
        <v>19</v>
      </c>
      <c r="H3090" t="s">
        <v>19</v>
      </c>
      <c r="I3090" s="1">
        <v>46048</v>
      </c>
      <c r="J3090" s="1">
        <v>46048</v>
      </c>
      <c r="K3090" s="1">
        <v>46048</v>
      </c>
      <c r="L3090">
        <v>34</v>
      </c>
      <c r="M3090">
        <v>4.5999999999999996</v>
      </c>
      <c r="N3090">
        <v>4.5999999999999996</v>
      </c>
      <c r="O3090">
        <v>0</v>
      </c>
      <c r="P3090">
        <v>0</v>
      </c>
      <c r="Q3090" t="s">
        <v>108</v>
      </c>
    </row>
    <row r="3091" spans="1:17">
      <c r="A3091" t="s">
        <v>93</v>
      </c>
      <c r="B3091" t="s">
        <v>106</v>
      </c>
      <c r="C3091" t="s">
        <v>56</v>
      </c>
      <c r="D3091" t="s">
        <v>2874</v>
      </c>
      <c r="E3091">
        <v>13</v>
      </c>
      <c r="F3091" t="str">
        <f>VLOOKUP(E3091,[1]LOJA!$A:$B,2,0)</f>
        <v>CEILÂNDIA</v>
      </c>
      <c r="G3091" t="s">
        <v>19</v>
      </c>
      <c r="H3091" t="s">
        <v>19</v>
      </c>
      <c r="I3091" s="1">
        <v>46048</v>
      </c>
      <c r="J3091" s="1">
        <v>46048</v>
      </c>
      <c r="K3091" s="1">
        <v>46048</v>
      </c>
      <c r="L3091">
        <v>34</v>
      </c>
      <c r="M3091">
        <v>8.39</v>
      </c>
      <c r="N3091">
        <v>8.39</v>
      </c>
      <c r="O3091">
        <v>0</v>
      </c>
      <c r="P3091">
        <v>0</v>
      </c>
      <c r="Q3091" t="s">
        <v>108</v>
      </c>
    </row>
    <row r="3092" spans="1:17">
      <c r="A3092" t="s">
        <v>93</v>
      </c>
      <c r="B3092" t="s">
        <v>106</v>
      </c>
      <c r="C3092" t="s">
        <v>56</v>
      </c>
      <c r="D3092" t="s">
        <v>2875</v>
      </c>
      <c r="E3092">
        <v>13</v>
      </c>
      <c r="F3092" t="str">
        <f>VLOOKUP(E3092,[1]LOJA!$A:$B,2,0)</f>
        <v>CEILÂNDIA</v>
      </c>
      <c r="G3092" t="s">
        <v>19</v>
      </c>
      <c r="H3092" t="s">
        <v>19</v>
      </c>
      <c r="I3092" s="1">
        <v>46048</v>
      </c>
      <c r="J3092" s="1">
        <v>46048</v>
      </c>
      <c r="K3092" s="1">
        <v>46048</v>
      </c>
      <c r="L3092">
        <v>34</v>
      </c>
      <c r="M3092">
        <v>4.97</v>
      </c>
      <c r="N3092">
        <v>4.97</v>
      </c>
      <c r="O3092">
        <v>0</v>
      </c>
      <c r="P3092">
        <v>0</v>
      </c>
      <c r="Q3092" t="s">
        <v>108</v>
      </c>
    </row>
    <row r="3093" spans="1:17">
      <c r="A3093" t="s">
        <v>93</v>
      </c>
      <c r="B3093" t="s">
        <v>106</v>
      </c>
      <c r="C3093" t="s">
        <v>56</v>
      </c>
      <c r="D3093" t="s">
        <v>2876</v>
      </c>
      <c r="E3093">
        <v>13</v>
      </c>
      <c r="F3093" t="str">
        <f>VLOOKUP(E3093,[1]LOJA!$A:$B,2,0)</f>
        <v>CEILÂNDIA</v>
      </c>
      <c r="G3093" t="s">
        <v>19</v>
      </c>
      <c r="H3093" t="s">
        <v>19</v>
      </c>
      <c r="I3093" s="1">
        <v>46048</v>
      </c>
      <c r="J3093" s="1">
        <v>46048</v>
      </c>
      <c r="K3093" s="1">
        <v>46048</v>
      </c>
      <c r="L3093">
        <v>34</v>
      </c>
      <c r="M3093">
        <v>3.65</v>
      </c>
      <c r="N3093">
        <v>3.65</v>
      </c>
      <c r="O3093">
        <v>0</v>
      </c>
      <c r="P3093">
        <v>0</v>
      </c>
      <c r="Q3093" t="s">
        <v>108</v>
      </c>
    </row>
    <row r="3094" spans="1:17">
      <c r="A3094" t="s">
        <v>93</v>
      </c>
      <c r="B3094" t="s">
        <v>106</v>
      </c>
      <c r="C3094" t="s">
        <v>56</v>
      </c>
      <c r="D3094" t="s">
        <v>2877</v>
      </c>
      <c r="E3094">
        <v>13</v>
      </c>
      <c r="F3094" t="str">
        <f>VLOOKUP(E3094,[1]LOJA!$A:$B,2,0)</f>
        <v>CEILÂNDIA</v>
      </c>
      <c r="G3094" t="s">
        <v>19</v>
      </c>
      <c r="H3094" t="s">
        <v>19</v>
      </c>
      <c r="I3094" s="1">
        <v>46048</v>
      </c>
      <c r="J3094" s="1">
        <v>46048</v>
      </c>
      <c r="K3094" s="1">
        <v>46048</v>
      </c>
      <c r="L3094">
        <v>34</v>
      </c>
      <c r="M3094">
        <v>5.1100000000000003</v>
      </c>
      <c r="N3094">
        <v>5.1100000000000003</v>
      </c>
      <c r="O3094">
        <v>0</v>
      </c>
      <c r="P3094">
        <v>0</v>
      </c>
      <c r="Q3094" t="s">
        <v>108</v>
      </c>
    </row>
    <row r="3095" spans="1:17">
      <c r="A3095" t="s">
        <v>93</v>
      </c>
      <c r="B3095" t="s">
        <v>106</v>
      </c>
      <c r="C3095" t="s">
        <v>56</v>
      </c>
      <c r="D3095" t="s">
        <v>2878</v>
      </c>
      <c r="E3095">
        <v>13</v>
      </c>
      <c r="F3095" t="str">
        <f>VLOOKUP(E3095,[1]LOJA!$A:$B,2,0)</f>
        <v>CEILÂNDIA</v>
      </c>
      <c r="G3095" t="s">
        <v>19</v>
      </c>
      <c r="H3095" t="s">
        <v>19</v>
      </c>
      <c r="I3095" s="1">
        <v>46048</v>
      </c>
      <c r="J3095" s="1">
        <v>46047</v>
      </c>
      <c r="K3095" s="1">
        <v>46048</v>
      </c>
      <c r="L3095">
        <v>34</v>
      </c>
      <c r="M3095">
        <v>4.38</v>
      </c>
      <c r="N3095">
        <v>4.38</v>
      </c>
      <c r="O3095">
        <v>0</v>
      </c>
      <c r="P3095">
        <v>0</v>
      </c>
      <c r="Q3095" t="s">
        <v>108</v>
      </c>
    </row>
    <row r="3096" spans="1:17">
      <c r="A3096" t="s">
        <v>93</v>
      </c>
      <c r="B3096" t="s">
        <v>106</v>
      </c>
      <c r="C3096" t="s">
        <v>56</v>
      </c>
      <c r="D3096" t="s">
        <v>2879</v>
      </c>
      <c r="E3096">
        <v>13</v>
      </c>
      <c r="F3096" t="str">
        <f>VLOOKUP(E3096,[1]LOJA!$A:$B,2,0)</f>
        <v>CEILÂNDIA</v>
      </c>
      <c r="G3096" t="s">
        <v>19</v>
      </c>
      <c r="H3096" t="s">
        <v>19</v>
      </c>
      <c r="I3096" s="1">
        <v>46048</v>
      </c>
      <c r="J3096" s="1">
        <v>46047</v>
      </c>
      <c r="K3096" s="1">
        <v>46048</v>
      </c>
      <c r="L3096">
        <v>34</v>
      </c>
      <c r="M3096">
        <v>2.16</v>
      </c>
      <c r="N3096">
        <v>2.16</v>
      </c>
      <c r="O3096">
        <v>0</v>
      </c>
      <c r="P3096">
        <v>0</v>
      </c>
      <c r="Q3096" t="s">
        <v>108</v>
      </c>
    </row>
    <row r="3097" spans="1:17">
      <c r="A3097" t="s">
        <v>93</v>
      </c>
      <c r="B3097" t="s">
        <v>106</v>
      </c>
      <c r="C3097" t="s">
        <v>56</v>
      </c>
      <c r="D3097" t="s">
        <v>2880</v>
      </c>
      <c r="E3097">
        <v>13</v>
      </c>
      <c r="F3097" t="str">
        <f>VLOOKUP(E3097,[1]LOJA!$A:$B,2,0)</f>
        <v>CEILÂNDIA</v>
      </c>
      <c r="G3097" t="s">
        <v>19</v>
      </c>
      <c r="H3097" t="s">
        <v>19</v>
      </c>
      <c r="I3097" s="1">
        <v>46048</v>
      </c>
      <c r="J3097" s="1">
        <v>46048</v>
      </c>
      <c r="K3097" s="1">
        <v>46048</v>
      </c>
      <c r="L3097">
        <v>34</v>
      </c>
      <c r="M3097">
        <v>14.95</v>
      </c>
      <c r="N3097">
        <v>14.95</v>
      </c>
      <c r="O3097">
        <v>0</v>
      </c>
      <c r="P3097">
        <v>0</v>
      </c>
      <c r="Q3097" t="s">
        <v>108</v>
      </c>
    </row>
    <row r="3098" spans="1:17">
      <c r="A3098" t="s">
        <v>93</v>
      </c>
      <c r="B3098" t="s">
        <v>106</v>
      </c>
      <c r="C3098" t="s">
        <v>56</v>
      </c>
      <c r="D3098" t="s">
        <v>2881</v>
      </c>
      <c r="E3098">
        <v>13</v>
      </c>
      <c r="F3098" t="str">
        <f>VLOOKUP(E3098,[1]LOJA!$A:$B,2,0)</f>
        <v>CEILÂNDIA</v>
      </c>
      <c r="G3098" t="s">
        <v>19</v>
      </c>
      <c r="H3098" t="s">
        <v>19</v>
      </c>
      <c r="I3098" s="1">
        <v>46048</v>
      </c>
      <c r="J3098" s="1">
        <v>46047</v>
      </c>
      <c r="K3098" s="1">
        <v>46048</v>
      </c>
      <c r="L3098">
        <v>34</v>
      </c>
      <c r="M3098">
        <v>4.38</v>
      </c>
      <c r="N3098">
        <v>4.38</v>
      </c>
      <c r="O3098">
        <v>0</v>
      </c>
      <c r="P3098">
        <v>0</v>
      </c>
      <c r="Q3098" t="s">
        <v>108</v>
      </c>
    </row>
    <row r="3099" spans="1:17">
      <c r="A3099" t="s">
        <v>93</v>
      </c>
      <c r="B3099" t="s">
        <v>106</v>
      </c>
      <c r="C3099" t="s">
        <v>56</v>
      </c>
      <c r="D3099" t="s">
        <v>2882</v>
      </c>
      <c r="E3099">
        <v>13</v>
      </c>
      <c r="F3099" t="str">
        <f>VLOOKUP(E3099,[1]LOJA!$A:$B,2,0)</f>
        <v>CEILÂNDIA</v>
      </c>
      <c r="G3099" t="s">
        <v>19</v>
      </c>
      <c r="H3099" t="s">
        <v>19</v>
      </c>
      <c r="I3099" s="1">
        <v>46048</v>
      </c>
      <c r="J3099" s="1">
        <v>46047</v>
      </c>
      <c r="K3099" s="1">
        <v>46048</v>
      </c>
      <c r="L3099">
        <v>34</v>
      </c>
      <c r="M3099">
        <v>4.1100000000000003</v>
      </c>
      <c r="N3099">
        <v>4.1100000000000003</v>
      </c>
      <c r="O3099">
        <v>0</v>
      </c>
      <c r="P3099">
        <v>0</v>
      </c>
      <c r="Q3099" t="s">
        <v>108</v>
      </c>
    </row>
    <row r="3100" spans="1:17">
      <c r="A3100" t="s">
        <v>93</v>
      </c>
      <c r="B3100" t="s">
        <v>106</v>
      </c>
      <c r="C3100" t="s">
        <v>56</v>
      </c>
      <c r="D3100" t="s">
        <v>2883</v>
      </c>
      <c r="E3100">
        <v>13</v>
      </c>
      <c r="F3100" t="str">
        <f>VLOOKUP(E3100,[1]LOJA!$A:$B,2,0)</f>
        <v>CEILÂNDIA</v>
      </c>
      <c r="G3100" t="s">
        <v>19</v>
      </c>
      <c r="H3100" t="s">
        <v>19</v>
      </c>
      <c r="I3100" s="1">
        <v>46048</v>
      </c>
      <c r="J3100" s="1">
        <v>46048</v>
      </c>
      <c r="K3100" s="1">
        <v>46048</v>
      </c>
      <c r="L3100">
        <v>34</v>
      </c>
      <c r="M3100">
        <v>6.02</v>
      </c>
      <c r="N3100">
        <v>6.02</v>
      </c>
      <c r="O3100">
        <v>0</v>
      </c>
      <c r="P3100">
        <v>0</v>
      </c>
      <c r="Q3100" t="s">
        <v>108</v>
      </c>
    </row>
    <row r="3101" spans="1:17">
      <c r="A3101" t="s">
        <v>93</v>
      </c>
      <c r="B3101" t="s">
        <v>106</v>
      </c>
      <c r="C3101" t="s">
        <v>56</v>
      </c>
      <c r="D3101" t="s">
        <v>2884</v>
      </c>
      <c r="E3101">
        <v>13</v>
      </c>
      <c r="F3101" t="str">
        <f>VLOOKUP(E3101,[1]LOJA!$A:$B,2,0)</f>
        <v>CEILÂNDIA</v>
      </c>
      <c r="G3101" t="s">
        <v>19</v>
      </c>
      <c r="H3101" t="s">
        <v>19</v>
      </c>
      <c r="I3101" s="1">
        <v>46048</v>
      </c>
      <c r="J3101" s="1">
        <v>46048</v>
      </c>
      <c r="K3101" s="1">
        <v>46048</v>
      </c>
      <c r="L3101">
        <v>34</v>
      </c>
      <c r="M3101">
        <v>2.97</v>
      </c>
      <c r="N3101">
        <v>2.97</v>
      </c>
      <c r="O3101">
        <v>0</v>
      </c>
      <c r="P3101">
        <v>0</v>
      </c>
      <c r="Q3101" t="s">
        <v>108</v>
      </c>
    </row>
    <row r="3102" spans="1:17">
      <c r="A3102" t="s">
        <v>93</v>
      </c>
      <c r="B3102" t="s">
        <v>106</v>
      </c>
      <c r="C3102" t="s">
        <v>56</v>
      </c>
      <c r="D3102" t="s">
        <v>2885</v>
      </c>
      <c r="E3102">
        <v>13</v>
      </c>
      <c r="F3102" t="str">
        <f>VLOOKUP(E3102,[1]LOJA!$A:$B,2,0)</f>
        <v>CEILÂNDIA</v>
      </c>
      <c r="G3102" t="s">
        <v>19</v>
      </c>
      <c r="H3102" t="s">
        <v>19</v>
      </c>
      <c r="I3102" s="1">
        <v>46048</v>
      </c>
      <c r="J3102" s="1">
        <v>46048</v>
      </c>
      <c r="K3102" s="1">
        <v>46048</v>
      </c>
      <c r="L3102">
        <v>34</v>
      </c>
      <c r="M3102">
        <v>2.62</v>
      </c>
      <c r="N3102">
        <v>2.62</v>
      </c>
      <c r="O3102">
        <v>0</v>
      </c>
      <c r="P3102">
        <v>0</v>
      </c>
      <c r="Q3102" t="s">
        <v>108</v>
      </c>
    </row>
    <row r="3103" spans="1:17">
      <c r="A3103" t="s">
        <v>93</v>
      </c>
      <c r="B3103" t="s">
        <v>106</v>
      </c>
      <c r="C3103" t="s">
        <v>56</v>
      </c>
      <c r="D3103" t="s">
        <v>2886</v>
      </c>
      <c r="E3103">
        <v>13</v>
      </c>
      <c r="F3103" t="str">
        <f>VLOOKUP(E3103,[1]LOJA!$A:$B,2,0)</f>
        <v>CEILÂNDIA</v>
      </c>
      <c r="G3103" t="s">
        <v>19</v>
      </c>
      <c r="H3103" t="s">
        <v>19</v>
      </c>
      <c r="I3103" s="1">
        <v>46048</v>
      </c>
      <c r="J3103" s="1">
        <v>46048</v>
      </c>
      <c r="K3103" s="1">
        <v>46048</v>
      </c>
      <c r="L3103">
        <v>34</v>
      </c>
      <c r="M3103">
        <v>4.55</v>
      </c>
      <c r="N3103">
        <v>4.55</v>
      </c>
      <c r="O3103">
        <v>0</v>
      </c>
      <c r="P3103">
        <v>0</v>
      </c>
      <c r="Q3103" t="s">
        <v>108</v>
      </c>
    </row>
    <row r="3104" spans="1:17">
      <c r="A3104" t="s">
        <v>93</v>
      </c>
      <c r="B3104" t="s">
        <v>106</v>
      </c>
      <c r="C3104" t="s">
        <v>56</v>
      </c>
      <c r="D3104" t="s">
        <v>2887</v>
      </c>
      <c r="E3104">
        <v>13</v>
      </c>
      <c r="F3104" t="str">
        <f>VLOOKUP(E3104,[1]LOJA!$A:$B,2,0)</f>
        <v>CEILÂNDIA</v>
      </c>
      <c r="G3104" t="s">
        <v>19</v>
      </c>
      <c r="H3104" t="s">
        <v>19</v>
      </c>
      <c r="I3104" s="1">
        <v>46048</v>
      </c>
      <c r="J3104" s="1">
        <v>46048</v>
      </c>
      <c r="K3104" s="1">
        <v>46048</v>
      </c>
      <c r="L3104">
        <v>34</v>
      </c>
      <c r="M3104">
        <v>0.31</v>
      </c>
      <c r="N3104">
        <v>0.31</v>
      </c>
      <c r="O3104">
        <v>0</v>
      </c>
      <c r="P3104">
        <v>0</v>
      </c>
      <c r="Q3104" t="s">
        <v>108</v>
      </c>
    </row>
    <row r="3105" spans="1:17">
      <c r="A3105" t="s">
        <v>93</v>
      </c>
      <c r="B3105" t="s">
        <v>106</v>
      </c>
      <c r="C3105" t="s">
        <v>56</v>
      </c>
      <c r="D3105" t="s">
        <v>2888</v>
      </c>
      <c r="E3105">
        <v>13</v>
      </c>
      <c r="F3105" t="str">
        <f>VLOOKUP(E3105,[1]LOJA!$A:$B,2,0)</f>
        <v>CEILÂNDIA</v>
      </c>
      <c r="G3105" t="s">
        <v>19</v>
      </c>
      <c r="H3105" t="s">
        <v>19</v>
      </c>
      <c r="I3105" s="1">
        <v>46048</v>
      </c>
      <c r="J3105" s="1">
        <v>46048</v>
      </c>
      <c r="K3105" s="1">
        <v>46048</v>
      </c>
      <c r="L3105">
        <v>34</v>
      </c>
      <c r="M3105">
        <v>2.0499999999999998</v>
      </c>
      <c r="N3105">
        <v>2.0499999999999998</v>
      </c>
      <c r="O3105">
        <v>0</v>
      </c>
      <c r="P3105">
        <v>0</v>
      </c>
      <c r="Q3105" t="s">
        <v>108</v>
      </c>
    </row>
    <row r="3106" spans="1:17">
      <c r="A3106" t="s">
        <v>93</v>
      </c>
      <c r="B3106" t="s">
        <v>106</v>
      </c>
      <c r="C3106" t="s">
        <v>56</v>
      </c>
      <c r="D3106" t="s">
        <v>2889</v>
      </c>
      <c r="E3106">
        <v>13</v>
      </c>
      <c r="F3106" t="str">
        <f>VLOOKUP(E3106,[1]LOJA!$A:$B,2,0)</f>
        <v>CEILÂNDIA</v>
      </c>
      <c r="G3106" t="s">
        <v>19</v>
      </c>
      <c r="H3106" t="s">
        <v>19</v>
      </c>
      <c r="I3106" s="1">
        <v>46048</v>
      </c>
      <c r="J3106" s="1">
        <v>46048</v>
      </c>
      <c r="K3106" s="1">
        <v>46048</v>
      </c>
      <c r="L3106">
        <v>34</v>
      </c>
      <c r="M3106">
        <v>2.99</v>
      </c>
      <c r="N3106">
        <v>2.99</v>
      </c>
      <c r="O3106">
        <v>0</v>
      </c>
      <c r="P3106">
        <v>0</v>
      </c>
      <c r="Q3106" t="s">
        <v>108</v>
      </c>
    </row>
    <row r="3107" spans="1:17">
      <c r="A3107" t="s">
        <v>93</v>
      </c>
      <c r="B3107" t="s">
        <v>106</v>
      </c>
      <c r="C3107" t="s">
        <v>56</v>
      </c>
      <c r="D3107" t="s">
        <v>2890</v>
      </c>
      <c r="E3107">
        <v>13</v>
      </c>
      <c r="F3107" t="str">
        <f>VLOOKUP(E3107,[1]LOJA!$A:$B,2,0)</f>
        <v>CEILÂNDIA</v>
      </c>
      <c r="G3107" t="s">
        <v>19</v>
      </c>
      <c r="H3107" t="s">
        <v>19</v>
      </c>
      <c r="I3107" s="1">
        <v>46048</v>
      </c>
      <c r="J3107" s="1">
        <v>46048</v>
      </c>
      <c r="K3107" s="1">
        <v>46048</v>
      </c>
      <c r="L3107">
        <v>34</v>
      </c>
      <c r="M3107">
        <v>0.14000000000000001</v>
      </c>
      <c r="N3107">
        <v>0.14000000000000001</v>
      </c>
      <c r="O3107">
        <v>0</v>
      </c>
      <c r="P3107">
        <v>0</v>
      </c>
      <c r="Q3107" t="s">
        <v>108</v>
      </c>
    </row>
    <row r="3108" spans="1:17">
      <c r="A3108" t="s">
        <v>93</v>
      </c>
      <c r="B3108" t="s">
        <v>106</v>
      </c>
      <c r="C3108" t="s">
        <v>56</v>
      </c>
      <c r="D3108" t="s">
        <v>2891</v>
      </c>
      <c r="E3108">
        <v>13</v>
      </c>
      <c r="F3108" t="str">
        <f>VLOOKUP(E3108,[1]LOJA!$A:$B,2,0)</f>
        <v>CEILÂNDIA</v>
      </c>
      <c r="G3108" t="s">
        <v>19</v>
      </c>
      <c r="H3108" t="s">
        <v>19</v>
      </c>
      <c r="I3108" s="1">
        <v>46048</v>
      </c>
      <c r="J3108" s="1">
        <v>46048</v>
      </c>
      <c r="K3108" s="1">
        <v>46048</v>
      </c>
      <c r="L3108">
        <v>34</v>
      </c>
      <c r="M3108">
        <v>4.93</v>
      </c>
      <c r="N3108">
        <v>4.93</v>
      </c>
      <c r="O3108">
        <v>0</v>
      </c>
      <c r="P3108">
        <v>0</v>
      </c>
      <c r="Q3108" t="s">
        <v>108</v>
      </c>
    </row>
    <row r="3109" spans="1:17">
      <c r="A3109" t="s">
        <v>93</v>
      </c>
      <c r="B3109" t="s">
        <v>106</v>
      </c>
      <c r="C3109" t="s">
        <v>56</v>
      </c>
      <c r="D3109" t="s">
        <v>2892</v>
      </c>
      <c r="E3109">
        <v>13</v>
      </c>
      <c r="F3109" t="str">
        <f>VLOOKUP(E3109,[1]LOJA!$A:$B,2,0)</f>
        <v>CEILÂNDIA</v>
      </c>
      <c r="G3109" t="s">
        <v>19</v>
      </c>
      <c r="H3109" t="s">
        <v>19</v>
      </c>
      <c r="I3109" s="1">
        <v>46048</v>
      </c>
      <c r="J3109" s="1">
        <v>46046</v>
      </c>
      <c r="K3109" s="1">
        <v>46048</v>
      </c>
      <c r="L3109">
        <v>34</v>
      </c>
      <c r="M3109">
        <v>0.23</v>
      </c>
      <c r="N3109">
        <v>0.23</v>
      </c>
      <c r="O3109">
        <v>0</v>
      </c>
      <c r="P3109">
        <v>0</v>
      </c>
      <c r="Q3109" t="s">
        <v>108</v>
      </c>
    </row>
    <row r="3110" spans="1:17">
      <c r="A3110" t="s">
        <v>93</v>
      </c>
      <c r="B3110" t="s">
        <v>106</v>
      </c>
      <c r="C3110" t="s">
        <v>56</v>
      </c>
      <c r="D3110" t="s">
        <v>2893</v>
      </c>
      <c r="E3110">
        <v>13</v>
      </c>
      <c r="F3110" t="str">
        <f>VLOOKUP(E3110,[1]LOJA!$A:$B,2,0)</f>
        <v>CEILÂNDIA</v>
      </c>
      <c r="G3110" t="s">
        <v>19</v>
      </c>
      <c r="H3110" t="s">
        <v>19</v>
      </c>
      <c r="I3110" s="1">
        <v>46048</v>
      </c>
      <c r="J3110" s="1">
        <v>46046</v>
      </c>
      <c r="K3110" s="1">
        <v>46048</v>
      </c>
      <c r="L3110">
        <v>34</v>
      </c>
      <c r="M3110">
        <v>0.86</v>
      </c>
      <c r="N3110">
        <v>0.86</v>
      </c>
      <c r="O3110">
        <v>0</v>
      </c>
      <c r="P3110">
        <v>0</v>
      </c>
      <c r="Q3110" t="s">
        <v>108</v>
      </c>
    </row>
    <row r="3111" spans="1:17">
      <c r="A3111" t="s">
        <v>93</v>
      </c>
      <c r="B3111" t="s">
        <v>106</v>
      </c>
      <c r="C3111" t="s">
        <v>56</v>
      </c>
      <c r="D3111" t="s">
        <v>2894</v>
      </c>
      <c r="E3111">
        <v>13</v>
      </c>
      <c r="F3111" t="str">
        <f>VLOOKUP(E3111,[1]LOJA!$A:$B,2,0)</f>
        <v>CEILÂNDIA</v>
      </c>
      <c r="G3111" t="s">
        <v>19</v>
      </c>
      <c r="H3111" t="s">
        <v>19</v>
      </c>
      <c r="I3111" s="1">
        <v>46048</v>
      </c>
      <c r="J3111" s="1">
        <v>46046</v>
      </c>
      <c r="K3111" s="1">
        <v>46048</v>
      </c>
      <c r="L3111">
        <v>34</v>
      </c>
      <c r="M3111">
        <v>0.22</v>
      </c>
      <c r="N3111">
        <v>0.22</v>
      </c>
      <c r="O3111">
        <v>0</v>
      </c>
      <c r="P3111">
        <v>0</v>
      </c>
      <c r="Q3111" t="s">
        <v>108</v>
      </c>
    </row>
    <row r="3112" spans="1:17">
      <c r="A3112" t="s">
        <v>93</v>
      </c>
      <c r="B3112" t="s">
        <v>106</v>
      </c>
      <c r="C3112" t="s">
        <v>56</v>
      </c>
      <c r="D3112" t="s">
        <v>2895</v>
      </c>
      <c r="E3112">
        <v>13</v>
      </c>
      <c r="F3112" t="str">
        <f>VLOOKUP(E3112,[1]LOJA!$A:$B,2,0)</f>
        <v>CEILÂNDIA</v>
      </c>
      <c r="G3112" t="s">
        <v>19</v>
      </c>
      <c r="H3112" t="s">
        <v>19</v>
      </c>
      <c r="I3112" s="1">
        <v>46048</v>
      </c>
      <c r="J3112" s="1">
        <v>46046</v>
      </c>
      <c r="K3112" s="1">
        <v>46048</v>
      </c>
      <c r="L3112">
        <v>34</v>
      </c>
      <c r="M3112">
        <v>0.25</v>
      </c>
      <c r="N3112">
        <v>0.25</v>
      </c>
      <c r="O3112">
        <v>0</v>
      </c>
      <c r="P3112">
        <v>0</v>
      </c>
      <c r="Q3112" t="s">
        <v>108</v>
      </c>
    </row>
    <row r="3113" spans="1:17">
      <c r="A3113" t="s">
        <v>93</v>
      </c>
      <c r="B3113" t="s">
        <v>106</v>
      </c>
      <c r="C3113" t="s">
        <v>56</v>
      </c>
      <c r="D3113" t="s">
        <v>2896</v>
      </c>
      <c r="E3113">
        <v>13</v>
      </c>
      <c r="F3113" t="str">
        <f>VLOOKUP(E3113,[1]LOJA!$A:$B,2,0)</f>
        <v>CEILÂNDIA</v>
      </c>
      <c r="G3113" t="s">
        <v>19</v>
      </c>
      <c r="H3113" t="s">
        <v>19</v>
      </c>
      <c r="I3113" s="1">
        <v>46048</v>
      </c>
      <c r="J3113" s="1">
        <v>46046</v>
      </c>
      <c r="K3113" s="1">
        <v>46048</v>
      </c>
      <c r="L3113">
        <v>34</v>
      </c>
      <c r="M3113">
        <v>0.13</v>
      </c>
      <c r="N3113">
        <v>0.13</v>
      </c>
      <c r="O3113">
        <v>0</v>
      </c>
      <c r="P3113">
        <v>0</v>
      </c>
      <c r="Q3113" t="s">
        <v>108</v>
      </c>
    </row>
    <row r="3114" spans="1:17">
      <c r="A3114" t="s">
        <v>93</v>
      </c>
      <c r="B3114" t="s">
        <v>106</v>
      </c>
      <c r="C3114" t="s">
        <v>56</v>
      </c>
      <c r="D3114" t="s">
        <v>2897</v>
      </c>
      <c r="E3114">
        <v>13</v>
      </c>
      <c r="F3114" t="str">
        <f>VLOOKUP(E3114,[1]LOJA!$A:$B,2,0)</f>
        <v>CEILÂNDIA</v>
      </c>
      <c r="G3114" t="s">
        <v>19</v>
      </c>
      <c r="H3114" t="s">
        <v>19</v>
      </c>
      <c r="I3114" s="1">
        <v>46048</v>
      </c>
      <c r="J3114" s="1">
        <v>46046</v>
      </c>
      <c r="K3114" s="1">
        <v>46048</v>
      </c>
      <c r="L3114">
        <v>34</v>
      </c>
      <c r="M3114">
        <v>0.2</v>
      </c>
      <c r="N3114">
        <v>0.2</v>
      </c>
      <c r="O3114">
        <v>0</v>
      </c>
      <c r="P3114">
        <v>0</v>
      </c>
      <c r="Q3114" t="s">
        <v>108</v>
      </c>
    </row>
    <row r="3115" spans="1:17">
      <c r="A3115" t="s">
        <v>93</v>
      </c>
      <c r="B3115" t="s">
        <v>106</v>
      </c>
      <c r="C3115" t="s">
        <v>56</v>
      </c>
      <c r="D3115" t="s">
        <v>2898</v>
      </c>
      <c r="E3115">
        <v>13</v>
      </c>
      <c r="F3115" t="str">
        <f>VLOOKUP(E3115,[1]LOJA!$A:$B,2,0)</f>
        <v>CEILÂNDIA</v>
      </c>
      <c r="G3115" t="s">
        <v>19</v>
      </c>
      <c r="H3115" t="s">
        <v>19</v>
      </c>
      <c r="I3115" s="1">
        <v>46048</v>
      </c>
      <c r="J3115" s="1">
        <v>46047</v>
      </c>
      <c r="K3115" s="1">
        <v>46048</v>
      </c>
      <c r="L3115">
        <v>34</v>
      </c>
      <c r="M3115">
        <v>1.84</v>
      </c>
      <c r="N3115">
        <v>1.84</v>
      </c>
      <c r="O3115">
        <v>0</v>
      </c>
      <c r="P3115">
        <v>0</v>
      </c>
      <c r="Q3115" t="s">
        <v>108</v>
      </c>
    </row>
    <row r="3116" spans="1:17">
      <c r="A3116" t="s">
        <v>93</v>
      </c>
      <c r="B3116" t="s">
        <v>106</v>
      </c>
      <c r="C3116" t="s">
        <v>56</v>
      </c>
      <c r="D3116" t="s">
        <v>2899</v>
      </c>
      <c r="E3116">
        <v>13</v>
      </c>
      <c r="F3116" t="str">
        <f>VLOOKUP(E3116,[1]LOJA!$A:$B,2,0)</f>
        <v>CEILÂNDIA</v>
      </c>
      <c r="G3116" t="s">
        <v>19</v>
      </c>
      <c r="H3116" t="s">
        <v>19</v>
      </c>
      <c r="I3116" s="1">
        <v>46048</v>
      </c>
      <c r="J3116" s="1">
        <v>46047</v>
      </c>
      <c r="K3116" s="1">
        <v>46048</v>
      </c>
      <c r="L3116">
        <v>34</v>
      </c>
      <c r="M3116">
        <v>0.97</v>
      </c>
      <c r="N3116">
        <v>0.97</v>
      </c>
      <c r="O3116">
        <v>0</v>
      </c>
      <c r="P3116">
        <v>0</v>
      </c>
      <c r="Q3116" t="s">
        <v>108</v>
      </c>
    </row>
    <row r="3117" spans="1:17">
      <c r="A3117" t="s">
        <v>93</v>
      </c>
      <c r="B3117" t="s">
        <v>106</v>
      </c>
      <c r="C3117" t="s">
        <v>56</v>
      </c>
      <c r="D3117" t="s">
        <v>2900</v>
      </c>
      <c r="E3117">
        <v>13</v>
      </c>
      <c r="F3117" t="str">
        <f>VLOOKUP(E3117,[1]LOJA!$A:$B,2,0)</f>
        <v>CEILÂNDIA</v>
      </c>
      <c r="G3117" t="s">
        <v>19</v>
      </c>
      <c r="H3117" t="s">
        <v>19</v>
      </c>
      <c r="I3117" s="1">
        <v>46048</v>
      </c>
      <c r="J3117" s="1">
        <v>46047</v>
      </c>
      <c r="K3117" s="1">
        <v>46048</v>
      </c>
      <c r="L3117">
        <v>34</v>
      </c>
      <c r="M3117">
        <v>2.89</v>
      </c>
      <c r="N3117">
        <v>2.89</v>
      </c>
      <c r="O3117">
        <v>0</v>
      </c>
      <c r="P3117">
        <v>0</v>
      </c>
      <c r="Q3117" t="s">
        <v>108</v>
      </c>
    </row>
    <row r="3118" spans="1:17">
      <c r="A3118" t="s">
        <v>93</v>
      </c>
      <c r="B3118" t="s">
        <v>106</v>
      </c>
      <c r="C3118" t="s">
        <v>56</v>
      </c>
      <c r="D3118" t="s">
        <v>2901</v>
      </c>
      <c r="E3118">
        <v>13</v>
      </c>
      <c r="F3118" t="str">
        <f>VLOOKUP(E3118,[1]LOJA!$A:$B,2,0)</f>
        <v>CEILÂNDIA</v>
      </c>
      <c r="G3118" t="s">
        <v>19</v>
      </c>
      <c r="H3118" t="s">
        <v>19</v>
      </c>
      <c r="I3118" s="1">
        <v>46049</v>
      </c>
      <c r="J3118" s="1">
        <v>46049</v>
      </c>
      <c r="K3118" s="1">
        <v>46049</v>
      </c>
      <c r="L3118">
        <v>34</v>
      </c>
      <c r="M3118">
        <v>6.2</v>
      </c>
      <c r="N3118">
        <v>6.2</v>
      </c>
      <c r="O3118">
        <v>0</v>
      </c>
      <c r="P3118">
        <v>0</v>
      </c>
      <c r="Q3118" t="s">
        <v>108</v>
      </c>
    </row>
    <row r="3119" spans="1:17">
      <c r="A3119" t="s">
        <v>93</v>
      </c>
      <c r="B3119" t="s">
        <v>106</v>
      </c>
      <c r="C3119" t="s">
        <v>56</v>
      </c>
      <c r="D3119" t="s">
        <v>2902</v>
      </c>
      <c r="E3119">
        <v>13</v>
      </c>
      <c r="F3119" t="str">
        <f>VLOOKUP(E3119,[1]LOJA!$A:$B,2,0)</f>
        <v>CEILÂNDIA</v>
      </c>
      <c r="G3119" t="s">
        <v>19</v>
      </c>
      <c r="H3119" t="s">
        <v>19</v>
      </c>
      <c r="I3119" s="1">
        <v>46049</v>
      </c>
      <c r="J3119" s="1">
        <v>46049</v>
      </c>
      <c r="K3119" s="1">
        <v>46049</v>
      </c>
      <c r="L3119">
        <v>34</v>
      </c>
      <c r="M3119">
        <v>4.38</v>
      </c>
      <c r="N3119">
        <v>4.38</v>
      </c>
      <c r="O3119">
        <v>0</v>
      </c>
      <c r="P3119">
        <v>0</v>
      </c>
      <c r="Q3119" t="s">
        <v>108</v>
      </c>
    </row>
    <row r="3120" spans="1:17">
      <c r="A3120" t="s">
        <v>93</v>
      </c>
      <c r="B3120" t="s">
        <v>106</v>
      </c>
      <c r="C3120" t="s">
        <v>56</v>
      </c>
      <c r="D3120" t="s">
        <v>2903</v>
      </c>
      <c r="E3120">
        <v>13</v>
      </c>
      <c r="F3120" t="str">
        <f>VLOOKUP(E3120,[1]LOJA!$A:$B,2,0)</f>
        <v>CEILÂNDIA</v>
      </c>
      <c r="G3120" t="s">
        <v>19</v>
      </c>
      <c r="H3120" t="s">
        <v>19</v>
      </c>
      <c r="I3120" s="1">
        <v>46049</v>
      </c>
      <c r="J3120" s="1">
        <v>46049</v>
      </c>
      <c r="K3120" s="1">
        <v>46049</v>
      </c>
      <c r="L3120">
        <v>34</v>
      </c>
      <c r="M3120">
        <v>4.51</v>
      </c>
      <c r="N3120">
        <v>4.51</v>
      </c>
      <c r="O3120">
        <v>0</v>
      </c>
      <c r="P3120">
        <v>0</v>
      </c>
      <c r="Q3120" t="s">
        <v>108</v>
      </c>
    </row>
    <row r="3121" spans="1:17">
      <c r="A3121" t="s">
        <v>93</v>
      </c>
      <c r="B3121" t="s">
        <v>106</v>
      </c>
      <c r="C3121" t="s">
        <v>56</v>
      </c>
      <c r="D3121" t="s">
        <v>2904</v>
      </c>
      <c r="E3121">
        <v>13</v>
      </c>
      <c r="F3121" t="str">
        <f>VLOOKUP(E3121,[1]LOJA!$A:$B,2,0)</f>
        <v>CEILÂNDIA</v>
      </c>
      <c r="G3121" t="s">
        <v>19</v>
      </c>
      <c r="H3121" t="s">
        <v>19</v>
      </c>
      <c r="I3121" s="1">
        <v>46049</v>
      </c>
      <c r="J3121" s="1">
        <v>46049</v>
      </c>
      <c r="K3121" s="1">
        <v>46049</v>
      </c>
      <c r="L3121">
        <v>34</v>
      </c>
      <c r="M3121">
        <v>1.18</v>
      </c>
      <c r="N3121">
        <v>1.18</v>
      </c>
      <c r="O3121">
        <v>0</v>
      </c>
      <c r="P3121">
        <v>0</v>
      </c>
      <c r="Q3121" t="s">
        <v>108</v>
      </c>
    </row>
    <row r="3122" spans="1:17">
      <c r="A3122" t="s">
        <v>93</v>
      </c>
      <c r="B3122" t="s">
        <v>106</v>
      </c>
      <c r="C3122" t="s">
        <v>56</v>
      </c>
      <c r="D3122" t="s">
        <v>2905</v>
      </c>
      <c r="E3122">
        <v>13</v>
      </c>
      <c r="F3122" t="str">
        <f>VLOOKUP(E3122,[1]LOJA!$A:$B,2,0)</f>
        <v>CEILÂNDIA</v>
      </c>
      <c r="G3122" t="s">
        <v>19</v>
      </c>
      <c r="H3122" t="s">
        <v>19</v>
      </c>
      <c r="I3122" s="1">
        <v>46049</v>
      </c>
      <c r="J3122" s="1">
        <v>46049</v>
      </c>
      <c r="K3122" s="1">
        <v>46049</v>
      </c>
      <c r="L3122">
        <v>34</v>
      </c>
      <c r="M3122">
        <v>3.14</v>
      </c>
      <c r="N3122">
        <v>3.14</v>
      </c>
      <c r="O3122">
        <v>0</v>
      </c>
      <c r="P3122">
        <v>0</v>
      </c>
      <c r="Q3122" t="s">
        <v>108</v>
      </c>
    </row>
    <row r="3123" spans="1:17">
      <c r="A3123" t="s">
        <v>93</v>
      </c>
      <c r="B3123" t="s">
        <v>106</v>
      </c>
      <c r="C3123" t="s">
        <v>56</v>
      </c>
      <c r="D3123" t="s">
        <v>2906</v>
      </c>
      <c r="E3123">
        <v>13</v>
      </c>
      <c r="F3123" t="str">
        <f>VLOOKUP(E3123,[1]LOJA!$A:$B,2,0)</f>
        <v>CEILÂNDIA</v>
      </c>
      <c r="G3123" t="s">
        <v>19</v>
      </c>
      <c r="H3123" t="s">
        <v>19</v>
      </c>
      <c r="I3123" s="1">
        <v>46049</v>
      </c>
      <c r="J3123" s="1">
        <v>46049</v>
      </c>
      <c r="K3123" s="1">
        <v>46049</v>
      </c>
      <c r="L3123">
        <v>34</v>
      </c>
      <c r="M3123">
        <v>2.2200000000000002</v>
      </c>
      <c r="N3123">
        <v>2.2200000000000002</v>
      </c>
      <c r="O3123">
        <v>0</v>
      </c>
      <c r="P3123">
        <v>0</v>
      </c>
      <c r="Q3123" t="s">
        <v>108</v>
      </c>
    </row>
    <row r="3124" spans="1:17">
      <c r="A3124" t="s">
        <v>93</v>
      </c>
      <c r="B3124" t="s">
        <v>106</v>
      </c>
      <c r="C3124" t="s">
        <v>56</v>
      </c>
      <c r="D3124" t="s">
        <v>2907</v>
      </c>
      <c r="E3124">
        <v>13</v>
      </c>
      <c r="F3124" t="str">
        <f>VLOOKUP(E3124,[1]LOJA!$A:$B,2,0)</f>
        <v>CEILÂNDIA</v>
      </c>
      <c r="G3124" t="s">
        <v>19</v>
      </c>
      <c r="H3124" t="s">
        <v>19</v>
      </c>
      <c r="I3124" s="1">
        <v>46049</v>
      </c>
      <c r="J3124" s="1">
        <v>46049</v>
      </c>
      <c r="K3124" s="1">
        <v>46049</v>
      </c>
      <c r="L3124">
        <v>34</v>
      </c>
      <c r="M3124">
        <v>3.97</v>
      </c>
      <c r="N3124">
        <v>3.97</v>
      </c>
      <c r="O3124">
        <v>0</v>
      </c>
      <c r="P3124">
        <v>0</v>
      </c>
      <c r="Q3124" t="s">
        <v>108</v>
      </c>
    </row>
    <row r="3125" spans="1:17">
      <c r="A3125" t="s">
        <v>93</v>
      </c>
      <c r="B3125" t="s">
        <v>106</v>
      </c>
      <c r="C3125" t="s">
        <v>56</v>
      </c>
      <c r="D3125" t="s">
        <v>2908</v>
      </c>
      <c r="E3125">
        <v>13</v>
      </c>
      <c r="F3125" t="str">
        <f>VLOOKUP(E3125,[1]LOJA!$A:$B,2,0)</f>
        <v>CEILÂNDIA</v>
      </c>
      <c r="G3125" t="s">
        <v>19</v>
      </c>
      <c r="H3125" t="s">
        <v>19</v>
      </c>
      <c r="I3125" s="1">
        <v>46049</v>
      </c>
      <c r="J3125" s="1">
        <v>46049</v>
      </c>
      <c r="K3125" s="1">
        <v>46049</v>
      </c>
      <c r="L3125">
        <v>34</v>
      </c>
      <c r="M3125">
        <v>0.03</v>
      </c>
      <c r="N3125">
        <v>0.03</v>
      </c>
      <c r="O3125">
        <v>0</v>
      </c>
      <c r="P3125">
        <v>0</v>
      </c>
      <c r="Q3125" t="s">
        <v>108</v>
      </c>
    </row>
    <row r="3126" spans="1:17">
      <c r="A3126" t="s">
        <v>93</v>
      </c>
      <c r="B3126" t="s">
        <v>106</v>
      </c>
      <c r="C3126" t="s">
        <v>56</v>
      </c>
      <c r="D3126" t="s">
        <v>2909</v>
      </c>
      <c r="E3126">
        <v>13</v>
      </c>
      <c r="F3126" t="str">
        <f>VLOOKUP(E3126,[1]LOJA!$A:$B,2,0)</f>
        <v>CEILÂNDIA</v>
      </c>
      <c r="G3126" t="s">
        <v>19</v>
      </c>
      <c r="H3126" t="s">
        <v>19</v>
      </c>
      <c r="I3126" s="1">
        <v>46049</v>
      </c>
      <c r="J3126" s="1">
        <v>46049</v>
      </c>
      <c r="K3126" s="1">
        <v>46049</v>
      </c>
      <c r="L3126">
        <v>34</v>
      </c>
      <c r="M3126">
        <v>0.3</v>
      </c>
      <c r="N3126">
        <v>0.3</v>
      </c>
      <c r="O3126">
        <v>0</v>
      </c>
      <c r="P3126">
        <v>0</v>
      </c>
      <c r="Q3126" t="s">
        <v>108</v>
      </c>
    </row>
    <row r="3127" spans="1:17">
      <c r="A3127" t="s">
        <v>93</v>
      </c>
      <c r="B3127" t="s">
        <v>106</v>
      </c>
      <c r="C3127" t="s">
        <v>56</v>
      </c>
      <c r="D3127" t="s">
        <v>2910</v>
      </c>
      <c r="E3127">
        <v>13</v>
      </c>
      <c r="F3127" t="str">
        <f>VLOOKUP(E3127,[1]LOJA!$A:$B,2,0)</f>
        <v>CEILÂNDIA</v>
      </c>
      <c r="G3127" t="s">
        <v>19</v>
      </c>
      <c r="H3127" t="s">
        <v>19</v>
      </c>
      <c r="I3127" s="1">
        <v>46049</v>
      </c>
      <c r="J3127" s="1">
        <v>46049</v>
      </c>
      <c r="K3127" s="1">
        <v>46049</v>
      </c>
      <c r="L3127">
        <v>34</v>
      </c>
      <c r="M3127">
        <v>0.15</v>
      </c>
      <c r="N3127">
        <v>0.15</v>
      </c>
      <c r="O3127">
        <v>0</v>
      </c>
      <c r="P3127">
        <v>0</v>
      </c>
      <c r="Q3127" t="s">
        <v>108</v>
      </c>
    </row>
    <row r="3128" spans="1:17">
      <c r="A3128" t="s">
        <v>93</v>
      </c>
      <c r="B3128" t="s">
        <v>106</v>
      </c>
      <c r="C3128" t="s">
        <v>56</v>
      </c>
      <c r="D3128" t="s">
        <v>2911</v>
      </c>
      <c r="E3128">
        <v>13</v>
      </c>
      <c r="F3128" t="str">
        <f>VLOOKUP(E3128,[1]LOJA!$A:$B,2,0)</f>
        <v>CEILÂNDIA</v>
      </c>
      <c r="G3128" t="s">
        <v>19</v>
      </c>
      <c r="H3128" t="s">
        <v>19</v>
      </c>
      <c r="I3128" s="1">
        <v>46049</v>
      </c>
      <c r="J3128" s="1">
        <v>46049</v>
      </c>
      <c r="K3128" s="1">
        <v>46049</v>
      </c>
      <c r="L3128">
        <v>34</v>
      </c>
      <c r="M3128">
        <v>0.31</v>
      </c>
      <c r="N3128">
        <v>0.31</v>
      </c>
      <c r="O3128">
        <v>0</v>
      </c>
      <c r="P3128">
        <v>0</v>
      </c>
      <c r="Q3128" t="s">
        <v>108</v>
      </c>
    </row>
    <row r="3129" spans="1:17">
      <c r="A3129" t="s">
        <v>93</v>
      </c>
      <c r="B3129" t="s">
        <v>106</v>
      </c>
      <c r="C3129" t="s">
        <v>56</v>
      </c>
      <c r="D3129" t="s">
        <v>2912</v>
      </c>
      <c r="E3129">
        <v>13</v>
      </c>
      <c r="F3129" t="str">
        <f>VLOOKUP(E3129,[1]LOJA!$A:$B,2,0)</f>
        <v>CEILÂNDIA</v>
      </c>
      <c r="G3129" t="s">
        <v>19</v>
      </c>
      <c r="H3129" t="s">
        <v>19</v>
      </c>
      <c r="I3129" s="1">
        <v>46049</v>
      </c>
      <c r="J3129" s="1">
        <v>46049</v>
      </c>
      <c r="K3129" s="1">
        <v>46049</v>
      </c>
      <c r="L3129">
        <v>34</v>
      </c>
      <c r="M3129">
        <v>0.4</v>
      </c>
      <c r="N3129">
        <v>0.4</v>
      </c>
      <c r="O3129">
        <v>0</v>
      </c>
      <c r="P3129">
        <v>0</v>
      </c>
      <c r="Q3129" t="s">
        <v>108</v>
      </c>
    </row>
    <row r="3130" spans="1:17">
      <c r="A3130" t="s">
        <v>93</v>
      </c>
      <c r="B3130" t="s">
        <v>106</v>
      </c>
      <c r="C3130" t="s">
        <v>56</v>
      </c>
      <c r="D3130" t="s">
        <v>2913</v>
      </c>
      <c r="E3130">
        <v>13</v>
      </c>
      <c r="F3130" t="str">
        <f>VLOOKUP(E3130,[1]LOJA!$A:$B,2,0)</f>
        <v>CEILÂNDIA</v>
      </c>
      <c r="G3130" t="s">
        <v>19</v>
      </c>
      <c r="H3130" t="s">
        <v>19</v>
      </c>
      <c r="I3130" s="1">
        <v>46049</v>
      </c>
      <c r="J3130" s="1">
        <v>46049</v>
      </c>
      <c r="K3130" s="1">
        <v>46049</v>
      </c>
      <c r="L3130">
        <v>34</v>
      </c>
      <c r="M3130">
        <v>0.64</v>
      </c>
      <c r="N3130">
        <v>0.64</v>
      </c>
      <c r="O3130">
        <v>0</v>
      </c>
      <c r="P3130">
        <v>0</v>
      </c>
      <c r="Q3130" t="s">
        <v>108</v>
      </c>
    </row>
    <row r="3131" spans="1:17">
      <c r="A3131" t="s">
        <v>93</v>
      </c>
      <c r="B3131" t="s">
        <v>106</v>
      </c>
      <c r="C3131" t="s">
        <v>56</v>
      </c>
      <c r="D3131" t="s">
        <v>2914</v>
      </c>
      <c r="E3131">
        <v>13</v>
      </c>
      <c r="F3131" t="str">
        <f>VLOOKUP(E3131,[1]LOJA!$A:$B,2,0)</f>
        <v>CEILÂNDIA</v>
      </c>
      <c r="G3131" t="s">
        <v>19</v>
      </c>
      <c r="H3131" t="s">
        <v>19</v>
      </c>
      <c r="I3131" s="1">
        <v>46049</v>
      </c>
      <c r="J3131" s="1">
        <v>46049</v>
      </c>
      <c r="K3131" s="1">
        <v>46049</v>
      </c>
      <c r="L3131">
        <v>34</v>
      </c>
      <c r="M3131">
        <v>1.74</v>
      </c>
      <c r="N3131">
        <v>1.74</v>
      </c>
      <c r="O3131">
        <v>0</v>
      </c>
      <c r="P3131">
        <v>0</v>
      </c>
      <c r="Q3131" t="s">
        <v>108</v>
      </c>
    </row>
    <row r="3132" spans="1:17">
      <c r="A3132" t="s">
        <v>93</v>
      </c>
      <c r="B3132" t="s">
        <v>106</v>
      </c>
      <c r="C3132" t="s">
        <v>56</v>
      </c>
      <c r="D3132" t="s">
        <v>2915</v>
      </c>
      <c r="E3132">
        <v>13</v>
      </c>
      <c r="F3132" t="str">
        <f>VLOOKUP(E3132,[1]LOJA!$A:$B,2,0)</f>
        <v>CEILÂNDIA</v>
      </c>
      <c r="G3132" t="s">
        <v>19</v>
      </c>
      <c r="H3132" t="s">
        <v>19</v>
      </c>
      <c r="I3132" s="1">
        <v>46049</v>
      </c>
      <c r="J3132" s="1">
        <v>46049</v>
      </c>
      <c r="K3132" s="1">
        <v>46049</v>
      </c>
      <c r="L3132">
        <v>34</v>
      </c>
      <c r="M3132">
        <v>1.43</v>
      </c>
      <c r="N3132">
        <v>1.43</v>
      </c>
      <c r="O3132">
        <v>0</v>
      </c>
      <c r="P3132">
        <v>0</v>
      </c>
      <c r="Q3132" t="s">
        <v>108</v>
      </c>
    </row>
    <row r="3133" spans="1:17">
      <c r="A3133" t="s">
        <v>93</v>
      </c>
      <c r="B3133" t="s">
        <v>106</v>
      </c>
      <c r="C3133" t="s">
        <v>56</v>
      </c>
      <c r="D3133" t="s">
        <v>2916</v>
      </c>
      <c r="E3133">
        <v>13</v>
      </c>
      <c r="F3133" t="str">
        <f>VLOOKUP(E3133,[1]LOJA!$A:$B,2,0)</f>
        <v>CEILÂNDIA</v>
      </c>
      <c r="G3133" t="s">
        <v>19</v>
      </c>
      <c r="H3133" t="s">
        <v>19</v>
      </c>
      <c r="I3133" s="1">
        <v>46049</v>
      </c>
      <c r="J3133" s="1">
        <v>46049</v>
      </c>
      <c r="K3133" s="1">
        <v>46049</v>
      </c>
      <c r="L3133">
        <v>34</v>
      </c>
      <c r="M3133">
        <v>0.1</v>
      </c>
      <c r="N3133">
        <v>0.1</v>
      </c>
      <c r="O3133">
        <v>0</v>
      </c>
      <c r="P3133">
        <v>0</v>
      </c>
      <c r="Q3133" t="s">
        <v>108</v>
      </c>
    </row>
    <row r="3134" spans="1:17">
      <c r="A3134" t="s">
        <v>93</v>
      </c>
      <c r="B3134" t="s">
        <v>106</v>
      </c>
      <c r="C3134" t="s">
        <v>56</v>
      </c>
      <c r="D3134" t="s">
        <v>2917</v>
      </c>
      <c r="E3134">
        <v>13</v>
      </c>
      <c r="F3134" t="str">
        <f>VLOOKUP(E3134,[1]LOJA!$A:$B,2,0)</f>
        <v>CEILÂNDIA</v>
      </c>
      <c r="G3134" t="s">
        <v>19</v>
      </c>
      <c r="H3134" t="s">
        <v>19</v>
      </c>
      <c r="I3134" s="1">
        <v>46049</v>
      </c>
      <c r="J3134" s="1">
        <v>46049</v>
      </c>
      <c r="K3134" s="1">
        <v>46049</v>
      </c>
      <c r="L3134">
        <v>34</v>
      </c>
      <c r="M3134">
        <v>0.76</v>
      </c>
      <c r="N3134">
        <v>0.76</v>
      </c>
      <c r="O3134">
        <v>0</v>
      </c>
      <c r="P3134">
        <v>0</v>
      </c>
      <c r="Q3134" t="s">
        <v>108</v>
      </c>
    </row>
    <row r="3135" spans="1:17">
      <c r="A3135" t="s">
        <v>93</v>
      </c>
      <c r="B3135" t="s">
        <v>106</v>
      </c>
      <c r="C3135" t="s">
        <v>56</v>
      </c>
      <c r="D3135" t="s">
        <v>2918</v>
      </c>
      <c r="E3135">
        <v>13</v>
      </c>
      <c r="F3135" t="str">
        <f>VLOOKUP(E3135,[1]LOJA!$A:$B,2,0)</f>
        <v>CEILÂNDIA</v>
      </c>
      <c r="G3135" t="s">
        <v>19</v>
      </c>
      <c r="H3135" t="s">
        <v>19</v>
      </c>
      <c r="I3135" s="1">
        <v>46049</v>
      </c>
      <c r="J3135" s="1">
        <v>46049</v>
      </c>
      <c r="K3135" s="1">
        <v>46049</v>
      </c>
      <c r="L3135">
        <v>34</v>
      </c>
      <c r="M3135">
        <v>2.21</v>
      </c>
      <c r="N3135">
        <v>2.21</v>
      </c>
      <c r="O3135">
        <v>0</v>
      </c>
      <c r="P3135">
        <v>0</v>
      </c>
      <c r="Q3135" t="s">
        <v>108</v>
      </c>
    </row>
    <row r="3136" spans="1:17">
      <c r="A3136" t="s">
        <v>93</v>
      </c>
      <c r="B3136" t="s">
        <v>106</v>
      </c>
      <c r="C3136" t="s">
        <v>56</v>
      </c>
      <c r="D3136" t="s">
        <v>2919</v>
      </c>
      <c r="E3136">
        <v>13</v>
      </c>
      <c r="F3136" t="str">
        <f>VLOOKUP(E3136,[1]LOJA!$A:$B,2,0)</f>
        <v>CEILÂNDIA</v>
      </c>
      <c r="G3136" t="s">
        <v>19</v>
      </c>
      <c r="H3136" t="s">
        <v>19</v>
      </c>
      <c r="I3136" s="1">
        <v>46049</v>
      </c>
      <c r="J3136" s="1">
        <v>46049</v>
      </c>
      <c r="K3136" s="1">
        <v>46049</v>
      </c>
      <c r="L3136">
        <v>34</v>
      </c>
      <c r="M3136">
        <v>0.16</v>
      </c>
      <c r="N3136">
        <v>0.16</v>
      </c>
      <c r="O3136">
        <v>0</v>
      </c>
      <c r="P3136">
        <v>0</v>
      </c>
      <c r="Q3136" t="s">
        <v>108</v>
      </c>
    </row>
    <row r="3137" spans="1:17">
      <c r="A3137" t="s">
        <v>93</v>
      </c>
      <c r="B3137" t="s">
        <v>106</v>
      </c>
      <c r="C3137" t="s">
        <v>56</v>
      </c>
      <c r="D3137" t="s">
        <v>2920</v>
      </c>
      <c r="E3137">
        <v>13</v>
      </c>
      <c r="F3137" t="str">
        <f>VLOOKUP(E3137,[1]LOJA!$A:$B,2,0)</f>
        <v>CEILÂNDIA</v>
      </c>
      <c r="G3137" t="s">
        <v>19</v>
      </c>
      <c r="H3137" t="s">
        <v>19</v>
      </c>
      <c r="I3137" s="1">
        <v>46049</v>
      </c>
      <c r="J3137" s="1">
        <v>46049</v>
      </c>
      <c r="K3137" s="1">
        <v>46049</v>
      </c>
      <c r="L3137">
        <v>34</v>
      </c>
      <c r="M3137">
        <v>0.27</v>
      </c>
      <c r="N3137">
        <v>0.27</v>
      </c>
      <c r="O3137">
        <v>0</v>
      </c>
      <c r="P3137">
        <v>0</v>
      </c>
      <c r="Q3137" t="s">
        <v>108</v>
      </c>
    </row>
    <row r="3138" spans="1:17">
      <c r="A3138" t="s">
        <v>93</v>
      </c>
      <c r="B3138" t="s">
        <v>106</v>
      </c>
      <c r="C3138" t="s">
        <v>56</v>
      </c>
      <c r="D3138" t="s">
        <v>2921</v>
      </c>
      <c r="E3138">
        <v>13</v>
      </c>
      <c r="F3138" t="str">
        <f>VLOOKUP(E3138,[1]LOJA!$A:$B,2,0)</f>
        <v>CEILÂNDIA</v>
      </c>
      <c r="G3138" t="s">
        <v>19</v>
      </c>
      <c r="H3138" t="s">
        <v>19</v>
      </c>
      <c r="I3138" s="1">
        <v>46050</v>
      </c>
      <c r="J3138" s="1">
        <v>46050</v>
      </c>
      <c r="K3138" s="1">
        <v>46050</v>
      </c>
      <c r="L3138">
        <v>34</v>
      </c>
      <c r="M3138">
        <v>5.48</v>
      </c>
      <c r="N3138">
        <v>5.48</v>
      </c>
      <c r="O3138">
        <v>0</v>
      </c>
      <c r="P3138">
        <v>0</v>
      </c>
      <c r="Q3138" t="s">
        <v>108</v>
      </c>
    </row>
    <row r="3139" spans="1:17">
      <c r="A3139" t="s">
        <v>93</v>
      </c>
      <c r="B3139" t="s">
        <v>106</v>
      </c>
      <c r="C3139" t="s">
        <v>56</v>
      </c>
      <c r="D3139" t="s">
        <v>2922</v>
      </c>
      <c r="E3139">
        <v>13</v>
      </c>
      <c r="F3139" t="str">
        <f>VLOOKUP(E3139,[1]LOJA!$A:$B,2,0)</f>
        <v>CEILÂNDIA</v>
      </c>
      <c r="G3139" t="s">
        <v>19</v>
      </c>
      <c r="H3139" t="s">
        <v>19</v>
      </c>
      <c r="I3139" s="1">
        <v>46050</v>
      </c>
      <c r="J3139" s="1">
        <v>46050</v>
      </c>
      <c r="K3139" s="1">
        <v>46050</v>
      </c>
      <c r="L3139">
        <v>34</v>
      </c>
      <c r="M3139">
        <v>14.95</v>
      </c>
      <c r="N3139">
        <v>14.95</v>
      </c>
      <c r="O3139">
        <v>0</v>
      </c>
      <c r="P3139">
        <v>0</v>
      </c>
      <c r="Q3139" t="s">
        <v>108</v>
      </c>
    </row>
    <row r="3140" spans="1:17">
      <c r="A3140" t="s">
        <v>93</v>
      </c>
      <c r="B3140" t="s">
        <v>106</v>
      </c>
      <c r="C3140" t="s">
        <v>56</v>
      </c>
      <c r="D3140" t="s">
        <v>2923</v>
      </c>
      <c r="E3140">
        <v>13</v>
      </c>
      <c r="F3140" t="str">
        <f>VLOOKUP(E3140,[1]LOJA!$A:$B,2,0)</f>
        <v>CEILÂNDIA</v>
      </c>
      <c r="G3140" t="s">
        <v>19</v>
      </c>
      <c r="H3140" t="s">
        <v>19</v>
      </c>
      <c r="I3140" s="1">
        <v>46050</v>
      </c>
      <c r="J3140" s="1">
        <v>46050</v>
      </c>
      <c r="K3140" s="1">
        <v>46050</v>
      </c>
      <c r="L3140">
        <v>34</v>
      </c>
      <c r="M3140">
        <v>3.93</v>
      </c>
      <c r="N3140">
        <v>3.93</v>
      </c>
      <c r="O3140">
        <v>0</v>
      </c>
      <c r="P3140">
        <v>0</v>
      </c>
      <c r="Q3140" t="s">
        <v>108</v>
      </c>
    </row>
    <row r="3141" spans="1:17">
      <c r="A3141" t="s">
        <v>93</v>
      </c>
      <c r="B3141" t="s">
        <v>106</v>
      </c>
      <c r="C3141" t="s">
        <v>56</v>
      </c>
      <c r="D3141" t="s">
        <v>2924</v>
      </c>
      <c r="E3141">
        <v>13</v>
      </c>
      <c r="F3141" t="str">
        <f>VLOOKUP(E3141,[1]LOJA!$A:$B,2,0)</f>
        <v>CEILÂNDIA</v>
      </c>
      <c r="G3141" t="s">
        <v>19</v>
      </c>
      <c r="H3141" t="s">
        <v>19</v>
      </c>
      <c r="I3141" s="1">
        <v>46050</v>
      </c>
      <c r="J3141" s="1">
        <v>46050</v>
      </c>
      <c r="K3141" s="1">
        <v>46050</v>
      </c>
      <c r="L3141">
        <v>34</v>
      </c>
      <c r="M3141">
        <v>10.95</v>
      </c>
      <c r="N3141">
        <v>10.95</v>
      </c>
      <c r="O3141">
        <v>0</v>
      </c>
      <c r="P3141">
        <v>0</v>
      </c>
      <c r="Q3141" t="s">
        <v>108</v>
      </c>
    </row>
    <row r="3142" spans="1:17">
      <c r="A3142" t="s">
        <v>93</v>
      </c>
      <c r="B3142" t="s">
        <v>106</v>
      </c>
      <c r="C3142" t="s">
        <v>56</v>
      </c>
      <c r="D3142" t="s">
        <v>2925</v>
      </c>
      <c r="E3142">
        <v>13</v>
      </c>
      <c r="F3142" t="str">
        <f>VLOOKUP(E3142,[1]LOJA!$A:$B,2,0)</f>
        <v>CEILÂNDIA</v>
      </c>
      <c r="G3142" t="s">
        <v>19</v>
      </c>
      <c r="H3142" t="s">
        <v>19</v>
      </c>
      <c r="I3142" s="1">
        <v>46050</v>
      </c>
      <c r="J3142" s="1">
        <v>46050</v>
      </c>
      <c r="K3142" s="1">
        <v>46050</v>
      </c>
      <c r="L3142">
        <v>34</v>
      </c>
      <c r="M3142">
        <v>3.88</v>
      </c>
      <c r="N3142">
        <v>3.88</v>
      </c>
      <c r="O3142">
        <v>0</v>
      </c>
      <c r="P3142">
        <v>0</v>
      </c>
      <c r="Q3142" t="s">
        <v>108</v>
      </c>
    </row>
    <row r="3143" spans="1:17">
      <c r="A3143" t="s">
        <v>93</v>
      </c>
      <c r="B3143" t="s">
        <v>106</v>
      </c>
      <c r="C3143" t="s">
        <v>56</v>
      </c>
      <c r="D3143" t="s">
        <v>2926</v>
      </c>
      <c r="E3143">
        <v>13</v>
      </c>
      <c r="F3143" t="str">
        <f>VLOOKUP(E3143,[1]LOJA!$A:$B,2,0)</f>
        <v>CEILÂNDIA</v>
      </c>
      <c r="G3143" t="s">
        <v>19</v>
      </c>
      <c r="H3143" t="s">
        <v>19</v>
      </c>
      <c r="I3143" s="1">
        <v>46050</v>
      </c>
      <c r="J3143" s="1">
        <v>46050</v>
      </c>
      <c r="K3143" s="1">
        <v>46050</v>
      </c>
      <c r="L3143">
        <v>34</v>
      </c>
      <c r="M3143">
        <v>2.79</v>
      </c>
      <c r="N3143">
        <v>2.79</v>
      </c>
      <c r="O3143">
        <v>0</v>
      </c>
      <c r="P3143">
        <v>0</v>
      </c>
      <c r="Q3143" t="s">
        <v>108</v>
      </c>
    </row>
    <row r="3144" spans="1:17">
      <c r="A3144" t="s">
        <v>93</v>
      </c>
      <c r="B3144" t="s">
        <v>106</v>
      </c>
      <c r="C3144" t="s">
        <v>56</v>
      </c>
      <c r="D3144" t="s">
        <v>2927</v>
      </c>
      <c r="E3144">
        <v>13</v>
      </c>
      <c r="F3144" t="str">
        <f>VLOOKUP(E3144,[1]LOJA!$A:$B,2,0)</f>
        <v>CEILÂNDIA</v>
      </c>
      <c r="G3144" t="s">
        <v>19</v>
      </c>
      <c r="H3144" t="s">
        <v>19</v>
      </c>
      <c r="I3144" s="1">
        <v>46050</v>
      </c>
      <c r="J3144" s="1">
        <v>46050</v>
      </c>
      <c r="K3144" s="1">
        <v>46050</v>
      </c>
      <c r="L3144">
        <v>34</v>
      </c>
      <c r="M3144">
        <v>2.21</v>
      </c>
      <c r="N3144">
        <v>2.21</v>
      </c>
      <c r="O3144">
        <v>0</v>
      </c>
      <c r="P3144">
        <v>0</v>
      </c>
      <c r="Q3144" t="s">
        <v>108</v>
      </c>
    </row>
    <row r="3145" spans="1:17">
      <c r="A3145" t="s">
        <v>93</v>
      </c>
      <c r="B3145" t="s">
        <v>106</v>
      </c>
      <c r="C3145" t="s">
        <v>56</v>
      </c>
      <c r="D3145" t="s">
        <v>2928</v>
      </c>
      <c r="E3145">
        <v>13</v>
      </c>
      <c r="F3145" t="str">
        <f>VLOOKUP(E3145,[1]LOJA!$A:$B,2,0)</f>
        <v>CEILÂNDIA</v>
      </c>
      <c r="G3145" t="s">
        <v>19</v>
      </c>
      <c r="H3145" t="s">
        <v>19</v>
      </c>
      <c r="I3145" s="1">
        <v>46050</v>
      </c>
      <c r="J3145" s="1">
        <v>46050</v>
      </c>
      <c r="K3145" s="1">
        <v>46050</v>
      </c>
      <c r="L3145">
        <v>34</v>
      </c>
      <c r="M3145">
        <v>3.08</v>
      </c>
      <c r="N3145">
        <v>3.08</v>
      </c>
      <c r="O3145">
        <v>0</v>
      </c>
      <c r="P3145">
        <v>0</v>
      </c>
      <c r="Q3145" t="s">
        <v>108</v>
      </c>
    </row>
    <row r="3146" spans="1:17">
      <c r="A3146" t="s">
        <v>93</v>
      </c>
      <c r="B3146" t="s">
        <v>106</v>
      </c>
      <c r="C3146" t="s">
        <v>56</v>
      </c>
      <c r="D3146" t="s">
        <v>2929</v>
      </c>
      <c r="E3146">
        <v>13</v>
      </c>
      <c r="F3146" t="str">
        <f>VLOOKUP(E3146,[1]LOJA!$A:$B,2,0)</f>
        <v>CEILÂNDIA</v>
      </c>
      <c r="G3146" t="s">
        <v>19</v>
      </c>
      <c r="H3146" t="s">
        <v>19</v>
      </c>
      <c r="I3146" s="1">
        <v>46050</v>
      </c>
      <c r="J3146" s="1">
        <v>46050</v>
      </c>
      <c r="K3146" s="1">
        <v>46050</v>
      </c>
      <c r="L3146">
        <v>34</v>
      </c>
      <c r="M3146">
        <v>0.94</v>
      </c>
      <c r="N3146">
        <v>0.94</v>
      </c>
      <c r="O3146">
        <v>0</v>
      </c>
      <c r="P3146">
        <v>0</v>
      </c>
      <c r="Q3146" t="s">
        <v>108</v>
      </c>
    </row>
    <row r="3147" spans="1:17">
      <c r="A3147" t="s">
        <v>93</v>
      </c>
      <c r="B3147" t="s">
        <v>106</v>
      </c>
      <c r="C3147" t="s">
        <v>56</v>
      </c>
      <c r="D3147" t="s">
        <v>2930</v>
      </c>
      <c r="E3147">
        <v>13</v>
      </c>
      <c r="F3147" t="str">
        <f>VLOOKUP(E3147,[1]LOJA!$A:$B,2,0)</f>
        <v>CEILÂNDIA</v>
      </c>
      <c r="G3147" t="s">
        <v>19</v>
      </c>
      <c r="H3147" t="s">
        <v>19</v>
      </c>
      <c r="I3147" s="1">
        <v>46051</v>
      </c>
      <c r="J3147" s="1">
        <v>46051</v>
      </c>
      <c r="K3147" s="1">
        <v>46051</v>
      </c>
      <c r="L3147">
        <v>34</v>
      </c>
      <c r="M3147">
        <v>7.14</v>
      </c>
      <c r="N3147">
        <v>7.14</v>
      </c>
      <c r="O3147">
        <v>0</v>
      </c>
      <c r="P3147">
        <v>0</v>
      </c>
      <c r="Q3147" t="s">
        <v>108</v>
      </c>
    </row>
    <row r="3148" spans="1:17">
      <c r="A3148" t="s">
        <v>93</v>
      </c>
      <c r="B3148" t="s">
        <v>106</v>
      </c>
      <c r="C3148" t="s">
        <v>56</v>
      </c>
      <c r="D3148" t="s">
        <v>2931</v>
      </c>
      <c r="E3148">
        <v>13</v>
      </c>
      <c r="F3148" t="str">
        <f>VLOOKUP(E3148,[1]LOJA!$A:$B,2,0)</f>
        <v>CEILÂNDIA</v>
      </c>
      <c r="G3148" t="s">
        <v>19</v>
      </c>
      <c r="H3148" t="s">
        <v>19</v>
      </c>
      <c r="I3148" s="1">
        <v>46051</v>
      </c>
      <c r="J3148" s="1">
        <v>46051</v>
      </c>
      <c r="K3148" s="1">
        <v>46051</v>
      </c>
      <c r="L3148">
        <v>34</v>
      </c>
      <c r="M3148">
        <v>2.14</v>
      </c>
      <c r="N3148">
        <v>2.14</v>
      </c>
      <c r="O3148">
        <v>0</v>
      </c>
      <c r="P3148">
        <v>0</v>
      </c>
      <c r="Q3148" t="s">
        <v>108</v>
      </c>
    </row>
    <row r="3149" spans="1:17">
      <c r="A3149" t="s">
        <v>93</v>
      </c>
      <c r="B3149" t="s">
        <v>106</v>
      </c>
      <c r="C3149" t="s">
        <v>56</v>
      </c>
      <c r="D3149" t="s">
        <v>2932</v>
      </c>
      <c r="E3149">
        <v>13</v>
      </c>
      <c r="F3149" t="str">
        <f>VLOOKUP(E3149,[1]LOJA!$A:$B,2,0)</f>
        <v>CEILÂNDIA</v>
      </c>
      <c r="G3149" t="s">
        <v>19</v>
      </c>
      <c r="H3149" t="s">
        <v>19</v>
      </c>
      <c r="I3149" s="1">
        <v>46051</v>
      </c>
      <c r="J3149" s="1">
        <v>46051</v>
      </c>
      <c r="K3149" s="1">
        <v>46051</v>
      </c>
      <c r="L3149">
        <v>34</v>
      </c>
      <c r="M3149">
        <v>6.57</v>
      </c>
      <c r="N3149">
        <v>6.57</v>
      </c>
      <c r="O3149">
        <v>0</v>
      </c>
      <c r="P3149">
        <v>0</v>
      </c>
      <c r="Q3149" t="s">
        <v>108</v>
      </c>
    </row>
    <row r="3150" spans="1:17">
      <c r="A3150" t="s">
        <v>93</v>
      </c>
      <c r="B3150" t="s">
        <v>106</v>
      </c>
      <c r="C3150" t="s">
        <v>56</v>
      </c>
      <c r="D3150" t="s">
        <v>2933</v>
      </c>
      <c r="E3150">
        <v>13</v>
      </c>
      <c r="F3150" t="str">
        <f>VLOOKUP(E3150,[1]LOJA!$A:$B,2,0)</f>
        <v>CEILÂNDIA</v>
      </c>
      <c r="G3150" t="s">
        <v>19</v>
      </c>
      <c r="H3150" t="s">
        <v>19</v>
      </c>
      <c r="I3150" s="1">
        <v>46051</v>
      </c>
      <c r="J3150" s="1">
        <v>46051</v>
      </c>
      <c r="K3150" s="1">
        <v>46051</v>
      </c>
      <c r="L3150">
        <v>34</v>
      </c>
      <c r="M3150">
        <v>5.01</v>
      </c>
      <c r="N3150">
        <v>5.01</v>
      </c>
      <c r="O3150">
        <v>0</v>
      </c>
      <c r="P3150">
        <v>0</v>
      </c>
      <c r="Q3150" t="s">
        <v>108</v>
      </c>
    </row>
    <row r="3151" spans="1:17">
      <c r="A3151" t="s">
        <v>93</v>
      </c>
      <c r="B3151" t="s">
        <v>106</v>
      </c>
      <c r="C3151" t="s">
        <v>56</v>
      </c>
      <c r="D3151" t="s">
        <v>2934</v>
      </c>
      <c r="E3151">
        <v>13</v>
      </c>
      <c r="F3151" t="str">
        <f>VLOOKUP(E3151,[1]LOJA!$A:$B,2,0)</f>
        <v>CEILÂNDIA</v>
      </c>
      <c r="G3151" t="s">
        <v>19</v>
      </c>
      <c r="H3151" t="s">
        <v>19</v>
      </c>
      <c r="I3151" s="1">
        <v>46051</v>
      </c>
      <c r="J3151" s="1">
        <v>46051</v>
      </c>
      <c r="K3151" s="1">
        <v>46051</v>
      </c>
      <c r="L3151">
        <v>34</v>
      </c>
      <c r="M3151">
        <v>3.97</v>
      </c>
      <c r="N3151">
        <v>3.97</v>
      </c>
      <c r="O3151">
        <v>0</v>
      </c>
      <c r="P3151">
        <v>0</v>
      </c>
      <c r="Q3151" t="s">
        <v>108</v>
      </c>
    </row>
    <row r="3152" spans="1:17">
      <c r="A3152" t="s">
        <v>93</v>
      </c>
      <c r="B3152" t="s">
        <v>106</v>
      </c>
      <c r="C3152" t="s">
        <v>56</v>
      </c>
      <c r="D3152" t="s">
        <v>2935</v>
      </c>
      <c r="E3152">
        <v>13</v>
      </c>
      <c r="F3152" t="str">
        <f>VLOOKUP(E3152,[1]LOJA!$A:$B,2,0)</f>
        <v>CEILÂNDIA</v>
      </c>
      <c r="G3152" t="s">
        <v>19</v>
      </c>
      <c r="H3152" t="s">
        <v>19</v>
      </c>
      <c r="I3152" s="1">
        <v>46051</v>
      </c>
      <c r="J3152" s="1">
        <v>46051</v>
      </c>
      <c r="K3152" s="1">
        <v>46051</v>
      </c>
      <c r="L3152">
        <v>34</v>
      </c>
      <c r="M3152">
        <v>2.63</v>
      </c>
      <c r="N3152">
        <v>2.63</v>
      </c>
      <c r="O3152">
        <v>0</v>
      </c>
      <c r="P3152">
        <v>0</v>
      </c>
      <c r="Q3152" t="s">
        <v>108</v>
      </c>
    </row>
    <row r="3153" spans="1:17">
      <c r="A3153" t="s">
        <v>93</v>
      </c>
      <c r="B3153" t="s">
        <v>106</v>
      </c>
      <c r="C3153" t="s">
        <v>56</v>
      </c>
      <c r="D3153" t="s">
        <v>2936</v>
      </c>
      <c r="E3153">
        <v>13</v>
      </c>
      <c r="F3153" t="str">
        <f>VLOOKUP(E3153,[1]LOJA!$A:$B,2,0)</f>
        <v>CEILÂNDIA</v>
      </c>
      <c r="G3153" t="s">
        <v>19</v>
      </c>
      <c r="H3153" t="s">
        <v>19</v>
      </c>
      <c r="I3153" s="1">
        <v>46051</v>
      </c>
      <c r="J3153" s="1">
        <v>46051</v>
      </c>
      <c r="K3153" s="1">
        <v>46051</v>
      </c>
      <c r="L3153">
        <v>34</v>
      </c>
      <c r="M3153">
        <v>3.59</v>
      </c>
      <c r="N3153">
        <v>3.59</v>
      </c>
      <c r="O3153">
        <v>0</v>
      </c>
      <c r="P3153">
        <v>0</v>
      </c>
      <c r="Q3153" t="s">
        <v>108</v>
      </c>
    </row>
    <row r="3154" spans="1:17">
      <c r="A3154" t="s">
        <v>93</v>
      </c>
      <c r="B3154" t="s">
        <v>106</v>
      </c>
      <c r="C3154" t="s">
        <v>56</v>
      </c>
      <c r="D3154" t="s">
        <v>2937</v>
      </c>
      <c r="E3154">
        <v>13</v>
      </c>
      <c r="F3154" t="str">
        <f>VLOOKUP(E3154,[1]LOJA!$A:$B,2,0)</f>
        <v>CEILÂNDIA</v>
      </c>
      <c r="G3154" t="s">
        <v>19</v>
      </c>
      <c r="H3154" t="s">
        <v>19</v>
      </c>
      <c r="I3154" s="1">
        <v>46051</v>
      </c>
      <c r="J3154" s="1">
        <v>46051</v>
      </c>
      <c r="K3154" s="1">
        <v>46051</v>
      </c>
      <c r="L3154">
        <v>34</v>
      </c>
      <c r="M3154">
        <v>0.67</v>
      </c>
      <c r="N3154">
        <v>0.67</v>
      </c>
      <c r="O3154">
        <v>0</v>
      </c>
      <c r="P3154">
        <v>0</v>
      </c>
      <c r="Q3154" t="s">
        <v>108</v>
      </c>
    </row>
    <row r="3155" spans="1:17">
      <c r="A3155" t="s">
        <v>93</v>
      </c>
      <c r="B3155" t="s">
        <v>106</v>
      </c>
      <c r="C3155" t="s">
        <v>56</v>
      </c>
      <c r="D3155" t="s">
        <v>2938</v>
      </c>
      <c r="E3155">
        <v>13</v>
      </c>
      <c r="F3155" t="str">
        <f>VLOOKUP(E3155,[1]LOJA!$A:$B,2,0)</f>
        <v>CEILÂNDIA</v>
      </c>
      <c r="G3155" t="s">
        <v>19</v>
      </c>
      <c r="H3155" t="s">
        <v>19</v>
      </c>
      <c r="I3155" s="1">
        <v>46051</v>
      </c>
      <c r="J3155" s="1">
        <v>46051</v>
      </c>
      <c r="K3155" s="1">
        <v>46051</v>
      </c>
      <c r="L3155">
        <v>34</v>
      </c>
      <c r="M3155">
        <v>0.96</v>
      </c>
      <c r="N3155">
        <v>0.96</v>
      </c>
      <c r="O3155">
        <v>0</v>
      </c>
      <c r="P3155">
        <v>0</v>
      </c>
      <c r="Q3155" t="s">
        <v>108</v>
      </c>
    </row>
    <row r="3156" spans="1:17">
      <c r="A3156" t="s">
        <v>93</v>
      </c>
      <c r="B3156" t="s">
        <v>106</v>
      </c>
      <c r="C3156" t="s">
        <v>56</v>
      </c>
      <c r="D3156" t="s">
        <v>2939</v>
      </c>
      <c r="E3156">
        <v>13</v>
      </c>
      <c r="F3156" t="str">
        <f>VLOOKUP(E3156,[1]LOJA!$A:$B,2,0)</f>
        <v>CEILÂNDIA</v>
      </c>
      <c r="G3156" t="s">
        <v>19</v>
      </c>
      <c r="H3156" t="s">
        <v>19</v>
      </c>
      <c r="I3156" s="1">
        <v>46051</v>
      </c>
      <c r="J3156" s="1">
        <v>46051</v>
      </c>
      <c r="K3156" s="1">
        <v>46051</v>
      </c>
      <c r="L3156">
        <v>34</v>
      </c>
      <c r="M3156">
        <v>3.23</v>
      </c>
      <c r="N3156">
        <v>3.23</v>
      </c>
      <c r="O3156">
        <v>0</v>
      </c>
      <c r="P3156">
        <v>0</v>
      </c>
      <c r="Q3156" t="s">
        <v>108</v>
      </c>
    </row>
    <row r="3157" spans="1:17">
      <c r="A3157" t="s">
        <v>93</v>
      </c>
      <c r="B3157" t="s">
        <v>106</v>
      </c>
      <c r="C3157" t="s">
        <v>56</v>
      </c>
      <c r="D3157" t="s">
        <v>2940</v>
      </c>
      <c r="E3157">
        <v>13</v>
      </c>
      <c r="F3157" t="str">
        <f>VLOOKUP(E3157,[1]LOJA!$A:$B,2,0)</f>
        <v>CEILÂNDIA</v>
      </c>
      <c r="G3157" t="s">
        <v>19</v>
      </c>
      <c r="H3157" t="s">
        <v>19</v>
      </c>
      <c r="I3157" s="1">
        <v>46051</v>
      </c>
      <c r="J3157" s="1">
        <v>46051</v>
      </c>
      <c r="K3157" s="1">
        <v>46051</v>
      </c>
      <c r="L3157">
        <v>34</v>
      </c>
      <c r="M3157">
        <v>0.27</v>
      </c>
      <c r="N3157">
        <v>0.27</v>
      </c>
      <c r="O3157">
        <v>0</v>
      </c>
      <c r="P3157">
        <v>0</v>
      </c>
      <c r="Q3157" t="s">
        <v>108</v>
      </c>
    </row>
    <row r="3158" spans="1:17">
      <c r="A3158" t="s">
        <v>93</v>
      </c>
      <c r="B3158" t="s">
        <v>106</v>
      </c>
      <c r="C3158" t="s">
        <v>56</v>
      </c>
      <c r="D3158" t="s">
        <v>2941</v>
      </c>
      <c r="E3158">
        <v>13</v>
      </c>
      <c r="F3158" t="str">
        <f>VLOOKUP(E3158,[1]LOJA!$A:$B,2,0)</f>
        <v>CEILÂNDIA</v>
      </c>
      <c r="G3158" t="s">
        <v>19</v>
      </c>
      <c r="H3158" t="s">
        <v>19</v>
      </c>
      <c r="I3158" s="1">
        <v>46051</v>
      </c>
      <c r="J3158" s="1">
        <v>46051</v>
      </c>
      <c r="K3158" s="1">
        <v>46051</v>
      </c>
      <c r="L3158">
        <v>34</v>
      </c>
      <c r="M3158">
        <v>3.95</v>
      </c>
      <c r="N3158">
        <v>3.95</v>
      </c>
      <c r="O3158">
        <v>0</v>
      </c>
      <c r="P3158">
        <v>0</v>
      </c>
      <c r="Q3158" t="s">
        <v>108</v>
      </c>
    </row>
    <row r="3159" spans="1:17">
      <c r="A3159" t="s">
        <v>93</v>
      </c>
      <c r="B3159" t="s">
        <v>106</v>
      </c>
      <c r="C3159" t="s">
        <v>56</v>
      </c>
      <c r="D3159" t="s">
        <v>2942</v>
      </c>
      <c r="E3159">
        <v>13</v>
      </c>
      <c r="F3159" t="str">
        <f>VLOOKUP(E3159,[1]LOJA!$A:$B,2,0)</f>
        <v>CEILÂNDIA</v>
      </c>
      <c r="G3159" t="s">
        <v>19</v>
      </c>
      <c r="H3159" t="s">
        <v>19</v>
      </c>
      <c r="I3159" s="1">
        <v>46051</v>
      </c>
      <c r="J3159" s="1">
        <v>46051</v>
      </c>
      <c r="K3159" s="1">
        <v>46051</v>
      </c>
      <c r="L3159">
        <v>34</v>
      </c>
      <c r="M3159">
        <v>1.26</v>
      </c>
      <c r="N3159">
        <v>1.26</v>
      </c>
      <c r="O3159">
        <v>0</v>
      </c>
      <c r="P3159">
        <v>0</v>
      </c>
      <c r="Q3159" t="s">
        <v>108</v>
      </c>
    </row>
    <row r="3160" spans="1:17">
      <c r="A3160" t="s">
        <v>93</v>
      </c>
      <c r="B3160" t="s">
        <v>106</v>
      </c>
      <c r="C3160" t="s">
        <v>56</v>
      </c>
      <c r="D3160" t="s">
        <v>2943</v>
      </c>
      <c r="E3160">
        <v>13</v>
      </c>
      <c r="F3160" t="str">
        <f>VLOOKUP(E3160,[1]LOJA!$A:$B,2,0)</f>
        <v>CEILÂNDIA</v>
      </c>
      <c r="G3160" t="s">
        <v>19</v>
      </c>
      <c r="H3160" t="s">
        <v>19</v>
      </c>
      <c r="I3160" s="1">
        <v>46051</v>
      </c>
      <c r="J3160" s="1">
        <v>46051</v>
      </c>
      <c r="K3160" s="1">
        <v>46051</v>
      </c>
      <c r="L3160">
        <v>34</v>
      </c>
      <c r="M3160">
        <v>0.37</v>
      </c>
      <c r="N3160">
        <v>0.37</v>
      </c>
      <c r="O3160">
        <v>0</v>
      </c>
      <c r="P3160">
        <v>0</v>
      </c>
      <c r="Q3160" t="s">
        <v>108</v>
      </c>
    </row>
    <row r="3161" spans="1:17">
      <c r="A3161" t="s">
        <v>93</v>
      </c>
      <c r="B3161" t="s">
        <v>106</v>
      </c>
      <c r="C3161" t="s">
        <v>56</v>
      </c>
      <c r="D3161" t="s">
        <v>2944</v>
      </c>
      <c r="E3161">
        <v>13</v>
      </c>
      <c r="F3161" t="str">
        <f>VLOOKUP(E3161,[1]LOJA!$A:$B,2,0)</f>
        <v>CEILÂNDIA</v>
      </c>
      <c r="G3161" t="s">
        <v>19</v>
      </c>
      <c r="H3161" t="s">
        <v>19</v>
      </c>
      <c r="I3161" s="1">
        <v>46051</v>
      </c>
      <c r="J3161" s="1">
        <v>46051</v>
      </c>
      <c r="K3161" s="1">
        <v>46051</v>
      </c>
      <c r="L3161">
        <v>34</v>
      </c>
      <c r="M3161">
        <v>0.23</v>
      </c>
      <c r="N3161">
        <v>0.23</v>
      </c>
      <c r="O3161">
        <v>0</v>
      </c>
      <c r="P3161">
        <v>0</v>
      </c>
      <c r="Q3161" t="s">
        <v>108</v>
      </c>
    </row>
    <row r="3162" spans="1:17">
      <c r="A3162" t="s">
        <v>93</v>
      </c>
      <c r="B3162" t="s">
        <v>106</v>
      </c>
      <c r="C3162" t="s">
        <v>56</v>
      </c>
      <c r="D3162" t="s">
        <v>2945</v>
      </c>
      <c r="E3162">
        <v>13</v>
      </c>
      <c r="F3162" t="str">
        <f>VLOOKUP(E3162,[1]LOJA!$A:$B,2,0)</f>
        <v>CEILÂNDIA</v>
      </c>
      <c r="G3162" t="s">
        <v>19</v>
      </c>
      <c r="H3162" t="s">
        <v>19</v>
      </c>
      <c r="I3162" s="1">
        <v>46051</v>
      </c>
      <c r="J3162" s="1">
        <v>46051</v>
      </c>
      <c r="K3162" s="1">
        <v>46051</v>
      </c>
      <c r="L3162">
        <v>34</v>
      </c>
      <c r="M3162">
        <v>1.6</v>
      </c>
      <c r="N3162">
        <v>1.6</v>
      </c>
      <c r="O3162">
        <v>0</v>
      </c>
      <c r="P3162">
        <v>0</v>
      </c>
      <c r="Q3162" t="s">
        <v>108</v>
      </c>
    </row>
    <row r="3163" spans="1:17">
      <c r="A3163" t="s">
        <v>93</v>
      </c>
      <c r="B3163" t="s">
        <v>106</v>
      </c>
      <c r="C3163" t="s">
        <v>56</v>
      </c>
      <c r="D3163" t="s">
        <v>2946</v>
      </c>
      <c r="E3163">
        <v>13</v>
      </c>
      <c r="F3163" t="str">
        <f>VLOOKUP(E3163,[1]LOJA!$A:$B,2,0)</f>
        <v>CEILÂNDIA</v>
      </c>
      <c r="G3163" t="s">
        <v>19</v>
      </c>
      <c r="H3163" t="s">
        <v>19</v>
      </c>
      <c r="I3163" s="1">
        <v>46051</v>
      </c>
      <c r="J3163" s="1">
        <v>46051</v>
      </c>
      <c r="K3163" s="1">
        <v>46051</v>
      </c>
      <c r="L3163">
        <v>34</v>
      </c>
      <c r="M3163">
        <v>0.12</v>
      </c>
      <c r="N3163">
        <v>0.12</v>
      </c>
      <c r="O3163">
        <v>0</v>
      </c>
      <c r="P3163">
        <v>0</v>
      </c>
      <c r="Q3163" t="s">
        <v>108</v>
      </c>
    </row>
    <row r="3164" spans="1:17">
      <c r="A3164" t="s">
        <v>93</v>
      </c>
      <c r="B3164" t="s">
        <v>106</v>
      </c>
      <c r="C3164" t="s">
        <v>56</v>
      </c>
      <c r="D3164" t="s">
        <v>2947</v>
      </c>
      <c r="E3164">
        <v>13</v>
      </c>
      <c r="F3164" t="str">
        <f>VLOOKUP(E3164,[1]LOJA!$A:$B,2,0)</f>
        <v>CEILÂNDIA</v>
      </c>
      <c r="G3164" t="s">
        <v>19</v>
      </c>
      <c r="H3164" t="s">
        <v>19</v>
      </c>
      <c r="I3164" s="1">
        <v>46051</v>
      </c>
      <c r="J3164" s="1">
        <v>46051</v>
      </c>
      <c r="K3164" s="1">
        <v>46051</v>
      </c>
      <c r="L3164">
        <v>34</v>
      </c>
      <c r="M3164">
        <v>0.23</v>
      </c>
      <c r="N3164">
        <v>0.23</v>
      </c>
      <c r="O3164">
        <v>0</v>
      </c>
      <c r="P3164">
        <v>0</v>
      </c>
      <c r="Q3164" t="s">
        <v>108</v>
      </c>
    </row>
    <row r="3165" spans="1:17">
      <c r="A3165" t="s">
        <v>93</v>
      </c>
      <c r="B3165" t="s">
        <v>106</v>
      </c>
      <c r="C3165" t="s">
        <v>56</v>
      </c>
      <c r="D3165" t="s">
        <v>2948</v>
      </c>
      <c r="E3165">
        <v>13</v>
      </c>
      <c r="F3165" t="str">
        <f>VLOOKUP(E3165,[1]LOJA!$A:$B,2,0)</f>
        <v>CEILÂNDIA</v>
      </c>
      <c r="G3165" t="s">
        <v>19</v>
      </c>
      <c r="H3165" t="s">
        <v>19</v>
      </c>
      <c r="I3165" s="1">
        <v>46051</v>
      </c>
      <c r="J3165" s="1">
        <v>46051</v>
      </c>
      <c r="K3165" s="1">
        <v>46051</v>
      </c>
      <c r="L3165">
        <v>34</v>
      </c>
      <c r="M3165">
        <v>0.55000000000000004</v>
      </c>
      <c r="N3165">
        <v>0.55000000000000004</v>
      </c>
      <c r="O3165">
        <v>0</v>
      </c>
      <c r="P3165">
        <v>0</v>
      </c>
      <c r="Q3165" t="s">
        <v>108</v>
      </c>
    </row>
    <row r="3166" spans="1:17">
      <c r="A3166" t="s">
        <v>93</v>
      </c>
      <c r="B3166" t="s">
        <v>106</v>
      </c>
      <c r="C3166" t="s">
        <v>56</v>
      </c>
      <c r="D3166" t="s">
        <v>2949</v>
      </c>
      <c r="E3166">
        <v>13</v>
      </c>
      <c r="F3166" t="str">
        <f>VLOOKUP(E3166,[1]LOJA!$A:$B,2,0)</f>
        <v>CEILÂNDIA</v>
      </c>
      <c r="G3166" t="s">
        <v>19</v>
      </c>
      <c r="H3166" t="s">
        <v>19</v>
      </c>
      <c r="I3166" s="1">
        <v>46051</v>
      </c>
      <c r="J3166" s="1">
        <v>46051</v>
      </c>
      <c r="K3166" s="1">
        <v>46051</v>
      </c>
      <c r="L3166">
        <v>34</v>
      </c>
      <c r="M3166">
        <v>0.46</v>
      </c>
      <c r="N3166">
        <v>0.46</v>
      </c>
      <c r="O3166">
        <v>0</v>
      </c>
      <c r="P3166">
        <v>0</v>
      </c>
      <c r="Q3166" t="s">
        <v>108</v>
      </c>
    </row>
    <row r="3167" spans="1:17">
      <c r="A3167" t="s">
        <v>93</v>
      </c>
      <c r="B3167" t="s">
        <v>106</v>
      </c>
      <c r="C3167" t="s">
        <v>56</v>
      </c>
      <c r="D3167" t="s">
        <v>2950</v>
      </c>
      <c r="E3167">
        <v>13</v>
      </c>
      <c r="F3167" t="str">
        <f>VLOOKUP(E3167,[1]LOJA!$A:$B,2,0)</f>
        <v>CEILÂNDIA</v>
      </c>
      <c r="G3167" t="s">
        <v>19</v>
      </c>
      <c r="H3167" t="s">
        <v>19</v>
      </c>
      <c r="I3167" s="1">
        <v>46051</v>
      </c>
      <c r="J3167" s="1">
        <v>46051</v>
      </c>
      <c r="K3167" s="1">
        <v>46051</v>
      </c>
      <c r="L3167">
        <v>34</v>
      </c>
      <c r="M3167">
        <v>1.52</v>
      </c>
      <c r="N3167">
        <v>1.52</v>
      </c>
      <c r="O3167">
        <v>0</v>
      </c>
      <c r="P3167">
        <v>0</v>
      </c>
      <c r="Q3167" t="s">
        <v>108</v>
      </c>
    </row>
    <row r="3168" spans="1:17">
      <c r="A3168" t="s">
        <v>93</v>
      </c>
      <c r="B3168" t="s">
        <v>106</v>
      </c>
      <c r="C3168" t="s">
        <v>56</v>
      </c>
      <c r="D3168" t="s">
        <v>2951</v>
      </c>
      <c r="E3168">
        <v>14</v>
      </c>
      <c r="F3168" t="str">
        <f>VLOOKUP(E3168,[1]LOJA!$A:$B,2,0)</f>
        <v>S IA</v>
      </c>
      <c r="G3168" t="s">
        <v>19</v>
      </c>
      <c r="H3168" t="s">
        <v>19</v>
      </c>
      <c r="I3168" s="1">
        <v>46024</v>
      </c>
      <c r="J3168" s="1">
        <v>46024</v>
      </c>
      <c r="K3168" s="1">
        <v>46024</v>
      </c>
      <c r="L3168">
        <v>34</v>
      </c>
      <c r="M3168">
        <v>10.95</v>
      </c>
      <c r="N3168">
        <v>10.95</v>
      </c>
      <c r="O3168">
        <v>0</v>
      </c>
      <c r="P3168">
        <v>0</v>
      </c>
      <c r="Q3168" t="s">
        <v>108</v>
      </c>
    </row>
    <row r="3169" spans="1:17">
      <c r="A3169" t="s">
        <v>93</v>
      </c>
      <c r="B3169" t="s">
        <v>106</v>
      </c>
      <c r="C3169" t="s">
        <v>56</v>
      </c>
      <c r="D3169" t="s">
        <v>2952</v>
      </c>
      <c r="E3169">
        <v>14</v>
      </c>
      <c r="F3169" t="str">
        <f>VLOOKUP(E3169,[1]LOJA!$A:$B,2,0)</f>
        <v>S IA</v>
      </c>
      <c r="G3169" t="s">
        <v>19</v>
      </c>
      <c r="H3169" t="s">
        <v>19</v>
      </c>
      <c r="I3169" s="1">
        <v>46024</v>
      </c>
      <c r="J3169" s="1">
        <v>46024</v>
      </c>
      <c r="K3169" s="1">
        <v>46024</v>
      </c>
      <c r="L3169">
        <v>34</v>
      </c>
      <c r="M3169">
        <v>2.3199999999999998</v>
      </c>
      <c r="N3169">
        <v>2.3199999999999998</v>
      </c>
      <c r="O3169">
        <v>0</v>
      </c>
      <c r="P3169">
        <v>0</v>
      </c>
      <c r="Q3169" t="s">
        <v>108</v>
      </c>
    </row>
    <row r="3170" spans="1:17">
      <c r="A3170" t="s">
        <v>93</v>
      </c>
      <c r="B3170" t="s">
        <v>106</v>
      </c>
      <c r="C3170" t="s">
        <v>56</v>
      </c>
      <c r="D3170" t="s">
        <v>2953</v>
      </c>
      <c r="E3170">
        <v>14</v>
      </c>
      <c r="F3170" t="str">
        <f>VLOOKUP(E3170,[1]LOJA!$A:$B,2,0)</f>
        <v>S IA</v>
      </c>
      <c r="G3170" t="s">
        <v>19</v>
      </c>
      <c r="H3170" t="s">
        <v>19</v>
      </c>
      <c r="I3170" s="1">
        <v>46024</v>
      </c>
      <c r="J3170" s="1">
        <v>46024</v>
      </c>
      <c r="K3170" s="1">
        <v>46024</v>
      </c>
      <c r="L3170">
        <v>34</v>
      </c>
      <c r="M3170">
        <v>2.62</v>
      </c>
      <c r="N3170">
        <v>2.62</v>
      </c>
      <c r="O3170">
        <v>0</v>
      </c>
      <c r="P3170">
        <v>0</v>
      </c>
      <c r="Q3170" t="s">
        <v>108</v>
      </c>
    </row>
    <row r="3171" spans="1:17">
      <c r="A3171" t="s">
        <v>93</v>
      </c>
      <c r="B3171" t="s">
        <v>106</v>
      </c>
      <c r="C3171" t="s">
        <v>56</v>
      </c>
      <c r="D3171" t="s">
        <v>2954</v>
      </c>
      <c r="E3171">
        <v>14</v>
      </c>
      <c r="F3171" t="str">
        <f>VLOOKUP(E3171,[1]LOJA!$A:$B,2,0)</f>
        <v>S IA</v>
      </c>
      <c r="G3171" t="s">
        <v>19</v>
      </c>
      <c r="H3171" t="s">
        <v>19</v>
      </c>
      <c r="I3171" s="1">
        <v>46024</v>
      </c>
      <c r="J3171" s="1">
        <v>46023</v>
      </c>
      <c r="K3171" s="1">
        <v>46024</v>
      </c>
      <c r="L3171">
        <v>34</v>
      </c>
      <c r="M3171">
        <v>3.94</v>
      </c>
      <c r="N3171">
        <v>3.94</v>
      </c>
      <c r="O3171">
        <v>0</v>
      </c>
      <c r="P3171">
        <v>0</v>
      </c>
      <c r="Q3171" t="s">
        <v>108</v>
      </c>
    </row>
    <row r="3172" spans="1:17">
      <c r="A3172" t="s">
        <v>93</v>
      </c>
      <c r="B3172" t="s">
        <v>106</v>
      </c>
      <c r="C3172" t="s">
        <v>56</v>
      </c>
      <c r="D3172" t="s">
        <v>2955</v>
      </c>
      <c r="E3172">
        <v>14</v>
      </c>
      <c r="F3172" t="str">
        <f>VLOOKUP(E3172,[1]LOJA!$A:$B,2,0)</f>
        <v>S IA</v>
      </c>
      <c r="G3172" t="s">
        <v>19</v>
      </c>
      <c r="H3172" t="s">
        <v>19</v>
      </c>
      <c r="I3172" s="1">
        <v>46024</v>
      </c>
      <c r="J3172" s="1">
        <v>46023</v>
      </c>
      <c r="K3172" s="1">
        <v>46024</v>
      </c>
      <c r="L3172">
        <v>34</v>
      </c>
      <c r="M3172">
        <v>8.4499999999999993</v>
      </c>
      <c r="N3172">
        <v>8.4499999999999993</v>
      </c>
      <c r="O3172">
        <v>0</v>
      </c>
      <c r="P3172">
        <v>0</v>
      </c>
      <c r="Q3172" t="s">
        <v>108</v>
      </c>
    </row>
    <row r="3173" spans="1:17">
      <c r="A3173" t="s">
        <v>93</v>
      </c>
      <c r="B3173" t="s">
        <v>106</v>
      </c>
      <c r="C3173" t="s">
        <v>56</v>
      </c>
      <c r="D3173" t="s">
        <v>2956</v>
      </c>
      <c r="E3173">
        <v>14</v>
      </c>
      <c r="F3173" t="str">
        <f>VLOOKUP(E3173,[1]LOJA!$A:$B,2,0)</f>
        <v>S IA</v>
      </c>
      <c r="G3173" t="s">
        <v>19</v>
      </c>
      <c r="H3173" t="s">
        <v>19</v>
      </c>
      <c r="I3173" s="1">
        <v>46024</v>
      </c>
      <c r="J3173" s="1">
        <v>46023</v>
      </c>
      <c r="K3173" s="1">
        <v>46024</v>
      </c>
      <c r="L3173">
        <v>34</v>
      </c>
      <c r="M3173">
        <v>32.85</v>
      </c>
      <c r="N3173">
        <v>32.85</v>
      </c>
      <c r="O3173">
        <v>0</v>
      </c>
      <c r="P3173">
        <v>0</v>
      </c>
      <c r="Q3173" t="s">
        <v>108</v>
      </c>
    </row>
    <row r="3174" spans="1:17">
      <c r="A3174" t="s">
        <v>93</v>
      </c>
      <c r="B3174" t="s">
        <v>106</v>
      </c>
      <c r="C3174" t="s">
        <v>56</v>
      </c>
      <c r="D3174" t="s">
        <v>2957</v>
      </c>
      <c r="E3174">
        <v>14</v>
      </c>
      <c r="F3174" t="str">
        <f>VLOOKUP(E3174,[1]LOJA!$A:$B,2,0)</f>
        <v>S IA</v>
      </c>
      <c r="G3174" t="s">
        <v>19</v>
      </c>
      <c r="H3174" t="s">
        <v>19</v>
      </c>
      <c r="I3174" s="1">
        <v>46024</v>
      </c>
      <c r="J3174" s="1">
        <v>46023</v>
      </c>
      <c r="K3174" s="1">
        <v>46024</v>
      </c>
      <c r="L3174">
        <v>34</v>
      </c>
      <c r="M3174">
        <v>1.4</v>
      </c>
      <c r="N3174">
        <v>1.4</v>
      </c>
      <c r="O3174">
        <v>0</v>
      </c>
      <c r="P3174">
        <v>0</v>
      </c>
      <c r="Q3174" t="s">
        <v>108</v>
      </c>
    </row>
    <row r="3175" spans="1:17">
      <c r="A3175" t="s">
        <v>93</v>
      </c>
      <c r="B3175" t="s">
        <v>106</v>
      </c>
      <c r="C3175" t="s">
        <v>56</v>
      </c>
      <c r="D3175" t="s">
        <v>2958</v>
      </c>
      <c r="E3175">
        <v>14</v>
      </c>
      <c r="F3175" t="str">
        <f>VLOOKUP(E3175,[1]LOJA!$A:$B,2,0)</f>
        <v>S IA</v>
      </c>
      <c r="G3175" t="s">
        <v>19</v>
      </c>
      <c r="H3175" t="s">
        <v>19</v>
      </c>
      <c r="I3175" s="1">
        <v>46024</v>
      </c>
      <c r="J3175" s="1">
        <v>46023</v>
      </c>
      <c r="K3175" s="1">
        <v>46024</v>
      </c>
      <c r="L3175">
        <v>34</v>
      </c>
      <c r="M3175">
        <v>1.63</v>
      </c>
      <c r="N3175">
        <v>1.63</v>
      </c>
      <c r="O3175">
        <v>0</v>
      </c>
      <c r="P3175">
        <v>0</v>
      </c>
      <c r="Q3175" t="s">
        <v>108</v>
      </c>
    </row>
    <row r="3176" spans="1:17">
      <c r="A3176" t="s">
        <v>93</v>
      </c>
      <c r="B3176" t="s">
        <v>106</v>
      </c>
      <c r="C3176" t="s">
        <v>56</v>
      </c>
      <c r="D3176" t="s">
        <v>2959</v>
      </c>
      <c r="E3176">
        <v>14</v>
      </c>
      <c r="F3176" t="str">
        <f>VLOOKUP(E3176,[1]LOJA!$A:$B,2,0)</f>
        <v>S IA</v>
      </c>
      <c r="G3176" t="s">
        <v>19</v>
      </c>
      <c r="H3176" t="s">
        <v>19</v>
      </c>
      <c r="I3176" s="1">
        <v>46024</v>
      </c>
      <c r="J3176" s="1">
        <v>46023</v>
      </c>
      <c r="K3176" s="1">
        <v>46024</v>
      </c>
      <c r="L3176">
        <v>34</v>
      </c>
      <c r="M3176">
        <v>0.88</v>
      </c>
      <c r="N3176">
        <v>0.88</v>
      </c>
      <c r="O3176">
        <v>0</v>
      </c>
      <c r="P3176">
        <v>0</v>
      </c>
      <c r="Q3176" t="s">
        <v>108</v>
      </c>
    </row>
    <row r="3177" spans="1:17">
      <c r="A3177" t="s">
        <v>93</v>
      </c>
      <c r="B3177" t="s">
        <v>106</v>
      </c>
      <c r="C3177" t="s">
        <v>56</v>
      </c>
      <c r="D3177" t="s">
        <v>2960</v>
      </c>
      <c r="E3177">
        <v>14</v>
      </c>
      <c r="F3177" t="str">
        <f>VLOOKUP(E3177,[1]LOJA!$A:$B,2,0)</f>
        <v>S IA</v>
      </c>
      <c r="G3177" t="s">
        <v>19</v>
      </c>
      <c r="H3177" t="s">
        <v>19</v>
      </c>
      <c r="I3177" s="1">
        <v>46024</v>
      </c>
      <c r="J3177" s="1">
        <v>46023</v>
      </c>
      <c r="K3177" s="1">
        <v>46024</v>
      </c>
      <c r="L3177">
        <v>34</v>
      </c>
      <c r="M3177">
        <v>6.1</v>
      </c>
      <c r="N3177">
        <v>6.1</v>
      </c>
      <c r="O3177">
        <v>0</v>
      </c>
      <c r="P3177">
        <v>0</v>
      </c>
      <c r="Q3177" t="s">
        <v>108</v>
      </c>
    </row>
    <row r="3178" spans="1:17">
      <c r="A3178" t="s">
        <v>93</v>
      </c>
      <c r="B3178" t="s">
        <v>106</v>
      </c>
      <c r="C3178" t="s">
        <v>56</v>
      </c>
      <c r="D3178" t="s">
        <v>2961</v>
      </c>
      <c r="E3178">
        <v>14</v>
      </c>
      <c r="F3178" t="str">
        <f>VLOOKUP(E3178,[1]LOJA!$A:$B,2,0)</f>
        <v>S IA</v>
      </c>
      <c r="G3178" t="s">
        <v>19</v>
      </c>
      <c r="H3178" t="s">
        <v>19</v>
      </c>
      <c r="I3178" s="1">
        <v>46024</v>
      </c>
      <c r="J3178" s="1">
        <v>46023</v>
      </c>
      <c r="K3178" s="1">
        <v>46024</v>
      </c>
      <c r="L3178">
        <v>34</v>
      </c>
      <c r="M3178">
        <v>1.33</v>
      </c>
      <c r="N3178">
        <v>1.33</v>
      </c>
      <c r="O3178">
        <v>0</v>
      </c>
      <c r="P3178">
        <v>0</v>
      </c>
      <c r="Q3178" t="s">
        <v>108</v>
      </c>
    </row>
    <row r="3179" spans="1:17">
      <c r="A3179" t="s">
        <v>93</v>
      </c>
      <c r="B3179" t="s">
        <v>106</v>
      </c>
      <c r="C3179" t="s">
        <v>56</v>
      </c>
      <c r="D3179" t="s">
        <v>2962</v>
      </c>
      <c r="E3179">
        <v>14</v>
      </c>
      <c r="F3179" t="str">
        <f>VLOOKUP(E3179,[1]LOJA!$A:$B,2,0)</f>
        <v>S IA</v>
      </c>
      <c r="G3179" t="s">
        <v>19</v>
      </c>
      <c r="H3179" t="s">
        <v>19</v>
      </c>
      <c r="I3179" s="1">
        <v>46024</v>
      </c>
      <c r="J3179" s="1">
        <v>46023</v>
      </c>
      <c r="K3179" s="1">
        <v>46024</v>
      </c>
      <c r="L3179">
        <v>34</v>
      </c>
      <c r="M3179">
        <v>3.12</v>
      </c>
      <c r="N3179">
        <v>3.12</v>
      </c>
      <c r="O3179">
        <v>0</v>
      </c>
      <c r="P3179">
        <v>0</v>
      </c>
      <c r="Q3179" t="s">
        <v>108</v>
      </c>
    </row>
    <row r="3180" spans="1:17">
      <c r="A3180" t="s">
        <v>93</v>
      </c>
      <c r="B3180" t="s">
        <v>106</v>
      </c>
      <c r="C3180" t="s">
        <v>56</v>
      </c>
      <c r="D3180" t="s">
        <v>2963</v>
      </c>
      <c r="E3180">
        <v>14</v>
      </c>
      <c r="F3180" t="str">
        <f>VLOOKUP(E3180,[1]LOJA!$A:$B,2,0)</f>
        <v>S IA</v>
      </c>
      <c r="G3180" t="s">
        <v>19</v>
      </c>
      <c r="H3180" t="s">
        <v>19</v>
      </c>
      <c r="I3180" s="1">
        <v>46024</v>
      </c>
      <c r="J3180" s="1">
        <v>46023</v>
      </c>
      <c r="K3180" s="1">
        <v>46024</v>
      </c>
      <c r="L3180">
        <v>34</v>
      </c>
      <c r="M3180">
        <v>1.1200000000000001</v>
      </c>
      <c r="N3180">
        <v>1.1200000000000001</v>
      </c>
      <c r="O3180">
        <v>0</v>
      </c>
      <c r="P3180">
        <v>0</v>
      </c>
      <c r="Q3180" t="s">
        <v>108</v>
      </c>
    </row>
    <row r="3181" spans="1:17">
      <c r="A3181" t="s">
        <v>93</v>
      </c>
      <c r="B3181" t="s">
        <v>106</v>
      </c>
      <c r="C3181" t="s">
        <v>56</v>
      </c>
      <c r="D3181" t="s">
        <v>2964</v>
      </c>
      <c r="E3181">
        <v>14</v>
      </c>
      <c r="F3181" t="str">
        <f>VLOOKUP(E3181,[1]LOJA!$A:$B,2,0)</f>
        <v>S IA</v>
      </c>
      <c r="G3181" t="s">
        <v>19</v>
      </c>
      <c r="H3181" t="s">
        <v>19</v>
      </c>
      <c r="I3181" s="1">
        <v>46024</v>
      </c>
      <c r="J3181" s="1">
        <v>46023</v>
      </c>
      <c r="K3181" s="1">
        <v>46024</v>
      </c>
      <c r="L3181">
        <v>34</v>
      </c>
      <c r="M3181">
        <v>1.54</v>
      </c>
      <c r="N3181">
        <v>1.54</v>
      </c>
      <c r="O3181">
        <v>0</v>
      </c>
      <c r="P3181">
        <v>0</v>
      </c>
      <c r="Q3181" t="s">
        <v>108</v>
      </c>
    </row>
    <row r="3182" spans="1:17">
      <c r="A3182" t="s">
        <v>93</v>
      </c>
      <c r="B3182" t="s">
        <v>106</v>
      </c>
      <c r="C3182" t="s">
        <v>56</v>
      </c>
      <c r="D3182" t="s">
        <v>2965</v>
      </c>
      <c r="E3182">
        <v>14</v>
      </c>
      <c r="F3182" t="str">
        <f>VLOOKUP(E3182,[1]LOJA!$A:$B,2,0)</f>
        <v>S IA</v>
      </c>
      <c r="G3182" t="s">
        <v>19</v>
      </c>
      <c r="H3182" t="s">
        <v>19</v>
      </c>
      <c r="I3182" s="1">
        <v>46024</v>
      </c>
      <c r="J3182" s="1">
        <v>46023</v>
      </c>
      <c r="K3182" s="1">
        <v>46024</v>
      </c>
      <c r="L3182">
        <v>34</v>
      </c>
      <c r="M3182">
        <v>0.25</v>
      </c>
      <c r="N3182">
        <v>0.25</v>
      </c>
      <c r="O3182">
        <v>0</v>
      </c>
      <c r="P3182">
        <v>0</v>
      </c>
      <c r="Q3182" t="s">
        <v>108</v>
      </c>
    </row>
    <row r="3183" spans="1:17">
      <c r="A3183" t="s">
        <v>93</v>
      </c>
      <c r="B3183" t="s">
        <v>106</v>
      </c>
      <c r="C3183" t="s">
        <v>56</v>
      </c>
      <c r="D3183" t="s">
        <v>2966</v>
      </c>
      <c r="E3183">
        <v>14</v>
      </c>
      <c r="F3183" t="str">
        <f>VLOOKUP(E3183,[1]LOJA!$A:$B,2,0)</f>
        <v>S IA</v>
      </c>
      <c r="G3183" t="s">
        <v>19</v>
      </c>
      <c r="H3183" t="s">
        <v>19</v>
      </c>
      <c r="I3183" s="1">
        <v>46024</v>
      </c>
      <c r="J3183" s="1">
        <v>46023</v>
      </c>
      <c r="K3183" s="1">
        <v>46024</v>
      </c>
      <c r="L3183">
        <v>34</v>
      </c>
      <c r="M3183">
        <v>0.61</v>
      </c>
      <c r="N3183">
        <v>0.61</v>
      </c>
      <c r="O3183">
        <v>0</v>
      </c>
      <c r="P3183">
        <v>0</v>
      </c>
      <c r="Q3183" t="s">
        <v>108</v>
      </c>
    </row>
    <row r="3184" spans="1:17">
      <c r="A3184" t="s">
        <v>93</v>
      </c>
      <c r="B3184" t="s">
        <v>106</v>
      </c>
      <c r="C3184" t="s">
        <v>56</v>
      </c>
      <c r="D3184" t="s">
        <v>2967</v>
      </c>
      <c r="E3184">
        <v>14</v>
      </c>
      <c r="F3184" t="str">
        <f>VLOOKUP(E3184,[1]LOJA!$A:$B,2,0)</f>
        <v>S IA</v>
      </c>
      <c r="G3184" t="s">
        <v>19</v>
      </c>
      <c r="H3184" t="s">
        <v>19</v>
      </c>
      <c r="I3184" s="1">
        <v>46024</v>
      </c>
      <c r="J3184" s="1">
        <v>46023</v>
      </c>
      <c r="K3184" s="1">
        <v>46024</v>
      </c>
      <c r="L3184">
        <v>34</v>
      </c>
      <c r="M3184">
        <v>0.91</v>
      </c>
      <c r="N3184">
        <v>0.91</v>
      </c>
      <c r="O3184">
        <v>0</v>
      </c>
      <c r="P3184">
        <v>0</v>
      </c>
      <c r="Q3184" t="s">
        <v>108</v>
      </c>
    </row>
    <row r="3185" spans="1:17">
      <c r="A3185" t="s">
        <v>93</v>
      </c>
      <c r="B3185" t="s">
        <v>106</v>
      </c>
      <c r="C3185" t="s">
        <v>56</v>
      </c>
      <c r="D3185" t="s">
        <v>2968</v>
      </c>
      <c r="E3185">
        <v>14</v>
      </c>
      <c r="F3185" t="str">
        <f>VLOOKUP(E3185,[1]LOJA!$A:$B,2,0)</f>
        <v>S IA</v>
      </c>
      <c r="G3185" t="s">
        <v>19</v>
      </c>
      <c r="H3185" t="s">
        <v>19</v>
      </c>
      <c r="I3185" s="1">
        <v>46024</v>
      </c>
      <c r="J3185" s="1">
        <v>46023</v>
      </c>
      <c r="K3185" s="1">
        <v>46024</v>
      </c>
      <c r="L3185">
        <v>34</v>
      </c>
      <c r="M3185">
        <v>0.51</v>
      </c>
      <c r="N3185">
        <v>0.51</v>
      </c>
      <c r="O3185">
        <v>0</v>
      </c>
      <c r="P3185">
        <v>0</v>
      </c>
      <c r="Q3185" t="s">
        <v>108</v>
      </c>
    </row>
    <row r="3186" spans="1:17">
      <c r="A3186" t="s">
        <v>93</v>
      </c>
      <c r="B3186" t="s">
        <v>106</v>
      </c>
      <c r="C3186" t="s">
        <v>56</v>
      </c>
      <c r="D3186" t="s">
        <v>2969</v>
      </c>
      <c r="E3186">
        <v>14</v>
      </c>
      <c r="F3186" t="str">
        <f>VLOOKUP(E3186,[1]LOJA!$A:$B,2,0)</f>
        <v>S IA</v>
      </c>
      <c r="G3186" t="s">
        <v>19</v>
      </c>
      <c r="H3186" t="s">
        <v>19</v>
      </c>
      <c r="I3186" s="1">
        <v>46024</v>
      </c>
      <c r="J3186" s="1">
        <v>46023</v>
      </c>
      <c r="K3186" s="1">
        <v>46024</v>
      </c>
      <c r="L3186">
        <v>34</v>
      </c>
      <c r="M3186">
        <v>0.61</v>
      </c>
      <c r="N3186">
        <v>0.61</v>
      </c>
      <c r="O3186">
        <v>0</v>
      </c>
      <c r="P3186">
        <v>0</v>
      </c>
      <c r="Q3186" t="s">
        <v>108</v>
      </c>
    </row>
    <row r="3187" spans="1:17">
      <c r="A3187" t="s">
        <v>93</v>
      </c>
      <c r="B3187" t="s">
        <v>106</v>
      </c>
      <c r="C3187" t="s">
        <v>56</v>
      </c>
      <c r="D3187" t="s">
        <v>2970</v>
      </c>
      <c r="E3187">
        <v>14</v>
      </c>
      <c r="F3187" t="str">
        <f>VLOOKUP(E3187,[1]LOJA!$A:$B,2,0)</f>
        <v>S IA</v>
      </c>
      <c r="G3187" t="s">
        <v>19</v>
      </c>
      <c r="H3187" t="s">
        <v>19</v>
      </c>
      <c r="I3187" s="1">
        <v>46024</v>
      </c>
      <c r="J3187" s="1">
        <v>46023</v>
      </c>
      <c r="K3187" s="1">
        <v>46024</v>
      </c>
      <c r="L3187">
        <v>34</v>
      </c>
      <c r="M3187">
        <v>2.2200000000000002</v>
      </c>
      <c r="N3187">
        <v>2.2200000000000002</v>
      </c>
      <c r="O3187">
        <v>0</v>
      </c>
      <c r="P3187">
        <v>0</v>
      </c>
      <c r="Q3187" t="s">
        <v>108</v>
      </c>
    </row>
    <row r="3188" spans="1:17">
      <c r="A3188" t="s">
        <v>93</v>
      </c>
      <c r="B3188" t="s">
        <v>106</v>
      </c>
      <c r="C3188" t="s">
        <v>56</v>
      </c>
      <c r="D3188" t="s">
        <v>2971</v>
      </c>
      <c r="E3188">
        <v>14</v>
      </c>
      <c r="F3188" t="str">
        <f>VLOOKUP(E3188,[1]LOJA!$A:$B,2,0)</f>
        <v>S IA</v>
      </c>
      <c r="G3188" t="s">
        <v>19</v>
      </c>
      <c r="H3188" t="s">
        <v>19</v>
      </c>
      <c r="I3188" s="1">
        <v>46024</v>
      </c>
      <c r="J3188" s="1">
        <v>46023</v>
      </c>
      <c r="K3188" s="1">
        <v>46024</v>
      </c>
      <c r="L3188">
        <v>34</v>
      </c>
      <c r="M3188">
        <v>2.5099999999999998</v>
      </c>
      <c r="N3188">
        <v>2.5099999999999998</v>
      </c>
      <c r="O3188">
        <v>0</v>
      </c>
      <c r="P3188">
        <v>0</v>
      </c>
      <c r="Q3188" t="s">
        <v>108</v>
      </c>
    </row>
    <row r="3189" spans="1:17">
      <c r="A3189" t="s">
        <v>93</v>
      </c>
      <c r="B3189" t="s">
        <v>106</v>
      </c>
      <c r="C3189" t="s">
        <v>56</v>
      </c>
      <c r="D3189" t="s">
        <v>2972</v>
      </c>
      <c r="E3189">
        <v>14</v>
      </c>
      <c r="F3189" t="str">
        <f>VLOOKUP(E3189,[1]LOJA!$A:$B,2,0)</f>
        <v>S IA</v>
      </c>
      <c r="G3189" t="s">
        <v>19</v>
      </c>
      <c r="H3189" t="s">
        <v>19</v>
      </c>
      <c r="I3189" s="1">
        <v>46024</v>
      </c>
      <c r="J3189" s="1">
        <v>46023</v>
      </c>
      <c r="K3189" s="1">
        <v>46024</v>
      </c>
      <c r="L3189">
        <v>34</v>
      </c>
      <c r="M3189">
        <v>1.72</v>
      </c>
      <c r="N3189">
        <v>1.72</v>
      </c>
      <c r="O3189">
        <v>0</v>
      </c>
      <c r="P3189">
        <v>0</v>
      </c>
      <c r="Q3189" t="s">
        <v>108</v>
      </c>
    </row>
    <row r="3190" spans="1:17">
      <c r="A3190" t="s">
        <v>93</v>
      </c>
      <c r="B3190" t="s">
        <v>106</v>
      </c>
      <c r="C3190" t="s">
        <v>56</v>
      </c>
      <c r="D3190" t="s">
        <v>2973</v>
      </c>
      <c r="E3190">
        <v>14</v>
      </c>
      <c r="F3190" t="str">
        <f>VLOOKUP(E3190,[1]LOJA!$A:$B,2,0)</f>
        <v>S IA</v>
      </c>
      <c r="G3190" t="s">
        <v>19</v>
      </c>
      <c r="H3190" t="s">
        <v>19</v>
      </c>
      <c r="I3190" s="1">
        <v>46024</v>
      </c>
      <c r="J3190" s="1">
        <v>46023</v>
      </c>
      <c r="K3190" s="1">
        <v>46024</v>
      </c>
      <c r="L3190">
        <v>34</v>
      </c>
      <c r="M3190">
        <v>2.48</v>
      </c>
      <c r="N3190">
        <v>2.48</v>
      </c>
      <c r="O3190">
        <v>0</v>
      </c>
      <c r="P3190">
        <v>0</v>
      </c>
      <c r="Q3190" t="s">
        <v>108</v>
      </c>
    </row>
    <row r="3191" spans="1:17">
      <c r="A3191" t="s">
        <v>93</v>
      </c>
      <c r="B3191" t="s">
        <v>106</v>
      </c>
      <c r="C3191" t="s">
        <v>56</v>
      </c>
      <c r="D3191" t="s">
        <v>2974</v>
      </c>
      <c r="E3191">
        <v>14</v>
      </c>
      <c r="F3191" t="str">
        <f>VLOOKUP(E3191,[1]LOJA!$A:$B,2,0)</f>
        <v>S IA</v>
      </c>
      <c r="G3191" t="s">
        <v>19</v>
      </c>
      <c r="H3191" t="s">
        <v>19</v>
      </c>
      <c r="I3191" s="1">
        <v>46024</v>
      </c>
      <c r="J3191" s="1">
        <v>46023</v>
      </c>
      <c r="K3191" s="1">
        <v>46024</v>
      </c>
      <c r="L3191">
        <v>34</v>
      </c>
      <c r="M3191">
        <v>0.47</v>
      </c>
      <c r="N3191">
        <v>0.47</v>
      </c>
      <c r="O3191">
        <v>0</v>
      </c>
      <c r="P3191">
        <v>0</v>
      </c>
      <c r="Q3191" t="s">
        <v>108</v>
      </c>
    </row>
    <row r="3192" spans="1:17">
      <c r="A3192" t="s">
        <v>93</v>
      </c>
      <c r="B3192" t="s">
        <v>106</v>
      </c>
      <c r="C3192" t="s">
        <v>56</v>
      </c>
      <c r="D3192" t="s">
        <v>2975</v>
      </c>
      <c r="E3192">
        <v>14</v>
      </c>
      <c r="F3192" t="str">
        <f>VLOOKUP(E3192,[1]LOJA!$A:$B,2,0)</f>
        <v>S IA</v>
      </c>
      <c r="G3192" t="s">
        <v>19</v>
      </c>
      <c r="H3192" t="s">
        <v>19</v>
      </c>
      <c r="I3192" s="1">
        <v>46024</v>
      </c>
      <c r="J3192" s="1">
        <v>46024</v>
      </c>
      <c r="K3192" s="1">
        <v>46024</v>
      </c>
      <c r="L3192">
        <v>34</v>
      </c>
      <c r="M3192">
        <v>1.73</v>
      </c>
      <c r="N3192">
        <v>1.73</v>
      </c>
      <c r="O3192">
        <v>0</v>
      </c>
      <c r="P3192">
        <v>0</v>
      </c>
      <c r="Q3192" t="s">
        <v>108</v>
      </c>
    </row>
    <row r="3193" spans="1:17">
      <c r="A3193" t="s">
        <v>93</v>
      </c>
      <c r="B3193" t="s">
        <v>106</v>
      </c>
      <c r="C3193" t="s">
        <v>56</v>
      </c>
      <c r="D3193" t="s">
        <v>2976</v>
      </c>
      <c r="E3193">
        <v>14</v>
      </c>
      <c r="F3193" t="str">
        <f>VLOOKUP(E3193,[1]LOJA!$A:$B,2,0)</f>
        <v>S IA</v>
      </c>
      <c r="G3193" t="s">
        <v>19</v>
      </c>
      <c r="H3193" t="s">
        <v>19</v>
      </c>
      <c r="I3193" s="1">
        <v>46024</v>
      </c>
      <c r="J3193" s="1">
        <v>46024</v>
      </c>
      <c r="K3193" s="1">
        <v>46024</v>
      </c>
      <c r="L3193">
        <v>34</v>
      </c>
      <c r="M3193">
        <v>2.56</v>
      </c>
      <c r="N3193">
        <v>2.56</v>
      </c>
      <c r="O3193">
        <v>0</v>
      </c>
      <c r="P3193">
        <v>0</v>
      </c>
      <c r="Q3193" t="s">
        <v>108</v>
      </c>
    </row>
    <row r="3194" spans="1:17">
      <c r="A3194" t="s">
        <v>93</v>
      </c>
      <c r="B3194" t="s">
        <v>106</v>
      </c>
      <c r="C3194" t="s">
        <v>56</v>
      </c>
      <c r="D3194" t="s">
        <v>2977</v>
      </c>
      <c r="E3194">
        <v>14</v>
      </c>
      <c r="F3194" t="str">
        <f>VLOOKUP(E3194,[1]LOJA!$A:$B,2,0)</f>
        <v>S IA</v>
      </c>
      <c r="G3194" t="s">
        <v>19</v>
      </c>
      <c r="H3194" t="s">
        <v>19</v>
      </c>
      <c r="I3194" s="1">
        <v>46024</v>
      </c>
      <c r="J3194" s="1">
        <v>46024</v>
      </c>
      <c r="K3194" s="1">
        <v>46024</v>
      </c>
      <c r="L3194">
        <v>34</v>
      </c>
      <c r="M3194">
        <v>2.73</v>
      </c>
      <c r="N3194">
        <v>2.73</v>
      </c>
      <c r="O3194">
        <v>0</v>
      </c>
      <c r="P3194">
        <v>0</v>
      </c>
      <c r="Q3194" t="s">
        <v>108</v>
      </c>
    </row>
    <row r="3195" spans="1:17">
      <c r="A3195" t="s">
        <v>93</v>
      </c>
      <c r="B3195" t="s">
        <v>106</v>
      </c>
      <c r="C3195" t="s">
        <v>56</v>
      </c>
      <c r="D3195" t="s">
        <v>2978</v>
      </c>
      <c r="E3195">
        <v>14</v>
      </c>
      <c r="F3195" t="str">
        <f>VLOOKUP(E3195,[1]LOJA!$A:$B,2,0)</f>
        <v>S IA</v>
      </c>
      <c r="G3195" t="s">
        <v>19</v>
      </c>
      <c r="H3195" t="s">
        <v>19</v>
      </c>
      <c r="I3195" s="1">
        <v>46024</v>
      </c>
      <c r="J3195" s="1">
        <v>46024</v>
      </c>
      <c r="K3195" s="1">
        <v>46024</v>
      </c>
      <c r="L3195">
        <v>34</v>
      </c>
      <c r="M3195">
        <v>0.32</v>
      </c>
      <c r="N3195">
        <v>0.32</v>
      </c>
      <c r="O3195">
        <v>0</v>
      </c>
      <c r="P3195">
        <v>0</v>
      </c>
      <c r="Q3195" t="s">
        <v>108</v>
      </c>
    </row>
    <row r="3196" spans="1:17">
      <c r="A3196" t="s">
        <v>93</v>
      </c>
      <c r="B3196" t="s">
        <v>106</v>
      </c>
      <c r="C3196" t="s">
        <v>56</v>
      </c>
      <c r="D3196" t="s">
        <v>2979</v>
      </c>
      <c r="E3196">
        <v>14</v>
      </c>
      <c r="F3196" t="str">
        <f>VLOOKUP(E3196,[1]LOJA!$A:$B,2,0)</f>
        <v>S IA</v>
      </c>
      <c r="G3196" t="s">
        <v>19</v>
      </c>
      <c r="H3196" t="s">
        <v>19</v>
      </c>
      <c r="I3196" s="1">
        <v>46024</v>
      </c>
      <c r="J3196" s="1">
        <v>46024</v>
      </c>
      <c r="K3196" s="1">
        <v>46024</v>
      </c>
      <c r="L3196">
        <v>34</v>
      </c>
      <c r="M3196">
        <v>0.52</v>
      </c>
      <c r="N3196">
        <v>0.52</v>
      </c>
      <c r="O3196">
        <v>0</v>
      </c>
      <c r="P3196">
        <v>0</v>
      </c>
      <c r="Q3196" t="s">
        <v>108</v>
      </c>
    </row>
    <row r="3197" spans="1:17">
      <c r="A3197" t="s">
        <v>93</v>
      </c>
      <c r="B3197" t="s">
        <v>106</v>
      </c>
      <c r="C3197" t="s">
        <v>56</v>
      </c>
      <c r="D3197" t="s">
        <v>2980</v>
      </c>
      <c r="E3197">
        <v>14</v>
      </c>
      <c r="F3197" t="str">
        <f>VLOOKUP(E3197,[1]LOJA!$A:$B,2,0)</f>
        <v>S IA</v>
      </c>
      <c r="G3197" t="s">
        <v>19</v>
      </c>
      <c r="H3197" t="s">
        <v>19</v>
      </c>
      <c r="I3197" s="1">
        <v>46024</v>
      </c>
      <c r="J3197" s="1">
        <v>46024</v>
      </c>
      <c r="K3197" s="1">
        <v>46024</v>
      </c>
      <c r="L3197">
        <v>34</v>
      </c>
      <c r="M3197">
        <v>1.03</v>
      </c>
      <c r="N3197">
        <v>1.03</v>
      </c>
      <c r="O3197">
        <v>0</v>
      </c>
      <c r="P3197">
        <v>0</v>
      </c>
      <c r="Q3197" t="s">
        <v>108</v>
      </c>
    </row>
    <row r="3198" spans="1:17">
      <c r="A3198" t="s">
        <v>93</v>
      </c>
      <c r="B3198" t="s">
        <v>106</v>
      </c>
      <c r="C3198" t="s">
        <v>56</v>
      </c>
      <c r="D3198" t="s">
        <v>2981</v>
      </c>
      <c r="E3198">
        <v>14</v>
      </c>
      <c r="F3198" t="str">
        <f>VLOOKUP(E3198,[1]LOJA!$A:$B,2,0)</f>
        <v>S IA</v>
      </c>
      <c r="G3198" t="s">
        <v>19</v>
      </c>
      <c r="H3198" t="s">
        <v>19</v>
      </c>
      <c r="I3198" s="1">
        <v>46024</v>
      </c>
      <c r="J3198" s="1">
        <v>46024</v>
      </c>
      <c r="K3198" s="1">
        <v>46024</v>
      </c>
      <c r="L3198">
        <v>34</v>
      </c>
      <c r="M3198">
        <v>11.39</v>
      </c>
      <c r="N3198">
        <v>11.39</v>
      </c>
      <c r="O3198">
        <v>0</v>
      </c>
      <c r="P3198">
        <v>0</v>
      </c>
      <c r="Q3198" t="s">
        <v>108</v>
      </c>
    </row>
    <row r="3199" spans="1:17">
      <c r="A3199" t="s">
        <v>93</v>
      </c>
      <c r="B3199" t="s">
        <v>106</v>
      </c>
      <c r="C3199" t="s">
        <v>56</v>
      </c>
      <c r="D3199" t="s">
        <v>2982</v>
      </c>
      <c r="E3199">
        <v>14</v>
      </c>
      <c r="F3199" t="str">
        <f>VLOOKUP(E3199,[1]LOJA!$A:$B,2,0)</f>
        <v>S IA</v>
      </c>
      <c r="G3199" t="s">
        <v>19</v>
      </c>
      <c r="H3199" t="s">
        <v>19</v>
      </c>
      <c r="I3199" s="1">
        <v>46024</v>
      </c>
      <c r="J3199" s="1">
        <v>46024</v>
      </c>
      <c r="K3199" s="1">
        <v>46024</v>
      </c>
      <c r="L3199">
        <v>34</v>
      </c>
      <c r="M3199">
        <v>1.23</v>
      </c>
      <c r="N3199">
        <v>1.23</v>
      </c>
      <c r="O3199">
        <v>0</v>
      </c>
      <c r="P3199">
        <v>0</v>
      </c>
      <c r="Q3199" t="s">
        <v>108</v>
      </c>
    </row>
    <row r="3200" spans="1:17">
      <c r="A3200" t="s">
        <v>93</v>
      </c>
      <c r="B3200" t="s">
        <v>106</v>
      </c>
      <c r="C3200" t="s">
        <v>56</v>
      </c>
      <c r="D3200" t="s">
        <v>2983</v>
      </c>
      <c r="E3200">
        <v>14</v>
      </c>
      <c r="F3200" t="str">
        <f>VLOOKUP(E3200,[1]LOJA!$A:$B,2,0)</f>
        <v>S IA</v>
      </c>
      <c r="G3200" t="s">
        <v>19</v>
      </c>
      <c r="H3200" t="s">
        <v>19</v>
      </c>
      <c r="I3200" s="1">
        <v>46024</v>
      </c>
      <c r="J3200" s="1">
        <v>46024</v>
      </c>
      <c r="K3200" s="1">
        <v>46024</v>
      </c>
      <c r="L3200">
        <v>34</v>
      </c>
      <c r="M3200">
        <v>17.79</v>
      </c>
      <c r="N3200">
        <v>17.79</v>
      </c>
      <c r="O3200">
        <v>0</v>
      </c>
      <c r="P3200">
        <v>0</v>
      </c>
      <c r="Q3200" t="s">
        <v>108</v>
      </c>
    </row>
    <row r="3201" spans="1:17">
      <c r="A3201" t="s">
        <v>93</v>
      </c>
      <c r="B3201" t="s">
        <v>106</v>
      </c>
      <c r="C3201" t="s">
        <v>56</v>
      </c>
      <c r="D3201" t="s">
        <v>2984</v>
      </c>
      <c r="E3201">
        <v>14</v>
      </c>
      <c r="F3201" t="str">
        <f>VLOOKUP(E3201,[1]LOJA!$A:$B,2,0)</f>
        <v>S IA</v>
      </c>
      <c r="G3201" t="s">
        <v>19</v>
      </c>
      <c r="H3201" t="s">
        <v>19</v>
      </c>
      <c r="I3201" s="1">
        <v>46024</v>
      </c>
      <c r="J3201" s="1">
        <v>46024</v>
      </c>
      <c r="K3201" s="1">
        <v>46024</v>
      </c>
      <c r="L3201">
        <v>34</v>
      </c>
      <c r="M3201">
        <v>3.85</v>
      </c>
      <c r="N3201">
        <v>3.85</v>
      </c>
      <c r="O3201">
        <v>0</v>
      </c>
      <c r="P3201">
        <v>0</v>
      </c>
      <c r="Q3201" t="s">
        <v>108</v>
      </c>
    </row>
    <row r="3202" spans="1:17">
      <c r="A3202" t="s">
        <v>93</v>
      </c>
      <c r="B3202" t="s">
        <v>106</v>
      </c>
      <c r="C3202" t="s">
        <v>56</v>
      </c>
      <c r="D3202" t="s">
        <v>2985</v>
      </c>
      <c r="E3202">
        <v>14</v>
      </c>
      <c r="F3202" t="str">
        <f>VLOOKUP(E3202,[1]LOJA!$A:$B,2,0)</f>
        <v>S IA</v>
      </c>
      <c r="G3202" t="s">
        <v>19</v>
      </c>
      <c r="H3202" t="s">
        <v>19</v>
      </c>
      <c r="I3202" s="1">
        <v>46024</v>
      </c>
      <c r="J3202" s="1">
        <v>46024</v>
      </c>
      <c r="K3202" s="1">
        <v>46024</v>
      </c>
      <c r="L3202">
        <v>34</v>
      </c>
      <c r="M3202">
        <v>0.75</v>
      </c>
      <c r="N3202">
        <v>0.75</v>
      </c>
      <c r="O3202">
        <v>0</v>
      </c>
      <c r="P3202">
        <v>0</v>
      </c>
      <c r="Q3202" t="s">
        <v>108</v>
      </c>
    </row>
    <row r="3203" spans="1:17">
      <c r="A3203" t="s">
        <v>93</v>
      </c>
      <c r="B3203" t="s">
        <v>106</v>
      </c>
      <c r="C3203" t="s">
        <v>56</v>
      </c>
      <c r="D3203" t="s">
        <v>2986</v>
      </c>
      <c r="E3203">
        <v>14</v>
      </c>
      <c r="F3203" t="str">
        <f>VLOOKUP(E3203,[1]LOJA!$A:$B,2,0)</f>
        <v>S IA</v>
      </c>
      <c r="G3203" t="s">
        <v>19</v>
      </c>
      <c r="H3203" t="s">
        <v>19</v>
      </c>
      <c r="I3203" s="1">
        <v>46024</v>
      </c>
      <c r="J3203" s="1">
        <v>46023</v>
      </c>
      <c r="K3203" s="1">
        <v>46024</v>
      </c>
      <c r="L3203">
        <v>34</v>
      </c>
      <c r="M3203">
        <v>0.53</v>
      </c>
      <c r="N3203">
        <v>0.53</v>
      </c>
      <c r="O3203">
        <v>0</v>
      </c>
      <c r="P3203">
        <v>0</v>
      </c>
      <c r="Q3203" t="s">
        <v>108</v>
      </c>
    </row>
    <row r="3204" spans="1:17">
      <c r="A3204" t="s">
        <v>93</v>
      </c>
      <c r="B3204" t="s">
        <v>106</v>
      </c>
      <c r="C3204" t="s">
        <v>56</v>
      </c>
      <c r="D3204" t="s">
        <v>2987</v>
      </c>
      <c r="E3204">
        <v>14</v>
      </c>
      <c r="F3204" t="str">
        <f>VLOOKUP(E3204,[1]LOJA!$A:$B,2,0)</f>
        <v>S IA</v>
      </c>
      <c r="G3204" t="s">
        <v>19</v>
      </c>
      <c r="H3204" t="s">
        <v>19</v>
      </c>
      <c r="I3204" s="1">
        <v>46024</v>
      </c>
      <c r="J3204" s="1">
        <v>46023</v>
      </c>
      <c r="K3204" s="1">
        <v>46024</v>
      </c>
      <c r="L3204">
        <v>34</v>
      </c>
      <c r="M3204">
        <v>1.98</v>
      </c>
      <c r="N3204">
        <v>1.98</v>
      </c>
      <c r="O3204">
        <v>0</v>
      </c>
      <c r="P3204">
        <v>0</v>
      </c>
      <c r="Q3204" t="s">
        <v>108</v>
      </c>
    </row>
    <row r="3205" spans="1:17">
      <c r="A3205" t="s">
        <v>93</v>
      </c>
      <c r="B3205" t="s">
        <v>106</v>
      </c>
      <c r="C3205" t="s">
        <v>56</v>
      </c>
      <c r="D3205" t="s">
        <v>2988</v>
      </c>
      <c r="E3205">
        <v>14</v>
      </c>
      <c r="F3205" t="str">
        <f>VLOOKUP(E3205,[1]LOJA!$A:$B,2,0)</f>
        <v>S IA</v>
      </c>
      <c r="G3205" t="s">
        <v>19</v>
      </c>
      <c r="H3205" t="s">
        <v>19</v>
      </c>
      <c r="I3205" s="1">
        <v>46024</v>
      </c>
      <c r="J3205" s="1">
        <v>46023</v>
      </c>
      <c r="K3205" s="1">
        <v>46024</v>
      </c>
      <c r="L3205">
        <v>34</v>
      </c>
      <c r="M3205">
        <v>0.15</v>
      </c>
      <c r="N3205">
        <v>0.15</v>
      </c>
      <c r="O3205">
        <v>0</v>
      </c>
      <c r="P3205">
        <v>0</v>
      </c>
      <c r="Q3205" t="s">
        <v>108</v>
      </c>
    </row>
    <row r="3206" spans="1:17">
      <c r="A3206" t="s">
        <v>93</v>
      </c>
      <c r="B3206" t="s">
        <v>106</v>
      </c>
      <c r="C3206" t="s">
        <v>56</v>
      </c>
      <c r="D3206" t="s">
        <v>2989</v>
      </c>
      <c r="E3206">
        <v>14</v>
      </c>
      <c r="F3206" t="str">
        <f>VLOOKUP(E3206,[1]LOJA!$A:$B,2,0)</f>
        <v>S IA</v>
      </c>
      <c r="G3206" t="s">
        <v>19</v>
      </c>
      <c r="H3206" t="s">
        <v>19</v>
      </c>
      <c r="I3206" s="1">
        <v>46027</v>
      </c>
      <c r="J3206" s="1">
        <v>46026</v>
      </c>
      <c r="K3206" s="1">
        <v>46027</v>
      </c>
      <c r="L3206">
        <v>34</v>
      </c>
      <c r="M3206">
        <v>3.35</v>
      </c>
      <c r="N3206">
        <v>3.35</v>
      </c>
      <c r="O3206">
        <v>0</v>
      </c>
      <c r="P3206">
        <v>0</v>
      </c>
      <c r="Q3206" t="s">
        <v>108</v>
      </c>
    </row>
    <row r="3207" spans="1:17">
      <c r="A3207" t="s">
        <v>93</v>
      </c>
      <c r="B3207" t="s">
        <v>106</v>
      </c>
      <c r="C3207" t="s">
        <v>56</v>
      </c>
      <c r="D3207" t="s">
        <v>2990</v>
      </c>
      <c r="E3207">
        <v>14</v>
      </c>
      <c r="F3207" t="str">
        <f>VLOOKUP(E3207,[1]LOJA!$A:$B,2,0)</f>
        <v>S IA</v>
      </c>
      <c r="G3207" t="s">
        <v>19</v>
      </c>
      <c r="H3207" t="s">
        <v>19</v>
      </c>
      <c r="I3207" s="1">
        <v>46027</v>
      </c>
      <c r="J3207" s="1">
        <v>46027</v>
      </c>
      <c r="K3207" s="1">
        <v>46027</v>
      </c>
      <c r="L3207">
        <v>34</v>
      </c>
      <c r="M3207">
        <v>2.42</v>
      </c>
      <c r="N3207">
        <v>2.42</v>
      </c>
      <c r="O3207">
        <v>0</v>
      </c>
      <c r="P3207">
        <v>0</v>
      </c>
      <c r="Q3207" t="s">
        <v>108</v>
      </c>
    </row>
    <row r="3208" spans="1:17">
      <c r="A3208" t="s">
        <v>93</v>
      </c>
      <c r="B3208" t="s">
        <v>106</v>
      </c>
      <c r="C3208" t="s">
        <v>56</v>
      </c>
      <c r="D3208" t="s">
        <v>2991</v>
      </c>
      <c r="E3208">
        <v>14</v>
      </c>
      <c r="F3208" t="str">
        <f>VLOOKUP(E3208,[1]LOJA!$A:$B,2,0)</f>
        <v>S IA</v>
      </c>
      <c r="G3208" t="s">
        <v>19</v>
      </c>
      <c r="H3208" t="s">
        <v>19</v>
      </c>
      <c r="I3208" s="1">
        <v>46027</v>
      </c>
      <c r="J3208" s="1">
        <v>46027</v>
      </c>
      <c r="K3208" s="1">
        <v>46027</v>
      </c>
      <c r="L3208">
        <v>34</v>
      </c>
      <c r="M3208">
        <v>3.51</v>
      </c>
      <c r="N3208">
        <v>3.51</v>
      </c>
      <c r="O3208">
        <v>0</v>
      </c>
      <c r="P3208">
        <v>0</v>
      </c>
      <c r="Q3208" t="s">
        <v>108</v>
      </c>
    </row>
    <row r="3209" spans="1:17">
      <c r="A3209" t="s">
        <v>93</v>
      </c>
      <c r="B3209" t="s">
        <v>106</v>
      </c>
      <c r="C3209" t="s">
        <v>56</v>
      </c>
      <c r="D3209" t="s">
        <v>2992</v>
      </c>
      <c r="E3209">
        <v>14</v>
      </c>
      <c r="F3209" t="str">
        <f>VLOOKUP(E3209,[1]LOJA!$A:$B,2,0)</f>
        <v>S IA</v>
      </c>
      <c r="G3209" t="s">
        <v>19</v>
      </c>
      <c r="H3209" t="s">
        <v>19</v>
      </c>
      <c r="I3209" s="1">
        <v>46027</v>
      </c>
      <c r="J3209" s="1">
        <v>46026</v>
      </c>
      <c r="K3209" s="1">
        <v>46027</v>
      </c>
      <c r="L3209">
        <v>34</v>
      </c>
      <c r="M3209">
        <v>3.77</v>
      </c>
      <c r="N3209">
        <v>3.77</v>
      </c>
      <c r="O3209">
        <v>0</v>
      </c>
      <c r="P3209">
        <v>0</v>
      </c>
      <c r="Q3209" t="s">
        <v>108</v>
      </c>
    </row>
    <row r="3210" spans="1:17">
      <c r="A3210" t="s">
        <v>93</v>
      </c>
      <c r="B3210" t="s">
        <v>106</v>
      </c>
      <c r="C3210" t="s">
        <v>56</v>
      </c>
      <c r="D3210" t="s">
        <v>2993</v>
      </c>
      <c r="E3210">
        <v>14</v>
      </c>
      <c r="F3210" t="str">
        <f>VLOOKUP(E3210,[1]LOJA!$A:$B,2,0)</f>
        <v>S IA</v>
      </c>
      <c r="G3210" t="s">
        <v>19</v>
      </c>
      <c r="H3210" t="s">
        <v>19</v>
      </c>
      <c r="I3210" s="1">
        <v>46027</v>
      </c>
      <c r="J3210" s="1">
        <v>46026</v>
      </c>
      <c r="K3210" s="1">
        <v>46027</v>
      </c>
      <c r="L3210">
        <v>34</v>
      </c>
      <c r="M3210">
        <v>3.6</v>
      </c>
      <c r="N3210">
        <v>3.6</v>
      </c>
      <c r="O3210">
        <v>0</v>
      </c>
      <c r="P3210">
        <v>0</v>
      </c>
      <c r="Q3210" t="s">
        <v>108</v>
      </c>
    </row>
    <row r="3211" spans="1:17">
      <c r="A3211" t="s">
        <v>93</v>
      </c>
      <c r="B3211" t="s">
        <v>106</v>
      </c>
      <c r="C3211" t="s">
        <v>56</v>
      </c>
      <c r="D3211" t="s">
        <v>2994</v>
      </c>
      <c r="E3211">
        <v>14</v>
      </c>
      <c r="F3211" t="str">
        <f>VLOOKUP(E3211,[1]LOJA!$A:$B,2,0)</f>
        <v>S IA</v>
      </c>
      <c r="G3211" t="s">
        <v>19</v>
      </c>
      <c r="H3211" t="s">
        <v>19</v>
      </c>
      <c r="I3211" s="1">
        <v>46027</v>
      </c>
      <c r="J3211" s="1">
        <v>46026</v>
      </c>
      <c r="K3211" s="1">
        <v>46027</v>
      </c>
      <c r="L3211">
        <v>34</v>
      </c>
      <c r="M3211">
        <v>4.67</v>
      </c>
      <c r="N3211">
        <v>4.67</v>
      </c>
      <c r="O3211">
        <v>0</v>
      </c>
      <c r="P3211">
        <v>0</v>
      </c>
      <c r="Q3211" t="s">
        <v>108</v>
      </c>
    </row>
    <row r="3212" spans="1:17">
      <c r="A3212" t="s">
        <v>93</v>
      </c>
      <c r="B3212" t="s">
        <v>106</v>
      </c>
      <c r="C3212" t="s">
        <v>56</v>
      </c>
      <c r="D3212" t="s">
        <v>2995</v>
      </c>
      <c r="E3212">
        <v>14</v>
      </c>
      <c r="F3212" t="str">
        <f>VLOOKUP(E3212,[1]LOJA!$A:$B,2,0)</f>
        <v>S IA</v>
      </c>
      <c r="G3212" t="s">
        <v>19</v>
      </c>
      <c r="H3212" t="s">
        <v>19</v>
      </c>
      <c r="I3212" s="1">
        <v>46027</v>
      </c>
      <c r="J3212" s="1">
        <v>46027</v>
      </c>
      <c r="K3212" s="1">
        <v>46027</v>
      </c>
      <c r="L3212">
        <v>34</v>
      </c>
      <c r="M3212">
        <v>2.68</v>
      </c>
      <c r="N3212">
        <v>2.68</v>
      </c>
      <c r="O3212">
        <v>0</v>
      </c>
      <c r="P3212">
        <v>0</v>
      </c>
      <c r="Q3212" t="s">
        <v>108</v>
      </c>
    </row>
    <row r="3213" spans="1:17">
      <c r="A3213" t="s">
        <v>93</v>
      </c>
      <c r="B3213" t="s">
        <v>106</v>
      </c>
      <c r="C3213" t="s">
        <v>56</v>
      </c>
      <c r="D3213" t="s">
        <v>2996</v>
      </c>
      <c r="E3213">
        <v>14</v>
      </c>
      <c r="F3213" t="str">
        <f>VLOOKUP(E3213,[1]LOJA!$A:$B,2,0)</f>
        <v>S IA</v>
      </c>
      <c r="G3213" t="s">
        <v>19</v>
      </c>
      <c r="H3213" t="s">
        <v>19</v>
      </c>
      <c r="I3213" s="1">
        <v>46027</v>
      </c>
      <c r="J3213" s="1">
        <v>46025</v>
      </c>
      <c r="K3213" s="1">
        <v>46027</v>
      </c>
      <c r="L3213">
        <v>34</v>
      </c>
      <c r="M3213">
        <v>0.52</v>
      </c>
      <c r="N3213">
        <v>0.52</v>
      </c>
      <c r="O3213">
        <v>0</v>
      </c>
      <c r="P3213">
        <v>0</v>
      </c>
      <c r="Q3213" t="s">
        <v>108</v>
      </c>
    </row>
    <row r="3214" spans="1:17">
      <c r="A3214" t="s">
        <v>93</v>
      </c>
      <c r="B3214" t="s">
        <v>106</v>
      </c>
      <c r="C3214" t="s">
        <v>56</v>
      </c>
      <c r="D3214" t="s">
        <v>2997</v>
      </c>
      <c r="E3214">
        <v>14</v>
      </c>
      <c r="F3214" t="str">
        <f>VLOOKUP(E3214,[1]LOJA!$A:$B,2,0)</f>
        <v>S IA</v>
      </c>
      <c r="G3214" t="s">
        <v>19</v>
      </c>
      <c r="H3214" t="s">
        <v>19</v>
      </c>
      <c r="I3214" s="1">
        <v>46027</v>
      </c>
      <c r="J3214" s="1">
        <v>46025</v>
      </c>
      <c r="K3214" s="1">
        <v>46027</v>
      </c>
      <c r="L3214">
        <v>34</v>
      </c>
      <c r="M3214">
        <v>1.96</v>
      </c>
      <c r="N3214">
        <v>1.96</v>
      </c>
      <c r="O3214">
        <v>0</v>
      </c>
      <c r="P3214">
        <v>0</v>
      </c>
      <c r="Q3214" t="s">
        <v>108</v>
      </c>
    </row>
    <row r="3215" spans="1:17">
      <c r="A3215" t="s">
        <v>93</v>
      </c>
      <c r="B3215" t="s">
        <v>106</v>
      </c>
      <c r="C3215" t="s">
        <v>56</v>
      </c>
      <c r="D3215" t="s">
        <v>2998</v>
      </c>
      <c r="E3215">
        <v>14</v>
      </c>
      <c r="F3215" t="str">
        <f>VLOOKUP(E3215,[1]LOJA!$A:$B,2,0)</f>
        <v>S IA</v>
      </c>
      <c r="G3215" t="s">
        <v>19</v>
      </c>
      <c r="H3215" t="s">
        <v>19</v>
      </c>
      <c r="I3215" s="1">
        <v>46027</v>
      </c>
      <c r="J3215" s="1">
        <v>46025</v>
      </c>
      <c r="K3215" s="1">
        <v>46027</v>
      </c>
      <c r="L3215">
        <v>34</v>
      </c>
      <c r="M3215">
        <v>0.33</v>
      </c>
      <c r="N3215">
        <v>0.33</v>
      </c>
      <c r="O3215">
        <v>0</v>
      </c>
      <c r="P3215">
        <v>0</v>
      </c>
      <c r="Q3215" t="s">
        <v>108</v>
      </c>
    </row>
    <row r="3216" spans="1:17">
      <c r="A3216" t="s">
        <v>93</v>
      </c>
      <c r="B3216" t="s">
        <v>106</v>
      </c>
      <c r="C3216" t="s">
        <v>56</v>
      </c>
      <c r="D3216" t="s">
        <v>2999</v>
      </c>
      <c r="E3216">
        <v>14</v>
      </c>
      <c r="F3216" t="str">
        <f>VLOOKUP(E3216,[1]LOJA!$A:$B,2,0)</f>
        <v>S IA</v>
      </c>
      <c r="G3216" t="s">
        <v>19</v>
      </c>
      <c r="H3216" t="s">
        <v>19</v>
      </c>
      <c r="I3216" s="1">
        <v>46027</v>
      </c>
      <c r="J3216" s="1">
        <v>46025</v>
      </c>
      <c r="K3216" s="1">
        <v>46027</v>
      </c>
      <c r="L3216">
        <v>34</v>
      </c>
      <c r="M3216">
        <v>1.57</v>
      </c>
      <c r="N3216">
        <v>1.57</v>
      </c>
      <c r="O3216">
        <v>0</v>
      </c>
      <c r="P3216">
        <v>0</v>
      </c>
      <c r="Q3216" t="s">
        <v>108</v>
      </c>
    </row>
    <row r="3217" spans="1:17">
      <c r="A3217" t="s">
        <v>93</v>
      </c>
      <c r="B3217" t="s">
        <v>106</v>
      </c>
      <c r="C3217" t="s">
        <v>56</v>
      </c>
      <c r="D3217" t="s">
        <v>3000</v>
      </c>
      <c r="E3217">
        <v>14</v>
      </c>
      <c r="F3217" t="str">
        <f>VLOOKUP(E3217,[1]LOJA!$A:$B,2,0)</f>
        <v>S IA</v>
      </c>
      <c r="G3217" t="s">
        <v>19</v>
      </c>
      <c r="H3217" t="s">
        <v>19</v>
      </c>
      <c r="I3217" s="1">
        <v>46027</v>
      </c>
      <c r="J3217" s="1">
        <v>46025</v>
      </c>
      <c r="K3217" s="1">
        <v>46027</v>
      </c>
      <c r="L3217">
        <v>34</v>
      </c>
      <c r="M3217">
        <v>1.05</v>
      </c>
      <c r="N3217">
        <v>1.05</v>
      </c>
      <c r="O3217">
        <v>0</v>
      </c>
      <c r="P3217">
        <v>0</v>
      </c>
      <c r="Q3217" t="s">
        <v>108</v>
      </c>
    </row>
    <row r="3218" spans="1:17">
      <c r="A3218" t="s">
        <v>93</v>
      </c>
      <c r="B3218" t="s">
        <v>106</v>
      </c>
      <c r="C3218" t="s">
        <v>56</v>
      </c>
      <c r="D3218" t="s">
        <v>3001</v>
      </c>
      <c r="E3218">
        <v>14</v>
      </c>
      <c r="F3218" t="str">
        <f>VLOOKUP(E3218,[1]LOJA!$A:$B,2,0)</f>
        <v>S IA</v>
      </c>
      <c r="G3218" t="s">
        <v>19</v>
      </c>
      <c r="H3218" t="s">
        <v>19</v>
      </c>
      <c r="I3218" s="1">
        <v>46027</v>
      </c>
      <c r="J3218" s="1">
        <v>46025</v>
      </c>
      <c r="K3218" s="1">
        <v>46027</v>
      </c>
      <c r="L3218">
        <v>34</v>
      </c>
      <c r="M3218">
        <v>0.68</v>
      </c>
      <c r="N3218">
        <v>0.68</v>
      </c>
      <c r="O3218">
        <v>0</v>
      </c>
      <c r="P3218">
        <v>0</v>
      </c>
      <c r="Q3218" t="s">
        <v>108</v>
      </c>
    </row>
    <row r="3219" spans="1:17">
      <c r="A3219" t="s">
        <v>93</v>
      </c>
      <c r="B3219" t="s">
        <v>106</v>
      </c>
      <c r="C3219" t="s">
        <v>56</v>
      </c>
      <c r="D3219" t="s">
        <v>3002</v>
      </c>
      <c r="E3219">
        <v>14</v>
      </c>
      <c r="F3219" t="str">
        <f>VLOOKUP(E3219,[1]LOJA!$A:$B,2,0)</f>
        <v>S IA</v>
      </c>
      <c r="G3219" t="s">
        <v>19</v>
      </c>
      <c r="H3219" t="s">
        <v>19</v>
      </c>
      <c r="I3219" s="1">
        <v>46027</v>
      </c>
      <c r="J3219" s="1">
        <v>46025</v>
      </c>
      <c r="K3219" s="1">
        <v>46027</v>
      </c>
      <c r="L3219">
        <v>34</v>
      </c>
      <c r="M3219">
        <v>1.1000000000000001</v>
      </c>
      <c r="N3219">
        <v>1.1000000000000001</v>
      </c>
      <c r="O3219">
        <v>0</v>
      </c>
      <c r="P3219">
        <v>0</v>
      </c>
      <c r="Q3219" t="s">
        <v>108</v>
      </c>
    </row>
    <row r="3220" spans="1:17">
      <c r="A3220" t="s">
        <v>93</v>
      </c>
      <c r="B3220" t="s">
        <v>106</v>
      </c>
      <c r="C3220" t="s">
        <v>56</v>
      </c>
      <c r="D3220" t="s">
        <v>3003</v>
      </c>
      <c r="E3220">
        <v>14</v>
      </c>
      <c r="F3220" t="str">
        <f>VLOOKUP(E3220,[1]LOJA!$A:$B,2,0)</f>
        <v>S IA</v>
      </c>
      <c r="G3220" t="s">
        <v>19</v>
      </c>
      <c r="H3220" t="s">
        <v>19</v>
      </c>
      <c r="I3220" s="1">
        <v>46027</v>
      </c>
      <c r="J3220" s="1">
        <v>46025</v>
      </c>
      <c r="K3220" s="1">
        <v>46027</v>
      </c>
      <c r="L3220">
        <v>34</v>
      </c>
      <c r="M3220">
        <v>5.55</v>
      </c>
      <c r="N3220">
        <v>5.55</v>
      </c>
      <c r="O3220">
        <v>0</v>
      </c>
      <c r="P3220">
        <v>0</v>
      </c>
      <c r="Q3220" t="s">
        <v>108</v>
      </c>
    </row>
    <row r="3221" spans="1:17">
      <c r="A3221" t="s">
        <v>93</v>
      </c>
      <c r="B3221" t="s">
        <v>106</v>
      </c>
      <c r="C3221" t="s">
        <v>56</v>
      </c>
      <c r="D3221" t="s">
        <v>3004</v>
      </c>
      <c r="E3221">
        <v>14</v>
      </c>
      <c r="F3221" t="str">
        <f>VLOOKUP(E3221,[1]LOJA!$A:$B,2,0)</f>
        <v>S IA</v>
      </c>
      <c r="G3221" t="s">
        <v>19</v>
      </c>
      <c r="H3221" t="s">
        <v>19</v>
      </c>
      <c r="I3221" s="1">
        <v>46027</v>
      </c>
      <c r="J3221" s="1">
        <v>46025</v>
      </c>
      <c r="K3221" s="1">
        <v>46027</v>
      </c>
      <c r="L3221">
        <v>34</v>
      </c>
      <c r="M3221">
        <v>8.75</v>
      </c>
      <c r="N3221">
        <v>8.75</v>
      </c>
      <c r="O3221">
        <v>0</v>
      </c>
      <c r="P3221">
        <v>0</v>
      </c>
      <c r="Q3221" t="s">
        <v>108</v>
      </c>
    </row>
    <row r="3222" spans="1:17">
      <c r="A3222" t="s">
        <v>93</v>
      </c>
      <c r="B3222" t="s">
        <v>106</v>
      </c>
      <c r="C3222" t="s">
        <v>56</v>
      </c>
      <c r="D3222" t="s">
        <v>3005</v>
      </c>
      <c r="E3222">
        <v>14</v>
      </c>
      <c r="F3222" t="str">
        <f>VLOOKUP(E3222,[1]LOJA!$A:$B,2,0)</f>
        <v>S IA</v>
      </c>
      <c r="G3222" t="s">
        <v>19</v>
      </c>
      <c r="H3222" t="s">
        <v>19</v>
      </c>
      <c r="I3222" s="1">
        <v>46027</v>
      </c>
      <c r="J3222" s="1">
        <v>46025</v>
      </c>
      <c r="K3222" s="1">
        <v>46027</v>
      </c>
      <c r="L3222">
        <v>34</v>
      </c>
      <c r="M3222">
        <v>15.82</v>
      </c>
      <c r="N3222">
        <v>15.82</v>
      </c>
      <c r="O3222">
        <v>0</v>
      </c>
      <c r="P3222">
        <v>0</v>
      </c>
      <c r="Q3222" t="s">
        <v>108</v>
      </c>
    </row>
    <row r="3223" spans="1:17">
      <c r="A3223" t="s">
        <v>93</v>
      </c>
      <c r="B3223" t="s">
        <v>106</v>
      </c>
      <c r="C3223" t="s">
        <v>56</v>
      </c>
      <c r="D3223" t="s">
        <v>3006</v>
      </c>
      <c r="E3223">
        <v>14</v>
      </c>
      <c r="F3223" t="str">
        <f>VLOOKUP(E3223,[1]LOJA!$A:$B,2,0)</f>
        <v>S IA</v>
      </c>
      <c r="G3223" t="s">
        <v>19</v>
      </c>
      <c r="H3223" t="s">
        <v>19</v>
      </c>
      <c r="I3223" s="1">
        <v>46027</v>
      </c>
      <c r="J3223" s="1">
        <v>46026</v>
      </c>
      <c r="K3223" s="1">
        <v>46027</v>
      </c>
      <c r="L3223">
        <v>34</v>
      </c>
      <c r="M3223">
        <v>4.75</v>
      </c>
      <c r="N3223">
        <v>4.75</v>
      </c>
      <c r="O3223">
        <v>0</v>
      </c>
      <c r="P3223">
        <v>0</v>
      </c>
      <c r="Q3223" t="s">
        <v>108</v>
      </c>
    </row>
    <row r="3224" spans="1:17">
      <c r="A3224" t="s">
        <v>93</v>
      </c>
      <c r="B3224" t="s">
        <v>106</v>
      </c>
      <c r="C3224" t="s">
        <v>56</v>
      </c>
      <c r="D3224" t="s">
        <v>3007</v>
      </c>
      <c r="E3224">
        <v>14</v>
      </c>
      <c r="F3224" t="str">
        <f>VLOOKUP(E3224,[1]LOJA!$A:$B,2,0)</f>
        <v>S IA</v>
      </c>
      <c r="G3224" t="s">
        <v>19</v>
      </c>
      <c r="H3224" t="s">
        <v>19</v>
      </c>
      <c r="I3224" s="1">
        <v>46027</v>
      </c>
      <c r="J3224" s="1">
        <v>46026</v>
      </c>
      <c r="K3224" s="1">
        <v>46027</v>
      </c>
      <c r="L3224">
        <v>34</v>
      </c>
      <c r="M3224">
        <v>0.23</v>
      </c>
      <c r="N3224">
        <v>0.23</v>
      </c>
      <c r="O3224">
        <v>0</v>
      </c>
      <c r="P3224">
        <v>0</v>
      </c>
      <c r="Q3224" t="s">
        <v>108</v>
      </c>
    </row>
    <row r="3225" spans="1:17">
      <c r="A3225" t="s">
        <v>93</v>
      </c>
      <c r="B3225" t="s">
        <v>106</v>
      </c>
      <c r="C3225" t="s">
        <v>56</v>
      </c>
      <c r="D3225" t="s">
        <v>3008</v>
      </c>
      <c r="E3225">
        <v>14</v>
      </c>
      <c r="F3225" t="str">
        <f>VLOOKUP(E3225,[1]LOJA!$A:$B,2,0)</f>
        <v>S IA</v>
      </c>
      <c r="G3225" t="s">
        <v>19</v>
      </c>
      <c r="H3225" t="s">
        <v>19</v>
      </c>
      <c r="I3225" s="1">
        <v>46027</v>
      </c>
      <c r="J3225" s="1">
        <v>46026</v>
      </c>
      <c r="K3225" s="1">
        <v>46027</v>
      </c>
      <c r="L3225">
        <v>34</v>
      </c>
      <c r="M3225">
        <v>21.9</v>
      </c>
      <c r="N3225">
        <v>21.9</v>
      </c>
      <c r="O3225">
        <v>0</v>
      </c>
      <c r="P3225">
        <v>0</v>
      </c>
      <c r="Q3225" t="s">
        <v>108</v>
      </c>
    </row>
    <row r="3226" spans="1:17">
      <c r="A3226" t="s">
        <v>93</v>
      </c>
      <c r="B3226" t="s">
        <v>106</v>
      </c>
      <c r="C3226" t="s">
        <v>56</v>
      </c>
      <c r="D3226" t="s">
        <v>3009</v>
      </c>
      <c r="E3226">
        <v>14</v>
      </c>
      <c r="F3226" t="str">
        <f>VLOOKUP(E3226,[1]LOJA!$A:$B,2,0)</f>
        <v>S IA</v>
      </c>
      <c r="G3226" t="s">
        <v>19</v>
      </c>
      <c r="H3226" t="s">
        <v>19</v>
      </c>
      <c r="I3226" s="1">
        <v>46027</v>
      </c>
      <c r="J3226" s="1">
        <v>46026</v>
      </c>
      <c r="K3226" s="1">
        <v>46027</v>
      </c>
      <c r="L3226">
        <v>34</v>
      </c>
      <c r="M3226">
        <v>0.86</v>
      </c>
      <c r="N3226">
        <v>0.86</v>
      </c>
      <c r="O3226">
        <v>0</v>
      </c>
      <c r="P3226">
        <v>0</v>
      </c>
      <c r="Q3226" t="s">
        <v>108</v>
      </c>
    </row>
    <row r="3227" spans="1:17">
      <c r="A3227" t="s">
        <v>93</v>
      </c>
      <c r="B3227" t="s">
        <v>106</v>
      </c>
      <c r="C3227" t="s">
        <v>56</v>
      </c>
      <c r="D3227" t="s">
        <v>3010</v>
      </c>
      <c r="E3227">
        <v>14</v>
      </c>
      <c r="F3227" t="str">
        <f>VLOOKUP(E3227,[1]LOJA!$A:$B,2,0)</f>
        <v>S IA</v>
      </c>
      <c r="G3227" t="s">
        <v>19</v>
      </c>
      <c r="H3227" t="s">
        <v>19</v>
      </c>
      <c r="I3227" s="1">
        <v>46027</v>
      </c>
      <c r="J3227" s="1">
        <v>46026</v>
      </c>
      <c r="K3227" s="1">
        <v>46027</v>
      </c>
      <c r="L3227">
        <v>34</v>
      </c>
      <c r="M3227">
        <v>10.7</v>
      </c>
      <c r="N3227">
        <v>10.7</v>
      </c>
      <c r="O3227">
        <v>0</v>
      </c>
      <c r="P3227">
        <v>0</v>
      </c>
      <c r="Q3227" t="s">
        <v>108</v>
      </c>
    </row>
    <row r="3228" spans="1:17">
      <c r="A3228" t="s">
        <v>93</v>
      </c>
      <c r="B3228" t="s">
        <v>106</v>
      </c>
      <c r="C3228" t="s">
        <v>56</v>
      </c>
      <c r="D3228" t="s">
        <v>3011</v>
      </c>
      <c r="E3228">
        <v>14</v>
      </c>
      <c r="F3228" t="str">
        <f>VLOOKUP(E3228,[1]LOJA!$A:$B,2,0)</f>
        <v>S IA</v>
      </c>
      <c r="G3228" t="s">
        <v>19</v>
      </c>
      <c r="H3228" t="s">
        <v>19</v>
      </c>
      <c r="I3228" s="1">
        <v>46027</v>
      </c>
      <c r="J3228" s="1">
        <v>46026</v>
      </c>
      <c r="K3228" s="1">
        <v>46027</v>
      </c>
      <c r="L3228">
        <v>34</v>
      </c>
      <c r="M3228">
        <v>2.21</v>
      </c>
      <c r="N3228">
        <v>2.21</v>
      </c>
      <c r="O3228">
        <v>0</v>
      </c>
      <c r="P3228">
        <v>0</v>
      </c>
      <c r="Q3228" t="s">
        <v>108</v>
      </c>
    </row>
    <row r="3229" spans="1:17">
      <c r="A3229" t="s">
        <v>93</v>
      </c>
      <c r="B3229" t="s">
        <v>106</v>
      </c>
      <c r="C3229" t="s">
        <v>56</v>
      </c>
      <c r="D3229" t="s">
        <v>3012</v>
      </c>
      <c r="E3229">
        <v>14</v>
      </c>
      <c r="F3229" t="str">
        <f>VLOOKUP(E3229,[1]LOJA!$A:$B,2,0)</f>
        <v>S IA</v>
      </c>
      <c r="G3229" t="s">
        <v>19</v>
      </c>
      <c r="H3229" t="s">
        <v>19</v>
      </c>
      <c r="I3229" s="1">
        <v>46027</v>
      </c>
      <c r="J3229" s="1">
        <v>46026</v>
      </c>
      <c r="K3229" s="1">
        <v>46027</v>
      </c>
      <c r="L3229">
        <v>34</v>
      </c>
      <c r="M3229">
        <v>5.36</v>
      </c>
      <c r="N3229">
        <v>5.36</v>
      </c>
      <c r="O3229">
        <v>0</v>
      </c>
      <c r="P3229">
        <v>0</v>
      </c>
      <c r="Q3229" t="s">
        <v>108</v>
      </c>
    </row>
    <row r="3230" spans="1:17">
      <c r="A3230" t="s">
        <v>93</v>
      </c>
      <c r="B3230" t="s">
        <v>106</v>
      </c>
      <c r="C3230" t="s">
        <v>56</v>
      </c>
      <c r="D3230" t="s">
        <v>3013</v>
      </c>
      <c r="E3230">
        <v>14</v>
      </c>
      <c r="F3230" t="str">
        <f>VLOOKUP(E3230,[1]LOJA!$A:$B,2,0)</f>
        <v>S IA</v>
      </c>
      <c r="G3230" t="s">
        <v>19</v>
      </c>
      <c r="H3230" t="s">
        <v>19</v>
      </c>
      <c r="I3230" s="1">
        <v>46027</v>
      </c>
      <c r="J3230" s="1">
        <v>46027</v>
      </c>
      <c r="K3230" s="1">
        <v>46027</v>
      </c>
      <c r="L3230">
        <v>34</v>
      </c>
      <c r="M3230">
        <v>4.08</v>
      </c>
      <c r="N3230">
        <v>4.08</v>
      </c>
      <c r="O3230">
        <v>0</v>
      </c>
      <c r="P3230">
        <v>0</v>
      </c>
      <c r="Q3230" t="s">
        <v>108</v>
      </c>
    </row>
    <row r="3231" spans="1:17">
      <c r="A3231" t="s">
        <v>93</v>
      </c>
      <c r="B3231" t="s">
        <v>106</v>
      </c>
      <c r="C3231" t="s">
        <v>56</v>
      </c>
      <c r="D3231" t="s">
        <v>3014</v>
      </c>
      <c r="E3231">
        <v>14</v>
      </c>
      <c r="F3231" t="str">
        <f>VLOOKUP(E3231,[1]LOJA!$A:$B,2,0)</f>
        <v>S IA</v>
      </c>
      <c r="G3231" t="s">
        <v>19</v>
      </c>
      <c r="H3231" t="s">
        <v>19</v>
      </c>
      <c r="I3231" s="1">
        <v>46027</v>
      </c>
      <c r="J3231" s="1">
        <v>46027</v>
      </c>
      <c r="K3231" s="1">
        <v>46027</v>
      </c>
      <c r="L3231">
        <v>34</v>
      </c>
      <c r="M3231">
        <v>2.68</v>
      </c>
      <c r="N3231">
        <v>2.68</v>
      </c>
      <c r="O3231">
        <v>0</v>
      </c>
      <c r="P3231">
        <v>0</v>
      </c>
      <c r="Q3231" t="s">
        <v>108</v>
      </c>
    </row>
    <row r="3232" spans="1:17">
      <c r="A3232" t="s">
        <v>93</v>
      </c>
      <c r="B3232" t="s">
        <v>106</v>
      </c>
      <c r="C3232" t="s">
        <v>56</v>
      </c>
      <c r="D3232" t="s">
        <v>3015</v>
      </c>
      <c r="E3232">
        <v>14</v>
      </c>
      <c r="F3232" t="str">
        <f>VLOOKUP(E3232,[1]LOJA!$A:$B,2,0)</f>
        <v>S IA</v>
      </c>
      <c r="G3232" t="s">
        <v>19</v>
      </c>
      <c r="H3232" t="s">
        <v>19</v>
      </c>
      <c r="I3232" s="1">
        <v>46027</v>
      </c>
      <c r="J3232" s="1">
        <v>46027</v>
      </c>
      <c r="K3232" s="1">
        <v>46027</v>
      </c>
      <c r="L3232">
        <v>34</v>
      </c>
      <c r="M3232">
        <v>0.4</v>
      </c>
      <c r="N3232">
        <v>0.4</v>
      </c>
      <c r="O3232">
        <v>0</v>
      </c>
      <c r="P3232">
        <v>0</v>
      </c>
      <c r="Q3232" t="s">
        <v>108</v>
      </c>
    </row>
    <row r="3233" spans="1:17">
      <c r="A3233" t="s">
        <v>93</v>
      </c>
      <c r="B3233" t="s">
        <v>106</v>
      </c>
      <c r="C3233" t="s">
        <v>56</v>
      </c>
      <c r="D3233" t="s">
        <v>3016</v>
      </c>
      <c r="E3233">
        <v>14</v>
      </c>
      <c r="F3233" t="str">
        <f>VLOOKUP(E3233,[1]LOJA!$A:$B,2,0)</f>
        <v>S IA</v>
      </c>
      <c r="G3233" t="s">
        <v>19</v>
      </c>
      <c r="H3233" t="s">
        <v>19</v>
      </c>
      <c r="I3233" s="1">
        <v>46027</v>
      </c>
      <c r="J3233" s="1">
        <v>46027</v>
      </c>
      <c r="K3233" s="1">
        <v>46027</v>
      </c>
      <c r="L3233">
        <v>34</v>
      </c>
      <c r="M3233">
        <v>0.61</v>
      </c>
      <c r="N3233">
        <v>0.61</v>
      </c>
      <c r="O3233">
        <v>0</v>
      </c>
      <c r="P3233">
        <v>0</v>
      </c>
      <c r="Q3233" t="s">
        <v>108</v>
      </c>
    </row>
    <row r="3234" spans="1:17">
      <c r="A3234" t="s">
        <v>93</v>
      </c>
      <c r="B3234" t="s">
        <v>106</v>
      </c>
      <c r="C3234" t="s">
        <v>56</v>
      </c>
      <c r="D3234" t="s">
        <v>3017</v>
      </c>
      <c r="E3234">
        <v>14</v>
      </c>
      <c r="F3234" t="str">
        <f>VLOOKUP(E3234,[1]LOJA!$A:$B,2,0)</f>
        <v>S IA</v>
      </c>
      <c r="G3234" t="s">
        <v>19</v>
      </c>
      <c r="H3234" t="s">
        <v>19</v>
      </c>
      <c r="I3234" s="1">
        <v>46027</v>
      </c>
      <c r="J3234" s="1">
        <v>46027</v>
      </c>
      <c r="K3234" s="1">
        <v>46027</v>
      </c>
      <c r="L3234">
        <v>34</v>
      </c>
      <c r="M3234">
        <v>3.75</v>
      </c>
      <c r="N3234">
        <v>3.75</v>
      </c>
      <c r="O3234">
        <v>0</v>
      </c>
      <c r="P3234">
        <v>0</v>
      </c>
      <c r="Q3234" t="s">
        <v>108</v>
      </c>
    </row>
    <row r="3235" spans="1:17">
      <c r="A3235" t="s">
        <v>93</v>
      </c>
      <c r="B3235" t="s">
        <v>106</v>
      </c>
      <c r="C3235" t="s">
        <v>56</v>
      </c>
      <c r="D3235" t="s">
        <v>3018</v>
      </c>
      <c r="E3235">
        <v>14</v>
      </c>
      <c r="F3235" t="str">
        <f>VLOOKUP(E3235,[1]LOJA!$A:$B,2,0)</f>
        <v>S IA</v>
      </c>
      <c r="G3235" t="s">
        <v>19</v>
      </c>
      <c r="H3235" t="s">
        <v>19</v>
      </c>
      <c r="I3235" s="1">
        <v>46027</v>
      </c>
      <c r="J3235" s="1">
        <v>46027</v>
      </c>
      <c r="K3235" s="1">
        <v>46027</v>
      </c>
      <c r="L3235">
        <v>34</v>
      </c>
      <c r="M3235">
        <v>0.85</v>
      </c>
      <c r="N3235">
        <v>0.85</v>
      </c>
      <c r="O3235">
        <v>0</v>
      </c>
      <c r="P3235">
        <v>0</v>
      </c>
      <c r="Q3235" t="s">
        <v>108</v>
      </c>
    </row>
    <row r="3236" spans="1:17">
      <c r="A3236" t="s">
        <v>93</v>
      </c>
      <c r="B3236" t="s">
        <v>106</v>
      </c>
      <c r="C3236" t="s">
        <v>56</v>
      </c>
      <c r="D3236" t="s">
        <v>3019</v>
      </c>
      <c r="E3236">
        <v>14</v>
      </c>
      <c r="F3236" t="str">
        <f>VLOOKUP(E3236,[1]LOJA!$A:$B,2,0)</f>
        <v>S IA</v>
      </c>
      <c r="G3236" t="s">
        <v>19</v>
      </c>
      <c r="H3236" t="s">
        <v>19</v>
      </c>
      <c r="I3236" s="1">
        <v>46027</v>
      </c>
      <c r="J3236" s="1">
        <v>46027</v>
      </c>
      <c r="K3236" s="1">
        <v>46027</v>
      </c>
      <c r="L3236">
        <v>34</v>
      </c>
      <c r="M3236">
        <v>3.08</v>
      </c>
      <c r="N3236">
        <v>3.08</v>
      </c>
      <c r="O3236">
        <v>0</v>
      </c>
      <c r="P3236">
        <v>0</v>
      </c>
      <c r="Q3236" t="s">
        <v>108</v>
      </c>
    </row>
    <row r="3237" spans="1:17">
      <c r="A3237" t="s">
        <v>93</v>
      </c>
      <c r="B3237" t="s">
        <v>106</v>
      </c>
      <c r="C3237" t="s">
        <v>56</v>
      </c>
      <c r="D3237" t="s">
        <v>3020</v>
      </c>
      <c r="E3237">
        <v>14</v>
      </c>
      <c r="F3237" t="str">
        <f>VLOOKUP(E3237,[1]LOJA!$A:$B,2,0)</f>
        <v>S IA</v>
      </c>
      <c r="G3237" t="s">
        <v>19</v>
      </c>
      <c r="H3237" t="s">
        <v>19</v>
      </c>
      <c r="I3237" s="1">
        <v>46027</v>
      </c>
      <c r="J3237" s="1">
        <v>46027</v>
      </c>
      <c r="K3237" s="1">
        <v>46027</v>
      </c>
      <c r="L3237">
        <v>34</v>
      </c>
      <c r="M3237">
        <v>0.95</v>
      </c>
      <c r="N3237">
        <v>0.95</v>
      </c>
      <c r="O3237">
        <v>0</v>
      </c>
      <c r="P3237">
        <v>0</v>
      </c>
      <c r="Q3237" t="s">
        <v>108</v>
      </c>
    </row>
    <row r="3238" spans="1:17">
      <c r="A3238" t="s">
        <v>93</v>
      </c>
      <c r="B3238" t="s">
        <v>106</v>
      </c>
      <c r="C3238" t="s">
        <v>56</v>
      </c>
      <c r="D3238" t="s">
        <v>3021</v>
      </c>
      <c r="E3238">
        <v>14</v>
      </c>
      <c r="F3238" t="str">
        <f>VLOOKUP(E3238,[1]LOJA!$A:$B,2,0)</f>
        <v>S IA</v>
      </c>
      <c r="G3238" t="s">
        <v>19</v>
      </c>
      <c r="H3238" t="s">
        <v>19</v>
      </c>
      <c r="I3238" s="1">
        <v>46027</v>
      </c>
      <c r="J3238" s="1">
        <v>46027</v>
      </c>
      <c r="K3238" s="1">
        <v>46027</v>
      </c>
      <c r="L3238">
        <v>34</v>
      </c>
      <c r="M3238">
        <v>1.38</v>
      </c>
      <c r="N3238">
        <v>1.38</v>
      </c>
      <c r="O3238">
        <v>0</v>
      </c>
      <c r="P3238">
        <v>0</v>
      </c>
      <c r="Q3238" t="s">
        <v>108</v>
      </c>
    </row>
    <row r="3239" spans="1:17">
      <c r="A3239" t="s">
        <v>93</v>
      </c>
      <c r="B3239" t="s">
        <v>106</v>
      </c>
      <c r="C3239" t="s">
        <v>56</v>
      </c>
      <c r="D3239" t="s">
        <v>3022</v>
      </c>
      <c r="E3239">
        <v>14</v>
      </c>
      <c r="F3239" t="str">
        <f>VLOOKUP(E3239,[1]LOJA!$A:$B,2,0)</f>
        <v>S IA</v>
      </c>
      <c r="G3239" t="s">
        <v>19</v>
      </c>
      <c r="H3239" t="s">
        <v>19</v>
      </c>
      <c r="I3239" s="1">
        <v>46027</v>
      </c>
      <c r="J3239" s="1">
        <v>46025</v>
      </c>
      <c r="K3239" s="1">
        <v>46027</v>
      </c>
      <c r="L3239">
        <v>34</v>
      </c>
      <c r="M3239">
        <v>0.13</v>
      </c>
      <c r="N3239">
        <v>0.13</v>
      </c>
      <c r="O3239">
        <v>0</v>
      </c>
      <c r="P3239">
        <v>0</v>
      </c>
      <c r="Q3239" t="s">
        <v>108</v>
      </c>
    </row>
    <row r="3240" spans="1:17">
      <c r="A3240" t="s">
        <v>93</v>
      </c>
      <c r="B3240" t="s">
        <v>106</v>
      </c>
      <c r="C3240" t="s">
        <v>56</v>
      </c>
      <c r="D3240" t="s">
        <v>3023</v>
      </c>
      <c r="E3240">
        <v>14</v>
      </c>
      <c r="F3240" t="str">
        <f>VLOOKUP(E3240,[1]LOJA!$A:$B,2,0)</f>
        <v>S IA</v>
      </c>
      <c r="G3240" t="s">
        <v>19</v>
      </c>
      <c r="H3240" t="s">
        <v>19</v>
      </c>
      <c r="I3240" s="1">
        <v>46027</v>
      </c>
      <c r="J3240" s="1">
        <v>46025</v>
      </c>
      <c r="K3240" s="1">
        <v>46027</v>
      </c>
      <c r="L3240">
        <v>34</v>
      </c>
      <c r="M3240">
        <v>3.57</v>
      </c>
      <c r="N3240">
        <v>3.57</v>
      </c>
      <c r="O3240">
        <v>0</v>
      </c>
      <c r="P3240">
        <v>0</v>
      </c>
      <c r="Q3240" t="s">
        <v>108</v>
      </c>
    </row>
    <row r="3241" spans="1:17">
      <c r="A3241" t="s">
        <v>93</v>
      </c>
      <c r="B3241" t="s">
        <v>106</v>
      </c>
      <c r="C3241" t="s">
        <v>56</v>
      </c>
      <c r="D3241" t="s">
        <v>3024</v>
      </c>
      <c r="E3241">
        <v>14</v>
      </c>
      <c r="F3241" t="str">
        <f>VLOOKUP(E3241,[1]LOJA!$A:$B,2,0)</f>
        <v>S IA</v>
      </c>
      <c r="G3241" t="s">
        <v>19</v>
      </c>
      <c r="H3241" t="s">
        <v>19</v>
      </c>
      <c r="I3241" s="1">
        <v>46027</v>
      </c>
      <c r="J3241" s="1">
        <v>46025</v>
      </c>
      <c r="K3241" s="1">
        <v>46027</v>
      </c>
      <c r="L3241">
        <v>34</v>
      </c>
      <c r="M3241">
        <v>0.1</v>
      </c>
      <c r="N3241">
        <v>0.1</v>
      </c>
      <c r="O3241">
        <v>0</v>
      </c>
      <c r="P3241">
        <v>0</v>
      </c>
      <c r="Q3241" t="s">
        <v>108</v>
      </c>
    </row>
    <row r="3242" spans="1:17">
      <c r="A3242" t="s">
        <v>93</v>
      </c>
      <c r="B3242" t="s">
        <v>106</v>
      </c>
      <c r="C3242" t="s">
        <v>56</v>
      </c>
      <c r="D3242" t="s">
        <v>3025</v>
      </c>
      <c r="E3242">
        <v>14</v>
      </c>
      <c r="F3242" t="str">
        <f>VLOOKUP(E3242,[1]LOJA!$A:$B,2,0)</f>
        <v>S IA</v>
      </c>
      <c r="G3242" t="s">
        <v>19</v>
      </c>
      <c r="H3242" t="s">
        <v>19</v>
      </c>
      <c r="I3242" s="1">
        <v>46027</v>
      </c>
      <c r="J3242" s="1">
        <v>46025</v>
      </c>
      <c r="K3242" s="1">
        <v>46027</v>
      </c>
      <c r="L3242">
        <v>34</v>
      </c>
      <c r="M3242">
        <v>0.5</v>
      </c>
      <c r="N3242">
        <v>0.5</v>
      </c>
      <c r="O3242">
        <v>0</v>
      </c>
      <c r="P3242">
        <v>0</v>
      </c>
      <c r="Q3242" t="s">
        <v>108</v>
      </c>
    </row>
    <row r="3243" spans="1:17">
      <c r="A3243" t="s">
        <v>93</v>
      </c>
      <c r="B3243" t="s">
        <v>106</v>
      </c>
      <c r="C3243" t="s">
        <v>56</v>
      </c>
      <c r="D3243" t="s">
        <v>3026</v>
      </c>
      <c r="E3243">
        <v>14</v>
      </c>
      <c r="F3243" t="str">
        <f>VLOOKUP(E3243,[1]LOJA!$A:$B,2,0)</f>
        <v>S IA</v>
      </c>
      <c r="G3243" t="s">
        <v>19</v>
      </c>
      <c r="H3243" t="s">
        <v>19</v>
      </c>
      <c r="I3243" s="1">
        <v>46027</v>
      </c>
      <c r="J3243" s="1">
        <v>46025</v>
      </c>
      <c r="K3243" s="1">
        <v>46027</v>
      </c>
      <c r="L3243">
        <v>34</v>
      </c>
      <c r="M3243">
        <v>0.64</v>
      </c>
      <c r="N3243">
        <v>0.64</v>
      </c>
      <c r="O3243">
        <v>0</v>
      </c>
      <c r="P3243">
        <v>0</v>
      </c>
      <c r="Q3243" t="s">
        <v>108</v>
      </c>
    </row>
    <row r="3244" spans="1:17">
      <c r="A3244" t="s">
        <v>93</v>
      </c>
      <c r="B3244" t="s">
        <v>106</v>
      </c>
      <c r="C3244" t="s">
        <v>56</v>
      </c>
      <c r="D3244" t="s">
        <v>3027</v>
      </c>
      <c r="E3244">
        <v>14</v>
      </c>
      <c r="F3244" t="str">
        <f>VLOOKUP(E3244,[1]LOJA!$A:$B,2,0)</f>
        <v>S IA</v>
      </c>
      <c r="G3244" t="s">
        <v>19</v>
      </c>
      <c r="H3244" t="s">
        <v>19</v>
      </c>
      <c r="I3244" s="1">
        <v>46027</v>
      </c>
      <c r="J3244" s="1">
        <v>46025</v>
      </c>
      <c r="K3244" s="1">
        <v>46027</v>
      </c>
      <c r="L3244">
        <v>34</v>
      </c>
      <c r="M3244">
        <v>0.55000000000000004</v>
      </c>
      <c r="N3244">
        <v>0.55000000000000004</v>
      </c>
      <c r="O3244">
        <v>0</v>
      </c>
      <c r="P3244">
        <v>0</v>
      </c>
      <c r="Q3244" t="s">
        <v>108</v>
      </c>
    </row>
    <row r="3245" spans="1:17">
      <c r="A3245" t="s">
        <v>93</v>
      </c>
      <c r="B3245" t="s">
        <v>106</v>
      </c>
      <c r="C3245" t="s">
        <v>56</v>
      </c>
      <c r="D3245" t="s">
        <v>3028</v>
      </c>
      <c r="E3245">
        <v>14</v>
      </c>
      <c r="F3245" t="str">
        <f>VLOOKUP(E3245,[1]LOJA!$A:$B,2,0)</f>
        <v>S IA</v>
      </c>
      <c r="G3245" t="s">
        <v>19</v>
      </c>
      <c r="H3245" t="s">
        <v>19</v>
      </c>
      <c r="I3245" s="1">
        <v>46027</v>
      </c>
      <c r="J3245" s="1">
        <v>46025</v>
      </c>
      <c r="K3245" s="1">
        <v>46027</v>
      </c>
      <c r="L3245">
        <v>34</v>
      </c>
      <c r="M3245">
        <v>0.28999999999999998</v>
      </c>
      <c r="N3245">
        <v>0.28999999999999998</v>
      </c>
      <c r="O3245">
        <v>0</v>
      </c>
      <c r="P3245">
        <v>0</v>
      </c>
      <c r="Q3245" t="s">
        <v>108</v>
      </c>
    </row>
    <row r="3246" spans="1:17">
      <c r="A3246" t="s">
        <v>93</v>
      </c>
      <c r="B3246" t="s">
        <v>106</v>
      </c>
      <c r="C3246" t="s">
        <v>56</v>
      </c>
      <c r="D3246" t="s">
        <v>3029</v>
      </c>
      <c r="E3246">
        <v>14</v>
      </c>
      <c r="F3246" t="str">
        <f>VLOOKUP(E3246,[1]LOJA!$A:$B,2,0)</f>
        <v>S IA</v>
      </c>
      <c r="G3246" t="s">
        <v>19</v>
      </c>
      <c r="H3246" t="s">
        <v>19</v>
      </c>
      <c r="I3246" s="1">
        <v>46027</v>
      </c>
      <c r="J3246" s="1">
        <v>46025</v>
      </c>
      <c r="K3246" s="1">
        <v>46027</v>
      </c>
      <c r="L3246">
        <v>34</v>
      </c>
      <c r="M3246">
        <v>0.38</v>
      </c>
      <c r="N3246">
        <v>0.38</v>
      </c>
      <c r="O3246">
        <v>0</v>
      </c>
      <c r="P3246">
        <v>0</v>
      </c>
      <c r="Q3246" t="s">
        <v>108</v>
      </c>
    </row>
    <row r="3247" spans="1:17">
      <c r="A3247" t="s">
        <v>93</v>
      </c>
      <c r="B3247" t="s">
        <v>106</v>
      </c>
      <c r="C3247" t="s">
        <v>56</v>
      </c>
      <c r="D3247" t="s">
        <v>3030</v>
      </c>
      <c r="E3247">
        <v>14</v>
      </c>
      <c r="F3247" t="str">
        <f>VLOOKUP(E3247,[1]LOJA!$A:$B,2,0)</f>
        <v>S IA</v>
      </c>
      <c r="G3247" t="s">
        <v>19</v>
      </c>
      <c r="H3247" t="s">
        <v>19</v>
      </c>
      <c r="I3247" s="1">
        <v>46027</v>
      </c>
      <c r="J3247" s="1">
        <v>46025</v>
      </c>
      <c r="K3247" s="1">
        <v>46027</v>
      </c>
      <c r="L3247">
        <v>34</v>
      </c>
      <c r="M3247">
        <v>0.16</v>
      </c>
      <c r="N3247">
        <v>0.16</v>
      </c>
      <c r="O3247">
        <v>0</v>
      </c>
      <c r="P3247">
        <v>0</v>
      </c>
      <c r="Q3247" t="s">
        <v>108</v>
      </c>
    </row>
    <row r="3248" spans="1:17">
      <c r="A3248" t="s">
        <v>93</v>
      </c>
      <c r="B3248" t="s">
        <v>106</v>
      </c>
      <c r="C3248" t="s">
        <v>56</v>
      </c>
      <c r="D3248" t="s">
        <v>3031</v>
      </c>
      <c r="E3248">
        <v>14</v>
      </c>
      <c r="F3248" t="str">
        <f>VLOOKUP(E3248,[1]LOJA!$A:$B,2,0)</f>
        <v>S IA</v>
      </c>
      <c r="G3248" t="s">
        <v>19</v>
      </c>
      <c r="H3248" t="s">
        <v>19</v>
      </c>
      <c r="I3248" s="1">
        <v>46027</v>
      </c>
      <c r="J3248" s="1">
        <v>46025</v>
      </c>
      <c r="K3248" s="1">
        <v>46027</v>
      </c>
      <c r="L3248">
        <v>34</v>
      </c>
      <c r="M3248">
        <v>0.36</v>
      </c>
      <c r="N3248">
        <v>0.36</v>
      </c>
      <c r="O3248">
        <v>0</v>
      </c>
      <c r="P3248">
        <v>0</v>
      </c>
      <c r="Q3248" t="s">
        <v>108</v>
      </c>
    </row>
    <row r="3249" spans="1:17">
      <c r="A3249" t="s">
        <v>93</v>
      </c>
      <c r="B3249" t="s">
        <v>106</v>
      </c>
      <c r="C3249" t="s">
        <v>56</v>
      </c>
      <c r="D3249" t="s">
        <v>3032</v>
      </c>
      <c r="E3249">
        <v>14</v>
      </c>
      <c r="F3249" t="str">
        <f>VLOOKUP(E3249,[1]LOJA!$A:$B,2,0)</f>
        <v>S IA</v>
      </c>
      <c r="G3249" t="s">
        <v>19</v>
      </c>
      <c r="H3249" t="s">
        <v>19</v>
      </c>
      <c r="I3249" s="1">
        <v>46027</v>
      </c>
      <c r="J3249" s="1">
        <v>46025</v>
      </c>
      <c r="K3249" s="1">
        <v>46027</v>
      </c>
      <c r="L3249">
        <v>34</v>
      </c>
      <c r="M3249">
        <v>0.71</v>
      </c>
      <c r="N3249">
        <v>0.71</v>
      </c>
      <c r="O3249">
        <v>0</v>
      </c>
      <c r="P3249">
        <v>0</v>
      </c>
      <c r="Q3249" t="s">
        <v>108</v>
      </c>
    </row>
    <row r="3250" spans="1:17">
      <c r="A3250" t="s">
        <v>93</v>
      </c>
      <c r="B3250" t="s">
        <v>106</v>
      </c>
      <c r="C3250" t="s">
        <v>56</v>
      </c>
      <c r="D3250" t="s">
        <v>3033</v>
      </c>
      <c r="E3250">
        <v>14</v>
      </c>
      <c r="F3250" t="str">
        <f>VLOOKUP(E3250,[1]LOJA!$A:$B,2,0)</f>
        <v>S IA</v>
      </c>
      <c r="G3250" t="s">
        <v>19</v>
      </c>
      <c r="H3250" t="s">
        <v>19</v>
      </c>
      <c r="I3250" s="1">
        <v>46027</v>
      </c>
      <c r="J3250" s="1">
        <v>46025</v>
      </c>
      <c r="K3250" s="1">
        <v>46027</v>
      </c>
      <c r="L3250">
        <v>34</v>
      </c>
      <c r="M3250">
        <v>0.99</v>
      </c>
      <c r="N3250">
        <v>0.99</v>
      </c>
      <c r="O3250">
        <v>0</v>
      </c>
      <c r="P3250">
        <v>0</v>
      </c>
      <c r="Q3250" t="s">
        <v>108</v>
      </c>
    </row>
    <row r="3251" spans="1:17">
      <c r="A3251" t="s">
        <v>93</v>
      </c>
      <c r="B3251" t="s">
        <v>106</v>
      </c>
      <c r="C3251" t="s">
        <v>56</v>
      </c>
      <c r="D3251" t="s">
        <v>3034</v>
      </c>
      <c r="E3251">
        <v>14</v>
      </c>
      <c r="F3251" t="str">
        <f>VLOOKUP(E3251,[1]LOJA!$A:$B,2,0)</f>
        <v>S IA</v>
      </c>
      <c r="G3251" t="s">
        <v>19</v>
      </c>
      <c r="H3251" t="s">
        <v>19</v>
      </c>
      <c r="I3251" s="1">
        <v>46027</v>
      </c>
      <c r="J3251" s="1">
        <v>46025</v>
      </c>
      <c r="K3251" s="1">
        <v>46027</v>
      </c>
      <c r="L3251">
        <v>34</v>
      </c>
      <c r="M3251">
        <v>0.32</v>
      </c>
      <c r="N3251">
        <v>0.32</v>
      </c>
      <c r="O3251">
        <v>0</v>
      </c>
      <c r="P3251">
        <v>0</v>
      </c>
      <c r="Q3251" t="s">
        <v>108</v>
      </c>
    </row>
    <row r="3252" spans="1:17">
      <c r="A3252" t="s">
        <v>93</v>
      </c>
      <c r="B3252" t="s">
        <v>106</v>
      </c>
      <c r="C3252" t="s">
        <v>56</v>
      </c>
      <c r="D3252" t="s">
        <v>3035</v>
      </c>
      <c r="E3252">
        <v>14</v>
      </c>
      <c r="F3252" t="str">
        <f>VLOOKUP(E3252,[1]LOJA!$A:$B,2,0)</f>
        <v>S IA</v>
      </c>
      <c r="G3252" t="s">
        <v>19</v>
      </c>
      <c r="H3252" t="s">
        <v>19</v>
      </c>
      <c r="I3252" s="1">
        <v>46027</v>
      </c>
      <c r="J3252" s="1">
        <v>46025</v>
      </c>
      <c r="K3252" s="1">
        <v>46027</v>
      </c>
      <c r="L3252">
        <v>34</v>
      </c>
      <c r="M3252">
        <v>8.76</v>
      </c>
      <c r="N3252">
        <v>8.76</v>
      </c>
      <c r="O3252">
        <v>0</v>
      </c>
      <c r="P3252">
        <v>0</v>
      </c>
      <c r="Q3252" t="s">
        <v>108</v>
      </c>
    </row>
    <row r="3253" spans="1:17">
      <c r="A3253" t="s">
        <v>93</v>
      </c>
      <c r="B3253" t="s">
        <v>106</v>
      </c>
      <c r="C3253" t="s">
        <v>56</v>
      </c>
      <c r="D3253" t="s">
        <v>3036</v>
      </c>
      <c r="E3253">
        <v>14</v>
      </c>
      <c r="F3253" t="str">
        <f>VLOOKUP(E3253,[1]LOJA!$A:$B,2,0)</f>
        <v>S IA</v>
      </c>
      <c r="G3253" t="s">
        <v>19</v>
      </c>
      <c r="H3253" t="s">
        <v>19</v>
      </c>
      <c r="I3253" s="1">
        <v>46027</v>
      </c>
      <c r="J3253" s="1">
        <v>46025</v>
      </c>
      <c r="K3253" s="1">
        <v>46027</v>
      </c>
      <c r="L3253">
        <v>34</v>
      </c>
      <c r="M3253">
        <v>0.17</v>
      </c>
      <c r="N3253">
        <v>0.17</v>
      </c>
      <c r="O3253">
        <v>0</v>
      </c>
      <c r="P3253">
        <v>0</v>
      </c>
      <c r="Q3253" t="s">
        <v>108</v>
      </c>
    </row>
    <row r="3254" spans="1:17">
      <c r="A3254" t="s">
        <v>93</v>
      </c>
      <c r="B3254" t="s">
        <v>106</v>
      </c>
      <c r="C3254" t="s">
        <v>56</v>
      </c>
      <c r="D3254" t="s">
        <v>3037</v>
      </c>
      <c r="E3254">
        <v>14</v>
      </c>
      <c r="F3254" t="str">
        <f>VLOOKUP(E3254,[1]LOJA!$A:$B,2,0)</f>
        <v>S IA</v>
      </c>
      <c r="G3254" t="s">
        <v>19</v>
      </c>
      <c r="H3254" t="s">
        <v>19</v>
      </c>
      <c r="I3254" s="1">
        <v>46027</v>
      </c>
      <c r="J3254" s="1">
        <v>46025</v>
      </c>
      <c r="K3254" s="1">
        <v>46027</v>
      </c>
      <c r="L3254">
        <v>34</v>
      </c>
      <c r="M3254">
        <v>0.3</v>
      </c>
      <c r="N3254">
        <v>0.3</v>
      </c>
      <c r="O3254">
        <v>0</v>
      </c>
      <c r="P3254">
        <v>0</v>
      </c>
      <c r="Q3254" t="s">
        <v>108</v>
      </c>
    </row>
    <row r="3255" spans="1:17">
      <c r="A3255" t="s">
        <v>93</v>
      </c>
      <c r="B3255" t="s">
        <v>106</v>
      </c>
      <c r="C3255" t="s">
        <v>56</v>
      </c>
      <c r="D3255" t="s">
        <v>3038</v>
      </c>
      <c r="E3255">
        <v>14</v>
      </c>
      <c r="F3255" t="str">
        <f>VLOOKUP(E3255,[1]LOJA!$A:$B,2,0)</f>
        <v>S IA</v>
      </c>
      <c r="G3255" t="s">
        <v>19</v>
      </c>
      <c r="H3255" t="s">
        <v>19</v>
      </c>
      <c r="I3255" s="1">
        <v>46027</v>
      </c>
      <c r="J3255" s="1">
        <v>46025</v>
      </c>
      <c r="K3255" s="1">
        <v>46027</v>
      </c>
      <c r="L3255">
        <v>34</v>
      </c>
      <c r="M3255">
        <v>0.25</v>
      </c>
      <c r="N3255">
        <v>0.25</v>
      </c>
      <c r="O3255">
        <v>0</v>
      </c>
      <c r="P3255">
        <v>0</v>
      </c>
      <c r="Q3255" t="s">
        <v>108</v>
      </c>
    </row>
    <row r="3256" spans="1:17">
      <c r="A3256" t="s">
        <v>93</v>
      </c>
      <c r="B3256" t="s">
        <v>106</v>
      </c>
      <c r="C3256" t="s">
        <v>56</v>
      </c>
      <c r="D3256" t="s">
        <v>3039</v>
      </c>
      <c r="E3256">
        <v>14</v>
      </c>
      <c r="F3256" t="str">
        <f>VLOOKUP(E3256,[1]LOJA!$A:$B,2,0)</f>
        <v>S IA</v>
      </c>
      <c r="G3256" t="s">
        <v>19</v>
      </c>
      <c r="H3256" t="s">
        <v>19</v>
      </c>
      <c r="I3256" s="1">
        <v>46027</v>
      </c>
      <c r="J3256" s="1">
        <v>46025</v>
      </c>
      <c r="K3256" s="1">
        <v>46027</v>
      </c>
      <c r="L3256">
        <v>34</v>
      </c>
      <c r="M3256">
        <v>1.17</v>
      </c>
      <c r="N3256">
        <v>1.17</v>
      </c>
      <c r="O3256">
        <v>0</v>
      </c>
      <c r="P3256">
        <v>0</v>
      </c>
      <c r="Q3256" t="s">
        <v>108</v>
      </c>
    </row>
    <row r="3257" spans="1:17">
      <c r="A3257" t="s">
        <v>93</v>
      </c>
      <c r="B3257" t="s">
        <v>106</v>
      </c>
      <c r="C3257" t="s">
        <v>56</v>
      </c>
      <c r="D3257" t="s">
        <v>3040</v>
      </c>
      <c r="E3257">
        <v>14</v>
      </c>
      <c r="F3257" t="str">
        <f>VLOOKUP(E3257,[1]LOJA!$A:$B,2,0)</f>
        <v>S IA</v>
      </c>
      <c r="G3257" t="s">
        <v>19</v>
      </c>
      <c r="H3257" t="s">
        <v>19</v>
      </c>
      <c r="I3257" s="1">
        <v>46027</v>
      </c>
      <c r="J3257" s="1">
        <v>46025</v>
      </c>
      <c r="K3257" s="1">
        <v>46027</v>
      </c>
      <c r="L3257">
        <v>34</v>
      </c>
      <c r="M3257">
        <v>0.09</v>
      </c>
      <c r="N3257">
        <v>0.09</v>
      </c>
      <c r="O3257">
        <v>0</v>
      </c>
      <c r="P3257">
        <v>0</v>
      </c>
      <c r="Q3257" t="s">
        <v>108</v>
      </c>
    </row>
    <row r="3258" spans="1:17">
      <c r="A3258" t="s">
        <v>93</v>
      </c>
      <c r="B3258" t="s">
        <v>106</v>
      </c>
      <c r="C3258" t="s">
        <v>56</v>
      </c>
      <c r="D3258" t="s">
        <v>3041</v>
      </c>
      <c r="E3258">
        <v>14</v>
      </c>
      <c r="F3258" t="str">
        <f>VLOOKUP(E3258,[1]LOJA!$A:$B,2,0)</f>
        <v>S IA</v>
      </c>
      <c r="G3258" t="s">
        <v>19</v>
      </c>
      <c r="H3258" t="s">
        <v>19</v>
      </c>
      <c r="I3258" s="1">
        <v>46027</v>
      </c>
      <c r="J3258" s="1">
        <v>46026</v>
      </c>
      <c r="K3258" s="1">
        <v>46027</v>
      </c>
      <c r="L3258">
        <v>34</v>
      </c>
      <c r="M3258">
        <v>0.15</v>
      </c>
      <c r="N3258">
        <v>0.15</v>
      </c>
      <c r="O3258">
        <v>0</v>
      </c>
      <c r="P3258">
        <v>0</v>
      </c>
      <c r="Q3258" t="s">
        <v>108</v>
      </c>
    </row>
    <row r="3259" spans="1:17">
      <c r="A3259" t="s">
        <v>93</v>
      </c>
      <c r="B3259" t="s">
        <v>106</v>
      </c>
      <c r="C3259" t="s">
        <v>56</v>
      </c>
      <c r="D3259" t="s">
        <v>3042</v>
      </c>
      <c r="E3259">
        <v>14</v>
      </c>
      <c r="F3259" t="str">
        <f>VLOOKUP(E3259,[1]LOJA!$A:$B,2,0)</f>
        <v>S IA</v>
      </c>
      <c r="G3259" t="s">
        <v>19</v>
      </c>
      <c r="H3259" t="s">
        <v>19</v>
      </c>
      <c r="I3259" s="1">
        <v>46027</v>
      </c>
      <c r="J3259" s="1">
        <v>46026</v>
      </c>
      <c r="K3259" s="1">
        <v>46027</v>
      </c>
      <c r="L3259">
        <v>34</v>
      </c>
      <c r="M3259">
        <v>0.26</v>
      </c>
      <c r="N3259">
        <v>0.26</v>
      </c>
      <c r="O3259">
        <v>0</v>
      </c>
      <c r="P3259">
        <v>0</v>
      </c>
      <c r="Q3259" t="s">
        <v>108</v>
      </c>
    </row>
    <row r="3260" spans="1:17">
      <c r="A3260" t="s">
        <v>93</v>
      </c>
      <c r="B3260" t="s">
        <v>106</v>
      </c>
      <c r="C3260" t="s">
        <v>56</v>
      </c>
      <c r="D3260" t="s">
        <v>3043</v>
      </c>
      <c r="E3260">
        <v>14</v>
      </c>
      <c r="F3260" t="str">
        <f>VLOOKUP(E3260,[1]LOJA!$A:$B,2,0)</f>
        <v>S IA</v>
      </c>
      <c r="G3260" t="s">
        <v>19</v>
      </c>
      <c r="H3260" t="s">
        <v>19</v>
      </c>
      <c r="I3260" s="1">
        <v>46027</v>
      </c>
      <c r="J3260" s="1">
        <v>46026</v>
      </c>
      <c r="K3260" s="1">
        <v>46027</v>
      </c>
      <c r="L3260">
        <v>34</v>
      </c>
      <c r="M3260">
        <v>1.94</v>
      </c>
      <c r="N3260">
        <v>1.94</v>
      </c>
      <c r="O3260">
        <v>0</v>
      </c>
      <c r="P3260">
        <v>0</v>
      </c>
      <c r="Q3260" t="s">
        <v>108</v>
      </c>
    </row>
    <row r="3261" spans="1:17">
      <c r="A3261" t="s">
        <v>93</v>
      </c>
      <c r="B3261" t="s">
        <v>106</v>
      </c>
      <c r="C3261" t="s">
        <v>56</v>
      </c>
      <c r="D3261" t="s">
        <v>3044</v>
      </c>
      <c r="E3261">
        <v>14</v>
      </c>
      <c r="F3261" t="str">
        <f>VLOOKUP(E3261,[1]LOJA!$A:$B,2,0)</f>
        <v>S IA</v>
      </c>
      <c r="G3261" t="s">
        <v>19</v>
      </c>
      <c r="H3261" t="s">
        <v>19</v>
      </c>
      <c r="I3261" s="1">
        <v>46027</v>
      </c>
      <c r="J3261" s="1">
        <v>46026</v>
      </c>
      <c r="K3261" s="1">
        <v>46027</v>
      </c>
      <c r="L3261">
        <v>34</v>
      </c>
      <c r="M3261">
        <v>0.28999999999999998</v>
      </c>
      <c r="N3261">
        <v>0.28999999999999998</v>
      </c>
      <c r="O3261">
        <v>0</v>
      </c>
      <c r="P3261">
        <v>0</v>
      </c>
      <c r="Q3261" t="s">
        <v>108</v>
      </c>
    </row>
    <row r="3262" spans="1:17">
      <c r="A3262" t="s">
        <v>93</v>
      </c>
      <c r="B3262" t="s">
        <v>106</v>
      </c>
      <c r="C3262" t="s">
        <v>56</v>
      </c>
      <c r="D3262" t="s">
        <v>3045</v>
      </c>
      <c r="E3262">
        <v>14</v>
      </c>
      <c r="F3262" t="str">
        <f>VLOOKUP(E3262,[1]LOJA!$A:$B,2,0)</f>
        <v>S IA</v>
      </c>
      <c r="G3262" t="s">
        <v>19</v>
      </c>
      <c r="H3262" t="s">
        <v>19</v>
      </c>
      <c r="I3262" s="1">
        <v>46028</v>
      </c>
      <c r="J3262" s="1">
        <v>46028</v>
      </c>
      <c r="K3262" s="1">
        <v>46028</v>
      </c>
      <c r="L3262">
        <v>34</v>
      </c>
      <c r="M3262">
        <v>4.08</v>
      </c>
      <c r="N3262">
        <v>4.08</v>
      </c>
      <c r="O3262">
        <v>0</v>
      </c>
      <c r="P3262">
        <v>0</v>
      </c>
      <c r="Q3262" t="s">
        <v>108</v>
      </c>
    </row>
    <row r="3263" spans="1:17">
      <c r="A3263" t="s">
        <v>93</v>
      </c>
      <c r="B3263" t="s">
        <v>106</v>
      </c>
      <c r="C3263" t="s">
        <v>56</v>
      </c>
      <c r="D3263" t="s">
        <v>3046</v>
      </c>
      <c r="E3263">
        <v>14</v>
      </c>
      <c r="F3263" t="str">
        <f>VLOOKUP(E3263,[1]LOJA!$A:$B,2,0)</f>
        <v>S IA</v>
      </c>
      <c r="G3263" t="s">
        <v>19</v>
      </c>
      <c r="H3263" t="s">
        <v>19</v>
      </c>
      <c r="I3263" s="1">
        <v>46028</v>
      </c>
      <c r="J3263" s="1">
        <v>46028</v>
      </c>
      <c r="K3263" s="1">
        <v>46028</v>
      </c>
      <c r="L3263">
        <v>34</v>
      </c>
      <c r="M3263">
        <v>9.5</v>
      </c>
      <c r="N3263">
        <v>9.5</v>
      </c>
      <c r="O3263">
        <v>0</v>
      </c>
      <c r="P3263">
        <v>0</v>
      </c>
      <c r="Q3263" t="s">
        <v>108</v>
      </c>
    </row>
    <row r="3264" spans="1:17">
      <c r="A3264" t="s">
        <v>93</v>
      </c>
      <c r="B3264" t="s">
        <v>106</v>
      </c>
      <c r="C3264" t="s">
        <v>56</v>
      </c>
      <c r="D3264" t="s">
        <v>3047</v>
      </c>
      <c r="E3264">
        <v>14</v>
      </c>
      <c r="F3264" t="str">
        <f>VLOOKUP(E3264,[1]LOJA!$A:$B,2,0)</f>
        <v>S IA</v>
      </c>
      <c r="G3264" t="s">
        <v>19</v>
      </c>
      <c r="H3264" t="s">
        <v>19</v>
      </c>
      <c r="I3264" s="1">
        <v>46028</v>
      </c>
      <c r="J3264" s="1">
        <v>46028</v>
      </c>
      <c r="K3264" s="1">
        <v>46028</v>
      </c>
      <c r="L3264">
        <v>34</v>
      </c>
      <c r="M3264">
        <v>0.98</v>
      </c>
      <c r="N3264">
        <v>0.98</v>
      </c>
      <c r="O3264">
        <v>0</v>
      </c>
      <c r="P3264">
        <v>0</v>
      </c>
      <c r="Q3264" t="s">
        <v>108</v>
      </c>
    </row>
    <row r="3265" spans="1:17">
      <c r="A3265" t="s">
        <v>93</v>
      </c>
      <c r="B3265" t="s">
        <v>106</v>
      </c>
      <c r="C3265" t="s">
        <v>56</v>
      </c>
      <c r="D3265" t="s">
        <v>3048</v>
      </c>
      <c r="E3265">
        <v>14</v>
      </c>
      <c r="F3265" t="str">
        <f>VLOOKUP(E3265,[1]LOJA!$A:$B,2,0)</f>
        <v>S IA</v>
      </c>
      <c r="G3265" t="s">
        <v>19</v>
      </c>
      <c r="H3265" t="s">
        <v>19</v>
      </c>
      <c r="I3265" s="1">
        <v>46028</v>
      </c>
      <c r="J3265" s="1">
        <v>46028</v>
      </c>
      <c r="K3265" s="1">
        <v>46028</v>
      </c>
      <c r="L3265">
        <v>34</v>
      </c>
      <c r="M3265">
        <v>0.46</v>
      </c>
      <c r="N3265">
        <v>0.46</v>
      </c>
      <c r="O3265">
        <v>0</v>
      </c>
      <c r="P3265">
        <v>0</v>
      </c>
      <c r="Q3265" t="s">
        <v>108</v>
      </c>
    </row>
    <row r="3266" spans="1:17">
      <c r="A3266" t="s">
        <v>93</v>
      </c>
      <c r="B3266" t="s">
        <v>106</v>
      </c>
      <c r="C3266" t="s">
        <v>56</v>
      </c>
      <c r="D3266" t="s">
        <v>3049</v>
      </c>
      <c r="E3266">
        <v>14</v>
      </c>
      <c r="F3266" t="str">
        <f>VLOOKUP(E3266,[1]LOJA!$A:$B,2,0)</f>
        <v>S IA</v>
      </c>
      <c r="G3266" t="s">
        <v>19</v>
      </c>
      <c r="H3266" t="s">
        <v>19</v>
      </c>
      <c r="I3266" s="1">
        <v>46028</v>
      </c>
      <c r="J3266" s="1">
        <v>46028</v>
      </c>
      <c r="K3266" s="1">
        <v>46028</v>
      </c>
      <c r="L3266">
        <v>34</v>
      </c>
      <c r="M3266">
        <v>2.8</v>
      </c>
      <c r="N3266">
        <v>2.8</v>
      </c>
      <c r="O3266">
        <v>0</v>
      </c>
      <c r="P3266">
        <v>0</v>
      </c>
      <c r="Q3266" t="s">
        <v>108</v>
      </c>
    </row>
    <row r="3267" spans="1:17">
      <c r="A3267" t="s">
        <v>93</v>
      </c>
      <c r="B3267" t="s">
        <v>106</v>
      </c>
      <c r="C3267" t="s">
        <v>56</v>
      </c>
      <c r="D3267" t="s">
        <v>3050</v>
      </c>
      <c r="E3267">
        <v>14</v>
      </c>
      <c r="F3267" t="str">
        <f>VLOOKUP(E3267,[1]LOJA!$A:$B,2,0)</f>
        <v>S IA</v>
      </c>
      <c r="G3267" t="s">
        <v>19</v>
      </c>
      <c r="H3267" t="s">
        <v>19</v>
      </c>
      <c r="I3267" s="1">
        <v>46028</v>
      </c>
      <c r="J3267" s="1">
        <v>46028</v>
      </c>
      <c r="K3267" s="1">
        <v>46028</v>
      </c>
      <c r="L3267">
        <v>34</v>
      </c>
      <c r="M3267">
        <v>0.75</v>
      </c>
      <c r="N3267">
        <v>0.75</v>
      </c>
      <c r="O3267">
        <v>0</v>
      </c>
      <c r="P3267">
        <v>0</v>
      </c>
      <c r="Q3267" t="s">
        <v>108</v>
      </c>
    </row>
    <row r="3268" spans="1:17">
      <c r="A3268" t="s">
        <v>93</v>
      </c>
      <c r="B3268" t="s">
        <v>106</v>
      </c>
      <c r="C3268" t="s">
        <v>56</v>
      </c>
      <c r="D3268" t="s">
        <v>3051</v>
      </c>
      <c r="E3268">
        <v>14</v>
      </c>
      <c r="F3268" t="str">
        <f>VLOOKUP(E3268,[1]LOJA!$A:$B,2,0)</f>
        <v>S IA</v>
      </c>
      <c r="G3268" t="s">
        <v>19</v>
      </c>
      <c r="H3268" t="s">
        <v>19</v>
      </c>
      <c r="I3268" s="1">
        <v>46028</v>
      </c>
      <c r="J3268" s="1">
        <v>46028</v>
      </c>
      <c r="K3268" s="1">
        <v>46028</v>
      </c>
      <c r="L3268">
        <v>34</v>
      </c>
      <c r="M3268">
        <v>0.93</v>
      </c>
      <c r="N3268">
        <v>0.93</v>
      </c>
      <c r="O3268">
        <v>0</v>
      </c>
      <c r="P3268">
        <v>0</v>
      </c>
      <c r="Q3268" t="s">
        <v>108</v>
      </c>
    </row>
    <row r="3269" spans="1:17">
      <c r="A3269" t="s">
        <v>93</v>
      </c>
      <c r="B3269" t="s">
        <v>106</v>
      </c>
      <c r="C3269" t="s">
        <v>56</v>
      </c>
      <c r="D3269" t="s">
        <v>3052</v>
      </c>
      <c r="E3269">
        <v>14</v>
      </c>
      <c r="F3269" t="str">
        <f>VLOOKUP(E3269,[1]LOJA!$A:$B,2,0)</f>
        <v>S IA</v>
      </c>
      <c r="G3269" t="s">
        <v>19</v>
      </c>
      <c r="H3269" t="s">
        <v>19</v>
      </c>
      <c r="I3269" s="1">
        <v>46028</v>
      </c>
      <c r="J3269" s="1">
        <v>46028</v>
      </c>
      <c r="K3269" s="1">
        <v>46028</v>
      </c>
      <c r="L3269">
        <v>34</v>
      </c>
      <c r="M3269">
        <v>7.27</v>
      </c>
      <c r="N3269">
        <v>7.27</v>
      </c>
      <c r="O3269">
        <v>0</v>
      </c>
      <c r="P3269">
        <v>0</v>
      </c>
      <c r="Q3269" t="s">
        <v>108</v>
      </c>
    </row>
    <row r="3270" spans="1:17">
      <c r="A3270" t="s">
        <v>93</v>
      </c>
      <c r="B3270" t="s">
        <v>106</v>
      </c>
      <c r="C3270" t="s">
        <v>56</v>
      </c>
      <c r="D3270" t="s">
        <v>3053</v>
      </c>
      <c r="E3270">
        <v>14</v>
      </c>
      <c r="F3270" t="str">
        <f>VLOOKUP(E3270,[1]LOJA!$A:$B,2,0)</f>
        <v>S IA</v>
      </c>
      <c r="G3270" t="s">
        <v>19</v>
      </c>
      <c r="H3270" t="s">
        <v>19</v>
      </c>
      <c r="I3270" s="1">
        <v>46028</v>
      </c>
      <c r="J3270" s="1">
        <v>46028</v>
      </c>
      <c r="K3270" s="1">
        <v>46028</v>
      </c>
      <c r="L3270">
        <v>34</v>
      </c>
      <c r="M3270">
        <v>0.27</v>
      </c>
      <c r="N3270">
        <v>0.27</v>
      </c>
      <c r="O3270">
        <v>0</v>
      </c>
      <c r="P3270">
        <v>0</v>
      </c>
      <c r="Q3270" t="s">
        <v>108</v>
      </c>
    </row>
    <row r="3271" spans="1:17">
      <c r="A3271" t="s">
        <v>93</v>
      </c>
      <c r="B3271" t="s">
        <v>106</v>
      </c>
      <c r="C3271" t="s">
        <v>56</v>
      </c>
      <c r="D3271" t="s">
        <v>3054</v>
      </c>
      <c r="E3271">
        <v>14</v>
      </c>
      <c r="F3271" t="str">
        <f>VLOOKUP(E3271,[1]LOJA!$A:$B,2,0)</f>
        <v>S IA</v>
      </c>
      <c r="G3271" t="s">
        <v>19</v>
      </c>
      <c r="H3271" t="s">
        <v>19</v>
      </c>
      <c r="I3271" s="1">
        <v>46028</v>
      </c>
      <c r="J3271" s="1">
        <v>46028</v>
      </c>
      <c r="K3271" s="1">
        <v>46028</v>
      </c>
      <c r="L3271">
        <v>34</v>
      </c>
      <c r="M3271">
        <v>0.12</v>
      </c>
      <c r="N3271">
        <v>0.12</v>
      </c>
      <c r="O3271">
        <v>0</v>
      </c>
      <c r="P3271">
        <v>0</v>
      </c>
      <c r="Q3271" t="s">
        <v>108</v>
      </c>
    </row>
    <row r="3272" spans="1:17">
      <c r="A3272" t="s">
        <v>93</v>
      </c>
      <c r="B3272" t="s">
        <v>106</v>
      </c>
      <c r="C3272" t="s">
        <v>56</v>
      </c>
      <c r="D3272" t="s">
        <v>3055</v>
      </c>
      <c r="E3272">
        <v>14</v>
      </c>
      <c r="F3272" t="str">
        <f>VLOOKUP(E3272,[1]LOJA!$A:$B,2,0)</f>
        <v>S IA</v>
      </c>
      <c r="G3272" t="s">
        <v>19</v>
      </c>
      <c r="H3272" t="s">
        <v>19</v>
      </c>
      <c r="I3272" s="1">
        <v>46028</v>
      </c>
      <c r="J3272" s="1">
        <v>46028</v>
      </c>
      <c r="K3272" s="1">
        <v>46028</v>
      </c>
      <c r="L3272">
        <v>34</v>
      </c>
      <c r="M3272">
        <v>0.25</v>
      </c>
      <c r="N3272">
        <v>0.25</v>
      </c>
      <c r="O3272">
        <v>0</v>
      </c>
      <c r="P3272">
        <v>0</v>
      </c>
      <c r="Q3272" t="s">
        <v>108</v>
      </c>
    </row>
    <row r="3273" spans="1:17">
      <c r="A3273" t="s">
        <v>93</v>
      </c>
      <c r="B3273" t="s">
        <v>106</v>
      </c>
      <c r="C3273" t="s">
        <v>56</v>
      </c>
      <c r="D3273" t="s">
        <v>3056</v>
      </c>
      <c r="E3273">
        <v>14</v>
      </c>
      <c r="F3273" t="str">
        <f>VLOOKUP(E3273,[1]LOJA!$A:$B,2,0)</f>
        <v>S IA</v>
      </c>
      <c r="G3273" t="s">
        <v>19</v>
      </c>
      <c r="H3273" t="s">
        <v>19</v>
      </c>
      <c r="I3273" s="1">
        <v>46028</v>
      </c>
      <c r="J3273" s="1">
        <v>46028</v>
      </c>
      <c r="K3273" s="1">
        <v>46028</v>
      </c>
      <c r="L3273">
        <v>34</v>
      </c>
      <c r="M3273">
        <v>0.94</v>
      </c>
      <c r="N3273">
        <v>0.94</v>
      </c>
      <c r="O3273">
        <v>0</v>
      </c>
      <c r="P3273">
        <v>0</v>
      </c>
      <c r="Q3273" t="s">
        <v>108</v>
      </c>
    </row>
    <row r="3274" spans="1:17">
      <c r="A3274" t="s">
        <v>93</v>
      </c>
      <c r="B3274" t="s">
        <v>106</v>
      </c>
      <c r="C3274" t="s">
        <v>56</v>
      </c>
      <c r="D3274" t="s">
        <v>3057</v>
      </c>
      <c r="E3274">
        <v>14</v>
      </c>
      <c r="F3274" t="str">
        <f>VLOOKUP(E3274,[1]LOJA!$A:$B,2,0)</f>
        <v>S IA</v>
      </c>
      <c r="G3274" t="s">
        <v>19</v>
      </c>
      <c r="H3274" t="s">
        <v>19</v>
      </c>
      <c r="I3274" s="1">
        <v>46028</v>
      </c>
      <c r="J3274" s="1">
        <v>46028</v>
      </c>
      <c r="K3274" s="1">
        <v>46028</v>
      </c>
      <c r="L3274">
        <v>34</v>
      </c>
      <c r="M3274">
        <v>0.54</v>
      </c>
      <c r="N3274">
        <v>0.54</v>
      </c>
      <c r="O3274">
        <v>0</v>
      </c>
      <c r="P3274">
        <v>0</v>
      </c>
      <c r="Q3274" t="s">
        <v>108</v>
      </c>
    </row>
    <row r="3275" spans="1:17">
      <c r="A3275" t="s">
        <v>93</v>
      </c>
      <c r="B3275" t="s">
        <v>106</v>
      </c>
      <c r="C3275" t="s">
        <v>56</v>
      </c>
      <c r="D3275" t="s">
        <v>3058</v>
      </c>
      <c r="E3275">
        <v>14</v>
      </c>
      <c r="F3275" t="str">
        <f>VLOOKUP(E3275,[1]LOJA!$A:$B,2,0)</f>
        <v>S IA</v>
      </c>
      <c r="G3275" t="s">
        <v>19</v>
      </c>
      <c r="H3275" t="s">
        <v>19</v>
      </c>
      <c r="I3275" s="1">
        <v>46028</v>
      </c>
      <c r="J3275" s="1">
        <v>46028</v>
      </c>
      <c r="K3275" s="1">
        <v>46028</v>
      </c>
      <c r="L3275">
        <v>34</v>
      </c>
      <c r="M3275">
        <v>4.62</v>
      </c>
      <c r="N3275">
        <v>4.62</v>
      </c>
      <c r="O3275">
        <v>0</v>
      </c>
      <c r="P3275">
        <v>0</v>
      </c>
      <c r="Q3275" t="s">
        <v>108</v>
      </c>
    </row>
    <row r="3276" spans="1:17">
      <c r="A3276" t="s">
        <v>93</v>
      </c>
      <c r="B3276" t="s">
        <v>106</v>
      </c>
      <c r="C3276" t="s">
        <v>56</v>
      </c>
      <c r="D3276" t="s">
        <v>3059</v>
      </c>
      <c r="E3276">
        <v>14</v>
      </c>
      <c r="F3276" t="str">
        <f>VLOOKUP(E3276,[1]LOJA!$A:$B,2,0)</f>
        <v>S IA</v>
      </c>
      <c r="G3276" t="s">
        <v>19</v>
      </c>
      <c r="H3276" t="s">
        <v>19</v>
      </c>
      <c r="I3276" s="1">
        <v>46028</v>
      </c>
      <c r="J3276" s="1">
        <v>46028</v>
      </c>
      <c r="K3276" s="1">
        <v>46028</v>
      </c>
      <c r="L3276">
        <v>34</v>
      </c>
      <c r="M3276">
        <v>1.8</v>
      </c>
      <c r="N3276">
        <v>1.8</v>
      </c>
      <c r="O3276">
        <v>0</v>
      </c>
      <c r="P3276">
        <v>0</v>
      </c>
      <c r="Q3276" t="s">
        <v>108</v>
      </c>
    </row>
    <row r="3277" spans="1:17">
      <c r="A3277" t="s">
        <v>93</v>
      </c>
      <c r="B3277" t="s">
        <v>106</v>
      </c>
      <c r="C3277" t="s">
        <v>56</v>
      </c>
      <c r="D3277" t="s">
        <v>3060</v>
      </c>
      <c r="E3277">
        <v>14</v>
      </c>
      <c r="F3277" t="str">
        <f>VLOOKUP(E3277,[1]LOJA!$A:$B,2,0)</f>
        <v>S IA</v>
      </c>
      <c r="G3277" t="s">
        <v>19</v>
      </c>
      <c r="H3277" t="s">
        <v>19</v>
      </c>
      <c r="I3277" s="1">
        <v>46028</v>
      </c>
      <c r="J3277" s="1">
        <v>46028</v>
      </c>
      <c r="K3277" s="1">
        <v>46028</v>
      </c>
      <c r="L3277">
        <v>34</v>
      </c>
      <c r="M3277">
        <v>0.2</v>
      </c>
      <c r="N3277">
        <v>0.2</v>
      </c>
      <c r="O3277">
        <v>0</v>
      </c>
      <c r="P3277">
        <v>0</v>
      </c>
      <c r="Q3277" t="s">
        <v>108</v>
      </c>
    </row>
    <row r="3278" spans="1:17">
      <c r="A3278" t="s">
        <v>93</v>
      </c>
      <c r="B3278" t="s">
        <v>106</v>
      </c>
      <c r="C3278" t="s">
        <v>56</v>
      </c>
      <c r="D3278" t="s">
        <v>3061</v>
      </c>
      <c r="E3278">
        <v>14</v>
      </c>
      <c r="F3278" t="str">
        <f>VLOOKUP(E3278,[1]LOJA!$A:$B,2,0)</f>
        <v>S IA</v>
      </c>
      <c r="G3278" t="s">
        <v>19</v>
      </c>
      <c r="H3278" t="s">
        <v>19</v>
      </c>
      <c r="I3278" s="1">
        <v>46028</v>
      </c>
      <c r="J3278" s="1">
        <v>46028</v>
      </c>
      <c r="K3278" s="1">
        <v>46028</v>
      </c>
      <c r="L3278">
        <v>34</v>
      </c>
      <c r="M3278">
        <v>0.33</v>
      </c>
      <c r="N3278">
        <v>0.33</v>
      </c>
      <c r="O3278">
        <v>0</v>
      </c>
      <c r="P3278">
        <v>0</v>
      </c>
      <c r="Q3278" t="s">
        <v>108</v>
      </c>
    </row>
    <row r="3279" spans="1:17">
      <c r="A3279" t="s">
        <v>93</v>
      </c>
      <c r="B3279" t="s">
        <v>106</v>
      </c>
      <c r="C3279" t="s">
        <v>56</v>
      </c>
      <c r="D3279" t="s">
        <v>3062</v>
      </c>
      <c r="E3279">
        <v>14</v>
      </c>
      <c r="F3279" t="str">
        <f>VLOOKUP(E3279,[1]LOJA!$A:$B,2,0)</f>
        <v>S IA</v>
      </c>
      <c r="G3279" t="s">
        <v>19</v>
      </c>
      <c r="H3279" t="s">
        <v>19</v>
      </c>
      <c r="I3279" s="1">
        <v>46029</v>
      </c>
      <c r="J3279" s="1">
        <v>46029</v>
      </c>
      <c r="K3279" s="1">
        <v>46029</v>
      </c>
      <c r="L3279">
        <v>34</v>
      </c>
      <c r="M3279">
        <v>5.44</v>
      </c>
      <c r="N3279">
        <v>5.44</v>
      </c>
      <c r="O3279">
        <v>0</v>
      </c>
      <c r="P3279">
        <v>0</v>
      </c>
      <c r="Q3279" t="s">
        <v>108</v>
      </c>
    </row>
    <row r="3280" spans="1:17">
      <c r="A3280" t="s">
        <v>93</v>
      </c>
      <c r="B3280" t="s">
        <v>106</v>
      </c>
      <c r="C3280" t="s">
        <v>56</v>
      </c>
      <c r="D3280" t="s">
        <v>3063</v>
      </c>
      <c r="E3280">
        <v>14</v>
      </c>
      <c r="F3280" t="str">
        <f>VLOOKUP(E3280,[1]LOJA!$A:$B,2,0)</f>
        <v>S IA</v>
      </c>
      <c r="G3280" t="s">
        <v>19</v>
      </c>
      <c r="H3280" t="s">
        <v>19</v>
      </c>
      <c r="I3280" s="1">
        <v>46029</v>
      </c>
      <c r="J3280" s="1">
        <v>46029</v>
      </c>
      <c r="K3280" s="1">
        <v>46029</v>
      </c>
      <c r="L3280">
        <v>34</v>
      </c>
      <c r="M3280">
        <v>2.2999999999999998</v>
      </c>
      <c r="N3280">
        <v>2.2999999999999998</v>
      </c>
      <c r="O3280">
        <v>0</v>
      </c>
      <c r="P3280">
        <v>0</v>
      </c>
      <c r="Q3280" t="s">
        <v>108</v>
      </c>
    </row>
    <row r="3281" spans="1:17">
      <c r="A3281" t="s">
        <v>93</v>
      </c>
      <c r="B3281" t="s">
        <v>106</v>
      </c>
      <c r="C3281" t="s">
        <v>56</v>
      </c>
      <c r="D3281" t="s">
        <v>3064</v>
      </c>
      <c r="E3281">
        <v>14</v>
      </c>
      <c r="F3281" t="str">
        <f>VLOOKUP(E3281,[1]LOJA!$A:$B,2,0)</f>
        <v>S IA</v>
      </c>
      <c r="G3281" t="s">
        <v>19</v>
      </c>
      <c r="H3281" t="s">
        <v>19</v>
      </c>
      <c r="I3281" s="1">
        <v>46029</v>
      </c>
      <c r="J3281" s="1">
        <v>46029</v>
      </c>
      <c r="K3281" s="1">
        <v>46029</v>
      </c>
      <c r="L3281">
        <v>34</v>
      </c>
      <c r="M3281">
        <v>1.6</v>
      </c>
      <c r="N3281">
        <v>1.6</v>
      </c>
      <c r="O3281">
        <v>0</v>
      </c>
      <c r="P3281">
        <v>0</v>
      </c>
      <c r="Q3281" t="s">
        <v>108</v>
      </c>
    </row>
    <row r="3282" spans="1:17">
      <c r="A3282" t="s">
        <v>93</v>
      </c>
      <c r="B3282" t="s">
        <v>106</v>
      </c>
      <c r="C3282" t="s">
        <v>56</v>
      </c>
      <c r="D3282" t="s">
        <v>3065</v>
      </c>
      <c r="E3282">
        <v>14</v>
      </c>
      <c r="F3282" t="str">
        <f>VLOOKUP(E3282,[1]LOJA!$A:$B,2,0)</f>
        <v>S IA</v>
      </c>
      <c r="G3282" t="s">
        <v>19</v>
      </c>
      <c r="H3282" t="s">
        <v>19</v>
      </c>
      <c r="I3282" s="1">
        <v>46029</v>
      </c>
      <c r="J3282" s="1">
        <v>46029</v>
      </c>
      <c r="K3282" s="1">
        <v>46029</v>
      </c>
      <c r="L3282">
        <v>34</v>
      </c>
      <c r="M3282">
        <v>0.23</v>
      </c>
      <c r="N3282">
        <v>0.23</v>
      </c>
      <c r="O3282">
        <v>0</v>
      </c>
      <c r="P3282">
        <v>0</v>
      </c>
      <c r="Q3282" t="s">
        <v>108</v>
      </c>
    </row>
    <row r="3283" spans="1:17">
      <c r="A3283" t="s">
        <v>93</v>
      </c>
      <c r="B3283" t="s">
        <v>106</v>
      </c>
      <c r="C3283" t="s">
        <v>56</v>
      </c>
      <c r="D3283" t="s">
        <v>3066</v>
      </c>
      <c r="E3283">
        <v>14</v>
      </c>
      <c r="F3283" t="str">
        <f>VLOOKUP(E3283,[1]LOJA!$A:$B,2,0)</f>
        <v>S IA</v>
      </c>
      <c r="G3283" t="s">
        <v>19</v>
      </c>
      <c r="H3283" t="s">
        <v>19</v>
      </c>
      <c r="I3283" s="1">
        <v>46029</v>
      </c>
      <c r="J3283" s="1">
        <v>46029</v>
      </c>
      <c r="K3283" s="1">
        <v>46029</v>
      </c>
      <c r="L3283">
        <v>34</v>
      </c>
      <c r="M3283">
        <v>0.88</v>
      </c>
      <c r="N3283">
        <v>0.88</v>
      </c>
      <c r="O3283">
        <v>0</v>
      </c>
      <c r="P3283">
        <v>0</v>
      </c>
      <c r="Q3283" t="s">
        <v>108</v>
      </c>
    </row>
    <row r="3284" spans="1:17">
      <c r="A3284" t="s">
        <v>93</v>
      </c>
      <c r="B3284" t="s">
        <v>106</v>
      </c>
      <c r="C3284" t="s">
        <v>56</v>
      </c>
      <c r="D3284" t="s">
        <v>3067</v>
      </c>
      <c r="E3284">
        <v>14</v>
      </c>
      <c r="F3284" t="str">
        <f>VLOOKUP(E3284,[1]LOJA!$A:$B,2,0)</f>
        <v>S IA</v>
      </c>
      <c r="G3284" t="s">
        <v>19</v>
      </c>
      <c r="H3284" t="s">
        <v>19</v>
      </c>
      <c r="I3284" s="1">
        <v>46030</v>
      </c>
      <c r="J3284" s="1">
        <v>46030</v>
      </c>
      <c r="K3284" s="1">
        <v>46030</v>
      </c>
      <c r="L3284">
        <v>34</v>
      </c>
      <c r="M3284">
        <v>6.98</v>
      </c>
      <c r="N3284">
        <v>6.98</v>
      </c>
      <c r="O3284">
        <v>0</v>
      </c>
      <c r="P3284">
        <v>0</v>
      </c>
      <c r="Q3284" t="s">
        <v>108</v>
      </c>
    </row>
    <row r="3285" spans="1:17">
      <c r="A3285" t="s">
        <v>93</v>
      </c>
      <c r="B3285" t="s">
        <v>106</v>
      </c>
      <c r="C3285" t="s">
        <v>56</v>
      </c>
      <c r="D3285" t="s">
        <v>3068</v>
      </c>
      <c r="E3285">
        <v>14</v>
      </c>
      <c r="F3285" t="str">
        <f>VLOOKUP(E3285,[1]LOJA!$A:$B,2,0)</f>
        <v>S IA</v>
      </c>
      <c r="G3285" t="s">
        <v>19</v>
      </c>
      <c r="H3285" t="s">
        <v>19</v>
      </c>
      <c r="I3285" s="1">
        <v>46030</v>
      </c>
      <c r="J3285" s="1">
        <v>46030</v>
      </c>
      <c r="K3285" s="1">
        <v>46030</v>
      </c>
      <c r="L3285">
        <v>34</v>
      </c>
      <c r="M3285">
        <v>3.05</v>
      </c>
      <c r="N3285">
        <v>3.05</v>
      </c>
      <c r="O3285">
        <v>0</v>
      </c>
      <c r="P3285">
        <v>0</v>
      </c>
      <c r="Q3285" t="s">
        <v>108</v>
      </c>
    </row>
    <row r="3286" spans="1:17">
      <c r="A3286" t="s">
        <v>93</v>
      </c>
      <c r="B3286" t="s">
        <v>106</v>
      </c>
      <c r="C3286" t="s">
        <v>56</v>
      </c>
      <c r="D3286" t="s">
        <v>3069</v>
      </c>
      <c r="E3286">
        <v>14</v>
      </c>
      <c r="F3286" t="str">
        <f>VLOOKUP(E3286,[1]LOJA!$A:$B,2,0)</f>
        <v>S IA</v>
      </c>
      <c r="G3286" t="s">
        <v>19</v>
      </c>
      <c r="H3286" t="s">
        <v>19</v>
      </c>
      <c r="I3286" s="1">
        <v>46030</v>
      </c>
      <c r="J3286" s="1">
        <v>46030</v>
      </c>
      <c r="K3286" s="1">
        <v>46030</v>
      </c>
      <c r="L3286">
        <v>34</v>
      </c>
      <c r="M3286">
        <v>1.47</v>
      </c>
      <c r="N3286">
        <v>1.47</v>
      </c>
      <c r="O3286">
        <v>0</v>
      </c>
      <c r="P3286">
        <v>0</v>
      </c>
      <c r="Q3286" t="s">
        <v>108</v>
      </c>
    </row>
    <row r="3287" spans="1:17">
      <c r="A3287" t="s">
        <v>93</v>
      </c>
      <c r="B3287" t="s">
        <v>106</v>
      </c>
      <c r="C3287" t="s">
        <v>56</v>
      </c>
      <c r="D3287" t="s">
        <v>3070</v>
      </c>
      <c r="E3287">
        <v>14</v>
      </c>
      <c r="F3287" t="str">
        <f>VLOOKUP(E3287,[1]LOJA!$A:$B,2,0)</f>
        <v>S IA</v>
      </c>
      <c r="G3287" t="s">
        <v>19</v>
      </c>
      <c r="H3287" t="s">
        <v>19</v>
      </c>
      <c r="I3287" s="1">
        <v>46030</v>
      </c>
      <c r="J3287" s="1">
        <v>46030</v>
      </c>
      <c r="K3287" s="1">
        <v>46030</v>
      </c>
      <c r="L3287">
        <v>34</v>
      </c>
      <c r="M3287">
        <v>0.44</v>
      </c>
      <c r="N3287">
        <v>0.44</v>
      </c>
      <c r="O3287">
        <v>0</v>
      </c>
      <c r="P3287">
        <v>0</v>
      </c>
      <c r="Q3287" t="s">
        <v>108</v>
      </c>
    </row>
    <row r="3288" spans="1:17">
      <c r="A3288" t="s">
        <v>93</v>
      </c>
      <c r="B3288" t="s">
        <v>106</v>
      </c>
      <c r="C3288" t="s">
        <v>56</v>
      </c>
      <c r="D3288" t="s">
        <v>3071</v>
      </c>
      <c r="E3288">
        <v>14</v>
      </c>
      <c r="F3288" t="str">
        <f>VLOOKUP(E3288,[1]LOJA!$A:$B,2,0)</f>
        <v>S IA</v>
      </c>
      <c r="G3288" t="s">
        <v>19</v>
      </c>
      <c r="H3288" t="s">
        <v>19</v>
      </c>
      <c r="I3288" s="1">
        <v>46030</v>
      </c>
      <c r="J3288" s="1">
        <v>46030</v>
      </c>
      <c r="K3288" s="1">
        <v>46030</v>
      </c>
      <c r="L3288">
        <v>34</v>
      </c>
      <c r="M3288">
        <v>0.86</v>
      </c>
      <c r="N3288">
        <v>0.86</v>
      </c>
      <c r="O3288">
        <v>0</v>
      </c>
      <c r="P3288">
        <v>0</v>
      </c>
      <c r="Q3288" t="s">
        <v>108</v>
      </c>
    </row>
    <row r="3289" spans="1:17">
      <c r="A3289" t="s">
        <v>93</v>
      </c>
      <c r="B3289" t="s">
        <v>106</v>
      </c>
      <c r="C3289" t="s">
        <v>56</v>
      </c>
      <c r="D3289" t="s">
        <v>3072</v>
      </c>
      <c r="E3289">
        <v>14</v>
      </c>
      <c r="F3289" t="str">
        <f>VLOOKUP(E3289,[1]LOJA!$A:$B,2,0)</f>
        <v>S IA</v>
      </c>
      <c r="G3289" t="s">
        <v>19</v>
      </c>
      <c r="H3289" t="s">
        <v>19</v>
      </c>
      <c r="I3289" s="1">
        <v>46030</v>
      </c>
      <c r="J3289" s="1">
        <v>46030</v>
      </c>
      <c r="K3289" s="1">
        <v>46030</v>
      </c>
      <c r="L3289">
        <v>34</v>
      </c>
      <c r="M3289">
        <v>3.15</v>
      </c>
      <c r="N3289">
        <v>3.15</v>
      </c>
      <c r="O3289">
        <v>0</v>
      </c>
      <c r="P3289">
        <v>0</v>
      </c>
      <c r="Q3289" t="s">
        <v>108</v>
      </c>
    </row>
    <row r="3290" spans="1:17">
      <c r="A3290" t="s">
        <v>93</v>
      </c>
      <c r="B3290" t="s">
        <v>106</v>
      </c>
      <c r="C3290" t="s">
        <v>56</v>
      </c>
      <c r="D3290" t="s">
        <v>3073</v>
      </c>
      <c r="E3290">
        <v>14</v>
      </c>
      <c r="F3290" t="str">
        <f>VLOOKUP(E3290,[1]LOJA!$A:$B,2,0)</f>
        <v>S IA</v>
      </c>
      <c r="G3290" t="s">
        <v>19</v>
      </c>
      <c r="H3290" t="s">
        <v>19</v>
      </c>
      <c r="I3290" s="1">
        <v>46030</v>
      </c>
      <c r="J3290" s="1">
        <v>46030</v>
      </c>
      <c r="K3290" s="1">
        <v>46030</v>
      </c>
      <c r="L3290">
        <v>34</v>
      </c>
      <c r="M3290">
        <v>14.23</v>
      </c>
      <c r="N3290">
        <v>14.23</v>
      </c>
      <c r="O3290">
        <v>0</v>
      </c>
      <c r="P3290">
        <v>0</v>
      </c>
      <c r="Q3290" t="s">
        <v>108</v>
      </c>
    </row>
    <row r="3291" spans="1:17">
      <c r="A3291" t="s">
        <v>93</v>
      </c>
      <c r="B3291" t="s">
        <v>106</v>
      </c>
      <c r="C3291" t="s">
        <v>56</v>
      </c>
      <c r="D3291" t="s">
        <v>3074</v>
      </c>
      <c r="E3291">
        <v>14</v>
      </c>
      <c r="F3291" t="str">
        <f>VLOOKUP(E3291,[1]LOJA!$A:$B,2,0)</f>
        <v>S IA</v>
      </c>
      <c r="G3291" t="s">
        <v>19</v>
      </c>
      <c r="H3291" t="s">
        <v>19</v>
      </c>
      <c r="I3291" s="1">
        <v>46030</v>
      </c>
      <c r="J3291" s="1">
        <v>46030</v>
      </c>
      <c r="K3291" s="1">
        <v>46030</v>
      </c>
      <c r="L3291">
        <v>34</v>
      </c>
      <c r="M3291">
        <v>2.88</v>
      </c>
      <c r="N3291">
        <v>2.88</v>
      </c>
      <c r="O3291">
        <v>0</v>
      </c>
      <c r="P3291">
        <v>0</v>
      </c>
      <c r="Q3291" t="s">
        <v>108</v>
      </c>
    </row>
    <row r="3292" spans="1:17">
      <c r="A3292" t="s">
        <v>93</v>
      </c>
      <c r="B3292" t="s">
        <v>106</v>
      </c>
      <c r="C3292" t="s">
        <v>56</v>
      </c>
      <c r="D3292" t="s">
        <v>3075</v>
      </c>
      <c r="E3292">
        <v>14</v>
      </c>
      <c r="F3292" t="str">
        <f>VLOOKUP(E3292,[1]LOJA!$A:$B,2,0)</f>
        <v>S IA</v>
      </c>
      <c r="G3292" t="s">
        <v>19</v>
      </c>
      <c r="H3292" t="s">
        <v>19</v>
      </c>
      <c r="I3292" s="1">
        <v>46030</v>
      </c>
      <c r="J3292" s="1">
        <v>46030</v>
      </c>
      <c r="K3292" s="1">
        <v>46030</v>
      </c>
      <c r="L3292">
        <v>34</v>
      </c>
      <c r="M3292">
        <v>0.12</v>
      </c>
      <c r="N3292">
        <v>0.12</v>
      </c>
      <c r="O3292">
        <v>0</v>
      </c>
      <c r="P3292">
        <v>0</v>
      </c>
      <c r="Q3292" t="s">
        <v>108</v>
      </c>
    </row>
    <row r="3293" spans="1:17">
      <c r="A3293" t="s">
        <v>93</v>
      </c>
      <c r="B3293" t="s">
        <v>106</v>
      </c>
      <c r="C3293" t="s">
        <v>56</v>
      </c>
      <c r="D3293" t="s">
        <v>3076</v>
      </c>
      <c r="E3293">
        <v>14</v>
      </c>
      <c r="F3293" t="str">
        <f>VLOOKUP(E3293,[1]LOJA!$A:$B,2,0)</f>
        <v>S IA</v>
      </c>
      <c r="G3293" t="s">
        <v>19</v>
      </c>
      <c r="H3293" t="s">
        <v>19</v>
      </c>
      <c r="I3293" s="1">
        <v>46030</v>
      </c>
      <c r="J3293" s="1">
        <v>46030</v>
      </c>
      <c r="K3293" s="1">
        <v>46030</v>
      </c>
      <c r="L3293">
        <v>34</v>
      </c>
      <c r="M3293">
        <v>0.52</v>
      </c>
      <c r="N3293">
        <v>0.52</v>
      </c>
      <c r="O3293">
        <v>0</v>
      </c>
      <c r="P3293">
        <v>0</v>
      </c>
      <c r="Q3293" t="s">
        <v>108</v>
      </c>
    </row>
    <row r="3294" spans="1:17">
      <c r="A3294" t="s">
        <v>93</v>
      </c>
      <c r="B3294" t="s">
        <v>106</v>
      </c>
      <c r="C3294" t="s">
        <v>56</v>
      </c>
      <c r="D3294" t="s">
        <v>3077</v>
      </c>
      <c r="E3294">
        <v>14</v>
      </c>
      <c r="F3294" t="str">
        <f>VLOOKUP(E3294,[1]LOJA!$A:$B,2,0)</f>
        <v>S IA</v>
      </c>
      <c r="G3294" t="s">
        <v>19</v>
      </c>
      <c r="H3294" t="s">
        <v>19</v>
      </c>
      <c r="I3294" s="1">
        <v>46030</v>
      </c>
      <c r="J3294" s="1">
        <v>46030</v>
      </c>
      <c r="K3294" s="1">
        <v>46030</v>
      </c>
      <c r="L3294">
        <v>34</v>
      </c>
      <c r="M3294">
        <v>3.46</v>
      </c>
      <c r="N3294">
        <v>3.46</v>
      </c>
      <c r="O3294">
        <v>0</v>
      </c>
      <c r="P3294">
        <v>0</v>
      </c>
      <c r="Q3294" t="s">
        <v>108</v>
      </c>
    </row>
    <row r="3295" spans="1:17">
      <c r="A3295" t="s">
        <v>93</v>
      </c>
      <c r="B3295" t="s">
        <v>106</v>
      </c>
      <c r="C3295" t="s">
        <v>56</v>
      </c>
      <c r="D3295" t="s">
        <v>3078</v>
      </c>
      <c r="E3295">
        <v>14</v>
      </c>
      <c r="F3295" t="str">
        <f>VLOOKUP(E3295,[1]LOJA!$A:$B,2,0)</f>
        <v>S IA</v>
      </c>
      <c r="G3295" t="s">
        <v>19</v>
      </c>
      <c r="H3295" t="s">
        <v>19</v>
      </c>
      <c r="I3295" s="1">
        <v>46030</v>
      </c>
      <c r="J3295" s="1">
        <v>46030</v>
      </c>
      <c r="K3295" s="1">
        <v>46030</v>
      </c>
      <c r="L3295">
        <v>34</v>
      </c>
      <c r="M3295">
        <v>1.22</v>
      </c>
      <c r="N3295">
        <v>1.22</v>
      </c>
      <c r="O3295">
        <v>0</v>
      </c>
      <c r="P3295">
        <v>0</v>
      </c>
      <c r="Q3295" t="s">
        <v>108</v>
      </c>
    </row>
    <row r="3296" spans="1:17">
      <c r="A3296" t="s">
        <v>93</v>
      </c>
      <c r="B3296" t="s">
        <v>106</v>
      </c>
      <c r="C3296" t="s">
        <v>56</v>
      </c>
      <c r="D3296" t="s">
        <v>3079</v>
      </c>
      <c r="E3296">
        <v>14</v>
      </c>
      <c r="F3296" t="str">
        <f>VLOOKUP(E3296,[1]LOJA!$A:$B,2,0)</f>
        <v>S IA</v>
      </c>
      <c r="G3296" t="s">
        <v>19</v>
      </c>
      <c r="H3296" t="s">
        <v>19</v>
      </c>
      <c r="I3296" s="1">
        <v>46030</v>
      </c>
      <c r="J3296" s="1">
        <v>46030</v>
      </c>
      <c r="K3296" s="1">
        <v>46030</v>
      </c>
      <c r="L3296">
        <v>34</v>
      </c>
      <c r="M3296">
        <v>0.23</v>
      </c>
      <c r="N3296">
        <v>0.23</v>
      </c>
      <c r="O3296">
        <v>0</v>
      </c>
      <c r="P3296">
        <v>0</v>
      </c>
      <c r="Q3296" t="s">
        <v>108</v>
      </c>
    </row>
    <row r="3297" spans="1:17">
      <c r="A3297" t="s">
        <v>93</v>
      </c>
      <c r="B3297" t="s">
        <v>106</v>
      </c>
      <c r="C3297" t="s">
        <v>56</v>
      </c>
      <c r="D3297" t="s">
        <v>3080</v>
      </c>
      <c r="E3297">
        <v>14</v>
      </c>
      <c r="F3297" t="str">
        <f>VLOOKUP(E3297,[1]LOJA!$A:$B,2,0)</f>
        <v>S IA</v>
      </c>
      <c r="G3297" t="s">
        <v>19</v>
      </c>
      <c r="H3297" t="s">
        <v>19</v>
      </c>
      <c r="I3297" s="1">
        <v>46030</v>
      </c>
      <c r="J3297" s="1">
        <v>46030</v>
      </c>
      <c r="K3297" s="1">
        <v>46030</v>
      </c>
      <c r="L3297">
        <v>34</v>
      </c>
      <c r="M3297">
        <v>0.6</v>
      </c>
      <c r="N3297">
        <v>0.6</v>
      </c>
      <c r="O3297">
        <v>0</v>
      </c>
      <c r="P3297">
        <v>0</v>
      </c>
      <c r="Q3297" t="s">
        <v>108</v>
      </c>
    </row>
    <row r="3298" spans="1:17">
      <c r="A3298" t="s">
        <v>93</v>
      </c>
      <c r="B3298" t="s">
        <v>106</v>
      </c>
      <c r="C3298" t="s">
        <v>56</v>
      </c>
      <c r="D3298" t="s">
        <v>3081</v>
      </c>
      <c r="E3298">
        <v>14</v>
      </c>
      <c r="F3298" t="str">
        <f>VLOOKUP(E3298,[1]LOJA!$A:$B,2,0)</f>
        <v>S IA</v>
      </c>
      <c r="G3298" t="s">
        <v>19</v>
      </c>
      <c r="H3298" t="s">
        <v>19</v>
      </c>
      <c r="I3298" s="1">
        <v>46030</v>
      </c>
      <c r="J3298" s="1">
        <v>46030</v>
      </c>
      <c r="K3298" s="1">
        <v>46030</v>
      </c>
      <c r="L3298">
        <v>34</v>
      </c>
      <c r="M3298">
        <v>0.46</v>
      </c>
      <c r="N3298">
        <v>0.46</v>
      </c>
      <c r="O3298">
        <v>0</v>
      </c>
      <c r="P3298">
        <v>0</v>
      </c>
      <c r="Q3298" t="s">
        <v>108</v>
      </c>
    </row>
    <row r="3299" spans="1:17">
      <c r="A3299" t="s">
        <v>93</v>
      </c>
      <c r="B3299" t="s">
        <v>106</v>
      </c>
      <c r="C3299" t="s">
        <v>56</v>
      </c>
      <c r="D3299" t="s">
        <v>3082</v>
      </c>
      <c r="E3299">
        <v>14</v>
      </c>
      <c r="F3299" t="str">
        <f>VLOOKUP(E3299,[1]LOJA!$A:$B,2,0)</f>
        <v>S IA</v>
      </c>
      <c r="G3299" t="s">
        <v>19</v>
      </c>
      <c r="H3299" t="s">
        <v>19</v>
      </c>
      <c r="I3299" s="1">
        <v>46030</v>
      </c>
      <c r="J3299" s="1">
        <v>46030</v>
      </c>
      <c r="K3299" s="1">
        <v>46030</v>
      </c>
      <c r="L3299">
        <v>34</v>
      </c>
      <c r="M3299">
        <v>0.2</v>
      </c>
      <c r="N3299">
        <v>0.2</v>
      </c>
      <c r="O3299">
        <v>0</v>
      </c>
      <c r="P3299">
        <v>0</v>
      </c>
      <c r="Q3299" t="s">
        <v>108</v>
      </c>
    </row>
    <row r="3300" spans="1:17">
      <c r="A3300" t="s">
        <v>93</v>
      </c>
      <c r="B3300" t="s">
        <v>106</v>
      </c>
      <c r="C3300" t="s">
        <v>56</v>
      </c>
      <c r="D3300" t="s">
        <v>3083</v>
      </c>
      <c r="E3300">
        <v>14</v>
      </c>
      <c r="F3300" t="str">
        <f>VLOOKUP(E3300,[1]LOJA!$A:$B,2,0)</f>
        <v>S IA</v>
      </c>
      <c r="G3300" t="s">
        <v>19</v>
      </c>
      <c r="H3300" t="s">
        <v>19</v>
      </c>
      <c r="I3300" s="1">
        <v>46030</v>
      </c>
      <c r="J3300" s="1">
        <v>46030</v>
      </c>
      <c r="K3300" s="1">
        <v>46030</v>
      </c>
      <c r="L3300">
        <v>34</v>
      </c>
      <c r="M3300">
        <v>0.12</v>
      </c>
      <c r="N3300">
        <v>0.12</v>
      </c>
      <c r="O3300">
        <v>0</v>
      </c>
      <c r="P3300">
        <v>0</v>
      </c>
      <c r="Q3300" t="s">
        <v>108</v>
      </c>
    </row>
    <row r="3301" spans="1:17">
      <c r="A3301" t="s">
        <v>93</v>
      </c>
      <c r="B3301" t="s">
        <v>106</v>
      </c>
      <c r="C3301" t="s">
        <v>56</v>
      </c>
      <c r="D3301" t="s">
        <v>3084</v>
      </c>
      <c r="E3301">
        <v>14</v>
      </c>
      <c r="F3301" t="str">
        <f>VLOOKUP(E3301,[1]LOJA!$A:$B,2,0)</f>
        <v>S IA</v>
      </c>
      <c r="G3301" t="s">
        <v>19</v>
      </c>
      <c r="H3301" t="s">
        <v>19</v>
      </c>
      <c r="I3301" s="1">
        <v>46030</v>
      </c>
      <c r="J3301" s="1">
        <v>46030</v>
      </c>
      <c r="K3301" s="1">
        <v>46030</v>
      </c>
      <c r="L3301">
        <v>34</v>
      </c>
      <c r="M3301">
        <v>0.25</v>
      </c>
      <c r="N3301">
        <v>0.25</v>
      </c>
      <c r="O3301">
        <v>0</v>
      </c>
      <c r="P3301">
        <v>0</v>
      </c>
      <c r="Q3301" t="s">
        <v>108</v>
      </c>
    </row>
    <row r="3302" spans="1:17">
      <c r="A3302" t="s">
        <v>3085</v>
      </c>
      <c r="B3302" t="s">
        <v>3086</v>
      </c>
      <c r="C3302" t="s">
        <v>56</v>
      </c>
      <c r="D3302" t="s">
        <v>3087</v>
      </c>
      <c r="E3302">
        <v>15</v>
      </c>
      <c r="F3302" t="str">
        <f>VLOOKUP(E3302,[1]LOJA!$A:$B,2,0)</f>
        <v>UNAÍ</v>
      </c>
      <c r="G3302" t="s">
        <v>19</v>
      </c>
      <c r="H3302" t="s">
        <v>20</v>
      </c>
      <c r="I3302" s="1">
        <v>46007</v>
      </c>
      <c r="J3302" s="1">
        <v>46028</v>
      </c>
      <c r="K3302" s="1">
        <v>46028</v>
      </c>
      <c r="L3302">
        <v>26</v>
      </c>
      <c r="M3302">
        <v>350</v>
      </c>
      <c r="N3302">
        <v>350</v>
      </c>
      <c r="O3302">
        <v>0</v>
      </c>
      <c r="P3302">
        <v>0</v>
      </c>
      <c r="Q3302" t="s">
        <v>3088</v>
      </c>
    </row>
    <row r="3303" spans="1:17">
      <c r="A3303" t="s">
        <v>3089</v>
      </c>
      <c r="B3303" t="s">
        <v>3090</v>
      </c>
      <c r="C3303" t="s">
        <v>3091</v>
      </c>
      <c r="D3303" t="s">
        <v>3092</v>
      </c>
      <c r="E3303">
        <v>15</v>
      </c>
      <c r="F3303" t="str">
        <f>VLOOKUP(E3303,[1]LOJA!$A:$B,2,0)</f>
        <v>UNAÍ</v>
      </c>
      <c r="G3303" t="s">
        <v>19</v>
      </c>
      <c r="H3303" t="s">
        <v>19</v>
      </c>
      <c r="I3303" s="1">
        <v>46029</v>
      </c>
      <c r="J3303" s="1">
        <v>46029</v>
      </c>
      <c r="K3303" s="1">
        <v>46029</v>
      </c>
      <c r="L3303">
        <v>3</v>
      </c>
      <c r="M3303">
        <v>40.4</v>
      </c>
      <c r="N3303">
        <v>40.4</v>
      </c>
      <c r="O3303">
        <v>0</v>
      </c>
      <c r="P3303">
        <v>0</v>
      </c>
      <c r="Q3303" t="s">
        <v>3093</v>
      </c>
    </row>
    <row r="3304" spans="1:17">
      <c r="A3304" t="s">
        <v>3089</v>
      </c>
      <c r="B3304" t="s">
        <v>3090</v>
      </c>
      <c r="C3304" t="s">
        <v>3094</v>
      </c>
      <c r="D3304" t="s">
        <v>3095</v>
      </c>
      <c r="E3304">
        <v>6</v>
      </c>
      <c r="F3304" t="str">
        <f>VLOOKUP(E3304,[1]LOJA!$A:$B,2,0)</f>
        <v>GAMA</v>
      </c>
      <c r="G3304" t="s">
        <v>19</v>
      </c>
      <c r="H3304" t="s">
        <v>20</v>
      </c>
      <c r="I3304" s="1">
        <v>45582</v>
      </c>
      <c r="J3304" s="1">
        <v>46043</v>
      </c>
      <c r="K3304" s="1">
        <v>46043</v>
      </c>
      <c r="L3304">
        <v>31</v>
      </c>
      <c r="M3304">
        <v>92.8</v>
      </c>
      <c r="N3304">
        <v>92.8</v>
      </c>
      <c r="O3304">
        <v>0</v>
      </c>
      <c r="P3304">
        <v>0</v>
      </c>
      <c r="Q3304" t="s">
        <v>3096</v>
      </c>
    </row>
    <row r="3305" spans="1:17">
      <c r="A3305" t="s">
        <v>3089</v>
      </c>
      <c r="B3305" t="s">
        <v>3090</v>
      </c>
      <c r="C3305" t="s">
        <v>3094</v>
      </c>
      <c r="D3305" t="s">
        <v>3097</v>
      </c>
      <c r="E3305">
        <v>22</v>
      </c>
      <c r="F3305" t="str">
        <f>VLOOKUP(E3305,[1]LOJA!$A:$B,2,0)</f>
        <v>GUARÁ</v>
      </c>
      <c r="G3305" t="s">
        <v>19</v>
      </c>
      <c r="H3305" t="s">
        <v>20</v>
      </c>
      <c r="I3305" s="1">
        <v>45656</v>
      </c>
      <c r="J3305" s="1">
        <v>46032</v>
      </c>
      <c r="K3305" s="1">
        <v>46034</v>
      </c>
      <c r="L3305">
        <v>38</v>
      </c>
      <c r="M3305">
        <v>126.92</v>
      </c>
      <c r="N3305">
        <v>126.92</v>
      </c>
      <c r="O3305">
        <v>0</v>
      </c>
      <c r="P3305">
        <v>0</v>
      </c>
      <c r="Q3305" t="s">
        <v>3098</v>
      </c>
    </row>
    <row r="3306" spans="1:17">
      <c r="A3306" t="s">
        <v>3089</v>
      </c>
      <c r="B3306" t="s">
        <v>3090</v>
      </c>
      <c r="C3306" t="s">
        <v>3099</v>
      </c>
      <c r="D3306" t="s">
        <v>3100</v>
      </c>
      <c r="E3306">
        <v>16</v>
      </c>
      <c r="F3306" t="str">
        <f>VLOOKUP(E3306,[1]LOJA!$A:$B,2,0)</f>
        <v>AG LINDAS</v>
      </c>
      <c r="G3306" t="s">
        <v>19</v>
      </c>
      <c r="H3306" t="s">
        <v>20</v>
      </c>
      <c r="I3306" s="1">
        <v>45660</v>
      </c>
      <c r="J3306" s="1">
        <v>46026</v>
      </c>
      <c r="K3306" s="1">
        <v>46027</v>
      </c>
      <c r="L3306">
        <v>37</v>
      </c>
      <c r="M3306">
        <v>415.05</v>
      </c>
      <c r="N3306">
        <v>415.05</v>
      </c>
      <c r="O3306">
        <v>0</v>
      </c>
      <c r="P3306">
        <v>0</v>
      </c>
      <c r="Q3306" t="s">
        <v>3101</v>
      </c>
    </row>
    <row r="3307" spans="1:17">
      <c r="A3307" t="s">
        <v>3089</v>
      </c>
      <c r="B3307" t="s">
        <v>3090</v>
      </c>
      <c r="C3307" t="s">
        <v>3094</v>
      </c>
      <c r="D3307" t="s">
        <v>3102</v>
      </c>
      <c r="E3307">
        <v>12</v>
      </c>
      <c r="F3307" t="str">
        <f>VLOOKUP(E3307,[1]LOJA!$A:$B,2,0)</f>
        <v>SOFNORTE</v>
      </c>
      <c r="G3307" t="s">
        <v>19</v>
      </c>
      <c r="H3307" t="s">
        <v>20</v>
      </c>
      <c r="I3307" s="1">
        <v>45694</v>
      </c>
      <c r="J3307" s="1">
        <v>46023</v>
      </c>
      <c r="K3307" s="1">
        <v>46024</v>
      </c>
      <c r="L3307">
        <v>36</v>
      </c>
      <c r="M3307">
        <v>341.58</v>
      </c>
      <c r="N3307">
        <v>341.58</v>
      </c>
      <c r="O3307">
        <v>0</v>
      </c>
      <c r="P3307">
        <v>0</v>
      </c>
      <c r="Q3307" t="s">
        <v>3103</v>
      </c>
    </row>
    <row r="3308" spans="1:17">
      <c r="A3308" t="s">
        <v>3089</v>
      </c>
      <c r="B3308" t="s">
        <v>3090</v>
      </c>
      <c r="C3308" t="s">
        <v>3094</v>
      </c>
      <c r="D3308" t="s">
        <v>3104</v>
      </c>
      <c r="E3308">
        <v>13</v>
      </c>
      <c r="F3308" t="str">
        <f>VLOOKUP(E3308,[1]LOJA!$A:$B,2,0)</f>
        <v>CEILÂNDIA</v>
      </c>
      <c r="G3308" t="s">
        <v>19</v>
      </c>
      <c r="H3308" t="s">
        <v>20</v>
      </c>
      <c r="I3308" s="1">
        <v>45694</v>
      </c>
      <c r="J3308" s="1">
        <v>46046</v>
      </c>
      <c r="K3308" s="1">
        <v>46048</v>
      </c>
      <c r="L3308">
        <v>34</v>
      </c>
      <c r="M3308">
        <v>128.53</v>
      </c>
      <c r="N3308">
        <v>128.53</v>
      </c>
      <c r="O3308">
        <v>0</v>
      </c>
      <c r="P3308">
        <v>0</v>
      </c>
      <c r="Q3308" t="s">
        <v>3105</v>
      </c>
    </row>
    <row r="3309" spans="1:17">
      <c r="A3309" t="s">
        <v>3089</v>
      </c>
      <c r="B3309" t="s">
        <v>3090</v>
      </c>
      <c r="C3309" t="s">
        <v>3094</v>
      </c>
      <c r="D3309" t="s">
        <v>3106</v>
      </c>
      <c r="E3309">
        <v>13</v>
      </c>
      <c r="F3309" t="str">
        <f>VLOOKUP(E3309,[1]LOJA!$A:$B,2,0)</f>
        <v>CEILÂNDIA</v>
      </c>
      <c r="G3309" t="s">
        <v>19</v>
      </c>
      <c r="H3309" t="s">
        <v>20</v>
      </c>
      <c r="I3309" s="1">
        <v>46001</v>
      </c>
      <c r="J3309" s="1">
        <v>46046</v>
      </c>
      <c r="K3309" s="1">
        <v>46048</v>
      </c>
      <c r="L3309">
        <v>34</v>
      </c>
      <c r="M3309">
        <v>181.14</v>
      </c>
      <c r="N3309">
        <v>181.14</v>
      </c>
      <c r="O3309">
        <v>0</v>
      </c>
      <c r="P3309">
        <v>0</v>
      </c>
      <c r="Q3309" t="s">
        <v>3107</v>
      </c>
    </row>
    <row r="3310" spans="1:17">
      <c r="A3310" t="s">
        <v>3089</v>
      </c>
      <c r="B3310" t="s">
        <v>3108</v>
      </c>
      <c r="C3310" t="s">
        <v>56</v>
      </c>
      <c r="D3310" t="s">
        <v>3109</v>
      </c>
      <c r="E3310">
        <v>12</v>
      </c>
      <c r="F3310" t="str">
        <f>VLOOKUP(E3310,[1]LOJA!$A:$B,2,0)</f>
        <v>SOFNORTE</v>
      </c>
      <c r="G3310" t="s">
        <v>19</v>
      </c>
      <c r="H3310" t="s">
        <v>19</v>
      </c>
      <c r="I3310" s="1">
        <v>45695</v>
      </c>
      <c r="J3310" s="1">
        <v>46025</v>
      </c>
      <c r="K3310" s="1">
        <v>46027</v>
      </c>
      <c r="L3310">
        <v>26</v>
      </c>
      <c r="M3310" s="2">
        <v>3300</v>
      </c>
      <c r="N3310" s="2">
        <v>3300</v>
      </c>
      <c r="O3310">
        <v>0</v>
      </c>
      <c r="P3310">
        <v>0</v>
      </c>
      <c r="Q3310" t="s">
        <v>3110</v>
      </c>
    </row>
    <row r="3311" spans="1:17">
      <c r="A3311" t="s">
        <v>3089</v>
      </c>
      <c r="B3311" t="s">
        <v>3108</v>
      </c>
      <c r="C3311" t="s">
        <v>56</v>
      </c>
      <c r="D3311" t="s">
        <v>3111</v>
      </c>
      <c r="E3311">
        <v>15</v>
      </c>
      <c r="F3311" t="str">
        <f>VLOOKUP(E3311,[1]LOJA!$A:$B,2,0)</f>
        <v>UNAÍ</v>
      </c>
      <c r="G3311" t="s">
        <v>19</v>
      </c>
      <c r="H3311" t="s">
        <v>20</v>
      </c>
      <c r="I3311" s="1">
        <v>45832</v>
      </c>
      <c r="J3311" s="1">
        <v>46050</v>
      </c>
      <c r="K3311" s="1">
        <v>46050</v>
      </c>
      <c r="L3311">
        <v>36</v>
      </c>
      <c r="M3311" s="2">
        <v>1700</v>
      </c>
      <c r="N3311" s="2">
        <v>1700</v>
      </c>
      <c r="O3311">
        <v>0</v>
      </c>
      <c r="P3311">
        <v>0</v>
      </c>
      <c r="Q3311" t="s">
        <v>3112</v>
      </c>
    </row>
    <row r="3312" spans="1:17">
      <c r="A3312" t="s">
        <v>3089</v>
      </c>
      <c r="B3312" t="s">
        <v>3108</v>
      </c>
      <c r="C3312" t="s">
        <v>56</v>
      </c>
      <c r="D3312" t="s">
        <v>3113</v>
      </c>
      <c r="E3312">
        <v>4</v>
      </c>
      <c r="F3312" t="str">
        <f>VLOOKUP(E3312,[1]LOJA!$A:$B,2,0)</f>
        <v>ADE</v>
      </c>
      <c r="G3312" t="s">
        <v>19</v>
      </c>
      <c r="H3312" t="s">
        <v>20</v>
      </c>
      <c r="I3312" s="1">
        <v>45937</v>
      </c>
      <c r="J3312" s="1">
        <v>46032</v>
      </c>
      <c r="K3312" s="1">
        <v>46034</v>
      </c>
      <c r="L3312">
        <v>30</v>
      </c>
      <c r="M3312" s="2">
        <v>5506.24</v>
      </c>
      <c r="N3312" s="2">
        <v>5506.24</v>
      </c>
      <c r="O3312">
        <v>0</v>
      </c>
      <c r="P3312">
        <v>0</v>
      </c>
      <c r="Q3312" t="s">
        <v>3114</v>
      </c>
    </row>
    <row r="3313" spans="1:17">
      <c r="A3313" t="s">
        <v>3089</v>
      </c>
      <c r="B3313" t="s">
        <v>3108</v>
      </c>
      <c r="C3313" t="s">
        <v>56</v>
      </c>
      <c r="D3313" t="s">
        <v>3115</v>
      </c>
      <c r="E3313">
        <v>6</v>
      </c>
      <c r="F3313" t="str">
        <f>VLOOKUP(E3313,[1]LOJA!$A:$B,2,0)</f>
        <v>GAMA</v>
      </c>
      <c r="G3313" t="s">
        <v>19</v>
      </c>
      <c r="H3313" t="s">
        <v>19</v>
      </c>
      <c r="I3313" s="1">
        <v>46023</v>
      </c>
      <c r="J3313" s="1">
        <v>46023</v>
      </c>
      <c r="K3313" s="1">
        <v>46030</v>
      </c>
      <c r="L3313">
        <v>31</v>
      </c>
      <c r="M3313" s="2">
        <v>5250</v>
      </c>
      <c r="N3313" s="2">
        <v>5250</v>
      </c>
      <c r="O3313">
        <v>0</v>
      </c>
      <c r="P3313">
        <v>0</v>
      </c>
      <c r="Q3313" t="s">
        <v>3116</v>
      </c>
    </row>
    <row r="3314" spans="1:17">
      <c r="A3314" t="s">
        <v>3089</v>
      </c>
      <c r="B3314" t="s">
        <v>3108</v>
      </c>
      <c r="C3314" t="s">
        <v>56</v>
      </c>
      <c r="D3314" t="s">
        <v>3117</v>
      </c>
      <c r="E3314">
        <v>15</v>
      </c>
      <c r="F3314" t="str">
        <f>VLOOKUP(E3314,[1]LOJA!$A:$B,2,0)</f>
        <v>UNAÍ</v>
      </c>
      <c r="G3314" t="s">
        <v>19</v>
      </c>
      <c r="H3314" t="s">
        <v>19</v>
      </c>
      <c r="I3314" s="1">
        <v>46032</v>
      </c>
      <c r="J3314" s="1">
        <v>46035</v>
      </c>
      <c r="K3314" s="1">
        <v>46035</v>
      </c>
      <c r="L3314">
        <v>36</v>
      </c>
      <c r="M3314" s="2">
        <v>1500</v>
      </c>
      <c r="N3314" s="2">
        <v>1500</v>
      </c>
      <c r="O3314">
        <v>0</v>
      </c>
      <c r="P3314">
        <v>0</v>
      </c>
      <c r="Q3314" t="s">
        <v>3118</v>
      </c>
    </row>
    <row r="3315" spans="1:17">
      <c r="A3315" t="s">
        <v>3089</v>
      </c>
      <c r="B3315" t="s">
        <v>3108</v>
      </c>
      <c r="C3315" t="s">
        <v>3119</v>
      </c>
      <c r="D3315" t="s">
        <v>3120</v>
      </c>
      <c r="E3315">
        <v>13</v>
      </c>
      <c r="F3315" t="str">
        <f>VLOOKUP(E3315,[1]LOJA!$A:$B,2,0)</f>
        <v>CEILÂNDIA</v>
      </c>
      <c r="G3315" t="s">
        <v>19</v>
      </c>
      <c r="H3315" t="s">
        <v>19</v>
      </c>
      <c r="I3315" s="1">
        <v>46035</v>
      </c>
      <c r="J3315" s="1">
        <v>46035</v>
      </c>
      <c r="K3315" s="1">
        <v>46035</v>
      </c>
      <c r="L3315">
        <v>34</v>
      </c>
      <c r="M3315" s="2">
        <v>3500</v>
      </c>
      <c r="N3315" s="2">
        <v>3500</v>
      </c>
      <c r="O3315">
        <v>0</v>
      </c>
      <c r="P3315">
        <v>0</v>
      </c>
      <c r="Q3315" t="s">
        <v>3121</v>
      </c>
    </row>
    <row r="3316" spans="1:17">
      <c r="A3316" t="s">
        <v>3089</v>
      </c>
      <c r="B3316" t="s">
        <v>3108</v>
      </c>
      <c r="C3316" t="s">
        <v>56</v>
      </c>
      <c r="D3316" t="s">
        <v>3122</v>
      </c>
      <c r="E3316">
        <v>16</v>
      </c>
      <c r="F3316" t="str">
        <f>VLOOKUP(E3316,[1]LOJA!$A:$B,2,0)</f>
        <v>AG LINDAS</v>
      </c>
      <c r="G3316" t="s">
        <v>19</v>
      </c>
      <c r="H3316" t="s">
        <v>19</v>
      </c>
      <c r="I3316" s="1">
        <v>46032</v>
      </c>
      <c r="J3316" s="1">
        <v>46035</v>
      </c>
      <c r="K3316" s="1">
        <v>46035</v>
      </c>
      <c r="L3316">
        <v>37</v>
      </c>
      <c r="M3316" s="2">
        <v>3000</v>
      </c>
      <c r="N3316" s="2">
        <v>3000</v>
      </c>
      <c r="O3316">
        <v>0</v>
      </c>
      <c r="P3316">
        <v>0</v>
      </c>
      <c r="Q3316" t="s">
        <v>3123</v>
      </c>
    </row>
    <row r="3317" spans="1:17">
      <c r="A3317" t="s">
        <v>3089</v>
      </c>
      <c r="B3317" t="s">
        <v>3108</v>
      </c>
      <c r="C3317" t="s">
        <v>56</v>
      </c>
      <c r="D3317" t="s">
        <v>3124</v>
      </c>
      <c r="E3317">
        <v>24</v>
      </c>
      <c r="F3317" t="str">
        <f>VLOOKUP(E3317,[1]LOJA!$A:$B,2,0)</f>
        <v>LUZIÂNIA</v>
      </c>
      <c r="G3317" t="s">
        <v>19</v>
      </c>
      <c r="H3317" t="s">
        <v>19</v>
      </c>
      <c r="I3317" s="1">
        <v>46032</v>
      </c>
      <c r="J3317" s="1">
        <v>46032</v>
      </c>
      <c r="K3317" s="1">
        <v>46034</v>
      </c>
      <c r="L3317">
        <v>18</v>
      </c>
      <c r="M3317" s="2">
        <v>1800</v>
      </c>
      <c r="N3317" s="2">
        <v>1800</v>
      </c>
      <c r="O3317">
        <v>0</v>
      </c>
      <c r="P3317">
        <v>0</v>
      </c>
      <c r="Q3317" t="s">
        <v>3125</v>
      </c>
    </row>
    <row r="3318" spans="1:17">
      <c r="A3318" t="s">
        <v>3089</v>
      </c>
      <c r="B3318" t="s">
        <v>3108</v>
      </c>
      <c r="C3318" t="s">
        <v>56</v>
      </c>
      <c r="D3318" t="s">
        <v>3126</v>
      </c>
      <c r="E3318">
        <v>13</v>
      </c>
      <c r="F3318" t="str">
        <f>VLOOKUP(E3318,[1]LOJA!$A:$B,2,0)</f>
        <v>CEILÂNDIA</v>
      </c>
      <c r="G3318" t="s">
        <v>19</v>
      </c>
      <c r="H3318" t="s">
        <v>20</v>
      </c>
      <c r="I3318" s="1">
        <v>46035</v>
      </c>
      <c r="J3318" s="1">
        <v>46047</v>
      </c>
      <c r="K3318" s="1">
        <v>46048</v>
      </c>
      <c r="L3318">
        <v>34</v>
      </c>
      <c r="M3318" s="2">
        <v>5000</v>
      </c>
      <c r="N3318" s="2">
        <v>5000</v>
      </c>
      <c r="O3318">
        <v>0</v>
      </c>
      <c r="P3318">
        <v>0</v>
      </c>
      <c r="Q3318" t="s">
        <v>3127</v>
      </c>
    </row>
    <row r="3319" spans="1:17">
      <c r="A3319" t="s">
        <v>3089</v>
      </c>
      <c r="B3319" t="s">
        <v>3108</v>
      </c>
      <c r="C3319" t="s">
        <v>56</v>
      </c>
      <c r="D3319" t="s">
        <v>3128</v>
      </c>
      <c r="E3319">
        <v>14</v>
      </c>
      <c r="F3319" t="str">
        <f>VLOOKUP(E3319,[1]LOJA!$A:$B,2,0)</f>
        <v>S IA</v>
      </c>
      <c r="G3319" t="s">
        <v>19</v>
      </c>
      <c r="H3319" t="s">
        <v>19</v>
      </c>
      <c r="I3319" s="1">
        <v>45970</v>
      </c>
      <c r="J3319" s="1">
        <v>46023</v>
      </c>
      <c r="K3319" s="1">
        <v>46024</v>
      </c>
      <c r="L3319">
        <v>35</v>
      </c>
      <c r="M3319" s="2">
        <v>4500</v>
      </c>
      <c r="N3319" s="2">
        <v>4500</v>
      </c>
      <c r="O3319">
        <v>0</v>
      </c>
      <c r="P3319">
        <v>0</v>
      </c>
      <c r="Q3319" t="s">
        <v>3129</v>
      </c>
    </row>
    <row r="3320" spans="1:17">
      <c r="A3320" t="s">
        <v>3089</v>
      </c>
      <c r="B3320" t="s">
        <v>3108</v>
      </c>
      <c r="C3320" t="s">
        <v>56</v>
      </c>
      <c r="D3320" t="s">
        <v>3130</v>
      </c>
      <c r="E3320">
        <v>14</v>
      </c>
      <c r="F3320" t="str">
        <f>VLOOKUP(E3320,[1]LOJA!$A:$B,2,0)</f>
        <v>S IA</v>
      </c>
      <c r="G3320" t="s">
        <v>19</v>
      </c>
      <c r="H3320" t="s">
        <v>20</v>
      </c>
      <c r="I3320" s="1">
        <v>46000</v>
      </c>
      <c r="J3320" s="1">
        <v>46047</v>
      </c>
      <c r="K3320" s="1">
        <v>46048</v>
      </c>
      <c r="L3320">
        <v>35</v>
      </c>
      <c r="M3320" s="2">
        <v>1972.74</v>
      </c>
      <c r="N3320" s="2">
        <v>1972.74</v>
      </c>
      <c r="O3320">
        <v>0</v>
      </c>
      <c r="P3320">
        <v>0</v>
      </c>
      <c r="Q3320" t="s">
        <v>3131</v>
      </c>
    </row>
    <row r="3321" spans="1:17">
      <c r="A3321" t="s">
        <v>3089</v>
      </c>
      <c r="B3321" t="s">
        <v>3132</v>
      </c>
      <c r="C3321" t="s">
        <v>3133</v>
      </c>
      <c r="D3321" t="s">
        <v>3134</v>
      </c>
      <c r="E3321">
        <v>22</v>
      </c>
      <c r="F3321" t="str">
        <f>VLOOKUP(E3321,[1]LOJA!$A:$B,2,0)</f>
        <v>GUARÁ</v>
      </c>
      <c r="G3321" t="s">
        <v>19</v>
      </c>
      <c r="H3321" t="s">
        <v>20</v>
      </c>
      <c r="I3321" s="1">
        <v>45656</v>
      </c>
      <c r="J3321" s="1">
        <v>46025</v>
      </c>
      <c r="K3321" s="1">
        <v>46027</v>
      </c>
      <c r="L3321">
        <v>38</v>
      </c>
      <c r="M3321">
        <v>397.58</v>
      </c>
      <c r="N3321">
        <v>397.58</v>
      </c>
      <c r="O3321">
        <v>0</v>
      </c>
      <c r="P3321">
        <v>0</v>
      </c>
      <c r="Q3321" t="s">
        <v>3135</v>
      </c>
    </row>
    <row r="3322" spans="1:17">
      <c r="A3322" t="s">
        <v>3089</v>
      </c>
      <c r="B3322" t="s">
        <v>3132</v>
      </c>
      <c r="C3322" t="s">
        <v>3133</v>
      </c>
      <c r="D3322" t="s">
        <v>3136</v>
      </c>
      <c r="E3322">
        <v>22</v>
      </c>
      <c r="F3322" t="str">
        <f>VLOOKUP(E3322,[1]LOJA!$A:$B,2,0)</f>
        <v>GUARÁ</v>
      </c>
      <c r="G3322" t="s">
        <v>19</v>
      </c>
      <c r="H3322" t="s">
        <v>20</v>
      </c>
      <c r="I3322" s="1">
        <v>45656</v>
      </c>
      <c r="J3322" s="1">
        <v>46025</v>
      </c>
      <c r="K3322" s="1">
        <v>46027</v>
      </c>
      <c r="L3322">
        <v>38</v>
      </c>
      <c r="M3322">
        <v>105.64</v>
      </c>
      <c r="N3322">
        <v>105.64</v>
      </c>
      <c r="O3322">
        <v>0</v>
      </c>
      <c r="P3322">
        <v>0</v>
      </c>
      <c r="Q3322" t="s">
        <v>3137</v>
      </c>
    </row>
    <row r="3323" spans="1:17">
      <c r="A3323" t="s">
        <v>3089</v>
      </c>
      <c r="B3323" t="s">
        <v>3132</v>
      </c>
      <c r="C3323" t="s">
        <v>3133</v>
      </c>
      <c r="D3323" t="s">
        <v>3138</v>
      </c>
      <c r="E3323">
        <v>14</v>
      </c>
      <c r="F3323" t="str">
        <f>VLOOKUP(E3323,[1]LOJA!$A:$B,2,0)</f>
        <v>S IA</v>
      </c>
      <c r="G3323" t="s">
        <v>19</v>
      </c>
      <c r="H3323" t="s">
        <v>20</v>
      </c>
      <c r="I3323" s="1">
        <v>45694</v>
      </c>
      <c r="J3323" s="1">
        <v>46025</v>
      </c>
      <c r="K3323" s="1">
        <v>46027</v>
      </c>
      <c r="L3323">
        <v>35</v>
      </c>
      <c r="M3323">
        <v>460.57</v>
      </c>
      <c r="N3323">
        <v>460.57</v>
      </c>
      <c r="O3323">
        <v>0</v>
      </c>
      <c r="P3323">
        <v>0</v>
      </c>
      <c r="Q3323" t="s">
        <v>3139</v>
      </c>
    </row>
    <row r="3324" spans="1:17">
      <c r="A3324" t="s">
        <v>3089</v>
      </c>
      <c r="B3324" t="s">
        <v>3132</v>
      </c>
      <c r="C3324" t="s">
        <v>3133</v>
      </c>
      <c r="D3324" t="s">
        <v>3140</v>
      </c>
      <c r="E3324">
        <v>15</v>
      </c>
      <c r="F3324" t="str">
        <f>VLOOKUP(E3324,[1]LOJA!$A:$B,2,0)</f>
        <v>UNAÍ</v>
      </c>
      <c r="G3324" t="s">
        <v>19</v>
      </c>
      <c r="H3324" t="s">
        <v>20</v>
      </c>
      <c r="I3324" s="1">
        <v>45694</v>
      </c>
      <c r="J3324" s="1">
        <v>46033</v>
      </c>
      <c r="K3324" s="1">
        <v>46034</v>
      </c>
      <c r="L3324">
        <v>36</v>
      </c>
      <c r="M3324">
        <v>326.95999999999998</v>
      </c>
      <c r="N3324">
        <v>326.95999999999998</v>
      </c>
      <c r="O3324">
        <v>0</v>
      </c>
      <c r="P3324">
        <v>0</v>
      </c>
      <c r="Q3324" t="s">
        <v>3141</v>
      </c>
    </row>
    <row r="3325" spans="1:17">
      <c r="A3325" t="s">
        <v>3089</v>
      </c>
      <c r="B3325" t="s">
        <v>3132</v>
      </c>
      <c r="C3325" t="s">
        <v>3133</v>
      </c>
      <c r="D3325" t="s">
        <v>3142</v>
      </c>
      <c r="E3325">
        <v>12</v>
      </c>
      <c r="F3325" t="str">
        <f>VLOOKUP(E3325,[1]LOJA!$A:$B,2,0)</f>
        <v>SOFNORTE</v>
      </c>
      <c r="G3325" t="s">
        <v>19</v>
      </c>
      <c r="H3325" t="s">
        <v>20</v>
      </c>
      <c r="I3325" s="1">
        <v>45694</v>
      </c>
      <c r="J3325" s="1">
        <v>46040</v>
      </c>
      <c r="K3325" s="1">
        <v>46041</v>
      </c>
      <c r="L3325">
        <v>33</v>
      </c>
      <c r="M3325">
        <v>538.67999999999995</v>
      </c>
      <c r="N3325">
        <v>538.67999999999995</v>
      </c>
      <c r="O3325">
        <v>0</v>
      </c>
      <c r="P3325">
        <v>0</v>
      </c>
      <c r="Q3325" t="s">
        <v>3143</v>
      </c>
    </row>
    <row r="3326" spans="1:17">
      <c r="A3326" t="s">
        <v>3089</v>
      </c>
      <c r="B3326" t="s">
        <v>3132</v>
      </c>
      <c r="C3326" t="s">
        <v>3133</v>
      </c>
      <c r="D3326" t="s">
        <v>3144</v>
      </c>
      <c r="E3326">
        <v>13</v>
      </c>
      <c r="F3326" t="str">
        <f>VLOOKUP(E3326,[1]LOJA!$A:$B,2,0)</f>
        <v>CEILÂNDIA</v>
      </c>
      <c r="G3326" t="s">
        <v>19</v>
      </c>
      <c r="H3326" t="s">
        <v>20</v>
      </c>
      <c r="I3326" s="1">
        <v>45694</v>
      </c>
      <c r="J3326" s="1">
        <v>46040</v>
      </c>
      <c r="K3326" s="1">
        <v>46041</v>
      </c>
      <c r="L3326">
        <v>34</v>
      </c>
      <c r="M3326">
        <v>511.79</v>
      </c>
      <c r="N3326">
        <v>511.79</v>
      </c>
      <c r="O3326">
        <v>0</v>
      </c>
      <c r="P3326">
        <v>0</v>
      </c>
      <c r="Q3326" t="s">
        <v>3145</v>
      </c>
    </row>
    <row r="3327" spans="1:17">
      <c r="A3327" t="s">
        <v>3089</v>
      </c>
      <c r="B3327" t="s">
        <v>3132</v>
      </c>
      <c r="C3327" t="s">
        <v>3133</v>
      </c>
      <c r="D3327" t="s">
        <v>3146</v>
      </c>
      <c r="E3327">
        <v>6</v>
      </c>
      <c r="F3327" t="str">
        <f>VLOOKUP(E3327,[1]LOJA!$A:$B,2,0)</f>
        <v>GAMA</v>
      </c>
      <c r="G3327" t="s">
        <v>19</v>
      </c>
      <c r="H3327" t="s">
        <v>20</v>
      </c>
      <c r="I3327" s="1">
        <v>45694</v>
      </c>
      <c r="J3327" s="1">
        <v>46040</v>
      </c>
      <c r="K3327" s="1">
        <v>46041</v>
      </c>
      <c r="L3327">
        <v>31</v>
      </c>
      <c r="M3327">
        <v>359.65</v>
      </c>
      <c r="N3327">
        <v>359.65</v>
      </c>
      <c r="O3327">
        <v>0</v>
      </c>
      <c r="P3327">
        <v>0</v>
      </c>
      <c r="Q3327" t="s">
        <v>3147</v>
      </c>
    </row>
    <row r="3328" spans="1:17">
      <c r="A3328" t="s">
        <v>3089</v>
      </c>
      <c r="B3328" t="s">
        <v>3132</v>
      </c>
      <c r="C3328" t="s">
        <v>3099</v>
      </c>
      <c r="D3328" t="s">
        <v>3148</v>
      </c>
      <c r="E3328">
        <v>8</v>
      </c>
      <c r="F3328" t="str">
        <f>VLOOKUP(E3328,[1]LOJA!$A:$B,2,0)</f>
        <v>LUZIÂNIA</v>
      </c>
      <c r="G3328" t="s">
        <v>19</v>
      </c>
      <c r="H3328" t="s">
        <v>20</v>
      </c>
      <c r="I3328" s="1">
        <v>45694</v>
      </c>
      <c r="J3328" s="1">
        <v>46022</v>
      </c>
      <c r="K3328" s="1">
        <v>46024</v>
      </c>
      <c r="L3328">
        <v>18</v>
      </c>
      <c r="M3328">
        <v>884.13</v>
      </c>
      <c r="N3328">
        <v>884.13</v>
      </c>
      <c r="O3328">
        <v>0</v>
      </c>
      <c r="P3328">
        <v>0</v>
      </c>
      <c r="Q3328" t="s">
        <v>3149</v>
      </c>
    </row>
    <row r="3329" spans="1:17">
      <c r="A3329" t="s">
        <v>3089</v>
      </c>
      <c r="B3329" t="s">
        <v>3132</v>
      </c>
      <c r="C3329" t="s">
        <v>3133</v>
      </c>
      <c r="D3329" t="s">
        <v>3150</v>
      </c>
      <c r="E3329">
        <v>4</v>
      </c>
      <c r="F3329" t="str">
        <f>VLOOKUP(E3329,[1]LOJA!$A:$B,2,0)</f>
        <v>ADE</v>
      </c>
      <c r="G3329" t="s">
        <v>19</v>
      </c>
      <c r="H3329" t="s">
        <v>20</v>
      </c>
      <c r="I3329" s="1">
        <v>45848</v>
      </c>
      <c r="J3329" s="1">
        <v>46045</v>
      </c>
      <c r="K3329" s="1">
        <v>46045</v>
      </c>
      <c r="L3329">
        <v>17</v>
      </c>
      <c r="M3329">
        <v>395.12</v>
      </c>
      <c r="N3329">
        <v>395.12</v>
      </c>
      <c r="O3329">
        <v>0</v>
      </c>
      <c r="P3329">
        <v>0</v>
      </c>
      <c r="Q3329" t="s">
        <v>3151</v>
      </c>
    </row>
    <row r="3330" spans="1:17">
      <c r="A3330" t="s">
        <v>3089</v>
      </c>
      <c r="B3330" t="s">
        <v>3132</v>
      </c>
      <c r="C3330" t="s">
        <v>3133</v>
      </c>
      <c r="D3330" t="s">
        <v>3152</v>
      </c>
      <c r="E3330">
        <v>12</v>
      </c>
      <c r="F3330" t="str">
        <f>VLOOKUP(E3330,[1]LOJA!$A:$B,2,0)</f>
        <v>SOFNORTE</v>
      </c>
      <c r="G3330" t="s">
        <v>19</v>
      </c>
      <c r="H3330" t="s">
        <v>20</v>
      </c>
      <c r="I3330" s="1">
        <v>46031</v>
      </c>
      <c r="J3330" s="1">
        <v>46032</v>
      </c>
      <c r="K3330" s="1">
        <v>46034</v>
      </c>
      <c r="L3330">
        <v>33</v>
      </c>
      <c r="M3330">
        <v>636.94000000000005</v>
      </c>
      <c r="N3330">
        <v>636.94000000000005</v>
      </c>
      <c r="O3330">
        <v>0</v>
      </c>
      <c r="P3330">
        <v>0</v>
      </c>
      <c r="Q3330" t="s">
        <v>3143</v>
      </c>
    </row>
    <row r="3331" spans="1:17">
      <c r="A3331" t="s">
        <v>3089</v>
      </c>
      <c r="B3331" t="s">
        <v>3132</v>
      </c>
      <c r="C3331" t="s">
        <v>3133</v>
      </c>
      <c r="D3331" t="s">
        <v>3153</v>
      </c>
      <c r="E3331">
        <v>13</v>
      </c>
      <c r="F3331" t="str">
        <f>VLOOKUP(E3331,[1]LOJA!$A:$B,2,0)</f>
        <v>CEILÂNDIA</v>
      </c>
      <c r="G3331" t="s">
        <v>19</v>
      </c>
      <c r="H3331" t="s">
        <v>20</v>
      </c>
      <c r="I3331" s="1">
        <v>46035</v>
      </c>
      <c r="J3331" s="1">
        <v>46040</v>
      </c>
      <c r="K3331" s="1">
        <v>46041</v>
      </c>
      <c r="L3331">
        <v>34</v>
      </c>
      <c r="M3331">
        <v>98.31</v>
      </c>
      <c r="N3331">
        <v>98.31</v>
      </c>
      <c r="O3331">
        <v>0</v>
      </c>
      <c r="P3331">
        <v>0</v>
      </c>
      <c r="Q3331" t="s">
        <v>3154</v>
      </c>
    </row>
    <row r="3332" spans="1:17">
      <c r="A3332" t="s">
        <v>3089</v>
      </c>
      <c r="B3332" t="s">
        <v>3132</v>
      </c>
      <c r="C3332" t="s">
        <v>3133</v>
      </c>
      <c r="D3332" t="s">
        <v>3155</v>
      </c>
      <c r="E3332">
        <v>13</v>
      </c>
      <c r="F3332" t="str">
        <f>VLOOKUP(E3332,[1]LOJA!$A:$B,2,0)</f>
        <v>CEILÂNDIA</v>
      </c>
      <c r="G3332" t="s">
        <v>19</v>
      </c>
      <c r="H3332" t="s">
        <v>20</v>
      </c>
      <c r="I3332" s="1">
        <v>46035</v>
      </c>
      <c r="J3332" s="1">
        <v>46035</v>
      </c>
      <c r="K3332" s="1">
        <v>46035</v>
      </c>
      <c r="L3332">
        <v>35</v>
      </c>
      <c r="M3332">
        <v>150.61000000000001</v>
      </c>
      <c r="N3332">
        <v>150.61000000000001</v>
      </c>
      <c r="O3332">
        <v>0</v>
      </c>
      <c r="P3332">
        <v>0</v>
      </c>
      <c r="Q3332" t="s">
        <v>3156</v>
      </c>
    </row>
    <row r="3333" spans="1:17">
      <c r="A3333" t="s">
        <v>3089</v>
      </c>
      <c r="B3333" t="s">
        <v>3157</v>
      </c>
      <c r="C3333" t="s">
        <v>3158</v>
      </c>
      <c r="D3333" t="s">
        <v>3159</v>
      </c>
      <c r="E3333">
        <v>22</v>
      </c>
      <c r="F3333" t="str">
        <f>VLOOKUP(E3333,[1]LOJA!$A:$B,2,0)</f>
        <v>GUARÁ</v>
      </c>
      <c r="G3333" t="s">
        <v>19</v>
      </c>
      <c r="H3333" t="s">
        <v>20</v>
      </c>
      <c r="I3333" s="1">
        <v>46032</v>
      </c>
      <c r="J3333" s="1">
        <v>46032</v>
      </c>
      <c r="K3333" s="1">
        <v>46034</v>
      </c>
      <c r="L3333">
        <v>38</v>
      </c>
      <c r="M3333">
        <v>100.29</v>
      </c>
      <c r="N3333">
        <v>100.29</v>
      </c>
      <c r="O3333">
        <v>0</v>
      </c>
      <c r="P3333">
        <v>0</v>
      </c>
      <c r="Q3333" t="s">
        <v>3160</v>
      </c>
    </row>
    <row r="3334" spans="1:17">
      <c r="A3334" t="s">
        <v>3089</v>
      </c>
      <c r="B3334" t="s">
        <v>3157</v>
      </c>
      <c r="C3334" t="s">
        <v>3158</v>
      </c>
      <c r="D3334" t="s">
        <v>3161</v>
      </c>
      <c r="E3334">
        <v>12</v>
      </c>
      <c r="F3334" t="str">
        <f>VLOOKUP(E3334,[1]LOJA!$A:$B,2,0)</f>
        <v>SOFNORTE</v>
      </c>
      <c r="G3334" t="s">
        <v>19</v>
      </c>
      <c r="H3334" t="s">
        <v>20</v>
      </c>
      <c r="I3334" s="1">
        <v>46032</v>
      </c>
      <c r="J3334" s="1">
        <v>46032</v>
      </c>
      <c r="K3334" s="1">
        <v>46034</v>
      </c>
      <c r="L3334">
        <v>33</v>
      </c>
      <c r="M3334">
        <v>148.44</v>
      </c>
      <c r="N3334">
        <v>148.44</v>
      </c>
      <c r="O3334">
        <v>0</v>
      </c>
      <c r="P3334">
        <v>0</v>
      </c>
      <c r="Q3334" t="s">
        <v>3162</v>
      </c>
    </row>
    <row r="3335" spans="1:17">
      <c r="A3335" t="s">
        <v>3089</v>
      </c>
      <c r="B3335" t="s">
        <v>3157</v>
      </c>
      <c r="C3335" t="s">
        <v>3158</v>
      </c>
      <c r="D3335" t="s">
        <v>3163</v>
      </c>
      <c r="E3335">
        <v>13</v>
      </c>
      <c r="F3335" t="str">
        <f>VLOOKUP(E3335,[1]LOJA!$A:$B,2,0)</f>
        <v>CEILÂNDIA</v>
      </c>
      <c r="G3335" t="s">
        <v>19</v>
      </c>
      <c r="H3335" t="s">
        <v>20</v>
      </c>
      <c r="I3335" s="1">
        <v>46032</v>
      </c>
      <c r="J3335" s="1">
        <v>46032</v>
      </c>
      <c r="K3335" s="1">
        <v>46034</v>
      </c>
      <c r="L3335">
        <v>34</v>
      </c>
      <c r="M3335">
        <v>100.29</v>
      </c>
      <c r="N3335">
        <v>100.29</v>
      </c>
      <c r="O3335">
        <v>0</v>
      </c>
      <c r="P3335">
        <v>0</v>
      </c>
      <c r="Q3335" t="s">
        <v>3162</v>
      </c>
    </row>
    <row r="3336" spans="1:17">
      <c r="A3336" t="s">
        <v>3089</v>
      </c>
      <c r="B3336" t="s">
        <v>3157</v>
      </c>
      <c r="C3336" t="s">
        <v>3158</v>
      </c>
      <c r="D3336" t="s">
        <v>3164</v>
      </c>
      <c r="E3336">
        <v>6</v>
      </c>
      <c r="F3336" t="str">
        <f>VLOOKUP(E3336,[1]LOJA!$A:$B,2,0)</f>
        <v>GAMA</v>
      </c>
      <c r="G3336" t="s">
        <v>19</v>
      </c>
      <c r="H3336" t="s">
        <v>20</v>
      </c>
      <c r="I3336" s="1">
        <v>46037</v>
      </c>
      <c r="J3336" s="1">
        <v>46037</v>
      </c>
      <c r="K3336" s="1">
        <v>46037</v>
      </c>
      <c r="L3336">
        <v>31</v>
      </c>
      <c r="M3336">
        <v>100.29</v>
      </c>
      <c r="N3336">
        <v>100.29</v>
      </c>
      <c r="O3336">
        <v>0</v>
      </c>
      <c r="P3336">
        <v>0</v>
      </c>
      <c r="Q3336" t="s">
        <v>3162</v>
      </c>
    </row>
    <row r="3337" spans="1:17">
      <c r="A3337" t="s">
        <v>3089</v>
      </c>
      <c r="B3337" t="s">
        <v>3157</v>
      </c>
      <c r="C3337" t="s">
        <v>56</v>
      </c>
      <c r="D3337" t="s">
        <v>3165</v>
      </c>
      <c r="E3337">
        <v>8</v>
      </c>
      <c r="F3337" t="str">
        <f>VLOOKUP(E3337,[1]LOJA!$A:$B,2,0)</f>
        <v>LUZIÂNIA</v>
      </c>
      <c r="G3337" t="s">
        <v>19</v>
      </c>
      <c r="H3337" t="s">
        <v>20</v>
      </c>
      <c r="I3337" s="1">
        <v>46019</v>
      </c>
      <c r="J3337" s="1">
        <v>46023</v>
      </c>
      <c r="K3337" s="1">
        <v>46024</v>
      </c>
      <c r="L3337">
        <v>18</v>
      </c>
      <c r="M3337">
        <v>104.44</v>
      </c>
      <c r="N3337">
        <v>104.44</v>
      </c>
      <c r="O3337">
        <v>0</v>
      </c>
      <c r="P3337">
        <v>0</v>
      </c>
      <c r="Q3337" t="s">
        <v>3166</v>
      </c>
    </row>
    <row r="3338" spans="1:17">
      <c r="A3338" t="s">
        <v>3089</v>
      </c>
      <c r="B3338" t="s">
        <v>3157</v>
      </c>
      <c r="C3338" t="s">
        <v>3167</v>
      </c>
      <c r="D3338" t="s">
        <v>3168</v>
      </c>
      <c r="E3338">
        <v>13</v>
      </c>
      <c r="F3338" t="str">
        <f>VLOOKUP(E3338,[1]LOJA!$A:$B,2,0)</f>
        <v>CEILÂNDIA</v>
      </c>
      <c r="G3338" t="s">
        <v>19</v>
      </c>
      <c r="H3338" t="s">
        <v>20</v>
      </c>
      <c r="I3338" s="1">
        <v>45659</v>
      </c>
      <c r="J3338" s="1">
        <v>46033</v>
      </c>
      <c r="K3338" s="1">
        <v>46034</v>
      </c>
      <c r="L3338">
        <v>34</v>
      </c>
      <c r="M3338">
        <v>131.24</v>
      </c>
      <c r="N3338">
        <v>131.24</v>
      </c>
      <c r="O3338">
        <v>0</v>
      </c>
      <c r="P3338">
        <v>0</v>
      </c>
      <c r="Q3338" t="s">
        <v>3169</v>
      </c>
    </row>
    <row r="3339" spans="1:17">
      <c r="A3339" t="s">
        <v>3089</v>
      </c>
      <c r="B3339" t="s">
        <v>3157</v>
      </c>
      <c r="C3339" t="s">
        <v>3158</v>
      </c>
      <c r="D3339" t="s">
        <v>3170</v>
      </c>
      <c r="E3339">
        <v>4</v>
      </c>
      <c r="F3339" t="str">
        <f>VLOOKUP(E3339,[1]LOJA!$A:$B,2,0)</f>
        <v>ADE</v>
      </c>
      <c r="G3339" t="s">
        <v>19</v>
      </c>
      <c r="H3339" t="s">
        <v>20</v>
      </c>
      <c r="I3339" s="1">
        <v>45694</v>
      </c>
      <c r="J3339" s="1">
        <v>46042</v>
      </c>
      <c r="K3339" s="1">
        <v>46042</v>
      </c>
      <c r="L3339">
        <v>17</v>
      </c>
      <c r="M3339">
        <v>100.29</v>
      </c>
      <c r="N3339">
        <v>100.29</v>
      </c>
      <c r="O3339">
        <v>0</v>
      </c>
      <c r="P3339">
        <v>0</v>
      </c>
      <c r="Q3339">
        <f>-11/24</f>
        <v>-0.45833333333333331</v>
      </c>
    </row>
    <row r="3340" spans="1:17">
      <c r="A3340" t="s">
        <v>3089</v>
      </c>
      <c r="B3340" t="s">
        <v>3157</v>
      </c>
      <c r="C3340" t="s">
        <v>56</v>
      </c>
      <c r="D3340" t="s">
        <v>3171</v>
      </c>
      <c r="E3340">
        <v>15</v>
      </c>
      <c r="F3340" t="str">
        <f>VLOOKUP(E3340,[1]LOJA!$A:$B,2,0)</f>
        <v>UNAÍ</v>
      </c>
      <c r="G3340" t="s">
        <v>19</v>
      </c>
      <c r="H3340" t="s">
        <v>20</v>
      </c>
      <c r="I3340" s="1">
        <v>45729</v>
      </c>
      <c r="J3340" s="1">
        <v>46032</v>
      </c>
      <c r="K3340" s="1">
        <v>46034</v>
      </c>
      <c r="L3340">
        <v>36</v>
      </c>
      <c r="M3340">
        <v>89.9</v>
      </c>
      <c r="N3340">
        <v>89.9</v>
      </c>
      <c r="O3340">
        <v>0</v>
      </c>
      <c r="P3340">
        <v>0</v>
      </c>
      <c r="Q3340" t="s">
        <v>3172</v>
      </c>
    </row>
    <row r="3341" spans="1:17">
      <c r="A3341" t="s">
        <v>3089</v>
      </c>
      <c r="B3341" t="s">
        <v>3173</v>
      </c>
      <c r="C3341" t="s">
        <v>3174</v>
      </c>
      <c r="D3341" t="s">
        <v>3175</v>
      </c>
      <c r="E3341">
        <v>14</v>
      </c>
      <c r="F3341" t="str">
        <f>VLOOKUP(E3341,[1]LOJA!$A:$B,2,0)</f>
        <v>S IA</v>
      </c>
      <c r="G3341" t="s">
        <v>19</v>
      </c>
      <c r="H3341" t="s">
        <v>19</v>
      </c>
      <c r="I3341" s="1">
        <v>46049</v>
      </c>
      <c r="J3341" s="1">
        <v>46049</v>
      </c>
      <c r="K3341" s="1">
        <v>46049</v>
      </c>
      <c r="L3341">
        <v>3</v>
      </c>
      <c r="M3341">
        <v>56.95</v>
      </c>
      <c r="N3341">
        <v>56.95</v>
      </c>
      <c r="O3341">
        <v>0</v>
      </c>
      <c r="P3341">
        <v>0</v>
      </c>
      <c r="Q3341" t="s">
        <v>3176</v>
      </c>
    </row>
    <row r="3342" spans="1:17">
      <c r="A3342" t="s">
        <v>3089</v>
      </c>
      <c r="B3342" t="s">
        <v>3173</v>
      </c>
      <c r="C3342" t="s">
        <v>3174</v>
      </c>
      <c r="D3342" t="s">
        <v>3177</v>
      </c>
      <c r="E3342">
        <v>24</v>
      </c>
      <c r="F3342" t="str">
        <f>VLOOKUP(E3342,[1]LOJA!$A:$B,2,0)</f>
        <v>LUZIÂNIA</v>
      </c>
      <c r="G3342" t="s">
        <v>19</v>
      </c>
      <c r="H3342" t="s">
        <v>19</v>
      </c>
      <c r="I3342" s="1">
        <v>46044</v>
      </c>
      <c r="J3342" s="1">
        <v>46044</v>
      </c>
      <c r="K3342" s="1">
        <v>46044</v>
      </c>
      <c r="L3342">
        <v>3</v>
      </c>
      <c r="M3342">
        <v>59.99</v>
      </c>
      <c r="N3342">
        <v>59.99</v>
      </c>
      <c r="O3342">
        <v>0</v>
      </c>
      <c r="P3342">
        <v>0</v>
      </c>
      <c r="Q3342" t="s">
        <v>3178</v>
      </c>
    </row>
    <row r="3343" spans="1:17">
      <c r="A3343" t="s">
        <v>3089</v>
      </c>
      <c r="B3343" t="s">
        <v>3173</v>
      </c>
      <c r="C3343" t="s">
        <v>3174</v>
      </c>
      <c r="D3343" t="s">
        <v>3179</v>
      </c>
      <c r="E3343">
        <v>24</v>
      </c>
      <c r="F3343" t="str">
        <f>VLOOKUP(E3343,[1]LOJA!$A:$B,2,0)</f>
        <v>LUZIÂNIA</v>
      </c>
      <c r="G3343" t="s">
        <v>19</v>
      </c>
      <c r="H3343" t="s">
        <v>19</v>
      </c>
      <c r="I3343" s="1">
        <v>46044</v>
      </c>
      <c r="J3343" s="1">
        <v>46044</v>
      </c>
      <c r="K3343" s="1">
        <v>46044</v>
      </c>
      <c r="L3343">
        <v>3</v>
      </c>
      <c r="M3343">
        <v>63</v>
      </c>
      <c r="N3343">
        <v>63</v>
      </c>
      <c r="O3343">
        <v>0</v>
      </c>
      <c r="P3343">
        <v>0</v>
      </c>
      <c r="Q3343" t="s">
        <v>3180</v>
      </c>
    </row>
    <row r="3344" spans="1:17">
      <c r="A3344" t="s">
        <v>3089</v>
      </c>
      <c r="B3344" t="s">
        <v>3181</v>
      </c>
      <c r="C3344" t="s">
        <v>3182</v>
      </c>
      <c r="D3344" t="s">
        <v>3183</v>
      </c>
      <c r="E3344">
        <v>6</v>
      </c>
      <c r="F3344" t="str">
        <f>VLOOKUP(E3344,[1]LOJA!$A:$B,2,0)</f>
        <v>GAMA</v>
      </c>
      <c r="G3344" t="s">
        <v>19</v>
      </c>
      <c r="H3344" t="s">
        <v>20</v>
      </c>
      <c r="I3344" s="1">
        <v>45694</v>
      </c>
      <c r="J3344" s="1">
        <v>46030</v>
      </c>
      <c r="K3344" s="1">
        <v>46030</v>
      </c>
      <c r="L3344">
        <v>31</v>
      </c>
      <c r="M3344">
        <v>229.87</v>
      </c>
      <c r="N3344">
        <v>229.87</v>
      </c>
      <c r="O3344">
        <v>0</v>
      </c>
      <c r="P3344">
        <v>0</v>
      </c>
      <c r="Q3344" t="s">
        <v>3184</v>
      </c>
    </row>
    <row r="3345" spans="1:17">
      <c r="A3345" t="s">
        <v>3089</v>
      </c>
      <c r="B3345" t="s">
        <v>3185</v>
      </c>
      <c r="C3345" t="s">
        <v>56</v>
      </c>
      <c r="D3345" t="s">
        <v>3186</v>
      </c>
      <c r="E3345">
        <v>13</v>
      </c>
      <c r="F3345" t="str">
        <f>VLOOKUP(E3345,[1]LOJA!$A:$B,2,0)</f>
        <v>CEILÂNDIA</v>
      </c>
      <c r="G3345" t="s">
        <v>19</v>
      </c>
      <c r="H3345" t="s">
        <v>20</v>
      </c>
      <c r="I3345" s="1">
        <v>46000</v>
      </c>
      <c r="J3345" s="1">
        <v>46024</v>
      </c>
      <c r="K3345" s="1">
        <v>46024</v>
      </c>
      <c r="L3345">
        <v>35</v>
      </c>
      <c r="M3345">
        <v>794.97</v>
      </c>
      <c r="N3345">
        <v>794.97</v>
      </c>
      <c r="O3345">
        <v>0</v>
      </c>
      <c r="P3345">
        <v>0</v>
      </c>
      <c r="Q3345" t="s">
        <v>3187</v>
      </c>
    </row>
    <row r="3346" spans="1:17">
      <c r="A3346" t="s">
        <v>3089</v>
      </c>
      <c r="B3346" t="s">
        <v>3185</v>
      </c>
      <c r="C3346" t="s">
        <v>3188</v>
      </c>
      <c r="D3346" t="s">
        <v>3189</v>
      </c>
      <c r="E3346">
        <v>4</v>
      </c>
      <c r="F3346" t="str">
        <f>VLOOKUP(E3346,[1]LOJA!$A:$B,2,0)</f>
        <v>ADE</v>
      </c>
      <c r="G3346" t="s">
        <v>19</v>
      </c>
      <c r="H3346" t="s">
        <v>20</v>
      </c>
      <c r="I3346" s="1">
        <v>45987</v>
      </c>
      <c r="J3346" s="1">
        <v>46042</v>
      </c>
      <c r="K3346" s="1">
        <v>46042</v>
      </c>
      <c r="L3346">
        <v>17</v>
      </c>
      <c r="M3346">
        <v>338.65</v>
      </c>
      <c r="N3346">
        <v>338.65</v>
      </c>
      <c r="O3346">
        <v>0</v>
      </c>
      <c r="P3346">
        <v>0</v>
      </c>
      <c r="Q3346">
        <f>-2/2</f>
        <v>-1</v>
      </c>
    </row>
    <row r="3347" spans="1:17">
      <c r="A3347" t="s">
        <v>3089</v>
      </c>
      <c r="B3347" t="s">
        <v>3190</v>
      </c>
      <c r="C3347" t="s">
        <v>3167</v>
      </c>
      <c r="D3347" t="s">
        <v>3191</v>
      </c>
      <c r="E3347">
        <v>16</v>
      </c>
      <c r="F3347" t="str">
        <f>VLOOKUP(E3347,[1]LOJA!$A:$B,2,0)</f>
        <v>AG LINDAS</v>
      </c>
      <c r="G3347" t="s">
        <v>19</v>
      </c>
      <c r="H3347" t="s">
        <v>20</v>
      </c>
      <c r="I3347" s="1">
        <v>45659</v>
      </c>
      <c r="J3347" s="1">
        <v>46046</v>
      </c>
      <c r="K3347" s="1">
        <v>46048</v>
      </c>
      <c r="L3347">
        <v>22</v>
      </c>
      <c r="M3347">
        <v>155.13999999999999</v>
      </c>
      <c r="N3347">
        <v>155.13999999999999</v>
      </c>
      <c r="O3347">
        <v>0</v>
      </c>
      <c r="P3347">
        <v>0</v>
      </c>
      <c r="Q3347" t="s">
        <v>3192</v>
      </c>
    </row>
    <row r="3348" spans="1:17">
      <c r="A3348" t="s">
        <v>3089</v>
      </c>
      <c r="B3348" t="s">
        <v>3193</v>
      </c>
      <c r="C3348" t="s">
        <v>3174</v>
      </c>
      <c r="D3348" t="s">
        <v>3194</v>
      </c>
      <c r="E3348">
        <v>14</v>
      </c>
      <c r="F3348" t="str">
        <f>VLOOKUP(E3348,[1]LOJA!$A:$B,2,0)</f>
        <v>S IA</v>
      </c>
      <c r="G3348" t="s">
        <v>19</v>
      </c>
      <c r="H3348" t="s">
        <v>19</v>
      </c>
      <c r="I3348" s="1">
        <v>46050</v>
      </c>
      <c r="J3348" s="1">
        <v>46050</v>
      </c>
      <c r="K3348" s="1">
        <v>46050</v>
      </c>
      <c r="L3348">
        <v>3</v>
      </c>
      <c r="M3348">
        <v>40</v>
      </c>
      <c r="N3348">
        <v>40</v>
      </c>
      <c r="O3348">
        <v>0</v>
      </c>
      <c r="P3348">
        <v>0</v>
      </c>
      <c r="Q3348" t="s">
        <v>3195</v>
      </c>
    </row>
    <row r="3349" spans="1:17">
      <c r="A3349" t="s">
        <v>3089</v>
      </c>
      <c r="B3349" t="s">
        <v>3193</v>
      </c>
      <c r="C3349" t="s">
        <v>3196</v>
      </c>
      <c r="D3349" t="s">
        <v>3197</v>
      </c>
      <c r="E3349">
        <v>1</v>
      </c>
      <c r="F3349" t="str">
        <f>VLOOKUP(E3349,[1]LOJA!$A:$B,2,0)</f>
        <v>GUARÁ</v>
      </c>
      <c r="G3349" t="s">
        <v>19</v>
      </c>
      <c r="H3349" t="s">
        <v>20</v>
      </c>
      <c r="I3349" s="1">
        <v>45659</v>
      </c>
      <c r="J3349" s="1">
        <v>46037</v>
      </c>
      <c r="K3349" s="1">
        <v>46037</v>
      </c>
      <c r="L3349">
        <v>23</v>
      </c>
      <c r="M3349">
        <v>502.35</v>
      </c>
      <c r="N3349">
        <v>502.35</v>
      </c>
      <c r="O3349">
        <v>0</v>
      </c>
      <c r="P3349">
        <v>0</v>
      </c>
      <c r="Q3349" t="s">
        <v>3198</v>
      </c>
    </row>
    <row r="3350" spans="1:17">
      <c r="A3350" t="s">
        <v>3089</v>
      </c>
      <c r="B3350" t="s">
        <v>3193</v>
      </c>
      <c r="C3350" t="s">
        <v>3196</v>
      </c>
      <c r="D3350" t="s">
        <v>3197</v>
      </c>
      <c r="E3350">
        <v>4</v>
      </c>
      <c r="F3350" t="str">
        <f>VLOOKUP(E3350,[1]LOJA!$A:$B,2,0)</f>
        <v>ADE</v>
      </c>
      <c r="G3350" t="s">
        <v>19</v>
      </c>
      <c r="H3350" t="s">
        <v>20</v>
      </c>
      <c r="I3350" s="1">
        <v>45659</v>
      </c>
      <c r="J3350" s="1">
        <v>46037</v>
      </c>
      <c r="K3350" s="1">
        <v>46037</v>
      </c>
      <c r="L3350">
        <v>23</v>
      </c>
      <c r="M3350" s="2">
        <v>1192.2</v>
      </c>
      <c r="N3350" s="2">
        <v>1192.2</v>
      </c>
      <c r="O3350">
        <v>0</v>
      </c>
      <c r="P3350">
        <v>0</v>
      </c>
      <c r="Q3350" t="s">
        <v>3198</v>
      </c>
    </row>
    <row r="3351" spans="1:17">
      <c r="A3351" t="s">
        <v>3089</v>
      </c>
      <c r="B3351" t="s">
        <v>3193</v>
      </c>
      <c r="C3351" t="s">
        <v>3196</v>
      </c>
      <c r="D3351" t="s">
        <v>3197</v>
      </c>
      <c r="E3351">
        <v>6</v>
      </c>
      <c r="F3351" t="str">
        <f>VLOOKUP(E3351,[1]LOJA!$A:$B,2,0)</f>
        <v>GAMA</v>
      </c>
      <c r="G3351" t="s">
        <v>19</v>
      </c>
      <c r="H3351" t="s">
        <v>20</v>
      </c>
      <c r="I3351" s="1">
        <v>45659</v>
      </c>
      <c r="J3351" s="1">
        <v>46037</v>
      </c>
      <c r="K3351" s="1">
        <v>46037</v>
      </c>
      <c r="L3351">
        <v>23</v>
      </c>
      <c r="M3351">
        <v>0</v>
      </c>
      <c r="N3351">
        <v>0</v>
      </c>
      <c r="O3351">
        <v>0</v>
      </c>
      <c r="P3351">
        <v>0</v>
      </c>
      <c r="Q3351" t="s">
        <v>3198</v>
      </c>
    </row>
    <row r="3352" spans="1:17">
      <c r="A3352" t="s">
        <v>3089</v>
      </c>
      <c r="B3352" t="s">
        <v>3193</v>
      </c>
      <c r="C3352" t="s">
        <v>3196</v>
      </c>
      <c r="D3352" t="s">
        <v>3197</v>
      </c>
      <c r="E3352">
        <v>8</v>
      </c>
      <c r="F3352" t="str">
        <f>VLOOKUP(E3352,[1]LOJA!$A:$B,2,0)</f>
        <v>LUZIÂNIA</v>
      </c>
      <c r="G3352" t="s">
        <v>19</v>
      </c>
      <c r="H3352" t="s">
        <v>20</v>
      </c>
      <c r="I3352" s="1">
        <v>45659</v>
      </c>
      <c r="J3352" s="1">
        <v>46037</v>
      </c>
      <c r="K3352" s="1">
        <v>46037</v>
      </c>
      <c r="L3352">
        <v>23</v>
      </c>
      <c r="M3352">
        <v>368.08</v>
      </c>
      <c r="N3352">
        <v>368.08</v>
      </c>
      <c r="O3352">
        <v>0</v>
      </c>
      <c r="P3352">
        <v>0</v>
      </c>
      <c r="Q3352" t="s">
        <v>3198</v>
      </c>
    </row>
    <row r="3353" spans="1:17">
      <c r="A3353" t="s">
        <v>3089</v>
      </c>
      <c r="B3353" t="s">
        <v>3193</v>
      </c>
      <c r="C3353" t="s">
        <v>3196</v>
      </c>
      <c r="D3353" t="s">
        <v>3197</v>
      </c>
      <c r="E3353">
        <v>12</v>
      </c>
      <c r="F3353" t="str">
        <f>VLOOKUP(E3353,[1]LOJA!$A:$B,2,0)</f>
        <v>SOFNORTE</v>
      </c>
      <c r="G3353" t="s">
        <v>19</v>
      </c>
      <c r="H3353" t="s">
        <v>20</v>
      </c>
      <c r="I3353" s="1">
        <v>45659</v>
      </c>
      <c r="J3353" s="1">
        <v>46037</v>
      </c>
      <c r="K3353" s="1">
        <v>46037</v>
      </c>
      <c r="L3353">
        <v>23</v>
      </c>
      <c r="M3353">
        <v>702.59</v>
      </c>
      <c r="N3353">
        <v>702.59</v>
      </c>
      <c r="O3353">
        <v>0</v>
      </c>
      <c r="P3353">
        <v>0</v>
      </c>
      <c r="Q3353" t="s">
        <v>3198</v>
      </c>
    </row>
    <row r="3354" spans="1:17">
      <c r="A3354" t="s">
        <v>3089</v>
      </c>
      <c r="B3354" t="s">
        <v>3193</v>
      </c>
      <c r="C3354" t="s">
        <v>3196</v>
      </c>
      <c r="D3354" t="s">
        <v>3197</v>
      </c>
      <c r="E3354">
        <v>13</v>
      </c>
      <c r="F3354" t="str">
        <f>VLOOKUP(E3354,[1]LOJA!$A:$B,2,0)</f>
        <v>CEILÂNDIA</v>
      </c>
      <c r="G3354" t="s">
        <v>19</v>
      </c>
      <c r="H3354" t="s">
        <v>20</v>
      </c>
      <c r="I3354" s="1">
        <v>45659</v>
      </c>
      <c r="J3354" s="1">
        <v>46037</v>
      </c>
      <c r="K3354" s="1">
        <v>46037</v>
      </c>
      <c r="L3354">
        <v>23</v>
      </c>
      <c r="M3354">
        <v>550.96</v>
      </c>
      <c r="N3354">
        <v>550.96</v>
      </c>
      <c r="O3354">
        <v>0</v>
      </c>
      <c r="P3354">
        <v>0</v>
      </c>
      <c r="Q3354" t="s">
        <v>3198</v>
      </c>
    </row>
    <row r="3355" spans="1:17">
      <c r="A3355" t="s">
        <v>3089</v>
      </c>
      <c r="B3355" t="s">
        <v>3193</v>
      </c>
      <c r="C3355" t="s">
        <v>3196</v>
      </c>
      <c r="D3355" t="s">
        <v>3197</v>
      </c>
      <c r="E3355">
        <v>14</v>
      </c>
      <c r="F3355" t="str">
        <f>VLOOKUP(E3355,[1]LOJA!$A:$B,2,0)</f>
        <v>S IA</v>
      </c>
      <c r="G3355" t="s">
        <v>19</v>
      </c>
      <c r="H3355" t="s">
        <v>20</v>
      </c>
      <c r="I3355" s="1">
        <v>45659</v>
      </c>
      <c r="J3355" s="1">
        <v>46037</v>
      </c>
      <c r="K3355" s="1">
        <v>46037</v>
      </c>
      <c r="L3355">
        <v>23</v>
      </c>
      <c r="M3355">
        <v>890.1</v>
      </c>
      <c r="N3355">
        <v>890.1</v>
      </c>
      <c r="O3355">
        <v>0</v>
      </c>
      <c r="P3355">
        <v>0</v>
      </c>
      <c r="Q3355" t="s">
        <v>3198</v>
      </c>
    </row>
    <row r="3356" spans="1:17">
      <c r="A3356" t="s">
        <v>3089</v>
      </c>
      <c r="B3356" t="s">
        <v>3193</v>
      </c>
      <c r="C3356" t="s">
        <v>3196</v>
      </c>
      <c r="D3356" t="s">
        <v>3197</v>
      </c>
      <c r="E3356">
        <v>15</v>
      </c>
      <c r="F3356" t="str">
        <f>VLOOKUP(E3356,[1]LOJA!$A:$B,2,0)</f>
        <v>UNAÍ</v>
      </c>
      <c r="G3356" t="s">
        <v>19</v>
      </c>
      <c r="H3356" t="s">
        <v>20</v>
      </c>
      <c r="I3356" s="1">
        <v>45659</v>
      </c>
      <c r="J3356" s="1">
        <v>46037</v>
      </c>
      <c r="K3356" s="1">
        <v>46037</v>
      </c>
      <c r="L3356">
        <v>23</v>
      </c>
      <c r="M3356">
        <v>0</v>
      </c>
      <c r="N3356">
        <v>0</v>
      </c>
      <c r="O3356">
        <v>0</v>
      </c>
      <c r="P3356">
        <v>0</v>
      </c>
      <c r="Q3356" t="s">
        <v>3198</v>
      </c>
    </row>
    <row r="3357" spans="1:17">
      <c r="A3357" t="s">
        <v>3089</v>
      </c>
      <c r="B3357" t="s">
        <v>3193</v>
      </c>
      <c r="C3357" t="s">
        <v>3196</v>
      </c>
      <c r="D3357" t="s">
        <v>3197</v>
      </c>
      <c r="E3357">
        <v>16</v>
      </c>
      <c r="F3357" t="str">
        <f>VLOOKUP(E3357,[1]LOJA!$A:$B,2,0)</f>
        <v>AG LINDAS</v>
      </c>
      <c r="G3357" t="s">
        <v>19</v>
      </c>
      <c r="H3357" t="s">
        <v>20</v>
      </c>
      <c r="I3357" s="1">
        <v>45659</v>
      </c>
      <c r="J3357" s="1">
        <v>46037</v>
      </c>
      <c r="K3357" s="1">
        <v>46037</v>
      </c>
      <c r="L3357">
        <v>23</v>
      </c>
      <c r="M3357">
        <v>0</v>
      </c>
      <c r="N3357">
        <v>0</v>
      </c>
      <c r="O3357">
        <v>0</v>
      </c>
      <c r="P3357">
        <v>0</v>
      </c>
      <c r="Q3357" t="s">
        <v>3198</v>
      </c>
    </row>
    <row r="3358" spans="1:17">
      <c r="A3358" t="s">
        <v>3089</v>
      </c>
      <c r="B3358" t="s">
        <v>3193</v>
      </c>
      <c r="C3358" t="s">
        <v>3196</v>
      </c>
      <c r="D3358" t="s">
        <v>3197</v>
      </c>
      <c r="E3358">
        <v>20</v>
      </c>
      <c r="F3358" t="str">
        <f>VLOOKUP(E3358,[1]LOJA!$A:$B,2,0)</f>
        <v>DAUTO SERVIÇOS</v>
      </c>
      <c r="G3358" t="s">
        <v>19</v>
      </c>
      <c r="H3358" t="s">
        <v>20</v>
      </c>
      <c r="I3358" s="1">
        <v>45659</v>
      </c>
      <c r="J3358" s="1">
        <v>46037</v>
      </c>
      <c r="K3358" s="1">
        <v>46037</v>
      </c>
      <c r="L3358">
        <v>23</v>
      </c>
      <c r="M3358">
        <v>0</v>
      </c>
      <c r="N3358">
        <v>0</v>
      </c>
      <c r="O3358">
        <v>0</v>
      </c>
      <c r="P3358">
        <v>0</v>
      </c>
      <c r="Q3358" t="s">
        <v>3198</v>
      </c>
    </row>
    <row r="3359" spans="1:17">
      <c r="A3359" t="s">
        <v>3089</v>
      </c>
      <c r="B3359" t="s">
        <v>3193</v>
      </c>
      <c r="C3359" t="s">
        <v>3199</v>
      </c>
      <c r="D3359" t="s">
        <v>3200</v>
      </c>
      <c r="E3359">
        <v>15</v>
      </c>
      <c r="F3359" t="str">
        <f>VLOOKUP(E3359,[1]LOJA!$A:$B,2,0)</f>
        <v>UNAÍ</v>
      </c>
      <c r="G3359" t="s">
        <v>19</v>
      </c>
      <c r="H3359" t="s">
        <v>20</v>
      </c>
      <c r="I3359" s="1">
        <v>46027</v>
      </c>
      <c r="J3359" s="1">
        <v>46034</v>
      </c>
      <c r="K3359" s="1">
        <v>46034</v>
      </c>
      <c r="L3359">
        <v>36</v>
      </c>
      <c r="M3359">
        <v>678.06</v>
      </c>
      <c r="N3359">
        <v>678.06</v>
      </c>
      <c r="O3359">
        <v>0</v>
      </c>
      <c r="P3359">
        <v>0</v>
      </c>
      <c r="Q3359">
        <f>-7/12</f>
        <v>-0.58333333333333337</v>
      </c>
    </row>
    <row r="3360" spans="1:17">
      <c r="A3360" t="s">
        <v>3089</v>
      </c>
      <c r="B3360" t="s">
        <v>3193</v>
      </c>
      <c r="C3360" t="s">
        <v>3199</v>
      </c>
      <c r="D3360" t="s">
        <v>3201</v>
      </c>
      <c r="E3360">
        <v>15</v>
      </c>
      <c r="F3360" t="str">
        <f>VLOOKUP(E3360,[1]LOJA!$A:$B,2,0)</f>
        <v>UNAÍ</v>
      </c>
      <c r="G3360" t="s">
        <v>19</v>
      </c>
      <c r="H3360" t="s">
        <v>20</v>
      </c>
      <c r="I3360" s="1">
        <v>45855</v>
      </c>
      <c r="J3360" s="1">
        <v>46045</v>
      </c>
      <c r="K3360" s="1">
        <v>46045</v>
      </c>
      <c r="L3360">
        <v>36</v>
      </c>
      <c r="M3360">
        <v>749.35</v>
      </c>
      <c r="N3360">
        <v>749.35</v>
      </c>
      <c r="O3360">
        <v>0</v>
      </c>
      <c r="P3360">
        <v>0</v>
      </c>
      <c r="Q3360">
        <f>-7/12</f>
        <v>-0.58333333333333337</v>
      </c>
    </row>
    <row r="3361" spans="1:17">
      <c r="A3361" t="s">
        <v>3089</v>
      </c>
      <c r="B3361" t="s">
        <v>3193</v>
      </c>
      <c r="C3361" t="s">
        <v>3202</v>
      </c>
      <c r="D3361" t="s">
        <v>3203</v>
      </c>
      <c r="E3361">
        <v>8</v>
      </c>
      <c r="F3361" t="str">
        <f>VLOOKUP(E3361,[1]LOJA!$A:$B,2,0)</f>
        <v>LUZIÂNIA</v>
      </c>
      <c r="G3361" t="s">
        <v>19</v>
      </c>
      <c r="H3361" t="s">
        <v>20</v>
      </c>
      <c r="I3361" s="1">
        <v>45855</v>
      </c>
      <c r="J3361" s="1">
        <v>46029</v>
      </c>
      <c r="K3361" s="1">
        <v>46029</v>
      </c>
      <c r="L3361">
        <v>18</v>
      </c>
      <c r="M3361" s="2">
        <v>2916.03</v>
      </c>
      <c r="N3361" s="2">
        <v>2916.03</v>
      </c>
      <c r="O3361">
        <v>0</v>
      </c>
      <c r="P3361">
        <v>0</v>
      </c>
      <c r="Q3361">
        <f>-6/12</f>
        <v>-0.5</v>
      </c>
    </row>
    <row r="3362" spans="1:17">
      <c r="A3362" t="s">
        <v>3089</v>
      </c>
      <c r="B3362" t="s">
        <v>3204</v>
      </c>
      <c r="C3362" t="s">
        <v>3091</v>
      </c>
      <c r="D3362" t="s">
        <v>3205</v>
      </c>
      <c r="E3362">
        <v>15</v>
      </c>
      <c r="F3362" t="str">
        <f>VLOOKUP(E3362,[1]LOJA!$A:$B,2,0)</f>
        <v>UNAÍ</v>
      </c>
      <c r="G3362" t="s">
        <v>19</v>
      </c>
      <c r="H3362" t="s">
        <v>19</v>
      </c>
      <c r="I3362" s="1">
        <v>46043</v>
      </c>
      <c r="J3362" s="1">
        <v>46043</v>
      </c>
      <c r="K3362" s="1">
        <v>46043</v>
      </c>
      <c r="L3362">
        <v>3</v>
      </c>
      <c r="M3362">
        <v>35</v>
      </c>
      <c r="N3362">
        <v>35</v>
      </c>
      <c r="O3362">
        <v>0</v>
      </c>
      <c r="P3362">
        <v>0</v>
      </c>
      <c r="Q3362" t="s">
        <v>3206</v>
      </c>
    </row>
    <row r="3363" spans="1:17">
      <c r="A3363" t="s">
        <v>3089</v>
      </c>
      <c r="B3363" t="s">
        <v>3207</v>
      </c>
      <c r="C3363" t="s">
        <v>56</v>
      </c>
      <c r="D3363" t="s">
        <v>3208</v>
      </c>
      <c r="E3363">
        <v>22</v>
      </c>
      <c r="F3363" t="str">
        <f>VLOOKUP(E3363,[1]LOJA!$A:$B,2,0)</f>
        <v>GUARÁ</v>
      </c>
      <c r="G3363" t="s">
        <v>19</v>
      </c>
      <c r="H3363" t="s">
        <v>20</v>
      </c>
      <c r="I3363" s="1">
        <v>46010</v>
      </c>
      <c r="J3363" s="1">
        <v>46030</v>
      </c>
      <c r="K3363" s="1">
        <v>46030</v>
      </c>
      <c r="L3363">
        <v>38</v>
      </c>
      <c r="M3363">
        <v>531.77</v>
      </c>
      <c r="N3363">
        <v>531.77</v>
      </c>
      <c r="O3363">
        <v>0</v>
      </c>
      <c r="P3363">
        <v>0</v>
      </c>
      <c r="Q3363" t="s">
        <v>3209</v>
      </c>
    </row>
    <row r="3364" spans="1:17">
      <c r="A3364" t="s">
        <v>3089</v>
      </c>
      <c r="B3364" t="s">
        <v>3210</v>
      </c>
      <c r="C3364" t="s">
        <v>3211</v>
      </c>
      <c r="D3364" t="s">
        <v>3212</v>
      </c>
      <c r="E3364">
        <v>4</v>
      </c>
      <c r="F3364" t="str">
        <f>VLOOKUP(E3364,[1]LOJA!$A:$B,2,0)</f>
        <v>ADE</v>
      </c>
      <c r="G3364" t="s">
        <v>19</v>
      </c>
      <c r="H3364" t="s">
        <v>19</v>
      </c>
      <c r="I3364" s="1">
        <v>46045</v>
      </c>
      <c r="J3364" s="1">
        <v>46045</v>
      </c>
      <c r="K3364" s="1">
        <v>46045</v>
      </c>
      <c r="L3364">
        <v>3</v>
      </c>
      <c r="M3364">
        <v>50</v>
      </c>
      <c r="N3364">
        <v>50</v>
      </c>
      <c r="O3364">
        <v>0</v>
      </c>
      <c r="P3364">
        <v>0</v>
      </c>
      <c r="Q3364" t="s">
        <v>3213</v>
      </c>
    </row>
    <row r="3365" spans="1:17">
      <c r="A3365" t="s">
        <v>3089</v>
      </c>
      <c r="B3365" t="s">
        <v>3214</v>
      </c>
      <c r="C3365" t="s">
        <v>3215</v>
      </c>
      <c r="D3365" t="s">
        <v>3216</v>
      </c>
      <c r="E3365">
        <v>1</v>
      </c>
      <c r="F3365" t="str">
        <f>VLOOKUP(E3365,[1]LOJA!$A:$B,2,0)</f>
        <v>GUARÁ</v>
      </c>
      <c r="G3365" t="s">
        <v>19</v>
      </c>
      <c r="H3365" t="s">
        <v>20</v>
      </c>
      <c r="I3365" s="1">
        <v>45660</v>
      </c>
      <c r="J3365" s="1">
        <v>46027</v>
      </c>
      <c r="K3365" s="1">
        <v>46027</v>
      </c>
      <c r="L3365">
        <v>23</v>
      </c>
      <c r="M3365" s="2">
        <v>1332.5</v>
      </c>
      <c r="N3365" s="2">
        <v>1332.5</v>
      </c>
      <c r="O3365">
        <v>0</v>
      </c>
      <c r="P3365">
        <v>0</v>
      </c>
      <c r="Q3365" t="s">
        <v>3217</v>
      </c>
    </row>
    <row r="3366" spans="1:17">
      <c r="A3366" t="s">
        <v>3089</v>
      </c>
      <c r="B3366" t="s">
        <v>3214</v>
      </c>
      <c r="C3366" t="s">
        <v>3215</v>
      </c>
      <c r="D3366" t="s">
        <v>3216</v>
      </c>
      <c r="E3366">
        <v>4</v>
      </c>
      <c r="F3366" t="str">
        <f>VLOOKUP(E3366,[1]LOJA!$A:$B,2,0)</f>
        <v>ADE</v>
      </c>
      <c r="G3366" t="s">
        <v>19</v>
      </c>
      <c r="H3366" t="s">
        <v>20</v>
      </c>
      <c r="I3366" s="1">
        <v>45660</v>
      </c>
      <c r="J3366" s="1">
        <v>46027</v>
      </c>
      <c r="K3366" s="1">
        <v>46027</v>
      </c>
      <c r="L3366">
        <v>23</v>
      </c>
      <c r="M3366" s="2">
        <v>1332.5</v>
      </c>
      <c r="N3366" s="2">
        <v>1332.5</v>
      </c>
      <c r="O3366">
        <v>0</v>
      </c>
      <c r="P3366">
        <v>0</v>
      </c>
      <c r="Q3366" t="s">
        <v>3217</v>
      </c>
    </row>
    <row r="3367" spans="1:17">
      <c r="A3367" t="s">
        <v>3089</v>
      </c>
      <c r="B3367" t="s">
        <v>3214</v>
      </c>
      <c r="C3367" t="s">
        <v>3215</v>
      </c>
      <c r="D3367" t="s">
        <v>3216</v>
      </c>
      <c r="E3367">
        <v>6</v>
      </c>
      <c r="F3367" t="str">
        <f>VLOOKUP(E3367,[1]LOJA!$A:$B,2,0)</f>
        <v>GAMA</v>
      </c>
      <c r="G3367" t="s">
        <v>19</v>
      </c>
      <c r="H3367" t="s">
        <v>20</v>
      </c>
      <c r="I3367" s="1">
        <v>45660</v>
      </c>
      <c r="J3367" s="1">
        <v>46027</v>
      </c>
      <c r="K3367" s="1">
        <v>46027</v>
      </c>
      <c r="L3367">
        <v>23</v>
      </c>
      <c r="M3367" s="2">
        <v>1332.5</v>
      </c>
      <c r="N3367" s="2">
        <v>1332.5</v>
      </c>
      <c r="O3367">
        <v>0</v>
      </c>
      <c r="P3367">
        <v>0</v>
      </c>
      <c r="Q3367" t="s">
        <v>3217</v>
      </c>
    </row>
    <row r="3368" spans="1:17">
      <c r="A3368" t="s">
        <v>3089</v>
      </c>
      <c r="B3368" t="s">
        <v>3214</v>
      </c>
      <c r="C3368" t="s">
        <v>3215</v>
      </c>
      <c r="D3368" t="s">
        <v>3216</v>
      </c>
      <c r="E3368">
        <v>8</v>
      </c>
      <c r="F3368" t="str">
        <f>VLOOKUP(E3368,[1]LOJA!$A:$B,2,0)</f>
        <v>LUZIÂNIA</v>
      </c>
      <c r="G3368" t="s">
        <v>19</v>
      </c>
      <c r="H3368" t="s">
        <v>20</v>
      </c>
      <c r="I3368" s="1">
        <v>45660</v>
      </c>
      <c r="J3368" s="1">
        <v>46027</v>
      </c>
      <c r="K3368" s="1">
        <v>46027</v>
      </c>
      <c r="L3368">
        <v>23</v>
      </c>
      <c r="M3368" s="2">
        <v>1332.5</v>
      </c>
      <c r="N3368" s="2">
        <v>1332.5</v>
      </c>
      <c r="O3368">
        <v>0</v>
      </c>
      <c r="P3368">
        <v>0</v>
      </c>
      <c r="Q3368" t="s">
        <v>3217</v>
      </c>
    </row>
    <row r="3369" spans="1:17">
      <c r="A3369" t="s">
        <v>3089</v>
      </c>
      <c r="B3369" t="s">
        <v>3214</v>
      </c>
      <c r="C3369" t="s">
        <v>3215</v>
      </c>
      <c r="D3369" t="s">
        <v>3216</v>
      </c>
      <c r="E3369">
        <v>12</v>
      </c>
      <c r="F3369" t="str">
        <f>VLOOKUP(E3369,[1]LOJA!$A:$B,2,0)</f>
        <v>SOFNORTE</v>
      </c>
      <c r="G3369" t="s">
        <v>19</v>
      </c>
      <c r="H3369" t="s">
        <v>20</v>
      </c>
      <c r="I3369" s="1">
        <v>45660</v>
      </c>
      <c r="J3369" s="1">
        <v>46027</v>
      </c>
      <c r="K3369" s="1">
        <v>46027</v>
      </c>
      <c r="L3369">
        <v>23</v>
      </c>
      <c r="M3369" s="2">
        <v>1332.5</v>
      </c>
      <c r="N3369" s="2">
        <v>1332.5</v>
      </c>
      <c r="O3369">
        <v>0</v>
      </c>
      <c r="P3369">
        <v>0</v>
      </c>
      <c r="Q3369" t="s">
        <v>3217</v>
      </c>
    </row>
    <row r="3370" spans="1:17">
      <c r="A3370" t="s">
        <v>3089</v>
      </c>
      <c r="B3370" t="s">
        <v>3214</v>
      </c>
      <c r="C3370" t="s">
        <v>3215</v>
      </c>
      <c r="D3370" t="s">
        <v>3216</v>
      </c>
      <c r="E3370">
        <v>13</v>
      </c>
      <c r="F3370" t="str">
        <f>VLOOKUP(E3370,[1]LOJA!$A:$B,2,0)</f>
        <v>CEILÂNDIA</v>
      </c>
      <c r="G3370" t="s">
        <v>19</v>
      </c>
      <c r="H3370" t="s">
        <v>20</v>
      </c>
      <c r="I3370" s="1">
        <v>45660</v>
      </c>
      <c r="J3370" s="1">
        <v>46027</v>
      </c>
      <c r="K3370" s="1">
        <v>46027</v>
      </c>
      <c r="L3370">
        <v>23</v>
      </c>
      <c r="M3370" s="2">
        <v>1332.5</v>
      </c>
      <c r="N3370" s="2">
        <v>1332.5</v>
      </c>
      <c r="O3370">
        <v>0</v>
      </c>
      <c r="P3370">
        <v>0</v>
      </c>
      <c r="Q3370" t="s">
        <v>3217</v>
      </c>
    </row>
    <row r="3371" spans="1:17">
      <c r="A3371" t="s">
        <v>3089</v>
      </c>
      <c r="B3371" t="s">
        <v>3214</v>
      </c>
      <c r="C3371" t="s">
        <v>3215</v>
      </c>
      <c r="D3371" t="s">
        <v>3216</v>
      </c>
      <c r="E3371">
        <v>14</v>
      </c>
      <c r="F3371" t="str">
        <f>VLOOKUP(E3371,[1]LOJA!$A:$B,2,0)</f>
        <v>S IA</v>
      </c>
      <c r="G3371" t="s">
        <v>19</v>
      </c>
      <c r="H3371" t="s">
        <v>20</v>
      </c>
      <c r="I3371" s="1">
        <v>45660</v>
      </c>
      <c r="J3371" s="1">
        <v>46027</v>
      </c>
      <c r="K3371" s="1">
        <v>46027</v>
      </c>
      <c r="L3371">
        <v>23</v>
      </c>
      <c r="M3371" s="2">
        <v>1332.5</v>
      </c>
      <c r="N3371" s="2">
        <v>1332.5</v>
      </c>
      <c r="O3371">
        <v>0</v>
      </c>
      <c r="P3371">
        <v>0</v>
      </c>
      <c r="Q3371" t="s">
        <v>3217</v>
      </c>
    </row>
    <row r="3372" spans="1:17">
      <c r="A3372" t="s">
        <v>3089</v>
      </c>
      <c r="B3372" t="s">
        <v>3214</v>
      </c>
      <c r="C3372" t="s">
        <v>3215</v>
      </c>
      <c r="D3372" t="s">
        <v>3216</v>
      </c>
      <c r="E3372">
        <v>15</v>
      </c>
      <c r="F3372" t="str">
        <f>VLOOKUP(E3372,[1]LOJA!$A:$B,2,0)</f>
        <v>UNAÍ</v>
      </c>
      <c r="G3372" t="s">
        <v>19</v>
      </c>
      <c r="H3372" t="s">
        <v>20</v>
      </c>
      <c r="I3372" s="1">
        <v>45660</v>
      </c>
      <c r="J3372" s="1">
        <v>46027</v>
      </c>
      <c r="K3372" s="1">
        <v>46027</v>
      </c>
      <c r="L3372">
        <v>23</v>
      </c>
      <c r="M3372" s="2">
        <v>1332.5</v>
      </c>
      <c r="N3372" s="2">
        <v>1332.5</v>
      </c>
      <c r="O3372">
        <v>0</v>
      </c>
      <c r="P3372">
        <v>0</v>
      </c>
      <c r="Q3372" t="s">
        <v>3217</v>
      </c>
    </row>
    <row r="3373" spans="1:17">
      <c r="A3373" t="s">
        <v>3089</v>
      </c>
      <c r="B3373" t="s">
        <v>3214</v>
      </c>
      <c r="C3373" t="s">
        <v>3215</v>
      </c>
      <c r="D3373" t="s">
        <v>3216</v>
      </c>
      <c r="E3373">
        <v>16</v>
      </c>
      <c r="F3373" t="str">
        <f>VLOOKUP(E3373,[1]LOJA!$A:$B,2,0)</f>
        <v>AG LINDAS</v>
      </c>
      <c r="G3373" t="s">
        <v>19</v>
      </c>
      <c r="H3373" t="s">
        <v>20</v>
      </c>
      <c r="I3373" s="1">
        <v>45660</v>
      </c>
      <c r="J3373" s="1">
        <v>46027</v>
      </c>
      <c r="K3373" s="1">
        <v>46027</v>
      </c>
      <c r="L3373">
        <v>23</v>
      </c>
      <c r="M3373" s="2">
        <v>1332.5</v>
      </c>
      <c r="N3373" s="2">
        <v>1332.5</v>
      </c>
      <c r="O3373">
        <v>0</v>
      </c>
      <c r="P3373">
        <v>0</v>
      </c>
      <c r="Q3373" t="s">
        <v>3217</v>
      </c>
    </row>
    <row r="3374" spans="1:17">
      <c r="A3374" t="s">
        <v>3089</v>
      </c>
      <c r="B3374" t="s">
        <v>3214</v>
      </c>
      <c r="C3374" t="s">
        <v>3215</v>
      </c>
      <c r="D3374" t="s">
        <v>3218</v>
      </c>
      <c r="E3374">
        <v>1</v>
      </c>
      <c r="F3374" t="str">
        <f>VLOOKUP(E3374,[1]LOJA!$A:$B,2,0)</f>
        <v>GUARÁ</v>
      </c>
      <c r="G3374" t="s">
        <v>19</v>
      </c>
      <c r="H3374" t="s">
        <v>20</v>
      </c>
      <c r="I3374" s="1">
        <v>45660</v>
      </c>
      <c r="J3374" s="1">
        <v>46049</v>
      </c>
      <c r="K3374" s="1">
        <v>46049</v>
      </c>
      <c r="L3374">
        <v>21</v>
      </c>
      <c r="M3374">
        <v>271.8</v>
      </c>
      <c r="N3374">
        <v>271.8</v>
      </c>
      <c r="O3374">
        <v>0</v>
      </c>
      <c r="P3374">
        <v>0</v>
      </c>
      <c r="Q3374" t="s">
        <v>3219</v>
      </c>
    </row>
    <row r="3375" spans="1:17">
      <c r="A3375" t="s">
        <v>3089</v>
      </c>
      <c r="B3375" t="s">
        <v>3214</v>
      </c>
      <c r="C3375" t="s">
        <v>3215</v>
      </c>
      <c r="D3375" t="s">
        <v>3218</v>
      </c>
      <c r="E3375">
        <v>4</v>
      </c>
      <c r="F3375" t="str">
        <f>VLOOKUP(E3375,[1]LOJA!$A:$B,2,0)</f>
        <v>ADE</v>
      </c>
      <c r="G3375" t="s">
        <v>19</v>
      </c>
      <c r="H3375" t="s">
        <v>20</v>
      </c>
      <c r="I3375" s="1">
        <v>45660</v>
      </c>
      <c r="J3375" s="1">
        <v>46049</v>
      </c>
      <c r="K3375" s="1">
        <v>46049</v>
      </c>
      <c r="L3375">
        <v>21</v>
      </c>
      <c r="M3375">
        <v>271.8</v>
      </c>
      <c r="N3375">
        <v>271.8</v>
      </c>
      <c r="O3375">
        <v>0</v>
      </c>
      <c r="P3375">
        <v>0</v>
      </c>
      <c r="Q3375" t="s">
        <v>3219</v>
      </c>
    </row>
    <row r="3376" spans="1:17">
      <c r="A3376" t="s">
        <v>3089</v>
      </c>
      <c r="B3376" t="s">
        <v>3214</v>
      </c>
      <c r="C3376" t="s">
        <v>3215</v>
      </c>
      <c r="D3376" t="s">
        <v>3218</v>
      </c>
      <c r="E3376">
        <v>6</v>
      </c>
      <c r="F3376" t="str">
        <f>VLOOKUP(E3376,[1]LOJA!$A:$B,2,0)</f>
        <v>GAMA</v>
      </c>
      <c r="G3376" t="s">
        <v>19</v>
      </c>
      <c r="H3376" t="s">
        <v>20</v>
      </c>
      <c r="I3376" s="1">
        <v>45660</v>
      </c>
      <c r="J3376" s="1">
        <v>46049</v>
      </c>
      <c r="K3376" s="1">
        <v>46049</v>
      </c>
      <c r="L3376">
        <v>21</v>
      </c>
      <c r="M3376">
        <v>271.8</v>
      </c>
      <c r="N3376">
        <v>271.8</v>
      </c>
      <c r="O3376">
        <v>0</v>
      </c>
      <c r="P3376">
        <v>0</v>
      </c>
      <c r="Q3376" t="s">
        <v>3219</v>
      </c>
    </row>
    <row r="3377" spans="1:17">
      <c r="A3377" t="s">
        <v>3089</v>
      </c>
      <c r="B3377" t="s">
        <v>3214</v>
      </c>
      <c r="C3377" t="s">
        <v>3215</v>
      </c>
      <c r="D3377" t="s">
        <v>3218</v>
      </c>
      <c r="E3377">
        <v>8</v>
      </c>
      <c r="F3377" t="str">
        <f>VLOOKUP(E3377,[1]LOJA!$A:$B,2,0)</f>
        <v>LUZIÂNIA</v>
      </c>
      <c r="G3377" t="s">
        <v>19</v>
      </c>
      <c r="H3377" t="s">
        <v>20</v>
      </c>
      <c r="I3377" s="1">
        <v>45660</v>
      </c>
      <c r="J3377" s="1">
        <v>46049</v>
      </c>
      <c r="K3377" s="1">
        <v>46049</v>
      </c>
      <c r="L3377">
        <v>21</v>
      </c>
      <c r="M3377">
        <v>271.8</v>
      </c>
      <c r="N3377">
        <v>271.8</v>
      </c>
      <c r="O3377">
        <v>0</v>
      </c>
      <c r="P3377">
        <v>0</v>
      </c>
      <c r="Q3377" t="s">
        <v>3219</v>
      </c>
    </row>
    <row r="3378" spans="1:17">
      <c r="A3378" t="s">
        <v>3089</v>
      </c>
      <c r="B3378" t="s">
        <v>3214</v>
      </c>
      <c r="C3378" t="s">
        <v>3215</v>
      </c>
      <c r="D3378" t="s">
        <v>3218</v>
      </c>
      <c r="E3378">
        <v>12</v>
      </c>
      <c r="F3378" t="str">
        <f>VLOOKUP(E3378,[1]LOJA!$A:$B,2,0)</f>
        <v>SOFNORTE</v>
      </c>
      <c r="G3378" t="s">
        <v>19</v>
      </c>
      <c r="H3378" t="s">
        <v>20</v>
      </c>
      <c r="I3378" s="1">
        <v>45660</v>
      </c>
      <c r="J3378" s="1">
        <v>46049</v>
      </c>
      <c r="K3378" s="1">
        <v>46049</v>
      </c>
      <c r="L3378">
        <v>21</v>
      </c>
      <c r="M3378">
        <v>271.8</v>
      </c>
      <c r="N3378">
        <v>271.8</v>
      </c>
      <c r="O3378">
        <v>0</v>
      </c>
      <c r="P3378">
        <v>0</v>
      </c>
      <c r="Q3378" t="s">
        <v>3219</v>
      </c>
    </row>
    <row r="3379" spans="1:17">
      <c r="A3379" t="s">
        <v>3089</v>
      </c>
      <c r="B3379" t="s">
        <v>3214</v>
      </c>
      <c r="C3379" t="s">
        <v>3215</v>
      </c>
      <c r="D3379" t="s">
        <v>3218</v>
      </c>
      <c r="E3379">
        <v>13</v>
      </c>
      <c r="F3379" t="str">
        <f>VLOOKUP(E3379,[1]LOJA!$A:$B,2,0)</f>
        <v>CEILÂNDIA</v>
      </c>
      <c r="G3379" t="s">
        <v>19</v>
      </c>
      <c r="H3379" t="s">
        <v>20</v>
      </c>
      <c r="I3379" s="1">
        <v>45660</v>
      </c>
      <c r="J3379" s="1">
        <v>46049</v>
      </c>
      <c r="K3379" s="1">
        <v>46049</v>
      </c>
      <c r="L3379">
        <v>21</v>
      </c>
      <c r="M3379">
        <v>271.8</v>
      </c>
      <c r="N3379">
        <v>271.8</v>
      </c>
      <c r="O3379">
        <v>0</v>
      </c>
      <c r="P3379">
        <v>0</v>
      </c>
      <c r="Q3379" t="s">
        <v>3219</v>
      </c>
    </row>
    <row r="3380" spans="1:17">
      <c r="A3380" t="s">
        <v>3089</v>
      </c>
      <c r="B3380" t="s">
        <v>3214</v>
      </c>
      <c r="C3380" t="s">
        <v>3215</v>
      </c>
      <c r="D3380" t="s">
        <v>3218</v>
      </c>
      <c r="E3380">
        <v>14</v>
      </c>
      <c r="F3380" t="str">
        <f>VLOOKUP(E3380,[1]LOJA!$A:$B,2,0)</f>
        <v>S IA</v>
      </c>
      <c r="G3380" t="s">
        <v>19</v>
      </c>
      <c r="H3380" t="s">
        <v>20</v>
      </c>
      <c r="I3380" s="1">
        <v>45660</v>
      </c>
      <c r="J3380" s="1">
        <v>46049</v>
      </c>
      <c r="K3380" s="1">
        <v>46049</v>
      </c>
      <c r="L3380">
        <v>21</v>
      </c>
      <c r="M3380">
        <v>271.8</v>
      </c>
      <c r="N3380">
        <v>271.8</v>
      </c>
      <c r="O3380">
        <v>0</v>
      </c>
      <c r="P3380">
        <v>0</v>
      </c>
      <c r="Q3380" t="s">
        <v>3219</v>
      </c>
    </row>
    <row r="3381" spans="1:17">
      <c r="A3381" t="s">
        <v>3089</v>
      </c>
      <c r="B3381" t="s">
        <v>3214</v>
      </c>
      <c r="C3381" t="s">
        <v>3215</v>
      </c>
      <c r="D3381" t="s">
        <v>3218</v>
      </c>
      <c r="E3381">
        <v>15</v>
      </c>
      <c r="F3381" t="str">
        <f>VLOOKUP(E3381,[1]LOJA!$A:$B,2,0)</f>
        <v>UNAÍ</v>
      </c>
      <c r="G3381" t="s">
        <v>19</v>
      </c>
      <c r="H3381" t="s">
        <v>20</v>
      </c>
      <c r="I3381" s="1">
        <v>45660</v>
      </c>
      <c r="J3381" s="1">
        <v>46049</v>
      </c>
      <c r="K3381" s="1">
        <v>46049</v>
      </c>
      <c r="L3381">
        <v>21</v>
      </c>
      <c r="M3381">
        <v>271.8</v>
      </c>
      <c r="N3381">
        <v>271.8</v>
      </c>
      <c r="O3381">
        <v>0</v>
      </c>
      <c r="P3381">
        <v>0</v>
      </c>
      <c r="Q3381" t="s">
        <v>3219</v>
      </c>
    </row>
    <row r="3382" spans="1:17">
      <c r="A3382" t="s">
        <v>3089</v>
      </c>
      <c r="B3382" t="s">
        <v>3214</v>
      </c>
      <c r="C3382" t="s">
        <v>3215</v>
      </c>
      <c r="D3382" t="s">
        <v>3218</v>
      </c>
      <c r="E3382">
        <v>16</v>
      </c>
      <c r="F3382" t="str">
        <f>VLOOKUP(E3382,[1]LOJA!$A:$B,2,0)</f>
        <v>AG LINDAS</v>
      </c>
      <c r="G3382" t="s">
        <v>19</v>
      </c>
      <c r="H3382" t="s">
        <v>20</v>
      </c>
      <c r="I3382" s="1">
        <v>45660</v>
      </c>
      <c r="J3382" s="1">
        <v>46049</v>
      </c>
      <c r="K3382" s="1">
        <v>46049</v>
      </c>
      <c r="L3382">
        <v>21</v>
      </c>
      <c r="M3382">
        <v>271.8</v>
      </c>
      <c r="N3382">
        <v>271.8</v>
      </c>
      <c r="O3382">
        <v>0</v>
      </c>
      <c r="P3382">
        <v>0</v>
      </c>
      <c r="Q3382" t="s">
        <v>3219</v>
      </c>
    </row>
    <row r="3383" spans="1:17">
      <c r="A3383" t="s">
        <v>3089</v>
      </c>
      <c r="B3383" t="s">
        <v>3214</v>
      </c>
      <c r="C3383" t="s">
        <v>3215</v>
      </c>
      <c r="D3383" t="s">
        <v>3220</v>
      </c>
      <c r="E3383">
        <v>24</v>
      </c>
      <c r="F3383" t="str">
        <f>VLOOKUP(E3383,[1]LOJA!$A:$B,2,0)</f>
        <v>LUZIÂNIA</v>
      </c>
      <c r="G3383" t="s">
        <v>19</v>
      </c>
      <c r="H3383" t="s">
        <v>20</v>
      </c>
      <c r="I3383" s="1">
        <v>46025</v>
      </c>
      <c r="J3383" s="1">
        <v>46047</v>
      </c>
      <c r="K3383" s="1">
        <v>46048</v>
      </c>
      <c r="L3383">
        <v>18</v>
      </c>
      <c r="M3383">
        <v>871.05</v>
      </c>
      <c r="N3383">
        <v>871.05</v>
      </c>
      <c r="O3383">
        <v>0</v>
      </c>
      <c r="P3383">
        <v>0</v>
      </c>
      <c r="Q3383" t="s">
        <v>3221</v>
      </c>
    </row>
    <row r="3384" spans="1:17">
      <c r="A3384" t="s">
        <v>3089</v>
      </c>
      <c r="B3384" t="s">
        <v>3222</v>
      </c>
      <c r="C3384" t="s">
        <v>56</v>
      </c>
      <c r="D3384" t="s">
        <v>3223</v>
      </c>
      <c r="E3384">
        <v>13</v>
      </c>
      <c r="F3384" t="str">
        <f>VLOOKUP(E3384,[1]LOJA!$A:$B,2,0)</f>
        <v>CEILÂNDIA</v>
      </c>
      <c r="G3384" t="s">
        <v>19</v>
      </c>
      <c r="H3384" t="s">
        <v>19</v>
      </c>
      <c r="I3384" s="1">
        <v>46003</v>
      </c>
      <c r="J3384" s="1">
        <v>46037</v>
      </c>
      <c r="K3384" s="1">
        <v>46037</v>
      </c>
      <c r="L3384">
        <v>17</v>
      </c>
      <c r="M3384" s="2">
        <v>2050</v>
      </c>
      <c r="N3384" s="2">
        <v>2050</v>
      </c>
      <c r="O3384">
        <v>0</v>
      </c>
      <c r="P3384">
        <v>0</v>
      </c>
      <c r="Q3384" t="s">
        <v>3224</v>
      </c>
    </row>
    <row r="3385" spans="1:17">
      <c r="A3385" t="s">
        <v>3089</v>
      </c>
      <c r="B3385" t="s">
        <v>3222</v>
      </c>
      <c r="C3385" t="s">
        <v>56</v>
      </c>
      <c r="D3385" t="s">
        <v>3225</v>
      </c>
      <c r="E3385">
        <v>4</v>
      </c>
      <c r="F3385" t="str">
        <f>VLOOKUP(E3385,[1]LOJA!$A:$B,2,0)</f>
        <v>ADE</v>
      </c>
      <c r="G3385" t="s">
        <v>19</v>
      </c>
      <c r="H3385" t="s">
        <v>20</v>
      </c>
      <c r="I3385" s="1">
        <v>45951</v>
      </c>
      <c r="J3385" s="1">
        <v>46027</v>
      </c>
      <c r="K3385" s="1">
        <v>46027</v>
      </c>
      <c r="L3385">
        <v>30</v>
      </c>
      <c r="M3385">
        <v>902</v>
      </c>
      <c r="N3385">
        <v>902</v>
      </c>
      <c r="O3385">
        <v>0</v>
      </c>
      <c r="P3385">
        <v>0</v>
      </c>
      <c r="Q3385" t="s">
        <v>3226</v>
      </c>
    </row>
    <row r="3386" spans="1:17">
      <c r="A3386" t="s">
        <v>3089</v>
      </c>
      <c r="B3386" t="s">
        <v>3222</v>
      </c>
      <c r="C3386" t="s">
        <v>56</v>
      </c>
      <c r="D3386" t="s">
        <v>3227</v>
      </c>
      <c r="E3386">
        <v>13</v>
      </c>
      <c r="F3386" t="str">
        <f>VLOOKUP(E3386,[1]LOJA!$A:$B,2,0)</f>
        <v>CEILÂNDIA</v>
      </c>
      <c r="G3386" t="s">
        <v>19</v>
      </c>
      <c r="H3386" t="s">
        <v>20</v>
      </c>
      <c r="I3386" s="1">
        <v>45996</v>
      </c>
      <c r="J3386" s="1">
        <v>46034</v>
      </c>
      <c r="K3386" s="1">
        <v>46034</v>
      </c>
      <c r="L3386">
        <v>5</v>
      </c>
      <c r="M3386">
        <v>487.36</v>
      </c>
      <c r="N3386">
        <v>487.36</v>
      </c>
      <c r="O3386">
        <v>0</v>
      </c>
      <c r="P3386">
        <v>0</v>
      </c>
      <c r="Q3386" t="s">
        <v>3228</v>
      </c>
    </row>
    <row r="3387" spans="1:17">
      <c r="A3387" t="s">
        <v>3089</v>
      </c>
      <c r="B3387" t="s">
        <v>3229</v>
      </c>
      <c r="C3387" t="s">
        <v>56</v>
      </c>
      <c r="D3387" t="s">
        <v>3230</v>
      </c>
      <c r="E3387">
        <v>12</v>
      </c>
      <c r="F3387" t="str">
        <f>VLOOKUP(E3387,[1]LOJA!$A:$B,2,0)</f>
        <v>SOFNORTE</v>
      </c>
      <c r="G3387" t="s">
        <v>19</v>
      </c>
      <c r="H3387" t="s">
        <v>19</v>
      </c>
      <c r="I3387" s="1">
        <v>45770</v>
      </c>
      <c r="J3387" s="1">
        <v>46037</v>
      </c>
      <c r="K3387" s="1">
        <v>46037</v>
      </c>
      <c r="L3387">
        <v>17</v>
      </c>
      <c r="M3387" s="2">
        <v>2400</v>
      </c>
      <c r="N3387" s="2">
        <v>2400</v>
      </c>
      <c r="O3387">
        <v>0</v>
      </c>
      <c r="P3387">
        <v>0</v>
      </c>
      <c r="Q3387" t="s">
        <v>3231</v>
      </c>
    </row>
    <row r="3388" spans="1:17">
      <c r="A3388" t="s">
        <v>3089</v>
      </c>
      <c r="B3388" t="s">
        <v>3232</v>
      </c>
      <c r="C3388" t="s">
        <v>3233</v>
      </c>
      <c r="D3388" t="s">
        <v>3234</v>
      </c>
      <c r="E3388">
        <v>15</v>
      </c>
      <c r="F3388" t="str">
        <f>VLOOKUP(E3388,[1]LOJA!$A:$B,2,0)</f>
        <v>UNAÍ</v>
      </c>
      <c r="G3388" t="s">
        <v>19</v>
      </c>
      <c r="H3388" t="s">
        <v>20</v>
      </c>
      <c r="I3388" s="1">
        <v>45694</v>
      </c>
      <c r="J3388" s="1">
        <v>46043</v>
      </c>
      <c r="K3388" s="1">
        <v>46043</v>
      </c>
      <c r="L3388">
        <v>36</v>
      </c>
      <c r="M3388">
        <v>124.99</v>
      </c>
      <c r="N3388">
        <v>124.99</v>
      </c>
      <c r="O3388">
        <v>0</v>
      </c>
      <c r="P3388">
        <v>0</v>
      </c>
      <c r="Q3388" t="s">
        <v>3235</v>
      </c>
    </row>
    <row r="3389" spans="1:17">
      <c r="A3389" t="s">
        <v>3089</v>
      </c>
      <c r="B3389" t="s">
        <v>3232</v>
      </c>
      <c r="C3389" t="s">
        <v>3158</v>
      </c>
      <c r="D3389" t="s">
        <v>3236</v>
      </c>
      <c r="E3389">
        <v>14</v>
      </c>
      <c r="F3389" t="str">
        <f>VLOOKUP(E3389,[1]LOJA!$A:$B,2,0)</f>
        <v>S IA</v>
      </c>
      <c r="G3389" t="s">
        <v>19</v>
      </c>
      <c r="H3389" t="s">
        <v>20</v>
      </c>
      <c r="I3389" s="1">
        <v>46031</v>
      </c>
      <c r="J3389" s="1">
        <v>46032</v>
      </c>
      <c r="K3389" s="1">
        <v>46034</v>
      </c>
      <c r="L3389">
        <v>35</v>
      </c>
      <c r="M3389">
        <v>100.29</v>
      </c>
      <c r="N3389">
        <v>100.29</v>
      </c>
      <c r="O3389">
        <v>0</v>
      </c>
      <c r="P3389">
        <v>0</v>
      </c>
      <c r="Q3389">
        <f>-1/12</f>
        <v>-8.3333333333333329E-2</v>
      </c>
    </row>
    <row r="3390" spans="1:17">
      <c r="A3390" t="s">
        <v>3089</v>
      </c>
      <c r="B3390" t="s">
        <v>3237</v>
      </c>
      <c r="C3390" t="s">
        <v>3238</v>
      </c>
      <c r="D3390" t="s">
        <v>3239</v>
      </c>
      <c r="E3390">
        <v>1</v>
      </c>
      <c r="F3390" t="str">
        <f>VLOOKUP(E3390,[1]LOJA!$A:$B,2,0)</f>
        <v>GUARÁ</v>
      </c>
      <c r="G3390" t="s">
        <v>19</v>
      </c>
      <c r="H3390" t="s">
        <v>20</v>
      </c>
      <c r="I3390" s="1">
        <v>45797</v>
      </c>
      <c r="J3390" s="1">
        <v>46042</v>
      </c>
      <c r="K3390" s="1">
        <v>46042</v>
      </c>
      <c r="L3390">
        <v>17</v>
      </c>
      <c r="M3390">
        <v>0</v>
      </c>
      <c r="N3390">
        <v>0</v>
      </c>
      <c r="O3390">
        <v>0</v>
      </c>
      <c r="P3390">
        <v>0</v>
      </c>
      <c r="Q3390" t="s">
        <v>3240</v>
      </c>
    </row>
    <row r="3391" spans="1:17">
      <c r="A3391" t="s">
        <v>3089</v>
      </c>
      <c r="B3391" t="s">
        <v>3237</v>
      </c>
      <c r="C3391" t="s">
        <v>3238</v>
      </c>
      <c r="D3391" t="s">
        <v>3239</v>
      </c>
      <c r="E3391">
        <v>4</v>
      </c>
      <c r="F3391" t="str">
        <f>VLOOKUP(E3391,[1]LOJA!$A:$B,2,0)</f>
        <v>ADE</v>
      </c>
      <c r="G3391" t="s">
        <v>19</v>
      </c>
      <c r="H3391" t="s">
        <v>20</v>
      </c>
      <c r="I3391" s="1">
        <v>45797</v>
      </c>
      <c r="J3391" s="1">
        <v>46042</v>
      </c>
      <c r="K3391" s="1">
        <v>46042</v>
      </c>
      <c r="L3391">
        <v>17</v>
      </c>
      <c r="M3391">
        <v>30.69</v>
      </c>
      <c r="N3391">
        <v>30.69</v>
      </c>
      <c r="O3391">
        <v>0</v>
      </c>
      <c r="P3391">
        <v>0</v>
      </c>
      <c r="Q3391" t="s">
        <v>3240</v>
      </c>
    </row>
    <row r="3392" spans="1:17">
      <c r="A3392" t="s">
        <v>3089</v>
      </c>
      <c r="B3392" t="s">
        <v>3237</v>
      </c>
      <c r="C3392" t="s">
        <v>3238</v>
      </c>
      <c r="D3392" t="s">
        <v>3239</v>
      </c>
      <c r="E3392">
        <v>6</v>
      </c>
      <c r="F3392" t="str">
        <f>VLOOKUP(E3392,[1]LOJA!$A:$B,2,0)</f>
        <v>GAMA</v>
      </c>
      <c r="G3392" t="s">
        <v>19</v>
      </c>
      <c r="H3392" t="s">
        <v>20</v>
      </c>
      <c r="I3392" s="1">
        <v>45797</v>
      </c>
      <c r="J3392" s="1">
        <v>46042</v>
      </c>
      <c r="K3392" s="1">
        <v>46042</v>
      </c>
      <c r="L3392">
        <v>17</v>
      </c>
      <c r="M3392">
        <v>30.69</v>
      </c>
      <c r="N3392">
        <v>30.69</v>
      </c>
      <c r="O3392">
        <v>0</v>
      </c>
      <c r="P3392">
        <v>0</v>
      </c>
      <c r="Q3392" t="s">
        <v>3240</v>
      </c>
    </row>
    <row r="3393" spans="1:17">
      <c r="A3393" t="s">
        <v>3089</v>
      </c>
      <c r="B3393" t="s">
        <v>3237</v>
      </c>
      <c r="C3393" t="s">
        <v>3238</v>
      </c>
      <c r="D3393" t="s">
        <v>3239</v>
      </c>
      <c r="E3393">
        <v>8</v>
      </c>
      <c r="F3393" t="str">
        <f>VLOOKUP(E3393,[1]LOJA!$A:$B,2,0)</f>
        <v>LUZIÂNIA</v>
      </c>
      <c r="G3393" t="s">
        <v>19</v>
      </c>
      <c r="H3393" t="s">
        <v>20</v>
      </c>
      <c r="I3393" s="1">
        <v>45797</v>
      </c>
      <c r="J3393" s="1">
        <v>46042</v>
      </c>
      <c r="K3393" s="1">
        <v>46042</v>
      </c>
      <c r="L3393">
        <v>17</v>
      </c>
      <c r="M3393">
        <v>30.69</v>
      </c>
      <c r="N3393">
        <v>30.69</v>
      </c>
      <c r="O3393">
        <v>0</v>
      </c>
      <c r="P3393">
        <v>0</v>
      </c>
      <c r="Q3393" t="s">
        <v>3240</v>
      </c>
    </row>
    <row r="3394" spans="1:17">
      <c r="A3394" t="s">
        <v>3089</v>
      </c>
      <c r="B3394" t="s">
        <v>3237</v>
      </c>
      <c r="C3394" t="s">
        <v>3238</v>
      </c>
      <c r="D3394" t="s">
        <v>3239</v>
      </c>
      <c r="E3394">
        <v>12</v>
      </c>
      <c r="F3394" t="str">
        <f>VLOOKUP(E3394,[1]LOJA!$A:$B,2,0)</f>
        <v>SOFNORTE</v>
      </c>
      <c r="G3394" t="s">
        <v>19</v>
      </c>
      <c r="H3394" t="s">
        <v>20</v>
      </c>
      <c r="I3394" s="1">
        <v>45797</v>
      </c>
      <c r="J3394" s="1">
        <v>46042</v>
      </c>
      <c r="K3394" s="1">
        <v>46042</v>
      </c>
      <c r="L3394">
        <v>17</v>
      </c>
      <c r="M3394">
        <v>30.69</v>
      </c>
      <c r="N3394">
        <v>30.69</v>
      </c>
      <c r="O3394">
        <v>0</v>
      </c>
      <c r="P3394">
        <v>0</v>
      </c>
      <c r="Q3394" t="s">
        <v>3240</v>
      </c>
    </row>
    <row r="3395" spans="1:17">
      <c r="A3395" t="s">
        <v>3089</v>
      </c>
      <c r="B3395" t="s">
        <v>3237</v>
      </c>
      <c r="C3395" t="s">
        <v>3238</v>
      </c>
      <c r="D3395" t="s">
        <v>3239</v>
      </c>
      <c r="E3395">
        <v>13</v>
      </c>
      <c r="F3395" t="str">
        <f>VLOOKUP(E3395,[1]LOJA!$A:$B,2,0)</f>
        <v>CEILÂNDIA</v>
      </c>
      <c r="G3395" t="s">
        <v>19</v>
      </c>
      <c r="H3395" t="s">
        <v>20</v>
      </c>
      <c r="I3395" s="1">
        <v>45797</v>
      </c>
      <c r="J3395" s="1">
        <v>46042</v>
      </c>
      <c r="K3395" s="1">
        <v>46042</v>
      </c>
      <c r="L3395">
        <v>17</v>
      </c>
      <c r="M3395">
        <v>30.69</v>
      </c>
      <c r="N3395">
        <v>30.69</v>
      </c>
      <c r="O3395">
        <v>0</v>
      </c>
      <c r="P3395">
        <v>0</v>
      </c>
      <c r="Q3395" t="s">
        <v>3240</v>
      </c>
    </row>
    <row r="3396" spans="1:17">
      <c r="A3396" t="s">
        <v>3089</v>
      </c>
      <c r="B3396" t="s">
        <v>3237</v>
      </c>
      <c r="C3396" t="s">
        <v>3238</v>
      </c>
      <c r="D3396" t="s">
        <v>3239</v>
      </c>
      <c r="E3396">
        <v>14</v>
      </c>
      <c r="F3396" t="str">
        <f>VLOOKUP(E3396,[1]LOJA!$A:$B,2,0)</f>
        <v>S IA</v>
      </c>
      <c r="G3396" t="s">
        <v>19</v>
      </c>
      <c r="H3396" t="s">
        <v>20</v>
      </c>
      <c r="I3396" s="1">
        <v>45797</v>
      </c>
      <c r="J3396" s="1">
        <v>46042</v>
      </c>
      <c r="K3396" s="1">
        <v>46042</v>
      </c>
      <c r="L3396">
        <v>17</v>
      </c>
      <c r="M3396">
        <v>30.69</v>
      </c>
      <c r="N3396">
        <v>30.69</v>
      </c>
      <c r="O3396">
        <v>0</v>
      </c>
      <c r="P3396">
        <v>0</v>
      </c>
      <c r="Q3396" t="s">
        <v>3240</v>
      </c>
    </row>
    <row r="3397" spans="1:17">
      <c r="A3397" t="s">
        <v>3089</v>
      </c>
      <c r="B3397" t="s">
        <v>3237</v>
      </c>
      <c r="C3397" t="s">
        <v>3238</v>
      </c>
      <c r="D3397" t="s">
        <v>3239</v>
      </c>
      <c r="E3397">
        <v>15</v>
      </c>
      <c r="F3397" t="str">
        <f>VLOOKUP(E3397,[1]LOJA!$A:$B,2,0)</f>
        <v>UNAÍ</v>
      </c>
      <c r="G3397" t="s">
        <v>19</v>
      </c>
      <c r="H3397" t="s">
        <v>20</v>
      </c>
      <c r="I3397" s="1">
        <v>45797</v>
      </c>
      <c r="J3397" s="1">
        <v>46042</v>
      </c>
      <c r="K3397" s="1">
        <v>46042</v>
      </c>
      <c r="L3397">
        <v>17</v>
      </c>
      <c r="M3397">
        <v>30.69</v>
      </c>
      <c r="N3397">
        <v>30.69</v>
      </c>
      <c r="O3397">
        <v>0</v>
      </c>
      <c r="P3397">
        <v>0</v>
      </c>
      <c r="Q3397" t="s">
        <v>3240</v>
      </c>
    </row>
    <row r="3398" spans="1:17">
      <c r="A3398" t="s">
        <v>3089</v>
      </c>
      <c r="B3398" t="s">
        <v>3237</v>
      </c>
      <c r="C3398" t="s">
        <v>3238</v>
      </c>
      <c r="D3398" t="s">
        <v>3239</v>
      </c>
      <c r="E3398">
        <v>16</v>
      </c>
      <c r="F3398" t="str">
        <f>VLOOKUP(E3398,[1]LOJA!$A:$B,2,0)</f>
        <v>AG LINDAS</v>
      </c>
      <c r="G3398" t="s">
        <v>19</v>
      </c>
      <c r="H3398" t="s">
        <v>20</v>
      </c>
      <c r="I3398" s="1">
        <v>45797</v>
      </c>
      <c r="J3398" s="1">
        <v>46042</v>
      </c>
      <c r="K3398" s="1">
        <v>46042</v>
      </c>
      <c r="L3398">
        <v>17</v>
      </c>
      <c r="M3398">
        <v>30.69</v>
      </c>
      <c r="N3398">
        <v>30.69</v>
      </c>
      <c r="O3398">
        <v>0</v>
      </c>
      <c r="P3398">
        <v>0</v>
      </c>
      <c r="Q3398" t="s">
        <v>3240</v>
      </c>
    </row>
    <row r="3399" spans="1:17">
      <c r="A3399" t="s">
        <v>3089</v>
      </c>
      <c r="B3399" t="s">
        <v>3237</v>
      </c>
      <c r="C3399" t="s">
        <v>3238</v>
      </c>
      <c r="D3399" t="s">
        <v>3239</v>
      </c>
      <c r="E3399">
        <v>20</v>
      </c>
      <c r="F3399" t="str">
        <f>VLOOKUP(E3399,[1]LOJA!$A:$B,2,0)</f>
        <v>DAUTO SERVIÇOS</v>
      </c>
      <c r="G3399" t="s">
        <v>19</v>
      </c>
      <c r="H3399" t="s">
        <v>20</v>
      </c>
      <c r="I3399" s="1">
        <v>45797</v>
      </c>
      <c r="J3399" s="1">
        <v>46042</v>
      </c>
      <c r="K3399" s="1">
        <v>46042</v>
      </c>
      <c r="L3399">
        <v>17</v>
      </c>
      <c r="M3399">
        <v>0</v>
      </c>
      <c r="N3399">
        <v>0</v>
      </c>
      <c r="O3399">
        <v>0</v>
      </c>
      <c r="P3399">
        <v>0</v>
      </c>
      <c r="Q3399" t="s">
        <v>3240</v>
      </c>
    </row>
    <row r="3400" spans="1:17">
      <c r="A3400" t="s">
        <v>3089</v>
      </c>
      <c r="B3400" t="s">
        <v>3237</v>
      </c>
      <c r="C3400" t="s">
        <v>3238</v>
      </c>
      <c r="D3400" t="s">
        <v>3239</v>
      </c>
      <c r="E3400">
        <v>22</v>
      </c>
      <c r="F3400" t="str">
        <f>VLOOKUP(E3400,[1]LOJA!$A:$B,2,0)</f>
        <v>GUARÁ</v>
      </c>
      <c r="G3400" t="s">
        <v>19</v>
      </c>
      <c r="H3400" t="s">
        <v>20</v>
      </c>
      <c r="I3400" s="1">
        <v>45797</v>
      </c>
      <c r="J3400" s="1">
        <v>46042</v>
      </c>
      <c r="K3400" s="1">
        <v>46042</v>
      </c>
      <c r="L3400">
        <v>17</v>
      </c>
      <c r="M3400">
        <v>30.69</v>
      </c>
      <c r="N3400">
        <v>30.69</v>
      </c>
      <c r="O3400">
        <v>0</v>
      </c>
      <c r="P3400">
        <v>0</v>
      </c>
      <c r="Q3400" t="s">
        <v>3240</v>
      </c>
    </row>
    <row r="3401" spans="1:17">
      <c r="A3401" t="s">
        <v>3089</v>
      </c>
      <c r="B3401" t="s">
        <v>3241</v>
      </c>
      <c r="C3401" t="s">
        <v>56</v>
      </c>
      <c r="D3401" t="s">
        <v>3242</v>
      </c>
      <c r="E3401">
        <v>4</v>
      </c>
      <c r="F3401" t="str">
        <f>VLOOKUP(E3401,[1]LOJA!$A:$B,2,0)</f>
        <v>ADE</v>
      </c>
      <c r="G3401" t="s">
        <v>19</v>
      </c>
      <c r="H3401" t="s">
        <v>19</v>
      </c>
      <c r="I3401" s="1">
        <v>46039</v>
      </c>
      <c r="J3401" s="1">
        <v>46039</v>
      </c>
      <c r="K3401" s="1">
        <v>46041</v>
      </c>
      <c r="L3401">
        <v>17</v>
      </c>
      <c r="M3401" s="2">
        <v>4600</v>
      </c>
      <c r="N3401" s="2">
        <v>4600</v>
      </c>
      <c r="O3401">
        <v>0</v>
      </c>
      <c r="P3401">
        <v>0</v>
      </c>
      <c r="Q3401" t="s">
        <v>3243</v>
      </c>
    </row>
    <row r="3402" spans="1:17">
      <c r="A3402" t="s">
        <v>3089</v>
      </c>
      <c r="B3402" t="s">
        <v>3241</v>
      </c>
      <c r="C3402" t="s">
        <v>56</v>
      </c>
      <c r="D3402" t="s">
        <v>3244</v>
      </c>
      <c r="E3402">
        <v>4</v>
      </c>
      <c r="F3402" t="str">
        <f>VLOOKUP(E3402,[1]LOJA!$A:$B,2,0)</f>
        <v>ADE</v>
      </c>
      <c r="G3402" t="s">
        <v>19</v>
      </c>
      <c r="H3402" t="s">
        <v>19</v>
      </c>
      <c r="I3402" s="1">
        <v>45978</v>
      </c>
      <c r="J3402" s="1">
        <v>46039</v>
      </c>
      <c r="K3402" s="1">
        <v>46041</v>
      </c>
      <c r="L3402">
        <v>17</v>
      </c>
      <c r="M3402" s="2">
        <v>2300</v>
      </c>
      <c r="N3402" s="2">
        <v>2300</v>
      </c>
      <c r="O3402">
        <v>0</v>
      </c>
      <c r="P3402">
        <v>0</v>
      </c>
      <c r="Q3402" t="s">
        <v>3245</v>
      </c>
    </row>
    <row r="3403" spans="1:17">
      <c r="A3403" t="s">
        <v>3089</v>
      </c>
      <c r="B3403" t="s">
        <v>3241</v>
      </c>
      <c r="C3403" t="s">
        <v>56</v>
      </c>
      <c r="D3403" t="s">
        <v>3246</v>
      </c>
      <c r="E3403">
        <v>13</v>
      </c>
      <c r="F3403" t="str">
        <f>VLOOKUP(E3403,[1]LOJA!$A:$B,2,0)</f>
        <v>CEILÂNDIA</v>
      </c>
      <c r="G3403" t="s">
        <v>19</v>
      </c>
      <c r="H3403" t="s">
        <v>19</v>
      </c>
      <c r="I3403" s="1">
        <v>45978</v>
      </c>
      <c r="J3403" s="1">
        <v>46039</v>
      </c>
      <c r="K3403" s="1">
        <v>46041</v>
      </c>
      <c r="L3403">
        <v>17</v>
      </c>
      <c r="M3403" s="2">
        <v>3000</v>
      </c>
      <c r="N3403" s="2">
        <v>3000</v>
      </c>
      <c r="O3403">
        <v>0</v>
      </c>
      <c r="P3403">
        <v>0</v>
      </c>
      <c r="Q3403" t="s">
        <v>3245</v>
      </c>
    </row>
    <row r="3404" spans="1:17">
      <c r="A3404" t="s">
        <v>3089</v>
      </c>
      <c r="B3404" t="s">
        <v>3241</v>
      </c>
      <c r="C3404" t="s">
        <v>56</v>
      </c>
      <c r="D3404" t="s">
        <v>3247</v>
      </c>
      <c r="E3404">
        <v>13</v>
      </c>
      <c r="F3404" t="str">
        <f>VLOOKUP(E3404,[1]LOJA!$A:$B,2,0)</f>
        <v>CEILÂNDIA</v>
      </c>
      <c r="G3404" t="s">
        <v>19</v>
      </c>
      <c r="H3404" t="s">
        <v>20</v>
      </c>
      <c r="I3404" s="1">
        <v>46014</v>
      </c>
      <c r="J3404" s="1">
        <v>46023</v>
      </c>
      <c r="K3404" s="1">
        <v>46024</v>
      </c>
      <c r="L3404">
        <v>5</v>
      </c>
      <c r="M3404">
        <v>326.27</v>
      </c>
      <c r="N3404">
        <v>326.27</v>
      </c>
      <c r="O3404">
        <v>0</v>
      </c>
      <c r="P3404">
        <v>0</v>
      </c>
      <c r="Q3404" t="s">
        <v>3248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DA8B2-8815-4392-AE20-2C890BD1E557}">
  <sheetPr>
    <tabColor rgb="FF0070C0"/>
  </sheetPr>
  <dimension ref="A1:Q442"/>
  <sheetViews>
    <sheetView topLeftCell="B1" workbookViewId="0">
      <selection activeCell="B5" sqref="B1:B5"/>
    </sheetView>
  </sheetViews>
  <sheetFormatPr defaultRowHeight="14.4"/>
  <cols>
    <col min="1" max="1" width="40.6640625" bestFit="1" customWidth="1"/>
    <col min="2" max="2" width="61.109375" bestFit="1" customWidth="1"/>
    <col min="3" max="3" width="33.44140625" bestFit="1" customWidth="1"/>
    <col min="4" max="4" width="14.5546875" bestFit="1" customWidth="1"/>
    <col min="5" max="5" width="6.5546875" customWidth="1"/>
    <col min="6" max="6" width="6.88671875" customWidth="1"/>
    <col min="7" max="7" width="6.5546875" customWidth="1"/>
    <col min="8" max="8" width="6.21875" customWidth="1"/>
    <col min="9" max="11" width="10.5546875" bestFit="1" customWidth="1"/>
    <col min="12" max="12" width="9.6640625" customWidth="1"/>
    <col min="13" max="13" width="10.109375" customWidth="1"/>
    <col min="14" max="14" width="9.88671875" customWidth="1"/>
    <col min="15" max="16" width="9.6640625" customWidth="1"/>
    <col min="17" max="17" width="253.6640625" bestFit="1" customWidth="1"/>
  </cols>
  <sheetData>
    <row r="1" spans="1:17">
      <c r="A1" t="s">
        <v>0</v>
      </c>
      <c r="B1" t="s">
        <v>3250</v>
      </c>
      <c r="C1" t="s">
        <v>1</v>
      </c>
      <c r="D1" t="s">
        <v>2</v>
      </c>
      <c r="E1" t="s">
        <v>3</v>
      </c>
      <c r="F1" t="s">
        <v>3249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>
      <c r="A2" t="s">
        <v>15</v>
      </c>
      <c r="B2" t="s">
        <v>16</v>
      </c>
      <c r="C2" t="s">
        <v>17</v>
      </c>
      <c r="D2" t="s">
        <v>3257</v>
      </c>
      <c r="E2">
        <v>1</v>
      </c>
      <c r="F2" t="str">
        <f>VLOOKUP(E2,[1]LOJA!$A:$B,2,0)</f>
        <v>GUARÁ</v>
      </c>
      <c r="G2" t="s">
        <v>19</v>
      </c>
      <c r="H2" t="s">
        <v>20</v>
      </c>
      <c r="I2" s="1">
        <v>46009</v>
      </c>
      <c r="J2" s="1">
        <v>46013</v>
      </c>
      <c r="K2" s="1">
        <v>46013</v>
      </c>
      <c r="L2">
        <v>18</v>
      </c>
      <c r="M2">
        <v>0</v>
      </c>
      <c r="N2">
        <v>0</v>
      </c>
      <c r="O2">
        <v>0</v>
      </c>
      <c r="P2">
        <v>0</v>
      </c>
      <c r="Q2" t="s">
        <v>3258</v>
      </c>
    </row>
    <row r="3" spans="1:17">
      <c r="A3" t="s">
        <v>15</v>
      </c>
      <c r="B3" t="s">
        <v>16</v>
      </c>
      <c r="C3" t="s">
        <v>17</v>
      </c>
      <c r="D3" t="s">
        <v>3257</v>
      </c>
      <c r="E3">
        <v>4</v>
      </c>
      <c r="F3" t="str">
        <f>VLOOKUP(E3,[1]LOJA!$A:$B,2,0)</f>
        <v>ADE</v>
      </c>
      <c r="G3" t="s">
        <v>19</v>
      </c>
      <c r="H3" t="s">
        <v>20</v>
      </c>
      <c r="I3" s="1">
        <v>46009</v>
      </c>
      <c r="J3" s="1">
        <v>46013</v>
      </c>
      <c r="K3" s="1">
        <v>46013</v>
      </c>
      <c r="L3">
        <v>18</v>
      </c>
      <c r="M3">
        <v>644.25</v>
      </c>
      <c r="N3">
        <v>644.25</v>
      </c>
      <c r="O3">
        <v>0</v>
      </c>
      <c r="P3">
        <v>0</v>
      </c>
      <c r="Q3" t="s">
        <v>3258</v>
      </c>
    </row>
    <row r="4" spans="1:17">
      <c r="A4" t="s">
        <v>15</v>
      </c>
      <c r="B4" t="s">
        <v>16</v>
      </c>
      <c r="C4" t="s">
        <v>17</v>
      </c>
      <c r="D4" t="s">
        <v>3257</v>
      </c>
      <c r="E4">
        <v>6</v>
      </c>
      <c r="F4" t="str">
        <f>VLOOKUP(E4,[1]LOJA!$A:$B,2,0)</f>
        <v>GAMA</v>
      </c>
      <c r="G4" t="s">
        <v>19</v>
      </c>
      <c r="H4" t="s">
        <v>20</v>
      </c>
      <c r="I4" s="1">
        <v>46009</v>
      </c>
      <c r="J4" s="1">
        <v>46013</v>
      </c>
      <c r="K4" s="1">
        <v>46013</v>
      </c>
      <c r="L4">
        <v>18</v>
      </c>
      <c r="M4">
        <v>481.72</v>
      </c>
      <c r="N4">
        <v>481.72</v>
      </c>
      <c r="O4">
        <v>0</v>
      </c>
      <c r="P4">
        <v>0</v>
      </c>
      <c r="Q4" t="s">
        <v>3258</v>
      </c>
    </row>
    <row r="5" spans="1:17">
      <c r="A5" t="s">
        <v>15</v>
      </c>
      <c r="B5" t="s">
        <v>16</v>
      </c>
      <c r="C5" t="s">
        <v>17</v>
      </c>
      <c r="D5" t="s">
        <v>3257</v>
      </c>
      <c r="E5">
        <v>8</v>
      </c>
      <c r="F5" t="str">
        <f>VLOOKUP(E5,[1]LOJA!$A:$B,2,0)</f>
        <v>LUZIÂNIA</v>
      </c>
      <c r="G5" t="s">
        <v>19</v>
      </c>
      <c r="H5" t="s">
        <v>20</v>
      </c>
      <c r="I5" s="1">
        <v>46009</v>
      </c>
      <c r="J5" s="1">
        <v>46013</v>
      </c>
      <c r="K5" s="1">
        <v>46013</v>
      </c>
      <c r="L5">
        <v>18</v>
      </c>
      <c r="M5">
        <v>0</v>
      </c>
      <c r="N5">
        <v>0</v>
      </c>
      <c r="O5">
        <v>0</v>
      </c>
      <c r="P5">
        <v>0</v>
      </c>
      <c r="Q5" t="s">
        <v>3258</v>
      </c>
    </row>
    <row r="6" spans="1:17">
      <c r="A6" t="s">
        <v>15</v>
      </c>
      <c r="B6" t="s">
        <v>16</v>
      </c>
      <c r="C6" t="s">
        <v>17</v>
      </c>
      <c r="D6" t="s">
        <v>3257</v>
      </c>
      <c r="E6">
        <v>12</v>
      </c>
      <c r="F6" t="str">
        <f>VLOOKUP(E6,[1]LOJA!$A:$B,2,0)</f>
        <v>SOFNORTE</v>
      </c>
      <c r="G6" t="s">
        <v>19</v>
      </c>
      <c r="H6" t="s">
        <v>20</v>
      </c>
      <c r="I6" s="1">
        <v>46009</v>
      </c>
      <c r="J6" s="1">
        <v>46013</v>
      </c>
      <c r="K6" s="1">
        <v>46013</v>
      </c>
      <c r="L6">
        <v>18</v>
      </c>
      <c r="M6">
        <v>790.41</v>
      </c>
      <c r="N6">
        <v>790.41</v>
      </c>
      <c r="O6">
        <v>0</v>
      </c>
      <c r="P6">
        <v>0</v>
      </c>
      <c r="Q6" t="s">
        <v>3258</v>
      </c>
    </row>
    <row r="7" spans="1:17">
      <c r="A7" t="s">
        <v>15</v>
      </c>
      <c r="B7" t="s">
        <v>16</v>
      </c>
      <c r="C7" t="s">
        <v>17</v>
      </c>
      <c r="D7" t="s">
        <v>3257</v>
      </c>
      <c r="E7">
        <v>13</v>
      </c>
      <c r="F7" t="str">
        <f>VLOOKUP(E7,[1]LOJA!$A:$B,2,0)</f>
        <v>CEILÂNDIA</v>
      </c>
      <c r="G7" t="s">
        <v>19</v>
      </c>
      <c r="H7" t="s">
        <v>20</v>
      </c>
      <c r="I7" s="1">
        <v>46009</v>
      </c>
      <c r="J7" s="1">
        <v>46013</v>
      </c>
      <c r="K7" s="1">
        <v>46013</v>
      </c>
      <c r="L7">
        <v>18</v>
      </c>
      <c r="M7">
        <v>930.66</v>
      </c>
      <c r="N7">
        <v>930.66</v>
      </c>
      <c r="O7">
        <v>0</v>
      </c>
      <c r="P7">
        <v>0</v>
      </c>
      <c r="Q7" t="s">
        <v>3258</v>
      </c>
    </row>
    <row r="8" spans="1:17">
      <c r="A8" t="s">
        <v>15</v>
      </c>
      <c r="B8" t="s">
        <v>16</v>
      </c>
      <c r="C8" t="s">
        <v>17</v>
      </c>
      <c r="D8" t="s">
        <v>3257</v>
      </c>
      <c r="E8">
        <v>14</v>
      </c>
      <c r="F8" t="str">
        <f>VLOOKUP(E8,[1]LOJA!$A:$B,2,0)</f>
        <v>S IA</v>
      </c>
      <c r="G8" t="s">
        <v>19</v>
      </c>
      <c r="H8" t="s">
        <v>20</v>
      </c>
      <c r="I8" s="1">
        <v>46009</v>
      </c>
      <c r="J8" s="1">
        <v>46013</v>
      </c>
      <c r="K8" s="1">
        <v>46013</v>
      </c>
      <c r="L8">
        <v>18</v>
      </c>
      <c r="M8">
        <v>973.26</v>
      </c>
      <c r="N8">
        <v>973.26</v>
      </c>
      <c r="O8">
        <v>0</v>
      </c>
      <c r="P8">
        <v>0</v>
      </c>
      <c r="Q8" t="s">
        <v>3258</v>
      </c>
    </row>
    <row r="9" spans="1:17">
      <c r="A9" t="s">
        <v>15</v>
      </c>
      <c r="B9" t="s">
        <v>16</v>
      </c>
      <c r="C9" t="s">
        <v>17</v>
      </c>
      <c r="D9" t="s">
        <v>3257</v>
      </c>
      <c r="E9">
        <v>15</v>
      </c>
      <c r="F9" t="str">
        <f>VLOOKUP(E9,[1]LOJA!$A:$B,2,0)</f>
        <v>UNAÍ</v>
      </c>
      <c r="G9" t="s">
        <v>19</v>
      </c>
      <c r="H9" t="s">
        <v>20</v>
      </c>
      <c r="I9" s="1">
        <v>46009</v>
      </c>
      <c r="J9" s="1">
        <v>46013</v>
      </c>
      <c r="K9" s="1">
        <v>46013</v>
      </c>
      <c r="L9">
        <v>18</v>
      </c>
      <c r="M9">
        <v>380.79</v>
      </c>
      <c r="N9">
        <v>380.79</v>
      </c>
      <c r="O9">
        <v>0</v>
      </c>
      <c r="P9">
        <v>0</v>
      </c>
      <c r="Q9" t="s">
        <v>3258</v>
      </c>
    </row>
    <row r="10" spans="1:17">
      <c r="A10" t="s">
        <v>15</v>
      </c>
      <c r="B10" t="s">
        <v>16</v>
      </c>
      <c r="C10" t="s">
        <v>17</v>
      </c>
      <c r="D10" t="s">
        <v>3257</v>
      </c>
      <c r="E10">
        <v>16</v>
      </c>
      <c r="F10" t="str">
        <f>VLOOKUP(E10,[1]LOJA!$A:$B,2,0)</f>
        <v>AG LINDAS</v>
      </c>
      <c r="G10" t="s">
        <v>19</v>
      </c>
      <c r="H10" t="s">
        <v>20</v>
      </c>
      <c r="I10" s="1">
        <v>46009</v>
      </c>
      <c r="J10" s="1">
        <v>46013</v>
      </c>
      <c r="K10" s="1">
        <v>46013</v>
      </c>
      <c r="L10">
        <v>18</v>
      </c>
      <c r="M10">
        <v>300.83</v>
      </c>
      <c r="N10">
        <v>300.83</v>
      </c>
      <c r="O10">
        <v>0</v>
      </c>
      <c r="P10">
        <v>0</v>
      </c>
      <c r="Q10" t="s">
        <v>3258</v>
      </c>
    </row>
    <row r="11" spans="1:17">
      <c r="A11" t="s">
        <v>15</v>
      </c>
      <c r="B11" t="s">
        <v>16</v>
      </c>
      <c r="C11" t="s">
        <v>17</v>
      </c>
      <c r="D11" t="s">
        <v>3257</v>
      </c>
      <c r="E11">
        <v>20</v>
      </c>
      <c r="F11" t="str">
        <f>VLOOKUP(E11,[1]LOJA!$A:$B,2,0)</f>
        <v>DAUTO SERVIÇOS</v>
      </c>
      <c r="G11" t="s">
        <v>19</v>
      </c>
      <c r="H11" t="s">
        <v>20</v>
      </c>
      <c r="I11" s="1">
        <v>46009</v>
      </c>
      <c r="J11" s="1">
        <v>46013</v>
      </c>
      <c r="K11" s="1">
        <v>46013</v>
      </c>
      <c r="L11">
        <v>18</v>
      </c>
      <c r="M11">
        <v>0</v>
      </c>
      <c r="N11">
        <v>0</v>
      </c>
      <c r="O11">
        <v>0</v>
      </c>
      <c r="P11">
        <v>0</v>
      </c>
      <c r="Q11" t="s">
        <v>3258</v>
      </c>
    </row>
    <row r="12" spans="1:17">
      <c r="A12" t="s">
        <v>15</v>
      </c>
      <c r="B12" t="s">
        <v>16</v>
      </c>
      <c r="C12" t="s">
        <v>17</v>
      </c>
      <c r="D12" t="s">
        <v>3257</v>
      </c>
      <c r="E12">
        <v>22</v>
      </c>
      <c r="F12" t="str">
        <f>VLOOKUP(E12,[1]LOJA!$A:$B,2,0)</f>
        <v>GUARÁ</v>
      </c>
      <c r="G12" t="s">
        <v>19</v>
      </c>
      <c r="H12" t="s">
        <v>20</v>
      </c>
      <c r="I12" s="1">
        <v>46009</v>
      </c>
      <c r="J12" s="1">
        <v>46013</v>
      </c>
      <c r="K12" s="1">
        <v>46013</v>
      </c>
      <c r="L12">
        <v>18</v>
      </c>
      <c r="M12">
        <v>722.25</v>
      </c>
      <c r="N12">
        <v>722.25</v>
      </c>
      <c r="O12">
        <v>0</v>
      </c>
      <c r="P12">
        <v>0</v>
      </c>
      <c r="Q12" t="s">
        <v>3258</v>
      </c>
    </row>
    <row r="13" spans="1:17">
      <c r="A13" t="s">
        <v>15</v>
      </c>
      <c r="B13" t="s">
        <v>16</v>
      </c>
      <c r="C13" t="s">
        <v>17</v>
      </c>
      <c r="D13" t="s">
        <v>3257</v>
      </c>
      <c r="E13">
        <v>24</v>
      </c>
      <c r="F13" t="str">
        <f>VLOOKUP(E13,[1]LOJA!$A:$B,2,0)</f>
        <v>LUZIÂNIA</v>
      </c>
      <c r="G13" t="s">
        <v>19</v>
      </c>
      <c r="H13" t="s">
        <v>20</v>
      </c>
      <c r="I13" s="1">
        <v>46009</v>
      </c>
      <c r="J13" s="1">
        <v>46013</v>
      </c>
      <c r="K13" s="1">
        <v>46013</v>
      </c>
      <c r="L13">
        <v>18</v>
      </c>
      <c r="M13" s="2">
        <v>1329.8</v>
      </c>
      <c r="N13" s="2">
        <v>1329.8</v>
      </c>
      <c r="O13">
        <v>0</v>
      </c>
      <c r="P13">
        <v>0</v>
      </c>
      <c r="Q13" t="s">
        <v>3258</v>
      </c>
    </row>
    <row r="14" spans="1:17">
      <c r="A14" t="s">
        <v>15</v>
      </c>
      <c r="B14" t="s">
        <v>22</v>
      </c>
      <c r="C14" t="s">
        <v>23</v>
      </c>
      <c r="D14" t="s">
        <v>3259</v>
      </c>
      <c r="E14">
        <v>1</v>
      </c>
      <c r="F14" t="str">
        <f>VLOOKUP(E14,[1]LOJA!$A:$B,2,0)</f>
        <v>GUARÁ</v>
      </c>
      <c r="G14" t="s">
        <v>19</v>
      </c>
      <c r="H14" t="s">
        <v>20</v>
      </c>
      <c r="I14" s="1">
        <v>46009</v>
      </c>
      <c r="J14" s="1">
        <v>46015</v>
      </c>
      <c r="K14" s="1">
        <v>46015</v>
      </c>
      <c r="L14">
        <v>34</v>
      </c>
      <c r="M14">
        <v>0</v>
      </c>
      <c r="N14">
        <v>0</v>
      </c>
      <c r="O14">
        <v>0</v>
      </c>
      <c r="P14">
        <v>0</v>
      </c>
      <c r="Q14" t="s">
        <v>3260</v>
      </c>
    </row>
    <row r="15" spans="1:17">
      <c r="A15" t="s">
        <v>15</v>
      </c>
      <c r="B15" t="s">
        <v>22</v>
      </c>
      <c r="C15" t="s">
        <v>23</v>
      </c>
      <c r="D15" t="s">
        <v>3259</v>
      </c>
      <c r="E15">
        <v>4</v>
      </c>
      <c r="F15" t="str">
        <f>VLOOKUP(E15,[1]LOJA!$A:$B,2,0)</f>
        <v>ADE</v>
      </c>
      <c r="G15" t="s">
        <v>19</v>
      </c>
      <c r="H15" t="s">
        <v>20</v>
      </c>
      <c r="I15" s="1">
        <v>46009</v>
      </c>
      <c r="J15" s="1">
        <v>46015</v>
      </c>
      <c r="K15" s="1">
        <v>46015</v>
      </c>
      <c r="L15">
        <v>34</v>
      </c>
      <c r="M15" s="2">
        <v>2010.69</v>
      </c>
      <c r="N15" s="2">
        <v>2010.69</v>
      </c>
      <c r="O15">
        <v>0</v>
      </c>
      <c r="P15">
        <v>0</v>
      </c>
      <c r="Q15" t="s">
        <v>3260</v>
      </c>
    </row>
    <row r="16" spans="1:17">
      <c r="A16" t="s">
        <v>15</v>
      </c>
      <c r="B16" t="s">
        <v>22</v>
      </c>
      <c r="C16" t="s">
        <v>23</v>
      </c>
      <c r="D16" t="s">
        <v>3259</v>
      </c>
      <c r="E16">
        <v>6</v>
      </c>
      <c r="F16" t="str">
        <f>VLOOKUP(E16,[1]LOJA!$A:$B,2,0)</f>
        <v>GAMA</v>
      </c>
      <c r="G16" t="s">
        <v>19</v>
      </c>
      <c r="H16" t="s">
        <v>20</v>
      </c>
      <c r="I16" s="1">
        <v>46009</v>
      </c>
      <c r="J16" s="1">
        <v>46015</v>
      </c>
      <c r="K16" s="1">
        <v>46015</v>
      </c>
      <c r="L16">
        <v>34</v>
      </c>
      <c r="M16" s="2">
        <v>1503.42</v>
      </c>
      <c r="N16" s="2">
        <v>1503.42</v>
      </c>
      <c r="O16">
        <v>0</v>
      </c>
      <c r="P16">
        <v>0</v>
      </c>
      <c r="Q16" t="s">
        <v>3260</v>
      </c>
    </row>
    <row r="17" spans="1:17">
      <c r="A17" t="s">
        <v>15</v>
      </c>
      <c r="B17" t="s">
        <v>22</v>
      </c>
      <c r="C17" t="s">
        <v>23</v>
      </c>
      <c r="D17" t="s">
        <v>3259</v>
      </c>
      <c r="E17">
        <v>8</v>
      </c>
      <c r="F17" t="str">
        <f>VLOOKUP(E17,[1]LOJA!$A:$B,2,0)</f>
        <v>LUZIÂNIA</v>
      </c>
      <c r="G17" t="s">
        <v>19</v>
      </c>
      <c r="H17" t="s">
        <v>20</v>
      </c>
      <c r="I17" s="1">
        <v>46009</v>
      </c>
      <c r="J17" s="1">
        <v>46015</v>
      </c>
      <c r="K17" s="1">
        <v>46015</v>
      </c>
      <c r="L17">
        <v>34</v>
      </c>
      <c r="M17">
        <v>0</v>
      </c>
      <c r="N17">
        <v>0</v>
      </c>
      <c r="O17">
        <v>0</v>
      </c>
      <c r="P17">
        <v>0</v>
      </c>
      <c r="Q17" t="s">
        <v>3260</v>
      </c>
    </row>
    <row r="18" spans="1:17">
      <c r="A18" t="s">
        <v>15</v>
      </c>
      <c r="B18" t="s">
        <v>22</v>
      </c>
      <c r="C18" t="s">
        <v>23</v>
      </c>
      <c r="D18" t="s">
        <v>3259</v>
      </c>
      <c r="E18">
        <v>12</v>
      </c>
      <c r="F18" t="str">
        <f>VLOOKUP(E18,[1]LOJA!$A:$B,2,0)</f>
        <v>SOFNORTE</v>
      </c>
      <c r="G18" t="s">
        <v>19</v>
      </c>
      <c r="H18" t="s">
        <v>20</v>
      </c>
      <c r="I18" s="1">
        <v>46009</v>
      </c>
      <c r="J18" s="1">
        <v>46015</v>
      </c>
      <c r="K18" s="1">
        <v>46015</v>
      </c>
      <c r="L18">
        <v>34</v>
      </c>
      <c r="M18" s="2">
        <v>2466.83</v>
      </c>
      <c r="N18" s="2">
        <v>2466.83</v>
      </c>
      <c r="O18">
        <v>0</v>
      </c>
      <c r="P18">
        <v>0</v>
      </c>
      <c r="Q18" t="s">
        <v>3260</v>
      </c>
    </row>
    <row r="19" spans="1:17">
      <c r="A19" t="s">
        <v>15</v>
      </c>
      <c r="B19" t="s">
        <v>22</v>
      </c>
      <c r="C19" t="s">
        <v>23</v>
      </c>
      <c r="D19" t="s">
        <v>3259</v>
      </c>
      <c r="E19">
        <v>13</v>
      </c>
      <c r="F19" t="str">
        <f>VLOOKUP(E19,[1]LOJA!$A:$B,2,0)</f>
        <v>CEILÂNDIA</v>
      </c>
      <c r="G19" t="s">
        <v>19</v>
      </c>
      <c r="H19" t="s">
        <v>20</v>
      </c>
      <c r="I19" s="1">
        <v>46009</v>
      </c>
      <c r="J19" s="1">
        <v>46015</v>
      </c>
      <c r="K19" s="1">
        <v>46015</v>
      </c>
      <c r="L19">
        <v>34</v>
      </c>
      <c r="M19" s="2">
        <v>2904.56</v>
      </c>
      <c r="N19" s="2">
        <v>2904.56</v>
      </c>
      <c r="O19">
        <v>0</v>
      </c>
      <c r="P19">
        <v>0</v>
      </c>
      <c r="Q19" t="s">
        <v>3260</v>
      </c>
    </row>
    <row r="20" spans="1:17">
      <c r="A20" t="s">
        <v>15</v>
      </c>
      <c r="B20" t="s">
        <v>22</v>
      </c>
      <c r="C20" t="s">
        <v>23</v>
      </c>
      <c r="D20" t="s">
        <v>3259</v>
      </c>
      <c r="E20">
        <v>14</v>
      </c>
      <c r="F20" t="str">
        <f>VLOOKUP(E20,[1]LOJA!$A:$B,2,0)</f>
        <v>S IA</v>
      </c>
      <c r="G20" t="s">
        <v>19</v>
      </c>
      <c r="H20" t="s">
        <v>20</v>
      </c>
      <c r="I20" s="1">
        <v>46009</v>
      </c>
      <c r="J20" s="1">
        <v>46015</v>
      </c>
      <c r="K20" s="1">
        <v>46015</v>
      </c>
      <c r="L20">
        <v>34</v>
      </c>
      <c r="M20" s="2">
        <v>3037.52</v>
      </c>
      <c r="N20" s="2">
        <v>3037.52</v>
      </c>
      <c r="O20">
        <v>0</v>
      </c>
      <c r="P20">
        <v>0</v>
      </c>
      <c r="Q20" t="s">
        <v>3260</v>
      </c>
    </row>
    <row r="21" spans="1:17">
      <c r="A21" t="s">
        <v>15</v>
      </c>
      <c r="B21" t="s">
        <v>22</v>
      </c>
      <c r="C21" t="s">
        <v>23</v>
      </c>
      <c r="D21" t="s">
        <v>3259</v>
      </c>
      <c r="E21">
        <v>15</v>
      </c>
      <c r="F21" t="str">
        <f>VLOOKUP(E21,[1]LOJA!$A:$B,2,0)</f>
        <v>UNAÍ</v>
      </c>
      <c r="G21" t="s">
        <v>19</v>
      </c>
      <c r="H21" t="s">
        <v>20</v>
      </c>
      <c r="I21" s="1">
        <v>46009</v>
      </c>
      <c r="J21" s="1">
        <v>46015</v>
      </c>
      <c r="K21" s="1">
        <v>46015</v>
      </c>
      <c r="L21">
        <v>34</v>
      </c>
      <c r="M21" s="2">
        <v>1188.42</v>
      </c>
      <c r="N21" s="2">
        <v>1188.42</v>
      </c>
      <c r="O21">
        <v>0</v>
      </c>
      <c r="P21">
        <v>0</v>
      </c>
      <c r="Q21" t="s">
        <v>3260</v>
      </c>
    </row>
    <row r="22" spans="1:17">
      <c r="A22" t="s">
        <v>15</v>
      </c>
      <c r="B22" t="s">
        <v>22</v>
      </c>
      <c r="C22" t="s">
        <v>23</v>
      </c>
      <c r="D22" t="s">
        <v>3259</v>
      </c>
      <c r="E22">
        <v>16</v>
      </c>
      <c r="F22" t="str">
        <f>VLOOKUP(E22,[1]LOJA!$A:$B,2,0)</f>
        <v>AG LINDAS</v>
      </c>
      <c r="G22" t="s">
        <v>19</v>
      </c>
      <c r="H22" t="s">
        <v>20</v>
      </c>
      <c r="I22" s="1">
        <v>46009</v>
      </c>
      <c r="J22" s="1">
        <v>46015</v>
      </c>
      <c r="K22" s="1">
        <v>46015</v>
      </c>
      <c r="L22">
        <v>34</v>
      </c>
      <c r="M22">
        <v>938.87</v>
      </c>
      <c r="N22">
        <v>938.87</v>
      </c>
      <c r="O22">
        <v>0</v>
      </c>
      <c r="P22">
        <v>0</v>
      </c>
      <c r="Q22" t="s">
        <v>3260</v>
      </c>
    </row>
    <row r="23" spans="1:17">
      <c r="A23" t="s">
        <v>15</v>
      </c>
      <c r="B23" t="s">
        <v>22</v>
      </c>
      <c r="C23" t="s">
        <v>23</v>
      </c>
      <c r="D23" t="s">
        <v>3259</v>
      </c>
      <c r="E23">
        <v>20</v>
      </c>
      <c r="F23" t="str">
        <f>VLOOKUP(E23,[1]LOJA!$A:$B,2,0)</f>
        <v>DAUTO SERVIÇOS</v>
      </c>
      <c r="G23" t="s">
        <v>19</v>
      </c>
      <c r="H23" t="s">
        <v>20</v>
      </c>
      <c r="I23" s="1">
        <v>46009</v>
      </c>
      <c r="J23" s="1">
        <v>46015</v>
      </c>
      <c r="K23" s="1">
        <v>46015</v>
      </c>
      <c r="L23">
        <v>34</v>
      </c>
      <c r="M23">
        <v>0</v>
      </c>
      <c r="N23">
        <v>0</v>
      </c>
      <c r="O23">
        <v>0</v>
      </c>
      <c r="P23">
        <v>0</v>
      </c>
      <c r="Q23" t="s">
        <v>3260</v>
      </c>
    </row>
    <row r="24" spans="1:17">
      <c r="A24" t="s">
        <v>15</v>
      </c>
      <c r="B24" t="s">
        <v>22</v>
      </c>
      <c r="C24" t="s">
        <v>23</v>
      </c>
      <c r="D24" t="s">
        <v>3259</v>
      </c>
      <c r="E24">
        <v>22</v>
      </c>
      <c r="F24" t="str">
        <f>VLOOKUP(E24,[1]LOJA!$A:$B,2,0)</f>
        <v>GUARÁ</v>
      </c>
      <c r="G24" t="s">
        <v>19</v>
      </c>
      <c r="H24" t="s">
        <v>20</v>
      </c>
      <c r="I24" s="1">
        <v>46009</v>
      </c>
      <c r="J24" s="1">
        <v>46015</v>
      </c>
      <c r="K24" s="1">
        <v>46015</v>
      </c>
      <c r="L24">
        <v>34</v>
      </c>
      <c r="M24" s="2">
        <v>2254.1</v>
      </c>
      <c r="N24" s="2">
        <v>2254.1</v>
      </c>
      <c r="O24">
        <v>0</v>
      </c>
      <c r="P24">
        <v>0</v>
      </c>
      <c r="Q24" t="s">
        <v>3260</v>
      </c>
    </row>
    <row r="25" spans="1:17">
      <c r="A25" t="s">
        <v>15</v>
      </c>
      <c r="B25" t="s">
        <v>22</v>
      </c>
      <c r="C25" t="s">
        <v>23</v>
      </c>
      <c r="D25" t="s">
        <v>3259</v>
      </c>
      <c r="E25">
        <v>24</v>
      </c>
      <c r="F25" t="str">
        <f>VLOOKUP(E25,[1]LOJA!$A:$B,2,0)</f>
        <v>LUZIÂNIA</v>
      </c>
      <c r="G25" t="s">
        <v>19</v>
      </c>
      <c r="H25" t="s">
        <v>20</v>
      </c>
      <c r="I25" s="1">
        <v>46009</v>
      </c>
      <c r="J25" s="1">
        <v>46015</v>
      </c>
      <c r="K25" s="1">
        <v>46015</v>
      </c>
      <c r="L25">
        <v>34</v>
      </c>
      <c r="M25" s="2">
        <v>4150.25</v>
      </c>
      <c r="N25" s="2">
        <v>4150.25</v>
      </c>
      <c r="O25">
        <v>0</v>
      </c>
      <c r="P25">
        <v>0</v>
      </c>
      <c r="Q25" t="s">
        <v>3260</v>
      </c>
    </row>
    <row r="26" spans="1:17">
      <c r="A26" t="s">
        <v>15</v>
      </c>
      <c r="B26" t="s">
        <v>26</v>
      </c>
      <c r="C26" t="s">
        <v>27</v>
      </c>
      <c r="D26" t="s">
        <v>3261</v>
      </c>
      <c r="E26">
        <v>15</v>
      </c>
      <c r="F26" t="str">
        <f>VLOOKUP(E26,[1]LOJA!$A:$B,2,0)</f>
        <v>UNAÍ</v>
      </c>
      <c r="G26" t="s">
        <v>19</v>
      </c>
      <c r="H26" t="s">
        <v>20</v>
      </c>
      <c r="I26" s="1">
        <v>45694</v>
      </c>
      <c r="J26" s="1">
        <v>46013</v>
      </c>
      <c r="K26" s="1">
        <v>46013</v>
      </c>
      <c r="L26">
        <v>17</v>
      </c>
      <c r="M26" s="2">
        <v>19233.330000000002</v>
      </c>
      <c r="N26" s="2">
        <v>19233.330000000002</v>
      </c>
      <c r="O26">
        <v>0</v>
      </c>
      <c r="P26">
        <v>0</v>
      </c>
      <c r="Q26" t="s">
        <v>3262</v>
      </c>
    </row>
    <row r="27" spans="1:17">
      <c r="A27" t="s">
        <v>15</v>
      </c>
      <c r="B27" t="s">
        <v>26</v>
      </c>
      <c r="C27" t="s">
        <v>27</v>
      </c>
      <c r="D27" t="s">
        <v>3263</v>
      </c>
      <c r="E27">
        <v>1</v>
      </c>
      <c r="F27" t="str">
        <f>VLOOKUP(E27,[1]LOJA!$A:$B,2,0)</f>
        <v>GUARÁ</v>
      </c>
      <c r="G27" t="s">
        <v>19</v>
      </c>
      <c r="H27" t="s">
        <v>20</v>
      </c>
      <c r="I27" s="1">
        <v>46009</v>
      </c>
      <c r="J27" s="1">
        <v>46013</v>
      </c>
      <c r="K27" s="1">
        <v>46013</v>
      </c>
      <c r="L27">
        <v>20</v>
      </c>
      <c r="M27">
        <v>0</v>
      </c>
      <c r="N27">
        <v>0</v>
      </c>
      <c r="O27">
        <v>0</v>
      </c>
      <c r="P27">
        <v>0</v>
      </c>
      <c r="Q27" t="s">
        <v>3264</v>
      </c>
    </row>
    <row r="28" spans="1:17">
      <c r="A28" t="s">
        <v>15</v>
      </c>
      <c r="B28" t="s">
        <v>26</v>
      </c>
      <c r="C28" t="s">
        <v>27</v>
      </c>
      <c r="D28" t="s">
        <v>3263</v>
      </c>
      <c r="E28">
        <v>1</v>
      </c>
      <c r="F28" t="str">
        <f>VLOOKUP(E28,[1]LOJA!$A:$B,2,0)</f>
        <v>GUARÁ</v>
      </c>
      <c r="G28" t="s">
        <v>19</v>
      </c>
      <c r="H28" t="s">
        <v>20</v>
      </c>
      <c r="I28" s="1">
        <v>46009</v>
      </c>
      <c r="J28" s="1">
        <v>46013</v>
      </c>
      <c r="K28" s="1">
        <v>46013</v>
      </c>
      <c r="L28">
        <v>22</v>
      </c>
      <c r="M28">
        <v>0</v>
      </c>
      <c r="N28">
        <v>0</v>
      </c>
      <c r="O28">
        <v>0</v>
      </c>
      <c r="P28">
        <v>0</v>
      </c>
      <c r="Q28" t="s">
        <v>3265</v>
      </c>
    </row>
    <row r="29" spans="1:17">
      <c r="A29" t="s">
        <v>15</v>
      </c>
      <c r="B29" t="s">
        <v>26</v>
      </c>
      <c r="C29" t="s">
        <v>27</v>
      </c>
      <c r="D29" t="s">
        <v>3263</v>
      </c>
      <c r="E29">
        <v>1</v>
      </c>
      <c r="F29" t="str">
        <f>VLOOKUP(E29,[1]LOJA!$A:$B,2,0)</f>
        <v>GUARÁ</v>
      </c>
      <c r="G29" t="s">
        <v>19</v>
      </c>
      <c r="H29" t="s">
        <v>20</v>
      </c>
      <c r="I29" s="1">
        <v>46009</v>
      </c>
      <c r="J29" s="1">
        <v>46013</v>
      </c>
      <c r="K29" s="1">
        <v>46013</v>
      </c>
      <c r="L29">
        <v>26</v>
      </c>
      <c r="M29">
        <v>0</v>
      </c>
      <c r="N29">
        <v>0</v>
      </c>
      <c r="O29">
        <v>0</v>
      </c>
      <c r="P29">
        <v>0</v>
      </c>
      <c r="Q29" t="s">
        <v>3264</v>
      </c>
    </row>
    <row r="30" spans="1:17">
      <c r="A30" t="s">
        <v>15</v>
      </c>
      <c r="B30" t="s">
        <v>26</v>
      </c>
      <c r="C30" t="s">
        <v>27</v>
      </c>
      <c r="D30" t="s">
        <v>3263</v>
      </c>
      <c r="E30">
        <v>4</v>
      </c>
      <c r="F30" t="str">
        <f>VLOOKUP(E30,[1]LOJA!$A:$B,2,0)</f>
        <v>ADE</v>
      </c>
      <c r="G30" t="s">
        <v>19</v>
      </c>
      <c r="H30" t="s">
        <v>20</v>
      </c>
      <c r="I30" s="1">
        <v>46009</v>
      </c>
      <c r="J30" s="1">
        <v>46013</v>
      </c>
      <c r="K30" s="1">
        <v>46013</v>
      </c>
      <c r="L30">
        <v>20</v>
      </c>
      <c r="M30" s="2">
        <v>2257.65</v>
      </c>
      <c r="N30" s="2">
        <v>2257.65</v>
      </c>
      <c r="O30">
        <v>0</v>
      </c>
      <c r="P30">
        <v>0</v>
      </c>
      <c r="Q30" t="s">
        <v>3264</v>
      </c>
    </row>
    <row r="31" spans="1:17">
      <c r="A31" t="s">
        <v>15</v>
      </c>
      <c r="B31" t="s">
        <v>26</v>
      </c>
      <c r="C31" t="s">
        <v>27</v>
      </c>
      <c r="D31" t="s">
        <v>3263</v>
      </c>
      <c r="E31">
        <v>4</v>
      </c>
      <c r="F31" t="str">
        <f>VLOOKUP(E31,[1]LOJA!$A:$B,2,0)</f>
        <v>ADE</v>
      </c>
      <c r="G31" t="s">
        <v>19</v>
      </c>
      <c r="H31" t="s">
        <v>20</v>
      </c>
      <c r="I31" s="1">
        <v>46009</v>
      </c>
      <c r="J31" s="1">
        <v>46013</v>
      </c>
      <c r="K31" s="1">
        <v>46013</v>
      </c>
      <c r="L31">
        <v>22</v>
      </c>
      <c r="M31">
        <v>857.84</v>
      </c>
      <c r="N31">
        <v>857.84</v>
      </c>
      <c r="O31">
        <v>0</v>
      </c>
      <c r="P31">
        <v>0</v>
      </c>
      <c r="Q31" t="s">
        <v>3265</v>
      </c>
    </row>
    <row r="32" spans="1:17">
      <c r="A32" t="s">
        <v>15</v>
      </c>
      <c r="B32" t="s">
        <v>26</v>
      </c>
      <c r="C32" t="s">
        <v>27</v>
      </c>
      <c r="D32" t="s">
        <v>3263</v>
      </c>
      <c r="E32">
        <v>4</v>
      </c>
      <c r="F32" t="str">
        <f>VLOOKUP(E32,[1]LOJA!$A:$B,2,0)</f>
        <v>ADE</v>
      </c>
      <c r="G32" t="s">
        <v>19</v>
      </c>
      <c r="H32" t="s">
        <v>20</v>
      </c>
      <c r="I32" s="1">
        <v>46009</v>
      </c>
      <c r="J32" s="1">
        <v>46013</v>
      </c>
      <c r="K32" s="1">
        <v>46013</v>
      </c>
      <c r="L32">
        <v>26</v>
      </c>
      <c r="M32" s="2">
        <v>1855.46</v>
      </c>
      <c r="N32" s="2">
        <v>1855.46</v>
      </c>
      <c r="O32">
        <v>0</v>
      </c>
      <c r="P32">
        <v>0</v>
      </c>
      <c r="Q32" t="s">
        <v>3264</v>
      </c>
    </row>
    <row r="33" spans="1:17">
      <c r="A33" t="s">
        <v>15</v>
      </c>
      <c r="B33" t="s">
        <v>26</v>
      </c>
      <c r="C33" t="s">
        <v>27</v>
      </c>
      <c r="D33" t="s">
        <v>3263</v>
      </c>
      <c r="E33">
        <v>6</v>
      </c>
      <c r="F33" t="str">
        <f>VLOOKUP(E33,[1]LOJA!$A:$B,2,0)</f>
        <v>GAMA</v>
      </c>
      <c r="G33" t="s">
        <v>19</v>
      </c>
      <c r="H33" t="s">
        <v>20</v>
      </c>
      <c r="I33" s="1">
        <v>46009</v>
      </c>
      <c r="J33" s="1">
        <v>46013</v>
      </c>
      <c r="K33" s="1">
        <v>46013</v>
      </c>
      <c r="L33">
        <v>20</v>
      </c>
      <c r="M33" s="2">
        <v>1688.07</v>
      </c>
      <c r="N33" s="2">
        <v>1688.07</v>
      </c>
      <c r="O33">
        <v>0</v>
      </c>
      <c r="P33">
        <v>0</v>
      </c>
      <c r="Q33" t="s">
        <v>3264</v>
      </c>
    </row>
    <row r="34" spans="1:17">
      <c r="A34" t="s">
        <v>15</v>
      </c>
      <c r="B34" t="s">
        <v>26</v>
      </c>
      <c r="C34" t="s">
        <v>27</v>
      </c>
      <c r="D34" t="s">
        <v>3263</v>
      </c>
      <c r="E34">
        <v>6</v>
      </c>
      <c r="F34" t="str">
        <f>VLOOKUP(E34,[1]LOJA!$A:$B,2,0)</f>
        <v>GAMA</v>
      </c>
      <c r="G34" t="s">
        <v>19</v>
      </c>
      <c r="H34" t="s">
        <v>20</v>
      </c>
      <c r="I34" s="1">
        <v>46009</v>
      </c>
      <c r="J34" s="1">
        <v>46013</v>
      </c>
      <c r="K34" s="1">
        <v>46013</v>
      </c>
      <c r="L34">
        <v>22</v>
      </c>
      <c r="M34">
        <v>641.41</v>
      </c>
      <c r="N34">
        <v>641.41</v>
      </c>
      <c r="O34">
        <v>0</v>
      </c>
      <c r="P34">
        <v>0</v>
      </c>
      <c r="Q34" t="s">
        <v>3265</v>
      </c>
    </row>
    <row r="35" spans="1:17">
      <c r="A35" t="s">
        <v>15</v>
      </c>
      <c r="B35" t="s">
        <v>26</v>
      </c>
      <c r="C35" t="s">
        <v>27</v>
      </c>
      <c r="D35" t="s">
        <v>3263</v>
      </c>
      <c r="E35">
        <v>6</v>
      </c>
      <c r="F35" t="str">
        <f>VLOOKUP(E35,[1]LOJA!$A:$B,2,0)</f>
        <v>GAMA</v>
      </c>
      <c r="G35" t="s">
        <v>19</v>
      </c>
      <c r="H35" t="s">
        <v>20</v>
      </c>
      <c r="I35" s="1">
        <v>46009</v>
      </c>
      <c r="J35" s="1">
        <v>46013</v>
      </c>
      <c r="K35" s="1">
        <v>46013</v>
      </c>
      <c r="L35">
        <v>26</v>
      </c>
      <c r="M35" s="2">
        <v>1387.35</v>
      </c>
      <c r="N35" s="2">
        <v>1387.35</v>
      </c>
      <c r="O35">
        <v>0</v>
      </c>
      <c r="P35">
        <v>0</v>
      </c>
      <c r="Q35" t="s">
        <v>3264</v>
      </c>
    </row>
    <row r="36" spans="1:17">
      <c r="A36" t="s">
        <v>15</v>
      </c>
      <c r="B36" t="s">
        <v>26</v>
      </c>
      <c r="C36" t="s">
        <v>27</v>
      </c>
      <c r="D36" t="s">
        <v>3263</v>
      </c>
      <c r="E36">
        <v>8</v>
      </c>
      <c r="F36" t="str">
        <f>VLOOKUP(E36,[1]LOJA!$A:$B,2,0)</f>
        <v>LUZIÂNIA</v>
      </c>
      <c r="G36" t="s">
        <v>19</v>
      </c>
      <c r="H36" t="s">
        <v>20</v>
      </c>
      <c r="I36" s="1">
        <v>46009</v>
      </c>
      <c r="J36" s="1">
        <v>46013</v>
      </c>
      <c r="K36" s="1">
        <v>46013</v>
      </c>
      <c r="L36">
        <v>20</v>
      </c>
      <c r="M36">
        <v>0</v>
      </c>
      <c r="N36">
        <v>0</v>
      </c>
      <c r="O36">
        <v>0</v>
      </c>
      <c r="P36">
        <v>0</v>
      </c>
      <c r="Q36" t="s">
        <v>3264</v>
      </c>
    </row>
    <row r="37" spans="1:17">
      <c r="A37" t="s">
        <v>15</v>
      </c>
      <c r="B37" t="s">
        <v>26</v>
      </c>
      <c r="C37" t="s">
        <v>27</v>
      </c>
      <c r="D37" t="s">
        <v>3263</v>
      </c>
      <c r="E37">
        <v>8</v>
      </c>
      <c r="F37" t="str">
        <f>VLOOKUP(E37,[1]LOJA!$A:$B,2,0)</f>
        <v>LUZIÂNIA</v>
      </c>
      <c r="G37" t="s">
        <v>19</v>
      </c>
      <c r="H37" t="s">
        <v>20</v>
      </c>
      <c r="I37" s="1">
        <v>46009</v>
      </c>
      <c r="J37" s="1">
        <v>46013</v>
      </c>
      <c r="K37" s="1">
        <v>46013</v>
      </c>
      <c r="L37">
        <v>22</v>
      </c>
      <c r="M37">
        <v>0</v>
      </c>
      <c r="N37">
        <v>0</v>
      </c>
      <c r="O37">
        <v>0</v>
      </c>
      <c r="P37">
        <v>0</v>
      </c>
      <c r="Q37" t="s">
        <v>3265</v>
      </c>
    </row>
    <row r="38" spans="1:17">
      <c r="A38" t="s">
        <v>15</v>
      </c>
      <c r="B38" t="s">
        <v>26</v>
      </c>
      <c r="C38" t="s">
        <v>27</v>
      </c>
      <c r="D38" t="s">
        <v>3263</v>
      </c>
      <c r="E38">
        <v>8</v>
      </c>
      <c r="F38" t="str">
        <f>VLOOKUP(E38,[1]LOJA!$A:$B,2,0)</f>
        <v>LUZIÂNIA</v>
      </c>
      <c r="G38" t="s">
        <v>19</v>
      </c>
      <c r="H38" t="s">
        <v>20</v>
      </c>
      <c r="I38" s="1">
        <v>46009</v>
      </c>
      <c r="J38" s="1">
        <v>46013</v>
      </c>
      <c r="K38" s="1">
        <v>46013</v>
      </c>
      <c r="L38">
        <v>26</v>
      </c>
      <c r="M38">
        <v>0</v>
      </c>
      <c r="N38">
        <v>0</v>
      </c>
      <c r="O38">
        <v>0</v>
      </c>
      <c r="P38">
        <v>0</v>
      </c>
      <c r="Q38" t="s">
        <v>3264</v>
      </c>
    </row>
    <row r="39" spans="1:17">
      <c r="A39" t="s">
        <v>15</v>
      </c>
      <c r="B39" t="s">
        <v>26</v>
      </c>
      <c r="C39" t="s">
        <v>27</v>
      </c>
      <c r="D39" t="s">
        <v>3263</v>
      </c>
      <c r="E39">
        <v>12</v>
      </c>
      <c r="F39" t="str">
        <f>VLOOKUP(E39,[1]LOJA!$A:$B,2,0)</f>
        <v>SOFNORTE</v>
      </c>
      <c r="G39" t="s">
        <v>19</v>
      </c>
      <c r="H39" t="s">
        <v>20</v>
      </c>
      <c r="I39" s="1">
        <v>46009</v>
      </c>
      <c r="J39" s="1">
        <v>46013</v>
      </c>
      <c r="K39" s="1">
        <v>46013</v>
      </c>
      <c r="L39">
        <v>20</v>
      </c>
      <c r="M39" s="2">
        <v>2769.81</v>
      </c>
      <c r="N39" s="2">
        <v>2769.81</v>
      </c>
      <c r="O39">
        <v>0</v>
      </c>
      <c r="P39">
        <v>0</v>
      </c>
      <c r="Q39" t="s">
        <v>3264</v>
      </c>
    </row>
    <row r="40" spans="1:17">
      <c r="A40" t="s">
        <v>15</v>
      </c>
      <c r="B40" t="s">
        <v>26</v>
      </c>
      <c r="C40" t="s">
        <v>27</v>
      </c>
      <c r="D40" t="s">
        <v>3263</v>
      </c>
      <c r="E40">
        <v>12</v>
      </c>
      <c r="F40" t="str">
        <f>VLOOKUP(E40,[1]LOJA!$A:$B,2,0)</f>
        <v>SOFNORTE</v>
      </c>
      <c r="G40" t="s">
        <v>19</v>
      </c>
      <c r="H40" t="s">
        <v>20</v>
      </c>
      <c r="I40" s="1">
        <v>46009</v>
      </c>
      <c r="J40" s="1">
        <v>46013</v>
      </c>
      <c r="K40" s="1">
        <v>46013</v>
      </c>
      <c r="L40">
        <v>22</v>
      </c>
      <c r="M40" s="2">
        <v>1052.44</v>
      </c>
      <c r="N40" s="2">
        <v>1052.44</v>
      </c>
      <c r="O40">
        <v>0</v>
      </c>
      <c r="P40">
        <v>0</v>
      </c>
      <c r="Q40" t="s">
        <v>3265</v>
      </c>
    </row>
    <row r="41" spans="1:17">
      <c r="A41" t="s">
        <v>15</v>
      </c>
      <c r="B41" t="s">
        <v>26</v>
      </c>
      <c r="C41" t="s">
        <v>27</v>
      </c>
      <c r="D41" t="s">
        <v>3263</v>
      </c>
      <c r="E41">
        <v>12</v>
      </c>
      <c r="F41" t="str">
        <f>VLOOKUP(E41,[1]LOJA!$A:$B,2,0)</f>
        <v>SOFNORTE</v>
      </c>
      <c r="G41" t="s">
        <v>19</v>
      </c>
      <c r="H41" t="s">
        <v>20</v>
      </c>
      <c r="I41" s="1">
        <v>46009</v>
      </c>
      <c r="J41" s="1">
        <v>46013</v>
      </c>
      <c r="K41" s="1">
        <v>46013</v>
      </c>
      <c r="L41">
        <v>26</v>
      </c>
      <c r="M41" s="2">
        <v>2276.38</v>
      </c>
      <c r="N41" s="2">
        <v>2276.38</v>
      </c>
      <c r="O41">
        <v>0</v>
      </c>
      <c r="P41">
        <v>0</v>
      </c>
      <c r="Q41" t="s">
        <v>3264</v>
      </c>
    </row>
    <row r="42" spans="1:17">
      <c r="A42" t="s">
        <v>15</v>
      </c>
      <c r="B42" t="s">
        <v>26</v>
      </c>
      <c r="C42" t="s">
        <v>27</v>
      </c>
      <c r="D42" t="s">
        <v>3263</v>
      </c>
      <c r="E42">
        <v>13</v>
      </c>
      <c r="F42" t="str">
        <f>VLOOKUP(E42,[1]LOJA!$A:$B,2,0)</f>
        <v>CEILÂNDIA</v>
      </c>
      <c r="G42" t="s">
        <v>19</v>
      </c>
      <c r="H42" t="s">
        <v>20</v>
      </c>
      <c r="I42" s="1">
        <v>46009</v>
      </c>
      <c r="J42" s="1">
        <v>46013</v>
      </c>
      <c r="K42" s="1">
        <v>46013</v>
      </c>
      <c r="L42">
        <v>20</v>
      </c>
      <c r="M42" s="2">
        <v>3261.31</v>
      </c>
      <c r="N42" s="2">
        <v>3261.31</v>
      </c>
      <c r="O42">
        <v>0</v>
      </c>
      <c r="P42">
        <v>0</v>
      </c>
      <c r="Q42" t="s">
        <v>3264</v>
      </c>
    </row>
    <row r="43" spans="1:17">
      <c r="A43" t="s">
        <v>15</v>
      </c>
      <c r="B43" t="s">
        <v>26</v>
      </c>
      <c r="C43" t="s">
        <v>27</v>
      </c>
      <c r="D43" t="s">
        <v>3263</v>
      </c>
      <c r="E43">
        <v>13</v>
      </c>
      <c r="F43" t="str">
        <f>VLOOKUP(E43,[1]LOJA!$A:$B,2,0)</f>
        <v>CEILÂNDIA</v>
      </c>
      <c r="G43" t="s">
        <v>19</v>
      </c>
      <c r="H43" t="s">
        <v>20</v>
      </c>
      <c r="I43" s="1">
        <v>46009</v>
      </c>
      <c r="J43" s="1">
        <v>46013</v>
      </c>
      <c r="K43" s="1">
        <v>46013</v>
      </c>
      <c r="L43">
        <v>22</v>
      </c>
      <c r="M43" s="2">
        <v>1239.19</v>
      </c>
      <c r="N43" s="2">
        <v>1239.19</v>
      </c>
      <c r="O43">
        <v>0</v>
      </c>
      <c r="P43">
        <v>0</v>
      </c>
      <c r="Q43" t="s">
        <v>3265</v>
      </c>
    </row>
    <row r="44" spans="1:17">
      <c r="A44" t="s">
        <v>15</v>
      </c>
      <c r="B44" t="s">
        <v>26</v>
      </c>
      <c r="C44" t="s">
        <v>27</v>
      </c>
      <c r="D44" t="s">
        <v>3263</v>
      </c>
      <c r="E44">
        <v>13</v>
      </c>
      <c r="F44" t="str">
        <f>VLOOKUP(E44,[1]LOJA!$A:$B,2,0)</f>
        <v>CEILÂNDIA</v>
      </c>
      <c r="G44" t="s">
        <v>19</v>
      </c>
      <c r="H44" t="s">
        <v>20</v>
      </c>
      <c r="I44" s="1">
        <v>46009</v>
      </c>
      <c r="J44" s="1">
        <v>46013</v>
      </c>
      <c r="K44" s="1">
        <v>46013</v>
      </c>
      <c r="L44">
        <v>26</v>
      </c>
      <c r="M44" s="2">
        <v>2680.32</v>
      </c>
      <c r="N44" s="2">
        <v>2680.32</v>
      </c>
      <c r="O44">
        <v>0</v>
      </c>
      <c r="P44">
        <v>0</v>
      </c>
      <c r="Q44" t="s">
        <v>3264</v>
      </c>
    </row>
    <row r="45" spans="1:17">
      <c r="A45" t="s">
        <v>15</v>
      </c>
      <c r="B45" t="s">
        <v>26</v>
      </c>
      <c r="C45" t="s">
        <v>27</v>
      </c>
      <c r="D45" t="s">
        <v>3263</v>
      </c>
      <c r="E45">
        <v>14</v>
      </c>
      <c r="F45" t="str">
        <f>VLOOKUP(E45,[1]LOJA!$A:$B,2,0)</f>
        <v>S IA</v>
      </c>
      <c r="G45" t="s">
        <v>19</v>
      </c>
      <c r="H45" t="s">
        <v>20</v>
      </c>
      <c r="I45" s="1">
        <v>46009</v>
      </c>
      <c r="J45" s="1">
        <v>46013</v>
      </c>
      <c r="K45" s="1">
        <v>46013</v>
      </c>
      <c r="L45">
        <v>20</v>
      </c>
      <c r="M45" s="2">
        <v>3410.59</v>
      </c>
      <c r="N45" s="2">
        <v>3410.59</v>
      </c>
      <c r="O45">
        <v>0</v>
      </c>
      <c r="P45">
        <v>0</v>
      </c>
      <c r="Q45" t="s">
        <v>3264</v>
      </c>
    </row>
    <row r="46" spans="1:17">
      <c r="A46" t="s">
        <v>15</v>
      </c>
      <c r="B46" t="s">
        <v>26</v>
      </c>
      <c r="C46" t="s">
        <v>27</v>
      </c>
      <c r="D46" t="s">
        <v>3263</v>
      </c>
      <c r="E46">
        <v>14</v>
      </c>
      <c r="F46" t="str">
        <f>VLOOKUP(E46,[1]LOJA!$A:$B,2,0)</f>
        <v>S IA</v>
      </c>
      <c r="G46" t="s">
        <v>19</v>
      </c>
      <c r="H46" t="s">
        <v>20</v>
      </c>
      <c r="I46" s="1">
        <v>46009</v>
      </c>
      <c r="J46" s="1">
        <v>46013</v>
      </c>
      <c r="K46" s="1">
        <v>46013</v>
      </c>
      <c r="L46">
        <v>22</v>
      </c>
      <c r="M46" s="2">
        <v>1295.92</v>
      </c>
      <c r="N46" s="2">
        <v>1295.92</v>
      </c>
      <c r="O46">
        <v>0</v>
      </c>
      <c r="P46">
        <v>0</v>
      </c>
      <c r="Q46" t="s">
        <v>3265</v>
      </c>
    </row>
    <row r="47" spans="1:17">
      <c r="A47" t="s">
        <v>15</v>
      </c>
      <c r="B47" t="s">
        <v>26</v>
      </c>
      <c r="C47" t="s">
        <v>27</v>
      </c>
      <c r="D47" t="s">
        <v>3263</v>
      </c>
      <c r="E47">
        <v>14</v>
      </c>
      <c r="F47" t="str">
        <f>VLOOKUP(E47,[1]LOJA!$A:$B,2,0)</f>
        <v>S IA</v>
      </c>
      <c r="G47" t="s">
        <v>19</v>
      </c>
      <c r="H47" t="s">
        <v>20</v>
      </c>
      <c r="I47" s="1">
        <v>46009</v>
      </c>
      <c r="J47" s="1">
        <v>46013</v>
      </c>
      <c r="K47" s="1">
        <v>46013</v>
      </c>
      <c r="L47">
        <v>26</v>
      </c>
      <c r="M47" s="2">
        <v>2803.01</v>
      </c>
      <c r="N47" s="2">
        <v>2803.01</v>
      </c>
      <c r="O47">
        <v>0</v>
      </c>
      <c r="P47">
        <v>0</v>
      </c>
      <c r="Q47" t="s">
        <v>3264</v>
      </c>
    </row>
    <row r="48" spans="1:17">
      <c r="A48" t="s">
        <v>15</v>
      </c>
      <c r="B48" t="s">
        <v>26</v>
      </c>
      <c r="C48" t="s">
        <v>27</v>
      </c>
      <c r="D48" t="s">
        <v>3263</v>
      </c>
      <c r="E48">
        <v>15</v>
      </c>
      <c r="F48" t="str">
        <f>VLOOKUP(E48,[1]LOJA!$A:$B,2,0)</f>
        <v>UNAÍ</v>
      </c>
      <c r="G48" t="s">
        <v>19</v>
      </c>
      <c r="H48" t="s">
        <v>20</v>
      </c>
      <c r="I48" s="1">
        <v>46009</v>
      </c>
      <c r="J48" s="1">
        <v>46013</v>
      </c>
      <c r="K48" s="1">
        <v>46013</v>
      </c>
      <c r="L48">
        <v>20</v>
      </c>
      <c r="M48" s="2">
        <v>1334.38</v>
      </c>
      <c r="N48" s="2">
        <v>1334.38</v>
      </c>
      <c r="O48">
        <v>0</v>
      </c>
      <c r="P48">
        <v>0</v>
      </c>
      <c r="Q48" t="s">
        <v>3264</v>
      </c>
    </row>
    <row r="49" spans="1:17">
      <c r="A49" t="s">
        <v>15</v>
      </c>
      <c r="B49" t="s">
        <v>26</v>
      </c>
      <c r="C49" t="s">
        <v>27</v>
      </c>
      <c r="D49" t="s">
        <v>3263</v>
      </c>
      <c r="E49">
        <v>15</v>
      </c>
      <c r="F49" t="str">
        <f>VLOOKUP(E49,[1]LOJA!$A:$B,2,0)</f>
        <v>UNAÍ</v>
      </c>
      <c r="G49" t="s">
        <v>19</v>
      </c>
      <c r="H49" t="s">
        <v>20</v>
      </c>
      <c r="I49" s="1">
        <v>46009</v>
      </c>
      <c r="J49" s="1">
        <v>46013</v>
      </c>
      <c r="K49" s="1">
        <v>46013</v>
      </c>
      <c r="L49">
        <v>22</v>
      </c>
      <c r="M49">
        <v>507.02</v>
      </c>
      <c r="N49">
        <v>507.02</v>
      </c>
      <c r="O49">
        <v>0</v>
      </c>
      <c r="P49">
        <v>0</v>
      </c>
      <c r="Q49" t="s">
        <v>3265</v>
      </c>
    </row>
    <row r="50" spans="1:17">
      <c r="A50" t="s">
        <v>15</v>
      </c>
      <c r="B50" t="s">
        <v>26</v>
      </c>
      <c r="C50" t="s">
        <v>27</v>
      </c>
      <c r="D50" t="s">
        <v>3263</v>
      </c>
      <c r="E50">
        <v>15</v>
      </c>
      <c r="F50" t="str">
        <f>VLOOKUP(E50,[1]LOJA!$A:$B,2,0)</f>
        <v>UNAÍ</v>
      </c>
      <c r="G50" t="s">
        <v>19</v>
      </c>
      <c r="H50" t="s">
        <v>20</v>
      </c>
      <c r="I50" s="1">
        <v>46009</v>
      </c>
      <c r="J50" s="1">
        <v>46013</v>
      </c>
      <c r="K50" s="1">
        <v>46013</v>
      </c>
      <c r="L50">
        <v>26</v>
      </c>
      <c r="M50" s="2">
        <v>1096.67</v>
      </c>
      <c r="N50" s="2">
        <v>1096.67</v>
      </c>
      <c r="O50">
        <v>0</v>
      </c>
      <c r="P50">
        <v>0</v>
      </c>
      <c r="Q50" t="s">
        <v>3264</v>
      </c>
    </row>
    <row r="51" spans="1:17">
      <c r="A51" t="s">
        <v>15</v>
      </c>
      <c r="B51" t="s">
        <v>26</v>
      </c>
      <c r="C51" t="s">
        <v>27</v>
      </c>
      <c r="D51" t="s">
        <v>3263</v>
      </c>
      <c r="E51">
        <v>16</v>
      </c>
      <c r="F51" t="str">
        <f>VLOOKUP(E51,[1]LOJA!$A:$B,2,0)</f>
        <v>AG LINDAS</v>
      </c>
      <c r="G51" t="s">
        <v>19</v>
      </c>
      <c r="H51" t="s">
        <v>20</v>
      </c>
      <c r="I51" s="1">
        <v>46009</v>
      </c>
      <c r="J51" s="1">
        <v>46013</v>
      </c>
      <c r="K51" s="1">
        <v>46013</v>
      </c>
      <c r="L51">
        <v>20</v>
      </c>
      <c r="M51" s="2">
        <v>1054.18</v>
      </c>
      <c r="N51" s="2">
        <v>1054.18</v>
      </c>
      <c r="O51">
        <v>0</v>
      </c>
      <c r="P51">
        <v>0</v>
      </c>
      <c r="Q51" t="s">
        <v>3264</v>
      </c>
    </row>
    <row r="52" spans="1:17">
      <c r="A52" t="s">
        <v>15</v>
      </c>
      <c r="B52" t="s">
        <v>26</v>
      </c>
      <c r="C52" t="s">
        <v>27</v>
      </c>
      <c r="D52" t="s">
        <v>3263</v>
      </c>
      <c r="E52">
        <v>16</v>
      </c>
      <c r="F52" t="str">
        <f>VLOOKUP(E52,[1]LOJA!$A:$B,2,0)</f>
        <v>AG LINDAS</v>
      </c>
      <c r="G52" t="s">
        <v>19</v>
      </c>
      <c r="H52" t="s">
        <v>20</v>
      </c>
      <c r="I52" s="1">
        <v>46009</v>
      </c>
      <c r="J52" s="1">
        <v>46013</v>
      </c>
      <c r="K52" s="1">
        <v>46013</v>
      </c>
      <c r="L52">
        <v>22</v>
      </c>
      <c r="M52">
        <v>400.56</v>
      </c>
      <c r="N52">
        <v>400.56</v>
      </c>
      <c r="O52">
        <v>0</v>
      </c>
      <c r="P52">
        <v>0</v>
      </c>
      <c r="Q52" t="s">
        <v>3265</v>
      </c>
    </row>
    <row r="53" spans="1:17">
      <c r="A53" t="s">
        <v>15</v>
      </c>
      <c r="B53" t="s">
        <v>26</v>
      </c>
      <c r="C53" t="s">
        <v>27</v>
      </c>
      <c r="D53" t="s">
        <v>3263</v>
      </c>
      <c r="E53">
        <v>16</v>
      </c>
      <c r="F53" t="str">
        <f>VLOOKUP(E53,[1]LOJA!$A:$B,2,0)</f>
        <v>AG LINDAS</v>
      </c>
      <c r="G53" t="s">
        <v>19</v>
      </c>
      <c r="H53" t="s">
        <v>20</v>
      </c>
      <c r="I53" s="1">
        <v>46009</v>
      </c>
      <c r="J53" s="1">
        <v>46013</v>
      </c>
      <c r="K53" s="1">
        <v>46013</v>
      </c>
      <c r="L53">
        <v>26</v>
      </c>
      <c r="M53">
        <v>866.38</v>
      </c>
      <c r="N53">
        <v>866.38</v>
      </c>
      <c r="O53">
        <v>0</v>
      </c>
      <c r="P53">
        <v>0</v>
      </c>
      <c r="Q53" t="s">
        <v>3264</v>
      </c>
    </row>
    <row r="54" spans="1:17">
      <c r="A54" t="s">
        <v>15</v>
      </c>
      <c r="B54" t="s">
        <v>26</v>
      </c>
      <c r="C54" t="s">
        <v>27</v>
      </c>
      <c r="D54" t="s">
        <v>3263</v>
      </c>
      <c r="E54">
        <v>20</v>
      </c>
      <c r="F54" t="str">
        <f>VLOOKUP(E54,[1]LOJA!$A:$B,2,0)</f>
        <v>DAUTO SERVIÇOS</v>
      </c>
      <c r="G54" t="s">
        <v>19</v>
      </c>
      <c r="H54" t="s">
        <v>20</v>
      </c>
      <c r="I54" s="1">
        <v>46009</v>
      </c>
      <c r="J54" s="1">
        <v>46013</v>
      </c>
      <c r="K54" s="1">
        <v>46013</v>
      </c>
      <c r="L54">
        <v>20</v>
      </c>
      <c r="M54">
        <v>0</v>
      </c>
      <c r="N54">
        <v>0</v>
      </c>
      <c r="O54">
        <v>0</v>
      </c>
      <c r="P54">
        <v>0</v>
      </c>
      <c r="Q54" t="s">
        <v>3264</v>
      </c>
    </row>
    <row r="55" spans="1:17">
      <c r="A55" t="s">
        <v>15</v>
      </c>
      <c r="B55" t="s">
        <v>26</v>
      </c>
      <c r="C55" t="s">
        <v>27</v>
      </c>
      <c r="D55" t="s">
        <v>3263</v>
      </c>
      <c r="E55">
        <v>20</v>
      </c>
      <c r="F55" t="str">
        <f>VLOOKUP(E55,[1]LOJA!$A:$B,2,0)</f>
        <v>DAUTO SERVIÇOS</v>
      </c>
      <c r="G55" t="s">
        <v>19</v>
      </c>
      <c r="H55" t="s">
        <v>20</v>
      </c>
      <c r="I55" s="1">
        <v>46009</v>
      </c>
      <c r="J55" s="1">
        <v>46013</v>
      </c>
      <c r="K55" s="1">
        <v>46013</v>
      </c>
      <c r="L55">
        <v>22</v>
      </c>
      <c r="M55">
        <v>0</v>
      </c>
      <c r="N55">
        <v>0</v>
      </c>
      <c r="O55">
        <v>0</v>
      </c>
      <c r="P55">
        <v>0</v>
      </c>
      <c r="Q55" t="s">
        <v>3265</v>
      </c>
    </row>
    <row r="56" spans="1:17">
      <c r="A56" t="s">
        <v>15</v>
      </c>
      <c r="B56" t="s">
        <v>26</v>
      </c>
      <c r="C56" t="s">
        <v>27</v>
      </c>
      <c r="D56" t="s">
        <v>3263</v>
      </c>
      <c r="E56">
        <v>20</v>
      </c>
      <c r="F56" t="str">
        <f>VLOOKUP(E56,[1]LOJA!$A:$B,2,0)</f>
        <v>DAUTO SERVIÇOS</v>
      </c>
      <c r="G56" t="s">
        <v>19</v>
      </c>
      <c r="H56" t="s">
        <v>20</v>
      </c>
      <c r="I56" s="1">
        <v>46009</v>
      </c>
      <c r="J56" s="1">
        <v>46013</v>
      </c>
      <c r="K56" s="1">
        <v>46013</v>
      </c>
      <c r="L56">
        <v>26</v>
      </c>
      <c r="M56">
        <v>0</v>
      </c>
      <c r="N56">
        <v>0</v>
      </c>
      <c r="O56">
        <v>0</v>
      </c>
      <c r="P56">
        <v>0</v>
      </c>
      <c r="Q56" t="s">
        <v>3264</v>
      </c>
    </row>
    <row r="57" spans="1:17">
      <c r="A57" t="s">
        <v>15</v>
      </c>
      <c r="B57" t="s">
        <v>26</v>
      </c>
      <c r="C57" t="s">
        <v>27</v>
      </c>
      <c r="D57" t="s">
        <v>3263</v>
      </c>
      <c r="E57">
        <v>22</v>
      </c>
      <c r="F57" t="str">
        <f>VLOOKUP(E57,[1]LOJA!$A:$B,2,0)</f>
        <v>GUARÁ</v>
      </c>
      <c r="G57" t="s">
        <v>19</v>
      </c>
      <c r="H57" t="s">
        <v>20</v>
      </c>
      <c r="I57" s="1">
        <v>46009</v>
      </c>
      <c r="J57" s="1">
        <v>46013</v>
      </c>
      <c r="K57" s="1">
        <v>46013</v>
      </c>
      <c r="L57">
        <v>20</v>
      </c>
      <c r="M57" s="2">
        <v>2530.96</v>
      </c>
      <c r="N57" s="2">
        <v>2530.96</v>
      </c>
      <c r="O57">
        <v>0</v>
      </c>
      <c r="P57">
        <v>0</v>
      </c>
      <c r="Q57" t="s">
        <v>3264</v>
      </c>
    </row>
    <row r="58" spans="1:17">
      <c r="A58" t="s">
        <v>15</v>
      </c>
      <c r="B58" t="s">
        <v>26</v>
      </c>
      <c r="C58" t="s">
        <v>27</v>
      </c>
      <c r="D58" t="s">
        <v>3263</v>
      </c>
      <c r="E58">
        <v>22</v>
      </c>
      <c r="F58" t="str">
        <f>VLOOKUP(E58,[1]LOJA!$A:$B,2,0)</f>
        <v>GUARÁ</v>
      </c>
      <c r="G58" t="s">
        <v>19</v>
      </c>
      <c r="H58" t="s">
        <v>20</v>
      </c>
      <c r="I58" s="1">
        <v>46009</v>
      </c>
      <c r="J58" s="1">
        <v>46013</v>
      </c>
      <c r="K58" s="1">
        <v>46013</v>
      </c>
      <c r="L58">
        <v>22</v>
      </c>
      <c r="M58">
        <v>961.68</v>
      </c>
      <c r="N58">
        <v>961.68</v>
      </c>
      <c r="O58">
        <v>0</v>
      </c>
      <c r="P58">
        <v>0</v>
      </c>
      <c r="Q58" t="s">
        <v>3265</v>
      </c>
    </row>
    <row r="59" spans="1:17">
      <c r="A59" t="s">
        <v>15</v>
      </c>
      <c r="B59" t="s">
        <v>26</v>
      </c>
      <c r="C59" t="s">
        <v>27</v>
      </c>
      <c r="D59" t="s">
        <v>3263</v>
      </c>
      <c r="E59">
        <v>22</v>
      </c>
      <c r="F59" t="str">
        <f>VLOOKUP(E59,[1]LOJA!$A:$B,2,0)</f>
        <v>GUARÁ</v>
      </c>
      <c r="G59" t="s">
        <v>19</v>
      </c>
      <c r="H59" t="s">
        <v>20</v>
      </c>
      <c r="I59" s="1">
        <v>46009</v>
      </c>
      <c r="J59" s="1">
        <v>46013</v>
      </c>
      <c r="K59" s="1">
        <v>46013</v>
      </c>
      <c r="L59">
        <v>26</v>
      </c>
      <c r="M59" s="2">
        <v>2080.08</v>
      </c>
      <c r="N59" s="2">
        <v>2080.08</v>
      </c>
      <c r="O59">
        <v>0</v>
      </c>
      <c r="P59">
        <v>0</v>
      </c>
      <c r="Q59" t="s">
        <v>3264</v>
      </c>
    </row>
    <row r="60" spans="1:17">
      <c r="A60" t="s">
        <v>15</v>
      </c>
      <c r="B60" t="s">
        <v>26</v>
      </c>
      <c r="C60" t="s">
        <v>27</v>
      </c>
      <c r="D60" t="s">
        <v>3263</v>
      </c>
      <c r="E60">
        <v>24</v>
      </c>
      <c r="F60" t="str">
        <f>VLOOKUP(E60,[1]LOJA!$A:$B,2,0)</f>
        <v>LUZIÂNIA</v>
      </c>
      <c r="G60" t="s">
        <v>19</v>
      </c>
      <c r="H60" t="s">
        <v>20</v>
      </c>
      <c r="I60" s="1">
        <v>46009</v>
      </c>
      <c r="J60" s="1">
        <v>46013</v>
      </c>
      <c r="K60" s="1">
        <v>46013</v>
      </c>
      <c r="L60">
        <v>20</v>
      </c>
      <c r="M60" s="2">
        <v>4659.99</v>
      </c>
      <c r="N60" s="2">
        <v>4659.99</v>
      </c>
      <c r="O60">
        <v>0</v>
      </c>
      <c r="P60">
        <v>0</v>
      </c>
      <c r="Q60" t="s">
        <v>3264</v>
      </c>
    </row>
    <row r="61" spans="1:17">
      <c r="A61" t="s">
        <v>15</v>
      </c>
      <c r="B61" t="s">
        <v>26</v>
      </c>
      <c r="C61" t="s">
        <v>27</v>
      </c>
      <c r="D61" t="s">
        <v>3263</v>
      </c>
      <c r="E61">
        <v>24</v>
      </c>
      <c r="F61" t="str">
        <f>VLOOKUP(E61,[1]LOJA!$A:$B,2,0)</f>
        <v>LUZIÂNIA</v>
      </c>
      <c r="G61" t="s">
        <v>19</v>
      </c>
      <c r="H61" t="s">
        <v>20</v>
      </c>
      <c r="I61" s="1">
        <v>46009</v>
      </c>
      <c r="J61" s="1">
        <v>46013</v>
      </c>
      <c r="K61" s="1">
        <v>46013</v>
      </c>
      <c r="L61">
        <v>22</v>
      </c>
      <c r="M61" s="2">
        <v>1770.65</v>
      </c>
      <c r="N61" s="2">
        <v>1770.65</v>
      </c>
      <c r="O61">
        <v>0</v>
      </c>
      <c r="P61">
        <v>0</v>
      </c>
      <c r="Q61" t="s">
        <v>3265</v>
      </c>
    </row>
    <row r="62" spans="1:17">
      <c r="A62" t="s">
        <v>15</v>
      </c>
      <c r="B62" t="s">
        <v>26</v>
      </c>
      <c r="C62" t="s">
        <v>27</v>
      </c>
      <c r="D62" t="s">
        <v>3263</v>
      </c>
      <c r="E62">
        <v>24</v>
      </c>
      <c r="F62" t="str">
        <f>VLOOKUP(E62,[1]LOJA!$A:$B,2,0)</f>
        <v>LUZIÂNIA</v>
      </c>
      <c r="G62" t="s">
        <v>19</v>
      </c>
      <c r="H62" t="s">
        <v>20</v>
      </c>
      <c r="I62" s="1">
        <v>46009</v>
      </c>
      <c r="J62" s="1">
        <v>46013</v>
      </c>
      <c r="K62" s="1">
        <v>46013</v>
      </c>
      <c r="L62">
        <v>26</v>
      </c>
      <c r="M62" s="2">
        <v>3829.84</v>
      </c>
      <c r="N62" s="2">
        <v>3829.84</v>
      </c>
      <c r="O62">
        <v>0</v>
      </c>
      <c r="P62">
        <v>0</v>
      </c>
      <c r="Q62" t="s">
        <v>3264</v>
      </c>
    </row>
    <row r="63" spans="1:17">
      <c r="A63" t="s">
        <v>15</v>
      </c>
      <c r="B63" t="s">
        <v>32</v>
      </c>
      <c r="C63" t="s">
        <v>23</v>
      </c>
      <c r="D63" t="s">
        <v>3266</v>
      </c>
      <c r="E63">
        <v>1</v>
      </c>
      <c r="F63" t="str">
        <f>VLOOKUP(E63,[1]LOJA!$A:$B,2,0)</f>
        <v>GUARÁ</v>
      </c>
      <c r="G63" t="s">
        <v>19</v>
      </c>
      <c r="H63" t="s">
        <v>20</v>
      </c>
      <c r="I63" s="1">
        <v>46009</v>
      </c>
      <c r="J63" s="1">
        <v>46015</v>
      </c>
      <c r="K63" s="1">
        <v>46015</v>
      </c>
      <c r="L63">
        <v>34</v>
      </c>
      <c r="M63">
        <v>0</v>
      </c>
      <c r="N63">
        <v>0</v>
      </c>
      <c r="O63">
        <v>0</v>
      </c>
      <c r="P63">
        <v>0</v>
      </c>
      <c r="Q63" t="s">
        <v>3267</v>
      </c>
    </row>
    <row r="64" spans="1:17">
      <c r="A64" t="s">
        <v>15</v>
      </c>
      <c r="B64" t="s">
        <v>32</v>
      </c>
      <c r="C64" t="s">
        <v>23</v>
      </c>
      <c r="D64" t="s">
        <v>3266</v>
      </c>
      <c r="E64">
        <v>4</v>
      </c>
      <c r="F64" t="str">
        <f>VLOOKUP(E64,[1]LOJA!$A:$B,2,0)</f>
        <v>ADE</v>
      </c>
      <c r="G64" t="s">
        <v>19</v>
      </c>
      <c r="H64" t="s">
        <v>20</v>
      </c>
      <c r="I64" s="1">
        <v>46009</v>
      </c>
      <c r="J64" s="1">
        <v>46015</v>
      </c>
      <c r="K64" s="1">
        <v>46015</v>
      </c>
      <c r="L64">
        <v>34</v>
      </c>
      <c r="M64">
        <v>435.65</v>
      </c>
      <c r="N64">
        <v>435.65</v>
      </c>
      <c r="O64">
        <v>0</v>
      </c>
      <c r="P64">
        <v>0</v>
      </c>
      <c r="Q64" t="s">
        <v>3267</v>
      </c>
    </row>
    <row r="65" spans="1:17">
      <c r="A65" t="s">
        <v>15</v>
      </c>
      <c r="B65" t="s">
        <v>32</v>
      </c>
      <c r="C65" t="s">
        <v>23</v>
      </c>
      <c r="D65" t="s">
        <v>3266</v>
      </c>
      <c r="E65">
        <v>6</v>
      </c>
      <c r="F65" t="str">
        <f>VLOOKUP(E65,[1]LOJA!$A:$B,2,0)</f>
        <v>GAMA</v>
      </c>
      <c r="G65" t="s">
        <v>19</v>
      </c>
      <c r="H65" t="s">
        <v>20</v>
      </c>
      <c r="I65" s="1">
        <v>46009</v>
      </c>
      <c r="J65" s="1">
        <v>46015</v>
      </c>
      <c r="K65" s="1">
        <v>46015</v>
      </c>
      <c r="L65">
        <v>34</v>
      </c>
      <c r="M65">
        <v>325.74</v>
      </c>
      <c r="N65">
        <v>325.74</v>
      </c>
      <c r="O65">
        <v>0</v>
      </c>
      <c r="P65">
        <v>0</v>
      </c>
      <c r="Q65" t="s">
        <v>3267</v>
      </c>
    </row>
    <row r="66" spans="1:17">
      <c r="A66" t="s">
        <v>15</v>
      </c>
      <c r="B66" t="s">
        <v>32</v>
      </c>
      <c r="C66" t="s">
        <v>23</v>
      </c>
      <c r="D66" t="s">
        <v>3266</v>
      </c>
      <c r="E66">
        <v>8</v>
      </c>
      <c r="F66" t="str">
        <f>VLOOKUP(E66,[1]LOJA!$A:$B,2,0)</f>
        <v>LUZIÂNIA</v>
      </c>
      <c r="G66" t="s">
        <v>19</v>
      </c>
      <c r="H66" t="s">
        <v>20</v>
      </c>
      <c r="I66" s="1">
        <v>46009</v>
      </c>
      <c r="J66" s="1">
        <v>46015</v>
      </c>
      <c r="K66" s="1">
        <v>46015</v>
      </c>
      <c r="L66">
        <v>34</v>
      </c>
      <c r="M66">
        <v>0</v>
      </c>
      <c r="N66">
        <v>0</v>
      </c>
      <c r="O66">
        <v>0</v>
      </c>
      <c r="P66">
        <v>0</v>
      </c>
      <c r="Q66" t="s">
        <v>3267</v>
      </c>
    </row>
    <row r="67" spans="1:17">
      <c r="A67" t="s">
        <v>15</v>
      </c>
      <c r="B67" t="s">
        <v>32</v>
      </c>
      <c r="C67" t="s">
        <v>23</v>
      </c>
      <c r="D67" t="s">
        <v>3266</v>
      </c>
      <c r="E67">
        <v>12</v>
      </c>
      <c r="F67" t="str">
        <f>VLOOKUP(E67,[1]LOJA!$A:$B,2,0)</f>
        <v>SOFNORTE</v>
      </c>
      <c r="G67" t="s">
        <v>19</v>
      </c>
      <c r="H67" t="s">
        <v>20</v>
      </c>
      <c r="I67" s="1">
        <v>46009</v>
      </c>
      <c r="J67" s="1">
        <v>46015</v>
      </c>
      <c r="K67" s="1">
        <v>46015</v>
      </c>
      <c r="L67">
        <v>34</v>
      </c>
      <c r="M67">
        <v>534.48</v>
      </c>
      <c r="N67">
        <v>534.48</v>
      </c>
      <c r="O67">
        <v>0</v>
      </c>
      <c r="P67">
        <v>0</v>
      </c>
      <c r="Q67" t="s">
        <v>3267</v>
      </c>
    </row>
    <row r="68" spans="1:17">
      <c r="A68" t="s">
        <v>15</v>
      </c>
      <c r="B68" t="s">
        <v>32</v>
      </c>
      <c r="C68" t="s">
        <v>23</v>
      </c>
      <c r="D68" t="s">
        <v>3266</v>
      </c>
      <c r="E68">
        <v>13</v>
      </c>
      <c r="F68" t="str">
        <f>VLOOKUP(E68,[1]LOJA!$A:$B,2,0)</f>
        <v>CEILÂNDIA</v>
      </c>
      <c r="G68" t="s">
        <v>19</v>
      </c>
      <c r="H68" t="s">
        <v>20</v>
      </c>
      <c r="I68" s="1">
        <v>46009</v>
      </c>
      <c r="J68" s="1">
        <v>46015</v>
      </c>
      <c r="K68" s="1">
        <v>46015</v>
      </c>
      <c r="L68">
        <v>34</v>
      </c>
      <c r="M68">
        <v>629.32000000000005</v>
      </c>
      <c r="N68">
        <v>629.32000000000005</v>
      </c>
      <c r="O68">
        <v>0</v>
      </c>
      <c r="P68">
        <v>0</v>
      </c>
      <c r="Q68" t="s">
        <v>3267</v>
      </c>
    </row>
    <row r="69" spans="1:17">
      <c r="A69" t="s">
        <v>15</v>
      </c>
      <c r="B69" t="s">
        <v>32</v>
      </c>
      <c r="C69" t="s">
        <v>23</v>
      </c>
      <c r="D69" t="s">
        <v>3266</v>
      </c>
      <c r="E69">
        <v>14</v>
      </c>
      <c r="F69" t="str">
        <f>VLOOKUP(E69,[1]LOJA!$A:$B,2,0)</f>
        <v>S IA</v>
      </c>
      <c r="G69" t="s">
        <v>19</v>
      </c>
      <c r="H69" t="s">
        <v>20</v>
      </c>
      <c r="I69" s="1">
        <v>46009</v>
      </c>
      <c r="J69" s="1">
        <v>46015</v>
      </c>
      <c r="K69" s="1">
        <v>46015</v>
      </c>
      <c r="L69">
        <v>34</v>
      </c>
      <c r="M69">
        <v>658.13</v>
      </c>
      <c r="N69">
        <v>658.13</v>
      </c>
      <c r="O69">
        <v>0</v>
      </c>
      <c r="P69">
        <v>0</v>
      </c>
      <c r="Q69" t="s">
        <v>3267</v>
      </c>
    </row>
    <row r="70" spans="1:17">
      <c r="A70" t="s">
        <v>15</v>
      </c>
      <c r="B70" t="s">
        <v>32</v>
      </c>
      <c r="C70" t="s">
        <v>23</v>
      </c>
      <c r="D70" t="s">
        <v>3266</v>
      </c>
      <c r="E70">
        <v>15</v>
      </c>
      <c r="F70" t="str">
        <f>VLOOKUP(E70,[1]LOJA!$A:$B,2,0)</f>
        <v>UNAÍ</v>
      </c>
      <c r="G70" t="s">
        <v>19</v>
      </c>
      <c r="H70" t="s">
        <v>20</v>
      </c>
      <c r="I70" s="1">
        <v>46009</v>
      </c>
      <c r="J70" s="1">
        <v>46015</v>
      </c>
      <c r="K70" s="1">
        <v>46015</v>
      </c>
      <c r="L70">
        <v>34</v>
      </c>
      <c r="M70">
        <v>257.49</v>
      </c>
      <c r="N70">
        <v>257.49</v>
      </c>
      <c r="O70">
        <v>0</v>
      </c>
      <c r="P70">
        <v>0</v>
      </c>
      <c r="Q70" t="s">
        <v>3267</v>
      </c>
    </row>
    <row r="71" spans="1:17">
      <c r="A71" t="s">
        <v>15</v>
      </c>
      <c r="B71" t="s">
        <v>32</v>
      </c>
      <c r="C71" t="s">
        <v>23</v>
      </c>
      <c r="D71" t="s">
        <v>3266</v>
      </c>
      <c r="E71">
        <v>16</v>
      </c>
      <c r="F71" t="str">
        <f>VLOOKUP(E71,[1]LOJA!$A:$B,2,0)</f>
        <v>AG LINDAS</v>
      </c>
      <c r="G71" t="s">
        <v>19</v>
      </c>
      <c r="H71" t="s">
        <v>20</v>
      </c>
      <c r="I71" s="1">
        <v>46009</v>
      </c>
      <c r="J71" s="1">
        <v>46015</v>
      </c>
      <c r="K71" s="1">
        <v>46015</v>
      </c>
      <c r="L71">
        <v>34</v>
      </c>
      <c r="M71">
        <v>203.42</v>
      </c>
      <c r="N71">
        <v>203.42</v>
      </c>
      <c r="O71">
        <v>0</v>
      </c>
      <c r="P71">
        <v>0</v>
      </c>
      <c r="Q71" t="s">
        <v>3267</v>
      </c>
    </row>
    <row r="72" spans="1:17">
      <c r="A72" t="s">
        <v>15</v>
      </c>
      <c r="B72" t="s">
        <v>32</v>
      </c>
      <c r="C72" t="s">
        <v>23</v>
      </c>
      <c r="D72" t="s">
        <v>3266</v>
      </c>
      <c r="E72">
        <v>20</v>
      </c>
      <c r="F72" t="str">
        <f>VLOOKUP(E72,[1]LOJA!$A:$B,2,0)</f>
        <v>DAUTO SERVIÇOS</v>
      </c>
      <c r="G72" t="s">
        <v>19</v>
      </c>
      <c r="H72" t="s">
        <v>20</v>
      </c>
      <c r="I72" s="1">
        <v>46009</v>
      </c>
      <c r="J72" s="1">
        <v>46015</v>
      </c>
      <c r="K72" s="1">
        <v>46015</v>
      </c>
      <c r="L72">
        <v>34</v>
      </c>
      <c r="M72">
        <v>0</v>
      </c>
      <c r="N72">
        <v>0</v>
      </c>
      <c r="O72">
        <v>0</v>
      </c>
      <c r="P72">
        <v>0</v>
      </c>
      <c r="Q72" t="s">
        <v>3267</v>
      </c>
    </row>
    <row r="73" spans="1:17">
      <c r="A73" t="s">
        <v>15</v>
      </c>
      <c r="B73" t="s">
        <v>32</v>
      </c>
      <c r="C73" t="s">
        <v>23</v>
      </c>
      <c r="D73" t="s">
        <v>3266</v>
      </c>
      <c r="E73">
        <v>22</v>
      </c>
      <c r="F73" t="str">
        <f>VLOOKUP(E73,[1]LOJA!$A:$B,2,0)</f>
        <v>GUARÁ</v>
      </c>
      <c r="G73" t="s">
        <v>19</v>
      </c>
      <c r="H73" t="s">
        <v>20</v>
      </c>
      <c r="I73" s="1">
        <v>46009</v>
      </c>
      <c r="J73" s="1">
        <v>46015</v>
      </c>
      <c r="K73" s="1">
        <v>46015</v>
      </c>
      <c r="L73">
        <v>34</v>
      </c>
      <c r="M73">
        <v>488.39</v>
      </c>
      <c r="N73">
        <v>488.39</v>
      </c>
      <c r="O73">
        <v>0</v>
      </c>
      <c r="P73">
        <v>0</v>
      </c>
      <c r="Q73" t="s">
        <v>3267</v>
      </c>
    </row>
    <row r="74" spans="1:17">
      <c r="A74" t="s">
        <v>15</v>
      </c>
      <c r="B74" t="s">
        <v>32</v>
      </c>
      <c r="C74" t="s">
        <v>23</v>
      </c>
      <c r="D74" t="s">
        <v>3266</v>
      </c>
      <c r="E74">
        <v>24</v>
      </c>
      <c r="F74" t="str">
        <f>VLOOKUP(E74,[1]LOJA!$A:$B,2,0)</f>
        <v>LUZIÂNIA</v>
      </c>
      <c r="G74" t="s">
        <v>19</v>
      </c>
      <c r="H74" t="s">
        <v>20</v>
      </c>
      <c r="I74" s="1">
        <v>46009</v>
      </c>
      <c r="J74" s="1">
        <v>46015</v>
      </c>
      <c r="K74" s="1">
        <v>46015</v>
      </c>
      <c r="L74">
        <v>34</v>
      </c>
      <c r="M74">
        <v>899.22</v>
      </c>
      <c r="N74">
        <v>899.22</v>
      </c>
      <c r="O74">
        <v>0</v>
      </c>
      <c r="P74">
        <v>0</v>
      </c>
      <c r="Q74" t="s">
        <v>3267</v>
      </c>
    </row>
    <row r="75" spans="1:17">
      <c r="A75" t="s">
        <v>35</v>
      </c>
      <c r="B75" t="s">
        <v>3268</v>
      </c>
      <c r="C75" t="s">
        <v>56</v>
      </c>
      <c r="D75" t="s">
        <v>3269</v>
      </c>
      <c r="E75">
        <v>1</v>
      </c>
      <c r="F75" t="str">
        <f>VLOOKUP(E75,[1]LOJA!$A:$B,2,0)</f>
        <v>GUARÁ</v>
      </c>
      <c r="G75" t="s">
        <v>19</v>
      </c>
      <c r="H75" t="s">
        <v>20</v>
      </c>
      <c r="I75" s="1">
        <v>46006</v>
      </c>
      <c r="J75" s="1">
        <v>46006</v>
      </c>
      <c r="K75" s="1">
        <v>46006</v>
      </c>
      <c r="L75">
        <v>23</v>
      </c>
      <c r="M75">
        <v>0</v>
      </c>
      <c r="N75">
        <v>0</v>
      </c>
      <c r="O75">
        <v>0</v>
      </c>
      <c r="P75">
        <v>0</v>
      </c>
      <c r="Q75" t="s">
        <v>3270</v>
      </c>
    </row>
    <row r="76" spans="1:17">
      <c r="A76" t="s">
        <v>35</v>
      </c>
      <c r="B76" t="s">
        <v>3268</v>
      </c>
      <c r="C76" t="s">
        <v>56</v>
      </c>
      <c r="D76" t="s">
        <v>3269</v>
      </c>
      <c r="E76">
        <v>4</v>
      </c>
      <c r="F76" t="str">
        <f>VLOOKUP(E76,[1]LOJA!$A:$B,2,0)</f>
        <v>ADE</v>
      </c>
      <c r="G76" t="s">
        <v>19</v>
      </c>
      <c r="H76" t="s">
        <v>20</v>
      </c>
      <c r="I76" s="1">
        <v>46006</v>
      </c>
      <c r="J76" s="1">
        <v>46006</v>
      </c>
      <c r="K76" s="1">
        <v>46006</v>
      </c>
      <c r="L76">
        <v>23</v>
      </c>
      <c r="M76">
        <v>233.3</v>
      </c>
      <c r="N76">
        <v>233.3</v>
      </c>
      <c r="O76">
        <v>0</v>
      </c>
      <c r="P76">
        <v>0</v>
      </c>
      <c r="Q76" t="s">
        <v>3270</v>
      </c>
    </row>
    <row r="77" spans="1:17">
      <c r="A77" t="s">
        <v>35</v>
      </c>
      <c r="B77" t="s">
        <v>3268</v>
      </c>
      <c r="C77" t="s">
        <v>56</v>
      </c>
      <c r="D77" t="s">
        <v>3269</v>
      </c>
      <c r="E77">
        <v>6</v>
      </c>
      <c r="F77" t="str">
        <f>VLOOKUP(E77,[1]LOJA!$A:$B,2,0)</f>
        <v>GAMA</v>
      </c>
      <c r="G77" t="s">
        <v>19</v>
      </c>
      <c r="H77" t="s">
        <v>20</v>
      </c>
      <c r="I77" s="1">
        <v>46006</v>
      </c>
      <c r="J77" s="1">
        <v>46006</v>
      </c>
      <c r="K77" s="1">
        <v>46006</v>
      </c>
      <c r="L77">
        <v>23</v>
      </c>
      <c r="M77">
        <v>233.3</v>
      </c>
      <c r="N77">
        <v>233.3</v>
      </c>
      <c r="O77">
        <v>0</v>
      </c>
      <c r="P77">
        <v>0</v>
      </c>
      <c r="Q77" t="s">
        <v>3270</v>
      </c>
    </row>
    <row r="78" spans="1:17">
      <c r="A78" t="s">
        <v>35</v>
      </c>
      <c r="B78" t="s">
        <v>3268</v>
      </c>
      <c r="C78" t="s">
        <v>56</v>
      </c>
      <c r="D78" t="s">
        <v>3269</v>
      </c>
      <c r="E78">
        <v>8</v>
      </c>
      <c r="F78" t="str">
        <f>VLOOKUP(E78,[1]LOJA!$A:$B,2,0)</f>
        <v>LUZIÂNIA</v>
      </c>
      <c r="G78" t="s">
        <v>19</v>
      </c>
      <c r="H78" t="s">
        <v>20</v>
      </c>
      <c r="I78" s="1">
        <v>46006</v>
      </c>
      <c r="J78" s="1">
        <v>46006</v>
      </c>
      <c r="K78" s="1">
        <v>46006</v>
      </c>
      <c r="L78">
        <v>23</v>
      </c>
      <c r="M78">
        <v>233.3</v>
      </c>
      <c r="N78">
        <v>233.3</v>
      </c>
      <c r="O78">
        <v>0</v>
      </c>
      <c r="P78">
        <v>0</v>
      </c>
      <c r="Q78" t="s">
        <v>3270</v>
      </c>
    </row>
    <row r="79" spans="1:17">
      <c r="A79" t="s">
        <v>35</v>
      </c>
      <c r="B79" t="s">
        <v>3268</v>
      </c>
      <c r="C79" t="s">
        <v>56</v>
      </c>
      <c r="D79" t="s">
        <v>3269</v>
      </c>
      <c r="E79">
        <v>12</v>
      </c>
      <c r="F79" t="str">
        <f>VLOOKUP(E79,[1]LOJA!$A:$B,2,0)</f>
        <v>SOFNORTE</v>
      </c>
      <c r="G79" t="s">
        <v>19</v>
      </c>
      <c r="H79" t="s">
        <v>20</v>
      </c>
      <c r="I79" s="1">
        <v>46006</v>
      </c>
      <c r="J79" s="1">
        <v>46006</v>
      </c>
      <c r="K79" s="1">
        <v>46006</v>
      </c>
      <c r="L79">
        <v>23</v>
      </c>
      <c r="M79">
        <v>233.3</v>
      </c>
      <c r="N79">
        <v>233.3</v>
      </c>
      <c r="O79">
        <v>0</v>
      </c>
      <c r="P79">
        <v>0</v>
      </c>
      <c r="Q79" t="s">
        <v>3270</v>
      </c>
    </row>
    <row r="80" spans="1:17">
      <c r="A80" t="s">
        <v>35</v>
      </c>
      <c r="B80" t="s">
        <v>3268</v>
      </c>
      <c r="C80" t="s">
        <v>56</v>
      </c>
      <c r="D80" t="s">
        <v>3269</v>
      </c>
      <c r="E80">
        <v>13</v>
      </c>
      <c r="F80" t="str">
        <f>VLOOKUP(E80,[1]LOJA!$A:$B,2,0)</f>
        <v>CEILÂNDIA</v>
      </c>
      <c r="G80" t="s">
        <v>19</v>
      </c>
      <c r="H80" t="s">
        <v>20</v>
      </c>
      <c r="I80" s="1">
        <v>46006</v>
      </c>
      <c r="J80" s="1">
        <v>46006</v>
      </c>
      <c r="K80" s="1">
        <v>46006</v>
      </c>
      <c r="L80">
        <v>23</v>
      </c>
      <c r="M80">
        <v>233.3</v>
      </c>
      <c r="N80">
        <v>233.3</v>
      </c>
      <c r="O80">
        <v>0</v>
      </c>
      <c r="P80">
        <v>0</v>
      </c>
      <c r="Q80" t="s">
        <v>3270</v>
      </c>
    </row>
    <row r="81" spans="1:17">
      <c r="A81" t="s">
        <v>35</v>
      </c>
      <c r="B81" t="s">
        <v>3268</v>
      </c>
      <c r="C81" t="s">
        <v>56</v>
      </c>
      <c r="D81" t="s">
        <v>3269</v>
      </c>
      <c r="E81">
        <v>14</v>
      </c>
      <c r="F81" t="str">
        <f>VLOOKUP(E81,[1]LOJA!$A:$B,2,0)</f>
        <v>S IA</v>
      </c>
      <c r="G81" t="s">
        <v>19</v>
      </c>
      <c r="H81" t="s">
        <v>20</v>
      </c>
      <c r="I81" s="1">
        <v>46006</v>
      </c>
      <c r="J81" s="1">
        <v>46006</v>
      </c>
      <c r="K81" s="1">
        <v>46006</v>
      </c>
      <c r="L81">
        <v>23</v>
      </c>
      <c r="M81">
        <v>233.3</v>
      </c>
      <c r="N81">
        <v>233.3</v>
      </c>
      <c r="O81">
        <v>0</v>
      </c>
      <c r="P81">
        <v>0</v>
      </c>
      <c r="Q81" t="s">
        <v>3270</v>
      </c>
    </row>
    <row r="82" spans="1:17">
      <c r="A82" t="s">
        <v>35</v>
      </c>
      <c r="B82" t="s">
        <v>3268</v>
      </c>
      <c r="C82" t="s">
        <v>56</v>
      </c>
      <c r="D82" t="s">
        <v>3269</v>
      </c>
      <c r="E82">
        <v>15</v>
      </c>
      <c r="F82" t="str">
        <f>VLOOKUP(E82,[1]LOJA!$A:$B,2,0)</f>
        <v>UNAÍ</v>
      </c>
      <c r="G82" t="s">
        <v>19</v>
      </c>
      <c r="H82" t="s">
        <v>20</v>
      </c>
      <c r="I82" s="1">
        <v>46006</v>
      </c>
      <c r="J82" s="1">
        <v>46006</v>
      </c>
      <c r="K82" s="1">
        <v>46006</v>
      </c>
      <c r="L82">
        <v>23</v>
      </c>
      <c r="M82">
        <v>233.3</v>
      </c>
      <c r="N82">
        <v>233.3</v>
      </c>
      <c r="O82">
        <v>0</v>
      </c>
      <c r="P82">
        <v>0</v>
      </c>
      <c r="Q82" t="s">
        <v>3270</v>
      </c>
    </row>
    <row r="83" spans="1:17">
      <c r="A83" t="s">
        <v>35</v>
      </c>
      <c r="B83" t="s">
        <v>3268</v>
      </c>
      <c r="C83" t="s">
        <v>56</v>
      </c>
      <c r="D83" t="s">
        <v>3269</v>
      </c>
      <c r="E83">
        <v>16</v>
      </c>
      <c r="F83" t="str">
        <f>VLOOKUP(E83,[1]LOJA!$A:$B,2,0)</f>
        <v>AG LINDAS</v>
      </c>
      <c r="G83" t="s">
        <v>19</v>
      </c>
      <c r="H83" t="s">
        <v>20</v>
      </c>
      <c r="I83" s="1">
        <v>46006</v>
      </c>
      <c r="J83" s="1">
        <v>46006</v>
      </c>
      <c r="K83" s="1">
        <v>46006</v>
      </c>
      <c r="L83">
        <v>23</v>
      </c>
      <c r="M83">
        <v>233.3</v>
      </c>
      <c r="N83">
        <v>233.3</v>
      </c>
      <c r="O83">
        <v>0</v>
      </c>
      <c r="P83">
        <v>0</v>
      </c>
      <c r="Q83" t="s">
        <v>3270</v>
      </c>
    </row>
    <row r="84" spans="1:17">
      <c r="A84" t="s">
        <v>35</v>
      </c>
      <c r="B84" t="s">
        <v>3268</v>
      </c>
      <c r="C84" t="s">
        <v>56</v>
      </c>
      <c r="D84" t="s">
        <v>3269</v>
      </c>
      <c r="E84">
        <v>20</v>
      </c>
      <c r="F84" t="str">
        <f>VLOOKUP(E84,[1]LOJA!$A:$B,2,0)</f>
        <v>DAUTO SERVIÇOS</v>
      </c>
      <c r="G84" t="s">
        <v>19</v>
      </c>
      <c r="H84" t="s">
        <v>20</v>
      </c>
      <c r="I84" s="1">
        <v>46006</v>
      </c>
      <c r="J84" s="1">
        <v>46006</v>
      </c>
      <c r="K84" s="1">
        <v>46006</v>
      </c>
      <c r="L84">
        <v>23</v>
      </c>
      <c r="M84">
        <v>0</v>
      </c>
      <c r="N84">
        <v>0</v>
      </c>
      <c r="O84">
        <v>0</v>
      </c>
      <c r="P84">
        <v>0</v>
      </c>
      <c r="Q84" t="s">
        <v>3270</v>
      </c>
    </row>
    <row r="85" spans="1:17">
      <c r="A85" t="s">
        <v>35</v>
      </c>
      <c r="B85" t="s">
        <v>3268</v>
      </c>
      <c r="C85" t="s">
        <v>56</v>
      </c>
      <c r="D85" t="s">
        <v>3269</v>
      </c>
      <c r="E85">
        <v>22</v>
      </c>
      <c r="F85" t="str">
        <f>VLOOKUP(E85,[1]LOJA!$A:$B,2,0)</f>
        <v>GUARÁ</v>
      </c>
      <c r="G85" t="s">
        <v>19</v>
      </c>
      <c r="H85" t="s">
        <v>20</v>
      </c>
      <c r="I85" s="1">
        <v>46006</v>
      </c>
      <c r="J85" s="1">
        <v>46006</v>
      </c>
      <c r="K85" s="1">
        <v>46006</v>
      </c>
      <c r="L85">
        <v>23</v>
      </c>
      <c r="M85">
        <v>233.3</v>
      </c>
      <c r="N85">
        <v>233.3</v>
      </c>
      <c r="O85">
        <v>0</v>
      </c>
      <c r="P85">
        <v>0</v>
      </c>
      <c r="Q85" t="s">
        <v>3270</v>
      </c>
    </row>
    <row r="86" spans="1:17">
      <c r="A86" t="s">
        <v>35</v>
      </c>
      <c r="B86" t="s">
        <v>3268</v>
      </c>
      <c r="C86" t="s">
        <v>56</v>
      </c>
      <c r="D86" t="s">
        <v>3269</v>
      </c>
      <c r="E86">
        <v>24</v>
      </c>
      <c r="F86" t="str">
        <f>VLOOKUP(E86,[1]LOJA!$A:$B,2,0)</f>
        <v>LUZIÂNIA</v>
      </c>
      <c r="G86" t="s">
        <v>19</v>
      </c>
      <c r="H86" t="s">
        <v>20</v>
      </c>
      <c r="I86" s="1">
        <v>46006</v>
      </c>
      <c r="J86" s="1">
        <v>46006</v>
      </c>
      <c r="K86" s="1">
        <v>46006</v>
      </c>
      <c r="L86">
        <v>23</v>
      </c>
      <c r="M86">
        <v>0</v>
      </c>
      <c r="N86">
        <v>0</v>
      </c>
      <c r="O86">
        <v>0</v>
      </c>
      <c r="P86">
        <v>0</v>
      </c>
      <c r="Q86" t="s">
        <v>3270</v>
      </c>
    </row>
    <row r="87" spans="1:17">
      <c r="A87" t="s">
        <v>35</v>
      </c>
      <c r="B87" t="s">
        <v>3268</v>
      </c>
      <c r="C87" t="s">
        <v>56</v>
      </c>
      <c r="D87" t="s">
        <v>3271</v>
      </c>
      <c r="E87">
        <v>15</v>
      </c>
      <c r="F87" t="str">
        <f>VLOOKUP(E87,[1]LOJA!$A:$B,2,0)</f>
        <v>UNAÍ</v>
      </c>
      <c r="G87" t="s">
        <v>19</v>
      </c>
      <c r="H87" t="s">
        <v>19</v>
      </c>
      <c r="I87" s="1">
        <v>46000</v>
      </c>
      <c r="J87" s="1">
        <v>46000</v>
      </c>
      <c r="K87" s="1">
        <v>46000</v>
      </c>
      <c r="L87">
        <v>36</v>
      </c>
      <c r="M87">
        <v>44</v>
      </c>
      <c r="N87">
        <v>44</v>
      </c>
      <c r="O87">
        <v>0</v>
      </c>
      <c r="P87">
        <v>0</v>
      </c>
      <c r="Q87" t="s">
        <v>3272</v>
      </c>
    </row>
    <row r="88" spans="1:17">
      <c r="A88" t="s">
        <v>35</v>
      </c>
      <c r="B88" t="s">
        <v>3273</v>
      </c>
      <c r="C88" t="s">
        <v>3253</v>
      </c>
      <c r="D88" t="s">
        <v>3274</v>
      </c>
      <c r="E88">
        <v>14</v>
      </c>
      <c r="F88" t="str">
        <f>VLOOKUP(E88,[1]LOJA!$A:$B,2,0)</f>
        <v>S IA</v>
      </c>
      <c r="G88" t="s">
        <v>19</v>
      </c>
      <c r="H88" t="s">
        <v>19</v>
      </c>
      <c r="I88" s="1">
        <v>46010</v>
      </c>
      <c r="J88" s="1">
        <v>46010</v>
      </c>
      <c r="K88" s="1">
        <v>46010</v>
      </c>
      <c r="L88">
        <v>20</v>
      </c>
      <c r="M88" s="2">
        <v>1297.21</v>
      </c>
      <c r="N88" s="2">
        <v>1297.21</v>
      </c>
      <c r="O88">
        <v>0</v>
      </c>
      <c r="P88">
        <v>0</v>
      </c>
      <c r="Q88" t="s">
        <v>74</v>
      </c>
    </row>
    <row r="89" spans="1:17">
      <c r="A89" t="s">
        <v>35</v>
      </c>
      <c r="B89" t="s">
        <v>3273</v>
      </c>
      <c r="C89" t="s">
        <v>3253</v>
      </c>
      <c r="D89" t="s">
        <v>3275</v>
      </c>
      <c r="E89">
        <v>16</v>
      </c>
      <c r="F89" t="str">
        <f>VLOOKUP(E89,[1]LOJA!$A:$B,2,0)</f>
        <v>AG LINDAS</v>
      </c>
      <c r="G89" t="s">
        <v>19</v>
      </c>
      <c r="H89" t="s">
        <v>19</v>
      </c>
      <c r="I89" s="1">
        <v>46009</v>
      </c>
      <c r="J89" s="1">
        <v>46009</v>
      </c>
      <c r="K89" s="1">
        <v>46009</v>
      </c>
      <c r="L89">
        <v>37</v>
      </c>
      <c r="M89" s="2">
        <v>1482.74</v>
      </c>
      <c r="N89" s="2">
        <v>1482.74</v>
      </c>
      <c r="O89">
        <v>0</v>
      </c>
      <c r="P89">
        <v>0</v>
      </c>
      <c r="Q89" t="s">
        <v>74</v>
      </c>
    </row>
    <row r="90" spans="1:17">
      <c r="A90" t="s">
        <v>35</v>
      </c>
      <c r="B90" t="s">
        <v>3273</v>
      </c>
      <c r="C90" t="s">
        <v>3253</v>
      </c>
      <c r="D90" t="s">
        <v>3276</v>
      </c>
      <c r="E90">
        <v>15</v>
      </c>
      <c r="F90" t="str">
        <f>VLOOKUP(E90,[1]LOJA!$A:$B,2,0)</f>
        <v>UNAÍ</v>
      </c>
      <c r="G90" t="s">
        <v>19</v>
      </c>
      <c r="H90" t="s">
        <v>19</v>
      </c>
      <c r="I90" s="1">
        <v>46010</v>
      </c>
      <c r="J90" s="1">
        <v>46010</v>
      </c>
      <c r="K90" s="1">
        <v>46010</v>
      </c>
      <c r="L90">
        <v>36</v>
      </c>
      <c r="M90" s="2">
        <v>13823.66</v>
      </c>
      <c r="N90" s="2">
        <v>13823.66</v>
      </c>
      <c r="O90">
        <v>0</v>
      </c>
      <c r="P90">
        <v>0.3</v>
      </c>
      <c r="Q90" t="s">
        <v>3277</v>
      </c>
    </row>
    <row r="91" spans="1:17">
      <c r="A91" t="s">
        <v>35</v>
      </c>
      <c r="B91" t="s">
        <v>3273</v>
      </c>
      <c r="C91" t="s">
        <v>3253</v>
      </c>
      <c r="D91" t="s">
        <v>3278</v>
      </c>
      <c r="E91">
        <v>15</v>
      </c>
      <c r="F91" t="str">
        <f>VLOOKUP(E91,[1]LOJA!$A:$B,2,0)</f>
        <v>UNAÍ</v>
      </c>
      <c r="G91" t="s">
        <v>19</v>
      </c>
      <c r="H91" t="s">
        <v>19</v>
      </c>
      <c r="I91" s="1">
        <v>46010</v>
      </c>
      <c r="J91" s="1">
        <v>46010</v>
      </c>
      <c r="K91" s="1">
        <v>46010</v>
      </c>
      <c r="L91">
        <v>36</v>
      </c>
      <c r="M91">
        <v>744.67</v>
      </c>
      <c r="N91">
        <v>744.67</v>
      </c>
      <c r="O91">
        <v>0</v>
      </c>
      <c r="P91">
        <v>0</v>
      </c>
      <c r="Q91" t="s">
        <v>74</v>
      </c>
    </row>
    <row r="92" spans="1:17">
      <c r="A92" t="s">
        <v>35</v>
      </c>
      <c r="B92" t="s">
        <v>3273</v>
      </c>
      <c r="C92" t="s">
        <v>3253</v>
      </c>
      <c r="D92" t="s">
        <v>3279</v>
      </c>
      <c r="E92">
        <v>14</v>
      </c>
      <c r="F92" t="str">
        <f>VLOOKUP(E92,[1]LOJA!$A:$B,2,0)</f>
        <v>S IA</v>
      </c>
      <c r="G92" t="s">
        <v>19</v>
      </c>
      <c r="H92" t="s">
        <v>19</v>
      </c>
      <c r="I92" s="1">
        <v>46009</v>
      </c>
      <c r="J92" s="1">
        <v>46009</v>
      </c>
      <c r="K92" s="1">
        <v>46009</v>
      </c>
      <c r="L92">
        <v>30</v>
      </c>
      <c r="M92">
        <v>879.62</v>
      </c>
      <c r="N92">
        <v>879.62</v>
      </c>
      <c r="O92">
        <v>0</v>
      </c>
      <c r="P92">
        <v>0</v>
      </c>
      <c r="Q92" t="s">
        <v>74</v>
      </c>
    </row>
    <row r="93" spans="1:17">
      <c r="A93" t="s">
        <v>35</v>
      </c>
      <c r="B93" t="s">
        <v>3273</v>
      </c>
      <c r="C93" t="s">
        <v>3253</v>
      </c>
      <c r="D93" t="s">
        <v>3280</v>
      </c>
      <c r="E93">
        <v>4</v>
      </c>
      <c r="F93" t="str">
        <f>VLOOKUP(E93,[1]LOJA!$A:$B,2,0)</f>
        <v>ADE</v>
      </c>
      <c r="G93" t="s">
        <v>19</v>
      </c>
      <c r="H93" t="s">
        <v>19</v>
      </c>
      <c r="I93" s="1">
        <v>46009</v>
      </c>
      <c r="J93" s="1">
        <v>46009</v>
      </c>
      <c r="K93" s="1">
        <v>46009</v>
      </c>
      <c r="L93">
        <v>30</v>
      </c>
      <c r="M93" s="2">
        <v>1953.86</v>
      </c>
      <c r="N93" s="2">
        <v>1953.86</v>
      </c>
      <c r="O93">
        <v>0</v>
      </c>
      <c r="P93">
        <v>0</v>
      </c>
      <c r="Q93" t="s">
        <v>74</v>
      </c>
    </row>
    <row r="94" spans="1:17">
      <c r="A94" t="s">
        <v>35</v>
      </c>
      <c r="B94" t="s">
        <v>3273</v>
      </c>
      <c r="C94" t="s">
        <v>3253</v>
      </c>
      <c r="D94" t="s">
        <v>3281</v>
      </c>
      <c r="E94">
        <v>13</v>
      </c>
      <c r="F94" t="str">
        <f>VLOOKUP(E94,[1]LOJA!$A:$B,2,0)</f>
        <v>CEILÂNDIA</v>
      </c>
      <c r="G94" t="s">
        <v>19</v>
      </c>
      <c r="H94" t="s">
        <v>19</v>
      </c>
      <c r="I94" s="1">
        <v>46009</v>
      </c>
      <c r="J94" s="1">
        <v>46009</v>
      </c>
      <c r="K94" s="1">
        <v>46009</v>
      </c>
      <c r="L94">
        <v>30</v>
      </c>
      <c r="M94" s="2">
        <v>2846.94</v>
      </c>
      <c r="N94" s="2">
        <v>2846.94</v>
      </c>
      <c r="O94">
        <v>0</v>
      </c>
      <c r="P94">
        <v>0</v>
      </c>
      <c r="Q94" t="s">
        <v>74</v>
      </c>
    </row>
    <row r="95" spans="1:17">
      <c r="A95" t="s">
        <v>35</v>
      </c>
      <c r="B95" t="s">
        <v>3273</v>
      </c>
      <c r="C95" t="s">
        <v>3253</v>
      </c>
      <c r="D95" t="s">
        <v>3282</v>
      </c>
      <c r="E95">
        <v>6</v>
      </c>
      <c r="F95" t="str">
        <f>VLOOKUP(E95,[1]LOJA!$A:$B,2,0)</f>
        <v>GAMA</v>
      </c>
      <c r="G95" t="s">
        <v>19</v>
      </c>
      <c r="H95" t="s">
        <v>19</v>
      </c>
      <c r="I95" s="1">
        <v>46009</v>
      </c>
      <c r="J95" s="1">
        <v>46009</v>
      </c>
      <c r="K95" s="1">
        <v>46009</v>
      </c>
      <c r="L95">
        <v>30</v>
      </c>
      <c r="M95" s="2">
        <v>1696.33</v>
      </c>
      <c r="N95" s="2">
        <v>1696.33</v>
      </c>
      <c r="O95">
        <v>0</v>
      </c>
      <c r="P95">
        <v>0</v>
      </c>
      <c r="Q95" t="s">
        <v>74</v>
      </c>
    </row>
    <row r="96" spans="1:17">
      <c r="A96" t="s">
        <v>35</v>
      </c>
      <c r="B96" t="s">
        <v>3273</v>
      </c>
      <c r="C96" t="s">
        <v>3253</v>
      </c>
      <c r="D96" t="s">
        <v>3283</v>
      </c>
      <c r="E96">
        <v>8</v>
      </c>
      <c r="F96" t="str">
        <f>VLOOKUP(E96,[1]LOJA!$A:$B,2,0)</f>
        <v>LUZIÂNIA</v>
      </c>
      <c r="G96" t="s">
        <v>19</v>
      </c>
      <c r="H96" t="s">
        <v>19</v>
      </c>
      <c r="I96" s="1">
        <v>46009</v>
      </c>
      <c r="J96" s="1">
        <v>46009</v>
      </c>
      <c r="K96" s="1">
        <v>46009</v>
      </c>
      <c r="L96">
        <v>30</v>
      </c>
      <c r="M96" s="2">
        <v>1972.48</v>
      </c>
      <c r="N96" s="2">
        <v>1972.48</v>
      </c>
      <c r="O96">
        <v>0</v>
      </c>
      <c r="P96">
        <v>0</v>
      </c>
      <c r="Q96" t="s">
        <v>74</v>
      </c>
    </row>
    <row r="97" spans="1:17">
      <c r="A97" t="s">
        <v>35</v>
      </c>
      <c r="B97" t="s">
        <v>3273</v>
      </c>
      <c r="C97" t="s">
        <v>3253</v>
      </c>
      <c r="D97" t="s">
        <v>3284</v>
      </c>
      <c r="E97">
        <v>16</v>
      </c>
      <c r="F97" t="str">
        <f>VLOOKUP(E97,[1]LOJA!$A:$B,2,0)</f>
        <v>AG LINDAS</v>
      </c>
      <c r="G97" t="s">
        <v>19</v>
      </c>
      <c r="H97" t="s">
        <v>19</v>
      </c>
      <c r="I97" s="1">
        <v>46009</v>
      </c>
      <c r="J97" s="1">
        <v>46009</v>
      </c>
      <c r="K97" s="1">
        <v>46009</v>
      </c>
      <c r="L97">
        <v>30</v>
      </c>
      <c r="M97" s="2">
        <v>1293.33</v>
      </c>
      <c r="N97" s="2">
        <v>1293.33</v>
      </c>
      <c r="O97">
        <v>0</v>
      </c>
      <c r="P97">
        <v>0</v>
      </c>
      <c r="Q97" t="s">
        <v>74</v>
      </c>
    </row>
    <row r="98" spans="1:17">
      <c r="A98" t="s">
        <v>35</v>
      </c>
      <c r="B98" t="s">
        <v>3273</v>
      </c>
      <c r="C98" t="s">
        <v>3253</v>
      </c>
      <c r="D98" t="s">
        <v>3285</v>
      </c>
      <c r="E98">
        <v>8</v>
      </c>
      <c r="F98" t="str">
        <f>VLOOKUP(E98,[1]LOJA!$A:$B,2,0)</f>
        <v>LUZIÂNIA</v>
      </c>
      <c r="G98" t="s">
        <v>19</v>
      </c>
      <c r="H98" t="s">
        <v>19</v>
      </c>
      <c r="I98" s="1">
        <v>46010</v>
      </c>
      <c r="J98" s="1">
        <v>46010</v>
      </c>
      <c r="K98" s="1">
        <v>46010</v>
      </c>
      <c r="L98">
        <v>32</v>
      </c>
      <c r="M98" s="2">
        <v>5481.67</v>
      </c>
      <c r="N98" s="2">
        <v>5481.67</v>
      </c>
      <c r="O98">
        <v>0</v>
      </c>
      <c r="P98">
        <v>0</v>
      </c>
      <c r="Q98" t="s">
        <v>74</v>
      </c>
    </row>
    <row r="99" spans="1:17">
      <c r="A99" t="s">
        <v>35</v>
      </c>
      <c r="B99" t="s">
        <v>3273</v>
      </c>
      <c r="C99" t="s">
        <v>3253</v>
      </c>
      <c r="D99" t="s">
        <v>3286</v>
      </c>
      <c r="E99">
        <v>14</v>
      </c>
      <c r="F99" t="str">
        <f>VLOOKUP(E99,[1]LOJA!$A:$B,2,0)</f>
        <v>S IA</v>
      </c>
      <c r="G99" t="s">
        <v>19</v>
      </c>
      <c r="H99" t="s">
        <v>19</v>
      </c>
      <c r="I99" s="1">
        <v>46009</v>
      </c>
      <c r="J99" s="1">
        <v>46009</v>
      </c>
      <c r="K99" s="1">
        <v>46009</v>
      </c>
      <c r="L99">
        <v>33</v>
      </c>
      <c r="M99" s="2">
        <v>4086.32</v>
      </c>
      <c r="N99" s="2">
        <v>4086.32</v>
      </c>
      <c r="O99">
        <v>0</v>
      </c>
      <c r="P99">
        <v>0</v>
      </c>
      <c r="Q99" t="s">
        <v>74</v>
      </c>
    </row>
    <row r="100" spans="1:17">
      <c r="A100" t="s">
        <v>35</v>
      </c>
      <c r="B100" t="s">
        <v>3273</v>
      </c>
      <c r="C100" t="s">
        <v>3253</v>
      </c>
      <c r="D100" t="s">
        <v>3287</v>
      </c>
      <c r="E100">
        <v>4</v>
      </c>
      <c r="F100" t="str">
        <f>VLOOKUP(E100,[1]LOJA!$A:$B,2,0)</f>
        <v>ADE</v>
      </c>
      <c r="G100" t="s">
        <v>19</v>
      </c>
      <c r="H100" t="s">
        <v>19</v>
      </c>
      <c r="I100" s="1">
        <v>46009</v>
      </c>
      <c r="J100" s="1">
        <v>46009</v>
      </c>
      <c r="K100" s="1">
        <v>46009</v>
      </c>
      <c r="L100">
        <v>33</v>
      </c>
      <c r="M100" s="2">
        <v>2967.89</v>
      </c>
      <c r="N100" s="2">
        <v>2967.89</v>
      </c>
      <c r="O100">
        <v>0</v>
      </c>
      <c r="P100">
        <v>0</v>
      </c>
      <c r="Q100" t="s">
        <v>74</v>
      </c>
    </row>
    <row r="101" spans="1:17">
      <c r="A101" t="s">
        <v>35</v>
      </c>
      <c r="B101" t="s">
        <v>3273</v>
      </c>
      <c r="C101" t="s">
        <v>3253</v>
      </c>
      <c r="D101" t="s">
        <v>3288</v>
      </c>
      <c r="E101">
        <v>13</v>
      </c>
      <c r="F101" t="str">
        <f>VLOOKUP(E101,[1]LOJA!$A:$B,2,0)</f>
        <v>CEILÂNDIA</v>
      </c>
      <c r="G101" t="s">
        <v>19</v>
      </c>
      <c r="H101" t="s">
        <v>19</v>
      </c>
      <c r="I101" s="1">
        <v>46009</v>
      </c>
      <c r="J101" s="1">
        <v>46009</v>
      </c>
      <c r="K101" s="1">
        <v>46009</v>
      </c>
      <c r="L101">
        <v>33</v>
      </c>
      <c r="M101" s="2">
        <v>1744.04</v>
      </c>
      <c r="N101" s="2">
        <v>1744.04</v>
      </c>
      <c r="O101">
        <v>0</v>
      </c>
      <c r="P101">
        <v>0</v>
      </c>
      <c r="Q101" t="s">
        <v>74</v>
      </c>
    </row>
    <row r="102" spans="1:17">
      <c r="A102" t="s">
        <v>35</v>
      </c>
      <c r="B102" t="s">
        <v>3273</v>
      </c>
      <c r="C102" t="s">
        <v>3253</v>
      </c>
      <c r="D102" t="s">
        <v>3289</v>
      </c>
      <c r="E102">
        <v>12</v>
      </c>
      <c r="F102" t="str">
        <f>VLOOKUP(E102,[1]LOJA!$A:$B,2,0)</f>
        <v>SOFNORTE</v>
      </c>
      <c r="G102" t="s">
        <v>19</v>
      </c>
      <c r="H102" t="s">
        <v>19</v>
      </c>
      <c r="I102" s="1">
        <v>46009</v>
      </c>
      <c r="J102" s="1">
        <v>46009</v>
      </c>
      <c r="K102" s="1">
        <v>46009</v>
      </c>
      <c r="L102">
        <v>33</v>
      </c>
      <c r="M102" s="2">
        <v>5188.72</v>
      </c>
      <c r="N102" s="2">
        <v>5188.72</v>
      </c>
      <c r="O102">
        <v>0</v>
      </c>
      <c r="P102">
        <v>0</v>
      </c>
      <c r="Q102" t="s">
        <v>74</v>
      </c>
    </row>
    <row r="103" spans="1:17">
      <c r="A103" t="s">
        <v>35</v>
      </c>
      <c r="B103" t="s">
        <v>3273</v>
      </c>
      <c r="C103" t="s">
        <v>3253</v>
      </c>
      <c r="D103" t="s">
        <v>3290</v>
      </c>
      <c r="E103">
        <v>22</v>
      </c>
      <c r="F103" t="str">
        <f>VLOOKUP(E103,[1]LOJA!$A:$B,2,0)</f>
        <v>GUARÁ</v>
      </c>
      <c r="G103" t="s">
        <v>19</v>
      </c>
      <c r="H103" t="s">
        <v>19</v>
      </c>
      <c r="I103" s="1">
        <v>46009</v>
      </c>
      <c r="J103" s="1">
        <v>46009</v>
      </c>
      <c r="K103" s="1">
        <v>46009</v>
      </c>
      <c r="L103">
        <v>33</v>
      </c>
      <c r="M103" s="2">
        <v>6231.64</v>
      </c>
      <c r="N103" s="2">
        <v>6231.64</v>
      </c>
      <c r="O103">
        <v>0</v>
      </c>
      <c r="P103">
        <v>0</v>
      </c>
      <c r="Q103" t="s">
        <v>74</v>
      </c>
    </row>
    <row r="104" spans="1:17">
      <c r="A104" t="s">
        <v>35</v>
      </c>
      <c r="B104" t="s">
        <v>3273</v>
      </c>
      <c r="C104" t="s">
        <v>3253</v>
      </c>
      <c r="D104" t="s">
        <v>3291</v>
      </c>
      <c r="E104">
        <v>15</v>
      </c>
      <c r="F104" t="str">
        <f>VLOOKUP(E104,[1]LOJA!$A:$B,2,0)</f>
        <v>UNAÍ</v>
      </c>
      <c r="G104" t="s">
        <v>19</v>
      </c>
      <c r="H104" t="s">
        <v>19</v>
      </c>
      <c r="I104" s="1">
        <v>46010</v>
      </c>
      <c r="J104" s="1">
        <v>46010</v>
      </c>
      <c r="K104" s="1">
        <v>46010</v>
      </c>
      <c r="L104">
        <v>26</v>
      </c>
      <c r="M104" s="2">
        <v>2198.04</v>
      </c>
      <c r="N104" s="2">
        <v>2198.04</v>
      </c>
      <c r="O104">
        <v>0</v>
      </c>
      <c r="P104">
        <v>0</v>
      </c>
      <c r="Q104" t="s">
        <v>74</v>
      </c>
    </row>
    <row r="105" spans="1:17">
      <c r="A105" t="s">
        <v>35</v>
      </c>
      <c r="B105" t="s">
        <v>3273</v>
      </c>
      <c r="C105" t="s">
        <v>3253</v>
      </c>
      <c r="D105" t="s">
        <v>3292</v>
      </c>
      <c r="E105">
        <v>15</v>
      </c>
      <c r="F105" t="str">
        <f>VLOOKUP(E105,[1]LOJA!$A:$B,2,0)</f>
        <v>UNAÍ</v>
      </c>
      <c r="G105" t="s">
        <v>19</v>
      </c>
      <c r="H105" t="s">
        <v>19</v>
      </c>
      <c r="I105" s="1">
        <v>46010</v>
      </c>
      <c r="J105" s="1">
        <v>46010</v>
      </c>
      <c r="K105" s="1">
        <v>46010</v>
      </c>
      <c r="L105">
        <v>26</v>
      </c>
      <c r="M105" s="2">
        <v>2551</v>
      </c>
      <c r="N105" s="2">
        <v>2551</v>
      </c>
      <c r="O105">
        <v>0</v>
      </c>
      <c r="P105">
        <v>0</v>
      </c>
      <c r="Q105" t="s">
        <v>74</v>
      </c>
    </row>
    <row r="106" spans="1:17">
      <c r="A106" t="s">
        <v>35</v>
      </c>
      <c r="B106" t="s">
        <v>3273</v>
      </c>
      <c r="C106" t="s">
        <v>3253</v>
      </c>
      <c r="D106" t="s">
        <v>3293</v>
      </c>
      <c r="E106">
        <v>15</v>
      </c>
      <c r="F106" t="str">
        <f>VLOOKUP(E106,[1]LOJA!$A:$B,2,0)</f>
        <v>UNAÍ</v>
      </c>
      <c r="G106" t="s">
        <v>19</v>
      </c>
      <c r="H106" t="s">
        <v>19</v>
      </c>
      <c r="I106" s="1">
        <v>45992</v>
      </c>
      <c r="J106" s="1">
        <v>45992</v>
      </c>
      <c r="K106" s="1">
        <v>45992</v>
      </c>
      <c r="L106">
        <v>36</v>
      </c>
      <c r="M106">
        <v>312.5</v>
      </c>
      <c r="N106">
        <v>312.5</v>
      </c>
      <c r="O106">
        <v>0</v>
      </c>
      <c r="P106">
        <v>0</v>
      </c>
      <c r="Q106" t="s">
        <v>74</v>
      </c>
    </row>
    <row r="107" spans="1:17">
      <c r="A107" t="s">
        <v>35</v>
      </c>
      <c r="B107" t="s">
        <v>36</v>
      </c>
      <c r="C107" t="s">
        <v>23</v>
      </c>
      <c r="D107" t="s">
        <v>3294</v>
      </c>
      <c r="E107">
        <v>1</v>
      </c>
      <c r="F107" t="str">
        <f>VLOOKUP(E107,[1]LOJA!$A:$B,2,0)</f>
        <v>GUARÁ</v>
      </c>
      <c r="G107" t="s">
        <v>19</v>
      </c>
      <c r="H107" t="s">
        <v>20</v>
      </c>
      <c r="I107" s="1">
        <v>45614</v>
      </c>
      <c r="J107" s="1">
        <v>46010</v>
      </c>
      <c r="K107" s="1">
        <v>46010</v>
      </c>
      <c r="L107">
        <v>20</v>
      </c>
      <c r="M107">
        <v>439.58</v>
      </c>
      <c r="N107">
        <v>439.58</v>
      </c>
      <c r="O107">
        <v>0</v>
      </c>
      <c r="P107">
        <v>0</v>
      </c>
      <c r="Q107" t="s">
        <v>3295</v>
      </c>
    </row>
    <row r="108" spans="1:17">
      <c r="A108" t="s">
        <v>35</v>
      </c>
      <c r="B108" t="s">
        <v>36</v>
      </c>
      <c r="C108" t="s">
        <v>23</v>
      </c>
      <c r="D108" t="s">
        <v>3294</v>
      </c>
      <c r="E108">
        <v>1</v>
      </c>
      <c r="F108" t="str">
        <f>VLOOKUP(E108,[1]LOJA!$A:$B,2,0)</f>
        <v>GUARÁ</v>
      </c>
      <c r="G108" t="s">
        <v>19</v>
      </c>
      <c r="H108" t="s">
        <v>20</v>
      </c>
      <c r="I108" s="1">
        <v>45614</v>
      </c>
      <c r="J108" s="1">
        <v>46010</v>
      </c>
      <c r="K108" s="1">
        <v>46010</v>
      </c>
      <c r="L108">
        <v>21</v>
      </c>
      <c r="M108">
        <v>178.69</v>
      </c>
      <c r="N108">
        <v>178.69</v>
      </c>
      <c r="O108">
        <v>0</v>
      </c>
      <c r="P108">
        <v>0</v>
      </c>
      <c r="Q108" t="s">
        <v>3296</v>
      </c>
    </row>
    <row r="109" spans="1:17">
      <c r="A109" t="s">
        <v>35</v>
      </c>
      <c r="B109" t="s">
        <v>36</v>
      </c>
      <c r="C109" t="s">
        <v>23</v>
      </c>
      <c r="D109" t="s">
        <v>3294</v>
      </c>
      <c r="E109">
        <v>1</v>
      </c>
      <c r="F109" t="str">
        <f>VLOOKUP(E109,[1]LOJA!$A:$B,2,0)</f>
        <v>GUARÁ</v>
      </c>
      <c r="G109" t="s">
        <v>19</v>
      </c>
      <c r="H109" t="s">
        <v>20</v>
      </c>
      <c r="I109" s="1">
        <v>45614</v>
      </c>
      <c r="J109" s="1">
        <v>46010</v>
      </c>
      <c r="K109" s="1">
        <v>46010</v>
      </c>
      <c r="L109">
        <v>22</v>
      </c>
      <c r="M109">
        <v>401.05</v>
      </c>
      <c r="N109">
        <v>401.05</v>
      </c>
      <c r="O109">
        <v>0</v>
      </c>
      <c r="P109">
        <v>0</v>
      </c>
      <c r="Q109" t="s">
        <v>3297</v>
      </c>
    </row>
    <row r="110" spans="1:17">
      <c r="A110" t="s">
        <v>35</v>
      </c>
      <c r="B110" t="s">
        <v>36</v>
      </c>
      <c r="C110" t="s">
        <v>23</v>
      </c>
      <c r="D110" t="s">
        <v>3294</v>
      </c>
      <c r="E110">
        <v>1</v>
      </c>
      <c r="F110" t="str">
        <f>VLOOKUP(E110,[1]LOJA!$A:$B,2,0)</f>
        <v>GUARÁ</v>
      </c>
      <c r="G110" t="s">
        <v>19</v>
      </c>
      <c r="H110" t="s">
        <v>20</v>
      </c>
      <c r="I110" s="1">
        <v>45614</v>
      </c>
      <c r="J110" s="1">
        <v>46010</v>
      </c>
      <c r="K110" s="1">
        <v>46010</v>
      </c>
      <c r="L110">
        <v>26</v>
      </c>
      <c r="M110" s="2">
        <v>1629.26</v>
      </c>
      <c r="N110" s="2">
        <v>1629.26</v>
      </c>
      <c r="O110">
        <v>0</v>
      </c>
      <c r="P110">
        <v>0</v>
      </c>
      <c r="Q110" t="s">
        <v>3295</v>
      </c>
    </row>
    <row r="111" spans="1:17">
      <c r="A111" t="s">
        <v>35</v>
      </c>
      <c r="B111" t="s">
        <v>36</v>
      </c>
      <c r="C111" t="s">
        <v>23</v>
      </c>
      <c r="D111" t="s">
        <v>3294</v>
      </c>
      <c r="E111">
        <v>4</v>
      </c>
      <c r="F111" t="str">
        <f>VLOOKUP(E111,[1]LOJA!$A:$B,2,0)</f>
        <v>ADE</v>
      </c>
      <c r="G111" t="s">
        <v>19</v>
      </c>
      <c r="H111" t="s">
        <v>20</v>
      </c>
      <c r="I111" s="1">
        <v>45614</v>
      </c>
      <c r="J111" s="1">
        <v>46010</v>
      </c>
      <c r="K111" s="1">
        <v>46010</v>
      </c>
      <c r="L111">
        <v>20</v>
      </c>
      <c r="M111">
        <v>461.32</v>
      </c>
      <c r="N111">
        <v>461.32</v>
      </c>
      <c r="O111">
        <v>0</v>
      </c>
      <c r="P111">
        <v>0</v>
      </c>
      <c r="Q111" t="s">
        <v>3295</v>
      </c>
    </row>
    <row r="112" spans="1:17">
      <c r="A112" t="s">
        <v>35</v>
      </c>
      <c r="B112" t="s">
        <v>36</v>
      </c>
      <c r="C112" t="s">
        <v>23</v>
      </c>
      <c r="D112" t="s">
        <v>3294</v>
      </c>
      <c r="E112">
        <v>4</v>
      </c>
      <c r="F112" t="str">
        <f>VLOOKUP(E112,[1]LOJA!$A:$B,2,0)</f>
        <v>ADE</v>
      </c>
      <c r="G112" t="s">
        <v>19</v>
      </c>
      <c r="H112" t="s">
        <v>20</v>
      </c>
      <c r="I112" s="1">
        <v>45614</v>
      </c>
      <c r="J112" s="1">
        <v>46010</v>
      </c>
      <c r="K112" s="1">
        <v>46010</v>
      </c>
      <c r="L112">
        <v>21</v>
      </c>
      <c r="M112">
        <v>187.53</v>
      </c>
      <c r="N112">
        <v>187.53</v>
      </c>
      <c r="O112">
        <v>0</v>
      </c>
      <c r="P112">
        <v>0</v>
      </c>
      <c r="Q112" t="s">
        <v>3296</v>
      </c>
    </row>
    <row r="113" spans="1:17">
      <c r="A113" t="s">
        <v>35</v>
      </c>
      <c r="B113" t="s">
        <v>36</v>
      </c>
      <c r="C113" t="s">
        <v>23</v>
      </c>
      <c r="D113" t="s">
        <v>3294</v>
      </c>
      <c r="E113">
        <v>4</v>
      </c>
      <c r="F113" t="str">
        <f>VLOOKUP(E113,[1]LOJA!$A:$B,2,0)</f>
        <v>ADE</v>
      </c>
      <c r="G113" t="s">
        <v>19</v>
      </c>
      <c r="H113" t="s">
        <v>20</v>
      </c>
      <c r="I113" s="1">
        <v>45614</v>
      </c>
      <c r="J113" s="1">
        <v>46010</v>
      </c>
      <c r="K113" s="1">
        <v>46010</v>
      </c>
      <c r="L113">
        <v>22</v>
      </c>
      <c r="M113">
        <v>420.88</v>
      </c>
      <c r="N113">
        <v>420.88</v>
      </c>
      <c r="O113">
        <v>0</v>
      </c>
      <c r="P113">
        <v>0</v>
      </c>
      <c r="Q113" t="s">
        <v>3297</v>
      </c>
    </row>
    <row r="114" spans="1:17">
      <c r="A114" t="s">
        <v>35</v>
      </c>
      <c r="B114" t="s">
        <v>36</v>
      </c>
      <c r="C114" t="s">
        <v>23</v>
      </c>
      <c r="D114" t="s">
        <v>3294</v>
      </c>
      <c r="E114">
        <v>4</v>
      </c>
      <c r="F114" t="str">
        <f>VLOOKUP(E114,[1]LOJA!$A:$B,2,0)</f>
        <v>ADE</v>
      </c>
      <c r="G114" t="s">
        <v>19</v>
      </c>
      <c r="H114" t="s">
        <v>20</v>
      </c>
      <c r="I114" s="1">
        <v>45614</v>
      </c>
      <c r="J114" s="1">
        <v>46010</v>
      </c>
      <c r="K114" s="1">
        <v>46010</v>
      </c>
      <c r="L114">
        <v>26</v>
      </c>
      <c r="M114" s="2">
        <v>1709.83</v>
      </c>
      <c r="N114" s="2">
        <v>1709.83</v>
      </c>
      <c r="O114">
        <v>0</v>
      </c>
      <c r="P114">
        <v>0</v>
      </c>
      <c r="Q114" t="s">
        <v>3295</v>
      </c>
    </row>
    <row r="115" spans="1:17">
      <c r="A115" t="s">
        <v>35</v>
      </c>
      <c r="B115" t="s">
        <v>36</v>
      </c>
      <c r="C115" t="s">
        <v>23</v>
      </c>
      <c r="D115" t="s">
        <v>3294</v>
      </c>
      <c r="E115">
        <v>6</v>
      </c>
      <c r="F115" t="str">
        <f>VLOOKUP(E115,[1]LOJA!$A:$B,2,0)</f>
        <v>GAMA</v>
      </c>
      <c r="G115" t="s">
        <v>19</v>
      </c>
      <c r="H115" t="s">
        <v>20</v>
      </c>
      <c r="I115" s="1">
        <v>45614</v>
      </c>
      <c r="J115" s="1">
        <v>46010</v>
      </c>
      <c r="K115" s="1">
        <v>46010</v>
      </c>
      <c r="L115">
        <v>20</v>
      </c>
      <c r="M115">
        <v>271.11</v>
      </c>
      <c r="N115">
        <v>271.11</v>
      </c>
      <c r="O115">
        <v>0</v>
      </c>
      <c r="P115">
        <v>0</v>
      </c>
      <c r="Q115" t="s">
        <v>3295</v>
      </c>
    </row>
    <row r="116" spans="1:17">
      <c r="A116" t="s">
        <v>35</v>
      </c>
      <c r="B116" t="s">
        <v>36</v>
      </c>
      <c r="C116" t="s">
        <v>23</v>
      </c>
      <c r="D116" t="s">
        <v>3294</v>
      </c>
      <c r="E116">
        <v>6</v>
      </c>
      <c r="F116" t="str">
        <f>VLOOKUP(E116,[1]LOJA!$A:$B,2,0)</f>
        <v>GAMA</v>
      </c>
      <c r="G116" t="s">
        <v>19</v>
      </c>
      <c r="H116" t="s">
        <v>20</v>
      </c>
      <c r="I116" s="1">
        <v>45614</v>
      </c>
      <c r="J116" s="1">
        <v>46010</v>
      </c>
      <c r="K116" s="1">
        <v>46010</v>
      </c>
      <c r="L116">
        <v>21</v>
      </c>
      <c r="M116">
        <v>110.21</v>
      </c>
      <c r="N116">
        <v>110.21</v>
      </c>
      <c r="O116">
        <v>0</v>
      </c>
      <c r="P116">
        <v>0</v>
      </c>
      <c r="Q116" t="s">
        <v>3296</v>
      </c>
    </row>
    <row r="117" spans="1:17">
      <c r="A117" t="s">
        <v>35</v>
      </c>
      <c r="B117" t="s">
        <v>36</v>
      </c>
      <c r="C117" t="s">
        <v>23</v>
      </c>
      <c r="D117" t="s">
        <v>3294</v>
      </c>
      <c r="E117">
        <v>6</v>
      </c>
      <c r="F117" t="str">
        <f>VLOOKUP(E117,[1]LOJA!$A:$B,2,0)</f>
        <v>GAMA</v>
      </c>
      <c r="G117" t="s">
        <v>19</v>
      </c>
      <c r="H117" t="s">
        <v>20</v>
      </c>
      <c r="I117" s="1">
        <v>45614</v>
      </c>
      <c r="J117" s="1">
        <v>46010</v>
      </c>
      <c r="K117" s="1">
        <v>46010</v>
      </c>
      <c r="L117">
        <v>22</v>
      </c>
      <c r="M117">
        <v>247.35</v>
      </c>
      <c r="N117">
        <v>247.35</v>
      </c>
      <c r="O117">
        <v>0</v>
      </c>
      <c r="P117">
        <v>0</v>
      </c>
      <c r="Q117" t="s">
        <v>3297</v>
      </c>
    </row>
    <row r="118" spans="1:17">
      <c r="A118" t="s">
        <v>35</v>
      </c>
      <c r="B118" t="s">
        <v>36</v>
      </c>
      <c r="C118" t="s">
        <v>23</v>
      </c>
      <c r="D118" t="s">
        <v>3294</v>
      </c>
      <c r="E118">
        <v>6</v>
      </c>
      <c r="F118" t="str">
        <f>VLOOKUP(E118,[1]LOJA!$A:$B,2,0)</f>
        <v>GAMA</v>
      </c>
      <c r="G118" t="s">
        <v>19</v>
      </c>
      <c r="H118" t="s">
        <v>20</v>
      </c>
      <c r="I118" s="1">
        <v>45614</v>
      </c>
      <c r="J118" s="1">
        <v>46010</v>
      </c>
      <c r="K118" s="1">
        <v>46010</v>
      </c>
      <c r="L118">
        <v>26</v>
      </c>
      <c r="M118" s="2">
        <v>1004.86</v>
      </c>
      <c r="N118" s="2">
        <v>1004.86</v>
      </c>
      <c r="O118">
        <v>0</v>
      </c>
      <c r="P118">
        <v>0</v>
      </c>
      <c r="Q118" t="s">
        <v>3295</v>
      </c>
    </row>
    <row r="119" spans="1:17">
      <c r="A119" t="s">
        <v>35</v>
      </c>
      <c r="B119" t="s">
        <v>36</v>
      </c>
      <c r="C119" t="s">
        <v>23</v>
      </c>
      <c r="D119" t="s">
        <v>3294</v>
      </c>
      <c r="E119">
        <v>8</v>
      </c>
      <c r="F119" t="str">
        <f>VLOOKUP(E119,[1]LOJA!$A:$B,2,0)</f>
        <v>LUZIÂNIA</v>
      </c>
      <c r="G119" t="s">
        <v>19</v>
      </c>
      <c r="H119" t="s">
        <v>20</v>
      </c>
      <c r="I119" s="1">
        <v>45614</v>
      </c>
      <c r="J119" s="1">
        <v>46010</v>
      </c>
      <c r="K119" s="1">
        <v>46010</v>
      </c>
      <c r="L119">
        <v>20</v>
      </c>
      <c r="M119">
        <v>337.53</v>
      </c>
      <c r="N119">
        <v>337.53</v>
      </c>
      <c r="O119">
        <v>0</v>
      </c>
      <c r="P119">
        <v>0</v>
      </c>
      <c r="Q119" t="s">
        <v>3295</v>
      </c>
    </row>
    <row r="120" spans="1:17">
      <c r="A120" t="s">
        <v>35</v>
      </c>
      <c r="B120" t="s">
        <v>36</v>
      </c>
      <c r="C120" t="s">
        <v>23</v>
      </c>
      <c r="D120" t="s">
        <v>3294</v>
      </c>
      <c r="E120">
        <v>8</v>
      </c>
      <c r="F120" t="str">
        <f>VLOOKUP(E120,[1]LOJA!$A:$B,2,0)</f>
        <v>LUZIÂNIA</v>
      </c>
      <c r="G120" t="s">
        <v>19</v>
      </c>
      <c r="H120" t="s">
        <v>20</v>
      </c>
      <c r="I120" s="1">
        <v>45614</v>
      </c>
      <c r="J120" s="1">
        <v>46010</v>
      </c>
      <c r="K120" s="1">
        <v>46010</v>
      </c>
      <c r="L120">
        <v>21</v>
      </c>
      <c r="M120">
        <v>137.21</v>
      </c>
      <c r="N120">
        <v>137.21</v>
      </c>
      <c r="O120">
        <v>0</v>
      </c>
      <c r="P120">
        <v>0</v>
      </c>
      <c r="Q120" t="s">
        <v>3296</v>
      </c>
    </row>
    <row r="121" spans="1:17">
      <c r="A121" t="s">
        <v>35</v>
      </c>
      <c r="B121" t="s">
        <v>36</v>
      </c>
      <c r="C121" t="s">
        <v>23</v>
      </c>
      <c r="D121" t="s">
        <v>3294</v>
      </c>
      <c r="E121">
        <v>8</v>
      </c>
      <c r="F121" t="str">
        <f>VLOOKUP(E121,[1]LOJA!$A:$B,2,0)</f>
        <v>LUZIÂNIA</v>
      </c>
      <c r="G121" t="s">
        <v>19</v>
      </c>
      <c r="H121" t="s">
        <v>20</v>
      </c>
      <c r="I121" s="1">
        <v>45614</v>
      </c>
      <c r="J121" s="1">
        <v>46010</v>
      </c>
      <c r="K121" s="1">
        <v>46010</v>
      </c>
      <c r="L121">
        <v>22</v>
      </c>
      <c r="M121">
        <v>307.95</v>
      </c>
      <c r="N121">
        <v>307.95</v>
      </c>
      <c r="O121">
        <v>0</v>
      </c>
      <c r="P121">
        <v>0</v>
      </c>
      <c r="Q121" t="s">
        <v>3297</v>
      </c>
    </row>
    <row r="122" spans="1:17">
      <c r="A122" t="s">
        <v>35</v>
      </c>
      <c r="B122" t="s">
        <v>36</v>
      </c>
      <c r="C122" t="s">
        <v>23</v>
      </c>
      <c r="D122" t="s">
        <v>3294</v>
      </c>
      <c r="E122">
        <v>8</v>
      </c>
      <c r="F122" t="str">
        <f>VLOOKUP(E122,[1]LOJA!$A:$B,2,0)</f>
        <v>LUZIÂNIA</v>
      </c>
      <c r="G122" t="s">
        <v>19</v>
      </c>
      <c r="H122" t="s">
        <v>20</v>
      </c>
      <c r="I122" s="1">
        <v>45614</v>
      </c>
      <c r="J122" s="1">
        <v>46010</v>
      </c>
      <c r="K122" s="1">
        <v>46010</v>
      </c>
      <c r="L122">
        <v>26</v>
      </c>
      <c r="M122" s="2">
        <v>1251.04</v>
      </c>
      <c r="N122" s="2">
        <v>1251.04</v>
      </c>
      <c r="O122">
        <v>0</v>
      </c>
      <c r="P122">
        <v>0</v>
      </c>
      <c r="Q122" t="s">
        <v>3295</v>
      </c>
    </row>
    <row r="123" spans="1:17">
      <c r="A123" t="s">
        <v>35</v>
      </c>
      <c r="B123" t="s">
        <v>36</v>
      </c>
      <c r="C123" t="s">
        <v>23</v>
      </c>
      <c r="D123" t="s">
        <v>3294</v>
      </c>
      <c r="E123">
        <v>12</v>
      </c>
      <c r="F123" t="str">
        <f>VLOOKUP(E123,[1]LOJA!$A:$B,2,0)</f>
        <v>SOFNORTE</v>
      </c>
      <c r="G123" t="s">
        <v>19</v>
      </c>
      <c r="H123" t="s">
        <v>20</v>
      </c>
      <c r="I123" s="1">
        <v>45614</v>
      </c>
      <c r="J123" s="1">
        <v>46010</v>
      </c>
      <c r="K123" s="1">
        <v>46010</v>
      </c>
      <c r="L123">
        <v>20</v>
      </c>
      <c r="M123">
        <v>341.16</v>
      </c>
      <c r="N123">
        <v>341.16</v>
      </c>
      <c r="O123">
        <v>0</v>
      </c>
      <c r="P123">
        <v>0</v>
      </c>
      <c r="Q123" t="s">
        <v>3295</v>
      </c>
    </row>
    <row r="124" spans="1:17">
      <c r="A124" t="s">
        <v>35</v>
      </c>
      <c r="B124" t="s">
        <v>36</v>
      </c>
      <c r="C124" t="s">
        <v>23</v>
      </c>
      <c r="D124" t="s">
        <v>3294</v>
      </c>
      <c r="E124">
        <v>12</v>
      </c>
      <c r="F124" t="str">
        <f>VLOOKUP(E124,[1]LOJA!$A:$B,2,0)</f>
        <v>SOFNORTE</v>
      </c>
      <c r="G124" t="s">
        <v>19</v>
      </c>
      <c r="H124" t="s">
        <v>20</v>
      </c>
      <c r="I124" s="1">
        <v>45614</v>
      </c>
      <c r="J124" s="1">
        <v>46010</v>
      </c>
      <c r="K124" s="1">
        <v>46010</v>
      </c>
      <c r="L124">
        <v>21</v>
      </c>
      <c r="M124">
        <v>138.68</v>
      </c>
      <c r="N124">
        <v>138.68</v>
      </c>
      <c r="O124">
        <v>0</v>
      </c>
      <c r="P124">
        <v>0</v>
      </c>
      <c r="Q124" t="s">
        <v>3296</v>
      </c>
    </row>
    <row r="125" spans="1:17">
      <c r="A125" t="s">
        <v>35</v>
      </c>
      <c r="B125" t="s">
        <v>36</v>
      </c>
      <c r="C125" t="s">
        <v>23</v>
      </c>
      <c r="D125" t="s">
        <v>3294</v>
      </c>
      <c r="E125">
        <v>12</v>
      </c>
      <c r="F125" t="str">
        <f>VLOOKUP(E125,[1]LOJA!$A:$B,2,0)</f>
        <v>SOFNORTE</v>
      </c>
      <c r="G125" t="s">
        <v>19</v>
      </c>
      <c r="H125" t="s">
        <v>20</v>
      </c>
      <c r="I125" s="1">
        <v>45614</v>
      </c>
      <c r="J125" s="1">
        <v>46010</v>
      </c>
      <c r="K125" s="1">
        <v>46010</v>
      </c>
      <c r="L125">
        <v>22</v>
      </c>
      <c r="M125">
        <v>311.25</v>
      </c>
      <c r="N125">
        <v>311.25</v>
      </c>
      <c r="O125">
        <v>0</v>
      </c>
      <c r="P125">
        <v>0</v>
      </c>
      <c r="Q125" t="s">
        <v>3297</v>
      </c>
    </row>
    <row r="126" spans="1:17">
      <c r="A126" t="s">
        <v>35</v>
      </c>
      <c r="B126" t="s">
        <v>36</v>
      </c>
      <c r="C126" t="s">
        <v>23</v>
      </c>
      <c r="D126" t="s">
        <v>3294</v>
      </c>
      <c r="E126">
        <v>12</v>
      </c>
      <c r="F126" t="str">
        <f>VLOOKUP(E126,[1]LOJA!$A:$B,2,0)</f>
        <v>SOFNORTE</v>
      </c>
      <c r="G126" t="s">
        <v>19</v>
      </c>
      <c r="H126" t="s">
        <v>20</v>
      </c>
      <c r="I126" s="1">
        <v>45614</v>
      </c>
      <c r="J126" s="1">
        <v>46010</v>
      </c>
      <c r="K126" s="1">
        <v>46010</v>
      </c>
      <c r="L126">
        <v>26</v>
      </c>
      <c r="M126" s="2">
        <v>1264.47</v>
      </c>
      <c r="N126" s="2">
        <v>1264.47</v>
      </c>
      <c r="O126">
        <v>0</v>
      </c>
      <c r="P126">
        <v>0</v>
      </c>
      <c r="Q126" t="s">
        <v>3295</v>
      </c>
    </row>
    <row r="127" spans="1:17">
      <c r="A127" t="s">
        <v>35</v>
      </c>
      <c r="B127" t="s">
        <v>36</v>
      </c>
      <c r="C127" t="s">
        <v>23</v>
      </c>
      <c r="D127" t="s">
        <v>3294</v>
      </c>
      <c r="E127">
        <v>13</v>
      </c>
      <c r="F127" t="str">
        <f>VLOOKUP(E127,[1]LOJA!$A:$B,2,0)</f>
        <v>CEILÂNDIA</v>
      </c>
      <c r="G127" t="s">
        <v>19</v>
      </c>
      <c r="H127" t="s">
        <v>20</v>
      </c>
      <c r="I127" s="1">
        <v>45614</v>
      </c>
      <c r="J127" s="1">
        <v>46010</v>
      </c>
      <c r="K127" s="1">
        <v>46010</v>
      </c>
      <c r="L127">
        <v>20</v>
      </c>
      <c r="M127">
        <v>534.98</v>
      </c>
      <c r="N127">
        <v>534.98</v>
      </c>
      <c r="O127">
        <v>0</v>
      </c>
      <c r="P127">
        <v>0</v>
      </c>
      <c r="Q127" t="s">
        <v>3295</v>
      </c>
    </row>
    <row r="128" spans="1:17">
      <c r="A128" t="s">
        <v>35</v>
      </c>
      <c r="B128" t="s">
        <v>36</v>
      </c>
      <c r="C128" t="s">
        <v>23</v>
      </c>
      <c r="D128" t="s">
        <v>3294</v>
      </c>
      <c r="E128">
        <v>13</v>
      </c>
      <c r="F128" t="str">
        <f>VLOOKUP(E128,[1]LOJA!$A:$B,2,0)</f>
        <v>CEILÂNDIA</v>
      </c>
      <c r="G128" t="s">
        <v>19</v>
      </c>
      <c r="H128" t="s">
        <v>20</v>
      </c>
      <c r="I128" s="1">
        <v>45614</v>
      </c>
      <c r="J128" s="1">
        <v>46010</v>
      </c>
      <c r="K128" s="1">
        <v>46010</v>
      </c>
      <c r="L128">
        <v>21</v>
      </c>
      <c r="M128">
        <v>217.48</v>
      </c>
      <c r="N128">
        <v>217.48</v>
      </c>
      <c r="O128">
        <v>0</v>
      </c>
      <c r="P128">
        <v>0</v>
      </c>
      <c r="Q128" t="s">
        <v>3296</v>
      </c>
    </row>
    <row r="129" spans="1:17">
      <c r="A129" t="s">
        <v>35</v>
      </c>
      <c r="B129" t="s">
        <v>36</v>
      </c>
      <c r="C129" t="s">
        <v>23</v>
      </c>
      <c r="D129" t="s">
        <v>3294</v>
      </c>
      <c r="E129">
        <v>13</v>
      </c>
      <c r="F129" t="str">
        <f>VLOOKUP(E129,[1]LOJA!$A:$B,2,0)</f>
        <v>CEILÂNDIA</v>
      </c>
      <c r="G129" t="s">
        <v>19</v>
      </c>
      <c r="H129" t="s">
        <v>20</v>
      </c>
      <c r="I129" s="1">
        <v>45614</v>
      </c>
      <c r="J129" s="1">
        <v>46010</v>
      </c>
      <c r="K129" s="1">
        <v>46010</v>
      </c>
      <c r="L129">
        <v>22</v>
      </c>
      <c r="M129">
        <v>488.09</v>
      </c>
      <c r="N129">
        <v>488.09</v>
      </c>
      <c r="O129">
        <v>0</v>
      </c>
      <c r="P129">
        <v>0</v>
      </c>
      <c r="Q129" t="s">
        <v>3297</v>
      </c>
    </row>
    <row r="130" spans="1:17">
      <c r="A130" t="s">
        <v>35</v>
      </c>
      <c r="B130" t="s">
        <v>36</v>
      </c>
      <c r="C130" t="s">
        <v>23</v>
      </c>
      <c r="D130" t="s">
        <v>3294</v>
      </c>
      <c r="E130">
        <v>13</v>
      </c>
      <c r="F130" t="str">
        <f>VLOOKUP(E130,[1]LOJA!$A:$B,2,0)</f>
        <v>CEILÂNDIA</v>
      </c>
      <c r="G130" t="s">
        <v>19</v>
      </c>
      <c r="H130" t="s">
        <v>20</v>
      </c>
      <c r="I130" s="1">
        <v>45614</v>
      </c>
      <c r="J130" s="1">
        <v>46010</v>
      </c>
      <c r="K130" s="1">
        <v>46010</v>
      </c>
      <c r="L130">
        <v>26</v>
      </c>
      <c r="M130" s="2">
        <v>1982.86</v>
      </c>
      <c r="N130" s="2">
        <v>1982.86</v>
      </c>
      <c r="O130">
        <v>0</v>
      </c>
      <c r="P130">
        <v>0</v>
      </c>
      <c r="Q130" t="s">
        <v>3295</v>
      </c>
    </row>
    <row r="131" spans="1:17">
      <c r="A131" t="s">
        <v>35</v>
      </c>
      <c r="B131" t="s">
        <v>36</v>
      </c>
      <c r="C131" t="s">
        <v>23</v>
      </c>
      <c r="D131" t="s">
        <v>3294</v>
      </c>
      <c r="E131">
        <v>14</v>
      </c>
      <c r="F131" t="str">
        <f>VLOOKUP(E131,[1]LOJA!$A:$B,2,0)</f>
        <v>S IA</v>
      </c>
      <c r="G131" t="s">
        <v>19</v>
      </c>
      <c r="H131" t="s">
        <v>20</v>
      </c>
      <c r="I131" s="1">
        <v>45614</v>
      </c>
      <c r="J131" s="1">
        <v>46010</v>
      </c>
      <c r="K131" s="1">
        <v>46010</v>
      </c>
      <c r="L131">
        <v>20</v>
      </c>
      <c r="M131">
        <v>418.44</v>
      </c>
      <c r="N131">
        <v>418.44</v>
      </c>
      <c r="O131">
        <v>0</v>
      </c>
      <c r="P131">
        <v>0</v>
      </c>
      <c r="Q131" t="s">
        <v>3295</v>
      </c>
    </row>
    <row r="132" spans="1:17">
      <c r="A132" t="s">
        <v>35</v>
      </c>
      <c r="B132" t="s">
        <v>36</v>
      </c>
      <c r="C132" t="s">
        <v>23</v>
      </c>
      <c r="D132" t="s">
        <v>3294</v>
      </c>
      <c r="E132">
        <v>14</v>
      </c>
      <c r="F132" t="str">
        <f>VLOOKUP(E132,[1]LOJA!$A:$B,2,0)</f>
        <v>S IA</v>
      </c>
      <c r="G132" t="s">
        <v>19</v>
      </c>
      <c r="H132" t="s">
        <v>20</v>
      </c>
      <c r="I132" s="1">
        <v>45614</v>
      </c>
      <c r="J132" s="1">
        <v>46010</v>
      </c>
      <c r="K132" s="1">
        <v>46010</v>
      </c>
      <c r="L132">
        <v>21</v>
      </c>
      <c r="M132">
        <v>170.1</v>
      </c>
      <c r="N132">
        <v>170.1</v>
      </c>
      <c r="O132">
        <v>0</v>
      </c>
      <c r="P132">
        <v>0</v>
      </c>
      <c r="Q132" t="s">
        <v>3296</v>
      </c>
    </row>
    <row r="133" spans="1:17">
      <c r="A133" t="s">
        <v>35</v>
      </c>
      <c r="B133" t="s">
        <v>36</v>
      </c>
      <c r="C133" t="s">
        <v>23</v>
      </c>
      <c r="D133" t="s">
        <v>3294</v>
      </c>
      <c r="E133">
        <v>14</v>
      </c>
      <c r="F133" t="str">
        <f>VLOOKUP(E133,[1]LOJA!$A:$B,2,0)</f>
        <v>S IA</v>
      </c>
      <c r="G133" t="s">
        <v>19</v>
      </c>
      <c r="H133" t="s">
        <v>20</v>
      </c>
      <c r="I133" s="1">
        <v>45614</v>
      </c>
      <c r="J133" s="1">
        <v>46010</v>
      </c>
      <c r="K133" s="1">
        <v>46010</v>
      </c>
      <c r="L133">
        <v>22</v>
      </c>
      <c r="M133">
        <v>381.77</v>
      </c>
      <c r="N133">
        <v>381.77</v>
      </c>
      <c r="O133">
        <v>0</v>
      </c>
      <c r="P133">
        <v>0</v>
      </c>
      <c r="Q133" t="s">
        <v>3297</v>
      </c>
    </row>
    <row r="134" spans="1:17">
      <c r="A134" t="s">
        <v>35</v>
      </c>
      <c r="B134" t="s">
        <v>36</v>
      </c>
      <c r="C134" t="s">
        <v>23</v>
      </c>
      <c r="D134" t="s">
        <v>3294</v>
      </c>
      <c r="E134">
        <v>14</v>
      </c>
      <c r="F134" t="str">
        <f>VLOOKUP(E134,[1]LOJA!$A:$B,2,0)</f>
        <v>S IA</v>
      </c>
      <c r="G134" t="s">
        <v>19</v>
      </c>
      <c r="H134" t="s">
        <v>20</v>
      </c>
      <c r="I134" s="1">
        <v>45614</v>
      </c>
      <c r="J134" s="1">
        <v>46010</v>
      </c>
      <c r="K134" s="1">
        <v>46010</v>
      </c>
      <c r="L134">
        <v>26</v>
      </c>
      <c r="M134" s="2">
        <v>1550.93</v>
      </c>
      <c r="N134" s="2">
        <v>1550.93</v>
      </c>
      <c r="O134">
        <v>0</v>
      </c>
      <c r="P134">
        <v>0</v>
      </c>
      <c r="Q134" t="s">
        <v>3295</v>
      </c>
    </row>
    <row r="135" spans="1:17">
      <c r="A135" t="s">
        <v>35</v>
      </c>
      <c r="B135" t="s">
        <v>36</v>
      </c>
      <c r="C135" t="s">
        <v>23</v>
      </c>
      <c r="D135" t="s">
        <v>3294</v>
      </c>
      <c r="E135">
        <v>15</v>
      </c>
      <c r="F135" t="str">
        <f>VLOOKUP(E135,[1]LOJA!$A:$B,2,0)</f>
        <v>UNAÍ</v>
      </c>
      <c r="G135" t="s">
        <v>19</v>
      </c>
      <c r="H135" t="s">
        <v>20</v>
      </c>
      <c r="I135" s="1">
        <v>45614</v>
      </c>
      <c r="J135" s="1">
        <v>46010</v>
      </c>
      <c r="K135" s="1">
        <v>46010</v>
      </c>
      <c r="L135">
        <v>20</v>
      </c>
      <c r="M135" s="2">
        <v>1409.31</v>
      </c>
      <c r="N135" s="2">
        <v>1409.31</v>
      </c>
      <c r="O135">
        <v>0</v>
      </c>
      <c r="P135">
        <v>0</v>
      </c>
      <c r="Q135" t="s">
        <v>3295</v>
      </c>
    </row>
    <row r="136" spans="1:17">
      <c r="A136" t="s">
        <v>35</v>
      </c>
      <c r="B136" t="s">
        <v>36</v>
      </c>
      <c r="C136" t="s">
        <v>23</v>
      </c>
      <c r="D136" t="s">
        <v>3294</v>
      </c>
      <c r="E136">
        <v>15</v>
      </c>
      <c r="F136" t="str">
        <f>VLOOKUP(E136,[1]LOJA!$A:$B,2,0)</f>
        <v>UNAÍ</v>
      </c>
      <c r="G136" t="s">
        <v>19</v>
      </c>
      <c r="H136" t="s">
        <v>20</v>
      </c>
      <c r="I136" s="1">
        <v>45614</v>
      </c>
      <c r="J136" s="1">
        <v>46010</v>
      </c>
      <c r="K136" s="1">
        <v>46010</v>
      </c>
      <c r="L136">
        <v>21</v>
      </c>
      <c r="M136">
        <v>572.9</v>
      </c>
      <c r="N136">
        <v>572.9</v>
      </c>
      <c r="O136">
        <v>0</v>
      </c>
      <c r="P136">
        <v>0</v>
      </c>
      <c r="Q136" t="s">
        <v>3296</v>
      </c>
    </row>
    <row r="137" spans="1:17">
      <c r="A137" t="s">
        <v>35</v>
      </c>
      <c r="B137" t="s">
        <v>36</v>
      </c>
      <c r="C137" t="s">
        <v>23</v>
      </c>
      <c r="D137" t="s">
        <v>3294</v>
      </c>
      <c r="E137">
        <v>15</v>
      </c>
      <c r="F137" t="str">
        <f>VLOOKUP(E137,[1]LOJA!$A:$B,2,0)</f>
        <v>UNAÍ</v>
      </c>
      <c r="G137" t="s">
        <v>19</v>
      </c>
      <c r="H137" t="s">
        <v>20</v>
      </c>
      <c r="I137" s="1">
        <v>45614</v>
      </c>
      <c r="J137" s="1">
        <v>46010</v>
      </c>
      <c r="K137" s="1">
        <v>46010</v>
      </c>
      <c r="L137">
        <v>22</v>
      </c>
      <c r="M137" s="2">
        <v>1285.78</v>
      </c>
      <c r="N137" s="2">
        <v>1285.78</v>
      </c>
      <c r="O137">
        <v>0</v>
      </c>
      <c r="P137">
        <v>0</v>
      </c>
      <c r="Q137" t="s">
        <v>3297</v>
      </c>
    </row>
    <row r="138" spans="1:17">
      <c r="A138" t="s">
        <v>35</v>
      </c>
      <c r="B138" t="s">
        <v>36</v>
      </c>
      <c r="C138" t="s">
        <v>23</v>
      </c>
      <c r="D138" t="s">
        <v>3294</v>
      </c>
      <c r="E138">
        <v>15</v>
      </c>
      <c r="F138" t="str">
        <f>VLOOKUP(E138,[1]LOJA!$A:$B,2,0)</f>
        <v>UNAÍ</v>
      </c>
      <c r="G138" t="s">
        <v>19</v>
      </c>
      <c r="H138" t="s">
        <v>20</v>
      </c>
      <c r="I138" s="1">
        <v>45614</v>
      </c>
      <c r="J138" s="1">
        <v>46010</v>
      </c>
      <c r="K138" s="1">
        <v>46010</v>
      </c>
      <c r="L138">
        <v>26</v>
      </c>
      <c r="M138" s="2">
        <v>5223.4799999999996</v>
      </c>
      <c r="N138" s="2">
        <v>5223.4799999999996</v>
      </c>
      <c r="O138">
        <v>0</v>
      </c>
      <c r="P138">
        <v>0</v>
      </c>
      <c r="Q138" t="s">
        <v>3295</v>
      </c>
    </row>
    <row r="139" spans="1:17">
      <c r="A139" t="s">
        <v>35</v>
      </c>
      <c r="B139" t="s">
        <v>36</v>
      </c>
      <c r="C139" t="s">
        <v>23</v>
      </c>
      <c r="D139" t="s">
        <v>3294</v>
      </c>
      <c r="E139">
        <v>16</v>
      </c>
      <c r="F139" t="str">
        <f>VLOOKUP(E139,[1]LOJA!$A:$B,2,0)</f>
        <v>AG LINDAS</v>
      </c>
      <c r="G139" t="s">
        <v>19</v>
      </c>
      <c r="H139" t="s">
        <v>20</v>
      </c>
      <c r="I139" s="1">
        <v>45614</v>
      </c>
      <c r="J139" s="1">
        <v>46010</v>
      </c>
      <c r="K139" s="1">
        <v>46010</v>
      </c>
      <c r="L139">
        <v>20</v>
      </c>
      <c r="M139">
        <v>168.46</v>
      </c>
      <c r="N139">
        <v>168.46</v>
      </c>
      <c r="O139">
        <v>0</v>
      </c>
      <c r="P139">
        <v>0</v>
      </c>
      <c r="Q139" t="s">
        <v>3295</v>
      </c>
    </row>
    <row r="140" spans="1:17">
      <c r="A140" t="s">
        <v>35</v>
      </c>
      <c r="B140" t="s">
        <v>36</v>
      </c>
      <c r="C140" t="s">
        <v>23</v>
      </c>
      <c r="D140" t="s">
        <v>3294</v>
      </c>
      <c r="E140">
        <v>16</v>
      </c>
      <c r="F140" t="str">
        <f>VLOOKUP(E140,[1]LOJA!$A:$B,2,0)</f>
        <v>AG LINDAS</v>
      </c>
      <c r="G140" t="s">
        <v>19</v>
      </c>
      <c r="H140" t="s">
        <v>20</v>
      </c>
      <c r="I140" s="1">
        <v>45614</v>
      </c>
      <c r="J140" s="1">
        <v>46010</v>
      </c>
      <c r="K140" s="1">
        <v>46010</v>
      </c>
      <c r="L140">
        <v>21</v>
      </c>
      <c r="M140">
        <v>68.48</v>
      </c>
      <c r="N140">
        <v>68.48</v>
      </c>
      <c r="O140">
        <v>0</v>
      </c>
      <c r="P140">
        <v>0</v>
      </c>
      <c r="Q140" t="s">
        <v>3296</v>
      </c>
    </row>
    <row r="141" spans="1:17">
      <c r="A141" t="s">
        <v>35</v>
      </c>
      <c r="B141" t="s">
        <v>36</v>
      </c>
      <c r="C141" t="s">
        <v>23</v>
      </c>
      <c r="D141" t="s">
        <v>3294</v>
      </c>
      <c r="E141">
        <v>16</v>
      </c>
      <c r="F141" t="str">
        <f>VLOOKUP(E141,[1]LOJA!$A:$B,2,0)</f>
        <v>AG LINDAS</v>
      </c>
      <c r="G141" t="s">
        <v>19</v>
      </c>
      <c r="H141" t="s">
        <v>20</v>
      </c>
      <c r="I141" s="1">
        <v>45614</v>
      </c>
      <c r="J141" s="1">
        <v>46010</v>
      </c>
      <c r="K141" s="1">
        <v>46010</v>
      </c>
      <c r="L141">
        <v>22</v>
      </c>
      <c r="M141">
        <v>153.69999999999999</v>
      </c>
      <c r="N141">
        <v>153.69999999999999</v>
      </c>
      <c r="O141">
        <v>0</v>
      </c>
      <c r="P141">
        <v>0</v>
      </c>
      <c r="Q141" t="s">
        <v>3297</v>
      </c>
    </row>
    <row r="142" spans="1:17">
      <c r="A142" t="s">
        <v>35</v>
      </c>
      <c r="B142" t="s">
        <v>36</v>
      </c>
      <c r="C142" t="s">
        <v>23</v>
      </c>
      <c r="D142" t="s">
        <v>3294</v>
      </c>
      <c r="E142">
        <v>16</v>
      </c>
      <c r="F142" t="str">
        <f>VLOOKUP(E142,[1]LOJA!$A:$B,2,0)</f>
        <v>AG LINDAS</v>
      </c>
      <c r="G142" t="s">
        <v>19</v>
      </c>
      <c r="H142" t="s">
        <v>20</v>
      </c>
      <c r="I142" s="1">
        <v>45614</v>
      </c>
      <c r="J142" s="1">
        <v>46010</v>
      </c>
      <c r="K142" s="1">
        <v>46010</v>
      </c>
      <c r="L142">
        <v>26</v>
      </c>
      <c r="M142">
        <v>624.4</v>
      </c>
      <c r="N142">
        <v>624.4</v>
      </c>
      <c r="O142">
        <v>0</v>
      </c>
      <c r="P142">
        <v>0</v>
      </c>
      <c r="Q142" t="s">
        <v>3295</v>
      </c>
    </row>
    <row r="143" spans="1:17">
      <c r="A143" t="s">
        <v>35</v>
      </c>
      <c r="B143" t="s">
        <v>36</v>
      </c>
      <c r="C143" t="s">
        <v>23</v>
      </c>
      <c r="D143" t="s">
        <v>3294</v>
      </c>
      <c r="E143">
        <v>20</v>
      </c>
      <c r="F143" t="str">
        <f>VLOOKUP(E143,[1]LOJA!$A:$B,2,0)</f>
        <v>DAUTO SERVIÇOS</v>
      </c>
      <c r="G143" t="s">
        <v>19</v>
      </c>
      <c r="H143" t="s">
        <v>20</v>
      </c>
      <c r="I143" s="1">
        <v>45614</v>
      </c>
      <c r="J143" s="1">
        <v>46010</v>
      </c>
      <c r="K143" s="1">
        <v>46010</v>
      </c>
      <c r="L143">
        <v>20</v>
      </c>
      <c r="M143">
        <v>0</v>
      </c>
      <c r="N143">
        <v>0</v>
      </c>
      <c r="O143">
        <v>0</v>
      </c>
      <c r="P143">
        <v>0</v>
      </c>
      <c r="Q143" t="s">
        <v>3295</v>
      </c>
    </row>
    <row r="144" spans="1:17">
      <c r="A144" t="s">
        <v>35</v>
      </c>
      <c r="B144" t="s">
        <v>36</v>
      </c>
      <c r="C144" t="s">
        <v>23</v>
      </c>
      <c r="D144" t="s">
        <v>3294</v>
      </c>
      <c r="E144">
        <v>20</v>
      </c>
      <c r="F144" t="str">
        <f>VLOOKUP(E144,[1]LOJA!$A:$B,2,0)</f>
        <v>DAUTO SERVIÇOS</v>
      </c>
      <c r="G144" t="s">
        <v>19</v>
      </c>
      <c r="H144" t="s">
        <v>20</v>
      </c>
      <c r="I144" s="1">
        <v>45614</v>
      </c>
      <c r="J144" s="1">
        <v>46010</v>
      </c>
      <c r="K144" s="1">
        <v>46010</v>
      </c>
      <c r="L144">
        <v>21</v>
      </c>
      <c r="M144">
        <v>0</v>
      </c>
      <c r="N144">
        <v>0</v>
      </c>
      <c r="O144">
        <v>0</v>
      </c>
      <c r="P144">
        <v>0</v>
      </c>
      <c r="Q144" t="s">
        <v>3296</v>
      </c>
    </row>
    <row r="145" spans="1:17">
      <c r="A145" t="s">
        <v>35</v>
      </c>
      <c r="B145" t="s">
        <v>36</v>
      </c>
      <c r="C145" t="s">
        <v>23</v>
      </c>
      <c r="D145" t="s">
        <v>3294</v>
      </c>
      <c r="E145">
        <v>20</v>
      </c>
      <c r="F145" t="str">
        <f>VLOOKUP(E145,[1]LOJA!$A:$B,2,0)</f>
        <v>DAUTO SERVIÇOS</v>
      </c>
      <c r="G145" t="s">
        <v>19</v>
      </c>
      <c r="H145" t="s">
        <v>20</v>
      </c>
      <c r="I145" s="1">
        <v>45614</v>
      </c>
      <c r="J145" s="1">
        <v>46010</v>
      </c>
      <c r="K145" s="1">
        <v>46010</v>
      </c>
      <c r="L145">
        <v>22</v>
      </c>
      <c r="M145">
        <v>0</v>
      </c>
      <c r="N145">
        <v>0</v>
      </c>
      <c r="O145">
        <v>0</v>
      </c>
      <c r="P145">
        <v>0</v>
      </c>
      <c r="Q145" t="s">
        <v>3297</v>
      </c>
    </row>
    <row r="146" spans="1:17">
      <c r="A146" t="s">
        <v>35</v>
      </c>
      <c r="B146" t="s">
        <v>36</v>
      </c>
      <c r="C146" t="s">
        <v>23</v>
      </c>
      <c r="D146" t="s">
        <v>3294</v>
      </c>
      <c r="E146">
        <v>20</v>
      </c>
      <c r="F146" t="str">
        <f>VLOOKUP(E146,[1]LOJA!$A:$B,2,0)</f>
        <v>DAUTO SERVIÇOS</v>
      </c>
      <c r="G146" t="s">
        <v>19</v>
      </c>
      <c r="H146" t="s">
        <v>20</v>
      </c>
      <c r="I146" s="1">
        <v>45614</v>
      </c>
      <c r="J146" s="1">
        <v>46010</v>
      </c>
      <c r="K146" s="1">
        <v>46010</v>
      </c>
      <c r="L146">
        <v>26</v>
      </c>
      <c r="M146">
        <v>0</v>
      </c>
      <c r="N146">
        <v>0</v>
      </c>
      <c r="O146">
        <v>0</v>
      </c>
      <c r="P146">
        <v>0</v>
      </c>
      <c r="Q146" t="s">
        <v>3295</v>
      </c>
    </row>
    <row r="147" spans="1:17">
      <c r="A147" t="s">
        <v>35</v>
      </c>
      <c r="B147" t="s">
        <v>36</v>
      </c>
      <c r="C147" t="s">
        <v>23</v>
      </c>
      <c r="D147" t="s">
        <v>3298</v>
      </c>
      <c r="E147">
        <v>15</v>
      </c>
      <c r="F147" t="str">
        <f>VLOOKUP(E147,[1]LOJA!$A:$B,2,0)</f>
        <v>UNAÍ</v>
      </c>
      <c r="G147" t="s">
        <v>19</v>
      </c>
      <c r="H147" t="s">
        <v>19</v>
      </c>
      <c r="I147" s="1">
        <v>46002</v>
      </c>
      <c r="J147" s="1">
        <v>46002</v>
      </c>
      <c r="K147" s="1">
        <v>46002</v>
      </c>
      <c r="L147">
        <v>36</v>
      </c>
      <c r="M147" s="2">
        <v>1252.83</v>
      </c>
      <c r="N147" s="2">
        <v>1252.83</v>
      </c>
      <c r="O147">
        <v>0</v>
      </c>
      <c r="P147">
        <v>0</v>
      </c>
      <c r="Q147" t="s">
        <v>3299</v>
      </c>
    </row>
    <row r="148" spans="1:17">
      <c r="A148" t="s">
        <v>35</v>
      </c>
      <c r="B148" t="s">
        <v>3255</v>
      </c>
      <c r="C148" t="s">
        <v>3253</v>
      </c>
      <c r="D148" t="s">
        <v>3300</v>
      </c>
      <c r="E148">
        <v>14</v>
      </c>
      <c r="F148" t="str">
        <f>VLOOKUP(E148,[1]LOJA!$A:$B,2,0)</f>
        <v>S IA</v>
      </c>
      <c r="G148" t="s">
        <v>19</v>
      </c>
      <c r="H148" t="s">
        <v>19</v>
      </c>
      <c r="I148" s="1">
        <v>45995</v>
      </c>
      <c r="J148" s="1">
        <v>45995</v>
      </c>
      <c r="K148" s="1">
        <v>45995</v>
      </c>
      <c r="L148">
        <v>20</v>
      </c>
      <c r="M148" s="2">
        <v>3387.75</v>
      </c>
      <c r="N148" s="2">
        <v>3387.75</v>
      </c>
      <c r="O148">
        <v>0</v>
      </c>
      <c r="P148">
        <v>0</v>
      </c>
      <c r="Q148" t="s">
        <v>74</v>
      </c>
    </row>
    <row r="149" spans="1:17">
      <c r="A149" t="s">
        <v>35</v>
      </c>
      <c r="B149" t="s">
        <v>3255</v>
      </c>
      <c r="C149" t="s">
        <v>3253</v>
      </c>
      <c r="D149" t="s">
        <v>3301</v>
      </c>
      <c r="E149">
        <v>15</v>
      </c>
      <c r="F149" t="str">
        <f>VLOOKUP(E149,[1]LOJA!$A:$B,2,0)</f>
        <v>UNAÍ</v>
      </c>
      <c r="G149" t="s">
        <v>19</v>
      </c>
      <c r="H149" t="s">
        <v>19</v>
      </c>
      <c r="I149" s="1">
        <v>45995</v>
      </c>
      <c r="J149" s="1">
        <v>45995</v>
      </c>
      <c r="K149" s="1">
        <v>45995</v>
      </c>
      <c r="L149">
        <v>26</v>
      </c>
      <c r="M149" s="2">
        <v>3845.57</v>
      </c>
      <c r="N149" s="2">
        <v>3845.57</v>
      </c>
      <c r="O149">
        <v>0</v>
      </c>
      <c r="P149">
        <v>0</v>
      </c>
      <c r="Q149" t="s">
        <v>74</v>
      </c>
    </row>
    <row r="150" spans="1:17">
      <c r="A150" t="s">
        <v>35</v>
      </c>
      <c r="B150" t="s">
        <v>3255</v>
      </c>
      <c r="C150" t="s">
        <v>3253</v>
      </c>
      <c r="D150" t="s">
        <v>3302</v>
      </c>
      <c r="E150">
        <v>15</v>
      </c>
      <c r="F150" t="str">
        <f>VLOOKUP(E150,[1]LOJA!$A:$B,2,0)</f>
        <v>UNAÍ</v>
      </c>
      <c r="G150" t="s">
        <v>19</v>
      </c>
      <c r="H150" t="s">
        <v>19</v>
      </c>
      <c r="I150" s="1">
        <v>45996</v>
      </c>
      <c r="J150" s="1">
        <v>45996</v>
      </c>
      <c r="K150" s="1">
        <v>45996</v>
      </c>
      <c r="L150">
        <v>26</v>
      </c>
      <c r="M150" s="2">
        <v>7625.27</v>
      </c>
      <c r="N150" s="2">
        <v>7625.27</v>
      </c>
      <c r="O150">
        <v>0</v>
      </c>
      <c r="P150">
        <v>0</v>
      </c>
      <c r="Q150" t="s">
        <v>3303</v>
      </c>
    </row>
    <row r="151" spans="1:17">
      <c r="A151" t="s">
        <v>35</v>
      </c>
      <c r="B151" t="s">
        <v>3255</v>
      </c>
      <c r="C151" t="s">
        <v>3253</v>
      </c>
      <c r="D151" t="s">
        <v>3304</v>
      </c>
      <c r="E151">
        <v>14</v>
      </c>
      <c r="F151" t="str">
        <f>VLOOKUP(E151,[1]LOJA!$A:$B,2,0)</f>
        <v>S IA</v>
      </c>
      <c r="G151" t="s">
        <v>19</v>
      </c>
      <c r="H151" t="s">
        <v>19</v>
      </c>
      <c r="I151" s="1">
        <v>45995</v>
      </c>
      <c r="J151" s="1">
        <v>45995</v>
      </c>
      <c r="K151" s="1">
        <v>45995</v>
      </c>
      <c r="L151">
        <v>23</v>
      </c>
      <c r="M151" s="2">
        <v>2218.63</v>
      </c>
      <c r="N151" s="2">
        <v>2218.63</v>
      </c>
      <c r="O151">
        <v>0</v>
      </c>
      <c r="P151">
        <v>0</v>
      </c>
      <c r="Q151" t="s">
        <v>74</v>
      </c>
    </row>
    <row r="152" spans="1:17">
      <c r="A152" t="s">
        <v>35</v>
      </c>
      <c r="B152" t="s">
        <v>3255</v>
      </c>
      <c r="C152" t="s">
        <v>3253</v>
      </c>
      <c r="D152" t="s">
        <v>3305</v>
      </c>
      <c r="E152">
        <v>14</v>
      </c>
      <c r="F152" t="str">
        <f>VLOOKUP(E152,[1]LOJA!$A:$B,2,0)</f>
        <v>S IA</v>
      </c>
      <c r="G152" t="s">
        <v>19</v>
      </c>
      <c r="H152" t="s">
        <v>19</v>
      </c>
      <c r="I152" s="1">
        <v>46010</v>
      </c>
      <c r="J152" s="1">
        <v>46010</v>
      </c>
      <c r="K152" s="1">
        <v>46010</v>
      </c>
      <c r="L152">
        <v>35</v>
      </c>
      <c r="M152">
        <v>650</v>
      </c>
      <c r="N152">
        <v>650</v>
      </c>
      <c r="O152">
        <v>0</v>
      </c>
      <c r="P152">
        <v>0</v>
      </c>
      <c r="Q152" t="s">
        <v>3306</v>
      </c>
    </row>
    <row r="153" spans="1:17">
      <c r="A153" t="s">
        <v>35</v>
      </c>
      <c r="B153" t="s">
        <v>3255</v>
      </c>
      <c r="C153" t="s">
        <v>3253</v>
      </c>
      <c r="D153" t="s">
        <v>3307</v>
      </c>
      <c r="E153">
        <v>14</v>
      </c>
      <c r="F153" t="str">
        <f>VLOOKUP(E153,[1]LOJA!$A:$B,2,0)</f>
        <v>S IA</v>
      </c>
      <c r="G153" t="s">
        <v>19</v>
      </c>
      <c r="H153" t="s">
        <v>19</v>
      </c>
      <c r="I153" s="1">
        <v>46003</v>
      </c>
      <c r="J153" s="1">
        <v>46003</v>
      </c>
      <c r="K153" s="1">
        <v>46003</v>
      </c>
      <c r="L153">
        <v>35</v>
      </c>
      <c r="M153">
        <v>650</v>
      </c>
      <c r="N153">
        <v>650</v>
      </c>
      <c r="O153">
        <v>0</v>
      </c>
      <c r="P153">
        <v>0</v>
      </c>
      <c r="Q153" t="s">
        <v>74</v>
      </c>
    </row>
    <row r="154" spans="1:17">
      <c r="A154" t="s">
        <v>35</v>
      </c>
      <c r="B154" t="s">
        <v>3255</v>
      </c>
      <c r="C154" t="s">
        <v>3253</v>
      </c>
      <c r="D154" t="s">
        <v>3308</v>
      </c>
      <c r="E154">
        <v>16</v>
      </c>
      <c r="F154" t="str">
        <f>VLOOKUP(E154,[1]LOJA!$A:$B,2,0)</f>
        <v>AG LINDAS</v>
      </c>
      <c r="G154" t="s">
        <v>19</v>
      </c>
      <c r="H154" t="s">
        <v>19</v>
      </c>
      <c r="I154" s="1">
        <v>45995</v>
      </c>
      <c r="J154" s="1">
        <v>45995</v>
      </c>
      <c r="K154" s="1">
        <v>45995</v>
      </c>
      <c r="L154">
        <v>37</v>
      </c>
      <c r="M154" s="2">
        <v>4140.87</v>
      </c>
      <c r="N154" s="2">
        <v>4140.87</v>
      </c>
      <c r="O154">
        <v>0</v>
      </c>
      <c r="P154">
        <v>0</v>
      </c>
      <c r="Q154" t="s">
        <v>74</v>
      </c>
    </row>
    <row r="155" spans="1:17">
      <c r="A155" t="s">
        <v>35</v>
      </c>
      <c r="B155" t="s">
        <v>3255</v>
      </c>
      <c r="C155" t="s">
        <v>3253</v>
      </c>
      <c r="D155" t="s">
        <v>3309</v>
      </c>
      <c r="E155">
        <v>15</v>
      </c>
      <c r="F155" t="str">
        <f>VLOOKUP(E155,[1]LOJA!$A:$B,2,0)</f>
        <v>UNAÍ</v>
      </c>
      <c r="G155" t="s">
        <v>19</v>
      </c>
      <c r="H155" t="s">
        <v>19</v>
      </c>
      <c r="I155" s="1">
        <v>45996</v>
      </c>
      <c r="J155" s="1">
        <v>45996</v>
      </c>
      <c r="K155" s="1">
        <v>45996</v>
      </c>
      <c r="L155">
        <v>36</v>
      </c>
      <c r="M155" s="2">
        <v>39731.14</v>
      </c>
      <c r="N155" s="2">
        <v>39731.14</v>
      </c>
      <c r="O155">
        <v>0</v>
      </c>
      <c r="P155">
        <v>0</v>
      </c>
      <c r="Q155" t="s">
        <v>3277</v>
      </c>
    </row>
    <row r="156" spans="1:17">
      <c r="A156" t="s">
        <v>35</v>
      </c>
      <c r="B156" t="s">
        <v>3255</v>
      </c>
      <c r="C156" t="s">
        <v>3253</v>
      </c>
      <c r="D156" t="s">
        <v>3310</v>
      </c>
      <c r="E156">
        <v>15</v>
      </c>
      <c r="F156" t="str">
        <f>VLOOKUP(E156,[1]LOJA!$A:$B,2,0)</f>
        <v>UNAÍ</v>
      </c>
      <c r="G156" t="s">
        <v>19</v>
      </c>
      <c r="H156" t="s">
        <v>19</v>
      </c>
      <c r="I156" s="1">
        <v>45995</v>
      </c>
      <c r="J156" s="1">
        <v>45995</v>
      </c>
      <c r="K156" s="1">
        <v>45995</v>
      </c>
      <c r="L156">
        <v>36</v>
      </c>
      <c r="M156" s="2">
        <v>1473.31</v>
      </c>
      <c r="N156" s="2">
        <v>1473.31</v>
      </c>
      <c r="O156">
        <v>0</v>
      </c>
      <c r="P156">
        <v>0</v>
      </c>
      <c r="Q156" t="s">
        <v>74</v>
      </c>
    </row>
    <row r="157" spans="1:17">
      <c r="A157" t="s">
        <v>35</v>
      </c>
      <c r="B157" t="s">
        <v>3255</v>
      </c>
      <c r="C157" t="s">
        <v>3253</v>
      </c>
      <c r="D157" t="s">
        <v>3311</v>
      </c>
      <c r="E157">
        <v>14</v>
      </c>
      <c r="F157" t="str">
        <f>VLOOKUP(E157,[1]LOJA!$A:$B,2,0)</f>
        <v>S IA</v>
      </c>
      <c r="G157" t="s">
        <v>19</v>
      </c>
      <c r="H157" t="s">
        <v>19</v>
      </c>
      <c r="I157" s="1">
        <v>45995</v>
      </c>
      <c r="J157" s="1">
        <v>45995</v>
      </c>
      <c r="K157" s="1">
        <v>45995</v>
      </c>
      <c r="L157">
        <v>30</v>
      </c>
      <c r="M157" s="2">
        <v>1130.1400000000001</v>
      </c>
      <c r="N157" s="2">
        <v>1130.1400000000001</v>
      </c>
      <c r="O157">
        <v>0</v>
      </c>
      <c r="P157">
        <v>0</v>
      </c>
      <c r="Q157" t="s">
        <v>74</v>
      </c>
    </row>
    <row r="158" spans="1:17">
      <c r="A158" t="s">
        <v>35</v>
      </c>
      <c r="B158" t="s">
        <v>3255</v>
      </c>
      <c r="C158" t="s">
        <v>3253</v>
      </c>
      <c r="D158" t="s">
        <v>3312</v>
      </c>
      <c r="E158">
        <v>4</v>
      </c>
      <c r="F158" t="str">
        <f>VLOOKUP(E158,[1]LOJA!$A:$B,2,0)</f>
        <v>ADE</v>
      </c>
      <c r="G158" t="s">
        <v>19</v>
      </c>
      <c r="H158" t="s">
        <v>19</v>
      </c>
      <c r="I158" s="1">
        <v>45995</v>
      </c>
      <c r="J158" s="1">
        <v>45995</v>
      </c>
      <c r="K158" s="1">
        <v>45995</v>
      </c>
      <c r="L158">
        <v>30</v>
      </c>
      <c r="M158" s="2">
        <v>5803.04</v>
      </c>
      <c r="N158" s="2">
        <v>5803.04</v>
      </c>
      <c r="O158">
        <v>0</v>
      </c>
      <c r="P158">
        <v>0</v>
      </c>
      <c r="Q158" t="s">
        <v>74</v>
      </c>
    </row>
    <row r="159" spans="1:17">
      <c r="A159" t="s">
        <v>35</v>
      </c>
      <c r="B159" t="s">
        <v>3255</v>
      </c>
      <c r="C159" t="s">
        <v>3253</v>
      </c>
      <c r="D159" t="s">
        <v>3313</v>
      </c>
      <c r="E159">
        <v>13</v>
      </c>
      <c r="F159" t="str">
        <f>VLOOKUP(E159,[1]LOJA!$A:$B,2,0)</f>
        <v>CEILÂNDIA</v>
      </c>
      <c r="G159" t="s">
        <v>19</v>
      </c>
      <c r="H159" t="s">
        <v>19</v>
      </c>
      <c r="I159" s="1">
        <v>45995</v>
      </c>
      <c r="J159" s="1">
        <v>45995</v>
      </c>
      <c r="K159" s="1">
        <v>45995</v>
      </c>
      <c r="L159">
        <v>30</v>
      </c>
      <c r="M159" s="2">
        <v>6718.56</v>
      </c>
      <c r="N159" s="2">
        <v>6718.56</v>
      </c>
      <c r="O159">
        <v>0</v>
      </c>
      <c r="P159">
        <v>0</v>
      </c>
      <c r="Q159" t="s">
        <v>74</v>
      </c>
    </row>
    <row r="160" spans="1:17">
      <c r="A160" t="s">
        <v>35</v>
      </c>
      <c r="B160" t="s">
        <v>3255</v>
      </c>
      <c r="C160" t="s">
        <v>3253</v>
      </c>
      <c r="D160" t="s">
        <v>3314</v>
      </c>
      <c r="E160">
        <v>6</v>
      </c>
      <c r="F160" t="str">
        <f>VLOOKUP(E160,[1]LOJA!$A:$B,2,0)</f>
        <v>GAMA</v>
      </c>
      <c r="G160" t="s">
        <v>19</v>
      </c>
      <c r="H160" t="s">
        <v>19</v>
      </c>
      <c r="I160" s="1">
        <v>45995</v>
      </c>
      <c r="J160" s="1">
        <v>45995</v>
      </c>
      <c r="K160" s="1">
        <v>45995</v>
      </c>
      <c r="L160">
        <v>30</v>
      </c>
      <c r="M160" s="2">
        <v>9620.18</v>
      </c>
      <c r="N160" s="2">
        <v>9620.18</v>
      </c>
      <c r="O160">
        <v>0</v>
      </c>
      <c r="P160">
        <v>0</v>
      </c>
      <c r="Q160" t="s">
        <v>74</v>
      </c>
    </row>
    <row r="161" spans="1:17">
      <c r="A161" t="s">
        <v>35</v>
      </c>
      <c r="B161" t="s">
        <v>3255</v>
      </c>
      <c r="C161" t="s">
        <v>3253</v>
      </c>
      <c r="D161" t="s">
        <v>3315</v>
      </c>
      <c r="E161">
        <v>8</v>
      </c>
      <c r="F161" t="str">
        <f>VLOOKUP(E161,[1]LOJA!$A:$B,2,0)</f>
        <v>LUZIÂNIA</v>
      </c>
      <c r="G161" t="s">
        <v>19</v>
      </c>
      <c r="H161" t="s">
        <v>19</v>
      </c>
      <c r="I161" s="1">
        <v>45995</v>
      </c>
      <c r="J161" s="1">
        <v>45995</v>
      </c>
      <c r="K161" s="1">
        <v>45995</v>
      </c>
      <c r="L161">
        <v>30</v>
      </c>
      <c r="M161" s="2">
        <v>3851.16</v>
      </c>
      <c r="N161" s="2">
        <v>3851.16</v>
      </c>
      <c r="O161">
        <v>0</v>
      </c>
      <c r="P161">
        <v>0</v>
      </c>
      <c r="Q161" t="s">
        <v>74</v>
      </c>
    </row>
    <row r="162" spans="1:17">
      <c r="A162" t="s">
        <v>35</v>
      </c>
      <c r="B162" t="s">
        <v>3255</v>
      </c>
      <c r="C162" t="s">
        <v>3253</v>
      </c>
      <c r="D162" t="s">
        <v>3316</v>
      </c>
      <c r="E162">
        <v>16</v>
      </c>
      <c r="F162" t="str">
        <f>VLOOKUP(E162,[1]LOJA!$A:$B,2,0)</f>
        <v>AG LINDAS</v>
      </c>
      <c r="G162" t="s">
        <v>19</v>
      </c>
      <c r="H162" t="s">
        <v>19</v>
      </c>
      <c r="I162" s="1">
        <v>45995</v>
      </c>
      <c r="J162" s="1">
        <v>45995</v>
      </c>
      <c r="K162" s="1">
        <v>45995</v>
      </c>
      <c r="L162">
        <v>30</v>
      </c>
      <c r="M162" s="2">
        <v>3026.74</v>
      </c>
      <c r="N162" s="2">
        <v>3026.74</v>
      </c>
      <c r="O162">
        <v>0</v>
      </c>
      <c r="P162">
        <v>0</v>
      </c>
      <c r="Q162" t="s">
        <v>74</v>
      </c>
    </row>
    <row r="163" spans="1:17">
      <c r="A163" t="s">
        <v>35</v>
      </c>
      <c r="B163" t="s">
        <v>3255</v>
      </c>
      <c r="C163" t="s">
        <v>3253</v>
      </c>
      <c r="D163" t="s">
        <v>3317</v>
      </c>
      <c r="E163">
        <v>8</v>
      </c>
      <c r="F163" t="str">
        <f>VLOOKUP(E163,[1]LOJA!$A:$B,2,0)</f>
        <v>LUZIÂNIA</v>
      </c>
      <c r="G163" t="s">
        <v>19</v>
      </c>
      <c r="H163" t="s">
        <v>19</v>
      </c>
      <c r="I163" s="1">
        <v>45995</v>
      </c>
      <c r="J163" s="1">
        <v>45995</v>
      </c>
      <c r="K163" s="1">
        <v>45995</v>
      </c>
      <c r="L163">
        <v>32</v>
      </c>
      <c r="M163" s="2">
        <v>13600.93</v>
      </c>
      <c r="N163" s="2">
        <v>13600.93</v>
      </c>
      <c r="O163">
        <v>0</v>
      </c>
      <c r="P163">
        <v>0</v>
      </c>
      <c r="Q163" t="s">
        <v>74</v>
      </c>
    </row>
    <row r="164" spans="1:17">
      <c r="A164" t="s">
        <v>35</v>
      </c>
      <c r="B164" t="s">
        <v>3255</v>
      </c>
      <c r="C164" t="s">
        <v>3253</v>
      </c>
      <c r="D164" t="s">
        <v>3318</v>
      </c>
      <c r="E164">
        <v>14</v>
      </c>
      <c r="F164" t="str">
        <f>VLOOKUP(E164,[1]LOJA!$A:$B,2,0)</f>
        <v>S IA</v>
      </c>
      <c r="G164" t="s">
        <v>19</v>
      </c>
      <c r="H164" t="s">
        <v>19</v>
      </c>
      <c r="I164" s="1">
        <v>45995</v>
      </c>
      <c r="J164" s="1">
        <v>45995</v>
      </c>
      <c r="K164" s="1">
        <v>45995</v>
      </c>
      <c r="L164">
        <v>33</v>
      </c>
      <c r="M164" s="2">
        <v>11666.05</v>
      </c>
      <c r="N164" s="2">
        <v>11666.05</v>
      </c>
      <c r="O164">
        <v>0</v>
      </c>
      <c r="P164">
        <v>0</v>
      </c>
      <c r="Q164" t="s">
        <v>74</v>
      </c>
    </row>
    <row r="165" spans="1:17">
      <c r="A165" t="s">
        <v>35</v>
      </c>
      <c r="B165" t="s">
        <v>3255</v>
      </c>
      <c r="C165" t="s">
        <v>3253</v>
      </c>
      <c r="D165" t="s">
        <v>3319</v>
      </c>
      <c r="E165">
        <v>4</v>
      </c>
      <c r="F165" t="str">
        <f>VLOOKUP(E165,[1]LOJA!$A:$B,2,0)</f>
        <v>ADE</v>
      </c>
      <c r="G165" t="s">
        <v>19</v>
      </c>
      <c r="H165" t="s">
        <v>19</v>
      </c>
      <c r="I165" s="1">
        <v>45995</v>
      </c>
      <c r="J165" s="1">
        <v>45995</v>
      </c>
      <c r="K165" s="1">
        <v>45995</v>
      </c>
      <c r="L165">
        <v>33</v>
      </c>
      <c r="M165" s="2">
        <v>7303.38</v>
      </c>
      <c r="N165" s="2">
        <v>7303.38</v>
      </c>
      <c r="O165">
        <v>0</v>
      </c>
      <c r="P165">
        <v>0</v>
      </c>
      <c r="Q165" t="s">
        <v>74</v>
      </c>
    </row>
    <row r="166" spans="1:17">
      <c r="A166" t="s">
        <v>35</v>
      </c>
      <c r="B166" t="s">
        <v>3255</v>
      </c>
      <c r="C166" t="s">
        <v>3253</v>
      </c>
      <c r="D166" t="s">
        <v>3320</v>
      </c>
      <c r="E166">
        <v>13</v>
      </c>
      <c r="F166" t="str">
        <f>VLOOKUP(E166,[1]LOJA!$A:$B,2,0)</f>
        <v>CEILÂNDIA</v>
      </c>
      <c r="G166" t="s">
        <v>19</v>
      </c>
      <c r="H166" t="s">
        <v>19</v>
      </c>
      <c r="I166" s="1">
        <v>45995</v>
      </c>
      <c r="J166" s="1">
        <v>45995</v>
      </c>
      <c r="K166" s="1">
        <v>45995</v>
      </c>
      <c r="L166">
        <v>33</v>
      </c>
      <c r="M166" s="2">
        <v>4616.4799999999996</v>
      </c>
      <c r="N166" s="2">
        <v>4616.4799999999996</v>
      </c>
      <c r="O166">
        <v>0</v>
      </c>
      <c r="P166">
        <v>0</v>
      </c>
      <c r="Q166" t="s">
        <v>74</v>
      </c>
    </row>
    <row r="167" spans="1:17">
      <c r="A167" t="s">
        <v>35</v>
      </c>
      <c r="B167" t="s">
        <v>3255</v>
      </c>
      <c r="C167" t="s">
        <v>3253</v>
      </c>
      <c r="D167" t="s">
        <v>3321</v>
      </c>
      <c r="E167">
        <v>12</v>
      </c>
      <c r="F167" t="str">
        <f>VLOOKUP(E167,[1]LOJA!$A:$B,2,0)</f>
        <v>SOFNORTE</v>
      </c>
      <c r="G167" t="s">
        <v>19</v>
      </c>
      <c r="H167" t="s">
        <v>19</v>
      </c>
      <c r="I167" s="1">
        <v>45995</v>
      </c>
      <c r="J167" s="1">
        <v>45995</v>
      </c>
      <c r="K167" s="1">
        <v>45995</v>
      </c>
      <c r="L167">
        <v>33</v>
      </c>
      <c r="M167" s="2">
        <v>13577.6</v>
      </c>
      <c r="N167" s="2">
        <v>13577.6</v>
      </c>
      <c r="O167">
        <v>0</v>
      </c>
      <c r="P167">
        <v>0</v>
      </c>
      <c r="Q167" t="s">
        <v>74</v>
      </c>
    </row>
    <row r="168" spans="1:17">
      <c r="A168" t="s">
        <v>35</v>
      </c>
      <c r="B168" t="s">
        <v>3255</v>
      </c>
      <c r="C168" t="s">
        <v>3253</v>
      </c>
      <c r="D168" t="s">
        <v>3322</v>
      </c>
      <c r="E168">
        <v>22</v>
      </c>
      <c r="F168" t="str">
        <f>VLOOKUP(E168,[1]LOJA!$A:$B,2,0)</f>
        <v>GUARÁ</v>
      </c>
      <c r="G168" t="s">
        <v>19</v>
      </c>
      <c r="H168" t="s">
        <v>19</v>
      </c>
      <c r="I168" s="1">
        <v>45995</v>
      </c>
      <c r="J168" s="1">
        <v>45995</v>
      </c>
      <c r="K168" s="1">
        <v>45995</v>
      </c>
      <c r="L168">
        <v>33</v>
      </c>
      <c r="M168" s="2">
        <v>11152.9</v>
      </c>
      <c r="N168" s="2">
        <v>11152.9</v>
      </c>
      <c r="O168">
        <v>0</v>
      </c>
      <c r="P168">
        <v>0</v>
      </c>
      <c r="Q168" t="s">
        <v>74</v>
      </c>
    </row>
    <row r="169" spans="1:17">
      <c r="A169" t="s">
        <v>35</v>
      </c>
      <c r="B169" t="s">
        <v>3255</v>
      </c>
      <c r="C169" t="s">
        <v>3253</v>
      </c>
      <c r="D169" t="s">
        <v>3323</v>
      </c>
      <c r="E169">
        <v>14</v>
      </c>
      <c r="F169" t="str">
        <f>VLOOKUP(E169,[1]LOJA!$A:$B,2,0)</f>
        <v>S IA</v>
      </c>
      <c r="G169" t="s">
        <v>19</v>
      </c>
      <c r="H169" t="s">
        <v>19</v>
      </c>
      <c r="I169" s="1">
        <v>45995</v>
      </c>
      <c r="J169" s="1">
        <v>45995</v>
      </c>
      <c r="K169" s="1">
        <v>45995</v>
      </c>
      <c r="L169">
        <v>33</v>
      </c>
      <c r="M169">
        <v>309.99</v>
      </c>
      <c r="N169">
        <v>309.99</v>
      </c>
      <c r="O169">
        <v>0</v>
      </c>
      <c r="P169">
        <v>0</v>
      </c>
      <c r="Q169" t="s">
        <v>74</v>
      </c>
    </row>
    <row r="170" spans="1:17">
      <c r="A170" t="s">
        <v>35</v>
      </c>
      <c r="B170" t="s">
        <v>3255</v>
      </c>
      <c r="C170" t="s">
        <v>3253</v>
      </c>
      <c r="D170" t="s">
        <v>3324</v>
      </c>
      <c r="E170">
        <v>15</v>
      </c>
      <c r="F170" t="str">
        <f>VLOOKUP(E170,[1]LOJA!$A:$B,2,0)</f>
        <v>UNAÍ</v>
      </c>
      <c r="G170" t="s">
        <v>19</v>
      </c>
      <c r="H170" t="s">
        <v>19</v>
      </c>
      <c r="I170" s="1">
        <v>45995</v>
      </c>
      <c r="J170" s="1">
        <v>45995</v>
      </c>
      <c r="K170" s="1">
        <v>45995</v>
      </c>
      <c r="L170">
        <v>36</v>
      </c>
      <c r="M170" s="2">
        <v>1855.24</v>
      </c>
      <c r="N170" s="2">
        <v>1855.24</v>
      </c>
      <c r="O170">
        <v>0</v>
      </c>
      <c r="P170">
        <v>0</v>
      </c>
      <c r="Q170" t="s">
        <v>74</v>
      </c>
    </row>
    <row r="171" spans="1:17">
      <c r="A171" t="s">
        <v>35</v>
      </c>
      <c r="B171" t="s">
        <v>3255</v>
      </c>
      <c r="C171" t="s">
        <v>3253</v>
      </c>
      <c r="D171" t="s">
        <v>3325</v>
      </c>
      <c r="E171">
        <v>14</v>
      </c>
      <c r="F171" t="str">
        <f>VLOOKUP(E171,[1]LOJA!$A:$B,2,0)</f>
        <v>S IA</v>
      </c>
      <c r="G171" t="s">
        <v>19</v>
      </c>
      <c r="H171" t="s">
        <v>19</v>
      </c>
      <c r="I171" s="1">
        <v>45996</v>
      </c>
      <c r="J171" s="1">
        <v>45996</v>
      </c>
      <c r="K171" s="1">
        <v>45996</v>
      </c>
      <c r="L171">
        <v>34</v>
      </c>
      <c r="M171">
        <v>650</v>
      </c>
      <c r="N171">
        <v>650</v>
      </c>
      <c r="O171">
        <v>0</v>
      </c>
      <c r="P171">
        <v>0</v>
      </c>
      <c r="Q171" t="s">
        <v>3326</v>
      </c>
    </row>
    <row r="172" spans="1:17">
      <c r="A172" t="s">
        <v>35</v>
      </c>
      <c r="B172" t="s">
        <v>3255</v>
      </c>
      <c r="C172" t="s">
        <v>3253</v>
      </c>
      <c r="D172" t="s">
        <v>3327</v>
      </c>
      <c r="E172">
        <v>14</v>
      </c>
      <c r="F172" t="str">
        <f>VLOOKUP(E172,[1]LOJA!$A:$B,2,0)</f>
        <v>S IA</v>
      </c>
      <c r="G172" t="s">
        <v>19</v>
      </c>
      <c r="H172" t="s">
        <v>19</v>
      </c>
      <c r="I172" s="1">
        <v>46015</v>
      </c>
      <c r="J172" s="1">
        <v>46015</v>
      </c>
      <c r="K172" s="1">
        <v>46015</v>
      </c>
      <c r="L172">
        <v>34</v>
      </c>
      <c r="M172">
        <v>260</v>
      </c>
      <c r="N172">
        <v>260</v>
      </c>
      <c r="O172">
        <v>0</v>
      </c>
      <c r="P172">
        <v>0</v>
      </c>
      <c r="Q172" t="s">
        <v>74</v>
      </c>
    </row>
    <row r="173" spans="1:17">
      <c r="A173" t="s">
        <v>35</v>
      </c>
      <c r="B173" t="s">
        <v>45</v>
      </c>
      <c r="C173" t="s">
        <v>23</v>
      </c>
      <c r="D173" t="s">
        <v>3328</v>
      </c>
      <c r="E173">
        <v>1</v>
      </c>
      <c r="F173" t="str">
        <f>VLOOKUP(E173,[1]LOJA!$A:$B,2,0)</f>
        <v>GUARÁ</v>
      </c>
      <c r="G173" t="s">
        <v>19</v>
      </c>
      <c r="H173" t="s">
        <v>20</v>
      </c>
      <c r="I173" s="1">
        <v>45694</v>
      </c>
      <c r="J173" s="1">
        <v>46010</v>
      </c>
      <c r="K173" s="1">
        <v>46010</v>
      </c>
      <c r="L173">
        <v>22</v>
      </c>
      <c r="M173">
        <v>86.36</v>
      </c>
      <c r="N173">
        <v>86.36</v>
      </c>
      <c r="O173">
        <v>0</v>
      </c>
      <c r="P173">
        <v>0</v>
      </c>
      <c r="Q173" t="s">
        <v>3329</v>
      </c>
    </row>
    <row r="174" spans="1:17">
      <c r="A174" t="s">
        <v>35</v>
      </c>
      <c r="B174" t="s">
        <v>45</v>
      </c>
      <c r="C174" t="s">
        <v>23</v>
      </c>
      <c r="D174" t="s">
        <v>3328</v>
      </c>
      <c r="E174">
        <v>1</v>
      </c>
      <c r="F174" t="str">
        <f>VLOOKUP(E174,[1]LOJA!$A:$B,2,0)</f>
        <v>GUARÁ</v>
      </c>
      <c r="G174" t="s">
        <v>19</v>
      </c>
      <c r="H174" t="s">
        <v>20</v>
      </c>
      <c r="I174" s="1">
        <v>45694</v>
      </c>
      <c r="J174" s="1">
        <v>46010</v>
      </c>
      <c r="K174" s="1">
        <v>46010</v>
      </c>
      <c r="L174">
        <v>26</v>
      </c>
      <c r="M174" s="2">
        <v>1098.58</v>
      </c>
      <c r="N174" s="2">
        <v>1098.58</v>
      </c>
      <c r="O174">
        <v>0</v>
      </c>
      <c r="P174">
        <v>0</v>
      </c>
      <c r="Q174" t="s">
        <v>3330</v>
      </c>
    </row>
    <row r="175" spans="1:17">
      <c r="A175" t="s">
        <v>35</v>
      </c>
      <c r="B175" t="s">
        <v>45</v>
      </c>
      <c r="C175" t="s">
        <v>23</v>
      </c>
      <c r="D175" t="s">
        <v>3328</v>
      </c>
      <c r="E175">
        <v>1</v>
      </c>
      <c r="F175" t="str">
        <f>VLOOKUP(E175,[1]LOJA!$A:$B,2,0)</f>
        <v>GUARÁ</v>
      </c>
      <c r="G175" t="s">
        <v>19</v>
      </c>
      <c r="H175" t="s">
        <v>20</v>
      </c>
      <c r="I175" s="1">
        <v>45694</v>
      </c>
      <c r="J175" s="1">
        <v>46010</v>
      </c>
      <c r="K175" s="1">
        <v>46010</v>
      </c>
      <c r="L175">
        <v>21</v>
      </c>
      <c r="M175">
        <v>410.87</v>
      </c>
      <c r="N175">
        <v>410.87</v>
      </c>
      <c r="O175">
        <v>0</v>
      </c>
      <c r="P175">
        <v>0</v>
      </c>
      <c r="Q175" t="s">
        <v>3331</v>
      </c>
    </row>
    <row r="176" spans="1:17">
      <c r="A176" t="s">
        <v>35</v>
      </c>
      <c r="B176" t="s">
        <v>45</v>
      </c>
      <c r="C176" t="s">
        <v>23</v>
      </c>
      <c r="D176" t="s">
        <v>3328</v>
      </c>
      <c r="E176">
        <v>1</v>
      </c>
      <c r="F176" t="str">
        <f>VLOOKUP(E176,[1]LOJA!$A:$B,2,0)</f>
        <v>GUARÁ</v>
      </c>
      <c r="G176" t="s">
        <v>19</v>
      </c>
      <c r="H176" t="s">
        <v>20</v>
      </c>
      <c r="I176" s="1">
        <v>45694</v>
      </c>
      <c r="J176" s="1">
        <v>46010</v>
      </c>
      <c r="K176" s="1">
        <v>46010</v>
      </c>
      <c r="L176">
        <v>20</v>
      </c>
      <c r="M176">
        <v>403.71</v>
      </c>
      <c r="N176">
        <v>403.71</v>
      </c>
      <c r="O176">
        <v>0</v>
      </c>
      <c r="P176">
        <v>0</v>
      </c>
      <c r="Q176" t="s">
        <v>3329</v>
      </c>
    </row>
    <row r="177" spans="1:17">
      <c r="A177" t="s">
        <v>35</v>
      </c>
      <c r="B177" t="s">
        <v>45</v>
      </c>
      <c r="C177" t="s">
        <v>23</v>
      </c>
      <c r="D177" t="s">
        <v>3328</v>
      </c>
      <c r="E177">
        <v>4</v>
      </c>
      <c r="F177" t="str">
        <f>VLOOKUP(E177,[1]LOJA!$A:$B,2,0)</f>
        <v>ADE</v>
      </c>
      <c r="G177" t="s">
        <v>19</v>
      </c>
      <c r="H177" t="s">
        <v>20</v>
      </c>
      <c r="I177" s="1">
        <v>45694</v>
      </c>
      <c r="J177" s="1">
        <v>46010</v>
      </c>
      <c r="K177" s="1">
        <v>46010</v>
      </c>
      <c r="L177">
        <v>22</v>
      </c>
      <c r="M177">
        <v>90.63</v>
      </c>
      <c r="N177">
        <v>90.63</v>
      </c>
      <c r="O177">
        <v>0</v>
      </c>
      <c r="P177">
        <v>0</v>
      </c>
      <c r="Q177" t="s">
        <v>3329</v>
      </c>
    </row>
    <row r="178" spans="1:17">
      <c r="A178" t="s">
        <v>35</v>
      </c>
      <c r="B178" t="s">
        <v>45</v>
      </c>
      <c r="C178" t="s">
        <v>23</v>
      </c>
      <c r="D178" t="s">
        <v>3328</v>
      </c>
      <c r="E178">
        <v>4</v>
      </c>
      <c r="F178" t="str">
        <f>VLOOKUP(E178,[1]LOJA!$A:$B,2,0)</f>
        <v>ADE</v>
      </c>
      <c r="G178" t="s">
        <v>19</v>
      </c>
      <c r="H178" t="s">
        <v>20</v>
      </c>
      <c r="I178" s="1">
        <v>45694</v>
      </c>
      <c r="J178" s="1">
        <v>46010</v>
      </c>
      <c r="K178" s="1">
        <v>46010</v>
      </c>
      <c r="L178">
        <v>26</v>
      </c>
      <c r="M178" s="2">
        <v>1152.9100000000001</v>
      </c>
      <c r="N178" s="2">
        <v>1152.9100000000001</v>
      </c>
      <c r="O178">
        <v>0</v>
      </c>
      <c r="P178">
        <v>0</v>
      </c>
      <c r="Q178" t="s">
        <v>3330</v>
      </c>
    </row>
    <row r="179" spans="1:17">
      <c r="A179" t="s">
        <v>35</v>
      </c>
      <c r="B179" t="s">
        <v>45</v>
      </c>
      <c r="C179" t="s">
        <v>23</v>
      </c>
      <c r="D179" t="s">
        <v>3328</v>
      </c>
      <c r="E179">
        <v>4</v>
      </c>
      <c r="F179" t="str">
        <f>VLOOKUP(E179,[1]LOJA!$A:$B,2,0)</f>
        <v>ADE</v>
      </c>
      <c r="G179" t="s">
        <v>19</v>
      </c>
      <c r="H179" t="s">
        <v>20</v>
      </c>
      <c r="I179" s="1">
        <v>45694</v>
      </c>
      <c r="J179" s="1">
        <v>46010</v>
      </c>
      <c r="K179" s="1">
        <v>46010</v>
      </c>
      <c r="L179">
        <v>21</v>
      </c>
      <c r="M179">
        <v>431.19</v>
      </c>
      <c r="N179">
        <v>431.19</v>
      </c>
      <c r="O179">
        <v>0</v>
      </c>
      <c r="P179">
        <v>0</v>
      </c>
      <c r="Q179" t="s">
        <v>3331</v>
      </c>
    </row>
    <row r="180" spans="1:17">
      <c r="A180" t="s">
        <v>35</v>
      </c>
      <c r="B180" t="s">
        <v>45</v>
      </c>
      <c r="C180" t="s">
        <v>23</v>
      </c>
      <c r="D180" t="s">
        <v>3328</v>
      </c>
      <c r="E180">
        <v>4</v>
      </c>
      <c r="F180" t="str">
        <f>VLOOKUP(E180,[1]LOJA!$A:$B,2,0)</f>
        <v>ADE</v>
      </c>
      <c r="G180" t="s">
        <v>19</v>
      </c>
      <c r="H180" t="s">
        <v>20</v>
      </c>
      <c r="I180" s="1">
        <v>45694</v>
      </c>
      <c r="J180" s="1">
        <v>46010</v>
      </c>
      <c r="K180" s="1">
        <v>46010</v>
      </c>
      <c r="L180">
        <v>20</v>
      </c>
      <c r="M180">
        <v>423.68</v>
      </c>
      <c r="N180">
        <v>423.68</v>
      </c>
      <c r="O180">
        <v>0</v>
      </c>
      <c r="P180">
        <v>0</v>
      </c>
      <c r="Q180" t="s">
        <v>3329</v>
      </c>
    </row>
    <row r="181" spans="1:17">
      <c r="A181" t="s">
        <v>35</v>
      </c>
      <c r="B181" t="s">
        <v>45</v>
      </c>
      <c r="C181" t="s">
        <v>23</v>
      </c>
      <c r="D181" t="s">
        <v>3328</v>
      </c>
      <c r="E181">
        <v>6</v>
      </c>
      <c r="F181" t="str">
        <f>VLOOKUP(E181,[1]LOJA!$A:$B,2,0)</f>
        <v>GAMA</v>
      </c>
      <c r="G181" t="s">
        <v>19</v>
      </c>
      <c r="H181" t="s">
        <v>20</v>
      </c>
      <c r="I181" s="1">
        <v>45694</v>
      </c>
      <c r="J181" s="1">
        <v>46010</v>
      </c>
      <c r="K181" s="1">
        <v>46010</v>
      </c>
      <c r="L181">
        <v>22</v>
      </c>
      <c r="M181">
        <v>53.27</v>
      </c>
      <c r="N181">
        <v>53.27</v>
      </c>
      <c r="O181">
        <v>0</v>
      </c>
      <c r="P181">
        <v>0</v>
      </c>
      <c r="Q181" t="s">
        <v>3329</v>
      </c>
    </row>
    <row r="182" spans="1:17">
      <c r="A182" t="s">
        <v>35</v>
      </c>
      <c r="B182" t="s">
        <v>45</v>
      </c>
      <c r="C182" t="s">
        <v>23</v>
      </c>
      <c r="D182" t="s">
        <v>3328</v>
      </c>
      <c r="E182">
        <v>6</v>
      </c>
      <c r="F182" t="str">
        <f>VLOOKUP(E182,[1]LOJA!$A:$B,2,0)</f>
        <v>GAMA</v>
      </c>
      <c r="G182" t="s">
        <v>19</v>
      </c>
      <c r="H182" t="s">
        <v>20</v>
      </c>
      <c r="I182" s="1">
        <v>45694</v>
      </c>
      <c r="J182" s="1">
        <v>46010</v>
      </c>
      <c r="K182" s="1">
        <v>46010</v>
      </c>
      <c r="L182">
        <v>26</v>
      </c>
      <c r="M182">
        <v>677.56</v>
      </c>
      <c r="N182">
        <v>677.56</v>
      </c>
      <c r="O182">
        <v>0</v>
      </c>
      <c r="P182">
        <v>0</v>
      </c>
      <c r="Q182" t="s">
        <v>3330</v>
      </c>
    </row>
    <row r="183" spans="1:17">
      <c r="A183" t="s">
        <v>35</v>
      </c>
      <c r="B183" t="s">
        <v>45</v>
      </c>
      <c r="C183" t="s">
        <v>23</v>
      </c>
      <c r="D183" t="s">
        <v>3328</v>
      </c>
      <c r="E183">
        <v>6</v>
      </c>
      <c r="F183" t="str">
        <f>VLOOKUP(E183,[1]LOJA!$A:$B,2,0)</f>
        <v>GAMA</v>
      </c>
      <c r="G183" t="s">
        <v>19</v>
      </c>
      <c r="H183" t="s">
        <v>20</v>
      </c>
      <c r="I183" s="1">
        <v>45694</v>
      </c>
      <c r="J183" s="1">
        <v>46010</v>
      </c>
      <c r="K183" s="1">
        <v>46010</v>
      </c>
      <c r="L183">
        <v>21</v>
      </c>
      <c r="M183">
        <v>253.41</v>
      </c>
      <c r="N183">
        <v>253.41</v>
      </c>
      <c r="O183">
        <v>0</v>
      </c>
      <c r="P183">
        <v>0</v>
      </c>
      <c r="Q183" t="s">
        <v>3331</v>
      </c>
    </row>
    <row r="184" spans="1:17">
      <c r="A184" t="s">
        <v>35</v>
      </c>
      <c r="B184" t="s">
        <v>45</v>
      </c>
      <c r="C184" t="s">
        <v>23</v>
      </c>
      <c r="D184" t="s">
        <v>3328</v>
      </c>
      <c r="E184">
        <v>6</v>
      </c>
      <c r="F184" t="str">
        <f>VLOOKUP(E184,[1]LOJA!$A:$B,2,0)</f>
        <v>GAMA</v>
      </c>
      <c r="G184" t="s">
        <v>19</v>
      </c>
      <c r="H184" t="s">
        <v>20</v>
      </c>
      <c r="I184" s="1">
        <v>45694</v>
      </c>
      <c r="J184" s="1">
        <v>46010</v>
      </c>
      <c r="K184" s="1">
        <v>46010</v>
      </c>
      <c r="L184">
        <v>20</v>
      </c>
      <c r="M184">
        <v>248.99</v>
      </c>
      <c r="N184">
        <v>248.99</v>
      </c>
      <c r="O184">
        <v>0</v>
      </c>
      <c r="P184">
        <v>0</v>
      </c>
      <c r="Q184" t="s">
        <v>3329</v>
      </c>
    </row>
    <row r="185" spans="1:17">
      <c r="A185" t="s">
        <v>35</v>
      </c>
      <c r="B185" t="s">
        <v>45</v>
      </c>
      <c r="C185" t="s">
        <v>23</v>
      </c>
      <c r="D185" t="s">
        <v>3328</v>
      </c>
      <c r="E185">
        <v>8</v>
      </c>
      <c r="F185" t="str">
        <f>VLOOKUP(E185,[1]LOJA!$A:$B,2,0)</f>
        <v>LUZIÂNIA</v>
      </c>
      <c r="G185" t="s">
        <v>19</v>
      </c>
      <c r="H185" t="s">
        <v>20</v>
      </c>
      <c r="I185" s="1">
        <v>45694</v>
      </c>
      <c r="J185" s="1">
        <v>46010</v>
      </c>
      <c r="K185" s="1">
        <v>46010</v>
      </c>
      <c r="L185">
        <v>22</v>
      </c>
      <c r="M185">
        <v>66.31</v>
      </c>
      <c r="N185">
        <v>66.31</v>
      </c>
      <c r="O185">
        <v>0</v>
      </c>
      <c r="P185">
        <v>0</v>
      </c>
      <c r="Q185" t="s">
        <v>3329</v>
      </c>
    </row>
    <row r="186" spans="1:17">
      <c r="A186" t="s">
        <v>35</v>
      </c>
      <c r="B186" t="s">
        <v>45</v>
      </c>
      <c r="C186" t="s">
        <v>23</v>
      </c>
      <c r="D186" t="s">
        <v>3328</v>
      </c>
      <c r="E186">
        <v>8</v>
      </c>
      <c r="F186" t="str">
        <f>VLOOKUP(E186,[1]LOJA!$A:$B,2,0)</f>
        <v>LUZIÂNIA</v>
      </c>
      <c r="G186" t="s">
        <v>19</v>
      </c>
      <c r="H186" t="s">
        <v>20</v>
      </c>
      <c r="I186" s="1">
        <v>45694</v>
      </c>
      <c r="J186" s="1">
        <v>46010</v>
      </c>
      <c r="K186" s="1">
        <v>46010</v>
      </c>
      <c r="L186">
        <v>26</v>
      </c>
      <c r="M186">
        <v>843.55</v>
      </c>
      <c r="N186">
        <v>843.55</v>
      </c>
      <c r="O186">
        <v>0</v>
      </c>
      <c r="P186">
        <v>0</v>
      </c>
      <c r="Q186" t="s">
        <v>3330</v>
      </c>
    </row>
    <row r="187" spans="1:17">
      <c r="A187" t="s">
        <v>35</v>
      </c>
      <c r="B187" t="s">
        <v>45</v>
      </c>
      <c r="C187" t="s">
        <v>23</v>
      </c>
      <c r="D187" t="s">
        <v>3328</v>
      </c>
      <c r="E187">
        <v>8</v>
      </c>
      <c r="F187" t="str">
        <f>VLOOKUP(E187,[1]LOJA!$A:$B,2,0)</f>
        <v>LUZIÂNIA</v>
      </c>
      <c r="G187" t="s">
        <v>19</v>
      </c>
      <c r="H187" t="s">
        <v>20</v>
      </c>
      <c r="I187" s="1">
        <v>45694</v>
      </c>
      <c r="J187" s="1">
        <v>46010</v>
      </c>
      <c r="K187" s="1">
        <v>46010</v>
      </c>
      <c r="L187">
        <v>21</v>
      </c>
      <c r="M187">
        <v>315.49</v>
      </c>
      <c r="N187">
        <v>315.49</v>
      </c>
      <c r="O187">
        <v>0</v>
      </c>
      <c r="P187">
        <v>0</v>
      </c>
      <c r="Q187" t="s">
        <v>3331</v>
      </c>
    </row>
    <row r="188" spans="1:17">
      <c r="A188" t="s">
        <v>35</v>
      </c>
      <c r="B188" t="s">
        <v>45</v>
      </c>
      <c r="C188" t="s">
        <v>23</v>
      </c>
      <c r="D188" t="s">
        <v>3328</v>
      </c>
      <c r="E188">
        <v>8</v>
      </c>
      <c r="F188" t="str">
        <f>VLOOKUP(E188,[1]LOJA!$A:$B,2,0)</f>
        <v>LUZIÂNIA</v>
      </c>
      <c r="G188" t="s">
        <v>19</v>
      </c>
      <c r="H188" t="s">
        <v>20</v>
      </c>
      <c r="I188" s="1">
        <v>45694</v>
      </c>
      <c r="J188" s="1">
        <v>46010</v>
      </c>
      <c r="K188" s="1">
        <v>46010</v>
      </c>
      <c r="L188">
        <v>20</v>
      </c>
      <c r="M188">
        <v>309.99</v>
      </c>
      <c r="N188">
        <v>309.99</v>
      </c>
      <c r="O188">
        <v>0</v>
      </c>
      <c r="P188">
        <v>0</v>
      </c>
      <c r="Q188" t="s">
        <v>3329</v>
      </c>
    </row>
    <row r="189" spans="1:17">
      <c r="A189" t="s">
        <v>35</v>
      </c>
      <c r="B189" t="s">
        <v>45</v>
      </c>
      <c r="C189" t="s">
        <v>23</v>
      </c>
      <c r="D189" t="s">
        <v>3328</v>
      </c>
      <c r="E189">
        <v>12</v>
      </c>
      <c r="F189" t="str">
        <f>VLOOKUP(E189,[1]LOJA!$A:$B,2,0)</f>
        <v>SOFNORTE</v>
      </c>
      <c r="G189" t="s">
        <v>19</v>
      </c>
      <c r="H189" t="s">
        <v>20</v>
      </c>
      <c r="I189" s="1">
        <v>45694</v>
      </c>
      <c r="J189" s="1">
        <v>46010</v>
      </c>
      <c r="K189" s="1">
        <v>46010</v>
      </c>
      <c r="L189">
        <v>22</v>
      </c>
      <c r="M189">
        <v>67.03</v>
      </c>
      <c r="N189">
        <v>67.03</v>
      </c>
      <c r="O189">
        <v>0</v>
      </c>
      <c r="P189">
        <v>0</v>
      </c>
      <c r="Q189" t="s">
        <v>3329</v>
      </c>
    </row>
    <row r="190" spans="1:17">
      <c r="A190" t="s">
        <v>35</v>
      </c>
      <c r="B190" t="s">
        <v>45</v>
      </c>
      <c r="C190" t="s">
        <v>23</v>
      </c>
      <c r="D190" t="s">
        <v>3328</v>
      </c>
      <c r="E190">
        <v>12</v>
      </c>
      <c r="F190" t="str">
        <f>VLOOKUP(E190,[1]LOJA!$A:$B,2,0)</f>
        <v>SOFNORTE</v>
      </c>
      <c r="G190" t="s">
        <v>19</v>
      </c>
      <c r="H190" t="s">
        <v>20</v>
      </c>
      <c r="I190" s="1">
        <v>45694</v>
      </c>
      <c r="J190" s="1">
        <v>46010</v>
      </c>
      <c r="K190" s="1">
        <v>46010</v>
      </c>
      <c r="L190">
        <v>26</v>
      </c>
      <c r="M190">
        <v>852.61</v>
      </c>
      <c r="N190">
        <v>852.61</v>
      </c>
      <c r="O190">
        <v>0</v>
      </c>
      <c r="P190">
        <v>0</v>
      </c>
      <c r="Q190" t="s">
        <v>3330</v>
      </c>
    </row>
    <row r="191" spans="1:17">
      <c r="A191" t="s">
        <v>35</v>
      </c>
      <c r="B191" t="s">
        <v>45</v>
      </c>
      <c r="C191" t="s">
        <v>23</v>
      </c>
      <c r="D191" t="s">
        <v>3328</v>
      </c>
      <c r="E191">
        <v>12</v>
      </c>
      <c r="F191" t="str">
        <f>VLOOKUP(E191,[1]LOJA!$A:$B,2,0)</f>
        <v>SOFNORTE</v>
      </c>
      <c r="G191" t="s">
        <v>19</v>
      </c>
      <c r="H191" t="s">
        <v>20</v>
      </c>
      <c r="I191" s="1">
        <v>45694</v>
      </c>
      <c r="J191" s="1">
        <v>46010</v>
      </c>
      <c r="K191" s="1">
        <v>46010</v>
      </c>
      <c r="L191">
        <v>21</v>
      </c>
      <c r="M191">
        <v>318.88</v>
      </c>
      <c r="N191">
        <v>318.88</v>
      </c>
      <c r="O191">
        <v>0</v>
      </c>
      <c r="P191">
        <v>0</v>
      </c>
      <c r="Q191" t="s">
        <v>3331</v>
      </c>
    </row>
    <row r="192" spans="1:17">
      <c r="A192" t="s">
        <v>35</v>
      </c>
      <c r="B192" t="s">
        <v>45</v>
      </c>
      <c r="C192" t="s">
        <v>23</v>
      </c>
      <c r="D192" t="s">
        <v>3328</v>
      </c>
      <c r="E192">
        <v>12</v>
      </c>
      <c r="F192" t="str">
        <f>VLOOKUP(E192,[1]LOJA!$A:$B,2,0)</f>
        <v>SOFNORTE</v>
      </c>
      <c r="G192" t="s">
        <v>19</v>
      </c>
      <c r="H192" t="s">
        <v>20</v>
      </c>
      <c r="I192" s="1">
        <v>45694</v>
      </c>
      <c r="J192" s="1">
        <v>46010</v>
      </c>
      <c r="K192" s="1">
        <v>46010</v>
      </c>
      <c r="L192">
        <v>20</v>
      </c>
      <c r="M192">
        <v>313.32</v>
      </c>
      <c r="N192">
        <v>313.32</v>
      </c>
      <c r="O192">
        <v>0</v>
      </c>
      <c r="P192">
        <v>0</v>
      </c>
      <c r="Q192" t="s">
        <v>3329</v>
      </c>
    </row>
    <row r="193" spans="1:17">
      <c r="A193" t="s">
        <v>35</v>
      </c>
      <c r="B193" t="s">
        <v>45</v>
      </c>
      <c r="C193" t="s">
        <v>23</v>
      </c>
      <c r="D193" t="s">
        <v>3328</v>
      </c>
      <c r="E193">
        <v>13</v>
      </c>
      <c r="F193" t="str">
        <f>VLOOKUP(E193,[1]LOJA!$A:$B,2,0)</f>
        <v>CEILÂNDIA</v>
      </c>
      <c r="G193" t="s">
        <v>19</v>
      </c>
      <c r="H193" t="s">
        <v>20</v>
      </c>
      <c r="I193" s="1">
        <v>45694</v>
      </c>
      <c r="J193" s="1">
        <v>46010</v>
      </c>
      <c r="K193" s="1">
        <v>46010</v>
      </c>
      <c r="L193">
        <v>22</v>
      </c>
      <c r="M193">
        <v>105.11</v>
      </c>
      <c r="N193">
        <v>105.11</v>
      </c>
      <c r="O193">
        <v>0</v>
      </c>
      <c r="P193">
        <v>0</v>
      </c>
      <c r="Q193" t="s">
        <v>3329</v>
      </c>
    </row>
    <row r="194" spans="1:17">
      <c r="A194" t="s">
        <v>35</v>
      </c>
      <c r="B194" t="s">
        <v>45</v>
      </c>
      <c r="C194" t="s">
        <v>23</v>
      </c>
      <c r="D194" t="s">
        <v>3328</v>
      </c>
      <c r="E194">
        <v>13</v>
      </c>
      <c r="F194" t="str">
        <f>VLOOKUP(E194,[1]LOJA!$A:$B,2,0)</f>
        <v>CEILÂNDIA</v>
      </c>
      <c r="G194" t="s">
        <v>19</v>
      </c>
      <c r="H194" t="s">
        <v>20</v>
      </c>
      <c r="I194" s="1">
        <v>45694</v>
      </c>
      <c r="J194" s="1">
        <v>46010</v>
      </c>
      <c r="K194" s="1">
        <v>46010</v>
      </c>
      <c r="L194">
        <v>26</v>
      </c>
      <c r="M194" s="2">
        <v>1337.01</v>
      </c>
      <c r="N194" s="2">
        <v>1337.01</v>
      </c>
      <c r="O194">
        <v>0</v>
      </c>
      <c r="P194">
        <v>0</v>
      </c>
      <c r="Q194" t="s">
        <v>3330</v>
      </c>
    </row>
    <row r="195" spans="1:17">
      <c r="A195" t="s">
        <v>35</v>
      </c>
      <c r="B195" t="s">
        <v>45</v>
      </c>
      <c r="C195" t="s">
        <v>23</v>
      </c>
      <c r="D195" t="s">
        <v>3328</v>
      </c>
      <c r="E195">
        <v>13</v>
      </c>
      <c r="F195" t="str">
        <f>VLOOKUP(E195,[1]LOJA!$A:$B,2,0)</f>
        <v>CEILÂNDIA</v>
      </c>
      <c r="G195" t="s">
        <v>19</v>
      </c>
      <c r="H195" t="s">
        <v>20</v>
      </c>
      <c r="I195" s="1">
        <v>45694</v>
      </c>
      <c r="J195" s="1">
        <v>46010</v>
      </c>
      <c r="K195" s="1">
        <v>46010</v>
      </c>
      <c r="L195">
        <v>21</v>
      </c>
      <c r="M195">
        <v>500.04</v>
      </c>
      <c r="N195">
        <v>500.04</v>
      </c>
      <c r="O195">
        <v>0</v>
      </c>
      <c r="P195">
        <v>0</v>
      </c>
      <c r="Q195" t="s">
        <v>3331</v>
      </c>
    </row>
    <row r="196" spans="1:17">
      <c r="A196" t="s">
        <v>35</v>
      </c>
      <c r="B196" t="s">
        <v>45</v>
      </c>
      <c r="C196" t="s">
        <v>23</v>
      </c>
      <c r="D196" t="s">
        <v>3328</v>
      </c>
      <c r="E196">
        <v>13</v>
      </c>
      <c r="F196" t="str">
        <f>VLOOKUP(E196,[1]LOJA!$A:$B,2,0)</f>
        <v>CEILÂNDIA</v>
      </c>
      <c r="G196" t="s">
        <v>19</v>
      </c>
      <c r="H196" t="s">
        <v>20</v>
      </c>
      <c r="I196" s="1">
        <v>45694</v>
      </c>
      <c r="J196" s="1">
        <v>46010</v>
      </c>
      <c r="K196" s="1">
        <v>46010</v>
      </c>
      <c r="L196">
        <v>20</v>
      </c>
      <c r="M196">
        <v>491.33</v>
      </c>
      <c r="N196">
        <v>491.33</v>
      </c>
      <c r="O196">
        <v>0</v>
      </c>
      <c r="P196">
        <v>0</v>
      </c>
      <c r="Q196" t="s">
        <v>3329</v>
      </c>
    </row>
    <row r="197" spans="1:17">
      <c r="A197" t="s">
        <v>35</v>
      </c>
      <c r="B197" t="s">
        <v>45</v>
      </c>
      <c r="C197" t="s">
        <v>23</v>
      </c>
      <c r="D197" t="s">
        <v>3328</v>
      </c>
      <c r="E197">
        <v>14</v>
      </c>
      <c r="F197" t="str">
        <f>VLOOKUP(E197,[1]LOJA!$A:$B,2,0)</f>
        <v>S IA</v>
      </c>
      <c r="G197" t="s">
        <v>19</v>
      </c>
      <c r="H197" t="s">
        <v>20</v>
      </c>
      <c r="I197" s="1">
        <v>45694</v>
      </c>
      <c r="J197" s="1">
        <v>46010</v>
      </c>
      <c r="K197" s="1">
        <v>46010</v>
      </c>
      <c r="L197">
        <v>22</v>
      </c>
      <c r="M197">
        <v>82.21</v>
      </c>
      <c r="N197">
        <v>82.21</v>
      </c>
      <c r="O197">
        <v>0</v>
      </c>
      <c r="P197">
        <v>0</v>
      </c>
      <c r="Q197" t="s">
        <v>3329</v>
      </c>
    </row>
    <row r="198" spans="1:17">
      <c r="A198" t="s">
        <v>35</v>
      </c>
      <c r="B198" t="s">
        <v>45</v>
      </c>
      <c r="C198" t="s">
        <v>23</v>
      </c>
      <c r="D198" t="s">
        <v>3328</v>
      </c>
      <c r="E198">
        <v>14</v>
      </c>
      <c r="F198" t="str">
        <f>VLOOKUP(E198,[1]LOJA!$A:$B,2,0)</f>
        <v>S IA</v>
      </c>
      <c r="G198" t="s">
        <v>19</v>
      </c>
      <c r="H198" t="s">
        <v>20</v>
      </c>
      <c r="I198" s="1">
        <v>45694</v>
      </c>
      <c r="J198" s="1">
        <v>46010</v>
      </c>
      <c r="K198" s="1">
        <v>46010</v>
      </c>
      <c r="L198">
        <v>26</v>
      </c>
      <c r="M198" s="2">
        <v>1045.77</v>
      </c>
      <c r="N198" s="2">
        <v>1045.77</v>
      </c>
      <c r="O198">
        <v>0</v>
      </c>
      <c r="P198">
        <v>0</v>
      </c>
      <c r="Q198" t="s">
        <v>3330</v>
      </c>
    </row>
    <row r="199" spans="1:17">
      <c r="A199" t="s">
        <v>35</v>
      </c>
      <c r="B199" t="s">
        <v>45</v>
      </c>
      <c r="C199" t="s">
        <v>23</v>
      </c>
      <c r="D199" t="s">
        <v>3328</v>
      </c>
      <c r="E199">
        <v>14</v>
      </c>
      <c r="F199" t="str">
        <f>VLOOKUP(E199,[1]LOJA!$A:$B,2,0)</f>
        <v>S IA</v>
      </c>
      <c r="G199" t="s">
        <v>19</v>
      </c>
      <c r="H199" t="s">
        <v>20</v>
      </c>
      <c r="I199" s="1">
        <v>45694</v>
      </c>
      <c r="J199" s="1">
        <v>46010</v>
      </c>
      <c r="K199" s="1">
        <v>46010</v>
      </c>
      <c r="L199">
        <v>21</v>
      </c>
      <c r="M199">
        <v>391.12</v>
      </c>
      <c r="N199">
        <v>391.12</v>
      </c>
      <c r="O199">
        <v>0</v>
      </c>
      <c r="P199">
        <v>0</v>
      </c>
      <c r="Q199" t="s">
        <v>3331</v>
      </c>
    </row>
    <row r="200" spans="1:17">
      <c r="A200" t="s">
        <v>35</v>
      </c>
      <c r="B200" t="s">
        <v>45</v>
      </c>
      <c r="C200" t="s">
        <v>23</v>
      </c>
      <c r="D200" t="s">
        <v>3328</v>
      </c>
      <c r="E200">
        <v>14</v>
      </c>
      <c r="F200" t="str">
        <f>VLOOKUP(E200,[1]LOJA!$A:$B,2,0)</f>
        <v>S IA</v>
      </c>
      <c r="G200" t="s">
        <v>19</v>
      </c>
      <c r="H200" t="s">
        <v>20</v>
      </c>
      <c r="I200" s="1">
        <v>45694</v>
      </c>
      <c r="J200" s="1">
        <v>46010</v>
      </c>
      <c r="K200" s="1">
        <v>46010</v>
      </c>
      <c r="L200">
        <v>20</v>
      </c>
      <c r="M200">
        <v>384.3</v>
      </c>
      <c r="N200">
        <v>384.3</v>
      </c>
      <c r="O200">
        <v>0</v>
      </c>
      <c r="P200">
        <v>0</v>
      </c>
      <c r="Q200" t="s">
        <v>3329</v>
      </c>
    </row>
    <row r="201" spans="1:17">
      <c r="A201" t="s">
        <v>35</v>
      </c>
      <c r="B201" t="s">
        <v>45</v>
      </c>
      <c r="C201" t="s">
        <v>23</v>
      </c>
      <c r="D201" t="s">
        <v>3328</v>
      </c>
      <c r="E201">
        <v>15</v>
      </c>
      <c r="F201" t="str">
        <f>VLOOKUP(E201,[1]LOJA!$A:$B,2,0)</f>
        <v>UNAÍ</v>
      </c>
      <c r="G201" t="s">
        <v>19</v>
      </c>
      <c r="H201" t="s">
        <v>20</v>
      </c>
      <c r="I201" s="1">
        <v>45694</v>
      </c>
      <c r="J201" s="1">
        <v>46010</v>
      </c>
      <c r="K201" s="1">
        <v>46010</v>
      </c>
      <c r="L201">
        <v>22</v>
      </c>
      <c r="M201">
        <v>276.88</v>
      </c>
      <c r="N201">
        <v>276.88</v>
      </c>
      <c r="O201">
        <v>0</v>
      </c>
      <c r="P201">
        <v>0</v>
      </c>
      <c r="Q201" t="s">
        <v>3329</v>
      </c>
    </row>
    <row r="202" spans="1:17">
      <c r="A202" t="s">
        <v>35</v>
      </c>
      <c r="B202" t="s">
        <v>45</v>
      </c>
      <c r="C202" t="s">
        <v>23</v>
      </c>
      <c r="D202" t="s">
        <v>3328</v>
      </c>
      <c r="E202">
        <v>15</v>
      </c>
      <c r="F202" t="str">
        <f>VLOOKUP(E202,[1]LOJA!$A:$B,2,0)</f>
        <v>UNAÍ</v>
      </c>
      <c r="G202" t="s">
        <v>19</v>
      </c>
      <c r="H202" t="s">
        <v>20</v>
      </c>
      <c r="I202" s="1">
        <v>45694</v>
      </c>
      <c r="J202" s="1">
        <v>46010</v>
      </c>
      <c r="K202" s="1">
        <v>46010</v>
      </c>
      <c r="L202">
        <v>26</v>
      </c>
      <c r="M202" s="2">
        <v>3522.1</v>
      </c>
      <c r="N202" s="2">
        <v>3522.1</v>
      </c>
      <c r="O202">
        <v>0</v>
      </c>
      <c r="P202">
        <v>0</v>
      </c>
      <c r="Q202" t="s">
        <v>3330</v>
      </c>
    </row>
    <row r="203" spans="1:17">
      <c r="A203" t="s">
        <v>35</v>
      </c>
      <c r="B203" t="s">
        <v>45</v>
      </c>
      <c r="C203" t="s">
        <v>23</v>
      </c>
      <c r="D203" t="s">
        <v>3328</v>
      </c>
      <c r="E203">
        <v>15</v>
      </c>
      <c r="F203" t="str">
        <f>VLOOKUP(E203,[1]LOJA!$A:$B,2,0)</f>
        <v>UNAÍ</v>
      </c>
      <c r="G203" t="s">
        <v>19</v>
      </c>
      <c r="H203" t="s">
        <v>20</v>
      </c>
      <c r="I203" s="1">
        <v>45694</v>
      </c>
      <c r="J203" s="1">
        <v>46010</v>
      </c>
      <c r="K203" s="1">
        <v>46010</v>
      </c>
      <c r="L203">
        <v>21</v>
      </c>
      <c r="M203" s="2">
        <v>1317.27</v>
      </c>
      <c r="N203" s="2">
        <v>1317.27</v>
      </c>
      <c r="O203">
        <v>0</v>
      </c>
      <c r="P203">
        <v>0</v>
      </c>
      <c r="Q203" t="s">
        <v>3331</v>
      </c>
    </row>
    <row r="204" spans="1:17">
      <c r="A204" t="s">
        <v>35</v>
      </c>
      <c r="B204" t="s">
        <v>45</v>
      </c>
      <c r="C204" t="s">
        <v>23</v>
      </c>
      <c r="D204" t="s">
        <v>3328</v>
      </c>
      <c r="E204">
        <v>15</v>
      </c>
      <c r="F204" t="str">
        <f>VLOOKUP(E204,[1]LOJA!$A:$B,2,0)</f>
        <v>UNAÍ</v>
      </c>
      <c r="G204" t="s">
        <v>19</v>
      </c>
      <c r="H204" t="s">
        <v>20</v>
      </c>
      <c r="I204" s="1">
        <v>45694</v>
      </c>
      <c r="J204" s="1">
        <v>46010</v>
      </c>
      <c r="K204" s="1">
        <v>46010</v>
      </c>
      <c r="L204">
        <v>20</v>
      </c>
      <c r="M204" s="2">
        <v>1294.32</v>
      </c>
      <c r="N204" s="2">
        <v>1294.32</v>
      </c>
      <c r="O204">
        <v>0</v>
      </c>
      <c r="P204">
        <v>0</v>
      </c>
      <c r="Q204" t="s">
        <v>3329</v>
      </c>
    </row>
    <row r="205" spans="1:17">
      <c r="A205" t="s">
        <v>35</v>
      </c>
      <c r="B205" t="s">
        <v>45</v>
      </c>
      <c r="C205" t="s">
        <v>23</v>
      </c>
      <c r="D205" t="s">
        <v>3328</v>
      </c>
      <c r="E205">
        <v>16</v>
      </c>
      <c r="F205" t="str">
        <f>VLOOKUP(E205,[1]LOJA!$A:$B,2,0)</f>
        <v>AG LINDAS</v>
      </c>
      <c r="G205" t="s">
        <v>19</v>
      </c>
      <c r="H205" t="s">
        <v>20</v>
      </c>
      <c r="I205" s="1">
        <v>45694</v>
      </c>
      <c r="J205" s="1">
        <v>46010</v>
      </c>
      <c r="K205" s="1">
        <v>46010</v>
      </c>
      <c r="L205">
        <v>22</v>
      </c>
      <c r="M205">
        <v>33.1</v>
      </c>
      <c r="N205">
        <v>33.1</v>
      </c>
      <c r="O205">
        <v>0</v>
      </c>
      <c r="P205">
        <v>0</v>
      </c>
      <c r="Q205" t="s">
        <v>3329</v>
      </c>
    </row>
    <row r="206" spans="1:17">
      <c r="A206" t="s">
        <v>35</v>
      </c>
      <c r="B206" t="s">
        <v>45</v>
      </c>
      <c r="C206" t="s">
        <v>23</v>
      </c>
      <c r="D206" t="s">
        <v>3328</v>
      </c>
      <c r="E206">
        <v>16</v>
      </c>
      <c r="F206" t="str">
        <f>VLOOKUP(E206,[1]LOJA!$A:$B,2,0)</f>
        <v>AG LINDAS</v>
      </c>
      <c r="G206" t="s">
        <v>19</v>
      </c>
      <c r="H206" t="s">
        <v>20</v>
      </c>
      <c r="I206" s="1">
        <v>45694</v>
      </c>
      <c r="J206" s="1">
        <v>46010</v>
      </c>
      <c r="K206" s="1">
        <v>46010</v>
      </c>
      <c r="L206">
        <v>26</v>
      </c>
      <c r="M206">
        <v>421.02</v>
      </c>
      <c r="N206">
        <v>421.02</v>
      </c>
      <c r="O206">
        <v>0</v>
      </c>
      <c r="P206">
        <v>0</v>
      </c>
      <c r="Q206" t="s">
        <v>3330</v>
      </c>
    </row>
    <row r="207" spans="1:17">
      <c r="A207" t="s">
        <v>35</v>
      </c>
      <c r="B207" t="s">
        <v>45</v>
      </c>
      <c r="C207" t="s">
        <v>23</v>
      </c>
      <c r="D207" t="s">
        <v>3328</v>
      </c>
      <c r="E207">
        <v>16</v>
      </c>
      <c r="F207" t="str">
        <f>VLOOKUP(E207,[1]LOJA!$A:$B,2,0)</f>
        <v>AG LINDAS</v>
      </c>
      <c r="G207" t="s">
        <v>19</v>
      </c>
      <c r="H207" t="s">
        <v>20</v>
      </c>
      <c r="I207" s="1">
        <v>45694</v>
      </c>
      <c r="J207" s="1">
        <v>46010</v>
      </c>
      <c r="K207" s="1">
        <v>46010</v>
      </c>
      <c r="L207">
        <v>21</v>
      </c>
      <c r="M207">
        <v>157.46</v>
      </c>
      <c r="N207">
        <v>157.46</v>
      </c>
      <c r="O207">
        <v>0</v>
      </c>
      <c r="P207">
        <v>0</v>
      </c>
      <c r="Q207" t="s">
        <v>3331</v>
      </c>
    </row>
    <row r="208" spans="1:17">
      <c r="A208" t="s">
        <v>35</v>
      </c>
      <c r="B208" t="s">
        <v>45</v>
      </c>
      <c r="C208" t="s">
        <v>23</v>
      </c>
      <c r="D208" t="s">
        <v>3328</v>
      </c>
      <c r="E208">
        <v>16</v>
      </c>
      <c r="F208" t="str">
        <f>VLOOKUP(E208,[1]LOJA!$A:$B,2,0)</f>
        <v>AG LINDAS</v>
      </c>
      <c r="G208" t="s">
        <v>19</v>
      </c>
      <c r="H208" t="s">
        <v>20</v>
      </c>
      <c r="I208" s="1">
        <v>45694</v>
      </c>
      <c r="J208" s="1">
        <v>46010</v>
      </c>
      <c r="K208" s="1">
        <v>46010</v>
      </c>
      <c r="L208">
        <v>20</v>
      </c>
      <c r="M208">
        <v>154.72</v>
      </c>
      <c r="N208">
        <v>154.72</v>
      </c>
      <c r="O208">
        <v>0</v>
      </c>
      <c r="P208">
        <v>0</v>
      </c>
      <c r="Q208" t="s">
        <v>3329</v>
      </c>
    </row>
    <row r="209" spans="1:17">
      <c r="A209" t="s">
        <v>35</v>
      </c>
      <c r="B209" t="s">
        <v>45</v>
      </c>
      <c r="C209" t="s">
        <v>23</v>
      </c>
      <c r="D209" t="s">
        <v>3328</v>
      </c>
      <c r="E209">
        <v>20</v>
      </c>
      <c r="F209" t="str">
        <f>VLOOKUP(E209,[1]LOJA!$A:$B,2,0)</f>
        <v>DAUTO SERVIÇOS</v>
      </c>
      <c r="G209" t="s">
        <v>19</v>
      </c>
      <c r="H209" t="s">
        <v>20</v>
      </c>
      <c r="I209" s="1">
        <v>45694</v>
      </c>
      <c r="J209" s="1">
        <v>46010</v>
      </c>
      <c r="K209" s="1">
        <v>46010</v>
      </c>
      <c r="L209">
        <v>22</v>
      </c>
      <c r="M209">
        <v>0</v>
      </c>
      <c r="N209">
        <v>0</v>
      </c>
      <c r="O209">
        <v>0</v>
      </c>
      <c r="P209">
        <v>0</v>
      </c>
      <c r="Q209" t="s">
        <v>3329</v>
      </c>
    </row>
    <row r="210" spans="1:17">
      <c r="A210" t="s">
        <v>35</v>
      </c>
      <c r="B210" t="s">
        <v>45</v>
      </c>
      <c r="C210" t="s">
        <v>23</v>
      </c>
      <c r="D210" t="s">
        <v>3328</v>
      </c>
      <c r="E210">
        <v>20</v>
      </c>
      <c r="F210" t="str">
        <f>VLOOKUP(E210,[1]LOJA!$A:$B,2,0)</f>
        <v>DAUTO SERVIÇOS</v>
      </c>
      <c r="G210" t="s">
        <v>19</v>
      </c>
      <c r="H210" t="s">
        <v>20</v>
      </c>
      <c r="I210" s="1">
        <v>45694</v>
      </c>
      <c r="J210" s="1">
        <v>46010</v>
      </c>
      <c r="K210" s="1">
        <v>46010</v>
      </c>
      <c r="L210">
        <v>26</v>
      </c>
      <c r="M210">
        <v>0</v>
      </c>
      <c r="N210">
        <v>0</v>
      </c>
      <c r="O210">
        <v>0</v>
      </c>
      <c r="P210">
        <v>0</v>
      </c>
      <c r="Q210" t="s">
        <v>3330</v>
      </c>
    </row>
    <row r="211" spans="1:17">
      <c r="A211" t="s">
        <v>35</v>
      </c>
      <c r="B211" t="s">
        <v>45</v>
      </c>
      <c r="C211" t="s">
        <v>23</v>
      </c>
      <c r="D211" t="s">
        <v>3328</v>
      </c>
      <c r="E211">
        <v>20</v>
      </c>
      <c r="F211" t="str">
        <f>VLOOKUP(E211,[1]LOJA!$A:$B,2,0)</f>
        <v>DAUTO SERVIÇOS</v>
      </c>
      <c r="G211" t="s">
        <v>19</v>
      </c>
      <c r="H211" t="s">
        <v>20</v>
      </c>
      <c r="I211" s="1">
        <v>45694</v>
      </c>
      <c r="J211" s="1">
        <v>46010</v>
      </c>
      <c r="K211" s="1">
        <v>46010</v>
      </c>
      <c r="L211">
        <v>21</v>
      </c>
      <c r="M211">
        <v>0</v>
      </c>
      <c r="N211">
        <v>0</v>
      </c>
      <c r="O211">
        <v>0</v>
      </c>
      <c r="P211">
        <v>0</v>
      </c>
      <c r="Q211" t="s">
        <v>3331</v>
      </c>
    </row>
    <row r="212" spans="1:17">
      <c r="A212" t="s">
        <v>35</v>
      </c>
      <c r="B212" t="s">
        <v>45</v>
      </c>
      <c r="C212" t="s">
        <v>23</v>
      </c>
      <c r="D212" t="s">
        <v>3328</v>
      </c>
      <c r="E212">
        <v>20</v>
      </c>
      <c r="F212" t="str">
        <f>VLOOKUP(E212,[1]LOJA!$A:$B,2,0)</f>
        <v>DAUTO SERVIÇOS</v>
      </c>
      <c r="G212" t="s">
        <v>19</v>
      </c>
      <c r="H212" t="s">
        <v>20</v>
      </c>
      <c r="I212" s="1">
        <v>45694</v>
      </c>
      <c r="J212" s="1">
        <v>46010</v>
      </c>
      <c r="K212" s="1">
        <v>46010</v>
      </c>
      <c r="L212">
        <v>20</v>
      </c>
      <c r="M212">
        <v>0</v>
      </c>
      <c r="N212">
        <v>0</v>
      </c>
      <c r="O212">
        <v>0</v>
      </c>
      <c r="P212">
        <v>0</v>
      </c>
      <c r="Q212" t="s">
        <v>3329</v>
      </c>
    </row>
    <row r="213" spans="1:17">
      <c r="A213" t="s">
        <v>35</v>
      </c>
      <c r="B213" t="s">
        <v>50</v>
      </c>
      <c r="C213" t="s">
        <v>51</v>
      </c>
      <c r="D213" t="s">
        <v>3332</v>
      </c>
      <c r="E213">
        <v>1</v>
      </c>
      <c r="F213" t="str">
        <f>VLOOKUP(E213,[1]LOJA!$A:$B,2,0)</f>
        <v>GUARÁ</v>
      </c>
      <c r="G213" t="s">
        <v>19</v>
      </c>
      <c r="H213" t="s">
        <v>19</v>
      </c>
      <c r="I213" s="1">
        <v>45293</v>
      </c>
      <c r="J213" s="1">
        <v>46001</v>
      </c>
      <c r="K213" s="1">
        <v>46001</v>
      </c>
      <c r="L213">
        <v>38</v>
      </c>
      <c r="M213">
        <v>25.01</v>
      </c>
      <c r="N213">
        <v>25.01</v>
      </c>
      <c r="O213">
        <v>0</v>
      </c>
      <c r="P213">
        <v>0</v>
      </c>
      <c r="Q213" t="s">
        <v>3333</v>
      </c>
    </row>
    <row r="214" spans="1:17">
      <c r="A214" t="s">
        <v>35</v>
      </c>
      <c r="B214" t="s">
        <v>50</v>
      </c>
      <c r="C214" t="s">
        <v>51</v>
      </c>
      <c r="D214" t="s">
        <v>3332</v>
      </c>
      <c r="E214">
        <v>1</v>
      </c>
      <c r="F214" t="str">
        <f>VLOOKUP(E214,[1]LOJA!$A:$B,2,0)</f>
        <v>GUARÁ</v>
      </c>
      <c r="G214" t="s">
        <v>19</v>
      </c>
      <c r="H214" t="s">
        <v>19</v>
      </c>
      <c r="I214" s="1">
        <v>45293</v>
      </c>
      <c r="J214" s="1">
        <v>46001</v>
      </c>
      <c r="K214" s="1">
        <v>46001</v>
      </c>
      <c r="L214">
        <v>23</v>
      </c>
      <c r="M214" s="2">
        <v>6072.33</v>
      </c>
      <c r="N214" s="2">
        <v>6072.33</v>
      </c>
      <c r="O214">
        <v>0</v>
      </c>
      <c r="P214">
        <v>0</v>
      </c>
      <c r="Q214" t="s">
        <v>3333</v>
      </c>
    </row>
    <row r="215" spans="1:17">
      <c r="A215" t="s">
        <v>35</v>
      </c>
      <c r="B215" t="s">
        <v>50</v>
      </c>
      <c r="C215" t="s">
        <v>51</v>
      </c>
      <c r="D215" t="s">
        <v>3332</v>
      </c>
      <c r="E215">
        <v>4</v>
      </c>
      <c r="F215" t="str">
        <f>VLOOKUP(E215,[1]LOJA!$A:$B,2,0)</f>
        <v>ADE</v>
      </c>
      <c r="G215" t="s">
        <v>19</v>
      </c>
      <c r="H215" t="s">
        <v>19</v>
      </c>
      <c r="I215" s="1">
        <v>45293</v>
      </c>
      <c r="J215" s="1">
        <v>46001</v>
      </c>
      <c r="K215" s="1">
        <v>46001</v>
      </c>
      <c r="L215">
        <v>38</v>
      </c>
      <c r="M215">
        <v>25.01</v>
      </c>
      <c r="N215">
        <v>25.01</v>
      </c>
      <c r="O215">
        <v>0</v>
      </c>
      <c r="P215">
        <v>0</v>
      </c>
      <c r="Q215" t="s">
        <v>3333</v>
      </c>
    </row>
    <row r="216" spans="1:17">
      <c r="A216" t="s">
        <v>35</v>
      </c>
      <c r="B216" t="s">
        <v>50</v>
      </c>
      <c r="C216" t="s">
        <v>51</v>
      </c>
      <c r="D216" t="s">
        <v>3332</v>
      </c>
      <c r="E216">
        <v>4</v>
      </c>
      <c r="F216" t="str">
        <f>VLOOKUP(E216,[1]LOJA!$A:$B,2,0)</f>
        <v>ADE</v>
      </c>
      <c r="G216" t="s">
        <v>19</v>
      </c>
      <c r="H216" t="s">
        <v>19</v>
      </c>
      <c r="I216" s="1">
        <v>45293</v>
      </c>
      <c r="J216" s="1">
        <v>46001</v>
      </c>
      <c r="K216" s="1">
        <v>46001</v>
      </c>
      <c r="L216">
        <v>23</v>
      </c>
      <c r="M216" s="2">
        <v>6072.33</v>
      </c>
      <c r="N216" s="2">
        <v>6072.33</v>
      </c>
      <c r="O216">
        <v>0</v>
      </c>
      <c r="P216">
        <v>0</v>
      </c>
      <c r="Q216" t="s">
        <v>3333</v>
      </c>
    </row>
    <row r="217" spans="1:17">
      <c r="A217" t="s">
        <v>35</v>
      </c>
      <c r="B217" t="s">
        <v>50</v>
      </c>
      <c r="C217" t="s">
        <v>51</v>
      </c>
      <c r="D217" t="s">
        <v>3332</v>
      </c>
      <c r="E217">
        <v>6</v>
      </c>
      <c r="F217" t="str">
        <f>VLOOKUP(E217,[1]LOJA!$A:$B,2,0)</f>
        <v>GAMA</v>
      </c>
      <c r="G217" t="s">
        <v>19</v>
      </c>
      <c r="H217" t="s">
        <v>19</v>
      </c>
      <c r="I217" s="1">
        <v>45293</v>
      </c>
      <c r="J217" s="1">
        <v>46001</v>
      </c>
      <c r="K217" s="1">
        <v>46001</v>
      </c>
      <c r="L217">
        <v>38</v>
      </c>
      <c r="M217">
        <v>25.01</v>
      </c>
      <c r="N217">
        <v>25.01</v>
      </c>
      <c r="O217">
        <v>0</v>
      </c>
      <c r="P217">
        <v>0</v>
      </c>
      <c r="Q217" t="s">
        <v>3333</v>
      </c>
    </row>
    <row r="218" spans="1:17">
      <c r="A218" t="s">
        <v>35</v>
      </c>
      <c r="B218" t="s">
        <v>50</v>
      </c>
      <c r="C218" t="s">
        <v>51</v>
      </c>
      <c r="D218" t="s">
        <v>3332</v>
      </c>
      <c r="E218">
        <v>6</v>
      </c>
      <c r="F218" t="str">
        <f>VLOOKUP(E218,[1]LOJA!$A:$B,2,0)</f>
        <v>GAMA</v>
      </c>
      <c r="G218" t="s">
        <v>19</v>
      </c>
      <c r="H218" t="s">
        <v>19</v>
      </c>
      <c r="I218" s="1">
        <v>45293</v>
      </c>
      <c r="J218" s="1">
        <v>46001</v>
      </c>
      <c r="K218" s="1">
        <v>46001</v>
      </c>
      <c r="L218">
        <v>23</v>
      </c>
      <c r="M218" s="2">
        <v>6072.33</v>
      </c>
      <c r="N218" s="2">
        <v>6072.33</v>
      </c>
      <c r="O218">
        <v>0</v>
      </c>
      <c r="P218">
        <v>0</v>
      </c>
      <c r="Q218" t="s">
        <v>3333</v>
      </c>
    </row>
    <row r="219" spans="1:17">
      <c r="A219" t="s">
        <v>35</v>
      </c>
      <c r="B219" t="s">
        <v>50</v>
      </c>
      <c r="C219" t="s">
        <v>51</v>
      </c>
      <c r="D219" t="s">
        <v>3332</v>
      </c>
      <c r="E219">
        <v>8</v>
      </c>
      <c r="F219" t="str">
        <f>VLOOKUP(E219,[1]LOJA!$A:$B,2,0)</f>
        <v>LUZIÂNIA</v>
      </c>
      <c r="G219" t="s">
        <v>19</v>
      </c>
      <c r="H219" t="s">
        <v>19</v>
      </c>
      <c r="I219" s="1">
        <v>45293</v>
      </c>
      <c r="J219" s="1">
        <v>46001</v>
      </c>
      <c r="K219" s="1">
        <v>46001</v>
      </c>
      <c r="L219">
        <v>38</v>
      </c>
      <c r="M219">
        <v>0</v>
      </c>
      <c r="N219">
        <v>0</v>
      </c>
      <c r="O219">
        <v>0</v>
      </c>
      <c r="P219">
        <v>0</v>
      </c>
      <c r="Q219" t="s">
        <v>3333</v>
      </c>
    </row>
    <row r="220" spans="1:17">
      <c r="A220" t="s">
        <v>35</v>
      </c>
      <c r="B220" t="s">
        <v>50</v>
      </c>
      <c r="C220" t="s">
        <v>51</v>
      </c>
      <c r="D220" t="s">
        <v>3332</v>
      </c>
      <c r="E220">
        <v>8</v>
      </c>
      <c r="F220" t="str">
        <f>VLOOKUP(E220,[1]LOJA!$A:$B,2,0)</f>
        <v>LUZIÂNIA</v>
      </c>
      <c r="G220" t="s">
        <v>19</v>
      </c>
      <c r="H220" t="s">
        <v>19</v>
      </c>
      <c r="I220" s="1">
        <v>45293</v>
      </c>
      <c r="J220" s="1">
        <v>46001</v>
      </c>
      <c r="K220" s="1">
        <v>46001</v>
      </c>
      <c r="L220">
        <v>23</v>
      </c>
      <c r="M220">
        <v>0</v>
      </c>
      <c r="N220">
        <v>0</v>
      </c>
      <c r="O220">
        <v>0</v>
      </c>
      <c r="P220">
        <v>0</v>
      </c>
      <c r="Q220" t="s">
        <v>3333</v>
      </c>
    </row>
    <row r="221" spans="1:17">
      <c r="A221" t="s">
        <v>35</v>
      </c>
      <c r="B221" t="s">
        <v>50</v>
      </c>
      <c r="C221" t="s">
        <v>51</v>
      </c>
      <c r="D221" t="s">
        <v>3332</v>
      </c>
      <c r="E221">
        <v>12</v>
      </c>
      <c r="F221" t="str">
        <f>VLOOKUP(E221,[1]LOJA!$A:$B,2,0)</f>
        <v>SOFNORTE</v>
      </c>
      <c r="G221" t="s">
        <v>19</v>
      </c>
      <c r="H221" t="s">
        <v>19</v>
      </c>
      <c r="I221" s="1">
        <v>45293</v>
      </c>
      <c r="J221" s="1">
        <v>46001</v>
      </c>
      <c r="K221" s="1">
        <v>46001</v>
      </c>
      <c r="L221">
        <v>38</v>
      </c>
      <c r="M221">
        <v>0</v>
      </c>
      <c r="N221">
        <v>0</v>
      </c>
      <c r="O221">
        <v>0</v>
      </c>
      <c r="P221">
        <v>0</v>
      </c>
      <c r="Q221" t="s">
        <v>3333</v>
      </c>
    </row>
    <row r="222" spans="1:17">
      <c r="A222" t="s">
        <v>35</v>
      </c>
      <c r="B222" t="s">
        <v>50</v>
      </c>
      <c r="C222" t="s">
        <v>51</v>
      </c>
      <c r="D222" t="s">
        <v>3332</v>
      </c>
      <c r="E222">
        <v>12</v>
      </c>
      <c r="F222" t="str">
        <f>VLOOKUP(E222,[1]LOJA!$A:$B,2,0)</f>
        <v>SOFNORTE</v>
      </c>
      <c r="G222" t="s">
        <v>19</v>
      </c>
      <c r="H222" t="s">
        <v>19</v>
      </c>
      <c r="I222" s="1">
        <v>45293</v>
      </c>
      <c r="J222" s="1">
        <v>46001</v>
      </c>
      <c r="K222" s="1">
        <v>46001</v>
      </c>
      <c r="L222">
        <v>23</v>
      </c>
      <c r="M222">
        <v>0</v>
      </c>
      <c r="N222">
        <v>0</v>
      </c>
      <c r="O222">
        <v>0</v>
      </c>
      <c r="P222">
        <v>0</v>
      </c>
      <c r="Q222" t="s">
        <v>3333</v>
      </c>
    </row>
    <row r="223" spans="1:17">
      <c r="A223" t="s">
        <v>35</v>
      </c>
      <c r="B223" t="s">
        <v>50</v>
      </c>
      <c r="C223" t="s">
        <v>51</v>
      </c>
      <c r="D223" t="s">
        <v>3332</v>
      </c>
      <c r="E223">
        <v>13</v>
      </c>
      <c r="F223" t="str">
        <f>VLOOKUP(E223,[1]LOJA!$A:$B,2,0)</f>
        <v>CEILÂNDIA</v>
      </c>
      <c r="G223" t="s">
        <v>19</v>
      </c>
      <c r="H223" t="s">
        <v>19</v>
      </c>
      <c r="I223" s="1">
        <v>45293</v>
      </c>
      <c r="J223" s="1">
        <v>46001</v>
      </c>
      <c r="K223" s="1">
        <v>46001</v>
      </c>
      <c r="L223">
        <v>38</v>
      </c>
      <c r="M223">
        <v>50</v>
      </c>
      <c r="N223">
        <v>50</v>
      </c>
      <c r="O223">
        <v>0</v>
      </c>
      <c r="P223">
        <v>0</v>
      </c>
      <c r="Q223" t="s">
        <v>3333</v>
      </c>
    </row>
    <row r="224" spans="1:17">
      <c r="A224" t="s">
        <v>35</v>
      </c>
      <c r="B224" t="s">
        <v>50</v>
      </c>
      <c r="C224" t="s">
        <v>51</v>
      </c>
      <c r="D224" t="s">
        <v>3332</v>
      </c>
      <c r="E224">
        <v>13</v>
      </c>
      <c r="F224" t="str">
        <f>VLOOKUP(E224,[1]LOJA!$A:$B,2,0)</f>
        <v>CEILÂNDIA</v>
      </c>
      <c r="G224" t="s">
        <v>19</v>
      </c>
      <c r="H224" t="s">
        <v>19</v>
      </c>
      <c r="I224" s="1">
        <v>45293</v>
      </c>
      <c r="J224" s="1">
        <v>46001</v>
      </c>
      <c r="K224" s="1">
        <v>46001</v>
      </c>
      <c r="L224">
        <v>23</v>
      </c>
      <c r="M224" s="2">
        <v>12141.03</v>
      </c>
      <c r="N224" s="2">
        <v>12141.03</v>
      </c>
      <c r="O224">
        <v>0</v>
      </c>
      <c r="P224">
        <v>0</v>
      </c>
      <c r="Q224" t="s">
        <v>3333</v>
      </c>
    </row>
    <row r="225" spans="1:17">
      <c r="A225" t="s">
        <v>35</v>
      </c>
      <c r="B225" t="s">
        <v>50</v>
      </c>
      <c r="C225" t="s">
        <v>51</v>
      </c>
      <c r="D225" t="s">
        <v>3332</v>
      </c>
      <c r="E225">
        <v>14</v>
      </c>
      <c r="F225" t="str">
        <f>VLOOKUP(E225,[1]LOJA!$A:$B,2,0)</f>
        <v>S IA</v>
      </c>
      <c r="G225" t="s">
        <v>19</v>
      </c>
      <c r="H225" t="s">
        <v>19</v>
      </c>
      <c r="I225" s="1">
        <v>45293</v>
      </c>
      <c r="J225" s="1">
        <v>46001</v>
      </c>
      <c r="K225" s="1">
        <v>46001</v>
      </c>
      <c r="L225">
        <v>38</v>
      </c>
      <c r="M225">
        <v>24.99</v>
      </c>
      <c r="N225">
        <v>24.99</v>
      </c>
      <c r="O225">
        <v>0</v>
      </c>
      <c r="P225">
        <v>0</v>
      </c>
      <c r="Q225" t="s">
        <v>3333</v>
      </c>
    </row>
    <row r="226" spans="1:17">
      <c r="A226" t="s">
        <v>35</v>
      </c>
      <c r="B226" t="s">
        <v>50</v>
      </c>
      <c r="C226" t="s">
        <v>51</v>
      </c>
      <c r="D226" t="s">
        <v>3332</v>
      </c>
      <c r="E226">
        <v>14</v>
      </c>
      <c r="F226" t="str">
        <f>VLOOKUP(E226,[1]LOJA!$A:$B,2,0)</f>
        <v>S IA</v>
      </c>
      <c r="G226" t="s">
        <v>19</v>
      </c>
      <c r="H226" t="s">
        <v>19</v>
      </c>
      <c r="I226" s="1">
        <v>45293</v>
      </c>
      <c r="J226" s="1">
        <v>46001</v>
      </c>
      <c r="K226" s="1">
        <v>46001</v>
      </c>
      <c r="L226">
        <v>23</v>
      </c>
      <c r="M226" s="2">
        <v>6068.69</v>
      </c>
      <c r="N226" s="2">
        <v>6068.69</v>
      </c>
      <c r="O226">
        <v>0</v>
      </c>
      <c r="P226">
        <v>0</v>
      </c>
      <c r="Q226" t="s">
        <v>3333</v>
      </c>
    </row>
    <row r="227" spans="1:17">
      <c r="A227" t="s">
        <v>35</v>
      </c>
      <c r="B227" t="s">
        <v>50</v>
      </c>
      <c r="C227" t="s">
        <v>51</v>
      </c>
      <c r="D227" t="s">
        <v>3332</v>
      </c>
      <c r="E227">
        <v>15</v>
      </c>
      <c r="F227" t="str">
        <f>VLOOKUP(E227,[1]LOJA!$A:$B,2,0)</f>
        <v>UNAÍ</v>
      </c>
      <c r="G227" t="s">
        <v>19</v>
      </c>
      <c r="H227" t="s">
        <v>19</v>
      </c>
      <c r="I227" s="1">
        <v>45293</v>
      </c>
      <c r="J227" s="1">
        <v>46001</v>
      </c>
      <c r="K227" s="1">
        <v>46001</v>
      </c>
      <c r="L227">
        <v>38</v>
      </c>
      <c r="M227">
        <v>0</v>
      </c>
      <c r="N227">
        <v>0</v>
      </c>
      <c r="O227">
        <v>0</v>
      </c>
      <c r="P227">
        <v>0</v>
      </c>
      <c r="Q227" t="s">
        <v>3333</v>
      </c>
    </row>
    <row r="228" spans="1:17">
      <c r="A228" t="s">
        <v>35</v>
      </c>
      <c r="B228" t="s">
        <v>50</v>
      </c>
      <c r="C228" t="s">
        <v>51</v>
      </c>
      <c r="D228" t="s">
        <v>3332</v>
      </c>
      <c r="E228">
        <v>15</v>
      </c>
      <c r="F228" t="str">
        <f>VLOOKUP(E228,[1]LOJA!$A:$B,2,0)</f>
        <v>UNAÍ</v>
      </c>
      <c r="G228" t="s">
        <v>19</v>
      </c>
      <c r="H228" t="s">
        <v>19</v>
      </c>
      <c r="I228" s="1">
        <v>45293</v>
      </c>
      <c r="J228" s="1">
        <v>46001</v>
      </c>
      <c r="K228" s="1">
        <v>46001</v>
      </c>
      <c r="L228">
        <v>23</v>
      </c>
      <c r="M228">
        <v>0</v>
      </c>
      <c r="N228">
        <v>0</v>
      </c>
      <c r="O228">
        <v>0</v>
      </c>
      <c r="P228">
        <v>0</v>
      </c>
      <c r="Q228" t="s">
        <v>3333</v>
      </c>
    </row>
    <row r="229" spans="1:17">
      <c r="A229" t="s">
        <v>35</v>
      </c>
      <c r="B229" t="s">
        <v>50</v>
      </c>
      <c r="C229" t="s">
        <v>51</v>
      </c>
      <c r="D229" t="s">
        <v>3332</v>
      </c>
      <c r="E229">
        <v>16</v>
      </c>
      <c r="F229" t="str">
        <f>VLOOKUP(E229,[1]LOJA!$A:$B,2,0)</f>
        <v>AG LINDAS</v>
      </c>
      <c r="G229" t="s">
        <v>19</v>
      </c>
      <c r="H229" t="s">
        <v>19</v>
      </c>
      <c r="I229" s="1">
        <v>45293</v>
      </c>
      <c r="J229" s="1">
        <v>46001</v>
      </c>
      <c r="K229" s="1">
        <v>46001</v>
      </c>
      <c r="L229">
        <v>38</v>
      </c>
      <c r="M229">
        <v>0</v>
      </c>
      <c r="N229">
        <v>0</v>
      </c>
      <c r="O229">
        <v>0</v>
      </c>
      <c r="P229">
        <v>0</v>
      </c>
      <c r="Q229" t="s">
        <v>3333</v>
      </c>
    </row>
    <row r="230" spans="1:17">
      <c r="A230" t="s">
        <v>35</v>
      </c>
      <c r="B230" t="s">
        <v>50</v>
      </c>
      <c r="C230" t="s">
        <v>51</v>
      </c>
      <c r="D230" t="s">
        <v>3332</v>
      </c>
      <c r="E230">
        <v>16</v>
      </c>
      <c r="F230" t="str">
        <f>VLOOKUP(E230,[1]LOJA!$A:$B,2,0)</f>
        <v>AG LINDAS</v>
      </c>
      <c r="G230" t="s">
        <v>19</v>
      </c>
      <c r="H230" t="s">
        <v>19</v>
      </c>
      <c r="I230" s="1">
        <v>45293</v>
      </c>
      <c r="J230" s="1">
        <v>46001</v>
      </c>
      <c r="K230" s="1">
        <v>46001</v>
      </c>
      <c r="L230">
        <v>23</v>
      </c>
      <c r="M230">
        <v>0</v>
      </c>
      <c r="N230">
        <v>0</v>
      </c>
      <c r="O230">
        <v>0</v>
      </c>
      <c r="P230">
        <v>0</v>
      </c>
      <c r="Q230" t="s">
        <v>3333</v>
      </c>
    </row>
    <row r="231" spans="1:17">
      <c r="A231" t="s">
        <v>35</v>
      </c>
      <c r="B231" t="s">
        <v>55</v>
      </c>
      <c r="C231" t="s">
        <v>56</v>
      </c>
      <c r="D231" t="s">
        <v>3334</v>
      </c>
      <c r="E231">
        <v>1</v>
      </c>
      <c r="F231" t="str">
        <f>VLOOKUP(E231,[1]LOJA!$A:$B,2,0)</f>
        <v>GUARÁ</v>
      </c>
      <c r="G231" t="s">
        <v>19</v>
      </c>
      <c r="H231" t="s">
        <v>20</v>
      </c>
      <c r="I231" s="1">
        <v>45995</v>
      </c>
      <c r="J231" s="1">
        <v>46002</v>
      </c>
      <c r="K231" s="1">
        <v>46002</v>
      </c>
      <c r="L231">
        <v>21</v>
      </c>
      <c r="M231">
        <v>0</v>
      </c>
      <c r="N231">
        <v>0</v>
      </c>
      <c r="O231">
        <v>0</v>
      </c>
      <c r="P231">
        <v>0</v>
      </c>
      <c r="Q231" t="s">
        <v>3335</v>
      </c>
    </row>
    <row r="232" spans="1:17">
      <c r="A232" t="s">
        <v>35</v>
      </c>
      <c r="B232" t="s">
        <v>55</v>
      </c>
      <c r="C232" t="s">
        <v>56</v>
      </c>
      <c r="D232" t="s">
        <v>3334</v>
      </c>
      <c r="E232">
        <v>4</v>
      </c>
      <c r="F232" t="str">
        <f>VLOOKUP(E232,[1]LOJA!$A:$B,2,0)</f>
        <v>ADE</v>
      </c>
      <c r="G232" t="s">
        <v>19</v>
      </c>
      <c r="H232" t="s">
        <v>20</v>
      </c>
      <c r="I232" s="1">
        <v>45995</v>
      </c>
      <c r="J232" s="1">
        <v>46002</v>
      </c>
      <c r="K232" s="1">
        <v>46002</v>
      </c>
      <c r="L232">
        <v>21</v>
      </c>
      <c r="M232">
        <v>480.23</v>
      </c>
      <c r="N232">
        <v>480.23</v>
      </c>
      <c r="O232">
        <v>0</v>
      </c>
      <c r="P232">
        <v>0</v>
      </c>
      <c r="Q232" t="s">
        <v>3335</v>
      </c>
    </row>
    <row r="233" spans="1:17">
      <c r="A233" t="s">
        <v>35</v>
      </c>
      <c r="B233" t="s">
        <v>55</v>
      </c>
      <c r="C233" t="s">
        <v>56</v>
      </c>
      <c r="D233" t="s">
        <v>3334</v>
      </c>
      <c r="E233">
        <v>6</v>
      </c>
      <c r="F233" t="str">
        <f>VLOOKUP(E233,[1]LOJA!$A:$B,2,0)</f>
        <v>GAMA</v>
      </c>
      <c r="G233" t="s">
        <v>19</v>
      </c>
      <c r="H233" t="s">
        <v>20</v>
      </c>
      <c r="I233" s="1">
        <v>45995</v>
      </c>
      <c r="J233" s="1">
        <v>46002</v>
      </c>
      <c r="K233" s="1">
        <v>46002</v>
      </c>
      <c r="L233">
        <v>21</v>
      </c>
      <c r="M233">
        <v>480.23</v>
      </c>
      <c r="N233">
        <v>480.23</v>
      </c>
      <c r="O233">
        <v>0</v>
      </c>
      <c r="P233">
        <v>0</v>
      </c>
      <c r="Q233" t="s">
        <v>3335</v>
      </c>
    </row>
    <row r="234" spans="1:17">
      <c r="A234" t="s">
        <v>35</v>
      </c>
      <c r="B234" t="s">
        <v>55</v>
      </c>
      <c r="C234" t="s">
        <v>56</v>
      </c>
      <c r="D234" t="s">
        <v>3334</v>
      </c>
      <c r="E234">
        <v>8</v>
      </c>
      <c r="F234" t="str">
        <f>VLOOKUP(E234,[1]LOJA!$A:$B,2,0)</f>
        <v>LUZIÂNIA</v>
      </c>
      <c r="G234" t="s">
        <v>19</v>
      </c>
      <c r="H234" t="s">
        <v>20</v>
      </c>
      <c r="I234" s="1">
        <v>45995</v>
      </c>
      <c r="J234" s="1">
        <v>46002</v>
      </c>
      <c r="K234" s="1">
        <v>46002</v>
      </c>
      <c r="L234">
        <v>21</v>
      </c>
      <c r="M234">
        <v>0</v>
      </c>
      <c r="N234">
        <v>0</v>
      </c>
      <c r="O234">
        <v>0</v>
      </c>
      <c r="P234">
        <v>0</v>
      </c>
      <c r="Q234" t="s">
        <v>3335</v>
      </c>
    </row>
    <row r="235" spans="1:17">
      <c r="A235" t="s">
        <v>35</v>
      </c>
      <c r="B235" t="s">
        <v>55</v>
      </c>
      <c r="C235" t="s">
        <v>56</v>
      </c>
      <c r="D235" t="s">
        <v>3334</v>
      </c>
      <c r="E235">
        <v>12</v>
      </c>
      <c r="F235" t="str">
        <f>VLOOKUP(E235,[1]LOJA!$A:$B,2,0)</f>
        <v>SOFNORTE</v>
      </c>
      <c r="G235" t="s">
        <v>19</v>
      </c>
      <c r="H235" t="s">
        <v>20</v>
      </c>
      <c r="I235" s="1">
        <v>45995</v>
      </c>
      <c r="J235" s="1">
        <v>46002</v>
      </c>
      <c r="K235" s="1">
        <v>46002</v>
      </c>
      <c r="L235">
        <v>21</v>
      </c>
      <c r="M235">
        <v>480.23</v>
      </c>
      <c r="N235">
        <v>480.23</v>
      </c>
      <c r="O235">
        <v>0</v>
      </c>
      <c r="P235">
        <v>0</v>
      </c>
      <c r="Q235" t="s">
        <v>3335</v>
      </c>
    </row>
    <row r="236" spans="1:17">
      <c r="A236" t="s">
        <v>35</v>
      </c>
      <c r="B236" t="s">
        <v>55</v>
      </c>
      <c r="C236" t="s">
        <v>56</v>
      </c>
      <c r="D236" t="s">
        <v>3334</v>
      </c>
      <c r="E236">
        <v>13</v>
      </c>
      <c r="F236" t="str">
        <f>VLOOKUP(E236,[1]LOJA!$A:$B,2,0)</f>
        <v>CEILÂNDIA</v>
      </c>
      <c r="G236" t="s">
        <v>19</v>
      </c>
      <c r="H236" t="s">
        <v>20</v>
      </c>
      <c r="I236" s="1">
        <v>45995</v>
      </c>
      <c r="J236" s="1">
        <v>46002</v>
      </c>
      <c r="K236" s="1">
        <v>46002</v>
      </c>
      <c r="L236">
        <v>21</v>
      </c>
      <c r="M236">
        <v>480.23</v>
      </c>
      <c r="N236">
        <v>480.23</v>
      </c>
      <c r="O236">
        <v>0</v>
      </c>
      <c r="P236">
        <v>0</v>
      </c>
      <c r="Q236" t="s">
        <v>3335</v>
      </c>
    </row>
    <row r="237" spans="1:17">
      <c r="A237" t="s">
        <v>35</v>
      </c>
      <c r="B237" t="s">
        <v>55</v>
      </c>
      <c r="C237" t="s">
        <v>56</v>
      </c>
      <c r="D237" t="s">
        <v>3334</v>
      </c>
      <c r="E237">
        <v>14</v>
      </c>
      <c r="F237" t="str">
        <f>VLOOKUP(E237,[1]LOJA!$A:$B,2,0)</f>
        <v>S IA</v>
      </c>
      <c r="G237" t="s">
        <v>19</v>
      </c>
      <c r="H237" t="s">
        <v>20</v>
      </c>
      <c r="I237" s="1">
        <v>45995</v>
      </c>
      <c r="J237" s="1">
        <v>46002</v>
      </c>
      <c r="K237" s="1">
        <v>46002</v>
      </c>
      <c r="L237">
        <v>21</v>
      </c>
      <c r="M237">
        <v>480.23</v>
      </c>
      <c r="N237">
        <v>480.23</v>
      </c>
      <c r="O237">
        <v>0</v>
      </c>
      <c r="P237">
        <v>0</v>
      </c>
      <c r="Q237" t="s">
        <v>3335</v>
      </c>
    </row>
    <row r="238" spans="1:17">
      <c r="A238" t="s">
        <v>35</v>
      </c>
      <c r="B238" t="s">
        <v>55</v>
      </c>
      <c r="C238" t="s">
        <v>56</v>
      </c>
      <c r="D238" t="s">
        <v>3334</v>
      </c>
      <c r="E238">
        <v>15</v>
      </c>
      <c r="F238" t="str">
        <f>VLOOKUP(E238,[1]LOJA!$A:$B,2,0)</f>
        <v>UNAÍ</v>
      </c>
      <c r="G238" t="s">
        <v>19</v>
      </c>
      <c r="H238" t="s">
        <v>20</v>
      </c>
      <c r="I238" s="1">
        <v>45995</v>
      </c>
      <c r="J238" s="1">
        <v>46002</v>
      </c>
      <c r="K238" s="1">
        <v>46002</v>
      </c>
      <c r="L238">
        <v>21</v>
      </c>
      <c r="M238">
        <v>480.23</v>
      </c>
      <c r="N238">
        <v>480.23</v>
      </c>
      <c r="O238">
        <v>0</v>
      </c>
      <c r="P238">
        <v>0</v>
      </c>
      <c r="Q238" t="s">
        <v>3335</v>
      </c>
    </row>
    <row r="239" spans="1:17">
      <c r="A239" t="s">
        <v>35</v>
      </c>
      <c r="B239" t="s">
        <v>55</v>
      </c>
      <c r="C239" t="s">
        <v>56</v>
      </c>
      <c r="D239" t="s">
        <v>3334</v>
      </c>
      <c r="E239">
        <v>16</v>
      </c>
      <c r="F239" t="str">
        <f>VLOOKUP(E239,[1]LOJA!$A:$B,2,0)</f>
        <v>AG LINDAS</v>
      </c>
      <c r="G239" t="s">
        <v>19</v>
      </c>
      <c r="H239" t="s">
        <v>20</v>
      </c>
      <c r="I239" s="1">
        <v>45995</v>
      </c>
      <c r="J239" s="1">
        <v>46002</v>
      </c>
      <c r="K239" s="1">
        <v>46002</v>
      </c>
      <c r="L239">
        <v>21</v>
      </c>
      <c r="M239">
        <v>480.23</v>
      </c>
      <c r="N239">
        <v>480.23</v>
      </c>
      <c r="O239">
        <v>0</v>
      </c>
      <c r="P239">
        <v>0</v>
      </c>
      <c r="Q239" t="s">
        <v>3335</v>
      </c>
    </row>
    <row r="240" spans="1:17">
      <c r="A240" t="s">
        <v>35</v>
      </c>
      <c r="B240" t="s">
        <v>55</v>
      </c>
      <c r="C240" t="s">
        <v>56</v>
      </c>
      <c r="D240" t="s">
        <v>3334</v>
      </c>
      <c r="E240">
        <v>20</v>
      </c>
      <c r="F240" t="str">
        <f>VLOOKUP(E240,[1]LOJA!$A:$B,2,0)</f>
        <v>DAUTO SERVIÇOS</v>
      </c>
      <c r="G240" t="s">
        <v>19</v>
      </c>
      <c r="H240" t="s">
        <v>20</v>
      </c>
      <c r="I240" s="1">
        <v>45995</v>
      </c>
      <c r="J240" s="1">
        <v>46002</v>
      </c>
      <c r="K240" s="1">
        <v>46002</v>
      </c>
      <c r="L240">
        <v>21</v>
      </c>
      <c r="M240">
        <v>0</v>
      </c>
      <c r="N240">
        <v>0</v>
      </c>
      <c r="O240">
        <v>0</v>
      </c>
      <c r="P240">
        <v>0</v>
      </c>
      <c r="Q240" t="s">
        <v>3335</v>
      </c>
    </row>
    <row r="241" spans="1:17">
      <c r="A241" t="s">
        <v>35</v>
      </c>
      <c r="B241" t="s">
        <v>55</v>
      </c>
      <c r="C241" t="s">
        <v>56</v>
      </c>
      <c r="D241" t="s">
        <v>3334</v>
      </c>
      <c r="E241">
        <v>22</v>
      </c>
      <c r="F241" t="str">
        <f>VLOOKUP(E241,[1]LOJA!$A:$B,2,0)</f>
        <v>GUARÁ</v>
      </c>
      <c r="G241" t="s">
        <v>19</v>
      </c>
      <c r="H241" t="s">
        <v>20</v>
      </c>
      <c r="I241" s="1">
        <v>45995</v>
      </c>
      <c r="J241" s="1">
        <v>46002</v>
      </c>
      <c r="K241" s="1">
        <v>46002</v>
      </c>
      <c r="L241">
        <v>21</v>
      </c>
      <c r="M241">
        <v>480.23</v>
      </c>
      <c r="N241">
        <v>480.23</v>
      </c>
      <c r="O241">
        <v>0</v>
      </c>
      <c r="P241">
        <v>0</v>
      </c>
      <c r="Q241" t="s">
        <v>3335</v>
      </c>
    </row>
    <row r="242" spans="1:17">
      <c r="A242" t="s">
        <v>35</v>
      </c>
      <c r="B242" t="s">
        <v>55</v>
      </c>
      <c r="C242" t="s">
        <v>56</v>
      </c>
      <c r="D242" t="s">
        <v>3334</v>
      </c>
      <c r="E242">
        <v>24</v>
      </c>
      <c r="F242" t="str">
        <f>VLOOKUP(E242,[1]LOJA!$A:$B,2,0)</f>
        <v>LUZIÂNIA</v>
      </c>
      <c r="G242" t="s">
        <v>19</v>
      </c>
      <c r="H242" t="s">
        <v>20</v>
      </c>
      <c r="I242" s="1">
        <v>45995</v>
      </c>
      <c r="J242" s="1">
        <v>46002</v>
      </c>
      <c r="K242" s="1">
        <v>46002</v>
      </c>
      <c r="L242">
        <v>21</v>
      </c>
      <c r="M242">
        <v>480.23</v>
      </c>
      <c r="N242">
        <v>480.23</v>
      </c>
      <c r="O242">
        <v>0</v>
      </c>
      <c r="P242">
        <v>0</v>
      </c>
      <c r="Q242" t="s">
        <v>3335</v>
      </c>
    </row>
    <row r="243" spans="1:17">
      <c r="A243" t="s">
        <v>35</v>
      </c>
      <c r="B243" t="s">
        <v>55</v>
      </c>
      <c r="C243" t="s">
        <v>56</v>
      </c>
      <c r="D243" t="s">
        <v>3336</v>
      </c>
      <c r="E243">
        <v>1</v>
      </c>
      <c r="F243" t="str">
        <f>VLOOKUP(E243,[1]LOJA!$A:$B,2,0)</f>
        <v>GUARÁ</v>
      </c>
      <c r="G243" t="s">
        <v>19</v>
      </c>
      <c r="H243" t="s">
        <v>19</v>
      </c>
      <c r="I243" s="1">
        <v>46006</v>
      </c>
      <c r="J243" s="1">
        <v>46008</v>
      </c>
      <c r="K243" s="1">
        <v>46008</v>
      </c>
      <c r="L243">
        <v>38</v>
      </c>
      <c r="M243">
        <v>0</v>
      </c>
      <c r="N243">
        <v>0</v>
      </c>
      <c r="O243">
        <v>0</v>
      </c>
      <c r="P243">
        <v>0</v>
      </c>
      <c r="Q243" t="s">
        <v>3337</v>
      </c>
    </row>
    <row r="244" spans="1:17">
      <c r="A244" t="s">
        <v>35</v>
      </c>
      <c r="B244" t="s">
        <v>55</v>
      </c>
      <c r="C244" t="s">
        <v>56</v>
      </c>
      <c r="D244" t="s">
        <v>3336</v>
      </c>
      <c r="E244">
        <v>4</v>
      </c>
      <c r="F244" t="str">
        <f>VLOOKUP(E244,[1]LOJA!$A:$B,2,0)</f>
        <v>ADE</v>
      </c>
      <c r="G244" t="s">
        <v>19</v>
      </c>
      <c r="H244" t="s">
        <v>19</v>
      </c>
      <c r="I244" s="1">
        <v>46006</v>
      </c>
      <c r="J244" s="1">
        <v>46008</v>
      </c>
      <c r="K244" s="1">
        <v>46008</v>
      </c>
      <c r="L244">
        <v>38</v>
      </c>
      <c r="M244">
        <v>79.84</v>
      </c>
      <c r="N244">
        <v>79.84</v>
      </c>
      <c r="O244">
        <v>0</v>
      </c>
      <c r="P244">
        <v>0</v>
      </c>
      <c r="Q244" t="s">
        <v>3337</v>
      </c>
    </row>
    <row r="245" spans="1:17">
      <c r="A245" t="s">
        <v>35</v>
      </c>
      <c r="B245" t="s">
        <v>55</v>
      </c>
      <c r="C245" t="s">
        <v>56</v>
      </c>
      <c r="D245" t="s">
        <v>3336</v>
      </c>
      <c r="E245">
        <v>6</v>
      </c>
      <c r="F245" t="str">
        <f>VLOOKUP(E245,[1]LOJA!$A:$B,2,0)</f>
        <v>GAMA</v>
      </c>
      <c r="G245" t="s">
        <v>19</v>
      </c>
      <c r="H245" t="s">
        <v>19</v>
      </c>
      <c r="I245" s="1">
        <v>46006</v>
      </c>
      <c r="J245" s="1">
        <v>46008</v>
      </c>
      <c r="K245" s="1">
        <v>46008</v>
      </c>
      <c r="L245">
        <v>38</v>
      </c>
      <c r="M245">
        <v>79.84</v>
      </c>
      <c r="N245">
        <v>79.84</v>
      </c>
      <c r="O245">
        <v>0</v>
      </c>
      <c r="P245">
        <v>0</v>
      </c>
      <c r="Q245" t="s">
        <v>3337</v>
      </c>
    </row>
    <row r="246" spans="1:17">
      <c r="A246" t="s">
        <v>35</v>
      </c>
      <c r="B246" t="s">
        <v>55</v>
      </c>
      <c r="C246" t="s">
        <v>56</v>
      </c>
      <c r="D246" t="s">
        <v>3336</v>
      </c>
      <c r="E246">
        <v>8</v>
      </c>
      <c r="F246" t="str">
        <f>VLOOKUP(E246,[1]LOJA!$A:$B,2,0)</f>
        <v>LUZIÂNIA</v>
      </c>
      <c r="G246" t="s">
        <v>19</v>
      </c>
      <c r="H246" t="s">
        <v>19</v>
      </c>
      <c r="I246" s="1">
        <v>46006</v>
      </c>
      <c r="J246" s="1">
        <v>46008</v>
      </c>
      <c r="K246" s="1">
        <v>46008</v>
      </c>
      <c r="L246">
        <v>38</v>
      </c>
      <c r="M246">
        <v>0</v>
      </c>
      <c r="N246">
        <v>0</v>
      </c>
      <c r="O246">
        <v>0</v>
      </c>
      <c r="P246">
        <v>0</v>
      </c>
      <c r="Q246" t="s">
        <v>3337</v>
      </c>
    </row>
    <row r="247" spans="1:17">
      <c r="A247" t="s">
        <v>35</v>
      </c>
      <c r="B247" t="s">
        <v>55</v>
      </c>
      <c r="C247" t="s">
        <v>56</v>
      </c>
      <c r="D247" t="s">
        <v>3336</v>
      </c>
      <c r="E247">
        <v>12</v>
      </c>
      <c r="F247" t="str">
        <f>VLOOKUP(E247,[1]LOJA!$A:$B,2,0)</f>
        <v>SOFNORTE</v>
      </c>
      <c r="G247" t="s">
        <v>19</v>
      </c>
      <c r="H247" t="s">
        <v>19</v>
      </c>
      <c r="I247" s="1">
        <v>46006</v>
      </c>
      <c r="J247" s="1">
        <v>46008</v>
      </c>
      <c r="K247" s="1">
        <v>46008</v>
      </c>
      <c r="L247">
        <v>38</v>
      </c>
      <c r="M247">
        <v>79.84</v>
      </c>
      <c r="N247">
        <v>79.84</v>
      </c>
      <c r="O247">
        <v>0</v>
      </c>
      <c r="P247">
        <v>0</v>
      </c>
      <c r="Q247" t="s">
        <v>3337</v>
      </c>
    </row>
    <row r="248" spans="1:17">
      <c r="A248" t="s">
        <v>35</v>
      </c>
      <c r="B248" t="s">
        <v>55</v>
      </c>
      <c r="C248" t="s">
        <v>56</v>
      </c>
      <c r="D248" t="s">
        <v>3336</v>
      </c>
      <c r="E248">
        <v>13</v>
      </c>
      <c r="F248" t="str">
        <f>VLOOKUP(E248,[1]LOJA!$A:$B,2,0)</f>
        <v>CEILÂNDIA</v>
      </c>
      <c r="G248" t="s">
        <v>19</v>
      </c>
      <c r="H248" t="s">
        <v>19</v>
      </c>
      <c r="I248" s="1">
        <v>46006</v>
      </c>
      <c r="J248" s="1">
        <v>46008</v>
      </c>
      <c r="K248" s="1">
        <v>46008</v>
      </c>
      <c r="L248">
        <v>38</v>
      </c>
      <c r="M248">
        <v>79.84</v>
      </c>
      <c r="N248">
        <v>79.84</v>
      </c>
      <c r="O248">
        <v>0</v>
      </c>
      <c r="P248">
        <v>0</v>
      </c>
      <c r="Q248" t="s">
        <v>3337</v>
      </c>
    </row>
    <row r="249" spans="1:17">
      <c r="A249" t="s">
        <v>35</v>
      </c>
      <c r="B249" t="s">
        <v>55</v>
      </c>
      <c r="C249" t="s">
        <v>56</v>
      </c>
      <c r="D249" t="s">
        <v>3336</v>
      </c>
      <c r="E249">
        <v>14</v>
      </c>
      <c r="F249" t="str">
        <f>VLOOKUP(E249,[1]LOJA!$A:$B,2,0)</f>
        <v>S IA</v>
      </c>
      <c r="G249" t="s">
        <v>19</v>
      </c>
      <c r="H249" t="s">
        <v>19</v>
      </c>
      <c r="I249" s="1">
        <v>46006</v>
      </c>
      <c r="J249" s="1">
        <v>46008</v>
      </c>
      <c r="K249" s="1">
        <v>46008</v>
      </c>
      <c r="L249">
        <v>38</v>
      </c>
      <c r="M249">
        <v>79.84</v>
      </c>
      <c r="N249">
        <v>79.84</v>
      </c>
      <c r="O249">
        <v>0</v>
      </c>
      <c r="P249">
        <v>0</v>
      </c>
      <c r="Q249" t="s">
        <v>3337</v>
      </c>
    </row>
    <row r="250" spans="1:17">
      <c r="A250" t="s">
        <v>35</v>
      </c>
      <c r="B250" t="s">
        <v>55</v>
      </c>
      <c r="C250" t="s">
        <v>56</v>
      </c>
      <c r="D250" t="s">
        <v>3336</v>
      </c>
      <c r="E250">
        <v>15</v>
      </c>
      <c r="F250" t="str">
        <f>VLOOKUP(E250,[1]LOJA!$A:$B,2,0)</f>
        <v>UNAÍ</v>
      </c>
      <c r="G250" t="s">
        <v>19</v>
      </c>
      <c r="H250" t="s">
        <v>19</v>
      </c>
      <c r="I250" s="1">
        <v>46006</v>
      </c>
      <c r="J250" s="1">
        <v>46008</v>
      </c>
      <c r="K250" s="1">
        <v>46008</v>
      </c>
      <c r="L250">
        <v>38</v>
      </c>
      <c r="M250">
        <v>79.84</v>
      </c>
      <c r="N250">
        <v>79.84</v>
      </c>
      <c r="O250">
        <v>0</v>
      </c>
      <c r="P250">
        <v>0</v>
      </c>
      <c r="Q250" t="s">
        <v>3337</v>
      </c>
    </row>
    <row r="251" spans="1:17">
      <c r="A251" t="s">
        <v>35</v>
      </c>
      <c r="B251" t="s">
        <v>55</v>
      </c>
      <c r="C251" t="s">
        <v>56</v>
      </c>
      <c r="D251" t="s">
        <v>3336</v>
      </c>
      <c r="E251">
        <v>16</v>
      </c>
      <c r="F251" t="str">
        <f>VLOOKUP(E251,[1]LOJA!$A:$B,2,0)</f>
        <v>AG LINDAS</v>
      </c>
      <c r="G251" t="s">
        <v>19</v>
      </c>
      <c r="H251" t="s">
        <v>19</v>
      </c>
      <c r="I251" s="1">
        <v>46006</v>
      </c>
      <c r="J251" s="1">
        <v>46008</v>
      </c>
      <c r="K251" s="1">
        <v>46008</v>
      </c>
      <c r="L251">
        <v>38</v>
      </c>
      <c r="M251">
        <v>79.84</v>
      </c>
      <c r="N251">
        <v>79.84</v>
      </c>
      <c r="O251">
        <v>0</v>
      </c>
      <c r="P251">
        <v>0</v>
      </c>
      <c r="Q251" t="s">
        <v>3337</v>
      </c>
    </row>
    <row r="252" spans="1:17">
      <c r="A252" t="s">
        <v>35</v>
      </c>
      <c r="B252" t="s">
        <v>55</v>
      </c>
      <c r="C252" t="s">
        <v>56</v>
      </c>
      <c r="D252" t="s">
        <v>3336</v>
      </c>
      <c r="E252">
        <v>20</v>
      </c>
      <c r="F252" t="str">
        <f>VLOOKUP(E252,[1]LOJA!$A:$B,2,0)</f>
        <v>DAUTO SERVIÇOS</v>
      </c>
      <c r="G252" t="s">
        <v>19</v>
      </c>
      <c r="H252" t="s">
        <v>19</v>
      </c>
      <c r="I252" s="1">
        <v>46006</v>
      </c>
      <c r="J252" s="1">
        <v>46008</v>
      </c>
      <c r="K252" s="1">
        <v>46008</v>
      </c>
      <c r="L252">
        <v>38</v>
      </c>
      <c r="M252">
        <v>0</v>
      </c>
      <c r="N252">
        <v>0</v>
      </c>
      <c r="O252">
        <v>0</v>
      </c>
      <c r="P252">
        <v>0</v>
      </c>
      <c r="Q252" t="s">
        <v>3337</v>
      </c>
    </row>
    <row r="253" spans="1:17">
      <c r="A253" t="s">
        <v>35</v>
      </c>
      <c r="B253" t="s">
        <v>55</v>
      </c>
      <c r="C253" t="s">
        <v>56</v>
      </c>
      <c r="D253" t="s">
        <v>3336</v>
      </c>
      <c r="E253">
        <v>22</v>
      </c>
      <c r="F253" t="str">
        <f>VLOOKUP(E253,[1]LOJA!$A:$B,2,0)</f>
        <v>GUARÁ</v>
      </c>
      <c r="G253" t="s">
        <v>19</v>
      </c>
      <c r="H253" t="s">
        <v>19</v>
      </c>
      <c r="I253" s="1">
        <v>46006</v>
      </c>
      <c r="J253" s="1">
        <v>46008</v>
      </c>
      <c r="K253" s="1">
        <v>46008</v>
      </c>
      <c r="L253">
        <v>38</v>
      </c>
      <c r="M253">
        <v>79.84</v>
      </c>
      <c r="N253">
        <v>79.84</v>
      </c>
      <c r="O253">
        <v>0</v>
      </c>
      <c r="P253">
        <v>0</v>
      </c>
      <c r="Q253" t="s">
        <v>3337</v>
      </c>
    </row>
    <row r="254" spans="1:17">
      <c r="A254" t="s">
        <v>35</v>
      </c>
      <c r="B254" t="s">
        <v>55</v>
      </c>
      <c r="C254" t="s">
        <v>56</v>
      </c>
      <c r="D254" t="s">
        <v>3336</v>
      </c>
      <c r="E254">
        <v>24</v>
      </c>
      <c r="F254" t="str">
        <f>VLOOKUP(E254,[1]LOJA!$A:$B,2,0)</f>
        <v>LUZIÂNIA</v>
      </c>
      <c r="G254" t="s">
        <v>19</v>
      </c>
      <c r="H254" t="s">
        <v>19</v>
      </c>
      <c r="I254" s="1">
        <v>46006</v>
      </c>
      <c r="J254" s="1">
        <v>46008</v>
      </c>
      <c r="K254" s="1">
        <v>46008</v>
      </c>
      <c r="L254">
        <v>38</v>
      </c>
      <c r="M254">
        <v>79.84</v>
      </c>
      <c r="N254">
        <v>79.84</v>
      </c>
      <c r="O254">
        <v>0</v>
      </c>
      <c r="P254">
        <v>0</v>
      </c>
      <c r="Q254" t="s">
        <v>3337</v>
      </c>
    </row>
    <row r="255" spans="1:17">
      <c r="A255" t="s">
        <v>35</v>
      </c>
      <c r="B255" t="s">
        <v>55</v>
      </c>
      <c r="C255" t="s">
        <v>56</v>
      </c>
      <c r="D255" t="s">
        <v>3338</v>
      </c>
      <c r="E255">
        <v>1</v>
      </c>
      <c r="F255" t="str">
        <f>VLOOKUP(E255,[1]LOJA!$A:$B,2,0)</f>
        <v>GUARÁ</v>
      </c>
      <c r="G255" t="s">
        <v>19</v>
      </c>
      <c r="H255" t="s">
        <v>19</v>
      </c>
      <c r="I255" s="1">
        <v>46006</v>
      </c>
      <c r="J255" s="1">
        <v>46006</v>
      </c>
      <c r="K255" s="1">
        <v>46006</v>
      </c>
      <c r="L255">
        <v>23</v>
      </c>
      <c r="M255">
        <v>0</v>
      </c>
      <c r="N255">
        <v>0</v>
      </c>
      <c r="O255">
        <v>0</v>
      </c>
      <c r="P255">
        <v>0</v>
      </c>
      <c r="Q255" t="s">
        <v>3339</v>
      </c>
    </row>
    <row r="256" spans="1:17">
      <c r="A256" t="s">
        <v>35</v>
      </c>
      <c r="B256" t="s">
        <v>55</v>
      </c>
      <c r="C256" t="s">
        <v>56</v>
      </c>
      <c r="D256" t="s">
        <v>3338</v>
      </c>
      <c r="E256">
        <v>4</v>
      </c>
      <c r="F256" t="str">
        <f>VLOOKUP(E256,[1]LOJA!$A:$B,2,0)</f>
        <v>ADE</v>
      </c>
      <c r="G256" t="s">
        <v>19</v>
      </c>
      <c r="H256" t="s">
        <v>19</v>
      </c>
      <c r="I256" s="1">
        <v>46006</v>
      </c>
      <c r="J256" s="1">
        <v>46006</v>
      </c>
      <c r="K256" s="1">
        <v>46006</v>
      </c>
      <c r="L256">
        <v>23</v>
      </c>
      <c r="M256">
        <v>158</v>
      </c>
      <c r="N256">
        <v>158</v>
      </c>
      <c r="O256">
        <v>0</v>
      </c>
      <c r="P256">
        <v>0</v>
      </c>
      <c r="Q256" t="s">
        <v>3339</v>
      </c>
    </row>
    <row r="257" spans="1:17">
      <c r="A257" t="s">
        <v>35</v>
      </c>
      <c r="B257" t="s">
        <v>55</v>
      </c>
      <c r="C257" t="s">
        <v>56</v>
      </c>
      <c r="D257" t="s">
        <v>3338</v>
      </c>
      <c r="E257">
        <v>6</v>
      </c>
      <c r="F257" t="str">
        <f>VLOOKUP(E257,[1]LOJA!$A:$B,2,0)</f>
        <v>GAMA</v>
      </c>
      <c r="G257" t="s">
        <v>19</v>
      </c>
      <c r="H257" t="s">
        <v>19</v>
      </c>
      <c r="I257" s="1">
        <v>46006</v>
      </c>
      <c r="J257" s="1">
        <v>46006</v>
      </c>
      <c r="K257" s="1">
        <v>46006</v>
      </c>
      <c r="L257">
        <v>23</v>
      </c>
      <c r="M257">
        <v>158</v>
      </c>
      <c r="N257">
        <v>158</v>
      </c>
      <c r="O257">
        <v>0</v>
      </c>
      <c r="P257">
        <v>0</v>
      </c>
      <c r="Q257" t="s">
        <v>3339</v>
      </c>
    </row>
    <row r="258" spans="1:17">
      <c r="A258" t="s">
        <v>35</v>
      </c>
      <c r="B258" t="s">
        <v>55</v>
      </c>
      <c r="C258" t="s">
        <v>56</v>
      </c>
      <c r="D258" t="s">
        <v>3338</v>
      </c>
      <c r="E258">
        <v>8</v>
      </c>
      <c r="F258" t="str">
        <f>VLOOKUP(E258,[1]LOJA!$A:$B,2,0)</f>
        <v>LUZIÂNIA</v>
      </c>
      <c r="G258" t="s">
        <v>19</v>
      </c>
      <c r="H258" t="s">
        <v>19</v>
      </c>
      <c r="I258" s="1">
        <v>46006</v>
      </c>
      <c r="J258" s="1">
        <v>46006</v>
      </c>
      <c r="K258" s="1">
        <v>46006</v>
      </c>
      <c r="L258">
        <v>23</v>
      </c>
      <c r="M258">
        <v>0</v>
      </c>
      <c r="N258">
        <v>0</v>
      </c>
      <c r="O258">
        <v>0</v>
      </c>
      <c r="P258">
        <v>0</v>
      </c>
      <c r="Q258" t="s">
        <v>3339</v>
      </c>
    </row>
    <row r="259" spans="1:17">
      <c r="A259" t="s">
        <v>35</v>
      </c>
      <c r="B259" t="s">
        <v>55</v>
      </c>
      <c r="C259" t="s">
        <v>56</v>
      </c>
      <c r="D259" t="s">
        <v>3338</v>
      </c>
      <c r="E259">
        <v>12</v>
      </c>
      <c r="F259" t="str">
        <f>VLOOKUP(E259,[1]LOJA!$A:$B,2,0)</f>
        <v>SOFNORTE</v>
      </c>
      <c r="G259" t="s">
        <v>19</v>
      </c>
      <c r="H259" t="s">
        <v>19</v>
      </c>
      <c r="I259" s="1">
        <v>46006</v>
      </c>
      <c r="J259" s="1">
        <v>46006</v>
      </c>
      <c r="K259" s="1">
        <v>46006</v>
      </c>
      <c r="L259">
        <v>23</v>
      </c>
      <c r="M259">
        <v>158</v>
      </c>
      <c r="N259">
        <v>158</v>
      </c>
      <c r="O259">
        <v>0</v>
      </c>
      <c r="P259">
        <v>0</v>
      </c>
      <c r="Q259" t="s">
        <v>3339</v>
      </c>
    </row>
    <row r="260" spans="1:17">
      <c r="A260" t="s">
        <v>35</v>
      </c>
      <c r="B260" t="s">
        <v>55</v>
      </c>
      <c r="C260" t="s">
        <v>56</v>
      </c>
      <c r="D260" t="s">
        <v>3338</v>
      </c>
      <c r="E260">
        <v>13</v>
      </c>
      <c r="F260" t="str">
        <f>VLOOKUP(E260,[1]LOJA!$A:$B,2,0)</f>
        <v>CEILÂNDIA</v>
      </c>
      <c r="G260" t="s">
        <v>19</v>
      </c>
      <c r="H260" t="s">
        <v>19</v>
      </c>
      <c r="I260" s="1">
        <v>46006</v>
      </c>
      <c r="J260" s="1">
        <v>46006</v>
      </c>
      <c r="K260" s="1">
        <v>46006</v>
      </c>
      <c r="L260">
        <v>23</v>
      </c>
      <c r="M260">
        <v>158</v>
      </c>
      <c r="N260">
        <v>158</v>
      </c>
      <c r="O260">
        <v>0</v>
      </c>
      <c r="P260">
        <v>0</v>
      </c>
      <c r="Q260" t="s">
        <v>3339</v>
      </c>
    </row>
    <row r="261" spans="1:17">
      <c r="A261" t="s">
        <v>35</v>
      </c>
      <c r="B261" t="s">
        <v>55</v>
      </c>
      <c r="C261" t="s">
        <v>56</v>
      </c>
      <c r="D261" t="s">
        <v>3338</v>
      </c>
      <c r="E261">
        <v>14</v>
      </c>
      <c r="F261" t="str">
        <f>VLOOKUP(E261,[1]LOJA!$A:$B,2,0)</f>
        <v>S IA</v>
      </c>
      <c r="G261" t="s">
        <v>19</v>
      </c>
      <c r="H261" t="s">
        <v>19</v>
      </c>
      <c r="I261" s="1">
        <v>46006</v>
      </c>
      <c r="J261" s="1">
        <v>46006</v>
      </c>
      <c r="K261" s="1">
        <v>46006</v>
      </c>
      <c r="L261">
        <v>23</v>
      </c>
      <c r="M261">
        <v>158</v>
      </c>
      <c r="N261">
        <v>158</v>
      </c>
      <c r="O261">
        <v>0</v>
      </c>
      <c r="P261">
        <v>0</v>
      </c>
      <c r="Q261" t="s">
        <v>3339</v>
      </c>
    </row>
    <row r="262" spans="1:17">
      <c r="A262" t="s">
        <v>35</v>
      </c>
      <c r="B262" t="s">
        <v>55</v>
      </c>
      <c r="C262" t="s">
        <v>56</v>
      </c>
      <c r="D262" t="s">
        <v>3338</v>
      </c>
      <c r="E262">
        <v>15</v>
      </c>
      <c r="F262" t="str">
        <f>VLOOKUP(E262,[1]LOJA!$A:$B,2,0)</f>
        <v>UNAÍ</v>
      </c>
      <c r="G262" t="s">
        <v>19</v>
      </c>
      <c r="H262" t="s">
        <v>19</v>
      </c>
      <c r="I262" s="1">
        <v>46006</v>
      </c>
      <c r="J262" s="1">
        <v>46006</v>
      </c>
      <c r="K262" s="1">
        <v>46006</v>
      </c>
      <c r="L262">
        <v>23</v>
      </c>
      <c r="M262">
        <v>158</v>
      </c>
      <c r="N262">
        <v>158</v>
      </c>
      <c r="O262">
        <v>0</v>
      </c>
      <c r="P262">
        <v>0</v>
      </c>
      <c r="Q262" t="s">
        <v>3339</v>
      </c>
    </row>
    <row r="263" spans="1:17">
      <c r="A263" t="s">
        <v>35</v>
      </c>
      <c r="B263" t="s">
        <v>55</v>
      </c>
      <c r="C263" t="s">
        <v>56</v>
      </c>
      <c r="D263" t="s">
        <v>3338</v>
      </c>
      <c r="E263">
        <v>16</v>
      </c>
      <c r="F263" t="str">
        <f>VLOOKUP(E263,[1]LOJA!$A:$B,2,0)</f>
        <v>AG LINDAS</v>
      </c>
      <c r="G263" t="s">
        <v>19</v>
      </c>
      <c r="H263" t="s">
        <v>19</v>
      </c>
      <c r="I263" s="1">
        <v>46006</v>
      </c>
      <c r="J263" s="1">
        <v>46006</v>
      </c>
      <c r="K263" s="1">
        <v>46006</v>
      </c>
      <c r="L263">
        <v>23</v>
      </c>
      <c r="M263">
        <v>158</v>
      </c>
      <c r="N263">
        <v>158</v>
      </c>
      <c r="O263">
        <v>0</v>
      </c>
      <c r="P263">
        <v>0</v>
      </c>
      <c r="Q263" t="s">
        <v>3339</v>
      </c>
    </row>
    <row r="264" spans="1:17">
      <c r="A264" t="s">
        <v>35</v>
      </c>
      <c r="B264" t="s">
        <v>55</v>
      </c>
      <c r="C264" t="s">
        <v>56</v>
      </c>
      <c r="D264" t="s">
        <v>3338</v>
      </c>
      <c r="E264">
        <v>20</v>
      </c>
      <c r="F264" t="str">
        <f>VLOOKUP(E264,[1]LOJA!$A:$B,2,0)</f>
        <v>DAUTO SERVIÇOS</v>
      </c>
      <c r="G264" t="s">
        <v>19</v>
      </c>
      <c r="H264" t="s">
        <v>19</v>
      </c>
      <c r="I264" s="1">
        <v>46006</v>
      </c>
      <c r="J264" s="1">
        <v>46006</v>
      </c>
      <c r="K264" s="1">
        <v>46006</v>
      </c>
      <c r="L264">
        <v>23</v>
      </c>
      <c r="M264">
        <v>0</v>
      </c>
      <c r="N264">
        <v>0</v>
      </c>
      <c r="O264">
        <v>0</v>
      </c>
      <c r="P264">
        <v>0</v>
      </c>
      <c r="Q264" t="s">
        <v>3339</v>
      </c>
    </row>
    <row r="265" spans="1:17">
      <c r="A265" t="s">
        <v>35</v>
      </c>
      <c r="B265" t="s">
        <v>55</v>
      </c>
      <c r="C265" t="s">
        <v>56</v>
      </c>
      <c r="D265" t="s">
        <v>3338</v>
      </c>
      <c r="E265">
        <v>22</v>
      </c>
      <c r="F265" t="str">
        <f>VLOOKUP(E265,[1]LOJA!$A:$B,2,0)</f>
        <v>GUARÁ</v>
      </c>
      <c r="G265" t="s">
        <v>19</v>
      </c>
      <c r="H265" t="s">
        <v>19</v>
      </c>
      <c r="I265" s="1">
        <v>46006</v>
      </c>
      <c r="J265" s="1">
        <v>46006</v>
      </c>
      <c r="K265" s="1">
        <v>46006</v>
      </c>
      <c r="L265">
        <v>23</v>
      </c>
      <c r="M265">
        <v>158</v>
      </c>
      <c r="N265">
        <v>158</v>
      </c>
      <c r="O265">
        <v>0</v>
      </c>
      <c r="P265">
        <v>0</v>
      </c>
      <c r="Q265" t="s">
        <v>3339</v>
      </c>
    </row>
    <row r="266" spans="1:17">
      <c r="A266" t="s">
        <v>35</v>
      </c>
      <c r="B266" t="s">
        <v>55</v>
      </c>
      <c r="C266" t="s">
        <v>56</v>
      </c>
      <c r="D266" t="s">
        <v>3338</v>
      </c>
      <c r="E266">
        <v>24</v>
      </c>
      <c r="F266" t="str">
        <f>VLOOKUP(E266,[1]LOJA!$A:$B,2,0)</f>
        <v>LUZIÂNIA</v>
      </c>
      <c r="G266" t="s">
        <v>19</v>
      </c>
      <c r="H266" t="s">
        <v>19</v>
      </c>
      <c r="I266" s="1">
        <v>46006</v>
      </c>
      <c r="J266" s="1">
        <v>46006</v>
      </c>
      <c r="K266" s="1">
        <v>46006</v>
      </c>
      <c r="L266">
        <v>23</v>
      </c>
      <c r="M266">
        <v>158</v>
      </c>
      <c r="N266">
        <v>158</v>
      </c>
      <c r="O266">
        <v>0</v>
      </c>
      <c r="P266">
        <v>0</v>
      </c>
      <c r="Q266" t="s">
        <v>3339</v>
      </c>
    </row>
    <row r="267" spans="1:17">
      <c r="A267" t="s">
        <v>35</v>
      </c>
      <c r="B267" t="s">
        <v>55</v>
      </c>
      <c r="C267" t="s">
        <v>56</v>
      </c>
      <c r="D267" t="s">
        <v>3340</v>
      </c>
      <c r="E267">
        <v>1</v>
      </c>
      <c r="F267" t="str">
        <f>VLOOKUP(E267,[1]LOJA!$A:$B,2,0)</f>
        <v>GUARÁ</v>
      </c>
      <c r="G267" t="s">
        <v>19</v>
      </c>
      <c r="H267" t="s">
        <v>19</v>
      </c>
      <c r="I267" s="1">
        <v>46006</v>
      </c>
      <c r="J267" s="1">
        <v>46006</v>
      </c>
      <c r="K267" s="1">
        <v>46006</v>
      </c>
      <c r="L267">
        <v>23</v>
      </c>
      <c r="M267">
        <v>0</v>
      </c>
      <c r="N267">
        <v>0</v>
      </c>
      <c r="O267">
        <v>0</v>
      </c>
      <c r="P267">
        <v>0</v>
      </c>
      <c r="Q267" t="s">
        <v>3341</v>
      </c>
    </row>
    <row r="268" spans="1:17">
      <c r="A268" t="s">
        <v>35</v>
      </c>
      <c r="B268" t="s">
        <v>55</v>
      </c>
      <c r="C268" t="s">
        <v>56</v>
      </c>
      <c r="D268" t="s">
        <v>3340</v>
      </c>
      <c r="E268">
        <v>4</v>
      </c>
      <c r="F268" t="str">
        <f>VLOOKUP(E268,[1]LOJA!$A:$B,2,0)</f>
        <v>ADE</v>
      </c>
      <c r="G268" t="s">
        <v>19</v>
      </c>
      <c r="H268" t="s">
        <v>19</v>
      </c>
      <c r="I268" s="1">
        <v>46006</v>
      </c>
      <c r="J268" s="1">
        <v>46006</v>
      </c>
      <c r="K268" s="1">
        <v>46006</v>
      </c>
      <c r="L268">
        <v>23</v>
      </c>
      <c r="M268">
        <v>15.4</v>
      </c>
      <c r="N268">
        <v>15.4</v>
      </c>
      <c r="O268">
        <v>0</v>
      </c>
      <c r="P268">
        <v>0</v>
      </c>
      <c r="Q268" t="s">
        <v>3341</v>
      </c>
    </row>
    <row r="269" spans="1:17">
      <c r="A269" t="s">
        <v>35</v>
      </c>
      <c r="B269" t="s">
        <v>55</v>
      </c>
      <c r="C269" t="s">
        <v>56</v>
      </c>
      <c r="D269" t="s">
        <v>3340</v>
      </c>
      <c r="E269">
        <v>6</v>
      </c>
      <c r="F269" t="str">
        <f>VLOOKUP(E269,[1]LOJA!$A:$B,2,0)</f>
        <v>GAMA</v>
      </c>
      <c r="G269" t="s">
        <v>19</v>
      </c>
      <c r="H269" t="s">
        <v>19</v>
      </c>
      <c r="I269" s="1">
        <v>46006</v>
      </c>
      <c r="J269" s="1">
        <v>46006</v>
      </c>
      <c r="K269" s="1">
        <v>46006</v>
      </c>
      <c r="L269">
        <v>23</v>
      </c>
      <c r="M269">
        <v>15.4</v>
      </c>
      <c r="N269">
        <v>15.4</v>
      </c>
      <c r="O269">
        <v>0</v>
      </c>
      <c r="P269">
        <v>0</v>
      </c>
      <c r="Q269" t="s">
        <v>3341</v>
      </c>
    </row>
    <row r="270" spans="1:17">
      <c r="A270" t="s">
        <v>35</v>
      </c>
      <c r="B270" t="s">
        <v>55</v>
      </c>
      <c r="C270" t="s">
        <v>56</v>
      </c>
      <c r="D270" t="s">
        <v>3340</v>
      </c>
      <c r="E270">
        <v>8</v>
      </c>
      <c r="F270" t="str">
        <f>VLOOKUP(E270,[1]LOJA!$A:$B,2,0)</f>
        <v>LUZIÂNIA</v>
      </c>
      <c r="G270" t="s">
        <v>19</v>
      </c>
      <c r="H270" t="s">
        <v>19</v>
      </c>
      <c r="I270" s="1">
        <v>46006</v>
      </c>
      <c r="J270" s="1">
        <v>46006</v>
      </c>
      <c r="K270" s="1">
        <v>46006</v>
      </c>
      <c r="L270">
        <v>23</v>
      </c>
      <c r="M270">
        <v>0</v>
      </c>
      <c r="N270">
        <v>0</v>
      </c>
      <c r="O270">
        <v>0</v>
      </c>
      <c r="P270">
        <v>0</v>
      </c>
      <c r="Q270" t="s">
        <v>3341</v>
      </c>
    </row>
    <row r="271" spans="1:17">
      <c r="A271" t="s">
        <v>35</v>
      </c>
      <c r="B271" t="s">
        <v>55</v>
      </c>
      <c r="C271" t="s">
        <v>56</v>
      </c>
      <c r="D271" t="s">
        <v>3340</v>
      </c>
      <c r="E271">
        <v>12</v>
      </c>
      <c r="F271" t="str">
        <f>VLOOKUP(E271,[1]LOJA!$A:$B,2,0)</f>
        <v>SOFNORTE</v>
      </c>
      <c r="G271" t="s">
        <v>19</v>
      </c>
      <c r="H271" t="s">
        <v>19</v>
      </c>
      <c r="I271" s="1">
        <v>46006</v>
      </c>
      <c r="J271" s="1">
        <v>46006</v>
      </c>
      <c r="K271" s="1">
        <v>46006</v>
      </c>
      <c r="L271">
        <v>23</v>
      </c>
      <c r="M271">
        <v>15.4</v>
      </c>
      <c r="N271">
        <v>15.4</v>
      </c>
      <c r="O271">
        <v>0</v>
      </c>
      <c r="P271">
        <v>0</v>
      </c>
      <c r="Q271" t="s">
        <v>3341</v>
      </c>
    </row>
    <row r="272" spans="1:17">
      <c r="A272" t="s">
        <v>35</v>
      </c>
      <c r="B272" t="s">
        <v>55</v>
      </c>
      <c r="C272" t="s">
        <v>56</v>
      </c>
      <c r="D272" t="s">
        <v>3340</v>
      </c>
      <c r="E272">
        <v>13</v>
      </c>
      <c r="F272" t="str">
        <f>VLOOKUP(E272,[1]LOJA!$A:$B,2,0)</f>
        <v>CEILÂNDIA</v>
      </c>
      <c r="G272" t="s">
        <v>19</v>
      </c>
      <c r="H272" t="s">
        <v>19</v>
      </c>
      <c r="I272" s="1">
        <v>46006</v>
      </c>
      <c r="J272" s="1">
        <v>46006</v>
      </c>
      <c r="K272" s="1">
        <v>46006</v>
      </c>
      <c r="L272">
        <v>23</v>
      </c>
      <c r="M272">
        <v>15.4</v>
      </c>
      <c r="N272">
        <v>15.4</v>
      </c>
      <c r="O272">
        <v>0</v>
      </c>
      <c r="P272">
        <v>0</v>
      </c>
      <c r="Q272" t="s">
        <v>3341</v>
      </c>
    </row>
    <row r="273" spans="1:17">
      <c r="A273" t="s">
        <v>35</v>
      </c>
      <c r="B273" t="s">
        <v>55</v>
      </c>
      <c r="C273" t="s">
        <v>56</v>
      </c>
      <c r="D273" t="s">
        <v>3340</v>
      </c>
      <c r="E273">
        <v>14</v>
      </c>
      <c r="F273" t="str">
        <f>VLOOKUP(E273,[1]LOJA!$A:$B,2,0)</f>
        <v>S IA</v>
      </c>
      <c r="G273" t="s">
        <v>19</v>
      </c>
      <c r="H273" t="s">
        <v>19</v>
      </c>
      <c r="I273" s="1">
        <v>46006</v>
      </c>
      <c r="J273" s="1">
        <v>46006</v>
      </c>
      <c r="K273" s="1">
        <v>46006</v>
      </c>
      <c r="L273">
        <v>23</v>
      </c>
      <c r="M273">
        <v>15.4</v>
      </c>
      <c r="N273">
        <v>15.4</v>
      </c>
      <c r="O273">
        <v>0</v>
      </c>
      <c r="P273">
        <v>0</v>
      </c>
      <c r="Q273" t="s">
        <v>3341</v>
      </c>
    </row>
    <row r="274" spans="1:17">
      <c r="A274" t="s">
        <v>35</v>
      </c>
      <c r="B274" t="s">
        <v>55</v>
      </c>
      <c r="C274" t="s">
        <v>56</v>
      </c>
      <c r="D274" t="s">
        <v>3340</v>
      </c>
      <c r="E274">
        <v>15</v>
      </c>
      <c r="F274" t="str">
        <f>VLOOKUP(E274,[1]LOJA!$A:$B,2,0)</f>
        <v>UNAÍ</v>
      </c>
      <c r="G274" t="s">
        <v>19</v>
      </c>
      <c r="H274" t="s">
        <v>19</v>
      </c>
      <c r="I274" s="1">
        <v>46006</v>
      </c>
      <c r="J274" s="1">
        <v>46006</v>
      </c>
      <c r="K274" s="1">
        <v>46006</v>
      </c>
      <c r="L274">
        <v>23</v>
      </c>
      <c r="M274">
        <v>15.4</v>
      </c>
      <c r="N274">
        <v>15.4</v>
      </c>
      <c r="O274">
        <v>0</v>
      </c>
      <c r="P274">
        <v>0</v>
      </c>
      <c r="Q274" t="s">
        <v>3341</v>
      </c>
    </row>
    <row r="275" spans="1:17">
      <c r="A275" t="s">
        <v>35</v>
      </c>
      <c r="B275" t="s">
        <v>55</v>
      </c>
      <c r="C275" t="s">
        <v>56</v>
      </c>
      <c r="D275" t="s">
        <v>3340</v>
      </c>
      <c r="E275">
        <v>16</v>
      </c>
      <c r="F275" t="str">
        <f>VLOOKUP(E275,[1]LOJA!$A:$B,2,0)</f>
        <v>AG LINDAS</v>
      </c>
      <c r="G275" t="s">
        <v>19</v>
      </c>
      <c r="H275" t="s">
        <v>19</v>
      </c>
      <c r="I275" s="1">
        <v>46006</v>
      </c>
      <c r="J275" s="1">
        <v>46006</v>
      </c>
      <c r="K275" s="1">
        <v>46006</v>
      </c>
      <c r="L275">
        <v>23</v>
      </c>
      <c r="M275">
        <v>15.4</v>
      </c>
      <c r="N275">
        <v>15.4</v>
      </c>
      <c r="O275">
        <v>0</v>
      </c>
      <c r="P275">
        <v>0</v>
      </c>
      <c r="Q275" t="s">
        <v>3341</v>
      </c>
    </row>
    <row r="276" spans="1:17">
      <c r="A276" t="s">
        <v>35</v>
      </c>
      <c r="B276" t="s">
        <v>55</v>
      </c>
      <c r="C276" t="s">
        <v>56</v>
      </c>
      <c r="D276" t="s">
        <v>3340</v>
      </c>
      <c r="E276">
        <v>20</v>
      </c>
      <c r="F276" t="str">
        <f>VLOOKUP(E276,[1]LOJA!$A:$B,2,0)</f>
        <v>DAUTO SERVIÇOS</v>
      </c>
      <c r="G276" t="s">
        <v>19</v>
      </c>
      <c r="H276" t="s">
        <v>19</v>
      </c>
      <c r="I276" s="1">
        <v>46006</v>
      </c>
      <c r="J276" s="1">
        <v>46006</v>
      </c>
      <c r="K276" s="1">
        <v>46006</v>
      </c>
      <c r="L276">
        <v>23</v>
      </c>
      <c r="M276">
        <v>0</v>
      </c>
      <c r="N276">
        <v>0</v>
      </c>
      <c r="O276">
        <v>0</v>
      </c>
      <c r="P276">
        <v>0</v>
      </c>
      <c r="Q276" t="s">
        <v>3341</v>
      </c>
    </row>
    <row r="277" spans="1:17">
      <c r="A277" t="s">
        <v>35</v>
      </c>
      <c r="B277" t="s">
        <v>55</v>
      </c>
      <c r="C277" t="s">
        <v>56</v>
      </c>
      <c r="D277" t="s">
        <v>3340</v>
      </c>
      <c r="E277">
        <v>22</v>
      </c>
      <c r="F277" t="str">
        <f>VLOOKUP(E277,[1]LOJA!$A:$B,2,0)</f>
        <v>GUARÁ</v>
      </c>
      <c r="G277" t="s">
        <v>19</v>
      </c>
      <c r="H277" t="s">
        <v>19</v>
      </c>
      <c r="I277" s="1">
        <v>46006</v>
      </c>
      <c r="J277" s="1">
        <v>46006</v>
      </c>
      <c r="K277" s="1">
        <v>46006</v>
      </c>
      <c r="L277">
        <v>23</v>
      </c>
      <c r="M277">
        <v>15.4</v>
      </c>
      <c r="N277">
        <v>15.4</v>
      </c>
      <c r="O277">
        <v>0</v>
      </c>
      <c r="P277">
        <v>0</v>
      </c>
      <c r="Q277" t="s">
        <v>3341</v>
      </c>
    </row>
    <row r="278" spans="1:17">
      <c r="A278" t="s">
        <v>35</v>
      </c>
      <c r="B278" t="s">
        <v>55</v>
      </c>
      <c r="C278" t="s">
        <v>56</v>
      </c>
      <c r="D278" t="s">
        <v>3340</v>
      </c>
      <c r="E278">
        <v>24</v>
      </c>
      <c r="F278" t="str">
        <f>VLOOKUP(E278,[1]LOJA!$A:$B,2,0)</f>
        <v>LUZIÂNIA</v>
      </c>
      <c r="G278" t="s">
        <v>19</v>
      </c>
      <c r="H278" t="s">
        <v>19</v>
      </c>
      <c r="I278" s="1">
        <v>46006</v>
      </c>
      <c r="J278" s="1">
        <v>46006</v>
      </c>
      <c r="K278" s="1">
        <v>46006</v>
      </c>
      <c r="L278">
        <v>23</v>
      </c>
      <c r="M278">
        <v>15.4</v>
      </c>
      <c r="N278">
        <v>15.4</v>
      </c>
      <c r="O278">
        <v>0</v>
      </c>
      <c r="P278">
        <v>0</v>
      </c>
      <c r="Q278" t="s">
        <v>3341</v>
      </c>
    </row>
    <row r="279" spans="1:17">
      <c r="A279" t="s">
        <v>35</v>
      </c>
      <c r="B279" t="s">
        <v>55</v>
      </c>
      <c r="C279" t="s">
        <v>56</v>
      </c>
      <c r="D279" t="s">
        <v>3342</v>
      </c>
      <c r="E279">
        <v>4</v>
      </c>
      <c r="F279" t="str">
        <f>VLOOKUP(E279,[1]LOJA!$A:$B,2,0)</f>
        <v>ADE</v>
      </c>
      <c r="G279" t="s">
        <v>19</v>
      </c>
      <c r="H279" t="s">
        <v>19</v>
      </c>
      <c r="I279" s="1">
        <v>46003</v>
      </c>
      <c r="J279" s="1">
        <v>46003</v>
      </c>
      <c r="K279" s="1">
        <v>46003</v>
      </c>
      <c r="L279">
        <v>38</v>
      </c>
      <c r="M279">
        <v>25</v>
      </c>
      <c r="N279">
        <v>25</v>
      </c>
      <c r="O279">
        <v>0</v>
      </c>
      <c r="P279">
        <v>0</v>
      </c>
      <c r="Q279" t="s">
        <v>3343</v>
      </c>
    </row>
    <row r="280" spans="1:17">
      <c r="A280" t="s">
        <v>35</v>
      </c>
      <c r="B280" t="s">
        <v>55</v>
      </c>
      <c r="C280" t="s">
        <v>56</v>
      </c>
      <c r="D280" t="s">
        <v>3342</v>
      </c>
      <c r="E280">
        <v>6</v>
      </c>
      <c r="F280" t="str">
        <f>VLOOKUP(E280,[1]LOJA!$A:$B,2,0)</f>
        <v>GAMA</v>
      </c>
      <c r="G280" t="s">
        <v>19</v>
      </c>
      <c r="H280" t="s">
        <v>19</v>
      </c>
      <c r="I280" s="1">
        <v>46003</v>
      </c>
      <c r="J280" s="1">
        <v>46003</v>
      </c>
      <c r="K280" s="1">
        <v>46003</v>
      </c>
      <c r="L280">
        <v>38</v>
      </c>
      <c r="M280">
        <v>25</v>
      </c>
      <c r="N280">
        <v>25</v>
      </c>
      <c r="O280">
        <v>0</v>
      </c>
      <c r="P280">
        <v>0</v>
      </c>
      <c r="Q280" t="s">
        <v>3343</v>
      </c>
    </row>
    <row r="281" spans="1:17">
      <c r="A281" t="s">
        <v>35</v>
      </c>
      <c r="B281" t="s">
        <v>55</v>
      </c>
      <c r="C281" t="s">
        <v>56</v>
      </c>
      <c r="D281" t="s">
        <v>3342</v>
      </c>
      <c r="E281">
        <v>8</v>
      </c>
      <c r="F281" t="str">
        <f>VLOOKUP(E281,[1]LOJA!$A:$B,2,0)</f>
        <v>LUZIÂNIA</v>
      </c>
      <c r="G281" t="s">
        <v>19</v>
      </c>
      <c r="H281" t="s">
        <v>19</v>
      </c>
      <c r="I281" s="1">
        <v>46003</v>
      </c>
      <c r="J281" s="1">
        <v>46003</v>
      </c>
      <c r="K281" s="1">
        <v>46003</v>
      </c>
      <c r="L281">
        <v>38</v>
      </c>
      <c r="M281">
        <v>0</v>
      </c>
      <c r="N281">
        <v>0</v>
      </c>
      <c r="O281">
        <v>0</v>
      </c>
      <c r="P281">
        <v>0</v>
      </c>
      <c r="Q281" t="s">
        <v>3343</v>
      </c>
    </row>
    <row r="282" spans="1:17">
      <c r="A282" t="s">
        <v>35</v>
      </c>
      <c r="B282" t="s">
        <v>55</v>
      </c>
      <c r="C282" t="s">
        <v>56</v>
      </c>
      <c r="D282" t="s">
        <v>3342</v>
      </c>
      <c r="E282">
        <v>12</v>
      </c>
      <c r="F282" t="str">
        <f>VLOOKUP(E282,[1]LOJA!$A:$B,2,0)</f>
        <v>SOFNORTE</v>
      </c>
      <c r="G282" t="s">
        <v>19</v>
      </c>
      <c r="H282" t="s">
        <v>19</v>
      </c>
      <c r="I282" s="1">
        <v>46003</v>
      </c>
      <c r="J282" s="1">
        <v>46003</v>
      </c>
      <c r="K282" s="1">
        <v>46003</v>
      </c>
      <c r="L282">
        <v>38</v>
      </c>
      <c r="M282">
        <v>25</v>
      </c>
      <c r="N282">
        <v>25</v>
      </c>
      <c r="O282">
        <v>0</v>
      </c>
      <c r="P282">
        <v>0</v>
      </c>
      <c r="Q282" t="s">
        <v>3343</v>
      </c>
    </row>
    <row r="283" spans="1:17">
      <c r="A283" t="s">
        <v>35</v>
      </c>
      <c r="B283" t="s">
        <v>55</v>
      </c>
      <c r="C283" t="s">
        <v>56</v>
      </c>
      <c r="D283" t="s">
        <v>3342</v>
      </c>
      <c r="E283">
        <v>13</v>
      </c>
      <c r="F283" t="str">
        <f>VLOOKUP(E283,[1]LOJA!$A:$B,2,0)</f>
        <v>CEILÂNDIA</v>
      </c>
      <c r="G283" t="s">
        <v>19</v>
      </c>
      <c r="H283" t="s">
        <v>19</v>
      </c>
      <c r="I283" s="1">
        <v>46003</v>
      </c>
      <c r="J283" s="1">
        <v>46003</v>
      </c>
      <c r="K283" s="1">
        <v>46003</v>
      </c>
      <c r="L283">
        <v>38</v>
      </c>
      <c r="M283">
        <v>25</v>
      </c>
      <c r="N283">
        <v>25</v>
      </c>
      <c r="O283">
        <v>0</v>
      </c>
      <c r="P283">
        <v>0</v>
      </c>
      <c r="Q283" t="s">
        <v>3343</v>
      </c>
    </row>
    <row r="284" spans="1:17">
      <c r="A284" t="s">
        <v>35</v>
      </c>
      <c r="B284" t="s">
        <v>55</v>
      </c>
      <c r="C284" t="s">
        <v>56</v>
      </c>
      <c r="D284" t="s">
        <v>3342</v>
      </c>
      <c r="E284">
        <v>14</v>
      </c>
      <c r="F284" t="str">
        <f>VLOOKUP(E284,[1]LOJA!$A:$B,2,0)</f>
        <v>S IA</v>
      </c>
      <c r="G284" t="s">
        <v>19</v>
      </c>
      <c r="H284" t="s">
        <v>19</v>
      </c>
      <c r="I284" s="1">
        <v>46003</v>
      </c>
      <c r="J284" s="1">
        <v>46003</v>
      </c>
      <c r="K284" s="1">
        <v>46003</v>
      </c>
      <c r="L284">
        <v>38</v>
      </c>
      <c r="M284">
        <v>25</v>
      </c>
      <c r="N284">
        <v>25</v>
      </c>
      <c r="O284">
        <v>0</v>
      </c>
      <c r="P284">
        <v>0</v>
      </c>
      <c r="Q284" t="s">
        <v>3343</v>
      </c>
    </row>
    <row r="285" spans="1:17">
      <c r="A285" t="s">
        <v>35</v>
      </c>
      <c r="B285" t="s">
        <v>55</v>
      </c>
      <c r="C285" t="s">
        <v>56</v>
      </c>
      <c r="D285" t="s">
        <v>3342</v>
      </c>
      <c r="E285">
        <v>15</v>
      </c>
      <c r="F285" t="str">
        <f>VLOOKUP(E285,[1]LOJA!$A:$B,2,0)</f>
        <v>UNAÍ</v>
      </c>
      <c r="G285" t="s">
        <v>19</v>
      </c>
      <c r="H285" t="s">
        <v>19</v>
      </c>
      <c r="I285" s="1">
        <v>46003</v>
      </c>
      <c r="J285" s="1">
        <v>46003</v>
      </c>
      <c r="K285" s="1">
        <v>46003</v>
      </c>
      <c r="L285">
        <v>38</v>
      </c>
      <c r="M285">
        <v>25</v>
      </c>
      <c r="N285">
        <v>25</v>
      </c>
      <c r="O285">
        <v>0</v>
      </c>
      <c r="P285">
        <v>0</v>
      </c>
      <c r="Q285" t="s">
        <v>3343</v>
      </c>
    </row>
    <row r="286" spans="1:17">
      <c r="A286" t="s">
        <v>35</v>
      </c>
      <c r="B286" t="s">
        <v>55</v>
      </c>
      <c r="C286" t="s">
        <v>56</v>
      </c>
      <c r="D286" t="s">
        <v>3342</v>
      </c>
      <c r="E286">
        <v>16</v>
      </c>
      <c r="F286" t="str">
        <f>VLOOKUP(E286,[1]LOJA!$A:$B,2,0)</f>
        <v>AG LINDAS</v>
      </c>
      <c r="G286" t="s">
        <v>19</v>
      </c>
      <c r="H286" t="s">
        <v>19</v>
      </c>
      <c r="I286" s="1">
        <v>46003</v>
      </c>
      <c r="J286" s="1">
        <v>46003</v>
      </c>
      <c r="K286" s="1">
        <v>46003</v>
      </c>
      <c r="L286">
        <v>38</v>
      </c>
      <c r="M286">
        <v>25</v>
      </c>
      <c r="N286">
        <v>25</v>
      </c>
      <c r="O286">
        <v>0</v>
      </c>
      <c r="P286">
        <v>0</v>
      </c>
      <c r="Q286" t="s">
        <v>3343</v>
      </c>
    </row>
    <row r="287" spans="1:17">
      <c r="A287" t="s">
        <v>35</v>
      </c>
      <c r="B287" t="s">
        <v>55</v>
      </c>
      <c r="C287" t="s">
        <v>56</v>
      </c>
      <c r="D287" t="s">
        <v>3342</v>
      </c>
      <c r="E287">
        <v>20</v>
      </c>
      <c r="F287" t="str">
        <f>VLOOKUP(E287,[1]LOJA!$A:$B,2,0)</f>
        <v>DAUTO SERVIÇOS</v>
      </c>
      <c r="G287" t="s">
        <v>19</v>
      </c>
      <c r="H287" t="s">
        <v>19</v>
      </c>
      <c r="I287" s="1">
        <v>46003</v>
      </c>
      <c r="J287" s="1">
        <v>46003</v>
      </c>
      <c r="K287" s="1">
        <v>46003</v>
      </c>
      <c r="L287">
        <v>38</v>
      </c>
      <c r="M287">
        <v>0</v>
      </c>
      <c r="N287">
        <v>0</v>
      </c>
      <c r="O287">
        <v>0</v>
      </c>
      <c r="P287">
        <v>0</v>
      </c>
      <c r="Q287" t="s">
        <v>3343</v>
      </c>
    </row>
    <row r="288" spans="1:17">
      <c r="A288" t="s">
        <v>35</v>
      </c>
      <c r="B288" t="s">
        <v>55</v>
      </c>
      <c r="C288" t="s">
        <v>56</v>
      </c>
      <c r="D288" t="s">
        <v>3342</v>
      </c>
      <c r="E288">
        <v>22</v>
      </c>
      <c r="F288" t="str">
        <f>VLOOKUP(E288,[1]LOJA!$A:$B,2,0)</f>
        <v>GUARÁ</v>
      </c>
      <c r="G288" t="s">
        <v>19</v>
      </c>
      <c r="H288" t="s">
        <v>19</v>
      </c>
      <c r="I288" s="1">
        <v>46003</v>
      </c>
      <c r="J288" s="1">
        <v>46003</v>
      </c>
      <c r="K288" s="1">
        <v>46003</v>
      </c>
      <c r="L288">
        <v>38</v>
      </c>
      <c r="M288">
        <v>25</v>
      </c>
      <c r="N288">
        <v>25</v>
      </c>
      <c r="O288">
        <v>0</v>
      </c>
      <c r="P288">
        <v>0</v>
      </c>
      <c r="Q288" t="s">
        <v>3343</v>
      </c>
    </row>
    <row r="289" spans="1:17">
      <c r="A289" t="s">
        <v>35</v>
      </c>
      <c r="B289" t="s">
        <v>55</v>
      </c>
      <c r="C289" t="s">
        <v>56</v>
      </c>
      <c r="D289" t="s">
        <v>3342</v>
      </c>
      <c r="E289">
        <v>24</v>
      </c>
      <c r="F289" t="str">
        <f>VLOOKUP(E289,[1]LOJA!$A:$B,2,0)</f>
        <v>LUZIÂNIA</v>
      </c>
      <c r="G289" t="s">
        <v>19</v>
      </c>
      <c r="H289" t="s">
        <v>19</v>
      </c>
      <c r="I289" s="1">
        <v>46003</v>
      </c>
      <c r="J289" s="1">
        <v>46003</v>
      </c>
      <c r="K289" s="1">
        <v>46003</v>
      </c>
      <c r="L289">
        <v>38</v>
      </c>
      <c r="M289">
        <v>25</v>
      </c>
      <c r="N289">
        <v>25</v>
      </c>
      <c r="O289">
        <v>0</v>
      </c>
      <c r="P289">
        <v>0</v>
      </c>
      <c r="Q289" t="s">
        <v>3343</v>
      </c>
    </row>
    <row r="290" spans="1:17">
      <c r="A290" t="s">
        <v>35</v>
      </c>
      <c r="B290" t="s">
        <v>55</v>
      </c>
      <c r="C290" t="s">
        <v>56</v>
      </c>
      <c r="D290" t="s">
        <v>3344</v>
      </c>
      <c r="E290">
        <v>4</v>
      </c>
      <c r="F290" t="str">
        <f>VLOOKUP(E290,[1]LOJA!$A:$B,2,0)</f>
        <v>ADE</v>
      </c>
      <c r="G290" t="s">
        <v>19</v>
      </c>
      <c r="H290" t="s">
        <v>19</v>
      </c>
      <c r="I290" s="1">
        <v>46003</v>
      </c>
      <c r="J290" s="1">
        <v>46003</v>
      </c>
      <c r="K290" s="1">
        <v>46003</v>
      </c>
      <c r="L290">
        <v>4</v>
      </c>
      <c r="M290">
        <v>39.86</v>
      </c>
      <c r="N290">
        <v>39.86</v>
      </c>
      <c r="O290">
        <v>0</v>
      </c>
      <c r="P290">
        <v>0</v>
      </c>
      <c r="Q290" t="s">
        <v>3345</v>
      </c>
    </row>
    <row r="291" spans="1:17">
      <c r="A291" t="s">
        <v>35</v>
      </c>
      <c r="B291" t="s">
        <v>55</v>
      </c>
      <c r="C291" t="s">
        <v>56</v>
      </c>
      <c r="D291" t="s">
        <v>3344</v>
      </c>
      <c r="E291">
        <v>6</v>
      </c>
      <c r="F291" t="str">
        <f>VLOOKUP(E291,[1]LOJA!$A:$B,2,0)</f>
        <v>GAMA</v>
      </c>
      <c r="G291" t="s">
        <v>19</v>
      </c>
      <c r="H291" t="s">
        <v>19</v>
      </c>
      <c r="I291" s="1">
        <v>46003</v>
      </c>
      <c r="J291" s="1">
        <v>46003</v>
      </c>
      <c r="K291" s="1">
        <v>46003</v>
      </c>
      <c r="L291">
        <v>4</v>
      </c>
      <c r="M291">
        <v>39.86</v>
      </c>
      <c r="N291">
        <v>39.86</v>
      </c>
      <c r="O291">
        <v>0</v>
      </c>
      <c r="P291">
        <v>0</v>
      </c>
      <c r="Q291" t="s">
        <v>3345</v>
      </c>
    </row>
    <row r="292" spans="1:17">
      <c r="A292" t="s">
        <v>35</v>
      </c>
      <c r="B292" t="s">
        <v>55</v>
      </c>
      <c r="C292" t="s">
        <v>56</v>
      </c>
      <c r="D292" t="s">
        <v>3344</v>
      </c>
      <c r="E292">
        <v>8</v>
      </c>
      <c r="F292" t="str">
        <f>VLOOKUP(E292,[1]LOJA!$A:$B,2,0)</f>
        <v>LUZIÂNIA</v>
      </c>
      <c r="G292" t="s">
        <v>19</v>
      </c>
      <c r="H292" t="s">
        <v>19</v>
      </c>
      <c r="I292" s="1">
        <v>46003</v>
      </c>
      <c r="J292" s="1">
        <v>46003</v>
      </c>
      <c r="K292" s="1">
        <v>46003</v>
      </c>
      <c r="L292">
        <v>4</v>
      </c>
      <c r="M292">
        <v>0</v>
      </c>
      <c r="N292">
        <v>0</v>
      </c>
      <c r="O292">
        <v>0</v>
      </c>
      <c r="P292">
        <v>0</v>
      </c>
      <c r="Q292" t="s">
        <v>3345</v>
      </c>
    </row>
    <row r="293" spans="1:17">
      <c r="A293" t="s">
        <v>35</v>
      </c>
      <c r="B293" t="s">
        <v>55</v>
      </c>
      <c r="C293" t="s">
        <v>56</v>
      </c>
      <c r="D293" t="s">
        <v>3344</v>
      </c>
      <c r="E293">
        <v>12</v>
      </c>
      <c r="F293" t="str">
        <f>VLOOKUP(E293,[1]LOJA!$A:$B,2,0)</f>
        <v>SOFNORTE</v>
      </c>
      <c r="G293" t="s">
        <v>19</v>
      </c>
      <c r="H293" t="s">
        <v>19</v>
      </c>
      <c r="I293" s="1">
        <v>46003</v>
      </c>
      <c r="J293" s="1">
        <v>46003</v>
      </c>
      <c r="K293" s="1">
        <v>46003</v>
      </c>
      <c r="L293">
        <v>4</v>
      </c>
      <c r="M293">
        <v>39.86</v>
      </c>
      <c r="N293">
        <v>39.86</v>
      </c>
      <c r="O293">
        <v>0</v>
      </c>
      <c r="P293">
        <v>0</v>
      </c>
      <c r="Q293" t="s">
        <v>3345</v>
      </c>
    </row>
    <row r="294" spans="1:17">
      <c r="A294" t="s">
        <v>35</v>
      </c>
      <c r="B294" t="s">
        <v>55</v>
      </c>
      <c r="C294" t="s">
        <v>56</v>
      </c>
      <c r="D294" t="s">
        <v>3344</v>
      </c>
      <c r="E294">
        <v>13</v>
      </c>
      <c r="F294" t="str">
        <f>VLOOKUP(E294,[1]LOJA!$A:$B,2,0)</f>
        <v>CEILÂNDIA</v>
      </c>
      <c r="G294" t="s">
        <v>19</v>
      </c>
      <c r="H294" t="s">
        <v>19</v>
      </c>
      <c r="I294" s="1">
        <v>46003</v>
      </c>
      <c r="J294" s="1">
        <v>46003</v>
      </c>
      <c r="K294" s="1">
        <v>46003</v>
      </c>
      <c r="L294">
        <v>4</v>
      </c>
      <c r="M294">
        <v>39.86</v>
      </c>
      <c r="N294">
        <v>39.86</v>
      </c>
      <c r="O294">
        <v>0</v>
      </c>
      <c r="P294">
        <v>0</v>
      </c>
      <c r="Q294" t="s">
        <v>3345</v>
      </c>
    </row>
    <row r="295" spans="1:17">
      <c r="A295" t="s">
        <v>35</v>
      </c>
      <c r="B295" t="s">
        <v>55</v>
      </c>
      <c r="C295" t="s">
        <v>56</v>
      </c>
      <c r="D295" t="s">
        <v>3344</v>
      </c>
      <c r="E295">
        <v>14</v>
      </c>
      <c r="F295" t="str">
        <f>VLOOKUP(E295,[1]LOJA!$A:$B,2,0)</f>
        <v>S IA</v>
      </c>
      <c r="G295" t="s">
        <v>19</v>
      </c>
      <c r="H295" t="s">
        <v>19</v>
      </c>
      <c r="I295" s="1">
        <v>46003</v>
      </c>
      <c r="J295" s="1">
        <v>46003</v>
      </c>
      <c r="K295" s="1">
        <v>46003</v>
      </c>
      <c r="L295">
        <v>4</v>
      </c>
      <c r="M295">
        <v>39.86</v>
      </c>
      <c r="N295">
        <v>39.86</v>
      </c>
      <c r="O295">
        <v>0</v>
      </c>
      <c r="P295">
        <v>0</v>
      </c>
      <c r="Q295" t="s">
        <v>3345</v>
      </c>
    </row>
    <row r="296" spans="1:17">
      <c r="A296" t="s">
        <v>35</v>
      </c>
      <c r="B296" t="s">
        <v>55</v>
      </c>
      <c r="C296" t="s">
        <v>56</v>
      </c>
      <c r="D296" t="s">
        <v>3344</v>
      </c>
      <c r="E296">
        <v>15</v>
      </c>
      <c r="F296" t="str">
        <f>VLOOKUP(E296,[1]LOJA!$A:$B,2,0)</f>
        <v>UNAÍ</v>
      </c>
      <c r="G296" t="s">
        <v>19</v>
      </c>
      <c r="H296" t="s">
        <v>19</v>
      </c>
      <c r="I296" s="1">
        <v>46003</v>
      </c>
      <c r="J296" s="1">
        <v>46003</v>
      </c>
      <c r="K296" s="1">
        <v>46003</v>
      </c>
      <c r="L296">
        <v>4</v>
      </c>
      <c r="M296">
        <v>39.86</v>
      </c>
      <c r="N296">
        <v>39.86</v>
      </c>
      <c r="O296">
        <v>0</v>
      </c>
      <c r="P296">
        <v>0</v>
      </c>
      <c r="Q296" t="s">
        <v>3345</v>
      </c>
    </row>
    <row r="297" spans="1:17">
      <c r="A297" t="s">
        <v>35</v>
      </c>
      <c r="B297" t="s">
        <v>55</v>
      </c>
      <c r="C297" t="s">
        <v>56</v>
      </c>
      <c r="D297" t="s">
        <v>3344</v>
      </c>
      <c r="E297">
        <v>16</v>
      </c>
      <c r="F297" t="str">
        <f>VLOOKUP(E297,[1]LOJA!$A:$B,2,0)</f>
        <v>AG LINDAS</v>
      </c>
      <c r="G297" t="s">
        <v>19</v>
      </c>
      <c r="H297" t="s">
        <v>19</v>
      </c>
      <c r="I297" s="1">
        <v>46003</v>
      </c>
      <c r="J297" s="1">
        <v>46003</v>
      </c>
      <c r="K297" s="1">
        <v>46003</v>
      </c>
      <c r="L297">
        <v>4</v>
      </c>
      <c r="M297">
        <v>39.86</v>
      </c>
      <c r="N297">
        <v>39.86</v>
      </c>
      <c r="O297">
        <v>0</v>
      </c>
      <c r="P297">
        <v>0</v>
      </c>
      <c r="Q297" t="s">
        <v>3345</v>
      </c>
    </row>
    <row r="298" spans="1:17">
      <c r="A298" t="s">
        <v>35</v>
      </c>
      <c r="B298" t="s">
        <v>55</v>
      </c>
      <c r="C298" t="s">
        <v>56</v>
      </c>
      <c r="D298" t="s">
        <v>3344</v>
      </c>
      <c r="E298">
        <v>20</v>
      </c>
      <c r="F298" t="str">
        <f>VLOOKUP(E298,[1]LOJA!$A:$B,2,0)</f>
        <v>DAUTO SERVIÇOS</v>
      </c>
      <c r="G298" t="s">
        <v>19</v>
      </c>
      <c r="H298" t="s">
        <v>19</v>
      </c>
      <c r="I298" s="1">
        <v>46003</v>
      </c>
      <c r="J298" s="1">
        <v>46003</v>
      </c>
      <c r="K298" s="1">
        <v>46003</v>
      </c>
      <c r="L298">
        <v>4</v>
      </c>
      <c r="M298">
        <v>0</v>
      </c>
      <c r="N298">
        <v>0</v>
      </c>
      <c r="O298">
        <v>0</v>
      </c>
      <c r="P298">
        <v>0</v>
      </c>
      <c r="Q298" t="s">
        <v>3345</v>
      </c>
    </row>
    <row r="299" spans="1:17">
      <c r="A299" t="s">
        <v>35</v>
      </c>
      <c r="B299" t="s">
        <v>55</v>
      </c>
      <c r="C299" t="s">
        <v>56</v>
      </c>
      <c r="D299" t="s">
        <v>3344</v>
      </c>
      <c r="E299">
        <v>22</v>
      </c>
      <c r="F299" t="str">
        <f>VLOOKUP(E299,[1]LOJA!$A:$B,2,0)</f>
        <v>GUARÁ</v>
      </c>
      <c r="G299" t="s">
        <v>19</v>
      </c>
      <c r="H299" t="s">
        <v>19</v>
      </c>
      <c r="I299" s="1">
        <v>46003</v>
      </c>
      <c r="J299" s="1">
        <v>46003</v>
      </c>
      <c r="K299" s="1">
        <v>46003</v>
      </c>
      <c r="L299">
        <v>4</v>
      </c>
      <c r="M299">
        <v>39.86</v>
      </c>
      <c r="N299">
        <v>39.86</v>
      </c>
      <c r="O299">
        <v>0</v>
      </c>
      <c r="P299">
        <v>0</v>
      </c>
      <c r="Q299" t="s">
        <v>3345</v>
      </c>
    </row>
    <row r="300" spans="1:17">
      <c r="A300" t="s">
        <v>35</v>
      </c>
      <c r="B300" t="s">
        <v>55</v>
      </c>
      <c r="C300" t="s">
        <v>56</v>
      </c>
      <c r="D300" t="s">
        <v>3344</v>
      </c>
      <c r="E300">
        <v>24</v>
      </c>
      <c r="F300" t="str">
        <f>VLOOKUP(E300,[1]LOJA!$A:$B,2,0)</f>
        <v>LUZIÂNIA</v>
      </c>
      <c r="G300" t="s">
        <v>19</v>
      </c>
      <c r="H300" t="s">
        <v>19</v>
      </c>
      <c r="I300" s="1">
        <v>46003</v>
      </c>
      <c r="J300" s="1">
        <v>46003</v>
      </c>
      <c r="K300" s="1">
        <v>46003</v>
      </c>
      <c r="L300">
        <v>4</v>
      </c>
      <c r="M300">
        <v>39.840000000000003</v>
      </c>
      <c r="N300">
        <v>39.840000000000003</v>
      </c>
      <c r="O300">
        <v>0</v>
      </c>
      <c r="P300">
        <v>0</v>
      </c>
      <c r="Q300" t="s">
        <v>3345</v>
      </c>
    </row>
    <row r="301" spans="1:17">
      <c r="A301" t="s">
        <v>35</v>
      </c>
      <c r="B301" t="s">
        <v>55</v>
      </c>
      <c r="C301" t="s">
        <v>56</v>
      </c>
      <c r="D301" t="s">
        <v>3346</v>
      </c>
      <c r="E301">
        <v>4</v>
      </c>
      <c r="F301" t="str">
        <f>VLOOKUP(E301,[1]LOJA!$A:$B,2,0)</f>
        <v>ADE</v>
      </c>
      <c r="G301" t="s">
        <v>19</v>
      </c>
      <c r="H301" t="s">
        <v>19</v>
      </c>
      <c r="I301" s="1">
        <v>46006</v>
      </c>
      <c r="J301" s="1">
        <v>46006</v>
      </c>
      <c r="K301" s="1">
        <v>46006</v>
      </c>
      <c r="L301">
        <v>4</v>
      </c>
      <c r="M301">
        <v>27.52</v>
      </c>
      <c r="N301">
        <v>27.52</v>
      </c>
      <c r="O301">
        <v>0</v>
      </c>
      <c r="P301">
        <v>0</v>
      </c>
      <c r="Q301" t="s">
        <v>3347</v>
      </c>
    </row>
    <row r="302" spans="1:17">
      <c r="A302" t="s">
        <v>35</v>
      </c>
      <c r="B302" t="s">
        <v>55</v>
      </c>
      <c r="C302" t="s">
        <v>56</v>
      </c>
      <c r="D302" t="s">
        <v>3346</v>
      </c>
      <c r="E302">
        <v>6</v>
      </c>
      <c r="F302" t="str">
        <f>VLOOKUP(E302,[1]LOJA!$A:$B,2,0)</f>
        <v>GAMA</v>
      </c>
      <c r="G302" t="s">
        <v>19</v>
      </c>
      <c r="H302" t="s">
        <v>19</v>
      </c>
      <c r="I302" s="1">
        <v>46006</v>
      </c>
      <c r="J302" s="1">
        <v>46006</v>
      </c>
      <c r="K302" s="1">
        <v>46006</v>
      </c>
      <c r="L302">
        <v>4</v>
      </c>
      <c r="M302">
        <v>27.52</v>
      </c>
      <c r="N302">
        <v>27.52</v>
      </c>
      <c r="O302">
        <v>0</v>
      </c>
      <c r="P302">
        <v>0</v>
      </c>
      <c r="Q302" t="s">
        <v>3347</v>
      </c>
    </row>
    <row r="303" spans="1:17">
      <c r="A303" t="s">
        <v>35</v>
      </c>
      <c r="B303" t="s">
        <v>55</v>
      </c>
      <c r="C303" t="s">
        <v>56</v>
      </c>
      <c r="D303" t="s">
        <v>3346</v>
      </c>
      <c r="E303">
        <v>8</v>
      </c>
      <c r="F303" t="str">
        <f>VLOOKUP(E303,[1]LOJA!$A:$B,2,0)</f>
        <v>LUZIÂNIA</v>
      </c>
      <c r="G303" t="s">
        <v>19</v>
      </c>
      <c r="H303" t="s">
        <v>19</v>
      </c>
      <c r="I303" s="1">
        <v>46006</v>
      </c>
      <c r="J303" s="1">
        <v>46006</v>
      </c>
      <c r="K303" s="1">
        <v>46006</v>
      </c>
      <c r="L303">
        <v>4</v>
      </c>
      <c r="M303">
        <v>0</v>
      </c>
      <c r="N303">
        <v>0</v>
      </c>
      <c r="O303">
        <v>0</v>
      </c>
      <c r="P303">
        <v>0</v>
      </c>
      <c r="Q303" t="s">
        <v>3347</v>
      </c>
    </row>
    <row r="304" spans="1:17">
      <c r="A304" t="s">
        <v>35</v>
      </c>
      <c r="B304" t="s">
        <v>55</v>
      </c>
      <c r="C304" t="s">
        <v>56</v>
      </c>
      <c r="D304" t="s">
        <v>3346</v>
      </c>
      <c r="E304">
        <v>12</v>
      </c>
      <c r="F304" t="str">
        <f>VLOOKUP(E304,[1]LOJA!$A:$B,2,0)</f>
        <v>SOFNORTE</v>
      </c>
      <c r="G304" t="s">
        <v>19</v>
      </c>
      <c r="H304" t="s">
        <v>19</v>
      </c>
      <c r="I304" s="1">
        <v>46006</v>
      </c>
      <c r="J304" s="1">
        <v>46006</v>
      </c>
      <c r="K304" s="1">
        <v>46006</v>
      </c>
      <c r="L304">
        <v>4</v>
      </c>
      <c r="M304">
        <v>27.52</v>
      </c>
      <c r="N304">
        <v>27.52</v>
      </c>
      <c r="O304">
        <v>0</v>
      </c>
      <c r="P304">
        <v>0</v>
      </c>
      <c r="Q304" t="s">
        <v>3347</v>
      </c>
    </row>
    <row r="305" spans="1:17">
      <c r="A305" t="s">
        <v>35</v>
      </c>
      <c r="B305" t="s">
        <v>55</v>
      </c>
      <c r="C305" t="s">
        <v>56</v>
      </c>
      <c r="D305" t="s">
        <v>3346</v>
      </c>
      <c r="E305">
        <v>13</v>
      </c>
      <c r="F305" t="str">
        <f>VLOOKUP(E305,[1]LOJA!$A:$B,2,0)</f>
        <v>CEILÂNDIA</v>
      </c>
      <c r="G305" t="s">
        <v>19</v>
      </c>
      <c r="H305" t="s">
        <v>19</v>
      </c>
      <c r="I305" s="1">
        <v>46006</v>
      </c>
      <c r="J305" s="1">
        <v>46006</v>
      </c>
      <c r="K305" s="1">
        <v>46006</v>
      </c>
      <c r="L305">
        <v>4</v>
      </c>
      <c r="M305">
        <v>27.52</v>
      </c>
      <c r="N305">
        <v>27.52</v>
      </c>
      <c r="O305">
        <v>0</v>
      </c>
      <c r="P305">
        <v>0</v>
      </c>
      <c r="Q305" t="s">
        <v>3347</v>
      </c>
    </row>
    <row r="306" spans="1:17">
      <c r="A306" t="s">
        <v>35</v>
      </c>
      <c r="B306" t="s">
        <v>55</v>
      </c>
      <c r="C306" t="s">
        <v>56</v>
      </c>
      <c r="D306" t="s">
        <v>3346</v>
      </c>
      <c r="E306">
        <v>14</v>
      </c>
      <c r="F306" t="str">
        <f>VLOOKUP(E306,[1]LOJA!$A:$B,2,0)</f>
        <v>S IA</v>
      </c>
      <c r="G306" t="s">
        <v>19</v>
      </c>
      <c r="H306" t="s">
        <v>19</v>
      </c>
      <c r="I306" s="1">
        <v>46006</v>
      </c>
      <c r="J306" s="1">
        <v>46006</v>
      </c>
      <c r="K306" s="1">
        <v>46006</v>
      </c>
      <c r="L306">
        <v>4</v>
      </c>
      <c r="M306">
        <v>27.52</v>
      </c>
      <c r="N306">
        <v>27.52</v>
      </c>
      <c r="O306">
        <v>0</v>
      </c>
      <c r="P306">
        <v>0</v>
      </c>
      <c r="Q306" t="s">
        <v>3347</v>
      </c>
    </row>
    <row r="307" spans="1:17">
      <c r="A307" t="s">
        <v>35</v>
      </c>
      <c r="B307" t="s">
        <v>55</v>
      </c>
      <c r="C307" t="s">
        <v>56</v>
      </c>
      <c r="D307" t="s">
        <v>3346</v>
      </c>
      <c r="E307">
        <v>15</v>
      </c>
      <c r="F307" t="str">
        <f>VLOOKUP(E307,[1]LOJA!$A:$B,2,0)</f>
        <v>UNAÍ</v>
      </c>
      <c r="G307" t="s">
        <v>19</v>
      </c>
      <c r="H307" t="s">
        <v>19</v>
      </c>
      <c r="I307" s="1">
        <v>46006</v>
      </c>
      <c r="J307" s="1">
        <v>46006</v>
      </c>
      <c r="K307" s="1">
        <v>46006</v>
      </c>
      <c r="L307">
        <v>4</v>
      </c>
      <c r="M307">
        <v>27.52</v>
      </c>
      <c r="N307">
        <v>27.52</v>
      </c>
      <c r="O307">
        <v>0</v>
      </c>
      <c r="P307">
        <v>0</v>
      </c>
      <c r="Q307" t="s">
        <v>3347</v>
      </c>
    </row>
    <row r="308" spans="1:17">
      <c r="A308" t="s">
        <v>35</v>
      </c>
      <c r="B308" t="s">
        <v>55</v>
      </c>
      <c r="C308" t="s">
        <v>56</v>
      </c>
      <c r="D308" t="s">
        <v>3346</v>
      </c>
      <c r="E308">
        <v>16</v>
      </c>
      <c r="F308" t="str">
        <f>VLOOKUP(E308,[1]LOJA!$A:$B,2,0)</f>
        <v>AG LINDAS</v>
      </c>
      <c r="G308" t="s">
        <v>19</v>
      </c>
      <c r="H308" t="s">
        <v>19</v>
      </c>
      <c r="I308" s="1">
        <v>46006</v>
      </c>
      <c r="J308" s="1">
        <v>46006</v>
      </c>
      <c r="K308" s="1">
        <v>46006</v>
      </c>
      <c r="L308">
        <v>4</v>
      </c>
      <c r="M308">
        <v>27.52</v>
      </c>
      <c r="N308">
        <v>27.52</v>
      </c>
      <c r="O308">
        <v>0</v>
      </c>
      <c r="P308">
        <v>0</v>
      </c>
      <c r="Q308" t="s">
        <v>3347</v>
      </c>
    </row>
    <row r="309" spans="1:17">
      <c r="A309" t="s">
        <v>35</v>
      </c>
      <c r="B309" t="s">
        <v>55</v>
      </c>
      <c r="C309" t="s">
        <v>56</v>
      </c>
      <c r="D309" t="s">
        <v>3346</v>
      </c>
      <c r="E309">
        <v>20</v>
      </c>
      <c r="F309" t="str">
        <f>VLOOKUP(E309,[1]LOJA!$A:$B,2,0)</f>
        <v>DAUTO SERVIÇOS</v>
      </c>
      <c r="G309" t="s">
        <v>19</v>
      </c>
      <c r="H309" t="s">
        <v>19</v>
      </c>
      <c r="I309" s="1">
        <v>46006</v>
      </c>
      <c r="J309" s="1">
        <v>46006</v>
      </c>
      <c r="K309" s="1">
        <v>46006</v>
      </c>
      <c r="L309">
        <v>4</v>
      </c>
      <c r="M309">
        <v>0</v>
      </c>
      <c r="N309">
        <v>0</v>
      </c>
      <c r="O309">
        <v>0</v>
      </c>
      <c r="P309">
        <v>0</v>
      </c>
      <c r="Q309" t="s">
        <v>3347</v>
      </c>
    </row>
    <row r="310" spans="1:17">
      <c r="A310" t="s">
        <v>35</v>
      </c>
      <c r="B310" t="s">
        <v>55</v>
      </c>
      <c r="C310" t="s">
        <v>56</v>
      </c>
      <c r="D310" t="s">
        <v>3346</v>
      </c>
      <c r="E310">
        <v>22</v>
      </c>
      <c r="F310" t="str">
        <f>VLOOKUP(E310,[1]LOJA!$A:$B,2,0)</f>
        <v>GUARÁ</v>
      </c>
      <c r="G310" t="s">
        <v>19</v>
      </c>
      <c r="H310" t="s">
        <v>19</v>
      </c>
      <c r="I310" s="1">
        <v>46006</v>
      </c>
      <c r="J310" s="1">
        <v>46006</v>
      </c>
      <c r="K310" s="1">
        <v>46006</v>
      </c>
      <c r="L310">
        <v>4</v>
      </c>
      <c r="M310">
        <v>27.52</v>
      </c>
      <c r="N310">
        <v>27.52</v>
      </c>
      <c r="O310">
        <v>0</v>
      </c>
      <c r="P310">
        <v>0</v>
      </c>
      <c r="Q310" t="s">
        <v>3347</v>
      </c>
    </row>
    <row r="311" spans="1:17">
      <c r="A311" t="s">
        <v>35</v>
      </c>
      <c r="B311" t="s">
        <v>55</v>
      </c>
      <c r="C311" t="s">
        <v>56</v>
      </c>
      <c r="D311" t="s">
        <v>3346</v>
      </c>
      <c r="E311">
        <v>24</v>
      </c>
      <c r="F311" t="str">
        <f>VLOOKUP(E311,[1]LOJA!$A:$B,2,0)</f>
        <v>LUZIÂNIA</v>
      </c>
      <c r="G311" t="s">
        <v>19</v>
      </c>
      <c r="H311" t="s">
        <v>19</v>
      </c>
      <c r="I311" s="1">
        <v>46006</v>
      </c>
      <c r="J311" s="1">
        <v>46006</v>
      </c>
      <c r="K311" s="1">
        <v>46006</v>
      </c>
      <c r="L311">
        <v>4</v>
      </c>
      <c r="M311">
        <v>27.55</v>
      </c>
      <c r="N311">
        <v>27.55</v>
      </c>
      <c r="O311">
        <v>0</v>
      </c>
      <c r="P311">
        <v>0</v>
      </c>
      <c r="Q311" t="s">
        <v>3347</v>
      </c>
    </row>
    <row r="312" spans="1:17">
      <c r="A312" t="s">
        <v>35</v>
      </c>
      <c r="B312" t="s">
        <v>55</v>
      </c>
      <c r="C312" t="s">
        <v>56</v>
      </c>
      <c r="D312" t="s">
        <v>3348</v>
      </c>
      <c r="E312">
        <v>4</v>
      </c>
      <c r="F312" t="str">
        <f>VLOOKUP(E312,[1]LOJA!$A:$B,2,0)</f>
        <v>ADE</v>
      </c>
      <c r="G312" t="s">
        <v>19</v>
      </c>
      <c r="H312" t="s">
        <v>19</v>
      </c>
      <c r="I312" s="1">
        <v>46002</v>
      </c>
      <c r="J312" s="1">
        <v>46002</v>
      </c>
      <c r="K312" s="1">
        <v>46002</v>
      </c>
      <c r="L312">
        <v>38</v>
      </c>
      <c r="M312">
        <v>25</v>
      </c>
      <c r="N312">
        <v>25</v>
      </c>
      <c r="O312">
        <v>0</v>
      </c>
      <c r="P312">
        <v>0</v>
      </c>
      <c r="Q312" t="s">
        <v>3349</v>
      </c>
    </row>
    <row r="313" spans="1:17">
      <c r="A313" t="s">
        <v>35</v>
      </c>
      <c r="B313" t="s">
        <v>55</v>
      </c>
      <c r="C313" t="s">
        <v>56</v>
      </c>
      <c r="D313" t="s">
        <v>3348</v>
      </c>
      <c r="E313">
        <v>6</v>
      </c>
      <c r="F313" t="str">
        <f>VLOOKUP(E313,[1]LOJA!$A:$B,2,0)</f>
        <v>GAMA</v>
      </c>
      <c r="G313" t="s">
        <v>19</v>
      </c>
      <c r="H313" t="s">
        <v>19</v>
      </c>
      <c r="I313" s="1">
        <v>46002</v>
      </c>
      <c r="J313" s="1">
        <v>46002</v>
      </c>
      <c r="K313" s="1">
        <v>46002</v>
      </c>
      <c r="L313">
        <v>38</v>
      </c>
      <c r="M313">
        <v>25</v>
      </c>
      <c r="N313">
        <v>25</v>
      </c>
      <c r="O313">
        <v>0</v>
      </c>
      <c r="P313">
        <v>0</v>
      </c>
      <c r="Q313" t="s">
        <v>3349</v>
      </c>
    </row>
    <row r="314" spans="1:17">
      <c r="A314" t="s">
        <v>35</v>
      </c>
      <c r="B314" t="s">
        <v>55</v>
      </c>
      <c r="C314" t="s">
        <v>56</v>
      </c>
      <c r="D314" t="s">
        <v>3348</v>
      </c>
      <c r="E314">
        <v>8</v>
      </c>
      <c r="F314" t="str">
        <f>VLOOKUP(E314,[1]LOJA!$A:$B,2,0)</f>
        <v>LUZIÂNIA</v>
      </c>
      <c r="G314" t="s">
        <v>19</v>
      </c>
      <c r="H314" t="s">
        <v>19</v>
      </c>
      <c r="I314" s="1">
        <v>46002</v>
      </c>
      <c r="J314" s="1">
        <v>46002</v>
      </c>
      <c r="K314" s="1">
        <v>46002</v>
      </c>
      <c r="L314">
        <v>38</v>
      </c>
      <c r="M314">
        <v>0</v>
      </c>
      <c r="N314">
        <v>0</v>
      </c>
      <c r="O314">
        <v>0</v>
      </c>
      <c r="P314">
        <v>0</v>
      </c>
      <c r="Q314" t="s">
        <v>3349</v>
      </c>
    </row>
    <row r="315" spans="1:17">
      <c r="A315" t="s">
        <v>35</v>
      </c>
      <c r="B315" t="s">
        <v>55</v>
      </c>
      <c r="C315" t="s">
        <v>56</v>
      </c>
      <c r="D315" t="s">
        <v>3348</v>
      </c>
      <c r="E315">
        <v>12</v>
      </c>
      <c r="F315" t="str">
        <f>VLOOKUP(E315,[1]LOJA!$A:$B,2,0)</f>
        <v>SOFNORTE</v>
      </c>
      <c r="G315" t="s">
        <v>19</v>
      </c>
      <c r="H315" t="s">
        <v>19</v>
      </c>
      <c r="I315" s="1">
        <v>46002</v>
      </c>
      <c r="J315" s="1">
        <v>46002</v>
      </c>
      <c r="K315" s="1">
        <v>46002</v>
      </c>
      <c r="L315">
        <v>38</v>
      </c>
      <c r="M315">
        <v>25</v>
      </c>
      <c r="N315">
        <v>25</v>
      </c>
      <c r="O315">
        <v>0</v>
      </c>
      <c r="P315">
        <v>0</v>
      </c>
      <c r="Q315" t="s">
        <v>3349</v>
      </c>
    </row>
    <row r="316" spans="1:17">
      <c r="A316" t="s">
        <v>35</v>
      </c>
      <c r="B316" t="s">
        <v>55</v>
      </c>
      <c r="C316" t="s">
        <v>56</v>
      </c>
      <c r="D316" t="s">
        <v>3348</v>
      </c>
      <c r="E316">
        <v>13</v>
      </c>
      <c r="F316" t="str">
        <f>VLOOKUP(E316,[1]LOJA!$A:$B,2,0)</f>
        <v>CEILÂNDIA</v>
      </c>
      <c r="G316" t="s">
        <v>19</v>
      </c>
      <c r="H316" t="s">
        <v>19</v>
      </c>
      <c r="I316" s="1">
        <v>46002</v>
      </c>
      <c r="J316" s="1">
        <v>46002</v>
      </c>
      <c r="K316" s="1">
        <v>46002</v>
      </c>
      <c r="L316">
        <v>38</v>
      </c>
      <c r="M316">
        <v>25</v>
      </c>
      <c r="N316">
        <v>25</v>
      </c>
      <c r="O316">
        <v>0</v>
      </c>
      <c r="P316">
        <v>0</v>
      </c>
      <c r="Q316" t="s">
        <v>3349</v>
      </c>
    </row>
    <row r="317" spans="1:17">
      <c r="A317" t="s">
        <v>35</v>
      </c>
      <c r="B317" t="s">
        <v>55</v>
      </c>
      <c r="C317" t="s">
        <v>56</v>
      </c>
      <c r="D317" t="s">
        <v>3348</v>
      </c>
      <c r="E317">
        <v>14</v>
      </c>
      <c r="F317" t="str">
        <f>VLOOKUP(E317,[1]LOJA!$A:$B,2,0)</f>
        <v>S IA</v>
      </c>
      <c r="G317" t="s">
        <v>19</v>
      </c>
      <c r="H317" t="s">
        <v>19</v>
      </c>
      <c r="I317" s="1">
        <v>46002</v>
      </c>
      <c r="J317" s="1">
        <v>46002</v>
      </c>
      <c r="K317" s="1">
        <v>46002</v>
      </c>
      <c r="L317">
        <v>38</v>
      </c>
      <c r="M317">
        <v>25</v>
      </c>
      <c r="N317">
        <v>25</v>
      </c>
      <c r="O317">
        <v>0</v>
      </c>
      <c r="P317">
        <v>0</v>
      </c>
      <c r="Q317" t="s">
        <v>3349</v>
      </c>
    </row>
    <row r="318" spans="1:17">
      <c r="A318" t="s">
        <v>35</v>
      </c>
      <c r="B318" t="s">
        <v>55</v>
      </c>
      <c r="C318" t="s">
        <v>56</v>
      </c>
      <c r="D318" t="s">
        <v>3348</v>
      </c>
      <c r="E318">
        <v>15</v>
      </c>
      <c r="F318" t="str">
        <f>VLOOKUP(E318,[1]LOJA!$A:$B,2,0)</f>
        <v>UNAÍ</v>
      </c>
      <c r="G318" t="s">
        <v>19</v>
      </c>
      <c r="H318" t="s">
        <v>19</v>
      </c>
      <c r="I318" s="1">
        <v>46002</v>
      </c>
      <c r="J318" s="1">
        <v>46002</v>
      </c>
      <c r="K318" s="1">
        <v>46002</v>
      </c>
      <c r="L318">
        <v>38</v>
      </c>
      <c r="M318">
        <v>25</v>
      </c>
      <c r="N318">
        <v>25</v>
      </c>
      <c r="O318">
        <v>0</v>
      </c>
      <c r="P318">
        <v>0</v>
      </c>
      <c r="Q318" t="s">
        <v>3349</v>
      </c>
    </row>
    <row r="319" spans="1:17">
      <c r="A319" t="s">
        <v>35</v>
      </c>
      <c r="B319" t="s">
        <v>55</v>
      </c>
      <c r="C319" t="s">
        <v>56</v>
      </c>
      <c r="D319" t="s">
        <v>3348</v>
      </c>
      <c r="E319">
        <v>16</v>
      </c>
      <c r="F319" t="str">
        <f>VLOOKUP(E319,[1]LOJA!$A:$B,2,0)</f>
        <v>AG LINDAS</v>
      </c>
      <c r="G319" t="s">
        <v>19</v>
      </c>
      <c r="H319" t="s">
        <v>19</v>
      </c>
      <c r="I319" s="1">
        <v>46002</v>
      </c>
      <c r="J319" s="1">
        <v>46002</v>
      </c>
      <c r="K319" s="1">
        <v>46002</v>
      </c>
      <c r="L319">
        <v>38</v>
      </c>
      <c r="M319">
        <v>25</v>
      </c>
      <c r="N319">
        <v>25</v>
      </c>
      <c r="O319">
        <v>0</v>
      </c>
      <c r="P319">
        <v>0</v>
      </c>
      <c r="Q319" t="s">
        <v>3349</v>
      </c>
    </row>
    <row r="320" spans="1:17">
      <c r="A320" t="s">
        <v>35</v>
      </c>
      <c r="B320" t="s">
        <v>55</v>
      </c>
      <c r="C320" t="s">
        <v>56</v>
      </c>
      <c r="D320" t="s">
        <v>3348</v>
      </c>
      <c r="E320">
        <v>20</v>
      </c>
      <c r="F320" t="str">
        <f>VLOOKUP(E320,[1]LOJA!$A:$B,2,0)</f>
        <v>DAUTO SERVIÇOS</v>
      </c>
      <c r="G320" t="s">
        <v>19</v>
      </c>
      <c r="H320" t="s">
        <v>19</v>
      </c>
      <c r="I320" s="1">
        <v>46002</v>
      </c>
      <c r="J320" s="1">
        <v>46002</v>
      </c>
      <c r="K320" s="1">
        <v>46002</v>
      </c>
      <c r="L320">
        <v>38</v>
      </c>
      <c r="M320">
        <v>0</v>
      </c>
      <c r="N320">
        <v>0</v>
      </c>
      <c r="O320">
        <v>0</v>
      </c>
      <c r="P320">
        <v>0</v>
      </c>
      <c r="Q320" t="s">
        <v>3349</v>
      </c>
    </row>
    <row r="321" spans="1:17">
      <c r="A321" t="s">
        <v>35</v>
      </c>
      <c r="B321" t="s">
        <v>55</v>
      </c>
      <c r="C321" t="s">
        <v>56</v>
      </c>
      <c r="D321" t="s">
        <v>3348</v>
      </c>
      <c r="E321">
        <v>22</v>
      </c>
      <c r="F321" t="str">
        <f>VLOOKUP(E321,[1]LOJA!$A:$B,2,0)</f>
        <v>GUARÁ</v>
      </c>
      <c r="G321" t="s">
        <v>19</v>
      </c>
      <c r="H321" t="s">
        <v>19</v>
      </c>
      <c r="I321" s="1">
        <v>46002</v>
      </c>
      <c r="J321" s="1">
        <v>46002</v>
      </c>
      <c r="K321" s="1">
        <v>46002</v>
      </c>
      <c r="L321">
        <v>38</v>
      </c>
      <c r="M321">
        <v>25</v>
      </c>
      <c r="N321">
        <v>25</v>
      </c>
      <c r="O321">
        <v>0</v>
      </c>
      <c r="P321">
        <v>0</v>
      </c>
      <c r="Q321" t="s">
        <v>3349</v>
      </c>
    </row>
    <row r="322" spans="1:17">
      <c r="A322" t="s">
        <v>35</v>
      </c>
      <c r="B322" t="s">
        <v>55</v>
      </c>
      <c r="C322" t="s">
        <v>56</v>
      </c>
      <c r="D322" t="s">
        <v>3348</v>
      </c>
      <c r="E322">
        <v>24</v>
      </c>
      <c r="F322" t="str">
        <f>VLOOKUP(E322,[1]LOJA!$A:$B,2,0)</f>
        <v>LUZIÂNIA</v>
      </c>
      <c r="G322" t="s">
        <v>19</v>
      </c>
      <c r="H322" t="s">
        <v>19</v>
      </c>
      <c r="I322" s="1">
        <v>46002</v>
      </c>
      <c r="J322" s="1">
        <v>46002</v>
      </c>
      <c r="K322" s="1">
        <v>46002</v>
      </c>
      <c r="L322">
        <v>38</v>
      </c>
      <c r="M322">
        <v>25</v>
      </c>
      <c r="N322">
        <v>25</v>
      </c>
      <c r="O322">
        <v>0</v>
      </c>
      <c r="P322">
        <v>0</v>
      </c>
      <c r="Q322" t="s">
        <v>3349</v>
      </c>
    </row>
    <row r="323" spans="1:17">
      <c r="A323" t="s">
        <v>35</v>
      </c>
      <c r="B323" t="s">
        <v>55</v>
      </c>
      <c r="C323" t="s">
        <v>56</v>
      </c>
      <c r="D323" t="s">
        <v>3350</v>
      </c>
      <c r="E323">
        <v>4</v>
      </c>
      <c r="F323" t="str">
        <f>VLOOKUP(E323,[1]LOJA!$A:$B,2,0)</f>
        <v>ADE</v>
      </c>
      <c r="G323" t="s">
        <v>19</v>
      </c>
      <c r="H323" t="s">
        <v>19</v>
      </c>
      <c r="I323" s="1">
        <v>46003</v>
      </c>
      <c r="J323" s="1">
        <v>46003</v>
      </c>
      <c r="K323" s="1">
        <v>46003</v>
      </c>
      <c r="L323">
        <v>23</v>
      </c>
      <c r="M323">
        <v>337.5</v>
      </c>
      <c r="N323">
        <v>337.5</v>
      </c>
      <c r="O323">
        <v>0</v>
      </c>
      <c r="P323">
        <v>0</v>
      </c>
      <c r="Q323" t="s">
        <v>3351</v>
      </c>
    </row>
    <row r="324" spans="1:17">
      <c r="A324" t="s">
        <v>35</v>
      </c>
      <c r="B324" t="s">
        <v>55</v>
      </c>
      <c r="C324" t="s">
        <v>56</v>
      </c>
      <c r="D324" t="s">
        <v>3350</v>
      </c>
      <c r="E324">
        <v>6</v>
      </c>
      <c r="F324" t="str">
        <f>VLOOKUP(E324,[1]LOJA!$A:$B,2,0)</f>
        <v>GAMA</v>
      </c>
      <c r="G324" t="s">
        <v>19</v>
      </c>
      <c r="H324" t="s">
        <v>19</v>
      </c>
      <c r="I324" s="1">
        <v>46003</v>
      </c>
      <c r="J324" s="1">
        <v>46003</v>
      </c>
      <c r="K324" s="1">
        <v>46003</v>
      </c>
      <c r="L324">
        <v>23</v>
      </c>
      <c r="M324">
        <v>337.5</v>
      </c>
      <c r="N324">
        <v>337.5</v>
      </c>
      <c r="O324">
        <v>0</v>
      </c>
      <c r="P324">
        <v>0</v>
      </c>
      <c r="Q324" t="s">
        <v>3351</v>
      </c>
    </row>
    <row r="325" spans="1:17">
      <c r="A325" t="s">
        <v>35</v>
      </c>
      <c r="B325" t="s">
        <v>55</v>
      </c>
      <c r="C325" t="s">
        <v>56</v>
      </c>
      <c r="D325" t="s">
        <v>3350</v>
      </c>
      <c r="E325">
        <v>8</v>
      </c>
      <c r="F325" t="str">
        <f>VLOOKUP(E325,[1]LOJA!$A:$B,2,0)</f>
        <v>LUZIÂNIA</v>
      </c>
      <c r="G325" t="s">
        <v>19</v>
      </c>
      <c r="H325" t="s">
        <v>19</v>
      </c>
      <c r="I325" s="1">
        <v>46003</v>
      </c>
      <c r="J325" s="1">
        <v>46003</v>
      </c>
      <c r="K325" s="1">
        <v>46003</v>
      </c>
      <c r="L325">
        <v>23</v>
      </c>
      <c r="M325">
        <v>0</v>
      </c>
      <c r="N325">
        <v>0</v>
      </c>
      <c r="O325">
        <v>0</v>
      </c>
      <c r="P325">
        <v>0</v>
      </c>
      <c r="Q325" t="s">
        <v>3351</v>
      </c>
    </row>
    <row r="326" spans="1:17">
      <c r="A326" t="s">
        <v>35</v>
      </c>
      <c r="B326" t="s">
        <v>55</v>
      </c>
      <c r="C326" t="s">
        <v>56</v>
      </c>
      <c r="D326" t="s">
        <v>3350</v>
      </c>
      <c r="E326">
        <v>12</v>
      </c>
      <c r="F326" t="str">
        <f>VLOOKUP(E326,[1]LOJA!$A:$B,2,0)</f>
        <v>SOFNORTE</v>
      </c>
      <c r="G326" t="s">
        <v>19</v>
      </c>
      <c r="H326" t="s">
        <v>19</v>
      </c>
      <c r="I326" s="1">
        <v>46003</v>
      </c>
      <c r="J326" s="1">
        <v>46003</v>
      </c>
      <c r="K326" s="1">
        <v>46003</v>
      </c>
      <c r="L326">
        <v>23</v>
      </c>
      <c r="M326">
        <v>337.5</v>
      </c>
      <c r="N326">
        <v>337.5</v>
      </c>
      <c r="O326">
        <v>0</v>
      </c>
      <c r="P326">
        <v>0</v>
      </c>
      <c r="Q326" t="s">
        <v>3351</v>
      </c>
    </row>
    <row r="327" spans="1:17">
      <c r="A327" t="s">
        <v>35</v>
      </c>
      <c r="B327" t="s">
        <v>55</v>
      </c>
      <c r="C327" t="s">
        <v>56</v>
      </c>
      <c r="D327" t="s">
        <v>3350</v>
      </c>
      <c r="E327">
        <v>13</v>
      </c>
      <c r="F327" t="str">
        <f>VLOOKUP(E327,[1]LOJA!$A:$B,2,0)</f>
        <v>CEILÂNDIA</v>
      </c>
      <c r="G327" t="s">
        <v>19</v>
      </c>
      <c r="H327" t="s">
        <v>19</v>
      </c>
      <c r="I327" s="1">
        <v>46003</v>
      </c>
      <c r="J327" s="1">
        <v>46003</v>
      </c>
      <c r="K327" s="1">
        <v>46003</v>
      </c>
      <c r="L327">
        <v>23</v>
      </c>
      <c r="M327">
        <v>337.5</v>
      </c>
      <c r="N327">
        <v>337.5</v>
      </c>
      <c r="O327">
        <v>0</v>
      </c>
      <c r="P327">
        <v>0</v>
      </c>
      <c r="Q327" t="s">
        <v>3351</v>
      </c>
    </row>
    <row r="328" spans="1:17">
      <c r="A328" t="s">
        <v>35</v>
      </c>
      <c r="B328" t="s">
        <v>55</v>
      </c>
      <c r="C328" t="s">
        <v>56</v>
      </c>
      <c r="D328" t="s">
        <v>3350</v>
      </c>
      <c r="E328">
        <v>14</v>
      </c>
      <c r="F328" t="str">
        <f>VLOOKUP(E328,[1]LOJA!$A:$B,2,0)</f>
        <v>S IA</v>
      </c>
      <c r="G328" t="s">
        <v>19</v>
      </c>
      <c r="H328" t="s">
        <v>19</v>
      </c>
      <c r="I328" s="1">
        <v>46003</v>
      </c>
      <c r="J328" s="1">
        <v>46003</v>
      </c>
      <c r="K328" s="1">
        <v>46003</v>
      </c>
      <c r="L328">
        <v>23</v>
      </c>
      <c r="M328">
        <v>337.5</v>
      </c>
      <c r="N328">
        <v>337.5</v>
      </c>
      <c r="O328">
        <v>0</v>
      </c>
      <c r="P328">
        <v>0</v>
      </c>
      <c r="Q328" t="s">
        <v>3351</v>
      </c>
    </row>
    <row r="329" spans="1:17">
      <c r="A329" t="s">
        <v>35</v>
      </c>
      <c r="B329" t="s">
        <v>55</v>
      </c>
      <c r="C329" t="s">
        <v>56</v>
      </c>
      <c r="D329" t="s">
        <v>3350</v>
      </c>
      <c r="E329">
        <v>15</v>
      </c>
      <c r="F329" t="str">
        <f>VLOOKUP(E329,[1]LOJA!$A:$B,2,0)</f>
        <v>UNAÍ</v>
      </c>
      <c r="G329" t="s">
        <v>19</v>
      </c>
      <c r="H329" t="s">
        <v>19</v>
      </c>
      <c r="I329" s="1">
        <v>46003</v>
      </c>
      <c r="J329" s="1">
        <v>46003</v>
      </c>
      <c r="K329" s="1">
        <v>46003</v>
      </c>
      <c r="L329">
        <v>23</v>
      </c>
      <c r="M329">
        <v>337.5</v>
      </c>
      <c r="N329">
        <v>337.5</v>
      </c>
      <c r="O329">
        <v>0</v>
      </c>
      <c r="P329">
        <v>0</v>
      </c>
      <c r="Q329" t="s">
        <v>3351</v>
      </c>
    </row>
    <row r="330" spans="1:17">
      <c r="A330" t="s">
        <v>35</v>
      </c>
      <c r="B330" t="s">
        <v>55</v>
      </c>
      <c r="C330" t="s">
        <v>56</v>
      </c>
      <c r="D330" t="s">
        <v>3350</v>
      </c>
      <c r="E330">
        <v>16</v>
      </c>
      <c r="F330" t="str">
        <f>VLOOKUP(E330,[1]LOJA!$A:$B,2,0)</f>
        <v>AG LINDAS</v>
      </c>
      <c r="G330" t="s">
        <v>19</v>
      </c>
      <c r="H330" t="s">
        <v>19</v>
      </c>
      <c r="I330" s="1">
        <v>46003</v>
      </c>
      <c r="J330" s="1">
        <v>46003</v>
      </c>
      <c r="K330" s="1">
        <v>46003</v>
      </c>
      <c r="L330">
        <v>23</v>
      </c>
      <c r="M330">
        <v>337.5</v>
      </c>
      <c r="N330">
        <v>337.5</v>
      </c>
      <c r="O330">
        <v>0</v>
      </c>
      <c r="P330">
        <v>0</v>
      </c>
      <c r="Q330" t="s">
        <v>3351</v>
      </c>
    </row>
    <row r="331" spans="1:17">
      <c r="A331" t="s">
        <v>35</v>
      </c>
      <c r="B331" t="s">
        <v>55</v>
      </c>
      <c r="C331" t="s">
        <v>56</v>
      </c>
      <c r="D331" t="s">
        <v>3350</v>
      </c>
      <c r="E331">
        <v>20</v>
      </c>
      <c r="F331" t="str">
        <f>VLOOKUP(E331,[1]LOJA!$A:$B,2,0)</f>
        <v>DAUTO SERVIÇOS</v>
      </c>
      <c r="G331" t="s">
        <v>19</v>
      </c>
      <c r="H331" t="s">
        <v>19</v>
      </c>
      <c r="I331" s="1">
        <v>46003</v>
      </c>
      <c r="J331" s="1">
        <v>46003</v>
      </c>
      <c r="K331" s="1">
        <v>46003</v>
      </c>
      <c r="L331">
        <v>23</v>
      </c>
      <c r="M331">
        <v>0</v>
      </c>
      <c r="N331">
        <v>0</v>
      </c>
      <c r="O331">
        <v>0</v>
      </c>
      <c r="P331">
        <v>0</v>
      </c>
      <c r="Q331" t="s">
        <v>3351</v>
      </c>
    </row>
    <row r="332" spans="1:17">
      <c r="A332" t="s">
        <v>35</v>
      </c>
      <c r="B332" t="s">
        <v>55</v>
      </c>
      <c r="C332" t="s">
        <v>56</v>
      </c>
      <c r="D332" t="s">
        <v>3350</v>
      </c>
      <c r="E332">
        <v>22</v>
      </c>
      <c r="F332" t="str">
        <f>VLOOKUP(E332,[1]LOJA!$A:$B,2,0)</f>
        <v>GUARÁ</v>
      </c>
      <c r="G332" t="s">
        <v>19</v>
      </c>
      <c r="H332" t="s">
        <v>19</v>
      </c>
      <c r="I332" s="1">
        <v>46003</v>
      </c>
      <c r="J332" s="1">
        <v>46003</v>
      </c>
      <c r="K332" s="1">
        <v>46003</v>
      </c>
      <c r="L332">
        <v>23</v>
      </c>
      <c r="M332">
        <v>337.5</v>
      </c>
      <c r="N332">
        <v>337.5</v>
      </c>
      <c r="O332">
        <v>0</v>
      </c>
      <c r="P332">
        <v>0</v>
      </c>
      <c r="Q332" t="s">
        <v>3351</v>
      </c>
    </row>
    <row r="333" spans="1:17">
      <c r="A333" t="s">
        <v>35</v>
      </c>
      <c r="B333" t="s">
        <v>55</v>
      </c>
      <c r="C333" t="s">
        <v>56</v>
      </c>
      <c r="D333" t="s">
        <v>3350</v>
      </c>
      <c r="E333">
        <v>24</v>
      </c>
      <c r="F333" t="str">
        <f>VLOOKUP(E333,[1]LOJA!$A:$B,2,0)</f>
        <v>LUZIÂNIA</v>
      </c>
      <c r="G333" t="s">
        <v>19</v>
      </c>
      <c r="H333" t="s">
        <v>19</v>
      </c>
      <c r="I333" s="1">
        <v>46003</v>
      </c>
      <c r="J333" s="1">
        <v>46003</v>
      </c>
      <c r="K333" s="1">
        <v>46003</v>
      </c>
      <c r="L333">
        <v>23</v>
      </c>
      <c r="M333">
        <v>337.5</v>
      </c>
      <c r="N333">
        <v>337.5</v>
      </c>
      <c r="O333">
        <v>0</v>
      </c>
      <c r="P333">
        <v>0</v>
      </c>
      <c r="Q333" t="s">
        <v>3351</v>
      </c>
    </row>
    <row r="334" spans="1:17">
      <c r="A334" t="s">
        <v>35</v>
      </c>
      <c r="B334" t="s">
        <v>55</v>
      </c>
      <c r="C334" t="s">
        <v>56</v>
      </c>
      <c r="D334" t="s">
        <v>3352</v>
      </c>
      <c r="E334">
        <v>4</v>
      </c>
      <c r="F334" t="str">
        <f>VLOOKUP(E334,[1]LOJA!$A:$B,2,0)</f>
        <v>ADE</v>
      </c>
      <c r="G334" t="s">
        <v>19</v>
      </c>
      <c r="H334" t="s">
        <v>19</v>
      </c>
      <c r="I334" s="1">
        <v>46003</v>
      </c>
      <c r="J334" s="1">
        <v>46003</v>
      </c>
      <c r="K334" s="1">
        <v>46003</v>
      </c>
      <c r="L334">
        <v>23</v>
      </c>
      <c r="M334">
        <v>42</v>
      </c>
      <c r="N334">
        <v>42</v>
      </c>
      <c r="O334">
        <v>0</v>
      </c>
      <c r="P334">
        <v>0</v>
      </c>
      <c r="Q334" t="s">
        <v>3353</v>
      </c>
    </row>
    <row r="335" spans="1:17">
      <c r="A335" t="s">
        <v>35</v>
      </c>
      <c r="B335" t="s">
        <v>55</v>
      </c>
      <c r="C335" t="s">
        <v>56</v>
      </c>
      <c r="D335" t="s">
        <v>3352</v>
      </c>
      <c r="E335">
        <v>6</v>
      </c>
      <c r="F335" t="str">
        <f>VLOOKUP(E335,[1]LOJA!$A:$B,2,0)</f>
        <v>GAMA</v>
      </c>
      <c r="G335" t="s">
        <v>19</v>
      </c>
      <c r="H335" t="s">
        <v>19</v>
      </c>
      <c r="I335" s="1">
        <v>46003</v>
      </c>
      <c r="J335" s="1">
        <v>46003</v>
      </c>
      <c r="K335" s="1">
        <v>46003</v>
      </c>
      <c r="L335">
        <v>23</v>
      </c>
      <c r="M335">
        <v>42</v>
      </c>
      <c r="N335">
        <v>42</v>
      </c>
      <c r="O335">
        <v>0</v>
      </c>
      <c r="P335">
        <v>0</v>
      </c>
      <c r="Q335" t="s">
        <v>3353</v>
      </c>
    </row>
    <row r="336" spans="1:17">
      <c r="A336" t="s">
        <v>35</v>
      </c>
      <c r="B336" t="s">
        <v>55</v>
      </c>
      <c r="C336" t="s">
        <v>56</v>
      </c>
      <c r="D336" t="s">
        <v>3352</v>
      </c>
      <c r="E336">
        <v>8</v>
      </c>
      <c r="F336" t="str">
        <f>VLOOKUP(E336,[1]LOJA!$A:$B,2,0)</f>
        <v>LUZIÂNIA</v>
      </c>
      <c r="G336" t="s">
        <v>19</v>
      </c>
      <c r="H336" t="s">
        <v>19</v>
      </c>
      <c r="I336" s="1">
        <v>46003</v>
      </c>
      <c r="J336" s="1">
        <v>46003</v>
      </c>
      <c r="K336" s="1">
        <v>46003</v>
      </c>
      <c r="L336">
        <v>23</v>
      </c>
      <c r="M336">
        <v>0</v>
      </c>
      <c r="N336">
        <v>0</v>
      </c>
      <c r="O336">
        <v>0</v>
      </c>
      <c r="P336">
        <v>0</v>
      </c>
      <c r="Q336" t="s">
        <v>3353</v>
      </c>
    </row>
    <row r="337" spans="1:17">
      <c r="A337" t="s">
        <v>35</v>
      </c>
      <c r="B337" t="s">
        <v>55</v>
      </c>
      <c r="C337" t="s">
        <v>56</v>
      </c>
      <c r="D337" t="s">
        <v>3352</v>
      </c>
      <c r="E337">
        <v>12</v>
      </c>
      <c r="F337" t="str">
        <f>VLOOKUP(E337,[1]LOJA!$A:$B,2,0)</f>
        <v>SOFNORTE</v>
      </c>
      <c r="G337" t="s">
        <v>19</v>
      </c>
      <c r="H337" t="s">
        <v>19</v>
      </c>
      <c r="I337" s="1">
        <v>46003</v>
      </c>
      <c r="J337" s="1">
        <v>46003</v>
      </c>
      <c r="K337" s="1">
        <v>46003</v>
      </c>
      <c r="L337">
        <v>23</v>
      </c>
      <c r="M337">
        <v>42</v>
      </c>
      <c r="N337">
        <v>42</v>
      </c>
      <c r="O337">
        <v>0</v>
      </c>
      <c r="P337">
        <v>0</v>
      </c>
      <c r="Q337" t="s">
        <v>3353</v>
      </c>
    </row>
    <row r="338" spans="1:17">
      <c r="A338" t="s">
        <v>35</v>
      </c>
      <c r="B338" t="s">
        <v>55</v>
      </c>
      <c r="C338" t="s">
        <v>56</v>
      </c>
      <c r="D338" t="s">
        <v>3352</v>
      </c>
      <c r="E338">
        <v>13</v>
      </c>
      <c r="F338" t="str">
        <f>VLOOKUP(E338,[1]LOJA!$A:$B,2,0)</f>
        <v>CEILÂNDIA</v>
      </c>
      <c r="G338" t="s">
        <v>19</v>
      </c>
      <c r="H338" t="s">
        <v>19</v>
      </c>
      <c r="I338" s="1">
        <v>46003</v>
      </c>
      <c r="J338" s="1">
        <v>46003</v>
      </c>
      <c r="K338" s="1">
        <v>46003</v>
      </c>
      <c r="L338">
        <v>23</v>
      </c>
      <c r="M338">
        <v>42</v>
      </c>
      <c r="N338">
        <v>42</v>
      </c>
      <c r="O338">
        <v>0</v>
      </c>
      <c r="P338">
        <v>0</v>
      </c>
      <c r="Q338" t="s">
        <v>3353</v>
      </c>
    </row>
    <row r="339" spans="1:17">
      <c r="A339" t="s">
        <v>35</v>
      </c>
      <c r="B339" t="s">
        <v>55</v>
      </c>
      <c r="C339" t="s">
        <v>56</v>
      </c>
      <c r="D339" t="s">
        <v>3352</v>
      </c>
      <c r="E339">
        <v>14</v>
      </c>
      <c r="F339" t="str">
        <f>VLOOKUP(E339,[1]LOJA!$A:$B,2,0)</f>
        <v>S IA</v>
      </c>
      <c r="G339" t="s">
        <v>19</v>
      </c>
      <c r="H339" t="s">
        <v>19</v>
      </c>
      <c r="I339" s="1">
        <v>46003</v>
      </c>
      <c r="J339" s="1">
        <v>46003</v>
      </c>
      <c r="K339" s="1">
        <v>46003</v>
      </c>
      <c r="L339">
        <v>23</v>
      </c>
      <c r="M339">
        <v>42</v>
      </c>
      <c r="N339">
        <v>42</v>
      </c>
      <c r="O339">
        <v>0</v>
      </c>
      <c r="P339">
        <v>0</v>
      </c>
      <c r="Q339" t="s">
        <v>3353</v>
      </c>
    </row>
    <row r="340" spans="1:17">
      <c r="A340" t="s">
        <v>35</v>
      </c>
      <c r="B340" t="s">
        <v>55</v>
      </c>
      <c r="C340" t="s">
        <v>56</v>
      </c>
      <c r="D340" t="s">
        <v>3352</v>
      </c>
      <c r="E340">
        <v>15</v>
      </c>
      <c r="F340" t="str">
        <f>VLOOKUP(E340,[1]LOJA!$A:$B,2,0)</f>
        <v>UNAÍ</v>
      </c>
      <c r="G340" t="s">
        <v>19</v>
      </c>
      <c r="H340" t="s">
        <v>19</v>
      </c>
      <c r="I340" s="1">
        <v>46003</v>
      </c>
      <c r="J340" s="1">
        <v>46003</v>
      </c>
      <c r="K340" s="1">
        <v>46003</v>
      </c>
      <c r="L340">
        <v>23</v>
      </c>
      <c r="M340">
        <v>42</v>
      </c>
      <c r="N340">
        <v>42</v>
      </c>
      <c r="O340">
        <v>0</v>
      </c>
      <c r="P340">
        <v>0</v>
      </c>
      <c r="Q340" t="s">
        <v>3353</v>
      </c>
    </row>
    <row r="341" spans="1:17">
      <c r="A341" t="s">
        <v>35</v>
      </c>
      <c r="B341" t="s">
        <v>55</v>
      </c>
      <c r="C341" t="s">
        <v>56</v>
      </c>
      <c r="D341" t="s">
        <v>3352</v>
      </c>
      <c r="E341">
        <v>16</v>
      </c>
      <c r="F341" t="str">
        <f>VLOOKUP(E341,[1]LOJA!$A:$B,2,0)</f>
        <v>AG LINDAS</v>
      </c>
      <c r="G341" t="s">
        <v>19</v>
      </c>
      <c r="H341" t="s">
        <v>19</v>
      </c>
      <c r="I341" s="1">
        <v>46003</v>
      </c>
      <c r="J341" s="1">
        <v>46003</v>
      </c>
      <c r="K341" s="1">
        <v>46003</v>
      </c>
      <c r="L341">
        <v>23</v>
      </c>
      <c r="M341">
        <v>42</v>
      </c>
      <c r="N341">
        <v>42</v>
      </c>
      <c r="O341">
        <v>0</v>
      </c>
      <c r="P341">
        <v>0</v>
      </c>
      <c r="Q341" t="s">
        <v>3353</v>
      </c>
    </row>
    <row r="342" spans="1:17">
      <c r="A342" t="s">
        <v>35</v>
      </c>
      <c r="B342" t="s">
        <v>55</v>
      </c>
      <c r="C342" t="s">
        <v>56</v>
      </c>
      <c r="D342" t="s">
        <v>3352</v>
      </c>
      <c r="E342">
        <v>20</v>
      </c>
      <c r="F342" t="str">
        <f>VLOOKUP(E342,[1]LOJA!$A:$B,2,0)</f>
        <v>DAUTO SERVIÇOS</v>
      </c>
      <c r="G342" t="s">
        <v>19</v>
      </c>
      <c r="H342" t="s">
        <v>19</v>
      </c>
      <c r="I342" s="1">
        <v>46003</v>
      </c>
      <c r="J342" s="1">
        <v>46003</v>
      </c>
      <c r="K342" s="1">
        <v>46003</v>
      </c>
      <c r="L342">
        <v>23</v>
      </c>
      <c r="M342">
        <v>0</v>
      </c>
      <c r="N342">
        <v>0</v>
      </c>
      <c r="O342">
        <v>0</v>
      </c>
      <c r="P342">
        <v>0</v>
      </c>
      <c r="Q342" t="s">
        <v>3353</v>
      </c>
    </row>
    <row r="343" spans="1:17">
      <c r="A343" t="s">
        <v>35</v>
      </c>
      <c r="B343" t="s">
        <v>55</v>
      </c>
      <c r="C343" t="s">
        <v>56</v>
      </c>
      <c r="D343" t="s">
        <v>3352</v>
      </c>
      <c r="E343">
        <v>22</v>
      </c>
      <c r="F343" t="str">
        <f>VLOOKUP(E343,[1]LOJA!$A:$B,2,0)</f>
        <v>GUARÁ</v>
      </c>
      <c r="G343" t="s">
        <v>19</v>
      </c>
      <c r="H343" t="s">
        <v>19</v>
      </c>
      <c r="I343" s="1">
        <v>46003</v>
      </c>
      <c r="J343" s="1">
        <v>46003</v>
      </c>
      <c r="K343" s="1">
        <v>46003</v>
      </c>
      <c r="L343">
        <v>23</v>
      </c>
      <c r="M343">
        <v>42</v>
      </c>
      <c r="N343">
        <v>42</v>
      </c>
      <c r="O343">
        <v>0</v>
      </c>
      <c r="P343">
        <v>0</v>
      </c>
      <c r="Q343" t="s">
        <v>3353</v>
      </c>
    </row>
    <row r="344" spans="1:17">
      <c r="A344" t="s">
        <v>35</v>
      </c>
      <c r="B344" t="s">
        <v>55</v>
      </c>
      <c r="C344" t="s">
        <v>56</v>
      </c>
      <c r="D344" t="s">
        <v>3352</v>
      </c>
      <c r="E344">
        <v>24</v>
      </c>
      <c r="F344" t="str">
        <f>VLOOKUP(E344,[1]LOJA!$A:$B,2,0)</f>
        <v>LUZIÂNIA</v>
      </c>
      <c r="G344" t="s">
        <v>19</v>
      </c>
      <c r="H344" t="s">
        <v>19</v>
      </c>
      <c r="I344" s="1">
        <v>46003</v>
      </c>
      <c r="J344" s="1">
        <v>46003</v>
      </c>
      <c r="K344" s="1">
        <v>46003</v>
      </c>
      <c r="L344">
        <v>23</v>
      </c>
      <c r="M344">
        <v>42</v>
      </c>
      <c r="N344">
        <v>42</v>
      </c>
      <c r="O344">
        <v>0</v>
      </c>
      <c r="P344">
        <v>0</v>
      </c>
      <c r="Q344" t="s">
        <v>3353</v>
      </c>
    </row>
    <row r="345" spans="1:17">
      <c r="A345" t="s">
        <v>35</v>
      </c>
      <c r="B345" t="s">
        <v>55</v>
      </c>
      <c r="C345" t="s">
        <v>56</v>
      </c>
      <c r="D345" t="s">
        <v>3354</v>
      </c>
      <c r="E345">
        <v>4</v>
      </c>
      <c r="F345" t="str">
        <f>VLOOKUP(E345,[1]LOJA!$A:$B,2,0)</f>
        <v>ADE</v>
      </c>
      <c r="G345" t="s">
        <v>19</v>
      </c>
      <c r="H345" t="s">
        <v>19</v>
      </c>
      <c r="I345" s="1">
        <v>46004</v>
      </c>
      <c r="J345" s="1">
        <v>46004</v>
      </c>
      <c r="K345" s="1">
        <v>46004</v>
      </c>
      <c r="L345">
        <v>17</v>
      </c>
      <c r="M345">
        <v>15</v>
      </c>
      <c r="N345">
        <v>15</v>
      </c>
      <c r="O345">
        <v>0</v>
      </c>
      <c r="P345">
        <v>0</v>
      </c>
      <c r="Q345" t="s">
        <v>3355</v>
      </c>
    </row>
    <row r="346" spans="1:17">
      <c r="A346" t="s">
        <v>35</v>
      </c>
      <c r="B346" t="s">
        <v>55</v>
      </c>
      <c r="C346" t="s">
        <v>56</v>
      </c>
      <c r="D346" t="s">
        <v>3354</v>
      </c>
      <c r="E346">
        <v>6</v>
      </c>
      <c r="F346" t="str">
        <f>VLOOKUP(E346,[1]LOJA!$A:$B,2,0)</f>
        <v>GAMA</v>
      </c>
      <c r="G346" t="s">
        <v>19</v>
      </c>
      <c r="H346" t="s">
        <v>19</v>
      </c>
      <c r="I346" s="1">
        <v>46004</v>
      </c>
      <c r="J346" s="1">
        <v>46004</v>
      </c>
      <c r="K346" s="1">
        <v>46004</v>
      </c>
      <c r="L346">
        <v>17</v>
      </c>
      <c r="M346">
        <v>15</v>
      </c>
      <c r="N346">
        <v>15</v>
      </c>
      <c r="O346">
        <v>0</v>
      </c>
      <c r="P346">
        <v>0</v>
      </c>
      <c r="Q346" t="s">
        <v>3355</v>
      </c>
    </row>
    <row r="347" spans="1:17">
      <c r="A347" t="s">
        <v>35</v>
      </c>
      <c r="B347" t="s">
        <v>55</v>
      </c>
      <c r="C347" t="s">
        <v>56</v>
      </c>
      <c r="D347" t="s">
        <v>3354</v>
      </c>
      <c r="E347">
        <v>8</v>
      </c>
      <c r="F347" t="str">
        <f>VLOOKUP(E347,[1]LOJA!$A:$B,2,0)</f>
        <v>LUZIÂNIA</v>
      </c>
      <c r="G347" t="s">
        <v>19</v>
      </c>
      <c r="H347" t="s">
        <v>19</v>
      </c>
      <c r="I347" s="1">
        <v>46004</v>
      </c>
      <c r="J347" s="1">
        <v>46004</v>
      </c>
      <c r="K347" s="1">
        <v>46004</v>
      </c>
      <c r="L347">
        <v>17</v>
      </c>
      <c r="M347">
        <v>0</v>
      </c>
      <c r="N347">
        <v>0</v>
      </c>
      <c r="O347">
        <v>0</v>
      </c>
      <c r="P347">
        <v>0</v>
      </c>
      <c r="Q347" t="s">
        <v>3355</v>
      </c>
    </row>
    <row r="348" spans="1:17">
      <c r="A348" t="s">
        <v>35</v>
      </c>
      <c r="B348" t="s">
        <v>55</v>
      </c>
      <c r="C348" t="s">
        <v>56</v>
      </c>
      <c r="D348" t="s">
        <v>3354</v>
      </c>
      <c r="E348">
        <v>12</v>
      </c>
      <c r="F348" t="str">
        <f>VLOOKUP(E348,[1]LOJA!$A:$B,2,0)</f>
        <v>SOFNORTE</v>
      </c>
      <c r="G348" t="s">
        <v>19</v>
      </c>
      <c r="H348" t="s">
        <v>19</v>
      </c>
      <c r="I348" s="1">
        <v>46004</v>
      </c>
      <c r="J348" s="1">
        <v>46004</v>
      </c>
      <c r="K348" s="1">
        <v>46004</v>
      </c>
      <c r="L348">
        <v>17</v>
      </c>
      <c r="M348">
        <v>15</v>
      </c>
      <c r="N348">
        <v>15</v>
      </c>
      <c r="O348">
        <v>0</v>
      </c>
      <c r="P348">
        <v>0</v>
      </c>
      <c r="Q348" t="s">
        <v>3355</v>
      </c>
    </row>
    <row r="349" spans="1:17">
      <c r="A349" t="s">
        <v>35</v>
      </c>
      <c r="B349" t="s">
        <v>55</v>
      </c>
      <c r="C349" t="s">
        <v>56</v>
      </c>
      <c r="D349" t="s">
        <v>3354</v>
      </c>
      <c r="E349">
        <v>13</v>
      </c>
      <c r="F349" t="str">
        <f>VLOOKUP(E349,[1]LOJA!$A:$B,2,0)</f>
        <v>CEILÂNDIA</v>
      </c>
      <c r="G349" t="s">
        <v>19</v>
      </c>
      <c r="H349" t="s">
        <v>19</v>
      </c>
      <c r="I349" s="1">
        <v>46004</v>
      </c>
      <c r="J349" s="1">
        <v>46004</v>
      </c>
      <c r="K349" s="1">
        <v>46004</v>
      </c>
      <c r="L349">
        <v>17</v>
      </c>
      <c r="M349">
        <v>15</v>
      </c>
      <c r="N349">
        <v>15</v>
      </c>
      <c r="O349">
        <v>0</v>
      </c>
      <c r="P349">
        <v>0</v>
      </c>
      <c r="Q349" t="s">
        <v>3355</v>
      </c>
    </row>
    <row r="350" spans="1:17">
      <c r="A350" t="s">
        <v>35</v>
      </c>
      <c r="B350" t="s">
        <v>55</v>
      </c>
      <c r="C350" t="s">
        <v>56</v>
      </c>
      <c r="D350" t="s">
        <v>3354</v>
      </c>
      <c r="E350">
        <v>14</v>
      </c>
      <c r="F350" t="str">
        <f>VLOOKUP(E350,[1]LOJA!$A:$B,2,0)</f>
        <v>S IA</v>
      </c>
      <c r="G350" t="s">
        <v>19</v>
      </c>
      <c r="H350" t="s">
        <v>19</v>
      </c>
      <c r="I350" s="1">
        <v>46004</v>
      </c>
      <c r="J350" s="1">
        <v>46004</v>
      </c>
      <c r="K350" s="1">
        <v>46004</v>
      </c>
      <c r="L350">
        <v>17</v>
      </c>
      <c r="M350">
        <v>15</v>
      </c>
      <c r="N350">
        <v>15</v>
      </c>
      <c r="O350">
        <v>0</v>
      </c>
      <c r="P350">
        <v>0</v>
      </c>
      <c r="Q350" t="s">
        <v>3355</v>
      </c>
    </row>
    <row r="351" spans="1:17">
      <c r="A351" t="s">
        <v>35</v>
      </c>
      <c r="B351" t="s">
        <v>55</v>
      </c>
      <c r="C351" t="s">
        <v>56</v>
      </c>
      <c r="D351" t="s">
        <v>3354</v>
      </c>
      <c r="E351">
        <v>15</v>
      </c>
      <c r="F351" t="str">
        <f>VLOOKUP(E351,[1]LOJA!$A:$B,2,0)</f>
        <v>UNAÍ</v>
      </c>
      <c r="G351" t="s">
        <v>19</v>
      </c>
      <c r="H351" t="s">
        <v>19</v>
      </c>
      <c r="I351" s="1">
        <v>46004</v>
      </c>
      <c r="J351" s="1">
        <v>46004</v>
      </c>
      <c r="K351" s="1">
        <v>46004</v>
      </c>
      <c r="L351">
        <v>17</v>
      </c>
      <c r="M351">
        <v>15</v>
      </c>
      <c r="N351">
        <v>15</v>
      </c>
      <c r="O351">
        <v>0</v>
      </c>
      <c r="P351">
        <v>0</v>
      </c>
      <c r="Q351" t="s">
        <v>3355</v>
      </c>
    </row>
    <row r="352" spans="1:17">
      <c r="A352" t="s">
        <v>35</v>
      </c>
      <c r="B352" t="s">
        <v>55</v>
      </c>
      <c r="C352" t="s">
        <v>56</v>
      </c>
      <c r="D352" t="s">
        <v>3354</v>
      </c>
      <c r="E352">
        <v>16</v>
      </c>
      <c r="F352" t="str">
        <f>VLOOKUP(E352,[1]LOJA!$A:$B,2,0)</f>
        <v>AG LINDAS</v>
      </c>
      <c r="G352" t="s">
        <v>19</v>
      </c>
      <c r="H352" t="s">
        <v>19</v>
      </c>
      <c r="I352" s="1">
        <v>46004</v>
      </c>
      <c r="J352" s="1">
        <v>46004</v>
      </c>
      <c r="K352" s="1">
        <v>46004</v>
      </c>
      <c r="L352">
        <v>17</v>
      </c>
      <c r="M352">
        <v>15</v>
      </c>
      <c r="N352">
        <v>15</v>
      </c>
      <c r="O352">
        <v>0</v>
      </c>
      <c r="P352">
        <v>0</v>
      </c>
      <c r="Q352" t="s">
        <v>3355</v>
      </c>
    </row>
    <row r="353" spans="1:17">
      <c r="A353" t="s">
        <v>35</v>
      </c>
      <c r="B353" t="s">
        <v>55</v>
      </c>
      <c r="C353" t="s">
        <v>56</v>
      </c>
      <c r="D353" t="s">
        <v>3354</v>
      </c>
      <c r="E353">
        <v>20</v>
      </c>
      <c r="F353" t="str">
        <f>VLOOKUP(E353,[1]LOJA!$A:$B,2,0)</f>
        <v>DAUTO SERVIÇOS</v>
      </c>
      <c r="G353" t="s">
        <v>19</v>
      </c>
      <c r="H353" t="s">
        <v>19</v>
      </c>
      <c r="I353" s="1">
        <v>46004</v>
      </c>
      <c r="J353" s="1">
        <v>46004</v>
      </c>
      <c r="K353" s="1">
        <v>46004</v>
      </c>
      <c r="L353">
        <v>17</v>
      </c>
      <c r="M353">
        <v>0</v>
      </c>
      <c r="N353">
        <v>0</v>
      </c>
      <c r="O353">
        <v>0</v>
      </c>
      <c r="P353">
        <v>0</v>
      </c>
      <c r="Q353" t="s">
        <v>3355</v>
      </c>
    </row>
    <row r="354" spans="1:17">
      <c r="A354" t="s">
        <v>35</v>
      </c>
      <c r="B354" t="s">
        <v>55</v>
      </c>
      <c r="C354" t="s">
        <v>56</v>
      </c>
      <c r="D354" t="s">
        <v>3354</v>
      </c>
      <c r="E354">
        <v>22</v>
      </c>
      <c r="F354" t="str">
        <f>VLOOKUP(E354,[1]LOJA!$A:$B,2,0)</f>
        <v>GUARÁ</v>
      </c>
      <c r="G354" t="s">
        <v>19</v>
      </c>
      <c r="H354" t="s">
        <v>19</v>
      </c>
      <c r="I354" s="1">
        <v>46004</v>
      </c>
      <c r="J354" s="1">
        <v>46004</v>
      </c>
      <c r="K354" s="1">
        <v>46004</v>
      </c>
      <c r="L354">
        <v>17</v>
      </c>
      <c r="M354">
        <v>15</v>
      </c>
      <c r="N354">
        <v>15</v>
      </c>
      <c r="O354">
        <v>0</v>
      </c>
      <c r="P354">
        <v>0</v>
      </c>
      <c r="Q354" t="s">
        <v>3355</v>
      </c>
    </row>
    <row r="355" spans="1:17">
      <c r="A355" t="s">
        <v>35</v>
      </c>
      <c r="B355" t="s">
        <v>55</v>
      </c>
      <c r="C355" t="s">
        <v>56</v>
      </c>
      <c r="D355" t="s">
        <v>3354</v>
      </c>
      <c r="E355">
        <v>24</v>
      </c>
      <c r="F355" t="str">
        <f>VLOOKUP(E355,[1]LOJA!$A:$B,2,0)</f>
        <v>LUZIÂNIA</v>
      </c>
      <c r="G355" t="s">
        <v>19</v>
      </c>
      <c r="H355" t="s">
        <v>19</v>
      </c>
      <c r="I355" s="1">
        <v>46004</v>
      </c>
      <c r="J355" s="1">
        <v>46004</v>
      </c>
      <c r="K355" s="1">
        <v>46004</v>
      </c>
      <c r="L355">
        <v>17</v>
      </c>
      <c r="M355">
        <v>15</v>
      </c>
      <c r="N355">
        <v>15</v>
      </c>
      <c r="O355">
        <v>0</v>
      </c>
      <c r="P355">
        <v>0</v>
      </c>
      <c r="Q355" t="s">
        <v>3355</v>
      </c>
    </row>
    <row r="356" spans="1:17">
      <c r="A356" t="s">
        <v>35</v>
      </c>
      <c r="B356" t="s">
        <v>55</v>
      </c>
      <c r="C356" t="s">
        <v>56</v>
      </c>
      <c r="D356" t="s">
        <v>3356</v>
      </c>
      <c r="E356">
        <v>4</v>
      </c>
      <c r="F356" t="str">
        <f>VLOOKUP(E356,[1]LOJA!$A:$B,2,0)</f>
        <v>ADE</v>
      </c>
      <c r="G356" t="s">
        <v>19</v>
      </c>
      <c r="H356" t="s">
        <v>19</v>
      </c>
      <c r="I356" s="1">
        <v>46004</v>
      </c>
      <c r="J356" s="1">
        <v>46004</v>
      </c>
      <c r="K356" s="1">
        <v>46004</v>
      </c>
      <c r="L356">
        <v>17</v>
      </c>
      <c r="M356">
        <v>41</v>
      </c>
      <c r="N356">
        <v>41</v>
      </c>
      <c r="O356">
        <v>0</v>
      </c>
      <c r="P356">
        <v>0</v>
      </c>
      <c r="Q356" t="s">
        <v>3357</v>
      </c>
    </row>
    <row r="357" spans="1:17">
      <c r="A357" t="s">
        <v>35</v>
      </c>
      <c r="B357" t="s">
        <v>55</v>
      </c>
      <c r="C357" t="s">
        <v>56</v>
      </c>
      <c r="D357" t="s">
        <v>3356</v>
      </c>
      <c r="E357">
        <v>6</v>
      </c>
      <c r="F357" t="str">
        <f>VLOOKUP(E357,[1]LOJA!$A:$B,2,0)</f>
        <v>GAMA</v>
      </c>
      <c r="G357" t="s">
        <v>19</v>
      </c>
      <c r="H357" t="s">
        <v>19</v>
      </c>
      <c r="I357" s="1">
        <v>46004</v>
      </c>
      <c r="J357" s="1">
        <v>46004</v>
      </c>
      <c r="K357" s="1">
        <v>46004</v>
      </c>
      <c r="L357">
        <v>17</v>
      </c>
      <c r="M357">
        <v>41</v>
      </c>
      <c r="N357">
        <v>41</v>
      </c>
      <c r="O357">
        <v>0</v>
      </c>
      <c r="P357">
        <v>0</v>
      </c>
      <c r="Q357" t="s">
        <v>3357</v>
      </c>
    </row>
    <row r="358" spans="1:17">
      <c r="A358" t="s">
        <v>35</v>
      </c>
      <c r="B358" t="s">
        <v>55</v>
      </c>
      <c r="C358" t="s">
        <v>56</v>
      </c>
      <c r="D358" t="s">
        <v>3356</v>
      </c>
      <c r="E358">
        <v>8</v>
      </c>
      <c r="F358" t="str">
        <f>VLOOKUP(E358,[1]LOJA!$A:$B,2,0)</f>
        <v>LUZIÂNIA</v>
      </c>
      <c r="G358" t="s">
        <v>19</v>
      </c>
      <c r="H358" t="s">
        <v>19</v>
      </c>
      <c r="I358" s="1">
        <v>46004</v>
      </c>
      <c r="J358" s="1">
        <v>46004</v>
      </c>
      <c r="K358" s="1">
        <v>46004</v>
      </c>
      <c r="L358">
        <v>17</v>
      </c>
      <c r="M358">
        <v>0</v>
      </c>
      <c r="N358">
        <v>0</v>
      </c>
      <c r="O358">
        <v>0</v>
      </c>
      <c r="P358">
        <v>0</v>
      </c>
      <c r="Q358" t="s">
        <v>3357</v>
      </c>
    </row>
    <row r="359" spans="1:17">
      <c r="A359" t="s">
        <v>35</v>
      </c>
      <c r="B359" t="s">
        <v>55</v>
      </c>
      <c r="C359" t="s">
        <v>56</v>
      </c>
      <c r="D359" t="s">
        <v>3356</v>
      </c>
      <c r="E359">
        <v>12</v>
      </c>
      <c r="F359" t="str">
        <f>VLOOKUP(E359,[1]LOJA!$A:$B,2,0)</f>
        <v>SOFNORTE</v>
      </c>
      <c r="G359" t="s">
        <v>19</v>
      </c>
      <c r="H359" t="s">
        <v>19</v>
      </c>
      <c r="I359" s="1">
        <v>46004</v>
      </c>
      <c r="J359" s="1">
        <v>46004</v>
      </c>
      <c r="K359" s="1">
        <v>46004</v>
      </c>
      <c r="L359">
        <v>17</v>
      </c>
      <c r="M359">
        <v>41</v>
      </c>
      <c r="N359">
        <v>41</v>
      </c>
      <c r="O359">
        <v>0</v>
      </c>
      <c r="P359">
        <v>0</v>
      </c>
      <c r="Q359" t="s">
        <v>3357</v>
      </c>
    </row>
    <row r="360" spans="1:17">
      <c r="A360" t="s">
        <v>35</v>
      </c>
      <c r="B360" t="s">
        <v>55</v>
      </c>
      <c r="C360" t="s">
        <v>56</v>
      </c>
      <c r="D360" t="s">
        <v>3356</v>
      </c>
      <c r="E360">
        <v>13</v>
      </c>
      <c r="F360" t="str">
        <f>VLOOKUP(E360,[1]LOJA!$A:$B,2,0)</f>
        <v>CEILÂNDIA</v>
      </c>
      <c r="G360" t="s">
        <v>19</v>
      </c>
      <c r="H360" t="s">
        <v>19</v>
      </c>
      <c r="I360" s="1">
        <v>46004</v>
      </c>
      <c r="J360" s="1">
        <v>46004</v>
      </c>
      <c r="K360" s="1">
        <v>46004</v>
      </c>
      <c r="L360">
        <v>17</v>
      </c>
      <c r="M360">
        <v>41</v>
      </c>
      <c r="N360">
        <v>41</v>
      </c>
      <c r="O360">
        <v>0</v>
      </c>
      <c r="P360">
        <v>0</v>
      </c>
      <c r="Q360" t="s">
        <v>3357</v>
      </c>
    </row>
    <row r="361" spans="1:17">
      <c r="A361" t="s">
        <v>35</v>
      </c>
      <c r="B361" t="s">
        <v>55</v>
      </c>
      <c r="C361" t="s">
        <v>56</v>
      </c>
      <c r="D361" t="s">
        <v>3356</v>
      </c>
      <c r="E361">
        <v>14</v>
      </c>
      <c r="F361" t="str">
        <f>VLOOKUP(E361,[1]LOJA!$A:$B,2,0)</f>
        <v>S IA</v>
      </c>
      <c r="G361" t="s">
        <v>19</v>
      </c>
      <c r="H361" t="s">
        <v>19</v>
      </c>
      <c r="I361" s="1">
        <v>46004</v>
      </c>
      <c r="J361" s="1">
        <v>46004</v>
      </c>
      <c r="K361" s="1">
        <v>46004</v>
      </c>
      <c r="L361">
        <v>17</v>
      </c>
      <c r="M361">
        <v>41</v>
      </c>
      <c r="N361">
        <v>41</v>
      </c>
      <c r="O361">
        <v>0</v>
      </c>
      <c r="P361">
        <v>0</v>
      </c>
      <c r="Q361" t="s">
        <v>3357</v>
      </c>
    </row>
    <row r="362" spans="1:17">
      <c r="A362" t="s">
        <v>35</v>
      </c>
      <c r="B362" t="s">
        <v>55</v>
      </c>
      <c r="C362" t="s">
        <v>56</v>
      </c>
      <c r="D362" t="s">
        <v>3356</v>
      </c>
      <c r="E362">
        <v>15</v>
      </c>
      <c r="F362" t="str">
        <f>VLOOKUP(E362,[1]LOJA!$A:$B,2,0)</f>
        <v>UNAÍ</v>
      </c>
      <c r="G362" t="s">
        <v>19</v>
      </c>
      <c r="H362" t="s">
        <v>19</v>
      </c>
      <c r="I362" s="1">
        <v>46004</v>
      </c>
      <c r="J362" s="1">
        <v>46004</v>
      </c>
      <c r="K362" s="1">
        <v>46004</v>
      </c>
      <c r="L362">
        <v>17</v>
      </c>
      <c r="M362">
        <v>41</v>
      </c>
      <c r="N362">
        <v>41</v>
      </c>
      <c r="O362">
        <v>0</v>
      </c>
      <c r="P362">
        <v>0</v>
      </c>
      <c r="Q362" t="s">
        <v>3357</v>
      </c>
    </row>
    <row r="363" spans="1:17">
      <c r="A363" t="s">
        <v>35</v>
      </c>
      <c r="B363" t="s">
        <v>55</v>
      </c>
      <c r="C363" t="s">
        <v>56</v>
      </c>
      <c r="D363" t="s">
        <v>3356</v>
      </c>
      <c r="E363">
        <v>16</v>
      </c>
      <c r="F363" t="str">
        <f>VLOOKUP(E363,[1]LOJA!$A:$B,2,0)</f>
        <v>AG LINDAS</v>
      </c>
      <c r="G363" t="s">
        <v>19</v>
      </c>
      <c r="H363" t="s">
        <v>19</v>
      </c>
      <c r="I363" s="1">
        <v>46004</v>
      </c>
      <c r="J363" s="1">
        <v>46004</v>
      </c>
      <c r="K363" s="1">
        <v>46004</v>
      </c>
      <c r="L363">
        <v>17</v>
      </c>
      <c r="M363">
        <v>41</v>
      </c>
      <c r="N363">
        <v>41</v>
      </c>
      <c r="O363">
        <v>0</v>
      </c>
      <c r="P363">
        <v>0</v>
      </c>
      <c r="Q363" t="s">
        <v>3357</v>
      </c>
    </row>
    <row r="364" spans="1:17">
      <c r="A364" t="s">
        <v>35</v>
      </c>
      <c r="B364" t="s">
        <v>55</v>
      </c>
      <c r="C364" t="s">
        <v>56</v>
      </c>
      <c r="D364" t="s">
        <v>3356</v>
      </c>
      <c r="E364">
        <v>20</v>
      </c>
      <c r="F364" t="str">
        <f>VLOOKUP(E364,[1]LOJA!$A:$B,2,0)</f>
        <v>DAUTO SERVIÇOS</v>
      </c>
      <c r="G364" t="s">
        <v>19</v>
      </c>
      <c r="H364" t="s">
        <v>19</v>
      </c>
      <c r="I364" s="1">
        <v>46004</v>
      </c>
      <c r="J364" s="1">
        <v>46004</v>
      </c>
      <c r="K364" s="1">
        <v>46004</v>
      </c>
      <c r="L364">
        <v>17</v>
      </c>
      <c r="M364">
        <v>0</v>
      </c>
      <c r="N364">
        <v>0</v>
      </c>
      <c r="O364">
        <v>0</v>
      </c>
      <c r="P364">
        <v>0</v>
      </c>
      <c r="Q364" t="s">
        <v>3357</v>
      </c>
    </row>
    <row r="365" spans="1:17">
      <c r="A365" t="s">
        <v>35</v>
      </c>
      <c r="B365" t="s">
        <v>55</v>
      </c>
      <c r="C365" t="s">
        <v>56</v>
      </c>
      <c r="D365" t="s">
        <v>3356</v>
      </c>
      <c r="E365">
        <v>22</v>
      </c>
      <c r="F365" t="str">
        <f>VLOOKUP(E365,[1]LOJA!$A:$B,2,0)</f>
        <v>GUARÁ</v>
      </c>
      <c r="G365" t="s">
        <v>19</v>
      </c>
      <c r="H365" t="s">
        <v>19</v>
      </c>
      <c r="I365" s="1">
        <v>46004</v>
      </c>
      <c r="J365" s="1">
        <v>46004</v>
      </c>
      <c r="K365" s="1">
        <v>46004</v>
      </c>
      <c r="L365">
        <v>17</v>
      </c>
      <c r="M365">
        <v>41</v>
      </c>
      <c r="N365">
        <v>41</v>
      </c>
      <c r="O365">
        <v>0</v>
      </c>
      <c r="P365">
        <v>0</v>
      </c>
      <c r="Q365" t="s">
        <v>3357</v>
      </c>
    </row>
    <row r="366" spans="1:17">
      <c r="A366" t="s">
        <v>35</v>
      </c>
      <c r="B366" t="s">
        <v>55</v>
      </c>
      <c r="C366" t="s">
        <v>56</v>
      </c>
      <c r="D366" t="s">
        <v>3356</v>
      </c>
      <c r="E366">
        <v>24</v>
      </c>
      <c r="F366" t="str">
        <f>VLOOKUP(E366,[1]LOJA!$A:$B,2,0)</f>
        <v>LUZIÂNIA</v>
      </c>
      <c r="G366" t="s">
        <v>19</v>
      </c>
      <c r="H366" t="s">
        <v>19</v>
      </c>
      <c r="I366" s="1">
        <v>46004</v>
      </c>
      <c r="J366" s="1">
        <v>46004</v>
      </c>
      <c r="K366" s="1">
        <v>46004</v>
      </c>
      <c r="L366">
        <v>17</v>
      </c>
      <c r="M366">
        <v>41</v>
      </c>
      <c r="N366">
        <v>41</v>
      </c>
      <c r="O366">
        <v>0</v>
      </c>
      <c r="P366">
        <v>0</v>
      </c>
      <c r="Q366" t="s">
        <v>3357</v>
      </c>
    </row>
    <row r="367" spans="1:17">
      <c r="A367" t="s">
        <v>35</v>
      </c>
      <c r="B367" t="s">
        <v>55</v>
      </c>
      <c r="C367" t="s">
        <v>56</v>
      </c>
      <c r="D367" t="s">
        <v>3358</v>
      </c>
      <c r="E367">
        <v>4</v>
      </c>
      <c r="F367" t="str">
        <f>VLOOKUP(E367,[1]LOJA!$A:$B,2,0)</f>
        <v>ADE</v>
      </c>
      <c r="G367" t="s">
        <v>19</v>
      </c>
      <c r="H367" t="s">
        <v>19</v>
      </c>
      <c r="I367" s="1">
        <v>46004</v>
      </c>
      <c r="J367" s="1">
        <v>46004</v>
      </c>
      <c r="K367" s="1">
        <v>46004</v>
      </c>
      <c r="L367">
        <v>17</v>
      </c>
      <c r="M367">
        <v>56</v>
      </c>
      <c r="N367">
        <v>56</v>
      </c>
      <c r="O367">
        <v>0</v>
      </c>
      <c r="P367">
        <v>0</v>
      </c>
      <c r="Q367" t="s">
        <v>3359</v>
      </c>
    </row>
    <row r="368" spans="1:17">
      <c r="A368" t="s">
        <v>35</v>
      </c>
      <c r="B368" t="s">
        <v>55</v>
      </c>
      <c r="C368" t="s">
        <v>56</v>
      </c>
      <c r="D368" t="s">
        <v>3358</v>
      </c>
      <c r="E368">
        <v>6</v>
      </c>
      <c r="F368" t="str">
        <f>VLOOKUP(E368,[1]LOJA!$A:$B,2,0)</f>
        <v>GAMA</v>
      </c>
      <c r="G368" t="s">
        <v>19</v>
      </c>
      <c r="H368" t="s">
        <v>19</v>
      </c>
      <c r="I368" s="1">
        <v>46004</v>
      </c>
      <c r="J368" s="1">
        <v>46004</v>
      </c>
      <c r="K368" s="1">
        <v>46004</v>
      </c>
      <c r="L368">
        <v>17</v>
      </c>
      <c r="M368">
        <v>56</v>
      </c>
      <c r="N368">
        <v>56</v>
      </c>
      <c r="O368">
        <v>0</v>
      </c>
      <c r="P368">
        <v>0</v>
      </c>
      <c r="Q368" t="s">
        <v>3359</v>
      </c>
    </row>
    <row r="369" spans="1:17">
      <c r="A369" t="s">
        <v>35</v>
      </c>
      <c r="B369" t="s">
        <v>55</v>
      </c>
      <c r="C369" t="s">
        <v>56</v>
      </c>
      <c r="D369" t="s">
        <v>3358</v>
      </c>
      <c r="E369">
        <v>8</v>
      </c>
      <c r="F369" t="str">
        <f>VLOOKUP(E369,[1]LOJA!$A:$B,2,0)</f>
        <v>LUZIÂNIA</v>
      </c>
      <c r="G369" t="s">
        <v>19</v>
      </c>
      <c r="H369" t="s">
        <v>19</v>
      </c>
      <c r="I369" s="1">
        <v>46004</v>
      </c>
      <c r="J369" s="1">
        <v>46004</v>
      </c>
      <c r="K369" s="1">
        <v>46004</v>
      </c>
      <c r="L369">
        <v>17</v>
      </c>
      <c r="M369">
        <v>0</v>
      </c>
      <c r="N369">
        <v>0</v>
      </c>
      <c r="O369">
        <v>0</v>
      </c>
      <c r="P369">
        <v>0</v>
      </c>
      <c r="Q369" t="s">
        <v>3359</v>
      </c>
    </row>
    <row r="370" spans="1:17">
      <c r="A370" t="s">
        <v>35</v>
      </c>
      <c r="B370" t="s">
        <v>55</v>
      </c>
      <c r="C370" t="s">
        <v>56</v>
      </c>
      <c r="D370" t="s">
        <v>3358</v>
      </c>
      <c r="E370">
        <v>12</v>
      </c>
      <c r="F370" t="str">
        <f>VLOOKUP(E370,[1]LOJA!$A:$B,2,0)</f>
        <v>SOFNORTE</v>
      </c>
      <c r="G370" t="s">
        <v>19</v>
      </c>
      <c r="H370" t="s">
        <v>19</v>
      </c>
      <c r="I370" s="1">
        <v>46004</v>
      </c>
      <c r="J370" s="1">
        <v>46004</v>
      </c>
      <c r="K370" s="1">
        <v>46004</v>
      </c>
      <c r="L370">
        <v>17</v>
      </c>
      <c r="M370">
        <v>56</v>
      </c>
      <c r="N370">
        <v>56</v>
      </c>
      <c r="O370">
        <v>0</v>
      </c>
      <c r="P370">
        <v>0</v>
      </c>
      <c r="Q370" t="s">
        <v>3359</v>
      </c>
    </row>
    <row r="371" spans="1:17">
      <c r="A371" t="s">
        <v>35</v>
      </c>
      <c r="B371" t="s">
        <v>55</v>
      </c>
      <c r="C371" t="s">
        <v>56</v>
      </c>
      <c r="D371" t="s">
        <v>3358</v>
      </c>
      <c r="E371">
        <v>13</v>
      </c>
      <c r="F371" t="str">
        <f>VLOOKUP(E371,[1]LOJA!$A:$B,2,0)</f>
        <v>CEILÂNDIA</v>
      </c>
      <c r="G371" t="s">
        <v>19</v>
      </c>
      <c r="H371" t="s">
        <v>19</v>
      </c>
      <c r="I371" s="1">
        <v>46004</v>
      </c>
      <c r="J371" s="1">
        <v>46004</v>
      </c>
      <c r="K371" s="1">
        <v>46004</v>
      </c>
      <c r="L371">
        <v>17</v>
      </c>
      <c r="M371">
        <v>56</v>
      </c>
      <c r="N371">
        <v>56</v>
      </c>
      <c r="O371">
        <v>0</v>
      </c>
      <c r="P371">
        <v>0</v>
      </c>
      <c r="Q371" t="s">
        <v>3359</v>
      </c>
    </row>
    <row r="372" spans="1:17">
      <c r="A372" t="s">
        <v>35</v>
      </c>
      <c r="B372" t="s">
        <v>55</v>
      </c>
      <c r="C372" t="s">
        <v>56</v>
      </c>
      <c r="D372" t="s">
        <v>3358</v>
      </c>
      <c r="E372">
        <v>14</v>
      </c>
      <c r="F372" t="str">
        <f>VLOOKUP(E372,[1]LOJA!$A:$B,2,0)</f>
        <v>S IA</v>
      </c>
      <c r="G372" t="s">
        <v>19</v>
      </c>
      <c r="H372" t="s">
        <v>19</v>
      </c>
      <c r="I372" s="1">
        <v>46004</v>
      </c>
      <c r="J372" s="1">
        <v>46004</v>
      </c>
      <c r="K372" s="1">
        <v>46004</v>
      </c>
      <c r="L372">
        <v>17</v>
      </c>
      <c r="M372">
        <v>56</v>
      </c>
      <c r="N372">
        <v>56</v>
      </c>
      <c r="O372">
        <v>0</v>
      </c>
      <c r="P372">
        <v>0</v>
      </c>
      <c r="Q372" t="s">
        <v>3359</v>
      </c>
    </row>
    <row r="373" spans="1:17">
      <c r="A373" t="s">
        <v>35</v>
      </c>
      <c r="B373" t="s">
        <v>55</v>
      </c>
      <c r="C373" t="s">
        <v>56</v>
      </c>
      <c r="D373" t="s">
        <v>3358</v>
      </c>
      <c r="E373">
        <v>15</v>
      </c>
      <c r="F373" t="str">
        <f>VLOOKUP(E373,[1]LOJA!$A:$B,2,0)</f>
        <v>UNAÍ</v>
      </c>
      <c r="G373" t="s">
        <v>19</v>
      </c>
      <c r="H373" t="s">
        <v>19</v>
      </c>
      <c r="I373" s="1">
        <v>46004</v>
      </c>
      <c r="J373" s="1">
        <v>46004</v>
      </c>
      <c r="K373" s="1">
        <v>46004</v>
      </c>
      <c r="L373">
        <v>17</v>
      </c>
      <c r="M373">
        <v>56</v>
      </c>
      <c r="N373">
        <v>56</v>
      </c>
      <c r="O373">
        <v>0</v>
      </c>
      <c r="P373">
        <v>0</v>
      </c>
      <c r="Q373" t="s">
        <v>3359</v>
      </c>
    </row>
    <row r="374" spans="1:17">
      <c r="A374" t="s">
        <v>35</v>
      </c>
      <c r="B374" t="s">
        <v>55</v>
      </c>
      <c r="C374" t="s">
        <v>56</v>
      </c>
      <c r="D374" t="s">
        <v>3358</v>
      </c>
      <c r="E374">
        <v>16</v>
      </c>
      <c r="F374" t="str">
        <f>VLOOKUP(E374,[1]LOJA!$A:$B,2,0)</f>
        <v>AG LINDAS</v>
      </c>
      <c r="G374" t="s">
        <v>19</v>
      </c>
      <c r="H374" t="s">
        <v>19</v>
      </c>
      <c r="I374" s="1">
        <v>46004</v>
      </c>
      <c r="J374" s="1">
        <v>46004</v>
      </c>
      <c r="K374" s="1">
        <v>46004</v>
      </c>
      <c r="L374">
        <v>17</v>
      </c>
      <c r="M374">
        <v>56</v>
      </c>
      <c r="N374">
        <v>56</v>
      </c>
      <c r="O374">
        <v>0</v>
      </c>
      <c r="P374">
        <v>0</v>
      </c>
      <c r="Q374" t="s">
        <v>3359</v>
      </c>
    </row>
    <row r="375" spans="1:17">
      <c r="A375" t="s">
        <v>35</v>
      </c>
      <c r="B375" t="s">
        <v>55</v>
      </c>
      <c r="C375" t="s">
        <v>56</v>
      </c>
      <c r="D375" t="s">
        <v>3358</v>
      </c>
      <c r="E375">
        <v>20</v>
      </c>
      <c r="F375" t="str">
        <f>VLOOKUP(E375,[1]LOJA!$A:$B,2,0)</f>
        <v>DAUTO SERVIÇOS</v>
      </c>
      <c r="G375" t="s">
        <v>19</v>
      </c>
      <c r="H375" t="s">
        <v>19</v>
      </c>
      <c r="I375" s="1">
        <v>46004</v>
      </c>
      <c r="J375" s="1">
        <v>46004</v>
      </c>
      <c r="K375" s="1">
        <v>46004</v>
      </c>
      <c r="L375">
        <v>17</v>
      </c>
      <c r="M375">
        <v>0</v>
      </c>
      <c r="N375">
        <v>0</v>
      </c>
      <c r="O375">
        <v>0</v>
      </c>
      <c r="P375">
        <v>0</v>
      </c>
      <c r="Q375" t="s">
        <v>3359</v>
      </c>
    </row>
    <row r="376" spans="1:17">
      <c r="A376" t="s">
        <v>35</v>
      </c>
      <c r="B376" t="s">
        <v>55</v>
      </c>
      <c r="C376" t="s">
        <v>56</v>
      </c>
      <c r="D376" t="s">
        <v>3358</v>
      </c>
      <c r="E376">
        <v>22</v>
      </c>
      <c r="F376" t="str">
        <f>VLOOKUP(E376,[1]LOJA!$A:$B,2,0)</f>
        <v>GUARÁ</v>
      </c>
      <c r="G376" t="s">
        <v>19</v>
      </c>
      <c r="H376" t="s">
        <v>19</v>
      </c>
      <c r="I376" s="1">
        <v>46004</v>
      </c>
      <c r="J376" s="1">
        <v>46004</v>
      </c>
      <c r="K376" s="1">
        <v>46004</v>
      </c>
      <c r="L376">
        <v>17</v>
      </c>
      <c r="M376">
        <v>56</v>
      </c>
      <c r="N376">
        <v>56</v>
      </c>
      <c r="O376">
        <v>0</v>
      </c>
      <c r="P376">
        <v>0</v>
      </c>
      <c r="Q376" t="s">
        <v>3359</v>
      </c>
    </row>
    <row r="377" spans="1:17">
      <c r="A377" t="s">
        <v>35</v>
      </c>
      <c r="B377" t="s">
        <v>55</v>
      </c>
      <c r="C377" t="s">
        <v>56</v>
      </c>
      <c r="D377" t="s">
        <v>3358</v>
      </c>
      <c r="E377">
        <v>24</v>
      </c>
      <c r="F377" t="str">
        <f>VLOOKUP(E377,[1]LOJA!$A:$B,2,0)</f>
        <v>LUZIÂNIA</v>
      </c>
      <c r="G377" t="s">
        <v>19</v>
      </c>
      <c r="H377" t="s">
        <v>19</v>
      </c>
      <c r="I377" s="1">
        <v>46004</v>
      </c>
      <c r="J377" s="1">
        <v>46004</v>
      </c>
      <c r="K377" s="1">
        <v>46004</v>
      </c>
      <c r="L377">
        <v>17</v>
      </c>
      <c r="M377">
        <v>56</v>
      </c>
      <c r="N377">
        <v>56</v>
      </c>
      <c r="O377">
        <v>0</v>
      </c>
      <c r="P377">
        <v>0</v>
      </c>
      <c r="Q377" t="s">
        <v>3359</v>
      </c>
    </row>
    <row r="378" spans="1:17">
      <c r="A378" t="s">
        <v>35</v>
      </c>
      <c r="B378" t="s">
        <v>55</v>
      </c>
      <c r="C378" t="s">
        <v>56</v>
      </c>
      <c r="D378" t="s">
        <v>3360</v>
      </c>
      <c r="E378">
        <v>4</v>
      </c>
      <c r="F378" t="str">
        <f>VLOOKUP(E378,[1]LOJA!$A:$B,2,0)</f>
        <v>ADE</v>
      </c>
      <c r="G378" t="s">
        <v>19</v>
      </c>
      <c r="H378" t="s">
        <v>19</v>
      </c>
      <c r="I378" s="1">
        <v>46013</v>
      </c>
      <c r="J378" s="1">
        <v>46013</v>
      </c>
      <c r="K378" s="1">
        <v>46013</v>
      </c>
      <c r="L378">
        <v>17</v>
      </c>
      <c r="M378">
        <v>22.5</v>
      </c>
      <c r="N378">
        <v>22.5</v>
      </c>
      <c r="O378">
        <v>0</v>
      </c>
      <c r="P378">
        <v>0</v>
      </c>
      <c r="Q378" t="s">
        <v>3361</v>
      </c>
    </row>
    <row r="379" spans="1:17">
      <c r="A379" t="s">
        <v>35</v>
      </c>
      <c r="B379" t="s">
        <v>55</v>
      </c>
      <c r="C379" t="s">
        <v>56</v>
      </c>
      <c r="D379" t="s">
        <v>3360</v>
      </c>
      <c r="E379">
        <v>6</v>
      </c>
      <c r="F379" t="str">
        <f>VLOOKUP(E379,[1]LOJA!$A:$B,2,0)</f>
        <v>GAMA</v>
      </c>
      <c r="G379" t="s">
        <v>19</v>
      </c>
      <c r="H379" t="s">
        <v>19</v>
      </c>
      <c r="I379" s="1">
        <v>46013</v>
      </c>
      <c r="J379" s="1">
        <v>46013</v>
      </c>
      <c r="K379" s="1">
        <v>46013</v>
      </c>
      <c r="L379">
        <v>17</v>
      </c>
      <c r="M379">
        <v>22.5</v>
      </c>
      <c r="N379">
        <v>22.5</v>
      </c>
      <c r="O379">
        <v>0</v>
      </c>
      <c r="P379">
        <v>0</v>
      </c>
      <c r="Q379" t="s">
        <v>3361</v>
      </c>
    </row>
    <row r="380" spans="1:17">
      <c r="A380" t="s">
        <v>35</v>
      </c>
      <c r="B380" t="s">
        <v>55</v>
      </c>
      <c r="C380" t="s">
        <v>56</v>
      </c>
      <c r="D380" t="s">
        <v>3360</v>
      </c>
      <c r="E380">
        <v>8</v>
      </c>
      <c r="F380" t="str">
        <f>VLOOKUP(E380,[1]LOJA!$A:$B,2,0)</f>
        <v>LUZIÂNIA</v>
      </c>
      <c r="G380" t="s">
        <v>19</v>
      </c>
      <c r="H380" t="s">
        <v>19</v>
      </c>
      <c r="I380" s="1">
        <v>46013</v>
      </c>
      <c r="J380" s="1">
        <v>46013</v>
      </c>
      <c r="K380" s="1">
        <v>46013</v>
      </c>
      <c r="L380">
        <v>17</v>
      </c>
      <c r="M380">
        <v>0</v>
      </c>
      <c r="N380">
        <v>0</v>
      </c>
      <c r="O380">
        <v>0</v>
      </c>
      <c r="P380">
        <v>0</v>
      </c>
      <c r="Q380" t="s">
        <v>3361</v>
      </c>
    </row>
    <row r="381" spans="1:17">
      <c r="A381" t="s">
        <v>35</v>
      </c>
      <c r="B381" t="s">
        <v>55</v>
      </c>
      <c r="C381" t="s">
        <v>56</v>
      </c>
      <c r="D381" t="s">
        <v>3360</v>
      </c>
      <c r="E381">
        <v>12</v>
      </c>
      <c r="F381" t="str">
        <f>VLOOKUP(E381,[1]LOJA!$A:$B,2,0)</f>
        <v>SOFNORTE</v>
      </c>
      <c r="G381" t="s">
        <v>19</v>
      </c>
      <c r="H381" t="s">
        <v>19</v>
      </c>
      <c r="I381" s="1">
        <v>46013</v>
      </c>
      <c r="J381" s="1">
        <v>46013</v>
      </c>
      <c r="K381" s="1">
        <v>46013</v>
      </c>
      <c r="L381">
        <v>17</v>
      </c>
      <c r="M381">
        <v>22.5</v>
      </c>
      <c r="N381">
        <v>22.5</v>
      </c>
      <c r="O381">
        <v>0</v>
      </c>
      <c r="P381">
        <v>0</v>
      </c>
      <c r="Q381" t="s">
        <v>3361</v>
      </c>
    </row>
    <row r="382" spans="1:17">
      <c r="A382" t="s">
        <v>35</v>
      </c>
      <c r="B382" t="s">
        <v>55</v>
      </c>
      <c r="C382" t="s">
        <v>56</v>
      </c>
      <c r="D382" t="s">
        <v>3360</v>
      </c>
      <c r="E382">
        <v>13</v>
      </c>
      <c r="F382" t="str">
        <f>VLOOKUP(E382,[1]LOJA!$A:$B,2,0)</f>
        <v>CEILÂNDIA</v>
      </c>
      <c r="G382" t="s">
        <v>19</v>
      </c>
      <c r="H382" t="s">
        <v>19</v>
      </c>
      <c r="I382" s="1">
        <v>46013</v>
      </c>
      <c r="J382" s="1">
        <v>46013</v>
      </c>
      <c r="K382" s="1">
        <v>46013</v>
      </c>
      <c r="L382">
        <v>17</v>
      </c>
      <c r="M382">
        <v>22.5</v>
      </c>
      <c r="N382">
        <v>22.5</v>
      </c>
      <c r="O382">
        <v>0</v>
      </c>
      <c r="P382">
        <v>0</v>
      </c>
      <c r="Q382" t="s">
        <v>3361</v>
      </c>
    </row>
    <row r="383" spans="1:17">
      <c r="A383" t="s">
        <v>35</v>
      </c>
      <c r="B383" t="s">
        <v>55</v>
      </c>
      <c r="C383" t="s">
        <v>56</v>
      </c>
      <c r="D383" t="s">
        <v>3360</v>
      </c>
      <c r="E383">
        <v>14</v>
      </c>
      <c r="F383" t="str">
        <f>VLOOKUP(E383,[1]LOJA!$A:$B,2,0)</f>
        <v>S IA</v>
      </c>
      <c r="G383" t="s">
        <v>19</v>
      </c>
      <c r="H383" t="s">
        <v>19</v>
      </c>
      <c r="I383" s="1">
        <v>46013</v>
      </c>
      <c r="J383" s="1">
        <v>46013</v>
      </c>
      <c r="K383" s="1">
        <v>46013</v>
      </c>
      <c r="L383">
        <v>17</v>
      </c>
      <c r="M383">
        <v>22.5</v>
      </c>
      <c r="N383">
        <v>22.5</v>
      </c>
      <c r="O383">
        <v>0</v>
      </c>
      <c r="P383">
        <v>0</v>
      </c>
      <c r="Q383" t="s">
        <v>3361</v>
      </c>
    </row>
    <row r="384" spans="1:17">
      <c r="A384" t="s">
        <v>35</v>
      </c>
      <c r="B384" t="s">
        <v>55</v>
      </c>
      <c r="C384" t="s">
        <v>56</v>
      </c>
      <c r="D384" t="s">
        <v>3360</v>
      </c>
      <c r="E384">
        <v>15</v>
      </c>
      <c r="F384" t="str">
        <f>VLOOKUP(E384,[1]LOJA!$A:$B,2,0)</f>
        <v>UNAÍ</v>
      </c>
      <c r="G384" t="s">
        <v>19</v>
      </c>
      <c r="H384" t="s">
        <v>19</v>
      </c>
      <c r="I384" s="1">
        <v>46013</v>
      </c>
      <c r="J384" s="1">
        <v>46013</v>
      </c>
      <c r="K384" s="1">
        <v>46013</v>
      </c>
      <c r="L384">
        <v>17</v>
      </c>
      <c r="M384">
        <v>22.5</v>
      </c>
      <c r="N384">
        <v>22.5</v>
      </c>
      <c r="O384">
        <v>0</v>
      </c>
      <c r="P384">
        <v>0</v>
      </c>
      <c r="Q384" t="s">
        <v>3361</v>
      </c>
    </row>
    <row r="385" spans="1:17">
      <c r="A385" t="s">
        <v>35</v>
      </c>
      <c r="B385" t="s">
        <v>55</v>
      </c>
      <c r="C385" t="s">
        <v>56</v>
      </c>
      <c r="D385" t="s">
        <v>3360</v>
      </c>
      <c r="E385">
        <v>16</v>
      </c>
      <c r="F385" t="str">
        <f>VLOOKUP(E385,[1]LOJA!$A:$B,2,0)</f>
        <v>AG LINDAS</v>
      </c>
      <c r="G385" t="s">
        <v>19</v>
      </c>
      <c r="H385" t="s">
        <v>19</v>
      </c>
      <c r="I385" s="1">
        <v>46013</v>
      </c>
      <c r="J385" s="1">
        <v>46013</v>
      </c>
      <c r="K385" s="1">
        <v>46013</v>
      </c>
      <c r="L385">
        <v>17</v>
      </c>
      <c r="M385">
        <v>22.5</v>
      </c>
      <c r="N385">
        <v>22.5</v>
      </c>
      <c r="O385">
        <v>0</v>
      </c>
      <c r="P385">
        <v>0</v>
      </c>
      <c r="Q385" t="s">
        <v>3361</v>
      </c>
    </row>
    <row r="386" spans="1:17">
      <c r="A386" t="s">
        <v>35</v>
      </c>
      <c r="B386" t="s">
        <v>55</v>
      </c>
      <c r="C386" t="s">
        <v>56</v>
      </c>
      <c r="D386" t="s">
        <v>3360</v>
      </c>
      <c r="E386">
        <v>20</v>
      </c>
      <c r="F386" t="str">
        <f>VLOOKUP(E386,[1]LOJA!$A:$B,2,0)</f>
        <v>DAUTO SERVIÇOS</v>
      </c>
      <c r="G386" t="s">
        <v>19</v>
      </c>
      <c r="H386" t="s">
        <v>19</v>
      </c>
      <c r="I386" s="1">
        <v>46013</v>
      </c>
      <c r="J386" s="1">
        <v>46013</v>
      </c>
      <c r="K386" s="1">
        <v>46013</v>
      </c>
      <c r="L386">
        <v>17</v>
      </c>
      <c r="M386">
        <v>0</v>
      </c>
      <c r="N386">
        <v>0</v>
      </c>
      <c r="O386">
        <v>0</v>
      </c>
      <c r="P386">
        <v>0</v>
      </c>
      <c r="Q386" t="s">
        <v>3361</v>
      </c>
    </row>
    <row r="387" spans="1:17">
      <c r="A387" t="s">
        <v>35</v>
      </c>
      <c r="B387" t="s">
        <v>55</v>
      </c>
      <c r="C387" t="s">
        <v>56</v>
      </c>
      <c r="D387" t="s">
        <v>3360</v>
      </c>
      <c r="E387">
        <v>22</v>
      </c>
      <c r="F387" t="str">
        <f>VLOOKUP(E387,[1]LOJA!$A:$B,2,0)</f>
        <v>GUARÁ</v>
      </c>
      <c r="G387" t="s">
        <v>19</v>
      </c>
      <c r="H387" t="s">
        <v>19</v>
      </c>
      <c r="I387" s="1">
        <v>46013</v>
      </c>
      <c r="J387" s="1">
        <v>46013</v>
      </c>
      <c r="K387" s="1">
        <v>46013</v>
      </c>
      <c r="L387">
        <v>17</v>
      </c>
      <c r="M387">
        <v>22.5</v>
      </c>
      <c r="N387">
        <v>22.5</v>
      </c>
      <c r="O387">
        <v>0</v>
      </c>
      <c r="P387">
        <v>0</v>
      </c>
      <c r="Q387" t="s">
        <v>3361</v>
      </c>
    </row>
    <row r="388" spans="1:17">
      <c r="A388" t="s">
        <v>35</v>
      </c>
      <c r="B388" t="s">
        <v>55</v>
      </c>
      <c r="C388" t="s">
        <v>56</v>
      </c>
      <c r="D388" t="s">
        <v>3360</v>
      </c>
      <c r="E388">
        <v>24</v>
      </c>
      <c r="F388" t="str">
        <f>VLOOKUP(E388,[1]LOJA!$A:$B,2,0)</f>
        <v>LUZIÂNIA</v>
      </c>
      <c r="G388" t="s">
        <v>19</v>
      </c>
      <c r="H388" t="s">
        <v>19</v>
      </c>
      <c r="I388" s="1">
        <v>46013</v>
      </c>
      <c r="J388" s="1">
        <v>46013</v>
      </c>
      <c r="K388" s="1">
        <v>46013</v>
      </c>
      <c r="L388">
        <v>17</v>
      </c>
      <c r="M388">
        <v>22.5</v>
      </c>
      <c r="N388">
        <v>22.5</v>
      </c>
      <c r="O388">
        <v>0</v>
      </c>
      <c r="P388">
        <v>0</v>
      </c>
      <c r="Q388" t="s">
        <v>3361</v>
      </c>
    </row>
    <row r="389" spans="1:17">
      <c r="A389" t="s">
        <v>35</v>
      </c>
      <c r="B389" t="s">
        <v>65</v>
      </c>
      <c r="C389" t="s">
        <v>56</v>
      </c>
      <c r="D389" t="s">
        <v>3362</v>
      </c>
      <c r="E389">
        <v>1</v>
      </c>
      <c r="F389" t="str">
        <f>VLOOKUP(E389,[1]LOJA!$A:$B,2,0)</f>
        <v>GUARÁ</v>
      </c>
      <c r="G389" t="s">
        <v>19</v>
      </c>
      <c r="H389" t="s">
        <v>20</v>
      </c>
      <c r="I389" s="1">
        <v>45995</v>
      </c>
      <c r="J389" s="1">
        <v>46003</v>
      </c>
      <c r="K389" s="1">
        <v>46003</v>
      </c>
      <c r="L389">
        <v>21</v>
      </c>
      <c r="M389">
        <v>0</v>
      </c>
      <c r="N389">
        <v>0</v>
      </c>
      <c r="O389">
        <v>0</v>
      </c>
      <c r="P389">
        <v>0</v>
      </c>
      <c r="Q389" t="s">
        <v>3363</v>
      </c>
    </row>
    <row r="390" spans="1:17">
      <c r="A390" t="s">
        <v>35</v>
      </c>
      <c r="B390" t="s">
        <v>65</v>
      </c>
      <c r="C390" t="s">
        <v>56</v>
      </c>
      <c r="D390" t="s">
        <v>3362</v>
      </c>
      <c r="E390">
        <v>4</v>
      </c>
      <c r="F390" t="str">
        <f>VLOOKUP(E390,[1]LOJA!$A:$B,2,0)</f>
        <v>ADE</v>
      </c>
      <c r="G390" t="s">
        <v>19</v>
      </c>
      <c r="H390" t="s">
        <v>20</v>
      </c>
      <c r="I390" s="1">
        <v>45995</v>
      </c>
      <c r="J390" s="1">
        <v>46003</v>
      </c>
      <c r="K390" s="1">
        <v>46003</v>
      </c>
      <c r="L390">
        <v>21</v>
      </c>
      <c r="M390">
        <v>122.83</v>
      </c>
      <c r="N390">
        <v>122.83</v>
      </c>
      <c r="O390">
        <v>0</v>
      </c>
      <c r="P390">
        <v>0</v>
      </c>
      <c r="Q390" t="s">
        <v>3363</v>
      </c>
    </row>
    <row r="391" spans="1:17">
      <c r="A391" t="s">
        <v>35</v>
      </c>
      <c r="B391" t="s">
        <v>65</v>
      </c>
      <c r="C391" t="s">
        <v>56</v>
      </c>
      <c r="D391" t="s">
        <v>3362</v>
      </c>
      <c r="E391">
        <v>6</v>
      </c>
      <c r="F391" t="str">
        <f>VLOOKUP(E391,[1]LOJA!$A:$B,2,0)</f>
        <v>GAMA</v>
      </c>
      <c r="G391" t="s">
        <v>19</v>
      </c>
      <c r="H391" t="s">
        <v>20</v>
      </c>
      <c r="I391" s="1">
        <v>45995</v>
      </c>
      <c r="J391" s="1">
        <v>46003</v>
      </c>
      <c r="K391" s="1">
        <v>46003</v>
      </c>
      <c r="L391">
        <v>21</v>
      </c>
      <c r="M391">
        <v>122.83</v>
      </c>
      <c r="N391">
        <v>122.83</v>
      </c>
      <c r="O391">
        <v>0</v>
      </c>
      <c r="P391">
        <v>0</v>
      </c>
      <c r="Q391" t="s">
        <v>3363</v>
      </c>
    </row>
    <row r="392" spans="1:17">
      <c r="A392" t="s">
        <v>35</v>
      </c>
      <c r="B392" t="s">
        <v>65</v>
      </c>
      <c r="C392" t="s">
        <v>56</v>
      </c>
      <c r="D392" t="s">
        <v>3362</v>
      </c>
      <c r="E392">
        <v>8</v>
      </c>
      <c r="F392" t="str">
        <f>VLOOKUP(E392,[1]LOJA!$A:$B,2,0)</f>
        <v>LUZIÂNIA</v>
      </c>
      <c r="G392" t="s">
        <v>19</v>
      </c>
      <c r="H392" t="s">
        <v>20</v>
      </c>
      <c r="I392" s="1">
        <v>45995</v>
      </c>
      <c r="J392" s="1">
        <v>46003</v>
      </c>
      <c r="K392" s="1">
        <v>46003</v>
      </c>
      <c r="L392">
        <v>21</v>
      </c>
      <c r="M392">
        <v>0</v>
      </c>
      <c r="N392">
        <v>0</v>
      </c>
      <c r="O392">
        <v>0</v>
      </c>
      <c r="P392">
        <v>0</v>
      </c>
      <c r="Q392" t="s">
        <v>3363</v>
      </c>
    </row>
    <row r="393" spans="1:17">
      <c r="A393" t="s">
        <v>35</v>
      </c>
      <c r="B393" t="s">
        <v>65</v>
      </c>
      <c r="C393" t="s">
        <v>56</v>
      </c>
      <c r="D393" t="s">
        <v>3362</v>
      </c>
      <c r="E393">
        <v>12</v>
      </c>
      <c r="F393" t="str">
        <f>VLOOKUP(E393,[1]LOJA!$A:$B,2,0)</f>
        <v>SOFNORTE</v>
      </c>
      <c r="G393" t="s">
        <v>19</v>
      </c>
      <c r="H393" t="s">
        <v>20</v>
      </c>
      <c r="I393" s="1">
        <v>45995</v>
      </c>
      <c r="J393" s="1">
        <v>46003</v>
      </c>
      <c r="K393" s="1">
        <v>46003</v>
      </c>
      <c r="L393">
        <v>21</v>
      </c>
      <c r="M393">
        <v>122.83</v>
      </c>
      <c r="N393">
        <v>122.83</v>
      </c>
      <c r="O393">
        <v>0</v>
      </c>
      <c r="P393">
        <v>0</v>
      </c>
      <c r="Q393" t="s">
        <v>3363</v>
      </c>
    </row>
    <row r="394" spans="1:17">
      <c r="A394" t="s">
        <v>35</v>
      </c>
      <c r="B394" t="s">
        <v>65</v>
      </c>
      <c r="C394" t="s">
        <v>56</v>
      </c>
      <c r="D394" t="s">
        <v>3362</v>
      </c>
      <c r="E394">
        <v>13</v>
      </c>
      <c r="F394" t="str">
        <f>VLOOKUP(E394,[1]LOJA!$A:$B,2,0)</f>
        <v>CEILÂNDIA</v>
      </c>
      <c r="G394" t="s">
        <v>19</v>
      </c>
      <c r="H394" t="s">
        <v>20</v>
      </c>
      <c r="I394" s="1">
        <v>45995</v>
      </c>
      <c r="J394" s="1">
        <v>46003</v>
      </c>
      <c r="K394" s="1">
        <v>46003</v>
      </c>
      <c r="L394">
        <v>21</v>
      </c>
      <c r="M394">
        <v>122.83</v>
      </c>
      <c r="N394">
        <v>122.83</v>
      </c>
      <c r="O394">
        <v>0</v>
      </c>
      <c r="P394">
        <v>0</v>
      </c>
      <c r="Q394" t="s">
        <v>3363</v>
      </c>
    </row>
    <row r="395" spans="1:17">
      <c r="A395" t="s">
        <v>35</v>
      </c>
      <c r="B395" t="s">
        <v>65</v>
      </c>
      <c r="C395" t="s">
        <v>56</v>
      </c>
      <c r="D395" t="s">
        <v>3362</v>
      </c>
      <c r="E395">
        <v>14</v>
      </c>
      <c r="F395" t="str">
        <f>VLOOKUP(E395,[1]LOJA!$A:$B,2,0)</f>
        <v>S IA</v>
      </c>
      <c r="G395" t="s">
        <v>19</v>
      </c>
      <c r="H395" t="s">
        <v>20</v>
      </c>
      <c r="I395" s="1">
        <v>45995</v>
      </c>
      <c r="J395" s="1">
        <v>46003</v>
      </c>
      <c r="K395" s="1">
        <v>46003</v>
      </c>
      <c r="L395">
        <v>21</v>
      </c>
      <c r="M395">
        <v>122.83</v>
      </c>
      <c r="N395">
        <v>122.83</v>
      </c>
      <c r="O395">
        <v>0</v>
      </c>
      <c r="P395">
        <v>0</v>
      </c>
      <c r="Q395" t="s">
        <v>3363</v>
      </c>
    </row>
    <row r="396" spans="1:17">
      <c r="A396" t="s">
        <v>35</v>
      </c>
      <c r="B396" t="s">
        <v>65</v>
      </c>
      <c r="C396" t="s">
        <v>56</v>
      </c>
      <c r="D396" t="s">
        <v>3362</v>
      </c>
      <c r="E396">
        <v>15</v>
      </c>
      <c r="F396" t="str">
        <f>VLOOKUP(E396,[1]LOJA!$A:$B,2,0)</f>
        <v>UNAÍ</v>
      </c>
      <c r="G396" t="s">
        <v>19</v>
      </c>
      <c r="H396" t="s">
        <v>20</v>
      </c>
      <c r="I396" s="1">
        <v>45995</v>
      </c>
      <c r="J396" s="1">
        <v>46003</v>
      </c>
      <c r="K396" s="1">
        <v>46003</v>
      </c>
      <c r="L396">
        <v>21</v>
      </c>
      <c r="M396">
        <v>122.83</v>
      </c>
      <c r="N396">
        <v>122.83</v>
      </c>
      <c r="O396">
        <v>0</v>
      </c>
      <c r="P396">
        <v>0</v>
      </c>
      <c r="Q396" t="s">
        <v>3363</v>
      </c>
    </row>
    <row r="397" spans="1:17">
      <c r="A397" t="s">
        <v>35</v>
      </c>
      <c r="B397" t="s">
        <v>65</v>
      </c>
      <c r="C397" t="s">
        <v>56</v>
      </c>
      <c r="D397" t="s">
        <v>3362</v>
      </c>
      <c r="E397">
        <v>16</v>
      </c>
      <c r="F397" t="str">
        <f>VLOOKUP(E397,[1]LOJA!$A:$B,2,0)</f>
        <v>AG LINDAS</v>
      </c>
      <c r="G397" t="s">
        <v>19</v>
      </c>
      <c r="H397" t="s">
        <v>20</v>
      </c>
      <c r="I397" s="1">
        <v>45995</v>
      </c>
      <c r="J397" s="1">
        <v>46003</v>
      </c>
      <c r="K397" s="1">
        <v>46003</v>
      </c>
      <c r="L397">
        <v>21</v>
      </c>
      <c r="M397">
        <v>122.83</v>
      </c>
      <c r="N397">
        <v>122.83</v>
      </c>
      <c r="O397">
        <v>0</v>
      </c>
      <c r="P397">
        <v>0</v>
      </c>
      <c r="Q397" t="s">
        <v>3363</v>
      </c>
    </row>
    <row r="398" spans="1:17">
      <c r="A398" t="s">
        <v>35</v>
      </c>
      <c r="B398" t="s">
        <v>65</v>
      </c>
      <c r="C398" t="s">
        <v>56</v>
      </c>
      <c r="D398" t="s">
        <v>3362</v>
      </c>
      <c r="E398">
        <v>20</v>
      </c>
      <c r="F398" t="str">
        <f>VLOOKUP(E398,[1]LOJA!$A:$B,2,0)</f>
        <v>DAUTO SERVIÇOS</v>
      </c>
      <c r="G398" t="s">
        <v>19</v>
      </c>
      <c r="H398" t="s">
        <v>20</v>
      </c>
      <c r="I398" s="1">
        <v>45995</v>
      </c>
      <c r="J398" s="1">
        <v>46003</v>
      </c>
      <c r="K398" s="1">
        <v>46003</v>
      </c>
      <c r="L398">
        <v>21</v>
      </c>
      <c r="M398">
        <v>0</v>
      </c>
      <c r="N398">
        <v>0</v>
      </c>
      <c r="O398">
        <v>0</v>
      </c>
      <c r="P398">
        <v>0</v>
      </c>
      <c r="Q398" t="s">
        <v>3363</v>
      </c>
    </row>
    <row r="399" spans="1:17">
      <c r="A399" t="s">
        <v>35</v>
      </c>
      <c r="B399" t="s">
        <v>65</v>
      </c>
      <c r="C399" t="s">
        <v>56</v>
      </c>
      <c r="D399" t="s">
        <v>3362</v>
      </c>
      <c r="E399">
        <v>22</v>
      </c>
      <c r="F399" t="str">
        <f>VLOOKUP(E399,[1]LOJA!$A:$B,2,0)</f>
        <v>GUARÁ</v>
      </c>
      <c r="G399" t="s">
        <v>19</v>
      </c>
      <c r="H399" t="s">
        <v>20</v>
      </c>
      <c r="I399" s="1">
        <v>45995</v>
      </c>
      <c r="J399" s="1">
        <v>46003</v>
      </c>
      <c r="K399" s="1">
        <v>46003</v>
      </c>
      <c r="L399">
        <v>21</v>
      </c>
      <c r="M399">
        <v>122.83</v>
      </c>
      <c r="N399">
        <v>122.83</v>
      </c>
      <c r="O399">
        <v>0</v>
      </c>
      <c r="P399">
        <v>0</v>
      </c>
      <c r="Q399" t="s">
        <v>3363</v>
      </c>
    </row>
    <row r="400" spans="1:17">
      <c r="A400" t="s">
        <v>35</v>
      </c>
      <c r="B400" t="s">
        <v>65</v>
      </c>
      <c r="C400" t="s">
        <v>56</v>
      </c>
      <c r="D400" t="s">
        <v>3362</v>
      </c>
      <c r="E400">
        <v>24</v>
      </c>
      <c r="F400" t="str">
        <f>VLOOKUP(E400,[1]LOJA!$A:$B,2,0)</f>
        <v>LUZIÂNIA</v>
      </c>
      <c r="G400" t="s">
        <v>19</v>
      </c>
      <c r="H400" t="s">
        <v>20</v>
      </c>
      <c r="I400" s="1">
        <v>45995</v>
      </c>
      <c r="J400" s="1">
        <v>46003</v>
      </c>
      <c r="K400" s="1">
        <v>46003</v>
      </c>
      <c r="L400">
        <v>21</v>
      </c>
      <c r="M400">
        <v>122.83</v>
      </c>
      <c r="N400">
        <v>122.83</v>
      </c>
      <c r="O400">
        <v>0</v>
      </c>
      <c r="P400">
        <v>0</v>
      </c>
      <c r="Q400" t="s">
        <v>3363</v>
      </c>
    </row>
    <row r="401" spans="1:17">
      <c r="A401" t="s">
        <v>35</v>
      </c>
      <c r="B401" t="s">
        <v>3364</v>
      </c>
      <c r="C401" t="s">
        <v>56</v>
      </c>
      <c r="D401" t="s">
        <v>3365</v>
      </c>
      <c r="E401">
        <v>4</v>
      </c>
      <c r="F401" t="str">
        <f>VLOOKUP(E401,[1]LOJA!$A:$B,2,0)</f>
        <v>ADE</v>
      </c>
      <c r="G401" t="s">
        <v>19</v>
      </c>
      <c r="H401" t="s">
        <v>19</v>
      </c>
      <c r="I401" s="1">
        <v>46013</v>
      </c>
      <c r="J401" s="1">
        <v>46013</v>
      </c>
      <c r="K401" s="1">
        <v>46013</v>
      </c>
      <c r="L401">
        <v>3</v>
      </c>
      <c r="M401">
        <v>19</v>
      </c>
      <c r="N401">
        <v>19</v>
      </c>
      <c r="O401">
        <v>0</v>
      </c>
      <c r="P401">
        <v>0</v>
      </c>
      <c r="Q401" t="s">
        <v>3366</v>
      </c>
    </row>
    <row r="402" spans="1:17">
      <c r="A402" t="s">
        <v>35</v>
      </c>
      <c r="B402" t="s">
        <v>3367</v>
      </c>
      <c r="C402" t="s">
        <v>3253</v>
      </c>
      <c r="D402" t="s">
        <v>3368</v>
      </c>
      <c r="E402">
        <v>15</v>
      </c>
      <c r="F402" t="str">
        <f>VLOOKUP(E402,[1]LOJA!$A:$B,2,0)</f>
        <v>UNAÍ</v>
      </c>
      <c r="G402" t="s">
        <v>19</v>
      </c>
      <c r="H402" t="s">
        <v>19</v>
      </c>
      <c r="I402" s="1">
        <v>46007</v>
      </c>
      <c r="J402" s="1">
        <v>46007</v>
      </c>
      <c r="K402" s="1">
        <v>46007</v>
      </c>
      <c r="L402">
        <v>26</v>
      </c>
      <c r="M402">
        <v>450</v>
      </c>
      <c r="N402">
        <v>450</v>
      </c>
      <c r="O402">
        <v>0</v>
      </c>
      <c r="P402">
        <v>0</v>
      </c>
      <c r="Q402" t="s">
        <v>74</v>
      </c>
    </row>
    <row r="403" spans="1:17">
      <c r="A403" t="s">
        <v>35</v>
      </c>
      <c r="B403" t="s">
        <v>3367</v>
      </c>
      <c r="C403" t="s">
        <v>3253</v>
      </c>
      <c r="D403" t="s">
        <v>3369</v>
      </c>
      <c r="E403">
        <v>15</v>
      </c>
      <c r="F403" t="str">
        <f>VLOOKUP(E403,[1]LOJA!$A:$B,2,0)</f>
        <v>UNAÍ</v>
      </c>
      <c r="G403" t="s">
        <v>19</v>
      </c>
      <c r="H403" t="s">
        <v>19</v>
      </c>
      <c r="I403" s="1">
        <v>46010</v>
      </c>
      <c r="J403" s="1">
        <v>46010</v>
      </c>
      <c r="K403" s="1">
        <v>46010</v>
      </c>
      <c r="L403">
        <v>36</v>
      </c>
      <c r="M403">
        <v>500</v>
      </c>
      <c r="N403">
        <v>500</v>
      </c>
      <c r="O403">
        <v>0</v>
      </c>
      <c r="P403">
        <v>0</v>
      </c>
      <c r="Q403" t="s">
        <v>74</v>
      </c>
    </row>
    <row r="404" spans="1:17">
      <c r="A404" t="s">
        <v>35</v>
      </c>
      <c r="B404" t="s">
        <v>3367</v>
      </c>
      <c r="C404" t="s">
        <v>3253</v>
      </c>
      <c r="D404" t="s">
        <v>3370</v>
      </c>
      <c r="E404">
        <v>14</v>
      </c>
      <c r="F404" t="str">
        <f>VLOOKUP(E404,[1]LOJA!$A:$B,2,0)</f>
        <v>S IA</v>
      </c>
      <c r="G404" t="s">
        <v>19</v>
      </c>
      <c r="H404" t="s">
        <v>19</v>
      </c>
      <c r="I404" s="1">
        <v>46007</v>
      </c>
      <c r="J404" s="1">
        <v>46007</v>
      </c>
      <c r="K404" s="1">
        <v>46007</v>
      </c>
      <c r="L404">
        <v>30</v>
      </c>
      <c r="M404">
        <v>200</v>
      </c>
      <c r="N404">
        <v>200</v>
      </c>
      <c r="O404">
        <v>0</v>
      </c>
      <c r="P404">
        <v>0</v>
      </c>
      <c r="Q404" t="s">
        <v>3371</v>
      </c>
    </row>
    <row r="405" spans="1:17">
      <c r="A405" t="s">
        <v>35</v>
      </c>
      <c r="B405" t="s">
        <v>3367</v>
      </c>
      <c r="C405" t="s">
        <v>3253</v>
      </c>
      <c r="D405" t="s">
        <v>3372</v>
      </c>
      <c r="E405">
        <v>4</v>
      </c>
      <c r="F405" t="str">
        <f>VLOOKUP(E405,[1]LOJA!$A:$B,2,0)</f>
        <v>ADE</v>
      </c>
      <c r="G405" t="s">
        <v>19</v>
      </c>
      <c r="H405" t="s">
        <v>19</v>
      </c>
      <c r="I405" s="1">
        <v>46007</v>
      </c>
      <c r="J405" s="1">
        <v>46007</v>
      </c>
      <c r="K405" s="1">
        <v>46007</v>
      </c>
      <c r="L405">
        <v>30</v>
      </c>
      <c r="M405" s="2">
        <v>2300</v>
      </c>
      <c r="N405" s="2">
        <v>2300</v>
      </c>
      <c r="O405">
        <v>0</v>
      </c>
      <c r="P405">
        <v>0</v>
      </c>
      <c r="Q405" t="s">
        <v>74</v>
      </c>
    </row>
    <row r="406" spans="1:17">
      <c r="A406" t="s">
        <v>35</v>
      </c>
      <c r="B406" t="s">
        <v>3367</v>
      </c>
      <c r="C406" t="s">
        <v>3253</v>
      </c>
      <c r="D406" t="s">
        <v>3373</v>
      </c>
      <c r="E406">
        <v>13</v>
      </c>
      <c r="F406" t="str">
        <f>VLOOKUP(E406,[1]LOJA!$A:$B,2,0)</f>
        <v>CEILÂNDIA</v>
      </c>
      <c r="G406" t="s">
        <v>19</v>
      </c>
      <c r="H406" t="s">
        <v>19</v>
      </c>
      <c r="I406" s="1">
        <v>46007</v>
      </c>
      <c r="J406" s="1">
        <v>46007</v>
      </c>
      <c r="K406" s="1">
        <v>46007</v>
      </c>
      <c r="L406">
        <v>30</v>
      </c>
      <c r="M406">
        <v>500</v>
      </c>
      <c r="N406">
        <v>500</v>
      </c>
      <c r="O406">
        <v>0</v>
      </c>
      <c r="P406">
        <v>0</v>
      </c>
      <c r="Q406" t="s">
        <v>74</v>
      </c>
    </row>
    <row r="407" spans="1:17">
      <c r="A407" t="s">
        <v>35</v>
      </c>
      <c r="B407" t="s">
        <v>3367</v>
      </c>
      <c r="C407" t="s">
        <v>3253</v>
      </c>
      <c r="D407" t="s">
        <v>3374</v>
      </c>
      <c r="E407">
        <v>16</v>
      </c>
      <c r="F407" t="str">
        <f>VLOOKUP(E407,[1]LOJA!$A:$B,2,0)</f>
        <v>AG LINDAS</v>
      </c>
      <c r="G407" t="s">
        <v>19</v>
      </c>
      <c r="H407" t="s">
        <v>19</v>
      </c>
      <c r="I407" s="1">
        <v>46007</v>
      </c>
      <c r="J407" s="1">
        <v>46007</v>
      </c>
      <c r="K407" s="1">
        <v>46007</v>
      </c>
      <c r="L407">
        <v>30</v>
      </c>
      <c r="M407">
        <v>150</v>
      </c>
      <c r="N407">
        <v>150</v>
      </c>
      <c r="O407">
        <v>0</v>
      </c>
      <c r="P407">
        <v>0</v>
      </c>
      <c r="Q407" t="s">
        <v>74</v>
      </c>
    </row>
    <row r="408" spans="1:17">
      <c r="A408" t="s">
        <v>35</v>
      </c>
      <c r="B408" t="s">
        <v>3367</v>
      </c>
      <c r="C408" t="s">
        <v>3253</v>
      </c>
      <c r="D408" t="s">
        <v>3375</v>
      </c>
      <c r="E408">
        <v>8</v>
      </c>
      <c r="F408" t="str">
        <f>VLOOKUP(E408,[1]LOJA!$A:$B,2,0)</f>
        <v>LUZIÂNIA</v>
      </c>
      <c r="G408" t="s">
        <v>19</v>
      </c>
      <c r="H408" t="s">
        <v>19</v>
      </c>
      <c r="I408" s="1">
        <v>46007</v>
      </c>
      <c r="J408" s="1">
        <v>46007</v>
      </c>
      <c r="K408" s="1">
        <v>46007</v>
      </c>
      <c r="L408">
        <v>32</v>
      </c>
      <c r="M408" s="2">
        <v>2000</v>
      </c>
      <c r="N408" s="2">
        <v>2000</v>
      </c>
      <c r="O408">
        <v>0</v>
      </c>
      <c r="P408">
        <v>0</v>
      </c>
      <c r="Q408" t="s">
        <v>74</v>
      </c>
    </row>
    <row r="409" spans="1:17">
      <c r="A409" t="s">
        <v>35</v>
      </c>
      <c r="B409" t="s">
        <v>3367</v>
      </c>
      <c r="C409" t="s">
        <v>3253</v>
      </c>
      <c r="D409" t="s">
        <v>3376</v>
      </c>
      <c r="E409">
        <v>4</v>
      </c>
      <c r="F409" t="str">
        <f>VLOOKUP(E409,[1]LOJA!$A:$B,2,0)</f>
        <v>ADE</v>
      </c>
      <c r="G409" t="s">
        <v>19</v>
      </c>
      <c r="H409" t="s">
        <v>19</v>
      </c>
      <c r="I409" s="1">
        <v>46007</v>
      </c>
      <c r="J409" s="1">
        <v>46007</v>
      </c>
      <c r="K409" s="1">
        <v>46007</v>
      </c>
      <c r="L409">
        <v>33</v>
      </c>
      <c r="M409" s="2">
        <v>2400</v>
      </c>
      <c r="N409" s="2">
        <v>2400</v>
      </c>
      <c r="O409">
        <v>0</v>
      </c>
      <c r="P409">
        <v>0</v>
      </c>
      <c r="Q409" t="s">
        <v>74</v>
      </c>
    </row>
    <row r="410" spans="1:17">
      <c r="A410" t="s">
        <v>35</v>
      </c>
      <c r="B410" t="s">
        <v>3367</v>
      </c>
      <c r="C410" t="s">
        <v>3253</v>
      </c>
      <c r="D410" t="s">
        <v>3377</v>
      </c>
      <c r="E410">
        <v>12</v>
      </c>
      <c r="F410" t="str">
        <f>VLOOKUP(E410,[1]LOJA!$A:$B,2,0)</f>
        <v>SOFNORTE</v>
      </c>
      <c r="G410" t="s">
        <v>19</v>
      </c>
      <c r="H410" t="s">
        <v>19</v>
      </c>
      <c r="I410" s="1">
        <v>46007</v>
      </c>
      <c r="J410" s="1">
        <v>46007</v>
      </c>
      <c r="K410" s="1">
        <v>46007</v>
      </c>
      <c r="L410">
        <v>33</v>
      </c>
      <c r="M410">
        <v>300</v>
      </c>
      <c r="N410">
        <v>300</v>
      </c>
      <c r="O410">
        <v>0</v>
      </c>
      <c r="P410">
        <v>0</v>
      </c>
      <c r="Q410" t="s">
        <v>74</v>
      </c>
    </row>
    <row r="411" spans="1:17">
      <c r="A411" t="s">
        <v>35</v>
      </c>
      <c r="B411" t="s">
        <v>3367</v>
      </c>
      <c r="C411" t="s">
        <v>3253</v>
      </c>
      <c r="D411" t="s">
        <v>3378</v>
      </c>
      <c r="E411">
        <v>22</v>
      </c>
      <c r="F411" t="str">
        <f>VLOOKUP(E411,[1]LOJA!$A:$B,2,0)</f>
        <v>GUARÁ</v>
      </c>
      <c r="G411" t="s">
        <v>19</v>
      </c>
      <c r="H411" t="s">
        <v>19</v>
      </c>
      <c r="I411" s="1">
        <v>46007</v>
      </c>
      <c r="J411" s="1">
        <v>46007</v>
      </c>
      <c r="K411" s="1">
        <v>46007</v>
      </c>
      <c r="L411">
        <v>33</v>
      </c>
      <c r="M411">
        <v>300</v>
      </c>
      <c r="N411">
        <v>300</v>
      </c>
      <c r="O411">
        <v>0</v>
      </c>
      <c r="P411">
        <v>0</v>
      </c>
      <c r="Q411" t="s">
        <v>74</v>
      </c>
    </row>
    <row r="412" spans="1:17">
      <c r="A412" t="s">
        <v>35</v>
      </c>
      <c r="B412" t="s">
        <v>3367</v>
      </c>
      <c r="C412" t="s">
        <v>3253</v>
      </c>
      <c r="D412" t="s">
        <v>3379</v>
      </c>
      <c r="E412">
        <v>14</v>
      </c>
      <c r="F412" t="str">
        <f>VLOOKUP(E412,[1]LOJA!$A:$B,2,0)</f>
        <v>S IA</v>
      </c>
      <c r="G412" t="s">
        <v>19</v>
      </c>
      <c r="H412" t="s">
        <v>19</v>
      </c>
      <c r="I412" s="1">
        <v>46007</v>
      </c>
      <c r="J412" s="1">
        <v>46007</v>
      </c>
      <c r="K412" s="1">
        <v>46007</v>
      </c>
      <c r="L412">
        <v>33</v>
      </c>
      <c r="M412" s="2">
        <v>2350</v>
      </c>
      <c r="N412" s="2">
        <v>2350</v>
      </c>
      <c r="O412">
        <v>0</v>
      </c>
      <c r="P412">
        <v>0</v>
      </c>
      <c r="Q412" t="s">
        <v>74</v>
      </c>
    </row>
    <row r="413" spans="1:17">
      <c r="A413" t="s">
        <v>35</v>
      </c>
      <c r="B413" t="s">
        <v>3367</v>
      </c>
      <c r="C413" t="s">
        <v>3253</v>
      </c>
      <c r="D413" t="s">
        <v>3380</v>
      </c>
      <c r="E413">
        <v>13</v>
      </c>
      <c r="F413" t="str">
        <f>VLOOKUP(E413,[1]LOJA!$A:$B,2,0)</f>
        <v>CEILÂNDIA</v>
      </c>
      <c r="G413" t="s">
        <v>19</v>
      </c>
      <c r="H413" t="s">
        <v>19</v>
      </c>
      <c r="I413" s="1">
        <v>46007</v>
      </c>
      <c r="J413" s="1">
        <v>46007</v>
      </c>
      <c r="K413" s="1">
        <v>46007</v>
      </c>
      <c r="L413">
        <v>33</v>
      </c>
      <c r="M413">
        <v>700</v>
      </c>
      <c r="N413">
        <v>700</v>
      </c>
      <c r="O413">
        <v>0</v>
      </c>
      <c r="P413">
        <v>0</v>
      </c>
      <c r="Q413" t="s">
        <v>74</v>
      </c>
    </row>
    <row r="414" spans="1:17">
      <c r="A414" t="s">
        <v>35</v>
      </c>
      <c r="B414" t="s">
        <v>3367</v>
      </c>
      <c r="C414" t="s">
        <v>3253</v>
      </c>
      <c r="D414" t="s">
        <v>3381</v>
      </c>
      <c r="E414">
        <v>15</v>
      </c>
      <c r="F414" t="str">
        <f>VLOOKUP(E414,[1]LOJA!$A:$B,2,0)</f>
        <v>UNAÍ</v>
      </c>
      <c r="G414" t="s">
        <v>19</v>
      </c>
      <c r="H414" t="s">
        <v>19</v>
      </c>
      <c r="I414" s="1">
        <v>46007</v>
      </c>
      <c r="J414" s="1">
        <v>46007</v>
      </c>
      <c r="K414" s="1">
        <v>46007</v>
      </c>
      <c r="L414">
        <v>36</v>
      </c>
      <c r="M414" s="2">
        <v>2500</v>
      </c>
      <c r="N414" s="2">
        <v>2500</v>
      </c>
      <c r="O414">
        <v>0</v>
      </c>
      <c r="P414">
        <v>0</v>
      </c>
      <c r="Q414" t="s">
        <v>74</v>
      </c>
    </row>
    <row r="415" spans="1:17">
      <c r="A415" t="s">
        <v>35</v>
      </c>
      <c r="B415" t="s">
        <v>68</v>
      </c>
      <c r="C415" t="s">
        <v>56</v>
      </c>
      <c r="D415" t="s">
        <v>3382</v>
      </c>
      <c r="E415">
        <v>8</v>
      </c>
      <c r="F415" t="str">
        <f>VLOOKUP(E415,[1]LOJA!$A:$B,2,0)</f>
        <v>LUZIÂNIA</v>
      </c>
      <c r="G415" t="s">
        <v>19</v>
      </c>
      <c r="H415" t="s">
        <v>19</v>
      </c>
      <c r="I415" s="1">
        <v>45944</v>
      </c>
      <c r="J415" s="1">
        <v>46006</v>
      </c>
      <c r="K415" s="1">
        <v>46006</v>
      </c>
      <c r="L415">
        <v>37</v>
      </c>
      <c r="M415">
        <v>205</v>
      </c>
      <c r="N415">
        <v>205</v>
      </c>
      <c r="O415">
        <v>0</v>
      </c>
      <c r="P415">
        <v>0</v>
      </c>
      <c r="Q415" t="s">
        <v>3383</v>
      </c>
    </row>
    <row r="416" spans="1:17">
      <c r="A416" t="s">
        <v>35</v>
      </c>
      <c r="B416" t="s">
        <v>3254</v>
      </c>
      <c r="C416" t="s">
        <v>3253</v>
      </c>
      <c r="D416" t="s">
        <v>3384</v>
      </c>
      <c r="E416">
        <v>16</v>
      </c>
      <c r="F416" t="str">
        <f>VLOOKUP(E416,[1]LOJA!$A:$B,2,0)</f>
        <v>AG LINDAS</v>
      </c>
      <c r="G416" t="s">
        <v>19</v>
      </c>
      <c r="H416" t="s">
        <v>19</v>
      </c>
      <c r="I416" s="1">
        <v>45996</v>
      </c>
      <c r="J416" s="1">
        <v>45996</v>
      </c>
      <c r="K416" s="1">
        <v>45996</v>
      </c>
      <c r="L416">
        <v>37</v>
      </c>
      <c r="M416" s="2">
        <v>1809.27</v>
      </c>
      <c r="N416" s="2">
        <v>1809.27</v>
      </c>
      <c r="O416">
        <v>0</v>
      </c>
      <c r="P416">
        <v>0</v>
      </c>
      <c r="Q416" t="s">
        <v>3385</v>
      </c>
    </row>
    <row r="417" spans="1:17">
      <c r="A417" t="s">
        <v>35</v>
      </c>
      <c r="B417" t="s">
        <v>3254</v>
      </c>
      <c r="C417" t="s">
        <v>3253</v>
      </c>
      <c r="D417" t="s">
        <v>3386</v>
      </c>
      <c r="E417">
        <v>15</v>
      </c>
      <c r="F417" t="str">
        <f>VLOOKUP(E417,[1]LOJA!$A:$B,2,0)</f>
        <v>UNAÍ</v>
      </c>
      <c r="G417" t="s">
        <v>19</v>
      </c>
      <c r="H417" t="s">
        <v>19</v>
      </c>
      <c r="I417" s="1">
        <v>46002</v>
      </c>
      <c r="J417" s="1">
        <v>46002</v>
      </c>
      <c r="K417" s="1">
        <v>46002</v>
      </c>
      <c r="L417">
        <v>36</v>
      </c>
      <c r="M417" s="2">
        <v>6273.27</v>
      </c>
      <c r="N417" s="2">
        <v>6273.27</v>
      </c>
      <c r="O417">
        <v>0</v>
      </c>
      <c r="P417">
        <v>0</v>
      </c>
      <c r="Q417" t="s">
        <v>3387</v>
      </c>
    </row>
    <row r="418" spans="1:17">
      <c r="A418" t="s">
        <v>35</v>
      </c>
      <c r="B418" t="s">
        <v>3254</v>
      </c>
      <c r="C418" t="s">
        <v>3253</v>
      </c>
      <c r="D418" t="s">
        <v>3388</v>
      </c>
      <c r="E418">
        <v>6</v>
      </c>
      <c r="F418" t="str">
        <f>VLOOKUP(E418,[1]LOJA!$A:$B,2,0)</f>
        <v>GAMA</v>
      </c>
      <c r="G418" t="s">
        <v>19</v>
      </c>
      <c r="H418" t="s">
        <v>19</v>
      </c>
      <c r="I418" s="1">
        <v>46014</v>
      </c>
      <c r="J418" s="1">
        <v>46014</v>
      </c>
      <c r="K418" s="1">
        <v>46014</v>
      </c>
      <c r="L418">
        <v>30</v>
      </c>
      <c r="M418" s="2">
        <v>6262.01</v>
      </c>
      <c r="N418" s="2">
        <v>6262.01</v>
      </c>
      <c r="O418">
        <v>0</v>
      </c>
      <c r="P418">
        <v>0</v>
      </c>
      <c r="Q418" t="s">
        <v>3389</v>
      </c>
    </row>
    <row r="419" spans="1:17">
      <c r="A419" t="s">
        <v>35</v>
      </c>
      <c r="B419" t="s">
        <v>3254</v>
      </c>
      <c r="C419" t="s">
        <v>3253</v>
      </c>
      <c r="D419" t="s">
        <v>3390</v>
      </c>
      <c r="E419">
        <v>8</v>
      </c>
      <c r="F419" t="str">
        <f>VLOOKUP(E419,[1]LOJA!$A:$B,2,0)</f>
        <v>LUZIÂNIA</v>
      </c>
      <c r="G419" t="s">
        <v>19</v>
      </c>
      <c r="H419" t="s">
        <v>19</v>
      </c>
      <c r="I419" s="1">
        <v>46003</v>
      </c>
      <c r="J419" s="1">
        <v>46003</v>
      </c>
      <c r="K419" s="1">
        <v>46003</v>
      </c>
      <c r="L419">
        <v>32</v>
      </c>
      <c r="M419" s="2">
        <v>3983.44</v>
      </c>
      <c r="N419" s="2">
        <v>3983.44</v>
      </c>
      <c r="O419">
        <v>0</v>
      </c>
      <c r="P419">
        <v>0</v>
      </c>
      <c r="Q419" t="s">
        <v>74</v>
      </c>
    </row>
    <row r="420" spans="1:17">
      <c r="A420" t="s">
        <v>35</v>
      </c>
      <c r="B420" t="s">
        <v>3254</v>
      </c>
      <c r="C420" t="s">
        <v>3253</v>
      </c>
      <c r="D420" t="s">
        <v>3391</v>
      </c>
      <c r="E420">
        <v>8</v>
      </c>
      <c r="F420" t="str">
        <f>VLOOKUP(E420,[1]LOJA!$A:$B,2,0)</f>
        <v>LUZIÂNIA</v>
      </c>
      <c r="G420" t="s">
        <v>19</v>
      </c>
      <c r="H420" t="s">
        <v>19</v>
      </c>
      <c r="I420" s="1">
        <v>46010</v>
      </c>
      <c r="J420" s="1">
        <v>46010</v>
      </c>
      <c r="K420" s="1">
        <v>46010</v>
      </c>
      <c r="L420">
        <v>32</v>
      </c>
      <c r="M420" s="2">
        <v>3538.88</v>
      </c>
      <c r="N420" s="2">
        <v>3538.88</v>
      </c>
      <c r="O420">
        <v>0</v>
      </c>
      <c r="P420">
        <v>0</v>
      </c>
      <c r="Q420" t="s">
        <v>74</v>
      </c>
    </row>
    <row r="421" spans="1:17">
      <c r="A421" t="s">
        <v>35</v>
      </c>
      <c r="B421" t="s">
        <v>3254</v>
      </c>
      <c r="C421" t="s">
        <v>3253</v>
      </c>
      <c r="D421" t="s">
        <v>3252</v>
      </c>
      <c r="E421">
        <v>22</v>
      </c>
      <c r="F421" t="str">
        <f>VLOOKUP(E421,[1]LOJA!$A:$B,2,0)</f>
        <v>GUARÁ</v>
      </c>
      <c r="G421" t="s">
        <v>19</v>
      </c>
      <c r="H421" t="s">
        <v>19</v>
      </c>
      <c r="I421" s="1">
        <v>46021</v>
      </c>
      <c r="J421" s="1">
        <v>46021</v>
      </c>
      <c r="K421" s="1">
        <v>46021</v>
      </c>
      <c r="L421">
        <v>36</v>
      </c>
      <c r="M421" s="2">
        <v>2445.92</v>
      </c>
      <c r="N421" s="2">
        <v>2445.92</v>
      </c>
      <c r="O421">
        <v>0</v>
      </c>
      <c r="P421">
        <v>0</v>
      </c>
      <c r="Q421" t="s">
        <v>3251</v>
      </c>
    </row>
    <row r="422" spans="1:17">
      <c r="A422" t="s">
        <v>35</v>
      </c>
      <c r="B422" t="s">
        <v>3254</v>
      </c>
      <c r="C422" t="s">
        <v>3253</v>
      </c>
      <c r="D422" t="s">
        <v>3392</v>
      </c>
      <c r="E422">
        <v>15</v>
      </c>
      <c r="F422" t="str">
        <f>VLOOKUP(E422,[1]LOJA!$A:$B,2,0)</f>
        <v>UNAÍ</v>
      </c>
      <c r="G422" t="s">
        <v>19</v>
      </c>
      <c r="H422" t="s">
        <v>19</v>
      </c>
      <c r="I422" s="1">
        <v>46010</v>
      </c>
      <c r="J422" s="1">
        <v>46010</v>
      </c>
      <c r="K422" s="1">
        <v>46010</v>
      </c>
      <c r="L422">
        <v>26</v>
      </c>
      <c r="M422" s="2">
        <v>3809.58</v>
      </c>
      <c r="N422" s="2">
        <v>3809.58</v>
      </c>
      <c r="O422">
        <v>0</v>
      </c>
      <c r="P422">
        <v>0</v>
      </c>
      <c r="Q422" t="s">
        <v>3251</v>
      </c>
    </row>
    <row r="423" spans="1:17">
      <c r="A423" t="s">
        <v>35</v>
      </c>
      <c r="B423" t="s">
        <v>3393</v>
      </c>
      <c r="C423" t="s">
        <v>3394</v>
      </c>
      <c r="D423" t="s">
        <v>3395</v>
      </c>
      <c r="E423">
        <v>1</v>
      </c>
      <c r="F423" t="str">
        <f>VLOOKUP(E423,[1]LOJA!$A:$B,2,0)</f>
        <v>GUARÁ</v>
      </c>
      <c r="G423" t="s">
        <v>19</v>
      </c>
      <c r="H423" t="s">
        <v>20</v>
      </c>
      <c r="I423" s="1">
        <v>45293</v>
      </c>
      <c r="J423" s="1">
        <v>46022</v>
      </c>
      <c r="K423" s="1">
        <v>46021</v>
      </c>
      <c r="L423">
        <v>26</v>
      </c>
      <c r="M423" s="2">
        <v>1710.93</v>
      </c>
      <c r="N423" s="2">
        <v>1710.93</v>
      </c>
      <c r="O423">
        <v>0</v>
      </c>
      <c r="P423">
        <v>0</v>
      </c>
      <c r="Q423" t="s">
        <v>3396</v>
      </c>
    </row>
    <row r="424" spans="1:17">
      <c r="A424" t="s">
        <v>35</v>
      </c>
      <c r="B424" t="s">
        <v>3393</v>
      </c>
      <c r="C424" t="s">
        <v>3394</v>
      </c>
      <c r="D424" t="s">
        <v>3395</v>
      </c>
      <c r="E424">
        <v>1</v>
      </c>
      <c r="F424" t="str">
        <f>VLOOKUP(E424,[1]LOJA!$A:$B,2,0)</f>
        <v>GUARÁ</v>
      </c>
      <c r="G424" t="s">
        <v>19</v>
      </c>
      <c r="H424" t="s">
        <v>20</v>
      </c>
      <c r="I424" s="1">
        <v>45293</v>
      </c>
      <c r="J424" s="1">
        <v>46022</v>
      </c>
      <c r="K424" s="1">
        <v>46021</v>
      </c>
      <c r="L424">
        <v>21</v>
      </c>
      <c r="M424">
        <v>480.6</v>
      </c>
      <c r="N424">
        <v>480.6</v>
      </c>
      <c r="O424">
        <v>0</v>
      </c>
      <c r="P424">
        <v>0</v>
      </c>
      <c r="Q424" t="s">
        <v>3396</v>
      </c>
    </row>
    <row r="425" spans="1:17">
      <c r="A425" t="s">
        <v>35</v>
      </c>
      <c r="B425" t="s">
        <v>3393</v>
      </c>
      <c r="C425" t="s">
        <v>3394</v>
      </c>
      <c r="D425" t="s">
        <v>3395</v>
      </c>
      <c r="E425">
        <v>4</v>
      </c>
      <c r="F425" t="str">
        <f>VLOOKUP(E425,[1]LOJA!$A:$B,2,0)</f>
        <v>ADE</v>
      </c>
      <c r="G425" t="s">
        <v>19</v>
      </c>
      <c r="H425" t="s">
        <v>20</v>
      </c>
      <c r="I425" s="1">
        <v>45293</v>
      </c>
      <c r="J425" s="1">
        <v>46022</v>
      </c>
      <c r="K425" s="1">
        <v>46021</v>
      </c>
      <c r="L425">
        <v>26</v>
      </c>
      <c r="M425" s="2">
        <v>1330.73</v>
      </c>
      <c r="N425" s="2">
        <v>1330.73</v>
      </c>
      <c r="O425">
        <v>0</v>
      </c>
      <c r="P425">
        <v>0</v>
      </c>
      <c r="Q425" t="s">
        <v>3396</v>
      </c>
    </row>
    <row r="426" spans="1:17">
      <c r="A426" t="s">
        <v>35</v>
      </c>
      <c r="B426" t="s">
        <v>3393</v>
      </c>
      <c r="C426" t="s">
        <v>3394</v>
      </c>
      <c r="D426" t="s">
        <v>3395</v>
      </c>
      <c r="E426">
        <v>4</v>
      </c>
      <c r="F426" t="str">
        <f>VLOOKUP(E426,[1]LOJA!$A:$B,2,0)</f>
        <v>ADE</v>
      </c>
      <c r="G426" t="s">
        <v>19</v>
      </c>
      <c r="H426" t="s">
        <v>20</v>
      </c>
      <c r="I426" s="1">
        <v>45293</v>
      </c>
      <c r="J426" s="1">
        <v>46022</v>
      </c>
      <c r="K426" s="1">
        <v>46021</v>
      </c>
      <c r="L426">
        <v>21</v>
      </c>
      <c r="M426">
        <v>373.8</v>
      </c>
      <c r="N426">
        <v>373.8</v>
      </c>
      <c r="O426">
        <v>0</v>
      </c>
      <c r="P426">
        <v>0</v>
      </c>
      <c r="Q426" t="s">
        <v>3396</v>
      </c>
    </row>
    <row r="427" spans="1:17">
      <c r="A427" t="s">
        <v>35</v>
      </c>
      <c r="B427" t="s">
        <v>3393</v>
      </c>
      <c r="C427" t="s">
        <v>3394</v>
      </c>
      <c r="D427" t="s">
        <v>3395</v>
      </c>
      <c r="E427">
        <v>6</v>
      </c>
      <c r="F427" t="str">
        <f>VLOOKUP(E427,[1]LOJA!$A:$B,2,0)</f>
        <v>GAMA</v>
      </c>
      <c r="G427" t="s">
        <v>19</v>
      </c>
      <c r="H427" t="s">
        <v>20</v>
      </c>
      <c r="I427" s="1">
        <v>45293</v>
      </c>
      <c r="J427" s="1">
        <v>46022</v>
      </c>
      <c r="K427" s="1">
        <v>46021</v>
      </c>
      <c r="L427">
        <v>26</v>
      </c>
      <c r="M427" s="2">
        <v>1140.6199999999999</v>
      </c>
      <c r="N427" s="2">
        <v>1140.6199999999999</v>
      </c>
      <c r="O427">
        <v>0</v>
      </c>
      <c r="P427">
        <v>0</v>
      </c>
      <c r="Q427" t="s">
        <v>3396</v>
      </c>
    </row>
    <row r="428" spans="1:17">
      <c r="A428" t="s">
        <v>35</v>
      </c>
      <c r="B428" t="s">
        <v>3393</v>
      </c>
      <c r="C428" t="s">
        <v>3394</v>
      </c>
      <c r="D428" t="s">
        <v>3395</v>
      </c>
      <c r="E428">
        <v>6</v>
      </c>
      <c r="F428" t="str">
        <f>VLOOKUP(E428,[1]LOJA!$A:$B,2,0)</f>
        <v>GAMA</v>
      </c>
      <c r="G428" t="s">
        <v>19</v>
      </c>
      <c r="H428" t="s">
        <v>20</v>
      </c>
      <c r="I428" s="1">
        <v>45293</v>
      </c>
      <c r="J428" s="1">
        <v>46022</v>
      </c>
      <c r="K428" s="1">
        <v>46021</v>
      </c>
      <c r="L428">
        <v>21</v>
      </c>
      <c r="M428">
        <v>320.39999999999998</v>
      </c>
      <c r="N428">
        <v>320.39999999999998</v>
      </c>
      <c r="O428">
        <v>0</v>
      </c>
      <c r="P428">
        <v>0</v>
      </c>
      <c r="Q428" t="s">
        <v>3396</v>
      </c>
    </row>
    <row r="429" spans="1:17">
      <c r="A429" t="s">
        <v>35</v>
      </c>
      <c r="B429" t="s">
        <v>3393</v>
      </c>
      <c r="C429" t="s">
        <v>3394</v>
      </c>
      <c r="D429" t="s">
        <v>3395</v>
      </c>
      <c r="E429">
        <v>8</v>
      </c>
      <c r="F429" t="str">
        <f>VLOOKUP(E429,[1]LOJA!$A:$B,2,0)</f>
        <v>LUZIÂNIA</v>
      </c>
      <c r="G429" t="s">
        <v>19</v>
      </c>
      <c r="H429" t="s">
        <v>20</v>
      </c>
      <c r="I429" s="1">
        <v>45293</v>
      </c>
      <c r="J429" s="1">
        <v>46022</v>
      </c>
      <c r="K429" s="1">
        <v>46021</v>
      </c>
      <c r="L429">
        <v>26</v>
      </c>
      <c r="M429" s="2">
        <v>1140.6199999999999</v>
      </c>
      <c r="N429" s="2">
        <v>1140.6199999999999</v>
      </c>
      <c r="O429">
        <v>0</v>
      </c>
      <c r="P429">
        <v>0</v>
      </c>
      <c r="Q429" t="s">
        <v>3396</v>
      </c>
    </row>
    <row r="430" spans="1:17">
      <c r="A430" t="s">
        <v>35</v>
      </c>
      <c r="B430" t="s">
        <v>3393</v>
      </c>
      <c r="C430" t="s">
        <v>3394</v>
      </c>
      <c r="D430" t="s">
        <v>3395</v>
      </c>
      <c r="E430">
        <v>8</v>
      </c>
      <c r="F430" t="str">
        <f>VLOOKUP(E430,[1]LOJA!$A:$B,2,0)</f>
        <v>LUZIÂNIA</v>
      </c>
      <c r="G430" t="s">
        <v>19</v>
      </c>
      <c r="H430" t="s">
        <v>20</v>
      </c>
      <c r="I430" s="1">
        <v>45293</v>
      </c>
      <c r="J430" s="1">
        <v>46022</v>
      </c>
      <c r="K430" s="1">
        <v>46021</v>
      </c>
      <c r="L430">
        <v>21</v>
      </c>
      <c r="M430">
        <v>320.39999999999998</v>
      </c>
      <c r="N430">
        <v>320.39999999999998</v>
      </c>
      <c r="O430">
        <v>0</v>
      </c>
      <c r="P430">
        <v>0</v>
      </c>
      <c r="Q430" t="s">
        <v>3396</v>
      </c>
    </row>
    <row r="431" spans="1:17">
      <c r="A431" t="s">
        <v>35</v>
      </c>
      <c r="B431" t="s">
        <v>3393</v>
      </c>
      <c r="C431" t="s">
        <v>3394</v>
      </c>
      <c r="D431" t="s">
        <v>3395</v>
      </c>
      <c r="E431">
        <v>12</v>
      </c>
      <c r="F431" t="str">
        <f>VLOOKUP(E431,[1]LOJA!$A:$B,2,0)</f>
        <v>SOFNORTE</v>
      </c>
      <c r="G431" t="s">
        <v>19</v>
      </c>
      <c r="H431" t="s">
        <v>20</v>
      </c>
      <c r="I431" s="1">
        <v>45293</v>
      </c>
      <c r="J431" s="1">
        <v>46022</v>
      </c>
      <c r="K431" s="1">
        <v>46021</v>
      </c>
      <c r="L431">
        <v>26</v>
      </c>
      <c r="M431" s="2">
        <v>1330.73</v>
      </c>
      <c r="N431" s="2">
        <v>1330.73</v>
      </c>
      <c r="O431">
        <v>0</v>
      </c>
      <c r="P431">
        <v>0</v>
      </c>
      <c r="Q431" t="s">
        <v>3396</v>
      </c>
    </row>
    <row r="432" spans="1:17">
      <c r="A432" t="s">
        <v>35</v>
      </c>
      <c r="B432" t="s">
        <v>3393</v>
      </c>
      <c r="C432" t="s">
        <v>3394</v>
      </c>
      <c r="D432" t="s">
        <v>3395</v>
      </c>
      <c r="E432">
        <v>12</v>
      </c>
      <c r="F432" t="str">
        <f>VLOOKUP(E432,[1]LOJA!$A:$B,2,0)</f>
        <v>SOFNORTE</v>
      </c>
      <c r="G432" t="s">
        <v>19</v>
      </c>
      <c r="H432" t="s">
        <v>20</v>
      </c>
      <c r="I432" s="1">
        <v>45293</v>
      </c>
      <c r="J432" s="1">
        <v>46022</v>
      </c>
      <c r="K432" s="1">
        <v>46021</v>
      </c>
      <c r="L432">
        <v>21</v>
      </c>
      <c r="M432">
        <v>373.8</v>
      </c>
      <c r="N432">
        <v>373.8</v>
      </c>
      <c r="O432">
        <v>0</v>
      </c>
      <c r="P432">
        <v>0</v>
      </c>
      <c r="Q432" t="s">
        <v>3396</v>
      </c>
    </row>
    <row r="433" spans="1:17">
      <c r="A433" t="s">
        <v>35</v>
      </c>
      <c r="B433" t="s">
        <v>3393</v>
      </c>
      <c r="C433" t="s">
        <v>3394</v>
      </c>
      <c r="D433" t="s">
        <v>3395</v>
      </c>
      <c r="E433">
        <v>13</v>
      </c>
      <c r="F433" t="str">
        <f>VLOOKUP(E433,[1]LOJA!$A:$B,2,0)</f>
        <v>CEILÂNDIA</v>
      </c>
      <c r="G433" t="s">
        <v>19</v>
      </c>
      <c r="H433" t="s">
        <v>20</v>
      </c>
      <c r="I433" s="1">
        <v>45293</v>
      </c>
      <c r="J433" s="1">
        <v>46022</v>
      </c>
      <c r="K433" s="1">
        <v>46021</v>
      </c>
      <c r="L433">
        <v>26</v>
      </c>
      <c r="M433" s="2">
        <v>2091.14</v>
      </c>
      <c r="N433" s="2">
        <v>2091.14</v>
      </c>
      <c r="O433">
        <v>0</v>
      </c>
      <c r="P433">
        <v>0</v>
      </c>
      <c r="Q433" t="s">
        <v>3396</v>
      </c>
    </row>
    <row r="434" spans="1:17">
      <c r="A434" t="s">
        <v>35</v>
      </c>
      <c r="B434" t="s">
        <v>3393</v>
      </c>
      <c r="C434" t="s">
        <v>3394</v>
      </c>
      <c r="D434" t="s">
        <v>3395</v>
      </c>
      <c r="E434">
        <v>13</v>
      </c>
      <c r="F434" t="str">
        <f>VLOOKUP(E434,[1]LOJA!$A:$B,2,0)</f>
        <v>CEILÂNDIA</v>
      </c>
      <c r="G434" t="s">
        <v>19</v>
      </c>
      <c r="H434" t="s">
        <v>20</v>
      </c>
      <c r="I434" s="1">
        <v>45293</v>
      </c>
      <c r="J434" s="1">
        <v>46022</v>
      </c>
      <c r="K434" s="1">
        <v>46021</v>
      </c>
      <c r="L434">
        <v>21</v>
      </c>
      <c r="M434">
        <v>587.4</v>
      </c>
      <c r="N434">
        <v>587.4</v>
      </c>
      <c r="O434">
        <v>0</v>
      </c>
      <c r="P434">
        <v>0</v>
      </c>
      <c r="Q434" t="s">
        <v>3396</v>
      </c>
    </row>
    <row r="435" spans="1:17">
      <c r="A435" t="s">
        <v>35</v>
      </c>
      <c r="B435" t="s">
        <v>3393</v>
      </c>
      <c r="C435" t="s">
        <v>3394</v>
      </c>
      <c r="D435" t="s">
        <v>3395</v>
      </c>
      <c r="E435">
        <v>14</v>
      </c>
      <c r="F435" t="str">
        <f>VLOOKUP(E435,[1]LOJA!$A:$B,2,0)</f>
        <v>S IA</v>
      </c>
      <c r="G435" t="s">
        <v>19</v>
      </c>
      <c r="H435" t="s">
        <v>20</v>
      </c>
      <c r="I435" s="1">
        <v>45293</v>
      </c>
      <c r="J435" s="1">
        <v>46022</v>
      </c>
      <c r="K435" s="1">
        <v>46021</v>
      </c>
      <c r="L435">
        <v>26</v>
      </c>
      <c r="M435" s="2">
        <v>1901.04</v>
      </c>
      <c r="N435" s="2">
        <v>1901.04</v>
      </c>
      <c r="O435">
        <v>0</v>
      </c>
      <c r="P435">
        <v>0</v>
      </c>
      <c r="Q435" t="s">
        <v>3396</v>
      </c>
    </row>
    <row r="436" spans="1:17">
      <c r="A436" t="s">
        <v>35</v>
      </c>
      <c r="B436" t="s">
        <v>3393</v>
      </c>
      <c r="C436" t="s">
        <v>3394</v>
      </c>
      <c r="D436" t="s">
        <v>3395</v>
      </c>
      <c r="E436">
        <v>14</v>
      </c>
      <c r="F436" t="str">
        <f>VLOOKUP(E436,[1]LOJA!$A:$B,2,0)</f>
        <v>S IA</v>
      </c>
      <c r="G436" t="s">
        <v>19</v>
      </c>
      <c r="H436" t="s">
        <v>20</v>
      </c>
      <c r="I436" s="1">
        <v>45293</v>
      </c>
      <c r="J436" s="1">
        <v>46022</v>
      </c>
      <c r="K436" s="1">
        <v>46021</v>
      </c>
      <c r="L436">
        <v>21</v>
      </c>
      <c r="M436">
        <v>534</v>
      </c>
      <c r="N436">
        <v>534</v>
      </c>
      <c r="O436">
        <v>0</v>
      </c>
      <c r="P436">
        <v>0</v>
      </c>
      <c r="Q436" t="s">
        <v>3396</v>
      </c>
    </row>
    <row r="437" spans="1:17">
      <c r="A437" t="s">
        <v>35</v>
      </c>
      <c r="B437" t="s">
        <v>3393</v>
      </c>
      <c r="C437" t="s">
        <v>3394</v>
      </c>
      <c r="D437" t="s">
        <v>3395</v>
      </c>
      <c r="E437">
        <v>15</v>
      </c>
      <c r="F437" t="str">
        <f>VLOOKUP(E437,[1]LOJA!$A:$B,2,0)</f>
        <v>UNAÍ</v>
      </c>
      <c r="G437" t="s">
        <v>19</v>
      </c>
      <c r="H437" t="s">
        <v>20</v>
      </c>
      <c r="I437" s="1">
        <v>45293</v>
      </c>
      <c r="J437" s="1">
        <v>46022</v>
      </c>
      <c r="K437" s="1">
        <v>46021</v>
      </c>
      <c r="L437">
        <v>26</v>
      </c>
      <c r="M437" s="2">
        <v>1330.73</v>
      </c>
      <c r="N437" s="2">
        <v>1330.73</v>
      </c>
      <c r="O437">
        <v>0</v>
      </c>
      <c r="P437">
        <v>0</v>
      </c>
      <c r="Q437" t="s">
        <v>3396</v>
      </c>
    </row>
    <row r="438" spans="1:17">
      <c r="A438" t="s">
        <v>35</v>
      </c>
      <c r="B438" t="s">
        <v>3393</v>
      </c>
      <c r="C438" t="s">
        <v>3394</v>
      </c>
      <c r="D438" t="s">
        <v>3395</v>
      </c>
      <c r="E438">
        <v>15</v>
      </c>
      <c r="F438" t="str">
        <f>VLOOKUP(E438,[1]LOJA!$A:$B,2,0)</f>
        <v>UNAÍ</v>
      </c>
      <c r="G438" t="s">
        <v>19</v>
      </c>
      <c r="H438" t="s">
        <v>20</v>
      </c>
      <c r="I438" s="1">
        <v>45293</v>
      </c>
      <c r="J438" s="1">
        <v>46022</v>
      </c>
      <c r="K438" s="1">
        <v>46021</v>
      </c>
      <c r="L438">
        <v>21</v>
      </c>
      <c r="M438">
        <v>373.8</v>
      </c>
      <c r="N438">
        <v>373.8</v>
      </c>
      <c r="O438">
        <v>0</v>
      </c>
      <c r="P438">
        <v>0</v>
      </c>
      <c r="Q438" t="s">
        <v>3396</v>
      </c>
    </row>
    <row r="439" spans="1:17">
      <c r="A439" t="s">
        <v>35</v>
      </c>
      <c r="B439" t="s">
        <v>3393</v>
      </c>
      <c r="C439" t="s">
        <v>3394</v>
      </c>
      <c r="D439" t="s">
        <v>3395</v>
      </c>
      <c r="E439">
        <v>16</v>
      </c>
      <c r="F439" t="str">
        <f>VLOOKUP(E439,[1]LOJA!$A:$B,2,0)</f>
        <v>AG LINDAS</v>
      </c>
      <c r="G439" t="s">
        <v>19</v>
      </c>
      <c r="H439" t="s">
        <v>20</v>
      </c>
      <c r="I439" s="1">
        <v>45293</v>
      </c>
      <c r="J439" s="1">
        <v>46022</v>
      </c>
      <c r="K439" s="1">
        <v>46021</v>
      </c>
      <c r="L439">
        <v>26</v>
      </c>
      <c r="M439">
        <v>570.30999999999995</v>
      </c>
      <c r="N439">
        <v>570.30999999999995</v>
      </c>
      <c r="O439">
        <v>0</v>
      </c>
      <c r="P439">
        <v>0</v>
      </c>
      <c r="Q439" t="s">
        <v>3396</v>
      </c>
    </row>
    <row r="440" spans="1:17">
      <c r="A440" t="s">
        <v>35</v>
      </c>
      <c r="B440" t="s">
        <v>3393</v>
      </c>
      <c r="C440" t="s">
        <v>3394</v>
      </c>
      <c r="D440" t="s">
        <v>3395</v>
      </c>
      <c r="E440">
        <v>16</v>
      </c>
      <c r="F440" t="str">
        <f>VLOOKUP(E440,[1]LOJA!$A:$B,2,0)</f>
        <v>AG LINDAS</v>
      </c>
      <c r="G440" t="s">
        <v>19</v>
      </c>
      <c r="H440" t="s">
        <v>20</v>
      </c>
      <c r="I440" s="1">
        <v>45293</v>
      </c>
      <c r="J440" s="1">
        <v>46022</v>
      </c>
      <c r="K440" s="1">
        <v>46021</v>
      </c>
      <c r="L440">
        <v>21</v>
      </c>
      <c r="M440">
        <v>160.19999999999999</v>
      </c>
      <c r="N440">
        <v>160.19999999999999</v>
      </c>
      <c r="O440">
        <v>0</v>
      </c>
      <c r="P440">
        <v>0</v>
      </c>
      <c r="Q440" t="s">
        <v>3396</v>
      </c>
    </row>
    <row r="441" spans="1:17">
      <c r="A441" t="s">
        <v>35</v>
      </c>
      <c r="B441" t="s">
        <v>3393</v>
      </c>
      <c r="C441" t="s">
        <v>3394</v>
      </c>
      <c r="D441" t="s">
        <v>3395</v>
      </c>
      <c r="E441">
        <v>20</v>
      </c>
      <c r="F441" t="str">
        <f>VLOOKUP(E441,[1]LOJA!$A:$B,2,0)</f>
        <v>DAUTO SERVIÇOS</v>
      </c>
      <c r="G441" t="s">
        <v>19</v>
      </c>
      <c r="H441" t="s">
        <v>20</v>
      </c>
      <c r="I441" s="1">
        <v>45293</v>
      </c>
      <c r="J441" s="1">
        <v>46022</v>
      </c>
      <c r="K441" s="1">
        <v>46021</v>
      </c>
      <c r="L441">
        <v>26</v>
      </c>
      <c r="M441">
        <v>0</v>
      </c>
      <c r="N441">
        <v>0</v>
      </c>
      <c r="O441">
        <v>0</v>
      </c>
      <c r="P441">
        <v>0</v>
      </c>
      <c r="Q441" t="s">
        <v>3396</v>
      </c>
    </row>
    <row r="442" spans="1:17">
      <c r="A442" t="s">
        <v>35</v>
      </c>
      <c r="B442" t="s">
        <v>3393</v>
      </c>
      <c r="C442" t="s">
        <v>3394</v>
      </c>
      <c r="D442" t="s">
        <v>3395</v>
      </c>
      <c r="E442">
        <v>20</v>
      </c>
      <c r="F442" t="str">
        <f>VLOOKUP(E442,[1]LOJA!$A:$B,2,0)</f>
        <v>DAUTO SERVIÇOS</v>
      </c>
      <c r="G442" t="s">
        <v>19</v>
      </c>
      <c r="H442" t="s">
        <v>20</v>
      </c>
      <c r="I442" s="1">
        <v>45293</v>
      </c>
      <c r="J442" s="1">
        <v>46022</v>
      </c>
      <c r="K442" s="1">
        <v>46021</v>
      </c>
      <c r="L442">
        <v>21</v>
      </c>
      <c r="M442">
        <v>0</v>
      </c>
      <c r="N442">
        <v>0</v>
      </c>
      <c r="O442">
        <v>0</v>
      </c>
      <c r="P442">
        <v>0</v>
      </c>
      <c r="Q442" t="s">
        <v>3396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A3F80-E496-43A7-AEF6-E93A96238324}">
  <sheetPr>
    <tabColor rgb="FF0070C0"/>
  </sheetPr>
  <dimension ref="A1:L7539"/>
  <sheetViews>
    <sheetView workbookViewId="0">
      <selection activeCell="F15" sqref="F15"/>
    </sheetView>
  </sheetViews>
  <sheetFormatPr defaultRowHeight="14.4"/>
  <cols>
    <col min="1" max="1" width="10.5546875" bestFit="1" customWidth="1"/>
    <col min="2" max="2" width="19.88671875" bestFit="1" customWidth="1"/>
    <col min="3" max="3" width="6.5546875" customWidth="1"/>
    <col min="4" max="4" width="9.109375" customWidth="1"/>
    <col min="5" max="5" width="6.33203125" customWidth="1"/>
    <col min="6" max="6" width="62.6640625" bestFit="1" customWidth="1"/>
    <col min="7" max="7" width="17.77734375" bestFit="1" customWidth="1"/>
    <col min="8" max="8" width="21.6640625" bestFit="1" customWidth="1"/>
    <col min="9" max="9" width="7.21875" customWidth="1"/>
    <col min="10" max="10" width="12.88671875" style="3" bestFit="1" customWidth="1"/>
    <col min="11" max="11" width="11.88671875" style="3" bestFit="1" customWidth="1"/>
    <col min="12" max="12" width="8.21875" customWidth="1"/>
  </cols>
  <sheetData>
    <row r="1" spans="1:12">
      <c r="A1" t="s">
        <v>3256</v>
      </c>
      <c r="B1" t="s">
        <v>12820</v>
      </c>
      <c r="C1" t="s">
        <v>3</v>
      </c>
      <c r="D1" t="s">
        <v>3249</v>
      </c>
      <c r="E1" t="s">
        <v>12819</v>
      </c>
      <c r="F1" t="s">
        <v>12818</v>
      </c>
      <c r="G1" t="s">
        <v>12817</v>
      </c>
      <c r="H1" t="s">
        <v>12816</v>
      </c>
      <c r="I1" t="s">
        <v>12815</v>
      </c>
      <c r="J1" s="3" t="s">
        <v>12814</v>
      </c>
      <c r="K1" s="3" t="s">
        <v>12813</v>
      </c>
      <c r="L1" t="s">
        <v>12812</v>
      </c>
    </row>
    <row r="2" spans="1:12">
      <c r="A2" s="1">
        <v>46024</v>
      </c>
      <c r="B2" t="s">
        <v>12811</v>
      </c>
      <c r="C2">
        <v>24</v>
      </c>
      <c r="D2" t="str">
        <f>VLOOKUP(Tabela26[[#This Row],[EMP]],[1]LOJA!$A:$B,2,0)</f>
        <v>LUZIÂNIA</v>
      </c>
      <c r="E2">
        <v>150</v>
      </c>
      <c r="F2" t="s">
        <v>8940</v>
      </c>
      <c r="G2" t="s">
        <v>8939</v>
      </c>
      <c r="H2" t="s">
        <v>3430</v>
      </c>
      <c r="I2">
        <v>5102</v>
      </c>
      <c r="J2" s="3">
        <v>16</v>
      </c>
      <c r="K2" s="3">
        <v>7.82</v>
      </c>
      <c r="L2">
        <v>51.13</v>
      </c>
    </row>
    <row r="3" spans="1:12">
      <c r="A3" s="1">
        <v>46024</v>
      </c>
      <c r="B3" t="s">
        <v>12810</v>
      </c>
      <c r="C3">
        <v>24</v>
      </c>
      <c r="D3" t="str">
        <f>VLOOKUP(Tabela26[[#This Row],[EMP]],[1]LOJA!$A:$B,2,0)</f>
        <v>LUZIÂNIA</v>
      </c>
      <c r="E3">
        <v>150</v>
      </c>
      <c r="F3" t="s">
        <v>7487</v>
      </c>
      <c r="G3" t="s">
        <v>7486</v>
      </c>
      <c r="H3" t="s">
        <v>3430</v>
      </c>
      <c r="I3">
        <v>5102</v>
      </c>
      <c r="J3" s="3">
        <v>184.5</v>
      </c>
      <c r="K3" s="3">
        <v>96.02</v>
      </c>
      <c r="L3">
        <v>47.96</v>
      </c>
    </row>
    <row r="4" spans="1:12">
      <c r="A4" s="1">
        <v>46024</v>
      </c>
      <c r="B4" t="s">
        <v>12809</v>
      </c>
      <c r="C4">
        <v>16</v>
      </c>
      <c r="D4" t="str">
        <f>VLOOKUP(Tabela26[[#This Row],[EMP]],[1]LOJA!$A:$B,2,0)</f>
        <v>AG LINDAS</v>
      </c>
      <c r="E4">
        <v>240</v>
      </c>
      <c r="F4" t="s">
        <v>4267</v>
      </c>
      <c r="G4" t="s">
        <v>4266</v>
      </c>
      <c r="H4" t="s">
        <v>3430</v>
      </c>
      <c r="I4">
        <v>5405</v>
      </c>
      <c r="J4" s="3">
        <v>244.5</v>
      </c>
      <c r="K4" s="3">
        <v>129.81</v>
      </c>
      <c r="L4">
        <v>46.91</v>
      </c>
    </row>
    <row r="5" spans="1:12">
      <c r="A5" s="1">
        <v>46024</v>
      </c>
      <c r="B5" t="s">
        <v>12808</v>
      </c>
      <c r="C5">
        <v>22</v>
      </c>
      <c r="D5" t="str">
        <f>VLOOKUP(Tabela26[[#This Row],[EMP]],[1]LOJA!$A:$B,2,0)</f>
        <v>GUARÁ</v>
      </c>
      <c r="E5">
        <v>93</v>
      </c>
      <c r="F5" t="s">
        <v>3542</v>
      </c>
      <c r="G5" t="s">
        <v>3541</v>
      </c>
      <c r="H5" t="s">
        <v>3745</v>
      </c>
      <c r="I5">
        <v>5102</v>
      </c>
      <c r="J5" s="3">
        <v>1250.8399999999999</v>
      </c>
      <c r="K5" s="3">
        <v>734.28</v>
      </c>
      <c r="L5">
        <v>41.3</v>
      </c>
    </row>
    <row r="6" spans="1:12">
      <c r="A6" s="1">
        <v>46024</v>
      </c>
      <c r="B6" t="s">
        <v>12807</v>
      </c>
      <c r="C6">
        <v>22</v>
      </c>
      <c r="D6" t="str">
        <f>VLOOKUP(Tabela26[[#This Row],[EMP]],[1]LOJA!$A:$B,2,0)</f>
        <v>GUARÁ</v>
      </c>
      <c r="E6">
        <v>93</v>
      </c>
      <c r="F6" t="s">
        <v>3535</v>
      </c>
      <c r="G6" t="s">
        <v>3534</v>
      </c>
      <c r="H6" t="s">
        <v>3533</v>
      </c>
      <c r="I6">
        <v>5405</v>
      </c>
      <c r="J6" s="3">
        <v>191.69</v>
      </c>
      <c r="K6" s="3">
        <v>101.65</v>
      </c>
      <c r="L6">
        <v>46.97</v>
      </c>
    </row>
    <row r="7" spans="1:12">
      <c r="A7" s="1">
        <v>46024</v>
      </c>
      <c r="B7" t="s">
        <v>12806</v>
      </c>
      <c r="C7">
        <v>24</v>
      </c>
      <c r="D7" t="str">
        <f>VLOOKUP(Tabela26[[#This Row],[EMP]],[1]LOJA!$A:$B,2,0)</f>
        <v>LUZIÂNIA</v>
      </c>
      <c r="E7">
        <v>150</v>
      </c>
      <c r="F7" t="s">
        <v>8914</v>
      </c>
      <c r="G7" t="s">
        <v>8913</v>
      </c>
      <c r="H7" t="s">
        <v>3401</v>
      </c>
      <c r="I7">
        <v>5405</v>
      </c>
      <c r="J7" s="3">
        <v>894</v>
      </c>
      <c r="K7" s="3">
        <v>425.09</v>
      </c>
      <c r="L7">
        <v>52.45</v>
      </c>
    </row>
    <row r="8" spans="1:12">
      <c r="A8" s="1">
        <v>46024</v>
      </c>
      <c r="B8" t="s">
        <v>12805</v>
      </c>
      <c r="C8">
        <v>24</v>
      </c>
      <c r="D8" t="str">
        <f>VLOOKUP(Tabela26[[#This Row],[EMP]],[1]LOJA!$A:$B,2,0)</f>
        <v>LUZIÂNIA</v>
      </c>
      <c r="E8">
        <v>242</v>
      </c>
      <c r="F8" t="s">
        <v>7503</v>
      </c>
      <c r="G8" t="s">
        <v>7502</v>
      </c>
      <c r="H8" t="s">
        <v>3408</v>
      </c>
      <c r="I8">
        <v>5102</v>
      </c>
      <c r="J8" s="3">
        <v>116</v>
      </c>
      <c r="K8" s="3">
        <v>65.62</v>
      </c>
      <c r="L8">
        <v>43.43</v>
      </c>
    </row>
    <row r="9" spans="1:12">
      <c r="A9" s="1">
        <v>46024</v>
      </c>
      <c r="B9" t="s">
        <v>12804</v>
      </c>
      <c r="C9">
        <v>24</v>
      </c>
      <c r="D9" t="str">
        <f>VLOOKUP(Tabela26[[#This Row],[EMP]],[1]LOJA!$A:$B,2,0)</f>
        <v>LUZIÂNIA</v>
      </c>
      <c r="E9">
        <v>150</v>
      </c>
      <c r="F9" t="s">
        <v>3524</v>
      </c>
      <c r="G9" t="s">
        <v>3402</v>
      </c>
      <c r="H9" t="s">
        <v>3401</v>
      </c>
      <c r="I9">
        <v>5102</v>
      </c>
      <c r="J9" s="3">
        <v>65</v>
      </c>
      <c r="K9" s="3">
        <v>35.75</v>
      </c>
      <c r="L9">
        <v>45</v>
      </c>
    </row>
    <row r="10" spans="1:12">
      <c r="A10" s="1">
        <v>46024</v>
      </c>
      <c r="B10" t="s">
        <v>12803</v>
      </c>
      <c r="C10">
        <v>24</v>
      </c>
      <c r="D10" t="str">
        <f>VLOOKUP(Tabela26[[#This Row],[EMP]],[1]LOJA!$A:$B,2,0)</f>
        <v>LUZIÂNIA</v>
      </c>
      <c r="E10">
        <v>150</v>
      </c>
      <c r="F10" t="s">
        <v>3524</v>
      </c>
      <c r="G10" t="s">
        <v>3402</v>
      </c>
      <c r="H10" t="s">
        <v>3401</v>
      </c>
      <c r="I10">
        <v>5405</v>
      </c>
      <c r="J10" s="3">
        <v>76</v>
      </c>
      <c r="K10" s="3">
        <v>35.700000000000003</v>
      </c>
      <c r="L10">
        <v>53.03</v>
      </c>
    </row>
    <row r="11" spans="1:12">
      <c r="A11" s="1">
        <v>46024</v>
      </c>
      <c r="B11" t="s">
        <v>12802</v>
      </c>
      <c r="C11">
        <v>24</v>
      </c>
      <c r="D11" t="str">
        <f>VLOOKUP(Tabela26[[#This Row],[EMP]],[1]LOJA!$A:$B,2,0)</f>
        <v>LUZIÂNIA</v>
      </c>
      <c r="E11">
        <v>150</v>
      </c>
      <c r="F11" t="s">
        <v>4892</v>
      </c>
      <c r="G11" t="s">
        <v>4891</v>
      </c>
      <c r="H11" t="s">
        <v>3401</v>
      </c>
      <c r="I11">
        <v>5405</v>
      </c>
      <c r="J11" s="3">
        <v>745</v>
      </c>
      <c r="K11" s="3">
        <v>399.35</v>
      </c>
      <c r="L11">
        <v>46.4</v>
      </c>
    </row>
    <row r="12" spans="1:12">
      <c r="A12" s="1">
        <v>46024</v>
      </c>
      <c r="B12" t="s">
        <v>12801</v>
      </c>
      <c r="C12">
        <v>24</v>
      </c>
      <c r="D12" t="str">
        <f>VLOOKUP(Tabela26[[#This Row],[EMP]],[1]LOJA!$A:$B,2,0)</f>
        <v>LUZIÂNIA</v>
      </c>
      <c r="E12">
        <v>150</v>
      </c>
      <c r="F12" t="s">
        <v>3524</v>
      </c>
      <c r="G12" t="s">
        <v>3402</v>
      </c>
      <c r="H12" t="s">
        <v>3401</v>
      </c>
      <c r="I12">
        <v>5102</v>
      </c>
      <c r="J12" s="3">
        <v>21.5</v>
      </c>
      <c r="K12" s="3">
        <v>10.86</v>
      </c>
      <c r="L12">
        <v>49.49</v>
      </c>
    </row>
    <row r="13" spans="1:12">
      <c r="A13" s="1">
        <v>46024</v>
      </c>
      <c r="B13" t="s">
        <v>12800</v>
      </c>
      <c r="C13">
        <v>24</v>
      </c>
      <c r="D13" t="str">
        <f>VLOOKUP(Tabela26[[#This Row],[EMP]],[1]LOJA!$A:$B,2,0)</f>
        <v>LUZIÂNIA</v>
      </c>
      <c r="E13">
        <v>150</v>
      </c>
      <c r="F13" t="s">
        <v>3524</v>
      </c>
      <c r="G13" t="s">
        <v>3402</v>
      </c>
      <c r="H13" t="s">
        <v>3401</v>
      </c>
      <c r="I13">
        <v>5102</v>
      </c>
      <c r="J13" s="3">
        <v>300</v>
      </c>
      <c r="K13" s="3">
        <v>208.15</v>
      </c>
      <c r="L13">
        <v>30.62</v>
      </c>
    </row>
    <row r="14" spans="1:12">
      <c r="A14" s="1">
        <v>46024</v>
      </c>
      <c r="B14" t="s">
        <v>12799</v>
      </c>
      <c r="C14">
        <v>24</v>
      </c>
      <c r="D14" t="str">
        <f>VLOOKUP(Tabela26[[#This Row],[EMP]],[1]LOJA!$A:$B,2,0)</f>
        <v>LUZIÂNIA</v>
      </c>
      <c r="E14">
        <v>150</v>
      </c>
      <c r="F14" t="s">
        <v>3524</v>
      </c>
      <c r="G14" t="s">
        <v>3402</v>
      </c>
      <c r="H14" t="s">
        <v>3401</v>
      </c>
      <c r="I14">
        <v>5102</v>
      </c>
      <c r="J14" s="3">
        <v>10</v>
      </c>
      <c r="K14" s="3">
        <v>7.2</v>
      </c>
      <c r="L14">
        <v>28</v>
      </c>
    </row>
    <row r="15" spans="1:12">
      <c r="A15" s="1">
        <v>46024</v>
      </c>
      <c r="B15" t="s">
        <v>12798</v>
      </c>
      <c r="C15">
        <v>24</v>
      </c>
      <c r="D15" t="str">
        <f>VLOOKUP(Tabela26[[#This Row],[EMP]],[1]LOJA!$A:$B,2,0)</f>
        <v>LUZIÂNIA</v>
      </c>
      <c r="E15">
        <v>150</v>
      </c>
      <c r="F15" t="s">
        <v>3524</v>
      </c>
      <c r="G15" t="s">
        <v>3402</v>
      </c>
      <c r="H15" t="s">
        <v>3401</v>
      </c>
      <c r="I15">
        <v>5102</v>
      </c>
      <c r="J15" s="3">
        <v>60</v>
      </c>
      <c r="K15" s="3">
        <v>35.24</v>
      </c>
      <c r="L15">
        <v>41.27</v>
      </c>
    </row>
    <row r="16" spans="1:12">
      <c r="A16" s="1">
        <v>46024</v>
      </c>
      <c r="B16" t="s">
        <v>12797</v>
      </c>
      <c r="C16">
        <v>24</v>
      </c>
      <c r="D16" t="str">
        <f>VLOOKUP(Tabela26[[#This Row],[EMP]],[1]LOJA!$A:$B,2,0)</f>
        <v>LUZIÂNIA</v>
      </c>
      <c r="E16">
        <v>150</v>
      </c>
      <c r="F16" t="s">
        <v>3524</v>
      </c>
      <c r="G16" t="s">
        <v>3402</v>
      </c>
      <c r="H16" t="s">
        <v>3401</v>
      </c>
      <c r="I16">
        <v>5405</v>
      </c>
      <c r="J16" s="3">
        <v>30</v>
      </c>
      <c r="K16" s="3">
        <v>12.25</v>
      </c>
      <c r="L16">
        <v>59.17</v>
      </c>
    </row>
    <row r="17" spans="1:12">
      <c r="A17" s="1">
        <v>46024</v>
      </c>
      <c r="B17" t="s">
        <v>12796</v>
      </c>
      <c r="C17">
        <v>24</v>
      </c>
      <c r="D17" t="str">
        <f>VLOOKUP(Tabela26[[#This Row],[EMP]],[1]LOJA!$A:$B,2,0)</f>
        <v>LUZIÂNIA</v>
      </c>
      <c r="E17">
        <v>150</v>
      </c>
      <c r="F17" t="s">
        <v>8914</v>
      </c>
      <c r="G17" t="s">
        <v>8913</v>
      </c>
      <c r="H17" t="s">
        <v>3401</v>
      </c>
      <c r="I17">
        <v>5405</v>
      </c>
      <c r="J17" s="3">
        <v>101.8</v>
      </c>
      <c r="K17" s="3">
        <v>49.31</v>
      </c>
      <c r="L17">
        <v>51.56</v>
      </c>
    </row>
    <row r="18" spans="1:12">
      <c r="A18" s="1">
        <v>46024</v>
      </c>
      <c r="B18" t="s">
        <v>12795</v>
      </c>
      <c r="C18">
        <v>24</v>
      </c>
      <c r="D18" t="str">
        <f>VLOOKUP(Tabela26[[#This Row],[EMP]],[1]LOJA!$A:$B,2,0)</f>
        <v>LUZIÂNIA</v>
      </c>
      <c r="E18">
        <v>150</v>
      </c>
      <c r="F18" t="s">
        <v>3524</v>
      </c>
      <c r="G18" t="s">
        <v>3402</v>
      </c>
      <c r="H18" t="s">
        <v>3401</v>
      </c>
      <c r="I18">
        <v>5405</v>
      </c>
      <c r="J18" s="3">
        <v>100</v>
      </c>
      <c r="K18" s="3">
        <v>49.84</v>
      </c>
      <c r="L18">
        <v>50.16</v>
      </c>
    </row>
    <row r="19" spans="1:12">
      <c r="A19" s="1">
        <v>46024</v>
      </c>
      <c r="B19" t="s">
        <v>12794</v>
      </c>
      <c r="C19">
        <v>24</v>
      </c>
      <c r="D19" t="str">
        <f>VLOOKUP(Tabela26[[#This Row],[EMP]],[1]LOJA!$A:$B,2,0)</f>
        <v>LUZIÂNIA</v>
      </c>
      <c r="E19">
        <v>150</v>
      </c>
      <c r="F19" t="s">
        <v>3524</v>
      </c>
      <c r="G19" t="s">
        <v>3402</v>
      </c>
      <c r="H19" t="s">
        <v>3401</v>
      </c>
      <c r="I19">
        <v>5405</v>
      </c>
      <c r="J19" s="3">
        <v>145</v>
      </c>
      <c r="K19" s="3">
        <v>70.31</v>
      </c>
      <c r="L19">
        <v>51.51</v>
      </c>
    </row>
    <row r="20" spans="1:12">
      <c r="A20" s="1">
        <v>46024</v>
      </c>
      <c r="B20" t="s">
        <v>12793</v>
      </c>
      <c r="C20">
        <v>24</v>
      </c>
      <c r="D20" t="str">
        <f>VLOOKUP(Tabela26[[#This Row],[EMP]],[1]LOJA!$A:$B,2,0)</f>
        <v>LUZIÂNIA</v>
      </c>
      <c r="E20">
        <v>150</v>
      </c>
      <c r="F20" t="s">
        <v>3524</v>
      </c>
      <c r="G20" t="s">
        <v>3402</v>
      </c>
      <c r="H20" t="s">
        <v>3401</v>
      </c>
      <c r="I20">
        <v>5405</v>
      </c>
      <c r="J20" s="3">
        <v>175</v>
      </c>
      <c r="K20" s="3">
        <v>84.85</v>
      </c>
      <c r="L20">
        <v>51.51</v>
      </c>
    </row>
    <row r="21" spans="1:12">
      <c r="A21" s="1">
        <v>46024</v>
      </c>
      <c r="B21" t="s">
        <v>12792</v>
      </c>
      <c r="C21">
        <v>24</v>
      </c>
      <c r="D21" t="str">
        <f>VLOOKUP(Tabela26[[#This Row],[EMP]],[1]LOJA!$A:$B,2,0)</f>
        <v>LUZIÂNIA</v>
      </c>
      <c r="E21">
        <v>150</v>
      </c>
      <c r="F21" t="s">
        <v>5426</v>
      </c>
      <c r="G21" t="s">
        <v>5425</v>
      </c>
      <c r="H21" t="s">
        <v>3401</v>
      </c>
      <c r="I21">
        <v>5102</v>
      </c>
      <c r="J21" s="3">
        <v>9</v>
      </c>
      <c r="K21" s="3">
        <v>4.4800000000000004</v>
      </c>
      <c r="L21">
        <v>50.22</v>
      </c>
    </row>
    <row r="22" spans="1:12">
      <c r="A22" s="1">
        <v>46024</v>
      </c>
      <c r="B22" t="s">
        <v>12791</v>
      </c>
      <c r="C22">
        <v>24</v>
      </c>
      <c r="D22" t="str">
        <f>VLOOKUP(Tabela26[[#This Row],[EMP]],[1]LOJA!$A:$B,2,0)</f>
        <v>LUZIÂNIA</v>
      </c>
      <c r="E22">
        <v>150</v>
      </c>
      <c r="F22" t="s">
        <v>7868</v>
      </c>
      <c r="G22" t="s">
        <v>7867</v>
      </c>
      <c r="H22" t="s">
        <v>3401</v>
      </c>
      <c r="I22">
        <v>5405</v>
      </c>
      <c r="J22" s="3">
        <v>93.8</v>
      </c>
      <c r="K22" s="3">
        <v>57.27</v>
      </c>
      <c r="L22">
        <v>38.94</v>
      </c>
    </row>
    <row r="23" spans="1:12">
      <c r="A23" s="1">
        <v>46024</v>
      </c>
      <c r="B23" t="s">
        <v>12790</v>
      </c>
      <c r="C23">
        <v>24</v>
      </c>
      <c r="D23" t="str">
        <f>VLOOKUP(Tabela26[[#This Row],[EMP]],[1]LOJA!$A:$B,2,0)</f>
        <v>LUZIÂNIA</v>
      </c>
      <c r="E23">
        <v>150</v>
      </c>
      <c r="F23" t="s">
        <v>4270</v>
      </c>
      <c r="G23" t="s">
        <v>4269</v>
      </c>
      <c r="H23" t="s">
        <v>3408</v>
      </c>
      <c r="I23">
        <v>5405</v>
      </c>
      <c r="J23" s="3">
        <v>110</v>
      </c>
      <c r="K23" s="3">
        <v>52.06</v>
      </c>
      <c r="L23">
        <v>52.67</v>
      </c>
    </row>
    <row r="24" spans="1:12">
      <c r="A24" s="1">
        <v>46024</v>
      </c>
      <c r="B24" t="s">
        <v>12789</v>
      </c>
      <c r="C24">
        <v>24</v>
      </c>
      <c r="D24" t="str">
        <f>VLOOKUP(Tabela26[[#This Row],[EMP]],[1]LOJA!$A:$B,2,0)</f>
        <v>LUZIÂNIA</v>
      </c>
      <c r="E24">
        <v>150</v>
      </c>
      <c r="F24" t="s">
        <v>3524</v>
      </c>
      <c r="G24" t="s">
        <v>3402</v>
      </c>
      <c r="H24" t="s">
        <v>3401</v>
      </c>
      <c r="I24">
        <v>5102</v>
      </c>
      <c r="J24" s="3">
        <v>20</v>
      </c>
      <c r="K24" s="3">
        <v>9.75</v>
      </c>
      <c r="L24">
        <v>51.25</v>
      </c>
    </row>
    <row r="25" spans="1:12">
      <c r="A25" s="1">
        <v>46024</v>
      </c>
      <c r="B25" t="s">
        <v>12788</v>
      </c>
      <c r="C25">
        <v>24</v>
      </c>
      <c r="D25" t="str">
        <f>VLOOKUP(Tabela26[[#This Row],[EMP]],[1]LOJA!$A:$B,2,0)</f>
        <v>LUZIÂNIA</v>
      </c>
      <c r="E25">
        <v>150</v>
      </c>
      <c r="F25" t="s">
        <v>4176</v>
      </c>
      <c r="G25" t="s">
        <v>4175</v>
      </c>
      <c r="H25" t="s">
        <v>3408</v>
      </c>
      <c r="I25">
        <v>5405</v>
      </c>
      <c r="J25" s="3">
        <v>928.7</v>
      </c>
      <c r="K25" s="3">
        <v>513.99</v>
      </c>
      <c r="L25">
        <v>44.65</v>
      </c>
    </row>
    <row r="26" spans="1:12">
      <c r="A26" s="1">
        <v>46024</v>
      </c>
      <c r="B26" t="s">
        <v>12787</v>
      </c>
      <c r="C26">
        <v>24</v>
      </c>
      <c r="D26" t="str">
        <f>VLOOKUP(Tabela26[[#This Row],[EMP]],[1]LOJA!$A:$B,2,0)</f>
        <v>LUZIÂNIA</v>
      </c>
      <c r="E26">
        <v>150</v>
      </c>
      <c r="F26" t="s">
        <v>3524</v>
      </c>
      <c r="G26" t="s">
        <v>3402</v>
      </c>
      <c r="H26" t="s">
        <v>3401</v>
      </c>
      <c r="I26">
        <v>5405</v>
      </c>
      <c r="J26" s="3">
        <v>138</v>
      </c>
      <c r="K26" s="3">
        <v>71.23</v>
      </c>
      <c r="L26">
        <v>48.38</v>
      </c>
    </row>
    <row r="27" spans="1:12">
      <c r="A27" s="1">
        <v>46024</v>
      </c>
      <c r="B27" t="s">
        <v>12786</v>
      </c>
      <c r="C27">
        <v>24</v>
      </c>
      <c r="D27" t="str">
        <f>VLOOKUP(Tabela26[[#This Row],[EMP]],[1]LOJA!$A:$B,2,0)</f>
        <v>LUZIÂNIA</v>
      </c>
      <c r="E27">
        <v>150</v>
      </c>
      <c r="F27" t="s">
        <v>4204</v>
      </c>
      <c r="G27" t="s">
        <v>4203</v>
      </c>
      <c r="H27" t="s">
        <v>3408</v>
      </c>
      <c r="I27">
        <v>5405</v>
      </c>
      <c r="J27" s="3">
        <v>270</v>
      </c>
      <c r="K27" s="3">
        <v>107.62</v>
      </c>
      <c r="L27">
        <v>60.14</v>
      </c>
    </row>
    <row r="28" spans="1:12">
      <c r="A28" s="1">
        <v>46024</v>
      </c>
      <c r="B28" t="s">
        <v>12785</v>
      </c>
      <c r="C28">
        <v>24</v>
      </c>
      <c r="D28" t="str">
        <f>VLOOKUP(Tabela26[[#This Row],[EMP]],[1]LOJA!$A:$B,2,0)</f>
        <v>LUZIÂNIA</v>
      </c>
      <c r="E28">
        <v>150</v>
      </c>
      <c r="F28" t="s">
        <v>3524</v>
      </c>
      <c r="G28" t="s">
        <v>3402</v>
      </c>
      <c r="H28" t="s">
        <v>3401</v>
      </c>
      <c r="I28">
        <v>5102</v>
      </c>
      <c r="J28" s="3">
        <v>45</v>
      </c>
      <c r="K28" s="3">
        <v>24.44</v>
      </c>
      <c r="L28">
        <v>45.69</v>
      </c>
    </row>
    <row r="29" spans="1:12">
      <c r="A29" s="1">
        <v>46024</v>
      </c>
      <c r="B29" t="s">
        <v>12784</v>
      </c>
      <c r="C29">
        <v>24</v>
      </c>
      <c r="D29" t="str">
        <f>VLOOKUP(Tabela26[[#This Row],[EMP]],[1]LOJA!$A:$B,2,0)</f>
        <v>LUZIÂNIA</v>
      </c>
      <c r="E29">
        <v>150</v>
      </c>
      <c r="F29" t="s">
        <v>12783</v>
      </c>
      <c r="G29" t="s">
        <v>3402</v>
      </c>
      <c r="H29" t="s">
        <v>3401</v>
      </c>
      <c r="I29">
        <v>5102</v>
      </c>
      <c r="J29" s="3">
        <v>260</v>
      </c>
      <c r="K29" s="3">
        <v>175.44</v>
      </c>
      <c r="L29">
        <v>32.520000000000003</v>
      </c>
    </row>
    <row r="30" spans="1:12">
      <c r="A30" s="1">
        <v>46024</v>
      </c>
      <c r="B30" t="s">
        <v>12782</v>
      </c>
      <c r="C30">
        <v>24</v>
      </c>
      <c r="D30" t="str">
        <f>VLOOKUP(Tabela26[[#This Row],[EMP]],[1]LOJA!$A:$B,2,0)</f>
        <v>LUZIÂNIA</v>
      </c>
      <c r="E30">
        <v>150</v>
      </c>
      <c r="F30" t="s">
        <v>3524</v>
      </c>
      <c r="G30" t="s">
        <v>3402</v>
      </c>
      <c r="H30" t="s">
        <v>3401</v>
      </c>
      <c r="I30">
        <v>5102</v>
      </c>
      <c r="J30" s="3">
        <v>50</v>
      </c>
      <c r="K30" s="3">
        <v>24.51</v>
      </c>
      <c r="L30">
        <v>50.98</v>
      </c>
    </row>
    <row r="31" spans="1:12">
      <c r="A31" s="1">
        <v>46024</v>
      </c>
      <c r="B31" t="s">
        <v>12781</v>
      </c>
      <c r="C31">
        <v>24</v>
      </c>
      <c r="D31" t="str">
        <f>VLOOKUP(Tabela26[[#This Row],[EMP]],[1]LOJA!$A:$B,2,0)</f>
        <v>LUZIÂNIA</v>
      </c>
      <c r="E31">
        <v>150</v>
      </c>
      <c r="F31" t="s">
        <v>4827</v>
      </c>
      <c r="G31" t="s">
        <v>4826</v>
      </c>
      <c r="H31" t="s">
        <v>3401</v>
      </c>
      <c r="I31">
        <v>5405</v>
      </c>
      <c r="J31" s="3">
        <v>97</v>
      </c>
      <c r="K31" s="3">
        <v>42.58</v>
      </c>
      <c r="L31">
        <v>56.1</v>
      </c>
    </row>
    <row r="32" spans="1:12">
      <c r="A32" s="1">
        <v>46024</v>
      </c>
      <c r="B32" t="s">
        <v>12780</v>
      </c>
      <c r="C32">
        <v>24</v>
      </c>
      <c r="D32" t="str">
        <f>VLOOKUP(Tabela26[[#This Row],[EMP]],[1]LOJA!$A:$B,2,0)</f>
        <v>LUZIÂNIA</v>
      </c>
      <c r="E32">
        <v>150</v>
      </c>
      <c r="F32" t="s">
        <v>4189</v>
      </c>
      <c r="G32" t="s">
        <v>4188</v>
      </c>
      <c r="H32" t="s">
        <v>3401</v>
      </c>
      <c r="I32">
        <v>5102</v>
      </c>
      <c r="J32" s="3">
        <v>139</v>
      </c>
      <c r="K32" s="3">
        <v>87.9</v>
      </c>
      <c r="L32">
        <v>36.76</v>
      </c>
    </row>
    <row r="33" spans="1:12">
      <c r="A33" s="1">
        <v>46024</v>
      </c>
      <c r="B33" t="s">
        <v>12779</v>
      </c>
      <c r="C33">
        <v>24</v>
      </c>
      <c r="D33" t="str">
        <f>VLOOKUP(Tabela26[[#This Row],[EMP]],[1]LOJA!$A:$B,2,0)</f>
        <v>LUZIÂNIA</v>
      </c>
      <c r="E33">
        <v>150</v>
      </c>
      <c r="F33" t="s">
        <v>12778</v>
      </c>
      <c r="G33" t="s">
        <v>12777</v>
      </c>
      <c r="H33" t="s">
        <v>3401</v>
      </c>
      <c r="I33">
        <v>5102</v>
      </c>
      <c r="J33" s="3">
        <v>90</v>
      </c>
      <c r="K33" s="3">
        <v>50.53</v>
      </c>
      <c r="L33">
        <v>43.86</v>
      </c>
    </row>
    <row r="34" spans="1:12">
      <c r="A34" s="1">
        <v>46024</v>
      </c>
      <c r="B34" t="s">
        <v>12776</v>
      </c>
      <c r="C34">
        <v>24</v>
      </c>
      <c r="D34" t="str">
        <f>VLOOKUP(Tabela26[[#This Row],[EMP]],[1]LOJA!$A:$B,2,0)</f>
        <v>LUZIÂNIA</v>
      </c>
      <c r="E34">
        <v>150</v>
      </c>
      <c r="F34" t="s">
        <v>12775</v>
      </c>
      <c r="G34" t="s">
        <v>3402</v>
      </c>
      <c r="H34" t="s">
        <v>3401</v>
      </c>
      <c r="I34">
        <v>5102</v>
      </c>
      <c r="J34" s="3">
        <v>170</v>
      </c>
      <c r="K34" s="3">
        <v>108.53</v>
      </c>
      <c r="L34">
        <v>36.159999999999997</v>
      </c>
    </row>
    <row r="35" spans="1:12">
      <c r="A35" s="1">
        <v>46024</v>
      </c>
      <c r="B35" t="s">
        <v>12774</v>
      </c>
      <c r="C35">
        <v>24</v>
      </c>
      <c r="D35" t="str">
        <f>VLOOKUP(Tabela26[[#This Row],[EMP]],[1]LOJA!$A:$B,2,0)</f>
        <v>LUZIÂNIA</v>
      </c>
      <c r="E35">
        <v>150</v>
      </c>
      <c r="F35" t="s">
        <v>6163</v>
      </c>
      <c r="G35" t="s">
        <v>6162</v>
      </c>
      <c r="H35" t="s">
        <v>3401</v>
      </c>
      <c r="I35">
        <v>5102</v>
      </c>
      <c r="J35" s="3">
        <v>40</v>
      </c>
      <c r="K35" s="3">
        <v>15.36</v>
      </c>
      <c r="L35">
        <v>61.6</v>
      </c>
    </row>
    <row r="36" spans="1:12">
      <c r="A36" s="1">
        <v>46024</v>
      </c>
      <c r="B36" t="s">
        <v>12773</v>
      </c>
      <c r="C36">
        <v>24</v>
      </c>
      <c r="D36" t="str">
        <f>VLOOKUP(Tabela26[[#This Row],[EMP]],[1]LOJA!$A:$B,2,0)</f>
        <v>LUZIÂNIA</v>
      </c>
      <c r="E36">
        <v>150</v>
      </c>
      <c r="F36" t="s">
        <v>3524</v>
      </c>
      <c r="G36" t="s">
        <v>3402</v>
      </c>
      <c r="H36" t="s">
        <v>3401</v>
      </c>
      <c r="I36">
        <v>5102</v>
      </c>
      <c r="J36" s="3">
        <v>70</v>
      </c>
      <c r="K36" s="3">
        <v>36.44</v>
      </c>
      <c r="L36">
        <v>47.94</v>
      </c>
    </row>
    <row r="37" spans="1:12">
      <c r="A37" s="1">
        <v>46024</v>
      </c>
      <c r="B37" t="s">
        <v>12772</v>
      </c>
      <c r="C37">
        <v>24</v>
      </c>
      <c r="D37" t="str">
        <f>VLOOKUP(Tabela26[[#This Row],[EMP]],[1]LOJA!$A:$B,2,0)</f>
        <v>LUZIÂNIA</v>
      </c>
      <c r="E37">
        <v>150</v>
      </c>
      <c r="F37" t="s">
        <v>3524</v>
      </c>
      <c r="G37" t="s">
        <v>3402</v>
      </c>
      <c r="H37" t="s">
        <v>3401</v>
      </c>
      <c r="I37">
        <v>5102</v>
      </c>
      <c r="J37" s="3">
        <v>42</v>
      </c>
      <c r="K37" s="3">
        <v>19.14</v>
      </c>
      <c r="L37">
        <v>54.43</v>
      </c>
    </row>
    <row r="38" spans="1:12">
      <c r="A38" s="1">
        <v>46024</v>
      </c>
      <c r="B38" t="s">
        <v>12771</v>
      </c>
      <c r="C38">
        <v>24</v>
      </c>
      <c r="D38" t="str">
        <f>VLOOKUP(Tabela26[[#This Row],[EMP]],[1]LOJA!$A:$B,2,0)</f>
        <v>LUZIÂNIA</v>
      </c>
      <c r="E38">
        <v>150</v>
      </c>
      <c r="F38" t="s">
        <v>3524</v>
      </c>
      <c r="G38" t="s">
        <v>3402</v>
      </c>
      <c r="H38" t="s">
        <v>3401</v>
      </c>
      <c r="I38">
        <v>5102</v>
      </c>
      <c r="J38" s="3">
        <v>9</v>
      </c>
      <c r="K38" s="3">
        <v>3.69</v>
      </c>
      <c r="L38">
        <v>59</v>
      </c>
    </row>
    <row r="39" spans="1:12">
      <c r="A39" s="1">
        <v>46024</v>
      </c>
      <c r="B39" t="s">
        <v>12770</v>
      </c>
      <c r="C39">
        <v>24</v>
      </c>
      <c r="D39" t="str">
        <f>VLOOKUP(Tabela26[[#This Row],[EMP]],[1]LOJA!$A:$B,2,0)</f>
        <v>LUZIÂNIA</v>
      </c>
      <c r="E39">
        <v>150</v>
      </c>
      <c r="F39" t="s">
        <v>5367</v>
      </c>
      <c r="G39" t="s">
        <v>3402</v>
      </c>
      <c r="H39" t="s">
        <v>3408</v>
      </c>
      <c r="I39">
        <v>5102</v>
      </c>
      <c r="J39" s="3">
        <v>70</v>
      </c>
      <c r="K39" s="3">
        <v>23.58</v>
      </c>
      <c r="L39">
        <v>66.31</v>
      </c>
    </row>
    <row r="40" spans="1:12">
      <c r="A40" s="1">
        <v>46024</v>
      </c>
      <c r="B40" t="s">
        <v>12769</v>
      </c>
      <c r="C40">
        <v>24</v>
      </c>
      <c r="D40" t="str">
        <f>VLOOKUP(Tabela26[[#This Row],[EMP]],[1]LOJA!$A:$B,2,0)</f>
        <v>LUZIÂNIA</v>
      </c>
      <c r="E40">
        <v>150</v>
      </c>
      <c r="F40" t="s">
        <v>4871</v>
      </c>
      <c r="G40" t="s">
        <v>4870</v>
      </c>
      <c r="H40" t="s">
        <v>3401</v>
      </c>
      <c r="I40">
        <v>5102</v>
      </c>
      <c r="J40" s="3">
        <v>36</v>
      </c>
      <c r="K40" s="3">
        <v>16.63</v>
      </c>
      <c r="L40">
        <v>53.81</v>
      </c>
    </row>
    <row r="41" spans="1:12">
      <c r="A41" s="1">
        <v>46024</v>
      </c>
      <c r="B41" t="s">
        <v>12768</v>
      </c>
      <c r="C41">
        <v>13</v>
      </c>
      <c r="D41" t="str">
        <f>VLOOKUP(Tabela26[[#This Row],[EMP]],[1]LOJA!$A:$B,2,0)</f>
        <v>CEILÂNDIA</v>
      </c>
      <c r="E41">
        <v>86</v>
      </c>
      <c r="F41" t="s">
        <v>4122</v>
      </c>
      <c r="G41" t="s">
        <v>4121</v>
      </c>
      <c r="H41" t="s">
        <v>3430</v>
      </c>
      <c r="I41">
        <v>5102</v>
      </c>
      <c r="J41" s="3">
        <v>39.799999999999997</v>
      </c>
      <c r="K41" s="3">
        <v>18.059999999999999</v>
      </c>
      <c r="L41">
        <v>54.62</v>
      </c>
    </row>
    <row r="42" spans="1:12">
      <c r="A42" s="1">
        <v>46024</v>
      </c>
      <c r="B42" t="s">
        <v>12767</v>
      </c>
      <c r="C42">
        <v>13</v>
      </c>
      <c r="D42" t="str">
        <f>VLOOKUP(Tabela26[[#This Row],[EMP]],[1]LOJA!$A:$B,2,0)</f>
        <v>CEILÂNDIA</v>
      </c>
      <c r="E42">
        <v>86</v>
      </c>
      <c r="F42" t="s">
        <v>5339</v>
      </c>
      <c r="G42" t="s">
        <v>5338</v>
      </c>
      <c r="H42" t="s">
        <v>3408</v>
      </c>
      <c r="I42">
        <v>5102</v>
      </c>
      <c r="J42" s="3">
        <v>290</v>
      </c>
      <c r="K42" s="3">
        <v>161.30000000000001</v>
      </c>
      <c r="L42">
        <v>44.38</v>
      </c>
    </row>
    <row r="43" spans="1:12">
      <c r="A43" s="1">
        <v>46024</v>
      </c>
      <c r="B43" t="s">
        <v>12766</v>
      </c>
      <c r="C43">
        <v>13</v>
      </c>
      <c r="D43" t="str">
        <f>VLOOKUP(Tabela26[[#This Row],[EMP]],[1]LOJA!$A:$B,2,0)</f>
        <v>CEILÂNDIA</v>
      </c>
      <c r="E43">
        <v>33</v>
      </c>
      <c r="F43" t="s">
        <v>4122</v>
      </c>
      <c r="G43" t="s">
        <v>4121</v>
      </c>
      <c r="H43" t="s">
        <v>3430</v>
      </c>
      <c r="I43">
        <v>5405</v>
      </c>
      <c r="J43" s="3">
        <v>68.38</v>
      </c>
      <c r="K43" s="3">
        <v>33.67</v>
      </c>
      <c r="L43">
        <v>50.76</v>
      </c>
    </row>
    <row r="44" spans="1:12">
      <c r="A44" s="1">
        <v>46024</v>
      </c>
      <c r="B44" t="s">
        <v>12765</v>
      </c>
      <c r="C44">
        <v>13</v>
      </c>
      <c r="D44" t="str">
        <f>VLOOKUP(Tabela26[[#This Row],[EMP]],[1]LOJA!$A:$B,2,0)</f>
        <v>CEILÂNDIA</v>
      </c>
      <c r="E44">
        <v>86</v>
      </c>
      <c r="F44" t="s">
        <v>5845</v>
      </c>
      <c r="G44" t="s">
        <v>5844</v>
      </c>
      <c r="H44" t="s">
        <v>3547</v>
      </c>
      <c r="I44">
        <v>5405</v>
      </c>
      <c r="J44" s="3">
        <v>118.53</v>
      </c>
      <c r="K44" s="3">
        <v>58.55</v>
      </c>
      <c r="L44">
        <v>50.6</v>
      </c>
    </row>
    <row r="45" spans="1:12">
      <c r="A45" s="1">
        <v>46024</v>
      </c>
      <c r="B45" t="s">
        <v>12764</v>
      </c>
      <c r="C45">
        <v>13</v>
      </c>
      <c r="D45" t="str">
        <f>VLOOKUP(Tabela26[[#This Row],[EMP]],[1]LOJA!$A:$B,2,0)</f>
        <v>CEILÂNDIA</v>
      </c>
      <c r="E45">
        <v>86</v>
      </c>
      <c r="F45" t="s">
        <v>4088</v>
      </c>
      <c r="G45" t="s">
        <v>4087</v>
      </c>
      <c r="H45" t="s">
        <v>3547</v>
      </c>
      <c r="I45">
        <v>5405</v>
      </c>
      <c r="J45" s="3">
        <v>2193.92</v>
      </c>
      <c r="K45" s="3">
        <v>1528.85</v>
      </c>
      <c r="L45">
        <v>30.31</v>
      </c>
    </row>
    <row r="46" spans="1:12">
      <c r="A46" s="1">
        <v>46024</v>
      </c>
      <c r="B46" t="s">
        <v>12763</v>
      </c>
      <c r="C46">
        <v>13</v>
      </c>
      <c r="D46" t="str">
        <f>VLOOKUP(Tabela26[[#This Row],[EMP]],[1]LOJA!$A:$B,2,0)</f>
        <v>CEILÂNDIA</v>
      </c>
      <c r="E46">
        <v>86</v>
      </c>
      <c r="F46" t="s">
        <v>3505</v>
      </c>
      <c r="G46" t="s">
        <v>3504</v>
      </c>
      <c r="H46" t="s">
        <v>3430</v>
      </c>
      <c r="I46">
        <v>5102</v>
      </c>
      <c r="J46" s="3">
        <v>86.8</v>
      </c>
      <c r="K46" s="3">
        <v>44</v>
      </c>
      <c r="L46">
        <v>49.31</v>
      </c>
    </row>
    <row r="47" spans="1:12">
      <c r="A47" s="1">
        <v>46024</v>
      </c>
      <c r="B47" t="s">
        <v>12762</v>
      </c>
      <c r="C47">
        <v>13</v>
      </c>
      <c r="D47" t="str">
        <f>VLOOKUP(Tabela26[[#This Row],[EMP]],[1]LOJA!$A:$B,2,0)</f>
        <v>CEILÂNDIA</v>
      </c>
      <c r="E47">
        <v>86</v>
      </c>
      <c r="F47" t="s">
        <v>4112</v>
      </c>
      <c r="G47" t="s">
        <v>4111</v>
      </c>
      <c r="H47" t="s">
        <v>3430</v>
      </c>
      <c r="I47">
        <v>5102</v>
      </c>
      <c r="J47" s="3">
        <v>58.72</v>
      </c>
      <c r="K47" s="3">
        <v>35.229999999999997</v>
      </c>
      <c r="L47">
        <v>40</v>
      </c>
    </row>
    <row r="48" spans="1:12">
      <c r="A48" s="1">
        <v>46024</v>
      </c>
      <c r="B48" t="s">
        <v>8503</v>
      </c>
      <c r="C48">
        <v>15</v>
      </c>
      <c r="D48" t="str">
        <f>VLOOKUP(Tabela26[[#This Row],[EMP]],[1]LOJA!$A:$B,2,0)</f>
        <v>UNAÍ</v>
      </c>
      <c r="E48">
        <v>183</v>
      </c>
      <c r="F48" t="s">
        <v>3485</v>
      </c>
      <c r="G48" t="s">
        <v>3402</v>
      </c>
      <c r="H48" t="s">
        <v>3401</v>
      </c>
      <c r="I48">
        <v>5102</v>
      </c>
      <c r="J48" s="3">
        <v>85</v>
      </c>
      <c r="K48" s="3">
        <v>38.83</v>
      </c>
      <c r="L48">
        <v>54.32</v>
      </c>
    </row>
    <row r="49" spans="1:12">
      <c r="A49" s="1">
        <v>46024</v>
      </c>
      <c r="B49" t="s">
        <v>8502</v>
      </c>
      <c r="C49">
        <v>15</v>
      </c>
      <c r="D49" t="str">
        <f>VLOOKUP(Tabela26[[#This Row],[EMP]],[1]LOJA!$A:$B,2,0)</f>
        <v>UNAÍ</v>
      </c>
      <c r="E49">
        <v>183</v>
      </c>
      <c r="F49" t="s">
        <v>3957</v>
      </c>
      <c r="G49" t="s">
        <v>3956</v>
      </c>
      <c r="H49" t="s">
        <v>3401</v>
      </c>
      <c r="I49">
        <v>5102</v>
      </c>
      <c r="J49" s="3">
        <v>9.6</v>
      </c>
      <c r="K49" s="3">
        <v>4.7699999999999996</v>
      </c>
      <c r="L49">
        <v>50.31</v>
      </c>
    </row>
    <row r="50" spans="1:12">
      <c r="A50" s="1">
        <v>46024</v>
      </c>
      <c r="B50" t="s">
        <v>8501</v>
      </c>
      <c r="C50">
        <v>15</v>
      </c>
      <c r="D50" t="str">
        <f>VLOOKUP(Tabela26[[#This Row],[EMP]],[1]LOJA!$A:$B,2,0)</f>
        <v>UNAÍ</v>
      </c>
      <c r="E50">
        <v>183</v>
      </c>
      <c r="F50" t="s">
        <v>7806</v>
      </c>
      <c r="G50" t="s">
        <v>7805</v>
      </c>
      <c r="H50" t="s">
        <v>3408</v>
      </c>
      <c r="I50">
        <v>5102</v>
      </c>
      <c r="J50" s="3">
        <v>931.4</v>
      </c>
      <c r="K50" s="3">
        <v>458.56</v>
      </c>
      <c r="L50">
        <v>50.77</v>
      </c>
    </row>
    <row r="51" spans="1:12">
      <c r="A51" s="1">
        <v>46024</v>
      </c>
      <c r="B51" t="s">
        <v>8255</v>
      </c>
      <c r="C51">
        <v>15</v>
      </c>
      <c r="D51" t="str">
        <f>VLOOKUP(Tabela26[[#This Row],[EMP]],[1]LOJA!$A:$B,2,0)</f>
        <v>UNAÍ</v>
      </c>
      <c r="E51">
        <v>183</v>
      </c>
      <c r="F51" t="s">
        <v>3969</v>
      </c>
      <c r="G51" t="s">
        <v>3968</v>
      </c>
      <c r="H51" t="s">
        <v>3401</v>
      </c>
      <c r="I51">
        <v>5102</v>
      </c>
      <c r="J51" s="3">
        <v>50</v>
      </c>
      <c r="K51" s="3">
        <v>23.01</v>
      </c>
      <c r="L51">
        <v>53.98</v>
      </c>
    </row>
    <row r="52" spans="1:12">
      <c r="A52" s="1">
        <v>46024</v>
      </c>
      <c r="B52" t="s">
        <v>8254</v>
      </c>
      <c r="C52">
        <v>15</v>
      </c>
      <c r="D52" t="str">
        <f>VLOOKUP(Tabela26[[#This Row],[EMP]],[1]LOJA!$A:$B,2,0)</f>
        <v>UNAÍ</v>
      </c>
      <c r="E52">
        <v>183</v>
      </c>
      <c r="F52" t="s">
        <v>10529</v>
      </c>
      <c r="G52" t="s">
        <v>3402</v>
      </c>
      <c r="H52" t="s">
        <v>3401</v>
      </c>
      <c r="I52">
        <v>5102</v>
      </c>
      <c r="J52" s="3">
        <v>53.85</v>
      </c>
      <c r="K52" s="3">
        <v>31.04</v>
      </c>
      <c r="L52">
        <v>42.36</v>
      </c>
    </row>
    <row r="53" spans="1:12">
      <c r="A53" s="1">
        <v>46024</v>
      </c>
      <c r="B53" t="s">
        <v>8253</v>
      </c>
      <c r="C53">
        <v>15</v>
      </c>
      <c r="D53" t="str">
        <f>VLOOKUP(Tabela26[[#This Row],[EMP]],[1]LOJA!$A:$B,2,0)</f>
        <v>UNAÍ</v>
      </c>
      <c r="E53">
        <v>183</v>
      </c>
      <c r="F53" t="s">
        <v>12761</v>
      </c>
      <c r="G53" t="s">
        <v>12760</v>
      </c>
      <c r="H53" t="s">
        <v>3401</v>
      </c>
      <c r="I53">
        <v>5102</v>
      </c>
      <c r="J53" s="3">
        <v>177.8</v>
      </c>
      <c r="K53" s="3">
        <v>94.32</v>
      </c>
      <c r="L53">
        <v>46.95</v>
      </c>
    </row>
    <row r="54" spans="1:12">
      <c r="A54" s="1">
        <v>46024</v>
      </c>
      <c r="B54" t="s">
        <v>8252</v>
      </c>
      <c r="C54">
        <v>15</v>
      </c>
      <c r="D54" t="str">
        <f>VLOOKUP(Tabela26[[#This Row],[EMP]],[1]LOJA!$A:$B,2,0)</f>
        <v>UNAÍ</v>
      </c>
      <c r="E54">
        <v>183</v>
      </c>
      <c r="F54" t="s">
        <v>3485</v>
      </c>
      <c r="G54" t="s">
        <v>3402</v>
      </c>
      <c r="H54" t="s">
        <v>3401</v>
      </c>
      <c r="I54">
        <v>5102</v>
      </c>
      <c r="J54" s="3">
        <v>32</v>
      </c>
      <c r="K54" s="3">
        <v>18.62</v>
      </c>
      <c r="L54">
        <v>41.81</v>
      </c>
    </row>
    <row r="55" spans="1:12">
      <c r="A55" s="1">
        <v>46024</v>
      </c>
      <c r="B55" t="s">
        <v>8251</v>
      </c>
      <c r="C55">
        <v>15</v>
      </c>
      <c r="D55" t="str">
        <f>VLOOKUP(Tabela26[[#This Row],[EMP]],[1]LOJA!$A:$B,2,0)</f>
        <v>UNAÍ</v>
      </c>
      <c r="E55">
        <v>183</v>
      </c>
      <c r="F55" t="s">
        <v>3485</v>
      </c>
      <c r="G55" t="s">
        <v>3402</v>
      </c>
      <c r="H55" t="s">
        <v>3401</v>
      </c>
      <c r="I55">
        <v>5102</v>
      </c>
      <c r="J55" s="3">
        <v>73.7</v>
      </c>
      <c r="K55" s="3">
        <v>42.66</v>
      </c>
      <c r="L55">
        <v>42.12</v>
      </c>
    </row>
    <row r="56" spans="1:12">
      <c r="A56" s="1">
        <v>46024</v>
      </c>
      <c r="B56" t="s">
        <v>8250</v>
      </c>
      <c r="C56">
        <v>15</v>
      </c>
      <c r="D56" t="str">
        <f>VLOOKUP(Tabela26[[#This Row],[EMP]],[1]LOJA!$A:$B,2,0)</f>
        <v>UNAÍ</v>
      </c>
      <c r="E56">
        <v>183</v>
      </c>
      <c r="F56" t="s">
        <v>4728</v>
      </c>
      <c r="G56" t="s">
        <v>4727</v>
      </c>
      <c r="H56" t="s">
        <v>3401</v>
      </c>
      <c r="I56">
        <v>5102</v>
      </c>
      <c r="J56" s="3">
        <v>119</v>
      </c>
      <c r="K56" s="3">
        <v>67.22</v>
      </c>
      <c r="L56">
        <v>43.51</v>
      </c>
    </row>
    <row r="57" spans="1:12">
      <c r="A57" s="1">
        <v>46024</v>
      </c>
      <c r="B57" t="s">
        <v>8249</v>
      </c>
      <c r="C57">
        <v>15</v>
      </c>
      <c r="D57" t="str">
        <f>VLOOKUP(Tabela26[[#This Row],[EMP]],[1]LOJA!$A:$B,2,0)</f>
        <v>UNAÍ</v>
      </c>
      <c r="E57">
        <v>183</v>
      </c>
      <c r="F57" t="s">
        <v>3485</v>
      </c>
      <c r="G57" t="s">
        <v>3402</v>
      </c>
      <c r="H57" t="s">
        <v>3401</v>
      </c>
      <c r="I57">
        <v>5102</v>
      </c>
      <c r="J57" s="3">
        <v>106.9</v>
      </c>
      <c r="K57" s="3">
        <v>50.66</v>
      </c>
      <c r="L57">
        <v>52.61</v>
      </c>
    </row>
    <row r="58" spans="1:12">
      <c r="A58" s="1">
        <v>46024</v>
      </c>
      <c r="B58" t="s">
        <v>8248</v>
      </c>
      <c r="C58">
        <v>15</v>
      </c>
      <c r="D58" t="str">
        <f>VLOOKUP(Tabela26[[#This Row],[EMP]],[1]LOJA!$A:$B,2,0)</f>
        <v>UNAÍ</v>
      </c>
      <c r="E58">
        <v>183</v>
      </c>
      <c r="F58" t="s">
        <v>3485</v>
      </c>
      <c r="G58" t="s">
        <v>3402</v>
      </c>
      <c r="H58" t="s">
        <v>3401</v>
      </c>
      <c r="I58">
        <v>5102</v>
      </c>
      <c r="J58" s="3">
        <v>77.2</v>
      </c>
      <c r="K58" s="3">
        <v>38.590000000000003</v>
      </c>
      <c r="L58">
        <v>50.01</v>
      </c>
    </row>
    <row r="59" spans="1:12">
      <c r="A59" s="1">
        <v>46024</v>
      </c>
      <c r="B59" t="s">
        <v>8247</v>
      </c>
      <c r="C59">
        <v>15</v>
      </c>
      <c r="D59" t="str">
        <f>VLOOKUP(Tabela26[[#This Row],[EMP]],[1]LOJA!$A:$B,2,0)</f>
        <v>UNAÍ</v>
      </c>
      <c r="E59">
        <v>183</v>
      </c>
      <c r="F59" t="s">
        <v>3485</v>
      </c>
      <c r="G59" t="s">
        <v>3402</v>
      </c>
      <c r="H59" t="s">
        <v>3401</v>
      </c>
      <c r="I59">
        <v>5102</v>
      </c>
      <c r="J59" s="3">
        <v>78.5</v>
      </c>
      <c r="K59" s="3">
        <v>40.409999999999997</v>
      </c>
      <c r="L59">
        <v>48.52</v>
      </c>
    </row>
    <row r="60" spans="1:12">
      <c r="A60" s="1">
        <v>46024</v>
      </c>
      <c r="B60" t="s">
        <v>8246</v>
      </c>
      <c r="C60">
        <v>15</v>
      </c>
      <c r="D60" t="str">
        <f>VLOOKUP(Tabela26[[#This Row],[EMP]],[1]LOJA!$A:$B,2,0)</f>
        <v>UNAÍ</v>
      </c>
      <c r="E60">
        <v>183</v>
      </c>
      <c r="F60" t="s">
        <v>3485</v>
      </c>
      <c r="G60" t="s">
        <v>3402</v>
      </c>
      <c r="H60" t="s">
        <v>3401</v>
      </c>
      <c r="I60">
        <v>5102</v>
      </c>
      <c r="J60" s="3">
        <v>117.89</v>
      </c>
      <c r="K60" s="3">
        <v>60.39</v>
      </c>
      <c r="L60">
        <v>48.77</v>
      </c>
    </row>
    <row r="61" spans="1:12">
      <c r="A61" s="1">
        <v>46024</v>
      </c>
      <c r="B61" t="s">
        <v>8245</v>
      </c>
      <c r="C61">
        <v>15</v>
      </c>
      <c r="D61" t="str">
        <f>VLOOKUP(Tabela26[[#This Row],[EMP]],[1]LOJA!$A:$B,2,0)</f>
        <v>UNAÍ</v>
      </c>
      <c r="E61">
        <v>183</v>
      </c>
      <c r="F61" t="s">
        <v>12759</v>
      </c>
      <c r="G61" t="s">
        <v>3402</v>
      </c>
      <c r="H61" t="s">
        <v>3401</v>
      </c>
      <c r="I61">
        <v>5102</v>
      </c>
      <c r="J61" s="3">
        <v>100</v>
      </c>
      <c r="K61" s="3">
        <v>46.42</v>
      </c>
      <c r="L61">
        <v>53.58</v>
      </c>
    </row>
    <row r="62" spans="1:12">
      <c r="A62" s="1">
        <v>46024</v>
      </c>
      <c r="B62" t="s">
        <v>8244</v>
      </c>
      <c r="C62">
        <v>15</v>
      </c>
      <c r="D62" t="str">
        <f>VLOOKUP(Tabela26[[#This Row],[EMP]],[1]LOJA!$A:$B,2,0)</f>
        <v>UNAÍ</v>
      </c>
      <c r="E62">
        <v>183</v>
      </c>
      <c r="F62" t="s">
        <v>3485</v>
      </c>
      <c r="G62" t="s">
        <v>3402</v>
      </c>
      <c r="H62" t="s">
        <v>3401</v>
      </c>
      <c r="I62">
        <v>5102</v>
      </c>
      <c r="J62" s="3">
        <v>43.6</v>
      </c>
      <c r="K62" s="3">
        <v>24.58</v>
      </c>
      <c r="L62">
        <v>43.62</v>
      </c>
    </row>
    <row r="63" spans="1:12">
      <c r="A63" s="1">
        <v>46024</v>
      </c>
      <c r="B63" t="s">
        <v>8243</v>
      </c>
      <c r="C63">
        <v>15</v>
      </c>
      <c r="D63" t="str">
        <f>VLOOKUP(Tabela26[[#This Row],[EMP]],[1]LOJA!$A:$B,2,0)</f>
        <v>UNAÍ</v>
      </c>
      <c r="E63">
        <v>183</v>
      </c>
      <c r="F63" t="s">
        <v>3485</v>
      </c>
      <c r="G63" t="s">
        <v>3402</v>
      </c>
      <c r="H63" t="s">
        <v>3401</v>
      </c>
      <c r="I63">
        <v>5102</v>
      </c>
      <c r="J63" s="3">
        <v>16</v>
      </c>
      <c r="K63" s="3">
        <v>8.14</v>
      </c>
      <c r="L63">
        <v>49.13</v>
      </c>
    </row>
    <row r="64" spans="1:12">
      <c r="A64" s="1">
        <v>46024</v>
      </c>
      <c r="B64" t="s">
        <v>8242</v>
      </c>
      <c r="C64">
        <v>15</v>
      </c>
      <c r="D64" t="str">
        <f>VLOOKUP(Tabela26[[#This Row],[EMP]],[1]LOJA!$A:$B,2,0)</f>
        <v>UNAÍ</v>
      </c>
      <c r="E64">
        <v>183</v>
      </c>
      <c r="F64" t="s">
        <v>3485</v>
      </c>
      <c r="G64" t="s">
        <v>3402</v>
      </c>
      <c r="H64" t="s">
        <v>3401</v>
      </c>
      <c r="I64">
        <v>5102</v>
      </c>
      <c r="J64" s="3">
        <v>19</v>
      </c>
      <c r="K64" s="3">
        <v>9.0299999999999994</v>
      </c>
      <c r="L64">
        <v>52.47</v>
      </c>
    </row>
    <row r="65" spans="1:12">
      <c r="A65" s="1">
        <v>46024</v>
      </c>
      <c r="B65" t="s">
        <v>8241</v>
      </c>
      <c r="C65">
        <v>15</v>
      </c>
      <c r="D65" t="str">
        <f>VLOOKUP(Tabela26[[#This Row],[EMP]],[1]LOJA!$A:$B,2,0)</f>
        <v>UNAÍ</v>
      </c>
      <c r="E65">
        <v>183</v>
      </c>
      <c r="F65" t="s">
        <v>10076</v>
      </c>
      <c r="G65" t="s">
        <v>10075</v>
      </c>
      <c r="H65" t="s">
        <v>3408</v>
      </c>
      <c r="I65">
        <v>5102</v>
      </c>
      <c r="J65" s="3">
        <v>53.6</v>
      </c>
      <c r="K65" s="3">
        <v>32.04</v>
      </c>
      <c r="L65">
        <v>40.22</v>
      </c>
    </row>
    <row r="66" spans="1:12">
      <c r="A66" s="1">
        <v>46024</v>
      </c>
      <c r="B66" t="s">
        <v>12758</v>
      </c>
      <c r="C66">
        <v>14</v>
      </c>
      <c r="D66" t="str">
        <f>VLOOKUP(Tabela26[[#This Row],[EMP]],[1]LOJA!$A:$B,2,0)</f>
        <v>S IA</v>
      </c>
      <c r="E66">
        <v>54</v>
      </c>
      <c r="F66" t="s">
        <v>3403</v>
      </c>
      <c r="G66" t="s">
        <v>3402</v>
      </c>
      <c r="H66" t="s">
        <v>3401</v>
      </c>
      <c r="I66">
        <v>5405</v>
      </c>
      <c r="J66" s="3">
        <v>20</v>
      </c>
      <c r="K66" s="3">
        <v>8.65</v>
      </c>
      <c r="L66">
        <v>56.75</v>
      </c>
    </row>
    <row r="67" spans="1:12">
      <c r="A67" s="1">
        <v>46024</v>
      </c>
      <c r="B67" t="s">
        <v>12757</v>
      </c>
      <c r="C67">
        <v>14</v>
      </c>
      <c r="D67" t="str">
        <f>VLOOKUP(Tabela26[[#This Row],[EMP]],[1]LOJA!$A:$B,2,0)</f>
        <v>S IA</v>
      </c>
      <c r="E67">
        <v>54</v>
      </c>
      <c r="F67" t="s">
        <v>7115</v>
      </c>
      <c r="G67" t="s">
        <v>3402</v>
      </c>
      <c r="H67" t="s">
        <v>3408</v>
      </c>
      <c r="I67">
        <v>5102</v>
      </c>
      <c r="J67" s="3">
        <v>54</v>
      </c>
      <c r="K67" s="3">
        <v>26.94</v>
      </c>
      <c r="L67">
        <v>50.11</v>
      </c>
    </row>
    <row r="68" spans="1:12">
      <c r="A68" s="1">
        <v>46024</v>
      </c>
      <c r="B68" t="s">
        <v>12756</v>
      </c>
      <c r="C68">
        <v>14</v>
      </c>
      <c r="D68" t="str">
        <f>VLOOKUP(Tabela26[[#This Row],[EMP]],[1]LOJA!$A:$B,2,0)</f>
        <v>S IA</v>
      </c>
      <c r="E68">
        <v>54</v>
      </c>
      <c r="F68" t="s">
        <v>3403</v>
      </c>
      <c r="G68" t="s">
        <v>3402</v>
      </c>
      <c r="H68" t="s">
        <v>3401</v>
      </c>
      <c r="I68">
        <v>5102</v>
      </c>
      <c r="J68" s="3">
        <v>15</v>
      </c>
      <c r="K68" s="3">
        <v>9.84</v>
      </c>
      <c r="L68">
        <v>34.4</v>
      </c>
    </row>
    <row r="69" spans="1:12">
      <c r="A69" s="1">
        <v>46024</v>
      </c>
      <c r="B69" t="s">
        <v>12755</v>
      </c>
      <c r="C69">
        <v>14</v>
      </c>
      <c r="D69" t="str">
        <f>VLOOKUP(Tabela26[[#This Row],[EMP]],[1]LOJA!$A:$B,2,0)</f>
        <v>S IA</v>
      </c>
      <c r="E69">
        <v>54</v>
      </c>
      <c r="F69" t="s">
        <v>3403</v>
      </c>
      <c r="G69" t="s">
        <v>3402</v>
      </c>
      <c r="H69" t="s">
        <v>3401</v>
      </c>
      <c r="I69">
        <v>5102</v>
      </c>
      <c r="J69" s="3">
        <v>74</v>
      </c>
      <c r="K69" s="3">
        <v>32.89</v>
      </c>
      <c r="L69">
        <v>55.55</v>
      </c>
    </row>
    <row r="70" spans="1:12">
      <c r="A70" s="1">
        <v>46024</v>
      </c>
      <c r="B70" t="s">
        <v>12754</v>
      </c>
      <c r="C70">
        <v>14</v>
      </c>
      <c r="D70" t="str">
        <f>VLOOKUP(Tabela26[[#This Row],[EMP]],[1]LOJA!$A:$B,2,0)</f>
        <v>S IA</v>
      </c>
      <c r="E70">
        <v>54</v>
      </c>
      <c r="F70" t="s">
        <v>4659</v>
      </c>
      <c r="G70" t="s">
        <v>4658</v>
      </c>
      <c r="H70" t="s">
        <v>3430</v>
      </c>
      <c r="I70">
        <v>5102</v>
      </c>
      <c r="J70" s="3">
        <v>517</v>
      </c>
      <c r="K70" s="3">
        <v>349.71</v>
      </c>
      <c r="L70">
        <v>32.36</v>
      </c>
    </row>
    <row r="71" spans="1:12">
      <c r="A71" s="1">
        <v>46024</v>
      </c>
      <c r="B71" t="s">
        <v>12753</v>
      </c>
      <c r="C71">
        <v>14</v>
      </c>
      <c r="D71" t="str">
        <f>VLOOKUP(Tabela26[[#This Row],[EMP]],[1]LOJA!$A:$B,2,0)</f>
        <v>S IA</v>
      </c>
      <c r="E71">
        <v>54</v>
      </c>
      <c r="F71" t="s">
        <v>12752</v>
      </c>
      <c r="G71" t="s">
        <v>3402</v>
      </c>
      <c r="H71" t="s">
        <v>3401</v>
      </c>
      <c r="I71">
        <v>5405</v>
      </c>
      <c r="J71" s="3">
        <v>29</v>
      </c>
      <c r="K71" s="3">
        <v>11.49</v>
      </c>
      <c r="L71">
        <v>60.38</v>
      </c>
    </row>
    <row r="72" spans="1:12">
      <c r="A72" s="1">
        <v>46024</v>
      </c>
      <c r="B72" t="s">
        <v>12751</v>
      </c>
      <c r="C72">
        <v>14</v>
      </c>
      <c r="D72" t="str">
        <f>VLOOKUP(Tabela26[[#This Row],[EMP]],[1]LOJA!$A:$B,2,0)</f>
        <v>S IA</v>
      </c>
      <c r="E72">
        <v>54</v>
      </c>
      <c r="F72" t="s">
        <v>4659</v>
      </c>
      <c r="G72" t="s">
        <v>4658</v>
      </c>
      <c r="H72" t="s">
        <v>3430</v>
      </c>
      <c r="I72">
        <v>5102</v>
      </c>
      <c r="J72" s="3">
        <v>1908.37</v>
      </c>
      <c r="K72" s="3">
        <v>1103.28</v>
      </c>
      <c r="L72">
        <v>42.19</v>
      </c>
    </row>
    <row r="73" spans="1:12">
      <c r="A73" s="1">
        <v>46024</v>
      </c>
      <c r="B73" t="s">
        <v>12750</v>
      </c>
      <c r="C73">
        <v>14</v>
      </c>
      <c r="D73" t="str">
        <f>VLOOKUP(Tabela26[[#This Row],[EMP]],[1]LOJA!$A:$B,2,0)</f>
        <v>S IA</v>
      </c>
      <c r="E73">
        <v>54</v>
      </c>
      <c r="F73" t="s">
        <v>4159</v>
      </c>
      <c r="G73" t="s">
        <v>4158</v>
      </c>
      <c r="H73" t="s">
        <v>3430</v>
      </c>
      <c r="I73">
        <v>5405</v>
      </c>
      <c r="J73" s="3">
        <v>400.55</v>
      </c>
      <c r="K73" s="3">
        <v>205.65</v>
      </c>
      <c r="L73">
        <v>48.66</v>
      </c>
    </row>
    <row r="74" spans="1:12">
      <c r="A74" s="1">
        <v>46024</v>
      </c>
      <c r="B74" t="s">
        <v>12749</v>
      </c>
      <c r="C74">
        <v>14</v>
      </c>
      <c r="D74" t="str">
        <f>VLOOKUP(Tabela26[[#This Row],[EMP]],[1]LOJA!$A:$B,2,0)</f>
        <v>S IA</v>
      </c>
      <c r="E74">
        <v>54</v>
      </c>
      <c r="F74" t="s">
        <v>5251</v>
      </c>
      <c r="G74" t="s">
        <v>7587</v>
      </c>
      <c r="H74" t="s">
        <v>3401</v>
      </c>
      <c r="I74">
        <v>5102</v>
      </c>
      <c r="J74" s="3">
        <v>82</v>
      </c>
      <c r="K74" s="3">
        <v>42.69</v>
      </c>
      <c r="L74">
        <v>47.94</v>
      </c>
    </row>
    <row r="75" spans="1:12">
      <c r="A75" s="1">
        <v>46024</v>
      </c>
      <c r="B75" t="s">
        <v>12748</v>
      </c>
      <c r="C75">
        <v>14</v>
      </c>
      <c r="D75" t="str">
        <f>VLOOKUP(Tabela26[[#This Row],[EMP]],[1]LOJA!$A:$B,2,0)</f>
        <v>S IA</v>
      </c>
      <c r="E75">
        <v>54</v>
      </c>
      <c r="F75" t="s">
        <v>6265</v>
      </c>
      <c r="G75" t="s">
        <v>3402</v>
      </c>
      <c r="H75" t="s">
        <v>3401</v>
      </c>
      <c r="I75">
        <v>5102</v>
      </c>
      <c r="J75" s="3">
        <v>56</v>
      </c>
      <c r="K75" s="3">
        <v>33.799999999999997</v>
      </c>
      <c r="L75">
        <v>39.64</v>
      </c>
    </row>
    <row r="76" spans="1:12">
      <c r="A76" s="1">
        <v>46024</v>
      </c>
      <c r="B76" t="s">
        <v>12747</v>
      </c>
      <c r="C76">
        <v>14</v>
      </c>
      <c r="D76" t="str">
        <f>VLOOKUP(Tabela26[[#This Row],[EMP]],[1]LOJA!$A:$B,2,0)</f>
        <v>S IA</v>
      </c>
      <c r="E76">
        <v>54</v>
      </c>
      <c r="F76" t="s">
        <v>3403</v>
      </c>
      <c r="G76" t="s">
        <v>3402</v>
      </c>
      <c r="H76" t="s">
        <v>3401</v>
      </c>
      <c r="I76">
        <v>5102</v>
      </c>
      <c r="J76" s="3">
        <v>23.9</v>
      </c>
      <c r="K76" s="3">
        <v>11.63</v>
      </c>
      <c r="L76">
        <v>51.34</v>
      </c>
    </row>
    <row r="77" spans="1:12">
      <c r="A77" s="1">
        <v>46024</v>
      </c>
      <c r="B77" t="s">
        <v>12746</v>
      </c>
      <c r="C77">
        <v>14</v>
      </c>
      <c r="D77" t="str">
        <f>VLOOKUP(Tabela26[[#This Row],[EMP]],[1]LOJA!$A:$B,2,0)</f>
        <v>S IA</v>
      </c>
      <c r="E77">
        <v>54</v>
      </c>
      <c r="F77" t="s">
        <v>12745</v>
      </c>
      <c r="G77" t="s">
        <v>3402</v>
      </c>
      <c r="H77" t="s">
        <v>3401</v>
      </c>
      <c r="I77">
        <v>5102</v>
      </c>
      <c r="J77" s="3">
        <v>30</v>
      </c>
      <c r="K77" s="3">
        <v>17.489999999999998</v>
      </c>
      <c r="L77">
        <v>41.7</v>
      </c>
    </row>
    <row r="78" spans="1:12">
      <c r="A78" s="1">
        <v>46024</v>
      </c>
      <c r="B78" t="s">
        <v>12744</v>
      </c>
      <c r="C78">
        <v>14</v>
      </c>
      <c r="D78" t="str">
        <f>VLOOKUP(Tabela26[[#This Row],[EMP]],[1]LOJA!$A:$B,2,0)</f>
        <v>S IA</v>
      </c>
      <c r="E78">
        <v>54</v>
      </c>
      <c r="F78" t="s">
        <v>3403</v>
      </c>
      <c r="G78" t="s">
        <v>3402</v>
      </c>
      <c r="H78" t="s">
        <v>3401</v>
      </c>
      <c r="I78">
        <v>5102</v>
      </c>
      <c r="J78" s="3">
        <v>53.9</v>
      </c>
      <c r="K78" s="3">
        <v>28.62</v>
      </c>
      <c r="L78">
        <v>46.9</v>
      </c>
    </row>
    <row r="79" spans="1:12">
      <c r="A79" s="1">
        <v>46024</v>
      </c>
      <c r="B79" t="s">
        <v>12743</v>
      </c>
      <c r="C79">
        <v>14</v>
      </c>
      <c r="D79" t="str">
        <f>VLOOKUP(Tabela26[[#This Row],[EMP]],[1]LOJA!$A:$B,2,0)</f>
        <v>S IA</v>
      </c>
      <c r="E79">
        <v>54</v>
      </c>
      <c r="F79" t="s">
        <v>12742</v>
      </c>
      <c r="G79" t="s">
        <v>12741</v>
      </c>
      <c r="H79" t="s">
        <v>3401</v>
      </c>
      <c r="I79">
        <v>5102</v>
      </c>
      <c r="J79" s="3">
        <v>106.21</v>
      </c>
      <c r="K79" s="3">
        <v>64</v>
      </c>
      <c r="L79">
        <v>39.74</v>
      </c>
    </row>
    <row r="80" spans="1:12">
      <c r="A80" s="1">
        <v>46024</v>
      </c>
      <c r="B80" t="s">
        <v>12740</v>
      </c>
      <c r="C80">
        <v>14</v>
      </c>
      <c r="D80" t="str">
        <f>VLOOKUP(Tabela26[[#This Row],[EMP]],[1]LOJA!$A:$B,2,0)</f>
        <v>S IA</v>
      </c>
      <c r="E80">
        <v>54</v>
      </c>
      <c r="F80" t="s">
        <v>12739</v>
      </c>
      <c r="G80" t="s">
        <v>12738</v>
      </c>
      <c r="H80" t="s">
        <v>3401</v>
      </c>
      <c r="I80">
        <v>5102</v>
      </c>
      <c r="J80" s="3">
        <v>147.12</v>
      </c>
      <c r="K80" s="3">
        <v>81.93</v>
      </c>
      <c r="L80">
        <v>44.31</v>
      </c>
    </row>
    <row r="81" spans="1:12">
      <c r="A81" s="1">
        <v>46024</v>
      </c>
      <c r="B81" t="s">
        <v>12737</v>
      </c>
      <c r="C81">
        <v>14</v>
      </c>
      <c r="D81" t="str">
        <f>VLOOKUP(Tabela26[[#This Row],[EMP]],[1]LOJA!$A:$B,2,0)</f>
        <v>S IA</v>
      </c>
      <c r="E81">
        <v>54</v>
      </c>
      <c r="F81" t="s">
        <v>3403</v>
      </c>
      <c r="G81" t="s">
        <v>3402</v>
      </c>
      <c r="H81" t="s">
        <v>3401</v>
      </c>
      <c r="I81">
        <v>5102</v>
      </c>
      <c r="J81" s="3">
        <v>25</v>
      </c>
      <c r="K81" s="3">
        <v>9.7899999999999991</v>
      </c>
      <c r="L81">
        <v>60.84</v>
      </c>
    </row>
    <row r="82" spans="1:12">
      <c r="A82" s="1">
        <v>46024</v>
      </c>
      <c r="B82" t="s">
        <v>12736</v>
      </c>
      <c r="C82">
        <v>14</v>
      </c>
      <c r="D82" t="str">
        <f>VLOOKUP(Tabela26[[#This Row],[EMP]],[1]LOJA!$A:$B,2,0)</f>
        <v>S IA</v>
      </c>
      <c r="E82">
        <v>54</v>
      </c>
      <c r="F82" t="s">
        <v>12735</v>
      </c>
      <c r="G82" t="s">
        <v>12734</v>
      </c>
      <c r="H82" t="s">
        <v>3401</v>
      </c>
      <c r="I82">
        <v>5102</v>
      </c>
      <c r="J82" s="3">
        <v>44.9</v>
      </c>
      <c r="K82" s="3">
        <v>17.61</v>
      </c>
      <c r="L82">
        <v>60.78</v>
      </c>
    </row>
    <row r="83" spans="1:12">
      <c r="A83" s="1">
        <v>46024</v>
      </c>
      <c r="B83" t="s">
        <v>12733</v>
      </c>
      <c r="C83">
        <v>14</v>
      </c>
      <c r="D83" t="str">
        <f>VLOOKUP(Tabela26[[#This Row],[EMP]],[1]LOJA!$A:$B,2,0)</f>
        <v>S IA</v>
      </c>
      <c r="E83">
        <v>54</v>
      </c>
      <c r="F83" t="s">
        <v>3403</v>
      </c>
      <c r="G83" t="s">
        <v>3402</v>
      </c>
      <c r="H83" t="s">
        <v>3401</v>
      </c>
      <c r="I83">
        <v>5102</v>
      </c>
      <c r="J83" s="3">
        <v>37.51</v>
      </c>
      <c r="K83" s="3">
        <v>19.59</v>
      </c>
      <c r="L83">
        <v>47.77</v>
      </c>
    </row>
    <row r="84" spans="1:12">
      <c r="A84" s="1">
        <v>46024</v>
      </c>
      <c r="B84" t="s">
        <v>12732</v>
      </c>
      <c r="C84">
        <v>14</v>
      </c>
      <c r="D84" t="str">
        <f>VLOOKUP(Tabela26[[#This Row],[EMP]],[1]LOJA!$A:$B,2,0)</f>
        <v>S IA</v>
      </c>
      <c r="E84">
        <v>54</v>
      </c>
      <c r="F84" t="s">
        <v>3403</v>
      </c>
      <c r="G84" t="s">
        <v>3402</v>
      </c>
      <c r="H84" t="s">
        <v>3401</v>
      </c>
      <c r="I84">
        <v>5102</v>
      </c>
      <c r="J84" s="3">
        <v>22</v>
      </c>
      <c r="K84" s="3">
        <v>10.36</v>
      </c>
      <c r="L84">
        <v>52.91</v>
      </c>
    </row>
    <row r="85" spans="1:12">
      <c r="A85" s="1">
        <v>46024</v>
      </c>
      <c r="B85" t="s">
        <v>12731</v>
      </c>
      <c r="C85">
        <v>14</v>
      </c>
      <c r="D85" t="str">
        <f>VLOOKUP(Tabela26[[#This Row],[EMP]],[1]LOJA!$A:$B,2,0)</f>
        <v>S IA</v>
      </c>
      <c r="E85">
        <v>54</v>
      </c>
      <c r="F85" t="s">
        <v>12730</v>
      </c>
      <c r="G85" t="s">
        <v>3402</v>
      </c>
      <c r="H85" t="s">
        <v>3401</v>
      </c>
      <c r="I85">
        <v>5102</v>
      </c>
      <c r="J85" s="3">
        <v>99.9</v>
      </c>
      <c r="K85" s="3">
        <v>48.79</v>
      </c>
      <c r="L85">
        <v>51.16</v>
      </c>
    </row>
    <row r="86" spans="1:12">
      <c r="A86" s="1">
        <v>46024</v>
      </c>
      <c r="B86" t="s">
        <v>12729</v>
      </c>
      <c r="C86">
        <v>14</v>
      </c>
      <c r="D86" t="str">
        <f>VLOOKUP(Tabela26[[#This Row],[EMP]],[1]LOJA!$A:$B,2,0)</f>
        <v>S IA</v>
      </c>
      <c r="E86">
        <v>54</v>
      </c>
      <c r="F86" t="s">
        <v>3403</v>
      </c>
      <c r="G86" t="s">
        <v>3402</v>
      </c>
      <c r="H86" t="s">
        <v>3401</v>
      </c>
      <c r="I86">
        <v>5405</v>
      </c>
      <c r="J86" s="3">
        <v>29.9</v>
      </c>
      <c r="K86" s="3">
        <v>12.63</v>
      </c>
      <c r="L86">
        <v>57.76</v>
      </c>
    </row>
    <row r="87" spans="1:12">
      <c r="A87" s="1">
        <v>46024</v>
      </c>
      <c r="B87" t="s">
        <v>12728</v>
      </c>
      <c r="C87">
        <v>15</v>
      </c>
      <c r="D87" t="str">
        <f>VLOOKUP(Tabela26[[#This Row],[EMP]],[1]LOJA!$A:$B,2,0)</f>
        <v>UNAÍ</v>
      </c>
      <c r="E87">
        <v>183</v>
      </c>
      <c r="F87" t="s">
        <v>5290</v>
      </c>
      <c r="G87" t="s">
        <v>5289</v>
      </c>
      <c r="H87" t="s">
        <v>3401</v>
      </c>
      <c r="I87">
        <v>5405</v>
      </c>
      <c r="J87" s="3">
        <v>129.80000000000001</v>
      </c>
      <c r="K87" s="3">
        <v>64.02</v>
      </c>
      <c r="L87">
        <v>50.68</v>
      </c>
    </row>
    <row r="88" spans="1:12">
      <c r="A88" s="1">
        <v>46024</v>
      </c>
      <c r="B88" t="s">
        <v>12727</v>
      </c>
      <c r="C88">
        <v>15</v>
      </c>
      <c r="D88" t="str">
        <f>VLOOKUP(Tabela26[[#This Row],[EMP]],[1]LOJA!$A:$B,2,0)</f>
        <v>UNAÍ</v>
      </c>
      <c r="E88">
        <v>183</v>
      </c>
      <c r="F88" t="s">
        <v>3969</v>
      </c>
      <c r="G88" t="s">
        <v>3968</v>
      </c>
      <c r="H88" t="s">
        <v>3401</v>
      </c>
      <c r="I88">
        <v>5102</v>
      </c>
      <c r="J88" s="3">
        <v>48</v>
      </c>
      <c r="K88" s="3">
        <v>23.01</v>
      </c>
      <c r="L88">
        <v>52.06</v>
      </c>
    </row>
    <row r="89" spans="1:12">
      <c r="A89" s="1">
        <v>46024</v>
      </c>
      <c r="B89" t="s">
        <v>12726</v>
      </c>
      <c r="C89">
        <v>15</v>
      </c>
      <c r="D89" t="str">
        <f>VLOOKUP(Tabela26[[#This Row],[EMP]],[1]LOJA!$A:$B,2,0)</f>
        <v>UNAÍ</v>
      </c>
      <c r="E89">
        <v>183</v>
      </c>
      <c r="F89" t="s">
        <v>3957</v>
      </c>
      <c r="G89" t="s">
        <v>3956</v>
      </c>
      <c r="H89" t="s">
        <v>3401</v>
      </c>
      <c r="I89">
        <v>5102</v>
      </c>
      <c r="J89" s="3">
        <v>25</v>
      </c>
      <c r="K89" s="3">
        <v>12.3</v>
      </c>
      <c r="L89">
        <v>50.8</v>
      </c>
    </row>
    <row r="90" spans="1:12">
      <c r="A90" s="1">
        <v>46024</v>
      </c>
      <c r="B90" t="s">
        <v>12725</v>
      </c>
      <c r="C90">
        <v>15</v>
      </c>
      <c r="D90" t="str">
        <f>VLOOKUP(Tabela26[[#This Row],[EMP]],[1]LOJA!$A:$B,2,0)</f>
        <v>UNAÍ</v>
      </c>
      <c r="E90">
        <v>183</v>
      </c>
      <c r="F90" t="s">
        <v>7806</v>
      </c>
      <c r="G90" t="s">
        <v>7805</v>
      </c>
      <c r="H90" t="s">
        <v>3401</v>
      </c>
      <c r="I90">
        <v>5102</v>
      </c>
      <c r="J90" s="3">
        <v>81</v>
      </c>
      <c r="K90" s="3">
        <v>42.26</v>
      </c>
      <c r="L90">
        <v>47.83</v>
      </c>
    </row>
    <row r="91" spans="1:12">
      <c r="A91" s="1">
        <v>46024</v>
      </c>
      <c r="B91" t="s">
        <v>12724</v>
      </c>
      <c r="C91">
        <v>15</v>
      </c>
      <c r="D91" t="str">
        <f>VLOOKUP(Tabela26[[#This Row],[EMP]],[1]LOJA!$A:$B,2,0)</f>
        <v>UNAÍ</v>
      </c>
      <c r="E91">
        <v>183</v>
      </c>
      <c r="F91" t="s">
        <v>4714</v>
      </c>
      <c r="G91" t="s">
        <v>4713</v>
      </c>
      <c r="H91" t="s">
        <v>3401</v>
      </c>
      <c r="I91">
        <v>5102</v>
      </c>
      <c r="J91" s="3">
        <v>117</v>
      </c>
      <c r="K91" s="3">
        <v>58.3</v>
      </c>
      <c r="L91">
        <v>50.17</v>
      </c>
    </row>
    <row r="92" spans="1:12">
      <c r="A92" s="1">
        <v>46024</v>
      </c>
      <c r="B92" t="s">
        <v>12723</v>
      </c>
      <c r="C92">
        <v>22</v>
      </c>
      <c r="D92" t="str">
        <f>VLOOKUP(Tabela26[[#This Row],[EMP]],[1]LOJA!$A:$B,2,0)</f>
        <v>GUARÁ</v>
      </c>
      <c r="E92">
        <v>93</v>
      </c>
      <c r="F92" t="s">
        <v>3403</v>
      </c>
      <c r="G92" t="s">
        <v>3402</v>
      </c>
      <c r="H92" t="s">
        <v>3401</v>
      </c>
      <c r="I92">
        <v>5102</v>
      </c>
      <c r="J92" s="3">
        <v>38</v>
      </c>
      <c r="K92" s="3">
        <v>15.36</v>
      </c>
      <c r="L92">
        <v>59.58</v>
      </c>
    </row>
    <row r="93" spans="1:12">
      <c r="A93" s="1">
        <v>46024</v>
      </c>
      <c r="B93" t="s">
        <v>12722</v>
      </c>
      <c r="C93">
        <v>22</v>
      </c>
      <c r="D93" t="str">
        <f>VLOOKUP(Tabela26[[#This Row],[EMP]],[1]LOJA!$A:$B,2,0)</f>
        <v>GUARÁ</v>
      </c>
      <c r="E93">
        <v>93</v>
      </c>
      <c r="F93" t="s">
        <v>3403</v>
      </c>
      <c r="G93" t="s">
        <v>3402</v>
      </c>
      <c r="H93" t="s">
        <v>3401</v>
      </c>
      <c r="I93">
        <v>5102</v>
      </c>
      <c r="J93" s="3">
        <v>6</v>
      </c>
      <c r="K93" s="3">
        <v>3.08</v>
      </c>
      <c r="L93">
        <v>48.67</v>
      </c>
    </row>
    <row r="94" spans="1:12">
      <c r="A94" s="1">
        <v>46024</v>
      </c>
      <c r="B94" t="s">
        <v>12721</v>
      </c>
      <c r="C94">
        <v>22</v>
      </c>
      <c r="D94" t="str">
        <f>VLOOKUP(Tabela26[[#This Row],[EMP]],[1]LOJA!$A:$B,2,0)</f>
        <v>GUARÁ</v>
      </c>
      <c r="E94">
        <v>93</v>
      </c>
      <c r="F94" t="s">
        <v>3403</v>
      </c>
      <c r="G94" t="s">
        <v>3402</v>
      </c>
      <c r="H94" t="s">
        <v>3401</v>
      </c>
      <c r="I94">
        <v>5405</v>
      </c>
      <c r="J94" s="3">
        <v>30</v>
      </c>
      <c r="K94" s="3">
        <v>14.63</v>
      </c>
      <c r="L94">
        <v>51.23</v>
      </c>
    </row>
    <row r="95" spans="1:12">
      <c r="A95" s="1">
        <v>46024</v>
      </c>
      <c r="B95" t="s">
        <v>12720</v>
      </c>
      <c r="C95">
        <v>22</v>
      </c>
      <c r="D95" t="str">
        <f>VLOOKUP(Tabela26[[#This Row],[EMP]],[1]LOJA!$A:$B,2,0)</f>
        <v>GUARÁ</v>
      </c>
      <c r="E95">
        <v>93</v>
      </c>
      <c r="F95" t="s">
        <v>3403</v>
      </c>
      <c r="G95" t="s">
        <v>3402</v>
      </c>
      <c r="H95" t="s">
        <v>3401</v>
      </c>
      <c r="I95">
        <v>5102</v>
      </c>
      <c r="J95" s="3">
        <v>27</v>
      </c>
      <c r="K95" s="3">
        <v>16.899999999999999</v>
      </c>
      <c r="L95">
        <v>37.409999999999997</v>
      </c>
    </row>
    <row r="96" spans="1:12">
      <c r="A96" s="1">
        <v>46024</v>
      </c>
      <c r="B96" t="s">
        <v>12719</v>
      </c>
      <c r="C96">
        <v>22</v>
      </c>
      <c r="D96" t="str">
        <f>VLOOKUP(Tabela26[[#This Row],[EMP]],[1]LOJA!$A:$B,2,0)</f>
        <v>GUARÁ</v>
      </c>
      <c r="E96">
        <v>93</v>
      </c>
      <c r="F96" t="s">
        <v>3452</v>
      </c>
      <c r="G96" t="s">
        <v>3451</v>
      </c>
      <c r="H96" t="s">
        <v>3408</v>
      </c>
      <c r="I96">
        <v>5405</v>
      </c>
      <c r="J96" s="3">
        <v>38</v>
      </c>
      <c r="K96" s="3">
        <v>17.87</v>
      </c>
      <c r="L96">
        <v>52.97</v>
      </c>
    </row>
    <row r="97" spans="1:12">
      <c r="A97" s="1">
        <v>46024</v>
      </c>
      <c r="B97" t="s">
        <v>12718</v>
      </c>
      <c r="C97">
        <v>22</v>
      </c>
      <c r="D97" t="str">
        <f>VLOOKUP(Tabela26[[#This Row],[EMP]],[1]LOJA!$A:$B,2,0)</f>
        <v>GUARÁ</v>
      </c>
      <c r="E97">
        <v>93</v>
      </c>
      <c r="F97" t="s">
        <v>12717</v>
      </c>
      <c r="G97" t="s">
        <v>12716</v>
      </c>
      <c r="H97" t="s">
        <v>3408</v>
      </c>
      <c r="I97">
        <v>5102</v>
      </c>
      <c r="J97" s="3">
        <v>76.66</v>
      </c>
      <c r="K97" s="3">
        <v>50.2</v>
      </c>
      <c r="L97">
        <v>34.520000000000003</v>
      </c>
    </row>
    <row r="98" spans="1:12">
      <c r="A98" s="1">
        <v>46024</v>
      </c>
      <c r="B98" t="s">
        <v>12715</v>
      </c>
      <c r="C98">
        <v>22</v>
      </c>
      <c r="D98" t="str">
        <f>VLOOKUP(Tabela26[[#This Row],[EMP]],[1]LOJA!$A:$B,2,0)</f>
        <v>GUARÁ</v>
      </c>
      <c r="E98">
        <v>93</v>
      </c>
      <c r="F98" t="s">
        <v>12714</v>
      </c>
      <c r="G98" t="s">
        <v>3402</v>
      </c>
      <c r="H98" t="s">
        <v>3408</v>
      </c>
      <c r="I98">
        <v>5405</v>
      </c>
      <c r="J98" s="3">
        <v>38</v>
      </c>
      <c r="K98" s="3">
        <v>19.61</v>
      </c>
      <c r="L98">
        <v>48.39</v>
      </c>
    </row>
    <row r="99" spans="1:12">
      <c r="A99" s="1">
        <v>46024</v>
      </c>
      <c r="B99" t="s">
        <v>12713</v>
      </c>
      <c r="C99">
        <v>22</v>
      </c>
      <c r="D99" t="str">
        <f>VLOOKUP(Tabela26[[#This Row],[EMP]],[1]LOJA!$A:$B,2,0)</f>
        <v>GUARÁ</v>
      </c>
      <c r="E99">
        <v>93</v>
      </c>
      <c r="F99" t="s">
        <v>5200</v>
      </c>
      <c r="G99" t="s">
        <v>5199</v>
      </c>
      <c r="H99" t="s">
        <v>3408</v>
      </c>
      <c r="I99">
        <v>5405</v>
      </c>
      <c r="J99" s="3">
        <v>159</v>
      </c>
      <c r="K99" s="3">
        <v>79.62</v>
      </c>
      <c r="L99">
        <v>49.92</v>
      </c>
    </row>
    <row r="100" spans="1:12">
      <c r="A100" s="1">
        <v>46024</v>
      </c>
      <c r="B100" t="s">
        <v>12712</v>
      </c>
      <c r="C100">
        <v>22</v>
      </c>
      <c r="D100" t="str">
        <f>VLOOKUP(Tabela26[[#This Row],[EMP]],[1]LOJA!$A:$B,2,0)</f>
        <v>GUARÁ</v>
      </c>
      <c r="E100">
        <v>93</v>
      </c>
      <c r="F100" t="s">
        <v>12711</v>
      </c>
      <c r="G100" t="s">
        <v>3402</v>
      </c>
      <c r="H100" t="s">
        <v>3408</v>
      </c>
      <c r="I100">
        <v>5405</v>
      </c>
      <c r="J100" s="3">
        <v>45</v>
      </c>
      <c r="K100" s="3">
        <v>21.32</v>
      </c>
      <c r="L100">
        <v>52.62</v>
      </c>
    </row>
    <row r="101" spans="1:12">
      <c r="A101" s="1">
        <v>46024</v>
      </c>
      <c r="B101" t="s">
        <v>12710</v>
      </c>
      <c r="C101">
        <v>22</v>
      </c>
      <c r="D101" t="str">
        <f>VLOOKUP(Tabela26[[#This Row],[EMP]],[1]LOJA!$A:$B,2,0)</f>
        <v>GUARÁ</v>
      </c>
      <c r="E101">
        <v>93</v>
      </c>
      <c r="F101" t="s">
        <v>3403</v>
      </c>
      <c r="G101" t="s">
        <v>3402</v>
      </c>
      <c r="H101" t="s">
        <v>3401</v>
      </c>
      <c r="I101">
        <v>5405</v>
      </c>
      <c r="J101" s="3">
        <v>39</v>
      </c>
      <c r="K101" s="3">
        <v>17.329999999999998</v>
      </c>
      <c r="L101">
        <v>55.56</v>
      </c>
    </row>
    <row r="102" spans="1:12">
      <c r="A102" s="1">
        <v>46024</v>
      </c>
      <c r="B102" t="s">
        <v>12709</v>
      </c>
      <c r="C102">
        <v>22</v>
      </c>
      <c r="D102" t="str">
        <f>VLOOKUP(Tabela26[[#This Row],[EMP]],[1]LOJA!$A:$B,2,0)</f>
        <v>GUARÁ</v>
      </c>
      <c r="E102">
        <v>93</v>
      </c>
      <c r="F102" t="s">
        <v>3403</v>
      </c>
      <c r="G102" t="s">
        <v>3402</v>
      </c>
      <c r="H102" t="s">
        <v>3401</v>
      </c>
      <c r="I102">
        <v>5102</v>
      </c>
      <c r="J102" s="3">
        <v>8.5</v>
      </c>
      <c r="K102" s="3">
        <v>4.16</v>
      </c>
      <c r="L102">
        <v>51.06</v>
      </c>
    </row>
    <row r="103" spans="1:12">
      <c r="A103" s="1">
        <v>46024</v>
      </c>
      <c r="B103" t="s">
        <v>12708</v>
      </c>
      <c r="C103">
        <v>22</v>
      </c>
      <c r="D103" t="str">
        <f>VLOOKUP(Tabela26[[#This Row],[EMP]],[1]LOJA!$A:$B,2,0)</f>
        <v>GUARÁ</v>
      </c>
      <c r="E103">
        <v>93</v>
      </c>
      <c r="F103" t="s">
        <v>3403</v>
      </c>
      <c r="G103" t="s">
        <v>3402</v>
      </c>
      <c r="H103" t="s">
        <v>3401</v>
      </c>
      <c r="I103">
        <v>5102</v>
      </c>
      <c r="J103" s="3">
        <v>7</v>
      </c>
      <c r="K103" s="3">
        <v>3.84</v>
      </c>
      <c r="L103">
        <v>45.14</v>
      </c>
    </row>
    <row r="104" spans="1:12">
      <c r="A104" s="1">
        <v>46024</v>
      </c>
      <c r="B104" t="s">
        <v>12707</v>
      </c>
      <c r="C104">
        <v>22</v>
      </c>
      <c r="D104" t="str">
        <f>VLOOKUP(Tabela26[[#This Row],[EMP]],[1]LOJA!$A:$B,2,0)</f>
        <v>GUARÁ</v>
      </c>
      <c r="E104">
        <v>93</v>
      </c>
      <c r="F104" t="s">
        <v>3403</v>
      </c>
      <c r="G104" t="s">
        <v>3402</v>
      </c>
      <c r="H104" t="s">
        <v>3401</v>
      </c>
      <c r="I104">
        <v>5102</v>
      </c>
      <c r="J104" s="3">
        <v>5</v>
      </c>
      <c r="K104" s="3">
        <v>3.28</v>
      </c>
      <c r="L104">
        <v>34.4</v>
      </c>
    </row>
    <row r="105" spans="1:12">
      <c r="A105" s="1">
        <v>46024</v>
      </c>
      <c r="B105" t="s">
        <v>12706</v>
      </c>
      <c r="C105">
        <v>22</v>
      </c>
      <c r="D105" t="str">
        <f>VLOOKUP(Tabela26[[#This Row],[EMP]],[1]LOJA!$A:$B,2,0)</f>
        <v>GUARÁ</v>
      </c>
      <c r="E105">
        <v>93</v>
      </c>
      <c r="F105" t="s">
        <v>3403</v>
      </c>
      <c r="G105" t="s">
        <v>3402</v>
      </c>
      <c r="H105" t="s">
        <v>3401</v>
      </c>
      <c r="I105">
        <v>5102</v>
      </c>
      <c r="J105" s="3">
        <v>16</v>
      </c>
      <c r="K105" s="3">
        <v>7.94</v>
      </c>
      <c r="L105">
        <v>50.38</v>
      </c>
    </row>
    <row r="106" spans="1:12">
      <c r="A106" s="1">
        <v>46024</v>
      </c>
      <c r="B106" t="s">
        <v>12705</v>
      </c>
      <c r="C106">
        <v>22</v>
      </c>
      <c r="D106" t="str">
        <f>VLOOKUP(Tabela26[[#This Row],[EMP]],[1]LOJA!$A:$B,2,0)</f>
        <v>GUARÁ</v>
      </c>
      <c r="E106">
        <v>93</v>
      </c>
      <c r="F106" t="s">
        <v>6171</v>
      </c>
      <c r="G106" t="s">
        <v>3402</v>
      </c>
      <c r="H106" t="s">
        <v>3401</v>
      </c>
      <c r="I106">
        <v>5405</v>
      </c>
      <c r="J106" s="3">
        <v>168</v>
      </c>
      <c r="K106" s="3">
        <v>89.37</v>
      </c>
      <c r="L106">
        <v>46.8</v>
      </c>
    </row>
    <row r="107" spans="1:12">
      <c r="A107" s="1">
        <v>46024</v>
      </c>
      <c r="B107" t="s">
        <v>12704</v>
      </c>
      <c r="C107">
        <v>22</v>
      </c>
      <c r="D107" t="str">
        <f>VLOOKUP(Tabela26[[#This Row],[EMP]],[1]LOJA!$A:$B,2,0)</f>
        <v>GUARÁ</v>
      </c>
      <c r="E107">
        <v>93</v>
      </c>
      <c r="F107" t="s">
        <v>3403</v>
      </c>
      <c r="G107" t="s">
        <v>3402</v>
      </c>
      <c r="H107" t="s">
        <v>3401</v>
      </c>
      <c r="I107">
        <v>5102</v>
      </c>
      <c r="J107" s="3">
        <v>45</v>
      </c>
      <c r="K107" s="3">
        <v>23.01</v>
      </c>
      <c r="L107">
        <v>48.87</v>
      </c>
    </row>
    <row r="108" spans="1:12">
      <c r="A108" s="1">
        <v>46024</v>
      </c>
      <c r="B108" t="s">
        <v>12703</v>
      </c>
      <c r="C108">
        <v>22</v>
      </c>
      <c r="D108" t="str">
        <f>VLOOKUP(Tabela26[[#This Row],[EMP]],[1]LOJA!$A:$B,2,0)</f>
        <v>GUARÁ</v>
      </c>
      <c r="E108">
        <v>93</v>
      </c>
      <c r="F108" t="s">
        <v>3403</v>
      </c>
      <c r="G108" t="s">
        <v>3402</v>
      </c>
      <c r="H108" t="s">
        <v>3401</v>
      </c>
      <c r="I108">
        <v>5102</v>
      </c>
      <c r="J108" s="3">
        <v>12</v>
      </c>
      <c r="K108" s="3">
        <v>6.06</v>
      </c>
      <c r="L108">
        <v>49.5</v>
      </c>
    </row>
    <row r="109" spans="1:12">
      <c r="A109" s="1">
        <v>46024</v>
      </c>
      <c r="B109" t="s">
        <v>12702</v>
      </c>
      <c r="C109">
        <v>22</v>
      </c>
      <c r="D109" t="str">
        <f>VLOOKUP(Tabela26[[#This Row],[EMP]],[1]LOJA!$A:$B,2,0)</f>
        <v>GUARÁ</v>
      </c>
      <c r="E109">
        <v>93</v>
      </c>
      <c r="F109" t="s">
        <v>3403</v>
      </c>
      <c r="G109" t="s">
        <v>3402</v>
      </c>
      <c r="H109" t="s">
        <v>3401</v>
      </c>
      <c r="I109">
        <v>5102</v>
      </c>
      <c r="J109" s="3">
        <v>21.5</v>
      </c>
      <c r="K109" s="3">
        <v>11.63</v>
      </c>
      <c r="L109">
        <v>45.91</v>
      </c>
    </row>
    <row r="110" spans="1:12">
      <c r="A110" s="1">
        <v>46024</v>
      </c>
      <c r="B110" t="s">
        <v>12701</v>
      </c>
      <c r="C110">
        <v>22</v>
      </c>
      <c r="D110" t="str">
        <f>VLOOKUP(Tabela26[[#This Row],[EMP]],[1]LOJA!$A:$B,2,0)</f>
        <v>GUARÁ</v>
      </c>
      <c r="E110">
        <v>93</v>
      </c>
      <c r="F110" t="s">
        <v>3403</v>
      </c>
      <c r="G110" t="s">
        <v>3402</v>
      </c>
      <c r="H110" t="s">
        <v>3401</v>
      </c>
      <c r="I110">
        <v>5102</v>
      </c>
      <c r="J110" s="3">
        <v>17</v>
      </c>
      <c r="K110" s="3">
        <v>9.17</v>
      </c>
      <c r="L110">
        <v>46.06</v>
      </c>
    </row>
    <row r="111" spans="1:12">
      <c r="A111" s="1">
        <v>46024</v>
      </c>
      <c r="B111" t="s">
        <v>12700</v>
      </c>
      <c r="C111">
        <v>22</v>
      </c>
      <c r="D111" t="str">
        <f>VLOOKUP(Tabela26[[#This Row],[EMP]],[1]LOJA!$A:$B,2,0)</f>
        <v>GUARÁ</v>
      </c>
      <c r="E111">
        <v>93</v>
      </c>
      <c r="F111" t="s">
        <v>3873</v>
      </c>
      <c r="G111" t="s">
        <v>3872</v>
      </c>
      <c r="H111" t="s">
        <v>3401</v>
      </c>
      <c r="I111">
        <v>5102</v>
      </c>
      <c r="J111" s="3">
        <v>17</v>
      </c>
      <c r="K111" s="3">
        <v>7.51</v>
      </c>
      <c r="L111">
        <v>55.82</v>
      </c>
    </row>
    <row r="112" spans="1:12">
      <c r="A112" s="1">
        <v>46024</v>
      </c>
      <c r="B112" t="s">
        <v>12699</v>
      </c>
      <c r="C112">
        <v>22</v>
      </c>
      <c r="D112" t="str">
        <f>VLOOKUP(Tabela26[[#This Row],[EMP]],[1]LOJA!$A:$B,2,0)</f>
        <v>GUARÁ</v>
      </c>
      <c r="E112">
        <v>93</v>
      </c>
      <c r="F112" t="s">
        <v>11691</v>
      </c>
      <c r="G112" t="s">
        <v>11690</v>
      </c>
      <c r="H112" t="s">
        <v>3408</v>
      </c>
      <c r="I112">
        <v>5405</v>
      </c>
      <c r="J112" s="3">
        <v>679</v>
      </c>
      <c r="K112" s="3">
        <v>331.07</v>
      </c>
      <c r="L112">
        <v>51.24</v>
      </c>
    </row>
    <row r="113" spans="1:12">
      <c r="A113" s="1">
        <v>46024</v>
      </c>
      <c r="B113" t="s">
        <v>12698</v>
      </c>
      <c r="C113">
        <v>22</v>
      </c>
      <c r="D113" t="str">
        <f>VLOOKUP(Tabela26[[#This Row],[EMP]],[1]LOJA!$A:$B,2,0)</f>
        <v>GUARÁ</v>
      </c>
      <c r="E113">
        <v>93</v>
      </c>
      <c r="F113" t="s">
        <v>11691</v>
      </c>
      <c r="G113" t="s">
        <v>11690</v>
      </c>
      <c r="H113" t="s">
        <v>3408</v>
      </c>
      <c r="I113">
        <v>5102</v>
      </c>
      <c r="J113" s="3">
        <v>95.46</v>
      </c>
      <c r="K113" s="3">
        <v>54.58</v>
      </c>
      <c r="L113">
        <v>42.82</v>
      </c>
    </row>
    <row r="114" spans="1:12">
      <c r="A114" s="1">
        <v>46024</v>
      </c>
      <c r="B114" t="s">
        <v>12697</v>
      </c>
      <c r="C114">
        <v>22</v>
      </c>
      <c r="D114" t="str">
        <f>VLOOKUP(Tabela26[[#This Row],[EMP]],[1]LOJA!$A:$B,2,0)</f>
        <v>GUARÁ</v>
      </c>
      <c r="E114">
        <v>93</v>
      </c>
      <c r="F114" t="s">
        <v>4629</v>
      </c>
      <c r="G114" t="s">
        <v>4628</v>
      </c>
      <c r="H114" t="s">
        <v>3401</v>
      </c>
      <c r="I114">
        <v>5405</v>
      </c>
      <c r="J114" s="3">
        <v>156</v>
      </c>
      <c r="K114" s="3">
        <v>85.03</v>
      </c>
      <c r="L114">
        <v>45.49</v>
      </c>
    </row>
    <row r="115" spans="1:12">
      <c r="A115" s="1">
        <v>46024</v>
      </c>
      <c r="B115" t="s">
        <v>12696</v>
      </c>
      <c r="C115">
        <v>22</v>
      </c>
      <c r="D115" t="str">
        <f>VLOOKUP(Tabela26[[#This Row],[EMP]],[1]LOJA!$A:$B,2,0)</f>
        <v>GUARÁ</v>
      </c>
      <c r="E115">
        <v>93</v>
      </c>
      <c r="F115" t="s">
        <v>3403</v>
      </c>
      <c r="G115" t="s">
        <v>3402</v>
      </c>
      <c r="H115" t="s">
        <v>3401</v>
      </c>
      <c r="I115">
        <v>5405</v>
      </c>
      <c r="J115" s="3">
        <v>64</v>
      </c>
      <c r="K115" s="3">
        <v>32.6</v>
      </c>
      <c r="L115">
        <v>49.06</v>
      </c>
    </row>
    <row r="116" spans="1:12">
      <c r="A116" s="1">
        <v>46024</v>
      </c>
      <c r="B116" t="s">
        <v>12695</v>
      </c>
      <c r="C116">
        <v>22</v>
      </c>
      <c r="D116" t="str">
        <f>VLOOKUP(Tabela26[[#This Row],[EMP]],[1]LOJA!$A:$B,2,0)</f>
        <v>GUARÁ</v>
      </c>
      <c r="E116">
        <v>93</v>
      </c>
      <c r="F116" t="s">
        <v>3870</v>
      </c>
      <c r="G116" t="s">
        <v>3869</v>
      </c>
      <c r="H116" t="s">
        <v>3401</v>
      </c>
      <c r="I116">
        <v>5102</v>
      </c>
      <c r="J116" s="3">
        <v>4.99</v>
      </c>
      <c r="K116" s="3">
        <v>2.2000000000000002</v>
      </c>
      <c r="L116">
        <v>55.91</v>
      </c>
    </row>
    <row r="117" spans="1:12">
      <c r="A117" s="1">
        <v>46024</v>
      </c>
      <c r="B117" t="s">
        <v>12694</v>
      </c>
      <c r="C117">
        <v>22</v>
      </c>
      <c r="D117" t="str">
        <f>VLOOKUP(Tabela26[[#This Row],[EMP]],[1]LOJA!$A:$B,2,0)</f>
        <v>GUARÁ</v>
      </c>
      <c r="E117">
        <v>93</v>
      </c>
      <c r="F117" t="s">
        <v>3870</v>
      </c>
      <c r="G117" t="s">
        <v>3869</v>
      </c>
      <c r="H117" t="s">
        <v>3401</v>
      </c>
      <c r="I117">
        <v>5102</v>
      </c>
      <c r="J117" s="3">
        <v>5</v>
      </c>
      <c r="K117" s="3">
        <v>2.2000000000000002</v>
      </c>
      <c r="L117">
        <v>56</v>
      </c>
    </row>
    <row r="118" spans="1:12">
      <c r="A118" s="1">
        <v>46024</v>
      </c>
      <c r="B118" t="s">
        <v>12693</v>
      </c>
      <c r="C118">
        <v>22</v>
      </c>
      <c r="D118" t="str">
        <f>VLOOKUP(Tabela26[[#This Row],[EMP]],[1]LOJA!$A:$B,2,0)</f>
        <v>GUARÁ</v>
      </c>
      <c r="E118">
        <v>93</v>
      </c>
      <c r="F118" t="s">
        <v>3403</v>
      </c>
      <c r="G118" t="s">
        <v>3402</v>
      </c>
      <c r="H118" t="s">
        <v>3401</v>
      </c>
      <c r="I118">
        <v>5405</v>
      </c>
      <c r="J118" s="3">
        <v>215</v>
      </c>
      <c r="K118" s="3">
        <v>117.14</v>
      </c>
      <c r="L118">
        <v>45.52</v>
      </c>
    </row>
    <row r="119" spans="1:12">
      <c r="A119" s="1">
        <v>46024</v>
      </c>
      <c r="B119" t="s">
        <v>12692</v>
      </c>
      <c r="C119">
        <v>12</v>
      </c>
      <c r="D119" t="str">
        <f>VLOOKUP(Tabela26[[#This Row],[EMP]],[1]LOJA!$A:$B,2,0)</f>
        <v>SOFNORTE</v>
      </c>
      <c r="E119">
        <v>239</v>
      </c>
      <c r="F119" t="s">
        <v>3925</v>
      </c>
      <c r="G119" t="s">
        <v>3924</v>
      </c>
      <c r="H119" t="s">
        <v>3430</v>
      </c>
      <c r="I119">
        <v>5405</v>
      </c>
      <c r="J119" s="3">
        <v>170.16</v>
      </c>
      <c r="K119" s="3">
        <v>78.47</v>
      </c>
      <c r="L119">
        <v>53.88</v>
      </c>
    </row>
    <row r="120" spans="1:12">
      <c r="A120" s="1">
        <v>46024</v>
      </c>
      <c r="B120" t="s">
        <v>12691</v>
      </c>
      <c r="C120">
        <v>12</v>
      </c>
      <c r="D120" t="str">
        <f>VLOOKUP(Tabela26[[#This Row],[EMP]],[1]LOJA!$A:$B,2,0)</f>
        <v>SOFNORTE</v>
      </c>
      <c r="E120">
        <v>239</v>
      </c>
      <c r="F120" t="s">
        <v>3925</v>
      </c>
      <c r="G120" t="s">
        <v>3924</v>
      </c>
      <c r="H120" t="s">
        <v>3430</v>
      </c>
      <c r="I120">
        <v>5102</v>
      </c>
      <c r="J120" s="3">
        <v>119.14</v>
      </c>
      <c r="K120" s="3">
        <v>58.75</v>
      </c>
      <c r="L120">
        <v>50.69</v>
      </c>
    </row>
    <row r="121" spans="1:12">
      <c r="A121" s="1">
        <v>46024</v>
      </c>
      <c r="B121" t="s">
        <v>12690</v>
      </c>
      <c r="C121">
        <v>12</v>
      </c>
      <c r="D121" t="str">
        <f>VLOOKUP(Tabela26[[#This Row],[EMP]],[1]LOJA!$A:$B,2,0)</f>
        <v>SOFNORTE</v>
      </c>
      <c r="E121">
        <v>239</v>
      </c>
      <c r="F121" t="s">
        <v>3948</v>
      </c>
      <c r="G121" t="s">
        <v>3947</v>
      </c>
      <c r="H121" t="s">
        <v>3430</v>
      </c>
      <c r="I121">
        <v>5405</v>
      </c>
      <c r="J121" s="3">
        <v>151.32</v>
      </c>
      <c r="K121" s="3">
        <v>75.86</v>
      </c>
      <c r="L121">
        <v>49.87</v>
      </c>
    </row>
    <row r="122" spans="1:12">
      <c r="A122" s="1">
        <v>46024</v>
      </c>
      <c r="B122" t="s">
        <v>12689</v>
      </c>
      <c r="C122">
        <v>12</v>
      </c>
      <c r="D122" t="str">
        <f>VLOOKUP(Tabela26[[#This Row],[EMP]],[1]LOJA!$A:$B,2,0)</f>
        <v>SOFNORTE</v>
      </c>
      <c r="E122">
        <v>239</v>
      </c>
      <c r="F122" t="s">
        <v>5223</v>
      </c>
      <c r="G122" t="s">
        <v>5222</v>
      </c>
      <c r="H122" t="s">
        <v>3430</v>
      </c>
      <c r="I122">
        <v>5102</v>
      </c>
      <c r="J122" s="3">
        <v>52.86</v>
      </c>
      <c r="K122" s="3">
        <v>32.67</v>
      </c>
      <c r="L122">
        <v>38.200000000000003</v>
      </c>
    </row>
    <row r="123" spans="1:12">
      <c r="A123" s="1">
        <v>46024</v>
      </c>
      <c r="B123" t="s">
        <v>12688</v>
      </c>
      <c r="C123">
        <v>4</v>
      </c>
      <c r="D123" t="str">
        <f>VLOOKUP(Tabela26[[#This Row],[EMP]],[1]LOJA!$A:$B,2,0)</f>
        <v>ADE</v>
      </c>
      <c r="E123">
        <v>132</v>
      </c>
      <c r="F123" t="s">
        <v>3403</v>
      </c>
      <c r="G123" t="s">
        <v>3402</v>
      </c>
      <c r="H123" t="s">
        <v>3401</v>
      </c>
      <c r="I123">
        <v>5405</v>
      </c>
      <c r="J123" s="3">
        <v>7.4</v>
      </c>
      <c r="K123" s="3">
        <v>3.45</v>
      </c>
      <c r="L123">
        <v>53.38</v>
      </c>
    </row>
    <row r="124" spans="1:12">
      <c r="A124" s="1">
        <v>46024</v>
      </c>
      <c r="B124" t="s">
        <v>12687</v>
      </c>
      <c r="C124">
        <v>4</v>
      </c>
      <c r="D124" t="str">
        <f>VLOOKUP(Tabela26[[#This Row],[EMP]],[1]LOJA!$A:$B,2,0)</f>
        <v>ADE</v>
      </c>
      <c r="E124">
        <v>132</v>
      </c>
      <c r="F124" t="s">
        <v>6752</v>
      </c>
      <c r="G124" t="s">
        <v>6751</v>
      </c>
      <c r="H124" t="s">
        <v>3401</v>
      </c>
      <c r="I124">
        <v>5102</v>
      </c>
      <c r="J124" s="3">
        <v>10</v>
      </c>
      <c r="K124" s="3">
        <v>3.6</v>
      </c>
      <c r="L124">
        <v>64</v>
      </c>
    </row>
    <row r="125" spans="1:12">
      <c r="A125" s="1">
        <v>46024</v>
      </c>
      <c r="B125" t="s">
        <v>12686</v>
      </c>
      <c r="C125">
        <v>4</v>
      </c>
      <c r="D125" t="str">
        <f>VLOOKUP(Tabela26[[#This Row],[EMP]],[1]LOJA!$A:$B,2,0)</f>
        <v>ADE</v>
      </c>
      <c r="E125">
        <v>132</v>
      </c>
      <c r="F125" t="s">
        <v>3403</v>
      </c>
      <c r="G125" t="s">
        <v>3402</v>
      </c>
      <c r="H125" t="s">
        <v>3401</v>
      </c>
      <c r="I125">
        <v>5102</v>
      </c>
      <c r="J125" s="3">
        <v>97</v>
      </c>
      <c r="K125" s="3">
        <v>52.61</v>
      </c>
      <c r="L125">
        <v>45.76</v>
      </c>
    </row>
    <row r="126" spans="1:12">
      <c r="A126" s="1">
        <v>46024</v>
      </c>
      <c r="B126" t="s">
        <v>12685</v>
      </c>
      <c r="C126">
        <v>4</v>
      </c>
      <c r="D126" t="str">
        <f>VLOOKUP(Tabela26[[#This Row],[EMP]],[1]LOJA!$A:$B,2,0)</f>
        <v>ADE</v>
      </c>
      <c r="E126">
        <v>132</v>
      </c>
      <c r="F126" t="s">
        <v>3403</v>
      </c>
      <c r="G126" t="s">
        <v>3402</v>
      </c>
      <c r="H126" t="s">
        <v>3401</v>
      </c>
      <c r="I126">
        <v>5102</v>
      </c>
      <c r="J126" s="3">
        <v>43.3</v>
      </c>
      <c r="K126" s="3">
        <v>25.48</v>
      </c>
      <c r="L126">
        <v>41.15</v>
      </c>
    </row>
    <row r="127" spans="1:12">
      <c r="A127" s="1">
        <v>46024</v>
      </c>
      <c r="B127" t="s">
        <v>12684</v>
      </c>
      <c r="C127">
        <v>16</v>
      </c>
      <c r="D127" t="str">
        <f>VLOOKUP(Tabela26[[#This Row],[EMP]],[1]LOJA!$A:$B,2,0)</f>
        <v>AG LINDAS</v>
      </c>
      <c r="E127">
        <v>240</v>
      </c>
      <c r="F127" t="s">
        <v>5657</v>
      </c>
      <c r="G127" t="s">
        <v>5656</v>
      </c>
      <c r="H127" t="s">
        <v>3401</v>
      </c>
      <c r="I127">
        <v>5405</v>
      </c>
      <c r="J127" s="3">
        <v>275.8</v>
      </c>
      <c r="K127" s="3">
        <v>154.41999999999999</v>
      </c>
      <c r="L127">
        <v>44.01</v>
      </c>
    </row>
    <row r="128" spans="1:12">
      <c r="A128" s="1">
        <v>46024</v>
      </c>
      <c r="B128" t="s">
        <v>12683</v>
      </c>
      <c r="C128">
        <v>16</v>
      </c>
      <c r="D128" t="str">
        <f>VLOOKUP(Tabela26[[#This Row],[EMP]],[1]LOJA!$A:$B,2,0)</f>
        <v>AG LINDAS</v>
      </c>
      <c r="E128">
        <v>240</v>
      </c>
      <c r="F128" t="s">
        <v>3780</v>
      </c>
      <c r="G128" t="s">
        <v>3437</v>
      </c>
      <c r="H128" t="s">
        <v>3401</v>
      </c>
      <c r="I128">
        <v>5405</v>
      </c>
      <c r="J128" s="3">
        <v>46</v>
      </c>
      <c r="K128" s="3">
        <v>25.34</v>
      </c>
      <c r="L128">
        <v>44.91</v>
      </c>
    </row>
    <row r="129" spans="1:12">
      <c r="A129" s="1">
        <v>46024</v>
      </c>
      <c r="B129" t="s">
        <v>12682</v>
      </c>
      <c r="C129">
        <v>16</v>
      </c>
      <c r="D129" t="str">
        <f>VLOOKUP(Tabela26[[#This Row],[EMP]],[1]LOJA!$A:$B,2,0)</f>
        <v>AG LINDAS</v>
      </c>
      <c r="E129">
        <v>240</v>
      </c>
      <c r="F129" t="s">
        <v>5117</v>
      </c>
      <c r="G129" t="s">
        <v>3437</v>
      </c>
      <c r="H129" t="s">
        <v>3408</v>
      </c>
      <c r="I129">
        <v>5405</v>
      </c>
      <c r="J129" s="3">
        <v>66.8</v>
      </c>
      <c r="K129" s="3">
        <v>34.15</v>
      </c>
      <c r="L129">
        <v>48.88</v>
      </c>
    </row>
    <row r="130" spans="1:12">
      <c r="A130" s="1">
        <v>46024</v>
      </c>
      <c r="B130" t="s">
        <v>12681</v>
      </c>
      <c r="C130">
        <v>16</v>
      </c>
      <c r="D130" t="str">
        <f>VLOOKUP(Tabela26[[#This Row],[EMP]],[1]LOJA!$A:$B,2,0)</f>
        <v>AG LINDAS</v>
      </c>
      <c r="E130">
        <v>240</v>
      </c>
      <c r="F130" t="s">
        <v>12680</v>
      </c>
      <c r="G130" t="s">
        <v>3437</v>
      </c>
      <c r="H130" t="s">
        <v>3401</v>
      </c>
      <c r="I130">
        <v>5405</v>
      </c>
      <c r="J130" s="3">
        <v>302.8</v>
      </c>
      <c r="K130" s="3">
        <v>178.32</v>
      </c>
      <c r="L130">
        <v>41.11</v>
      </c>
    </row>
    <row r="131" spans="1:12">
      <c r="A131" s="1">
        <v>46024</v>
      </c>
      <c r="B131" t="s">
        <v>12679</v>
      </c>
      <c r="C131">
        <v>16</v>
      </c>
      <c r="D131" t="str">
        <f>VLOOKUP(Tabela26[[#This Row],[EMP]],[1]LOJA!$A:$B,2,0)</f>
        <v>AG LINDAS</v>
      </c>
      <c r="E131">
        <v>240</v>
      </c>
      <c r="F131" t="s">
        <v>3780</v>
      </c>
      <c r="G131" t="s">
        <v>3437</v>
      </c>
      <c r="H131" t="s">
        <v>3401</v>
      </c>
      <c r="I131">
        <v>5102</v>
      </c>
      <c r="J131" s="3">
        <v>33</v>
      </c>
      <c r="K131" s="3">
        <v>16.690000000000001</v>
      </c>
      <c r="L131">
        <v>49.42</v>
      </c>
    </row>
    <row r="132" spans="1:12">
      <c r="A132" s="1">
        <v>46024</v>
      </c>
      <c r="B132" t="s">
        <v>12678</v>
      </c>
      <c r="C132">
        <v>16</v>
      </c>
      <c r="D132" t="str">
        <f>VLOOKUP(Tabela26[[#This Row],[EMP]],[1]LOJA!$A:$B,2,0)</f>
        <v>AG LINDAS</v>
      </c>
      <c r="E132">
        <v>240</v>
      </c>
      <c r="F132" t="s">
        <v>7665</v>
      </c>
      <c r="G132" t="s">
        <v>7664</v>
      </c>
      <c r="H132" t="s">
        <v>3408</v>
      </c>
      <c r="I132">
        <v>5102</v>
      </c>
      <c r="J132" s="3">
        <v>56.1</v>
      </c>
      <c r="K132" s="3">
        <v>31.64</v>
      </c>
      <c r="L132">
        <v>43.6</v>
      </c>
    </row>
    <row r="133" spans="1:12">
      <c r="A133" s="1">
        <v>46024</v>
      </c>
      <c r="B133" t="s">
        <v>12677</v>
      </c>
      <c r="C133">
        <v>16</v>
      </c>
      <c r="D133" t="str">
        <f>VLOOKUP(Tabela26[[#This Row],[EMP]],[1]LOJA!$A:$B,2,0)</f>
        <v>AG LINDAS</v>
      </c>
      <c r="E133">
        <v>240</v>
      </c>
      <c r="F133" t="s">
        <v>4516</v>
      </c>
      <c r="G133" t="s">
        <v>4515</v>
      </c>
      <c r="H133" t="s">
        <v>3408</v>
      </c>
      <c r="I133">
        <v>5405</v>
      </c>
      <c r="J133" s="3">
        <v>55</v>
      </c>
      <c r="K133" s="3">
        <v>24.33</v>
      </c>
      <c r="L133">
        <v>55.76</v>
      </c>
    </row>
    <row r="134" spans="1:12">
      <c r="A134" s="1">
        <v>46024</v>
      </c>
      <c r="B134" t="s">
        <v>12676</v>
      </c>
      <c r="C134">
        <v>16</v>
      </c>
      <c r="D134" t="str">
        <f>VLOOKUP(Tabela26[[#This Row],[EMP]],[1]LOJA!$A:$B,2,0)</f>
        <v>AG LINDAS</v>
      </c>
      <c r="E134">
        <v>240</v>
      </c>
      <c r="F134" t="s">
        <v>3780</v>
      </c>
      <c r="G134" t="s">
        <v>3437</v>
      </c>
      <c r="H134" t="s">
        <v>3401</v>
      </c>
      <c r="I134">
        <v>5405</v>
      </c>
      <c r="J134" s="3">
        <v>38.9</v>
      </c>
      <c r="K134" s="3">
        <v>23.11</v>
      </c>
      <c r="L134">
        <v>40.590000000000003</v>
      </c>
    </row>
    <row r="135" spans="1:12">
      <c r="A135" s="1">
        <v>46024</v>
      </c>
      <c r="B135" t="s">
        <v>12675</v>
      </c>
      <c r="C135">
        <v>16</v>
      </c>
      <c r="D135" t="str">
        <f>VLOOKUP(Tabela26[[#This Row],[EMP]],[1]LOJA!$A:$B,2,0)</f>
        <v>AG LINDAS</v>
      </c>
      <c r="E135">
        <v>240</v>
      </c>
      <c r="F135" t="s">
        <v>3858</v>
      </c>
      <c r="G135" t="s">
        <v>3437</v>
      </c>
      <c r="H135" t="s">
        <v>3401</v>
      </c>
      <c r="I135">
        <v>5102</v>
      </c>
      <c r="J135" s="3">
        <v>23.68</v>
      </c>
      <c r="K135" s="3">
        <v>10.27</v>
      </c>
      <c r="L135">
        <v>56.63</v>
      </c>
    </row>
    <row r="136" spans="1:12">
      <c r="A136" s="1">
        <v>46024</v>
      </c>
      <c r="B136" t="s">
        <v>12674</v>
      </c>
      <c r="C136">
        <v>16</v>
      </c>
      <c r="D136" t="str">
        <f>VLOOKUP(Tabela26[[#This Row],[EMP]],[1]LOJA!$A:$B,2,0)</f>
        <v>AG LINDAS</v>
      </c>
      <c r="E136">
        <v>240</v>
      </c>
      <c r="F136" t="s">
        <v>5111</v>
      </c>
      <c r="G136" t="s">
        <v>3437</v>
      </c>
      <c r="H136" t="s">
        <v>3401</v>
      </c>
      <c r="I136">
        <v>5405</v>
      </c>
      <c r="J136" s="3">
        <v>80</v>
      </c>
      <c r="K136" s="3">
        <v>41.42</v>
      </c>
      <c r="L136">
        <v>48.23</v>
      </c>
    </row>
    <row r="137" spans="1:12">
      <c r="A137" s="1">
        <v>46024</v>
      </c>
      <c r="B137" t="s">
        <v>12673</v>
      </c>
      <c r="C137">
        <v>16</v>
      </c>
      <c r="D137" t="str">
        <f>VLOOKUP(Tabela26[[#This Row],[EMP]],[1]LOJA!$A:$B,2,0)</f>
        <v>AG LINDAS</v>
      </c>
      <c r="E137">
        <v>240</v>
      </c>
      <c r="F137" t="s">
        <v>8403</v>
      </c>
      <c r="G137" t="s">
        <v>8402</v>
      </c>
      <c r="H137" t="s">
        <v>3401</v>
      </c>
      <c r="I137">
        <v>5102</v>
      </c>
      <c r="J137" s="3">
        <v>42.9</v>
      </c>
      <c r="K137" s="3">
        <v>20.47</v>
      </c>
      <c r="L137">
        <v>52.28</v>
      </c>
    </row>
    <row r="138" spans="1:12">
      <c r="A138" s="1">
        <v>46024</v>
      </c>
      <c r="B138" t="s">
        <v>12672</v>
      </c>
      <c r="C138">
        <v>16</v>
      </c>
      <c r="D138" t="str">
        <f>VLOOKUP(Tabela26[[#This Row],[EMP]],[1]LOJA!$A:$B,2,0)</f>
        <v>AG LINDAS</v>
      </c>
      <c r="E138">
        <v>240</v>
      </c>
      <c r="F138" t="s">
        <v>7678</v>
      </c>
      <c r="G138" t="s">
        <v>7677</v>
      </c>
      <c r="H138" t="s">
        <v>3401</v>
      </c>
      <c r="I138">
        <v>5102</v>
      </c>
      <c r="J138" s="3">
        <v>115.76</v>
      </c>
      <c r="K138" s="3">
        <v>57.01</v>
      </c>
      <c r="L138">
        <v>50.75</v>
      </c>
    </row>
    <row r="139" spans="1:12">
      <c r="A139" s="1">
        <v>46024</v>
      </c>
      <c r="B139" t="s">
        <v>12671</v>
      </c>
      <c r="C139">
        <v>16</v>
      </c>
      <c r="D139" t="str">
        <f>VLOOKUP(Tabela26[[#This Row],[EMP]],[1]LOJA!$A:$B,2,0)</f>
        <v>AG LINDAS</v>
      </c>
      <c r="E139">
        <v>240</v>
      </c>
      <c r="F139" t="s">
        <v>3780</v>
      </c>
      <c r="G139" t="s">
        <v>3437</v>
      </c>
      <c r="H139" t="s">
        <v>3401</v>
      </c>
      <c r="I139">
        <v>5102</v>
      </c>
      <c r="J139" s="3">
        <v>97.9</v>
      </c>
      <c r="K139" s="3">
        <v>58.95</v>
      </c>
      <c r="L139">
        <v>39.79</v>
      </c>
    </row>
    <row r="140" spans="1:12">
      <c r="A140" s="1">
        <v>46024</v>
      </c>
      <c r="B140" t="s">
        <v>12670</v>
      </c>
      <c r="C140">
        <v>14</v>
      </c>
      <c r="D140" t="str">
        <f>VLOOKUP(Tabela26[[#This Row],[EMP]],[1]LOJA!$A:$B,2,0)</f>
        <v>S IA</v>
      </c>
      <c r="E140">
        <v>54</v>
      </c>
      <c r="F140" t="s">
        <v>12669</v>
      </c>
      <c r="G140" t="s">
        <v>12668</v>
      </c>
      <c r="H140" t="s">
        <v>3401</v>
      </c>
      <c r="I140">
        <v>5405</v>
      </c>
      <c r="J140" s="3">
        <v>96</v>
      </c>
      <c r="K140" s="3">
        <v>35.94</v>
      </c>
      <c r="L140">
        <v>62.56</v>
      </c>
    </row>
    <row r="141" spans="1:12">
      <c r="A141" s="1">
        <v>46024</v>
      </c>
      <c r="B141" t="s">
        <v>12667</v>
      </c>
      <c r="C141">
        <v>14</v>
      </c>
      <c r="D141" t="str">
        <f>VLOOKUP(Tabela26[[#This Row],[EMP]],[1]LOJA!$A:$B,2,0)</f>
        <v>S IA</v>
      </c>
      <c r="E141">
        <v>54</v>
      </c>
      <c r="F141" t="s">
        <v>12666</v>
      </c>
      <c r="G141" t="s">
        <v>12665</v>
      </c>
      <c r="H141" t="s">
        <v>3401</v>
      </c>
      <c r="I141">
        <v>5405</v>
      </c>
      <c r="J141" s="3">
        <v>285</v>
      </c>
      <c r="K141" s="3">
        <v>125.58</v>
      </c>
      <c r="L141">
        <v>55.94</v>
      </c>
    </row>
    <row r="142" spans="1:12">
      <c r="A142" s="1">
        <v>46024</v>
      </c>
      <c r="B142" t="s">
        <v>12664</v>
      </c>
      <c r="C142">
        <v>14</v>
      </c>
      <c r="D142" t="str">
        <f>VLOOKUP(Tabela26[[#This Row],[EMP]],[1]LOJA!$A:$B,2,0)</f>
        <v>S IA</v>
      </c>
      <c r="E142">
        <v>54</v>
      </c>
      <c r="F142" t="s">
        <v>7649</v>
      </c>
      <c r="G142" t="s">
        <v>7648</v>
      </c>
      <c r="H142" t="s">
        <v>3401</v>
      </c>
      <c r="I142">
        <v>5405</v>
      </c>
      <c r="J142" s="3">
        <v>47.9</v>
      </c>
      <c r="K142" s="3">
        <v>20.71</v>
      </c>
      <c r="L142">
        <v>56.76</v>
      </c>
    </row>
    <row r="143" spans="1:12">
      <c r="A143" s="1">
        <v>46024</v>
      </c>
      <c r="B143" t="s">
        <v>12663</v>
      </c>
      <c r="C143">
        <v>14</v>
      </c>
      <c r="D143" t="str">
        <f>VLOOKUP(Tabela26[[#This Row],[EMP]],[1]LOJA!$A:$B,2,0)</f>
        <v>S IA</v>
      </c>
      <c r="E143">
        <v>54</v>
      </c>
      <c r="F143" t="s">
        <v>12662</v>
      </c>
      <c r="G143" t="s">
        <v>12661</v>
      </c>
      <c r="H143" t="s">
        <v>3401</v>
      </c>
      <c r="I143">
        <v>5405</v>
      </c>
      <c r="J143" s="3">
        <v>1308</v>
      </c>
      <c r="K143" s="3">
        <v>644.80999999999995</v>
      </c>
      <c r="L143">
        <v>50.7</v>
      </c>
    </row>
    <row r="144" spans="1:12">
      <c r="A144" s="1">
        <v>46024</v>
      </c>
      <c r="B144" t="s">
        <v>12660</v>
      </c>
      <c r="C144">
        <v>14</v>
      </c>
      <c r="D144" t="str">
        <f>VLOOKUP(Tabela26[[#This Row],[EMP]],[1]LOJA!$A:$B,2,0)</f>
        <v>S IA</v>
      </c>
      <c r="E144">
        <v>54</v>
      </c>
      <c r="F144" t="s">
        <v>12659</v>
      </c>
      <c r="G144" t="s">
        <v>12658</v>
      </c>
      <c r="H144" t="s">
        <v>3430</v>
      </c>
      <c r="I144">
        <v>5102</v>
      </c>
      <c r="J144" s="3">
        <v>284.48</v>
      </c>
      <c r="K144" s="3">
        <v>189.52</v>
      </c>
      <c r="L144">
        <v>33.380000000000003</v>
      </c>
    </row>
    <row r="145" spans="1:12">
      <c r="A145" s="1">
        <v>46024</v>
      </c>
      <c r="B145" t="s">
        <v>12657</v>
      </c>
      <c r="C145">
        <v>14</v>
      </c>
      <c r="D145" t="str">
        <f>VLOOKUP(Tabela26[[#This Row],[EMP]],[1]LOJA!$A:$B,2,0)</f>
        <v>S IA</v>
      </c>
      <c r="E145">
        <v>54</v>
      </c>
      <c r="F145" t="s">
        <v>12656</v>
      </c>
      <c r="G145" t="s">
        <v>12655</v>
      </c>
      <c r="H145" t="s">
        <v>3401</v>
      </c>
      <c r="I145">
        <v>5405</v>
      </c>
      <c r="J145" s="3">
        <v>46.7</v>
      </c>
      <c r="K145" s="3">
        <v>20.71</v>
      </c>
      <c r="L145">
        <v>55.65</v>
      </c>
    </row>
    <row r="146" spans="1:12">
      <c r="A146" s="1">
        <v>46024</v>
      </c>
      <c r="B146" t="s">
        <v>12654</v>
      </c>
      <c r="C146">
        <v>12</v>
      </c>
      <c r="D146" t="str">
        <f>VLOOKUP(Tabela26[[#This Row],[EMP]],[1]LOJA!$A:$B,2,0)</f>
        <v>SOFNORTE</v>
      </c>
      <c r="E146">
        <v>239</v>
      </c>
      <c r="F146" t="s">
        <v>3403</v>
      </c>
      <c r="G146" t="s">
        <v>3402</v>
      </c>
      <c r="H146" t="s">
        <v>3401</v>
      </c>
      <c r="I146">
        <v>5102</v>
      </c>
      <c r="J146" s="3">
        <v>23</v>
      </c>
      <c r="K146" s="3">
        <v>10.23</v>
      </c>
      <c r="L146">
        <v>55.52</v>
      </c>
    </row>
    <row r="147" spans="1:12">
      <c r="A147" s="1">
        <v>46024</v>
      </c>
      <c r="B147" t="s">
        <v>12653</v>
      </c>
      <c r="C147">
        <v>12</v>
      </c>
      <c r="D147" t="str">
        <f>VLOOKUP(Tabela26[[#This Row],[EMP]],[1]LOJA!$A:$B,2,0)</f>
        <v>SOFNORTE</v>
      </c>
      <c r="E147">
        <v>239</v>
      </c>
      <c r="F147" t="s">
        <v>3403</v>
      </c>
      <c r="G147" t="s">
        <v>3402</v>
      </c>
      <c r="H147" t="s">
        <v>3401</v>
      </c>
      <c r="I147">
        <v>5405</v>
      </c>
      <c r="J147" s="3">
        <v>27</v>
      </c>
      <c r="K147" s="3">
        <v>12.04</v>
      </c>
      <c r="L147">
        <v>55.41</v>
      </c>
    </row>
    <row r="148" spans="1:12">
      <c r="A148" s="1">
        <v>46024</v>
      </c>
      <c r="B148" t="s">
        <v>12652</v>
      </c>
      <c r="C148">
        <v>12</v>
      </c>
      <c r="D148" t="str">
        <f>VLOOKUP(Tabela26[[#This Row],[EMP]],[1]LOJA!$A:$B,2,0)</f>
        <v>SOFNORTE</v>
      </c>
      <c r="E148">
        <v>239</v>
      </c>
      <c r="F148" t="s">
        <v>3701</v>
      </c>
      <c r="G148" t="s">
        <v>3700</v>
      </c>
      <c r="H148" t="s">
        <v>3408</v>
      </c>
      <c r="I148">
        <v>5405</v>
      </c>
      <c r="J148" s="3">
        <v>155</v>
      </c>
      <c r="K148" s="3">
        <v>76.959999999999994</v>
      </c>
      <c r="L148">
        <v>50.35</v>
      </c>
    </row>
    <row r="149" spans="1:12">
      <c r="A149" s="1">
        <v>46024</v>
      </c>
      <c r="B149" t="s">
        <v>12651</v>
      </c>
      <c r="C149">
        <v>12</v>
      </c>
      <c r="D149" t="str">
        <f>VLOOKUP(Tabela26[[#This Row],[EMP]],[1]LOJA!$A:$B,2,0)</f>
        <v>SOFNORTE</v>
      </c>
      <c r="E149">
        <v>239</v>
      </c>
      <c r="F149" t="s">
        <v>3403</v>
      </c>
      <c r="G149" t="s">
        <v>3402</v>
      </c>
      <c r="H149" t="s">
        <v>3401</v>
      </c>
      <c r="I149">
        <v>5102</v>
      </c>
      <c r="J149" s="3">
        <v>50</v>
      </c>
      <c r="K149" s="3">
        <v>23.81</v>
      </c>
      <c r="L149">
        <v>52.38</v>
      </c>
    </row>
    <row r="150" spans="1:12">
      <c r="A150" s="1">
        <v>46024</v>
      </c>
      <c r="B150" t="s">
        <v>12650</v>
      </c>
      <c r="C150">
        <v>12</v>
      </c>
      <c r="D150" t="str">
        <f>VLOOKUP(Tabela26[[#This Row],[EMP]],[1]LOJA!$A:$B,2,0)</f>
        <v>SOFNORTE</v>
      </c>
      <c r="E150">
        <v>239</v>
      </c>
      <c r="F150" t="s">
        <v>12649</v>
      </c>
      <c r="G150" t="s">
        <v>3402</v>
      </c>
      <c r="H150" t="s">
        <v>3401</v>
      </c>
      <c r="I150">
        <v>5405</v>
      </c>
      <c r="J150" s="3">
        <v>140</v>
      </c>
      <c r="K150" s="3">
        <v>67.78</v>
      </c>
      <c r="L150">
        <v>51.59</v>
      </c>
    </row>
    <row r="151" spans="1:12">
      <c r="A151" s="1">
        <v>46024</v>
      </c>
      <c r="B151" t="s">
        <v>12648</v>
      </c>
      <c r="C151">
        <v>12</v>
      </c>
      <c r="D151" t="str">
        <f>VLOOKUP(Tabela26[[#This Row],[EMP]],[1]LOJA!$A:$B,2,0)</f>
        <v>SOFNORTE</v>
      </c>
      <c r="E151">
        <v>239</v>
      </c>
      <c r="F151" t="s">
        <v>12647</v>
      </c>
      <c r="G151" t="s">
        <v>12646</v>
      </c>
      <c r="H151" t="s">
        <v>3401</v>
      </c>
      <c r="I151">
        <v>5102</v>
      </c>
      <c r="J151" s="3">
        <v>300</v>
      </c>
      <c r="K151" s="3">
        <v>151.66</v>
      </c>
      <c r="L151">
        <v>49.45</v>
      </c>
    </row>
    <row r="152" spans="1:12">
      <c r="A152" s="1">
        <v>46024</v>
      </c>
      <c r="B152" t="s">
        <v>12645</v>
      </c>
      <c r="C152">
        <v>12</v>
      </c>
      <c r="D152" t="str">
        <f>VLOOKUP(Tabela26[[#This Row],[EMP]],[1]LOJA!$A:$B,2,0)</f>
        <v>SOFNORTE</v>
      </c>
      <c r="E152">
        <v>44</v>
      </c>
      <c r="F152" t="s">
        <v>3403</v>
      </c>
      <c r="G152" t="s">
        <v>3402</v>
      </c>
      <c r="H152" t="s">
        <v>3401</v>
      </c>
      <c r="I152">
        <v>5102</v>
      </c>
      <c r="J152" s="3">
        <v>20</v>
      </c>
      <c r="K152" s="3">
        <v>10.89</v>
      </c>
      <c r="L152">
        <v>45.55</v>
      </c>
    </row>
    <row r="153" spans="1:12">
      <c r="A153" s="1">
        <v>46024</v>
      </c>
      <c r="B153" t="s">
        <v>12644</v>
      </c>
      <c r="C153">
        <v>12</v>
      </c>
      <c r="D153" t="str">
        <f>VLOOKUP(Tabela26[[#This Row],[EMP]],[1]LOJA!$A:$B,2,0)</f>
        <v>SOFNORTE</v>
      </c>
      <c r="E153">
        <v>239</v>
      </c>
      <c r="F153" t="s">
        <v>3403</v>
      </c>
      <c r="G153" t="s">
        <v>3402</v>
      </c>
      <c r="H153" t="s">
        <v>3401</v>
      </c>
      <c r="I153">
        <v>5102</v>
      </c>
      <c r="J153" s="3">
        <v>18</v>
      </c>
      <c r="K153" s="3">
        <v>9.17</v>
      </c>
      <c r="L153">
        <v>49.06</v>
      </c>
    </row>
    <row r="154" spans="1:12">
      <c r="A154" s="1">
        <v>46024</v>
      </c>
      <c r="B154" t="s">
        <v>12643</v>
      </c>
      <c r="C154">
        <v>12</v>
      </c>
      <c r="D154" t="str">
        <f>VLOOKUP(Tabela26[[#This Row],[EMP]],[1]LOJA!$A:$B,2,0)</f>
        <v>SOFNORTE</v>
      </c>
      <c r="E154">
        <v>239</v>
      </c>
      <c r="F154" t="s">
        <v>3403</v>
      </c>
      <c r="G154" t="s">
        <v>3402</v>
      </c>
      <c r="H154" t="s">
        <v>3401</v>
      </c>
      <c r="I154">
        <v>5405</v>
      </c>
      <c r="J154" s="3">
        <v>36</v>
      </c>
      <c r="K154" s="3">
        <v>13.84</v>
      </c>
      <c r="L154">
        <v>61.56</v>
      </c>
    </row>
    <row r="155" spans="1:12">
      <c r="A155" s="1">
        <v>46024</v>
      </c>
      <c r="B155" t="s">
        <v>12642</v>
      </c>
      <c r="C155">
        <v>12</v>
      </c>
      <c r="D155" t="str">
        <f>VLOOKUP(Tabela26[[#This Row],[EMP]],[1]LOJA!$A:$B,2,0)</f>
        <v>SOFNORTE</v>
      </c>
      <c r="E155">
        <v>239</v>
      </c>
      <c r="F155" t="s">
        <v>3403</v>
      </c>
      <c r="G155" t="s">
        <v>3402</v>
      </c>
      <c r="H155" t="s">
        <v>3401</v>
      </c>
      <c r="I155">
        <v>5102</v>
      </c>
      <c r="J155" s="3">
        <v>100</v>
      </c>
      <c r="K155" s="3">
        <v>43.58</v>
      </c>
      <c r="L155">
        <v>56.42</v>
      </c>
    </row>
    <row r="156" spans="1:12">
      <c r="A156" s="1">
        <v>46024</v>
      </c>
      <c r="B156" t="s">
        <v>12641</v>
      </c>
      <c r="C156">
        <v>12</v>
      </c>
      <c r="D156" t="str">
        <f>VLOOKUP(Tabela26[[#This Row],[EMP]],[1]LOJA!$A:$B,2,0)</f>
        <v>SOFNORTE</v>
      </c>
      <c r="E156">
        <v>239</v>
      </c>
      <c r="F156" t="s">
        <v>3403</v>
      </c>
      <c r="G156" t="s">
        <v>3402</v>
      </c>
      <c r="H156" t="s">
        <v>3401</v>
      </c>
      <c r="I156">
        <v>5405</v>
      </c>
      <c r="J156" s="3">
        <v>72</v>
      </c>
      <c r="K156" s="3">
        <v>35.33</v>
      </c>
      <c r="L156">
        <v>50.93</v>
      </c>
    </row>
    <row r="157" spans="1:12">
      <c r="A157" s="1">
        <v>46024</v>
      </c>
      <c r="B157" t="s">
        <v>12640</v>
      </c>
      <c r="C157">
        <v>12</v>
      </c>
      <c r="D157" t="str">
        <f>VLOOKUP(Tabela26[[#This Row],[EMP]],[1]LOJA!$A:$B,2,0)</f>
        <v>SOFNORTE</v>
      </c>
      <c r="E157">
        <v>239</v>
      </c>
      <c r="F157" t="s">
        <v>3403</v>
      </c>
      <c r="G157" t="s">
        <v>3402</v>
      </c>
      <c r="H157" t="s">
        <v>3401</v>
      </c>
      <c r="I157">
        <v>5102</v>
      </c>
      <c r="J157" s="3">
        <v>154</v>
      </c>
      <c r="K157" s="3">
        <v>68.23</v>
      </c>
      <c r="L157">
        <v>55.69</v>
      </c>
    </row>
    <row r="158" spans="1:12">
      <c r="A158" s="1">
        <v>46024</v>
      </c>
      <c r="B158" t="s">
        <v>12639</v>
      </c>
      <c r="C158">
        <v>12</v>
      </c>
      <c r="D158" t="str">
        <f>VLOOKUP(Tabela26[[#This Row],[EMP]],[1]LOJA!$A:$B,2,0)</f>
        <v>SOFNORTE</v>
      </c>
      <c r="E158">
        <v>239</v>
      </c>
      <c r="F158" t="s">
        <v>3403</v>
      </c>
      <c r="G158" t="s">
        <v>3402</v>
      </c>
      <c r="H158" t="s">
        <v>3401</v>
      </c>
      <c r="I158">
        <v>5405</v>
      </c>
      <c r="J158" s="3">
        <v>75.88</v>
      </c>
      <c r="K158" s="3">
        <v>38.950000000000003</v>
      </c>
      <c r="L158">
        <v>48.67</v>
      </c>
    </row>
    <row r="159" spans="1:12">
      <c r="A159" s="1">
        <v>46024</v>
      </c>
      <c r="B159" t="s">
        <v>12638</v>
      </c>
      <c r="C159">
        <v>12</v>
      </c>
      <c r="D159" t="str">
        <f>VLOOKUP(Tabela26[[#This Row],[EMP]],[1]LOJA!$A:$B,2,0)</f>
        <v>SOFNORTE</v>
      </c>
      <c r="E159">
        <v>239</v>
      </c>
      <c r="F159" t="s">
        <v>3403</v>
      </c>
      <c r="G159" t="s">
        <v>3402</v>
      </c>
      <c r="H159" t="s">
        <v>3401</v>
      </c>
      <c r="I159">
        <v>5102</v>
      </c>
      <c r="J159" s="3">
        <v>22</v>
      </c>
      <c r="K159" s="3">
        <v>13.32</v>
      </c>
      <c r="L159">
        <v>39.450000000000003</v>
      </c>
    </row>
    <row r="160" spans="1:12">
      <c r="A160" s="1">
        <v>46024</v>
      </c>
      <c r="B160" t="s">
        <v>12637</v>
      </c>
      <c r="C160">
        <v>12</v>
      </c>
      <c r="D160" t="str">
        <f>VLOOKUP(Tabela26[[#This Row],[EMP]],[1]LOJA!$A:$B,2,0)</f>
        <v>SOFNORTE</v>
      </c>
      <c r="E160">
        <v>239</v>
      </c>
      <c r="F160" t="s">
        <v>3691</v>
      </c>
      <c r="G160" t="s">
        <v>3690</v>
      </c>
      <c r="H160" t="s">
        <v>5991</v>
      </c>
      <c r="I160">
        <v>5102</v>
      </c>
      <c r="J160" s="3">
        <v>173.19</v>
      </c>
      <c r="K160" s="3">
        <v>94.84</v>
      </c>
      <c r="L160">
        <v>45.24</v>
      </c>
    </row>
    <row r="161" spans="1:12">
      <c r="A161" s="1">
        <v>46024</v>
      </c>
      <c r="B161" t="s">
        <v>12636</v>
      </c>
      <c r="C161">
        <v>12</v>
      </c>
      <c r="D161" t="str">
        <f>VLOOKUP(Tabela26[[#This Row],[EMP]],[1]LOJA!$A:$B,2,0)</f>
        <v>SOFNORTE</v>
      </c>
      <c r="E161">
        <v>239</v>
      </c>
      <c r="F161" t="s">
        <v>3704</v>
      </c>
      <c r="G161" t="s">
        <v>3703</v>
      </c>
      <c r="H161" t="s">
        <v>3401</v>
      </c>
      <c r="I161">
        <v>5405</v>
      </c>
      <c r="J161" s="3">
        <v>33</v>
      </c>
      <c r="K161" s="3">
        <v>14.42</v>
      </c>
      <c r="L161">
        <v>56.3</v>
      </c>
    </row>
    <row r="162" spans="1:12">
      <c r="A162" s="1">
        <v>46024</v>
      </c>
      <c r="B162" t="s">
        <v>12635</v>
      </c>
      <c r="C162">
        <v>12</v>
      </c>
      <c r="D162" t="str">
        <f>VLOOKUP(Tabela26[[#This Row],[EMP]],[1]LOJA!$A:$B,2,0)</f>
        <v>SOFNORTE</v>
      </c>
      <c r="E162">
        <v>44</v>
      </c>
      <c r="F162" t="s">
        <v>12634</v>
      </c>
      <c r="G162" t="s">
        <v>12633</v>
      </c>
      <c r="H162" t="s">
        <v>3401</v>
      </c>
      <c r="I162">
        <v>5102</v>
      </c>
      <c r="J162" s="3">
        <v>20</v>
      </c>
      <c r="K162" s="3">
        <v>10.29</v>
      </c>
      <c r="L162">
        <v>48.55</v>
      </c>
    </row>
    <row r="163" spans="1:12">
      <c r="A163" s="1">
        <v>46024</v>
      </c>
      <c r="B163" t="s">
        <v>12632</v>
      </c>
      <c r="C163">
        <v>12</v>
      </c>
      <c r="D163" t="str">
        <f>VLOOKUP(Tabela26[[#This Row],[EMP]],[1]LOJA!$A:$B,2,0)</f>
        <v>SOFNORTE</v>
      </c>
      <c r="E163">
        <v>239</v>
      </c>
      <c r="F163" t="s">
        <v>3722</v>
      </c>
      <c r="G163" t="s">
        <v>3721</v>
      </c>
      <c r="H163" t="s">
        <v>3401</v>
      </c>
      <c r="I163">
        <v>5405</v>
      </c>
      <c r="J163" s="3">
        <v>175</v>
      </c>
      <c r="K163" s="3">
        <v>85.77</v>
      </c>
      <c r="L163">
        <v>50.99</v>
      </c>
    </row>
    <row r="164" spans="1:12">
      <c r="A164" s="1">
        <v>46024</v>
      </c>
      <c r="B164" t="s">
        <v>12631</v>
      </c>
      <c r="C164">
        <v>12</v>
      </c>
      <c r="D164" t="str">
        <f>VLOOKUP(Tabela26[[#This Row],[EMP]],[1]LOJA!$A:$B,2,0)</f>
        <v>SOFNORTE</v>
      </c>
      <c r="E164">
        <v>239</v>
      </c>
      <c r="F164" t="s">
        <v>3403</v>
      </c>
      <c r="G164" t="s">
        <v>3402</v>
      </c>
      <c r="H164" t="s">
        <v>3401</v>
      </c>
      <c r="I164">
        <v>5102</v>
      </c>
      <c r="J164" s="3">
        <v>33</v>
      </c>
      <c r="K164" s="3">
        <v>17.79</v>
      </c>
      <c r="L164">
        <v>46.09</v>
      </c>
    </row>
    <row r="165" spans="1:12">
      <c r="A165" s="1">
        <v>46024</v>
      </c>
      <c r="B165" t="s">
        <v>12630</v>
      </c>
      <c r="C165">
        <v>12</v>
      </c>
      <c r="D165" t="str">
        <f>VLOOKUP(Tabela26[[#This Row],[EMP]],[1]LOJA!$A:$B,2,0)</f>
        <v>SOFNORTE</v>
      </c>
      <c r="E165">
        <v>239</v>
      </c>
      <c r="F165" t="s">
        <v>3691</v>
      </c>
      <c r="G165" t="s">
        <v>3690</v>
      </c>
      <c r="H165" t="s">
        <v>5991</v>
      </c>
      <c r="I165">
        <v>5102</v>
      </c>
      <c r="J165" s="3">
        <v>9</v>
      </c>
      <c r="K165" s="3">
        <v>4.4800000000000004</v>
      </c>
      <c r="L165">
        <v>50.22</v>
      </c>
    </row>
    <row r="166" spans="1:12">
      <c r="A166" s="1">
        <v>46024</v>
      </c>
      <c r="B166" t="s">
        <v>12629</v>
      </c>
      <c r="C166">
        <v>12</v>
      </c>
      <c r="D166" t="str">
        <f>VLOOKUP(Tabela26[[#This Row],[EMP]],[1]LOJA!$A:$B,2,0)</f>
        <v>SOFNORTE</v>
      </c>
      <c r="E166">
        <v>239</v>
      </c>
      <c r="F166" t="s">
        <v>3704</v>
      </c>
      <c r="G166" t="s">
        <v>3703</v>
      </c>
      <c r="H166" t="s">
        <v>3408</v>
      </c>
      <c r="I166">
        <v>5102</v>
      </c>
      <c r="J166" s="3">
        <v>85</v>
      </c>
      <c r="K166" s="3">
        <v>47.38</v>
      </c>
      <c r="L166">
        <v>44.26</v>
      </c>
    </row>
    <row r="167" spans="1:12">
      <c r="A167" s="1">
        <v>46024</v>
      </c>
      <c r="B167" t="s">
        <v>12628</v>
      </c>
      <c r="C167">
        <v>12</v>
      </c>
      <c r="D167" t="str">
        <f>VLOOKUP(Tabela26[[#This Row],[EMP]],[1]LOJA!$A:$B,2,0)</f>
        <v>SOFNORTE</v>
      </c>
      <c r="E167">
        <v>239</v>
      </c>
      <c r="F167" t="s">
        <v>3403</v>
      </c>
      <c r="G167" t="s">
        <v>3402</v>
      </c>
      <c r="H167" t="s">
        <v>3401</v>
      </c>
      <c r="I167">
        <v>5102</v>
      </c>
      <c r="J167" s="3">
        <v>45</v>
      </c>
      <c r="K167" s="3">
        <v>22.7</v>
      </c>
      <c r="L167">
        <v>49.56</v>
      </c>
    </row>
    <row r="168" spans="1:12">
      <c r="A168" s="1">
        <v>46024</v>
      </c>
      <c r="B168" t="s">
        <v>4462</v>
      </c>
      <c r="C168">
        <v>14</v>
      </c>
      <c r="D168" t="str">
        <f>VLOOKUP(Tabela26[[#This Row],[EMP]],[1]LOJA!$A:$B,2,0)</f>
        <v>S IA</v>
      </c>
      <c r="E168">
        <v>54</v>
      </c>
      <c r="F168" t="s">
        <v>3403</v>
      </c>
      <c r="G168" t="s">
        <v>3402</v>
      </c>
      <c r="H168" t="s">
        <v>3401</v>
      </c>
      <c r="I168">
        <v>5102</v>
      </c>
      <c r="J168" s="3">
        <v>42.9</v>
      </c>
      <c r="K168" s="3">
        <v>15.36</v>
      </c>
      <c r="L168">
        <v>64.2</v>
      </c>
    </row>
    <row r="169" spans="1:12">
      <c r="A169" s="1">
        <v>46024</v>
      </c>
      <c r="B169" t="s">
        <v>4461</v>
      </c>
      <c r="C169">
        <v>14</v>
      </c>
      <c r="D169" t="str">
        <f>VLOOKUP(Tabela26[[#This Row],[EMP]],[1]LOJA!$A:$B,2,0)</f>
        <v>S IA</v>
      </c>
      <c r="E169">
        <v>54</v>
      </c>
      <c r="F169" t="s">
        <v>12627</v>
      </c>
      <c r="G169" t="s">
        <v>3402</v>
      </c>
      <c r="H169" t="s">
        <v>3408</v>
      </c>
      <c r="I169">
        <v>5405</v>
      </c>
      <c r="J169" s="3">
        <v>59</v>
      </c>
      <c r="K169" s="3">
        <v>17.03</v>
      </c>
      <c r="L169">
        <v>71.14</v>
      </c>
    </row>
    <row r="170" spans="1:12">
      <c r="A170" s="1">
        <v>46024</v>
      </c>
      <c r="B170" t="s">
        <v>4460</v>
      </c>
      <c r="C170">
        <v>14</v>
      </c>
      <c r="D170" t="str">
        <f>VLOOKUP(Tabela26[[#This Row],[EMP]],[1]LOJA!$A:$B,2,0)</f>
        <v>S IA</v>
      </c>
      <c r="E170">
        <v>54</v>
      </c>
      <c r="F170" t="s">
        <v>3403</v>
      </c>
      <c r="G170" t="s">
        <v>3402</v>
      </c>
      <c r="H170" t="s">
        <v>3401</v>
      </c>
      <c r="I170">
        <v>5102</v>
      </c>
      <c r="J170" s="3">
        <v>22</v>
      </c>
      <c r="K170" s="3">
        <v>12.88</v>
      </c>
      <c r="L170">
        <v>41.45</v>
      </c>
    </row>
    <row r="171" spans="1:12">
      <c r="A171" s="1">
        <v>46024</v>
      </c>
      <c r="B171" t="s">
        <v>4459</v>
      </c>
      <c r="C171">
        <v>14</v>
      </c>
      <c r="D171" t="str">
        <f>VLOOKUP(Tabela26[[#This Row],[EMP]],[1]LOJA!$A:$B,2,0)</f>
        <v>S IA</v>
      </c>
      <c r="E171">
        <v>54</v>
      </c>
      <c r="F171" t="s">
        <v>3403</v>
      </c>
      <c r="G171" t="s">
        <v>3402</v>
      </c>
      <c r="H171" t="s">
        <v>3401</v>
      </c>
      <c r="I171">
        <v>5102</v>
      </c>
      <c r="J171" s="3">
        <v>8</v>
      </c>
      <c r="K171" s="3">
        <v>3.9</v>
      </c>
      <c r="L171">
        <v>51.25</v>
      </c>
    </row>
    <row r="172" spans="1:12">
      <c r="A172" s="1">
        <v>46024</v>
      </c>
      <c r="B172" t="s">
        <v>4456</v>
      </c>
      <c r="C172">
        <v>14</v>
      </c>
      <c r="D172" t="str">
        <f>VLOOKUP(Tabela26[[#This Row],[EMP]],[1]LOJA!$A:$B,2,0)</f>
        <v>S IA</v>
      </c>
      <c r="E172">
        <v>54</v>
      </c>
      <c r="F172" t="s">
        <v>12627</v>
      </c>
      <c r="G172" t="s">
        <v>3402</v>
      </c>
      <c r="H172" t="s">
        <v>3408</v>
      </c>
      <c r="I172">
        <v>5102</v>
      </c>
      <c r="J172" s="3">
        <v>37</v>
      </c>
      <c r="K172" s="3">
        <v>21.83</v>
      </c>
      <c r="L172">
        <v>41</v>
      </c>
    </row>
    <row r="173" spans="1:12">
      <c r="A173" s="1">
        <v>46024</v>
      </c>
      <c r="B173" t="s">
        <v>4454</v>
      </c>
      <c r="C173">
        <v>14</v>
      </c>
      <c r="D173" t="str">
        <f>VLOOKUP(Tabela26[[#This Row],[EMP]],[1]LOJA!$A:$B,2,0)</f>
        <v>S IA</v>
      </c>
      <c r="E173">
        <v>54</v>
      </c>
      <c r="F173" t="s">
        <v>4906</v>
      </c>
      <c r="G173" t="s">
        <v>12626</v>
      </c>
      <c r="H173" t="s">
        <v>3408</v>
      </c>
      <c r="I173">
        <v>5405</v>
      </c>
      <c r="J173" s="3">
        <v>159.69999999999999</v>
      </c>
      <c r="K173" s="3">
        <v>61.26</v>
      </c>
      <c r="L173">
        <v>61.64</v>
      </c>
    </row>
    <row r="174" spans="1:12">
      <c r="A174" s="1">
        <v>46024</v>
      </c>
      <c r="B174" t="s">
        <v>4453</v>
      </c>
      <c r="C174">
        <v>14</v>
      </c>
      <c r="D174" t="str">
        <f>VLOOKUP(Tabela26[[#This Row],[EMP]],[1]LOJA!$A:$B,2,0)</f>
        <v>S IA</v>
      </c>
      <c r="E174">
        <v>54</v>
      </c>
      <c r="F174" t="s">
        <v>4906</v>
      </c>
      <c r="G174" t="s">
        <v>12626</v>
      </c>
      <c r="H174" t="s">
        <v>3401</v>
      </c>
      <c r="I174">
        <v>5102</v>
      </c>
      <c r="J174" s="3">
        <v>14</v>
      </c>
      <c r="K174" s="3">
        <v>7.02</v>
      </c>
      <c r="L174">
        <v>49.86</v>
      </c>
    </row>
    <row r="175" spans="1:12">
      <c r="A175" s="1">
        <v>46024</v>
      </c>
      <c r="B175" t="s">
        <v>12625</v>
      </c>
      <c r="C175">
        <v>4</v>
      </c>
      <c r="D175" t="str">
        <f>VLOOKUP(Tabela26[[#This Row],[EMP]],[1]LOJA!$A:$B,2,0)</f>
        <v>ADE</v>
      </c>
      <c r="E175">
        <v>132</v>
      </c>
      <c r="F175" t="s">
        <v>3660</v>
      </c>
      <c r="G175" t="s">
        <v>3659</v>
      </c>
      <c r="H175" t="s">
        <v>3430</v>
      </c>
      <c r="I175">
        <v>5405</v>
      </c>
      <c r="J175" s="3">
        <v>164.22</v>
      </c>
      <c r="K175" s="3">
        <v>76.739999999999995</v>
      </c>
      <c r="L175">
        <v>53.27</v>
      </c>
    </row>
    <row r="176" spans="1:12">
      <c r="A176" s="1">
        <v>46024</v>
      </c>
      <c r="B176" t="s">
        <v>12624</v>
      </c>
      <c r="C176">
        <v>4</v>
      </c>
      <c r="D176" t="str">
        <f>VLOOKUP(Tabela26[[#This Row],[EMP]],[1]LOJA!$A:$B,2,0)</f>
        <v>ADE</v>
      </c>
      <c r="E176">
        <v>132</v>
      </c>
      <c r="F176" t="s">
        <v>12623</v>
      </c>
      <c r="G176" t="s">
        <v>12622</v>
      </c>
      <c r="H176" t="s">
        <v>3430</v>
      </c>
      <c r="I176">
        <v>5102</v>
      </c>
      <c r="J176" s="3">
        <v>302.27999999999997</v>
      </c>
      <c r="K176" s="3">
        <v>189.52</v>
      </c>
      <c r="L176">
        <v>37.299999999999997</v>
      </c>
    </row>
    <row r="177" spans="1:12">
      <c r="A177" s="1">
        <v>46024</v>
      </c>
      <c r="B177" t="s">
        <v>12621</v>
      </c>
      <c r="C177">
        <v>4</v>
      </c>
      <c r="D177" t="str">
        <f>VLOOKUP(Tabela26[[#This Row],[EMP]],[1]LOJA!$A:$B,2,0)</f>
        <v>ADE</v>
      </c>
      <c r="E177">
        <v>132</v>
      </c>
      <c r="F177" t="s">
        <v>3660</v>
      </c>
      <c r="G177" t="s">
        <v>3659</v>
      </c>
      <c r="H177" t="s">
        <v>3430</v>
      </c>
      <c r="I177">
        <v>5405</v>
      </c>
      <c r="J177" s="3">
        <v>52.64</v>
      </c>
      <c r="K177" s="3">
        <v>25.98</v>
      </c>
      <c r="L177">
        <v>50.65</v>
      </c>
    </row>
    <row r="178" spans="1:12">
      <c r="A178" s="1">
        <v>46024</v>
      </c>
      <c r="B178" t="s">
        <v>12620</v>
      </c>
      <c r="C178">
        <v>4</v>
      </c>
      <c r="D178" t="str">
        <f>VLOOKUP(Tabela26[[#This Row],[EMP]],[1]LOJA!$A:$B,2,0)</f>
        <v>ADE</v>
      </c>
      <c r="E178">
        <v>132</v>
      </c>
      <c r="F178" t="s">
        <v>3670</v>
      </c>
      <c r="G178" t="s">
        <v>3669</v>
      </c>
      <c r="H178" t="s">
        <v>3537</v>
      </c>
      <c r="I178">
        <v>5102</v>
      </c>
      <c r="J178" s="3">
        <v>460</v>
      </c>
      <c r="K178" s="3">
        <v>277.86</v>
      </c>
      <c r="L178">
        <v>39.6</v>
      </c>
    </row>
    <row r="179" spans="1:12">
      <c r="A179" s="1">
        <v>46024</v>
      </c>
      <c r="B179" t="s">
        <v>12619</v>
      </c>
      <c r="C179">
        <v>4</v>
      </c>
      <c r="D179" t="str">
        <f>VLOOKUP(Tabela26[[#This Row],[EMP]],[1]LOJA!$A:$B,2,0)</f>
        <v>ADE</v>
      </c>
      <c r="E179">
        <v>132</v>
      </c>
      <c r="F179" t="s">
        <v>3667</v>
      </c>
      <c r="G179" t="s">
        <v>3666</v>
      </c>
      <c r="H179" t="s">
        <v>3430</v>
      </c>
      <c r="I179">
        <v>5405</v>
      </c>
      <c r="J179" s="3">
        <v>62</v>
      </c>
      <c r="K179" s="3">
        <v>32.94</v>
      </c>
      <c r="L179">
        <v>46.87</v>
      </c>
    </row>
    <row r="180" spans="1:12">
      <c r="A180" s="1">
        <v>46024</v>
      </c>
      <c r="B180" t="s">
        <v>12618</v>
      </c>
      <c r="C180">
        <v>13</v>
      </c>
      <c r="D180" t="str">
        <f>VLOOKUP(Tabela26[[#This Row],[EMP]],[1]LOJA!$A:$B,2,0)</f>
        <v>CEILÂNDIA</v>
      </c>
      <c r="E180">
        <v>86</v>
      </c>
      <c r="F180" t="s">
        <v>3403</v>
      </c>
      <c r="G180" t="s">
        <v>3402</v>
      </c>
      <c r="H180" t="s">
        <v>3401</v>
      </c>
      <c r="I180">
        <v>5102</v>
      </c>
      <c r="J180" s="3">
        <v>8</v>
      </c>
      <c r="K180" s="3">
        <v>3.91</v>
      </c>
      <c r="L180">
        <v>51.13</v>
      </c>
    </row>
    <row r="181" spans="1:12">
      <c r="A181" s="1">
        <v>46024</v>
      </c>
      <c r="B181" t="s">
        <v>12617</v>
      </c>
      <c r="C181">
        <v>13</v>
      </c>
      <c r="D181" t="str">
        <f>VLOOKUP(Tabela26[[#This Row],[EMP]],[1]LOJA!$A:$B,2,0)</f>
        <v>CEILÂNDIA</v>
      </c>
      <c r="E181">
        <v>86</v>
      </c>
      <c r="F181" t="s">
        <v>3403</v>
      </c>
      <c r="G181" t="s">
        <v>3402</v>
      </c>
      <c r="H181" t="s">
        <v>3401</v>
      </c>
      <c r="I181">
        <v>5102</v>
      </c>
      <c r="J181" s="3">
        <v>34</v>
      </c>
      <c r="K181" s="3">
        <v>21.06</v>
      </c>
      <c r="L181">
        <v>38.06</v>
      </c>
    </row>
    <row r="182" spans="1:12">
      <c r="A182" s="1">
        <v>46024</v>
      </c>
      <c r="B182" t="s">
        <v>12616</v>
      </c>
      <c r="C182">
        <v>13</v>
      </c>
      <c r="D182" t="str">
        <f>VLOOKUP(Tabela26[[#This Row],[EMP]],[1]LOJA!$A:$B,2,0)</f>
        <v>CEILÂNDIA</v>
      </c>
      <c r="E182">
        <v>86</v>
      </c>
      <c r="F182" t="s">
        <v>4346</v>
      </c>
      <c r="G182" t="s">
        <v>4345</v>
      </c>
      <c r="H182" t="s">
        <v>3408</v>
      </c>
      <c r="I182">
        <v>5102</v>
      </c>
      <c r="J182" s="3">
        <v>96</v>
      </c>
      <c r="K182" s="3">
        <v>54.06</v>
      </c>
      <c r="L182">
        <v>43.69</v>
      </c>
    </row>
    <row r="183" spans="1:12">
      <c r="A183" s="1">
        <v>46024</v>
      </c>
      <c r="B183" t="s">
        <v>12615</v>
      </c>
      <c r="C183">
        <v>13</v>
      </c>
      <c r="D183" t="str">
        <f>VLOOKUP(Tabela26[[#This Row],[EMP]],[1]LOJA!$A:$B,2,0)</f>
        <v>CEILÂNDIA</v>
      </c>
      <c r="E183">
        <v>86</v>
      </c>
      <c r="F183" t="s">
        <v>3403</v>
      </c>
      <c r="G183" t="s">
        <v>3402</v>
      </c>
      <c r="H183" t="s">
        <v>3401</v>
      </c>
      <c r="I183">
        <v>5102</v>
      </c>
      <c r="J183" s="3">
        <v>53</v>
      </c>
      <c r="K183" s="3">
        <v>32.619999999999997</v>
      </c>
      <c r="L183">
        <v>38.450000000000003</v>
      </c>
    </row>
    <row r="184" spans="1:12">
      <c r="A184" s="1">
        <v>46024</v>
      </c>
      <c r="B184" t="s">
        <v>12614</v>
      </c>
      <c r="C184">
        <v>13</v>
      </c>
      <c r="D184" t="str">
        <f>VLOOKUP(Tabela26[[#This Row],[EMP]],[1]LOJA!$A:$B,2,0)</f>
        <v>CEILÂNDIA</v>
      </c>
      <c r="E184">
        <v>86</v>
      </c>
      <c r="F184" t="s">
        <v>3591</v>
      </c>
      <c r="G184" t="s">
        <v>3590</v>
      </c>
      <c r="H184" t="s">
        <v>3520</v>
      </c>
      <c r="I184">
        <v>5405</v>
      </c>
      <c r="J184" s="3">
        <v>60.63</v>
      </c>
      <c r="K184" s="3">
        <v>30.51</v>
      </c>
      <c r="L184">
        <v>49.68</v>
      </c>
    </row>
    <row r="185" spans="1:12">
      <c r="A185" s="1">
        <v>46024</v>
      </c>
      <c r="B185" t="s">
        <v>12613</v>
      </c>
      <c r="C185">
        <v>13</v>
      </c>
      <c r="D185" t="str">
        <f>VLOOKUP(Tabela26[[#This Row],[EMP]],[1]LOJA!$A:$B,2,0)</f>
        <v>CEILÂNDIA</v>
      </c>
      <c r="E185">
        <v>86</v>
      </c>
      <c r="F185" t="s">
        <v>4346</v>
      </c>
      <c r="G185" t="s">
        <v>4345</v>
      </c>
      <c r="H185" t="s">
        <v>3408</v>
      </c>
      <c r="I185">
        <v>5405</v>
      </c>
      <c r="J185" s="3">
        <v>288.8</v>
      </c>
      <c r="K185" s="3">
        <v>166.07</v>
      </c>
      <c r="L185">
        <v>42.5</v>
      </c>
    </row>
    <row r="186" spans="1:12">
      <c r="A186" s="1">
        <v>46024</v>
      </c>
      <c r="B186" t="s">
        <v>12612</v>
      </c>
      <c r="C186">
        <v>13</v>
      </c>
      <c r="D186" t="str">
        <f>VLOOKUP(Tabela26[[#This Row],[EMP]],[1]LOJA!$A:$B,2,0)</f>
        <v>CEILÂNDIA</v>
      </c>
      <c r="E186">
        <v>86</v>
      </c>
      <c r="F186" t="s">
        <v>6606</v>
      </c>
      <c r="G186" t="s">
        <v>6605</v>
      </c>
      <c r="H186" t="s">
        <v>3408</v>
      </c>
      <c r="I186">
        <v>5102</v>
      </c>
      <c r="J186" s="3">
        <v>45.5</v>
      </c>
      <c r="K186" s="3">
        <v>24.8</v>
      </c>
      <c r="L186">
        <v>45.49</v>
      </c>
    </row>
    <row r="187" spans="1:12">
      <c r="A187" s="1">
        <v>46024</v>
      </c>
      <c r="B187" t="s">
        <v>12611</v>
      </c>
      <c r="C187">
        <v>13</v>
      </c>
      <c r="D187" t="str">
        <f>VLOOKUP(Tabela26[[#This Row],[EMP]],[1]LOJA!$A:$B,2,0)</f>
        <v>CEILÂNDIA</v>
      </c>
      <c r="E187">
        <v>86</v>
      </c>
      <c r="F187" t="s">
        <v>3403</v>
      </c>
      <c r="G187" t="s">
        <v>3402</v>
      </c>
      <c r="H187" t="s">
        <v>3401</v>
      </c>
      <c r="I187">
        <v>5405</v>
      </c>
      <c r="J187" s="3">
        <v>126</v>
      </c>
      <c r="K187" s="3">
        <v>68.61</v>
      </c>
      <c r="L187">
        <v>45.55</v>
      </c>
    </row>
    <row r="188" spans="1:12">
      <c r="A188" s="1">
        <v>46024</v>
      </c>
      <c r="B188" t="s">
        <v>12610</v>
      </c>
      <c r="C188">
        <v>13</v>
      </c>
      <c r="D188" t="str">
        <f>VLOOKUP(Tabela26[[#This Row],[EMP]],[1]LOJA!$A:$B,2,0)</f>
        <v>CEILÂNDIA</v>
      </c>
      <c r="E188">
        <v>86</v>
      </c>
      <c r="F188" t="s">
        <v>7947</v>
      </c>
      <c r="G188" t="s">
        <v>7946</v>
      </c>
      <c r="H188" t="s">
        <v>3408</v>
      </c>
      <c r="I188">
        <v>5405</v>
      </c>
      <c r="J188" s="3">
        <v>615</v>
      </c>
      <c r="K188" s="3">
        <v>336.16</v>
      </c>
      <c r="L188">
        <v>45.34</v>
      </c>
    </row>
    <row r="189" spans="1:12">
      <c r="A189" s="1">
        <v>46024</v>
      </c>
      <c r="B189" t="s">
        <v>12609</v>
      </c>
      <c r="C189">
        <v>13</v>
      </c>
      <c r="D189" t="str">
        <f>VLOOKUP(Tabela26[[#This Row],[EMP]],[1]LOJA!$A:$B,2,0)</f>
        <v>CEILÂNDIA</v>
      </c>
      <c r="E189">
        <v>86</v>
      </c>
      <c r="F189" t="s">
        <v>3403</v>
      </c>
      <c r="G189" t="s">
        <v>3402</v>
      </c>
      <c r="H189" t="s">
        <v>3408</v>
      </c>
      <c r="I189">
        <v>5405</v>
      </c>
      <c r="J189" s="3">
        <v>32.950000000000003</v>
      </c>
      <c r="K189" s="3">
        <v>17.05</v>
      </c>
      <c r="L189">
        <v>48.25</v>
      </c>
    </row>
    <row r="190" spans="1:12">
      <c r="A190" s="1">
        <v>46024</v>
      </c>
      <c r="B190" t="s">
        <v>12608</v>
      </c>
      <c r="C190">
        <v>13</v>
      </c>
      <c r="D190" t="str">
        <f>VLOOKUP(Tabela26[[#This Row],[EMP]],[1]LOJA!$A:$B,2,0)</f>
        <v>CEILÂNDIA</v>
      </c>
      <c r="E190">
        <v>86</v>
      </c>
      <c r="F190" t="s">
        <v>3403</v>
      </c>
      <c r="G190" t="s">
        <v>3402</v>
      </c>
      <c r="H190" t="s">
        <v>3408</v>
      </c>
      <c r="I190">
        <v>5405</v>
      </c>
      <c r="J190" s="3">
        <v>175</v>
      </c>
      <c r="K190" s="3">
        <v>84.13</v>
      </c>
      <c r="L190">
        <v>51.93</v>
      </c>
    </row>
    <row r="191" spans="1:12">
      <c r="A191" s="1">
        <v>46024</v>
      </c>
      <c r="B191" t="s">
        <v>12607</v>
      </c>
      <c r="C191">
        <v>13</v>
      </c>
      <c r="D191" t="str">
        <f>VLOOKUP(Tabela26[[#This Row],[EMP]],[1]LOJA!$A:$B,2,0)</f>
        <v>CEILÂNDIA</v>
      </c>
      <c r="E191">
        <v>86</v>
      </c>
      <c r="F191" t="s">
        <v>3403</v>
      </c>
      <c r="G191" t="s">
        <v>3402</v>
      </c>
      <c r="H191" t="s">
        <v>3401</v>
      </c>
      <c r="I191">
        <v>5405</v>
      </c>
      <c r="J191" s="3">
        <v>140</v>
      </c>
      <c r="K191" s="3">
        <v>71.099999999999994</v>
      </c>
      <c r="L191">
        <v>49.21</v>
      </c>
    </row>
    <row r="192" spans="1:12">
      <c r="A192" s="1">
        <v>46024</v>
      </c>
      <c r="B192" t="s">
        <v>12606</v>
      </c>
      <c r="C192">
        <v>13</v>
      </c>
      <c r="D192" t="str">
        <f>VLOOKUP(Tabela26[[#This Row],[EMP]],[1]LOJA!$A:$B,2,0)</f>
        <v>CEILÂNDIA</v>
      </c>
      <c r="E192">
        <v>86</v>
      </c>
      <c r="F192" t="s">
        <v>3403</v>
      </c>
      <c r="G192" t="s">
        <v>3402</v>
      </c>
      <c r="H192" t="s">
        <v>3408</v>
      </c>
      <c r="I192">
        <v>5102</v>
      </c>
      <c r="J192" s="3">
        <v>29.24</v>
      </c>
      <c r="K192" s="3">
        <v>15.26</v>
      </c>
      <c r="L192">
        <v>47.81</v>
      </c>
    </row>
    <row r="193" spans="1:12">
      <c r="A193" s="1">
        <v>46024</v>
      </c>
      <c r="B193" t="s">
        <v>12605</v>
      </c>
      <c r="C193">
        <v>13</v>
      </c>
      <c r="D193" t="str">
        <f>VLOOKUP(Tabela26[[#This Row],[EMP]],[1]LOJA!$A:$B,2,0)</f>
        <v>CEILÂNDIA</v>
      </c>
      <c r="E193">
        <v>86</v>
      </c>
      <c r="F193" t="s">
        <v>3622</v>
      </c>
      <c r="G193" t="s">
        <v>3402</v>
      </c>
      <c r="H193" t="s">
        <v>3401</v>
      </c>
      <c r="I193">
        <v>5405</v>
      </c>
      <c r="J193" s="3">
        <v>115</v>
      </c>
      <c r="K193" s="3">
        <v>55.93</v>
      </c>
      <c r="L193">
        <v>51.37</v>
      </c>
    </row>
    <row r="194" spans="1:12">
      <c r="A194" s="1">
        <v>46024</v>
      </c>
      <c r="B194" t="s">
        <v>12604</v>
      </c>
      <c r="C194">
        <v>13</v>
      </c>
      <c r="D194" t="str">
        <f>VLOOKUP(Tabela26[[#This Row],[EMP]],[1]LOJA!$A:$B,2,0)</f>
        <v>CEILÂNDIA</v>
      </c>
      <c r="E194">
        <v>86</v>
      </c>
      <c r="F194" t="s">
        <v>3403</v>
      </c>
      <c r="G194" t="s">
        <v>3402</v>
      </c>
      <c r="H194" t="s">
        <v>3401</v>
      </c>
      <c r="I194">
        <v>5405</v>
      </c>
      <c r="J194" s="3">
        <v>240</v>
      </c>
      <c r="K194" s="3">
        <v>124.37</v>
      </c>
      <c r="L194">
        <v>48.18</v>
      </c>
    </row>
    <row r="195" spans="1:12">
      <c r="A195" s="1">
        <v>46024</v>
      </c>
      <c r="B195" t="s">
        <v>12603</v>
      </c>
      <c r="C195">
        <v>13</v>
      </c>
      <c r="D195" t="str">
        <f>VLOOKUP(Tabela26[[#This Row],[EMP]],[1]LOJA!$A:$B,2,0)</f>
        <v>CEILÂNDIA</v>
      </c>
      <c r="E195">
        <v>86</v>
      </c>
      <c r="F195" t="s">
        <v>3403</v>
      </c>
      <c r="G195" t="s">
        <v>3402</v>
      </c>
      <c r="H195" t="s">
        <v>3401</v>
      </c>
      <c r="I195">
        <v>5405</v>
      </c>
      <c r="J195" s="3">
        <v>15</v>
      </c>
      <c r="K195" s="3">
        <v>6.92</v>
      </c>
      <c r="L195">
        <v>53.87</v>
      </c>
    </row>
    <row r="196" spans="1:12">
      <c r="A196" s="1">
        <v>46024</v>
      </c>
      <c r="B196" t="s">
        <v>12602</v>
      </c>
      <c r="C196">
        <v>13</v>
      </c>
      <c r="D196" t="str">
        <f>VLOOKUP(Tabela26[[#This Row],[EMP]],[1]LOJA!$A:$B,2,0)</f>
        <v>CEILÂNDIA</v>
      </c>
      <c r="E196">
        <v>86</v>
      </c>
      <c r="F196" t="s">
        <v>3403</v>
      </c>
      <c r="G196" t="s">
        <v>3402</v>
      </c>
      <c r="H196" t="s">
        <v>3401</v>
      </c>
      <c r="I196">
        <v>5405</v>
      </c>
      <c r="J196" s="3">
        <v>55</v>
      </c>
      <c r="K196" s="3">
        <v>26.53</v>
      </c>
      <c r="L196">
        <v>51.76</v>
      </c>
    </row>
    <row r="197" spans="1:12">
      <c r="A197" s="1">
        <v>46024</v>
      </c>
      <c r="B197" t="s">
        <v>12601</v>
      </c>
      <c r="C197">
        <v>13</v>
      </c>
      <c r="D197" t="str">
        <f>VLOOKUP(Tabela26[[#This Row],[EMP]],[1]LOJA!$A:$B,2,0)</f>
        <v>CEILÂNDIA</v>
      </c>
      <c r="E197">
        <v>86</v>
      </c>
      <c r="F197" t="s">
        <v>3593</v>
      </c>
      <c r="G197" t="s">
        <v>3402</v>
      </c>
      <c r="H197" t="s">
        <v>3408</v>
      </c>
      <c r="I197">
        <v>5405</v>
      </c>
      <c r="J197" s="3">
        <v>165</v>
      </c>
      <c r="K197" s="3">
        <v>82.38</v>
      </c>
      <c r="L197">
        <v>50.07</v>
      </c>
    </row>
    <row r="198" spans="1:12">
      <c r="A198" s="1">
        <v>46024</v>
      </c>
      <c r="B198" t="s">
        <v>12600</v>
      </c>
      <c r="C198">
        <v>13</v>
      </c>
      <c r="D198" t="str">
        <f>VLOOKUP(Tabela26[[#This Row],[EMP]],[1]LOJA!$A:$B,2,0)</f>
        <v>CEILÂNDIA</v>
      </c>
      <c r="E198">
        <v>86</v>
      </c>
      <c r="F198" t="s">
        <v>12599</v>
      </c>
      <c r="G198" t="s">
        <v>3402</v>
      </c>
      <c r="H198" t="s">
        <v>3401</v>
      </c>
      <c r="I198">
        <v>5405</v>
      </c>
      <c r="J198" s="3">
        <v>270</v>
      </c>
      <c r="K198" s="3">
        <v>137.1</v>
      </c>
      <c r="L198">
        <v>49.22</v>
      </c>
    </row>
    <row r="199" spans="1:12">
      <c r="A199" s="1">
        <v>46024</v>
      </c>
      <c r="B199" t="s">
        <v>12598</v>
      </c>
      <c r="C199">
        <v>13</v>
      </c>
      <c r="D199" t="str">
        <f>VLOOKUP(Tabela26[[#This Row],[EMP]],[1]LOJA!$A:$B,2,0)</f>
        <v>CEILÂNDIA</v>
      </c>
      <c r="E199">
        <v>86</v>
      </c>
      <c r="F199" t="s">
        <v>5320</v>
      </c>
      <c r="G199" t="s">
        <v>5319</v>
      </c>
      <c r="H199" t="s">
        <v>3430</v>
      </c>
      <c r="I199">
        <v>5405</v>
      </c>
      <c r="J199" s="3">
        <v>60</v>
      </c>
      <c r="K199" s="3">
        <v>28.93</v>
      </c>
      <c r="L199">
        <v>51.78</v>
      </c>
    </row>
    <row r="200" spans="1:12">
      <c r="A200" s="1">
        <v>46024</v>
      </c>
      <c r="B200" t="s">
        <v>12597</v>
      </c>
      <c r="C200">
        <v>13</v>
      </c>
      <c r="D200" t="str">
        <f>VLOOKUP(Tabela26[[#This Row],[EMP]],[1]LOJA!$A:$B,2,0)</f>
        <v>CEILÂNDIA</v>
      </c>
      <c r="E200">
        <v>86</v>
      </c>
      <c r="F200" t="s">
        <v>3403</v>
      </c>
      <c r="G200" t="s">
        <v>3402</v>
      </c>
      <c r="H200" t="s">
        <v>3408</v>
      </c>
      <c r="I200">
        <v>5102</v>
      </c>
      <c r="J200" s="3">
        <v>40</v>
      </c>
      <c r="K200" s="3">
        <v>19.55</v>
      </c>
      <c r="L200">
        <v>51.13</v>
      </c>
    </row>
    <row r="201" spans="1:12">
      <c r="A201" s="1">
        <v>46024</v>
      </c>
      <c r="B201" t="s">
        <v>12596</v>
      </c>
      <c r="C201">
        <v>13</v>
      </c>
      <c r="D201" t="str">
        <f>VLOOKUP(Tabela26[[#This Row],[EMP]],[1]LOJA!$A:$B,2,0)</f>
        <v>CEILÂNDIA</v>
      </c>
      <c r="E201">
        <v>86</v>
      </c>
      <c r="F201" t="s">
        <v>12595</v>
      </c>
      <c r="G201" t="s">
        <v>3402</v>
      </c>
      <c r="H201" t="s">
        <v>3408</v>
      </c>
      <c r="I201">
        <v>5102</v>
      </c>
      <c r="J201" s="3">
        <v>700</v>
      </c>
      <c r="K201" s="3">
        <v>402.1</v>
      </c>
      <c r="L201">
        <v>42.56</v>
      </c>
    </row>
    <row r="202" spans="1:12">
      <c r="A202" s="1">
        <v>46024</v>
      </c>
      <c r="B202" t="s">
        <v>12594</v>
      </c>
      <c r="C202">
        <v>13</v>
      </c>
      <c r="D202" t="str">
        <f>VLOOKUP(Tabela26[[#This Row],[EMP]],[1]LOJA!$A:$B,2,0)</f>
        <v>CEILÂNDIA</v>
      </c>
      <c r="E202">
        <v>86</v>
      </c>
      <c r="F202" t="s">
        <v>12593</v>
      </c>
      <c r="G202" t="s">
        <v>3402</v>
      </c>
      <c r="H202" t="s">
        <v>3408</v>
      </c>
      <c r="I202">
        <v>5405</v>
      </c>
      <c r="J202" s="3">
        <v>220</v>
      </c>
      <c r="K202" s="3">
        <v>100.56</v>
      </c>
      <c r="L202">
        <v>54.29</v>
      </c>
    </row>
    <row r="203" spans="1:12">
      <c r="A203" s="1">
        <v>46024</v>
      </c>
      <c r="B203" t="s">
        <v>12592</v>
      </c>
      <c r="C203">
        <v>13</v>
      </c>
      <c r="D203" t="str">
        <f>VLOOKUP(Tabela26[[#This Row],[EMP]],[1]LOJA!$A:$B,2,0)</f>
        <v>CEILÂNDIA</v>
      </c>
      <c r="E203">
        <v>86</v>
      </c>
      <c r="F203" t="s">
        <v>3403</v>
      </c>
      <c r="G203" t="s">
        <v>3402</v>
      </c>
      <c r="H203" t="s">
        <v>3401</v>
      </c>
      <c r="I203">
        <v>5102</v>
      </c>
      <c r="J203" s="3">
        <v>30</v>
      </c>
      <c r="K203" s="3">
        <v>14.64</v>
      </c>
      <c r="L203">
        <v>51.2</v>
      </c>
    </row>
    <row r="204" spans="1:12">
      <c r="A204" s="1">
        <v>46024</v>
      </c>
      <c r="B204" t="s">
        <v>12591</v>
      </c>
      <c r="C204">
        <v>13</v>
      </c>
      <c r="D204" t="str">
        <f>VLOOKUP(Tabela26[[#This Row],[EMP]],[1]LOJA!$A:$B,2,0)</f>
        <v>CEILÂNDIA</v>
      </c>
      <c r="E204">
        <v>86</v>
      </c>
      <c r="F204" t="s">
        <v>3403</v>
      </c>
      <c r="G204" t="s">
        <v>3402</v>
      </c>
      <c r="H204" t="s">
        <v>3401</v>
      </c>
      <c r="I204">
        <v>5405</v>
      </c>
      <c r="J204" s="3">
        <v>40</v>
      </c>
      <c r="K204" s="3">
        <v>18.23</v>
      </c>
      <c r="L204">
        <v>54.43</v>
      </c>
    </row>
    <row r="205" spans="1:12">
      <c r="A205" s="1">
        <v>46024</v>
      </c>
      <c r="B205" t="s">
        <v>12590</v>
      </c>
      <c r="C205">
        <v>13</v>
      </c>
      <c r="D205" t="str">
        <f>VLOOKUP(Tabela26[[#This Row],[EMP]],[1]LOJA!$A:$B,2,0)</f>
        <v>CEILÂNDIA</v>
      </c>
      <c r="E205">
        <v>86</v>
      </c>
      <c r="F205" t="s">
        <v>3403</v>
      </c>
      <c r="G205" t="s">
        <v>3402</v>
      </c>
      <c r="H205" t="s">
        <v>3401</v>
      </c>
      <c r="I205">
        <v>5102</v>
      </c>
      <c r="J205" s="3">
        <v>22</v>
      </c>
      <c r="K205" s="3">
        <v>10.36</v>
      </c>
      <c r="L205">
        <v>52.91</v>
      </c>
    </row>
    <row r="206" spans="1:12">
      <c r="A206" s="1">
        <v>46024</v>
      </c>
      <c r="B206" t="s">
        <v>12589</v>
      </c>
      <c r="C206">
        <v>13</v>
      </c>
      <c r="D206" t="str">
        <f>VLOOKUP(Tabela26[[#This Row],[EMP]],[1]LOJA!$A:$B,2,0)</f>
        <v>CEILÂNDIA</v>
      </c>
      <c r="E206">
        <v>86</v>
      </c>
      <c r="F206" t="s">
        <v>10994</v>
      </c>
      <c r="G206" t="s">
        <v>10993</v>
      </c>
      <c r="H206" t="s">
        <v>3401</v>
      </c>
      <c r="I206">
        <v>5405</v>
      </c>
      <c r="J206" s="3">
        <v>250</v>
      </c>
      <c r="K206" s="3">
        <v>137.56</v>
      </c>
      <c r="L206">
        <v>44.98</v>
      </c>
    </row>
    <row r="207" spans="1:12">
      <c r="A207" s="1">
        <v>46024</v>
      </c>
      <c r="B207" t="s">
        <v>12588</v>
      </c>
      <c r="C207">
        <v>6</v>
      </c>
      <c r="D207" t="str">
        <f>VLOOKUP(Tabela26[[#This Row],[EMP]],[1]LOJA!$A:$B,2,0)</f>
        <v>GAMA</v>
      </c>
      <c r="E207">
        <v>245</v>
      </c>
      <c r="F207" t="s">
        <v>3403</v>
      </c>
      <c r="G207" t="s">
        <v>3402</v>
      </c>
      <c r="H207" t="s">
        <v>3408</v>
      </c>
      <c r="I207">
        <v>5405</v>
      </c>
      <c r="J207" s="3">
        <v>127</v>
      </c>
      <c r="K207" s="3">
        <v>69.42</v>
      </c>
      <c r="L207">
        <v>45.34</v>
      </c>
    </row>
    <row r="208" spans="1:12">
      <c r="A208" s="1">
        <v>46024</v>
      </c>
      <c r="B208" t="s">
        <v>12587</v>
      </c>
      <c r="C208">
        <v>6</v>
      </c>
      <c r="D208" t="str">
        <f>VLOOKUP(Tabela26[[#This Row],[EMP]],[1]LOJA!$A:$B,2,0)</f>
        <v>GAMA</v>
      </c>
      <c r="E208">
        <v>245</v>
      </c>
      <c r="F208" t="s">
        <v>3403</v>
      </c>
      <c r="G208" t="s">
        <v>3402</v>
      </c>
      <c r="H208" t="s">
        <v>3401</v>
      </c>
      <c r="I208">
        <v>5405</v>
      </c>
      <c r="J208" s="3">
        <v>62.9</v>
      </c>
      <c r="K208" s="3">
        <v>30.41</v>
      </c>
      <c r="L208">
        <v>51.65</v>
      </c>
    </row>
    <row r="209" spans="1:12">
      <c r="A209" s="1">
        <v>46024</v>
      </c>
      <c r="B209" t="s">
        <v>12586</v>
      </c>
      <c r="C209">
        <v>6</v>
      </c>
      <c r="D209" t="str">
        <f>VLOOKUP(Tabela26[[#This Row],[EMP]],[1]LOJA!$A:$B,2,0)</f>
        <v>GAMA</v>
      </c>
      <c r="E209">
        <v>245</v>
      </c>
      <c r="F209" t="s">
        <v>3403</v>
      </c>
      <c r="G209" t="s">
        <v>3402</v>
      </c>
      <c r="H209" t="s">
        <v>3401</v>
      </c>
      <c r="I209">
        <v>5102</v>
      </c>
      <c r="J209" s="3">
        <v>192</v>
      </c>
      <c r="K209" s="3">
        <v>110.45</v>
      </c>
      <c r="L209">
        <v>42.47</v>
      </c>
    </row>
    <row r="210" spans="1:12">
      <c r="A210" s="1">
        <v>46024</v>
      </c>
      <c r="B210" t="s">
        <v>12585</v>
      </c>
      <c r="C210">
        <v>6</v>
      </c>
      <c r="D210" t="str">
        <f>VLOOKUP(Tabela26[[#This Row],[EMP]],[1]LOJA!$A:$B,2,0)</f>
        <v>GAMA</v>
      </c>
      <c r="E210">
        <v>245</v>
      </c>
      <c r="F210" t="s">
        <v>3403</v>
      </c>
      <c r="G210" t="s">
        <v>3402</v>
      </c>
      <c r="H210" t="s">
        <v>3401</v>
      </c>
      <c r="I210">
        <v>5405</v>
      </c>
      <c r="J210" s="3">
        <v>85</v>
      </c>
      <c r="K210" s="3">
        <v>38</v>
      </c>
      <c r="L210">
        <v>55.29</v>
      </c>
    </row>
    <row r="211" spans="1:12">
      <c r="A211" s="1">
        <v>46024</v>
      </c>
      <c r="B211" t="s">
        <v>12584</v>
      </c>
      <c r="C211">
        <v>6</v>
      </c>
      <c r="D211" t="str">
        <f>VLOOKUP(Tabela26[[#This Row],[EMP]],[1]LOJA!$A:$B,2,0)</f>
        <v>GAMA</v>
      </c>
      <c r="E211">
        <v>245</v>
      </c>
      <c r="F211" t="s">
        <v>3403</v>
      </c>
      <c r="G211" t="s">
        <v>3402</v>
      </c>
      <c r="H211" t="s">
        <v>3401</v>
      </c>
      <c r="I211">
        <v>5405</v>
      </c>
      <c r="J211" s="3">
        <v>450</v>
      </c>
      <c r="K211" s="3">
        <v>210.22</v>
      </c>
      <c r="L211">
        <v>53.28</v>
      </c>
    </row>
    <row r="212" spans="1:12">
      <c r="A212" s="1">
        <v>46024</v>
      </c>
      <c r="B212" t="s">
        <v>12583</v>
      </c>
      <c r="C212">
        <v>6</v>
      </c>
      <c r="D212" t="str">
        <f>VLOOKUP(Tabela26[[#This Row],[EMP]],[1]LOJA!$A:$B,2,0)</f>
        <v>GAMA</v>
      </c>
      <c r="E212">
        <v>245</v>
      </c>
      <c r="F212" t="s">
        <v>3559</v>
      </c>
      <c r="G212" t="s">
        <v>3558</v>
      </c>
      <c r="H212" t="s">
        <v>8348</v>
      </c>
      <c r="I212">
        <v>5405</v>
      </c>
      <c r="J212" s="3">
        <v>51.62</v>
      </c>
      <c r="K212" s="3">
        <v>25.52</v>
      </c>
      <c r="L212">
        <v>50.56</v>
      </c>
    </row>
    <row r="213" spans="1:12">
      <c r="A213" s="1">
        <v>46024</v>
      </c>
      <c r="B213" t="s">
        <v>12582</v>
      </c>
      <c r="C213">
        <v>6</v>
      </c>
      <c r="D213" t="str">
        <f>VLOOKUP(Tabela26[[#This Row],[EMP]],[1]LOJA!$A:$B,2,0)</f>
        <v>GAMA</v>
      </c>
      <c r="E213">
        <v>245</v>
      </c>
      <c r="F213" t="s">
        <v>3403</v>
      </c>
      <c r="G213" t="s">
        <v>3402</v>
      </c>
      <c r="H213" t="s">
        <v>3401</v>
      </c>
      <c r="I213">
        <v>5102</v>
      </c>
      <c r="J213" s="3">
        <v>71</v>
      </c>
      <c r="K213" s="3">
        <v>33.25</v>
      </c>
      <c r="L213">
        <v>53.17</v>
      </c>
    </row>
    <row r="214" spans="1:12">
      <c r="A214" s="1">
        <v>46024</v>
      </c>
      <c r="B214" t="s">
        <v>12581</v>
      </c>
      <c r="C214">
        <v>6</v>
      </c>
      <c r="D214" t="str">
        <f>VLOOKUP(Tabela26[[#This Row],[EMP]],[1]LOJA!$A:$B,2,0)</f>
        <v>GAMA</v>
      </c>
      <c r="E214">
        <v>245</v>
      </c>
      <c r="F214" t="s">
        <v>3403</v>
      </c>
      <c r="G214" t="s">
        <v>3402</v>
      </c>
      <c r="H214" t="s">
        <v>3401</v>
      </c>
      <c r="I214">
        <v>5102</v>
      </c>
      <c r="J214" s="3">
        <v>48</v>
      </c>
      <c r="K214" s="3">
        <v>17.329999999999998</v>
      </c>
      <c r="L214">
        <v>63.9</v>
      </c>
    </row>
    <row r="215" spans="1:12">
      <c r="A215" s="1">
        <v>46024</v>
      </c>
      <c r="B215" t="s">
        <v>12580</v>
      </c>
      <c r="C215">
        <v>6</v>
      </c>
      <c r="D215" t="str">
        <f>VLOOKUP(Tabela26[[#This Row],[EMP]],[1]LOJA!$A:$B,2,0)</f>
        <v>GAMA</v>
      </c>
      <c r="E215">
        <v>245</v>
      </c>
      <c r="F215" t="s">
        <v>12579</v>
      </c>
      <c r="G215" t="s">
        <v>3402</v>
      </c>
      <c r="H215" t="s">
        <v>3408</v>
      </c>
      <c r="I215">
        <v>5405</v>
      </c>
      <c r="J215" s="3">
        <v>130</v>
      </c>
      <c r="K215" s="3">
        <v>71.099999999999994</v>
      </c>
      <c r="L215">
        <v>45.31</v>
      </c>
    </row>
    <row r="216" spans="1:12">
      <c r="A216" s="1">
        <v>46024</v>
      </c>
      <c r="B216" t="s">
        <v>12578</v>
      </c>
      <c r="C216">
        <v>6</v>
      </c>
      <c r="D216" t="str">
        <f>VLOOKUP(Tabela26[[#This Row],[EMP]],[1]LOJA!$A:$B,2,0)</f>
        <v>GAMA</v>
      </c>
      <c r="E216">
        <v>245</v>
      </c>
      <c r="F216" t="s">
        <v>3565</v>
      </c>
      <c r="G216" t="s">
        <v>3564</v>
      </c>
      <c r="H216" t="s">
        <v>3401</v>
      </c>
      <c r="I216">
        <v>5102</v>
      </c>
      <c r="J216" s="3">
        <v>62.89</v>
      </c>
      <c r="K216" s="3">
        <v>38.520000000000003</v>
      </c>
      <c r="L216">
        <v>38.75</v>
      </c>
    </row>
    <row r="217" spans="1:12">
      <c r="A217" s="1">
        <v>46024</v>
      </c>
      <c r="B217" t="s">
        <v>12577</v>
      </c>
      <c r="C217">
        <v>4</v>
      </c>
      <c r="D217" t="str">
        <f>VLOOKUP(Tabela26[[#This Row],[EMP]],[1]LOJA!$A:$B,2,0)</f>
        <v>ADE</v>
      </c>
      <c r="E217">
        <v>132</v>
      </c>
      <c r="F217" t="s">
        <v>12169</v>
      </c>
      <c r="G217" t="s">
        <v>3402</v>
      </c>
      <c r="H217" t="s">
        <v>3408</v>
      </c>
      <c r="I217">
        <v>5405</v>
      </c>
      <c r="J217" s="3">
        <v>320</v>
      </c>
      <c r="K217" s="3">
        <v>220.78</v>
      </c>
      <c r="L217">
        <v>31.01</v>
      </c>
    </row>
    <row r="218" spans="1:12">
      <c r="A218" s="1">
        <v>46024</v>
      </c>
      <c r="B218" t="s">
        <v>12576</v>
      </c>
      <c r="C218">
        <v>6</v>
      </c>
      <c r="D218" t="str">
        <f>VLOOKUP(Tabela26[[#This Row],[EMP]],[1]LOJA!$A:$B,2,0)</f>
        <v>GAMA</v>
      </c>
      <c r="E218">
        <v>245</v>
      </c>
      <c r="F218" t="s">
        <v>3555</v>
      </c>
      <c r="G218" t="s">
        <v>3554</v>
      </c>
      <c r="H218" t="s">
        <v>3430</v>
      </c>
      <c r="I218">
        <v>6403</v>
      </c>
      <c r="J218" s="3">
        <v>308.52999999999997</v>
      </c>
      <c r="K218" s="3">
        <v>160.76</v>
      </c>
      <c r="L218">
        <v>47.89</v>
      </c>
    </row>
    <row r="219" spans="1:12">
      <c r="A219" s="1">
        <v>46024</v>
      </c>
      <c r="B219" t="s">
        <v>12575</v>
      </c>
      <c r="C219">
        <v>6</v>
      </c>
      <c r="D219" t="str">
        <f>VLOOKUP(Tabela26[[#This Row],[EMP]],[1]LOJA!$A:$B,2,0)</f>
        <v>GAMA</v>
      </c>
      <c r="E219">
        <v>245</v>
      </c>
      <c r="F219" t="s">
        <v>3555</v>
      </c>
      <c r="G219" t="s">
        <v>3554</v>
      </c>
      <c r="H219" t="s">
        <v>3430</v>
      </c>
      <c r="I219">
        <v>6102</v>
      </c>
      <c r="J219" s="3">
        <v>374.34</v>
      </c>
      <c r="K219" s="3">
        <v>241.74</v>
      </c>
      <c r="L219">
        <v>35.42</v>
      </c>
    </row>
    <row r="220" spans="1:12">
      <c r="A220" s="1">
        <v>46024</v>
      </c>
      <c r="B220" t="s">
        <v>12574</v>
      </c>
      <c r="C220">
        <v>6</v>
      </c>
      <c r="D220" t="str">
        <f>VLOOKUP(Tabela26[[#This Row],[EMP]],[1]LOJA!$A:$B,2,0)</f>
        <v>GAMA</v>
      </c>
      <c r="E220">
        <v>245</v>
      </c>
      <c r="F220" t="s">
        <v>3555</v>
      </c>
      <c r="G220" t="s">
        <v>3554</v>
      </c>
      <c r="H220" t="s">
        <v>3430</v>
      </c>
      <c r="I220">
        <v>6102</v>
      </c>
      <c r="J220" s="3">
        <v>7084.3</v>
      </c>
      <c r="K220" s="3">
        <v>4486.4399999999996</v>
      </c>
      <c r="L220">
        <v>36.67</v>
      </c>
    </row>
    <row r="221" spans="1:12">
      <c r="A221" s="1">
        <v>46025</v>
      </c>
      <c r="B221" t="s">
        <v>12573</v>
      </c>
      <c r="C221">
        <v>15</v>
      </c>
      <c r="D221" t="str">
        <f>VLOOKUP(Tabela26[[#This Row],[EMP]],[1]LOJA!$A:$B,2,0)</f>
        <v>UNAÍ</v>
      </c>
      <c r="E221">
        <v>183</v>
      </c>
      <c r="F221" t="s">
        <v>3485</v>
      </c>
      <c r="G221" t="s">
        <v>3402</v>
      </c>
      <c r="H221" t="s">
        <v>3401</v>
      </c>
      <c r="I221">
        <v>1202</v>
      </c>
      <c r="J221" s="3">
        <v>-117.89</v>
      </c>
      <c r="K221" s="3">
        <v>-60.39</v>
      </c>
      <c r="L221">
        <v>48.77</v>
      </c>
    </row>
    <row r="222" spans="1:12">
      <c r="A222" s="1">
        <v>46025</v>
      </c>
      <c r="B222" t="s">
        <v>12572</v>
      </c>
      <c r="C222">
        <v>15</v>
      </c>
      <c r="D222" t="str">
        <f>VLOOKUP(Tabela26[[#This Row],[EMP]],[1]LOJA!$A:$B,2,0)</f>
        <v>UNAÍ</v>
      </c>
      <c r="E222">
        <v>183</v>
      </c>
      <c r="F222" t="s">
        <v>3485</v>
      </c>
      <c r="G222" t="s">
        <v>3402</v>
      </c>
      <c r="H222" t="s">
        <v>3401</v>
      </c>
      <c r="I222">
        <v>1202</v>
      </c>
      <c r="J222" s="3">
        <v>-100</v>
      </c>
      <c r="K222" s="3">
        <v>-47.66</v>
      </c>
      <c r="L222">
        <v>52.34</v>
      </c>
    </row>
    <row r="223" spans="1:12">
      <c r="A223" s="1">
        <v>46025</v>
      </c>
      <c r="B223" t="s">
        <v>12571</v>
      </c>
      <c r="C223">
        <v>16</v>
      </c>
      <c r="D223" t="str">
        <f>VLOOKUP(Tabela26[[#This Row],[EMP]],[1]LOJA!$A:$B,2,0)</f>
        <v>AG LINDAS</v>
      </c>
      <c r="E223">
        <v>240</v>
      </c>
      <c r="F223" t="s">
        <v>4267</v>
      </c>
      <c r="G223" t="s">
        <v>4266</v>
      </c>
      <c r="H223" t="s">
        <v>3430</v>
      </c>
      <c r="I223">
        <v>5405</v>
      </c>
      <c r="J223" s="3">
        <v>50</v>
      </c>
      <c r="K223" s="3">
        <v>26.67</v>
      </c>
      <c r="L223">
        <v>46.66</v>
      </c>
    </row>
    <row r="224" spans="1:12">
      <c r="A224" s="1">
        <v>46025</v>
      </c>
      <c r="B224" t="s">
        <v>12570</v>
      </c>
      <c r="C224">
        <v>22</v>
      </c>
      <c r="D224" t="str">
        <f>VLOOKUP(Tabela26[[#This Row],[EMP]],[1]LOJA!$A:$B,2,0)</f>
        <v>GUARÁ</v>
      </c>
      <c r="E224">
        <v>93</v>
      </c>
      <c r="F224" t="s">
        <v>4251</v>
      </c>
      <c r="G224" t="s">
        <v>4250</v>
      </c>
      <c r="H224" t="s">
        <v>3430</v>
      </c>
      <c r="I224">
        <v>5102</v>
      </c>
      <c r="J224" s="3">
        <v>107</v>
      </c>
      <c r="K224" s="3">
        <v>62.14</v>
      </c>
      <c r="L224">
        <v>41.93</v>
      </c>
    </row>
    <row r="225" spans="1:12">
      <c r="A225" s="1">
        <v>46025</v>
      </c>
      <c r="B225" t="s">
        <v>12569</v>
      </c>
      <c r="C225">
        <v>22</v>
      </c>
      <c r="D225" t="str">
        <f>VLOOKUP(Tabela26[[#This Row],[EMP]],[1]LOJA!$A:$B,2,0)</f>
        <v>GUARÁ</v>
      </c>
      <c r="E225">
        <v>93</v>
      </c>
      <c r="F225" t="s">
        <v>4246</v>
      </c>
      <c r="G225" t="s">
        <v>4245</v>
      </c>
      <c r="H225" t="s">
        <v>3430</v>
      </c>
      <c r="I225">
        <v>5405</v>
      </c>
      <c r="J225" s="3">
        <v>369.23</v>
      </c>
      <c r="K225" s="3">
        <v>188.18</v>
      </c>
      <c r="L225">
        <v>49.03</v>
      </c>
    </row>
    <row r="226" spans="1:12">
      <c r="A226" s="1">
        <v>46025</v>
      </c>
      <c r="B226" t="s">
        <v>12568</v>
      </c>
      <c r="C226">
        <v>22</v>
      </c>
      <c r="D226" t="str">
        <f>VLOOKUP(Tabela26[[#This Row],[EMP]],[1]LOJA!$A:$B,2,0)</f>
        <v>GUARÁ</v>
      </c>
      <c r="E226">
        <v>93</v>
      </c>
      <c r="F226" t="s">
        <v>12567</v>
      </c>
      <c r="G226" t="s">
        <v>12566</v>
      </c>
      <c r="H226" t="s">
        <v>3430</v>
      </c>
      <c r="I226">
        <v>5102</v>
      </c>
      <c r="J226" s="3">
        <v>137.63</v>
      </c>
      <c r="K226" s="3">
        <v>61.55</v>
      </c>
      <c r="L226">
        <v>55.28</v>
      </c>
    </row>
    <row r="227" spans="1:12">
      <c r="A227" s="1">
        <v>46025</v>
      </c>
      <c r="B227" t="s">
        <v>12565</v>
      </c>
      <c r="C227">
        <v>24</v>
      </c>
      <c r="D227" t="str">
        <f>VLOOKUP(Tabela26[[#This Row],[EMP]],[1]LOJA!$A:$B,2,0)</f>
        <v>LUZIÂNIA</v>
      </c>
      <c r="E227">
        <v>150</v>
      </c>
      <c r="F227" t="s">
        <v>3524</v>
      </c>
      <c r="G227" t="s">
        <v>3402</v>
      </c>
      <c r="H227" t="s">
        <v>3401</v>
      </c>
      <c r="I227">
        <v>5102</v>
      </c>
      <c r="J227" s="3">
        <v>40</v>
      </c>
      <c r="K227" s="3">
        <v>18.22</v>
      </c>
      <c r="L227">
        <v>54.45</v>
      </c>
    </row>
    <row r="228" spans="1:12">
      <c r="A228" s="1">
        <v>46025</v>
      </c>
      <c r="B228" t="s">
        <v>12564</v>
      </c>
      <c r="C228">
        <v>24</v>
      </c>
      <c r="D228" t="str">
        <f>VLOOKUP(Tabela26[[#This Row],[EMP]],[1]LOJA!$A:$B,2,0)</f>
        <v>LUZIÂNIA</v>
      </c>
      <c r="E228">
        <v>150</v>
      </c>
      <c r="F228" t="s">
        <v>3524</v>
      </c>
      <c r="G228" t="s">
        <v>3402</v>
      </c>
      <c r="H228" t="s">
        <v>3401</v>
      </c>
      <c r="I228">
        <v>5405</v>
      </c>
      <c r="J228" s="3">
        <v>294</v>
      </c>
      <c r="K228" s="3">
        <v>142.78</v>
      </c>
      <c r="L228">
        <v>51.44</v>
      </c>
    </row>
    <row r="229" spans="1:12">
      <c r="A229" s="1">
        <v>46025</v>
      </c>
      <c r="B229" t="s">
        <v>12563</v>
      </c>
      <c r="C229">
        <v>24</v>
      </c>
      <c r="D229" t="str">
        <f>VLOOKUP(Tabela26[[#This Row],[EMP]],[1]LOJA!$A:$B,2,0)</f>
        <v>LUZIÂNIA</v>
      </c>
      <c r="E229">
        <v>150</v>
      </c>
      <c r="F229" t="s">
        <v>3524</v>
      </c>
      <c r="G229" t="s">
        <v>3402</v>
      </c>
      <c r="H229" t="s">
        <v>3401</v>
      </c>
      <c r="I229">
        <v>5102</v>
      </c>
      <c r="J229" s="3">
        <v>40</v>
      </c>
      <c r="K229" s="3">
        <v>22.35</v>
      </c>
      <c r="L229">
        <v>44.13</v>
      </c>
    </row>
    <row r="230" spans="1:12">
      <c r="A230" s="1">
        <v>46025</v>
      </c>
      <c r="B230" t="s">
        <v>12562</v>
      </c>
      <c r="C230">
        <v>24</v>
      </c>
      <c r="D230" t="str">
        <f>VLOOKUP(Tabela26[[#This Row],[EMP]],[1]LOJA!$A:$B,2,0)</f>
        <v>LUZIÂNIA</v>
      </c>
      <c r="E230">
        <v>150</v>
      </c>
      <c r="F230" t="s">
        <v>6521</v>
      </c>
      <c r="G230" t="s">
        <v>6520</v>
      </c>
      <c r="H230" t="s">
        <v>3401</v>
      </c>
      <c r="I230">
        <v>5405</v>
      </c>
      <c r="J230" s="3">
        <v>70</v>
      </c>
      <c r="K230" s="3">
        <v>30.68</v>
      </c>
      <c r="L230">
        <v>56.17</v>
      </c>
    </row>
    <row r="231" spans="1:12">
      <c r="A231" s="1">
        <v>46025</v>
      </c>
      <c r="B231" t="s">
        <v>12561</v>
      </c>
      <c r="C231">
        <v>24</v>
      </c>
      <c r="D231" t="str">
        <f>VLOOKUP(Tabela26[[#This Row],[EMP]],[1]LOJA!$A:$B,2,0)</f>
        <v>LUZIÂNIA</v>
      </c>
      <c r="E231">
        <v>150</v>
      </c>
      <c r="F231" t="s">
        <v>3524</v>
      </c>
      <c r="G231" t="s">
        <v>3402</v>
      </c>
      <c r="H231" t="s">
        <v>3401</v>
      </c>
      <c r="I231">
        <v>5102</v>
      </c>
      <c r="J231" s="3">
        <v>69.900000000000006</v>
      </c>
      <c r="K231" s="3">
        <v>31.29</v>
      </c>
      <c r="L231">
        <v>55.24</v>
      </c>
    </row>
    <row r="232" spans="1:12">
      <c r="A232" s="1">
        <v>46025</v>
      </c>
      <c r="B232" t="s">
        <v>12560</v>
      </c>
      <c r="C232">
        <v>24</v>
      </c>
      <c r="D232" t="str">
        <f>VLOOKUP(Tabela26[[#This Row],[EMP]],[1]LOJA!$A:$B,2,0)</f>
        <v>LUZIÂNIA</v>
      </c>
      <c r="E232">
        <v>150</v>
      </c>
      <c r="F232" t="s">
        <v>3524</v>
      </c>
      <c r="G232" t="s">
        <v>3402</v>
      </c>
      <c r="H232" t="s">
        <v>3401</v>
      </c>
      <c r="I232">
        <v>5405</v>
      </c>
      <c r="J232" s="3">
        <v>210</v>
      </c>
      <c r="K232" s="3">
        <v>106.36</v>
      </c>
      <c r="L232">
        <v>49.35</v>
      </c>
    </row>
    <row r="233" spans="1:12">
      <c r="A233" s="1">
        <v>46025</v>
      </c>
      <c r="B233" t="s">
        <v>12559</v>
      </c>
      <c r="C233">
        <v>24</v>
      </c>
      <c r="D233" t="str">
        <f>VLOOKUP(Tabela26[[#This Row],[EMP]],[1]LOJA!$A:$B,2,0)</f>
        <v>LUZIÂNIA</v>
      </c>
      <c r="E233">
        <v>150</v>
      </c>
      <c r="F233" t="s">
        <v>5426</v>
      </c>
      <c r="G233" t="s">
        <v>5425</v>
      </c>
      <c r="H233" t="s">
        <v>3401</v>
      </c>
      <c r="I233">
        <v>5102</v>
      </c>
      <c r="J233" s="3">
        <v>25</v>
      </c>
      <c r="K233" s="3">
        <v>12.83</v>
      </c>
      <c r="L233">
        <v>48.68</v>
      </c>
    </row>
    <row r="234" spans="1:12">
      <c r="A234" s="1">
        <v>46025</v>
      </c>
      <c r="B234" t="s">
        <v>12558</v>
      </c>
      <c r="C234">
        <v>24</v>
      </c>
      <c r="D234" t="str">
        <f>VLOOKUP(Tabela26[[#This Row],[EMP]],[1]LOJA!$A:$B,2,0)</f>
        <v>LUZIÂNIA</v>
      </c>
      <c r="E234">
        <v>150</v>
      </c>
      <c r="F234" t="s">
        <v>4898</v>
      </c>
      <c r="G234" t="s">
        <v>4897</v>
      </c>
      <c r="H234" t="s">
        <v>3401</v>
      </c>
      <c r="I234">
        <v>5102</v>
      </c>
      <c r="J234" s="3">
        <v>68</v>
      </c>
      <c r="K234" s="3">
        <v>38.46</v>
      </c>
      <c r="L234">
        <v>43.44</v>
      </c>
    </row>
    <row r="235" spans="1:12">
      <c r="A235" s="1">
        <v>46025</v>
      </c>
      <c r="B235" t="s">
        <v>12557</v>
      </c>
      <c r="C235">
        <v>24</v>
      </c>
      <c r="D235" t="str">
        <f>VLOOKUP(Tabela26[[#This Row],[EMP]],[1]LOJA!$A:$B,2,0)</f>
        <v>LUZIÂNIA</v>
      </c>
      <c r="E235">
        <v>150</v>
      </c>
      <c r="F235" t="s">
        <v>4182</v>
      </c>
      <c r="G235" t="s">
        <v>4181</v>
      </c>
      <c r="H235" t="s">
        <v>3401</v>
      </c>
      <c r="I235">
        <v>5405</v>
      </c>
      <c r="J235" s="3">
        <v>263.39999999999998</v>
      </c>
      <c r="K235" s="3">
        <v>177.4</v>
      </c>
      <c r="L235">
        <v>32.65</v>
      </c>
    </row>
    <row r="236" spans="1:12">
      <c r="A236" s="1">
        <v>46025</v>
      </c>
      <c r="B236" t="s">
        <v>12556</v>
      </c>
      <c r="C236">
        <v>24</v>
      </c>
      <c r="D236" t="str">
        <f>VLOOKUP(Tabela26[[#This Row],[EMP]],[1]LOJA!$A:$B,2,0)</f>
        <v>LUZIÂNIA</v>
      </c>
      <c r="E236">
        <v>150</v>
      </c>
      <c r="F236" t="s">
        <v>3524</v>
      </c>
      <c r="G236" t="s">
        <v>3402</v>
      </c>
      <c r="H236" t="s">
        <v>3401</v>
      </c>
      <c r="I236">
        <v>5102</v>
      </c>
      <c r="J236" s="3">
        <v>45</v>
      </c>
      <c r="K236" s="3">
        <v>23.18</v>
      </c>
      <c r="L236">
        <v>48.49</v>
      </c>
    </row>
    <row r="237" spans="1:12">
      <c r="A237" s="1">
        <v>46025</v>
      </c>
      <c r="B237" t="s">
        <v>12555</v>
      </c>
      <c r="C237">
        <v>24</v>
      </c>
      <c r="D237" t="str">
        <f>VLOOKUP(Tabela26[[#This Row],[EMP]],[1]LOJA!$A:$B,2,0)</f>
        <v>LUZIÂNIA</v>
      </c>
      <c r="E237">
        <v>150</v>
      </c>
      <c r="F237" t="s">
        <v>5449</v>
      </c>
      <c r="G237" t="s">
        <v>5448</v>
      </c>
      <c r="H237" t="s">
        <v>3401</v>
      </c>
      <c r="I237">
        <v>5102</v>
      </c>
      <c r="J237" s="3">
        <v>145</v>
      </c>
      <c r="K237" s="3">
        <v>68.41</v>
      </c>
      <c r="L237">
        <v>52.82</v>
      </c>
    </row>
    <row r="238" spans="1:12">
      <c r="A238" s="1">
        <v>46025</v>
      </c>
      <c r="B238" t="s">
        <v>12554</v>
      </c>
      <c r="C238">
        <v>24</v>
      </c>
      <c r="D238" t="str">
        <f>VLOOKUP(Tabela26[[#This Row],[EMP]],[1]LOJA!$A:$B,2,0)</f>
        <v>LUZIÂNIA</v>
      </c>
      <c r="E238">
        <v>150</v>
      </c>
      <c r="F238" t="s">
        <v>3524</v>
      </c>
      <c r="G238" t="s">
        <v>3402</v>
      </c>
      <c r="H238" t="s">
        <v>3401</v>
      </c>
      <c r="I238">
        <v>5102</v>
      </c>
      <c r="J238" s="3">
        <v>9</v>
      </c>
      <c r="K238" s="3">
        <v>6.48</v>
      </c>
      <c r="L238">
        <v>28</v>
      </c>
    </row>
    <row r="239" spans="1:12">
      <c r="A239" s="1">
        <v>46025</v>
      </c>
      <c r="B239" t="s">
        <v>12553</v>
      </c>
      <c r="C239">
        <v>24</v>
      </c>
      <c r="D239" t="str">
        <f>VLOOKUP(Tabela26[[#This Row],[EMP]],[1]LOJA!$A:$B,2,0)</f>
        <v>LUZIÂNIA</v>
      </c>
      <c r="E239">
        <v>150</v>
      </c>
      <c r="F239" t="s">
        <v>3524</v>
      </c>
      <c r="G239" t="s">
        <v>3402</v>
      </c>
      <c r="H239" t="s">
        <v>3401</v>
      </c>
      <c r="I239">
        <v>5102</v>
      </c>
      <c r="J239" s="3">
        <v>120</v>
      </c>
      <c r="K239" s="3">
        <v>58.75</v>
      </c>
      <c r="L239">
        <v>51.04</v>
      </c>
    </row>
    <row r="240" spans="1:12">
      <c r="A240" s="1">
        <v>46025</v>
      </c>
      <c r="B240" t="s">
        <v>12552</v>
      </c>
      <c r="C240">
        <v>24</v>
      </c>
      <c r="D240" t="str">
        <f>VLOOKUP(Tabela26[[#This Row],[EMP]],[1]LOJA!$A:$B,2,0)</f>
        <v>LUZIÂNIA</v>
      </c>
      <c r="E240">
        <v>150</v>
      </c>
      <c r="F240" t="s">
        <v>3524</v>
      </c>
      <c r="G240" t="s">
        <v>3402</v>
      </c>
      <c r="H240" t="s">
        <v>3401</v>
      </c>
      <c r="I240">
        <v>5102</v>
      </c>
      <c r="J240" s="3">
        <v>10</v>
      </c>
      <c r="K240" s="3">
        <v>5.3</v>
      </c>
      <c r="L240">
        <v>47</v>
      </c>
    </row>
    <row r="241" spans="1:12">
      <c r="A241" s="1">
        <v>46025</v>
      </c>
      <c r="B241" t="s">
        <v>12551</v>
      </c>
      <c r="C241">
        <v>24</v>
      </c>
      <c r="D241" t="str">
        <f>VLOOKUP(Tabela26[[#This Row],[EMP]],[1]LOJA!$A:$B,2,0)</f>
        <v>LUZIÂNIA</v>
      </c>
      <c r="E241">
        <v>150</v>
      </c>
      <c r="F241" t="s">
        <v>12550</v>
      </c>
      <c r="G241" t="s">
        <v>3402</v>
      </c>
      <c r="H241" t="s">
        <v>3401</v>
      </c>
      <c r="I241">
        <v>5102</v>
      </c>
      <c r="J241" s="3">
        <v>623.79999999999995</v>
      </c>
      <c r="K241" s="3">
        <v>334.6</v>
      </c>
      <c r="L241">
        <v>46.36</v>
      </c>
    </row>
    <row r="242" spans="1:12">
      <c r="A242" s="1">
        <v>46025</v>
      </c>
      <c r="B242" t="s">
        <v>12549</v>
      </c>
      <c r="C242">
        <v>24</v>
      </c>
      <c r="D242" t="str">
        <f>VLOOKUP(Tabela26[[#This Row],[EMP]],[1]LOJA!$A:$B,2,0)</f>
        <v>LUZIÂNIA</v>
      </c>
      <c r="E242">
        <v>150</v>
      </c>
      <c r="F242" t="s">
        <v>12548</v>
      </c>
      <c r="G242" t="s">
        <v>12547</v>
      </c>
      <c r="H242" t="s">
        <v>3401</v>
      </c>
      <c r="I242">
        <v>5405</v>
      </c>
      <c r="J242" s="3">
        <v>21</v>
      </c>
      <c r="K242" s="3">
        <v>10.35</v>
      </c>
      <c r="L242">
        <v>50.71</v>
      </c>
    </row>
    <row r="243" spans="1:12">
      <c r="A243" s="1">
        <v>46025</v>
      </c>
      <c r="B243" t="s">
        <v>12546</v>
      </c>
      <c r="C243">
        <v>24</v>
      </c>
      <c r="D243" t="str">
        <f>VLOOKUP(Tabela26[[#This Row],[EMP]],[1]LOJA!$A:$B,2,0)</f>
        <v>LUZIÂNIA</v>
      </c>
      <c r="E243">
        <v>150</v>
      </c>
      <c r="F243" t="s">
        <v>3524</v>
      </c>
      <c r="G243" t="s">
        <v>3402</v>
      </c>
      <c r="H243" t="s">
        <v>3401</v>
      </c>
      <c r="I243">
        <v>5102</v>
      </c>
      <c r="J243" s="3">
        <v>15</v>
      </c>
      <c r="K243" s="3">
        <v>6.78</v>
      </c>
      <c r="L243">
        <v>54.8</v>
      </c>
    </row>
    <row r="244" spans="1:12">
      <c r="A244" s="1">
        <v>46025</v>
      </c>
      <c r="B244" t="s">
        <v>12545</v>
      </c>
      <c r="C244">
        <v>24</v>
      </c>
      <c r="D244" t="str">
        <f>VLOOKUP(Tabela26[[#This Row],[EMP]],[1]LOJA!$A:$B,2,0)</f>
        <v>LUZIÂNIA</v>
      </c>
      <c r="E244">
        <v>150</v>
      </c>
      <c r="F244" t="s">
        <v>3524</v>
      </c>
      <c r="G244" t="s">
        <v>3402</v>
      </c>
      <c r="H244" t="s">
        <v>3401</v>
      </c>
      <c r="I244">
        <v>5102</v>
      </c>
      <c r="J244" s="3">
        <v>45</v>
      </c>
      <c r="K244" s="3">
        <v>17.329999999999998</v>
      </c>
      <c r="L244">
        <v>61.49</v>
      </c>
    </row>
    <row r="245" spans="1:12">
      <c r="A245" s="1">
        <v>46025</v>
      </c>
      <c r="B245" t="s">
        <v>12544</v>
      </c>
      <c r="C245">
        <v>24</v>
      </c>
      <c r="D245" t="str">
        <f>VLOOKUP(Tabela26[[#This Row],[EMP]],[1]LOJA!$A:$B,2,0)</f>
        <v>LUZIÂNIA</v>
      </c>
      <c r="E245">
        <v>150</v>
      </c>
      <c r="F245" t="s">
        <v>3524</v>
      </c>
      <c r="G245" t="s">
        <v>3402</v>
      </c>
      <c r="H245" t="s">
        <v>3401</v>
      </c>
      <c r="I245">
        <v>5102</v>
      </c>
      <c r="J245" s="3">
        <v>40</v>
      </c>
      <c r="K245" s="3">
        <v>21.43</v>
      </c>
      <c r="L245">
        <v>46.43</v>
      </c>
    </row>
    <row r="246" spans="1:12">
      <c r="A246" s="1">
        <v>46025</v>
      </c>
      <c r="B246" t="s">
        <v>12543</v>
      </c>
      <c r="C246">
        <v>24</v>
      </c>
      <c r="D246" t="str">
        <f>VLOOKUP(Tabela26[[#This Row],[EMP]],[1]LOJA!$A:$B,2,0)</f>
        <v>LUZIÂNIA</v>
      </c>
      <c r="E246">
        <v>150</v>
      </c>
      <c r="F246" t="s">
        <v>3524</v>
      </c>
      <c r="G246" t="s">
        <v>3402</v>
      </c>
      <c r="H246" t="s">
        <v>3401</v>
      </c>
      <c r="I246">
        <v>5102</v>
      </c>
      <c r="J246" s="3">
        <v>60</v>
      </c>
      <c r="K246" s="3">
        <v>28.26</v>
      </c>
      <c r="L246">
        <v>52.9</v>
      </c>
    </row>
    <row r="247" spans="1:12">
      <c r="A247" s="1">
        <v>46025</v>
      </c>
      <c r="B247" t="s">
        <v>12542</v>
      </c>
      <c r="C247">
        <v>24</v>
      </c>
      <c r="D247" t="str">
        <f>VLOOKUP(Tabela26[[#This Row],[EMP]],[1]LOJA!$A:$B,2,0)</f>
        <v>LUZIÂNIA</v>
      </c>
      <c r="E247">
        <v>150</v>
      </c>
      <c r="F247" t="s">
        <v>3524</v>
      </c>
      <c r="G247" t="s">
        <v>3402</v>
      </c>
      <c r="H247" t="s">
        <v>3401</v>
      </c>
      <c r="I247">
        <v>5102</v>
      </c>
      <c r="J247" s="3">
        <v>36</v>
      </c>
      <c r="K247" s="3">
        <v>18.22</v>
      </c>
      <c r="L247">
        <v>49.39</v>
      </c>
    </row>
    <row r="248" spans="1:12">
      <c r="A248" s="1">
        <v>46025</v>
      </c>
      <c r="B248" t="s">
        <v>12541</v>
      </c>
      <c r="C248">
        <v>24</v>
      </c>
      <c r="D248" t="str">
        <f>VLOOKUP(Tabela26[[#This Row],[EMP]],[1]LOJA!$A:$B,2,0)</f>
        <v>LUZIÂNIA</v>
      </c>
      <c r="E248">
        <v>150</v>
      </c>
      <c r="F248" t="s">
        <v>4832</v>
      </c>
      <c r="G248" t="s">
        <v>4831</v>
      </c>
      <c r="H248" t="s">
        <v>3401</v>
      </c>
      <c r="I248">
        <v>5405</v>
      </c>
      <c r="J248" s="3">
        <v>116</v>
      </c>
      <c r="K248" s="3">
        <v>61.76</v>
      </c>
      <c r="L248">
        <v>46.76</v>
      </c>
    </row>
    <row r="249" spans="1:12">
      <c r="A249" s="1">
        <v>46025</v>
      </c>
      <c r="B249" t="s">
        <v>12540</v>
      </c>
      <c r="C249">
        <v>12</v>
      </c>
      <c r="D249" t="str">
        <f>VLOOKUP(Tabela26[[#This Row],[EMP]],[1]LOJA!$A:$B,2,0)</f>
        <v>SOFNORTE</v>
      </c>
      <c r="E249">
        <v>239</v>
      </c>
      <c r="F249" t="s">
        <v>4156</v>
      </c>
      <c r="G249" t="s">
        <v>4155</v>
      </c>
      <c r="H249" t="s">
        <v>7916</v>
      </c>
      <c r="I249">
        <v>5102</v>
      </c>
      <c r="J249" s="3">
        <v>202.42</v>
      </c>
      <c r="K249" s="3">
        <v>107.21</v>
      </c>
      <c r="L249">
        <v>47.04</v>
      </c>
    </row>
    <row r="250" spans="1:12">
      <c r="A250" s="1">
        <v>46025</v>
      </c>
      <c r="B250" t="s">
        <v>12539</v>
      </c>
      <c r="C250">
        <v>13</v>
      </c>
      <c r="D250" t="str">
        <f>VLOOKUP(Tabela26[[#This Row],[EMP]],[1]LOJA!$A:$B,2,0)</f>
        <v>CEILÂNDIA</v>
      </c>
      <c r="E250">
        <v>86</v>
      </c>
      <c r="F250" t="s">
        <v>5339</v>
      </c>
      <c r="G250" t="s">
        <v>5338</v>
      </c>
      <c r="H250" t="s">
        <v>3408</v>
      </c>
      <c r="I250">
        <v>5405</v>
      </c>
      <c r="J250" s="3">
        <v>1778.94</v>
      </c>
      <c r="K250" s="3">
        <v>1094.1400000000001</v>
      </c>
      <c r="L250">
        <v>38.49</v>
      </c>
    </row>
    <row r="251" spans="1:12">
      <c r="A251" s="1">
        <v>46025</v>
      </c>
      <c r="B251" t="s">
        <v>8239</v>
      </c>
      <c r="C251">
        <v>15</v>
      </c>
      <c r="D251" t="str">
        <f>VLOOKUP(Tabela26[[#This Row],[EMP]],[1]LOJA!$A:$B,2,0)</f>
        <v>UNAÍ</v>
      </c>
      <c r="E251">
        <v>183</v>
      </c>
      <c r="F251" t="s">
        <v>4029</v>
      </c>
      <c r="G251" t="s">
        <v>4028</v>
      </c>
      <c r="H251" t="s">
        <v>3401</v>
      </c>
      <c r="I251">
        <v>5405</v>
      </c>
      <c r="J251" s="3">
        <v>338.95</v>
      </c>
      <c r="K251" s="3">
        <v>166.43</v>
      </c>
      <c r="L251">
        <v>50.9</v>
      </c>
    </row>
    <row r="252" spans="1:12">
      <c r="A252" s="1">
        <v>46025</v>
      </c>
      <c r="B252" t="s">
        <v>8238</v>
      </c>
      <c r="C252">
        <v>15</v>
      </c>
      <c r="D252" t="str">
        <f>VLOOKUP(Tabela26[[#This Row],[EMP]],[1]LOJA!$A:$B,2,0)</f>
        <v>UNAÍ</v>
      </c>
      <c r="E252">
        <v>183</v>
      </c>
      <c r="F252" t="s">
        <v>9629</v>
      </c>
      <c r="G252" t="s">
        <v>9628</v>
      </c>
      <c r="H252" t="s">
        <v>3401</v>
      </c>
      <c r="I252">
        <v>5102</v>
      </c>
      <c r="J252" s="3">
        <v>49.4</v>
      </c>
      <c r="K252" s="3">
        <v>29.77</v>
      </c>
      <c r="L252">
        <v>39.74</v>
      </c>
    </row>
    <row r="253" spans="1:12">
      <c r="A253" s="1">
        <v>46025</v>
      </c>
      <c r="B253" t="s">
        <v>8236</v>
      </c>
      <c r="C253">
        <v>15</v>
      </c>
      <c r="D253" t="str">
        <f>VLOOKUP(Tabela26[[#This Row],[EMP]],[1]LOJA!$A:$B,2,0)</f>
        <v>UNAÍ</v>
      </c>
      <c r="E253">
        <v>183</v>
      </c>
      <c r="F253" t="s">
        <v>3485</v>
      </c>
      <c r="G253" t="s">
        <v>3402</v>
      </c>
      <c r="H253" t="s">
        <v>3401</v>
      </c>
      <c r="I253">
        <v>5102</v>
      </c>
      <c r="J253" s="3">
        <v>117.89</v>
      </c>
      <c r="K253" s="3">
        <v>56.74</v>
      </c>
      <c r="L253">
        <v>51.87</v>
      </c>
    </row>
    <row r="254" spans="1:12">
      <c r="A254" s="1">
        <v>46025</v>
      </c>
      <c r="B254" t="s">
        <v>8235</v>
      </c>
      <c r="C254">
        <v>15</v>
      </c>
      <c r="D254" t="str">
        <f>VLOOKUP(Tabela26[[#This Row],[EMP]],[1]LOJA!$A:$B,2,0)</f>
        <v>UNAÍ</v>
      </c>
      <c r="E254">
        <v>183</v>
      </c>
      <c r="F254" t="s">
        <v>3485</v>
      </c>
      <c r="G254" t="s">
        <v>3402</v>
      </c>
      <c r="H254" t="s">
        <v>3401</v>
      </c>
      <c r="I254">
        <v>5102</v>
      </c>
      <c r="J254" s="3">
        <v>109.2</v>
      </c>
      <c r="K254" s="3">
        <v>57.91</v>
      </c>
      <c r="L254">
        <v>46.97</v>
      </c>
    </row>
    <row r="255" spans="1:12">
      <c r="A255" s="1">
        <v>46025</v>
      </c>
      <c r="B255" t="s">
        <v>7820</v>
      </c>
      <c r="C255">
        <v>15</v>
      </c>
      <c r="D255" t="str">
        <f>VLOOKUP(Tabela26[[#This Row],[EMP]],[1]LOJA!$A:$B,2,0)</f>
        <v>UNAÍ</v>
      </c>
      <c r="E255">
        <v>183</v>
      </c>
      <c r="F255" t="s">
        <v>3485</v>
      </c>
      <c r="G255" t="s">
        <v>3402</v>
      </c>
      <c r="H255" t="s">
        <v>3401</v>
      </c>
      <c r="I255">
        <v>5102</v>
      </c>
      <c r="J255" s="3">
        <v>19.2</v>
      </c>
      <c r="K255" s="3">
        <v>8.9</v>
      </c>
      <c r="L255">
        <v>53.65</v>
      </c>
    </row>
    <row r="256" spans="1:12">
      <c r="A256" s="1">
        <v>46025</v>
      </c>
      <c r="B256" t="s">
        <v>7819</v>
      </c>
      <c r="C256">
        <v>15</v>
      </c>
      <c r="D256" t="str">
        <f>VLOOKUP(Tabela26[[#This Row],[EMP]],[1]LOJA!$A:$B,2,0)</f>
        <v>UNAÍ</v>
      </c>
      <c r="E256">
        <v>183</v>
      </c>
      <c r="F256" t="s">
        <v>4720</v>
      </c>
      <c r="G256" t="s">
        <v>4719</v>
      </c>
      <c r="H256" t="s">
        <v>3520</v>
      </c>
      <c r="I256">
        <v>5102</v>
      </c>
      <c r="J256" s="3">
        <v>58</v>
      </c>
      <c r="K256" s="3">
        <v>28.5</v>
      </c>
      <c r="L256">
        <v>50.86</v>
      </c>
    </row>
    <row r="257" spans="1:12">
      <c r="A257" s="1">
        <v>46025</v>
      </c>
      <c r="B257" t="s">
        <v>7818</v>
      </c>
      <c r="C257">
        <v>15</v>
      </c>
      <c r="D257" t="str">
        <f>VLOOKUP(Tabela26[[#This Row],[EMP]],[1]LOJA!$A:$B,2,0)</f>
        <v>UNAÍ</v>
      </c>
      <c r="E257">
        <v>183</v>
      </c>
      <c r="F257" t="s">
        <v>3485</v>
      </c>
      <c r="G257" t="s">
        <v>3402</v>
      </c>
      <c r="H257" t="s">
        <v>3401</v>
      </c>
      <c r="I257">
        <v>5102</v>
      </c>
      <c r="J257" s="3">
        <v>326</v>
      </c>
      <c r="K257" s="3">
        <v>140.27000000000001</v>
      </c>
      <c r="L257">
        <v>56.97</v>
      </c>
    </row>
    <row r="258" spans="1:12">
      <c r="A258" s="1">
        <v>46025</v>
      </c>
      <c r="B258" t="s">
        <v>7817</v>
      </c>
      <c r="C258">
        <v>15</v>
      </c>
      <c r="D258" t="str">
        <f>VLOOKUP(Tabela26[[#This Row],[EMP]],[1]LOJA!$A:$B,2,0)</f>
        <v>UNAÍ</v>
      </c>
      <c r="E258">
        <v>183</v>
      </c>
      <c r="F258" t="s">
        <v>3485</v>
      </c>
      <c r="G258" t="s">
        <v>3402</v>
      </c>
      <c r="H258" t="s">
        <v>3401</v>
      </c>
      <c r="I258">
        <v>5102</v>
      </c>
      <c r="J258" s="3">
        <v>84.5</v>
      </c>
      <c r="K258" s="3">
        <v>44.1</v>
      </c>
      <c r="L258">
        <v>47.81</v>
      </c>
    </row>
    <row r="259" spans="1:12">
      <c r="A259" s="1">
        <v>46025</v>
      </c>
      <c r="B259" t="s">
        <v>7816</v>
      </c>
      <c r="C259">
        <v>15</v>
      </c>
      <c r="D259" t="str">
        <f>VLOOKUP(Tabela26[[#This Row],[EMP]],[1]LOJA!$A:$B,2,0)</f>
        <v>UNAÍ</v>
      </c>
      <c r="E259">
        <v>183</v>
      </c>
      <c r="F259" t="s">
        <v>3485</v>
      </c>
      <c r="G259" t="s">
        <v>3402</v>
      </c>
      <c r="H259" t="s">
        <v>3401</v>
      </c>
      <c r="I259">
        <v>5102</v>
      </c>
      <c r="J259" s="3">
        <v>430</v>
      </c>
      <c r="K259" s="3">
        <v>219.02</v>
      </c>
      <c r="L259">
        <v>49.07</v>
      </c>
    </row>
    <row r="260" spans="1:12">
      <c r="A260" s="1">
        <v>46025</v>
      </c>
      <c r="B260" t="s">
        <v>7815</v>
      </c>
      <c r="C260">
        <v>15</v>
      </c>
      <c r="D260" t="str">
        <f>VLOOKUP(Tabela26[[#This Row],[EMP]],[1]LOJA!$A:$B,2,0)</f>
        <v>UNAÍ</v>
      </c>
      <c r="E260">
        <v>183</v>
      </c>
      <c r="F260" t="s">
        <v>3485</v>
      </c>
      <c r="G260" t="s">
        <v>3402</v>
      </c>
      <c r="H260" t="s">
        <v>3401</v>
      </c>
      <c r="I260">
        <v>5102</v>
      </c>
      <c r="J260" s="3">
        <v>127.75</v>
      </c>
      <c r="K260" s="3">
        <v>62.77</v>
      </c>
      <c r="L260">
        <v>50.86</v>
      </c>
    </row>
    <row r="261" spans="1:12">
      <c r="A261" s="1">
        <v>46025</v>
      </c>
      <c r="B261" t="s">
        <v>12538</v>
      </c>
      <c r="C261">
        <v>6</v>
      </c>
      <c r="D261" t="str">
        <f>VLOOKUP(Tabela26[[#This Row],[EMP]],[1]LOJA!$A:$B,2,0)</f>
        <v>GAMA</v>
      </c>
      <c r="E261">
        <v>245</v>
      </c>
      <c r="F261" t="s">
        <v>12537</v>
      </c>
      <c r="G261" t="s">
        <v>12536</v>
      </c>
      <c r="H261" t="s">
        <v>3401</v>
      </c>
      <c r="I261">
        <v>5405</v>
      </c>
      <c r="J261" s="3">
        <v>2000</v>
      </c>
      <c r="K261" s="3">
        <v>1327.3</v>
      </c>
      <c r="L261">
        <v>33.64</v>
      </c>
    </row>
    <row r="262" spans="1:12">
      <c r="A262" s="1">
        <v>46025</v>
      </c>
      <c r="B262" t="s">
        <v>12535</v>
      </c>
      <c r="C262">
        <v>6</v>
      </c>
      <c r="D262" t="str">
        <f>VLOOKUP(Tabela26[[#This Row],[EMP]],[1]LOJA!$A:$B,2,0)</f>
        <v>GAMA</v>
      </c>
      <c r="E262">
        <v>245</v>
      </c>
      <c r="F262" t="s">
        <v>6827</v>
      </c>
      <c r="G262" t="s">
        <v>6826</v>
      </c>
      <c r="H262" t="s">
        <v>3430</v>
      </c>
      <c r="I262">
        <v>5405</v>
      </c>
      <c r="J262" s="3">
        <v>92.39</v>
      </c>
      <c r="K262" s="3">
        <v>45.59</v>
      </c>
      <c r="L262">
        <v>50.65</v>
      </c>
    </row>
    <row r="263" spans="1:12">
      <c r="A263" s="1">
        <v>46025</v>
      </c>
      <c r="B263" t="s">
        <v>12534</v>
      </c>
      <c r="C263">
        <v>14</v>
      </c>
      <c r="D263" t="str">
        <f>VLOOKUP(Tabela26[[#This Row],[EMP]],[1]LOJA!$A:$B,2,0)</f>
        <v>S IA</v>
      </c>
      <c r="E263">
        <v>54</v>
      </c>
      <c r="F263" t="s">
        <v>9892</v>
      </c>
      <c r="G263" t="s">
        <v>3402</v>
      </c>
      <c r="H263" t="s">
        <v>3408</v>
      </c>
      <c r="I263">
        <v>5102</v>
      </c>
      <c r="J263" s="3">
        <v>22</v>
      </c>
      <c r="K263" s="3">
        <v>11.63</v>
      </c>
      <c r="L263">
        <v>47.14</v>
      </c>
    </row>
    <row r="264" spans="1:12">
      <c r="A264" s="1">
        <v>46025</v>
      </c>
      <c r="B264" t="s">
        <v>12533</v>
      </c>
      <c r="C264">
        <v>14</v>
      </c>
      <c r="D264" t="str">
        <f>VLOOKUP(Tabela26[[#This Row],[EMP]],[1]LOJA!$A:$B,2,0)</f>
        <v>S IA</v>
      </c>
      <c r="E264">
        <v>54</v>
      </c>
      <c r="F264" t="s">
        <v>3403</v>
      </c>
      <c r="G264" t="s">
        <v>3402</v>
      </c>
      <c r="H264" t="s">
        <v>3401</v>
      </c>
      <c r="I264">
        <v>5102</v>
      </c>
      <c r="J264" s="3">
        <v>121.2</v>
      </c>
      <c r="K264" s="3">
        <v>76.819999999999993</v>
      </c>
      <c r="L264">
        <v>36.619999999999997</v>
      </c>
    </row>
    <row r="265" spans="1:12">
      <c r="A265" s="1">
        <v>46025</v>
      </c>
      <c r="B265" t="s">
        <v>12532</v>
      </c>
      <c r="C265">
        <v>14</v>
      </c>
      <c r="D265" t="str">
        <f>VLOOKUP(Tabela26[[#This Row],[EMP]],[1]LOJA!$A:$B,2,0)</f>
        <v>S IA</v>
      </c>
      <c r="E265">
        <v>54</v>
      </c>
      <c r="F265" t="s">
        <v>3403</v>
      </c>
      <c r="G265" t="s">
        <v>3402</v>
      </c>
      <c r="H265" t="s">
        <v>3401</v>
      </c>
      <c r="I265">
        <v>5102</v>
      </c>
      <c r="J265" s="3">
        <v>38.5</v>
      </c>
      <c r="K265" s="3">
        <v>22.53</v>
      </c>
      <c r="L265">
        <v>41.48</v>
      </c>
    </row>
    <row r="266" spans="1:12">
      <c r="A266" s="1">
        <v>46025</v>
      </c>
      <c r="B266" t="s">
        <v>12531</v>
      </c>
      <c r="C266">
        <v>14</v>
      </c>
      <c r="D266" t="str">
        <f>VLOOKUP(Tabela26[[#This Row],[EMP]],[1]LOJA!$A:$B,2,0)</f>
        <v>S IA</v>
      </c>
      <c r="E266">
        <v>54</v>
      </c>
      <c r="F266" t="s">
        <v>3403</v>
      </c>
      <c r="G266" t="s">
        <v>3402</v>
      </c>
      <c r="H266" t="s">
        <v>3401</v>
      </c>
      <c r="I266">
        <v>5102</v>
      </c>
      <c r="J266" s="3">
        <v>32.18</v>
      </c>
      <c r="K266" s="3">
        <v>15.32</v>
      </c>
      <c r="L266">
        <v>52.39</v>
      </c>
    </row>
    <row r="267" spans="1:12">
      <c r="A267" s="1">
        <v>46025</v>
      </c>
      <c r="B267" t="s">
        <v>12530</v>
      </c>
      <c r="C267">
        <v>14</v>
      </c>
      <c r="D267" t="str">
        <f>VLOOKUP(Tabela26[[#This Row],[EMP]],[1]LOJA!$A:$B,2,0)</f>
        <v>S IA</v>
      </c>
      <c r="E267">
        <v>54</v>
      </c>
      <c r="F267" t="s">
        <v>3403</v>
      </c>
      <c r="G267" t="s">
        <v>3402</v>
      </c>
      <c r="H267" t="s">
        <v>3401</v>
      </c>
      <c r="I267">
        <v>5102</v>
      </c>
      <c r="J267" s="3">
        <v>75</v>
      </c>
      <c r="K267" s="3">
        <v>30.35</v>
      </c>
      <c r="L267">
        <v>59.53</v>
      </c>
    </row>
    <row r="268" spans="1:12">
      <c r="A268" s="1">
        <v>46025</v>
      </c>
      <c r="B268" t="s">
        <v>12529</v>
      </c>
      <c r="C268">
        <v>14</v>
      </c>
      <c r="D268" t="str">
        <f>VLOOKUP(Tabela26[[#This Row],[EMP]],[1]LOJA!$A:$B,2,0)</f>
        <v>S IA</v>
      </c>
      <c r="E268">
        <v>54</v>
      </c>
      <c r="F268" t="s">
        <v>11909</v>
      </c>
      <c r="G268" t="s">
        <v>3402</v>
      </c>
      <c r="H268" t="s">
        <v>3408</v>
      </c>
      <c r="I268">
        <v>5405</v>
      </c>
      <c r="J268" s="3">
        <v>63.84</v>
      </c>
      <c r="K268" s="3">
        <v>35.72</v>
      </c>
      <c r="L268">
        <v>44.05</v>
      </c>
    </row>
    <row r="269" spans="1:12">
      <c r="A269" s="1">
        <v>46025</v>
      </c>
      <c r="B269" t="s">
        <v>12528</v>
      </c>
      <c r="C269">
        <v>14</v>
      </c>
      <c r="D269" t="str">
        <f>VLOOKUP(Tabela26[[#This Row],[EMP]],[1]LOJA!$A:$B,2,0)</f>
        <v>S IA</v>
      </c>
      <c r="E269">
        <v>54</v>
      </c>
      <c r="F269" t="s">
        <v>3403</v>
      </c>
      <c r="G269" t="s">
        <v>3402</v>
      </c>
      <c r="H269" t="s">
        <v>3401</v>
      </c>
      <c r="I269">
        <v>5102</v>
      </c>
      <c r="J269" s="3">
        <v>44</v>
      </c>
      <c r="K269" s="3">
        <v>23.9</v>
      </c>
      <c r="L269">
        <v>45.68</v>
      </c>
    </row>
    <row r="270" spans="1:12">
      <c r="A270" s="1">
        <v>46025</v>
      </c>
      <c r="B270" t="s">
        <v>12527</v>
      </c>
      <c r="C270">
        <v>15</v>
      </c>
      <c r="D270" t="str">
        <f>VLOOKUP(Tabela26[[#This Row],[EMP]],[1]LOJA!$A:$B,2,0)</f>
        <v>UNAÍ</v>
      </c>
      <c r="E270">
        <v>183</v>
      </c>
      <c r="F270" t="s">
        <v>3957</v>
      </c>
      <c r="G270" t="s">
        <v>3956</v>
      </c>
      <c r="H270" t="s">
        <v>3401</v>
      </c>
      <c r="I270">
        <v>5102</v>
      </c>
      <c r="J270" s="3">
        <v>57</v>
      </c>
      <c r="K270" s="3">
        <v>28.42</v>
      </c>
      <c r="L270">
        <v>50.14</v>
      </c>
    </row>
    <row r="271" spans="1:12">
      <c r="A271" s="1">
        <v>46025</v>
      </c>
      <c r="B271" t="s">
        <v>12526</v>
      </c>
      <c r="C271">
        <v>22</v>
      </c>
      <c r="D271" t="str">
        <f>VLOOKUP(Tabela26[[#This Row],[EMP]],[1]LOJA!$A:$B,2,0)</f>
        <v>GUARÁ</v>
      </c>
      <c r="E271">
        <v>93</v>
      </c>
      <c r="F271" t="s">
        <v>3403</v>
      </c>
      <c r="G271" t="s">
        <v>3402</v>
      </c>
      <c r="H271" t="s">
        <v>3401</v>
      </c>
      <c r="I271">
        <v>5405</v>
      </c>
      <c r="J271" s="3">
        <v>34</v>
      </c>
      <c r="K271" s="3">
        <v>15.17</v>
      </c>
      <c r="L271">
        <v>55.38</v>
      </c>
    </row>
    <row r="272" spans="1:12">
      <c r="A272" s="1">
        <v>46025</v>
      </c>
      <c r="B272" t="s">
        <v>12525</v>
      </c>
      <c r="C272">
        <v>22</v>
      </c>
      <c r="D272" t="str">
        <f>VLOOKUP(Tabela26[[#This Row],[EMP]],[1]LOJA!$A:$B,2,0)</f>
        <v>GUARÁ</v>
      </c>
      <c r="E272">
        <v>93</v>
      </c>
      <c r="F272" t="s">
        <v>3870</v>
      </c>
      <c r="G272" t="s">
        <v>3869</v>
      </c>
      <c r="H272" t="s">
        <v>3401</v>
      </c>
      <c r="I272">
        <v>5405</v>
      </c>
      <c r="J272" s="3">
        <v>36</v>
      </c>
      <c r="K272" s="3">
        <v>16.940000000000001</v>
      </c>
      <c r="L272">
        <v>52.94</v>
      </c>
    </row>
    <row r="273" spans="1:12">
      <c r="A273" s="1">
        <v>46025</v>
      </c>
      <c r="B273" t="s">
        <v>12524</v>
      </c>
      <c r="C273">
        <v>22</v>
      </c>
      <c r="D273" t="str">
        <f>VLOOKUP(Tabela26[[#This Row],[EMP]],[1]LOJA!$A:$B,2,0)</f>
        <v>GUARÁ</v>
      </c>
      <c r="E273">
        <v>93</v>
      </c>
      <c r="F273" t="s">
        <v>3403</v>
      </c>
      <c r="G273" t="s">
        <v>3402</v>
      </c>
      <c r="H273" t="s">
        <v>3401</v>
      </c>
      <c r="I273">
        <v>5405</v>
      </c>
      <c r="J273" s="3">
        <v>155</v>
      </c>
      <c r="K273" s="3">
        <v>71.28</v>
      </c>
      <c r="L273">
        <v>54.01</v>
      </c>
    </row>
    <row r="274" spans="1:12">
      <c r="A274" s="1">
        <v>46025</v>
      </c>
      <c r="B274" t="s">
        <v>12523</v>
      </c>
      <c r="C274">
        <v>22</v>
      </c>
      <c r="D274" t="str">
        <f>VLOOKUP(Tabela26[[#This Row],[EMP]],[1]LOJA!$A:$B,2,0)</f>
        <v>GUARÁ</v>
      </c>
      <c r="E274">
        <v>93</v>
      </c>
      <c r="F274" t="s">
        <v>3403</v>
      </c>
      <c r="G274" t="s">
        <v>3402</v>
      </c>
      <c r="H274" t="s">
        <v>3401</v>
      </c>
      <c r="I274">
        <v>5405</v>
      </c>
      <c r="J274" s="3">
        <v>40</v>
      </c>
      <c r="K274" s="3">
        <v>20.74</v>
      </c>
      <c r="L274">
        <v>48.15</v>
      </c>
    </row>
    <row r="275" spans="1:12">
      <c r="A275" s="1">
        <v>46025</v>
      </c>
      <c r="B275" t="s">
        <v>12522</v>
      </c>
      <c r="C275">
        <v>22</v>
      </c>
      <c r="D275" t="str">
        <f>VLOOKUP(Tabela26[[#This Row],[EMP]],[1]LOJA!$A:$B,2,0)</f>
        <v>GUARÁ</v>
      </c>
      <c r="E275">
        <v>93</v>
      </c>
      <c r="F275" t="s">
        <v>3403</v>
      </c>
      <c r="G275" t="s">
        <v>3402</v>
      </c>
      <c r="H275" t="s">
        <v>3401</v>
      </c>
      <c r="I275">
        <v>5405</v>
      </c>
      <c r="J275" s="3">
        <v>60</v>
      </c>
      <c r="K275" s="3">
        <v>31.57</v>
      </c>
      <c r="L275">
        <v>47.38</v>
      </c>
    </row>
    <row r="276" spans="1:12">
      <c r="A276" s="1">
        <v>46025</v>
      </c>
      <c r="B276" t="s">
        <v>12521</v>
      </c>
      <c r="C276">
        <v>22</v>
      </c>
      <c r="D276" t="str">
        <f>VLOOKUP(Tabela26[[#This Row],[EMP]],[1]LOJA!$A:$B,2,0)</f>
        <v>GUARÁ</v>
      </c>
      <c r="E276">
        <v>93</v>
      </c>
      <c r="F276" t="s">
        <v>3403</v>
      </c>
      <c r="G276" t="s">
        <v>3402</v>
      </c>
      <c r="H276" t="s">
        <v>3401</v>
      </c>
      <c r="I276">
        <v>5102</v>
      </c>
      <c r="J276" s="3">
        <v>20</v>
      </c>
      <c r="K276" s="3">
        <v>9.4600000000000009</v>
      </c>
      <c r="L276">
        <v>52.7</v>
      </c>
    </row>
    <row r="277" spans="1:12">
      <c r="A277" s="1">
        <v>46025</v>
      </c>
      <c r="B277" t="s">
        <v>12520</v>
      </c>
      <c r="C277">
        <v>22</v>
      </c>
      <c r="D277" t="str">
        <f>VLOOKUP(Tabela26[[#This Row],[EMP]],[1]LOJA!$A:$B,2,0)</f>
        <v>GUARÁ</v>
      </c>
      <c r="E277">
        <v>93</v>
      </c>
      <c r="F277" t="s">
        <v>3403</v>
      </c>
      <c r="G277" t="s">
        <v>3402</v>
      </c>
      <c r="H277" t="s">
        <v>3401</v>
      </c>
      <c r="I277">
        <v>5405</v>
      </c>
      <c r="J277" s="3">
        <v>112</v>
      </c>
      <c r="K277" s="3">
        <v>47.8</v>
      </c>
      <c r="L277">
        <v>57.32</v>
      </c>
    </row>
    <row r="278" spans="1:12">
      <c r="A278" s="1">
        <v>46025</v>
      </c>
      <c r="B278" t="s">
        <v>12519</v>
      </c>
      <c r="C278">
        <v>22</v>
      </c>
      <c r="D278" t="str">
        <f>VLOOKUP(Tabela26[[#This Row],[EMP]],[1]LOJA!$A:$B,2,0)</f>
        <v>GUARÁ</v>
      </c>
      <c r="E278">
        <v>93</v>
      </c>
      <c r="F278" t="s">
        <v>5212</v>
      </c>
      <c r="G278" t="s">
        <v>5211</v>
      </c>
      <c r="H278" t="s">
        <v>3408</v>
      </c>
      <c r="I278">
        <v>5102</v>
      </c>
      <c r="J278" s="3">
        <v>58</v>
      </c>
      <c r="K278" s="3">
        <v>32.83</v>
      </c>
      <c r="L278">
        <v>43.4</v>
      </c>
    </row>
    <row r="279" spans="1:12">
      <c r="A279" s="1">
        <v>46025</v>
      </c>
      <c r="B279" t="s">
        <v>12518</v>
      </c>
      <c r="C279">
        <v>22</v>
      </c>
      <c r="D279" t="str">
        <f>VLOOKUP(Tabela26[[#This Row],[EMP]],[1]LOJA!$A:$B,2,0)</f>
        <v>GUARÁ</v>
      </c>
      <c r="E279">
        <v>93</v>
      </c>
      <c r="F279" t="s">
        <v>3403</v>
      </c>
      <c r="G279" t="s">
        <v>3402</v>
      </c>
      <c r="H279" t="s">
        <v>3401</v>
      </c>
      <c r="I279">
        <v>5102</v>
      </c>
      <c r="J279" s="3">
        <v>7</v>
      </c>
      <c r="K279" s="3">
        <v>3.7</v>
      </c>
      <c r="L279">
        <v>47.14</v>
      </c>
    </row>
    <row r="280" spans="1:12">
      <c r="A280" s="1">
        <v>46025</v>
      </c>
      <c r="B280" t="s">
        <v>12517</v>
      </c>
      <c r="C280">
        <v>22</v>
      </c>
      <c r="D280" t="str">
        <f>VLOOKUP(Tabela26[[#This Row],[EMP]],[1]LOJA!$A:$B,2,0)</f>
        <v>GUARÁ</v>
      </c>
      <c r="E280">
        <v>93</v>
      </c>
      <c r="F280" t="s">
        <v>4615</v>
      </c>
      <c r="G280" t="s">
        <v>4614</v>
      </c>
      <c r="H280" t="s">
        <v>3401</v>
      </c>
      <c r="I280">
        <v>5405</v>
      </c>
      <c r="J280" s="3">
        <v>88</v>
      </c>
      <c r="K280" s="3">
        <v>43.93</v>
      </c>
      <c r="L280">
        <v>50.08</v>
      </c>
    </row>
    <row r="281" spans="1:12">
      <c r="A281" s="1">
        <v>46025</v>
      </c>
      <c r="B281" t="s">
        <v>12516</v>
      </c>
      <c r="C281">
        <v>22</v>
      </c>
      <c r="D281" t="str">
        <f>VLOOKUP(Tabela26[[#This Row],[EMP]],[1]LOJA!$A:$B,2,0)</f>
        <v>GUARÁ</v>
      </c>
      <c r="E281">
        <v>93</v>
      </c>
      <c r="F281" t="s">
        <v>3403</v>
      </c>
      <c r="G281" t="s">
        <v>3402</v>
      </c>
      <c r="H281" t="s">
        <v>3401</v>
      </c>
      <c r="I281">
        <v>5102</v>
      </c>
      <c r="J281" s="3">
        <v>34</v>
      </c>
      <c r="K281" s="3">
        <v>21.83</v>
      </c>
      <c r="L281">
        <v>35.79</v>
      </c>
    </row>
    <row r="282" spans="1:12">
      <c r="A282" s="1">
        <v>46025</v>
      </c>
      <c r="B282" t="s">
        <v>12515</v>
      </c>
      <c r="C282">
        <v>22</v>
      </c>
      <c r="D282" t="str">
        <f>VLOOKUP(Tabela26[[#This Row],[EMP]],[1]LOJA!$A:$B,2,0)</f>
        <v>GUARÁ</v>
      </c>
      <c r="E282">
        <v>93</v>
      </c>
      <c r="F282" t="s">
        <v>3403</v>
      </c>
      <c r="G282" t="s">
        <v>3402</v>
      </c>
      <c r="H282" t="s">
        <v>3401</v>
      </c>
      <c r="I282">
        <v>5405</v>
      </c>
      <c r="J282" s="3">
        <v>28</v>
      </c>
      <c r="K282" s="3">
        <v>12.04</v>
      </c>
      <c r="L282">
        <v>57</v>
      </c>
    </row>
    <row r="283" spans="1:12">
      <c r="A283" s="1">
        <v>46025</v>
      </c>
      <c r="B283" t="s">
        <v>12514</v>
      </c>
      <c r="C283">
        <v>22</v>
      </c>
      <c r="D283" t="str">
        <f>VLOOKUP(Tabela26[[#This Row],[EMP]],[1]LOJA!$A:$B,2,0)</f>
        <v>GUARÁ</v>
      </c>
      <c r="E283">
        <v>93</v>
      </c>
      <c r="F283" t="s">
        <v>3403</v>
      </c>
      <c r="G283" t="s">
        <v>3402</v>
      </c>
      <c r="H283" t="s">
        <v>3401</v>
      </c>
      <c r="I283">
        <v>5102</v>
      </c>
      <c r="J283" s="3">
        <v>52.5</v>
      </c>
      <c r="K283" s="3">
        <v>25.41</v>
      </c>
      <c r="L283">
        <v>51.6</v>
      </c>
    </row>
    <row r="284" spans="1:12">
      <c r="A284" s="1">
        <v>46025</v>
      </c>
      <c r="B284" t="s">
        <v>12513</v>
      </c>
      <c r="C284">
        <v>12</v>
      </c>
      <c r="D284" t="str">
        <f>VLOOKUP(Tabela26[[#This Row],[EMP]],[1]LOJA!$A:$B,2,0)</f>
        <v>SOFNORTE</v>
      </c>
      <c r="E284">
        <v>239</v>
      </c>
      <c r="F284" t="s">
        <v>3925</v>
      </c>
      <c r="G284" t="s">
        <v>3924</v>
      </c>
      <c r="H284" t="s">
        <v>3430</v>
      </c>
      <c r="I284">
        <v>5102</v>
      </c>
      <c r="J284" s="3">
        <v>195.7</v>
      </c>
      <c r="K284" s="3">
        <v>105.52</v>
      </c>
      <c r="L284">
        <v>46.08</v>
      </c>
    </row>
    <row r="285" spans="1:12">
      <c r="A285" s="1">
        <v>46025</v>
      </c>
      <c r="B285" t="s">
        <v>12512</v>
      </c>
      <c r="C285">
        <v>4</v>
      </c>
      <c r="D285" t="str">
        <f>VLOOKUP(Tabela26[[#This Row],[EMP]],[1]LOJA!$A:$B,2,0)</f>
        <v>ADE</v>
      </c>
      <c r="E285">
        <v>132</v>
      </c>
      <c r="F285" t="s">
        <v>3403</v>
      </c>
      <c r="G285" t="s">
        <v>12511</v>
      </c>
      <c r="H285" t="s">
        <v>3401</v>
      </c>
      <c r="I285">
        <v>5102</v>
      </c>
      <c r="J285" s="3">
        <v>547</v>
      </c>
      <c r="K285" s="3">
        <v>314.38</v>
      </c>
      <c r="L285">
        <v>42.53</v>
      </c>
    </row>
    <row r="286" spans="1:12">
      <c r="A286" s="1">
        <v>46025</v>
      </c>
      <c r="B286" t="s">
        <v>12510</v>
      </c>
      <c r="C286">
        <v>4</v>
      </c>
      <c r="D286" t="str">
        <f>VLOOKUP(Tabela26[[#This Row],[EMP]],[1]LOJA!$A:$B,2,0)</f>
        <v>ADE</v>
      </c>
      <c r="E286">
        <v>132</v>
      </c>
      <c r="F286" t="s">
        <v>7697</v>
      </c>
      <c r="G286" t="s">
        <v>7696</v>
      </c>
      <c r="H286" t="s">
        <v>3401</v>
      </c>
      <c r="I286">
        <v>5102</v>
      </c>
      <c r="J286" s="3">
        <v>144</v>
      </c>
      <c r="K286" s="3">
        <v>88.41</v>
      </c>
      <c r="L286">
        <v>38.6</v>
      </c>
    </row>
    <row r="287" spans="1:12">
      <c r="A287" s="1">
        <v>46025</v>
      </c>
      <c r="B287" t="s">
        <v>12509</v>
      </c>
      <c r="C287">
        <v>4</v>
      </c>
      <c r="D287" t="str">
        <f>VLOOKUP(Tabela26[[#This Row],[EMP]],[1]LOJA!$A:$B,2,0)</f>
        <v>ADE</v>
      </c>
      <c r="E287">
        <v>132</v>
      </c>
      <c r="F287" t="s">
        <v>3403</v>
      </c>
      <c r="G287" t="s">
        <v>3402</v>
      </c>
      <c r="H287" t="s">
        <v>3401</v>
      </c>
      <c r="I287">
        <v>5102</v>
      </c>
      <c r="J287" s="3">
        <v>42</v>
      </c>
      <c r="K287" s="3">
        <v>25.68</v>
      </c>
      <c r="L287">
        <v>38.86</v>
      </c>
    </row>
    <row r="288" spans="1:12">
      <c r="A288" s="1">
        <v>46025</v>
      </c>
      <c r="B288" t="s">
        <v>12508</v>
      </c>
      <c r="C288">
        <v>4</v>
      </c>
      <c r="D288" t="str">
        <f>VLOOKUP(Tabela26[[#This Row],[EMP]],[1]LOJA!$A:$B,2,0)</f>
        <v>ADE</v>
      </c>
      <c r="E288">
        <v>132</v>
      </c>
      <c r="F288" t="s">
        <v>3403</v>
      </c>
      <c r="G288" t="s">
        <v>12507</v>
      </c>
      <c r="H288" t="s">
        <v>3401</v>
      </c>
      <c r="I288">
        <v>5102</v>
      </c>
      <c r="J288" s="3">
        <v>52</v>
      </c>
      <c r="K288" s="3">
        <v>24.37</v>
      </c>
      <c r="L288">
        <v>53.13</v>
      </c>
    </row>
    <row r="289" spans="1:12">
      <c r="A289" s="1">
        <v>46025</v>
      </c>
      <c r="B289" t="s">
        <v>12506</v>
      </c>
      <c r="C289">
        <v>4</v>
      </c>
      <c r="D289" t="str">
        <f>VLOOKUP(Tabela26[[#This Row],[EMP]],[1]LOJA!$A:$B,2,0)</f>
        <v>ADE</v>
      </c>
      <c r="E289">
        <v>132</v>
      </c>
      <c r="F289" t="s">
        <v>4561</v>
      </c>
      <c r="G289" t="s">
        <v>4560</v>
      </c>
      <c r="H289" t="s">
        <v>3401</v>
      </c>
      <c r="I289">
        <v>5102</v>
      </c>
      <c r="J289" s="3">
        <v>49.8</v>
      </c>
      <c r="K289" s="3">
        <v>26.91</v>
      </c>
      <c r="L289">
        <v>45.96</v>
      </c>
    </row>
    <row r="290" spans="1:12">
      <c r="A290" s="1">
        <v>46025</v>
      </c>
      <c r="B290" t="s">
        <v>12505</v>
      </c>
      <c r="C290">
        <v>4</v>
      </c>
      <c r="D290" t="str">
        <f>VLOOKUP(Tabela26[[#This Row],[EMP]],[1]LOJA!$A:$B,2,0)</f>
        <v>ADE</v>
      </c>
      <c r="E290">
        <v>132</v>
      </c>
      <c r="F290" t="s">
        <v>3403</v>
      </c>
      <c r="G290" t="s">
        <v>3402</v>
      </c>
      <c r="H290" t="s">
        <v>3408</v>
      </c>
      <c r="I290">
        <v>5102</v>
      </c>
      <c r="J290" s="3">
        <v>80.41</v>
      </c>
      <c r="K290" s="3">
        <v>41.27</v>
      </c>
      <c r="L290">
        <v>48.68</v>
      </c>
    </row>
    <row r="291" spans="1:12">
      <c r="A291" s="1">
        <v>46025</v>
      </c>
      <c r="B291" t="s">
        <v>12504</v>
      </c>
      <c r="C291">
        <v>4</v>
      </c>
      <c r="D291" t="str">
        <f>VLOOKUP(Tabela26[[#This Row],[EMP]],[1]LOJA!$A:$B,2,0)</f>
        <v>ADE</v>
      </c>
      <c r="E291">
        <v>132</v>
      </c>
      <c r="F291" t="s">
        <v>3403</v>
      </c>
      <c r="G291" t="s">
        <v>3402</v>
      </c>
      <c r="H291" t="s">
        <v>3408</v>
      </c>
      <c r="I291">
        <v>5102</v>
      </c>
      <c r="J291" s="3">
        <v>26.56</v>
      </c>
      <c r="K291" s="3">
        <v>14.76</v>
      </c>
      <c r="L291">
        <v>44.43</v>
      </c>
    </row>
    <row r="292" spans="1:12">
      <c r="A292" s="1">
        <v>46025</v>
      </c>
      <c r="B292" t="s">
        <v>12503</v>
      </c>
      <c r="C292">
        <v>4</v>
      </c>
      <c r="D292" t="str">
        <f>VLOOKUP(Tabela26[[#This Row],[EMP]],[1]LOJA!$A:$B,2,0)</f>
        <v>ADE</v>
      </c>
      <c r="E292">
        <v>132</v>
      </c>
      <c r="F292" t="s">
        <v>5691</v>
      </c>
      <c r="G292" t="s">
        <v>3402</v>
      </c>
      <c r="H292" t="s">
        <v>3408</v>
      </c>
      <c r="I292">
        <v>5102</v>
      </c>
      <c r="J292" s="3">
        <v>45</v>
      </c>
      <c r="K292" s="3">
        <v>30.8</v>
      </c>
      <c r="L292">
        <v>31.56</v>
      </c>
    </row>
    <row r="293" spans="1:12">
      <c r="A293" s="1">
        <v>46025</v>
      </c>
      <c r="B293" t="s">
        <v>12502</v>
      </c>
      <c r="C293">
        <v>4</v>
      </c>
      <c r="D293" t="str">
        <f>VLOOKUP(Tabela26[[#This Row],[EMP]],[1]LOJA!$A:$B,2,0)</f>
        <v>ADE</v>
      </c>
      <c r="E293">
        <v>132</v>
      </c>
      <c r="F293" t="s">
        <v>3403</v>
      </c>
      <c r="G293" t="s">
        <v>3402</v>
      </c>
      <c r="H293" t="s">
        <v>3408</v>
      </c>
      <c r="I293">
        <v>5102</v>
      </c>
      <c r="J293" s="3">
        <v>97</v>
      </c>
      <c r="K293" s="3">
        <v>52.7</v>
      </c>
      <c r="L293">
        <v>45.67</v>
      </c>
    </row>
    <row r="294" spans="1:12">
      <c r="A294" s="1">
        <v>46025</v>
      </c>
      <c r="B294" t="s">
        <v>12501</v>
      </c>
      <c r="C294">
        <v>4</v>
      </c>
      <c r="D294" t="str">
        <f>VLOOKUP(Tabela26[[#This Row],[EMP]],[1]LOJA!$A:$B,2,0)</f>
        <v>ADE</v>
      </c>
      <c r="E294">
        <v>132</v>
      </c>
      <c r="F294" t="s">
        <v>3403</v>
      </c>
      <c r="G294" t="s">
        <v>3402</v>
      </c>
      <c r="H294" t="s">
        <v>3408</v>
      </c>
      <c r="I294">
        <v>5102</v>
      </c>
      <c r="J294" s="3">
        <v>9</v>
      </c>
      <c r="K294" s="3">
        <v>3.24</v>
      </c>
      <c r="L294">
        <v>64</v>
      </c>
    </row>
    <row r="295" spans="1:12">
      <c r="A295" s="1">
        <v>46025</v>
      </c>
      <c r="B295" t="s">
        <v>12500</v>
      </c>
      <c r="C295">
        <v>4</v>
      </c>
      <c r="D295" t="str">
        <f>VLOOKUP(Tabela26[[#This Row],[EMP]],[1]LOJA!$A:$B,2,0)</f>
        <v>ADE</v>
      </c>
      <c r="E295">
        <v>132</v>
      </c>
      <c r="F295" t="s">
        <v>3403</v>
      </c>
      <c r="G295" t="s">
        <v>3402</v>
      </c>
      <c r="H295" t="s">
        <v>3401</v>
      </c>
      <c r="I295">
        <v>5102</v>
      </c>
      <c r="J295" s="3">
        <v>35</v>
      </c>
      <c r="K295" s="3">
        <v>15.86</v>
      </c>
      <c r="L295">
        <v>54.69</v>
      </c>
    </row>
    <row r="296" spans="1:12">
      <c r="A296" s="1">
        <v>46025</v>
      </c>
      <c r="B296" t="s">
        <v>12499</v>
      </c>
      <c r="C296">
        <v>4</v>
      </c>
      <c r="D296" t="str">
        <f>VLOOKUP(Tabela26[[#This Row],[EMP]],[1]LOJA!$A:$B,2,0)</f>
        <v>ADE</v>
      </c>
      <c r="E296">
        <v>132</v>
      </c>
      <c r="F296" t="s">
        <v>5601</v>
      </c>
      <c r="G296" t="s">
        <v>3402</v>
      </c>
      <c r="H296" t="s">
        <v>3401</v>
      </c>
      <c r="I296">
        <v>5102</v>
      </c>
      <c r="J296" s="3">
        <v>117</v>
      </c>
      <c r="K296" s="3">
        <v>76.569999999999993</v>
      </c>
      <c r="L296">
        <v>34.56</v>
      </c>
    </row>
    <row r="297" spans="1:12">
      <c r="A297" s="1">
        <v>46025</v>
      </c>
      <c r="B297" t="s">
        <v>12498</v>
      </c>
      <c r="C297">
        <v>16</v>
      </c>
      <c r="D297" t="str">
        <f>VLOOKUP(Tabela26[[#This Row],[EMP]],[1]LOJA!$A:$B,2,0)</f>
        <v>AG LINDAS</v>
      </c>
      <c r="E297">
        <v>240</v>
      </c>
      <c r="F297" t="s">
        <v>6325</v>
      </c>
      <c r="G297" t="s">
        <v>3437</v>
      </c>
      <c r="H297" t="s">
        <v>3401</v>
      </c>
      <c r="I297">
        <v>5102</v>
      </c>
      <c r="J297" s="3">
        <v>36</v>
      </c>
      <c r="K297" s="3">
        <v>16.64</v>
      </c>
      <c r="L297">
        <v>53.78</v>
      </c>
    </row>
    <row r="298" spans="1:12">
      <c r="A298" s="1">
        <v>46025</v>
      </c>
      <c r="B298" t="s">
        <v>12497</v>
      </c>
      <c r="C298">
        <v>16</v>
      </c>
      <c r="D298" t="str">
        <f>VLOOKUP(Tabela26[[#This Row],[EMP]],[1]LOJA!$A:$B,2,0)</f>
        <v>AG LINDAS</v>
      </c>
      <c r="E298">
        <v>240</v>
      </c>
      <c r="F298" t="s">
        <v>9518</v>
      </c>
      <c r="G298" t="s">
        <v>9517</v>
      </c>
      <c r="H298" t="s">
        <v>3401</v>
      </c>
      <c r="I298">
        <v>5405</v>
      </c>
      <c r="J298" s="3">
        <v>107</v>
      </c>
      <c r="K298" s="3">
        <v>49.98</v>
      </c>
      <c r="L298">
        <v>53.29</v>
      </c>
    </row>
    <row r="299" spans="1:12">
      <c r="A299" s="1">
        <v>46025</v>
      </c>
      <c r="B299" t="s">
        <v>12496</v>
      </c>
      <c r="C299">
        <v>16</v>
      </c>
      <c r="D299" t="str">
        <f>VLOOKUP(Tabela26[[#This Row],[EMP]],[1]LOJA!$A:$B,2,0)</f>
        <v>AG LINDAS</v>
      </c>
      <c r="E299">
        <v>240</v>
      </c>
      <c r="F299" t="s">
        <v>3438</v>
      </c>
      <c r="G299" t="s">
        <v>3437</v>
      </c>
      <c r="H299" t="s">
        <v>3401</v>
      </c>
      <c r="I299">
        <v>5405</v>
      </c>
      <c r="J299" s="3">
        <v>96.8</v>
      </c>
      <c r="K299" s="3">
        <v>51.75</v>
      </c>
      <c r="L299">
        <v>46.54</v>
      </c>
    </row>
    <row r="300" spans="1:12">
      <c r="A300" s="1">
        <v>46025</v>
      </c>
      <c r="B300" t="s">
        <v>12495</v>
      </c>
      <c r="C300">
        <v>16</v>
      </c>
      <c r="D300" t="str">
        <f>VLOOKUP(Tabela26[[#This Row],[EMP]],[1]LOJA!$A:$B,2,0)</f>
        <v>AG LINDAS</v>
      </c>
      <c r="E300">
        <v>240</v>
      </c>
      <c r="F300" t="s">
        <v>12494</v>
      </c>
      <c r="G300" t="s">
        <v>3437</v>
      </c>
      <c r="H300" t="s">
        <v>3401</v>
      </c>
      <c r="I300">
        <v>5102</v>
      </c>
      <c r="J300" s="3">
        <v>55</v>
      </c>
      <c r="K300" s="3">
        <v>32.01</v>
      </c>
      <c r="L300">
        <v>41.8</v>
      </c>
    </row>
    <row r="301" spans="1:12">
      <c r="A301" s="1">
        <v>46025</v>
      </c>
      <c r="B301" t="s">
        <v>12493</v>
      </c>
      <c r="C301">
        <v>16</v>
      </c>
      <c r="D301" t="str">
        <f>VLOOKUP(Tabela26[[#This Row],[EMP]],[1]LOJA!$A:$B,2,0)</f>
        <v>AG LINDAS</v>
      </c>
      <c r="E301">
        <v>240</v>
      </c>
      <c r="F301" t="s">
        <v>3780</v>
      </c>
      <c r="G301" t="s">
        <v>3437</v>
      </c>
      <c r="H301" t="s">
        <v>3401</v>
      </c>
      <c r="I301">
        <v>5102</v>
      </c>
      <c r="J301" s="3">
        <v>31.7</v>
      </c>
      <c r="K301" s="3">
        <v>20.13</v>
      </c>
      <c r="L301">
        <v>36.5</v>
      </c>
    </row>
    <row r="302" spans="1:12">
      <c r="A302" s="1">
        <v>46025</v>
      </c>
      <c r="B302" t="s">
        <v>12492</v>
      </c>
      <c r="C302">
        <v>16</v>
      </c>
      <c r="D302" t="str">
        <f>VLOOKUP(Tabela26[[#This Row],[EMP]],[1]LOJA!$A:$B,2,0)</f>
        <v>AG LINDAS</v>
      </c>
      <c r="E302">
        <v>240</v>
      </c>
      <c r="F302" t="s">
        <v>4318</v>
      </c>
      <c r="G302" t="s">
        <v>3437</v>
      </c>
      <c r="H302" t="s">
        <v>3401</v>
      </c>
      <c r="I302">
        <v>5102</v>
      </c>
      <c r="J302" s="3">
        <v>180.5</v>
      </c>
      <c r="K302" s="3">
        <v>105.62</v>
      </c>
      <c r="L302">
        <v>41.48</v>
      </c>
    </row>
    <row r="303" spans="1:12">
      <c r="A303" s="1">
        <v>46025</v>
      </c>
      <c r="B303" t="s">
        <v>12491</v>
      </c>
      <c r="C303">
        <v>16</v>
      </c>
      <c r="D303" t="str">
        <f>VLOOKUP(Tabela26[[#This Row],[EMP]],[1]LOJA!$A:$B,2,0)</f>
        <v>AG LINDAS</v>
      </c>
      <c r="E303">
        <v>240</v>
      </c>
      <c r="F303" t="s">
        <v>3780</v>
      </c>
      <c r="G303" t="s">
        <v>3437</v>
      </c>
      <c r="H303" t="s">
        <v>3401</v>
      </c>
      <c r="I303">
        <v>5102</v>
      </c>
      <c r="J303" s="3">
        <v>97.7</v>
      </c>
      <c r="K303" s="3">
        <v>53.91</v>
      </c>
      <c r="L303">
        <v>44.82</v>
      </c>
    </row>
    <row r="304" spans="1:12">
      <c r="A304" s="1">
        <v>46025</v>
      </c>
      <c r="B304" t="s">
        <v>12490</v>
      </c>
      <c r="C304">
        <v>16</v>
      </c>
      <c r="D304" t="str">
        <f>VLOOKUP(Tabela26[[#This Row],[EMP]],[1]LOJA!$A:$B,2,0)</f>
        <v>AG LINDAS</v>
      </c>
      <c r="E304">
        <v>240</v>
      </c>
      <c r="F304" t="s">
        <v>3780</v>
      </c>
      <c r="G304" t="s">
        <v>3437</v>
      </c>
      <c r="H304" t="s">
        <v>3401</v>
      </c>
      <c r="I304">
        <v>5102</v>
      </c>
      <c r="J304" s="3">
        <v>125</v>
      </c>
      <c r="K304" s="3">
        <v>60.45</v>
      </c>
      <c r="L304">
        <v>51.64</v>
      </c>
    </row>
    <row r="305" spans="1:12">
      <c r="A305" s="1">
        <v>46025</v>
      </c>
      <c r="B305" t="s">
        <v>12489</v>
      </c>
      <c r="C305">
        <v>16</v>
      </c>
      <c r="D305" t="str">
        <f>VLOOKUP(Tabela26[[#This Row],[EMP]],[1]LOJA!$A:$B,2,0)</f>
        <v>AG LINDAS</v>
      </c>
      <c r="E305">
        <v>240</v>
      </c>
      <c r="F305" t="s">
        <v>3780</v>
      </c>
      <c r="G305" t="s">
        <v>3437</v>
      </c>
      <c r="H305" t="s">
        <v>3401</v>
      </c>
      <c r="I305">
        <v>5102</v>
      </c>
      <c r="J305" s="3">
        <v>8.4</v>
      </c>
      <c r="K305" s="3">
        <v>3.6</v>
      </c>
      <c r="L305">
        <v>57.14</v>
      </c>
    </row>
    <row r="306" spans="1:12">
      <c r="A306" s="1">
        <v>46025</v>
      </c>
      <c r="B306" t="s">
        <v>12488</v>
      </c>
      <c r="C306">
        <v>16</v>
      </c>
      <c r="D306" t="str">
        <f>VLOOKUP(Tabela26[[#This Row],[EMP]],[1]LOJA!$A:$B,2,0)</f>
        <v>AG LINDAS</v>
      </c>
      <c r="E306">
        <v>240</v>
      </c>
      <c r="F306" t="s">
        <v>3780</v>
      </c>
      <c r="G306" t="s">
        <v>3437</v>
      </c>
      <c r="H306" t="s">
        <v>3401</v>
      </c>
      <c r="I306">
        <v>5405</v>
      </c>
      <c r="J306" s="3">
        <v>53</v>
      </c>
      <c r="K306" s="3">
        <v>28.16</v>
      </c>
      <c r="L306">
        <v>46.87</v>
      </c>
    </row>
    <row r="307" spans="1:12">
      <c r="A307" s="1">
        <v>46025</v>
      </c>
      <c r="B307" t="s">
        <v>12487</v>
      </c>
      <c r="C307">
        <v>16</v>
      </c>
      <c r="D307" t="str">
        <f>VLOOKUP(Tabela26[[#This Row],[EMP]],[1]LOJA!$A:$B,2,0)</f>
        <v>AG LINDAS</v>
      </c>
      <c r="E307">
        <v>240</v>
      </c>
      <c r="F307" t="s">
        <v>3780</v>
      </c>
      <c r="G307" t="s">
        <v>3437</v>
      </c>
      <c r="H307" t="s">
        <v>3401</v>
      </c>
      <c r="I307">
        <v>5102</v>
      </c>
      <c r="J307" s="3">
        <v>19</v>
      </c>
      <c r="K307" s="3">
        <v>8.69</v>
      </c>
      <c r="L307">
        <v>54.26</v>
      </c>
    </row>
    <row r="308" spans="1:12">
      <c r="A308" s="1">
        <v>46025</v>
      </c>
      <c r="B308" t="s">
        <v>12486</v>
      </c>
      <c r="C308">
        <v>16</v>
      </c>
      <c r="D308" t="str">
        <f>VLOOKUP(Tabela26[[#This Row],[EMP]],[1]LOJA!$A:$B,2,0)</f>
        <v>AG LINDAS</v>
      </c>
      <c r="E308">
        <v>240</v>
      </c>
      <c r="F308" t="s">
        <v>3780</v>
      </c>
      <c r="G308" t="s">
        <v>3437</v>
      </c>
      <c r="H308" t="s">
        <v>3401</v>
      </c>
      <c r="I308">
        <v>5405</v>
      </c>
      <c r="J308" s="3">
        <v>80</v>
      </c>
      <c r="K308" s="3">
        <v>42.62</v>
      </c>
      <c r="L308">
        <v>46.73</v>
      </c>
    </row>
    <row r="309" spans="1:12">
      <c r="A309" s="1">
        <v>46025</v>
      </c>
      <c r="B309" t="s">
        <v>12485</v>
      </c>
      <c r="C309">
        <v>16</v>
      </c>
      <c r="D309" t="str">
        <f>VLOOKUP(Tabela26[[#This Row],[EMP]],[1]LOJA!$A:$B,2,0)</f>
        <v>AG LINDAS</v>
      </c>
      <c r="E309">
        <v>240</v>
      </c>
      <c r="F309" t="s">
        <v>4506</v>
      </c>
      <c r="G309" t="s">
        <v>4505</v>
      </c>
      <c r="H309" t="s">
        <v>3408</v>
      </c>
      <c r="I309">
        <v>5102</v>
      </c>
      <c r="J309" s="3">
        <v>75.7</v>
      </c>
      <c r="K309" s="3">
        <v>47.29</v>
      </c>
      <c r="L309">
        <v>37.53</v>
      </c>
    </row>
    <row r="310" spans="1:12">
      <c r="A310" s="1">
        <v>46025</v>
      </c>
      <c r="B310" t="s">
        <v>12484</v>
      </c>
      <c r="C310">
        <v>16</v>
      </c>
      <c r="D310" t="str">
        <f>VLOOKUP(Tabela26[[#This Row],[EMP]],[1]LOJA!$A:$B,2,0)</f>
        <v>AG LINDAS</v>
      </c>
      <c r="E310">
        <v>240</v>
      </c>
      <c r="F310" t="s">
        <v>3780</v>
      </c>
      <c r="G310" t="s">
        <v>3437</v>
      </c>
      <c r="H310" t="s">
        <v>3408</v>
      </c>
      <c r="I310">
        <v>5405</v>
      </c>
      <c r="J310" s="3">
        <v>220</v>
      </c>
      <c r="K310" s="3">
        <v>120.78</v>
      </c>
      <c r="L310">
        <v>45.1</v>
      </c>
    </row>
    <row r="311" spans="1:12">
      <c r="A311" s="1">
        <v>46025</v>
      </c>
      <c r="B311" t="s">
        <v>12483</v>
      </c>
      <c r="C311">
        <v>16</v>
      </c>
      <c r="D311" t="str">
        <f>VLOOKUP(Tabela26[[#This Row],[EMP]],[1]LOJA!$A:$B,2,0)</f>
        <v>AG LINDAS</v>
      </c>
      <c r="E311">
        <v>240</v>
      </c>
      <c r="F311" t="s">
        <v>3780</v>
      </c>
      <c r="G311" t="s">
        <v>3437</v>
      </c>
      <c r="H311" t="s">
        <v>3401</v>
      </c>
      <c r="I311">
        <v>5102</v>
      </c>
      <c r="J311" s="3">
        <v>113.4</v>
      </c>
      <c r="K311" s="3">
        <v>69.489999999999995</v>
      </c>
      <c r="L311">
        <v>38.72</v>
      </c>
    </row>
    <row r="312" spans="1:12">
      <c r="A312" s="1">
        <v>46025</v>
      </c>
      <c r="B312" t="s">
        <v>12482</v>
      </c>
      <c r="C312">
        <v>16</v>
      </c>
      <c r="D312" t="str">
        <f>VLOOKUP(Tabela26[[#This Row],[EMP]],[1]LOJA!$A:$B,2,0)</f>
        <v>AG LINDAS</v>
      </c>
      <c r="E312">
        <v>240</v>
      </c>
      <c r="F312" t="s">
        <v>3780</v>
      </c>
      <c r="G312" t="s">
        <v>3437</v>
      </c>
      <c r="H312" t="s">
        <v>3401</v>
      </c>
      <c r="I312">
        <v>5102</v>
      </c>
      <c r="J312" s="3">
        <v>97.8</v>
      </c>
      <c r="K312" s="3">
        <v>58.17</v>
      </c>
      <c r="L312">
        <v>40.520000000000003</v>
      </c>
    </row>
    <row r="313" spans="1:12">
      <c r="A313" s="1">
        <v>46025</v>
      </c>
      <c r="B313" t="s">
        <v>12481</v>
      </c>
      <c r="C313">
        <v>16</v>
      </c>
      <c r="D313" t="str">
        <f>VLOOKUP(Tabela26[[#This Row],[EMP]],[1]LOJA!$A:$B,2,0)</f>
        <v>AG LINDAS</v>
      </c>
      <c r="E313">
        <v>240</v>
      </c>
      <c r="F313" t="s">
        <v>3780</v>
      </c>
      <c r="G313" t="s">
        <v>3437</v>
      </c>
      <c r="H313" t="s">
        <v>3401</v>
      </c>
      <c r="I313">
        <v>5102</v>
      </c>
      <c r="J313" s="3">
        <v>29.9</v>
      </c>
      <c r="K313" s="3">
        <v>18</v>
      </c>
      <c r="L313">
        <v>39.799999999999997</v>
      </c>
    </row>
    <row r="314" spans="1:12">
      <c r="A314" s="1">
        <v>46025</v>
      </c>
      <c r="B314" t="s">
        <v>12480</v>
      </c>
      <c r="C314">
        <v>14</v>
      </c>
      <c r="D314" t="str">
        <f>VLOOKUP(Tabela26[[#This Row],[EMP]],[1]LOJA!$A:$B,2,0)</f>
        <v>S IA</v>
      </c>
      <c r="E314">
        <v>54</v>
      </c>
      <c r="F314" t="s">
        <v>8052</v>
      </c>
      <c r="G314" t="s">
        <v>8051</v>
      </c>
      <c r="H314" t="s">
        <v>3401</v>
      </c>
      <c r="I314">
        <v>5102</v>
      </c>
      <c r="J314" s="3">
        <v>290</v>
      </c>
      <c r="K314" s="3">
        <v>170.59</v>
      </c>
      <c r="L314">
        <v>41.18</v>
      </c>
    </row>
    <row r="315" spans="1:12">
      <c r="A315" s="1">
        <v>46025</v>
      </c>
      <c r="B315" t="s">
        <v>12479</v>
      </c>
      <c r="C315">
        <v>14</v>
      </c>
      <c r="D315" t="str">
        <f>VLOOKUP(Tabela26[[#This Row],[EMP]],[1]LOJA!$A:$B,2,0)</f>
        <v>S IA</v>
      </c>
      <c r="E315">
        <v>54</v>
      </c>
      <c r="F315" t="s">
        <v>12478</v>
      </c>
      <c r="G315" t="s">
        <v>12477</v>
      </c>
      <c r="H315" t="s">
        <v>3401</v>
      </c>
      <c r="I315">
        <v>5405</v>
      </c>
      <c r="J315" s="3">
        <v>500</v>
      </c>
      <c r="K315" s="3">
        <v>175.48</v>
      </c>
      <c r="L315">
        <v>64.900000000000006</v>
      </c>
    </row>
    <row r="316" spans="1:12">
      <c r="A316" s="1">
        <v>46025</v>
      </c>
      <c r="B316" t="s">
        <v>12476</v>
      </c>
      <c r="C316">
        <v>12</v>
      </c>
      <c r="D316" t="str">
        <f>VLOOKUP(Tabela26[[#This Row],[EMP]],[1]LOJA!$A:$B,2,0)</f>
        <v>SOFNORTE</v>
      </c>
      <c r="E316">
        <v>239</v>
      </c>
      <c r="F316" t="s">
        <v>3403</v>
      </c>
      <c r="G316" t="s">
        <v>3402</v>
      </c>
      <c r="H316" t="s">
        <v>3401</v>
      </c>
      <c r="I316">
        <v>5405</v>
      </c>
      <c r="J316" s="3">
        <v>150</v>
      </c>
      <c r="K316" s="3">
        <v>81.599999999999994</v>
      </c>
      <c r="L316">
        <v>45.6</v>
      </c>
    </row>
    <row r="317" spans="1:12">
      <c r="A317" s="1">
        <v>46025</v>
      </c>
      <c r="B317" t="s">
        <v>12475</v>
      </c>
      <c r="C317">
        <v>12</v>
      </c>
      <c r="D317" t="str">
        <f>VLOOKUP(Tabela26[[#This Row],[EMP]],[1]LOJA!$A:$B,2,0)</f>
        <v>SOFNORTE</v>
      </c>
      <c r="E317">
        <v>239</v>
      </c>
      <c r="F317" t="s">
        <v>3403</v>
      </c>
      <c r="G317" t="s">
        <v>3402</v>
      </c>
      <c r="H317" t="s">
        <v>3401</v>
      </c>
      <c r="I317">
        <v>5405</v>
      </c>
      <c r="J317" s="3">
        <v>45</v>
      </c>
      <c r="K317" s="3">
        <v>16.16</v>
      </c>
      <c r="L317">
        <v>64.09</v>
      </c>
    </row>
    <row r="318" spans="1:12">
      <c r="A318" s="1">
        <v>46025</v>
      </c>
      <c r="B318" t="s">
        <v>12474</v>
      </c>
      <c r="C318">
        <v>12</v>
      </c>
      <c r="D318" t="str">
        <f>VLOOKUP(Tabela26[[#This Row],[EMP]],[1]LOJA!$A:$B,2,0)</f>
        <v>SOFNORTE</v>
      </c>
      <c r="E318">
        <v>239</v>
      </c>
      <c r="F318" t="s">
        <v>3694</v>
      </c>
      <c r="G318" t="s">
        <v>3693</v>
      </c>
      <c r="H318" t="s">
        <v>3520</v>
      </c>
      <c r="I318">
        <v>5405</v>
      </c>
      <c r="J318" s="3">
        <v>784.58</v>
      </c>
      <c r="K318" s="3">
        <v>449.09</v>
      </c>
      <c r="L318">
        <v>42.76</v>
      </c>
    </row>
    <row r="319" spans="1:12">
      <c r="A319" s="1">
        <v>46025</v>
      </c>
      <c r="B319" t="s">
        <v>12473</v>
      </c>
      <c r="C319">
        <v>12</v>
      </c>
      <c r="D319" t="str">
        <f>VLOOKUP(Tabela26[[#This Row],[EMP]],[1]LOJA!$A:$B,2,0)</f>
        <v>SOFNORTE</v>
      </c>
      <c r="E319">
        <v>239</v>
      </c>
      <c r="F319" t="s">
        <v>3403</v>
      </c>
      <c r="G319" t="s">
        <v>3402</v>
      </c>
      <c r="H319" t="s">
        <v>3401</v>
      </c>
      <c r="I319">
        <v>5102</v>
      </c>
      <c r="J319" s="3">
        <v>115</v>
      </c>
      <c r="K319" s="3">
        <v>60.98</v>
      </c>
      <c r="L319">
        <v>46.97</v>
      </c>
    </row>
    <row r="320" spans="1:12">
      <c r="A320" s="1">
        <v>46025</v>
      </c>
      <c r="B320" t="s">
        <v>12472</v>
      </c>
      <c r="C320">
        <v>12</v>
      </c>
      <c r="D320" t="str">
        <f>VLOOKUP(Tabela26[[#This Row],[EMP]],[1]LOJA!$A:$B,2,0)</f>
        <v>SOFNORTE</v>
      </c>
      <c r="E320">
        <v>239</v>
      </c>
      <c r="F320" t="s">
        <v>5620</v>
      </c>
      <c r="G320" t="s">
        <v>5619</v>
      </c>
      <c r="H320" t="s">
        <v>3408</v>
      </c>
      <c r="I320">
        <v>5405</v>
      </c>
      <c r="J320" s="3">
        <v>300</v>
      </c>
      <c r="K320" s="3">
        <v>144.36000000000001</v>
      </c>
      <c r="L320">
        <v>51.88</v>
      </c>
    </row>
    <row r="321" spans="1:12">
      <c r="A321" s="1">
        <v>46025</v>
      </c>
      <c r="B321" t="s">
        <v>12471</v>
      </c>
      <c r="C321">
        <v>12</v>
      </c>
      <c r="D321" t="str">
        <f>VLOOKUP(Tabela26[[#This Row],[EMP]],[1]LOJA!$A:$B,2,0)</f>
        <v>SOFNORTE</v>
      </c>
      <c r="E321">
        <v>239</v>
      </c>
      <c r="F321" t="s">
        <v>3403</v>
      </c>
      <c r="G321" t="s">
        <v>3402</v>
      </c>
      <c r="H321" t="s">
        <v>3401</v>
      </c>
      <c r="I321">
        <v>5405</v>
      </c>
      <c r="J321" s="3">
        <v>159</v>
      </c>
      <c r="K321" s="3">
        <v>76.73</v>
      </c>
      <c r="L321">
        <v>51.74</v>
      </c>
    </row>
    <row r="322" spans="1:12">
      <c r="A322" s="1">
        <v>46025</v>
      </c>
      <c r="B322" t="s">
        <v>12470</v>
      </c>
      <c r="C322">
        <v>12</v>
      </c>
      <c r="D322" t="str">
        <f>VLOOKUP(Tabela26[[#This Row],[EMP]],[1]LOJA!$A:$B,2,0)</f>
        <v>SOFNORTE</v>
      </c>
      <c r="E322">
        <v>239</v>
      </c>
      <c r="F322" t="s">
        <v>3403</v>
      </c>
      <c r="G322" t="s">
        <v>3402</v>
      </c>
      <c r="H322" t="s">
        <v>3401</v>
      </c>
      <c r="I322">
        <v>5102</v>
      </c>
      <c r="J322" s="3">
        <v>34</v>
      </c>
      <c r="K322" s="3">
        <v>19.54</v>
      </c>
      <c r="L322">
        <v>42.53</v>
      </c>
    </row>
    <row r="323" spans="1:12">
      <c r="A323" s="1">
        <v>46025</v>
      </c>
      <c r="B323" t="s">
        <v>12469</v>
      </c>
      <c r="C323">
        <v>12</v>
      </c>
      <c r="D323" t="str">
        <f>VLOOKUP(Tabela26[[#This Row],[EMP]],[1]LOJA!$A:$B,2,0)</f>
        <v>SOFNORTE</v>
      </c>
      <c r="E323">
        <v>239</v>
      </c>
      <c r="F323" t="s">
        <v>3403</v>
      </c>
      <c r="G323" t="s">
        <v>3402</v>
      </c>
      <c r="H323" t="s">
        <v>3401</v>
      </c>
      <c r="I323">
        <v>5102</v>
      </c>
      <c r="J323" s="3">
        <v>50</v>
      </c>
      <c r="K323" s="3">
        <v>23.01</v>
      </c>
      <c r="L323">
        <v>53.98</v>
      </c>
    </row>
    <row r="324" spans="1:12">
      <c r="A324" s="1">
        <v>46025</v>
      </c>
      <c r="B324" t="s">
        <v>12468</v>
      </c>
      <c r="C324">
        <v>12</v>
      </c>
      <c r="D324" t="str">
        <f>VLOOKUP(Tabela26[[#This Row],[EMP]],[1]LOJA!$A:$B,2,0)</f>
        <v>SOFNORTE</v>
      </c>
      <c r="E324">
        <v>239</v>
      </c>
      <c r="F324" t="s">
        <v>3403</v>
      </c>
      <c r="G324" t="s">
        <v>3402</v>
      </c>
      <c r="H324" t="s">
        <v>3401</v>
      </c>
      <c r="I324">
        <v>5102</v>
      </c>
      <c r="J324" s="3">
        <v>50</v>
      </c>
      <c r="K324" s="3">
        <v>23.01</v>
      </c>
      <c r="L324">
        <v>53.98</v>
      </c>
    </row>
    <row r="325" spans="1:12">
      <c r="A325" s="1">
        <v>46025</v>
      </c>
      <c r="B325" t="s">
        <v>12467</v>
      </c>
      <c r="C325">
        <v>12</v>
      </c>
      <c r="D325" t="str">
        <f>VLOOKUP(Tabela26[[#This Row],[EMP]],[1]LOJA!$A:$B,2,0)</f>
        <v>SOFNORTE</v>
      </c>
      <c r="E325">
        <v>239</v>
      </c>
      <c r="F325" t="s">
        <v>3691</v>
      </c>
      <c r="G325" t="s">
        <v>3690</v>
      </c>
      <c r="H325" t="s">
        <v>7916</v>
      </c>
      <c r="I325">
        <v>5102</v>
      </c>
      <c r="J325" s="3">
        <v>43.98</v>
      </c>
      <c r="K325" s="3">
        <v>23.26</v>
      </c>
      <c r="L325">
        <v>47.11</v>
      </c>
    </row>
    <row r="326" spans="1:12">
      <c r="A326" s="1">
        <v>46025</v>
      </c>
      <c r="B326" t="s">
        <v>4452</v>
      </c>
      <c r="C326">
        <v>14</v>
      </c>
      <c r="D326" t="str">
        <f>VLOOKUP(Tabela26[[#This Row],[EMP]],[1]LOJA!$A:$B,2,0)</f>
        <v>S IA</v>
      </c>
      <c r="E326">
        <v>54</v>
      </c>
      <c r="F326" t="s">
        <v>4429</v>
      </c>
      <c r="G326" t="s">
        <v>3402</v>
      </c>
      <c r="H326" t="s">
        <v>3408</v>
      </c>
      <c r="I326">
        <v>5102</v>
      </c>
      <c r="J326" s="3">
        <v>174</v>
      </c>
      <c r="K326" s="3">
        <v>77.47</v>
      </c>
      <c r="L326">
        <v>55.48</v>
      </c>
    </row>
    <row r="327" spans="1:12">
      <c r="A327" s="1">
        <v>46025</v>
      </c>
      <c r="B327" t="s">
        <v>4451</v>
      </c>
      <c r="C327">
        <v>14</v>
      </c>
      <c r="D327" t="str">
        <f>VLOOKUP(Tabela26[[#This Row],[EMP]],[1]LOJA!$A:$B,2,0)</f>
        <v>S IA</v>
      </c>
      <c r="E327">
        <v>54</v>
      </c>
      <c r="F327" t="s">
        <v>12220</v>
      </c>
      <c r="G327" t="s">
        <v>12219</v>
      </c>
      <c r="H327" t="s">
        <v>3401</v>
      </c>
      <c r="I327">
        <v>5102</v>
      </c>
      <c r="J327" s="3">
        <v>280.66000000000003</v>
      </c>
      <c r="K327" s="3">
        <v>136.75</v>
      </c>
      <c r="L327">
        <v>51.28</v>
      </c>
    </row>
    <row r="328" spans="1:12">
      <c r="A328" s="1">
        <v>46025</v>
      </c>
      <c r="B328" t="s">
        <v>12466</v>
      </c>
      <c r="C328">
        <v>4</v>
      </c>
      <c r="D328" t="str">
        <f>VLOOKUP(Tabela26[[#This Row],[EMP]],[1]LOJA!$A:$B,2,0)</f>
        <v>ADE</v>
      </c>
      <c r="E328">
        <v>132</v>
      </c>
      <c r="F328" t="s">
        <v>3664</v>
      </c>
      <c r="G328" t="s">
        <v>3663</v>
      </c>
      <c r="H328" t="s">
        <v>3430</v>
      </c>
      <c r="I328">
        <v>5405</v>
      </c>
      <c r="J328" s="3">
        <v>399.77</v>
      </c>
      <c r="K328" s="3">
        <v>192.08</v>
      </c>
      <c r="L328">
        <v>51.95</v>
      </c>
    </row>
    <row r="329" spans="1:12">
      <c r="A329" s="1">
        <v>46025</v>
      </c>
      <c r="B329" t="s">
        <v>12465</v>
      </c>
      <c r="C329">
        <v>4</v>
      </c>
      <c r="D329" t="str">
        <f>VLOOKUP(Tabela26[[#This Row],[EMP]],[1]LOJA!$A:$B,2,0)</f>
        <v>ADE</v>
      </c>
      <c r="E329">
        <v>132</v>
      </c>
      <c r="F329" t="s">
        <v>12172</v>
      </c>
      <c r="G329" t="s">
        <v>12171</v>
      </c>
      <c r="H329" t="s">
        <v>3401</v>
      </c>
      <c r="I329">
        <v>1202</v>
      </c>
      <c r="J329" s="3">
        <v>-35</v>
      </c>
      <c r="K329" s="3">
        <v>-19.809999999999999</v>
      </c>
      <c r="L329">
        <v>43.4</v>
      </c>
    </row>
    <row r="330" spans="1:12">
      <c r="A330" s="1">
        <v>46025</v>
      </c>
      <c r="B330" t="s">
        <v>12464</v>
      </c>
      <c r="C330">
        <v>13</v>
      </c>
      <c r="D330" t="str">
        <f>VLOOKUP(Tabela26[[#This Row],[EMP]],[1]LOJA!$A:$B,2,0)</f>
        <v>CEILÂNDIA</v>
      </c>
      <c r="E330">
        <v>86</v>
      </c>
      <c r="F330" t="s">
        <v>3403</v>
      </c>
      <c r="G330" t="s">
        <v>3402</v>
      </c>
      <c r="H330" t="s">
        <v>3401</v>
      </c>
      <c r="I330">
        <v>5102</v>
      </c>
      <c r="J330" s="3">
        <v>130</v>
      </c>
      <c r="K330" s="3">
        <v>73.09</v>
      </c>
      <c r="L330">
        <v>43.78</v>
      </c>
    </row>
    <row r="331" spans="1:12">
      <c r="A331" s="1">
        <v>46025</v>
      </c>
      <c r="B331" t="s">
        <v>12463</v>
      </c>
      <c r="C331">
        <v>13</v>
      </c>
      <c r="D331" t="str">
        <f>VLOOKUP(Tabela26[[#This Row],[EMP]],[1]LOJA!$A:$B,2,0)</f>
        <v>CEILÂNDIA</v>
      </c>
      <c r="E331">
        <v>86</v>
      </c>
      <c r="F331" t="s">
        <v>3403</v>
      </c>
      <c r="G331" t="s">
        <v>3402</v>
      </c>
      <c r="H331" t="s">
        <v>3408</v>
      </c>
      <c r="I331">
        <v>5102</v>
      </c>
      <c r="J331" s="3">
        <v>20</v>
      </c>
      <c r="K331" s="3">
        <v>9.7899999999999991</v>
      </c>
      <c r="L331">
        <v>51.05</v>
      </c>
    </row>
    <row r="332" spans="1:12">
      <c r="A332" s="1">
        <v>46025</v>
      </c>
      <c r="B332" t="s">
        <v>12462</v>
      </c>
      <c r="C332">
        <v>13</v>
      </c>
      <c r="D332" t="str">
        <f>VLOOKUP(Tabela26[[#This Row],[EMP]],[1]LOJA!$A:$B,2,0)</f>
        <v>CEILÂNDIA</v>
      </c>
      <c r="E332">
        <v>86</v>
      </c>
      <c r="F332" t="s">
        <v>3403</v>
      </c>
      <c r="G332" t="s">
        <v>3402</v>
      </c>
      <c r="H332" t="s">
        <v>3401</v>
      </c>
      <c r="I332">
        <v>5102</v>
      </c>
      <c r="J332" s="3">
        <v>115</v>
      </c>
      <c r="K332" s="3">
        <v>70.459999999999994</v>
      </c>
      <c r="L332">
        <v>38.729999999999997</v>
      </c>
    </row>
    <row r="333" spans="1:12">
      <c r="A333" s="1">
        <v>46025</v>
      </c>
      <c r="B333" t="s">
        <v>12461</v>
      </c>
      <c r="C333">
        <v>13</v>
      </c>
      <c r="D333" t="str">
        <f>VLOOKUP(Tabela26[[#This Row],[EMP]],[1]LOJA!$A:$B,2,0)</f>
        <v>CEILÂNDIA</v>
      </c>
      <c r="E333">
        <v>86</v>
      </c>
      <c r="F333" t="s">
        <v>3403</v>
      </c>
      <c r="G333" t="s">
        <v>3402</v>
      </c>
      <c r="H333" t="s">
        <v>3401</v>
      </c>
      <c r="I333">
        <v>5102</v>
      </c>
      <c r="J333" s="3">
        <v>110</v>
      </c>
      <c r="K333" s="3">
        <v>61.8</v>
      </c>
      <c r="L333">
        <v>43.82</v>
      </c>
    </row>
    <row r="334" spans="1:12">
      <c r="A334" s="1">
        <v>46025</v>
      </c>
      <c r="B334" t="s">
        <v>12460</v>
      </c>
      <c r="C334">
        <v>13</v>
      </c>
      <c r="D334" t="str">
        <f>VLOOKUP(Tabela26[[#This Row],[EMP]],[1]LOJA!$A:$B,2,0)</f>
        <v>CEILÂNDIA</v>
      </c>
      <c r="E334">
        <v>86</v>
      </c>
      <c r="F334" t="s">
        <v>3403</v>
      </c>
      <c r="G334" t="s">
        <v>3402</v>
      </c>
      <c r="H334" t="s">
        <v>3401</v>
      </c>
      <c r="I334">
        <v>5102</v>
      </c>
      <c r="J334" s="3">
        <v>65</v>
      </c>
      <c r="K334" s="3">
        <v>37.07</v>
      </c>
      <c r="L334">
        <v>42.97</v>
      </c>
    </row>
    <row r="335" spans="1:12">
      <c r="A335" s="1">
        <v>46025</v>
      </c>
      <c r="B335" t="s">
        <v>12459</v>
      </c>
      <c r="C335">
        <v>6</v>
      </c>
      <c r="D335" t="str">
        <f>VLOOKUP(Tabela26[[#This Row],[EMP]],[1]LOJA!$A:$B,2,0)</f>
        <v>GAMA</v>
      </c>
      <c r="E335">
        <v>245</v>
      </c>
      <c r="F335" t="s">
        <v>12458</v>
      </c>
      <c r="G335" t="s">
        <v>3402</v>
      </c>
      <c r="H335" t="s">
        <v>3401</v>
      </c>
      <c r="I335">
        <v>5405</v>
      </c>
      <c r="J335" s="3">
        <v>615</v>
      </c>
      <c r="K335" s="3">
        <v>314.54000000000002</v>
      </c>
      <c r="L335">
        <v>48.86</v>
      </c>
    </row>
    <row r="336" spans="1:12">
      <c r="A336" s="1">
        <v>46025</v>
      </c>
      <c r="B336" t="s">
        <v>12457</v>
      </c>
      <c r="C336">
        <v>6</v>
      </c>
      <c r="D336" t="str">
        <f>VLOOKUP(Tabela26[[#This Row],[EMP]],[1]LOJA!$A:$B,2,0)</f>
        <v>GAMA</v>
      </c>
      <c r="E336">
        <v>245</v>
      </c>
      <c r="F336" t="s">
        <v>3565</v>
      </c>
      <c r="G336" t="s">
        <v>3564</v>
      </c>
      <c r="H336" t="s">
        <v>3401</v>
      </c>
      <c r="I336">
        <v>5102</v>
      </c>
      <c r="J336" s="3">
        <v>21</v>
      </c>
      <c r="K336" s="3">
        <v>11.1</v>
      </c>
      <c r="L336">
        <v>47.14</v>
      </c>
    </row>
    <row r="337" spans="1:12">
      <c r="A337" s="1">
        <v>46025</v>
      </c>
      <c r="B337" t="s">
        <v>12456</v>
      </c>
      <c r="C337">
        <v>6</v>
      </c>
      <c r="D337" t="str">
        <f>VLOOKUP(Tabela26[[#This Row],[EMP]],[1]LOJA!$A:$B,2,0)</f>
        <v>GAMA</v>
      </c>
      <c r="E337">
        <v>245</v>
      </c>
      <c r="F337" t="s">
        <v>3399</v>
      </c>
      <c r="G337" t="s">
        <v>3398</v>
      </c>
      <c r="H337" t="s">
        <v>12453</v>
      </c>
      <c r="I337">
        <v>5405</v>
      </c>
      <c r="J337" s="3">
        <v>77</v>
      </c>
      <c r="K337" s="3">
        <v>39.24</v>
      </c>
      <c r="L337">
        <v>49.04</v>
      </c>
    </row>
    <row r="338" spans="1:12">
      <c r="A338" s="1">
        <v>46025</v>
      </c>
      <c r="B338" t="s">
        <v>12455</v>
      </c>
      <c r="C338">
        <v>6</v>
      </c>
      <c r="D338" t="str">
        <f>VLOOKUP(Tabela26[[#This Row],[EMP]],[1]LOJA!$A:$B,2,0)</f>
        <v>GAMA</v>
      </c>
      <c r="E338">
        <v>245</v>
      </c>
      <c r="F338" t="s">
        <v>3403</v>
      </c>
      <c r="G338" t="s">
        <v>3402</v>
      </c>
      <c r="H338" t="s">
        <v>3401</v>
      </c>
      <c r="I338">
        <v>5102</v>
      </c>
      <c r="J338" s="3">
        <v>50</v>
      </c>
      <c r="K338" s="3">
        <v>25.46</v>
      </c>
      <c r="L338">
        <v>49.08</v>
      </c>
    </row>
    <row r="339" spans="1:12">
      <c r="A339" s="1">
        <v>46025</v>
      </c>
      <c r="B339" t="s">
        <v>12454</v>
      </c>
      <c r="C339">
        <v>6</v>
      </c>
      <c r="D339" t="str">
        <f>VLOOKUP(Tabela26[[#This Row],[EMP]],[1]LOJA!$A:$B,2,0)</f>
        <v>GAMA</v>
      </c>
      <c r="E339">
        <v>245</v>
      </c>
      <c r="F339" t="s">
        <v>3399</v>
      </c>
      <c r="G339" t="s">
        <v>3398</v>
      </c>
      <c r="H339" t="s">
        <v>12453</v>
      </c>
      <c r="I339">
        <v>5102</v>
      </c>
      <c r="J339" s="3">
        <v>58.73</v>
      </c>
      <c r="K339" s="3">
        <v>31.81</v>
      </c>
      <c r="L339">
        <v>45.84</v>
      </c>
    </row>
    <row r="340" spans="1:12">
      <c r="A340" s="1">
        <v>46025</v>
      </c>
      <c r="B340" t="s">
        <v>12452</v>
      </c>
      <c r="C340">
        <v>6</v>
      </c>
      <c r="D340" t="str">
        <f>VLOOKUP(Tabela26[[#This Row],[EMP]],[1]LOJA!$A:$B,2,0)</f>
        <v>GAMA</v>
      </c>
      <c r="E340">
        <v>245</v>
      </c>
      <c r="F340" t="s">
        <v>3403</v>
      </c>
      <c r="G340" t="s">
        <v>3402</v>
      </c>
      <c r="H340" t="s">
        <v>3401</v>
      </c>
      <c r="I340">
        <v>5405</v>
      </c>
      <c r="J340" s="3">
        <v>115</v>
      </c>
      <c r="K340" s="3">
        <v>48.94</v>
      </c>
      <c r="L340">
        <v>57.44</v>
      </c>
    </row>
    <row r="341" spans="1:12">
      <c r="A341" s="1">
        <v>46027</v>
      </c>
      <c r="B341" t="s">
        <v>12451</v>
      </c>
      <c r="C341">
        <v>24</v>
      </c>
      <c r="D341" t="str">
        <f>VLOOKUP(Tabela26[[#This Row],[EMP]],[1]LOJA!$A:$B,2,0)</f>
        <v>LUZIÂNIA</v>
      </c>
      <c r="E341">
        <v>192</v>
      </c>
      <c r="F341" t="s">
        <v>4286</v>
      </c>
      <c r="G341" t="s">
        <v>4285</v>
      </c>
      <c r="H341" t="s">
        <v>3430</v>
      </c>
      <c r="I341">
        <v>5102</v>
      </c>
      <c r="J341" s="3">
        <v>340</v>
      </c>
      <c r="K341" s="3">
        <v>116.6</v>
      </c>
      <c r="L341">
        <v>65.709999999999994</v>
      </c>
    </row>
    <row r="342" spans="1:12">
      <c r="A342" s="1">
        <v>46027</v>
      </c>
      <c r="B342" t="s">
        <v>12450</v>
      </c>
      <c r="C342">
        <v>24</v>
      </c>
      <c r="D342" t="str">
        <f>VLOOKUP(Tabela26[[#This Row],[EMP]],[1]LOJA!$A:$B,2,0)</f>
        <v>LUZIÂNIA</v>
      </c>
      <c r="E342">
        <v>192</v>
      </c>
      <c r="F342" t="s">
        <v>4286</v>
      </c>
      <c r="G342" t="s">
        <v>4285</v>
      </c>
      <c r="H342" t="s">
        <v>3430</v>
      </c>
      <c r="I342">
        <v>5102</v>
      </c>
      <c r="J342" s="3">
        <v>65</v>
      </c>
      <c r="K342" s="3">
        <v>31.81</v>
      </c>
      <c r="L342">
        <v>51.06</v>
      </c>
    </row>
    <row r="343" spans="1:12">
      <c r="A343" s="1">
        <v>46027</v>
      </c>
      <c r="B343" t="s">
        <v>12449</v>
      </c>
      <c r="C343">
        <v>24</v>
      </c>
      <c r="D343" t="str">
        <f>VLOOKUP(Tabela26[[#This Row],[EMP]],[1]LOJA!$A:$B,2,0)</f>
        <v>LUZIÂNIA</v>
      </c>
      <c r="E343">
        <v>192</v>
      </c>
      <c r="F343" t="s">
        <v>4949</v>
      </c>
      <c r="G343" t="s">
        <v>4948</v>
      </c>
      <c r="H343" t="s">
        <v>3430</v>
      </c>
      <c r="I343">
        <v>5102</v>
      </c>
      <c r="J343" s="3">
        <v>72.44</v>
      </c>
      <c r="K343" s="3">
        <v>42.08</v>
      </c>
      <c r="L343">
        <v>41.91</v>
      </c>
    </row>
    <row r="344" spans="1:12">
      <c r="A344" s="1">
        <v>46027</v>
      </c>
      <c r="B344" t="s">
        <v>12448</v>
      </c>
      <c r="C344">
        <v>24</v>
      </c>
      <c r="D344" t="str">
        <f>VLOOKUP(Tabela26[[#This Row],[EMP]],[1]LOJA!$A:$B,2,0)</f>
        <v>LUZIÂNIA</v>
      </c>
      <c r="E344">
        <v>150</v>
      </c>
      <c r="F344" t="s">
        <v>4282</v>
      </c>
      <c r="G344" t="s">
        <v>4281</v>
      </c>
      <c r="H344" t="s">
        <v>3430</v>
      </c>
      <c r="I344">
        <v>5405</v>
      </c>
      <c r="J344" s="3">
        <v>235.51</v>
      </c>
      <c r="K344" s="3">
        <v>115.91</v>
      </c>
      <c r="L344">
        <v>50.78</v>
      </c>
    </row>
    <row r="345" spans="1:12">
      <c r="A345" s="1">
        <v>46027</v>
      </c>
      <c r="B345" t="s">
        <v>12447</v>
      </c>
      <c r="C345">
        <v>24</v>
      </c>
      <c r="D345" t="str">
        <f>VLOOKUP(Tabela26[[#This Row],[EMP]],[1]LOJA!$A:$B,2,0)</f>
        <v>LUZIÂNIA</v>
      </c>
      <c r="E345">
        <v>150</v>
      </c>
      <c r="F345" t="s">
        <v>4282</v>
      </c>
      <c r="G345" t="s">
        <v>4281</v>
      </c>
      <c r="H345" t="s">
        <v>3430</v>
      </c>
      <c r="I345">
        <v>5102</v>
      </c>
      <c r="J345" s="3">
        <v>40.98</v>
      </c>
      <c r="K345" s="3">
        <v>27.78</v>
      </c>
      <c r="L345">
        <v>32.21</v>
      </c>
    </row>
    <row r="346" spans="1:12">
      <c r="A346" s="1">
        <v>46027</v>
      </c>
      <c r="B346" t="s">
        <v>12446</v>
      </c>
      <c r="C346">
        <v>24</v>
      </c>
      <c r="D346" t="str">
        <f>VLOOKUP(Tabela26[[#This Row],[EMP]],[1]LOJA!$A:$B,2,0)</f>
        <v>LUZIÂNIA</v>
      </c>
      <c r="E346">
        <v>150</v>
      </c>
      <c r="F346" t="s">
        <v>3549</v>
      </c>
      <c r="G346" t="s">
        <v>3548</v>
      </c>
      <c r="H346" t="s">
        <v>12292</v>
      </c>
      <c r="I346">
        <v>5102</v>
      </c>
      <c r="J346" s="3">
        <v>280</v>
      </c>
      <c r="K346" s="3">
        <v>137.74</v>
      </c>
      <c r="L346">
        <v>50.81</v>
      </c>
    </row>
    <row r="347" spans="1:12">
      <c r="A347" s="1">
        <v>46027</v>
      </c>
      <c r="B347" t="s">
        <v>12445</v>
      </c>
      <c r="C347">
        <v>24</v>
      </c>
      <c r="D347" t="str">
        <f>VLOOKUP(Tabela26[[#This Row],[EMP]],[1]LOJA!$A:$B,2,0)</f>
        <v>LUZIÂNIA</v>
      </c>
      <c r="E347">
        <v>150</v>
      </c>
      <c r="F347" t="s">
        <v>4273</v>
      </c>
      <c r="G347" t="s">
        <v>4272</v>
      </c>
      <c r="H347" t="s">
        <v>3520</v>
      </c>
      <c r="I347">
        <v>5102</v>
      </c>
      <c r="J347" s="3">
        <v>412.66</v>
      </c>
      <c r="K347" s="3">
        <v>219.55</v>
      </c>
      <c r="L347">
        <v>46.8</v>
      </c>
    </row>
    <row r="348" spans="1:12">
      <c r="A348" s="1">
        <v>46027</v>
      </c>
      <c r="B348" t="s">
        <v>12444</v>
      </c>
      <c r="C348">
        <v>24</v>
      </c>
      <c r="D348" t="str">
        <f>VLOOKUP(Tabela26[[#This Row],[EMP]],[1]LOJA!$A:$B,2,0)</f>
        <v>LUZIÂNIA</v>
      </c>
      <c r="E348">
        <v>150</v>
      </c>
      <c r="F348" t="s">
        <v>5987</v>
      </c>
      <c r="G348" t="s">
        <v>5986</v>
      </c>
      <c r="H348" t="s">
        <v>7400</v>
      </c>
      <c r="I348">
        <v>5405</v>
      </c>
      <c r="J348" s="3">
        <v>314.8</v>
      </c>
      <c r="K348" s="3">
        <v>167.76</v>
      </c>
      <c r="L348">
        <v>46.71</v>
      </c>
    </row>
    <row r="349" spans="1:12">
      <c r="A349" s="1">
        <v>46027</v>
      </c>
      <c r="B349" t="s">
        <v>12443</v>
      </c>
      <c r="C349">
        <v>24</v>
      </c>
      <c r="D349" t="str">
        <f>VLOOKUP(Tabela26[[#This Row],[EMP]],[1]LOJA!$A:$B,2,0)</f>
        <v>LUZIÂNIA</v>
      </c>
      <c r="E349">
        <v>150</v>
      </c>
      <c r="F349" t="s">
        <v>4276</v>
      </c>
      <c r="G349" t="s">
        <v>4275</v>
      </c>
      <c r="H349" t="s">
        <v>3520</v>
      </c>
      <c r="I349">
        <v>5405</v>
      </c>
      <c r="J349" s="3">
        <v>547.9</v>
      </c>
      <c r="K349" s="3">
        <v>335.53</v>
      </c>
      <c r="L349">
        <v>38.76</v>
      </c>
    </row>
    <row r="350" spans="1:12">
      <c r="A350" s="1">
        <v>46027</v>
      </c>
      <c r="B350" t="s">
        <v>12442</v>
      </c>
      <c r="C350">
        <v>24</v>
      </c>
      <c r="D350" t="str">
        <f>VLOOKUP(Tabela26[[#This Row],[EMP]],[1]LOJA!$A:$B,2,0)</f>
        <v>LUZIÂNIA</v>
      </c>
      <c r="E350">
        <v>150</v>
      </c>
      <c r="F350" t="s">
        <v>5987</v>
      </c>
      <c r="G350" t="s">
        <v>5986</v>
      </c>
      <c r="H350" t="s">
        <v>7400</v>
      </c>
      <c r="I350">
        <v>5405</v>
      </c>
      <c r="J350" s="3">
        <v>292.17</v>
      </c>
      <c r="K350" s="3">
        <v>145.87</v>
      </c>
      <c r="L350">
        <v>50.07</v>
      </c>
    </row>
    <row r="351" spans="1:12">
      <c r="A351" s="1">
        <v>46027</v>
      </c>
      <c r="B351" t="s">
        <v>12441</v>
      </c>
      <c r="C351">
        <v>16</v>
      </c>
      <c r="D351" t="str">
        <f>VLOOKUP(Tabela26[[#This Row],[EMP]],[1]LOJA!$A:$B,2,0)</f>
        <v>AG LINDAS</v>
      </c>
      <c r="E351">
        <v>240</v>
      </c>
      <c r="F351" t="s">
        <v>4267</v>
      </c>
      <c r="G351" t="s">
        <v>4266</v>
      </c>
      <c r="H351" t="s">
        <v>3430</v>
      </c>
      <c r="I351">
        <v>5102</v>
      </c>
      <c r="J351" s="3">
        <v>177.9</v>
      </c>
      <c r="K351" s="3">
        <v>108.71</v>
      </c>
      <c r="L351">
        <v>38.89</v>
      </c>
    </row>
    <row r="352" spans="1:12">
      <c r="A352" s="1">
        <v>46027</v>
      </c>
      <c r="B352" t="s">
        <v>12440</v>
      </c>
      <c r="C352">
        <v>15</v>
      </c>
      <c r="D352" t="str">
        <f>VLOOKUP(Tabela26[[#This Row],[EMP]],[1]LOJA!$A:$B,2,0)</f>
        <v>UNAÍ</v>
      </c>
      <c r="E352">
        <v>183</v>
      </c>
      <c r="F352" t="s">
        <v>4686</v>
      </c>
      <c r="G352" t="s">
        <v>4685</v>
      </c>
      <c r="H352" t="s">
        <v>3520</v>
      </c>
      <c r="I352">
        <v>5405</v>
      </c>
      <c r="J352" s="3">
        <v>95</v>
      </c>
      <c r="K352" s="3">
        <v>46.13</v>
      </c>
      <c r="L352">
        <v>51.44</v>
      </c>
    </row>
    <row r="353" spans="1:12">
      <c r="A353" s="1">
        <v>46027</v>
      </c>
      <c r="B353" t="s">
        <v>12439</v>
      </c>
      <c r="C353">
        <v>22</v>
      </c>
      <c r="D353" t="str">
        <f>VLOOKUP(Tabela26[[#This Row],[EMP]],[1]LOJA!$A:$B,2,0)</f>
        <v>GUARÁ</v>
      </c>
      <c r="E353">
        <v>93</v>
      </c>
      <c r="F353" t="s">
        <v>3535</v>
      </c>
      <c r="G353" t="s">
        <v>3534</v>
      </c>
      <c r="H353" t="s">
        <v>3426</v>
      </c>
      <c r="I353">
        <v>5405</v>
      </c>
      <c r="J353" s="3">
        <v>1155.82</v>
      </c>
      <c r="K353" s="3">
        <v>622.07000000000005</v>
      </c>
      <c r="L353">
        <v>46.18</v>
      </c>
    </row>
    <row r="354" spans="1:12">
      <c r="A354" s="1">
        <v>46027</v>
      </c>
      <c r="B354" t="s">
        <v>12438</v>
      </c>
      <c r="C354">
        <v>22</v>
      </c>
      <c r="D354" t="str">
        <f>VLOOKUP(Tabela26[[#This Row],[EMP]],[1]LOJA!$A:$B,2,0)</f>
        <v>GUARÁ</v>
      </c>
      <c r="E354">
        <v>93</v>
      </c>
      <c r="F354" t="s">
        <v>3535</v>
      </c>
      <c r="G354" t="s">
        <v>3534</v>
      </c>
      <c r="H354" t="s">
        <v>3426</v>
      </c>
      <c r="I354">
        <v>5405</v>
      </c>
      <c r="J354" s="3">
        <v>489.69</v>
      </c>
      <c r="K354" s="3">
        <v>257.79000000000002</v>
      </c>
      <c r="L354">
        <v>47.36</v>
      </c>
    </row>
    <row r="355" spans="1:12">
      <c r="A355" s="1">
        <v>46027</v>
      </c>
      <c r="B355" t="s">
        <v>12437</v>
      </c>
      <c r="C355">
        <v>22</v>
      </c>
      <c r="D355" t="str">
        <f>VLOOKUP(Tabela26[[#This Row],[EMP]],[1]LOJA!$A:$B,2,0)</f>
        <v>GUARÁ</v>
      </c>
      <c r="E355">
        <v>93</v>
      </c>
      <c r="F355" t="s">
        <v>12436</v>
      </c>
      <c r="G355" t="s">
        <v>12435</v>
      </c>
      <c r="H355" t="s">
        <v>3408</v>
      </c>
      <c r="I355">
        <v>5405</v>
      </c>
      <c r="J355" s="3">
        <v>45</v>
      </c>
      <c r="K355" s="3">
        <v>18.87</v>
      </c>
      <c r="L355">
        <v>58.07</v>
      </c>
    </row>
    <row r="356" spans="1:12">
      <c r="A356" s="1">
        <v>46027</v>
      </c>
      <c r="B356" t="s">
        <v>12434</v>
      </c>
      <c r="C356">
        <v>22</v>
      </c>
      <c r="D356" t="str">
        <f>VLOOKUP(Tabela26[[#This Row],[EMP]],[1]LOJA!$A:$B,2,0)</f>
        <v>GUARÁ</v>
      </c>
      <c r="E356">
        <v>93</v>
      </c>
      <c r="F356" t="s">
        <v>3542</v>
      </c>
      <c r="G356" t="s">
        <v>3541</v>
      </c>
      <c r="H356" t="s">
        <v>3430</v>
      </c>
      <c r="I356">
        <v>5102</v>
      </c>
      <c r="J356" s="3">
        <v>478.76</v>
      </c>
      <c r="K356" s="3">
        <v>314.54000000000002</v>
      </c>
      <c r="L356">
        <v>34.299999999999997</v>
      </c>
    </row>
    <row r="357" spans="1:12">
      <c r="A357" s="1">
        <v>46027</v>
      </c>
      <c r="B357" t="s">
        <v>12433</v>
      </c>
      <c r="C357">
        <v>24</v>
      </c>
      <c r="D357" t="str">
        <f>VLOOKUP(Tabela26[[#This Row],[EMP]],[1]LOJA!$A:$B,2,0)</f>
        <v>LUZIÂNIA</v>
      </c>
      <c r="E357">
        <v>150</v>
      </c>
      <c r="F357" t="s">
        <v>5429</v>
      </c>
      <c r="G357" t="s">
        <v>5428</v>
      </c>
      <c r="H357" t="s">
        <v>3401</v>
      </c>
      <c r="I357">
        <v>5102</v>
      </c>
      <c r="J357" s="3">
        <v>195</v>
      </c>
      <c r="K357" s="3">
        <v>102.51</v>
      </c>
      <c r="L357">
        <v>47.43</v>
      </c>
    </row>
    <row r="358" spans="1:12">
      <c r="A358" s="1">
        <v>46027</v>
      </c>
      <c r="B358" t="s">
        <v>12432</v>
      </c>
      <c r="C358">
        <v>24</v>
      </c>
      <c r="D358" t="str">
        <f>VLOOKUP(Tabela26[[#This Row],[EMP]],[1]LOJA!$A:$B,2,0)</f>
        <v>LUZIÂNIA</v>
      </c>
      <c r="E358">
        <v>150</v>
      </c>
      <c r="F358" t="s">
        <v>3527</v>
      </c>
      <c r="G358" t="s">
        <v>3526</v>
      </c>
      <c r="H358" t="s">
        <v>3408</v>
      </c>
      <c r="I358">
        <v>5405</v>
      </c>
      <c r="J358" s="3">
        <v>310.58</v>
      </c>
      <c r="K358" s="3">
        <v>173.04</v>
      </c>
      <c r="L358">
        <v>44.28</v>
      </c>
    </row>
    <row r="359" spans="1:12">
      <c r="A359" s="1">
        <v>46027</v>
      </c>
      <c r="B359" t="s">
        <v>12431</v>
      </c>
      <c r="C359">
        <v>24</v>
      </c>
      <c r="D359" t="str">
        <f>VLOOKUP(Tabela26[[#This Row],[EMP]],[1]LOJA!$A:$B,2,0)</f>
        <v>LUZIÂNIA</v>
      </c>
      <c r="E359">
        <v>150</v>
      </c>
      <c r="F359" t="s">
        <v>3524</v>
      </c>
      <c r="G359" t="s">
        <v>3402</v>
      </c>
      <c r="H359" t="s">
        <v>3401</v>
      </c>
      <c r="I359">
        <v>5102</v>
      </c>
      <c r="J359" s="3">
        <v>44</v>
      </c>
      <c r="K359" s="3">
        <v>24.72</v>
      </c>
      <c r="L359">
        <v>43.82</v>
      </c>
    </row>
    <row r="360" spans="1:12">
      <c r="A360" s="1">
        <v>46027</v>
      </c>
      <c r="B360" t="s">
        <v>12430</v>
      </c>
      <c r="C360">
        <v>24</v>
      </c>
      <c r="D360" t="str">
        <f>VLOOKUP(Tabela26[[#This Row],[EMP]],[1]LOJA!$A:$B,2,0)</f>
        <v>LUZIÂNIA</v>
      </c>
      <c r="E360">
        <v>192</v>
      </c>
      <c r="F360" t="s">
        <v>5426</v>
      </c>
      <c r="G360" t="s">
        <v>5425</v>
      </c>
      <c r="H360" t="s">
        <v>3401</v>
      </c>
      <c r="I360">
        <v>5102</v>
      </c>
      <c r="J360" s="3">
        <v>78</v>
      </c>
      <c r="K360" s="3">
        <v>40.299999999999997</v>
      </c>
      <c r="L360">
        <v>48.33</v>
      </c>
    </row>
    <row r="361" spans="1:12">
      <c r="A361" s="1">
        <v>46027</v>
      </c>
      <c r="B361" t="s">
        <v>12429</v>
      </c>
      <c r="C361">
        <v>24</v>
      </c>
      <c r="D361" t="str">
        <f>VLOOKUP(Tabela26[[#This Row],[EMP]],[1]LOJA!$A:$B,2,0)</f>
        <v>LUZIÂNIA</v>
      </c>
      <c r="E361">
        <v>192</v>
      </c>
      <c r="F361" t="s">
        <v>3524</v>
      </c>
      <c r="G361" t="s">
        <v>3402</v>
      </c>
      <c r="H361" t="s">
        <v>3401</v>
      </c>
      <c r="I361">
        <v>5405</v>
      </c>
      <c r="J361" s="3">
        <v>36</v>
      </c>
      <c r="K361" s="3">
        <v>16.989999999999998</v>
      </c>
      <c r="L361">
        <v>52.81</v>
      </c>
    </row>
    <row r="362" spans="1:12">
      <c r="A362" s="1">
        <v>46027</v>
      </c>
      <c r="B362" t="s">
        <v>12428</v>
      </c>
      <c r="C362">
        <v>24</v>
      </c>
      <c r="D362" t="str">
        <f>VLOOKUP(Tabela26[[#This Row],[EMP]],[1]LOJA!$A:$B,2,0)</f>
        <v>LUZIÂNIA</v>
      </c>
      <c r="E362">
        <v>150</v>
      </c>
      <c r="F362" t="s">
        <v>3524</v>
      </c>
      <c r="G362" t="s">
        <v>3402</v>
      </c>
      <c r="H362" t="s">
        <v>3401</v>
      </c>
      <c r="I362">
        <v>5102</v>
      </c>
      <c r="J362" s="3">
        <v>115</v>
      </c>
      <c r="K362" s="3">
        <v>63.78</v>
      </c>
      <c r="L362">
        <v>44.54</v>
      </c>
    </row>
    <row r="363" spans="1:12">
      <c r="A363" s="1">
        <v>46027</v>
      </c>
      <c r="B363" t="s">
        <v>12427</v>
      </c>
      <c r="C363">
        <v>24</v>
      </c>
      <c r="D363" t="str">
        <f>VLOOKUP(Tabela26[[#This Row],[EMP]],[1]LOJA!$A:$B,2,0)</f>
        <v>LUZIÂNIA</v>
      </c>
      <c r="E363">
        <v>192</v>
      </c>
      <c r="F363" t="s">
        <v>4222</v>
      </c>
      <c r="G363" t="s">
        <v>4221</v>
      </c>
      <c r="H363" t="s">
        <v>3401</v>
      </c>
      <c r="I363">
        <v>5405</v>
      </c>
      <c r="J363" s="3">
        <v>78</v>
      </c>
      <c r="K363" s="3">
        <v>36.46</v>
      </c>
      <c r="L363">
        <v>53.26</v>
      </c>
    </row>
    <row r="364" spans="1:12">
      <c r="A364" s="1">
        <v>46027</v>
      </c>
      <c r="B364" t="s">
        <v>12426</v>
      </c>
      <c r="C364">
        <v>24</v>
      </c>
      <c r="D364" t="str">
        <f>VLOOKUP(Tabela26[[#This Row],[EMP]],[1]LOJA!$A:$B,2,0)</f>
        <v>LUZIÂNIA</v>
      </c>
      <c r="E364">
        <v>242</v>
      </c>
      <c r="F364" t="s">
        <v>3524</v>
      </c>
      <c r="G364" t="s">
        <v>3402</v>
      </c>
      <c r="H364" t="s">
        <v>3401</v>
      </c>
      <c r="I364">
        <v>5405</v>
      </c>
      <c r="J364" s="3">
        <v>75</v>
      </c>
      <c r="K364" s="3">
        <v>33.74</v>
      </c>
      <c r="L364">
        <v>55.01</v>
      </c>
    </row>
    <row r="365" spans="1:12">
      <c r="A365" s="1">
        <v>46027</v>
      </c>
      <c r="B365" t="s">
        <v>12425</v>
      </c>
      <c r="C365">
        <v>24</v>
      </c>
      <c r="D365" t="str">
        <f>VLOOKUP(Tabela26[[#This Row],[EMP]],[1]LOJA!$A:$B,2,0)</f>
        <v>LUZIÂNIA</v>
      </c>
      <c r="E365">
        <v>242</v>
      </c>
      <c r="F365" t="s">
        <v>3524</v>
      </c>
      <c r="G365" t="s">
        <v>3402</v>
      </c>
      <c r="H365" t="s">
        <v>3401</v>
      </c>
      <c r="I365">
        <v>5405</v>
      </c>
      <c r="J365" s="3">
        <v>15</v>
      </c>
      <c r="K365" s="3">
        <v>6.92</v>
      </c>
      <c r="L365">
        <v>53.87</v>
      </c>
    </row>
    <row r="366" spans="1:12">
      <c r="A366" s="1">
        <v>46027</v>
      </c>
      <c r="B366" t="s">
        <v>12424</v>
      </c>
      <c r="C366">
        <v>24</v>
      </c>
      <c r="D366" t="str">
        <f>VLOOKUP(Tabela26[[#This Row],[EMP]],[1]LOJA!$A:$B,2,0)</f>
        <v>LUZIÂNIA</v>
      </c>
      <c r="E366">
        <v>150</v>
      </c>
      <c r="F366" t="s">
        <v>4898</v>
      </c>
      <c r="G366" t="s">
        <v>4897</v>
      </c>
      <c r="H366" t="s">
        <v>3401</v>
      </c>
      <c r="I366">
        <v>5405</v>
      </c>
      <c r="J366" s="3">
        <v>95</v>
      </c>
      <c r="K366" s="3">
        <v>45.93</v>
      </c>
      <c r="L366">
        <v>51.65</v>
      </c>
    </row>
    <row r="367" spans="1:12">
      <c r="A367" s="1">
        <v>46027</v>
      </c>
      <c r="B367" t="s">
        <v>12423</v>
      </c>
      <c r="C367">
        <v>24</v>
      </c>
      <c r="D367" t="str">
        <f>VLOOKUP(Tabela26[[#This Row],[EMP]],[1]LOJA!$A:$B,2,0)</f>
        <v>LUZIÂNIA</v>
      </c>
      <c r="E367">
        <v>150</v>
      </c>
      <c r="F367" t="s">
        <v>3524</v>
      </c>
      <c r="G367" t="s">
        <v>3402</v>
      </c>
      <c r="H367" t="s">
        <v>3401</v>
      </c>
      <c r="I367">
        <v>5405</v>
      </c>
      <c r="J367" s="3">
        <v>70</v>
      </c>
      <c r="K367" s="3">
        <v>35.01</v>
      </c>
      <c r="L367">
        <v>49.99</v>
      </c>
    </row>
    <row r="368" spans="1:12">
      <c r="A368" s="1">
        <v>46027</v>
      </c>
      <c r="B368" t="s">
        <v>12422</v>
      </c>
      <c r="C368">
        <v>24</v>
      </c>
      <c r="D368" t="str">
        <f>VLOOKUP(Tabela26[[#This Row],[EMP]],[1]LOJA!$A:$B,2,0)</f>
        <v>LUZIÂNIA</v>
      </c>
      <c r="E368">
        <v>150</v>
      </c>
      <c r="F368" t="s">
        <v>3524</v>
      </c>
      <c r="G368" t="s">
        <v>3402</v>
      </c>
      <c r="H368" t="s">
        <v>3401</v>
      </c>
      <c r="I368">
        <v>5102</v>
      </c>
      <c r="J368" s="3">
        <v>18</v>
      </c>
      <c r="K368" s="3">
        <v>8.32</v>
      </c>
      <c r="L368">
        <v>53.78</v>
      </c>
    </row>
    <row r="369" spans="1:12">
      <c r="A369" s="1">
        <v>46027</v>
      </c>
      <c r="B369" t="s">
        <v>12421</v>
      </c>
      <c r="C369">
        <v>24</v>
      </c>
      <c r="D369" t="str">
        <f>VLOOKUP(Tabela26[[#This Row],[EMP]],[1]LOJA!$A:$B,2,0)</f>
        <v>LUZIÂNIA</v>
      </c>
      <c r="E369">
        <v>242</v>
      </c>
      <c r="F369" t="s">
        <v>3524</v>
      </c>
      <c r="G369" t="s">
        <v>3402</v>
      </c>
      <c r="H369" t="s">
        <v>3401</v>
      </c>
      <c r="I369">
        <v>5102</v>
      </c>
      <c r="J369" s="3">
        <v>19</v>
      </c>
      <c r="K369" s="3">
        <v>7.89</v>
      </c>
      <c r="L369">
        <v>58.47</v>
      </c>
    </row>
    <row r="370" spans="1:12">
      <c r="A370" s="1">
        <v>46027</v>
      </c>
      <c r="B370" t="s">
        <v>12420</v>
      </c>
      <c r="C370">
        <v>24</v>
      </c>
      <c r="D370" t="str">
        <f>VLOOKUP(Tabela26[[#This Row],[EMP]],[1]LOJA!$A:$B,2,0)</f>
        <v>LUZIÂNIA</v>
      </c>
      <c r="E370">
        <v>192</v>
      </c>
      <c r="F370" t="s">
        <v>6955</v>
      </c>
      <c r="G370" t="s">
        <v>6954</v>
      </c>
      <c r="H370" t="s">
        <v>3408</v>
      </c>
      <c r="I370">
        <v>5102</v>
      </c>
      <c r="J370" s="3">
        <v>241</v>
      </c>
      <c r="K370" s="3">
        <v>131.31</v>
      </c>
      <c r="L370">
        <v>45.51</v>
      </c>
    </row>
    <row r="371" spans="1:12">
      <c r="A371" s="1">
        <v>46027</v>
      </c>
      <c r="B371" t="s">
        <v>12419</v>
      </c>
      <c r="C371">
        <v>24</v>
      </c>
      <c r="D371" t="str">
        <f>VLOOKUP(Tabela26[[#This Row],[EMP]],[1]LOJA!$A:$B,2,0)</f>
        <v>LUZIÂNIA</v>
      </c>
      <c r="E371">
        <v>192</v>
      </c>
      <c r="F371" t="s">
        <v>12418</v>
      </c>
      <c r="G371" t="s">
        <v>3402</v>
      </c>
      <c r="H371" t="s">
        <v>3401</v>
      </c>
      <c r="I371">
        <v>5102</v>
      </c>
      <c r="J371" s="3">
        <v>205</v>
      </c>
      <c r="K371" s="3">
        <v>115.34</v>
      </c>
      <c r="L371">
        <v>43.74</v>
      </c>
    </row>
    <row r="372" spans="1:12">
      <c r="A372" s="1">
        <v>46027</v>
      </c>
      <c r="B372" t="s">
        <v>12417</v>
      </c>
      <c r="C372">
        <v>24</v>
      </c>
      <c r="D372" t="str">
        <f>VLOOKUP(Tabela26[[#This Row],[EMP]],[1]LOJA!$A:$B,2,0)</f>
        <v>LUZIÂNIA</v>
      </c>
      <c r="E372">
        <v>150</v>
      </c>
      <c r="F372" t="s">
        <v>9997</v>
      </c>
      <c r="G372" t="s">
        <v>3402</v>
      </c>
      <c r="H372" t="s">
        <v>3401</v>
      </c>
      <c r="I372">
        <v>5405</v>
      </c>
      <c r="J372" s="3">
        <v>60</v>
      </c>
      <c r="K372" s="3">
        <v>27.1</v>
      </c>
      <c r="L372">
        <v>54.83</v>
      </c>
    </row>
    <row r="373" spans="1:12">
      <c r="A373" s="1">
        <v>46027</v>
      </c>
      <c r="B373" t="s">
        <v>12416</v>
      </c>
      <c r="C373">
        <v>24</v>
      </c>
      <c r="D373" t="str">
        <f>VLOOKUP(Tabela26[[#This Row],[EMP]],[1]LOJA!$A:$B,2,0)</f>
        <v>LUZIÂNIA</v>
      </c>
      <c r="E373">
        <v>192</v>
      </c>
      <c r="F373" t="s">
        <v>3524</v>
      </c>
      <c r="G373" t="s">
        <v>3402</v>
      </c>
      <c r="H373" t="s">
        <v>3401</v>
      </c>
      <c r="I373">
        <v>5102</v>
      </c>
      <c r="J373" s="3">
        <v>20</v>
      </c>
      <c r="K373" s="3">
        <v>9.01</v>
      </c>
      <c r="L373">
        <v>54.95</v>
      </c>
    </row>
    <row r="374" spans="1:12">
      <c r="A374" s="1">
        <v>46027</v>
      </c>
      <c r="B374" t="s">
        <v>12415</v>
      </c>
      <c r="C374">
        <v>24</v>
      </c>
      <c r="D374" t="str">
        <f>VLOOKUP(Tabela26[[#This Row],[EMP]],[1]LOJA!$A:$B,2,0)</f>
        <v>LUZIÂNIA</v>
      </c>
      <c r="E374">
        <v>150</v>
      </c>
      <c r="F374" t="s">
        <v>4857</v>
      </c>
      <c r="G374" t="s">
        <v>4856</v>
      </c>
      <c r="H374" t="s">
        <v>3430</v>
      </c>
      <c r="I374">
        <v>5102</v>
      </c>
      <c r="J374" s="3">
        <v>872.5</v>
      </c>
      <c r="K374" s="3">
        <v>553.41999999999996</v>
      </c>
      <c r="L374">
        <v>36.57</v>
      </c>
    </row>
    <row r="375" spans="1:12">
      <c r="A375" s="1">
        <v>46027</v>
      </c>
      <c r="B375" t="s">
        <v>12414</v>
      </c>
      <c r="C375">
        <v>24</v>
      </c>
      <c r="D375" t="str">
        <f>VLOOKUP(Tabela26[[#This Row],[EMP]],[1]LOJA!$A:$B,2,0)</f>
        <v>LUZIÂNIA</v>
      </c>
      <c r="E375">
        <v>150</v>
      </c>
      <c r="F375" t="s">
        <v>3524</v>
      </c>
      <c r="G375" t="s">
        <v>3402</v>
      </c>
      <c r="H375" t="s">
        <v>3401</v>
      </c>
      <c r="I375">
        <v>5102</v>
      </c>
      <c r="J375" s="3">
        <v>100</v>
      </c>
      <c r="K375" s="3">
        <v>50.51</v>
      </c>
      <c r="L375">
        <v>49.49</v>
      </c>
    </row>
    <row r="376" spans="1:12">
      <c r="A376" s="1">
        <v>46027</v>
      </c>
      <c r="B376" t="s">
        <v>12413</v>
      </c>
      <c r="C376">
        <v>24</v>
      </c>
      <c r="D376" t="str">
        <f>VLOOKUP(Tabela26[[#This Row],[EMP]],[1]LOJA!$A:$B,2,0)</f>
        <v>LUZIÂNIA</v>
      </c>
      <c r="E376">
        <v>150</v>
      </c>
      <c r="F376" t="s">
        <v>3524</v>
      </c>
      <c r="G376" t="s">
        <v>3402</v>
      </c>
      <c r="H376" t="s">
        <v>3401</v>
      </c>
      <c r="I376">
        <v>5102</v>
      </c>
      <c r="J376" s="3">
        <v>47</v>
      </c>
      <c r="K376" s="3">
        <v>17.329999999999998</v>
      </c>
      <c r="L376">
        <v>63.13</v>
      </c>
    </row>
    <row r="377" spans="1:12">
      <c r="A377" s="1">
        <v>46027</v>
      </c>
      <c r="B377" t="s">
        <v>12412</v>
      </c>
      <c r="C377">
        <v>24</v>
      </c>
      <c r="D377" t="str">
        <f>VLOOKUP(Tabela26[[#This Row],[EMP]],[1]LOJA!$A:$B,2,0)</f>
        <v>LUZIÂNIA</v>
      </c>
      <c r="E377">
        <v>150</v>
      </c>
      <c r="F377" t="s">
        <v>5943</v>
      </c>
      <c r="G377" t="s">
        <v>5942</v>
      </c>
      <c r="H377" t="s">
        <v>3401</v>
      </c>
      <c r="I377">
        <v>5102</v>
      </c>
      <c r="J377" s="3">
        <v>160</v>
      </c>
      <c r="K377" s="3">
        <v>87.87</v>
      </c>
      <c r="L377">
        <v>45.08</v>
      </c>
    </row>
    <row r="378" spans="1:12">
      <c r="A378" s="1">
        <v>46027</v>
      </c>
      <c r="B378" t="s">
        <v>12411</v>
      </c>
      <c r="C378">
        <v>24</v>
      </c>
      <c r="D378" t="str">
        <f>VLOOKUP(Tabela26[[#This Row],[EMP]],[1]LOJA!$A:$B,2,0)</f>
        <v>LUZIÂNIA</v>
      </c>
      <c r="E378">
        <v>242</v>
      </c>
      <c r="F378" t="s">
        <v>4179</v>
      </c>
      <c r="G378" t="s">
        <v>4178</v>
      </c>
      <c r="H378" t="s">
        <v>3401</v>
      </c>
      <c r="I378">
        <v>5102</v>
      </c>
      <c r="J378" s="3">
        <v>222</v>
      </c>
      <c r="K378" s="3">
        <v>117.68</v>
      </c>
      <c r="L378">
        <v>46.99</v>
      </c>
    </row>
    <row r="379" spans="1:12">
      <c r="A379" s="1">
        <v>46027</v>
      </c>
      <c r="B379" t="s">
        <v>12410</v>
      </c>
      <c r="C379">
        <v>24</v>
      </c>
      <c r="D379" t="str">
        <f>VLOOKUP(Tabela26[[#This Row],[EMP]],[1]LOJA!$A:$B,2,0)</f>
        <v>LUZIÂNIA</v>
      </c>
      <c r="E379">
        <v>150</v>
      </c>
      <c r="F379" t="s">
        <v>3524</v>
      </c>
      <c r="G379" t="s">
        <v>3402</v>
      </c>
      <c r="H379" t="s">
        <v>3401</v>
      </c>
      <c r="I379">
        <v>5102</v>
      </c>
      <c r="J379" s="3">
        <v>24</v>
      </c>
      <c r="K379" s="3">
        <v>12.36</v>
      </c>
      <c r="L379">
        <v>48.5</v>
      </c>
    </row>
    <row r="380" spans="1:12">
      <c r="A380" s="1">
        <v>46027</v>
      </c>
      <c r="B380" t="s">
        <v>12409</v>
      </c>
      <c r="C380">
        <v>24</v>
      </c>
      <c r="D380" t="str">
        <f>VLOOKUP(Tabela26[[#This Row],[EMP]],[1]LOJA!$A:$B,2,0)</f>
        <v>LUZIÂNIA</v>
      </c>
      <c r="E380">
        <v>150</v>
      </c>
      <c r="F380" t="s">
        <v>12138</v>
      </c>
      <c r="G380" t="s">
        <v>12137</v>
      </c>
      <c r="H380" t="s">
        <v>3401</v>
      </c>
      <c r="I380">
        <v>5405</v>
      </c>
      <c r="J380" s="3">
        <v>52</v>
      </c>
      <c r="K380" s="3">
        <v>26.53</v>
      </c>
      <c r="L380">
        <v>48.98</v>
      </c>
    </row>
    <row r="381" spans="1:12">
      <c r="A381" s="1">
        <v>46027</v>
      </c>
      <c r="B381" t="s">
        <v>12408</v>
      </c>
      <c r="C381">
        <v>24</v>
      </c>
      <c r="D381" t="str">
        <f>VLOOKUP(Tabela26[[#This Row],[EMP]],[1]LOJA!$A:$B,2,0)</f>
        <v>LUZIÂNIA</v>
      </c>
      <c r="E381">
        <v>242</v>
      </c>
      <c r="F381" t="s">
        <v>3524</v>
      </c>
      <c r="G381" t="s">
        <v>3402</v>
      </c>
      <c r="H381" t="s">
        <v>3401</v>
      </c>
      <c r="I381">
        <v>5102</v>
      </c>
      <c r="J381" s="3">
        <v>188</v>
      </c>
      <c r="K381" s="3">
        <v>80.45</v>
      </c>
      <c r="L381">
        <v>57.21</v>
      </c>
    </row>
    <row r="382" spans="1:12">
      <c r="A382" s="1">
        <v>46027</v>
      </c>
      <c r="B382" t="s">
        <v>12407</v>
      </c>
      <c r="C382">
        <v>24</v>
      </c>
      <c r="D382" t="str">
        <f>VLOOKUP(Tabela26[[#This Row],[EMP]],[1]LOJA!$A:$B,2,0)</f>
        <v>LUZIÂNIA</v>
      </c>
      <c r="E382">
        <v>242</v>
      </c>
      <c r="F382" t="s">
        <v>3524</v>
      </c>
      <c r="G382" t="s">
        <v>3402</v>
      </c>
      <c r="H382" t="s">
        <v>3401</v>
      </c>
      <c r="I382">
        <v>5102</v>
      </c>
      <c r="J382" s="3">
        <v>60</v>
      </c>
      <c r="K382" s="3">
        <v>41.63</v>
      </c>
      <c r="L382">
        <v>30.62</v>
      </c>
    </row>
    <row r="383" spans="1:12">
      <c r="A383" s="1">
        <v>46027</v>
      </c>
      <c r="B383" t="s">
        <v>12406</v>
      </c>
      <c r="C383">
        <v>24</v>
      </c>
      <c r="D383" t="str">
        <f>VLOOKUP(Tabela26[[#This Row],[EMP]],[1]LOJA!$A:$B,2,0)</f>
        <v>LUZIÂNIA</v>
      </c>
      <c r="E383">
        <v>150</v>
      </c>
      <c r="F383" t="s">
        <v>3524</v>
      </c>
      <c r="G383" t="s">
        <v>3402</v>
      </c>
      <c r="H383" t="s">
        <v>3401</v>
      </c>
      <c r="I383">
        <v>5405</v>
      </c>
      <c r="J383" s="3">
        <v>30</v>
      </c>
      <c r="K383" s="3">
        <v>13.84</v>
      </c>
      <c r="L383">
        <v>53.87</v>
      </c>
    </row>
    <row r="384" spans="1:12">
      <c r="A384" s="1">
        <v>46027</v>
      </c>
      <c r="B384" t="s">
        <v>12405</v>
      </c>
      <c r="C384">
        <v>24</v>
      </c>
      <c r="D384" t="str">
        <f>VLOOKUP(Tabela26[[#This Row],[EMP]],[1]LOJA!$A:$B,2,0)</f>
        <v>LUZIÂNIA</v>
      </c>
      <c r="E384">
        <v>242</v>
      </c>
      <c r="F384" t="s">
        <v>12404</v>
      </c>
      <c r="G384" t="s">
        <v>3402</v>
      </c>
      <c r="H384" t="s">
        <v>3401</v>
      </c>
      <c r="I384">
        <v>5405</v>
      </c>
      <c r="J384" s="3">
        <v>310</v>
      </c>
      <c r="K384" s="3">
        <v>220.78</v>
      </c>
      <c r="L384">
        <v>28.78</v>
      </c>
    </row>
    <row r="385" spans="1:12">
      <c r="A385" s="1">
        <v>46027</v>
      </c>
      <c r="B385" t="s">
        <v>12403</v>
      </c>
      <c r="C385">
        <v>24</v>
      </c>
      <c r="D385" t="str">
        <f>VLOOKUP(Tabela26[[#This Row],[EMP]],[1]LOJA!$A:$B,2,0)</f>
        <v>LUZIÂNIA</v>
      </c>
      <c r="E385">
        <v>150</v>
      </c>
      <c r="F385" t="s">
        <v>5943</v>
      </c>
      <c r="G385" t="s">
        <v>5942</v>
      </c>
      <c r="H385" t="s">
        <v>3401</v>
      </c>
      <c r="I385">
        <v>5405</v>
      </c>
      <c r="J385" s="3">
        <v>108</v>
      </c>
      <c r="K385" s="3">
        <v>52.34</v>
      </c>
      <c r="L385">
        <v>51.54</v>
      </c>
    </row>
    <row r="386" spans="1:12">
      <c r="A386" s="1">
        <v>46027</v>
      </c>
      <c r="B386" t="s">
        <v>12402</v>
      </c>
      <c r="C386">
        <v>24</v>
      </c>
      <c r="D386" t="str">
        <f>VLOOKUP(Tabela26[[#This Row],[EMP]],[1]LOJA!$A:$B,2,0)</f>
        <v>LUZIÂNIA</v>
      </c>
      <c r="E386">
        <v>192</v>
      </c>
      <c r="F386" t="s">
        <v>3524</v>
      </c>
      <c r="G386" t="s">
        <v>3402</v>
      </c>
      <c r="H386" t="s">
        <v>3401</v>
      </c>
      <c r="I386">
        <v>5405</v>
      </c>
      <c r="J386" s="3">
        <v>86</v>
      </c>
      <c r="K386" s="3">
        <v>40.78</v>
      </c>
      <c r="L386">
        <v>52.58</v>
      </c>
    </row>
    <row r="387" spans="1:12">
      <c r="A387" s="1">
        <v>46027</v>
      </c>
      <c r="B387" t="s">
        <v>12401</v>
      </c>
      <c r="C387">
        <v>24</v>
      </c>
      <c r="D387" t="str">
        <f>VLOOKUP(Tabela26[[#This Row],[EMP]],[1]LOJA!$A:$B,2,0)</f>
        <v>LUZIÂNIA</v>
      </c>
      <c r="E387">
        <v>150</v>
      </c>
      <c r="F387" t="s">
        <v>4857</v>
      </c>
      <c r="G387" t="s">
        <v>4856</v>
      </c>
      <c r="H387" t="s">
        <v>3401</v>
      </c>
      <c r="I387">
        <v>5102</v>
      </c>
      <c r="J387" s="3">
        <v>29</v>
      </c>
      <c r="K387" s="3">
        <v>17.899999999999999</v>
      </c>
      <c r="L387">
        <v>38.28</v>
      </c>
    </row>
    <row r="388" spans="1:12">
      <c r="A388" s="1">
        <v>46027</v>
      </c>
      <c r="B388" t="s">
        <v>12400</v>
      </c>
      <c r="C388">
        <v>24</v>
      </c>
      <c r="D388" t="str">
        <f>VLOOKUP(Tabela26[[#This Row],[EMP]],[1]LOJA!$A:$B,2,0)</f>
        <v>LUZIÂNIA</v>
      </c>
      <c r="E388">
        <v>242</v>
      </c>
      <c r="F388" t="s">
        <v>5117</v>
      </c>
      <c r="G388" t="s">
        <v>3402</v>
      </c>
      <c r="H388" t="s">
        <v>3401</v>
      </c>
      <c r="I388">
        <v>5405</v>
      </c>
      <c r="J388" s="3">
        <v>500</v>
      </c>
      <c r="K388" s="3">
        <v>284.49</v>
      </c>
      <c r="L388">
        <v>43.1</v>
      </c>
    </row>
    <row r="389" spans="1:12">
      <c r="A389" s="1">
        <v>46027</v>
      </c>
      <c r="B389" t="s">
        <v>12399</v>
      </c>
      <c r="C389">
        <v>24</v>
      </c>
      <c r="D389" t="str">
        <f>VLOOKUP(Tabela26[[#This Row],[EMP]],[1]LOJA!$A:$B,2,0)</f>
        <v>LUZIÂNIA</v>
      </c>
      <c r="E389">
        <v>150</v>
      </c>
      <c r="F389" t="s">
        <v>4176</v>
      </c>
      <c r="G389" t="s">
        <v>4175</v>
      </c>
      <c r="H389" t="s">
        <v>3408</v>
      </c>
      <c r="I389">
        <v>5405</v>
      </c>
      <c r="J389" s="3">
        <v>188</v>
      </c>
      <c r="K389" s="3">
        <v>84.21</v>
      </c>
      <c r="L389">
        <v>55.21</v>
      </c>
    </row>
    <row r="390" spans="1:12">
      <c r="A390" s="1">
        <v>46027</v>
      </c>
      <c r="B390" t="s">
        <v>12398</v>
      </c>
      <c r="C390">
        <v>24</v>
      </c>
      <c r="D390" t="str">
        <f>VLOOKUP(Tabela26[[#This Row],[EMP]],[1]LOJA!$A:$B,2,0)</f>
        <v>LUZIÂNIA</v>
      </c>
      <c r="E390">
        <v>192</v>
      </c>
      <c r="F390" t="s">
        <v>4843</v>
      </c>
      <c r="G390" t="s">
        <v>4842</v>
      </c>
      <c r="H390" t="s">
        <v>3408</v>
      </c>
      <c r="I390">
        <v>5405</v>
      </c>
      <c r="J390" s="3">
        <v>59</v>
      </c>
      <c r="K390" s="3">
        <v>23.96</v>
      </c>
      <c r="L390">
        <v>59.39</v>
      </c>
    </row>
    <row r="391" spans="1:12">
      <c r="A391" s="1">
        <v>46027</v>
      </c>
      <c r="B391" t="s">
        <v>12397</v>
      </c>
      <c r="C391">
        <v>24</v>
      </c>
      <c r="D391" t="str">
        <f>VLOOKUP(Tabela26[[#This Row],[EMP]],[1]LOJA!$A:$B,2,0)</f>
        <v>LUZIÂNIA</v>
      </c>
      <c r="E391">
        <v>242</v>
      </c>
      <c r="F391" t="s">
        <v>9750</v>
      </c>
      <c r="G391" t="s">
        <v>3402</v>
      </c>
      <c r="H391" t="s">
        <v>3401</v>
      </c>
      <c r="I391">
        <v>5102</v>
      </c>
      <c r="J391" s="3">
        <v>137</v>
      </c>
      <c r="K391" s="3">
        <v>69.989999999999995</v>
      </c>
      <c r="L391">
        <v>48.91</v>
      </c>
    </row>
    <row r="392" spans="1:12">
      <c r="A392" s="1">
        <v>46027</v>
      </c>
      <c r="B392" t="s">
        <v>12396</v>
      </c>
      <c r="C392">
        <v>24</v>
      </c>
      <c r="D392" t="str">
        <f>VLOOKUP(Tabela26[[#This Row],[EMP]],[1]LOJA!$A:$B,2,0)</f>
        <v>LUZIÂNIA</v>
      </c>
      <c r="E392">
        <v>150</v>
      </c>
      <c r="F392" t="s">
        <v>4201</v>
      </c>
      <c r="G392" t="s">
        <v>4200</v>
      </c>
      <c r="H392" t="s">
        <v>3408</v>
      </c>
      <c r="I392">
        <v>5102</v>
      </c>
      <c r="J392" s="3">
        <v>429.4</v>
      </c>
      <c r="K392" s="3">
        <v>245.58</v>
      </c>
      <c r="L392">
        <v>42.81</v>
      </c>
    </row>
    <row r="393" spans="1:12">
      <c r="A393" s="1">
        <v>46027</v>
      </c>
      <c r="B393" t="s">
        <v>12395</v>
      </c>
      <c r="C393">
        <v>24</v>
      </c>
      <c r="D393" t="str">
        <f>VLOOKUP(Tabela26[[#This Row],[EMP]],[1]LOJA!$A:$B,2,0)</f>
        <v>LUZIÂNIA</v>
      </c>
      <c r="E393">
        <v>150</v>
      </c>
      <c r="F393" t="s">
        <v>4176</v>
      </c>
      <c r="G393" t="s">
        <v>4175</v>
      </c>
      <c r="H393" t="s">
        <v>3408</v>
      </c>
      <c r="I393">
        <v>5405</v>
      </c>
      <c r="J393" s="3">
        <v>662.1</v>
      </c>
      <c r="K393" s="3">
        <v>342.69</v>
      </c>
      <c r="L393">
        <v>48.24</v>
      </c>
    </row>
    <row r="394" spans="1:12">
      <c r="A394" s="1">
        <v>46027</v>
      </c>
      <c r="B394" t="s">
        <v>12394</v>
      </c>
      <c r="C394">
        <v>24</v>
      </c>
      <c r="D394" t="str">
        <f>VLOOKUP(Tabela26[[#This Row],[EMP]],[1]LOJA!$A:$B,2,0)</f>
        <v>LUZIÂNIA</v>
      </c>
      <c r="E394">
        <v>150</v>
      </c>
      <c r="F394" t="s">
        <v>12138</v>
      </c>
      <c r="G394" t="s">
        <v>12137</v>
      </c>
      <c r="H394" t="s">
        <v>3401</v>
      </c>
      <c r="I394">
        <v>5405</v>
      </c>
      <c r="J394" s="3">
        <v>205</v>
      </c>
      <c r="K394" s="3">
        <v>112.91</v>
      </c>
      <c r="L394">
        <v>44.92</v>
      </c>
    </row>
    <row r="395" spans="1:12">
      <c r="A395" s="1">
        <v>46027</v>
      </c>
      <c r="B395" t="s">
        <v>12393</v>
      </c>
      <c r="C395">
        <v>24</v>
      </c>
      <c r="D395" t="str">
        <f>VLOOKUP(Tabela26[[#This Row],[EMP]],[1]LOJA!$A:$B,2,0)</f>
        <v>LUZIÂNIA</v>
      </c>
      <c r="E395">
        <v>192</v>
      </c>
      <c r="F395" t="s">
        <v>3524</v>
      </c>
      <c r="G395" t="s">
        <v>3402</v>
      </c>
      <c r="H395" t="s">
        <v>3401</v>
      </c>
      <c r="I395">
        <v>5102</v>
      </c>
      <c r="J395" s="3">
        <v>43</v>
      </c>
      <c r="K395" s="3">
        <v>23.73</v>
      </c>
      <c r="L395">
        <v>44.81</v>
      </c>
    </row>
    <row r="396" spans="1:12">
      <c r="A396" s="1">
        <v>46027</v>
      </c>
      <c r="B396" t="s">
        <v>12392</v>
      </c>
      <c r="C396">
        <v>24</v>
      </c>
      <c r="D396" t="str">
        <f>VLOOKUP(Tabela26[[#This Row],[EMP]],[1]LOJA!$A:$B,2,0)</f>
        <v>LUZIÂNIA</v>
      </c>
      <c r="E396">
        <v>192</v>
      </c>
      <c r="F396" t="s">
        <v>3524</v>
      </c>
      <c r="G396" t="s">
        <v>3402</v>
      </c>
      <c r="H396" t="s">
        <v>3401</v>
      </c>
      <c r="I396">
        <v>5102</v>
      </c>
      <c r="J396" s="3">
        <v>37</v>
      </c>
      <c r="K396" s="3">
        <v>21.75</v>
      </c>
      <c r="L396">
        <v>41.22</v>
      </c>
    </row>
    <row r="397" spans="1:12">
      <c r="A397" s="1">
        <v>46027</v>
      </c>
      <c r="B397" t="s">
        <v>12391</v>
      </c>
      <c r="C397">
        <v>24</v>
      </c>
      <c r="D397" t="str">
        <f>VLOOKUP(Tabela26[[#This Row],[EMP]],[1]LOJA!$A:$B,2,0)</f>
        <v>LUZIÂNIA</v>
      </c>
      <c r="E397">
        <v>150</v>
      </c>
      <c r="F397" t="s">
        <v>4892</v>
      </c>
      <c r="G397" t="s">
        <v>4891</v>
      </c>
      <c r="H397" t="s">
        <v>3401</v>
      </c>
      <c r="I397">
        <v>5405</v>
      </c>
      <c r="J397" s="3">
        <v>447</v>
      </c>
      <c r="K397" s="3">
        <v>219.77</v>
      </c>
      <c r="L397">
        <v>50.83</v>
      </c>
    </row>
    <row r="398" spans="1:12">
      <c r="A398" s="1">
        <v>46027</v>
      </c>
      <c r="B398" t="s">
        <v>12390</v>
      </c>
      <c r="C398">
        <v>24</v>
      </c>
      <c r="D398" t="str">
        <f>VLOOKUP(Tabela26[[#This Row],[EMP]],[1]LOJA!$A:$B,2,0)</f>
        <v>LUZIÂNIA</v>
      </c>
      <c r="E398">
        <v>150</v>
      </c>
      <c r="F398" t="s">
        <v>5417</v>
      </c>
      <c r="G398" t="s">
        <v>5416</v>
      </c>
      <c r="H398" t="s">
        <v>3401</v>
      </c>
      <c r="I398">
        <v>5405</v>
      </c>
      <c r="J398" s="3">
        <v>55</v>
      </c>
      <c r="K398" s="3">
        <v>20.89</v>
      </c>
      <c r="L398">
        <v>62.02</v>
      </c>
    </row>
    <row r="399" spans="1:12">
      <c r="A399" s="1">
        <v>46027</v>
      </c>
      <c r="B399" t="s">
        <v>12389</v>
      </c>
      <c r="C399">
        <v>24</v>
      </c>
      <c r="D399" t="str">
        <f>VLOOKUP(Tabela26[[#This Row],[EMP]],[1]LOJA!$A:$B,2,0)</f>
        <v>LUZIÂNIA</v>
      </c>
      <c r="E399">
        <v>150</v>
      </c>
      <c r="F399" t="s">
        <v>4176</v>
      </c>
      <c r="G399" t="s">
        <v>4175</v>
      </c>
      <c r="H399" t="s">
        <v>3408</v>
      </c>
      <c r="I399">
        <v>5405</v>
      </c>
      <c r="J399" s="3">
        <v>139.97999999999999</v>
      </c>
      <c r="K399" s="3">
        <v>59.64</v>
      </c>
      <c r="L399">
        <v>57.39</v>
      </c>
    </row>
    <row r="400" spans="1:12">
      <c r="A400" s="1">
        <v>46027</v>
      </c>
      <c r="B400" t="s">
        <v>12388</v>
      </c>
      <c r="C400">
        <v>12</v>
      </c>
      <c r="D400" t="str">
        <f>VLOOKUP(Tabela26[[#This Row],[EMP]],[1]LOJA!$A:$B,2,0)</f>
        <v>SOFNORTE</v>
      </c>
      <c r="E400">
        <v>60</v>
      </c>
      <c r="F400" t="s">
        <v>4162</v>
      </c>
      <c r="G400" t="s">
        <v>4161</v>
      </c>
      <c r="H400" t="s">
        <v>3430</v>
      </c>
      <c r="I400">
        <v>5102</v>
      </c>
      <c r="J400" s="3">
        <v>51.21</v>
      </c>
      <c r="K400" s="3">
        <v>25.46</v>
      </c>
      <c r="L400">
        <v>50.28</v>
      </c>
    </row>
    <row r="401" spans="1:12">
      <c r="A401" s="1">
        <v>46027</v>
      </c>
      <c r="B401" t="s">
        <v>12387</v>
      </c>
      <c r="C401">
        <v>12</v>
      </c>
      <c r="D401" t="str">
        <f>VLOOKUP(Tabela26[[#This Row],[EMP]],[1]LOJA!$A:$B,2,0)</f>
        <v>SOFNORTE</v>
      </c>
      <c r="E401">
        <v>60</v>
      </c>
      <c r="F401" t="s">
        <v>3709</v>
      </c>
      <c r="G401" t="s">
        <v>3708</v>
      </c>
      <c r="H401" t="s">
        <v>12292</v>
      </c>
      <c r="I401">
        <v>5102</v>
      </c>
      <c r="J401" s="3">
        <v>156.63</v>
      </c>
      <c r="K401" s="3">
        <v>86.68</v>
      </c>
      <c r="L401">
        <v>44.66</v>
      </c>
    </row>
    <row r="402" spans="1:12">
      <c r="A402" s="1">
        <v>46027</v>
      </c>
      <c r="B402" t="s">
        <v>12386</v>
      </c>
      <c r="C402">
        <v>12</v>
      </c>
      <c r="D402" t="str">
        <f>VLOOKUP(Tabela26[[#This Row],[EMP]],[1]LOJA!$A:$B,2,0)</f>
        <v>SOFNORTE</v>
      </c>
      <c r="E402">
        <v>60</v>
      </c>
      <c r="F402" t="s">
        <v>3518</v>
      </c>
      <c r="G402" t="s">
        <v>3517</v>
      </c>
      <c r="H402" t="s">
        <v>3430</v>
      </c>
      <c r="I402">
        <v>5102</v>
      </c>
      <c r="J402" s="3">
        <v>34.9</v>
      </c>
      <c r="K402" s="3">
        <v>18.62</v>
      </c>
      <c r="L402">
        <v>46.65</v>
      </c>
    </row>
    <row r="403" spans="1:12">
      <c r="A403" s="1">
        <v>46027</v>
      </c>
      <c r="B403" t="s">
        <v>12385</v>
      </c>
      <c r="C403">
        <v>12</v>
      </c>
      <c r="D403" t="str">
        <f>VLOOKUP(Tabela26[[#This Row],[EMP]],[1]LOJA!$A:$B,2,0)</f>
        <v>SOFNORTE</v>
      </c>
      <c r="E403">
        <v>60</v>
      </c>
      <c r="F403" t="s">
        <v>3709</v>
      </c>
      <c r="G403" t="s">
        <v>3708</v>
      </c>
      <c r="H403" t="s">
        <v>12292</v>
      </c>
      <c r="I403">
        <v>5405</v>
      </c>
      <c r="J403" s="3">
        <v>61.72</v>
      </c>
      <c r="K403" s="3">
        <v>27.6</v>
      </c>
      <c r="L403">
        <v>55.28</v>
      </c>
    </row>
    <row r="404" spans="1:12">
      <c r="A404" s="1">
        <v>46027</v>
      </c>
      <c r="B404" t="s">
        <v>12384</v>
      </c>
      <c r="C404">
        <v>12</v>
      </c>
      <c r="D404" t="str">
        <f>VLOOKUP(Tabela26[[#This Row],[EMP]],[1]LOJA!$A:$B,2,0)</f>
        <v>SOFNORTE</v>
      </c>
      <c r="E404">
        <v>60</v>
      </c>
      <c r="F404" t="s">
        <v>4156</v>
      </c>
      <c r="G404" t="s">
        <v>4155</v>
      </c>
      <c r="H404" t="s">
        <v>7018</v>
      </c>
      <c r="I404">
        <v>5102</v>
      </c>
      <c r="J404" s="3">
        <v>189</v>
      </c>
      <c r="K404" s="3">
        <v>92.67</v>
      </c>
      <c r="L404">
        <v>50.97</v>
      </c>
    </row>
    <row r="405" spans="1:12">
      <c r="A405" s="1">
        <v>46027</v>
      </c>
      <c r="B405" t="s">
        <v>12383</v>
      </c>
      <c r="C405">
        <v>22</v>
      </c>
      <c r="D405" t="str">
        <f>VLOOKUP(Tabela26[[#This Row],[EMP]],[1]LOJA!$A:$B,2,0)</f>
        <v>GUARÁ</v>
      </c>
      <c r="E405">
        <v>93</v>
      </c>
      <c r="F405" t="s">
        <v>4808</v>
      </c>
      <c r="G405" t="s">
        <v>4807</v>
      </c>
      <c r="H405" t="s">
        <v>3430</v>
      </c>
      <c r="I405">
        <v>5405</v>
      </c>
      <c r="J405" s="3">
        <v>263.36</v>
      </c>
      <c r="K405" s="3">
        <v>135.53</v>
      </c>
      <c r="L405">
        <v>48.54</v>
      </c>
    </row>
    <row r="406" spans="1:12">
      <c r="A406" s="1">
        <v>46027</v>
      </c>
      <c r="B406" t="s">
        <v>12382</v>
      </c>
      <c r="C406">
        <v>22</v>
      </c>
      <c r="D406" t="str">
        <f>VLOOKUP(Tabela26[[#This Row],[EMP]],[1]LOJA!$A:$B,2,0)</f>
        <v>GUARÁ</v>
      </c>
      <c r="E406">
        <v>93</v>
      </c>
      <c r="F406" t="s">
        <v>4147</v>
      </c>
      <c r="G406" t="s">
        <v>4146</v>
      </c>
      <c r="H406" t="s">
        <v>3430</v>
      </c>
      <c r="I406">
        <v>5405</v>
      </c>
      <c r="J406" s="3">
        <v>614.66</v>
      </c>
      <c r="K406" s="3">
        <v>349.13</v>
      </c>
      <c r="L406">
        <v>43.2</v>
      </c>
    </row>
    <row r="407" spans="1:12">
      <c r="A407" s="1">
        <v>46027</v>
      </c>
      <c r="B407" t="s">
        <v>12381</v>
      </c>
      <c r="C407">
        <v>22</v>
      </c>
      <c r="D407" t="str">
        <f>VLOOKUP(Tabela26[[#This Row],[EMP]],[1]LOJA!$A:$B,2,0)</f>
        <v>GUARÁ</v>
      </c>
      <c r="E407">
        <v>93</v>
      </c>
      <c r="F407" t="s">
        <v>4151</v>
      </c>
      <c r="G407" t="s">
        <v>4150</v>
      </c>
      <c r="H407" t="s">
        <v>3430</v>
      </c>
      <c r="I407">
        <v>5405</v>
      </c>
      <c r="J407" s="3">
        <v>187.25</v>
      </c>
      <c r="K407" s="3">
        <v>87.61</v>
      </c>
      <c r="L407">
        <v>53.21</v>
      </c>
    </row>
    <row r="408" spans="1:12">
      <c r="A408" s="1">
        <v>46027</v>
      </c>
      <c r="B408" t="s">
        <v>12380</v>
      </c>
      <c r="C408">
        <v>22</v>
      </c>
      <c r="D408" t="str">
        <f>VLOOKUP(Tabela26[[#This Row],[EMP]],[1]LOJA!$A:$B,2,0)</f>
        <v>GUARÁ</v>
      </c>
      <c r="E408">
        <v>93</v>
      </c>
      <c r="F408" t="s">
        <v>3508</v>
      </c>
      <c r="G408" t="s">
        <v>3507</v>
      </c>
      <c r="H408" t="s">
        <v>3430</v>
      </c>
      <c r="I408">
        <v>5405</v>
      </c>
      <c r="J408" s="3">
        <v>123.23</v>
      </c>
      <c r="K408" s="3">
        <v>66.14</v>
      </c>
      <c r="L408">
        <v>46.33</v>
      </c>
    </row>
    <row r="409" spans="1:12">
      <c r="A409" s="1">
        <v>46027</v>
      </c>
      <c r="B409" t="s">
        <v>12379</v>
      </c>
      <c r="C409">
        <v>22</v>
      </c>
      <c r="D409" t="str">
        <f>VLOOKUP(Tabela26[[#This Row],[EMP]],[1]LOJA!$A:$B,2,0)</f>
        <v>GUARÁ</v>
      </c>
      <c r="E409">
        <v>93</v>
      </c>
      <c r="F409" t="s">
        <v>3511</v>
      </c>
      <c r="G409" t="s">
        <v>3510</v>
      </c>
      <c r="H409" t="s">
        <v>3430</v>
      </c>
      <c r="I409">
        <v>5405</v>
      </c>
      <c r="J409" s="3">
        <v>91.21</v>
      </c>
      <c r="K409" s="3">
        <v>47.14</v>
      </c>
      <c r="L409">
        <v>48.32</v>
      </c>
    </row>
    <row r="410" spans="1:12">
      <c r="A410" s="1">
        <v>46027</v>
      </c>
      <c r="B410" t="s">
        <v>12378</v>
      </c>
      <c r="C410">
        <v>22</v>
      </c>
      <c r="D410" t="str">
        <f>VLOOKUP(Tabela26[[#This Row],[EMP]],[1]LOJA!$A:$B,2,0)</f>
        <v>GUARÁ</v>
      </c>
      <c r="E410">
        <v>93</v>
      </c>
      <c r="F410" t="s">
        <v>3514</v>
      </c>
      <c r="G410" t="s">
        <v>3513</v>
      </c>
      <c r="H410" t="s">
        <v>3430</v>
      </c>
      <c r="I410">
        <v>5405</v>
      </c>
      <c r="J410" s="3">
        <v>241.16</v>
      </c>
      <c r="K410" s="3">
        <v>126.1</v>
      </c>
      <c r="L410">
        <v>47.71</v>
      </c>
    </row>
    <row r="411" spans="1:12">
      <c r="A411" s="1">
        <v>46027</v>
      </c>
      <c r="B411" t="s">
        <v>12377</v>
      </c>
      <c r="C411">
        <v>22</v>
      </c>
      <c r="D411" t="str">
        <f>VLOOKUP(Tabela26[[#This Row],[EMP]],[1]LOJA!$A:$B,2,0)</f>
        <v>GUARÁ</v>
      </c>
      <c r="E411">
        <v>93</v>
      </c>
      <c r="F411" t="s">
        <v>4136</v>
      </c>
      <c r="G411" t="s">
        <v>4135</v>
      </c>
      <c r="H411" t="s">
        <v>3430</v>
      </c>
      <c r="I411">
        <v>5405</v>
      </c>
      <c r="J411" s="3">
        <v>43.46</v>
      </c>
      <c r="K411" s="3">
        <v>22.68</v>
      </c>
      <c r="L411">
        <v>47.81</v>
      </c>
    </row>
    <row r="412" spans="1:12">
      <c r="A412" s="1">
        <v>46027</v>
      </c>
      <c r="B412" t="s">
        <v>12376</v>
      </c>
      <c r="C412">
        <v>22</v>
      </c>
      <c r="D412" t="str">
        <f>VLOOKUP(Tabela26[[#This Row],[EMP]],[1]LOJA!$A:$B,2,0)</f>
        <v>GUARÁ</v>
      </c>
      <c r="E412">
        <v>93</v>
      </c>
      <c r="F412" t="s">
        <v>3514</v>
      </c>
      <c r="G412" t="s">
        <v>3513</v>
      </c>
      <c r="H412" t="s">
        <v>3430</v>
      </c>
      <c r="I412">
        <v>5405</v>
      </c>
      <c r="J412" s="3">
        <v>63.67</v>
      </c>
      <c r="K412" s="3">
        <v>32.869999999999997</v>
      </c>
      <c r="L412">
        <v>48.37</v>
      </c>
    </row>
    <row r="413" spans="1:12">
      <c r="A413" s="1">
        <v>46027</v>
      </c>
      <c r="B413" t="s">
        <v>12375</v>
      </c>
      <c r="C413">
        <v>22</v>
      </c>
      <c r="D413" t="str">
        <f>VLOOKUP(Tabela26[[#This Row],[EMP]],[1]LOJA!$A:$B,2,0)</f>
        <v>GUARÁ</v>
      </c>
      <c r="E413">
        <v>93</v>
      </c>
      <c r="F413" t="s">
        <v>4147</v>
      </c>
      <c r="G413" t="s">
        <v>4146</v>
      </c>
      <c r="H413" t="s">
        <v>3430</v>
      </c>
      <c r="I413">
        <v>5405</v>
      </c>
      <c r="J413" s="3">
        <v>382.8</v>
      </c>
      <c r="K413" s="3">
        <v>246.66</v>
      </c>
      <c r="L413">
        <v>35.56</v>
      </c>
    </row>
    <row r="414" spans="1:12">
      <c r="A414" s="1">
        <v>46027</v>
      </c>
      <c r="B414" t="s">
        <v>12374</v>
      </c>
      <c r="C414">
        <v>22</v>
      </c>
      <c r="D414" t="str">
        <f>VLOOKUP(Tabela26[[#This Row],[EMP]],[1]LOJA!$A:$B,2,0)</f>
        <v>GUARÁ</v>
      </c>
      <c r="E414">
        <v>93</v>
      </c>
      <c r="F414" t="s">
        <v>4140</v>
      </c>
      <c r="G414" t="s">
        <v>4139</v>
      </c>
      <c r="H414" t="s">
        <v>3430</v>
      </c>
      <c r="I414">
        <v>5405</v>
      </c>
      <c r="J414" s="3">
        <v>31.12</v>
      </c>
      <c r="K414" s="3">
        <v>15.8</v>
      </c>
      <c r="L414">
        <v>49.23</v>
      </c>
    </row>
    <row r="415" spans="1:12">
      <c r="A415" s="1">
        <v>46027</v>
      </c>
      <c r="B415" t="s">
        <v>12373</v>
      </c>
      <c r="C415">
        <v>22</v>
      </c>
      <c r="D415" t="str">
        <f>VLOOKUP(Tabela26[[#This Row],[EMP]],[1]LOJA!$A:$B,2,0)</f>
        <v>GUARÁ</v>
      </c>
      <c r="E415">
        <v>93</v>
      </c>
      <c r="F415" t="s">
        <v>4144</v>
      </c>
      <c r="G415" t="s">
        <v>4143</v>
      </c>
      <c r="H415" t="s">
        <v>7400</v>
      </c>
      <c r="I415">
        <v>5405</v>
      </c>
      <c r="J415" s="3">
        <v>228.33</v>
      </c>
      <c r="K415" s="3">
        <v>112.26</v>
      </c>
      <c r="L415">
        <v>50.83</v>
      </c>
    </row>
    <row r="416" spans="1:12">
      <c r="A416" s="1">
        <v>46027</v>
      </c>
      <c r="B416" t="s">
        <v>12372</v>
      </c>
      <c r="C416">
        <v>22</v>
      </c>
      <c r="D416" t="str">
        <f>VLOOKUP(Tabela26[[#This Row],[EMP]],[1]LOJA!$A:$B,2,0)</f>
        <v>GUARÁ</v>
      </c>
      <c r="E416">
        <v>93</v>
      </c>
      <c r="F416" t="s">
        <v>4151</v>
      </c>
      <c r="G416" t="s">
        <v>4150</v>
      </c>
      <c r="H416" t="s">
        <v>3430</v>
      </c>
      <c r="I416">
        <v>5405</v>
      </c>
      <c r="J416" s="3">
        <v>622.23</v>
      </c>
      <c r="K416" s="3">
        <v>360.81</v>
      </c>
      <c r="L416">
        <v>42.01</v>
      </c>
    </row>
    <row r="417" spans="1:12">
      <c r="A417" s="1">
        <v>46027</v>
      </c>
      <c r="B417" t="s">
        <v>12371</v>
      </c>
      <c r="C417">
        <v>13</v>
      </c>
      <c r="D417" t="str">
        <f>VLOOKUP(Tabela26[[#This Row],[EMP]],[1]LOJA!$A:$B,2,0)</f>
        <v>CEILÂNDIA</v>
      </c>
      <c r="E417">
        <v>86</v>
      </c>
      <c r="F417" t="s">
        <v>4118</v>
      </c>
      <c r="G417" t="s">
        <v>4117</v>
      </c>
      <c r="H417" t="s">
        <v>3430</v>
      </c>
      <c r="I417">
        <v>5405</v>
      </c>
      <c r="J417" s="3">
        <v>518</v>
      </c>
      <c r="K417" s="3">
        <v>307.48</v>
      </c>
      <c r="L417">
        <v>40.64</v>
      </c>
    </row>
    <row r="418" spans="1:12">
      <c r="A418" s="1">
        <v>46027</v>
      </c>
      <c r="B418" t="s">
        <v>12370</v>
      </c>
      <c r="C418">
        <v>13</v>
      </c>
      <c r="D418" t="str">
        <f>VLOOKUP(Tabela26[[#This Row],[EMP]],[1]LOJA!$A:$B,2,0)</f>
        <v>CEILÂNDIA</v>
      </c>
      <c r="E418">
        <v>86</v>
      </c>
      <c r="F418" t="s">
        <v>4115</v>
      </c>
      <c r="G418" t="s">
        <v>4114</v>
      </c>
      <c r="H418" t="s">
        <v>3401</v>
      </c>
      <c r="I418">
        <v>1202</v>
      </c>
      <c r="J418" s="3">
        <v>-807</v>
      </c>
      <c r="K418" s="3">
        <v>-547</v>
      </c>
      <c r="L418">
        <v>32.22</v>
      </c>
    </row>
    <row r="419" spans="1:12">
      <c r="A419" s="1">
        <v>46027</v>
      </c>
      <c r="B419" t="s">
        <v>12369</v>
      </c>
      <c r="C419">
        <v>13</v>
      </c>
      <c r="D419" t="str">
        <f>VLOOKUP(Tabela26[[#This Row],[EMP]],[1]LOJA!$A:$B,2,0)</f>
        <v>CEILÂNDIA</v>
      </c>
      <c r="E419">
        <v>86</v>
      </c>
      <c r="F419" t="s">
        <v>4118</v>
      </c>
      <c r="G419" t="s">
        <v>4117</v>
      </c>
      <c r="H419" t="s">
        <v>3430</v>
      </c>
      <c r="I419">
        <v>5405</v>
      </c>
      <c r="J419" s="3">
        <v>507.12</v>
      </c>
      <c r="K419" s="3">
        <v>255.01</v>
      </c>
      <c r="L419">
        <v>49.71</v>
      </c>
    </row>
    <row r="420" spans="1:12">
      <c r="A420" s="1">
        <v>46027</v>
      </c>
      <c r="B420" t="s">
        <v>12368</v>
      </c>
      <c r="C420">
        <v>13</v>
      </c>
      <c r="D420" t="str">
        <f>VLOOKUP(Tabela26[[#This Row],[EMP]],[1]LOJA!$A:$B,2,0)</f>
        <v>CEILÂNDIA</v>
      </c>
      <c r="E420">
        <v>86</v>
      </c>
      <c r="F420" t="s">
        <v>4118</v>
      </c>
      <c r="G420" t="s">
        <v>4117</v>
      </c>
      <c r="H420" t="s">
        <v>3430</v>
      </c>
      <c r="I420">
        <v>5102</v>
      </c>
      <c r="J420" s="3">
        <v>20.37</v>
      </c>
      <c r="K420" s="3">
        <v>13.32</v>
      </c>
      <c r="L420">
        <v>34.61</v>
      </c>
    </row>
    <row r="421" spans="1:12">
      <c r="A421" s="1">
        <v>46027</v>
      </c>
      <c r="B421" t="s">
        <v>12367</v>
      </c>
      <c r="C421">
        <v>13</v>
      </c>
      <c r="D421" t="str">
        <f>VLOOKUP(Tabela26[[#This Row],[EMP]],[1]LOJA!$A:$B,2,0)</f>
        <v>CEILÂNDIA</v>
      </c>
      <c r="E421">
        <v>86</v>
      </c>
      <c r="F421" t="s">
        <v>4106</v>
      </c>
      <c r="G421" t="s">
        <v>4105</v>
      </c>
      <c r="H421" t="s">
        <v>3430</v>
      </c>
      <c r="I421">
        <v>5405</v>
      </c>
      <c r="J421" s="3">
        <v>42.08</v>
      </c>
      <c r="K421" s="3">
        <v>21.43</v>
      </c>
      <c r="L421">
        <v>49.07</v>
      </c>
    </row>
    <row r="422" spans="1:12">
      <c r="A422" s="1">
        <v>46027</v>
      </c>
      <c r="B422" t="s">
        <v>12366</v>
      </c>
      <c r="C422">
        <v>13</v>
      </c>
      <c r="D422" t="str">
        <f>VLOOKUP(Tabela26[[#This Row],[EMP]],[1]LOJA!$A:$B,2,0)</f>
        <v>CEILÂNDIA</v>
      </c>
      <c r="E422">
        <v>86</v>
      </c>
      <c r="F422" t="s">
        <v>4775</v>
      </c>
      <c r="G422" t="s">
        <v>4774</v>
      </c>
      <c r="H422" t="s">
        <v>12292</v>
      </c>
      <c r="I422">
        <v>5405</v>
      </c>
      <c r="J422" s="3">
        <v>42.48</v>
      </c>
      <c r="K422" s="3">
        <v>20.22</v>
      </c>
      <c r="L422">
        <v>52.4</v>
      </c>
    </row>
    <row r="423" spans="1:12">
      <c r="A423" s="1">
        <v>46027</v>
      </c>
      <c r="B423" t="s">
        <v>12365</v>
      </c>
      <c r="C423">
        <v>13</v>
      </c>
      <c r="D423" t="str">
        <f>VLOOKUP(Tabela26[[#This Row],[EMP]],[1]LOJA!$A:$B,2,0)</f>
        <v>CEILÂNDIA</v>
      </c>
      <c r="E423">
        <v>86</v>
      </c>
      <c r="F423" t="s">
        <v>4115</v>
      </c>
      <c r="G423" t="s">
        <v>4114</v>
      </c>
      <c r="H423" t="s">
        <v>3430</v>
      </c>
      <c r="I423">
        <v>5405</v>
      </c>
      <c r="J423" s="3">
        <v>40.770000000000003</v>
      </c>
      <c r="K423" s="3">
        <v>18.12</v>
      </c>
      <c r="L423">
        <v>55.56</v>
      </c>
    </row>
    <row r="424" spans="1:12">
      <c r="A424" s="1">
        <v>46027</v>
      </c>
      <c r="B424" t="s">
        <v>12364</v>
      </c>
      <c r="C424">
        <v>13</v>
      </c>
      <c r="D424" t="str">
        <f>VLOOKUP(Tabela26[[#This Row],[EMP]],[1]LOJA!$A:$B,2,0)</f>
        <v>CEILÂNDIA</v>
      </c>
      <c r="E424">
        <v>86</v>
      </c>
      <c r="F424" t="s">
        <v>4106</v>
      </c>
      <c r="G424" t="s">
        <v>4105</v>
      </c>
      <c r="H424" t="s">
        <v>3430</v>
      </c>
      <c r="I424">
        <v>5405</v>
      </c>
      <c r="J424" s="3">
        <v>129.35</v>
      </c>
      <c r="K424" s="3">
        <v>67.78</v>
      </c>
      <c r="L424">
        <v>47.6</v>
      </c>
    </row>
    <row r="425" spans="1:12">
      <c r="A425" s="1">
        <v>46027</v>
      </c>
      <c r="B425" t="s">
        <v>12363</v>
      </c>
      <c r="C425">
        <v>13</v>
      </c>
      <c r="D425" t="str">
        <f>VLOOKUP(Tabela26[[#This Row],[EMP]],[1]LOJA!$A:$B,2,0)</f>
        <v>CEILÂNDIA</v>
      </c>
      <c r="E425">
        <v>86</v>
      </c>
      <c r="F425" t="s">
        <v>4106</v>
      </c>
      <c r="G425" t="s">
        <v>4105</v>
      </c>
      <c r="H425" t="s">
        <v>3430</v>
      </c>
      <c r="I425">
        <v>5405</v>
      </c>
      <c r="J425" s="3">
        <v>105.72</v>
      </c>
      <c r="K425" s="3">
        <v>59.89</v>
      </c>
      <c r="L425">
        <v>43.35</v>
      </c>
    </row>
    <row r="426" spans="1:12">
      <c r="A426" s="1">
        <v>46027</v>
      </c>
      <c r="B426" t="s">
        <v>12362</v>
      </c>
      <c r="C426">
        <v>13</v>
      </c>
      <c r="D426" t="str">
        <f>VLOOKUP(Tabela26[[#This Row],[EMP]],[1]LOJA!$A:$B,2,0)</f>
        <v>CEILÂNDIA</v>
      </c>
      <c r="E426">
        <v>86</v>
      </c>
      <c r="F426" t="s">
        <v>4097</v>
      </c>
      <c r="G426" t="s">
        <v>4096</v>
      </c>
      <c r="H426" t="s">
        <v>3430</v>
      </c>
      <c r="I426">
        <v>5405</v>
      </c>
      <c r="J426" s="3">
        <v>186.92</v>
      </c>
      <c r="K426" s="3">
        <v>91.74</v>
      </c>
      <c r="L426">
        <v>50.92</v>
      </c>
    </row>
    <row r="427" spans="1:12">
      <c r="A427" s="1">
        <v>46027</v>
      </c>
      <c r="B427" t="s">
        <v>12361</v>
      </c>
      <c r="C427">
        <v>13</v>
      </c>
      <c r="D427" t="str">
        <f>VLOOKUP(Tabela26[[#This Row],[EMP]],[1]LOJA!$A:$B,2,0)</f>
        <v>CEILÂNDIA</v>
      </c>
      <c r="E427">
        <v>86</v>
      </c>
      <c r="F427" t="s">
        <v>4097</v>
      </c>
      <c r="G427" t="s">
        <v>4096</v>
      </c>
      <c r="H427" t="s">
        <v>3430</v>
      </c>
      <c r="I427">
        <v>5102</v>
      </c>
      <c r="J427" s="3">
        <v>38.299999999999997</v>
      </c>
      <c r="K427" s="3">
        <v>23.3</v>
      </c>
      <c r="L427">
        <v>39.159999999999997</v>
      </c>
    </row>
    <row r="428" spans="1:12">
      <c r="A428" s="1">
        <v>46027</v>
      </c>
      <c r="B428" t="s">
        <v>12360</v>
      </c>
      <c r="C428">
        <v>13</v>
      </c>
      <c r="D428" t="str">
        <f>VLOOKUP(Tabela26[[#This Row],[EMP]],[1]LOJA!$A:$B,2,0)</f>
        <v>CEILÂNDIA</v>
      </c>
      <c r="E428">
        <v>86</v>
      </c>
      <c r="F428" t="s">
        <v>4775</v>
      </c>
      <c r="G428" t="s">
        <v>4774</v>
      </c>
      <c r="H428" t="s">
        <v>12292</v>
      </c>
      <c r="I428">
        <v>5405</v>
      </c>
      <c r="J428" s="3">
        <v>435</v>
      </c>
      <c r="K428" s="3">
        <v>210.04</v>
      </c>
      <c r="L428">
        <v>51.71</v>
      </c>
    </row>
    <row r="429" spans="1:12">
      <c r="A429" s="1">
        <v>46027</v>
      </c>
      <c r="B429" t="s">
        <v>12359</v>
      </c>
      <c r="C429">
        <v>13</v>
      </c>
      <c r="D429" t="str">
        <f>VLOOKUP(Tabela26[[#This Row],[EMP]],[1]LOJA!$A:$B,2,0)</f>
        <v>CEILÂNDIA</v>
      </c>
      <c r="E429">
        <v>33</v>
      </c>
      <c r="F429" t="s">
        <v>3505</v>
      </c>
      <c r="G429" t="s">
        <v>3504</v>
      </c>
      <c r="H429" t="s">
        <v>3430</v>
      </c>
      <c r="I429">
        <v>5102</v>
      </c>
      <c r="J429" s="3">
        <v>105.48</v>
      </c>
      <c r="K429" s="3">
        <v>67.98</v>
      </c>
      <c r="L429">
        <v>35.549999999999997</v>
      </c>
    </row>
    <row r="430" spans="1:12">
      <c r="A430" s="1">
        <v>46027</v>
      </c>
      <c r="B430" t="s">
        <v>12358</v>
      </c>
      <c r="C430">
        <v>13</v>
      </c>
      <c r="D430" t="str">
        <f>VLOOKUP(Tabela26[[#This Row],[EMP]],[1]LOJA!$A:$B,2,0)</f>
        <v>CEILÂNDIA</v>
      </c>
      <c r="E430">
        <v>86</v>
      </c>
      <c r="F430" t="s">
        <v>4097</v>
      </c>
      <c r="G430" t="s">
        <v>4096</v>
      </c>
      <c r="H430" t="s">
        <v>3430</v>
      </c>
      <c r="I430">
        <v>5405</v>
      </c>
      <c r="J430" s="3">
        <v>38.89</v>
      </c>
      <c r="K430" s="3">
        <v>16.79</v>
      </c>
      <c r="L430">
        <v>56.83</v>
      </c>
    </row>
    <row r="431" spans="1:12">
      <c r="A431" s="1">
        <v>46027</v>
      </c>
      <c r="B431" t="s">
        <v>12357</v>
      </c>
      <c r="C431">
        <v>13</v>
      </c>
      <c r="D431" t="str">
        <f>VLOOKUP(Tabela26[[#This Row],[EMP]],[1]LOJA!$A:$B,2,0)</f>
        <v>CEILÂNDIA</v>
      </c>
      <c r="E431">
        <v>86</v>
      </c>
      <c r="F431" t="s">
        <v>4115</v>
      </c>
      <c r="G431" t="s">
        <v>4114</v>
      </c>
      <c r="H431" t="s">
        <v>3430</v>
      </c>
      <c r="I431">
        <v>5405</v>
      </c>
      <c r="J431" s="3">
        <v>63.67</v>
      </c>
      <c r="K431" s="3">
        <v>32.6</v>
      </c>
      <c r="L431">
        <v>48.8</v>
      </c>
    </row>
    <row r="432" spans="1:12">
      <c r="A432" s="1">
        <v>46027</v>
      </c>
      <c r="B432" t="s">
        <v>12356</v>
      </c>
      <c r="C432">
        <v>13</v>
      </c>
      <c r="D432" t="str">
        <f>VLOOKUP(Tabela26[[#This Row],[EMP]],[1]LOJA!$A:$B,2,0)</f>
        <v>CEILÂNDIA</v>
      </c>
      <c r="E432">
        <v>33</v>
      </c>
      <c r="F432" t="s">
        <v>3505</v>
      </c>
      <c r="G432" t="s">
        <v>3504</v>
      </c>
      <c r="H432" t="s">
        <v>3430</v>
      </c>
      <c r="I432">
        <v>5405</v>
      </c>
      <c r="J432" s="3">
        <v>274.81</v>
      </c>
      <c r="K432" s="3">
        <v>157.25</v>
      </c>
      <c r="L432">
        <v>42.78</v>
      </c>
    </row>
    <row r="433" spans="1:12">
      <c r="A433" s="1">
        <v>46027</v>
      </c>
      <c r="B433" t="s">
        <v>12355</v>
      </c>
      <c r="C433">
        <v>13</v>
      </c>
      <c r="D433" t="str">
        <f>VLOOKUP(Tabela26[[#This Row],[EMP]],[1]LOJA!$A:$B,2,0)</f>
        <v>CEILÂNDIA</v>
      </c>
      <c r="E433">
        <v>33</v>
      </c>
      <c r="F433" t="s">
        <v>3505</v>
      </c>
      <c r="G433" t="s">
        <v>3504</v>
      </c>
      <c r="H433" t="s">
        <v>3430</v>
      </c>
      <c r="I433">
        <v>5405</v>
      </c>
      <c r="J433" s="3">
        <v>948.07</v>
      </c>
      <c r="K433" s="3">
        <v>571.47</v>
      </c>
      <c r="L433">
        <v>39.72</v>
      </c>
    </row>
    <row r="434" spans="1:12">
      <c r="A434" s="1">
        <v>46027</v>
      </c>
      <c r="B434" t="s">
        <v>12354</v>
      </c>
      <c r="C434">
        <v>13</v>
      </c>
      <c r="D434" t="str">
        <f>VLOOKUP(Tabela26[[#This Row],[EMP]],[1]LOJA!$A:$B,2,0)</f>
        <v>CEILÂNDIA</v>
      </c>
      <c r="E434">
        <v>33</v>
      </c>
      <c r="F434" t="s">
        <v>3505</v>
      </c>
      <c r="G434" t="s">
        <v>3504</v>
      </c>
      <c r="H434" t="s">
        <v>3430</v>
      </c>
      <c r="I434">
        <v>5102</v>
      </c>
      <c r="J434" s="3">
        <v>221.18</v>
      </c>
      <c r="K434" s="3">
        <v>130.02000000000001</v>
      </c>
      <c r="L434">
        <v>41.22</v>
      </c>
    </row>
    <row r="435" spans="1:12">
      <c r="A435" s="1">
        <v>46027</v>
      </c>
      <c r="B435" t="s">
        <v>7814</v>
      </c>
      <c r="C435">
        <v>15</v>
      </c>
      <c r="D435" t="str">
        <f>VLOOKUP(Tabela26[[#This Row],[EMP]],[1]LOJA!$A:$B,2,0)</f>
        <v>UNAÍ</v>
      </c>
      <c r="E435">
        <v>183</v>
      </c>
      <c r="F435" t="s">
        <v>4016</v>
      </c>
      <c r="G435" t="s">
        <v>4015</v>
      </c>
      <c r="H435" t="s">
        <v>7400</v>
      </c>
      <c r="I435">
        <v>5102</v>
      </c>
      <c r="J435" s="3">
        <v>41.5</v>
      </c>
      <c r="K435" s="3">
        <v>25.11</v>
      </c>
      <c r="L435">
        <v>39.49</v>
      </c>
    </row>
    <row r="436" spans="1:12">
      <c r="A436" s="1">
        <v>46027</v>
      </c>
      <c r="B436" t="s">
        <v>7813</v>
      </c>
      <c r="C436">
        <v>15</v>
      </c>
      <c r="D436" t="str">
        <f>VLOOKUP(Tabela26[[#This Row],[EMP]],[1]LOJA!$A:$B,2,0)</f>
        <v>UNAÍ</v>
      </c>
      <c r="E436">
        <v>183</v>
      </c>
      <c r="F436" t="s">
        <v>3485</v>
      </c>
      <c r="G436" t="s">
        <v>3402</v>
      </c>
      <c r="H436" t="s">
        <v>3401</v>
      </c>
      <c r="I436">
        <v>5102</v>
      </c>
      <c r="J436" s="3">
        <v>100</v>
      </c>
      <c r="K436" s="3">
        <v>51.66</v>
      </c>
      <c r="L436">
        <v>48.34</v>
      </c>
    </row>
    <row r="437" spans="1:12">
      <c r="A437" s="1">
        <v>46027</v>
      </c>
      <c r="B437" t="s">
        <v>7383</v>
      </c>
      <c r="C437">
        <v>15</v>
      </c>
      <c r="D437" t="str">
        <f>VLOOKUP(Tabela26[[#This Row],[EMP]],[1]LOJA!$A:$B,2,0)</f>
        <v>UNAÍ</v>
      </c>
      <c r="E437">
        <v>183</v>
      </c>
      <c r="F437" t="s">
        <v>3485</v>
      </c>
      <c r="G437" t="s">
        <v>3402</v>
      </c>
      <c r="H437" t="s">
        <v>3401</v>
      </c>
      <c r="I437">
        <v>5102</v>
      </c>
      <c r="J437" s="3">
        <v>19</v>
      </c>
      <c r="K437" s="3">
        <v>10.09</v>
      </c>
      <c r="L437">
        <v>46.89</v>
      </c>
    </row>
    <row r="438" spans="1:12">
      <c r="A438" s="1">
        <v>46027</v>
      </c>
      <c r="B438" t="s">
        <v>7382</v>
      </c>
      <c r="C438">
        <v>15</v>
      </c>
      <c r="D438" t="str">
        <f>VLOOKUP(Tabela26[[#This Row],[EMP]],[1]LOJA!$A:$B,2,0)</f>
        <v>UNAÍ</v>
      </c>
      <c r="E438">
        <v>183</v>
      </c>
      <c r="F438" t="s">
        <v>12353</v>
      </c>
      <c r="G438" t="s">
        <v>3402</v>
      </c>
      <c r="H438" t="s">
        <v>3401</v>
      </c>
      <c r="I438">
        <v>5102</v>
      </c>
      <c r="J438" s="3">
        <v>78</v>
      </c>
      <c r="K438" s="3">
        <v>39.159999999999997</v>
      </c>
      <c r="L438">
        <v>49.79</v>
      </c>
    </row>
    <row r="439" spans="1:12">
      <c r="A439" s="1">
        <v>46027</v>
      </c>
      <c r="B439" t="s">
        <v>7381</v>
      </c>
      <c r="C439">
        <v>15</v>
      </c>
      <c r="D439" t="str">
        <f>VLOOKUP(Tabela26[[#This Row],[EMP]],[1]LOJA!$A:$B,2,0)</f>
        <v>UNAÍ</v>
      </c>
      <c r="E439">
        <v>183</v>
      </c>
      <c r="F439" t="s">
        <v>4025</v>
      </c>
      <c r="G439" t="s">
        <v>11453</v>
      </c>
      <c r="H439" t="s">
        <v>3401</v>
      </c>
      <c r="I439">
        <v>5102</v>
      </c>
      <c r="J439" s="3">
        <v>51.2</v>
      </c>
      <c r="K439" s="3">
        <v>25.46</v>
      </c>
      <c r="L439">
        <v>50.27</v>
      </c>
    </row>
    <row r="440" spans="1:12">
      <c r="A440" s="1">
        <v>46027</v>
      </c>
      <c r="B440" t="s">
        <v>7380</v>
      </c>
      <c r="C440">
        <v>15</v>
      </c>
      <c r="D440" t="str">
        <f>VLOOKUP(Tabela26[[#This Row],[EMP]],[1]LOJA!$A:$B,2,0)</f>
        <v>UNAÍ</v>
      </c>
      <c r="E440">
        <v>183</v>
      </c>
      <c r="F440" t="s">
        <v>4681</v>
      </c>
      <c r="G440" t="s">
        <v>4680</v>
      </c>
      <c r="H440" t="s">
        <v>3401</v>
      </c>
      <c r="I440">
        <v>5102</v>
      </c>
      <c r="J440" s="3">
        <v>3.6</v>
      </c>
      <c r="K440" s="3">
        <v>2.19</v>
      </c>
      <c r="L440">
        <v>39.17</v>
      </c>
    </row>
    <row r="441" spans="1:12">
      <c r="A441" s="1">
        <v>46027</v>
      </c>
      <c r="B441" t="s">
        <v>7379</v>
      </c>
      <c r="C441">
        <v>15</v>
      </c>
      <c r="D441" t="str">
        <f>VLOOKUP(Tabela26[[#This Row],[EMP]],[1]LOJA!$A:$B,2,0)</f>
        <v>UNAÍ</v>
      </c>
      <c r="E441">
        <v>183</v>
      </c>
      <c r="F441" t="s">
        <v>10971</v>
      </c>
      <c r="G441" t="s">
        <v>10970</v>
      </c>
      <c r="H441" t="s">
        <v>3401</v>
      </c>
      <c r="I441">
        <v>5102</v>
      </c>
      <c r="J441" s="3">
        <v>103.65</v>
      </c>
      <c r="K441" s="3">
        <v>43.18</v>
      </c>
      <c r="L441">
        <v>58.34</v>
      </c>
    </row>
    <row r="442" spans="1:12">
      <c r="A442" s="1">
        <v>46027</v>
      </c>
      <c r="B442" t="s">
        <v>7378</v>
      </c>
      <c r="C442">
        <v>15</v>
      </c>
      <c r="D442" t="str">
        <f>VLOOKUP(Tabela26[[#This Row],[EMP]],[1]LOJA!$A:$B,2,0)</f>
        <v>UNAÍ</v>
      </c>
      <c r="E442">
        <v>183</v>
      </c>
      <c r="F442" t="s">
        <v>12352</v>
      </c>
      <c r="G442" t="s">
        <v>3402</v>
      </c>
      <c r="H442" t="s">
        <v>3408</v>
      </c>
      <c r="I442">
        <v>5102</v>
      </c>
      <c r="J442" s="3">
        <v>83.7</v>
      </c>
      <c r="K442" s="3">
        <v>45.33</v>
      </c>
      <c r="L442">
        <v>45.84</v>
      </c>
    </row>
    <row r="443" spans="1:12">
      <c r="A443" s="1">
        <v>46027</v>
      </c>
      <c r="B443" t="s">
        <v>7377</v>
      </c>
      <c r="C443">
        <v>15</v>
      </c>
      <c r="D443" t="str">
        <f>VLOOKUP(Tabela26[[#This Row],[EMP]],[1]LOJA!$A:$B,2,0)</f>
        <v>UNAÍ</v>
      </c>
      <c r="E443">
        <v>183</v>
      </c>
      <c r="F443" t="s">
        <v>3485</v>
      </c>
      <c r="G443" t="s">
        <v>3402</v>
      </c>
      <c r="H443" t="s">
        <v>3401</v>
      </c>
      <c r="I443">
        <v>5102</v>
      </c>
      <c r="J443" s="3">
        <v>500</v>
      </c>
      <c r="K443" s="3">
        <v>244.52</v>
      </c>
      <c r="L443">
        <v>51.1</v>
      </c>
    </row>
    <row r="444" spans="1:12">
      <c r="A444" s="1">
        <v>46027</v>
      </c>
      <c r="B444" t="s">
        <v>7376</v>
      </c>
      <c r="C444">
        <v>15</v>
      </c>
      <c r="D444" t="str">
        <f>VLOOKUP(Tabela26[[#This Row],[EMP]],[1]LOJA!$A:$B,2,0)</f>
        <v>UNAÍ</v>
      </c>
      <c r="E444">
        <v>183</v>
      </c>
      <c r="F444" t="s">
        <v>4054</v>
      </c>
      <c r="G444" t="s">
        <v>3402</v>
      </c>
      <c r="H444" t="s">
        <v>3408</v>
      </c>
      <c r="I444">
        <v>5102</v>
      </c>
      <c r="J444" s="3">
        <v>250</v>
      </c>
      <c r="K444" s="3">
        <v>112.47</v>
      </c>
      <c r="L444">
        <v>55.01</v>
      </c>
    </row>
    <row r="445" spans="1:12">
      <c r="A445" s="1">
        <v>46027</v>
      </c>
      <c r="B445" t="s">
        <v>7375</v>
      </c>
      <c r="C445">
        <v>15</v>
      </c>
      <c r="D445" t="str">
        <f>VLOOKUP(Tabela26[[#This Row],[EMP]],[1]LOJA!$A:$B,2,0)</f>
        <v>UNAÍ</v>
      </c>
      <c r="E445">
        <v>183</v>
      </c>
      <c r="F445" t="s">
        <v>3485</v>
      </c>
      <c r="G445" t="s">
        <v>3402</v>
      </c>
      <c r="H445" t="s">
        <v>3401</v>
      </c>
      <c r="I445">
        <v>5102</v>
      </c>
      <c r="J445" s="3">
        <v>16</v>
      </c>
      <c r="K445" s="3">
        <v>8.76</v>
      </c>
      <c r="L445">
        <v>45.25</v>
      </c>
    </row>
    <row r="446" spans="1:12">
      <c r="A446" s="1">
        <v>46027</v>
      </c>
      <c r="B446" t="s">
        <v>7374</v>
      </c>
      <c r="C446">
        <v>15</v>
      </c>
      <c r="D446" t="str">
        <f>VLOOKUP(Tabela26[[#This Row],[EMP]],[1]LOJA!$A:$B,2,0)</f>
        <v>UNAÍ</v>
      </c>
      <c r="E446">
        <v>183</v>
      </c>
      <c r="F446" t="s">
        <v>3485</v>
      </c>
      <c r="G446" t="s">
        <v>3402</v>
      </c>
      <c r="H446" t="s">
        <v>3401</v>
      </c>
      <c r="I446">
        <v>5102</v>
      </c>
      <c r="J446" s="3">
        <v>10.8</v>
      </c>
      <c r="K446" s="3">
        <v>5.55</v>
      </c>
      <c r="L446">
        <v>48.61</v>
      </c>
    </row>
    <row r="447" spans="1:12">
      <c r="A447" s="1">
        <v>46027</v>
      </c>
      <c r="B447" t="s">
        <v>7373</v>
      </c>
      <c r="C447">
        <v>15</v>
      </c>
      <c r="D447" t="str">
        <f>VLOOKUP(Tabela26[[#This Row],[EMP]],[1]LOJA!$A:$B,2,0)</f>
        <v>UNAÍ</v>
      </c>
      <c r="E447">
        <v>183</v>
      </c>
      <c r="F447" t="s">
        <v>3485</v>
      </c>
      <c r="G447" t="s">
        <v>3402</v>
      </c>
      <c r="H447" t="s">
        <v>3401</v>
      </c>
      <c r="I447">
        <v>5102</v>
      </c>
      <c r="J447" s="3">
        <v>43.75</v>
      </c>
      <c r="K447" s="3">
        <v>23.21</v>
      </c>
      <c r="L447">
        <v>46.95</v>
      </c>
    </row>
    <row r="448" spans="1:12">
      <c r="A448" s="1">
        <v>46027</v>
      </c>
      <c r="B448" t="s">
        <v>7372</v>
      </c>
      <c r="C448">
        <v>15</v>
      </c>
      <c r="D448" t="str">
        <f>VLOOKUP(Tabela26[[#This Row],[EMP]],[1]LOJA!$A:$B,2,0)</f>
        <v>UNAÍ</v>
      </c>
      <c r="E448">
        <v>183</v>
      </c>
      <c r="F448" t="s">
        <v>3485</v>
      </c>
      <c r="G448" t="s">
        <v>3402</v>
      </c>
      <c r="H448" t="s">
        <v>3401</v>
      </c>
      <c r="I448">
        <v>5102</v>
      </c>
      <c r="J448" s="3">
        <v>312.89999999999998</v>
      </c>
      <c r="K448" s="3">
        <v>158.99</v>
      </c>
      <c r="L448">
        <v>49.19</v>
      </c>
    </row>
    <row r="449" spans="1:12">
      <c r="A449" s="1">
        <v>46027</v>
      </c>
      <c r="B449" t="s">
        <v>7371</v>
      </c>
      <c r="C449">
        <v>15</v>
      </c>
      <c r="D449" t="str">
        <f>VLOOKUP(Tabela26[[#This Row],[EMP]],[1]LOJA!$A:$B,2,0)</f>
        <v>UNAÍ</v>
      </c>
      <c r="E449">
        <v>183</v>
      </c>
      <c r="F449" t="s">
        <v>4720</v>
      </c>
      <c r="G449" t="s">
        <v>4719</v>
      </c>
      <c r="H449" t="s">
        <v>3520</v>
      </c>
      <c r="I449">
        <v>5102</v>
      </c>
      <c r="J449" s="3">
        <v>54</v>
      </c>
      <c r="K449" s="3">
        <v>26.64</v>
      </c>
      <c r="L449">
        <v>50.67</v>
      </c>
    </row>
    <row r="450" spans="1:12">
      <c r="A450" s="1">
        <v>46027</v>
      </c>
      <c r="B450" t="s">
        <v>7370</v>
      </c>
      <c r="C450">
        <v>15</v>
      </c>
      <c r="D450" t="str">
        <f>VLOOKUP(Tabela26[[#This Row],[EMP]],[1]LOJA!$A:$B,2,0)</f>
        <v>UNAÍ</v>
      </c>
      <c r="E450">
        <v>183</v>
      </c>
      <c r="F450" t="s">
        <v>3485</v>
      </c>
      <c r="G450" t="s">
        <v>3402</v>
      </c>
      <c r="H450" t="s">
        <v>3401</v>
      </c>
      <c r="I450">
        <v>5102</v>
      </c>
      <c r="J450" s="3">
        <v>10.8</v>
      </c>
      <c r="K450" s="3">
        <v>5.76</v>
      </c>
      <c r="L450">
        <v>46.67</v>
      </c>
    </row>
    <row r="451" spans="1:12">
      <c r="A451" s="1">
        <v>46027</v>
      </c>
      <c r="B451" t="s">
        <v>7369</v>
      </c>
      <c r="C451">
        <v>15</v>
      </c>
      <c r="D451" t="str">
        <f>VLOOKUP(Tabela26[[#This Row],[EMP]],[1]LOJA!$A:$B,2,0)</f>
        <v>UNAÍ</v>
      </c>
      <c r="E451">
        <v>183</v>
      </c>
      <c r="F451" t="s">
        <v>4689</v>
      </c>
      <c r="G451" t="s">
        <v>4688</v>
      </c>
      <c r="H451" t="s">
        <v>3430</v>
      </c>
      <c r="I451">
        <v>5405</v>
      </c>
      <c r="J451" s="3">
        <v>706.62</v>
      </c>
      <c r="K451" s="3">
        <v>315.63</v>
      </c>
      <c r="L451">
        <v>55.33</v>
      </c>
    </row>
    <row r="452" spans="1:12">
      <c r="A452" s="1">
        <v>46027</v>
      </c>
      <c r="B452" t="s">
        <v>7368</v>
      </c>
      <c r="C452">
        <v>15</v>
      </c>
      <c r="D452" t="str">
        <f>VLOOKUP(Tabela26[[#This Row],[EMP]],[1]LOJA!$A:$B,2,0)</f>
        <v>UNAÍ</v>
      </c>
      <c r="E452">
        <v>183</v>
      </c>
      <c r="F452" t="s">
        <v>4078</v>
      </c>
      <c r="G452" t="s">
        <v>4077</v>
      </c>
      <c r="H452" t="s">
        <v>3520</v>
      </c>
      <c r="I452">
        <v>5405</v>
      </c>
      <c r="J452" s="3">
        <v>690</v>
      </c>
      <c r="K452" s="3">
        <v>331.93</v>
      </c>
      <c r="L452">
        <v>51.89</v>
      </c>
    </row>
    <row r="453" spans="1:12">
      <c r="A453" s="1">
        <v>46027</v>
      </c>
      <c r="B453" t="s">
        <v>6882</v>
      </c>
      <c r="C453">
        <v>15</v>
      </c>
      <c r="D453" t="str">
        <f>VLOOKUP(Tabela26[[#This Row],[EMP]],[1]LOJA!$A:$B,2,0)</f>
        <v>UNAÍ</v>
      </c>
      <c r="E453">
        <v>183</v>
      </c>
      <c r="F453" t="s">
        <v>4708</v>
      </c>
      <c r="G453" t="s">
        <v>4707</v>
      </c>
      <c r="H453" t="s">
        <v>3520</v>
      </c>
      <c r="I453">
        <v>5102</v>
      </c>
      <c r="J453" s="3">
        <v>565</v>
      </c>
      <c r="K453" s="3">
        <v>289.12</v>
      </c>
      <c r="L453">
        <v>48.83</v>
      </c>
    </row>
    <row r="454" spans="1:12">
      <c r="A454" s="1">
        <v>46027</v>
      </c>
      <c r="B454" t="s">
        <v>6881</v>
      </c>
      <c r="C454">
        <v>15</v>
      </c>
      <c r="D454" t="str">
        <f>VLOOKUP(Tabela26[[#This Row],[EMP]],[1]LOJA!$A:$B,2,0)</f>
        <v>UNAÍ</v>
      </c>
      <c r="E454">
        <v>183</v>
      </c>
      <c r="F454" t="s">
        <v>4037</v>
      </c>
      <c r="G454" t="s">
        <v>4036</v>
      </c>
      <c r="H454" t="s">
        <v>7400</v>
      </c>
      <c r="I454">
        <v>5102</v>
      </c>
      <c r="J454" s="3">
        <v>140.35</v>
      </c>
      <c r="K454" s="3">
        <v>86.01</v>
      </c>
      <c r="L454">
        <v>38.72</v>
      </c>
    </row>
    <row r="455" spans="1:12">
      <c r="A455" s="1">
        <v>46027</v>
      </c>
      <c r="B455" t="s">
        <v>6880</v>
      </c>
      <c r="C455">
        <v>15</v>
      </c>
      <c r="D455" t="str">
        <f>VLOOKUP(Tabela26[[#This Row],[EMP]],[1]LOJA!$A:$B,2,0)</f>
        <v>UNAÍ</v>
      </c>
      <c r="E455">
        <v>183</v>
      </c>
      <c r="F455" t="s">
        <v>4048</v>
      </c>
      <c r="G455" t="s">
        <v>4047</v>
      </c>
      <c r="H455" t="s">
        <v>3520</v>
      </c>
      <c r="I455">
        <v>5405</v>
      </c>
      <c r="J455" s="3">
        <v>604.6</v>
      </c>
      <c r="K455" s="3">
        <v>294.52999999999997</v>
      </c>
      <c r="L455">
        <v>51.29</v>
      </c>
    </row>
    <row r="456" spans="1:12">
      <c r="A456" s="1">
        <v>46027</v>
      </c>
      <c r="B456" t="s">
        <v>6879</v>
      </c>
      <c r="C456">
        <v>15</v>
      </c>
      <c r="D456" t="str">
        <f>VLOOKUP(Tabela26[[#This Row],[EMP]],[1]LOJA!$A:$B,2,0)</f>
        <v>UNAÍ</v>
      </c>
      <c r="E456">
        <v>183</v>
      </c>
      <c r="F456" t="s">
        <v>4078</v>
      </c>
      <c r="G456" t="s">
        <v>4077</v>
      </c>
      <c r="H456" t="s">
        <v>3520</v>
      </c>
      <c r="I456">
        <v>5405</v>
      </c>
      <c r="J456" s="3">
        <v>310</v>
      </c>
      <c r="K456" s="3">
        <v>144.84</v>
      </c>
      <c r="L456">
        <v>53.28</v>
      </c>
    </row>
    <row r="457" spans="1:12">
      <c r="A457" s="1">
        <v>46027</v>
      </c>
      <c r="B457" t="s">
        <v>6878</v>
      </c>
      <c r="C457">
        <v>15</v>
      </c>
      <c r="D457" t="str">
        <f>VLOOKUP(Tabela26[[#This Row],[EMP]],[1]LOJA!$A:$B,2,0)</f>
        <v>UNAÍ</v>
      </c>
      <c r="E457">
        <v>183</v>
      </c>
      <c r="F457" t="s">
        <v>4019</v>
      </c>
      <c r="G457" t="s">
        <v>4018</v>
      </c>
      <c r="H457" t="s">
        <v>7018</v>
      </c>
      <c r="I457">
        <v>5102</v>
      </c>
      <c r="J457" s="3">
        <v>48</v>
      </c>
      <c r="K457" s="3">
        <v>21.51</v>
      </c>
      <c r="L457">
        <v>55.19</v>
      </c>
    </row>
    <row r="458" spans="1:12">
      <c r="A458" s="1">
        <v>46027</v>
      </c>
      <c r="B458" t="s">
        <v>6877</v>
      </c>
      <c r="C458">
        <v>15</v>
      </c>
      <c r="D458" t="str">
        <f>VLOOKUP(Tabela26[[#This Row],[EMP]],[1]LOJA!$A:$B,2,0)</f>
        <v>UNAÍ</v>
      </c>
      <c r="E458">
        <v>183</v>
      </c>
      <c r="F458" t="s">
        <v>4016</v>
      </c>
      <c r="G458" t="s">
        <v>4015</v>
      </c>
      <c r="H458" t="s">
        <v>7400</v>
      </c>
      <c r="I458">
        <v>5405</v>
      </c>
      <c r="J458" s="3">
        <v>150.30000000000001</v>
      </c>
      <c r="K458" s="3">
        <v>82.39</v>
      </c>
      <c r="L458">
        <v>45.18</v>
      </c>
    </row>
    <row r="459" spans="1:12">
      <c r="A459" s="1">
        <v>46027</v>
      </c>
      <c r="B459" t="s">
        <v>6876</v>
      </c>
      <c r="C459">
        <v>15</v>
      </c>
      <c r="D459" t="str">
        <f>VLOOKUP(Tabela26[[#This Row],[EMP]],[1]LOJA!$A:$B,2,0)</f>
        <v>UNAÍ</v>
      </c>
      <c r="E459">
        <v>183</v>
      </c>
      <c r="F459" t="s">
        <v>3497</v>
      </c>
      <c r="G459" t="s">
        <v>3496</v>
      </c>
      <c r="H459" t="s">
        <v>7400</v>
      </c>
      <c r="I459">
        <v>5102</v>
      </c>
      <c r="J459" s="3">
        <v>139.55000000000001</v>
      </c>
      <c r="K459" s="3">
        <v>68.709999999999994</v>
      </c>
      <c r="L459">
        <v>50.76</v>
      </c>
    </row>
    <row r="460" spans="1:12">
      <c r="A460" s="1">
        <v>46027</v>
      </c>
      <c r="B460" t="s">
        <v>12351</v>
      </c>
      <c r="C460">
        <v>6</v>
      </c>
      <c r="D460" t="str">
        <f>VLOOKUP(Tabela26[[#This Row],[EMP]],[1]LOJA!$A:$B,2,0)</f>
        <v>GAMA</v>
      </c>
      <c r="E460">
        <v>185</v>
      </c>
      <c r="F460" t="s">
        <v>3483</v>
      </c>
      <c r="G460" t="s">
        <v>3482</v>
      </c>
      <c r="H460" t="s">
        <v>3401</v>
      </c>
      <c r="I460">
        <v>1202</v>
      </c>
      <c r="J460" s="3">
        <v>-414</v>
      </c>
      <c r="K460" s="3">
        <v>-209</v>
      </c>
      <c r="L460">
        <v>49.52</v>
      </c>
    </row>
    <row r="461" spans="1:12">
      <c r="A461" s="1">
        <v>46027</v>
      </c>
      <c r="B461" t="s">
        <v>12350</v>
      </c>
      <c r="C461">
        <v>6</v>
      </c>
      <c r="D461" t="str">
        <f>VLOOKUP(Tabela26[[#This Row],[EMP]],[1]LOJA!$A:$B,2,0)</f>
        <v>GAMA</v>
      </c>
      <c r="E461">
        <v>245</v>
      </c>
      <c r="F461" t="s">
        <v>4004</v>
      </c>
      <c r="G461" t="s">
        <v>4003</v>
      </c>
      <c r="H461" t="s">
        <v>3430</v>
      </c>
      <c r="I461">
        <v>5405</v>
      </c>
      <c r="J461" s="3">
        <v>113.82</v>
      </c>
      <c r="K461" s="3">
        <v>54.71</v>
      </c>
      <c r="L461">
        <v>51.93</v>
      </c>
    </row>
    <row r="462" spans="1:12">
      <c r="A462" s="1">
        <v>46027</v>
      </c>
      <c r="B462" t="s">
        <v>12349</v>
      </c>
      <c r="C462">
        <v>6</v>
      </c>
      <c r="D462" t="str">
        <f>VLOOKUP(Tabela26[[#This Row],[EMP]],[1]LOJA!$A:$B,2,0)</f>
        <v>GAMA</v>
      </c>
      <c r="E462">
        <v>245</v>
      </c>
      <c r="F462" t="s">
        <v>3483</v>
      </c>
      <c r="G462" t="s">
        <v>3482</v>
      </c>
      <c r="H462" t="s">
        <v>3401</v>
      </c>
      <c r="I462">
        <v>5405</v>
      </c>
      <c r="J462" s="3">
        <v>414</v>
      </c>
      <c r="K462" s="3">
        <v>220.78</v>
      </c>
      <c r="L462">
        <v>46.67</v>
      </c>
    </row>
    <row r="463" spans="1:12">
      <c r="A463" s="1">
        <v>46027</v>
      </c>
      <c r="B463" t="s">
        <v>12348</v>
      </c>
      <c r="C463">
        <v>6</v>
      </c>
      <c r="D463" t="str">
        <f>VLOOKUP(Tabela26[[#This Row],[EMP]],[1]LOJA!$A:$B,2,0)</f>
        <v>GAMA</v>
      </c>
      <c r="E463">
        <v>245</v>
      </c>
      <c r="F463" t="s">
        <v>6827</v>
      </c>
      <c r="G463" t="s">
        <v>6826</v>
      </c>
      <c r="H463" t="s">
        <v>3430</v>
      </c>
      <c r="I463">
        <v>5405</v>
      </c>
      <c r="J463" s="3">
        <v>44.11</v>
      </c>
      <c r="K463" s="3">
        <v>21.37</v>
      </c>
      <c r="L463">
        <v>51.55</v>
      </c>
    </row>
    <row r="464" spans="1:12">
      <c r="A464" s="1">
        <v>46027</v>
      </c>
      <c r="B464" t="s">
        <v>12347</v>
      </c>
      <c r="C464">
        <v>14</v>
      </c>
      <c r="D464" t="str">
        <f>VLOOKUP(Tabela26[[#This Row],[EMP]],[1]LOJA!$A:$B,2,0)</f>
        <v>S IA</v>
      </c>
      <c r="E464">
        <v>212</v>
      </c>
      <c r="F464" t="s">
        <v>3478</v>
      </c>
      <c r="G464" t="s">
        <v>3477</v>
      </c>
      <c r="H464" t="s">
        <v>3408</v>
      </c>
      <c r="I464">
        <v>5405</v>
      </c>
      <c r="J464" s="3">
        <v>77</v>
      </c>
      <c r="K464" s="3">
        <v>37.68</v>
      </c>
      <c r="L464">
        <v>51.06</v>
      </c>
    </row>
    <row r="465" spans="1:12">
      <c r="A465" s="1">
        <v>46027</v>
      </c>
      <c r="B465" t="s">
        <v>12346</v>
      </c>
      <c r="C465">
        <v>14</v>
      </c>
      <c r="D465" t="str">
        <f>VLOOKUP(Tabela26[[#This Row],[EMP]],[1]LOJA!$A:$B,2,0)</f>
        <v>S IA</v>
      </c>
      <c r="E465">
        <v>54</v>
      </c>
      <c r="F465" t="s">
        <v>3403</v>
      </c>
      <c r="G465" t="s">
        <v>3402</v>
      </c>
      <c r="H465" t="s">
        <v>3401</v>
      </c>
      <c r="I465">
        <v>5102</v>
      </c>
      <c r="J465" s="3">
        <v>40</v>
      </c>
      <c r="K465" s="3">
        <v>19.670000000000002</v>
      </c>
      <c r="L465">
        <v>50.83</v>
      </c>
    </row>
    <row r="466" spans="1:12">
      <c r="A466" s="1">
        <v>46027</v>
      </c>
      <c r="B466" t="s">
        <v>12345</v>
      </c>
      <c r="C466">
        <v>14</v>
      </c>
      <c r="D466" t="str">
        <f>VLOOKUP(Tabela26[[#This Row],[EMP]],[1]LOJA!$A:$B,2,0)</f>
        <v>S IA</v>
      </c>
      <c r="E466">
        <v>54</v>
      </c>
      <c r="F466" t="s">
        <v>4659</v>
      </c>
      <c r="G466" t="s">
        <v>4658</v>
      </c>
      <c r="H466" t="s">
        <v>3430</v>
      </c>
      <c r="I466">
        <v>5102</v>
      </c>
      <c r="J466" s="3">
        <v>262.3</v>
      </c>
      <c r="K466" s="3">
        <v>200.08</v>
      </c>
      <c r="L466">
        <v>23.72</v>
      </c>
    </row>
    <row r="467" spans="1:12">
      <c r="A467" s="1">
        <v>46027</v>
      </c>
      <c r="B467" t="s">
        <v>12344</v>
      </c>
      <c r="C467">
        <v>14</v>
      </c>
      <c r="D467" t="str">
        <f>VLOOKUP(Tabela26[[#This Row],[EMP]],[1]LOJA!$A:$B,2,0)</f>
        <v>S IA</v>
      </c>
      <c r="E467">
        <v>54</v>
      </c>
      <c r="F467" t="s">
        <v>5251</v>
      </c>
      <c r="G467" t="s">
        <v>7587</v>
      </c>
      <c r="H467" t="s">
        <v>3408</v>
      </c>
      <c r="I467">
        <v>5102</v>
      </c>
      <c r="J467" s="3">
        <v>71</v>
      </c>
      <c r="K467" s="3">
        <v>35.409999999999997</v>
      </c>
      <c r="L467">
        <v>50.13</v>
      </c>
    </row>
    <row r="468" spans="1:12">
      <c r="A468" s="1">
        <v>46027</v>
      </c>
      <c r="B468" t="s">
        <v>12343</v>
      </c>
      <c r="C468">
        <v>14</v>
      </c>
      <c r="D468" t="str">
        <f>VLOOKUP(Tabela26[[#This Row],[EMP]],[1]LOJA!$A:$B,2,0)</f>
        <v>S IA</v>
      </c>
      <c r="E468">
        <v>212</v>
      </c>
      <c r="F468" t="s">
        <v>3403</v>
      </c>
      <c r="G468" t="s">
        <v>3402</v>
      </c>
      <c r="H468" t="s">
        <v>3401</v>
      </c>
      <c r="I468">
        <v>5102</v>
      </c>
      <c r="J468" s="3">
        <v>18</v>
      </c>
      <c r="K468" s="3">
        <v>9.1199999999999992</v>
      </c>
      <c r="L468">
        <v>49.33</v>
      </c>
    </row>
    <row r="469" spans="1:12">
      <c r="A469" s="1">
        <v>46027</v>
      </c>
      <c r="B469" t="s">
        <v>12342</v>
      </c>
      <c r="C469">
        <v>14</v>
      </c>
      <c r="D469" t="str">
        <f>VLOOKUP(Tabela26[[#This Row],[EMP]],[1]LOJA!$A:$B,2,0)</f>
        <v>S IA</v>
      </c>
      <c r="E469">
        <v>54</v>
      </c>
      <c r="F469" t="s">
        <v>3403</v>
      </c>
      <c r="G469" t="s">
        <v>3402</v>
      </c>
      <c r="H469" t="s">
        <v>3401</v>
      </c>
      <c r="I469">
        <v>5102</v>
      </c>
      <c r="J469" s="3">
        <v>59</v>
      </c>
      <c r="K469" s="3">
        <v>28.84</v>
      </c>
      <c r="L469">
        <v>51.12</v>
      </c>
    </row>
    <row r="470" spans="1:12">
      <c r="A470" s="1">
        <v>46027</v>
      </c>
      <c r="B470" t="s">
        <v>12341</v>
      </c>
      <c r="C470">
        <v>14</v>
      </c>
      <c r="D470" t="str">
        <f>VLOOKUP(Tabela26[[#This Row],[EMP]],[1]LOJA!$A:$B,2,0)</f>
        <v>S IA</v>
      </c>
      <c r="E470">
        <v>54</v>
      </c>
      <c r="F470" t="s">
        <v>3472</v>
      </c>
      <c r="G470" t="s">
        <v>3471</v>
      </c>
      <c r="H470" t="s">
        <v>3401</v>
      </c>
      <c r="I470">
        <v>5405</v>
      </c>
      <c r="J470" s="3">
        <v>123</v>
      </c>
      <c r="K470" s="3">
        <v>59.2</v>
      </c>
      <c r="L470">
        <v>51.87</v>
      </c>
    </row>
    <row r="471" spans="1:12">
      <c r="A471" s="1">
        <v>46027</v>
      </c>
      <c r="B471" t="s">
        <v>12340</v>
      </c>
      <c r="C471">
        <v>14</v>
      </c>
      <c r="D471" t="str">
        <f>VLOOKUP(Tabela26[[#This Row],[EMP]],[1]LOJA!$A:$B,2,0)</f>
        <v>S IA</v>
      </c>
      <c r="E471">
        <v>212</v>
      </c>
      <c r="F471" t="s">
        <v>3989</v>
      </c>
      <c r="G471" t="s">
        <v>3988</v>
      </c>
      <c r="H471" t="s">
        <v>3430</v>
      </c>
      <c r="I471">
        <v>5405</v>
      </c>
      <c r="J471" s="3">
        <v>680.4</v>
      </c>
      <c r="K471" s="3">
        <v>412.34</v>
      </c>
      <c r="L471">
        <v>39.4</v>
      </c>
    </row>
    <row r="472" spans="1:12">
      <c r="A472" s="1">
        <v>46027</v>
      </c>
      <c r="B472" t="s">
        <v>12339</v>
      </c>
      <c r="C472">
        <v>14</v>
      </c>
      <c r="D472" t="str">
        <f>VLOOKUP(Tabela26[[#This Row],[EMP]],[1]LOJA!$A:$B,2,0)</f>
        <v>S IA</v>
      </c>
      <c r="E472">
        <v>212</v>
      </c>
      <c r="F472" t="s">
        <v>3403</v>
      </c>
      <c r="G472" t="s">
        <v>3402</v>
      </c>
      <c r="H472" t="s">
        <v>3401</v>
      </c>
      <c r="I472">
        <v>5405</v>
      </c>
      <c r="J472" s="3">
        <v>37</v>
      </c>
      <c r="K472" s="3">
        <v>17.350000000000001</v>
      </c>
      <c r="L472">
        <v>53.11</v>
      </c>
    </row>
    <row r="473" spans="1:12">
      <c r="A473" s="1">
        <v>46027</v>
      </c>
      <c r="B473" t="s">
        <v>12338</v>
      </c>
      <c r="C473">
        <v>14</v>
      </c>
      <c r="D473" t="str">
        <f>VLOOKUP(Tabela26[[#This Row],[EMP]],[1]LOJA!$A:$B,2,0)</f>
        <v>S IA</v>
      </c>
      <c r="E473">
        <v>212</v>
      </c>
      <c r="F473" t="s">
        <v>3403</v>
      </c>
      <c r="G473" t="s">
        <v>3402</v>
      </c>
      <c r="H473" t="s">
        <v>3401</v>
      </c>
      <c r="I473">
        <v>5102</v>
      </c>
      <c r="J473" s="3">
        <v>216</v>
      </c>
      <c r="K473" s="3">
        <v>96.46</v>
      </c>
      <c r="L473">
        <v>55.34</v>
      </c>
    </row>
    <row r="474" spans="1:12">
      <c r="A474" s="1">
        <v>46027</v>
      </c>
      <c r="B474" t="s">
        <v>12337</v>
      </c>
      <c r="C474">
        <v>14</v>
      </c>
      <c r="D474" t="str">
        <f>VLOOKUP(Tabela26[[#This Row],[EMP]],[1]LOJA!$A:$B,2,0)</f>
        <v>S IA</v>
      </c>
      <c r="E474">
        <v>212</v>
      </c>
      <c r="F474" t="s">
        <v>3403</v>
      </c>
      <c r="G474" t="s">
        <v>3402</v>
      </c>
      <c r="H474" t="s">
        <v>3401</v>
      </c>
      <c r="I474">
        <v>5102</v>
      </c>
      <c r="J474" s="3">
        <v>72</v>
      </c>
      <c r="K474" s="3">
        <v>33.25</v>
      </c>
      <c r="L474">
        <v>53.82</v>
      </c>
    </row>
    <row r="475" spans="1:12">
      <c r="A475" s="1">
        <v>46027</v>
      </c>
      <c r="B475" t="s">
        <v>12336</v>
      </c>
      <c r="C475">
        <v>14</v>
      </c>
      <c r="D475" t="str">
        <f>VLOOKUP(Tabela26[[#This Row],[EMP]],[1]LOJA!$A:$B,2,0)</f>
        <v>S IA</v>
      </c>
      <c r="E475">
        <v>212</v>
      </c>
      <c r="F475" t="s">
        <v>3403</v>
      </c>
      <c r="G475" t="s">
        <v>3402</v>
      </c>
      <c r="H475" t="s">
        <v>3401</v>
      </c>
      <c r="I475">
        <v>5405</v>
      </c>
      <c r="J475" s="3">
        <v>139.94</v>
      </c>
      <c r="K475" s="3">
        <v>71.55</v>
      </c>
      <c r="L475">
        <v>48.87</v>
      </c>
    </row>
    <row r="476" spans="1:12">
      <c r="A476" s="1">
        <v>46027</v>
      </c>
      <c r="B476" t="s">
        <v>12335</v>
      </c>
      <c r="C476">
        <v>14</v>
      </c>
      <c r="D476" t="str">
        <f>VLOOKUP(Tabela26[[#This Row],[EMP]],[1]LOJA!$A:$B,2,0)</f>
        <v>S IA</v>
      </c>
      <c r="E476">
        <v>212</v>
      </c>
      <c r="F476" t="s">
        <v>3403</v>
      </c>
      <c r="G476" t="s">
        <v>3402</v>
      </c>
      <c r="H476" t="s">
        <v>3401</v>
      </c>
      <c r="I476">
        <v>5405</v>
      </c>
      <c r="J476" s="3">
        <v>80</v>
      </c>
      <c r="K476" s="3">
        <v>36.15</v>
      </c>
      <c r="L476">
        <v>54.81</v>
      </c>
    </row>
    <row r="477" spans="1:12">
      <c r="A477" s="1">
        <v>46027</v>
      </c>
      <c r="B477" t="s">
        <v>12334</v>
      </c>
      <c r="C477">
        <v>14</v>
      </c>
      <c r="D477" t="str">
        <f>VLOOKUP(Tabela26[[#This Row],[EMP]],[1]LOJA!$A:$B,2,0)</f>
        <v>S IA</v>
      </c>
      <c r="E477">
        <v>54</v>
      </c>
      <c r="F477" t="s">
        <v>4659</v>
      </c>
      <c r="G477" t="s">
        <v>4658</v>
      </c>
      <c r="H477" t="s">
        <v>3430</v>
      </c>
      <c r="I477">
        <v>5102</v>
      </c>
      <c r="J477" s="3">
        <v>721.19</v>
      </c>
      <c r="K477" s="3">
        <v>378.1</v>
      </c>
      <c r="L477">
        <v>47.57</v>
      </c>
    </row>
    <row r="478" spans="1:12">
      <c r="A478" s="1">
        <v>46027</v>
      </c>
      <c r="B478" t="s">
        <v>12333</v>
      </c>
      <c r="C478">
        <v>14</v>
      </c>
      <c r="D478" t="str">
        <f>VLOOKUP(Tabela26[[#This Row],[EMP]],[1]LOJA!$A:$B,2,0)</f>
        <v>S IA</v>
      </c>
      <c r="E478">
        <v>54</v>
      </c>
      <c r="F478" t="s">
        <v>3403</v>
      </c>
      <c r="G478" t="s">
        <v>3402</v>
      </c>
      <c r="H478" t="s">
        <v>3401</v>
      </c>
      <c r="I478">
        <v>5102</v>
      </c>
      <c r="J478" s="3">
        <v>30</v>
      </c>
      <c r="K478" s="3">
        <v>12.72</v>
      </c>
      <c r="L478">
        <v>57.6</v>
      </c>
    </row>
    <row r="479" spans="1:12">
      <c r="A479" s="1">
        <v>46027</v>
      </c>
      <c r="B479" t="s">
        <v>12332</v>
      </c>
      <c r="C479">
        <v>14</v>
      </c>
      <c r="D479" t="str">
        <f>VLOOKUP(Tabela26[[#This Row],[EMP]],[1]LOJA!$A:$B,2,0)</f>
        <v>S IA</v>
      </c>
      <c r="E479">
        <v>212</v>
      </c>
      <c r="F479" t="s">
        <v>3403</v>
      </c>
      <c r="G479" t="s">
        <v>3402</v>
      </c>
      <c r="H479" t="s">
        <v>3401</v>
      </c>
      <c r="I479">
        <v>5102</v>
      </c>
      <c r="J479" s="3">
        <v>49.8</v>
      </c>
      <c r="K479" s="3">
        <v>33.68</v>
      </c>
      <c r="L479">
        <v>32.369999999999997</v>
      </c>
    </row>
    <row r="480" spans="1:12">
      <c r="A480" s="1">
        <v>46027</v>
      </c>
      <c r="B480" t="s">
        <v>12331</v>
      </c>
      <c r="C480">
        <v>14</v>
      </c>
      <c r="D480" t="str">
        <f>VLOOKUP(Tabela26[[#This Row],[EMP]],[1]LOJA!$A:$B,2,0)</f>
        <v>S IA</v>
      </c>
      <c r="E480">
        <v>54</v>
      </c>
      <c r="F480" t="s">
        <v>3992</v>
      </c>
      <c r="G480" t="s">
        <v>3402</v>
      </c>
      <c r="H480" t="s">
        <v>3408</v>
      </c>
      <c r="I480">
        <v>5405</v>
      </c>
      <c r="J480" s="3">
        <v>233.33</v>
      </c>
      <c r="K480" s="3">
        <v>124.13</v>
      </c>
      <c r="L480">
        <v>46.8</v>
      </c>
    </row>
    <row r="481" spans="1:12">
      <c r="A481" s="1">
        <v>46027</v>
      </c>
      <c r="B481" t="s">
        <v>12330</v>
      </c>
      <c r="C481">
        <v>15</v>
      </c>
      <c r="D481" t="str">
        <f>VLOOKUP(Tabela26[[#This Row],[EMP]],[1]LOJA!$A:$B,2,0)</f>
        <v>UNAÍ</v>
      </c>
      <c r="E481">
        <v>183</v>
      </c>
      <c r="F481" t="s">
        <v>3467</v>
      </c>
      <c r="G481" t="s">
        <v>3466</v>
      </c>
      <c r="H481" t="s">
        <v>3401</v>
      </c>
      <c r="I481">
        <v>5102</v>
      </c>
      <c r="J481" s="3">
        <v>19.8</v>
      </c>
      <c r="K481" s="3">
        <v>8.73</v>
      </c>
      <c r="L481">
        <v>55.91</v>
      </c>
    </row>
    <row r="482" spans="1:12">
      <c r="A482" s="1">
        <v>46027</v>
      </c>
      <c r="B482" t="s">
        <v>12329</v>
      </c>
      <c r="C482">
        <v>15</v>
      </c>
      <c r="D482" t="str">
        <f>VLOOKUP(Tabela26[[#This Row],[EMP]],[1]LOJA!$A:$B,2,0)</f>
        <v>UNAÍ</v>
      </c>
      <c r="E482">
        <v>183</v>
      </c>
      <c r="F482" t="s">
        <v>5290</v>
      </c>
      <c r="G482" t="s">
        <v>5289</v>
      </c>
      <c r="H482" t="s">
        <v>3401</v>
      </c>
      <c r="I482">
        <v>5102</v>
      </c>
      <c r="J482" s="3">
        <v>65.2</v>
      </c>
      <c r="K482" s="3">
        <v>29.22</v>
      </c>
      <c r="L482">
        <v>55.18</v>
      </c>
    </row>
    <row r="483" spans="1:12">
      <c r="A483" s="1">
        <v>46027</v>
      </c>
      <c r="B483" t="s">
        <v>12328</v>
      </c>
      <c r="C483">
        <v>15</v>
      </c>
      <c r="D483" t="str">
        <f>VLOOKUP(Tabela26[[#This Row],[EMP]],[1]LOJA!$A:$B,2,0)</f>
        <v>UNAÍ</v>
      </c>
      <c r="E483">
        <v>183</v>
      </c>
      <c r="F483" t="s">
        <v>12327</v>
      </c>
      <c r="G483" t="s">
        <v>12326</v>
      </c>
      <c r="H483" t="s">
        <v>3401</v>
      </c>
      <c r="I483">
        <v>5102</v>
      </c>
      <c r="J483" s="3">
        <v>59.3</v>
      </c>
      <c r="K483" s="3">
        <v>31.81</v>
      </c>
      <c r="L483">
        <v>46.36</v>
      </c>
    </row>
    <row r="484" spans="1:12">
      <c r="A484" s="1">
        <v>46027</v>
      </c>
      <c r="B484" t="s">
        <v>12325</v>
      </c>
      <c r="C484">
        <v>15</v>
      </c>
      <c r="D484" t="str">
        <f>VLOOKUP(Tabela26[[#This Row],[EMP]],[1]LOJA!$A:$B,2,0)</f>
        <v>UNAÍ</v>
      </c>
      <c r="E484">
        <v>183</v>
      </c>
      <c r="F484" t="s">
        <v>7775</v>
      </c>
      <c r="G484" t="s">
        <v>7774</v>
      </c>
      <c r="H484" t="s">
        <v>3401</v>
      </c>
      <c r="I484">
        <v>5102</v>
      </c>
      <c r="J484" s="3">
        <v>103.5</v>
      </c>
      <c r="K484" s="3">
        <v>47.88</v>
      </c>
      <c r="L484">
        <v>53.74</v>
      </c>
    </row>
    <row r="485" spans="1:12">
      <c r="A485" s="1">
        <v>46027</v>
      </c>
      <c r="B485" t="s">
        <v>12324</v>
      </c>
      <c r="C485">
        <v>15</v>
      </c>
      <c r="D485" t="str">
        <f>VLOOKUP(Tabela26[[#This Row],[EMP]],[1]LOJA!$A:$B,2,0)</f>
        <v>UNAÍ</v>
      </c>
      <c r="E485">
        <v>183</v>
      </c>
      <c r="F485" t="s">
        <v>3966</v>
      </c>
      <c r="G485" t="s">
        <v>3965</v>
      </c>
      <c r="H485" t="s">
        <v>3401</v>
      </c>
      <c r="I485">
        <v>5102</v>
      </c>
      <c r="J485" s="3">
        <v>67.2</v>
      </c>
      <c r="K485" s="3">
        <v>37.08</v>
      </c>
      <c r="L485">
        <v>44.82</v>
      </c>
    </row>
    <row r="486" spans="1:12">
      <c r="A486" s="1">
        <v>46027</v>
      </c>
      <c r="B486" t="s">
        <v>12323</v>
      </c>
      <c r="C486">
        <v>15</v>
      </c>
      <c r="D486" t="str">
        <f>VLOOKUP(Tabela26[[#This Row],[EMP]],[1]LOJA!$A:$B,2,0)</f>
        <v>UNAÍ</v>
      </c>
      <c r="E486">
        <v>183</v>
      </c>
      <c r="F486" t="s">
        <v>6129</v>
      </c>
      <c r="G486" t="s">
        <v>6128</v>
      </c>
      <c r="H486" t="s">
        <v>3401</v>
      </c>
      <c r="I486">
        <v>5102</v>
      </c>
      <c r="J486" s="3">
        <v>77.400000000000006</v>
      </c>
      <c r="K486" s="3">
        <v>47.4</v>
      </c>
      <c r="L486">
        <v>38.76</v>
      </c>
    </row>
    <row r="487" spans="1:12">
      <c r="A487" s="1">
        <v>46027</v>
      </c>
      <c r="B487" t="s">
        <v>12322</v>
      </c>
      <c r="C487">
        <v>15</v>
      </c>
      <c r="D487" t="str">
        <f>VLOOKUP(Tabela26[[#This Row],[EMP]],[1]LOJA!$A:$B,2,0)</f>
        <v>UNAÍ</v>
      </c>
      <c r="E487">
        <v>183</v>
      </c>
      <c r="F487" t="s">
        <v>4655</v>
      </c>
      <c r="G487" t="s">
        <v>4654</v>
      </c>
      <c r="H487" t="s">
        <v>3401</v>
      </c>
      <c r="I487">
        <v>5405</v>
      </c>
      <c r="J487" s="3">
        <v>100</v>
      </c>
      <c r="K487" s="3">
        <v>45.56</v>
      </c>
      <c r="L487">
        <v>54.44</v>
      </c>
    </row>
    <row r="488" spans="1:12">
      <c r="A488" s="1">
        <v>46027</v>
      </c>
      <c r="B488" t="s">
        <v>12321</v>
      </c>
      <c r="C488">
        <v>15</v>
      </c>
      <c r="D488" t="str">
        <f>VLOOKUP(Tabela26[[#This Row],[EMP]],[1]LOJA!$A:$B,2,0)</f>
        <v>UNAÍ</v>
      </c>
      <c r="E488">
        <v>183</v>
      </c>
      <c r="F488" t="s">
        <v>4074</v>
      </c>
      <c r="G488" t="s">
        <v>4073</v>
      </c>
      <c r="H488" t="s">
        <v>3401</v>
      </c>
      <c r="I488">
        <v>5102</v>
      </c>
      <c r="J488" s="3">
        <v>62.8</v>
      </c>
      <c r="K488" s="3">
        <v>37.24</v>
      </c>
      <c r="L488">
        <v>40.700000000000003</v>
      </c>
    </row>
    <row r="489" spans="1:12">
      <c r="A489" s="1">
        <v>46027</v>
      </c>
      <c r="B489" t="s">
        <v>12320</v>
      </c>
      <c r="C489">
        <v>15</v>
      </c>
      <c r="D489" t="str">
        <f>VLOOKUP(Tabela26[[#This Row],[EMP]],[1]LOJA!$A:$B,2,0)</f>
        <v>UNAÍ</v>
      </c>
      <c r="E489">
        <v>183</v>
      </c>
      <c r="F489" t="s">
        <v>5241</v>
      </c>
      <c r="G489" t="s">
        <v>5240</v>
      </c>
      <c r="H489" t="s">
        <v>3401</v>
      </c>
      <c r="I489">
        <v>5102</v>
      </c>
      <c r="J489" s="3">
        <v>14</v>
      </c>
      <c r="K489" s="3">
        <v>6.36</v>
      </c>
      <c r="L489">
        <v>54.57</v>
      </c>
    </row>
    <row r="490" spans="1:12">
      <c r="A490" s="1">
        <v>46027</v>
      </c>
      <c r="B490" t="s">
        <v>12319</v>
      </c>
      <c r="C490">
        <v>15</v>
      </c>
      <c r="D490" t="str">
        <f>VLOOKUP(Tabela26[[#This Row],[EMP]],[1]LOJA!$A:$B,2,0)</f>
        <v>UNAÍ</v>
      </c>
      <c r="E490">
        <v>183</v>
      </c>
      <c r="F490" t="s">
        <v>4029</v>
      </c>
      <c r="G490" t="s">
        <v>4028</v>
      </c>
      <c r="H490" t="s">
        <v>3401</v>
      </c>
      <c r="I490">
        <v>5102</v>
      </c>
      <c r="J490" s="3">
        <v>50</v>
      </c>
      <c r="K490" s="3">
        <v>23.01</v>
      </c>
      <c r="L490">
        <v>53.98</v>
      </c>
    </row>
    <row r="491" spans="1:12">
      <c r="A491" s="1">
        <v>46027</v>
      </c>
      <c r="B491" t="s">
        <v>12318</v>
      </c>
      <c r="C491">
        <v>22</v>
      </c>
      <c r="D491" t="str">
        <f>VLOOKUP(Tabela26[[#This Row],[EMP]],[1]LOJA!$A:$B,2,0)</f>
        <v>GUARÁ</v>
      </c>
      <c r="E491">
        <v>93</v>
      </c>
      <c r="F491" t="s">
        <v>5212</v>
      </c>
      <c r="G491" t="s">
        <v>5211</v>
      </c>
      <c r="H491" t="s">
        <v>3401</v>
      </c>
      <c r="I491">
        <v>5102</v>
      </c>
      <c r="J491" s="3">
        <v>14</v>
      </c>
      <c r="K491" s="3">
        <v>6.36</v>
      </c>
      <c r="L491">
        <v>54.57</v>
      </c>
    </row>
    <row r="492" spans="1:12">
      <c r="A492" s="1">
        <v>46027</v>
      </c>
      <c r="B492" t="s">
        <v>12317</v>
      </c>
      <c r="C492">
        <v>22</v>
      </c>
      <c r="D492" t="str">
        <f>VLOOKUP(Tabela26[[#This Row],[EMP]],[1]LOJA!$A:$B,2,0)</f>
        <v>GUARÁ</v>
      </c>
      <c r="E492">
        <v>93</v>
      </c>
      <c r="F492" t="s">
        <v>4629</v>
      </c>
      <c r="G492" t="s">
        <v>4628</v>
      </c>
      <c r="H492" t="s">
        <v>3401</v>
      </c>
      <c r="I492">
        <v>5102</v>
      </c>
      <c r="J492" s="3">
        <v>17</v>
      </c>
      <c r="K492" s="3">
        <v>9.17</v>
      </c>
      <c r="L492">
        <v>46.06</v>
      </c>
    </row>
    <row r="493" spans="1:12">
      <c r="A493" s="1">
        <v>46027</v>
      </c>
      <c r="B493" t="s">
        <v>12316</v>
      </c>
      <c r="C493">
        <v>22</v>
      </c>
      <c r="D493" t="str">
        <f>VLOOKUP(Tabela26[[#This Row],[EMP]],[1]LOJA!$A:$B,2,0)</f>
        <v>GUARÁ</v>
      </c>
      <c r="E493">
        <v>93</v>
      </c>
      <c r="F493" t="s">
        <v>3403</v>
      </c>
      <c r="G493" t="s">
        <v>3402</v>
      </c>
      <c r="H493" t="s">
        <v>3401</v>
      </c>
      <c r="I493">
        <v>5102</v>
      </c>
      <c r="J493" s="3">
        <v>17</v>
      </c>
      <c r="K493" s="3">
        <v>5.83</v>
      </c>
      <c r="L493">
        <v>65.709999999999994</v>
      </c>
    </row>
    <row r="494" spans="1:12">
      <c r="A494" s="1">
        <v>46027</v>
      </c>
      <c r="B494" t="s">
        <v>12315</v>
      </c>
      <c r="C494">
        <v>22</v>
      </c>
      <c r="D494" t="str">
        <f>VLOOKUP(Tabela26[[#This Row],[EMP]],[1]LOJA!$A:$B,2,0)</f>
        <v>GUARÁ</v>
      </c>
      <c r="E494">
        <v>93</v>
      </c>
      <c r="F494" t="s">
        <v>3856</v>
      </c>
      <c r="G494" t="s">
        <v>3855</v>
      </c>
      <c r="H494" t="s">
        <v>3520</v>
      </c>
      <c r="I494">
        <v>5405</v>
      </c>
      <c r="J494" s="3">
        <v>76.19</v>
      </c>
      <c r="K494" s="3">
        <v>40.19</v>
      </c>
      <c r="L494">
        <v>47.25</v>
      </c>
    </row>
    <row r="495" spans="1:12">
      <c r="A495" s="1">
        <v>46027</v>
      </c>
      <c r="B495" t="s">
        <v>12314</v>
      </c>
      <c r="C495">
        <v>22</v>
      </c>
      <c r="D495" t="str">
        <f>VLOOKUP(Tabela26[[#This Row],[EMP]],[1]LOJA!$A:$B,2,0)</f>
        <v>GUARÁ</v>
      </c>
      <c r="E495">
        <v>93</v>
      </c>
      <c r="F495" t="s">
        <v>3452</v>
      </c>
      <c r="G495" t="s">
        <v>3451</v>
      </c>
      <c r="H495" t="s">
        <v>3408</v>
      </c>
      <c r="I495">
        <v>5405</v>
      </c>
      <c r="J495" s="3">
        <v>99</v>
      </c>
      <c r="K495" s="3">
        <v>44.35</v>
      </c>
      <c r="L495">
        <v>55.2</v>
      </c>
    </row>
    <row r="496" spans="1:12">
      <c r="A496" s="1">
        <v>46027</v>
      </c>
      <c r="B496" t="s">
        <v>12313</v>
      </c>
      <c r="C496">
        <v>22</v>
      </c>
      <c r="D496" t="str">
        <f>VLOOKUP(Tabela26[[#This Row],[EMP]],[1]LOJA!$A:$B,2,0)</f>
        <v>GUARÁ</v>
      </c>
      <c r="E496">
        <v>93</v>
      </c>
      <c r="F496" t="s">
        <v>3913</v>
      </c>
      <c r="G496" t="s">
        <v>3912</v>
      </c>
      <c r="H496" t="s">
        <v>3408</v>
      </c>
      <c r="I496">
        <v>5102</v>
      </c>
      <c r="J496" s="3">
        <v>38</v>
      </c>
      <c r="K496" s="3">
        <v>19.5</v>
      </c>
      <c r="L496">
        <v>48.68</v>
      </c>
    </row>
    <row r="497" spans="1:12">
      <c r="A497" s="1">
        <v>46027</v>
      </c>
      <c r="B497" t="s">
        <v>12312</v>
      </c>
      <c r="C497">
        <v>22</v>
      </c>
      <c r="D497" t="str">
        <f>VLOOKUP(Tabela26[[#This Row],[EMP]],[1]LOJA!$A:$B,2,0)</f>
        <v>GUARÁ</v>
      </c>
      <c r="E497">
        <v>93</v>
      </c>
      <c r="F497" t="s">
        <v>3403</v>
      </c>
      <c r="G497" t="s">
        <v>3402</v>
      </c>
      <c r="H497" t="s">
        <v>3401</v>
      </c>
      <c r="I497">
        <v>5102</v>
      </c>
      <c r="J497" s="3">
        <v>43</v>
      </c>
      <c r="K497" s="3">
        <v>25.38</v>
      </c>
      <c r="L497">
        <v>40.98</v>
      </c>
    </row>
    <row r="498" spans="1:12">
      <c r="A498" s="1">
        <v>46027</v>
      </c>
      <c r="B498" t="s">
        <v>12311</v>
      </c>
      <c r="C498">
        <v>22</v>
      </c>
      <c r="D498" t="str">
        <f>VLOOKUP(Tabela26[[#This Row],[EMP]],[1]LOJA!$A:$B,2,0)</f>
        <v>GUARÁ</v>
      </c>
      <c r="E498">
        <v>93</v>
      </c>
      <c r="F498" t="s">
        <v>3403</v>
      </c>
      <c r="G498" t="s">
        <v>3402</v>
      </c>
      <c r="H498" t="s">
        <v>3401</v>
      </c>
      <c r="I498">
        <v>5102</v>
      </c>
      <c r="J498" s="3">
        <v>36.5</v>
      </c>
      <c r="K498" s="3">
        <v>23.87</v>
      </c>
      <c r="L498">
        <v>34.6</v>
      </c>
    </row>
    <row r="499" spans="1:12">
      <c r="A499" s="1">
        <v>46027</v>
      </c>
      <c r="B499" t="s">
        <v>12310</v>
      </c>
      <c r="C499">
        <v>22</v>
      </c>
      <c r="D499" t="str">
        <f>VLOOKUP(Tabela26[[#This Row],[EMP]],[1]LOJA!$A:$B,2,0)</f>
        <v>GUARÁ</v>
      </c>
      <c r="E499">
        <v>93</v>
      </c>
      <c r="F499" t="s">
        <v>12052</v>
      </c>
      <c r="G499" t="s">
        <v>12051</v>
      </c>
      <c r="H499" t="s">
        <v>3408</v>
      </c>
      <c r="I499">
        <v>5405</v>
      </c>
      <c r="J499" s="3">
        <v>368.64</v>
      </c>
      <c r="K499" s="3">
        <v>192.37</v>
      </c>
      <c r="L499">
        <v>47.82</v>
      </c>
    </row>
    <row r="500" spans="1:12">
      <c r="A500" s="1">
        <v>46027</v>
      </c>
      <c r="B500" t="s">
        <v>12309</v>
      </c>
      <c r="C500">
        <v>22</v>
      </c>
      <c r="D500" t="str">
        <f>VLOOKUP(Tabela26[[#This Row],[EMP]],[1]LOJA!$A:$B,2,0)</f>
        <v>GUARÁ</v>
      </c>
      <c r="E500">
        <v>238</v>
      </c>
      <c r="F500" t="s">
        <v>12052</v>
      </c>
      <c r="G500" t="s">
        <v>12051</v>
      </c>
      <c r="H500" t="s">
        <v>3408</v>
      </c>
      <c r="I500">
        <v>5102</v>
      </c>
      <c r="J500" s="3">
        <v>23.62</v>
      </c>
      <c r="K500" s="3">
        <v>12.57</v>
      </c>
      <c r="L500">
        <v>46.78</v>
      </c>
    </row>
    <row r="501" spans="1:12">
      <c r="A501" s="1">
        <v>46027</v>
      </c>
      <c r="B501" t="s">
        <v>12308</v>
      </c>
      <c r="C501">
        <v>22</v>
      </c>
      <c r="D501" t="str">
        <f>VLOOKUP(Tabela26[[#This Row],[EMP]],[1]LOJA!$A:$B,2,0)</f>
        <v>GUARÁ</v>
      </c>
      <c r="E501">
        <v>238</v>
      </c>
      <c r="F501" t="s">
        <v>3403</v>
      </c>
      <c r="G501" t="s">
        <v>3402</v>
      </c>
      <c r="H501" t="s">
        <v>3401</v>
      </c>
      <c r="I501">
        <v>5405</v>
      </c>
      <c r="J501" s="3">
        <v>57.09</v>
      </c>
      <c r="K501" s="3">
        <v>29.25</v>
      </c>
      <c r="L501">
        <v>48.77</v>
      </c>
    </row>
    <row r="502" spans="1:12">
      <c r="A502" s="1">
        <v>46027</v>
      </c>
      <c r="B502" t="s">
        <v>12307</v>
      </c>
      <c r="C502">
        <v>22</v>
      </c>
      <c r="D502" t="str">
        <f>VLOOKUP(Tabela26[[#This Row],[EMP]],[1]LOJA!$A:$B,2,0)</f>
        <v>GUARÁ</v>
      </c>
      <c r="E502">
        <v>93</v>
      </c>
      <c r="F502" t="s">
        <v>3889</v>
      </c>
      <c r="G502" t="s">
        <v>3888</v>
      </c>
      <c r="H502" t="s">
        <v>7018</v>
      </c>
      <c r="I502">
        <v>5405</v>
      </c>
      <c r="J502" s="3">
        <v>62.52</v>
      </c>
      <c r="K502" s="3">
        <v>32.29</v>
      </c>
      <c r="L502">
        <v>48.35</v>
      </c>
    </row>
    <row r="503" spans="1:12">
      <c r="A503" s="1">
        <v>46027</v>
      </c>
      <c r="B503" t="s">
        <v>12306</v>
      </c>
      <c r="C503">
        <v>22</v>
      </c>
      <c r="D503" t="str">
        <f>VLOOKUP(Tabela26[[#This Row],[EMP]],[1]LOJA!$A:$B,2,0)</f>
        <v>GUARÁ</v>
      </c>
      <c r="E503">
        <v>93</v>
      </c>
      <c r="F503" t="s">
        <v>3870</v>
      </c>
      <c r="G503" t="s">
        <v>3869</v>
      </c>
      <c r="H503" t="s">
        <v>3401</v>
      </c>
      <c r="I503">
        <v>5405</v>
      </c>
      <c r="J503" s="3">
        <v>47</v>
      </c>
      <c r="K503" s="3">
        <v>23.52</v>
      </c>
      <c r="L503">
        <v>49.96</v>
      </c>
    </row>
    <row r="504" spans="1:12">
      <c r="A504" s="1">
        <v>46027</v>
      </c>
      <c r="B504" t="s">
        <v>12305</v>
      </c>
      <c r="C504">
        <v>22</v>
      </c>
      <c r="D504" t="str">
        <f>VLOOKUP(Tabela26[[#This Row],[EMP]],[1]LOJA!$A:$B,2,0)</f>
        <v>GUARÁ</v>
      </c>
      <c r="E504">
        <v>93</v>
      </c>
      <c r="F504" t="s">
        <v>3403</v>
      </c>
      <c r="G504" t="s">
        <v>3402</v>
      </c>
      <c r="H504" t="s">
        <v>3401</v>
      </c>
      <c r="I504">
        <v>5102</v>
      </c>
      <c r="J504" s="3">
        <v>127</v>
      </c>
      <c r="K504" s="3">
        <v>74.44</v>
      </c>
      <c r="L504">
        <v>41.39</v>
      </c>
    </row>
    <row r="505" spans="1:12">
      <c r="A505" s="1">
        <v>46027</v>
      </c>
      <c r="B505" t="s">
        <v>12304</v>
      </c>
      <c r="C505">
        <v>22</v>
      </c>
      <c r="D505" t="str">
        <f>VLOOKUP(Tabela26[[#This Row],[EMP]],[1]LOJA!$A:$B,2,0)</f>
        <v>GUARÁ</v>
      </c>
      <c r="E505">
        <v>93</v>
      </c>
      <c r="F505" t="s">
        <v>3403</v>
      </c>
      <c r="G505" t="s">
        <v>3402</v>
      </c>
      <c r="H505" t="s">
        <v>3408</v>
      </c>
      <c r="I505">
        <v>5405</v>
      </c>
      <c r="J505" s="3">
        <v>89.85</v>
      </c>
      <c r="K505" s="3">
        <v>48.05</v>
      </c>
      <c r="L505">
        <v>46.52</v>
      </c>
    </row>
    <row r="506" spans="1:12">
      <c r="A506" s="1">
        <v>46027</v>
      </c>
      <c r="B506" t="s">
        <v>12303</v>
      </c>
      <c r="C506">
        <v>22</v>
      </c>
      <c r="D506" t="str">
        <f>VLOOKUP(Tabela26[[#This Row],[EMP]],[1]LOJA!$A:$B,2,0)</f>
        <v>GUARÁ</v>
      </c>
      <c r="E506">
        <v>93</v>
      </c>
      <c r="F506" t="s">
        <v>3403</v>
      </c>
      <c r="G506" t="s">
        <v>3402</v>
      </c>
      <c r="H506" t="s">
        <v>3401</v>
      </c>
      <c r="I506">
        <v>5102</v>
      </c>
      <c r="J506" s="3">
        <v>12</v>
      </c>
      <c r="K506" s="3">
        <v>6.69</v>
      </c>
      <c r="L506">
        <v>44.25</v>
      </c>
    </row>
    <row r="507" spans="1:12">
      <c r="A507" s="1">
        <v>46027</v>
      </c>
      <c r="B507" t="s">
        <v>12302</v>
      </c>
      <c r="C507">
        <v>22</v>
      </c>
      <c r="D507" t="str">
        <f>VLOOKUP(Tabela26[[#This Row],[EMP]],[1]LOJA!$A:$B,2,0)</f>
        <v>GUARÁ</v>
      </c>
      <c r="E507">
        <v>93</v>
      </c>
      <c r="F507" t="s">
        <v>3403</v>
      </c>
      <c r="G507" t="s">
        <v>3402</v>
      </c>
      <c r="H507" t="s">
        <v>3401</v>
      </c>
      <c r="I507">
        <v>5102</v>
      </c>
      <c r="J507" s="3">
        <v>10</v>
      </c>
      <c r="K507" s="3">
        <v>5.7</v>
      </c>
      <c r="L507">
        <v>43</v>
      </c>
    </row>
    <row r="508" spans="1:12">
      <c r="A508" s="1">
        <v>46027</v>
      </c>
      <c r="B508" t="s">
        <v>12301</v>
      </c>
      <c r="C508">
        <v>22</v>
      </c>
      <c r="D508" t="str">
        <f>VLOOKUP(Tabela26[[#This Row],[EMP]],[1]LOJA!$A:$B,2,0)</f>
        <v>GUARÁ</v>
      </c>
      <c r="E508">
        <v>93</v>
      </c>
      <c r="F508" t="s">
        <v>3403</v>
      </c>
      <c r="G508" t="s">
        <v>3402</v>
      </c>
      <c r="H508" t="s">
        <v>3401</v>
      </c>
      <c r="I508">
        <v>5102</v>
      </c>
      <c r="J508" s="3">
        <v>7.5</v>
      </c>
      <c r="K508" s="3">
        <v>3.91</v>
      </c>
      <c r="L508">
        <v>47.87</v>
      </c>
    </row>
    <row r="509" spans="1:12">
      <c r="A509" s="1">
        <v>46027</v>
      </c>
      <c r="B509" t="s">
        <v>12300</v>
      </c>
      <c r="C509">
        <v>22</v>
      </c>
      <c r="D509" t="str">
        <f>VLOOKUP(Tabela26[[#This Row],[EMP]],[1]LOJA!$A:$B,2,0)</f>
        <v>GUARÁ</v>
      </c>
      <c r="E509">
        <v>93</v>
      </c>
      <c r="F509" t="s">
        <v>3403</v>
      </c>
      <c r="G509" t="s">
        <v>3402</v>
      </c>
      <c r="H509" t="s">
        <v>3401</v>
      </c>
      <c r="I509">
        <v>5102</v>
      </c>
      <c r="J509" s="3">
        <v>14.5</v>
      </c>
      <c r="K509" s="3">
        <v>9.26</v>
      </c>
      <c r="L509">
        <v>36.14</v>
      </c>
    </row>
    <row r="510" spans="1:12">
      <c r="A510" s="1">
        <v>46027</v>
      </c>
      <c r="B510" t="s">
        <v>12299</v>
      </c>
      <c r="C510">
        <v>22</v>
      </c>
      <c r="D510" t="str">
        <f>VLOOKUP(Tabela26[[#This Row],[EMP]],[1]LOJA!$A:$B,2,0)</f>
        <v>GUARÁ</v>
      </c>
      <c r="E510">
        <v>93</v>
      </c>
      <c r="F510" t="s">
        <v>4593</v>
      </c>
      <c r="G510" t="s">
        <v>4592</v>
      </c>
      <c r="H510" t="s">
        <v>3401</v>
      </c>
      <c r="I510">
        <v>5405</v>
      </c>
      <c r="J510" s="3">
        <v>35</v>
      </c>
      <c r="K510" s="3">
        <v>17.52</v>
      </c>
      <c r="L510">
        <v>49.94</v>
      </c>
    </row>
    <row r="511" spans="1:12">
      <c r="A511" s="1">
        <v>46027</v>
      </c>
      <c r="B511" t="s">
        <v>12298</v>
      </c>
      <c r="C511">
        <v>12</v>
      </c>
      <c r="D511" t="str">
        <f>VLOOKUP(Tabela26[[#This Row],[EMP]],[1]LOJA!$A:$B,2,0)</f>
        <v>SOFNORTE</v>
      </c>
      <c r="E511">
        <v>60</v>
      </c>
      <c r="F511" t="s">
        <v>3948</v>
      </c>
      <c r="G511" t="s">
        <v>3947</v>
      </c>
      <c r="H511" t="s">
        <v>3430</v>
      </c>
      <c r="I511">
        <v>5405</v>
      </c>
      <c r="J511" s="3">
        <v>238.98</v>
      </c>
      <c r="K511" s="3">
        <v>114.67</v>
      </c>
      <c r="L511">
        <v>52.02</v>
      </c>
    </row>
    <row r="512" spans="1:12">
      <c r="A512" s="1">
        <v>46027</v>
      </c>
      <c r="B512" t="s">
        <v>12297</v>
      </c>
      <c r="C512">
        <v>12</v>
      </c>
      <c r="D512" t="str">
        <f>VLOOKUP(Tabela26[[#This Row],[EMP]],[1]LOJA!$A:$B,2,0)</f>
        <v>SOFNORTE</v>
      </c>
      <c r="E512">
        <v>60</v>
      </c>
      <c r="F512" t="s">
        <v>5057</v>
      </c>
      <c r="G512" t="s">
        <v>5056</v>
      </c>
      <c r="H512" t="s">
        <v>3430</v>
      </c>
      <c r="I512">
        <v>5405</v>
      </c>
      <c r="J512" s="3">
        <v>200</v>
      </c>
      <c r="K512" s="3">
        <v>90.04</v>
      </c>
      <c r="L512">
        <v>54.98</v>
      </c>
    </row>
    <row r="513" spans="1:12">
      <c r="A513" s="1">
        <v>46027</v>
      </c>
      <c r="B513" t="s">
        <v>12296</v>
      </c>
      <c r="C513">
        <v>12</v>
      </c>
      <c r="D513" t="str">
        <f>VLOOKUP(Tabela26[[#This Row],[EMP]],[1]LOJA!$A:$B,2,0)</f>
        <v>SOFNORTE</v>
      </c>
      <c r="E513">
        <v>60</v>
      </c>
      <c r="F513" t="s">
        <v>3461</v>
      </c>
      <c r="G513" t="s">
        <v>3460</v>
      </c>
      <c r="H513" t="s">
        <v>3430</v>
      </c>
      <c r="I513">
        <v>5405</v>
      </c>
      <c r="J513" s="3">
        <v>175.01</v>
      </c>
      <c r="K513" s="3">
        <v>86.4</v>
      </c>
      <c r="L513">
        <v>50.63</v>
      </c>
    </row>
    <row r="514" spans="1:12">
      <c r="A514" s="1">
        <v>46027</v>
      </c>
      <c r="B514" t="s">
        <v>12295</v>
      </c>
      <c r="C514">
        <v>12</v>
      </c>
      <c r="D514" t="str">
        <f>VLOOKUP(Tabela26[[#This Row],[EMP]],[1]LOJA!$A:$B,2,0)</f>
        <v>SOFNORTE</v>
      </c>
      <c r="E514">
        <v>60</v>
      </c>
      <c r="F514" t="s">
        <v>5223</v>
      </c>
      <c r="G514" t="s">
        <v>5222</v>
      </c>
      <c r="H514" t="s">
        <v>3430</v>
      </c>
      <c r="I514">
        <v>5405</v>
      </c>
      <c r="J514" s="3">
        <v>47.46</v>
      </c>
      <c r="K514" s="3">
        <v>21.09</v>
      </c>
      <c r="L514">
        <v>55.56</v>
      </c>
    </row>
    <row r="515" spans="1:12">
      <c r="A515" s="1">
        <v>46027</v>
      </c>
      <c r="B515" t="s">
        <v>12294</v>
      </c>
      <c r="C515">
        <v>12</v>
      </c>
      <c r="D515" t="str">
        <f>VLOOKUP(Tabela26[[#This Row],[EMP]],[1]LOJA!$A:$B,2,0)</f>
        <v>SOFNORTE</v>
      </c>
      <c r="E515">
        <v>60</v>
      </c>
      <c r="F515" t="s">
        <v>3931</v>
      </c>
      <c r="G515" t="s">
        <v>3930</v>
      </c>
      <c r="H515" t="s">
        <v>12292</v>
      </c>
      <c r="I515">
        <v>5405</v>
      </c>
      <c r="J515" s="3">
        <v>50</v>
      </c>
      <c r="K515" s="3">
        <v>23.38</v>
      </c>
      <c r="L515">
        <v>53.24</v>
      </c>
    </row>
    <row r="516" spans="1:12">
      <c r="A516" s="1">
        <v>46027</v>
      </c>
      <c r="B516" t="s">
        <v>12293</v>
      </c>
      <c r="C516">
        <v>12</v>
      </c>
      <c r="D516" t="str">
        <f>VLOOKUP(Tabela26[[#This Row],[EMP]],[1]LOJA!$A:$B,2,0)</f>
        <v>SOFNORTE</v>
      </c>
      <c r="E516">
        <v>239</v>
      </c>
      <c r="F516" t="s">
        <v>3931</v>
      </c>
      <c r="G516" t="s">
        <v>3930</v>
      </c>
      <c r="H516" t="s">
        <v>12292</v>
      </c>
      <c r="I516">
        <v>5405</v>
      </c>
      <c r="J516" s="3">
        <v>395.08</v>
      </c>
      <c r="K516" s="3">
        <v>181.47</v>
      </c>
      <c r="L516">
        <v>54.07</v>
      </c>
    </row>
    <row r="517" spans="1:12">
      <c r="A517" s="1">
        <v>46027</v>
      </c>
      <c r="B517" t="s">
        <v>12291</v>
      </c>
      <c r="C517">
        <v>12</v>
      </c>
      <c r="D517" t="str">
        <f>VLOOKUP(Tabela26[[#This Row],[EMP]],[1]LOJA!$A:$B,2,0)</f>
        <v>SOFNORTE</v>
      </c>
      <c r="E517">
        <v>239</v>
      </c>
      <c r="F517" t="s">
        <v>6393</v>
      </c>
      <c r="G517" t="s">
        <v>6392</v>
      </c>
      <c r="H517" t="s">
        <v>3430</v>
      </c>
      <c r="I517">
        <v>5102</v>
      </c>
      <c r="J517" s="3">
        <v>58</v>
      </c>
      <c r="K517" s="3">
        <v>31.73</v>
      </c>
      <c r="L517">
        <v>45.29</v>
      </c>
    </row>
    <row r="518" spans="1:12">
      <c r="A518" s="1">
        <v>46027</v>
      </c>
      <c r="B518" t="s">
        <v>12290</v>
      </c>
      <c r="C518">
        <v>12</v>
      </c>
      <c r="D518" t="str">
        <f>VLOOKUP(Tabela26[[#This Row],[EMP]],[1]LOJA!$A:$B,2,0)</f>
        <v>SOFNORTE</v>
      </c>
      <c r="E518">
        <v>239</v>
      </c>
      <c r="F518" t="s">
        <v>3948</v>
      </c>
      <c r="G518" t="s">
        <v>3947</v>
      </c>
      <c r="H518" t="s">
        <v>3430</v>
      </c>
      <c r="I518">
        <v>5102</v>
      </c>
      <c r="J518" s="3">
        <v>38.01</v>
      </c>
      <c r="K518" s="3">
        <v>21.46</v>
      </c>
      <c r="L518">
        <v>43.54</v>
      </c>
    </row>
    <row r="519" spans="1:12">
      <c r="A519" s="1">
        <v>46027</v>
      </c>
      <c r="B519" t="s">
        <v>12289</v>
      </c>
      <c r="C519">
        <v>4</v>
      </c>
      <c r="D519" t="str">
        <f>VLOOKUP(Tabela26[[#This Row],[EMP]],[1]LOJA!$A:$B,2,0)</f>
        <v>ADE</v>
      </c>
      <c r="E519">
        <v>132</v>
      </c>
      <c r="F519" t="s">
        <v>3403</v>
      </c>
      <c r="G519" t="s">
        <v>3402</v>
      </c>
      <c r="H519" t="s">
        <v>3401</v>
      </c>
      <c r="I519">
        <v>5405</v>
      </c>
      <c r="J519" s="3">
        <v>50</v>
      </c>
      <c r="K519" s="3">
        <v>26.53</v>
      </c>
      <c r="L519">
        <v>46.94</v>
      </c>
    </row>
    <row r="520" spans="1:12">
      <c r="A520" s="1">
        <v>46027</v>
      </c>
      <c r="B520" t="s">
        <v>12288</v>
      </c>
      <c r="C520">
        <v>4</v>
      </c>
      <c r="D520" t="str">
        <f>VLOOKUP(Tabela26[[#This Row],[EMP]],[1]LOJA!$A:$B,2,0)</f>
        <v>ADE</v>
      </c>
      <c r="E520">
        <v>109</v>
      </c>
      <c r="F520" t="s">
        <v>12287</v>
      </c>
      <c r="G520" t="s">
        <v>3402</v>
      </c>
      <c r="H520" t="s">
        <v>3401</v>
      </c>
      <c r="I520">
        <v>5405</v>
      </c>
      <c r="J520" s="3">
        <v>983</v>
      </c>
      <c r="K520" s="3">
        <v>532.58000000000004</v>
      </c>
      <c r="L520">
        <v>45.82</v>
      </c>
    </row>
    <row r="521" spans="1:12">
      <c r="A521" s="1">
        <v>46027</v>
      </c>
      <c r="B521" t="s">
        <v>12286</v>
      </c>
      <c r="C521">
        <v>4</v>
      </c>
      <c r="D521" t="str">
        <f>VLOOKUP(Tabela26[[#This Row],[EMP]],[1]LOJA!$A:$B,2,0)</f>
        <v>ADE</v>
      </c>
      <c r="E521">
        <v>109</v>
      </c>
      <c r="F521" t="s">
        <v>12285</v>
      </c>
      <c r="G521" t="s">
        <v>3402</v>
      </c>
      <c r="H521" t="s">
        <v>3401</v>
      </c>
      <c r="I521">
        <v>5102</v>
      </c>
      <c r="J521" s="3">
        <v>27</v>
      </c>
      <c r="K521" s="3">
        <v>12.57</v>
      </c>
      <c r="L521">
        <v>53.44</v>
      </c>
    </row>
    <row r="522" spans="1:12">
      <c r="A522" s="1">
        <v>46027</v>
      </c>
      <c r="B522" t="s">
        <v>12284</v>
      </c>
      <c r="C522">
        <v>4</v>
      </c>
      <c r="D522" t="str">
        <f>VLOOKUP(Tabela26[[#This Row],[EMP]],[1]LOJA!$A:$B,2,0)</f>
        <v>ADE</v>
      </c>
      <c r="E522">
        <v>132</v>
      </c>
      <c r="F522" t="s">
        <v>4565</v>
      </c>
      <c r="G522" t="s">
        <v>4564</v>
      </c>
      <c r="H522" t="s">
        <v>3408</v>
      </c>
      <c r="I522">
        <v>5102</v>
      </c>
      <c r="J522" s="3">
        <v>545</v>
      </c>
      <c r="K522" s="3">
        <v>316.89999999999998</v>
      </c>
      <c r="L522">
        <v>41.85</v>
      </c>
    </row>
    <row r="523" spans="1:12">
      <c r="A523" s="1">
        <v>46027</v>
      </c>
      <c r="B523" t="s">
        <v>12283</v>
      </c>
      <c r="C523">
        <v>4</v>
      </c>
      <c r="D523" t="str">
        <f>VLOOKUP(Tabela26[[#This Row],[EMP]],[1]LOJA!$A:$B,2,0)</f>
        <v>ADE</v>
      </c>
      <c r="E523">
        <v>132</v>
      </c>
      <c r="F523" t="s">
        <v>3403</v>
      </c>
      <c r="G523" t="s">
        <v>3402</v>
      </c>
      <c r="H523" t="s">
        <v>3401</v>
      </c>
      <c r="I523">
        <v>5102</v>
      </c>
      <c r="J523" s="3">
        <v>170</v>
      </c>
      <c r="K523" s="3">
        <v>86.71</v>
      </c>
      <c r="L523">
        <v>48.99</v>
      </c>
    </row>
    <row r="524" spans="1:12">
      <c r="A524" s="1">
        <v>46027</v>
      </c>
      <c r="B524" t="s">
        <v>12282</v>
      </c>
      <c r="C524">
        <v>4</v>
      </c>
      <c r="D524" t="str">
        <f>VLOOKUP(Tabela26[[#This Row],[EMP]],[1]LOJA!$A:$B,2,0)</f>
        <v>ADE</v>
      </c>
      <c r="E524">
        <v>109</v>
      </c>
      <c r="F524" t="s">
        <v>6714</v>
      </c>
      <c r="G524" t="s">
        <v>3402</v>
      </c>
      <c r="H524" t="s">
        <v>3401</v>
      </c>
      <c r="I524">
        <v>5405</v>
      </c>
      <c r="J524" s="3">
        <v>95</v>
      </c>
      <c r="K524" s="3">
        <v>39.21</v>
      </c>
      <c r="L524">
        <v>58.73</v>
      </c>
    </row>
    <row r="525" spans="1:12">
      <c r="A525" s="1">
        <v>46027</v>
      </c>
      <c r="B525" t="s">
        <v>12281</v>
      </c>
      <c r="C525">
        <v>4</v>
      </c>
      <c r="D525" t="str">
        <f>VLOOKUP(Tabela26[[#This Row],[EMP]],[1]LOJA!$A:$B,2,0)</f>
        <v>ADE</v>
      </c>
      <c r="E525">
        <v>132</v>
      </c>
      <c r="F525" t="s">
        <v>3846</v>
      </c>
      <c r="G525" t="s">
        <v>3845</v>
      </c>
      <c r="H525" t="s">
        <v>3408</v>
      </c>
      <c r="I525">
        <v>5405</v>
      </c>
      <c r="J525" s="3">
        <v>45</v>
      </c>
      <c r="K525" s="3">
        <v>21.99</v>
      </c>
      <c r="L525">
        <v>51.13</v>
      </c>
    </row>
    <row r="526" spans="1:12">
      <c r="A526" s="1">
        <v>46027</v>
      </c>
      <c r="B526" t="s">
        <v>12280</v>
      </c>
      <c r="C526">
        <v>4</v>
      </c>
      <c r="D526" t="str">
        <f>VLOOKUP(Tabela26[[#This Row],[EMP]],[1]LOJA!$A:$B,2,0)</f>
        <v>ADE</v>
      </c>
      <c r="E526">
        <v>132</v>
      </c>
      <c r="F526" t="s">
        <v>4299</v>
      </c>
      <c r="G526" t="s">
        <v>4298</v>
      </c>
      <c r="H526" t="s">
        <v>3401</v>
      </c>
      <c r="I526">
        <v>5102</v>
      </c>
      <c r="J526" s="3">
        <v>80</v>
      </c>
      <c r="K526" s="3">
        <v>50.2</v>
      </c>
      <c r="L526">
        <v>37.25</v>
      </c>
    </row>
    <row r="527" spans="1:12">
      <c r="A527" s="1">
        <v>46027</v>
      </c>
      <c r="B527" t="s">
        <v>12279</v>
      </c>
      <c r="C527">
        <v>16</v>
      </c>
      <c r="D527" t="str">
        <f>VLOOKUP(Tabela26[[#This Row],[EMP]],[1]LOJA!$A:$B,2,0)</f>
        <v>AG LINDAS</v>
      </c>
      <c r="E527">
        <v>240</v>
      </c>
      <c r="F527" t="s">
        <v>7665</v>
      </c>
      <c r="G527" t="s">
        <v>7664</v>
      </c>
      <c r="H527" t="s">
        <v>3408</v>
      </c>
      <c r="I527">
        <v>5102</v>
      </c>
      <c r="J527" s="3">
        <v>35.6</v>
      </c>
      <c r="K527" s="3">
        <v>18.12</v>
      </c>
      <c r="L527">
        <v>49.1</v>
      </c>
    </row>
    <row r="528" spans="1:12">
      <c r="A528" s="1">
        <v>46027</v>
      </c>
      <c r="B528" t="s">
        <v>12278</v>
      </c>
      <c r="C528">
        <v>16</v>
      </c>
      <c r="D528" t="str">
        <f>VLOOKUP(Tabela26[[#This Row],[EMP]],[1]LOJA!$A:$B,2,0)</f>
        <v>AG LINDAS</v>
      </c>
      <c r="E528">
        <v>240</v>
      </c>
      <c r="F528" t="s">
        <v>3780</v>
      </c>
      <c r="G528" t="s">
        <v>3437</v>
      </c>
      <c r="H528" t="s">
        <v>3401</v>
      </c>
      <c r="I528">
        <v>5102</v>
      </c>
      <c r="J528" s="3">
        <v>74</v>
      </c>
      <c r="K528" s="3">
        <v>47.94</v>
      </c>
      <c r="L528">
        <v>35.22</v>
      </c>
    </row>
    <row r="529" spans="1:12">
      <c r="A529" s="1">
        <v>46027</v>
      </c>
      <c r="B529" t="s">
        <v>12277</v>
      </c>
      <c r="C529">
        <v>16</v>
      </c>
      <c r="D529" t="str">
        <f>VLOOKUP(Tabela26[[#This Row],[EMP]],[1]LOJA!$A:$B,2,0)</f>
        <v>AG LINDAS</v>
      </c>
      <c r="E529">
        <v>240</v>
      </c>
      <c r="F529" t="s">
        <v>3808</v>
      </c>
      <c r="G529" t="s">
        <v>3807</v>
      </c>
      <c r="H529" t="s">
        <v>3401</v>
      </c>
      <c r="I529">
        <v>5102</v>
      </c>
      <c r="J529" s="3">
        <v>86.8</v>
      </c>
      <c r="K529" s="3">
        <v>50.3</v>
      </c>
      <c r="L529">
        <v>42.05</v>
      </c>
    </row>
    <row r="530" spans="1:12">
      <c r="A530" s="1">
        <v>46027</v>
      </c>
      <c r="B530" t="s">
        <v>12276</v>
      </c>
      <c r="C530">
        <v>16</v>
      </c>
      <c r="D530" t="str">
        <f>VLOOKUP(Tabela26[[#This Row],[EMP]],[1]LOJA!$A:$B,2,0)</f>
        <v>AG LINDAS</v>
      </c>
      <c r="E530">
        <v>240</v>
      </c>
      <c r="F530" t="s">
        <v>9119</v>
      </c>
      <c r="G530" t="s">
        <v>3437</v>
      </c>
      <c r="H530" t="s">
        <v>3401</v>
      </c>
      <c r="I530">
        <v>5102</v>
      </c>
      <c r="J530" s="3">
        <v>48</v>
      </c>
      <c r="K530" s="3">
        <v>25.66</v>
      </c>
      <c r="L530">
        <v>46.54</v>
      </c>
    </row>
    <row r="531" spans="1:12">
      <c r="A531" s="1">
        <v>46027</v>
      </c>
      <c r="B531" t="s">
        <v>12275</v>
      </c>
      <c r="C531">
        <v>16</v>
      </c>
      <c r="D531" t="str">
        <f>VLOOKUP(Tabela26[[#This Row],[EMP]],[1]LOJA!$A:$B,2,0)</f>
        <v>AG LINDAS</v>
      </c>
      <c r="E531">
        <v>240</v>
      </c>
      <c r="F531" t="s">
        <v>3780</v>
      </c>
      <c r="G531" t="s">
        <v>3437</v>
      </c>
      <c r="H531" t="s">
        <v>3401</v>
      </c>
      <c r="I531">
        <v>5102</v>
      </c>
      <c r="J531" s="3">
        <v>30</v>
      </c>
      <c r="K531" s="3">
        <v>19.239999999999998</v>
      </c>
      <c r="L531">
        <v>35.869999999999997</v>
      </c>
    </row>
    <row r="532" spans="1:12">
      <c r="A532" s="1">
        <v>46027</v>
      </c>
      <c r="B532" t="s">
        <v>12274</v>
      </c>
      <c r="C532">
        <v>16</v>
      </c>
      <c r="D532" t="str">
        <f>VLOOKUP(Tabela26[[#This Row],[EMP]],[1]LOJA!$A:$B,2,0)</f>
        <v>AG LINDAS</v>
      </c>
      <c r="E532">
        <v>240</v>
      </c>
      <c r="F532" t="s">
        <v>5117</v>
      </c>
      <c r="G532" t="s">
        <v>3437</v>
      </c>
      <c r="H532" t="s">
        <v>3401</v>
      </c>
      <c r="I532">
        <v>5405</v>
      </c>
      <c r="J532" s="3">
        <v>62.7</v>
      </c>
      <c r="K532" s="3">
        <v>36.22</v>
      </c>
      <c r="L532">
        <v>42.23</v>
      </c>
    </row>
    <row r="533" spans="1:12">
      <c r="A533" s="1">
        <v>46027</v>
      </c>
      <c r="B533" t="s">
        <v>12273</v>
      </c>
      <c r="C533">
        <v>16</v>
      </c>
      <c r="D533" t="str">
        <f>VLOOKUP(Tabela26[[#This Row],[EMP]],[1]LOJA!$A:$B,2,0)</f>
        <v>AG LINDAS</v>
      </c>
      <c r="E533">
        <v>240</v>
      </c>
      <c r="F533" t="s">
        <v>3780</v>
      </c>
      <c r="G533" t="s">
        <v>3437</v>
      </c>
      <c r="H533" t="s">
        <v>3401</v>
      </c>
      <c r="I533">
        <v>5102</v>
      </c>
      <c r="J533" s="3">
        <v>69.900000000000006</v>
      </c>
      <c r="K533" s="3">
        <v>27.18</v>
      </c>
      <c r="L533">
        <v>61.12</v>
      </c>
    </row>
    <row r="534" spans="1:12">
      <c r="A534" s="1">
        <v>46027</v>
      </c>
      <c r="B534" t="s">
        <v>12272</v>
      </c>
      <c r="C534">
        <v>16</v>
      </c>
      <c r="D534" t="str">
        <f>VLOOKUP(Tabela26[[#This Row],[EMP]],[1]LOJA!$A:$B,2,0)</f>
        <v>AG LINDAS</v>
      </c>
      <c r="E534">
        <v>240</v>
      </c>
      <c r="F534" t="s">
        <v>4318</v>
      </c>
      <c r="G534" t="s">
        <v>3437</v>
      </c>
      <c r="H534" t="s">
        <v>3401</v>
      </c>
      <c r="I534">
        <v>5102</v>
      </c>
      <c r="J534" s="3">
        <v>37</v>
      </c>
      <c r="K534" s="3">
        <v>19.59</v>
      </c>
      <c r="L534">
        <v>47.05</v>
      </c>
    </row>
    <row r="535" spans="1:12">
      <c r="A535" s="1">
        <v>46027</v>
      </c>
      <c r="B535" t="s">
        <v>12271</v>
      </c>
      <c r="C535">
        <v>16</v>
      </c>
      <c r="D535" t="str">
        <f>VLOOKUP(Tabela26[[#This Row],[EMP]],[1]LOJA!$A:$B,2,0)</f>
        <v>AG LINDAS</v>
      </c>
      <c r="E535">
        <v>240</v>
      </c>
      <c r="F535" t="s">
        <v>4519</v>
      </c>
      <c r="G535" t="s">
        <v>3437</v>
      </c>
      <c r="H535" t="s">
        <v>3408</v>
      </c>
      <c r="I535">
        <v>5405</v>
      </c>
      <c r="J535" s="3">
        <v>345.4</v>
      </c>
      <c r="K535" s="3">
        <v>159.97999999999999</v>
      </c>
      <c r="L535">
        <v>53.68</v>
      </c>
    </row>
    <row r="536" spans="1:12">
      <c r="A536" s="1">
        <v>46027</v>
      </c>
      <c r="B536" t="s">
        <v>12270</v>
      </c>
      <c r="C536">
        <v>16</v>
      </c>
      <c r="D536" t="str">
        <f>VLOOKUP(Tabela26[[#This Row],[EMP]],[1]LOJA!$A:$B,2,0)</f>
        <v>AG LINDAS</v>
      </c>
      <c r="E536">
        <v>240</v>
      </c>
      <c r="F536" t="s">
        <v>3780</v>
      </c>
      <c r="G536" t="s">
        <v>3437</v>
      </c>
      <c r="H536" t="s">
        <v>3401</v>
      </c>
      <c r="I536">
        <v>5102</v>
      </c>
      <c r="J536" s="3">
        <v>284.7</v>
      </c>
      <c r="K536" s="3">
        <v>147.65</v>
      </c>
      <c r="L536">
        <v>48.14</v>
      </c>
    </row>
    <row r="537" spans="1:12">
      <c r="A537" s="1">
        <v>46027</v>
      </c>
      <c r="B537" t="s">
        <v>12269</v>
      </c>
      <c r="C537">
        <v>16</v>
      </c>
      <c r="D537" t="str">
        <f>VLOOKUP(Tabela26[[#This Row],[EMP]],[1]LOJA!$A:$B,2,0)</f>
        <v>AG LINDAS</v>
      </c>
      <c r="E537">
        <v>240</v>
      </c>
      <c r="F537" t="s">
        <v>12268</v>
      </c>
      <c r="G537" t="s">
        <v>3437</v>
      </c>
      <c r="H537" t="s">
        <v>3401</v>
      </c>
      <c r="I537">
        <v>5102</v>
      </c>
      <c r="J537" s="3">
        <v>23.9</v>
      </c>
      <c r="K537" s="3">
        <v>12.71</v>
      </c>
      <c r="L537">
        <v>46.82</v>
      </c>
    </row>
    <row r="538" spans="1:12">
      <c r="A538" s="1">
        <v>46027</v>
      </c>
      <c r="B538" t="s">
        <v>12267</v>
      </c>
      <c r="C538">
        <v>16</v>
      </c>
      <c r="D538" t="str">
        <f>VLOOKUP(Tabela26[[#This Row],[EMP]],[1]LOJA!$A:$B,2,0)</f>
        <v>AG LINDAS</v>
      </c>
      <c r="E538">
        <v>240</v>
      </c>
      <c r="F538" t="s">
        <v>3818</v>
      </c>
      <c r="G538" t="s">
        <v>3817</v>
      </c>
      <c r="H538" t="s">
        <v>3401</v>
      </c>
      <c r="I538">
        <v>5102</v>
      </c>
      <c r="J538" s="3">
        <v>71</v>
      </c>
      <c r="K538" s="3">
        <v>43.5</v>
      </c>
      <c r="L538">
        <v>38.729999999999997</v>
      </c>
    </row>
    <row r="539" spans="1:12">
      <c r="A539" s="1">
        <v>46027</v>
      </c>
      <c r="B539" t="s">
        <v>12266</v>
      </c>
      <c r="C539">
        <v>16</v>
      </c>
      <c r="D539" t="str">
        <f>VLOOKUP(Tabela26[[#This Row],[EMP]],[1]LOJA!$A:$B,2,0)</f>
        <v>AG LINDAS</v>
      </c>
      <c r="E539">
        <v>240</v>
      </c>
      <c r="F539" t="s">
        <v>7665</v>
      </c>
      <c r="G539" t="s">
        <v>7664</v>
      </c>
      <c r="H539" t="s">
        <v>3408</v>
      </c>
      <c r="I539">
        <v>5102</v>
      </c>
      <c r="J539" s="3">
        <v>29.9</v>
      </c>
      <c r="K539" s="3">
        <v>14.06</v>
      </c>
      <c r="L539">
        <v>52.98</v>
      </c>
    </row>
    <row r="540" spans="1:12">
      <c r="A540" s="1">
        <v>46027</v>
      </c>
      <c r="B540" t="s">
        <v>12265</v>
      </c>
      <c r="C540">
        <v>16</v>
      </c>
      <c r="D540" t="str">
        <f>VLOOKUP(Tabela26[[#This Row],[EMP]],[1]LOJA!$A:$B,2,0)</f>
        <v>AG LINDAS</v>
      </c>
      <c r="E540">
        <v>240</v>
      </c>
      <c r="F540" t="s">
        <v>3799</v>
      </c>
      <c r="G540" t="s">
        <v>3798</v>
      </c>
      <c r="H540" t="s">
        <v>3401</v>
      </c>
      <c r="I540">
        <v>5405</v>
      </c>
      <c r="J540" s="3">
        <v>268.5</v>
      </c>
      <c r="K540" s="3">
        <v>156.75</v>
      </c>
      <c r="L540">
        <v>41.62</v>
      </c>
    </row>
    <row r="541" spans="1:12">
      <c r="A541" s="1">
        <v>46027</v>
      </c>
      <c r="B541" t="s">
        <v>12264</v>
      </c>
      <c r="C541">
        <v>16</v>
      </c>
      <c r="D541" t="str">
        <f>VLOOKUP(Tabela26[[#This Row],[EMP]],[1]LOJA!$A:$B,2,0)</f>
        <v>AG LINDAS</v>
      </c>
      <c r="E541">
        <v>240</v>
      </c>
      <c r="F541" t="s">
        <v>12263</v>
      </c>
      <c r="G541" t="s">
        <v>3437</v>
      </c>
      <c r="H541" t="s">
        <v>3401</v>
      </c>
      <c r="I541">
        <v>5102</v>
      </c>
      <c r="J541" s="3">
        <v>82</v>
      </c>
      <c r="K541" s="3">
        <v>46.25</v>
      </c>
      <c r="L541">
        <v>43.6</v>
      </c>
    </row>
    <row r="542" spans="1:12">
      <c r="A542" s="1">
        <v>46027</v>
      </c>
      <c r="B542" t="s">
        <v>12262</v>
      </c>
      <c r="C542">
        <v>16</v>
      </c>
      <c r="D542" t="str">
        <f>VLOOKUP(Tabela26[[#This Row],[EMP]],[1]LOJA!$A:$B,2,0)</f>
        <v>AG LINDAS</v>
      </c>
      <c r="E542">
        <v>240</v>
      </c>
      <c r="F542" t="s">
        <v>3780</v>
      </c>
      <c r="G542" t="s">
        <v>3437</v>
      </c>
      <c r="H542" t="s">
        <v>3401</v>
      </c>
      <c r="I542">
        <v>5102</v>
      </c>
      <c r="J542" s="3">
        <v>31</v>
      </c>
      <c r="K542" s="3">
        <v>18.22</v>
      </c>
      <c r="L542">
        <v>41.23</v>
      </c>
    </row>
    <row r="543" spans="1:12">
      <c r="A543" s="1">
        <v>46027</v>
      </c>
      <c r="B543" t="s">
        <v>12261</v>
      </c>
      <c r="C543">
        <v>14</v>
      </c>
      <c r="D543" t="str">
        <f>VLOOKUP(Tabela26[[#This Row],[EMP]],[1]LOJA!$A:$B,2,0)</f>
        <v>S IA</v>
      </c>
      <c r="E543">
        <v>212</v>
      </c>
      <c r="F543" t="s">
        <v>12260</v>
      </c>
      <c r="G543" t="s">
        <v>12259</v>
      </c>
      <c r="H543" t="s">
        <v>3430</v>
      </c>
      <c r="I543">
        <v>5102</v>
      </c>
      <c r="J543" s="3">
        <v>885.94</v>
      </c>
      <c r="K543" s="3">
        <v>607.44000000000005</v>
      </c>
      <c r="L543">
        <v>31.44</v>
      </c>
    </row>
    <row r="544" spans="1:12">
      <c r="A544" s="1">
        <v>46027</v>
      </c>
      <c r="B544" t="s">
        <v>12258</v>
      </c>
      <c r="C544">
        <v>14</v>
      </c>
      <c r="D544" t="str">
        <f>VLOOKUP(Tabela26[[#This Row],[EMP]],[1]LOJA!$A:$B,2,0)</f>
        <v>S IA</v>
      </c>
      <c r="E544">
        <v>212</v>
      </c>
      <c r="F544" t="s">
        <v>7649</v>
      </c>
      <c r="G544" t="s">
        <v>7648</v>
      </c>
      <c r="H544" t="s">
        <v>3401</v>
      </c>
      <c r="I544">
        <v>5405</v>
      </c>
      <c r="J544" s="3">
        <v>519</v>
      </c>
      <c r="K544" s="3">
        <v>248.85</v>
      </c>
      <c r="L544">
        <v>52.05</v>
      </c>
    </row>
    <row r="545" spans="1:12">
      <c r="A545" s="1">
        <v>46027</v>
      </c>
      <c r="B545" t="s">
        <v>12257</v>
      </c>
      <c r="C545">
        <v>14</v>
      </c>
      <c r="D545" t="str">
        <f>VLOOKUP(Tabela26[[#This Row],[EMP]],[1]LOJA!$A:$B,2,0)</f>
        <v>S IA</v>
      </c>
      <c r="E545">
        <v>212</v>
      </c>
      <c r="F545" t="s">
        <v>12256</v>
      </c>
      <c r="G545" t="s">
        <v>12255</v>
      </c>
      <c r="H545" t="s">
        <v>3401</v>
      </c>
      <c r="I545">
        <v>5102</v>
      </c>
      <c r="J545" s="3">
        <v>58</v>
      </c>
      <c r="K545" s="3">
        <v>31.04</v>
      </c>
      <c r="L545">
        <v>46.48</v>
      </c>
    </row>
    <row r="546" spans="1:12">
      <c r="A546" s="1">
        <v>46027</v>
      </c>
      <c r="B546" t="s">
        <v>12254</v>
      </c>
      <c r="C546">
        <v>14</v>
      </c>
      <c r="D546" t="str">
        <f>VLOOKUP(Tabela26[[#This Row],[EMP]],[1]LOJA!$A:$B,2,0)</f>
        <v>S IA</v>
      </c>
      <c r="E546">
        <v>54</v>
      </c>
      <c r="F546" t="s">
        <v>3772</v>
      </c>
      <c r="G546" t="s">
        <v>3771</v>
      </c>
      <c r="H546" t="s">
        <v>3430</v>
      </c>
      <c r="I546">
        <v>5405</v>
      </c>
      <c r="J546" s="3">
        <v>95</v>
      </c>
      <c r="K546" s="3">
        <v>50.08</v>
      </c>
      <c r="L546">
        <v>47.28</v>
      </c>
    </row>
    <row r="547" spans="1:12">
      <c r="A547" s="1">
        <v>46027</v>
      </c>
      <c r="B547" t="s">
        <v>12253</v>
      </c>
      <c r="C547">
        <v>14</v>
      </c>
      <c r="D547" t="str">
        <f>VLOOKUP(Tabela26[[#This Row],[EMP]],[1]LOJA!$A:$B,2,0)</f>
        <v>S IA</v>
      </c>
      <c r="E547">
        <v>212</v>
      </c>
      <c r="F547" t="s">
        <v>5096</v>
      </c>
      <c r="G547" t="s">
        <v>5095</v>
      </c>
      <c r="H547" t="s">
        <v>3401</v>
      </c>
      <c r="I547">
        <v>5405</v>
      </c>
      <c r="J547" s="3">
        <v>895</v>
      </c>
      <c r="K547" s="3">
        <v>447.42</v>
      </c>
      <c r="L547">
        <v>50.01</v>
      </c>
    </row>
    <row r="548" spans="1:12">
      <c r="A548" s="1">
        <v>46027</v>
      </c>
      <c r="B548" t="s">
        <v>12252</v>
      </c>
      <c r="C548">
        <v>14</v>
      </c>
      <c r="D548" t="str">
        <f>VLOOKUP(Tabela26[[#This Row],[EMP]],[1]LOJA!$A:$B,2,0)</f>
        <v>S IA</v>
      </c>
      <c r="E548">
        <v>54</v>
      </c>
      <c r="F548" t="s">
        <v>5096</v>
      </c>
      <c r="G548" t="s">
        <v>5095</v>
      </c>
      <c r="H548" t="s">
        <v>3401</v>
      </c>
      <c r="I548">
        <v>5102</v>
      </c>
      <c r="J548" s="3">
        <v>24</v>
      </c>
      <c r="K548" s="3">
        <v>14.16</v>
      </c>
      <c r="L548">
        <v>41</v>
      </c>
    </row>
    <row r="549" spans="1:12">
      <c r="A549" s="1">
        <v>46027</v>
      </c>
      <c r="B549" t="s">
        <v>12251</v>
      </c>
      <c r="C549">
        <v>14</v>
      </c>
      <c r="D549" t="str">
        <f>VLOOKUP(Tabela26[[#This Row],[EMP]],[1]LOJA!$A:$B,2,0)</f>
        <v>S IA</v>
      </c>
      <c r="E549">
        <v>212</v>
      </c>
      <c r="F549" t="s">
        <v>11946</v>
      </c>
      <c r="G549" t="s">
        <v>11945</v>
      </c>
      <c r="H549" t="s">
        <v>3401</v>
      </c>
      <c r="I549">
        <v>5102</v>
      </c>
      <c r="J549" s="3">
        <v>137</v>
      </c>
      <c r="K549" s="3">
        <v>71.64</v>
      </c>
      <c r="L549">
        <v>47.71</v>
      </c>
    </row>
    <row r="550" spans="1:12">
      <c r="A550" s="1">
        <v>46027</v>
      </c>
      <c r="B550" t="s">
        <v>12250</v>
      </c>
      <c r="C550">
        <v>14</v>
      </c>
      <c r="D550" t="str">
        <f>VLOOKUP(Tabela26[[#This Row],[EMP]],[1]LOJA!$A:$B,2,0)</f>
        <v>S IA</v>
      </c>
      <c r="E550">
        <v>54</v>
      </c>
      <c r="F550" t="s">
        <v>5089</v>
      </c>
      <c r="G550" t="s">
        <v>5088</v>
      </c>
      <c r="H550" t="s">
        <v>3430</v>
      </c>
      <c r="I550">
        <v>5405</v>
      </c>
      <c r="J550" s="3">
        <v>90.96</v>
      </c>
      <c r="K550" s="3">
        <v>35.19</v>
      </c>
      <c r="L550">
        <v>61.31</v>
      </c>
    </row>
    <row r="551" spans="1:12">
      <c r="A551" s="1">
        <v>46027</v>
      </c>
      <c r="B551" t="s">
        <v>12249</v>
      </c>
      <c r="C551">
        <v>14</v>
      </c>
      <c r="D551" t="str">
        <f>VLOOKUP(Tabela26[[#This Row],[EMP]],[1]LOJA!$A:$B,2,0)</f>
        <v>S IA</v>
      </c>
      <c r="E551">
        <v>54</v>
      </c>
      <c r="F551" t="s">
        <v>3762</v>
      </c>
      <c r="G551" t="s">
        <v>3761</v>
      </c>
      <c r="H551" t="s">
        <v>3430</v>
      </c>
      <c r="I551">
        <v>5405</v>
      </c>
      <c r="J551" s="3">
        <v>354.49</v>
      </c>
      <c r="K551" s="3">
        <v>183.42</v>
      </c>
      <c r="L551">
        <v>48.26</v>
      </c>
    </row>
    <row r="552" spans="1:12">
      <c r="A552" s="1">
        <v>46027</v>
      </c>
      <c r="B552" t="s">
        <v>12248</v>
      </c>
      <c r="C552">
        <v>14</v>
      </c>
      <c r="D552" t="str">
        <f>VLOOKUP(Tabela26[[#This Row],[EMP]],[1]LOJA!$A:$B,2,0)</f>
        <v>S IA</v>
      </c>
      <c r="E552">
        <v>54</v>
      </c>
      <c r="F552" t="s">
        <v>12245</v>
      </c>
      <c r="G552" t="s">
        <v>12244</v>
      </c>
      <c r="H552" t="s">
        <v>3430</v>
      </c>
      <c r="I552">
        <v>5405</v>
      </c>
      <c r="J552" s="3">
        <v>837.59</v>
      </c>
      <c r="K552" s="3">
        <v>579.85</v>
      </c>
      <c r="L552">
        <v>30.77</v>
      </c>
    </row>
    <row r="553" spans="1:12">
      <c r="A553" s="1">
        <v>46027</v>
      </c>
      <c r="B553" t="s">
        <v>12247</v>
      </c>
      <c r="C553">
        <v>14</v>
      </c>
      <c r="D553" t="str">
        <f>VLOOKUP(Tabela26[[#This Row],[EMP]],[1]LOJA!$A:$B,2,0)</f>
        <v>S IA</v>
      </c>
      <c r="E553">
        <v>54</v>
      </c>
      <c r="F553" t="s">
        <v>3769</v>
      </c>
      <c r="G553" t="s">
        <v>3768</v>
      </c>
      <c r="H553" t="s">
        <v>3401</v>
      </c>
      <c r="I553">
        <v>5405</v>
      </c>
      <c r="J553" s="3">
        <v>690</v>
      </c>
      <c r="K553" s="3">
        <v>362.29</v>
      </c>
      <c r="L553">
        <v>47.49</v>
      </c>
    </row>
    <row r="554" spans="1:12">
      <c r="A554" s="1">
        <v>46027</v>
      </c>
      <c r="B554" t="s">
        <v>12246</v>
      </c>
      <c r="C554">
        <v>14</v>
      </c>
      <c r="D554" t="str">
        <f>VLOOKUP(Tabela26[[#This Row],[EMP]],[1]LOJA!$A:$B,2,0)</f>
        <v>S IA</v>
      </c>
      <c r="E554">
        <v>54</v>
      </c>
      <c r="F554" t="s">
        <v>12245</v>
      </c>
      <c r="G554" t="s">
        <v>12244</v>
      </c>
      <c r="H554" t="s">
        <v>3430</v>
      </c>
      <c r="I554">
        <v>5405</v>
      </c>
      <c r="J554" s="3">
        <v>765.78</v>
      </c>
      <c r="K554" s="3">
        <v>411.51</v>
      </c>
      <c r="L554">
        <v>46.26</v>
      </c>
    </row>
    <row r="555" spans="1:12">
      <c r="A555" s="1">
        <v>46027</v>
      </c>
      <c r="B555" t="s">
        <v>12243</v>
      </c>
      <c r="C555">
        <v>14</v>
      </c>
      <c r="D555" t="str">
        <f>VLOOKUP(Tabela26[[#This Row],[EMP]],[1]LOJA!$A:$B,2,0)</f>
        <v>S IA</v>
      </c>
      <c r="E555">
        <v>54</v>
      </c>
      <c r="F555" t="s">
        <v>3772</v>
      </c>
      <c r="G555" t="s">
        <v>3771</v>
      </c>
      <c r="H555" t="s">
        <v>3430</v>
      </c>
      <c r="I555">
        <v>5405</v>
      </c>
      <c r="J555" s="3">
        <v>39.92</v>
      </c>
      <c r="K555" s="3">
        <v>19.5</v>
      </c>
      <c r="L555">
        <v>51.15</v>
      </c>
    </row>
    <row r="556" spans="1:12">
      <c r="A556" s="1">
        <v>46027</v>
      </c>
      <c r="B556" t="s">
        <v>12242</v>
      </c>
      <c r="C556">
        <v>12</v>
      </c>
      <c r="D556" t="str">
        <f>VLOOKUP(Tabela26[[#This Row],[EMP]],[1]LOJA!$A:$B,2,0)</f>
        <v>SOFNORTE</v>
      </c>
      <c r="E556">
        <v>239</v>
      </c>
      <c r="F556" t="s">
        <v>4458</v>
      </c>
      <c r="G556" t="s">
        <v>4457</v>
      </c>
      <c r="H556" t="s">
        <v>7018</v>
      </c>
      <c r="I556">
        <v>5102</v>
      </c>
      <c r="J556" s="3">
        <v>97</v>
      </c>
      <c r="K556" s="3">
        <v>52.12</v>
      </c>
      <c r="L556">
        <v>46.27</v>
      </c>
    </row>
    <row r="557" spans="1:12">
      <c r="A557" s="1">
        <v>46027</v>
      </c>
      <c r="B557" t="s">
        <v>12241</v>
      </c>
      <c r="C557">
        <v>12</v>
      </c>
      <c r="D557" t="str">
        <f>VLOOKUP(Tabela26[[#This Row],[EMP]],[1]LOJA!$A:$B,2,0)</f>
        <v>SOFNORTE</v>
      </c>
      <c r="E557">
        <v>239</v>
      </c>
      <c r="F557" t="s">
        <v>3403</v>
      </c>
      <c r="G557" t="s">
        <v>3402</v>
      </c>
      <c r="H557" t="s">
        <v>3401</v>
      </c>
      <c r="I557">
        <v>5102</v>
      </c>
      <c r="J557" s="3">
        <v>67</v>
      </c>
      <c r="K557" s="3">
        <v>32.28</v>
      </c>
      <c r="L557">
        <v>51.82</v>
      </c>
    </row>
    <row r="558" spans="1:12">
      <c r="A558" s="1">
        <v>46027</v>
      </c>
      <c r="B558" t="s">
        <v>12240</v>
      </c>
      <c r="C558">
        <v>12</v>
      </c>
      <c r="D558" t="str">
        <f>VLOOKUP(Tabela26[[#This Row],[EMP]],[1]LOJA!$A:$B,2,0)</f>
        <v>SOFNORTE</v>
      </c>
      <c r="E558">
        <v>239</v>
      </c>
      <c r="F558" t="s">
        <v>3403</v>
      </c>
      <c r="G558" t="s">
        <v>3402</v>
      </c>
      <c r="H558" t="s">
        <v>3408</v>
      </c>
      <c r="I558">
        <v>5102</v>
      </c>
      <c r="J558" s="3">
        <v>50</v>
      </c>
      <c r="K558" s="3">
        <v>25.26</v>
      </c>
      <c r="L558">
        <v>49.48</v>
      </c>
    </row>
    <row r="559" spans="1:12">
      <c r="A559" s="1">
        <v>46027</v>
      </c>
      <c r="B559" t="s">
        <v>12239</v>
      </c>
      <c r="C559">
        <v>12</v>
      </c>
      <c r="D559" t="str">
        <f>VLOOKUP(Tabela26[[#This Row],[EMP]],[1]LOJA!$A:$B,2,0)</f>
        <v>SOFNORTE</v>
      </c>
      <c r="E559">
        <v>60</v>
      </c>
      <c r="F559" t="s">
        <v>3701</v>
      </c>
      <c r="G559" t="s">
        <v>3700</v>
      </c>
      <c r="H559" t="s">
        <v>3408</v>
      </c>
      <c r="I559">
        <v>5102</v>
      </c>
      <c r="J559" s="3">
        <v>70</v>
      </c>
      <c r="K559" s="3">
        <v>34.89</v>
      </c>
      <c r="L559">
        <v>50.16</v>
      </c>
    </row>
    <row r="560" spans="1:12">
      <c r="A560" s="1">
        <v>46027</v>
      </c>
      <c r="B560" t="s">
        <v>12238</v>
      </c>
      <c r="C560">
        <v>12</v>
      </c>
      <c r="D560" t="str">
        <f>VLOOKUP(Tabela26[[#This Row],[EMP]],[1]LOJA!$A:$B,2,0)</f>
        <v>SOFNORTE</v>
      </c>
      <c r="E560">
        <v>60</v>
      </c>
      <c r="F560" t="s">
        <v>12237</v>
      </c>
      <c r="G560" t="s">
        <v>6110</v>
      </c>
      <c r="H560" t="s">
        <v>3401</v>
      </c>
      <c r="I560">
        <v>5102</v>
      </c>
      <c r="J560" s="3">
        <v>3.5</v>
      </c>
      <c r="K560" s="3">
        <v>1.69</v>
      </c>
      <c r="L560">
        <v>51.71</v>
      </c>
    </row>
    <row r="561" spans="1:12">
      <c r="A561" s="1">
        <v>46027</v>
      </c>
      <c r="B561" t="s">
        <v>12236</v>
      </c>
      <c r="C561">
        <v>12</v>
      </c>
      <c r="D561" t="str">
        <f>VLOOKUP(Tabela26[[#This Row],[EMP]],[1]LOJA!$A:$B,2,0)</f>
        <v>SOFNORTE</v>
      </c>
      <c r="E561">
        <v>60</v>
      </c>
      <c r="F561" t="s">
        <v>12235</v>
      </c>
      <c r="G561" t="s">
        <v>3402</v>
      </c>
      <c r="H561" t="s">
        <v>3408</v>
      </c>
      <c r="I561">
        <v>5405</v>
      </c>
      <c r="J561" s="3">
        <v>216</v>
      </c>
      <c r="K561" s="3">
        <v>105.13</v>
      </c>
      <c r="L561">
        <v>51.33</v>
      </c>
    </row>
    <row r="562" spans="1:12">
      <c r="A562" s="1">
        <v>46027</v>
      </c>
      <c r="B562" t="s">
        <v>12234</v>
      </c>
      <c r="C562">
        <v>12</v>
      </c>
      <c r="D562" t="str">
        <f>VLOOKUP(Tabela26[[#This Row],[EMP]],[1]LOJA!$A:$B,2,0)</f>
        <v>SOFNORTE</v>
      </c>
      <c r="E562">
        <v>60</v>
      </c>
      <c r="F562" t="s">
        <v>3403</v>
      </c>
      <c r="G562" t="s">
        <v>3402</v>
      </c>
      <c r="H562" t="s">
        <v>3401</v>
      </c>
      <c r="I562">
        <v>5405</v>
      </c>
      <c r="J562" s="3">
        <v>82</v>
      </c>
      <c r="K562" s="3">
        <v>39.21</v>
      </c>
      <c r="L562">
        <v>52.18</v>
      </c>
    </row>
    <row r="563" spans="1:12">
      <c r="A563" s="1">
        <v>46027</v>
      </c>
      <c r="B563" t="s">
        <v>12233</v>
      </c>
      <c r="C563">
        <v>12</v>
      </c>
      <c r="D563" t="str">
        <f>VLOOKUP(Tabela26[[#This Row],[EMP]],[1]LOJA!$A:$B,2,0)</f>
        <v>SOFNORTE</v>
      </c>
      <c r="E563">
        <v>60</v>
      </c>
      <c r="F563" t="s">
        <v>5061</v>
      </c>
      <c r="G563" t="s">
        <v>5060</v>
      </c>
      <c r="H563" t="s">
        <v>3401</v>
      </c>
      <c r="I563">
        <v>5405</v>
      </c>
      <c r="J563" s="3">
        <v>208</v>
      </c>
      <c r="K563" s="3">
        <v>99.85</v>
      </c>
      <c r="L563">
        <v>52</v>
      </c>
    </row>
    <row r="564" spans="1:12">
      <c r="A564" s="1">
        <v>46027</v>
      </c>
      <c r="B564" t="s">
        <v>12232</v>
      </c>
      <c r="C564">
        <v>12</v>
      </c>
      <c r="D564" t="str">
        <f>VLOOKUP(Tabela26[[#This Row],[EMP]],[1]LOJA!$A:$B,2,0)</f>
        <v>SOFNORTE</v>
      </c>
      <c r="E564">
        <v>239</v>
      </c>
      <c r="F564" t="s">
        <v>3403</v>
      </c>
      <c r="G564" t="s">
        <v>3402</v>
      </c>
      <c r="H564" t="s">
        <v>3401</v>
      </c>
      <c r="I564">
        <v>5102</v>
      </c>
      <c r="J564" s="3">
        <v>6</v>
      </c>
      <c r="K564" s="3">
        <v>3.81</v>
      </c>
      <c r="L564">
        <v>36.5</v>
      </c>
    </row>
    <row r="565" spans="1:12">
      <c r="A565" s="1">
        <v>46027</v>
      </c>
      <c r="B565" t="s">
        <v>12231</v>
      </c>
      <c r="C565">
        <v>12</v>
      </c>
      <c r="D565" t="str">
        <f>VLOOKUP(Tabela26[[#This Row],[EMP]],[1]LOJA!$A:$B,2,0)</f>
        <v>SOFNORTE</v>
      </c>
      <c r="E565">
        <v>60</v>
      </c>
      <c r="F565" t="s">
        <v>3737</v>
      </c>
      <c r="G565" t="s">
        <v>3736</v>
      </c>
      <c r="H565" t="s">
        <v>3520</v>
      </c>
      <c r="I565">
        <v>5102</v>
      </c>
      <c r="J565" s="3">
        <v>72</v>
      </c>
      <c r="K565" s="3">
        <v>37.26</v>
      </c>
      <c r="L565">
        <v>48.25</v>
      </c>
    </row>
    <row r="566" spans="1:12">
      <c r="A566" s="1">
        <v>46027</v>
      </c>
      <c r="B566" t="s">
        <v>12230</v>
      </c>
      <c r="C566">
        <v>12</v>
      </c>
      <c r="D566" t="str">
        <f>VLOOKUP(Tabela26[[#This Row],[EMP]],[1]LOJA!$A:$B,2,0)</f>
        <v>SOFNORTE</v>
      </c>
      <c r="E566">
        <v>239</v>
      </c>
      <c r="F566" t="s">
        <v>3715</v>
      </c>
      <c r="G566" t="s">
        <v>3714</v>
      </c>
      <c r="H566" t="s">
        <v>3408</v>
      </c>
      <c r="I566">
        <v>5405</v>
      </c>
      <c r="J566" s="3">
        <v>130</v>
      </c>
      <c r="K566" s="3">
        <v>58.25</v>
      </c>
      <c r="L566">
        <v>55.19</v>
      </c>
    </row>
    <row r="567" spans="1:12">
      <c r="A567" s="1">
        <v>46027</v>
      </c>
      <c r="B567" t="s">
        <v>12229</v>
      </c>
      <c r="C567">
        <v>12</v>
      </c>
      <c r="D567" t="str">
        <f>VLOOKUP(Tabela26[[#This Row],[EMP]],[1]LOJA!$A:$B,2,0)</f>
        <v>SOFNORTE</v>
      </c>
      <c r="E567">
        <v>60</v>
      </c>
      <c r="F567" t="s">
        <v>3737</v>
      </c>
      <c r="G567" t="s">
        <v>3736</v>
      </c>
      <c r="H567" t="s">
        <v>3520</v>
      </c>
      <c r="I567">
        <v>5102</v>
      </c>
      <c r="J567" s="3">
        <v>97</v>
      </c>
      <c r="K567" s="3">
        <v>50.67</v>
      </c>
      <c r="L567">
        <v>47.76</v>
      </c>
    </row>
    <row r="568" spans="1:12">
      <c r="A568" s="1">
        <v>46027</v>
      </c>
      <c r="B568" t="s">
        <v>12228</v>
      </c>
      <c r="C568">
        <v>12</v>
      </c>
      <c r="D568" t="str">
        <f>VLOOKUP(Tabela26[[#This Row],[EMP]],[1]LOJA!$A:$B,2,0)</f>
        <v>SOFNORTE</v>
      </c>
      <c r="E568">
        <v>60</v>
      </c>
      <c r="F568" t="s">
        <v>3715</v>
      </c>
      <c r="G568" t="s">
        <v>3714</v>
      </c>
      <c r="H568" t="s">
        <v>3408</v>
      </c>
      <c r="I568">
        <v>5405</v>
      </c>
      <c r="J568" s="3">
        <v>112</v>
      </c>
      <c r="K568" s="3">
        <v>53.06</v>
      </c>
      <c r="L568">
        <v>52.63</v>
      </c>
    </row>
    <row r="569" spans="1:12">
      <c r="A569" s="1">
        <v>46027</v>
      </c>
      <c r="B569" t="s">
        <v>12227</v>
      </c>
      <c r="C569">
        <v>12</v>
      </c>
      <c r="D569" t="str">
        <f>VLOOKUP(Tabela26[[#This Row],[EMP]],[1]LOJA!$A:$B,2,0)</f>
        <v>SOFNORTE</v>
      </c>
      <c r="E569">
        <v>60</v>
      </c>
      <c r="F569" t="s">
        <v>3737</v>
      </c>
      <c r="G569" t="s">
        <v>3736</v>
      </c>
      <c r="H569" t="s">
        <v>3520</v>
      </c>
      <c r="I569">
        <v>5405</v>
      </c>
      <c r="J569" s="3">
        <v>867</v>
      </c>
      <c r="K569" s="3">
        <v>445.04</v>
      </c>
      <c r="L569">
        <v>48.67</v>
      </c>
    </row>
    <row r="570" spans="1:12">
      <c r="A570" s="1">
        <v>46027</v>
      </c>
      <c r="B570" t="s">
        <v>12226</v>
      </c>
      <c r="C570">
        <v>12</v>
      </c>
      <c r="D570" t="str">
        <f>VLOOKUP(Tabela26[[#This Row],[EMP]],[1]LOJA!$A:$B,2,0)</f>
        <v>SOFNORTE</v>
      </c>
      <c r="E570">
        <v>60</v>
      </c>
      <c r="F570" t="s">
        <v>12225</v>
      </c>
      <c r="G570" t="s">
        <v>12224</v>
      </c>
      <c r="H570" t="s">
        <v>3408</v>
      </c>
      <c r="I570">
        <v>5405</v>
      </c>
      <c r="J570" s="3">
        <v>66</v>
      </c>
      <c r="K570" s="3">
        <v>29.26</v>
      </c>
      <c r="L570">
        <v>55.67</v>
      </c>
    </row>
    <row r="571" spans="1:12">
      <c r="A571" s="1">
        <v>46027</v>
      </c>
      <c r="B571" t="s">
        <v>12223</v>
      </c>
      <c r="C571">
        <v>12</v>
      </c>
      <c r="D571" t="str">
        <f>VLOOKUP(Tabela26[[#This Row],[EMP]],[1]LOJA!$A:$B,2,0)</f>
        <v>SOFNORTE</v>
      </c>
      <c r="E571">
        <v>60</v>
      </c>
      <c r="F571" t="s">
        <v>3698</v>
      </c>
      <c r="G571" t="s">
        <v>3697</v>
      </c>
      <c r="H571" t="s">
        <v>3401</v>
      </c>
      <c r="I571">
        <v>5102</v>
      </c>
      <c r="J571" s="3">
        <v>85</v>
      </c>
      <c r="K571" s="3">
        <v>46.9</v>
      </c>
      <c r="L571">
        <v>44.82</v>
      </c>
    </row>
    <row r="572" spans="1:12">
      <c r="A572" s="1">
        <v>46027</v>
      </c>
      <c r="B572" t="s">
        <v>12222</v>
      </c>
      <c r="C572">
        <v>12</v>
      </c>
      <c r="D572" t="str">
        <f>VLOOKUP(Tabela26[[#This Row],[EMP]],[1]LOJA!$A:$B,2,0)</f>
        <v>SOFNORTE</v>
      </c>
      <c r="E572">
        <v>60</v>
      </c>
      <c r="F572" t="s">
        <v>5065</v>
      </c>
      <c r="G572" t="s">
        <v>3402</v>
      </c>
      <c r="H572" t="s">
        <v>3408</v>
      </c>
      <c r="I572">
        <v>5405</v>
      </c>
      <c r="J572" s="3">
        <v>109</v>
      </c>
      <c r="K572" s="3">
        <v>52.89</v>
      </c>
      <c r="L572">
        <v>51.48</v>
      </c>
    </row>
    <row r="573" spans="1:12">
      <c r="A573" s="1">
        <v>46027</v>
      </c>
      <c r="B573" t="s">
        <v>12221</v>
      </c>
      <c r="C573">
        <v>12</v>
      </c>
      <c r="D573" t="str">
        <f>VLOOKUP(Tabela26[[#This Row],[EMP]],[1]LOJA!$A:$B,2,0)</f>
        <v>SOFNORTE</v>
      </c>
      <c r="E573">
        <v>239</v>
      </c>
      <c r="F573" t="s">
        <v>3403</v>
      </c>
      <c r="G573" t="s">
        <v>3402</v>
      </c>
      <c r="H573" t="s">
        <v>3401</v>
      </c>
      <c r="I573">
        <v>5405</v>
      </c>
      <c r="J573" s="3">
        <v>746</v>
      </c>
      <c r="K573" s="3">
        <v>383.2</v>
      </c>
      <c r="L573">
        <v>48.63</v>
      </c>
    </row>
    <row r="574" spans="1:12">
      <c r="A574" s="1">
        <v>46027</v>
      </c>
      <c r="B574" t="s">
        <v>4450</v>
      </c>
      <c r="C574">
        <v>14</v>
      </c>
      <c r="D574" t="str">
        <f>VLOOKUP(Tabela26[[#This Row],[EMP]],[1]LOJA!$A:$B,2,0)</f>
        <v>S IA</v>
      </c>
      <c r="E574">
        <v>212</v>
      </c>
      <c r="F574" t="s">
        <v>3478</v>
      </c>
      <c r="G574" t="s">
        <v>3477</v>
      </c>
      <c r="H574" t="s">
        <v>3408</v>
      </c>
      <c r="I574">
        <v>5405</v>
      </c>
      <c r="J574" s="3">
        <v>63</v>
      </c>
      <c r="K574" s="3">
        <v>31.61</v>
      </c>
      <c r="L574">
        <v>49.83</v>
      </c>
    </row>
    <row r="575" spans="1:12">
      <c r="A575" s="1">
        <v>46027</v>
      </c>
      <c r="B575" t="s">
        <v>4449</v>
      </c>
      <c r="C575">
        <v>14</v>
      </c>
      <c r="D575" t="str">
        <f>VLOOKUP(Tabela26[[#This Row],[EMP]],[1]LOJA!$A:$B,2,0)</f>
        <v>S IA</v>
      </c>
      <c r="E575">
        <v>212</v>
      </c>
      <c r="F575" t="s">
        <v>3403</v>
      </c>
      <c r="G575" t="s">
        <v>3402</v>
      </c>
      <c r="H575" t="s">
        <v>3401</v>
      </c>
      <c r="I575">
        <v>5102</v>
      </c>
      <c r="J575" s="3">
        <v>69</v>
      </c>
      <c r="K575" s="3">
        <v>37.24</v>
      </c>
      <c r="L575">
        <v>46.03</v>
      </c>
    </row>
    <row r="576" spans="1:12">
      <c r="A576" s="1">
        <v>46027</v>
      </c>
      <c r="B576" t="s">
        <v>4448</v>
      </c>
      <c r="C576">
        <v>14</v>
      </c>
      <c r="D576" t="str">
        <f>VLOOKUP(Tabela26[[#This Row],[EMP]],[1]LOJA!$A:$B,2,0)</f>
        <v>S IA</v>
      </c>
      <c r="E576">
        <v>212</v>
      </c>
      <c r="F576" t="s">
        <v>3403</v>
      </c>
      <c r="G576" t="s">
        <v>3402</v>
      </c>
      <c r="H576" t="s">
        <v>3401</v>
      </c>
      <c r="I576">
        <v>5102</v>
      </c>
      <c r="J576" s="3">
        <v>330</v>
      </c>
      <c r="K576" s="3">
        <v>165.07</v>
      </c>
      <c r="L576">
        <v>49.98</v>
      </c>
    </row>
    <row r="577" spans="1:12">
      <c r="A577" s="1">
        <v>46027</v>
      </c>
      <c r="B577" t="s">
        <v>4447</v>
      </c>
      <c r="C577">
        <v>14</v>
      </c>
      <c r="D577" t="str">
        <f>VLOOKUP(Tabela26[[#This Row],[EMP]],[1]LOJA!$A:$B,2,0)</f>
        <v>S IA</v>
      </c>
      <c r="E577">
        <v>212</v>
      </c>
      <c r="F577" t="s">
        <v>12220</v>
      </c>
      <c r="G577" t="s">
        <v>12219</v>
      </c>
      <c r="H577" t="s">
        <v>3401</v>
      </c>
      <c r="I577">
        <v>5102</v>
      </c>
      <c r="J577" s="3">
        <v>179</v>
      </c>
      <c r="K577" s="3">
        <v>91.06</v>
      </c>
      <c r="L577">
        <v>49.13</v>
      </c>
    </row>
    <row r="578" spans="1:12">
      <c r="A578" s="1">
        <v>46027</v>
      </c>
      <c r="B578" t="s">
        <v>4444</v>
      </c>
      <c r="C578">
        <v>14</v>
      </c>
      <c r="D578" t="str">
        <f>VLOOKUP(Tabela26[[#This Row],[EMP]],[1]LOJA!$A:$B,2,0)</f>
        <v>S IA</v>
      </c>
      <c r="E578">
        <v>54</v>
      </c>
      <c r="F578" t="s">
        <v>3403</v>
      </c>
      <c r="G578" t="s">
        <v>3402</v>
      </c>
      <c r="H578" t="s">
        <v>3401</v>
      </c>
      <c r="I578">
        <v>5102</v>
      </c>
      <c r="J578" s="3">
        <v>38</v>
      </c>
      <c r="K578" s="3">
        <v>18</v>
      </c>
      <c r="L578">
        <v>52.63</v>
      </c>
    </row>
    <row r="579" spans="1:12">
      <c r="A579" s="1">
        <v>46027</v>
      </c>
      <c r="B579" t="s">
        <v>4443</v>
      </c>
      <c r="C579">
        <v>14</v>
      </c>
      <c r="D579" t="str">
        <f>VLOOKUP(Tabela26[[#This Row],[EMP]],[1]LOJA!$A:$B,2,0)</f>
        <v>S IA</v>
      </c>
      <c r="E579">
        <v>212</v>
      </c>
      <c r="F579" t="s">
        <v>3403</v>
      </c>
      <c r="G579" t="s">
        <v>3402</v>
      </c>
      <c r="H579" t="s">
        <v>3401</v>
      </c>
      <c r="I579">
        <v>5102</v>
      </c>
      <c r="J579" s="3">
        <v>269</v>
      </c>
      <c r="K579" s="3">
        <v>165.82</v>
      </c>
      <c r="L579">
        <v>38.36</v>
      </c>
    </row>
    <row r="580" spans="1:12">
      <c r="A580" s="1">
        <v>46027</v>
      </c>
      <c r="B580" t="s">
        <v>4442</v>
      </c>
      <c r="C580">
        <v>14</v>
      </c>
      <c r="D580" t="str">
        <f>VLOOKUP(Tabela26[[#This Row],[EMP]],[1]LOJA!$A:$B,2,0)</f>
        <v>S IA</v>
      </c>
      <c r="E580">
        <v>54</v>
      </c>
      <c r="F580" t="s">
        <v>3403</v>
      </c>
      <c r="G580" t="s">
        <v>12218</v>
      </c>
      <c r="H580" t="s">
        <v>3401</v>
      </c>
      <c r="I580">
        <v>5102</v>
      </c>
      <c r="J580" s="3">
        <v>118</v>
      </c>
      <c r="K580" s="3">
        <v>64.430000000000007</v>
      </c>
      <c r="L580">
        <v>45.4</v>
      </c>
    </row>
    <row r="581" spans="1:12">
      <c r="A581" s="1">
        <v>46027</v>
      </c>
      <c r="B581" t="s">
        <v>12217</v>
      </c>
      <c r="C581">
        <v>4</v>
      </c>
      <c r="D581" t="str">
        <f>VLOOKUP(Tabela26[[#This Row],[EMP]],[1]LOJA!$A:$B,2,0)</f>
        <v>ADE</v>
      </c>
      <c r="E581">
        <v>132</v>
      </c>
      <c r="F581" t="s">
        <v>12215</v>
      </c>
      <c r="G581" t="s">
        <v>12214</v>
      </c>
      <c r="H581" t="s">
        <v>3408</v>
      </c>
      <c r="I581">
        <v>5102</v>
      </c>
      <c r="J581" s="3">
        <v>1986.04</v>
      </c>
      <c r="K581" s="3">
        <v>1010.94</v>
      </c>
      <c r="L581">
        <v>49.1</v>
      </c>
    </row>
    <row r="582" spans="1:12">
      <c r="A582" s="1">
        <v>46027</v>
      </c>
      <c r="B582" t="s">
        <v>12216</v>
      </c>
      <c r="C582">
        <v>4</v>
      </c>
      <c r="D582" t="str">
        <f>VLOOKUP(Tabela26[[#This Row],[EMP]],[1]LOJA!$A:$B,2,0)</f>
        <v>ADE</v>
      </c>
      <c r="E582">
        <v>132</v>
      </c>
      <c r="F582" t="s">
        <v>12215</v>
      </c>
      <c r="G582" t="s">
        <v>12214</v>
      </c>
      <c r="H582" t="s">
        <v>3401</v>
      </c>
      <c r="I582">
        <v>1411</v>
      </c>
      <c r="J582" s="3">
        <v>-2004.12</v>
      </c>
      <c r="K582" s="3">
        <v>-1071.72</v>
      </c>
      <c r="L582">
        <v>46.52</v>
      </c>
    </row>
    <row r="583" spans="1:12">
      <c r="A583" s="1">
        <v>46027</v>
      </c>
      <c r="B583" t="s">
        <v>12213</v>
      </c>
      <c r="C583">
        <v>4</v>
      </c>
      <c r="D583" t="str">
        <f>VLOOKUP(Tabela26[[#This Row],[EMP]],[1]LOJA!$A:$B,2,0)</f>
        <v>ADE</v>
      </c>
      <c r="E583">
        <v>132</v>
      </c>
      <c r="F583" t="s">
        <v>5027</v>
      </c>
      <c r="G583" t="s">
        <v>5026</v>
      </c>
      <c r="H583" t="s">
        <v>3430</v>
      </c>
      <c r="I583">
        <v>5405</v>
      </c>
      <c r="J583" s="3">
        <v>1015.43</v>
      </c>
      <c r="K583" s="3">
        <v>548.05999999999995</v>
      </c>
      <c r="L583">
        <v>46.03</v>
      </c>
    </row>
    <row r="584" spans="1:12">
      <c r="A584" s="1">
        <v>46027</v>
      </c>
      <c r="B584" t="s">
        <v>12212</v>
      </c>
      <c r="C584">
        <v>4</v>
      </c>
      <c r="D584" t="str">
        <f>VLOOKUP(Tabela26[[#This Row],[EMP]],[1]LOJA!$A:$B,2,0)</f>
        <v>ADE</v>
      </c>
      <c r="E584">
        <v>132</v>
      </c>
      <c r="F584" t="s">
        <v>3677</v>
      </c>
      <c r="G584" t="s">
        <v>3676</v>
      </c>
      <c r="H584" t="s">
        <v>4249</v>
      </c>
      <c r="I584">
        <v>5102</v>
      </c>
      <c r="J584" s="3">
        <v>687.05</v>
      </c>
      <c r="K584" s="3">
        <v>392.55</v>
      </c>
      <c r="L584">
        <v>42.86</v>
      </c>
    </row>
    <row r="585" spans="1:12">
      <c r="A585" s="1">
        <v>46027</v>
      </c>
      <c r="B585" t="s">
        <v>12211</v>
      </c>
      <c r="C585">
        <v>4</v>
      </c>
      <c r="D585" t="str">
        <f>VLOOKUP(Tabela26[[#This Row],[EMP]],[1]LOJA!$A:$B,2,0)</f>
        <v>ADE</v>
      </c>
      <c r="E585">
        <v>132</v>
      </c>
      <c r="F585" t="s">
        <v>10276</v>
      </c>
      <c r="G585" t="s">
        <v>10275</v>
      </c>
      <c r="H585" t="s">
        <v>3430</v>
      </c>
      <c r="I585">
        <v>5405</v>
      </c>
      <c r="J585" s="3">
        <v>118.93</v>
      </c>
      <c r="K585" s="3">
        <v>36.81</v>
      </c>
      <c r="L585">
        <v>69.05</v>
      </c>
    </row>
    <row r="586" spans="1:12">
      <c r="A586" s="1">
        <v>46027</v>
      </c>
      <c r="B586" t="s">
        <v>12210</v>
      </c>
      <c r="C586">
        <v>4</v>
      </c>
      <c r="D586" t="str">
        <f>VLOOKUP(Tabela26[[#This Row],[EMP]],[1]LOJA!$A:$B,2,0)</f>
        <v>ADE</v>
      </c>
      <c r="E586">
        <v>132</v>
      </c>
      <c r="F586" t="s">
        <v>3660</v>
      </c>
      <c r="G586" t="s">
        <v>3659</v>
      </c>
      <c r="H586" t="s">
        <v>3430</v>
      </c>
      <c r="I586">
        <v>5102</v>
      </c>
      <c r="J586" s="3">
        <v>300</v>
      </c>
      <c r="K586" s="3">
        <v>150.85</v>
      </c>
      <c r="L586">
        <v>49.72</v>
      </c>
    </row>
    <row r="587" spans="1:12">
      <c r="A587" s="1">
        <v>46027</v>
      </c>
      <c r="B587" t="s">
        <v>12209</v>
      </c>
      <c r="C587">
        <v>4</v>
      </c>
      <c r="D587" t="str">
        <f>VLOOKUP(Tabela26[[#This Row],[EMP]],[1]LOJA!$A:$B,2,0)</f>
        <v>ADE</v>
      </c>
      <c r="E587">
        <v>132</v>
      </c>
      <c r="F587" t="s">
        <v>5027</v>
      </c>
      <c r="G587" t="s">
        <v>5026</v>
      </c>
      <c r="H587" t="s">
        <v>3430</v>
      </c>
      <c r="I587">
        <v>5102</v>
      </c>
      <c r="J587" s="3">
        <v>334.8</v>
      </c>
      <c r="K587" s="3">
        <v>192.24</v>
      </c>
      <c r="L587">
        <v>42.58</v>
      </c>
    </row>
    <row r="588" spans="1:12">
      <c r="A588" s="1">
        <v>46027</v>
      </c>
      <c r="B588" t="s">
        <v>12208</v>
      </c>
      <c r="C588">
        <v>4</v>
      </c>
      <c r="D588" t="str">
        <f>VLOOKUP(Tabela26[[#This Row],[EMP]],[1]LOJA!$A:$B,2,0)</f>
        <v>ADE</v>
      </c>
      <c r="E588">
        <v>132</v>
      </c>
      <c r="F588" t="s">
        <v>3664</v>
      </c>
      <c r="G588" t="s">
        <v>3663</v>
      </c>
      <c r="H588" t="s">
        <v>3430</v>
      </c>
      <c r="I588">
        <v>5405</v>
      </c>
      <c r="J588" s="3">
        <v>168.99</v>
      </c>
      <c r="K588" s="3">
        <v>73.510000000000005</v>
      </c>
      <c r="L588">
        <v>56.5</v>
      </c>
    </row>
    <row r="589" spans="1:12">
      <c r="A589" s="1">
        <v>46027</v>
      </c>
      <c r="B589" t="s">
        <v>12207</v>
      </c>
      <c r="C589">
        <v>13</v>
      </c>
      <c r="D589" t="str">
        <f>VLOOKUP(Tabela26[[#This Row],[EMP]],[1]LOJA!$A:$B,2,0)</f>
        <v>CEILÂNDIA</v>
      </c>
      <c r="E589">
        <v>86</v>
      </c>
      <c r="F589" t="s">
        <v>3403</v>
      </c>
      <c r="G589" t="s">
        <v>3402</v>
      </c>
      <c r="H589" t="s">
        <v>3401</v>
      </c>
      <c r="I589">
        <v>5102</v>
      </c>
      <c r="J589" s="3">
        <v>97.5</v>
      </c>
      <c r="K589" s="3">
        <v>59.37</v>
      </c>
      <c r="L589">
        <v>39.11</v>
      </c>
    </row>
    <row r="590" spans="1:12">
      <c r="A590" s="1">
        <v>46027</v>
      </c>
      <c r="B590" t="s">
        <v>12206</v>
      </c>
      <c r="C590">
        <v>13</v>
      </c>
      <c r="D590" t="str">
        <f>VLOOKUP(Tabela26[[#This Row],[EMP]],[1]LOJA!$A:$B,2,0)</f>
        <v>CEILÂNDIA</v>
      </c>
      <c r="E590">
        <v>86</v>
      </c>
      <c r="F590" t="s">
        <v>3622</v>
      </c>
      <c r="G590" t="s">
        <v>3402</v>
      </c>
      <c r="H590" t="s">
        <v>3401</v>
      </c>
      <c r="I590">
        <v>5405</v>
      </c>
      <c r="J590" s="3">
        <v>120</v>
      </c>
      <c r="K590" s="3">
        <v>58.65</v>
      </c>
      <c r="L590">
        <v>51.13</v>
      </c>
    </row>
    <row r="591" spans="1:12">
      <c r="A591" s="1">
        <v>46027</v>
      </c>
      <c r="B591" t="s">
        <v>12205</v>
      </c>
      <c r="C591">
        <v>13</v>
      </c>
      <c r="D591" t="str">
        <f>VLOOKUP(Tabela26[[#This Row],[EMP]],[1]LOJA!$A:$B,2,0)</f>
        <v>CEILÂNDIA</v>
      </c>
      <c r="E591">
        <v>86</v>
      </c>
      <c r="F591" t="s">
        <v>3403</v>
      </c>
      <c r="G591" t="s">
        <v>3402</v>
      </c>
      <c r="H591" t="s">
        <v>3401</v>
      </c>
      <c r="I591">
        <v>5102</v>
      </c>
      <c r="J591" s="3">
        <v>9.5</v>
      </c>
      <c r="K591" s="3">
        <v>4.16</v>
      </c>
      <c r="L591">
        <v>56.21</v>
      </c>
    </row>
    <row r="592" spans="1:12">
      <c r="A592" s="1">
        <v>46027</v>
      </c>
      <c r="B592" t="s">
        <v>12204</v>
      </c>
      <c r="C592">
        <v>13</v>
      </c>
      <c r="D592" t="str">
        <f>VLOOKUP(Tabela26[[#This Row],[EMP]],[1]LOJA!$A:$B,2,0)</f>
        <v>CEILÂNDIA</v>
      </c>
      <c r="E592">
        <v>86</v>
      </c>
      <c r="F592" t="s">
        <v>4336</v>
      </c>
      <c r="G592" t="s">
        <v>4335</v>
      </c>
      <c r="H592" t="s">
        <v>3408</v>
      </c>
      <c r="I592">
        <v>5102</v>
      </c>
      <c r="J592" s="3">
        <v>130</v>
      </c>
      <c r="K592" s="3">
        <v>81.180000000000007</v>
      </c>
      <c r="L592">
        <v>37.549999999999997</v>
      </c>
    </row>
    <row r="593" spans="1:12">
      <c r="A593" s="1">
        <v>46027</v>
      </c>
      <c r="B593" t="s">
        <v>12203</v>
      </c>
      <c r="C593">
        <v>13</v>
      </c>
      <c r="D593" t="str">
        <f>VLOOKUP(Tabela26[[#This Row],[EMP]],[1]LOJA!$A:$B,2,0)</f>
        <v>CEILÂNDIA</v>
      </c>
      <c r="E593">
        <v>86</v>
      </c>
      <c r="F593" t="s">
        <v>3403</v>
      </c>
      <c r="G593" t="s">
        <v>3402</v>
      </c>
      <c r="H593" t="s">
        <v>3401</v>
      </c>
      <c r="I593">
        <v>5405</v>
      </c>
      <c r="J593" s="3">
        <v>150</v>
      </c>
      <c r="K593" s="3">
        <v>61.28</v>
      </c>
      <c r="L593">
        <v>59.15</v>
      </c>
    </row>
    <row r="594" spans="1:12">
      <c r="A594" s="1">
        <v>46027</v>
      </c>
      <c r="B594" t="s">
        <v>12202</v>
      </c>
      <c r="C594">
        <v>13</v>
      </c>
      <c r="D594" t="str">
        <f>VLOOKUP(Tabela26[[#This Row],[EMP]],[1]LOJA!$A:$B,2,0)</f>
        <v>CEILÂNDIA</v>
      </c>
      <c r="E594">
        <v>86</v>
      </c>
      <c r="F594" t="s">
        <v>7966</v>
      </c>
      <c r="G594" t="s">
        <v>3402</v>
      </c>
      <c r="H594" t="s">
        <v>3408</v>
      </c>
      <c r="I594">
        <v>5102</v>
      </c>
      <c r="J594" s="3">
        <v>17</v>
      </c>
      <c r="K594" s="3">
        <v>8.32</v>
      </c>
      <c r="L594">
        <v>51.06</v>
      </c>
    </row>
    <row r="595" spans="1:12">
      <c r="A595" s="1">
        <v>46027</v>
      </c>
      <c r="B595" t="s">
        <v>12201</v>
      </c>
      <c r="C595">
        <v>13</v>
      </c>
      <c r="D595" t="str">
        <f>VLOOKUP(Tabela26[[#This Row],[EMP]],[1]LOJA!$A:$B,2,0)</f>
        <v>CEILÂNDIA</v>
      </c>
      <c r="E595">
        <v>86</v>
      </c>
      <c r="F595" t="s">
        <v>3631</v>
      </c>
      <c r="G595" t="s">
        <v>3402</v>
      </c>
      <c r="H595" t="s">
        <v>3408</v>
      </c>
      <c r="I595">
        <v>5102</v>
      </c>
      <c r="J595" s="3">
        <v>180</v>
      </c>
      <c r="K595" s="3">
        <v>123.2</v>
      </c>
      <c r="L595">
        <v>31.56</v>
      </c>
    </row>
    <row r="596" spans="1:12">
      <c r="A596" s="1">
        <v>46027</v>
      </c>
      <c r="B596" t="s">
        <v>12200</v>
      </c>
      <c r="C596">
        <v>13</v>
      </c>
      <c r="D596" t="str">
        <f>VLOOKUP(Tabela26[[#This Row],[EMP]],[1]LOJA!$A:$B,2,0)</f>
        <v>CEILÂNDIA</v>
      </c>
      <c r="E596">
        <v>86</v>
      </c>
      <c r="F596" t="s">
        <v>4346</v>
      </c>
      <c r="G596" t="s">
        <v>4345</v>
      </c>
      <c r="H596" t="s">
        <v>3401</v>
      </c>
      <c r="I596">
        <v>5405</v>
      </c>
      <c r="J596" s="3">
        <v>155</v>
      </c>
      <c r="K596" s="3">
        <v>81.7</v>
      </c>
      <c r="L596">
        <v>47.29</v>
      </c>
    </row>
    <row r="597" spans="1:12">
      <c r="A597" s="1">
        <v>46027</v>
      </c>
      <c r="B597" t="s">
        <v>12199</v>
      </c>
      <c r="C597">
        <v>13</v>
      </c>
      <c r="D597" t="str">
        <f>VLOOKUP(Tabela26[[#This Row],[EMP]],[1]LOJA!$A:$B,2,0)</f>
        <v>CEILÂNDIA</v>
      </c>
      <c r="E597">
        <v>86</v>
      </c>
      <c r="F597" t="s">
        <v>4342</v>
      </c>
      <c r="G597" t="s">
        <v>4341</v>
      </c>
      <c r="H597" t="s">
        <v>3401</v>
      </c>
      <c r="I597">
        <v>5102</v>
      </c>
      <c r="J597" s="3">
        <v>94</v>
      </c>
      <c r="K597" s="3">
        <v>57.12</v>
      </c>
      <c r="L597">
        <v>39.229999999999997</v>
      </c>
    </row>
    <row r="598" spans="1:12">
      <c r="A598" s="1">
        <v>46027</v>
      </c>
      <c r="B598" t="s">
        <v>12198</v>
      </c>
      <c r="C598">
        <v>13</v>
      </c>
      <c r="D598" t="str">
        <f>VLOOKUP(Tabela26[[#This Row],[EMP]],[1]LOJA!$A:$B,2,0)</f>
        <v>CEILÂNDIA</v>
      </c>
      <c r="E598">
        <v>86</v>
      </c>
      <c r="F598" t="s">
        <v>3649</v>
      </c>
      <c r="G598" t="s">
        <v>3648</v>
      </c>
      <c r="H598" t="s">
        <v>3408</v>
      </c>
      <c r="I598">
        <v>5405</v>
      </c>
      <c r="J598" s="3">
        <v>242</v>
      </c>
      <c r="K598" s="3">
        <v>141.58000000000001</v>
      </c>
      <c r="L598">
        <v>41.5</v>
      </c>
    </row>
    <row r="599" spans="1:12">
      <c r="A599" s="1">
        <v>46027</v>
      </c>
      <c r="B599" t="s">
        <v>12197</v>
      </c>
      <c r="C599">
        <v>13</v>
      </c>
      <c r="D599" t="str">
        <f>VLOOKUP(Tabela26[[#This Row],[EMP]],[1]LOJA!$A:$B,2,0)</f>
        <v>CEILÂNDIA</v>
      </c>
      <c r="E599">
        <v>86</v>
      </c>
      <c r="F599" t="s">
        <v>3403</v>
      </c>
      <c r="G599" t="s">
        <v>3402</v>
      </c>
      <c r="H599" t="s">
        <v>3408</v>
      </c>
      <c r="I599">
        <v>5102</v>
      </c>
      <c r="J599" s="3">
        <v>70</v>
      </c>
      <c r="K599" s="3">
        <v>47.38</v>
      </c>
      <c r="L599">
        <v>32.31</v>
      </c>
    </row>
    <row r="600" spans="1:12">
      <c r="A600" s="1">
        <v>46027</v>
      </c>
      <c r="B600" t="s">
        <v>12196</v>
      </c>
      <c r="C600">
        <v>13</v>
      </c>
      <c r="D600" t="str">
        <f>VLOOKUP(Tabela26[[#This Row],[EMP]],[1]LOJA!$A:$B,2,0)</f>
        <v>CEILÂNDIA</v>
      </c>
      <c r="E600">
        <v>86</v>
      </c>
      <c r="F600" t="s">
        <v>3403</v>
      </c>
      <c r="G600" t="s">
        <v>3402</v>
      </c>
      <c r="H600" t="s">
        <v>3408</v>
      </c>
      <c r="I600">
        <v>5102</v>
      </c>
      <c r="J600" s="3">
        <v>8</v>
      </c>
      <c r="K600" s="3">
        <v>3.91</v>
      </c>
      <c r="L600">
        <v>51.13</v>
      </c>
    </row>
    <row r="601" spans="1:12">
      <c r="A601" s="1">
        <v>46027</v>
      </c>
      <c r="B601" t="s">
        <v>12195</v>
      </c>
      <c r="C601">
        <v>13</v>
      </c>
      <c r="D601" t="str">
        <f>VLOOKUP(Tabela26[[#This Row],[EMP]],[1]LOJA!$A:$B,2,0)</f>
        <v>CEILÂNDIA</v>
      </c>
      <c r="E601">
        <v>86</v>
      </c>
      <c r="F601" t="s">
        <v>3403</v>
      </c>
      <c r="G601" t="s">
        <v>3402</v>
      </c>
      <c r="H601" t="s">
        <v>3401</v>
      </c>
      <c r="I601">
        <v>5405</v>
      </c>
      <c r="J601" s="3">
        <v>125</v>
      </c>
      <c r="K601" s="3">
        <v>69.61</v>
      </c>
      <c r="L601">
        <v>44.31</v>
      </c>
    </row>
    <row r="602" spans="1:12">
      <c r="A602" s="1">
        <v>46027</v>
      </c>
      <c r="B602" t="s">
        <v>12194</v>
      </c>
      <c r="C602">
        <v>13</v>
      </c>
      <c r="D602" t="str">
        <f>VLOOKUP(Tabela26[[#This Row],[EMP]],[1]LOJA!$A:$B,2,0)</f>
        <v>CEILÂNDIA</v>
      </c>
      <c r="E602">
        <v>86</v>
      </c>
      <c r="F602" t="s">
        <v>4363</v>
      </c>
      <c r="G602" t="s">
        <v>3402</v>
      </c>
      <c r="H602" t="s">
        <v>3401</v>
      </c>
      <c r="I602">
        <v>5102</v>
      </c>
      <c r="J602" s="3">
        <v>6</v>
      </c>
      <c r="K602" s="3">
        <v>2.65</v>
      </c>
      <c r="L602">
        <v>55.83</v>
      </c>
    </row>
    <row r="603" spans="1:12">
      <c r="A603" s="1">
        <v>46027</v>
      </c>
      <c r="B603" t="s">
        <v>12193</v>
      </c>
      <c r="C603">
        <v>13</v>
      </c>
      <c r="D603" t="str">
        <f>VLOOKUP(Tabela26[[#This Row],[EMP]],[1]LOJA!$A:$B,2,0)</f>
        <v>CEILÂNDIA</v>
      </c>
      <c r="E603">
        <v>86</v>
      </c>
      <c r="F603" t="s">
        <v>4084</v>
      </c>
      <c r="G603" t="s">
        <v>4083</v>
      </c>
      <c r="H603" t="s">
        <v>3401</v>
      </c>
      <c r="I603">
        <v>5405</v>
      </c>
      <c r="J603" s="3">
        <v>50.92</v>
      </c>
      <c r="K603" s="3">
        <v>26.64</v>
      </c>
      <c r="L603">
        <v>47.68</v>
      </c>
    </row>
    <row r="604" spans="1:12">
      <c r="A604" s="1">
        <v>46027</v>
      </c>
      <c r="B604" t="s">
        <v>12192</v>
      </c>
      <c r="C604">
        <v>13</v>
      </c>
      <c r="D604" t="str">
        <f>VLOOKUP(Tabela26[[#This Row],[EMP]],[1]LOJA!$A:$B,2,0)</f>
        <v>CEILÂNDIA</v>
      </c>
      <c r="E604">
        <v>86</v>
      </c>
      <c r="F604" t="s">
        <v>3403</v>
      </c>
      <c r="G604" t="s">
        <v>12191</v>
      </c>
      <c r="H604" t="s">
        <v>3408</v>
      </c>
      <c r="I604">
        <v>5102</v>
      </c>
      <c r="J604" s="3">
        <v>330</v>
      </c>
      <c r="K604" s="3">
        <v>192.56</v>
      </c>
      <c r="L604">
        <v>41.65</v>
      </c>
    </row>
    <row r="605" spans="1:12">
      <c r="A605" s="1">
        <v>46027</v>
      </c>
      <c r="B605" t="s">
        <v>12190</v>
      </c>
      <c r="C605">
        <v>13</v>
      </c>
      <c r="D605" t="str">
        <f>VLOOKUP(Tabela26[[#This Row],[EMP]],[1]LOJA!$A:$B,2,0)</f>
        <v>CEILÂNDIA</v>
      </c>
      <c r="E605">
        <v>33</v>
      </c>
      <c r="F605" t="s">
        <v>3403</v>
      </c>
      <c r="G605" t="s">
        <v>3402</v>
      </c>
      <c r="H605" t="s">
        <v>3401</v>
      </c>
      <c r="I605">
        <v>5102</v>
      </c>
      <c r="J605" s="3">
        <v>85</v>
      </c>
      <c r="K605" s="3">
        <v>45.1</v>
      </c>
      <c r="L605">
        <v>46.94</v>
      </c>
    </row>
    <row r="606" spans="1:12">
      <c r="A606" s="1">
        <v>46027</v>
      </c>
      <c r="B606" t="s">
        <v>12189</v>
      </c>
      <c r="C606">
        <v>13</v>
      </c>
      <c r="D606" t="str">
        <f>VLOOKUP(Tabela26[[#This Row],[EMP]],[1]LOJA!$A:$B,2,0)</f>
        <v>CEILÂNDIA</v>
      </c>
      <c r="E606">
        <v>86</v>
      </c>
      <c r="F606" t="s">
        <v>3403</v>
      </c>
      <c r="G606" t="s">
        <v>3402</v>
      </c>
      <c r="H606" t="s">
        <v>3401</v>
      </c>
      <c r="I606">
        <v>5102</v>
      </c>
      <c r="J606" s="3">
        <v>50</v>
      </c>
      <c r="K606" s="3">
        <v>25.13</v>
      </c>
      <c r="L606">
        <v>49.74</v>
      </c>
    </row>
    <row r="607" spans="1:12">
      <c r="A607" s="1">
        <v>46027</v>
      </c>
      <c r="B607" t="s">
        <v>12188</v>
      </c>
      <c r="C607">
        <v>13</v>
      </c>
      <c r="D607" t="str">
        <f>VLOOKUP(Tabela26[[#This Row],[EMP]],[1]LOJA!$A:$B,2,0)</f>
        <v>CEILÂNDIA</v>
      </c>
      <c r="E607">
        <v>86</v>
      </c>
      <c r="F607" t="s">
        <v>3403</v>
      </c>
      <c r="G607" t="s">
        <v>3402</v>
      </c>
      <c r="H607" t="s">
        <v>3401</v>
      </c>
      <c r="I607">
        <v>5102</v>
      </c>
      <c r="J607" s="3">
        <v>185</v>
      </c>
      <c r="K607" s="3">
        <v>102.86</v>
      </c>
      <c r="L607">
        <v>44.4</v>
      </c>
    </row>
    <row r="608" spans="1:12">
      <c r="A608" s="1">
        <v>46027</v>
      </c>
      <c r="B608" t="s">
        <v>12187</v>
      </c>
      <c r="C608">
        <v>13</v>
      </c>
      <c r="D608" t="str">
        <f>VLOOKUP(Tabela26[[#This Row],[EMP]],[1]LOJA!$A:$B,2,0)</f>
        <v>CEILÂNDIA</v>
      </c>
      <c r="E608">
        <v>86</v>
      </c>
      <c r="F608" t="s">
        <v>4346</v>
      </c>
      <c r="G608" t="s">
        <v>4345</v>
      </c>
      <c r="H608" t="s">
        <v>3401</v>
      </c>
      <c r="I608">
        <v>5405</v>
      </c>
      <c r="J608" s="3">
        <v>339.8</v>
      </c>
      <c r="K608" s="3">
        <v>195.46</v>
      </c>
      <c r="L608">
        <v>42.48</v>
      </c>
    </row>
    <row r="609" spans="1:12">
      <c r="A609" s="1">
        <v>46027</v>
      </c>
      <c r="B609" t="s">
        <v>12186</v>
      </c>
      <c r="C609">
        <v>13</v>
      </c>
      <c r="D609" t="str">
        <f>VLOOKUP(Tabela26[[#This Row],[EMP]],[1]LOJA!$A:$B,2,0)</f>
        <v>CEILÂNDIA</v>
      </c>
      <c r="E609">
        <v>86</v>
      </c>
      <c r="F609" t="s">
        <v>3403</v>
      </c>
      <c r="G609" t="s">
        <v>3402</v>
      </c>
      <c r="H609" t="s">
        <v>3401</v>
      </c>
      <c r="I609">
        <v>5405</v>
      </c>
      <c r="J609" s="3">
        <v>180</v>
      </c>
      <c r="K609" s="3">
        <v>104.27</v>
      </c>
      <c r="L609">
        <v>42.07</v>
      </c>
    </row>
    <row r="610" spans="1:12">
      <c r="A610" s="1">
        <v>46027</v>
      </c>
      <c r="B610" t="s">
        <v>12185</v>
      </c>
      <c r="C610">
        <v>13</v>
      </c>
      <c r="D610" t="str">
        <f>VLOOKUP(Tabela26[[#This Row],[EMP]],[1]LOJA!$A:$B,2,0)</f>
        <v>CEILÂNDIA</v>
      </c>
      <c r="E610">
        <v>86</v>
      </c>
      <c r="F610" t="s">
        <v>3403</v>
      </c>
      <c r="G610" t="s">
        <v>3402</v>
      </c>
      <c r="H610" t="s">
        <v>3401</v>
      </c>
      <c r="I610">
        <v>5405</v>
      </c>
      <c r="J610" s="3">
        <v>320</v>
      </c>
      <c r="K610" s="3">
        <v>178.01</v>
      </c>
      <c r="L610">
        <v>44.37</v>
      </c>
    </row>
    <row r="611" spans="1:12">
      <c r="A611" s="1">
        <v>46027</v>
      </c>
      <c r="B611" t="s">
        <v>12184</v>
      </c>
      <c r="C611">
        <v>13</v>
      </c>
      <c r="D611" t="str">
        <f>VLOOKUP(Tabela26[[#This Row],[EMP]],[1]LOJA!$A:$B,2,0)</f>
        <v>CEILÂNDIA</v>
      </c>
      <c r="E611">
        <v>33</v>
      </c>
      <c r="F611" t="s">
        <v>12183</v>
      </c>
      <c r="G611" t="s">
        <v>3402</v>
      </c>
      <c r="H611" t="s">
        <v>3408</v>
      </c>
      <c r="I611">
        <v>5102</v>
      </c>
      <c r="J611" s="3">
        <v>96.5</v>
      </c>
      <c r="K611" s="3">
        <v>54.3</v>
      </c>
      <c r="L611">
        <v>43.73</v>
      </c>
    </row>
    <row r="612" spans="1:12">
      <c r="A612" s="1">
        <v>46027</v>
      </c>
      <c r="B612" t="s">
        <v>12182</v>
      </c>
      <c r="C612">
        <v>13</v>
      </c>
      <c r="D612" t="str">
        <f>VLOOKUP(Tabela26[[#This Row],[EMP]],[1]LOJA!$A:$B,2,0)</f>
        <v>CEILÂNDIA</v>
      </c>
      <c r="E612">
        <v>86</v>
      </c>
      <c r="F612" t="s">
        <v>3403</v>
      </c>
      <c r="G612" t="s">
        <v>3402</v>
      </c>
      <c r="H612" t="s">
        <v>3401</v>
      </c>
      <c r="I612">
        <v>5405</v>
      </c>
      <c r="J612" s="3">
        <v>75</v>
      </c>
      <c r="K612" s="3">
        <v>39.299999999999997</v>
      </c>
      <c r="L612">
        <v>47.6</v>
      </c>
    </row>
    <row r="613" spans="1:12">
      <c r="A613" s="1">
        <v>46027</v>
      </c>
      <c r="B613" t="s">
        <v>12181</v>
      </c>
      <c r="C613">
        <v>6</v>
      </c>
      <c r="D613" t="str">
        <f>VLOOKUP(Tabela26[[#This Row],[EMP]],[1]LOJA!$A:$B,2,0)</f>
        <v>GAMA</v>
      </c>
      <c r="E613">
        <v>226</v>
      </c>
      <c r="F613" t="s">
        <v>3576</v>
      </c>
      <c r="G613" t="s">
        <v>3402</v>
      </c>
      <c r="H613" t="s">
        <v>3401</v>
      </c>
      <c r="I613">
        <v>5405</v>
      </c>
      <c r="J613" s="3">
        <v>75</v>
      </c>
      <c r="K613" s="3">
        <v>37.29</v>
      </c>
      <c r="L613">
        <v>50.28</v>
      </c>
    </row>
    <row r="614" spans="1:12">
      <c r="A614" s="1">
        <v>46027</v>
      </c>
      <c r="B614" t="s">
        <v>12180</v>
      </c>
      <c r="C614">
        <v>6</v>
      </c>
      <c r="D614" t="str">
        <f>VLOOKUP(Tabela26[[#This Row],[EMP]],[1]LOJA!$A:$B,2,0)</f>
        <v>GAMA</v>
      </c>
      <c r="E614">
        <v>226</v>
      </c>
      <c r="F614" t="s">
        <v>3403</v>
      </c>
      <c r="G614" t="s">
        <v>3402</v>
      </c>
      <c r="H614" t="s">
        <v>3401</v>
      </c>
      <c r="I614">
        <v>5102</v>
      </c>
      <c r="J614" s="3">
        <v>20</v>
      </c>
      <c r="K614" s="3">
        <v>7.86</v>
      </c>
      <c r="L614">
        <v>60.7</v>
      </c>
    </row>
    <row r="615" spans="1:12">
      <c r="A615" s="1">
        <v>46027</v>
      </c>
      <c r="B615" t="s">
        <v>12179</v>
      </c>
      <c r="C615">
        <v>6</v>
      </c>
      <c r="D615" t="str">
        <f>VLOOKUP(Tabela26[[#This Row],[EMP]],[1]LOJA!$A:$B,2,0)</f>
        <v>GAMA</v>
      </c>
      <c r="E615">
        <v>226</v>
      </c>
      <c r="F615" t="s">
        <v>3403</v>
      </c>
      <c r="G615" t="s">
        <v>3402</v>
      </c>
      <c r="H615" t="s">
        <v>3401</v>
      </c>
      <c r="I615">
        <v>5405</v>
      </c>
      <c r="J615" s="3">
        <v>50</v>
      </c>
      <c r="K615" s="3">
        <v>20.62</v>
      </c>
      <c r="L615">
        <v>58.76</v>
      </c>
    </row>
    <row r="616" spans="1:12">
      <c r="A616" s="1">
        <v>46027</v>
      </c>
      <c r="B616" t="s">
        <v>12178</v>
      </c>
      <c r="C616">
        <v>6</v>
      </c>
      <c r="D616" t="str">
        <f>VLOOKUP(Tabela26[[#This Row],[EMP]],[1]LOJA!$A:$B,2,0)</f>
        <v>GAMA</v>
      </c>
      <c r="E616">
        <v>226</v>
      </c>
      <c r="F616" t="s">
        <v>3403</v>
      </c>
      <c r="G616" t="s">
        <v>3402</v>
      </c>
      <c r="H616" t="s">
        <v>3401</v>
      </c>
      <c r="I616">
        <v>5405</v>
      </c>
      <c r="J616" s="3">
        <v>315</v>
      </c>
      <c r="K616" s="3">
        <v>166.78</v>
      </c>
      <c r="L616">
        <v>47.05</v>
      </c>
    </row>
    <row r="617" spans="1:12">
      <c r="A617" s="1">
        <v>46027</v>
      </c>
      <c r="B617" t="s">
        <v>12177</v>
      </c>
      <c r="C617">
        <v>6</v>
      </c>
      <c r="D617" t="str">
        <f>VLOOKUP(Tabela26[[#This Row],[EMP]],[1]LOJA!$A:$B,2,0)</f>
        <v>GAMA</v>
      </c>
      <c r="E617">
        <v>226</v>
      </c>
      <c r="F617" t="s">
        <v>3403</v>
      </c>
      <c r="G617" t="s">
        <v>3402</v>
      </c>
      <c r="H617" t="s">
        <v>3401</v>
      </c>
      <c r="I617">
        <v>5102</v>
      </c>
      <c r="J617" s="3">
        <v>17.5</v>
      </c>
      <c r="K617" s="3">
        <v>10.46</v>
      </c>
      <c r="L617">
        <v>40.229999999999997</v>
      </c>
    </row>
    <row r="618" spans="1:12">
      <c r="A618" s="1">
        <v>46027</v>
      </c>
      <c r="B618" t="s">
        <v>12176</v>
      </c>
      <c r="C618">
        <v>6</v>
      </c>
      <c r="D618" t="str">
        <f>VLOOKUP(Tabela26[[#This Row],[EMP]],[1]LOJA!$A:$B,2,0)</f>
        <v>GAMA</v>
      </c>
      <c r="E618">
        <v>245</v>
      </c>
      <c r="F618" t="s">
        <v>3565</v>
      </c>
      <c r="G618" t="s">
        <v>3564</v>
      </c>
      <c r="H618" t="s">
        <v>3401</v>
      </c>
      <c r="I618">
        <v>5102</v>
      </c>
      <c r="J618" s="3">
        <v>77</v>
      </c>
      <c r="K618" s="3">
        <v>40.869999999999997</v>
      </c>
      <c r="L618">
        <v>46.92</v>
      </c>
    </row>
    <row r="619" spans="1:12">
      <c r="A619" s="1">
        <v>46027</v>
      </c>
      <c r="B619" t="s">
        <v>12175</v>
      </c>
      <c r="C619">
        <v>6</v>
      </c>
      <c r="D619" t="str">
        <f>VLOOKUP(Tabela26[[#This Row],[EMP]],[1]LOJA!$A:$B,2,0)</f>
        <v>GAMA</v>
      </c>
      <c r="E619">
        <v>245</v>
      </c>
      <c r="F619" t="s">
        <v>5509</v>
      </c>
      <c r="G619" t="s">
        <v>5508</v>
      </c>
      <c r="H619" t="s">
        <v>7400</v>
      </c>
      <c r="I619">
        <v>5405</v>
      </c>
      <c r="J619" s="3">
        <v>69.400000000000006</v>
      </c>
      <c r="K619" s="3">
        <v>33.04</v>
      </c>
      <c r="L619">
        <v>52.39</v>
      </c>
    </row>
    <row r="620" spans="1:12">
      <c r="A620" s="1">
        <v>46027</v>
      </c>
      <c r="B620" t="s">
        <v>12174</v>
      </c>
      <c r="C620">
        <v>6</v>
      </c>
      <c r="D620" t="str">
        <f>VLOOKUP(Tabela26[[#This Row],[EMP]],[1]LOJA!$A:$B,2,0)</f>
        <v>GAMA</v>
      </c>
      <c r="E620">
        <v>245</v>
      </c>
      <c r="F620" t="s">
        <v>3580</v>
      </c>
      <c r="G620" t="s">
        <v>3579</v>
      </c>
      <c r="H620" t="s">
        <v>3401</v>
      </c>
      <c r="I620">
        <v>5405</v>
      </c>
      <c r="J620" s="3">
        <v>165.58</v>
      </c>
      <c r="K620" s="3">
        <v>75.459999999999994</v>
      </c>
      <c r="L620">
        <v>54.43</v>
      </c>
    </row>
    <row r="621" spans="1:12">
      <c r="A621" s="1">
        <v>46027</v>
      </c>
      <c r="B621" t="s">
        <v>12173</v>
      </c>
      <c r="C621">
        <v>4</v>
      </c>
      <c r="D621" t="str">
        <f>VLOOKUP(Tabela26[[#This Row],[EMP]],[1]LOJA!$A:$B,2,0)</f>
        <v>ADE</v>
      </c>
      <c r="E621">
        <v>132</v>
      </c>
      <c r="F621" t="s">
        <v>12172</v>
      </c>
      <c r="G621" t="s">
        <v>12171</v>
      </c>
      <c r="H621" t="s">
        <v>3401</v>
      </c>
      <c r="I621">
        <v>1411</v>
      </c>
      <c r="J621" s="3">
        <v>-320</v>
      </c>
      <c r="K621" s="3">
        <v>-220.78</v>
      </c>
      <c r="L621">
        <v>31.01</v>
      </c>
    </row>
    <row r="622" spans="1:12">
      <c r="A622" s="1">
        <v>46027</v>
      </c>
      <c r="B622" t="s">
        <v>12170</v>
      </c>
      <c r="C622">
        <v>4</v>
      </c>
      <c r="D622" t="str">
        <f>VLOOKUP(Tabela26[[#This Row],[EMP]],[1]LOJA!$A:$B,2,0)</f>
        <v>ADE</v>
      </c>
      <c r="E622">
        <v>132</v>
      </c>
      <c r="F622" t="s">
        <v>12169</v>
      </c>
      <c r="G622" t="s">
        <v>3402</v>
      </c>
      <c r="H622" t="s">
        <v>3408</v>
      </c>
      <c r="I622">
        <v>5405</v>
      </c>
      <c r="J622" s="3">
        <v>476.83</v>
      </c>
      <c r="K622" s="3">
        <v>308.29000000000002</v>
      </c>
      <c r="L622">
        <v>35.35</v>
      </c>
    </row>
    <row r="623" spans="1:12">
      <c r="A623" s="1">
        <v>46027</v>
      </c>
      <c r="B623" t="s">
        <v>12168</v>
      </c>
      <c r="C623">
        <v>6</v>
      </c>
      <c r="D623" t="str">
        <f>VLOOKUP(Tabela26[[#This Row],[EMP]],[1]LOJA!$A:$B,2,0)</f>
        <v>GAMA</v>
      </c>
      <c r="E623">
        <v>245</v>
      </c>
      <c r="F623" t="s">
        <v>3555</v>
      </c>
      <c r="G623" t="s">
        <v>3554</v>
      </c>
      <c r="H623" t="s">
        <v>3430</v>
      </c>
      <c r="I623">
        <v>6403</v>
      </c>
      <c r="J623" s="3">
        <v>33.86</v>
      </c>
      <c r="K623" s="3">
        <v>20.52</v>
      </c>
      <c r="L623">
        <v>39.4</v>
      </c>
    </row>
    <row r="624" spans="1:12">
      <c r="A624" s="1">
        <v>46028</v>
      </c>
      <c r="B624" t="s">
        <v>12167</v>
      </c>
      <c r="C624">
        <v>15</v>
      </c>
      <c r="D624" t="str">
        <f>VLOOKUP(Tabela26[[#This Row],[EMP]],[1]LOJA!$A:$B,2,0)</f>
        <v>UNAÍ</v>
      </c>
      <c r="E624">
        <v>183</v>
      </c>
      <c r="F624" t="s">
        <v>3485</v>
      </c>
      <c r="G624" t="s">
        <v>3402</v>
      </c>
      <c r="H624" t="s">
        <v>3401</v>
      </c>
      <c r="I624">
        <v>1202</v>
      </c>
      <c r="J624" s="3">
        <v>-55.65</v>
      </c>
      <c r="K624" s="3">
        <v>-27.63</v>
      </c>
      <c r="L624">
        <v>50.35</v>
      </c>
    </row>
    <row r="625" spans="1:12">
      <c r="A625" s="1">
        <v>46028</v>
      </c>
      <c r="B625" t="s">
        <v>12166</v>
      </c>
      <c r="C625">
        <v>15</v>
      </c>
      <c r="D625" t="str">
        <f>VLOOKUP(Tabela26[[#This Row],[EMP]],[1]LOJA!$A:$B,2,0)</f>
        <v>UNAÍ</v>
      </c>
      <c r="E625">
        <v>183</v>
      </c>
      <c r="F625" t="s">
        <v>3485</v>
      </c>
      <c r="G625" t="s">
        <v>3402</v>
      </c>
      <c r="H625" t="s">
        <v>3401</v>
      </c>
      <c r="I625">
        <v>1202</v>
      </c>
      <c r="J625" s="3">
        <v>-20.260000000000002</v>
      </c>
      <c r="K625" s="3">
        <v>-9.2100000000000009</v>
      </c>
      <c r="L625">
        <v>54.54</v>
      </c>
    </row>
    <row r="626" spans="1:12">
      <c r="A626" s="1">
        <v>46028</v>
      </c>
      <c r="B626" t="s">
        <v>12165</v>
      </c>
      <c r="C626">
        <v>24</v>
      </c>
      <c r="D626" t="str">
        <f>VLOOKUP(Tabela26[[#This Row],[EMP]],[1]LOJA!$A:$B,2,0)</f>
        <v>LUZIÂNIA</v>
      </c>
      <c r="E626">
        <v>192</v>
      </c>
      <c r="F626" t="s">
        <v>4949</v>
      </c>
      <c r="G626" t="s">
        <v>4948</v>
      </c>
      <c r="H626" t="s">
        <v>3430</v>
      </c>
      <c r="I626">
        <v>5102</v>
      </c>
      <c r="J626" s="3">
        <v>78</v>
      </c>
      <c r="K626" s="3">
        <v>47.38</v>
      </c>
      <c r="L626">
        <v>39.26</v>
      </c>
    </row>
    <row r="627" spans="1:12">
      <c r="A627" s="1">
        <v>46028</v>
      </c>
      <c r="B627" t="s">
        <v>12164</v>
      </c>
      <c r="C627">
        <v>24</v>
      </c>
      <c r="D627" t="str">
        <f>VLOOKUP(Tabela26[[#This Row],[EMP]],[1]LOJA!$A:$B,2,0)</f>
        <v>LUZIÂNIA</v>
      </c>
      <c r="E627">
        <v>150</v>
      </c>
      <c r="F627" t="s">
        <v>4292</v>
      </c>
      <c r="G627" t="s">
        <v>4291</v>
      </c>
      <c r="H627" t="s">
        <v>3430</v>
      </c>
      <c r="I627">
        <v>5102</v>
      </c>
      <c r="J627" s="3">
        <v>1042.0999999999999</v>
      </c>
      <c r="K627" s="3">
        <v>567.45000000000005</v>
      </c>
      <c r="L627">
        <v>45.55</v>
      </c>
    </row>
    <row r="628" spans="1:12">
      <c r="A628" s="1">
        <v>46028</v>
      </c>
      <c r="B628" t="s">
        <v>12163</v>
      </c>
      <c r="C628">
        <v>24</v>
      </c>
      <c r="D628" t="str">
        <f>VLOOKUP(Tabela26[[#This Row],[EMP]],[1]LOJA!$A:$B,2,0)</f>
        <v>LUZIÂNIA</v>
      </c>
      <c r="E628">
        <v>192</v>
      </c>
      <c r="F628" t="s">
        <v>4949</v>
      </c>
      <c r="G628" t="s">
        <v>4948</v>
      </c>
      <c r="H628" t="s">
        <v>3430</v>
      </c>
      <c r="I628">
        <v>5102</v>
      </c>
      <c r="J628" s="3">
        <v>33.909999999999997</v>
      </c>
      <c r="K628" s="3">
        <v>16.510000000000002</v>
      </c>
      <c r="L628">
        <v>51.31</v>
      </c>
    </row>
    <row r="629" spans="1:12">
      <c r="A629" s="1">
        <v>46028</v>
      </c>
      <c r="B629" t="s">
        <v>12162</v>
      </c>
      <c r="C629">
        <v>24</v>
      </c>
      <c r="D629" t="str">
        <f>VLOOKUP(Tabela26[[#This Row],[EMP]],[1]LOJA!$A:$B,2,0)</f>
        <v>LUZIÂNIA</v>
      </c>
      <c r="E629">
        <v>192</v>
      </c>
      <c r="F629" t="s">
        <v>7009</v>
      </c>
      <c r="G629" t="s">
        <v>7008</v>
      </c>
      <c r="H629" t="s">
        <v>3430</v>
      </c>
      <c r="I629">
        <v>5405</v>
      </c>
      <c r="J629" s="3">
        <v>340.77</v>
      </c>
      <c r="K629" s="3">
        <v>135.25</v>
      </c>
      <c r="L629">
        <v>60.31</v>
      </c>
    </row>
    <row r="630" spans="1:12">
      <c r="A630" s="1">
        <v>46028</v>
      </c>
      <c r="B630" t="s">
        <v>12161</v>
      </c>
      <c r="C630">
        <v>24</v>
      </c>
      <c r="D630" t="str">
        <f>VLOOKUP(Tabela26[[#This Row],[EMP]],[1]LOJA!$A:$B,2,0)</f>
        <v>LUZIÂNIA</v>
      </c>
      <c r="E630">
        <v>242</v>
      </c>
      <c r="F630" t="s">
        <v>12160</v>
      </c>
      <c r="G630" t="s">
        <v>12159</v>
      </c>
      <c r="H630" t="s">
        <v>3430</v>
      </c>
      <c r="I630">
        <v>5405</v>
      </c>
      <c r="J630" s="3">
        <v>1300</v>
      </c>
      <c r="K630" s="3">
        <v>686.11</v>
      </c>
      <c r="L630">
        <v>47.22</v>
      </c>
    </row>
    <row r="631" spans="1:12">
      <c r="A631" s="1">
        <v>46028</v>
      </c>
      <c r="B631" t="s">
        <v>12158</v>
      </c>
      <c r="C631">
        <v>24</v>
      </c>
      <c r="D631" t="str">
        <f>VLOOKUP(Tabela26[[#This Row],[EMP]],[1]LOJA!$A:$B,2,0)</f>
        <v>LUZIÂNIA</v>
      </c>
      <c r="E631">
        <v>150</v>
      </c>
      <c r="F631" t="s">
        <v>4282</v>
      </c>
      <c r="G631" t="s">
        <v>4281</v>
      </c>
      <c r="H631" t="s">
        <v>3430</v>
      </c>
      <c r="I631">
        <v>5102</v>
      </c>
      <c r="J631" s="3">
        <v>121</v>
      </c>
      <c r="K631" s="3">
        <v>60.97</v>
      </c>
      <c r="L631">
        <v>49.61</v>
      </c>
    </row>
    <row r="632" spans="1:12">
      <c r="A632" s="1">
        <v>46028</v>
      </c>
      <c r="B632" t="s">
        <v>12157</v>
      </c>
      <c r="C632">
        <v>24</v>
      </c>
      <c r="D632" t="str">
        <f>VLOOKUP(Tabela26[[#This Row],[EMP]],[1]LOJA!$A:$B,2,0)</f>
        <v>LUZIÂNIA</v>
      </c>
      <c r="E632">
        <v>192</v>
      </c>
      <c r="F632" t="s">
        <v>4286</v>
      </c>
      <c r="G632" t="s">
        <v>4285</v>
      </c>
      <c r="H632" t="s">
        <v>3430</v>
      </c>
      <c r="I632">
        <v>5405</v>
      </c>
      <c r="J632" s="3">
        <v>119.6</v>
      </c>
      <c r="K632" s="3">
        <v>50.52</v>
      </c>
      <c r="L632">
        <v>57.76</v>
      </c>
    </row>
    <row r="633" spans="1:12">
      <c r="A633" s="1">
        <v>46028</v>
      </c>
      <c r="B633" t="s">
        <v>12156</v>
      </c>
      <c r="C633">
        <v>24</v>
      </c>
      <c r="D633" t="str">
        <f>VLOOKUP(Tabela26[[#This Row],[EMP]],[1]LOJA!$A:$B,2,0)</f>
        <v>LUZIÂNIA</v>
      </c>
      <c r="E633">
        <v>150</v>
      </c>
      <c r="F633" t="s">
        <v>4279</v>
      </c>
      <c r="G633" t="s">
        <v>4278</v>
      </c>
      <c r="H633" t="s">
        <v>3430</v>
      </c>
      <c r="I633">
        <v>5405</v>
      </c>
      <c r="J633" s="3">
        <v>449.6</v>
      </c>
      <c r="K633" s="3">
        <v>234.89</v>
      </c>
      <c r="L633">
        <v>47.76</v>
      </c>
    </row>
    <row r="634" spans="1:12">
      <c r="A634" s="1">
        <v>46028</v>
      </c>
      <c r="B634" t="s">
        <v>12155</v>
      </c>
      <c r="C634">
        <v>24</v>
      </c>
      <c r="D634" t="str">
        <f>VLOOKUP(Tabela26[[#This Row],[EMP]],[1]LOJA!$A:$B,2,0)</f>
        <v>LUZIÂNIA</v>
      </c>
      <c r="E634">
        <v>192</v>
      </c>
      <c r="F634" t="s">
        <v>3545</v>
      </c>
      <c r="G634" t="s">
        <v>3544</v>
      </c>
      <c r="H634" t="s">
        <v>3430</v>
      </c>
      <c r="I634">
        <v>5405</v>
      </c>
      <c r="J634" s="3">
        <v>318</v>
      </c>
      <c r="K634" s="3">
        <v>159.63999999999999</v>
      </c>
      <c r="L634">
        <v>49.8</v>
      </c>
    </row>
    <row r="635" spans="1:12">
      <c r="A635" s="1">
        <v>46028</v>
      </c>
      <c r="B635" t="s">
        <v>12154</v>
      </c>
      <c r="C635">
        <v>24</v>
      </c>
      <c r="D635" t="str">
        <f>VLOOKUP(Tabela26[[#This Row],[EMP]],[1]LOJA!$A:$B,2,0)</f>
        <v>LUZIÂNIA</v>
      </c>
      <c r="E635">
        <v>192</v>
      </c>
      <c r="F635" t="s">
        <v>4943</v>
      </c>
      <c r="G635" t="s">
        <v>4942</v>
      </c>
      <c r="H635" t="s">
        <v>6563</v>
      </c>
      <c r="I635">
        <v>5102</v>
      </c>
      <c r="J635" s="3">
        <v>768</v>
      </c>
      <c r="K635" s="3">
        <v>481.02</v>
      </c>
      <c r="L635">
        <v>37.369999999999997</v>
      </c>
    </row>
    <row r="636" spans="1:12">
      <c r="A636" s="1">
        <v>46028</v>
      </c>
      <c r="B636" t="s">
        <v>12153</v>
      </c>
      <c r="C636">
        <v>24</v>
      </c>
      <c r="D636" t="str">
        <f>VLOOKUP(Tabela26[[#This Row],[EMP]],[1]LOJA!$A:$B,2,0)</f>
        <v>LUZIÂNIA</v>
      </c>
      <c r="E636">
        <v>192</v>
      </c>
      <c r="F636" t="s">
        <v>4276</v>
      </c>
      <c r="G636" t="s">
        <v>4275</v>
      </c>
      <c r="H636" t="s">
        <v>3520</v>
      </c>
      <c r="I636">
        <v>5102</v>
      </c>
      <c r="J636" s="3">
        <v>45</v>
      </c>
      <c r="K636" s="3">
        <v>28.11</v>
      </c>
      <c r="L636">
        <v>37.53</v>
      </c>
    </row>
    <row r="637" spans="1:12">
      <c r="A637" s="1">
        <v>46028</v>
      </c>
      <c r="B637" t="s">
        <v>12152</v>
      </c>
      <c r="C637">
        <v>24</v>
      </c>
      <c r="D637" t="str">
        <f>VLOOKUP(Tabela26[[#This Row],[EMP]],[1]LOJA!$A:$B,2,0)</f>
        <v>LUZIÂNIA</v>
      </c>
      <c r="E637">
        <v>192</v>
      </c>
      <c r="F637" t="s">
        <v>8940</v>
      </c>
      <c r="G637" t="s">
        <v>8939</v>
      </c>
      <c r="H637" t="s">
        <v>3408</v>
      </c>
      <c r="I637">
        <v>5102</v>
      </c>
      <c r="J637" s="3">
        <v>52.5</v>
      </c>
      <c r="K637" s="3">
        <v>27.47</v>
      </c>
      <c r="L637">
        <v>47.68</v>
      </c>
    </row>
    <row r="638" spans="1:12">
      <c r="A638" s="1">
        <v>46028</v>
      </c>
      <c r="B638" t="s">
        <v>12151</v>
      </c>
      <c r="C638">
        <v>24</v>
      </c>
      <c r="D638" t="str">
        <f>VLOOKUP(Tabela26[[#This Row],[EMP]],[1]LOJA!$A:$B,2,0)</f>
        <v>LUZIÂNIA</v>
      </c>
      <c r="E638">
        <v>192</v>
      </c>
      <c r="F638" t="s">
        <v>4946</v>
      </c>
      <c r="G638" t="s">
        <v>4945</v>
      </c>
      <c r="H638" t="s">
        <v>3430</v>
      </c>
      <c r="I638">
        <v>5405</v>
      </c>
      <c r="J638" s="3">
        <v>517.09</v>
      </c>
      <c r="K638" s="3">
        <v>260.77</v>
      </c>
      <c r="L638">
        <v>49.57</v>
      </c>
    </row>
    <row r="639" spans="1:12">
      <c r="A639" s="1">
        <v>46028</v>
      </c>
      <c r="B639" t="s">
        <v>12150</v>
      </c>
      <c r="C639">
        <v>16</v>
      </c>
      <c r="D639" t="str">
        <f>VLOOKUP(Tabela26[[#This Row],[EMP]],[1]LOJA!$A:$B,2,0)</f>
        <v>AG LINDAS</v>
      </c>
      <c r="E639">
        <v>240</v>
      </c>
      <c r="F639" t="s">
        <v>9357</v>
      </c>
      <c r="G639" t="s">
        <v>9356</v>
      </c>
      <c r="H639" t="s">
        <v>3430</v>
      </c>
      <c r="I639">
        <v>6108</v>
      </c>
      <c r="J639" s="3">
        <v>39</v>
      </c>
      <c r="K639" s="3">
        <v>21.43</v>
      </c>
      <c r="L639">
        <v>45.05</v>
      </c>
    </row>
    <row r="640" spans="1:12">
      <c r="A640" s="1">
        <v>46028</v>
      </c>
      <c r="B640" t="s">
        <v>12149</v>
      </c>
      <c r="C640">
        <v>15</v>
      </c>
      <c r="D640" t="str">
        <f>VLOOKUP(Tabela26[[#This Row],[EMP]],[1]LOJA!$A:$B,2,0)</f>
        <v>UNAÍ</v>
      </c>
      <c r="E640">
        <v>183</v>
      </c>
      <c r="F640" t="s">
        <v>5469</v>
      </c>
      <c r="G640" t="s">
        <v>5468</v>
      </c>
      <c r="H640" t="s">
        <v>3408</v>
      </c>
      <c r="I640">
        <v>5405</v>
      </c>
      <c r="J640" s="3">
        <v>3429.24</v>
      </c>
      <c r="K640" s="3">
        <v>1663.68</v>
      </c>
      <c r="L640">
        <v>51.49</v>
      </c>
    </row>
    <row r="641" spans="1:12">
      <c r="A641" s="1">
        <v>46028</v>
      </c>
      <c r="B641" t="s">
        <v>12148</v>
      </c>
      <c r="C641">
        <v>22</v>
      </c>
      <c r="D641" t="str">
        <f>VLOOKUP(Tabela26[[#This Row],[EMP]],[1]LOJA!$A:$B,2,0)</f>
        <v>GUARÁ</v>
      </c>
      <c r="E641">
        <v>93</v>
      </c>
      <c r="F641" t="s">
        <v>4246</v>
      </c>
      <c r="G641" t="s">
        <v>4245</v>
      </c>
      <c r="H641" t="s">
        <v>3430</v>
      </c>
      <c r="I641">
        <v>5405</v>
      </c>
      <c r="J641" s="3">
        <v>402.72</v>
      </c>
      <c r="K641" s="3">
        <v>211.22</v>
      </c>
      <c r="L641">
        <v>47.55</v>
      </c>
    </row>
    <row r="642" spans="1:12">
      <c r="A642" s="1">
        <v>46028</v>
      </c>
      <c r="B642" t="s">
        <v>12147</v>
      </c>
      <c r="C642">
        <v>22</v>
      </c>
      <c r="D642" t="str">
        <f>VLOOKUP(Tabela26[[#This Row],[EMP]],[1]LOJA!$A:$B,2,0)</f>
        <v>GUARÁ</v>
      </c>
      <c r="E642">
        <v>93</v>
      </c>
      <c r="F642" t="s">
        <v>3535</v>
      </c>
      <c r="G642" t="s">
        <v>3534</v>
      </c>
      <c r="H642" t="s">
        <v>5459</v>
      </c>
      <c r="I642">
        <v>5102</v>
      </c>
      <c r="J642" s="3">
        <v>169</v>
      </c>
      <c r="K642" s="3">
        <v>112.3</v>
      </c>
      <c r="L642">
        <v>33.549999999999997</v>
      </c>
    </row>
    <row r="643" spans="1:12">
      <c r="A643" s="1">
        <v>46028</v>
      </c>
      <c r="B643" t="s">
        <v>12146</v>
      </c>
      <c r="C643">
        <v>22</v>
      </c>
      <c r="D643" t="str">
        <f>VLOOKUP(Tabela26[[#This Row],[EMP]],[1]LOJA!$A:$B,2,0)</f>
        <v>GUARÁ</v>
      </c>
      <c r="E643">
        <v>16</v>
      </c>
      <c r="F643" t="s">
        <v>4151</v>
      </c>
      <c r="G643" t="s">
        <v>4150</v>
      </c>
      <c r="H643" t="s">
        <v>3401</v>
      </c>
      <c r="I643">
        <v>1202</v>
      </c>
      <c r="J643" s="3">
        <v>-2713</v>
      </c>
      <c r="K643" s="3">
        <v>-1764.5</v>
      </c>
      <c r="L643">
        <v>34.96</v>
      </c>
    </row>
    <row r="644" spans="1:12">
      <c r="A644" s="1">
        <v>46028</v>
      </c>
      <c r="B644" t="s">
        <v>12145</v>
      </c>
      <c r="C644">
        <v>24</v>
      </c>
      <c r="D644" t="str">
        <f>VLOOKUP(Tabela26[[#This Row],[EMP]],[1]LOJA!$A:$B,2,0)</f>
        <v>LUZIÂNIA</v>
      </c>
      <c r="E644">
        <v>242</v>
      </c>
      <c r="F644" t="s">
        <v>3524</v>
      </c>
      <c r="G644" t="s">
        <v>3402</v>
      </c>
      <c r="H644" t="s">
        <v>3401</v>
      </c>
      <c r="I644">
        <v>5102</v>
      </c>
      <c r="J644" s="3">
        <v>19</v>
      </c>
      <c r="K644" s="3">
        <v>8.69</v>
      </c>
      <c r="L644">
        <v>54.26</v>
      </c>
    </row>
    <row r="645" spans="1:12">
      <c r="A645" s="1">
        <v>46028</v>
      </c>
      <c r="B645" t="s">
        <v>12144</v>
      </c>
      <c r="C645">
        <v>24</v>
      </c>
      <c r="D645" t="str">
        <f>VLOOKUP(Tabela26[[#This Row],[EMP]],[1]LOJA!$A:$B,2,0)</f>
        <v>LUZIÂNIA</v>
      </c>
      <c r="E645">
        <v>192</v>
      </c>
      <c r="F645" t="s">
        <v>3524</v>
      </c>
      <c r="G645" t="s">
        <v>3402</v>
      </c>
      <c r="H645" t="s">
        <v>3401</v>
      </c>
      <c r="I645">
        <v>5102</v>
      </c>
      <c r="J645" s="3">
        <v>58</v>
      </c>
      <c r="K645" s="3">
        <v>29.1</v>
      </c>
      <c r="L645">
        <v>49.83</v>
      </c>
    </row>
    <row r="646" spans="1:12">
      <c r="A646" s="1">
        <v>46028</v>
      </c>
      <c r="B646" t="s">
        <v>12143</v>
      </c>
      <c r="C646">
        <v>24</v>
      </c>
      <c r="D646" t="str">
        <f>VLOOKUP(Tabela26[[#This Row],[EMP]],[1]LOJA!$A:$B,2,0)</f>
        <v>LUZIÂNIA</v>
      </c>
      <c r="E646">
        <v>150</v>
      </c>
      <c r="F646" t="s">
        <v>4233</v>
      </c>
      <c r="G646" t="s">
        <v>3437</v>
      </c>
      <c r="H646" t="s">
        <v>3408</v>
      </c>
      <c r="I646">
        <v>5102</v>
      </c>
      <c r="J646" s="3">
        <v>16</v>
      </c>
      <c r="K646" s="3">
        <v>7.82</v>
      </c>
      <c r="L646">
        <v>51.13</v>
      </c>
    </row>
    <row r="647" spans="1:12">
      <c r="A647" s="1">
        <v>46028</v>
      </c>
      <c r="B647" t="s">
        <v>12142</v>
      </c>
      <c r="C647">
        <v>24</v>
      </c>
      <c r="D647" t="str">
        <f>VLOOKUP(Tabela26[[#This Row],[EMP]],[1]LOJA!$A:$B,2,0)</f>
        <v>LUZIÂNIA</v>
      </c>
      <c r="E647">
        <v>192</v>
      </c>
      <c r="F647" t="s">
        <v>5917</v>
      </c>
      <c r="G647" t="s">
        <v>5916</v>
      </c>
      <c r="H647" t="s">
        <v>3401</v>
      </c>
      <c r="I647">
        <v>5102</v>
      </c>
      <c r="J647" s="3">
        <v>27</v>
      </c>
      <c r="K647" s="3">
        <v>12.8</v>
      </c>
      <c r="L647">
        <v>52.59</v>
      </c>
    </row>
    <row r="648" spans="1:12">
      <c r="A648" s="1">
        <v>46028</v>
      </c>
      <c r="B648" t="s">
        <v>12141</v>
      </c>
      <c r="C648">
        <v>24</v>
      </c>
      <c r="D648" t="str">
        <f>VLOOKUP(Tabela26[[#This Row],[EMP]],[1]LOJA!$A:$B,2,0)</f>
        <v>LUZIÂNIA</v>
      </c>
      <c r="E648">
        <v>150</v>
      </c>
      <c r="F648" t="s">
        <v>5406</v>
      </c>
      <c r="G648" t="s">
        <v>3402</v>
      </c>
      <c r="H648" t="s">
        <v>3408</v>
      </c>
      <c r="I648">
        <v>5405</v>
      </c>
      <c r="J648" s="3">
        <v>130</v>
      </c>
      <c r="K648" s="3">
        <v>67.08</v>
      </c>
      <c r="L648">
        <v>48.4</v>
      </c>
    </row>
    <row r="649" spans="1:12">
      <c r="A649" s="1">
        <v>46028</v>
      </c>
      <c r="B649" t="s">
        <v>12140</v>
      </c>
      <c r="C649">
        <v>24</v>
      </c>
      <c r="D649" t="str">
        <f>VLOOKUP(Tabela26[[#This Row],[EMP]],[1]LOJA!$A:$B,2,0)</f>
        <v>LUZIÂNIA</v>
      </c>
      <c r="E649">
        <v>150</v>
      </c>
      <c r="F649" t="s">
        <v>4201</v>
      </c>
      <c r="G649" t="s">
        <v>4200</v>
      </c>
      <c r="H649" t="s">
        <v>3408</v>
      </c>
      <c r="I649">
        <v>5102</v>
      </c>
      <c r="J649" s="3">
        <v>225</v>
      </c>
      <c r="K649" s="3">
        <v>123.67</v>
      </c>
      <c r="L649">
        <v>45.04</v>
      </c>
    </row>
    <row r="650" spans="1:12">
      <c r="A650" s="1">
        <v>46028</v>
      </c>
      <c r="B650" t="s">
        <v>12139</v>
      </c>
      <c r="C650">
        <v>24</v>
      </c>
      <c r="D650" t="str">
        <f>VLOOKUP(Tabela26[[#This Row],[EMP]],[1]LOJA!$A:$B,2,0)</f>
        <v>LUZIÂNIA</v>
      </c>
      <c r="E650">
        <v>150</v>
      </c>
      <c r="F650" t="s">
        <v>12138</v>
      </c>
      <c r="G650" t="s">
        <v>12137</v>
      </c>
      <c r="H650" t="s">
        <v>3408</v>
      </c>
      <c r="I650">
        <v>5102</v>
      </c>
      <c r="J650" s="3">
        <v>63</v>
      </c>
      <c r="K650" s="3">
        <v>27.71</v>
      </c>
      <c r="L650">
        <v>56.02</v>
      </c>
    </row>
    <row r="651" spans="1:12">
      <c r="A651" s="1">
        <v>46028</v>
      </c>
      <c r="B651" t="s">
        <v>12136</v>
      </c>
      <c r="C651">
        <v>24</v>
      </c>
      <c r="D651" t="str">
        <f>VLOOKUP(Tabela26[[#This Row],[EMP]],[1]LOJA!$A:$B,2,0)</f>
        <v>LUZIÂNIA</v>
      </c>
      <c r="E651">
        <v>192</v>
      </c>
      <c r="F651" t="s">
        <v>4197</v>
      </c>
      <c r="G651" t="s">
        <v>4196</v>
      </c>
      <c r="H651" t="s">
        <v>3401</v>
      </c>
      <c r="I651">
        <v>5405</v>
      </c>
      <c r="J651" s="3">
        <v>95</v>
      </c>
      <c r="K651" s="3">
        <v>43.55</v>
      </c>
      <c r="L651">
        <v>54.16</v>
      </c>
    </row>
    <row r="652" spans="1:12">
      <c r="A652" s="1">
        <v>46028</v>
      </c>
      <c r="B652" t="s">
        <v>12135</v>
      </c>
      <c r="C652">
        <v>24</v>
      </c>
      <c r="D652" t="str">
        <f>VLOOKUP(Tabela26[[#This Row],[EMP]],[1]LOJA!$A:$B,2,0)</f>
        <v>LUZIÂNIA</v>
      </c>
      <c r="E652">
        <v>242</v>
      </c>
      <c r="F652" t="s">
        <v>8532</v>
      </c>
      <c r="G652" t="s">
        <v>3402</v>
      </c>
      <c r="H652" t="s">
        <v>3401</v>
      </c>
      <c r="I652">
        <v>5102</v>
      </c>
      <c r="J652" s="3">
        <v>60</v>
      </c>
      <c r="K652" s="3">
        <v>41.63</v>
      </c>
      <c r="L652">
        <v>30.62</v>
      </c>
    </row>
    <row r="653" spans="1:12">
      <c r="A653" s="1">
        <v>46028</v>
      </c>
      <c r="B653" t="s">
        <v>12134</v>
      </c>
      <c r="C653">
        <v>24</v>
      </c>
      <c r="D653" t="str">
        <f>VLOOKUP(Tabela26[[#This Row],[EMP]],[1]LOJA!$A:$B,2,0)</f>
        <v>LUZIÂNIA</v>
      </c>
      <c r="E653">
        <v>192</v>
      </c>
      <c r="F653" t="s">
        <v>4270</v>
      </c>
      <c r="G653" t="s">
        <v>4269</v>
      </c>
      <c r="H653" t="s">
        <v>3430</v>
      </c>
      <c r="I653">
        <v>5102</v>
      </c>
      <c r="J653" s="3">
        <v>346.8</v>
      </c>
      <c r="K653" s="3">
        <v>223.92</v>
      </c>
      <c r="L653">
        <v>35.43</v>
      </c>
    </row>
    <row r="654" spans="1:12">
      <c r="A654" s="1">
        <v>46028</v>
      </c>
      <c r="B654" t="s">
        <v>12133</v>
      </c>
      <c r="C654">
        <v>24</v>
      </c>
      <c r="D654" t="str">
        <f>VLOOKUP(Tabela26[[#This Row],[EMP]],[1]LOJA!$A:$B,2,0)</f>
        <v>LUZIÂNIA</v>
      </c>
      <c r="E654">
        <v>150</v>
      </c>
      <c r="F654" t="s">
        <v>4176</v>
      </c>
      <c r="G654" t="s">
        <v>4175</v>
      </c>
      <c r="H654" t="s">
        <v>3408</v>
      </c>
      <c r="I654">
        <v>5102</v>
      </c>
      <c r="J654" s="3">
        <v>536.70000000000005</v>
      </c>
      <c r="K654" s="3">
        <v>324.45999999999998</v>
      </c>
      <c r="L654">
        <v>39.549999999999997</v>
      </c>
    </row>
    <row r="655" spans="1:12">
      <c r="A655" s="1">
        <v>46028</v>
      </c>
      <c r="B655" t="s">
        <v>12132</v>
      </c>
      <c r="C655">
        <v>24</v>
      </c>
      <c r="D655" t="str">
        <f>VLOOKUP(Tabela26[[#This Row],[EMP]],[1]LOJA!$A:$B,2,0)</f>
        <v>LUZIÂNIA</v>
      </c>
      <c r="E655">
        <v>150</v>
      </c>
      <c r="F655" t="s">
        <v>4857</v>
      </c>
      <c r="G655" t="s">
        <v>4856</v>
      </c>
      <c r="H655" t="s">
        <v>3401</v>
      </c>
      <c r="I655">
        <v>5405</v>
      </c>
      <c r="J655" s="3">
        <v>572.20000000000005</v>
      </c>
      <c r="K655" s="3">
        <v>277.44</v>
      </c>
      <c r="L655">
        <v>51.51</v>
      </c>
    </row>
    <row r="656" spans="1:12">
      <c r="A656" s="1">
        <v>46028</v>
      </c>
      <c r="B656" t="s">
        <v>12131</v>
      </c>
      <c r="C656">
        <v>24</v>
      </c>
      <c r="D656" t="str">
        <f>VLOOKUP(Tabela26[[#This Row],[EMP]],[1]LOJA!$A:$B,2,0)</f>
        <v>LUZIÂNIA</v>
      </c>
      <c r="E656">
        <v>192</v>
      </c>
      <c r="F656" t="s">
        <v>3524</v>
      </c>
      <c r="G656" t="s">
        <v>3402</v>
      </c>
      <c r="H656" t="s">
        <v>3401</v>
      </c>
      <c r="I656">
        <v>5405</v>
      </c>
      <c r="J656" s="3">
        <v>66</v>
      </c>
      <c r="K656" s="3">
        <v>32.130000000000003</v>
      </c>
      <c r="L656">
        <v>51.32</v>
      </c>
    </row>
    <row r="657" spans="1:12">
      <c r="A657" s="1">
        <v>46028</v>
      </c>
      <c r="B657" t="s">
        <v>12130</v>
      </c>
      <c r="C657">
        <v>24</v>
      </c>
      <c r="D657" t="str">
        <f>VLOOKUP(Tabela26[[#This Row],[EMP]],[1]LOJA!$A:$B,2,0)</f>
        <v>LUZIÂNIA</v>
      </c>
      <c r="E657">
        <v>192</v>
      </c>
      <c r="F657" t="s">
        <v>3524</v>
      </c>
      <c r="G657" t="s">
        <v>3402</v>
      </c>
      <c r="H657" t="s">
        <v>3401</v>
      </c>
      <c r="I657">
        <v>5405</v>
      </c>
      <c r="J657" s="3">
        <v>60</v>
      </c>
      <c r="K657" s="3">
        <v>28.56</v>
      </c>
      <c r="L657">
        <v>52.4</v>
      </c>
    </row>
    <row r="658" spans="1:12">
      <c r="A658" s="1">
        <v>46028</v>
      </c>
      <c r="B658" t="s">
        <v>12129</v>
      </c>
      <c r="C658">
        <v>24</v>
      </c>
      <c r="D658" t="str">
        <f>VLOOKUP(Tabela26[[#This Row],[EMP]],[1]LOJA!$A:$B,2,0)</f>
        <v>LUZIÂNIA</v>
      </c>
      <c r="E658">
        <v>242</v>
      </c>
      <c r="F658" t="s">
        <v>4186</v>
      </c>
      <c r="G658" t="s">
        <v>3402</v>
      </c>
      <c r="H658" t="s">
        <v>3408</v>
      </c>
      <c r="I658">
        <v>5405</v>
      </c>
      <c r="J658" s="3">
        <v>378</v>
      </c>
      <c r="K658" s="3">
        <v>186.6</v>
      </c>
      <c r="L658">
        <v>50.63</v>
      </c>
    </row>
    <row r="659" spans="1:12">
      <c r="A659" s="1">
        <v>46028</v>
      </c>
      <c r="B659" t="s">
        <v>12128</v>
      </c>
      <c r="C659">
        <v>24</v>
      </c>
      <c r="D659" t="str">
        <f>VLOOKUP(Tabela26[[#This Row],[EMP]],[1]LOJA!$A:$B,2,0)</f>
        <v>LUZIÂNIA</v>
      </c>
      <c r="E659">
        <v>192</v>
      </c>
      <c r="F659" t="s">
        <v>4224</v>
      </c>
      <c r="G659" t="s">
        <v>3402</v>
      </c>
      <c r="H659" t="s">
        <v>3401</v>
      </c>
      <c r="I659">
        <v>5102</v>
      </c>
      <c r="J659" s="3">
        <v>468.8</v>
      </c>
      <c r="K659" s="3">
        <v>300.11</v>
      </c>
      <c r="L659">
        <v>35.979999999999997</v>
      </c>
    </row>
    <row r="660" spans="1:12">
      <c r="A660" s="1">
        <v>46028</v>
      </c>
      <c r="B660" t="s">
        <v>12127</v>
      </c>
      <c r="C660">
        <v>24</v>
      </c>
      <c r="D660" t="str">
        <f>VLOOKUP(Tabela26[[#This Row],[EMP]],[1]LOJA!$A:$B,2,0)</f>
        <v>LUZIÂNIA</v>
      </c>
      <c r="E660">
        <v>150</v>
      </c>
      <c r="F660" t="s">
        <v>3524</v>
      </c>
      <c r="G660" t="s">
        <v>3402</v>
      </c>
      <c r="H660" t="s">
        <v>3401</v>
      </c>
      <c r="I660">
        <v>5102</v>
      </c>
      <c r="J660" s="3">
        <v>40</v>
      </c>
      <c r="K660" s="3">
        <v>25.18</v>
      </c>
      <c r="L660">
        <v>37.049999999999997</v>
      </c>
    </row>
    <row r="661" spans="1:12">
      <c r="A661" s="1">
        <v>46028</v>
      </c>
      <c r="B661" t="s">
        <v>12126</v>
      </c>
      <c r="C661">
        <v>24</v>
      </c>
      <c r="D661" t="str">
        <f>VLOOKUP(Tabela26[[#This Row],[EMP]],[1]LOJA!$A:$B,2,0)</f>
        <v>LUZIÂNIA</v>
      </c>
      <c r="E661">
        <v>150</v>
      </c>
      <c r="F661" t="s">
        <v>3524</v>
      </c>
      <c r="G661" t="s">
        <v>3402</v>
      </c>
      <c r="H661" t="s">
        <v>3401</v>
      </c>
      <c r="I661">
        <v>5405</v>
      </c>
      <c r="J661" s="3">
        <v>85</v>
      </c>
      <c r="K661" s="3">
        <v>42.79</v>
      </c>
      <c r="L661">
        <v>49.66</v>
      </c>
    </row>
    <row r="662" spans="1:12">
      <c r="A662" s="1">
        <v>46028</v>
      </c>
      <c r="B662" t="s">
        <v>12125</v>
      </c>
      <c r="C662">
        <v>24</v>
      </c>
      <c r="D662" t="str">
        <f>VLOOKUP(Tabela26[[#This Row],[EMP]],[1]LOJA!$A:$B,2,0)</f>
        <v>LUZIÂNIA</v>
      </c>
      <c r="E662">
        <v>150</v>
      </c>
      <c r="F662" t="s">
        <v>4201</v>
      </c>
      <c r="G662" t="s">
        <v>4200</v>
      </c>
      <c r="H662" t="s">
        <v>3408</v>
      </c>
      <c r="I662">
        <v>5102</v>
      </c>
      <c r="J662" s="3">
        <v>125</v>
      </c>
      <c r="K662" s="3">
        <v>60.97</v>
      </c>
      <c r="L662">
        <v>51.22</v>
      </c>
    </row>
    <row r="663" spans="1:12">
      <c r="A663" s="1">
        <v>46028</v>
      </c>
      <c r="B663" t="s">
        <v>12124</v>
      </c>
      <c r="C663">
        <v>24</v>
      </c>
      <c r="D663" t="str">
        <f>VLOOKUP(Tabela26[[#This Row],[EMP]],[1]LOJA!$A:$B,2,0)</f>
        <v>LUZIÂNIA</v>
      </c>
      <c r="E663">
        <v>150</v>
      </c>
      <c r="F663" t="s">
        <v>5426</v>
      </c>
      <c r="G663" t="s">
        <v>5425</v>
      </c>
      <c r="H663" t="s">
        <v>3401</v>
      </c>
      <c r="I663">
        <v>5102</v>
      </c>
      <c r="J663" s="3">
        <v>12</v>
      </c>
      <c r="K663" s="3">
        <v>7.08</v>
      </c>
      <c r="L663">
        <v>41</v>
      </c>
    </row>
    <row r="664" spans="1:12">
      <c r="A664" s="1">
        <v>46028</v>
      </c>
      <c r="B664" t="s">
        <v>12123</v>
      </c>
      <c r="C664">
        <v>24</v>
      </c>
      <c r="D664" t="str">
        <f>VLOOKUP(Tabela26[[#This Row],[EMP]],[1]LOJA!$A:$B,2,0)</f>
        <v>LUZIÂNIA</v>
      </c>
      <c r="E664">
        <v>192</v>
      </c>
      <c r="F664" t="s">
        <v>7503</v>
      </c>
      <c r="G664" t="s">
        <v>7502</v>
      </c>
      <c r="H664" t="s">
        <v>3408</v>
      </c>
      <c r="I664">
        <v>5405</v>
      </c>
      <c r="J664" s="3">
        <v>350</v>
      </c>
      <c r="K664" s="3">
        <v>185.18</v>
      </c>
      <c r="L664">
        <v>47.09</v>
      </c>
    </row>
    <row r="665" spans="1:12">
      <c r="A665" s="1">
        <v>46028</v>
      </c>
      <c r="B665" t="s">
        <v>12122</v>
      </c>
      <c r="C665">
        <v>24</v>
      </c>
      <c r="D665" t="str">
        <f>VLOOKUP(Tabela26[[#This Row],[EMP]],[1]LOJA!$A:$B,2,0)</f>
        <v>LUZIÂNIA</v>
      </c>
      <c r="E665">
        <v>192</v>
      </c>
      <c r="F665" t="s">
        <v>3524</v>
      </c>
      <c r="G665" t="s">
        <v>3402</v>
      </c>
      <c r="H665" t="s">
        <v>3401</v>
      </c>
      <c r="I665">
        <v>5102</v>
      </c>
      <c r="J665" s="3">
        <v>18</v>
      </c>
      <c r="K665" s="3">
        <v>9.24</v>
      </c>
      <c r="L665">
        <v>48.67</v>
      </c>
    </row>
    <row r="666" spans="1:12">
      <c r="A666" s="1">
        <v>46028</v>
      </c>
      <c r="B666" t="s">
        <v>12121</v>
      </c>
      <c r="C666">
        <v>24</v>
      </c>
      <c r="D666" t="str">
        <f>VLOOKUP(Tabela26[[#This Row],[EMP]],[1]LOJA!$A:$B,2,0)</f>
        <v>LUZIÂNIA</v>
      </c>
      <c r="E666">
        <v>242</v>
      </c>
      <c r="F666" t="s">
        <v>3524</v>
      </c>
      <c r="G666" t="s">
        <v>3402</v>
      </c>
      <c r="H666" t="s">
        <v>3401</v>
      </c>
      <c r="I666">
        <v>5405</v>
      </c>
      <c r="J666" s="3">
        <v>43</v>
      </c>
      <c r="K666" s="3">
        <v>20.79</v>
      </c>
      <c r="L666">
        <v>51.65</v>
      </c>
    </row>
    <row r="667" spans="1:12">
      <c r="A667" s="1">
        <v>46028</v>
      </c>
      <c r="B667" t="s">
        <v>12120</v>
      </c>
      <c r="C667">
        <v>24</v>
      </c>
      <c r="D667" t="str">
        <f>VLOOKUP(Tabela26[[#This Row],[EMP]],[1]LOJA!$A:$B,2,0)</f>
        <v>LUZIÂNIA</v>
      </c>
      <c r="E667">
        <v>192</v>
      </c>
      <c r="F667" t="s">
        <v>3524</v>
      </c>
      <c r="G667" t="s">
        <v>3402</v>
      </c>
      <c r="H667" t="s">
        <v>3401</v>
      </c>
      <c r="I667">
        <v>5102</v>
      </c>
      <c r="J667" s="3">
        <v>348</v>
      </c>
      <c r="K667" s="3">
        <v>164.78</v>
      </c>
      <c r="L667">
        <v>52.65</v>
      </c>
    </row>
    <row r="668" spans="1:12">
      <c r="A668" s="1">
        <v>46028</v>
      </c>
      <c r="B668" t="s">
        <v>12119</v>
      </c>
      <c r="C668">
        <v>24</v>
      </c>
      <c r="D668" t="str">
        <f>VLOOKUP(Tabela26[[#This Row],[EMP]],[1]LOJA!$A:$B,2,0)</f>
        <v>LUZIÂNIA</v>
      </c>
      <c r="E668">
        <v>192</v>
      </c>
      <c r="F668" t="s">
        <v>5391</v>
      </c>
      <c r="G668" t="s">
        <v>3402</v>
      </c>
      <c r="H668" t="s">
        <v>3401</v>
      </c>
      <c r="I668">
        <v>5102</v>
      </c>
      <c r="J668" s="3">
        <v>57</v>
      </c>
      <c r="K668" s="3">
        <v>32.47</v>
      </c>
      <c r="L668">
        <v>43.04</v>
      </c>
    </row>
    <row r="669" spans="1:12">
      <c r="A669" s="1">
        <v>46028</v>
      </c>
      <c r="B669" t="s">
        <v>12118</v>
      </c>
      <c r="C669">
        <v>24</v>
      </c>
      <c r="D669" t="str">
        <f>VLOOKUP(Tabela26[[#This Row],[EMP]],[1]LOJA!$A:$B,2,0)</f>
        <v>LUZIÂNIA</v>
      </c>
      <c r="E669">
        <v>192</v>
      </c>
      <c r="F669" t="s">
        <v>5902</v>
      </c>
      <c r="G669" t="s">
        <v>5901</v>
      </c>
      <c r="H669" t="s">
        <v>3408</v>
      </c>
      <c r="I669">
        <v>5405</v>
      </c>
      <c r="J669" s="3">
        <v>118</v>
      </c>
      <c r="K669" s="3">
        <v>54.48</v>
      </c>
      <c r="L669">
        <v>53.83</v>
      </c>
    </row>
    <row r="670" spans="1:12">
      <c r="A670" s="1">
        <v>46028</v>
      </c>
      <c r="B670" t="s">
        <v>12117</v>
      </c>
      <c r="C670">
        <v>24</v>
      </c>
      <c r="D670" t="str">
        <f>VLOOKUP(Tabela26[[#This Row],[EMP]],[1]LOJA!$A:$B,2,0)</f>
        <v>LUZIÂNIA</v>
      </c>
      <c r="E670">
        <v>242</v>
      </c>
      <c r="F670" t="s">
        <v>12116</v>
      </c>
      <c r="G670" t="s">
        <v>3402</v>
      </c>
      <c r="H670" t="s">
        <v>3401</v>
      </c>
      <c r="I670">
        <v>5102</v>
      </c>
      <c r="J670" s="3">
        <v>725</v>
      </c>
      <c r="K670" s="3">
        <v>388.06</v>
      </c>
      <c r="L670">
        <v>46.47</v>
      </c>
    </row>
    <row r="671" spans="1:12">
      <c r="A671" s="1">
        <v>46028</v>
      </c>
      <c r="B671" t="s">
        <v>12115</v>
      </c>
      <c r="C671">
        <v>24</v>
      </c>
      <c r="D671" t="str">
        <f>VLOOKUP(Tabela26[[#This Row],[EMP]],[1]LOJA!$A:$B,2,0)</f>
        <v>LUZIÂNIA</v>
      </c>
      <c r="E671">
        <v>242</v>
      </c>
      <c r="F671" t="s">
        <v>12114</v>
      </c>
      <c r="G671" t="s">
        <v>3402</v>
      </c>
      <c r="H671" t="s">
        <v>3408</v>
      </c>
      <c r="I671">
        <v>5102</v>
      </c>
      <c r="J671" s="3">
        <v>280</v>
      </c>
      <c r="K671" s="3">
        <v>169.76</v>
      </c>
      <c r="L671">
        <v>39.369999999999997</v>
      </c>
    </row>
    <row r="672" spans="1:12">
      <c r="A672" s="1">
        <v>46028</v>
      </c>
      <c r="B672" t="s">
        <v>12113</v>
      </c>
      <c r="C672">
        <v>24</v>
      </c>
      <c r="D672" t="str">
        <f>VLOOKUP(Tabela26[[#This Row],[EMP]],[1]LOJA!$A:$B,2,0)</f>
        <v>LUZIÂNIA</v>
      </c>
      <c r="E672">
        <v>150</v>
      </c>
      <c r="F672" t="s">
        <v>5111</v>
      </c>
      <c r="G672" t="s">
        <v>3402</v>
      </c>
      <c r="H672" t="s">
        <v>3408</v>
      </c>
      <c r="I672">
        <v>5405</v>
      </c>
      <c r="J672" s="3">
        <v>160</v>
      </c>
      <c r="K672" s="3">
        <v>76.239999999999995</v>
      </c>
      <c r="L672">
        <v>52.35</v>
      </c>
    </row>
    <row r="673" spans="1:12">
      <c r="A673" s="1">
        <v>46028</v>
      </c>
      <c r="B673" t="s">
        <v>12112</v>
      </c>
      <c r="C673">
        <v>24</v>
      </c>
      <c r="D673" t="str">
        <f>VLOOKUP(Tabela26[[#This Row],[EMP]],[1]LOJA!$A:$B,2,0)</f>
        <v>LUZIÂNIA</v>
      </c>
      <c r="E673">
        <v>242</v>
      </c>
      <c r="F673" t="s">
        <v>3524</v>
      </c>
      <c r="G673" t="s">
        <v>3402</v>
      </c>
      <c r="H673" t="s">
        <v>3401</v>
      </c>
      <c r="I673">
        <v>5102</v>
      </c>
      <c r="J673" s="3">
        <v>12</v>
      </c>
      <c r="K673" s="3">
        <v>6</v>
      </c>
      <c r="L673">
        <v>50</v>
      </c>
    </row>
    <row r="674" spans="1:12">
      <c r="A674" s="1">
        <v>46028</v>
      </c>
      <c r="B674" t="s">
        <v>12111</v>
      </c>
      <c r="C674">
        <v>24</v>
      </c>
      <c r="D674" t="str">
        <f>VLOOKUP(Tabela26[[#This Row],[EMP]],[1]LOJA!$A:$B,2,0)</f>
        <v>LUZIÂNIA</v>
      </c>
      <c r="E674">
        <v>242</v>
      </c>
      <c r="F674" t="s">
        <v>3524</v>
      </c>
      <c r="G674" t="s">
        <v>3402</v>
      </c>
      <c r="H674" t="s">
        <v>3401</v>
      </c>
      <c r="I674">
        <v>5405</v>
      </c>
      <c r="J674" s="3">
        <v>90</v>
      </c>
      <c r="K674" s="3">
        <v>44.25</v>
      </c>
      <c r="L674">
        <v>50.83</v>
      </c>
    </row>
    <row r="675" spans="1:12">
      <c r="A675" s="1">
        <v>46028</v>
      </c>
      <c r="B675" t="s">
        <v>12110</v>
      </c>
      <c r="C675">
        <v>24</v>
      </c>
      <c r="D675" t="str">
        <f>VLOOKUP(Tabela26[[#This Row],[EMP]],[1]LOJA!$A:$B,2,0)</f>
        <v>LUZIÂNIA</v>
      </c>
      <c r="E675">
        <v>192</v>
      </c>
      <c r="F675" t="s">
        <v>3524</v>
      </c>
      <c r="G675" t="s">
        <v>3402</v>
      </c>
      <c r="H675" t="s">
        <v>3401</v>
      </c>
      <c r="I675">
        <v>5102</v>
      </c>
      <c r="J675" s="3">
        <v>44</v>
      </c>
      <c r="K675" s="3">
        <v>24.72</v>
      </c>
      <c r="L675">
        <v>43.82</v>
      </c>
    </row>
    <row r="676" spans="1:12">
      <c r="A676" s="1">
        <v>46028</v>
      </c>
      <c r="B676" t="s">
        <v>12109</v>
      </c>
      <c r="C676">
        <v>24</v>
      </c>
      <c r="D676" t="str">
        <f>VLOOKUP(Tabela26[[#This Row],[EMP]],[1]LOJA!$A:$B,2,0)</f>
        <v>LUZIÂNIA</v>
      </c>
      <c r="E676">
        <v>150</v>
      </c>
      <c r="F676" t="s">
        <v>5943</v>
      </c>
      <c r="G676" t="s">
        <v>5942</v>
      </c>
      <c r="H676" t="s">
        <v>3401</v>
      </c>
      <c r="I676">
        <v>5102</v>
      </c>
      <c r="J676" s="3">
        <v>37.700000000000003</v>
      </c>
      <c r="K676" s="3">
        <v>22.6</v>
      </c>
      <c r="L676">
        <v>40.049999999999997</v>
      </c>
    </row>
    <row r="677" spans="1:12">
      <c r="A677" s="1">
        <v>46028</v>
      </c>
      <c r="B677" t="s">
        <v>12108</v>
      </c>
      <c r="C677">
        <v>24</v>
      </c>
      <c r="D677" t="str">
        <f>VLOOKUP(Tabela26[[#This Row],[EMP]],[1]LOJA!$A:$B,2,0)</f>
        <v>LUZIÂNIA</v>
      </c>
      <c r="E677">
        <v>242</v>
      </c>
      <c r="F677" t="s">
        <v>3524</v>
      </c>
      <c r="G677" t="s">
        <v>3402</v>
      </c>
      <c r="H677" t="s">
        <v>3401</v>
      </c>
      <c r="I677">
        <v>5102</v>
      </c>
      <c r="J677" s="3">
        <v>248</v>
      </c>
      <c r="K677" s="3">
        <v>121.78</v>
      </c>
      <c r="L677">
        <v>50.9</v>
      </c>
    </row>
    <row r="678" spans="1:12">
      <c r="A678" s="1">
        <v>46028</v>
      </c>
      <c r="B678" t="s">
        <v>12107</v>
      </c>
      <c r="C678">
        <v>24</v>
      </c>
      <c r="D678" t="str">
        <f>VLOOKUP(Tabela26[[#This Row],[EMP]],[1]LOJA!$A:$B,2,0)</f>
        <v>LUZIÂNIA</v>
      </c>
      <c r="E678">
        <v>192</v>
      </c>
      <c r="F678" t="s">
        <v>5917</v>
      </c>
      <c r="G678" t="s">
        <v>5916</v>
      </c>
      <c r="H678" t="s">
        <v>3401</v>
      </c>
      <c r="I678">
        <v>5405</v>
      </c>
      <c r="J678" s="3">
        <v>65</v>
      </c>
      <c r="K678" s="3">
        <v>26.74</v>
      </c>
      <c r="L678">
        <v>58.86</v>
      </c>
    </row>
    <row r="679" spans="1:12">
      <c r="A679" s="1">
        <v>46028</v>
      </c>
      <c r="B679" t="s">
        <v>12106</v>
      </c>
      <c r="C679">
        <v>24</v>
      </c>
      <c r="D679" t="str">
        <f>VLOOKUP(Tabela26[[#This Row],[EMP]],[1]LOJA!$A:$B,2,0)</f>
        <v>LUZIÂNIA</v>
      </c>
      <c r="E679">
        <v>192</v>
      </c>
      <c r="F679" t="s">
        <v>3524</v>
      </c>
      <c r="G679" t="s">
        <v>3402</v>
      </c>
      <c r="H679" t="s">
        <v>3401</v>
      </c>
      <c r="I679">
        <v>5405</v>
      </c>
      <c r="J679" s="3">
        <v>27</v>
      </c>
      <c r="K679" s="3">
        <v>12.04</v>
      </c>
      <c r="L679">
        <v>55.41</v>
      </c>
    </row>
    <row r="680" spans="1:12">
      <c r="A680" s="1">
        <v>46028</v>
      </c>
      <c r="B680" t="s">
        <v>12105</v>
      </c>
      <c r="C680">
        <v>24</v>
      </c>
      <c r="D680" t="str">
        <f>VLOOKUP(Tabela26[[#This Row],[EMP]],[1]LOJA!$A:$B,2,0)</f>
        <v>LUZIÂNIA</v>
      </c>
      <c r="E680">
        <v>192</v>
      </c>
      <c r="F680" t="s">
        <v>4832</v>
      </c>
      <c r="G680" t="s">
        <v>4831</v>
      </c>
      <c r="H680" t="s">
        <v>3408</v>
      </c>
      <c r="I680">
        <v>5405</v>
      </c>
      <c r="J680" s="3">
        <v>152</v>
      </c>
      <c r="K680" s="3">
        <v>79.06</v>
      </c>
      <c r="L680">
        <v>47.99</v>
      </c>
    </row>
    <row r="681" spans="1:12">
      <c r="A681" s="1">
        <v>46028</v>
      </c>
      <c r="B681" t="s">
        <v>12104</v>
      </c>
      <c r="C681">
        <v>24</v>
      </c>
      <c r="D681" t="str">
        <f>VLOOKUP(Tabela26[[#This Row],[EMP]],[1]LOJA!$A:$B,2,0)</f>
        <v>LUZIÂNIA</v>
      </c>
      <c r="E681">
        <v>192</v>
      </c>
      <c r="F681" t="s">
        <v>3524</v>
      </c>
      <c r="G681" t="s">
        <v>3402</v>
      </c>
      <c r="H681" t="s">
        <v>3401</v>
      </c>
      <c r="I681">
        <v>5405</v>
      </c>
      <c r="J681" s="3">
        <v>188</v>
      </c>
      <c r="K681" s="3">
        <v>92.31</v>
      </c>
      <c r="L681">
        <v>50.9</v>
      </c>
    </row>
    <row r="682" spans="1:12">
      <c r="A682" s="1">
        <v>46028</v>
      </c>
      <c r="B682" t="s">
        <v>12103</v>
      </c>
      <c r="C682">
        <v>12</v>
      </c>
      <c r="D682" t="str">
        <f>VLOOKUP(Tabela26[[#This Row],[EMP]],[1]LOJA!$A:$B,2,0)</f>
        <v>SOFNORTE</v>
      </c>
      <c r="E682">
        <v>239</v>
      </c>
      <c r="F682" t="s">
        <v>3709</v>
      </c>
      <c r="G682" t="s">
        <v>3708</v>
      </c>
      <c r="H682" t="s">
        <v>8237</v>
      </c>
      <c r="I682">
        <v>5405</v>
      </c>
      <c r="J682" s="3">
        <v>529.9</v>
      </c>
      <c r="K682" s="3">
        <v>328.02</v>
      </c>
      <c r="L682">
        <v>38.1</v>
      </c>
    </row>
    <row r="683" spans="1:12">
      <c r="A683" s="1">
        <v>46028</v>
      </c>
      <c r="B683" t="s">
        <v>12102</v>
      </c>
      <c r="C683">
        <v>12</v>
      </c>
      <c r="D683" t="str">
        <f>VLOOKUP(Tabela26[[#This Row],[EMP]],[1]LOJA!$A:$B,2,0)</f>
        <v>SOFNORTE</v>
      </c>
      <c r="E683">
        <v>60</v>
      </c>
      <c r="F683" t="s">
        <v>3709</v>
      </c>
      <c r="G683" t="s">
        <v>3708</v>
      </c>
      <c r="H683" t="s">
        <v>8237</v>
      </c>
      <c r="I683">
        <v>5102</v>
      </c>
      <c r="J683" s="3">
        <v>256.42</v>
      </c>
      <c r="K683" s="3">
        <v>116.21</v>
      </c>
      <c r="L683">
        <v>54.68</v>
      </c>
    </row>
    <row r="684" spans="1:12">
      <c r="A684" s="1">
        <v>46028</v>
      </c>
      <c r="B684" t="s">
        <v>12101</v>
      </c>
      <c r="C684">
        <v>12</v>
      </c>
      <c r="D684" t="str">
        <f>VLOOKUP(Tabela26[[#This Row],[EMP]],[1]LOJA!$A:$B,2,0)</f>
        <v>SOFNORTE</v>
      </c>
      <c r="E684">
        <v>60</v>
      </c>
      <c r="F684" t="s">
        <v>3709</v>
      </c>
      <c r="G684" t="s">
        <v>3708</v>
      </c>
      <c r="H684" t="s">
        <v>8237</v>
      </c>
      <c r="I684">
        <v>5102</v>
      </c>
      <c r="J684" s="3">
        <v>78.3</v>
      </c>
      <c r="K684" s="3">
        <v>44</v>
      </c>
      <c r="L684">
        <v>43.81</v>
      </c>
    </row>
    <row r="685" spans="1:12">
      <c r="A685" s="1">
        <v>46028</v>
      </c>
      <c r="B685" t="s">
        <v>12100</v>
      </c>
      <c r="C685">
        <v>12</v>
      </c>
      <c r="D685" t="str">
        <f>VLOOKUP(Tabela26[[#This Row],[EMP]],[1]LOJA!$A:$B,2,0)</f>
        <v>SOFNORTE</v>
      </c>
      <c r="E685">
        <v>60</v>
      </c>
      <c r="F685" t="s">
        <v>3709</v>
      </c>
      <c r="G685" t="s">
        <v>3708</v>
      </c>
      <c r="H685" t="s">
        <v>8237</v>
      </c>
      <c r="I685">
        <v>5405</v>
      </c>
      <c r="J685" s="3">
        <v>44.43</v>
      </c>
      <c r="K685" s="3">
        <v>21.82</v>
      </c>
      <c r="L685">
        <v>50.89</v>
      </c>
    </row>
    <row r="686" spans="1:12">
      <c r="A686" s="1">
        <v>46028</v>
      </c>
      <c r="B686" t="s">
        <v>12099</v>
      </c>
      <c r="C686">
        <v>12</v>
      </c>
      <c r="D686" t="str">
        <f>VLOOKUP(Tabela26[[#This Row],[EMP]],[1]LOJA!$A:$B,2,0)</f>
        <v>SOFNORTE</v>
      </c>
      <c r="E686">
        <v>60</v>
      </c>
      <c r="F686" t="s">
        <v>4159</v>
      </c>
      <c r="G686" t="s">
        <v>4158</v>
      </c>
      <c r="H686" t="s">
        <v>3430</v>
      </c>
      <c r="I686">
        <v>5102</v>
      </c>
      <c r="J686" s="3">
        <v>77.92</v>
      </c>
      <c r="K686" s="3">
        <v>50.28</v>
      </c>
      <c r="L686">
        <v>35.47</v>
      </c>
    </row>
    <row r="687" spans="1:12">
      <c r="A687" s="1">
        <v>46028</v>
      </c>
      <c r="B687" t="s">
        <v>12098</v>
      </c>
      <c r="C687">
        <v>22</v>
      </c>
      <c r="D687" t="str">
        <f>VLOOKUP(Tabela26[[#This Row],[EMP]],[1]LOJA!$A:$B,2,0)</f>
        <v>GUARÁ</v>
      </c>
      <c r="E687">
        <v>93</v>
      </c>
      <c r="F687" t="s">
        <v>4151</v>
      </c>
      <c r="G687" t="s">
        <v>4150</v>
      </c>
      <c r="H687" t="s">
        <v>3430</v>
      </c>
      <c r="I687">
        <v>5405</v>
      </c>
      <c r="J687" s="3">
        <v>888.2</v>
      </c>
      <c r="K687" s="3">
        <v>465.6</v>
      </c>
      <c r="L687">
        <v>47.58</v>
      </c>
    </row>
    <row r="688" spans="1:12">
      <c r="A688" s="1">
        <v>46028</v>
      </c>
      <c r="B688" t="s">
        <v>12097</v>
      </c>
      <c r="C688">
        <v>22</v>
      </c>
      <c r="D688" t="str">
        <f>VLOOKUP(Tabela26[[#This Row],[EMP]],[1]LOJA!$A:$B,2,0)</f>
        <v>GUARÁ</v>
      </c>
      <c r="E688">
        <v>93</v>
      </c>
      <c r="F688" t="s">
        <v>4140</v>
      </c>
      <c r="G688" t="s">
        <v>4139</v>
      </c>
      <c r="H688" t="s">
        <v>3430</v>
      </c>
      <c r="I688">
        <v>5405</v>
      </c>
      <c r="J688" s="3">
        <v>263.94</v>
      </c>
      <c r="K688" s="3">
        <v>140.97</v>
      </c>
      <c r="L688">
        <v>46.59</v>
      </c>
    </row>
    <row r="689" spans="1:12">
      <c r="A689" s="1">
        <v>46028</v>
      </c>
      <c r="B689" t="s">
        <v>12096</v>
      </c>
      <c r="C689">
        <v>22</v>
      </c>
      <c r="D689" t="str">
        <f>VLOOKUP(Tabela26[[#This Row],[EMP]],[1]LOJA!$A:$B,2,0)</f>
        <v>GUARÁ</v>
      </c>
      <c r="E689">
        <v>93</v>
      </c>
      <c r="F689" t="s">
        <v>4805</v>
      </c>
      <c r="G689" t="s">
        <v>4804</v>
      </c>
      <c r="H689" t="s">
        <v>3430</v>
      </c>
      <c r="I689">
        <v>5102</v>
      </c>
      <c r="J689" s="3">
        <v>488.73</v>
      </c>
      <c r="K689" s="3">
        <v>292.19</v>
      </c>
      <c r="L689">
        <v>40.21</v>
      </c>
    </row>
    <row r="690" spans="1:12">
      <c r="A690" s="1">
        <v>46028</v>
      </c>
      <c r="B690" t="s">
        <v>12095</v>
      </c>
      <c r="C690">
        <v>22</v>
      </c>
      <c r="D690" t="str">
        <f>VLOOKUP(Tabela26[[#This Row],[EMP]],[1]LOJA!$A:$B,2,0)</f>
        <v>GUARÁ</v>
      </c>
      <c r="E690">
        <v>93</v>
      </c>
      <c r="F690" t="s">
        <v>4136</v>
      </c>
      <c r="G690" t="s">
        <v>4135</v>
      </c>
      <c r="H690" t="s">
        <v>3430</v>
      </c>
      <c r="I690">
        <v>5405</v>
      </c>
      <c r="J690" s="3">
        <v>224</v>
      </c>
      <c r="K690" s="3">
        <v>124.87</v>
      </c>
      <c r="L690">
        <v>44.25</v>
      </c>
    </row>
    <row r="691" spans="1:12">
      <c r="A691" s="1">
        <v>46028</v>
      </c>
      <c r="B691" t="s">
        <v>12094</v>
      </c>
      <c r="C691">
        <v>22</v>
      </c>
      <c r="D691" t="str">
        <f>VLOOKUP(Tabela26[[#This Row],[EMP]],[1]LOJA!$A:$B,2,0)</f>
        <v>GUARÁ</v>
      </c>
      <c r="E691">
        <v>93</v>
      </c>
      <c r="F691" t="s">
        <v>4151</v>
      </c>
      <c r="G691" t="s">
        <v>4150</v>
      </c>
      <c r="H691" t="s">
        <v>3430</v>
      </c>
      <c r="I691">
        <v>5405</v>
      </c>
      <c r="J691" s="3">
        <v>90.06</v>
      </c>
      <c r="K691" s="3">
        <v>43.41</v>
      </c>
      <c r="L691">
        <v>51.8</v>
      </c>
    </row>
    <row r="692" spans="1:12">
      <c r="A692" s="1">
        <v>46028</v>
      </c>
      <c r="B692" t="s">
        <v>12093</v>
      </c>
      <c r="C692">
        <v>22</v>
      </c>
      <c r="D692" t="str">
        <f>VLOOKUP(Tabela26[[#This Row],[EMP]],[1]LOJA!$A:$B,2,0)</f>
        <v>GUARÁ</v>
      </c>
      <c r="E692">
        <v>93</v>
      </c>
      <c r="F692" t="s">
        <v>4151</v>
      </c>
      <c r="G692" t="s">
        <v>4150</v>
      </c>
      <c r="H692" t="s">
        <v>3430</v>
      </c>
      <c r="I692">
        <v>5102</v>
      </c>
      <c r="J692" s="3">
        <v>300.12</v>
      </c>
      <c r="K692" s="3">
        <v>150.84</v>
      </c>
      <c r="L692">
        <v>49.74</v>
      </c>
    </row>
    <row r="693" spans="1:12">
      <c r="A693" s="1">
        <v>46028</v>
      </c>
      <c r="B693" t="s">
        <v>12092</v>
      </c>
      <c r="C693">
        <v>22</v>
      </c>
      <c r="D693" t="str">
        <f>VLOOKUP(Tabela26[[#This Row],[EMP]],[1]LOJA!$A:$B,2,0)</f>
        <v>GUARÁ</v>
      </c>
      <c r="E693">
        <v>93</v>
      </c>
      <c r="F693" t="s">
        <v>3508</v>
      </c>
      <c r="G693" t="s">
        <v>3507</v>
      </c>
      <c r="H693" t="s">
        <v>3430</v>
      </c>
      <c r="I693">
        <v>5405</v>
      </c>
      <c r="J693" s="3">
        <v>41.9</v>
      </c>
      <c r="K693" s="3">
        <v>20.94</v>
      </c>
      <c r="L693">
        <v>50.02</v>
      </c>
    </row>
    <row r="694" spans="1:12">
      <c r="A694" s="1">
        <v>46028</v>
      </c>
      <c r="B694" t="s">
        <v>12091</v>
      </c>
      <c r="C694">
        <v>13</v>
      </c>
      <c r="D694" t="str">
        <f>VLOOKUP(Tabela26[[#This Row],[EMP]],[1]LOJA!$A:$B,2,0)</f>
        <v>CEILÂNDIA</v>
      </c>
      <c r="E694">
        <v>33</v>
      </c>
      <c r="F694" t="s">
        <v>4792</v>
      </c>
      <c r="G694" t="s">
        <v>4791</v>
      </c>
      <c r="H694" t="s">
        <v>8237</v>
      </c>
      <c r="I694">
        <v>5405</v>
      </c>
      <c r="J694" s="3">
        <v>623.82000000000005</v>
      </c>
      <c r="K694" s="3">
        <v>377.56</v>
      </c>
      <c r="L694">
        <v>39.479999999999997</v>
      </c>
    </row>
    <row r="695" spans="1:12">
      <c r="A695" s="1">
        <v>46028</v>
      </c>
      <c r="B695" t="s">
        <v>12090</v>
      </c>
      <c r="C695">
        <v>13</v>
      </c>
      <c r="D695" t="str">
        <f>VLOOKUP(Tabela26[[#This Row],[EMP]],[1]LOJA!$A:$B,2,0)</f>
        <v>CEILÂNDIA</v>
      </c>
      <c r="E695">
        <v>33</v>
      </c>
      <c r="F695" t="s">
        <v>4792</v>
      </c>
      <c r="G695" t="s">
        <v>4791</v>
      </c>
      <c r="H695" t="s">
        <v>8237</v>
      </c>
      <c r="I695">
        <v>5102</v>
      </c>
      <c r="J695" s="3">
        <v>239.9</v>
      </c>
      <c r="K695" s="3">
        <v>175.44</v>
      </c>
      <c r="L695">
        <v>26.87</v>
      </c>
    </row>
    <row r="696" spans="1:12">
      <c r="A696" s="1">
        <v>46028</v>
      </c>
      <c r="B696" t="s">
        <v>12089</v>
      </c>
      <c r="C696">
        <v>13</v>
      </c>
      <c r="D696" t="str">
        <f>VLOOKUP(Tabela26[[#This Row],[EMP]],[1]LOJA!$A:$B,2,0)</f>
        <v>CEILÂNDIA</v>
      </c>
      <c r="E696">
        <v>86</v>
      </c>
      <c r="F696" t="s">
        <v>4118</v>
      </c>
      <c r="G696" t="s">
        <v>4117</v>
      </c>
      <c r="H696" t="s">
        <v>3430</v>
      </c>
      <c r="I696">
        <v>5102</v>
      </c>
      <c r="J696" s="3">
        <v>169.68</v>
      </c>
      <c r="K696" s="3">
        <v>94.78</v>
      </c>
      <c r="L696">
        <v>44.14</v>
      </c>
    </row>
    <row r="697" spans="1:12">
      <c r="A697" s="1">
        <v>46028</v>
      </c>
      <c r="B697" t="s">
        <v>12088</v>
      </c>
      <c r="C697">
        <v>13</v>
      </c>
      <c r="D697" t="str">
        <f>VLOOKUP(Tabela26[[#This Row],[EMP]],[1]LOJA!$A:$B,2,0)</f>
        <v>CEILÂNDIA</v>
      </c>
      <c r="E697">
        <v>33</v>
      </c>
      <c r="F697" t="s">
        <v>10135</v>
      </c>
      <c r="G697" t="s">
        <v>10134</v>
      </c>
      <c r="H697" t="s">
        <v>3430</v>
      </c>
      <c r="I697">
        <v>5102</v>
      </c>
      <c r="J697" s="3">
        <v>346.4</v>
      </c>
      <c r="K697" s="3">
        <v>246.4</v>
      </c>
      <c r="L697">
        <v>28.87</v>
      </c>
    </row>
    <row r="698" spans="1:12">
      <c r="A698" s="1">
        <v>46028</v>
      </c>
      <c r="B698" t="s">
        <v>12087</v>
      </c>
      <c r="C698">
        <v>13</v>
      </c>
      <c r="D698" t="str">
        <f>VLOOKUP(Tabela26[[#This Row],[EMP]],[1]LOJA!$A:$B,2,0)</f>
        <v>CEILÂNDIA</v>
      </c>
      <c r="E698">
        <v>86</v>
      </c>
      <c r="F698" t="s">
        <v>12086</v>
      </c>
      <c r="G698" t="s">
        <v>12085</v>
      </c>
      <c r="H698" t="s">
        <v>3430</v>
      </c>
      <c r="I698">
        <v>5405</v>
      </c>
      <c r="J698" s="3">
        <v>147.69999999999999</v>
      </c>
      <c r="K698" s="3">
        <v>86.26</v>
      </c>
      <c r="L698">
        <v>41.6</v>
      </c>
    </row>
    <row r="699" spans="1:12">
      <c r="A699" s="1">
        <v>46028</v>
      </c>
      <c r="B699" t="s">
        <v>12084</v>
      </c>
      <c r="C699">
        <v>13</v>
      </c>
      <c r="D699" t="str">
        <f>VLOOKUP(Tabela26[[#This Row],[EMP]],[1]LOJA!$A:$B,2,0)</f>
        <v>CEILÂNDIA</v>
      </c>
      <c r="E699">
        <v>86</v>
      </c>
      <c r="F699" t="s">
        <v>4118</v>
      </c>
      <c r="G699" t="s">
        <v>4117</v>
      </c>
      <c r="H699" t="s">
        <v>3430</v>
      </c>
      <c r="I699">
        <v>5405</v>
      </c>
      <c r="J699" s="3">
        <v>53.06</v>
      </c>
      <c r="K699" s="3">
        <v>25.43</v>
      </c>
      <c r="L699">
        <v>52.07</v>
      </c>
    </row>
    <row r="700" spans="1:12">
      <c r="A700" s="1">
        <v>46028</v>
      </c>
      <c r="B700" t="s">
        <v>12083</v>
      </c>
      <c r="C700">
        <v>13</v>
      </c>
      <c r="D700" t="str">
        <f>VLOOKUP(Tabela26[[#This Row],[EMP]],[1]LOJA!$A:$B,2,0)</f>
        <v>CEILÂNDIA</v>
      </c>
      <c r="E700">
        <v>86</v>
      </c>
      <c r="F700" t="s">
        <v>6884</v>
      </c>
      <c r="G700" t="s">
        <v>6883</v>
      </c>
      <c r="H700" t="s">
        <v>3430</v>
      </c>
      <c r="I700">
        <v>5102</v>
      </c>
      <c r="J700" s="3">
        <v>113.92</v>
      </c>
      <c r="K700" s="3">
        <v>60.2</v>
      </c>
      <c r="L700">
        <v>47.16</v>
      </c>
    </row>
    <row r="701" spans="1:12">
      <c r="A701" s="1">
        <v>46028</v>
      </c>
      <c r="B701" t="s">
        <v>12082</v>
      </c>
      <c r="C701">
        <v>13</v>
      </c>
      <c r="D701" t="str">
        <f>VLOOKUP(Tabela26[[#This Row],[EMP]],[1]LOJA!$A:$B,2,0)</f>
        <v>CEILÂNDIA</v>
      </c>
      <c r="E701">
        <v>86</v>
      </c>
      <c r="F701" t="s">
        <v>4133</v>
      </c>
      <c r="G701" t="s">
        <v>4132</v>
      </c>
      <c r="H701" t="s">
        <v>3430</v>
      </c>
      <c r="I701">
        <v>5405</v>
      </c>
      <c r="J701" s="3">
        <v>55.35</v>
      </c>
      <c r="K701" s="3">
        <v>27.86</v>
      </c>
      <c r="L701">
        <v>49.67</v>
      </c>
    </row>
    <row r="702" spans="1:12">
      <c r="A702" s="1">
        <v>46028</v>
      </c>
      <c r="B702" t="s">
        <v>12081</v>
      </c>
      <c r="C702">
        <v>13</v>
      </c>
      <c r="D702" t="str">
        <f>VLOOKUP(Tabela26[[#This Row],[EMP]],[1]LOJA!$A:$B,2,0)</f>
        <v>CEILÂNDIA</v>
      </c>
      <c r="E702">
        <v>33</v>
      </c>
      <c r="F702" t="s">
        <v>4792</v>
      </c>
      <c r="G702" t="s">
        <v>4791</v>
      </c>
      <c r="H702" t="s">
        <v>8237</v>
      </c>
      <c r="I702">
        <v>5405</v>
      </c>
      <c r="J702" s="3">
        <v>60</v>
      </c>
      <c r="K702" s="3">
        <v>26.79</v>
      </c>
      <c r="L702">
        <v>55.35</v>
      </c>
    </row>
    <row r="703" spans="1:12">
      <c r="A703" s="1">
        <v>46028</v>
      </c>
      <c r="B703" t="s">
        <v>12080</v>
      </c>
      <c r="C703">
        <v>13</v>
      </c>
      <c r="D703" t="str">
        <f>VLOOKUP(Tabela26[[#This Row],[EMP]],[1]LOJA!$A:$B,2,0)</f>
        <v>CEILÂNDIA</v>
      </c>
      <c r="E703">
        <v>86</v>
      </c>
      <c r="F703" t="s">
        <v>4118</v>
      </c>
      <c r="G703" t="s">
        <v>4117</v>
      </c>
      <c r="H703" t="s">
        <v>3430</v>
      </c>
      <c r="I703">
        <v>5102</v>
      </c>
      <c r="J703" s="3">
        <v>79.66</v>
      </c>
      <c r="K703" s="3">
        <v>38.880000000000003</v>
      </c>
      <c r="L703">
        <v>51.19</v>
      </c>
    </row>
    <row r="704" spans="1:12">
      <c r="A704" s="1">
        <v>46028</v>
      </c>
      <c r="B704" t="s">
        <v>12079</v>
      </c>
      <c r="C704">
        <v>13</v>
      </c>
      <c r="D704" t="str">
        <f>VLOOKUP(Tabela26[[#This Row],[EMP]],[1]LOJA!$A:$B,2,0)</f>
        <v>CEILÂNDIA</v>
      </c>
      <c r="E704">
        <v>86</v>
      </c>
      <c r="F704" t="s">
        <v>5339</v>
      </c>
      <c r="G704" t="s">
        <v>5338</v>
      </c>
      <c r="H704" t="s">
        <v>3408</v>
      </c>
      <c r="I704">
        <v>5405</v>
      </c>
      <c r="J704" s="3">
        <v>400</v>
      </c>
      <c r="K704" s="3">
        <v>216.31</v>
      </c>
      <c r="L704">
        <v>45.92</v>
      </c>
    </row>
    <row r="705" spans="1:12">
      <c r="A705" s="1">
        <v>46028</v>
      </c>
      <c r="B705" t="s">
        <v>12078</v>
      </c>
      <c r="C705">
        <v>13</v>
      </c>
      <c r="D705" t="str">
        <f>VLOOKUP(Tabela26[[#This Row],[EMP]],[1]LOJA!$A:$B,2,0)</f>
        <v>CEILÂNDIA</v>
      </c>
      <c r="E705">
        <v>86</v>
      </c>
      <c r="F705" t="s">
        <v>4118</v>
      </c>
      <c r="G705" t="s">
        <v>4117</v>
      </c>
      <c r="H705" t="s">
        <v>3430</v>
      </c>
      <c r="I705">
        <v>5405</v>
      </c>
      <c r="J705" s="3">
        <v>89.8</v>
      </c>
      <c r="K705" s="3">
        <v>45.75</v>
      </c>
      <c r="L705">
        <v>49.05</v>
      </c>
    </row>
    <row r="706" spans="1:12">
      <c r="A706" s="1">
        <v>46028</v>
      </c>
      <c r="B706" t="s">
        <v>12077</v>
      </c>
      <c r="C706">
        <v>13</v>
      </c>
      <c r="D706" t="str">
        <f>VLOOKUP(Tabela26[[#This Row],[EMP]],[1]LOJA!$A:$B,2,0)</f>
        <v>CEILÂNDIA</v>
      </c>
      <c r="E706">
        <v>86</v>
      </c>
      <c r="F706" t="s">
        <v>4084</v>
      </c>
      <c r="G706" t="s">
        <v>4083</v>
      </c>
      <c r="H706" t="s">
        <v>3430</v>
      </c>
      <c r="I706">
        <v>5102</v>
      </c>
      <c r="J706" s="3">
        <v>207.38</v>
      </c>
      <c r="K706" s="3">
        <v>113.59</v>
      </c>
      <c r="L706">
        <v>45.23</v>
      </c>
    </row>
    <row r="707" spans="1:12">
      <c r="A707" s="1">
        <v>46028</v>
      </c>
      <c r="B707" t="s">
        <v>12076</v>
      </c>
      <c r="C707">
        <v>13</v>
      </c>
      <c r="D707" t="str">
        <f>VLOOKUP(Tabela26[[#This Row],[EMP]],[1]LOJA!$A:$B,2,0)</f>
        <v>CEILÂNDIA</v>
      </c>
      <c r="E707">
        <v>86</v>
      </c>
      <c r="F707" t="s">
        <v>4097</v>
      </c>
      <c r="G707" t="s">
        <v>4096</v>
      </c>
      <c r="H707" t="s">
        <v>3430</v>
      </c>
      <c r="I707">
        <v>5405</v>
      </c>
      <c r="J707" s="3">
        <v>151.37</v>
      </c>
      <c r="K707" s="3">
        <v>79.03</v>
      </c>
      <c r="L707">
        <v>47.79</v>
      </c>
    </row>
    <row r="708" spans="1:12">
      <c r="A708" s="1">
        <v>46028</v>
      </c>
      <c r="B708" t="s">
        <v>12075</v>
      </c>
      <c r="C708">
        <v>13</v>
      </c>
      <c r="D708" t="str">
        <f>VLOOKUP(Tabela26[[#This Row],[EMP]],[1]LOJA!$A:$B,2,0)</f>
        <v>CEILÂNDIA</v>
      </c>
      <c r="E708">
        <v>33</v>
      </c>
      <c r="F708" t="s">
        <v>5863</v>
      </c>
      <c r="G708" t="s">
        <v>5862</v>
      </c>
      <c r="H708" t="s">
        <v>3430</v>
      </c>
      <c r="I708">
        <v>5405</v>
      </c>
      <c r="J708" s="3">
        <v>1085.5</v>
      </c>
      <c r="K708" s="3">
        <v>604.33000000000004</v>
      </c>
      <c r="L708">
        <v>44.33</v>
      </c>
    </row>
    <row r="709" spans="1:12">
      <c r="A709" s="1">
        <v>46028</v>
      </c>
      <c r="B709" t="s">
        <v>12074</v>
      </c>
      <c r="C709">
        <v>13</v>
      </c>
      <c r="D709" t="str">
        <f>VLOOKUP(Tabela26[[#This Row],[EMP]],[1]LOJA!$A:$B,2,0)</f>
        <v>CEILÂNDIA</v>
      </c>
      <c r="E709">
        <v>33</v>
      </c>
      <c r="F709" t="s">
        <v>5863</v>
      </c>
      <c r="G709" t="s">
        <v>5862</v>
      </c>
      <c r="H709" t="s">
        <v>3430</v>
      </c>
      <c r="I709">
        <v>5102</v>
      </c>
      <c r="J709" s="3">
        <v>23.62</v>
      </c>
      <c r="K709" s="3">
        <v>12.57</v>
      </c>
      <c r="L709">
        <v>46.78</v>
      </c>
    </row>
    <row r="710" spans="1:12">
      <c r="A710" s="1">
        <v>46028</v>
      </c>
      <c r="B710" t="s">
        <v>12073</v>
      </c>
      <c r="C710">
        <v>13</v>
      </c>
      <c r="D710" t="str">
        <f>VLOOKUP(Tabela26[[#This Row],[EMP]],[1]LOJA!$A:$B,2,0)</f>
        <v>CEILÂNDIA</v>
      </c>
      <c r="E710">
        <v>33</v>
      </c>
      <c r="F710" t="s">
        <v>4764</v>
      </c>
      <c r="G710" t="s">
        <v>4763</v>
      </c>
      <c r="H710" t="s">
        <v>3430</v>
      </c>
      <c r="I710">
        <v>5405</v>
      </c>
      <c r="J710" s="3">
        <v>200</v>
      </c>
      <c r="K710" s="3">
        <v>101.54</v>
      </c>
      <c r="L710">
        <v>49.23</v>
      </c>
    </row>
    <row r="711" spans="1:12">
      <c r="A711" s="1">
        <v>46028</v>
      </c>
      <c r="B711" t="s">
        <v>12072</v>
      </c>
      <c r="C711">
        <v>13</v>
      </c>
      <c r="D711" t="str">
        <f>VLOOKUP(Tabela26[[#This Row],[EMP]],[1]LOJA!$A:$B,2,0)</f>
        <v>CEILÂNDIA</v>
      </c>
      <c r="E711">
        <v>33</v>
      </c>
      <c r="F711" t="s">
        <v>5863</v>
      </c>
      <c r="G711" t="s">
        <v>5862</v>
      </c>
      <c r="H711" t="s">
        <v>3430</v>
      </c>
      <c r="I711">
        <v>5102</v>
      </c>
      <c r="J711" s="3">
        <v>30.79</v>
      </c>
      <c r="K711" s="3">
        <v>19.260000000000002</v>
      </c>
      <c r="L711">
        <v>37.450000000000003</v>
      </c>
    </row>
    <row r="712" spans="1:12">
      <c r="A712" s="1">
        <v>46028</v>
      </c>
      <c r="B712" t="s">
        <v>12071</v>
      </c>
      <c r="C712">
        <v>13</v>
      </c>
      <c r="D712" t="str">
        <f>VLOOKUP(Tabela26[[#This Row],[EMP]],[1]LOJA!$A:$B,2,0)</f>
        <v>CEILÂNDIA</v>
      </c>
      <c r="E712">
        <v>33</v>
      </c>
      <c r="F712" t="s">
        <v>4764</v>
      </c>
      <c r="G712" t="s">
        <v>4763</v>
      </c>
      <c r="H712" t="s">
        <v>3430</v>
      </c>
      <c r="I712">
        <v>5102</v>
      </c>
      <c r="J712" s="3">
        <v>25.9</v>
      </c>
      <c r="K712" s="3">
        <v>13.96</v>
      </c>
      <c r="L712">
        <v>46.1</v>
      </c>
    </row>
    <row r="713" spans="1:12">
      <c r="A713" s="1">
        <v>46028</v>
      </c>
      <c r="B713" t="s">
        <v>12070</v>
      </c>
      <c r="C713">
        <v>13</v>
      </c>
      <c r="D713" t="str">
        <f>VLOOKUP(Tabela26[[#This Row],[EMP]],[1]LOJA!$A:$B,2,0)</f>
        <v>CEILÂNDIA</v>
      </c>
      <c r="E713">
        <v>33</v>
      </c>
      <c r="F713" t="s">
        <v>4781</v>
      </c>
      <c r="G713" t="s">
        <v>4780</v>
      </c>
      <c r="H713" t="s">
        <v>3430</v>
      </c>
      <c r="I713">
        <v>5102</v>
      </c>
      <c r="J713" s="3">
        <v>1173.32</v>
      </c>
      <c r="K713" s="3">
        <v>703.46</v>
      </c>
      <c r="L713">
        <v>40.049999999999997</v>
      </c>
    </row>
    <row r="714" spans="1:12">
      <c r="A714" s="1">
        <v>46028</v>
      </c>
      <c r="B714" t="s">
        <v>12069</v>
      </c>
      <c r="C714">
        <v>13</v>
      </c>
      <c r="D714" t="str">
        <f>VLOOKUP(Tabela26[[#This Row],[EMP]],[1]LOJA!$A:$B,2,0)</f>
        <v>CEILÂNDIA</v>
      </c>
      <c r="E714">
        <v>33</v>
      </c>
      <c r="F714" t="s">
        <v>11180</v>
      </c>
      <c r="G714" t="s">
        <v>11179</v>
      </c>
      <c r="H714" t="s">
        <v>3430</v>
      </c>
      <c r="I714">
        <v>5405</v>
      </c>
      <c r="J714" s="3">
        <v>5008.16</v>
      </c>
      <c r="K714" s="3">
        <v>3113.03</v>
      </c>
      <c r="L714">
        <v>37.840000000000003</v>
      </c>
    </row>
    <row r="715" spans="1:12">
      <c r="A715" s="1">
        <v>46028</v>
      </c>
      <c r="B715" t="s">
        <v>12068</v>
      </c>
      <c r="C715">
        <v>13</v>
      </c>
      <c r="D715" t="str">
        <f>VLOOKUP(Tabela26[[#This Row],[EMP]],[1]LOJA!$A:$B,2,0)</f>
        <v>CEILÂNDIA</v>
      </c>
      <c r="E715">
        <v>33</v>
      </c>
      <c r="F715" t="s">
        <v>3505</v>
      </c>
      <c r="G715" t="s">
        <v>3504</v>
      </c>
      <c r="H715" t="s">
        <v>3430</v>
      </c>
      <c r="I715">
        <v>5405</v>
      </c>
      <c r="J715" s="3">
        <v>75.819999999999993</v>
      </c>
      <c r="K715" s="3">
        <v>39.950000000000003</v>
      </c>
      <c r="L715">
        <v>47.31</v>
      </c>
    </row>
    <row r="716" spans="1:12">
      <c r="A716" s="1">
        <v>46028</v>
      </c>
      <c r="B716" t="s">
        <v>12067</v>
      </c>
      <c r="C716">
        <v>13</v>
      </c>
      <c r="D716" t="str">
        <f>VLOOKUP(Tabela26[[#This Row],[EMP]],[1]LOJA!$A:$B,2,0)</f>
        <v>CEILÂNDIA</v>
      </c>
      <c r="E716">
        <v>86</v>
      </c>
      <c r="F716" t="s">
        <v>4106</v>
      </c>
      <c r="G716" t="s">
        <v>4105</v>
      </c>
      <c r="H716" t="s">
        <v>3430</v>
      </c>
      <c r="I716">
        <v>5405</v>
      </c>
      <c r="J716" s="3">
        <v>92.29</v>
      </c>
      <c r="K716" s="3">
        <v>48.11</v>
      </c>
      <c r="L716">
        <v>47.87</v>
      </c>
    </row>
    <row r="717" spans="1:12">
      <c r="A717" s="1">
        <v>46028</v>
      </c>
      <c r="B717" t="s">
        <v>6875</v>
      </c>
      <c r="C717">
        <v>15</v>
      </c>
      <c r="D717" t="str">
        <f>VLOOKUP(Tabela26[[#This Row],[EMP]],[1]LOJA!$A:$B,2,0)</f>
        <v>UNAÍ</v>
      </c>
      <c r="E717">
        <v>183</v>
      </c>
      <c r="F717" t="s">
        <v>4740</v>
      </c>
      <c r="G717" t="s">
        <v>4739</v>
      </c>
      <c r="H717" t="s">
        <v>7043</v>
      </c>
      <c r="I717">
        <v>5102</v>
      </c>
      <c r="J717" s="3">
        <v>80</v>
      </c>
      <c r="K717" s="3">
        <v>47.38</v>
      </c>
      <c r="L717">
        <v>40.78</v>
      </c>
    </row>
    <row r="718" spans="1:12">
      <c r="A718" s="1">
        <v>46028</v>
      </c>
      <c r="B718" t="s">
        <v>6874</v>
      </c>
      <c r="C718">
        <v>15</v>
      </c>
      <c r="D718" t="str">
        <f>VLOOKUP(Tabela26[[#This Row],[EMP]],[1]LOJA!$A:$B,2,0)</f>
        <v>UNAÍ</v>
      </c>
      <c r="E718">
        <v>183</v>
      </c>
      <c r="F718" t="s">
        <v>3485</v>
      </c>
      <c r="G718" t="s">
        <v>3402</v>
      </c>
      <c r="H718" t="s">
        <v>3401</v>
      </c>
      <c r="I718">
        <v>5102</v>
      </c>
      <c r="J718" s="3">
        <v>368.8</v>
      </c>
      <c r="K718" s="3">
        <v>179.26</v>
      </c>
      <c r="L718">
        <v>51.39</v>
      </c>
    </row>
    <row r="719" spans="1:12">
      <c r="A719" s="1">
        <v>46028</v>
      </c>
      <c r="B719" t="s">
        <v>6873</v>
      </c>
      <c r="C719">
        <v>15</v>
      </c>
      <c r="D719" t="str">
        <f>VLOOKUP(Tabela26[[#This Row],[EMP]],[1]LOJA!$A:$B,2,0)</f>
        <v>UNAÍ</v>
      </c>
      <c r="E719">
        <v>183</v>
      </c>
      <c r="F719" t="s">
        <v>3485</v>
      </c>
      <c r="G719" t="s">
        <v>3402</v>
      </c>
      <c r="H719" t="s">
        <v>3401</v>
      </c>
      <c r="I719">
        <v>5102</v>
      </c>
      <c r="J719" s="3">
        <v>88.9</v>
      </c>
      <c r="K719" s="3">
        <v>45.79</v>
      </c>
      <c r="L719">
        <v>48.49</v>
      </c>
    </row>
    <row r="720" spans="1:12">
      <c r="A720" s="1">
        <v>46028</v>
      </c>
      <c r="B720" t="s">
        <v>6872</v>
      </c>
      <c r="C720">
        <v>15</v>
      </c>
      <c r="D720" t="str">
        <f>VLOOKUP(Tabela26[[#This Row],[EMP]],[1]LOJA!$A:$B,2,0)</f>
        <v>UNAÍ</v>
      </c>
      <c r="E720">
        <v>183</v>
      </c>
      <c r="F720" t="s">
        <v>3969</v>
      </c>
      <c r="G720" t="s">
        <v>3968</v>
      </c>
      <c r="H720" t="s">
        <v>3401</v>
      </c>
      <c r="I720">
        <v>5102</v>
      </c>
      <c r="J720" s="3">
        <v>67.7</v>
      </c>
      <c r="K720" s="3">
        <v>42.06</v>
      </c>
      <c r="L720">
        <v>37.869999999999997</v>
      </c>
    </row>
    <row r="721" spans="1:12">
      <c r="A721" s="1">
        <v>46028</v>
      </c>
      <c r="B721" t="s">
        <v>6871</v>
      </c>
      <c r="C721">
        <v>15</v>
      </c>
      <c r="D721" t="str">
        <f>VLOOKUP(Tabela26[[#This Row],[EMP]],[1]LOJA!$A:$B,2,0)</f>
        <v>UNAÍ</v>
      </c>
      <c r="E721">
        <v>183</v>
      </c>
      <c r="F721" t="s">
        <v>12066</v>
      </c>
      <c r="G721" t="s">
        <v>3402</v>
      </c>
      <c r="H721" t="s">
        <v>3401</v>
      </c>
      <c r="I721">
        <v>5102</v>
      </c>
      <c r="J721" s="3">
        <v>240</v>
      </c>
      <c r="K721" s="3">
        <v>138.22</v>
      </c>
      <c r="L721">
        <v>42.41</v>
      </c>
    </row>
    <row r="722" spans="1:12">
      <c r="A722" s="1">
        <v>46028</v>
      </c>
      <c r="B722" t="s">
        <v>6870</v>
      </c>
      <c r="C722">
        <v>15</v>
      </c>
      <c r="D722" t="str">
        <f>VLOOKUP(Tabela26[[#This Row],[EMP]],[1]LOJA!$A:$B,2,0)</f>
        <v>UNAÍ</v>
      </c>
      <c r="E722">
        <v>183</v>
      </c>
      <c r="F722" t="s">
        <v>3485</v>
      </c>
      <c r="G722" t="s">
        <v>3402</v>
      </c>
      <c r="H722" t="s">
        <v>3401</v>
      </c>
      <c r="I722">
        <v>5102</v>
      </c>
      <c r="J722" s="3">
        <v>7.2</v>
      </c>
      <c r="K722" s="3">
        <v>2.72</v>
      </c>
      <c r="L722">
        <v>62.22</v>
      </c>
    </row>
    <row r="723" spans="1:12">
      <c r="A723" s="1">
        <v>46028</v>
      </c>
      <c r="B723" t="s">
        <v>6869</v>
      </c>
      <c r="C723">
        <v>15</v>
      </c>
      <c r="D723" t="str">
        <f>VLOOKUP(Tabela26[[#This Row],[EMP]],[1]LOJA!$A:$B,2,0)</f>
        <v>UNAÍ</v>
      </c>
      <c r="E723">
        <v>183</v>
      </c>
      <c r="F723" t="s">
        <v>6601</v>
      </c>
      <c r="G723" t="s">
        <v>3402</v>
      </c>
      <c r="H723" t="s">
        <v>3408</v>
      </c>
      <c r="I723">
        <v>5102</v>
      </c>
      <c r="J723" s="3">
        <v>210.3</v>
      </c>
      <c r="K723" s="3">
        <v>101.91</v>
      </c>
      <c r="L723">
        <v>51.54</v>
      </c>
    </row>
    <row r="724" spans="1:12">
      <c r="A724" s="1">
        <v>46028</v>
      </c>
      <c r="B724" t="s">
        <v>6868</v>
      </c>
      <c r="C724">
        <v>15</v>
      </c>
      <c r="D724" t="str">
        <f>VLOOKUP(Tabela26[[#This Row],[EMP]],[1]LOJA!$A:$B,2,0)</f>
        <v>UNAÍ</v>
      </c>
      <c r="E724">
        <v>183</v>
      </c>
      <c r="F724" t="s">
        <v>3485</v>
      </c>
      <c r="G724" t="s">
        <v>3402</v>
      </c>
      <c r="H724" t="s">
        <v>3401</v>
      </c>
      <c r="I724">
        <v>5102</v>
      </c>
      <c r="J724" s="3">
        <v>13.4</v>
      </c>
      <c r="K724" s="3">
        <v>7.88</v>
      </c>
      <c r="L724">
        <v>41.19</v>
      </c>
    </row>
    <row r="725" spans="1:12">
      <c r="A725" s="1">
        <v>46028</v>
      </c>
      <c r="B725" t="s">
        <v>6867</v>
      </c>
      <c r="C725">
        <v>15</v>
      </c>
      <c r="D725" t="str">
        <f>VLOOKUP(Tabela26[[#This Row],[EMP]],[1]LOJA!$A:$B,2,0)</f>
        <v>UNAÍ</v>
      </c>
      <c r="E725">
        <v>183</v>
      </c>
      <c r="F725" t="s">
        <v>5763</v>
      </c>
      <c r="G725" t="s">
        <v>5762</v>
      </c>
      <c r="H725" t="s">
        <v>3401</v>
      </c>
      <c r="I725">
        <v>5405</v>
      </c>
      <c r="J725" s="3">
        <v>90</v>
      </c>
      <c r="K725" s="3">
        <v>44.53</v>
      </c>
      <c r="L725">
        <v>50.52</v>
      </c>
    </row>
    <row r="726" spans="1:12">
      <c r="A726" s="1">
        <v>46028</v>
      </c>
      <c r="B726" t="s">
        <v>6480</v>
      </c>
      <c r="C726">
        <v>15</v>
      </c>
      <c r="D726" t="str">
        <f>VLOOKUP(Tabela26[[#This Row],[EMP]],[1]LOJA!$A:$B,2,0)</f>
        <v>UNAÍ</v>
      </c>
      <c r="E726">
        <v>183</v>
      </c>
      <c r="F726" t="s">
        <v>12065</v>
      </c>
      <c r="G726" t="s">
        <v>3402</v>
      </c>
      <c r="H726" t="s">
        <v>3401</v>
      </c>
      <c r="I726">
        <v>5102</v>
      </c>
      <c r="J726" s="3">
        <v>204.5</v>
      </c>
      <c r="K726" s="3">
        <v>125.54</v>
      </c>
      <c r="L726">
        <v>38.61</v>
      </c>
    </row>
    <row r="727" spans="1:12">
      <c r="A727" s="1">
        <v>46028</v>
      </c>
      <c r="B727" t="s">
        <v>6479</v>
      </c>
      <c r="C727">
        <v>15</v>
      </c>
      <c r="D727" t="str">
        <f>VLOOKUP(Tabela26[[#This Row],[EMP]],[1]LOJA!$A:$B,2,0)</f>
        <v>UNAÍ</v>
      </c>
      <c r="E727">
        <v>183</v>
      </c>
      <c r="F727" t="s">
        <v>3485</v>
      </c>
      <c r="G727" t="s">
        <v>3402</v>
      </c>
      <c r="H727" t="s">
        <v>3401</v>
      </c>
      <c r="I727">
        <v>5102</v>
      </c>
      <c r="J727" s="3">
        <v>23.6</v>
      </c>
      <c r="K727" s="3">
        <v>12.01</v>
      </c>
      <c r="L727">
        <v>49.11</v>
      </c>
    </row>
    <row r="728" spans="1:12">
      <c r="A728" s="1">
        <v>46028</v>
      </c>
      <c r="B728" t="s">
        <v>6478</v>
      </c>
      <c r="C728">
        <v>15</v>
      </c>
      <c r="D728" t="str">
        <f>VLOOKUP(Tabela26[[#This Row],[EMP]],[1]LOJA!$A:$B,2,0)</f>
        <v>UNAÍ</v>
      </c>
      <c r="E728">
        <v>183</v>
      </c>
      <c r="F728" t="s">
        <v>3491</v>
      </c>
      <c r="G728" t="s">
        <v>3490</v>
      </c>
      <c r="H728" t="s">
        <v>3430</v>
      </c>
      <c r="I728">
        <v>5405</v>
      </c>
      <c r="J728" s="3">
        <v>3163.63</v>
      </c>
      <c r="K728" s="3">
        <v>1770.89</v>
      </c>
      <c r="L728">
        <v>44.02</v>
      </c>
    </row>
    <row r="729" spans="1:12">
      <c r="A729" s="1">
        <v>46028</v>
      </c>
      <c r="B729" t="s">
        <v>6477</v>
      </c>
      <c r="C729">
        <v>15</v>
      </c>
      <c r="D729" t="str">
        <f>VLOOKUP(Tabela26[[#This Row],[EMP]],[1]LOJA!$A:$B,2,0)</f>
        <v>UNAÍ</v>
      </c>
      <c r="E729">
        <v>183</v>
      </c>
      <c r="F729" t="s">
        <v>3485</v>
      </c>
      <c r="G729" t="s">
        <v>3402</v>
      </c>
      <c r="H729" t="s">
        <v>3401</v>
      </c>
      <c r="I729">
        <v>5102</v>
      </c>
      <c r="J729" s="3">
        <v>47.91</v>
      </c>
      <c r="K729" s="3">
        <v>21.03</v>
      </c>
      <c r="L729">
        <v>56.11</v>
      </c>
    </row>
    <row r="730" spans="1:12">
      <c r="A730" s="1">
        <v>46028</v>
      </c>
      <c r="B730" t="s">
        <v>12064</v>
      </c>
      <c r="C730">
        <v>15</v>
      </c>
      <c r="D730" t="str">
        <f>VLOOKUP(Tabela26[[#This Row],[EMP]],[1]LOJA!$A:$B,2,0)</f>
        <v>UNAÍ</v>
      </c>
      <c r="E730">
        <v>183</v>
      </c>
      <c r="F730" t="s">
        <v>3485</v>
      </c>
      <c r="G730" t="s">
        <v>3402</v>
      </c>
      <c r="H730" t="s">
        <v>3401</v>
      </c>
      <c r="I730">
        <v>5102</v>
      </c>
      <c r="J730" s="3">
        <v>52</v>
      </c>
      <c r="K730" s="3">
        <v>30.72</v>
      </c>
      <c r="L730">
        <v>40.92</v>
      </c>
    </row>
    <row r="731" spans="1:12">
      <c r="A731" s="1">
        <v>46028</v>
      </c>
      <c r="B731" t="s">
        <v>6476</v>
      </c>
      <c r="C731">
        <v>15</v>
      </c>
      <c r="D731" t="str">
        <f>VLOOKUP(Tabela26[[#This Row],[EMP]],[1]LOJA!$A:$B,2,0)</f>
        <v>UNAÍ</v>
      </c>
      <c r="E731">
        <v>183</v>
      </c>
      <c r="F731" t="s">
        <v>5496</v>
      </c>
      <c r="G731" t="s">
        <v>5495</v>
      </c>
      <c r="H731" t="s">
        <v>3401</v>
      </c>
      <c r="I731">
        <v>5102</v>
      </c>
      <c r="J731" s="3">
        <v>11.25</v>
      </c>
      <c r="K731" s="3">
        <v>6.02</v>
      </c>
      <c r="L731">
        <v>46.49</v>
      </c>
    </row>
    <row r="732" spans="1:12">
      <c r="A732" s="1">
        <v>46028</v>
      </c>
      <c r="B732" t="s">
        <v>6475</v>
      </c>
      <c r="C732">
        <v>15</v>
      </c>
      <c r="D732" t="str">
        <f>VLOOKUP(Tabela26[[#This Row],[EMP]],[1]LOJA!$A:$B,2,0)</f>
        <v>UNAÍ</v>
      </c>
      <c r="E732">
        <v>183</v>
      </c>
      <c r="F732" t="s">
        <v>3485</v>
      </c>
      <c r="G732" t="s">
        <v>3402</v>
      </c>
      <c r="H732" t="s">
        <v>3401</v>
      </c>
      <c r="I732">
        <v>5102</v>
      </c>
      <c r="J732" s="3">
        <v>7.65</v>
      </c>
      <c r="K732" s="3">
        <v>3.33</v>
      </c>
      <c r="L732">
        <v>56.47</v>
      </c>
    </row>
    <row r="733" spans="1:12">
      <c r="A733" s="1">
        <v>46028</v>
      </c>
      <c r="B733" t="s">
        <v>6474</v>
      </c>
      <c r="C733">
        <v>15</v>
      </c>
      <c r="D733" t="str">
        <f>VLOOKUP(Tabela26[[#This Row],[EMP]],[1]LOJA!$A:$B,2,0)</f>
        <v>UNAÍ</v>
      </c>
      <c r="E733">
        <v>183</v>
      </c>
      <c r="F733" t="s">
        <v>3485</v>
      </c>
      <c r="G733" t="s">
        <v>3402</v>
      </c>
      <c r="H733" t="s">
        <v>3401</v>
      </c>
      <c r="I733">
        <v>5102</v>
      </c>
      <c r="J733" s="3">
        <v>20.260000000000002</v>
      </c>
      <c r="K733" s="3">
        <v>7.01</v>
      </c>
      <c r="L733">
        <v>65.400000000000006</v>
      </c>
    </row>
    <row r="734" spans="1:12">
      <c r="A734" s="1">
        <v>46028</v>
      </c>
      <c r="B734" t="s">
        <v>6473</v>
      </c>
      <c r="C734">
        <v>15</v>
      </c>
      <c r="D734" t="str">
        <f>VLOOKUP(Tabela26[[#This Row],[EMP]],[1]LOJA!$A:$B,2,0)</f>
        <v>UNAÍ</v>
      </c>
      <c r="E734">
        <v>183</v>
      </c>
      <c r="F734" t="s">
        <v>3485</v>
      </c>
      <c r="G734" t="s">
        <v>3402</v>
      </c>
      <c r="H734" t="s">
        <v>3401</v>
      </c>
      <c r="I734">
        <v>5102</v>
      </c>
      <c r="J734" s="3">
        <v>11</v>
      </c>
      <c r="K734" s="3">
        <v>6.56</v>
      </c>
      <c r="L734">
        <v>40.36</v>
      </c>
    </row>
    <row r="735" spans="1:12">
      <c r="A735" s="1">
        <v>46028</v>
      </c>
      <c r="B735" t="s">
        <v>6472</v>
      </c>
      <c r="C735">
        <v>15</v>
      </c>
      <c r="D735" t="str">
        <f>VLOOKUP(Tabela26[[#This Row],[EMP]],[1]LOJA!$A:$B,2,0)</f>
        <v>UNAÍ</v>
      </c>
      <c r="E735">
        <v>183</v>
      </c>
      <c r="F735" t="s">
        <v>4681</v>
      </c>
      <c r="G735" t="s">
        <v>4680</v>
      </c>
      <c r="H735" t="s">
        <v>6563</v>
      </c>
      <c r="I735">
        <v>5102</v>
      </c>
      <c r="J735" s="3">
        <v>98.37</v>
      </c>
      <c r="K735" s="3">
        <v>53.81</v>
      </c>
      <c r="L735">
        <v>45.3</v>
      </c>
    </row>
    <row r="736" spans="1:12">
      <c r="A736" s="1">
        <v>46028</v>
      </c>
      <c r="B736" t="s">
        <v>6471</v>
      </c>
      <c r="C736">
        <v>15</v>
      </c>
      <c r="D736" t="str">
        <f>VLOOKUP(Tabela26[[#This Row],[EMP]],[1]LOJA!$A:$B,2,0)</f>
        <v>UNAÍ</v>
      </c>
      <c r="E736">
        <v>183</v>
      </c>
      <c r="F736" t="s">
        <v>4019</v>
      </c>
      <c r="G736" t="s">
        <v>4018</v>
      </c>
      <c r="H736" t="s">
        <v>6563</v>
      </c>
      <c r="I736">
        <v>5102</v>
      </c>
      <c r="J736" s="3">
        <v>479</v>
      </c>
      <c r="K736" s="3">
        <v>228.42</v>
      </c>
      <c r="L736">
        <v>52.31</v>
      </c>
    </row>
    <row r="737" spans="1:12">
      <c r="A737" s="1">
        <v>46028</v>
      </c>
      <c r="B737" t="s">
        <v>12063</v>
      </c>
      <c r="C737">
        <v>6</v>
      </c>
      <c r="D737" t="str">
        <f>VLOOKUP(Tabela26[[#This Row],[EMP]],[1]LOJA!$A:$B,2,0)</f>
        <v>GAMA</v>
      </c>
      <c r="E737">
        <v>226</v>
      </c>
      <c r="F737" t="s">
        <v>6827</v>
      </c>
      <c r="G737" t="s">
        <v>6826</v>
      </c>
      <c r="H737" t="s">
        <v>3430</v>
      </c>
      <c r="I737">
        <v>5405</v>
      </c>
      <c r="J737" s="3">
        <v>35</v>
      </c>
      <c r="K737" s="3">
        <v>16.190000000000001</v>
      </c>
      <c r="L737">
        <v>53.74</v>
      </c>
    </row>
    <row r="738" spans="1:12">
      <c r="A738" s="1">
        <v>46028</v>
      </c>
      <c r="B738" t="s">
        <v>12062</v>
      </c>
      <c r="C738">
        <v>6</v>
      </c>
      <c r="D738" t="str">
        <f>VLOOKUP(Tabela26[[#This Row],[EMP]],[1]LOJA!$A:$B,2,0)</f>
        <v>GAMA</v>
      </c>
      <c r="E738">
        <v>226</v>
      </c>
      <c r="F738" t="s">
        <v>8193</v>
      </c>
      <c r="G738" t="s">
        <v>8192</v>
      </c>
      <c r="H738" t="s">
        <v>3430</v>
      </c>
      <c r="I738">
        <v>5405</v>
      </c>
      <c r="J738" s="3">
        <v>529.9</v>
      </c>
      <c r="K738" s="3">
        <v>328.02</v>
      </c>
      <c r="L738">
        <v>38.1</v>
      </c>
    </row>
    <row r="739" spans="1:12">
      <c r="A739" s="1">
        <v>46028</v>
      </c>
      <c r="B739" t="s">
        <v>12061</v>
      </c>
      <c r="C739">
        <v>6</v>
      </c>
      <c r="D739" t="str">
        <f>VLOOKUP(Tabela26[[#This Row],[EMP]],[1]LOJA!$A:$B,2,0)</f>
        <v>GAMA</v>
      </c>
      <c r="E739">
        <v>226</v>
      </c>
      <c r="F739" t="s">
        <v>4004</v>
      </c>
      <c r="G739" t="s">
        <v>4003</v>
      </c>
      <c r="H739" t="s">
        <v>3430</v>
      </c>
      <c r="I739">
        <v>5102</v>
      </c>
      <c r="J739" s="3">
        <v>1205.3</v>
      </c>
      <c r="K739" s="3">
        <v>689.7</v>
      </c>
      <c r="L739">
        <v>42.78</v>
      </c>
    </row>
    <row r="740" spans="1:12">
      <c r="A740" s="1">
        <v>46028</v>
      </c>
      <c r="B740" t="s">
        <v>12060</v>
      </c>
      <c r="C740">
        <v>6</v>
      </c>
      <c r="D740" t="str">
        <f>VLOOKUP(Tabela26[[#This Row],[EMP]],[1]LOJA!$A:$B,2,0)</f>
        <v>GAMA</v>
      </c>
      <c r="E740">
        <v>226</v>
      </c>
      <c r="F740" t="s">
        <v>4013</v>
      </c>
      <c r="G740" t="s">
        <v>4012</v>
      </c>
      <c r="H740" t="s">
        <v>3430</v>
      </c>
      <c r="I740">
        <v>5102</v>
      </c>
      <c r="J740" s="3">
        <v>289.63</v>
      </c>
      <c r="K740" s="3">
        <v>160.76</v>
      </c>
      <c r="L740">
        <v>44.49</v>
      </c>
    </row>
    <row r="741" spans="1:12">
      <c r="A741" s="1">
        <v>46028</v>
      </c>
      <c r="B741" t="s">
        <v>12059</v>
      </c>
      <c r="C741">
        <v>6</v>
      </c>
      <c r="D741" t="str">
        <f>VLOOKUP(Tabela26[[#This Row],[EMP]],[1]LOJA!$A:$B,2,0)</f>
        <v>GAMA</v>
      </c>
      <c r="E741">
        <v>245</v>
      </c>
      <c r="F741" t="s">
        <v>4013</v>
      </c>
      <c r="G741" t="s">
        <v>4012</v>
      </c>
      <c r="H741" t="s">
        <v>3430</v>
      </c>
      <c r="I741">
        <v>5102</v>
      </c>
      <c r="J741" s="3">
        <v>317.64</v>
      </c>
      <c r="K741" s="3">
        <v>159.12</v>
      </c>
      <c r="L741">
        <v>49.91</v>
      </c>
    </row>
    <row r="742" spans="1:12">
      <c r="A742" s="1">
        <v>46028</v>
      </c>
      <c r="B742" t="s">
        <v>12058</v>
      </c>
      <c r="C742">
        <v>6</v>
      </c>
      <c r="D742" t="str">
        <f>VLOOKUP(Tabela26[[#This Row],[EMP]],[1]LOJA!$A:$B,2,0)</f>
        <v>GAMA</v>
      </c>
      <c r="E742">
        <v>245</v>
      </c>
      <c r="F742" t="s">
        <v>6827</v>
      </c>
      <c r="G742" t="s">
        <v>6826</v>
      </c>
      <c r="H742" t="s">
        <v>3430</v>
      </c>
      <c r="I742">
        <v>5405</v>
      </c>
      <c r="J742" s="3">
        <v>109.06</v>
      </c>
      <c r="K742" s="3">
        <v>49.62</v>
      </c>
      <c r="L742">
        <v>54.5</v>
      </c>
    </row>
    <row r="743" spans="1:12">
      <c r="A743" s="1">
        <v>46028</v>
      </c>
      <c r="B743" t="s">
        <v>12057</v>
      </c>
      <c r="C743">
        <v>14</v>
      </c>
      <c r="D743" t="str">
        <f>VLOOKUP(Tabela26[[#This Row],[EMP]],[1]LOJA!$A:$B,2,0)</f>
        <v>S IA</v>
      </c>
      <c r="E743">
        <v>212</v>
      </c>
      <c r="F743" t="s">
        <v>3403</v>
      </c>
      <c r="G743" t="s">
        <v>3402</v>
      </c>
      <c r="H743" t="s">
        <v>3401</v>
      </c>
      <c r="I743">
        <v>5405</v>
      </c>
      <c r="J743" s="3">
        <v>94</v>
      </c>
      <c r="K743" s="3">
        <v>44.48</v>
      </c>
      <c r="L743">
        <v>52.68</v>
      </c>
    </row>
    <row r="744" spans="1:12">
      <c r="A744" s="1">
        <v>46028</v>
      </c>
      <c r="B744" t="s">
        <v>12056</v>
      </c>
      <c r="C744">
        <v>14</v>
      </c>
      <c r="D744" t="str">
        <f>VLOOKUP(Tabela26[[#This Row],[EMP]],[1]LOJA!$A:$B,2,0)</f>
        <v>S IA</v>
      </c>
      <c r="E744">
        <v>54</v>
      </c>
      <c r="F744" t="s">
        <v>7320</v>
      </c>
      <c r="G744" t="s">
        <v>7319</v>
      </c>
      <c r="H744" t="s">
        <v>3430</v>
      </c>
      <c r="I744">
        <v>5405</v>
      </c>
      <c r="J744" s="3">
        <v>233.4</v>
      </c>
      <c r="K744" s="3">
        <v>138.66</v>
      </c>
      <c r="L744">
        <v>40.590000000000003</v>
      </c>
    </row>
    <row r="745" spans="1:12">
      <c r="A745" s="1">
        <v>46028</v>
      </c>
      <c r="B745" t="s">
        <v>12055</v>
      </c>
      <c r="C745">
        <v>14</v>
      </c>
      <c r="D745" t="str">
        <f>VLOOKUP(Tabela26[[#This Row],[EMP]],[1]LOJA!$A:$B,2,0)</f>
        <v>S IA</v>
      </c>
      <c r="E745">
        <v>212</v>
      </c>
      <c r="F745" t="s">
        <v>4159</v>
      </c>
      <c r="G745" t="s">
        <v>4158</v>
      </c>
      <c r="H745" t="s">
        <v>3430</v>
      </c>
      <c r="I745">
        <v>5405</v>
      </c>
      <c r="J745" s="3">
        <v>342.74</v>
      </c>
      <c r="K745" s="3">
        <v>189.73</v>
      </c>
      <c r="L745">
        <v>44.64</v>
      </c>
    </row>
    <row r="746" spans="1:12">
      <c r="A746" s="1">
        <v>46028</v>
      </c>
      <c r="B746" t="s">
        <v>12054</v>
      </c>
      <c r="C746">
        <v>14</v>
      </c>
      <c r="D746" t="str">
        <f>VLOOKUP(Tabela26[[#This Row],[EMP]],[1]LOJA!$A:$B,2,0)</f>
        <v>S IA</v>
      </c>
      <c r="E746">
        <v>212</v>
      </c>
      <c r="F746" t="s">
        <v>3403</v>
      </c>
      <c r="G746" t="s">
        <v>3402</v>
      </c>
      <c r="H746" t="s">
        <v>3401</v>
      </c>
      <c r="I746">
        <v>5405</v>
      </c>
      <c r="J746" s="3">
        <v>95</v>
      </c>
      <c r="K746" s="3">
        <v>36.89</v>
      </c>
      <c r="L746">
        <v>61.17</v>
      </c>
    </row>
    <row r="747" spans="1:12">
      <c r="A747" s="1">
        <v>46028</v>
      </c>
      <c r="B747" t="s">
        <v>12053</v>
      </c>
      <c r="C747">
        <v>14</v>
      </c>
      <c r="D747" t="str">
        <f>VLOOKUP(Tabela26[[#This Row],[EMP]],[1]LOJA!$A:$B,2,0)</f>
        <v>S IA</v>
      </c>
      <c r="E747">
        <v>212</v>
      </c>
      <c r="F747" t="s">
        <v>12052</v>
      </c>
      <c r="G747" t="s">
        <v>12051</v>
      </c>
      <c r="H747" t="s">
        <v>3401</v>
      </c>
      <c r="I747">
        <v>5102</v>
      </c>
      <c r="J747" s="3">
        <v>142</v>
      </c>
      <c r="K747" s="3">
        <v>70.09</v>
      </c>
      <c r="L747">
        <v>50.64</v>
      </c>
    </row>
    <row r="748" spans="1:12">
      <c r="A748" s="1">
        <v>46028</v>
      </c>
      <c r="B748" t="s">
        <v>12050</v>
      </c>
      <c r="C748">
        <v>14</v>
      </c>
      <c r="D748" t="str">
        <f>VLOOKUP(Tabela26[[#This Row],[EMP]],[1]LOJA!$A:$B,2,0)</f>
        <v>S IA</v>
      </c>
      <c r="E748">
        <v>212</v>
      </c>
      <c r="F748" t="s">
        <v>9892</v>
      </c>
      <c r="G748" t="s">
        <v>3402</v>
      </c>
      <c r="H748" t="s">
        <v>3401</v>
      </c>
      <c r="I748">
        <v>5102</v>
      </c>
      <c r="J748" s="3">
        <v>4</v>
      </c>
      <c r="K748" s="3">
        <v>2.37</v>
      </c>
      <c r="L748">
        <v>40.75</v>
      </c>
    </row>
    <row r="749" spans="1:12">
      <c r="A749" s="1">
        <v>46028</v>
      </c>
      <c r="B749" t="s">
        <v>12049</v>
      </c>
      <c r="C749">
        <v>14</v>
      </c>
      <c r="D749" t="str">
        <f>VLOOKUP(Tabela26[[#This Row],[EMP]],[1]LOJA!$A:$B,2,0)</f>
        <v>S IA</v>
      </c>
      <c r="E749">
        <v>54</v>
      </c>
      <c r="F749" t="s">
        <v>3989</v>
      </c>
      <c r="G749" t="s">
        <v>3988</v>
      </c>
      <c r="H749" t="s">
        <v>3430</v>
      </c>
      <c r="I749">
        <v>5102</v>
      </c>
      <c r="J749" s="3">
        <v>311.60000000000002</v>
      </c>
      <c r="K749" s="3">
        <v>188.46</v>
      </c>
      <c r="L749">
        <v>39.520000000000003</v>
      </c>
    </row>
    <row r="750" spans="1:12">
      <c r="A750" s="1">
        <v>46028</v>
      </c>
      <c r="B750" t="s">
        <v>12048</v>
      </c>
      <c r="C750">
        <v>14</v>
      </c>
      <c r="D750" t="str">
        <f>VLOOKUP(Tabela26[[#This Row],[EMP]],[1]LOJA!$A:$B,2,0)</f>
        <v>S IA</v>
      </c>
      <c r="E750">
        <v>212</v>
      </c>
      <c r="F750" t="s">
        <v>5589</v>
      </c>
      <c r="G750" t="s">
        <v>3402</v>
      </c>
      <c r="H750" t="s">
        <v>3408</v>
      </c>
      <c r="I750">
        <v>5405</v>
      </c>
      <c r="J750" s="3">
        <v>497</v>
      </c>
      <c r="K750" s="3">
        <v>300.19</v>
      </c>
      <c r="L750">
        <v>39.6</v>
      </c>
    </row>
    <row r="751" spans="1:12">
      <c r="A751" s="1">
        <v>46028</v>
      </c>
      <c r="B751" t="s">
        <v>12047</v>
      </c>
      <c r="C751">
        <v>14</v>
      </c>
      <c r="D751" t="str">
        <f>VLOOKUP(Tabela26[[#This Row],[EMP]],[1]LOJA!$A:$B,2,0)</f>
        <v>S IA</v>
      </c>
      <c r="E751">
        <v>54</v>
      </c>
      <c r="F751" t="s">
        <v>12046</v>
      </c>
      <c r="G751" t="s">
        <v>3402</v>
      </c>
      <c r="H751" t="s">
        <v>3408</v>
      </c>
      <c r="I751">
        <v>5102</v>
      </c>
      <c r="J751" s="3">
        <v>1611.72</v>
      </c>
      <c r="K751" s="3">
        <v>1081.44</v>
      </c>
      <c r="L751">
        <v>32.9</v>
      </c>
    </row>
    <row r="752" spans="1:12">
      <c r="A752" s="1">
        <v>46028</v>
      </c>
      <c r="B752" t="s">
        <v>12045</v>
      </c>
      <c r="C752">
        <v>14</v>
      </c>
      <c r="D752" t="str">
        <f>VLOOKUP(Tabela26[[#This Row],[EMP]],[1]LOJA!$A:$B,2,0)</f>
        <v>S IA</v>
      </c>
      <c r="E752">
        <v>212</v>
      </c>
      <c r="F752" t="s">
        <v>3403</v>
      </c>
      <c r="G752" t="s">
        <v>3402</v>
      </c>
      <c r="H752" t="s">
        <v>3401</v>
      </c>
      <c r="I752">
        <v>5102</v>
      </c>
      <c r="J752" s="3">
        <v>24.9</v>
      </c>
      <c r="K752" s="3">
        <v>16.84</v>
      </c>
      <c r="L752">
        <v>32.369999999999997</v>
      </c>
    </row>
    <row r="753" spans="1:12">
      <c r="A753" s="1">
        <v>46028</v>
      </c>
      <c r="B753" t="s">
        <v>12044</v>
      </c>
      <c r="C753">
        <v>14</v>
      </c>
      <c r="D753" t="str">
        <f>VLOOKUP(Tabela26[[#This Row],[EMP]],[1]LOJA!$A:$B,2,0)</f>
        <v>S IA</v>
      </c>
      <c r="E753">
        <v>212</v>
      </c>
      <c r="F753" t="s">
        <v>3403</v>
      </c>
      <c r="G753" t="s">
        <v>3402</v>
      </c>
      <c r="H753" t="s">
        <v>3401</v>
      </c>
      <c r="I753">
        <v>5102</v>
      </c>
      <c r="J753" s="3">
        <v>99.5</v>
      </c>
      <c r="K753" s="3">
        <v>41.45</v>
      </c>
      <c r="L753">
        <v>58.34</v>
      </c>
    </row>
    <row r="754" spans="1:12">
      <c r="A754" s="1">
        <v>46028</v>
      </c>
      <c r="B754" t="s">
        <v>12043</v>
      </c>
      <c r="C754">
        <v>14</v>
      </c>
      <c r="D754" t="str">
        <f>VLOOKUP(Tabela26[[#This Row],[EMP]],[1]LOJA!$A:$B,2,0)</f>
        <v>S IA</v>
      </c>
      <c r="E754">
        <v>212</v>
      </c>
      <c r="F754" t="s">
        <v>3403</v>
      </c>
      <c r="G754" t="s">
        <v>3402</v>
      </c>
      <c r="H754" t="s">
        <v>3401</v>
      </c>
      <c r="I754">
        <v>5102</v>
      </c>
      <c r="J754" s="3">
        <v>18</v>
      </c>
      <c r="K754" s="3">
        <v>8.32</v>
      </c>
      <c r="L754">
        <v>53.78</v>
      </c>
    </row>
    <row r="755" spans="1:12">
      <c r="A755" s="1">
        <v>46028</v>
      </c>
      <c r="B755" t="s">
        <v>12042</v>
      </c>
      <c r="C755">
        <v>15</v>
      </c>
      <c r="D755" t="str">
        <f>VLOOKUP(Tabela26[[#This Row],[EMP]],[1]LOJA!$A:$B,2,0)</f>
        <v>UNAÍ</v>
      </c>
      <c r="E755">
        <v>183</v>
      </c>
      <c r="F755" t="s">
        <v>3467</v>
      </c>
      <c r="G755" t="s">
        <v>3466</v>
      </c>
      <c r="H755" t="s">
        <v>3401</v>
      </c>
      <c r="I755">
        <v>5102</v>
      </c>
      <c r="J755" s="3">
        <v>7.2</v>
      </c>
      <c r="K755" s="3">
        <v>2.72</v>
      </c>
      <c r="L755">
        <v>62.22</v>
      </c>
    </row>
    <row r="756" spans="1:12">
      <c r="A756" s="1">
        <v>46028</v>
      </c>
      <c r="B756" t="s">
        <v>12041</v>
      </c>
      <c r="C756">
        <v>15</v>
      </c>
      <c r="D756" t="str">
        <f>VLOOKUP(Tabela26[[#This Row],[EMP]],[1]LOJA!$A:$B,2,0)</f>
        <v>UNAÍ</v>
      </c>
      <c r="E756">
        <v>183</v>
      </c>
      <c r="F756" t="s">
        <v>4701</v>
      </c>
      <c r="G756" t="s">
        <v>4700</v>
      </c>
      <c r="H756" t="s">
        <v>3401</v>
      </c>
      <c r="I756">
        <v>5405</v>
      </c>
      <c r="J756" s="3">
        <v>44</v>
      </c>
      <c r="K756" s="3">
        <v>23.21</v>
      </c>
      <c r="L756">
        <v>47.25</v>
      </c>
    </row>
    <row r="757" spans="1:12">
      <c r="A757" s="1">
        <v>46028</v>
      </c>
      <c r="B757" t="s">
        <v>12040</v>
      </c>
      <c r="C757">
        <v>15</v>
      </c>
      <c r="D757" t="str">
        <f>VLOOKUP(Tabela26[[#This Row],[EMP]],[1]LOJA!$A:$B,2,0)</f>
        <v>UNAÍ</v>
      </c>
      <c r="E757">
        <v>183</v>
      </c>
      <c r="F757" t="s">
        <v>5290</v>
      </c>
      <c r="G757" t="s">
        <v>5289</v>
      </c>
      <c r="H757" t="s">
        <v>3401</v>
      </c>
      <c r="I757">
        <v>5102</v>
      </c>
      <c r="J757" s="3">
        <v>14.4</v>
      </c>
      <c r="K757" s="3">
        <v>6.43</v>
      </c>
      <c r="L757">
        <v>55.35</v>
      </c>
    </row>
    <row r="758" spans="1:12">
      <c r="A758" s="1">
        <v>46028</v>
      </c>
      <c r="B758" t="s">
        <v>12039</v>
      </c>
      <c r="C758">
        <v>15</v>
      </c>
      <c r="D758" t="str">
        <f>VLOOKUP(Tabela26[[#This Row],[EMP]],[1]LOJA!$A:$B,2,0)</f>
        <v>UNAÍ</v>
      </c>
      <c r="E758">
        <v>183</v>
      </c>
      <c r="F758" t="s">
        <v>4040</v>
      </c>
      <c r="G758" t="s">
        <v>4039</v>
      </c>
      <c r="H758" t="s">
        <v>3408</v>
      </c>
      <c r="I758">
        <v>5102</v>
      </c>
      <c r="J758" s="3">
        <v>32.35</v>
      </c>
      <c r="K758" s="3">
        <v>18.28</v>
      </c>
      <c r="L758">
        <v>43.49</v>
      </c>
    </row>
    <row r="759" spans="1:12">
      <c r="A759" s="1">
        <v>46028</v>
      </c>
      <c r="B759" t="s">
        <v>12038</v>
      </c>
      <c r="C759">
        <v>15</v>
      </c>
      <c r="D759" t="str">
        <f>VLOOKUP(Tabela26[[#This Row],[EMP]],[1]LOJA!$A:$B,2,0)</f>
        <v>UNAÍ</v>
      </c>
      <c r="E759">
        <v>183</v>
      </c>
      <c r="F759" t="s">
        <v>12037</v>
      </c>
      <c r="G759" t="s">
        <v>12036</v>
      </c>
      <c r="H759" t="s">
        <v>3401</v>
      </c>
      <c r="I759">
        <v>5102</v>
      </c>
      <c r="J759" s="3">
        <v>84.6</v>
      </c>
      <c r="K759" s="3">
        <v>42.55</v>
      </c>
      <c r="L759">
        <v>49.7</v>
      </c>
    </row>
    <row r="760" spans="1:12">
      <c r="A760" s="1">
        <v>46028</v>
      </c>
      <c r="B760" t="s">
        <v>12035</v>
      </c>
      <c r="C760">
        <v>15</v>
      </c>
      <c r="D760" t="str">
        <f>VLOOKUP(Tabela26[[#This Row],[EMP]],[1]LOJA!$A:$B,2,0)</f>
        <v>UNAÍ</v>
      </c>
      <c r="E760">
        <v>183</v>
      </c>
      <c r="F760" t="s">
        <v>5763</v>
      </c>
      <c r="G760" t="s">
        <v>5762</v>
      </c>
      <c r="H760" t="s">
        <v>3401</v>
      </c>
      <c r="I760">
        <v>5102</v>
      </c>
      <c r="J760" s="3">
        <v>68</v>
      </c>
      <c r="K760" s="3">
        <v>33.81</v>
      </c>
      <c r="L760">
        <v>50.28</v>
      </c>
    </row>
    <row r="761" spans="1:12">
      <c r="A761" s="1">
        <v>46028</v>
      </c>
      <c r="B761" t="s">
        <v>12034</v>
      </c>
      <c r="C761">
        <v>15</v>
      </c>
      <c r="D761" t="str">
        <f>VLOOKUP(Tabela26[[#This Row],[EMP]],[1]LOJA!$A:$B,2,0)</f>
        <v>UNAÍ</v>
      </c>
      <c r="E761">
        <v>183</v>
      </c>
      <c r="F761" t="s">
        <v>5766</v>
      </c>
      <c r="G761" t="s">
        <v>5765</v>
      </c>
      <c r="H761" t="s">
        <v>3408</v>
      </c>
      <c r="I761">
        <v>5102</v>
      </c>
      <c r="J761" s="3">
        <v>92</v>
      </c>
      <c r="K761" s="3">
        <v>48.53</v>
      </c>
      <c r="L761">
        <v>47.25</v>
      </c>
    </row>
    <row r="762" spans="1:12">
      <c r="A762" s="1">
        <v>46028</v>
      </c>
      <c r="B762" t="s">
        <v>12033</v>
      </c>
      <c r="C762">
        <v>15</v>
      </c>
      <c r="D762" t="str">
        <f>VLOOKUP(Tabela26[[#This Row],[EMP]],[1]LOJA!$A:$B,2,0)</f>
        <v>UNAÍ</v>
      </c>
      <c r="E762">
        <v>183</v>
      </c>
      <c r="F762" t="s">
        <v>3963</v>
      </c>
      <c r="G762" t="s">
        <v>3962</v>
      </c>
      <c r="H762" t="s">
        <v>3401</v>
      </c>
      <c r="I762">
        <v>5102</v>
      </c>
      <c r="J762" s="3">
        <v>47.1</v>
      </c>
      <c r="K762" s="3">
        <v>25.27</v>
      </c>
      <c r="L762">
        <v>46.35</v>
      </c>
    </row>
    <row r="763" spans="1:12">
      <c r="A763" s="1">
        <v>46028</v>
      </c>
      <c r="B763" t="s">
        <v>12032</v>
      </c>
      <c r="C763">
        <v>15</v>
      </c>
      <c r="D763" t="str">
        <f>VLOOKUP(Tabela26[[#This Row],[EMP]],[1]LOJA!$A:$B,2,0)</f>
        <v>UNAÍ</v>
      </c>
      <c r="E763">
        <v>183</v>
      </c>
      <c r="F763" t="s">
        <v>4074</v>
      </c>
      <c r="G763" t="s">
        <v>4073</v>
      </c>
      <c r="H763" t="s">
        <v>3401</v>
      </c>
      <c r="I763">
        <v>5102</v>
      </c>
      <c r="J763" s="3">
        <v>78.2</v>
      </c>
      <c r="K763" s="3">
        <v>33.96</v>
      </c>
      <c r="L763">
        <v>56.57</v>
      </c>
    </row>
    <row r="764" spans="1:12">
      <c r="A764" s="1">
        <v>46028</v>
      </c>
      <c r="B764" t="s">
        <v>12031</v>
      </c>
      <c r="C764">
        <v>15</v>
      </c>
      <c r="D764" t="str">
        <f>VLOOKUP(Tabela26[[#This Row],[EMP]],[1]LOJA!$A:$B,2,0)</f>
        <v>UNAÍ</v>
      </c>
      <c r="E764">
        <v>183</v>
      </c>
      <c r="F764" t="s">
        <v>4655</v>
      </c>
      <c r="G764" t="s">
        <v>4654</v>
      </c>
      <c r="H764" t="s">
        <v>3401</v>
      </c>
      <c r="I764">
        <v>5405</v>
      </c>
      <c r="J764" s="3">
        <v>44</v>
      </c>
      <c r="K764" s="3">
        <v>23.21</v>
      </c>
      <c r="L764">
        <v>47.25</v>
      </c>
    </row>
    <row r="765" spans="1:12">
      <c r="A765" s="1">
        <v>46028</v>
      </c>
      <c r="B765" t="s">
        <v>12030</v>
      </c>
      <c r="C765">
        <v>22</v>
      </c>
      <c r="D765" t="str">
        <f>VLOOKUP(Tabela26[[#This Row],[EMP]],[1]LOJA!$A:$B,2,0)</f>
        <v>GUARÁ</v>
      </c>
      <c r="E765">
        <v>93</v>
      </c>
      <c r="F765" t="s">
        <v>3403</v>
      </c>
      <c r="G765" t="s">
        <v>3402</v>
      </c>
      <c r="H765" t="s">
        <v>3401</v>
      </c>
      <c r="I765">
        <v>5102</v>
      </c>
      <c r="J765" s="3">
        <v>45</v>
      </c>
      <c r="K765" s="3">
        <v>23.01</v>
      </c>
      <c r="L765">
        <v>48.87</v>
      </c>
    </row>
    <row r="766" spans="1:12">
      <c r="A766" s="1">
        <v>46028</v>
      </c>
      <c r="B766" t="s">
        <v>12029</v>
      </c>
      <c r="C766">
        <v>22</v>
      </c>
      <c r="D766" t="str">
        <f>VLOOKUP(Tabela26[[#This Row],[EMP]],[1]LOJA!$A:$B,2,0)</f>
        <v>GUARÁ</v>
      </c>
      <c r="E766">
        <v>93</v>
      </c>
      <c r="F766" t="s">
        <v>5212</v>
      </c>
      <c r="G766" t="s">
        <v>5211</v>
      </c>
      <c r="H766" t="s">
        <v>3401</v>
      </c>
      <c r="I766">
        <v>5102</v>
      </c>
      <c r="J766" s="3">
        <v>35</v>
      </c>
      <c r="K766" s="3">
        <v>18.41</v>
      </c>
      <c r="L766">
        <v>47.4</v>
      </c>
    </row>
    <row r="767" spans="1:12">
      <c r="A767" s="1">
        <v>46028</v>
      </c>
      <c r="B767" t="s">
        <v>12028</v>
      </c>
      <c r="C767">
        <v>22</v>
      </c>
      <c r="D767" t="str">
        <f>VLOOKUP(Tabela26[[#This Row],[EMP]],[1]LOJA!$A:$B,2,0)</f>
        <v>GUARÁ</v>
      </c>
      <c r="E767">
        <v>93</v>
      </c>
      <c r="F767" t="s">
        <v>3862</v>
      </c>
      <c r="G767" t="s">
        <v>3402</v>
      </c>
      <c r="H767" t="s">
        <v>3408</v>
      </c>
      <c r="I767">
        <v>5102</v>
      </c>
      <c r="J767" s="3">
        <v>80</v>
      </c>
      <c r="K767" s="3">
        <v>43.07</v>
      </c>
      <c r="L767">
        <v>46.16</v>
      </c>
    </row>
    <row r="768" spans="1:12">
      <c r="A768" s="1">
        <v>46028</v>
      </c>
      <c r="B768" t="s">
        <v>12027</v>
      </c>
      <c r="C768">
        <v>22</v>
      </c>
      <c r="D768" t="str">
        <f>VLOOKUP(Tabela26[[#This Row],[EMP]],[1]LOJA!$A:$B,2,0)</f>
        <v>GUARÁ</v>
      </c>
      <c r="E768">
        <v>16</v>
      </c>
      <c r="F768" t="s">
        <v>3403</v>
      </c>
      <c r="G768" t="s">
        <v>3402</v>
      </c>
      <c r="H768" t="s">
        <v>3401</v>
      </c>
      <c r="I768">
        <v>5102</v>
      </c>
      <c r="J768" s="3">
        <v>24</v>
      </c>
      <c r="K768" s="3">
        <v>14.05</v>
      </c>
      <c r="L768">
        <v>41.46</v>
      </c>
    </row>
    <row r="769" spans="1:12">
      <c r="A769" s="1">
        <v>46028</v>
      </c>
      <c r="B769" t="s">
        <v>12026</v>
      </c>
      <c r="C769">
        <v>22</v>
      </c>
      <c r="D769" t="str">
        <f>VLOOKUP(Tabela26[[#This Row],[EMP]],[1]LOJA!$A:$B,2,0)</f>
        <v>GUARÁ</v>
      </c>
      <c r="E769">
        <v>16</v>
      </c>
      <c r="F769" t="s">
        <v>3403</v>
      </c>
      <c r="G769" t="s">
        <v>3402</v>
      </c>
      <c r="H769" t="s">
        <v>3401</v>
      </c>
      <c r="I769">
        <v>5102</v>
      </c>
      <c r="J769" s="3">
        <v>32</v>
      </c>
      <c r="K769" s="3">
        <v>18.62</v>
      </c>
      <c r="L769">
        <v>41.81</v>
      </c>
    </row>
    <row r="770" spans="1:12">
      <c r="A770" s="1">
        <v>46028</v>
      </c>
      <c r="B770" t="s">
        <v>12025</v>
      </c>
      <c r="C770">
        <v>22</v>
      </c>
      <c r="D770" t="str">
        <f>VLOOKUP(Tabela26[[#This Row],[EMP]],[1]LOJA!$A:$B,2,0)</f>
        <v>GUARÁ</v>
      </c>
      <c r="E770">
        <v>93</v>
      </c>
      <c r="F770" t="s">
        <v>3403</v>
      </c>
      <c r="G770" t="s">
        <v>3402</v>
      </c>
      <c r="H770" t="s">
        <v>3401</v>
      </c>
      <c r="I770">
        <v>5102</v>
      </c>
      <c r="J770" s="3">
        <v>34</v>
      </c>
      <c r="K770" s="3">
        <v>18.02</v>
      </c>
      <c r="L770">
        <v>47</v>
      </c>
    </row>
    <row r="771" spans="1:12">
      <c r="A771" s="1">
        <v>46028</v>
      </c>
      <c r="B771" t="s">
        <v>12024</v>
      </c>
      <c r="C771">
        <v>22</v>
      </c>
      <c r="D771" t="str">
        <f>VLOOKUP(Tabela26[[#This Row],[EMP]],[1]LOJA!$A:$B,2,0)</f>
        <v>GUARÁ</v>
      </c>
      <c r="E771">
        <v>93</v>
      </c>
      <c r="F771" t="s">
        <v>3921</v>
      </c>
      <c r="G771" t="s">
        <v>3920</v>
      </c>
      <c r="H771" t="s">
        <v>3401</v>
      </c>
      <c r="I771">
        <v>5405</v>
      </c>
      <c r="J771" s="3">
        <v>49</v>
      </c>
      <c r="K771" s="3">
        <v>25.27</v>
      </c>
      <c r="L771">
        <v>48.43</v>
      </c>
    </row>
    <row r="772" spans="1:12">
      <c r="A772" s="1">
        <v>46028</v>
      </c>
      <c r="B772" t="s">
        <v>12023</v>
      </c>
      <c r="C772">
        <v>22</v>
      </c>
      <c r="D772" t="str">
        <f>VLOOKUP(Tabela26[[#This Row],[EMP]],[1]LOJA!$A:$B,2,0)</f>
        <v>GUARÁ</v>
      </c>
      <c r="E772">
        <v>93</v>
      </c>
      <c r="F772" t="s">
        <v>3403</v>
      </c>
      <c r="G772" t="s">
        <v>3402</v>
      </c>
      <c r="H772" t="s">
        <v>3401</v>
      </c>
      <c r="I772">
        <v>5102</v>
      </c>
      <c r="J772" s="3">
        <v>5.5</v>
      </c>
      <c r="K772" s="3">
        <v>2.65</v>
      </c>
      <c r="L772">
        <v>51.82</v>
      </c>
    </row>
    <row r="773" spans="1:12">
      <c r="A773" s="1">
        <v>46028</v>
      </c>
      <c r="B773" t="s">
        <v>12022</v>
      </c>
      <c r="C773">
        <v>22</v>
      </c>
      <c r="D773" t="str">
        <f>VLOOKUP(Tabela26[[#This Row],[EMP]],[1]LOJA!$A:$B,2,0)</f>
        <v>GUARÁ</v>
      </c>
      <c r="E773">
        <v>93</v>
      </c>
      <c r="F773" t="s">
        <v>4593</v>
      </c>
      <c r="G773" t="s">
        <v>4592</v>
      </c>
      <c r="H773" t="s">
        <v>3401</v>
      </c>
      <c r="I773">
        <v>5102</v>
      </c>
      <c r="J773" s="3">
        <v>45</v>
      </c>
      <c r="K773" s="3">
        <v>24.11</v>
      </c>
      <c r="L773">
        <v>46.42</v>
      </c>
    </row>
    <row r="774" spans="1:12">
      <c r="A774" s="1">
        <v>46028</v>
      </c>
      <c r="B774" t="s">
        <v>12021</v>
      </c>
      <c r="C774">
        <v>22</v>
      </c>
      <c r="D774" t="str">
        <f>VLOOKUP(Tabela26[[#This Row],[EMP]],[1]LOJA!$A:$B,2,0)</f>
        <v>GUARÁ</v>
      </c>
      <c r="E774">
        <v>16</v>
      </c>
      <c r="F774" t="s">
        <v>6787</v>
      </c>
      <c r="G774" t="s">
        <v>6786</v>
      </c>
      <c r="H774" t="s">
        <v>3401</v>
      </c>
      <c r="I774">
        <v>5102</v>
      </c>
      <c r="J774" s="3">
        <v>17</v>
      </c>
      <c r="K774" s="3">
        <v>9.17</v>
      </c>
      <c r="L774">
        <v>46.06</v>
      </c>
    </row>
    <row r="775" spans="1:12">
      <c r="A775" s="1">
        <v>46028</v>
      </c>
      <c r="B775" t="s">
        <v>12020</v>
      </c>
      <c r="C775">
        <v>22</v>
      </c>
      <c r="D775" t="str">
        <f>VLOOKUP(Tabela26[[#This Row],[EMP]],[1]LOJA!$A:$B,2,0)</f>
        <v>GUARÁ</v>
      </c>
      <c r="E775">
        <v>93</v>
      </c>
      <c r="F775" t="s">
        <v>3873</v>
      </c>
      <c r="G775" t="s">
        <v>3872</v>
      </c>
      <c r="H775" t="s">
        <v>3401</v>
      </c>
      <c r="I775">
        <v>5405</v>
      </c>
      <c r="J775" s="3">
        <v>35</v>
      </c>
      <c r="K775" s="3">
        <v>17.04</v>
      </c>
      <c r="L775">
        <v>51.31</v>
      </c>
    </row>
    <row r="776" spans="1:12">
      <c r="A776" s="1">
        <v>46028</v>
      </c>
      <c r="B776" t="s">
        <v>12019</v>
      </c>
      <c r="C776">
        <v>22</v>
      </c>
      <c r="D776" t="str">
        <f>VLOOKUP(Tabela26[[#This Row],[EMP]],[1]LOJA!$A:$B,2,0)</f>
        <v>GUARÁ</v>
      </c>
      <c r="E776">
        <v>16</v>
      </c>
      <c r="F776" t="s">
        <v>3403</v>
      </c>
      <c r="G776" t="s">
        <v>3402</v>
      </c>
      <c r="H776" t="s">
        <v>3401</v>
      </c>
      <c r="I776">
        <v>5102</v>
      </c>
      <c r="J776" s="3">
        <v>16.5</v>
      </c>
      <c r="K776" s="3">
        <v>4.91</v>
      </c>
      <c r="L776">
        <v>70.239999999999995</v>
      </c>
    </row>
    <row r="777" spans="1:12">
      <c r="A777" s="1">
        <v>46028</v>
      </c>
      <c r="B777" t="s">
        <v>12018</v>
      </c>
      <c r="C777">
        <v>22</v>
      </c>
      <c r="D777" t="str">
        <f>VLOOKUP(Tabela26[[#This Row],[EMP]],[1]LOJA!$A:$B,2,0)</f>
        <v>GUARÁ</v>
      </c>
      <c r="E777">
        <v>93</v>
      </c>
      <c r="F777" t="s">
        <v>3856</v>
      </c>
      <c r="G777" t="s">
        <v>3855</v>
      </c>
      <c r="H777" t="s">
        <v>3520</v>
      </c>
      <c r="I777">
        <v>5405</v>
      </c>
      <c r="J777" s="3">
        <v>220.53</v>
      </c>
      <c r="K777" s="3">
        <v>116.38</v>
      </c>
      <c r="L777">
        <v>47.23</v>
      </c>
    </row>
    <row r="778" spans="1:12">
      <c r="A778" s="1">
        <v>46028</v>
      </c>
      <c r="B778" t="s">
        <v>12017</v>
      </c>
      <c r="C778">
        <v>22</v>
      </c>
      <c r="D778" t="str">
        <f>VLOOKUP(Tabela26[[#This Row],[EMP]],[1]LOJA!$A:$B,2,0)</f>
        <v>GUARÁ</v>
      </c>
      <c r="E778">
        <v>16</v>
      </c>
      <c r="F778" t="s">
        <v>3403</v>
      </c>
      <c r="G778" t="s">
        <v>3402</v>
      </c>
      <c r="H778" t="s">
        <v>3401</v>
      </c>
      <c r="I778">
        <v>5102</v>
      </c>
      <c r="J778" s="3">
        <v>73</v>
      </c>
      <c r="K778" s="3">
        <v>39.159999999999997</v>
      </c>
      <c r="L778">
        <v>46.36</v>
      </c>
    </row>
    <row r="779" spans="1:12">
      <c r="A779" s="1">
        <v>46028</v>
      </c>
      <c r="B779" t="s">
        <v>12016</v>
      </c>
      <c r="C779">
        <v>22</v>
      </c>
      <c r="D779" t="str">
        <f>VLOOKUP(Tabela26[[#This Row],[EMP]],[1]LOJA!$A:$B,2,0)</f>
        <v>GUARÁ</v>
      </c>
      <c r="E779">
        <v>93</v>
      </c>
      <c r="F779" t="s">
        <v>12015</v>
      </c>
      <c r="G779" t="s">
        <v>12014</v>
      </c>
      <c r="H779" t="s">
        <v>3401</v>
      </c>
      <c r="I779">
        <v>5405</v>
      </c>
      <c r="J779" s="3">
        <v>45</v>
      </c>
      <c r="K779" s="3">
        <v>18.61</v>
      </c>
      <c r="L779">
        <v>58.64</v>
      </c>
    </row>
    <row r="780" spans="1:12">
      <c r="A780" s="1">
        <v>46028</v>
      </c>
      <c r="B780" t="s">
        <v>12013</v>
      </c>
      <c r="C780">
        <v>22</v>
      </c>
      <c r="D780" t="str">
        <f>VLOOKUP(Tabela26[[#This Row],[EMP]],[1]LOJA!$A:$B,2,0)</f>
        <v>GUARÁ</v>
      </c>
      <c r="E780">
        <v>93</v>
      </c>
      <c r="F780" t="s">
        <v>3403</v>
      </c>
      <c r="G780" t="s">
        <v>3402</v>
      </c>
      <c r="H780" t="s">
        <v>3401</v>
      </c>
      <c r="I780">
        <v>5102</v>
      </c>
      <c r="J780" s="3">
        <v>20</v>
      </c>
      <c r="K780" s="3">
        <v>11.68</v>
      </c>
      <c r="L780">
        <v>41.6</v>
      </c>
    </row>
    <row r="781" spans="1:12">
      <c r="A781" s="1">
        <v>46028</v>
      </c>
      <c r="B781" t="s">
        <v>12012</v>
      </c>
      <c r="C781">
        <v>22</v>
      </c>
      <c r="D781" t="str">
        <f>VLOOKUP(Tabela26[[#This Row],[EMP]],[1]LOJA!$A:$B,2,0)</f>
        <v>GUARÁ</v>
      </c>
      <c r="E781">
        <v>16</v>
      </c>
      <c r="F781" t="s">
        <v>3403</v>
      </c>
      <c r="G781" t="s">
        <v>3402</v>
      </c>
      <c r="H781" t="s">
        <v>3401</v>
      </c>
      <c r="I781">
        <v>5102</v>
      </c>
      <c r="J781" s="3">
        <v>16</v>
      </c>
      <c r="K781" s="3">
        <v>9.17</v>
      </c>
      <c r="L781">
        <v>42.69</v>
      </c>
    </row>
    <row r="782" spans="1:12">
      <c r="A782" s="1">
        <v>46028</v>
      </c>
      <c r="B782" t="s">
        <v>12011</v>
      </c>
      <c r="C782">
        <v>22</v>
      </c>
      <c r="D782" t="str">
        <f>VLOOKUP(Tabela26[[#This Row],[EMP]],[1]LOJA!$A:$B,2,0)</f>
        <v>GUARÁ</v>
      </c>
      <c r="E782">
        <v>16</v>
      </c>
      <c r="F782" t="s">
        <v>4603</v>
      </c>
      <c r="G782" t="s">
        <v>4602</v>
      </c>
      <c r="H782" t="s">
        <v>3401</v>
      </c>
      <c r="I782">
        <v>5102</v>
      </c>
      <c r="J782" s="3">
        <v>10</v>
      </c>
      <c r="K782" s="3">
        <v>6.56</v>
      </c>
      <c r="L782">
        <v>34.4</v>
      </c>
    </row>
    <row r="783" spans="1:12">
      <c r="A783" s="1">
        <v>46028</v>
      </c>
      <c r="B783" t="s">
        <v>12010</v>
      </c>
      <c r="C783">
        <v>22</v>
      </c>
      <c r="D783" t="str">
        <f>VLOOKUP(Tabela26[[#This Row],[EMP]],[1]LOJA!$A:$B,2,0)</f>
        <v>GUARÁ</v>
      </c>
      <c r="E783">
        <v>93</v>
      </c>
      <c r="F783" t="s">
        <v>12009</v>
      </c>
      <c r="G783" t="s">
        <v>12008</v>
      </c>
      <c r="H783" t="s">
        <v>3401</v>
      </c>
      <c r="I783">
        <v>5102</v>
      </c>
      <c r="J783" s="3">
        <v>74</v>
      </c>
      <c r="K783" s="3">
        <v>39.159999999999997</v>
      </c>
      <c r="L783">
        <v>47.08</v>
      </c>
    </row>
    <row r="784" spans="1:12">
      <c r="A784" s="1">
        <v>46028</v>
      </c>
      <c r="B784" t="s">
        <v>12007</v>
      </c>
      <c r="C784">
        <v>22</v>
      </c>
      <c r="D784" t="str">
        <f>VLOOKUP(Tabela26[[#This Row],[EMP]],[1]LOJA!$A:$B,2,0)</f>
        <v>GUARÁ</v>
      </c>
      <c r="E784">
        <v>93</v>
      </c>
      <c r="F784" t="s">
        <v>3870</v>
      </c>
      <c r="G784" t="s">
        <v>3869</v>
      </c>
      <c r="H784" t="s">
        <v>3401</v>
      </c>
      <c r="I784">
        <v>5102</v>
      </c>
      <c r="J784" s="3">
        <v>185</v>
      </c>
      <c r="K784" s="3">
        <v>103.85</v>
      </c>
      <c r="L784">
        <v>43.86</v>
      </c>
    </row>
    <row r="785" spans="1:12">
      <c r="A785" s="1">
        <v>46028</v>
      </c>
      <c r="B785" t="s">
        <v>12006</v>
      </c>
      <c r="C785">
        <v>22</v>
      </c>
      <c r="D785" t="str">
        <f>VLOOKUP(Tabela26[[#This Row],[EMP]],[1]LOJA!$A:$B,2,0)</f>
        <v>GUARÁ</v>
      </c>
      <c r="E785">
        <v>93</v>
      </c>
      <c r="F785" t="s">
        <v>3403</v>
      </c>
      <c r="G785" t="s">
        <v>3402</v>
      </c>
      <c r="H785" t="s">
        <v>3401</v>
      </c>
      <c r="I785">
        <v>5405</v>
      </c>
      <c r="J785" s="3">
        <v>92</v>
      </c>
      <c r="K785" s="3">
        <v>49.97</v>
      </c>
      <c r="L785">
        <v>45.68</v>
      </c>
    </row>
    <row r="786" spans="1:12">
      <c r="A786" s="1">
        <v>46028</v>
      </c>
      <c r="B786" t="s">
        <v>12005</v>
      </c>
      <c r="C786">
        <v>22</v>
      </c>
      <c r="D786" t="str">
        <f>VLOOKUP(Tabela26[[#This Row],[EMP]],[1]LOJA!$A:$B,2,0)</f>
        <v>GUARÁ</v>
      </c>
      <c r="E786">
        <v>93</v>
      </c>
      <c r="F786" t="s">
        <v>3403</v>
      </c>
      <c r="G786" t="s">
        <v>3402</v>
      </c>
      <c r="H786" t="s">
        <v>3401</v>
      </c>
      <c r="I786">
        <v>5102</v>
      </c>
      <c r="J786" s="3">
        <v>8</v>
      </c>
      <c r="K786" s="3">
        <v>4.95</v>
      </c>
      <c r="L786">
        <v>38.130000000000003</v>
      </c>
    </row>
    <row r="787" spans="1:12">
      <c r="A787" s="1">
        <v>46028</v>
      </c>
      <c r="B787" t="s">
        <v>12004</v>
      </c>
      <c r="C787">
        <v>22</v>
      </c>
      <c r="D787" t="str">
        <f>VLOOKUP(Tabela26[[#This Row],[EMP]],[1]LOJA!$A:$B,2,0)</f>
        <v>GUARÁ</v>
      </c>
      <c r="E787">
        <v>93</v>
      </c>
      <c r="F787" t="s">
        <v>3921</v>
      </c>
      <c r="G787" t="s">
        <v>3920</v>
      </c>
      <c r="H787" t="s">
        <v>3401</v>
      </c>
      <c r="I787">
        <v>5405</v>
      </c>
      <c r="J787" s="3">
        <v>173</v>
      </c>
      <c r="K787" s="3">
        <v>96.86</v>
      </c>
      <c r="L787">
        <v>44.01</v>
      </c>
    </row>
    <row r="788" spans="1:12">
      <c r="A788" s="1">
        <v>46028</v>
      </c>
      <c r="B788" t="s">
        <v>12003</v>
      </c>
      <c r="C788">
        <v>22</v>
      </c>
      <c r="D788" t="str">
        <f>VLOOKUP(Tabela26[[#This Row],[EMP]],[1]LOJA!$A:$B,2,0)</f>
        <v>GUARÁ</v>
      </c>
      <c r="E788">
        <v>93</v>
      </c>
      <c r="F788" t="s">
        <v>7270</v>
      </c>
      <c r="G788" t="s">
        <v>7269</v>
      </c>
      <c r="H788" t="s">
        <v>7043</v>
      </c>
      <c r="I788">
        <v>5405</v>
      </c>
      <c r="J788" s="3">
        <v>1231.72</v>
      </c>
      <c r="K788" s="3">
        <v>733.16</v>
      </c>
      <c r="L788">
        <v>40.479999999999997</v>
      </c>
    </row>
    <row r="789" spans="1:12">
      <c r="A789" s="1">
        <v>46028</v>
      </c>
      <c r="B789" t="s">
        <v>12002</v>
      </c>
      <c r="C789">
        <v>22</v>
      </c>
      <c r="D789" t="str">
        <f>VLOOKUP(Tabela26[[#This Row],[EMP]],[1]LOJA!$A:$B,2,0)</f>
        <v>GUARÁ</v>
      </c>
      <c r="E789">
        <v>16</v>
      </c>
      <c r="F789" t="s">
        <v>3856</v>
      </c>
      <c r="G789" t="s">
        <v>3855</v>
      </c>
      <c r="H789" t="s">
        <v>3520</v>
      </c>
      <c r="I789">
        <v>5102</v>
      </c>
      <c r="J789" s="3">
        <v>483.26</v>
      </c>
      <c r="K789" s="3">
        <v>273.88</v>
      </c>
      <c r="L789">
        <v>43.33</v>
      </c>
    </row>
    <row r="790" spans="1:12">
      <c r="A790" s="1">
        <v>46028</v>
      </c>
      <c r="B790" t="s">
        <v>12001</v>
      </c>
      <c r="C790">
        <v>22</v>
      </c>
      <c r="D790" t="str">
        <f>VLOOKUP(Tabela26[[#This Row],[EMP]],[1]LOJA!$A:$B,2,0)</f>
        <v>GUARÁ</v>
      </c>
      <c r="E790">
        <v>93</v>
      </c>
      <c r="F790" t="s">
        <v>11331</v>
      </c>
      <c r="G790" t="s">
        <v>11330</v>
      </c>
      <c r="H790" t="s">
        <v>3401</v>
      </c>
      <c r="I790">
        <v>5102</v>
      </c>
      <c r="J790" s="3">
        <v>230</v>
      </c>
      <c r="K790" s="3">
        <v>152.18</v>
      </c>
      <c r="L790">
        <v>33.83</v>
      </c>
    </row>
    <row r="791" spans="1:12">
      <c r="A791" s="1">
        <v>46028</v>
      </c>
      <c r="B791" t="s">
        <v>12000</v>
      </c>
      <c r="C791">
        <v>22</v>
      </c>
      <c r="D791" t="str">
        <f>VLOOKUP(Tabela26[[#This Row],[EMP]],[1]LOJA!$A:$B,2,0)</f>
        <v>GUARÁ</v>
      </c>
      <c r="E791">
        <v>16</v>
      </c>
      <c r="F791" t="s">
        <v>3913</v>
      </c>
      <c r="G791" t="s">
        <v>3912</v>
      </c>
      <c r="H791" t="s">
        <v>3408</v>
      </c>
      <c r="I791">
        <v>5405</v>
      </c>
      <c r="J791" s="3">
        <v>58</v>
      </c>
      <c r="K791" s="3">
        <v>30.03</v>
      </c>
      <c r="L791">
        <v>48.22</v>
      </c>
    </row>
    <row r="792" spans="1:12">
      <c r="A792" s="1">
        <v>46028</v>
      </c>
      <c r="B792" t="s">
        <v>11999</v>
      </c>
      <c r="C792">
        <v>22</v>
      </c>
      <c r="D792" t="str">
        <f>VLOOKUP(Tabela26[[#This Row],[EMP]],[1]LOJA!$A:$B,2,0)</f>
        <v>GUARÁ</v>
      </c>
      <c r="E792">
        <v>93</v>
      </c>
      <c r="F792" t="s">
        <v>3403</v>
      </c>
      <c r="G792" t="s">
        <v>3402</v>
      </c>
      <c r="H792" t="s">
        <v>3401</v>
      </c>
      <c r="I792">
        <v>5102</v>
      </c>
      <c r="J792" s="3">
        <v>39</v>
      </c>
      <c r="K792" s="3">
        <v>22.53</v>
      </c>
      <c r="L792">
        <v>42.23</v>
      </c>
    </row>
    <row r="793" spans="1:12">
      <c r="A793" s="1">
        <v>46028</v>
      </c>
      <c r="B793" t="s">
        <v>11998</v>
      </c>
      <c r="C793">
        <v>22</v>
      </c>
      <c r="D793" t="str">
        <f>VLOOKUP(Tabela26[[#This Row],[EMP]],[1]LOJA!$A:$B,2,0)</f>
        <v>GUARÁ</v>
      </c>
      <c r="E793">
        <v>93</v>
      </c>
      <c r="F793" t="s">
        <v>3403</v>
      </c>
      <c r="G793" t="s">
        <v>3402</v>
      </c>
      <c r="H793" t="s">
        <v>3401</v>
      </c>
      <c r="I793">
        <v>5102</v>
      </c>
      <c r="J793" s="3">
        <v>17</v>
      </c>
      <c r="K793" s="3">
        <v>9.17</v>
      </c>
      <c r="L793">
        <v>46.06</v>
      </c>
    </row>
    <row r="794" spans="1:12">
      <c r="A794" s="1">
        <v>46028</v>
      </c>
      <c r="B794" t="s">
        <v>11997</v>
      </c>
      <c r="C794">
        <v>22</v>
      </c>
      <c r="D794" t="str">
        <f>VLOOKUP(Tabela26[[#This Row],[EMP]],[1]LOJA!$A:$B,2,0)</f>
        <v>GUARÁ</v>
      </c>
      <c r="E794">
        <v>93</v>
      </c>
      <c r="F794" t="s">
        <v>3403</v>
      </c>
      <c r="G794" t="s">
        <v>3402</v>
      </c>
      <c r="H794" t="s">
        <v>3401</v>
      </c>
      <c r="I794">
        <v>5102</v>
      </c>
      <c r="J794" s="3">
        <v>11</v>
      </c>
      <c r="K794" s="3">
        <v>6.77</v>
      </c>
      <c r="L794">
        <v>38.450000000000003</v>
      </c>
    </row>
    <row r="795" spans="1:12">
      <c r="A795" s="1">
        <v>46028</v>
      </c>
      <c r="B795" t="s">
        <v>11996</v>
      </c>
      <c r="C795">
        <v>22</v>
      </c>
      <c r="D795" t="str">
        <f>VLOOKUP(Tabela26[[#This Row],[EMP]],[1]LOJA!$A:$B,2,0)</f>
        <v>GUARÁ</v>
      </c>
      <c r="E795">
        <v>93</v>
      </c>
      <c r="F795" t="s">
        <v>3403</v>
      </c>
      <c r="G795" t="s">
        <v>3402</v>
      </c>
      <c r="H795" t="s">
        <v>3401</v>
      </c>
      <c r="I795">
        <v>5102</v>
      </c>
      <c r="J795" s="3">
        <v>34</v>
      </c>
      <c r="K795" s="3">
        <v>21.83</v>
      </c>
      <c r="L795">
        <v>35.79</v>
      </c>
    </row>
    <row r="796" spans="1:12">
      <c r="A796" s="1">
        <v>46028</v>
      </c>
      <c r="B796" t="s">
        <v>11995</v>
      </c>
      <c r="C796">
        <v>22</v>
      </c>
      <c r="D796" t="str">
        <f>VLOOKUP(Tabela26[[#This Row],[EMP]],[1]LOJA!$A:$B,2,0)</f>
        <v>GUARÁ</v>
      </c>
      <c r="E796">
        <v>93</v>
      </c>
      <c r="F796" t="s">
        <v>3983</v>
      </c>
      <c r="G796" t="s">
        <v>3982</v>
      </c>
      <c r="H796" t="s">
        <v>3408</v>
      </c>
      <c r="I796">
        <v>5405</v>
      </c>
      <c r="J796" s="3">
        <v>1107.31</v>
      </c>
      <c r="K796" s="3">
        <v>692.16</v>
      </c>
      <c r="L796">
        <v>37.49</v>
      </c>
    </row>
    <row r="797" spans="1:12">
      <c r="A797" s="1">
        <v>46028</v>
      </c>
      <c r="B797" t="s">
        <v>11994</v>
      </c>
      <c r="C797">
        <v>22</v>
      </c>
      <c r="D797" t="str">
        <f>VLOOKUP(Tabela26[[#This Row],[EMP]],[1]LOJA!$A:$B,2,0)</f>
        <v>GUARÁ</v>
      </c>
      <c r="E797">
        <v>93</v>
      </c>
      <c r="F797" t="s">
        <v>3403</v>
      </c>
      <c r="G797" t="s">
        <v>3402</v>
      </c>
      <c r="H797" t="s">
        <v>3401</v>
      </c>
      <c r="I797">
        <v>5102</v>
      </c>
      <c r="J797" s="3">
        <v>38.5</v>
      </c>
      <c r="K797" s="3">
        <v>21.74</v>
      </c>
      <c r="L797">
        <v>43.53</v>
      </c>
    </row>
    <row r="798" spans="1:12">
      <c r="A798" s="1">
        <v>46028</v>
      </c>
      <c r="B798" t="s">
        <v>11993</v>
      </c>
      <c r="C798">
        <v>22</v>
      </c>
      <c r="D798" t="str">
        <f>VLOOKUP(Tabela26[[#This Row],[EMP]],[1]LOJA!$A:$B,2,0)</f>
        <v>GUARÁ</v>
      </c>
      <c r="E798">
        <v>93</v>
      </c>
      <c r="F798" t="s">
        <v>3983</v>
      </c>
      <c r="G798" t="s">
        <v>3982</v>
      </c>
      <c r="H798" t="s">
        <v>3408</v>
      </c>
      <c r="I798">
        <v>5405</v>
      </c>
      <c r="J798" s="3">
        <v>469</v>
      </c>
      <c r="K798" s="3">
        <v>229.71</v>
      </c>
      <c r="L798">
        <v>51.02</v>
      </c>
    </row>
    <row r="799" spans="1:12">
      <c r="A799" s="1">
        <v>46028</v>
      </c>
      <c r="B799" t="s">
        <v>11992</v>
      </c>
      <c r="C799">
        <v>22</v>
      </c>
      <c r="D799" t="str">
        <f>VLOOKUP(Tabela26[[#This Row],[EMP]],[1]LOJA!$A:$B,2,0)</f>
        <v>GUARÁ</v>
      </c>
      <c r="E799">
        <v>93</v>
      </c>
      <c r="F799" t="s">
        <v>3983</v>
      </c>
      <c r="G799" t="s">
        <v>3982</v>
      </c>
      <c r="H799" t="s">
        <v>3408</v>
      </c>
      <c r="I799">
        <v>5102</v>
      </c>
      <c r="J799" s="3">
        <v>50</v>
      </c>
      <c r="K799" s="3">
        <v>24.96</v>
      </c>
      <c r="L799">
        <v>50.08</v>
      </c>
    </row>
    <row r="800" spans="1:12">
      <c r="A800" s="1">
        <v>46028</v>
      </c>
      <c r="B800" t="s">
        <v>11991</v>
      </c>
      <c r="C800">
        <v>22</v>
      </c>
      <c r="D800" t="str">
        <f>VLOOKUP(Tabela26[[#This Row],[EMP]],[1]LOJA!$A:$B,2,0)</f>
        <v>GUARÁ</v>
      </c>
      <c r="E800">
        <v>93</v>
      </c>
      <c r="F800" t="s">
        <v>3403</v>
      </c>
      <c r="G800" t="s">
        <v>3402</v>
      </c>
      <c r="H800" t="s">
        <v>3401</v>
      </c>
      <c r="I800">
        <v>5102</v>
      </c>
      <c r="J800" s="3">
        <v>21.5</v>
      </c>
      <c r="K800" s="3">
        <v>11.63</v>
      </c>
      <c r="L800">
        <v>45.91</v>
      </c>
    </row>
    <row r="801" spans="1:12">
      <c r="A801" s="1">
        <v>46028</v>
      </c>
      <c r="B801" t="s">
        <v>11990</v>
      </c>
      <c r="C801">
        <v>12</v>
      </c>
      <c r="D801" t="str">
        <f>VLOOKUP(Tabela26[[#This Row],[EMP]],[1]LOJA!$A:$B,2,0)</f>
        <v>SOFNORTE</v>
      </c>
      <c r="E801">
        <v>239</v>
      </c>
      <c r="F801" t="s">
        <v>3461</v>
      </c>
      <c r="G801" t="s">
        <v>3460</v>
      </c>
      <c r="H801" t="s">
        <v>3430</v>
      </c>
      <c r="I801">
        <v>5405</v>
      </c>
      <c r="J801" s="3">
        <v>237.51</v>
      </c>
      <c r="K801" s="3">
        <v>110.02</v>
      </c>
      <c r="L801">
        <v>53.68</v>
      </c>
    </row>
    <row r="802" spans="1:12">
      <c r="A802" s="1">
        <v>46028</v>
      </c>
      <c r="B802" t="s">
        <v>11989</v>
      </c>
      <c r="C802">
        <v>12</v>
      </c>
      <c r="D802" t="str">
        <f>VLOOKUP(Tabela26[[#This Row],[EMP]],[1]LOJA!$A:$B,2,0)</f>
        <v>SOFNORTE</v>
      </c>
      <c r="E802">
        <v>60</v>
      </c>
      <c r="F802" t="s">
        <v>3461</v>
      </c>
      <c r="G802" t="s">
        <v>3460</v>
      </c>
      <c r="H802" t="s">
        <v>3430</v>
      </c>
      <c r="I802">
        <v>5405</v>
      </c>
      <c r="J802" s="3">
        <v>30.31</v>
      </c>
      <c r="K802" s="3">
        <v>14.75</v>
      </c>
      <c r="L802">
        <v>51.34</v>
      </c>
    </row>
    <row r="803" spans="1:12">
      <c r="A803" s="1">
        <v>46028</v>
      </c>
      <c r="B803" t="s">
        <v>11988</v>
      </c>
      <c r="C803">
        <v>12</v>
      </c>
      <c r="D803" t="str">
        <f>VLOOKUP(Tabela26[[#This Row],[EMP]],[1]LOJA!$A:$B,2,0)</f>
        <v>SOFNORTE</v>
      </c>
      <c r="E803">
        <v>60</v>
      </c>
      <c r="F803" t="s">
        <v>3928</v>
      </c>
      <c r="G803" t="s">
        <v>3927</v>
      </c>
      <c r="H803" t="s">
        <v>3430</v>
      </c>
      <c r="I803">
        <v>5405</v>
      </c>
      <c r="J803" s="3">
        <v>33</v>
      </c>
      <c r="K803" s="3">
        <v>14.56</v>
      </c>
      <c r="L803">
        <v>55.88</v>
      </c>
    </row>
    <row r="804" spans="1:12">
      <c r="A804" s="1">
        <v>46028</v>
      </c>
      <c r="B804" t="s">
        <v>11987</v>
      </c>
      <c r="C804">
        <v>12</v>
      </c>
      <c r="D804" t="str">
        <f>VLOOKUP(Tabela26[[#This Row],[EMP]],[1]LOJA!$A:$B,2,0)</f>
        <v>SOFNORTE</v>
      </c>
      <c r="E804">
        <v>60</v>
      </c>
      <c r="F804" t="s">
        <v>6537</v>
      </c>
      <c r="G804" t="s">
        <v>6536</v>
      </c>
      <c r="H804" t="s">
        <v>3430</v>
      </c>
      <c r="I804">
        <v>5405</v>
      </c>
      <c r="J804" s="3">
        <v>110</v>
      </c>
      <c r="K804" s="3">
        <v>45.09</v>
      </c>
      <c r="L804">
        <v>59.01</v>
      </c>
    </row>
    <row r="805" spans="1:12">
      <c r="A805" s="1">
        <v>46028</v>
      </c>
      <c r="B805" t="s">
        <v>11986</v>
      </c>
      <c r="C805">
        <v>12</v>
      </c>
      <c r="D805" t="str">
        <f>VLOOKUP(Tabela26[[#This Row],[EMP]],[1]LOJA!$A:$B,2,0)</f>
        <v>SOFNORTE</v>
      </c>
      <c r="E805">
        <v>60</v>
      </c>
      <c r="F805" t="s">
        <v>3928</v>
      </c>
      <c r="G805" t="s">
        <v>3927</v>
      </c>
      <c r="H805" t="s">
        <v>3430</v>
      </c>
      <c r="I805">
        <v>5405</v>
      </c>
      <c r="J805" s="3">
        <v>155</v>
      </c>
      <c r="K805" s="3">
        <v>72.62</v>
      </c>
      <c r="L805">
        <v>53.15</v>
      </c>
    </row>
    <row r="806" spans="1:12">
      <c r="A806" s="1">
        <v>46028</v>
      </c>
      <c r="B806" t="s">
        <v>11985</v>
      </c>
      <c r="C806">
        <v>12</v>
      </c>
      <c r="D806" t="str">
        <f>VLOOKUP(Tabela26[[#This Row],[EMP]],[1]LOJA!$A:$B,2,0)</f>
        <v>SOFNORTE</v>
      </c>
      <c r="E806">
        <v>60</v>
      </c>
      <c r="F806" t="s">
        <v>3953</v>
      </c>
      <c r="G806" t="s">
        <v>3952</v>
      </c>
      <c r="H806" t="s">
        <v>3430</v>
      </c>
      <c r="I806">
        <v>5405</v>
      </c>
      <c r="J806" s="3">
        <v>127</v>
      </c>
      <c r="K806" s="3">
        <v>52.24</v>
      </c>
      <c r="L806">
        <v>58.87</v>
      </c>
    </row>
    <row r="807" spans="1:12">
      <c r="A807" s="1">
        <v>46028</v>
      </c>
      <c r="B807" t="s">
        <v>11984</v>
      </c>
      <c r="C807">
        <v>12</v>
      </c>
      <c r="D807" t="str">
        <f>VLOOKUP(Tabela26[[#This Row],[EMP]],[1]LOJA!$A:$B,2,0)</f>
        <v>SOFNORTE</v>
      </c>
      <c r="E807">
        <v>60</v>
      </c>
      <c r="F807" t="s">
        <v>3928</v>
      </c>
      <c r="G807" t="s">
        <v>3927</v>
      </c>
      <c r="H807" t="s">
        <v>3430</v>
      </c>
      <c r="I807">
        <v>5405</v>
      </c>
      <c r="J807" s="3">
        <v>279</v>
      </c>
      <c r="K807" s="3">
        <v>129.88999999999999</v>
      </c>
      <c r="L807">
        <v>53.44</v>
      </c>
    </row>
    <row r="808" spans="1:12">
      <c r="A808" s="1">
        <v>46028</v>
      </c>
      <c r="B808" t="s">
        <v>11983</v>
      </c>
      <c r="C808">
        <v>12</v>
      </c>
      <c r="D808" t="str">
        <f>VLOOKUP(Tabela26[[#This Row],[EMP]],[1]LOJA!$A:$B,2,0)</f>
        <v>SOFNORTE</v>
      </c>
      <c r="E808">
        <v>60</v>
      </c>
      <c r="F808" t="s">
        <v>5057</v>
      </c>
      <c r="G808" t="s">
        <v>5056</v>
      </c>
      <c r="H808" t="s">
        <v>3430</v>
      </c>
      <c r="I808">
        <v>5405</v>
      </c>
      <c r="J808" s="3">
        <v>586</v>
      </c>
      <c r="K808" s="3">
        <v>288.32</v>
      </c>
      <c r="L808">
        <v>50.8</v>
      </c>
    </row>
    <row r="809" spans="1:12">
      <c r="A809" s="1">
        <v>46028</v>
      </c>
      <c r="B809" t="s">
        <v>11982</v>
      </c>
      <c r="C809">
        <v>12</v>
      </c>
      <c r="D809" t="str">
        <f>VLOOKUP(Tabela26[[#This Row],[EMP]],[1]LOJA!$A:$B,2,0)</f>
        <v>SOFNORTE</v>
      </c>
      <c r="E809">
        <v>239</v>
      </c>
      <c r="F809" t="s">
        <v>5057</v>
      </c>
      <c r="G809" t="s">
        <v>5056</v>
      </c>
      <c r="H809" t="s">
        <v>3430</v>
      </c>
      <c r="I809">
        <v>5102</v>
      </c>
      <c r="J809" s="3">
        <v>27.79</v>
      </c>
      <c r="K809" s="3">
        <v>12.57</v>
      </c>
      <c r="L809">
        <v>54.77</v>
      </c>
    </row>
    <row r="810" spans="1:12">
      <c r="A810" s="1">
        <v>46028</v>
      </c>
      <c r="B810" t="s">
        <v>11981</v>
      </c>
      <c r="C810">
        <v>4</v>
      </c>
      <c r="D810" t="str">
        <f>VLOOKUP(Tabela26[[#This Row],[EMP]],[1]LOJA!$A:$B,2,0)</f>
        <v>ADE</v>
      </c>
      <c r="E810">
        <v>132</v>
      </c>
      <c r="F810" t="s">
        <v>11980</v>
      </c>
      <c r="G810" t="s">
        <v>3402</v>
      </c>
      <c r="H810" t="s">
        <v>3408</v>
      </c>
      <c r="I810">
        <v>5405</v>
      </c>
      <c r="J810" s="3">
        <v>50</v>
      </c>
      <c r="K810" s="3">
        <v>28.07</v>
      </c>
      <c r="L810">
        <v>43.86</v>
      </c>
    </row>
    <row r="811" spans="1:12">
      <c r="A811" s="1">
        <v>46028</v>
      </c>
      <c r="B811" t="s">
        <v>11979</v>
      </c>
      <c r="C811">
        <v>4</v>
      </c>
      <c r="D811" t="str">
        <f>VLOOKUP(Tabela26[[#This Row],[EMP]],[1]LOJA!$A:$B,2,0)</f>
        <v>ADE</v>
      </c>
      <c r="E811">
        <v>132</v>
      </c>
      <c r="F811" t="s">
        <v>4574</v>
      </c>
      <c r="G811" t="s">
        <v>4573</v>
      </c>
      <c r="H811" t="s">
        <v>3401</v>
      </c>
      <c r="I811">
        <v>5102</v>
      </c>
      <c r="J811" s="3">
        <v>224</v>
      </c>
      <c r="K811" s="3">
        <v>146.22999999999999</v>
      </c>
      <c r="L811">
        <v>34.72</v>
      </c>
    </row>
    <row r="812" spans="1:12">
      <c r="A812" s="1">
        <v>46028</v>
      </c>
      <c r="B812" t="s">
        <v>11978</v>
      </c>
      <c r="C812">
        <v>4</v>
      </c>
      <c r="D812" t="str">
        <f>VLOOKUP(Tabela26[[#This Row],[EMP]],[1]LOJA!$A:$B,2,0)</f>
        <v>ADE</v>
      </c>
      <c r="E812">
        <v>109</v>
      </c>
      <c r="F812" t="s">
        <v>11977</v>
      </c>
      <c r="G812" t="s">
        <v>11976</v>
      </c>
      <c r="H812" t="s">
        <v>3401</v>
      </c>
      <c r="I812">
        <v>5405</v>
      </c>
      <c r="J812" s="3">
        <v>769.48</v>
      </c>
      <c r="K812" s="3">
        <v>372.32</v>
      </c>
      <c r="L812">
        <v>51.61</v>
      </c>
    </row>
    <row r="813" spans="1:12">
      <c r="A813" s="1">
        <v>46028</v>
      </c>
      <c r="B813" t="s">
        <v>11975</v>
      </c>
      <c r="C813">
        <v>4</v>
      </c>
      <c r="D813" t="str">
        <f>VLOOKUP(Tabela26[[#This Row],[EMP]],[1]LOJA!$A:$B,2,0)</f>
        <v>ADE</v>
      </c>
      <c r="E813">
        <v>132</v>
      </c>
      <c r="F813" t="s">
        <v>4558</v>
      </c>
      <c r="G813" t="s">
        <v>4557</v>
      </c>
      <c r="H813" t="s">
        <v>7043</v>
      </c>
      <c r="I813">
        <v>5405</v>
      </c>
      <c r="J813" s="3">
        <v>38</v>
      </c>
      <c r="K813" s="3">
        <v>16.940000000000001</v>
      </c>
      <c r="L813">
        <v>55.42</v>
      </c>
    </row>
    <row r="814" spans="1:12">
      <c r="A814" s="1">
        <v>46028</v>
      </c>
      <c r="B814" t="s">
        <v>11974</v>
      </c>
      <c r="C814">
        <v>4</v>
      </c>
      <c r="D814" t="str">
        <f>VLOOKUP(Tabela26[[#This Row],[EMP]],[1]LOJA!$A:$B,2,0)</f>
        <v>ADE</v>
      </c>
      <c r="E814">
        <v>132</v>
      </c>
      <c r="F814" t="s">
        <v>4565</v>
      </c>
      <c r="G814" t="s">
        <v>4564</v>
      </c>
      <c r="H814" t="s">
        <v>3408</v>
      </c>
      <c r="I814">
        <v>5102</v>
      </c>
      <c r="J814" s="3">
        <v>69.900000000000006</v>
      </c>
      <c r="K814" s="3">
        <v>38.06</v>
      </c>
      <c r="L814">
        <v>45.55</v>
      </c>
    </row>
    <row r="815" spans="1:12">
      <c r="A815" s="1">
        <v>46028</v>
      </c>
      <c r="B815" t="s">
        <v>11973</v>
      </c>
      <c r="C815">
        <v>4</v>
      </c>
      <c r="D815" t="str">
        <f>VLOOKUP(Tabela26[[#This Row],[EMP]],[1]LOJA!$A:$B,2,0)</f>
        <v>ADE</v>
      </c>
      <c r="E815">
        <v>132</v>
      </c>
      <c r="F815" t="s">
        <v>7697</v>
      </c>
      <c r="G815" t="s">
        <v>7696</v>
      </c>
      <c r="H815" t="s">
        <v>3408</v>
      </c>
      <c r="I815">
        <v>5102</v>
      </c>
      <c r="J815" s="3">
        <v>689.4</v>
      </c>
      <c r="K815" s="3">
        <v>436.06</v>
      </c>
      <c r="L815">
        <v>36.75</v>
      </c>
    </row>
    <row r="816" spans="1:12">
      <c r="A816" s="1">
        <v>46028</v>
      </c>
      <c r="B816" t="s">
        <v>11972</v>
      </c>
      <c r="C816">
        <v>4</v>
      </c>
      <c r="D816" t="str">
        <f>VLOOKUP(Tabela26[[#This Row],[EMP]],[1]LOJA!$A:$B,2,0)</f>
        <v>ADE</v>
      </c>
      <c r="E816">
        <v>132</v>
      </c>
      <c r="F816" t="s">
        <v>3403</v>
      </c>
      <c r="G816" t="s">
        <v>3402</v>
      </c>
      <c r="H816" t="s">
        <v>3401</v>
      </c>
      <c r="I816">
        <v>5102</v>
      </c>
      <c r="J816" s="3">
        <v>74</v>
      </c>
      <c r="K816" s="3">
        <v>38.19</v>
      </c>
      <c r="L816">
        <v>48.39</v>
      </c>
    </row>
    <row r="817" spans="1:12">
      <c r="A817" s="1">
        <v>46028</v>
      </c>
      <c r="B817" t="s">
        <v>11971</v>
      </c>
      <c r="C817">
        <v>4</v>
      </c>
      <c r="D817" t="str">
        <f>VLOOKUP(Tabela26[[#This Row],[EMP]],[1]LOJA!$A:$B,2,0)</f>
        <v>ADE</v>
      </c>
      <c r="E817">
        <v>132</v>
      </c>
      <c r="F817" t="s">
        <v>3403</v>
      </c>
      <c r="G817" t="s">
        <v>3402</v>
      </c>
      <c r="H817" t="s">
        <v>3401</v>
      </c>
      <c r="I817">
        <v>5102</v>
      </c>
      <c r="J817" s="3">
        <v>9.6</v>
      </c>
      <c r="K817" s="3">
        <v>4.16</v>
      </c>
      <c r="L817">
        <v>56.67</v>
      </c>
    </row>
    <row r="818" spans="1:12">
      <c r="A818" s="1">
        <v>46028</v>
      </c>
      <c r="B818" t="s">
        <v>11970</v>
      </c>
      <c r="C818">
        <v>4</v>
      </c>
      <c r="D818" t="str">
        <f>VLOOKUP(Tabela26[[#This Row],[EMP]],[1]LOJA!$A:$B,2,0)</f>
        <v>ADE</v>
      </c>
      <c r="E818">
        <v>132</v>
      </c>
      <c r="F818" t="s">
        <v>3403</v>
      </c>
      <c r="G818" t="s">
        <v>3402</v>
      </c>
      <c r="H818" t="s">
        <v>3401</v>
      </c>
      <c r="I818">
        <v>5102</v>
      </c>
      <c r="J818" s="3">
        <v>250</v>
      </c>
      <c r="K818" s="3">
        <v>147.12</v>
      </c>
      <c r="L818">
        <v>41.15</v>
      </c>
    </row>
    <row r="819" spans="1:12">
      <c r="A819" s="1">
        <v>46028</v>
      </c>
      <c r="B819" t="s">
        <v>11969</v>
      </c>
      <c r="C819">
        <v>4</v>
      </c>
      <c r="D819" t="str">
        <f>VLOOKUP(Tabela26[[#This Row],[EMP]],[1]LOJA!$A:$B,2,0)</f>
        <v>ADE</v>
      </c>
      <c r="E819">
        <v>132</v>
      </c>
      <c r="F819" t="s">
        <v>6339</v>
      </c>
      <c r="G819" t="s">
        <v>3402</v>
      </c>
      <c r="H819" t="s">
        <v>3408</v>
      </c>
      <c r="I819">
        <v>5102</v>
      </c>
      <c r="J819" s="3">
        <v>125</v>
      </c>
      <c r="K819" s="3">
        <v>78.3</v>
      </c>
      <c r="L819">
        <v>37.36</v>
      </c>
    </row>
    <row r="820" spans="1:12">
      <c r="A820" s="1">
        <v>46028</v>
      </c>
      <c r="B820" t="s">
        <v>11968</v>
      </c>
      <c r="C820">
        <v>4</v>
      </c>
      <c r="D820" t="str">
        <f>VLOOKUP(Tabela26[[#This Row],[EMP]],[1]LOJA!$A:$B,2,0)</f>
        <v>ADE</v>
      </c>
      <c r="E820">
        <v>132</v>
      </c>
      <c r="F820" t="s">
        <v>3403</v>
      </c>
      <c r="G820" t="s">
        <v>3402</v>
      </c>
      <c r="H820" t="s">
        <v>3401</v>
      </c>
      <c r="I820">
        <v>5102</v>
      </c>
      <c r="J820" s="3">
        <v>25</v>
      </c>
      <c r="K820" s="3">
        <v>12.83</v>
      </c>
      <c r="L820">
        <v>48.68</v>
      </c>
    </row>
    <row r="821" spans="1:12">
      <c r="A821" s="1">
        <v>46028</v>
      </c>
      <c r="B821" t="s">
        <v>11967</v>
      </c>
      <c r="C821">
        <v>4</v>
      </c>
      <c r="D821" t="str">
        <f>VLOOKUP(Tabela26[[#This Row],[EMP]],[1]LOJA!$A:$B,2,0)</f>
        <v>ADE</v>
      </c>
      <c r="E821">
        <v>132</v>
      </c>
      <c r="F821" t="s">
        <v>3403</v>
      </c>
      <c r="G821" t="s">
        <v>3402</v>
      </c>
      <c r="H821" t="s">
        <v>3401</v>
      </c>
      <c r="I821">
        <v>5102</v>
      </c>
      <c r="J821" s="3">
        <v>205.04</v>
      </c>
      <c r="K821" s="3">
        <v>98.71</v>
      </c>
      <c r="L821">
        <v>51.86</v>
      </c>
    </row>
    <row r="822" spans="1:12">
      <c r="A822" s="1">
        <v>46028</v>
      </c>
      <c r="B822" t="s">
        <v>11966</v>
      </c>
      <c r="C822">
        <v>4</v>
      </c>
      <c r="D822" t="str">
        <f>VLOOKUP(Tabela26[[#This Row],[EMP]],[1]LOJA!$A:$B,2,0)</f>
        <v>ADE</v>
      </c>
      <c r="E822">
        <v>132</v>
      </c>
      <c r="F822" t="s">
        <v>4568</v>
      </c>
      <c r="G822" t="s">
        <v>4567</v>
      </c>
      <c r="H822" t="s">
        <v>3408</v>
      </c>
      <c r="I822">
        <v>5405</v>
      </c>
      <c r="J822" s="3">
        <v>267.12</v>
      </c>
      <c r="K822" s="3">
        <v>139.24</v>
      </c>
      <c r="L822">
        <v>47.87</v>
      </c>
    </row>
    <row r="823" spans="1:12">
      <c r="A823" s="1">
        <v>46028</v>
      </c>
      <c r="B823" t="s">
        <v>11965</v>
      </c>
      <c r="C823">
        <v>16</v>
      </c>
      <c r="D823" t="str">
        <f>VLOOKUP(Tabela26[[#This Row],[EMP]],[1]LOJA!$A:$B,2,0)</f>
        <v>AG LINDAS</v>
      </c>
      <c r="E823">
        <v>240</v>
      </c>
      <c r="F823" t="s">
        <v>3780</v>
      </c>
      <c r="G823" t="s">
        <v>3437</v>
      </c>
      <c r="H823" t="s">
        <v>3401</v>
      </c>
      <c r="I823">
        <v>5102</v>
      </c>
      <c r="J823" s="3">
        <v>27.7</v>
      </c>
      <c r="K823" s="3">
        <v>17.100000000000001</v>
      </c>
      <c r="L823">
        <v>38.270000000000003</v>
      </c>
    </row>
    <row r="824" spans="1:12">
      <c r="A824" s="1">
        <v>46028</v>
      </c>
      <c r="B824" t="s">
        <v>11964</v>
      </c>
      <c r="C824">
        <v>16</v>
      </c>
      <c r="D824" t="str">
        <f>VLOOKUP(Tabela26[[#This Row],[EMP]],[1]LOJA!$A:$B,2,0)</f>
        <v>AG LINDAS</v>
      </c>
      <c r="E824">
        <v>240</v>
      </c>
      <c r="F824" t="s">
        <v>3780</v>
      </c>
      <c r="G824" t="s">
        <v>3437</v>
      </c>
      <c r="H824" t="s">
        <v>3401</v>
      </c>
      <c r="I824">
        <v>5102</v>
      </c>
      <c r="J824" s="3">
        <v>50.5</v>
      </c>
      <c r="K824" s="3">
        <v>30.57</v>
      </c>
      <c r="L824">
        <v>39.47</v>
      </c>
    </row>
    <row r="825" spans="1:12">
      <c r="A825" s="1">
        <v>46028</v>
      </c>
      <c r="B825" t="s">
        <v>11963</v>
      </c>
      <c r="C825">
        <v>16</v>
      </c>
      <c r="D825" t="str">
        <f>VLOOKUP(Tabela26[[#This Row],[EMP]],[1]LOJA!$A:$B,2,0)</f>
        <v>AG LINDAS</v>
      </c>
      <c r="E825">
        <v>240</v>
      </c>
      <c r="F825" t="s">
        <v>7674</v>
      </c>
      <c r="G825" t="s">
        <v>7673</v>
      </c>
      <c r="H825" t="s">
        <v>3401</v>
      </c>
      <c r="I825">
        <v>5102</v>
      </c>
      <c r="J825" s="3">
        <v>250.2</v>
      </c>
      <c r="K825" s="3">
        <v>146.5</v>
      </c>
      <c r="L825">
        <v>41.45</v>
      </c>
    </row>
    <row r="826" spans="1:12">
      <c r="A826" s="1">
        <v>46028</v>
      </c>
      <c r="B826" t="s">
        <v>11962</v>
      </c>
      <c r="C826">
        <v>16</v>
      </c>
      <c r="D826" t="str">
        <f>VLOOKUP(Tabela26[[#This Row],[EMP]],[1]LOJA!$A:$B,2,0)</f>
        <v>AG LINDAS</v>
      </c>
      <c r="E826">
        <v>240</v>
      </c>
      <c r="F826" t="s">
        <v>3780</v>
      </c>
      <c r="G826" t="s">
        <v>3437</v>
      </c>
      <c r="H826" t="s">
        <v>3401</v>
      </c>
      <c r="I826">
        <v>5102</v>
      </c>
      <c r="J826" s="3">
        <v>84</v>
      </c>
      <c r="K826" s="3">
        <v>45.23</v>
      </c>
      <c r="L826">
        <v>46.15</v>
      </c>
    </row>
    <row r="827" spans="1:12">
      <c r="A827" s="1">
        <v>46028</v>
      </c>
      <c r="B827" t="s">
        <v>11961</v>
      </c>
      <c r="C827">
        <v>16</v>
      </c>
      <c r="D827" t="str">
        <f>VLOOKUP(Tabela26[[#This Row],[EMP]],[1]LOJA!$A:$B,2,0)</f>
        <v>AG LINDAS</v>
      </c>
      <c r="E827">
        <v>240</v>
      </c>
      <c r="F827" t="s">
        <v>4540</v>
      </c>
      <c r="G827" t="s">
        <v>3437</v>
      </c>
      <c r="H827" t="s">
        <v>3401</v>
      </c>
      <c r="I827">
        <v>5405</v>
      </c>
      <c r="J827" s="3">
        <v>145.69999999999999</v>
      </c>
      <c r="K827" s="3">
        <v>85.05</v>
      </c>
      <c r="L827">
        <v>41.63</v>
      </c>
    </row>
    <row r="828" spans="1:12">
      <c r="A828" s="1">
        <v>46028</v>
      </c>
      <c r="B828" t="s">
        <v>11960</v>
      </c>
      <c r="C828">
        <v>16</v>
      </c>
      <c r="D828" t="str">
        <f>VLOOKUP(Tabela26[[#This Row],[EMP]],[1]LOJA!$A:$B,2,0)</f>
        <v>AG LINDAS</v>
      </c>
      <c r="E828">
        <v>240</v>
      </c>
      <c r="F828" t="s">
        <v>5133</v>
      </c>
      <c r="G828" t="s">
        <v>5132</v>
      </c>
      <c r="H828" t="s">
        <v>3401</v>
      </c>
      <c r="I828">
        <v>6108</v>
      </c>
      <c r="J828" s="3">
        <v>1479.8</v>
      </c>
      <c r="K828" s="3">
        <v>931.17</v>
      </c>
      <c r="L828">
        <v>37.07</v>
      </c>
    </row>
    <row r="829" spans="1:12">
      <c r="A829" s="1">
        <v>46028</v>
      </c>
      <c r="B829" t="s">
        <v>11959</v>
      </c>
      <c r="C829">
        <v>16</v>
      </c>
      <c r="D829" t="str">
        <f>VLOOKUP(Tabela26[[#This Row],[EMP]],[1]LOJA!$A:$B,2,0)</f>
        <v>AG LINDAS</v>
      </c>
      <c r="E829">
        <v>240</v>
      </c>
      <c r="F829" t="s">
        <v>3818</v>
      </c>
      <c r="G829" t="s">
        <v>3817</v>
      </c>
      <c r="H829" t="s">
        <v>3401</v>
      </c>
      <c r="I829">
        <v>5102</v>
      </c>
      <c r="J829" s="3">
        <v>67.5</v>
      </c>
      <c r="K829" s="3">
        <v>40.1</v>
      </c>
      <c r="L829">
        <v>40.590000000000003</v>
      </c>
    </row>
    <row r="830" spans="1:12">
      <c r="A830" s="1">
        <v>46028</v>
      </c>
      <c r="B830" t="s">
        <v>11958</v>
      </c>
      <c r="C830">
        <v>16</v>
      </c>
      <c r="D830" t="str">
        <f>VLOOKUP(Tabela26[[#This Row],[EMP]],[1]LOJA!$A:$B,2,0)</f>
        <v>AG LINDAS</v>
      </c>
      <c r="E830">
        <v>240</v>
      </c>
      <c r="F830" t="s">
        <v>5663</v>
      </c>
      <c r="G830" t="s">
        <v>3437</v>
      </c>
      <c r="H830" t="s">
        <v>3401</v>
      </c>
      <c r="I830">
        <v>5405</v>
      </c>
      <c r="J830" s="3">
        <v>266</v>
      </c>
      <c r="K830" s="3">
        <v>138.47</v>
      </c>
      <c r="L830">
        <v>47.94</v>
      </c>
    </row>
    <row r="831" spans="1:12">
      <c r="A831" s="1">
        <v>46028</v>
      </c>
      <c r="B831" t="s">
        <v>11957</v>
      </c>
      <c r="C831">
        <v>16</v>
      </c>
      <c r="D831" t="str">
        <f>VLOOKUP(Tabela26[[#This Row],[EMP]],[1]LOJA!$A:$B,2,0)</f>
        <v>AG LINDAS</v>
      </c>
      <c r="E831">
        <v>240</v>
      </c>
      <c r="F831" t="s">
        <v>3780</v>
      </c>
      <c r="G831" t="s">
        <v>3437</v>
      </c>
      <c r="H831" t="s">
        <v>3401</v>
      </c>
      <c r="I831">
        <v>5102</v>
      </c>
      <c r="J831" s="3">
        <v>60</v>
      </c>
      <c r="K831" s="3">
        <v>28.52</v>
      </c>
      <c r="L831">
        <v>52.47</v>
      </c>
    </row>
    <row r="832" spans="1:12">
      <c r="A832" s="1">
        <v>46028</v>
      </c>
      <c r="B832" t="s">
        <v>11956</v>
      </c>
      <c r="C832">
        <v>16</v>
      </c>
      <c r="D832" t="str">
        <f>VLOOKUP(Tabela26[[#This Row],[EMP]],[1]LOJA!$A:$B,2,0)</f>
        <v>AG LINDAS</v>
      </c>
      <c r="E832">
        <v>240</v>
      </c>
      <c r="F832" t="s">
        <v>4516</v>
      </c>
      <c r="G832" t="s">
        <v>4515</v>
      </c>
      <c r="H832" t="s">
        <v>3401</v>
      </c>
      <c r="I832">
        <v>5405</v>
      </c>
      <c r="J832" s="3">
        <v>69.5</v>
      </c>
      <c r="K832" s="3">
        <v>37.619999999999997</v>
      </c>
      <c r="L832">
        <v>45.87</v>
      </c>
    </row>
    <row r="833" spans="1:12">
      <c r="A833" s="1">
        <v>46028</v>
      </c>
      <c r="B833" t="s">
        <v>11955</v>
      </c>
      <c r="C833">
        <v>16</v>
      </c>
      <c r="D833" t="str">
        <f>VLOOKUP(Tabela26[[#This Row],[EMP]],[1]LOJA!$A:$B,2,0)</f>
        <v>AG LINDAS</v>
      </c>
      <c r="E833">
        <v>240</v>
      </c>
      <c r="F833" t="s">
        <v>3780</v>
      </c>
      <c r="G833" t="s">
        <v>3437</v>
      </c>
      <c r="H833" t="s">
        <v>3401</v>
      </c>
      <c r="I833">
        <v>5405</v>
      </c>
      <c r="J833" s="3">
        <v>81</v>
      </c>
      <c r="K833" s="3">
        <v>43.61</v>
      </c>
      <c r="L833">
        <v>46.16</v>
      </c>
    </row>
    <row r="834" spans="1:12">
      <c r="A834" s="1">
        <v>46028</v>
      </c>
      <c r="B834" t="s">
        <v>11954</v>
      </c>
      <c r="C834">
        <v>16</v>
      </c>
      <c r="D834" t="str">
        <f>VLOOKUP(Tabela26[[#This Row],[EMP]],[1]LOJA!$A:$B,2,0)</f>
        <v>AG LINDAS</v>
      </c>
      <c r="E834">
        <v>240</v>
      </c>
      <c r="F834" t="s">
        <v>3796</v>
      </c>
      <c r="G834" t="s">
        <v>3795</v>
      </c>
      <c r="H834" t="s">
        <v>3408</v>
      </c>
      <c r="I834">
        <v>5405</v>
      </c>
      <c r="J834" s="3">
        <v>175.7</v>
      </c>
      <c r="K834" s="3">
        <v>89.24</v>
      </c>
      <c r="L834">
        <v>49.21</v>
      </c>
    </row>
    <row r="835" spans="1:12">
      <c r="A835" s="1">
        <v>46028</v>
      </c>
      <c r="B835" t="s">
        <v>11953</v>
      </c>
      <c r="C835">
        <v>16</v>
      </c>
      <c r="D835" t="str">
        <f>VLOOKUP(Tabela26[[#This Row],[EMP]],[1]LOJA!$A:$B,2,0)</f>
        <v>AG LINDAS</v>
      </c>
      <c r="E835">
        <v>240</v>
      </c>
      <c r="F835" t="s">
        <v>5663</v>
      </c>
      <c r="G835" t="s">
        <v>3437</v>
      </c>
      <c r="H835" t="s">
        <v>3401</v>
      </c>
      <c r="I835">
        <v>5102</v>
      </c>
      <c r="J835" s="3">
        <v>27</v>
      </c>
      <c r="K835" s="3">
        <v>19.68</v>
      </c>
      <c r="L835">
        <v>27.11</v>
      </c>
    </row>
    <row r="836" spans="1:12">
      <c r="A836" s="1">
        <v>46028</v>
      </c>
      <c r="B836" t="s">
        <v>11952</v>
      </c>
      <c r="C836">
        <v>16</v>
      </c>
      <c r="D836" t="str">
        <f>VLOOKUP(Tabela26[[#This Row],[EMP]],[1]LOJA!$A:$B,2,0)</f>
        <v>AG LINDAS</v>
      </c>
      <c r="E836">
        <v>240</v>
      </c>
      <c r="F836" t="s">
        <v>4534</v>
      </c>
      <c r="G836" t="s">
        <v>4533</v>
      </c>
      <c r="H836" t="s">
        <v>3401</v>
      </c>
      <c r="I836">
        <v>5102</v>
      </c>
      <c r="J836" s="3">
        <v>66.900000000000006</v>
      </c>
      <c r="K836" s="3">
        <v>30.64</v>
      </c>
      <c r="L836">
        <v>54.2</v>
      </c>
    </row>
    <row r="837" spans="1:12">
      <c r="A837" s="1">
        <v>46028</v>
      </c>
      <c r="B837" t="s">
        <v>11951</v>
      </c>
      <c r="C837">
        <v>16</v>
      </c>
      <c r="D837" t="str">
        <f>VLOOKUP(Tabela26[[#This Row],[EMP]],[1]LOJA!$A:$B,2,0)</f>
        <v>AG LINDAS</v>
      </c>
      <c r="E837">
        <v>240</v>
      </c>
      <c r="F837" t="s">
        <v>7674</v>
      </c>
      <c r="G837" t="s">
        <v>7673</v>
      </c>
      <c r="H837" t="s">
        <v>3401</v>
      </c>
      <c r="I837">
        <v>5405</v>
      </c>
      <c r="J837" s="3">
        <v>208.9</v>
      </c>
      <c r="K837" s="3">
        <v>111.32</v>
      </c>
      <c r="L837">
        <v>46.71</v>
      </c>
    </row>
    <row r="838" spans="1:12">
      <c r="A838" s="1">
        <v>46028</v>
      </c>
      <c r="B838" t="s">
        <v>11950</v>
      </c>
      <c r="C838">
        <v>16</v>
      </c>
      <c r="D838" t="str">
        <f>VLOOKUP(Tabela26[[#This Row],[EMP]],[1]LOJA!$A:$B,2,0)</f>
        <v>AG LINDAS</v>
      </c>
      <c r="E838">
        <v>240</v>
      </c>
      <c r="F838" t="s">
        <v>3780</v>
      </c>
      <c r="G838" t="s">
        <v>3437</v>
      </c>
      <c r="H838" t="s">
        <v>3401</v>
      </c>
      <c r="I838">
        <v>5102</v>
      </c>
      <c r="J838" s="3">
        <v>127.4</v>
      </c>
      <c r="K838" s="3">
        <v>75.22</v>
      </c>
      <c r="L838">
        <v>40.96</v>
      </c>
    </row>
    <row r="839" spans="1:12">
      <c r="A839" s="1">
        <v>46028</v>
      </c>
      <c r="B839" t="s">
        <v>11949</v>
      </c>
      <c r="C839">
        <v>16</v>
      </c>
      <c r="D839" t="str">
        <f>VLOOKUP(Tabela26[[#This Row],[EMP]],[1]LOJA!$A:$B,2,0)</f>
        <v>AG LINDAS</v>
      </c>
      <c r="E839">
        <v>240</v>
      </c>
      <c r="F839" t="s">
        <v>5657</v>
      </c>
      <c r="G839" t="s">
        <v>5656</v>
      </c>
      <c r="H839" t="s">
        <v>3401</v>
      </c>
      <c r="I839">
        <v>5405</v>
      </c>
      <c r="J839" s="3">
        <v>180.9</v>
      </c>
      <c r="K839" s="3">
        <v>102.52</v>
      </c>
      <c r="L839">
        <v>43.33</v>
      </c>
    </row>
    <row r="840" spans="1:12">
      <c r="A840" s="1">
        <v>46028</v>
      </c>
      <c r="B840" t="s">
        <v>11948</v>
      </c>
      <c r="C840">
        <v>16</v>
      </c>
      <c r="D840" t="str">
        <f>VLOOKUP(Tabela26[[#This Row],[EMP]],[1]LOJA!$A:$B,2,0)</f>
        <v>AG LINDAS</v>
      </c>
      <c r="E840">
        <v>240</v>
      </c>
      <c r="F840" t="s">
        <v>6714</v>
      </c>
      <c r="G840" t="s">
        <v>3437</v>
      </c>
      <c r="H840" t="s">
        <v>3401</v>
      </c>
      <c r="I840">
        <v>5405</v>
      </c>
      <c r="J840" s="3">
        <v>67.3</v>
      </c>
      <c r="K840" s="3">
        <v>37.130000000000003</v>
      </c>
      <c r="L840">
        <v>44.83</v>
      </c>
    </row>
    <row r="841" spans="1:12">
      <c r="A841" s="1">
        <v>46028</v>
      </c>
      <c r="B841" t="s">
        <v>11947</v>
      </c>
      <c r="C841">
        <v>14</v>
      </c>
      <c r="D841" t="str">
        <f>VLOOKUP(Tabela26[[#This Row],[EMP]],[1]LOJA!$A:$B,2,0)</f>
        <v>S IA</v>
      </c>
      <c r="E841">
        <v>212</v>
      </c>
      <c r="F841" t="s">
        <v>11946</v>
      </c>
      <c r="G841" t="s">
        <v>11945</v>
      </c>
      <c r="H841" t="s">
        <v>3401</v>
      </c>
      <c r="I841">
        <v>5102</v>
      </c>
      <c r="J841" s="3">
        <v>201</v>
      </c>
      <c r="K841" s="3">
        <v>105.93</v>
      </c>
      <c r="L841">
        <v>47.3</v>
      </c>
    </row>
    <row r="842" spans="1:12">
      <c r="A842" s="1">
        <v>46028</v>
      </c>
      <c r="B842" t="s">
        <v>11944</v>
      </c>
      <c r="C842">
        <v>14</v>
      </c>
      <c r="D842" t="str">
        <f>VLOOKUP(Tabela26[[#This Row],[EMP]],[1]LOJA!$A:$B,2,0)</f>
        <v>S IA</v>
      </c>
      <c r="E842">
        <v>54</v>
      </c>
      <c r="F842" t="s">
        <v>3762</v>
      </c>
      <c r="G842" t="s">
        <v>3761</v>
      </c>
      <c r="H842" t="s">
        <v>3430</v>
      </c>
      <c r="I842">
        <v>5405</v>
      </c>
      <c r="J842" s="3">
        <v>246.37</v>
      </c>
      <c r="K842" s="3">
        <v>128.9</v>
      </c>
      <c r="L842">
        <v>47.68</v>
      </c>
    </row>
    <row r="843" spans="1:12">
      <c r="A843" s="1">
        <v>46028</v>
      </c>
      <c r="B843" t="s">
        <v>11943</v>
      </c>
      <c r="C843">
        <v>14</v>
      </c>
      <c r="D843" t="str">
        <f>VLOOKUP(Tabela26[[#This Row],[EMP]],[1]LOJA!$A:$B,2,0)</f>
        <v>S IA</v>
      </c>
      <c r="E843">
        <v>212</v>
      </c>
      <c r="F843" t="s">
        <v>5076</v>
      </c>
      <c r="G843" t="s">
        <v>5075</v>
      </c>
      <c r="H843" t="s">
        <v>3408</v>
      </c>
      <c r="I843">
        <v>5405</v>
      </c>
      <c r="J843" s="3">
        <v>280.06</v>
      </c>
      <c r="K843" s="3">
        <v>140.28</v>
      </c>
      <c r="L843">
        <v>49.91</v>
      </c>
    </row>
    <row r="844" spans="1:12">
      <c r="A844" s="1">
        <v>46028</v>
      </c>
      <c r="B844" t="s">
        <v>11942</v>
      </c>
      <c r="C844">
        <v>14</v>
      </c>
      <c r="D844" t="str">
        <f>VLOOKUP(Tabela26[[#This Row],[EMP]],[1]LOJA!$A:$B,2,0)</f>
        <v>S IA</v>
      </c>
      <c r="E844">
        <v>54</v>
      </c>
      <c r="F844" t="s">
        <v>4488</v>
      </c>
      <c r="G844" t="s">
        <v>4487</v>
      </c>
      <c r="H844" t="s">
        <v>3401</v>
      </c>
      <c r="I844">
        <v>5405</v>
      </c>
      <c r="J844" s="3">
        <v>1488.2</v>
      </c>
      <c r="K844" s="3">
        <v>827.64</v>
      </c>
      <c r="L844">
        <v>44.39</v>
      </c>
    </row>
    <row r="845" spans="1:12">
      <c r="A845" s="1">
        <v>46028</v>
      </c>
      <c r="B845" t="s">
        <v>11941</v>
      </c>
      <c r="C845">
        <v>14</v>
      </c>
      <c r="D845" t="str">
        <f>VLOOKUP(Tabela26[[#This Row],[EMP]],[1]LOJA!$A:$B,2,0)</f>
        <v>S IA</v>
      </c>
      <c r="E845">
        <v>212</v>
      </c>
      <c r="F845" t="s">
        <v>5076</v>
      </c>
      <c r="G845" t="s">
        <v>5075</v>
      </c>
      <c r="H845" t="s">
        <v>3408</v>
      </c>
      <c r="I845">
        <v>5405</v>
      </c>
      <c r="J845" s="3">
        <v>46</v>
      </c>
      <c r="K845" s="3">
        <v>22.12</v>
      </c>
      <c r="L845">
        <v>51.91</v>
      </c>
    </row>
    <row r="846" spans="1:12">
      <c r="A846" s="1">
        <v>46028</v>
      </c>
      <c r="B846" t="s">
        <v>11940</v>
      </c>
      <c r="C846">
        <v>14</v>
      </c>
      <c r="D846" t="str">
        <f>VLOOKUP(Tabela26[[#This Row],[EMP]],[1]LOJA!$A:$B,2,0)</f>
        <v>S IA</v>
      </c>
      <c r="E846">
        <v>54</v>
      </c>
      <c r="F846" t="s">
        <v>11939</v>
      </c>
      <c r="G846" t="s">
        <v>11938</v>
      </c>
      <c r="H846" t="s">
        <v>3401</v>
      </c>
      <c r="I846">
        <v>5405</v>
      </c>
      <c r="J846" s="3">
        <v>35</v>
      </c>
      <c r="K846" s="3">
        <v>12.37</v>
      </c>
      <c r="L846">
        <v>64.66</v>
      </c>
    </row>
    <row r="847" spans="1:12">
      <c r="A847" s="1">
        <v>46028</v>
      </c>
      <c r="B847" t="s">
        <v>11937</v>
      </c>
      <c r="C847">
        <v>14</v>
      </c>
      <c r="D847" t="str">
        <f>VLOOKUP(Tabela26[[#This Row],[EMP]],[1]LOJA!$A:$B,2,0)</f>
        <v>S IA</v>
      </c>
      <c r="E847">
        <v>54</v>
      </c>
      <c r="F847" t="s">
        <v>7636</v>
      </c>
      <c r="G847" t="s">
        <v>7635</v>
      </c>
      <c r="H847" t="s">
        <v>3401</v>
      </c>
      <c r="I847">
        <v>5405</v>
      </c>
      <c r="J847" s="3">
        <v>132</v>
      </c>
      <c r="K847" s="3">
        <v>72.11</v>
      </c>
      <c r="L847">
        <v>45.37</v>
      </c>
    </row>
    <row r="848" spans="1:12">
      <c r="A848" s="1">
        <v>46028</v>
      </c>
      <c r="B848" t="s">
        <v>11936</v>
      </c>
      <c r="C848">
        <v>14</v>
      </c>
      <c r="D848" t="str">
        <f>VLOOKUP(Tabela26[[#This Row],[EMP]],[1]LOJA!$A:$B,2,0)</f>
        <v>S IA</v>
      </c>
      <c r="E848">
        <v>54</v>
      </c>
      <c r="F848" t="s">
        <v>5089</v>
      </c>
      <c r="G848" t="s">
        <v>5088</v>
      </c>
      <c r="H848" t="s">
        <v>3430</v>
      </c>
      <c r="I848">
        <v>5405</v>
      </c>
      <c r="J848" s="3">
        <v>183.64</v>
      </c>
      <c r="K848" s="3">
        <v>71.459999999999994</v>
      </c>
      <c r="L848">
        <v>61.09</v>
      </c>
    </row>
    <row r="849" spans="1:12">
      <c r="A849" s="1">
        <v>46028</v>
      </c>
      <c r="B849" t="s">
        <v>11935</v>
      </c>
      <c r="C849">
        <v>14</v>
      </c>
      <c r="D849" t="str">
        <f>VLOOKUP(Tabela26[[#This Row],[EMP]],[1]LOJA!$A:$B,2,0)</f>
        <v>S IA</v>
      </c>
      <c r="E849">
        <v>54</v>
      </c>
      <c r="F849" t="s">
        <v>3762</v>
      </c>
      <c r="G849" t="s">
        <v>3761</v>
      </c>
      <c r="H849" t="s">
        <v>3430</v>
      </c>
      <c r="I849">
        <v>5405</v>
      </c>
      <c r="J849" s="3">
        <v>62.22</v>
      </c>
      <c r="K849" s="3">
        <v>29.62</v>
      </c>
      <c r="L849">
        <v>52.39</v>
      </c>
    </row>
    <row r="850" spans="1:12">
      <c r="A850" s="1">
        <v>46028</v>
      </c>
      <c r="B850" t="s">
        <v>11934</v>
      </c>
      <c r="C850">
        <v>14</v>
      </c>
      <c r="D850" t="str">
        <f>VLOOKUP(Tabela26[[#This Row],[EMP]],[1]LOJA!$A:$B,2,0)</f>
        <v>S IA</v>
      </c>
      <c r="E850">
        <v>54</v>
      </c>
      <c r="F850" t="s">
        <v>11933</v>
      </c>
      <c r="G850" t="s">
        <v>11932</v>
      </c>
      <c r="H850" t="s">
        <v>3408</v>
      </c>
      <c r="I850">
        <v>5405</v>
      </c>
      <c r="J850" s="3">
        <v>60</v>
      </c>
      <c r="K850" s="3">
        <v>27.33</v>
      </c>
      <c r="L850">
        <v>54.45</v>
      </c>
    </row>
    <row r="851" spans="1:12">
      <c r="A851" s="1">
        <v>46028</v>
      </c>
      <c r="B851" t="s">
        <v>11931</v>
      </c>
      <c r="C851">
        <v>14</v>
      </c>
      <c r="D851" t="str">
        <f>VLOOKUP(Tabela26[[#This Row],[EMP]],[1]LOJA!$A:$B,2,0)</f>
        <v>S IA</v>
      </c>
      <c r="E851">
        <v>212</v>
      </c>
      <c r="F851" t="s">
        <v>11930</v>
      </c>
      <c r="G851" t="s">
        <v>11929</v>
      </c>
      <c r="H851" t="s">
        <v>3430</v>
      </c>
      <c r="I851">
        <v>5405</v>
      </c>
      <c r="J851" s="3">
        <v>129</v>
      </c>
      <c r="K851" s="3">
        <v>52.08</v>
      </c>
      <c r="L851">
        <v>59.63</v>
      </c>
    </row>
    <row r="852" spans="1:12">
      <c r="A852" s="1">
        <v>46028</v>
      </c>
      <c r="B852" t="s">
        <v>11928</v>
      </c>
      <c r="C852">
        <v>12</v>
      </c>
      <c r="D852" t="str">
        <f>VLOOKUP(Tabela26[[#This Row],[EMP]],[1]LOJA!$A:$B,2,0)</f>
        <v>SOFNORTE</v>
      </c>
      <c r="E852">
        <v>60</v>
      </c>
      <c r="F852" t="s">
        <v>3704</v>
      </c>
      <c r="G852" t="s">
        <v>3703</v>
      </c>
      <c r="H852" t="s">
        <v>3408</v>
      </c>
      <c r="I852">
        <v>5405</v>
      </c>
      <c r="J852" s="3">
        <v>45</v>
      </c>
      <c r="K852" s="3">
        <v>20.62</v>
      </c>
      <c r="L852">
        <v>54.18</v>
      </c>
    </row>
    <row r="853" spans="1:12">
      <c r="A853" s="1">
        <v>46028</v>
      </c>
      <c r="B853" t="s">
        <v>11927</v>
      </c>
      <c r="C853">
        <v>12</v>
      </c>
      <c r="D853" t="str">
        <f>VLOOKUP(Tabela26[[#This Row],[EMP]],[1]LOJA!$A:$B,2,0)</f>
        <v>SOFNORTE</v>
      </c>
      <c r="E853">
        <v>239</v>
      </c>
      <c r="F853" t="s">
        <v>5057</v>
      </c>
      <c r="G853" t="s">
        <v>5056</v>
      </c>
      <c r="H853" t="s">
        <v>3408</v>
      </c>
      <c r="I853">
        <v>5405</v>
      </c>
      <c r="J853" s="3">
        <v>255</v>
      </c>
      <c r="K853" s="3">
        <v>126.2</v>
      </c>
      <c r="L853">
        <v>50.51</v>
      </c>
    </row>
    <row r="854" spans="1:12">
      <c r="A854" s="1">
        <v>46028</v>
      </c>
      <c r="B854" t="s">
        <v>11926</v>
      </c>
      <c r="C854">
        <v>12</v>
      </c>
      <c r="D854" t="str">
        <f>VLOOKUP(Tabela26[[#This Row],[EMP]],[1]LOJA!$A:$B,2,0)</f>
        <v>SOFNORTE</v>
      </c>
      <c r="E854">
        <v>60</v>
      </c>
      <c r="F854" t="s">
        <v>3737</v>
      </c>
      <c r="G854" t="s">
        <v>3736</v>
      </c>
      <c r="H854" t="s">
        <v>3520</v>
      </c>
      <c r="I854">
        <v>5405</v>
      </c>
      <c r="J854" s="3">
        <v>216</v>
      </c>
      <c r="K854" s="3">
        <v>101.1</v>
      </c>
      <c r="L854">
        <v>53.19</v>
      </c>
    </row>
    <row r="855" spans="1:12">
      <c r="A855" s="1">
        <v>46028</v>
      </c>
      <c r="B855" t="s">
        <v>11925</v>
      </c>
      <c r="C855">
        <v>12</v>
      </c>
      <c r="D855" t="str">
        <f>VLOOKUP(Tabela26[[#This Row],[EMP]],[1]LOJA!$A:$B,2,0)</f>
        <v>SOFNORTE</v>
      </c>
      <c r="E855">
        <v>60</v>
      </c>
      <c r="F855" t="s">
        <v>3704</v>
      </c>
      <c r="G855" t="s">
        <v>3703</v>
      </c>
      <c r="H855" t="s">
        <v>3408</v>
      </c>
      <c r="I855">
        <v>5102</v>
      </c>
      <c r="J855" s="3">
        <v>45</v>
      </c>
      <c r="K855" s="3">
        <v>22.9</v>
      </c>
      <c r="L855">
        <v>49.11</v>
      </c>
    </row>
    <row r="856" spans="1:12">
      <c r="A856" s="1">
        <v>46028</v>
      </c>
      <c r="B856" t="s">
        <v>11924</v>
      </c>
      <c r="C856">
        <v>12</v>
      </c>
      <c r="D856" t="str">
        <f>VLOOKUP(Tabela26[[#This Row],[EMP]],[1]LOJA!$A:$B,2,0)</f>
        <v>SOFNORTE</v>
      </c>
      <c r="E856">
        <v>60</v>
      </c>
      <c r="F856" t="s">
        <v>11923</v>
      </c>
      <c r="G856" t="s">
        <v>3402</v>
      </c>
      <c r="H856" t="s">
        <v>3401</v>
      </c>
      <c r="I856">
        <v>5405</v>
      </c>
      <c r="J856" s="3">
        <v>194</v>
      </c>
      <c r="K856" s="3">
        <v>95.65</v>
      </c>
      <c r="L856">
        <v>50.7</v>
      </c>
    </row>
    <row r="857" spans="1:12">
      <c r="A857" s="1">
        <v>46028</v>
      </c>
      <c r="B857" t="s">
        <v>11922</v>
      </c>
      <c r="C857">
        <v>12</v>
      </c>
      <c r="D857" t="str">
        <f>VLOOKUP(Tabela26[[#This Row],[EMP]],[1]LOJA!$A:$B,2,0)</f>
        <v>SOFNORTE</v>
      </c>
      <c r="E857">
        <v>60</v>
      </c>
      <c r="F857" t="s">
        <v>3701</v>
      </c>
      <c r="G857" t="s">
        <v>3700</v>
      </c>
      <c r="H857" t="s">
        <v>3408</v>
      </c>
      <c r="I857">
        <v>5102</v>
      </c>
      <c r="J857" s="3">
        <v>185</v>
      </c>
      <c r="K857" s="3">
        <v>94.27</v>
      </c>
      <c r="L857">
        <v>49.04</v>
      </c>
    </row>
    <row r="858" spans="1:12">
      <c r="A858" s="1">
        <v>46028</v>
      </c>
      <c r="B858" t="s">
        <v>11921</v>
      </c>
      <c r="C858">
        <v>12</v>
      </c>
      <c r="D858" t="str">
        <f>VLOOKUP(Tabela26[[#This Row],[EMP]],[1]LOJA!$A:$B,2,0)</f>
        <v>SOFNORTE</v>
      </c>
      <c r="E858">
        <v>239</v>
      </c>
      <c r="F858" t="s">
        <v>11920</v>
      </c>
      <c r="G858" t="s">
        <v>3402</v>
      </c>
      <c r="H858" t="s">
        <v>3408</v>
      </c>
      <c r="I858">
        <v>5405</v>
      </c>
      <c r="J858" s="3">
        <v>110</v>
      </c>
      <c r="K858" s="3">
        <v>54.82</v>
      </c>
      <c r="L858">
        <v>50.16</v>
      </c>
    </row>
    <row r="859" spans="1:12">
      <c r="A859" s="1">
        <v>46028</v>
      </c>
      <c r="B859" t="s">
        <v>11919</v>
      </c>
      <c r="C859">
        <v>12</v>
      </c>
      <c r="D859" t="str">
        <f>VLOOKUP(Tabela26[[#This Row],[EMP]],[1]LOJA!$A:$B,2,0)</f>
        <v>SOFNORTE</v>
      </c>
      <c r="E859">
        <v>60</v>
      </c>
      <c r="F859" t="s">
        <v>3726</v>
      </c>
      <c r="G859" t="s">
        <v>3725</v>
      </c>
      <c r="H859" t="s">
        <v>3408</v>
      </c>
      <c r="I859">
        <v>5102</v>
      </c>
      <c r="J859" s="3">
        <v>70</v>
      </c>
      <c r="K859" s="3">
        <v>33.92</v>
      </c>
      <c r="L859">
        <v>51.54</v>
      </c>
    </row>
    <row r="860" spans="1:12">
      <c r="A860" s="1">
        <v>46028</v>
      </c>
      <c r="B860" t="s">
        <v>11918</v>
      </c>
      <c r="C860">
        <v>12</v>
      </c>
      <c r="D860" t="str">
        <f>VLOOKUP(Tabela26[[#This Row],[EMP]],[1]LOJA!$A:$B,2,0)</f>
        <v>SOFNORTE</v>
      </c>
      <c r="E860">
        <v>60</v>
      </c>
      <c r="F860" t="s">
        <v>3726</v>
      </c>
      <c r="G860" t="s">
        <v>3725</v>
      </c>
      <c r="H860" t="s">
        <v>3408</v>
      </c>
      <c r="I860">
        <v>5405</v>
      </c>
      <c r="J860" s="3">
        <v>189</v>
      </c>
      <c r="K860" s="3">
        <v>90.31</v>
      </c>
      <c r="L860">
        <v>52.22</v>
      </c>
    </row>
    <row r="861" spans="1:12">
      <c r="A861" s="1">
        <v>46028</v>
      </c>
      <c r="B861" t="s">
        <v>11917</v>
      </c>
      <c r="C861">
        <v>12</v>
      </c>
      <c r="D861" t="str">
        <f>VLOOKUP(Tabela26[[#This Row],[EMP]],[1]LOJA!$A:$B,2,0)</f>
        <v>SOFNORTE</v>
      </c>
      <c r="E861">
        <v>60</v>
      </c>
      <c r="F861" t="s">
        <v>4446</v>
      </c>
      <c r="G861" t="s">
        <v>4445</v>
      </c>
      <c r="H861" t="s">
        <v>3401</v>
      </c>
      <c r="I861">
        <v>5405</v>
      </c>
      <c r="J861" s="3">
        <v>55</v>
      </c>
      <c r="K861" s="3">
        <v>26.09</v>
      </c>
      <c r="L861">
        <v>52.56</v>
      </c>
    </row>
    <row r="862" spans="1:12">
      <c r="A862" s="1">
        <v>46028</v>
      </c>
      <c r="B862" t="s">
        <v>11916</v>
      </c>
      <c r="C862">
        <v>12</v>
      </c>
      <c r="D862" t="str">
        <f>VLOOKUP(Tabela26[[#This Row],[EMP]],[1]LOJA!$A:$B,2,0)</f>
        <v>SOFNORTE</v>
      </c>
      <c r="E862">
        <v>60</v>
      </c>
      <c r="F862" t="s">
        <v>3737</v>
      </c>
      <c r="G862" t="s">
        <v>3736</v>
      </c>
      <c r="H862" t="s">
        <v>3520</v>
      </c>
      <c r="I862">
        <v>5102</v>
      </c>
      <c r="J862" s="3">
        <v>64</v>
      </c>
      <c r="K862" s="3">
        <v>28.52</v>
      </c>
      <c r="L862">
        <v>55.44</v>
      </c>
    </row>
    <row r="863" spans="1:12">
      <c r="A863" s="1">
        <v>46028</v>
      </c>
      <c r="B863" t="s">
        <v>11915</v>
      </c>
      <c r="C863">
        <v>12</v>
      </c>
      <c r="D863" t="str">
        <f>VLOOKUP(Tabela26[[#This Row],[EMP]],[1]LOJA!$A:$B,2,0)</f>
        <v>SOFNORTE</v>
      </c>
      <c r="E863">
        <v>60</v>
      </c>
      <c r="F863" t="s">
        <v>3722</v>
      </c>
      <c r="G863" t="s">
        <v>3721</v>
      </c>
      <c r="H863" t="s">
        <v>3408</v>
      </c>
      <c r="I863">
        <v>5405</v>
      </c>
      <c r="J863" s="3">
        <v>59.9</v>
      </c>
      <c r="K863" s="3">
        <v>26.53</v>
      </c>
      <c r="L863">
        <v>55.71</v>
      </c>
    </row>
    <row r="864" spans="1:12">
      <c r="A864" s="1">
        <v>46028</v>
      </c>
      <c r="B864" t="s">
        <v>11914</v>
      </c>
      <c r="C864">
        <v>12</v>
      </c>
      <c r="D864" t="str">
        <f>VLOOKUP(Tabela26[[#This Row],[EMP]],[1]LOJA!$A:$B,2,0)</f>
        <v>SOFNORTE</v>
      </c>
      <c r="E864">
        <v>60</v>
      </c>
      <c r="F864" t="s">
        <v>3403</v>
      </c>
      <c r="G864" t="s">
        <v>3402</v>
      </c>
      <c r="H864" t="s">
        <v>3401</v>
      </c>
      <c r="I864">
        <v>5102</v>
      </c>
      <c r="J864" s="3">
        <v>6</v>
      </c>
      <c r="K864" s="3">
        <v>2.7</v>
      </c>
      <c r="L864">
        <v>55</v>
      </c>
    </row>
    <row r="865" spans="1:12">
      <c r="A865" s="1">
        <v>46028</v>
      </c>
      <c r="B865" t="s">
        <v>11913</v>
      </c>
      <c r="C865">
        <v>12</v>
      </c>
      <c r="D865" t="str">
        <f>VLOOKUP(Tabela26[[#This Row],[EMP]],[1]LOJA!$A:$B,2,0)</f>
        <v>SOFNORTE</v>
      </c>
      <c r="E865">
        <v>239</v>
      </c>
      <c r="F865" t="s">
        <v>4446</v>
      </c>
      <c r="G865" t="s">
        <v>4445</v>
      </c>
      <c r="H865" t="s">
        <v>3401</v>
      </c>
      <c r="I865">
        <v>5102</v>
      </c>
      <c r="J865" s="3">
        <v>35</v>
      </c>
      <c r="K865" s="3">
        <v>21.83</v>
      </c>
      <c r="L865">
        <v>37.630000000000003</v>
      </c>
    </row>
    <row r="866" spans="1:12">
      <c r="A866" s="1">
        <v>46028</v>
      </c>
      <c r="B866" t="s">
        <v>11912</v>
      </c>
      <c r="C866">
        <v>12</v>
      </c>
      <c r="D866" t="str">
        <f>VLOOKUP(Tabela26[[#This Row],[EMP]],[1]LOJA!$A:$B,2,0)</f>
        <v>SOFNORTE</v>
      </c>
      <c r="E866">
        <v>60</v>
      </c>
      <c r="F866" t="s">
        <v>3704</v>
      </c>
      <c r="G866" t="s">
        <v>3703</v>
      </c>
      <c r="H866" t="s">
        <v>3401</v>
      </c>
      <c r="I866">
        <v>5102</v>
      </c>
      <c r="J866" s="3">
        <v>19</v>
      </c>
      <c r="K866" s="3">
        <v>8.32</v>
      </c>
      <c r="L866">
        <v>56.21</v>
      </c>
    </row>
    <row r="867" spans="1:12">
      <c r="A867" s="1">
        <v>46028</v>
      </c>
      <c r="B867" t="s">
        <v>11911</v>
      </c>
      <c r="C867">
        <v>12</v>
      </c>
      <c r="D867" t="str">
        <f>VLOOKUP(Tabela26[[#This Row],[EMP]],[1]LOJA!$A:$B,2,0)</f>
        <v>SOFNORTE</v>
      </c>
      <c r="E867">
        <v>60</v>
      </c>
      <c r="F867" t="s">
        <v>3403</v>
      </c>
      <c r="G867" t="s">
        <v>3402</v>
      </c>
      <c r="H867" t="s">
        <v>3401</v>
      </c>
      <c r="I867">
        <v>5102</v>
      </c>
      <c r="J867" s="3">
        <v>10</v>
      </c>
      <c r="K867" s="3">
        <v>3.6</v>
      </c>
      <c r="L867">
        <v>64</v>
      </c>
    </row>
    <row r="868" spans="1:12">
      <c r="A868" s="1">
        <v>46028</v>
      </c>
      <c r="B868" t="s">
        <v>11910</v>
      </c>
      <c r="C868">
        <v>12</v>
      </c>
      <c r="D868" t="str">
        <f>VLOOKUP(Tabela26[[#This Row],[EMP]],[1]LOJA!$A:$B,2,0)</f>
        <v>SOFNORTE</v>
      </c>
      <c r="E868">
        <v>239</v>
      </c>
      <c r="F868" t="s">
        <v>3715</v>
      </c>
      <c r="G868" t="s">
        <v>3714</v>
      </c>
      <c r="H868" t="s">
        <v>3401</v>
      </c>
      <c r="I868">
        <v>5102</v>
      </c>
      <c r="J868" s="3">
        <v>12</v>
      </c>
      <c r="K868" s="3">
        <v>6.72</v>
      </c>
      <c r="L868">
        <v>44</v>
      </c>
    </row>
    <row r="869" spans="1:12">
      <c r="A869" s="1">
        <v>46028</v>
      </c>
      <c r="B869" t="s">
        <v>4440</v>
      </c>
      <c r="C869">
        <v>14</v>
      </c>
      <c r="D869" t="str">
        <f>VLOOKUP(Tabela26[[#This Row],[EMP]],[1]LOJA!$A:$B,2,0)</f>
        <v>S IA</v>
      </c>
      <c r="E869">
        <v>212</v>
      </c>
      <c r="F869" t="s">
        <v>3403</v>
      </c>
      <c r="G869" t="s">
        <v>3402</v>
      </c>
      <c r="H869" t="s">
        <v>3401</v>
      </c>
      <c r="I869">
        <v>5405</v>
      </c>
      <c r="J869" s="3">
        <v>239</v>
      </c>
      <c r="K869" s="3">
        <v>104.14</v>
      </c>
      <c r="L869">
        <v>56.43</v>
      </c>
    </row>
    <row r="870" spans="1:12">
      <c r="A870" s="1">
        <v>46028</v>
      </c>
      <c r="B870" t="s">
        <v>4439</v>
      </c>
      <c r="C870">
        <v>14</v>
      </c>
      <c r="D870" t="str">
        <f>VLOOKUP(Tabela26[[#This Row],[EMP]],[1]LOJA!$A:$B,2,0)</f>
        <v>S IA</v>
      </c>
      <c r="E870">
        <v>54</v>
      </c>
      <c r="F870" t="s">
        <v>9942</v>
      </c>
      <c r="G870" t="s">
        <v>9941</v>
      </c>
      <c r="H870" t="s">
        <v>3401</v>
      </c>
      <c r="I870">
        <v>5405</v>
      </c>
      <c r="J870" s="3">
        <v>848</v>
      </c>
      <c r="K870" s="3">
        <v>444.85</v>
      </c>
      <c r="L870">
        <v>47.54</v>
      </c>
    </row>
    <row r="871" spans="1:12">
      <c r="A871" s="1">
        <v>46028</v>
      </c>
      <c r="B871" t="s">
        <v>4438</v>
      </c>
      <c r="C871">
        <v>14</v>
      </c>
      <c r="D871" t="str">
        <f>VLOOKUP(Tabela26[[#This Row],[EMP]],[1]LOJA!$A:$B,2,0)</f>
        <v>S IA</v>
      </c>
      <c r="E871">
        <v>54</v>
      </c>
      <c r="F871" t="s">
        <v>3472</v>
      </c>
      <c r="G871" t="s">
        <v>3471</v>
      </c>
      <c r="H871" t="s">
        <v>3408</v>
      </c>
      <c r="I871">
        <v>5405</v>
      </c>
      <c r="J871" s="3">
        <v>321.93</v>
      </c>
      <c r="K871" s="3">
        <v>167.32</v>
      </c>
      <c r="L871">
        <v>48.03</v>
      </c>
    </row>
    <row r="872" spans="1:12">
      <c r="A872" s="1">
        <v>46028</v>
      </c>
      <c r="B872" t="s">
        <v>4436</v>
      </c>
      <c r="C872">
        <v>14</v>
      </c>
      <c r="D872" t="str">
        <f>VLOOKUP(Tabela26[[#This Row],[EMP]],[1]LOJA!$A:$B,2,0)</f>
        <v>S IA</v>
      </c>
      <c r="E872">
        <v>212</v>
      </c>
      <c r="F872" t="s">
        <v>5642</v>
      </c>
      <c r="G872" t="s">
        <v>5641</v>
      </c>
      <c r="H872" t="s">
        <v>3401</v>
      </c>
      <c r="I872">
        <v>5102</v>
      </c>
      <c r="J872" s="3">
        <v>80</v>
      </c>
      <c r="K872" s="3">
        <v>36.07</v>
      </c>
      <c r="L872">
        <v>54.91</v>
      </c>
    </row>
    <row r="873" spans="1:12">
      <c r="A873" s="1">
        <v>46028</v>
      </c>
      <c r="B873" t="s">
        <v>4435</v>
      </c>
      <c r="C873">
        <v>14</v>
      </c>
      <c r="D873" t="str">
        <f>VLOOKUP(Tabela26[[#This Row],[EMP]],[1]LOJA!$A:$B,2,0)</f>
        <v>S IA</v>
      </c>
      <c r="E873">
        <v>54</v>
      </c>
      <c r="F873" t="s">
        <v>3403</v>
      </c>
      <c r="G873" t="s">
        <v>3402</v>
      </c>
      <c r="H873" t="s">
        <v>3401</v>
      </c>
      <c r="I873">
        <v>5102</v>
      </c>
      <c r="J873" s="3">
        <v>34</v>
      </c>
      <c r="K873" s="3">
        <v>16.7</v>
      </c>
      <c r="L873">
        <v>50.88</v>
      </c>
    </row>
    <row r="874" spans="1:12">
      <c r="A874" s="1">
        <v>46028</v>
      </c>
      <c r="B874" t="s">
        <v>4434</v>
      </c>
      <c r="C874">
        <v>14</v>
      </c>
      <c r="D874" t="str">
        <f>VLOOKUP(Tabela26[[#This Row],[EMP]],[1]LOJA!$A:$B,2,0)</f>
        <v>S IA</v>
      </c>
      <c r="E874">
        <v>212</v>
      </c>
      <c r="F874" t="s">
        <v>3403</v>
      </c>
      <c r="G874" t="s">
        <v>3402</v>
      </c>
      <c r="H874" t="s">
        <v>3401</v>
      </c>
      <c r="I874">
        <v>5405</v>
      </c>
      <c r="J874" s="3">
        <v>350</v>
      </c>
      <c r="K874" s="3">
        <v>170.41</v>
      </c>
      <c r="L874">
        <v>51.31</v>
      </c>
    </row>
    <row r="875" spans="1:12">
      <c r="A875" s="1">
        <v>46028</v>
      </c>
      <c r="B875" t="s">
        <v>3738</v>
      </c>
      <c r="C875">
        <v>14</v>
      </c>
      <c r="D875" t="str">
        <f>VLOOKUP(Tabela26[[#This Row],[EMP]],[1]LOJA!$A:$B,2,0)</f>
        <v>S IA</v>
      </c>
      <c r="E875">
        <v>54</v>
      </c>
      <c r="F875" t="s">
        <v>6372</v>
      </c>
      <c r="G875" t="s">
        <v>6371</v>
      </c>
      <c r="H875" t="s">
        <v>3401</v>
      </c>
      <c r="I875">
        <v>5405</v>
      </c>
      <c r="J875" s="3">
        <v>277.10000000000002</v>
      </c>
      <c r="K875" s="3">
        <v>136.06</v>
      </c>
      <c r="L875">
        <v>50.9</v>
      </c>
    </row>
    <row r="876" spans="1:12">
      <c r="A876" s="1">
        <v>46028</v>
      </c>
      <c r="B876" t="s">
        <v>3735</v>
      </c>
      <c r="C876">
        <v>14</v>
      </c>
      <c r="D876" t="str">
        <f>VLOOKUP(Tabela26[[#This Row],[EMP]],[1]LOJA!$A:$B,2,0)</f>
        <v>S IA</v>
      </c>
      <c r="E876">
        <v>54</v>
      </c>
      <c r="F876" t="s">
        <v>3750</v>
      </c>
      <c r="G876" t="s">
        <v>3749</v>
      </c>
      <c r="H876" t="s">
        <v>3408</v>
      </c>
      <c r="I876">
        <v>5102</v>
      </c>
      <c r="J876" s="3">
        <v>296.60000000000002</v>
      </c>
      <c r="K876" s="3">
        <v>160.52000000000001</v>
      </c>
      <c r="L876">
        <v>45.88</v>
      </c>
    </row>
    <row r="877" spans="1:12">
      <c r="A877" s="1">
        <v>46028</v>
      </c>
      <c r="B877" t="s">
        <v>3734</v>
      </c>
      <c r="C877">
        <v>14</v>
      </c>
      <c r="D877" t="str">
        <f>VLOOKUP(Tabela26[[#This Row],[EMP]],[1]LOJA!$A:$B,2,0)</f>
        <v>S IA</v>
      </c>
      <c r="E877">
        <v>54</v>
      </c>
      <c r="F877" t="s">
        <v>11909</v>
      </c>
      <c r="G877" t="s">
        <v>3402</v>
      </c>
      <c r="H877" t="s">
        <v>3408</v>
      </c>
      <c r="I877">
        <v>5102</v>
      </c>
      <c r="J877" s="3">
        <v>99.9</v>
      </c>
      <c r="K877" s="3">
        <v>50.07</v>
      </c>
      <c r="L877">
        <v>49.88</v>
      </c>
    </row>
    <row r="878" spans="1:12">
      <c r="A878" s="1">
        <v>46028</v>
      </c>
      <c r="B878" t="s">
        <v>3733</v>
      </c>
      <c r="C878">
        <v>14</v>
      </c>
      <c r="D878" t="str">
        <f>VLOOKUP(Tabela26[[#This Row],[EMP]],[1]LOJA!$A:$B,2,0)</f>
        <v>S IA</v>
      </c>
      <c r="E878">
        <v>212</v>
      </c>
      <c r="F878" t="s">
        <v>4054</v>
      </c>
      <c r="G878" t="s">
        <v>3402</v>
      </c>
      <c r="H878" t="s">
        <v>3401</v>
      </c>
      <c r="I878">
        <v>5405</v>
      </c>
      <c r="J878" s="3">
        <v>270</v>
      </c>
      <c r="K878" s="3">
        <v>121.44</v>
      </c>
      <c r="L878">
        <v>55.02</v>
      </c>
    </row>
    <row r="879" spans="1:12">
      <c r="A879" s="1">
        <v>46028</v>
      </c>
      <c r="B879" t="s">
        <v>3732</v>
      </c>
      <c r="C879">
        <v>14</v>
      </c>
      <c r="D879" t="str">
        <f>VLOOKUP(Tabela26[[#This Row],[EMP]],[1]LOJA!$A:$B,2,0)</f>
        <v>S IA</v>
      </c>
      <c r="E879">
        <v>212</v>
      </c>
      <c r="F879" t="s">
        <v>5544</v>
      </c>
      <c r="G879" t="s">
        <v>3402</v>
      </c>
      <c r="H879" t="s">
        <v>3401</v>
      </c>
      <c r="I879">
        <v>5405</v>
      </c>
      <c r="J879" s="3">
        <v>39.9</v>
      </c>
      <c r="K879" s="3">
        <v>17.86</v>
      </c>
      <c r="L879">
        <v>55.24</v>
      </c>
    </row>
    <row r="880" spans="1:12">
      <c r="A880" s="1">
        <v>46028</v>
      </c>
      <c r="B880" t="s">
        <v>11908</v>
      </c>
      <c r="C880">
        <v>4</v>
      </c>
      <c r="D880" t="str">
        <f>VLOOKUP(Tabela26[[#This Row],[EMP]],[1]LOJA!$A:$B,2,0)</f>
        <v>ADE</v>
      </c>
      <c r="E880">
        <v>132</v>
      </c>
      <c r="F880" t="s">
        <v>6220</v>
      </c>
      <c r="G880" t="s">
        <v>6219</v>
      </c>
      <c r="H880" t="s">
        <v>3537</v>
      </c>
      <c r="I880">
        <v>5102</v>
      </c>
      <c r="J880" s="3">
        <v>300</v>
      </c>
      <c r="K880" s="3">
        <v>177</v>
      </c>
      <c r="L880">
        <v>41</v>
      </c>
    </row>
    <row r="881" spans="1:12">
      <c r="A881" s="1">
        <v>46028</v>
      </c>
      <c r="B881" t="s">
        <v>11907</v>
      </c>
      <c r="C881">
        <v>4</v>
      </c>
      <c r="D881" t="str">
        <f>VLOOKUP(Tabela26[[#This Row],[EMP]],[1]LOJA!$A:$B,2,0)</f>
        <v>ADE</v>
      </c>
      <c r="E881">
        <v>132</v>
      </c>
      <c r="F881" t="s">
        <v>3660</v>
      </c>
      <c r="G881" t="s">
        <v>3659</v>
      </c>
      <c r="H881" t="s">
        <v>3430</v>
      </c>
      <c r="I881">
        <v>5405</v>
      </c>
      <c r="J881" s="3">
        <v>263.04000000000002</v>
      </c>
      <c r="K881" s="3">
        <v>126.1</v>
      </c>
      <c r="L881">
        <v>52.06</v>
      </c>
    </row>
    <row r="882" spans="1:12">
      <c r="A882" s="1">
        <v>46028</v>
      </c>
      <c r="B882" t="s">
        <v>11906</v>
      </c>
      <c r="C882">
        <v>4</v>
      </c>
      <c r="D882" t="str">
        <f>VLOOKUP(Tabela26[[#This Row],[EMP]],[1]LOJA!$A:$B,2,0)</f>
        <v>ADE</v>
      </c>
      <c r="E882">
        <v>132</v>
      </c>
      <c r="F882" t="s">
        <v>3660</v>
      </c>
      <c r="G882" t="s">
        <v>3659</v>
      </c>
      <c r="H882" t="s">
        <v>3430</v>
      </c>
      <c r="I882">
        <v>5405</v>
      </c>
      <c r="J882" s="3">
        <v>207.89</v>
      </c>
      <c r="K882" s="3">
        <v>137.56</v>
      </c>
      <c r="L882">
        <v>33.83</v>
      </c>
    </row>
    <row r="883" spans="1:12">
      <c r="A883" s="1">
        <v>46028</v>
      </c>
      <c r="B883" t="s">
        <v>11905</v>
      </c>
      <c r="C883">
        <v>4</v>
      </c>
      <c r="D883" t="str">
        <f>VLOOKUP(Tabela26[[#This Row],[EMP]],[1]LOJA!$A:$B,2,0)</f>
        <v>ADE</v>
      </c>
      <c r="E883">
        <v>132</v>
      </c>
      <c r="F883" t="s">
        <v>3664</v>
      </c>
      <c r="G883" t="s">
        <v>3663</v>
      </c>
      <c r="H883" t="s">
        <v>3430</v>
      </c>
      <c r="I883">
        <v>5405</v>
      </c>
      <c r="J883" s="3">
        <v>79.08</v>
      </c>
      <c r="K883" s="3">
        <v>39.36</v>
      </c>
      <c r="L883">
        <v>50.23</v>
      </c>
    </row>
    <row r="884" spans="1:12">
      <c r="A884" s="1">
        <v>46028</v>
      </c>
      <c r="B884" t="s">
        <v>11904</v>
      </c>
      <c r="C884">
        <v>4</v>
      </c>
      <c r="D884" t="str">
        <f>VLOOKUP(Tabela26[[#This Row],[EMP]],[1]LOJA!$A:$B,2,0)</f>
        <v>ADE</v>
      </c>
      <c r="E884">
        <v>132</v>
      </c>
      <c r="F884" t="s">
        <v>3677</v>
      </c>
      <c r="G884" t="s">
        <v>3676</v>
      </c>
      <c r="H884" t="s">
        <v>3430</v>
      </c>
      <c r="I884">
        <v>5102</v>
      </c>
      <c r="J884" s="3">
        <v>241</v>
      </c>
      <c r="K884" s="3">
        <v>132.5</v>
      </c>
      <c r="L884">
        <v>45.02</v>
      </c>
    </row>
    <row r="885" spans="1:12">
      <c r="A885" s="1">
        <v>46028</v>
      </c>
      <c r="B885" t="s">
        <v>11903</v>
      </c>
      <c r="C885">
        <v>4</v>
      </c>
      <c r="D885" t="str">
        <f>VLOOKUP(Tabela26[[#This Row],[EMP]],[1]LOJA!$A:$B,2,0)</f>
        <v>ADE</v>
      </c>
      <c r="E885">
        <v>132</v>
      </c>
      <c r="F885" t="s">
        <v>3677</v>
      </c>
      <c r="G885" t="s">
        <v>3676</v>
      </c>
      <c r="H885" t="s">
        <v>3679</v>
      </c>
      <c r="I885">
        <v>5405</v>
      </c>
      <c r="J885" s="3">
        <v>5157.51</v>
      </c>
      <c r="K885" s="3">
        <v>2777.86</v>
      </c>
      <c r="L885">
        <v>46.14</v>
      </c>
    </row>
    <row r="886" spans="1:12">
      <c r="A886" s="1">
        <v>46028</v>
      </c>
      <c r="B886" t="s">
        <v>11902</v>
      </c>
      <c r="C886">
        <v>4</v>
      </c>
      <c r="D886" t="str">
        <f>VLOOKUP(Tabela26[[#This Row],[EMP]],[1]LOJA!$A:$B,2,0)</f>
        <v>ADE</v>
      </c>
      <c r="E886">
        <v>132</v>
      </c>
      <c r="F886" t="s">
        <v>7563</v>
      </c>
      <c r="G886" t="s">
        <v>7562</v>
      </c>
      <c r="H886" t="s">
        <v>3408</v>
      </c>
      <c r="I886">
        <v>5102</v>
      </c>
      <c r="J886" s="3">
        <v>82.02</v>
      </c>
      <c r="K886" s="3">
        <v>50.37</v>
      </c>
      <c r="L886">
        <v>38.590000000000003</v>
      </c>
    </row>
    <row r="887" spans="1:12">
      <c r="A887" s="1">
        <v>46028</v>
      </c>
      <c r="B887" t="s">
        <v>11901</v>
      </c>
      <c r="C887">
        <v>4</v>
      </c>
      <c r="D887" t="str">
        <f>VLOOKUP(Tabela26[[#This Row],[EMP]],[1]LOJA!$A:$B,2,0)</f>
        <v>ADE</v>
      </c>
      <c r="E887">
        <v>132</v>
      </c>
      <c r="F887" t="s">
        <v>3670</v>
      </c>
      <c r="G887" t="s">
        <v>3669</v>
      </c>
      <c r="H887" t="s">
        <v>3537</v>
      </c>
      <c r="I887">
        <v>5102</v>
      </c>
      <c r="J887" s="3">
        <v>252.13</v>
      </c>
      <c r="K887" s="3">
        <v>151</v>
      </c>
      <c r="L887">
        <v>40.11</v>
      </c>
    </row>
    <row r="888" spans="1:12">
      <c r="A888" s="1">
        <v>46028</v>
      </c>
      <c r="B888" t="s">
        <v>11900</v>
      </c>
      <c r="C888">
        <v>4</v>
      </c>
      <c r="D888" t="str">
        <f>VLOOKUP(Tabela26[[#This Row],[EMP]],[1]LOJA!$A:$B,2,0)</f>
        <v>ADE</v>
      </c>
      <c r="E888">
        <v>132</v>
      </c>
      <c r="F888" t="s">
        <v>3664</v>
      </c>
      <c r="G888" t="s">
        <v>3663</v>
      </c>
      <c r="H888" t="s">
        <v>3430</v>
      </c>
      <c r="I888">
        <v>5405</v>
      </c>
      <c r="J888" s="3">
        <v>323.33999999999997</v>
      </c>
      <c r="K888" s="3">
        <v>159.71</v>
      </c>
      <c r="L888">
        <v>50.61</v>
      </c>
    </row>
    <row r="889" spans="1:12">
      <c r="A889" s="1">
        <v>46028</v>
      </c>
      <c r="B889" t="s">
        <v>11899</v>
      </c>
      <c r="C889">
        <v>13</v>
      </c>
      <c r="D889" t="str">
        <f>VLOOKUP(Tabela26[[#This Row],[EMP]],[1]LOJA!$A:$B,2,0)</f>
        <v>CEILÂNDIA</v>
      </c>
      <c r="E889">
        <v>86</v>
      </c>
      <c r="F889" t="s">
        <v>4346</v>
      </c>
      <c r="G889" t="s">
        <v>4345</v>
      </c>
      <c r="H889" t="s">
        <v>3401</v>
      </c>
      <c r="I889">
        <v>5405</v>
      </c>
      <c r="J889" s="3">
        <v>180</v>
      </c>
      <c r="K889" s="3">
        <v>96.09</v>
      </c>
      <c r="L889">
        <v>46.62</v>
      </c>
    </row>
    <row r="890" spans="1:12">
      <c r="A890" s="1">
        <v>46028</v>
      </c>
      <c r="B890" t="s">
        <v>11898</v>
      </c>
      <c r="C890">
        <v>13</v>
      </c>
      <c r="D890" t="str">
        <f>VLOOKUP(Tabela26[[#This Row],[EMP]],[1]LOJA!$A:$B,2,0)</f>
        <v>CEILÂNDIA</v>
      </c>
      <c r="E890">
        <v>86</v>
      </c>
      <c r="F890" t="s">
        <v>3587</v>
      </c>
      <c r="G890" t="s">
        <v>3586</v>
      </c>
      <c r="H890" t="s">
        <v>3408</v>
      </c>
      <c r="I890">
        <v>5102</v>
      </c>
      <c r="J890" s="3">
        <v>238.46</v>
      </c>
      <c r="K890" s="3">
        <v>153.05000000000001</v>
      </c>
      <c r="L890">
        <v>35.82</v>
      </c>
    </row>
    <row r="891" spans="1:12">
      <c r="A891" s="1">
        <v>46028</v>
      </c>
      <c r="B891" t="s">
        <v>11897</v>
      </c>
      <c r="C891">
        <v>13</v>
      </c>
      <c r="D891" t="str">
        <f>VLOOKUP(Tabela26[[#This Row],[EMP]],[1]LOJA!$A:$B,2,0)</f>
        <v>CEILÂNDIA</v>
      </c>
      <c r="E891">
        <v>86</v>
      </c>
      <c r="F891" t="s">
        <v>6610</v>
      </c>
      <c r="G891" t="s">
        <v>6609</v>
      </c>
      <c r="H891" t="s">
        <v>3408</v>
      </c>
      <c r="I891">
        <v>5405</v>
      </c>
      <c r="J891" s="3">
        <v>90</v>
      </c>
      <c r="K891" s="3">
        <v>49.49</v>
      </c>
      <c r="L891">
        <v>45.01</v>
      </c>
    </row>
    <row r="892" spans="1:12">
      <c r="A892" s="1">
        <v>46028</v>
      </c>
      <c r="B892" t="s">
        <v>11896</v>
      </c>
      <c r="C892">
        <v>13</v>
      </c>
      <c r="D892" t="str">
        <f>VLOOKUP(Tabela26[[#This Row],[EMP]],[1]LOJA!$A:$B,2,0)</f>
        <v>CEILÂNDIA</v>
      </c>
      <c r="E892">
        <v>86</v>
      </c>
      <c r="F892" t="s">
        <v>3403</v>
      </c>
      <c r="G892" t="s">
        <v>3402</v>
      </c>
      <c r="H892" t="s">
        <v>3401</v>
      </c>
      <c r="I892">
        <v>5102</v>
      </c>
      <c r="J892" s="3">
        <v>70</v>
      </c>
      <c r="K892" s="3">
        <v>47.38</v>
      </c>
      <c r="L892">
        <v>32.31</v>
      </c>
    </row>
    <row r="893" spans="1:12">
      <c r="A893" s="1">
        <v>46028</v>
      </c>
      <c r="B893" t="s">
        <v>11895</v>
      </c>
      <c r="C893">
        <v>13</v>
      </c>
      <c r="D893" t="str">
        <f>VLOOKUP(Tabela26[[#This Row],[EMP]],[1]LOJA!$A:$B,2,0)</f>
        <v>CEILÂNDIA</v>
      </c>
      <c r="E893">
        <v>86</v>
      </c>
      <c r="F893" t="s">
        <v>3403</v>
      </c>
      <c r="G893" t="s">
        <v>3402</v>
      </c>
      <c r="H893" t="s">
        <v>3401</v>
      </c>
      <c r="I893">
        <v>5405</v>
      </c>
      <c r="J893" s="3">
        <v>240</v>
      </c>
      <c r="K893" s="3">
        <v>107.52</v>
      </c>
      <c r="L893">
        <v>55.2</v>
      </c>
    </row>
    <row r="894" spans="1:12">
      <c r="A894" s="1">
        <v>46028</v>
      </c>
      <c r="B894" t="s">
        <v>11894</v>
      </c>
      <c r="C894">
        <v>13</v>
      </c>
      <c r="D894" t="str">
        <f>VLOOKUP(Tabela26[[#This Row],[EMP]],[1]LOJA!$A:$B,2,0)</f>
        <v>CEILÂNDIA</v>
      </c>
      <c r="E894">
        <v>86</v>
      </c>
      <c r="F894" t="s">
        <v>7549</v>
      </c>
      <c r="G894" t="s">
        <v>7548</v>
      </c>
      <c r="H894" t="s">
        <v>3401</v>
      </c>
      <c r="I894">
        <v>5405</v>
      </c>
      <c r="J894" s="3">
        <v>498</v>
      </c>
      <c r="K894" s="3">
        <v>308.60000000000002</v>
      </c>
      <c r="L894">
        <v>38.03</v>
      </c>
    </row>
    <row r="895" spans="1:12">
      <c r="A895" s="1">
        <v>46028</v>
      </c>
      <c r="B895" t="s">
        <v>11893</v>
      </c>
      <c r="C895">
        <v>13</v>
      </c>
      <c r="D895" t="str">
        <f>VLOOKUP(Tabela26[[#This Row],[EMP]],[1]LOJA!$A:$B,2,0)</f>
        <v>CEILÂNDIA</v>
      </c>
      <c r="E895">
        <v>86</v>
      </c>
      <c r="F895" t="s">
        <v>3612</v>
      </c>
      <c r="G895" t="s">
        <v>3611</v>
      </c>
      <c r="H895" t="s">
        <v>3408</v>
      </c>
      <c r="I895">
        <v>5102</v>
      </c>
      <c r="J895" s="3">
        <v>16.5</v>
      </c>
      <c r="K895" s="3">
        <v>8.07</v>
      </c>
      <c r="L895">
        <v>51.09</v>
      </c>
    </row>
    <row r="896" spans="1:12">
      <c r="A896" s="1">
        <v>46028</v>
      </c>
      <c r="B896" t="s">
        <v>11892</v>
      </c>
      <c r="C896">
        <v>13</v>
      </c>
      <c r="D896" t="str">
        <f>VLOOKUP(Tabela26[[#This Row],[EMP]],[1]LOJA!$A:$B,2,0)</f>
        <v>CEILÂNDIA</v>
      </c>
      <c r="E896">
        <v>86</v>
      </c>
      <c r="F896" t="s">
        <v>3609</v>
      </c>
      <c r="G896" t="s">
        <v>3608</v>
      </c>
      <c r="H896" t="s">
        <v>3408</v>
      </c>
      <c r="I896">
        <v>5102</v>
      </c>
      <c r="J896" s="3">
        <v>223.2</v>
      </c>
      <c r="K896" s="3">
        <v>128.52000000000001</v>
      </c>
      <c r="L896">
        <v>42.42</v>
      </c>
    </row>
    <row r="897" spans="1:12">
      <c r="A897" s="1">
        <v>46028</v>
      </c>
      <c r="B897" t="s">
        <v>11891</v>
      </c>
      <c r="C897">
        <v>13</v>
      </c>
      <c r="D897" t="str">
        <f>VLOOKUP(Tabela26[[#This Row],[EMP]],[1]LOJA!$A:$B,2,0)</f>
        <v>CEILÂNDIA</v>
      </c>
      <c r="E897">
        <v>33</v>
      </c>
      <c r="F897" t="s">
        <v>3591</v>
      </c>
      <c r="G897" t="s">
        <v>3590</v>
      </c>
      <c r="H897" t="s">
        <v>3520</v>
      </c>
      <c r="I897">
        <v>5405</v>
      </c>
      <c r="J897" s="3">
        <v>254.54</v>
      </c>
      <c r="K897" s="3">
        <v>135.62</v>
      </c>
      <c r="L897">
        <v>46.72</v>
      </c>
    </row>
    <row r="898" spans="1:12">
      <c r="A898" s="1">
        <v>46028</v>
      </c>
      <c r="B898" t="s">
        <v>11890</v>
      </c>
      <c r="C898">
        <v>13</v>
      </c>
      <c r="D898" t="str">
        <f>VLOOKUP(Tabela26[[#This Row],[EMP]],[1]LOJA!$A:$B,2,0)</f>
        <v>CEILÂNDIA</v>
      </c>
      <c r="E898">
        <v>86</v>
      </c>
      <c r="F898" t="s">
        <v>11889</v>
      </c>
      <c r="G898" t="s">
        <v>11888</v>
      </c>
      <c r="H898" t="s">
        <v>3408</v>
      </c>
      <c r="I898">
        <v>5405</v>
      </c>
      <c r="J898" s="3">
        <v>135</v>
      </c>
      <c r="K898" s="3">
        <v>67.28</v>
      </c>
      <c r="L898">
        <v>50.16</v>
      </c>
    </row>
    <row r="899" spans="1:12">
      <c r="A899" s="1">
        <v>46028</v>
      </c>
      <c r="B899" t="s">
        <v>11887</v>
      </c>
      <c r="C899">
        <v>13</v>
      </c>
      <c r="D899" t="str">
        <f>VLOOKUP(Tabela26[[#This Row],[EMP]],[1]LOJA!$A:$B,2,0)</f>
        <v>CEILÂNDIA</v>
      </c>
      <c r="E899">
        <v>33</v>
      </c>
      <c r="F899" t="s">
        <v>3403</v>
      </c>
      <c r="G899" t="s">
        <v>3402</v>
      </c>
      <c r="H899" t="s">
        <v>3401</v>
      </c>
      <c r="I899">
        <v>5102</v>
      </c>
      <c r="J899" s="3">
        <v>15</v>
      </c>
      <c r="K899" s="3">
        <v>9.24</v>
      </c>
      <c r="L899">
        <v>38.4</v>
      </c>
    </row>
    <row r="900" spans="1:12">
      <c r="A900" s="1">
        <v>46028</v>
      </c>
      <c r="B900" t="s">
        <v>11886</v>
      </c>
      <c r="C900">
        <v>13</v>
      </c>
      <c r="D900" t="str">
        <f>VLOOKUP(Tabela26[[#This Row],[EMP]],[1]LOJA!$A:$B,2,0)</f>
        <v>CEILÂNDIA</v>
      </c>
      <c r="E900">
        <v>86</v>
      </c>
      <c r="F900" t="s">
        <v>3587</v>
      </c>
      <c r="G900" t="s">
        <v>3586</v>
      </c>
      <c r="H900" t="s">
        <v>3408</v>
      </c>
      <c r="I900">
        <v>5405</v>
      </c>
      <c r="J900" s="3">
        <v>180</v>
      </c>
      <c r="K900" s="3">
        <v>97.32</v>
      </c>
      <c r="L900">
        <v>45.93</v>
      </c>
    </row>
    <row r="901" spans="1:12">
      <c r="A901" s="1">
        <v>46028</v>
      </c>
      <c r="B901" t="s">
        <v>11885</v>
      </c>
      <c r="C901">
        <v>13</v>
      </c>
      <c r="D901" t="str">
        <f>VLOOKUP(Tabela26[[#This Row],[EMP]],[1]LOJA!$A:$B,2,0)</f>
        <v>CEILÂNDIA</v>
      </c>
      <c r="E901">
        <v>33</v>
      </c>
      <c r="F901" t="s">
        <v>5320</v>
      </c>
      <c r="G901" t="s">
        <v>5319</v>
      </c>
      <c r="H901" t="s">
        <v>3408</v>
      </c>
      <c r="I901">
        <v>5102</v>
      </c>
      <c r="J901" s="3">
        <v>311.2</v>
      </c>
      <c r="K901" s="3">
        <v>184.08</v>
      </c>
      <c r="L901">
        <v>40.85</v>
      </c>
    </row>
    <row r="902" spans="1:12">
      <c r="A902" s="1">
        <v>46028</v>
      </c>
      <c r="B902" t="s">
        <v>11884</v>
      </c>
      <c r="C902">
        <v>13</v>
      </c>
      <c r="D902" t="str">
        <f>VLOOKUP(Tabela26[[#This Row],[EMP]],[1]LOJA!$A:$B,2,0)</f>
        <v>CEILÂNDIA</v>
      </c>
      <c r="E902">
        <v>33</v>
      </c>
      <c r="F902" t="s">
        <v>7952</v>
      </c>
      <c r="G902" t="s">
        <v>7951</v>
      </c>
      <c r="H902" t="s">
        <v>7043</v>
      </c>
      <c r="I902">
        <v>5102</v>
      </c>
      <c r="J902" s="3">
        <v>255.2</v>
      </c>
      <c r="K902" s="3">
        <v>144.16</v>
      </c>
      <c r="L902">
        <v>43.51</v>
      </c>
    </row>
    <row r="903" spans="1:12">
      <c r="A903" s="1">
        <v>46028</v>
      </c>
      <c r="B903" t="s">
        <v>11883</v>
      </c>
      <c r="C903">
        <v>13</v>
      </c>
      <c r="D903" t="str">
        <f>VLOOKUP(Tabela26[[#This Row],[EMP]],[1]LOJA!$A:$B,2,0)</f>
        <v>CEILÂNDIA</v>
      </c>
      <c r="E903">
        <v>86</v>
      </c>
      <c r="F903" t="s">
        <v>3649</v>
      </c>
      <c r="G903" t="s">
        <v>3648</v>
      </c>
      <c r="H903" t="s">
        <v>3408</v>
      </c>
      <c r="I903">
        <v>5102</v>
      </c>
      <c r="J903" s="3">
        <v>122.8</v>
      </c>
      <c r="K903" s="3">
        <v>77.02</v>
      </c>
      <c r="L903">
        <v>37.28</v>
      </c>
    </row>
    <row r="904" spans="1:12">
      <c r="A904" s="1">
        <v>46028</v>
      </c>
      <c r="B904" t="s">
        <v>11882</v>
      </c>
      <c r="C904">
        <v>13</v>
      </c>
      <c r="D904" t="str">
        <f>VLOOKUP(Tabela26[[#This Row],[EMP]],[1]LOJA!$A:$B,2,0)</f>
        <v>CEILÂNDIA</v>
      </c>
      <c r="E904">
        <v>33</v>
      </c>
      <c r="F904" t="s">
        <v>4767</v>
      </c>
      <c r="G904" t="s">
        <v>4766</v>
      </c>
      <c r="H904" t="s">
        <v>3408</v>
      </c>
      <c r="I904">
        <v>5405</v>
      </c>
      <c r="J904" s="3">
        <v>398</v>
      </c>
      <c r="K904" s="3">
        <v>211.19</v>
      </c>
      <c r="L904">
        <v>46.94</v>
      </c>
    </row>
    <row r="905" spans="1:12">
      <c r="A905" s="1">
        <v>46028</v>
      </c>
      <c r="B905" t="s">
        <v>11881</v>
      </c>
      <c r="C905">
        <v>13</v>
      </c>
      <c r="D905" t="str">
        <f>VLOOKUP(Tabela26[[#This Row],[EMP]],[1]LOJA!$A:$B,2,0)</f>
        <v>CEILÂNDIA</v>
      </c>
      <c r="E905">
        <v>33</v>
      </c>
      <c r="F905" t="s">
        <v>11880</v>
      </c>
      <c r="G905" t="s">
        <v>11879</v>
      </c>
      <c r="H905" t="s">
        <v>3408</v>
      </c>
      <c r="I905">
        <v>5405</v>
      </c>
      <c r="J905" s="3">
        <v>65</v>
      </c>
      <c r="K905" s="3">
        <v>33.26</v>
      </c>
      <c r="L905">
        <v>48.83</v>
      </c>
    </row>
    <row r="906" spans="1:12">
      <c r="A906" s="1">
        <v>46028</v>
      </c>
      <c r="B906" t="s">
        <v>11878</v>
      </c>
      <c r="C906">
        <v>13</v>
      </c>
      <c r="D906" t="str">
        <f>VLOOKUP(Tabela26[[#This Row],[EMP]],[1]LOJA!$A:$B,2,0)</f>
        <v>CEILÂNDIA</v>
      </c>
      <c r="E906">
        <v>86</v>
      </c>
      <c r="F906" t="s">
        <v>3403</v>
      </c>
      <c r="G906" t="s">
        <v>3402</v>
      </c>
      <c r="H906" t="s">
        <v>3401</v>
      </c>
      <c r="I906">
        <v>5102</v>
      </c>
      <c r="J906" s="3">
        <v>20</v>
      </c>
      <c r="K906" s="3">
        <v>8.7200000000000006</v>
      </c>
      <c r="L906">
        <v>56.4</v>
      </c>
    </row>
    <row r="907" spans="1:12">
      <c r="A907" s="1">
        <v>46028</v>
      </c>
      <c r="B907" t="s">
        <v>11877</v>
      </c>
      <c r="C907">
        <v>13</v>
      </c>
      <c r="D907" t="str">
        <f>VLOOKUP(Tabela26[[#This Row],[EMP]],[1]LOJA!$A:$B,2,0)</f>
        <v>CEILÂNDIA</v>
      </c>
      <c r="E907">
        <v>86</v>
      </c>
      <c r="F907" t="s">
        <v>3403</v>
      </c>
      <c r="G907" t="s">
        <v>3402</v>
      </c>
      <c r="H907" t="s">
        <v>3401</v>
      </c>
      <c r="I907">
        <v>5102</v>
      </c>
      <c r="J907" s="3">
        <v>34</v>
      </c>
      <c r="K907" s="3">
        <v>18.62</v>
      </c>
      <c r="L907">
        <v>45.24</v>
      </c>
    </row>
    <row r="908" spans="1:12">
      <c r="A908" s="1">
        <v>46028</v>
      </c>
      <c r="B908" t="s">
        <v>11876</v>
      </c>
      <c r="C908">
        <v>13</v>
      </c>
      <c r="D908" t="str">
        <f>VLOOKUP(Tabela26[[#This Row],[EMP]],[1]LOJA!$A:$B,2,0)</f>
        <v>CEILÂNDIA</v>
      </c>
      <c r="E908">
        <v>86</v>
      </c>
      <c r="F908" t="s">
        <v>3403</v>
      </c>
      <c r="G908" t="s">
        <v>3402</v>
      </c>
      <c r="H908" t="s">
        <v>3401</v>
      </c>
      <c r="I908">
        <v>5102</v>
      </c>
      <c r="J908" s="3">
        <v>26</v>
      </c>
      <c r="K908" s="3">
        <v>12.72</v>
      </c>
      <c r="L908">
        <v>51.08</v>
      </c>
    </row>
    <row r="909" spans="1:12">
      <c r="A909" s="1">
        <v>46028</v>
      </c>
      <c r="B909" t="s">
        <v>11875</v>
      </c>
      <c r="C909">
        <v>13</v>
      </c>
      <c r="D909" t="str">
        <f>VLOOKUP(Tabela26[[#This Row],[EMP]],[1]LOJA!$A:$B,2,0)</f>
        <v>CEILÂNDIA</v>
      </c>
      <c r="E909">
        <v>86</v>
      </c>
      <c r="F909" t="s">
        <v>3403</v>
      </c>
      <c r="G909" t="s">
        <v>3402</v>
      </c>
      <c r="H909" t="s">
        <v>3401</v>
      </c>
      <c r="I909">
        <v>5102</v>
      </c>
      <c r="J909" s="3">
        <v>69.900000000000006</v>
      </c>
      <c r="K909" s="3">
        <v>30.9</v>
      </c>
      <c r="L909">
        <v>55.79</v>
      </c>
    </row>
    <row r="910" spans="1:12">
      <c r="A910" s="1">
        <v>46028</v>
      </c>
      <c r="B910" t="s">
        <v>11874</v>
      </c>
      <c r="C910">
        <v>13</v>
      </c>
      <c r="D910" t="str">
        <f>VLOOKUP(Tabela26[[#This Row],[EMP]],[1]LOJA!$A:$B,2,0)</f>
        <v>CEILÂNDIA</v>
      </c>
      <c r="E910">
        <v>86</v>
      </c>
      <c r="F910" t="s">
        <v>3403</v>
      </c>
      <c r="G910" t="s">
        <v>3402</v>
      </c>
      <c r="H910" t="s">
        <v>3401</v>
      </c>
      <c r="I910">
        <v>5102</v>
      </c>
      <c r="J910" s="3">
        <v>48</v>
      </c>
      <c r="K910" s="3">
        <v>20.43</v>
      </c>
      <c r="L910">
        <v>57.44</v>
      </c>
    </row>
    <row r="911" spans="1:12">
      <c r="A911" s="1">
        <v>46028</v>
      </c>
      <c r="B911" t="s">
        <v>11873</v>
      </c>
      <c r="C911">
        <v>13</v>
      </c>
      <c r="D911" t="str">
        <f>VLOOKUP(Tabela26[[#This Row],[EMP]],[1]LOJA!$A:$B,2,0)</f>
        <v>CEILÂNDIA</v>
      </c>
      <c r="E911">
        <v>86</v>
      </c>
      <c r="F911" t="s">
        <v>3403</v>
      </c>
      <c r="G911" t="s">
        <v>3402</v>
      </c>
      <c r="H911" t="s">
        <v>3401</v>
      </c>
      <c r="I911">
        <v>5102</v>
      </c>
      <c r="J911" s="3">
        <v>30</v>
      </c>
      <c r="K911" s="3">
        <v>18.62</v>
      </c>
      <c r="L911">
        <v>37.93</v>
      </c>
    </row>
    <row r="912" spans="1:12">
      <c r="A912" s="1">
        <v>46028</v>
      </c>
      <c r="B912" t="s">
        <v>11872</v>
      </c>
      <c r="C912">
        <v>13</v>
      </c>
      <c r="D912" t="str">
        <f>VLOOKUP(Tabela26[[#This Row],[EMP]],[1]LOJA!$A:$B,2,0)</f>
        <v>CEILÂNDIA</v>
      </c>
      <c r="E912">
        <v>86</v>
      </c>
      <c r="F912" t="s">
        <v>3403</v>
      </c>
      <c r="G912" t="s">
        <v>3402</v>
      </c>
      <c r="H912" t="s">
        <v>3408</v>
      </c>
      <c r="I912">
        <v>5405</v>
      </c>
      <c r="J912" s="3">
        <v>302</v>
      </c>
      <c r="K912" s="3">
        <v>169.18</v>
      </c>
      <c r="L912">
        <v>43.98</v>
      </c>
    </row>
    <row r="913" spans="1:12">
      <c r="A913" s="1">
        <v>46028</v>
      </c>
      <c r="B913" t="s">
        <v>11871</v>
      </c>
      <c r="C913">
        <v>13</v>
      </c>
      <c r="D913" t="str">
        <f>VLOOKUP(Tabela26[[#This Row],[EMP]],[1]LOJA!$A:$B,2,0)</f>
        <v>CEILÂNDIA</v>
      </c>
      <c r="E913">
        <v>86</v>
      </c>
      <c r="F913" t="s">
        <v>5568</v>
      </c>
      <c r="G913" t="s">
        <v>5567</v>
      </c>
      <c r="H913" t="s">
        <v>3408</v>
      </c>
      <c r="I913">
        <v>5102</v>
      </c>
      <c r="J913" s="3">
        <v>169.5</v>
      </c>
      <c r="K913" s="3">
        <v>113.5</v>
      </c>
      <c r="L913">
        <v>33.04</v>
      </c>
    </row>
    <row r="914" spans="1:12">
      <c r="A914" s="1">
        <v>46028</v>
      </c>
      <c r="B914" t="s">
        <v>11870</v>
      </c>
      <c r="C914">
        <v>13</v>
      </c>
      <c r="D914" t="str">
        <f>VLOOKUP(Tabela26[[#This Row],[EMP]],[1]LOJA!$A:$B,2,0)</f>
        <v>CEILÂNDIA</v>
      </c>
      <c r="E914">
        <v>86</v>
      </c>
      <c r="F914" t="s">
        <v>9007</v>
      </c>
      <c r="G914" t="s">
        <v>9006</v>
      </c>
      <c r="H914" t="s">
        <v>3520</v>
      </c>
      <c r="I914">
        <v>5405</v>
      </c>
      <c r="J914" s="3">
        <v>45</v>
      </c>
      <c r="K914" s="3">
        <v>20.440000000000001</v>
      </c>
      <c r="L914">
        <v>54.58</v>
      </c>
    </row>
    <row r="915" spans="1:12">
      <c r="A915" s="1">
        <v>46028</v>
      </c>
      <c r="B915" t="s">
        <v>11869</v>
      </c>
      <c r="C915">
        <v>13</v>
      </c>
      <c r="D915" t="str">
        <f>VLOOKUP(Tabela26[[#This Row],[EMP]],[1]LOJA!$A:$B,2,0)</f>
        <v>CEILÂNDIA</v>
      </c>
      <c r="E915">
        <v>86</v>
      </c>
      <c r="F915" t="s">
        <v>10994</v>
      </c>
      <c r="G915" t="s">
        <v>10993</v>
      </c>
      <c r="H915" t="s">
        <v>3408</v>
      </c>
      <c r="I915">
        <v>5405</v>
      </c>
      <c r="J915" s="3">
        <v>90</v>
      </c>
      <c r="K915" s="3">
        <v>48.11</v>
      </c>
      <c r="L915">
        <v>46.54</v>
      </c>
    </row>
    <row r="916" spans="1:12">
      <c r="A916" s="1">
        <v>46028</v>
      </c>
      <c r="B916" t="s">
        <v>11868</v>
      </c>
      <c r="C916">
        <v>13</v>
      </c>
      <c r="D916" t="str">
        <f>VLOOKUP(Tabela26[[#This Row],[EMP]],[1]LOJA!$A:$B,2,0)</f>
        <v>CEILÂNDIA</v>
      </c>
      <c r="E916">
        <v>86</v>
      </c>
      <c r="F916" t="s">
        <v>3403</v>
      </c>
      <c r="G916" t="s">
        <v>3402</v>
      </c>
      <c r="H916" t="s">
        <v>3401</v>
      </c>
      <c r="I916">
        <v>5102</v>
      </c>
      <c r="J916" s="3">
        <v>82</v>
      </c>
      <c r="K916" s="3">
        <v>45.54</v>
      </c>
      <c r="L916">
        <v>44.46</v>
      </c>
    </row>
    <row r="917" spans="1:12">
      <c r="A917" s="1">
        <v>46028</v>
      </c>
      <c r="B917" t="s">
        <v>11867</v>
      </c>
      <c r="C917">
        <v>13</v>
      </c>
      <c r="D917" t="str">
        <f>VLOOKUP(Tabela26[[#This Row],[EMP]],[1]LOJA!$A:$B,2,0)</f>
        <v>CEILÂNDIA</v>
      </c>
      <c r="E917">
        <v>86</v>
      </c>
      <c r="F917" t="s">
        <v>3622</v>
      </c>
      <c r="G917" t="s">
        <v>3402</v>
      </c>
      <c r="H917" t="s">
        <v>3408</v>
      </c>
      <c r="I917">
        <v>5102</v>
      </c>
      <c r="J917" s="3">
        <v>96</v>
      </c>
      <c r="K917" s="3">
        <v>54.06</v>
      </c>
      <c r="L917">
        <v>43.69</v>
      </c>
    </row>
    <row r="918" spans="1:12">
      <c r="A918" s="1">
        <v>46028</v>
      </c>
      <c r="B918" t="s">
        <v>11866</v>
      </c>
      <c r="C918">
        <v>6</v>
      </c>
      <c r="D918" t="str">
        <f>VLOOKUP(Tabela26[[#This Row],[EMP]],[1]LOJA!$A:$B,2,0)</f>
        <v>GAMA</v>
      </c>
      <c r="E918">
        <v>245</v>
      </c>
      <c r="F918" t="s">
        <v>3403</v>
      </c>
      <c r="G918" t="s">
        <v>3402</v>
      </c>
      <c r="H918" t="s">
        <v>3401</v>
      </c>
      <c r="I918">
        <v>5405</v>
      </c>
      <c r="J918" s="3">
        <v>87</v>
      </c>
      <c r="K918" s="3">
        <v>43.43</v>
      </c>
      <c r="L918">
        <v>50.08</v>
      </c>
    </row>
    <row r="919" spans="1:12">
      <c r="A919" s="1">
        <v>46028</v>
      </c>
      <c r="B919" t="s">
        <v>11865</v>
      </c>
      <c r="C919">
        <v>6</v>
      </c>
      <c r="D919" t="str">
        <f>VLOOKUP(Tabela26[[#This Row],[EMP]],[1]LOJA!$A:$B,2,0)</f>
        <v>GAMA</v>
      </c>
      <c r="E919">
        <v>245</v>
      </c>
      <c r="F919" t="s">
        <v>3403</v>
      </c>
      <c r="G919" t="s">
        <v>3402</v>
      </c>
      <c r="H919" t="s">
        <v>3401</v>
      </c>
      <c r="I919">
        <v>5405</v>
      </c>
      <c r="J919" s="3">
        <v>290</v>
      </c>
      <c r="K919" s="3">
        <v>145.6</v>
      </c>
      <c r="L919">
        <v>49.79</v>
      </c>
    </row>
    <row r="920" spans="1:12">
      <c r="A920" s="1">
        <v>46028</v>
      </c>
      <c r="B920" t="s">
        <v>11864</v>
      </c>
      <c r="C920">
        <v>6</v>
      </c>
      <c r="D920" t="str">
        <f>VLOOKUP(Tabela26[[#This Row],[EMP]],[1]LOJA!$A:$B,2,0)</f>
        <v>GAMA</v>
      </c>
      <c r="E920">
        <v>245</v>
      </c>
      <c r="F920" t="s">
        <v>11863</v>
      </c>
      <c r="G920" t="s">
        <v>11862</v>
      </c>
      <c r="H920" t="s">
        <v>3401</v>
      </c>
      <c r="I920">
        <v>5102</v>
      </c>
      <c r="J920" s="3">
        <v>600</v>
      </c>
      <c r="K920" s="3">
        <v>257.60000000000002</v>
      </c>
      <c r="L920">
        <v>57.07</v>
      </c>
    </row>
    <row r="921" spans="1:12">
      <c r="A921" s="1">
        <v>46028</v>
      </c>
      <c r="B921" t="s">
        <v>11861</v>
      </c>
      <c r="C921">
        <v>6</v>
      </c>
      <c r="D921" t="str">
        <f>VLOOKUP(Tabela26[[#This Row],[EMP]],[1]LOJA!$A:$B,2,0)</f>
        <v>GAMA</v>
      </c>
      <c r="E921">
        <v>245</v>
      </c>
      <c r="F921" t="s">
        <v>3403</v>
      </c>
      <c r="G921" t="s">
        <v>3402</v>
      </c>
      <c r="H921" t="s">
        <v>3401</v>
      </c>
      <c r="I921">
        <v>5102</v>
      </c>
      <c r="J921" s="3">
        <v>42</v>
      </c>
      <c r="K921" s="3">
        <v>19.93</v>
      </c>
      <c r="L921">
        <v>52.55</v>
      </c>
    </row>
    <row r="922" spans="1:12">
      <c r="A922" s="1">
        <v>46028</v>
      </c>
      <c r="B922" t="s">
        <v>11860</v>
      </c>
      <c r="C922">
        <v>6</v>
      </c>
      <c r="D922" t="str">
        <f>VLOOKUP(Tabela26[[#This Row],[EMP]],[1]LOJA!$A:$B,2,0)</f>
        <v>GAMA</v>
      </c>
      <c r="E922">
        <v>245</v>
      </c>
      <c r="F922" t="s">
        <v>3403</v>
      </c>
      <c r="G922" t="s">
        <v>3402</v>
      </c>
      <c r="H922" t="s">
        <v>3401</v>
      </c>
      <c r="I922">
        <v>5102</v>
      </c>
      <c r="J922" s="3">
        <v>24.5</v>
      </c>
      <c r="K922" s="3">
        <v>13.09</v>
      </c>
      <c r="L922">
        <v>46.57</v>
      </c>
    </row>
    <row r="923" spans="1:12">
      <c r="A923" s="1">
        <v>46028</v>
      </c>
      <c r="B923" t="s">
        <v>11859</v>
      </c>
      <c r="C923">
        <v>6</v>
      </c>
      <c r="D923" t="str">
        <f>VLOOKUP(Tabela26[[#This Row],[EMP]],[1]LOJA!$A:$B,2,0)</f>
        <v>GAMA</v>
      </c>
      <c r="E923">
        <v>245</v>
      </c>
      <c r="F923" t="s">
        <v>4977</v>
      </c>
      <c r="G923" t="s">
        <v>3402</v>
      </c>
      <c r="H923" t="s">
        <v>3401</v>
      </c>
      <c r="I923">
        <v>5405</v>
      </c>
      <c r="J923" s="3">
        <v>254</v>
      </c>
      <c r="K923" s="3">
        <v>134.24</v>
      </c>
      <c r="L923">
        <v>47.15</v>
      </c>
    </row>
    <row r="924" spans="1:12">
      <c r="A924" s="1">
        <v>46028</v>
      </c>
      <c r="B924" t="s">
        <v>11858</v>
      </c>
      <c r="C924">
        <v>6</v>
      </c>
      <c r="D924" t="str">
        <f>VLOOKUP(Tabela26[[#This Row],[EMP]],[1]LOJA!$A:$B,2,0)</f>
        <v>GAMA</v>
      </c>
      <c r="E924">
        <v>245</v>
      </c>
      <c r="F924" t="s">
        <v>3399</v>
      </c>
      <c r="G924" t="s">
        <v>3398</v>
      </c>
      <c r="H924" t="s">
        <v>3401</v>
      </c>
      <c r="I924">
        <v>5405</v>
      </c>
      <c r="J924" s="3">
        <v>197.27</v>
      </c>
      <c r="K924" s="3">
        <v>100.38</v>
      </c>
      <c r="L924">
        <v>49.12</v>
      </c>
    </row>
    <row r="925" spans="1:12">
      <c r="A925" s="1">
        <v>46028</v>
      </c>
      <c r="B925" t="s">
        <v>11857</v>
      </c>
      <c r="C925">
        <v>6</v>
      </c>
      <c r="D925" t="str">
        <f>VLOOKUP(Tabela26[[#This Row],[EMP]],[1]LOJA!$A:$B,2,0)</f>
        <v>GAMA</v>
      </c>
      <c r="E925">
        <v>245</v>
      </c>
      <c r="F925" t="s">
        <v>3403</v>
      </c>
      <c r="G925" t="s">
        <v>3402</v>
      </c>
      <c r="H925" t="s">
        <v>3401</v>
      </c>
      <c r="I925">
        <v>5102</v>
      </c>
      <c r="J925" s="3">
        <v>32</v>
      </c>
      <c r="K925" s="3">
        <v>9.82</v>
      </c>
      <c r="L925">
        <v>69.31</v>
      </c>
    </row>
    <row r="926" spans="1:12">
      <c r="A926" s="1">
        <v>46028</v>
      </c>
      <c r="B926" t="s">
        <v>11856</v>
      </c>
      <c r="C926">
        <v>6</v>
      </c>
      <c r="D926" t="str">
        <f>VLOOKUP(Tabela26[[#This Row],[EMP]],[1]LOJA!$A:$B,2,0)</f>
        <v>GAMA</v>
      </c>
      <c r="E926">
        <v>245</v>
      </c>
      <c r="F926" t="s">
        <v>3403</v>
      </c>
      <c r="G926" t="s">
        <v>3402</v>
      </c>
      <c r="H926" t="s">
        <v>3401</v>
      </c>
      <c r="I926">
        <v>5102</v>
      </c>
      <c r="J926" s="3">
        <v>17</v>
      </c>
      <c r="K926" s="3">
        <v>10.46</v>
      </c>
      <c r="L926">
        <v>38.47</v>
      </c>
    </row>
    <row r="927" spans="1:12">
      <c r="A927" s="1">
        <v>46028</v>
      </c>
      <c r="B927" t="s">
        <v>11855</v>
      </c>
      <c r="C927">
        <v>6</v>
      </c>
      <c r="D927" t="str">
        <f>VLOOKUP(Tabela26[[#This Row],[EMP]],[1]LOJA!$A:$B,2,0)</f>
        <v>GAMA</v>
      </c>
      <c r="E927">
        <v>245</v>
      </c>
      <c r="F927" t="s">
        <v>8578</v>
      </c>
      <c r="G927" t="s">
        <v>3402</v>
      </c>
      <c r="H927" t="s">
        <v>3408</v>
      </c>
      <c r="I927">
        <v>5405</v>
      </c>
      <c r="J927" s="3">
        <v>115</v>
      </c>
      <c r="K927" s="3">
        <v>54.76</v>
      </c>
      <c r="L927">
        <v>52.38</v>
      </c>
    </row>
    <row r="928" spans="1:12">
      <c r="A928" s="1">
        <v>46028</v>
      </c>
      <c r="B928" t="s">
        <v>11854</v>
      </c>
      <c r="C928">
        <v>6</v>
      </c>
      <c r="D928" t="str">
        <f>VLOOKUP(Tabela26[[#This Row],[EMP]],[1]LOJA!$A:$B,2,0)</f>
        <v>GAMA</v>
      </c>
      <c r="E928">
        <v>245</v>
      </c>
      <c r="F928" t="s">
        <v>3403</v>
      </c>
      <c r="G928" t="s">
        <v>3402</v>
      </c>
      <c r="H928" t="s">
        <v>3401</v>
      </c>
      <c r="I928">
        <v>5405</v>
      </c>
      <c r="J928" s="3">
        <v>105</v>
      </c>
      <c r="K928" s="3">
        <v>49.64</v>
      </c>
      <c r="L928">
        <v>52.72</v>
      </c>
    </row>
    <row r="929" spans="1:12">
      <c r="A929" s="1">
        <v>46028</v>
      </c>
      <c r="B929" t="s">
        <v>11853</v>
      </c>
      <c r="C929">
        <v>6</v>
      </c>
      <c r="D929" t="str">
        <f>VLOOKUP(Tabela26[[#This Row],[EMP]],[1]LOJA!$A:$B,2,0)</f>
        <v>GAMA</v>
      </c>
      <c r="E929">
        <v>245</v>
      </c>
      <c r="F929" t="s">
        <v>3403</v>
      </c>
      <c r="G929" t="s">
        <v>3402</v>
      </c>
      <c r="H929" t="s">
        <v>3401</v>
      </c>
      <c r="I929">
        <v>5102</v>
      </c>
      <c r="J929" s="3">
        <v>30</v>
      </c>
      <c r="K929" s="3">
        <v>16.02</v>
      </c>
      <c r="L929">
        <v>46.6</v>
      </c>
    </row>
    <row r="930" spans="1:12">
      <c r="A930" s="1">
        <v>46028</v>
      </c>
      <c r="B930" t="s">
        <v>11852</v>
      </c>
      <c r="C930">
        <v>6</v>
      </c>
      <c r="D930" t="str">
        <f>VLOOKUP(Tabela26[[#This Row],[EMP]],[1]LOJA!$A:$B,2,0)</f>
        <v>GAMA</v>
      </c>
      <c r="E930">
        <v>245</v>
      </c>
      <c r="F930" t="s">
        <v>5509</v>
      </c>
      <c r="G930" t="s">
        <v>5508</v>
      </c>
      <c r="H930" t="s">
        <v>7043</v>
      </c>
      <c r="I930">
        <v>5405</v>
      </c>
      <c r="J930" s="3">
        <v>60</v>
      </c>
      <c r="K930" s="3">
        <v>28.46</v>
      </c>
      <c r="L930">
        <v>52.57</v>
      </c>
    </row>
    <row r="931" spans="1:12">
      <c r="A931" s="1">
        <v>46028</v>
      </c>
      <c r="B931" t="s">
        <v>11851</v>
      </c>
      <c r="C931">
        <v>4</v>
      </c>
      <c r="D931" t="str">
        <f>VLOOKUP(Tabela26[[#This Row],[EMP]],[1]LOJA!$A:$B,2,0)</f>
        <v>ADE</v>
      </c>
      <c r="E931">
        <v>132</v>
      </c>
      <c r="F931" t="s">
        <v>8956</v>
      </c>
      <c r="G931" t="s">
        <v>8955</v>
      </c>
      <c r="H931" t="s">
        <v>6563</v>
      </c>
      <c r="I931">
        <v>5405</v>
      </c>
      <c r="J931" s="3">
        <v>280.57</v>
      </c>
      <c r="K931" s="3">
        <v>139.52000000000001</v>
      </c>
      <c r="L931">
        <v>50.27</v>
      </c>
    </row>
    <row r="932" spans="1:12">
      <c r="A932" s="1">
        <v>46028</v>
      </c>
      <c r="B932" t="s">
        <v>11850</v>
      </c>
      <c r="C932">
        <v>6</v>
      </c>
      <c r="D932" t="str">
        <f>VLOOKUP(Tabela26[[#This Row],[EMP]],[1]LOJA!$A:$B,2,0)</f>
        <v>GAMA</v>
      </c>
      <c r="E932">
        <v>245</v>
      </c>
      <c r="F932" t="s">
        <v>3555</v>
      </c>
      <c r="G932" t="s">
        <v>3554</v>
      </c>
      <c r="H932" t="s">
        <v>3430</v>
      </c>
      <c r="I932">
        <v>6403</v>
      </c>
      <c r="J932" s="3">
        <v>284.55</v>
      </c>
      <c r="K932" s="3">
        <v>143.62</v>
      </c>
      <c r="L932">
        <v>49.53</v>
      </c>
    </row>
    <row r="933" spans="1:12">
      <c r="A933" s="1">
        <v>46029</v>
      </c>
      <c r="B933" t="s">
        <v>11849</v>
      </c>
      <c r="C933">
        <v>15</v>
      </c>
      <c r="D933" t="str">
        <f>VLOOKUP(Tabela26[[#This Row],[EMP]],[1]LOJA!$A:$B,2,0)</f>
        <v>UNAÍ</v>
      </c>
      <c r="E933">
        <v>183</v>
      </c>
      <c r="F933" t="s">
        <v>4708</v>
      </c>
      <c r="G933" t="s">
        <v>4707</v>
      </c>
      <c r="H933" t="s">
        <v>3401</v>
      </c>
      <c r="I933">
        <v>1202</v>
      </c>
      <c r="J933" s="3">
        <v>-44</v>
      </c>
      <c r="K933" s="3">
        <v>-20.8</v>
      </c>
      <c r="L933">
        <v>52.73</v>
      </c>
    </row>
    <row r="934" spans="1:12">
      <c r="A934" s="1">
        <v>46029</v>
      </c>
      <c r="B934" t="s">
        <v>11848</v>
      </c>
      <c r="C934">
        <v>24</v>
      </c>
      <c r="D934" t="str">
        <f>VLOOKUP(Tabela26[[#This Row],[EMP]],[1]LOJA!$A:$B,2,0)</f>
        <v>LUZIÂNIA</v>
      </c>
      <c r="E934">
        <v>150</v>
      </c>
      <c r="F934" t="s">
        <v>4282</v>
      </c>
      <c r="G934" t="s">
        <v>4281</v>
      </c>
      <c r="H934" t="s">
        <v>3430</v>
      </c>
      <c r="I934">
        <v>5405</v>
      </c>
      <c r="J934" s="3">
        <v>818.76</v>
      </c>
      <c r="K934" s="3">
        <v>421.06</v>
      </c>
      <c r="L934">
        <v>48.57</v>
      </c>
    </row>
    <row r="935" spans="1:12">
      <c r="A935" s="1">
        <v>46029</v>
      </c>
      <c r="B935" t="s">
        <v>11847</v>
      </c>
      <c r="C935">
        <v>24</v>
      </c>
      <c r="D935" t="str">
        <f>VLOOKUP(Tabela26[[#This Row],[EMP]],[1]LOJA!$A:$B,2,0)</f>
        <v>LUZIÂNIA</v>
      </c>
      <c r="E935">
        <v>150</v>
      </c>
      <c r="F935" t="s">
        <v>4952</v>
      </c>
      <c r="G935" t="s">
        <v>4951</v>
      </c>
      <c r="H935" t="s">
        <v>3430</v>
      </c>
      <c r="I935">
        <v>5405</v>
      </c>
      <c r="J935" s="3">
        <v>1053.3599999999999</v>
      </c>
      <c r="K935" s="3">
        <v>620.20000000000005</v>
      </c>
      <c r="L935">
        <v>41.12</v>
      </c>
    </row>
    <row r="936" spans="1:12">
      <c r="A936" s="1">
        <v>46029</v>
      </c>
      <c r="B936" t="s">
        <v>11846</v>
      </c>
      <c r="C936">
        <v>24</v>
      </c>
      <c r="D936" t="str">
        <f>VLOOKUP(Tabela26[[#This Row],[EMP]],[1]LOJA!$A:$B,2,0)</f>
        <v>LUZIÂNIA</v>
      </c>
      <c r="E936">
        <v>150</v>
      </c>
      <c r="F936" t="s">
        <v>4282</v>
      </c>
      <c r="G936" t="s">
        <v>4281</v>
      </c>
      <c r="H936" t="s">
        <v>3430</v>
      </c>
      <c r="I936">
        <v>5102</v>
      </c>
      <c r="J936" s="3">
        <v>20</v>
      </c>
      <c r="K936" s="3">
        <v>7.2</v>
      </c>
      <c r="L936">
        <v>64</v>
      </c>
    </row>
    <row r="937" spans="1:12">
      <c r="A937" s="1">
        <v>46029</v>
      </c>
      <c r="B937" t="s">
        <v>11845</v>
      </c>
      <c r="C937">
        <v>24</v>
      </c>
      <c r="D937" t="str">
        <f>VLOOKUP(Tabela26[[#This Row],[EMP]],[1]LOJA!$A:$B,2,0)</f>
        <v>LUZIÂNIA</v>
      </c>
      <c r="E937">
        <v>150</v>
      </c>
      <c r="F937" t="s">
        <v>4952</v>
      </c>
      <c r="G937" t="s">
        <v>4951</v>
      </c>
      <c r="H937" t="s">
        <v>3430</v>
      </c>
      <c r="I937">
        <v>5102</v>
      </c>
      <c r="J937" s="3">
        <v>24</v>
      </c>
      <c r="K937" s="3">
        <v>11.73</v>
      </c>
      <c r="L937">
        <v>51.13</v>
      </c>
    </row>
    <row r="938" spans="1:12">
      <c r="A938" s="1">
        <v>46029</v>
      </c>
      <c r="B938" t="s">
        <v>11844</v>
      </c>
      <c r="C938">
        <v>24</v>
      </c>
      <c r="D938" t="str">
        <f>VLOOKUP(Tabela26[[#This Row],[EMP]],[1]LOJA!$A:$B,2,0)</f>
        <v>LUZIÂNIA</v>
      </c>
      <c r="E938">
        <v>192</v>
      </c>
      <c r="F938" t="s">
        <v>5422</v>
      </c>
      <c r="G938" t="s">
        <v>5421</v>
      </c>
      <c r="H938" t="s">
        <v>3430</v>
      </c>
      <c r="I938">
        <v>5405</v>
      </c>
      <c r="J938" s="3">
        <v>258</v>
      </c>
      <c r="K938" s="3">
        <v>132.74</v>
      </c>
      <c r="L938">
        <v>48.55</v>
      </c>
    </row>
    <row r="939" spans="1:12">
      <c r="A939" s="1">
        <v>46029</v>
      </c>
      <c r="B939" t="s">
        <v>11843</v>
      </c>
      <c r="C939">
        <v>24</v>
      </c>
      <c r="D939" t="str">
        <f>VLOOKUP(Tabela26[[#This Row],[EMP]],[1]LOJA!$A:$B,2,0)</f>
        <v>LUZIÂNIA</v>
      </c>
      <c r="E939">
        <v>192</v>
      </c>
      <c r="F939" t="s">
        <v>4286</v>
      </c>
      <c r="G939" t="s">
        <v>4285</v>
      </c>
      <c r="H939" t="s">
        <v>3430</v>
      </c>
      <c r="I939">
        <v>5102</v>
      </c>
      <c r="J939" s="3">
        <v>149</v>
      </c>
      <c r="K939" s="3">
        <v>65.489999999999995</v>
      </c>
      <c r="L939">
        <v>56.05</v>
      </c>
    </row>
    <row r="940" spans="1:12">
      <c r="A940" s="1">
        <v>46029</v>
      </c>
      <c r="B940" t="s">
        <v>11842</v>
      </c>
      <c r="C940">
        <v>24</v>
      </c>
      <c r="D940" t="str">
        <f>VLOOKUP(Tabela26[[#This Row],[EMP]],[1]LOJA!$A:$B,2,0)</f>
        <v>LUZIÂNIA</v>
      </c>
      <c r="E940">
        <v>242</v>
      </c>
      <c r="F940" t="s">
        <v>5993</v>
      </c>
      <c r="G940" t="s">
        <v>5992</v>
      </c>
      <c r="H940" t="s">
        <v>11841</v>
      </c>
      <c r="I940">
        <v>5405</v>
      </c>
      <c r="J940" s="3">
        <v>1438.2</v>
      </c>
      <c r="K940" s="3">
        <v>885.6</v>
      </c>
      <c r="L940">
        <v>38.42</v>
      </c>
    </row>
    <row r="941" spans="1:12">
      <c r="A941" s="1">
        <v>46029</v>
      </c>
      <c r="B941" t="s">
        <v>11840</v>
      </c>
      <c r="C941">
        <v>24</v>
      </c>
      <c r="D941" t="str">
        <f>VLOOKUP(Tabela26[[#This Row],[EMP]],[1]LOJA!$A:$B,2,0)</f>
        <v>LUZIÂNIA</v>
      </c>
      <c r="E941">
        <v>192</v>
      </c>
      <c r="F941" t="s">
        <v>4949</v>
      </c>
      <c r="G941" t="s">
        <v>4948</v>
      </c>
      <c r="H941" t="s">
        <v>3430</v>
      </c>
      <c r="I941">
        <v>5102</v>
      </c>
      <c r="J941" s="3">
        <v>80</v>
      </c>
      <c r="K941" s="3">
        <v>47.4</v>
      </c>
      <c r="L941">
        <v>40.75</v>
      </c>
    </row>
    <row r="942" spans="1:12">
      <c r="A942" s="1">
        <v>46029</v>
      </c>
      <c r="B942" t="s">
        <v>11839</v>
      </c>
      <c r="C942">
        <v>24</v>
      </c>
      <c r="D942" t="str">
        <f>VLOOKUP(Tabela26[[#This Row],[EMP]],[1]LOJA!$A:$B,2,0)</f>
        <v>LUZIÂNIA</v>
      </c>
      <c r="E942">
        <v>192</v>
      </c>
      <c r="F942" t="s">
        <v>4949</v>
      </c>
      <c r="G942" t="s">
        <v>4948</v>
      </c>
      <c r="H942" t="s">
        <v>3430</v>
      </c>
      <c r="I942">
        <v>5405</v>
      </c>
      <c r="J942" s="3">
        <v>89.99</v>
      </c>
      <c r="K942" s="3">
        <v>39.630000000000003</v>
      </c>
      <c r="L942">
        <v>55.96</v>
      </c>
    </row>
    <row r="943" spans="1:12">
      <c r="A943" s="1">
        <v>46029</v>
      </c>
      <c r="B943" t="s">
        <v>11838</v>
      </c>
      <c r="C943">
        <v>24</v>
      </c>
      <c r="D943" t="str">
        <f>VLOOKUP(Tabela26[[#This Row],[EMP]],[1]LOJA!$A:$B,2,0)</f>
        <v>LUZIÂNIA</v>
      </c>
      <c r="E943">
        <v>150</v>
      </c>
      <c r="F943" t="s">
        <v>4182</v>
      </c>
      <c r="G943" t="s">
        <v>4181</v>
      </c>
      <c r="H943" t="s">
        <v>3430</v>
      </c>
      <c r="I943">
        <v>5405</v>
      </c>
      <c r="J943" s="3">
        <v>164.9</v>
      </c>
      <c r="K943" s="3">
        <v>82.76</v>
      </c>
      <c r="L943">
        <v>49.81</v>
      </c>
    </row>
    <row r="944" spans="1:12">
      <c r="A944" s="1">
        <v>46029</v>
      </c>
      <c r="B944" t="s">
        <v>11837</v>
      </c>
      <c r="C944">
        <v>24</v>
      </c>
      <c r="D944" t="str">
        <f>VLOOKUP(Tabela26[[#This Row],[EMP]],[1]LOJA!$A:$B,2,0)</f>
        <v>LUZIÂNIA</v>
      </c>
      <c r="E944">
        <v>192</v>
      </c>
      <c r="F944" t="s">
        <v>3545</v>
      </c>
      <c r="G944" t="s">
        <v>3544</v>
      </c>
      <c r="H944" t="s">
        <v>3430</v>
      </c>
      <c r="I944">
        <v>5405</v>
      </c>
      <c r="J944" s="3">
        <v>297</v>
      </c>
      <c r="K944" s="3">
        <v>162.71</v>
      </c>
      <c r="L944">
        <v>45.22</v>
      </c>
    </row>
    <row r="945" spans="1:12">
      <c r="A945" s="1">
        <v>46029</v>
      </c>
      <c r="B945" t="s">
        <v>11836</v>
      </c>
      <c r="C945">
        <v>24</v>
      </c>
      <c r="D945" t="str">
        <f>VLOOKUP(Tabela26[[#This Row],[EMP]],[1]LOJA!$A:$B,2,0)</f>
        <v>LUZIÂNIA</v>
      </c>
      <c r="E945">
        <v>150</v>
      </c>
      <c r="F945" t="s">
        <v>5987</v>
      </c>
      <c r="G945" t="s">
        <v>5986</v>
      </c>
      <c r="H945" t="s">
        <v>6497</v>
      </c>
      <c r="I945">
        <v>5405</v>
      </c>
      <c r="J945" s="3">
        <v>462.1</v>
      </c>
      <c r="K945" s="3">
        <v>258.02</v>
      </c>
      <c r="L945">
        <v>44.16</v>
      </c>
    </row>
    <row r="946" spans="1:12">
      <c r="A946" s="1">
        <v>46029</v>
      </c>
      <c r="B946" t="s">
        <v>11835</v>
      </c>
      <c r="C946">
        <v>24</v>
      </c>
      <c r="D946" t="str">
        <f>VLOOKUP(Tabela26[[#This Row],[EMP]],[1]LOJA!$A:$B,2,0)</f>
        <v>LUZIÂNIA</v>
      </c>
      <c r="E946">
        <v>150</v>
      </c>
      <c r="F946" t="s">
        <v>5987</v>
      </c>
      <c r="G946" t="s">
        <v>5986</v>
      </c>
      <c r="H946" t="s">
        <v>6497</v>
      </c>
      <c r="I946">
        <v>5405</v>
      </c>
      <c r="J946" s="3">
        <v>150.21</v>
      </c>
      <c r="K946" s="3">
        <v>79.56</v>
      </c>
      <c r="L946">
        <v>47.03</v>
      </c>
    </row>
    <row r="947" spans="1:12">
      <c r="A947" s="1">
        <v>46029</v>
      </c>
      <c r="B947" t="s">
        <v>11834</v>
      </c>
      <c r="C947">
        <v>24</v>
      </c>
      <c r="D947" t="str">
        <f>VLOOKUP(Tabela26[[#This Row],[EMP]],[1]LOJA!$A:$B,2,0)</f>
        <v>LUZIÂNIA</v>
      </c>
      <c r="E947">
        <v>192</v>
      </c>
      <c r="F947" t="s">
        <v>4946</v>
      </c>
      <c r="G947" t="s">
        <v>4945</v>
      </c>
      <c r="H947" t="s">
        <v>3430</v>
      </c>
      <c r="I947">
        <v>5102</v>
      </c>
      <c r="J947" s="3">
        <v>20</v>
      </c>
      <c r="K947" s="3">
        <v>11.85</v>
      </c>
      <c r="L947">
        <v>40.75</v>
      </c>
    </row>
    <row r="948" spans="1:12">
      <c r="A948" s="1">
        <v>46029</v>
      </c>
      <c r="B948" t="s">
        <v>11833</v>
      </c>
      <c r="C948">
        <v>24</v>
      </c>
      <c r="D948" t="str">
        <f>VLOOKUP(Tabela26[[#This Row],[EMP]],[1]LOJA!$A:$B,2,0)</f>
        <v>LUZIÂNIA</v>
      </c>
      <c r="E948">
        <v>192</v>
      </c>
      <c r="F948" t="s">
        <v>4940</v>
      </c>
      <c r="G948" t="s">
        <v>4939</v>
      </c>
      <c r="H948" t="s">
        <v>3430</v>
      </c>
      <c r="I948">
        <v>5405</v>
      </c>
      <c r="J948" s="3">
        <v>130</v>
      </c>
      <c r="K948" s="3">
        <v>66.03</v>
      </c>
      <c r="L948">
        <v>49.21</v>
      </c>
    </row>
    <row r="949" spans="1:12">
      <c r="A949" s="1">
        <v>46029</v>
      </c>
      <c r="B949" t="s">
        <v>11832</v>
      </c>
      <c r="C949">
        <v>24</v>
      </c>
      <c r="D949" t="str">
        <f>VLOOKUP(Tabela26[[#This Row],[EMP]],[1]LOJA!$A:$B,2,0)</f>
        <v>LUZIÂNIA</v>
      </c>
      <c r="E949">
        <v>192</v>
      </c>
      <c r="F949" t="s">
        <v>4270</v>
      </c>
      <c r="G949" t="s">
        <v>4269</v>
      </c>
      <c r="H949" t="s">
        <v>3430</v>
      </c>
      <c r="I949">
        <v>5405</v>
      </c>
      <c r="J949" s="3">
        <v>171.62</v>
      </c>
      <c r="K949" s="3">
        <v>84.61</v>
      </c>
      <c r="L949">
        <v>50.7</v>
      </c>
    </row>
    <row r="950" spans="1:12">
      <c r="A950" s="1">
        <v>46029</v>
      </c>
      <c r="B950" t="s">
        <v>11831</v>
      </c>
      <c r="C950">
        <v>24</v>
      </c>
      <c r="D950" t="str">
        <f>VLOOKUP(Tabela26[[#This Row],[EMP]],[1]LOJA!$A:$B,2,0)</f>
        <v>LUZIÂNIA</v>
      </c>
      <c r="E950">
        <v>150</v>
      </c>
      <c r="F950" t="s">
        <v>4273</v>
      </c>
      <c r="G950" t="s">
        <v>4272</v>
      </c>
      <c r="H950" t="s">
        <v>3520</v>
      </c>
      <c r="I950">
        <v>5102</v>
      </c>
      <c r="J950" s="3">
        <v>80.099999999999994</v>
      </c>
      <c r="K950" s="3">
        <v>39.1</v>
      </c>
      <c r="L950">
        <v>51.19</v>
      </c>
    </row>
    <row r="951" spans="1:12">
      <c r="A951" s="1">
        <v>46029</v>
      </c>
      <c r="B951" t="s">
        <v>11830</v>
      </c>
      <c r="C951">
        <v>24</v>
      </c>
      <c r="D951" t="str">
        <f>VLOOKUP(Tabela26[[#This Row],[EMP]],[1]LOJA!$A:$B,2,0)</f>
        <v>LUZIÂNIA</v>
      </c>
      <c r="E951">
        <v>150</v>
      </c>
      <c r="F951" t="s">
        <v>4273</v>
      </c>
      <c r="G951" t="s">
        <v>4272</v>
      </c>
      <c r="H951" t="s">
        <v>3520</v>
      </c>
      <c r="I951">
        <v>5405</v>
      </c>
      <c r="J951" s="3">
        <v>1000</v>
      </c>
      <c r="K951" s="3">
        <v>579.63</v>
      </c>
      <c r="L951">
        <v>42.04</v>
      </c>
    </row>
    <row r="952" spans="1:12">
      <c r="A952" s="1">
        <v>46029</v>
      </c>
      <c r="B952" t="s">
        <v>11829</v>
      </c>
      <c r="C952">
        <v>15</v>
      </c>
      <c r="D952" t="str">
        <f>VLOOKUP(Tabela26[[#This Row],[EMP]],[1]LOJA!$A:$B,2,0)</f>
        <v>UNAÍ</v>
      </c>
      <c r="E952">
        <v>183</v>
      </c>
      <c r="F952" t="s">
        <v>4686</v>
      </c>
      <c r="G952" t="s">
        <v>4685</v>
      </c>
      <c r="H952" t="s">
        <v>3520</v>
      </c>
      <c r="I952">
        <v>5405</v>
      </c>
      <c r="J952" s="3">
        <v>187.7</v>
      </c>
      <c r="K952" s="3">
        <v>91.82</v>
      </c>
      <c r="L952">
        <v>51.08</v>
      </c>
    </row>
    <row r="953" spans="1:12">
      <c r="A953" s="1">
        <v>46029</v>
      </c>
      <c r="B953" t="s">
        <v>11828</v>
      </c>
      <c r="C953">
        <v>22</v>
      </c>
      <c r="D953" t="str">
        <f>VLOOKUP(Tabela26[[#This Row],[EMP]],[1]LOJA!$A:$B,2,0)</f>
        <v>GUARÁ</v>
      </c>
      <c r="E953">
        <v>93</v>
      </c>
      <c r="F953" t="s">
        <v>11827</v>
      </c>
      <c r="G953" t="s">
        <v>11826</v>
      </c>
      <c r="H953" t="s">
        <v>3401</v>
      </c>
      <c r="I953">
        <v>5405</v>
      </c>
      <c r="J953" s="3">
        <v>277</v>
      </c>
      <c r="K953" s="3">
        <v>146.99</v>
      </c>
      <c r="L953">
        <v>46.94</v>
      </c>
    </row>
    <row r="954" spans="1:12">
      <c r="A954" s="1">
        <v>46029</v>
      </c>
      <c r="B954" t="s">
        <v>11825</v>
      </c>
      <c r="C954">
        <v>22</v>
      </c>
      <c r="D954" t="str">
        <f>VLOOKUP(Tabela26[[#This Row],[EMP]],[1]LOJA!$A:$B,2,0)</f>
        <v>GUARÁ</v>
      </c>
      <c r="E954">
        <v>93</v>
      </c>
      <c r="F954" t="s">
        <v>3535</v>
      </c>
      <c r="G954" t="s">
        <v>3534</v>
      </c>
      <c r="H954" t="s">
        <v>5887</v>
      </c>
      <c r="I954">
        <v>5405</v>
      </c>
      <c r="J954" s="3">
        <v>204.51</v>
      </c>
      <c r="K954" s="3">
        <v>107.03</v>
      </c>
      <c r="L954">
        <v>47.67</v>
      </c>
    </row>
    <row r="955" spans="1:12">
      <c r="A955" s="1">
        <v>46029</v>
      </c>
      <c r="B955" t="s">
        <v>11824</v>
      </c>
      <c r="C955">
        <v>22</v>
      </c>
      <c r="D955" t="str">
        <f>VLOOKUP(Tabela26[[#This Row],[EMP]],[1]LOJA!$A:$B,2,0)</f>
        <v>GUARÁ</v>
      </c>
      <c r="E955">
        <v>16</v>
      </c>
      <c r="F955" t="s">
        <v>4251</v>
      </c>
      <c r="G955" t="s">
        <v>4250</v>
      </c>
      <c r="H955" t="s">
        <v>3430</v>
      </c>
      <c r="I955">
        <v>5102</v>
      </c>
      <c r="J955" s="3">
        <v>274.29000000000002</v>
      </c>
      <c r="K955" s="3">
        <v>162.80000000000001</v>
      </c>
      <c r="L955">
        <v>40.65</v>
      </c>
    </row>
    <row r="956" spans="1:12">
      <c r="A956" s="1">
        <v>46029</v>
      </c>
      <c r="B956" t="s">
        <v>11823</v>
      </c>
      <c r="C956">
        <v>22</v>
      </c>
      <c r="D956" t="str">
        <f>VLOOKUP(Tabela26[[#This Row],[EMP]],[1]LOJA!$A:$B,2,0)</f>
        <v>GUARÁ</v>
      </c>
      <c r="E956">
        <v>16</v>
      </c>
      <c r="F956" t="s">
        <v>11822</v>
      </c>
      <c r="G956" t="s">
        <v>11821</v>
      </c>
      <c r="H956" t="s">
        <v>3430</v>
      </c>
      <c r="I956">
        <v>5102</v>
      </c>
      <c r="J956" s="3">
        <v>199.41</v>
      </c>
      <c r="K956" s="3">
        <v>96.64</v>
      </c>
      <c r="L956">
        <v>51.54</v>
      </c>
    </row>
    <row r="957" spans="1:12">
      <c r="A957" s="1">
        <v>46029</v>
      </c>
      <c r="B957" t="s">
        <v>11820</v>
      </c>
      <c r="C957">
        <v>22</v>
      </c>
      <c r="D957" t="str">
        <f>VLOOKUP(Tabela26[[#This Row],[EMP]],[1]LOJA!$A:$B,2,0)</f>
        <v>GUARÁ</v>
      </c>
      <c r="E957">
        <v>93</v>
      </c>
      <c r="F957" t="s">
        <v>4246</v>
      </c>
      <c r="G957" t="s">
        <v>4245</v>
      </c>
      <c r="H957" t="s">
        <v>3430</v>
      </c>
      <c r="I957">
        <v>5102</v>
      </c>
      <c r="J957" s="3">
        <v>54.16</v>
      </c>
      <c r="K957" s="3">
        <v>25.15</v>
      </c>
      <c r="L957">
        <v>53.56</v>
      </c>
    </row>
    <row r="958" spans="1:12">
      <c r="A958" s="1">
        <v>46029</v>
      </c>
      <c r="B958" t="s">
        <v>11819</v>
      </c>
      <c r="C958">
        <v>22</v>
      </c>
      <c r="D958" t="str">
        <f>VLOOKUP(Tabela26[[#This Row],[EMP]],[1]LOJA!$A:$B,2,0)</f>
        <v>GUARÁ</v>
      </c>
      <c r="E958">
        <v>93</v>
      </c>
      <c r="F958" t="s">
        <v>3542</v>
      </c>
      <c r="G958" t="s">
        <v>3541</v>
      </c>
      <c r="H958" t="s">
        <v>3430</v>
      </c>
      <c r="I958">
        <v>5405</v>
      </c>
      <c r="J958" s="3">
        <v>211.47</v>
      </c>
      <c r="K958" s="3">
        <v>102.9</v>
      </c>
      <c r="L958">
        <v>51.34</v>
      </c>
    </row>
    <row r="959" spans="1:12">
      <c r="A959" s="1">
        <v>46029</v>
      </c>
      <c r="B959" t="s">
        <v>11818</v>
      </c>
      <c r="C959">
        <v>22</v>
      </c>
      <c r="D959" t="str">
        <f>VLOOKUP(Tabela26[[#This Row],[EMP]],[1]LOJA!$A:$B,2,0)</f>
        <v>GUARÁ</v>
      </c>
      <c r="E959">
        <v>93</v>
      </c>
      <c r="F959" t="s">
        <v>4246</v>
      </c>
      <c r="G959" t="s">
        <v>4245</v>
      </c>
      <c r="H959" t="s">
        <v>3430</v>
      </c>
      <c r="I959">
        <v>5405</v>
      </c>
      <c r="J959" s="3">
        <v>308.62</v>
      </c>
      <c r="K959" s="3">
        <v>164.69</v>
      </c>
      <c r="L959">
        <v>46.64</v>
      </c>
    </row>
    <row r="960" spans="1:12">
      <c r="A960" s="1">
        <v>46029</v>
      </c>
      <c r="B960" t="s">
        <v>11817</v>
      </c>
      <c r="C960">
        <v>22</v>
      </c>
      <c r="D960" t="str">
        <f>VLOOKUP(Tabela26[[#This Row],[EMP]],[1]LOJA!$A:$B,2,0)</f>
        <v>GUARÁ</v>
      </c>
      <c r="E960">
        <v>93</v>
      </c>
      <c r="F960" t="s">
        <v>11816</v>
      </c>
      <c r="G960" t="s">
        <v>11815</v>
      </c>
      <c r="H960" t="s">
        <v>3430</v>
      </c>
      <c r="I960">
        <v>5102</v>
      </c>
      <c r="J960" s="3">
        <v>816.89</v>
      </c>
      <c r="K960" s="3">
        <v>500.14</v>
      </c>
      <c r="L960">
        <v>38.78</v>
      </c>
    </row>
    <row r="961" spans="1:12">
      <c r="A961" s="1">
        <v>46029</v>
      </c>
      <c r="B961" t="s">
        <v>11814</v>
      </c>
      <c r="C961">
        <v>24</v>
      </c>
      <c r="D961" t="str">
        <f>VLOOKUP(Tabela26[[#This Row],[EMP]],[1]LOJA!$A:$B,2,0)</f>
        <v>LUZIÂNIA</v>
      </c>
      <c r="E961">
        <v>192</v>
      </c>
      <c r="F961" t="s">
        <v>6521</v>
      </c>
      <c r="G961" t="s">
        <v>6520</v>
      </c>
      <c r="H961" t="s">
        <v>3401</v>
      </c>
      <c r="I961">
        <v>5405</v>
      </c>
      <c r="J961" s="3">
        <v>154</v>
      </c>
      <c r="K961" s="3">
        <v>81.66</v>
      </c>
      <c r="L961">
        <v>46.97</v>
      </c>
    </row>
    <row r="962" spans="1:12">
      <c r="A962" s="1">
        <v>46029</v>
      </c>
      <c r="B962" t="s">
        <v>11813</v>
      </c>
      <c r="C962">
        <v>24</v>
      </c>
      <c r="D962" t="str">
        <f>VLOOKUP(Tabela26[[#This Row],[EMP]],[1]LOJA!$A:$B,2,0)</f>
        <v>LUZIÂNIA</v>
      </c>
      <c r="E962">
        <v>242</v>
      </c>
      <c r="F962" t="s">
        <v>3524</v>
      </c>
      <c r="G962" t="s">
        <v>3402</v>
      </c>
      <c r="H962" t="s">
        <v>3401</v>
      </c>
      <c r="I962">
        <v>5102</v>
      </c>
      <c r="J962" s="3">
        <v>45</v>
      </c>
      <c r="K962" s="3">
        <v>26.14</v>
      </c>
      <c r="L962">
        <v>41.91</v>
      </c>
    </row>
    <row r="963" spans="1:12">
      <c r="A963" s="1">
        <v>46029</v>
      </c>
      <c r="B963" t="s">
        <v>11812</v>
      </c>
      <c r="C963">
        <v>24</v>
      </c>
      <c r="D963" t="str">
        <f>VLOOKUP(Tabela26[[#This Row],[EMP]],[1]LOJA!$A:$B,2,0)</f>
        <v>LUZIÂNIA</v>
      </c>
      <c r="E963">
        <v>150</v>
      </c>
      <c r="F963" t="s">
        <v>4857</v>
      </c>
      <c r="G963" t="s">
        <v>4856</v>
      </c>
      <c r="H963" t="s">
        <v>3401</v>
      </c>
      <c r="I963">
        <v>5102</v>
      </c>
      <c r="J963" s="3">
        <v>167</v>
      </c>
      <c r="K963" s="3">
        <v>80.03</v>
      </c>
      <c r="L963">
        <v>52.08</v>
      </c>
    </row>
    <row r="964" spans="1:12">
      <c r="A964" s="1">
        <v>46029</v>
      </c>
      <c r="B964" t="s">
        <v>11811</v>
      </c>
      <c r="C964">
        <v>24</v>
      </c>
      <c r="D964" t="str">
        <f>VLOOKUP(Tabela26[[#This Row],[EMP]],[1]LOJA!$A:$B,2,0)</f>
        <v>LUZIÂNIA</v>
      </c>
      <c r="E964">
        <v>192</v>
      </c>
      <c r="F964" t="s">
        <v>3524</v>
      </c>
      <c r="G964" t="s">
        <v>3402</v>
      </c>
      <c r="H964" t="s">
        <v>3401</v>
      </c>
      <c r="I964">
        <v>5102</v>
      </c>
      <c r="J964" s="3">
        <v>97</v>
      </c>
      <c r="K964" s="3">
        <v>53.33</v>
      </c>
      <c r="L964">
        <v>45.02</v>
      </c>
    </row>
    <row r="965" spans="1:12">
      <c r="A965" s="1">
        <v>46029</v>
      </c>
      <c r="B965" t="s">
        <v>11810</v>
      </c>
      <c r="C965">
        <v>24</v>
      </c>
      <c r="D965" t="str">
        <f>VLOOKUP(Tabela26[[#This Row],[EMP]],[1]LOJA!$A:$B,2,0)</f>
        <v>LUZIÂNIA</v>
      </c>
      <c r="E965">
        <v>242</v>
      </c>
      <c r="F965" t="s">
        <v>3524</v>
      </c>
      <c r="G965" t="s">
        <v>3402</v>
      </c>
      <c r="H965" t="s">
        <v>3401</v>
      </c>
      <c r="I965">
        <v>5405</v>
      </c>
      <c r="J965" s="3">
        <v>455</v>
      </c>
      <c r="K965" s="3">
        <v>246.48</v>
      </c>
      <c r="L965">
        <v>45.83</v>
      </c>
    </row>
    <row r="966" spans="1:12">
      <c r="A966" s="1">
        <v>46029</v>
      </c>
      <c r="B966" t="s">
        <v>11809</v>
      </c>
      <c r="C966">
        <v>24</v>
      </c>
      <c r="D966" t="str">
        <f>VLOOKUP(Tabela26[[#This Row],[EMP]],[1]LOJA!$A:$B,2,0)</f>
        <v>LUZIÂNIA</v>
      </c>
      <c r="E966">
        <v>150</v>
      </c>
      <c r="F966" t="s">
        <v>4176</v>
      </c>
      <c r="G966" t="s">
        <v>4175</v>
      </c>
      <c r="H966" t="s">
        <v>3408</v>
      </c>
      <c r="I966">
        <v>5405</v>
      </c>
      <c r="J966" s="3">
        <v>590.79999999999995</v>
      </c>
      <c r="K966" s="3">
        <v>374.46</v>
      </c>
      <c r="L966">
        <v>36.619999999999997</v>
      </c>
    </row>
    <row r="967" spans="1:12">
      <c r="A967" s="1">
        <v>46029</v>
      </c>
      <c r="B967" t="s">
        <v>11808</v>
      </c>
      <c r="C967">
        <v>24</v>
      </c>
      <c r="D967" t="str">
        <f>VLOOKUP(Tabela26[[#This Row],[EMP]],[1]LOJA!$A:$B,2,0)</f>
        <v>LUZIÂNIA</v>
      </c>
      <c r="E967">
        <v>192</v>
      </c>
      <c r="F967" t="s">
        <v>4184</v>
      </c>
      <c r="G967" t="s">
        <v>3402</v>
      </c>
      <c r="H967" t="s">
        <v>3408</v>
      </c>
      <c r="I967">
        <v>5102</v>
      </c>
      <c r="J967" s="3">
        <v>420</v>
      </c>
      <c r="K967" s="3">
        <v>238.08</v>
      </c>
      <c r="L967">
        <v>43.31</v>
      </c>
    </row>
    <row r="968" spans="1:12">
      <c r="A968" s="1">
        <v>46029</v>
      </c>
      <c r="B968" t="s">
        <v>11807</v>
      </c>
      <c r="C968">
        <v>24</v>
      </c>
      <c r="D968" t="str">
        <f>VLOOKUP(Tabela26[[#This Row],[EMP]],[1]LOJA!$A:$B,2,0)</f>
        <v>LUZIÂNIA</v>
      </c>
      <c r="E968">
        <v>242</v>
      </c>
      <c r="F968" t="s">
        <v>3524</v>
      </c>
      <c r="G968" t="s">
        <v>3402</v>
      </c>
      <c r="H968" t="s">
        <v>3401</v>
      </c>
      <c r="I968">
        <v>5102</v>
      </c>
      <c r="J968" s="3">
        <v>35</v>
      </c>
      <c r="K968" s="3">
        <v>19.73</v>
      </c>
      <c r="L968">
        <v>43.63</v>
      </c>
    </row>
    <row r="969" spans="1:12">
      <c r="A969" s="1">
        <v>46029</v>
      </c>
      <c r="B969" t="s">
        <v>11806</v>
      </c>
      <c r="C969">
        <v>24</v>
      </c>
      <c r="D969" t="str">
        <f>VLOOKUP(Tabela26[[#This Row],[EMP]],[1]LOJA!$A:$B,2,0)</f>
        <v>LUZIÂNIA</v>
      </c>
      <c r="E969">
        <v>242</v>
      </c>
      <c r="F969" t="s">
        <v>3524</v>
      </c>
      <c r="G969" t="s">
        <v>3402</v>
      </c>
      <c r="H969" t="s">
        <v>3401</v>
      </c>
      <c r="I969">
        <v>5102</v>
      </c>
      <c r="J969" s="3">
        <v>63</v>
      </c>
      <c r="K969" s="3">
        <v>23.58</v>
      </c>
      <c r="L969">
        <v>62.57</v>
      </c>
    </row>
    <row r="970" spans="1:12">
      <c r="A970" s="1">
        <v>46029</v>
      </c>
      <c r="B970" t="s">
        <v>11805</v>
      </c>
      <c r="C970">
        <v>24</v>
      </c>
      <c r="D970" t="str">
        <f>VLOOKUP(Tabela26[[#This Row],[EMP]],[1]LOJA!$A:$B,2,0)</f>
        <v>LUZIÂNIA</v>
      </c>
      <c r="E970">
        <v>192</v>
      </c>
      <c r="F970" t="s">
        <v>11804</v>
      </c>
      <c r="G970" t="s">
        <v>3402</v>
      </c>
      <c r="H970" t="s">
        <v>3408</v>
      </c>
      <c r="I970">
        <v>5102</v>
      </c>
      <c r="J970" s="3">
        <v>142</v>
      </c>
      <c r="K970" s="3">
        <v>88.52</v>
      </c>
      <c r="L970">
        <v>37.659999999999997</v>
      </c>
    </row>
    <row r="971" spans="1:12">
      <c r="A971" s="1">
        <v>46029</v>
      </c>
      <c r="B971" t="s">
        <v>11803</v>
      </c>
      <c r="C971">
        <v>24</v>
      </c>
      <c r="D971" t="str">
        <f>VLOOKUP(Tabela26[[#This Row],[EMP]],[1]LOJA!$A:$B,2,0)</f>
        <v>LUZIÂNIA</v>
      </c>
      <c r="E971">
        <v>192</v>
      </c>
      <c r="F971" t="s">
        <v>3524</v>
      </c>
      <c r="G971" t="s">
        <v>3402</v>
      </c>
      <c r="H971" t="s">
        <v>3401</v>
      </c>
      <c r="I971">
        <v>5102</v>
      </c>
      <c r="J971" s="3">
        <v>6</v>
      </c>
      <c r="K971" s="3">
        <v>3.08</v>
      </c>
      <c r="L971">
        <v>48.67</v>
      </c>
    </row>
    <row r="972" spans="1:12">
      <c r="A972" s="1">
        <v>46029</v>
      </c>
      <c r="B972" t="s">
        <v>11802</v>
      </c>
      <c r="C972">
        <v>24</v>
      </c>
      <c r="D972" t="str">
        <f>VLOOKUP(Tabela26[[#This Row],[EMP]],[1]LOJA!$A:$B,2,0)</f>
        <v>LUZIÂNIA</v>
      </c>
      <c r="E972">
        <v>242</v>
      </c>
      <c r="F972" t="s">
        <v>3849</v>
      </c>
      <c r="G972" t="s">
        <v>3402</v>
      </c>
      <c r="H972" t="s">
        <v>3408</v>
      </c>
      <c r="I972">
        <v>5405</v>
      </c>
      <c r="J972" s="3">
        <v>127</v>
      </c>
      <c r="K972" s="3">
        <v>54.36</v>
      </c>
      <c r="L972">
        <v>57.2</v>
      </c>
    </row>
    <row r="973" spans="1:12">
      <c r="A973" s="1">
        <v>46029</v>
      </c>
      <c r="B973" t="s">
        <v>11801</v>
      </c>
      <c r="C973">
        <v>24</v>
      </c>
      <c r="D973" t="str">
        <f>VLOOKUP(Tabela26[[#This Row],[EMP]],[1]LOJA!$A:$B,2,0)</f>
        <v>LUZIÂNIA</v>
      </c>
      <c r="E973">
        <v>192</v>
      </c>
      <c r="F973" t="s">
        <v>11800</v>
      </c>
      <c r="G973" t="s">
        <v>11799</v>
      </c>
      <c r="H973" t="s">
        <v>3401</v>
      </c>
      <c r="I973">
        <v>5102</v>
      </c>
      <c r="J973" s="3">
        <v>21.9</v>
      </c>
      <c r="K973" s="3">
        <v>11.1</v>
      </c>
      <c r="L973">
        <v>49.32</v>
      </c>
    </row>
    <row r="974" spans="1:12">
      <c r="A974" s="1">
        <v>46029</v>
      </c>
      <c r="B974" t="s">
        <v>11798</v>
      </c>
      <c r="C974">
        <v>24</v>
      </c>
      <c r="D974" t="str">
        <f>VLOOKUP(Tabela26[[#This Row],[EMP]],[1]LOJA!$A:$B,2,0)</f>
        <v>LUZIÂNIA</v>
      </c>
      <c r="E974">
        <v>150</v>
      </c>
      <c r="F974" t="s">
        <v>5943</v>
      </c>
      <c r="G974" t="s">
        <v>5942</v>
      </c>
      <c r="H974" t="s">
        <v>3401</v>
      </c>
      <c r="I974">
        <v>5405</v>
      </c>
      <c r="J974" s="3">
        <v>38</v>
      </c>
      <c r="K974" s="3">
        <v>19.27</v>
      </c>
      <c r="L974">
        <v>49.29</v>
      </c>
    </row>
    <row r="975" spans="1:12">
      <c r="A975" s="1">
        <v>46029</v>
      </c>
      <c r="B975" t="s">
        <v>11797</v>
      </c>
      <c r="C975">
        <v>24</v>
      </c>
      <c r="D975" t="str">
        <f>VLOOKUP(Tabela26[[#This Row],[EMP]],[1]LOJA!$A:$B,2,0)</f>
        <v>LUZIÂNIA</v>
      </c>
      <c r="E975">
        <v>150</v>
      </c>
      <c r="F975" t="s">
        <v>11796</v>
      </c>
      <c r="G975" t="s">
        <v>11795</v>
      </c>
      <c r="H975" t="s">
        <v>3401</v>
      </c>
      <c r="I975">
        <v>5102</v>
      </c>
      <c r="J975" s="3">
        <v>160</v>
      </c>
      <c r="K975" s="3">
        <v>80.95</v>
      </c>
      <c r="L975">
        <v>49.41</v>
      </c>
    </row>
    <row r="976" spans="1:12">
      <c r="A976" s="1">
        <v>46029</v>
      </c>
      <c r="B976" t="s">
        <v>11794</v>
      </c>
      <c r="C976">
        <v>24</v>
      </c>
      <c r="D976" t="str">
        <f>VLOOKUP(Tabela26[[#This Row],[EMP]],[1]LOJA!$A:$B,2,0)</f>
        <v>LUZIÂNIA</v>
      </c>
      <c r="E976">
        <v>150</v>
      </c>
      <c r="F976" t="s">
        <v>4197</v>
      </c>
      <c r="G976" t="s">
        <v>4196</v>
      </c>
      <c r="H976" t="s">
        <v>3401</v>
      </c>
      <c r="I976">
        <v>5102</v>
      </c>
      <c r="J976" s="3">
        <v>12</v>
      </c>
      <c r="K976" s="3">
        <v>6.16</v>
      </c>
      <c r="L976">
        <v>48.67</v>
      </c>
    </row>
    <row r="977" spans="1:12">
      <c r="A977" s="1">
        <v>46029</v>
      </c>
      <c r="B977" t="s">
        <v>11793</v>
      </c>
      <c r="C977">
        <v>24</v>
      </c>
      <c r="D977" t="str">
        <f>VLOOKUP(Tabela26[[#This Row],[EMP]],[1]LOJA!$A:$B,2,0)</f>
        <v>LUZIÂNIA</v>
      </c>
      <c r="E977">
        <v>192</v>
      </c>
      <c r="F977" t="s">
        <v>4883</v>
      </c>
      <c r="G977" t="s">
        <v>4882</v>
      </c>
      <c r="H977" t="s">
        <v>3401</v>
      </c>
      <c r="I977">
        <v>5102</v>
      </c>
      <c r="J977" s="3">
        <v>412</v>
      </c>
      <c r="K977" s="3">
        <v>241.18</v>
      </c>
      <c r="L977">
        <v>41.46</v>
      </c>
    </row>
    <row r="978" spans="1:12">
      <c r="A978" s="1">
        <v>46029</v>
      </c>
      <c r="B978" t="s">
        <v>11792</v>
      </c>
      <c r="C978">
        <v>24</v>
      </c>
      <c r="D978" t="str">
        <f>VLOOKUP(Tabela26[[#This Row],[EMP]],[1]LOJA!$A:$B,2,0)</f>
        <v>LUZIÂNIA</v>
      </c>
      <c r="E978">
        <v>150</v>
      </c>
      <c r="F978" t="s">
        <v>3524</v>
      </c>
      <c r="G978" t="s">
        <v>3402</v>
      </c>
      <c r="H978" t="s">
        <v>3401</v>
      </c>
      <c r="I978">
        <v>5102</v>
      </c>
      <c r="J978" s="3">
        <v>47</v>
      </c>
      <c r="K978" s="3">
        <v>20.02</v>
      </c>
      <c r="L978">
        <v>57.4</v>
      </c>
    </row>
    <row r="979" spans="1:12">
      <c r="A979" s="1">
        <v>46029</v>
      </c>
      <c r="B979" t="s">
        <v>11791</v>
      </c>
      <c r="C979">
        <v>24</v>
      </c>
      <c r="D979" t="str">
        <f>VLOOKUP(Tabela26[[#This Row],[EMP]],[1]LOJA!$A:$B,2,0)</f>
        <v>LUZIÂNIA</v>
      </c>
      <c r="E979">
        <v>192</v>
      </c>
      <c r="F979" t="s">
        <v>5913</v>
      </c>
      <c r="G979" t="s">
        <v>5912</v>
      </c>
      <c r="H979" t="s">
        <v>3401</v>
      </c>
      <c r="I979">
        <v>5405</v>
      </c>
      <c r="J979" s="3">
        <v>317</v>
      </c>
      <c r="K979" s="3">
        <v>173.35</v>
      </c>
      <c r="L979">
        <v>45.32</v>
      </c>
    </row>
    <row r="980" spans="1:12">
      <c r="A980" s="1">
        <v>46029</v>
      </c>
      <c r="B980" t="s">
        <v>11790</v>
      </c>
      <c r="C980">
        <v>24</v>
      </c>
      <c r="D980" t="str">
        <f>VLOOKUP(Tabela26[[#This Row],[EMP]],[1]LOJA!$A:$B,2,0)</f>
        <v>LUZIÂNIA</v>
      </c>
      <c r="E980">
        <v>150</v>
      </c>
      <c r="F980" t="s">
        <v>3524</v>
      </c>
      <c r="G980" t="s">
        <v>3402</v>
      </c>
      <c r="H980" t="s">
        <v>3401</v>
      </c>
      <c r="I980">
        <v>5102</v>
      </c>
      <c r="J980" s="3">
        <v>140</v>
      </c>
      <c r="K980" s="3">
        <v>68.489999999999995</v>
      </c>
      <c r="L980">
        <v>51.08</v>
      </c>
    </row>
    <row r="981" spans="1:12">
      <c r="A981" s="1">
        <v>46029</v>
      </c>
      <c r="B981" t="s">
        <v>11789</v>
      </c>
      <c r="C981">
        <v>24</v>
      </c>
      <c r="D981" t="str">
        <f>VLOOKUP(Tabela26[[#This Row],[EMP]],[1]LOJA!$A:$B,2,0)</f>
        <v>LUZIÂNIA</v>
      </c>
      <c r="E981">
        <v>192</v>
      </c>
      <c r="F981" t="s">
        <v>3524</v>
      </c>
      <c r="G981" t="s">
        <v>3402</v>
      </c>
      <c r="H981" t="s">
        <v>3401</v>
      </c>
      <c r="I981">
        <v>5102</v>
      </c>
      <c r="J981" s="3">
        <v>23</v>
      </c>
      <c r="K981" s="3">
        <v>11.44</v>
      </c>
      <c r="L981">
        <v>50.26</v>
      </c>
    </row>
    <row r="982" spans="1:12">
      <c r="A982" s="1">
        <v>46029</v>
      </c>
      <c r="B982" t="s">
        <v>11788</v>
      </c>
      <c r="C982">
        <v>24</v>
      </c>
      <c r="D982" t="str">
        <f>VLOOKUP(Tabela26[[#This Row],[EMP]],[1]LOJA!$A:$B,2,0)</f>
        <v>LUZIÂNIA</v>
      </c>
      <c r="E982">
        <v>192</v>
      </c>
      <c r="F982" t="s">
        <v>4871</v>
      </c>
      <c r="G982" t="s">
        <v>4870</v>
      </c>
      <c r="H982" t="s">
        <v>3401</v>
      </c>
      <c r="I982">
        <v>5405</v>
      </c>
      <c r="J982" s="3">
        <v>317</v>
      </c>
      <c r="K982" s="3">
        <v>159.72999999999999</v>
      </c>
      <c r="L982">
        <v>49.61</v>
      </c>
    </row>
    <row r="983" spans="1:12">
      <c r="A983" s="1">
        <v>46029</v>
      </c>
      <c r="B983" t="s">
        <v>11787</v>
      </c>
      <c r="C983">
        <v>24</v>
      </c>
      <c r="D983" t="str">
        <f>VLOOKUP(Tabela26[[#This Row],[EMP]],[1]LOJA!$A:$B,2,0)</f>
        <v>LUZIÂNIA</v>
      </c>
      <c r="E983">
        <v>150</v>
      </c>
      <c r="F983" t="s">
        <v>4182</v>
      </c>
      <c r="G983" t="s">
        <v>4181</v>
      </c>
      <c r="H983" t="s">
        <v>3408</v>
      </c>
      <c r="I983">
        <v>5102</v>
      </c>
      <c r="J983" s="3">
        <v>72</v>
      </c>
      <c r="K983" s="3">
        <v>40.79</v>
      </c>
      <c r="L983">
        <v>43.35</v>
      </c>
    </row>
    <row r="984" spans="1:12">
      <c r="A984" s="1">
        <v>46029</v>
      </c>
      <c r="B984" t="s">
        <v>11786</v>
      </c>
      <c r="C984">
        <v>24</v>
      </c>
      <c r="D984" t="str">
        <f>VLOOKUP(Tabela26[[#This Row],[EMP]],[1]LOJA!$A:$B,2,0)</f>
        <v>LUZIÂNIA</v>
      </c>
      <c r="E984">
        <v>192</v>
      </c>
      <c r="F984" t="s">
        <v>4827</v>
      </c>
      <c r="G984" t="s">
        <v>4826</v>
      </c>
      <c r="H984" t="s">
        <v>3408</v>
      </c>
      <c r="I984">
        <v>5405</v>
      </c>
      <c r="J984" s="3">
        <v>150</v>
      </c>
      <c r="K984" s="3">
        <v>73.55</v>
      </c>
      <c r="L984">
        <v>50.97</v>
      </c>
    </row>
    <row r="985" spans="1:12">
      <c r="A985" s="1">
        <v>46029</v>
      </c>
      <c r="B985" t="s">
        <v>11785</v>
      </c>
      <c r="C985">
        <v>24</v>
      </c>
      <c r="D985" t="str">
        <f>VLOOKUP(Tabela26[[#This Row],[EMP]],[1]LOJA!$A:$B,2,0)</f>
        <v>LUZIÂNIA</v>
      </c>
      <c r="E985">
        <v>192</v>
      </c>
      <c r="F985" t="s">
        <v>3524</v>
      </c>
      <c r="G985" t="s">
        <v>3402</v>
      </c>
      <c r="H985" t="s">
        <v>3401</v>
      </c>
      <c r="I985">
        <v>5102</v>
      </c>
      <c r="J985" s="3">
        <v>5</v>
      </c>
      <c r="K985" s="3">
        <v>2.2000000000000002</v>
      </c>
      <c r="L985">
        <v>56</v>
      </c>
    </row>
    <row r="986" spans="1:12">
      <c r="A986" s="1">
        <v>46029</v>
      </c>
      <c r="B986" t="s">
        <v>11784</v>
      </c>
      <c r="C986">
        <v>24</v>
      </c>
      <c r="D986" t="str">
        <f>VLOOKUP(Tabela26[[#This Row],[EMP]],[1]LOJA!$A:$B,2,0)</f>
        <v>LUZIÂNIA</v>
      </c>
      <c r="E986">
        <v>192</v>
      </c>
      <c r="F986" t="s">
        <v>3524</v>
      </c>
      <c r="G986" t="s">
        <v>3402</v>
      </c>
      <c r="H986" t="s">
        <v>3408</v>
      </c>
      <c r="I986">
        <v>5102</v>
      </c>
      <c r="J986" s="3">
        <v>72</v>
      </c>
      <c r="K986" s="3">
        <v>34.9</v>
      </c>
      <c r="L986">
        <v>51.53</v>
      </c>
    </row>
    <row r="987" spans="1:12">
      <c r="A987" s="1">
        <v>46029</v>
      </c>
      <c r="B987" t="s">
        <v>11783</v>
      </c>
      <c r="C987">
        <v>24</v>
      </c>
      <c r="D987" t="str">
        <f>VLOOKUP(Tabela26[[#This Row],[EMP]],[1]LOJA!$A:$B,2,0)</f>
        <v>LUZIÂNIA</v>
      </c>
      <c r="E987">
        <v>192</v>
      </c>
      <c r="F987" t="s">
        <v>4224</v>
      </c>
      <c r="G987" t="s">
        <v>3402</v>
      </c>
      <c r="H987" t="s">
        <v>3408</v>
      </c>
      <c r="I987">
        <v>5102</v>
      </c>
      <c r="J987" s="3">
        <v>76</v>
      </c>
      <c r="K987" s="3">
        <v>34.11</v>
      </c>
      <c r="L987">
        <v>55.12</v>
      </c>
    </row>
    <row r="988" spans="1:12">
      <c r="A988" s="1">
        <v>46029</v>
      </c>
      <c r="B988" t="s">
        <v>11782</v>
      </c>
      <c r="C988">
        <v>24</v>
      </c>
      <c r="D988" t="str">
        <f>VLOOKUP(Tabela26[[#This Row],[EMP]],[1]LOJA!$A:$B,2,0)</f>
        <v>LUZIÂNIA</v>
      </c>
      <c r="E988">
        <v>192</v>
      </c>
      <c r="F988" t="s">
        <v>3524</v>
      </c>
      <c r="G988" t="s">
        <v>3402</v>
      </c>
      <c r="H988" t="s">
        <v>3401</v>
      </c>
      <c r="I988">
        <v>5102</v>
      </c>
      <c r="J988" s="3">
        <v>372</v>
      </c>
      <c r="K988" s="3">
        <v>217.51</v>
      </c>
      <c r="L988">
        <v>41.53</v>
      </c>
    </row>
    <row r="989" spans="1:12">
      <c r="A989" s="1">
        <v>46029</v>
      </c>
      <c r="B989" t="s">
        <v>11781</v>
      </c>
      <c r="C989">
        <v>24</v>
      </c>
      <c r="D989" t="str">
        <f>VLOOKUP(Tabela26[[#This Row],[EMP]],[1]LOJA!$A:$B,2,0)</f>
        <v>LUZIÂNIA</v>
      </c>
      <c r="E989">
        <v>192</v>
      </c>
      <c r="F989" t="s">
        <v>11780</v>
      </c>
      <c r="G989" t="s">
        <v>11779</v>
      </c>
      <c r="H989" t="s">
        <v>3408</v>
      </c>
      <c r="I989">
        <v>5102</v>
      </c>
      <c r="J989" s="3">
        <v>142</v>
      </c>
      <c r="K989" s="3">
        <v>88.04</v>
      </c>
      <c r="L989">
        <v>38</v>
      </c>
    </row>
    <row r="990" spans="1:12">
      <c r="A990" s="1">
        <v>46029</v>
      </c>
      <c r="B990" t="s">
        <v>11778</v>
      </c>
      <c r="C990">
        <v>24</v>
      </c>
      <c r="D990" t="str">
        <f>VLOOKUP(Tabela26[[#This Row],[EMP]],[1]LOJA!$A:$B,2,0)</f>
        <v>LUZIÂNIA</v>
      </c>
      <c r="E990">
        <v>242</v>
      </c>
      <c r="F990" t="s">
        <v>3524</v>
      </c>
      <c r="G990" t="s">
        <v>3402</v>
      </c>
      <c r="H990" t="s">
        <v>3401</v>
      </c>
      <c r="I990">
        <v>5405</v>
      </c>
      <c r="J990" s="3">
        <v>308.89999999999998</v>
      </c>
      <c r="K990" s="3">
        <v>200.55</v>
      </c>
      <c r="L990">
        <v>35.08</v>
      </c>
    </row>
    <row r="991" spans="1:12">
      <c r="A991" s="1">
        <v>46029</v>
      </c>
      <c r="B991" t="s">
        <v>11777</v>
      </c>
      <c r="C991">
        <v>24</v>
      </c>
      <c r="D991" t="str">
        <f>VLOOKUP(Tabela26[[#This Row],[EMP]],[1]LOJA!$A:$B,2,0)</f>
        <v>LUZIÂNIA</v>
      </c>
      <c r="E991">
        <v>192</v>
      </c>
      <c r="F991" t="s">
        <v>11776</v>
      </c>
      <c r="G991" t="s">
        <v>3402</v>
      </c>
      <c r="H991" t="s">
        <v>3401</v>
      </c>
      <c r="I991">
        <v>5405</v>
      </c>
      <c r="J991" s="3">
        <v>63</v>
      </c>
      <c r="K991" s="3">
        <v>28.25</v>
      </c>
      <c r="L991">
        <v>55.16</v>
      </c>
    </row>
    <row r="992" spans="1:12">
      <c r="A992" s="1">
        <v>46029</v>
      </c>
      <c r="B992" t="s">
        <v>11775</v>
      </c>
      <c r="C992">
        <v>24</v>
      </c>
      <c r="D992" t="str">
        <f>VLOOKUP(Tabela26[[#This Row],[EMP]],[1]LOJA!$A:$B,2,0)</f>
        <v>LUZIÂNIA</v>
      </c>
      <c r="E992">
        <v>192</v>
      </c>
      <c r="F992" t="s">
        <v>7868</v>
      </c>
      <c r="G992" t="s">
        <v>7867</v>
      </c>
      <c r="H992" t="s">
        <v>3401</v>
      </c>
      <c r="I992">
        <v>5102</v>
      </c>
      <c r="J992" s="3">
        <v>74</v>
      </c>
      <c r="K992" s="3">
        <v>37.299999999999997</v>
      </c>
      <c r="L992">
        <v>49.59</v>
      </c>
    </row>
    <row r="993" spans="1:12">
      <c r="A993" s="1">
        <v>46029</v>
      </c>
      <c r="B993" t="s">
        <v>11774</v>
      </c>
      <c r="C993">
        <v>24</v>
      </c>
      <c r="D993" t="str">
        <f>VLOOKUP(Tabela26[[#This Row],[EMP]],[1]LOJA!$A:$B,2,0)</f>
        <v>LUZIÂNIA</v>
      </c>
      <c r="E993">
        <v>150</v>
      </c>
      <c r="F993" t="s">
        <v>3524</v>
      </c>
      <c r="G993" t="s">
        <v>3402</v>
      </c>
      <c r="H993" t="s">
        <v>3401</v>
      </c>
      <c r="I993">
        <v>5405</v>
      </c>
      <c r="J993" s="3">
        <v>90</v>
      </c>
      <c r="K993" s="3">
        <v>45.51</v>
      </c>
      <c r="L993">
        <v>49.43</v>
      </c>
    </row>
    <row r="994" spans="1:12">
      <c r="A994" s="1">
        <v>46029</v>
      </c>
      <c r="B994" t="s">
        <v>11773</v>
      </c>
      <c r="C994">
        <v>24</v>
      </c>
      <c r="D994" t="str">
        <f>VLOOKUP(Tabela26[[#This Row],[EMP]],[1]LOJA!$A:$B,2,0)</f>
        <v>LUZIÂNIA</v>
      </c>
      <c r="E994">
        <v>242</v>
      </c>
      <c r="F994" t="s">
        <v>11772</v>
      </c>
      <c r="G994" t="s">
        <v>3402</v>
      </c>
      <c r="H994" t="s">
        <v>3401</v>
      </c>
      <c r="I994">
        <v>5102</v>
      </c>
      <c r="J994" s="3">
        <v>379</v>
      </c>
      <c r="K994" s="3">
        <v>193.22</v>
      </c>
      <c r="L994">
        <v>49.02</v>
      </c>
    </row>
    <row r="995" spans="1:12">
      <c r="A995" s="1">
        <v>46029</v>
      </c>
      <c r="B995" t="s">
        <v>11771</v>
      </c>
      <c r="C995">
        <v>24</v>
      </c>
      <c r="D995" t="str">
        <f>VLOOKUP(Tabela26[[#This Row],[EMP]],[1]LOJA!$A:$B,2,0)</f>
        <v>LUZIÂNIA</v>
      </c>
      <c r="E995">
        <v>192</v>
      </c>
      <c r="F995" t="s">
        <v>3524</v>
      </c>
      <c r="G995" t="s">
        <v>3402</v>
      </c>
      <c r="H995" t="s">
        <v>3401</v>
      </c>
      <c r="I995">
        <v>5102</v>
      </c>
      <c r="J995" s="3">
        <v>35</v>
      </c>
      <c r="K995" s="3">
        <v>17.53</v>
      </c>
      <c r="L995">
        <v>49.91</v>
      </c>
    </row>
    <row r="996" spans="1:12">
      <c r="A996" s="1">
        <v>46029</v>
      </c>
      <c r="B996" t="s">
        <v>11770</v>
      </c>
      <c r="C996">
        <v>24</v>
      </c>
      <c r="D996" t="str">
        <f>VLOOKUP(Tabela26[[#This Row],[EMP]],[1]LOJA!$A:$B,2,0)</f>
        <v>LUZIÂNIA</v>
      </c>
      <c r="E996">
        <v>150</v>
      </c>
      <c r="F996" t="s">
        <v>4902</v>
      </c>
      <c r="G996" t="s">
        <v>3402</v>
      </c>
      <c r="H996" t="s">
        <v>3408</v>
      </c>
      <c r="I996">
        <v>5102</v>
      </c>
      <c r="J996" s="3">
        <v>215</v>
      </c>
      <c r="K996" s="3">
        <v>123.83</v>
      </c>
      <c r="L996">
        <v>42.4</v>
      </c>
    </row>
    <row r="997" spans="1:12">
      <c r="A997" s="1">
        <v>46029</v>
      </c>
      <c r="B997" t="s">
        <v>11769</v>
      </c>
      <c r="C997">
        <v>12</v>
      </c>
      <c r="D997" t="str">
        <f>VLOOKUP(Tabela26[[#This Row],[EMP]],[1]LOJA!$A:$B,2,0)</f>
        <v>SOFNORTE</v>
      </c>
      <c r="E997">
        <v>60</v>
      </c>
      <c r="F997" t="s">
        <v>4156</v>
      </c>
      <c r="G997" t="s">
        <v>4155</v>
      </c>
      <c r="H997" t="s">
        <v>6243</v>
      </c>
      <c r="I997">
        <v>5102</v>
      </c>
      <c r="J997" s="3">
        <v>27</v>
      </c>
      <c r="K997" s="3">
        <v>12.96</v>
      </c>
      <c r="L997">
        <v>52</v>
      </c>
    </row>
    <row r="998" spans="1:12">
      <c r="A998" s="1">
        <v>46029</v>
      </c>
      <c r="B998" t="s">
        <v>11768</v>
      </c>
      <c r="C998">
        <v>12</v>
      </c>
      <c r="D998" t="str">
        <f>VLOOKUP(Tabela26[[#This Row],[EMP]],[1]LOJA!$A:$B,2,0)</f>
        <v>SOFNORTE</v>
      </c>
      <c r="E998">
        <v>60</v>
      </c>
      <c r="F998" t="s">
        <v>4159</v>
      </c>
      <c r="G998" t="s">
        <v>4158</v>
      </c>
      <c r="H998" t="s">
        <v>3430</v>
      </c>
      <c r="I998">
        <v>5102</v>
      </c>
      <c r="J998" s="3">
        <v>73.680000000000007</v>
      </c>
      <c r="K998" s="3">
        <v>47.54</v>
      </c>
      <c r="L998">
        <v>35.479999999999997</v>
      </c>
    </row>
    <row r="999" spans="1:12">
      <c r="A999" s="1">
        <v>46029</v>
      </c>
      <c r="B999" t="s">
        <v>11767</v>
      </c>
      <c r="C999">
        <v>12</v>
      </c>
      <c r="D999" t="str">
        <f>VLOOKUP(Tabela26[[#This Row],[EMP]],[1]LOJA!$A:$B,2,0)</f>
        <v>SOFNORTE</v>
      </c>
      <c r="E999">
        <v>60</v>
      </c>
      <c r="F999" t="s">
        <v>3709</v>
      </c>
      <c r="G999" t="s">
        <v>3708</v>
      </c>
      <c r="H999" t="s">
        <v>11643</v>
      </c>
      <c r="I999">
        <v>5405</v>
      </c>
      <c r="J999" s="3">
        <v>45</v>
      </c>
      <c r="K999" s="3">
        <v>21.05</v>
      </c>
      <c r="L999">
        <v>53.22</v>
      </c>
    </row>
    <row r="1000" spans="1:12">
      <c r="A1000" s="1">
        <v>46029</v>
      </c>
      <c r="B1000" t="s">
        <v>11766</v>
      </c>
      <c r="C1000">
        <v>12</v>
      </c>
      <c r="D1000" t="str">
        <f>VLOOKUP(Tabela26[[#This Row],[EMP]],[1]LOJA!$A:$B,2,0)</f>
        <v>SOFNORTE</v>
      </c>
      <c r="E1000">
        <v>60</v>
      </c>
      <c r="F1000" t="s">
        <v>3709</v>
      </c>
      <c r="G1000" t="s">
        <v>3708</v>
      </c>
      <c r="H1000" t="s">
        <v>11643</v>
      </c>
      <c r="I1000">
        <v>5405</v>
      </c>
      <c r="J1000" s="3">
        <v>289.72000000000003</v>
      </c>
      <c r="K1000" s="3">
        <v>143.88</v>
      </c>
      <c r="L1000">
        <v>50.34</v>
      </c>
    </row>
    <row r="1001" spans="1:12">
      <c r="A1001" s="1">
        <v>46029</v>
      </c>
      <c r="B1001" t="s">
        <v>11765</v>
      </c>
      <c r="C1001">
        <v>12</v>
      </c>
      <c r="D1001" t="str">
        <f>VLOOKUP(Tabela26[[#This Row],[EMP]],[1]LOJA!$A:$B,2,0)</f>
        <v>SOFNORTE</v>
      </c>
      <c r="E1001">
        <v>60</v>
      </c>
      <c r="F1001" t="s">
        <v>3709</v>
      </c>
      <c r="G1001" t="s">
        <v>3708</v>
      </c>
      <c r="H1001" t="s">
        <v>11643</v>
      </c>
      <c r="I1001">
        <v>5405</v>
      </c>
      <c r="J1001" s="3">
        <v>169.91</v>
      </c>
      <c r="K1001" s="3">
        <v>95.28</v>
      </c>
      <c r="L1001">
        <v>43.92</v>
      </c>
    </row>
    <row r="1002" spans="1:12">
      <c r="A1002" s="1">
        <v>46029</v>
      </c>
      <c r="B1002" t="s">
        <v>11764</v>
      </c>
      <c r="C1002">
        <v>12</v>
      </c>
      <c r="D1002" t="str">
        <f>VLOOKUP(Tabela26[[#This Row],[EMP]],[1]LOJA!$A:$B,2,0)</f>
        <v>SOFNORTE</v>
      </c>
      <c r="E1002">
        <v>60</v>
      </c>
      <c r="F1002" t="s">
        <v>4156</v>
      </c>
      <c r="G1002" t="s">
        <v>4155</v>
      </c>
      <c r="H1002" t="s">
        <v>6243</v>
      </c>
      <c r="I1002">
        <v>5102</v>
      </c>
      <c r="J1002" s="3">
        <v>176.1</v>
      </c>
      <c r="K1002" s="3">
        <v>92.4</v>
      </c>
      <c r="L1002">
        <v>47.53</v>
      </c>
    </row>
    <row r="1003" spans="1:12">
      <c r="A1003" s="1">
        <v>46029</v>
      </c>
      <c r="B1003" t="s">
        <v>11763</v>
      </c>
      <c r="C1003">
        <v>12</v>
      </c>
      <c r="D1003" t="str">
        <f>VLOOKUP(Tabela26[[#This Row],[EMP]],[1]LOJA!$A:$B,2,0)</f>
        <v>SOFNORTE</v>
      </c>
      <c r="E1003">
        <v>239</v>
      </c>
      <c r="F1003" t="s">
        <v>3709</v>
      </c>
      <c r="G1003" t="s">
        <v>3708</v>
      </c>
      <c r="H1003" t="s">
        <v>11643</v>
      </c>
      <c r="I1003">
        <v>5102</v>
      </c>
      <c r="J1003" s="3">
        <v>66.650000000000006</v>
      </c>
      <c r="K1003" s="3">
        <v>40.4</v>
      </c>
      <c r="L1003">
        <v>39.380000000000003</v>
      </c>
    </row>
    <row r="1004" spans="1:12">
      <c r="A1004" s="1">
        <v>46029</v>
      </c>
      <c r="B1004" t="s">
        <v>11762</v>
      </c>
      <c r="C1004">
        <v>22</v>
      </c>
      <c r="D1004" t="str">
        <f>VLOOKUP(Tabela26[[#This Row],[EMP]],[1]LOJA!$A:$B,2,0)</f>
        <v>GUARÁ</v>
      </c>
      <c r="E1004">
        <v>93</v>
      </c>
      <c r="F1004" t="s">
        <v>4151</v>
      </c>
      <c r="G1004" t="s">
        <v>4150</v>
      </c>
      <c r="H1004" t="s">
        <v>3430</v>
      </c>
      <c r="I1004">
        <v>5405</v>
      </c>
      <c r="J1004" s="3">
        <v>300.7</v>
      </c>
      <c r="K1004" s="3">
        <v>143.63</v>
      </c>
      <c r="L1004">
        <v>52.23</v>
      </c>
    </row>
    <row r="1005" spans="1:12">
      <c r="A1005" s="1">
        <v>46029</v>
      </c>
      <c r="B1005" t="s">
        <v>11761</v>
      </c>
      <c r="C1005">
        <v>22</v>
      </c>
      <c r="D1005" t="str">
        <f>VLOOKUP(Tabela26[[#This Row],[EMP]],[1]LOJA!$A:$B,2,0)</f>
        <v>GUARÁ</v>
      </c>
      <c r="E1005">
        <v>93</v>
      </c>
      <c r="F1005" t="s">
        <v>4140</v>
      </c>
      <c r="G1005" t="s">
        <v>4139</v>
      </c>
      <c r="H1005" t="s">
        <v>3430</v>
      </c>
      <c r="I1005">
        <v>5102</v>
      </c>
      <c r="J1005" s="3">
        <v>29.67</v>
      </c>
      <c r="K1005" s="3">
        <v>18.62</v>
      </c>
      <c r="L1005">
        <v>37.24</v>
      </c>
    </row>
    <row r="1006" spans="1:12">
      <c r="A1006" s="1">
        <v>46029</v>
      </c>
      <c r="B1006" t="s">
        <v>11760</v>
      </c>
      <c r="C1006">
        <v>22</v>
      </c>
      <c r="D1006" t="str">
        <f>VLOOKUP(Tabela26[[#This Row],[EMP]],[1]LOJA!$A:$B,2,0)</f>
        <v>GUARÁ</v>
      </c>
      <c r="E1006">
        <v>93</v>
      </c>
      <c r="F1006" t="s">
        <v>4147</v>
      </c>
      <c r="G1006" t="s">
        <v>4146</v>
      </c>
      <c r="H1006" t="s">
        <v>3430</v>
      </c>
      <c r="I1006">
        <v>5405</v>
      </c>
      <c r="J1006" s="3">
        <v>49.11</v>
      </c>
      <c r="K1006" s="3">
        <v>25.54</v>
      </c>
      <c r="L1006">
        <v>47.99</v>
      </c>
    </row>
    <row r="1007" spans="1:12">
      <c r="A1007" s="1">
        <v>46029</v>
      </c>
      <c r="B1007" t="s">
        <v>11759</v>
      </c>
      <c r="C1007">
        <v>22</v>
      </c>
      <c r="D1007" t="str">
        <f>VLOOKUP(Tabela26[[#This Row],[EMP]],[1]LOJA!$A:$B,2,0)</f>
        <v>GUARÁ</v>
      </c>
      <c r="E1007">
        <v>93</v>
      </c>
      <c r="F1007" t="s">
        <v>4805</v>
      </c>
      <c r="G1007" t="s">
        <v>4804</v>
      </c>
      <c r="H1007" t="s">
        <v>3430</v>
      </c>
      <c r="I1007">
        <v>5102</v>
      </c>
      <c r="J1007" s="3">
        <v>66.400000000000006</v>
      </c>
      <c r="K1007" s="3">
        <v>34.1</v>
      </c>
      <c r="L1007">
        <v>48.64</v>
      </c>
    </row>
    <row r="1008" spans="1:12">
      <c r="A1008" s="1">
        <v>46029</v>
      </c>
      <c r="B1008" t="s">
        <v>11758</v>
      </c>
      <c r="C1008">
        <v>22</v>
      </c>
      <c r="D1008" t="str">
        <f>VLOOKUP(Tabela26[[#This Row],[EMP]],[1]LOJA!$A:$B,2,0)</f>
        <v>GUARÁ</v>
      </c>
      <c r="E1008">
        <v>93</v>
      </c>
      <c r="F1008" t="s">
        <v>4808</v>
      </c>
      <c r="G1008" t="s">
        <v>4807</v>
      </c>
      <c r="H1008" t="s">
        <v>3430</v>
      </c>
      <c r="I1008">
        <v>5405</v>
      </c>
      <c r="J1008" s="3">
        <v>340.2</v>
      </c>
      <c r="K1008" s="3">
        <v>191.68</v>
      </c>
      <c r="L1008">
        <v>43.66</v>
      </c>
    </row>
    <row r="1009" spans="1:12">
      <c r="A1009" s="1">
        <v>46029</v>
      </c>
      <c r="B1009" t="s">
        <v>11757</v>
      </c>
      <c r="C1009">
        <v>22</v>
      </c>
      <c r="D1009" t="str">
        <f>VLOOKUP(Tabela26[[#This Row],[EMP]],[1]LOJA!$A:$B,2,0)</f>
        <v>GUARÁ</v>
      </c>
      <c r="E1009">
        <v>16</v>
      </c>
      <c r="F1009" t="s">
        <v>11756</v>
      </c>
      <c r="G1009" t="s">
        <v>11755</v>
      </c>
      <c r="H1009" t="s">
        <v>3408</v>
      </c>
      <c r="I1009">
        <v>5102</v>
      </c>
      <c r="J1009" s="3">
        <v>393</v>
      </c>
      <c r="K1009" s="3">
        <v>254.89</v>
      </c>
      <c r="L1009">
        <v>35.14</v>
      </c>
    </row>
    <row r="1010" spans="1:12">
      <c r="A1010" s="1">
        <v>46029</v>
      </c>
      <c r="B1010" t="s">
        <v>11754</v>
      </c>
      <c r="C1010">
        <v>22</v>
      </c>
      <c r="D1010" t="str">
        <f>VLOOKUP(Tabela26[[#This Row],[EMP]],[1]LOJA!$A:$B,2,0)</f>
        <v>GUARÁ</v>
      </c>
      <c r="E1010">
        <v>93</v>
      </c>
      <c r="F1010" t="s">
        <v>4147</v>
      </c>
      <c r="G1010" t="s">
        <v>4146</v>
      </c>
      <c r="H1010" t="s">
        <v>3430</v>
      </c>
      <c r="I1010">
        <v>5405</v>
      </c>
      <c r="J1010" s="3">
        <v>88.85</v>
      </c>
      <c r="K1010" s="3">
        <v>43.78</v>
      </c>
      <c r="L1010">
        <v>50.73</v>
      </c>
    </row>
    <row r="1011" spans="1:12">
      <c r="A1011" s="1">
        <v>46029</v>
      </c>
      <c r="B1011" t="s">
        <v>11753</v>
      </c>
      <c r="C1011">
        <v>22</v>
      </c>
      <c r="D1011" t="str">
        <f>VLOOKUP(Tabela26[[#This Row],[EMP]],[1]LOJA!$A:$B,2,0)</f>
        <v>GUARÁ</v>
      </c>
      <c r="E1011">
        <v>93</v>
      </c>
      <c r="F1011" t="s">
        <v>4151</v>
      </c>
      <c r="G1011" t="s">
        <v>4150</v>
      </c>
      <c r="H1011" t="s">
        <v>3430</v>
      </c>
      <c r="I1011">
        <v>5405</v>
      </c>
      <c r="J1011" s="3">
        <v>107.46</v>
      </c>
      <c r="K1011" s="3">
        <v>50.84</v>
      </c>
      <c r="L1011">
        <v>52.69</v>
      </c>
    </row>
    <row r="1012" spans="1:12">
      <c r="A1012" s="1">
        <v>46029</v>
      </c>
      <c r="B1012" t="s">
        <v>11752</v>
      </c>
      <c r="C1012">
        <v>22</v>
      </c>
      <c r="D1012" t="str">
        <f>VLOOKUP(Tabela26[[#This Row],[EMP]],[1]LOJA!$A:$B,2,0)</f>
        <v>GUARÁ</v>
      </c>
      <c r="E1012">
        <v>93</v>
      </c>
      <c r="F1012" t="s">
        <v>4151</v>
      </c>
      <c r="G1012" t="s">
        <v>4150</v>
      </c>
      <c r="H1012" t="s">
        <v>3430</v>
      </c>
      <c r="I1012">
        <v>5102</v>
      </c>
      <c r="J1012" s="3">
        <v>42.86</v>
      </c>
      <c r="K1012" s="3">
        <v>19.489999999999998</v>
      </c>
      <c r="L1012">
        <v>54.53</v>
      </c>
    </row>
    <row r="1013" spans="1:12">
      <c r="A1013" s="1">
        <v>46029</v>
      </c>
      <c r="B1013" t="s">
        <v>11751</v>
      </c>
      <c r="C1013">
        <v>13</v>
      </c>
      <c r="D1013" t="str">
        <f>VLOOKUP(Tabela26[[#This Row],[EMP]],[1]LOJA!$A:$B,2,0)</f>
        <v>CEILÂNDIA</v>
      </c>
      <c r="E1013">
        <v>86</v>
      </c>
      <c r="F1013" t="s">
        <v>4133</v>
      </c>
      <c r="G1013" t="s">
        <v>4132</v>
      </c>
      <c r="H1013" t="s">
        <v>3430</v>
      </c>
      <c r="I1013">
        <v>5102</v>
      </c>
      <c r="J1013" s="3">
        <v>48.83</v>
      </c>
      <c r="K1013" s="3">
        <v>29.67</v>
      </c>
      <c r="L1013">
        <v>39.24</v>
      </c>
    </row>
    <row r="1014" spans="1:12">
      <c r="A1014" s="1">
        <v>46029</v>
      </c>
      <c r="B1014" t="s">
        <v>11750</v>
      </c>
      <c r="C1014">
        <v>13</v>
      </c>
      <c r="D1014" t="str">
        <f>VLOOKUP(Tabela26[[#This Row],[EMP]],[1]LOJA!$A:$B,2,0)</f>
        <v>CEILÂNDIA</v>
      </c>
      <c r="E1014">
        <v>33</v>
      </c>
      <c r="F1014" t="s">
        <v>3505</v>
      </c>
      <c r="G1014" t="s">
        <v>3504</v>
      </c>
      <c r="H1014" t="s">
        <v>3401</v>
      </c>
      <c r="I1014">
        <v>1202</v>
      </c>
      <c r="J1014" s="3">
        <v>-2690</v>
      </c>
      <c r="K1014" s="3">
        <v>-1711</v>
      </c>
      <c r="L1014">
        <v>36.39</v>
      </c>
    </row>
    <row r="1015" spans="1:12">
      <c r="A1015" s="1">
        <v>46029</v>
      </c>
      <c r="B1015" t="s">
        <v>11749</v>
      </c>
      <c r="C1015">
        <v>13</v>
      </c>
      <c r="D1015" t="str">
        <f>VLOOKUP(Tabela26[[#This Row],[EMP]],[1]LOJA!$A:$B,2,0)</f>
        <v>CEILÂNDIA</v>
      </c>
      <c r="E1015">
        <v>33</v>
      </c>
      <c r="F1015" t="s">
        <v>4792</v>
      </c>
      <c r="G1015" t="s">
        <v>4791</v>
      </c>
      <c r="H1015" t="s">
        <v>11643</v>
      </c>
      <c r="I1015">
        <v>5405</v>
      </c>
      <c r="J1015" s="3">
        <v>248</v>
      </c>
      <c r="K1015" s="3">
        <v>111.79</v>
      </c>
      <c r="L1015">
        <v>54.92</v>
      </c>
    </row>
    <row r="1016" spans="1:12">
      <c r="A1016" s="1">
        <v>46029</v>
      </c>
      <c r="B1016" t="s">
        <v>11748</v>
      </c>
      <c r="C1016">
        <v>13</v>
      </c>
      <c r="D1016" t="str">
        <f>VLOOKUP(Tabela26[[#This Row],[EMP]],[1]LOJA!$A:$B,2,0)</f>
        <v>CEILÂNDIA</v>
      </c>
      <c r="E1016">
        <v>86</v>
      </c>
      <c r="F1016" t="s">
        <v>10135</v>
      </c>
      <c r="G1016" t="s">
        <v>10134</v>
      </c>
      <c r="H1016" t="s">
        <v>3430</v>
      </c>
      <c r="I1016">
        <v>5102</v>
      </c>
      <c r="J1016" s="3">
        <v>40.74</v>
      </c>
      <c r="K1016" s="3">
        <v>26.64</v>
      </c>
      <c r="L1016">
        <v>34.61</v>
      </c>
    </row>
    <row r="1017" spans="1:12">
      <c r="A1017" s="1">
        <v>46029</v>
      </c>
      <c r="B1017" t="s">
        <v>11747</v>
      </c>
      <c r="C1017">
        <v>13</v>
      </c>
      <c r="D1017" t="str">
        <f>VLOOKUP(Tabela26[[#This Row],[EMP]],[1]LOJA!$A:$B,2,0)</f>
        <v>CEILÂNDIA</v>
      </c>
      <c r="E1017">
        <v>86</v>
      </c>
      <c r="F1017" t="s">
        <v>4118</v>
      </c>
      <c r="G1017" t="s">
        <v>4117</v>
      </c>
      <c r="H1017" t="s">
        <v>3430</v>
      </c>
      <c r="I1017">
        <v>5405</v>
      </c>
      <c r="J1017" s="3">
        <v>290.38</v>
      </c>
      <c r="K1017" s="3">
        <v>165.44</v>
      </c>
      <c r="L1017">
        <v>43.03</v>
      </c>
    </row>
    <row r="1018" spans="1:12">
      <c r="A1018" s="1">
        <v>46029</v>
      </c>
      <c r="B1018" t="s">
        <v>11746</v>
      </c>
      <c r="C1018">
        <v>13</v>
      </c>
      <c r="D1018" t="str">
        <f>VLOOKUP(Tabela26[[#This Row],[EMP]],[1]LOJA!$A:$B,2,0)</f>
        <v>CEILÂNDIA</v>
      </c>
      <c r="E1018">
        <v>86</v>
      </c>
      <c r="F1018" t="s">
        <v>6884</v>
      </c>
      <c r="G1018" t="s">
        <v>6883</v>
      </c>
      <c r="H1018" t="s">
        <v>3430</v>
      </c>
      <c r="I1018">
        <v>5405</v>
      </c>
      <c r="J1018" s="3">
        <v>64.52</v>
      </c>
      <c r="K1018" s="3">
        <v>33.26</v>
      </c>
      <c r="L1018">
        <v>48.45</v>
      </c>
    </row>
    <row r="1019" spans="1:12">
      <c r="A1019" s="1">
        <v>46029</v>
      </c>
      <c r="B1019" t="s">
        <v>11745</v>
      </c>
      <c r="C1019">
        <v>13</v>
      </c>
      <c r="D1019" t="str">
        <f>VLOOKUP(Tabela26[[#This Row],[EMP]],[1]LOJA!$A:$B,2,0)</f>
        <v>CEILÂNDIA</v>
      </c>
      <c r="E1019">
        <v>86</v>
      </c>
      <c r="F1019" t="s">
        <v>6889</v>
      </c>
      <c r="G1019" t="s">
        <v>6888</v>
      </c>
      <c r="H1019" t="s">
        <v>3408</v>
      </c>
      <c r="I1019">
        <v>5102</v>
      </c>
      <c r="J1019" s="3">
        <v>190</v>
      </c>
      <c r="K1019" s="3">
        <v>100.76</v>
      </c>
      <c r="L1019">
        <v>46.97</v>
      </c>
    </row>
    <row r="1020" spans="1:12">
      <c r="A1020" s="1">
        <v>46029</v>
      </c>
      <c r="B1020" t="s">
        <v>11744</v>
      </c>
      <c r="C1020">
        <v>13</v>
      </c>
      <c r="D1020" t="str">
        <f>VLOOKUP(Tabela26[[#This Row],[EMP]],[1]LOJA!$A:$B,2,0)</f>
        <v>CEILÂNDIA</v>
      </c>
      <c r="E1020">
        <v>86</v>
      </c>
      <c r="F1020" t="s">
        <v>6884</v>
      </c>
      <c r="G1020" t="s">
        <v>6883</v>
      </c>
      <c r="H1020" t="s">
        <v>3430</v>
      </c>
      <c r="I1020">
        <v>5102</v>
      </c>
      <c r="J1020" s="3">
        <v>75</v>
      </c>
      <c r="K1020" s="3">
        <v>47.38</v>
      </c>
      <c r="L1020">
        <v>36.83</v>
      </c>
    </row>
    <row r="1021" spans="1:12">
      <c r="A1021" s="1">
        <v>46029</v>
      </c>
      <c r="B1021" t="s">
        <v>11743</v>
      </c>
      <c r="C1021">
        <v>13</v>
      </c>
      <c r="D1021" t="str">
        <f>VLOOKUP(Tabela26[[#This Row],[EMP]],[1]LOJA!$A:$B,2,0)</f>
        <v>CEILÂNDIA</v>
      </c>
      <c r="E1021">
        <v>86</v>
      </c>
      <c r="F1021" t="s">
        <v>3634</v>
      </c>
      <c r="G1021" t="s">
        <v>3633</v>
      </c>
      <c r="H1021" t="s">
        <v>3401</v>
      </c>
      <c r="I1021">
        <v>1202</v>
      </c>
      <c r="J1021" s="3">
        <v>-205</v>
      </c>
      <c r="K1021" s="3">
        <v>-114.94</v>
      </c>
      <c r="L1021">
        <v>43.93</v>
      </c>
    </row>
    <row r="1022" spans="1:12">
      <c r="A1022" s="1">
        <v>46029</v>
      </c>
      <c r="B1022" t="s">
        <v>11742</v>
      </c>
      <c r="C1022">
        <v>13</v>
      </c>
      <c r="D1022" t="str">
        <f>VLOOKUP(Tabela26[[#This Row],[EMP]],[1]LOJA!$A:$B,2,0)</f>
        <v>CEILÂNDIA</v>
      </c>
      <c r="E1022">
        <v>86</v>
      </c>
      <c r="F1022" t="s">
        <v>4118</v>
      </c>
      <c r="G1022" t="s">
        <v>4117</v>
      </c>
      <c r="H1022" t="s">
        <v>3430</v>
      </c>
      <c r="I1022">
        <v>5405</v>
      </c>
      <c r="J1022" s="3">
        <v>177.5</v>
      </c>
      <c r="K1022" s="3">
        <v>92.72</v>
      </c>
      <c r="L1022">
        <v>47.76</v>
      </c>
    </row>
    <row r="1023" spans="1:12">
      <c r="A1023" s="1">
        <v>46029</v>
      </c>
      <c r="B1023" t="s">
        <v>11741</v>
      </c>
      <c r="C1023">
        <v>13</v>
      </c>
      <c r="D1023" t="str">
        <f>VLOOKUP(Tabela26[[#This Row],[EMP]],[1]LOJA!$A:$B,2,0)</f>
        <v>CEILÂNDIA</v>
      </c>
      <c r="E1023">
        <v>33</v>
      </c>
      <c r="F1023" t="s">
        <v>3505</v>
      </c>
      <c r="G1023" t="s">
        <v>3504</v>
      </c>
      <c r="H1023" t="s">
        <v>3430</v>
      </c>
      <c r="I1023">
        <v>5102</v>
      </c>
      <c r="J1023" s="3">
        <v>29.12</v>
      </c>
      <c r="K1023" s="3">
        <v>19.04</v>
      </c>
      <c r="L1023">
        <v>34.619999999999997</v>
      </c>
    </row>
    <row r="1024" spans="1:12">
      <c r="A1024" s="1">
        <v>46029</v>
      </c>
      <c r="B1024" t="s">
        <v>11740</v>
      </c>
      <c r="C1024">
        <v>13</v>
      </c>
      <c r="D1024" t="str">
        <f>VLOOKUP(Tabela26[[#This Row],[EMP]],[1]LOJA!$A:$B,2,0)</f>
        <v>CEILÂNDIA</v>
      </c>
      <c r="E1024">
        <v>86</v>
      </c>
      <c r="F1024" t="s">
        <v>4106</v>
      </c>
      <c r="G1024" t="s">
        <v>4105</v>
      </c>
      <c r="H1024" t="s">
        <v>3430</v>
      </c>
      <c r="I1024">
        <v>5405</v>
      </c>
      <c r="J1024" s="3">
        <v>156.15</v>
      </c>
      <c r="K1024" s="3">
        <v>77.569999999999993</v>
      </c>
      <c r="L1024">
        <v>50.32</v>
      </c>
    </row>
    <row r="1025" spans="1:12">
      <c r="A1025" s="1">
        <v>46029</v>
      </c>
      <c r="B1025" t="s">
        <v>11739</v>
      </c>
      <c r="C1025">
        <v>13</v>
      </c>
      <c r="D1025" t="str">
        <f>VLOOKUP(Tabela26[[#This Row],[EMP]],[1]LOJA!$A:$B,2,0)</f>
        <v>CEILÂNDIA</v>
      </c>
      <c r="E1025">
        <v>33</v>
      </c>
      <c r="F1025" t="s">
        <v>3505</v>
      </c>
      <c r="G1025" t="s">
        <v>3504</v>
      </c>
      <c r="H1025" t="s">
        <v>3430</v>
      </c>
      <c r="I1025">
        <v>5405</v>
      </c>
      <c r="J1025" s="3">
        <v>112.63</v>
      </c>
      <c r="K1025" s="3">
        <v>66.27</v>
      </c>
      <c r="L1025">
        <v>41.16</v>
      </c>
    </row>
    <row r="1026" spans="1:12">
      <c r="A1026" s="1">
        <v>46029</v>
      </c>
      <c r="B1026" t="s">
        <v>11738</v>
      </c>
      <c r="C1026">
        <v>13</v>
      </c>
      <c r="D1026" t="str">
        <f>VLOOKUP(Tabela26[[#This Row],[EMP]],[1]LOJA!$A:$B,2,0)</f>
        <v>CEILÂNDIA</v>
      </c>
      <c r="E1026">
        <v>86</v>
      </c>
      <c r="F1026" t="s">
        <v>4097</v>
      </c>
      <c r="G1026" t="s">
        <v>4096</v>
      </c>
      <c r="H1026" t="s">
        <v>3430</v>
      </c>
      <c r="I1026">
        <v>5405</v>
      </c>
      <c r="J1026" s="3">
        <v>420.72</v>
      </c>
      <c r="K1026" s="3">
        <v>221.07</v>
      </c>
      <c r="L1026">
        <v>47.45</v>
      </c>
    </row>
    <row r="1027" spans="1:12">
      <c r="A1027" s="1">
        <v>46029</v>
      </c>
      <c r="B1027" t="s">
        <v>11737</v>
      </c>
      <c r="C1027">
        <v>13</v>
      </c>
      <c r="D1027" t="str">
        <f>VLOOKUP(Tabela26[[#This Row],[EMP]],[1]LOJA!$A:$B,2,0)</f>
        <v>CEILÂNDIA</v>
      </c>
      <c r="E1027">
        <v>86</v>
      </c>
      <c r="F1027" t="s">
        <v>4097</v>
      </c>
      <c r="G1027" t="s">
        <v>4096</v>
      </c>
      <c r="H1027" t="s">
        <v>3430</v>
      </c>
      <c r="I1027">
        <v>5102</v>
      </c>
      <c r="J1027" s="3">
        <v>16.3</v>
      </c>
      <c r="K1027" s="3">
        <v>8.32</v>
      </c>
      <c r="L1027">
        <v>48.96</v>
      </c>
    </row>
    <row r="1028" spans="1:12">
      <c r="A1028" s="1">
        <v>46029</v>
      </c>
      <c r="B1028" t="s">
        <v>11736</v>
      </c>
      <c r="C1028">
        <v>13</v>
      </c>
      <c r="D1028" t="str">
        <f>VLOOKUP(Tabela26[[#This Row],[EMP]],[1]LOJA!$A:$B,2,0)</f>
        <v>CEILÂNDIA</v>
      </c>
      <c r="E1028">
        <v>86</v>
      </c>
      <c r="F1028" t="s">
        <v>4106</v>
      </c>
      <c r="G1028" t="s">
        <v>4105</v>
      </c>
      <c r="H1028" t="s">
        <v>3430</v>
      </c>
      <c r="I1028">
        <v>5405</v>
      </c>
      <c r="J1028" s="3">
        <v>56.1</v>
      </c>
      <c r="K1028" s="3">
        <v>29.26</v>
      </c>
      <c r="L1028">
        <v>47.84</v>
      </c>
    </row>
    <row r="1029" spans="1:12">
      <c r="A1029" s="1">
        <v>46029</v>
      </c>
      <c r="B1029" t="s">
        <v>11735</v>
      </c>
      <c r="C1029">
        <v>13</v>
      </c>
      <c r="D1029" t="str">
        <f>VLOOKUP(Tabela26[[#This Row],[EMP]],[1]LOJA!$A:$B,2,0)</f>
        <v>CEILÂNDIA</v>
      </c>
      <c r="E1029">
        <v>86</v>
      </c>
      <c r="F1029" t="s">
        <v>4084</v>
      </c>
      <c r="G1029" t="s">
        <v>4083</v>
      </c>
      <c r="H1029" t="s">
        <v>3430</v>
      </c>
      <c r="I1029">
        <v>5405</v>
      </c>
      <c r="J1029" s="3">
        <v>60.21</v>
      </c>
      <c r="K1029" s="3">
        <v>29.62</v>
      </c>
      <c r="L1029">
        <v>50.81</v>
      </c>
    </row>
    <row r="1030" spans="1:12">
      <c r="A1030" s="1">
        <v>46029</v>
      </c>
      <c r="B1030" t="s">
        <v>11734</v>
      </c>
      <c r="C1030">
        <v>13</v>
      </c>
      <c r="D1030" t="str">
        <f>VLOOKUP(Tabela26[[#This Row],[EMP]],[1]LOJA!$A:$B,2,0)</f>
        <v>CEILÂNDIA</v>
      </c>
      <c r="E1030">
        <v>33</v>
      </c>
      <c r="F1030" t="s">
        <v>3505</v>
      </c>
      <c r="G1030" t="s">
        <v>3504</v>
      </c>
      <c r="H1030" t="s">
        <v>3430</v>
      </c>
      <c r="I1030">
        <v>5405</v>
      </c>
      <c r="J1030" s="3">
        <v>954.47</v>
      </c>
      <c r="K1030" s="3">
        <v>500.01</v>
      </c>
      <c r="L1030">
        <v>47.61</v>
      </c>
    </row>
    <row r="1031" spans="1:12">
      <c r="A1031" s="1">
        <v>46029</v>
      </c>
      <c r="B1031" t="s">
        <v>11733</v>
      </c>
      <c r="C1031">
        <v>13</v>
      </c>
      <c r="D1031" t="str">
        <f>VLOOKUP(Tabela26[[#This Row],[EMP]],[1]LOJA!$A:$B,2,0)</f>
        <v>CEILÂNDIA</v>
      </c>
      <c r="E1031">
        <v>86</v>
      </c>
      <c r="F1031" t="s">
        <v>3505</v>
      </c>
      <c r="G1031" t="s">
        <v>3504</v>
      </c>
      <c r="H1031" t="s">
        <v>3430</v>
      </c>
      <c r="I1031">
        <v>5102</v>
      </c>
      <c r="J1031" s="3">
        <v>60.27</v>
      </c>
      <c r="K1031" s="3">
        <v>28.52</v>
      </c>
      <c r="L1031">
        <v>52.68</v>
      </c>
    </row>
    <row r="1032" spans="1:12">
      <c r="A1032" s="1">
        <v>46029</v>
      </c>
      <c r="B1032" t="s">
        <v>11732</v>
      </c>
      <c r="C1032">
        <v>13</v>
      </c>
      <c r="D1032" t="str">
        <f>VLOOKUP(Tabela26[[#This Row],[EMP]],[1]LOJA!$A:$B,2,0)</f>
        <v>CEILÂNDIA</v>
      </c>
      <c r="E1032">
        <v>86</v>
      </c>
      <c r="F1032" t="s">
        <v>4097</v>
      </c>
      <c r="G1032" t="s">
        <v>4096</v>
      </c>
      <c r="H1032" t="s">
        <v>3430</v>
      </c>
      <c r="I1032">
        <v>5102</v>
      </c>
      <c r="J1032" s="3">
        <v>61.8</v>
      </c>
      <c r="K1032" s="3">
        <v>30.44</v>
      </c>
      <c r="L1032">
        <v>50.74</v>
      </c>
    </row>
    <row r="1033" spans="1:12">
      <c r="A1033" s="1">
        <v>46029</v>
      </c>
      <c r="B1033" t="s">
        <v>11731</v>
      </c>
      <c r="C1033">
        <v>13</v>
      </c>
      <c r="D1033" t="str">
        <f>VLOOKUP(Tabela26[[#This Row],[EMP]],[1]LOJA!$A:$B,2,0)</f>
        <v>CEILÂNDIA</v>
      </c>
      <c r="E1033">
        <v>86</v>
      </c>
      <c r="F1033" t="s">
        <v>3501</v>
      </c>
      <c r="G1033" t="s">
        <v>3500</v>
      </c>
      <c r="H1033" t="s">
        <v>3430</v>
      </c>
      <c r="I1033">
        <v>5102</v>
      </c>
      <c r="J1033" s="3">
        <v>17</v>
      </c>
      <c r="K1033" s="3">
        <v>8.32</v>
      </c>
      <c r="L1033">
        <v>51.06</v>
      </c>
    </row>
    <row r="1034" spans="1:12">
      <c r="A1034" s="1">
        <v>46029</v>
      </c>
      <c r="B1034" t="s">
        <v>11730</v>
      </c>
      <c r="C1034">
        <v>13</v>
      </c>
      <c r="D1034" t="str">
        <f>VLOOKUP(Tabela26[[#This Row],[EMP]],[1]LOJA!$A:$B,2,0)</f>
        <v>CEILÂNDIA</v>
      </c>
      <c r="E1034">
        <v>33</v>
      </c>
      <c r="F1034" t="s">
        <v>3505</v>
      </c>
      <c r="G1034" t="s">
        <v>3504</v>
      </c>
      <c r="H1034" t="s">
        <v>3430</v>
      </c>
      <c r="I1034">
        <v>5102</v>
      </c>
      <c r="J1034" s="3">
        <v>333.6</v>
      </c>
      <c r="K1034" s="3">
        <v>186.65</v>
      </c>
      <c r="L1034">
        <v>44.05</v>
      </c>
    </row>
    <row r="1035" spans="1:12">
      <c r="A1035" s="1">
        <v>46029</v>
      </c>
      <c r="B1035" t="s">
        <v>11729</v>
      </c>
      <c r="C1035">
        <v>13</v>
      </c>
      <c r="D1035" t="str">
        <f>VLOOKUP(Tabela26[[#This Row],[EMP]],[1]LOJA!$A:$B,2,0)</f>
        <v>CEILÂNDIA</v>
      </c>
      <c r="E1035">
        <v>86</v>
      </c>
      <c r="F1035" t="s">
        <v>4775</v>
      </c>
      <c r="G1035" t="s">
        <v>4774</v>
      </c>
      <c r="H1035" t="s">
        <v>11643</v>
      </c>
      <c r="I1035">
        <v>5405</v>
      </c>
      <c r="J1035" s="3">
        <v>33.520000000000003</v>
      </c>
      <c r="K1035" s="3">
        <v>14.69</v>
      </c>
      <c r="L1035">
        <v>56.18</v>
      </c>
    </row>
    <row r="1036" spans="1:12">
      <c r="A1036" s="1">
        <v>46029</v>
      </c>
      <c r="B1036" t="s">
        <v>11728</v>
      </c>
      <c r="C1036">
        <v>13</v>
      </c>
      <c r="D1036" t="str">
        <f>VLOOKUP(Tabela26[[#This Row],[EMP]],[1]LOJA!$A:$B,2,0)</f>
        <v>CEILÂNDIA</v>
      </c>
      <c r="E1036">
        <v>86</v>
      </c>
      <c r="F1036" t="s">
        <v>4097</v>
      </c>
      <c r="G1036" t="s">
        <v>4096</v>
      </c>
      <c r="H1036" t="s">
        <v>3430</v>
      </c>
      <c r="I1036">
        <v>5102</v>
      </c>
      <c r="J1036" s="3">
        <v>57.51</v>
      </c>
      <c r="K1036" s="3">
        <v>32.450000000000003</v>
      </c>
      <c r="L1036">
        <v>43.58</v>
      </c>
    </row>
    <row r="1037" spans="1:12">
      <c r="A1037" s="1">
        <v>46029</v>
      </c>
      <c r="B1037" t="s">
        <v>11727</v>
      </c>
      <c r="C1037">
        <v>13</v>
      </c>
      <c r="D1037" t="str">
        <f>VLOOKUP(Tabela26[[#This Row],[EMP]],[1]LOJA!$A:$B,2,0)</f>
        <v>CEILÂNDIA</v>
      </c>
      <c r="E1037">
        <v>33</v>
      </c>
      <c r="F1037" t="s">
        <v>5320</v>
      </c>
      <c r="G1037" t="s">
        <v>5319</v>
      </c>
      <c r="H1037" t="s">
        <v>3430</v>
      </c>
      <c r="I1037">
        <v>5102</v>
      </c>
      <c r="J1037" s="3">
        <v>485.9</v>
      </c>
      <c r="K1037" s="3">
        <v>276.41000000000003</v>
      </c>
      <c r="L1037">
        <v>43.11</v>
      </c>
    </row>
    <row r="1038" spans="1:12">
      <c r="A1038" s="1">
        <v>46029</v>
      </c>
      <c r="B1038" t="s">
        <v>11726</v>
      </c>
      <c r="C1038">
        <v>13</v>
      </c>
      <c r="D1038" t="str">
        <f>VLOOKUP(Tabela26[[#This Row],[EMP]],[1]LOJA!$A:$B,2,0)</f>
        <v>CEILÂNDIA</v>
      </c>
      <c r="E1038">
        <v>86</v>
      </c>
      <c r="F1038" t="s">
        <v>3501</v>
      </c>
      <c r="G1038" t="s">
        <v>3500</v>
      </c>
      <c r="H1038" t="s">
        <v>3430</v>
      </c>
      <c r="I1038">
        <v>5405</v>
      </c>
      <c r="J1038" s="3">
        <v>36</v>
      </c>
      <c r="K1038" s="3">
        <v>20.149999999999999</v>
      </c>
      <c r="L1038">
        <v>44.03</v>
      </c>
    </row>
    <row r="1039" spans="1:12">
      <c r="A1039" s="1">
        <v>46029</v>
      </c>
      <c r="B1039" t="s">
        <v>11725</v>
      </c>
      <c r="C1039">
        <v>13</v>
      </c>
      <c r="D1039" t="str">
        <f>VLOOKUP(Tabela26[[#This Row],[EMP]],[1]LOJA!$A:$B,2,0)</f>
        <v>CEILÂNDIA</v>
      </c>
      <c r="E1039">
        <v>33</v>
      </c>
      <c r="F1039" t="s">
        <v>4781</v>
      </c>
      <c r="G1039" t="s">
        <v>4780</v>
      </c>
      <c r="H1039" t="s">
        <v>3430</v>
      </c>
      <c r="I1039">
        <v>5405</v>
      </c>
      <c r="J1039" s="3">
        <v>660</v>
      </c>
      <c r="K1039" s="3">
        <v>406.8</v>
      </c>
      <c r="L1039">
        <v>38.36</v>
      </c>
    </row>
    <row r="1040" spans="1:12">
      <c r="A1040" s="1">
        <v>46029</v>
      </c>
      <c r="B1040" t="s">
        <v>6470</v>
      </c>
      <c r="C1040">
        <v>15</v>
      </c>
      <c r="D1040" t="str">
        <f>VLOOKUP(Tabela26[[#This Row],[EMP]],[1]LOJA!$A:$B,2,0)</f>
        <v>UNAÍ</v>
      </c>
      <c r="E1040">
        <v>183</v>
      </c>
      <c r="F1040" t="s">
        <v>3485</v>
      </c>
      <c r="G1040" t="s">
        <v>3402</v>
      </c>
      <c r="H1040" t="s">
        <v>3401</v>
      </c>
      <c r="I1040">
        <v>5102</v>
      </c>
      <c r="J1040" s="3">
        <v>7.2</v>
      </c>
      <c r="K1040" s="3">
        <v>2.98</v>
      </c>
      <c r="L1040">
        <v>58.61</v>
      </c>
    </row>
    <row r="1041" spans="1:12">
      <c r="A1041" s="1">
        <v>46029</v>
      </c>
      <c r="B1041" t="s">
        <v>6469</v>
      </c>
      <c r="C1041">
        <v>15</v>
      </c>
      <c r="D1041" t="str">
        <f>VLOOKUP(Tabela26[[#This Row],[EMP]],[1]LOJA!$A:$B,2,0)</f>
        <v>UNAÍ</v>
      </c>
      <c r="E1041">
        <v>183</v>
      </c>
      <c r="F1041" t="s">
        <v>3485</v>
      </c>
      <c r="G1041" t="s">
        <v>3402</v>
      </c>
      <c r="H1041" t="s">
        <v>3401</v>
      </c>
      <c r="I1041">
        <v>5102</v>
      </c>
      <c r="J1041" s="3">
        <v>20</v>
      </c>
      <c r="K1041" s="3">
        <v>9.81</v>
      </c>
      <c r="L1041">
        <v>50.95</v>
      </c>
    </row>
    <row r="1042" spans="1:12">
      <c r="A1042" s="1">
        <v>46029</v>
      </c>
      <c r="B1042" t="s">
        <v>6468</v>
      </c>
      <c r="C1042">
        <v>15</v>
      </c>
      <c r="D1042" t="str">
        <f>VLOOKUP(Tabela26[[#This Row],[EMP]],[1]LOJA!$A:$B,2,0)</f>
        <v>UNAÍ</v>
      </c>
      <c r="E1042">
        <v>183</v>
      </c>
      <c r="F1042" t="s">
        <v>4040</v>
      </c>
      <c r="G1042" t="s">
        <v>4039</v>
      </c>
      <c r="H1042" t="s">
        <v>3408</v>
      </c>
      <c r="I1042">
        <v>5102</v>
      </c>
      <c r="J1042" s="3">
        <v>91.5</v>
      </c>
      <c r="K1042" s="3">
        <v>42.92</v>
      </c>
      <c r="L1042">
        <v>53.09</v>
      </c>
    </row>
    <row r="1043" spans="1:12">
      <c r="A1043" s="1">
        <v>46029</v>
      </c>
      <c r="B1043" t="s">
        <v>6466</v>
      </c>
      <c r="C1043">
        <v>15</v>
      </c>
      <c r="D1043" t="str">
        <f>VLOOKUP(Tabela26[[#This Row],[EMP]],[1]LOJA!$A:$B,2,0)</f>
        <v>UNAÍ</v>
      </c>
      <c r="E1043">
        <v>183</v>
      </c>
      <c r="F1043" t="s">
        <v>3485</v>
      </c>
      <c r="G1043" t="s">
        <v>3402</v>
      </c>
      <c r="H1043" t="s">
        <v>3401</v>
      </c>
      <c r="I1043">
        <v>5102</v>
      </c>
      <c r="J1043" s="3">
        <v>3.6</v>
      </c>
      <c r="K1043" s="3">
        <v>2.2000000000000002</v>
      </c>
      <c r="L1043">
        <v>38.89</v>
      </c>
    </row>
    <row r="1044" spans="1:12">
      <c r="A1044" s="1">
        <v>46029</v>
      </c>
      <c r="B1044" t="s">
        <v>6143</v>
      </c>
      <c r="C1044">
        <v>15</v>
      </c>
      <c r="D1044" t="str">
        <f>VLOOKUP(Tabela26[[#This Row],[EMP]],[1]LOJA!$A:$B,2,0)</f>
        <v>UNAÍ</v>
      </c>
      <c r="E1044">
        <v>183</v>
      </c>
      <c r="F1044" t="s">
        <v>3485</v>
      </c>
      <c r="G1044" t="s">
        <v>3402</v>
      </c>
      <c r="H1044" t="s">
        <v>3401</v>
      </c>
      <c r="I1044">
        <v>5102</v>
      </c>
      <c r="J1044" s="3">
        <v>55</v>
      </c>
      <c r="K1044" s="3">
        <v>29.13</v>
      </c>
      <c r="L1044">
        <v>47.04</v>
      </c>
    </row>
    <row r="1045" spans="1:12">
      <c r="A1045" s="1">
        <v>46029</v>
      </c>
      <c r="B1045" t="s">
        <v>6142</v>
      </c>
      <c r="C1045">
        <v>15</v>
      </c>
      <c r="D1045" t="str">
        <f>VLOOKUP(Tabela26[[#This Row],[EMP]],[1]LOJA!$A:$B,2,0)</f>
        <v>UNAÍ</v>
      </c>
      <c r="E1045">
        <v>183</v>
      </c>
      <c r="F1045" t="s">
        <v>4068</v>
      </c>
      <c r="G1045" t="s">
        <v>4067</v>
      </c>
      <c r="H1045" t="s">
        <v>3520</v>
      </c>
      <c r="I1045">
        <v>5102</v>
      </c>
      <c r="J1045" s="3">
        <v>115.14</v>
      </c>
      <c r="K1045" s="3">
        <v>62.14</v>
      </c>
      <c r="L1045">
        <v>46.03</v>
      </c>
    </row>
    <row r="1046" spans="1:12">
      <c r="A1046" s="1">
        <v>46029</v>
      </c>
      <c r="B1046" t="s">
        <v>6141</v>
      </c>
      <c r="C1046">
        <v>15</v>
      </c>
      <c r="D1046" t="str">
        <f>VLOOKUP(Tabela26[[#This Row],[EMP]],[1]LOJA!$A:$B,2,0)</f>
        <v>UNAÍ</v>
      </c>
      <c r="E1046">
        <v>183</v>
      </c>
      <c r="F1046" t="s">
        <v>3485</v>
      </c>
      <c r="G1046" t="s">
        <v>3402</v>
      </c>
      <c r="H1046" t="s">
        <v>3401</v>
      </c>
      <c r="I1046">
        <v>5102</v>
      </c>
      <c r="J1046" s="3">
        <v>223.2</v>
      </c>
      <c r="K1046" s="3">
        <v>114.06</v>
      </c>
      <c r="L1046">
        <v>48.9</v>
      </c>
    </row>
    <row r="1047" spans="1:12">
      <c r="A1047" s="1">
        <v>46029</v>
      </c>
      <c r="B1047" t="s">
        <v>5864</v>
      </c>
      <c r="C1047">
        <v>15</v>
      </c>
      <c r="D1047" t="str">
        <f>VLOOKUP(Tabela26[[#This Row],[EMP]],[1]LOJA!$A:$B,2,0)</f>
        <v>UNAÍ</v>
      </c>
      <c r="E1047">
        <v>183</v>
      </c>
      <c r="F1047" t="s">
        <v>4696</v>
      </c>
      <c r="G1047" t="s">
        <v>4695</v>
      </c>
      <c r="H1047" t="s">
        <v>3430</v>
      </c>
      <c r="I1047">
        <v>5405</v>
      </c>
      <c r="J1047" s="3">
        <v>180.59</v>
      </c>
      <c r="K1047" s="3">
        <v>84.61</v>
      </c>
      <c r="L1047">
        <v>53.15</v>
      </c>
    </row>
    <row r="1048" spans="1:12">
      <c r="A1048" s="1">
        <v>46029</v>
      </c>
      <c r="B1048" t="s">
        <v>5861</v>
      </c>
      <c r="C1048">
        <v>15</v>
      </c>
      <c r="D1048" t="str">
        <f>VLOOKUP(Tabela26[[#This Row],[EMP]],[1]LOJA!$A:$B,2,0)</f>
        <v>UNAÍ</v>
      </c>
      <c r="E1048">
        <v>183</v>
      </c>
      <c r="F1048" t="s">
        <v>11724</v>
      </c>
      <c r="G1048" t="s">
        <v>3402</v>
      </c>
      <c r="H1048" t="s">
        <v>3401</v>
      </c>
      <c r="I1048">
        <v>5102</v>
      </c>
      <c r="J1048" s="3">
        <v>65</v>
      </c>
      <c r="K1048" s="3">
        <v>33.840000000000003</v>
      </c>
      <c r="L1048">
        <v>47.94</v>
      </c>
    </row>
    <row r="1049" spans="1:12">
      <c r="A1049" s="1">
        <v>46029</v>
      </c>
      <c r="B1049" t="s">
        <v>5860</v>
      </c>
      <c r="C1049">
        <v>15</v>
      </c>
      <c r="D1049" t="str">
        <f>VLOOKUP(Tabela26[[#This Row],[EMP]],[1]LOJA!$A:$B,2,0)</f>
        <v>UNAÍ</v>
      </c>
      <c r="E1049">
        <v>183</v>
      </c>
      <c r="F1049" t="s">
        <v>3485</v>
      </c>
      <c r="G1049" t="s">
        <v>3402</v>
      </c>
      <c r="H1049" t="s">
        <v>3401</v>
      </c>
      <c r="I1049">
        <v>5102</v>
      </c>
      <c r="J1049" s="3">
        <v>23.75</v>
      </c>
      <c r="K1049" s="3">
        <v>11.99</v>
      </c>
      <c r="L1049">
        <v>49.52</v>
      </c>
    </row>
    <row r="1050" spans="1:12">
      <c r="A1050" s="1">
        <v>46029</v>
      </c>
      <c r="B1050" t="s">
        <v>5859</v>
      </c>
      <c r="C1050">
        <v>15</v>
      </c>
      <c r="D1050" t="str">
        <f>VLOOKUP(Tabela26[[#This Row],[EMP]],[1]LOJA!$A:$B,2,0)</f>
        <v>UNAÍ</v>
      </c>
      <c r="E1050">
        <v>183</v>
      </c>
      <c r="F1050" t="s">
        <v>8810</v>
      </c>
      <c r="G1050" t="s">
        <v>8809</v>
      </c>
      <c r="H1050" t="s">
        <v>3430</v>
      </c>
      <c r="I1050">
        <v>5102</v>
      </c>
      <c r="J1050" s="3">
        <v>73.989999999999995</v>
      </c>
      <c r="K1050" s="3">
        <v>36.19</v>
      </c>
      <c r="L1050">
        <v>51.09</v>
      </c>
    </row>
    <row r="1051" spans="1:12">
      <c r="A1051" s="1">
        <v>46029</v>
      </c>
      <c r="B1051" t="s">
        <v>5858</v>
      </c>
      <c r="C1051">
        <v>15</v>
      </c>
      <c r="D1051" t="str">
        <f>VLOOKUP(Tabela26[[#This Row],[EMP]],[1]LOJA!$A:$B,2,0)</f>
        <v>UNAÍ</v>
      </c>
      <c r="E1051">
        <v>183</v>
      </c>
      <c r="F1051" t="s">
        <v>4025</v>
      </c>
      <c r="G1051" t="s">
        <v>11453</v>
      </c>
      <c r="H1051" t="s">
        <v>3401</v>
      </c>
      <c r="I1051">
        <v>5102</v>
      </c>
      <c r="J1051" s="3">
        <v>25.2</v>
      </c>
      <c r="K1051" s="3">
        <v>11.98</v>
      </c>
      <c r="L1051">
        <v>52.46</v>
      </c>
    </row>
    <row r="1052" spans="1:12">
      <c r="A1052" s="1">
        <v>46029</v>
      </c>
      <c r="B1052" t="s">
        <v>5855</v>
      </c>
      <c r="C1052">
        <v>15</v>
      </c>
      <c r="D1052" t="str">
        <f>VLOOKUP(Tabela26[[#This Row],[EMP]],[1]LOJA!$A:$B,2,0)</f>
        <v>UNAÍ</v>
      </c>
      <c r="E1052">
        <v>183</v>
      </c>
      <c r="F1052" t="s">
        <v>11723</v>
      </c>
      <c r="G1052" t="s">
        <v>11722</v>
      </c>
      <c r="H1052" t="s">
        <v>3401</v>
      </c>
      <c r="I1052">
        <v>5102</v>
      </c>
      <c r="J1052" s="3">
        <v>125.8</v>
      </c>
      <c r="K1052" s="3">
        <v>60.98</v>
      </c>
      <c r="L1052">
        <v>51.53</v>
      </c>
    </row>
    <row r="1053" spans="1:12">
      <c r="A1053" s="1">
        <v>46029</v>
      </c>
      <c r="B1053" t="s">
        <v>5854</v>
      </c>
      <c r="C1053">
        <v>15</v>
      </c>
      <c r="D1053" t="str">
        <f>VLOOKUP(Tabela26[[#This Row],[EMP]],[1]LOJA!$A:$B,2,0)</f>
        <v>UNAÍ</v>
      </c>
      <c r="E1053">
        <v>183</v>
      </c>
      <c r="F1053" t="s">
        <v>3491</v>
      </c>
      <c r="G1053" t="s">
        <v>3490</v>
      </c>
      <c r="H1053" t="s">
        <v>3430</v>
      </c>
      <c r="I1053">
        <v>5102</v>
      </c>
      <c r="J1053" s="3">
        <v>109.66</v>
      </c>
      <c r="K1053" s="3">
        <v>58.26</v>
      </c>
      <c r="L1053">
        <v>46.87</v>
      </c>
    </row>
    <row r="1054" spans="1:12">
      <c r="A1054" s="1">
        <v>46029</v>
      </c>
      <c r="B1054" t="s">
        <v>5853</v>
      </c>
      <c r="C1054">
        <v>15</v>
      </c>
      <c r="D1054" t="str">
        <f>VLOOKUP(Tabela26[[#This Row],[EMP]],[1]LOJA!$A:$B,2,0)</f>
        <v>UNAÍ</v>
      </c>
      <c r="E1054">
        <v>183</v>
      </c>
      <c r="F1054" t="s">
        <v>3485</v>
      </c>
      <c r="G1054" t="s">
        <v>3402</v>
      </c>
      <c r="H1054" t="s">
        <v>3401</v>
      </c>
      <c r="I1054">
        <v>5102</v>
      </c>
      <c r="J1054" s="3">
        <v>55</v>
      </c>
      <c r="K1054" s="3">
        <v>27.53</v>
      </c>
      <c r="L1054">
        <v>49.95</v>
      </c>
    </row>
    <row r="1055" spans="1:12">
      <c r="A1055" s="1">
        <v>46029</v>
      </c>
      <c r="B1055" t="s">
        <v>5851</v>
      </c>
      <c r="C1055">
        <v>15</v>
      </c>
      <c r="D1055" t="str">
        <f>VLOOKUP(Tabela26[[#This Row],[EMP]],[1]LOJA!$A:$B,2,0)</f>
        <v>UNAÍ</v>
      </c>
      <c r="E1055">
        <v>183</v>
      </c>
      <c r="F1055" t="s">
        <v>3485</v>
      </c>
      <c r="G1055" t="s">
        <v>3402</v>
      </c>
      <c r="H1055" t="s">
        <v>3408</v>
      </c>
      <c r="I1055">
        <v>5102</v>
      </c>
      <c r="J1055" s="3">
        <v>340</v>
      </c>
      <c r="K1055" s="3">
        <v>174.59</v>
      </c>
      <c r="L1055">
        <v>48.65</v>
      </c>
    </row>
    <row r="1056" spans="1:12">
      <c r="A1056" s="1">
        <v>46029</v>
      </c>
      <c r="B1056" t="s">
        <v>5850</v>
      </c>
      <c r="C1056">
        <v>15</v>
      </c>
      <c r="D1056" t="str">
        <f>VLOOKUP(Tabela26[[#This Row],[EMP]],[1]LOJA!$A:$B,2,0)</f>
        <v>UNAÍ</v>
      </c>
      <c r="E1056">
        <v>183</v>
      </c>
      <c r="F1056" t="s">
        <v>3485</v>
      </c>
      <c r="G1056" t="s">
        <v>3402</v>
      </c>
      <c r="H1056" t="s">
        <v>3401</v>
      </c>
      <c r="I1056">
        <v>5102</v>
      </c>
      <c r="J1056" s="3">
        <v>50</v>
      </c>
      <c r="K1056" s="3">
        <v>25.13</v>
      </c>
      <c r="L1056">
        <v>49.74</v>
      </c>
    </row>
    <row r="1057" spans="1:12">
      <c r="A1057" s="1">
        <v>46029</v>
      </c>
      <c r="B1057" t="s">
        <v>5849</v>
      </c>
      <c r="C1057">
        <v>15</v>
      </c>
      <c r="D1057" t="str">
        <f>VLOOKUP(Tabela26[[#This Row],[EMP]],[1]LOJA!$A:$B,2,0)</f>
        <v>UNAÍ</v>
      </c>
      <c r="E1057">
        <v>183</v>
      </c>
      <c r="F1057" t="s">
        <v>3485</v>
      </c>
      <c r="G1057" t="s">
        <v>3402</v>
      </c>
      <c r="H1057" t="s">
        <v>3401</v>
      </c>
      <c r="I1057">
        <v>5102</v>
      </c>
      <c r="J1057" s="3">
        <v>74</v>
      </c>
      <c r="K1057" s="3">
        <v>36.76</v>
      </c>
      <c r="L1057">
        <v>50.32</v>
      </c>
    </row>
    <row r="1058" spans="1:12">
      <c r="A1058" s="1">
        <v>46029</v>
      </c>
      <c r="B1058" t="s">
        <v>5848</v>
      </c>
      <c r="C1058">
        <v>15</v>
      </c>
      <c r="D1058" t="str">
        <f>VLOOKUP(Tabela26[[#This Row],[EMP]],[1]LOJA!$A:$B,2,0)</f>
        <v>UNAÍ</v>
      </c>
      <c r="E1058">
        <v>183</v>
      </c>
      <c r="F1058" t="s">
        <v>7738</v>
      </c>
      <c r="G1058" t="s">
        <v>3402</v>
      </c>
      <c r="H1058" t="s">
        <v>3401</v>
      </c>
      <c r="I1058">
        <v>5102</v>
      </c>
      <c r="J1058" s="3">
        <v>97.2</v>
      </c>
      <c r="K1058" s="3">
        <v>48.51</v>
      </c>
      <c r="L1058">
        <v>50.09</v>
      </c>
    </row>
    <row r="1059" spans="1:12">
      <c r="A1059" s="1">
        <v>46029</v>
      </c>
      <c r="B1059" t="s">
        <v>5847</v>
      </c>
      <c r="C1059">
        <v>15</v>
      </c>
      <c r="D1059" t="str">
        <f>VLOOKUP(Tabela26[[#This Row],[EMP]],[1]LOJA!$A:$B,2,0)</f>
        <v>UNAÍ</v>
      </c>
      <c r="E1059">
        <v>183</v>
      </c>
      <c r="F1059" t="s">
        <v>4704</v>
      </c>
      <c r="G1059" t="s">
        <v>4703</v>
      </c>
      <c r="H1059" t="s">
        <v>3401</v>
      </c>
      <c r="I1059">
        <v>5102</v>
      </c>
      <c r="J1059" s="3">
        <v>33</v>
      </c>
      <c r="K1059" s="3">
        <v>15.64</v>
      </c>
      <c r="L1059">
        <v>52.61</v>
      </c>
    </row>
    <row r="1060" spans="1:12">
      <c r="A1060" s="1">
        <v>46029</v>
      </c>
      <c r="B1060" t="s">
        <v>5846</v>
      </c>
      <c r="C1060">
        <v>15</v>
      </c>
      <c r="D1060" t="str">
        <f>VLOOKUP(Tabela26[[#This Row],[EMP]],[1]LOJA!$A:$B,2,0)</f>
        <v>UNAÍ</v>
      </c>
      <c r="E1060">
        <v>183</v>
      </c>
      <c r="F1060" t="s">
        <v>7795</v>
      </c>
      <c r="G1060" t="s">
        <v>3402</v>
      </c>
      <c r="H1060" t="s">
        <v>3401</v>
      </c>
      <c r="I1060">
        <v>5102</v>
      </c>
      <c r="J1060" s="3">
        <v>142.5</v>
      </c>
      <c r="K1060" s="3">
        <v>59.54</v>
      </c>
      <c r="L1060">
        <v>58.22</v>
      </c>
    </row>
    <row r="1061" spans="1:12">
      <c r="A1061" s="1">
        <v>46029</v>
      </c>
      <c r="B1061" t="s">
        <v>5843</v>
      </c>
      <c r="C1061">
        <v>15</v>
      </c>
      <c r="D1061" t="str">
        <f>VLOOKUP(Tabela26[[#This Row],[EMP]],[1]LOJA!$A:$B,2,0)</f>
        <v>UNAÍ</v>
      </c>
      <c r="E1061">
        <v>183</v>
      </c>
      <c r="F1061" t="s">
        <v>3485</v>
      </c>
      <c r="G1061" t="s">
        <v>3402</v>
      </c>
      <c r="H1061" t="s">
        <v>3401</v>
      </c>
      <c r="I1061">
        <v>5102</v>
      </c>
      <c r="J1061" s="3">
        <v>37.200000000000003</v>
      </c>
      <c r="K1061" s="3">
        <v>13.31</v>
      </c>
      <c r="L1061">
        <v>64.22</v>
      </c>
    </row>
    <row r="1062" spans="1:12">
      <c r="A1062" s="1">
        <v>46029</v>
      </c>
      <c r="B1062" t="s">
        <v>5842</v>
      </c>
      <c r="C1062">
        <v>15</v>
      </c>
      <c r="D1062" t="str">
        <f>VLOOKUP(Tabela26[[#This Row],[EMP]],[1]LOJA!$A:$B,2,0)</f>
        <v>UNAÍ</v>
      </c>
      <c r="E1062">
        <v>183</v>
      </c>
      <c r="F1062" t="s">
        <v>4029</v>
      </c>
      <c r="G1062" t="s">
        <v>4028</v>
      </c>
      <c r="H1062" t="s">
        <v>3401</v>
      </c>
      <c r="I1062">
        <v>5405</v>
      </c>
      <c r="J1062" s="3">
        <v>166</v>
      </c>
      <c r="K1062" s="3">
        <v>77.650000000000006</v>
      </c>
      <c r="L1062">
        <v>53.22</v>
      </c>
    </row>
    <row r="1063" spans="1:12">
      <c r="A1063" s="1">
        <v>46029</v>
      </c>
      <c r="B1063" t="s">
        <v>5841</v>
      </c>
      <c r="C1063">
        <v>15</v>
      </c>
      <c r="D1063" t="str">
        <f>VLOOKUP(Tabela26[[#This Row],[EMP]],[1]LOJA!$A:$B,2,0)</f>
        <v>UNAÍ</v>
      </c>
      <c r="E1063">
        <v>183</v>
      </c>
      <c r="F1063" t="s">
        <v>8440</v>
      </c>
      <c r="G1063" t="s">
        <v>3402</v>
      </c>
      <c r="H1063" t="s">
        <v>3401</v>
      </c>
      <c r="I1063">
        <v>5102</v>
      </c>
      <c r="J1063" s="3">
        <v>89.35</v>
      </c>
      <c r="K1063" s="3">
        <v>53.9</v>
      </c>
      <c r="L1063">
        <v>39.68</v>
      </c>
    </row>
    <row r="1064" spans="1:12">
      <c r="A1064" s="1">
        <v>46029</v>
      </c>
      <c r="B1064" t="s">
        <v>5840</v>
      </c>
      <c r="C1064">
        <v>15</v>
      </c>
      <c r="D1064" t="str">
        <f>VLOOKUP(Tabela26[[#This Row],[EMP]],[1]LOJA!$A:$B,2,0)</f>
        <v>UNAÍ</v>
      </c>
      <c r="E1064">
        <v>183</v>
      </c>
      <c r="F1064" t="s">
        <v>3485</v>
      </c>
      <c r="G1064" t="s">
        <v>3402</v>
      </c>
      <c r="H1064" t="s">
        <v>3401</v>
      </c>
      <c r="I1064">
        <v>5102</v>
      </c>
      <c r="J1064" s="3">
        <v>19</v>
      </c>
      <c r="K1064" s="3">
        <v>10.09</v>
      </c>
      <c r="L1064">
        <v>46.89</v>
      </c>
    </row>
    <row r="1065" spans="1:12">
      <c r="A1065" s="1">
        <v>46029</v>
      </c>
      <c r="B1065" t="s">
        <v>5337</v>
      </c>
      <c r="C1065">
        <v>15</v>
      </c>
      <c r="D1065" t="str">
        <f>VLOOKUP(Tabela26[[#This Row],[EMP]],[1]LOJA!$A:$B,2,0)</f>
        <v>UNAÍ</v>
      </c>
      <c r="E1065">
        <v>183</v>
      </c>
      <c r="F1065" t="s">
        <v>11721</v>
      </c>
      <c r="G1065" t="s">
        <v>3402</v>
      </c>
      <c r="H1065" t="s">
        <v>3401</v>
      </c>
      <c r="I1065">
        <v>5102</v>
      </c>
      <c r="J1065" s="3">
        <v>200.89</v>
      </c>
      <c r="K1065" s="3">
        <v>105.76</v>
      </c>
      <c r="L1065">
        <v>47.35</v>
      </c>
    </row>
    <row r="1066" spans="1:12">
      <c r="A1066" s="1">
        <v>46029</v>
      </c>
      <c r="B1066" t="s">
        <v>5336</v>
      </c>
      <c r="C1066">
        <v>15</v>
      </c>
      <c r="D1066" t="str">
        <f>VLOOKUP(Tabela26[[#This Row],[EMP]],[1]LOJA!$A:$B,2,0)</f>
        <v>UNAÍ</v>
      </c>
      <c r="E1066">
        <v>183</v>
      </c>
      <c r="F1066" t="s">
        <v>4689</v>
      </c>
      <c r="G1066" t="s">
        <v>4688</v>
      </c>
      <c r="H1066" t="s">
        <v>3430</v>
      </c>
      <c r="I1066">
        <v>5405</v>
      </c>
      <c r="J1066" s="3">
        <v>494.47</v>
      </c>
      <c r="K1066" s="3">
        <v>212.17</v>
      </c>
      <c r="L1066">
        <v>57.09</v>
      </c>
    </row>
    <row r="1067" spans="1:12">
      <c r="A1067" s="1">
        <v>46029</v>
      </c>
      <c r="B1067" t="s">
        <v>5335</v>
      </c>
      <c r="C1067">
        <v>15</v>
      </c>
      <c r="D1067" t="str">
        <f>VLOOKUP(Tabela26[[#This Row],[EMP]],[1]LOJA!$A:$B,2,0)</f>
        <v>UNAÍ</v>
      </c>
      <c r="E1067">
        <v>183</v>
      </c>
      <c r="F1067" t="s">
        <v>4048</v>
      </c>
      <c r="G1067" t="s">
        <v>4047</v>
      </c>
      <c r="H1067" t="s">
        <v>3520</v>
      </c>
      <c r="I1067">
        <v>5405</v>
      </c>
      <c r="J1067" s="3">
        <v>147</v>
      </c>
      <c r="K1067" s="3">
        <v>70.05</v>
      </c>
      <c r="L1067">
        <v>52.35</v>
      </c>
    </row>
    <row r="1068" spans="1:12">
      <c r="A1068" s="1">
        <v>46029</v>
      </c>
      <c r="B1068" t="s">
        <v>5334</v>
      </c>
      <c r="C1068">
        <v>15</v>
      </c>
      <c r="D1068" t="str">
        <f>VLOOKUP(Tabela26[[#This Row],[EMP]],[1]LOJA!$A:$B,2,0)</f>
        <v>UNAÍ</v>
      </c>
      <c r="E1068">
        <v>183</v>
      </c>
      <c r="F1068" t="s">
        <v>4016</v>
      </c>
      <c r="G1068" t="s">
        <v>4015</v>
      </c>
      <c r="H1068" t="s">
        <v>6497</v>
      </c>
      <c r="I1068">
        <v>5102</v>
      </c>
      <c r="J1068" s="3">
        <v>83</v>
      </c>
      <c r="K1068" s="3">
        <v>40.26</v>
      </c>
      <c r="L1068">
        <v>51.49</v>
      </c>
    </row>
    <row r="1069" spans="1:12">
      <c r="A1069" s="1">
        <v>46029</v>
      </c>
      <c r="B1069" t="s">
        <v>5333</v>
      </c>
      <c r="C1069">
        <v>15</v>
      </c>
      <c r="D1069" t="str">
        <f>VLOOKUP(Tabela26[[#This Row],[EMP]],[1]LOJA!$A:$B,2,0)</f>
        <v>UNAÍ</v>
      </c>
      <c r="E1069">
        <v>183</v>
      </c>
      <c r="F1069" t="s">
        <v>4019</v>
      </c>
      <c r="G1069" t="s">
        <v>4018</v>
      </c>
      <c r="H1069" t="s">
        <v>6243</v>
      </c>
      <c r="I1069">
        <v>5102</v>
      </c>
      <c r="J1069" s="3">
        <v>227.44</v>
      </c>
      <c r="K1069" s="3">
        <v>108.36</v>
      </c>
      <c r="L1069">
        <v>52.36</v>
      </c>
    </row>
    <row r="1070" spans="1:12">
      <c r="A1070" s="1">
        <v>46029</v>
      </c>
      <c r="B1070" t="s">
        <v>5332</v>
      </c>
      <c r="C1070">
        <v>15</v>
      </c>
      <c r="D1070" t="str">
        <f>VLOOKUP(Tabela26[[#This Row],[EMP]],[1]LOJA!$A:$B,2,0)</f>
        <v>UNAÍ</v>
      </c>
      <c r="E1070">
        <v>183</v>
      </c>
      <c r="F1070" t="s">
        <v>6126</v>
      </c>
      <c r="G1070" t="s">
        <v>6125</v>
      </c>
      <c r="H1070" t="s">
        <v>3408</v>
      </c>
      <c r="I1070">
        <v>5102</v>
      </c>
      <c r="J1070" s="3">
        <v>65.349999999999994</v>
      </c>
      <c r="K1070" s="3">
        <v>33.21</v>
      </c>
      <c r="L1070">
        <v>49.18</v>
      </c>
    </row>
    <row r="1071" spans="1:12">
      <c r="A1071" s="1">
        <v>46029</v>
      </c>
      <c r="B1071" t="s">
        <v>5331</v>
      </c>
      <c r="C1071">
        <v>15</v>
      </c>
      <c r="D1071" t="str">
        <f>VLOOKUP(Tabela26[[#This Row],[EMP]],[1]LOJA!$A:$B,2,0)</f>
        <v>UNAÍ</v>
      </c>
      <c r="E1071">
        <v>183</v>
      </c>
      <c r="F1071" t="s">
        <v>7348</v>
      </c>
      <c r="G1071" t="s">
        <v>7347</v>
      </c>
      <c r="H1071" t="s">
        <v>3401</v>
      </c>
      <c r="I1071">
        <v>5102</v>
      </c>
      <c r="J1071" s="3">
        <v>53.5</v>
      </c>
      <c r="K1071" s="3">
        <v>29.87</v>
      </c>
      <c r="L1071">
        <v>44.17</v>
      </c>
    </row>
    <row r="1072" spans="1:12">
      <c r="A1072" s="1">
        <v>46029</v>
      </c>
      <c r="B1072" t="s">
        <v>5330</v>
      </c>
      <c r="C1072">
        <v>15</v>
      </c>
      <c r="D1072" t="str">
        <f>VLOOKUP(Tabela26[[#This Row],[EMP]],[1]LOJA!$A:$B,2,0)</f>
        <v>UNAÍ</v>
      </c>
      <c r="E1072">
        <v>183</v>
      </c>
      <c r="F1072" t="s">
        <v>11720</v>
      </c>
      <c r="G1072" t="s">
        <v>11719</v>
      </c>
      <c r="H1072" t="s">
        <v>3401</v>
      </c>
      <c r="I1072">
        <v>5102</v>
      </c>
      <c r="J1072" s="3">
        <v>169</v>
      </c>
      <c r="K1072" s="3">
        <v>88.41</v>
      </c>
      <c r="L1072">
        <v>47.69</v>
      </c>
    </row>
    <row r="1073" spans="1:12">
      <c r="A1073" s="1">
        <v>46029</v>
      </c>
      <c r="B1073" t="s">
        <v>11718</v>
      </c>
      <c r="C1073">
        <v>6</v>
      </c>
      <c r="D1073" t="str">
        <f>VLOOKUP(Tabela26[[#This Row],[EMP]],[1]LOJA!$A:$B,2,0)</f>
        <v>GAMA</v>
      </c>
      <c r="E1073">
        <v>226</v>
      </c>
      <c r="F1073" t="s">
        <v>4007</v>
      </c>
      <c r="G1073" t="s">
        <v>4006</v>
      </c>
      <c r="H1073" t="s">
        <v>4249</v>
      </c>
      <c r="I1073">
        <v>6102</v>
      </c>
      <c r="J1073" s="3">
        <v>1694</v>
      </c>
      <c r="K1073" s="3">
        <v>1273.43</v>
      </c>
      <c r="L1073">
        <v>24.83</v>
      </c>
    </row>
    <row r="1074" spans="1:12">
      <c r="A1074" s="1">
        <v>46029</v>
      </c>
      <c r="B1074" t="s">
        <v>11717</v>
      </c>
      <c r="C1074">
        <v>14</v>
      </c>
      <c r="D1074" t="str">
        <f>VLOOKUP(Tabela26[[#This Row],[EMP]],[1]LOJA!$A:$B,2,0)</f>
        <v>S IA</v>
      </c>
      <c r="E1074">
        <v>212</v>
      </c>
      <c r="F1074" t="s">
        <v>3403</v>
      </c>
      <c r="G1074" t="s">
        <v>3402</v>
      </c>
      <c r="H1074" t="s">
        <v>3401</v>
      </c>
      <c r="I1074">
        <v>5405</v>
      </c>
      <c r="J1074" s="3">
        <v>90</v>
      </c>
      <c r="K1074" s="3">
        <v>42.79</v>
      </c>
      <c r="L1074">
        <v>52.46</v>
      </c>
    </row>
    <row r="1075" spans="1:12">
      <c r="A1075" s="1">
        <v>46029</v>
      </c>
      <c r="B1075" t="s">
        <v>11716</v>
      </c>
      <c r="C1075">
        <v>14</v>
      </c>
      <c r="D1075" t="str">
        <f>VLOOKUP(Tabela26[[#This Row],[EMP]],[1]LOJA!$A:$B,2,0)</f>
        <v>S IA</v>
      </c>
      <c r="E1075">
        <v>54</v>
      </c>
      <c r="F1075" t="s">
        <v>4659</v>
      </c>
      <c r="G1075" t="s">
        <v>4658</v>
      </c>
      <c r="H1075" t="s">
        <v>3430</v>
      </c>
      <c r="I1075">
        <v>5102</v>
      </c>
      <c r="J1075" s="3">
        <v>1032.58</v>
      </c>
      <c r="K1075" s="3">
        <v>616.1</v>
      </c>
      <c r="L1075">
        <v>40.33</v>
      </c>
    </row>
    <row r="1076" spans="1:12">
      <c r="A1076" s="1">
        <v>46029</v>
      </c>
      <c r="B1076" t="s">
        <v>11715</v>
      </c>
      <c r="C1076">
        <v>14</v>
      </c>
      <c r="D1076" t="str">
        <f>VLOOKUP(Tabela26[[#This Row],[EMP]],[1]LOJA!$A:$B,2,0)</f>
        <v>S IA</v>
      </c>
      <c r="E1076">
        <v>54</v>
      </c>
      <c r="F1076" t="s">
        <v>3478</v>
      </c>
      <c r="G1076" t="s">
        <v>3477</v>
      </c>
      <c r="H1076" t="s">
        <v>3401</v>
      </c>
      <c r="I1076">
        <v>5405</v>
      </c>
      <c r="J1076" s="3">
        <v>68</v>
      </c>
      <c r="K1076" s="3">
        <v>32.4</v>
      </c>
      <c r="L1076">
        <v>52.35</v>
      </c>
    </row>
    <row r="1077" spans="1:12">
      <c r="A1077" s="1">
        <v>46029</v>
      </c>
      <c r="B1077" t="s">
        <v>11714</v>
      </c>
      <c r="C1077">
        <v>14</v>
      </c>
      <c r="D1077" t="str">
        <f>VLOOKUP(Tabela26[[#This Row],[EMP]],[1]LOJA!$A:$B,2,0)</f>
        <v>S IA</v>
      </c>
      <c r="E1077">
        <v>54</v>
      </c>
      <c r="F1077" t="s">
        <v>4413</v>
      </c>
      <c r="G1077" t="s">
        <v>4412</v>
      </c>
      <c r="H1077" t="s">
        <v>3401</v>
      </c>
      <c r="I1077">
        <v>5405</v>
      </c>
      <c r="J1077" s="3">
        <v>100</v>
      </c>
      <c r="K1077" s="3">
        <v>49.41</v>
      </c>
      <c r="L1077">
        <v>50.59</v>
      </c>
    </row>
    <row r="1078" spans="1:12">
      <c r="A1078" s="1">
        <v>46029</v>
      </c>
      <c r="B1078" t="s">
        <v>11713</v>
      </c>
      <c r="C1078">
        <v>14</v>
      </c>
      <c r="D1078" t="str">
        <f>VLOOKUP(Tabela26[[#This Row],[EMP]],[1]LOJA!$A:$B,2,0)</f>
        <v>S IA</v>
      </c>
      <c r="E1078">
        <v>54</v>
      </c>
      <c r="F1078" t="s">
        <v>4413</v>
      </c>
      <c r="G1078" t="s">
        <v>4412</v>
      </c>
      <c r="H1078" t="s">
        <v>3401</v>
      </c>
      <c r="I1078">
        <v>5405</v>
      </c>
      <c r="J1078" s="3">
        <v>55</v>
      </c>
      <c r="K1078" s="3">
        <v>26.03</v>
      </c>
      <c r="L1078">
        <v>52.67</v>
      </c>
    </row>
    <row r="1079" spans="1:12">
      <c r="A1079" s="1">
        <v>46029</v>
      </c>
      <c r="B1079" t="s">
        <v>11712</v>
      </c>
      <c r="C1079">
        <v>14</v>
      </c>
      <c r="D1079" t="str">
        <f>VLOOKUP(Tabela26[[#This Row],[EMP]],[1]LOJA!$A:$B,2,0)</f>
        <v>S IA</v>
      </c>
      <c r="E1079">
        <v>212</v>
      </c>
      <c r="F1079" t="s">
        <v>3403</v>
      </c>
      <c r="G1079" t="s">
        <v>3402</v>
      </c>
      <c r="H1079" t="s">
        <v>3401</v>
      </c>
      <c r="I1079">
        <v>5102</v>
      </c>
      <c r="J1079" s="3">
        <v>30</v>
      </c>
      <c r="K1079" s="3">
        <v>18.62</v>
      </c>
      <c r="L1079">
        <v>37.93</v>
      </c>
    </row>
    <row r="1080" spans="1:12">
      <c r="A1080" s="1">
        <v>46029</v>
      </c>
      <c r="B1080" t="s">
        <v>11711</v>
      </c>
      <c r="C1080">
        <v>14</v>
      </c>
      <c r="D1080" t="str">
        <f>VLOOKUP(Tabela26[[#This Row],[EMP]],[1]LOJA!$A:$B,2,0)</f>
        <v>S IA</v>
      </c>
      <c r="E1080">
        <v>212</v>
      </c>
      <c r="F1080" t="s">
        <v>6421</v>
      </c>
      <c r="G1080" t="s">
        <v>6420</v>
      </c>
      <c r="H1080" t="s">
        <v>3430</v>
      </c>
      <c r="I1080">
        <v>5405</v>
      </c>
      <c r="J1080" s="3">
        <v>146.54</v>
      </c>
      <c r="K1080" s="3">
        <v>81.010000000000005</v>
      </c>
      <c r="L1080">
        <v>44.72</v>
      </c>
    </row>
    <row r="1081" spans="1:12">
      <c r="A1081" s="1">
        <v>46029</v>
      </c>
      <c r="B1081" t="s">
        <v>11710</v>
      </c>
      <c r="C1081">
        <v>14</v>
      </c>
      <c r="D1081" t="str">
        <f>VLOOKUP(Tabela26[[#This Row],[EMP]],[1]LOJA!$A:$B,2,0)</f>
        <v>S IA</v>
      </c>
      <c r="E1081">
        <v>212</v>
      </c>
      <c r="F1081" t="s">
        <v>3403</v>
      </c>
      <c r="G1081" t="s">
        <v>3402</v>
      </c>
      <c r="H1081" t="s">
        <v>3401</v>
      </c>
      <c r="I1081">
        <v>5405</v>
      </c>
      <c r="J1081" s="3">
        <v>146.75</v>
      </c>
      <c r="K1081" s="3">
        <v>67.81</v>
      </c>
      <c r="L1081">
        <v>53.79</v>
      </c>
    </row>
    <row r="1082" spans="1:12">
      <c r="A1082" s="1">
        <v>46029</v>
      </c>
      <c r="B1082" t="s">
        <v>11709</v>
      </c>
      <c r="C1082">
        <v>14</v>
      </c>
      <c r="D1082" t="str">
        <f>VLOOKUP(Tabela26[[#This Row],[EMP]],[1]LOJA!$A:$B,2,0)</f>
        <v>S IA</v>
      </c>
      <c r="E1082">
        <v>212</v>
      </c>
      <c r="F1082" t="s">
        <v>3403</v>
      </c>
      <c r="G1082" t="s">
        <v>3402</v>
      </c>
      <c r="H1082" t="s">
        <v>3401</v>
      </c>
      <c r="I1082">
        <v>5102</v>
      </c>
      <c r="J1082" s="3">
        <v>18</v>
      </c>
      <c r="K1082" s="3">
        <v>9.17</v>
      </c>
      <c r="L1082">
        <v>49.06</v>
      </c>
    </row>
    <row r="1083" spans="1:12">
      <c r="A1083" s="1">
        <v>46029</v>
      </c>
      <c r="B1083" t="s">
        <v>11708</v>
      </c>
      <c r="C1083">
        <v>14</v>
      </c>
      <c r="D1083" t="str">
        <f>VLOOKUP(Tabela26[[#This Row],[EMP]],[1]LOJA!$A:$B,2,0)</f>
        <v>S IA</v>
      </c>
      <c r="E1083">
        <v>54</v>
      </c>
      <c r="F1083" t="s">
        <v>4659</v>
      </c>
      <c r="G1083" t="s">
        <v>4658</v>
      </c>
      <c r="H1083" t="s">
        <v>3430</v>
      </c>
      <c r="I1083">
        <v>5102</v>
      </c>
      <c r="J1083" s="3">
        <v>215.5</v>
      </c>
      <c r="K1083" s="3">
        <v>117.5</v>
      </c>
      <c r="L1083">
        <v>45.48</v>
      </c>
    </row>
    <row r="1084" spans="1:12">
      <c r="A1084" s="1">
        <v>46029</v>
      </c>
      <c r="B1084" t="s">
        <v>11707</v>
      </c>
      <c r="C1084">
        <v>14</v>
      </c>
      <c r="D1084" t="str">
        <f>VLOOKUP(Tabela26[[#This Row],[EMP]],[1]LOJA!$A:$B,2,0)</f>
        <v>S IA</v>
      </c>
      <c r="E1084">
        <v>54</v>
      </c>
      <c r="F1084" t="s">
        <v>3403</v>
      </c>
      <c r="G1084" t="s">
        <v>3402</v>
      </c>
      <c r="H1084" t="s">
        <v>3401</v>
      </c>
      <c r="I1084">
        <v>5102</v>
      </c>
      <c r="J1084" s="3">
        <v>100</v>
      </c>
      <c r="K1084" s="3">
        <v>62.59</v>
      </c>
      <c r="L1084">
        <v>37.409999999999997</v>
      </c>
    </row>
    <row r="1085" spans="1:12">
      <c r="A1085" s="1">
        <v>46029</v>
      </c>
      <c r="B1085" t="s">
        <v>11706</v>
      </c>
      <c r="C1085">
        <v>14</v>
      </c>
      <c r="D1085" t="str">
        <f>VLOOKUP(Tabela26[[#This Row],[EMP]],[1]LOJA!$A:$B,2,0)</f>
        <v>S IA</v>
      </c>
      <c r="E1085">
        <v>212</v>
      </c>
      <c r="F1085" t="s">
        <v>3403</v>
      </c>
      <c r="G1085" t="s">
        <v>3402</v>
      </c>
      <c r="H1085" t="s">
        <v>3408</v>
      </c>
      <c r="I1085">
        <v>5102</v>
      </c>
      <c r="J1085" s="3">
        <v>138</v>
      </c>
      <c r="K1085" s="3">
        <v>61.89</v>
      </c>
      <c r="L1085">
        <v>55.15</v>
      </c>
    </row>
    <row r="1086" spans="1:12">
      <c r="A1086" s="1">
        <v>46029</v>
      </c>
      <c r="B1086" t="s">
        <v>11705</v>
      </c>
      <c r="C1086">
        <v>15</v>
      </c>
      <c r="D1086" t="str">
        <f>VLOOKUP(Tabela26[[#This Row],[EMP]],[1]LOJA!$A:$B,2,0)</f>
        <v>UNAÍ</v>
      </c>
      <c r="E1086">
        <v>183</v>
      </c>
      <c r="F1086" t="s">
        <v>5234</v>
      </c>
      <c r="G1086" t="s">
        <v>5233</v>
      </c>
      <c r="H1086" t="s">
        <v>3401</v>
      </c>
      <c r="I1086">
        <v>5102</v>
      </c>
      <c r="J1086" s="3">
        <v>37.700000000000003</v>
      </c>
      <c r="K1086" s="3">
        <v>23.18</v>
      </c>
      <c r="L1086">
        <v>38.51</v>
      </c>
    </row>
    <row r="1087" spans="1:12">
      <c r="A1087" s="1">
        <v>46029</v>
      </c>
      <c r="B1087" t="s">
        <v>11704</v>
      </c>
      <c r="C1087">
        <v>15</v>
      </c>
      <c r="D1087" t="str">
        <f>VLOOKUP(Tabela26[[#This Row],[EMP]],[1]LOJA!$A:$B,2,0)</f>
        <v>UNAÍ</v>
      </c>
      <c r="E1087">
        <v>183</v>
      </c>
      <c r="F1087" t="s">
        <v>5290</v>
      </c>
      <c r="G1087" t="s">
        <v>5289</v>
      </c>
      <c r="H1087" t="s">
        <v>3401</v>
      </c>
      <c r="I1087">
        <v>5102</v>
      </c>
      <c r="J1087" s="3">
        <v>21.6</v>
      </c>
      <c r="K1087" s="3">
        <v>9.81</v>
      </c>
      <c r="L1087">
        <v>54.58</v>
      </c>
    </row>
    <row r="1088" spans="1:12">
      <c r="A1088" s="1">
        <v>46029</v>
      </c>
      <c r="B1088" t="s">
        <v>11703</v>
      </c>
      <c r="C1088">
        <v>15</v>
      </c>
      <c r="D1088" t="str">
        <f>VLOOKUP(Tabela26[[#This Row],[EMP]],[1]LOJA!$A:$B,2,0)</f>
        <v>UNAÍ</v>
      </c>
      <c r="E1088">
        <v>183</v>
      </c>
      <c r="F1088" t="s">
        <v>5308</v>
      </c>
      <c r="G1088" t="s">
        <v>5307</v>
      </c>
      <c r="H1088" t="s">
        <v>3401</v>
      </c>
      <c r="I1088">
        <v>5102</v>
      </c>
      <c r="J1088" s="3">
        <v>34.4</v>
      </c>
      <c r="K1088" s="3">
        <v>20.95</v>
      </c>
      <c r="L1088">
        <v>39.1</v>
      </c>
    </row>
    <row r="1089" spans="1:12">
      <c r="A1089" s="1">
        <v>46029</v>
      </c>
      <c r="B1089" t="s">
        <v>11702</v>
      </c>
      <c r="C1089">
        <v>15</v>
      </c>
      <c r="D1089" t="str">
        <f>VLOOKUP(Tabela26[[#This Row],[EMP]],[1]LOJA!$A:$B,2,0)</f>
        <v>UNAÍ</v>
      </c>
      <c r="E1089">
        <v>183</v>
      </c>
      <c r="F1089" t="s">
        <v>4655</v>
      </c>
      <c r="G1089" t="s">
        <v>4654</v>
      </c>
      <c r="H1089" t="s">
        <v>3401</v>
      </c>
      <c r="I1089">
        <v>5102</v>
      </c>
      <c r="J1089" s="3">
        <v>11</v>
      </c>
      <c r="K1089" s="3">
        <v>6.56</v>
      </c>
      <c r="L1089">
        <v>40.36</v>
      </c>
    </row>
    <row r="1090" spans="1:12">
      <c r="A1090" s="1">
        <v>46029</v>
      </c>
      <c r="B1090" t="s">
        <v>11701</v>
      </c>
      <c r="C1090">
        <v>15</v>
      </c>
      <c r="D1090" t="str">
        <f>VLOOKUP(Tabela26[[#This Row],[EMP]],[1]LOJA!$A:$B,2,0)</f>
        <v>UNAÍ</v>
      </c>
      <c r="E1090">
        <v>183</v>
      </c>
      <c r="F1090" t="s">
        <v>5822</v>
      </c>
      <c r="G1090" t="s">
        <v>5821</v>
      </c>
      <c r="H1090" t="s">
        <v>3401</v>
      </c>
      <c r="I1090">
        <v>5102</v>
      </c>
      <c r="J1090" s="3">
        <v>156.30000000000001</v>
      </c>
      <c r="K1090" s="3">
        <v>80.41</v>
      </c>
      <c r="L1090">
        <v>48.55</v>
      </c>
    </row>
    <row r="1091" spans="1:12">
      <c r="A1091" s="1">
        <v>46029</v>
      </c>
      <c r="B1091" t="s">
        <v>11700</v>
      </c>
      <c r="C1091">
        <v>15</v>
      </c>
      <c r="D1091" t="str">
        <f>VLOOKUP(Tabela26[[#This Row],[EMP]],[1]LOJA!$A:$B,2,0)</f>
        <v>UNAÍ</v>
      </c>
      <c r="E1091">
        <v>183</v>
      </c>
      <c r="F1091" t="s">
        <v>5763</v>
      </c>
      <c r="G1091" t="s">
        <v>5762</v>
      </c>
      <c r="H1091" t="s">
        <v>3401</v>
      </c>
      <c r="I1091">
        <v>5102</v>
      </c>
      <c r="J1091" s="3">
        <v>52.5</v>
      </c>
      <c r="K1091" s="3">
        <v>29.05</v>
      </c>
      <c r="L1091">
        <v>44.67</v>
      </c>
    </row>
    <row r="1092" spans="1:12">
      <c r="A1092" s="1">
        <v>46029</v>
      </c>
      <c r="B1092" t="s">
        <v>11699</v>
      </c>
      <c r="C1092">
        <v>15</v>
      </c>
      <c r="D1092" t="str">
        <f>VLOOKUP(Tabela26[[#This Row],[EMP]],[1]LOJA!$A:$B,2,0)</f>
        <v>UNAÍ</v>
      </c>
      <c r="E1092">
        <v>183</v>
      </c>
      <c r="F1092" t="s">
        <v>5237</v>
      </c>
      <c r="G1092" t="s">
        <v>5236</v>
      </c>
      <c r="H1092" t="s">
        <v>3401</v>
      </c>
      <c r="I1092">
        <v>5102</v>
      </c>
      <c r="J1092" s="3">
        <v>43.75</v>
      </c>
      <c r="K1092" s="3">
        <v>23.21</v>
      </c>
      <c r="L1092">
        <v>46.95</v>
      </c>
    </row>
    <row r="1093" spans="1:12">
      <c r="A1093" s="1">
        <v>46029</v>
      </c>
      <c r="B1093" t="s">
        <v>11698</v>
      </c>
      <c r="C1093">
        <v>15</v>
      </c>
      <c r="D1093" t="str">
        <f>VLOOKUP(Tabela26[[#This Row],[EMP]],[1]LOJA!$A:$B,2,0)</f>
        <v>UNAÍ</v>
      </c>
      <c r="E1093">
        <v>183</v>
      </c>
      <c r="F1093" t="s">
        <v>4040</v>
      </c>
      <c r="G1093" t="s">
        <v>4039</v>
      </c>
      <c r="H1093" t="s">
        <v>3408</v>
      </c>
      <c r="I1093">
        <v>5102</v>
      </c>
      <c r="J1093" s="3">
        <v>20.25</v>
      </c>
      <c r="K1093" s="3">
        <v>11.35</v>
      </c>
      <c r="L1093">
        <v>43.95</v>
      </c>
    </row>
    <row r="1094" spans="1:12">
      <c r="A1094" s="1">
        <v>46029</v>
      </c>
      <c r="B1094" t="s">
        <v>11697</v>
      </c>
      <c r="C1094">
        <v>15</v>
      </c>
      <c r="D1094" t="str">
        <f>VLOOKUP(Tabela26[[#This Row],[EMP]],[1]LOJA!$A:$B,2,0)</f>
        <v>UNAÍ</v>
      </c>
      <c r="E1094">
        <v>183</v>
      </c>
      <c r="F1094" t="s">
        <v>5831</v>
      </c>
      <c r="G1094" t="s">
        <v>5830</v>
      </c>
      <c r="H1094" t="s">
        <v>3401</v>
      </c>
      <c r="I1094">
        <v>5102</v>
      </c>
      <c r="J1094" s="3">
        <v>28.6</v>
      </c>
      <c r="K1094" s="3">
        <v>16.8</v>
      </c>
      <c r="L1094">
        <v>41.26</v>
      </c>
    </row>
    <row r="1095" spans="1:12">
      <c r="A1095" s="1">
        <v>46029</v>
      </c>
      <c r="B1095" t="s">
        <v>11696</v>
      </c>
      <c r="C1095">
        <v>15</v>
      </c>
      <c r="D1095" t="str">
        <f>VLOOKUP(Tabela26[[#This Row],[EMP]],[1]LOJA!$A:$B,2,0)</f>
        <v>UNAÍ</v>
      </c>
      <c r="E1095">
        <v>183</v>
      </c>
      <c r="F1095" t="s">
        <v>7345</v>
      </c>
      <c r="G1095" t="s">
        <v>7344</v>
      </c>
      <c r="H1095" t="s">
        <v>3401</v>
      </c>
      <c r="I1095">
        <v>5102</v>
      </c>
      <c r="J1095" s="3">
        <v>114.7</v>
      </c>
      <c r="K1095" s="3">
        <v>62.28</v>
      </c>
      <c r="L1095">
        <v>45.7</v>
      </c>
    </row>
    <row r="1096" spans="1:12">
      <c r="A1096" s="1">
        <v>46029</v>
      </c>
      <c r="B1096" t="s">
        <v>11695</v>
      </c>
      <c r="C1096">
        <v>15</v>
      </c>
      <c r="D1096" t="str">
        <f>VLOOKUP(Tabela26[[#This Row],[EMP]],[1]LOJA!$A:$B,2,0)</f>
        <v>UNAÍ</v>
      </c>
      <c r="E1096">
        <v>183</v>
      </c>
      <c r="F1096" t="s">
        <v>5763</v>
      </c>
      <c r="G1096" t="s">
        <v>5762</v>
      </c>
      <c r="H1096" t="s">
        <v>3401</v>
      </c>
      <c r="I1096">
        <v>5405</v>
      </c>
      <c r="J1096" s="3">
        <v>76.95</v>
      </c>
      <c r="K1096" s="3">
        <v>36.31</v>
      </c>
      <c r="L1096">
        <v>52.81</v>
      </c>
    </row>
    <row r="1097" spans="1:12">
      <c r="A1097" s="1">
        <v>46029</v>
      </c>
      <c r="B1097" t="s">
        <v>11694</v>
      </c>
      <c r="C1097">
        <v>22</v>
      </c>
      <c r="D1097" t="str">
        <f>VLOOKUP(Tabela26[[#This Row],[EMP]],[1]LOJA!$A:$B,2,0)</f>
        <v>GUARÁ</v>
      </c>
      <c r="E1097">
        <v>93</v>
      </c>
      <c r="F1097" t="s">
        <v>3889</v>
      </c>
      <c r="G1097" t="s">
        <v>3888</v>
      </c>
      <c r="H1097" t="s">
        <v>6243</v>
      </c>
      <c r="I1097">
        <v>5405</v>
      </c>
      <c r="J1097" s="3">
        <v>54.32</v>
      </c>
      <c r="K1097" s="3">
        <v>28.22</v>
      </c>
      <c r="L1097">
        <v>48.05</v>
      </c>
    </row>
    <row r="1098" spans="1:12">
      <c r="A1098" s="1">
        <v>46029</v>
      </c>
      <c r="B1098" t="s">
        <v>11693</v>
      </c>
      <c r="C1098">
        <v>22</v>
      </c>
      <c r="D1098" t="str">
        <f>VLOOKUP(Tabela26[[#This Row],[EMP]],[1]LOJA!$A:$B,2,0)</f>
        <v>GUARÁ</v>
      </c>
      <c r="E1098">
        <v>93</v>
      </c>
      <c r="F1098" t="s">
        <v>3403</v>
      </c>
      <c r="G1098" t="s">
        <v>3402</v>
      </c>
      <c r="H1098" t="s">
        <v>3401</v>
      </c>
      <c r="I1098">
        <v>5405</v>
      </c>
      <c r="J1098" s="3">
        <v>42</v>
      </c>
      <c r="K1098" s="3">
        <v>20.71</v>
      </c>
      <c r="L1098">
        <v>50.69</v>
      </c>
    </row>
    <row r="1099" spans="1:12">
      <c r="A1099" s="1">
        <v>46029</v>
      </c>
      <c r="B1099" t="s">
        <v>11692</v>
      </c>
      <c r="C1099">
        <v>22</v>
      </c>
      <c r="D1099" t="str">
        <f>VLOOKUP(Tabela26[[#This Row],[EMP]],[1]LOJA!$A:$B,2,0)</f>
        <v>GUARÁ</v>
      </c>
      <c r="E1099">
        <v>93</v>
      </c>
      <c r="F1099" t="s">
        <v>11691</v>
      </c>
      <c r="G1099" t="s">
        <v>11690</v>
      </c>
      <c r="H1099" t="s">
        <v>3401</v>
      </c>
      <c r="I1099">
        <v>5405</v>
      </c>
      <c r="J1099" s="3">
        <v>135</v>
      </c>
      <c r="K1099" s="3">
        <v>73.489999999999995</v>
      </c>
      <c r="L1099">
        <v>45.56</v>
      </c>
    </row>
    <row r="1100" spans="1:12">
      <c r="A1100" s="1">
        <v>46029</v>
      </c>
      <c r="B1100" t="s">
        <v>11689</v>
      </c>
      <c r="C1100">
        <v>22</v>
      </c>
      <c r="D1100" t="str">
        <f>VLOOKUP(Tabela26[[#This Row],[EMP]],[1]LOJA!$A:$B,2,0)</f>
        <v>GUARÁ</v>
      </c>
      <c r="E1100">
        <v>16</v>
      </c>
      <c r="F1100" t="s">
        <v>3403</v>
      </c>
      <c r="G1100" t="s">
        <v>3402</v>
      </c>
      <c r="H1100" t="s">
        <v>3401</v>
      </c>
      <c r="I1100">
        <v>5102</v>
      </c>
      <c r="J1100" s="3">
        <v>37.799999999999997</v>
      </c>
      <c r="K1100" s="3">
        <v>21.7</v>
      </c>
      <c r="L1100">
        <v>42.59</v>
      </c>
    </row>
    <row r="1101" spans="1:12">
      <c r="A1101" s="1">
        <v>46029</v>
      </c>
      <c r="B1101" t="s">
        <v>11688</v>
      </c>
      <c r="C1101">
        <v>22</v>
      </c>
      <c r="D1101" t="str">
        <f>VLOOKUP(Tabela26[[#This Row],[EMP]],[1]LOJA!$A:$B,2,0)</f>
        <v>GUARÁ</v>
      </c>
      <c r="E1101">
        <v>16</v>
      </c>
      <c r="F1101" t="s">
        <v>3403</v>
      </c>
      <c r="G1101" t="s">
        <v>3402</v>
      </c>
      <c r="H1101" t="s">
        <v>3401</v>
      </c>
      <c r="I1101">
        <v>5102</v>
      </c>
      <c r="J1101" s="3">
        <v>12</v>
      </c>
      <c r="K1101" s="3">
        <v>6.81</v>
      </c>
      <c r="L1101">
        <v>43.25</v>
      </c>
    </row>
    <row r="1102" spans="1:12">
      <c r="A1102" s="1">
        <v>46029</v>
      </c>
      <c r="B1102" t="s">
        <v>11687</v>
      </c>
      <c r="C1102">
        <v>22</v>
      </c>
      <c r="D1102" t="str">
        <f>VLOOKUP(Tabela26[[#This Row],[EMP]],[1]LOJA!$A:$B,2,0)</f>
        <v>GUARÁ</v>
      </c>
      <c r="E1102">
        <v>16</v>
      </c>
      <c r="F1102" t="s">
        <v>3403</v>
      </c>
      <c r="G1102" t="s">
        <v>3402</v>
      </c>
      <c r="H1102" t="s">
        <v>3401</v>
      </c>
      <c r="I1102">
        <v>5405</v>
      </c>
      <c r="J1102" s="3">
        <v>50</v>
      </c>
      <c r="K1102" s="3">
        <v>24.43</v>
      </c>
      <c r="L1102">
        <v>51.14</v>
      </c>
    </row>
    <row r="1103" spans="1:12">
      <c r="A1103" s="1">
        <v>46029</v>
      </c>
      <c r="B1103" t="s">
        <v>11686</v>
      </c>
      <c r="C1103">
        <v>22</v>
      </c>
      <c r="D1103" t="str">
        <f>VLOOKUP(Tabela26[[#This Row],[EMP]],[1]LOJA!$A:$B,2,0)</f>
        <v>GUARÁ</v>
      </c>
      <c r="E1103">
        <v>93</v>
      </c>
      <c r="F1103" t="s">
        <v>3403</v>
      </c>
      <c r="G1103" t="s">
        <v>3402</v>
      </c>
      <c r="H1103" t="s">
        <v>3401</v>
      </c>
      <c r="I1103">
        <v>5102</v>
      </c>
      <c r="J1103" s="3">
        <v>15</v>
      </c>
      <c r="K1103" s="3">
        <v>9.26</v>
      </c>
      <c r="L1103">
        <v>38.270000000000003</v>
      </c>
    </row>
    <row r="1104" spans="1:12">
      <c r="A1104" s="1">
        <v>46029</v>
      </c>
      <c r="B1104" t="s">
        <v>11685</v>
      </c>
      <c r="C1104">
        <v>22</v>
      </c>
      <c r="D1104" t="str">
        <f>VLOOKUP(Tabela26[[#This Row],[EMP]],[1]LOJA!$A:$B,2,0)</f>
        <v>GUARÁ</v>
      </c>
      <c r="E1104">
        <v>93</v>
      </c>
      <c r="F1104" t="s">
        <v>11684</v>
      </c>
      <c r="G1104" t="s">
        <v>11683</v>
      </c>
      <c r="H1104" t="s">
        <v>3401</v>
      </c>
      <c r="I1104">
        <v>5102</v>
      </c>
      <c r="J1104" s="3">
        <v>85</v>
      </c>
      <c r="K1104" s="3">
        <v>45.19</v>
      </c>
      <c r="L1104">
        <v>46.84</v>
      </c>
    </row>
    <row r="1105" spans="1:12">
      <c r="A1105" s="1">
        <v>46029</v>
      </c>
      <c r="B1105" t="s">
        <v>11682</v>
      </c>
      <c r="C1105">
        <v>22</v>
      </c>
      <c r="D1105" t="str">
        <f>VLOOKUP(Tabela26[[#This Row],[EMP]],[1]LOJA!$A:$B,2,0)</f>
        <v>GUARÁ</v>
      </c>
      <c r="E1105">
        <v>16</v>
      </c>
      <c r="F1105" t="s">
        <v>3403</v>
      </c>
      <c r="G1105" t="s">
        <v>3402</v>
      </c>
      <c r="H1105" t="s">
        <v>3401</v>
      </c>
      <c r="I1105">
        <v>5405</v>
      </c>
      <c r="J1105" s="3">
        <v>35</v>
      </c>
      <c r="K1105" s="3">
        <v>14.59</v>
      </c>
      <c r="L1105">
        <v>58.31</v>
      </c>
    </row>
    <row r="1106" spans="1:12">
      <c r="A1106" s="1">
        <v>46029</v>
      </c>
      <c r="B1106" t="s">
        <v>11681</v>
      </c>
      <c r="C1106">
        <v>22</v>
      </c>
      <c r="D1106" t="str">
        <f>VLOOKUP(Tabela26[[#This Row],[EMP]],[1]LOJA!$A:$B,2,0)</f>
        <v>GUARÁ</v>
      </c>
      <c r="E1106">
        <v>93</v>
      </c>
      <c r="F1106" t="s">
        <v>3449</v>
      </c>
      <c r="G1106" t="s">
        <v>3448</v>
      </c>
      <c r="H1106" t="s">
        <v>3401</v>
      </c>
      <c r="I1106">
        <v>5405</v>
      </c>
      <c r="J1106" s="3">
        <v>260</v>
      </c>
      <c r="K1106" s="3">
        <v>155.87</v>
      </c>
      <c r="L1106">
        <v>40.049999999999997</v>
      </c>
    </row>
    <row r="1107" spans="1:12">
      <c r="A1107" s="1">
        <v>46029</v>
      </c>
      <c r="B1107" t="s">
        <v>11680</v>
      </c>
      <c r="C1107">
        <v>22</v>
      </c>
      <c r="D1107" t="str">
        <f>VLOOKUP(Tabela26[[#This Row],[EMP]],[1]LOJA!$A:$B,2,0)</f>
        <v>GUARÁ</v>
      </c>
      <c r="E1107">
        <v>93</v>
      </c>
      <c r="F1107" t="s">
        <v>5200</v>
      </c>
      <c r="G1107" t="s">
        <v>5199</v>
      </c>
      <c r="H1107" t="s">
        <v>3408</v>
      </c>
      <c r="I1107">
        <v>5102</v>
      </c>
      <c r="J1107" s="3">
        <v>125</v>
      </c>
      <c r="K1107" s="3">
        <v>65.75</v>
      </c>
      <c r="L1107">
        <v>47.4</v>
      </c>
    </row>
    <row r="1108" spans="1:12">
      <c r="A1108" s="1">
        <v>46029</v>
      </c>
      <c r="B1108" t="s">
        <v>11679</v>
      </c>
      <c r="C1108">
        <v>22</v>
      </c>
      <c r="D1108" t="str">
        <f>VLOOKUP(Tabela26[[#This Row],[EMP]],[1]LOJA!$A:$B,2,0)</f>
        <v>GUARÁ</v>
      </c>
      <c r="E1108">
        <v>93</v>
      </c>
      <c r="F1108" t="s">
        <v>5200</v>
      </c>
      <c r="G1108" t="s">
        <v>5199</v>
      </c>
      <c r="H1108" t="s">
        <v>3408</v>
      </c>
      <c r="I1108">
        <v>5405</v>
      </c>
      <c r="J1108" s="3">
        <v>55</v>
      </c>
      <c r="K1108" s="3">
        <v>25.77</v>
      </c>
      <c r="L1108">
        <v>53.15</v>
      </c>
    </row>
    <row r="1109" spans="1:12">
      <c r="A1109" s="1">
        <v>46029</v>
      </c>
      <c r="B1109" t="s">
        <v>11678</v>
      </c>
      <c r="C1109">
        <v>22</v>
      </c>
      <c r="D1109" t="str">
        <f>VLOOKUP(Tabela26[[#This Row],[EMP]],[1]LOJA!$A:$B,2,0)</f>
        <v>GUARÁ</v>
      </c>
      <c r="E1109">
        <v>16</v>
      </c>
      <c r="F1109" t="s">
        <v>3403</v>
      </c>
      <c r="G1109" t="s">
        <v>3402</v>
      </c>
      <c r="H1109" t="s">
        <v>3401</v>
      </c>
      <c r="I1109">
        <v>5102</v>
      </c>
      <c r="J1109" s="3">
        <v>80.91</v>
      </c>
      <c r="K1109" s="3">
        <v>42.26</v>
      </c>
      <c r="L1109">
        <v>47.77</v>
      </c>
    </row>
    <row r="1110" spans="1:12">
      <c r="A1110" s="1">
        <v>46029</v>
      </c>
      <c r="B1110" t="s">
        <v>11677</v>
      </c>
      <c r="C1110">
        <v>22</v>
      </c>
      <c r="D1110" t="str">
        <f>VLOOKUP(Tabela26[[#This Row],[EMP]],[1]LOJA!$A:$B,2,0)</f>
        <v>GUARÁ</v>
      </c>
      <c r="E1110">
        <v>93</v>
      </c>
      <c r="F1110" t="s">
        <v>3403</v>
      </c>
      <c r="G1110" t="s">
        <v>3402</v>
      </c>
      <c r="H1110" t="s">
        <v>3401</v>
      </c>
      <c r="I1110">
        <v>5102</v>
      </c>
      <c r="J1110" s="3">
        <v>7.5</v>
      </c>
      <c r="K1110" s="3">
        <v>3.91</v>
      </c>
      <c r="L1110">
        <v>47.87</v>
      </c>
    </row>
    <row r="1111" spans="1:12">
      <c r="A1111" s="1">
        <v>46029</v>
      </c>
      <c r="B1111" t="s">
        <v>11676</v>
      </c>
      <c r="C1111">
        <v>22</v>
      </c>
      <c r="D1111" t="str">
        <f>VLOOKUP(Tabela26[[#This Row],[EMP]],[1]LOJA!$A:$B,2,0)</f>
        <v>GUARÁ</v>
      </c>
      <c r="E1111">
        <v>93</v>
      </c>
      <c r="F1111" t="s">
        <v>3403</v>
      </c>
      <c r="G1111" t="s">
        <v>3402</v>
      </c>
      <c r="H1111" t="s">
        <v>3401</v>
      </c>
      <c r="I1111">
        <v>5102</v>
      </c>
      <c r="J1111" s="3">
        <v>10.5</v>
      </c>
      <c r="K1111" s="3">
        <v>4.74</v>
      </c>
      <c r="L1111">
        <v>54.86</v>
      </c>
    </row>
    <row r="1112" spans="1:12">
      <c r="A1112" s="1">
        <v>46029</v>
      </c>
      <c r="B1112" t="s">
        <v>11675</v>
      </c>
      <c r="C1112">
        <v>22</v>
      </c>
      <c r="D1112" t="str">
        <f>VLOOKUP(Tabela26[[#This Row],[EMP]],[1]LOJA!$A:$B,2,0)</f>
        <v>GUARÁ</v>
      </c>
      <c r="E1112">
        <v>93</v>
      </c>
      <c r="F1112" t="s">
        <v>3403</v>
      </c>
      <c r="G1112" t="s">
        <v>3402</v>
      </c>
      <c r="H1112" t="s">
        <v>3401</v>
      </c>
      <c r="I1112">
        <v>5102</v>
      </c>
      <c r="J1112" s="3">
        <v>16.5</v>
      </c>
      <c r="K1112" s="3">
        <v>9.26</v>
      </c>
      <c r="L1112">
        <v>43.88</v>
      </c>
    </row>
    <row r="1113" spans="1:12">
      <c r="A1113" s="1">
        <v>46029</v>
      </c>
      <c r="B1113" t="s">
        <v>11674</v>
      </c>
      <c r="C1113">
        <v>22</v>
      </c>
      <c r="D1113" t="str">
        <f>VLOOKUP(Tabela26[[#This Row],[EMP]],[1]LOJA!$A:$B,2,0)</f>
        <v>GUARÁ</v>
      </c>
      <c r="E1113">
        <v>93</v>
      </c>
      <c r="F1113" t="s">
        <v>3403</v>
      </c>
      <c r="G1113" t="s">
        <v>3402</v>
      </c>
      <c r="H1113" t="s">
        <v>3401</v>
      </c>
      <c r="I1113">
        <v>5102</v>
      </c>
      <c r="J1113" s="3">
        <v>67</v>
      </c>
      <c r="K1113" s="3">
        <v>36.479999999999997</v>
      </c>
      <c r="L1113">
        <v>45.55</v>
      </c>
    </row>
    <row r="1114" spans="1:12">
      <c r="A1114" s="1">
        <v>46029</v>
      </c>
      <c r="B1114" t="s">
        <v>11673</v>
      </c>
      <c r="C1114">
        <v>22</v>
      </c>
      <c r="D1114" t="str">
        <f>VLOOKUP(Tabela26[[#This Row],[EMP]],[1]LOJA!$A:$B,2,0)</f>
        <v>GUARÁ</v>
      </c>
      <c r="E1114">
        <v>93</v>
      </c>
      <c r="F1114" t="s">
        <v>5203</v>
      </c>
      <c r="G1114" t="s">
        <v>5202</v>
      </c>
      <c r="H1114" t="s">
        <v>3401</v>
      </c>
      <c r="I1114">
        <v>5102</v>
      </c>
      <c r="J1114" s="3">
        <v>65</v>
      </c>
      <c r="K1114" s="3">
        <v>40.6</v>
      </c>
      <c r="L1114">
        <v>37.54</v>
      </c>
    </row>
    <row r="1115" spans="1:12">
      <c r="A1115" s="1">
        <v>46029</v>
      </c>
      <c r="B1115" t="s">
        <v>11672</v>
      </c>
      <c r="C1115">
        <v>22</v>
      </c>
      <c r="D1115" t="str">
        <f>VLOOKUP(Tabela26[[#This Row],[EMP]],[1]LOJA!$A:$B,2,0)</f>
        <v>GUARÁ</v>
      </c>
      <c r="E1115">
        <v>93</v>
      </c>
      <c r="F1115" t="s">
        <v>3403</v>
      </c>
      <c r="G1115" t="s">
        <v>3402</v>
      </c>
      <c r="H1115" t="s">
        <v>3401</v>
      </c>
      <c r="I1115">
        <v>5405</v>
      </c>
      <c r="J1115" s="3">
        <v>117</v>
      </c>
      <c r="K1115" s="3">
        <v>55.47</v>
      </c>
      <c r="L1115">
        <v>52.59</v>
      </c>
    </row>
    <row r="1116" spans="1:12">
      <c r="A1116" s="1">
        <v>46029</v>
      </c>
      <c r="B1116" t="s">
        <v>11671</v>
      </c>
      <c r="C1116">
        <v>22</v>
      </c>
      <c r="D1116" t="str">
        <f>VLOOKUP(Tabela26[[#This Row],[EMP]],[1]LOJA!$A:$B,2,0)</f>
        <v>GUARÁ</v>
      </c>
      <c r="E1116">
        <v>93</v>
      </c>
      <c r="F1116" t="s">
        <v>7276</v>
      </c>
      <c r="G1116" t="s">
        <v>3402</v>
      </c>
      <c r="H1116" t="s">
        <v>3401</v>
      </c>
      <c r="I1116">
        <v>5405</v>
      </c>
      <c r="J1116" s="3">
        <v>110</v>
      </c>
      <c r="K1116" s="3">
        <v>47.89</v>
      </c>
      <c r="L1116">
        <v>56.46</v>
      </c>
    </row>
    <row r="1117" spans="1:12">
      <c r="A1117" s="1">
        <v>46029</v>
      </c>
      <c r="B1117" t="s">
        <v>11670</v>
      </c>
      <c r="C1117">
        <v>22</v>
      </c>
      <c r="D1117" t="str">
        <f>VLOOKUP(Tabela26[[#This Row],[EMP]],[1]LOJA!$A:$B,2,0)</f>
        <v>GUARÁ</v>
      </c>
      <c r="E1117">
        <v>93</v>
      </c>
      <c r="F1117" t="s">
        <v>3452</v>
      </c>
      <c r="G1117" t="s">
        <v>3451</v>
      </c>
      <c r="H1117" t="s">
        <v>3408</v>
      </c>
      <c r="I1117">
        <v>5405</v>
      </c>
      <c r="J1117" s="3">
        <v>86</v>
      </c>
      <c r="K1117" s="3">
        <v>40.200000000000003</v>
      </c>
      <c r="L1117">
        <v>53.26</v>
      </c>
    </row>
    <row r="1118" spans="1:12">
      <c r="A1118" s="1">
        <v>46029</v>
      </c>
      <c r="B1118" t="s">
        <v>11669</v>
      </c>
      <c r="C1118">
        <v>22</v>
      </c>
      <c r="D1118" t="str">
        <f>VLOOKUP(Tabela26[[#This Row],[EMP]],[1]LOJA!$A:$B,2,0)</f>
        <v>GUARÁ</v>
      </c>
      <c r="E1118">
        <v>16</v>
      </c>
      <c r="F1118" t="s">
        <v>3403</v>
      </c>
      <c r="G1118" t="s">
        <v>3402</v>
      </c>
      <c r="H1118" t="s">
        <v>3401</v>
      </c>
      <c r="I1118">
        <v>5102</v>
      </c>
      <c r="J1118" s="3">
        <v>17</v>
      </c>
      <c r="K1118" s="3">
        <v>9.17</v>
      </c>
      <c r="L1118">
        <v>46.06</v>
      </c>
    </row>
    <row r="1119" spans="1:12">
      <c r="A1119" s="1">
        <v>46029</v>
      </c>
      <c r="B1119" t="s">
        <v>11668</v>
      </c>
      <c r="C1119">
        <v>22</v>
      </c>
      <c r="D1119" t="str">
        <f>VLOOKUP(Tabela26[[#This Row],[EMP]],[1]LOJA!$A:$B,2,0)</f>
        <v>GUARÁ</v>
      </c>
      <c r="E1119">
        <v>93</v>
      </c>
      <c r="F1119" t="s">
        <v>10404</v>
      </c>
      <c r="G1119" t="s">
        <v>3402</v>
      </c>
      <c r="H1119" t="s">
        <v>3408</v>
      </c>
      <c r="I1119">
        <v>5405</v>
      </c>
      <c r="J1119" s="3">
        <v>320</v>
      </c>
      <c r="K1119" s="3">
        <v>179.62</v>
      </c>
      <c r="L1119">
        <v>43.87</v>
      </c>
    </row>
    <row r="1120" spans="1:12">
      <c r="A1120" s="1">
        <v>46029</v>
      </c>
      <c r="B1120" t="s">
        <v>11667</v>
      </c>
      <c r="C1120">
        <v>22</v>
      </c>
      <c r="D1120" t="str">
        <f>VLOOKUP(Tabela26[[#This Row],[EMP]],[1]LOJA!$A:$B,2,0)</f>
        <v>GUARÁ</v>
      </c>
      <c r="E1120">
        <v>93</v>
      </c>
      <c r="F1120" t="s">
        <v>4593</v>
      </c>
      <c r="G1120" t="s">
        <v>4592</v>
      </c>
      <c r="H1120" t="s">
        <v>3401</v>
      </c>
      <c r="I1120">
        <v>5405</v>
      </c>
      <c r="J1120" s="3">
        <v>76</v>
      </c>
      <c r="K1120" s="3">
        <v>38.71</v>
      </c>
      <c r="L1120">
        <v>49.07</v>
      </c>
    </row>
    <row r="1121" spans="1:12">
      <c r="A1121" s="1">
        <v>46029</v>
      </c>
      <c r="B1121" t="s">
        <v>11666</v>
      </c>
      <c r="C1121">
        <v>22</v>
      </c>
      <c r="D1121" t="str">
        <f>VLOOKUP(Tabela26[[#This Row],[EMP]],[1]LOJA!$A:$B,2,0)</f>
        <v>GUARÁ</v>
      </c>
      <c r="E1121">
        <v>93</v>
      </c>
      <c r="F1121" t="s">
        <v>3983</v>
      </c>
      <c r="G1121" t="s">
        <v>3982</v>
      </c>
      <c r="H1121" t="s">
        <v>3408</v>
      </c>
      <c r="I1121">
        <v>5405</v>
      </c>
      <c r="J1121" s="3">
        <v>160</v>
      </c>
      <c r="K1121" s="3">
        <v>91.43</v>
      </c>
      <c r="L1121">
        <v>42.86</v>
      </c>
    </row>
    <row r="1122" spans="1:12">
      <c r="A1122" s="1">
        <v>46029</v>
      </c>
      <c r="B1122" t="s">
        <v>11665</v>
      </c>
      <c r="C1122">
        <v>22</v>
      </c>
      <c r="D1122" t="str">
        <f>VLOOKUP(Tabela26[[#This Row],[EMP]],[1]LOJA!$A:$B,2,0)</f>
        <v>GUARÁ</v>
      </c>
      <c r="E1122">
        <v>93</v>
      </c>
      <c r="F1122" t="s">
        <v>3403</v>
      </c>
      <c r="G1122" t="s">
        <v>3402</v>
      </c>
      <c r="H1122" t="s">
        <v>3401</v>
      </c>
      <c r="I1122">
        <v>5102</v>
      </c>
      <c r="J1122" s="3">
        <v>10</v>
      </c>
      <c r="K1122" s="3">
        <v>6.56</v>
      </c>
      <c r="L1122">
        <v>34.4</v>
      </c>
    </row>
    <row r="1123" spans="1:12">
      <c r="A1123" s="1">
        <v>46029</v>
      </c>
      <c r="B1123" t="s">
        <v>11664</v>
      </c>
      <c r="C1123">
        <v>22</v>
      </c>
      <c r="D1123" t="str">
        <f>VLOOKUP(Tabela26[[#This Row],[EMP]],[1]LOJA!$A:$B,2,0)</f>
        <v>GUARÁ</v>
      </c>
      <c r="E1123">
        <v>93</v>
      </c>
      <c r="F1123" t="s">
        <v>3403</v>
      </c>
      <c r="G1123" t="s">
        <v>3402</v>
      </c>
      <c r="H1123" t="s">
        <v>3401</v>
      </c>
      <c r="I1123">
        <v>5102</v>
      </c>
      <c r="J1123" s="3">
        <v>2</v>
      </c>
      <c r="K1123" s="3">
        <v>0.72</v>
      </c>
      <c r="L1123">
        <v>64</v>
      </c>
    </row>
    <row r="1124" spans="1:12">
      <c r="A1124" s="1">
        <v>46029</v>
      </c>
      <c r="B1124" t="s">
        <v>11663</v>
      </c>
      <c r="C1124">
        <v>22</v>
      </c>
      <c r="D1124" t="str">
        <f>VLOOKUP(Tabela26[[#This Row],[EMP]],[1]LOJA!$A:$B,2,0)</f>
        <v>GUARÁ</v>
      </c>
      <c r="E1124">
        <v>93</v>
      </c>
      <c r="F1124" t="s">
        <v>4600</v>
      </c>
      <c r="G1124" t="s">
        <v>4599</v>
      </c>
      <c r="H1124" t="s">
        <v>3401</v>
      </c>
      <c r="I1124">
        <v>5102</v>
      </c>
      <c r="J1124" s="3">
        <v>22</v>
      </c>
      <c r="K1124" s="3">
        <v>12.45</v>
      </c>
      <c r="L1124">
        <v>43.41</v>
      </c>
    </row>
    <row r="1125" spans="1:12">
      <c r="A1125" s="1">
        <v>46029</v>
      </c>
      <c r="B1125" t="s">
        <v>11662</v>
      </c>
      <c r="C1125">
        <v>22</v>
      </c>
      <c r="D1125" t="str">
        <f>VLOOKUP(Tabela26[[#This Row],[EMP]],[1]LOJA!$A:$B,2,0)</f>
        <v>GUARÁ</v>
      </c>
      <c r="E1125">
        <v>93</v>
      </c>
      <c r="F1125" t="s">
        <v>3403</v>
      </c>
      <c r="G1125" t="s">
        <v>3402</v>
      </c>
      <c r="H1125" t="s">
        <v>3401</v>
      </c>
      <c r="I1125">
        <v>5405</v>
      </c>
      <c r="J1125" s="3">
        <v>27</v>
      </c>
      <c r="K1125" s="3">
        <v>12.04</v>
      </c>
      <c r="L1125">
        <v>55.41</v>
      </c>
    </row>
    <row r="1126" spans="1:12">
      <c r="A1126" s="1">
        <v>46029</v>
      </c>
      <c r="B1126" t="s">
        <v>11661</v>
      </c>
      <c r="C1126">
        <v>22</v>
      </c>
      <c r="D1126" t="str">
        <f>VLOOKUP(Tabela26[[#This Row],[EMP]],[1]LOJA!$A:$B,2,0)</f>
        <v>GUARÁ</v>
      </c>
      <c r="E1126">
        <v>93</v>
      </c>
      <c r="F1126" t="s">
        <v>3403</v>
      </c>
      <c r="G1126" t="s">
        <v>3402</v>
      </c>
      <c r="H1126" t="s">
        <v>3401</v>
      </c>
      <c r="I1126">
        <v>5102</v>
      </c>
      <c r="J1126" s="3">
        <v>45</v>
      </c>
      <c r="K1126" s="3">
        <v>28.11</v>
      </c>
      <c r="L1126">
        <v>37.53</v>
      </c>
    </row>
    <row r="1127" spans="1:12">
      <c r="A1127" s="1">
        <v>46029</v>
      </c>
      <c r="B1127" t="s">
        <v>11660</v>
      </c>
      <c r="C1127">
        <v>22</v>
      </c>
      <c r="D1127" t="str">
        <f>VLOOKUP(Tabela26[[#This Row],[EMP]],[1]LOJA!$A:$B,2,0)</f>
        <v>GUARÁ</v>
      </c>
      <c r="E1127">
        <v>93</v>
      </c>
      <c r="F1127" t="s">
        <v>11659</v>
      </c>
      <c r="G1127" t="s">
        <v>11658</v>
      </c>
      <c r="H1127" t="s">
        <v>3401</v>
      </c>
      <c r="I1127">
        <v>5102</v>
      </c>
      <c r="J1127" s="3">
        <v>21.5</v>
      </c>
      <c r="K1127" s="3">
        <v>11.63</v>
      </c>
      <c r="L1127">
        <v>45.91</v>
      </c>
    </row>
    <row r="1128" spans="1:12">
      <c r="A1128" s="1">
        <v>46029</v>
      </c>
      <c r="B1128" t="s">
        <v>11657</v>
      </c>
      <c r="C1128">
        <v>22</v>
      </c>
      <c r="D1128" t="str">
        <f>VLOOKUP(Tabela26[[#This Row],[EMP]],[1]LOJA!$A:$B,2,0)</f>
        <v>GUARÁ</v>
      </c>
      <c r="E1128">
        <v>93</v>
      </c>
      <c r="F1128" t="s">
        <v>3403</v>
      </c>
      <c r="G1128" t="s">
        <v>3402</v>
      </c>
      <c r="H1128" t="s">
        <v>3401</v>
      </c>
      <c r="I1128">
        <v>5102</v>
      </c>
      <c r="J1128" s="3">
        <v>9</v>
      </c>
      <c r="K1128" s="3">
        <v>4.16</v>
      </c>
      <c r="L1128">
        <v>53.78</v>
      </c>
    </row>
    <row r="1129" spans="1:12">
      <c r="A1129" s="1">
        <v>46029</v>
      </c>
      <c r="B1129" t="s">
        <v>11656</v>
      </c>
      <c r="C1129">
        <v>22</v>
      </c>
      <c r="D1129" t="str">
        <f>VLOOKUP(Tabela26[[#This Row],[EMP]],[1]LOJA!$A:$B,2,0)</f>
        <v>GUARÁ</v>
      </c>
      <c r="E1129">
        <v>93</v>
      </c>
      <c r="F1129" t="s">
        <v>3403</v>
      </c>
      <c r="G1129" t="s">
        <v>3402</v>
      </c>
      <c r="H1129" t="s">
        <v>3401</v>
      </c>
      <c r="I1129">
        <v>5102</v>
      </c>
      <c r="J1129" s="3">
        <v>84</v>
      </c>
      <c r="K1129" s="3">
        <v>44.74</v>
      </c>
      <c r="L1129">
        <v>46.74</v>
      </c>
    </row>
    <row r="1130" spans="1:12">
      <c r="A1130" s="1">
        <v>46029</v>
      </c>
      <c r="B1130" t="s">
        <v>11655</v>
      </c>
      <c r="C1130">
        <v>22</v>
      </c>
      <c r="D1130" t="str">
        <f>VLOOKUP(Tabela26[[#This Row],[EMP]],[1]LOJA!$A:$B,2,0)</f>
        <v>GUARÁ</v>
      </c>
      <c r="E1130">
        <v>93</v>
      </c>
      <c r="F1130" t="s">
        <v>3403</v>
      </c>
      <c r="G1130" t="s">
        <v>3402</v>
      </c>
      <c r="H1130" t="s">
        <v>3401</v>
      </c>
      <c r="I1130">
        <v>5102</v>
      </c>
      <c r="J1130" s="3">
        <v>6.5</v>
      </c>
      <c r="K1130" s="3">
        <v>3.81</v>
      </c>
      <c r="L1130">
        <v>41.38</v>
      </c>
    </row>
    <row r="1131" spans="1:12">
      <c r="A1131" s="1">
        <v>46029</v>
      </c>
      <c r="B1131" t="s">
        <v>11654</v>
      </c>
      <c r="C1131">
        <v>22</v>
      </c>
      <c r="D1131" t="str">
        <f>VLOOKUP(Tabela26[[#This Row],[EMP]],[1]LOJA!$A:$B,2,0)</f>
        <v>GUARÁ</v>
      </c>
      <c r="E1131">
        <v>93</v>
      </c>
      <c r="F1131" t="s">
        <v>6365</v>
      </c>
      <c r="G1131" t="s">
        <v>6364</v>
      </c>
      <c r="H1131" t="s">
        <v>3408</v>
      </c>
      <c r="I1131">
        <v>5102</v>
      </c>
      <c r="J1131" s="3">
        <v>24</v>
      </c>
      <c r="K1131" s="3">
        <v>13.9</v>
      </c>
      <c r="L1131">
        <v>42.08</v>
      </c>
    </row>
    <row r="1132" spans="1:12">
      <c r="A1132" s="1">
        <v>46029</v>
      </c>
      <c r="B1132" t="s">
        <v>11653</v>
      </c>
      <c r="C1132">
        <v>22</v>
      </c>
      <c r="D1132" t="str">
        <f>VLOOKUP(Tabela26[[#This Row],[EMP]],[1]LOJA!$A:$B,2,0)</f>
        <v>GUARÁ</v>
      </c>
      <c r="E1132">
        <v>93</v>
      </c>
      <c r="F1132" t="s">
        <v>3866</v>
      </c>
      <c r="G1132" t="s">
        <v>3865</v>
      </c>
      <c r="H1132" t="s">
        <v>3401</v>
      </c>
      <c r="I1132">
        <v>5405</v>
      </c>
      <c r="J1132" s="3">
        <v>135.91</v>
      </c>
      <c r="K1132" s="3">
        <v>62.61</v>
      </c>
      <c r="L1132">
        <v>53.93</v>
      </c>
    </row>
    <row r="1133" spans="1:12">
      <c r="A1133" s="1">
        <v>46029</v>
      </c>
      <c r="B1133" t="s">
        <v>11652</v>
      </c>
      <c r="C1133">
        <v>12</v>
      </c>
      <c r="D1133" t="str">
        <f>VLOOKUP(Tabela26[[#This Row],[EMP]],[1]LOJA!$A:$B,2,0)</f>
        <v>SOFNORTE</v>
      </c>
      <c r="E1133">
        <v>60</v>
      </c>
      <c r="F1133" t="s">
        <v>7303</v>
      </c>
      <c r="G1133" t="s">
        <v>7302</v>
      </c>
      <c r="H1133" t="s">
        <v>3430</v>
      </c>
      <c r="I1133">
        <v>5405</v>
      </c>
      <c r="J1133" s="3">
        <v>48</v>
      </c>
      <c r="K1133" s="3">
        <v>20.43</v>
      </c>
      <c r="L1133">
        <v>57.44</v>
      </c>
    </row>
    <row r="1134" spans="1:12">
      <c r="A1134" s="1">
        <v>46029</v>
      </c>
      <c r="B1134" t="s">
        <v>11651</v>
      </c>
      <c r="C1134">
        <v>12</v>
      </c>
      <c r="D1134" t="str">
        <f>VLOOKUP(Tabela26[[#This Row],[EMP]],[1]LOJA!$A:$B,2,0)</f>
        <v>SOFNORTE</v>
      </c>
      <c r="E1134">
        <v>60</v>
      </c>
      <c r="F1134" t="s">
        <v>3948</v>
      </c>
      <c r="G1134" t="s">
        <v>3947</v>
      </c>
      <c r="H1134" t="s">
        <v>3430</v>
      </c>
      <c r="I1134">
        <v>5405</v>
      </c>
      <c r="J1134" s="3">
        <v>133.02000000000001</v>
      </c>
      <c r="K1134" s="3">
        <v>67.510000000000005</v>
      </c>
      <c r="L1134">
        <v>49.25</v>
      </c>
    </row>
    <row r="1135" spans="1:12">
      <c r="A1135" s="1">
        <v>46029</v>
      </c>
      <c r="B1135" t="s">
        <v>11650</v>
      </c>
      <c r="C1135">
        <v>12</v>
      </c>
      <c r="D1135" t="str">
        <f>VLOOKUP(Tabela26[[#This Row],[EMP]],[1]LOJA!$A:$B,2,0)</f>
        <v>SOFNORTE</v>
      </c>
      <c r="E1135">
        <v>60</v>
      </c>
      <c r="F1135" t="s">
        <v>5057</v>
      </c>
      <c r="G1135" t="s">
        <v>5056</v>
      </c>
      <c r="H1135" t="s">
        <v>3430</v>
      </c>
      <c r="I1135">
        <v>5102</v>
      </c>
      <c r="J1135" s="3">
        <v>95.61</v>
      </c>
      <c r="K1135" s="3">
        <v>45.19</v>
      </c>
      <c r="L1135">
        <v>52.74</v>
      </c>
    </row>
    <row r="1136" spans="1:12">
      <c r="A1136" s="1">
        <v>46029</v>
      </c>
      <c r="B1136" t="s">
        <v>11649</v>
      </c>
      <c r="C1136">
        <v>12</v>
      </c>
      <c r="D1136" t="str">
        <f>VLOOKUP(Tabela26[[#This Row],[EMP]],[1]LOJA!$A:$B,2,0)</f>
        <v>SOFNORTE</v>
      </c>
      <c r="E1136">
        <v>60</v>
      </c>
      <c r="F1136" t="s">
        <v>3461</v>
      </c>
      <c r="G1136" t="s">
        <v>3460</v>
      </c>
      <c r="H1136" t="s">
        <v>3430</v>
      </c>
      <c r="I1136">
        <v>5405</v>
      </c>
      <c r="J1136" s="3">
        <v>86.85</v>
      </c>
      <c r="K1136" s="3">
        <v>42.16</v>
      </c>
      <c r="L1136">
        <v>51.46</v>
      </c>
    </row>
    <row r="1137" spans="1:12">
      <c r="A1137" s="1">
        <v>46029</v>
      </c>
      <c r="B1137" t="s">
        <v>11648</v>
      </c>
      <c r="C1137">
        <v>12</v>
      </c>
      <c r="D1137" t="str">
        <f>VLOOKUP(Tabela26[[#This Row],[EMP]],[1]LOJA!$A:$B,2,0)</f>
        <v>SOFNORTE</v>
      </c>
      <c r="E1137">
        <v>60</v>
      </c>
      <c r="F1137" t="s">
        <v>3458</v>
      </c>
      <c r="G1137" t="s">
        <v>3457</v>
      </c>
      <c r="H1137" t="s">
        <v>3430</v>
      </c>
      <c r="I1137">
        <v>5405</v>
      </c>
      <c r="J1137" s="3">
        <v>1376</v>
      </c>
      <c r="K1137" s="3">
        <v>659.97</v>
      </c>
      <c r="L1137">
        <v>52.04</v>
      </c>
    </row>
    <row r="1138" spans="1:12">
      <c r="A1138" s="1">
        <v>46029</v>
      </c>
      <c r="B1138" t="s">
        <v>11647</v>
      </c>
      <c r="C1138">
        <v>12</v>
      </c>
      <c r="D1138" t="str">
        <f>VLOOKUP(Tabela26[[#This Row],[EMP]],[1]LOJA!$A:$B,2,0)</f>
        <v>SOFNORTE</v>
      </c>
      <c r="E1138">
        <v>60</v>
      </c>
      <c r="F1138" t="s">
        <v>3461</v>
      </c>
      <c r="G1138" t="s">
        <v>3460</v>
      </c>
      <c r="H1138" t="s">
        <v>3430</v>
      </c>
      <c r="I1138">
        <v>5405</v>
      </c>
      <c r="J1138" s="3">
        <v>85.79</v>
      </c>
      <c r="K1138" s="3">
        <v>42.22</v>
      </c>
      <c r="L1138">
        <v>50.79</v>
      </c>
    </row>
    <row r="1139" spans="1:12">
      <c r="A1139" s="1">
        <v>46029</v>
      </c>
      <c r="B1139" t="s">
        <v>11646</v>
      </c>
      <c r="C1139">
        <v>12</v>
      </c>
      <c r="D1139" t="str">
        <f>VLOOKUP(Tabela26[[#This Row],[EMP]],[1]LOJA!$A:$B,2,0)</f>
        <v>SOFNORTE</v>
      </c>
      <c r="E1139">
        <v>60</v>
      </c>
      <c r="F1139" t="s">
        <v>3945</v>
      </c>
      <c r="G1139" t="s">
        <v>3944</v>
      </c>
      <c r="H1139" t="s">
        <v>3430</v>
      </c>
      <c r="I1139">
        <v>5405</v>
      </c>
      <c r="J1139" s="3">
        <v>3224.49</v>
      </c>
      <c r="K1139" s="3">
        <v>2040.29</v>
      </c>
      <c r="L1139">
        <v>36.729999999999997</v>
      </c>
    </row>
    <row r="1140" spans="1:12">
      <c r="A1140" s="1">
        <v>46029</v>
      </c>
      <c r="B1140" t="s">
        <v>11645</v>
      </c>
      <c r="C1140">
        <v>12</v>
      </c>
      <c r="D1140" t="str">
        <f>VLOOKUP(Tabela26[[#This Row],[EMP]],[1]LOJA!$A:$B,2,0)</f>
        <v>SOFNORTE</v>
      </c>
      <c r="E1140">
        <v>60</v>
      </c>
      <c r="F1140" t="s">
        <v>3461</v>
      </c>
      <c r="G1140" t="s">
        <v>3460</v>
      </c>
      <c r="H1140" t="s">
        <v>3430</v>
      </c>
      <c r="I1140">
        <v>5405</v>
      </c>
      <c r="J1140" s="3">
        <v>79.11</v>
      </c>
      <c r="K1140" s="3">
        <v>39.229999999999997</v>
      </c>
      <c r="L1140">
        <v>50.41</v>
      </c>
    </row>
    <row r="1141" spans="1:12">
      <c r="A1141" s="1">
        <v>46029</v>
      </c>
      <c r="B1141" t="s">
        <v>11644</v>
      </c>
      <c r="C1141">
        <v>12</v>
      </c>
      <c r="D1141" t="str">
        <f>VLOOKUP(Tabela26[[#This Row],[EMP]],[1]LOJA!$A:$B,2,0)</f>
        <v>SOFNORTE</v>
      </c>
      <c r="E1141">
        <v>60</v>
      </c>
      <c r="F1141" t="s">
        <v>3931</v>
      </c>
      <c r="G1141" t="s">
        <v>3930</v>
      </c>
      <c r="H1141" t="s">
        <v>11643</v>
      </c>
      <c r="I1141">
        <v>5405</v>
      </c>
      <c r="J1141" s="3">
        <v>67.900000000000006</v>
      </c>
      <c r="K1141" s="3">
        <v>25.9</v>
      </c>
      <c r="L1141">
        <v>61.86</v>
      </c>
    </row>
    <row r="1142" spans="1:12">
      <c r="A1142" s="1">
        <v>46029</v>
      </c>
      <c r="B1142" t="s">
        <v>11642</v>
      </c>
      <c r="C1142">
        <v>12</v>
      </c>
      <c r="D1142" t="str">
        <f>VLOOKUP(Tabela26[[#This Row],[EMP]],[1]LOJA!$A:$B,2,0)</f>
        <v>SOFNORTE</v>
      </c>
      <c r="E1142">
        <v>60</v>
      </c>
      <c r="F1142" t="s">
        <v>3948</v>
      </c>
      <c r="G1142" t="s">
        <v>3947</v>
      </c>
      <c r="H1142" t="s">
        <v>3430</v>
      </c>
      <c r="I1142">
        <v>5405</v>
      </c>
      <c r="J1142" s="3">
        <v>123</v>
      </c>
      <c r="K1142" s="3">
        <v>61.39</v>
      </c>
      <c r="L1142">
        <v>50.09</v>
      </c>
    </row>
    <row r="1143" spans="1:12">
      <c r="A1143" s="1">
        <v>46029</v>
      </c>
      <c r="B1143" t="s">
        <v>11641</v>
      </c>
      <c r="C1143">
        <v>12</v>
      </c>
      <c r="D1143" t="str">
        <f>VLOOKUP(Tabela26[[#This Row],[EMP]],[1]LOJA!$A:$B,2,0)</f>
        <v>SOFNORTE</v>
      </c>
      <c r="E1143">
        <v>60</v>
      </c>
      <c r="F1143" t="s">
        <v>3925</v>
      </c>
      <c r="G1143" t="s">
        <v>3924</v>
      </c>
      <c r="H1143" t="s">
        <v>3430</v>
      </c>
      <c r="I1143">
        <v>5405</v>
      </c>
      <c r="J1143" s="3">
        <v>433</v>
      </c>
      <c r="K1143" s="3">
        <v>200.66</v>
      </c>
      <c r="L1143">
        <v>53.66</v>
      </c>
    </row>
    <row r="1144" spans="1:12">
      <c r="A1144" s="1">
        <v>46029</v>
      </c>
      <c r="B1144" t="s">
        <v>11640</v>
      </c>
      <c r="C1144">
        <v>12</v>
      </c>
      <c r="D1144" t="str">
        <f>VLOOKUP(Tabela26[[#This Row],[EMP]],[1]LOJA!$A:$B,2,0)</f>
        <v>SOFNORTE</v>
      </c>
      <c r="E1144">
        <v>239</v>
      </c>
      <c r="F1144" t="s">
        <v>5057</v>
      </c>
      <c r="G1144" t="s">
        <v>5056</v>
      </c>
      <c r="H1144" t="s">
        <v>3430</v>
      </c>
      <c r="I1144">
        <v>5102</v>
      </c>
      <c r="J1144" s="3">
        <v>66.95</v>
      </c>
      <c r="K1144" s="3">
        <v>32.15</v>
      </c>
      <c r="L1144">
        <v>51.98</v>
      </c>
    </row>
    <row r="1145" spans="1:12">
      <c r="A1145" s="1">
        <v>46029</v>
      </c>
      <c r="B1145" t="s">
        <v>11639</v>
      </c>
      <c r="C1145">
        <v>4</v>
      </c>
      <c r="D1145" t="str">
        <f>VLOOKUP(Tabela26[[#This Row],[EMP]],[1]LOJA!$A:$B,2,0)</f>
        <v>ADE</v>
      </c>
      <c r="E1145">
        <v>132</v>
      </c>
      <c r="F1145" t="s">
        <v>3403</v>
      </c>
      <c r="G1145" t="s">
        <v>3402</v>
      </c>
      <c r="H1145" t="s">
        <v>3401</v>
      </c>
      <c r="I1145">
        <v>5102</v>
      </c>
      <c r="J1145" s="3">
        <v>73.5</v>
      </c>
      <c r="K1145" s="3">
        <v>45.16</v>
      </c>
      <c r="L1145">
        <v>38.56</v>
      </c>
    </row>
    <row r="1146" spans="1:12">
      <c r="A1146" s="1">
        <v>46029</v>
      </c>
      <c r="B1146" t="s">
        <v>11638</v>
      </c>
      <c r="C1146">
        <v>4</v>
      </c>
      <c r="D1146" t="str">
        <f>VLOOKUP(Tabela26[[#This Row],[EMP]],[1]LOJA!$A:$B,2,0)</f>
        <v>ADE</v>
      </c>
      <c r="E1146">
        <v>132</v>
      </c>
      <c r="F1146" t="s">
        <v>4299</v>
      </c>
      <c r="G1146" t="s">
        <v>4298</v>
      </c>
      <c r="H1146" t="s">
        <v>3401</v>
      </c>
      <c r="I1146">
        <v>5102</v>
      </c>
      <c r="J1146" s="3">
        <v>16</v>
      </c>
      <c r="K1146" s="3">
        <v>7.82</v>
      </c>
      <c r="L1146">
        <v>51.13</v>
      </c>
    </row>
    <row r="1147" spans="1:12">
      <c r="A1147" s="1">
        <v>46029</v>
      </c>
      <c r="B1147" t="s">
        <v>11637</v>
      </c>
      <c r="C1147">
        <v>4</v>
      </c>
      <c r="D1147" t="str">
        <f>VLOOKUP(Tabela26[[#This Row],[EMP]],[1]LOJA!$A:$B,2,0)</f>
        <v>ADE</v>
      </c>
      <c r="E1147">
        <v>132</v>
      </c>
      <c r="F1147" t="s">
        <v>3403</v>
      </c>
      <c r="G1147" t="s">
        <v>3402</v>
      </c>
      <c r="H1147" t="s">
        <v>3408</v>
      </c>
      <c r="I1147">
        <v>5102</v>
      </c>
      <c r="J1147" s="3">
        <v>146.94</v>
      </c>
      <c r="K1147" s="3">
        <v>111.72</v>
      </c>
      <c r="L1147">
        <v>23.97</v>
      </c>
    </row>
    <row r="1148" spans="1:12">
      <c r="A1148" s="1">
        <v>46029</v>
      </c>
      <c r="B1148" t="s">
        <v>11636</v>
      </c>
      <c r="C1148">
        <v>4</v>
      </c>
      <c r="D1148" t="str">
        <f>VLOOKUP(Tabela26[[#This Row],[EMP]],[1]LOJA!$A:$B,2,0)</f>
        <v>ADE</v>
      </c>
      <c r="E1148">
        <v>132</v>
      </c>
      <c r="F1148" t="s">
        <v>7697</v>
      </c>
      <c r="G1148" t="s">
        <v>7696</v>
      </c>
      <c r="H1148" t="s">
        <v>3401</v>
      </c>
      <c r="I1148">
        <v>5102</v>
      </c>
      <c r="J1148" s="3">
        <v>323.39999999999998</v>
      </c>
      <c r="K1148" s="3">
        <v>177.68</v>
      </c>
      <c r="L1148">
        <v>45.06</v>
      </c>
    </row>
    <row r="1149" spans="1:12">
      <c r="A1149" s="1">
        <v>46029</v>
      </c>
      <c r="B1149" t="s">
        <v>11635</v>
      </c>
      <c r="C1149">
        <v>4</v>
      </c>
      <c r="D1149" t="str">
        <f>VLOOKUP(Tabela26[[#This Row],[EMP]],[1]LOJA!$A:$B,2,0)</f>
        <v>ADE</v>
      </c>
      <c r="E1149">
        <v>132</v>
      </c>
      <c r="F1149" t="s">
        <v>3403</v>
      </c>
      <c r="G1149" t="s">
        <v>3402</v>
      </c>
      <c r="H1149" t="s">
        <v>3401</v>
      </c>
      <c r="I1149">
        <v>5102</v>
      </c>
      <c r="J1149" s="3">
        <v>17.8</v>
      </c>
      <c r="K1149" s="3">
        <v>8.32</v>
      </c>
      <c r="L1149">
        <v>53.26</v>
      </c>
    </row>
    <row r="1150" spans="1:12">
      <c r="A1150" s="1">
        <v>46029</v>
      </c>
      <c r="B1150" t="s">
        <v>11634</v>
      </c>
      <c r="C1150">
        <v>4</v>
      </c>
      <c r="D1150" t="str">
        <f>VLOOKUP(Tabela26[[#This Row],[EMP]],[1]LOJA!$A:$B,2,0)</f>
        <v>ADE</v>
      </c>
      <c r="E1150">
        <v>132</v>
      </c>
      <c r="F1150" t="s">
        <v>6565</v>
      </c>
      <c r="G1150" t="s">
        <v>6564</v>
      </c>
      <c r="H1150" t="s">
        <v>6243</v>
      </c>
      <c r="I1150">
        <v>5102</v>
      </c>
      <c r="J1150" s="3">
        <v>34.9</v>
      </c>
      <c r="K1150" s="3">
        <v>11.24</v>
      </c>
      <c r="L1150">
        <v>67.790000000000006</v>
      </c>
    </row>
    <row r="1151" spans="1:12">
      <c r="A1151" s="1">
        <v>46029</v>
      </c>
      <c r="B1151" t="s">
        <v>11633</v>
      </c>
      <c r="C1151">
        <v>4</v>
      </c>
      <c r="D1151" t="str">
        <f>VLOOKUP(Tabela26[[#This Row],[EMP]],[1]LOJA!$A:$B,2,0)</f>
        <v>ADE</v>
      </c>
      <c r="E1151">
        <v>109</v>
      </c>
      <c r="F1151" t="s">
        <v>4561</v>
      </c>
      <c r="G1151" t="s">
        <v>4560</v>
      </c>
      <c r="H1151" t="s">
        <v>3401</v>
      </c>
      <c r="I1151">
        <v>5102</v>
      </c>
      <c r="J1151" s="3">
        <v>170</v>
      </c>
      <c r="K1151" s="3">
        <v>81.99</v>
      </c>
      <c r="L1151">
        <v>51.77</v>
      </c>
    </row>
    <row r="1152" spans="1:12">
      <c r="A1152" s="1">
        <v>46029</v>
      </c>
      <c r="B1152" t="s">
        <v>11632</v>
      </c>
      <c r="C1152">
        <v>4</v>
      </c>
      <c r="D1152" t="str">
        <f>VLOOKUP(Tabela26[[#This Row],[EMP]],[1]LOJA!$A:$B,2,0)</f>
        <v>ADE</v>
      </c>
      <c r="E1152">
        <v>132</v>
      </c>
      <c r="F1152" t="s">
        <v>3846</v>
      </c>
      <c r="G1152" t="s">
        <v>3845</v>
      </c>
      <c r="H1152" t="s">
        <v>3408</v>
      </c>
      <c r="I1152">
        <v>5405</v>
      </c>
      <c r="J1152" s="3">
        <v>56</v>
      </c>
      <c r="K1152" s="3">
        <v>29.48</v>
      </c>
      <c r="L1152">
        <v>47.36</v>
      </c>
    </row>
    <row r="1153" spans="1:12">
      <c r="A1153" s="1">
        <v>46029</v>
      </c>
      <c r="B1153" t="s">
        <v>11631</v>
      </c>
      <c r="C1153">
        <v>4</v>
      </c>
      <c r="D1153" t="str">
        <f>VLOOKUP(Tabela26[[#This Row],[EMP]],[1]LOJA!$A:$B,2,0)</f>
        <v>ADE</v>
      </c>
      <c r="E1153">
        <v>132</v>
      </c>
      <c r="F1153" t="s">
        <v>6565</v>
      </c>
      <c r="G1153" t="s">
        <v>6564</v>
      </c>
      <c r="H1153" t="s">
        <v>6243</v>
      </c>
      <c r="I1153">
        <v>5102</v>
      </c>
      <c r="J1153" s="3">
        <v>74</v>
      </c>
      <c r="K1153" s="3">
        <v>33.25</v>
      </c>
      <c r="L1153">
        <v>55.07</v>
      </c>
    </row>
    <row r="1154" spans="1:12">
      <c r="A1154" s="1">
        <v>46029</v>
      </c>
      <c r="B1154" t="s">
        <v>11630</v>
      </c>
      <c r="C1154">
        <v>4</v>
      </c>
      <c r="D1154" t="str">
        <f>VLOOKUP(Tabela26[[#This Row],[EMP]],[1]LOJA!$A:$B,2,0)</f>
        <v>ADE</v>
      </c>
      <c r="E1154">
        <v>132</v>
      </c>
      <c r="F1154" t="s">
        <v>3403</v>
      </c>
      <c r="G1154" t="s">
        <v>3402</v>
      </c>
      <c r="H1154" t="s">
        <v>3408</v>
      </c>
      <c r="I1154">
        <v>5102</v>
      </c>
      <c r="J1154" s="3">
        <v>90</v>
      </c>
      <c r="K1154" s="3">
        <v>37.69</v>
      </c>
      <c r="L1154">
        <v>58.12</v>
      </c>
    </row>
    <row r="1155" spans="1:12">
      <c r="A1155" s="1">
        <v>46029</v>
      </c>
      <c r="B1155" t="s">
        <v>11629</v>
      </c>
      <c r="C1155">
        <v>4</v>
      </c>
      <c r="D1155" t="str">
        <f>VLOOKUP(Tabela26[[#This Row],[EMP]],[1]LOJA!$A:$B,2,0)</f>
        <v>ADE</v>
      </c>
      <c r="E1155">
        <v>132</v>
      </c>
      <c r="F1155" t="s">
        <v>4554</v>
      </c>
      <c r="G1155" t="s">
        <v>3402</v>
      </c>
      <c r="H1155" t="s">
        <v>3408</v>
      </c>
      <c r="I1155">
        <v>5102</v>
      </c>
      <c r="J1155" s="3">
        <v>167</v>
      </c>
      <c r="K1155" s="3">
        <v>97.48</v>
      </c>
      <c r="L1155">
        <v>41.63</v>
      </c>
    </row>
    <row r="1156" spans="1:12">
      <c r="A1156" s="1">
        <v>46029</v>
      </c>
      <c r="B1156" t="s">
        <v>11628</v>
      </c>
      <c r="C1156">
        <v>4</v>
      </c>
      <c r="D1156" t="str">
        <f>VLOOKUP(Tabela26[[#This Row],[EMP]],[1]LOJA!$A:$B,2,0)</f>
        <v>ADE</v>
      </c>
      <c r="E1156">
        <v>109</v>
      </c>
      <c r="F1156" t="s">
        <v>4574</v>
      </c>
      <c r="G1156" t="s">
        <v>4573</v>
      </c>
      <c r="H1156" t="s">
        <v>3401</v>
      </c>
      <c r="I1156">
        <v>5102</v>
      </c>
      <c r="J1156" s="3">
        <v>168</v>
      </c>
      <c r="K1156" s="3">
        <v>97.92</v>
      </c>
      <c r="L1156">
        <v>41.71</v>
      </c>
    </row>
    <row r="1157" spans="1:12">
      <c r="A1157" s="1">
        <v>46029</v>
      </c>
      <c r="B1157" t="s">
        <v>11627</v>
      </c>
      <c r="C1157">
        <v>4</v>
      </c>
      <c r="D1157" t="str">
        <f>VLOOKUP(Tabela26[[#This Row],[EMP]],[1]LOJA!$A:$B,2,0)</f>
        <v>ADE</v>
      </c>
      <c r="E1157">
        <v>132</v>
      </c>
      <c r="F1157" t="s">
        <v>3403</v>
      </c>
      <c r="G1157" t="s">
        <v>3402</v>
      </c>
      <c r="H1157" t="s">
        <v>3408</v>
      </c>
      <c r="I1157">
        <v>5405</v>
      </c>
      <c r="J1157" s="3">
        <v>109.36</v>
      </c>
      <c r="K1157" s="3">
        <v>59.28</v>
      </c>
      <c r="L1157">
        <v>45.79</v>
      </c>
    </row>
    <row r="1158" spans="1:12">
      <c r="A1158" s="1">
        <v>46029</v>
      </c>
      <c r="B1158" t="s">
        <v>11626</v>
      </c>
      <c r="C1158">
        <v>4</v>
      </c>
      <c r="D1158" t="str">
        <f>VLOOKUP(Tabela26[[#This Row],[EMP]],[1]LOJA!$A:$B,2,0)</f>
        <v>ADE</v>
      </c>
      <c r="E1158">
        <v>132</v>
      </c>
      <c r="F1158" t="s">
        <v>3403</v>
      </c>
      <c r="G1158" t="s">
        <v>3402</v>
      </c>
      <c r="H1158" t="s">
        <v>3401</v>
      </c>
      <c r="I1158">
        <v>5102</v>
      </c>
      <c r="J1158" s="3">
        <v>28</v>
      </c>
      <c r="K1158" s="3">
        <v>15.44</v>
      </c>
      <c r="L1158">
        <v>44.86</v>
      </c>
    </row>
    <row r="1159" spans="1:12">
      <c r="A1159" s="1">
        <v>46029</v>
      </c>
      <c r="B1159" t="s">
        <v>11625</v>
      </c>
      <c r="C1159">
        <v>4</v>
      </c>
      <c r="D1159" t="str">
        <f>VLOOKUP(Tabela26[[#This Row],[EMP]],[1]LOJA!$A:$B,2,0)</f>
        <v>ADE</v>
      </c>
      <c r="E1159">
        <v>132</v>
      </c>
      <c r="F1159" t="s">
        <v>3403</v>
      </c>
      <c r="G1159" t="s">
        <v>3402</v>
      </c>
      <c r="H1159" t="s">
        <v>3401</v>
      </c>
      <c r="I1159">
        <v>5102</v>
      </c>
      <c r="J1159" s="3">
        <v>30</v>
      </c>
      <c r="K1159" s="3">
        <v>15.86</v>
      </c>
      <c r="L1159">
        <v>47.13</v>
      </c>
    </row>
    <row r="1160" spans="1:12">
      <c r="A1160" s="1">
        <v>46029</v>
      </c>
      <c r="B1160" t="s">
        <v>11624</v>
      </c>
      <c r="C1160">
        <v>4</v>
      </c>
      <c r="D1160" t="str">
        <f>VLOOKUP(Tabela26[[#This Row],[EMP]],[1]LOJA!$A:$B,2,0)</f>
        <v>ADE</v>
      </c>
      <c r="E1160">
        <v>132</v>
      </c>
      <c r="F1160" t="s">
        <v>5165</v>
      </c>
      <c r="G1160" t="s">
        <v>5164</v>
      </c>
      <c r="H1160" t="s">
        <v>3408</v>
      </c>
      <c r="I1160">
        <v>5405</v>
      </c>
      <c r="J1160" s="3">
        <v>288.77</v>
      </c>
      <c r="K1160" s="3">
        <v>155.24</v>
      </c>
      <c r="L1160">
        <v>46.24</v>
      </c>
    </row>
    <row r="1161" spans="1:12">
      <c r="A1161" s="1">
        <v>46029</v>
      </c>
      <c r="B1161" t="s">
        <v>11623</v>
      </c>
      <c r="C1161">
        <v>4</v>
      </c>
      <c r="D1161" t="str">
        <f>VLOOKUP(Tabela26[[#This Row],[EMP]],[1]LOJA!$A:$B,2,0)</f>
        <v>ADE</v>
      </c>
      <c r="E1161">
        <v>132</v>
      </c>
      <c r="F1161" t="s">
        <v>6339</v>
      </c>
      <c r="G1161" t="s">
        <v>3402</v>
      </c>
      <c r="H1161" t="s">
        <v>3408</v>
      </c>
      <c r="I1161">
        <v>5405</v>
      </c>
      <c r="J1161" s="3">
        <v>58</v>
      </c>
      <c r="K1161" s="3">
        <v>28.99</v>
      </c>
      <c r="L1161">
        <v>50.02</v>
      </c>
    </row>
    <row r="1162" spans="1:12">
      <c r="A1162" s="1">
        <v>46029</v>
      </c>
      <c r="B1162" t="s">
        <v>11622</v>
      </c>
      <c r="C1162">
        <v>4</v>
      </c>
      <c r="D1162" t="str">
        <f>VLOOKUP(Tabela26[[#This Row],[EMP]],[1]LOJA!$A:$B,2,0)</f>
        <v>ADE</v>
      </c>
      <c r="E1162">
        <v>132</v>
      </c>
      <c r="F1162" t="s">
        <v>3836</v>
      </c>
      <c r="G1162" t="s">
        <v>3402</v>
      </c>
      <c r="H1162" t="s">
        <v>3401</v>
      </c>
      <c r="I1162">
        <v>5102</v>
      </c>
      <c r="J1162" s="3">
        <v>27.2</v>
      </c>
      <c r="K1162" s="3">
        <v>16.88</v>
      </c>
      <c r="L1162">
        <v>37.94</v>
      </c>
    </row>
    <row r="1163" spans="1:12">
      <c r="A1163" s="1">
        <v>46029</v>
      </c>
      <c r="B1163" t="s">
        <v>11621</v>
      </c>
      <c r="C1163">
        <v>4</v>
      </c>
      <c r="D1163" t="str">
        <f>VLOOKUP(Tabela26[[#This Row],[EMP]],[1]LOJA!$A:$B,2,0)</f>
        <v>ADE</v>
      </c>
      <c r="E1163">
        <v>132</v>
      </c>
      <c r="F1163" t="s">
        <v>3403</v>
      </c>
      <c r="G1163" t="s">
        <v>3402</v>
      </c>
      <c r="H1163" t="s">
        <v>3401</v>
      </c>
      <c r="I1163">
        <v>5102</v>
      </c>
      <c r="J1163" s="3">
        <v>62</v>
      </c>
      <c r="K1163" s="3">
        <v>33.92</v>
      </c>
      <c r="L1163">
        <v>45.29</v>
      </c>
    </row>
    <row r="1164" spans="1:12">
      <c r="A1164" s="1">
        <v>46029</v>
      </c>
      <c r="B1164" t="s">
        <v>11620</v>
      </c>
      <c r="C1164">
        <v>4</v>
      </c>
      <c r="D1164" t="str">
        <f>VLOOKUP(Tabela26[[#This Row],[EMP]],[1]LOJA!$A:$B,2,0)</f>
        <v>ADE</v>
      </c>
      <c r="E1164">
        <v>132</v>
      </c>
      <c r="F1164" t="s">
        <v>4574</v>
      </c>
      <c r="G1164" t="s">
        <v>4573</v>
      </c>
      <c r="H1164" t="s">
        <v>3401</v>
      </c>
      <c r="I1164">
        <v>5102</v>
      </c>
      <c r="J1164" s="3">
        <v>294</v>
      </c>
      <c r="K1164" s="3">
        <v>118.86</v>
      </c>
      <c r="L1164">
        <v>59.57</v>
      </c>
    </row>
    <row r="1165" spans="1:12">
      <c r="A1165" s="1">
        <v>46029</v>
      </c>
      <c r="B1165" t="s">
        <v>11619</v>
      </c>
      <c r="C1165">
        <v>16</v>
      </c>
      <c r="D1165" t="str">
        <f>VLOOKUP(Tabela26[[#This Row],[EMP]],[1]LOJA!$A:$B,2,0)</f>
        <v>AG LINDAS</v>
      </c>
      <c r="E1165">
        <v>240</v>
      </c>
      <c r="F1165" t="s">
        <v>3811</v>
      </c>
      <c r="G1165" t="s">
        <v>3437</v>
      </c>
      <c r="H1165" t="s">
        <v>3401</v>
      </c>
      <c r="I1165">
        <v>5102</v>
      </c>
      <c r="J1165" s="3">
        <v>189.8</v>
      </c>
      <c r="K1165" s="3">
        <v>102.11</v>
      </c>
      <c r="L1165">
        <v>46.2</v>
      </c>
    </row>
    <row r="1166" spans="1:12">
      <c r="A1166" s="1">
        <v>46029</v>
      </c>
      <c r="B1166" t="s">
        <v>11618</v>
      </c>
      <c r="C1166">
        <v>16</v>
      </c>
      <c r="D1166" t="str">
        <f>VLOOKUP(Tabela26[[#This Row],[EMP]],[1]LOJA!$A:$B,2,0)</f>
        <v>AG LINDAS</v>
      </c>
      <c r="E1166">
        <v>240</v>
      </c>
      <c r="F1166" t="s">
        <v>4511</v>
      </c>
      <c r="G1166" t="s">
        <v>4510</v>
      </c>
      <c r="H1166" t="s">
        <v>3401</v>
      </c>
      <c r="I1166">
        <v>5102</v>
      </c>
      <c r="J1166" s="3">
        <v>169</v>
      </c>
      <c r="K1166" s="3">
        <v>109.8</v>
      </c>
      <c r="L1166">
        <v>35.03</v>
      </c>
    </row>
    <row r="1167" spans="1:12">
      <c r="A1167" s="1">
        <v>46029</v>
      </c>
      <c r="B1167" t="s">
        <v>11617</v>
      </c>
      <c r="C1167">
        <v>16</v>
      </c>
      <c r="D1167" t="str">
        <f>VLOOKUP(Tabela26[[#This Row],[EMP]],[1]LOJA!$A:$B,2,0)</f>
        <v>AG LINDAS</v>
      </c>
      <c r="E1167">
        <v>240</v>
      </c>
      <c r="F1167" t="s">
        <v>11616</v>
      </c>
      <c r="G1167" t="s">
        <v>3437</v>
      </c>
      <c r="H1167" t="s">
        <v>3401</v>
      </c>
      <c r="I1167">
        <v>5102</v>
      </c>
      <c r="J1167" s="3">
        <v>60</v>
      </c>
      <c r="K1167" s="3">
        <v>28.52</v>
      </c>
      <c r="L1167">
        <v>52.47</v>
      </c>
    </row>
    <row r="1168" spans="1:12">
      <c r="A1168" s="1">
        <v>46029</v>
      </c>
      <c r="B1168" t="s">
        <v>11615</v>
      </c>
      <c r="C1168">
        <v>16</v>
      </c>
      <c r="D1168" t="str">
        <f>VLOOKUP(Tabela26[[#This Row],[EMP]],[1]LOJA!$A:$B,2,0)</f>
        <v>AG LINDAS</v>
      </c>
      <c r="E1168">
        <v>240</v>
      </c>
      <c r="F1168" t="s">
        <v>3780</v>
      </c>
      <c r="G1168" t="s">
        <v>3437</v>
      </c>
      <c r="H1168" t="s">
        <v>3401</v>
      </c>
      <c r="I1168">
        <v>5102</v>
      </c>
      <c r="J1168" s="3">
        <v>20</v>
      </c>
      <c r="K1168" s="3">
        <v>11.83</v>
      </c>
      <c r="L1168">
        <v>40.85</v>
      </c>
    </row>
    <row r="1169" spans="1:12">
      <c r="A1169" s="1">
        <v>46029</v>
      </c>
      <c r="B1169" t="s">
        <v>11614</v>
      </c>
      <c r="C1169">
        <v>16</v>
      </c>
      <c r="D1169" t="str">
        <f>VLOOKUP(Tabela26[[#This Row],[EMP]],[1]LOJA!$A:$B,2,0)</f>
        <v>AG LINDAS</v>
      </c>
      <c r="E1169">
        <v>240</v>
      </c>
      <c r="F1169" t="s">
        <v>4540</v>
      </c>
      <c r="G1169" t="s">
        <v>3437</v>
      </c>
      <c r="H1169" t="s">
        <v>3401</v>
      </c>
      <c r="I1169">
        <v>5405</v>
      </c>
      <c r="J1169" s="3">
        <v>263</v>
      </c>
      <c r="K1169" s="3">
        <v>143.37</v>
      </c>
      <c r="L1169">
        <v>45.49</v>
      </c>
    </row>
    <row r="1170" spans="1:12">
      <c r="A1170" s="1">
        <v>46029</v>
      </c>
      <c r="B1170" t="s">
        <v>11613</v>
      </c>
      <c r="C1170">
        <v>16</v>
      </c>
      <c r="D1170" t="str">
        <f>VLOOKUP(Tabela26[[#This Row],[EMP]],[1]LOJA!$A:$B,2,0)</f>
        <v>AG LINDAS</v>
      </c>
      <c r="E1170">
        <v>240</v>
      </c>
      <c r="F1170" t="s">
        <v>5117</v>
      </c>
      <c r="G1170" t="s">
        <v>3437</v>
      </c>
      <c r="H1170" t="s">
        <v>3408</v>
      </c>
      <c r="I1170">
        <v>5405</v>
      </c>
      <c r="J1170" s="3">
        <v>66.25</v>
      </c>
      <c r="K1170" s="3">
        <v>30.78</v>
      </c>
      <c r="L1170">
        <v>53.54</v>
      </c>
    </row>
    <row r="1171" spans="1:12">
      <c r="A1171" s="1">
        <v>46029</v>
      </c>
      <c r="B1171" t="s">
        <v>11612</v>
      </c>
      <c r="C1171">
        <v>16</v>
      </c>
      <c r="D1171" t="str">
        <f>VLOOKUP(Tabela26[[#This Row],[EMP]],[1]LOJA!$A:$B,2,0)</f>
        <v>AG LINDAS</v>
      </c>
      <c r="E1171">
        <v>240</v>
      </c>
      <c r="F1171" t="s">
        <v>3808</v>
      </c>
      <c r="G1171" t="s">
        <v>3807</v>
      </c>
      <c r="H1171" t="s">
        <v>3401</v>
      </c>
      <c r="I1171">
        <v>5405</v>
      </c>
      <c r="J1171" s="3">
        <v>198.43</v>
      </c>
      <c r="K1171" s="3">
        <v>102.89</v>
      </c>
      <c r="L1171">
        <v>48.15</v>
      </c>
    </row>
    <row r="1172" spans="1:12">
      <c r="A1172" s="1">
        <v>46029</v>
      </c>
      <c r="B1172" t="s">
        <v>11611</v>
      </c>
      <c r="C1172">
        <v>16</v>
      </c>
      <c r="D1172" t="str">
        <f>VLOOKUP(Tabela26[[#This Row],[EMP]],[1]LOJA!$A:$B,2,0)</f>
        <v>AG LINDAS</v>
      </c>
      <c r="E1172">
        <v>240</v>
      </c>
      <c r="F1172" t="s">
        <v>5663</v>
      </c>
      <c r="G1172" t="s">
        <v>3437</v>
      </c>
      <c r="H1172" t="s">
        <v>3401</v>
      </c>
      <c r="I1172">
        <v>5405</v>
      </c>
      <c r="J1172" s="3">
        <v>184</v>
      </c>
      <c r="K1172" s="3">
        <v>96.11</v>
      </c>
      <c r="L1172">
        <v>47.77</v>
      </c>
    </row>
    <row r="1173" spans="1:12">
      <c r="A1173" s="1">
        <v>46029</v>
      </c>
      <c r="B1173" t="s">
        <v>11610</v>
      </c>
      <c r="C1173">
        <v>16</v>
      </c>
      <c r="D1173" t="str">
        <f>VLOOKUP(Tabela26[[#This Row],[EMP]],[1]LOJA!$A:$B,2,0)</f>
        <v>AG LINDAS</v>
      </c>
      <c r="E1173">
        <v>240</v>
      </c>
      <c r="F1173" t="s">
        <v>5111</v>
      </c>
      <c r="G1173" t="s">
        <v>3437</v>
      </c>
      <c r="H1173" t="s">
        <v>3401</v>
      </c>
      <c r="I1173">
        <v>5102</v>
      </c>
      <c r="J1173" s="3">
        <v>63.76</v>
      </c>
      <c r="K1173" s="3">
        <v>29.22</v>
      </c>
      <c r="L1173">
        <v>54.17</v>
      </c>
    </row>
    <row r="1174" spans="1:12">
      <c r="A1174" s="1">
        <v>46029</v>
      </c>
      <c r="B1174" t="s">
        <v>11609</v>
      </c>
      <c r="C1174">
        <v>16</v>
      </c>
      <c r="D1174" t="str">
        <f>VLOOKUP(Tabela26[[#This Row],[EMP]],[1]LOJA!$A:$B,2,0)</f>
        <v>AG LINDAS</v>
      </c>
      <c r="E1174">
        <v>240</v>
      </c>
      <c r="F1174" t="s">
        <v>5137</v>
      </c>
      <c r="G1174" t="s">
        <v>3437</v>
      </c>
      <c r="H1174" t="s">
        <v>3401</v>
      </c>
      <c r="I1174">
        <v>5102</v>
      </c>
      <c r="J1174" s="3">
        <v>483.9</v>
      </c>
      <c r="K1174" s="3">
        <v>288.52</v>
      </c>
      <c r="L1174">
        <v>40.380000000000003</v>
      </c>
    </row>
    <row r="1175" spans="1:12">
      <c r="A1175" s="1">
        <v>46029</v>
      </c>
      <c r="B1175" t="s">
        <v>11608</v>
      </c>
      <c r="C1175">
        <v>16</v>
      </c>
      <c r="D1175" t="str">
        <f>VLOOKUP(Tabela26[[#This Row],[EMP]],[1]LOJA!$A:$B,2,0)</f>
        <v>AG LINDAS</v>
      </c>
      <c r="E1175">
        <v>240</v>
      </c>
      <c r="F1175" t="s">
        <v>3780</v>
      </c>
      <c r="G1175" t="s">
        <v>3437</v>
      </c>
      <c r="H1175" t="s">
        <v>3401</v>
      </c>
      <c r="I1175">
        <v>5102</v>
      </c>
      <c r="J1175" s="3">
        <v>44.9</v>
      </c>
      <c r="K1175" s="3">
        <v>27.2</v>
      </c>
      <c r="L1175">
        <v>39.42</v>
      </c>
    </row>
    <row r="1176" spans="1:12">
      <c r="A1176" s="1">
        <v>46029</v>
      </c>
      <c r="B1176" t="s">
        <v>11607</v>
      </c>
      <c r="C1176">
        <v>16</v>
      </c>
      <c r="D1176" t="str">
        <f>VLOOKUP(Tabela26[[#This Row],[EMP]],[1]LOJA!$A:$B,2,0)</f>
        <v>AG LINDAS</v>
      </c>
      <c r="E1176">
        <v>240</v>
      </c>
      <c r="F1176" t="s">
        <v>6714</v>
      </c>
      <c r="G1176" t="s">
        <v>3437</v>
      </c>
      <c r="H1176" t="s">
        <v>3401</v>
      </c>
      <c r="I1176">
        <v>5102</v>
      </c>
      <c r="J1176" s="3">
        <v>75</v>
      </c>
      <c r="K1176" s="3">
        <v>38.03</v>
      </c>
      <c r="L1176">
        <v>49.29</v>
      </c>
    </row>
    <row r="1177" spans="1:12">
      <c r="A1177" s="1">
        <v>46029</v>
      </c>
      <c r="B1177" t="s">
        <v>11606</v>
      </c>
      <c r="C1177">
        <v>16</v>
      </c>
      <c r="D1177" t="str">
        <f>VLOOKUP(Tabela26[[#This Row],[EMP]],[1]LOJA!$A:$B,2,0)</f>
        <v>AG LINDAS</v>
      </c>
      <c r="E1177">
        <v>240</v>
      </c>
      <c r="F1177" t="s">
        <v>7665</v>
      </c>
      <c r="G1177" t="s">
        <v>7664</v>
      </c>
      <c r="H1177" t="s">
        <v>3408</v>
      </c>
      <c r="I1177">
        <v>5102</v>
      </c>
      <c r="J1177" s="3">
        <v>40.5</v>
      </c>
      <c r="K1177" s="3">
        <v>23.92</v>
      </c>
      <c r="L1177">
        <v>40.94</v>
      </c>
    </row>
    <row r="1178" spans="1:12">
      <c r="A1178" s="1">
        <v>46029</v>
      </c>
      <c r="B1178" t="s">
        <v>11605</v>
      </c>
      <c r="C1178">
        <v>16</v>
      </c>
      <c r="D1178" t="str">
        <f>VLOOKUP(Tabela26[[#This Row],[EMP]],[1]LOJA!$A:$B,2,0)</f>
        <v>AG LINDAS</v>
      </c>
      <c r="E1178">
        <v>240</v>
      </c>
      <c r="F1178" t="s">
        <v>3796</v>
      </c>
      <c r="G1178" t="s">
        <v>3795</v>
      </c>
      <c r="H1178" t="s">
        <v>3408</v>
      </c>
      <c r="I1178">
        <v>5405</v>
      </c>
      <c r="J1178" s="3">
        <v>250.5</v>
      </c>
      <c r="K1178" s="3">
        <v>131.19999999999999</v>
      </c>
      <c r="L1178">
        <v>47.62</v>
      </c>
    </row>
    <row r="1179" spans="1:12">
      <c r="A1179" s="1">
        <v>46029</v>
      </c>
      <c r="B1179" t="s">
        <v>11604</v>
      </c>
      <c r="C1179">
        <v>16</v>
      </c>
      <c r="D1179" t="str">
        <f>VLOOKUP(Tabela26[[#This Row],[EMP]],[1]LOJA!$A:$B,2,0)</f>
        <v>AG LINDAS</v>
      </c>
      <c r="E1179">
        <v>240</v>
      </c>
      <c r="F1179" t="s">
        <v>11603</v>
      </c>
      <c r="G1179" t="s">
        <v>3437</v>
      </c>
      <c r="H1179" t="s">
        <v>3401</v>
      </c>
      <c r="I1179">
        <v>5405</v>
      </c>
      <c r="J1179" s="3">
        <v>55</v>
      </c>
      <c r="K1179" s="3">
        <v>29.25</v>
      </c>
      <c r="L1179">
        <v>46.82</v>
      </c>
    </row>
    <row r="1180" spans="1:12">
      <c r="A1180" s="1">
        <v>46029</v>
      </c>
      <c r="B1180" t="s">
        <v>11602</v>
      </c>
      <c r="C1180">
        <v>16</v>
      </c>
      <c r="D1180" t="str">
        <f>VLOOKUP(Tabela26[[#This Row],[EMP]],[1]LOJA!$A:$B,2,0)</f>
        <v>AG LINDAS</v>
      </c>
      <c r="E1180">
        <v>240</v>
      </c>
      <c r="F1180" t="s">
        <v>7211</v>
      </c>
      <c r="G1180" t="s">
        <v>7210</v>
      </c>
      <c r="H1180" t="s">
        <v>3401</v>
      </c>
      <c r="I1180">
        <v>5102</v>
      </c>
      <c r="J1180" s="3">
        <v>100</v>
      </c>
      <c r="K1180" s="3">
        <v>54.28</v>
      </c>
      <c r="L1180">
        <v>45.72</v>
      </c>
    </row>
    <row r="1181" spans="1:12">
      <c r="A1181" s="1">
        <v>46029</v>
      </c>
      <c r="B1181" t="s">
        <v>11601</v>
      </c>
      <c r="C1181">
        <v>16</v>
      </c>
      <c r="D1181" t="str">
        <f>VLOOKUP(Tabela26[[#This Row],[EMP]],[1]LOJA!$A:$B,2,0)</f>
        <v>AG LINDAS</v>
      </c>
      <c r="E1181">
        <v>240</v>
      </c>
      <c r="F1181" t="s">
        <v>3796</v>
      </c>
      <c r="G1181" t="s">
        <v>3795</v>
      </c>
      <c r="H1181" t="s">
        <v>3408</v>
      </c>
      <c r="I1181">
        <v>5102</v>
      </c>
      <c r="J1181" s="3">
        <v>20</v>
      </c>
      <c r="K1181" s="3">
        <v>13.48</v>
      </c>
      <c r="L1181">
        <v>32.6</v>
      </c>
    </row>
    <row r="1182" spans="1:12">
      <c r="A1182" s="1">
        <v>46029</v>
      </c>
      <c r="B1182" t="s">
        <v>11600</v>
      </c>
      <c r="C1182">
        <v>16</v>
      </c>
      <c r="D1182" t="str">
        <f>VLOOKUP(Tabela26[[#This Row],[EMP]],[1]LOJA!$A:$B,2,0)</f>
        <v>AG LINDAS</v>
      </c>
      <c r="E1182">
        <v>240</v>
      </c>
      <c r="F1182" t="s">
        <v>3780</v>
      </c>
      <c r="G1182" t="s">
        <v>3437</v>
      </c>
      <c r="H1182" t="s">
        <v>3401</v>
      </c>
      <c r="I1182">
        <v>5102</v>
      </c>
      <c r="J1182" s="3">
        <v>35</v>
      </c>
      <c r="K1182" s="3">
        <v>18.850000000000001</v>
      </c>
      <c r="L1182">
        <v>46.14</v>
      </c>
    </row>
    <row r="1183" spans="1:12">
      <c r="A1183" s="1">
        <v>46029</v>
      </c>
      <c r="B1183" t="s">
        <v>11599</v>
      </c>
      <c r="C1183">
        <v>16</v>
      </c>
      <c r="D1183" t="str">
        <f>VLOOKUP(Tabela26[[#This Row],[EMP]],[1]LOJA!$A:$B,2,0)</f>
        <v>AG LINDAS</v>
      </c>
      <c r="E1183">
        <v>240</v>
      </c>
      <c r="F1183" t="s">
        <v>3780</v>
      </c>
      <c r="G1183" t="s">
        <v>3437</v>
      </c>
      <c r="H1183" t="s">
        <v>3401</v>
      </c>
      <c r="I1183">
        <v>5405</v>
      </c>
      <c r="J1183" s="3">
        <v>96</v>
      </c>
      <c r="K1183" s="3">
        <v>47.86</v>
      </c>
      <c r="L1183">
        <v>50.15</v>
      </c>
    </row>
    <row r="1184" spans="1:12">
      <c r="A1184" s="1">
        <v>46029</v>
      </c>
      <c r="B1184" t="s">
        <v>11598</v>
      </c>
      <c r="C1184">
        <v>16</v>
      </c>
      <c r="D1184" t="str">
        <f>VLOOKUP(Tabela26[[#This Row],[EMP]],[1]LOJA!$A:$B,2,0)</f>
        <v>AG LINDAS</v>
      </c>
      <c r="E1184">
        <v>240</v>
      </c>
      <c r="F1184" t="s">
        <v>3780</v>
      </c>
      <c r="G1184" t="s">
        <v>3437</v>
      </c>
      <c r="H1184" t="s">
        <v>3401</v>
      </c>
      <c r="I1184">
        <v>5102</v>
      </c>
      <c r="J1184" s="3">
        <v>90</v>
      </c>
      <c r="K1184" s="3">
        <v>38.22</v>
      </c>
      <c r="L1184">
        <v>57.53</v>
      </c>
    </row>
    <row r="1185" spans="1:12">
      <c r="A1185" s="1">
        <v>46029</v>
      </c>
      <c r="B1185" t="s">
        <v>11597</v>
      </c>
      <c r="C1185">
        <v>16</v>
      </c>
      <c r="D1185" t="str">
        <f>VLOOKUP(Tabela26[[#This Row],[EMP]],[1]LOJA!$A:$B,2,0)</f>
        <v>AG LINDAS</v>
      </c>
      <c r="E1185">
        <v>240</v>
      </c>
      <c r="F1185" t="s">
        <v>3780</v>
      </c>
      <c r="G1185" t="s">
        <v>3437</v>
      </c>
      <c r="H1185" t="s">
        <v>3401</v>
      </c>
      <c r="I1185">
        <v>5102</v>
      </c>
      <c r="J1185" s="3">
        <v>30</v>
      </c>
      <c r="K1185" s="3">
        <v>16.899999999999999</v>
      </c>
      <c r="L1185">
        <v>43.67</v>
      </c>
    </row>
    <row r="1186" spans="1:12">
      <c r="A1186" s="1">
        <v>46029</v>
      </c>
      <c r="B1186" t="s">
        <v>11596</v>
      </c>
      <c r="C1186">
        <v>16</v>
      </c>
      <c r="D1186" t="str">
        <f>VLOOKUP(Tabela26[[#This Row],[EMP]],[1]LOJA!$A:$B,2,0)</f>
        <v>AG LINDAS</v>
      </c>
      <c r="E1186">
        <v>240</v>
      </c>
      <c r="F1186" t="s">
        <v>8408</v>
      </c>
      <c r="G1186" t="s">
        <v>3437</v>
      </c>
      <c r="H1186" t="s">
        <v>3408</v>
      </c>
      <c r="I1186">
        <v>5102</v>
      </c>
      <c r="J1186" s="3">
        <v>118.4</v>
      </c>
      <c r="K1186" s="3">
        <v>66.58</v>
      </c>
      <c r="L1186">
        <v>43.77</v>
      </c>
    </row>
    <row r="1187" spans="1:12">
      <c r="A1187" s="1">
        <v>46029</v>
      </c>
      <c r="B1187" t="s">
        <v>11595</v>
      </c>
      <c r="C1187">
        <v>16</v>
      </c>
      <c r="D1187" t="str">
        <f>VLOOKUP(Tabela26[[#This Row],[EMP]],[1]LOJA!$A:$B,2,0)</f>
        <v>AG LINDAS</v>
      </c>
      <c r="E1187">
        <v>240</v>
      </c>
      <c r="F1187" t="s">
        <v>4552</v>
      </c>
      <c r="G1187" t="s">
        <v>3437</v>
      </c>
      <c r="H1187" t="s">
        <v>3408</v>
      </c>
      <c r="I1187">
        <v>5405</v>
      </c>
      <c r="J1187" s="3">
        <v>210</v>
      </c>
      <c r="K1187" s="3">
        <v>119.78</v>
      </c>
      <c r="L1187">
        <v>42.96</v>
      </c>
    </row>
    <row r="1188" spans="1:12">
      <c r="A1188" s="1">
        <v>46029</v>
      </c>
      <c r="B1188" t="s">
        <v>11594</v>
      </c>
      <c r="C1188">
        <v>16</v>
      </c>
      <c r="D1188" t="str">
        <f>VLOOKUP(Tabela26[[#This Row],[EMP]],[1]LOJA!$A:$B,2,0)</f>
        <v>AG LINDAS</v>
      </c>
      <c r="E1188">
        <v>240</v>
      </c>
      <c r="F1188" t="s">
        <v>3811</v>
      </c>
      <c r="G1188" t="s">
        <v>3437</v>
      </c>
      <c r="H1188" t="s">
        <v>3401</v>
      </c>
      <c r="I1188">
        <v>5405</v>
      </c>
      <c r="J1188" s="3">
        <v>63</v>
      </c>
      <c r="K1188" s="3">
        <v>32.94</v>
      </c>
      <c r="L1188">
        <v>47.71</v>
      </c>
    </row>
    <row r="1189" spans="1:12">
      <c r="A1189" s="1">
        <v>46029</v>
      </c>
      <c r="B1189" t="s">
        <v>11593</v>
      </c>
      <c r="C1189">
        <v>16</v>
      </c>
      <c r="D1189" t="str">
        <f>VLOOKUP(Tabela26[[#This Row],[EMP]],[1]LOJA!$A:$B,2,0)</f>
        <v>AG LINDAS</v>
      </c>
      <c r="E1189">
        <v>240</v>
      </c>
      <c r="F1189" t="s">
        <v>3804</v>
      </c>
      <c r="G1189" t="s">
        <v>3803</v>
      </c>
      <c r="H1189" t="s">
        <v>3401</v>
      </c>
      <c r="I1189">
        <v>5102</v>
      </c>
      <c r="J1189" s="3">
        <v>95.8</v>
      </c>
      <c r="K1189" s="3">
        <v>56.86</v>
      </c>
      <c r="L1189">
        <v>40.65</v>
      </c>
    </row>
    <row r="1190" spans="1:12">
      <c r="A1190" s="1">
        <v>46029</v>
      </c>
      <c r="B1190" t="s">
        <v>11592</v>
      </c>
      <c r="C1190">
        <v>16</v>
      </c>
      <c r="D1190" t="str">
        <f>VLOOKUP(Tabela26[[#This Row],[EMP]],[1]LOJA!$A:$B,2,0)</f>
        <v>AG LINDAS</v>
      </c>
      <c r="E1190">
        <v>240</v>
      </c>
      <c r="F1190" t="s">
        <v>11591</v>
      </c>
      <c r="G1190" t="s">
        <v>3437</v>
      </c>
      <c r="H1190" t="s">
        <v>3401</v>
      </c>
      <c r="I1190">
        <v>5102</v>
      </c>
      <c r="J1190" s="3">
        <v>25</v>
      </c>
      <c r="K1190" s="3">
        <v>15.02</v>
      </c>
      <c r="L1190">
        <v>39.92</v>
      </c>
    </row>
    <row r="1191" spans="1:12">
      <c r="A1191" s="1">
        <v>46029</v>
      </c>
      <c r="B1191" t="s">
        <v>11590</v>
      </c>
      <c r="C1191">
        <v>14</v>
      </c>
      <c r="D1191" t="str">
        <f>VLOOKUP(Tabela26[[#This Row],[EMP]],[1]LOJA!$A:$B,2,0)</f>
        <v>S IA</v>
      </c>
      <c r="E1191">
        <v>54</v>
      </c>
      <c r="F1191" t="s">
        <v>5089</v>
      </c>
      <c r="G1191" t="s">
        <v>5088</v>
      </c>
      <c r="H1191" t="s">
        <v>3430</v>
      </c>
      <c r="I1191">
        <v>5405</v>
      </c>
      <c r="J1191" s="3">
        <v>183.64</v>
      </c>
      <c r="K1191" s="3">
        <v>71.459999999999994</v>
      </c>
      <c r="L1191">
        <v>61.09</v>
      </c>
    </row>
    <row r="1192" spans="1:12">
      <c r="A1192" s="1">
        <v>46029</v>
      </c>
      <c r="B1192" t="s">
        <v>11589</v>
      </c>
      <c r="C1192">
        <v>14</v>
      </c>
      <c r="D1192" t="str">
        <f>VLOOKUP(Tabela26[[#This Row],[EMP]],[1]LOJA!$A:$B,2,0)</f>
        <v>S IA</v>
      </c>
      <c r="E1192">
        <v>212</v>
      </c>
      <c r="F1192" t="s">
        <v>7639</v>
      </c>
      <c r="G1192" t="s">
        <v>7638</v>
      </c>
      <c r="H1192" t="s">
        <v>3408</v>
      </c>
      <c r="I1192">
        <v>5405</v>
      </c>
      <c r="J1192" s="3">
        <v>65.91</v>
      </c>
      <c r="K1192" s="3">
        <v>32.93</v>
      </c>
      <c r="L1192">
        <v>50.04</v>
      </c>
    </row>
    <row r="1193" spans="1:12">
      <c r="A1193" s="1">
        <v>46029</v>
      </c>
      <c r="B1193" t="s">
        <v>11588</v>
      </c>
      <c r="C1193">
        <v>14</v>
      </c>
      <c r="D1193" t="str">
        <f>VLOOKUP(Tabela26[[#This Row],[EMP]],[1]LOJA!$A:$B,2,0)</f>
        <v>S IA</v>
      </c>
      <c r="E1193">
        <v>212</v>
      </c>
      <c r="F1193" t="s">
        <v>3750</v>
      </c>
      <c r="G1193" t="s">
        <v>3749</v>
      </c>
      <c r="H1193" t="s">
        <v>3408</v>
      </c>
      <c r="I1193">
        <v>5405</v>
      </c>
      <c r="J1193" s="3">
        <v>89.15</v>
      </c>
      <c r="K1193" s="3">
        <v>46.23</v>
      </c>
      <c r="L1193">
        <v>48.14</v>
      </c>
    </row>
    <row r="1194" spans="1:12">
      <c r="A1194" s="1">
        <v>46029</v>
      </c>
      <c r="B1194" t="s">
        <v>11587</v>
      </c>
      <c r="C1194">
        <v>14</v>
      </c>
      <c r="D1194" t="str">
        <f>VLOOKUP(Tabela26[[#This Row],[EMP]],[1]LOJA!$A:$B,2,0)</f>
        <v>S IA</v>
      </c>
      <c r="E1194">
        <v>54</v>
      </c>
      <c r="F1194" t="s">
        <v>7639</v>
      </c>
      <c r="G1194" t="s">
        <v>7638</v>
      </c>
      <c r="H1194" t="s">
        <v>3408</v>
      </c>
      <c r="I1194">
        <v>5405</v>
      </c>
      <c r="J1194" s="3">
        <v>1686.19</v>
      </c>
      <c r="K1194" s="3">
        <v>832.03</v>
      </c>
      <c r="L1194">
        <v>50.66</v>
      </c>
    </row>
    <row r="1195" spans="1:12">
      <c r="A1195" s="1">
        <v>46029</v>
      </c>
      <c r="B1195" t="s">
        <v>11586</v>
      </c>
      <c r="C1195">
        <v>14</v>
      </c>
      <c r="D1195" t="str">
        <f>VLOOKUP(Tabela26[[#This Row],[EMP]],[1]LOJA!$A:$B,2,0)</f>
        <v>S IA</v>
      </c>
      <c r="E1195">
        <v>212</v>
      </c>
      <c r="F1195" t="s">
        <v>7639</v>
      </c>
      <c r="G1195" t="s">
        <v>7638</v>
      </c>
      <c r="H1195" t="s">
        <v>3408</v>
      </c>
      <c r="I1195">
        <v>5405</v>
      </c>
      <c r="J1195" s="3">
        <v>52.71</v>
      </c>
      <c r="K1195" s="3">
        <v>26.64</v>
      </c>
      <c r="L1195">
        <v>49.46</v>
      </c>
    </row>
    <row r="1196" spans="1:12">
      <c r="A1196" s="1">
        <v>46029</v>
      </c>
      <c r="B1196" t="s">
        <v>11585</v>
      </c>
      <c r="C1196">
        <v>14</v>
      </c>
      <c r="D1196" t="str">
        <f>VLOOKUP(Tabela26[[#This Row],[EMP]],[1]LOJA!$A:$B,2,0)</f>
        <v>S IA</v>
      </c>
      <c r="E1196">
        <v>212</v>
      </c>
      <c r="F1196" t="s">
        <v>11584</v>
      </c>
      <c r="G1196" t="s">
        <v>11583</v>
      </c>
      <c r="H1196" t="s">
        <v>3401</v>
      </c>
      <c r="I1196">
        <v>5405</v>
      </c>
      <c r="J1196" s="3">
        <v>428</v>
      </c>
      <c r="K1196" s="3">
        <v>166</v>
      </c>
      <c r="L1196">
        <v>61.21</v>
      </c>
    </row>
    <row r="1197" spans="1:12">
      <c r="A1197" s="1">
        <v>46029</v>
      </c>
      <c r="B1197" t="s">
        <v>11582</v>
      </c>
      <c r="C1197">
        <v>14</v>
      </c>
      <c r="D1197" t="str">
        <f>VLOOKUP(Tabela26[[#This Row],[EMP]],[1]LOJA!$A:$B,2,0)</f>
        <v>S IA</v>
      </c>
      <c r="E1197">
        <v>54</v>
      </c>
      <c r="F1197" t="s">
        <v>5089</v>
      </c>
      <c r="G1197" t="s">
        <v>5088</v>
      </c>
      <c r="H1197" t="s">
        <v>3430</v>
      </c>
      <c r="I1197">
        <v>5102</v>
      </c>
      <c r="J1197" s="3">
        <v>123.21</v>
      </c>
      <c r="K1197" s="3">
        <v>68.7</v>
      </c>
      <c r="L1197">
        <v>44.24</v>
      </c>
    </row>
    <row r="1198" spans="1:12">
      <c r="A1198" s="1">
        <v>46029</v>
      </c>
      <c r="B1198" t="s">
        <v>11581</v>
      </c>
      <c r="C1198">
        <v>14</v>
      </c>
      <c r="D1198" t="str">
        <f>VLOOKUP(Tabela26[[#This Row],[EMP]],[1]LOJA!$A:$B,2,0)</f>
        <v>S IA</v>
      </c>
      <c r="E1198">
        <v>212</v>
      </c>
      <c r="F1198" t="s">
        <v>7636</v>
      </c>
      <c r="G1198" t="s">
        <v>7635</v>
      </c>
      <c r="H1198" t="s">
        <v>3401</v>
      </c>
      <c r="I1198">
        <v>5102</v>
      </c>
      <c r="J1198" s="3">
        <v>55</v>
      </c>
      <c r="K1198" s="3">
        <v>25.76</v>
      </c>
      <c r="L1198">
        <v>53.16</v>
      </c>
    </row>
    <row r="1199" spans="1:12">
      <c r="A1199" s="1">
        <v>46029</v>
      </c>
      <c r="B1199" t="s">
        <v>11580</v>
      </c>
      <c r="C1199">
        <v>14</v>
      </c>
      <c r="D1199" t="str">
        <f>VLOOKUP(Tabela26[[#This Row],[EMP]],[1]LOJA!$A:$B,2,0)</f>
        <v>S IA</v>
      </c>
      <c r="E1199">
        <v>54</v>
      </c>
      <c r="F1199" t="s">
        <v>4498</v>
      </c>
      <c r="G1199" t="s">
        <v>4497</v>
      </c>
      <c r="H1199" t="s">
        <v>4249</v>
      </c>
      <c r="I1199">
        <v>5405</v>
      </c>
      <c r="J1199" s="3">
        <v>937</v>
      </c>
      <c r="K1199" s="3">
        <v>365.49</v>
      </c>
      <c r="L1199">
        <v>60.99</v>
      </c>
    </row>
    <row r="1200" spans="1:12">
      <c r="A1200" s="1">
        <v>46029</v>
      </c>
      <c r="B1200" t="s">
        <v>11579</v>
      </c>
      <c r="C1200">
        <v>14</v>
      </c>
      <c r="D1200" t="str">
        <f>VLOOKUP(Tabela26[[#This Row],[EMP]],[1]LOJA!$A:$B,2,0)</f>
        <v>S IA</v>
      </c>
      <c r="E1200">
        <v>54</v>
      </c>
      <c r="F1200" t="s">
        <v>3762</v>
      </c>
      <c r="G1200" t="s">
        <v>3761</v>
      </c>
      <c r="H1200" t="s">
        <v>3430</v>
      </c>
      <c r="I1200">
        <v>5405</v>
      </c>
      <c r="J1200" s="3">
        <v>104.11</v>
      </c>
      <c r="K1200" s="3">
        <v>51.43</v>
      </c>
      <c r="L1200">
        <v>50.6</v>
      </c>
    </row>
    <row r="1201" spans="1:12">
      <c r="A1201" s="1">
        <v>46029</v>
      </c>
      <c r="B1201" t="s">
        <v>11578</v>
      </c>
      <c r="C1201">
        <v>14</v>
      </c>
      <c r="D1201" t="str">
        <f>VLOOKUP(Tabela26[[#This Row],[EMP]],[1]LOJA!$A:$B,2,0)</f>
        <v>S IA</v>
      </c>
      <c r="E1201">
        <v>212</v>
      </c>
      <c r="F1201" t="s">
        <v>11576</v>
      </c>
      <c r="G1201" t="s">
        <v>11575</v>
      </c>
      <c r="H1201" t="s">
        <v>3537</v>
      </c>
      <c r="I1201">
        <v>5102</v>
      </c>
      <c r="J1201" s="3">
        <v>277.72000000000003</v>
      </c>
      <c r="K1201" s="3">
        <v>170.18</v>
      </c>
      <c r="L1201">
        <v>38.72</v>
      </c>
    </row>
    <row r="1202" spans="1:12">
      <c r="A1202" s="1">
        <v>46029</v>
      </c>
      <c r="B1202" t="s">
        <v>11577</v>
      </c>
      <c r="C1202">
        <v>14</v>
      </c>
      <c r="D1202" t="str">
        <f>VLOOKUP(Tabela26[[#This Row],[EMP]],[1]LOJA!$A:$B,2,0)</f>
        <v>S IA</v>
      </c>
      <c r="E1202">
        <v>212</v>
      </c>
      <c r="F1202" t="s">
        <v>11576</v>
      </c>
      <c r="G1202" t="s">
        <v>11575</v>
      </c>
      <c r="H1202" t="s">
        <v>4249</v>
      </c>
      <c r="I1202">
        <v>5405</v>
      </c>
      <c r="J1202" s="3">
        <v>552.07000000000005</v>
      </c>
      <c r="K1202" s="3">
        <v>306.47000000000003</v>
      </c>
      <c r="L1202">
        <v>44.49</v>
      </c>
    </row>
    <row r="1203" spans="1:12">
      <c r="A1203" s="1">
        <v>46029</v>
      </c>
      <c r="B1203" t="s">
        <v>11574</v>
      </c>
      <c r="C1203">
        <v>14</v>
      </c>
      <c r="D1203" t="str">
        <f>VLOOKUP(Tabela26[[#This Row],[EMP]],[1]LOJA!$A:$B,2,0)</f>
        <v>S IA</v>
      </c>
      <c r="E1203">
        <v>54</v>
      </c>
      <c r="F1203" t="s">
        <v>4470</v>
      </c>
      <c r="G1203" t="s">
        <v>4469</v>
      </c>
      <c r="H1203" t="s">
        <v>3430</v>
      </c>
      <c r="I1203">
        <v>5405</v>
      </c>
      <c r="J1203" s="3">
        <v>628.79999999999995</v>
      </c>
      <c r="K1203" s="3">
        <v>348.84</v>
      </c>
      <c r="L1203">
        <v>44.52</v>
      </c>
    </row>
    <row r="1204" spans="1:12">
      <c r="A1204" s="1">
        <v>46029</v>
      </c>
      <c r="B1204" t="s">
        <v>11573</v>
      </c>
      <c r="C1204">
        <v>12</v>
      </c>
      <c r="D1204" t="str">
        <f>VLOOKUP(Tabela26[[#This Row],[EMP]],[1]LOJA!$A:$B,2,0)</f>
        <v>SOFNORTE</v>
      </c>
      <c r="E1204">
        <v>60</v>
      </c>
      <c r="F1204" t="s">
        <v>3701</v>
      </c>
      <c r="G1204" t="s">
        <v>3700</v>
      </c>
      <c r="H1204" t="s">
        <v>3408</v>
      </c>
      <c r="I1204">
        <v>5102</v>
      </c>
      <c r="J1204" s="3">
        <v>23</v>
      </c>
      <c r="K1204" s="3">
        <v>10.36</v>
      </c>
      <c r="L1204">
        <v>54.96</v>
      </c>
    </row>
    <row r="1205" spans="1:12">
      <c r="A1205" s="1">
        <v>46029</v>
      </c>
      <c r="B1205" t="s">
        <v>11572</v>
      </c>
      <c r="C1205">
        <v>12</v>
      </c>
      <c r="D1205" t="str">
        <f>VLOOKUP(Tabela26[[#This Row],[EMP]],[1]LOJA!$A:$B,2,0)</f>
        <v>SOFNORTE</v>
      </c>
      <c r="E1205">
        <v>60</v>
      </c>
      <c r="F1205" t="s">
        <v>3737</v>
      </c>
      <c r="G1205" t="s">
        <v>3736</v>
      </c>
      <c r="H1205" t="s">
        <v>3520</v>
      </c>
      <c r="I1205">
        <v>5405</v>
      </c>
      <c r="J1205" s="3">
        <v>212</v>
      </c>
      <c r="K1205" s="3">
        <v>99.96</v>
      </c>
      <c r="L1205">
        <v>52.85</v>
      </c>
    </row>
    <row r="1206" spans="1:12">
      <c r="A1206" s="1">
        <v>46029</v>
      </c>
      <c r="B1206" t="s">
        <v>11571</v>
      </c>
      <c r="C1206">
        <v>12</v>
      </c>
      <c r="D1206" t="str">
        <f>VLOOKUP(Tabela26[[#This Row],[EMP]],[1]LOJA!$A:$B,2,0)</f>
        <v>SOFNORTE</v>
      </c>
      <c r="E1206">
        <v>60</v>
      </c>
      <c r="F1206" t="s">
        <v>3687</v>
      </c>
      <c r="G1206" t="s">
        <v>3686</v>
      </c>
      <c r="H1206" t="s">
        <v>3401</v>
      </c>
      <c r="I1206">
        <v>5102</v>
      </c>
      <c r="J1206" s="3">
        <v>143</v>
      </c>
      <c r="K1206" s="3">
        <v>72.099999999999994</v>
      </c>
      <c r="L1206">
        <v>49.58</v>
      </c>
    </row>
    <row r="1207" spans="1:12">
      <c r="A1207" s="1">
        <v>46029</v>
      </c>
      <c r="B1207" t="s">
        <v>11570</v>
      </c>
      <c r="C1207">
        <v>12</v>
      </c>
      <c r="D1207" t="str">
        <f>VLOOKUP(Tabela26[[#This Row],[EMP]],[1]LOJA!$A:$B,2,0)</f>
        <v>SOFNORTE</v>
      </c>
      <c r="E1207">
        <v>60</v>
      </c>
      <c r="F1207" t="s">
        <v>3403</v>
      </c>
      <c r="G1207" t="s">
        <v>3402</v>
      </c>
      <c r="H1207" t="s">
        <v>3401</v>
      </c>
      <c r="I1207">
        <v>5405</v>
      </c>
      <c r="J1207" s="3">
        <v>242</v>
      </c>
      <c r="K1207" s="3">
        <v>141.04</v>
      </c>
      <c r="L1207">
        <v>41.72</v>
      </c>
    </row>
    <row r="1208" spans="1:12">
      <c r="A1208" s="1">
        <v>46029</v>
      </c>
      <c r="B1208" t="s">
        <v>11569</v>
      </c>
      <c r="C1208">
        <v>12</v>
      </c>
      <c r="D1208" t="str">
        <f>VLOOKUP(Tabela26[[#This Row],[EMP]],[1]LOJA!$A:$B,2,0)</f>
        <v>SOFNORTE</v>
      </c>
      <c r="E1208">
        <v>60</v>
      </c>
      <c r="F1208" t="s">
        <v>3403</v>
      </c>
      <c r="G1208" t="s">
        <v>3402</v>
      </c>
      <c r="H1208" t="s">
        <v>3401</v>
      </c>
      <c r="I1208">
        <v>5102</v>
      </c>
      <c r="J1208" s="3">
        <v>110</v>
      </c>
      <c r="K1208" s="3">
        <v>63.9</v>
      </c>
      <c r="L1208">
        <v>41.91</v>
      </c>
    </row>
    <row r="1209" spans="1:12">
      <c r="A1209" s="1">
        <v>46029</v>
      </c>
      <c r="B1209" t="s">
        <v>11568</v>
      </c>
      <c r="C1209">
        <v>12</v>
      </c>
      <c r="D1209" t="str">
        <f>VLOOKUP(Tabela26[[#This Row],[EMP]],[1]LOJA!$A:$B,2,0)</f>
        <v>SOFNORTE</v>
      </c>
      <c r="E1209">
        <v>60</v>
      </c>
      <c r="F1209" t="s">
        <v>3698</v>
      </c>
      <c r="G1209" t="s">
        <v>3697</v>
      </c>
      <c r="H1209" t="s">
        <v>3408</v>
      </c>
      <c r="I1209">
        <v>5102</v>
      </c>
      <c r="J1209" s="3">
        <v>189</v>
      </c>
      <c r="K1209" s="3">
        <v>95.46</v>
      </c>
      <c r="L1209">
        <v>49.49</v>
      </c>
    </row>
    <row r="1210" spans="1:12">
      <c r="A1210" s="1">
        <v>46029</v>
      </c>
      <c r="B1210" t="s">
        <v>11567</v>
      </c>
      <c r="C1210">
        <v>12</v>
      </c>
      <c r="D1210" t="str">
        <f>VLOOKUP(Tabela26[[#This Row],[EMP]],[1]LOJA!$A:$B,2,0)</f>
        <v>SOFNORTE</v>
      </c>
      <c r="E1210">
        <v>239</v>
      </c>
      <c r="F1210" t="s">
        <v>3403</v>
      </c>
      <c r="G1210" t="s">
        <v>3402</v>
      </c>
      <c r="H1210" t="s">
        <v>3401</v>
      </c>
      <c r="I1210">
        <v>5102</v>
      </c>
      <c r="J1210" s="3">
        <v>64</v>
      </c>
      <c r="K1210" s="3">
        <v>31.87</v>
      </c>
      <c r="L1210">
        <v>50.2</v>
      </c>
    </row>
    <row r="1211" spans="1:12">
      <c r="A1211" s="1">
        <v>46029</v>
      </c>
      <c r="B1211" t="s">
        <v>3731</v>
      </c>
      <c r="C1211">
        <v>14</v>
      </c>
      <c r="D1211" t="str">
        <f>VLOOKUP(Tabela26[[#This Row],[EMP]],[1]LOJA!$A:$B,2,0)</f>
        <v>S IA</v>
      </c>
      <c r="E1211">
        <v>54</v>
      </c>
      <c r="F1211" t="s">
        <v>7115</v>
      </c>
      <c r="G1211" t="s">
        <v>3402</v>
      </c>
      <c r="H1211" t="s">
        <v>3401</v>
      </c>
      <c r="I1211">
        <v>5405</v>
      </c>
      <c r="J1211" s="3">
        <v>207</v>
      </c>
      <c r="K1211" s="3">
        <v>105.71</v>
      </c>
      <c r="L1211">
        <v>48.93</v>
      </c>
    </row>
    <row r="1212" spans="1:12">
      <c r="A1212" s="1">
        <v>46029</v>
      </c>
      <c r="B1212" t="s">
        <v>3728</v>
      </c>
      <c r="C1212">
        <v>14</v>
      </c>
      <c r="D1212" t="str">
        <f>VLOOKUP(Tabela26[[#This Row],[EMP]],[1]LOJA!$A:$B,2,0)</f>
        <v>S IA</v>
      </c>
      <c r="E1212">
        <v>54</v>
      </c>
      <c r="F1212" t="s">
        <v>3403</v>
      </c>
      <c r="G1212" t="s">
        <v>3402</v>
      </c>
      <c r="H1212" t="s">
        <v>3401</v>
      </c>
      <c r="I1212">
        <v>5102</v>
      </c>
      <c r="J1212" s="3">
        <v>41.7</v>
      </c>
      <c r="K1212" s="3">
        <v>22.56</v>
      </c>
      <c r="L1212">
        <v>45.9</v>
      </c>
    </row>
    <row r="1213" spans="1:12">
      <c r="A1213" s="1">
        <v>46029</v>
      </c>
      <c r="B1213" t="s">
        <v>3727</v>
      </c>
      <c r="C1213">
        <v>14</v>
      </c>
      <c r="D1213" t="str">
        <f>VLOOKUP(Tabela26[[#This Row],[EMP]],[1]LOJA!$A:$B,2,0)</f>
        <v>S IA</v>
      </c>
      <c r="E1213">
        <v>54</v>
      </c>
      <c r="F1213" t="s">
        <v>3403</v>
      </c>
      <c r="G1213" t="s">
        <v>3402</v>
      </c>
      <c r="H1213" t="s">
        <v>3401</v>
      </c>
      <c r="I1213">
        <v>5102</v>
      </c>
      <c r="J1213" s="3">
        <v>34</v>
      </c>
      <c r="K1213" s="3">
        <v>19.54</v>
      </c>
      <c r="L1213">
        <v>42.53</v>
      </c>
    </row>
    <row r="1214" spans="1:12">
      <c r="A1214" s="1">
        <v>46029</v>
      </c>
      <c r="B1214" t="s">
        <v>3724</v>
      </c>
      <c r="C1214">
        <v>14</v>
      </c>
      <c r="D1214" t="str">
        <f>VLOOKUP(Tabela26[[#This Row],[EMP]],[1]LOJA!$A:$B,2,0)</f>
        <v>S IA</v>
      </c>
      <c r="E1214">
        <v>212</v>
      </c>
      <c r="F1214" t="s">
        <v>3403</v>
      </c>
      <c r="G1214" t="s">
        <v>3402</v>
      </c>
      <c r="H1214" t="s">
        <v>3401</v>
      </c>
      <c r="I1214">
        <v>5102</v>
      </c>
      <c r="J1214" s="3">
        <v>19.5</v>
      </c>
      <c r="K1214" s="3">
        <v>8.4499999999999993</v>
      </c>
      <c r="L1214">
        <v>56.67</v>
      </c>
    </row>
    <row r="1215" spans="1:12">
      <c r="A1215" s="1">
        <v>46029</v>
      </c>
      <c r="B1215" t="s">
        <v>3723</v>
      </c>
      <c r="C1215">
        <v>14</v>
      </c>
      <c r="D1215" t="str">
        <f>VLOOKUP(Tabela26[[#This Row],[EMP]],[1]LOJA!$A:$B,2,0)</f>
        <v>S IA</v>
      </c>
      <c r="E1215">
        <v>212</v>
      </c>
      <c r="F1215" t="s">
        <v>10529</v>
      </c>
      <c r="G1215" t="s">
        <v>3402</v>
      </c>
      <c r="H1215" t="s">
        <v>3408</v>
      </c>
      <c r="I1215">
        <v>5405</v>
      </c>
      <c r="J1215" s="3">
        <v>750</v>
      </c>
      <c r="K1215" s="3">
        <v>365.52</v>
      </c>
      <c r="L1215">
        <v>51.26</v>
      </c>
    </row>
    <row r="1216" spans="1:12">
      <c r="A1216" s="1">
        <v>46029</v>
      </c>
      <c r="B1216" t="s">
        <v>3720</v>
      </c>
      <c r="C1216">
        <v>14</v>
      </c>
      <c r="D1216" t="str">
        <f>VLOOKUP(Tabela26[[#This Row],[EMP]],[1]LOJA!$A:$B,2,0)</f>
        <v>S IA</v>
      </c>
      <c r="E1216">
        <v>212</v>
      </c>
      <c r="F1216" t="s">
        <v>3403</v>
      </c>
      <c r="G1216" t="s">
        <v>3402</v>
      </c>
      <c r="H1216" t="s">
        <v>3401</v>
      </c>
      <c r="I1216">
        <v>5405</v>
      </c>
      <c r="J1216" s="3">
        <v>196</v>
      </c>
      <c r="K1216" s="3">
        <v>91.27</v>
      </c>
      <c r="L1216">
        <v>53.43</v>
      </c>
    </row>
    <row r="1217" spans="1:12">
      <c r="A1217" s="1">
        <v>46029</v>
      </c>
      <c r="B1217" t="s">
        <v>3719</v>
      </c>
      <c r="C1217">
        <v>14</v>
      </c>
      <c r="D1217" t="str">
        <f>VLOOKUP(Tabela26[[#This Row],[EMP]],[1]LOJA!$A:$B,2,0)</f>
        <v>S IA</v>
      </c>
      <c r="E1217">
        <v>212</v>
      </c>
      <c r="F1217" t="s">
        <v>8002</v>
      </c>
      <c r="G1217" t="s">
        <v>8001</v>
      </c>
      <c r="H1217" t="s">
        <v>6497</v>
      </c>
      <c r="I1217">
        <v>5102</v>
      </c>
      <c r="J1217" s="3">
        <v>86.28</v>
      </c>
      <c r="K1217" s="3">
        <v>53.28</v>
      </c>
      <c r="L1217">
        <v>38.25</v>
      </c>
    </row>
    <row r="1218" spans="1:12">
      <c r="A1218" s="1">
        <v>46029</v>
      </c>
      <c r="B1218" t="s">
        <v>3718</v>
      </c>
      <c r="C1218">
        <v>14</v>
      </c>
      <c r="D1218" t="str">
        <f>VLOOKUP(Tabela26[[#This Row],[EMP]],[1]LOJA!$A:$B,2,0)</f>
        <v>S IA</v>
      </c>
      <c r="E1218">
        <v>212</v>
      </c>
      <c r="F1218" t="s">
        <v>3403</v>
      </c>
      <c r="G1218" t="s">
        <v>3402</v>
      </c>
      <c r="H1218" t="s">
        <v>3401</v>
      </c>
      <c r="I1218">
        <v>5102</v>
      </c>
      <c r="J1218" s="3">
        <v>33.9</v>
      </c>
      <c r="K1218" s="3">
        <v>14.64</v>
      </c>
      <c r="L1218">
        <v>56.81</v>
      </c>
    </row>
    <row r="1219" spans="1:12">
      <c r="A1219" s="1">
        <v>46029</v>
      </c>
      <c r="B1219" t="s">
        <v>3717</v>
      </c>
      <c r="C1219">
        <v>14</v>
      </c>
      <c r="D1219" t="str">
        <f>VLOOKUP(Tabela26[[#This Row],[EMP]],[1]LOJA!$A:$B,2,0)</f>
        <v>S IA</v>
      </c>
      <c r="E1219">
        <v>212</v>
      </c>
      <c r="F1219" t="s">
        <v>3403</v>
      </c>
      <c r="G1219" t="s">
        <v>3402</v>
      </c>
      <c r="H1219" t="s">
        <v>3401</v>
      </c>
      <c r="I1219">
        <v>5102</v>
      </c>
      <c r="J1219" s="3">
        <v>12</v>
      </c>
      <c r="K1219" s="3">
        <v>6.16</v>
      </c>
      <c r="L1219">
        <v>48.67</v>
      </c>
    </row>
    <row r="1220" spans="1:12">
      <c r="A1220" s="1">
        <v>46029</v>
      </c>
      <c r="B1220" t="s">
        <v>11566</v>
      </c>
      <c r="C1220">
        <v>4</v>
      </c>
      <c r="D1220" t="str">
        <f>VLOOKUP(Tabela26[[#This Row],[EMP]],[1]LOJA!$A:$B,2,0)</f>
        <v>ADE</v>
      </c>
      <c r="E1220">
        <v>132</v>
      </c>
      <c r="F1220" t="s">
        <v>3660</v>
      </c>
      <c r="G1220" t="s">
        <v>3659</v>
      </c>
      <c r="H1220" t="s">
        <v>3430</v>
      </c>
      <c r="I1220">
        <v>5405</v>
      </c>
      <c r="J1220" s="3">
        <v>183.01</v>
      </c>
      <c r="K1220" s="3">
        <v>88.6</v>
      </c>
      <c r="L1220">
        <v>51.59</v>
      </c>
    </row>
    <row r="1221" spans="1:12">
      <c r="A1221" s="1">
        <v>46029</v>
      </c>
      <c r="B1221" t="s">
        <v>11565</v>
      </c>
      <c r="C1221">
        <v>4</v>
      </c>
      <c r="D1221" t="str">
        <f>VLOOKUP(Tabela26[[#This Row],[EMP]],[1]LOJA!$A:$B,2,0)</f>
        <v>ADE</v>
      </c>
      <c r="E1221">
        <v>132</v>
      </c>
      <c r="F1221" t="s">
        <v>5027</v>
      </c>
      <c r="G1221" t="s">
        <v>5026</v>
      </c>
      <c r="H1221" t="s">
        <v>3430</v>
      </c>
      <c r="I1221">
        <v>5102</v>
      </c>
      <c r="J1221" s="3">
        <v>648.70000000000005</v>
      </c>
      <c r="K1221" s="3">
        <v>372.62</v>
      </c>
      <c r="L1221">
        <v>42.56</v>
      </c>
    </row>
    <row r="1222" spans="1:12">
      <c r="A1222" s="1">
        <v>46029</v>
      </c>
      <c r="B1222" t="s">
        <v>11564</v>
      </c>
      <c r="C1222">
        <v>4</v>
      </c>
      <c r="D1222" t="str">
        <f>VLOOKUP(Tabela26[[#This Row],[EMP]],[1]LOJA!$A:$B,2,0)</f>
        <v>ADE</v>
      </c>
      <c r="E1222">
        <v>132</v>
      </c>
      <c r="F1222" t="s">
        <v>4383</v>
      </c>
      <c r="G1222" t="s">
        <v>4382</v>
      </c>
      <c r="H1222" t="s">
        <v>3408</v>
      </c>
      <c r="I1222">
        <v>5405</v>
      </c>
      <c r="J1222" s="3">
        <v>580</v>
      </c>
      <c r="K1222" s="3">
        <v>292.77999999999997</v>
      </c>
      <c r="L1222">
        <v>49.52</v>
      </c>
    </row>
    <row r="1223" spans="1:12">
      <c r="A1223" s="1">
        <v>46029</v>
      </c>
      <c r="B1223" t="s">
        <v>11563</v>
      </c>
      <c r="C1223">
        <v>4</v>
      </c>
      <c r="D1223" t="str">
        <f>VLOOKUP(Tabela26[[#This Row],[EMP]],[1]LOJA!$A:$B,2,0)</f>
        <v>ADE</v>
      </c>
      <c r="E1223">
        <v>132</v>
      </c>
      <c r="F1223" t="s">
        <v>5076</v>
      </c>
      <c r="G1223" t="s">
        <v>5075</v>
      </c>
      <c r="H1223" t="s">
        <v>3401</v>
      </c>
      <c r="I1223">
        <v>1411</v>
      </c>
      <c r="J1223" s="3">
        <v>-80</v>
      </c>
      <c r="K1223" s="3">
        <v>-41.42</v>
      </c>
      <c r="L1223">
        <v>48.23</v>
      </c>
    </row>
    <row r="1224" spans="1:12">
      <c r="A1224" s="1">
        <v>46029</v>
      </c>
      <c r="B1224" t="s">
        <v>11562</v>
      </c>
      <c r="C1224">
        <v>4</v>
      </c>
      <c r="D1224" t="str">
        <f>VLOOKUP(Tabela26[[#This Row],[EMP]],[1]LOJA!$A:$B,2,0)</f>
        <v>ADE</v>
      </c>
      <c r="E1224">
        <v>132</v>
      </c>
      <c r="F1224" t="s">
        <v>5076</v>
      </c>
      <c r="G1224" t="s">
        <v>5075</v>
      </c>
      <c r="H1224" t="s">
        <v>3408</v>
      </c>
      <c r="I1224">
        <v>5102</v>
      </c>
      <c r="J1224" s="3">
        <v>230</v>
      </c>
      <c r="K1224" s="3">
        <v>103.4</v>
      </c>
      <c r="L1224">
        <v>55.04</v>
      </c>
    </row>
    <row r="1225" spans="1:12">
      <c r="A1225" s="1">
        <v>46029</v>
      </c>
      <c r="B1225" t="s">
        <v>11561</v>
      </c>
      <c r="C1225">
        <v>4</v>
      </c>
      <c r="D1225" t="str">
        <f>VLOOKUP(Tabela26[[#This Row],[EMP]],[1]LOJA!$A:$B,2,0)</f>
        <v>ADE</v>
      </c>
      <c r="E1225">
        <v>132</v>
      </c>
      <c r="F1225" t="s">
        <v>11559</v>
      </c>
      <c r="G1225" t="s">
        <v>11558</v>
      </c>
      <c r="H1225" t="s">
        <v>3401</v>
      </c>
      <c r="I1225">
        <v>1411</v>
      </c>
      <c r="J1225" s="3">
        <v>-109.36</v>
      </c>
      <c r="K1225" s="3">
        <v>-58.48</v>
      </c>
      <c r="L1225">
        <v>46.53</v>
      </c>
    </row>
    <row r="1226" spans="1:12">
      <c r="A1226" s="1">
        <v>46029</v>
      </c>
      <c r="B1226" t="s">
        <v>11560</v>
      </c>
      <c r="C1226">
        <v>4</v>
      </c>
      <c r="D1226" t="str">
        <f>VLOOKUP(Tabela26[[#This Row],[EMP]],[1]LOJA!$A:$B,2,0)</f>
        <v>ADE</v>
      </c>
      <c r="E1226">
        <v>132</v>
      </c>
      <c r="F1226" t="s">
        <v>11559</v>
      </c>
      <c r="G1226" t="s">
        <v>11558</v>
      </c>
      <c r="H1226" t="s">
        <v>3401</v>
      </c>
      <c r="I1226">
        <v>1411</v>
      </c>
      <c r="J1226" s="3">
        <v>-50</v>
      </c>
      <c r="K1226" s="3">
        <v>-28.07</v>
      </c>
      <c r="L1226">
        <v>43.86</v>
      </c>
    </row>
    <row r="1227" spans="1:12">
      <c r="A1227" s="1">
        <v>46029</v>
      </c>
      <c r="B1227" t="s">
        <v>11557</v>
      </c>
      <c r="C1227">
        <v>4</v>
      </c>
      <c r="D1227" t="str">
        <f>VLOOKUP(Tabela26[[#This Row],[EMP]],[1]LOJA!$A:$B,2,0)</f>
        <v>ADE</v>
      </c>
      <c r="E1227">
        <v>132</v>
      </c>
      <c r="F1227" t="s">
        <v>5027</v>
      </c>
      <c r="G1227" t="s">
        <v>5026</v>
      </c>
      <c r="H1227" t="s">
        <v>3430</v>
      </c>
      <c r="I1227">
        <v>5405</v>
      </c>
      <c r="J1227" s="3">
        <v>305.55</v>
      </c>
      <c r="K1227" s="3">
        <v>148.87</v>
      </c>
      <c r="L1227">
        <v>51.28</v>
      </c>
    </row>
    <row r="1228" spans="1:12">
      <c r="A1228" s="1">
        <v>46029</v>
      </c>
      <c r="B1228" t="s">
        <v>11556</v>
      </c>
      <c r="C1228">
        <v>4</v>
      </c>
      <c r="D1228" t="str">
        <f>VLOOKUP(Tabela26[[#This Row],[EMP]],[1]LOJA!$A:$B,2,0)</f>
        <v>ADE</v>
      </c>
      <c r="E1228">
        <v>132</v>
      </c>
      <c r="F1228" t="s">
        <v>5027</v>
      </c>
      <c r="G1228" t="s">
        <v>5026</v>
      </c>
      <c r="H1228" t="s">
        <v>3401</v>
      </c>
      <c r="I1228">
        <v>1202</v>
      </c>
      <c r="J1228" s="3">
        <v>-334.8</v>
      </c>
      <c r="K1228" s="3">
        <v>-192.24</v>
      </c>
      <c r="L1228">
        <v>42.58</v>
      </c>
    </row>
    <row r="1229" spans="1:12">
      <c r="A1229" s="1">
        <v>46029</v>
      </c>
      <c r="B1229" t="s">
        <v>11555</v>
      </c>
      <c r="C1229">
        <v>4</v>
      </c>
      <c r="D1229" t="str">
        <f>VLOOKUP(Tabela26[[#This Row],[EMP]],[1]LOJA!$A:$B,2,0)</f>
        <v>ADE</v>
      </c>
      <c r="E1229">
        <v>132</v>
      </c>
      <c r="F1229" t="s">
        <v>11554</v>
      </c>
      <c r="G1229" t="s">
        <v>11553</v>
      </c>
      <c r="H1229" t="s">
        <v>3408</v>
      </c>
      <c r="I1229">
        <v>5405</v>
      </c>
      <c r="J1229" s="3">
        <v>360</v>
      </c>
      <c r="K1229" s="3">
        <v>155.97999999999999</v>
      </c>
      <c r="L1229">
        <v>56.67</v>
      </c>
    </row>
    <row r="1230" spans="1:12">
      <c r="A1230" s="1">
        <v>46029</v>
      </c>
      <c r="B1230" t="s">
        <v>11552</v>
      </c>
      <c r="C1230">
        <v>4</v>
      </c>
      <c r="D1230" t="str">
        <f>VLOOKUP(Tabela26[[#This Row],[EMP]],[1]LOJA!$A:$B,2,0)</f>
        <v>ADE</v>
      </c>
      <c r="E1230">
        <v>132</v>
      </c>
      <c r="F1230" t="s">
        <v>5027</v>
      </c>
      <c r="G1230" t="s">
        <v>5026</v>
      </c>
      <c r="H1230" t="s">
        <v>3430</v>
      </c>
      <c r="I1230">
        <v>5405</v>
      </c>
      <c r="J1230" s="3">
        <v>46.8</v>
      </c>
      <c r="K1230" s="3">
        <v>21.84</v>
      </c>
      <c r="L1230">
        <v>53.33</v>
      </c>
    </row>
    <row r="1231" spans="1:12">
      <c r="A1231" s="1">
        <v>46029</v>
      </c>
      <c r="B1231" t="s">
        <v>11551</v>
      </c>
      <c r="C1231">
        <v>4</v>
      </c>
      <c r="D1231" t="str">
        <f>VLOOKUP(Tabela26[[#This Row],[EMP]],[1]LOJA!$A:$B,2,0)</f>
        <v>ADE</v>
      </c>
      <c r="E1231">
        <v>132</v>
      </c>
      <c r="F1231" t="s">
        <v>3664</v>
      </c>
      <c r="G1231" t="s">
        <v>3663</v>
      </c>
      <c r="H1231" t="s">
        <v>3430</v>
      </c>
      <c r="I1231">
        <v>5405</v>
      </c>
      <c r="J1231" s="3">
        <v>55</v>
      </c>
      <c r="K1231" s="3">
        <v>26.18</v>
      </c>
      <c r="L1231">
        <v>52.4</v>
      </c>
    </row>
    <row r="1232" spans="1:12">
      <c r="A1232" s="1">
        <v>46029</v>
      </c>
      <c r="B1232" t="s">
        <v>11550</v>
      </c>
      <c r="C1232">
        <v>4</v>
      </c>
      <c r="D1232" t="str">
        <f>VLOOKUP(Tabela26[[#This Row],[EMP]],[1]LOJA!$A:$B,2,0)</f>
        <v>ADE</v>
      </c>
      <c r="E1232">
        <v>132</v>
      </c>
      <c r="F1232" t="s">
        <v>3677</v>
      </c>
      <c r="G1232" t="s">
        <v>3676</v>
      </c>
      <c r="H1232" t="s">
        <v>3537</v>
      </c>
      <c r="I1232">
        <v>5102</v>
      </c>
      <c r="J1232" s="3">
        <v>280</v>
      </c>
      <c r="K1232" s="3">
        <v>69.53</v>
      </c>
      <c r="L1232">
        <v>75.17</v>
      </c>
    </row>
    <row r="1233" spans="1:12">
      <c r="A1233" s="1">
        <v>46029</v>
      </c>
      <c r="B1233" t="s">
        <v>11549</v>
      </c>
      <c r="C1233">
        <v>4</v>
      </c>
      <c r="D1233" t="str">
        <f>VLOOKUP(Tabela26[[#This Row],[EMP]],[1]LOJA!$A:$B,2,0)</f>
        <v>ADE</v>
      </c>
      <c r="E1233">
        <v>132</v>
      </c>
      <c r="F1233" t="s">
        <v>3664</v>
      </c>
      <c r="G1233" t="s">
        <v>3663</v>
      </c>
      <c r="H1233" t="s">
        <v>3430</v>
      </c>
      <c r="I1233">
        <v>5405</v>
      </c>
      <c r="J1233" s="3">
        <v>125.82</v>
      </c>
      <c r="K1233" s="3">
        <v>60.5</v>
      </c>
      <c r="L1233">
        <v>51.92</v>
      </c>
    </row>
    <row r="1234" spans="1:12">
      <c r="A1234" s="1">
        <v>46029</v>
      </c>
      <c r="B1234" t="s">
        <v>11548</v>
      </c>
      <c r="C1234">
        <v>4</v>
      </c>
      <c r="D1234" t="str">
        <f>VLOOKUP(Tabela26[[#This Row],[EMP]],[1]LOJA!$A:$B,2,0)</f>
        <v>ADE</v>
      </c>
      <c r="E1234">
        <v>132</v>
      </c>
      <c r="F1234" t="s">
        <v>3667</v>
      </c>
      <c r="G1234" t="s">
        <v>3666</v>
      </c>
      <c r="H1234" t="s">
        <v>3430</v>
      </c>
      <c r="I1234">
        <v>5405</v>
      </c>
      <c r="J1234" s="3">
        <v>72.31</v>
      </c>
      <c r="K1234" s="3">
        <v>35.58</v>
      </c>
      <c r="L1234">
        <v>50.8</v>
      </c>
    </row>
    <row r="1235" spans="1:12">
      <c r="A1235" s="1">
        <v>46029</v>
      </c>
      <c r="B1235" t="s">
        <v>11547</v>
      </c>
      <c r="C1235">
        <v>4</v>
      </c>
      <c r="D1235" t="str">
        <f>VLOOKUP(Tabela26[[#This Row],[EMP]],[1]LOJA!$A:$B,2,0)</f>
        <v>ADE</v>
      </c>
      <c r="E1235">
        <v>132</v>
      </c>
      <c r="F1235" t="s">
        <v>3664</v>
      </c>
      <c r="G1235" t="s">
        <v>3663</v>
      </c>
      <c r="H1235" t="s">
        <v>3430</v>
      </c>
      <c r="I1235">
        <v>5405</v>
      </c>
      <c r="J1235" s="3">
        <v>340.15</v>
      </c>
      <c r="K1235" s="3">
        <v>162.77000000000001</v>
      </c>
      <c r="L1235">
        <v>52.15</v>
      </c>
    </row>
    <row r="1236" spans="1:12">
      <c r="A1236" s="1">
        <v>46029</v>
      </c>
      <c r="B1236" t="s">
        <v>11546</v>
      </c>
      <c r="C1236">
        <v>13</v>
      </c>
      <c r="D1236" t="str">
        <f>VLOOKUP(Tabela26[[#This Row],[EMP]],[1]LOJA!$A:$B,2,0)</f>
        <v>CEILÂNDIA</v>
      </c>
      <c r="E1236">
        <v>86</v>
      </c>
      <c r="F1236" t="s">
        <v>3403</v>
      </c>
      <c r="G1236" t="s">
        <v>3402</v>
      </c>
      <c r="H1236" t="s">
        <v>3408</v>
      </c>
      <c r="I1236">
        <v>5405</v>
      </c>
      <c r="J1236" s="3">
        <v>100</v>
      </c>
      <c r="K1236" s="3">
        <v>51.49</v>
      </c>
      <c r="L1236">
        <v>48.51</v>
      </c>
    </row>
    <row r="1237" spans="1:12">
      <c r="A1237" s="1">
        <v>46029</v>
      </c>
      <c r="B1237" t="s">
        <v>11545</v>
      </c>
      <c r="C1237">
        <v>13</v>
      </c>
      <c r="D1237" t="str">
        <f>VLOOKUP(Tabela26[[#This Row],[EMP]],[1]LOJA!$A:$B,2,0)</f>
        <v>CEILÂNDIA</v>
      </c>
      <c r="E1237">
        <v>86</v>
      </c>
      <c r="F1237" t="s">
        <v>6108</v>
      </c>
      <c r="G1237" t="s">
        <v>3402</v>
      </c>
      <c r="H1237" t="s">
        <v>3408</v>
      </c>
      <c r="I1237">
        <v>5102</v>
      </c>
      <c r="J1237" s="3">
        <v>145</v>
      </c>
      <c r="K1237" s="3">
        <v>67.84</v>
      </c>
      <c r="L1237">
        <v>53.21</v>
      </c>
    </row>
    <row r="1238" spans="1:12">
      <c r="A1238" s="1">
        <v>46029</v>
      </c>
      <c r="B1238" t="s">
        <v>11544</v>
      </c>
      <c r="C1238">
        <v>13</v>
      </c>
      <c r="D1238" t="str">
        <f>VLOOKUP(Tabela26[[#This Row],[EMP]],[1]LOJA!$A:$B,2,0)</f>
        <v>CEILÂNDIA</v>
      </c>
      <c r="E1238">
        <v>86</v>
      </c>
      <c r="F1238" t="s">
        <v>3406</v>
      </c>
      <c r="G1238" t="s">
        <v>3405</v>
      </c>
      <c r="H1238" t="s">
        <v>3401</v>
      </c>
      <c r="I1238">
        <v>5405</v>
      </c>
      <c r="J1238" s="3">
        <v>270</v>
      </c>
      <c r="K1238" s="3">
        <v>151.72</v>
      </c>
      <c r="L1238">
        <v>43.81</v>
      </c>
    </row>
    <row r="1239" spans="1:12">
      <c r="A1239" s="1">
        <v>46029</v>
      </c>
      <c r="B1239" t="s">
        <v>11543</v>
      </c>
      <c r="C1239">
        <v>13</v>
      </c>
      <c r="D1239" t="str">
        <f>VLOOKUP(Tabela26[[#This Row],[EMP]],[1]LOJA!$A:$B,2,0)</f>
        <v>CEILÂNDIA</v>
      </c>
      <c r="E1239">
        <v>86</v>
      </c>
      <c r="F1239" t="s">
        <v>10994</v>
      </c>
      <c r="G1239" t="s">
        <v>10993</v>
      </c>
      <c r="H1239" t="s">
        <v>3408</v>
      </c>
      <c r="I1239">
        <v>5405</v>
      </c>
      <c r="J1239" s="3">
        <v>54</v>
      </c>
      <c r="K1239" s="3">
        <v>27.44</v>
      </c>
      <c r="L1239">
        <v>49.19</v>
      </c>
    </row>
    <row r="1240" spans="1:12">
      <c r="A1240" s="1">
        <v>46029</v>
      </c>
      <c r="B1240" t="s">
        <v>11542</v>
      </c>
      <c r="C1240">
        <v>13</v>
      </c>
      <c r="D1240" t="str">
        <f>VLOOKUP(Tabela26[[#This Row],[EMP]],[1]LOJA!$A:$B,2,0)</f>
        <v>CEILÂNDIA</v>
      </c>
      <c r="E1240">
        <v>86</v>
      </c>
      <c r="F1240" t="s">
        <v>3403</v>
      </c>
      <c r="G1240" t="s">
        <v>3402</v>
      </c>
      <c r="H1240" t="s">
        <v>3401</v>
      </c>
      <c r="I1240">
        <v>5102</v>
      </c>
      <c r="J1240" s="3">
        <v>17</v>
      </c>
      <c r="K1240" s="3">
        <v>8.9499999999999993</v>
      </c>
      <c r="L1240">
        <v>47.35</v>
      </c>
    </row>
    <row r="1241" spans="1:12">
      <c r="A1241" s="1">
        <v>46029</v>
      </c>
      <c r="B1241" t="s">
        <v>11541</v>
      </c>
      <c r="C1241">
        <v>13</v>
      </c>
      <c r="D1241" t="str">
        <f>VLOOKUP(Tabela26[[#This Row],[EMP]],[1]LOJA!$A:$B,2,0)</f>
        <v>CEILÂNDIA</v>
      </c>
      <c r="E1241">
        <v>86</v>
      </c>
      <c r="F1241" t="s">
        <v>3615</v>
      </c>
      <c r="G1241" t="s">
        <v>3614</v>
      </c>
      <c r="H1241" t="s">
        <v>6497</v>
      </c>
      <c r="I1241">
        <v>5405</v>
      </c>
      <c r="J1241" s="3">
        <v>55</v>
      </c>
      <c r="K1241" s="3">
        <v>30.51</v>
      </c>
      <c r="L1241">
        <v>44.53</v>
      </c>
    </row>
    <row r="1242" spans="1:12">
      <c r="A1242" s="1">
        <v>46029</v>
      </c>
      <c r="B1242" t="s">
        <v>11540</v>
      </c>
      <c r="C1242">
        <v>13</v>
      </c>
      <c r="D1242" t="str">
        <f>VLOOKUP(Tabela26[[#This Row],[EMP]],[1]LOJA!$A:$B,2,0)</f>
        <v>CEILÂNDIA</v>
      </c>
      <c r="E1242">
        <v>33</v>
      </c>
      <c r="F1242" t="s">
        <v>5845</v>
      </c>
      <c r="G1242" t="s">
        <v>5844</v>
      </c>
      <c r="H1242" t="s">
        <v>3401</v>
      </c>
      <c r="I1242">
        <v>5102</v>
      </c>
      <c r="J1242" s="3">
        <v>140</v>
      </c>
      <c r="K1242" s="3">
        <v>75.400000000000006</v>
      </c>
      <c r="L1242">
        <v>46.14</v>
      </c>
    </row>
    <row r="1243" spans="1:12">
      <c r="A1243" s="1">
        <v>46029</v>
      </c>
      <c r="B1243" t="s">
        <v>11539</v>
      </c>
      <c r="C1243">
        <v>13</v>
      </c>
      <c r="D1243" t="str">
        <f>VLOOKUP(Tabela26[[#This Row],[EMP]],[1]LOJA!$A:$B,2,0)</f>
        <v>CEILÂNDIA</v>
      </c>
      <c r="E1243">
        <v>86</v>
      </c>
      <c r="F1243" t="s">
        <v>3403</v>
      </c>
      <c r="G1243" t="s">
        <v>3402</v>
      </c>
      <c r="H1243" t="s">
        <v>3401</v>
      </c>
      <c r="I1243">
        <v>5102</v>
      </c>
      <c r="J1243" s="3">
        <v>14</v>
      </c>
      <c r="K1243" s="3">
        <v>6.36</v>
      </c>
      <c r="L1243">
        <v>54.57</v>
      </c>
    </row>
    <row r="1244" spans="1:12">
      <c r="A1244" s="1">
        <v>46029</v>
      </c>
      <c r="B1244" t="s">
        <v>11538</v>
      </c>
      <c r="C1244">
        <v>13</v>
      </c>
      <c r="D1244" t="str">
        <f>VLOOKUP(Tabela26[[#This Row],[EMP]],[1]LOJA!$A:$B,2,0)</f>
        <v>CEILÂNDIA</v>
      </c>
      <c r="E1244">
        <v>33</v>
      </c>
      <c r="F1244" t="s">
        <v>3403</v>
      </c>
      <c r="G1244" t="s">
        <v>3402</v>
      </c>
      <c r="H1244" t="s">
        <v>3401</v>
      </c>
      <c r="I1244">
        <v>5405</v>
      </c>
      <c r="J1244" s="3">
        <v>65</v>
      </c>
      <c r="K1244" s="3">
        <v>32.94</v>
      </c>
      <c r="L1244">
        <v>49.32</v>
      </c>
    </row>
    <row r="1245" spans="1:12">
      <c r="A1245" s="1">
        <v>46029</v>
      </c>
      <c r="B1245" t="s">
        <v>11537</v>
      </c>
      <c r="C1245">
        <v>13</v>
      </c>
      <c r="D1245" t="str">
        <f>VLOOKUP(Tabela26[[#This Row],[EMP]],[1]LOJA!$A:$B,2,0)</f>
        <v>CEILÂNDIA</v>
      </c>
      <c r="E1245">
        <v>86</v>
      </c>
      <c r="F1245" t="s">
        <v>3609</v>
      </c>
      <c r="G1245" t="s">
        <v>3608</v>
      </c>
      <c r="H1245" t="s">
        <v>3408</v>
      </c>
      <c r="I1245">
        <v>5102</v>
      </c>
      <c r="J1245" s="3">
        <v>31.6</v>
      </c>
      <c r="K1245" s="3">
        <v>16.64</v>
      </c>
      <c r="L1245">
        <v>47.34</v>
      </c>
    </row>
    <row r="1246" spans="1:12">
      <c r="A1246" s="1">
        <v>46029</v>
      </c>
      <c r="B1246" t="s">
        <v>11536</v>
      </c>
      <c r="C1246">
        <v>13</v>
      </c>
      <c r="D1246" t="str">
        <f>VLOOKUP(Tabela26[[#This Row],[EMP]],[1]LOJA!$A:$B,2,0)</f>
        <v>CEILÂNDIA</v>
      </c>
      <c r="E1246">
        <v>86</v>
      </c>
      <c r="F1246" t="s">
        <v>3609</v>
      </c>
      <c r="G1246" t="s">
        <v>3608</v>
      </c>
      <c r="H1246" t="s">
        <v>3408</v>
      </c>
      <c r="I1246">
        <v>5102</v>
      </c>
      <c r="J1246" s="3">
        <v>350</v>
      </c>
      <c r="K1246" s="3">
        <v>220.78</v>
      </c>
      <c r="L1246">
        <v>36.92</v>
      </c>
    </row>
    <row r="1247" spans="1:12">
      <c r="A1247" s="1">
        <v>46029</v>
      </c>
      <c r="B1247" t="s">
        <v>11535</v>
      </c>
      <c r="C1247">
        <v>13</v>
      </c>
      <c r="D1247" t="str">
        <f>VLOOKUP(Tabela26[[#This Row],[EMP]],[1]LOJA!$A:$B,2,0)</f>
        <v>CEILÂNDIA</v>
      </c>
      <c r="E1247">
        <v>86</v>
      </c>
      <c r="F1247" t="s">
        <v>5565</v>
      </c>
      <c r="G1247" t="s">
        <v>5564</v>
      </c>
      <c r="H1247" t="s">
        <v>6497</v>
      </c>
      <c r="I1247">
        <v>5102</v>
      </c>
      <c r="J1247" s="3">
        <v>47.5</v>
      </c>
      <c r="K1247" s="3">
        <v>27.75</v>
      </c>
      <c r="L1247">
        <v>41.58</v>
      </c>
    </row>
    <row r="1248" spans="1:12">
      <c r="A1248" s="1">
        <v>46029</v>
      </c>
      <c r="B1248" t="s">
        <v>11534</v>
      </c>
      <c r="C1248">
        <v>13</v>
      </c>
      <c r="D1248" t="str">
        <f>VLOOKUP(Tabela26[[#This Row],[EMP]],[1]LOJA!$A:$B,2,0)</f>
        <v>CEILÂNDIA</v>
      </c>
      <c r="E1248">
        <v>86</v>
      </c>
      <c r="F1248" t="s">
        <v>6186</v>
      </c>
      <c r="G1248" t="s">
        <v>3402</v>
      </c>
      <c r="H1248" t="s">
        <v>3408</v>
      </c>
      <c r="I1248">
        <v>5102</v>
      </c>
      <c r="J1248" s="3">
        <v>55</v>
      </c>
      <c r="K1248" s="3">
        <v>31</v>
      </c>
      <c r="L1248">
        <v>43.64</v>
      </c>
    </row>
    <row r="1249" spans="1:12">
      <c r="A1249" s="1">
        <v>46029</v>
      </c>
      <c r="B1249" t="s">
        <v>11533</v>
      </c>
      <c r="C1249">
        <v>13</v>
      </c>
      <c r="D1249" t="str">
        <f>VLOOKUP(Tabela26[[#This Row],[EMP]],[1]LOJA!$A:$B,2,0)</f>
        <v>CEILÂNDIA</v>
      </c>
      <c r="E1249">
        <v>86</v>
      </c>
      <c r="F1249" t="s">
        <v>5565</v>
      </c>
      <c r="G1249" t="s">
        <v>5564</v>
      </c>
      <c r="H1249" t="s">
        <v>6497</v>
      </c>
      <c r="I1249">
        <v>5102</v>
      </c>
      <c r="J1249" s="3">
        <v>101.8</v>
      </c>
      <c r="K1249" s="3">
        <v>62.7</v>
      </c>
      <c r="L1249">
        <v>38.409999999999997</v>
      </c>
    </row>
    <row r="1250" spans="1:12">
      <c r="A1250" s="1">
        <v>46029</v>
      </c>
      <c r="B1250" t="s">
        <v>11532</v>
      </c>
      <c r="C1250">
        <v>13</v>
      </c>
      <c r="D1250" t="str">
        <f>VLOOKUP(Tabela26[[#This Row],[EMP]],[1]LOJA!$A:$B,2,0)</f>
        <v>CEILÂNDIA</v>
      </c>
      <c r="E1250">
        <v>86</v>
      </c>
      <c r="F1250" t="s">
        <v>5565</v>
      </c>
      <c r="G1250" t="s">
        <v>5564</v>
      </c>
      <c r="H1250" t="s">
        <v>6497</v>
      </c>
      <c r="I1250">
        <v>5102</v>
      </c>
      <c r="J1250" s="3">
        <v>9.06</v>
      </c>
      <c r="K1250" s="3">
        <v>5.04</v>
      </c>
      <c r="L1250">
        <v>44.37</v>
      </c>
    </row>
    <row r="1251" spans="1:12">
      <c r="A1251" s="1">
        <v>46029</v>
      </c>
      <c r="B1251" t="s">
        <v>11531</v>
      </c>
      <c r="C1251">
        <v>13</v>
      </c>
      <c r="D1251" t="str">
        <f>VLOOKUP(Tabela26[[#This Row],[EMP]],[1]LOJA!$A:$B,2,0)</f>
        <v>CEILÂNDIA</v>
      </c>
      <c r="E1251">
        <v>86</v>
      </c>
      <c r="F1251" t="s">
        <v>3406</v>
      </c>
      <c r="G1251" t="s">
        <v>3405</v>
      </c>
      <c r="H1251" t="s">
        <v>3401</v>
      </c>
      <c r="I1251">
        <v>5102</v>
      </c>
      <c r="J1251" s="3">
        <v>25</v>
      </c>
      <c r="K1251" s="3">
        <v>15.4</v>
      </c>
      <c r="L1251">
        <v>38.4</v>
      </c>
    </row>
    <row r="1252" spans="1:12">
      <c r="A1252" s="1">
        <v>46029</v>
      </c>
      <c r="B1252" t="s">
        <v>11530</v>
      </c>
      <c r="C1252">
        <v>13</v>
      </c>
      <c r="D1252" t="str">
        <f>VLOOKUP(Tabela26[[#This Row],[EMP]],[1]LOJA!$A:$B,2,0)</f>
        <v>CEILÂNDIA</v>
      </c>
      <c r="E1252">
        <v>86</v>
      </c>
      <c r="F1252" t="s">
        <v>3406</v>
      </c>
      <c r="G1252" t="s">
        <v>3405</v>
      </c>
      <c r="H1252" t="s">
        <v>3408</v>
      </c>
      <c r="I1252">
        <v>5405</v>
      </c>
      <c r="J1252" s="3">
        <v>37</v>
      </c>
      <c r="K1252" s="3">
        <v>20.11</v>
      </c>
      <c r="L1252">
        <v>45.65</v>
      </c>
    </row>
    <row r="1253" spans="1:12">
      <c r="A1253" s="1">
        <v>46029</v>
      </c>
      <c r="B1253" t="s">
        <v>11529</v>
      </c>
      <c r="C1253">
        <v>13</v>
      </c>
      <c r="D1253" t="str">
        <f>VLOOKUP(Tabela26[[#This Row],[EMP]],[1]LOJA!$A:$B,2,0)</f>
        <v>CEILÂNDIA</v>
      </c>
      <c r="E1253">
        <v>86</v>
      </c>
      <c r="F1253" t="s">
        <v>3403</v>
      </c>
      <c r="G1253" t="s">
        <v>3402</v>
      </c>
      <c r="H1253" t="s">
        <v>3401</v>
      </c>
      <c r="I1253">
        <v>5102</v>
      </c>
      <c r="J1253" s="3">
        <v>60</v>
      </c>
      <c r="K1253" s="3">
        <v>31.35</v>
      </c>
      <c r="L1253">
        <v>47.75</v>
      </c>
    </row>
    <row r="1254" spans="1:12">
      <c r="A1254" s="1">
        <v>46029</v>
      </c>
      <c r="B1254" t="s">
        <v>11528</v>
      </c>
      <c r="C1254">
        <v>13</v>
      </c>
      <c r="D1254" t="str">
        <f>VLOOKUP(Tabela26[[#This Row],[EMP]],[1]LOJA!$A:$B,2,0)</f>
        <v>CEILÂNDIA</v>
      </c>
      <c r="E1254">
        <v>86</v>
      </c>
      <c r="F1254" t="s">
        <v>3622</v>
      </c>
      <c r="G1254" t="s">
        <v>3402</v>
      </c>
      <c r="H1254" t="s">
        <v>3408</v>
      </c>
      <c r="I1254">
        <v>5405</v>
      </c>
      <c r="J1254" s="3">
        <v>60</v>
      </c>
      <c r="K1254" s="3">
        <v>25.9</v>
      </c>
      <c r="L1254">
        <v>56.83</v>
      </c>
    </row>
    <row r="1255" spans="1:12">
      <c r="A1255" s="1">
        <v>46029</v>
      </c>
      <c r="B1255" t="s">
        <v>11527</v>
      </c>
      <c r="C1255">
        <v>13</v>
      </c>
      <c r="D1255" t="str">
        <f>VLOOKUP(Tabela26[[#This Row],[EMP]],[1]LOJA!$A:$B,2,0)</f>
        <v>CEILÂNDIA</v>
      </c>
      <c r="E1255">
        <v>86</v>
      </c>
      <c r="F1255" t="s">
        <v>7947</v>
      </c>
      <c r="G1255" t="s">
        <v>7946</v>
      </c>
      <c r="H1255" t="s">
        <v>3408</v>
      </c>
      <c r="I1255">
        <v>5102</v>
      </c>
      <c r="J1255" s="3">
        <v>187</v>
      </c>
      <c r="K1255" s="3">
        <v>105.36</v>
      </c>
      <c r="L1255">
        <v>43.66</v>
      </c>
    </row>
    <row r="1256" spans="1:12">
      <c r="A1256" s="1">
        <v>46029</v>
      </c>
      <c r="B1256" t="s">
        <v>11526</v>
      </c>
      <c r="C1256">
        <v>13</v>
      </c>
      <c r="D1256" t="str">
        <f>VLOOKUP(Tabela26[[#This Row],[EMP]],[1]LOJA!$A:$B,2,0)</f>
        <v>CEILÂNDIA</v>
      </c>
      <c r="E1256">
        <v>86</v>
      </c>
      <c r="F1256" t="s">
        <v>3403</v>
      </c>
      <c r="G1256" t="s">
        <v>3402</v>
      </c>
      <c r="H1256" t="s">
        <v>3401</v>
      </c>
      <c r="I1256">
        <v>5102</v>
      </c>
      <c r="J1256" s="3">
        <v>20</v>
      </c>
      <c r="K1256" s="3">
        <v>9.5500000000000007</v>
      </c>
      <c r="L1256">
        <v>52.25</v>
      </c>
    </row>
    <row r="1257" spans="1:12">
      <c r="A1257" s="1">
        <v>46029</v>
      </c>
      <c r="B1257" t="s">
        <v>11525</v>
      </c>
      <c r="C1257">
        <v>13</v>
      </c>
      <c r="D1257" t="str">
        <f>VLOOKUP(Tabela26[[#This Row],[EMP]],[1]LOJA!$A:$B,2,0)</f>
        <v>CEILÂNDIA</v>
      </c>
      <c r="E1257">
        <v>86</v>
      </c>
      <c r="F1257" t="s">
        <v>3403</v>
      </c>
      <c r="G1257" t="s">
        <v>3402</v>
      </c>
      <c r="H1257" t="s">
        <v>3401</v>
      </c>
      <c r="I1257">
        <v>5102</v>
      </c>
      <c r="J1257" s="3">
        <v>48</v>
      </c>
      <c r="K1257" s="3">
        <v>26.92</v>
      </c>
      <c r="L1257">
        <v>43.92</v>
      </c>
    </row>
    <row r="1258" spans="1:12">
      <c r="A1258" s="1">
        <v>46029</v>
      </c>
      <c r="B1258" t="s">
        <v>11524</v>
      </c>
      <c r="C1258">
        <v>13</v>
      </c>
      <c r="D1258" t="str">
        <f>VLOOKUP(Tabela26[[#This Row],[EMP]],[1]LOJA!$A:$B,2,0)</f>
        <v>CEILÂNDIA</v>
      </c>
      <c r="E1258">
        <v>86</v>
      </c>
      <c r="F1258" t="s">
        <v>3597</v>
      </c>
      <c r="G1258" t="s">
        <v>3596</v>
      </c>
      <c r="H1258" t="s">
        <v>3408</v>
      </c>
      <c r="I1258">
        <v>5405</v>
      </c>
      <c r="J1258" s="3">
        <v>200</v>
      </c>
      <c r="K1258" s="3">
        <v>103.55</v>
      </c>
      <c r="L1258">
        <v>48.23</v>
      </c>
    </row>
    <row r="1259" spans="1:12">
      <c r="A1259" s="1">
        <v>46029</v>
      </c>
      <c r="B1259" t="s">
        <v>11523</v>
      </c>
      <c r="C1259">
        <v>13</v>
      </c>
      <c r="D1259" t="str">
        <f>VLOOKUP(Tabela26[[#This Row],[EMP]],[1]LOJA!$A:$B,2,0)</f>
        <v>CEILÂNDIA</v>
      </c>
      <c r="E1259">
        <v>86</v>
      </c>
      <c r="F1259" t="s">
        <v>11522</v>
      </c>
      <c r="G1259" t="s">
        <v>11521</v>
      </c>
      <c r="H1259" t="s">
        <v>3408</v>
      </c>
      <c r="I1259">
        <v>5102</v>
      </c>
      <c r="J1259" s="3">
        <v>22</v>
      </c>
      <c r="K1259" s="3">
        <v>13.32</v>
      </c>
      <c r="L1259">
        <v>39.450000000000003</v>
      </c>
    </row>
    <row r="1260" spans="1:12">
      <c r="A1260" s="1">
        <v>46029</v>
      </c>
      <c r="B1260" t="s">
        <v>11520</v>
      </c>
      <c r="C1260">
        <v>13</v>
      </c>
      <c r="D1260" t="str">
        <f>VLOOKUP(Tabela26[[#This Row],[EMP]],[1]LOJA!$A:$B,2,0)</f>
        <v>CEILÂNDIA</v>
      </c>
      <c r="E1260">
        <v>86</v>
      </c>
      <c r="F1260" t="s">
        <v>5565</v>
      </c>
      <c r="G1260" t="s">
        <v>5564</v>
      </c>
      <c r="H1260" t="s">
        <v>6497</v>
      </c>
      <c r="I1260">
        <v>5102</v>
      </c>
      <c r="J1260" s="3">
        <v>7.6</v>
      </c>
      <c r="K1260" s="3">
        <v>4.54</v>
      </c>
      <c r="L1260">
        <v>40.26</v>
      </c>
    </row>
    <row r="1261" spans="1:12">
      <c r="A1261" s="1">
        <v>46029</v>
      </c>
      <c r="B1261" t="s">
        <v>11519</v>
      </c>
      <c r="C1261">
        <v>13</v>
      </c>
      <c r="D1261" t="str">
        <f>VLOOKUP(Tabela26[[#This Row],[EMP]],[1]LOJA!$A:$B,2,0)</f>
        <v>CEILÂNDIA</v>
      </c>
      <c r="E1261">
        <v>86</v>
      </c>
      <c r="F1261" t="s">
        <v>4358</v>
      </c>
      <c r="G1261" t="s">
        <v>4357</v>
      </c>
      <c r="H1261" t="s">
        <v>3408</v>
      </c>
      <c r="I1261">
        <v>5102</v>
      </c>
      <c r="J1261" s="3">
        <v>9</v>
      </c>
      <c r="K1261" s="3">
        <v>4.16</v>
      </c>
      <c r="L1261">
        <v>53.78</v>
      </c>
    </row>
    <row r="1262" spans="1:12">
      <c r="A1262" s="1">
        <v>46029</v>
      </c>
      <c r="B1262" t="s">
        <v>11518</v>
      </c>
      <c r="C1262">
        <v>13</v>
      </c>
      <c r="D1262" t="str">
        <f>VLOOKUP(Tabela26[[#This Row],[EMP]],[1]LOJA!$A:$B,2,0)</f>
        <v>CEILÂNDIA</v>
      </c>
      <c r="E1262">
        <v>86</v>
      </c>
      <c r="F1262" t="s">
        <v>4358</v>
      </c>
      <c r="G1262" t="s">
        <v>4357</v>
      </c>
      <c r="H1262" t="s">
        <v>3408</v>
      </c>
      <c r="I1262">
        <v>5102</v>
      </c>
      <c r="J1262" s="3">
        <v>40</v>
      </c>
      <c r="K1262" s="3">
        <v>24.66</v>
      </c>
      <c r="L1262">
        <v>38.35</v>
      </c>
    </row>
    <row r="1263" spans="1:12">
      <c r="A1263" s="1">
        <v>46029</v>
      </c>
      <c r="B1263" t="s">
        <v>11517</v>
      </c>
      <c r="C1263">
        <v>13</v>
      </c>
      <c r="D1263" t="str">
        <f>VLOOKUP(Tabela26[[#This Row],[EMP]],[1]LOJA!$A:$B,2,0)</f>
        <v>CEILÂNDIA</v>
      </c>
      <c r="E1263">
        <v>86</v>
      </c>
      <c r="F1263" t="s">
        <v>7947</v>
      </c>
      <c r="G1263" t="s">
        <v>7946</v>
      </c>
      <c r="H1263" t="s">
        <v>3408</v>
      </c>
      <c r="I1263">
        <v>5405</v>
      </c>
      <c r="J1263" s="3">
        <v>213</v>
      </c>
      <c r="K1263" s="3">
        <v>103.37</v>
      </c>
      <c r="L1263">
        <v>51.47</v>
      </c>
    </row>
    <row r="1264" spans="1:12">
      <c r="A1264" s="1">
        <v>46029</v>
      </c>
      <c r="B1264" t="s">
        <v>11516</v>
      </c>
      <c r="C1264">
        <v>13</v>
      </c>
      <c r="D1264" t="str">
        <f>VLOOKUP(Tabela26[[#This Row],[EMP]],[1]LOJA!$A:$B,2,0)</f>
        <v>CEILÂNDIA</v>
      </c>
      <c r="E1264">
        <v>86</v>
      </c>
      <c r="F1264" t="s">
        <v>7947</v>
      </c>
      <c r="G1264" t="s">
        <v>7946</v>
      </c>
      <c r="H1264" t="s">
        <v>3408</v>
      </c>
      <c r="I1264">
        <v>5102</v>
      </c>
      <c r="J1264" s="3">
        <v>30</v>
      </c>
      <c r="K1264" s="3">
        <v>18.48</v>
      </c>
      <c r="L1264">
        <v>38.4</v>
      </c>
    </row>
    <row r="1265" spans="1:12">
      <c r="A1265" s="1">
        <v>46029</v>
      </c>
      <c r="B1265" t="s">
        <v>11515</v>
      </c>
      <c r="C1265">
        <v>13</v>
      </c>
      <c r="D1265" t="str">
        <f>VLOOKUP(Tabela26[[#This Row],[EMP]],[1]LOJA!$A:$B,2,0)</f>
        <v>CEILÂNDIA</v>
      </c>
      <c r="E1265">
        <v>86</v>
      </c>
      <c r="F1265" t="s">
        <v>11514</v>
      </c>
      <c r="G1265" t="s">
        <v>3402</v>
      </c>
      <c r="H1265" t="s">
        <v>3408</v>
      </c>
      <c r="I1265">
        <v>5102</v>
      </c>
      <c r="J1265" s="3">
        <v>23.9</v>
      </c>
      <c r="K1265" s="3">
        <v>11.63</v>
      </c>
      <c r="L1265">
        <v>51.34</v>
      </c>
    </row>
    <row r="1266" spans="1:12">
      <c r="A1266" s="1">
        <v>46029</v>
      </c>
      <c r="B1266" t="s">
        <v>11513</v>
      </c>
      <c r="C1266">
        <v>13</v>
      </c>
      <c r="D1266" t="str">
        <f>VLOOKUP(Tabela26[[#This Row],[EMP]],[1]LOJA!$A:$B,2,0)</f>
        <v>CEILÂNDIA</v>
      </c>
      <c r="E1266">
        <v>86</v>
      </c>
      <c r="F1266" t="s">
        <v>3403</v>
      </c>
      <c r="G1266" t="s">
        <v>3402</v>
      </c>
      <c r="H1266" t="s">
        <v>3401</v>
      </c>
      <c r="I1266">
        <v>5405</v>
      </c>
      <c r="J1266" s="3">
        <v>70</v>
      </c>
      <c r="K1266" s="3">
        <v>34.54</v>
      </c>
      <c r="L1266">
        <v>50.66</v>
      </c>
    </row>
    <row r="1267" spans="1:12">
      <c r="A1267" s="1">
        <v>46029</v>
      </c>
      <c r="B1267" t="s">
        <v>11512</v>
      </c>
      <c r="C1267">
        <v>13</v>
      </c>
      <c r="D1267" t="str">
        <f>VLOOKUP(Tabela26[[#This Row],[EMP]],[1]LOJA!$A:$B,2,0)</f>
        <v>CEILÂNDIA</v>
      </c>
      <c r="E1267">
        <v>86</v>
      </c>
      <c r="F1267" t="s">
        <v>3406</v>
      </c>
      <c r="G1267" t="s">
        <v>3405</v>
      </c>
      <c r="H1267" t="s">
        <v>3401</v>
      </c>
      <c r="I1267">
        <v>5102</v>
      </c>
      <c r="J1267" s="3">
        <v>20</v>
      </c>
      <c r="K1267" s="3">
        <v>10.36</v>
      </c>
      <c r="L1267">
        <v>48.2</v>
      </c>
    </row>
    <row r="1268" spans="1:12">
      <c r="A1268" s="1">
        <v>46029</v>
      </c>
      <c r="B1268" t="s">
        <v>11511</v>
      </c>
      <c r="C1268">
        <v>13</v>
      </c>
      <c r="D1268" t="str">
        <f>VLOOKUP(Tabela26[[#This Row],[EMP]],[1]LOJA!$A:$B,2,0)</f>
        <v>CEILÂNDIA</v>
      </c>
      <c r="E1268">
        <v>86</v>
      </c>
      <c r="F1268" t="s">
        <v>3591</v>
      </c>
      <c r="G1268" t="s">
        <v>3590</v>
      </c>
      <c r="H1268" t="s">
        <v>3520</v>
      </c>
      <c r="I1268">
        <v>5102</v>
      </c>
      <c r="J1268" s="3">
        <v>55</v>
      </c>
      <c r="K1268" s="3">
        <v>33.92</v>
      </c>
      <c r="L1268">
        <v>38.33</v>
      </c>
    </row>
    <row r="1269" spans="1:12">
      <c r="A1269" s="1">
        <v>46029</v>
      </c>
      <c r="B1269" t="s">
        <v>11510</v>
      </c>
      <c r="C1269">
        <v>13</v>
      </c>
      <c r="D1269" t="str">
        <f>VLOOKUP(Tabela26[[#This Row],[EMP]],[1]LOJA!$A:$B,2,0)</f>
        <v>CEILÂNDIA</v>
      </c>
      <c r="E1269">
        <v>86</v>
      </c>
      <c r="F1269" t="s">
        <v>11509</v>
      </c>
      <c r="G1269" t="s">
        <v>3402</v>
      </c>
      <c r="H1269" t="s">
        <v>3408</v>
      </c>
      <c r="I1269">
        <v>5102</v>
      </c>
      <c r="J1269" s="3">
        <v>95</v>
      </c>
      <c r="K1269" s="3">
        <v>56.93</v>
      </c>
      <c r="L1269">
        <v>40.07</v>
      </c>
    </row>
    <row r="1270" spans="1:12">
      <c r="A1270" s="1">
        <v>46029</v>
      </c>
      <c r="B1270" t="s">
        <v>11508</v>
      </c>
      <c r="C1270">
        <v>13</v>
      </c>
      <c r="D1270" t="str">
        <f>VLOOKUP(Tabela26[[#This Row],[EMP]],[1]LOJA!$A:$B,2,0)</f>
        <v>CEILÂNDIA</v>
      </c>
      <c r="E1270">
        <v>86</v>
      </c>
      <c r="F1270" t="s">
        <v>3406</v>
      </c>
      <c r="G1270" t="s">
        <v>3405</v>
      </c>
      <c r="H1270" t="s">
        <v>3408</v>
      </c>
      <c r="I1270">
        <v>5102</v>
      </c>
      <c r="J1270" s="3">
        <v>172.8</v>
      </c>
      <c r="K1270" s="3">
        <v>108.22</v>
      </c>
      <c r="L1270">
        <v>37.369999999999997</v>
      </c>
    </row>
    <row r="1271" spans="1:12">
      <c r="A1271" s="1">
        <v>46029</v>
      </c>
      <c r="B1271" t="s">
        <v>11507</v>
      </c>
      <c r="C1271">
        <v>13</v>
      </c>
      <c r="D1271" t="str">
        <f>VLOOKUP(Tabela26[[#This Row],[EMP]],[1]LOJA!$A:$B,2,0)</f>
        <v>CEILÂNDIA</v>
      </c>
      <c r="E1271">
        <v>86</v>
      </c>
      <c r="F1271" t="s">
        <v>7947</v>
      </c>
      <c r="G1271" t="s">
        <v>7946</v>
      </c>
      <c r="H1271" t="s">
        <v>3408</v>
      </c>
      <c r="I1271">
        <v>5102</v>
      </c>
      <c r="J1271" s="3">
        <v>45</v>
      </c>
      <c r="K1271" s="3">
        <v>24.38</v>
      </c>
      <c r="L1271">
        <v>45.82</v>
      </c>
    </row>
    <row r="1272" spans="1:12">
      <c r="A1272" s="1">
        <v>46029</v>
      </c>
      <c r="B1272" t="s">
        <v>11506</v>
      </c>
      <c r="C1272">
        <v>13</v>
      </c>
      <c r="D1272" t="str">
        <f>VLOOKUP(Tabela26[[#This Row],[EMP]],[1]LOJA!$A:$B,2,0)</f>
        <v>CEILÂNDIA</v>
      </c>
      <c r="E1272">
        <v>33</v>
      </c>
      <c r="F1272" t="s">
        <v>5320</v>
      </c>
      <c r="G1272" t="s">
        <v>5319</v>
      </c>
      <c r="H1272" t="s">
        <v>3408</v>
      </c>
      <c r="I1272">
        <v>5405</v>
      </c>
      <c r="J1272" s="3">
        <v>157</v>
      </c>
      <c r="K1272" s="3">
        <v>80.430000000000007</v>
      </c>
      <c r="L1272">
        <v>48.77</v>
      </c>
    </row>
    <row r="1273" spans="1:12">
      <c r="A1273" s="1">
        <v>46029</v>
      </c>
      <c r="B1273" t="s">
        <v>11505</v>
      </c>
      <c r="C1273">
        <v>13</v>
      </c>
      <c r="D1273" t="str">
        <f>VLOOKUP(Tabela26[[#This Row],[EMP]],[1]LOJA!$A:$B,2,0)</f>
        <v>CEILÂNDIA</v>
      </c>
      <c r="E1273">
        <v>86</v>
      </c>
      <c r="F1273" t="s">
        <v>3634</v>
      </c>
      <c r="G1273" t="s">
        <v>3633</v>
      </c>
      <c r="H1273" t="s">
        <v>6497</v>
      </c>
      <c r="I1273">
        <v>5405</v>
      </c>
      <c r="J1273" s="3">
        <v>200</v>
      </c>
      <c r="K1273" s="3">
        <v>103.9</v>
      </c>
      <c r="L1273">
        <v>48.05</v>
      </c>
    </row>
    <row r="1274" spans="1:12">
      <c r="A1274" s="1">
        <v>46029</v>
      </c>
      <c r="B1274" t="s">
        <v>11504</v>
      </c>
      <c r="C1274">
        <v>13</v>
      </c>
      <c r="D1274" t="str">
        <f>VLOOKUP(Tabela26[[#This Row],[EMP]],[1]LOJA!$A:$B,2,0)</f>
        <v>CEILÂNDIA</v>
      </c>
      <c r="E1274">
        <v>33</v>
      </c>
      <c r="F1274" t="s">
        <v>10795</v>
      </c>
      <c r="G1274" t="s">
        <v>10794</v>
      </c>
      <c r="H1274" t="s">
        <v>3408</v>
      </c>
      <c r="I1274">
        <v>5405</v>
      </c>
      <c r="J1274" s="3">
        <v>529.9</v>
      </c>
      <c r="K1274" s="3">
        <v>328.02</v>
      </c>
      <c r="L1274">
        <v>38.1</v>
      </c>
    </row>
    <row r="1275" spans="1:12">
      <c r="A1275" s="1">
        <v>46029</v>
      </c>
      <c r="B1275" t="s">
        <v>11503</v>
      </c>
      <c r="C1275">
        <v>13</v>
      </c>
      <c r="D1275" t="str">
        <f>VLOOKUP(Tabela26[[#This Row],[EMP]],[1]LOJA!$A:$B,2,0)</f>
        <v>CEILÂNDIA</v>
      </c>
      <c r="E1275">
        <v>86</v>
      </c>
      <c r="F1275" t="s">
        <v>3593</v>
      </c>
      <c r="G1275" t="s">
        <v>3402</v>
      </c>
      <c r="H1275" t="s">
        <v>3408</v>
      </c>
      <c r="I1275">
        <v>5405</v>
      </c>
      <c r="J1275" s="3">
        <v>37</v>
      </c>
      <c r="K1275" s="3">
        <v>18.96</v>
      </c>
      <c r="L1275">
        <v>48.76</v>
      </c>
    </row>
    <row r="1276" spans="1:12">
      <c r="A1276" s="1">
        <v>46029</v>
      </c>
      <c r="B1276" t="s">
        <v>11502</v>
      </c>
      <c r="C1276">
        <v>13</v>
      </c>
      <c r="D1276" t="str">
        <f>VLOOKUP(Tabela26[[#This Row],[EMP]],[1]LOJA!$A:$B,2,0)</f>
        <v>CEILÂNDIA</v>
      </c>
      <c r="E1276">
        <v>86</v>
      </c>
      <c r="F1276" t="s">
        <v>7947</v>
      </c>
      <c r="G1276" t="s">
        <v>7946</v>
      </c>
      <c r="H1276" t="s">
        <v>3401</v>
      </c>
      <c r="I1276">
        <v>5102</v>
      </c>
      <c r="J1276" s="3">
        <v>40</v>
      </c>
      <c r="K1276" s="3">
        <v>25.76</v>
      </c>
      <c r="L1276">
        <v>35.6</v>
      </c>
    </row>
    <row r="1277" spans="1:12">
      <c r="A1277" s="1">
        <v>46029</v>
      </c>
      <c r="B1277" t="s">
        <v>11501</v>
      </c>
      <c r="C1277">
        <v>13</v>
      </c>
      <c r="D1277" t="str">
        <f>VLOOKUP(Tabela26[[#This Row],[EMP]],[1]LOJA!$A:$B,2,0)</f>
        <v>CEILÂNDIA</v>
      </c>
      <c r="E1277">
        <v>86</v>
      </c>
      <c r="F1277" t="s">
        <v>3403</v>
      </c>
      <c r="G1277" t="s">
        <v>3402</v>
      </c>
      <c r="H1277" t="s">
        <v>3401</v>
      </c>
      <c r="I1277">
        <v>5102</v>
      </c>
      <c r="J1277" s="3">
        <v>5</v>
      </c>
      <c r="K1277" s="3">
        <v>2.67</v>
      </c>
      <c r="L1277">
        <v>46.6</v>
      </c>
    </row>
    <row r="1278" spans="1:12">
      <c r="A1278" s="1">
        <v>46029</v>
      </c>
      <c r="B1278" t="s">
        <v>11500</v>
      </c>
      <c r="C1278">
        <v>13</v>
      </c>
      <c r="D1278" t="str">
        <f>VLOOKUP(Tabela26[[#This Row],[EMP]],[1]LOJA!$A:$B,2,0)</f>
        <v>CEILÂNDIA</v>
      </c>
      <c r="E1278">
        <v>33</v>
      </c>
      <c r="F1278" t="s">
        <v>10795</v>
      </c>
      <c r="G1278" t="s">
        <v>10794</v>
      </c>
      <c r="H1278" t="s">
        <v>3408</v>
      </c>
      <c r="I1278">
        <v>5102</v>
      </c>
      <c r="J1278" s="3">
        <v>89</v>
      </c>
      <c r="K1278" s="3">
        <v>59.06</v>
      </c>
      <c r="L1278">
        <v>33.64</v>
      </c>
    </row>
    <row r="1279" spans="1:12">
      <c r="A1279" s="1">
        <v>46029</v>
      </c>
      <c r="B1279" t="s">
        <v>11499</v>
      </c>
      <c r="C1279">
        <v>13</v>
      </c>
      <c r="D1279" t="str">
        <f>VLOOKUP(Tabela26[[#This Row],[EMP]],[1]LOJA!$A:$B,2,0)</f>
        <v>CEILÂNDIA</v>
      </c>
      <c r="E1279">
        <v>33</v>
      </c>
      <c r="F1279" t="s">
        <v>3403</v>
      </c>
      <c r="G1279" t="s">
        <v>3402</v>
      </c>
      <c r="H1279" t="s">
        <v>3401</v>
      </c>
      <c r="I1279">
        <v>5102</v>
      </c>
      <c r="J1279" s="3">
        <v>45</v>
      </c>
      <c r="K1279" s="3">
        <v>20.73</v>
      </c>
      <c r="L1279">
        <v>53.93</v>
      </c>
    </row>
    <row r="1280" spans="1:12">
      <c r="A1280" s="1">
        <v>46029</v>
      </c>
      <c r="B1280" t="s">
        <v>11498</v>
      </c>
      <c r="C1280">
        <v>6</v>
      </c>
      <c r="D1280" t="str">
        <f>VLOOKUP(Tabela26[[#This Row],[EMP]],[1]LOJA!$A:$B,2,0)</f>
        <v>GAMA</v>
      </c>
      <c r="E1280">
        <v>245</v>
      </c>
      <c r="F1280" t="s">
        <v>3403</v>
      </c>
      <c r="G1280" t="s">
        <v>3402</v>
      </c>
      <c r="H1280" t="s">
        <v>3401</v>
      </c>
      <c r="I1280">
        <v>5102</v>
      </c>
      <c r="J1280" s="3">
        <v>44</v>
      </c>
      <c r="K1280" s="3">
        <v>28.52</v>
      </c>
      <c r="L1280">
        <v>35.18</v>
      </c>
    </row>
    <row r="1281" spans="1:12">
      <c r="A1281" s="1">
        <v>46029</v>
      </c>
      <c r="B1281" t="s">
        <v>11497</v>
      </c>
      <c r="C1281">
        <v>6</v>
      </c>
      <c r="D1281" t="str">
        <f>VLOOKUP(Tabela26[[#This Row],[EMP]],[1]LOJA!$A:$B,2,0)</f>
        <v>GAMA</v>
      </c>
      <c r="E1281">
        <v>226</v>
      </c>
      <c r="F1281" t="s">
        <v>3403</v>
      </c>
      <c r="G1281" t="s">
        <v>3402</v>
      </c>
      <c r="H1281" t="s">
        <v>3401</v>
      </c>
      <c r="I1281">
        <v>5405</v>
      </c>
      <c r="J1281" s="3">
        <v>163.52000000000001</v>
      </c>
      <c r="K1281" s="3">
        <v>82.04</v>
      </c>
      <c r="L1281">
        <v>49.83</v>
      </c>
    </row>
    <row r="1282" spans="1:12">
      <c r="A1282" s="1">
        <v>46029</v>
      </c>
      <c r="B1282" t="s">
        <v>11496</v>
      </c>
      <c r="C1282">
        <v>6</v>
      </c>
      <c r="D1282" t="str">
        <f>VLOOKUP(Tabela26[[#This Row],[EMP]],[1]LOJA!$A:$B,2,0)</f>
        <v>GAMA</v>
      </c>
      <c r="E1282">
        <v>245</v>
      </c>
      <c r="F1282" t="s">
        <v>5501</v>
      </c>
      <c r="G1282" t="s">
        <v>5500</v>
      </c>
      <c r="H1282" t="s">
        <v>3401</v>
      </c>
      <c r="I1282">
        <v>5405</v>
      </c>
      <c r="J1282" s="3">
        <v>619.41999999999996</v>
      </c>
      <c r="K1282" s="3">
        <v>371.68</v>
      </c>
      <c r="L1282">
        <v>40</v>
      </c>
    </row>
    <row r="1283" spans="1:12">
      <c r="A1283" s="1">
        <v>46029</v>
      </c>
      <c r="B1283" t="s">
        <v>11495</v>
      </c>
      <c r="C1283">
        <v>6</v>
      </c>
      <c r="D1283" t="str">
        <f>VLOOKUP(Tabela26[[#This Row],[EMP]],[1]LOJA!$A:$B,2,0)</f>
        <v>GAMA</v>
      </c>
      <c r="E1283">
        <v>245</v>
      </c>
      <c r="F1283" t="s">
        <v>3403</v>
      </c>
      <c r="G1283" t="s">
        <v>3402</v>
      </c>
      <c r="H1283" t="s">
        <v>3401</v>
      </c>
      <c r="I1283">
        <v>5102</v>
      </c>
      <c r="J1283" s="3">
        <v>8</v>
      </c>
      <c r="K1283" s="3">
        <v>3.9</v>
      </c>
      <c r="L1283">
        <v>51.25</v>
      </c>
    </row>
    <row r="1284" spans="1:12">
      <c r="A1284" s="1">
        <v>46029</v>
      </c>
      <c r="B1284" t="s">
        <v>11494</v>
      </c>
      <c r="C1284">
        <v>6</v>
      </c>
      <c r="D1284" t="str">
        <f>VLOOKUP(Tabela26[[#This Row],[EMP]],[1]LOJA!$A:$B,2,0)</f>
        <v>GAMA</v>
      </c>
      <c r="E1284">
        <v>245</v>
      </c>
      <c r="F1284" t="s">
        <v>6177</v>
      </c>
      <c r="G1284" t="s">
        <v>6176</v>
      </c>
      <c r="H1284" t="s">
        <v>3408</v>
      </c>
      <c r="I1284">
        <v>5102</v>
      </c>
      <c r="J1284" s="3">
        <v>586.79999999999995</v>
      </c>
      <c r="K1284" s="3">
        <v>329.4</v>
      </c>
      <c r="L1284">
        <v>43.87</v>
      </c>
    </row>
    <row r="1285" spans="1:12">
      <c r="A1285" s="1">
        <v>46029</v>
      </c>
      <c r="B1285" t="s">
        <v>11493</v>
      </c>
      <c r="C1285">
        <v>6</v>
      </c>
      <c r="D1285" t="str">
        <f>VLOOKUP(Tabela26[[#This Row],[EMP]],[1]LOJA!$A:$B,2,0)</f>
        <v>GAMA</v>
      </c>
      <c r="E1285">
        <v>245</v>
      </c>
      <c r="F1285" t="s">
        <v>3559</v>
      </c>
      <c r="G1285" t="s">
        <v>3558</v>
      </c>
      <c r="H1285" t="s">
        <v>3401</v>
      </c>
      <c r="I1285">
        <v>5405</v>
      </c>
      <c r="J1285" s="3">
        <v>492</v>
      </c>
      <c r="K1285" s="3">
        <v>260.94</v>
      </c>
      <c r="L1285">
        <v>46.96</v>
      </c>
    </row>
    <row r="1286" spans="1:12">
      <c r="A1286" s="1">
        <v>46029</v>
      </c>
      <c r="B1286" t="s">
        <v>11492</v>
      </c>
      <c r="C1286">
        <v>6</v>
      </c>
      <c r="D1286" t="str">
        <f>VLOOKUP(Tabela26[[#This Row],[EMP]],[1]LOJA!$A:$B,2,0)</f>
        <v>GAMA</v>
      </c>
      <c r="E1286">
        <v>245</v>
      </c>
      <c r="F1286" t="s">
        <v>3568</v>
      </c>
      <c r="G1286" t="s">
        <v>3567</v>
      </c>
      <c r="H1286" t="s">
        <v>3520</v>
      </c>
      <c r="I1286">
        <v>5405</v>
      </c>
      <c r="J1286" s="3">
        <v>192.13</v>
      </c>
      <c r="K1286" s="3">
        <v>85.71</v>
      </c>
      <c r="L1286">
        <v>55.39</v>
      </c>
    </row>
    <row r="1287" spans="1:12">
      <c r="A1287" s="1">
        <v>46029</v>
      </c>
      <c r="B1287" t="s">
        <v>11491</v>
      </c>
      <c r="C1287">
        <v>6</v>
      </c>
      <c r="D1287" t="str">
        <f>VLOOKUP(Tabela26[[#This Row],[EMP]],[1]LOJA!$A:$B,2,0)</f>
        <v>GAMA</v>
      </c>
      <c r="E1287">
        <v>245</v>
      </c>
      <c r="F1287" t="s">
        <v>4184</v>
      </c>
      <c r="G1287" t="s">
        <v>3402</v>
      </c>
      <c r="H1287" t="s">
        <v>3401</v>
      </c>
      <c r="I1287">
        <v>5405</v>
      </c>
      <c r="J1287" s="3">
        <v>74</v>
      </c>
      <c r="K1287" s="3">
        <v>35.590000000000003</v>
      </c>
      <c r="L1287">
        <v>51.91</v>
      </c>
    </row>
    <row r="1288" spans="1:12">
      <c r="A1288" s="1">
        <v>46029</v>
      </c>
      <c r="B1288" t="s">
        <v>11490</v>
      </c>
      <c r="C1288">
        <v>6</v>
      </c>
      <c r="D1288" t="str">
        <f>VLOOKUP(Tabela26[[#This Row],[EMP]],[1]LOJA!$A:$B,2,0)</f>
        <v>GAMA</v>
      </c>
      <c r="E1288">
        <v>245</v>
      </c>
      <c r="F1288" t="s">
        <v>3403</v>
      </c>
      <c r="G1288" t="s">
        <v>3402</v>
      </c>
      <c r="H1288" t="s">
        <v>3401</v>
      </c>
      <c r="I1288">
        <v>5102</v>
      </c>
      <c r="J1288" s="3">
        <v>40</v>
      </c>
      <c r="K1288" s="3">
        <v>21.31</v>
      </c>
      <c r="L1288">
        <v>46.73</v>
      </c>
    </row>
    <row r="1289" spans="1:12">
      <c r="A1289" s="1">
        <v>46029</v>
      </c>
      <c r="B1289" t="s">
        <v>11489</v>
      </c>
      <c r="C1289">
        <v>6</v>
      </c>
      <c r="D1289" t="str">
        <f>VLOOKUP(Tabela26[[#This Row],[EMP]],[1]LOJA!$A:$B,2,0)</f>
        <v>GAMA</v>
      </c>
      <c r="E1289">
        <v>226</v>
      </c>
      <c r="F1289" t="s">
        <v>11488</v>
      </c>
      <c r="G1289" t="s">
        <v>11487</v>
      </c>
      <c r="H1289" t="s">
        <v>3401</v>
      </c>
      <c r="I1289">
        <v>5102</v>
      </c>
      <c r="J1289" s="3">
        <v>96.01</v>
      </c>
      <c r="K1289" s="3">
        <v>54.86</v>
      </c>
      <c r="L1289">
        <v>42.86</v>
      </c>
    </row>
    <row r="1290" spans="1:12">
      <c r="A1290" s="1">
        <v>46029</v>
      </c>
      <c r="B1290" t="s">
        <v>11486</v>
      </c>
      <c r="C1290">
        <v>6</v>
      </c>
      <c r="D1290" t="str">
        <f>VLOOKUP(Tabela26[[#This Row],[EMP]],[1]LOJA!$A:$B,2,0)</f>
        <v>GAMA</v>
      </c>
      <c r="E1290">
        <v>245</v>
      </c>
      <c r="F1290" t="s">
        <v>3403</v>
      </c>
      <c r="G1290" t="s">
        <v>3402</v>
      </c>
      <c r="H1290" t="s">
        <v>3401</v>
      </c>
      <c r="I1290">
        <v>5405</v>
      </c>
      <c r="J1290" s="3">
        <v>115</v>
      </c>
      <c r="K1290" s="3">
        <v>55.1</v>
      </c>
      <c r="L1290">
        <v>52.09</v>
      </c>
    </row>
    <row r="1291" spans="1:12">
      <c r="A1291" s="1">
        <v>46029</v>
      </c>
      <c r="B1291" t="s">
        <v>11485</v>
      </c>
      <c r="C1291">
        <v>4</v>
      </c>
      <c r="D1291" t="str">
        <f>VLOOKUP(Tabela26[[#This Row],[EMP]],[1]LOJA!$A:$B,2,0)</f>
        <v>ADE</v>
      </c>
      <c r="E1291">
        <v>132</v>
      </c>
      <c r="F1291" t="s">
        <v>6565</v>
      </c>
      <c r="G1291" t="s">
        <v>6564</v>
      </c>
      <c r="H1291" t="s">
        <v>6243</v>
      </c>
      <c r="I1291">
        <v>5102</v>
      </c>
      <c r="J1291" s="3">
        <v>34.36</v>
      </c>
      <c r="K1291" s="3">
        <v>17.850000000000001</v>
      </c>
      <c r="L1291">
        <v>48.05</v>
      </c>
    </row>
    <row r="1292" spans="1:12">
      <c r="A1292" s="1">
        <v>46029</v>
      </c>
      <c r="B1292" t="s">
        <v>11484</v>
      </c>
      <c r="C1292">
        <v>4</v>
      </c>
      <c r="D1292" t="str">
        <f>VLOOKUP(Tabela26[[#This Row],[EMP]],[1]LOJA!$A:$B,2,0)</f>
        <v>ADE</v>
      </c>
      <c r="E1292">
        <v>132</v>
      </c>
      <c r="F1292" t="s">
        <v>4299</v>
      </c>
      <c r="G1292" t="s">
        <v>4298</v>
      </c>
      <c r="H1292" t="s">
        <v>6497</v>
      </c>
      <c r="I1292">
        <v>5102</v>
      </c>
      <c r="J1292" s="3">
        <v>1008</v>
      </c>
      <c r="K1292" s="3">
        <v>694.36</v>
      </c>
      <c r="L1292">
        <v>31.12</v>
      </c>
    </row>
    <row r="1293" spans="1:12">
      <c r="A1293" s="1">
        <v>46029</v>
      </c>
      <c r="B1293" t="s">
        <v>11483</v>
      </c>
      <c r="C1293">
        <v>6</v>
      </c>
      <c r="D1293" t="str">
        <f>VLOOKUP(Tabela26[[#This Row],[EMP]],[1]LOJA!$A:$B,2,0)</f>
        <v>GAMA</v>
      </c>
      <c r="E1293">
        <v>226</v>
      </c>
      <c r="F1293" t="s">
        <v>8546</v>
      </c>
      <c r="G1293" t="s">
        <v>8545</v>
      </c>
      <c r="H1293" t="s">
        <v>3430</v>
      </c>
      <c r="I1293">
        <v>6108</v>
      </c>
      <c r="J1293" s="3">
        <v>134</v>
      </c>
      <c r="K1293" s="3">
        <v>89.5</v>
      </c>
      <c r="L1293">
        <v>33.21</v>
      </c>
    </row>
    <row r="1294" spans="1:12">
      <c r="A1294" s="1">
        <v>46029</v>
      </c>
      <c r="B1294" t="s">
        <v>11482</v>
      </c>
      <c r="C1294">
        <v>6</v>
      </c>
      <c r="D1294" t="str">
        <f>VLOOKUP(Tabela26[[#This Row],[EMP]],[1]LOJA!$A:$B,2,0)</f>
        <v>GAMA</v>
      </c>
      <c r="E1294">
        <v>245</v>
      </c>
      <c r="F1294" t="s">
        <v>3555</v>
      </c>
      <c r="G1294" t="s">
        <v>3554</v>
      </c>
      <c r="H1294" t="s">
        <v>3430</v>
      </c>
      <c r="I1294">
        <v>6403</v>
      </c>
      <c r="J1294" s="3">
        <v>462.06</v>
      </c>
      <c r="K1294" s="3">
        <v>235.41</v>
      </c>
      <c r="L1294">
        <v>49.05</v>
      </c>
    </row>
    <row r="1295" spans="1:12">
      <c r="A1295" s="1">
        <v>46030</v>
      </c>
      <c r="B1295" t="s">
        <v>11481</v>
      </c>
      <c r="C1295">
        <v>24</v>
      </c>
      <c r="D1295" t="str">
        <f>VLOOKUP(Tabela26[[#This Row],[EMP]],[1]LOJA!$A:$B,2,0)</f>
        <v>LUZIÂNIA</v>
      </c>
      <c r="E1295">
        <v>242</v>
      </c>
      <c r="F1295" t="s">
        <v>11480</v>
      </c>
      <c r="G1295" t="s">
        <v>11479</v>
      </c>
      <c r="H1295" t="s">
        <v>4249</v>
      </c>
      <c r="I1295">
        <v>5102</v>
      </c>
      <c r="J1295" s="3">
        <v>1750</v>
      </c>
      <c r="K1295" s="3">
        <v>1273.43</v>
      </c>
      <c r="L1295">
        <v>27.23</v>
      </c>
    </row>
    <row r="1296" spans="1:12">
      <c r="A1296" s="1">
        <v>46030</v>
      </c>
      <c r="B1296" t="s">
        <v>11478</v>
      </c>
      <c r="C1296">
        <v>24</v>
      </c>
      <c r="D1296" t="str">
        <f>VLOOKUP(Tabela26[[#This Row],[EMP]],[1]LOJA!$A:$B,2,0)</f>
        <v>LUZIÂNIA</v>
      </c>
      <c r="E1296">
        <v>150</v>
      </c>
      <c r="F1296" t="s">
        <v>4292</v>
      </c>
      <c r="G1296" t="s">
        <v>4291</v>
      </c>
      <c r="H1296" t="s">
        <v>3430</v>
      </c>
      <c r="I1296">
        <v>5405</v>
      </c>
      <c r="J1296" s="3">
        <v>54.52</v>
      </c>
      <c r="K1296" s="3">
        <v>24.19</v>
      </c>
      <c r="L1296">
        <v>55.63</v>
      </c>
    </row>
    <row r="1297" spans="1:12">
      <c r="A1297" s="1">
        <v>46030</v>
      </c>
      <c r="B1297" t="s">
        <v>11477</v>
      </c>
      <c r="C1297">
        <v>24</v>
      </c>
      <c r="D1297" t="str">
        <f>VLOOKUP(Tabela26[[#This Row],[EMP]],[1]LOJA!$A:$B,2,0)</f>
        <v>LUZIÂNIA</v>
      </c>
      <c r="E1297">
        <v>150</v>
      </c>
      <c r="F1297" t="s">
        <v>4007</v>
      </c>
      <c r="G1297" t="s">
        <v>4006</v>
      </c>
      <c r="H1297" t="s">
        <v>4249</v>
      </c>
      <c r="I1297">
        <v>5102</v>
      </c>
      <c r="J1297" s="3">
        <v>2290.86</v>
      </c>
      <c r="K1297" s="3">
        <v>1430.64</v>
      </c>
      <c r="L1297">
        <v>37.549999999999997</v>
      </c>
    </row>
    <row r="1298" spans="1:12">
      <c r="A1298" s="1">
        <v>46030</v>
      </c>
      <c r="B1298" t="s">
        <v>11476</v>
      </c>
      <c r="C1298">
        <v>24</v>
      </c>
      <c r="D1298" t="str">
        <f>VLOOKUP(Tabela26[[#This Row],[EMP]],[1]LOJA!$A:$B,2,0)</f>
        <v>LUZIÂNIA</v>
      </c>
      <c r="E1298">
        <v>150</v>
      </c>
      <c r="F1298" t="s">
        <v>4282</v>
      </c>
      <c r="G1298" t="s">
        <v>4281</v>
      </c>
      <c r="H1298" t="s">
        <v>3430</v>
      </c>
      <c r="I1298">
        <v>5405</v>
      </c>
      <c r="J1298" s="3">
        <v>271.75</v>
      </c>
      <c r="K1298" s="3">
        <v>131.88</v>
      </c>
      <c r="L1298">
        <v>51.47</v>
      </c>
    </row>
    <row r="1299" spans="1:12">
      <c r="A1299" s="1">
        <v>46030</v>
      </c>
      <c r="B1299" t="s">
        <v>11475</v>
      </c>
      <c r="C1299">
        <v>24</v>
      </c>
      <c r="D1299" t="str">
        <f>VLOOKUP(Tabela26[[#This Row],[EMP]],[1]LOJA!$A:$B,2,0)</f>
        <v>LUZIÂNIA</v>
      </c>
      <c r="E1299">
        <v>192</v>
      </c>
      <c r="F1299" t="s">
        <v>11474</v>
      </c>
      <c r="G1299" t="s">
        <v>11473</v>
      </c>
      <c r="H1299" t="s">
        <v>7505</v>
      </c>
      <c r="I1299">
        <v>5102</v>
      </c>
      <c r="J1299" s="3">
        <v>500</v>
      </c>
      <c r="K1299" s="3">
        <v>272.02999999999997</v>
      </c>
      <c r="L1299">
        <v>45.59</v>
      </c>
    </row>
    <row r="1300" spans="1:12">
      <c r="A1300" s="1">
        <v>46030</v>
      </c>
      <c r="B1300" t="s">
        <v>11472</v>
      </c>
      <c r="C1300">
        <v>24</v>
      </c>
      <c r="D1300" t="str">
        <f>VLOOKUP(Tabela26[[#This Row],[EMP]],[1]LOJA!$A:$B,2,0)</f>
        <v>LUZIÂNIA</v>
      </c>
      <c r="E1300">
        <v>242</v>
      </c>
      <c r="F1300" t="s">
        <v>8342</v>
      </c>
      <c r="G1300" t="s">
        <v>8341</v>
      </c>
      <c r="H1300" t="s">
        <v>3401</v>
      </c>
      <c r="I1300">
        <v>1411</v>
      </c>
      <c r="J1300" s="3">
        <v>-439.8</v>
      </c>
      <c r="K1300" s="3">
        <v>-275.22000000000003</v>
      </c>
      <c r="L1300">
        <v>37.42</v>
      </c>
    </row>
    <row r="1301" spans="1:12">
      <c r="A1301" s="1">
        <v>46030</v>
      </c>
      <c r="B1301" t="s">
        <v>11471</v>
      </c>
      <c r="C1301">
        <v>24</v>
      </c>
      <c r="D1301" t="str">
        <f>VLOOKUP(Tabela26[[#This Row],[EMP]],[1]LOJA!$A:$B,2,0)</f>
        <v>LUZIÂNIA</v>
      </c>
      <c r="E1301">
        <v>150</v>
      </c>
      <c r="F1301" t="s">
        <v>4282</v>
      </c>
      <c r="G1301" t="s">
        <v>4281</v>
      </c>
      <c r="H1301" t="s">
        <v>3430</v>
      </c>
      <c r="I1301">
        <v>5102</v>
      </c>
      <c r="J1301" s="3">
        <v>35</v>
      </c>
      <c r="K1301" s="3">
        <v>19.55</v>
      </c>
      <c r="L1301">
        <v>44.14</v>
      </c>
    </row>
    <row r="1302" spans="1:12">
      <c r="A1302" s="1">
        <v>46030</v>
      </c>
      <c r="B1302" t="s">
        <v>11470</v>
      </c>
      <c r="C1302">
        <v>24</v>
      </c>
      <c r="D1302" t="str">
        <f>VLOOKUP(Tabela26[[#This Row],[EMP]],[1]LOJA!$A:$B,2,0)</f>
        <v>LUZIÂNIA</v>
      </c>
      <c r="E1302">
        <v>242</v>
      </c>
      <c r="F1302" t="s">
        <v>8345</v>
      </c>
      <c r="G1302" t="s">
        <v>8344</v>
      </c>
      <c r="H1302" t="s">
        <v>3401</v>
      </c>
      <c r="I1302">
        <v>1411</v>
      </c>
      <c r="J1302" s="3">
        <v>-439.8</v>
      </c>
      <c r="K1302" s="3">
        <v>-275.22000000000003</v>
      </c>
      <c r="L1302">
        <v>37.42</v>
      </c>
    </row>
    <row r="1303" spans="1:12">
      <c r="A1303" s="1">
        <v>46030</v>
      </c>
      <c r="B1303" t="s">
        <v>11469</v>
      </c>
      <c r="C1303">
        <v>24</v>
      </c>
      <c r="D1303" t="str">
        <f>VLOOKUP(Tabela26[[#This Row],[EMP]],[1]LOJA!$A:$B,2,0)</f>
        <v>LUZIÂNIA</v>
      </c>
      <c r="E1303">
        <v>242</v>
      </c>
      <c r="F1303" t="s">
        <v>8342</v>
      </c>
      <c r="G1303" t="s">
        <v>8341</v>
      </c>
      <c r="H1303" t="s">
        <v>3401</v>
      </c>
      <c r="I1303">
        <v>5405</v>
      </c>
      <c r="J1303" s="3">
        <v>332</v>
      </c>
      <c r="K1303" s="3">
        <v>196.8</v>
      </c>
      <c r="L1303">
        <v>40.72</v>
      </c>
    </row>
    <row r="1304" spans="1:12">
      <c r="A1304" s="1">
        <v>46030</v>
      </c>
      <c r="B1304" t="s">
        <v>11468</v>
      </c>
      <c r="C1304">
        <v>24</v>
      </c>
      <c r="D1304" t="str">
        <f>VLOOKUP(Tabela26[[#This Row],[EMP]],[1]LOJA!$A:$B,2,0)</f>
        <v>LUZIÂNIA</v>
      </c>
      <c r="E1304">
        <v>242</v>
      </c>
      <c r="F1304" t="s">
        <v>8345</v>
      </c>
      <c r="G1304" t="s">
        <v>8344</v>
      </c>
      <c r="H1304" t="s">
        <v>3401</v>
      </c>
      <c r="I1304">
        <v>5405</v>
      </c>
      <c r="J1304" s="3">
        <v>332</v>
      </c>
      <c r="K1304" s="3">
        <v>196.8</v>
      </c>
      <c r="L1304">
        <v>40.72</v>
      </c>
    </row>
    <row r="1305" spans="1:12">
      <c r="A1305" s="1">
        <v>46030</v>
      </c>
      <c r="B1305" t="s">
        <v>11467</v>
      </c>
      <c r="C1305">
        <v>24</v>
      </c>
      <c r="D1305" t="str">
        <f>VLOOKUP(Tabela26[[#This Row],[EMP]],[1]LOJA!$A:$B,2,0)</f>
        <v>LUZIÂNIA</v>
      </c>
      <c r="E1305">
        <v>192</v>
      </c>
      <c r="F1305" t="s">
        <v>7009</v>
      </c>
      <c r="G1305" t="s">
        <v>7008</v>
      </c>
      <c r="H1305" t="s">
        <v>3430</v>
      </c>
      <c r="I1305">
        <v>5405</v>
      </c>
      <c r="J1305" s="3">
        <v>68</v>
      </c>
      <c r="K1305" s="3">
        <v>27.19</v>
      </c>
      <c r="L1305">
        <v>60.01</v>
      </c>
    </row>
    <row r="1306" spans="1:12">
      <c r="A1306" s="1">
        <v>46030</v>
      </c>
      <c r="B1306" t="s">
        <v>11466</v>
      </c>
      <c r="C1306">
        <v>24</v>
      </c>
      <c r="D1306" t="str">
        <f>VLOOKUP(Tabela26[[#This Row],[EMP]],[1]LOJA!$A:$B,2,0)</f>
        <v>LUZIÂNIA</v>
      </c>
      <c r="E1306">
        <v>150</v>
      </c>
      <c r="F1306" t="s">
        <v>4952</v>
      </c>
      <c r="G1306" t="s">
        <v>4951</v>
      </c>
      <c r="H1306" t="s">
        <v>3430</v>
      </c>
      <c r="I1306">
        <v>5102</v>
      </c>
      <c r="J1306" s="3">
        <v>104.51</v>
      </c>
      <c r="K1306" s="3">
        <v>49.61</v>
      </c>
      <c r="L1306">
        <v>52.53</v>
      </c>
    </row>
    <row r="1307" spans="1:12">
      <c r="A1307" s="1">
        <v>46030</v>
      </c>
      <c r="B1307" t="s">
        <v>11465</v>
      </c>
      <c r="C1307">
        <v>24</v>
      </c>
      <c r="D1307" t="str">
        <f>VLOOKUP(Tabela26[[#This Row],[EMP]],[1]LOJA!$A:$B,2,0)</f>
        <v>LUZIÂNIA</v>
      </c>
      <c r="E1307">
        <v>106</v>
      </c>
      <c r="F1307" t="s">
        <v>10576</v>
      </c>
      <c r="G1307" t="s">
        <v>10575</v>
      </c>
      <c r="H1307" t="s">
        <v>3430</v>
      </c>
      <c r="I1307">
        <v>5405</v>
      </c>
      <c r="J1307" s="3">
        <v>21.36</v>
      </c>
      <c r="K1307" s="3">
        <v>18.11</v>
      </c>
      <c r="L1307">
        <v>15.22</v>
      </c>
    </row>
    <row r="1308" spans="1:12">
      <c r="A1308" s="1">
        <v>46030</v>
      </c>
      <c r="B1308" t="s">
        <v>11464</v>
      </c>
      <c r="C1308">
        <v>24</v>
      </c>
      <c r="D1308" t="str">
        <f>VLOOKUP(Tabela26[[#This Row],[EMP]],[1]LOJA!$A:$B,2,0)</f>
        <v>LUZIÂNIA</v>
      </c>
      <c r="E1308">
        <v>150</v>
      </c>
      <c r="F1308" t="s">
        <v>4279</v>
      </c>
      <c r="G1308" t="s">
        <v>4278</v>
      </c>
      <c r="H1308" t="s">
        <v>3430</v>
      </c>
      <c r="I1308">
        <v>5405</v>
      </c>
      <c r="J1308" s="3">
        <v>106.84</v>
      </c>
      <c r="K1308" s="3">
        <v>50.57</v>
      </c>
      <c r="L1308">
        <v>52.67</v>
      </c>
    </row>
    <row r="1309" spans="1:12">
      <c r="A1309" s="1">
        <v>46030</v>
      </c>
      <c r="B1309" t="s">
        <v>11463</v>
      </c>
      <c r="C1309">
        <v>24</v>
      </c>
      <c r="D1309" t="str">
        <f>VLOOKUP(Tabela26[[#This Row],[EMP]],[1]LOJA!$A:$B,2,0)</f>
        <v>LUZIÂNIA</v>
      </c>
      <c r="E1309">
        <v>150</v>
      </c>
      <c r="F1309" t="s">
        <v>4182</v>
      </c>
      <c r="G1309" t="s">
        <v>4181</v>
      </c>
      <c r="H1309" t="s">
        <v>3430</v>
      </c>
      <c r="I1309">
        <v>5405</v>
      </c>
      <c r="J1309" s="3">
        <v>694.8</v>
      </c>
      <c r="K1309" s="3">
        <v>379.32</v>
      </c>
      <c r="L1309">
        <v>45.41</v>
      </c>
    </row>
    <row r="1310" spans="1:12">
      <c r="A1310" s="1">
        <v>46030</v>
      </c>
      <c r="B1310" t="s">
        <v>11462</v>
      </c>
      <c r="C1310">
        <v>24</v>
      </c>
      <c r="D1310" t="str">
        <f>VLOOKUP(Tabela26[[#This Row],[EMP]],[1]LOJA!$A:$B,2,0)</f>
        <v>LUZIÂNIA</v>
      </c>
      <c r="E1310">
        <v>150</v>
      </c>
      <c r="F1310" t="s">
        <v>4276</v>
      </c>
      <c r="G1310" t="s">
        <v>4275</v>
      </c>
      <c r="H1310" t="s">
        <v>3520</v>
      </c>
      <c r="I1310">
        <v>5405</v>
      </c>
      <c r="J1310" s="3">
        <v>93</v>
      </c>
      <c r="K1310" s="3">
        <v>45.13</v>
      </c>
      <c r="L1310">
        <v>51.47</v>
      </c>
    </row>
    <row r="1311" spans="1:12">
      <c r="A1311" s="1">
        <v>46030</v>
      </c>
      <c r="B1311" t="s">
        <v>11461</v>
      </c>
      <c r="C1311">
        <v>24</v>
      </c>
      <c r="D1311" t="str">
        <f>VLOOKUP(Tabela26[[#This Row],[EMP]],[1]LOJA!$A:$B,2,0)</f>
        <v>LUZIÂNIA</v>
      </c>
      <c r="E1311">
        <v>150</v>
      </c>
      <c r="F1311" t="s">
        <v>4279</v>
      </c>
      <c r="G1311" t="s">
        <v>4278</v>
      </c>
      <c r="H1311" t="s">
        <v>3430</v>
      </c>
      <c r="I1311">
        <v>5405</v>
      </c>
      <c r="J1311" s="3">
        <v>304.08</v>
      </c>
      <c r="K1311" s="3">
        <v>153.25</v>
      </c>
      <c r="L1311">
        <v>49.6</v>
      </c>
    </row>
    <row r="1312" spans="1:12">
      <c r="A1312" s="1">
        <v>46030</v>
      </c>
      <c r="B1312" t="s">
        <v>11460</v>
      </c>
      <c r="C1312">
        <v>24</v>
      </c>
      <c r="D1312" t="str">
        <f>VLOOKUP(Tabela26[[#This Row],[EMP]],[1]LOJA!$A:$B,2,0)</f>
        <v>LUZIÂNIA</v>
      </c>
      <c r="E1312">
        <v>192</v>
      </c>
      <c r="F1312" t="s">
        <v>4946</v>
      </c>
      <c r="G1312" t="s">
        <v>4945</v>
      </c>
      <c r="H1312" t="s">
        <v>3430</v>
      </c>
      <c r="I1312">
        <v>5102</v>
      </c>
      <c r="J1312" s="3">
        <v>38</v>
      </c>
      <c r="K1312" s="3">
        <v>19.440000000000001</v>
      </c>
      <c r="L1312">
        <v>48.84</v>
      </c>
    </row>
    <row r="1313" spans="1:12">
      <c r="A1313" s="1">
        <v>46030</v>
      </c>
      <c r="B1313" t="s">
        <v>11459</v>
      </c>
      <c r="C1313">
        <v>24</v>
      </c>
      <c r="D1313" t="str">
        <f>VLOOKUP(Tabela26[[#This Row],[EMP]],[1]LOJA!$A:$B,2,0)</f>
        <v>LUZIÂNIA</v>
      </c>
      <c r="E1313">
        <v>192</v>
      </c>
      <c r="F1313" t="s">
        <v>8940</v>
      </c>
      <c r="G1313" t="s">
        <v>8939</v>
      </c>
      <c r="H1313" t="s">
        <v>3430</v>
      </c>
      <c r="I1313">
        <v>5405</v>
      </c>
      <c r="J1313" s="3">
        <v>76</v>
      </c>
      <c r="K1313" s="3">
        <v>32.07</v>
      </c>
      <c r="L1313">
        <v>57.8</v>
      </c>
    </row>
    <row r="1314" spans="1:12">
      <c r="A1314" s="1">
        <v>46030</v>
      </c>
      <c r="B1314" t="s">
        <v>11458</v>
      </c>
      <c r="C1314">
        <v>24</v>
      </c>
      <c r="D1314" t="str">
        <f>VLOOKUP(Tabela26[[#This Row],[EMP]],[1]LOJA!$A:$B,2,0)</f>
        <v>LUZIÂNIA</v>
      </c>
      <c r="E1314">
        <v>150</v>
      </c>
      <c r="F1314" t="s">
        <v>4273</v>
      </c>
      <c r="G1314" t="s">
        <v>4272</v>
      </c>
      <c r="H1314" t="s">
        <v>3520</v>
      </c>
      <c r="I1314">
        <v>5102</v>
      </c>
      <c r="J1314" s="3">
        <v>986</v>
      </c>
      <c r="K1314" s="3">
        <v>699.42</v>
      </c>
      <c r="L1314">
        <v>29.06</v>
      </c>
    </row>
    <row r="1315" spans="1:12">
      <c r="A1315" s="1">
        <v>46030</v>
      </c>
      <c r="B1315" t="s">
        <v>11457</v>
      </c>
      <c r="C1315">
        <v>24</v>
      </c>
      <c r="D1315" t="str">
        <f>VLOOKUP(Tabela26[[#This Row],[EMP]],[1]LOJA!$A:$B,2,0)</f>
        <v>LUZIÂNIA</v>
      </c>
      <c r="E1315">
        <v>150</v>
      </c>
      <c r="F1315" t="s">
        <v>5987</v>
      </c>
      <c r="G1315" t="s">
        <v>5986</v>
      </c>
      <c r="H1315" t="s">
        <v>3426</v>
      </c>
      <c r="I1315">
        <v>5405</v>
      </c>
      <c r="J1315" s="3">
        <v>157</v>
      </c>
      <c r="K1315" s="3">
        <v>80.36</v>
      </c>
      <c r="L1315">
        <v>48.82</v>
      </c>
    </row>
    <row r="1316" spans="1:12">
      <c r="A1316" s="1">
        <v>46030</v>
      </c>
      <c r="B1316" t="s">
        <v>11456</v>
      </c>
      <c r="C1316">
        <v>16</v>
      </c>
      <c r="D1316" t="str">
        <f>VLOOKUP(Tabela26[[#This Row],[EMP]],[1]LOJA!$A:$B,2,0)</f>
        <v>AG LINDAS</v>
      </c>
      <c r="E1316">
        <v>107</v>
      </c>
      <c r="F1316" t="s">
        <v>4267</v>
      </c>
      <c r="G1316" t="s">
        <v>4266</v>
      </c>
      <c r="H1316" t="s">
        <v>3430</v>
      </c>
      <c r="I1316">
        <v>5405</v>
      </c>
      <c r="J1316" s="3">
        <v>61</v>
      </c>
      <c r="K1316" s="3">
        <v>32.869999999999997</v>
      </c>
      <c r="L1316">
        <v>46.11</v>
      </c>
    </row>
    <row r="1317" spans="1:12">
      <c r="A1317" s="1">
        <v>46030</v>
      </c>
      <c r="B1317" t="s">
        <v>11455</v>
      </c>
      <c r="C1317">
        <v>16</v>
      </c>
      <c r="D1317" t="str">
        <f>VLOOKUP(Tabela26[[#This Row],[EMP]],[1]LOJA!$A:$B,2,0)</f>
        <v>AG LINDAS</v>
      </c>
      <c r="E1317">
        <v>240</v>
      </c>
      <c r="F1317" t="s">
        <v>8083</v>
      </c>
      <c r="G1317" t="s">
        <v>8082</v>
      </c>
      <c r="H1317" t="s">
        <v>3401</v>
      </c>
      <c r="I1317">
        <v>1411</v>
      </c>
      <c r="J1317" s="3">
        <v>-186.96</v>
      </c>
      <c r="K1317" s="3">
        <v>-92.11</v>
      </c>
      <c r="L1317">
        <v>50.73</v>
      </c>
    </row>
    <row r="1318" spans="1:12">
      <c r="A1318" s="1">
        <v>46030</v>
      </c>
      <c r="B1318" t="s">
        <v>11454</v>
      </c>
      <c r="C1318">
        <v>15</v>
      </c>
      <c r="D1318" t="str">
        <f>VLOOKUP(Tabela26[[#This Row],[EMP]],[1]LOJA!$A:$B,2,0)</f>
        <v>UNAÍ</v>
      </c>
      <c r="E1318">
        <v>183</v>
      </c>
      <c r="F1318" t="s">
        <v>4025</v>
      </c>
      <c r="G1318" t="s">
        <v>11453</v>
      </c>
      <c r="H1318" t="s">
        <v>3401</v>
      </c>
      <c r="I1318">
        <v>5102</v>
      </c>
      <c r="J1318" s="3">
        <v>89.6</v>
      </c>
      <c r="K1318" s="3">
        <v>42.93</v>
      </c>
      <c r="L1318">
        <v>52.09</v>
      </c>
    </row>
    <row r="1319" spans="1:12">
      <c r="A1319" s="1">
        <v>46030</v>
      </c>
      <c r="B1319" t="s">
        <v>11452</v>
      </c>
      <c r="C1319">
        <v>15</v>
      </c>
      <c r="D1319" t="str">
        <f>VLOOKUP(Tabela26[[#This Row],[EMP]],[1]LOJA!$A:$B,2,0)</f>
        <v>UNAÍ</v>
      </c>
      <c r="E1319">
        <v>183</v>
      </c>
      <c r="F1319" t="s">
        <v>11451</v>
      </c>
      <c r="G1319" t="s">
        <v>4256</v>
      </c>
      <c r="H1319" t="s">
        <v>3401</v>
      </c>
      <c r="I1319">
        <v>1202</v>
      </c>
      <c r="J1319" s="3">
        <v>-232</v>
      </c>
      <c r="K1319" s="3">
        <v>-116.88</v>
      </c>
      <c r="L1319">
        <v>49.62</v>
      </c>
    </row>
    <row r="1320" spans="1:12">
      <c r="A1320" s="1">
        <v>46030</v>
      </c>
      <c r="B1320" t="s">
        <v>11450</v>
      </c>
      <c r="C1320">
        <v>15</v>
      </c>
      <c r="D1320" t="str">
        <f>VLOOKUP(Tabela26[[#This Row],[EMP]],[1]LOJA!$A:$B,2,0)</f>
        <v>UNAÍ</v>
      </c>
      <c r="E1320">
        <v>183</v>
      </c>
      <c r="F1320" t="s">
        <v>4257</v>
      </c>
      <c r="G1320" t="s">
        <v>4256</v>
      </c>
      <c r="H1320" t="s">
        <v>3408</v>
      </c>
      <c r="I1320">
        <v>5102</v>
      </c>
      <c r="J1320" s="3">
        <v>232</v>
      </c>
      <c r="K1320" s="3">
        <v>116.88</v>
      </c>
      <c r="L1320">
        <v>49.62</v>
      </c>
    </row>
    <row r="1321" spans="1:12">
      <c r="A1321" s="1">
        <v>46030</v>
      </c>
      <c r="B1321" t="s">
        <v>11449</v>
      </c>
      <c r="C1321">
        <v>22</v>
      </c>
      <c r="D1321" t="str">
        <f>VLOOKUP(Tabela26[[#This Row],[EMP]],[1]LOJA!$A:$B,2,0)</f>
        <v>GUARÁ</v>
      </c>
      <c r="E1321">
        <v>16</v>
      </c>
      <c r="F1321" t="s">
        <v>4251</v>
      </c>
      <c r="G1321" t="s">
        <v>4250</v>
      </c>
      <c r="H1321" t="s">
        <v>3537</v>
      </c>
      <c r="I1321">
        <v>5405</v>
      </c>
      <c r="J1321" s="3">
        <v>682.86</v>
      </c>
      <c r="K1321" s="3">
        <v>347.51</v>
      </c>
      <c r="L1321">
        <v>49.11</v>
      </c>
    </row>
    <row r="1322" spans="1:12">
      <c r="A1322" s="1">
        <v>46030</v>
      </c>
      <c r="B1322" t="s">
        <v>11448</v>
      </c>
      <c r="C1322">
        <v>22</v>
      </c>
      <c r="D1322" t="str">
        <f>VLOOKUP(Tabela26[[#This Row],[EMP]],[1]LOJA!$A:$B,2,0)</f>
        <v>GUARÁ</v>
      </c>
      <c r="E1322">
        <v>93</v>
      </c>
      <c r="F1322" t="s">
        <v>4246</v>
      </c>
      <c r="G1322" t="s">
        <v>4245</v>
      </c>
      <c r="H1322" t="s">
        <v>3430</v>
      </c>
      <c r="I1322">
        <v>5405</v>
      </c>
      <c r="J1322" s="3">
        <v>190.87</v>
      </c>
      <c r="K1322" s="3">
        <v>98.52</v>
      </c>
      <c r="L1322">
        <v>48.38</v>
      </c>
    </row>
    <row r="1323" spans="1:12">
      <c r="A1323" s="1">
        <v>46030</v>
      </c>
      <c r="B1323" t="s">
        <v>11447</v>
      </c>
      <c r="C1323">
        <v>22</v>
      </c>
      <c r="D1323" t="str">
        <f>VLOOKUP(Tabela26[[#This Row],[EMP]],[1]LOJA!$A:$B,2,0)</f>
        <v>GUARÁ</v>
      </c>
      <c r="E1323">
        <v>16</v>
      </c>
      <c r="F1323" t="s">
        <v>4251</v>
      </c>
      <c r="G1323" t="s">
        <v>4250</v>
      </c>
      <c r="H1323" t="s">
        <v>3430</v>
      </c>
      <c r="I1323">
        <v>5102</v>
      </c>
      <c r="J1323" s="3">
        <v>101.4</v>
      </c>
      <c r="K1323" s="3">
        <v>71.099999999999994</v>
      </c>
      <c r="L1323">
        <v>29.88</v>
      </c>
    </row>
    <row r="1324" spans="1:12">
      <c r="A1324" s="1">
        <v>46030</v>
      </c>
      <c r="B1324" t="s">
        <v>11446</v>
      </c>
      <c r="C1324">
        <v>22</v>
      </c>
      <c r="D1324" t="str">
        <f>VLOOKUP(Tabela26[[#This Row],[EMP]],[1]LOJA!$A:$B,2,0)</f>
        <v>GUARÁ</v>
      </c>
      <c r="E1324">
        <v>93</v>
      </c>
      <c r="F1324" t="s">
        <v>5464</v>
      </c>
      <c r="G1324" t="s">
        <v>5463</v>
      </c>
      <c r="H1324" t="s">
        <v>3408</v>
      </c>
      <c r="I1324">
        <v>5102</v>
      </c>
      <c r="J1324" s="3">
        <v>190</v>
      </c>
      <c r="K1324" s="3">
        <v>133.19999999999999</v>
      </c>
      <c r="L1324">
        <v>29.89</v>
      </c>
    </row>
    <row r="1325" spans="1:12">
      <c r="A1325" s="1">
        <v>46030</v>
      </c>
      <c r="B1325" t="s">
        <v>11445</v>
      </c>
      <c r="C1325">
        <v>22</v>
      </c>
      <c r="D1325" t="str">
        <f>VLOOKUP(Tabela26[[#This Row],[EMP]],[1]LOJA!$A:$B,2,0)</f>
        <v>GUARÁ</v>
      </c>
      <c r="E1325">
        <v>93</v>
      </c>
      <c r="F1325" t="s">
        <v>3535</v>
      </c>
      <c r="G1325" t="s">
        <v>3534</v>
      </c>
      <c r="H1325" t="s">
        <v>4243</v>
      </c>
      <c r="I1325">
        <v>5405</v>
      </c>
      <c r="J1325" s="3">
        <v>200.26</v>
      </c>
      <c r="K1325" s="3">
        <v>104.32</v>
      </c>
      <c r="L1325">
        <v>47.91</v>
      </c>
    </row>
    <row r="1326" spans="1:12">
      <c r="A1326" s="1">
        <v>46030</v>
      </c>
      <c r="B1326" t="s">
        <v>11444</v>
      </c>
      <c r="C1326">
        <v>22</v>
      </c>
      <c r="D1326" t="str">
        <f>VLOOKUP(Tabela26[[#This Row],[EMP]],[1]LOJA!$A:$B,2,0)</f>
        <v>GUARÁ</v>
      </c>
      <c r="E1326">
        <v>93</v>
      </c>
      <c r="F1326" t="s">
        <v>3535</v>
      </c>
      <c r="G1326" t="s">
        <v>3534</v>
      </c>
      <c r="H1326" t="s">
        <v>4243</v>
      </c>
      <c r="I1326">
        <v>5405</v>
      </c>
      <c r="J1326" s="3">
        <v>120.45</v>
      </c>
      <c r="K1326" s="3">
        <v>63.22</v>
      </c>
      <c r="L1326">
        <v>47.51</v>
      </c>
    </row>
    <row r="1327" spans="1:12">
      <c r="A1327" s="1">
        <v>46030</v>
      </c>
      <c r="B1327" t="s">
        <v>11443</v>
      </c>
      <c r="C1327">
        <v>22</v>
      </c>
      <c r="D1327" t="str">
        <f>VLOOKUP(Tabela26[[#This Row],[EMP]],[1]LOJA!$A:$B,2,0)</f>
        <v>GUARÁ</v>
      </c>
      <c r="E1327">
        <v>16</v>
      </c>
      <c r="F1327" t="s">
        <v>6537</v>
      </c>
      <c r="G1327" t="s">
        <v>6536</v>
      </c>
      <c r="H1327" t="s">
        <v>3537</v>
      </c>
      <c r="I1327">
        <v>5405</v>
      </c>
      <c r="J1327" s="3">
        <v>624.96</v>
      </c>
      <c r="K1327" s="3">
        <v>331.61</v>
      </c>
      <c r="L1327">
        <v>46.94</v>
      </c>
    </row>
    <row r="1328" spans="1:12">
      <c r="A1328" s="1">
        <v>46030</v>
      </c>
      <c r="B1328" t="s">
        <v>11442</v>
      </c>
      <c r="C1328">
        <v>22</v>
      </c>
      <c r="D1328" t="str">
        <f>VLOOKUP(Tabela26[[#This Row],[EMP]],[1]LOJA!$A:$B,2,0)</f>
        <v>GUARÁ</v>
      </c>
      <c r="E1328">
        <v>93</v>
      </c>
      <c r="F1328" t="s">
        <v>4600</v>
      </c>
      <c r="G1328" t="s">
        <v>4599</v>
      </c>
      <c r="H1328" t="s">
        <v>3401</v>
      </c>
      <c r="I1328">
        <v>1202</v>
      </c>
      <c r="J1328" s="3">
        <v>-63.2</v>
      </c>
      <c r="K1328" s="3">
        <v>-28.52</v>
      </c>
      <c r="L1328">
        <v>54.87</v>
      </c>
    </row>
    <row r="1329" spans="1:12">
      <c r="A1329" s="1">
        <v>46030</v>
      </c>
      <c r="B1329" t="s">
        <v>11441</v>
      </c>
      <c r="C1329">
        <v>22</v>
      </c>
      <c r="D1329" t="str">
        <f>VLOOKUP(Tabela26[[#This Row],[EMP]],[1]LOJA!$A:$B,2,0)</f>
        <v>GUARÁ</v>
      </c>
      <c r="E1329">
        <v>93</v>
      </c>
      <c r="F1329" t="s">
        <v>3542</v>
      </c>
      <c r="G1329" t="s">
        <v>3541</v>
      </c>
      <c r="H1329" t="s">
        <v>4249</v>
      </c>
      <c r="I1329">
        <v>5405</v>
      </c>
      <c r="J1329" s="3">
        <v>1145</v>
      </c>
      <c r="K1329" s="3">
        <v>511.79</v>
      </c>
      <c r="L1329">
        <v>55.3</v>
      </c>
    </row>
    <row r="1330" spans="1:12">
      <c r="A1330" s="1">
        <v>46030</v>
      </c>
      <c r="B1330" t="s">
        <v>11440</v>
      </c>
      <c r="C1330">
        <v>22</v>
      </c>
      <c r="D1330" t="str">
        <f>VLOOKUP(Tabela26[[#This Row],[EMP]],[1]LOJA!$A:$B,2,0)</f>
        <v>GUARÁ</v>
      </c>
      <c r="E1330">
        <v>93</v>
      </c>
      <c r="F1330" t="s">
        <v>4808</v>
      </c>
      <c r="G1330" t="s">
        <v>4807</v>
      </c>
      <c r="H1330" t="s">
        <v>3401</v>
      </c>
      <c r="I1330">
        <v>5910</v>
      </c>
      <c r="J1330" s="3">
        <v>0</v>
      </c>
      <c r="K1330" s="3">
        <v>50.97</v>
      </c>
      <c r="L1330">
        <v>0</v>
      </c>
    </row>
    <row r="1331" spans="1:12">
      <c r="A1331" s="1">
        <v>46030</v>
      </c>
      <c r="B1331" t="s">
        <v>11439</v>
      </c>
      <c r="C1331">
        <v>24</v>
      </c>
      <c r="D1331" t="str">
        <f>VLOOKUP(Tabela26[[#This Row],[EMP]],[1]LOJA!$A:$B,2,0)</f>
        <v>LUZIÂNIA</v>
      </c>
      <c r="E1331">
        <v>150</v>
      </c>
      <c r="F1331" t="s">
        <v>11438</v>
      </c>
      <c r="G1331" t="s">
        <v>3402</v>
      </c>
      <c r="H1331" t="s">
        <v>3408</v>
      </c>
      <c r="I1331">
        <v>5102</v>
      </c>
      <c r="J1331" s="3">
        <v>40</v>
      </c>
      <c r="K1331" s="3">
        <v>18.28</v>
      </c>
      <c r="L1331">
        <v>54.3</v>
      </c>
    </row>
    <row r="1332" spans="1:12">
      <c r="A1332" s="1">
        <v>46030</v>
      </c>
      <c r="B1332" t="s">
        <v>11437</v>
      </c>
      <c r="C1332">
        <v>24</v>
      </c>
      <c r="D1332" t="str">
        <f>VLOOKUP(Tabela26[[#This Row],[EMP]],[1]LOJA!$A:$B,2,0)</f>
        <v>LUZIÂNIA</v>
      </c>
      <c r="E1332">
        <v>150</v>
      </c>
      <c r="F1332" t="s">
        <v>4233</v>
      </c>
      <c r="G1332" t="s">
        <v>3437</v>
      </c>
      <c r="H1332" t="s">
        <v>3408</v>
      </c>
      <c r="I1332">
        <v>5405</v>
      </c>
      <c r="J1332" s="3">
        <v>65</v>
      </c>
      <c r="K1332" s="3">
        <v>32.6</v>
      </c>
      <c r="L1332">
        <v>49.85</v>
      </c>
    </row>
    <row r="1333" spans="1:12">
      <c r="A1333" s="1">
        <v>46030</v>
      </c>
      <c r="B1333" t="s">
        <v>11436</v>
      </c>
      <c r="C1333">
        <v>24</v>
      </c>
      <c r="D1333" t="str">
        <f>VLOOKUP(Tabela26[[#This Row],[EMP]],[1]LOJA!$A:$B,2,0)</f>
        <v>LUZIÂNIA</v>
      </c>
      <c r="E1333">
        <v>150</v>
      </c>
      <c r="F1333" t="s">
        <v>11435</v>
      </c>
      <c r="G1333" t="s">
        <v>3402</v>
      </c>
      <c r="H1333" t="s">
        <v>3408</v>
      </c>
      <c r="I1333">
        <v>5405</v>
      </c>
      <c r="J1333" s="3">
        <v>118</v>
      </c>
      <c r="K1333" s="3">
        <v>55.72</v>
      </c>
      <c r="L1333">
        <v>52.78</v>
      </c>
    </row>
    <row r="1334" spans="1:12">
      <c r="A1334" s="1">
        <v>46030</v>
      </c>
      <c r="B1334" t="s">
        <v>11434</v>
      </c>
      <c r="C1334">
        <v>24</v>
      </c>
      <c r="D1334" t="str">
        <f>VLOOKUP(Tabela26[[#This Row],[EMP]],[1]LOJA!$A:$B,2,0)</f>
        <v>LUZIÂNIA</v>
      </c>
      <c r="E1334">
        <v>150</v>
      </c>
      <c r="F1334" t="s">
        <v>5445</v>
      </c>
      <c r="G1334" t="s">
        <v>5444</v>
      </c>
      <c r="H1334" t="s">
        <v>3408</v>
      </c>
      <c r="I1334">
        <v>5102</v>
      </c>
      <c r="J1334" s="3">
        <v>133</v>
      </c>
      <c r="K1334" s="3">
        <v>67.680000000000007</v>
      </c>
      <c r="L1334">
        <v>49.11</v>
      </c>
    </row>
    <row r="1335" spans="1:12">
      <c r="A1335" s="1">
        <v>46030</v>
      </c>
      <c r="B1335" t="s">
        <v>11433</v>
      </c>
      <c r="C1335">
        <v>24</v>
      </c>
      <c r="D1335" t="str">
        <f>VLOOKUP(Tabela26[[#This Row],[EMP]],[1]LOJA!$A:$B,2,0)</f>
        <v>LUZIÂNIA</v>
      </c>
      <c r="E1335">
        <v>150</v>
      </c>
      <c r="F1335" t="s">
        <v>9327</v>
      </c>
      <c r="G1335" t="s">
        <v>3402</v>
      </c>
      <c r="H1335" t="s">
        <v>3408</v>
      </c>
      <c r="I1335">
        <v>5405</v>
      </c>
      <c r="J1335" s="3">
        <v>114.9</v>
      </c>
      <c r="K1335" s="3">
        <v>58.27</v>
      </c>
      <c r="L1335">
        <v>49.29</v>
      </c>
    </row>
    <row r="1336" spans="1:12">
      <c r="A1336" s="1">
        <v>46030</v>
      </c>
      <c r="B1336" t="s">
        <v>11432</v>
      </c>
      <c r="C1336">
        <v>24</v>
      </c>
      <c r="D1336" t="str">
        <f>VLOOKUP(Tabela26[[#This Row],[EMP]],[1]LOJA!$A:$B,2,0)</f>
        <v>LUZIÂNIA</v>
      </c>
      <c r="E1336">
        <v>192</v>
      </c>
      <c r="F1336" t="s">
        <v>3524</v>
      </c>
      <c r="G1336" t="s">
        <v>3402</v>
      </c>
      <c r="H1336" t="s">
        <v>3401</v>
      </c>
      <c r="I1336">
        <v>5102</v>
      </c>
      <c r="J1336" s="3">
        <v>19</v>
      </c>
      <c r="K1336" s="3">
        <v>9.9600000000000009</v>
      </c>
      <c r="L1336">
        <v>47.58</v>
      </c>
    </row>
    <row r="1337" spans="1:12">
      <c r="A1337" s="1">
        <v>46030</v>
      </c>
      <c r="B1337" t="s">
        <v>11431</v>
      </c>
      <c r="C1337">
        <v>24</v>
      </c>
      <c r="D1337" t="str">
        <f>VLOOKUP(Tabela26[[#This Row],[EMP]],[1]LOJA!$A:$B,2,0)</f>
        <v>LUZIÂNIA</v>
      </c>
      <c r="E1337">
        <v>192</v>
      </c>
      <c r="F1337" t="s">
        <v>6339</v>
      </c>
      <c r="G1337" t="s">
        <v>3402</v>
      </c>
      <c r="H1337" t="s">
        <v>3401</v>
      </c>
      <c r="I1337">
        <v>5102</v>
      </c>
      <c r="J1337" s="3">
        <v>300</v>
      </c>
      <c r="K1337" s="3">
        <v>169.03</v>
      </c>
      <c r="L1337">
        <v>43.66</v>
      </c>
    </row>
    <row r="1338" spans="1:12">
      <c r="A1338" s="1">
        <v>46030</v>
      </c>
      <c r="B1338" t="s">
        <v>11430</v>
      </c>
      <c r="C1338">
        <v>24</v>
      </c>
      <c r="D1338" t="str">
        <f>VLOOKUP(Tabela26[[#This Row],[EMP]],[1]LOJA!$A:$B,2,0)</f>
        <v>LUZIÂNIA</v>
      </c>
      <c r="E1338">
        <v>150</v>
      </c>
      <c r="F1338" t="s">
        <v>11429</v>
      </c>
      <c r="G1338" t="s">
        <v>11428</v>
      </c>
      <c r="H1338" t="s">
        <v>3401</v>
      </c>
      <c r="I1338">
        <v>5102</v>
      </c>
      <c r="J1338" s="3">
        <v>88</v>
      </c>
      <c r="K1338" s="3">
        <v>42.65</v>
      </c>
      <c r="L1338">
        <v>51.53</v>
      </c>
    </row>
    <row r="1339" spans="1:12">
      <c r="A1339" s="1">
        <v>46030</v>
      </c>
      <c r="B1339" t="s">
        <v>11427</v>
      </c>
      <c r="C1339">
        <v>24</v>
      </c>
      <c r="D1339" t="str">
        <f>VLOOKUP(Tabela26[[#This Row],[EMP]],[1]LOJA!$A:$B,2,0)</f>
        <v>LUZIÂNIA</v>
      </c>
      <c r="E1339">
        <v>242</v>
      </c>
      <c r="F1339" t="s">
        <v>8532</v>
      </c>
      <c r="G1339" t="s">
        <v>3402</v>
      </c>
      <c r="H1339" t="s">
        <v>3408</v>
      </c>
      <c r="I1339">
        <v>5405</v>
      </c>
      <c r="J1339" s="3">
        <v>266.89999999999998</v>
      </c>
      <c r="K1339" s="3">
        <v>155.15</v>
      </c>
      <c r="L1339">
        <v>41.87</v>
      </c>
    </row>
    <row r="1340" spans="1:12">
      <c r="A1340" s="1">
        <v>46030</v>
      </c>
      <c r="B1340" t="s">
        <v>11426</v>
      </c>
      <c r="C1340">
        <v>24</v>
      </c>
      <c r="D1340" t="str">
        <f>VLOOKUP(Tabela26[[#This Row],[EMP]],[1]LOJA!$A:$B,2,0)</f>
        <v>LUZIÂNIA</v>
      </c>
      <c r="E1340">
        <v>192</v>
      </c>
      <c r="F1340" t="s">
        <v>4169</v>
      </c>
      <c r="G1340" t="s">
        <v>4168</v>
      </c>
      <c r="H1340" t="s">
        <v>3401</v>
      </c>
      <c r="I1340">
        <v>5405</v>
      </c>
      <c r="J1340" s="3">
        <v>535</v>
      </c>
      <c r="K1340" s="3">
        <v>302.13</v>
      </c>
      <c r="L1340">
        <v>43.53</v>
      </c>
    </row>
    <row r="1341" spans="1:12">
      <c r="A1341" s="1">
        <v>46030</v>
      </c>
      <c r="B1341" t="s">
        <v>11425</v>
      </c>
      <c r="C1341">
        <v>24</v>
      </c>
      <c r="D1341" t="str">
        <f>VLOOKUP(Tabela26[[#This Row],[EMP]],[1]LOJA!$A:$B,2,0)</f>
        <v>LUZIÂNIA</v>
      </c>
      <c r="E1341">
        <v>192</v>
      </c>
      <c r="F1341" t="s">
        <v>4895</v>
      </c>
      <c r="G1341" t="s">
        <v>3402</v>
      </c>
      <c r="H1341" t="s">
        <v>3408</v>
      </c>
      <c r="I1341">
        <v>5405</v>
      </c>
      <c r="J1341" s="3">
        <v>153</v>
      </c>
      <c r="K1341" s="3">
        <v>78.599999999999994</v>
      </c>
      <c r="L1341">
        <v>48.63</v>
      </c>
    </row>
    <row r="1342" spans="1:12">
      <c r="A1342" s="1">
        <v>46030</v>
      </c>
      <c r="B1342" t="s">
        <v>11424</v>
      </c>
      <c r="C1342">
        <v>24</v>
      </c>
      <c r="D1342" t="str">
        <f>VLOOKUP(Tabela26[[#This Row],[EMP]],[1]LOJA!$A:$B,2,0)</f>
        <v>LUZIÂNIA</v>
      </c>
      <c r="E1342">
        <v>192</v>
      </c>
      <c r="F1342" t="s">
        <v>4843</v>
      </c>
      <c r="G1342" t="s">
        <v>4842</v>
      </c>
      <c r="H1342" t="s">
        <v>3408</v>
      </c>
      <c r="I1342">
        <v>5405</v>
      </c>
      <c r="J1342" s="3">
        <v>160</v>
      </c>
      <c r="K1342" s="3">
        <v>75.81</v>
      </c>
      <c r="L1342">
        <v>52.62</v>
      </c>
    </row>
    <row r="1343" spans="1:12">
      <c r="A1343" s="1">
        <v>46030</v>
      </c>
      <c r="B1343" t="s">
        <v>11423</v>
      </c>
      <c r="C1343">
        <v>24</v>
      </c>
      <c r="D1343" t="str">
        <f>VLOOKUP(Tabela26[[#This Row],[EMP]],[1]LOJA!$A:$B,2,0)</f>
        <v>LUZIÂNIA</v>
      </c>
      <c r="E1343">
        <v>192</v>
      </c>
      <c r="F1343" t="s">
        <v>4883</v>
      </c>
      <c r="G1343" t="s">
        <v>4882</v>
      </c>
      <c r="H1343" t="s">
        <v>3408</v>
      </c>
      <c r="I1343">
        <v>5102</v>
      </c>
      <c r="J1343" s="3">
        <v>40</v>
      </c>
      <c r="K1343" s="3">
        <v>20.72</v>
      </c>
      <c r="L1343">
        <v>48.2</v>
      </c>
    </row>
    <row r="1344" spans="1:12">
      <c r="A1344" s="1">
        <v>46030</v>
      </c>
      <c r="B1344" t="s">
        <v>11422</v>
      </c>
      <c r="C1344">
        <v>24</v>
      </c>
      <c r="D1344" t="str">
        <f>VLOOKUP(Tabela26[[#This Row],[EMP]],[1]LOJA!$A:$B,2,0)</f>
        <v>LUZIÂNIA</v>
      </c>
      <c r="E1344">
        <v>150</v>
      </c>
      <c r="F1344" t="s">
        <v>4892</v>
      </c>
      <c r="G1344" t="s">
        <v>4891</v>
      </c>
      <c r="H1344" t="s">
        <v>3401</v>
      </c>
      <c r="I1344">
        <v>5405</v>
      </c>
      <c r="J1344" s="3">
        <v>180</v>
      </c>
      <c r="K1344" s="3">
        <v>90.38</v>
      </c>
      <c r="L1344">
        <v>49.79</v>
      </c>
    </row>
    <row r="1345" spans="1:12">
      <c r="A1345" s="1">
        <v>46030</v>
      </c>
      <c r="B1345" t="s">
        <v>11421</v>
      </c>
      <c r="C1345">
        <v>24</v>
      </c>
      <c r="D1345" t="str">
        <f>VLOOKUP(Tabela26[[#This Row],[EMP]],[1]LOJA!$A:$B,2,0)</f>
        <v>LUZIÂNIA</v>
      </c>
      <c r="E1345">
        <v>192</v>
      </c>
      <c r="F1345" t="s">
        <v>3524</v>
      </c>
      <c r="G1345" t="s">
        <v>3402</v>
      </c>
      <c r="H1345" t="s">
        <v>3401</v>
      </c>
      <c r="I1345">
        <v>5102</v>
      </c>
      <c r="J1345" s="3">
        <v>33</v>
      </c>
      <c r="K1345" s="3">
        <v>18.62</v>
      </c>
      <c r="L1345">
        <v>43.58</v>
      </c>
    </row>
    <row r="1346" spans="1:12">
      <c r="A1346" s="1">
        <v>46030</v>
      </c>
      <c r="B1346" t="s">
        <v>11420</v>
      </c>
      <c r="C1346">
        <v>24</v>
      </c>
      <c r="D1346" t="str">
        <f>VLOOKUP(Tabela26[[#This Row],[EMP]],[1]LOJA!$A:$B,2,0)</f>
        <v>LUZIÂNIA</v>
      </c>
      <c r="E1346">
        <v>192</v>
      </c>
      <c r="F1346" t="s">
        <v>8870</v>
      </c>
      <c r="G1346" t="s">
        <v>8869</v>
      </c>
      <c r="H1346" t="s">
        <v>3401</v>
      </c>
      <c r="I1346">
        <v>5405</v>
      </c>
      <c r="J1346" s="3">
        <v>169</v>
      </c>
      <c r="K1346" s="3">
        <v>85.6</v>
      </c>
      <c r="L1346">
        <v>49.35</v>
      </c>
    </row>
    <row r="1347" spans="1:12">
      <c r="A1347" s="1">
        <v>46030</v>
      </c>
      <c r="B1347" t="s">
        <v>11419</v>
      </c>
      <c r="C1347">
        <v>24</v>
      </c>
      <c r="D1347" t="str">
        <f>VLOOKUP(Tabela26[[#This Row],[EMP]],[1]LOJA!$A:$B,2,0)</f>
        <v>LUZIÂNIA</v>
      </c>
      <c r="E1347">
        <v>192</v>
      </c>
      <c r="F1347" t="s">
        <v>3524</v>
      </c>
      <c r="G1347" t="s">
        <v>3402</v>
      </c>
      <c r="H1347" t="s">
        <v>3401</v>
      </c>
      <c r="I1347">
        <v>5405</v>
      </c>
      <c r="J1347" s="3">
        <v>65</v>
      </c>
      <c r="K1347" s="3">
        <v>30.25</v>
      </c>
      <c r="L1347">
        <v>53.46</v>
      </c>
    </row>
    <row r="1348" spans="1:12">
      <c r="A1348" s="1">
        <v>46030</v>
      </c>
      <c r="B1348" t="s">
        <v>11418</v>
      </c>
      <c r="C1348">
        <v>24</v>
      </c>
      <c r="D1348" t="str">
        <f>VLOOKUP(Tabela26[[#This Row],[EMP]],[1]LOJA!$A:$B,2,0)</f>
        <v>LUZIÂNIA</v>
      </c>
      <c r="E1348">
        <v>150</v>
      </c>
      <c r="F1348" t="s">
        <v>4176</v>
      </c>
      <c r="G1348" t="s">
        <v>4175</v>
      </c>
      <c r="H1348" t="s">
        <v>3408</v>
      </c>
      <c r="I1348">
        <v>5405</v>
      </c>
      <c r="J1348" s="3">
        <v>592.77</v>
      </c>
      <c r="K1348" s="3">
        <v>304.10000000000002</v>
      </c>
      <c r="L1348">
        <v>48.7</v>
      </c>
    </row>
    <row r="1349" spans="1:12">
      <c r="A1349" s="1">
        <v>46030</v>
      </c>
      <c r="B1349" t="s">
        <v>11417</v>
      </c>
      <c r="C1349">
        <v>24</v>
      </c>
      <c r="D1349" t="str">
        <f>VLOOKUP(Tabela26[[#This Row],[EMP]],[1]LOJA!$A:$B,2,0)</f>
        <v>LUZIÂNIA</v>
      </c>
      <c r="E1349">
        <v>150</v>
      </c>
      <c r="F1349" t="s">
        <v>3524</v>
      </c>
      <c r="G1349" t="s">
        <v>3402</v>
      </c>
      <c r="H1349" t="s">
        <v>3401</v>
      </c>
      <c r="I1349">
        <v>5102</v>
      </c>
      <c r="J1349" s="3">
        <v>16</v>
      </c>
      <c r="K1349" s="3">
        <v>9.2799999999999994</v>
      </c>
      <c r="L1349">
        <v>42</v>
      </c>
    </row>
    <row r="1350" spans="1:12">
      <c r="A1350" s="1">
        <v>46030</v>
      </c>
      <c r="B1350" t="s">
        <v>11416</v>
      </c>
      <c r="C1350">
        <v>24</v>
      </c>
      <c r="D1350" t="str">
        <f>VLOOKUP(Tabela26[[#This Row],[EMP]],[1]LOJA!$A:$B,2,0)</f>
        <v>LUZIÂNIA</v>
      </c>
      <c r="E1350">
        <v>150</v>
      </c>
      <c r="F1350" t="s">
        <v>3524</v>
      </c>
      <c r="G1350" t="s">
        <v>3402</v>
      </c>
      <c r="H1350" t="s">
        <v>3401</v>
      </c>
      <c r="I1350">
        <v>5102</v>
      </c>
      <c r="J1350" s="3">
        <v>90</v>
      </c>
      <c r="K1350" s="3">
        <v>46.05</v>
      </c>
      <c r="L1350">
        <v>48.83</v>
      </c>
    </row>
    <row r="1351" spans="1:12">
      <c r="A1351" s="1">
        <v>46030</v>
      </c>
      <c r="B1351" t="s">
        <v>11415</v>
      </c>
      <c r="C1351">
        <v>24</v>
      </c>
      <c r="D1351" t="str">
        <f>VLOOKUP(Tabela26[[#This Row],[EMP]],[1]LOJA!$A:$B,2,0)</f>
        <v>LUZIÂNIA</v>
      </c>
      <c r="E1351">
        <v>150</v>
      </c>
      <c r="F1351" t="s">
        <v>4216</v>
      </c>
      <c r="G1351" t="s">
        <v>4215</v>
      </c>
      <c r="H1351" t="s">
        <v>3401</v>
      </c>
      <c r="I1351">
        <v>5102</v>
      </c>
      <c r="J1351" s="3">
        <v>370</v>
      </c>
      <c r="K1351" s="3">
        <v>185.95</v>
      </c>
      <c r="L1351">
        <v>49.74</v>
      </c>
    </row>
    <row r="1352" spans="1:12">
      <c r="A1352" s="1">
        <v>46030</v>
      </c>
      <c r="B1352" t="s">
        <v>11414</v>
      </c>
      <c r="C1352">
        <v>24</v>
      </c>
      <c r="D1352" t="str">
        <f>VLOOKUP(Tabela26[[#This Row],[EMP]],[1]LOJA!$A:$B,2,0)</f>
        <v>LUZIÂNIA</v>
      </c>
      <c r="E1352">
        <v>150</v>
      </c>
      <c r="F1352" t="s">
        <v>3524</v>
      </c>
      <c r="G1352" t="s">
        <v>3402</v>
      </c>
      <c r="H1352" t="s">
        <v>3401</v>
      </c>
      <c r="I1352">
        <v>5405</v>
      </c>
      <c r="J1352" s="3">
        <v>354</v>
      </c>
      <c r="K1352" s="3">
        <v>175.14</v>
      </c>
      <c r="L1352">
        <v>50.53</v>
      </c>
    </row>
    <row r="1353" spans="1:12">
      <c r="A1353" s="1">
        <v>46030</v>
      </c>
      <c r="B1353" t="s">
        <v>11413</v>
      </c>
      <c r="C1353">
        <v>24</v>
      </c>
      <c r="D1353" t="str">
        <f>VLOOKUP(Tabela26[[#This Row],[EMP]],[1]LOJA!$A:$B,2,0)</f>
        <v>LUZIÂNIA</v>
      </c>
      <c r="E1353">
        <v>150</v>
      </c>
      <c r="F1353" t="s">
        <v>3524</v>
      </c>
      <c r="G1353" t="s">
        <v>3402</v>
      </c>
      <c r="H1353" t="s">
        <v>3401</v>
      </c>
      <c r="I1353">
        <v>5405</v>
      </c>
      <c r="J1353" s="3">
        <v>125</v>
      </c>
      <c r="K1353" s="3">
        <v>53.71</v>
      </c>
      <c r="L1353">
        <v>57.03</v>
      </c>
    </row>
    <row r="1354" spans="1:12">
      <c r="A1354" s="1">
        <v>46030</v>
      </c>
      <c r="B1354" t="s">
        <v>11412</v>
      </c>
      <c r="C1354">
        <v>24</v>
      </c>
      <c r="D1354" t="str">
        <f>VLOOKUP(Tabela26[[#This Row],[EMP]],[1]LOJA!$A:$B,2,0)</f>
        <v>LUZIÂNIA</v>
      </c>
      <c r="E1354">
        <v>192</v>
      </c>
      <c r="F1354" t="s">
        <v>3524</v>
      </c>
      <c r="G1354" t="s">
        <v>3402</v>
      </c>
      <c r="H1354" t="s">
        <v>3401</v>
      </c>
      <c r="I1354">
        <v>5102</v>
      </c>
      <c r="J1354" s="3">
        <v>204</v>
      </c>
      <c r="K1354" s="3">
        <v>110.12</v>
      </c>
      <c r="L1354">
        <v>46.02</v>
      </c>
    </row>
    <row r="1355" spans="1:12">
      <c r="A1355" s="1">
        <v>46030</v>
      </c>
      <c r="B1355" t="s">
        <v>11411</v>
      </c>
      <c r="C1355">
        <v>24</v>
      </c>
      <c r="D1355" t="str">
        <f>VLOOKUP(Tabela26[[#This Row],[EMP]],[1]LOJA!$A:$B,2,0)</f>
        <v>LUZIÂNIA</v>
      </c>
      <c r="E1355">
        <v>150</v>
      </c>
      <c r="F1355" t="s">
        <v>3524</v>
      </c>
      <c r="G1355" t="s">
        <v>3402</v>
      </c>
      <c r="H1355" t="s">
        <v>3401</v>
      </c>
      <c r="I1355">
        <v>5405</v>
      </c>
      <c r="J1355" s="3">
        <v>35</v>
      </c>
      <c r="K1355" s="3">
        <v>13.58</v>
      </c>
      <c r="L1355">
        <v>61.2</v>
      </c>
    </row>
    <row r="1356" spans="1:12">
      <c r="A1356" s="1">
        <v>46030</v>
      </c>
      <c r="B1356" t="s">
        <v>11410</v>
      </c>
      <c r="C1356">
        <v>24</v>
      </c>
      <c r="D1356" t="str">
        <f>VLOOKUP(Tabela26[[#This Row],[EMP]],[1]LOJA!$A:$B,2,0)</f>
        <v>LUZIÂNIA</v>
      </c>
      <c r="E1356">
        <v>192</v>
      </c>
      <c r="F1356" t="s">
        <v>3524</v>
      </c>
      <c r="G1356" t="s">
        <v>3402</v>
      </c>
      <c r="H1356" t="s">
        <v>3401</v>
      </c>
      <c r="I1356">
        <v>5102</v>
      </c>
      <c r="J1356" s="3">
        <v>122</v>
      </c>
      <c r="K1356" s="3">
        <v>59.53</v>
      </c>
      <c r="L1356">
        <v>51.2</v>
      </c>
    </row>
    <row r="1357" spans="1:12">
      <c r="A1357" s="1">
        <v>46030</v>
      </c>
      <c r="B1357" t="s">
        <v>11409</v>
      </c>
      <c r="C1357">
        <v>24</v>
      </c>
      <c r="D1357" t="str">
        <f>VLOOKUP(Tabela26[[#This Row],[EMP]],[1]LOJA!$A:$B,2,0)</f>
        <v>LUZIÂNIA</v>
      </c>
      <c r="E1357">
        <v>192</v>
      </c>
      <c r="F1357" t="s">
        <v>4867</v>
      </c>
      <c r="G1357" t="s">
        <v>4866</v>
      </c>
      <c r="H1357" t="s">
        <v>3401</v>
      </c>
      <c r="I1357">
        <v>5405</v>
      </c>
      <c r="J1357" s="3">
        <v>73</v>
      </c>
      <c r="K1357" s="3">
        <v>34.67</v>
      </c>
      <c r="L1357">
        <v>52.51</v>
      </c>
    </row>
    <row r="1358" spans="1:12">
      <c r="A1358" s="1">
        <v>46030</v>
      </c>
      <c r="B1358" t="s">
        <v>11408</v>
      </c>
      <c r="C1358">
        <v>24</v>
      </c>
      <c r="D1358" t="str">
        <f>VLOOKUP(Tabela26[[#This Row],[EMP]],[1]LOJA!$A:$B,2,0)</f>
        <v>LUZIÂNIA</v>
      </c>
      <c r="E1358">
        <v>242</v>
      </c>
      <c r="F1358" t="s">
        <v>11407</v>
      </c>
      <c r="G1358" t="s">
        <v>3402</v>
      </c>
      <c r="H1358" t="s">
        <v>3401</v>
      </c>
      <c r="I1358">
        <v>5405</v>
      </c>
      <c r="J1358" s="3">
        <v>260</v>
      </c>
      <c r="K1358" s="3">
        <v>136.32</v>
      </c>
      <c r="L1358">
        <v>47.57</v>
      </c>
    </row>
    <row r="1359" spans="1:12">
      <c r="A1359" s="1">
        <v>46030</v>
      </c>
      <c r="B1359" t="s">
        <v>11406</v>
      </c>
      <c r="C1359">
        <v>24</v>
      </c>
      <c r="D1359" t="str">
        <f>VLOOKUP(Tabela26[[#This Row],[EMP]],[1]LOJA!$A:$B,2,0)</f>
        <v>LUZIÂNIA</v>
      </c>
      <c r="E1359">
        <v>192</v>
      </c>
      <c r="F1359" t="s">
        <v>3524</v>
      </c>
      <c r="G1359" t="s">
        <v>3402</v>
      </c>
      <c r="H1359" t="s">
        <v>3401</v>
      </c>
      <c r="I1359">
        <v>5102</v>
      </c>
      <c r="J1359" s="3">
        <v>22</v>
      </c>
      <c r="K1359" s="3">
        <v>13.32</v>
      </c>
      <c r="L1359">
        <v>39.450000000000003</v>
      </c>
    </row>
    <row r="1360" spans="1:12">
      <c r="A1360" s="1">
        <v>46030</v>
      </c>
      <c r="B1360" t="s">
        <v>11405</v>
      </c>
      <c r="C1360">
        <v>24</v>
      </c>
      <c r="D1360" t="str">
        <f>VLOOKUP(Tabela26[[#This Row],[EMP]],[1]LOJA!$A:$B,2,0)</f>
        <v>LUZIÂNIA</v>
      </c>
      <c r="E1360">
        <v>192</v>
      </c>
      <c r="F1360" t="s">
        <v>6521</v>
      </c>
      <c r="G1360" t="s">
        <v>6520</v>
      </c>
      <c r="H1360" t="s">
        <v>3408</v>
      </c>
      <c r="I1360">
        <v>5405</v>
      </c>
      <c r="J1360" s="3">
        <v>92</v>
      </c>
      <c r="K1360" s="3">
        <v>37.409999999999997</v>
      </c>
      <c r="L1360">
        <v>59.34</v>
      </c>
    </row>
    <row r="1361" spans="1:12">
      <c r="A1361" s="1">
        <v>46030</v>
      </c>
      <c r="B1361" t="s">
        <v>11404</v>
      </c>
      <c r="C1361">
        <v>24</v>
      </c>
      <c r="D1361" t="str">
        <f>VLOOKUP(Tabela26[[#This Row],[EMP]],[1]LOJA!$A:$B,2,0)</f>
        <v>LUZIÂNIA</v>
      </c>
      <c r="E1361">
        <v>150</v>
      </c>
      <c r="F1361" t="s">
        <v>4201</v>
      </c>
      <c r="G1361" t="s">
        <v>4200</v>
      </c>
      <c r="H1361" t="s">
        <v>3408</v>
      </c>
      <c r="I1361">
        <v>5102</v>
      </c>
      <c r="J1361" s="3">
        <v>105</v>
      </c>
      <c r="K1361" s="3">
        <v>55.5</v>
      </c>
      <c r="L1361">
        <v>47.14</v>
      </c>
    </row>
    <row r="1362" spans="1:12">
      <c r="A1362" s="1">
        <v>46030</v>
      </c>
      <c r="B1362" t="s">
        <v>11403</v>
      </c>
      <c r="C1362">
        <v>24</v>
      </c>
      <c r="D1362" t="str">
        <f>VLOOKUP(Tabela26[[#This Row],[EMP]],[1]LOJA!$A:$B,2,0)</f>
        <v>LUZIÂNIA</v>
      </c>
      <c r="E1362">
        <v>192</v>
      </c>
      <c r="F1362" t="s">
        <v>3524</v>
      </c>
      <c r="G1362" t="s">
        <v>3402</v>
      </c>
      <c r="H1362" t="s">
        <v>3401</v>
      </c>
      <c r="I1362">
        <v>5102</v>
      </c>
      <c r="J1362" s="3">
        <v>74</v>
      </c>
      <c r="K1362" s="3">
        <v>43</v>
      </c>
      <c r="L1362">
        <v>41.89</v>
      </c>
    </row>
    <row r="1363" spans="1:12">
      <c r="A1363" s="1">
        <v>46030</v>
      </c>
      <c r="B1363" t="s">
        <v>11402</v>
      </c>
      <c r="C1363">
        <v>24</v>
      </c>
      <c r="D1363" t="str">
        <f>VLOOKUP(Tabela26[[#This Row],[EMP]],[1]LOJA!$A:$B,2,0)</f>
        <v>LUZIÂNIA</v>
      </c>
      <c r="E1363">
        <v>192</v>
      </c>
      <c r="F1363" t="s">
        <v>3524</v>
      </c>
      <c r="G1363" t="s">
        <v>3402</v>
      </c>
      <c r="H1363" t="s">
        <v>3401</v>
      </c>
      <c r="I1363">
        <v>5102</v>
      </c>
      <c r="J1363" s="3">
        <v>18</v>
      </c>
      <c r="K1363" s="3">
        <v>4.91</v>
      </c>
      <c r="L1363">
        <v>72.72</v>
      </c>
    </row>
    <row r="1364" spans="1:12">
      <c r="A1364" s="1">
        <v>46030</v>
      </c>
      <c r="B1364" t="s">
        <v>11401</v>
      </c>
      <c r="C1364">
        <v>24</v>
      </c>
      <c r="D1364" t="str">
        <f>VLOOKUP(Tabela26[[#This Row],[EMP]],[1]LOJA!$A:$B,2,0)</f>
        <v>LUZIÂNIA</v>
      </c>
      <c r="E1364">
        <v>192</v>
      </c>
      <c r="F1364" t="s">
        <v>5999</v>
      </c>
      <c r="G1364" t="s">
        <v>5998</v>
      </c>
      <c r="H1364" t="s">
        <v>3408</v>
      </c>
      <c r="I1364">
        <v>5405</v>
      </c>
      <c r="J1364" s="3">
        <v>138.12</v>
      </c>
      <c r="K1364" s="3">
        <v>62.21</v>
      </c>
      <c r="L1364">
        <v>54.96</v>
      </c>
    </row>
    <row r="1365" spans="1:12">
      <c r="A1365" s="1">
        <v>46030</v>
      </c>
      <c r="B1365" t="s">
        <v>11400</v>
      </c>
      <c r="C1365">
        <v>24</v>
      </c>
      <c r="D1365" t="str">
        <f>VLOOKUP(Tabela26[[#This Row],[EMP]],[1]LOJA!$A:$B,2,0)</f>
        <v>LUZIÂNIA</v>
      </c>
      <c r="E1365">
        <v>242</v>
      </c>
      <c r="F1365" t="s">
        <v>4179</v>
      </c>
      <c r="G1365" t="s">
        <v>4178</v>
      </c>
      <c r="H1365" t="s">
        <v>3401</v>
      </c>
      <c r="I1365">
        <v>5102</v>
      </c>
      <c r="J1365" s="3">
        <v>73</v>
      </c>
      <c r="K1365" s="3">
        <v>35.450000000000003</v>
      </c>
      <c r="L1365">
        <v>51.44</v>
      </c>
    </row>
    <row r="1366" spans="1:12">
      <c r="A1366" s="1">
        <v>46030</v>
      </c>
      <c r="B1366" t="s">
        <v>11399</v>
      </c>
      <c r="C1366">
        <v>24</v>
      </c>
      <c r="D1366" t="str">
        <f>VLOOKUP(Tabela26[[#This Row],[EMP]],[1]LOJA!$A:$B,2,0)</f>
        <v>LUZIÂNIA</v>
      </c>
      <c r="E1366">
        <v>192</v>
      </c>
      <c r="F1366" t="s">
        <v>3524</v>
      </c>
      <c r="G1366" t="s">
        <v>3402</v>
      </c>
      <c r="H1366" t="s">
        <v>3401</v>
      </c>
      <c r="I1366">
        <v>5405</v>
      </c>
      <c r="J1366" s="3">
        <v>55</v>
      </c>
      <c r="K1366" s="3">
        <v>22.19</v>
      </c>
      <c r="L1366">
        <v>59.65</v>
      </c>
    </row>
    <row r="1367" spans="1:12">
      <c r="A1367" s="1">
        <v>46030</v>
      </c>
      <c r="B1367" t="s">
        <v>11398</v>
      </c>
      <c r="C1367">
        <v>24</v>
      </c>
      <c r="D1367" t="str">
        <f>VLOOKUP(Tabela26[[#This Row],[EMP]],[1]LOJA!$A:$B,2,0)</f>
        <v>LUZIÂNIA</v>
      </c>
      <c r="E1367">
        <v>192</v>
      </c>
      <c r="F1367" t="s">
        <v>3524</v>
      </c>
      <c r="G1367" t="s">
        <v>3402</v>
      </c>
      <c r="H1367" t="s">
        <v>3408</v>
      </c>
      <c r="I1367">
        <v>5102</v>
      </c>
      <c r="J1367" s="3">
        <v>77.900000000000006</v>
      </c>
      <c r="K1367" s="3">
        <v>47.53</v>
      </c>
      <c r="L1367">
        <v>38.99</v>
      </c>
    </row>
    <row r="1368" spans="1:12">
      <c r="A1368" s="1">
        <v>46030</v>
      </c>
      <c r="B1368" t="s">
        <v>11397</v>
      </c>
      <c r="C1368">
        <v>24</v>
      </c>
      <c r="D1368" t="str">
        <f>VLOOKUP(Tabela26[[#This Row],[EMP]],[1]LOJA!$A:$B,2,0)</f>
        <v>LUZIÂNIA</v>
      </c>
      <c r="E1368">
        <v>150</v>
      </c>
      <c r="F1368" t="s">
        <v>4201</v>
      </c>
      <c r="G1368" t="s">
        <v>4200</v>
      </c>
      <c r="H1368" t="s">
        <v>3408</v>
      </c>
      <c r="I1368">
        <v>5405</v>
      </c>
      <c r="J1368" s="3">
        <v>90</v>
      </c>
      <c r="K1368" s="3">
        <v>41.42</v>
      </c>
      <c r="L1368">
        <v>53.98</v>
      </c>
    </row>
    <row r="1369" spans="1:12">
      <c r="A1369" s="1">
        <v>46030</v>
      </c>
      <c r="B1369" t="s">
        <v>11396</v>
      </c>
      <c r="C1369">
        <v>24</v>
      </c>
      <c r="D1369" t="str">
        <f>VLOOKUP(Tabela26[[#This Row],[EMP]],[1]LOJA!$A:$B,2,0)</f>
        <v>LUZIÂNIA</v>
      </c>
      <c r="E1369">
        <v>192</v>
      </c>
      <c r="F1369" t="s">
        <v>4210</v>
      </c>
      <c r="G1369" t="s">
        <v>4209</v>
      </c>
      <c r="H1369" t="s">
        <v>3401</v>
      </c>
      <c r="I1369">
        <v>5405</v>
      </c>
      <c r="J1369" s="3">
        <v>150</v>
      </c>
      <c r="K1369" s="3">
        <v>77.66</v>
      </c>
      <c r="L1369">
        <v>48.23</v>
      </c>
    </row>
    <row r="1370" spans="1:12">
      <c r="A1370" s="1">
        <v>46030</v>
      </c>
      <c r="B1370" t="s">
        <v>11395</v>
      </c>
      <c r="C1370">
        <v>24</v>
      </c>
      <c r="D1370" t="str">
        <f>VLOOKUP(Tabela26[[#This Row],[EMP]],[1]LOJA!$A:$B,2,0)</f>
        <v>LUZIÂNIA</v>
      </c>
      <c r="E1370">
        <v>242</v>
      </c>
      <c r="F1370" t="s">
        <v>11394</v>
      </c>
      <c r="G1370" t="s">
        <v>3402</v>
      </c>
      <c r="H1370" t="s">
        <v>3408</v>
      </c>
      <c r="I1370">
        <v>5102</v>
      </c>
      <c r="J1370" s="3">
        <v>65</v>
      </c>
      <c r="K1370" s="3">
        <v>41.63</v>
      </c>
      <c r="L1370">
        <v>35.950000000000003</v>
      </c>
    </row>
    <row r="1371" spans="1:12">
      <c r="A1371" s="1">
        <v>46030</v>
      </c>
      <c r="B1371" t="s">
        <v>11393</v>
      </c>
      <c r="C1371">
        <v>24</v>
      </c>
      <c r="D1371" t="str">
        <f>VLOOKUP(Tabela26[[#This Row],[EMP]],[1]LOJA!$A:$B,2,0)</f>
        <v>LUZIÂNIA</v>
      </c>
      <c r="E1371">
        <v>192</v>
      </c>
      <c r="F1371" t="s">
        <v>3524</v>
      </c>
      <c r="G1371" t="s">
        <v>3402</v>
      </c>
      <c r="H1371" t="s">
        <v>3401</v>
      </c>
      <c r="I1371">
        <v>5102</v>
      </c>
      <c r="J1371" s="3">
        <v>26</v>
      </c>
      <c r="K1371" s="3">
        <v>11.73</v>
      </c>
      <c r="L1371">
        <v>54.88</v>
      </c>
    </row>
    <row r="1372" spans="1:12">
      <c r="A1372" s="1">
        <v>46030</v>
      </c>
      <c r="B1372" t="s">
        <v>11392</v>
      </c>
      <c r="C1372">
        <v>24</v>
      </c>
      <c r="D1372" t="str">
        <f>VLOOKUP(Tabela26[[#This Row],[EMP]],[1]LOJA!$A:$B,2,0)</f>
        <v>LUZIÂNIA</v>
      </c>
      <c r="E1372">
        <v>242</v>
      </c>
      <c r="F1372" t="s">
        <v>9755</v>
      </c>
      <c r="G1372" t="s">
        <v>3402</v>
      </c>
      <c r="H1372" t="s">
        <v>3401</v>
      </c>
      <c r="I1372">
        <v>5102</v>
      </c>
      <c r="J1372" s="3">
        <v>300</v>
      </c>
      <c r="K1372" s="3">
        <v>156.94999999999999</v>
      </c>
      <c r="L1372">
        <v>47.68</v>
      </c>
    </row>
    <row r="1373" spans="1:12">
      <c r="A1373" s="1">
        <v>46030</v>
      </c>
      <c r="B1373" t="s">
        <v>11391</v>
      </c>
      <c r="C1373">
        <v>24</v>
      </c>
      <c r="D1373" t="str">
        <f>VLOOKUP(Tabela26[[#This Row],[EMP]],[1]LOJA!$A:$B,2,0)</f>
        <v>LUZIÂNIA</v>
      </c>
      <c r="E1373">
        <v>192</v>
      </c>
      <c r="F1373" t="s">
        <v>3524</v>
      </c>
      <c r="G1373" t="s">
        <v>3402</v>
      </c>
      <c r="H1373" t="s">
        <v>3401</v>
      </c>
      <c r="I1373">
        <v>5102</v>
      </c>
      <c r="J1373" s="3">
        <v>29.5</v>
      </c>
      <c r="K1373" s="3">
        <v>13.94</v>
      </c>
      <c r="L1373">
        <v>52.75</v>
      </c>
    </row>
    <row r="1374" spans="1:12">
      <c r="A1374" s="1">
        <v>46030</v>
      </c>
      <c r="B1374" t="s">
        <v>11390</v>
      </c>
      <c r="C1374">
        <v>24</v>
      </c>
      <c r="D1374" t="str">
        <f>VLOOKUP(Tabela26[[#This Row],[EMP]],[1]LOJA!$A:$B,2,0)</f>
        <v>LUZIÂNIA</v>
      </c>
      <c r="E1374">
        <v>192</v>
      </c>
      <c r="F1374" t="s">
        <v>3524</v>
      </c>
      <c r="G1374" t="s">
        <v>3402</v>
      </c>
      <c r="H1374" t="s">
        <v>3401</v>
      </c>
      <c r="I1374">
        <v>5405</v>
      </c>
      <c r="J1374" s="3">
        <v>100</v>
      </c>
      <c r="K1374" s="3">
        <v>52.25</v>
      </c>
      <c r="L1374">
        <v>47.75</v>
      </c>
    </row>
    <row r="1375" spans="1:12">
      <c r="A1375" s="1">
        <v>46030</v>
      </c>
      <c r="B1375" t="s">
        <v>11389</v>
      </c>
      <c r="C1375">
        <v>24</v>
      </c>
      <c r="D1375" t="str">
        <f>VLOOKUP(Tabela26[[#This Row],[EMP]],[1]LOJA!$A:$B,2,0)</f>
        <v>LUZIÂNIA</v>
      </c>
      <c r="E1375">
        <v>192</v>
      </c>
      <c r="F1375" t="s">
        <v>4837</v>
      </c>
      <c r="G1375" t="s">
        <v>4836</v>
      </c>
      <c r="H1375" t="s">
        <v>3401</v>
      </c>
      <c r="I1375">
        <v>5405</v>
      </c>
      <c r="J1375" s="3">
        <v>247.4</v>
      </c>
      <c r="K1375" s="3">
        <v>115.44</v>
      </c>
      <c r="L1375">
        <v>53.34</v>
      </c>
    </row>
    <row r="1376" spans="1:12">
      <c r="A1376" s="1">
        <v>46030</v>
      </c>
      <c r="B1376" t="s">
        <v>11388</v>
      </c>
      <c r="C1376">
        <v>24</v>
      </c>
      <c r="D1376" t="str">
        <f>VLOOKUP(Tabela26[[#This Row],[EMP]],[1]LOJA!$A:$B,2,0)</f>
        <v>LUZIÂNIA</v>
      </c>
      <c r="E1376">
        <v>242</v>
      </c>
      <c r="F1376" t="s">
        <v>3524</v>
      </c>
      <c r="G1376" t="s">
        <v>3402</v>
      </c>
      <c r="H1376" t="s">
        <v>3401</v>
      </c>
      <c r="I1376">
        <v>5405</v>
      </c>
      <c r="J1376" s="3">
        <v>254.9</v>
      </c>
      <c r="K1376" s="3">
        <v>146.19999999999999</v>
      </c>
      <c r="L1376">
        <v>42.64</v>
      </c>
    </row>
    <row r="1377" spans="1:12">
      <c r="A1377" s="1">
        <v>46030</v>
      </c>
      <c r="B1377" t="s">
        <v>11387</v>
      </c>
      <c r="C1377">
        <v>24</v>
      </c>
      <c r="D1377" t="str">
        <f>VLOOKUP(Tabela26[[#This Row],[EMP]],[1]LOJA!$A:$B,2,0)</f>
        <v>LUZIÂNIA</v>
      </c>
      <c r="E1377">
        <v>192</v>
      </c>
      <c r="F1377" t="s">
        <v>4189</v>
      </c>
      <c r="G1377" t="s">
        <v>4188</v>
      </c>
      <c r="H1377" t="s">
        <v>3401</v>
      </c>
      <c r="I1377">
        <v>5405</v>
      </c>
      <c r="J1377" s="3">
        <v>45</v>
      </c>
      <c r="K1377" s="3">
        <v>20.440000000000001</v>
      </c>
      <c r="L1377">
        <v>54.58</v>
      </c>
    </row>
    <row r="1378" spans="1:12">
      <c r="A1378" s="1">
        <v>46030</v>
      </c>
      <c r="B1378" t="s">
        <v>11386</v>
      </c>
      <c r="C1378">
        <v>24</v>
      </c>
      <c r="D1378" t="str">
        <f>VLOOKUP(Tabela26[[#This Row],[EMP]],[1]LOJA!$A:$B,2,0)</f>
        <v>LUZIÂNIA</v>
      </c>
      <c r="E1378">
        <v>192</v>
      </c>
      <c r="F1378" t="s">
        <v>3524</v>
      </c>
      <c r="G1378" t="s">
        <v>3402</v>
      </c>
      <c r="H1378" t="s">
        <v>3401</v>
      </c>
      <c r="I1378">
        <v>5102</v>
      </c>
      <c r="J1378" s="3">
        <v>7</v>
      </c>
      <c r="K1378" s="3">
        <v>3.44</v>
      </c>
      <c r="L1378">
        <v>50.86</v>
      </c>
    </row>
    <row r="1379" spans="1:12">
      <c r="A1379" s="1">
        <v>46030</v>
      </c>
      <c r="B1379" t="s">
        <v>11385</v>
      </c>
      <c r="C1379">
        <v>12</v>
      </c>
      <c r="D1379" t="str">
        <f>VLOOKUP(Tabela26[[#This Row],[EMP]],[1]LOJA!$A:$B,2,0)</f>
        <v>SOFNORTE</v>
      </c>
      <c r="E1379">
        <v>60</v>
      </c>
      <c r="F1379" t="s">
        <v>4162</v>
      </c>
      <c r="G1379" t="s">
        <v>4161</v>
      </c>
      <c r="H1379" t="s">
        <v>3430</v>
      </c>
      <c r="I1379">
        <v>5405</v>
      </c>
      <c r="J1379" s="3">
        <v>204.44</v>
      </c>
      <c r="K1379" s="3">
        <v>101.2</v>
      </c>
      <c r="L1379">
        <v>50.5</v>
      </c>
    </row>
    <row r="1380" spans="1:12">
      <c r="A1380" s="1">
        <v>46030</v>
      </c>
      <c r="B1380" t="s">
        <v>11384</v>
      </c>
      <c r="C1380">
        <v>12</v>
      </c>
      <c r="D1380" t="str">
        <f>VLOOKUP(Tabela26[[#This Row],[EMP]],[1]LOJA!$A:$B,2,0)</f>
        <v>SOFNORTE</v>
      </c>
      <c r="E1380">
        <v>60</v>
      </c>
      <c r="F1380" t="s">
        <v>3709</v>
      </c>
      <c r="G1380" t="s">
        <v>3708</v>
      </c>
      <c r="H1380" t="s">
        <v>11147</v>
      </c>
      <c r="I1380">
        <v>5405</v>
      </c>
      <c r="J1380" s="3">
        <v>202.06</v>
      </c>
      <c r="K1380" s="3">
        <v>103.78</v>
      </c>
      <c r="L1380">
        <v>48.64</v>
      </c>
    </row>
    <row r="1381" spans="1:12">
      <c r="A1381" s="1">
        <v>46030</v>
      </c>
      <c r="B1381" t="s">
        <v>11383</v>
      </c>
      <c r="C1381">
        <v>12</v>
      </c>
      <c r="D1381" t="str">
        <f>VLOOKUP(Tabela26[[#This Row],[EMP]],[1]LOJA!$A:$B,2,0)</f>
        <v>SOFNORTE</v>
      </c>
      <c r="E1381">
        <v>60</v>
      </c>
      <c r="F1381" t="s">
        <v>3709</v>
      </c>
      <c r="G1381" t="s">
        <v>3708</v>
      </c>
      <c r="H1381" t="s">
        <v>11147</v>
      </c>
      <c r="I1381">
        <v>5405</v>
      </c>
      <c r="J1381" s="3">
        <v>35.19</v>
      </c>
      <c r="K1381" s="3">
        <v>17.190000000000001</v>
      </c>
      <c r="L1381">
        <v>51.15</v>
      </c>
    </row>
    <row r="1382" spans="1:12">
      <c r="A1382" s="1">
        <v>46030</v>
      </c>
      <c r="B1382" t="s">
        <v>11382</v>
      </c>
      <c r="C1382">
        <v>22</v>
      </c>
      <c r="D1382" t="str">
        <f>VLOOKUP(Tabela26[[#This Row],[EMP]],[1]LOJA!$A:$B,2,0)</f>
        <v>GUARÁ</v>
      </c>
      <c r="E1382">
        <v>93</v>
      </c>
      <c r="F1382" t="s">
        <v>4147</v>
      </c>
      <c r="G1382" t="s">
        <v>4146</v>
      </c>
      <c r="H1382" t="s">
        <v>3430</v>
      </c>
      <c r="I1382">
        <v>5405</v>
      </c>
      <c r="J1382" s="3">
        <v>38.65</v>
      </c>
      <c r="K1382" s="3">
        <v>20.11</v>
      </c>
      <c r="L1382">
        <v>47.97</v>
      </c>
    </row>
    <row r="1383" spans="1:12">
      <c r="A1383" s="1">
        <v>46030</v>
      </c>
      <c r="B1383" t="s">
        <v>11381</v>
      </c>
      <c r="C1383">
        <v>22</v>
      </c>
      <c r="D1383" t="str">
        <f>VLOOKUP(Tabela26[[#This Row],[EMP]],[1]LOJA!$A:$B,2,0)</f>
        <v>GUARÁ</v>
      </c>
      <c r="E1383">
        <v>93</v>
      </c>
      <c r="F1383" t="s">
        <v>4147</v>
      </c>
      <c r="G1383" t="s">
        <v>4146</v>
      </c>
      <c r="H1383" t="s">
        <v>3430</v>
      </c>
      <c r="I1383">
        <v>5405</v>
      </c>
      <c r="J1383" s="3">
        <v>184.04</v>
      </c>
      <c r="K1383" s="3">
        <v>102.21</v>
      </c>
      <c r="L1383">
        <v>44.46</v>
      </c>
    </row>
    <row r="1384" spans="1:12">
      <c r="A1384" s="1">
        <v>46030</v>
      </c>
      <c r="B1384" t="s">
        <v>11380</v>
      </c>
      <c r="C1384">
        <v>22</v>
      </c>
      <c r="D1384" t="str">
        <f>VLOOKUP(Tabela26[[#This Row],[EMP]],[1]LOJA!$A:$B,2,0)</f>
        <v>GUARÁ</v>
      </c>
      <c r="E1384">
        <v>93</v>
      </c>
      <c r="F1384" t="s">
        <v>11379</v>
      </c>
      <c r="G1384" t="s">
        <v>11378</v>
      </c>
      <c r="H1384" t="s">
        <v>3430</v>
      </c>
      <c r="I1384">
        <v>5102</v>
      </c>
      <c r="J1384" s="3">
        <v>43</v>
      </c>
      <c r="K1384" s="3">
        <v>22.9</v>
      </c>
      <c r="L1384">
        <v>46.74</v>
      </c>
    </row>
    <row r="1385" spans="1:12">
      <c r="A1385" s="1">
        <v>46030</v>
      </c>
      <c r="B1385" t="s">
        <v>11377</v>
      </c>
      <c r="C1385">
        <v>22</v>
      </c>
      <c r="D1385" t="str">
        <f>VLOOKUP(Tabela26[[#This Row],[EMP]],[1]LOJA!$A:$B,2,0)</f>
        <v>GUARÁ</v>
      </c>
      <c r="E1385">
        <v>93</v>
      </c>
      <c r="F1385" t="s">
        <v>4808</v>
      </c>
      <c r="G1385" t="s">
        <v>4807</v>
      </c>
      <c r="H1385" t="s">
        <v>3430</v>
      </c>
      <c r="I1385">
        <v>5405</v>
      </c>
      <c r="J1385" s="3">
        <v>213.49</v>
      </c>
      <c r="K1385" s="3">
        <v>114.59</v>
      </c>
      <c r="L1385">
        <v>46.33</v>
      </c>
    </row>
    <row r="1386" spans="1:12">
      <c r="A1386" s="1">
        <v>46030</v>
      </c>
      <c r="B1386" t="s">
        <v>11376</v>
      </c>
      <c r="C1386">
        <v>22</v>
      </c>
      <c r="D1386" t="str">
        <f>VLOOKUP(Tabela26[[#This Row],[EMP]],[1]LOJA!$A:$B,2,0)</f>
        <v>GUARÁ</v>
      </c>
      <c r="E1386">
        <v>93</v>
      </c>
      <c r="F1386" t="s">
        <v>3514</v>
      </c>
      <c r="G1386" t="s">
        <v>3513</v>
      </c>
      <c r="H1386" t="s">
        <v>3430</v>
      </c>
      <c r="I1386">
        <v>5102</v>
      </c>
      <c r="J1386" s="3">
        <v>128.96</v>
      </c>
      <c r="K1386" s="3">
        <v>67.84</v>
      </c>
      <c r="L1386">
        <v>47.39</v>
      </c>
    </row>
    <row r="1387" spans="1:12">
      <c r="A1387" s="1">
        <v>46030</v>
      </c>
      <c r="B1387" t="s">
        <v>11375</v>
      </c>
      <c r="C1387">
        <v>22</v>
      </c>
      <c r="D1387" t="str">
        <f>VLOOKUP(Tabela26[[#This Row],[EMP]],[1]LOJA!$A:$B,2,0)</f>
        <v>GUARÁ</v>
      </c>
      <c r="E1387">
        <v>93</v>
      </c>
      <c r="F1387" t="s">
        <v>4144</v>
      </c>
      <c r="G1387" t="s">
        <v>4143</v>
      </c>
      <c r="H1387" t="s">
        <v>3426</v>
      </c>
      <c r="I1387">
        <v>5405</v>
      </c>
      <c r="J1387" s="3">
        <v>142.04</v>
      </c>
      <c r="K1387" s="3">
        <v>73.08</v>
      </c>
      <c r="L1387">
        <v>48.55</v>
      </c>
    </row>
    <row r="1388" spans="1:12">
      <c r="A1388" s="1">
        <v>46030</v>
      </c>
      <c r="B1388" t="s">
        <v>11374</v>
      </c>
      <c r="C1388">
        <v>22</v>
      </c>
      <c r="D1388" t="str">
        <f>VLOOKUP(Tabela26[[#This Row],[EMP]],[1]LOJA!$A:$B,2,0)</f>
        <v>GUARÁ</v>
      </c>
      <c r="E1388">
        <v>93</v>
      </c>
      <c r="F1388" t="s">
        <v>3514</v>
      </c>
      <c r="G1388" t="s">
        <v>3513</v>
      </c>
      <c r="H1388" t="s">
        <v>3430</v>
      </c>
      <c r="I1388">
        <v>5405</v>
      </c>
      <c r="J1388" s="3">
        <v>189.91</v>
      </c>
      <c r="K1388" s="3">
        <v>99.85</v>
      </c>
      <c r="L1388">
        <v>47.42</v>
      </c>
    </row>
    <row r="1389" spans="1:12">
      <c r="A1389" s="1">
        <v>46030</v>
      </c>
      <c r="B1389" t="s">
        <v>11373</v>
      </c>
      <c r="C1389">
        <v>13</v>
      </c>
      <c r="D1389" t="str">
        <f>VLOOKUP(Tabela26[[#This Row],[EMP]],[1]LOJA!$A:$B,2,0)</f>
        <v>CEILÂNDIA</v>
      </c>
      <c r="E1389">
        <v>86</v>
      </c>
      <c r="F1389" t="s">
        <v>6884</v>
      </c>
      <c r="G1389" t="s">
        <v>6883</v>
      </c>
      <c r="H1389" t="s">
        <v>3430</v>
      </c>
      <c r="I1389">
        <v>5102</v>
      </c>
      <c r="J1389" s="3">
        <v>35.47</v>
      </c>
      <c r="K1389" s="3">
        <v>18.66</v>
      </c>
      <c r="L1389">
        <v>47.39</v>
      </c>
    </row>
    <row r="1390" spans="1:12">
      <c r="A1390" s="1">
        <v>46030</v>
      </c>
      <c r="B1390" t="s">
        <v>11372</v>
      </c>
      <c r="C1390">
        <v>13</v>
      </c>
      <c r="D1390" t="str">
        <f>VLOOKUP(Tabela26[[#This Row],[EMP]],[1]LOJA!$A:$B,2,0)</f>
        <v>CEILÂNDIA</v>
      </c>
      <c r="E1390">
        <v>86</v>
      </c>
      <c r="F1390" t="s">
        <v>4133</v>
      </c>
      <c r="G1390" t="s">
        <v>4132</v>
      </c>
      <c r="H1390" t="s">
        <v>3430</v>
      </c>
      <c r="I1390">
        <v>5405</v>
      </c>
      <c r="J1390" s="3">
        <v>104.39</v>
      </c>
      <c r="K1390" s="3">
        <v>52.76</v>
      </c>
      <c r="L1390">
        <v>49.46</v>
      </c>
    </row>
    <row r="1391" spans="1:12">
      <c r="A1391" s="1">
        <v>46030</v>
      </c>
      <c r="B1391" t="s">
        <v>11371</v>
      </c>
      <c r="C1391">
        <v>13</v>
      </c>
      <c r="D1391" t="str">
        <f>VLOOKUP(Tabela26[[#This Row],[EMP]],[1]LOJA!$A:$B,2,0)</f>
        <v>CEILÂNDIA</v>
      </c>
      <c r="E1391">
        <v>86</v>
      </c>
      <c r="F1391" t="s">
        <v>5339</v>
      </c>
      <c r="G1391" t="s">
        <v>5338</v>
      </c>
      <c r="H1391" t="s">
        <v>3408</v>
      </c>
      <c r="I1391">
        <v>5102</v>
      </c>
      <c r="J1391" s="3">
        <v>269.7</v>
      </c>
      <c r="K1391" s="3">
        <v>126.78</v>
      </c>
      <c r="L1391">
        <v>52.99</v>
      </c>
    </row>
    <row r="1392" spans="1:12">
      <c r="A1392" s="1">
        <v>46030</v>
      </c>
      <c r="B1392" t="s">
        <v>11370</v>
      </c>
      <c r="C1392">
        <v>13</v>
      </c>
      <c r="D1392" t="str">
        <f>VLOOKUP(Tabela26[[#This Row],[EMP]],[1]LOJA!$A:$B,2,0)</f>
        <v>CEILÂNDIA</v>
      </c>
      <c r="E1392">
        <v>86</v>
      </c>
      <c r="F1392" t="s">
        <v>4118</v>
      </c>
      <c r="G1392" t="s">
        <v>4117</v>
      </c>
      <c r="H1392" t="s">
        <v>3430</v>
      </c>
      <c r="I1392">
        <v>5405</v>
      </c>
      <c r="J1392" s="3">
        <v>326.74</v>
      </c>
      <c r="K1392" s="3">
        <v>165.19</v>
      </c>
      <c r="L1392">
        <v>49.44</v>
      </c>
    </row>
    <row r="1393" spans="1:12">
      <c r="A1393" s="1">
        <v>46030</v>
      </c>
      <c r="B1393" t="s">
        <v>11369</v>
      </c>
      <c r="C1393">
        <v>13</v>
      </c>
      <c r="D1393" t="str">
        <f>VLOOKUP(Tabela26[[#This Row],[EMP]],[1]LOJA!$A:$B,2,0)</f>
        <v>CEILÂNDIA</v>
      </c>
      <c r="E1393">
        <v>86</v>
      </c>
      <c r="F1393" t="s">
        <v>4118</v>
      </c>
      <c r="G1393" t="s">
        <v>4117</v>
      </c>
      <c r="H1393" t="s">
        <v>3430</v>
      </c>
      <c r="I1393">
        <v>5102</v>
      </c>
      <c r="J1393" s="3">
        <v>1185.44</v>
      </c>
      <c r="K1393" s="3">
        <v>713.1</v>
      </c>
      <c r="L1393">
        <v>39.85</v>
      </c>
    </row>
    <row r="1394" spans="1:12">
      <c r="A1394" s="1">
        <v>46030</v>
      </c>
      <c r="B1394" t="s">
        <v>11368</v>
      </c>
      <c r="C1394">
        <v>13</v>
      </c>
      <c r="D1394" t="str">
        <f>VLOOKUP(Tabela26[[#This Row],[EMP]],[1]LOJA!$A:$B,2,0)</f>
        <v>CEILÂNDIA</v>
      </c>
      <c r="E1394">
        <v>86</v>
      </c>
      <c r="F1394" t="s">
        <v>5339</v>
      </c>
      <c r="G1394" t="s">
        <v>5338</v>
      </c>
      <c r="H1394" t="s">
        <v>3408</v>
      </c>
      <c r="I1394">
        <v>5102</v>
      </c>
      <c r="J1394" s="3">
        <v>30</v>
      </c>
      <c r="K1394" s="3">
        <v>14.64</v>
      </c>
      <c r="L1394">
        <v>51.2</v>
      </c>
    </row>
    <row r="1395" spans="1:12">
      <c r="A1395" s="1">
        <v>46030</v>
      </c>
      <c r="B1395" t="s">
        <v>11367</v>
      </c>
      <c r="C1395">
        <v>13</v>
      </c>
      <c r="D1395" t="str">
        <f>VLOOKUP(Tabela26[[#This Row],[EMP]],[1]LOJA!$A:$B,2,0)</f>
        <v>CEILÂNDIA</v>
      </c>
      <c r="E1395">
        <v>33</v>
      </c>
      <c r="F1395" t="s">
        <v>3505</v>
      </c>
      <c r="G1395" t="s">
        <v>3504</v>
      </c>
      <c r="H1395" t="s">
        <v>3430</v>
      </c>
      <c r="I1395">
        <v>5102</v>
      </c>
      <c r="J1395" s="3">
        <v>116.31</v>
      </c>
      <c r="K1395" s="3">
        <v>62.19</v>
      </c>
      <c r="L1395">
        <v>46.53</v>
      </c>
    </row>
    <row r="1396" spans="1:12">
      <c r="A1396" s="1">
        <v>46030</v>
      </c>
      <c r="B1396" t="s">
        <v>11366</v>
      </c>
      <c r="C1396">
        <v>13</v>
      </c>
      <c r="D1396" t="str">
        <f>VLOOKUP(Tabela26[[#This Row],[EMP]],[1]LOJA!$A:$B,2,0)</f>
        <v>CEILÂNDIA</v>
      </c>
      <c r="E1396">
        <v>33</v>
      </c>
      <c r="F1396" t="s">
        <v>5863</v>
      </c>
      <c r="G1396" t="s">
        <v>5862</v>
      </c>
      <c r="H1396" t="s">
        <v>3430</v>
      </c>
      <c r="I1396">
        <v>5405</v>
      </c>
      <c r="J1396" s="3">
        <v>50.92</v>
      </c>
      <c r="K1396" s="3">
        <v>26.03</v>
      </c>
      <c r="L1396">
        <v>48.88</v>
      </c>
    </row>
    <row r="1397" spans="1:12">
      <c r="A1397" s="1">
        <v>46030</v>
      </c>
      <c r="B1397" t="s">
        <v>11365</v>
      </c>
      <c r="C1397">
        <v>13</v>
      </c>
      <c r="D1397" t="str">
        <f>VLOOKUP(Tabela26[[#This Row],[EMP]],[1]LOJA!$A:$B,2,0)</f>
        <v>CEILÂNDIA</v>
      </c>
      <c r="E1397">
        <v>86</v>
      </c>
      <c r="F1397" t="s">
        <v>4084</v>
      </c>
      <c r="G1397" t="s">
        <v>4083</v>
      </c>
      <c r="H1397" t="s">
        <v>3430</v>
      </c>
      <c r="I1397">
        <v>5405</v>
      </c>
      <c r="J1397" s="3">
        <v>92</v>
      </c>
      <c r="K1397" s="3">
        <v>53.44</v>
      </c>
      <c r="L1397">
        <v>41.91</v>
      </c>
    </row>
    <row r="1398" spans="1:12">
      <c r="A1398" s="1">
        <v>46030</v>
      </c>
      <c r="B1398" t="s">
        <v>11364</v>
      </c>
      <c r="C1398">
        <v>13</v>
      </c>
      <c r="D1398" t="str">
        <f>VLOOKUP(Tabela26[[#This Row],[EMP]],[1]LOJA!$A:$B,2,0)</f>
        <v>CEILÂNDIA</v>
      </c>
      <c r="E1398">
        <v>86</v>
      </c>
      <c r="F1398" t="s">
        <v>3505</v>
      </c>
      <c r="G1398" t="s">
        <v>3504</v>
      </c>
      <c r="H1398" t="s">
        <v>3430</v>
      </c>
      <c r="I1398">
        <v>5102</v>
      </c>
      <c r="J1398" s="3">
        <v>58.31</v>
      </c>
      <c r="K1398" s="3">
        <v>38.11</v>
      </c>
      <c r="L1398">
        <v>34.64</v>
      </c>
    </row>
    <row r="1399" spans="1:12">
      <c r="A1399" s="1">
        <v>46030</v>
      </c>
      <c r="B1399" t="s">
        <v>5329</v>
      </c>
      <c r="C1399">
        <v>15</v>
      </c>
      <c r="D1399" t="str">
        <f>VLOOKUP(Tabela26[[#This Row],[EMP]],[1]LOJA!$A:$B,2,0)</f>
        <v>UNAÍ</v>
      </c>
      <c r="E1399">
        <v>183</v>
      </c>
      <c r="F1399" t="s">
        <v>3963</v>
      </c>
      <c r="G1399" t="s">
        <v>3962</v>
      </c>
      <c r="H1399" t="s">
        <v>3401</v>
      </c>
      <c r="I1399">
        <v>5102</v>
      </c>
      <c r="J1399" s="3">
        <v>68.400000000000006</v>
      </c>
      <c r="K1399" s="3">
        <v>32.49</v>
      </c>
      <c r="L1399">
        <v>52.5</v>
      </c>
    </row>
    <row r="1400" spans="1:12">
      <c r="A1400" s="1">
        <v>46030</v>
      </c>
      <c r="B1400" t="s">
        <v>5328</v>
      </c>
      <c r="C1400">
        <v>15</v>
      </c>
      <c r="D1400" t="str">
        <f>VLOOKUP(Tabela26[[#This Row],[EMP]],[1]LOJA!$A:$B,2,0)</f>
        <v>UNAÍ</v>
      </c>
      <c r="E1400">
        <v>183</v>
      </c>
      <c r="F1400" t="s">
        <v>3485</v>
      </c>
      <c r="G1400" t="s">
        <v>3402</v>
      </c>
      <c r="H1400" t="s">
        <v>3401</v>
      </c>
      <c r="I1400">
        <v>5102</v>
      </c>
      <c r="J1400" s="3">
        <v>23.6</v>
      </c>
      <c r="K1400" s="3">
        <v>12.01</v>
      </c>
      <c r="L1400">
        <v>49.11</v>
      </c>
    </row>
    <row r="1401" spans="1:12">
      <c r="A1401" s="1">
        <v>46030</v>
      </c>
      <c r="B1401" t="s">
        <v>5327</v>
      </c>
      <c r="C1401">
        <v>15</v>
      </c>
      <c r="D1401" t="str">
        <f>VLOOKUP(Tabela26[[#This Row],[EMP]],[1]LOJA!$A:$B,2,0)</f>
        <v>UNAÍ</v>
      </c>
      <c r="E1401">
        <v>183</v>
      </c>
      <c r="F1401" t="s">
        <v>4044</v>
      </c>
      <c r="G1401" t="s">
        <v>4043</v>
      </c>
      <c r="H1401" t="s">
        <v>3408</v>
      </c>
      <c r="I1401">
        <v>5102</v>
      </c>
      <c r="J1401" s="3">
        <v>464.65</v>
      </c>
      <c r="K1401" s="3">
        <v>226.76</v>
      </c>
      <c r="L1401">
        <v>51.2</v>
      </c>
    </row>
    <row r="1402" spans="1:12">
      <c r="A1402" s="1">
        <v>46030</v>
      </c>
      <c r="B1402" t="s">
        <v>5326</v>
      </c>
      <c r="C1402">
        <v>15</v>
      </c>
      <c r="D1402" t="str">
        <f>VLOOKUP(Tabela26[[#This Row],[EMP]],[1]LOJA!$A:$B,2,0)</f>
        <v>UNAÍ</v>
      </c>
      <c r="E1402">
        <v>183</v>
      </c>
      <c r="F1402" t="s">
        <v>3485</v>
      </c>
      <c r="G1402" t="s">
        <v>3402</v>
      </c>
      <c r="H1402" t="s">
        <v>3401</v>
      </c>
      <c r="I1402">
        <v>5102</v>
      </c>
      <c r="J1402" s="3">
        <v>38</v>
      </c>
      <c r="K1402" s="3">
        <v>17.61</v>
      </c>
      <c r="L1402">
        <v>53.66</v>
      </c>
    </row>
    <row r="1403" spans="1:12">
      <c r="A1403" s="1">
        <v>46030</v>
      </c>
      <c r="B1403" t="s">
        <v>5325</v>
      </c>
      <c r="C1403">
        <v>15</v>
      </c>
      <c r="D1403" t="str">
        <f>VLOOKUP(Tabela26[[#This Row],[EMP]],[1]LOJA!$A:$B,2,0)</f>
        <v>UNAÍ</v>
      </c>
      <c r="E1403">
        <v>183</v>
      </c>
      <c r="F1403" t="s">
        <v>3488</v>
      </c>
      <c r="G1403" t="s">
        <v>3487</v>
      </c>
      <c r="H1403" t="s">
        <v>3430</v>
      </c>
      <c r="I1403">
        <v>5102</v>
      </c>
      <c r="J1403" s="3">
        <v>36</v>
      </c>
      <c r="K1403" s="3">
        <v>13.95</v>
      </c>
      <c r="L1403">
        <v>61.25</v>
      </c>
    </row>
    <row r="1404" spans="1:12">
      <c r="A1404" s="1">
        <v>46030</v>
      </c>
      <c r="B1404" t="s">
        <v>5324</v>
      </c>
      <c r="C1404">
        <v>15</v>
      </c>
      <c r="D1404" t="str">
        <f>VLOOKUP(Tabela26[[#This Row],[EMP]],[1]LOJA!$A:$B,2,0)</f>
        <v>UNAÍ</v>
      </c>
      <c r="E1404">
        <v>183</v>
      </c>
      <c r="F1404" t="s">
        <v>3467</v>
      </c>
      <c r="G1404" t="s">
        <v>3466</v>
      </c>
      <c r="H1404" t="s">
        <v>3401</v>
      </c>
      <c r="I1404">
        <v>5102</v>
      </c>
      <c r="J1404" s="3">
        <v>99</v>
      </c>
      <c r="K1404" s="3">
        <v>44.72</v>
      </c>
      <c r="L1404">
        <v>54.83</v>
      </c>
    </row>
    <row r="1405" spans="1:12">
      <c r="A1405" s="1">
        <v>46030</v>
      </c>
      <c r="B1405" t="s">
        <v>5323</v>
      </c>
      <c r="C1405">
        <v>15</v>
      </c>
      <c r="D1405" t="str">
        <f>VLOOKUP(Tabela26[[#This Row],[EMP]],[1]LOJA!$A:$B,2,0)</f>
        <v>UNAÍ</v>
      </c>
      <c r="E1405">
        <v>183</v>
      </c>
      <c r="F1405" t="s">
        <v>3963</v>
      </c>
      <c r="G1405" t="s">
        <v>3962</v>
      </c>
      <c r="H1405" t="s">
        <v>3401</v>
      </c>
      <c r="I1405">
        <v>5102</v>
      </c>
      <c r="J1405" s="3">
        <v>49.8</v>
      </c>
      <c r="K1405" s="3">
        <v>23.76</v>
      </c>
      <c r="L1405">
        <v>52.29</v>
      </c>
    </row>
    <row r="1406" spans="1:12">
      <c r="A1406" s="1">
        <v>46030</v>
      </c>
      <c r="B1406" t="s">
        <v>5322</v>
      </c>
      <c r="C1406">
        <v>15</v>
      </c>
      <c r="D1406" t="str">
        <f>VLOOKUP(Tabela26[[#This Row],[EMP]],[1]LOJA!$A:$B,2,0)</f>
        <v>UNAÍ</v>
      </c>
      <c r="E1406">
        <v>183</v>
      </c>
      <c r="F1406" t="s">
        <v>7348</v>
      </c>
      <c r="G1406" t="s">
        <v>7347</v>
      </c>
      <c r="H1406" t="s">
        <v>3401</v>
      </c>
      <c r="I1406">
        <v>5102</v>
      </c>
      <c r="J1406" s="3">
        <v>325.69</v>
      </c>
      <c r="K1406" s="3">
        <v>182.38</v>
      </c>
      <c r="L1406">
        <v>44</v>
      </c>
    </row>
    <row r="1407" spans="1:12">
      <c r="A1407" s="1">
        <v>46030</v>
      </c>
      <c r="B1407" t="s">
        <v>5321</v>
      </c>
      <c r="C1407">
        <v>15</v>
      </c>
      <c r="D1407" t="str">
        <f>VLOOKUP(Tabela26[[#This Row],[EMP]],[1]LOJA!$A:$B,2,0)</f>
        <v>UNAÍ</v>
      </c>
      <c r="E1407">
        <v>183</v>
      </c>
      <c r="F1407" t="s">
        <v>5290</v>
      </c>
      <c r="G1407" t="s">
        <v>5289</v>
      </c>
      <c r="H1407" t="s">
        <v>3401</v>
      </c>
      <c r="I1407">
        <v>5102</v>
      </c>
      <c r="J1407" s="3">
        <v>93.2</v>
      </c>
      <c r="K1407" s="3">
        <v>41.1</v>
      </c>
      <c r="L1407">
        <v>55.9</v>
      </c>
    </row>
    <row r="1408" spans="1:12">
      <c r="A1408" s="1">
        <v>46030</v>
      </c>
      <c r="B1408" t="s">
        <v>5318</v>
      </c>
      <c r="C1408">
        <v>15</v>
      </c>
      <c r="D1408" t="str">
        <f>VLOOKUP(Tabela26[[#This Row],[EMP]],[1]LOJA!$A:$B,2,0)</f>
        <v>UNAÍ</v>
      </c>
      <c r="E1408">
        <v>183</v>
      </c>
      <c r="F1408" t="s">
        <v>5296</v>
      </c>
      <c r="G1408" t="s">
        <v>5295</v>
      </c>
      <c r="H1408" t="s">
        <v>3401</v>
      </c>
      <c r="I1408">
        <v>5102</v>
      </c>
      <c r="J1408" s="3">
        <v>40.5</v>
      </c>
      <c r="K1408" s="3">
        <v>22.4</v>
      </c>
      <c r="L1408">
        <v>44.69</v>
      </c>
    </row>
    <row r="1409" spans="1:12">
      <c r="A1409" s="1">
        <v>46030</v>
      </c>
      <c r="B1409" t="s">
        <v>5317</v>
      </c>
      <c r="C1409">
        <v>15</v>
      </c>
      <c r="D1409" t="str">
        <f>VLOOKUP(Tabela26[[#This Row],[EMP]],[1]LOJA!$A:$B,2,0)</f>
        <v>UNAÍ</v>
      </c>
      <c r="E1409">
        <v>183</v>
      </c>
      <c r="F1409" t="s">
        <v>3494</v>
      </c>
      <c r="G1409" t="s">
        <v>3493</v>
      </c>
      <c r="H1409" t="s">
        <v>3401</v>
      </c>
      <c r="I1409">
        <v>5102</v>
      </c>
      <c r="J1409" s="3">
        <v>35.590000000000003</v>
      </c>
      <c r="K1409" s="3">
        <v>17.91</v>
      </c>
      <c r="L1409">
        <v>49.68</v>
      </c>
    </row>
    <row r="1410" spans="1:12">
      <c r="A1410" s="1">
        <v>46030</v>
      </c>
      <c r="B1410" t="s">
        <v>4788</v>
      </c>
      <c r="C1410">
        <v>15</v>
      </c>
      <c r="D1410" t="str">
        <f>VLOOKUP(Tabela26[[#This Row],[EMP]],[1]LOJA!$A:$B,2,0)</f>
        <v>UNAÍ</v>
      </c>
      <c r="E1410">
        <v>183</v>
      </c>
      <c r="F1410" t="s">
        <v>5763</v>
      </c>
      <c r="G1410" t="s">
        <v>5762</v>
      </c>
      <c r="H1410" t="s">
        <v>3408</v>
      </c>
      <c r="I1410">
        <v>5102</v>
      </c>
      <c r="J1410" s="3">
        <v>78</v>
      </c>
      <c r="K1410" s="3">
        <v>39.159999999999997</v>
      </c>
      <c r="L1410">
        <v>49.79</v>
      </c>
    </row>
    <row r="1411" spans="1:12">
      <c r="A1411" s="1">
        <v>46030</v>
      </c>
      <c r="B1411" t="s">
        <v>4787</v>
      </c>
      <c r="C1411">
        <v>15</v>
      </c>
      <c r="D1411" t="str">
        <f>VLOOKUP(Tabela26[[#This Row],[EMP]],[1]LOJA!$A:$B,2,0)</f>
        <v>UNAÍ</v>
      </c>
      <c r="E1411">
        <v>183</v>
      </c>
      <c r="F1411" t="s">
        <v>3485</v>
      </c>
      <c r="G1411" t="s">
        <v>3402</v>
      </c>
      <c r="H1411" t="s">
        <v>3401</v>
      </c>
      <c r="I1411">
        <v>5102</v>
      </c>
      <c r="J1411" s="3">
        <v>8</v>
      </c>
      <c r="K1411" s="3">
        <v>3.91</v>
      </c>
      <c r="L1411">
        <v>51.13</v>
      </c>
    </row>
    <row r="1412" spans="1:12">
      <c r="A1412" s="1">
        <v>46030</v>
      </c>
      <c r="B1412" t="s">
        <v>4786</v>
      </c>
      <c r="C1412">
        <v>15</v>
      </c>
      <c r="D1412" t="str">
        <f>VLOOKUP(Tabela26[[#This Row],[EMP]],[1]LOJA!$A:$B,2,0)</f>
        <v>UNAÍ</v>
      </c>
      <c r="E1412">
        <v>183</v>
      </c>
      <c r="F1412" t="s">
        <v>4029</v>
      </c>
      <c r="G1412" t="s">
        <v>4028</v>
      </c>
      <c r="H1412" t="s">
        <v>3401</v>
      </c>
      <c r="I1412">
        <v>5405</v>
      </c>
      <c r="J1412" s="3">
        <v>213.9</v>
      </c>
      <c r="K1412" s="3">
        <v>109.33</v>
      </c>
      <c r="L1412">
        <v>48.89</v>
      </c>
    </row>
    <row r="1413" spans="1:12">
      <c r="A1413" s="1">
        <v>46030</v>
      </c>
      <c r="B1413" t="s">
        <v>4785</v>
      </c>
      <c r="C1413">
        <v>15</v>
      </c>
      <c r="D1413" t="str">
        <f>VLOOKUP(Tabela26[[#This Row],[EMP]],[1]LOJA!$A:$B,2,0)</f>
        <v>UNAÍ</v>
      </c>
      <c r="E1413">
        <v>183</v>
      </c>
      <c r="F1413" t="s">
        <v>4071</v>
      </c>
      <c r="G1413" t="s">
        <v>4070</v>
      </c>
      <c r="H1413" t="s">
        <v>3401</v>
      </c>
      <c r="I1413">
        <v>5102</v>
      </c>
      <c r="J1413" s="3">
        <v>108</v>
      </c>
      <c r="K1413" s="3">
        <v>51.7</v>
      </c>
      <c r="L1413">
        <v>52.13</v>
      </c>
    </row>
    <row r="1414" spans="1:12">
      <c r="A1414" s="1">
        <v>46030</v>
      </c>
      <c r="B1414" t="s">
        <v>4784</v>
      </c>
      <c r="C1414">
        <v>15</v>
      </c>
      <c r="D1414" t="str">
        <f>VLOOKUP(Tabela26[[#This Row],[EMP]],[1]LOJA!$A:$B,2,0)</f>
        <v>UNAÍ</v>
      </c>
      <c r="E1414">
        <v>183</v>
      </c>
      <c r="F1414" t="s">
        <v>3957</v>
      </c>
      <c r="G1414" t="s">
        <v>3956</v>
      </c>
      <c r="H1414" t="s">
        <v>3401</v>
      </c>
      <c r="I1414">
        <v>5102</v>
      </c>
      <c r="J1414" s="3">
        <v>64</v>
      </c>
      <c r="K1414" s="3">
        <v>31.61</v>
      </c>
      <c r="L1414">
        <v>50.61</v>
      </c>
    </row>
    <row r="1415" spans="1:12">
      <c r="A1415" s="1">
        <v>46030</v>
      </c>
      <c r="B1415" t="s">
        <v>4783</v>
      </c>
      <c r="C1415">
        <v>15</v>
      </c>
      <c r="D1415" t="str">
        <f>VLOOKUP(Tabela26[[#This Row],[EMP]],[1]LOJA!$A:$B,2,0)</f>
        <v>UNAÍ</v>
      </c>
      <c r="E1415">
        <v>183</v>
      </c>
      <c r="F1415" t="s">
        <v>4708</v>
      </c>
      <c r="G1415" t="s">
        <v>4707</v>
      </c>
      <c r="H1415" t="s">
        <v>3520</v>
      </c>
      <c r="I1415">
        <v>5102</v>
      </c>
      <c r="J1415" s="3">
        <v>605</v>
      </c>
      <c r="K1415" s="3">
        <v>323.51</v>
      </c>
      <c r="L1415">
        <v>46.53</v>
      </c>
    </row>
    <row r="1416" spans="1:12">
      <c r="A1416" s="1">
        <v>46030</v>
      </c>
      <c r="B1416" t="s">
        <v>4782</v>
      </c>
      <c r="C1416">
        <v>15</v>
      </c>
      <c r="D1416" t="str">
        <f>VLOOKUP(Tabela26[[#This Row],[EMP]],[1]LOJA!$A:$B,2,0)</f>
        <v>UNAÍ</v>
      </c>
      <c r="E1416">
        <v>183</v>
      </c>
      <c r="F1416" t="s">
        <v>3485</v>
      </c>
      <c r="G1416" t="s">
        <v>3402</v>
      </c>
      <c r="H1416" t="s">
        <v>3401</v>
      </c>
      <c r="I1416">
        <v>5102</v>
      </c>
      <c r="J1416" s="3">
        <v>11.25</v>
      </c>
      <c r="K1416" s="3">
        <v>5.53</v>
      </c>
      <c r="L1416">
        <v>50.84</v>
      </c>
    </row>
    <row r="1417" spans="1:12">
      <c r="A1417" s="1">
        <v>46030</v>
      </c>
      <c r="B1417" t="s">
        <v>4779</v>
      </c>
      <c r="C1417">
        <v>15</v>
      </c>
      <c r="D1417" t="str">
        <f>VLOOKUP(Tabela26[[#This Row],[EMP]],[1]LOJA!$A:$B,2,0)</f>
        <v>UNAÍ</v>
      </c>
      <c r="E1417">
        <v>183</v>
      </c>
      <c r="F1417" t="s">
        <v>3467</v>
      </c>
      <c r="G1417" t="s">
        <v>3466</v>
      </c>
      <c r="H1417" t="s">
        <v>3401</v>
      </c>
      <c r="I1417">
        <v>5102</v>
      </c>
      <c r="J1417" s="3">
        <v>45</v>
      </c>
      <c r="K1417" s="3">
        <v>24.38</v>
      </c>
      <c r="L1417">
        <v>45.82</v>
      </c>
    </row>
    <row r="1418" spans="1:12">
      <c r="A1418" s="1">
        <v>46030</v>
      </c>
      <c r="B1418" t="s">
        <v>4778</v>
      </c>
      <c r="C1418">
        <v>15</v>
      </c>
      <c r="D1418" t="str">
        <f>VLOOKUP(Tabela26[[#This Row],[EMP]],[1]LOJA!$A:$B,2,0)</f>
        <v>UNAÍ</v>
      </c>
      <c r="E1418">
        <v>183</v>
      </c>
      <c r="F1418" t="s">
        <v>10691</v>
      </c>
      <c r="G1418" t="s">
        <v>3402</v>
      </c>
      <c r="H1418" t="s">
        <v>3401</v>
      </c>
      <c r="I1418">
        <v>5102</v>
      </c>
      <c r="J1418" s="3">
        <v>1827</v>
      </c>
      <c r="K1418" s="3">
        <v>888.59</v>
      </c>
      <c r="L1418">
        <v>51.36</v>
      </c>
    </row>
    <row r="1419" spans="1:12">
      <c r="A1419" s="1">
        <v>46030</v>
      </c>
      <c r="B1419" t="s">
        <v>4777</v>
      </c>
      <c r="C1419">
        <v>15</v>
      </c>
      <c r="D1419" t="str">
        <f>VLOOKUP(Tabela26[[#This Row],[EMP]],[1]LOJA!$A:$B,2,0)</f>
        <v>UNAÍ</v>
      </c>
      <c r="E1419">
        <v>183</v>
      </c>
      <c r="F1419" t="s">
        <v>4681</v>
      </c>
      <c r="G1419" t="s">
        <v>4680</v>
      </c>
      <c r="H1419" t="s">
        <v>6057</v>
      </c>
      <c r="I1419">
        <v>5102</v>
      </c>
      <c r="J1419" s="3">
        <v>170.5</v>
      </c>
      <c r="K1419" s="3">
        <v>80.91</v>
      </c>
      <c r="L1419">
        <v>52.55</v>
      </c>
    </row>
    <row r="1420" spans="1:12">
      <c r="A1420" s="1">
        <v>46030</v>
      </c>
      <c r="B1420" t="s">
        <v>4776</v>
      </c>
      <c r="C1420">
        <v>15</v>
      </c>
      <c r="D1420" t="str">
        <f>VLOOKUP(Tabela26[[#This Row],[EMP]],[1]LOJA!$A:$B,2,0)</f>
        <v>UNAÍ</v>
      </c>
      <c r="E1420">
        <v>183</v>
      </c>
      <c r="F1420" t="s">
        <v>4016</v>
      </c>
      <c r="G1420" t="s">
        <v>4015</v>
      </c>
      <c r="H1420" t="s">
        <v>3426</v>
      </c>
      <c r="I1420">
        <v>5102</v>
      </c>
      <c r="J1420" s="3">
        <v>47</v>
      </c>
      <c r="K1420" s="3">
        <v>24.7</v>
      </c>
      <c r="L1420">
        <v>47.45</v>
      </c>
    </row>
    <row r="1421" spans="1:12">
      <c r="A1421" s="1">
        <v>46030</v>
      </c>
      <c r="B1421" t="s">
        <v>4773</v>
      </c>
      <c r="C1421">
        <v>15</v>
      </c>
      <c r="D1421" t="str">
        <f>VLOOKUP(Tabela26[[#This Row],[EMP]],[1]LOJA!$A:$B,2,0)</f>
        <v>UNAÍ</v>
      </c>
      <c r="E1421">
        <v>183</v>
      </c>
      <c r="F1421" t="s">
        <v>5763</v>
      </c>
      <c r="G1421" t="s">
        <v>5762</v>
      </c>
      <c r="H1421" t="s">
        <v>3401</v>
      </c>
      <c r="I1421">
        <v>5102</v>
      </c>
      <c r="J1421" s="3">
        <v>21</v>
      </c>
      <c r="K1421" s="3">
        <v>10.44</v>
      </c>
      <c r="L1421">
        <v>50.29</v>
      </c>
    </row>
    <row r="1422" spans="1:12">
      <c r="A1422" s="1">
        <v>46030</v>
      </c>
      <c r="B1422" t="s">
        <v>4772</v>
      </c>
      <c r="C1422">
        <v>15</v>
      </c>
      <c r="D1422" t="str">
        <f>VLOOKUP(Tabela26[[#This Row],[EMP]],[1]LOJA!$A:$B,2,0)</f>
        <v>UNAÍ</v>
      </c>
      <c r="E1422">
        <v>183</v>
      </c>
      <c r="F1422" t="s">
        <v>4074</v>
      </c>
      <c r="G1422" t="s">
        <v>4073</v>
      </c>
      <c r="H1422" t="s">
        <v>3401</v>
      </c>
      <c r="I1422">
        <v>5102</v>
      </c>
      <c r="J1422" s="3">
        <v>53</v>
      </c>
      <c r="K1422" s="3">
        <v>24.71</v>
      </c>
      <c r="L1422">
        <v>53.38</v>
      </c>
    </row>
    <row r="1423" spans="1:12">
      <c r="A1423" s="1">
        <v>46030</v>
      </c>
      <c r="B1423" t="s">
        <v>11363</v>
      </c>
      <c r="C1423">
        <v>6</v>
      </c>
      <c r="D1423" t="str">
        <f>VLOOKUP(Tabela26[[#This Row],[EMP]],[1]LOJA!$A:$B,2,0)</f>
        <v>GAMA</v>
      </c>
      <c r="E1423">
        <v>226</v>
      </c>
      <c r="F1423" t="s">
        <v>8970</v>
      </c>
      <c r="G1423" t="s">
        <v>8969</v>
      </c>
      <c r="H1423" t="s">
        <v>3430</v>
      </c>
      <c r="I1423">
        <v>5102</v>
      </c>
      <c r="J1423" s="3">
        <v>156.28</v>
      </c>
      <c r="K1423" s="3">
        <v>108.53</v>
      </c>
      <c r="L1423">
        <v>30.55</v>
      </c>
    </row>
    <row r="1424" spans="1:12">
      <c r="A1424" s="1">
        <v>46030</v>
      </c>
      <c r="B1424" t="s">
        <v>11362</v>
      </c>
      <c r="C1424">
        <v>6</v>
      </c>
      <c r="D1424" t="str">
        <f>VLOOKUP(Tabela26[[#This Row],[EMP]],[1]LOJA!$A:$B,2,0)</f>
        <v>GAMA</v>
      </c>
      <c r="E1424">
        <v>226</v>
      </c>
      <c r="F1424" t="s">
        <v>6827</v>
      </c>
      <c r="G1424" t="s">
        <v>6826</v>
      </c>
      <c r="H1424" t="s">
        <v>3430</v>
      </c>
      <c r="I1424">
        <v>5405</v>
      </c>
      <c r="J1424" s="3">
        <v>69.319999999999993</v>
      </c>
      <c r="K1424" s="3">
        <v>33.79</v>
      </c>
      <c r="L1424">
        <v>51.26</v>
      </c>
    </row>
    <row r="1425" spans="1:12">
      <c r="A1425" s="1">
        <v>46030</v>
      </c>
      <c r="B1425" t="s">
        <v>11361</v>
      </c>
      <c r="C1425">
        <v>6</v>
      </c>
      <c r="D1425" t="str">
        <f>VLOOKUP(Tabela26[[#This Row],[EMP]],[1]LOJA!$A:$B,2,0)</f>
        <v>GAMA</v>
      </c>
      <c r="E1425">
        <v>245</v>
      </c>
      <c r="F1425" t="s">
        <v>6827</v>
      </c>
      <c r="G1425" t="s">
        <v>6826</v>
      </c>
      <c r="H1425" t="s">
        <v>3430</v>
      </c>
      <c r="I1425">
        <v>5405</v>
      </c>
      <c r="J1425" s="3">
        <v>90.32</v>
      </c>
      <c r="K1425" s="3">
        <v>44.26</v>
      </c>
      <c r="L1425">
        <v>51</v>
      </c>
    </row>
    <row r="1426" spans="1:12">
      <c r="A1426" s="1">
        <v>46030</v>
      </c>
      <c r="B1426" t="s">
        <v>11360</v>
      </c>
      <c r="C1426">
        <v>14</v>
      </c>
      <c r="D1426" t="str">
        <f>VLOOKUP(Tabela26[[#This Row],[EMP]],[1]LOJA!$A:$B,2,0)</f>
        <v>S IA</v>
      </c>
      <c r="E1426">
        <v>212</v>
      </c>
      <c r="F1426" t="s">
        <v>3403</v>
      </c>
      <c r="G1426" t="s">
        <v>3402</v>
      </c>
      <c r="H1426" t="s">
        <v>3401</v>
      </c>
      <c r="I1426">
        <v>5102</v>
      </c>
      <c r="J1426" s="3">
        <v>70</v>
      </c>
      <c r="K1426" s="3">
        <v>41.59</v>
      </c>
      <c r="L1426">
        <v>40.590000000000003</v>
      </c>
    </row>
    <row r="1427" spans="1:12">
      <c r="A1427" s="1">
        <v>46030</v>
      </c>
      <c r="B1427" t="s">
        <v>11359</v>
      </c>
      <c r="C1427">
        <v>14</v>
      </c>
      <c r="D1427" t="str">
        <f>VLOOKUP(Tabela26[[#This Row],[EMP]],[1]LOJA!$A:$B,2,0)</f>
        <v>S IA</v>
      </c>
      <c r="E1427">
        <v>54</v>
      </c>
      <c r="F1427" t="s">
        <v>3403</v>
      </c>
      <c r="G1427" t="s">
        <v>3402</v>
      </c>
      <c r="H1427" t="s">
        <v>3401</v>
      </c>
      <c r="I1427">
        <v>5102</v>
      </c>
      <c r="J1427" s="3">
        <v>25</v>
      </c>
      <c r="K1427" s="3">
        <v>10.19</v>
      </c>
      <c r="L1427">
        <v>59.24</v>
      </c>
    </row>
    <row r="1428" spans="1:12">
      <c r="A1428" s="1">
        <v>46030</v>
      </c>
      <c r="B1428" t="s">
        <v>11358</v>
      </c>
      <c r="C1428">
        <v>14</v>
      </c>
      <c r="D1428" t="str">
        <f>VLOOKUP(Tabela26[[#This Row],[EMP]],[1]LOJA!$A:$B,2,0)</f>
        <v>S IA</v>
      </c>
      <c r="E1428">
        <v>212</v>
      </c>
      <c r="F1428" t="s">
        <v>5589</v>
      </c>
      <c r="G1428" t="s">
        <v>3402</v>
      </c>
      <c r="H1428" t="s">
        <v>3408</v>
      </c>
      <c r="I1428">
        <v>5405</v>
      </c>
      <c r="J1428" s="3">
        <v>50</v>
      </c>
      <c r="K1428" s="3">
        <v>26.23</v>
      </c>
      <c r="L1428">
        <v>47.54</v>
      </c>
    </row>
    <row r="1429" spans="1:12">
      <c r="A1429" s="1">
        <v>46030</v>
      </c>
      <c r="B1429" t="s">
        <v>11357</v>
      </c>
      <c r="C1429">
        <v>14</v>
      </c>
      <c r="D1429" t="str">
        <f>VLOOKUP(Tabela26[[#This Row],[EMP]],[1]LOJA!$A:$B,2,0)</f>
        <v>S IA</v>
      </c>
      <c r="E1429">
        <v>54</v>
      </c>
      <c r="F1429" t="s">
        <v>4672</v>
      </c>
      <c r="G1429" t="s">
        <v>4671</v>
      </c>
      <c r="H1429" t="s">
        <v>3401</v>
      </c>
      <c r="I1429">
        <v>5102</v>
      </c>
      <c r="J1429" s="3">
        <v>35.1</v>
      </c>
      <c r="K1429" s="3">
        <v>14.22</v>
      </c>
      <c r="L1429">
        <v>59.49</v>
      </c>
    </row>
    <row r="1430" spans="1:12">
      <c r="A1430" s="1">
        <v>46030</v>
      </c>
      <c r="B1430" t="s">
        <v>11356</v>
      </c>
      <c r="C1430">
        <v>14</v>
      </c>
      <c r="D1430" t="str">
        <f>VLOOKUP(Tabela26[[#This Row],[EMP]],[1]LOJA!$A:$B,2,0)</f>
        <v>S IA</v>
      </c>
      <c r="E1430">
        <v>54</v>
      </c>
      <c r="F1430" t="s">
        <v>3403</v>
      </c>
      <c r="G1430" t="s">
        <v>3402</v>
      </c>
      <c r="H1430" t="s">
        <v>3401</v>
      </c>
      <c r="I1430">
        <v>5102</v>
      </c>
      <c r="J1430" s="3">
        <v>38.9</v>
      </c>
      <c r="K1430" s="3">
        <v>18.850000000000001</v>
      </c>
      <c r="L1430">
        <v>51.54</v>
      </c>
    </row>
    <row r="1431" spans="1:12">
      <c r="A1431" s="1">
        <v>46030</v>
      </c>
      <c r="B1431" t="s">
        <v>11355</v>
      </c>
      <c r="C1431">
        <v>14</v>
      </c>
      <c r="D1431" t="str">
        <f>VLOOKUP(Tabela26[[#This Row],[EMP]],[1]LOJA!$A:$B,2,0)</f>
        <v>S IA</v>
      </c>
      <c r="E1431">
        <v>54</v>
      </c>
      <c r="F1431" t="s">
        <v>6410</v>
      </c>
      <c r="G1431" t="s">
        <v>6409</v>
      </c>
      <c r="H1431" t="s">
        <v>3430</v>
      </c>
      <c r="I1431">
        <v>5102</v>
      </c>
      <c r="J1431" s="3">
        <v>63.81</v>
      </c>
      <c r="K1431" s="3">
        <v>28.52</v>
      </c>
      <c r="L1431">
        <v>55.3</v>
      </c>
    </row>
    <row r="1432" spans="1:12">
      <c r="A1432" s="1">
        <v>46030</v>
      </c>
      <c r="B1432" t="s">
        <v>11354</v>
      </c>
      <c r="C1432">
        <v>14</v>
      </c>
      <c r="D1432" t="str">
        <f>VLOOKUP(Tabela26[[#This Row],[EMP]],[1]LOJA!$A:$B,2,0)</f>
        <v>S IA</v>
      </c>
      <c r="E1432">
        <v>212</v>
      </c>
      <c r="F1432" t="s">
        <v>3403</v>
      </c>
      <c r="G1432" t="s">
        <v>3402</v>
      </c>
      <c r="H1432" t="s">
        <v>3408</v>
      </c>
      <c r="I1432">
        <v>5405</v>
      </c>
      <c r="J1432" s="3">
        <v>76</v>
      </c>
      <c r="K1432" s="3">
        <v>39.72</v>
      </c>
      <c r="L1432">
        <v>47.74</v>
      </c>
    </row>
    <row r="1433" spans="1:12">
      <c r="A1433" s="1">
        <v>46030</v>
      </c>
      <c r="B1433" t="s">
        <v>11353</v>
      </c>
      <c r="C1433">
        <v>14</v>
      </c>
      <c r="D1433" t="str">
        <f>VLOOKUP(Tabela26[[#This Row],[EMP]],[1]LOJA!$A:$B,2,0)</f>
        <v>S IA</v>
      </c>
      <c r="E1433">
        <v>54</v>
      </c>
      <c r="F1433" t="s">
        <v>6410</v>
      </c>
      <c r="G1433" t="s">
        <v>6409</v>
      </c>
      <c r="H1433" t="s">
        <v>3430</v>
      </c>
      <c r="I1433">
        <v>5102</v>
      </c>
      <c r="J1433" s="3">
        <v>243</v>
      </c>
      <c r="K1433" s="3">
        <v>127</v>
      </c>
      <c r="L1433">
        <v>47.74</v>
      </c>
    </row>
    <row r="1434" spans="1:12">
      <c r="A1434" s="1">
        <v>46030</v>
      </c>
      <c r="B1434" t="s">
        <v>11352</v>
      </c>
      <c r="C1434">
        <v>14</v>
      </c>
      <c r="D1434" t="str">
        <f>VLOOKUP(Tabela26[[#This Row],[EMP]],[1]LOJA!$A:$B,2,0)</f>
        <v>S IA</v>
      </c>
      <c r="E1434">
        <v>212</v>
      </c>
      <c r="F1434" t="s">
        <v>3403</v>
      </c>
      <c r="G1434" t="s">
        <v>3402</v>
      </c>
      <c r="H1434" t="s">
        <v>3401</v>
      </c>
      <c r="I1434">
        <v>5405</v>
      </c>
      <c r="J1434" s="3">
        <v>158</v>
      </c>
      <c r="K1434" s="3">
        <v>79.510000000000005</v>
      </c>
      <c r="L1434">
        <v>49.68</v>
      </c>
    </row>
    <row r="1435" spans="1:12">
      <c r="A1435" s="1">
        <v>46030</v>
      </c>
      <c r="B1435" t="s">
        <v>11351</v>
      </c>
      <c r="C1435">
        <v>14</v>
      </c>
      <c r="D1435" t="str">
        <f>VLOOKUP(Tabela26[[#This Row],[EMP]],[1]LOJA!$A:$B,2,0)</f>
        <v>S IA</v>
      </c>
      <c r="E1435">
        <v>212</v>
      </c>
      <c r="F1435" t="s">
        <v>3403</v>
      </c>
      <c r="G1435" t="s">
        <v>3402</v>
      </c>
      <c r="H1435" t="s">
        <v>3401</v>
      </c>
      <c r="I1435">
        <v>5102</v>
      </c>
      <c r="J1435" s="3">
        <v>37.5</v>
      </c>
      <c r="K1435" s="3">
        <v>18.73</v>
      </c>
      <c r="L1435">
        <v>50.05</v>
      </c>
    </row>
    <row r="1436" spans="1:12">
      <c r="A1436" s="1">
        <v>46030</v>
      </c>
      <c r="B1436" t="s">
        <v>11350</v>
      </c>
      <c r="C1436">
        <v>14</v>
      </c>
      <c r="D1436" t="str">
        <f>VLOOKUP(Tabela26[[#This Row],[EMP]],[1]LOJA!$A:$B,2,0)</f>
        <v>S IA</v>
      </c>
      <c r="E1436">
        <v>212</v>
      </c>
      <c r="F1436" t="s">
        <v>3472</v>
      </c>
      <c r="G1436" t="s">
        <v>3471</v>
      </c>
      <c r="H1436" t="s">
        <v>3408</v>
      </c>
      <c r="I1436">
        <v>5405</v>
      </c>
      <c r="J1436" s="3">
        <v>88</v>
      </c>
      <c r="K1436" s="3">
        <v>41.9</v>
      </c>
      <c r="L1436">
        <v>52.39</v>
      </c>
    </row>
    <row r="1437" spans="1:12">
      <c r="A1437" s="1">
        <v>46030</v>
      </c>
      <c r="B1437" t="s">
        <v>11349</v>
      </c>
      <c r="C1437">
        <v>14</v>
      </c>
      <c r="D1437" t="str">
        <f>VLOOKUP(Tabela26[[#This Row],[EMP]],[1]LOJA!$A:$B,2,0)</f>
        <v>S IA</v>
      </c>
      <c r="E1437">
        <v>212</v>
      </c>
      <c r="F1437" t="s">
        <v>3403</v>
      </c>
      <c r="G1437" t="s">
        <v>3402</v>
      </c>
      <c r="H1437" t="s">
        <v>3401</v>
      </c>
      <c r="I1437">
        <v>5405</v>
      </c>
      <c r="J1437" s="3">
        <v>50</v>
      </c>
      <c r="K1437" s="3">
        <v>26.53</v>
      </c>
      <c r="L1437">
        <v>46.94</v>
      </c>
    </row>
    <row r="1438" spans="1:12">
      <c r="A1438" s="1">
        <v>46030</v>
      </c>
      <c r="B1438" t="s">
        <v>11348</v>
      </c>
      <c r="C1438">
        <v>14</v>
      </c>
      <c r="D1438" t="str">
        <f>VLOOKUP(Tabela26[[#This Row],[EMP]],[1]LOJA!$A:$B,2,0)</f>
        <v>S IA</v>
      </c>
      <c r="E1438">
        <v>212</v>
      </c>
      <c r="F1438" t="s">
        <v>3403</v>
      </c>
      <c r="G1438" t="s">
        <v>3402</v>
      </c>
      <c r="H1438" t="s">
        <v>3401</v>
      </c>
      <c r="I1438">
        <v>5405</v>
      </c>
      <c r="J1438" s="3">
        <v>151</v>
      </c>
      <c r="K1438" s="3">
        <v>76.650000000000006</v>
      </c>
      <c r="L1438">
        <v>49.24</v>
      </c>
    </row>
    <row r="1439" spans="1:12">
      <c r="A1439" s="1">
        <v>46030</v>
      </c>
      <c r="B1439" t="s">
        <v>11347</v>
      </c>
      <c r="C1439">
        <v>14</v>
      </c>
      <c r="D1439" t="str">
        <f>VLOOKUP(Tabela26[[#This Row],[EMP]],[1]LOJA!$A:$B,2,0)</f>
        <v>S IA</v>
      </c>
      <c r="E1439">
        <v>212</v>
      </c>
      <c r="F1439" t="s">
        <v>3769</v>
      </c>
      <c r="G1439" t="s">
        <v>3768</v>
      </c>
      <c r="H1439" t="s">
        <v>3408</v>
      </c>
      <c r="I1439">
        <v>5102</v>
      </c>
      <c r="J1439" s="3">
        <v>255</v>
      </c>
      <c r="K1439" s="3">
        <v>130.80000000000001</v>
      </c>
      <c r="L1439">
        <v>48.71</v>
      </c>
    </row>
    <row r="1440" spans="1:12">
      <c r="A1440" s="1">
        <v>46030</v>
      </c>
      <c r="B1440" t="s">
        <v>11346</v>
      </c>
      <c r="C1440">
        <v>14</v>
      </c>
      <c r="D1440" t="str">
        <f>VLOOKUP(Tabela26[[#This Row],[EMP]],[1]LOJA!$A:$B,2,0)</f>
        <v>S IA</v>
      </c>
      <c r="E1440">
        <v>54</v>
      </c>
      <c r="F1440" t="s">
        <v>3403</v>
      </c>
      <c r="G1440" t="s">
        <v>3402</v>
      </c>
      <c r="H1440" t="s">
        <v>3401</v>
      </c>
      <c r="I1440">
        <v>5102</v>
      </c>
      <c r="J1440" s="3">
        <v>30</v>
      </c>
      <c r="K1440" s="3">
        <v>14.42</v>
      </c>
      <c r="L1440">
        <v>51.93</v>
      </c>
    </row>
    <row r="1441" spans="1:12">
      <c r="A1441" s="1">
        <v>46030</v>
      </c>
      <c r="B1441" t="s">
        <v>11345</v>
      </c>
      <c r="C1441">
        <v>15</v>
      </c>
      <c r="D1441" t="str">
        <f>VLOOKUP(Tabela26[[#This Row],[EMP]],[1]LOJA!$A:$B,2,0)</f>
        <v>UNAÍ</v>
      </c>
      <c r="E1441">
        <v>183</v>
      </c>
      <c r="F1441" t="s">
        <v>3485</v>
      </c>
      <c r="G1441" t="s">
        <v>3402</v>
      </c>
      <c r="H1441" t="s">
        <v>3401</v>
      </c>
      <c r="I1441">
        <v>5102</v>
      </c>
      <c r="J1441" s="3">
        <v>41</v>
      </c>
      <c r="K1441" s="3">
        <v>20.399999999999999</v>
      </c>
      <c r="L1441">
        <v>50.24</v>
      </c>
    </row>
    <row r="1442" spans="1:12">
      <c r="A1442" s="1">
        <v>46030</v>
      </c>
      <c r="B1442" t="s">
        <v>11344</v>
      </c>
      <c r="C1442">
        <v>15</v>
      </c>
      <c r="D1442" t="str">
        <f>VLOOKUP(Tabela26[[#This Row],[EMP]],[1]LOJA!$A:$B,2,0)</f>
        <v>UNAÍ</v>
      </c>
      <c r="E1442">
        <v>183</v>
      </c>
      <c r="F1442" t="s">
        <v>4655</v>
      </c>
      <c r="G1442" t="s">
        <v>4654</v>
      </c>
      <c r="H1442" t="s">
        <v>3401</v>
      </c>
      <c r="I1442">
        <v>5102</v>
      </c>
      <c r="J1442" s="3">
        <v>8.01</v>
      </c>
      <c r="K1442" s="3">
        <v>4.95</v>
      </c>
      <c r="L1442">
        <v>38.200000000000003</v>
      </c>
    </row>
    <row r="1443" spans="1:12">
      <c r="A1443" s="1">
        <v>46030</v>
      </c>
      <c r="B1443" t="s">
        <v>11343</v>
      </c>
      <c r="C1443">
        <v>15</v>
      </c>
      <c r="D1443" t="str">
        <f>VLOOKUP(Tabela26[[#This Row],[EMP]],[1]LOJA!$A:$B,2,0)</f>
        <v>UNAÍ</v>
      </c>
      <c r="E1443">
        <v>183</v>
      </c>
      <c r="F1443" t="s">
        <v>3467</v>
      </c>
      <c r="G1443" t="s">
        <v>3466</v>
      </c>
      <c r="H1443" t="s">
        <v>3401</v>
      </c>
      <c r="I1443">
        <v>5102</v>
      </c>
      <c r="J1443" s="3">
        <v>36</v>
      </c>
      <c r="K1443" s="3">
        <v>21.83</v>
      </c>
      <c r="L1443">
        <v>39.36</v>
      </c>
    </row>
    <row r="1444" spans="1:12">
      <c r="A1444" s="1">
        <v>46030</v>
      </c>
      <c r="B1444" t="s">
        <v>11342</v>
      </c>
      <c r="C1444">
        <v>15</v>
      </c>
      <c r="D1444" t="str">
        <f>VLOOKUP(Tabela26[[#This Row],[EMP]],[1]LOJA!$A:$B,2,0)</f>
        <v>UNAÍ</v>
      </c>
      <c r="E1444">
        <v>183</v>
      </c>
      <c r="F1444" t="s">
        <v>4655</v>
      </c>
      <c r="G1444" t="s">
        <v>4654</v>
      </c>
      <c r="H1444" t="s">
        <v>3401</v>
      </c>
      <c r="I1444">
        <v>5405</v>
      </c>
      <c r="J1444" s="3">
        <v>27</v>
      </c>
      <c r="K1444" s="3">
        <v>12.04</v>
      </c>
      <c r="L1444">
        <v>55.41</v>
      </c>
    </row>
    <row r="1445" spans="1:12">
      <c r="A1445" s="1">
        <v>46030</v>
      </c>
      <c r="B1445" t="s">
        <v>11341</v>
      </c>
      <c r="C1445">
        <v>15</v>
      </c>
      <c r="D1445" t="str">
        <f>VLOOKUP(Tabela26[[#This Row],[EMP]],[1]LOJA!$A:$B,2,0)</f>
        <v>UNAÍ</v>
      </c>
      <c r="E1445">
        <v>183</v>
      </c>
      <c r="F1445" t="s">
        <v>4655</v>
      </c>
      <c r="G1445" t="s">
        <v>4654</v>
      </c>
      <c r="H1445" t="s">
        <v>3401</v>
      </c>
      <c r="I1445">
        <v>5102</v>
      </c>
      <c r="J1445" s="3">
        <v>90.1</v>
      </c>
      <c r="K1445" s="3">
        <v>46.4</v>
      </c>
      <c r="L1445">
        <v>48.5</v>
      </c>
    </row>
    <row r="1446" spans="1:12">
      <c r="A1446" s="1">
        <v>46030</v>
      </c>
      <c r="B1446" t="s">
        <v>11340</v>
      </c>
      <c r="C1446">
        <v>15</v>
      </c>
      <c r="D1446" t="str">
        <f>VLOOKUP(Tabela26[[#This Row],[EMP]],[1]LOJA!$A:$B,2,0)</f>
        <v>UNAÍ</v>
      </c>
      <c r="E1446">
        <v>183</v>
      </c>
      <c r="F1446" t="s">
        <v>7795</v>
      </c>
      <c r="G1446" t="s">
        <v>3402</v>
      </c>
      <c r="H1446" t="s">
        <v>3401</v>
      </c>
      <c r="I1446">
        <v>5102</v>
      </c>
      <c r="J1446" s="3">
        <v>50.5</v>
      </c>
      <c r="K1446" s="3">
        <v>30.8</v>
      </c>
      <c r="L1446">
        <v>39.01</v>
      </c>
    </row>
    <row r="1447" spans="1:12">
      <c r="A1447" s="1">
        <v>46030</v>
      </c>
      <c r="B1447" t="s">
        <v>11339</v>
      </c>
      <c r="C1447">
        <v>15</v>
      </c>
      <c r="D1447" t="str">
        <f>VLOOKUP(Tabela26[[#This Row],[EMP]],[1]LOJA!$A:$B,2,0)</f>
        <v>UNAÍ</v>
      </c>
      <c r="E1447">
        <v>183</v>
      </c>
      <c r="F1447" t="s">
        <v>3485</v>
      </c>
      <c r="G1447" t="s">
        <v>3402</v>
      </c>
      <c r="H1447" t="s">
        <v>3401</v>
      </c>
      <c r="I1447">
        <v>5102</v>
      </c>
      <c r="J1447" s="3">
        <v>52.9</v>
      </c>
      <c r="K1447" s="3">
        <v>18.86</v>
      </c>
      <c r="L1447">
        <v>64.349999999999994</v>
      </c>
    </row>
    <row r="1448" spans="1:12">
      <c r="A1448" s="1">
        <v>46030</v>
      </c>
      <c r="B1448" t="s">
        <v>11338</v>
      </c>
      <c r="C1448">
        <v>15</v>
      </c>
      <c r="D1448" t="str">
        <f>VLOOKUP(Tabela26[[#This Row],[EMP]],[1]LOJA!$A:$B,2,0)</f>
        <v>UNAÍ</v>
      </c>
      <c r="E1448">
        <v>183</v>
      </c>
      <c r="F1448" t="s">
        <v>11337</v>
      </c>
      <c r="G1448" t="s">
        <v>3402</v>
      </c>
      <c r="H1448" t="s">
        <v>3408</v>
      </c>
      <c r="I1448">
        <v>5102</v>
      </c>
      <c r="J1448" s="3">
        <v>29</v>
      </c>
      <c r="K1448" s="3">
        <v>16.02</v>
      </c>
      <c r="L1448">
        <v>44.76</v>
      </c>
    </row>
    <row r="1449" spans="1:12">
      <c r="A1449" s="1">
        <v>46030</v>
      </c>
      <c r="B1449" t="s">
        <v>11336</v>
      </c>
      <c r="C1449">
        <v>15</v>
      </c>
      <c r="D1449" t="str">
        <f>VLOOKUP(Tabela26[[#This Row],[EMP]],[1]LOJA!$A:$B,2,0)</f>
        <v>UNAÍ</v>
      </c>
      <c r="E1449">
        <v>183</v>
      </c>
      <c r="F1449" t="s">
        <v>3485</v>
      </c>
      <c r="G1449" t="s">
        <v>3402</v>
      </c>
      <c r="H1449" t="s">
        <v>3401</v>
      </c>
      <c r="I1449">
        <v>5102</v>
      </c>
      <c r="J1449" s="3">
        <v>36</v>
      </c>
      <c r="K1449" s="3">
        <v>18.920000000000002</v>
      </c>
      <c r="L1449">
        <v>47.44</v>
      </c>
    </row>
    <row r="1450" spans="1:12">
      <c r="A1450" s="1">
        <v>46030</v>
      </c>
      <c r="B1450" t="s">
        <v>11335</v>
      </c>
      <c r="C1450">
        <v>15</v>
      </c>
      <c r="D1450" t="str">
        <f>VLOOKUP(Tabela26[[#This Row],[EMP]],[1]LOJA!$A:$B,2,0)</f>
        <v>UNAÍ</v>
      </c>
      <c r="E1450">
        <v>183</v>
      </c>
      <c r="F1450" t="s">
        <v>3485</v>
      </c>
      <c r="G1450" t="s">
        <v>3402</v>
      </c>
      <c r="H1450" t="s">
        <v>3401</v>
      </c>
      <c r="I1450">
        <v>5102</v>
      </c>
      <c r="J1450" s="3">
        <v>20</v>
      </c>
      <c r="K1450" s="3">
        <v>9.81</v>
      </c>
      <c r="L1450">
        <v>50.95</v>
      </c>
    </row>
    <row r="1451" spans="1:12">
      <c r="A1451" s="1">
        <v>46030</v>
      </c>
      <c r="B1451" t="s">
        <v>11334</v>
      </c>
      <c r="C1451">
        <v>22</v>
      </c>
      <c r="D1451" t="str">
        <f>VLOOKUP(Tabela26[[#This Row],[EMP]],[1]LOJA!$A:$B,2,0)</f>
        <v>GUARÁ</v>
      </c>
      <c r="E1451">
        <v>93</v>
      </c>
      <c r="F1451" t="s">
        <v>3921</v>
      </c>
      <c r="G1451" t="s">
        <v>3920</v>
      </c>
      <c r="H1451" t="s">
        <v>3408</v>
      </c>
      <c r="I1451">
        <v>5102</v>
      </c>
      <c r="J1451" s="3">
        <v>41</v>
      </c>
      <c r="K1451" s="3">
        <v>22.9</v>
      </c>
      <c r="L1451">
        <v>44.15</v>
      </c>
    </row>
    <row r="1452" spans="1:12">
      <c r="A1452" s="1">
        <v>46030</v>
      </c>
      <c r="B1452" t="s">
        <v>11333</v>
      </c>
      <c r="C1452">
        <v>22</v>
      </c>
      <c r="D1452" t="str">
        <f>VLOOKUP(Tabela26[[#This Row],[EMP]],[1]LOJA!$A:$B,2,0)</f>
        <v>GUARÁ</v>
      </c>
      <c r="E1452">
        <v>93</v>
      </c>
      <c r="F1452" t="s">
        <v>3921</v>
      </c>
      <c r="G1452" t="s">
        <v>3920</v>
      </c>
      <c r="H1452" t="s">
        <v>3408</v>
      </c>
      <c r="I1452">
        <v>5102</v>
      </c>
      <c r="J1452" s="3">
        <v>16.8</v>
      </c>
      <c r="K1452" s="3">
        <v>9.14</v>
      </c>
      <c r="L1452">
        <v>45.6</v>
      </c>
    </row>
    <row r="1453" spans="1:12">
      <c r="A1453" s="1">
        <v>46030</v>
      </c>
      <c r="B1453" t="s">
        <v>11332</v>
      </c>
      <c r="C1453">
        <v>22</v>
      </c>
      <c r="D1453" t="str">
        <f>VLOOKUP(Tabela26[[#This Row],[EMP]],[1]LOJA!$A:$B,2,0)</f>
        <v>GUARÁ</v>
      </c>
      <c r="E1453">
        <v>93</v>
      </c>
      <c r="F1453" t="s">
        <v>11331</v>
      </c>
      <c r="G1453" t="s">
        <v>11330</v>
      </c>
      <c r="H1453" t="s">
        <v>3401</v>
      </c>
      <c r="I1453">
        <v>5405</v>
      </c>
      <c r="J1453" s="3">
        <v>47</v>
      </c>
      <c r="K1453" s="3">
        <v>25.21</v>
      </c>
      <c r="L1453">
        <v>46.36</v>
      </c>
    </row>
    <row r="1454" spans="1:12">
      <c r="A1454" s="1">
        <v>46030</v>
      </c>
      <c r="B1454" t="s">
        <v>11329</v>
      </c>
      <c r="C1454">
        <v>22</v>
      </c>
      <c r="D1454" t="str">
        <f>VLOOKUP(Tabela26[[#This Row],[EMP]],[1]LOJA!$A:$B,2,0)</f>
        <v>GUARÁ</v>
      </c>
      <c r="E1454">
        <v>16</v>
      </c>
      <c r="F1454" t="s">
        <v>3403</v>
      </c>
      <c r="G1454" t="s">
        <v>3402</v>
      </c>
      <c r="H1454" t="s">
        <v>3401</v>
      </c>
      <c r="I1454">
        <v>5405</v>
      </c>
      <c r="J1454" s="3">
        <v>400</v>
      </c>
      <c r="K1454" s="3">
        <v>218.12</v>
      </c>
      <c r="L1454">
        <v>45.47</v>
      </c>
    </row>
    <row r="1455" spans="1:12">
      <c r="A1455" s="1">
        <v>46030</v>
      </c>
      <c r="B1455" t="s">
        <v>11328</v>
      </c>
      <c r="C1455">
        <v>22</v>
      </c>
      <c r="D1455" t="str">
        <f>VLOOKUP(Tabela26[[#This Row],[EMP]],[1]LOJA!$A:$B,2,0)</f>
        <v>GUARÁ</v>
      </c>
      <c r="E1455">
        <v>93</v>
      </c>
      <c r="F1455" t="s">
        <v>3403</v>
      </c>
      <c r="G1455" t="s">
        <v>3402</v>
      </c>
      <c r="H1455" t="s">
        <v>3401</v>
      </c>
      <c r="I1455">
        <v>5102</v>
      </c>
      <c r="J1455" s="3">
        <v>16</v>
      </c>
      <c r="K1455" s="3">
        <v>6.6</v>
      </c>
      <c r="L1455">
        <v>58.75</v>
      </c>
    </row>
    <row r="1456" spans="1:12">
      <c r="A1456" s="1">
        <v>46030</v>
      </c>
      <c r="B1456" t="s">
        <v>11327</v>
      </c>
      <c r="C1456">
        <v>22</v>
      </c>
      <c r="D1456" t="str">
        <f>VLOOKUP(Tabela26[[#This Row],[EMP]],[1]LOJA!$A:$B,2,0)</f>
        <v>GUARÁ</v>
      </c>
      <c r="E1456">
        <v>93</v>
      </c>
      <c r="F1456" t="s">
        <v>4597</v>
      </c>
      <c r="G1456" t="s">
        <v>4596</v>
      </c>
      <c r="H1456" t="s">
        <v>3401</v>
      </c>
      <c r="I1456">
        <v>5102</v>
      </c>
      <c r="J1456" s="3">
        <v>183.9</v>
      </c>
      <c r="K1456" s="3">
        <v>104.76</v>
      </c>
      <c r="L1456">
        <v>43.03</v>
      </c>
    </row>
    <row r="1457" spans="1:12">
      <c r="A1457" s="1">
        <v>46030</v>
      </c>
      <c r="B1457" t="s">
        <v>11326</v>
      </c>
      <c r="C1457">
        <v>22</v>
      </c>
      <c r="D1457" t="str">
        <f>VLOOKUP(Tabela26[[#This Row],[EMP]],[1]LOJA!$A:$B,2,0)</f>
        <v>GUARÁ</v>
      </c>
      <c r="E1457">
        <v>93</v>
      </c>
      <c r="F1457" t="s">
        <v>3921</v>
      </c>
      <c r="G1457" t="s">
        <v>3920</v>
      </c>
      <c r="H1457" t="s">
        <v>3401</v>
      </c>
      <c r="I1457">
        <v>5102</v>
      </c>
      <c r="J1457" s="3">
        <v>6</v>
      </c>
      <c r="K1457" s="3">
        <v>2.94</v>
      </c>
      <c r="L1457">
        <v>51</v>
      </c>
    </row>
    <row r="1458" spans="1:12">
      <c r="A1458" s="1">
        <v>46030</v>
      </c>
      <c r="B1458" t="s">
        <v>11325</v>
      </c>
      <c r="C1458">
        <v>22</v>
      </c>
      <c r="D1458" t="str">
        <f>VLOOKUP(Tabela26[[#This Row],[EMP]],[1]LOJA!$A:$B,2,0)</f>
        <v>GUARÁ</v>
      </c>
      <c r="E1458">
        <v>16</v>
      </c>
      <c r="F1458" t="s">
        <v>3873</v>
      </c>
      <c r="G1458" t="s">
        <v>3872</v>
      </c>
      <c r="H1458" t="s">
        <v>3401</v>
      </c>
      <c r="I1458">
        <v>5102</v>
      </c>
      <c r="J1458" s="3">
        <v>36</v>
      </c>
      <c r="K1458" s="3">
        <v>22.27</v>
      </c>
      <c r="L1458">
        <v>38.14</v>
      </c>
    </row>
    <row r="1459" spans="1:12">
      <c r="A1459" s="1">
        <v>46030</v>
      </c>
      <c r="B1459" t="s">
        <v>11324</v>
      </c>
      <c r="C1459">
        <v>22</v>
      </c>
      <c r="D1459" t="str">
        <f>VLOOKUP(Tabela26[[#This Row],[EMP]],[1]LOJA!$A:$B,2,0)</f>
        <v>GUARÁ</v>
      </c>
      <c r="E1459">
        <v>93</v>
      </c>
      <c r="F1459" t="s">
        <v>4597</v>
      </c>
      <c r="G1459" t="s">
        <v>4596</v>
      </c>
      <c r="H1459" t="s">
        <v>3401</v>
      </c>
      <c r="I1459">
        <v>5102</v>
      </c>
      <c r="J1459" s="3">
        <v>14</v>
      </c>
      <c r="K1459" s="3">
        <v>9.52</v>
      </c>
      <c r="L1459">
        <v>32</v>
      </c>
    </row>
    <row r="1460" spans="1:12">
      <c r="A1460" s="1">
        <v>46030</v>
      </c>
      <c r="B1460" t="s">
        <v>11323</v>
      </c>
      <c r="C1460">
        <v>22</v>
      </c>
      <c r="D1460" t="str">
        <f>VLOOKUP(Tabela26[[#This Row],[EMP]],[1]LOJA!$A:$B,2,0)</f>
        <v>GUARÁ</v>
      </c>
      <c r="E1460">
        <v>93</v>
      </c>
      <c r="F1460" t="s">
        <v>11322</v>
      </c>
      <c r="G1460" t="s">
        <v>3402</v>
      </c>
      <c r="H1460" t="s">
        <v>3408</v>
      </c>
      <c r="I1460">
        <v>5102</v>
      </c>
      <c r="J1460" s="3">
        <v>293.5</v>
      </c>
      <c r="K1460" s="3">
        <v>177.2</v>
      </c>
      <c r="L1460">
        <v>39.630000000000003</v>
      </c>
    </row>
    <row r="1461" spans="1:12">
      <c r="A1461" s="1">
        <v>46030</v>
      </c>
      <c r="B1461" t="s">
        <v>11321</v>
      </c>
      <c r="C1461">
        <v>22</v>
      </c>
      <c r="D1461" t="str">
        <f>VLOOKUP(Tabela26[[#This Row],[EMP]],[1]LOJA!$A:$B,2,0)</f>
        <v>GUARÁ</v>
      </c>
      <c r="E1461">
        <v>93</v>
      </c>
      <c r="F1461" t="s">
        <v>6360</v>
      </c>
      <c r="G1461" t="s">
        <v>6359</v>
      </c>
      <c r="H1461" t="s">
        <v>3408</v>
      </c>
      <c r="I1461">
        <v>5405</v>
      </c>
      <c r="J1461" s="3">
        <v>1060</v>
      </c>
      <c r="K1461" s="3">
        <v>549.99</v>
      </c>
      <c r="L1461">
        <v>48.11</v>
      </c>
    </row>
    <row r="1462" spans="1:12">
      <c r="A1462" s="1">
        <v>46030</v>
      </c>
      <c r="B1462" t="s">
        <v>11320</v>
      </c>
      <c r="C1462">
        <v>22</v>
      </c>
      <c r="D1462" t="str">
        <f>VLOOKUP(Tabela26[[#This Row],[EMP]],[1]LOJA!$A:$B,2,0)</f>
        <v>GUARÁ</v>
      </c>
      <c r="E1462">
        <v>93</v>
      </c>
      <c r="F1462" t="s">
        <v>3403</v>
      </c>
      <c r="G1462" t="s">
        <v>3402</v>
      </c>
      <c r="H1462" t="s">
        <v>3401</v>
      </c>
      <c r="I1462">
        <v>5102</v>
      </c>
      <c r="J1462" s="3">
        <v>6</v>
      </c>
      <c r="K1462" s="3">
        <v>3.03</v>
      </c>
      <c r="L1462">
        <v>49.5</v>
      </c>
    </row>
    <row r="1463" spans="1:12">
      <c r="A1463" s="1">
        <v>46030</v>
      </c>
      <c r="B1463" t="s">
        <v>11319</v>
      </c>
      <c r="C1463">
        <v>22</v>
      </c>
      <c r="D1463" t="str">
        <f>VLOOKUP(Tabela26[[#This Row],[EMP]],[1]LOJA!$A:$B,2,0)</f>
        <v>GUARÁ</v>
      </c>
      <c r="E1463">
        <v>93</v>
      </c>
      <c r="F1463" t="s">
        <v>3403</v>
      </c>
      <c r="G1463" t="s">
        <v>3402</v>
      </c>
      <c r="H1463" t="s">
        <v>3401</v>
      </c>
      <c r="I1463">
        <v>5102</v>
      </c>
      <c r="J1463" s="3">
        <v>15.5</v>
      </c>
      <c r="K1463" s="3">
        <v>4.91</v>
      </c>
      <c r="L1463">
        <v>68.319999999999993</v>
      </c>
    </row>
    <row r="1464" spans="1:12">
      <c r="A1464" s="1">
        <v>46030</v>
      </c>
      <c r="B1464" t="s">
        <v>11318</v>
      </c>
      <c r="C1464">
        <v>22</v>
      </c>
      <c r="D1464" t="str">
        <f>VLOOKUP(Tabela26[[#This Row],[EMP]],[1]LOJA!$A:$B,2,0)</f>
        <v>GUARÁ</v>
      </c>
      <c r="E1464">
        <v>93</v>
      </c>
      <c r="F1464" t="s">
        <v>7738</v>
      </c>
      <c r="G1464" t="s">
        <v>3402</v>
      </c>
      <c r="H1464" t="s">
        <v>3401</v>
      </c>
      <c r="I1464">
        <v>5405</v>
      </c>
      <c r="J1464" s="3">
        <v>42</v>
      </c>
      <c r="K1464" s="3">
        <v>20.62</v>
      </c>
      <c r="L1464">
        <v>50.9</v>
      </c>
    </row>
    <row r="1465" spans="1:12">
      <c r="A1465" s="1">
        <v>46030</v>
      </c>
      <c r="B1465" t="s">
        <v>11317</v>
      </c>
      <c r="C1465">
        <v>22</v>
      </c>
      <c r="D1465" t="str">
        <f>VLOOKUP(Tabela26[[#This Row],[EMP]],[1]LOJA!$A:$B,2,0)</f>
        <v>GUARÁ</v>
      </c>
      <c r="E1465">
        <v>93</v>
      </c>
      <c r="F1465" t="s">
        <v>4629</v>
      </c>
      <c r="G1465" t="s">
        <v>4628</v>
      </c>
      <c r="H1465" t="s">
        <v>3401</v>
      </c>
      <c r="I1465">
        <v>5405</v>
      </c>
      <c r="J1465" s="3">
        <v>63</v>
      </c>
      <c r="K1465" s="3">
        <v>32.19</v>
      </c>
      <c r="L1465">
        <v>48.9</v>
      </c>
    </row>
    <row r="1466" spans="1:12">
      <c r="A1466" s="1">
        <v>46030</v>
      </c>
      <c r="B1466" t="s">
        <v>11316</v>
      </c>
      <c r="C1466">
        <v>22</v>
      </c>
      <c r="D1466" t="str">
        <f>VLOOKUP(Tabela26[[#This Row],[EMP]],[1]LOJA!$A:$B,2,0)</f>
        <v>GUARÁ</v>
      </c>
      <c r="E1466">
        <v>16</v>
      </c>
      <c r="F1466" t="s">
        <v>7738</v>
      </c>
      <c r="G1466" t="s">
        <v>3402</v>
      </c>
      <c r="H1466" t="s">
        <v>3401</v>
      </c>
      <c r="I1466">
        <v>5102</v>
      </c>
      <c r="J1466" s="3">
        <v>29</v>
      </c>
      <c r="K1466" s="3">
        <v>15.04</v>
      </c>
      <c r="L1466">
        <v>48.14</v>
      </c>
    </row>
    <row r="1467" spans="1:12">
      <c r="A1467" s="1">
        <v>46030</v>
      </c>
      <c r="B1467" t="s">
        <v>11315</v>
      </c>
      <c r="C1467">
        <v>22</v>
      </c>
      <c r="D1467" t="str">
        <f>VLOOKUP(Tabela26[[#This Row],[EMP]],[1]LOJA!$A:$B,2,0)</f>
        <v>GUARÁ</v>
      </c>
      <c r="E1467">
        <v>16</v>
      </c>
      <c r="F1467" t="s">
        <v>3403</v>
      </c>
      <c r="G1467" t="s">
        <v>3402</v>
      </c>
      <c r="H1467" t="s">
        <v>3401</v>
      </c>
      <c r="I1467">
        <v>5405</v>
      </c>
      <c r="J1467" s="3">
        <v>54</v>
      </c>
      <c r="K1467" s="3">
        <v>24.6</v>
      </c>
      <c r="L1467">
        <v>54.44</v>
      </c>
    </row>
    <row r="1468" spans="1:12">
      <c r="A1468" s="1">
        <v>46030</v>
      </c>
      <c r="B1468" t="s">
        <v>11314</v>
      </c>
      <c r="C1468">
        <v>22</v>
      </c>
      <c r="D1468" t="str">
        <f>VLOOKUP(Tabela26[[#This Row],[EMP]],[1]LOJA!$A:$B,2,0)</f>
        <v>GUARÁ</v>
      </c>
      <c r="E1468">
        <v>238</v>
      </c>
      <c r="F1468" t="s">
        <v>3403</v>
      </c>
      <c r="G1468" t="s">
        <v>3402</v>
      </c>
      <c r="H1468" t="s">
        <v>3401</v>
      </c>
      <c r="I1468">
        <v>5405</v>
      </c>
      <c r="J1468" s="3">
        <v>27</v>
      </c>
      <c r="K1468" s="3">
        <v>12.04</v>
      </c>
      <c r="L1468">
        <v>55.41</v>
      </c>
    </row>
    <row r="1469" spans="1:12">
      <c r="A1469" s="1">
        <v>46030</v>
      </c>
      <c r="B1469" t="s">
        <v>11313</v>
      </c>
      <c r="C1469">
        <v>22</v>
      </c>
      <c r="D1469" t="str">
        <f>VLOOKUP(Tabela26[[#This Row],[EMP]],[1]LOJA!$A:$B,2,0)</f>
        <v>GUARÁ</v>
      </c>
      <c r="E1469">
        <v>16</v>
      </c>
      <c r="F1469" t="s">
        <v>3403</v>
      </c>
      <c r="G1469" t="s">
        <v>3402</v>
      </c>
      <c r="H1469" t="s">
        <v>3401</v>
      </c>
      <c r="I1469">
        <v>5102</v>
      </c>
      <c r="J1469" s="3">
        <v>13.8</v>
      </c>
      <c r="K1469" s="3">
        <v>5.94</v>
      </c>
      <c r="L1469">
        <v>56.96</v>
      </c>
    </row>
    <row r="1470" spans="1:12">
      <c r="A1470" s="1">
        <v>46030</v>
      </c>
      <c r="B1470" t="s">
        <v>11312</v>
      </c>
      <c r="C1470">
        <v>22</v>
      </c>
      <c r="D1470" t="str">
        <f>VLOOKUP(Tabela26[[#This Row],[EMP]],[1]LOJA!$A:$B,2,0)</f>
        <v>GUARÁ</v>
      </c>
      <c r="E1470">
        <v>93</v>
      </c>
      <c r="F1470" t="s">
        <v>3870</v>
      </c>
      <c r="G1470" t="s">
        <v>3869</v>
      </c>
      <c r="H1470" t="s">
        <v>3401</v>
      </c>
      <c r="I1470">
        <v>5405</v>
      </c>
      <c r="J1470" s="3">
        <v>170</v>
      </c>
      <c r="K1470" s="3">
        <v>87.8</v>
      </c>
      <c r="L1470">
        <v>48.35</v>
      </c>
    </row>
    <row r="1471" spans="1:12">
      <c r="A1471" s="1">
        <v>46030</v>
      </c>
      <c r="B1471" t="s">
        <v>11311</v>
      </c>
      <c r="C1471">
        <v>22</v>
      </c>
      <c r="D1471" t="str">
        <f>VLOOKUP(Tabela26[[#This Row],[EMP]],[1]LOJA!$A:$B,2,0)</f>
        <v>GUARÁ</v>
      </c>
      <c r="E1471">
        <v>16</v>
      </c>
      <c r="F1471" t="s">
        <v>3983</v>
      </c>
      <c r="G1471" t="s">
        <v>3982</v>
      </c>
      <c r="H1471" t="s">
        <v>3401</v>
      </c>
      <c r="I1471">
        <v>5405</v>
      </c>
      <c r="J1471" s="3">
        <v>105.48</v>
      </c>
      <c r="K1471" s="3">
        <v>63.51</v>
      </c>
      <c r="L1471">
        <v>39.79</v>
      </c>
    </row>
    <row r="1472" spans="1:12">
      <c r="A1472" s="1">
        <v>46030</v>
      </c>
      <c r="B1472" t="s">
        <v>11310</v>
      </c>
      <c r="C1472">
        <v>22</v>
      </c>
      <c r="D1472" t="str">
        <f>VLOOKUP(Tabela26[[#This Row],[EMP]],[1]LOJA!$A:$B,2,0)</f>
        <v>GUARÁ</v>
      </c>
      <c r="E1472">
        <v>16</v>
      </c>
      <c r="F1472" t="s">
        <v>7718</v>
      </c>
      <c r="G1472" t="s">
        <v>7717</v>
      </c>
      <c r="H1472" t="s">
        <v>3408</v>
      </c>
      <c r="I1472">
        <v>5405</v>
      </c>
      <c r="J1472" s="3">
        <v>274</v>
      </c>
      <c r="K1472" s="3">
        <v>138.94</v>
      </c>
      <c r="L1472">
        <v>49.29</v>
      </c>
    </row>
    <row r="1473" spans="1:12">
      <c r="A1473" s="1">
        <v>46030</v>
      </c>
      <c r="B1473" t="s">
        <v>11309</v>
      </c>
      <c r="C1473">
        <v>22</v>
      </c>
      <c r="D1473" t="str">
        <f>VLOOKUP(Tabela26[[#This Row],[EMP]],[1]LOJA!$A:$B,2,0)</f>
        <v>GUARÁ</v>
      </c>
      <c r="E1473">
        <v>93</v>
      </c>
      <c r="F1473" t="s">
        <v>7276</v>
      </c>
      <c r="G1473" t="s">
        <v>3402</v>
      </c>
      <c r="H1473" t="s">
        <v>3408</v>
      </c>
      <c r="I1473">
        <v>5405</v>
      </c>
      <c r="J1473" s="3">
        <v>177</v>
      </c>
      <c r="K1473" s="3">
        <v>78.3</v>
      </c>
      <c r="L1473">
        <v>55.76</v>
      </c>
    </row>
    <row r="1474" spans="1:12">
      <c r="A1474" s="1">
        <v>46030</v>
      </c>
      <c r="B1474" t="s">
        <v>11308</v>
      </c>
      <c r="C1474">
        <v>22</v>
      </c>
      <c r="D1474" t="str">
        <f>VLOOKUP(Tabela26[[#This Row],[EMP]],[1]LOJA!$A:$B,2,0)</f>
        <v>GUARÁ</v>
      </c>
      <c r="E1474">
        <v>93</v>
      </c>
      <c r="F1474" t="s">
        <v>3403</v>
      </c>
      <c r="G1474" t="s">
        <v>3402</v>
      </c>
      <c r="H1474" t="s">
        <v>3401</v>
      </c>
      <c r="I1474">
        <v>5102</v>
      </c>
      <c r="J1474" s="3">
        <v>65</v>
      </c>
      <c r="K1474" s="3">
        <v>23.58</v>
      </c>
      <c r="L1474">
        <v>63.72</v>
      </c>
    </row>
    <row r="1475" spans="1:12">
      <c r="A1475" s="1">
        <v>46030</v>
      </c>
      <c r="B1475" t="s">
        <v>11307</v>
      </c>
      <c r="C1475">
        <v>22</v>
      </c>
      <c r="D1475" t="str">
        <f>VLOOKUP(Tabela26[[#This Row],[EMP]],[1]LOJA!$A:$B,2,0)</f>
        <v>GUARÁ</v>
      </c>
      <c r="E1475">
        <v>93</v>
      </c>
      <c r="F1475" t="s">
        <v>3403</v>
      </c>
      <c r="G1475" t="s">
        <v>3402</v>
      </c>
      <c r="H1475" t="s">
        <v>3401</v>
      </c>
      <c r="I1475">
        <v>5405</v>
      </c>
      <c r="J1475" s="3">
        <v>27</v>
      </c>
      <c r="K1475" s="3">
        <v>12.39</v>
      </c>
      <c r="L1475">
        <v>54.11</v>
      </c>
    </row>
    <row r="1476" spans="1:12">
      <c r="A1476" s="1">
        <v>46030</v>
      </c>
      <c r="B1476" t="s">
        <v>11306</v>
      </c>
      <c r="C1476">
        <v>22</v>
      </c>
      <c r="D1476" t="str">
        <f>VLOOKUP(Tabela26[[#This Row],[EMP]],[1]LOJA!$A:$B,2,0)</f>
        <v>GUARÁ</v>
      </c>
      <c r="E1476">
        <v>93</v>
      </c>
      <c r="F1476" t="s">
        <v>3403</v>
      </c>
      <c r="G1476" t="s">
        <v>3402</v>
      </c>
      <c r="H1476" t="s">
        <v>3401</v>
      </c>
      <c r="I1476">
        <v>5102</v>
      </c>
      <c r="J1476" s="3">
        <v>4</v>
      </c>
      <c r="K1476" s="3">
        <v>2.29</v>
      </c>
      <c r="L1476">
        <v>42.75</v>
      </c>
    </row>
    <row r="1477" spans="1:12">
      <c r="A1477" s="1">
        <v>46030</v>
      </c>
      <c r="B1477" t="s">
        <v>11305</v>
      </c>
      <c r="C1477">
        <v>22</v>
      </c>
      <c r="D1477" t="str">
        <f>VLOOKUP(Tabela26[[#This Row],[EMP]],[1]LOJA!$A:$B,2,0)</f>
        <v>GUARÁ</v>
      </c>
      <c r="E1477">
        <v>93</v>
      </c>
      <c r="F1477" t="s">
        <v>3403</v>
      </c>
      <c r="G1477" t="s">
        <v>3402</v>
      </c>
      <c r="H1477" t="s">
        <v>3401</v>
      </c>
      <c r="I1477">
        <v>5102</v>
      </c>
      <c r="J1477" s="3">
        <v>4</v>
      </c>
      <c r="K1477" s="3">
        <v>2.29</v>
      </c>
      <c r="L1477">
        <v>42.75</v>
      </c>
    </row>
    <row r="1478" spans="1:12">
      <c r="A1478" s="1">
        <v>46030</v>
      </c>
      <c r="B1478" t="s">
        <v>11304</v>
      </c>
      <c r="C1478">
        <v>22</v>
      </c>
      <c r="D1478" t="str">
        <f>VLOOKUP(Tabela26[[#This Row],[EMP]],[1]LOJA!$A:$B,2,0)</f>
        <v>GUARÁ</v>
      </c>
      <c r="E1478">
        <v>93</v>
      </c>
      <c r="F1478" t="s">
        <v>3449</v>
      </c>
      <c r="G1478" t="s">
        <v>3448</v>
      </c>
      <c r="H1478" t="s">
        <v>3401</v>
      </c>
      <c r="I1478">
        <v>5102</v>
      </c>
      <c r="J1478" s="3">
        <v>89</v>
      </c>
      <c r="K1478" s="3">
        <v>50.67</v>
      </c>
      <c r="L1478">
        <v>43.07</v>
      </c>
    </row>
    <row r="1479" spans="1:12">
      <c r="A1479" s="1">
        <v>46030</v>
      </c>
      <c r="B1479" t="s">
        <v>11303</v>
      </c>
      <c r="C1479">
        <v>22</v>
      </c>
      <c r="D1479" t="str">
        <f>VLOOKUP(Tabela26[[#This Row],[EMP]],[1]LOJA!$A:$B,2,0)</f>
        <v>GUARÁ</v>
      </c>
      <c r="E1479">
        <v>93</v>
      </c>
      <c r="F1479" t="s">
        <v>3403</v>
      </c>
      <c r="G1479" t="s">
        <v>3402</v>
      </c>
      <c r="H1479" t="s">
        <v>3401</v>
      </c>
      <c r="I1479">
        <v>5102</v>
      </c>
      <c r="J1479" s="3">
        <v>8</v>
      </c>
      <c r="K1479" s="3">
        <v>4.6100000000000003</v>
      </c>
      <c r="L1479">
        <v>42.38</v>
      </c>
    </row>
    <row r="1480" spans="1:12">
      <c r="A1480" s="1">
        <v>46030</v>
      </c>
      <c r="B1480" t="s">
        <v>11302</v>
      </c>
      <c r="C1480">
        <v>22</v>
      </c>
      <c r="D1480" t="str">
        <f>VLOOKUP(Tabela26[[#This Row],[EMP]],[1]LOJA!$A:$B,2,0)</f>
        <v>GUARÁ</v>
      </c>
      <c r="E1480">
        <v>93</v>
      </c>
      <c r="F1480" t="s">
        <v>3403</v>
      </c>
      <c r="G1480" t="s">
        <v>3402</v>
      </c>
      <c r="H1480" t="s">
        <v>3401</v>
      </c>
      <c r="I1480">
        <v>5102</v>
      </c>
      <c r="J1480" s="3">
        <v>4</v>
      </c>
      <c r="K1480" s="3">
        <v>1.95</v>
      </c>
      <c r="L1480">
        <v>51.25</v>
      </c>
    </row>
    <row r="1481" spans="1:12">
      <c r="A1481" s="1">
        <v>46030</v>
      </c>
      <c r="B1481" t="s">
        <v>11301</v>
      </c>
      <c r="C1481">
        <v>22</v>
      </c>
      <c r="D1481" t="str">
        <f>VLOOKUP(Tabela26[[#This Row],[EMP]],[1]LOJA!$A:$B,2,0)</f>
        <v>GUARÁ</v>
      </c>
      <c r="E1481">
        <v>93</v>
      </c>
      <c r="F1481" t="s">
        <v>4600</v>
      </c>
      <c r="G1481" t="s">
        <v>4599</v>
      </c>
      <c r="H1481" t="s">
        <v>3408</v>
      </c>
      <c r="I1481">
        <v>5102</v>
      </c>
      <c r="J1481" s="3">
        <v>75</v>
      </c>
      <c r="K1481" s="3">
        <v>39.33</v>
      </c>
      <c r="L1481">
        <v>47.56</v>
      </c>
    </row>
    <row r="1482" spans="1:12">
      <c r="A1482" s="1">
        <v>46030</v>
      </c>
      <c r="B1482" t="s">
        <v>11300</v>
      </c>
      <c r="C1482">
        <v>22</v>
      </c>
      <c r="D1482" t="str">
        <f>VLOOKUP(Tabela26[[#This Row],[EMP]],[1]LOJA!$A:$B,2,0)</f>
        <v>GUARÁ</v>
      </c>
      <c r="E1482">
        <v>93</v>
      </c>
      <c r="F1482" t="s">
        <v>11299</v>
      </c>
      <c r="G1482" t="s">
        <v>11298</v>
      </c>
      <c r="H1482" t="s">
        <v>3401</v>
      </c>
      <c r="I1482">
        <v>5102</v>
      </c>
      <c r="J1482" s="3">
        <v>137</v>
      </c>
      <c r="K1482" s="3">
        <v>70.5</v>
      </c>
      <c r="L1482">
        <v>48.54</v>
      </c>
    </row>
    <row r="1483" spans="1:12">
      <c r="A1483" s="1">
        <v>46030</v>
      </c>
      <c r="B1483" t="s">
        <v>11297</v>
      </c>
      <c r="C1483">
        <v>22</v>
      </c>
      <c r="D1483" t="str">
        <f>VLOOKUP(Tabela26[[#This Row],[EMP]],[1]LOJA!$A:$B,2,0)</f>
        <v>GUARÁ</v>
      </c>
      <c r="E1483">
        <v>93</v>
      </c>
      <c r="F1483" t="s">
        <v>3921</v>
      </c>
      <c r="G1483" t="s">
        <v>3920</v>
      </c>
      <c r="H1483" t="s">
        <v>3401</v>
      </c>
      <c r="I1483">
        <v>5405</v>
      </c>
      <c r="J1483" s="3">
        <v>145.5</v>
      </c>
      <c r="K1483" s="3">
        <v>85.44</v>
      </c>
      <c r="L1483">
        <v>41.28</v>
      </c>
    </row>
    <row r="1484" spans="1:12">
      <c r="A1484" s="1">
        <v>46030</v>
      </c>
      <c r="B1484" t="s">
        <v>11296</v>
      </c>
      <c r="C1484">
        <v>22</v>
      </c>
      <c r="D1484" t="str">
        <f>VLOOKUP(Tabela26[[#This Row],[EMP]],[1]LOJA!$A:$B,2,0)</f>
        <v>GUARÁ</v>
      </c>
      <c r="E1484">
        <v>93</v>
      </c>
      <c r="F1484" t="s">
        <v>5353</v>
      </c>
      <c r="G1484" t="s">
        <v>5352</v>
      </c>
      <c r="H1484" t="s">
        <v>3520</v>
      </c>
      <c r="I1484">
        <v>5405</v>
      </c>
      <c r="J1484" s="3">
        <v>1022.04</v>
      </c>
      <c r="K1484" s="3">
        <v>597.91999999999996</v>
      </c>
      <c r="L1484">
        <v>41.5</v>
      </c>
    </row>
    <row r="1485" spans="1:12">
      <c r="A1485" s="1">
        <v>46030</v>
      </c>
      <c r="B1485" t="s">
        <v>11295</v>
      </c>
      <c r="C1485">
        <v>22</v>
      </c>
      <c r="D1485" t="str">
        <f>VLOOKUP(Tabela26[[#This Row],[EMP]],[1]LOJA!$A:$B,2,0)</f>
        <v>GUARÁ</v>
      </c>
      <c r="E1485">
        <v>93</v>
      </c>
      <c r="F1485" t="s">
        <v>11294</v>
      </c>
      <c r="G1485" t="s">
        <v>3402</v>
      </c>
      <c r="H1485" t="s">
        <v>3408</v>
      </c>
      <c r="I1485">
        <v>5405</v>
      </c>
      <c r="J1485" s="3">
        <v>128</v>
      </c>
      <c r="K1485" s="3">
        <v>66.98</v>
      </c>
      <c r="L1485">
        <v>47.67</v>
      </c>
    </row>
    <row r="1486" spans="1:12">
      <c r="A1486" s="1">
        <v>46030</v>
      </c>
      <c r="B1486" t="s">
        <v>11293</v>
      </c>
      <c r="C1486">
        <v>22</v>
      </c>
      <c r="D1486" t="str">
        <f>VLOOKUP(Tabela26[[#This Row],[EMP]],[1]LOJA!$A:$B,2,0)</f>
        <v>GUARÁ</v>
      </c>
      <c r="E1486">
        <v>93</v>
      </c>
      <c r="F1486" t="s">
        <v>11292</v>
      </c>
      <c r="G1486" t="s">
        <v>3402</v>
      </c>
      <c r="H1486" t="s">
        <v>3401</v>
      </c>
      <c r="I1486">
        <v>5405</v>
      </c>
      <c r="J1486" s="3">
        <v>58</v>
      </c>
      <c r="K1486" s="3">
        <v>28.22</v>
      </c>
      <c r="L1486">
        <v>51.34</v>
      </c>
    </row>
    <row r="1487" spans="1:12">
      <c r="A1487" s="1">
        <v>46030</v>
      </c>
      <c r="B1487" t="s">
        <v>11291</v>
      </c>
      <c r="C1487">
        <v>22</v>
      </c>
      <c r="D1487" t="str">
        <f>VLOOKUP(Tabela26[[#This Row],[EMP]],[1]LOJA!$A:$B,2,0)</f>
        <v>GUARÁ</v>
      </c>
      <c r="E1487">
        <v>93</v>
      </c>
      <c r="F1487" t="s">
        <v>3403</v>
      </c>
      <c r="G1487" t="s">
        <v>3402</v>
      </c>
      <c r="H1487" t="s">
        <v>3401</v>
      </c>
      <c r="I1487">
        <v>5102</v>
      </c>
      <c r="J1487" s="3">
        <v>28</v>
      </c>
      <c r="K1487" s="3">
        <v>14.94</v>
      </c>
      <c r="L1487">
        <v>46.64</v>
      </c>
    </row>
    <row r="1488" spans="1:12">
      <c r="A1488" s="1">
        <v>46030</v>
      </c>
      <c r="B1488" t="s">
        <v>11290</v>
      </c>
      <c r="C1488">
        <v>22</v>
      </c>
      <c r="D1488" t="str">
        <f>VLOOKUP(Tabela26[[#This Row],[EMP]],[1]LOJA!$A:$B,2,0)</f>
        <v>GUARÁ</v>
      </c>
      <c r="E1488">
        <v>93</v>
      </c>
      <c r="F1488" t="s">
        <v>3403</v>
      </c>
      <c r="G1488" t="s">
        <v>3402</v>
      </c>
      <c r="H1488" t="s">
        <v>3401</v>
      </c>
      <c r="I1488">
        <v>5102</v>
      </c>
      <c r="J1488" s="3">
        <v>38</v>
      </c>
      <c r="K1488" s="3">
        <v>22.27</v>
      </c>
      <c r="L1488">
        <v>41.39</v>
      </c>
    </row>
    <row r="1489" spans="1:12">
      <c r="A1489" s="1">
        <v>46030</v>
      </c>
      <c r="B1489" t="s">
        <v>11289</v>
      </c>
      <c r="C1489">
        <v>22</v>
      </c>
      <c r="D1489" t="str">
        <f>VLOOKUP(Tabela26[[#This Row],[EMP]],[1]LOJA!$A:$B,2,0)</f>
        <v>GUARÁ</v>
      </c>
      <c r="E1489">
        <v>93</v>
      </c>
      <c r="F1489" t="s">
        <v>3856</v>
      </c>
      <c r="G1489" t="s">
        <v>3855</v>
      </c>
      <c r="H1489" t="s">
        <v>3520</v>
      </c>
      <c r="I1489">
        <v>5405</v>
      </c>
      <c r="J1489" s="3">
        <v>91.9</v>
      </c>
      <c r="K1489" s="3">
        <v>47.89</v>
      </c>
      <c r="L1489">
        <v>47.89</v>
      </c>
    </row>
    <row r="1490" spans="1:12">
      <c r="A1490" s="1">
        <v>46030</v>
      </c>
      <c r="B1490" t="s">
        <v>11288</v>
      </c>
      <c r="C1490">
        <v>22</v>
      </c>
      <c r="D1490" t="str">
        <f>VLOOKUP(Tabela26[[#This Row],[EMP]],[1]LOJA!$A:$B,2,0)</f>
        <v>GUARÁ</v>
      </c>
      <c r="E1490">
        <v>93</v>
      </c>
      <c r="F1490" t="s">
        <v>9582</v>
      </c>
      <c r="G1490" t="s">
        <v>9581</v>
      </c>
      <c r="H1490" t="s">
        <v>3401</v>
      </c>
      <c r="I1490">
        <v>5405</v>
      </c>
      <c r="J1490" s="3">
        <v>140</v>
      </c>
      <c r="K1490" s="3">
        <v>67.760000000000005</v>
      </c>
      <c r="L1490">
        <v>51.6</v>
      </c>
    </row>
    <row r="1491" spans="1:12">
      <c r="A1491" s="1">
        <v>46030</v>
      </c>
      <c r="B1491" t="s">
        <v>11287</v>
      </c>
      <c r="C1491">
        <v>22</v>
      </c>
      <c r="D1491" t="str">
        <f>VLOOKUP(Tabela26[[#This Row],[EMP]],[1]LOJA!$A:$B,2,0)</f>
        <v>GUARÁ</v>
      </c>
      <c r="E1491">
        <v>16</v>
      </c>
      <c r="F1491" t="s">
        <v>6372</v>
      </c>
      <c r="G1491" t="s">
        <v>6371</v>
      </c>
      <c r="H1491" t="s">
        <v>3408</v>
      </c>
      <c r="I1491">
        <v>5405</v>
      </c>
      <c r="J1491" s="3">
        <v>297</v>
      </c>
      <c r="K1491" s="3">
        <v>153.75</v>
      </c>
      <c r="L1491">
        <v>48.23</v>
      </c>
    </row>
    <row r="1492" spans="1:12">
      <c r="A1492" s="1">
        <v>46030</v>
      </c>
      <c r="B1492" t="s">
        <v>11286</v>
      </c>
      <c r="C1492">
        <v>22</v>
      </c>
      <c r="D1492" t="str">
        <f>VLOOKUP(Tabela26[[#This Row],[EMP]],[1]LOJA!$A:$B,2,0)</f>
        <v>GUARÁ</v>
      </c>
      <c r="E1492">
        <v>93</v>
      </c>
      <c r="F1492" t="s">
        <v>3866</v>
      </c>
      <c r="G1492" t="s">
        <v>3865</v>
      </c>
      <c r="H1492" t="s">
        <v>3401</v>
      </c>
      <c r="I1492">
        <v>5405</v>
      </c>
      <c r="J1492" s="3">
        <v>224</v>
      </c>
      <c r="K1492" s="3">
        <v>117.18</v>
      </c>
      <c r="L1492">
        <v>47.69</v>
      </c>
    </row>
    <row r="1493" spans="1:12">
      <c r="A1493" s="1">
        <v>46030</v>
      </c>
      <c r="B1493" t="s">
        <v>11285</v>
      </c>
      <c r="C1493">
        <v>12</v>
      </c>
      <c r="D1493" t="str">
        <f>VLOOKUP(Tabela26[[#This Row],[EMP]],[1]LOJA!$A:$B,2,0)</f>
        <v>SOFNORTE</v>
      </c>
      <c r="E1493">
        <v>60</v>
      </c>
      <c r="F1493" t="s">
        <v>3928</v>
      </c>
      <c r="G1493" t="s">
        <v>3927</v>
      </c>
      <c r="H1493" t="s">
        <v>3430</v>
      </c>
      <c r="I1493">
        <v>5405</v>
      </c>
      <c r="J1493" s="3">
        <v>90</v>
      </c>
      <c r="K1493" s="3">
        <v>43.44</v>
      </c>
      <c r="L1493">
        <v>51.73</v>
      </c>
    </row>
    <row r="1494" spans="1:12">
      <c r="A1494" s="1">
        <v>46030</v>
      </c>
      <c r="B1494" t="s">
        <v>11284</v>
      </c>
      <c r="C1494">
        <v>12</v>
      </c>
      <c r="D1494" t="str">
        <f>VLOOKUP(Tabela26[[#This Row],[EMP]],[1]LOJA!$A:$B,2,0)</f>
        <v>SOFNORTE</v>
      </c>
      <c r="E1494">
        <v>60</v>
      </c>
      <c r="F1494" t="s">
        <v>3461</v>
      </c>
      <c r="G1494" t="s">
        <v>3460</v>
      </c>
      <c r="H1494" t="s">
        <v>3430</v>
      </c>
      <c r="I1494">
        <v>5405</v>
      </c>
      <c r="J1494" s="3">
        <v>88.03</v>
      </c>
      <c r="K1494" s="3">
        <v>43.35</v>
      </c>
      <c r="L1494">
        <v>50.76</v>
      </c>
    </row>
    <row r="1495" spans="1:12">
      <c r="A1495" s="1">
        <v>46030</v>
      </c>
      <c r="B1495" t="s">
        <v>11283</v>
      </c>
      <c r="C1495">
        <v>12</v>
      </c>
      <c r="D1495" t="str">
        <f>VLOOKUP(Tabela26[[#This Row],[EMP]],[1]LOJA!$A:$B,2,0)</f>
        <v>SOFNORTE</v>
      </c>
      <c r="E1495">
        <v>60</v>
      </c>
      <c r="F1495" t="s">
        <v>3461</v>
      </c>
      <c r="G1495" t="s">
        <v>3460</v>
      </c>
      <c r="H1495" t="s">
        <v>3430</v>
      </c>
      <c r="I1495">
        <v>5405</v>
      </c>
      <c r="J1495" s="3">
        <v>87.35</v>
      </c>
      <c r="K1495" s="3">
        <v>42.54</v>
      </c>
      <c r="L1495">
        <v>51.3</v>
      </c>
    </row>
    <row r="1496" spans="1:12">
      <c r="A1496" s="1">
        <v>46030</v>
      </c>
      <c r="B1496" t="s">
        <v>11282</v>
      </c>
      <c r="C1496">
        <v>12</v>
      </c>
      <c r="D1496" t="str">
        <f>VLOOKUP(Tabela26[[#This Row],[EMP]],[1]LOJA!$A:$B,2,0)</f>
        <v>SOFNORTE</v>
      </c>
      <c r="E1496">
        <v>60</v>
      </c>
      <c r="F1496" t="s">
        <v>3939</v>
      </c>
      <c r="G1496" t="s">
        <v>3938</v>
      </c>
      <c r="H1496" t="s">
        <v>3430</v>
      </c>
      <c r="I1496">
        <v>5405</v>
      </c>
      <c r="J1496" s="3">
        <v>364.24</v>
      </c>
      <c r="K1496" s="3">
        <v>168.27</v>
      </c>
      <c r="L1496">
        <v>53.8</v>
      </c>
    </row>
    <row r="1497" spans="1:12">
      <c r="A1497" s="1">
        <v>46030</v>
      </c>
      <c r="B1497" t="s">
        <v>11281</v>
      </c>
      <c r="C1497">
        <v>12</v>
      </c>
      <c r="D1497" t="str">
        <f>VLOOKUP(Tabela26[[#This Row],[EMP]],[1]LOJA!$A:$B,2,0)</f>
        <v>SOFNORTE</v>
      </c>
      <c r="E1497">
        <v>60</v>
      </c>
      <c r="F1497" t="s">
        <v>8659</v>
      </c>
      <c r="G1497" t="s">
        <v>8658</v>
      </c>
      <c r="H1497" t="s">
        <v>3430</v>
      </c>
      <c r="I1497">
        <v>5102</v>
      </c>
      <c r="J1497" s="3">
        <v>1439.56</v>
      </c>
      <c r="K1497" s="3">
        <v>889.52</v>
      </c>
      <c r="L1497">
        <v>38.21</v>
      </c>
    </row>
    <row r="1498" spans="1:12">
      <c r="A1498" s="1">
        <v>46030</v>
      </c>
      <c r="B1498" t="s">
        <v>11280</v>
      </c>
      <c r="C1498">
        <v>12</v>
      </c>
      <c r="D1498" t="str">
        <f>VLOOKUP(Tabela26[[#This Row],[EMP]],[1]LOJA!$A:$B,2,0)</f>
        <v>SOFNORTE</v>
      </c>
      <c r="E1498">
        <v>60</v>
      </c>
      <c r="F1498" t="s">
        <v>8166</v>
      </c>
      <c r="G1498" t="s">
        <v>8165</v>
      </c>
      <c r="H1498" t="s">
        <v>3430</v>
      </c>
      <c r="I1498">
        <v>5102</v>
      </c>
      <c r="J1498" s="3">
        <v>267</v>
      </c>
      <c r="K1498" s="3">
        <v>133.32</v>
      </c>
      <c r="L1498">
        <v>50.07</v>
      </c>
    </row>
    <row r="1499" spans="1:12">
      <c r="A1499" s="1">
        <v>46030</v>
      </c>
      <c r="B1499" t="s">
        <v>11279</v>
      </c>
      <c r="C1499">
        <v>12</v>
      </c>
      <c r="D1499" t="str">
        <f>VLOOKUP(Tabela26[[#This Row],[EMP]],[1]LOJA!$A:$B,2,0)</f>
        <v>SOFNORTE</v>
      </c>
      <c r="E1499">
        <v>60</v>
      </c>
      <c r="F1499" t="s">
        <v>3931</v>
      </c>
      <c r="G1499" t="s">
        <v>3930</v>
      </c>
      <c r="H1499" t="s">
        <v>11147</v>
      </c>
      <c r="I1499">
        <v>5405</v>
      </c>
      <c r="J1499" s="3">
        <v>88</v>
      </c>
      <c r="K1499" s="3">
        <v>40.200000000000003</v>
      </c>
      <c r="L1499">
        <v>54.32</v>
      </c>
    </row>
    <row r="1500" spans="1:12">
      <c r="A1500" s="1">
        <v>46030</v>
      </c>
      <c r="B1500" t="s">
        <v>11278</v>
      </c>
      <c r="C1500">
        <v>12</v>
      </c>
      <c r="D1500" t="str">
        <f>VLOOKUP(Tabela26[[#This Row],[EMP]],[1]LOJA!$A:$B,2,0)</f>
        <v>SOFNORTE</v>
      </c>
      <c r="E1500">
        <v>60</v>
      </c>
      <c r="F1500" t="s">
        <v>4817</v>
      </c>
      <c r="G1500" t="s">
        <v>4816</v>
      </c>
      <c r="H1500" t="s">
        <v>3430</v>
      </c>
      <c r="I1500">
        <v>5405</v>
      </c>
      <c r="J1500" s="3">
        <v>2764.51</v>
      </c>
      <c r="K1500" s="3">
        <v>1436.73</v>
      </c>
      <c r="L1500">
        <v>48.03</v>
      </c>
    </row>
    <row r="1501" spans="1:12">
      <c r="A1501" s="1">
        <v>46030</v>
      </c>
      <c r="B1501" t="s">
        <v>11277</v>
      </c>
      <c r="C1501">
        <v>12</v>
      </c>
      <c r="D1501" t="str">
        <f>VLOOKUP(Tabela26[[#This Row],[EMP]],[1]LOJA!$A:$B,2,0)</f>
        <v>SOFNORTE</v>
      </c>
      <c r="E1501">
        <v>60</v>
      </c>
      <c r="F1501" t="s">
        <v>5057</v>
      </c>
      <c r="G1501" t="s">
        <v>5056</v>
      </c>
      <c r="H1501" t="s">
        <v>3430</v>
      </c>
      <c r="I1501">
        <v>5405</v>
      </c>
      <c r="J1501" s="3">
        <v>178</v>
      </c>
      <c r="K1501" s="3">
        <v>82.74</v>
      </c>
      <c r="L1501">
        <v>53.52</v>
      </c>
    </row>
    <row r="1502" spans="1:12">
      <c r="A1502" s="1">
        <v>46030</v>
      </c>
      <c r="B1502" t="s">
        <v>11276</v>
      </c>
      <c r="C1502">
        <v>12</v>
      </c>
      <c r="D1502" t="str">
        <f>VLOOKUP(Tabela26[[#This Row],[EMP]],[1]LOJA!$A:$B,2,0)</f>
        <v>SOFNORTE</v>
      </c>
      <c r="E1502">
        <v>60</v>
      </c>
      <c r="F1502" t="s">
        <v>3931</v>
      </c>
      <c r="G1502" t="s">
        <v>3930</v>
      </c>
      <c r="H1502" t="s">
        <v>11147</v>
      </c>
      <c r="I1502">
        <v>5405</v>
      </c>
      <c r="J1502" s="3">
        <v>75</v>
      </c>
      <c r="K1502" s="3">
        <v>34.549999999999997</v>
      </c>
      <c r="L1502">
        <v>53.93</v>
      </c>
    </row>
    <row r="1503" spans="1:12">
      <c r="A1503" s="1">
        <v>46030</v>
      </c>
      <c r="B1503" t="s">
        <v>11275</v>
      </c>
      <c r="C1503">
        <v>12</v>
      </c>
      <c r="D1503" t="str">
        <f>VLOOKUP(Tabela26[[#This Row],[EMP]],[1]LOJA!$A:$B,2,0)</f>
        <v>SOFNORTE</v>
      </c>
      <c r="E1503">
        <v>60</v>
      </c>
      <c r="F1503" t="s">
        <v>3461</v>
      </c>
      <c r="G1503" t="s">
        <v>3460</v>
      </c>
      <c r="H1503" t="s">
        <v>3430</v>
      </c>
      <c r="I1503">
        <v>5405</v>
      </c>
      <c r="J1503" s="3">
        <v>164.75</v>
      </c>
      <c r="K1503" s="3">
        <v>81.97</v>
      </c>
      <c r="L1503">
        <v>50.25</v>
      </c>
    </row>
    <row r="1504" spans="1:12">
      <c r="A1504" s="1">
        <v>46030</v>
      </c>
      <c r="B1504" t="s">
        <v>11274</v>
      </c>
      <c r="C1504">
        <v>12</v>
      </c>
      <c r="D1504" t="str">
        <f>VLOOKUP(Tabela26[[#This Row],[EMP]],[1]LOJA!$A:$B,2,0)</f>
        <v>SOFNORTE</v>
      </c>
      <c r="E1504">
        <v>60</v>
      </c>
      <c r="F1504" t="s">
        <v>3928</v>
      </c>
      <c r="G1504" t="s">
        <v>3927</v>
      </c>
      <c r="H1504" t="s">
        <v>3430</v>
      </c>
      <c r="I1504">
        <v>5405</v>
      </c>
      <c r="J1504" s="3">
        <v>56.91</v>
      </c>
      <c r="K1504" s="3">
        <v>26.03</v>
      </c>
      <c r="L1504">
        <v>54.26</v>
      </c>
    </row>
    <row r="1505" spans="1:12">
      <c r="A1505" s="1">
        <v>46030</v>
      </c>
      <c r="B1505" t="s">
        <v>11273</v>
      </c>
      <c r="C1505">
        <v>4</v>
      </c>
      <c r="D1505" t="str">
        <f>VLOOKUP(Tabela26[[#This Row],[EMP]],[1]LOJA!$A:$B,2,0)</f>
        <v>ADE</v>
      </c>
      <c r="E1505">
        <v>132</v>
      </c>
      <c r="F1505" t="s">
        <v>11272</v>
      </c>
      <c r="G1505" t="s">
        <v>3402</v>
      </c>
      <c r="H1505" t="s">
        <v>3401</v>
      </c>
      <c r="I1505">
        <v>5102</v>
      </c>
      <c r="J1505" s="3">
        <v>358.5</v>
      </c>
      <c r="K1505" s="3">
        <v>177.51</v>
      </c>
      <c r="L1505">
        <v>50.49</v>
      </c>
    </row>
    <row r="1506" spans="1:12">
      <c r="A1506" s="1">
        <v>46030</v>
      </c>
      <c r="B1506" t="s">
        <v>11271</v>
      </c>
      <c r="C1506">
        <v>4</v>
      </c>
      <c r="D1506" t="str">
        <f>VLOOKUP(Tabela26[[#This Row],[EMP]],[1]LOJA!$A:$B,2,0)</f>
        <v>ADE</v>
      </c>
      <c r="E1506">
        <v>132</v>
      </c>
      <c r="F1506" t="s">
        <v>3840</v>
      </c>
      <c r="G1506" t="s">
        <v>3839</v>
      </c>
      <c r="H1506" t="s">
        <v>3408</v>
      </c>
      <c r="I1506">
        <v>5405</v>
      </c>
      <c r="J1506" s="3">
        <v>160</v>
      </c>
      <c r="K1506" s="3">
        <v>86.24</v>
      </c>
      <c r="L1506">
        <v>46.1</v>
      </c>
    </row>
    <row r="1507" spans="1:12">
      <c r="A1507" s="1">
        <v>46030</v>
      </c>
      <c r="B1507" t="s">
        <v>11270</v>
      </c>
      <c r="C1507">
        <v>4</v>
      </c>
      <c r="D1507" t="str">
        <f>VLOOKUP(Tabela26[[#This Row],[EMP]],[1]LOJA!$A:$B,2,0)</f>
        <v>ADE</v>
      </c>
      <c r="E1507">
        <v>132</v>
      </c>
      <c r="F1507" t="s">
        <v>11269</v>
      </c>
      <c r="G1507" t="s">
        <v>11268</v>
      </c>
      <c r="H1507" t="s">
        <v>3401</v>
      </c>
      <c r="I1507">
        <v>5405</v>
      </c>
      <c r="J1507" s="3">
        <v>53.8</v>
      </c>
      <c r="K1507" s="3">
        <v>24.08</v>
      </c>
      <c r="L1507">
        <v>55.24</v>
      </c>
    </row>
    <row r="1508" spans="1:12">
      <c r="A1508" s="1">
        <v>46030</v>
      </c>
      <c r="B1508" t="s">
        <v>11267</v>
      </c>
      <c r="C1508">
        <v>4</v>
      </c>
      <c r="D1508" t="str">
        <f>VLOOKUP(Tabela26[[#This Row],[EMP]],[1]LOJA!$A:$B,2,0)</f>
        <v>ADE</v>
      </c>
      <c r="E1508">
        <v>132</v>
      </c>
      <c r="F1508" t="s">
        <v>11159</v>
      </c>
      <c r="G1508" t="s">
        <v>11158</v>
      </c>
      <c r="H1508" t="s">
        <v>3408</v>
      </c>
      <c r="I1508">
        <v>5405</v>
      </c>
      <c r="J1508" s="3">
        <v>240</v>
      </c>
      <c r="K1508" s="3">
        <v>121.88</v>
      </c>
      <c r="L1508">
        <v>49.22</v>
      </c>
    </row>
    <row r="1509" spans="1:12">
      <c r="A1509" s="1">
        <v>46030</v>
      </c>
      <c r="B1509" t="s">
        <v>11266</v>
      </c>
      <c r="C1509">
        <v>4</v>
      </c>
      <c r="D1509" t="str">
        <f>VLOOKUP(Tabela26[[#This Row],[EMP]],[1]LOJA!$A:$B,2,0)</f>
        <v>ADE</v>
      </c>
      <c r="E1509">
        <v>132</v>
      </c>
      <c r="F1509" t="s">
        <v>3403</v>
      </c>
      <c r="G1509" t="s">
        <v>3402</v>
      </c>
      <c r="H1509" t="s">
        <v>3401</v>
      </c>
      <c r="I1509">
        <v>5102</v>
      </c>
      <c r="J1509" s="3">
        <v>52.9</v>
      </c>
      <c r="K1509" s="3">
        <v>30.65</v>
      </c>
      <c r="L1509">
        <v>42.06</v>
      </c>
    </row>
    <row r="1510" spans="1:12">
      <c r="A1510" s="1">
        <v>46030</v>
      </c>
      <c r="B1510" t="s">
        <v>11265</v>
      </c>
      <c r="C1510">
        <v>4</v>
      </c>
      <c r="D1510" t="str">
        <f>VLOOKUP(Tabela26[[#This Row],[EMP]],[1]LOJA!$A:$B,2,0)</f>
        <v>ADE</v>
      </c>
      <c r="E1510">
        <v>132</v>
      </c>
      <c r="F1510" t="s">
        <v>3403</v>
      </c>
      <c r="G1510" t="s">
        <v>3402</v>
      </c>
      <c r="H1510" t="s">
        <v>3401</v>
      </c>
      <c r="I1510">
        <v>5102</v>
      </c>
      <c r="J1510" s="3">
        <v>56.9</v>
      </c>
      <c r="K1510" s="3">
        <v>29.42</v>
      </c>
      <c r="L1510">
        <v>48.3</v>
      </c>
    </row>
    <row r="1511" spans="1:12">
      <c r="A1511" s="1">
        <v>46030</v>
      </c>
      <c r="B1511" t="s">
        <v>11264</v>
      </c>
      <c r="C1511">
        <v>4</v>
      </c>
      <c r="D1511" t="str">
        <f>VLOOKUP(Tabela26[[#This Row],[EMP]],[1]LOJA!$A:$B,2,0)</f>
        <v>ADE</v>
      </c>
      <c r="E1511">
        <v>132</v>
      </c>
      <c r="F1511" t="s">
        <v>3843</v>
      </c>
      <c r="G1511" t="s">
        <v>3842</v>
      </c>
      <c r="H1511" t="s">
        <v>3401</v>
      </c>
      <c r="I1511">
        <v>5405</v>
      </c>
      <c r="J1511" s="3">
        <v>100</v>
      </c>
      <c r="K1511" s="3">
        <v>52</v>
      </c>
      <c r="L1511">
        <v>48</v>
      </c>
    </row>
    <row r="1512" spans="1:12">
      <c r="A1512" s="1">
        <v>46030</v>
      </c>
      <c r="B1512" t="s">
        <v>11263</v>
      </c>
      <c r="C1512">
        <v>4</v>
      </c>
      <c r="D1512" t="str">
        <f>VLOOKUP(Tabela26[[#This Row],[EMP]],[1]LOJA!$A:$B,2,0)</f>
        <v>ADE</v>
      </c>
      <c r="E1512">
        <v>109</v>
      </c>
      <c r="F1512" t="s">
        <v>11262</v>
      </c>
      <c r="G1512" t="s">
        <v>3402</v>
      </c>
      <c r="H1512" t="s">
        <v>3401</v>
      </c>
      <c r="I1512">
        <v>5102</v>
      </c>
      <c r="J1512" s="3">
        <v>4.5</v>
      </c>
      <c r="K1512" s="3">
        <v>1.97</v>
      </c>
      <c r="L1512">
        <v>56.22</v>
      </c>
    </row>
    <row r="1513" spans="1:12">
      <c r="A1513" s="1">
        <v>46030</v>
      </c>
      <c r="B1513" t="s">
        <v>11261</v>
      </c>
      <c r="C1513">
        <v>4</v>
      </c>
      <c r="D1513" t="str">
        <f>VLOOKUP(Tabela26[[#This Row],[EMP]],[1]LOJA!$A:$B,2,0)</f>
        <v>ADE</v>
      </c>
      <c r="E1513">
        <v>132</v>
      </c>
      <c r="F1513" t="s">
        <v>4565</v>
      </c>
      <c r="G1513" t="s">
        <v>4564</v>
      </c>
      <c r="H1513" t="s">
        <v>3408</v>
      </c>
      <c r="I1513">
        <v>5102</v>
      </c>
      <c r="J1513" s="3">
        <v>180.45</v>
      </c>
      <c r="K1513" s="3">
        <v>110.1</v>
      </c>
      <c r="L1513">
        <v>38.99</v>
      </c>
    </row>
    <row r="1514" spans="1:12">
      <c r="A1514" s="1">
        <v>46030</v>
      </c>
      <c r="B1514" t="s">
        <v>11260</v>
      </c>
      <c r="C1514">
        <v>4</v>
      </c>
      <c r="D1514" t="str">
        <f>VLOOKUP(Tabela26[[#This Row],[EMP]],[1]LOJA!$A:$B,2,0)</f>
        <v>ADE</v>
      </c>
      <c r="E1514">
        <v>132</v>
      </c>
      <c r="F1514" t="s">
        <v>4574</v>
      </c>
      <c r="G1514" t="s">
        <v>4573</v>
      </c>
      <c r="H1514" t="s">
        <v>3408</v>
      </c>
      <c r="I1514">
        <v>5102</v>
      </c>
      <c r="J1514" s="3">
        <v>292.5</v>
      </c>
      <c r="K1514" s="3">
        <v>151.76</v>
      </c>
      <c r="L1514">
        <v>48.12</v>
      </c>
    </row>
    <row r="1515" spans="1:12">
      <c r="A1515" s="1">
        <v>46030</v>
      </c>
      <c r="B1515" t="s">
        <v>11259</v>
      </c>
      <c r="C1515">
        <v>4</v>
      </c>
      <c r="D1515" t="str">
        <f>VLOOKUP(Tabela26[[#This Row],[EMP]],[1]LOJA!$A:$B,2,0)</f>
        <v>ADE</v>
      </c>
      <c r="E1515">
        <v>132</v>
      </c>
      <c r="F1515" t="s">
        <v>3843</v>
      </c>
      <c r="G1515" t="s">
        <v>3842</v>
      </c>
      <c r="H1515" t="s">
        <v>3401</v>
      </c>
      <c r="I1515">
        <v>5102</v>
      </c>
      <c r="J1515" s="3">
        <v>35</v>
      </c>
      <c r="K1515" s="3">
        <v>15.86</v>
      </c>
      <c r="L1515">
        <v>54.69</v>
      </c>
    </row>
    <row r="1516" spans="1:12">
      <c r="A1516" s="1">
        <v>46030</v>
      </c>
      <c r="B1516" t="s">
        <v>11258</v>
      </c>
      <c r="C1516">
        <v>4</v>
      </c>
      <c r="D1516" t="str">
        <f>VLOOKUP(Tabela26[[#This Row],[EMP]],[1]LOJA!$A:$B,2,0)</f>
        <v>ADE</v>
      </c>
      <c r="E1516">
        <v>132</v>
      </c>
      <c r="F1516" t="s">
        <v>3403</v>
      </c>
      <c r="G1516" t="s">
        <v>3402</v>
      </c>
      <c r="H1516" t="s">
        <v>3401</v>
      </c>
      <c r="I1516">
        <v>5102</v>
      </c>
      <c r="J1516" s="3">
        <v>49</v>
      </c>
      <c r="K1516" s="3">
        <v>26.36</v>
      </c>
      <c r="L1516">
        <v>46.2</v>
      </c>
    </row>
    <row r="1517" spans="1:12">
      <c r="A1517" s="1">
        <v>46030</v>
      </c>
      <c r="B1517" t="s">
        <v>11257</v>
      </c>
      <c r="C1517">
        <v>4</v>
      </c>
      <c r="D1517" t="str">
        <f>VLOOKUP(Tabela26[[#This Row],[EMP]],[1]LOJA!$A:$B,2,0)</f>
        <v>ADE</v>
      </c>
      <c r="E1517">
        <v>132</v>
      </c>
      <c r="F1517" t="s">
        <v>3403</v>
      </c>
      <c r="G1517" t="s">
        <v>3402</v>
      </c>
      <c r="H1517" t="s">
        <v>3401</v>
      </c>
      <c r="I1517">
        <v>5405</v>
      </c>
      <c r="J1517" s="3">
        <v>75</v>
      </c>
      <c r="K1517" s="3">
        <v>37.200000000000003</v>
      </c>
      <c r="L1517">
        <v>50.4</v>
      </c>
    </row>
    <row r="1518" spans="1:12">
      <c r="A1518" s="1">
        <v>46030</v>
      </c>
      <c r="B1518" t="s">
        <v>11256</v>
      </c>
      <c r="C1518">
        <v>4</v>
      </c>
      <c r="D1518" t="str">
        <f>VLOOKUP(Tabela26[[#This Row],[EMP]],[1]LOJA!$A:$B,2,0)</f>
        <v>ADE</v>
      </c>
      <c r="E1518">
        <v>132</v>
      </c>
      <c r="F1518" t="s">
        <v>3403</v>
      </c>
      <c r="G1518" t="s">
        <v>3402</v>
      </c>
      <c r="H1518" t="s">
        <v>3408</v>
      </c>
      <c r="I1518">
        <v>5102</v>
      </c>
      <c r="J1518" s="3">
        <v>94.68</v>
      </c>
      <c r="K1518" s="3">
        <v>49.92</v>
      </c>
      <c r="L1518">
        <v>47.28</v>
      </c>
    </row>
    <row r="1519" spans="1:12">
      <c r="A1519" s="1">
        <v>46030</v>
      </c>
      <c r="B1519" t="s">
        <v>11255</v>
      </c>
      <c r="C1519">
        <v>4</v>
      </c>
      <c r="D1519" t="str">
        <f>VLOOKUP(Tabela26[[#This Row],[EMP]],[1]LOJA!$A:$B,2,0)</f>
        <v>ADE</v>
      </c>
      <c r="E1519">
        <v>132</v>
      </c>
      <c r="F1519" t="s">
        <v>5678</v>
      </c>
      <c r="G1519" t="s">
        <v>5677</v>
      </c>
      <c r="H1519" t="s">
        <v>3408</v>
      </c>
      <c r="I1519">
        <v>5405</v>
      </c>
      <c r="J1519" s="3">
        <v>264.47000000000003</v>
      </c>
      <c r="K1519" s="3">
        <v>135.78</v>
      </c>
      <c r="L1519">
        <v>48.66</v>
      </c>
    </row>
    <row r="1520" spans="1:12">
      <c r="A1520" s="1">
        <v>46030</v>
      </c>
      <c r="B1520" t="s">
        <v>11254</v>
      </c>
      <c r="C1520">
        <v>4</v>
      </c>
      <c r="D1520" t="str">
        <f>VLOOKUP(Tabela26[[#This Row],[EMP]],[1]LOJA!$A:$B,2,0)</f>
        <v>ADE</v>
      </c>
      <c r="E1520">
        <v>132</v>
      </c>
      <c r="F1520" t="s">
        <v>3403</v>
      </c>
      <c r="G1520" t="s">
        <v>3402</v>
      </c>
      <c r="H1520" t="s">
        <v>3401</v>
      </c>
      <c r="I1520">
        <v>5102</v>
      </c>
      <c r="J1520" s="3">
        <v>64.44</v>
      </c>
      <c r="K1520" s="3">
        <v>33.450000000000003</v>
      </c>
      <c r="L1520">
        <v>48.09</v>
      </c>
    </row>
    <row r="1521" spans="1:12">
      <c r="A1521" s="1">
        <v>46030</v>
      </c>
      <c r="B1521" t="s">
        <v>11253</v>
      </c>
      <c r="C1521">
        <v>4</v>
      </c>
      <c r="D1521" t="str">
        <f>VLOOKUP(Tabela26[[#This Row],[EMP]],[1]LOJA!$A:$B,2,0)</f>
        <v>ADE</v>
      </c>
      <c r="E1521">
        <v>109</v>
      </c>
      <c r="F1521" t="s">
        <v>4561</v>
      </c>
      <c r="G1521" t="s">
        <v>4560</v>
      </c>
      <c r="H1521" t="s">
        <v>3401</v>
      </c>
      <c r="I1521">
        <v>5405</v>
      </c>
      <c r="J1521" s="3">
        <v>60</v>
      </c>
      <c r="K1521" s="3">
        <v>28.47</v>
      </c>
      <c r="L1521">
        <v>52.55</v>
      </c>
    </row>
    <row r="1522" spans="1:12">
      <c r="A1522" s="1">
        <v>46030</v>
      </c>
      <c r="B1522" t="s">
        <v>11252</v>
      </c>
      <c r="C1522">
        <v>16</v>
      </c>
      <c r="D1522" t="str">
        <f>VLOOKUP(Tabela26[[#This Row],[EMP]],[1]LOJA!$A:$B,2,0)</f>
        <v>AG LINDAS</v>
      </c>
      <c r="E1522">
        <v>240</v>
      </c>
      <c r="F1522" t="s">
        <v>10357</v>
      </c>
      <c r="G1522" t="s">
        <v>3437</v>
      </c>
      <c r="H1522" t="s">
        <v>3408</v>
      </c>
      <c r="I1522">
        <v>5102</v>
      </c>
      <c r="J1522" s="3">
        <v>350</v>
      </c>
      <c r="K1522" s="3">
        <v>197.46</v>
      </c>
      <c r="L1522">
        <v>43.58</v>
      </c>
    </row>
    <row r="1523" spans="1:12">
      <c r="A1523" s="1">
        <v>46030</v>
      </c>
      <c r="B1523" t="s">
        <v>11251</v>
      </c>
      <c r="C1523">
        <v>16</v>
      </c>
      <c r="D1523" t="str">
        <f>VLOOKUP(Tabela26[[#This Row],[EMP]],[1]LOJA!$A:$B,2,0)</f>
        <v>AG LINDAS</v>
      </c>
      <c r="E1523">
        <v>240</v>
      </c>
      <c r="F1523" t="s">
        <v>10357</v>
      </c>
      <c r="G1523" t="s">
        <v>3437</v>
      </c>
      <c r="H1523" t="s">
        <v>3401</v>
      </c>
      <c r="I1523">
        <v>5102</v>
      </c>
      <c r="J1523" s="3">
        <v>54.8</v>
      </c>
      <c r="K1523" s="3">
        <v>31.52</v>
      </c>
      <c r="L1523">
        <v>42.48</v>
      </c>
    </row>
    <row r="1524" spans="1:12">
      <c r="A1524" s="1">
        <v>46030</v>
      </c>
      <c r="B1524" t="s">
        <v>11250</v>
      </c>
      <c r="C1524">
        <v>16</v>
      </c>
      <c r="D1524" t="str">
        <f>VLOOKUP(Tabela26[[#This Row],[EMP]],[1]LOJA!$A:$B,2,0)</f>
        <v>AG LINDAS</v>
      </c>
      <c r="E1524">
        <v>240</v>
      </c>
      <c r="F1524" t="s">
        <v>3818</v>
      </c>
      <c r="G1524" t="s">
        <v>3817</v>
      </c>
      <c r="H1524" t="s">
        <v>3401</v>
      </c>
      <c r="I1524">
        <v>5102</v>
      </c>
      <c r="J1524" s="3">
        <v>58.9</v>
      </c>
      <c r="K1524" s="3">
        <v>39.159999999999997</v>
      </c>
      <c r="L1524">
        <v>33.51</v>
      </c>
    </row>
    <row r="1525" spans="1:12">
      <c r="A1525" s="1">
        <v>46030</v>
      </c>
      <c r="B1525" t="s">
        <v>11249</v>
      </c>
      <c r="C1525">
        <v>16</v>
      </c>
      <c r="D1525" t="str">
        <f>VLOOKUP(Tabela26[[#This Row],[EMP]],[1]LOJA!$A:$B,2,0)</f>
        <v>AG LINDAS</v>
      </c>
      <c r="E1525">
        <v>240</v>
      </c>
      <c r="F1525" t="s">
        <v>3811</v>
      </c>
      <c r="G1525" t="s">
        <v>3437</v>
      </c>
      <c r="H1525" t="s">
        <v>3401</v>
      </c>
      <c r="I1525">
        <v>5102</v>
      </c>
      <c r="J1525" s="3">
        <v>19.899999999999999</v>
      </c>
      <c r="K1525" s="3">
        <v>9.75</v>
      </c>
      <c r="L1525">
        <v>51.01</v>
      </c>
    </row>
    <row r="1526" spans="1:12">
      <c r="A1526" s="1">
        <v>46030</v>
      </c>
      <c r="B1526" t="s">
        <v>11248</v>
      </c>
      <c r="C1526">
        <v>16</v>
      </c>
      <c r="D1526" t="str">
        <f>VLOOKUP(Tabela26[[#This Row],[EMP]],[1]LOJA!$A:$B,2,0)</f>
        <v>AG LINDAS</v>
      </c>
      <c r="E1526">
        <v>240</v>
      </c>
      <c r="F1526" t="s">
        <v>5117</v>
      </c>
      <c r="G1526" t="s">
        <v>3437</v>
      </c>
      <c r="H1526" t="s">
        <v>3401</v>
      </c>
      <c r="I1526">
        <v>5405</v>
      </c>
      <c r="J1526" s="3">
        <v>93.9</v>
      </c>
      <c r="K1526" s="3">
        <v>51.05</v>
      </c>
      <c r="L1526">
        <v>45.63</v>
      </c>
    </row>
    <row r="1527" spans="1:12">
      <c r="A1527" s="1">
        <v>46030</v>
      </c>
      <c r="B1527" t="s">
        <v>11247</v>
      </c>
      <c r="C1527">
        <v>16</v>
      </c>
      <c r="D1527" t="str">
        <f>VLOOKUP(Tabela26[[#This Row],[EMP]],[1]LOJA!$A:$B,2,0)</f>
        <v>AG LINDAS</v>
      </c>
      <c r="E1527">
        <v>240</v>
      </c>
      <c r="F1527" t="s">
        <v>3780</v>
      </c>
      <c r="G1527" t="s">
        <v>3437</v>
      </c>
      <c r="H1527" t="s">
        <v>3401</v>
      </c>
      <c r="I1527">
        <v>5102</v>
      </c>
      <c r="J1527" s="3">
        <v>59.5</v>
      </c>
      <c r="K1527" s="3">
        <v>35.44</v>
      </c>
      <c r="L1527">
        <v>40.44</v>
      </c>
    </row>
    <row r="1528" spans="1:12">
      <c r="A1528" s="1">
        <v>46030</v>
      </c>
      <c r="B1528" t="s">
        <v>11246</v>
      </c>
      <c r="C1528">
        <v>16</v>
      </c>
      <c r="D1528" t="str">
        <f>VLOOKUP(Tabela26[[#This Row],[EMP]],[1]LOJA!$A:$B,2,0)</f>
        <v>AG LINDAS</v>
      </c>
      <c r="E1528">
        <v>240</v>
      </c>
      <c r="F1528" t="s">
        <v>3832</v>
      </c>
      <c r="G1528" t="s">
        <v>3831</v>
      </c>
      <c r="H1528" t="s">
        <v>3401</v>
      </c>
      <c r="I1528">
        <v>5102</v>
      </c>
      <c r="J1528" s="3">
        <v>519.6</v>
      </c>
      <c r="K1528" s="3">
        <v>313.74</v>
      </c>
      <c r="L1528">
        <v>39.619999999999997</v>
      </c>
    </row>
    <row r="1529" spans="1:12">
      <c r="A1529" s="1">
        <v>46030</v>
      </c>
      <c r="B1529" t="s">
        <v>11245</v>
      </c>
      <c r="C1529">
        <v>16</v>
      </c>
      <c r="D1529" t="str">
        <f>VLOOKUP(Tabela26[[#This Row],[EMP]],[1]LOJA!$A:$B,2,0)</f>
        <v>AG LINDAS</v>
      </c>
      <c r="E1529">
        <v>240</v>
      </c>
      <c r="F1529" t="s">
        <v>4552</v>
      </c>
      <c r="G1529" t="s">
        <v>3437</v>
      </c>
      <c r="H1529" t="s">
        <v>3408</v>
      </c>
      <c r="I1529">
        <v>5102</v>
      </c>
      <c r="J1529" s="3">
        <v>58.9</v>
      </c>
      <c r="K1529" s="3">
        <v>37.14</v>
      </c>
      <c r="L1529">
        <v>36.94</v>
      </c>
    </row>
    <row r="1530" spans="1:12">
      <c r="A1530" s="1">
        <v>46030</v>
      </c>
      <c r="B1530" t="s">
        <v>11244</v>
      </c>
      <c r="C1530">
        <v>16</v>
      </c>
      <c r="D1530" t="str">
        <f>VLOOKUP(Tabela26[[#This Row],[EMP]],[1]LOJA!$A:$B,2,0)</f>
        <v>AG LINDAS</v>
      </c>
      <c r="E1530">
        <v>240</v>
      </c>
      <c r="F1530" t="s">
        <v>3780</v>
      </c>
      <c r="G1530" t="s">
        <v>3437</v>
      </c>
      <c r="H1530" t="s">
        <v>3401</v>
      </c>
      <c r="I1530">
        <v>5405</v>
      </c>
      <c r="J1530" s="3">
        <v>35</v>
      </c>
      <c r="K1530" s="3">
        <v>16.47</v>
      </c>
      <c r="L1530">
        <v>52.94</v>
      </c>
    </row>
    <row r="1531" spans="1:12">
      <c r="A1531" s="1">
        <v>46030</v>
      </c>
      <c r="B1531" t="s">
        <v>11243</v>
      </c>
      <c r="C1531">
        <v>16</v>
      </c>
      <c r="D1531" t="str">
        <f>VLOOKUP(Tabela26[[#This Row],[EMP]],[1]LOJA!$A:$B,2,0)</f>
        <v>AG LINDAS</v>
      </c>
      <c r="E1531">
        <v>107</v>
      </c>
      <c r="F1531" t="s">
        <v>6990</v>
      </c>
      <c r="G1531" t="s">
        <v>6989</v>
      </c>
      <c r="H1531" t="s">
        <v>3401</v>
      </c>
      <c r="I1531">
        <v>5102</v>
      </c>
      <c r="J1531" s="3">
        <v>49.9</v>
      </c>
      <c r="K1531" s="3">
        <v>35.15</v>
      </c>
      <c r="L1531">
        <v>29.56</v>
      </c>
    </row>
    <row r="1532" spans="1:12">
      <c r="A1532" s="1">
        <v>46030</v>
      </c>
      <c r="B1532" t="s">
        <v>11242</v>
      </c>
      <c r="C1532">
        <v>16</v>
      </c>
      <c r="D1532" t="str">
        <f>VLOOKUP(Tabela26[[#This Row],[EMP]],[1]LOJA!$A:$B,2,0)</f>
        <v>AG LINDAS</v>
      </c>
      <c r="E1532">
        <v>240</v>
      </c>
      <c r="F1532" t="s">
        <v>5117</v>
      </c>
      <c r="G1532" t="s">
        <v>3437</v>
      </c>
      <c r="H1532" t="s">
        <v>3401</v>
      </c>
      <c r="I1532">
        <v>5102</v>
      </c>
      <c r="J1532" s="3">
        <v>9</v>
      </c>
      <c r="K1532" s="3">
        <v>6.16</v>
      </c>
      <c r="L1532">
        <v>31.56</v>
      </c>
    </row>
    <row r="1533" spans="1:12">
      <c r="A1533" s="1">
        <v>46030</v>
      </c>
      <c r="B1533" t="s">
        <v>11241</v>
      </c>
      <c r="C1533">
        <v>16</v>
      </c>
      <c r="D1533" t="str">
        <f>VLOOKUP(Tabela26[[#This Row],[EMP]],[1]LOJA!$A:$B,2,0)</f>
        <v>AG LINDAS</v>
      </c>
      <c r="E1533">
        <v>240</v>
      </c>
      <c r="F1533" t="s">
        <v>3796</v>
      </c>
      <c r="G1533" t="s">
        <v>3795</v>
      </c>
      <c r="H1533" t="s">
        <v>3408</v>
      </c>
      <c r="I1533">
        <v>5405</v>
      </c>
      <c r="J1533" s="3">
        <v>56</v>
      </c>
      <c r="K1533" s="3">
        <v>29.88</v>
      </c>
      <c r="L1533">
        <v>46.64</v>
      </c>
    </row>
    <row r="1534" spans="1:12">
      <c r="A1534" s="1">
        <v>46030</v>
      </c>
      <c r="B1534" t="s">
        <v>11240</v>
      </c>
      <c r="C1534">
        <v>16</v>
      </c>
      <c r="D1534" t="str">
        <f>VLOOKUP(Tabela26[[#This Row],[EMP]],[1]LOJA!$A:$B,2,0)</f>
        <v>AG LINDAS</v>
      </c>
      <c r="E1534">
        <v>240</v>
      </c>
      <c r="F1534" t="s">
        <v>3780</v>
      </c>
      <c r="G1534" t="s">
        <v>3437</v>
      </c>
      <c r="H1534" t="s">
        <v>3401</v>
      </c>
      <c r="I1534">
        <v>5102</v>
      </c>
      <c r="J1534" s="3">
        <v>57</v>
      </c>
      <c r="K1534" s="3">
        <v>28.89</v>
      </c>
      <c r="L1534">
        <v>49.32</v>
      </c>
    </row>
    <row r="1535" spans="1:12">
      <c r="A1535" s="1">
        <v>46030</v>
      </c>
      <c r="B1535" t="s">
        <v>11239</v>
      </c>
      <c r="C1535">
        <v>16</v>
      </c>
      <c r="D1535" t="str">
        <f>VLOOKUP(Tabela26[[#This Row],[EMP]],[1]LOJA!$A:$B,2,0)</f>
        <v>AG LINDAS</v>
      </c>
      <c r="E1535">
        <v>240</v>
      </c>
      <c r="F1535" t="s">
        <v>4508</v>
      </c>
      <c r="G1535" t="s">
        <v>3437</v>
      </c>
      <c r="H1535" t="s">
        <v>3401</v>
      </c>
      <c r="I1535">
        <v>5102</v>
      </c>
      <c r="J1535" s="3">
        <v>5.6</v>
      </c>
      <c r="K1535" s="3">
        <v>3.28</v>
      </c>
      <c r="L1535">
        <v>41.43</v>
      </c>
    </row>
    <row r="1536" spans="1:12">
      <c r="A1536" s="1">
        <v>46030</v>
      </c>
      <c r="B1536" t="s">
        <v>11238</v>
      </c>
      <c r="C1536">
        <v>16</v>
      </c>
      <c r="D1536" t="str">
        <f>VLOOKUP(Tabela26[[#This Row],[EMP]],[1]LOJA!$A:$B,2,0)</f>
        <v>AG LINDAS</v>
      </c>
      <c r="E1536">
        <v>240</v>
      </c>
      <c r="F1536" t="s">
        <v>3780</v>
      </c>
      <c r="G1536" t="s">
        <v>3437</v>
      </c>
      <c r="H1536" t="s">
        <v>3401</v>
      </c>
      <c r="I1536">
        <v>5405</v>
      </c>
      <c r="J1536" s="3">
        <v>40</v>
      </c>
      <c r="K1536" s="3">
        <v>21.89</v>
      </c>
      <c r="L1536">
        <v>45.28</v>
      </c>
    </row>
    <row r="1537" spans="1:12">
      <c r="A1537" s="1">
        <v>46030</v>
      </c>
      <c r="B1537" t="s">
        <v>11237</v>
      </c>
      <c r="C1537">
        <v>16</v>
      </c>
      <c r="D1537" t="str">
        <f>VLOOKUP(Tabela26[[#This Row],[EMP]],[1]LOJA!$A:$B,2,0)</f>
        <v>AG LINDAS</v>
      </c>
      <c r="E1537">
        <v>240</v>
      </c>
      <c r="F1537" t="s">
        <v>4516</v>
      </c>
      <c r="G1537" t="s">
        <v>4515</v>
      </c>
      <c r="H1537" t="s">
        <v>3401</v>
      </c>
      <c r="I1537">
        <v>5102</v>
      </c>
      <c r="J1537" s="3">
        <v>325</v>
      </c>
      <c r="K1537" s="3">
        <v>185.63</v>
      </c>
      <c r="L1537">
        <v>42.88</v>
      </c>
    </row>
    <row r="1538" spans="1:12">
      <c r="A1538" s="1">
        <v>46030</v>
      </c>
      <c r="B1538" t="s">
        <v>11236</v>
      </c>
      <c r="C1538">
        <v>16</v>
      </c>
      <c r="D1538" t="str">
        <f>VLOOKUP(Tabela26[[#This Row],[EMP]],[1]LOJA!$A:$B,2,0)</f>
        <v>AG LINDAS</v>
      </c>
      <c r="E1538">
        <v>240</v>
      </c>
      <c r="F1538" t="s">
        <v>8083</v>
      </c>
      <c r="G1538" t="s">
        <v>8082</v>
      </c>
      <c r="H1538" t="s">
        <v>3401</v>
      </c>
      <c r="I1538">
        <v>5405</v>
      </c>
      <c r="J1538" s="3">
        <v>186.96</v>
      </c>
      <c r="K1538" s="3">
        <v>92.11</v>
      </c>
      <c r="L1538">
        <v>50.73</v>
      </c>
    </row>
    <row r="1539" spans="1:12">
      <c r="A1539" s="1">
        <v>46030</v>
      </c>
      <c r="B1539" t="s">
        <v>11235</v>
      </c>
      <c r="C1539">
        <v>16</v>
      </c>
      <c r="D1539" t="str">
        <f>VLOOKUP(Tabela26[[#This Row],[EMP]],[1]LOJA!$A:$B,2,0)</f>
        <v>AG LINDAS</v>
      </c>
      <c r="E1539">
        <v>240</v>
      </c>
      <c r="F1539" t="s">
        <v>8408</v>
      </c>
      <c r="G1539" t="s">
        <v>3437</v>
      </c>
      <c r="H1539" t="s">
        <v>3401</v>
      </c>
      <c r="I1539">
        <v>5102</v>
      </c>
      <c r="J1539" s="3">
        <v>88.9</v>
      </c>
      <c r="K1539" s="3">
        <v>60.7</v>
      </c>
      <c r="L1539">
        <v>31.72</v>
      </c>
    </row>
    <row r="1540" spans="1:12">
      <c r="A1540" s="1">
        <v>46030</v>
      </c>
      <c r="B1540" t="s">
        <v>11234</v>
      </c>
      <c r="C1540">
        <v>16</v>
      </c>
      <c r="D1540" t="str">
        <f>VLOOKUP(Tabela26[[#This Row],[EMP]],[1]LOJA!$A:$B,2,0)</f>
        <v>AG LINDAS</v>
      </c>
      <c r="E1540">
        <v>240</v>
      </c>
      <c r="F1540" t="s">
        <v>11233</v>
      </c>
      <c r="G1540" t="s">
        <v>11232</v>
      </c>
      <c r="H1540" t="s">
        <v>3408</v>
      </c>
      <c r="I1540">
        <v>5102</v>
      </c>
      <c r="J1540" s="3">
        <v>161.30000000000001</v>
      </c>
      <c r="K1540" s="3">
        <v>96.4</v>
      </c>
      <c r="L1540">
        <v>40.24</v>
      </c>
    </row>
    <row r="1541" spans="1:12">
      <c r="A1541" s="1">
        <v>46030</v>
      </c>
      <c r="B1541" t="s">
        <v>11231</v>
      </c>
      <c r="C1541">
        <v>16</v>
      </c>
      <c r="D1541" t="str">
        <f>VLOOKUP(Tabela26[[#This Row],[EMP]],[1]LOJA!$A:$B,2,0)</f>
        <v>AG LINDAS</v>
      </c>
      <c r="E1541">
        <v>240</v>
      </c>
      <c r="F1541" t="s">
        <v>11230</v>
      </c>
      <c r="G1541" t="s">
        <v>3437</v>
      </c>
      <c r="H1541" t="s">
        <v>3401</v>
      </c>
      <c r="I1541">
        <v>5405</v>
      </c>
      <c r="J1541" s="3">
        <v>186.3</v>
      </c>
      <c r="K1541" s="3">
        <v>110.89</v>
      </c>
      <c r="L1541">
        <v>40.479999999999997</v>
      </c>
    </row>
    <row r="1542" spans="1:12">
      <c r="A1542" s="1">
        <v>46030</v>
      </c>
      <c r="B1542" t="s">
        <v>11229</v>
      </c>
      <c r="C1542">
        <v>16</v>
      </c>
      <c r="D1542" t="str">
        <f>VLOOKUP(Tabela26[[#This Row],[EMP]],[1]LOJA!$A:$B,2,0)</f>
        <v>AG LINDAS</v>
      </c>
      <c r="E1542">
        <v>240</v>
      </c>
      <c r="F1542" t="s">
        <v>3811</v>
      </c>
      <c r="G1542" t="s">
        <v>3437</v>
      </c>
      <c r="H1542" t="s">
        <v>3401</v>
      </c>
      <c r="I1542">
        <v>5405</v>
      </c>
      <c r="J1542" s="3">
        <v>57.9</v>
      </c>
      <c r="K1542" s="3">
        <v>31.61</v>
      </c>
      <c r="L1542">
        <v>45.41</v>
      </c>
    </row>
    <row r="1543" spans="1:12">
      <c r="A1543" s="1">
        <v>46030</v>
      </c>
      <c r="B1543" t="s">
        <v>11228</v>
      </c>
      <c r="C1543">
        <v>16</v>
      </c>
      <c r="D1543" t="str">
        <f>VLOOKUP(Tabela26[[#This Row],[EMP]],[1]LOJA!$A:$B,2,0)</f>
        <v>AG LINDAS</v>
      </c>
      <c r="E1543">
        <v>240</v>
      </c>
      <c r="F1543" t="s">
        <v>5129</v>
      </c>
      <c r="G1543" t="s">
        <v>5128</v>
      </c>
      <c r="H1543" t="s">
        <v>3401</v>
      </c>
      <c r="I1543">
        <v>5102</v>
      </c>
      <c r="J1543" s="3">
        <v>146</v>
      </c>
      <c r="K1543" s="3">
        <v>92.48</v>
      </c>
      <c r="L1543">
        <v>36.659999999999997</v>
      </c>
    </row>
    <row r="1544" spans="1:12">
      <c r="A1544" s="1">
        <v>46030</v>
      </c>
      <c r="B1544" t="s">
        <v>11227</v>
      </c>
      <c r="C1544">
        <v>16</v>
      </c>
      <c r="D1544" t="str">
        <f>VLOOKUP(Tabela26[[#This Row],[EMP]],[1]LOJA!$A:$B,2,0)</f>
        <v>AG LINDAS</v>
      </c>
      <c r="E1544">
        <v>240</v>
      </c>
      <c r="F1544" t="s">
        <v>4534</v>
      </c>
      <c r="G1544" t="s">
        <v>4533</v>
      </c>
      <c r="H1544" t="s">
        <v>3401</v>
      </c>
      <c r="I1544">
        <v>5102</v>
      </c>
      <c r="J1544" s="3">
        <v>92.8</v>
      </c>
      <c r="K1544" s="3">
        <v>52.95</v>
      </c>
      <c r="L1544">
        <v>42.94</v>
      </c>
    </row>
    <row r="1545" spans="1:12">
      <c r="A1545" s="1">
        <v>46030</v>
      </c>
      <c r="B1545" t="s">
        <v>11226</v>
      </c>
      <c r="C1545">
        <v>16</v>
      </c>
      <c r="D1545" t="str">
        <f>VLOOKUP(Tabela26[[#This Row],[EMP]],[1]LOJA!$A:$B,2,0)</f>
        <v>AG LINDAS</v>
      </c>
      <c r="E1545">
        <v>240</v>
      </c>
      <c r="F1545" t="s">
        <v>6990</v>
      </c>
      <c r="G1545" t="s">
        <v>6989</v>
      </c>
      <c r="H1545" t="s">
        <v>3401</v>
      </c>
      <c r="I1545">
        <v>5405</v>
      </c>
      <c r="J1545" s="3">
        <v>49</v>
      </c>
      <c r="K1545" s="3">
        <v>26.64</v>
      </c>
      <c r="L1545">
        <v>45.63</v>
      </c>
    </row>
    <row r="1546" spans="1:12">
      <c r="A1546" s="1">
        <v>46030</v>
      </c>
      <c r="B1546" t="s">
        <v>11225</v>
      </c>
      <c r="C1546">
        <v>14</v>
      </c>
      <c r="D1546" t="str">
        <f>VLOOKUP(Tabela26[[#This Row],[EMP]],[1]LOJA!$A:$B,2,0)</f>
        <v>S IA</v>
      </c>
      <c r="E1546">
        <v>54</v>
      </c>
      <c r="F1546" t="s">
        <v>11224</v>
      </c>
      <c r="G1546" t="s">
        <v>11223</v>
      </c>
      <c r="H1546" t="s">
        <v>3408</v>
      </c>
      <c r="I1546">
        <v>5405</v>
      </c>
      <c r="J1546" s="3">
        <v>835.7</v>
      </c>
      <c r="K1546" s="3">
        <v>396.52</v>
      </c>
      <c r="L1546">
        <v>52.55</v>
      </c>
    </row>
    <row r="1547" spans="1:12">
      <c r="A1547" s="1">
        <v>46030</v>
      </c>
      <c r="B1547" t="s">
        <v>11222</v>
      </c>
      <c r="C1547">
        <v>14</v>
      </c>
      <c r="D1547" t="str">
        <f>VLOOKUP(Tabela26[[#This Row],[EMP]],[1]LOJA!$A:$B,2,0)</f>
        <v>S IA</v>
      </c>
      <c r="E1547">
        <v>54</v>
      </c>
      <c r="F1547" t="s">
        <v>6696</v>
      </c>
      <c r="G1547" t="s">
        <v>6695</v>
      </c>
      <c r="H1547" t="s">
        <v>3408</v>
      </c>
      <c r="I1547">
        <v>5405</v>
      </c>
      <c r="J1547" s="3">
        <v>115</v>
      </c>
      <c r="K1547" s="3">
        <v>51.85</v>
      </c>
      <c r="L1547">
        <v>54.91</v>
      </c>
    </row>
    <row r="1548" spans="1:12">
      <c r="A1548" s="1">
        <v>46030</v>
      </c>
      <c r="B1548" t="s">
        <v>11221</v>
      </c>
      <c r="C1548">
        <v>14</v>
      </c>
      <c r="D1548" t="str">
        <f>VLOOKUP(Tabela26[[#This Row],[EMP]],[1]LOJA!$A:$B,2,0)</f>
        <v>S IA</v>
      </c>
      <c r="E1548">
        <v>212</v>
      </c>
      <c r="F1548" t="s">
        <v>3772</v>
      </c>
      <c r="G1548" t="s">
        <v>3771</v>
      </c>
      <c r="H1548" t="s">
        <v>3430</v>
      </c>
      <c r="I1548">
        <v>5405</v>
      </c>
      <c r="J1548" s="3">
        <v>40</v>
      </c>
      <c r="K1548" s="3">
        <v>20.62</v>
      </c>
      <c r="L1548">
        <v>48.45</v>
      </c>
    </row>
    <row r="1549" spans="1:12">
      <c r="A1549" s="1">
        <v>46030</v>
      </c>
      <c r="B1549" t="s">
        <v>11220</v>
      </c>
      <c r="C1549">
        <v>14</v>
      </c>
      <c r="D1549" t="str">
        <f>VLOOKUP(Tabela26[[#This Row],[EMP]],[1]LOJA!$A:$B,2,0)</f>
        <v>S IA</v>
      </c>
      <c r="E1549">
        <v>54</v>
      </c>
      <c r="F1549" t="s">
        <v>6696</v>
      </c>
      <c r="G1549" t="s">
        <v>6695</v>
      </c>
      <c r="H1549" t="s">
        <v>3408</v>
      </c>
      <c r="I1549">
        <v>5405</v>
      </c>
      <c r="J1549" s="3">
        <v>199</v>
      </c>
      <c r="K1549" s="3">
        <v>84.26</v>
      </c>
      <c r="L1549">
        <v>57.66</v>
      </c>
    </row>
    <row r="1550" spans="1:12">
      <c r="A1550" s="1">
        <v>46030</v>
      </c>
      <c r="B1550" t="s">
        <v>11219</v>
      </c>
      <c r="C1550">
        <v>14</v>
      </c>
      <c r="D1550" t="str">
        <f>VLOOKUP(Tabela26[[#This Row],[EMP]],[1]LOJA!$A:$B,2,0)</f>
        <v>S IA</v>
      </c>
      <c r="E1550">
        <v>54</v>
      </c>
      <c r="F1550" t="s">
        <v>6696</v>
      </c>
      <c r="G1550" t="s">
        <v>6695</v>
      </c>
      <c r="H1550" t="s">
        <v>3408</v>
      </c>
      <c r="I1550">
        <v>5405</v>
      </c>
      <c r="J1550" s="3">
        <v>135</v>
      </c>
      <c r="K1550" s="3">
        <v>59.52</v>
      </c>
      <c r="L1550">
        <v>55.91</v>
      </c>
    </row>
    <row r="1551" spans="1:12">
      <c r="A1551" s="1">
        <v>46030</v>
      </c>
      <c r="B1551" t="s">
        <v>11218</v>
      </c>
      <c r="C1551">
        <v>14</v>
      </c>
      <c r="D1551" t="str">
        <f>VLOOKUP(Tabela26[[#This Row],[EMP]],[1]LOJA!$A:$B,2,0)</f>
        <v>S IA</v>
      </c>
      <c r="E1551">
        <v>54</v>
      </c>
      <c r="F1551" t="s">
        <v>7636</v>
      </c>
      <c r="G1551" t="s">
        <v>7635</v>
      </c>
      <c r="H1551" t="s">
        <v>3430</v>
      </c>
      <c r="I1551">
        <v>5405</v>
      </c>
      <c r="J1551" s="3">
        <v>165</v>
      </c>
      <c r="K1551" s="3">
        <v>68.680000000000007</v>
      </c>
      <c r="L1551">
        <v>58.38</v>
      </c>
    </row>
    <row r="1552" spans="1:12">
      <c r="A1552" s="1">
        <v>46030</v>
      </c>
      <c r="B1552" t="s">
        <v>11217</v>
      </c>
      <c r="C1552">
        <v>14</v>
      </c>
      <c r="D1552" t="str">
        <f>VLOOKUP(Tabela26[[#This Row],[EMP]],[1]LOJA!$A:$B,2,0)</f>
        <v>S IA</v>
      </c>
      <c r="E1552">
        <v>54</v>
      </c>
      <c r="F1552" t="s">
        <v>6064</v>
      </c>
      <c r="G1552" t="s">
        <v>6063</v>
      </c>
      <c r="H1552" t="s">
        <v>3408</v>
      </c>
      <c r="I1552">
        <v>6403</v>
      </c>
      <c r="J1552" s="3">
        <v>360</v>
      </c>
      <c r="K1552" s="3">
        <v>180.18</v>
      </c>
      <c r="L1552">
        <v>49.95</v>
      </c>
    </row>
    <row r="1553" spans="1:12">
      <c r="A1553" s="1">
        <v>46030</v>
      </c>
      <c r="B1553" t="s">
        <v>11216</v>
      </c>
      <c r="C1553">
        <v>14</v>
      </c>
      <c r="D1553" t="str">
        <f>VLOOKUP(Tabela26[[#This Row],[EMP]],[1]LOJA!$A:$B,2,0)</f>
        <v>S IA</v>
      </c>
      <c r="E1553">
        <v>54</v>
      </c>
      <c r="F1553" t="s">
        <v>5089</v>
      </c>
      <c r="G1553" t="s">
        <v>5088</v>
      </c>
      <c r="H1553" t="s">
        <v>3401</v>
      </c>
      <c r="I1553">
        <v>5910</v>
      </c>
      <c r="J1553" s="3">
        <v>0</v>
      </c>
      <c r="K1553" s="3">
        <v>7.2</v>
      </c>
      <c r="L1553">
        <v>0</v>
      </c>
    </row>
    <row r="1554" spans="1:12">
      <c r="A1554" s="1">
        <v>46030</v>
      </c>
      <c r="B1554" t="s">
        <v>11215</v>
      </c>
      <c r="C1554">
        <v>14</v>
      </c>
      <c r="D1554" t="str">
        <f>VLOOKUP(Tabela26[[#This Row],[EMP]],[1]LOJA!$A:$B,2,0)</f>
        <v>S IA</v>
      </c>
      <c r="E1554">
        <v>54</v>
      </c>
      <c r="F1554" t="s">
        <v>5089</v>
      </c>
      <c r="G1554" t="s">
        <v>5088</v>
      </c>
      <c r="H1554" t="s">
        <v>3430</v>
      </c>
      <c r="I1554">
        <v>5102</v>
      </c>
      <c r="J1554" s="3">
        <v>384</v>
      </c>
      <c r="K1554" s="3">
        <v>178.44</v>
      </c>
      <c r="L1554">
        <v>53.53</v>
      </c>
    </row>
    <row r="1555" spans="1:12">
      <c r="A1555" s="1">
        <v>46030</v>
      </c>
      <c r="B1555" t="s">
        <v>11214</v>
      </c>
      <c r="C1555">
        <v>14</v>
      </c>
      <c r="D1555" t="str">
        <f>VLOOKUP(Tabela26[[#This Row],[EMP]],[1]LOJA!$A:$B,2,0)</f>
        <v>S IA</v>
      </c>
      <c r="E1555">
        <v>54</v>
      </c>
      <c r="F1555" t="s">
        <v>5089</v>
      </c>
      <c r="G1555" t="s">
        <v>5088</v>
      </c>
      <c r="H1555" t="s">
        <v>3430</v>
      </c>
      <c r="I1555">
        <v>5405</v>
      </c>
      <c r="J1555" s="3">
        <v>149.80000000000001</v>
      </c>
      <c r="K1555" s="3">
        <v>65.81</v>
      </c>
      <c r="L1555">
        <v>56.07</v>
      </c>
    </row>
    <row r="1556" spans="1:12">
      <c r="A1556" s="1">
        <v>46030</v>
      </c>
      <c r="B1556" t="s">
        <v>11213</v>
      </c>
      <c r="C1556">
        <v>14</v>
      </c>
      <c r="D1556" t="str">
        <f>VLOOKUP(Tabela26[[#This Row],[EMP]],[1]LOJA!$A:$B,2,0)</f>
        <v>S IA</v>
      </c>
      <c r="E1556">
        <v>54</v>
      </c>
      <c r="F1556" t="s">
        <v>5089</v>
      </c>
      <c r="G1556" t="s">
        <v>5088</v>
      </c>
      <c r="H1556" t="s">
        <v>3430</v>
      </c>
      <c r="I1556">
        <v>5405</v>
      </c>
      <c r="J1556" s="3">
        <v>96.74</v>
      </c>
      <c r="K1556" s="3">
        <v>40.92</v>
      </c>
      <c r="L1556">
        <v>57.7</v>
      </c>
    </row>
    <row r="1557" spans="1:12">
      <c r="A1557" s="1">
        <v>46030</v>
      </c>
      <c r="B1557" t="s">
        <v>11212</v>
      </c>
      <c r="C1557">
        <v>14</v>
      </c>
      <c r="D1557" t="str">
        <f>VLOOKUP(Tabela26[[#This Row],[EMP]],[1]LOJA!$A:$B,2,0)</f>
        <v>S IA</v>
      </c>
      <c r="E1557">
        <v>54</v>
      </c>
      <c r="F1557" t="s">
        <v>11211</v>
      </c>
      <c r="G1557" t="s">
        <v>11210</v>
      </c>
      <c r="H1557" t="s">
        <v>3401</v>
      </c>
      <c r="I1557">
        <v>5405</v>
      </c>
      <c r="J1557" s="3">
        <v>73</v>
      </c>
      <c r="K1557" s="3">
        <v>29.46</v>
      </c>
      <c r="L1557">
        <v>59.64</v>
      </c>
    </row>
    <row r="1558" spans="1:12">
      <c r="A1558" s="1">
        <v>46030</v>
      </c>
      <c r="B1558" t="s">
        <v>11209</v>
      </c>
      <c r="C1558">
        <v>14</v>
      </c>
      <c r="D1558" t="str">
        <f>VLOOKUP(Tabela26[[#This Row],[EMP]],[1]LOJA!$A:$B,2,0)</f>
        <v>S IA</v>
      </c>
      <c r="E1558">
        <v>54</v>
      </c>
      <c r="F1558" t="s">
        <v>6064</v>
      </c>
      <c r="G1558" t="s">
        <v>6063</v>
      </c>
      <c r="H1558" t="s">
        <v>3408</v>
      </c>
      <c r="I1558">
        <v>6403</v>
      </c>
      <c r="J1558" s="3">
        <v>270</v>
      </c>
      <c r="K1558" s="3">
        <v>134.22999999999999</v>
      </c>
      <c r="L1558">
        <v>50.29</v>
      </c>
    </row>
    <row r="1559" spans="1:12">
      <c r="A1559" s="1">
        <v>46030</v>
      </c>
      <c r="B1559" t="s">
        <v>11208</v>
      </c>
      <c r="C1559">
        <v>14</v>
      </c>
      <c r="D1559" t="str">
        <f>VLOOKUP(Tabela26[[#This Row],[EMP]],[1]LOJA!$A:$B,2,0)</f>
        <v>S IA</v>
      </c>
      <c r="E1559">
        <v>54</v>
      </c>
      <c r="F1559" t="s">
        <v>11207</v>
      </c>
      <c r="G1559" t="s">
        <v>11206</v>
      </c>
      <c r="H1559" t="s">
        <v>3401</v>
      </c>
      <c r="I1559">
        <v>5405</v>
      </c>
      <c r="J1559" s="3">
        <v>45</v>
      </c>
      <c r="K1559" s="3">
        <v>18.190000000000001</v>
      </c>
      <c r="L1559">
        <v>59.58</v>
      </c>
    </row>
    <row r="1560" spans="1:12">
      <c r="A1560" s="1">
        <v>46030</v>
      </c>
      <c r="B1560" t="s">
        <v>11205</v>
      </c>
      <c r="C1560">
        <v>14</v>
      </c>
      <c r="D1560" t="str">
        <f>VLOOKUP(Tabela26[[#This Row],[EMP]],[1]LOJA!$A:$B,2,0)</f>
        <v>S IA</v>
      </c>
      <c r="E1560">
        <v>54</v>
      </c>
      <c r="F1560" t="s">
        <v>3740</v>
      </c>
      <c r="G1560" t="s">
        <v>3739</v>
      </c>
      <c r="H1560" t="s">
        <v>3408</v>
      </c>
      <c r="I1560">
        <v>5405</v>
      </c>
      <c r="J1560" s="3">
        <v>987</v>
      </c>
      <c r="K1560" s="3">
        <v>435.12</v>
      </c>
      <c r="L1560">
        <v>55.91</v>
      </c>
    </row>
    <row r="1561" spans="1:12">
      <c r="A1561" s="1">
        <v>46030</v>
      </c>
      <c r="B1561" t="s">
        <v>11204</v>
      </c>
      <c r="C1561">
        <v>14</v>
      </c>
      <c r="D1561" t="str">
        <f>VLOOKUP(Tabela26[[#This Row],[EMP]],[1]LOJA!$A:$B,2,0)</f>
        <v>S IA</v>
      </c>
      <c r="E1561">
        <v>212</v>
      </c>
      <c r="F1561" t="s">
        <v>11203</v>
      </c>
      <c r="G1561" t="s">
        <v>11202</v>
      </c>
      <c r="H1561" t="s">
        <v>3401</v>
      </c>
      <c r="I1561">
        <v>5102</v>
      </c>
      <c r="J1561" s="3">
        <v>101</v>
      </c>
      <c r="K1561" s="3">
        <v>60.82</v>
      </c>
      <c r="L1561">
        <v>39.78</v>
      </c>
    </row>
    <row r="1562" spans="1:12">
      <c r="A1562" s="1">
        <v>46030</v>
      </c>
      <c r="B1562" t="s">
        <v>11201</v>
      </c>
      <c r="C1562">
        <v>14</v>
      </c>
      <c r="D1562" t="str">
        <f>VLOOKUP(Tabela26[[#This Row],[EMP]],[1]LOJA!$A:$B,2,0)</f>
        <v>S IA</v>
      </c>
      <c r="E1562">
        <v>54</v>
      </c>
      <c r="F1562" t="s">
        <v>3775</v>
      </c>
      <c r="G1562" t="s">
        <v>3774</v>
      </c>
      <c r="H1562" t="s">
        <v>3430</v>
      </c>
      <c r="I1562">
        <v>5102</v>
      </c>
      <c r="J1562" s="3">
        <v>228.83</v>
      </c>
      <c r="K1562" s="3">
        <v>115.46</v>
      </c>
      <c r="L1562">
        <v>49.54</v>
      </c>
    </row>
    <row r="1563" spans="1:12">
      <c r="A1563" s="1">
        <v>46030</v>
      </c>
      <c r="B1563" t="s">
        <v>11200</v>
      </c>
      <c r="C1563">
        <v>14</v>
      </c>
      <c r="D1563" t="str">
        <f>VLOOKUP(Tabela26[[#This Row],[EMP]],[1]LOJA!$A:$B,2,0)</f>
        <v>S IA</v>
      </c>
      <c r="E1563">
        <v>54</v>
      </c>
      <c r="F1563" t="s">
        <v>8002</v>
      </c>
      <c r="G1563" t="s">
        <v>8001</v>
      </c>
      <c r="H1563" t="s">
        <v>3426</v>
      </c>
      <c r="I1563">
        <v>5102</v>
      </c>
      <c r="J1563" s="3">
        <v>268.8</v>
      </c>
      <c r="K1563" s="3">
        <v>146.87</v>
      </c>
      <c r="L1563">
        <v>45.36</v>
      </c>
    </row>
    <row r="1564" spans="1:12">
      <c r="A1564" s="1">
        <v>46030</v>
      </c>
      <c r="B1564" t="s">
        <v>11199</v>
      </c>
      <c r="C1564">
        <v>14</v>
      </c>
      <c r="D1564" t="str">
        <f>VLOOKUP(Tabela26[[#This Row],[EMP]],[1]LOJA!$A:$B,2,0)</f>
        <v>S IA</v>
      </c>
      <c r="E1564">
        <v>54</v>
      </c>
      <c r="F1564" t="s">
        <v>3772</v>
      </c>
      <c r="G1564" t="s">
        <v>3771</v>
      </c>
      <c r="H1564" t="s">
        <v>3430</v>
      </c>
      <c r="I1564">
        <v>5405</v>
      </c>
      <c r="J1564" s="3">
        <v>73.02</v>
      </c>
      <c r="K1564" s="3">
        <v>32.090000000000003</v>
      </c>
      <c r="L1564">
        <v>56.05</v>
      </c>
    </row>
    <row r="1565" spans="1:12">
      <c r="A1565" s="1">
        <v>46030</v>
      </c>
      <c r="B1565" t="s">
        <v>11198</v>
      </c>
      <c r="C1565">
        <v>12</v>
      </c>
      <c r="D1565" t="str">
        <f>VLOOKUP(Tabela26[[#This Row],[EMP]],[1]LOJA!$A:$B,2,0)</f>
        <v>SOFNORTE</v>
      </c>
      <c r="E1565">
        <v>239</v>
      </c>
      <c r="F1565" t="s">
        <v>3715</v>
      </c>
      <c r="G1565" t="s">
        <v>3714</v>
      </c>
      <c r="H1565" t="s">
        <v>3401</v>
      </c>
      <c r="I1565">
        <v>5102</v>
      </c>
      <c r="J1565" s="3">
        <v>10</v>
      </c>
      <c r="K1565" s="3">
        <v>3.6</v>
      </c>
      <c r="L1565">
        <v>64</v>
      </c>
    </row>
    <row r="1566" spans="1:12">
      <c r="A1566" s="1">
        <v>46030</v>
      </c>
      <c r="B1566" t="s">
        <v>11197</v>
      </c>
      <c r="C1566">
        <v>12</v>
      </c>
      <c r="D1566" t="str">
        <f>VLOOKUP(Tabela26[[#This Row],[EMP]],[1]LOJA!$A:$B,2,0)</f>
        <v>SOFNORTE</v>
      </c>
      <c r="E1566">
        <v>239</v>
      </c>
      <c r="F1566" t="s">
        <v>11196</v>
      </c>
      <c r="G1566" t="s">
        <v>11195</v>
      </c>
      <c r="H1566" t="s">
        <v>3401</v>
      </c>
      <c r="I1566">
        <v>5405</v>
      </c>
      <c r="J1566" s="3">
        <v>180</v>
      </c>
      <c r="K1566" s="3">
        <v>89.39</v>
      </c>
      <c r="L1566">
        <v>50.34</v>
      </c>
    </row>
    <row r="1567" spans="1:12">
      <c r="A1567" s="1">
        <v>46030</v>
      </c>
      <c r="B1567" t="s">
        <v>11194</v>
      </c>
      <c r="C1567">
        <v>12</v>
      </c>
      <c r="D1567" t="str">
        <f>VLOOKUP(Tabela26[[#This Row],[EMP]],[1]LOJA!$A:$B,2,0)</f>
        <v>SOFNORTE</v>
      </c>
      <c r="E1567">
        <v>60</v>
      </c>
      <c r="F1567" t="s">
        <v>3706</v>
      </c>
      <c r="G1567" t="s">
        <v>3402</v>
      </c>
      <c r="H1567" t="s">
        <v>3401</v>
      </c>
      <c r="I1567">
        <v>5405</v>
      </c>
      <c r="J1567" s="3">
        <v>125</v>
      </c>
      <c r="K1567" s="3">
        <v>61.56</v>
      </c>
      <c r="L1567">
        <v>50.75</v>
      </c>
    </row>
    <row r="1568" spans="1:12">
      <c r="A1568" s="1">
        <v>46030</v>
      </c>
      <c r="B1568" t="s">
        <v>11193</v>
      </c>
      <c r="C1568">
        <v>12</v>
      </c>
      <c r="D1568" t="str">
        <f>VLOOKUP(Tabela26[[#This Row],[EMP]],[1]LOJA!$A:$B,2,0)</f>
        <v>SOFNORTE</v>
      </c>
      <c r="E1568">
        <v>60</v>
      </c>
      <c r="F1568" t="s">
        <v>3701</v>
      </c>
      <c r="G1568" t="s">
        <v>3700</v>
      </c>
      <c r="H1568" t="s">
        <v>3408</v>
      </c>
      <c r="I1568">
        <v>5405</v>
      </c>
      <c r="J1568" s="3">
        <v>29</v>
      </c>
      <c r="K1568" s="3">
        <v>13.54</v>
      </c>
      <c r="L1568">
        <v>53.31</v>
      </c>
    </row>
    <row r="1569" spans="1:12">
      <c r="A1569" s="1">
        <v>46030</v>
      </c>
      <c r="B1569" t="s">
        <v>11192</v>
      </c>
      <c r="C1569">
        <v>12</v>
      </c>
      <c r="D1569" t="str">
        <f>VLOOKUP(Tabela26[[#This Row],[EMP]],[1]LOJA!$A:$B,2,0)</f>
        <v>SOFNORTE</v>
      </c>
      <c r="E1569">
        <v>60</v>
      </c>
      <c r="F1569" t="s">
        <v>3403</v>
      </c>
      <c r="G1569" t="s">
        <v>3402</v>
      </c>
      <c r="H1569" t="s">
        <v>3401</v>
      </c>
      <c r="I1569">
        <v>5102</v>
      </c>
      <c r="J1569" s="3">
        <v>68</v>
      </c>
      <c r="K1569" s="3">
        <v>37.35</v>
      </c>
      <c r="L1569">
        <v>45.07</v>
      </c>
    </row>
    <row r="1570" spans="1:12">
      <c r="A1570" s="1">
        <v>46030</v>
      </c>
      <c r="B1570" t="s">
        <v>11191</v>
      </c>
      <c r="C1570">
        <v>12</v>
      </c>
      <c r="D1570" t="str">
        <f>VLOOKUP(Tabela26[[#This Row],[EMP]],[1]LOJA!$A:$B,2,0)</f>
        <v>SOFNORTE</v>
      </c>
      <c r="E1570">
        <v>60</v>
      </c>
      <c r="F1570" t="s">
        <v>4455</v>
      </c>
      <c r="G1570" t="s">
        <v>3402</v>
      </c>
      <c r="H1570" t="s">
        <v>3408</v>
      </c>
      <c r="I1570">
        <v>5102</v>
      </c>
      <c r="J1570" s="3">
        <v>73</v>
      </c>
      <c r="K1570" s="3">
        <v>47.38</v>
      </c>
      <c r="L1570">
        <v>35.1</v>
      </c>
    </row>
    <row r="1571" spans="1:12">
      <c r="A1571" s="1">
        <v>46030</v>
      </c>
      <c r="B1571" t="s">
        <v>11190</v>
      </c>
      <c r="C1571">
        <v>12</v>
      </c>
      <c r="D1571" t="str">
        <f>VLOOKUP(Tabela26[[#This Row],[EMP]],[1]LOJA!$A:$B,2,0)</f>
        <v>SOFNORTE</v>
      </c>
      <c r="E1571">
        <v>60</v>
      </c>
      <c r="F1571" t="s">
        <v>3687</v>
      </c>
      <c r="G1571" t="s">
        <v>3686</v>
      </c>
      <c r="H1571" t="s">
        <v>6057</v>
      </c>
      <c r="I1571">
        <v>5405</v>
      </c>
      <c r="J1571" s="3">
        <v>120</v>
      </c>
      <c r="K1571" s="3">
        <v>56.96</v>
      </c>
      <c r="L1571">
        <v>52.53</v>
      </c>
    </row>
    <row r="1572" spans="1:12">
      <c r="A1572" s="1">
        <v>46030</v>
      </c>
      <c r="B1572" t="s">
        <v>11189</v>
      </c>
      <c r="C1572">
        <v>12</v>
      </c>
      <c r="D1572" t="str">
        <f>VLOOKUP(Tabela26[[#This Row],[EMP]],[1]LOJA!$A:$B,2,0)</f>
        <v>SOFNORTE</v>
      </c>
      <c r="E1572">
        <v>60</v>
      </c>
      <c r="F1572" t="s">
        <v>4437</v>
      </c>
      <c r="G1572" t="s">
        <v>3402</v>
      </c>
      <c r="H1572" t="s">
        <v>3401</v>
      </c>
      <c r="I1572">
        <v>5405</v>
      </c>
      <c r="J1572" s="3">
        <v>49</v>
      </c>
      <c r="K1572" s="3">
        <v>22.38</v>
      </c>
      <c r="L1572">
        <v>54.33</v>
      </c>
    </row>
    <row r="1573" spans="1:12">
      <c r="A1573" s="1">
        <v>46030</v>
      </c>
      <c r="B1573" t="s">
        <v>11188</v>
      </c>
      <c r="C1573">
        <v>12</v>
      </c>
      <c r="D1573" t="str">
        <f>VLOOKUP(Tabela26[[#This Row],[EMP]],[1]LOJA!$A:$B,2,0)</f>
        <v>SOFNORTE</v>
      </c>
      <c r="E1573">
        <v>60</v>
      </c>
      <c r="F1573" t="s">
        <v>3737</v>
      </c>
      <c r="G1573" t="s">
        <v>3736</v>
      </c>
      <c r="H1573" t="s">
        <v>3520</v>
      </c>
      <c r="I1573">
        <v>5102</v>
      </c>
      <c r="J1573" s="3">
        <v>26</v>
      </c>
      <c r="K1573" s="3">
        <v>13.87</v>
      </c>
      <c r="L1573">
        <v>46.65</v>
      </c>
    </row>
    <row r="1574" spans="1:12">
      <c r="A1574" s="1">
        <v>46030</v>
      </c>
      <c r="B1574" t="s">
        <v>11187</v>
      </c>
      <c r="C1574">
        <v>12</v>
      </c>
      <c r="D1574" t="str">
        <f>VLOOKUP(Tabela26[[#This Row],[EMP]],[1]LOJA!$A:$B,2,0)</f>
        <v>SOFNORTE</v>
      </c>
      <c r="E1574">
        <v>239</v>
      </c>
      <c r="F1574" t="s">
        <v>6253</v>
      </c>
      <c r="G1574" t="s">
        <v>6252</v>
      </c>
      <c r="H1574" t="s">
        <v>3401</v>
      </c>
      <c r="I1574">
        <v>5405</v>
      </c>
      <c r="J1574" s="3">
        <v>146</v>
      </c>
      <c r="K1574" s="3">
        <v>71.099999999999994</v>
      </c>
      <c r="L1574">
        <v>51.3</v>
      </c>
    </row>
    <row r="1575" spans="1:12">
      <c r="A1575" s="1">
        <v>46030</v>
      </c>
      <c r="B1575" t="s">
        <v>11186</v>
      </c>
      <c r="C1575">
        <v>12</v>
      </c>
      <c r="D1575" t="str">
        <f>VLOOKUP(Tabela26[[#This Row],[EMP]],[1]LOJA!$A:$B,2,0)</f>
        <v>SOFNORTE</v>
      </c>
      <c r="E1575">
        <v>60</v>
      </c>
      <c r="F1575" t="s">
        <v>3403</v>
      </c>
      <c r="G1575" t="s">
        <v>3402</v>
      </c>
      <c r="H1575" t="s">
        <v>3401</v>
      </c>
      <c r="I1575">
        <v>5102</v>
      </c>
      <c r="J1575" s="3">
        <v>92</v>
      </c>
      <c r="K1575" s="3">
        <v>41.98</v>
      </c>
      <c r="L1575">
        <v>54.37</v>
      </c>
    </row>
    <row r="1576" spans="1:12">
      <c r="A1576" s="1">
        <v>46030</v>
      </c>
      <c r="B1576" t="s">
        <v>11185</v>
      </c>
      <c r="C1576">
        <v>12</v>
      </c>
      <c r="D1576" t="str">
        <f>VLOOKUP(Tabela26[[#This Row],[EMP]],[1]LOJA!$A:$B,2,0)</f>
        <v>SOFNORTE</v>
      </c>
      <c r="E1576">
        <v>60</v>
      </c>
      <c r="F1576" t="s">
        <v>3704</v>
      </c>
      <c r="G1576" t="s">
        <v>3703</v>
      </c>
      <c r="H1576" t="s">
        <v>3401</v>
      </c>
      <c r="I1576">
        <v>5102</v>
      </c>
      <c r="J1576" s="3">
        <v>8</v>
      </c>
      <c r="K1576" s="3">
        <v>3.58</v>
      </c>
      <c r="L1576">
        <v>55.25</v>
      </c>
    </row>
    <row r="1577" spans="1:12">
      <c r="A1577" s="1">
        <v>46030</v>
      </c>
      <c r="B1577" t="s">
        <v>11184</v>
      </c>
      <c r="C1577">
        <v>12</v>
      </c>
      <c r="D1577" t="str">
        <f>VLOOKUP(Tabela26[[#This Row],[EMP]],[1]LOJA!$A:$B,2,0)</f>
        <v>SOFNORTE</v>
      </c>
      <c r="E1577">
        <v>239</v>
      </c>
      <c r="F1577" t="s">
        <v>3403</v>
      </c>
      <c r="G1577" t="s">
        <v>3402</v>
      </c>
      <c r="H1577" t="s">
        <v>3401</v>
      </c>
      <c r="I1577">
        <v>5405</v>
      </c>
      <c r="J1577" s="3">
        <v>36</v>
      </c>
      <c r="K1577" s="3">
        <v>17.86</v>
      </c>
      <c r="L1577">
        <v>50.39</v>
      </c>
    </row>
    <row r="1578" spans="1:12">
      <c r="A1578" s="1">
        <v>46030</v>
      </c>
      <c r="B1578" t="s">
        <v>11183</v>
      </c>
      <c r="C1578">
        <v>12</v>
      </c>
      <c r="D1578" t="str">
        <f>VLOOKUP(Tabela26[[#This Row],[EMP]],[1]LOJA!$A:$B,2,0)</f>
        <v>SOFNORTE</v>
      </c>
      <c r="E1578">
        <v>239</v>
      </c>
      <c r="F1578" t="s">
        <v>3704</v>
      </c>
      <c r="G1578" t="s">
        <v>3703</v>
      </c>
      <c r="H1578" t="s">
        <v>3408</v>
      </c>
      <c r="I1578">
        <v>5405</v>
      </c>
      <c r="J1578" s="3">
        <v>60</v>
      </c>
      <c r="K1578" s="3">
        <v>25.68</v>
      </c>
      <c r="L1578">
        <v>57.2</v>
      </c>
    </row>
    <row r="1579" spans="1:12">
      <c r="A1579" s="1">
        <v>46030</v>
      </c>
      <c r="B1579" t="s">
        <v>11182</v>
      </c>
      <c r="C1579">
        <v>12</v>
      </c>
      <c r="D1579" t="str">
        <f>VLOOKUP(Tabela26[[#This Row],[EMP]],[1]LOJA!$A:$B,2,0)</f>
        <v>SOFNORTE</v>
      </c>
      <c r="E1579">
        <v>60</v>
      </c>
      <c r="F1579" t="s">
        <v>3737</v>
      </c>
      <c r="G1579" t="s">
        <v>3736</v>
      </c>
      <c r="H1579" t="s">
        <v>3520</v>
      </c>
      <c r="I1579">
        <v>5102</v>
      </c>
      <c r="J1579" s="3">
        <v>21.88</v>
      </c>
      <c r="K1579" s="3">
        <v>11.63</v>
      </c>
      <c r="L1579">
        <v>46.85</v>
      </c>
    </row>
    <row r="1580" spans="1:12">
      <c r="A1580" s="1">
        <v>46030</v>
      </c>
      <c r="B1580" t="s">
        <v>11181</v>
      </c>
      <c r="C1580">
        <v>12</v>
      </c>
      <c r="D1580" t="str">
        <f>VLOOKUP(Tabela26[[#This Row],[EMP]],[1]LOJA!$A:$B,2,0)</f>
        <v>SOFNORTE</v>
      </c>
      <c r="E1580">
        <v>60</v>
      </c>
      <c r="F1580" t="s">
        <v>11180</v>
      </c>
      <c r="G1580" t="s">
        <v>11179</v>
      </c>
      <c r="H1580" t="s">
        <v>3401</v>
      </c>
      <c r="I1580">
        <v>5102</v>
      </c>
      <c r="J1580" s="3">
        <v>18</v>
      </c>
      <c r="K1580" s="3">
        <v>11.98</v>
      </c>
      <c r="L1580">
        <v>33.44</v>
      </c>
    </row>
    <row r="1581" spans="1:12">
      <c r="A1581" s="1">
        <v>46030</v>
      </c>
      <c r="B1581" t="s">
        <v>11178</v>
      </c>
      <c r="C1581">
        <v>12</v>
      </c>
      <c r="D1581" t="str">
        <f>VLOOKUP(Tabela26[[#This Row],[EMP]],[1]LOJA!$A:$B,2,0)</f>
        <v>SOFNORTE</v>
      </c>
      <c r="E1581">
        <v>60</v>
      </c>
      <c r="F1581" t="s">
        <v>3737</v>
      </c>
      <c r="G1581" t="s">
        <v>3736</v>
      </c>
      <c r="H1581" t="s">
        <v>3520</v>
      </c>
      <c r="I1581">
        <v>5102</v>
      </c>
      <c r="J1581" s="3">
        <v>31</v>
      </c>
      <c r="K1581" s="3">
        <v>17.489999999999998</v>
      </c>
      <c r="L1581">
        <v>43.58</v>
      </c>
    </row>
    <row r="1582" spans="1:12">
      <c r="A1582" s="1">
        <v>46030</v>
      </c>
      <c r="B1582" t="s">
        <v>11177</v>
      </c>
      <c r="C1582">
        <v>12</v>
      </c>
      <c r="D1582" t="str">
        <f>VLOOKUP(Tabela26[[#This Row],[EMP]],[1]LOJA!$A:$B,2,0)</f>
        <v>SOFNORTE</v>
      </c>
      <c r="E1582">
        <v>60</v>
      </c>
      <c r="F1582" t="s">
        <v>3737</v>
      </c>
      <c r="G1582" t="s">
        <v>3736</v>
      </c>
      <c r="H1582" t="s">
        <v>3520</v>
      </c>
      <c r="I1582">
        <v>5405</v>
      </c>
      <c r="J1582" s="3">
        <v>120</v>
      </c>
      <c r="K1582" s="3">
        <v>56.68</v>
      </c>
      <c r="L1582">
        <v>52.77</v>
      </c>
    </row>
    <row r="1583" spans="1:12">
      <c r="A1583" s="1">
        <v>46030</v>
      </c>
      <c r="B1583" t="s">
        <v>11176</v>
      </c>
      <c r="C1583">
        <v>12</v>
      </c>
      <c r="D1583" t="str">
        <f>VLOOKUP(Tabela26[[#This Row],[EMP]],[1]LOJA!$A:$B,2,0)</f>
        <v>SOFNORTE</v>
      </c>
      <c r="E1583">
        <v>60</v>
      </c>
      <c r="F1583" t="s">
        <v>3704</v>
      </c>
      <c r="G1583" t="s">
        <v>3703</v>
      </c>
      <c r="H1583" t="s">
        <v>3401</v>
      </c>
      <c r="I1583">
        <v>5405</v>
      </c>
      <c r="J1583" s="3">
        <v>83</v>
      </c>
      <c r="K1583" s="3">
        <v>39.229999999999997</v>
      </c>
      <c r="L1583">
        <v>52.73</v>
      </c>
    </row>
    <row r="1584" spans="1:12">
      <c r="A1584" s="1">
        <v>46030</v>
      </c>
      <c r="B1584" t="s">
        <v>11175</v>
      </c>
      <c r="C1584">
        <v>12</v>
      </c>
      <c r="D1584" t="str">
        <f>VLOOKUP(Tabela26[[#This Row],[EMP]],[1]LOJA!$A:$B,2,0)</f>
        <v>SOFNORTE</v>
      </c>
      <c r="E1584">
        <v>60</v>
      </c>
      <c r="F1584" t="s">
        <v>3687</v>
      </c>
      <c r="G1584" t="s">
        <v>3686</v>
      </c>
      <c r="H1584" t="s">
        <v>6057</v>
      </c>
      <c r="I1584">
        <v>5405</v>
      </c>
      <c r="J1584" s="3">
        <v>59.9</v>
      </c>
      <c r="K1584" s="3">
        <v>26.64</v>
      </c>
      <c r="L1584">
        <v>55.53</v>
      </c>
    </row>
    <row r="1585" spans="1:12">
      <c r="A1585" s="1">
        <v>46030</v>
      </c>
      <c r="B1585" t="s">
        <v>11174</v>
      </c>
      <c r="C1585">
        <v>12</v>
      </c>
      <c r="D1585" t="str">
        <f>VLOOKUP(Tabela26[[#This Row],[EMP]],[1]LOJA!$A:$B,2,0)</f>
        <v>SOFNORTE</v>
      </c>
      <c r="E1585">
        <v>239</v>
      </c>
      <c r="F1585" t="s">
        <v>3403</v>
      </c>
      <c r="G1585" t="s">
        <v>3402</v>
      </c>
      <c r="H1585" t="s">
        <v>3401</v>
      </c>
      <c r="I1585">
        <v>5102</v>
      </c>
      <c r="J1585" s="3">
        <v>18</v>
      </c>
      <c r="K1585" s="3">
        <v>10.89</v>
      </c>
      <c r="L1585">
        <v>39.5</v>
      </c>
    </row>
    <row r="1586" spans="1:12">
      <c r="A1586" s="1">
        <v>46030</v>
      </c>
      <c r="B1586" t="s">
        <v>3716</v>
      </c>
      <c r="C1586">
        <v>14</v>
      </c>
      <c r="D1586" t="str">
        <f>VLOOKUP(Tabela26[[#This Row],[EMP]],[1]LOJA!$A:$B,2,0)</f>
        <v>S IA</v>
      </c>
      <c r="E1586">
        <v>212</v>
      </c>
      <c r="F1586" t="s">
        <v>9892</v>
      </c>
      <c r="G1586" t="s">
        <v>3402</v>
      </c>
      <c r="H1586" t="s">
        <v>3408</v>
      </c>
      <c r="I1586">
        <v>5405</v>
      </c>
      <c r="J1586" s="3">
        <v>30</v>
      </c>
      <c r="K1586" s="3">
        <v>14.06</v>
      </c>
      <c r="L1586">
        <v>53.13</v>
      </c>
    </row>
    <row r="1587" spans="1:12">
      <c r="A1587" s="1">
        <v>46030</v>
      </c>
      <c r="B1587" t="s">
        <v>3713</v>
      </c>
      <c r="C1587">
        <v>14</v>
      </c>
      <c r="D1587" t="str">
        <f>VLOOKUP(Tabela26[[#This Row],[EMP]],[1]LOJA!$A:$B,2,0)</f>
        <v>S IA</v>
      </c>
      <c r="E1587">
        <v>212</v>
      </c>
      <c r="F1587" t="s">
        <v>8578</v>
      </c>
      <c r="G1587" t="s">
        <v>3402</v>
      </c>
      <c r="H1587" t="s">
        <v>3401</v>
      </c>
      <c r="I1587">
        <v>5405</v>
      </c>
      <c r="J1587" s="3">
        <v>110</v>
      </c>
      <c r="K1587" s="3">
        <v>36.049999999999997</v>
      </c>
      <c r="L1587">
        <v>67.23</v>
      </c>
    </row>
    <row r="1588" spans="1:12">
      <c r="A1588" s="1">
        <v>46030</v>
      </c>
      <c r="B1588" t="s">
        <v>3712</v>
      </c>
      <c r="C1588">
        <v>14</v>
      </c>
      <c r="D1588" t="str">
        <f>VLOOKUP(Tabela26[[#This Row],[EMP]],[1]LOJA!$A:$B,2,0)</f>
        <v>S IA</v>
      </c>
      <c r="E1588">
        <v>54</v>
      </c>
      <c r="F1588" t="s">
        <v>7639</v>
      </c>
      <c r="G1588" t="s">
        <v>7638</v>
      </c>
      <c r="H1588" t="s">
        <v>3408</v>
      </c>
      <c r="I1588">
        <v>5405</v>
      </c>
      <c r="J1588" s="3">
        <v>173.05</v>
      </c>
      <c r="K1588" s="3">
        <v>91.27</v>
      </c>
      <c r="L1588">
        <v>47.26</v>
      </c>
    </row>
    <row r="1589" spans="1:12">
      <c r="A1589" s="1">
        <v>46030</v>
      </c>
      <c r="B1589" t="s">
        <v>3711</v>
      </c>
      <c r="C1589">
        <v>14</v>
      </c>
      <c r="D1589" t="str">
        <f>VLOOKUP(Tabela26[[#This Row],[EMP]],[1]LOJA!$A:$B,2,0)</f>
        <v>S IA</v>
      </c>
      <c r="E1589">
        <v>54</v>
      </c>
      <c r="F1589" t="s">
        <v>11173</v>
      </c>
      <c r="G1589" t="s">
        <v>3402</v>
      </c>
      <c r="H1589" t="s">
        <v>3408</v>
      </c>
      <c r="I1589">
        <v>5405</v>
      </c>
      <c r="J1589" s="3">
        <v>228.59</v>
      </c>
      <c r="K1589" s="3">
        <v>119.15</v>
      </c>
      <c r="L1589">
        <v>47.88</v>
      </c>
    </row>
    <row r="1590" spans="1:12">
      <c r="A1590" s="1">
        <v>46030</v>
      </c>
      <c r="B1590" t="s">
        <v>3710</v>
      </c>
      <c r="C1590">
        <v>14</v>
      </c>
      <c r="D1590" t="str">
        <f>VLOOKUP(Tabela26[[#This Row],[EMP]],[1]LOJA!$A:$B,2,0)</f>
        <v>S IA</v>
      </c>
      <c r="E1590">
        <v>212</v>
      </c>
      <c r="F1590" t="s">
        <v>5589</v>
      </c>
      <c r="G1590" t="s">
        <v>3402</v>
      </c>
      <c r="H1590" t="s">
        <v>3408</v>
      </c>
      <c r="I1590">
        <v>5405</v>
      </c>
      <c r="J1590" s="3">
        <v>170</v>
      </c>
      <c r="K1590" s="3">
        <v>86.98</v>
      </c>
      <c r="L1590">
        <v>48.84</v>
      </c>
    </row>
    <row r="1591" spans="1:12">
      <c r="A1591" s="1">
        <v>46030</v>
      </c>
      <c r="B1591" t="s">
        <v>3707</v>
      </c>
      <c r="C1591">
        <v>14</v>
      </c>
      <c r="D1591" t="str">
        <f>VLOOKUP(Tabela26[[#This Row],[EMP]],[1]LOJA!$A:$B,2,0)</f>
        <v>S IA</v>
      </c>
      <c r="E1591">
        <v>212</v>
      </c>
      <c r="F1591" t="s">
        <v>3769</v>
      </c>
      <c r="G1591" t="s">
        <v>3768</v>
      </c>
      <c r="H1591" t="s">
        <v>3408</v>
      </c>
      <c r="I1591">
        <v>5405</v>
      </c>
      <c r="J1591" s="3">
        <v>101.9</v>
      </c>
      <c r="K1591" s="3">
        <v>51.87</v>
      </c>
      <c r="L1591">
        <v>49.1</v>
      </c>
    </row>
    <row r="1592" spans="1:12">
      <c r="A1592" s="1">
        <v>46030</v>
      </c>
      <c r="B1592" t="s">
        <v>3705</v>
      </c>
      <c r="C1592">
        <v>14</v>
      </c>
      <c r="D1592" t="str">
        <f>VLOOKUP(Tabela26[[#This Row],[EMP]],[1]LOJA!$A:$B,2,0)</f>
        <v>S IA</v>
      </c>
      <c r="E1592">
        <v>54</v>
      </c>
      <c r="F1592" t="s">
        <v>3403</v>
      </c>
      <c r="G1592" t="s">
        <v>3402</v>
      </c>
      <c r="H1592" t="s">
        <v>3401</v>
      </c>
      <c r="I1592">
        <v>5102</v>
      </c>
      <c r="J1592" s="3">
        <v>19</v>
      </c>
      <c r="K1592" s="3">
        <v>8.31</v>
      </c>
      <c r="L1592">
        <v>56.26</v>
      </c>
    </row>
    <row r="1593" spans="1:12">
      <c r="A1593" s="1">
        <v>46030</v>
      </c>
      <c r="B1593" t="s">
        <v>3702</v>
      </c>
      <c r="C1593">
        <v>14</v>
      </c>
      <c r="D1593" t="str">
        <f>VLOOKUP(Tabela26[[#This Row],[EMP]],[1]LOJA!$A:$B,2,0)</f>
        <v>S IA</v>
      </c>
      <c r="E1593">
        <v>212</v>
      </c>
      <c r="F1593" t="s">
        <v>3403</v>
      </c>
      <c r="G1593" t="s">
        <v>3402</v>
      </c>
      <c r="H1593" t="s">
        <v>3408</v>
      </c>
      <c r="I1593">
        <v>5102</v>
      </c>
      <c r="J1593" s="3">
        <v>236</v>
      </c>
      <c r="K1593" s="3">
        <v>110.35</v>
      </c>
      <c r="L1593">
        <v>53.24</v>
      </c>
    </row>
    <row r="1594" spans="1:12">
      <c r="A1594" s="1">
        <v>46030</v>
      </c>
      <c r="B1594" t="s">
        <v>3699</v>
      </c>
      <c r="C1594">
        <v>14</v>
      </c>
      <c r="D1594" t="str">
        <f>VLOOKUP(Tabela26[[#This Row],[EMP]],[1]LOJA!$A:$B,2,0)</f>
        <v>S IA</v>
      </c>
      <c r="E1594">
        <v>212</v>
      </c>
      <c r="F1594" t="s">
        <v>11172</v>
      </c>
      <c r="G1594" t="s">
        <v>11171</v>
      </c>
      <c r="H1594" t="s">
        <v>3401</v>
      </c>
      <c r="I1594">
        <v>5102</v>
      </c>
      <c r="J1594" s="3">
        <v>45.9</v>
      </c>
      <c r="K1594" s="3">
        <v>25.84</v>
      </c>
      <c r="L1594">
        <v>43.7</v>
      </c>
    </row>
    <row r="1595" spans="1:12">
      <c r="A1595" s="1">
        <v>46030</v>
      </c>
      <c r="B1595" t="s">
        <v>3696</v>
      </c>
      <c r="C1595">
        <v>14</v>
      </c>
      <c r="D1595" t="str">
        <f>VLOOKUP(Tabela26[[#This Row],[EMP]],[1]LOJA!$A:$B,2,0)</f>
        <v>S IA</v>
      </c>
      <c r="E1595">
        <v>212</v>
      </c>
      <c r="F1595" t="s">
        <v>9892</v>
      </c>
      <c r="G1595" t="s">
        <v>3402</v>
      </c>
      <c r="H1595" t="s">
        <v>3408</v>
      </c>
      <c r="I1595">
        <v>5405</v>
      </c>
      <c r="J1595" s="3">
        <v>34</v>
      </c>
      <c r="K1595" s="3">
        <v>15.05</v>
      </c>
      <c r="L1595">
        <v>55.74</v>
      </c>
    </row>
    <row r="1596" spans="1:12">
      <c r="A1596" s="1">
        <v>46030</v>
      </c>
      <c r="B1596" t="s">
        <v>3695</v>
      </c>
      <c r="C1596">
        <v>14</v>
      </c>
      <c r="D1596" t="str">
        <f>VLOOKUP(Tabela26[[#This Row],[EMP]],[1]LOJA!$A:$B,2,0)</f>
        <v>S IA</v>
      </c>
      <c r="E1596">
        <v>212</v>
      </c>
      <c r="F1596" t="s">
        <v>11170</v>
      </c>
      <c r="G1596" t="s">
        <v>3402</v>
      </c>
      <c r="H1596" t="s">
        <v>3408</v>
      </c>
      <c r="I1596">
        <v>5405</v>
      </c>
      <c r="J1596" s="3">
        <v>266</v>
      </c>
      <c r="K1596" s="3">
        <v>121.03</v>
      </c>
      <c r="L1596">
        <v>54.5</v>
      </c>
    </row>
    <row r="1597" spans="1:12">
      <c r="A1597" s="1">
        <v>46030</v>
      </c>
      <c r="B1597" t="s">
        <v>3692</v>
      </c>
      <c r="C1597">
        <v>14</v>
      </c>
      <c r="D1597" t="str">
        <f>VLOOKUP(Tabela26[[#This Row],[EMP]],[1]LOJA!$A:$B,2,0)</f>
        <v>S IA</v>
      </c>
      <c r="E1597">
        <v>212</v>
      </c>
      <c r="F1597" t="s">
        <v>3403</v>
      </c>
      <c r="G1597" t="s">
        <v>3402</v>
      </c>
      <c r="H1597" t="s">
        <v>3401</v>
      </c>
      <c r="I1597">
        <v>5405</v>
      </c>
      <c r="J1597" s="3">
        <v>127</v>
      </c>
      <c r="K1597" s="3">
        <v>58.96</v>
      </c>
      <c r="L1597">
        <v>53.57</v>
      </c>
    </row>
    <row r="1598" spans="1:12">
      <c r="A1598" s="1">
        <v>46030</v>
      </c>
      <c r="B1598" t="s">
        <v>3688</v>
      </c>
      <c r="C1598">
        <v>14</v>
      </c>
      <c r="D1598" t="str">
        <f>VLOOKUP(Tabela26[[#This Row],[EMP]],[1]LOJA!$A:$B,2,0)</f>
        <v>S IA</v>
      </c>
      <c r="E1598">
        <v>54</v>
      </c>
      <c r="F1598" t="s">
        <v>11169</v>
      </c>
      <c r="G1598" t="s">
        <v>11168</v>
      </c>
      <c r="H1598" t="s">
        <v>3401</v>
      </c>
      <c r="I1598">
        <v>5405</v>
      </c>
      <c r="J1598" s="3">
        <v>53</v>
      </c>
      <c r="K1598" s="3">
        <v>19.899999999999999</v>
      </c>
      <c r="L1598">
        <v>62.45</v>
      </c>
    </row>
    <row r="1599" spans="1:12">
      <c r="A1599" s="1">
        <v>46030</v>
      </c>
      <c r="B1599" t="s">
        <v>3429</v>
      </c>
      <c r="C1599">
        <v>14</v>
      </c>
      <c r="D1599" t="str">
        <f>VLOOKUP(Tabela26[[#This Row],[EMP]],[1]LOJA!$A:$B,2,0)</f>
        <v>S IA</v>
      </c>
      <c r="E1599">
        <v>212</v>
      </c>
      <c r="F1599" t="s">
        <v>3403</v>
      </c>
      <c r="G1599" t="s">
        <v>3402</v>
      </c>
      <c r="H1599" t="s">
        <v>3401</v>
      </c>
      <c r="I1599">
        <v>5102</v>
      </c>
      <c r="J1599" s="3">
        <v>18</v>
      </c>
      <c r="K1599" s="3">
        <v>9.24</v>
      </c>
      <c r="L1599">
        <v>48.67</v>
      </c>
    </row>
    <row r="1600" spans="1:12">
      <c r="A1600" s="1">
        <v>46030</v>
      </c>
      <c r="B1600" t="s">
        <v>11167</v>
      </c>
      <c r="C1600">
        <v>4</v>
      </c>
      <c r="D1600" t="str">
        <f>VLOOKUP(Tabela26[[#This Row],[EMP]],[1]LOJA!$A:$B,2,0)</f>
        <v>ADE</v>
      </c>
      <c r="E1600">
        <v>132</v>
      </c>
      <c r="F1600" t="s">
        <v>3677</v>
      </c>
      <c r="G1600" t="s">
        <v>3676</v>
      </c>
      <c r="H1600" t="s">
        <v>4249</v>
      </c>
      <c r="I1600">
        <v>5102</v>
      </c>
      <c r="J1600" s="3">
        <v>1103.2</v>
      </c>
      <c r="K1600" s="3">
        <v>719.23</v>
      </c>
      <c r="L1600">
        <v>34.81</v>
      </c>
    </row>
    <row r="1601" spans="1:12">
      <c r="A1601" s="1">
        <v>46030</v>
      </c>
      <c r="B1601" t="s">
        <v>11166</v>
      </c>
      <c r="C1601">
        <v>4</v>
      </c>
      <c r="D1601" t="str">
        <f>VLOOKUP(Tabela26[[#This Row],[EMP]],[1]LOJA!$A:$B,2,0)</f>
        <v>ADE</v>
      </c>
      <c r="E1601">
        <v>132</v>
      </c>
      <c r="F1601" t="s">
        <v>6213</v>
      </c>
      <c r="G1601" t="s">
        <v>6212</v>
      </c>
      <c r="H1601" t="s">
        <v>3745</v>
      </c>
      <c r="I1601">
        <v>5102</v>
      </c>
      <c r="J1601" s="3">
        <v>1750</v>
      </c>
      <c r="K1601" s="3">
        <v>1273.43</v>
      </c>
      <c r="L1601">
        <v>27.23</v>
      </c>
    </row>
    <row r="1602" spans="1:12">
      <c r="A1602" s="1">
        <v>46030</v>
      </c>
      <c r="B1602" t="s">
        <v>11165</v>
      </c>
      <c r="C1602">
        <v>4</v>
      </c>
      <c r="D1602" t="str">
        <f>VLOOKUP(Tabela26[[#This Row],[EMP]],[1]LOJA!$A:$B,2,0)</f>
        <v>ADE</v>
      </c>
      <c r="E1602">
        <v>132</v>
      </c>
      <c r="F1602" t="s">
        <v>3660</v>
      </c>
      <c r="G1602" t="s">
        <v>3659</v>
      </c>
      <c r="H1602" t="s">
        <v>3408</v>
      </c>
      <c r="I1602">
        <v>5405</v>
      </c>
      <c r="J1602" s="3">
        <v>168.43</v>
      </c>
      <c r="K1602" s="3">
        <v>82.42</v>
      </c>
      <c r="L1602">
        <v>51.07</v>
      </c>
    </row>
    <row r="1603" spans="1:12">
      <c r="A1603" s="1">
        <v>46030</v>
      </c>
      <c r="B1603" t="s">
        <v>11164</v>
      </c>
      <c r="C1603">
        <v>4</v>
      </c>
      <c r="D1603" t="str">
        <f>VLOOKUP(Tabela26[[#This Row],[EMP]],[1]LOJA!$A:$B,2,0)</f>
        <v>ADE</v>
      </c>
      <c r="E1603">
        <v>132</v>
      </c>
      <c r="F1603" t="s">
        <v>3664</v>
      </c>
      <c r="G1603" t="s">
        <v>3663</v>
      </c>
      <c r="H1603" t="s">
        <v>3430</v>
      </c>
      <c r="I1603">
        <v>5102</v>
      </c>
      <c r="J1603" s="3">
        <v>710.8</v>
      </c>
      <c r="K1603" s="3">
        <v>401.22</v>
      </c>
      <c r="L1603">
        <v>43.55</v>
      </c>
    </row>
    <row r="1604" spans="1:12">
      <c r="A1604" s="1">
        <v>46030</v>
      </c>
      <c r="B1604" t="s">
        <v>11163</v>
      </c>
      <c r="C1604">
        <v>4</v>
      </c>
      <c r="D1604" t="str">
        <f>VLOOKUP(Tabela26[[#This Row],[EMP]],[1]LOJA!$A:$B,2,0)</f>
        <v>ADE</v>
      </c>
      <c r="E1604">
        <v>132</v>
      </c>
      <c r="F1604" t="s">
        <v>3677</v>
      </c>
      <c r="G1604" t="s">
        <v>3676</v>
      </c>
      <c r="H1604" t="s">
        <v>3679</v>
      </c>
      <c r="I1604">
        <v>5102</v>
      </c>
      <c r="J1604" s="3">
        <v>1095.0999999999999</v>
      </c>
      <c r="K1604" s="3">
        <v>588.26</v>
      </c>
      <c r="L1604">
        <v>46.28</v>
      </c>
    </row>
    <row r="1605" spans="1:12">
      <c r="A1605" s="1">
        <v>46030</v>
      </c>
      <c r="B1605" t="s">
        <v>11162</v>
      </c>
      <c r="C1605">
        <v>4</v>
      </c>
      <c r="D1605" t="str">
        <f>VLOOKUP(Tabela26[[#This Row],[EMP]],[1]LOJA!$A:$B,2,0)</f>
        <v>ADE</v>
      </c>
      <c r="E1605">
        <v>132</v>
      </c>
      <c r="F1605" t="s">
        <v>3670</v>
      </c>
      <c r="G1605" t="s">
        <v>3669</v>
      </c>
      <c r="H1605" t="s">
        <v>3430</v>
      </c>
      <c r="I1605">
        <v>5102</v>
      </c>
      <c r="J1605" s="3">
        <v>101.49</v>
      </c>
      <c r="K1605" s="3">
        <v>57.03</v>
      </c>
      <c r="L1605">
        <v>43.81</v>
      </c>
    </row>
    <row r="1606" spans="1:12">
      <c r="A1606" s="1">
        <v>46030</v>
      </c>
      <c r="B1606" t="s">
        <v>11161</v>
      </c>
      <c r="C1606">
        <v>4</v>
      </c>
      <c r="D1606" t="str">
        <f>VLOOKUP(Tabela26[[#This Row],[EMP]],[1]LOJA!$A:$B,2,0)</f>
        <v>ADE</v>
      </c>
      <c r="E1606">
        <v>132</v>
      </c>
      <c r="F1606" t="s">
        <v>11159</v>
      </c>
      <c r="G1606" t="s">
        <v>11158</v>
      </c>
      <c r="H1606" t="s">
        <v>3401</v>
      </c>
      <c r="I1606">
        <v>1411</v>
      </c>
      <c r="J1606" s="3">
        <v>-89.9</v>
      </c>
      <c r="K1606" s="3">
        <v>-52</v>
      </c>
      <c r="L1606">
        <v>42.16</v>
      </c>
    </row>
    <row r="1607" spans="1:12">
      <c r="A1607" s="1">
        <v>46030</v>
      </c>
      <c r="B1607" t="s">
        <v>11160</v>
      </c>
      <c r="C1607">
        <v>4</v>
      </c>
      <c r="D1607" t="str">
        <f>VLOOKUP(Tabela26[[#This Row],[EMP]],[1]LOJA!$A:$B,2,0)</f>
        <v>ADE</v>
      </c>
      <c r="E1607">
        <v>132</v>
      </c>
      <c r="F1607" t="s">
        <v>11159</v>
      </c>
      <c r="G1607" t="s">
        <v>11158</v>
      </c>
      <c r="H1607" t="s">
        <v>3401</v>
      </c>
      <c r="I1607">
        <v>1202</v>
      </c>
      <c r="J1607" s="3">
        <v>-19.600000000000001</v>
      </c>
      <c r="K1607" s="3">
        <v>-9.64</v>
      </c>
      <c r="L1607">
        <v>50.82</v>
      </c>
    </row>
    <row r="1608" spans="1:12">
      <c r="A1608" s="1">
        <v>46030</v>
      </c>
      <c r="B1608" t="s">
        <v>11157</v>
      </c>
      <c r="C1608">
        <v>4</v>
      </c>
      <c r="D1608" t="str">
        <f>VLOOKUP(Tabela26[[#This Row],[EMP]],[1]LOJA!$A:$B,2,0)</f>
        <v>ADE</v>
      </c>
      <c r="E1608">
        <v>132</v>
      </c>
      <c r="F1608" t="s">
        <v>6220</v>
      </c>
      <c r="G1608" t="s">
        <v>6219</v>
      </c>
      <c r="H1608" t="s">
        <v>3430</v>
      </c>
      <c r="I1608">
        <v>5102</v>
      </c>
      <c r="J1608" s="3">
        <v>150</v>
      </c>
      <c r="K1608" s="3">
        <v>84.5</v>
      </c>
      <c r="L1608">
        <v>43.67</v>
      </c>
    </row>
    <row r="1609" spans="1:12">
      <c r="A1609" s="1">
        <v>46030</v>
      </c>
      <c r="B1609" t="s">
        <v>11156</v>
      </c>
      <c r="C1609">
        <v>4</v>
      </c>
      <c r="D1609" t="str">
        <f>VLOOKUP(Tabela26[[#This Row],[EMP]],[1]LOJA!$A:$B,2,0)</f>
        <v>ADE</v>
      </c>
      <c r="E1609">
        <v>132</v>
      </c>
      <c r="F1609" t="s">
        <v>11155</v>
      </c>
      <c r="G1609" t="s">
        <v>11154</v>
      </c>
      <c r="H1609" t="s">
        <v>3408</v>
      </c>
      <c r="I1609">
        <v>5405</v>
      </c>
      <c r="J1609" s="3">
        <v>480</v>
      </c>
      <c r="K1609" s="3">
        <v>233.2</v>
      </c>
      <c r="L1609">
        <v>51.42</v>
      </c>
    </row>
    <row r="1610" spans="1:12">
      <c r="A1610" s="1">
        <v>46030</v>
      </c>
      <c r="B1610" t="s">
        <v>11153</v>
      </c>
      <c r="C1610">
        <v>4</v>
      </c>
      <c r="D1610" t="str">
        <f>VLOOKUP(Tabela26[[#This Row],[EMP]],[1]LOJA!$A:$B,2,0)</f>
        <v>ADE</v>
      </c>
      <c r="E1610">
        <v>132</v>
      </c>
      <c r="F1610" t="s">
        <v>3664</v>
      </c>
      <c r="G1610" t="s">
        <v>3663</v>
      </c>
      <c r="H1610" t="s">
        <v>3430</v>
      </c>
      <c r="I1610">
        <v>5102</v>
      </c>
      <c r="J1610" s="3">
        <v>220.7</v>
      </c>
      <c r="K1610" s="3">
        <v>95.78</v>
      </c>
      <c r="L1610">
        <v>56.6</v>
      </c>
    </row>
    <row r="1611" spans="1:12">
      <c r="A1611" s="1">
        <v>46030</v>
      </c>
      <c r="B1611" t="s">
        <v>11152</v>
      </c>
      <c r="C1611">
        <v>4</v>
      </c>
      <c r="D1611" t="str">
        <f>VLOOKUP(Tabela26[[#This Row],[EMP]],[1]LOJA!$A:$B,2,0)</f>
        <v>ADE</v>
      </c>
      <c r="E1611">
        <v>132</v>
      </c>
      <c r="F1611" t="s">
        <v>3657</v>
      </c>
      <c r="G1611" t="s">
        <v>3656</v>
      </c>
      <c r="H1611" t="s">
        <v>3537</v>
      </c>
      <c r="I1611">
        <v>5102</v>
      </c>
      <c r="J1611" s="3">
        <v>219.5</v>
      </c>
      <c r="K1611" s="3">
        <v>154</v>
      </c>
      <c r="L1611">
        <v>29.84</v>
      </c>
    </row>
    <row r="1612" spans="1:12">
      <c r="A1612" s="1">
        <v>46030</v>
      </c>
      <c r="B1612" t="s">
        <v>11151</v>
      </c>
      <c r="C1612">
        <v>13</v>
      </c>
      <c r="D1612" t="str">
        <f>VLOOKUP(Tabela26[[#This Row],[EMP]],[1]LOJA!$A:$B,2,0)</f>
        <v>CEILÂNDIA</v>
      </c>
      <c r="E1612">
        <v>86</v>
      </c>
      <c r="F1612" t="s">
        <v>9007</v>
      </c>
      <c r="G1612" t="s">
        <v>9006</v>
      </c>
      <c r="H1612" t="s">
        <v>3520</v>
      </c>
      <c r="I1612">
        <v>5405</v>
      </c>
      <c r="J1612" s="3">
        <v>130</v>
      </c>
      <c r="K1612" s="3">
        <v>67.33</v>
      </c>
      <c r="L1612">
        <v>48.21</v>
      </c>
    </row>
    <row r="1613" spans="1:12">
      <c r="A1613" s="1">
        <v>46030</v>
      </c>
      <c r="B1613" t="s">
        <v>11150</v>
      </c>
      <c r="C1613">
        <v>13</v>
      </c>
      <c r="D1613" t="str">
        <f>VLOOKUP(Tabela26[[#This Row],[EMP]],[1]LOJA!$A:$B,2,0)</f>
        <v>CEILÂNDIA</v>
      </c>
      <c r="E1613">
        <v>33</v>
      </c>
      <c r="F1613" t="s">
        <v>4767</v>
      </c>
      <c r="G1613" t="s">
        <v>4766</v>
      </c>
      <c r="H1613" t="s">
        <v>3408</v>
      </c>
      <c r="I1613">
        <v>5405</v>
      </c>
      <c r="J1613" s="3">
        <v>292</v>
      </c>
      <c r="K1613" s="3">
        <v>160.49</v>
      </c>
      <c r="L1613">
        <v>45.04</v>
      </c>
    </row>
    <row r="1614" spans="1:12">
      <c r="A1614" s="1">
        <v>46030</v>
      </c>
      <c r="B1614" t="s">
        <v>11149</v>
      </c>
      <c r="C1614">
        <v>13</v>
      </c>
      <c r="D1614" t="str">
        <f>VLOOKUP(Tabela26[[#This Row],[EMP]],[1]LOJA!$A:$B,2,0)</f>
        <v>CEILÂNDIA</v>
      </c>
      <c r="E1614">
        <v>86</v>
      </c>
      <c r="F1614" t="s">
        <v>3615</v>
      </c>
      <c r="G1614" t="s">
        <v>3614</v>
      </c>
      <c r="H1614" t="s">
        <v>3426</v>
      </c>
      <c r="I1614">
        <v>5102</v>
      </c>
      <c r="J1614" s="3">
        <v>38.4</v>
      </c>
      <c r="K1614" s="3">
        <v>20.66</v>
      </c>
      <c r="L1614">
        <v>46.2</v>
      </c>
    </row>
    <row r="1615" spans="1:12">
      <c r="A1615" s="1">
        <v>46030</v>
      </c>
      <c r="B1615" t="s">
        <v>11148</v>
      </c>
      <c r="C1615">
        <v>13</v>
      </c>
      <c r="D1615" t="str">
        <f>VLOOKUP(Tabela26[[#This Row],[EMP]],[1]LOJA!$A:$B,2,0)</f>
        <v>CEILÂNDIA</v>
      </c>
      <c r="E1615">
        <v>86</v>
      </c>
      <c r="F1615" t="s">
        <v>4094</v>
      </c>
      <c r="G1615" t="s">
        <v>4093</v>
      </c>
      <c r="H1615" t="s">
        <v>11147</v>
      </c>
      <c r="I1615">
        <v>5405</v>
      </c>
      <c r="J1615" s="3">
        <v>146.81</v>
      </c>
      <c r="K1615" s="3">
        <v>73.319999999999993</v>
      </c>
      <c r="L1615">
        <v>50.06</v>
      </c>
    </row>
    <row r="1616" spans="1:12">
      <c r="A1616" s="1">
        <v>46030</v>
      </c>
      <c r="B1616" t="s">
        <v>11146</v>
      </c>
      <c r="C1616">
        <v>13</v>
      </c>
      <c r="D1616" t="str">
        <f>VLOOKUP(Tabela26[[#This Row],[EMP]],[1]LOJA!$A:$B,2,0)</f>
        <v>CEILÂNDIA</v>
      </c>
      <c r="E1616">
        <v>86</v>
      </c>
      <c r="F1616" t="s">
        <v>4358</v>
      </c>
      <c r="G1616" t="s">
        <v>4357</v>
      </c>
      <c r="H1616" t="s">
        <v>3401</v>
      </c>
      <c r="I1616">
        <v>5102</v>
      </c>
      <c r="J1616" s="3">
        <v>19</v>
      </c>
      <c r="K1616" s="3">
        <v>8.32</v>
      </c>
      <c r="L1616">
        <v>56.21</v>
      </c>
    </row>
    <row r="1617" spans="1:12">
      <c r="A1617" s="1">
        <v>46030</v>
      </c>
      <c r="B1617" t="s">
        <v>11145</v>
      </c>
      <c r="C1617">
        <v>13</v>
      </c>
      <c r="D1617" t="str">
        <f>VLOOKUP(Tabela26[[#This Row],[EMP]],[1]LOJA!$A:$B,2,0)</f>
        <v>CEILÂNDIA</v>
      </c>
      <c r="E1617">
        <v>86</v>
      </c>
      <c r="F1617" t="s">
        <v>6595</v>
      </c>
      <c r="G1617" t="s">
        <v>6594</v>
      </c>
      <c r="H1617" t="s">
        <v>3408</v>
      </c>
      <c r="I1617">
        <v>5102</v>
      </c>
      <c r="J1617" s="3">
        <v>62.5</v>
      </c>
      <c r="K1617" s="3">
        <v>36.020000000000003</v>
      </c>
      <c r="L1617">
        <v>42.37</v>
      </c>
    </row>
    <row r="1618" spans="1:12">
      <c r="A1618" s="1">
        <v>46030</v>
      </c>
      <c r="B1618" t="s">
        <v>11144</v>
      </c>
      <c r="C1618">
        <v>13</v>
      </c>
      <c r="D1618" t="str">
        <f>VLOOKUP(Tabela26[[#This Row],[EMP]],[1]LOJA!$A:$B,2,0)</f>
        <v>CEILÂNDIA</v>
      </c>
      <c r="E1618">
        <v>86</v>
      </c>
      <c r="F1618" t="s">
        <v>4346</v>
      </c>
      <c r="G1618" t="s">
        <v>4345</v>
      </c>
      <c r="H1618" t="s">
        <v>3408</v>
      </c>
      <c r="I1618">
        <v>5405</v>
      </c>
      <c r="J1618" s="3">
        <v>335</v>
      </c>
      <c r="K1618" s="3">
        <v>177.18</v>
      </c>
      <c r="L1618">
        <v>47.11</v>
      </c>
    </row>
    <row r="1619" spans="1:12">
      <c r="A1619" s="1">
        <v>46030</v>
      </c>
      <c r="B1619" t="s">
        <v>11143</v>
      </c>
      <c r="C1619">
        <v>13</v>
      </c>
      <c r="D1619" t="str">
        <f>VLOOKUP(Tabela26[[#This Row],[EMP]],[1]LOJA!$A:$B,2,0)</f>
        <v>CEILÂNDIA</v>
      </c>
      <c r="E1619">
        <v>86</v>
      </c>
      <c r="F1619" t="s">
        <v>4992</v>
      </c>
      <c r="G1619" t="s">
        <v>4991</v>
      </c>
      <c r="H1619" t="s">
        <v>3520</v>
      </c>
      <c r="I1619">
        <v>5405</v>
      </c>
      <c r="J1619" s="3">
        <v>491</v>
      </c>
      <c r="K1619" s="3">
        <v>282.61</v>
      </c>
      <c r="L1619">
        <v>42.44</v>
      </c>
    </row>
    <row r="1620" spans="1:12">
      <c r="A1620" s="1">
        <v>46030</v>
      </c>
      <c r="B1620" t="s">
        <v>11142</v>
      </c>
      <c r="C1620">
        <v>13</v>
      </c>
      <c r="D1620" t="str">
        <f>VLOOKUP(Tabela26[[#This Row],[EMP]],[1]LOJA!$A:$B,2,0)</f>
        <v>CEILÂNDIA</v>
      </c>
      <c r="E1620">
        <v>86</v>
      </c>
      <c r="F1620" t="s">
        <v>9007</v>
      </c>
      <c r="G1620" t="s">
        <v>9006</v>
      </c>
      <c r="H1620" t="s">
        <v>3520</v>
      </c>
      <c r="I1620">
        <v>5405</v>
      </c>
      <c r="J1620" s="3">
        <v>69</v>
      </c>
      <c r="K1620" s="3">
        <v>33.31</v>
      </c>
      <c r="L1620">
        <v>51.72</v>
      </c>
    </row>
    <row r="1621" spans="1:12">
      <c r="A1621" s="1">
        <v>46030</v>
      </c>
      <c r="B1621" t="s">
        <v>11141</v>
      </c>
      <c r="C1621">
        <v>13</v>
      </c>
      <c r="D1621" t="str">
        <f>VLOOKUP(Tabela26[[#This Row],[EMP]],[1]LOJA!$A:$B,2,0)</f>
        <v>CEILÂNDIA</v>
      </c>
      <c r="E1621">
        <v>33</v>
      </c>
      <c r="F1621" t="s">
        <v>11140</v>
      </c>
      <c r="G1621" t="s">
        <v>11139</v>
      </c>
      <c r="H1621" t="s">
        <v>3401</v>
      </c>
      <c r="I1621">
        <v>5102</v>
      </c>
      <c r="J1621" s="3">
        <v>140</v>
      </c>
      <c r="K1621" s="3">
        <v>78.2</v>
      </c>
      <c r="L1621">
        <v>44.14</v>
      </c>
    </row>
    <row r="1622" spans="1:12">
      <c r="A1622" s="1">
        <v>46030</v>
      </c>
      <c r="B1622" t="s">
        <v>11138</v>
      </c>
      <c r="C1622">
        <v>13</v>
      </c>
      <c r="D1622" t="str">
        <f>VLOOKUP(Tabela26[[#This Row],[EMP]],[1]LOJA!$A:$B,2,0)</f>
        <v>CEILÂNDIA</v>
      </c>
      <c r="E1622">
        <v>86</v>
      </c>
      <c r="F1622" t="s">
        <v>3403</v>
      </c>
      <c r="G1622" t="s">
        <v>3402</v>
      </c>
      <c r="H1622" t="s">
        <v>3401</v>
      </c>
      <c r="I1622">
        <v>5405</v>
      </c>
      <c r="J1622" s="3">
        <v>116</v>
      </c>
      <c r="K1622" s="3">
        <v>56.07</v>
      </c>
      <c r="L1622">
        <v>51.66</v>
      </c>
    </row>
    <row r="1623" spans="1:12">
      <c r="A1623" s="1">
        <v>46030</v>
      </c>
      <c r="B1623" t="s">
        <v>11137</v>
      </c>
      <c r="C1623">
        <v>13</v>
      </c>
      <c r="D1623" t="str">
        <f>VLOOKUP(Tabela26[[#This Row],[EMP]],[1]LOJA!$A:$B,2,0)</f>
        <v>CEILÂNDIA</v>
      </c>
      <c r="E1623">
        <v>33</v>
      </c>
      <c r="F1623" t="s">
        <v>11136</v>
      </c>
      <c r="G1623" t="s">
        <v>11135</v>
      </c>
      <c r="H1623" t="s">
        <v>3401</v>
      </c>
      <c r="I1623">
        <v>5405</v>
      </c>
      <c r="J1623" s="3">
        <v>120</v>
      </c>
      <c r="K1623" s="3">
        <v>68.09</v>
      </c>
      <c r="L1623">
        <v>43.26</v>
      </c>
    </row>
    <row r="1624" spans="1:12">
      <c r="A1624" s="1">
        <v>46030</v>
      </c>
      <c r="B1624" t="s">
        <v>11134</v>
      </c>
      <c r="C1624">
        <v>13</v>
      </c>
      <c r="D1624" t="str">
        <f>VLOOKUP(Tabela26[[#This Row],[EMP]],[1]LOJA!$A:$B,2,0)</f>
        <v>CEILÂNDIA</v>
      </c>
      <c r="E1624">
        <v>86</v>
      </c>
      <c r="F1624" t="s">
        <v>11133</v>
      </c>
      <c r="G1624" t="s">
        <v>3402</v>
      </c>
      <c r="H1624" t="s">
        <v>3408</v>
      </c>
      <c r="I1624">
        <v>5405</v>
      </c>
      <c r="J1624" s="3">
        <v>100</v>
      </c>
      <c r="K1624" s="3">
        <v>53.65</v>
      </c>
      <c r="L1624">
        <v>46.35</v>
      </c>
    </row>
    <row r="1625" spans="1:12">
      <c r="A1625" s="1">
        <v>46030</v>
      </c>
      <c r="B1625" t="s">
        <v>11132</v>
      </c>
      <c r="C1625">
        <v>13</v>
      </c>
      <c r="D1625" t="str">
        <f>VLOOKUP(Tabela26[[#This Row],[EMP]],[1]LOJA!$A:$B,2,0)</f>
        <v>CEILÂNDIA</v>
      </c>
      <c r="E1625">
        <v>86</v>
      </c>
      <c r="F1625" t="s">
        <v>3403</v>
      </c>
      <c r="G1625" t="s">
        <v>3402</v>
      </c>
      <c r="H1625" t="s">
        <v>3408</v>
      </c>
      <c r="I1625">
        <v>5405</v>
      </c>
      <c r="J1625" s="3">
        <v>465</v>
      </c>
      <c r="K1625" s="3">
        <v>225.18</v>
      </c>
      <c r="L1625">
        <v>51.57</v>
      </c>
    </row>
    <row r="1626" spans="1:12">
      <c r="A1626" s="1">
        <v>46030</v>
      </c>
      <c r="B1626" t="s">
        <v>11131</v>
      </c>
      <c r="C1626">
        <v>13</v>
      </c>
      <c r="D1626" t="str">
        <f>VLOOKUP(Tabela26[[#This Row],[EMP]],[1]LOJA!$A:$B,2,0)</f>
        <v>CEILÂNDIA</v>
      </c>
      <c r="E1626">
        <v>86</v>
      </c>
      <c r="F1626" t="s">
        <v>3615</v>
      </c>
      <c r="G1626" t="s">
        <v>3614</v>
      </c>
      <c r="H1626" t="s">
        <v>3426</v>
      </c>
      <c r="I1626">
        <v>5102</v>
      </c>
      <c r="J1626" s="3">
        <v>112.3</v>
      </c>
      <c r="K1626" s="3">
        <v>71.510000000000005</v>
      </c>
      <c r="L1626">
        <v>36.32</v>
      </c>
    </row>
    <row r="1627" spans="1:12">
      <c r="A1627" s="1">
        <v>46030</v>
      </c>
      <c r="B1627" t="s">
        <v>11130</v>
      </c>
      <c r="C1627">
        <v>13</v>
      </c>
      <c r="D1627" t="str">
        <f>VLOOKUP(Tabela26[[#This Row],[EMP]],[1]LOJA!$A:$B,2,0)</f>
        <v>CEILÂNDIA</v>
      </c>
      <c r="E1627">
        <v>86</v>
      </c>
      <c r="F1627" t="s">
        <v>11129</v>
      </c>
      <c r="G1627" t="s">
        <v>3402</v>
      </c>
      <c r="H1627" t="s">
        <v>3408</v>
      </c>
      <c r="I1627">
        <v>5102</v>
      </c>
      <c r="J1627" s="3">
        <v>10</v>
      </c>
      <c r="K1627" s="3">
        <v>6.16</v>
      </c>
      <c r="L1627">
        <v>38.4</v>
      </c>
    </row>
    <row r="1628" spans="1:12">
      <c r="A1628" s="1">
        <v>46030</v>
      </c>
      <c r="B1628" t="s">
        <v>11128</v>
      </c>
      <c r="C1628">
        <v>13</v>
      </c>
      <c r="D1628" t="str">
        <f>VLOOKUP(Tabela26[[#This Row],[EMP]],[1]LOJA!$A:$B,2,0)</f>
        <v>CEILÂNDIA</v>
      </c>
      <c r="E1628">
        <v>86</v>
      </c>
      <c r="F1628" t="s">
        <v>3403</v>
      </c>
      <c r="G1628" t="s">
        <v>3402</v>
      </c>
      <c r="H1628" t="s">
        <v>3401</v>
      </c>
      <c r="I1628">
        <v>5102</v>
      </c>
      <c r="J1628" s="3">
        <v>30</v>
      </c>
      <c r="K1628" s="3">
        <v>18.48</v>
      </c>
      <c r="L1628">
        <v>38.4</v>
      </c>
    </row>
    <row r="1629" spans="1:12">
      <c r="A1629" s="1">
        <v>46030</v>
      </c>
      <c r="B1629" t="s">
        <v>11127</v>
      </c>
      <c r="C1629">
        <v>13</v>
      </c>
      <c r="D1629" t="str">
        <f>VLOOKUP(Tabela26[[#This Row],[EMP]],[1]LOJA!$A:$B,2,0)</f>
        <v>CEILÂNDIA</v>
      </c>
      <c r="E1629">
        <v>86</v>
      </c>
      <c r="F1629" t="s">
        <v>3597</v>
      </c>
      <c r="G1629" t="s">
        <v>3596</v>
      </c>
      <c r="H1629" t="s">
        <v>3408</v>
      </c>
      <c r="I1629">
        <v>5405</v>
      </c>
      <c r="J1629" s="3">
        <v>135</v>
      </c>
      <c r="K1629" s="3">
        <v>73.180000000000007</v>
      </c>
      <c r="L1629">
        <v>45.79</v>
      </c>
    </row>
    <row r="1630" spans="1:12">
      <c r="A1630" s="1">
        <v>46030</v>
      </c>
      <c r="B1630" t="s">
        <v>11126</v>
      </c>
      <c r="C1630">
        <v>13</v>
      </c>
      <c r="D1630" t="str">
        <f>VLOOKUP(Tabela26[[#This Row],[EMP]],[1]LOJA!$A:$B,2,0)</f>
        <v>CEILÂNDIA</v>
      </c>
      <c r="E1630">
        <v>86</v>
      </c>
      <c r="F1630" t="s">
        <v>4346</v>
      </c>
      <c r="G1630" t="s">
        <v>4345</v>
      </c>
      <c r="H1630" t="s">
        <v>3408</v>
      </c>
      <c r="I1630">
        <v>5102</v>
      </c>
      <c r="J1630" s="3">
        <v>96</v>
      </c>
      <c r="K1630" s="3">
        <v>54.06</v>
      </c>
      <c r="L1630">
        <v>43.69</v>
      </c>
    </row>
    <row r="1631" spans="1:12">
      <c r="A1631" s="1">
        <v>46030</v>
      </c>
      <c r="B1631" t="s">
        <v>11125</v>
      </c>
      <c r="C1631">
        <v>13</v>
      </c>
      <c r="D1631" t="str">
        <f>VLOOKUP(Tabela26[[#This Row],[EMP]],[1]LOJA!$A:$B,2,0)</f>
        <v>CEILÂNDIA</v>
      </c>
      <c r="E1631">
        <v>86</v>
      </c>
      <c r="F1631" t="s">
        <v>3597</v>
      </c>
      <c r="G1631" t="s">
        <v>3596</v>
      </c>
      <c r="H1631" t="s">
        <v>3408</v>
      </c>
      <c r="I1631">
        <v>5102</v>
      </c>
      <c r="J1631" s="3">
        <v>349</v>
      </c>
      <c r="K1631" s="3">
        <v>205.45</v>
      </c>
      <c r="L1631">
        <v>41.13</v>
      </c>
    </row>
    <row r="1632" spans="1:12">
      <c r="A1632" s="1">
        <v>46030</v>
      </c>
      <c r="B1632" t="s">
        <v>11124</v>
      </c>
      <c r="C1632">
        <v>13</v>
      </c>
      <c r="D1632" t="str">
        <f>VLOOKUP(Tabela26[[#This Row],[EMP]],[1]LOJA!$A:$B,2,0)</f>
        <v>CEILÂNDIA</v>
      </c>
      <c r="E1632">
        <v>33</v>
      </c>
      <c r="F1632" t="s">
        <v>4109</v>
      </c>
      <c r="G1632" t="s">
        <v>4108</v>
      </c>
      <c r="H1632" t="s">
        <v>3426</v>
      </c>
      <c r="I1632">
        <v>5102</v>
      </c>
      <c r="J1632" s="3">
        <v>184.3</v>
      </c>
      <c r="K1632" s="3">
        <v>112.96</v>
      </c>
      <c r="L1632">
        <v>38.71</v>
      </c>
    </row>
    <row r="1633" spans="1:12">
      <c r="A1633" s="1">
        <v>46030</v>
      </c>
      <c r="B1633" t="s">
        <v>11123</v>
      </c>
      <c r="C1633">
        <v>13</v>
      </c>
      <c r="D1633" t="str">
        <f>VLOOKUP(Tabela26[[#This Row],[EMP]],[1]LOJA!$A:$B,2,0)</f>
        <v>CEILÂNDIA</v>
      </c>
      <c r="E1633">
        <v>86</v>
      </c>
      <c r="F1633" t="s">
        <v>3406</v>
      </c>
      <c r="G1633" t="s">
        <v>3405</v>
      </c>
      <c r="H1633" t="s">
        <v>3408</v>
      </c>
      <c r="I1633">
        <v>5405</v>
      </c>
      <c r="J1633" s="3">
        <v>310</v>
      </c>
      <c r="K1633" s="3">
        <v>168.35</v>
      </c>
      <c r="L1633">
        <v>45.69</v>
      </c>
    </row>
    <row r="1634" spans="1:12">
      <c r="A1634" s="1">
        <v>46030</v>
      </c>
      <c r="B1634" t="s">
        <v>11122</v>
      </c>
      <c r="C1634">
        <v>13</v>
      </c>
      <c r="D1634" t="str">
        <f>VLOOKUP(Tabela26[[#This Row],[EMP]],[1]LOJA!$A:$B,2,0)</f>
        <v>CEILÂNDIA</v>
      </c>
      <c r="E1634">
        <v>86</v>
      </c>
      <c r="F1634" t="s">
        <v>3403</v>
      </c>
      <c r="G1634" t="s">
        <v>3402</v>
      </c>
      <c r="H1634" t="s">
        <v>3401</v>
      </c>
      <c r="I1634">
        <v>5102</v>
      </c>
      <c r="J1634" s="3">
        <v>50</v>
      </c>
      <c r="K1634" s="3">
        <v>26.91</v>
      </c>
      <c r="L1634">
        <v>46.18</v>
      </c>
    </row>
    <row r="1635" spans="1:12">
      <c r="A1635" s="1">
        <v>46030</v>
      </c>
      <c r="B1635" t="s">
        <v>11121</v>
      </c>
      <c r="C1635">
        <v>6</v>
      </c>
      <c r="D1635" t="str">
        <f>VLOOKUP(Tabela26[[#This Row],[EMP]],[1]LOJA!$A:$B,2,0)</f>
        <v>GAMA</v>
      </c>
      <c r="E1635">
        <v>245</v>
      </c>
      <c r="F1635" t="s">
        <v>3403</v>
      </c>
      <c r="G1635" t="s">
        <v>3402</v>
      </c>
      <c r="H1635" t="s">
        <v>3401</v>
      </c>
      <c r="I1635">
        <v>5405</v>
      </c>
      <c r="J1635" s="3">
        <v>43</v>
      </c>
      <c r="K1635" s="3">
        <v>20.74</v>
      </c>
      <c r="L1635">
        <v>51.77</v>
      </c>
    </row>
    <row r="1636" spans="1:12">
      <c r="A1636" s="1">
        <v>46030</v>
      </c>
      <c r="B1636" t="s">
        <v>11120</v>
      </c>
      <c r="C1636">
        <v>6</v>
      </c>
      <c r="D1636" t="str">
        <f>VLOOKUP(Tabela26[[#This Row],[EMP]],[1]LOJA!$A:$B,2,0)</f>
        <v>GAMA</v>
      </c>
      <c r="E1636">
        <v>245</v>
      </c>
      <c r="F1636" t="s">
        <v>3403</v>
      </c>
      <c r="G1636" t="s">
        <v>3402</v>
      </c>
      <c r="H1636" t="s">
        <v>3401</v>
      </c>
      <c r="I1636">
        <v>5102</v>
      </c>
      <c r="J1636" s="3">
        <v>64.5</v>
      </c>
      <c r="K1636" s="3">
        <v>28.52</v>
      </c>
      <c r="L1636">
        <v>55.78</v>
      </c>
    </row>
    <row r="1637" spans="1:12">
      <c r="A1637" s="1">
        <v>46030</v>
      </c>
      <c r="B1637" t="s">
        <v>11119</v>
      </c>
      <c r="C1637">
        <v>6</v>
      </c>
      <c r="D1637" t="str">
        <f>VLOOKUP(Tabela26[[#This Row],[EMP]],[1]LOJA!$A:$B,2,0)</f>
        <v>GAMA</v>
      </c>
      <c r="E1637">
        <v>226</v>
      </c>
      <c r="F1637" t="s">
        <v>3403</v>
      </c>
      <c r="G1637" t="s">
        <v>3402</v>
      </c>
      <c r="H1637" t="s">
        <v>3401</v>
      </c>
      <c r="I1637">
        <v>5102</v>
      </c>
      <c r="J1637" s="3">
        <v>27</v>
      </c>
      <c r="K1637" s="3">
        <v>15.4</v>
      </c>
      <c r="L1637">
        <v>42.96</v>
      </c>
    </row>
    <row r="1638" spans="1:12">
      <c r="A1638" s="1">
        <v>46030</v>
      </c>
      <c r="B1638" t="s">
        <v>11118</v>
      </c>
      <c r="C1638">
        <v>6</v>
      </c>
      <c r="D1638" t="str">
        <f>VLOOKUP(Tabela26[[#This Row],[EMP]],[1]LOJA!$A:$B,2,0)</f>
        <v>GAMA</v>
      </c>
      <c r="E1638">
        <v>226</v>
      </c>
      <c r="F1638" t="s">
        <v>11117</v>
      </c>
      <c r="G1638" t="s">
        <v>11116</v>
      </c>
      <c r="H1638" t="s">
        <v>3401</v>
      </c>
      <c r="I1638">
        <v>5405</v>
      </c>
      <c r="J1638" s="3">
        <v>230</v>
      </c>
      <c r="K1638" s="3">
        <v>112.9</v>
      </c>
      <c r="L1638">
        <v>50.91</v>
      </c>
    </row>
    <row r="1639" spans="1:12">
      <c r="A1639" s="1">
        <v>46030</v>
      </c>
      <c r="B1639" t="s">
        <v>11115</v>
      </c>
      <c r="C1639">
        <v>6</v>
      </c>
      <c r="D1639" t="str">
        <f>VLOOKUP(Tabela26[[#This Row],[EMP]],[1]LOJA!$A:$B,2,0)</f>
        <v>GAMA</v>
      </c>
      <c r="E1639">
        <v>226</v>
      </c>
      <c r="F1639" t="s">
        <v>4204</v>
      </c>
      <c r="G1639" t="s">
        <v>4203</v>
      </c>
      <c r="H1639" t="s">
        <v>3401</v>
      </c>
      <c r="I1639">
        <v>6108</v>
      </c>
      <c r="J1639" s="3">
        <v>70</v>
      </c>
      <c r="K1639" s="3">
        <v>43.66</v>
      </c>
      <c r="L1639">
        <v>37.630000000000003</v>
      </c>
    </row>
    <row r="1640" spans="1:12">
      <c r="A1640" s="1">
        <v>46030</v>
      </c>
      <c r="B1640" t="s">
        <v>11114</v>
      </c>
      <c r="C1640">
        <v>6</v>
      </c>
      <c r="D1640" t="str">
        <f>VLOOKUP(Tabela26[[#This Row],[EMP]],[1]LOJA!$A:$B,2,0)</f>
        <v>GAMA</v>
      </c>
      <c r="E1640">
        <v>245</v>
      </c>
      <c r="F1640" t="s">
        <v>3403</v>
      </c>
      <c r="G1640" t="s">
        <v>3402</v>
      </c>
      <c r="H1640" t="s">
        <v>3401</v>
      </c>
      <c r="I1640">
        <v>5405</v>
      </c>
      <c r="J1640" s="3">
        <v>99.53</v>
      </c>
      <c r="K1640" s="3">
        <v>50.12</v>
      </c>
      <c r="L1640">
        <v>49.64</v>
      </c>
    </row>
    <row r="1641" spans="1:12">
      <c r="A1641" s="1">
        <v>46030</v>
      </c>
      <c r="B1641" t="s">
        <v>11113</v>
      </c>
      <c r="C1641">
        <v>6</v>
      </c>
      <c r="D1641" t="str">
        <f>VLOOKUP(Tabela26[[#This Row],[EMP]],[1]LOJA!$A:$B,2,0)</f>
        <v>GAMA</v>
      </c>
      <c r="E1641">
        <v>245</v>
      </c>
      <c r="F1641" t="s">
        <v>4314</v>
      </c>
      <c r="G1641" t="s">
        <v>4313</v>
      </c>
      <c r="H1641" t="s">
        <v>3401</v>
      </c>
      <c r="I1641">
        <v>5405</v>
      </c>
      <c r="J1641" s="3">
        <v>130</v>
      </c>
      <c r="K1641" s="3">
        <v>66.52</v>
      </c>
      <c r="L1641">
        <v>48.83</v>
      </c>
    </row>
    <row r="1642" spans="1:12">
      <c r="A1642" s="1">
        <v>46030</v>
      </c>
      <c r="B1642" t="s">
        <v>11112</v>
      </c>
      <c r="C1642">
        <v>6</v>
      </c>
      <c r="D1642" t="str">
        <f>VLOOKUP(Tabela26[[#This Row],[EMP]],[1]LOJA!$A:$B,2,0)</f>
        <v>GAMA</v>
      </c>
      <c r="E1642">
        <v>245</v>
      </c>
      <c r="F1642" t="s">
        <v>7521</v>
      </c>
      <c r="G1642" t="s">
        <v>7520</v>
      </c>
      <c r="H1642" t="s">
        <v>3401</v>
      </c>
      <c r="I1642">
        <v>5405</v>
      </c>
      <c r="J1642" s="3">
        <v>64</v>
      </c>
      <c r="K1642" s="3">
        <v>32.78</v>
      </c>
      <c r="L1642">
        <v>48.78</v>
      </c>
    </row>
    <row r="1643" spans="1:12">
      <c r="A1643" s="1">
        <v>46030</v>
      </c>
      <c r="B1643" t="s">
        <v>11111</v>
      </c>
      <c r="C1643">
        <v>6</v>
      </c>
      <c r="D1643" t="str">
        <f>VLOOKUP(Tabela26[[#This Row],[EMP]],[1]LOJA!$A:$B,2,0)</f>
        <v>GAMA</v>
      </c>
      <c r="E1643">
        <v>245</v>
      </c>
      <c r="F1643" t="s">
        <v>11110</v>
      </c>
      <c r="G1643" t="s">
        <v>11109</v>
      </c>
      <c r="H1643" t="s">
        <v>3401</v>
      </c>
      <c r="I1643">
        <v>5405</v>
      </c>
      <c r="J1643" s="3">
        <v>164</v>
      </c>
      <c r="K1643" s="3">
        <v>83.15</v>
      </c>
      <c r="L1643">
        <v>49.3</v>
      </c>
    </row>
    <row r="1644" spans="1:12">
      <c r="A1644" s="1">
        <v>46030</v>
      </c>
      <c r="B1644" t="s">
        <v>11108</v>
      </c>
      <c r="C1644">
        <v>6</v>
      </c>
      <c r="D1644" t="str">
        <f>VLOOKUP(Tabela26[[#This Row],[EMP]],[1]LOJA!$A:$B,2,0)</f>
        <v>GAMA</v>
      </c>
      <c r="E1644">
        <v>245</v>
      </c>
      <c r="F1644" t="s">
        <v>5509</v>
      </c>
      <c r="G1644" t="s">
        <v>5508</v>
      </c>
      <c r="H1644" t="s">
        <v>3426</v>
      </c>
      <c r="I1644">
        <v>5102</v>
      </c>
      <c r="J1644" s="3">
        <v>175</v>
      </c>
      <c r="K1644" s="3">
        <v>104.2</v>
      </c>
      <c r="L1644">
        <v>40.46</v>
      </c>
    </row>
    <row r="1645" spans="1:12">
      <c r="A1645" s="1">
        <v>46030</v>
      </c>
      <c r="B1645" t="s">
        <v>11107</v>
      </c>
      <c r="C1645">
        <v>6</v>
      </c>
      <c r="D1645" t="str">
        <f>VLOOKUP(Tabela26[[#This Row],[EMP]],[1]LOJA!$A:$B,2,0)</f>
        <v>GAMA</v>
      </c>
      <c r="E1645">
        <v>226</v>
      </c>
      <c r="F1645" t="s">
        <v>3403</v>
      </c>
      <c r="G1645" t="s">
        <v>3402</v>
      </c>
      <c r="H1645" t="s">
        <v>3401</v>
      </c>
      <c r="I1645">
        <v>5405</v>
      </c>
      <c r="J1645" s="3">
        <v>129.99</v>
      </c>
      <c r="K1645" s="3">
        <v>64.91</v>
      </c>
      <c r="L1645">
        <v>50.07</v>
      </c>
    </row>
    <row r="1646" spans="1:12">
      <c r="A1646" s="1">
        <v>46030</v>
      </c>
      <c r="B1646" t="s">
        <v>11106</v>
      </c>
      <c r="C1646">
        <v>6</v>
      </c>
      <c r="D1646" t="str">
        <f>VLOOKUP(Tabela26[[#This Row],[EMP]],[1]LOJA!$A:$B,2,0)</f>
        <v>GAMA</v>
      </c>
      <c r="E1646">
        <v>226</v>
      </c>
      <c r="F1646" t="s">
        <v>11105</v>
      </c>
      <c r="G1646" t="s">
        <v>3402</v>
      </c>
      <c r="H1646" t="s">
        <v>3401</v>
      </c>
      <c r="I1646">
        <v>5102</v>
      </c>
      <c r="J1646" s="3">
        <v>211.42</v>
      </c>
      <c r="K1646" s="3">
        <v>146.82</v>
      </c>
      <c r="L1646">
        <v>30.56</v>
      </c>
    </row>
    <row r="1647" spans="1:12">
      <c r="A1647" s="1">
        <v>46030</v>
      </c>
      <c r="B1647" t="s">
        <v>11104</v>
      </c>
      <c r="C1647">
        <v>6</v>
      </c>
      <c r="D1647" t="str">
        <f>VLOOKUP(Tabela26[[#This Row],[EMP]],[1]LOJA!$A:$B,2,0)</f>
        <v>GAMA</v>
      </c>
      <c r="E1647">
        <v>226</v>
      </c>
      <c r="F1647" t="s">
        <v>3565</v>
      </c>
      <c r="G1647" t="s">
        <v>3564</v>
      </c>
      <c r="H1647" t="s">
        <v>3401</v>
      </c>
      <c r="I1647">
        <v>5405</v>
      </c>
      <c r="J1647" s="3">
        <v>35.090000000000003</v>
      </c>
      <c r="K1647" s="3">
        <v>17.149999999999999</v>
      </c>
      <c r="L1647">
        <v>51.13</v>
      </c>
    </row>
    <row r="1648" spans="1:12">
      <c r="A1648" s="1">
        <v>46030</v>
      </c>
      <c r="B1648" t="s">
        <v>11103</v>
      </c>
      <c r="C1648">
        <v>6</v>
      </c>
      <c r="D1648" t="str">
        <f>VLOOKUP(Tabela26[[#This Row],[EMP]],[1]LOJA!$A:$B,2,0)</f>
        <v>GAMA</v>
      </c>
      <c r="E1648">
        <v>226</v>
      </c>
      <c r="F1648" t="s">
        <v>7966</v>
      </c>
      <c r="G1648" t="s">
        <v>3402</v>
      </c>
      <c r="H1648" t="s">
        <v>3401</v>
      </c>
      <c r="I1648">
        <v>5405</v>
      </c>
      <c r="J1648" s="3">
        <v>165</v>
      </c>
      <c r="K1648" s="3">
        <v>84.04</v>
      </c>
      <c r="L1648">
        <v>49.07</v>
      </c>
    </row>
    <row r="1649" spans="1:12">
      <c r="A1649" s="1">
        <v>46030</v>
      </c>
      <c r="B1649" t="s">
        <v>11102</v>
      </c>
      <c r="C1649">
        <v>6</v>
      </c>
      <c r="D1649" t="str">
        <f>VLOOKUP(Tabela26[[#This Row],[EMP]],[1]LOJA!$A:$B,2,0)</f>
        <v>GAMA</v>
      </c>
      <c r="E1649">
        <v>245</v>
      </c>
      <c r="F1649" t="s">
        <v>4966</v>
      </c>
      <c r="G1649" t="s">
        <v>4965</v>
      </c>
      <c r="H1649" t="s">
        <v>3408</v>
      </c>
      <c r="I1649">
        <v>5405</v>
      </c>
      <c r="J1649" s="3">
        <v>302</v>
      </c>
      <c r="K1649" s="3">
        <v>144.54</v>
      </c>
      <c r="L1649">
        <v>52.14</v>
      </c>
    </row>
    <row r="1650" spans="1:12">
      <c r="A1650" s="1">
        <v>46030</v>
      </c>
      <c r="B1650" t="s">
        <v>11101</v>
      </c>
      <c r="C1650">
        <v>4</v>
      </c>
      <c r="D1650" t="str">
        <f>VLOOKUP(Tabela26[[#This Row],[EMP]],[1]LOJA!$A:$B,2,0)</f>
        <v>ADE</v>
      </c>
      <c r="E1650">
        <v>132</v>
      </c>
      <c r="F1650" t="s">
        <v>4299</v>
      </c>
      <c r="G1650" t="s">
        <v>4298</v>
      </c>
      <c r="H1650" t="s">
        <v>3426</v>
      </c>
      <c r="I1650">
        <v>5102</v>
      </c>
      <c r="J1650" s="3">
        <v>312</v>
      </c>
      <c r="K1650" s="3">
        <v>216</v>
      </c>
      <c r="L1650">
        <v>30.77</v>
      </c>
    </row>
    <row r="1651" spans="1:12">
      <c r="A1651" s="1">
        <v>46030</v>
      </c>
      <c r="B1651" t="s">
        <v>11100</v>
      </c>
      <c r="C1651">
        <v>4</v>
      </c>
      <c r="D1651" t="str">
        <f>VLOOKUP(Tabela26[[#This Row],[EMP]],[1]LOJA!$A:$B,2,0)</f>
        <v>ADE</v>
      </c>
      <c r="E1651">
        <v>132</v>
      </c>
      <c r="F1651" t="s">
        <v>4558</v>
      </c>
      <c r="G1651" t="s">
        <v>4557</v>
      </c>
      <c r="H1651" t="s">
        <v>3426</v>
      </c>
      <c r="I1651">
        <v>5102</v>
      </c>
      <c r="J1651" s="3">
        <v>22.5</v>
      </c>
      <c r="K1651" s="3">
        <v>15.4</v>
      </c>
      <c r="L1651">
        <v>31.56</v>
      </c>
    </row>
    <row r="1652" spans="1:12">
      <c r="A1652" s="1">
        <v>46030</v>
      </c>
      <c r="B1652" t="s">
        <v>11099</v>
      </c>
      <c r="C1652">
        <v>4</v>
      </c>
      <c r="D1652" t="str">
        <f>VLOOKUP(Tabela26[[#This Row],[EMP]],[1]LOJA!$A:$B,2,0)</f>
        <v>ADE</v>
      </c>
      <c r="E1652">
        <v>132</v>
      </c>
      <c r="F1652" t="s">
        <v>8956</v>
      </c>
      <c r="G1652" t="s">
        <v>8955</v>
      </c>
      <c r="H1652" t="s">
        <v>6057</v>
      </c>
      <c r="I1652">
        <v>5405</v>
      </c>
      <c r="J1652" s="3">
        <v>122.53</v>
      </c>
      <c r="K1652" s="3">
        <v>60.84</v>
      </c>
      <c r="L1652">
        <v>50.35</v>
      </c>
    </row>
    <row r="1653" spans="1:12">
      <c r="A1653" s="1">
        <v>46030</v>
      </c>
      <c r="B1653" t="s">
        <v>11098</v>
      </c>
      <c r="C1653">
        <v>4</v>
      </c>
      <c r="D1653" t="str">
        <f>VLOOKUP(Tabela26[[#This Row],[EMP]],[1]LOJA!$A:$B,2,0)</f>
        <v>ADE</v>
      </c>
      <c r="E1653">
        <v>132</v>
      </c>
      <c r="F1653" t="s">
        <v>3562</v>
      </c>
      <c r="G1653" t="s">
        <v>3561</v>
      </c>
      <c r="H1653" t="s">
        <v>3426</v>
      </c>
      <c r="I1653">
        <v>5102</v>
      </c>
      <c r="J1653" s="3">
        <v>695.9</v>
      </c>
      <c r="K1653" s="3">
        <v>434.63</v>
      </c>
      <c r="L1653">
        <v>37.54</v>
      </c>
    </row>
    <row r="1654" spans="1:12">
      <c r="A1654" s="1">
        <v>46030</v>
      </c>
      <c r="B1654" t="s">
        <v>11097</v>
      </c>
      <c r="C1654">
        <v>6</v>
      </c>
      <c r="D1654" t="str">
        <f>VLOOKUP(Tabela26[[#This Row],[EMP]],[1]LOJA!$A:$B,2,0)</f>
        <v>GAMA</v>
      </c>
      <c r="E1654">
        <v>245</v>
      </c>
      <c r="F1654" t="s">
        <v>8546</v>
      </c>
      <c r="G1654" t="s">
        <v>8545</v>
      </c>
      <c r="H1654" t="s">
        <v>3430</v>
      </c>
      <c r="I1654">
        <v>6108</v>
      </c>
      <c r="J1654" s="3">
        <v>834.48</v>
      </c>
      <c r="K1654" s="3">
        <v>439.44</v>
      </c>
      <c r="L1654">
        <v>47.34</v>
      </c>
    </row>
    <row r="1655" spans="1:12">
      <c r="A1655" s="1">
        <v>46030</v>
      </c>
      <c r="B1655" t="s">
        <v>11096</v>
      </c>
      <c r="C1655">
        <v>6</v>
      </c>
      <c r="D1655" t="str">
        <f>VLOOKUP(Tabela26[[#This Row],[EMP]],[1]LOJA!$A:$B,2,0)</f>
        <v>GAMA</v>
      </c>
      <c r="E1655">
        <v>245</v>
      </c>
      <c r="F1655" t="s">
        <v>3555</v>
      </c>
      <c r="G1655" t="s">
        <v>3554</v>
      </c>
      <c r="H1655" t="s">
        <v>3430</v>
      </c>
      <c r="I1655">
        <v>6403</v>
      </c>
      <c r="J1655" s="3">
        <v>626.9</v>
      </c>
      <c r="K1655" s="3">
        <v>371.99</v>
      </c>
      <c r="L1655">
        <v>40.659999999999997</v>
      </c>
    </row>
    <row r="1656" spans="1:12">
      <c r="A1656" s="1">
        <v>46031</v>
      </c>
      <c r="B1656" t="s">
        <v>11095</v>
      </c>
      <c r="C1656">
        <v>24</v>
      </c>
      <c r="D1656" t="str">
        <f>VLOOKUP(Tabela26[[#This Row],[EMP]],[1]LOJA!$A:$B,2,0)</f>
        <v>LUZIÂNIA</v>
      </c>
      <c r="E1656">
        <v>242</v>
      </c>
      <c r="F1656" t="s">
        <v>3552</v>
      </c>
      <c r="G1656" t="s">
        <v>3551</v>
      </c>
      <c r="H1656" t="s">
        <v>3401</v>
      </c>
      <c r="I1656">
        <v>2411</v>
      </c>
      <c r="J1656" s="3">
        <v>-1121.0899999999999</v>
      </c>
      <c r="K1656" s="3">
        <v>-720.04</v>
      </c>
      <c r="L1656">
        <v>35.770000000000003</v>
      </c>
    </row>
    <row r="1657" spans="1:12">
      <c r="A1657" s="1">
        <v>46031</v>
      </c>
      <c r="B1657" t="s">
        <v>11094</v>
      </c>
      <c r="C1657">
        <v>24</v>
      </c>
      <c r="D1657" t="str">
        <f>VLOOKUP(Tabela26[[#This Row],[EMP]],[1]LOJA!$A:$B,2,0)</f>
        <v>LUZIÂNIA</v>
      </c>
      <c r="E1657">
        <v>242</v>
      </c>
      <c r="F1657" t="s">
        <v>7512</v>
      </c>
      <c r="G1657" t="s">
        <v>7511</v>
      </c>
      <c r="H1657" t="s">
        <v>3408</v>
      </c>
      <c r="I1657">
        <v>5405</v>
      </c>
      <c r="J1657" s="3">
        <v>2295</v>
      </c>
      <c r="K1657" s="3">
        <v>1436.59</v>
      </c>
      <c r="L1657">
        <v>37.4</v>
      </c>
    </row>
    <row r="1658" spans="1:12">
      <c r="A1658" s="1">
        <v>46031</v>
      </c>
      <c r="B1658" t="s">
        <v>11093</v>
      </c>
      <c r="C1658">
        <v>24</v>
      </c>
      <c r="D1658" t="str">
        <f>VLOOKUP(Tabela26[[#This Row],[EMP]],[1]LOJA!$A:$B,2,0)</f>
        <v>LUZIÂNIA</v>
      </c>
      <c r="E1658">
        <v>150</v>
      </c>
      <c r="F1658" t="s">
        <v>4952</v>
      </c>
      <c r="G1658" t="s">
        <v>4951</v>
      </c>
      <c r="H1658" t="s">
        <v>3430</v>
      </c>
      <c r="I1658">
        <v>5102</v>
      </c>
      <c r="J1658" s="3">
        <v>62.82</v>
      </c>
      <c r="K1658" s="3">
        <v>37.24</v>
      </c>
      <c r="L1658">
        <v>40.72</v>
      </c>
    </row>
    <row r="1659" spans="1:12">
      <c r="A1659" s="1">
        <v>46031</v>
      </c>
      <c r="B1659" t="s">
        <v>11092</v>
      </c>
      <c r="C1659">
        <v>24</v>
      </c>
      <c r="D1659" t="str">
        <f>VLOOKUP(Tabela26[[#This Row],[EMP]],[1]LOJA!$A:$B,2,0)</f>
        <v>LUZIÂNIA</v>
      </c>
      <c r="E1659">
        <v>150</v>
      </c>
      <c r="F1659" t="s">
        <v>4282</v>
      </c>
      <c r="G1659" t="s">
        <v>4281</v>
      </c>
      <c r="H1659" t="s">
        <v>3430</v>
      </c>
      <c r="I1659">
        <v>5405</v>
      </c>
      <c r="J1659" s="3">
        <v>45.44</v>
      </c>
      <c r="K1659" s="3">
        <v>23.72</v>
      </c>
      <c r="L1659">
        <v>47.8</v>
      </c>
    </row>
    <row r="1660" spans="1:12">
      <c r="A1660" s="1">
        <v>46031</v>
      </c>
      <c r="B1660" t="s">
        <v>11091</v>
      </c>
      <c r="C1660">
        <v>24</v>
      </c>
      <c r="D1660" t="str">
        <f>VLOOKUP(Tabela26[[#This Row],[EMP]],[1]LOJA!$A:$B,2,0)</f>
        <v>LUZIÂNIA</v>
      </c>
      <c r="E1660">
        <v>150</v>
      </c>
      <c r="F1660" t="s">
        <v>4273</v>
      </c>
      <c r="G1660" t="s">
        <v>4272</v>
      </c>
      <c r="H1660" t="s">
        <v>3520</v>
      </c>
      <c r="I1660">
        <v>5405</v>
      </c>
      <c r="J1660" s="3">
        <v>940</v>
      </c>
      <c r="K1660" s="3">
        <v>354.26</v>
      </c>
      <c r="L1660">
        <v>62.31</v>
      </c>
    </row>
    <row r="1661" spans="1:12">
      <c r="A1661" s="1">
        <v>46031</v>
      </c>
      <c r="B1661" t="s">
        <v>11090</v>
      </c>
      <c r="C1661">
        <v>24</v>
      </c>
      <c r="D1661" t="str">
        <f>VLOOKUP(Tabela26[[#This Row],[EMP]],[1]LOJA!$A:$B,2,0)</f>
        <v>LUZIÂNIA</v>
      </c>
      <c r="E1661">
        <v>192</v>
      </c>
      <c r="F1661" t="s">
        <v>4270</v>
      </c>
      <c r="G1661" t="s">
        <v>4269</v>
      </c>
      <c r="H1661" t="s">
        <v>3430</v>
      </c>
      <c r="I1661">
        <v>5405</v>
      </c>
      <c r="J1661" s="3">
        <v>278</v>
      </c>
      <c r="K1661" s="3">
        <v>160.97999999999999</v>
      </c>
      <c r="L1661">
        <v>42.09</v>
      </c>
    </row>
    <row r="1662" spans="1:12">
      <c r="A1662" s="1">
        <v>46031</v>
      </c>
      <c r="B1662" t="s">
        <v>11089</v>
      </c>
      <c r="C1662">
        <v>24</v>
      </c>
      <c r="D1662" t="str">
        <f>VLOOKUP(Tabela26[[#This Row],[EMP]],[1]LOJA!$A:$B,2,0)</f>
        <v>LUZIÂNIA</v>
      </c>
      <c r="E1662">
        <v>192</v>
      </c>
      <c r="F1662" t="s">
        <v>4270</v>
      </c>
      <c r="G1662" t="s">
        <v>4269</v>
      </c>
      <c r="H1662" t="s">
        <v>3408</v>
      </c>
      <c r="I1662">
        <v>5405</v>
      </c>
      <c r="J1662" s="3">
        <v>149.9</v>
      </c>
      <c r="K1662" s="3">
        <v>94.66</v>
      </c>
      <c r="L1662">
        <v>36.85</v>
      </c>
    </row>
    <row r="1663" spans="1:12">
      <c r="A1663" s="1">
        <v>46031</v>
      </c>
      <c r="B1663" t="s">
        <v>11088</v>
      </c>
      <c r="C1663">
        <v>24</v>
      </c>
      <c r="D1663" t="str">
        <f>VLOOKUP(Tabela26[[#This Row],[EMP]],[1]LOJA!$A:$B,2,0)</f>
        <v>LUZIÂNIA</v>
      </c>
      <c r="E1663">
        <v>150</v>
      </c>
      <c r="F1663" t="s">
        <v>4276</v>
      </c>
      <c r="G1663" t="s">
        <v>4275</v>
      </c>
      <c r="H1663" t="s">
        <v>3520</v>
      </c>
      <c r="I1663">
        <v>5405</v>
      </c>
      <c r="J1663" s="3">
        <v>29.9</v>
      </c>
      <c r="K1663" s="3">
        <v>11.99</v>
      </c>
      <c r="L1663">
        <v>59.9</v>
      </c>
    </row>
    <row r="1664" spans="1:12">
      <c r="A1664" s="1">
        <v>46031</v>
      </c>
      <c r="B1664" t="s">
        <v>11087</v>
      </c>
      <c r="C1664">
        <v>24</v>
      </c>
      <c r="D1664" t="str">
        <f>VLOOKUP(Tabela26[[#This Row],[EMP]],[1]LOJA!$A:$B,2,0)</f>
        <v>LUZIÂNIA</v>
      </c>
      <c r="E1664">
        <v>150</v>
      </c>
      <c r="F1664" t="s">
        <v>5987</v>
      </c>
      <c r="G1664" t="s">
        <v>5986</v>
      </c>
      <c r="H1664" t="s">
        <v>5459</v>
      </c>
      <c r="I1664">
        <v>5405</v>
      </c>
      <c r="J1664" s="3">
        <v>49.9</v>
      </c>
      <c r="K1664" s="3">
        <v>25.52</v>
      </c>
      <c r="L1664">
        <v>48.86</v>
      </c>
    </row>
    <row r="1665" spans="1:12">
      <c r="A1665" s="1">
        <v>46031</v>
      </c>
      <c r="B1665" t="s">
        <v>11086</v>
      </c>
      <c r="C1665">
        <v>24</v>
      </c>
      <c r="D1665" t="str">
        <f>VLOOKUP(Tabela26[[#This Row],[EMP]],[1]LOJA!$A:$B,2,0)</f>
        <v>LUZIÂNIA</v>
      </c>
      <c r="E1665">
        <v>150</v>
      </c>
      <c r="F1665" t="s">
        <v>4276</v>
      </c>
      <c r="G1665" t="s">
        <v>4275</v>
      </c>
      <c r="H1665" t="s">
        <v>3520</v>
      </c>
      <c r="I1665">
        <v>5102</v>
      </c>
      <c r="J1665" s="3">
        <v>910.7</v>
      </c>
      <c r="K1665" s="3">
        <v>539.20000000000005</v>
      </c>
      <c r="L1665">
        <v>40.79</v>
      </c>
    </row>
    <row r="1666" spans="1:12">
      <c r="A1666" s="1">
        <v>46031</v>
      </c>
      <c r="B1666" t="s">
        <v>11085</v>
      </c>
      <c r="C1666">
        <v>24</v>
      </c>
      <c r="D1666" t="str">
        <f>VLOOKUP(Tabela26[[#This Row],[EMP]],[1]LOJA!$A:$B,2,0)</f>
        <v>LUZIÂNIA</v>
      </c>
      <c r="E1666">
        <v>150</v>
      </c>
      <c r="F1666" t="s">
        <v>4857</v>
      </c>
      <c r="G1666" t="s">
        <v>4856</v>
      </c>
      <c r="H1666" t="s">
        <v>3430</v>
      </c>
      <c r="I1666">
        <v>5405</v>
      </c>
      <c r="J1666" s="3">
        <v>493.58</v>
      </c>
      <c r="K1666" s="3">
        <v>252.93</v>
      </c>
      <c r="L1666">
        <v>48.76</v>
      </c>
    </row>
    <row r="1667" spans="1:12">
      <c r="A1667" s="1">
        <v>46031</v>
      </c>
      <c r="B1667" t="s">
        <v>11084</v>
      </c>
      <c r="C1667">
        <v>24</v>
      </c>
      <c r="D1667" t="str">
        <f>VLOOKUP(Tabela26[[#This Row],[EMP]],[1]LOJA!$A:$B,2,0)</f>
        <v>LUZIÂNIA</v>
      </c>
      <c r="E1667">
        <v>150</v>
      </c>
      <c r="F1667" t="s">
        <v>4857</v>
      </c>
      <c r="G1667" t="s">
        <v>4856</v>
      </c>
      <c r="H1667" t="s">
        <v>3430</v>
      </c>
      <c r="I1667">
        <v>5405</v>
      </c>
      <c r="J1667" s="3">
        <v>125</v>
      </c>
      <c r="K1667" s="3">
        <v>62.33</v>
      </c>
      <c r="L1667">
        <v>50.14</v>
      </c>
    </row>
    <row r="1668" spans="1:12">
      <c r="A1668" s="1">
        <v>46031</v>
      </c>
      <c r="B1668" t="s">
        <v>11083</v>
      </c>
      <c r="C1668">
        <v>24</v>
      </c>
      <c r="D1668" t="str">
        <f>VLOOKUP(Tabela26[[#This Row],[EMP]],[1]LOJA!$A:$B,2,0)</f>
        <v>LUZIÂNIA</v>
      </c>
      <c r="E1668">
        <v>150</v>
      </c>
      <c r="F1668" t="s">
        <v>4182</v>
      </c>
      <c r="G1668" t="s">
        <v>4181</v>
      </c>
      <c r="H1668" t="s">
        <v>3430</v>
      </c>
      <c r="I1668">
        <v>5102</v>
      </c>
      <c r="J1668" s="3">
        <v>48</v>
      </c>
      <c r="K1668" s="3">
        <v>27.78</v>
      </c>
      <c r="L1668">
        <v>42.13</v>
      </c>
    </row>
    <row r="1669" spans="1:12">
      <c r="A1669" s="1">
        <v>46031</v>
      </c>
      <c r="B1669" t="s">
        <v>11082</v>
      </c>
      <c r="C1669">
        <v>24</v>
      </c>
      <c r="D1669" t="str">
        <f>VLOOKUP(Tabela26[[#This Row],[EMP]],[1]LOJA!$A:$B,2,0)</f>
        <v>LUZIÂNIA</v>
      </c>
      <c r="E1669">
        <v>192</v>
      </c>
      <c r="F1669" t="s">
        <v>3549</v>
      </c>
      <c r="G1669" t="s">
        <v>3548</v>
      </c>
      <c r="H1669" t="s">
        <v>10982</v>
      </c>
      <c r="I1669">
        <v>5405</v>
      </c>
      <c r="J1669" s="3">
        <v>2687.87</v>
      </c>
      <c r="K1669" s="3">
        <v>1327.05</v>
      </c>
      <c r="L1669">
        <v>50.63</v>
      </c>
    </row>
    <row r="1670" spans="1:12">
      <c r="A1670" s="1">
        <v>46031</v>
      </c>
      <c r="B1670" t="s">
        <v>11081</v>
      </c>
      <c r="C1670">
        <v>16</v>
      </c>
      <c r="D1670" t="str">
        <f>VLOOKUP(Tabela26[[#This Row],[EMP]],[1]LOJA!$A:$B,2,0)</f>
        <v>AG LINDAS</v>
      </c>
      <c r="E1670">
        <v>107</v>
      </c>
      <c r="F1670" t="s">
        <v>4267</v>
      </c>
      <c r="G1670" t="s">
        <v>4266</v>
      </c>
      <c r="H1670" t="s">
        <v>3430</v>
      </c>
      <c r="I1670">
        <v>5405</v>
      </c>
      <c r="J1670" s="3">
        <v>40</v>
      </c>
      <c r="K1670" s="3">
        <v>20.71</v>
      </c>
      <c r="L1670">
        <v>48.23</v>
      </c>
    </row>
    <row r="1671" spans="1:12">
      <c r="A1671" s="1">
        <v>46031</v>
      </c>
      <c r="B1671" t="s">
        <v>11080</v>
      </c>
      <c r="C1671">
        <v>16</v>
      </c>
      <c r="D1671" t="str">
        <f>VLOOKUP(Tabela26[[#This Row],[EMP]],[1]LOJA!$A:$B,2,0)</f>
        <v>AG LINDAS</v>
      </c>
      <c r="E1671">
        <v>240</v>
      </c>
      <c r="F1671" t="s">
        <v>4525</v>
      </c>
      <c r="G1671" t="s">
        <v>4524</v>
      </c>
      <c r="H1671" t="s">
        <v>3408</v>
      </c>
      <c r="I1671">
        <v>5102</v>
      </c>
      <c r="J1671" s="3">
        <v>224.99</v>
      </c>
      <c r="K1671" s="3">
        <v>120.48</v>
      </c>
      <c r="L1671">
        <v>46.45</v>
      </c>
    </row>
    <row r="1672" spans="1:12">
      <c r="A1672" s="1">
        <v>46031</v>
      </c>
      <c r="B1672" t="s">
        <v>11079</v>
      </c>
      <c r="C1672">
        <v>15</v>
      </c>
      <c r="D1672" t="str">
        <f>VLOOKUP(Tabela26[[#This Row],[EMP]],[1]LOJA!$A:$B,2,0)</f>
        <v>UNAÍ</v>
      </c>
      <c r="E1672">
        <v>183</v>
      </c>
      <c r="F1672" t="s">
        <v>5469</v>
      </c>
      <c r="G1672" t="s">
        <v>5468</v>
      </c>
      <c r="H1672" t="s">
        <v>3408</v>
      </c>
      <c r="I1672">
        <v>5405</v>
      </c>
      <c r="J1672" s="3">
        <v>838</v>
      </c>
      <c r="K1672" s="3">
        <v>405.72</v>
      </c>
      <c r="L1672">
        <v>51.58</v>
      </c>
    </row>
    <row r="1673" spans="1:12">
      <c r="A1673" s="1">
        <v>46031</v>
      </c>
      <c r="B1673" t="s">
        <v>11078</v>
      </c>
      <c r="C1673">
        <v>15</v>
      </c>
      <c r="D1673" t="str">
        <f>VLOOKUP(Tabela26[[#This Row],[EMP]],[1]LOJA!$A:$B,2,0)</f>
        <v>UNAÍ</v>
      </c>
      <c r="E1673">
        <v>183</v>
      </c>
      <c r="F1673" t="s">
        <v>5496</v>
      </c>
      <c r="G1673" t="s">
        <v>5495</v>
      </c>
      <c r="H1673" t="s">
        <v>3401</v>
      </c>
      <c r="I1673">
        <v>1202</v>
      </c>
      <c r="J1673" s="3">
        <v>-29</v>
      </c>
      <c r="K1673" s="3">
        <v>-16.02</v>
      </c>
      <c r="L1673">
        <v>44.76</v>
      </c>
    </row>
    <row r="1674" spans="1:12">
      <c r="A1674" s="1">
        <v>46031</v>
      </c>
      <c r="B1674" t="s">
        <v>11077</v>
      </c>
      <c r="C1674">
        <v>22</v>
      </c>
      <c r="D1674" t="str">
        <f>VLOOKUP(Tabela26[[#This Row],[EMP]],[1]LOJA!$A:$B,2,0)</f>
        <v>GUARÁ</v>
      </c>
      <c r="E1674">
        <v>93</v>
      </c>
      <c r="F1674" t="s">
        <v>11076</v>
      </c>
      <c r="G1674" t="s">
        <v>11075</v>
      </c>
      <c r="H1674" t="s">
        <v>3408</v>
      </c>
      <c r="I1674">
        <v>5405</v>
      </c>
      <c r="J1674" s="3">
        <v>910</v>
      </c>
      <c r="K1674" s="3">
        <v>483.1</v>
      </c>
      <c r="L1674">
        <v>46.91</v>
      </c>
    </row>
    <row r="1675" spans="1:12">
      <c r="A1675" s="1">
        <v>46031</v>
      </c>
      <c r="B1675" t="s">
        <v>11074</v>
      </c>
      <c r="C1675">
        <v>22</v>
      </c>
      <c r="D1675" t="str">
        <f>VLOOKUP(Tabela26[[#This Row],[EMP]],[1]LOJA!$A:$B,2,0)</f>
        <v>GUARÁ</v>
      </c>
      <c r="E1675">
        <v>16</v>
      </c>
      <c r="F1675" t="s">
        <v>11071</v>
      </c>
      <c r="G1675" t="s">
        <v>11070</v>
      </c>
      <c r="H1675" t="s">
        <v>3401</v>
      </c>
      <c r="I1675">
        <v>2411</v>
      </c>
      <c r="J1675" s="3">
        <v>-2059.3200000000002</v>
      </c>
      <c r="K1675" s="3">
        <v>-1155.53</v>
      </c>
      <c r="L1675">
        <v>43.89</v>
      </c>
    </row>
    <row r="1676" spans="1:12">
      <c r="A1676" s="1">
        <v>46031</v>
      </c>
      <c r="B1676" t="s">
        <v>11073</v>
      </c>
      <c r="C1676">
        <v>22</v>
      </c>
      <c r="D1676" t="str">
        <f>VLOOKUP(Tabela26[[#This Row],[EMP]],[1]LOJA!$A:$B,2,0)</f>
        <v>GUARÁ</v>
      </c>
      <c r="E1676">
        <v>16</v>
      </c>
      <c r="F1676" t="s">
        <v>11071</v>
      </c>
      <c r="G1676" t="s">
        <v>11070</v>
      </c>
      <c r="H1676" t="s">
        <v>3401</v>
      </c>
      <c r="I1676">
        <v>2202</v>
      </c>
      <c r="J1676" s="3">
        <v>-839.79</v>
      </c>
      <c r="K1676" s="3">
        <v>-447.4</v>
      </c>
      <c r="L1676">
        <v>46.72</v>
      </c>
    </row>
    <row r="1677" spans="1:12">
      <c r="A1677" s="1">
        <v>46031</v>
      </c>
      <c r="B1677" t="s">
        <v>11072</v>
      </c>
      <c r="C1677">
        <v>22</v>
      </c>
      <c r="D1677" t="str">
        <f>VLOOKUP(Tabela26[[#This Row],[EMP]],[1]LOJA!$A:$B,2,0)</f>
        <v>GUARÁ</v>
      </c>
      <c r="E1677">
        <v>16</v>
      </c>
      <c r="F1677" t="s">
        <v>11071</v>
      </c>
      <c r="G1677" t="s">
        <v>11070</v>
      </c>
      <c r="H1677" t="s">
        <v>3401</v>
      </c>
      <c r="I1677">
        <v>2202</v>
      </c>
      <c r="J1677" s="3">
        <v>-3354.96</v>
      </c>
      <c r="K1677" s="3">
        <v>-1830.81</v>
      </c>
      <c r="L1677">
        <v>45.43</v>
      </c>
    </row>
    <row r="1678" spans="1:12">
      <c r="A1678" s="1">
        <v>46031</v>
      </c>
      <c r="B1678" t="s">
        <v>11069</v>
      </c>
      <c r="C1678">
        <v>22</v>
      </c>
      <c r="D1678" t="str">
        <f>VLOOKUP(Tabela26[[#This Row],[EMP]],[1]LOJA!$A:$B,2,0)</f>
        <v>GUARÁ</v>
      </c>
      <c r="E1678">
        <v>93</v>
      </c>
      <c r="F1678" t="s">
        <v>4251</v>
      </c>
      <c r="G1678" t="s">
        <v>4250</v>
      </c>
      <c r="H1678" t="s">
        <v>3430</v>
      </c>
      <c r="I1678">
        <v>5405</v>
      </c>
      <c r="J1678" s="3">
        <v>141.87</v>
      </c>
      <c r="K1678" s="3">
        <v>75.14</v>
      </c>
      <c r="L1678">
        <v>47.04</v>
      </c>
    </row>
    <row r="1679" spans="1:12">
      <c r="A1679" s="1">
        <v>46031</v>
      </c>
      <c r="B1679" t="s">
        <v>11068</v>
      </c>
      <c r="C1679">
        <v>22</v>
      </c>
      <c r="D1679" t="str">
        <f>VLOOKUP(Tabela26[[#This Row],[EMP]],[1]LOJA!$A:$B,2,0)</f>
        <v>GUARÁ</v>
      </c>
      <c r="E1679">
        <v>93</v>
      </c>
      <c r="F1679" t="s">
        <v>3535</v>
      </c>
      <c r="G1679" t="s">
        <v>3534</v>
      </c>
      <c r="H1679" t="s">
        <v>3533</v>
      </c>
      <c r="I1679">
        <v>5405</v>
      </c>
      <c r="J1679" s="3">
        <v>585.72</v>
      </c>
      <c r="K1679" s="3">
        <v>370.42</v>
      </c>
      <c r="L1679">
        <v>36.76</v>
      </c>
    </row>
    <row r="1680" spans="1:12">
      <c r="A1680" s="1">
        <v>46031</v>
      </c>
      <c r="B1680" t="s">
        <v>11067</v>
      </c>
      <c r="C1680">
        <v>22</v>
      </c>
      <c r="D1680" t="str">
        <f>VLOOKUP(Tabela26[[#This Row],[EMP]],[1]LOJA!$A:$B,2,0)</f>
        <v>GUARÁ</v>
      </c>
      <c r="E1680">
        <v>93</v>
      </c>
      <c r="F1680" t="s">
        <v>11066</v>
      </c>
      <c r="G1680" t="s">
        <v>11065</v>
      </c>
      <c r="H1680" t="s">
        <v>3430</v>
      </c>
      <c r="I1680">
        <v>5102</v>
      </c>
      <c r="J1680" s="3">
        <v>107.75</v>
      </c>
      <c r="K1680" s="3">
        <v>58.75</v>
      </c>
      <c r="L1680">
        <v>45.48</v>
      </c>
    </row>
    <row r="1681" spans="1:12">
      <c r="A1681" s="1">
        <v>46031</v>
      </c>
      <c r="B1681" t="s">
        <v>11064</v>
      </c>
      <c r="C1681">
        <v>22</v>
      </c>
      <c r="D1681" t="str">
        <f>VLOOKUP(Tabela26[[#This Row],[EMP]],[1]LOJA!$A:$B,2,0)</f>
        <v>GUARÁ</v>
      </c>
      <c r="E1681">
        <v>93</v>
      </c>
      <c r="F1681" t="s">
        <v>3542</v>
      </c>
      <c r="G1681" t="s">
        <v>3541</v>
      </c>
      <c r="H1681" t="s">
        <v>3745</v>
      </c>
      <c r="I1681">
        <v>5102</v>
      </c>
      <c r="J1681" s="3">
        <v>1931.5</v>
      </c>
      <c r="K1681" s="3">
        <v>1139.25</v>
      </c>
      <c r="L1681">
        <v>41.02</v>
      </c>
    </row>
    <row r="1682" spans="1:12">
      <c r="A1682" s="1">
        <v>46031</v>
      </c>
      <c r="B1682" t="s">
        <v>11063</v>
      </c>
      <c r="C1682">
        <v>22</v>
      </c>
      <c r="D1682" t="str">
        <f>VLOOKUP(Tabela26[[#This Row],[EMP]],[1]LOJA!$A:$B,2,0)</f>
        <v>GUARÁ</v>
      </c>
      <c r="E1682">
        <v>93</v>
      </c>
      <c r="F1682" t="s">
        <v>7744</v>
      </c>
      <c r="G1682" t="s">
        <v>7743</v>
      </c>
      <c r="H1682" t="s">
        <v>3408</v>
      </c>
      <c r="I1682">
        <v>5405</v>
      </c>
      <c r="J1682" s="3">
        <v>136</v>
      </c>
      <c r="K1682" s="3">
        <v>63.8</v>
      </c>
      <c r="L1682">
        <v>53.09</v>
      </c>
    </row>
    <row r="1683" spans="1:12">
      <c r="A1683" s="1">
        <v>46031</v>
      </c>
      <c r="B1683" t="s">
        <v>11062</v>
      </c>
      <c r="C1683">
        <v>24</v>
      </c>
      <c r="D1683" t="str">
        <f>VLOOKUP(Tabela26[[#This Row],[EMP]],[1]LOJA!$A:$B,2,0)</f>
        <v>LUZIÂNIA</v>
      </c>
      <c r="E1683">
        <v>242</v>
      </c>
      <c r="F1683" t="s">
        <v>11061</v>
      </c>
      <c r="G1683" t="s">
        <v>3402</v>
      </c>
      <c r="H1683" t="s">
        <v>3401</v>
      </c>
      <c r="I1683">
        <v>5405</v>
      </c>
      <c r="J1683" s="3">
        <v>730</v>
      </c>
      <c r="K1683" s="3">
        <v>384.84</v>
      </c>
      <c r="L1683">
        <v>47.28</v>
      </c>
    </row>
    <row r="1684" spans="1:12">
      <c r="A1684" s="1">
        <v>46031</v>
      </c>
      <c r="B1684" t="s">
        <v>11060</v>
      </c>
      <c r="C1684">
        <v>24</v>
      </c>
      <c r="D1684" t="str">
        <f>VLOOKUP(Tabela26[[#This Row],[EMP]],[1]LOJA!$A:$B,2,0)</f>
        <v>LUZIÂNIA</v>
      </c>
      <c r="E1684">
        <v>150</v>
      </c>
      <c r="F1684" t="s">
        <v>6032</v>
      </c>
      <c r="G1684" t="s">
        <v>3402</v>
      </c>
      <c r="H1684" t="s">
        <v>3401</v>
      </c>
      <c r="I1684">
        <v>5405</v>
      </c>
      <c r="J1684" s="3">
        <v>52</v>
      </c>
      <c r="K1684" s="3">
        <v>25.06</v>
      </c>
      <c r="L1684">
        <v>51.81</v>
      </c>
    </row>
    <row r="1685" spans="1:12">
      <c r="A1685" s="1">
        <v>46031</v>
      </c>
      <c r="B1685" t="s">
        <v>11059</v>
      </c>
      <c r="C1685">
        <v>24</v>
      </c>
      <c r="D1685" t="str">
        <f>VLOOKUP(Tabela26[[#This Row],[EMP]],[1]LOJA!$A:$B,2,0)</f>
        <v>LUZIÂNIA</v>
      </c>
      <c r="E1685">
        <v>242</v>
      </c>
      <c r="F1685" t="s">
        <v>3524</v>
      </c>
      <c r="G1685" t="s">
        <v>3402</v>
      </c>
      <c r="H1685" t="s">
        <v>3401</v>
      </c>
      <c r="I1685">
        <v>5102</v>
      </c>
      <c r="J1685" s="3">
        <v>21.6</v>
      </c>
      <c r="K1685" s="3">
        <v>11.1</v>
      </c>
      <c r="L1685">
        <v>48.61</v>
      </c>
    </row>
    <row r="1686" spans="1:12">
      <c r="A1686" s="1">
        <v>46031</v>
      </c>
      <c r="B1686" t="s">
        <v>11058</v>
      </c>
      <c r="C1686">
        <v>24</v>
      </c>
      <c r="D1686" t="str">
        <f>VLOOKUP(Tabela26[[#This Row],[EMP]],[1]LOJA!$A:$B,2,0)</f>
        <v>LUZIÂNIA</v>
      </c>
      <c r="E1686">
        <v>150</v>
      </c>
      <c r="F1686" t="s">
        <v>11057</v>
      </c>
      <c r="G1686" t="s">
        <v>3402</v>
      </c>
      <c r="H1686" t="s">
        <v>3401</v>
      </c>
      <c r="I1686">
        <v>5405</v>
      </c>
      <c r="J1686" s="3">
        <v>98</v>
      </c>
      <c r="K1686" s="3">
        <v>46.62</v>
      </c>
      <c r="L1686">
        <v>52.43</v>
      </c>
    </row>
    <row r="1687" spans="1:12">
      <c r="A1687" s="1">
        <v>46031</v>
      </c>
      <c r="B1687" t="s">
        <v>11056</v>
      </c>
      <c r="C1687">
        <v>24</v>
      </c>
      <c r="D1687" t="str">
        <f>VLOOKUP(Tabela26[[#This Row],[EMP]],[1]LOJA!$A:$B,2,0)</f>
        <v>LUZIÂNIA</v>
      </c>
      <c r="E1687">
        <v>192</v>
      </c>
      <c r="F1687" t="s">
        <v>4605</v>
      </c>
      <c r="G1687" t="s">
        <v>3402</v>
      </c>
      <c r="H1687" t="s">
        <v>3401</v>
      </c>
      <c r="I1687">
        <v>5102</v>
      </c>
      <c r="J1687" s="3">
        <v>224.25</v>
      </c>
      <c r="K1687" s="3">
        <v>136.5</v>
      </c>
      <c r="L1687">
        <v>39.130000000000003</v>
      </c>
    </row>
    <row r="1688" spans="1:12">
      <c r="A1688" s="1">
        <v>46031</v>
      </c>
      <c r="B1688" t="s">
        <v>11055</v>
      </c>
      <c r="C1688">
        <v>24</v>
      </c>
      <c r="D1688" t="str">
        <f>VLOOKUP(Tabela26[[#This Row],[EMP]],[1]LOJA!$A:$B,2,0)</f>
        <v>LUZIÂNIA</v>
      </c>
      <c r="E1688">
        <v>242</v>
      </c>
      <c r="F1688" t="s">
        <v>8308</v>
      </c>
      <c r="G1688" t="s">
        <v>3402</v>
      </c>
      <c r="H1688" t="s">
        <v>3408</v>
      </c>
      <c r="I1688">
        <v>5405</v>
      </c>
      <c r="J1688" s="3">
        <v>298</v>
      </c>
      <c r="K1688" s="3">
        <v>146.78</v>
      </c>
      <c r="L1688">
        <v>50.74</v>
      </c>
    </row>
    <row r="1689" spans="1:12">
      <c r="A1689" s="1">
        <v>46031</v>
      </c>
      <c r="B1689" t="s">
        <v>11054</v>
      </c>
      <c r="C1689">
        <v>24</v>
      </c>
      <c r="D1689" t="str">
        <f>VLOOKUP(Tabela26[[#This Row],[EMP]],[1]LOJA!$A:$B,2,0)</f>
        <v>LUZIÂNIA</v>
      </c>
      <c r="E1689">
        <v>150</v>
      </c>
      <c r="F1689" t="s">
        <v>5393</v>
      </c>
      <c r="G1689" t="s">
        <v>3402</v>
      </c>
      <c r="H1689" t="s">
        <v>3401</v>
      </c>
      <c r="I1689">
        <v>5102</v>
      </c>
      <c r="J1689" s="3">
        <v>150</v>
      </c>
      <c r="K1689" s="3">
        <v>97.7</v>
      </c>
      <c r="L1689">
        <v>34.869999999999997</v>
      </c>
    </row>
    <row r="1690" spans="1:12">
      <c r="A1690" s="1">
        <v>46031</v>
      </c>
      <c r="B1690" t="s">
        <v>11053</v>
      </c>
      <c r="C1690">
        <v>24</v>
      </c>
      <c r="D1690" t="str">
        <f>VLOOKUP(Tabela26[[#This Row],[EMP]],[1]LOJA!$A:$B,2,0)</f>
        <v>LUZIÂNIA</v>
      </c>
      <c r="E1690">
        <v>150</v>
      </c>
      <c r="F1690" t="s">
        <v>3524</v>
      </c>
      <c r="G1690" t="s">
        <v>3402</v>
      </c>
      <c r="H1690" t="s">
        <v>3401</v>
      </c>
      <c r="I1690">
        <v>5102</v>
      </c>
      <c r="J1690" s="3">
        <v>39</v>
      </c>
      <c r="K1690" s="3">
        <v>18.5</v>
      </c>
      <c r="L1690">
        <v>52.56</v>
      </c>
    </row>
    <row r="1691" spans="1:12">
      <c r="A1691" s="1">
        <v>46031</v>
      </c>
      <c r="B1691" t="s">
        <v>11052</v>
      </c>
      <c r="C1691">
        <v>24</v>
      </c>
      <c r="D1691" t="str">
        <f>VLOOKUP(Tabela26[[#This Row],[EMP]],[1]LOJA!$A:$B,2,0)</f>
        <v>LUZIÂNIA</v>
      </c>
      <c r="E1691">
        <v>242</v>
      </c>
      <c r="F1691" t="s">
        <v>3524</v>
      </c>
      <c r="G1691" t="s">
        <v>3402</v>
      </c>
      <c r="H1691" t="s">
        <v>3401</v>
      </c>
      <c r="I1691">
        <v>5405</v>
      </c>
      <c r="J1691" s="3">
        <v>59</v>
      </c>
      <c r="K1691" s="3">
        <v>25</v>
      </c>
      <c r="L1691">
        <v>57.63</v>
      </c>
    </row>
    <row r="1692" spans="1:12">
      <c r="A1692" s="1">
        <v>46031</v>
      </c>
      <c r="B1692" t="s">
        <v>11051</v>
      </c>
      <c r="C1692">
        <v>24</v>
      </c>
      <c r="D1692" t="str">
        <f>VLOOKUP(Tabela26[[#This Row],[EMP]],[1]LOJA!$A:$B,2,0)</f>
        <v>LUZIÂNIA</v>
      </c>
      <c r="E1692">
        <v>192</v>
      </c>
      <c r="F1692" t="s">
        <v>3524</v>
      </c>
      <c r="G1692" t="s">
        <v>3402</v>
      </c>
      <c r="H1692" t="s">
        <v>3401</v>
      </c>
      <c r="I1692">
        <v>5405</v>
      </c>
      <c r="J1692" s="3">
        <v>126</v>
      </c>
      <c r="K1692" s="3">
        <v>62.18</v>
      </c>
      <c r="L1692">
        <v>50.65</v>
      </c>
    </row>
    <row r="1693" spans="1:12">
      <c r="A1693" s="1">
        <v>46031</v>
      </c>
      <c r="B1693" t="s">
        <v>11050</v>
      </c>
      <c r="C1693">
        <v>24</v>
      </c>
      <c r="D1693" t="str">
        <f>VLOOKUP(Tabela26[[#This Row],[EMP]],[1]LOJA!$A:$B,2,0)</f>
        <v>LUZIÂNIA</v>
      </c>
      <c r="E1693">
        <v>150</v>
      </c>
      <c r="F1693" t="s">
        <v>11049</v>
      </c>
      <c r="G1693" t="s">
        <v>11048</v>
      </c>
      <c r="H1693" t="s">
        <v>3401</v>
      </c>
      <c r="I1693">
        <v>5102</v>
      </c>
      <c r="J1693" s="3">
        <v>170</v>
      </c>
      <c r="K1693" s="3">
        <v>79.08</v>
      </c>
      <c r="L1693">
        <v>53.48</v>
      </c>
    </row>
    <row r="1694" spans="1:12">
      <c r="A1694" s="1">
        <v>46031</v>
      </c>
      <c r="B1694" t="s">
        <v>11047</v>
      </c>
      <c r="C1694">
        <v>24</v>
      </c>
      <c r="D1694" t="str">
        <f>VLOOKUP(Tabela26[[#This Row],[EMP]],[1]LOJA!$A:$B,2,0)</f>
        <v>LUZIÂNIA</v>
      </c>
      <c r="E1694">
        <v>192</v>
      </c>
      <c r="F1694" t="s">
        <v>3524</v>
      </c>
      <c r="G1694" t="s">
        <v>3402</v>
      </c>
      <c r="H1694" t="s">
        <v>3401</v>
      </c>
      <c r="I1694">
        <v>5405</v>
      </c>
      <c r="J1694" s="3">
        <v>105</v>
      </c>
      <c r="K1694" s="3">
        <v>48.14</v>
      </c>
      <c r="L1694">
        <v>54.15</v>
      </c>
    </row>
    <row r="1695" spans="1:12">
      <c r="A1695" s="1">
        <v>46031</v>
      </c>
      <c r="B1695" t="s">
        <v>11046</v>
      </c>
      <c r="C1695">
        <v>24</v>
      </c>
      <c r="D1695" t="str">
        <f>VLOOKUP(Tabela26[[#This Row],[EMP]],[1]LOJA!$A:$B,2,0)</f>
        <v>LUZIÂNIA</v>
      </c>
      <c r="E1695">
        <v>192</v>
      </c>
      <c r="F1695" t="s">
        <v>4871</v>
      </c>
      <c r="G1695" t="s">
        <v>4870</v>
      </c>
      <c r="H1695" t="s">
        <v>3401</v>
      </c>
      <c r="I1695">
        <v>5405</v>
      </c>
      <c r="J1695" s="3">
        <v>346</v>
      </c>
      <c r="K1695" s="3">
        <v>168.71</v>
      </c>
      <c r="L1695">
        <v>51.24</v>
      </c>
    </row>
    <row r="1696" spans="1:12">
      <c r="A1696" s="1">
        <v>46031</v>
      </c>
      <c r="B1696" t="s">
        <v>11045</v>
      </c>
      <c r="C1696">
        <v>24</v>
      </c>
      <c r="D1696" t="str">
        <f>VLOOKUP(Tabela26[[#This Row],[EMP]],[1]LOJA!$A:$B,2,0)</f>
        <v>LUZIÂNIA</v>
      </c>
      <c r="E1696">
        <v>242</v>
      </c>
      <c r="F1696" t="s">
        <v>3524</v>
      </c>
      <c r="G1696" t="s">
        <v>3402</v>
      </c>
      <c r="H1696" t="s">
        <v>3401</v>
      </c>
      <c r="I1696">
        <v>5102</v>
      </c>
      <c r="J1696" s="3">
        <v>9</v>
      </c>
      <c r="K1696" s="3">
        <v>4.54</v>
      </c>
      <c r="L1696">
        <v>49.56</v>
      </c>
    </row>
    <row r="1697" spans="1:12">
      <c r="A1697" s="1">
        <v>46031</v>
      </c>
      <c r="B1697" t="s">
        <v>11044</v>
      </c>
      <c r="C1697">
        <v>24</v>
      </c>
      <c r="D1697" t="str">
        <f>VLOOKUP(Tabela26[[#This Row],[EMP]],[1]LOJA!$A:$B,2,0)</f>
        <v>LUZIÂNIA</v>
      </c>
      <c r="E1697">
        <v>242</v>
      </c>
      <c r="F1697" t="s">
        <v>3524</v>
      </c>
      <c r="G1697" t="s">
        <v>3402</v>
      </c>
      <c r="H1697" t="s">
        <v>3401</v>
      </c>
      <c r="I1697">
        <v>5102</v>
      </c>
      <c r="J1697" s="3">
        <v>17</v>
      </c>
      <c r="K1697" s="3">
        <v>8.7899999999999991</v>
      </c>
      <c r="L1697">
        <v>48.29</v>
      </c>
    </row>
    <row r="1698" spans="1:12">
      <c r="A1698" s="1">
        <v>46031</v>
      </c>
      <c r="B1698" t="s">
        <v>11043</v>
      </c>
      <c r="C1698">
        <v>24</v>
      </c>
      <c r="D1698" t="str">
        <f>VLOOKUP(Tabela26[[#This Row],[EMP]],[1]LOJA!$A:$B,2,0)</f>
        <v>LUZIÂNIA</v>
      </c>
      <c r="E1698">
        <v>150</v>
      </c>
      <c r="F1698" t="s">
        <v>3524</v>
      </c>
      <c r="G1698" t="s">
        <v>3402</v>
      </c>
      <c r="H1698" t="s">
        <v>3401</v>
      </c>
      <c r="I1698">
        <v>5102</v>
      </c>
      <c r="J1698" s="3">
        <v>24</v>
      </c>
      <c r="K1698" s="3">
        <v>12.36</v>
      </c>
      <c r="L1698">
        <v>48.5</v>
      </c>
    </row>
    <row r="1699" spans="1:12">
      <c r="A1699" s="1">
        <v>46031</v>
      </c>
      <c r="B1699" t="s">
        <v>11042</v>
      </c>
      <c r="C1699">
        <v>24</v>
      </c>
      <c r="D1699" t="str">
        <f>VLOOKUP(Tabela26[[#This Row],[EMP]],[1]LOJA!$A:$B,2,0)</f>
        <v>LUZIÂNIA</v>
      </c>
      <c r="E1699">
        <v>150</v>
      </c>
      <c r="F1699" t="s">
        <v>6159</v>
      </c>
      <c r="G1699" t="s">
        <v>4181</v>
      </c>
      <c r="H1699" t="s">
        <v>3401</v>
      </c>
      <c r="I1699">
        <v>5102</v>
      </c>
      <c r="J1699" s="3">
        <v>14</v>
      </c>
      <c r="K1699" s="3">
        <v>5.96</v>
      </c>
      <c r="L1699">
        <v>57.43</v>
      </c>
    </row>
    <row r="1700" spans="1:12">
      <c r="A1700" s="1">
        <v>46031</v>
      </c>
      <c r="B1700" t="s">
        <v>11041</v>
      </c>
      <c r="C1700">
        <v>24</v>
      </c>
      <c r="D1700" t="str">
        <f>VLOOKUP(Tabela26[[#This Row],[EMP]],[1]LOJA!$A:$B,2,0)</f>
        <v>LUZIÂNIA</v>
      </c>
      <c r="E1700">
        <v>150</v>
      </c>
      <c r="F1700" t="s">
        <v>11040</v>
      </c>
      <c r="G1700" t="s">
        <v>3402</v>
      </c>
      <c r="H1700" t="s">
        <v>3408</v>
      </c>
      <c r="I1700">
        <v>5102</v>
      </c>
      <c r="J1700" s="3">
        <v>100</v>
      </c>
      <c r="K1700" s="3">
        <v>51.69</v>
      </c>
      <c r="L1700">
        <v>48.31</v>
      </c>
    </row>
    <row r="1701" spans="1:12">
      <c r="A1701" s="1">
        <v>46031</v>
      </c>
      <c r="B1701" t="s">
        <v>11039</v>
      </c>
      <c r="C1701">
        <v>24</v>
      </c>
      <c r="D1701" t="str">
        <f>VLOOKUP(Tabela26[[#This Row],[EMP]],[1]LOJA!$A:$B,2,0)</f>
        <v>LUZIÂNIA</v>
      </c>
      <c r="E1701">
        <v>150</v>
      </c>
      <c r="F1701" t="s">
        <v>4176</v>
      </c>
      <c r="G1701" t="s">
        <v>4175</v>
      </c>
      <c r="H1701" t="s">
        <v>3408</v>
      </c>
      <c r="I1701">
        <v>5102</v>
      </c>
      <c r="J1701" s="3">
        <v>354.1</v>
      </c>
      <c r="K1701" s="3">
        <v>200.6</v>
      </c>
      <c r="L1701">
        <v>43.35</v>
      </c>
    </row>
    <row r="1702" spans="1:12">
      <c r="A1702" s="1">
        <v>46031</v>
      </c>
      <c r="B1702" t="s">
        <v>11038</v>
      </c>
      <c r="C1702">
        <v>24</v>
      </c>
      <c r="D1702" t="str">
        <f>VLOOKUP(Tabela26[[#This Row],[EMP]],[1]LOJA!$A:$B,2,0)</f>
        <v>LUZIÂNIA</v>
      </c>
      <c r="E1702">
        <v>150</v>
      </c>
      <c r="F1702" t="s">
        <v>3524</v>
      </c>
      <c r="G1702" t="s">
        <v>3402</v>
      </c>
      <c r="H1702" t="s">
        <v>3401</v>
      </c>
      <c r="I1702">
        <v>5102</v>
      </c>
      <c r="J1702" s="3">
        <v>30</v>
      </c>
      <c r="K1702" s="3">
        <v>18.78</v>
      </c>
      <c r="L1702">
        <v>37.4</v>
      </c>
    </row>
    <row r="1703" spans="1:12">
      <c r="A1703" s="1">
        <v>46031</v>
      </c>
      <c r="B1703" t="s">
        <v>11037</v>
      </c>
      <c r="C1703">
        <v>24</v>
      </c>
      <c r="D1703" t="str">
        <f>VLOOKUP(Tabela26[[#This Row],[EMP]],[1]LOJA!$A:$B,2,0)</f>
        <v>LUZIÂNIA</v>
      </c>
      <c r="E1703">
        <v>192</v>
      </c>
      <c r="F1703" t="s">
        <v>3524</v>
      </c>
      <c r="G1703" t="s">
        <v>3402</v>
      </c>
      <c r="H1703" t="s">
        <v>3401</v>
      </c>
      <c r="I1703">
        <v>5102</v>
      </c>
      <c r="J1703" s="3">
        <v>24</v>
      </c>
      <c r="K1703" s="3">
        <v>8.82</v>
      </c>
      <c r="L1703">
        <v>63.25</v>
      </c>
    </row>
    <row r="1704" spans="1:12">
      <c r="A1704" s="1">
        <v>46031</v>
      </c>
      <c r="B1704" t="s">
        <v>11036</v>
      </c>
      <c r="C1704">
        <v>24</v>
      </c>
      <c r="D1704" t="str">
        <f>VLOOKUP(Tabela26[[#This Row],[EMP]],[1]LOJA!$A:$B,2,0)</f>
        <v>LUZIÂNIA</v>
      </c>
      <c r="E1704">
        <v>192</v>
      </c>
      <c r="F1704" t="s">
        <v>3524</v>
      </c>
      <c r="G1704" t="s">
        <v>3402</v>
      </c>
      <c r="H1704" t="s">
        <v>3401</v>
      </c>
      <c r="I1704">
        <v>5102</v>
      </c>
      <c r="J1704" s="3">
        <v>35</v>
      </c>
      <c r="K1704" s="3">
        <v>21.83</v>
      </c>
      <c r="L1704">
        <v>37.630000000000003</v>
      </c>
    </row>
    <row r="1705" spans="1:12">
      <c r="A1705" s="1">
        <v>46031</v>
      </c>
      <c r="B1705" t="s">
        <v>11035</v>
      </c>
      <c r="C1705">
        <v>24</v>
      </c>
      <c r="D1705" t="str">
        <f>VLOOKUP(Tabela26[[#This Row],[EMP]],[1]LOJA!$A:$B,2,0)</f>
        <v>LUZIÂNIA</v>
      </c>
      <c r="E1705">
        <v>150</v>
      </c>
      <c r="F1705" t="s">
        <v>3524</v>
      </c>
      <c r="G1705" t="s">
        <v>3402</v>
      </c>
      <c r="H1705" t="s">
        <v>3401</v>
      </c>
      <c r="I1705">
        <v>5102</v>
      </c>
      <c r="J1705" s="3">
        <v>40</v>
      </c>
      <c r="K1705" s="3">
        <v>18.28</v>
      </c>
      <c r="L1705">
        <v>54.3</v>
      </c>
    </row>
    <row r="1706" spans="1:12">
      <c r="A1706" s="1">
        <v>46031</v>
      </c>
      <c r="B1706" t="s">
        <v>11034</v>
      </c>
      <c r="C1706">
        <v>24</v>
      </c>
      <c r="D1706" t="str">
        <f>VLOOKUP(Tabela26[[#This Row],[EMP]],[1]LOJA!$A:$B,2,0)</f>
        <v>LUZIÂNIA</v>
      </c>
      <c r="E1706">
        <v>150</v>
      </c>
      <c r="F1706" t="s">
        <v>4892</v>
      </c>
      <c r="G1706" t="s">
        <v>4891</v>
      </c>
      <c r="H1706" t="s">
        <v>3401</v>
      </c>
      <c r="I1706">
        <v>5102</v>
      </c>
      <c r="J1706" s="3">
        <v>70</v>
      </c>
      <c r="K1706" s="3">
        <v>47.38</v>
      </c>
      <c r="L1706">
        <v>32.31</v>
      </c>
    </row>
    <row r="1707" spans="1:12">
      <c r="A1707" s="1">
        <v>46031</v>
      </c>
      <c r="B1707" t="s">
        <v>11033</v>
      </c>
      <c r="C1707">
        <v>24</v>
      </c>
      <c r="D1707" t="str">
        <f>VLOOKUP(Tabela26[[#This Row],[EMP]],[1]LOJA!$A:$B,2,0)</f>
        <v>LUZIÂNIA</v>
      </c>
      <c r="E1707">
        <v>150</v>
      </c>
      <c r="F1707" t="s">
        <v>4189</v>
      </c>
      <c r="G1707" t="s">
        <v>4188</v>
      </c>
      <c r="H1707" t="s">
        <v>3401</v>
      </c>
      <c r="I1707">
        <v>5102</v>
      </c>
      <c r="J1707" s="3">
        <v>51</v>
      </c>
      <c r="K1707" s="3">
        <v>21.14</v>
      </c>
      <c r="L1707">
        <v>58.55</v>
      </c>
    </row>
    <row r="1708" spans="1:12">
      <c r="A1708" s="1">
        <v>46031</v>
      </c>
      <c r="B1708" t="s">
        <v>11032</v>
      </c>
      <c r="C1708">
        <v>24</v>
      </c>
      <c r="D1708" t="str">
        <f>VLOOKUP(Tabela26[[#This Row],[EMP]],[1]LOJA!$A:$B,2,0)</f>
        <v>LUZIÂNIA</v>
      </c>
      <c r="E1708">
        <v>192</v>
      </c>
      <c r="F1708" t="s">
        <v>3524</v>
      </c>
      <c r="G1708" t="s">
        <v>3402</v>
      </c>
      <c r="H1708" t="s">
        <v>3401</v>
      </c>
      <c r="I1708">
        <v>5405</v>
      </c>
      <c r="J1708" s="3">
        <v>29</v>
      </c>
      <c r="K1708" s="3">
        <v>12.04</v>
      </c>
      <c r="L1708">
        <v>58.48</v>
      </c>
    </row>
    <row r="1709" spans="1:12">
      <c r="A1709" s="1">
        <v>46031</v>
      </c>
      <c r="B1709" t="s">
        <v>11031</v>
      </c>
      <c r="C1709">
        <v>24</v>
      </c>
      <c r="D1709" t="str">
        <f>VLOOKUP(Tabela26[[#This Row],[EMP]],[1]LOJA!$A:$B,2,0)</f>
        <v>LUZIÂNIA</v>
      </c>
      <c r="E1709">
        <v>192</v>
      </c>
      <c r="F1709" t="s">
        <v>11030</v>
      </c>
      <c r="G1709" t="s">
        <v>3402</v>
      </c>
      <c r="H1709" t="s">
        <v>3401</v>
      </c>
      <c r="I1709">
        <v>5405</v>
      </c>
      <c r="J1709" s="3">
        <v>65</v>
      </c>
      <c r="K1709" s="3">
        <v>26.67</v>
      </c>
      <c r="L1709">
        <v>58.97</v>
      </c>
    </row>
    <row r="1710" spans="1:12">
      <c r="A1710" s="1">
        <v>46031</v>
      </c>
      <c r="B1710" t="s">
        <v>11029</v>
      </c>
      <c r="C1710">
        <v>24</v>
      </c>
      <c r="D1710" t="str">
        <f>VLOOKUP(Tabela26[[#This Row],[EMP]],[1]LOJA!$A:$B,2,0)</f>
        <v>LUZIÂNIA</v>
      </c>
      <c r="E1710">
        <v>192</v>
      </c>
      <c r="F1710" t="s">
        <v>3524</v>
      </c>
      <c r="G1710" t="s">
        <v>3402</v>
      </c>
      <c r="H1710" t="s">
        <v>3401</v>
      </c>
      <c r="I1710">
        <v>5102</v>
      </c>
      <c r="J1710" s="3">
        <v>23</v>
      </c>
      <c r="K1710" s="3">
        <v>13.32</v>
      </c>
      <c r="L1710">
        <v>42.09</v>
      </c>
    </row>
    <row r="1711" spans="1:12">
      <c r="A1711" s="1">
        <v>46031</v>
      </c>
      <c r="B1711" t="s">
        <v>11028</v>
      </c>
      <c r="C1711">
        <v>24</v>
      </c>
      <c r="D1711" t="str">
        <f>VLOOKUP(Tabela26[[#This Row],[EMP]],[1]LOJA!$A:$B,2,0)</f>
        <v>LUZIÂNIA</v>
      </c>
      <c r="E1711">
        <v>192</v>
      </c>
      <c r="F1711" t="s">
        <v>11027</v>
      </c>
      <c r="G1711" t="s">
        <v>11026</v>
      </c>
      <c r="H1711" t="s">
        <v>3401</v>
      </c>
      <c r="I1711">
        <v>5102</v>
      </c>
      <c r="J1711" s="3">
        <v>433</v>
      </c>
      <c r="K1711" s="3">
        <v>303.44</v>
      </c>
      <c r="L1711">
        <v>29.92</v>
      </c>
    </row>
    <row r="1712" spans="1:12">
      <c r="A1712" s="1">
        <v>46031</v>
      </c>
      <c r="B1712" t="s">
        <v>11025</v>
      </c>
      <c r="C1712">
        <v>24</v>
      </c>
      <c r="D1712" t="str">
        <f>VLOOKUP(Tabela26[[#This Row],[EMP]],[1]LOJA!$A:$B,2,0)</f>
        <v>LUZIÂNIA</v>
      </c>
      <c r="E1712">
        <v>242</v>
      </c>
      <c r="F1712" t="s">
        <v>3524</v>
      </c>
      <c r="G1712" t="s">
        <v>3402</v>
      </c>
      <c r="H1712" t="s">
        <v>3401</v>
      </c>
      <c r="I1712">
        <v>5405</v>
      </c>
      <c r="J1712" s="3">
        <v>220</v>
      </c>
      <c r="K1712" s="3">
        <v>122.84</v>
      </c>
      <c r="L1712">
        <v>44.16</v>
      </c>
    </row>
    <row r="1713" spans="1:12">
      <c r="A1713" s="1">
        <v>46031</v>
      </c>
      <c r="B1713" t="s">
        <v>11024</v>
      </c>
      <c r="C1713">
        <v>24</v>
      </c>
      <c r="D1713" t="str">
        <f>VLOOKUP(Tabela26[[#This Row],[EMP]],[1]LOJA!$A:$B,2,0)</f>
        <v>LUZIÂNIA</v>
      </c>
      <c r="E1713">
        <v>192</v>
      </c>
      <c r="F1713" t="s">
        <v>4222</v>
      </c>
      <c r="G1713" t="s">
        <v>4221</v>
      </c>
      <c r="H1713" t="s">
        <v>3408</v>
      </c>
      <c r="I1713">
        <v>5405</v>
      </c>
      <c r="J1713" s="3">
        <v>295</v>
      </c>
      <c r="K1713" s="3">
        <v>142.6</v>
      </c>
      <c r="L1713">
        <v>51.66</v>
      </c>
    </row>
    <row r="1714" spans="1:12">
      <c r="A1714" s="1">
        <v>46031</v>
      </c>
      <c r="B1714" t="s">
        <v>11023</v>
      </c>
      <c r="C1714">
        <v>24</v>
      </c>
      <c r="D1714" t="str">
        <f>VLOOKUP(Tabela26[[#This Row],[EMP]],[1]LOJA!$A:$B,2,0)</f>
        <v>LUZIÂNIA</v>
      </c>
      <c r="E1714">
        <v>150</v>
      </c>
      <c r="F1714" t="s">
        <v>4201</v>
      </c>
      <c r="G1714" t="s">
        <v>4200</v>
      </c>
      <c r="H1714" t="s">
        <v>3408</v>
      </c>
      <c r="I1714">
        <v>5102</v>
      </c>
      <c r="J1714" s="3">
        <v>459.2</v>
      </c>
      <c r="K1714" s="3">
        <v>268.66000000000003</v>
      </c>
      <c r="L1714">
        <v>41.49</v>
      </c>
    </row>
    <row r="1715" spans="1:12">
      <c r="A1715" s="1">
        <v>46031</v>
      </c>
      <c r="B1715" t="s">
        <v>11022</v>
      </c>
      <c r="C1715">
        <v>24</v>
      </c>
      <c r="D1715" t="str">
        <f>VLOOKUP(Tabela26[[#This Row],[EMP]],[1]LOJA!$A:$B,2,0)</f>
        <v>LUZIÂNIA</v>
      </c>
      <c r="E1715">
        <v>192</v>
      </c>
      <c r="F1715" t="s">
        <v>4883</v>
      </c>
      <c r="G1715" t="s">
        <v>4882</v>
      </c>
      <c r="H1715" t="s">
        <v>3408</v>
      </c>
      <c r="I1715">
        <v>5102</v>
      </c>
      <c r="J1715" s="3">
        <v>99</v>
      </c>
      <c r="K1715" s="3">
        <v>58.38</v>
      </c>
      <c r="L1715">
        <v>41.03</v>
      </c>
    </row>
    <row r="1716" spans="1:12">
      <c r="A1716" s="1">
        <v>46031</v>
      </c>
      <c r="B1716" t="s">
        <v>11021</v>
      </c>
      <c r="C1716">
        <v>24</v>
      </c>
      <c r="D1716" t="str">
        <f>VLOOKUP(Tabela26[[#This Row],[EMP]],[1]LOJA!$A:$B,2,0)</f>
        <v>LUZIÂNIA</v>
      </c>
      <c r="E1716">
        <v>192</v>
      </c>
      <c r="F1716" t="s">
        <v>3524</v>
      </c>
      <c r="G1716" t="s">
        <v>3402</v>
      </c>
      <c r="H1716" t="s">
        <v>3401</v>
      </c>
      <c r="I1716">
        <v>5405</v>
      </c>
      <c r="J1716" s="3">
        <v>153</v>
      </c>
      <c r="K1716" s="3">
        <v>82.5</v>
      </c>
      <c r="L1716">
        <v>46.08</v>
      </c>
    </row>
    <row r="1717" spans="1:12">
      <c r="A1717" s="1">
        <v>46031</v>
      </c>
      <c r="B1717" t="s">
        <v>11020</v>
      </c>
      <c r="C1717">
        <v>24</v>
      </c>
      <c r="D1717" t="str">
        <f>VLOOKUP(Tabela26[[#This Row],[EMP]],[1]LOJA!$A:$B,2,0)</f>
        <v>LUZIÂNIA</v>
      </c>
      <c r="E1717">
        <v>242</v>
      </c>
      <c r="F1717" t="s">
        <v>3524</v>
      </c>
      <c r="G1717" t="s">
        <v>3402</v>
      </c>
      <c r="H1717" t="s">
        <v>3401</v>
      </c>
      <c r="I1717">
        <v>5405</v>
      </c>
      <c r="J1717" s="3">
        <v>15</v>
      </c>
      <c r="K1717" s="3">
        <v>6.36</v>
      </c>
      <c r="L1717">
        <v>57.6</v>
      </c>
    </row>
    <row r="1718" spans="1:12">
      <c r="A1718" s="1">
        <v>46031</v>
      </c>
      <c r="B1718" t="s">
        <v>11019</v>
      </c>
      <c r="C1718">
        <v>24</v>
      </c>
      <c r="D1718" t="str">
        <f>VLOOKUP(Tabela26[[#This Row],[EMP]],[1]LOJA!$A:$B,2,0)</f>
        <v>LUZIÂNIA</v>
      </c>
      <c r="E1718">
        <v>192</v>
      </c>
      <c r="F1718" t="s">
        <v>5917</v>
      </c>
      <c r="G1718" t="s">
        <v>5916</v>
      </c>
      <c r="H1718" t="s">
        <v>3408</v>
      </c>
      <c r="I1718">
        <v>5405</v>
      </c>
      <c r="J1718" s="3">
        <v>85</v>
      </c>
      <c r="K1718" s="3">
        <v>42.96</v>
      </c>
      <c r="L1718">
        <v>49.46</v>
      </c>
    </row>
    <row r="1719" spans="1:12">
      <c r="A1719" s="1">
        <v>46031</v>
      </c>
      <c r="B1719" t="s">
        <v>11018</v>
      </c>
      <c r="C1719">
        <v>24</v>
      </c>
      <c r="D1719" t="str">
        <f>VLOOKUP(Tabela26[[#This Row],[EMP]],[1]LOJA!$A:$B,2,0)</f>
        <v>LUZIÂNIA</v>
      </c>
      <c r="E1719">
        <v>150</v>
      </c>
      <c r="F1719" t="s">
        <v>5111</v>
      </c>
      <c r="G1719" t="s">
        <v>3402</v>
      </c>
      <c r="H1719" t="s">
        <v>3408</v>
      </c>
      <c r="I1719">
        <v>5102</v>
      </c>
      <c r="J1719" s="3">
        <v>20</v>
      </c>
      <c r="K1719" s="3">
        <v>9.17</v>
      </c>
      <c r="L1719">
        <v>54.15</v>
      </c>
    </row>
    <row r="1720" spans="1:12">
      <c r="A1720" s="1">
        <v>46031</v>
      </c>
      <c r="B1720" t="s">
        <v>11017</v>
      </c>
      <c r="C1720">
        <v>24</v>
      </c>
      <c r="D1720" t="str">
        <f>VLOOKUP(Tabela26[[#This Row],[EMP]],[1]LOJA!$A:$B,2,0)</f>
        <v>LUZIÂNIA</v>
      </c>
      <c r="E1720">
        <v>192</v>
      </c>
      <c r="F1720" t="s">
        <v>3524</v>
      </c>
      <c r="G1720" t="s">
        <v>3402</v>
      </c>
      <c r="H1720" t="s">
        <v>3401</v>
      </c>
      <c r="I1720">
        <v>5405</v>
      </c>
      <c r="J1720" s="3">
        <v>55</v>
      </c>
      <c r="K1720" s="3">
        <v>26.53</v>
      </c>
      <c r="L1720">
        <v>51.76</v>
      </c>
    </row>
    <row r="1721" spans="1:12">
      <c r="A1721" s="1">
        <v>46031</v>
      </c>
      <c r="B1721" t="s">
        <v>11016</v>
      </c>
      <c r="C1721">
        <v>24</v>
      </c>
      <c r="D1721" t="str">
        <f>VLOOKUP(Tabela26[[#This Row],[EMP]],[1]LOJA!$A:$B,2,0)</f>
        <v>LUZIÂNIA</v>
      </c>
      <c r="E1721">
        <v>192</v>
      </c>
      <c r="F1721" t="s">
        <v>4832</v>
      </c>
      <c r="G1721" t="s">
        <v>4831</v>
      </c>
      <c r="H1721" t="s">
        <v>3408</v>
      </c>
      <c r="I1721">
        <v>5405</v>
      </c>
      <c r="J1721" s="3">
        <v>380</v>
      </c>
      <c r="K1721" s="3">
        <v>172.7</v>
      </c>
      <c r="L1721">
        <v>54.55</v>
      </c>
    </row>
    <row r="1722" spans="1:12">
      <c r="A1722" s="1">
        <v>46031</v>
      </c>
      <c r="B1722" t="s">
        <v>11015</v>
      </c>
      <c r="C1722">
        <v>24</v>
      </c>
      <c r="D1722" t="str">
        <f>VLOOKUP(Tabela26[[#This Row],[EMP]],[1]LOJA!$A:$B,2,0)</f>
        <v>LUZIÂNIA</v>
      </c>
      <c r="E1722">
        <v>192</v>
      </c>
      <c r="F1722" t="s">
        <v>3524</v>
      </c>
      <c r="G1722" t="s">
        <v>3402</v>
      </c>
      <c r="H1722" t="s">
        <v>3401</v>
      </c>
      <c r="I1722">
        <v>5102</v>
      </c>
      <c r="J1722" s="3">
        <v>36.5</v>
      </c>
      <c r="K1722" s="3">
        <v>17.7</v>
      </c>
      <c r="L1722">
        <v>51.51</v>
      </c>
    </row>
    <row r="1723" spans="1:12">
      <c r="A1723" s="1">
        <v>46031</v>
      </c>
      <c r="B1723" t="s">
        <v>11014</v>
      </c>
      <c r="C1723">
        <v>24</v>
      </c>
      <c r="D1723" t="str">
        <f>VLOOKUP(Tabela26[[#This Row],[EMP]],[1]LOJA!$A:$B,2,0)</f>
        <v>LUZIÂNIA</v>
      </c>
      <c r="E1723">
        <v>150</v>
      </c>
      <c r="F1723" t="s">
        <v>5943</v>
      </c>
      <c r="G1723" t="s">
        <v>5942</v>
      </c>
      <c r="H1723" t="s">
        <v>3408</v>
      </c>
      <c r="I1723">
        <v>5405</v>
      </c>
      <c r="J1723" s="3">
        <v>60</v>
      </c>
      <c r="K1723" s="3">
        <v>26</v>
      </c>
      <c r="L1723">
        <v>56.67</v>
      </c>
    </row>
    <row r="1724" spans="1:12">
      <c r="A1724" s="1">
        <v>46031</v>
      </c>
      <c r="B1724" t="s">
        <v>11013</v>
      </c>
      <c r="C1724">
        <v>24</v>
      </c>
      <c r="D1724" t="str">
        <f>VLOOKUP(Tabela26[[#This Row],[EMP]],[1]LOJA!$A:$B,2,0)</f>
        <v>LUZIÂNIA</v>
      </c>
      <c r="E1724">
        <v>192</v>
      </c>
      <c r="F1724" t="s">
        <v>3524</v>
      </c>
      <c r="G1724" t="s">
        <v>3402</v>
      </c>
      <c r="H1724" t="s">
        <v>3401</v>
      </c>
      <c r="I1724">
        <v>5102</v>
      </c>
      <c r="J1724" s="3">
        <v>11</v>
      </c>
      <c r="K1724" s="3">
        <v>5.95</v>
      </c>
      <c r="L1724">
        <v>45.91</v>
      </c>
    </row>
    <row r="1725" spans="1:12">
      <c r="A1725" s="1">
        <v>46031</v>
      </c>
      <c r="B1725" t="s">
        <v>11012</v>
      </c>
      <c r="C1725">
        <v>24</v>
      </c>
      <c r="D1725" t="str">
        <f>VLOOKUP(Tabela26[[#This Row],[EMP]],[1]LOJA!$A:$B,2,0)</f>
        <v>LUZIÂNIA</v>
      </c>
      <c r="E1725">
        <v>192</v>
      </c>
      <c r="F1725" t="s">
        <v>4832</v>
      </c>
      <c r="G1725" t="s">
        <v>4831</v>
      </c>
      <c r="H1725" t="s">
        <v>3408</v>
      </c>
      <c r="I1725">
        <v>5405</v>
      </c>
      <c r="J1725" s="3">
        <v>40</v>
      </c>
      <c r="K1725" s="3">
        <v>16.93</v>
      </c>
      <c r="L1725">
        <v>57.68</v>
      </c>
    </row>
    <row r="1726" spans="1:12">
      <c r="A1726" s="1">
        <v>46031</v>
      </c>
      <c r="B1726" t="s">
        <v>11011</v>
      </c>
      <c r="C1726">
        <v>24</v>
      </c>
      <c r="D1726" t="str">
        <f>VLOOKUP(Tabela26[[#This Row],[EMP]],[1]LOJA!$A:$B,2,0)</f>
        <v>LUZIÂNIA</v>
      </c>
      <c r="E1726">
        <v>192</v>
      </c>
      <c r="F1726" t="s">
        <v>3524</v>
      </c>
      <c r="G1726" t="s">
        <v>3402</v>
      </c>
      <c r="H1726" t="s">
        <v>3401</v>
      </c>
      <c r="I1726">
        <v>5102</v>
      </c>
      <c r="J1726" s="3">
        <v>469</v>
      </c>
      <c r="K1726" s="3">
        <v>286.58999999999997</v>
      </c>
      <c r="L1726">
        <v>38.89</v>
      </c>
    </row>
    <row r="1727" spans="1:12">
      <c r="A1727" s="1">
        <v>46031</v>
      </c>
      <c r="B1727" t="s">
        <v>11010</v>
      </c>
      <c r="C1727">
        <v>24</v>
      </c>
      <c r="D1727" t="str">
        <f>VLOOKUP(Tabela26[[#This Row],[EMP]],[1]LOJA!$A:$B,2,0)</f>
        <v>LUZIÂNIA</v>
      </c>
      <c r="E1727">
        <v>192</v>
      </c>
      <c r="F1727" t="s">
        <v>4895</v>
      </c>
      <c r="G1727" t="s">
        <v>3402</v>
      </c>
      <c r="H1727" t="s">
        <v>3408</v>
      </c>
      <c r="I1727">
        <v>5102</v>
      </c>
      <c r="J1727" s="3">
        <v>83</v>
      </c>
      <c r="K1727" s="3">
        <v>50.51</v>
      </c>
      <c r="L1727">
        <v>39.14</v>
      </c>
    </row>
    <row r="1728" spans="1:12">
      <c r="A1728" s="1">
        <v>46031</v>
      </c>
      <c r="B1728" t="s">
        <v>11009</v>
      </c>
      <c r="C1728">
        <v>24</v>
      </c>
      <c r="D1728" t="str">
        <f>VLOOKUP(Tabela26[[#This Row],[EMP]],[1]LOJA!$A:$B,2,0)</f>
        <v>LUZIÂNIA</v>
      </c>
      <c r="E1728">
        <v>192</v>
      </c>
      <c r="F1728" t="s">
        <v>4883</v>
      </c>
      <c r="G1728" t="s">
        <v>4882</v>
      </c>
      <c r="H1728" t="s">
        <v>3408</v>
      </c>
      <c r="I1728">
        <v>5102</v>
      </c>
      <c r="J1728" s="3">
        <v>38</v>
      </c>
      <c r="K1728" s="3">
        <v>23.07</v>
      </c>
      <c r="L1728">
        <v>39.29</v>
      </c>
    </row>
    <row r="1729" spans="1:12">
      <c r="A1729" s="1">
        <v>46031</v>
      </c>
      <c r="B1729" t="s">
        <v>11008</v>
      </c>
      <c r="C1729">
        <v>12</v>
      </c>
      <c r="D1729" t="str">
        <f>VLOOKUP(Tabela26[[#This Row],[EMP]],[1]LOJA!$A:$B,2,0)</f>
        <v>SOFNORTE</v>
      </c>
      <c r="E1729">
        <v>60</v>
      </c>
      <c r="F1729" t="s">
        <v>3518</v>
      </c>
      <c r="G1729" t="s">
        <v>3517</v>
      </c>
      <c r="H1729" t="s">
        <v>3430</v>
      </c>
      <c r="I1729">
        <v>5405</v>
      </c>
      <c r="J1729" s="3">
        <v>48</v>
      </c>
      <c r="K1729" s="3">
        <v>22.17</v>
      </c>
      <c r="L1729">
        <v>53.81</v>
      </c>
    </row>
    <row r="1730" spans="1:12">
      <c r="A1730" s="1">
        <v>46031</v>
      </c>
      <c r="B1730" t="s">
        <v>11007</v>
      </c>
      <c r="C1730">
        <v>12</v>
      </c>
      <c r="D1730" t="str">
        <f>VLOOKUP(Tabela26[[#This Row],[EMP]],[1]LOJA!$A:$B,2,0)</f>
        <v>SOFNORTE</v>
      </c>
      <c r="E1730">
        <v>60</v>
      </c>
      <c r="F1730" t="s">
        <v>3709</v>
      </c>
      <c r="G1730" t="s">
        <v>3708</v>
      </c>
      <c r="H1730" t="s">
        <v>10982</v>
      </c>
      <c r="I1730">
        <v>5102</v>
      </c>
      <c r="J1730" s="3">
        <v>81</v>
      </c>
      <c r="K1730" s="3">
        <v>46.6</v>
      </c>
      <c r="L1730">
        <v>42.47</v>
      </c>
    </row>
    <row r="1731" spans="1:12">
      <c r="A1731" s="1">
        <v>46031</v>
      </c>
      <c r="B1731" t="s">
        <v>11006</v>
      </c>
      <c r="C1731">
        <v>12</v>
      </c>
      <c r="D1731" t="str">
        <f>VLOOKUP(Tabela26[[#This Row],[EMP]],[1]LOJA!$A:$B,2,0)</f>
        <v>SOFNORTE</v>
      </c>
      <c r="E1731">
        <v>60</v>
      </c>
      <c r="F1731" t="s">
        <v>4156</v>
      </c>
      <c r="G1731" t="s">
        <v>4155</v>
      </c>
      <c r="H1731" t="s">
        <v>7505</v>
      </c>
      <c r="I1731">
        <v>5102</v>
      </c>
      <c r="J1731" s="3">
        <v>78</v>
      </c>
      <c r="K1731" s="3">
        <v>39.42</v>
      </c>
      <c r="L1731">
        <v>49.46</v>
      </c>
    </row>
    <row r="1732" spans="1:12">
      <c r="A1732" s="1">
        <v>46031</v>
      </c>
      <c r="B1732" t="s">
        <v>11005</v>
      </c>
      <c r="C1732">
        <v>12</v>
      </c>
      <c r="D1732" t="str">
        <f>VLOOKUP(Tabela26[[#This Row],[EMP]],[1]LOJA!$A:$B,2,0)</f>
        <v>SOFNORTE</v>
      </c>
      <c r="E1732">
        <v>60</v>
      </c>
      <c r="F1732" t="s">
        <v>3709</v>
      </c>
      <c r="G1732" t="s">
        <v>3708</v>
      </c>
      <c r="H1732" t="s">
        <v>10982</v>
      </c>
      <c r="I1732">
        <v>5405</v>
      </c>
      <c r="J1732" s="3">
        <v>67.41</v>
      </c>
      <c r="K1732" s="3">
        <v>32.869999999999997</v>
      </c>
      <c r="L1732">
        <v>51.24</v>
      </c>
    </row>
    <row r="1733" spans="1:12">
      <c r="A1733" s="1">
        <v>46031</v>
      </c>
      <c r="B1733" t="s">
        <v>11004</v>
      </c>
      <c r="C1733">
        <v>12</v>
      </c>
      <c r="D1733" t="str">
        <f>VLOOKUP(Tabela26[[#This Row],[EMP]],[1]LOJA!$A:$B,2,0)</f>
        <v>SOFNORTE</v>
      </c>
      <c r="E1733">
        <v>60</v>
      </c>
      <c r="F1733" t="s">
        <v>3709</v>
      </c>
      <c r="G1733" t="s">
        <v>3708</v>
      </c>
      <c r="H1733" t="s">
        <v>10982</v>
      </c>
      <c r="I1733">
        <v>5405</v>
      </c>
      <c r="J1733" s="3">
        <v>77.16</v>
      </c>
      <c r="K1733" s="3">
        <v>42.54</v>
      </c>
      <c r="L1733">
        <v>44.87</v>
      </c>
    </row>
    <row r="1734" spans="1:12">
      <c r="A1734" s="1">
        <v>46031</v>
      </c>
      <c r="B1734" t="s">
        <v>11003</v>
      </c>
      <c r="C1734">
        <v>22</v>
      </c>
      <c r="D1734" t="str">
        <f>VLOOKUP(Tabela26[[#This Row],[EMP]],[1]LOJA!$A:$B,2,0)</f>
        <v>GUARÁ</v>
      </c>
      <c r="E1734">
        <v>93</v>
      </c>
      <c r="F1734" t="s">
        <v>4144</v>
      </c>
      <c r="G1734" t="s">
        <v>4143</v>
      </c>
      <c r="H1734" t="s">
        <v>5459</v>
      </c>
      <c r="I1734">
        <v>5405</v>
      </c>
      <c r="J1734" s="3">
        <v>235.68</v>
      </c>
      <c r="K1734" s="3">
        <v>124.19</v>
      </c>
      <c r="L1734">
        <v>47.31</v>
      </c>
    </row>
    <row r="1735" spans="1:12">
      <c r="A1735" s="1">
        <v>46031</v>
      </c>
      <c r="B1735" t="s">
        <v>11002</v>
      </c>
      <c r="C1735">
        <v>22</v>
      </c>
      <c r="D1735" t="str">
        <f>VLOOKUP(Tabela26[[#This Row],[EMP]],[1]LOJA!$A:$B,2,0)</f>
        <v>GUARÁ</v>
      </c>
      <c r="E1735">
        <v>93</v>
      </c>
      <c r="F1735" t="s">
        <v>3514</v>
      </c>
      <c r="G1735" t="s">
        <v>3513</v>
      </c>
      <c r="H1735" t="s">
        <v>3430</v>
      </c>
      <c r="I1735">
        <v>5405</v>
      </c>
      <c r="J1735" s="3">
        <v>66.72</v>
      </c>
      <c r="K1735" s="3">
        <v>35.65</v>
      </c>
      <c r="L1735">
        <v>46.57</v>
      </c>
    </row>
    <row r="1736" spans="1:12">
      <c r="A1736" s="1">
        <v>46031</v>
      </c>
      <c r="B1736" t="s">
        <v>11001</v>
      </c>
      <c r="C1736">
        <v>22</v>
      </c>
      <c r="D1736" t="str">
        <f>VLOOKUP(Tabela26[[#This Row],[EMP]],[1]LOJA!$A:$B,2,0)</f>
        <v>GUARÁ</v>
      </c>
      <c r="E1736">
        <v>93</v>
      </c>
      <c r="F1736" t="s">
        <v>4147</v>
      </c>
      <c r="G1736" t="s">
        <v>4146</v>
      </c>
      <c r="H1736" t="s">
        <v>3430</v>
      </c>
      <c r="I1736">
        <v>5102</v>
      </c>
      <c r="J1736" s="3">
        <v>461.38</v>
      </c>
      <c r="K1736" s="3">
        <v>271.27</v>
      </c>
      <c r="L1736">
        <v>41.2</v>
      </c>
    </row>
    <row r="1737" spans="1:12">
      <c r="A1737" s="1">
        <v>46031</v>
      </c>
      <c r="B1737" t="s">
        <v>11000</v>
      </c>
      <c r="C1737">
        <v>22</v>
      </c>
      <c r="D1737" t="str">
        <f>VLOOKUP(Tabela26[[#This Row],[EMP]],[1]LOJA!$A:$B,2,0)</f>
        <v>GUARÁ</v>
      </c>
      <c r="E1737">
        <v>93</v>
      </c>
      <c r="F1737" t="s">
        <v>4136</v>
      </c>
      <c r="G1737" t="s">
        <v>4135</v>
      </c>
      <c r="H1737" t="s">
        <v>3430</v>
      </c>
      <c r="I1737">
        <v>5405</v>
      </c>
      <c r="J1737" s="3">
        <v>76.19</v>
      </c>
      <c r="K1737" s="3">
        <v>40.17</v>
      </c>
      <c r="L1737">
        <v>47.28</v>
      </c>
    </row>
    <row r="1738" spans="1:12">
      <c r="A1738" s="1">
        <v>46031</v>
      </c>
      <c r="B1738" t="s">
        <v>10999</v>
      </c>
      <c r="C1738">
        <v>22</v>
      </c>
      <c r="D1738" t="str">
        <f>VLOOKUP(Tabela26[[#This Row],[EMP]],[1]LOJA!$A:$B,2,0)</f>
        <v>GUARÁ</v>
      </c>
      <c r="E1738">
        <v>93</v>
      </c>
      <c r="F1738" t="s">
        <v>4140</v>
      </c>
      <c r="G1738" t="s">
        <v>4139</v>
      </c>
      <c r="H1738" t="s">
        <v>3430</v>
      </c>
      <c r="I1738">
        <v>5102</v>
      </c>
      <c r="J1738" s="3">
        <v>38.299999999999997</v>
      </c>
      <c r="K1738" s="3">
        <v>23.7</v>
      </c>
      <c r="L1738">
        <v>38.119999999999997</v>
      </c>
    </row>
    <row r="1739" spans="1:12">
      <c r="A1739" s="1">
        <v>46031</v>
      </c>
      <c r="B1739" t="s">
        <v>10998</v>
      </c>
      <c r="C1739">
        <v>22</v>
      </c>
      <c r="D1739" t="str">
        <f>VLOOKUP(Tabela26[[#This Row],[EMP]],[1]LOJA!$A:$B,2,0)</f>
        <v>GUARÁ</v>
      </c>
      <c r="E1739">
        <v>93</v>
      </c>
      <c r="F1739" t="s">
        <v>3508</v>
      </c>
      <c r="G1739" t="s">
        <v>3507</v>
      </c>
      <c r="H1739" t="s">
        <v>3430</v>
      </c>
      <c r="I1739">
        <v>5405</v>
      </c>
      <c r="J1739" s="3">
        <v>32.28</v>
      </c>
      <c r="K1739" s="3">
        <v>16.66</v>
      </c>
      <c r="L1739">
        <v>48.39</v>
      </c>
    </row>
    <row r="1740" spans="1:12">
      <c r="A1740" s="1">
        <v>46031</v>
      </c>
      <c r="B1740" t="s">
        <v>10997</v>
      </c>
      <c r="C1740">
        <v>22</v>
      </c>
      <c r="D1740" t="str">
        <f>VLOOKUP(Tabela26[[#This Row],[EMP]],[1]LOJA!$A:$B,2,0)</f>
        <v>GUARÁ</v>
      </c>
      <c r="E1740">
        <v>93</v>
      </c>
      <c r="F1740" t="s">
        <v>4808</v>
      </c>
      <c r="G1740" t="s">
        <v>4807</v>
      </c>
      <c r="H1740" t="s">
        <v>3430</v>
      </c>
      <c r="I1740">
        <v>5405</v>
      </c>
      <c r="J1740" s="3">
        <v>744.17</v>
      </c>
      <c r="K1740" s="3">
        <v>415.64</v>
      </c>
      <c r="L1740">
        <v>44.15</v>
      </c>
    </row>
    <row r="1741" spans="1:12">
      <c r="A1741" s="1">
        <v>46031</v>
      </c>
      <c r="B1741" t="s">
        <v>10996</v>
      </c>
      <c r="C1741">
        <v>13</v>
      </c>
      <c r="D1741" t="str">
        <f>VLOOKUP(Tabela26[[#This Row],[EMP]],[1]LOJA!$A:$B,2,0)</f>
        <v>CEILÂNDIA</v>
      </c>
      <c r="E1741">
        <v>86</v>
      </c>
      <c r="F1741" t="s">
        <v>4118</v>
      </c>
      <c r="G1741" t="s">
        <v>4117</v>
      </c>
      <c r="H1741" t="s">
        <v>3430</v>
      </c>
      <c r="I1741">
        <v>5102</v>
      </c>
      <c r="J1741" s="3">
        <v>152</v>
      </c>
      <c r="K1741" s="3">
        <v>94.23</v>
      </c>
      <c r="L1741">
        <v>38.01</v>
      </c>
    </row>
    <row r="1742" spans="1:12">
      <c r="A1742" s="1">
        <v>46031</v>
      </c>
      <c r="B1742" t="s">
        <v>10995</v>
      </c>
      <c r="C1742">
        <v>13</v>
      </c>
      <c r="D1742" t="str">
        <f>VLOOKUP(Tabela26[[#This Row],[EMP]],[1]LOJA!$A:$B,2,0)</f>
        <v>CEILÂNDIA</v>
      </c>
      <c r="E1742">
        <v>86</v>
      </c>
      <c r="F1742" t="s">
        <v>10994</v>
      </c>
      <c r="G1742" t="s">
        <v>10993</v>
      </c>
      <c r="H1742" t="s">
        <v>3401</v>
      </c>
      <c r="I1742">
        <v>5102</v>
      </c>
      <c r="J1742" s="3">
        <v>1300</v>
      </c>
      <c r="K1742" s="3">
        <v>843.53</v>
      </c>
      <c r="L1742">
        <v>35.11</v>
      </c>
    </row>
    <row r="1743" spans="1:12">
      <c r="A1743" s="1">
        <v>46031</v>
      </c>
      <c r="B1743" t="s">
        <v>10992</v>
      </c>
      <c r="C1743">
        <v>13</v>
      </c>
      <c r="D1743" t="str">
        <f>VLOOKUP(Tabela26[[#This Row],[EMP]],[1]LOJA!$A:$B,2,0)</f>
        <v>CEILÂNDIA</v>
      </c>
      <c r="E1743">
        <v>86</v>
      </c>
      <c r="F1743" t="s">
        <v>5339</v>
      </c>
      <c r="G1743" t="s">
        <v>5338</v>
      </c>
      <c r="H1743" t="s">
        <v>3401</v>
      </c>
      <c r="I1743">
        <v>1202</v>
      </c>
      <c r="J1743" s="3">
        <v>-107.7</v>
      </c>
      <c r="K1743" s="3">
        <v>-58.38</v>
      </c>
      <c r="L1743">
        <v>45.79</v>
      </c>
    </row>
    <row r="1744" spans="1:12">
      <c r="A1744" s="1">
        <v>46031</v>
      </c>
      <c r="B1744" t="s">
        <v>10991</v>
      </c>
      <c r="C1744">
        <v>13</v>
      </c>
      <c r="D1744" t="str">
        <f>VLOOKUP(Tabela26[[#This Row],[EMP]],[1]LOJA!$A:$B,2,0)</f>
        <v>CEILÂNDIA</v>
      </c>
      <c r="E1744">
        <v>86</v>
      </c>
      <c r="F1744" t="s">
        <v>4088</v>
      </c>
      <c r="G1744" t="s">
        <v>4087</v>
      </c>
      <c r="H1744" t="s">
        <v>10982</v>
      </c>
      <c r="I1744">
        <v>5102</v>
      </c>
      <c r="J1744" s="3">
        <v>140</v>
      </c>
      <c r="K1744" s="3">
        <v>94.76</v>
      </c>
      <c r="L1744">
        <v>32.31</v>
      </c>
    </row>
    <row r="1745" spans="1:12">
      <c r="A1745" s="1">
        <v>46031</v>
      </c>
      <c r="B1745" t="s">
        <v>10990</v>
      </c>
      <c r="C1745">
        <v>13</v>
      </c>
      <c r="D1745" t="str">
        <f>VLOOKUP(Tabela26[[#This Row],[EMP]],[1]LOJA!$A:$B,2,0)</f>
        <v>CEILÂNDIA</v>
      </c>
      <c r="E1745">
        <v>86</v>
      </c>
      <c r="F1745" t="s">
        <v>3505</v>
      </c>
      <c r="G1745" t="s">
        <v>3504</v>
      </c>
      <c r="H1745" t="s">
        <v>3430</v>
      </c>
      <c r="I1745">
        <v>5405</v>
      </c>
      <c r="J1745" s="3">
        <v>280.64999999999998</v>
      </c>
      <c r="K1745" s="3">
        <v>147.68</v>
      </c>
      <c r="L1745">
        <v>47.38</v>
      </c>
    </row>
    <row r="1746" spans="1:12">
      <c r="A1746" s="1">
        <v>46031</v>
      </c>
      <c r="B1746" t="s">
        <v>10989</v>
      </c>
      <c r="C1746">
        <v>13</v>
      </c>
      <c r="D1746" t="str">
        <f>VLOOKUP(Tabela26[[#This Row],[EMP]],[1]LOJA!$A:$B,2,0)</f>
        <v>CEILÂNDIA</v>
      </c>
      <c r="E1746">
        <v>86</v>
      </c>
      <c r="F1746" t="s">
        <v>4097</v>
      </c>
      <c r="G1746" t="s">
        <v>4096</v>
      </c>
      <c r="H1746" t="s">
        <v>3430</v>
      </c>
      <c r="I1746">
        <v>5102</v>
      </c>
      <c r="J1746" s="3">
        <v>212.65</v>
      </c>
      <c r="K1746" s="3">
        <v>113.37</v>
      </c>
      <c r="L1746">
        <v>46.69</v>
      </c>
    </row>
    <row r="1747" spans="1:12">
      <c r="A1747" s="1">
        <v>46031</v>
      </c>
      <c r="B1747" t="s">
        <v>10988</v>
      </c>
      <c r="C1747">
        <v>13</v>
      </c>
      <c r="D1747" t="str">
        <f>VLOOKUP(Tabela26[[#This Row],[EMP]],[1]LOJA!$A:$B,2,0)</f>
        <v>CEILÂNDIA</v>
      </c>
      <c r="E1747">
        <v>86</v>
      </c>
      <c r="F1747" t="s">
        <v>3501</v>
      </c>
      <c r="G1747" t="s">
        <v>3500</v>
      </c>
      <c r="H1747" t="s">
        <v>3430</v>
      </c>
      <c r="I1747">
        <v>5405</v>
      </c>
      <c r="J1747" s="3">
        <v>140</v>
      </c>
      <c r="K1747" s="3">
        <v>75.13</v>
      </c>
      <c r="L1747">
        <v>46.34</v>
      </c>
    </row>
    <row r="1748" spans="1:12">
      <c r="A1748" s="1">
        <v>46031</v>
      </c>
      <c r="B1748" t="s">
        <v>10987</v>
      </c>
      <c r="C1748">
        <v>13</v>
      </c>
      <c r="D1748" t="str">
        <f>VLOOKUP(Tabela26[[#This Row],[EMP]],[1]LOJA!$A:$B,2,0)</f>
        <v>CEILÂNDIA</v>
      </c>
      <c r="E1748">
        <v>86</v>
      </c>
      <c r="F1748" t="s">
        <v>4775</v>
      </c>
      <c r="G1748" t="s">
        <v>4774</v>
      </c>
      <c r="H1748" t="s">
        <v>10982</v>
      </c>
      <c r="I1748">
        <v>5405</v>
      </c>
      <c r="J1748" s="3">
        <v>245</v>
      </c>
      <c r="K1748" s="3">
        <v>119.58</v>
      </c>
      <c r="L1748">
        <v>51.19</v>
      </c>
    </row>
    <row r="1749" spans="1:12">
      <c r="A1749" s="1">
        <v>46031</v>
      </c>
      <c r="B1749" t="s">
        <v>10986</v>
      </c>
      <c r="C1749">
        <v>13</v>
      </c>
      <c r="D1749" t="str">
        <f>VLOOKUP(Tabela26[[#This Row],[EMP]],[1]LOJA!$A:$B,2,0)</f>
        <v>CEILÂNDIA</v>
      </c>
      <c r="E1749">
        <v>86</v>
      </c>
      <c r="F1749" t="s">
        <v>4081</v>
      </c>
      <c r="G1749" t="s">
        <v>4080</v>
      </c>
      <c r="H1749" t="s">
        <v>10982</v>
      </c>
      <c r="I1749">
        <v>5102</v>
      </c>
      <c r="J1749" s="3">
        <v>15</v>
      </c>
      <c r="K1749" s="3">
        <v>8.4700000000000006</v>
      </c>
      <c r="L1749">
        <v>43.53</v>
      </c>
    </row>
    <row r="1750" spans="1:12">
      <c r="A1750" s="1">
        <v>46031</v>
      </c>
      <c r="B1750" t="s">
        <v>10985</v>
      </c>
      <c r="C1750">
        <v>13</v>
      </c>
      <c r="D1750" t="str">
        <f>VLOOKUP(Tabela26[[#This Row],[EMP]],[1]LOJA!$A:$B,2,0)</f>
        <v>CEILÂNDIA</v>
      </c>
      <c r="E1750">
        <v>86</v>
      </c>
      <c r="F1750" t="s">
        <v>4115</v>
      </c>
      <c r="G1750" t="s">
        <v>4114</v>
      </c>
      <c r="H1750" t="s">
        <v>3430</v>
      </c>
      <c r="I1750">
        <v>5102</v>
      </c>
      <c r="J1750" s="3">
        <v>25.01</v>
      </c>
      <c r="K1750" s="3">
        <v>12.57</v>
      </c>
      <c r="L1750">
        <v>49.74</v>
      </c>
    </row>
    <row r="1751" spans="1:12">
      <c r="A1751" s="1">
        <v>46031</v>
      </c>
      <c r="B1751" t="s">
        <v>10984</v>
      </c>
      <c r="C1751">
        <v>13</v>
      </c>
      <c r="D1751" t="str">
        <f>VLOOKUP(Tabela26[[#This Row],[EMP]],[1]LOJA!$A:$B,2,0)</f>
        <v>CEILÂNDIA</v>
      </c>
      <c r="E1751">
        <v>33</v>
      </c>
      <c r="F1751" t="s">
        <v>4103</v>
      </c>
      <c r="G1751" t="s">
        <v>4102</v>
      </c>
      <c r="H1751" t="s">
        <v>3430</v>
      </c>
      <c r="I1751">
        <v>5102</v>
      </c>
      <c r="J1751" s="3">
        <v>60</v>
      </c>
      <c r="K1751" s="3">
        <v>28.52</v>
      </c>
      <c r="L1751">
        <v>52.47</v>
      </c>
    </row>
    <row r="1752" spans="1:12">
      <c r="A1752" s="1">
        <v>46031</v>
      </c>
      <c r="B1752" t="s">
        <v>10983</v>
      </c>
      <c r="C1752">
        <v>13</v>
      </c>
      <c r="D1752" t="str">
        <f>VLOOKUP(Tabela26[[#This Row],[EMP]],[1]LOJA!$A:$B,2,0)</f>
        <v>CEILÂNDIA</v>
      </c>
      <c r="E1752">
        <v>33</v>
      </c>
      <c r="F1752" t="s">
        <v>4088</v>
      </c>
      <c r="G1752" t="s">
        <v>4087</v>
      </c>
      <c r="H1752" t="s">
        <v>10982</v>
      </c>
      <c r="I1752">
        <v>5102</v>
      </c>
      <c r="J1752" s="3">
        <v>249</v>
      </c>
      <c r="K1752" s="3">
        <v>195.4</v>
      </c>
      <c r="L1752">
        <v>21.53</v>
      </c>
    </row>
    <row r="1753" spans="1:12">
      <c r="A1753" s="1">
        <v>46031</v>
      </c>
      <c r="B1753" t="s">
        <v>10981</v>
      </c>
      <c r="C1753">
        <v>13</v>
      </c>
      <c r="D1753" t="str">
        <f>VLOOKUP(Tabela26[[#This Row],[EMP]],[1]LOJA!$A:$B,2,0)</f>
        <v>CEILÂNDIA</v>
      </c>
      <c r="E1753">
        <v>86</v>
      </c>
      <c r="F1753" t="s">
        <v>4112</v>
      </c>
      <c r="G1753" t="s">
        <v>4111</v>
      </c>
      <c r="H1753" t="s">
        <v>3430</v>
      </c>
      <c r="I1753">
        <v>5405</v>
      </c>
      <c r="J1753" s="3">
        <v>59</v>
      </c>
      <c r="K1753" s="3">
        <v>31.61</v>
      </c>
      <c r="L1753">
        <v>46.42</v>
      </c>
    </row>
    <row r="1754" spans="1:12">
      <c r="A1754" s="1">
        <v>46031</v>
      </c>
      <c r="B1754" t="s">
        <v>10980</v>
      </c>
      <c r="C1754">
        <v>13</v>
      </c>
      <c r="D1754" t="str">
        <f>VLOOKUP(Tabela26[[#This Row],[EMP]],[1]LOJA!$A:$B,2,0)</f>
        <v>CEILÂNDIA</v>
      </c>
      <c r="E1754">
        <v>33</v>
      </c>
      <c r="F1754" t="s">
        <v>4781</v>
      </c>
      <c r="G1754" t="s">
        <v>4780</v>
      </c>
      <c r="H1754" t="s">
        <v>3430</v>
      </c>
      <c r="I1754">
        <v>5405</v>
      </c>
      <c r="J1754" s="3">
        <v>300</v>
      </c>
      <c r="K1754" s="3">
        <v>152.88</v>
      </c>
      <c r="L1754">
        <v>49.04</v>
      </c>
    </row>
    <row r="1755" spans="1:12">
      <c r="A1755" s="1">
        <v>46031</v>
      </c>
      <c r="B1755" t="s">
        <v>4771</v>
      </c>
      <c r="C1755">
        <v>15</v>
      </c>
      <c r="D1755" t="str">
        <f>VLOOKUP(Tabela26[[#This Row],[EMP]],[1]LOJA!$A:$B,2,0)</f>
        <v>UNAÍ</v>
      </c>
      <c r="E1755">
        <v>183</v>
      </c>
      <c r="F1755" t="s">
        <v>5302</v>
      </c>
      <c r="G1755" t="s">
        <v>5301</v>
      </c>
      <c r="H1755" t="s">
        <v>3430</v>
      </c>
      <c r="I1755">
        <v>5102</v>
      </c>
      <c r="J1755" s="3">
        <v>64.8</v>
      </c>
      <c r="K1755" s="3">
        <v>32.799999999999997</v>
      </c>
      <c r="L1755">
        <v>49.38</v>
      </c>
    </row>
    <row r="1756" spans="1:12">
      <c r="A1756" s="1">
        <v>46031</v>
      </c>
      <c r="B1756" t="s">
        <v>4770</v>
      </c>
      <c r="C1756">
        <v>15</v>
      </c>
      <c r="D1756" t="str">
        <f>VLOOKUP(Tabela26[[#This Row],[EMP]],[1]LOJA!$A:$B,2,0)</f>
        <v>UNAÍ</v>
      </c>
      <c r="E1756">
        <v>183</v>
      </c>
      <c r="F1756" t="s">
        <v>3488</v>
      </c>
      <c r="G1756" t="s">
        <v>3487</v>
      </c>
      <c r="H1756" t="s">
        <v>3430</v>
      </c>
      <c r="I1756">
        <v>5102</v>
      </c>
      <c r="J1756" s="3">
        <v>21</v>
      </c>
      <c r="K1756" s="3">
        <v>10.32</v>
      </c>
      <c r="L1756">
        <v>50.86</v>
      </c>
    </row>
    <row r="1757" spans="1:12">
      <c r="A1757" s="1">
        <v>46031</v>
      </c>
      <c r="B1757" t="s">
        <v>4769</v>
      </c>
      <c r="C1757">
        <v>15</v>
      </c>
      <c r="D1757" t="str">
        <f>VLOOKUP(Tabela26[[#This Row],[EMP]],[1]LOJA!$A:$B,2,0)</f>
        <v>UNAÍ</v>
      </c>
      <c r="E1757">
        <v>183</v>
      </c>
      <c r="F1757" t="s">
        <v>7465</v>
      </c>
      <c r="G1757" t="s">
        <v>7464</v>
      </c>
      <c r="H1757" t="s">
        <v>3401</v>
      </c>
      <c r="I1757">
        <v>5405</v>
      </c>
      <c r="J1757" s="3">
        <v>15</v>
      </c>
      <c r="K1757" s="3">
        <v>6.92</v>
      </c>
      <c r="L1757">
        <v>53.87</v>
      </c>
    </row>
    <row r="1758" spans="1:12">
      <c r="A1758" s="1">
        <v>46031</v>
      </c>
      <c r="B1758" t="s">
        <v>10979</v>
      </c>
      <c r="C1758">
        <v>15</v>
      </c>
      <c r="D1758" t="str">
        <f>VLOOKUP(Tabela26[[#This Row],[EMP]],[1]LOJA!$A:$B,2,0)</f>
        <v>UNAÍ</v>
      </c>
      <c r="E1758">
        <v>183</v>
      </c>
      <c r="F1758" t="s">
        <v>3485</v>
      </c>
      <c r="G1758" t="s">
        <v>3402</v>
      </c>
      <c r="H1758" t="s">
        <v>3401</v>
      </c>
      <c r="I1758">
        <v>5102</v>
      </c>
      <c r="J1758" s="3">
        <v>40.6</v>
      </c>
      <c r="K1758" s="3">
        <v>19.23</v>
      </c>
      <c r="L1758">
        <v>52.64</v>
      </c>
    </row>
    <row r="1759" spans="1:12">
      <c r="A1759" s="1">
        <v>46031</v>
      </c>
      <c r="B1759" t="s">
        <v>4768</v>
      </c>
      <c r="C1759">
        <v>15</v>
      </c>
      <c r="D1759" t="str">
        <f>VLOOKUP(Tabela26[[#This Row],[EMP]],[1]LOJA!$A:$B,2,0)</f>
        <v>UNAÍ</v>
      </c>
      <c r="E1759">
        <v>183</v>
      </c>
      <c r="F1759" t="s">
        <v>3485</v>
      </c>
      <c r="G1759" t="s">
        <v>3402</v>
      </c>
      <c r="H1759" t="s">
        <v>3401</v>
      </c>
      <c r="I1759">
        <v>5102</v>
      </c>
      <c r="J1759" s="3">
        <v>242.95</v>
      </c>
      <c r="K1759" s="3">
        <v>143.25</v>
      </c>
      <c r="L1759">
        <v>41.04</v>
      </c>
    </row>
    <row r="1760" spans="1:12">
      <c r="A1760" s="1">
        <v>46031</v>
      </c>
      <c r="B1760" t="s">
        <v>4765</v>
      </c>
      <c r="C1760">
        <v>15</v>
      </c>
      <c r="D1760" t="str">
        <f>VLOOKUP(Tabela26[[#This Row],[EMP]],[1]LOJA!$A:$B,2,0)</f>
        <v>UNAÍ</v>
      </c>
      <c r="E1760">
        <v>183</v>
      </c>
      <c r="F1760" t="s">
        <v>3485</v>
      </c>
      <c r="G1760" t="s">
        <v>3402</v>
      </c>
      <c r="H1760" t="s">
        <v>3401</v>
      </c>
      <c r="I1760">
        <v>5102</v>
      </c>
      <c r="J1760" s="3">
        <v>37.700000000000003</v>
      </c>
      <c r="K1760" s="3">
        <v>23.18</v>
      </c>
      <c r="L1760">
        <v>38.51</v>
      </c>
    </row>
    <row r="1761" spans="1:12">
      <c r="A1761" s="1">
        <v>46031</v>
      </c>
      <c r="B1761" t="s">
        <v>4762</v>
      </c>
      <c r="C1761">
        <v>15</v>
      </c>
      <c r="D1761" t="str">
        <f>VLOOKUP(Tabela26[[#This Row],[EMP]],[1]LOJA!$A:$B,2,0)</f>
        <v>UNAÍ</v>
      </c>
      <c r="E1761">
        <v>183</v>
      </c>
      <c r="F1761" t="s">
        <v>4740</v>
      </c>
      <c r="G1761" t="s">
        <v>4739</v>
      </c>
      <c r="H1761" t="s">
        <v>5459</v>
      </c>
      <c r="I1761">
        <v>5102</v>
      </c>
      <c r="J1761" s="3">
        <v>422.9</v>
      </c>
      <c r="K1761" s="3">
        <v>228.56</v>
      </c>
      <c r="L1761">
        <v>45.95</v>
      </c>
    </row>
    <row r="1762" spans="1:12">
      <c r="A1762" s="1">
        <v>46031</v>
      </c>
      <c r="B1762" t="s">
        <v>4761</v>
      </c>
      <c r="C1762">
        <v>15</v>
      </c>
      <c r="D1762" t="str">
        <f>VLOOKUP(Tabela26[[#This Row],[EMP]],[1]LOJA!$A:$B,2,0)</f>
        <v>UNAÍ</v>
      </c>
      <c r="E1762">
        <v>183</v>
      </c>
      <c r="F1762" t="s">
        <v>10978</v>
      </c>
      <c r="G1762" t="s">
        <v>10977</v>
      </c>
      <c r="H1762" t="s">
        <v>3408</v>
      </c>
      <c r="I1762">
        <v>5405</v>
      </c>
      <c r="J1762" s="3">
        <v>174</v>
      </c>
      <c r="K1762" s="3">
        <v>85.6</v>
      </c>
      <c r="L1762">
        <v>50.8</v>
      </c>
    </row>
    <row r="1763" spans="1:12">
      <c r="A1763" s="1">
        <v>46031</v>
      </c>
      <c r="B1763" t="s">
        <v>4116</v>
      </c>
      <c r="C1763">
        <v>15</v>
      </c>
      <c r="D1763" t="str">
        <f>VLOOKUP(Tabela26[[#This Row],[EMP]],[1]LOJA!$A:$B,2,0)</f>
        <v>UNAÍ</v>
      </c>
      <c r="E1763">
        <v>183</v>
      </c>
      <c r="F1763" t="s">
        <v>3485</v>
      </c>
      <c r="G1763" t="s">
        <v>3402</v>
      </c>
      <c r="H1763" t="s">
        <v>3401</v>
      </c>
      <c r="I1763">
        <v>5102</v>
      </c>
      <c r="J1763" s="3">
        <v>19</v>
      </c>
      <c r="K1763" s="3">
        <v>10.09</v>
      </c>
      <c r="L1763">
        <v>46.89</v>
      </c>
    </row>
    <row r="1764" spans="1:12">
      <c r="A1764" s="1">
        <v>46031</v>
      </c>
      <c r="B1764" t="s">
        <v>4113</v>
      </c>
      <c r="C1764">
        <v>15</v>
      </c>
      <c r="D1764" t="str">
        <f>VLOOKUP(Tabela26[[#This Row],[EMP]],[1]LOJA!$A:$B,2,0)</f>
        <v>UNAÍ</v>
      </c>
      <c r="E1764">
        <v>183</v>
      </c>
      <c r="F1764" t="s">
        <v>3485</v>
      </c>
      <c r="G1764" t="s">
        <v>3402</v>
      </c>
      <c r="H1764" t="s">
        <v>3401</v>
      </c>
      <c r="I1764">
        <v>5102</v>
      </c>
      <c r="J1764" s="3">
        <v>28.2</v>
      </c>
      <c r="K1764" s="3">
        <v>16.260000000000002</v>
      </c>
      <c r="L1764">
        <v>42.34</v>
      </c>
    </row>
    <row r="1765" spans="1:12">
      <c r="A1765" s="1">
        <v>46031</v>
      </c>
      <c r="B1765" t="s">
        <v>4110</v>
      </c>
      <c r="C1765">
        <v>15</v>
      </c>
      <c r="D1765" t="str">
        <f>VLOOKUP(Tabela26[[#This Row],[EMP]],[1]LOJA!$A:$B,2,0)</f>
        <v>UNAÍ</v>
      </c>
      <c r="E1765">
        <v>183</v>
      </c>
      <c r="F1765" t="s">
        <v>10976</v>
      </c>
      <c r="G1765" t="s">
        <v>3402</v>
      </c>
      <c r="H1765" t="s">
        <v>3401</v>
      </c>
      <c r="I1765">
        <v>5102</v>
      </c>
      <c r="J1765" s="3">
        <v>41</v>
      </c>
      <c r="K1765" s="3">
        <v>25.07</v>
      </c>
      <c r="L1765">
        <v>38.85</v>
      </c>
    </row>
    <row r="1766" spans="1:12">
      <c r="A1766" s="1">
        <v>46031</v>
      </c>
      <c r="B1766" t="s">
        <v>4107</v>
      </c>
      <c r="C1766">
        <v>15</v>
      </c>
      <c r="D1766" t="str">
        <f>VLOOKUP(Tabela26[[#This Row],[EMP]],[1]LOJA!$A:$B,2,0)</f>
        <v>UNAÍ</v>
      </c>
      <c r="E1766">
        <v>183</v>
      </c>
      <c r="F1766" t="s">
        <v>5302</v>
      </c>
      <c r="G1766" t="s">
        <v>5301</v>
      </c>
      <c r="H1766" t="s">
        <v>3430</v>
      </c>
      <c r="I1766">
        <v>5102</v>
      </c>
      <c r="J1766" s="3">
        <v>101.52</v>
      </c>
      <c r="K1766" s="3">
        <v>51.26</v>
      </c>
      <c r="L1766">
        <v>49.51</v>
      </c>
    </row>
    <row r="1767" spans="1:12">
      <c r="A1767" s="1">
        <v>46031</v>
      </c>
      <c r="B1767" t="s">
        <v>4104</v>
      </c>
      <c r="C1767">
        <v>15</v>
      </c>
      <c r="D1767" t="str">
        <f>VLOOKUP(Tabela26[[#This Row],[EMP]],[1]LOJA!$A:$B,2,0)</f>
        <v>UNAÍ</v>
      </c>
      <c r="E1767">
        <v>183</v>
      </c>
      <c r="F1767" t="s">
        <v>3497</v>
      </c>
      <c r="G1767" t="s">
        <v>3496</v>
      </c>
      <c r="H1767" t="s">
        <v>5459</v>
      </c>
      <c r="I1767">
        <v>5102</v>
      </c>
      <c r="J1767" s="3">
        <v>67.41</v>
      </c>
      <c r="K1767" s="3">
        <v>32.869999999999997</v>
      </c>
      <c r="L1767">
        <v>51.24</v>
      </c>
    </row>
    <row r="1768" spans="1:12">
      <c r="A1768" s="1">
        <v>46031</v>
      </c>
      <c r="B1768" t="s">
        <v>4101</v>
      </c>
      <c r="C1768">
        <v>15</v>
      </c>
      <c r="D1768" t="str">
        <f>VLOOKUP(Tabela26[[#This Row],[EMP]],[1]LOJA!$A:$B,2,0)</f>
        <v>UNAÍ</v>
      </c>
      <c r="E1768">
        <v>183</v>
      </c>
      <c r="F1768" t="s">
        <v>3485</v>
      </c>
      <c r="G1768" t="s">
        <v>3402</v>
      </c>
      <c r="H1768" t="s">
        <v>3401</v>
      </c>
      <c r="I1768">
        <v>5102</v>
      </c>
      <c r="J1768" s="3">
        <v>68.63</v>
      </c>
      <c r="K1768" s="3">
        <v>42.28</v>
      </c>
      <c r="L1768">
        <v>38.39</v>
      </c>
    </row>
    <row r="1769" spans="1:12">
      <c r="A1769" s="1">
        <v>46031</v>
      </c>
      <c r="B1769" t="s">
        <v>4100</v>
      </c>
      <c r="C1769">
        <v>15</v>
      </c>
      <c r="D1769" t="str">
        <f>VLOOKUP(Tabela26[[#This Row],[EMP]],[1]LOJA!$A:$B,2,0)</f>
        <v>UNAÍ</v>
      </c>
      <c r="E1769">
        <v>183</v>
      </c>
      <c r="F1769" t="s">
        <v>3485</v>
      </c>
      <c r="G1769" t="s">
        <v>3402</v>
      </c>
      <c r="H1769" t="s">
        <v>3401</v>
      </c>
      <c r="I1769">
        <v>5102</v>
      </c>
      <c r="J1769" s="3">
        <v>27.4</v>
      </c>
      <c r="K1769" s="3">
        <v>16.899999999999999</v>
      </c>
      <c r="L1769">
        <v>38.32</v>
      </c>
    </row>
    <row r="1770" spans="1:12">
      <c r="A1770" s="1">
        <v>46031</v>
      </c>
      <c r="B1770" t="s">
        <v>4099</v>
      </c>
      <c r="C1770">
        <v>15</v>
      </c>
      <c r="D1770" t="str">
        <f>VLOOKUP(Tabela26[[#This Row],[EMP]],[1]LOJA!$A:$B,2,0)</f>
        <v>UNAÍ</v>
      </c>
      <c r="E1770">
        <v>183</v>
      </c>
      <c r="F1770" t="s">
        <v>4714</v>
      </c>
      <c r="G1770" t="s">
        <v>4713</v>
      </c>
      <c r="H1770" t="s">
        <v>3401</v>
      </c>
      <c r="I1770">
        <v>5102</v>
      </c>
      <c r="J1770" s="3">
        <v>174</v>
      </c>
      <c r="K1770" s="3">
        <v>100.78</v>
      </c>
      <c r="L1770">
        <v>42.08</v>
      </c>
    </row>
    <row r="1771" spans="1:12">
      <c r="A1771" s="1">
        <v>46031</v>
      </c>
      <c r="B1771" t="s">
        <v>4098</v>
      </c>
      <c r="C1771">
        <v>15</v>
      </c>
      <c r="D1771" t="str">
        <f>VLOOKUP(Tabela26[[#This Row],[EMP]],[1]LOJA!$A:$B,2,0)</f>
        <v>UNAÍ</v>
      </c>
      <c r="E1771">
        <v>183</v>
      </c>
      <c r="F1771" t="s">
        <v>4728</v>
      </c>
      <c r="G1771" t="s">
        <v>4727</v>
      </c>
      <c r="H1771" t="s">
        <v>3401</v>
      </c>
      <c r="I1771">
        <v>5102</v>
      </c>
      <c r="J1771" s="3">
        <v>12.7</v>
      </c>
      <c r="K1771" s="3">
        <v>6.82</v>
      </c>
      <c r="L1771">
        <v>46.3</v>
      </c>
    </row>
    <row r="1772" spans="1:12">
      <c r="A1772" s="1">
        <v>46031</v>
      </c>
      <c r="B1772" t="s">
        <v>4095</v>
      </c>
      <c r="C1772">
        <v>15</v>
      </c>
      <c r="D1772" t="str">
        <f>VLOOKUP(Tabela26[[#This Row],[EMP]],[1]LOJA!$A:$B,2,0)</f>
        <v>UNAÍ</v>
      </c>
      <c r="E1772">
        <v>183</v>
      </c>
      <c r="F1772" t="s">
        <v>4714</v>
      </c>
      <c r="G1772" t="s">
        <v>4713</v>
      </c>
      <c r="H1772" t="s">
        <v>3401</v>
      </c>
      <c r="I1772">
        <v>5102</v>
      </c>
      <c r="J1772" s="3">
        <v>151</v>
      </c>
      <c r="K1772" s="3">
        <v>82.9</v>
      </c>
      <c r="L1772">
        <v>45.1</v>
      </c>
    </row>
    <row r="1773" spans="1:12">
      <c r="A1773" s="1">
        <v>46031</v>
      </c>
      <c r="B1773" t="s">
        <v>4092</v>
      </c>
      <c r="C1773">
        <v>15</v>
      </c>
      <c r="D1773" t="str">
        <f>VLOOKUP(Tabela26[[#This Row],[EMP]],[1]LOJA!$A:$B,2,0)</f>
        <v>UNAÍ</v>
      </c>
      <c r="E1773">
        <v>183</v>
      </c>
      <c r="F1773" t="s">
        <v>5244</v>
      </c>
      <c r="G1773" t="s">
        <v>5243</v>
      </c>
      <c r="H1773" t="s">
        <v>3401</v>
      </c>
      <c r="I1773">
        <v>5102</v>
      </c>
      <c r="J1773" s="3">
        <v>63</v>
      </c>
      <c r="K1773" s="3">
        <v>28.99</v>
      </c>
      <c r="L1773">
        <v>53.98</v>
      </c>
    </row>
    <row r="1774" spans="1:12">
      <c r="A1774" s="1">
        <v>46031</v>
      </c>
      <c r="B1774" t="s">
        <v>4089</v>
      </c>
      <c r="C1774">
        <v>15</v>
      </c>
      <c r="D1774" t="str">
        <f>VLOOKUP(Tabela26[[#This Row],[EMP]],[1]LOJA!$A:$B,2,0)</f>
        <v>UNAÍ</v>
      </c>
      <c r="E1774">
        <v>183</v>
      </c>
      <c r="F1774" t="s">
        <v>3485</v>
      </c>
      <c r="G1774" t="s">
        <v>3402</v>
      </c>
      <c r="H1774" t="s">
        <v>3401</v>
      </c>
      <c r="I1774">
        <v>5102</v>
      </c>
      <c r="J1774" s="3">
        <v>96</v>
      </c>
      <c r="K1774" s="3">
        <v>45.96</v>
      </c>
      <c r="L1774">
        <v>52.13</v>
      </c>
    </row>
    <row r="1775" spans="1:12">
      <c r="A1775" s="1">
        <v>46031</v>
      </c>
      <c r="B1775" t="s">
        <v>4086</v>
      </c>
      <c r="C1775">
        <v>15</v>
      </c>
      <c r="D1775" t="str">
        <f>VLOOKUP(Tabela26[[#This Row],[EMP]],[1]LOJA!$A:$B,2,0)</f>
        <v>UNAÍ</v>
      </c>
      <c r="E1775">
        <v>183</v>
      </c>
      <c r="F1775" t="s">
        <v>4040</v>
      </c>
      <c r="G1775" t="s">
        <v>4039</v>
      </c>
      <c r="H1775" t="s">
        <v>3408</v>
      </c>
      <c r="I1775">
        <v>5102</v>
      </c>
      <c r="J1775" s="3">
        <v>106</v>
      </c>
      <c r="K1775" s="3">
        <v>53.66</v>
      </c>
      <c r="L1775">
        <v>49.38</v>
      </c>
    </row>
    <row r="1776" spans="1:12">
      <c r="A1776" s="1">
        <v>46031</v>
      </c>
      <c r="B1776" t="s">
        <v>4085</v>
      </c>
      <c r="C1776">
        <v>15</v>
      </c>
      <c r="D1776" t="str">
        <f>VLOOKUP(Tabela26[[#This Row],[EMP]],[1]LOJA!$A:$B,2,0)</f>
        <v>UNAÍ</v>
      </c>
      <c r="E1776">
        <v>183</v>
      </c>
      <c r="F1776" t="s">
        <v>3485</v>
      </c>
      <c r="G1776" t="s">
        <v>3402</v>
      </c>
      <c r="H1776" t="s">
        <v>3401</v>
      </c>
      <c r="I1776">
        <v>5102</v>
      </c>
      <c r="J1776" s="3">
        <v>78</v>
      </c>
      <c r="K1776" s="3">
        <v>39.159999999999997</v>
      </c>
      <c r="L1776">
        <v>49.79</v>
      </c>
    </row>
    <row r="1777" spans="1:12">
      <c r="A1777" s="1">
        <v>46031</v>
      </c>
      <c r="B1777" t="s">
        <v>4082</v>
      </c>
      <c r="C1777">
        <v>15</v>
      </c>
      <c r="D1777" t="str">
        <f>VLOOKUP(Tabela26[[#This Row],[EMP]],[1]LOJA!$A:$B,2,0)</f>
        <v>UNAÍ</v>
      </c>
      <c r="E1777">
        <v>183</v>
      </c>
      <c r="F1777" t="s">
        <v>8822</v>
      </c>
      <c r="G1777" t="s">
        <v>8821</v>
      </c>
      <c r="H1777" t="s">
        <v>3401</v>
      </c>
      <c r="I1777">
        <v>5102</v>
      </c>
      <c r="J1777" s="3">
        <v>306.85000000000002</v>
      </c>
      <c r="K1777" s="3">
        <v>153.99</v>
      </c>
      <c r="L1777">
        <v>49.82</v>
      </c>
    </row>
    <row r="1778" spans="1:12">
      <c r="A1778" s="1">
        <v>46031</v>
      </c>
      <c r="B1778" t="s">
        <v>3506</v>
      </c>
      <c r="C1778">
        <v>15</v>
      </c>
      <c r="D1778" t="str">
        <f>VLOOKUP(Tabela26[[#This Row],[EMP]],[1]LOJA!$A:$B,2,0)</f>
        <v>UNAÍ</v>
      </c>
      <c r="E1778">
        <v>183</v>
      </c>
      <c r="F1778" t="s">
        <v>10975</v>
      </c>
      <c r="G1778" t="s">
        <v>3402</v>
      </c>
      <c r="H1778" t="s">
        <v>3401</v>
      </c>
      <c r="I1778">
        <v>5102</v>
      </c>
      <c r="J1778" s="3">
        <v>981</v>
      </c>
      <c r="K1778" s="3">
        <v>496.27</v>
      </c>
      <c r="L1778">
        <v>49.41</v>
      </c>
    </row>
    <row r="1779" spans="1:12">
      <c r="A1779" s="1">
        <v>46031</v>
      </c>
      <c r="B1779" t="s">
        <v>3503</v>
      </c>
      <c r="C1779">
        <v>15</v>
      </c>
      <c r="D1779" t="str">
        <f>VLOOKUP(Tabela26[[#This Row],[EMP]],[1]LOJA!$A:$B,2,0)</f>
        <v>UNAÍ</v>
      </c>
      <c r="E1779">
        <v>183</v>
      </c>
      <c r="F1779" t="s">
        <v>6129</v>
      </c>
      <c r="G1779" t="s">
        <v>6128</v>
      </c>
      <c r="H1779" t="s">
        <v>3401</v>
      </c>
      <c r="I1779">
        <v>5102</v>
      </c>
      <c r="J1779" s="3">
        <v>292.60000000000002</v>
      </c>
      <c r="K1779" s="3">
        <v>152.37</v>
      </c>
      <c r="L1779">
        <v>47.93</v>
      </c>
    </row>
    <row r="1780" spans="1:12">
      <c r="A1780" s="1">
        <v>46031</v>
      </c>
      <c r="B1780" t="s">
        <v>3502</v>
      </c>
      <c r="C1780">
        <v>15</v>
      </c>
      <c r="D1780" t="str">
        <f>VLOOKUP(Tabela26[[#This Row],[EMP]],[1]LOJA!$A:$B,2,0)</f>
        <v>UNAÍ</v>
      </c>
      <c r="E1780">
        <v>183</v>
      </c>
      <c r="F1780" t="s">
        <v>3485</v>
      </c>
      <c r="G1780" t="s">
        <v>3402</v>
      </c>
      <c r="H1780" t="s">
        <v>3401</v>
      </c>
      <c r="I1780">
        <v>5102</v>
      </c>
      <c r="J1780" s="3">
        <v>30</v>
      </c>
      <c r="K1780" s="3">
        <v>13.63</v>
      </c>
      <c r="L1780">
        <v>54.57</v>
      </c>
    </row>
    <row r="1781" spans="1:12">
      <c r="A1781" s="1">
        <v>46031</v>
      </c>
      <c r="B1781" t="s">
        <v>10974</v>
      </c>
      <c r="C1781">
        <v>15</v>
      </c>
      <c r="D1781" t="str">
        <f>VLOOKUP(Tabela26[[#This Row],[EMP]],[1]LOJA!$A:$B,2,0)</f>
        <v>UNAÍ</v>
      </c>
      <c r="E1781">
        <v>183</v>
      </c>
      <c r="F1781" t="s">
        <v>3485</v>
      </c>
      <c r="G1781" t="s">
        <v>3402</v>
      </c>
      <c r="H1781" t="s">
        <v>3401</v>
      </c>
      <c r="I1781">
        <v>5102</v>
      </c>
      <c r="J1781" s="3">
        <v>65</v>
      </c>
      <c r="K1781" s="3">
        <v>38.82</v>
      </c>
      <c r="L1781">
        <v>40.28</v>
      </c>
    </row>
    <row r="1782" spans="1:12">
      <c r="A1782" s="1">
        <v>46031</v>
      </c>
      <c r="B1782" t="s">
        <v>10973</v>
      </c>
      <c r="C1782">
        <v>15</v>
      </c>
      <c r="D1782" t="str">
        <f>VLOOKUP(Tabela26[[#This Row],[EMP]],[1]LOJA!$A:$B,2,0)</f>
        <v>UNAÍ</v>
      </c>
      <c r="E1782">
        <v>183</v>
      </c>
      <c r="F1782" t="s">
        <v>3485</v>
      </c>
      <c r="G1782" t="s">
        <v>3402</v>
      </c>
      <c r="H1782" t="s">
        <v>3401</v>
      </c>
      <c r="I1782">
        <v>5102</v>
      </c>
      <c r="J1782" s="3">
        <v>25</v>
      </c>
      <c r="K1782" s="3">
        <v>6.02</v>
      </c>
      <c r="L1782">
        <v>75.92</v>
      </c>
    </row>
    <row r="1783" spans="1:12">
      <c r="A1783" s="1">
        <v>46031</v>
      </c>
      <c r="B1783" t="s">
        <v>10972</v>
      </c>
      <c r="C1783">
        <v>15</v>
      </c>
      <c r="D1783" t="str">
        <f>VLOOKUP(Tabela26[[#This Row],[EMP]],[1]LOJA!$A:$B,2,0)</f>
        <v>UNAÍ</v>
      </c>
      <c r="E1783">
        <v>183</v>
      </c>
      <c r="F1783" t="s">
        <v>10971</v>
      </c>
      <c r="G1783" t="s">
        <v>10970</v>
      </c>
      <c r="H1783" t="s">
        <v>3401</v>
      </c>
      <c r="I1783">
        <v>5102</v>
      </c>
      <c r="J1783" s="3">
        <v>148.4</v>
      </c>
      <c r="K1783" s="3">
        <v>89.11</v>
      </c>
      <c r="L1783">
        <v>39.950000000000003</v>
      </c>
    </row>
    <row r="1784" spans="1:12">
      <c r="A1784" s="1">
        <v>46031</v>
      </c>
      <c r="B1784" t="s">
        <v>10969</v>
      </c>
      <c r="C1784">
        <v>15</v>
      </c>
      <c r="D1784" t="str">
        <f>VLOOKUP(Tabela26[[#This Row],[EMP]],[1]LOJA!$A:$B,2,0)</f>
        <v>UNAÍ</v>
      </c>
      <c r="E1784">
        <v>183</v>
      </c>
      <c r="F1784" t="s">
        <v>4681</v>
      </c>
      <c r="G1784" t="s">
        <v>4680</v>
      </c>
      <c r="H1784" t="s">
        <v>7505</v>
      </c>
      <c r="I1784">
        <v>5102</v>
      </c>
      <c r="J1784" s="3">
        <v>50</v>
      </c>
      <c r="K1784" s="3">
        <v>23.01</v>
      </c>
      <c r="L1784">
        <v>53.98</v>
      </c>
    </row>
    <row r="1785" spans="1:12">
      <c r="A1785" s="1">
        <v>46031</v>
      </c>
      <c r="B1785" t="s">
        <v>10968</v>
      </c>
      <c r="C1785">
        <v>15</v>
      </c>
      <c r="D1785" t="str">
        <f>VLOOKUP(Tabela26[[#This Row],[EMP]],[1]LOJA!$A:$B,2,0)</f>
        <v>UNAÍ</v>
      </c>
      <c r="E1785">
        <v>183</v>
      </c>
      <c r="F1785" t="s">
        <v>4016</v>
      </c>
      <c r="G1785" t="s">
        <v>4015</v>
      </c>
      <c r="H1785" t="s">
        <v>5459</v>
      </c>
      <c r="I1785">
        <v>5102</v>
      </c>
      <c r="J1785" s="3">
        <v>47.1</v>
      </c>
      <c r="K1785" s="3">
        <v>28.68</v>
      </c>
      <c r="L1785">
        <v>39.11</v>
      </c>
    </row>
    <row r="1786" spans="1:12">
      <c r="A1786" s="1">
        <v>46031</v>
      </c>
      <c r="B1786" t="s">
        <v>10967</v>
      </c>
      <c r="C1786">
        <v>15</v>
      </c>
      <c r="D1786" t="str">
        <f>VLOOKUP(Tabela26[[#This Row],[EMP]],[1]LOJA!$A:$B,2,0)</f>
        <v>UNAÍ</v>
      </c>
      <c r="E1786">
        <v>183</v>
      </c>
      <c r="F1786" t="s">
        <v>4019</v>
      </c>
      <c r="G1786" t="s">
        <v>4018</v>
      </c>
      <c r="H1786" t="s">
        <v>7505</v>
      </c>
      <c r="I1786">
        <v>5102</v>
      </c>
      <c r="J1786" s="3">
        <v>57</v>
      </c>
      <c r="K1786" s="3">
        <v>26.36</v>
      </c>
      <c r="L1786">
        <v>53.75</v>
      </c>
    </row>
    <row r="1787" spans="1:12">
      <c r="A1787" s="1">
        <v>46031</v>
      </c>
      <c r="B1787" t="s">
        <v>10966</v>
      </c>
      <c r="C1787">
        <v>6</v>
      </c>
      <c r="D1787" t="str">
        <f>VLOOKUP(Tabela26[[#This Row],[EMP]],[1]LOJA!$A:$B,2,0)</f>
        <v>GAMA</v>
      </c>
      <c r="E1787">
        <v>226</v>
      </c>
      <c r="F1787" t="s">
        <v>4013</v>
      </c>
      <c r="G1787" t="s">
        <v>4012</v>
      </c>
      <c r="H1787" t="s">
        <v>3430</v>
      </c>
      <c r="I1787">
        <v>5102</v>
      </c>
      <c r="J1787" s="3">
        <v>120</v>
      </c>
      <c r="K1787" s="3">
        <v>78.319999999999993</v>
      </c>
      <c r="L1787">
        <v>34.729999999999997</v>
      </c>
    </row>
    <row r="1788" spans="1:12">
      <c r="A1788" s="1">
        <v>46031</v>
      </c>
      <c r="B1788" t="s">
        <v>10965</v>
      </c>
      <c r="C1788">
        <v>14</v>
      </c>
      <c r="D1788" t="str">
        <f>VLOOKUP(Tabela26[[#This Row],[EMP]],[1]LOJA!$A:$B,2,0)</f>
        <v>S IA</v>
      </c>
      <c r="E1788">
        <v>212</v>
      </c>
      <c r="F1788" t="s">
        <v>3403</v>
      </c>
      <c r="G1788" t="s">
        <v>3402</v>
      </c>
      <c r="H1788" t="s">
        <v>3401</v>
      </c>
      <c r="I1788">
        <v>5102</v>
      </c>
      <c r="J1788" s="3">
        <v>18</v>
      </c>
      <c r="K1788" s="3">
        <v>9.24</v>
      </c>
      <c r="L1788">
        <v>48.67</v>
      </c>
    </row>
    <row r="1789" spans="1:12">
      <c r="A1789" s="1">
        <v>46031</v>
      </c>
      <c r="B1789" t="s">
        <v>10964</v>
      </c>
      <c r="C1789">
        <v>14</v>
      </c>
      <c r="D1789" t="str">
        <f>VLOOKUP(Tabela26[[#This Row],[EMP]],[1]LOJA!$A:$B,2,0)</f>
        <v>S IA</v>
      </c>
      <c r="E1789">
        <v>54</v>
      </c>
      <c r="F1789" t="s">
        <v>3403</v>
      </c>
      <c r="G1789" t="s">
        <v>3402</v>
      </c>
      <c r="H1789" t="s">
        <v>3401</v>
      </c>
      <c r="I1789">
        <v>5102</v>
      </c>
      <c r="J1789" s="3">
        <v>73</v>
      </c>
      <c r="K1789" s="3">
        <v>35.71</v>
      </c>
      <c r="L1789">
        <v>51.08</v>
      </c>
    </row>
    <row r="1790" spans="1:12">
      <c r="A1790" s="1">
        <v>46031</v>
      </c>
      <c r="B1790" t="s">
        <v>10963</v>
      </c>
      <c r="C1790">
        <v>14</v>
      </c>
      <c r="D1790" t="str">
        <f>VLOOKUP(Tabela26[[#This Row],[EMP]],[1]LOJA!$A:$B,2,0)</f>
        <v>S IA</v>
      </c>
      <c r="E1790">
        <v>212</v>
      </c>
      <c r="F1790" t="s">
        <v>3769</v>
      </c>
      <c r="G1790" t="s">
        <v>3768</v>
      </c>
      <c r="H1790" t="s">
        <v>3401</v>
      </c>
      <c r="I1790">
        <v>5102</v>
      </c>
      <c r="J1790" s="3">
        <v>9</v>
      </c>
      <c r="K1790" s="3">
        <v>4.16</v>
      </c>
      <c r="L1790">
        <v>53.78</v>
      </c>
    </row>
    <row r="1791" spans="1:12">
      <c r="A1791" s="1">
        <v>46031</v>
      </c>
      <c r="B1791" t="s">
        <v>10962</v>
      </c>
      <c r="C1791">
        <v>14</v>
      </c>
      <c r="D1791" t="str">
        <f>VLOOKUP(Tabela26[[#This Row],[EMP]],[1]LOJA!$A:$B,2,0)</f>
        <v>S IA</v>
      </c>
      <c r="E1791">
        <v>212</v>
      </c>
      <c r="F1791" t="s">
        <v>3403</v>
      </c>
      <c r="G1791" t="s">
        <v>3402</v>
      </c>
      <c r="H1791" t="s">
        <v>3401</v>
      </c>
      <c r="I1791">
        <v>5405</v>
      </c>
      <c r="J1791" s="3">
        <v>46</v>
      </c>
      <c r="K1791" s="3">
        <v>19.97</v>
      </c>
      <c r="L1791">
        <v>56.59</v>
      </c>
    </row>
    <row r="1792" spans="1:12">
      <c r="A1792" s="1">
        <v>46031</v>
      </c>
      <c r="B1792" t="s">
        <v>10961</v>
      </c>
      <c r="C1792">
        <v>14</v>
      </c>
      <c r="D1792" t="str">
        <f>VLOOKUP(Tabela26[[#This Row],[EMP]],[1]LOJA!$A:$B,2,0)</f>
        <v>S IA</v>
      </c>
      <c r="E1792">
        <v>54</v>
      </c>
      <c r="F1792" t="s">
        <v>4672</v>
      </c>
      <c r="G1792" t="s">
        <v>4671</v>
      </c>
      <c r="H1792" t="s">
        <v>3401</v>
      </c>
      <c r="I1792">
        <v>5102</v>
      </c>
      <c r="J1792" s="3">
        <v>20</v>
      </c>
      <c r="K1792" s="3">
        <v>11.8</v>
      </c>
      <c r="L1792">
        <v>41</v>
      </c>
    </row>
    <row r="1793" spans="1:12">
      <c r="A1793" s="1">
        <v>46031</v>
      </c>
      <c r="B1793" t="s">
        <v>10960</v>
      </c>
      <c r="C1793">
        <v>14</v>
      </c>
      <c r="D1793" t="str">
        <f>VLOOKUP(Tabela26[[#This Row],[EMP]],[1]LOJA!$A:$B,2,0)</f>
        <v>S IA</v>
      </c>
      <c r="E1793">
        <v>212</v>
      </c>
      <c r="F1793" t="s">
        <v>3403</v>
      </c>
      <c r="G1793" t="s">
        <v>3402</v>
      </c>
      <c r="H1793" t="s">
        <v>3401</v>
      </c>
      <c r="I1793">
        <v>5405</v>
      </c>
      <c r="J1793" s="3">
        <v>29.9</v>
      </c>
      <c r="K1793" s="3">
        <v>12.21</v>
      </c>
      <c r="L1793">
        <v>59.16</v>
      </c>
    </row>
    <row r="1794" spans="1:12">
      <c r="A1794" s="1">
        <v>46031</v>
      </c>
      <c r="B1794" t="s">
        <v>10959</v>
      </c>
      <c r="C1794">
        <v>14</v>
      </c>
      <c r="D1794" t="str">
        <f>VLOOKUP(Tabela26[[#This Row],[EMP]],[1]LOJA!$A:$B,2,0)</f>
        <v>S IA</v>
      </c>
      <c r="E1794">
        <v>54</v>
      </c>
      <c r="F1794" t="s">
        <v>3403</v>
      </c>
      <c r="G1794" t="s">
        <v>3402</v>
      </c>
      <c r="H1794" t="s">
        <v>3401</v>
      </c>
      <c r="I1794">
        <v>5102</v>
      </c>
      <c r="J1794" s="3">
        <v>18</v>
      </c>
      <c r="K1794" s="3">
        <v>7.84</v>
      </c>
      <c r="L1794">
        <v>56.44</v>
      </c>
    </row>
    <row r="1795" spans="1:12">
      <c r="A1795" s="1">
        <v>46031</v>
      </c>
      <c r="B1795" t="s">
        <v>10958</v>
      </c>
      <c r="C1795">
        <v>14</v>
      </c>
      <c r="D1795" t="str">
        <f>VLOOKUP(Tabela26[[#This Row],[EMP]],[1]LOJA!$A:$B,2,0)</f>
        <v>S IA</v>
      </c>
      <c r="E1795">
        <v>54</v>
      </c>
      <c r="F1795" t="s">
        <v>4659</v>
      </c>
      <c r="G1795" t="s">
        <v>4658</v>
      </c>
      <c r="H1795" t="s">
        <v>3430</v>
      </c>
      <c r="I1795">
        <v>5405</v>
      </c>
      <c r="J1795" s="3">
        <v>1192.44</v>
      </c>
      <c r="K1795" s="3">
        <v>632.16</v>
      </c>
      <c r="L1795">
        <v>46.99</v>
      </c>
    </row>
    <row r="1796" spans="1:12">
      <c r="A1796" s="1">
        <v>46031</v>
      </c>
      <c r="B1796" t="s">
        <v>10957</v>
      </c>
      <c r="C1796">
        <v>14</v>
      </c>
      <c r="D1796" t="str">
        <f>VLOOKUP(Tabela26[[#This Row],[EMP]],[1]LOJA!$A:$B,2,0)</f>
        <v>S IA</v>
      </c>
      <c r="E1796">
        <v>212</v>
      </c>
      <c r="F1796" t="s">
        <v>7627</v>
      </c>
      <c r="G1796" t="s">
        <v>7626</v>
      </c>
      <c r="H1796" t="s">
        <v>3401</v>
      </c>
      <c r="I1796">
        <v>5405</v>
      </c>
      <c r="J1796" s="3">
        <v>175</v>
      </c>
      <c r="K1796" s="3">
        <v>91.27</v>
      </c>
      <c r="L1796">
        <v>47.85</v>
      </c>
    </row>
    <row r="1797" spans="1:12">
      <c r="A1797" s="1">
        <v>46031</v>
      </c>
      <c r="B1797" t="s">
        <v>10956</v>
      </c>
      <c r="C1797">
        <v>14</v>
      </c>
      <c r="D1797" t="str">
        <f>VLOOKUP(Tabela26[[#This Row],[EMP]],[1]LOJA!$A:$B,2,0)</f>
        <v>S IA</v>
      </c>
      <c r="E1797">
        <v>212</v>
      </c>
      <c r="F1797" t="s">
        <v>3403</v>
      </c>
      <c r="G1797" t="s">
        <v>3402</v>
      </c>
      <c r="H1797" t="s">
        <v>3401</v>
      </c>
      <c r="I1797">
        <v>5102</v>
      </c>
      <c r="J1797" s="3">
        <v>22</v>
      </c>
      <c r="K1797" s="3">
        <v>9.76</v>
      </c>
      <c r="L1797">
        <v>55.64</v>
      </c>
    </row>
    <row r="1798" spans="1:12">
      <c r="A1798" s="1">
        <v>46031</v>
      </c>
      <c r="B1798" t="s">
        <v>10955</v>
      </c>
      <c r="C1798">
        <v>14</v>
      </c>
      <c r="D1798" t="str">
        <f>VLOOKUP(Tabela26[[#This Row],[EMP]],[1]LOJA!$A:$B,2,0)</f>
        <v>S IA</v>
      </c>
      <c r="E1798">
        <v>212</v>
      </c>
      <c r="F1798" t="s">
        <v>3472</v>
      </c>
      <c r="G1798" t="s">
        <v>3471</v>
      </c>
      <c r="H1798" t="s">
        <v>3401</v>
      </c>
      <c r="I1798">
        <v>5102</v>
      </c>
      <c r="J1798" s="3">
        <v>65</v>
      </c>
      <c r="K1798" s="3">
        <v>38.520000000000003</v>
      </c>
      <c r="L1798">
        <v>40.74</v>
      </c>
    </row>
    <row r="1799" spans="1:12">
      <c r="A1799" s="1">
        <v>46031</v>
      </c>
      <c r="B1799" t="s">
        <v>10954</v>
      </c>
      <c r="C1799">
        <v>14</v>
      </c>
      <c r="D1799" t="str">
        <f>VLOOKUP(Tabela26[[#This Row],[EMP]],[1]LOJA!$A:$B,2,0)</f>
        <v>S IA</v>
      </c>
      <c r="E1799">
        <v>212</v>
      </c>
      <c r="F1799" t="s">
        <v>9470</v>
      </c>
      <c r="G1799" t="s">
        <v>9469</v>
      </c>
      <c r="H1799" t="s">
        <v>3401</v>
      </c>
      <c r="I1799">
        <v>5102</v>
      </c>
      <c r="J1799" s="3">
        <v>249.84</v>
      </c>
      <c r="K1799" s="3">
        <v>116.21</v>
      </c>
      <c r="L1799">
        <v>53.49</v>
      </c>
    </row>
    <row r="1800" spans="1:12">
      <c r="A1800" s="1">
        <v>46031</v>
      </c>
      <c r="B1800" t="s">
        <v>10953</v>
      </c>
      <c r="C1800">
        <v>14</v>
      </c>
      <c r="D1800" t="str">
        <f>VLOOKUP(Tabela26[[#This Row],[EMP]],[1]LOJA!$A:$B,2,0)</f>
        <v>S IA</v>
      </c>
      <c r="E1800">
        <v>212</v>
      </c>
      <c r="F1800" t="s">
        <v>3403</v>
      </c>
      <c r="G1800" t="s">
        <v>3402</v>
      </c>
      <c r="H1800" t="s">
        <v>3401</v>
      </c>
      <c r="I1800">
        <v>5102</v>
      </c>
      <c r="J1800" s="3">
        <v>94</v>
      </c>
      <c r="K1800" s="3">
        <v>51.83</v>
      </c>
      <c r="L1800">
        <v>44.86</v>
      </c>
    </row>
    <row r="1801" spans="1:12">
      <c r="A1801" s="1">
        <v>46031</v>
      </c>
      <c r="B1801" t="s">
        <v>10952</v>
      </c>
      <c r="C1801">
        <v>15</v>
      </c>
      <c r="D1801" t="str">
        <f>VLOOKUP(Tabela26[[#This Row],[EMP]],[1]LOJA!$A:$B,2,0)</f>
        <v>UNAÍ</v>
      </c>
      <c r="E1801">
        <v>183</v>
      </c>
      <c r="F1801" t="s">
        <v>5831</v>
      </c>
      <c r="G1801" t="s">
        <v>5830</v>
      </c>
      <c r="H1801" t="s">
        <v>3401</v>
      </c>
      <c r="I1801">
        <v>5102</v>
      </c>
      <c r="J1801" s="3">
        <v>68</v>
      </c>
      <c r="K1801" s="3">
        <v>30.87</v>
      </c>
      <c r="L1801">
        <v>54.6</v>
      </c>
    </row>
    <row r="1802" spans="1:12">
      <c r="A1802" s="1">
        <v>46031</v>
      </c>
      <c r="B1802" t="s">
        <v>10951</v>
      </c>
      <c r="C1802">
        <v>15</v>
      </c>
      <c r="D1802" t="str">
        <f>VLOOKUP(Tabela26[[#This Row],[EMP]],[1]LOJA!$A:$B,2,0)</f>
        <v>UNAÍ</v>
      </c>
      <c r="E1802">
        <v>183</v>
      </c>
      <c r="F1802" t="s">
        <v>3485</v>
      </c>
      <c r="G1802" t="s">
        <v>3402</v>
      </c>
      <c r="H1802" t="s">
        <v>3401</v>
      </c>
      <c r="I1802">
        <v>5102</v>
      </c>
      <c r="J1802" s="3">
        <v>70</v>
      </c>
      <c r="K1802" s="3">
        <v>33.81</v>
      </c>
      <c r="L1802">
        <v>51.7</v>
      </c>
    </row>
    <row r="1803" spans="1:12">
      <c r="A1803" s="1">
        <v>46031</v>
      </c>
      <c r="B1803" t="s">
        <v>10950</v>
      </c>
      <c r="C1803">
        <v>22</v>
      </c>
      <c r="D1803" t="str">
        <f>VLOOKUP(Tabela26[[#This Row],[EMP]],[1]LOJA!$A:$B,2,0)</f>
        <v>GUARÁ</v>
      </c>
      <c r="E1803">
        <v>16</v>
      </c>
      <c r="F1803" t="s">
        <v>3403</v>
      </c>
      <c r="G1803" t="s">
        <v>3402</v>
      </c>
      <c r="H1803" t="s">
        <v>3401</v>
      </c>
      <c r="I1803">
        <v>5102</v>
      </c>
      <c r="J1803" s="3">
        <v>136</v>
      </c>
      <c r="K1803" s="3">
        <v>69.489999999999995</v>
      </c>
      <c r="L1803">
        <v>48.9</v>
      </c>
    </row>
    <row r="1804" spans="1:12">
      <c r="A1804" s="1">
        <v>46031</v>
      </c>
      <c r="B1804" t="s">
        <v>10949</v>
      </c>
      <c r="C1804">
        <v>22</v>
      </c>
      <c r="D1804" t="str">
        <f>VLOOKUP(Tabela26[[#This Row],[EMP]],[1]LOJA!$A:$B,2,0)</f>
        <v>GUARÁ</v>
      </c>
      <c r="E1804">
        <v>93</v>
      </c>
      <c r="F1804" t="s">
        <v>4629</v>
      </c>
      <c r="G1804" t="s">
        <v>4628</v>
      </c>
      <c r="H1804" t="s">
        <v>3401</v>
      </c>
      <c r="I1804">
        <v>5102</v>
      </c>
      <c r="J1804" s="3">
        <v>68</v>
      </c>
      <c r="K1804" s="3">
        <v>40.49</v>
      </c>
      <c r="L1804">
        <v>40.46</v>
      </c>
    </row>
    <row r="1805" spans="1:12">
      <c r="A1805" s="1">
        <v>46031</v>
      </c>
      <c r="B1805" t="s">
        <v>10948</v>
      </c>
      <c r="C1805">
        <v>22</v>
      </c>
      <c r="D1805" t="str">
        <f>VLOOKUP(Tabela26[[#This Row],[EMP]],[1]LOJA!$A:$B,2,0)</f>
        <v>GUARÁ</v>
      </c>
      <c r="E1805">
        <v>93</v>
      </c>
      <c r="F1805" t="s">
        <v>4593</v>
      </c>
      <c r="G1805" t="s">
        <v>4592</v>
      </c>
      <c r="H1805" t="s">
        <v>3401</v>
      </c>
      <c r="I1805">
        <v>5102</v>
      </c>
      <c r="J1805" s="3">
        <v>10</v>
      </c>
      <c r="K1805" s="3">
        <v>6.56</v>
      </c>
      <c r="L1805">
        <v>34.4</v>
      </c>
    </row>
    <row r="1806" spans="1:12">
      <c r="A1806" s="1">
        <v>46031</v>
      </c>
      <c r="B1806" t="s">
        <v>10947</v>
      </c>
      <c r="C1806">
        <v>22</v>
      </c>
      <c r="D1806" t="str">
        <f>VLOOKUP(Tabela26[[#This Row],[EMP]],[1]LOJA!$A:$B,2,0)</f>
        <v>GUARÁ</v>
      </c>
      <c r="E1806">
        <v>93</v>
      </c>
      <c r="F1806" t="s">
        <v>3870</v>
      </c>
      <c r="G1806" t="s">
        <v>3869</v>
      </c>
      <c r="H1806" t="s">
        <v>3401</v>
      </c>
      <c r="I1806">
        <v>5102</v>
      </c>
      <c r="J1806" s="3">
        <v>18</v>
      </c>
      <c r="K1806" s="3">
        <v>10.83</v>
      </c>
      <c r="L1806">
        <v>39.83</v>
      </c>
    </row>
    <row r="1807" spans="1:12">
      <c r="A1807" s="1">
        <v>46031</v>
      </c>
      <c r="B1807" t="s">
        <v>10946</v>
      </c>
      <c r="C1807">
        <v>22</v>
      </c>
      <c r="D1807" t="str">
        <f>VLOOKUP(Tabela26[[#This Row],[EMP]],[1]LOJA!$A:$B,2,0)</f>
        <v>GUARÁ</v>
      </c>
      <c r="E1807">
        <v>93</v>
      </c>
      <c r="F1807" t="s">
        <v>3403</v>
      </c>
      <c r="G1807" t="s">
        <v>3402</v>
      </c>
      <c r="H1807" t="s">
        <v>3401</v>
      </c>
      <c r="I1807">
        <v>5102</v>
      </c>
      <c r="J1807" s="3">
        <v>12</v>
      </c>
      <c r="K1807" s="3">
        <v>5.87</v>
      </c>
      <c r="L1807">
        <v>51.08</v>
      </c>
    </row>
    <row r="1808" spans="1:12">
      <c r="A1808" s="1">
        <v>46031</v>
      </c>
      <c r="B1808" t="s">
        <v>10945</v>
      </c>
      <c r="C1808">
        <v>22</v>
      </c>
      <c r="D1808" t="str">
        <f>VLOOKUP(Tabela26[[#This Row],[EMP]],[1]LOJA!$A:$B,2,0)</f>
        <v>GUARÁ</v>
      </c>
      <c r="E1808">
        <v>93</v>
      </c>
      <c r="F1808" t="s">
        <v>3403</v>
      </c>
      <c r="G1808" t="s">
        <v>3402</v>
      </c>
      <c r="H1808" t="s">
        <v>3401</v>
      </c>
      <c r="I1808">
        <v>5102</v>
      </c>
      <c r="J1808" s="3">
        <v>47</v>
      </c>
      <c r="K1808" s="3">
        <v>25.13</v>
      </c>
      <c r="L1808">
        <v>46.53</v>
      </c>
    </row>
    <row r="1809" spans="1:12">
      <c r="A1809" s="1">
        <v>46031</v>
      </c>
      <c r="B1809" t="s">
        <v>10944</v>
      </c>
      <c r="C1809">
        <v>22</v>
      </c>
      <c r="D1809" t="str">
        <f>VLOOKUP(Tabela26[[#This Row],[EMP]],[1]LOJA!$A:$B,2,0)</f>
        <v>GUARÁ</v>
      </c>
      <c r="E1809">
        <v>238</v>
      </c>
      <c r="F1809" t="s">
        <v>3403</v>
      </c>
      <c r="G1809" t="s">
        <v>3402</v>
      </c>
      <c r="H1809" t="s">
        <v>3401</v>
      </c>
      <c r="I1809">
        <v>5102</v>
      </c>
      <c r="J1809" s="3">
        <v>24.5</v>
      </c>
      <c r="K1809" s="3">
        <v>12.39</v>
      </c>
      <c r="L1809">
        <v>49.43</v>
      </c>
    </row>
    <row r="1810" spans="1:12">
      <c r="A1810" s="1">
        <v>46031</v>
      </c>
      <c r="B1810" t="s">
        <v>10943</v>
      </c>
      <c r="C1810">
        <v>22</v>
      </c>
      <c r="D1810" t="str">
        <f>VLOOKUP(Tabela26[[#This Row],[EMP]],[1]LOJA!$A:$B,2,0)</f>
        <v>GUARÁ</v>
      </c>
      <c r="E1810">
        <v>93</v>
      </c>
      <c r="F1810" t="s">
        <v>3403</v>
      </c>
      <c r="G1810" t="s">
        <v>3402</v>
      </c>
      <c r="H1810" t="s">
        <v>3401</v>
      </c>
      <c r="I1810">
        <v>5102</v>
      </c>
      <c r="J1810" s="3">
        <v>44</v>
      </c>
      <c r="K1810" s="3">
        <v>26.36</v>
      </c>
      <c r="L1810">
        <v>40.090000000000003</v>
      </c>
    </row>
    <row r="1811" spans="1:12">
      <c r="A1811" s="1">
        <v>46031</v>
      </c>
      <c r="B1811" t="s">
        <v>10942</v>
      </c>
      <c r="C1811">
        <v>22</v>
      </c>
      <c r="D1811" t="str">
        <f>VLOOKUP(Tabela26[[#This Row],[EMP]],[1]LOJA!$A:$B,2,0)</f>
        <v>GUARÁ</v>
      </c>
      <c r="E1811">
        <v>93</v>
      </c>
      <c r="F1811" t="s">
        <v>3403</v>
      </c>
      <c r="G1811" t="s">
        <v>3402</v>
      </c>
      <c r="H1811" t="s">
        <v>3401</v>
      </c>
      <c r="I1811">
        <v>5405</v>
      </c>
      <c r="J1811" s="3">
        <v>16</v>
      </c>
      <c r="K1811" s="3">
        <v>7.42</v>
      </c>
      <c r="L1811">
        <v>53.63</v>
      </c>
    </row>
    <row r="1812" spans="1:12">
      <c r="A1812" s="1">
        <v>46031</v>
      </c>
      <c r="B1812" t="s">
        <v>10941</v>
      </c>
      <c r="C1812">
        <v>22</v>
      </c>
      <c r="D1812" t="str">
        <f>VLOOKUP(Tabela26[[#This Row],[EMP]],[1]LOJA!$A:$B,2,0)</f>
        <v>GUARÁ</v>
      </c>
      <c r="E1812">
        <v>16</v>
      </c>
      <c r="F1812" t="s">
        <v>3894</v>
      </c>
      <c r="G1812" t="s">
        <v>3893</v>
      </c>
      <c r="H1812" t="s">
        <v>3401</v>
      </c>
      <c r="I1812">
        <v>5405</v>
      </c>
      <c r="J1812" s="3">
        <v>290</v>
      </c>
      <c r="K1812" s="3">
        <v>162.16999999999999</v>
      </c>
      <c r="L1812">
        <v>44.08</v>
      </c>
    </row>
    <row r="1813" spans="1:12">
      <c r="A1813" s="1">
        <v>46031</v>
      </c>
      <c r="B1813" t="s">
        <v>10940</v>
      </c>
      <c r="C1813">
        <v>22</v>
      </c>
      <c r="D1813" t="str">
        <f>VLOOKUP(Tabela26[[#This Row],[EMP]],[1]LOJA!$A:$B,2,0)</f>
        <v>GUARÁ</v>
      </c>
      <c r="E1813">
        <v>93</v>
      </c>
      <c r="F1813" t="s">
        <v>3889</v>
      </c>
      <c r="G1813" t="s">
        <v>3888</v>
      </c>
      <c r="H1813" t="s">
        <v>7505</v>
      </c>
      <c r="I1813">
        <v>5102</v>
      </c>
      <c r="J1813" s="3">
        <v>107.75</v>
      </c>
      <c r="K1813" s="3">
        <v>58.75</v>
      </c>
      <c r="L1813">
        <v>45.48</v>
      </c>
    </row>
    <row r="1814" spans="1:12">
      <c r="A1814" s="1">
        <v>46031</v>
      </c>
      <c r="B1814" t="s">
        <v>10939</v>
      </c>
      <c r="C1814">
        <v>22</v>
      </c>
      <c r="D1814" t="str">
        <f>VLOOKUP(Tabela26[[#This Row],[EMP]],[1]LOJA!$A:$B,2,0)</f>
        <v>GUARÁ</v>
      </c>
      <c r="E1814">
        <v>16</v>
      </c>
      <c r="F1814" t="s">
        <v>3403</v>
      </c>
      <c r="G1814" t="s">
        <v>3402</v>
      </c>
      <c r="H1814" t="s">
        <v>3401</v>
      </c>
      <c r="I1814">
        <v>5102</v>
      </c>
      <c r="J1814" s="3">
        <v>87</v>
      </c>
      <c r="K1814" s="3">
        <v>46.85</v>
      </c>
      <c r="L1814">
        <v>46.15</v>
      </c>
    </row>
    <row r="1815" spans="1:12">
      <c r="A1815" s="1">
        <v>46031</v>
      </c>
      <c r="B1815" t="s">
        <v>10938</v>
      </c>
      <c r="C1815">
        <v>22</v>
      </c>
      <c r="D1815" t="str">
        <f>VLOOKUP(Tabela26[[#This Row],[EMP]],[1]LOJA!$A:$B,2,0)</f>
        <v>GUARÁ</v>
      </c>
      <c r="E1815">
        <v>93</v>
      </c>
      <c r="F1815" t="s">
        <v>4629</v>
      </c>
      <c r="G1815" t="s">
        <v>4628</v>
      </c>
      <c r="H1815" t="s">
        <v>3401</v>
      </c>
      <c r="I1815">
        <v>5405</v>
      </c>
      <c r="J1815" s="3">
        <v>263.5</v>
      </c>
      <c r="K1815" s="3">
        <v>131.75</v>
      </c>
      <c r="L1815">
        <v>50</v>
      </c>
    </row>
    <row r="1816" spans="1:12">
      <c r="A1816" s="1">
        <v>46031</v>
      </c>
      <c r="B1816" t="s">
        <v>10937</v>
      </c>
      <c r="C1816">
        <v>22</v>
      </c>
      <c r="D1816" t="str">
        <f>VLOOKUP(Tabela26[[#This Row],[EMP]],[1]LOJA!$A:$B,2,0)</f>
        <v>GUARÁ</v>
      </c>
      <c r="E1816">
        <v>93</v>
      </c>
      <c r="F1816" t="s">
        <v>10936</v>
      </c>
      <c r="G1816" t="s">
        <v>3402</v>
      </c>
      <c r="H1816" t="s">
        <v>3401</v>
      </c>
      <c r="I1816">
        <v>5405</v>
      </c>
      <c r="J1816" s="3">
        <v>90</v>
      </c>
      <c r="K1816" s="3">
        <v>47.71</v>
      </c>
      <c r="L1816">
        <v>46.99</v>
      </c>
    </row>
    <row r="1817" spans="1:12">
      <c r="A1817" s="1">
        <v>46031</v>
      </c>
      <c r="B1817" t="s">
        <v>10935</v>
      </c>
      <c r="C1817">
        <v>22</v>
      </c>
      <c r="D1817" t="str">
        <f>VLOOKUP(Tabela26[[#This Row],[EMP]],[1]LOJA!$A:$B,2,0)</f>
        <v>GUARÁ</v>
      </c>
      <c r="E1817">
        <v>93</v>
      </c>
      <c r="F1817" t="s">
        <v>4603</v>
      </c>
      <c r="G1817" t="s">
        <v>4602</v>
      </c>
      <c r="H1817" t="s">
        <v>3401</v>
      </c>
      <c r="I1817">
        <v>5405</v>
      </c>
      <c r="J1817" s="3">
        <v>84</v>
      </c>
      <c r="K1817" s="3">
        <v>43.39</v>
      </c>
      <c r="L1817">
        <v>48.35</v>
      </c>
    </row>
    <row r="1818" spans="1:12">
      <c r="A1818" s="1">
        <v>46031</v>
      </c>
      <c r="B1818" t="s">
        <v>10934</v>
      </c>
      <c r="C1818">
        <v>22</v>
      </c>
      <c r="D1818" t="str">
        <f>VLOOKUP(Tabela26[[#This Row],[EMP]],[1]LOJA!$A:$B,2,0)</f>
        <v>GUARÁ</v>
      </c>
      <c r="E1818">
        <v>93</v>
      </c>
      <c r="F1818" t="s">
        <v>3913</v>
      </c>
      <c r="G1818" t="s">
        <v>3912</v>
      </c>
      <c r="H1818" t="s">
        <v>3408</v>
      </c>
      <c r="I1818">
        <v>5405</v>
      </c>
      <c r="J1818" s="3">
        <v>151.37</v>
      </c>
      <c r="K1818" s="3">
        <v>78.08</v>
      </c>
      <c r="L1818">
        <v>48.42</v>
      </c>
    </row>
    <row r="1819" spans="1:12">
      <c r="A1819" s="1">
        <v>46031</v>
      </c>
      <c r="B1819" t="s">
        <v>10933</v>
      </c>
      <c r="C1819">
        <v>22</v>
      </c>
      <c r="D1819" t="str">
        <f>VLOOKUP(Tabela26[[#This Row],[EMP]],[1]LOJA!$A:$B,2,0)</f>
        <v>GUARÁ</v>
      </c>
      <c r="E1819">
        <v>93</v>
      </c>
      <c r="F1819" t="s">
        <v>3403</v>
      </c>
      <c r="G1819" t="s">
        <v>3402</v>
      </c>
      <c r="H1819" t="s">
        <v>3401</v>
      </c>
      <c r="I1819">
        <v>5102</v>
      </c>
      <c r="J1819" s="3">
        <v>5</v>
      </c>
      <c r="K1819" s="3">
        <v>3.28</v>
      </c>
      <c r="L1819">
        <v>34.4</v>
      </c>
    </row>
    <row r="1820" spans="1:12">
      <c r="A1820" s="1">
        <v>46031</v>
      </c>
      <c r="B1820" t="s">
        <v>10932</v>
      </c>
      <c r="C1820">
        <v>22</v>
      </c>
      <c r="D1820" t="str">
        <f>VLOOKUP(Tabela26[[#This Row],[EMP]],[1]LOJA!$A:$B,2,0)</f>
        <v>GUARÁ</v>
      </c>
      <c r="E1820">
        <v>93</v>
      </c>
      <c r="F1820" t="s">
        <v>3403</v>
      </c>
      <c r="G1820" t="s">
        <v>3402</v>
      </c>
      <c r="H1820" t="s">
        <v>3401</v>
      </c>
      <c r="I1820">
        <v>5102</v>
      </c>
      <c r="J1820" s="3">
        <v>34</v>
      </c>
      <c r="K1820" s="3">
        <v>21.83</v>
      </c>
      <c r="L1820">
        <v>35.79</v>
      </c>
    </row>
    <row r="1821" spans="1:12">
      <c r="A1821" s="1">
        <v>46031</v>
      </c>
      <c r="B1821" t="s">
        <v>10931</v>
      </c>
      <c r="C1821">
        <v>22</v>
      </c>
      <c r="D1821" t="str">
        <f>VLOOKUP(Tabela26[[#This Row],[EMP]],[1]LOJA!$A:$B,2,0)</f>
        <v>GUARÁ</v>
      </c>
      <c r="E1821">
        <v>93</v>
      </c>
      <c r="F1821" t="s">
        <v>3403</v>
      </c>
      <c r="G1821" t="s">
        <v>3402</v>
      </c>
      <c r="H1821" t="s">
        <v>3401</v>
      </c>
      <c r="I1821">
        <v>5102</v>
      </c>
      <c r="J1821" s="3">
        <v>47</v>
      </c>
      <c r="K1821" s="3">
        <v>24.37</v>
      </c>
      <c r="L1821">
        <v>48.15</v>
      </c>
    </row>
    <row r="1822" spans="1:12">
      <c r="A1822" s="1">
        <v>46031</v>
      </c>
      <c r="B1822" t="s">
        <v>10930</v>
      </c>
      <c r="C1822">
        <v>22</v>
      </c>
      <c r="D1822" t="str">
        <f>VLOOKUP(Tabela26[[#This Row],[EMP]],[1]LOJA!$A:$B,2,0)</f>
        <v>GUARÁ</v>
      </c>
      <c r="E1822">
        <v>93</v>
      </c>
      <c r="F1822" t="s">
        <v>3403</v>
      </c>
      <c r="G1822" t="s">
        <v>3402</v>
      </c>
      <c r="H1822" t="s">
        <v>3401</v>
      </c>
      <c r="I1822">
        <v>5102</v>
      </c>
      <c r="J1822" s="3">
        <v>33</v>
      </c>
      <c r="K1822" s="3">
        <v>21.83</v>
      </c>
      <c r="L1822">
        <v>33.85</v>
      </c>
    </row>
    <row r="1823" spans="1:12">
      <c r="A1823" s="1">
        <v>46031</v>
      </c>
      <c r="B1823" t="s">
        <v>10929</v>
      </c>
      <c r="C1823">
        <v>22</v>
      </c>
      <c r="D1823" t="str">
        <f>VLOOKUP(Tabela26[[#This Row],[EMP]],[1]LOJA!$A:$B,2,0)</f>
        <v>GUARÁ</v>
      </c>
      <c r="E1823">
        <v>93</v>
      </c>
      <c r="F1823" t="s">
        <v>3403</v>
      </c>
      <c r="G1823" t="s">
        <v>3402</v>
      </c>
      <c r="H1823" t="s">
        <v>3401</v>
      </c>
      <c r="I1823">
        <v>5405</v>
      </c>
      <c r="J1823" s="3">
        <v>54</v>
      </c>
      <c r="K1823" s="3">
        <v>24.08</v>
      </c>
      <c r="L1823">
        <v>55.41</v>
      </c>
    </row>
    <row r="1824" spans="1:12">
      <c r="A1824" s="1">
        <v>46031</v>
      </c>
      <c r="B1824" t="s">
        <v>10928</v>
      </c>
      <c r="C1824">
        <v>22</v>
      </c>
      <c r="D1824" t="str">
        <f>VLOOKUP(Tabela26[[#This Row],[EMP]],[1]LOJA!$A:$B,2,0)</f>
        <v>GUARÁ</v>
      </c>
      <c r="E1824">
        <v>93</v>
      </c>
      <c r="F1824" t="s">
        <v>3403</v>
      </c>
      <c r="G1824" t="s">
        <v>3402</v>
      </c>
      <c r="H1824" t="s">
        <v>3401</v>
      </c>
      <c r="I1824">
        <v>5102</v>
      </c>
      <c r="J1824" s="3">
        <v>15</v>
      </c>
      <c r="K1824" s="3">
        <v>9.84</v>
      </c>
      <c r="L1824">
        <v>34.4</v>
      </c>
    </row>
    <row r="1825" spans="1:12">
      <c r="A1825" s="1">
        <v>46031</v>
      </c>
      <c r="B1825" t="s">
        <v>10927</v>
      </c>
      <c r="C1825">
        <v>22</v>
      </c>
      <c r="D1825" t="str">
        <f>VLOOKUP(Tabela26[[#This Row],[EMP]],[1]LOJA!$A:$B,2,0)</f>
        <v>GUARÁ</v>
      </c>
      <c r="E1825">
        <v>16</v>
      </c>
      <c r="F1825" t="s">
        <v>5729</v>
      </c>
      <c r="G1825" t="s">
        <v>5728</v>
      </c>
      <c r="H1825" t="s">
        <v>3401</v>
      </c>
      <c r="I1825">
        <v>5405</v>
      </c>
      <c r="J1825" s="3">
        <v>78</v>
      </c>
      <c r="K1825" s="3">
        <v>40.64</v>
      </c>
      <c r="L1825">
        <v>47.9</v>
      </c>
    </row>
    <row r="1826" spans="1:12">
      <c r="A1826" s="1">
        <v>46031</v>
      </c>
      <c r="B1826" t="s">
        <v>10926</v>
      </c>
      <c r="C1826">
        <v>22</v>
      </c>
      <c r="D1826" t="str">
        <f>VLOOKUP(Tabela26[[#This Row],[EMP]],[1]LOJA!$A:$B,2,0)</f>
        <v>GUARÁ</v>
      </c>
      <c r="E1826">
        <v>16</v>
      </c>
      <c r="F1826" t="s">
        <v>3403</v>
      </c>
      <c r="G1826" t="s">
        <v>3402</v>
      </c>
      <c r="H1826" t="s">
        <v>3401</v>
      </c>
      <c r="I1826">
        <v>5405</v>
      </c>
      <c r="J1826" s="3">
        <v>27</v>
      </c>
      <c r="K1826" s="3">
        <v>12.04</v>
      </c>
      <c r="L1826">
        <v>55.41</v>
      </c>
    </row>
    <row r="1827" spans="1:12">
      <c r="A1827" s="1">
        <v>46031</v>
      </c>
      <c r="B1827" t="s">
        <v>10925</v>
      </c>
      <c r="C1827">
        <v>22</v>
      </c>
      <c r="D1827" t="str">
        <f>VLOOKUP(Tabela26[[#This Row],[EMP]],[1]LOJA!$A:$B,2,0)</f>
        <v>GUARÁ</v>
      </c>
      <c r="E1827">
        <v>16</v>
      </c>
      <c r="F1827" t="s">
        <v>10924</v>
      </c>
      <c r="G1827" t="s">
        <v>10923</v>
      </c>
      <c r="H1827" t="s">
        <v>3401</v>
      </c>
      <c r="I1827">
        <v>5102</v>
      </c>
      <c r="J1827" s="3">
        <v>74</v>
      </c>
      <c r="K1827" s="3">
        <v>34</v>
      </c>
      <c r="L1827">
        <v>54.05</v>
      </c>
    </row>
    <row r="1828" spans="1:12">
      <c r="A1828" s="1">
        <v>46031</v>
      </c>
      <c r="B1828" t="s">
        <v>10922</v>
      </c>
      <c r="C1828">
        <v>22</v>
      </c>
      <c r="D1828" t="str">
        <f>VLOOKUP(Tabela26[[#This Row],[EMP]],[1]LOJA!$A:$B,2,0)</f>
        <v>GUARÁ</v>
      </c>
      <c r="E1828">
        <v>93</v>
      </c>
      <c r="F1828" t="s">
        <v>3403</v>
      </c>
      <c r="G1828" t="s">
        <v>3402</v>
      </c>
      <c r="H1828" t="s">
        <v>3401</v>
      </c>
      <c r="I1828">
        <v>5405</v>
      </c>
      <c r="J1828" s="3">
        <v>383</v>
      </c>
      <c r="K1828" s="3">
        <v>199.32</v>
      </c>
      <c r="L1828">
        <v>47.96</v>
      </c>
    </row>
    <row r="1829" spans="1:12">
      <c r="A1829" s="1">
        <v>46031</v>
      </c>
      <c r="B1829" t="s">
        <v>10921</v>
      </c>
      <c r="C1829">
        <v>22</v>
      </c>
      <c r="D1829" t="str">
        <f>VLOOKUP(Tabela26[[#This Row],[EMP]],[1]LOJA!$A:$B,2,0)</f>
        <v>GUARÁ</v>
      </c>
      <c r="E1829">
        <v>93</v>
      </c>
      <c r="F1829" t="s">
        <v>3403</v>
      </c>
      <c r="G1829" t="s">
        <v>3402</v>
      </c>
      <c r="H1829" t="s">
        <v>3401</v>
      </c>
      <c r="I1829">
        <v>5102</v>
      </c>
      <c r="J1829" s="3">
        <v>28</v>
      </c>
      <c r="K1829" s="3">
        <v>14.64</v>
      </c>
      <c r="L1829">
        <v>47.71</v>
      </c>
    </row>
    <row r="1830" spans="1:12">
      <c r="A1830" s="1">
        <v>46031</v>
      </c>
      <c r="B1830" t="s">
        <v>10920</v>
      </c>
      <c r="C1830">
        <v>12</v>
      </c>
      <c r="D1830" t="str">
        <f>VLOOKUP(Tabela26[[#This Row],[EMP]],[1]LOJA!$A:$B,2,0)</f>
        <v>SOFNORTE</v>
      </c>
      <c r="E1830">
        <v>239</v>
      </c>
      <c r="F1830" t="s">
        <v>5057</v>
      </c>
      <c r="G1830" t="s">
        <v>5056</v>
      </c>
      <c r="H1830" t="s">
        <v>3430</v>
      </c>
      <c r="I1830">
        <v>5405</v>
      </c>
      <c r="J1830" s="3">
        <v>88.92</v>
      </c>
      <c r="K1830" s="3">
        <v>42.69</v>
      </c>
      <c r="L1830">
        <v>51.99</v>
      </c>
    </row>
    <row r="1831" spans="1:12">
      <c r="A1831" s="1">
        <v>46031</v>
      </c>
      <c r="B1831" t="s">
        <v>10919</v>
      </c>
      <c r="C1831">
        <v>12</v>
      </c>
      <c r="D1831" t="str">
        <f>VLOOKUP(Tabela26[[#This Row],[EMP]],[1]LOJA!$A:$B,2,0)</f>
        <v>SOFNORTE</v>
      </c>
      <c r="E1831">
        <v>60</v>
      </c>
      <c r="F1831" t="s">
        <v>3461</v>
      </c>
      <c r="G1831" t="s">
        <v>3460</v>
      </c>
      <c r="H1831" t="s">
        <v>3430</v>
      </c>
      <c r="I1831">
        <v>5102</v>
      </c>
      <c r="J1831" s="3">
        <v>155.28</v>
      </c>
      <c r="K1831" s="3">
        <v>73.58</v>
      </c>
      <c r="L1831">
        <v>52.61</v>
      </c>
    </row>
    <row r="1832" spans="1:12">
      <c r="A1832" s="1">
        <v>46031</v>
      </c>
      <c r="B1832" t="s">
        <v>10918</v>
      </c>
      <c r="C1832">
        <v>12</v>
      </c>
      <c r="D1832" t="str">
        <f>VLOOKUP(Tabela26[[#This Row],[EMP]],[1]LOJA!$A:$B,2,0)</f>
        <v>SOFNORTE</v>
      </c>
      <c r="E1832">
        <v>60</v>
      </c>
      <c r="F1832" t="s">
        <v>3458</v>
      </c>
      <c r="G1832" t="s">
        <v>3457</v>
      </c>
      <c r="H1832" t="s">
        <v>3430</v>
      </c>
      <c r="I1832">
        <v>5102</v>
      </c>
      <c r="J1832" s="3">
        <v>413</v>
      </c>
      <c r="K1832" s="3">
        <v>215.27</v>
      </c>
      <c r="L1832">
        <v>47.88</v>
      </c>
    </row>
    <row r="1833" spans="1:12">
      <c r="A1833" s="1">
        <v>46031</v>
      </c>
      <c r="B1833" t="s">
        <v>10917</v>
      </c>
      <c r="C1833">
        <v>12</v>
      </c>
      <c r="D1833" t="str">
        <f>VLOOKUP(Tabela26[[#This Row],[EMP]],[1]LOJA!$A:$B,2,0)</f>
        <v>SOFNORTE</v>
      </c>
      <c r="E1833">
        <v>60</v>
      </c>
      <c r="F1833" t="s">
        <v>5223</v>
      </c>
      <c r="G1833" t="s">
        <v>5222</v>
      </c>
      <c r="H1833" t="s">
        <v>3430</v>
      </c>
      <c r="I1833">
        <v>5405</v>
      </c>
      <c r="J1833" s="3">
        <v>159.49</v>
      </c>
      <c r="K1833" s="3">
        <v>83.22</v>
      </c>
      <c r="L1833">
        <v>47.82</v>
      </c>
    </row>
    <row r="1834" spans="1:12">
      <c r="A1834" s="1">
        <v>46031</v>
      </c>
      <c r="B1834" t="s">
        <v>10916</v>
      </c>
      <c r="C1834">
        <v>12</v>
      </c>
      <c r="D1834" t="str">
        <f>VLOOKUP(Tabela26[[#This Row],[EMP]],[1]LOJA!$A:$B,2,0)</f>
        <v>SOFNORTE</v>
      </c>
      <c r="E1834">
        <v>60</v>
      </c>
      <c r="F1834" t="s">
        <v>3953</v>
      </c>
      <c r="G1834" t="s">
        <v>3952</v>
      </c>
      <c r="H1834" t="s">
        <v>3430</v>
      </c>
      <c r="I1834">
        <v>5102</v>
      </c>
      <c r="J1834" s="3">
        <v>123</v>
      </c>
      <c r="K1834" s="3">
        <v>61.14</v>
      </c>
      <c r="L1834">
        <v>50.29</v>
      </c>
    </row>
    <row r="1835" spans="1:12">
      <c r="A1835" s="1">
        <v>46031</v>
      </c>
      <c r="B1835" t="s">
        <v>10915</v>
      </c>
      <c r="C1835">
        <v>12</v>
      </c>
      <c r="D1835" t="str">
        <f>VLOOKUP(Tabela26[[#This Row],[EMP]],[1]LOJA!$A:$B,2,0)</f>
        <v>SOFNORTE</v>
      </c>
      <c r="E1835">
        <v>239</v>
      </c>
      <c r="F1835" t="s">
        <v>3428</v>
      </c>
      <c r="G1835" t="s">
        <v>3427</v>
      </c>
      <c r="H1835" t="s">
        <v>3401</v>
      </c>
      <c r="I1835">
        <v>1202</v>
      </c>
      <c r="J1835" s="3">
        <v>-479</v>
      </c>
      <c r="K1835" s="3">
        <v>-280.88</v>
      </c>
      <c r="L1835">
        <v>41.36</v>
      </c>
    </row>
    <row r="1836" spans="1:12">
      <c r="A1836" s="1">
        <v>46031</v>
      </c>
      <c r="B1836" t="s">
        <v>10914</v>
      </c>
      <c r="C1836">
        <v>12</v>
      </c>
      <c r="D1836" t="str">
        <f>VLOOKUP(Tabela26[[#This Row],[EMP]],[1]LOJA!$A:$B,2,0)</f>
        <v>SOFNORTE</v>
      </c>
      <c r="E1836">
        <v>60</v>
      </c>
      <c r="F1836" t="s">
        <v>3458</v>
      </c>
      <c r="G1836" t="s">
        <v>3457</v>
      </c>
      <c r="H1836" t="s">
        <v>3430</v>
      </c>
      <c r="I1836">
        <v>5405</v>
      </c>
      <c r="J1836" s="3">
        <v>303</v>
      </c>
      <c r="K1836" s="3">
        <v>121.3</v>
      </c>
      <c r="L1836">
        <v>59.97</v>
      </c>
    </row>
    <row r="1837" spans="1:12">
      <c r="A1837" s="1">
        <v>46031</v>
      </c>
      <c r="B1837" t="s">
        <v>10913</v>
      </c>
      <c r="C1837">
        <v>12</v>
      </c>
      <c r="D1837" t="str">
        <f>VLOOKUP(Tabela26[[#This Row],[EMP]],[1]LOJA!$A:$B,2,0)</f>
        <v>SOFNORTE</v>
      </c>
      <c r="E1837">
        <v>60</v>
      </c>
      <c r="F1837" t="s">
        <v>3925</v>
      </c>
      <c r="G1837" t="s">
        <v>3924</v>
      </c>
      <c r="H1837" t="s">
        <v>3430</v>
      </c>
      <c r="I1837">
        <v>5405</v>
      </c>
      <c r="J1837" s="3">
        <v>138</v>
      </c>
      <c r="K1837" s="3">
        <v>68.03</v>
      </c>
      <c r="L1837">
        <v>50.7</v>
      </c>
    </row>
    <row r="1838" spans="1:12">
      <c r="A1838" s="1">
        <v>46031</v>
      </c>
      <c r="B1838" t="s">
        <v>10912</v>
      </c>
      <c r="C1838">
        <v>12</v>
      </c>
      <c r="D1838" t="str">
        <f>VLOOKUP(Tabela26[[#This Row],[EMP]],[1]LOJA!$A:$B,2,0)</f>
        <v>SOFNORTE</v>
      </c>
      <c r="E1838">
        <v>60</v>
      </c>
      <c r="F1838" t="s">
        <v>3461</v>
      </c>
      <c r="G1838" t="s">
        <v>3460</v>
      </c>
      <c r="H1838" t="s">
        <v>3430</v>
      </c>
      <c r="I1838">
        <v>5405</v>
      </c>
      <c r="J1838" s="3">
        <v>137.22</v>
      </c>
      <c r="K1838" s="3">
        <v>67.2</v>
      </c>
      <c r="L1838">
        <v>51.03</v>
      </c>
    </row>
    <row r="1839" spans="1:12">
      <c r="A1839" s="1">
        <v>46031</v>
      </c>
      <c r="B1839" t="s">
        <v>10911</v>
      </c>
      <c r="C1839">
        <v>12</v>
      </c>
      <c r="D1839" t="str">
        <f>VLOOKUP(Tabela26[[#This Row],[EMP]],[1]LOJA!$A:$B,2,0)</f>
        <v>SOFNORTE</v>
      </c>
      <c r="E1839">
        <v>239</v>
      </c>
      <c r="F1839" t="s">
        <v>3925</v>
      </c>
      <c r="G1839" t="s">
        <v>3924</v>
      </c>
      <c r="H1839" t="s">
        <v>3430</v>
      </c>
      <c r="I1839">
        <v>5405</v>
      </c>
      <c r="J1839" s="3">
        <v>75.040000000000006</v>
      </c>
      <c r="K1839" s="3">
        <v>34.630000000000003</v>
      </c>
      <c r="L1839">
        <v>53.85</v>
      </c>
    </row>
    <row r="1840" spans="1:12">
      <c r="A1840" s="1">
        <v>46031</v>
      </c>
      <c r="B1840" t="s">
        <v>10910</v>
      </c>
      <c r="C1840">
        <v>4</v>
      </c>
      <c r="D1840" t="str">
        <f>VLOOKUP(Tabela26[[#This Row],[EMP]],[1]LOJA!$A:$B,2,0)</f>
        <v>ADE</v>
      </c>
      <c r="E1840">
        <v>132</v>
      </c>
      <c r="F1840" t="s">
        <v>4568</v>
      </c>
      <c r="G1840" t="s">
        <v>4567</v>
      </c>
      <c r="H1840" t="s">
        <v>3408</v>
      </c>
      <c r="I1840">
        <v>5102</v>
      </c>
      <c r="J1840" s="3">
        <v>187</v>
      </c>
      <c r="K1840" s="3">
        <v>85.84</v>
      </c>
      <c r="L1840">
        <v>54.1</v>
      </c>
    </row>
    <row r="1841" spans="1:12">
      <c r="A1841" s="1">
        <v>46031</v>
      </c>
      <c r="B1841" t="s">
        <v>10909</v>
      </c>
      <c r="C1841">
        <v>4</v>
      </c>
      <c r="D1841" t="str">
        <f>VLOOKUP(Tabela26[[#This Row],[EMP]],[1]LOJA!$A:$B,2,0)</f>
        <v>ADE</v>
      </c>
      <c r="E1841">
        <v>132</v>
      </c>
      <c r="F1841" t="s">
        <v>3403</v>
      </c>
      <c r="G1841" t="s">
        <v>3402</v>
      </c>
      <c r="H1841" t="s">
        <v>3408</v>
      </c>
      <c r="I1841">
        <v>5102</v>
      </c>
      <c r="J1841" s="3">
        <v>315</v>
      </c>
      <c r="K1841" s="3">
        <v>170.43</v>
      </c>
      <c r="L1841">
        <v>45.9</v>
      </c>
    </row>
    <row r="1842" spans="1:12">
      <c r="A1842" s="1">
        <v>46031</v>
      </c>
      <c r="B1842" t="s">
        <v>10908</v>
      </c>
      <c r="C1842">
        <v>4</v>
      </c>
      <c r="D1842" t="str">
        <f>VLOOKUP(Tabela26[[#This Row],[EMP]],[1]LOJA!$A:$B,2,0)</f>
        <v>ADE</v>
      </c>
      <c r="E1842">
        <v>132</v>
      </c>
      <c r="F1842" t="s">
        <v>3403</v>
      </c>
      <c r="G1842" t="s">
        <v>3402</v>
      </c>
      <c r="H1842" t="s">
        <v>3408</v>
      </c>
      <c r="I1842">
        <v>5405</v>
      </c>
      <c r="J1842" s="3">
        <v>404</v>
      </c>
      <c r="K1842" s="3">
        <v>205.18</v>
      </c>
      <c r="L1842">
        <v>49.21</v>
      </c>
    </row>
    <row r="1843" spans="1:12">
      <c r="A1843" s="1">
        <v>46031</v>
      </c>
      <c r="B1843" t="s">
        <v>10907</v>
      </c>
      <c r="C1843">
        <v>4</v>
      </c>
      <c r="D1843" t="str">
        <f>VLOOKUP(Tabela26[[#This Row],[EMP]],[1]LOJA!$A:$B,2,0)</f>
        <v>ADE</v>
      </c>
      <c r="E1843">
        <v>132</v>
      </c>
      <c r="F1843" t="s">
        <v>6752</v>
      </c>
      <c r="G1843" t="s">
        <v>6751</v>
      </c>
      <c r="H1843" t="s">
        <v>3401</v>
      </c>
      <c r="I1843">
        <v>5405</v>
      </c>
      <c r="J1843" s="3">
        <v>62</v>
      </c>
      <c r="K1843" s="3">
        <v>31.61</v>
      </c>
      <c r="L1843">
        <v>49.02</v>
      </c>
    </row>
    <row r="1844" spans="1:12">
      <c r="A1844" s="1">
        <v>46031</v>
      </c>
      <c r="B1844" t="s">
        <v>10906</v>
      </c>
      <c r="C1844">
        <v>4</v>
      </c>
      <c r="D1844" t="str">
        <f>VLOOKUP(Tabela26[[#This Row],[EMP]],[1]LOJA!$A:$B,2,0)</f>
        <v>ADE</v>
      </c>
      <c r="E1844">
        <v>132</v>
      </c>
      <c r="F1844" t="s">
        <v>6752</v>
      </c>
      <c r="G1844" t="s">
        <v>6751</v>
      </c>
      <c r="H1844" t="s">
        <v>3401</v>
      </c>
      <c r="I1844">
        <v>5405</v>
      </c>
      <c r="J1844" s="3">
        <v>59</v>
      </c>
      <c r="K1844" s="3">
        <v>28.22</v>
      </c>
      <c r="L1844">
        <v>52.17</v>
      </c>
    </row>
    <row r="1845" spans="1:12">
      <c r="A1845" s="1">
        <v>46031</v>
      </c>
      <c r="B1845" t="s">
        <v>10905</v>
      </c>
      <c r="C1845">
        <v>4</v>
      </c>
      <c r="D1845" t="str">
        <f>VLOOKUP(Tabela26[[#This Row],[EMP]],[1]LOJA!$A:$B,2,0)</f>
        <v>ADE</v>
      </c>
      <c r="E1845">
        <v>132</v>
      </c>
      <c r="F1845" t="s">
        <v>4565</v>
      </c>
      <c r="G1845" t="s">
        <v>4564</v>
      </c>
      <c r="H1845" t="s">
        <v>3408</v>
      </c>
      <c r="I1845">
        <v>5102</v>
      </c>
      <c r="J1845" s="3">
        <v>69</v>
      </c>
      <c r="K1845" s="3">
        <v>33.979999999999997</v>
      </c>
      <c r="L1845">
        <v>50.75</v>
      </c>
    </row>
    <row r="1846" spans="1:12">
      <c r="A1846" s="1">
        <v>46031</v>
      </c>
      <c r="B1846" t="s">
        <v>10904</v>
      </c>
      <c r="C1846">
        <v>4</v>
      </c>
      <c r="D1846" t="str">
        <f>VLOOKUP(Tabela26[[#This Row],[EMP]],[1]LOJA!$A:$B,2,0)</f>
        <v>ADE</v>
      </c>
      <c r="E1846">
        <v>109</v>
      </c>
      <c r="F1846" t="s">
        <v>4441</v>
      </c>
      <c r="G1846" t="s">
        <v>3402</v>
      </c>
      <c r="H1846" t="s">
        <v>3401</v>
      </c>
      <c r="I1846">
        <v>5102</v>
      </c>
      <c r="J1846" s="3">
        <v>30</v>
      </c>
      <c r="K1846" s="3">
        <v>10</v>
      </c>
      <c r="L1846">
        <v>66.67</v>
      </c>
    </row>
    <row r="1847" spans="1:12">
      <c r="A1847" s="1">
        <v>46031</v>
      </c>
      <c r="B1847" t="s">
        <v>10903</v>
      </c>
      <c r="C1847">
        <v>4</v>
      </c>
      <c r="D1847" t="str">
        <f>VLOOKUP(Tabela26[[#This Row],[EMP]],[1]LOJA!$A:$B,2,0)</f>
        <v>ADE</v>
      </c>
      <c r="E1847">
        <v>132</v>
      </c>
      <c r="F1847" t="s">
        <v>3403</v>
      </c>
      <c r="G1847" t="s">
        <v>3402</v>
      </c>
      <c r="H1847" t="s">
        <v>3401</v>
      </c>
      <c r="I1847">
        <v>5102</v>
      </c>
      <c r="J1847" s="3">
        <v>24</v>
      </c>
      <c r="K1847" s="3">
        <v>11.63</v>
      </c>
      <c r="L1847">
        <v>51.54</v>
      </c>
    </row>
    <row r="1848" spans="1:12">
      <c r="A1848" s="1">
        <v>46031</v>
      </c>
      <c r="B1848" t="s">
        <v>10902</v>
      </c>
      <c r="C1848">
        <v>4</v>
      </c>
      <c r="D1848" t="str">
        <f>VLOOKUP(Tabela26[[#This Row],[EMP]],[1]LOJA!$A:$B,2,0)</f>
        <v>ADE</v>
      </c>
      <c r="E1848">
        <v>132</v>
      </c>
      <c r="F1848" t="s">
        <v>10901</v>
      </c>
      <c r="G1848" t="s">
        <v>3402</v>
      </c>
      <c r="H1848" t="s">
        <v>3408</v>
      </c>
      <c r="I1848">
        <v>5405</v>
      </c>
      <c r="J1848" s="3">
        <v>54.9</v>
      </c>
      <c r="K1848" s="3">
        <v>23.97</v>
      </c>
      <c r="L1848">
        <v>56.34</v>
      </c>
    </row>
    <row r="1849" spans="1:12">
      <c r="A1849" s="1">
        <v>46031</v>
      </c>
      <c r="B1849" t="s">
        <v>10900</v>
      </c>
      <c r="C1849">
        <v>4</v>
      </c>
      <c r="D1849" t="str">
        <f>VLOOKUP(Tabela26[[#This Row],[EMP]],[1]LOJA!$A:$B,2,0)</f>
        <v>ADE</v>
      </c>
      <c r="E1849">
        <v>132</v>
      </c>
      <c r="F1849" t="s">
        <v>4554</v>
      </c>
      <c r="G1849" t="s">
        <v>3402</v>
      </c>
      <c r="H1849" t="s">
        <v>3401</v>
      </c>
      <c r="I1849">
        <v>5102</v>
      </c>
      <c r="J1849" s="3">
        <v>95</v>
      </c>
      <c r="K1849" s="3">
        <v>56.47</v>
      </c>
      <c r="L1849">
        <v>40.56</v>
      </c>
    </row>
    <row r="1850" spans="1:12">
      <c r="A1850" s="1">
        <v>46031</v>
      </c>
      <c r="B1850" t="s">
        <v>10899</v>
      </c>
      <c r="C1850">
        <v>4</v>
      </c>
      <c r="D1850" t="str">
        <f>VLOOKUP(Tabela26[[#This Row],[EMP]],[1]LOJA!$A:$B,2,0)</f>
        <v>ADE</v>
      </c>
      <c r="E1850">
        <v>132</v>
      </c>
      <c r="F1850" t="s">
        <v>4558</v>
      </c>
      <c r="G1850" t="s">
        <v>4557</v>
      </c>
      <c r="H1850" t="s">
        <v>5459</v>
      </c>
      <c r="I1850">
        <v>5102</v>
      </c>
      <c r="J1850" s="3">
        <v>68.86</v>
      </c>
      <c r="K1850" s="3">
        <v>46.43</v>
      </c>
      <c r="L1850">
        <v>32.57</v>
      </c>
    </row>
    <row r="1851" spans="1:12">
      <c r="A1851" s="1">
        <v>46031</v>
      </c>
      <c r="B1851" t="s">
        <v>10898</v>
      </c>
      <c r="C1851">
        <v>16</v>
      </c>
      <c r="D1851" t="str">
        <f>VLOOKUP(Tabela26[[#This Row],[EMP]],[1]LOJA!$A:$B,2,0)</f>
        <v>AG LINDAS</v>
      </c>
      <c r="E1851">
        <v>240</v>
      </c>
      <c r="F1851" t="s">
        <v>3780</v>
      </c>
      <c r="G1851" t="s">
        <v>3437</v>
      </c>
      <c r="H1851" t="s">
        <v>3401</v>
      </c>
      <c r="I1851">
        <v>5102</v>
      </c>
      <c r="J1851" s="3">
        <v>100</v>
      </c>
      <c r="K1851" s="3">
        <v>44.84</v>
      </c>
      <c r="L1851">
        <v>55.16</v>
      </c>
    </row>
    <row r="1852" spans="1:12">
      <c r="A1852" s="1">
        <v>46031</v>
      </c>
      <c r="B1852" t="s">
        <v>10897</v>
      </c>
      <c r="C1852">
        <v>16</v>
      </c>
      <c r="D1852" t="str">
        <f>VLOOKUP(Tabela26[[#This Row],[EMP]],[1]LOJA!$A:$B,2,0)</f>
        <v>AG LINDAS</v>
      </c>
      <c r="E1852">
        <v>240</v>
      </c>
      <c r="F1852" t="s">
        <v>4508</v>
      </c>
      <c r="G1852" t="s">
        <v>3437</v>
      </c>
      <c r="H1852" t="s">
        <v>3401</v>
      </c>
      <c r="I1852">
        <v>5102</v>
      </c>
      <c r="J1852" s="3">
        <v>23.4</v>
      </c>
      <c r="K1852" s="3">
        <v>13.62</v>
      </c>
      <c r="L1852">
        <v>41.79</v>
      </c>
    </row>
    <row r="1853" spans="1:12">
      <c r="A1853" s="1">
        <v>46031</v>
      </c>
      <c r="B1853" t="s">
        <v>10896</v>
      </c>
      <c r="C1853">
        <v>16</v>
      </c>
      <c r="D1853" t="str">
        <f>VLOOKUP(Tabela26[[#This Row],[EMP]],[1]LOJA!$A:$B,2,0)</f>
        <v>AG LINDAS</v>
      </c>
      <c r="E1853">
        <v>240</v>
      </c>
      <c r="F1853" t="s">
        <v>3780</v>
      </c>
      <c r="G1853" t="s">
        <v>3437</v>
      </c>
      <c r="H1853" t="s">
        <v>3401</v>
      </c>
      <c r="I1853">
        <v>5102</v>
      </c>
      <c r="J1853" s="3">
        <v>16.8</v>
      </c>
      <c r="K1853" s="3">
        <v>8.06</v>
      </c>
      <c r="L1853">
        <v>52.02</v>
      </c>
    </row>
    <row r="1854" spans="1:12">
      <c r="A1854" s="1">
        <v>46031</v>
      </c>
      <c r="B1854" t="s">
        <v>10895</v>
      </c>
      <c r="C1854">
        <v>16</v>
      </c>
      <c r="D1854" t="str">
        <f>VLOOKUP(Tabela26[[#This Row],[EMP]],[1]LOJA!$A:$B,2,0)</f>
        <v>AG LINDAS</v>
      </c>
      <c r="E1854">
        <v>240</v>
      </c>
      <c r="F1854" t="s">
        <v>3780</v>
      </c>
      <c r="G1854" t="s">
        <v>3437</v>
      </c>
      <c r="H1854" t="s">
        <v>3401</v>
      </c>
      <c r="I1854">
        <v>5102</v>
      </c>
      <c r="J1854" s="3">
        <v>8.9</v>
      </c>
      <c r="K1854" s="3">
        <v>3.91</v>
      </c>
      <c r="L1854">
        <v>56.07</v>
      </c>
    </row>
    <row r="1855" spans="1:12">
      <c r="A1855" s="1">
        <v>46031</v>
      </c>
      <c r="B1855" t="s">
        <v>10894</v>
      </c>
      <c r="C1855">
        <v>16</v>
      </c>
      <c r="D1855" t="str">
        <f>VLOOKUP(Tabela26[[#This Row],[EMP]],[1]LOJA!$A:$B,2,0)</f>
        <v>AG LINDAS</v>
      </c>
      <c r="E1855">
        <v>240</v>
      </c>
      <c r="F1855" t="s">
        <v>4536</v>
      </c>
      <c r="G1855" t="s">
        <v>3437</v>
      </c>
      <c r="H1855" t="s">
        <v>3401</v>
      </c>
      <c r="I1855">
        <v>5102</v>
      </c>
      <c r="J1855" s="3">
        <v>68.900000000000006</v>
      </c>
      <c r="K1855" s="3">
        <v>47.38</v>
      </c>
      <c r="L1855">
        <v>31.23</v>
      </c>
    </row>
    <row r="1856" spans="1:12">
      <c r="A1856" s="1">
        <v>46031</v>
      </c>
      <c r="B1856" t="s">
        <v>10893</v>
      </c>
      <c r="C1856">
        <v>16</v>
      </c>
      <c r="D1856" t="str">
        <f>VLOOKUP(Tabela26[[#This Row],[EMP]],[1]LOJA!$A:$B,2,0)</f>
        <v>AG LINDAS</v>
      </c>
      <c r="E1856">
        <v>240</v>
      </c>
      <c r="F1856" t="s">
        <v>5657</v>
      </c>
      <c r="G1856" t="s">
        <v>5656</v>
      </c>
      <c r="H1856" t="s">
        <v>3401</v>
      </c>
      <c r="I1856">
        <v>5102</v>
      </c>
      <c r="J1856" s="3">
        <v>125.7</v>
      </c>
      <c r="K1856" s="3">
        <v>74.98</v>
      </c>
      <c r="L1856">
        <v>40.35</v>
      </c>
    </row>
    <row r="1857" spans="1:12">
      <c r="A1857" s="1">
        <v>46031</v>
      </c>
      <c r="B1857" t="s">
        <v>10892</v>
      </c>
      <c r="C1857">
        <v>16</v>
      </c>
      <c r="D1857" t="str">
        <f>VLOOKUP(Tabela26[[#This Row],[EMP]],[1]LOJA!$A:$B,2,0)</f>
        <v>AG LINDAS</v>
      </c>
      <c r="E1857">
        <v>240</v>
      </c>
      <c r="F1857" t="s">
        <v>3780</v>
      </c>
      <c r="G1857" t="s">
        <v>3437</v>
      </c>
      <c r="H1857" t="s">
        <v>3401</v>
      </c>
      <c r="I1857">
        <v>5405</v>
      </c>
      <c r="J1857" s="3">
        <v>29.9</v>
      </c>
      <c r="K1857" s="3">
        <v>12.39</v>
      </c>
      <c r="L1857">
        <v>58.56</v>
      </c>
    </row>
    <row r="1858" spans="1:12">
      <c r="A1858" s="1">
        <v>46031</v>
      </c>
      <c r="B1858" t="s">
        <v>10891</v>
      </c>
      <c r="C1858">
        <v>16</v>
      </c>
      <c r="D1858" t="str">
        <f>VLOOKUP(Tabela26[[#This Row],[EMP]],[1]LOJA!$A:$B,2,0)</f>
        <v>AG LINDAS</v>
      </c>
      <c r="E1858">
        <v>240</v>
      </c>
      <c r="F1858" t="s">
        <v>3780</v>
      </c>
      <c r="G1858" t="s">
        <v>3437</v>
      </c>
      <c r="H1858" t="s">
        <v>3401</v>
      </c>
      <c r="I1858">
        <v>5102</v>
      </c>
      <c r="J1858" s="3">
        <v>33.6</v>
      </c>
      <c r="K1858" s="3">
        <v>16.12</v>
      </c>
      <c r="L1858">
        <v>52.02</v>
      </c>
    </row>
    <row r="1859" spans="1:12">
      <c r="A1859" s="1">
        <v>46031</v>
      </c>
      <c r="B1859" t="s">
        <v>10890</v>
      </c>
      <c r="C1859">
        <v>16</v>
      </c>
      <c r="D1859" t="str">
        <f>VLOOKUP(Tabela26[[#This Row],[EMP]],[1]LOJA!$A:$B,2,0)</f>
        <v>AG LINDAS</v>
      </c>
      <c r="E1859">
        <v>240</v>
      </c>
      <c r="F1859" t="s">
        <v>3818</v>
      </c>
      <c r="G1859" t="s">
        <v>3817</v>
      </c>
      <c r="H1859" t="s">
        <v>3401</v>
      </c>
      <c r="I1859">
        <v>5102</v>
      </c>
      <c r="J1859" s="3">
        <v>62.4</v>
      </c>
      <c r="K1859" s="3">
        <v>35.32</v>
      </c>
      <c r="L1859">
        <v>43.4</v>
      </c>
    </row>
    <row r="1860" spans="1:12">
      <c r="A1860" s="1">
        <v>46031</v>
      </c>
      <c r="B1860" t="s">
        <v>10889</v>
      </c>
      <c r="C1860">
        <v>16</v>
      </c>
      <c r="D1860" t="str">
        <f>VLOOKUP(Tabela26[[#This Row],[EMP]],[1]LOJA!$A:$B,2,0)</f>
        <v>AG LINDAS</v>
      </c>
      <c r="E1860">
        <v>240</v>
      </c>
      <c r="F1860" t="s">
        <v>7674</v>
      </c>
      <c r="G1860" t="s">
        <v>7673</v>
      </c>
      <c r="H1860" t="s">
        <v>3401</v>
      </c>
      <c r="I1860">
        <v>5405</v>
      </c>
      <c r="J1860" s="3">
        <v>116.75</v>
      </c>
      <c r="K1860" s="3">
        <v>58.83</v>
      </c>
      <c r="L1860">
        <v>49.61</v>
      </c>
    </row>
    <row r="1861" spans="1:12">
      <c r="A1861" s="1">
        <v>46031</v>
      </c>
      <c r="B1861" t="s">
        <v>10888</v>
      </c>
      <c r="C1861">
        <v>16</v>
      </c>
      <c r="D1861" t="str">
        <f>VLOOKUP(Tabela26[[#This Row],[EMP]],[1]LOJA!$A:$B,2,0)</f>
        <v>AG LINDAS</v>
      </c>
      <c r="E1861">
        <v>240</v>
      </c>
      <c r="F1861" t="s">
        <v>4501</v>
      </c>
      <c r="G1861" t="s">
        <v>3437</v>
      </c>
      <c r="H1861" t="s">
        <v>3408</v>
      </c>
      <c r="I1861">
        <v>5102</v>
      </c>
      <c r="J1861" s="3">
        <v>345</v>
      </c>
      <c r="K1861" s="3">
        <v>130.84</v>
      </c>
      <c r="L1861">
        <v>62.08</v>
      </c>
    </row>
    <row r="1862" spans="1:12">
      <c r="A1862" s="1">
        <v>46031</v>
      </c>
      <c r="B1862" t="s">
        <v>10887</v>
      </c>
      <c r="C1862">
        <v>16</v>
      </c>
      <c r="D1862" t="str">
        <f>VLOOKUP(Tabela26[[#This Row],[EMP]],[1]LOJA!$A:$B,2,0)</f>
        <v>AG LINDAS</v>
      </c>
      <c r="E1862">
        <v>240</v>
      </c>
      <c r="F1862" t="s">
        <v>3796</v>
      </c>
      <c r="G1862" t="s">
        <v>3795</v>
      </c>
      <c r="H1862" t="s">
        <v>3408</v>
      </c>
      <c r="I1862">
        <v>5405</v>
      </c>
      <c r="J1862" s="3">
        <v>79.8</v>
      </c>
      <c r="K1862" s="3">
        <v>43.19</v>
      </c>
      <c r="L1862">
        <v>45.88</v>
      </c>
    </row>
    <row r="1863" spans="1:12">
      <c r="A1863" s="1">
        <v>46031</v>
      </c>
      <c r="B1863" t="s">
        <v>10886</v>
      </c>
      <c r="C1863">
        <v>16</v>
      </c>
      <c r="D1863" t="str">
        <f>VLOOKUP(Tabela26[[#This Row],[EMP]],[1]LOJA!$A:$B,2,0)</f>
        <v>AG LINDAS</v>
      </c>
      <c r="E1863">
        <v>240</v>
      </c>
      <c r="F1863" t="s">
        <v>3780</v>
      </c>
      <c r="G1863" t="s">
        <v>3437</v>
      </c>
      <c r="H1863" t="s">
        <v>3401</v>
      </c>
      <c r="I1863">
        <v>5102</v>
      </c>
      <c r="J1863" s="3">
        <v>23.9</v>
      </c>
      <c r="K1863" s="3">
        <v>13.32</v>
      </c>
      <c r="L1863">
        <v>44.27</v>
      </c>
    </row>
    <row r="1864" spans="1:12">
      <c r="A1864" s="1">
        <v>46031</v>
      </c>
      <c r="B1864" t="s">
        <v>10885</v>
      </c>
      <c r="C1864">
        <v>16</v>
      </c>
      <c r="D1864" t="str">
        <f>VLOOKUP(Tabela26[[#This Row],[EMP]],[1]LOJA!$A:$B,2,0)</f>
        <v>AG LINDAS</v>
      </c>
      <c r="E1864">
        <v>240</v>
      </c>
      <c r="F1864" t="s">
        <v>3780</v>
      </c>
      <c r="G1864" t="s">
        <v>3437</v>
      </c>
      <c r="H1864" t="s">
        <v>3401</v>
      </c>
      <c r="I1864">
        <v>5102</v>
      </c>
      <c r="J1864" s="3">
        <v>59.5</v>
      </c>
      <c r="K1864" s="3">
        <v>37.11</v>
      </c>
      <c r="L1864">
        <v>37.630000000000003</v>
      </c>
    </row>
    <row r="1865" spans="1:12">
      <c r="A1865" s="1">
        <v>46031</v>
      </c>
      <c r="B1865" t="s">
        <v>10884</v>
      </c>
      <c r="C1865">
        <v>16</v>
      </c>
      <c r="D1865" t="str">
        <f>VLOOKUP(Tabela26[[#This Row],[EMP]],[1]LOJA!$A:$B,2,0)</f>
        <v>AG LINDAS</v>
      </c>
      <c r="E1865">
        <v>240</v>
      </c>
      <c r="F1865" t="s">
        <v>9391</v>
      </c>
      <c r="G1865" t="s">
        <v>3437</v>
      </c>
      <c r="H1865" t="s">
        <v>3401</v>
      </c>
      <c r="I1865">
        <v>5102</v>
      </c>
      <c r="J1865" s="3">
        <v>85</v>
      </c>
      <c r="K1865" s="3">
        <v>45.19</v>
      </c>
      <c r="L1865">
        <v>46.84</v>
      </c>
    </row>
    <row r="1866" spans="1:12">
      <c r="A1866" s="1">
        <v>46031</v>
      </c>
      <c r="B1866" t="s">
        <v>10883</v>
      </c>
      <c r="C1866">
        <v>16</v>
      </c>
      <c r="D1866" t="str">
        <f>VLOOKUP(Tabela26[[#This Row],[EMP]],[1]LOJA!$A:$B,2,0)</f>
        <v>AG LINDAS</v>
      </c>
      <c r="E1866">
        <v>240</v>
      </c>
      <c r="F1866" t="s">
        <v>10882</v>
      </c>
      <c r="G1866" t="s">
        <v>3437</v>
      </c>
      <c r="H1866" t="s">
        <v>3401</v>
      </c>
      <c r="I1866">
        <v>5102</v>
      </c>
      <c r="J1866" s="3">
        <v>7.8</v>
      </c>
      <c r="K1866" s="3">
        <v>3.94</v>
      </c>
      <c r="L1866">
        <v>49.49</v>
      </c>
    </row>
    <row r="1867" spans="1:12">
      <c r="A1867" s="1">
        <v>46031</v>
      </c>
      <c r="B1867" t="s">
        <v>10881</v>
      </c>
      <c r="C1867">
        <v>16</v>
      </c>
      <c r="D1867" t="str">
        <f>VLOOKUP(Tabela26[[#This Row],[EMP]],[1]LOJA!$A:$B,2,0)</f>
        <v>AG LINDAS</v>
      </c>
      <c r="E1867">
        <v>240</v>
      </c>
      <c r="F1867" t="s">
        <v>3780</v>
      </c>
      <c r="G1867" t="s">
        <v>3437</v>
      </c>
      <c r="H1867" t="s">
        <v>3401</v>
      </c>
      <c r="I1867">
        <v>5102</v>
      </c>
      <c r="J1867" s="3">
        <v>61</v>
      </c>
      <c r="K1867" s="3">
        <v>34.43</v>
      </c>
      <c r="L1867">
        <v>43.56</v>
      </c>
    </row>
    <row r="1868" spans="1:12">
      <c r="A1868" s="1">
        <v>46031</v>
      </c>
      <c r="B1868" t="s">
        <v>10880</v>
      </c>
      <c r="C1868">
        <v>16</v>
      </c>
      <c r="D1868" t="str">
        <f>VLOOKUP(Tabela26[[#This Row],[EMP]],[1]LOJA!$A:$B,2,0)</f>
        <v>AG LINDAS</v>
      </c>
      <c r="E1868">
        <v>240</v>
      </c>
      <c r="F1868" t="s">
        <v>3780</v>
      </c>
      <c r="G1868" t="s">
        <v>3437</v>
      </c>
      <c r="H1868" t="s">
        <v>3401</v>
      </c>
      <c r="I1868">
        <v>5102</v>
      </c>
      <c r="J1868" s="3">
        <v>76.900000000000006</v>
      </c>
      <c r="K1868" s="3">
        <v>37.93</v>
      </c>
      <c r="L1868">
        <v>50.68</v>
      </c>
    </row>
    <row r="1869" spans="1:12">
      <c r="A1869" s="1">
        <v>46031</v>
      </c>
      <c r="B1869" t="s">
        <v>10879</v>
      </c>
      <c r="C1869">
        <v>16</v>
      </c>
      <c r="D1869" t="str">
        <f>VLOOKUP(Tabela26[[#This Row],[EMP]],[1]LOJA!$A:$B,2,0)</f>
        <v>AG LINDAS</v>
      </c>
      <c r="E1869">
        <v>240</v>
      </c>
      <c r="F1869" t="s">
        <v>4511</v>
      </c>
      <c r="G1869" t="s">
        <v>4510</v>
      </c>
      <c r="H1869" t="s">
        <v>3401</v>
      </c>
      <c r="I1869">
        <v>5102</v>
      </c>
      <c r="J1869" s="3">
        <v>226.5</v>
      </c>
      <c r="K1869" s="3">
        <v>131.19999999999999</v>
      </c>
      <c r="L1869">
        <v>42.08</v>
      </c>
    </row>
    <row r="1870" spans="1:12">
      <c r="A1870" s="1">
        <v>46031</v>
      </c>
      <c r="B1870" t="s">
        <v>10878</v>
      </c>
      <c r="C1870">
        <v>16</v>
      </c>
      <c r="D1870" t="str">
        <f>VLOOKUP(Tabela26[[#This Row],[EMP]],[1]LOJA!$A:$B,2,0)</f>
        <v>AG LINDAS</v>
      </c>
      <c r="E1870">
        <v>240</v>
      </c>
      <c r="F1870" t="s">
        <v>8083</v>
      </c>
      <c r="G1870" t="s">
        <v>8082</v>
      </c>
      <c r="H1870" t="s">
        <v>3408</v>
      </c>
      <c r="I1870">
        <v>5405</v>
      </c>
      <c r="J1870" s="3">
        <v>894.7</v>
      </c>
      <c r="K1870" s="3">
        <v>473.26</v>
      </c>
      <c r="L1870">
        <v>47.1</v>
      </c>
    </row>
    <row r="1871" spans="1:12">
      <c r="A1871" s="1">
        <v>46031</v>
      </c>
      <c r="B1871" t="s">
        <v>10877</v>
      </c>
      <c r="C1871">
        <v>16</v>
      </c>
      <c r="D1871" t="str">
        <f>VLOOKUP(Tabela26[[#This Row],[EMP]],[1]LOJA!$A:$B,2,0)</f>
        <v>AG LINDAS</v>
      </c>
      <c r="E1871">
        <v>240</v>
      </c>
      <c r="F1871" t="s">
        <v>8083</v>
      </c>
      <c r="G1871" t="s">
        <v>8082</v>
      </c>
      <c r="H1871" t="s">
        <v>3408</v>
      </c>
      <c r="I1871">
        <v>5405</v>
      </c>
      <c r="J1871" s="3">
        <v>186.96</v>
      </c>
      <c r="K1871" s="3">
        <v>92.11</v>
      </c>
      <c r="L1871">
        <v>50.73</v>
      </c>
    </row>
    <row r="1872" spans="1:12">
      <c r="A1872" s="1">
        <v>46031</v>
      </c>
      <c r="B1872" t="s">
        <v>10876</v>
      </c>
      <c r="C1872">
        <v>16</v>
      </c>
      <c r="D1872" t="str">
        <f>VLOOKUP(Tabela26[[#This Row],[EMP]],[1]LOJA!$A:$B,2,0)</f>
        <v>AG LINDAS</v>
      </c>
      <c r="E1872">
        <v>240</v>
      </c>
      <c r="F1872" t="s">
        <v>8083</v>
      </c>
      <c r="G1872" t="s">
        <v>8082</v>
      </c>
      <c r="H1872" t="s">
        <v>3408</v>
      </c>
      <c r="I1872">
        <v>5102</v>
      </c>
      <c r="J1872" s="3">
        <v>48.9</v>
      </c>
      <c r="K1872" s="3">
        <v>25.58</v>
      </c>
      <c r="L1872">
        <v>47.69</v>
      </c>
    </row>
    <row r="1873" spans="1:12">
      <c r="A1873" s="1">
        <v>46031</v>
      </c>
      <c r="B1873" t="s">
        <v>10875</v>
      </c>
      <c r="C1873">
        <v>16</v>
      </c>
      <c r="D1873" t="str">
        <f>VLOOKUP(Tabela26[[#This Row],[EMP]],[1]LOJA!$A:$B,2,0)</f>
        <v>AG LINDAS</v>
      </c>
      <c r="E1873">
        <v>240</v>
      </c>
      <c r="F1873" t="s">
        <v>3780</v>
      </c>
      <c r="G1873" t="s">
        <v>3437</v>
      </c>
      <c r="H1873" t="s">
        <v>3401</v>
      </c>
      <c r="I1873">
        <v>5102</v>
      </c>
      <c r="J1873" s="3">
        <v>30</v>
      </c>
      <c r="K1873" s="3">
        <v>15.31</v>
      </c>
      <c r="L1873">
        <v>48.97</v>
      </c>
    </row>
    <row r="1874" spans="1:12">
      <c r="A1874" s="1">
        <v>46031</v>
      </c>
      <c r="B1874" t="s">
        <v>10874</v>
      </c>
      <c r="C1874">
        <v>16</v>
      </c>
      <c r="D1874" t="str">
        <f>VLOOKUP(Tabela26[[#This Row],[EMP]],[1]LOJA!$A:$B,2,0)</f>
        <v>AG LINDAS</v>
      </c>
      <c r="E1874">
        <v>240</v>
      </c>
      <c r="F1874" t="s">
        <v>10357</v>
      </c>
      <c r="G1874" t="s">
        <v>3437</v>
      </c>
      <c r="H1874" t="s">
        <v>3401</v>
      </c>
      <c r="I1874">
        <v>5405</v>
      </c>
      <c r="J1874" s="3">
        <v>90</v>
      </c>
      <c r="K1874" s="3">
        <v>41.43</v>
      </c>
      <c r="L1874">
        <v>53.97</v>
      </c>
    </row>
    <row r="1875" spans="1:12">
      <c r="A1875" s="1">
        <v>46031</v>
      </c>
      <c r="B1875" t="s">
        <v>10873</v>
      </c>
      <c r="C1875">
        <v>16</v>
      </c>
      <c r="D1875" t="str">
        <f>VLOOKUP(Tabela26[[#This Row],[EMP]],[1]LOJA!$A:$B,2,0)</f>
        <v>AG LINDAS</v>
      </c>
      <c r="E1875">
        <v>240</v>
      </c>
      <c r="F1875" t="s">
        <v>8083</v>
      </c>
      <c r="G1875" t="s">
        <v>8082</v>
      </c>
      <c r="H1875" t="s">
        <v>3408</v>
      </c>
      <c r="I1875">
        <v>5102</v>
      </c>
      <c r="J1875" s="3">
        <v>562.5</v>
      </c>
      <c r="K1875" s="3">
        <v>323.97000000000003</v>
      </c>
      <c r="L1875">
        <v>42.41</v>
      </c>
    </row>
    <row r="1876" spans="1:12">
      <c r="A1876" s="1">
        <v>46031</v>
      </c>
      <c r="B1876" t="s">
        <v>10872</v>
      </c>
      <c r="C1876">
        <v>16</v>
      </c>
      <c r="D1876" t="str">
        <f>VLOOKUP(Tabela26[[#This Row],[EMP]],[1]LOJA!$A:$B,2,0)</f>
        <v>AG LINDAS</v>
      </c>
      <c r="E1876">
        <v>240</v>
      </c>
      <c r="F1876" t="s">
        <v>7434</v>
      </c>
      <c r="G1876" t="s">
        <v>3437</v>
      </c>
      <c r="H1876" t="s">
        <v>3401</v>
      </c>
      <c r="I1876">
        <v>5102</v>
      </c>
      <c r="J1876" s="3">
        <v>39.9</v>
      </c>
      <c r="K1876" s="3">
        <v>24.98</v>
      </c>
      <c r="L1876">
        <v>37.39</v>
      </c>
    </row>
    <row r="1877" spans="1:12">
      <c r="A1877" s="1">
        <v>46031</v>
      </c>
      <c r="B1877" t="s">
        <v>10871</v>
      </c>
      <c r="C1877">
        <v>14</v>
      </c>
      <c r="D1877" t="str">
        <f>VLOOKUP(Tabela26[[#This Row],[EMP]],[1]LOJA!$A:$B,2,0)</f>
        <v>S IA</v>
      </c>
      <c r="E1877">
        <v>54</v>
      </c>
      <c r="F1877" t="s">
        <v>3762</v>
      </c>
      <c r="G1877" t="s">
        <v>3761</v>
      </c>
      <c r="H1877" t="s">
        <v>3430</v>
      </c>
      <c r="I1877">
        <v>5405</v>
      </c>
      <c r="J1877" s="3">
        <v>307.79000000000002</v>
      </c>
      <c r="K1877" s="3">
        <v>165.99</v>
      </c>
      <c r="L1877">
        <v>46.07</v>
      </c>
    </row>
    <row r="1878" spans="1:12">
      <c r="A1878" s="1">
        <v>46031</v>
      </c>
      <c r="B1878" t="s">
        <v>10870</v>
      </c>
      <c r="C1878">
        <v>14</v>
      </c>
      <c r="D1878" t="str">
        <f>VLOOKUP(Tabela26[[#This Row],[EMP]],[1]LOJA!$A:$B,2,0)</f>
        <v>S IA</v>
      </c>
      <c r="E1878">
        <v>212</v>
      </c>
      <c r="F1878" t="s">
        <v>8398</v>
      </c>
      <c r="G1878" t="s">
        <v>8397</v>
      </c>
      <c r="H1878" t="s">
        <v>3408</v>
      </c>
      <c r="I1878">
        <v>5405</v>
      </c>
      <c r="J1878" s="3">
        <v>507</v>
      </c>
      <c r="K1878" s="3">
        <v>268.2</v>
      </c>
      <c r="L1878">
        <v>47.1</v>
      </c>
    </row>
    <row r="1879" spans="1:12">
      <c r="A1879" s="1">
        <v>46031</v>
      </c>
      <c r="B1879" t="s">
        <v>10869</v>
      </c>
      <c r="C1879">
        <v>14</v>
      </c>
      <c r="D1879" t="str">
        <f>VLOOKUP(Tabela26[[#This Row],[EMP]],[1]LOJA!$A:$B,2,0)</f>
        <v>S IA</v>
      </c>
      <c r="E1879">
        <v>212</v>
      </c>
      <c r="F1879" t="s">
        <v>8398</v>
      </c>
      <c r="G1879" t="s">
        <v>8397</v>
      </c>
      <c r="H1879" t="s">
        <v>3408</v>
      </c>
      <c r="I1879">
        <v>5405</v>
      </c>
      <c r="J1879" s="3">
        <v>191.06</v>
      </c>
      <c r="K1879" s="3">
        <v>104.33</v>
      </c>
      <c r="L1879">
        <v>45.39</v>
      </c>
    </row>
    <row r="1880" spans="1:12">
      <c r="A1880" s="1">
        <v>46031</v>
      </c>
      <c r="B1880" t="s">
        <v>10868</v>
      </c>
      <c r="C1880">
        <v>14</v>
      </c>
      <c r="D1880" t="str">
        <f>VLOOKUP(Tabela26[[#This Row],[EMP]],[1]LOJA!$A:$B,2,0)</f>
        <v>S IA</v>
      </c>
      <c r="E1880">
        <v>54</v>
      </c>
      <c r="F1880" t="s">
        <v>10867</v>
      </c>
      <c r="G1880" t="s">
        <v>10866</v>
      </c>
      <c r="H1880" t="s">
        <v>3408</v>
      </c>
      <c r="I1880">
        <v>5405</v>
      </c>
      <c r="J1880" s="3">
        <v>1356.34</v>
      </c>
      <c r="K1880" s="3">
        <v>616.15</v>
      </c>
      <c r="L1880">
        <v>54.57</v>
      </c>
    </row>
    <row r="1881" spans="1:12">
      <c r="A1881" s="1">
        <v>46031</v>
      </c>
      <c r="B1881" t="s">
        <v>10865</v>
      </c>
      <c r="C1881">
        <v>14</v>
      </c>
      <c r="D1881" t="str">
        <f>VLOOKUP(Tabela26[[#This Row],[EMP]],[1]LOJA!$A:$B,2,0)</f>
        <v>S IA</v>
      </c>
      <c r="E1881">
        <v>54</v>
      </c>
      <c r="F1881" t="s">
        <v>3762</v>
      </c>
      <c r="G1881" t="s">
        <v>3761</v>
      </c>
      <c r="H1881" t="s">
        <v>3430</v>
      </c>
      <c r="I1881">
        <v>5102</v>
      </c>
      <c r="J1881" s="3">
        <v>783.8</v>
      </c>
      <c r="K1881" s="3">
        <v>465.5</v>
      </c>
      <c r="L1881">
        <v>40.61</v>
      </c>
    </row>
    <row r="1882" spans="1:12">
      <c r="A1882" s="1">
        <v>46031</v>
      </c>
      <c r="B1882" t="s">
        <v>10864</v>
      </c>
      <c r="C1882">
        <v>14</v>
      </c>
      <c r="D1882" t="str">
        <f>VLOOKUP(Tabela26[[#This Row],[EMP]],[1]LOJA!$A:$B,2,0)</f>
        <v>S IA</v>
      </c>
      <c r="E1882">
        <v>212</v>
      </c>
      <c r="F1882" t="s">
        <v>6696</v>
      </c>
      <c r="G1882" t="s">
        <v>6695</v>
      </c>
      <c r="H1882" t="s">
        <v>3408</v>
      </c>
      <c r="I1882">
        <v>5405</v>
      </c>
      <c r="J1882" s="3">
        <v>26.9</v>
      </c>
      <c r="K1882" s="3">
        <v>12.07</v>
      </c>
      <c r="L1882">
        <v>55.13</v>
      </c>
    </row>
    <row r="1883" spans="1:12">
      <c r="A1883" s="1">
        <v>46031</v>
      </c>
      <c r="B1883" t="s">
        <v>10863</v>
      </c>
      <c r="C1883">
        <v>14</v>
      </c>
      <c r="D1883" t="str">
        <f>VLOOKUP(Tabela26[[#This Row],[EMP]],[1]LOJA!$A:$B,2,0)</f>
        <v>S IA</v>
      </c>
      <c r="E1883">
        <v>54</v>
      </c>
      <c r="F1883" t="s">
        <v>10321</v>
      </c>
      <c r="G1883" t="s">
        <v>10320</v>
      </c>
      <c r="H1883" t="s">
        <v>3408</v>
      </c>
      <c r="I1883">
        <v>5405</v>
      </c>
      <c r="J1883" s="3">
        <v>926</v>
      </c>
      <c r="K1883" s="3">
        <v>330.71</v>
      </c>
      <c r="L1883">
        <v>64.290000000000006</v>
      </c>
    </row>
    <row r="1884" spans="1:12">
      <c r="A1884" s="1">
        <v>46031</v>
      </c>
      <c r="B1884" t="s">
        <v>10862</v>
      </c>
      <c r="C1884">
        <v>14</v>
      </c>
      <c r="D1884" t="str">
        <f>VLOOKUP(Tabela26[[#This Row],[EMP]],[1]LOJA!$A:$B,2,0)</f>
        <v>S IA</v>
      </c>
      <c r="E1884">
        <v>54</v>
      </c>
      <c r="F1884" t="s">
        <v>6696</v>
      </c>
      <c r="G1884" t="s">
        <v>6695</v>
      </c>
      <c r="H1884" t="s">
        <v>3408</v>
      </c>
      <c r="I1884">
        <v>5405</v>
      </c>
      <c r="J1884" s="3">
        <v>170</v>
      </c>
      <c r="K1884" s="3">
        <v>76.010000000000005</v>
      </c>
      <c r="L1884">
        <v>55.29</v>
      </c>
    </row>
    <row r="1885" spans="1:12">
      <c r="A1885" s="1">
        <v>46031</v>
      </c>
      <c r="B1885" t="s">
        <v>10861</v>
      </c>
      <c r="C1885">
        <v>14</v>
      </c>
      <c r="D1885" t="str">
        <f>VLOOKUP(Tabela26[[#This Row],[EMP]],[1]LOJA!$A:$B,2,0)</f>
        <v>S IA</v>
      </c>
      <c r="E1885">
        <v>54</v>
      </c>
      <c r="F1885" t="s">
        <v>3759</v>
      </c>
      <c r="G1885" t="s">
        <v>3758</v>
      </c>
      <c r="H1885" t="s">
        <v>3408</v>
      </c>
      <c r="I1885">
        <v>5405</v>
      </c>
      <c r="J1885" s="3">
        <v>439.4</v>
      </c>
      <c r="K1885" s="3">
        <v>249.68</v>
      </c>
      <c r="L1885">
        <v>43.18</v>
      </c>
    </row>
    <row r="1886" spans="1:12">
      <c r="A1886" s="1">
        <v>46031</v>
      </c>
      <c r="B1886" t="s">
        <v>10860</v>
      </c>
      <c r="C1886">
        <v>14</v>
      </c>
      <c r="D1886" t="str">
        <f>VLOOKUP(Tabela26[[#This Row],[EMP]],[1]LOJA!$A:$B,2,0)</f>
        <v>S IA</v>
      </c>
      <c r="E1886">
        <v>54</v>
      </c>
      <c r="F1886" t="s">
        <v>3762</v>
      </c>
      <c r="G1886" t="s">
        <v>3761</v>
      </c>
      <c r="H1886" t="s">
        <v>3430</v>
      </c>
      <c r="I1886">
        <v>5405</v>
      </c>
      <c r="J1886" s="3">
        <v>93.42</v>
      </c>
      <c r="K1886" s="3">
        <v>39.549999999999997</v>
      </c>
      <c r="L1886">
        <v>57.66</v>
      </c>
    </row>
    <row r="1887" spans="1:12">
      <c r="A1887" s="1">
        <v>46031</v>
      </c>
      <c r="B1887" t="s">
        <v>10859</v>
      </c>
      <c r="C1887">
        <v>14</v>
      </c>
      <c r="D1887" t="str">
        <f>VLOOKUP(Tabela26[[#This Row],[EMP]],[1]LOJA!$A:$B,2,0)</f>
        <v>S IA</v>
      </c>
      <c r="E1887">
        <v>54</v>
      </c>
      <c r="F1887" t="s">
        <v>3772</v>
      </c>
      <c r="G1887" t="s">
        <v>3771</v>
      </c>
      <c r="H1887" t="s">
        <v>3430</v>
      </c>
      <c r="I1887">
        <v>5102</v>
      </c>
      <c r="J1887" s="3">
        <v>64.709999999999994</v>
      </c>
      <c r="K1887" s="3">
        <v>39.96</v>
      </c>
      <c r="L1887">
        <v>38.25</v>
      </c>
    </row>
    <row r="1888" spans="1:12">
      <c r="A1888" s="1">
        <v>46031</v>
      </c>
      <c r="B1888" t="s">
        <v>10858</v>
      </c>
      <c r="C1888">
        <v>14</v>
      </c>
      <c r="D1888" t="str">
        <f>VLOOKUP(Tabela26[[#This Row],[EMP]],[1]LOJA!$A:$B,2,0)</f>
        <v>S IA</v>
      </c>
      <c r="E1888">
        <v>54</v>
      </c>
      <c r="F1888" t="s">
        <v>8014</v>
      </c>
      <c r="G1888" t="s">
        <v>8013</v>
      </c>
      <c r="H1888" t="s">
        <v>3430</v>
      </c>
      <c r="I1888">
        <v>5102</v>
      </c>
      <c r="J1888" s="3">
        <v>19.89</v>
      </c>
      <c r="K1888" s="3">
        <v>11.35</v>
      </c>
      <c r="L1888">
        <v>42.94</v>
      </c>
    </row>
    <row r="1889" spans="1:12">
      <c r="A1889" s="1">
        <v>46031</v>
      </c>
      <c r="B1889" t="s">
        <v>10857</v>
      </c>
      <c r="C1889">
        <v>12</v>
      </c>
      <c r="D1889" t="str">
        <f>VLOOKUP(Tabela26[[#This Row],[EMP]],[1]LOJA!$A:$B,2,0)</f>
        <v>SOFNORTE</v>
      </c>
      <c r="E1889">
        <v>239</v>
      </c>
      <c r="F1889" t="s">
        <v>3428</v>
      </c>
      <c r="G1889" t="s">
        <v>3427</v>
      </c>
      <c r="H1889" t="s">
        <v>3426</v>
      </c>
      <c r="I1889">
        <v>5102</v>
      </c>
      <c r="J1889" s="3">
        <v>479</v>
      </c>
      <c r="K1889" s="3">
        <v>280.88</v>
      </c>
      <c r="L1889">
        <v>41.36</v>
      </c>
    </row>
    <row r="1890" spans="1:12">
      <c r="A1890" s="1">
        <v>46031</v>
      </c>
      <c r="B1890" t="s">
        <v>10856</v>
      </c>
      <c r="C1890">
        <v>12</v>
      </c>
      <c r="D1890" t="str">
        <f>VLOOKUP(Tabela26[[#This Row],[EMP]],[1]LOJA!$A:$B,2,0)</f>
        <v>SOFNORTE</v>
      </c>
      <c r="E1890">
        <v>239</v>
      </c>
      <c r="F1890" t="s">
        <v>3403</v>
      </c>
      <c r="G1890" t="s">
        <v>3402</v>
      </c>
      <c r="H1890" t="s">
        <v>3401</v>
      </c>
      <c r="I1890">
        <v>5405</v>
      </c>
      <c r="J1890" s="3">
        <v>56</v>
      </c>
      <c r="K1890" s="3">
        <v>26.53</v>
      </c>
      <c r="L1890">
        <v>52.63</v>
      </c>
    </row>
    <row r="1891" spans="1:12">
      <c r="A1891" s="1">
        <v>46031</v>
      </c>
      <c r="B1891" t="s">
        <v>10855</v>
      </c>
      <c r="C1891">
        <v>12</v>
      </c>
      <c r="D1891" t="str">
        <f>VLOOKUP(Tabela26[[#This Row],[EMP]],[1]LOJA!$A:$B,2,0)</f>
        <v>SOFNORTE</v>
      </c>
      <c r="E1891">
        <v>60</v>
      </c>
      <c r="F1891" t="s">
        <v>3403</v>
      </c>
      <c r="G1891" t="s">
        <v>3402</v>
      </c>
      <c r="H1891" t="s">
        <v>3401</v>
      </c>
      <c r="I1891">
        <v>5102</v>
      </c>
      <c r="J1891" s="3">
        <v>200</v>
      </c>
      <c r="K1891" s="3">
        <v>119.14</v>
      </c>
      <c r="L1891">
        <v>40.43</v>
      </c>
    </row>
    <row r="1892" spans="1:12">
      <c r="A1892" s="1">
        <v>46031</v>
      </c>
      <c r="B1892" t="s">
        <v>10854</v>
      </c>
      <c r="C1892">
        <v>12</v>
      </c>
      <c r="D1892" t="str">
        <f>VLOOKUP(Tabela26[[#This Row],[EMP]],[1]LOJA!$A:$B,2,0)</f>
        <v>SOFNORTE</v>
      </c>
      <c r="E1892">
        <v>60</v>
      </c>
      <c r="F1892" t="s">
        <v>3737</v>
      </c>
      <c r="G1892" t="s">
        <v>3736</v>
      </c>
      <c r="H1892" t="s">
        <v>3520</v>
      </c>
      <c r="I1892">
        <v>5405</v>
      </c>
      <c r="J1892" s="3">
        <v>33</v>
      </c>
      <c r="K1892" s="3">
        <v>15.21</v>
      </c>
      <c r="L1892">
        <v>53.91</v>
      </c>
    </row>
    <row r="1893" spans="1:12">
      <c r="A1893" s="1">
        <v>46031</v>
      </c>
      <c r="B1893" t="s">
        <v>10853</v>
      </c>
      <c r="C1893">
        <v>12</v>
      </c>
      <c r="D1893" t="str">
        <f>VLOOKUP(Tabela26[[#This Row],[EMP]],[1]LOJA!$A:$B,2,0)</f>
        <v>SOFNORTE</v>
      </c>
      <c r="E1893">
        <v>60</v>
      </c>
      <c r="F1893" t="s">
        <v>3428</v>
      </c>
      <c r="G1893" t="s">
        <v>3427</v>
      </c>
      <c r="H1893" t="s">
        <v>3426</v>
      </c>
      <c r="I1893">
        <v>5102</v>
      </c>
      <c r="J1893" s="3">
        <v>479</v>
      </c>
      <c r="K1893" s="3">
        <v>280.88</v>
      </c>
      <c r="L1893">
        <v>41.36</v>
      </c>
    </row>
    <row r="1894" spans="1:12">
      <c r="A1894" s="1">
        <v>46031</v>
      </c>
      <c r="B1894" t="s">
        <v>10852</v>
      </c>
      <c r="C1894">
        <v>12</v>
      </c>
      <c r="D1894" t="str">
        <f>VLOOKUP(Tabela26[[#This Row],[EMP]],[1]LOJA!$A:$B,2,0)</f>
        <v>SOFNORTE</v>
      </c>
      <c r="E1894">
        <v>60</v>
      </c>
      <c r="F1894" t="s">
        <v>5065</v>
      </c>
      <c r="G1894" t="s">
        <v>3402</v>
      </c>
      <c r="H1894" t="s">
        <v>3408</v>
      </c>
      <c r="I1894">
        <v>5405</v>
      </c>
      <c r="J1894" s="3">
        <v>84</v>
      </c>
      <c r="K1894" s="3">
        <v>40.75</v>
      </c>
      <c r="L1894">
        <v>51.49</v>
      </c>
    </row>
    <row r="1895" spans="1:12">
      <c r="A1895" s="1">
        <v>46031</v>
      </c>
      <c r="B1895" t="s">
        <v>10851</v>
      </c>
      <c r="C1895">
        <v>12</v>
      </c>
      <c r="D1895" t="str">
        <f>VLOOKUP(Tabela26[[#This Row],[EMP]],[1]LOJA!$A:$B,2,0)</f>
        <v>SOFNORTE</v>
      </c>
      <c r="E1895">
        <v>60</v>
      </c>
      <c r="F1895" t="s">
        <v>10850</v>
      </c>
      <c r="G1895" t="s">
        <v>3402</v>
      </c>
      <c r="H1895" t="s">
        <v>3408</v>
      </c>
      <c r="I1895">
        <v>5405</v>
      </c>
      <c r="J1895" s="3">
        <v>75</v>
      </c>
      <c r="K1895" s="3">
        <v>33.71</v>
      </c>
      <c r="L1895">
        <v>55.05</v>
      </c>
    </row>
    <row r="1896" spans="1:12">
      <c r="A1896" s="1">
        <v>46031</v>
      </c>
      <c r="B1896" t="s">
        <v>10849</v>
      </c>
      <c r="C1896">
        <v>12</v>
      </c>
      <c r="D1896" t="str">
        <f>VLOOKUP(Tabela26[[#This Row],[EMP]],[1]LOJA!$A:$B,2,0)</f>
        <v>SOFNORTE</v>
      </c>
      <c r="E1896">
        <v>239</v>
      </c>
      <c r="F1896" t="s">
        <v>10848</v>
      </c>
      <c r="G1896" t="s">
        <v>3402</v>
      </c>
      <c r="H1896" t="s">
        <v>3401</v>
      </c>
      <c r="I1896">
        <v>5405</v>
      </c>
      <c r="J1896" s="3">
        <v>210</v>
      </c>
      <c r="K1896" s="3">
        <v>105.72</v>
      </c>
      <c r="L1896">
        <v>49.66</v>
      </c>
    </row>
    <row r="1897" spans="1:12">
      <c r="A1897" s="1">
        <v>46031</v>
      </c>
      <c r="B1897" t="s">
        <v>10847</v>
      </c>
      <c r="C1897">
        <v>12</v>
      </c>
      <c r="D1897" t="str">
        <f>VLOOKUP(Tabela26[[#This Row],[EMP]],[1]LOJA!$A:$B,2,0)</f>
        <v>SOFNORTE</v>
      </c>
      <c r="E1897">
        <v>60</v>
      </c>
      <c r="F1897" t="s">
        <v>3691</v>
      </c>
      <c r="G1897" t="s">
        <v>3690</v>
      </c>
      <c r="H1897" t="s">
        <v>7505</v>
      </c>
      <c r="I1897">
        <v>5405</v>
      </c>
      <c r="J1897" s="3">
        <v>70.59</v>
      </c>
      <c r="K1897" s="3">
        <v>31.61</v>
      </c>
      <c r="L1897">
        <v>55.22</v>
      </c>
    </row>
    <row r="1898" spans="1:12">
      <c r="A1898" s="1">
        <v>46031</v>
      </c>
      <c r="B1898" t="s">
        <v>10846</v>
      </c>
      <c r="C1898">
        <v>12</v>
      </c>
      <c r="D1898" t="str">
        <f>VLOOKUP(Tabela26[[#This Row],[EMP]],[1]LOJA!$A:$B,2,0)</f>
        <v>SOFNORTE</v>
      </c>
      <c r="E1898">
        <v>60</v>
      </c>
      <c r="F1898" t="s">
        <v>3691</v>
      </c>
      <c r="G1898" t="s">
        <v>3690</v>
      </c>
      <c r="H1898" t="s">
        <v>7505</v>
      </c>
      <c r="I1898">
        <v>5102</v>
      </c>
      <c r="J1898" s="3">
        <v>13.04</v>
      </c>
      <c r="K1898" s="3">
        <v>6.16</v>
      </c>
      <c r="L1898">
        <v>52.76</v>
      </c>
    </row>
    <row r="1899" spans="1:12">
      <c r="A1899" s="1">
        <v>46031</v>
      </c>
      <c r="B1899" t="s">
        <v>10845</v>
      </c>
      <c r="C1899">
        <v>12</v>
      </c>
      <c r="D1899" t="str">
        <f>VLOOKUP(Tabela26[[#This Row],[EMP]],[1]LOJA!$A:$B,2,0)</f>
        <v>SOFNORTE</v>
      </c>
      <c r="E1899">
        <v>60</v>
      </c>
      <c r="F1899" t="s">
        <v>3722</v>
      </c>
      <c r="G1899" t="s">
        <v>3721</v>
      </c>
      <c r="H1899" t="s">
        <v>3408</v>
      </c>
      <c r="I1899">
        <v>5102</v>
      </c>
      <c r="J1899" s="3">
        <v>235</v>
      </c>
      <c r="K1899" s="3">
        <v>116.32</v>
      </c>
      <c r="L1899">
        <v>50.5</v>
      </c>
    </row>
    <row r="1900" spans="1:12">
      <c r="A1900" s="1">
        <v>46031</v>
      </c>
      <c r="B1900" t="s">
        <v>10844</v>
      </c>
      <c r="C1900">
        <v>12</v>
      </c>
      <c r="D1900" t="str">
        <f>VLOOKUP(Tabela26[[#This Row],[EMP]],[1]LOJA!$A:$B,2,0)</f>
        <v>SOFNORTE</v>
      </c>
      <c r="E1900">
        <v>60</v>
      </c>
      <c r="F1900" t="s">
        <v>3701</v>
      </c>
      <c r="G1900" t="s">
        <v>3700</v>
      </c>
      <c r="H1900" t="s">
        <v>3408</v>
      </c>
      <c r="I1900">
        <v>5405</v>
      </c>
      <c r="J1900" s="3">
        <v>67</v>
      </c>
      <c r="K1900" s="3">
        <v>31.36</v>
      </c>
      <c r="L1900">
        <v>53.19</v>
      </c>
    </row>
    <row r="1901" spans="1:12">
      <c r="A1901" s="1">
        <v>46031</v>
      </c>
      <c r="B1901" t="s">
        <v>10843</v>
      </c>
      <c r="C1901">
        <v>12</v>
      </c>
      <c r="D1901" t="str">
        <f>VLOOKUP(Tabela26[[#This Row],[EMP]],[1]LOJA!$A:$B,2,0)</f>
        <v>SOFNORTE</v>
      </c>
      <c r="E1901">
        <v>60</v>
      </c>
      <c r="F1901" t="s">
        <v>10842</v>
      </c>
      <c r="G1901" t="s">
        <v>10841</v>
      </c>
      <c r="H1901" t="s">
        <v>3401</v>
      </c>
      <c r="I1901">
        <v>5405</v>
      </c>
      <c r="J1901" s="3">
        <v>49</v>
      </c>
      <c r="K1901" s="3">
        <v>20.84</v>
      </c>
      <c r="L1901">
        <v>57.47</v>
      </c>
    </row>
    <row r="1902" spans="1:12">
      <c r="A1902" s="1">
        <v>46031</v>
      </c>
      <c r="B1902" t="s">
        <v>10840</v>
      </c>
      <c r="C1902">
        <v>12</v>
      </c>
      <c r="D1902" t="str">
        <f>VLOOKUP(Tabela26[[#This Row],[EMP]],[1]LOJA!$A:$B,2,0)</f>
        <v>SOFNORTE</v>
      </c>
      <c r="E1902">
        <v>60</v>
      </c>
      <c r="F1902" t="s">
        <v>3687</v>
      </c>
      <c r="G1902" t="s">
        <v>3686</v>
      </c>
      <c r="H1902" t="s">
        <v>7505</v>
      </c>
      <c r="I1902">
        <v>5102</v>
      </c>
      <c r="J1902" s="3">
        <v>43.5</v>
      </c>
      <c r="K1902" s="3">
        <v>22.78</v>
      </c>
      <c r="L1902">
        <v>47.63</v>
      </c>
    </row>
    <row r="1903" spans="1:12">
      <c r="A1903" s="1">
        <v>46031</v>
      </c>
      <c r="B1903" t="s">
        <v>10839</v>
      </c>
      <c r="C1903">
        <v>12</v>
      </c>
      <c r="D1903" t="str">
        <f>VLOOKUP(Tabela26[[#This Row],[EMP]],[1]LOJA!$A:$B,2,0)</f>
        <v>SOFNORTE</v>
      </c>
      <c r="E1903">
        <v>239</v>
      </c>
      <c r="F1903" t="s">
        <v>3403</v>
      </c>
      <c r="G1903" t="s">
        <v>3402</v>
      </c>
      <c r="H1903" t="s">
        <v>3401</v>
      </c>
      <c r="I1903">
        <v>5102</v>
      </c>
      <c r="J1903" s="3">
        <v>37</v>
      </c>
      <c r="K1903" s="3">
        <v>21.78</v>
      </c>
      <c r="L1903">
        <v>41.14</v>
      </c>
    </row>
    <row r="1904" spans="1:12">
      <c r="A1904" s="1">
        <v>46031</v>
      </c>
      <c r="B1904" t="s">
        <v>10838</v>
      </c>
      <c r="C1904">
        <v>12</v>
      </c>
      <c r="D1904" t="str">
        <f>VLOOKUP(Tabela26[[#This Row],[EMP]],[1]LOJA!$A:$B,2,0)</f>
        <v>SOFNORTE</v>
      </c>
      <c r="E1904">
        <v>239</v>
      </c>
      <c r="F1904" t="s">
        <v>3403</v>
      </c>
      <c r="G1904" t="s">
        <v>3402</v>
      </c>
      <c r="H1904" t="s">
        <v>3401</v>
      </c>
      <c r="I1904">
        <v>5102</v>
      </c>
      <c r="J1904" s="3">
        <v>12</v>
      </c>
      <c r="K1904" s="3">
        <v>6.77</v>
      </c>
      <c r="L1904">
        <v>43.58</v>
      </c>
    </row>
    <row r="1905" spans="1:12">
      <c r="A1905" s="1">
        <v>46031</v>
      </c>
      <c r="B1905" t="s">
        <v>10837</v>
      </c>
      <c r="C1905">
        <v>12</v>
      </c>
      <c r="D1905" t="str">
        <f>VLOOKUP(Tabela26[[#This Row],[EMP]],[1]LOJA!$A:$B,2,0)</f>
        <v>SOFNORTE</v>
      </c>
      <c r="E1905">
        <v>239</v>
      </c>
      <c r="F1905" t="s">
        <v>3403</v>
      </c>
      <c r="G1905" t="s">
        <v>3402</v>
      </c>
      <c r="H1905" t="s">
        <v>3401</v>
      </c>
      <c r="I1905">
        <v>5405</v>
      </c>
      <c r="J1905" s="3">
        <v>70</v>
      </c>
      <c r="K1905" s="3">
        <v>31.61</v>
      </c>
      <c r="L1905">
        <v>54.84</v>
      </c>
    </row>
    <row r="1906" spans="1:12">
      <c r="A1906" s="1">
        <v>46031</v>
      </c>
      <c r="B1906" t="s">
        <v>3425</v>
      </c>
      <c r="C1906">
        <v>14</v>
      </c>
      <c r="D1906" t="str">
        <f>VLOOKUP(Tabela26[[#This Row],[EMP]],[1]LOJA!$A:$B,2,0)</f>
        <v>S IA</v>
      </c>
      <c r="E1906">
        <v>54</v>
      </c>
      <c r="F1906" t="s">
        <v>6741</v>
      </c>
      <c r="G1906" t="s">
        <v>3402</v>
      </c>
      <c r="H1906" t="s">
        <v>3401</v>
      </c>
      <c r="I1906">
        <v>5405</v>
      </c>
      <c r="J1906" s="3">
        <v>290</v>
      </c>
      <c r="K1906" s="3">
        <v>128.01</v>
      </c>
      <c r="L1906">
        <v>55.86</v>
      </c>
    </row>
    <row r="1907" spans="1:12">
      <c r="A1907" s="1">
        <v>46031</v>
      </c>
      <c r="B1907" t="s">
        <v>3422</v>
      </c>
      <c r="C1907">
        <v>14</v>
      </c>
      <c r="D1907" t="str">
        <f>VLOOKUP(Tabela26[[#This Row],[EMP]],[1]LOJA!$A:$B,2,0)</f>
        <v>S IA</v>
      </c>
      <c r="E1907">
        <v>54</v>
      </c>
      <c r="F1907" t="s">
        <v>4906</v>
      </c>
      <c r="G1907" t="s">
        <v>3402</v>
      </c>
      <c r="H1907" t="s">
        <v>3401</v>
      </c>
      <c r="I1907">
        <v>5405</v>
      </c>
      <c r="J1907" s="3">
        <v>887.17</v>
      </c>
      <c r="K1907" s="3">
        <v>412.91</v>
      </c>
      <c r="L1907">
        <v>53.46</v>
      </c>
    </row>
    <row r="1908" spans="1:12">
      <c r="A1908" s="1">
        <v>46031</v>
      </c>
      <c r="B1908" t="s">
        <v>10836</v>
      </c>
      <c r="C1908">
        <v>14</v>
      </c>
      <c r="D1908" t="str">
        <f>VLOOKUP(Tabela26[[#This Row],[EMP]],[1]LOJA!$A:$B,2,0)</f>
        <v>S IA</v>
      </c>
      <c r="E1908">
        <v>212</v>
      </c>
      <c r="F1908" t="s">
        <v>3403</v>
      </c>
      <c r="G1908" t="s">
        <v>3402</v>
      </c>
      <c r="H1908" t="s">
        <v>3401</v>
      </c>
      <c r="I1908">
        <v>5405</v>
      </c>
      <c r="J1908" s="3">
        <v>45</v>
      </c>
      <c r="K1908" s="3">
        <v>19.010000000000002</v>
      </c>
      <c r="L1908">
        <v>57.76</v>
      </c>
    </row>
    <row r="1909" spans="1:12">
      <c r="A1909" s="1">
        <v>46031</v>
      </c>
      <c r="B1909" t="s">
        <v>10835</v>
      </c>
      <c r="C1909">
        <v>14</v>
      </c>
      <c r="D1909" t="str">
        <f>VLOOKUP(Tabela26[[#This Row],[EMP]],[1]LOJA!$A:$B,2,0)</f>
        <v>S IA</v>
      </c>
      <c r="E1909">
        <v>54</v>
      </c>
      <c r="F1909" t="s">
        <v>3403</v>
      </c>
      <c r="G1909" t="s">
        <v>3402</v>
      </c>
      <c r="H1909" t="s">
        <v>3401</v>
      </c>
      <c r="I1909">
        <v>5102</v>
      </c>
      <c r="J1909" s="3">
        <v>63</v>
      </c>
      <c r="K1909" s="3">
        <v>33.96</v>
      </c>
      <c r="L1909">
        <v>46.1</v>
      </c>
    </row>
    <row r="1910" spans="1:12">
      <c r="A1910" s="1">
        <v>46031</v>
      </c>
      <c r="B1910" t="s">
        <v>10834</v>
      </c>
      <c r="C1910">
        <v>14</v>
      </c>
      <c r="D1910" t="str">
        <f>VLOOKUP(Tabela26[[#This Row],[EMP]],[1]LOJA!$A:$B,2,0)</f>
        <v>S IA</v>
      </c>
      <c r="E1910">
        <v>54</v>
      </c>
      <c r="F1910" t="s">
        <v>3403</v>
      </c>
      <c r="G1910" t="s">
        <v>3402</v>
      </c>
      <c r="H1910" t="s">
        <v>3401</v>
      </c>
      <c r="I1910">
        <v>5102</v>
      </c>
      <c r="J1910" s="3">
        <v>233.9</v>
      </c>
      <c r="K1910" s="3">
        <v>132.97</v>
      </c>
      <c r="L1910">
        <v>43.15</v>
      </c>
    </row>
    <row r="1911" spans="1:12">
      <c r="A1911" s="1">
        <v>46031</v>
      </c>
      <c r="B1911" t="s">
        <v>10833</v>
      </c>
      <c r="C1911">
        <v>14</v>
      </c>
      <c r="D1911" t="str">
        <f>VLOOKUP(Tabela26[[#This Row],[EMP]],[1]LOJA!$A:$B,2,0)</f>
        <v>S IA</v>
      </c>
      <c r="E1911">
        <v>54</v>
      </c>
      <c r="F1911" t="s">
        <v>3403</v>
      </c>
      <c r="G1911" t="s">
        <v>3402</v>
      </c>
      <c r="H1911" t="s">
        <v>3401</v>
      </c>
      <c r="I1911">
        <v>5405</v>
      </c>
      <c r="J1911" s="3">
        <v>127</v>
      </c>
      <c r="K1911" s="3">
        <v>57.3</v>
      </c>
      <c r="L1911">
        <v>54.88</v>
      </c>
    </row>
    <row r="1912" spans="1:12">
      <c r="A1912" s="1">
        <v>46031</v>
      </c>
      <c r="B1912" t="s">
        <v>10832</v>
      </c>
      <c r="C1912">
        <v>14</v>
      </c>
      <c r="D1912" t="str">
        <f>VLOOKUP(Tabela26[[#This Row],[EMP]],[1]LOJA!$A:$B,2,0)</f>
        <v>S IA</v>
      </c>
      <c r="E1912">
        <v>54</v>
      </c>
      <c r="F1912" t="s">
        <v>5251</v>
      </c>
      <c r="G1912" t="s">
        <v>5250</v>
      </c>
      <c r="H1912" t="s">
        <v>3401</v>
      </c>
      <c r="I1912">
        <v>5405</v>
      </c>
      <c r="J1912" s="3">
        <v>30</v>
      </c>
      <c r="K1912" s="3">
        <v>14.68</v>
      </c>
      <c r="L1912">
        <v>51.07</v>
      </c>
    </row>
    <row r="1913" spans="1:12">
      <c r="A1913" s="1">
        <v>46031</v>
      </c>
      <c r="B1913" t="s">
        <v>10831</v>
      </c>
      <c r="C1913">
        <v>14</v>
      </c>
      <c r="D1913" t="str">
        <f>VLOOKUP(Tabela26[[#This Row],[EMP]],[1]LOJA!$A:$B,2,0)</f>
        <v>S IA</v>
      </c>
      <c r="E1913">
        <v>212</v>
      </c>
      <c r="F1913" t="s">
        <v>10830</v>
      </c>
      <c r="G1913" t="s">
        <v>3402</v>
      </c>
      <c r="H1913" t="s">
        <v>3408</v>
      </c>
      <c r="I1913">
        <v>5405</v>
      </c>
      <c r="J1913" s="3">
        <v>54</v>
      </c>
      <c r="K1913" s="3">
        <v>20.22</v>
      </c>
      <c r="L1913">
        <v>62.56</v>
      </c>
    </row>
    <row r="1914" spans="1:12">
      <c r="A1914" s="1">
        <v>46031</v>
      </c>
      <c r="B1914" t="s">
        <v>10829</v>
      </c>
      <c r="C1914">
        <v>14</v>
      </c>
      <c r="D1914" t="str">
        <f>VLOOKUP(Tabela26[[#This Row],[EMP]],[1]LOJA!$A:$B,2,0)</f>
        <v>S IA</v>
      </c>
      <c r="E1914">
        <v>212</v>
      </c>
      <c r="F1914" t="s">
        <v>3403</v>
      </c>
      <c r="G1914" t="s">
        <v>3402</v>
      </c>
      <c r="H1914" t="s">
        <v>3401</v>
      </c>
      <c r="I1914">
        <v>5405</v>
      </c>
      <c r="J1914" s="3">
        <v>55</v>
      </c>
      <c r="K1914" s="3">
        <v>26.53</v>
      </c>
      <c r="L1914">
        <v>51.76</v>
      </c>
    </row>
    <row r="1915" spans="1:12">
      <c r="A1915" s="1">
        <v>46031</v>
      </c>
      <c r="B1915" t="s">
        <v>10828</v>
      </c>
      <c r="C1915">
        <v>14</v>
      </c>
      <c r="D1915" t="str">
        <f>VLOOKUP(Tabela26[[#This Row],[EMP]],[1]LOJA!$A:$B,2,0)</f>
        <v>S IA</v>
      </c>
      <c r="E1915">
        <v>212</v>
      </c>
      <c r="F1915" t="s">
        <v>5111</v>
      </c>
      <c r="G1915" t="s">
        <v>3402</v>
      </c>
      <c r="H1915" t="s">
        <v>3408</v>
      </c>
      <c r="I1915">
        <v>5405</v>
      </c>
      <c r="J1915" s="3">
        <v>96</v>
      </c>
      <c r="K1915" s="3">
        <v>37.94</v>
      </c>
      <c r="L1915">
        <v>60.48</v>
      </c>
    </row>
    <row r="1916" spans="1:12">
      <c r="A1916" s="1">
        <v>46031</v>
      </c>
      <c r="B1916" t="s">
        <v>10827</v>
      </c>
      <c r="C1916">
        <v>14</v>
      </c>
      <c r="D1916" t="str">
        <f>VLOOKUP(Tabela26[[#This Row],[EMP]],[1]LOJA!$A:$B,2,0)</f>
        <v>S IA</v>
      </c>
      <c r="E1916">
        <v>212</v>
      </c>
      <c r="F1916" t="s">
        <v>10826</v>
      </c>
      <c r="G1916" t="s">
        <v>10825</v>
      </c>
      <c r="H1916" t="s">
        <v>3401</v>
      </c>
      <c r="I1916">
        <v>5102</v>
      </c>
      <c r="J1916" s="3">
        <v>60</v>
      </c>
      <c r="K1916" s="3">
        <v>27.34</v>
      </c>
      <c r="L1916">
        <v>54.43</v>
      </c>
    </row>
    <row r="1917" spans="1:12">
      <c r="A1917" s="1">
        <v>46031</v>
      </c>
      <c r="B1917" t="s">
        <v>10824</v>
      </c>
      <c r="C1917">
        <v>4</v>
      </c>
      <c r="D1917" t="str">
        <f>VLOOKUP(Tabela26[[#This Row],[EMP]],[1]LOJA!$A:$B,2,0)</f>
        <v>ADE</v>
      </c>
      <c r="E1917">
        <v>132</v>
      </c>
      <c r="F1917" t="s">
        <v>3677</v>
      </c>
      <c r="G1917" t="s">
        <v>3676</v>
      </c>
      <c r="H1917" t="s">
        <v>3679</v>
      </c>
      <c r="I1917">
        <v>5405</v>
      </c>
      <c r="J1917" s="3">
        <v>1445.7</v>
      </c>
      <c r="K1917" s="3">
        <v>607.03</v>
      </c>
      <c r="L1917">
        <v>58.01</v>
      </c>
    </row>
    <row r="1918" spans="1:12">
      <c r="A1918" s="1">
        <v>46031</v>
      </c>
      <c r="B1918" t="s">
        <v>10823</v>
      </c>
      <c r="C1918">
        <v>4</v>
      </c>
      <c r="D1918" t="str">
        <f>VLOOKUP(Tabela26[[#This Row],[EMP]],[1]LOJA!$A:$B,2,0)</f>
        <v>ADE</v>
      </c>
      <c r="E1918">
        <v>132</v>
      </c>
      <c r="F1918" t="s">
        <v>3677</v>
      </c>
      <c r="G1918" t="s">
        <v>3676</v>
      </c>
      <c r="H1918" t="s">
        <v>3401</v>
      </c>
      <c r="I1918">
        <v>1202</v>
      </c>
      <c r="J1918" s="3">
        <v>-43.8</v>
      </c>
      <c r="K1918" s="3">
        <v>-22.75</v>
      </c>
      <c r="L1918">
        <v>48.06</v>
      </c>
    </row>
    <row r="1919" spans="1:12">
      <c r="A1919" s="1">
        <v>46031</v>
      </c>
      <c r="B1919" t="s">
        <v>10822</v>
      </c>
      <c r="C1919">
        <v>4</v>
      </c>
      <c r="D1919" t="str">
        <f>VLOOKUP(Tabela26[[#This Row],[EMP]],[1]LOJA!$A:$B,2,0)</f>
        <v>ADE</v>
      </c>
      <c r="E1919">
        <v>132</v>
      </c>
      <c r="F1919" t="s">
        <v>3677</v>
      </c>
      <c r="G1919" t="s">
        <v>3676</v>
      </c>
      <c r="H1919" t="s">
        <v>3430</v>
      </c>
      <c r="I1919">
        <v>5102</v>
      </c>
      <c r="J1919" s="3">
        <v>56.57</v>
      </c>
      <c r="K1919" s="3">
        <v>29.88</v>
      </c>
      <c r="L1919">
        <v>47.18</v>
      </c>
    </row>
    <row r="1920" spans="1:12">
      <c r="A1920" s="1">
        <v>46031</v>
      </c>
      <c r="B1920" t="s">
        <v>10821</v>
      </c>
      <c r="C1920">
        <v>4</v>
      </c>
      <c r="D1920" t="str">
        <f>VLOOKUP(Tabela26[[#This Row],[EMP]],[1]LOJA!$A:$B,2,0)</f>
        <v>ADE</v>
      </c>
      <c r="E1920">
        <v>132</v>
      </c>
      <c r="F1920" t="s">
        <v>3660</v>
      </c>
      <c r="G1920" t="s">
        <v>3659</v>
      </c>
      <c r="H1920" t="s">
        <v>3401</v>
      </c>
      <c r="I1920">
        <v>5405</v>
      </c>
      <c r="J1920" s="3">
        <v>63</v>
      </c>
      <c r="K1920" s="3">
        <v>32.9</v>
      </c>
      <c r="L1920">
        <v>47.78</v>
      </c>
    </row>
    <row r="1921" spans="1:12">
      <c r="A1921" s="1">
        <v>46031</v>
      </c>
      <c r="B1921" t="s">
        <v>10820</v>
      </c>
      <c r="C1921">
        <v>4</v>
      </c>
      <c r="D1921" t="str">
        <f>VLOOKUP(Tabela26[[#This Row],[EMP]],[1]LOJA!$A:$B,2,0)</f>
        <v>ADE</v>
      </c>
      <c r="E1921">
        <v>132</v>
      </c>
      <c r="F1921" t="s">
        <v>9031</v>
      </c>
      <c r="G1921" t="s">
        <v>9030</v>
      </c>
      <c r="H1921" t="s">
        <v>3430</v>
      </c>
      <c r="I1921">
        <v>5405</v>
      </c>
      <c r="J1921" s="3">
        <v>216</v>
      </c>
      <c r="K1921" s="3">
        <v>101.22</v>
      </c>
      <c r="L1921">
        <v>53.14</v>
      </c>
    </row>
    <row r="1922" spans="1:12">
      <c r="A1922" s="1">
        <v>46031</v>
      </c>
      <c r="B1922" t="s">
        <v>10819</v>
      </c>
      <c r="C1922">
        <v>4</v>
      </c>
      <c r="D1922" t="str">
        <f>VLOOKUP(Tabela26[[#This Row],[EMP]],[1]LOJA!$A:$B,2,0)</f>
        <v>ADE</v>
      </c>
      <c r="E1922">
        <v>132</v>
      </c>
      <c r="F1922" t="s">
        <v>3664</v>
      </c>
      <c r="G1922" t="s">
        <v>3663</v>
      </c>
      <c r="H1922" t="s">
        <v>3430</v>
      </c>
      <c r="I1922">
        <v>5405</v>
      </c>
      <c r="J1922" s="3">
        <v>98</v>
      </c>
      <c r="K1922" s="3">
        <v>43.47</v>
      </c>
      <c r="L1922">
        <v>55.64</v>
      </c>
    </row>
    <row r="1923" spans="1:12">
      <c r="A1923" s="1">
        <v>46031</v>
      </c>
      <c r="B1923" t="s">
        <v>10818</v>
      </c>
      <c r="C1923">
        <v>4</v>
      </c>
      <c r="D1923" t="str">
        <f>VLOOKUP(Tabela26[[#This Row],[EMP]],[1]LOJA!$A:$B,2,0)</f>
        <v>ADE</v>
      </c>
      <c r="E1923">
        <v>132</v>
      </c>
      <c r="F1923" t="s">
        <v>3657</v>
      </c>
      <c r="G1923" t="s">
        <v>3656</v>
      </c>
      <c r="H1923" t="s">
        <v>3537</v>
      </c>
      <c r="I1923">
        <v>5405</v>
      </c>
      <c r="J1923" s="3">
        <v>600</v>
      </c>
      <c r="K1923" s="3">
        <v>318.36</v>
      </c>
      <c r="L1923">
        <v>46.94</v>
      </c>
    </row>
    <row r="1924" spans="1:12">
      <c r="A1924" s="1">
        <v>46031</v>
      </c>
      <c r="B1924" t="s">
        <v>10817</v>
      </c>
      <c r="C1924">
        <v>4</v>
      </c>
      <c r="D1924" t="str">
        <f>VLOOKUP(Tabela26[[#This Row],[EMP]],[1]LOJA!$A:$B,2,0)</f>
        <v>ADE</v>
      </c>
      <c r="E1924">
        <v>132</v>
      </c>
      <c r="F1924" t="s">
        <v>5027</v>
      </c>
      <c r="G1924" t="s">
        <v>5026</v>
      </c>
      <c r="H1924" t="s">
        <v>3430</v>
      </c>
      <c r="I1924">
        <v>5405</v>
      </c>
      <c r="J1924" s="3">
        <v>1060.0999999999999</v>
      </c>
      <c r="K1924" s="3">
        <v>588.45000000000005</v>
      </c>
      <c r="L1924">
        <v>44.49</v>
      </c>
    </row>
    <row r="1925" spans="1:12">
      <c r="A1925" s="1">
        <v>46031</v>
      </c>
      <c r="B1925" t="s">
        <v>10816</v>
      </c>
      <c r="C1925">
        <v>4</v>
      </c>
      <c r="D1925" t="str">
        <f>VLOOKUP(Tabela26[[#This Row],[EMP]],[1]LOJA!$A:$B,2,0)</f>
        <v>ADE</v>
      </c>
      <c r="E1925">
        <v>132</v>
      </c>
      <c r="F1925" t="s">
        <v>3670</v>
      </c>
      <c r="G1925" t="s">
        <v>3669</v>
      </c>
      <c r="H1925" t="s">
        <v>3430</v>
      </c>
      <c r="I1925">
        <v>5405</v>
      </c>
      <c r="J1925" s="3">
        <v>189.9</v>
      </c>
      <c r="K1925" s="3">
        <v>98.19</v>
      </c>
      <c r="L1925">
        <v>48.29</v>
      </c>
    </row>
    <row r="1926" spans="1:12">
      <c r="A1926" s="1">
        <v>46031</v>
      </c>
      <c r="B1926" t="s">
        <v>10815</v>
      </c>
      <c r="C1926">
        <v>4</v>
      </c>
      <c r="D1926" t="str">
        <f>VLOOKUP(Tabela26[[#This Row],[EMP]],[1]LOJA!$A:$B,2,0)</f>
        <v>ADE</v>
      </c>
      <c r="E1926">
        <v>132</v>
      </c>
      <c r="F1926" t="s">
        <v>10814</v>
      </c>
      <c r="G1926" t="s">
        <v>10813</v>
      </c>
      <c r="H1926" t="s">
        <v>3430</v>
      </c>
      <c r="I1926">
        <v>5405</v>
      </c>
      <c r="J1926" s="3">
        <v>601.6</v>
      </c>
      <c r="K1926" s="3">
        <v>372.28</v>
      </c>
      <c r="L1926">
        <v>38.119999999999997</v>
      </c>
    </row>
    <row r="1927" spans="1:12">
      <c r="A1927" s="1">
        <v>46031</v>
      </c>
      <c r="B1927" t="s">
        <v>10812</v>
      </c>
      <c r="C1927">
        <v>4</v>
      </c>
      <c r="D1927" t="str">
        <f>VLOOKUP(Tabela26[[#This Row],[EMP]],[1]LOJA!$A:$B,2,0)</f>
        <v>ADE</v>
      </c>
      <c r="E1927">
        <v>132</v>
      </c>
      <c r="F1927" t="s">
        <v>5027</v>
      </c>
      <c r="G1927" t="s">
        <v>5026</v>
      </c>
      <c r="H1927" t="s">
        <v>3430</v>
      </c>
      <c r="I1927">
        <v>5405</v>
      </c>
      <c r="J1927" s="3">
        <v>268.07</v>
      </c>
      <c r="K1927" s="3">
        <v>146.49</v>
      </c>
      <c r="L1927">
        <v>45.35</v>
      </c>
    </row>
    <row r="1928" spans="1:12">
      <c r="A1928" s="1">
        <v>46031</v>
      </c>
      <c r="B1928" t="s">
        <v>10811</v>
      </c>
      <c r="C1928">
        <v>13</v>
      </c>
      <c r="D1928" t="str">
        <f>VLOOKUP(Tabela26[[#This Row],[EMP]],[1]LOJA!$A:$B,2,0)</f>
        <v>CEILÂNDIA</v>
      </c>
      <c r="E1928">
        <v>86</v>
      </c>
      <c r="F1928" t="s">
        <v>3403</v>
      </c>
      <c r="G1928" t="s">
        <v>3402</v>
      </c>
      <c r="H1928" t="s">
        <v>3401</v>
      </c>
      <c r="I1928">
        <v>5102</v>
      </c>
      <c r="J1928" s="3">
        <v>18</v>
      </c>
      <c r="K1928" s="3">
        <v>9.17</v>
      </c>
      <c r="L1928">
        <v>49.06</v>
      </c>
    </row>
    <row r="1929" spans="1:12">
      <c r="A1929" s="1">
        <v>46031</v>
      </c>
      <c r="B1929" t="s">
        <v>10810</v>
      </c>
      <c r="C1929">
        <v>13</v>
      </c>
      <c r="D1929" t="str">
        <f>VLOOKUP(Tabela26[[#This Row],[EMP]],[1]LOJA!$A:$B,2,0)</f>
        <v>CEILÂNDIA</v>
      </c>
      <c r="E1929">
        <v>86</v>
      </c>
      <c r="F1929" t="s">
        <v>8440</v>
      </c>
      <c r="G1929" t="s">
        <v>3402</v>
      </c>
      <c r="H1929" t="s">
        <v>3408</v>
      </c>
      <c r="I1929">
        <v>5102</v>
      </c>
      <c r="J1929" s="3">
        <v>77</v>
      </c>
      <c r="K1929" s="3">
        <v>50.2</v>
      </c>
      <c r="L1929">
        <v>34.81</v>
      </c>
    </row>
    <row r="1930" spans="1:12">
      <c r="A1930" s="1">
        <v>46031</v>
      </c>
      <c r="B1930" t="s">
        <v>10809</v>
      </c>
      <c r="C1930">
        <v>13</v>
      </c>
      <c r="D1930" t="str">
        <f>VLOOKUP(Tabela26[[#This Row],[EMP]],[1]LOJA!$A:$B,2,0)</f>
        <v>CEILÂNDIA</v>
      </c>
      <c r="E1930">
        <v>86</v>
      </c>
      <c r="F1930" t="s">
        <v>3643</v>
      </c>
      <c r="G1930" t="s">
        <v>3402</v>
      </c>
      <c r="H1930" t="s">
        <v>3408</v>
      </c>
      <c r="I1930">
        <v>5405</v>
      </c>
      <c r="J1930" s="3">
        <v>145</v>
      </c>
      <c r="K1930" s="3">
        <v>71.099999999999994</v>
      </c>
      <c r="L1930">
        <v>50.97</v>
      </c>
    </row>
    <row r="1931" spans="1:12">
      <c r="A1931" s="1">
        <v>46031</v>
      </c>
      <c r="B1931" t="s">
        <v>10808</v>
      </c>
      <c r="C1931">
        <v>13</v>
      </c>
      <c r="D1931" t="str">
        <f>VLOOKUP(Tabela26[[#This Row],[EMP]],[1]LOJA!$A:$B,2,0)</f>
        <v>CEILÂNDIA</v>
      </c>
      <c r="E1931">
        <v>86</v>
      </c>
      <c r="F1931" t="s">
        <v>6610</v>
      </c>
      <c r="G1931" t="s">
        <v>6609</v>
      </c>
      <c r="H1931" t="s">
        <v>3408</v>
      </c>
      <c r="I1931">
        <v>5102</v>
      </c>
      <c r="J1931" s="3">
        <v>100</v>
      </c>
      <c r="K1931" s="3">
        <v>54.62</v>
      </c>
      <c r="L1931">
        <v>45.38</v>
      </c>
    </row>
    <row r="1932" spans="1:12">
      <c r="A1932" s="1">
        <v>46031</v>
      </c>
      <c r="B1932" t="s">
        <v>10807</v>
      </c>
      <c r="C1932">
        <v>13</v>
      </c>
      <c r="D1932" t="str">
        <f>VLOOKUP(Tabela26[[#This Row],[EMP]],[1]LOJA!$A:$B,2,0)</f>
        <v>CEILÂNDIA</v>
      </c>
      <c r="E1932">
        <v>86</v>
      </c>
      <c r="F1932" t="s">
        <v>5320</v>
      </c>
      <c r="G1932" t="s">
        <v>5319</v>
      </c>
      <c r="H1932" t="s">
        <v>3408</v>
      </c>
      <c r="I1932">
        <v>5102</v>
      </c>
      <c r="J1932" s="3">
        <v>66</v>
      </c>
      <c r="K1932" s="3">
        <v>36.44</v>
      </c>
      <c r="L1932">
        <v>44.79</v>
      </c>
    </row>
    <row r="1933" spans="1:12">
      <c r="A1933" s="1">
        <v>46031</v>
      </c>
      <c r="B1933" t="s">
        <v>10806</v>
      </c>
      <c r="C1933">
        <v>13</v>
      </c>
      <c r="D1933" t="str">
        <f>VLOOKUP(Tabela26[[#This Row],[EMP]],[1]LOJA!$A:$B,2,0)</f>
        <v>CEILÂNDIA</v>
      </c>
      <c r="E1933">
        <v>86</v>
      </c>
      <c r="F1933" t="s">
        <v>4081</v>
      </c>
      <c r="G1933" t="s">
        <v>4080</v>
      </c>
      <c r="H1933" t="s">
        <v>3401</v>
      </c>
      <c r="I1933">
        <v>5405</v>
      </c>
      <c r="J1933" s="3">
        <v>28</v>
      </c>
      <c r="K1933" s="3">
        <v>15.22</v>
      </c>
      <c r="L1933">
        <v>45.64</v>
      </c>
    </row>
    <row r="1934" spans="1:12">
      <c r="A1934" s="1">
        <v>46031</v>
      </c>
      <c r="B1934" t="s">
        <v>10805</v>
      </c>
      <c r="C1934">
        <v>13</v>
      </c>
      <c r="D1934" t="str">
        <f>VLOOKUP(Tabela26[[#This Row],[EMP]],[1]LOJA!$A:$B,2,0)</f>
        <v>CEILÂNDIA</v>
      </c>
      <c r="E1934">
        <v>86</v>
      </c>
      <c r="F1934" t="s">
        <v>3615</v>
      </c>
      <c r="G1934" t="s">
        <v>3614</v>
      </c>
      <c r="H1934" t="s">
        <v>5459</v>
      </c>
      <c r="I1934">
        <v>5405</v>
      </c>
      <c r="J1934" s="3">
        <v>57</v>
      </c>
      <c r="K1934" s="3">
        <v>25.9</v>
      </c>
      <c r="L1934">
        <v>54.56</v>
      </c>
    </row>
    <row r="1935" spans="1:12">
      <c r="A1935" s="1">
        <v>46031</v>
      </c>
      <c r="B1935" t="s">
        <v>10804</v>
      </c>
      <c r="C1935">
        <v>13</v>
      </c>
      <c r="D1935" t="str">
        <f>VLOOKUP(Tabela26[[#This Row],[EMP]],[1]LOJA!$A:$B,2,0)</f>
        <v>CEILÂNDIA</v>
      </c>
      <c r="E1935">
        <v>86</v>
      </c>
      <c r="F1935" t="s">
        <v>10780</v>
      </c>
      <c r="G1935" t="s">
        <v>10779</v>
      </c>
      <c r="H1935" t="s">
        <v>7505</v>
      </c>
      <c r="I1935">
        <v>5405</v>
      </c>
      <c r="J1935" s="3">
        <v>35</v>
      </c>
      <c r="K1935" s="3">
        <v>16.71</v>
      </c>
      <c r="L1935">
        <v>52.26</v>
      </c>
    </row>
    <row r="1936" spans="1:12">
      <c r="A1936" s="1">
        <v>46031</v>
      </c>
      <c r="B1936" t="s">
        <v>10803</v>
      </c>
      <c r="C1936">
        <v>13</v>
      </c>
      <c r="D1936" t="str">
        <f>VLOOKUP(Tabela26[[#This Row],[EMP]],[1]LOJA!$A:$B,2,0)</f>
        <v>CEILÂNDIA</v>
      </c>
      <c r="E1936">
        <v>86</v>
      </c>
      <c r="F1936" t="s">
        <v>3403</v>
      </c>
      <c r="G1936" t="s">
        <v>3402</v>
      </c>
      <c r="H1936" t="s">
        <v>3401</v>
      </c>
      <c r="I1936">
        <v>5102</v>
      </c>
      <c r="J1936" s="3">
        <v>130</v>
      </c>
      <c r="K1936" s="3">
        <v>78.319999999999993</v>
      </c>
      <c r="L1936">
        <v>39.75</v>
      </c>
    </row>
    <row r="1937" spans="1:12">
      <c r="A1937" s="1">
        <v>46031</v>
      </c>
      <c r="B1937" t="s">
        <v>10802</v>
      </c>
      <c r="C1937">
        <v>13</v>
      </c>
      <c r="D1937" t="str">
        <f>VLOOKUP(Tabela26[[#This Row],[EMP]],[1]LOJA!$A:$B,2,0)</f>
        <v>CEILÂNDIA</v>
      </c>
      <c r="E1937">
        <v>86</v>
      </c>
      <c r="F1937" t="s">
        <v>6610</v>
      </c>
      <c r="G1937" t="s">
        <v>6609</v>
      </c>
      <c r="H1937" t="s">
        <v>3408</v>
      </c>
      <c r="I1937">
        <v>5405</v>
      </c>
      <c r="J1937" s="3">
        <v>57</v>
      </c>
      <c r="K1937" s="3">
        <v>27.95</v>
      </c>
      <c r="L1937">
        <v>50.96</v>
      </c>
    </row>
    <row r="1938" spans="1:12">
      <c r="A1938" s="1">
        <v>46031</v>
      </c>
      <c r="B1938" t="s">
        <v>10801</v>
      </c>
      <c r="C1938">
        <v>13</v>
      </c>
      <c r="D1938" t="str">
        <f>VLOOKUP(Tabela26[[#This Row],[EMP]],[1]LOJA!$A:$B,2,0)</f>
        <v>CEILÂNDIA</v>
      </c>
      <c r="E1938">
        <v>86</v>
      </c>
      <c r="F1938" t="s">
        <v>3403</v>
      </c>
      <c r="G1938" t="s">
        <v>3402</v>
      </c>
      <c r="H1938" t="s">
        <v>3401</v>
      </c>
      <c r="I1938">
        <v>5102</v>
      </c>
      <c r="J1938" s="3">
        <v>29</v>
      </c>
      <c r="K1938" s="3">
        <v>17.940000000000001</v>
      </c>
      <c r="L1938">
        <v>38.14</v>
      </c>
    </row>
    <row r="1939" spans="1:12">
      <c r="A1939" s="1">
        <v>46031</v>
      </c>
      <c r="B1939" t="s">
        <v>10800</v>
      </c>
      <c r="C1939">
        <v>13</v>
      </c>
      <c r="D1939" t="str">
        <f>VLOOKUP(Tabela26[[#This Row],[EMP]],[1]LOJA!$A:$B,2,0)</f>
        <v>CEILÂNDIA</v>
      </c>
      <c r="E1939">
        <v>86</v>
      </c>
      <c r="F1939" t="s">
        <v>5568</v>
      </c>
      <c r="G1939" t="s">
        <v>5567</v>
      </c>
      <c r="H1939" t="s">
        <v>3408</v>
      </c>
      <c r="I1939">
        <v>5405</v>
      </c>
      <c r="J1939" s="3">
        <v>65</v>
      </c>
      <c r="K1939" s="3">
        <v>32.58</v>
      </c>
      <c r="L1939">
        <v>49.88</v>
      </c>
    </row>
    <row r="1940" spans="1:12">
      <c r="A1940" s="1">
        <v>46031</v>
      </c>
      <c r="B1940" t="s">
        <v>10799</v>
      </c>
      <c r="C1940">
        <v>13</v>
      </c>
      <c r="D1940" t="str">
        <f>VLOOKUP(Tabela26[[#This Row],[EMP]],[1]LOJA!$A:$B,2,0)</f>
        <v>CEILÂNDIA</v>
      </c>
      <c r="E1940">
        <v>86</v>
      </c>
      <c r="F1940" t="s">
        <v>3403</v>
      </c>
      <c r="G1940" t="s">
        <v>3402</v>
      </c>
      <c r="H1940" t="s">
        <v>3401</v>
      </c>
      <c r="I1940">
        <v>5405</v>
      </c>
      <c r="J1940" s="3">
        <v>170</v>
      </c>
      <c r="K1940" s="3">
        <v>84.71</v>
      </c>
      <c r="L1940">
        <v>50.17</v>
      </c>
    </row>
    <row r="1941" spans="1:12">
      <c r="A1941" s="1">
        <v>46031</v>
      </c>
      <c r="B1941" t="s">
        <v>10798</v>
      </c>
      <c r="C1941">
        <v>13</v>
      </c>
      <c r="D1941" t="str">
        <f>VLOOKUP(Tabela26[[#This Row],[EMP]],[1]LOJA!$A:$B,2,0)</f>
        <v>CEILÂNDIA</v>
      </c>
      <c r="E1941">
        <v>86</v>
      </c>
      <c r="F1941" t="s">
        <v>5568</v>
      </c>
      <c r="G1941" t="s">
        <v>5567</v>
      </c>
      <c r="H1941" t="s">
        <v>3401</v>
      </c>
      <c r="I1941">
        <v>5102</v>
      </c>
      <c r="J1941" s="3">
        <v>14</v>
      </c>
      <c r="K1941" s="3">
        <v>7.2</v>
      </c>
      <c r="L1941">
        <v>48.57</v>
      </c>
    </row>
    <row r="1942" spans="1:12">
      <c r="A1942" s="1">
        <v>46031</v>
      </c>
      <c r="B1942" t="s">
        <v>10797</v>
      </c>
      <c r="C1942">
        <v>13</v>
      </c>
      <c r="D1942" t="str">
        <f>VLOOKUP(Tabela26[[#This Row],[EMP]],[1]LOJA!$A:$B,2,0)</f>
        <v>CEILÂNDIA</v>
      </c>
      <c r="E1942">
        <v>86</v>
      </c>
      <c r="F1942" t="s">
        <v>3615</v>
      </c>
      <c r="G1942" t="s">
        <v>3614</v>
      </c>
      <c r="H1942" t="s">
        <v>5459</v>
      </c>
      <c r="I1942">
        <v>5405</v>
      </c>
      <c r="J1942" s="3">
        <v>50</v>
      </c>
      <c r="K1942" s="3">
        <v>29.78</v>
      </c>
      <c r="L1942">
        <v>40.44</v>
      </c>
    </row>
    <row r="1943" spans="1:12">
      <c r="A1943" s="1">
        <v>46031</v>
      </c>
      <c r="B1943" t="s">
        <v>10796</v>
      </c>
      <c r="C1943">
        <v>13</v>
      </c>
      <c r="D1943" t="str">
        <f>VLOOKUP(Tabela26[[#This Row],[EMP]],[1]LOJA!$A:$B,2,0)</f>
        <v>CEILÂNDIA</v>
      </c>
      <c r="E1943">
        <v>33</v>
      </c>
      <c r="F1943" t="s">
        <v>10795</v>
      </c>
      <c r="G1943" t="s">
        <v>10794</v>
      </c>
      <c r="H1943" t="s">
        <v>3408</v>
      </c>
      <c r="I1943">
        <v>5102</v>
      </c>
      <c r="J1943" s="3">
        <v>265</v>
      </c>
      <c r="K1943" s="3">
        <v>142.27000000000001</v>
      </c>
      <c r="L1943">
        <v>46.31</v>
      </c>
    </row>
    <row r="1944" spans="1:12">
      <c r="A1944" s="1">
        <v>46031</v>
      </c>
      <c r="B1944" t="s">
        <v>10793</v>
      </c>
      <c r="C1944">
        <v>13</v>
      </c>
      <c r="D1944" t="str">
        <f>VLOOKUP(Tabela26[[#This Row],[EMP]],[1]LOJA!$A:$B,2,0)</f>
        <v>CEILÂNDIA</v>
      </c>
      <c r="E1944">
        <v>86</v>
      </c>
      <c r="F1944" t="s">
        <v>3649</v>
      </c>
      <c r="G1944" t="s">
        <v>3648</v>
      </c>
      <c r="H1944" t="s">
        <v>3408</v>
      </c>
      <c r="I1944">
        <v>5405</v>
      </c>
      <c r="J1944" s="3">
        <v>277.8</v>
      </c>
      <c r="K1944" s="3">
        <v>167.16</v>
      </c>
      <c r="L1944">
        <v>39.83</v>
      </c>
    </row>
    <row r="1945" spans="1:12">
      <c r="A1945" s="1">
        <v>46031</v>
      </c>
      <c r="B1945" t="s">
        <v>10792</v>
      </c>
      <c r="C1945">
        <v>13</v>
      </c>
      <c r="D1945" t="str">
        <f>VLOOKUP(Tabela26[[#This Row],[EMP]],[1]LOJA!$A:$B,2,0)</f>
        <v>CEILÂNDIA</v>
      </c>
      <c r="E1945">
        <v>86</v>
      </c>
      <c r="F1945" t="s">
        <v>3622</v>
      </c>
      <c r="G1945" t="s">
        <v>3402</v>
      </c>
      <c r="H1945" t="s">
        <v>3408</v>
      </c>
      <c r="I1945">
        <v>5102</v>
      </c>
      <c r="J1945" s="3">
        <v>10.5</v>
      </c>
      <c r="K1945" s="3">
        <v>4.8499999999999996</v>
      </c>
      <c r="L1945">
        <v>53.81</v>
      </c>
    </row>
    <row r="1946" spans="1:12">
      <c r="A1946" s="1">
        <v>46031</v>
      </c>
      <c r="B1946" t="s">
        <v>10791</v>
      </c>
      <c r="C1946">
        <v>13</v>
      </c>
      <c r="D1946" t="str">
        <f>VLOOKUP(Tabela26[[#This Row],[EMP]],[1]LOJA!$A:$B,2,0)</f>
        <v>CEILÂNDIA</v>
      </c>
      <c r="E1946">
        <v>86</v>
      </c>
      <c r="F1946" t="s">
        <v>3403</v>
      </c>
      <c r="G1946" t="s">
        <v>3402</v>
      </c>
      <c r="H1946" t="s">
        <v>3401</v>
      </c>
      <c r="I1946">
        <v>5102</v>
      </c>
      <c r="J1946" s="3">
        <v>34</v>
      </c>
      <c r="K1946" s="3">
        <v>11.66</v>
      </c>
      <c r="L1946">
        <v>65.709999999999994</v>
      </c>
    </row>
    <row r="1947" spans="1:12">
      <c r="A1947" s="1">
        <v>46031</v>
      </c>
      <c r="B1947" t="s">
        <v>10790</v>
      </c>
      <c r="C1947">
        <v>13</v>
      </c>
      <c r="D1947" t="str">
        <f>VLOOKUP(Tabela26[[#This Row],[EMP]],[1]LOJA!$A:$B,2,0)</f>
        <v>CEILÂNDIA</v>
      </c>
      <c r="E1947">
        <v>86</v>
      </c>
      <c r="F1947" t="s">
        <v>3612</v>
      </c>
      <c r="G1947" t="s">
        <v>3611</v>
      </c>
      <c r="H1947" t="s">
        <v>3401</v>
      </c>
      <c r="I1947">
        <v>5102</v>
      </c>
      <c r="J1947" s="3">
        <v>119.5</v>
      </c>
      <c r="K1947" s="3">
        <v>69.08</v>
      </c>
      <c r="L1947">
        <v>42.19</v>
      </c>
    </row>
    <row r="1948" spans="1:12">
      <c r="A1948" s="1">
        <v>46031</v>
      </c>
      <c r="B1948" t="s">
        <v>10789</v>
      </c>
      <c r="C1948">
        <v>13</v>
      </c>
      <c r="D1948" t="str">
        <f>VLOOKUP(Tabela26[[#This Row],[EMP]],[1]LOJA!$A:$B,2,0)</f>
        <v>CEILÂNDIA</v>
      </c>
      <c r="E1948">
        <v>86</v>
      </c>
      <c r="F1948" t="s">
        <v>10788</v>
      </c>
      <c r="G1948" t="s">
        <v>3402</v>
      </c>
      <c r="H1948" t="s">
        <v>3408</v>
      </c>
      <c r="I1948">
        <v>5405</v>
      </c>
      <c r="J1948" s="3">
        <v>260</v>
      </c>
      <c r="K1948" s="3">
        <v>132.65</v>
      </c>
      <c r="L1948">
        <v>48.98</v>
      </c>
    </row>
    <row r="1949" spans="1:12">
      <c r="A1949" s="1">
        <v>46031</v>
      </c>
      <c r="B1949" t="s">
        <v>10787</v>
      </c>
      <c r="C1949">
        <v>13</v>
      </c>
      <c r="D1949" t="str">
        <f>VLOOKUP(Tabela26[[#This Row],[EMP]],[1]LOJA!$A:$B,2,0)</f>
        <v>CEILÂNDIA</v>
      </c>
      <c r="E1949">
        <v>86</v>
      </c>
      <c r="F1949" t="s">
        <v>6595</v>
      </c>
      <c r="G1949" t="s">
        <v>6594</v>
      </c>
      <c r="H1949" t="s">
        <v>3408</v>
      </c>
      <c r="I1949">
        <v>5102</v>
      </c>
      <c r="J1949" s="3">
        <v>22.8</v>
      </c>
      <c r="K1949" s="3">
        <v>13.97</v>
      </c>
      <c r="L1949">
        <v>38.729999999999997</v>
      </c>
    </row>
    <row r="1950" spans="1:12">
      <c r="A1950" s="1">
        <v>46031</v>
      </c>
      <c r="B1950" t="s">
        <v>10786</v>
      </c>
      <c r="C1950">
        <v>13</v>
      </c>
      <c r="D1950" t="str">
        <f>VLOOKUP(Tabela26[[#This Row],[EMP]],[1]LOJA!$A:$B,2,0)</f>
        <v>CEILÂNDIA</v>
      </c>
      <c r="E1950">
        <v>86</v>
      </c>
      <c r="F1950" t="s">
        <v>3403</v>
      </c>
      <c r="G1950" t="s">
        <v>3402</v>
      </c>
      <c r="H1950" t="s">
        <v>3401</v>
      </c>
      <c r="I1950">
        <v>5102</v>
      </c>
      <c r="J1950" s="3">
        <v>50</v>
      </c>
      <c r="K1950" s="3">
        <v>26.91</v>
      </c>
      <c r="L1950">
        <v>46.18</v>
      </c>
    </row>
    <row r="1951" spans="1:12">
      <c r="A1951" s="1">
        <v>46031</v>
      </c>
      <c r="B1951" t="s">
        <v>10785</v>
      </c>
      <c r="C1951">
        <v>13</v>
      </c>
      <c r="D1951" t="str">
        <f>VLOOKUP(Tabela26[[#This Row],[EMP]],[1]LOJA!$A:$B,2,0)</f>
        <v>CEILÂNDIA</v>
      </c>
      <c r="E1951">
        <v>86</v>
      </c>
      <c r="F1951" t="s">
        <v>5015</v>
      </c>
      <c r="G1951" t="s">
        <v>3402</v>
      </c>
      <c r="H1951" t="s">
        <v>3408</v>
      </c>
      <c r="I1951">
        <v>5102</v>
      </c>
      <c r="J1951" s="3">
        <v>195</v>
      </c>
      <c r="K1951" s="3">
        <v>90.99</v>
      </c>
      <c r="L1951">
        <v>53.34</v>
      </c>
    </row>
    <row r="1952" spans="1:12">
      <c r="A1952" s="1">
        <v>46031</v>
      </c>
      <c r="B1952" t="s">
        <v>10784</v>
      </c>
      <c r="C1952">
        <v>13</v>
      </c>
      <c r="D1952" t="str">
        <f>VLOOKUP(Tabela26[[#This Row],[EMP]],[1]LOJA!$A:$B,2,0)</f>
        <v>CEILÂNDIA</v>
      </c>
      <c r="E1952">
        <v>86</v>
      </c>
      <c r="F1952" t="s">
        <v>5565</v>
      </c>
      <c r="G1952" t="s">
        <v>5564</v>
      </c>
      <c r="H1952" t="s">
        <v>5459</v>
      </c>
      <c r="I1952">
        <v>5102</v>
      </c>
      <c r="J1952" s="3">
        <v>30.4</v>
      </c>
      <c r="K1952" s="3">
        <v>18.88</v>
      </c>
      <c r="L1952">
        <v>37.89</v>
      </c>
    </row>
    <row r="1953" spans="1:12">
      <c r="A1953" s="1">
        <v>46031</v>
      </c>
      <c r="B1953" t="s">
        <v>10783</v>
      </c>
      <c r="C1953">
        <v>13</v>
      </c>
      <c r="D1953" t="str">
        <f>VLOOKUP(Tabela26[[#This Row],[EMP]],[1]LOJA!$A:$B,2,0)</f>
        <v>CEILÂNDIA</v>
      </c>
      <c r="E1953">
        <v>86</v>
      </c>
      <c r="F1953" t="s">
        <v>5565</v>
      </c>
      <c r="G1953" t="s">
        <v>5564</v>
      </c>
      <c r="H1953" t="s">
        <v>5459</v>
      </c>
      <c r="I1953">
        <v>5405</v>
      </c>
      <c r="J1953" s="3">
        <v>401.9</v>
      </c>
      <c r="K1953" s="3">
        <v>219.71</v>
      </c>
      <c r="L1953">
        <v>45.33</v>
      </c>
    </row>
    <row r="1954" spans="1:12">
      <c r="A1954" s="1">
        <v>46031</v>
      </c>
      <c r="B1954" t="s">
        <v>10782</v>
      </c>
      <c r="C1954">
        <v>13</v>
      </c>
      <c r="D1954" t="str">
        <f>VLOOKUP(Tabela26[[#This Row],[EMP]],[1]LOJA!$A:$B,2,0)</f>
        <v>CEILÂNDIA</v>
      </c>
      <c r="E1954">
        <v>86</v>
      </c>
      <c r="F1954" t="s">
        <v>3622</v>
      </c>
      <c r="G1954" t="s">
        <v>3402</v>
      </c>
      <c r="H1954" t="s">
        <v>3408</v>
      </c>
      <c r="I1954">
        <v>5405</v>
      </c>
      <c r="J1954" s="3">
        <v>65</v>
      </c>
      <c r="K1954" s="3">
        <v>33.67</v>
      </c>
      <c r="L1954">
        <v>48.2</v>
      </c>
    </row>
    <row r="1955" spans="1:12">
      <c r="A1955" s="1">
        <v>46031</v>
      </c>
      <c r="B1955" t="s">
        <v>10781</v>
      </c>
      <c r="C1955">
        <v>13</v>
      </c>
      <c r="D1955" t="str">
        <f>VLOOKUP(Tabela26[[#This Row],[EMP]],[1]LOJA!$A:$B,2,0)</f>
        <v>CEILÂNDIA</v>
      </c>
      <c r="E1955">
        <v>86</v>
      </c>
      <c r="F1955" t="s">
        <v>10780</v>
      </c>
      <c r="G1955" t="s">
        <v>10779</v>
      </c>
      <c r="H1955" t="s">
        <v>3401</v>
      </c>
      <c r="I1955">
        <v>5102</v>
      </c>
      <c r="J1955" s="3">
        <v>5</v>
      </c>
      <c r="K1955" s="3">
        <v>3.28</v>
      </c>
      <c r="L1955">
        <v>34.4</v>
      </c>
    </row>
    <row r="1956" spans="1:12">
      <c r="A1956" s="1">
        <v>46031</v>
      </c>
      <c r="B1956" t="s">
        <v>10778</v>
      </c>
      <c r="C1956">
        <v>13</v>
      </c>
      <c r="D1956" t="str">
        <f>VLOOKUP(Tabela26[[#This Row],[EMP]],[1]LOJA!$A:$B,2,0)</f>
        <v>CEILÂNDIA</v>
      </c>
      <c r="E1956">
        <v>33</v>
      </c>
      <c r="F1956" t="s">
        <v>5320</v>
      </c>
      <c r="G1956" t="s">
        <v>5319</v>
      </c>
      <c r="H1956" t="s">
        <v>3408</v>
      </c>
      <c r="I1956">
        <v>5405</v>
      </c>
      <c r="J1956" s="3">
        <v>39</v>
      </c>
      <c r="K1956" s="3">
        <v>21.95</v>
      </c>
      <c r="L1956">
        <v>43.72</v>
      </c>
    </row>
    <row r="1957" spans="1:12">
      <c r="A1957" s="1">
        <v>46031</v>
      </c>
      <c r="B1957" t="s">
        <v>10777</v>
      </c>
      <c r="C1957">
        <v>13</v>
      </c>
      <c r="D1957" t="str">
        <f>VLOOKUP(Tabela26[[#This Row],[EMP]],[1]LOJA!$A:$B,2,0)</f>
        <v>CEILÂNDIA</v>
      </c>
      <c r="E1957">
        <v>86</v>
      </c>
      <c r="F1957" t="s">
        <v>10776</v>
      </c>
      <c r="G1957" t="s">
        <v>3402</v>
      </c>
      <c r="H1957" t="s">
        <v>3401</v>
      </c>
      <c r="I1957">
        <v>5102</v>
      </c>
      <c r="J1957" s="3">
        <v>25</v>
      </c>
      <c r="K1957" s="3">
        <v>12.28</v>
      </c>
      <c r="L1957">
        <v>50.88</v>
      </c>
    </row>
    <row r="1958" spans="1:12">
      <c r="A1958" s="1">
        <v>46031</v>
      </c>
      <c r="B1958" t="s">
        <v>10775</v>
      </c>
      <c r="C1958">
        <v>13</v>
      </c>
      <c r="D1958" t="str">
        <f>VLOOKUP(Tabela26[[#This Row],[EMP]],[1]LOJA!$A:$B,2,0)</f>
        <v>CEILÂNDIA</v>
      </c>
      <c r="E1958">
        <v>86</v>
      </c>
      <c r="F1958" t="s">
        <v>3403</v>
      </c>
      <c r="G1958" t="s">
        <v>3402</v>
      </c>
      <c r="H1958" t="s">
        <v>3408</v>
      </c>
      <c r="I1958">
        <v>5405</v>
      </c>
      <c r="J1958" s="3">
        <v>68</v>
      </c>
      <c r="K1958" s="3">
        <v>31.91</v>
      </c>
      <c r="L1958">
        <v>53.07</v>
      </c>
    </row>
    <row r="1959" spans="1:12">
      <c r="A1959" s="1">
        <v>46031</v>
      </c>
      <c r="B1959" t="s">
        <v>10774</v>
      </c>
      <c r="C1959">
        <v>13</v>
      </c>
      <c r="D1959" t="str">
        <f>VLOOKUP(Tabela26[[#This Row],[EMP]],[1]LOJA!$A:$B,2,0)</f>
        <v>CEILÂNDIA</v>
      </c>
      <c r="E1959">
        <v>86</v>
      </c>
      <c r="F1959" t="s">
        <v>3406</v>
      </c>
      <c r="G1959" t="s">
        <v>3405</v>
      </c>
      <c r="H1959" t="s">
        <v>3408</v>
      </c>
      <c r="I1959">
        <v>5405</v>
      </c>
      <c r="J1959" s="3">
        <v>195</v>
      </c>
      <c r="K1959" s="3">
        <v>108.27</v>
      </c>
      <c r="L1959">
        <v>44.48</v>
      </c>
    </row>
    <row r="1960" spans="1:12">
      <c r="A1960" s="1">
        <v>46031</v>
      </c>
      <c r="B1960" t="s">
        <v>10773</v>
      </c>
      <c r="C1960">
        <v>6</v>
      </c>
      <c r="D1960" t="str">
        <f>VLOOKUP(Tabela26[[#This Row],[EMP]],[1]LOJA!$A:$B,2,0)</f>
        <v>GAMA</v>
      </c>
      <c r="E1960">
        <v>226</v>
      </c>
      <c r="F1960" t="s">
        <v>10772</v>
      </c>
      <c r="G1960" t="s">
        <v>3402</v>
      </c>
      <c r="H1960" t="s">
        <v>3408</v>
      </c>
      <c r="I1960">
        <v>5405</v>
      </c>
      <c r="J1960" s="3">
        <v>80</v>
      </c>
      <c r="K1960" s="3">
        <v>40.299999999999997</v>
      </c>
      <c r="L1960">
        <v>49.63</v>
      </c>
    </row>
    <row r="1961" spans="1:12">
      <c r="A1961" s="1">
        <v>46031</v>
      </c>
      <c r="B1961" t="s">
        <v>10771</v>
      </c>
      <c r="C1961">
        <v>6</v>
      </c>
      <c r="D1961" t="str">
        <f>VLOOKUP(Tabela26[[#This Row],[EMP]],[1]LOJA!$A:$B,2,0)</f>
        <v>GAMA</v>
      </c>
      <c r="E1961">
        <v>245</v>
      </c>
      <c r="F1961" t="s">
        <v>10770</v>
      </c>
      <c r="G1961" t="s">
        <v>10769</v>
      </c>
      <c r="H1961" t="s">
        <v>3401</v>
      </c>
      <c r="I1961">
        <v>5405</v>
      </c>
      <c r="J1961" s="3">
        <v>92.07</v>
      </c>
      <c r="K1961" s="3">
        <v>47.01</v>
      </c>
      <c r="L1961">
        <v>48.94</v>
      </c>
    </row>
    <row r="1962" spans="1:12">
      <c r="A1962" s="1">
        <v>46031</v>
      </c>
      <c r="B1962" t="s">
        <v>10768</v>
      </c>
      <c r="C1962">
        <v>6</v>
      </c>
      <c r="D1962" t="str">
        <f>VLOOKUP(Tabela26[[#This Row],[EMP]],[1]LOJA!$A:$B,2,0)</f>
        <v>GAMA</v>
      </c>
      <c r="E1962">
        <v>245</v>
      </c>
      <c r="F1962" t="s">
        <v>9053</v>
      </c>
      <c r="G1962" t="s">
        <v>3402</v>
      </c>
      <c r="H1962" t="s">
        <v>3401</v>
      </c>
      <c r="I1962">
        <v>5405</v>
      </c>
      <c r="J1962" s="3">
        <v>90</v>
      </c>
      <c r="K1962" s="3">
        <v>41.05</v>
      </c>
      <c r="L1962">
        <v>54.39</v>
      </c>
    </row>
    <row r="1963" spans="1:12">
      <c r="A1963" s="1">
        <v>46031</v>
      </c>
      <c r="B1963" t="s">
        <v>10767</v>
      </c>
      <c r="C1963">
        <v>6</v>
      </c>
      <c r="D1963" t="str">
        <f>VLOOKUP(Tabela26[[#This Row],[EMP]],[1]LOJA!$A:$B,2,0)</f>
        <v>GAMA</v>
      </c>
      <c r="E1963">
        <v>226</v>
      </c>
      <c r="F1963" t="s">
        <v>5171</v>
      </c>
      <c r="G1963" t="s">
        <v>3402</v>
      </c>
      <c r="H1963" t="s">
        <v>3408</v>
      </c>
      <c r="I1963">
        <v>5405</v>
      </c>
      <c r="J1963" s="3">
        <v>170</v>
      </c>
      <c r="K1963" s="3">
        <v>89.46</v>
      </c>
      <c r="L1963">
        <v>47.38</v>
      </c>
    </row>
    <row r="1964" spans="1:12">
      <c r="A1964" s="1">
        <v>46031</v>
      </c>
      <c r="B1964" t="s">
        <v>10766</v>
      </c>
      <c r="C1964">
        <v>6</v>
      </c>
      <c r="D1964" t="str">
        <f>VLOOKUP(Tabela26[[#This Row],[EMP]],[1]LOJA!$A:$B,2,0)</f>
        <v>GAMA</v>
      </c>
      <c r="E1964">
        <v>245</v>
      </c>
      <c r="F1964" t="s">
        <v>8804</v>
      </c>
      <c r="G1964" t="s">
        <v>8803</v>
      </c>
      <c r="H1964" t="s">
        <v>3401</v>
      </c>
      <c r="I1964">
        <v>6108</v>
      </c>
      <c r="J1964" s="3">
        <v>53</v>
      </c>
      <c r="K1964" s="3">
        <v>25.28</v>
      </c>
      <c r="L1964">
        <v>52.3</v>
      </c>
    </row>
    <row r="1965" spans="1:12">
      <c r="A1965" s="1">
        <v>46031</v>
      </c>
      <c r="B1965" t="s">
        <v>10765</v>
      </c>
      <c r="C1965">
        <v>6</v>
      </c>
      <c r="D1965" t="str">
        <f>VLOOKUP(Tabela26[[#This Row],[EMP]],[1]LOJA!$A:$B,2,0)</f>
        <v>GAMA</v>
      </c>
      <c r="E1965">
        <v>245</v>
      </c>
      <c r="F1965" t="s">
        <v>4966</v>
      </c>
      <c r="G1965" t="s">
        <v>4965</v>
      </c>
      <c r="H1965" t="s">
        <v>3401</v>
      </c>
      <c r="I1965">
        <v>5405</v>
      </c>
      <c r="J1965" s="3">
        <v>82</v>
      </c>
      <c r="K1965" s="3">
        <v>37.36</v>
      </c>
      <c r="L1965">
        <v>54.44</v>
      </c>
    </row>
    <row r="1966" spans="1:12">
      <c r="A1966" s="1">
        <v>46031</v>
      </c>
      <c r="B1966" t="s">
        <v>10764</v>
      </c>
      <c r="C1966">
        <v>6</v>
      </c>
      <c r="D1966" t="str">
        <f>VLOOKUP(Tabela26[[#This Row],[EMP]],[1]LOJA!$A:$B,2,0)</f>
        <v>GAMA</v>
      </c>
      <c r="E1966">
        <v>245</v>
      </c>
      <c r="F1966" t="s">
        <v>4314</v>
      </c>
      <c r="G1966" t="s">
        <v>4313</v>
      </c>
      <c r="H1966" t="s">
        <v>3401</v>
      </c>
      <c r="I1966">
        <v>5405</v>
      </c>
      <c r="J1966" s="3">
        <v>70</v>
      </c>
      <c r="K1966" s="3">
        <v>32.909999999999997</v>
      </c>
      <c r="L1966">
        <v>52.99</v>
      </c>
    </row>
    <row r="1967" spans="1:12">
      <c r="A1967" s="1">
        <v>46031</v>
      </c>
      <c r="B1967" t="s">
        <v>10763</v>
      </c>
      <c r="C1967">
        <v>6</v>
      </c>
      <c r="D1967" t="str">
        <f>VLOOKUP(Tabela26[[#This Row],[EMP]],[1]LOJA!$A:$B,2,0)</f>
        <v>GAMA</v>
      </c>
      <c r="E1967">
        <v>245</v>
      </c>
      <c r="F1967" t="s">
        <v>7521</v>
      </c>
      <c r="G1967" t="s">
        <v>7520</v>
      </c>
      <c r="H1967" t="s">
        <v>3401</v>
      </c>
      <c r="I1967">
        <v>5102</v>
      </c>
      <c r="J1967" s="3">
        <v>40</v>
      </c>
      <c r="K1967" s="3">
        <v>22.54</v>
      </c>
      <c r="L1967">
        <v>43.65</v>
      </c>
    </row>
    <row r="1968" spans="1:12">
      <c r="A1968" s="1">
        <v>46031</v>
      </c>
      <c r="B1968" t="s">
        <v>10762</v>
      </c>
      <c r="C1968">
        <v>6</v>
      </c>
      <c r="D1968" t="str">
        <f>VLOOKUP(Tabela26[[#This Row],[EMP]],[1]LOJA!$A:$B,2,0)</f>
        <v>GAMA</v>
      </c>
      <c r="E1968">
        <v>226</v>
      </c>
      <c r="F1968" t="s">
        <v>3403</v>
      </c>
      <c r="G1968" t="s">
        <v>3402</v>
      </c>
      <c r="H1968" t="s">
        <v>3401</v>
      </c>
      <c r="I1968">
        <v>5405</v>
      </c>
      <c r="J1968" s="3">
        <v>75</v>
      </c>
      <c r="K1968" s="3">
        <v>26.89</v>
      </c>
      <c r="L1968">
        <v>64.150000000000006</v>
      </c>
    </row>
    <row r="1969" spans="1:12">
      <c r="A1969" s="1">
        <v>46031</v>
      </c>
      <c r="B1969" t="s">
        <v>10761</v>
      </c>
      <c r="C1969">
        <v>6</v>
      </c>
      <c r="D1969" t="str">
        <f>VLOOKUP(Tabela26[[#This Row],[EMP]],[1]LOJA!$A:$B,2,0)</f>
        <v>GAMA</v>
      </c>
      <c r="E1969">
        <v>245</v>
      </c>
      <c r="F1969" t="s">
        <v>9053</v>
      </c>
      <c r="G1969" t="s">
        <v>3402</v>
      </c>
      <c r="H1969" t="s">
        <v>3408</v>
      </c>
      <c r="I1969">
        <v>5405</v>
      </c>
      <c r="J1969" s="3">
        <v>37</v>
      </c>
      <c r="K1969" s="3">
        <v>16.2</v>
      </c>
      <c r="L1969">
        <v>56.22</v>
      </c>
    </row>
    <row r="1970" spans="1:12">
      <c r="A1970" s="1">
        <v>46031</v>
      </c>
      <c r="B1970" t="s">
        <v>10760</v>
      </c>
      <c r="C1970">
        <v>6</v>
      </c>
      <c r="D1970" t="str">
        <f>VLOOKUP(Tabela26[[#This Row],[EMP]],[1]LOJA!$A:$B,2,0)</f>
        <v>GAMA</v>
      </c>
      <c r="E1970">
        <v>245</v>
      </c>
      <c r="F1970" t="s">
        <v>10759</v>
      </c>
      <c r="G1970" t="s">
        <v>3402</v>
      </c>
      <c r="H1970" t="s">
        <v>3401</v>
      </c>
      <c r="I1970">
        <v>5405</v>
      </c>
      <c r="J1970" s="3">
        <v>80</v>
      </c>
      <c r="K1970" s="3">
        <v>33.11</v>
      </c>
      <c r="L1970">
        <v>58.61</v>
      </c>
    </row>
    <row r="1971" spans="1:12">
      <c r="A1971" s="1">
        <v>46031</v>
      </c>
      <c r="B1971" t="s">
        <v>10758</v>
      </c>
      <c r="C1971">
        <v>6</v>
      </c>
      <c r="D1971" t="str">
        <f>VLOOKUP(Tabela26[[#This Row],[EMP]],[1]LOJA!$A:$B,2,0)</f>
        <v>GAMA</v>
      </c>
      <c r="E1971">
        <v>245</v>
      </c>
      <c r="F1971" t="s">
        <v>9406</v>
      </c>
      <c r="G1971" t="s">
        <v>3402</v>
      </c>
      <c r="H1971" t="s">
        <v>3408</v>
      </c>
      <c r="I1971">
        <v>5405</v>
      </c>
      <c r="J1971" s="3">
        <v>295</v>
      </c>
      <c r="K1971" s="3">
        <v>145.80000000000001</v>
      </c>
      <c r="L1971">
        <v>50.58</v>
      </c>
    </row>
    <row r="1972" spans="1:12">
      <c r="A1972" s="1">
        <v>46031</v>
      </c>
      <c r="B1972" t="s">
        <v>10757</v>
      </c>
      <c r="C1972">
        <v>6</v>
      </c>
      <c r="D1972" t="str">
        <f>VLOOKUP(Tabela26[[#This Row],[EMP]],[1]LOJA!$A:$B,2,0)</f>
        <v>GAMA</v>
      </c>
      <c r="E1972">
        <v>245</v>
      </c>
      <c r="F1972" t="s">
        <v>6177</v>
      </c>
      <c r="G1972" t="s">
        <v>6176</v>
      </c>
      <c r="H1972" t="s">
        <v>3408</v>
      </c>
      <c r="I1972">
        <v>5102</v>
      </c>
      <c r="J1972" s="3">
        <v>1049.42</v>
      </c>
      <c r="K1972" s="3">
        <v>620.12</v>
      </c>
      <c r="L1972">
        <v>40.909999999999997</v>
      </c>
    </row>
    <row r="1973" spans="1:12">
      <c r="A1973" s="1">
        <v>46031</v>
      </c>
      <c r="B1973" t="s">
        <v>10756</v>
      </c>
      <c r="C1973">
        <v>6</v>
      </c>
      <c r="D1973" t="str">
        <f>VLOOKUP(Tabela26[[#This Row],[EMP]],[1]LOJA!$A:$B,2,0)</f>
        <v>GAMA</v>
      </c>
      <c r="E1973">
        <v>245</v>
      </c>
      <c r="F1973" t="s">
        <v>3568</v>
      </c>
      <c r="G1973" t="s">
        <v>3567</v>
      </c>
      <c r="H1973" t="s">
        <v>3401</v>
      </c>
      <c r="I1973">
        <v>5405</v>
      </c>
      <c r="J1973" s="3">
        <v>98</v>
      </c>
      <c r="K1973" s="3">
        <v>52.92</v>
      </c>
      <c r="L1973">
        <v>46</v>
      </c>
    </row>
    <row r="1974" spans="1:12">
      <c r="A1974" s="1">
        <v>46031</v>
      </c>
      <c r="B1974" t="s">
        <v>10755</v>
      </c>
      <c r="C1974">
        <v>6</v>
      </c>
      <c r="D1974" t="str">
        <f>VLOOKUP(Tabela26[[#This Row],[EMP]],[1]LOJA!$A:$B,2,0)</f>
        <v>GAMA</v>
      </c>
      <c r="E1974">
        <v>245</v>
      </c>
      <c r="F1974" t="s">
        <v>10754</v>
      </c>
      <c r="G1974" t="s">
        <v>10753</v>
      </c>
      <c r="H1974" t="s">
        <v>3401</v>
      </c>
      <c r="I1974">
        <v>5405</v>
      </c>
      <c r="J1974" s="3">
        <v>70</v>
      </c>
      <c r="K1974" s="3">
        <v>36.1</v>
      </c>
      <c r="L1974">
        <v>48.43</v>
      </c>
    </row>
    <row r="1975" spans="1:12">
      <c r="A1975" s="1">
        <v>46031</v>
      </c>
      <c r="B1975" t="s">
        <v>10752</v>
      </c>
      <c r="C1975">
        <v>6</v>
      </c>
      <c r="D1975" t="str">
        <f>VLOOKUP(Tabela26[[#This Row],[EMP]],[1]LOJA!$A:$B,2,0)</f>
        <v>GAMA</v>
      </c>
      <c r="E1975">
        <v>245</v>
      </c>
      <c r="F1975" t="s">
        <v>3403</v>
      </c>
      <c r="G1975" t="s">
        <v>3402</v>
      </c>
      <c r="H1975" t="s">
        <v>3401</v>
      </c>
      <c r="I1975">
        <v>5405</v>
      </c>
      <c r="J1975" s="3">
        <v>320</v>
      </c>
      <c r="K1975" s="3">
        <v>220.78</v>
      </c>
      <c r="L1975">
        <v>31.01</v>
      </c>
    </row>
    <row r="1976" spans="1:12">
      <c r="A1976" s="1">
        <v>46031</v>
      </c>
      <c r="B1976" t="s">
        <v>10751</v>
      </c>
      <c r="C1976">
        <v>4</v>
      </c>
      <c r="D1976" t="str">
        <f>VLOOKUP(Tabela26[[#This Row],[EMP]],[1]LOJA!$A:$B,2,0)</f>
        <v>ADE</v>
      </c>
      <c r="E1976">
        <v>132</v>
      </c>
      <c r="F1976" t="s">
        <v>4299</v>
      </c>
      <c r="G1976" t="s">
        <v>4298</v>
      </c>
      <c r="H1976" t="s">
        <v>5459</v>
      </c>
      <c r="I1976">
        <v>5102</v>
      </c>
      <c r="J1976" s="3">
        <v>50</v>
      </c>
      <c r="K1976" s="3">
        <v>22</v>
      </c>
      <c r="L1976">
        <v>56</v>
      </c>
    </row>
    <row r="1977" spans="1:12">
      <c r="A1977" s="1">
        <v>46031</v>
      </c>
      <c r="B1977" t="s">
        <v>10750</v>
      </c>
      <c r="C1977">
        <v>4</v>
      </c>
      <c r="D1977" t="str">
        <f>VLOOKUP(Tabela26[[#This Row],[EMP]],[1]LOJA!$A:$B,2,0)</f>
        <v>ADE</v>
      </c>
      <c r="E1977">
        <v>132</v>
      </c>
      <c r="F1977" t="s">
        <v>8956</v>
      </c>
      <c r="G1977" t="s">
        <v>8955</v>
      </c>
      <c r="H1977" t="s">
        <v>7505</v>
      </c>
      <c r="I1977">
        <v>5405</v>
      </c>
      <c r="J1977" s="3">
        <v>228.82</v>
      </c>
      <c r="K1977" s="3">
        <v>112.75</v>
      </c>
      <c r="L1977">
        <v>50.73</v>
      </c>
    </row>
    <row r="1978" spans="1:12">
      <c r="A1978" s="1">
        <v>46032</v>
      </c>
      <c r="B1978" t="s">
        <v>10749</v>
      </c>
      <c r="C1978">
        <v>24</v>
      </c>
      <c r="D1978" t="str">
        <f>VLOOKUP(Tabela26[[#This Row],[EMP]],[1]LOJA!$A:$B,2,0)</f>
        <v>LUZIÂNIA</v>
      </c>
      <c r="E1978">
        <v>192</v>
      </c>
      <c r="F1978" t="s">
        <v>4949</v>
      </c>
      <c r="G1978" t="s">
        <v>4948</v>
      </c>
      <c r="H1978" t="s">
        <v>3430</v>
      </c>
      <c r="I1978">
        <v>5102</v>
      </c>
      <c r="J1978" s="3">
        <v>121</v>
      </c>
      <c r="K1978" s="3">
        <v>57.35</v>
      </c>
      <c r="L1978">
        <v>52.6</v>
      </c>
    </row>
    <row r="1979" spans="1:12">
      <c r="A1979" s="1">
        <v>46032</v>
      </c>
      <c r="B1979" t="s">
        <v>10748</v>
      </c>
      <c r="C1979">
        <v>24</v>
      </c>
      <c r="D1979" t="str">
        <f>VLOOKUP(Tabela26[[#This Row],[EMP]],[1]LOJA!$A:$B,2,0)</f>
        <v>LUZIÂNIA</v>
      </c>
      <c r="E1979">
        <v>192</v>
      </c>
      <c r="F1979" t="s">
        <v>4286</v>
      </c>
      <c r="G1979" t="s">
        <v>4285</v>
      </c>
      <c r="H1979" t="s">
        <v>3430</v>
      </c>
      <c r="I1979">
        <v>5102</v>
      </c>
      <c r="J1979" s="3">
        <v>360</v>
      </c>
      <c r="K1979" s="3">
        <v>246.4</v>
      </c>
      <c r="L1979">
        <v>31.56</v>
      </c>
    </row>
    <row r="1980" spans="1:12">
      <c r="A1980" s="1">
        <v>46032</v>
      </c>
      <c r="B1980" t="s">
        <v>10747</v>
      </c>
      <c r="C1980">
        <v>24</v>
      </c>
      <c r="D1980" t="str">
        <f>VLOOKUP(Tabela26[[#This Row],[EMP]],[1]LOJA!$A:$B,2,0)</f>
        <v>LUZIÂNIA</v>
      </c>
      <c r="E1980">
        <v>150</v>
      </c>
      <c r="F1980" t="s">
        <v>4276</v>
      </c>
      <c r="G1980" t="s">
        <v>4275</v>
      </c>
      <c r="H1980" t="s">
        <v>3520</v>
      </c>
      <c r="I1980">
        <v>5102</v>
      </c>
      <c r="J1980" s="3">
        <v>61</v>
      </c>
      <c r="K1980" s="3">
        <v>38.68</v>
      </c>
      <c r="L1980">
        <v>36.590000000000003</v>
      </c>
    </row>
    <row r="1981" spans="1:12">
      <c r="A1981" s="1">
        <v>46032</v>
      </c>
      <c r="B1981" t="s">
        <v>10746</v>
      </c>
      <c r="C1981">
        <v>15</v>
      </c>
      <c r="D1981" t="str">
        <f>VLOOKUP(Tabela26[[#This Row],[EMP]],[1]LOJA!$A:$B,2,0)</f>
        <v>UNAÍ</v>
      </c>
      <c r="E1981">
        <v>183</v>
      </c>
      <c r="F1981" t="s">
        <v>4731</v>
      </c>
      <c r="G1981" t="s">
        <v>4730</v>
      </c>
      <c r="H1981" t="s">
        <v>3408</v>
      </c>
      <c r="I1981">
        <v>5102</v>
      </c>
      <c r="J1981" s="3">
        <v>690</v>
      </c>
      <c r="K1981" s="3">
        <v>366.28</v>
      </c>
      <c r="L1981">
        <v>46.92</v>
      </c>
    </row>
    <row r="1982" spans="1:12">
      <c r="A1982" s="1">
        <v>46032</v>
      </c>
      <c r="B1982" t="s">
        <v>10745</v>
      </c>
      <c r="C1982">
        <v>15</v>
      </c>
      <c r="D1982" t="str">
        <f>VLOOKUP(Tabela26[[#This Row],[EMP]],[1]LOJA!$A:$B,2,0)</f>
        <v>UNAÍ</v>
      </c>
      <c r="E1982">
        <v>183</v>
      </c>
      <c r="F1982" t="s">
        <v>10744</v>
      </c>
      <c r="G1982" t="s">
        <v>10743</v>
      </c>
      <c r="H1982" t="s">
        <v>3408</v>
      </c>
      <c r="I1982">
        <v>5102</v>
      </c>
      <c r="J1982" s="3">
        <v>416</v>
      </c>
      <c r="K1982" s="3">
        <v>193.44</v>
      </c>
      <c r="L1982">
        <v>53.5</v>
      </c>
    </row>
    <row r="1983" spans="1:12">
      <c r="A1983" s="1">
        <v>46032</v>
      </c>
      <c r="B1983" t="s">
        <v>10742</v>
      </c>
      <c r="C1983">
        <v>22</v>
      </c>
      <c r="D1983" t="str">
        <f>VLOOKUP(Tabela26[[#This Row],[EMP]],[1]LOJA!$A:$B,2,0)</f>
        <v>GUARÁ</v>
      </c>
      <c r="E1983">
        <v>16</v>
      </c>
      <c r="F1983" t="s">
        <v>5978</v>
      </c>
      <c r="G1983" t="s">
        <v>5977</v>
      </c>
      <c r="H1983" t="s">
        <v>3408</v>
      </c>
      <c r="I1983">
        <v>5102</v>
      </c>
      <c r="J1983" s="3">
        <v>115</v>
      </c>
      <c r="K1983" s="3">
        <v>60.66</v>
      </c>
      <c r="L1983">
        <v>47.25</v>
      </c>
    </row>
    <row r="1984" spans="1:12">
      <c r="A1984" s="1">
        <v>46032</v>
      </c>
      <c r="B1984" t="s">
        <v>10741</v>
      </c>
      <c r="C1984">
        <v>24</v>
      </c>
      <c r="D1984" t="str">
        <f>VLOOKUP(Tabela26[[#This Row],[EMP]],[1]LOJA!$A:$B,2,0)</f>
        <v>LUZIÂNIA</v>
      </c>
      <c r="E1984">
        <v>242</v>
      </c>
      <c r="F1984" t="s">
        <v>3524</v>
      </c>
      <c r="G1984" t="s">
        <v>3402</v>
      </c>
      <c r="H1984" t="s">
        <v>3401</v>
      </c>
      <c r="I1984">
        <v>5102</v>
      </c>
      <c r="J1984" s="3">
        <v>12</v>
      </c>
      <c r="K1984" s="3">
        <v>6.77</v>
      </c>
      <c r="L1984">
        <v>43.58</v>
      </c>
    </row>
    <row r="1985" spans="1:12">
      <c r="A1985" s="1">
        <v>46032</v>
      </c>
      <c r="B1985" t="s">
        <v>10740</v>
      </c>
      <c r="C1985">
        <v>24</v>
      </c>
      <c r="D1985" t="str">
        <f>VLOOKUP(Tabela26[[#This Row],[EMP]],[1]LOJA!$A:$B,2,0)</f>
        <v>LUZIÂNIA</v>
      </c>
      <c r="E1985">
        <v>242</v>
      </c>
      <c r="F1985" t="s">
        <v>3524</v>
      </c>
      <c r="G1985" t="s">
        <v>3402</v>
      </c>
      <c r="H1985" t="s">
        <v>3401</v>
      </c>
      <c r="I1985">
        <v>5102</v>
      </c>
      <c r="J1985" s="3">
        <v>105</v>
      </c>
      <c r="K1985" s="3">
        <v>55.51</v>
      </c>
      <c r="L1985">
        <v>47.13</v>
      </c>
    </row>
    <row r="1986" spans="1:12">
      <c r="A1986" s="1">
        <v>46032</v>
      </c>
      <c r="B1986" t="s">
        <v>10739</v>
      </c>
      <c r="C1986">
        <v>24</v>
      </c>
      <c r="D1986" t="str">
        <f>VLOOKUP(Tabela26[[#This Row],[EMP]],[1]LOJA!$A:$B,2,0)</f>
        <v>LUZIÂNIA</v>
      </c>
      <c r="E1986">
        <v>192</v>
      </c>
      <c r="F1986" t="s">
        <v>3524</v>
      </c>
      <c r="G1986" t="s">
        <v>3402</v>
      </c>
      <c r="H1986" t="s">
        <v>3401</v>
      </c>
      <c r="I1986">
        <v>5405</v>
      </c>
      <c r="J1986" s="3">
        <v>315</v>
      </c>
      <c r="K1986" s="3">
        <v>159.43</v>
      </c>
      <c r="L1986">
        <v>49.39</v>
      </c>
    </row>
    <row r="1987" spans="1:12">
      <c r="A1987" s="1">
        <v>46032</v>
      </c>
      <c r="B1987" t="s">
        <v>10738</v>
      </c>
      <c r="C1987">
        <v>24</v>
      </c>
      <c r="D1987" t="str">
        <f>VLOOKUP(Tabela26[[#This Row],[EMP]],[1]LOJA!$A:$B,2,0)</f>
        <v>LUZIÂNIA</v>
      </c>
      <c r="E1987">
        <v>192</v>
      </c>
      <c r="F1987" t="s">
        <v>3524</v>
      </c>
      <c r="G1987" t="s">
        <v>3402</v>
      </c>
      <c r="H1987" t="s">
        <v>3401</v>
      </c>
      <c r="I1987">
        <v>5102</v>
      </c>
      <c r="J1987" s="3">
        <v>37.950000000000003</v>
      </c>
      <c r="K1987" s="3">
        <v>17.55</v>
      </c>
      <c r="L1987">
        <v>53.75</v>
      </c>
    </row>
    <row r="1988" spans="1:12">
      <c r="A1988" s="1">
        <v>46032</v>
      </c>
      <c r="B1988" t="s">
        <v>10737</v>
      </c>
      <c r="C1988">
        <v>24</v>
      </c>
      <c r="D1988" t="str">
        <f>VLOOKUP(Tabela26[[#This Row],[EMP]],[1]LOJA!$A:$B,2,0)</f>
        <v>LUZIÂNIA</v>
      </c>
      <c r="E1988">
        <v>192</v>
      </c>
      <c r="F1988" t="s">
        <v>3524</v>
      </c>
      <c r="G1988" t="s">
        <v>3402</v>
      </c>
      <c r="H1988" t="s">
        <v>3401</v>
      </c>
      <c r="I1988">
        <v>5102</v>
      </c>
      <c r="J1988" s="3">
        <v>171</v>
      </c>
      <c r="K1988" s="3">
        <v>91.95</v>
      </c>
      <c r="L1988">
        <v>46.23</v>
      </c>
    </row>
    <row r="1989" spans="1:12">
      <c r="A1989" s="1">
        <v>46032</v>
      </c>
      <c r="B1989" t="s">
        <v>10736</v>
      </c>
      <c r="C1989">
        <v>24</v>
      </c>
      <c r="D1989" t="str">
        <f>VLOOKUP(Tabela26[[#This Row],[EMP]],[1]LOJA!$A:$B,2,0)</f>
        <v>LUZIÂNIA</v>
      </c>
      <c r="E1989">
        <v>192</v>
      </c>
      <c r="F1989" t="s">
        <v>8870</v>
      </c>
      <c r="G1989" t="s">
        <v>8869</v>
      </c>
      <c r="H1989" t="s">
        <v>3401</v>
      </c>
      <c r="I1989">
        <v>5405</v>
      </c>
      <c r="J1989" s="3">
        <v>130</v>
      </c>
      <c r="K1989" s="3">
        <v>59.82</v>
      </c>
      <c r="L1989">
        <v>53.98</v>
      </c>
    </row>
    <row r="1990" spans="1:12">
      <c r="A1990" s="1">
        <v>46032</v>
      </c>
      <c r="B1990" t="s">
        <v>10735</v>
      </c>
      <c r="C1990">
        <v>24</v>
      </c>
      <c r="D1990" t="str">
        <f>VLOOKUP(Tabela26[[#This Row],[EMP]],[1]LOJA!$A:$B,2,0)</f>
        <v>LUZIÂNIA</v>
      </c>
      <c r="E1990">
        <v>192</v>
      </c>
      <c r="F1990" t="s">
        <v>5426</v>
      </c>
      <c r="G1990" t="s">
        <v>5425</v>
      </c>
      <c r="H1990" t="s">
        <v>3401</v>
      </c>
      <c r="I1990">
        <v>5405</v>
      </c>
      <c r="J1990" s="3">
        <v>38</v>
      </c>
      <c r="K1990" s="3">
        <v>16.72</v>
      </c>
      <c r="L1990">
        <v>56</v>
      </c>
    </row>
    <row r="1991" spans="1:12">
      <c r="A1991" s="1">
        <v>46032</v>
      </c>
      <c r="B1991" t="s">
        <v>10734</v>
      </c>
      <c r="C1991">
        <v>24</v>
      </c>
      <c r="D1991" t="str">
        <f>VLOOKUP(Tabela26[[#This Row],[EMP]],[1]LOJA!$A:$B,2,0)</f>
        <v>LUZIÂNIA</v>
      </c>
      <c r="E1991">
        <v>192</v>
      </c>
      <c r="F1991" t="s">
        <v>3524</v>
      </c>
      <c r="G1991" t="s">
        <v>3402</v>
      </c>
      <c r="H1991" t="s">
        <v>3401</v>
      </c>
      <c r="I1991">
        <v>5405</v>
      </c>
      <c r="J1991" s="3">
        <v>134</v>
      </c>
      <c r="K1991" s="3">
        <v>71.900000000000006</v>
      </c>
      <c r="L1991">
        <v>46.34</v>
      </c>
    </row>
    <row r="1992" spans="1:12">
      <c r="A1992" s="1">
        <v>46032</v>
      </c>
      <c r="B1992" t="s">
        <v>10733</v>
      </c>
      <c r="C1992">
        <v>24</v>
      </c>
      <c r="D1992" t="str">
        <f>VLOOKUP(Tabela26[[#This Row],[EMP]],[1]LOJA!$A:$B,2,0)</f>
        <v>LUZIÂNIA</v>
      </c>
      <c r="E1992">
        <v>192</v>
      </c>
      <c r="F1992" t="s">
        <v>3524</v>
      </c>
      <c r="G1992" t="s">
        <v>3402</v>
      </c>
      <c r="H1992" t="s">
        <v>3401</v>
      </c>
      <c r="I1992">
        <v>5102</v>
      </c>
      <c r="J1992" s="3">
        <v>23</v>
      </c>
      <c r="K1992" s="3">
        <v>12.36</v>
      </c>
      <c r="L1992">
        <v>46.26</v>
      </c>
    </row>
    <row r="1993" spans="1:12">
      <c r="A1993" s="1">
        <v>46032</v>
      </c>
      <c r="B1993" t="s">
        <v>10732</v>
      </c>
      <c r="C1993">
        <v>24</v>
      </c>
      <c r="D1993" t="str">
        <f>VLOOKUP(Tabela26[[#This Row],[EMP]],[1]LOJA!$A:$B,2,0)</f>
        <v>LUZIÂNIA</v>
      </c>
      <c r="E1993">
        <v>192</v>
      </c>
      <c r="F1993" t="s">
        <v>4207</v>
      </c>
      <c r="G1993" t="s">
        <v>4206</v>
      </c>
      <c r="H1993" t="s">
        <v>3401</v>
      </c>
      <c r="I1993">
        <v>5405</v>
      </c>
      <c r="J1993" s="3">
        <v>84</v>
      </c>
      <c r="K1993" s="3">
        <v>38.94</v>
      </c>
      <c r="L1993">
        <v>53.64</v>
      </c>
    </row>
    <row r="1994" spans="1:12">
      <c r="A1994" s="1">
        <v>46032</v>
      </c>
      <c r="B1994" t="s">
        <v>10731</v>
      </c>
      <c r="C1994">
        <v>24</v>
      </c>
      <c r="D1994" t="str">
        <f>VLOOKUP(Tabela26[[#This Row],[EMP]],[1]LOJA!$A:$B,2,0)</f>
        <v>LUZIÂNIA</v>
      </c>
      <c r="E1994">
        <v>192</v>
      </c>
      <c r="F1994" t="s">
        <v>4189</v>
      </c>
      <c r="G1994" t="s">
        <v>4188</v>
      </c>
      <c r="H1994" t="s">
        <v>3401</v>
      </c>
      <c r="I1994">
        <v>5405</v>
      </c>
      <c r="J1994" s="3">
        <v>38</v>
      </c>
      <c r="K1994" s="3">
        <v>16.940000000000001</v>
      </c>
      <c r="L1994">
        <v>55.42</v>
      </c>
    </row>
    <row r="1995" spans="1:12">
      <c r="A1995" s="1">
        <v>46032</v>
      </c>
      <c r="B1995" t="s">
        <v>10730</v>
      </c>
      <c r="C1995">
        <v>24</v>
      </c>
      <c r="D1995" t="str">
        <f>VLOOKUP(Tabela26[[#This Row],[EMP]],[1]LOJA!$A:$B,2,0)</f>
        <v>LUZIÂNIA</v>
      </c>
      <c r="E1995">
        <v>192</v>
      </c>
      <c r="F1995" t="s">
        <v>3524</v>
      </c>
      <c r="G1995" t="s">
        <v>3402</v>
      </c>
      <c r="H1995" t="s">
        <v>3401</v>
      </c>
      <c r="I1995">
        <v>5102</v>
      </c>
      <c r="J1995" s="3">
        <v>60</v>
      </c>
      <c r="K1995" s="3">
        <v>30.42</v>
      </c>
      <c r="L1995">
        <v>49.3</v>
      </c>
    </row>
    <row r="1996" spans="1:12">
      <c r="A1996" s="1">
        <v>46032</v>
      </c>
      <c r="B1996" t="s">
        <v>10729</v>
      </c>
      <c r="C1996">
        <v>24</v>
      </c>
      <c r="D1996" t="str">
        <f>VLOOKUP(Tabela26[[#This Row],[EMP]],[1]LOJA!$A:$B,2,0)</f>
        <v>LUZIÂNIA</v>
      </c>
      <c r="E1996">
        <v>192</v>
      </c>
      <c r="F1996" t="s">
        <v>4832</v>
      </c>
      <c r="G1996" t="s">
        <v>4831</v>
      </c>
      <c r="H1996" t="s">
        <v>3401</v>
      </c>
      <c r="I1996">
        <v>5405</v>
      </c>
      <c r="J1996" s="3">
        <v>53</v>
      </c>
      <c r="K1996" s="3">
        <v>20.46</v>
      </c>
      <c r="L1996">
        <v>61.4</v>
      </c>
    </row>
    <row r="1997" spans="1:12">
      <c r="A1997" s="1">
        <v>46032</v>
      </c>
      <c r="B1997" t="s">
        <v>10728</v>
      </c>
      <c r="C1997">
        <v>24</v>
      </c>
      <c r="D1997" t="str">
        <f>VLOOKUP(Tabela26[[#This Row],[EMP]],[1]LOJA!$A:$B,2,0)</f>
        <v>LUZIÂNIA</v>
      </c>
      <c r="E1997">
        <v>242</v>
      </c>
      <c r="F1997" t="s">
        <v>3524</v>
      </c>
      <c r="G1997" t="s">
        <v>3402</v>
      </c>
      <c r="H1997" t="s">
        <v>3401</v>
      </c>
      <c r="I1997">
        <v>5405</v>
      </c>
      <c r="J1997" s="3">
        <v>315</v>
      </c>
      <c r="K1997" s="3">
        <v>152.5</v>
      </c>
      <c r="L1997">
        <v>51.59</v>
      </c>
    </row>
    <row r="1998" spans="1:12">
      <c r="A1998" s="1">
        <v>46032</v>
      </c>
      <c r="B1998" t="s">
        <v>10727</v>
      </c>
      <c r="C1998">
        <v>24</v>
      </c>
      <c r="D1998" t="str">
        <f>VLOOKUP(Tabela26[[#This Row],[EMP]],[1]LOJA!$A:$B,2,0)</f>
        <v>LUZIÂNIA</v>
      </c>
      <c r="E1998">
        <v>192</v>
      </c>
      <c r="F1998" t="s">
        <v>3524</v>
      </c>
      <c r="G1998" t="s">
        <v>3402</v>
      </c>
      <c r="H1998" t="s">
        <v>3401</v>
      </c>
      <c r="I1998">
        <v>5102</v>
      </c>
      <c r="J1998" s="3">
        <v>87</v>
      </c>
      <c r="K1998" s="3">
        <v>47.09</v>
      </c>
      <c r="L1998">
        <v>45.87</v>
      </c>
    </row>
    <row r="1999" spans="1:12">
      <c r="A1999" s="1">
        <v>46032</v>
      </c>
      <c r="B1999" t="s">
        <v>10726</v>
      </c>
      <c r="C1999">
        <v>24</v>
      </c>
      <c r="D1999" t="str">
        <f>VLOOKUP(Tabela26[[#This Row],[EMP]],[1]LOJA!$A:$B,2,0)</f>
        <v>LUZIÂNIA</v>
      </c>
      <c r="E1999">
        <v>192</v>
      </c>
      <c r="F1999" t="s">
        <v>6968</v>
      </c>
      <c r="G1999" t="s">
        <v>6967</v>
      </c>
      <c r="H1999" t="s">
        <v>3401</v>
      </c>
      <c r="I1999">
        <v>5102</v>
      </c>
      <c r="J1999" s="3">
        <v>79</v>
      </c>
      <c r="K1999" s="3">
        <v>37.26</v>
      </c>
      <c r="L1999">
        <v>52.84</v>
      </c>
    </row>
    <row r="2000" spans="1:12">
      <c r="A2000" s="1">
        <v>46032</v>
      </c>
      <c r="B2000" t="s">
        <v>10725</v>
      </c>
      <c r="C2000">
        <v>24</v>
      </c>
      <c r="D2000" t="str">
        <f>VLOOKUP(Tabela26[[#This Row],[EMP]],[1]LOJA!$A:$B,2,0)</f>
        <v>LUZIÂNIA</v>
      </c>
      <c r="E2000">
        <v>106</v>
      </c>
      <c r="F2000" t="s">
        <v>3524</v>
      </c>
      <c r="G2000" t="s">
        <v>3402</v>
      </c>
      <c r="H2000" t="s">
        <v>3401</v>
      </c>
      <c r="I2000">
        <v>5405</v>
      </c>
      <c r="J2000" s="3">
        <v>75</v>
      </c>
      <c r="K2000" s="3">
        <v>36.92</v>
      </c>
      <c r="L2000">
        <v>50.77</v>
      </c>
    </row>
    <row r="2001" spans="1:12">
      <c r="A2001" s="1">
        <v>46032</v>
      </c>
      <c r="B2001" t="s">
        <v>10724</v>
      </c>
      <c r="C2001">
        <v>24</v>
      </c>
      <c r="D2001" t="str">
        <f>VLOOKUP(Tabela26[[#This Row],[EMP]],[1]LOJA!$A:$B,2,0)</f>
        <v>LUZIÂNIA</v>
      </c>
      <c r="E2001">
        <v>192</v>
      </c>
      <c r="F2001" t="s">
        <v>10723</v>
      </c>
      <c r="G2001" t="s">
        <v>3402</v>
      </c>
      <c r="H2001" t="s">
        <v>3401</v>
      </c>
      <c r="I2001">
        <v>5405</v>
      </c>
      <c r="J2001" s="3">
        <v>58</v>
      </c>
      <c r="K2001" s="3">
        <v>24</v>
      </c>
      <c r="L2001">
        <v>58.62</v>
      </c>
    </row>
    <row r="2002" spans="1:12">
      <c r="A2002" s="1">
        <v>46032</v>
      </c>
      <c r="B2002" t="s">
        <v>10722</v>
      </c>
      <c r="C2002">
        <v>24</v>
      </c>
      <c r="D2002" t="str">
        <f>VLOOKUP(Tabela26[[#This Row],[EMP]],[1]LOJA!$A:$B,2,0)</f>
        <v>LUZIÂNIA</v>
      </c>
      <c r="E2002">
        <v>192</v>
      </c>
      <c r="F2002" t="s">
        <v>3524</v>
      </c>
      <c r="G2002" t="s">
        <v>3402</v>
      </c>
      <c r="H2002" t="s">
        <v>3401</v>
      </c>
      <c r="I2002">
        <v>5102</v>
      </c>
      <c r="J2002" s="3">
        <v>60</v>
      </c>
      <c r="K2002" s="3">
        <v>29.29</v>
      </c>
      <c r="L2002">
        <v>51.18</v>
      </c>
    </row>
    <row r="2003" spans="1:12">
      <c r="A2003" s="1">
        <v>46032</v>
      </c>
      <c r="B2003" t="s">
        <v>10721</v>
      </c>
      <c r="C2003">
        <v>24</v>
      </c>
      <c r="D2003" t="str">
        <f>VLOOKUP(Tabela26[[#This Row],[EMP]],[1]LOJA!$A:$B,2,0)</f>
        <v>LUZIÂNIA</v>
      </c>
      <c r="E2003">
        <v>192</v>
      </c>
      <c r="F2003" t="s">
        <v>3524</v>
      </c>
      <c r="G2003" t="s">
        <v>3402</v>
      </c>
      <c r="H2003" t="s">
        <v>3401</v>
      </c>
      <c r="I2003">
        <v>5102</v>
      </c>
      <c r="J2003" s="3">
        <v>22</v>
      </c>
      <c r="K2003" s="3">
        <v>13.32</v>
      </c>
      <c r="L2003">
        <v>39.450000000000003</v>
      </c>
    </row>
    <row r="2004" spans="1:12">
      <c r="A2004" s="1">
        <v>46032</v>
      </c>
      <c r="B2004" t="s">
        <v>10720</v>
      </c>
      <c r="C2004">
        <v>24</v>
      </c>
      <c r="D2004" t="str">
        <f>VLOOKUP(Tabela26[[#This Row],[EMP]],[1]LOJA!$A:$B,2,0)</f>
        <v>LUZIÂNIA</v>
      </c>
      <c r="E2004">
        <v>242</v>
      </c>
      <c r="F2004" t="s">
        <v>3524</v>
      </c>
      <c r="G2004" t="s">
        <v>10719</v>
      </c>
      <c r="H2004" t="s">
        <v>3401</v>
      </c>
      <c r="I2004">
        <v>5405</v>
      </c>
      <c r="J2004" s="3">
        <v>885</v>
      </c>
      <c r="K2004" s="3">
        <v>496</v>
      </c>
      <c r="L2004">
        <v>43.95</v>
      </c>
    </row>
    <row r="2005" spans="1:12">
      <c r="A2005" s="1">
        <v>46032</v>
      </c>
      <c r="B2005" t="s">
        <v>10718</v>
      </c>
      <c r="C2005">
        <v>24</v>
      </c>
      <c r="D2005" t="str">
        <f>VLOOKUP(Tabela26[[#This Row],[EMP]],[1]LOJA!$A:$B,2,0)</f>
        <v>LUZIÂNIA</v>
      </c>
      <c r="E2005">
        <v>192</v>
      </c>
      <c r="F2005" t="s">
        <v>4169</v>
      </c>
      <c r="G2005" t="s">
        <v>4168</v>
      </c>
      <c r="H2005" t="s">
        <v>3401</v>
      </c>
      <c r="I2005">
        <v>5405</v>
      </c>
      <c r="J2005" s="3">
        <v>241.66</v>
      </c>
      <c r="K2005" s="3">
        <v>135.51</v>
      </c>
      <c r="L2005">
        <v>43.93</v>
      </c>
    </row>
    <row r="2006" spans="1:12">
      <c r="A2006" s="1">
        <v>46032</v>
      </c>
      <c r="B2006" t="s">
        <v>10717</v>
      </c>
      <c r="C2006">
        <v>24</v>
      </c>
      <c r="D2006" t="str">
        <f>VLOOKUP(Tabela26[[#This Row],[EMP]],[1]LOJA!$A:$B,2,0)</f>
        <v>LUZIÂNIA</v>
      </c>
      <c r="E2006">
        <v>192</v>
      </c>
      <c r="F2006" t="s">
        <v>3524</v>
      </c>
      <c r="G2006" t="s">
        <v>3402</v>
      </c>
      <c r="H2006" t="s">
        <v>3401</v>
      </c>
      <c r="I2006">
        <v>5405</v>
      </c>
      <c r="J2006" s="3">
        <v>27</v>
      </c>
      <c r="K2006" s="3">
        <v>12.04</v>
      </c>
      <c r="L2006">
        <v>55.41</v>
      </c>
    </row>
    <row r="2007" spans="1:12">
      <c r="A2007" s="1">
        <v>46032</v>
      </c>
      <c r="B2007" t="s">
        <v>10716</v>
      </c>
      <c r="C2007">
        <v>24</v>
      </c>
      <c r="D2007" t="str">
        <f>VLOOKUP(Tabela26[[#This Row],[EMP]],[1]LOJA!$A:$B,2,0)</f>
        <v>LUZIÂNIA</v>
      </c>
      <c r="E2007">
        <v>192</v>
      </c>
      <c r="F2007" t="s">
        <v>3524</v>
      </c>
      <c r="G2007" t="s">
        <v>3402</v>
      </c>
      <c r="H2007" t="s">
        <v>3401</v>
      </c>
      <c r="I2007">
        <v>5102</v>
      </c>
      <c r="J2007" s="3">
        <v>34</v>
      </c>
      <c r="K2007" s="3">
        <v>19.260000000000002</v>
      </c>
      <c r="L2007">
        <v>43.35</v>
      </c>
    </row>
    <row r="2008" spans="1:12">
      <c r="A2008" s="1">
        <v>46032</v>
      </c>
      <c r="B2008" t="s">
        <v>10715</v>
      </c>
      <c r="C2008">
        <v>24</v>
      </c>
      <c r="D2008" t="str">
        <f>VLOOKUP(Tabela26[[#This Row],[EMP]],[1]LOJA!$A:$B,2,0)</f>
        <v>LUZIÂNIA</v>
      </c>
      <c r="E2008">
        <v>242</v>
      </c>
      <c r="F2008" t="s">
        <v>3524</v>
      </c>
      <c r="G2008" t="s">
        <v>3402</v>
      </c>
      <c r="H2008" t="s">
        <v>3401</v>
      </c>
      <c r="I2008">
        <v>5102</v>
      </c>
      <c r="J2008" s="3">
        <v>35</v>
      </c>
      <c r="K2008" s="3">
        <v>21.39</v>
      </c>
      <c r="L2008">
        <v>38.89</v>
      </c>
    </row>
    <row r="2009" spans="1:12">
      <c r="A2009" s="1">
        <v>46032</v>
      </c>
      <c r="B2009" t="s">
        <v>10714</v>
      </c>
      <c r="C2009">
        <v>24</v>
      </c>
      <c r="D2009" t="str">
        <f>VLOOKUP(Tabela26[[#This Row],[EMP]],[1]LOJA!$A:$B,2,0)</f>
        <v>LUZIÂNIA</v>
      </c>
      <c r="E2009">
        <v>192</v>
      </c>
      <c r="F2009" t="s">
        <v>3524</v>
      </c>
      <c r="G2009" t="s">
        <v>3402</v>
      </c>
      <c r="H2009" t="s">
        <v>3401</v>
      </c>
      <c r="I2009">
        <v>5102</v>
      </c>
      <c r="J2009" s="3">
        <v>26</v>
      </c>
      <c r="K2009" s="3">
        <v>14.63</v>
      </c>
      <c r="L2009">
        <v>43.73</v>
      </c>
    </row>
    <row r="2010" spans="1:12">
      <c r="A2010" s="1">
        <v>46032</v>
      </c>
      <c r="B2010" t="s">
        <v>10713</v>
      </c>
      <c r="C2010">
        <v>24</v>
      </c>
      <c r="D2010" t="str">
        <f>VLOOKUP(Tabela26[[#This Row],[EMP]],[1]LOJA!$A:$B,2,0)</f>
        <v>LUZIÂNIA</v>
      </c>
      <c r="E2010">
        <v>106</v>
      </c>
      <c r="F2010" t="s">
        <v>3524</v>
      </c>
      <c r="G2010" t="s">
        <v>3402</v>
      </c>
      <c r="H2010" t="s">
        <v>3401</v>
      </c>
      <c r="I2010">
        <v>5102</v>
      </c>
      <c r="J2010" s="3">
        <v>12</v>
      </c>
      <c r="K2010" s="3">
        <v>7.02</v>
      </c>
      <c r="L2010">
        <v>41.5</v>
      </c>
    </row>
    <row r="2011" spans="1:12">
      <c r="A2011" s="1">
        <v>46032</v>
      </c>
      <c r="B2011" t="s">
        <v>10712</v>
      </c>
      <c r="C2011">
        <v>24</v>
      </c>
      <c r="D2011" t="str">
        <f>VLOOKUP(Tabela26[[#This Row],[EMP]],[1]LOJA!$A:$B,2,0)</f>
        <v>LUZIÂNIA</v>
      </c>
      <c r="E2011">
        <v>192</v>
      </c>
      <c r="F2011" t="s">
        <v>3524</v>
      </c>
      <c r="G2011" t="s">
        <v>3402</v>
      </c>
      <c r="H2011" t="s">
        <v>3401</v>
      </c>
      <c r="I2011">
        <v>5102</v>
      </c>
      <c r="J2011" s="3">
        <v>9</v>
      </c>
      <c r="K2011" s="3">
        <v>4.16</v>
      </c>
      <c r="L2011">
        <v>53.78</v>
      </c>
    </row>
    <row r="2012" spans="1:12">
      <c r="A2012" s="1">
        <v>46032</v>
      </c>
      <c r="B2012" t="s">
        <v>10711</v>
      </c>
      <c r="C2012">
        <v>24</v>
      </c>
      <c r="D2012" t="str">
        <f>VLOOKUP(Tabela26[[#This Row],[EMP]],[1]LOJA!$A:$B,2,0)</f>
        <v>LUZIÂNIA</v>
      </c>
      <c r="E2012">
        <v>192</v>
      </c>
      <c r="F2012" t="s">
        <v>3524</v>
      </c>
      <c r="G2012" t="s">
        <v>3402</v>
      </c>
      <c r="H2012" t="s">
        <v>3401</v>
      </c>
      <c r="I2012">
        <v>5405</v>
      </c>
      <c r="J2012" s="3">
        <v>69</v>
      </c>
      <c r="K2012" s="3">
        <v>31.93</v>
      </c>
      <c r="L2012">
        <v>53.72</v>
      </c>
    </row>
    <row r="2013" spans="1:12">
      <c r="A2013" s="1">
        <v>46032</v>
      </c>
      <c r="B2013" t="s">
        <v>10710</v>
      </c>
      <c r="C2013">
        <v>24</v>
      </c>
      <c r="D2013" t="str">
        <f>VLOOKUP(Tabela26[[#This Row],[EMP]],[1]LOJA!$A:$B,2,0)</f>
        <v>LUZIÂNIA</v>
      </c>
      <c r="E2013">
        <v>192</v>
      </c>
      <c r="F2013" t="s">
        <v>3524</v>
      </c>
      <c r="G2013" t="s">
        <v>3402</v>
      </c>
      <c r="H2013" t="s">
        <v>3401</v>
      </c>
      <c r="I2013">
        <v>5405</v>
      </c>
      <c r="J2013" s="3">
        <v>132</v>
      </c>
      <c r="K2013" s="3">
        <v>67.31</v>
      </c>
      <c r="L2013">
        <v>49.01</v>
      </c>
    </row>
    <row r="2014" spans="1:12">
      <c r="A2014" s="1">
        <v>46032</v>
      </c>
      <c r="B2014" t="s">
        <v>10709</v>
      </c>
      <c r="C2014">
        <v>24</v>
      </c>
      <c r="D2014" t="str">
        <f>VLOOKUP(Tabela26[[#This Row],[EMP]],[1]LOJA!$A:$B,2,0)</f>
        <v>LUZIÂNIA</v>
      </c>
      <c r="E2014">
        <v>242</v>
      </c>
      <c r="F2014" t="s">
        <v>3524</v>
      </c>
      <c r="G2014" t="s">
        <v>3402</v>
      </c>
      <c r="H2014" t="s">
        <v>3401</v>
      </c>
      <c r="I2014">
        <v>5405</v>
      </c>
      <c r="J2014" s="3">
        <v>159.9</v>
      </c>
      <c r="K2014" s="3">
        <v>94.66</v>
      </c>
      <c r="L2014">
        <v>40.799999999999997</v>
      </c>
    </row>
    <row r="2015" spans="1:12">
      <c r="A2015" s="1">
        <v>46032</v>
      </c>
      <c r="B2015" t="s">
        <v>10708</v>
      </c>
      <c r="C2015">
        <v>24</v>
      </c>
      <c r="D2015" t="str">
        <f>VLOOKUP(Tabela26[[#This Row],[EMP]],[1]LOJA!$A:$B,2,0)</f>
        <v>LUZIÂNIA</v>
      </c>
      <c r="E2015">
        <v>192</v>
      </c>
      <c r="F2015" t="s">
        <v>4871</v>
      </c>
      <c r="G2015" t="s">
        <v>4870</v>
      </c>
      <c r="H2015" t="s">
        <v>3401</v>
      </c>
      <c r="I2015">
        <v>5102</v>
      </c>
      <c r="J2015" s="3">
        <v>83</v>
      </c>
      <c r="K2015" s="3">
        <v>47.07</v>
      </c>
      <c r="L2015">
        <v>43.29</v>
      </c>
    </row>
    <row r="2016" spans="1:12">
      <c r="A2016" s="1">
        <v>46032</v>
      </c>
      <c r="B2016" t="s">
        <v>10707</v>
      </c>
      <c r="C2016">
        <v>22</v>
      </c>
      <c r="D2016" t="str">
        <f>VLOOKUP(Tabela26[[#This Row],[EMP]],[1]LOJA!$A:$B,2,0)</f>
        <v>GUARÁ</v>
      </c>
      <c r="E2016">
        <v>93</v>
      </c>
      <c r="F2016" t="s">
        <v>4805</v>
      </c>
      <c r="G2016" t="s">
        <v>4804</v>
      </c>
      <c r="H2016" t="s">
        <v>3430</v>
      </c>
      <c r="I2016">
        <v>5405</v>
      </c>
      <c r="J2016" s="3">
        <v>182.82</v>
      </c>
      <c r="K2016" s="3">
        <v>107.31</v>
      </c>
      <c r="L2016">
        <v>41.3</v>
      </c>
    </row>
    <row r="2017" spans="1:12">
      <c r="A2017" s="1">
        <v>46032</v>
      </c>
      <c r="B2017" t="s">
        <v>10706</v>
      </c>
      <c r="C2017">
        <v>13</v>
      </c>
      <c r="D2017" t="str">
        <f>VLOOKUP(Tabela26[[#This Row],[EMP]],[1]LOJA!$A:$B,2,0)</f>
        <v>CEILÂNDIA</v>
      </c>
      <c r="E2017">
        <v>86</v>
      </c>
      <c r="F2017" t="s">
        <v>4088</v>
      </c>
      <c r="G2017" t="s">
        <v>4087</v>
      </c>
      <c r="H2017" t="s">
        <v>10704</v>
      </c>
      <c r="I2017">
        <v>5102</v>
      </c>
      <c r="J2017" s="3">
        <v>1606.1</v>
      </c>
      <c r="K2017" s="3">
        <v>971.76</v>
      </c>
      <c r="L2017">
        <v>39.5</v>
      </c>
    </row>
    <row r="2018" spans="1:12">
      <c r="A2018" s="1">
        <v>46032</v>
      </c>
      <c r="B2018" t="s">
        <v>10705</v>
      </c>
      <c r="C2018">
        <v>13</v>
      </c>
      <c r="D2018" t="str">
        <f>VLOOKUP(Tabela26[[#This Row],[EMP]],[1]LOJA!$A:$B,2,0)</f>
        <v>CEILÂNDIA</v>
      </c>
      <c r="E2018">
        <v>86</v>
      </c>
      <c r="F2018" t="s">
        <v>4081</v>
      </c>
      <c r="G2018" t="s">
        <v>4080</v>
      </c>
      <c r="H2018" t="s">
        <v>10704</v>
      </c>
      <c r="I2018">
        <v>5102</v>
      </c>
      <c r="J2018" s="3">
        <v>8.15</v>
      </c>
      <c r="K2018" s="3">
        <v>4.16</v>
      </c>
      <c r="L2018">
        <v>48.96</v>
      </c>
    </row>
    <row r="2019" spans="1:12">
      <c r="A2019" s="1">
        <v>46032</v>
      </c>
      <c r="B2019" t="s">
        <v>10703</v>
      </c>
      <c r="C2019">
        <v>15</v>
      </c>
      <c r="D2019" t="str">
        <f>VLOOKUP(Tabela26[[#This Row],[EMP]],[1]LOJA!$A:$B,2,0)</f>
        <v>UNAÍ</v>
      </c>
      <c r="E2019">
        <v>183</v>
      </c>
      <c r="F2019" t="s">
        <v>4740</v>
      </c>
      <c r="G2019" t="s">
        <v>4739</v>
      </c>
      <c r="H2019" t="s">
        <v>5887</v>
      </c>
      <c r="I2019">
        <v>5102</v>
      </c>
      <c r="J2019" s="3">
        <v>62</v>
      </c>
      <c r="K2019" s="3">
        <v>38.11</v>
      </c>
      <c r="L2019">
        <v>38.53</v>
      </c>
    </row>
    <row r="2020" spans="1:12">
      <c r="A2020" s="1">
        <v>46032</v>
      </c>
      <c r="B2020" t="s">
        <v>10702</v>
      </c>
      <c r="C2020">
        <v>15</v>
      </c>
      <c r="D2020" t="str">
        <f>VLOOKUP(Tabela26[[#This Row],[EMP]],[1]LOJA!$A:$B,2,0)</f>
        <v>UNAÍ</v>
      </c>
      <c r="E2020">
        <v>183</v>
      </c>
      <c r="F2020" t="s">
        <v>10701</v>
      </c>
      <c r="G2020" t="s">
        <v>3402</v>
      </c>
      <c r="H2020" t="s">
        <v>3408</v>
      </c>
      <c r="I2020">
        <v>5102</v>
      </c>
      <c r="J2020" s="3">
        <v>168.7</v>
      </c>
      <c r="K2020" s="3">
        <v>82.72</v>
      </c>
      <c r="L2020">
        <v>50.97</v>
      </c>
    </row>
    <row r="2021" spans="1:12">
      <c r="A2021" s="1">
        <v>46032</v>
      </c>
      <c r="B2021" t="s">
        <v>10700</v>
      </c>
      <c r="C2021">
        <v>15</v>
      </c>
      <c r="D2021" t="str">
        <f>VLOOKUP(Tabela26[[#This Row],[EMP]],[1]LOJA!$A:$B,2,0)</f>
        <v>UNAÍ</v>
      </c>
      <c r="E2021">
        <v>183</v>
      </c>
      <c r="F2021" t="s">
        <v>3485</v>
      </c>
      <c r="G2021" t="s">
        <v>3402</v>
      </c>
      <c r="H2021" t="s">
        <v>3401</v>
      </c>
      <c r="I2021">
        <v>5102</v>
      </c>
      <c r="J2021" s="3">
        <v>53.6</v>
      </c>
      <c r="K2021" s="3">
        <v>24.86</v>
      </c>
      <c r="L2021">
        <v>53.62</v>
      </c>
    </row>
    <row r="2022" spans="1:12">
      <c r="A2022" s="1">
        <v>46032</v>
      </c>
      <c r="B2022" t="s">
        <v>10699</v>
      </c>
      <c r="C2022">
        <v>15</v>
      </c>
      <c r="D2022" t="str">
        <f>VLOOKUP(Tabela26[[#This Row],[EMP]],[1]LOJA!$A:$B,2,0)</f>
        <v>UNAÍ</v>
      </c>
      <c r="E2022">
        <v>183</v>
      </c>
      <c r="F2022" t="s">
        <v>3485</v>
      </c>
      <c r="G2022" t="s">
        <v>3402</v>
      </c>
      <c r="H2022" t="s">
        <v>3401</v>
      </c>
      <c r="I2022">
        <v>5102</v>
      </c>
      <c r="J2022" s="3">
        <v>63</v>
      </c>
      <c r="K2022" s="3">
        <v>30.9</v>
      </c>
      <c r="L2022">
        <v>50.95</v>
      </c>
    </row>
    <row r="2023" spans="1:12">
      <c r="A2023" s="1">
        <v>46032</v>
      </c>
      <c r="B2023" t="s">
        <v>10698</v>
      </c>
      <c r="C2023">
        <v>15</v>
      </c>
      <c r="D2023" t="str">
        <f>VLOOKUP(Tabela26[[#This Row],[EMP]],[1]LOJA!$A:$B,2,0)</f>
        <v>UNAÍ</v>
      </c>
      <c r="E2023">
        <v>183</v>
      </c>
      <c r="F2023" t="s">
        <v>6126</v>
      </c>
      <c r="G2023" t="s">
        <v>6125</v>
      </c>
      <c r="H2023" t="s">
        <v>3408</v>
      </c>
      <c r="I2023">
        <v>5102</v>
      </c>
      <c r="J2023" s="3">
        <v>373.7</v>
      </c>
      <c r="K2023" s="3">
        <v>175.11</v>
      </c>
      <c r="L2023">
        <v>53.14</v>
      </c>
    </row>
    <row r="2024" spans="1:12">
      <c r="A2024" s="1">
        <v>46032</v>
      </c>
      <c r="B2024" t="s">
        <v>10697</v>
      </c>
      <c r="C2024">
        <v>15</v>
      </c>
      <c r="D2024" t="str">
        <f>VLOOKUP(Tabela26[[#This Row],[EMP]],[1]LOJA!$A:$B,2,0)</f>
        <v>UNAÍ</v>
      </c>
      <c r="E2024">
        <v>183</v>
      </c>
      <c r="F2024" t="s">
        <v>3485</v>
      </c>
      <c r="G2024" t="s">
        <v>3402</v>
      </c>
      <c r="H2024" t="s">
        <v>3401</v>
      </c>
      <c r="I2024">
        <v>5102</v>
      </c>
      <c r="J2024" s="3">
        <v>37.65</v>
      </c>
      <c r="K2024" s="3">
        <v>17.97</v>
      </c>
      <c r="L2024">
        <v>52.27</v>
      </c>
    </row>
    <row r="2025" spans="1:12">
      <c r="A2025" s="1">
        <v>46032</v>
      </c>
      <c r="B2025" t="s">
        <v>10696</v>
      </c>
      <c r="C2025">
        <v>15</v>
      </c>
      <c r="D2025" t="str">
        <f>VLOOKUP(Tabela26[[#This Row],[EMP]],[1]LOJA!$A:$B,2,0)</f>
        <v>UNAÍ</v>
      </c>
      <c r="E2025">
        <v>183</v>
      </c>
      <c r="F2025" t="s">
        <v>3485</v>
      </c>
      <c r="G2025" t="s">
        <v>3402</v>
      </c>
      <c r="H2025" t="s">
        <v>3401</v>
      </c>
      <c r="I2025">
        <v>5102</v>
      </c>
      <c r="J2025" s="3">
        <v>409.35</v>
      </c>
      <c r="K2025" s="3">
        <v>202.39</v>
      </c>
      <c r="L2025">
        <v>50.56</v>
      </c>
    </row>
    <row r="2026" spans="1:12">
      <c r="A2026" s="1">
        <v>46032</v>
      </c>
      <c r="B2026" t="s">
        <v>10695</v>
      </c>
      <c r="C2026">
        <v>15</v>
      </c>
      <c r="D2026" t="str">
        <f>VLOOKUP(Tabela26[[#This Row],[EMP]],[1]LOJA!$A:$B,2,0)</f>
        <v>UNAÍ</v>
      </c>
      <c r="E2026">
        <v>183</v>
      </c>
      <c r="F2026" t="s">
        <v>3485</v>
      </c>
      <c r="G2026" t="s">
        <v>3402</v>
      </c>
      <c r="H2026" t="s">
        <v>3401</v>
      </c>
      <c r="I2026">
        <v>5102</v>
      </c>
      <c r="J2026" s="3">
        <v>50</v>
      </c>
      <c r="K2026" s="3">
        <v>25.13</v>
      </c>
      <c r="L2026">
        <v>49.74</v>
      </c>
    </row>
    <row r="2027" spans="1:12">
      <c r="A2027" s="1">
        <v>46032</v>
      </c>
      <c r="B2027" t="s">
        <v>10694</v>
      </c>
      <c r="C2027">
        <v>15</v>
      </c>
      <c r="D2027" t="str">
        <f>VLOOKUP(Tabela26[[#This Row],[EMP]],[1]LOJA!$A:$B,2,0)</f>
        <v>UNAÍ</v>
      </c>
      <c r="E2027">
        <v>183</v>
      </c>
      <c r="F2027" t="s">
        <v>3485</v>
      </c>
      <c r="G2027" t="s">
        <v>3402</v>
      </c>
      <c r="H2027" t="s">
        <v>3401</v>
      </c>
      <c r="I2027">
        <v>5102</v>
      </c>
      <c r="J2027" s="3">
        <v>110.1</v>
      </c>
      <c r="K2027" s="3">
        <v>61.61</v>
      </c>
      <c r="L2027">
        <v>44.04</v>
      </c>
    </row>
    <row r="2028" spans="1:12">
      <c r="A2028" s="1">
        <v>46032</v>
      </c>
      <c r="B2028" t="s">
        <v>10693</v>
      </c>
      <c r="C2028">
        <v>15</v>
      </c>
      <c r="D2028" t="str">
        <f>VLOOKUP(Tabela26[[#This Row],[EMP]],[1]LOJA!$A:$B,2,0)</f>
        <v>UNAÍ</v>
      </c>
      <c r="E2028">
        <v>183</v>
      </c>
      <c r="F2028" t="s">
        <v>3485</v>
      </c>
      <c r="G2028" t="s">
        <v>3402</v>
      </c>
      <c r="H2028" t="s">
        <v>3401</v>
      </c>
      <c r="I2028">
        <v>5102</v>
      </c>
      <c r="J2028" s="3">
        <v>199.76</v>
      </c>
      <c r="K2028" s="3">
        <v>101.23</v>
      </c>
      <c r="L2028">
        <v>49.32</v>
      </c>
    </row>
    <row r="2029" spans="1:12">
      <c r="A2029" s="1">
        <v>46032</v>
      </c>
      <c r="B2029" t="s">
        <v>10692</v>
      </c>
      <c r="C2029">
        <v>15</v>
      </c>
      <c r="D2029" t="str">
        <f>VLOOKUP(Tabela26[[#This Row],[EMP]],[1]LOJA!$A:$B,2,0)</f>
        <v>UNAÍ</v>
      </c>
      <c r="E2029">
        <v>183</v>
      </c>
      <c r="F2029" t="s">
        <v>10691</v>
      </c>
      <c r="G2029" t="s">
        <v>3402</v>
      </c>
      <c r="H2029" t="s">
        <v>3401</v>
      </c>
      <c r="I2029">
        <v>5102</v>
      </c>
      <c r="J2029" s="3">
        <v>81</v>
      </c>
      <c r="K2029" s="3">
        <v>37.17</v>
      </c>
      <c r="L2029">
        <v>54.11</v>
      </c>
    </row>
    <row r="2030" spans="1:12">
      <c r="A2030" s="1">
        <v>46032</v>
      </c>
      <c r="B2030" t="s">
        <v>10690</v>
      </c>
      <c r="C2030">
        <v>15</v>
      </c>
      <c r="D2030" t="str">
        <f>VLOOKUP(Tabela26[[#This Row],[EMP]],[1]LOJA!$A:$B,2,0)</f>
        <v>UNAÍ</v>
      </c>
      <c r="E2030">
        <v>183</v>
      </c>
      <c r="F2030" t="s">
        <v>5290</v>
      </c>
      <c r="G2030" t="s">
        <v>5289</v>
      </c>
      <c r="H2030" t="s">
        <v>3401</v>
      </c>
      <c r="I2030">
        <v>5405</v>
      </c>
      <c r="J2030" s="3">
        <v>95.5</v>
      </c>
      <c r="K2030" s="3">
        <v>44.96</v>
      </c>
      <c r="L2030">
        <v>52.92</v>
      </c>
    </row>
    <row r="2031" spans="1:12">
      <c r="A2031" s="1">
        <v>46032</v>
      </c>
      <c r="B2031" t="s">
        <v>10689</v>
      </c>
      <c r="C2031">
        <v>15</v>
      </c>
      <c r="D2031" t="str">
        <f>VLOOKUP(Tabela26[[#This Row],[EMP]],[1]LOJA!$A:$B,2,0)</f>
        <v>UNAÍ</v>
      </c>
      <c r="E2031">
        <v>183</v>
      </c>
      <c r="F2031" t="s">
        <v>3485</v>
      </c>
      <c r="G2031" t="s">
        <v>3402</v>
      </c>
      <c r="H2031" t="s">
        <v>3401</v>
      </c>
      <c r="I2031">
        <v>5102</v>
      </c>
      <c r="J2031" s="3">
        <v>70</v>
      </c>
      <c r="K2031" s="3">
        <v>35.78</v>
      </c>
      <c r="L2031">
        <v>48.89</v>
      </c>
    </row>
    <row r="2032" spans="1:12">
      <c r="A2032" s="1">
        <v>46032</v>
      </c>
      <c r="B2032" t="s">
        <v>10688</v>
      </c>
      <c r="C2032">
        <v>15</v>
      </c>
      <c r="D2032" t="str">
        <f>VLOOKUP(Tabela26[[#This Row],[EMP]],[1]LOJA!$A:$B,2,0)</f>
        <v>UNAÍ</v>
      </c>
      <c r="E2032">
        <v>183</v>
      </c>
      <c r="F2032" t="s">
        <v>3485</v>
      </c>
      <c r="G2032" t="s">
        <v>3402</v>
      </c>
      <c r="H2032" t="s">
        <v>3401</v>
      </c>
      <c r="I2032">
        <v>5102</v>
      </c>
      <c r="J2032" s="3">
        <v>63.6</v>
      </c>
      <c r="K2032" s="3">
        <v>30.2</v>
      </c>
      <c r="L2032">
        <v>52.52</v>
      </c>
    </row>
    <row r="2033" spans="1:12">
      <c r="A2033" s="1">
        <v>46032</v>
      </c>
      <c r="B2033" t="s">
        <v>10687</v>
      </c>
      <c r="C2033">
        <v>15</v>
      </c>
      <c r="D2033" t="str">
        <f>VLOOKUP(Tabela26[[#This Row],[EMP]],[1]LOJA!$A:$B,2,0)</f>
        <v>UNAÍ</v>
      </c>
      <c r="E2033">
        <v>183</v>
      </c>
      <c r="F2033" t="s">
        <v>3485</v>
      </c>
      <c r="G2033" t="s">
        <v>3402</v>
      </c>
      <c r="H2033" t="s">
        <v>3401</v>
      </c>
      <c r="I2033">
        <v>5102</v>
      </c>
      <c r="J2033" s="3">
        <v>22.5</v>
      </c>
      <c r="K2033" s="3">
        <v>12.36</v>
      </c>
      <c r="L2033">
        <v>45.07</v>
      </c>
    </row>
    <row r="2034" spans="1:12">
      <c r="A2034" s="1">
        <v>46032</v>
      </c>
      <c r="B2034" t="s">
        <v>10686</v>
      </c>
      <c r="C2034">
        <v>15</v>
      </c>
      <c r="D2034" t="str">
        <f>VLOOKUP(Tabela26[[#This Row],[EMP]],[1]LOJA!$A:$B,2,0)</f>
        <v>UNAÍ</v>
      </c>
      <c r="E2034">
        <v>183</v>
      </c>
      <c r="F2034" t="s">
        <v>4016</v>
      </c>
      <c r="G2034" t="s">
        <v>4015</v>
      </c>
      <c r="H2034" t="s">
        <v>5887</v>
      </c>
      <c r="I2034">
        <v>5102</v>
      </c>
      <c r="J2034" s="3">
        <v>25.2</v>
      </c>
      <c r="K2034" s="3">
        <v>10.77</v>
      </c>
      <c r="L2034">
        <v>57.26</v>
      </c>
    </row>
    <row r="2035" spans="1:12">
      <c r="A2035" s="1">
        <v>46032</v>
      </c>
      <c r="B2035" t="s">
        <v>10685</v>
      </c>
      <c r="C2035">
        <v>22</v>
      </c>
      <c r="D2035" t="str">
        <f>VLOOKUP(Tabela26[[#This Row],[EMP]],[1]LOJA!$A:$B,2,0)</f>
        <v>GUARÁ</v>
      </c>
      <c r="E2035">
        <v>16</v>
      </c>
      <c r="F2035" t="s">
        <v>3870</v>
      </c>
      <c r="G2035" t="s">
        <v>3869</v>
      </c>
      <c r="H2035" t="s">
        <v>3401</v>
      </c>
      <c r="I2035">
        <v>5102</v>
      </c>
      <c r="J2035" s="3">
        <v>40</v>
      </c>
      <c r="K2035" s="3">
        <v>22.78</v>
      </c>
      <c r="L2035">
        <v>43.05</v>
      </c>
    </row>
    <row r="2036" spans="1:12">
      <c r="A2036" s="1">
        <v>46032</v>
      </c>
      <c r="B2036" t="s">
        <v>10684</v>
      </c>
      <c r="C2036">
        <v>22</v>
      </c>
      <c r="D2036" t="str">
        <f>VLOOKUP(Tabela26[[#This Row],[EMP]],[1]LOJA!$A:$B,2,0)</f>
        <v>GUARÁ</v>
      </c>
      <c r="E2036">
        <v>16</v>
      </c>
      <c r="F2036" t="s">
        <v>3403</v>
      </c>
      <c r="G2036" t="s">
        <v>3402</v>
      </c>
      <c r="H2036" t="s">
        <v>3401</v>
      </c>
      <c r="I2036">
        <v>5102</v>
      </c>
      <c r="J2036" s="3">
        <v>5</v>
      </c>
      <c r="K2036" s="3">
        <v>3.28</v>
      </c>
      <c r="L2036">
        <v>34.4</v>
      </c>
    </row>
    <row r="2037" spans="1:12">
      <c r="A2037" s="1">
        <v>46032</v>
      </c>
      <c r="B2037" t="s">
        <v>10683</v>
      </c>
      <c r="C2037">
        <v>22</v>
      </c>
      <c r="D2037" t="str">
        <f>VLOOKUP(Tabela26[[#This Row],[EMP]],[1]LOJA!$A:$B,2,0)</f>
        <v>GUARÁ</v>
      </c>
      <c r="E2037">
        <v>16</v>
      </c>
      <c r="F2037" t="s">
        <v>3403</v>
      </c>
      <c r="G2037" t="s">
        <v>3402</v>
      </c>
      <c r="H2037" t="s">
        <v>3401</v>
      </c>
      <c r="I2037">
        <v>5102</v>
      </c>
      <c r="J2037" s="3">
        <v>56</v>
      </c>
      <c r="K2037" s="3">
        <v>29.04</v>
      </c>
      <c r="L2037">
        <v>48.14</v>
      </c>
    </row>
    <row r="2038" spans="1:12">
      <c r="A2038" s="1">
        <v>46032</v>
      </c>
      <c r="B2038" t="s">
        <v>10682</v>
      </c>
      <c r="C2038">
        <v>22</v>
      </c>
      <c r="D2038" t="str">
        <f>VLOOKUP(Tabela26[[#This Row],[EMP]],[1]LOJA!$A:$B,2,0)</f>
        <v>GUARÁ</v>
      </c>
      <c r="E2038">
        <v>16</v>
      </c>
      <c r="F2038" t="s">
        <v>3403</v>
      </c>
      <c r="G2038" t="s">
        <v>3402</v>
      </c>
      <c r="H2038" t="s">
        <v>3401</v>
      </c>
      <c r="I2038">
        <v>5405</v>
      </c>
      <c r="J2038" s="3">
        <v>50</v>
      </c>
      <c r="K2038" s="3">
        <v>24.14</v>
      </c>
      <c r="L2038">
        <v>51.72</v>
      </c>
    </row>
    <row r="2039" spans="1:12">
      <c r="A2039" s="1">
        <v>46032</v>
      </c>
      <c r="B2039" t="s">
        <v>10681</v>
      </c>
      <c r="C2039">
        <v>22</v>
      </c>
      <c r="D2039" t="str">
        <f>VLOOKUP(Tabela26[[#This Row],[EMP]],[1]LOJA!$A:$B,2,0)</f>
        <v>GUARÁ</v>
      </c>
      <c r="E2039">
        <v>16</v>
      </c>
      <c r="F2039" t="s">
        <v>3873</v>
      </c>
      <c r="G2039" t="s">
        <v>3872</v>
      </c>
      <c r="H2039" t="s">
        <v>3401</v>
      </c>
      <c r="I2039">
        <v>5102</v>
      </c>
      <c r="J2039" s="3">
        <v>11.7</v>
      </c>
      <c r="K2039" s="3">
        <v>5.07</v>
      </c>
      <c r="L2039">
        <v>56.67</v>
      </c>
    </row>
    <row r="2040" spans="1:12">
      <c r="A2040" s="1">
        <v>46032</v>
      </c>
      <c r="B2040" t="s">
        <v>10680</v>
      </c>
      <c r="C2040">
        <v>22</v>
      </c>
      <c r="D2040" t="str">
        <f>VLOOKUP(Tabela26[[#This Row],[EMP]],[1]LOJA!$A:$B,2,0)</f>
        <v>GUARÁ</v>
      </c>
      <c r="E2040">
        <v>16</v>
      </c>
      <c r="F2040" t="s">
        <v>3403</v>
      </c>
      <c r="G2040" t="s">
        <v>3402</v>
      </c>
      <c r="H2040" t="s">
        <v>3401</v>
      </c>
      <c r="I2040">
        <v>5102</v>
      </c>
      <c r="J2040" s="3">
        <v>70</v>
      </c>
      <c r="K2040" s="3">
        <v>37.36</v>
      </c>
      <c r="L2040">
        <v>46.63</v>
      </c>
    </row>
    <row r="2041" spans="1:12">
      <c r="A2041" s="1">
        <v>46032</v>
      </c>
      <c r="B2041" t="s">
        <v>10679</v>
      </c>
      <c r="C2041">
        <v>22</v>
      </c>
      <c r="D2041" t="str">
        <f>VLOOKUP(Tabela26[[#This Row],[EMP]],[1]LOJA!$A:$B,2,0)</f>
        <v>GUARÁ</v>
      </c>
      <c r="E2041">
        <v>16</v>
      </c>
      <c r="F2041" t="s">
        <v>3403</v>
      </c>
      <c r="G2041" t="s">
        <v>3402</v>
      </c>
      <c r="H2041" t="s">
        <v>3401</v>
      </c>
      <c r="I2041">
        <v>5405</v>
      </c>
      <c r="J2041" s="3">
        <v>63</v>
      </c>
      <c r="K2041" s="3">
        <v>32.5</v>
      </c>
      <c r="L2041">
        <v>48.41</v>
      </c>
    </row>
    <row r="2042" spans="1:12">
      <c r="A2042" s="1">
        <v>46032</v>
      </c>
      <c r="B2042" t="s">
        <v>10678</v>
      </c>
      <c r="C2042">
        <v>22</v>
      </c>
      <c r="D2042" t="str">
        <f>VLOOKUP(Tabela26[[#This Row],[EMP]],[1]LOJA!$A:$B,2,0)</f>
        <v>GUARÁ</v>
      </c>
      <c r="E2042">
        <v>16</v>
      </c>
      <c r="F2042" t="s">
        <v>3403</v>
      </c>
      <c r="G2042" t="s">
        <v>3402</v>
      </c>
      <c r="H2042" t="s">
        <v>3401</v>
      </c>
      <c r="I2042">
        <v>5102</v>
      </c>
      <c r="J2042" s="3">
        <v>95</v>
      </c>
      <c r="K2042" s="3">
        <v>51.74</v>
      </c>
      <c r="L2042">
        <v>45.54</v>
      </c>
    </row>
    <row r="2043" spans="1:12">
      <c r="A2043" s="1">
        <v>46032</v>
      </c>
      <c r="B2043" t="s">
        <v>10677</v>
      </c>
      <c r="C2043">
        <v>22</v>
      </c>
      <c r="D2043" t="str">
        <f>VLOOKUP(Tabela26[[#This Row],[EMP]],[1]LOJA!$A:$B,2,0)</f>
        <v>GUARÁ</v>
      </c>
      <c r="E2043">
        <v>16</v>
      </c>
      <c r="F2043" t="s">
        <v>3403</v>
      </c>
      <c r="G2043" t="s">
        <v>3402</v>
      </c>
      <c r="H2043" t="s">
        <v>3401</v>
      </c>
      <c r="I2043">
        <v>5102</v>
      </c>
      <c r="J2043" s="3">
        <v>16</v>
      </c>
      <c r="K2043" s="3">
        <v>9.48</v>
      </c>
      <c r="L2043">
        <v>40.75</v>
      </c>
    </row>
    <row r="2044" spans="1:12">
      <c r="A2044" s="1">
        <v>46032</v>
      </c>
      <c r="B2044" t="s">
        <v>10676</v>
      </c>
      <c r="C2044">
        <v>22</v>
      </c>
      <c r="D2044" t="str">
        <f>VLOOKUP(Tabela26[[#This Row],[EMP]],[1]LOJA!$A:$B,2,0)</f>
        <v>GUARÁ</v>
      </c>
      <c r="E2044">
        <v>16</v>
      </c>
      <c r="F2044" t="s">
        <v>4629</v>
      </c>
      <c r="G2044" t="s">
        <v>4628</v>
      </c>
      <c r="H2044" t="s">
        <v>3401</v>
      </c>
      <c r="I2044">
        <v>5102</v>
      </c>
      <c r="J2044" s="3">
        <v>84.31</v>
      </c>
      <c r="K2044" s="3">
        <v>43.51</v>
      </c>
      <c r="L2044">
        <v>48.39</v>
      </c>
    </row>
    <row r="2045" spans="1:12">
      <c r="A2045" s="1">
        <v>46032</v>
      </c>
      <c r="B2045" t="s">
        <v>10675</v>
      </c>
      <c r="C2045">
        <v>22</v>
      </c>
      <c r="D2045" t="str">
        <f>VLOOKUP(Tabela26[[#This Row],[EMP]],[1]LOJA!$A:$B,2,0)</f>
        <v>GUARÁ</v>
      </c>
      <c r="E2045">
        <v>93</v>
      </c>
      <c r="F2045" t="s">
        <v>3452</v>
      </c>
      <c r="G2045" t="s">
        <v>3451</v>
      </c>
      <c r="H2045" t="s">
        <v>3408</v>
      </c>
      <c r="I2045">
        <v>5405</v>
      </c>
      <c r="J2045" s="3">
        <v>107.75</v>
      </c>
      <c r="K2045" s="3">
        <v>49.21</v>
      </c>
      <c r="L2045">
        <v>54.33</v>
      </c>
    </row>
    <row r="2046" spans="1:12">
      <c r="A2046" s="1">
        <v>46032</v>
      </c>
      <c r="B2046" t="s">
        <v>10674</v>
      </c>
      <c r="C2046">
        <v>22</v>
      </c>
      <c r="D2046" t="str">
        <f>VLOOKUP(Tabela26[[#This Row],[EMP]],[1]LOJA!$A:$B,2,0)</f>
        <v>GUARÁ</v>
      </c>
      <c r="E2046">
        <v>16</v>
      </c>
      <c r="F2046" t="s">
        <v>3403</v>
      </c>
      <c r="G2046" t="s">
        <v>3402</v>
      </c>
      <c r="H2046" t="s">
        <v>3401</v>
      </c>
      <c r="I2046">
        <v>5102</v>
      </c>
      <c r="J2046" s="3">
        <v>75</v>
      </c>
      <c r="K2046" s="3">
        <v>34.26</v>
      </c>
      <c r="L2046">
        <v>54.32</v>
      </c>
    </row>
    <row r="2047" spans="1:12">
      <c r="A2047" s="1">
        <v>46032</v>
      </c>
      <c r="B2047" t="s">
        <v>10673</v>
      </c>
      <c r="C2047">
        <v>22</v>
      </c>
      <c r="D2047" t="str">
        <f>VLOOKUP(Tabela26[[#This Row],[EMP]],[1]LOJA!$A:$B,2,0)</f>
        <v>GUARÁ</v>
      </c>
      <c r="E2047">
        <v>16</v>
      </c>
      <c r="F2047" t="s">
        <v>3403</v>
      </c>
      <c r="G2047" t="s">
        <v>3402</v>
      </c>
      <c r="H2047" t="s">
        <v>3401</v>
      </c>
      <c r="I2047">
        <v>5102</v>
      </c>
      <c r="J2047" s="3">
        <v>38</v>
      </c>
      <c r="K2047" s="3">
        <v>21.93</v>
      </c>
      <c r="L2047">
        <v>42.29</v>
      </c>
    </row>
    <row r="2048" spans="1:12">
      <c r="A2048" s="1">
        <v>46032</v>
      </c>
      <c r="B2048" t="s">
        <v>10672</v>
      </c>
      <c r="C2048">
        <v>22</v>
      </c>
      <c r="D2048" t="str">
        <f>VLOOKUP(Tabela26[[#This Row],[EMP]],[1]LOJA!$A:$B,2,0)</f>
        <v>GUARÁ</v>
      </c>
      <c r="E2048">
        <v>16</v>
      </c>
      <c r="F2048" t="s">
        <v>3403</v>
      </c>
      <c r="G2048" t="s">
        <v>3402</v>
      </c>
      <c r="H2048" t="s">
        <v>3401</v>
      </c>
      <c r="I2048">
        <v>5102</v>
      </c>
      <c r="J2048" s="3">
        <v>22</v>
      </c>
      <c r="K2048" s="3">
        <v>11.63</v>
      </c>
      <c r="L2048">
        <v>47.14</v>
      </c>
    </row>
    <row r="2049" spans="1:12">
      <c r="A2049" s="1">
        <v>46032</v>
      </c>
      <c r="B2049" t="s">
        <v>10671</v>
      </c>
      <c r="C2049">
        <v>12</v>
      </c>
      <c r="D2049" t="str">
        <f>VLOOKUP(Tabela26[[#This Row],[EMP]],[1]LOJA!$A:$B,2,0)</f>
        <v>SOFNORTE</v>
      </c>
      <c r="E2049">
        <v>239</v>
      </c>
      <c r="F2049" t="s">
        <v>10422</v>
      </c>
      <c r="G2049" t="s">
        <v>10421</v>
      </c>
      <c r="H2049" t="s">
        <v>3401</v>
      </c>
      <c r="I2049">
        <v>5405</v>
      </c>
      <c r="J2049" s="3">
        <v>262</v>
      </c>
      <c r="K2049" s="3">
        <v>127.72</v>
      </c>
      <c r="L2049">
        <v>51.25</v>
      </c>
    </row>
    <row r="2050" spans="1:12">
      <c r="A2050" s="1">
        <v>46032</v>
      </c>
      <c r="B2050" t="s">
        <v>10670</v>
      </c>
      <c r="C2050">
        <v>22</v>
      </c>
      <c r="D2050" t="str">
        <f>VLOOKUP(Tabela26[[#This Row],[EMP]],[1]LOJA!$A:$B,2,0)</f>
        <v>GUARÁ</v>
      </c>
      <c r="E2050">
        <v>16</v>
      </c>
      <c r="F2050" t="s">
        <v>3870</v>
      </c>
      <c r="G2050" t="s">
        <v>3869</v>
      </c>
      <c r="H2050" t="s">
        <v>3401</v>
      </c>
      <c r="I2050">
        <v>5405</v>
      </c>
      <c r="J2050" s="3">
        <v>62.72</v>
      </c>
      <c r="K2050" s="3">
        <v>31.37</v>
      </c>
      <c r="L2050">
        <v>49.98</v>
      </c>
    </row>
    <row r="2051" spans="1:12">
      <c r="A2051" s="1">
        <v>46032</v>
      </c>
      <c r="B2051" t="s">
        <v>10669</v>
      </c>
      <c r="C2051">
        <v>12</v>
      </c>
      <c r="D2051" t="str">
        <f>VLOOKUP(Tabela26[[#This Row],[EMP]],[1]LOJA!$A:$B,2,0)</f>
        <v>SOFNORTE</v>
      </c>
      <c r="E2051">
        <v>239</v>
      </c>
      <c r="F2051" t="s">
        <v>3953</v>
      </c>
      <c r="G2051" t="s">
        <v>3952</v>
      </c>
      <c r="H2051" t="s">
        <v>3430</v>
      </c>
      <c r="I2051">
        <v>5102</v>
      </c>
      <c r="J2051" s="3">
        <v>38.549999999999997</v>
      </c>
      <c r="K2051" s="3">
        <v>21.11</v>
      </c>
      <c r="L2051">
        <v>45.24</v>
      </c>
    </row>
    <row r="2052" spans="1:12">
      <c r="A2052" s="1">
        <v>46032</v>
      </c>
      <c r="B2052" t="s">
        <v>10668</v>
      </c>
      <c r="C2052">
        <v>22</v>
      </c>
      <c r="D2052" t="str">
        <f>VLOOKUP(Tabela26[[#This Row],[EMP]],[1]LOJA!$A:$B,2,0)</f>
        <v>GUARÁ</v>
      </c>
      <c r="E2052">
        <v>16</v>
      </c>
      <c r="F2052" t="s">
        <v>3403</v>
      </c>
      <c r="G2052" t="s">
        <v>3402</v>
      </c>
      <c r="H2052" t="s">
        <v>3401</v>
      </c>
      <c r="I2052">
        <v>5102</v>
      </c>
      <c r="J2052" s="3">
        <v>33</v>
      </c>
      <c r="K2052" s="3">
        <v>21.83</v>
      </c>
      <c r="L2052">
        <v>33.85</v>
      </c>
    </row>
    <row r="2053" spans="1:12">
      <c r="A2053" s="1">
        <v>46032</v>
      </c>
      <c r="B2053" t="s">
        <v>10667</v>
      </c>
      <c r="C2053">
        <v>12</v>
      </c>
      <c r="D2053" t="str">
        <f>VLOOKUP(Tabela26[[#This Row],[EMP]],[1]LOJA!$A:$B,2,0)</f>
        <v>SOFNORTE</v>
      </c>
      <c r="E2053">
        <v>239</v>
      </c>
      <c r="F2053" t="s">
        <v>3948</v>
      </c>
      <c r="G2053" t="s">
        <v>3947</v>
      </c>
      <c r="H2053" t="s">
        <v>3430</v>
      </c>
      <c r="I2053">
        <v>5405</v>
      </c>
      <c r="J2053" s="3">
        <v>62</v>
      </c>
      <c r="K2053" s="3">
        <v>25.9</v>
      </c>
      <c r="L2053">
        <v>58.23</v>
      </c>
    </row>
    <row r="2054" spans="1:12">
      <c r="A2054" s="1">
        <v>46032</v>
      </c>
      <c r="B2054" t="s">
        <v>10666</v>
      </c>
      <c r="C2054">
        <v>22</v>
      </c>
      <c r="D2054" t="str">
        <f>VLOOKUP(Tabela26[[#This Row],[EMP]],[1]LOJA!$A:$B,2,0)</f>
        <v>GUARÁ</v>
      </c>
      <c r="E2054">
        <v>16</v>
      </c>
      <c r="F2054" t="s">
        <v>4615</v>
      </c>
      <c r="G2054" t="s">
        <v>4614</v>
      </c>
      <c r="H2054" t="s">
        <v>3401</v>
      </c>
      <c r="I2054">
        <v>5102</v>
      </c>
      <c r="J2054" s="3">
        <v>51</v>
      </c>
      <c r="K2054" s="3">
        <v>26.09</v>
      </c>
      <c r="L2054">
        <v>48.84</v>
      </c>
    </row>
    <row r="2055" spans="1:12">
      <c r="A2055" s="1">
        <v>46032</v>
      </c>
      <c r="B2055" t="s">
        <v>10665</v>
      </c>
      <c r="C2055">
        <v>4</v>
      </c>
      <c r="D2055" t="str">
        <f>VLOOKUP(Tabela26[[#This Row],[EMP]],[1]LOJA!$A:$B,2,0)</f>
        <v>ADE</v>
      </c>
      <c r="E2055">
        <v>132</v>
      </c>
      <c r="F2055" t="s">
        <v>3403</v>
      </c>
      <c r="G2055" t="s">
        <v>3402</v>
      </c>
      <c r="H2055" t="s">
        <v>3401</v>
      </c>
      <c r="I2055">
        <v>5102</v>
      </c>
      <c r="J2055" s="3">
        <v>20.399999999999999</v>
      </c>
      <c r="K2055" s="3">
        <v>12.86</v>
      </c>
      <c r="L2055">
        <v>36.96</v>
      </c>
    </row>
    <row r="2056" spans="1:12">
      <c r="A2056" s="1">
        <v>46032</v>
      </c>
      <c r="B2056" t="s">
        <v>10664</v>
      </c>
      <c r="C2056">
        <v>4</v>
      </c>
      <c r="D2056" t="str">
        <f>VLOOKUP(Tabela26[[#This Row],[EMP]],[1]LOJA!$A:$B,2,0)</f>
        <v>ADE</v>
      </c>
      <c r="E2056">
        <v>132</v>
      </c>
      <c r="F2056" t="s">
        <v>3403</v>
      </c>
      <c r="G2056" t="s">
        <v>3402</v>
      </c>
      <c r="H2056" t="s">
        <v>3401</v>
      </c>
      <c r="I2056">
        <v>5405</v>
      </c>
      <c r="J2056" s="3">
        <v>189.98</v>
      </c>
      <c r="K2056" s="3">
        <v>82.74</v>
      </c>
      <c r="L2056">
        <v>56.45</v>
      </c>
    </row>
    <row r="2057" spans="1:12">
      <c r="A2057" s="1">
        <v>46032</v>
      </c>
      <c r="B2057" t="s">
        <v>10663</v>
      </c>
      <c r="C2057">
        <v>4</v>
      </c>
      <c r="D2057" t="str">
        <f>VLOOKUP(Tabela26[[#This Row],[EMP]],[1]LOJA!$A:$B,2,0)</f>
        <v>ADE</v>
      </c>
      <c r="E2057">
        <v>132</v>
      </c>
      <c r="F2057" t="s">
        <v>3403</v>
      </c>
      <c r="G2057" t="s">
        <v>3402</v>
      </c>
      <c r="H2057" t="s">
        <v>3401</v>
      </c>
      <c r="I2057">
        <v>5102</v>
      </c>
      <c r="J2057" s="3">
        <v>9.6</v>
      </c>
      <c r="K2057" s="3">
        <v>4.16</v>
      </c>
      <c r="L2057">
        <v>56.67</v>
      </c>
    </row>
    <row r="2058" spans="1:12">
      <c r="A2058" s="1">
        <v>46032</v>
      </c>
      <c r="B2058" t="s">
        <v>10662</v>
      </c>
      <c r="C2058">
        <v>4</v>
      </c>
      <c r="D2058" t="str">
        <f>VLOOKUP(Tabela26[[#This Row],[EMP]],[1]LOJA!$A:$B,2,0)</f>
        <v>ADE</v>
      </c>
      <c r="E2058">
        <v>132</v>
      </c>
      <c r="F2058" t="s">
        <v>3403</v>
      </c>
      <c r="G2058" t="s">
        <v>3402</v>
      </c>
      <c r="H2058" t="s">
        <v>3401</v>
      </c>
      <c r="I2058">
        <v>5102</v>
      </c>
      <c r="J2058" s="3">
        <v>124</v>
      </c>
      <c r="K2058" s="3">
        <v>70.39</v>
      </c>
      <c r="L2058">
        <v>43.23</v>
      </c>
    </row>
    <row r="2059" spans="1:12">
      <c r="A2059" s="1">
        <v>46032</v>
      </c>
      <c r="B2059" t="s">
        <v>10661</v>
      </c>
      <c r="C2059">
        <v>4</v>
      </c>
      <c r="D2059" t="str">
        <f>VLOOKUP(Tabela26[[#This Row],[EMP]],[1]LOJA!$A:$B,2,0)</f>
        <v>ADE</v>
      </c>
      <c r="E2059">
        <v>132</v>
      </c>
      <c r="F2059" t="s">
        <v>3403</v>
      </c>
      <c r="G2059" t="s">
        <v>3402</v>
      </c>
      <c r="H2059" t="s">
        <v>3401</v>
      </c>
      <c r="I2059">
        <v>5102</v>
      </c>
      <c r="J2059" s="3">
        <v>10</v>
      </c>
      <c r="K2059" s="3">
        <v>6.56</v>
      </c>
      <c r="L2059">
        <v>34.4</v>
      </c>
    </row>
    <row r="2060" spans="1:12">
      <c r="A2060" s="1">
        <v>46032</v>
      </c>
      <c r="B2060" t="s">
        <v>10660</v>
      </c>
      <c r="C2060">
        <v>4</v>
      </c>
      <c r="D2060" t="str">
        <f>VLOOKUP(Tabela26[[#This Row],[EMP]],[1]LOJA!$A:$B,2,0)</f>
        <v>ADE</v>
      </c>
      <c r="E2060">
        <v>132</v>
      </c>
      <c r="F2060" t="s">
        <v>3403</v>
      </c>
      <c r="G2060" t="s">
        <v>3402</v>
      </c>
      <c r="H2060" t="s">
        <v>3401</v>
      </c>
      <c r="I2060">
        <v>5102</v>
      </c>
      <c r="J2060" s="3">
        <v>41.5</v>
      </c>
      <c r="K2060" s="3">
        <v>25.19</v>
      </c>
      <c r="L2060">
        <v>39.299999999999997</v>
      </c>
    </row>
    <row r="2061" spans="1:12">
      <c r="A2061" s="1">
        <v>46032</v>
      </c>
      <c r="B2061" t="s">
        <v>10659</v>
      </c>
      <c r="C2061">
        <v>4</v>
      </c>
      <c r="D2061" t="str">
        <f>VLOOKUP(Tabela26[[#This Row],[EMP]],[1]LOJA!$A:$B,2,0)</f>
        <v>ADE</v>
      </c>
      <c r="E2061">
        <v>132</v>
      </c>
      <c r="F2061" t="s">
        <v>3403</v>
      </c>
      <c r="G2061" t="s">
        <v>3402</v>
      </c>
      <c r="H2061" t="s">
        <v>3401</v>
      </c>
      <c r="I2061">
        <v>5102</v>
      </c>
      <c r="J2061" s="3">
        <v>121.58</v>
      </c>
      <c r="K2061" s="3">
        <v>55.35</v>
      </c>
      <c r="L2061">
        <v>54.47</v>
      </c>
    </row>
    <row r="2062" spans="1:12">
      <c r="A2062" s="1">
        <v>46032</v>
      </c>
      <c r="B2062" t="s">
        <v>10658</v>
      </c>
      <c r="C2062">
        <v>4</v>
      </c>
      <c r="D2062" t="str">
        <f>VLOOKUP(Tabela26[[#This Row],[EMP]],[1]LOJA!$A:$B,2,0)</f>
        <v>ADE</v>
      </c>
      <c r="E2062">
        <v>132</v>
      </c>
      <c r="F2062" t="s">
        <v>3403</v>
      </c>
      <c r="G2062" t="s">
        <v>3402</v>
      </c>
      <c r="H2062" t="s">
        <v>3401</v>
      </c>
      <c r="I2062">
        <v>5102</v>
      </c>
      <c r="J2062" s="3">
        <v>131.69</v>
      </c>
      <c r="K2062" s="3">
        <v>73.849999999999994</v>
      </c>
      <c r="L2062">
        <v>43.92</v>
      </c>
    </row>
    <row r="2063" spans="1:12">
      <c r="A2063" s="1">
        <v>46032</v>
      </c>
      <c r="B2063" t="s">
        <v>10657</v>
      </c>
      <c r="C2063">
        <v>4</v>
      </c>
      <c r="D2063" t="str">
        <f>VLOOKUP(Tabela26[[#This Row],[EMP]],[1]LOJA!$A:$B,2,0)</f>
        <v>ADE</v>
      </c>
      <c r="E2063">
        <v>132</v>
      </c>
      <c r="F2063" t="s">
        <v>3403</v>
      </c>
      <c r="G2063" t="s">
        <v>3402</v>
      </c>
      <c r="H2063" t="s">
        <v>3408</v>
      </c>
      <c r="I2063">
        <v>5102</v>
      </c>
      <c r="J2063" s="3">
        <v>109.83</v>
      </c>
      <c r="K2063" s="3">
        <v>46.66</v>
      </c>
      <c r="L2063">
        <v>57.52</v>
      </c>
    </row>
    <row r="2064" spans="1:12">
      <c r="A2064" s="1">
        <v>46032</v>
      </c>
      <c r="B2064" t="s">
        <v>10656</v>
      </c>
      <c r="C2064">
        <v>4</v>
      </c>
      <c r="D2064" t="str">
        <f>VLOOKUP(Tabela26[[#This Row],[EMP]],[1]LOJA!$A:$B,2,0)</f>
        <v>ADE</v>
      </c>
      <c r="E2064">
        <v>132</v>
      </c>
      <c r="F2064" t="s">
        <v>3403</v>
      </c>
      <c r="G2064" t="s">
        <v>3402</v>
      </c>
      <c r="H2064" t="s">
        <v>3401</v>
      </c>
      <c r="I2064">
        <v>5102</v>
      </c>
      <c r="J2064" s="3">
        <v>23</v>
      </c>
      <c r="K2064" s="3">
        <v>12.86</v>
      </c>
      <c r="L2064">
        <v>44.09</v>
      </c>
    </row>
    <row r="2065" spans="1:12">
      <c r="A2065" s="1">
        <v>46032</v>
      </c>
      <c r="B2065" t="s">
        <v>10655</v>
      </c>
      <c r="C2065">
        <v>16</v>
      </c>
      <c r="D2065" t="str">
        <f>VLOOKUP(Tabela26[[#This Row],[EMP]],[1]LOJA!$A:$B,2,0)</f>
        <v>AG LINDAS</v>
      </c>
      <c r="E2065">
        <v>240</v>
      </c>
      <c r="F2065" t="s">
        <v>3780</v>
      </c>
      <c r="G2065" t="s">
        <v>3437</v>
      </c>
      <c r="H2065" t="s">
        <v>3401</v>
      </c>
      <c r="I2065">
        <v>5102</v>
      </c>
      <c r="J2065" s="3">
        <v>52.9</v>
      </c>
      <c r="K2065" s="3">
        <v>31.17</v>
      </c>
      <c r="L2065">
        <v>41.08</v>
      </c>
    </row>
    <row r="2066" spans="1:12">
      <c r="A2066" s="1">
        <v>46032</v>
      </c>
      <c r="B2066" t="s">
        <v>10654</v>
      </c>
      <c r="C2066">
        <v>16</v>
      </c>
      <c r="D2066" t="str">
        <f>VLOOKUP(Tabela26[[#This Row],[EMP]],[1]LOJA!$A:$B,2,0)</f>
        <v>AG LINDAS</v>
      </c>
      <c r="E2066">
        <v>240</v>
      </c>
      <c r="F2066" t="s">
        <v>5663</v>
      </c>
      <c r="G2066" t="s">
        <v>3437</v>
      </c>
      <c r="H2066" t="s">
        <v>3401</v>
      </c>
      <c r="I2066">
        <v>5102</v>
      </c>
      <c r="J2066" s="3">
        <v>9</v>
      </c>
      <c r="K2066" s="3">
        <v>4.16</v>
      </c>
      <c r="L2066">
        <v>53.78</v>
      </c>
    </row>
    <row r="2067" spans="1:12">
      <c r="A2067" s="1">
        <v>46032</v>
      </c>
      <c r="B2067" t="s">
        <v>10653</v>
      </c>
      <c r="C2067">
        <v>16</v>
      </c>
      <c r="D2067" t="str">
        <f>VLOOKUP(Tabela26[[#This Row],[EMP]],[1]LOJA!$A:$B,2,0)</f>
        <v>AG LINDAS</v>
      </c>
      <c r="E2067">
        <v>240</v>
      </c>
      <c r="F2067" t="s">
        <v>3780</v>
      </c>
      <c r="G2067" t="s">
        <v>3437</v>
      </c>
      <c r="H2067" t="s">
        <v>3401</v>
      </c>
      <c r="I2067">
        <v>5102</v>
      </c>
      <c r="J2067" s="3">
        <v>69.900000000000006</v>
      </c>
      <c r="K2067" s="3">
        <v>47.38</v>
      </c>
      <c r="L2067">
        <v>32.22</v>
      </c>
    </row>
    <row r="2068" spans="1:12">
      <c r="A2068" s="1">
        <v>46032</v>
      </c>
      <c r="B2068" t="s">
        <v>10652</v>
      </c>
      <c r="C2068">
        <v>16</v>
      </c>
      <c r="D2068" t="str">
        <f>VLOOKUP(Tabela26[[#This Row],[EMP]],[1]LOJA!$A:$B,2,0)</f>
        <v>AG LINDAS</v>
      </c>
      <c r="E2068">
        <v>240</v>
      </c>
      <c r="F2068" t="s">
        <v>3780</v>
      </c>
      <c r="G2068" t="s">
        <v>3437</v>
      </c>
      <c r="H2068" t="s">
        <v>3401</v>
      </c>
      <c r="I2068">
        <v>5102</v>
      </c>
      <c r="J2068" s="3">
        <v>30</v>
      </c>
      <c r="K2068" s="3">
        <v>14.64</v>
      </c>
      <c r="L2068">
        <v>51.2</v>
      </c>
    </row>
    <row r="2069" spans="1:12">
      <c r="A2069" s="1">
        <v>46032</v>
      </c>
      <c r="B2069" t="s">
        <v>10651</v>
      </c>
      <c r="C2069">
        <v>16</v>
      </c>
      <c r="D2069" t="str">
        <f>VLOOKUP(Tabela26[[#This Row],[EMP]],[1]LOJA!$A:$B,2,0)</f>
        <v>AG LINDAS</v>
      </c>
      <c r="E2069">
        <v>240</v>
      </c>
      <c r="F2069" t="s">
        <v>3780</v>
      </c>
      <c r="G2069" t="s">
        <v>3437</v>
      </c>
      <c r="H2069" t="s">
        <v>3401</v>
      </c>
      <c r="I2069">
        <v>5102</v>
      </c>
      <c r="J2069" s="3">
        <v>20</v>
      </c>
      <c r="K2069" s="3">
        <v>10.34</v>
      </c>
      <c r="L2069">
        <v>48.3</v>
      </c>
    </row>
    <row r="2070" spans="1:12">
      <c r="A2070" s="1">
        <v>46032</v>
      </c>
      <c r="B2070" t="s">
        <v>10650</v>
      </c>
      <c r="C2070">
        <v>16</v>
      </c>
      <c r="D2070" t="str">
        <f>VLOOKUP(Tabela26[[#This Row],[EMP]],[1]LOJA!$A:$B,2,0)</f>
        <v>AG LINDAS</v>
      </c>
      <c r="E2070">
        <v>240</v>
      </c>
      <c r="F2070" t="s">
        <v>3780</v>
      </c>
      <c r="G2070" t="s">
        <v>3437</v>
      </c>
      <c r="H2070" t="s">
        <v>3401</v>
      </c>
      <c r="I2070">
        <v>5102</v>
      </c>
      <c r="J2070" s="3">
        <v>16</v>
      </c>
      <c r="K2070" s="3">
        <v>9.17</v>
      </c>
      <c r="L2070">
        <v>42.69</v>
      </c>
    </row>
    <row r="2071" spans="1:12">
      <c r="A2071" s="1">
        <v>46032</v>
      </c>
      <c r="B2071" t="s">
        <v>10649</v>
      </c>
      <c r="C2071">
        <v>16</v>
      </c>
      <c r="D2071" t="str">
        <f>VLOOKUP(Tabela26[[#This Row],[EMP]],[1]LOJA!$A:$B,2,0)</f>
        <v>AG LINDAS</v>
      </c>
      <c r="E2071">
        <v>240</v>
      </c>
      <c r="F2071" t="s">
        <v>3780</v>
      </c>
      <c r="G2071" t="s">
        <v>3437</v>
      </c>
      <c r="H2071" t="s">
        <v>3401</v>
      </c>
      <c r="I2071">
        <v>5102</v>
      </c>
      <c r="J2071" s="3">
        <v>10</v>
      </c>
      <c r="K2071" s="3">
        <v>5.72</v>
      </c>
      <c r="L2071">
        <v>42.8</v>
      </c>
    </row>
    <row r="2072" spans="1:12">
      <c r="A2072" s="1">
        <v>46032</v>
      </c>
      <c r="B2072" t="s">
        <v>10648</v>
      </c>
      <c r="C2072">
        <v>16</v>
      </c>
      <c r="D2072" t="str">
        <f>VLOOKUP(Tabela26[[#This Row],[EMP]],[1]LOJA!$A:$B,2,0)</f>
        <v>AG LINDAS</v>
      </c>
      <c r="E2072">
        <v>240</v>
      </c>
      <c r="F2072" t="s">
        <v>8099</v>
      </c>
      <c r="G2072" t="s">
        <v>8098</v>
      </c>
      <c r="H2072" t="s">
        <v>3408</v>
      </c>
      <c r="I2072">
        <v>5405</v>
      </c>
      <c r="J2072" s="3">
        <v>379.87</v>
      </c>
      <c r="K2072" s="3">
        <v>212.1</v>
      </c>
      <c r="L2072">
        <v>44.17</v>
      </c>
    </row>
    <row r="2073" spans="1:12">
      <c r="A2073" s="1">
        <v>46032</v>
      </c>
      <c r="B2073" t="s">
        <v>10647</v>
      </c>
      <c r="C2073">
        <v>16</v>
      </c>
      <c r="D2073" t="str">
        <f>VLOOKUP(Tabela26[[#This Row],[EMP]],[1]LOJA!$A:$B,2,0)</f>
        <v>AG LINDAS</v>
      </c>
      <c r="E2073">
        <v>240</v>
      </c>
      <c r="F2073" t="s">
        <v>3780</v>
      </c>
      <c r="G2073" t="s">
        <v>3437</v>
      </c>
      <c r="H2073" t="s">
        <v>3401</v>
      </c>
      <c r="I2073">
        <v>5102</v>
      </c>
      <c r="J2073" s="3">
        <v>16</v>
      </c>
      <c r="K2073" s="3">
        <v>7.64</v>
      </c>
      <c r="L2073">
        <v>52.25</v>
      </c>
    </row>
    <row r="2074" spans="1:12">
      <c r="A2074" s="1">
        <v>46032</v>
      </c>
      <c r="B2074" t="s">
        <v>10646</v>
      </c>
      <c r="C2074">
        <v>16</v>
      </c>
      <c r="D2074" t="str">
        <f>VLOOKUP(Tabela26[[#This Row],[EMP]],[1]LOJA!$A:$B,2,0)</f>
        <v>AG LINDAS</v>
      </c>
      <c r="E2074">
        <v>240</v>
      </c>
      <c r="F2074" t="s">
        <v>3780</v>
      </c>
      <c r="G2074" t="s">
        <v>3437</v>
      </c>
      <c r="H2074" t="s">
        <v>3401</v>
      </c>
      <c r="I2074">
        <v>5102</v>
      </c>
      <c r="J2074" s="3">
        <v>30</v>
      </c>
      <c r="K2074" s="3">
        <v>18.62</v>
      </c>
      <c r="L2074">
        <v>37.93</v>
      </c>
    </row>
    <row r="2075" spans="1:12">
      <c r="A2075" s="1">
        <v>46032</v>
      </c>
      <c r="B2075" t="s">
        <v>10645</v>
      </c>
      <c r="C2075">
        <v>16</v>
      </c>
      <c r="D2075" t="str">
        <f>VLOOKUP(Tabela26[[#This Row],[EMP]],[1]LOJA!$A:$B,2,0)</f>
        <v>AG LINDAS</v>
      </c>
      <c r="E2075">
        <v>240</v>
      </c>
      <c r="F2075" t="s">
        <v>3780</v>
      </c>
      <c r="G2075" t="s">
        <v>3437</v>
      </c>
      <c r="H2075" t="s">
        <v>3401</v>
      </c>
      <c r="I2075">
        <v>5102</v>
      </c>
      <c r="J2075" s="3">
        <v>64</v>
      </c>
      <c r="K2075" s="3">
        <v>33.25</v>
      </c>
      <c r="L2075">
        <v>48.05</v>
      </c>
    </row>
    <row r="2076" spans="1:12">
      <c r="A2076" s="1">
        <v>46032</v>
      </c>
      <c r="B2076" t="s">
        <v>10644</v>
      </c>
      <c r="C2076">
        <v>16</v>
      </c>
      <c r="D2076" t="str">
        <f>VLOOKUP(Tabela26[[#This Row],[EMP]],[1]LOJA!$A:$B,2,0)</f>
        <v>AG LINDAS</v>
      </c>
      <c r="E2076">
        <v>240</v>
      </c>
      <c r="F2076" t="s">
        <v>3780</v>
      </c>
      <c r="G2076" t="s">
        <v>3437</v>
      </c>
      <c r="H2076" t="s">
        <v>3408</v>
      </c>
      <c r="I2076">
        <v>5405</v>
      </c>
      <c r="J2076" s="3">
        <v>98.85</v>
      </c>
      <c r="K2076" s="3">
        <v>45.21</v>
      </c>
      <c r="L2076">
        <v>54.26</v>
      </c>
    </row>
    <row r="2077" spans="1:12">
      <c r="A2077" s="1">
        <v>46032</v>
      </c>
      <c r="B2077" t="s">
        <v>10643</v>
      </c>
      <c r="C2077">
        <v>16</v>
      </c>
      <c r="D2077" t="str">
        <f>VLOOKUP(Tabela26[[#This Row],[EMP]],[1]LOJA!$A:$B,2,0)</f>
        <v>AG LINDAS</v>
      </c>
      <c r="E2077">
        <v>240</v>
      </c>
      <c r="F2077" t="s">
        <v>3804</v>
      </c>
      <c r="G2077" t="s">
        <v>3803</v>
      </c>
      <c r="H2077" t="s">
        <v>3408</v>
      </c>
      <c r="I2077">
        <v>5102</v>
      </c>
      <c r="J2077" s="3">
        <v>39</v>
      </c>
      <c r="K2077" s="3">
        <v>22.14</v>
      </c>
      <c r="L2077">
        <v>43.23</v>
      </c>
    </row>
    <row r="2078" spans="1:12">
      <c r="A2078" s="1">
        <v>46032</v>
      </c>
      <c r="B2078" t="s">
        <v>10642</v>
      </c>
      <c r="C2078">
        <v>16</v>
      </c>
      <c r="D2078" t="str">
        <f>VLOOKUP(Tabela26[[#This Row],[EMP]],[1]LOJA!$A:$B,2,0)</f>
        <v>AG LINDAS</v>
      </c>
      <c r="E2078">
        <v>240</v>
      </c>
      <c r="F2078" t="s">
        <v>3780</v>
      </c>
      <c r="G2078" t="s">
        <v>3437</v>
      </c>
      <c r="H2078" t="s">
        <v>3401</v>
      </c>
      <c r="I2078">
        <v>5102</v>
      </c>
      <c r="J2078" s="3">
        <v>28</v>
      </c>
      <c r="K2078" s="3">
        <v>17.18</v>
      </c>
      <c r="L2078">
        <v>38.64</v>
      </c>
    </row>
    <row r="2079" spans="1:12">
      <c r="A2079" s="1">
        <v>46032</v>
      </c>
      <c r="B2079" t="s">
        <v>10641</v>
      </c>
      <c r="C2079">
        <v>16</v>
      </c>
      <c r="D2079" t="str">
        <f>VLOOKUP(Tabela26[[#This Row],[EMP]],[1]LOJA!$A:$B,2,0)</f>
        <v>AG LINDAS</v>
      </c>
      <c r="E2079">
        <v>240</v>
      </c>
      <c r="F2079" t="s">
        <v>10640</v>
      </c>
      <c r="G2079" t="s">
        <v>3437</v>
      </c>
      <c r="H2079" t="s">
        <v>3401</v>
      </c>
      <c r="I2079">
        <v>5102</v>
      </c>
      <c r="J2079" s="3">
        <v>29.9</v>
      </c>
      <c r="K2079" s="3">
        <v>18.62</v>
      </c>
      <c r="L2079">
        <v>37.729999999999997</v>
      </c>
    </row>
    <row r="2080" spans="1:12">
      <c r="A2080" s="1">
        <v>46032</v>
      </c>
      <c r="B2080" t="s">
        <v>10639</v>
      </c>
      <c r="C2080">
        <v>16</v>
      </c>
      <c r="D2080" t="str">
        <f>VLOOKUP(Tabela26[[#This Row],[EMP]],[1]LOJA!$A:$B,2,0)</f>
        <v>AG LINDAS</v>
      </c>
      <c r="E2080">
        <v>240</v>
      </c>
      <c r="F2080" t="s">
        <v>3808</v>
      </c>
      <c r="G2080" t="s">
        <v>3807</v>
      </c>
      <c r="H2080" t="s">
        <v>3408</v>
      </c>
      <c r="I2080">
        <v>5405</v>
      </c>
      <c r="J2080" s="3">
        <v>106.27</v>
      </c>
      <c r="K2080" s="3">
        <v>53.75</v>
      </c>
      <c r="L2080">
        <v>49.42</v>
      </c>
    </row>
    <row r="2081" spans="1:12">
      <c r="A2081" s="1">
        <v>46032</v>
      </c>
      <c r="B2081" t="s">
        <v>10638</v>
      </c>
      <c r="C2081">
        <v>16</v>
      </c>
      <c r="D2081" t="str">
        <f>VLOOKUP(Tabela26[[#This Row],[EMP]],[1]LOJA!$A:$B,2,0)</f>
        <v>AG LINDAS</v>
      </c>
      <c r="E2081">
        <v>240</v>
      </c>
      <c r="F2081" t="s">
        <v>4516</v>
      </c>
      <c r="G2081" t="s">
        <v>4515</v>
      </c>
      <c r="H2081" t="s">
        <v>3401</v>
      </c>
      <c r="I2081">
        <v>5405</v>
      </c>
      <c r="J2081" s="3">
        <v>74.72</v>
      </c>
      <c r="K2081" s="3">
        <v>39.21</v>
      </c>
      <c r="L2081">
        <v>47.52</v>
      </c>
    </row>
    <row r="2082" spans="1:12">
      <c r="A2082" s="1">
        <v>46032</v>
      </c>
      <c r="B2082" t="s">
        <v>10637</v>
      </c>
      <c r="C2082">
        <v>14</v>
      </c>
      <c r="D2082" t="str">
        <f>VLOOKUP(Tabela26[[#This Row],[EMP]],[1]LOJA!$A:$B,2,0)</f>
        <v>S IA</v>
      </c>
      <c r="E2082">
        <v>212</v>
      </c>
      <c r="F2082" t="s">
        <v>10636</v>
      </c>
      <c r="G2082" t="s">
        <v>10635</v>
      </c>
      <c r="H2082" t="s">
        <v>3430</v>
      </c>
      <c r="I2082">
        <v>5102</v>
      </c>
      <c r="J2082" s="3">
        <v>116</v>
      </c>
      <c r="K2082" s="3">
        <v>58.75</v>
      </c>
      <c r="L2082">
        <v>49.35</v>
      </c>
    </row>
    <row r="2083" spans="1:12">
      <c r="A2083" s="1">
        <v>46032</v>
      </c>
      <c r="B2083" t="s">
        <v>10634</v>
      </c>
      <c r="C2083">
        <v>12</v>
      </c>
      <c r="D2083" t="str">
        <f>VLOOKUP(Tabela26[[#This Row],[EMP]],[1]LOJA!$A:$B,2,0)</f>
        <v>SOFNORTE</v>
      </c>
      <c r="E2083">
        <v>239</v>
      </c>
      <c r="F2083" t="s">
        <v>3704</v>
      </c>
      <c r="G2083" t="s">
        <v>3703</v>
      </c>
      <c r="H2083" t="s">
        <v>3408</v>
      </c>
      <c r="I2083">
        <v>5405</v>
      </c>
      <c r="J2083" s="3">
        <v>59</v>
      </c>
      <c r="K2083" s="3">
        <v>27.18</v>
      </c>
      <c r="L2083">
        <v>53.93</v>
      </c>
    </row>
    <row r="2084" spans="1:12">
      <c r="A2084" s="1">
        <v>46032</v>
      </c>
      <c r="B2084" t="s">
        <v>10633</v>
      </c>
      <c r="C2084">
        <v>12</v>
      </c>
      <c r="D2084" t="str">
        <f>VLOOKUP(Tabela26[[#This Row],[EMP]],[1]LOJA!$A:$B,2,0)</f>
        <v>SOFNORTE</v>
      </c>
      <c r="E2084">
        <v>239</v>
      </c>
      <c r="F2084" t="s">
        <v>3403</v>
      </c>
      <c r="G2084" t="s">
        <v>3402</v>
      </c>
      <c r="H2084" t="s">
        <v>3401</v>
      </c>
      <c r="I2084">
        <v>5405</v>
      </c>
      <c r="J2084" s="3">
        <v>116</v>
      </c>
      <c r="K2084" s="3">
        <v>51.85</v>
      </c>
      <c r="L2084">
        <v>55.3</v>
      </c>
    </row>
    <row r="2085" spans="1:12">
      <c r="A2085" s="1">
        <v>46032</v>
      </c>
      <c r="B2085" t="s">
        <v>10632</v>
      </c>
      <c r="C2085">
        <v>12</v>
      </c>
      <c r="D2085" t="str">
        <f>VLOOKUP(Tabela26[[#This Row],[EMP]],[1]LOJA!$A:$B,2,0)</f>
        <v>SOFNORTE</v>
      </c>
      <c r="E2085">
        <v>239</v>
      </c>
      <c r="F2085" t="s">
        <v>3706</v>
      </c>
      <c r="G2085" t="s">
        <v>3402</v>
      </c>
      <c r="H2085" t="s">
        <v>3408</v>
      </c>
      <c r="I2085">
        <v>5405</v>
      </c>
      <c r="J2085" s="3">
        <v>203</v>
      </c>
      <c r="K2085" s="3">
        <v>99.82</v>
      </c>
      <c r="L2085">
        <v>50.83</v>
      </c>
    </row>
    <row r="2086" spans="1:12">
      <c r="A2086" s="1">
        <v>46032</v>
      </c>
      <c r="B2086" t="s">
        <v>10631</v>
      </c>
      <c r="C2086">
        <v>12</v>
      </c>
      <c r="D2086" t="str">
        <f>VLOOKUP(Tabela26[[#This Row],[EMP]],[1]LOJA!$A:$B,2,0)</f>
        <v>SOFNORTE</v>
      </c>
      <c r="E2086">
        <v>239</v>
      </c>
      <c r="F2086" t="s">
        <v>3691</v>
      </c>
      <c r="G2086" t="s">
        <v>3690</v>
      </c>
      <c r="H2086" t="s">
        <v>5582</v>
      </c>
      <c r="I2086">
        <v>5102</v>
      </c>
      <c r="J2086" s="3">
        <v>58.32</v>
      </c>
      <c r="K2086" s="3">
        <v>32.58</v>
      </c>
      <c r="L2086">
        <v>44.14</v>
      </c>
    </row>
    <row r="2087" spans="1:12">
      <c r="A2087" s="1">
        <v>46032</v>
      </c>
      <c r="B2087" t="s">
        <v>10630</v>
      </c>
      <c r="C2087">
        <v>12</v>
      </c>
      <c r="D2087" t="str">
        <f>VLOOKUP(Tabela26[[#This Row],[EMP]],[1]LOJA!$A:$B,2,0)</f>
        <v>SOFNORTE</v>
      </c>
      <c r="E2087">
        <v>239</v>
      </c>
      <c r="F2087" t="s">
        <v>3403</v>
      </c>
      <c r="G2087" t="s">
        <v>3402</v>
      </c>
      <c r="H2087" t="s">
        <v>3401</v>
      </c>
      <c r="I2087">
        <v>5102</v>
      </c>
      <c r="J2087" s="3">
        <v>20</v>
      </c>
      <c r="K2087" s="3">
        <v>9.0299999999999994</v>
      </c>
      <c r="L2087">
        <v>54.85</v>
      </c>
    </row>
    <row r="2088" spans="1:12">
      <c r="A2088" s="1">
        <v>46032</v>
      </c>
      <c r="B2088" t="s">
        <v>10629</v>
      </c>
      <c r="C2088">
        <v>12</v>
      </c>
      <c r="D2088" t="str">
        <f>VLOOKUP(Tabela26[[#This Row],[EMP]],[1]LOJA!$A:$B,2,0)</f>
        <v>SOFNORTE</v>
      </c>
      <c r="E2088">
        <v>239</v>
      </c>
      <c r="F2088" t="s">
        <v>3403</v>
      </c>
      <c r="G2088" t="s">
        <v>3402</v>
      </c>
      <c r="H2088" t="s">
        <v>3401</v>
      </c>
      <c r="I2088">
        <v>5102</v>
      </c>
      <c r="J2088" s="3">
        <v>9</v>
      </c>
      <c r="K2088" s="3">
        <v>4.16</v>
      </c>
      <c r="L2088">
        <v>53.78</v>
      </c>
    </row>
    <row r="2089" spans="1:12">
      <c r="A2089" s="1">
        <v>46032</v>
      </c>
      <c r="B2089" t="s">
        <v>10628</v>
      </c>
      <c r="C2089">
        <v>12</v>
      </c>
      <c r="D2089" t="str">
        <f>VLOOKUP(Tabela26[[#This Row],[EMP]],[1]LOJA!$A:$B,2,0)</f>
        <v>SOFNORTE</v>
      </c>
      <c r="E2089">
        <v>239</v>
      </c>
      <c r="F2089" t="s">
        <v>3715</v>
      </c>
      <c r="G2089" t="s">
        <v>3714</v>
      </c>
      <c r="H2089" t="s">
        <v>3401</v>
      </c>
      <c r="I2089">
        <v>5405</v>
      </c>
      <c r="J2089" s="3">
        <v>112</v>
      </c>
      <c r="K2089" s="3">
        <v>53.06</v>
      </c>
      <c r="L2089">
        <v>52.63</v>
      </c>
    </row>
    <row r="2090" spans="1:12">
      <c r="A2090" s="1">
        <v>46032</v>
      </c>
      <c r="B2090" t="s">
        <v>10627</v>
      </c>
      <c r="C2090">
        <v>12</v>
      </c>
      <c r="D2090" t="str">
        <f>VLOOKUP(Tabela26[[#This Row],[EMP]],[1]LOJA!$A:$B,2,0)</f>
        <v>SOFNORTE</v>
      </c>
      <c r="E2090">
        <v>239</v>
      </c>
      <c r="F2090" t="s">
        <v>3403</v>
      </c>
      <c r="G2090" t="s">
        <v>3402</v>
      </c>
      <c r="H2090" t="s">
        <v>3401</v>
      </c>
      <c r="I2090">
        <v>5102</v>
      </c>
      <c r="J2090" s="3">
        <v>10</v>
      </c>
      <c r="K2090" s="3">
        <v>5.95</v>
      </c>
      <c r="L2090">
        <v>40.5</v>
      </c>
    </row>
    <row r="2091" spans="1:12">
      <c r="A2091" s="1">
        <v>46032</v>
      </c>
      <c r="B2091" t="s">
        <v>10626</v>
      </c>
      <c r="C2091">
        <v>14</v>
      </c>
      <c r="D2091" t="str">
        <f>VLOOKUP(Tabela26[[#This Row],[EMP]],[1]LOJA!$A:$B,2,0)</f>
        <v>S IA</v>
      </c>
      <c r="E2091">
        <v>212</v>
      </c>
      <c r="F2091" t="s">
        <v>3403</v>
      </c>
      <c r="G2091" t="s">
        <v>3402</v>
      </c>
      <c r="H2091" t="s">
        <v>3401</v>
      </c>
      <c r="I2091">
        <v>5405</v>
      </c>
      <c r="J2091" s="3">
        <v>27</v>
      </c>
      <c r="K2091" s="3">
        <v>7.56</v>
      </c>
      <c r="L2091">
        <v>72</v>
      </c>
    </row>
    <row r="2092" spans="1:12">
      <c r="A2092" s="1">
        <v>46032</v>
      </c>
      <c r="B2092" t="s">
        <v>10625</v>
      </c>
      <c r="C2092">
        <v>14</v>
      </c>
      <c r="D2092" t="str">
        <f>VLOOKUP(Tabela26[[#This Row],[EMP]],[1]LOJA!$A:$B,2,0)</f>
        <v>S IA</v>
      </c>
      <c r="E2092">
        <v>212</v>
      </c>
      <c r="F2092" t="s">
        <v>3403</v>
      </c>
      <c r="G2092" t="s">
        <v>3402</v>
      </c>
      <c r="H2092" t="s">
        <v>3401</v>
      </c>
      <c r="I2092">
        <v>5102</v>
      </c>
      <c r="J2092" s="3">
        <v>130</v>
      </c>
      <c r="K2092" s="3">
        <v>73.66</v>
      </c>
      <c r="L2092">
        <v>43.34</v>
      </c>
    </row>
    <row r="2093" spans="1:12">
      <c r="A2093" s="1">
        <v>46032</v>
      </c>
      <c r="B2093" t="s">
        <v>10624</v>
      </c>
      <c r="C2093">
        <v>14</v>
      </c>
      <c r="D2093" t="str">
        <f>VLOOKUP(Tabela26[[#This Row],[EMP]],[1]LOJA!$A:$B,2,0)</f>
        <v>S IA</v>
      </c>
      <c r="E2093">
        <v>212</v>
      </c>
      <c r="F2093" t="s">
        <v>3403</v>
      </c>
      <c r="G2093" t="s">
        <v>3402</v>
      </c>
      <c r="H2093" t="s">
        <v>3401</v>
      </c>
      <c r="I2093">
        <v>5102</v>
      </c>
      <c r="J2093" s="3">
        <v>240</v>
      </c>
      <c r="K2093" s="3">
        <v>103.8</v>
      </c>
      <c r="L2093">
        <v>56.75</v>
      </c>
    </row>
    <row r="2094" spans="1:12">
      <c r="A2094" s="1">
        <v>46032</v>
      </c>
      <c r="B2094" t="s">
        <v>10623</v>
      </c>
      <c r="C2094">
        <v>14</v>
      </c>
      <c r="D2094" t="str">
        <f>VLOOKUP(Tabela26[[#This Row],[EMP]],[1]LOJA!$A:$B,2,0)</f>
        <v>S IA</v>
      </c>
      <c r="E2094">
        <v>212</v>
      </c>
      <c r="F2094" t="s">
        <v>3403</v>
      </c>
      <c r="G2094" t="s">
        <v>3402</v>
      </c>
      <c r="H2094" t="s">
        <v>3401</v>
      </c>
      <c r="I2094">
        <v>5405</v>
      </c>
      <c r="J2094" s="3">
        <v>296</v>
      </c>
      <c r="K2094" s="3">
        <v>156.91999999999999</v>
      </c>
      <c r="L2094">
        <v>46.99</v>
      </c>
    </row>
    <row r="2095" spans="1:12">
      <c r="A2095" s="1">
        <v>46032</v>
      </c>
      <c r="B2095" t="s">
        <v>10622</v>
      </c>
      <c r="C2095">
        <v>14</v>
      </c>
      <c r="D2095" t="str">
        <f>VLOOKUP(Tabela26[[#This Row],[EMP]],[1]LOJA!$A:$B,2,0)</f>
        <v>S IA</v>
      </c>
      <c r="E2095">
        <v>212</v>
      </c>
      <c r="F2095" t="s">
        <v>3403</v>
      </c>
      <c r="G2095" t="s">
        <v>3402</v>
      </c>
      <c r="H2095" t="s">
        <v>3401</v>
      </c>
      <c r="I2095">
        <v>5102</v>
      </c>
      <c r="J2095" s="3">
        <v>90</v>
      </c>
      <c r="K2095" s="3">
        <v>47.43</v>
      </c>
      <c r="L2095">
        <v>47.3</v>
      </c>
    </row>
    <row r="2096" spans="1:12">
      <c r="A2096" s="1">
        <v>46032</v>
      </c>
      <c r="B2096" t="s">
        <v>10621</v>
      </c>
      <c r="C2096">
        <v>14</v>
      </c>
      <c r="D2096" t="str">
        <f>VLOOKUP(Tabela26[[#This Row],[EMP]],[1]LOJA!$A:$B,2,0)</f>
        <v>S IA</v>
      </c>
      <c r="E2096">
        <v>212</v>
      </c>
      <c r="F2096" t="s">
        <v>3403</v>
      </c>
      <c r="G2096" t="s">
        <v>3402</v>
      </c>
      <c r="H2096" t="s">
        <v>3401</v>
      </c>
      <c r="I2096">
        <v>5102</v>
      </c>
      <c r="J2096" s="3">
        <v>74</v>
      </c>
      <c r="K2096" s="3">
        <v>30.34</v>
      </c>
      <c r="L2096">
        <v>59</v>
      </c>
    </row>
    <row r="2097" spans="1:12">
      <c r="A2097" s="1">
        <v>46032</v>
      </c>
      <c r="B2097" t="s">
        <v>10620</v>
      </c>
      <c r="C2097">
        <v>14</v>
      </c>
      <c r="D2097" t="str">
        <f>VLOOKUP(Tabela26[[#This Row],[EMP]],[1]LOJA!$A:$B,2,0)</f>
        <v>S IA</v>
      </c>
      <c r="E2097">
        <v>212</v>
      </c>
      <c r="F2097" t="s">
        <v>3403</v>
      </c>
      <c r="G2097" t="s">
        <v>3402</v>
      </c>
      <c r="H2097" t="s">
        <v>3401</v>
      </c>
      <c r="I2097">
        <v>5405</v>
      </c>
      <c r="J2097" s="3">
        <v>46</v>
      </c>
      <c r="K2097" s="3">
        <v>20.71</v>
      </c>
      <c r="L2097">
        <v>54.98</v>
      </c>
    </row>
    <row r="2098" spans="1:12">
      <c r="A2098" s="1">
        <v>46032</v>
      </c>
      <c r="B2098" t="s">
        <v>10619</v>
      </c>
      <c r="C2098">
        <v>14</v>
      </c>
      <c r="D2098" t="str">
        <f>VLOOKUP(Tabela26[[#This Row],[EMP]],[1]LOJA!$A:$B,2,0)</f>
        <v>S IA</v>
      </c>
      <c r="E2098">
        <v>212</v>
      </c>
      <c r="F2098" t="s">
        <v>3403</v>
      </c>
      <c r="G2098" t="s">
        <v>3402</v>
      </c>
      <c r="H2098" t="s">
        <v>3401</v>
      </c>
      <c r="I2098">
        <v>5102</v>
      </c>
      <c r="J2098" s="3">
        <v>188</v>
      </c>
      <c r="K2098" s="3">
        <v>109.31</v>
      </c>
      <c r="L2098">
        <v>41.86</v>
      </c>
    </row>
    <row r="2099" spans="1:12">
      <c r="A2099" s="1">
        <v>46032</v>
      </c>
      <c r="B2099" t="s">
        <v>10618</v>
      </c>
      <c r="C2099">
        <v>14</v>
      </c>
      <c r="D2099" t="str">
        <f>VLOOKUP(Tabela26[[#This Row],[EMP]],[1]LOJA!$A:$B,2,0)</f>
        <v>S IA</v>
      </c>
      <c r="E2099">
        <v>212</v>
      </c>
      <c r="F2099" t="s">
        <v>3403</v>
      </c>
      <c r="G2099" t="s">
        <v>3402</v>
      </c>
      <c r="H2099" t="s">
        <v>3401</v>
      </c>
      <c r="I2099">
        <v>5102</v>
      </c>
      <c r="J2099" s="3">
        <v>18.899999999999999</v>
      </c>
      <c r="K2099" s="3">
        <v>9.17</v>
      </c>
      <c r="L2099">
        <v>51.48</v>
      </c>
    </row>
    <row r="2100" spans="1:12">
      <c r="A2100" s="1">
        <v>46032</v>
      </c>
      <c r="B2100" t="s">
        <v>10617</v>
      </c>
      <c r="C2100">
        <v>14</v>
      </c>
      <c r="D2100" t="str">
        <f>VLOOKUP(Tabela26[[#This Row],[EMP]],[1]LOJA!$A:$B,2,0)</f>
        <v>S IA</v>
      </c>
      <c r="E2100">
        <v>212</v>
      </c>
      <c r="F2100" t="s">
        <v>3403</v>
      </c>
      <c r="G2100" t="s">
        <v>3402</v>
      </c>
      <c r="H2100" t="s">
        <v>3401</v>
      </c>
      <c r="I2100">
        <v>5102</v>
      </c>
      <c r="J2100" s="3">
        <v>35</v>
      </c>
      <c r="K2100" s="3">
        <v>18.28</v>
      </c>
      <c r="L2100">
        <v>47.77</v>
      </c>
    </row>
    <row r="2101" spans="1:12">
      <c r="A2101" s="1">
        <v>46032</v>
      </c>
      <c r="B2101" t="s">
        <v>10616</v>
      </c>
      <c r="C2101">
        <v>14</v>
      </c>
      <c r="D2101" t="str">
        <f>VLOOKUP(Tabela26[[#This Row],[EMP]],[1]LOJA!$A:$B,2,0)</f>
        <v>S IA</v>
      </c>
      <c r="E2101">
        <v>212</v>
      </c>
      <c r="F2101" t="s">
        <v>3403</v>
      </c>
      <c r="G2101" t="s">
        <v>3402</v>
      </c>
      <c r="H2101" t="s">
        <v>3401</v>
      </c>
      <c r="I2101">
        <v>5405</v>
      </c>
      <c r="J2101" s="3">
        <v>52.9</v>
      </c>
      <c r="K2101" s="3">
        <v>24.03</v>
      </c>
      <c r="L2101">
        <v>54.57</v>
      </c>
    </row>
    <row r="2102" spans="1:12">
      <c r="A2102" s="1">
        <v>46032</v>
      </c>
      <c r="B2102" t="s">
        <v>10615</v>
      </c>
      <c r="C2102">
        <v>14</v>
      </c>
      <c r="D2102" t="str">
        <f>VLOOKUP(Tabela26[[#This Row],[EMP]],[1]LOJA!$A:$B,2,0)</f>
        <v>S IA</v>
      </c>
      <c r="E2102">
        <v>212</v>
      </c>
      <c r="F2102" t="s">
        <v>3403</v>
      </c>
      <c r="G2102" t="s">
        <v>3402</v>
      </c>
      <c r="H2102" t="s">
        <v>3401</v>
      </c>
      <c r="I2102">
        <v>5405</v>
      </c>
      <c r="J2102" s="3">
        <v>26.9</v>
      </c>
      <c r="K2102" s="3">
        <v>13.24</v>
      </c>
      <c r="L2102">
        <v>50.78</v>
      </c>
    </row>
    <row r="2103" spans="1:12">
      <c r="A2103" s="1">
        <v>46032</v>
      </c>
      <c r="B2103" t="s">
        <v>10614</v>
      </c>
      <c r="C2103">
        <v>14</v>
      </c>
      <c r="D2103" t="str">
        <f>VLOOKUP(Tabela26[[#This Row],[EMP]],[1]LOJA!$A:$B,2,0)</f>
        <v>S IA</v>
      </c>
      <c r="E2103">
        <v>212</v>
      </c>
      <c r="F2103" t="s">
        <v>3403</v>
      </c>
      <c r="G2103" t="s">
        <v>3402</v>
      </c>
      <c r="H2103" t="s">
        <v>3401</v>
      </c>
      <c r="I2103">
        <v>5405</v>
      </c>
      <c r="J2103" s="3">
        <v>29</v>
      </c>
      <c r="K2103" s="3">
        <v>8.3000000000000007</v>
      </c>
      <c r="L2103">
        <v>71.38</v>
      </c>
    </row>
    <row r="2104" spans="1:12">
      <c r="A2104" s="1">
        <v>46032</v>
      </c>
      <c r="B2104" t="s">
        <v>10613</v>
      </c>
      <c r="C2104">
        <v>14</v>
      </c>
      <c r="D2104" t="str">
        <f>VLOOKUP(Tabela26[[#This Row],[EMP]],[1]LOJA!$A:$B,2,0)</f>
        <v>S IA</v>
      </c>
      <c r="E2104">
        <v>212</v>
      </c>
      <c r="F2104" t="s">
        <v>3403</v>
      </c>
      <c r="G2104" t="s">
        <v>3402</v>
      </c>
      <c r="H2104" t="s">
        <v>3401</v>
      </c>
      <c r="I2104">
        <v>5102</v>
      </c>
      <c r="J2104" s="3">
        <v>45</v>
      </c>
      <c r="K2104" s="3">
        <v>24.85</v>
      </c>
      <c r="L2104">
        <v>44.78</v>
      </c>
    </row>
    <row r="2105" spans="1:12">
      <c r="A2105" s="1">
        <v>46032</v>
      </c>
      <c r="B2105" t="s">
        <v>10612</v>
      </c>
      <c r="C2105">
        <v>14</v>
      </c>
      <c r="D2105" t="str">
        <f>VLOOKUP(Tabela26[[#This Row],[EMP]],[1]LOJA!$A:$B,2,0)</f>
        <v>S IA</v>
      </c>
      <c r="E2105">
        <v>212</v>
      </c>
      <c r="F2105" t="s">
        <v>3403</v>
      </c>
      <c r="G2105" t="s">
        <v>3402</v>
      </c>
      <c r="H2105" t="s">
        <v>3401</v>
      </c>
      <c r="I2105">
        <v>5405</v>
      </c>
      <c r="J2105" s="3">
        <v>137</v>
      </c>
      <c r="K2105" s="3">
        <v>64.02</v>
      </c>
      <c r="L2105">
        <v>53.27</v>
      </c>
    </row>
    <row r="2106" spans="1:12">
      <c r="A2106" s="1">
        <v>46032</v>
      </c>
      <c r="B2106" t="s">
        <v>10611</v>
      </c>
      <c r="C2106">
        <v>4</v>
      </c>
      <c r="D2106" t="str">
        <f>VLOOKUP(Tabela26[[#This Row],[EMP]],[1]LOJA!$A:$B,2,0)</f>
        <v>ADE</v>
      </c>
      <c r="E2106">
        <v>132</v>
      </c>
      <c r="F2106" t="s">
        <v>5027</v>
      </c>
      <c r="G2106" t="s">
        <v>5026</v>
      </c>
      <c r="H2106" t="s">
        <v>3430</v>
      </c>
      <c r="I2106">
        <v>5405</v>
      </c>
      <c r="J2106" s="3">
        <v>54.62</v>
      </c>
      <c r="K2106" s="3">
        <v>26.28</v>
      </c>
      <c r="L2106">
        <v>51.89</v>
      </c>
    </row>
    <row r="2107" spans="1:12">
      <c r="A2107" s="1">
        <v>46032</v>
      </c>
      <c r="B2107" t="s">
        <v>10610</v>
      </c>
      <c r="C2107">
        <v>4</v>
      </c>
      <c r="D2107" t="str">
        <f>VLOOKUP(Tabela26[[#This Row],[EMP]],[1]LOJA!$A:$B,2,0)</f>
        <v>ADE</v>
      </c>
      <c r="E2107">
        <v>132</v>
      </c>
      <c r="F2107" t="s">
        <v>10279</v>
      </c>
      <c r="G2107" t="s">
        <v>10278</v>
      </c>
      <c r="H2107" t="s">
        <v>3401</v>
      </c>
      <c r="I2107">
        <v>5102</v>
      </c>
      <c r="J2107" s="3">
        <v>109.83</v>
      </c>
      <c r="K2107" s="3">
        <v>46.66</v>
      </c>
      <c r="L2107">
        <v>57.52</v>
      </c>
    </row>
    <row r="2108" spans="1:12">
      <c r="A2108" s="1">
        <v>46032</v>
      </c>
      <c r="B2108" t="s">
        <v>10609</v>
      </c>
      <c r="C2108">
        <v>13</v>
      </c>
      <c r="D2108" t="str">
        <f>VLOOKUP(Tabela26[[#This Row],[EMP]],[1]LOJA!$A:$B,2,0)</f>
        <v>CEILÂNDIA</v>
      </c>
      <c r="E2108">
        <v>86</v>
      </c>
      <c r="F2108" t="s">
        <v>3403</v>
      </c>
      <c r="G2108" t="s">
        <v>3402</v>
      </c>
      <c r="H2108" t="s">
        <v>3401</v>
      </c>
      <c r="I2108">
        <v>5102</v>
      </c>
      <c r="J2108" s="3">
        <v>34</v>
      </c>
      <c r="K2108" s="3">
        <v>18.62</v>
      </c>
      <c r="L2108">
        <v>45.24</v>
      </c>
    </row>
    <row r="2109" spans="1:12">
      <c r="A2109" s="1">
        <v>46032</v>
      </c>
      <c r="B2109" t="s">
        <v>10608</v>
      </c>
      <c r="C2109">
        <v>13</v>
      </c>
      <c r="D2109" t="str">
        <f>VLOOKUP(Tabela26[[#This Row],[EMP]],[1]LOJA!$A:$B,2,0)</f>
        <v>CEILÂNDIA</v>
      </c>
      <c r="E2109">
        <v>86</v>
      </c>
      <c r="F2109" t="s">
        <v>3403</v>
      </c>
      <c r="G2109" t="s">
        <v>3402</v>
      </c>
      <c r="H2109" t="s">
        <v>3408</v>
      </c>
      <c r="I2109">
        <v>5102</v>
      </c>
      <c r="J2109" s="3">
        <v>100.8</v>
      </c>
      <c r="K2109" s="3">
        <v>52.3</v>
      </c>
      <c r="L2109">
        <v>48.12</v>
      </c>
    </row>
    <row r="2110" spans="1:12">
      <c r="A2110" s="1">
        <v>46032</v>
      </c>
      <c r="B2110" t="s">
        <v>10607</v>
      </c>
      <c r="C2110">
        <v>13</v>
      </c>
      <c r="D2110" t="str">
        <f>VLOOKUP(Tabela26[[#This Row],[EMP]],[1]LOJA!$A:$B,2,0)</f>
        <v>CEILÂNDIA</v>
      </c>
      <c r="E2110">
        <v>86</v>
      </c>
      <c r="F2110" t="s">
        <v>6207</v>
      </c>
      <c r="G2110" t="s">
        <v>6206</v>
      </c>
      <c r="H2110" t="s">
        <v>3408</v>
      </c>
      <c r="I2110">
        <v>5405</v>
      </c>
      <c r="J2110" s="3">
        <v>102</v>
      </c>
      <c r="K2110" s="3">
        <v>55.17</v>
      </c>
      <c r="L2110">
        <v>45.91</v>
      </c>
    </row>
    <row r="2111" spans="1:12">
      <c r="A2111" s="1">
        <v>46032</v>
      </c>
      <c r="B2111" t="s">
        <v>10606</v>
      </c>
      <c r="C2111">
        <v>13</v>
      </c>
      <c r="D2111" t="str">
        <f>VLOOKUP(Tabela26[[#This Row],[EMP]],[1]LOJA!$A:$B,2,0)</f>
        <v>CEILÂNDIA</v>
      </c>
      <c r="E2111">
        <v>86</v>
      </c>
      <c r="F2111" t="s">
        <v>8440</v>
      </c>
      <c r="G2111" t="s">
        <v>3402</v>
      </c>
      <c r="H2111" t="s">
        <v>3408</v>
      </c>
      <c r="I2111">
        <v>5102</v>
      </c>
      <c r="J2111" s="3">
        <v>77</v>
      </c>
      <c r="K2111" s="3">
        <v>50.2</v>
      </c>
      <c r="L2111">
        <v>34.81</v>
      </c>
    </row>
    <row r="2112" spans="1:12">
      <c r="A2112" s="1">
        <v>46032</v>
      </c>
      <c r="B2112" t="s">
        <v>10605</v>
      </c>
      <c r="C2112">
        <v>13</v>
      </c>
      <c r="D2112" t="str">
        <f>VLOOKUP(Tabela26[[#This Row],[EMP]],[1]LOJA!$A:$B,2,0)</f>
        <v>CEILÂNDIA</v>
      </c>
      <c r="E2112">
        <v>86</v>
      </c>
      <c r="F2112" t="s">
        <v>3593</v>
      </c>
      <c r="G2112" t="s">
        <v>3402</v>
      </c>
      <c r="H2112" t="s">
        <v>3408</v>
      </c>
      <c r="I2112">
        <v>5405</v>
      </c>
      <c r="J2112" s="3">
        <v>100</v>
      </c>
      <c r="K2112" s="3">
        <v>53.61</v>
      </c>
      <c r="L2112">
        <v>46.39</v>
      </c>
    </row>
    <row r="2113" spans="1:12">
      <c r="A2113" s="1">
        <v>46032</v>
      </c>
      <c r="B2113" t="s">
        <v>10604</v>
      </c>
      <c r="C2113">
        <v>13</v>
      </c>
      <c r="D2113" t="str">
        <f>VLOOKUP(Tabela26[[#This Row],[EMP]],[1]LOJA!$A:$B,2,0)</f>
        <v>CEILÂNDIA</v>
      </c>
      <c r="E2113">
        <v>86</v>
      </c>
      <c r="F2113" t="s">
        <v>10603</v>
      </c>
      <c r="G2113" t="s">
        <v>10602</v>
      </c>
      <c r="H2113" t="s">
        <v>3401</v>
      </c>
      <c r="I2113">
        <v>5405</v>
      </c>
      <c r="J2113" s="3">
        <v>240</v>
      </c>
      <c r="K2113" s="3">
        <v>124.45</v>
      </c>
      <c r="L2113">
        <v>48.15</v>
      </c>
    </row>
    <row r="2114" spans="1:12">
      <c r="A2114" s="1">
        <v>46032</v>
      </c>
      <c r="B2114" t="s">
        <v>10601</v>
      </c>
      <c r="C2114">
        <v>13</v>
      </c>
      <c r="D2114" t="str">
        <f>VLOOKUP(Tabela26[[#This Row],[EMP]],[1]LOJA!$A:$B,2,0)</f>
        <v>CEILÂNDIA</v>
      </c>
      <c r="E2114">
        <v>86</v>
      </c>
      <c r="F2114" t="s">
        <v>3403</v>
      </c>
      <c r="G2114" t="s">
        <v>3402</v>
      </c>
      <c r="H2114" t="s">
        <v>3401</v>
      </c>
      <c r="I2114">
        <v>5102</v>
      </c>
      <c r="J2114" s="3">
        <v>90</v>
      </c>
      <c r="K2114" s="3">
        <v>47.74</v>
      </c>
      <c r="L2114">
        <v>46.96</v>
      </c>
    </row>
    <row r="2115" spans="1:12">
      <c r="A2115" s="1">
        <v>46032</v>
      </c>
      <c r="B2115" t="s">
        <v>10600</v>
      </c>
      <c r="C2115">
        <v>13</v>
      </c>
      <c r="D2115" t="str">
        <f>VLOOKUP(Tabela26[[#This Row],[EMP]],[1]LOJA!$A:$B,2,0)</f>
        <v>CEILÂNDIA</v>
      </c>
      <c r="E2115">
        <v>86</v>
      </c>
      <c r="F2115" t="s">
        <v>3403</v>
      </c>
      <c r="G2115" t="s">
        <v>3402</v>
      </c>
      <c r="H2115" t="s">
        <v>3401</v>
      </c>
      <c r="I2115">
        <v>5405</v>
      </c>
      <c r="J2115" s="3">
        <v>50</v>
      </c>
      <c r="K2115" s="3">
        <v>24.69</v>
      </c>
      <c r="L2115">
        <v>50.62</v>
      </c>
    </row>
    <row r="2116" spans="1:12">
      <c r="A2116" s="1">
        <v>46032</v>
      </c>
      <c r="B2116" t="s">
        <v>10599</v>
      </c>
      <c r="C2116">
        <v>13</v>
      </c>
      <c r="D2116" t="str">
        <f>VLOOKUP(Tabela26[[#This Row],[EMP]],[1]LOJA!$A:$B,2,0)</f>
        <v>CEILÂNDIA</v>
      </c>
      <c r="E2116">
        <v>86</v>
      </c>
      <c r="F2116" t="s">
        <v>6595</v>
      </c>
      <c r="G2116" t="s">
        <v>6594</v>
      </c>
      <c r="H2116" t="s">
        <v>3408</v>
      </c>
      <c r="I2116">
        <v>5102</v>
      </c>
      <c r="J2116" s="3">
        <v>19</v>
      </c>
      <c r="K2116" s="3">
        <v>10.1</v>
      </c>
      <c r="L2116">
        <v>46.84</v>
      </c>
    </row>
    <row r="2117" spans="1:12">
      <c r="A2117" s="1">
        <v>46032</v>
      </c>
      <c r="B2117" t="s">
        <v>10598</v>
      </c>
      <c r="C2117">
        <v>13</v>
      </c>
      <c r="D2117" t="str">
        <f>VLOOKUP(Tabela26[[#This Row],[EMP]],[1]LOJA!$A:$B,2,0)</f>
        <v>CEILÂNDIA</v>
      </c>
      <c r="E2117">
        <v>86</v>
      </c>
      <c r="F2117" t="s">
        <v>3403</v>
      </c>
      <c r="G2117" t="s">
        <v>3402</v>
      </c>
      <c r="H2117" t="s">
        <v>3401</v>
      </c>
      <c r="I2117">
        <v>5102</v>
      </c>
      <c r="J2117" s="3">
        <v>470</v>
      </c>
      <c r="K2117" s="3">
        <v>270.14999999999998</v>
      </c>
      <c r="L2117">
        <v>42.52</v>
      </c>
    </row>
    <row r="2118" spans="1:12">
      <c r="A2118" s="1">
        <v>46032</v>
      </c>
      <c r="B2118" t="s">
        <v>10597</v>
      </c>
      <c r="C2118">
        <v>13</v>
      </c>
      <c r="D2118" t="str">
        <f>VLOOKUP(Tabela26[[#This Row],[EMP]],[1]LOJA!$A:$B,2,0)</f>
        <v>CEILÂNDIA</v>
      </c>
      <c r="E2118">
        <v>86</v>
      </c>
      <c r="F2118" t="s">
        <v>3403</v>
      </c>
      <c r="G2118" t="s">
        <v>3402</v>
      </c>
      <c r="H2118" t="s">
        <v>3401</v>
      </c>
      <c r="I2118">
        <v>5405</v>
      </c>
      <c r="J2118" s="3">
        <v>50</v>
      </c>
      <c r="K2118" s="3">
        <v>24.69</v>
      </c>
      <c r="L2118">
        <v>50.62</v>
      </c>
    </row>
    <row r="2119" spans="1:12">
      <c r="A2119" s="1">
        <v>46032</v>
      </c>
      <c r="B2119" t="s">
        <v>10596</v>
      </c>
      <c r="C2119">
        <v>13</v>
      </c>
      <c r="D2119" t="str">
        <f>VLOOKUP(Tabela26[[#This Row],[EMP]],[1]LOJA!$A:$B,2,0)</f>
        <v>CEILÂNDIA</v>
      </c>
      <c r="E2119">
        <v>86</v>
      </c>
      <c r="F2119" t="s">
        <v>6601</v>
      </c>
      <c r="G2119" t="s">
        <v>3402</v>
      </c>
      <c r="H2119" t="s">
        <v>3401</v>
      </c>
      <c r="I2119">
        <v>5405</v>
      </c>
      <c r="J2119" s="3">
        <v>108</v>
      </c>
      <c r="K2119" s="3">
        <v>56.44</v>
      </c>
      <c r="L2119">
        <v>47.74</v>
      </c>
    </row>
    <row r="2120" spans="1:12">
      <c r="A2120" s="1">
        <v>46032</v>
      </c>
      <c r="B2120" t="s">
        <v>10595</v>
      </c>
      <c r="C2120">
        <v>13</v>
      </c>
      <c r="D2120" t="str">
        <f>VLOOKUP(Tabela26[[#This Row],[EMP]],[1]LOJA!$A:$B,2,0)</f>
        <v>CEILÂNDIA</v>
      </c>
      <c r="E2120">
        <v>86</v>
      </c>
      <c r="F2120" t="s">
        <v>3403</v>
      </c>
      <c r="G2120" t="s">
        <v>10594</v>
      </c>
      <c r="H2120" t="s">
        <v>3401</v>
      </c>
      <c r="I2120">
        <v>5405</v>
      </c>
      <c r="J2120" s="3">
        <v>119.8</v>
      </c>
      <c r="K2120" s="3">
        <v>53.06</v>
      </c>
      <c r="L2120">
        <v>55.71</v>
      </c>
    </row>
    <row r="2121" spans="1:12">
      <c r="A2121" s="1">
        <v>46032</v>
      </c>
      <c r="B2121" t="s">
        <v>10593</v>
      </c>
      <c r="C2121">
        <v>13</v>
      </c>
      <c r="D2121" t="str">
        <f>VLOOKUP(Tabela26[[#This Row],[EMP]],[1]LOJA!$A:$B,2,0)</f>
        <v>CEILÂNDIA</v>
      </c>
      <c r="E2121">
        <v>86</v>
      </c>
      <c r="F2121" t="s">
        <v>3403</v>
      </c>
      <c r="G2121" t="s">
        <v>3402</v>
      </c>
      <c r="H2121" t="s">
        <v>3408</v>
      </c>
      <c r="I2121">
        <v>5405</v>
      </c>
      <c r="J2121" s="3">
        <v>100</v>
      </c>
      <c r="K2121" s="3">
        <v>51.94</v>
      </c>
      <c r="L2121">
        <v>48.06</v>
      </c>
    </row>
    <row r="2122" spans="1:12">
      <c r="A2122" s="1">
        <v>46032</v>
      </c>
      <c r="B2122" t="s">
        <v>10592</v>
      </c>
      <c r="C2122">
        <v>13</v>
      </c>
      <c r="D2122" t="str">
        <f>VLOOKUP(Tabela26[[#This Row],[EMP]],[1]LOJA!$A:$B,2,0)</f>
        <v>CEILÂNDIA</v>
      </c>
      <c r="E2122">
        <v>86</v>
      </c>
      <c r="F2122" t="s">
        <v>3403</v>
      </c>
      <c r="G2122" t="s">
        <v>3402</v>
      </c>
      <c r="H2122" t="s">
        <v>3408</v>
      </c>
      <c r="I2122">
        <v>5405</v>
      </c>
      <c r="J2122" s="3">
        <v>216</v>
      </c>
      <c r="K2122" s="3">
        <v>112.88</v>
      </c>
      <c r="L2122">
        <v>47.74</v>
      </c>
    </row>
    <row r="2123" spans="1:12">
      <c r="A2123" s="1">
        <v>46032</v>
      </c>
      <c r="B2123" t="s">
        <v>10591</v>
      </c>
      <c r="C2123">
        <v>13</v>
      </c>
      <c r="D2123" t="str">
        <f>VLOOKUP(Tabela26[[#This Row],[EMP]],[1]LOJA!$A:$B,2,0)</f>
        <v>CEILÂNDIA</v>
      </c>
      <c r="E2123">
        <v>86</v>
      </c>
      <c r="F2123" t="s">
        <v>3403</v>
      </c>
      <c r="G2123" t="s">
        <v>3402</v>
      </c>
      <c r="H2123" t="s">
        <v>3401</v>
      </c>
      <c r="I2123">
        <v>5102</v>
      </c>
      <c r="J2123" s="3">
        <v>42.9</v>
      </c>
      <c r="K2123" s="3">
        <v>15.36</v>
      </c>
      <c r="L2123">
        <v>64.2</v>
      </c>
    </row>
    <row r="2124" spans="1:12">
      <c r="A2124" s="1">
        <v>46032</v>
      </c>
      <c r="B2124" t="s">
        <v>10590</v>
      </c>
      <c r="C2124">
        <v>13</v>
      </c>
      <c r="D2124" t="str">
        <f>VLOOKUP(Tabela26[[#This Row],[EMP]],[1]LOJA!$A:$B,2,0)</f>
        <v>CEILÂNDIA</v>
      </c>
      <c r="E2124">
        <v>86</v>
      </c>
      <c r="F2124" t="s">
        <v>3403</v>
      </c>
      <c r="G2124" t="s">
        <v>3402</v>
      </c>
      <c r="H2124" t="s">
        <v>3401</v>
      </c>
      <c r="I2124">
        <v>5102</v>
      </c>
      <c r="J2124" s="3">
        <v>74</v>
      </c>
      <c r="K2124" s="3">
        <v>35.159999999999997</v>
      </c>
      <c r="L2124">
        <v>52.49</v>
      </c>
    </row>
    <row r="2125" spans="1:12">
      <c r="A2125" s="1">
        <v>46032</v>
      </c>
      <c r="B2125" t="s">
        <v>10589</v>
      </c>
      <c r="C2125">
        <v>13</v>
      </c>
      <c r="D2125" t="str">
        <f>VLOOKUP(Tabela26[[#This Row],[EMP]],[1]LOJA!$A:$B,2,0)</f>
        <v>CEILÂNDIA</v>
      </c>
      <c r="E2125">
        <v>86</v>
      </c>
      <c r="F2125" t="s">
        <v>3403</v>
      </c>
      <c r="G2125" t="s">
        <v>3402</v>
      </c>
      <c r="H2125" t="s">
        <v>3401</v>
      </c>
      <c r="I2125">
        <v>5102</v>
      </c>
      <c r="J2125" s="3">
        <v>30</v>
      </c>
      <c r="K2125" s="3">
        <v>17.489999999999998</v>
      </c>
      <c r="L2125">
        <v>41.7</v>
      </c>
    </row>
    <row r="2126" spans="1:12">
      <c r="A2126" s="1">
        <v>46032</v>
      </c>
      <c r="B2126" t="s">
        <v>10588</v>
      </c>
      <c r="C2126">
        <v>13</v>
      </c>
      <c r="D2126" t="str">
        <f>VLOOKUP(Tabela26[[#This Row],[EMP]],[1]LOJA!$A:$B,2,0)</f>
        <v>CEILÂNDIA</v>
      </c>
      <c r="E2126">
        <v>86</v>
      </c>
      <c r="F2126" t="s">
        <v>3403</v>
      </c>
      <c r="G2126" t="s">
        <v>3402</v>
      </c>
      <c r="H2126" t="s">
        <v>3401</v>
      </c>
      <c r="I2126">
        <v>5102</v>
      </c>
      <c r="J2126" s="3">
        <v>17</v>
      </c>
      <c r="K2126" s="3">
        <v>8.9</v>
      </c>
      <c r="L2126">
        <v>47.65</v>
      </c>
    </row>
    <row r="2127" spans="1:12">
      <c r="A2127" s="1">
        <v>46032</v>
      </c>
      <c r="B2127" t="s">
        <v>10587</v>
      </c>
      <c r="C2127">
        <v>13</v>
      </c>
      <c r="D2127" t="str">
        <f>VLOOKUP(Tabela26[[#This Row],[EMP]],[1]LOJA!$A:$B,2,0)</f>
        <v>CEILÂNDIA</v>
      </c>
      <c r="E2127">
        <v>86</v>
      </c>
      <c r="F2127" t="s">
        <v>4342</v>
      </c>
      <c r="G2127" t="s">
        <v>4341</v>
      </c>
      <c r="H2127" t="s">
        <v>3401</v>
      </c>
      <c r="I2127">
        <v>5102</v>
      </c>
      <c r="J2127" s="3">
        <v>59</v>
      </c>
      <c r="K2127" s="3">
        <v>38.340000000000003</v>
      </c>
      <c r="L2127">
        <v>35.020000000000003</v>
      </c>
    </row>
    <row r="2128" spans="1:12">
      <c r="A2128" s="1">
        <v>46032</v>
      </c>
      <c r="B2128" t="s">
        <v>10586</v>
      </c>
      <c r="C2128">
        <v>6</v>
      </c>
      <c r="D2128" t="str">
        <f>VLOOKUP(Tabela26[[#This Row],[EMP]],[1]LOJA!$A:$B,2,0)</f>
        <v>GAMA</v>
      </c>
      <c r="E2128">
        <v>226</v>
      </c>
      <c r="F2128" t="s">
        <v>3403</v>
      </c>
      <c r="G2128" t="s">
        <v>3402</v>
      </c>
      <c r="H2128" t="s">
        <v>3401</v>
      </c>
      <c r="I2128">
        <v>5102</v>
      </c>
      <c r="J2128" s="3">
        <v>49</v>
      </c>
      <c r="K2128" s="3">
        <v>26.18</v>
      </c>
      <c r="L2128">
        <v>46.57</v>
      </c>
    </row>
    <row r="2129" spans="1:12">
      <c r="A2129" s="1">
        <v>46032</v>
      </c>
      <c r="B2129" t="s">
        <v>10585</v>
      </c>
      <c r="C2129">
        <v>6</v>
      </c>
      <c r="D2129" t="str">
        <f>VLOOKUP(Tabela26[[#This Row],[EMP]],[1]LOJA!$A:$B,2,0)</f>
        <v>GAMA</v>
      </c>
      <c r="E2129">
        <v>226</v>
      </c>
      <c r="F2129" t="s">
        <v>4204</v>
      </c>
      <c r="G2129" t="s">
        <v>4203</v>
      </c>
      <c r="H2129" t="s">
        <v>3401</v>
      </c>
      <c r="I2129">
        <v>6108</v>
      </c>
      <c r="J2129" s="3">
        <v>134</v>
      </c>
      <c r="K2129" s="3">
        <v>81.540000000000006</v>
      </c>
      <c r="L2129">
        <v>39.15</v>
      </c>
    </row>
    <row r="2130" spans="1:12">
      <c r="A2130" s="1">
        <v>46032</v>
      </c>
      <c r="B2130" t="s">
        <v>10584</v>
      </c>
      <c r="C2130">
        <v>6</v>
      </c>
      <c r="D2130" t="str">
        <f>VLOOKUP(Tabela26[[#This Row],[EMP]],[1]LOJA!$A:$B,2,0)</f>
        <v>GAMA</v>
      </c>
      <c r="E2130">
        <v>226</v>
      </c>
      <c r="F2130" t="s">
        <v>3403</v>
      </c>
      <c r="G2130" t="s">
        <v>3402</v>
      </c>
      <c r="H2130" t="s">
        <v>3401</v>
      </c>
      <c r="I2130">
        <v>5102</v>
      </c>
      <c r="J2130" s="3">
        <v>49</v>
      </c>
      <c r="K2130" s="3">
        <v>23.36</v>
      </c>
      <c r="L2130">
        <v>52.33</v>
      </c>
    </row>
    <row r="2131" spans="1:12">
      <c r="A2131" s="1">
        <v>46032</v>
      </c>
      <c r="B2131" t="s">
        <v>10583</v>
      </c>
      <c r="C2131">
        <v>6</v>
      </c>
      <c r="D2131" t="str">
        <f>VLOOKUP(Tabela26[[#This Row],[EMP]],[1]LOJA!$A:$B,2,0)</f>
        <v>GAMA</v>
      </c>
      <c r="E2131">
        <v>226</v>
      </c>
      <c r="F2131" t="s">
        <v>3403</v>
      </c>
      <c r="G2131" t="s">
        <v>3402</v>
      </c>
      <c r="H2131" t="s">
        <v>3401</v>
      </c>
      <c r="I2131">
        <v>5405</v>
      </c>
      <c r="J2131" s="3">
        <v>150</v>
      </c>
      <c r="K2131" s="3">
        <v>74.489999999999995</v>
      </c>
      <c r="L2131">
        <v>50.34</v>
      </c>
    </row>
    <row r="2132" spans="1:12">
      <c r="A2132" s="1">
        <v>46032</v>
      </c>
      <c r="B2132" t="s">
        <v>10582</v>
      </c>
      <c r="C2132">
        <v>6</v>
      </c>
      <c r="D2132" t="str">
        <f>VLOOKUP(Tabela26[[#This Row],[EMP]],[1]LOJA!$A:$B,2,0)</f>
        <v>GAMA</v>
      </c>
      <c r="E2132">
        <v>226</v>
      </c>
      <c r="F2132" t="s">
        <v>4304</v>
      </c>
      <c r="G2132" t="s">
        <v>4303</v>
      </c>
      <c r="H2132" t="s">
        <v>3401</v>
      </c>
      <c r="I2132">
        <v>5405</v>
      </c>
      <c r="J2132" s="3">
        <v>111.46</v>
      </c>
      <c r="K2132" s="3">
        <v>55.07</v>
      </c>
      <c r="L2132">
        <v>50.59</v>
      </c>
    </row>
    <row r="2133" spans="1:12">
      <c r="A2133" s="1">
        <v>46034</v>
      </c>
      <c r="B2133" t="s">
        <v>10581</v>
      </c>
      <c r="C2133">
        <v>24</v>
      </c>
      <c r="D2133" t="str">
        <f>VLOOKUP(Tabela26[[#This Row],[EMP]],[1]LOJA!$A:$B,2,0)</f>
        <v>LUZIÂNIA</v>
      </c>
      <c r="E2133">
        <v>150</v>
      </c>
      <c r="F2133" t="s">
        <v>4282</v>
      </c>
      <c r="G2133" t="s">
        <v>4281</v>
      </c>
      <c r="H2133" t="s">
        <v>3430</v>
      </c>
      <c r="I2133">
        <v>5405</v>
      </c>
      <c r="J2133" s="3">
        <v>381.99</v>
      </c>
      <c r="K2133" s="3">
        <v>211.81</v>
      </c>
      <c r="L2133">
        <v>44.55</v>
      </c>
    </row>
    <row r="2134" spans="1:12">
      <c r="A2134" s="1">
        <v>46034</v>
      </c>
      <c r="B2134" t="s">
        <v>10580</v>
      </c>
      <c r="C2134">
        <v>24</v>
      </c>
      <c r="D2134" t="str">
        <f>VLOOKUP(Tabela26[[#This Row],[EMP]],[1]LOJA!$A:$B,2,0)</f>
        <v>LUZIÂNIA</v>
      </c>
      <c r="E2134">
        <v>150</v>
      </c>
      <c r="F2134" t="s">
        <v>4282</v>
      </c>
      <c r="G2134" t="s">
        <v>4281</v>
      </c>
      <c r="H2134" t="s">
        <v>3430</v>
      </c>
      <c r="I2134">
        <v>5405</v>
      </c>
      <c r="J2134" s="3">
        <v>52.58</v>
      </c>
      <c r="K2134" s="3">
        <v>23.26</v>
      </c>
      <c r="L2134">
        <v>55.76</v>
      </c>
    </row>
    <row r="2135" spans="1:12">
      <c r="A2135" s="1">
        <v>46034</v>
      </c>
      <c r="B2135" t="s">
        <v>10579</v>
      </c>
      <c r="C2135">
        <v>24</v>
      </c>
      <c r="D2135" t="str">
        <f>VLOOKUP(Tabela26[[#This Row],[EMP]],[1]LOJA!$A:$B,2,0)</f>
        <v>LUZIÂNIA</v>
      </c>
      <c r="E2135">
        <v>242</v>
      </c>
      <c r="F2135" t="s">
        <v>3552</v>
      </c>
      <c r="G2135" t="s">
        <v>3551</v>
      </c>
      <c r="H2135" t="s">
        <v>3401</v>
      </c>
      <c r="I2135">
        <v>6403</v>
      </c>
      <c r="J2135" s="3">
        <v>1152.8</v>
      </c>
      <c r="K2135" s="3">
        <v>742.68</v>
      </c>
      <c r="L2135">
        <v>35.58</v>
      </c>
    </row>
    <row r="2136" spans="1:12">
      <c r="A2136" s="1">
        <v>46034</v>
      </c>
      <c r="B2136" t="s">
        <v>10578</v>
      </c>
      <c r="C2136">
        <v>24</v>
      </c>
      <c r="D2136" t="str">
        <f>VLOOKUP(Tabela26[[#This Row],[EMP]],[1]LOJA!$A:$B,2,0)</f>
        <v>LUZIÂNIA</v>
      </c>
      <c r="E2136">
        <v>150</v>
      </c>
      <c r="F2136" t="s">
        <v>4282</v>
      </c>
      <c r="G2136" t="s">
        <v>4281</v>
      </c>
      <c r="H2136" t="s">
        <v>3430</v>
      </c>
      <c r="I2136">
        <v>5405</v>
      </c>
      <c r="J2136" s="3">
        <v>1784.93</v>
      </c>
      <c r="K2136" s="3">
        <v>1023.04</v>
      </c>
      <c r="L2136">
        <v>42.68</v>
      </c>
    </row>
    <row r="2137" spans="1:12">
      <c r="A2137" s="1">
        <v>46034</v>
      </c>
      <c r="B2137" t="s">
        <v>10577</v>
      </c>
      <c r="C2137">
        <v>24</v>
      </c>
      <c r="D2137" t="str">
        <f>VLOOKUP(Tabela26[[#This Row],[EMP]],[1]LOJA!$A:$B,2,0)</f>
        <v>LUZIÂNIA</v>
      </c>
      <c r="E2137">
        <v>192</v>
      </c>
      <c r="F2137" t="s">
        <v>10576</v>
      </c>
      <c r="G2137" t="s">
        <v>10575</v>
      </c>
      <c r="H2137" t="s">
        <v>3430</v>
      </c>
      <c r="I2137">
        <v>5102</v>
      </c>
      <c r="J2137" s="3">
        <v>103.39</v>
      </c>
      <c r="K2137" s="3">
        <v>64.09</v>
      </c>
      <c r="L2137">
        <v>38.01</v>
      </c>
    </row>
    <row r="2138" spans="1:12">
      <c r="A2138" s="1">
        <v>46034</v>
      </c>
      <c r="B2138" t="s">
        <v>10574</v>
      </c>
      <c r="C2138">
        <v>24</v>
      </c>
      <c r="D2138" t="str">
        <f>VLOOKUP(Tabela26[[#This Row],[EMP]],[1]LOJA!$A:$B,2,0)</f>
        <v>LUZIÂNIA</v>
      </c>
      <c r="E2138">
        <v>192</v>
      </c>
      <c r="F2138" t="s">
        <v>4943</v>
      </c>
      <c r="G2138" t="s">
        <v>4942</v>
      </c>
      <c r="H2138" t="s">
        <v>4297</v>
      </c>
      <c r="I2138">
        <v>5102</v>
      </c>
      <c r="J2138" s="3">
        <v>2890</v>
      </c>
      <c r="K2138" s="3">
        <v>1874.5</v>
      </c>
      <c r="L2138">
        <v>35.14</v>
      </c>
    </row>
    <row r="2139" spans="1:12">
      <c r="A2139" s="1">
        <v>46034</v>
      </c>
      <c r="B2139" t="s">
        <v>10573</v>
      </c>
      <c r="C2139">
        <v>24</v>
      </c>
      <c r="D2139" t="str">
        <f>VLOOKUP(Tabela26[[#This Row],[EMP]],[1]LOJA!$A:$B,2,0)</f>
        <v>LUZIÂNIA</v>
      </c>
      <c r="E2139">
        <v>192</v>
      </c>
      <c r="F2139" t="s">
        <v>4286</v>
      </c>
      <c r="G2139" t="s">
        <v>4285</v>
      </c>
      <c r="H2139" t="s">
        <v>3430</v>
      </c>
      <c r="I2139">
        <v>5102</v>
      </c>
      <c r="J2139" s="3">
        <v>136</v>
      </c>
      <c r="K2139" s="3">
        <v>77.849999999999994</v>
      </c>
      <c r="L2139">
        <v>42.76</v>
      </c>
    </row>
    <row r="2140" spans="1:12">
      <c r="A2140" s="1">
        <v>46034</v>
      </c>
      <c r="B2140" t="s">
        <v>10572</v>
      </c>
      <c r="C2140">
        <v>24</v>
      </c>
      <c r="D2140" t="str">
        <f>VLOOKUP(Tabela26[[#This Row],[EMP]],[1]LOJA!$A:$B,2,0)</f>
        <v>LUZIÂNIA</v>
      </c>
      <c r="E2140">
        <v>192</v>
      </c>
      <c r="F2140" t="s">
        <v>5422</v>
      </c>
      <c r="G2140" t="s">
        <v>5421</v>
      </c>
      <c r="H2140" t="s">
        <v>3430</v>
      </c>
      <c r="I2140">
        <v>5102</v>
      </c>
      <c r="J2140" s="3">
        <v>920</v>
      </c>
      <c r="K2140" s="3">
        <v>477.55</v>
      </c>
      <c r="L2140">
        <v>48.09</v>
      </c>
    </row>
    <row r="2141" spans="1:12">
      <c r="A2141" s="1">
        <v>46034</v>
      </c>
      <c r="B2141" t="s">
        <v>10571</v>
      </c>
      <c r="C2141">
        <v>24</v>
      </c>
      <c r="D2141" t="str">
        <f>VLOOKUP(Tabela26[[#This Row],[EMP]],[1]LOJA!$A:$B,2,0)</f>
        <v>LUZIÂNIA</v>
      </c>
      <c r="E2141">
        <v>150</v>
      </c>
      <c r="F2141" t="s">
        <v>5987</v>
      </c>
      <c r="G2141" t="s">
        <v>5986</v>
      </c>
      <c r="H2141" t="s">
        <v>3533</v>
      </c>
      <c r="I2141">
        <v>5405</v>
      </c>
      <c r="J2141" s="3">
        <v>506.17</v>
      </c>
      <c r="K2141" s="3">
        <v>265.54000000000002</v>
      </c>
      <c r="L2141">
        <v>47.54</v>
      </c>
    </row>
    <row r="2142" spans="1:12">
      <c r="A2142" s="1">
        <v>46034</v>
      </c>
      <c r="B2142" t="s">
        <v>10570</v>
      </c>
      <c r="C2142">
        <v>24</v>
      </c>
      <c r="D2142" t="str">
        <f>VLOOKUP(Tabela26[[#This Row],[EMP]],[1]LOJA!$A:$B,2,0)</f>
        <v>LUZIÂNIA</v>
      </c>
      <c r="E2142">
        <v>192</v>
      </c>
      <c r="F2142" t="s">
        <v>4270</v>
      </c>
      <c r="G2142" t="s">
        <v>4269</v>
      </c>
      <c r="H2142" t="s">
        <v>3430</v>
      </c>
      <c r="I2142">
        <v>5405</v>
      </c>
      <c r="J2142" s="3">
        <v>244</v>
      </c>
      <c r="K2142" s="3">
        <v>106.08</v>
      </c>
      <c r="L2142">
        <v>56.52</v>
      </c>
    </row>
    <row r="2143" spans="1:12">
      <c r="A2143" s="1">
        <v>46034</v>
      </c>
      <c r="B2143" t="s">
        <v>10569</v>
      </c>
      <c r="C2143">
        <v>24</v>
      </c>
      <c r="D2143" t="str">
        <f>VLOOKUP(Tabela26[[#This Row],[EMP]],[1]LOJA!$A:$B,2,0)</f>
        <v>LUZIÂNIA</v>
      </c>
      <c r="E2143">
        <v>150</v>
      </c>
      <c r="F2143" t="s">
        <v>9372</v>
      </c>
      <c r="G2143" t="s">
        <v>9371</v>
      </c>
      <c r="H2143" t="s">
        <v>3430</v>
      </c>
      <c r="I2143">
        <v>5102</v>
      </c>
      <c r="J2143" s="3">
        <v>44.49</v>
      </c>
      <c r="K2143" s="3">
        <v>22.78</v>
      </c>
      <c r="L2143">
        <v>48.8</v>
      </c>
    </row>
    <row r="2144" spans="1:12">
      <c r="A2144" s="1">
        <v>46034</v>
      </c>
      <c r="B2144" t="s">
        <v>10568</v>
      </c>
      <c r="C2144">
        <v>24</v>
      </c>
      <c r="D2144" t="str">
        <f>VLOOKUP(Tabela26[[#This Row],[EMP]],[1]LOJA!$A:$B,2,0)</f>
        <v>LUZIÂNIA</v>
      </c>
      <c r="E2144">
        <v>150</v>
      </c>
      <c r="F2144" t="s">
        <v>4182</v>
      </c>
      <c r="G2144" t="s">
        <v>4181</v>
      </c>
      <c r="H2144" t="s">
        <v>3430</v>
      </c>
      <c r="I2144">
        <v>5102</v>
      </c>
      <c r="J2144" s="3">
        <v>40</v>
      </c>
      <c r="K2144" s="3">
        <v>22.27</v>
      </c>
      <c r="L2144">
        <v>44.33</v>
      </c>
    </row>
    <row r="2145" spans="1:12">
      <c r="A2145" s="1">
        <v>46034</v>
      </c>
      <c r="B2145" t="s">
        <v>10567</v>
      </c>
      <c r="C2145">
        <v>24</v>
      </c>
      <c r="D2145" t="str">
        <f>VLOOKUP(Tabela26[[#This Row],[EMP]],[1]LOJA!$A:$B,2,0)</f>
        <v>LUZIÂNIA</v>
      </c>
      <c r="E2145">
        <v>150</v>
      </c>
      <c r="F2145" t="s">
        <v>5987</v>
      </c>
      <c r="G2145" t="s">
        <v>5986</v>
      </c>
      <c r="H2145" t="s">
        <v>3533</v>
      </c>
      <c r="I2145">
        <v>5405</v>
      </c>
      <c r="J2145" s="3">
        <v>189.92</v>
      </c>
      <c r="K2145" s="3">
        <v>96.4</v>
      </c>
      <c r="L2145">
        <v>49.24</v>
      </c>
    </row>
    <row r="2146" spans="1:12">
      <c r="A2146" s="1">
        <v>46034</v>
      </c>
      <c r="B2146" t="s">
        <v>10566</v>
      </c>
      <c r="C2146">
        <v>24</v>
      </c>
      <c r="D2146" t="str">
        <f>VLOOKUP(Tabela26[[#This Row],[EMP]],[1]LOJA!$A:$B,2,0)</f>
        <v>LUZIÂNIA</v>
      </c>
      <c r="E2146">
        <v>150</v>
      </c>
      <c r="F2146" t="s">
        <v>4273</v>
      </c>
      <c r="G2146" t="s">
        <v>4272</v>
      </c>
      <c r="H2146" t="s">
        <v>3520</v>
      </c>
      <c r="I2146">
        <v>5102</v>
      </c>
      <c r="J2146" s="3">
        <v>264.3</v>
      </c>
      <c r="K2146" s="3">
        <v>156.4</v>
      </c>
      <c r="L2146">
        <v>40.82</v>
      </c>
    </row>
    <row r="2147" spans="1:12">
      <c r="A2147" s="1">
        <v>46034</v>
      </c>
      <c r="B2147" t="s">
        <v>10565</v>
      </c>
      <c r="C2147">
        <v>24</v>
      </c>
      <c r="D2147" t="str">
        <f>VLOOKUP(Tabela26[[#This Row],[EMP]],[1]LOJA!$A:$B,2,0)</f>
        <v>LUZIÂNIA</v>
      </c>
      <c r="E2147">
        <v>150</v>
      </c>
      <c r="F2147" t="s">
        <v>4276</v>
      </c>
      <c r="G2147" t="s">
        <v>4275</v>
      </c>
      <c r="H2147" t="s">
        <v>3520</v>
      </c>
      <c r="I2147">
        <v>5102</v>
      </c>
      <c r="J2147" s="3">
        <v>59.8</v>
      </c>
      <c r="K2147" s="3">
        <v>22.48</v>
      </c>
      <c r="L2147">
        <v>62.41</v>
      </c>
    </row>
    <row r="2148" spans="1:12">
      <c r="A2148" s="1">
        <v>46034</v>
      </c>
      <c r="B2148" t="s">
        <v>10564</v>
      </c>
      <c r="C2148">
        <v>22</v>
      </c>
      <c r="D2148" t="str">
        <f>VLOOKUP(Tabela26[[#This Row],[EMP]],[1]LOJA!$A:$B,2,0)</f>
        <v>GUARÁ</v>
      </c>
      <c r="E2148">
        <v>93</v>
      </c>
      <c r="F2148" t="s">
        <v>4251</v>
      </c>
      <c r="G2148" t="s">
        <v>4250</v>
      </c>
      <c r="H2148" t="s">
        <v>3430</v>
      </c>
      <c r="I2148">
        <v>5102</v>
      </c>
      <c r="J2148" s="3">
        <v>198.97</v>
      </c>
      <c r="K2148" s="3">
        <v>113.97</v>
      </c>
      <c r="L2148">
        <v>42.72</v>
      </c>
    </row>
    <row r="2149" spans="1:12">
      <c r="A2149" s="1">
        <v>46034</v>
      </c>
      <c r="B2149" t="s">
        <v>10563</v>
      </c>
      <c r="C2149">
        <v>22</v>
      </c>
      <c r="D2149" t="str">
        <f>VLOOKUP(Tabela26[[#This Row],[EMP]],[1]LOJA!$A:$B,2,0)</f>
        <v>GUARÁ</v>
      </c>
      <c r="E2149">
        <v>93</v>
      </c>
      <c r="F2149" t="s">
        <v>7460</v>
      </c>
      <c r="G2149" t="s">
        <v>7459</v>
      </c>
      <c r="H2149" t="s">
        <v>3408</v>
      </c>
      <c r="I2149">
        <v>5405</v>
      </c>
      <c r="J2149" s="3">
        <v>45</v>
      </c>
      <c r="K2149" s="3">
        <v>23.06</v>
      </c>
      <c r="L2149">
        <v>48.76</v>
      </c>
    </row>
    <row r="2150" spans="1:12">
      <c r="A2150" s="1">
        <v>46034</v>
      </c>
      <c r="B2150" t="s">
        <v>10562</v>
      </c>
      <c r="C2150">
        <v>22</v>
      </c>
      <c r="D2150" t="str">
        <f>VLOOKUP(Tabela26[[#This Row],[EMP]],[1]LOJA!$A:$B,2,0)</f>
        <v>GUARÁ</v>
      </c>
      <c r="E2150">
        <v>16</v>
      </c>
      <c r="F2150" t="s">
        <v>5978</v>
      </c>
      <c r="G2150" t="s">
        <v>5977</v>
      </c>
      <c r="H2150" t="s">
        <v>3408</v>
      </c>
      <c r="I2150">
        <v>5102</v>
      </c>
      <c r="J2150" s="3">
        <v>156.13</v>
      </c>
      <c r="K2150" s="3">
        <v>89.04</v>
      </c>
      <c r="L2150">
        <v>42.97</v>
      </c>
    </row>
    <row r="2151" spans="1:12">
      <c r="A2151" s="1">
        <v>46034</v>
      </c>
      <c r="B2151" t="s">
        <v>10561</v>
      </c>
      <c r="C2151">
        <v>22</v>
      </c>
      <c r="D2151" t="str">
        <f>VLOOKUP(Tabela26[[#This Row],[EMP]],[1]LOJA!$A:$B,2,0)</f>
        <v>GUARÁ</v>
      </c>
      <c r="E2151">
        <v>93</v>
      </c>
      <c r="F2151" t="s">
        <v>4246</v>
      </c>
      <c r="G2151" t="s">
        <v>4245</v>
      </c>
      <c r="H2151" t="s">
        <v>3430</v>
      </c>
      <c r="I2151">
        <v>5102</v>
      </c>
      <c r="J2151" s="3">
        <v>526.28</v>
      </c>
      <c r="K2151" s="3">
        <v>293.68</v>
      </c>
      <c r="L2151">
        <v>44.2</v>
      </c>
    </row>
    <row r="2152" spans="1:12">
      <c r="A2152" s="1">
        <v>46034</v>
      </c>
      <c r="B2152" t="s">
        <v>10560</v>
      </c>
      <c r="C2152">
        <v>22</v>
      </c>
      <c r="D2152" t="str">
        <f>VLOOKUP(Tabela26[[#This Row],[EMP]],[1]LOJA!$A:$B,2,0)</f>
        <v>GUARÁ</v>
      </c>
      <c r="E2152">
        <v>93</v>
      </c>
      <c r="F2152" t="s">
        <v>3535</v>
      </c>
      <c r="G2152" t="s">
        <v>3534</v>
      </c>
      <c r="H2152" t="s">
        <v>3426</v>
      </c>
      <c r="I2152">
        <v>5405</v>
      </c>
      <c r="J2152" s="3">
        <v>3663.92</v>
      </c>
      <c r="K2152" s="3">
        <v>2005.23</v>
      </c>
      <c r="L2152">
        <v>45.27</v>
      </c>
    </row>
    <row r="2153" spans="1:12">
      <c r="A2153" s="1">
        <v>46034</v>
      </c>
      <c r="B2153" t="s">
        <v>10559</v>
      </c>
      <c r="C2153">
        <v>24</v>
      </c>
      <c r="D2153" t="str">
        <f>VLOOKUP(Tabela26[[#This Row],[EMP]],[1]LOJA!$A:$B,2,0)</f>
        <v>LUZIÂNIA</v>
      </c>
      <c r="E2153">
        <v>150</v>
      </c>
      <c r="F2153" t="s">
        <v>4176</v>
      </c>
      <c r="G2153" t="s">
        <v>4175</v>
      </c>
      <c r="H2153" t="s">
        <v>3408</v>
      </c>
      <c r="I2153">
        <v>5405</v>
      </c>
      <c r="J2153" s="3">
        <v>720.95</v>
      </c>
      <c r="K2153" s="3">
        <v>427.27</v>
      </c>
      <c r="L2153">
        <v>40.74</v>
      </c>
    </row>
    <row r="2154" spans="1:12">
      <c r="A2154" s="1">
        <v>46034</v>
      </c>
      <c r="B2154" t="s">
        <v>10558</v>
      </c>
      <c r="C2154">
        <v>24</v>
      </c>
      <c r="D2154" t="str">
        <f>VLOOKUP(Tabela26[[#This Row],[EMP]],[1]LOJA!$A:$B,2,0)</f>
        <v>LUZIÂNIA</v>
      </c>
      <c r="E2154">
        <v>150</v>
      </c>
      <c r="F2154" t="s">
        <v>4898</v>
      </c>
      <c r="G2154" t="s">
        <v>4897</v>
      </c>
      <c r="H2154" t="s">
        <v>3408</v>
      </c>
      <c r="I2154">
        <v>5405</v>
      </c>
      <c r="J2154" s="3">
        <v>60</v>
      </c>
      <c r="K2154" s="3">
        <v>27.44</v>
      </c>
      <c r="L2154">
        <v>54.27</v>
      </c>
    </row>
    <row r="2155" spans="1:12">
      <c r="A2155" s="1">
        <v>46034</v>
      </c>
      <c r="B2155" t="s">
        <v>10557</v>
      </c>
      <c r="C2155">
        <v>24</v>
      </c>
      <c r="D2155" t="str">
        <f>VLOOKUP(Tabela26[[#This Row],[EMP]],[1]LOJA!$A:$B,2,0)</f>
        <v>LUZIÂNIA</v>
      </c>
      <c r="E2155">
        <v>150</v>
      </c>
      <c r="F2155" t="s">
        <v>3524</v>
      </c>
      <c r="G2155" t="s">
        <v>3402</v>
      </c>
      <c r="H2155" t="s">
        <v>3401</v>
      </c>
      <c r="I2155">
        <v>5102</v>
      </c>
      <c r="J2155" s="3">
        <v>180</v>
      </c>
      <c r="K2155" s="3">
        <v>90.11</v>
      </c>
      <c r="L2155">
        <v>49.94</v>
      </c>
    </row>
    <row r="2156" spans="1:12">
      <c r="A2156" s="1">
        <v>46034</v>
      </c>
      <c r="B2156" t="s">
        <v>10556</v>
      </c>
      <c r="C2156">
        <v>24</v>
      </c>
      <c r="D2156" t="str">
        <f>VLOOKUP(Tabela26[[#This Row],[EMP]],[1]LOJA!$A:$B,2,0)</f>
        <v>LUZIÂNIA</v>
      </c>
      <c r="E2156">
        <v>150</v>
      </c>
      <c r="F2156" t="s">
        <v>3524</v>
      </c>
      <c r="G2156" t="s">
        <v>3402</v>
      </c>
      <c r="H2156" t="s">
        <v>3401</v>
      </c>
      <c r="I2156">
        <v>5405</v>
      </c>
      <c r="J2156" s="3">
        <v>168</v>
      </c>
      <c r="K2156" s="3">
        <v>63.19</v>
      </c>
      <c r="L2156">
        <v>62.39</v>
      </c>
    </row>
    <row r="2157" spans="1:12">
      <c r="A2157" s="1">
        <v>46034</v>
      </c>
      <c r="B2157" t="s">
        <v>10555</v>
      </c>
      <c r="C2157">
        <v>24</v>
      </c>
      <c r="D2157" t="str">
        <f>VLOOKUP(Tabela26[[#This Row],[EMP]],[1]LOJA!$A:$B,2,0)</f>
        <v>LUZIÂNIA</v>
      </c>
      <c r="E2157">
        <v>150</v>
      </c>
      <c r="F2157" t="s">
        <v>3524</v>
      </c>
      <c r="G2157" t="s">
        <v>3402</v>
      </c>
      <c r="H2157" t="s">
        <v>3401</v>
      </c>
      <c r="I2157">
        <v>5102</v>
      </c>
      <c r="J2157" s="3">
        <v>70</v>
      </c>
      <c r="K2157" s="3">
        <v>35.79</v>
      </c>
      <c r="L2157">
        <v>48.87</v>
      </c>
    </row>
    <row r="2158" spans="1:12">
      <c r="A2158" s="1">
        <v>46034</v>
      </c>
      <c r="B2158" t="s">
        <v>10554</v>
      </c>
      <c r="C2158">
        <v>24</v>
      </c>
      <c r="D2158" t="str">
        <f>VLOOKUP(Tabela26[[#This Row],[EMP]],[1]LOJA!$A:$B,2,0)</f>
        <v>LUZIÂNIA</v>
      </c>
      <c r="E2158">
        <v>192</v>
      </c>
      <c r="F2158" t="s">
        <v>7868</v>
      </c>
      <c r="G2158" t="s">
        <v>7867</v>
      </c>
      <c r="H2158" t="s">
        <v>3401</v>
      </c>
      <c r="I2158">
        <v>5102</v>
      </c>
      <c r="J2158" s="3">
        <v>487.95</v>
      </c>
      <c r="K2158" s="3">
        <v>297.56</v>
      </c>
      <c r="L2158">
        <v>39.020000000000003</v>
      </c>
    </row>
    <row r="2159" spans="1:12">
      <c r="A2159" s="1">
        <v>46034</v>
      </c>
      <c r="B2159" t="s">
        <v>10553</v>
      </c>
      <c r="C2159">
        <v>24</v>
      </c>
      <c r="D2159" t="str">
        <f>VLOOKUP(Tabela26[[#This Row],[EMP]],[1]LOJA!$A:$B,2,0)</f>
        <v>LUZIÂNIA</v>
      </c>
      <c r="E2159">
        <v>192</v>
      </c>
      <c r="F2159" t="s">
        <v>7868</v>
      </c>
      <c r="G2159" t="s">
        <v>7867</v>
      </c>
      <c r="H2159" t="s">
        <v>3401</v>
      </c>
      <c r="I2159">
        <v>5102</v>
      </c>
      <c r="J2159" s="3">
        <v>203</v>
      </c>
      <c r="K2159" s="3">
        <v>110.99</v>
      </c>
      <c r="L2159">
        <v>45.33</v>
      </c>
    </row>
    <row r="2160" spans="1:12">
      <c r="A2160" s="1">
        <v>46034</v>
      </c>
      <c r="B2160" t="s">
        <v>10552</v>
      </c>
      <c r="C2160">
        <v>24</v>
      </c>
      <c r="D2160" t="str">
        <f>VLOOKUP(Tabela26[[#This Row],[EMP]],[1]LOJA!$A:$B,2,0)</f>
        <v>LUZIÂNIA</v>
      </c>
      <c r="E2160">
        <v>192</v>
      </c>
      <c r="F2160" t="s">
        <v>4169</v>
      </c>
      <c r="G2160" t="s">
        <v>4168</v>
      </c>
      <c r="H2160" t="s">
        <v>3401</v>
      </c>
      <c r="I2160">
        <v>5405</v>
      </c>
      <c r="J2160" s="3">
        <v>239</v>
      </c>
      <c r="K2160" s="3">
        <v>129.87</v>
      </c>
      <c r="L2160">
        <v>45.66</v>
      </c>
    </row>
    <row r="2161" spans="1:12">
      <c r="A2161" s="1">
        <v>46034</v>
      </c>
      <c r="B2161" t="s">
        <v>10551</v>
      </c>
      <c r="C2161">
        <v>24</v>
      </c>
      <c r="D2161" t="str">
        <f>VLOOKUP(Tabela26[[#This Row],[EMP]],[1]LOJA!$A:$B,2,0)</f>
        <v>LUZIÂNIA</v>
      </c>
      <c r="E2161">
        <v>192</v>
      </c>
      <c r="F2161" t="s">
        <v>3524</v>
      </c>
      <c r="G2161" t="s">
        <v>3402</v>
      </c>
      <c r="H2161" t="s">
        <v>3401</v>
      </c>
      <c r="I2161">
        <v>5102</v>
      </c>
      <c r="J2161" s="3">
        <v>40</v>
      </c>
      <c r="K2161" s="3">
        <v>19.5</v>
      </c>
      <c r="L2161">
        <v>51.25</v>
      </c>
    </row>
    <row r="2162" spans="1:12">
      <c r="A2162" s="1">
        <v>46034</v>
      </c>
      <c r="B2162" t="s">
        <v>10550</v>
      </c>
      <c r="C2162">
        <v>24</v>
      </c>
      <c r="D2162" t="str">
        <f>VLOOKUP(Tabela26[[#This Row],[EMP]],[1]LOJA!$A:$B,2,0)</f>
        <v>LUZIÂNIA</v>
      </c>
      <c r="E2162">
        <v>150</v>
      </c>
      <c r="F2162" t="s">
        <v>5426</v>
      </c>
      <c r="G2162" t="s">
        <v>5425</v>
      </c>
      <c r="H2162" t="s">
        <v>3401</v>
      </c>
      <c r="I2162">
        <v>5102</v>
      </c>
      <c r="J2162" s="3">
        <v>40</v>
      </c>
      <c r="K2162" s="3">
        <v>18.989999999999998</v>
      </c>
      <c r="L2162">
        <v>52.53</v>
      </c>
    </row>
    <row r="2163" spans="1:12">
      <c r="A2163" s="1">
        <v>46034</v>
      </c>
      <c r="B2163" t="s">
        <v>10549</v>
      </c>
      <c r="C2163">
        <v>24</v>
      </c>
      <c r="D2163" t="str">
        <f>VLOOKUP(Tabela26[[#This Row],[EMP]],[1]LOJA!$A:$B,2,0)</f>
        <v>LUZIÂNIA</v>
      </c>
      <c r="E2163">
        <v>150</v>
      </c>
      <c r="F2163" t="s">
        <v>5426</v>
      </c>
      <c r="G2163" t="s">
        <v>5425</v>
      </c>
      <c r="H2163" t="s">
        <v>3401</v>
      </c>
      <c r="I2163">
        <v>5102</v>
      </c>
      <c r="J2163" s="3">
        <v>18</v>
      </c>
      <c r="K2163" s="3">
        <v>7.82</v>
      </c>
      <c r="L2163">
        <v>56.56</v>
      </c>
    </row>
    <row r="2164" spans="1:12">
      <c r="A2164" s="1">
        <v>46034</v>
      </c>
      <c r="B2164" t="s">
        <v>10548</v>
      </c>
      <c r="C2164">
        <v>24</v>
      </c>
      <c r="D2164" t="str">
        <f>VLOOKUP(Tabela26[[#This Row],[EMP]],[1]LOJA!$A:$B,2,0)</f>
        <v>LUZIÂNIA</v>
      </c>
      <c r="E2164">
        <v>242</v>
      </c>
      <c r="F2164" t="s">
        <v>3524</v>
      </c>
      <c r="G2164" t="s">
        <v>3402</v>
      </c>
      <c r="H2164" t="s">
        <v>3401</v>
      </c>
      <c r="I2164">
        <v>5405</v>
      </c>
      <c r="J2164" s="3">
        <v>50</v>
      </c>
      <c r="K2164" s="3">
        <v>25.73</v>
      </c>
      <c r="L2164">
        <v>48.54</v>
      </c>
    </row>
    <row r="2165" spans="1:12">
      <c r="A2165" s="1">
        <v>46034</v>
      </c>
      <c r="B2165" t="s">
        <v>10547</v>
      </c>
      <c r="C2165">
        <v>24</v>
      </c>
      <c r="D2165" t="str">
        <f>VLOOKUP(Tabela26[[#This Row],[EMP]],[1]LOJA!$A:$B,2,0)</f>
        <v>LUZIÂNIA</v>
      </c>
      <c r="E2165">
        <v>150</v>
      </c>
      <c r="F2165" t="s">
        <v>4857</v>
      </c>
      <c r="G2165" t="s">
        <v>4856</v>
      </c>
      <c r="H2165" t="s">
        <v>3408</v>
      </c>
      <c r="I2165">
        <v>5102</v>
      </c>
      <c r="J2165" s="3">
        <v>48</v>
      </c>
      <c r="K2165" s="3">
        <v>22</v>
      </c>
      <c r="L2165">
        <v>54.17</v>
      </c>
    </row>
    <row r="2166" spans="1:12">
      <c r="A2166" s="1">
        <v>46034</v>
      </c>
      <c r="B2166" t="s">
        <v>10546</v>
      </c>
      <c r="C2166">
        <v>24</v>
      </c>
      <c r="D2166" t="str">
        <f>VLOOKUP(Tabela26[[#This Row],[EMP]],[1]LOJA!$A:$B,2,0)</f>
        <v>LUZIÂNIA</v>
      </c>
      <c r="E2166">
        <v>192</v>
      </c>
      <c r="F2166" t="s">
        <v>4854</v>
      </c>
      <c r="G2166" t="s">
        <v>3402</v>
      </c>
      <c r="H2166" t="s">
        <v>3408</v>
      </c>
      <c r="I2166">
        <v>5102</v>
      </c>
      <c r="J2166" s="3">
        <v>318.64999999999998</v>
      </c>
      <c r="K2166" s="3">
        <v>189.74</v>
      </c>
      <c r="L2166">
        <v>40.46</v>
      </c>
    </row>
    <row r="2167" spans="1:12">
      <c r="A2167" s="1">
        <v>46034</v>
      </c>
      <c r="B2167" t="s">
        <v>10545</v>
      </c>
      <c r="C2167">
        <v>24</v>
      </c>
      <c r="D2167" t="str">
        <f>VLOOKUP(Tabela26[[#This Row],[EMP]],[1]LOJA!$A:$B,2,0)</f>
        <v>LUZIÂNIA</v>
      </c>
      <c r="E2167">
        <v>192</v>
      </c>
      <c r="F2167" t="s">
        <v>3524</v>
      </c>
      <c r="G2167" t="s">
        <v>3402</v>
      </c>
      <c r="H2167" t="s">
        <v>3401</v>
      </c>
      <c r="I2167">
        <v>5405</v>
      </c>
      <c r="J2167" s="3">
        <v>50</v>
      </c>
      <c r="K2167" s="3">
        <v>20.46</v>
      </c>
      <c r="L2167">
        <v>59.08</v>
      </c>
    </row>
    <row r="2168" spans="1:12">
      <c r="A2168" s="1">
        <v>46034</v>
      </c>
      <c r="B2168" t="s">
        <v>10544</v>
      </c>
      <c r="C2168">
        <v>24</v>
      </c>
      <c r="D2168" t="str">
        <f>VLOOKUP(Tabela26[[#This Row],[EMP]],[1]LOJA!$A:$B,2,0)</f>
        <v>LUZIÂNIA</v>
      </c>
      <c r="E2168">
        <v>150</v>
      </c>
      <c r="F2168" t="s">
        <v>3524</v>
      </c>
      <c r="G2168" t="s">
        <v>3402</v>
      </c>
      <c r="H2168" t="s">
        <v>3401</v>
      </c>
      <c r="I2168">
        <v>5405</v>
      </c>
      <c r="J2168" s="3">
        <v>172</v>
      </c>
      <c r="K2168" s="3">
        <v>74.989999999999995</v>
      </c>
      <c r="L2168">
        <v>56.4</v>
      </c>
    </row>
    <row r="2169" spans="1:12">
      <c r="A2169" s="1">
        <v>46034</v>
      </c>
      <c r="B2169" t="s">
        <v>10543</v>
      </c>
      <c r="C2169">
        <v>24</v>
      </c>
      <c r="D2169" t="str">
        <f>VLOOKUP(Tabela26[[#This Row],[EMP]],[1]LOJA!$A:$B,2,0)</f>
        <v>LUZIÂNIA</v>
      </c>
      <c r="E2169">
        <v>150</v>
      </c>
      <c r="F2169" t="s">
        <v>4857</v>
      </c>
      <c r="G2169" t="s">
        <v>4856</v>
      </c>
      <c r="H2169" t="s">
        <v>3401</v>
      </c>
      <c r="I2169">
        <v>5102</v>
      </c>
      <c r="J2169" s="3">
        <v>8</v>
      </c>
      <c r="K2169" s="3">
        <v>3.91</v>
      </c>
      <c r="L2169">
        <v>51.13</v>
      </c>
    </row>
    <row r="2170" spans="1:12">
      <c r="A2170" s="1">
        <v>46034</v>
      </c>
      <c r="B2170" t="s">
        <v>10542</v>
      </c>
      <c r="C2170">
        <v>24</v>
      </c>
      <c r="D2170" t="str">
        <f>VLOOKUP(Tabela26[[#This Row],[EMP]],[1]LOJA!$A:$B,2,0)</f>
        <v>LUZIÂNIA</v>
      </c>
      <c r="E2170">
        <v>150</v>
      </c>
      <c r="F2170" t="s">
        <v>3524</v>
      </c>
      <c r="G2170" t="s">
        <v>3402</v>
      </c>
      <c r="H2170" t="s">
        <v>3401</v>
      </c>
      <c r="I2170">
        <v>5405</v>
      </c>
      <c r="J2170" s="3">
        <v>80</v>
      </c>
      <c r="K2170" s="3">
        <v>36.14</v>
      </c>
      <c r="L2170">
        <v>54.83</v>
      </c>
    </row>
    <row r="2171" spans="1:12">
      <c r="A2171" s="1">
        <v>46034</v>
      </c>
      <c r="B2171" t="s">
        <v>10541</v>
      </c>
      <c r="C2171">
        <v>24</v>
      </c>
      <c r="D2171" t="str">
        <f>VLOOKUP(Tabela26[[#This Row],[EMP]],[1]LOJA!$A:$B,2,0)</f>
        <v>LUZIÂNIA</v>
      </c>
      <c r="E2171">
        <v>150</v>
      </c>
      <c r="F2171" t="s">
        <v>3524</v>
      </c>
      <c r="G2171" t="s">
        <v>3402</v>
      </c>
      <c r="H2171" t="s">
        <v>3401</v>
      </c>
      <c r="I2171">
        <v>5102</v>
      </c>
      <c r="J2171" s="3">
        <v>9</v>
      </c>
      <c r="K2171" s="3">
        <v>4.2300000000000004</v>
      </c>
      <c r="L2171">
        <v>53</v>
      </c>
    </row>
    <row r="2172" spans="1:12">
      <c r="A2172" s="1">
        <v>46034</v>
      </c>
      <c r="B2172" t="s">
        <v>10540</v>
      </c>
      <c r="C2172">
        <v>24</v>
      </c>
      <c r="D2172" t="str">
        <f>VLOOKUP(Tabela26[[#This Row],[EMP]],[1]LOJA!$A:$B,2,0)</f>
        <v>LUZIÂNIA</v>
      </c>
      <c r="E2172">
        <v>192</v>
      </c>
      <c r="F2172" t="s">
        <v>3524</v>
      </c>
      <c r="G2172" t="s">
        <v>3402</v>
      </c>
      <c r="H2172" t="s">
        <v>3401</v>
      </c>
      <c r="I2172">
        <v>5405</v>
      </c>
      <c r="J2172" s="3">
        <v>198</v>
      </c>
      <c r="K2172" s="3">
        <v>102.24</v>
      </c>
      <c r="L2172">
        <v>48.36</v>
      </c>
    </row>
    <row r="2173" spans="1:12">
      <c r="A2173" s="1">
        <v>46034</v>
      </c>
      <c r="B2173" t="s">
        <v>10539</v>
      </c>
      <c r="C2173">
        <v>24</v>
      </c>
      <c r="D2173" t="str">
        <f>VLOOKUP(Tabela26[[#This Row],[EMP]],[1]LOJA!$A:$B,2,0)</f>
        <v>LUZIÂNIA</v>
      </c>
      <c r="E2173">
        <v>150</v>
      </c>
      <c r="F2173" t="s">
        <v>4176</v>
      </c>
      <c r="G2173" t="s">
        <v>4175</v>
      </c>
      <c r="H2173" t="s">
        <v>3408</v>
      </c>
      <c r="I2173">
        <v>5405</v>
      </c>
      <c r="J2173" s="3">
        <v>134</v>
      </c>
      <c r="K2173" s="3">
        <v>60.28</v>
      </c>
      <c r="L2173">
        <v>55.01</v>
      </c>
    </row>
    <row r="2174" spans="1:12">
      <c r="A2174" s="1">
        <v>46034</v>
      </c>
      <c r="B2174" t="s">
        <v>10538</v>
      </c>
      <c r="C2174">
        <v>24</v>
      </c>
      <c r="D2174" t="str">
        <f>VLOOKUP(Tabela26[[#This Row],[EMP]],[1]LOJA!$A:$B,2,0)</f>
        <v>LUZIÂNIA</v>
      </c>
      <c r="E2174">
        <v>150</v>
      </c>
      <c r="F2174" t="s">
        <v>3524</v>
      </c>
      <c r="G2174" t="s">
        <v>3402</v>
      </c>
      <c r="H2174" t="s">
        <v>3401</v>
      </c>
      <c r="I2174">
        <v>5102</v>
      </c>
      <c r="J2174" s="3">
        <v>136</v>
      </c>
      <c r="K2174" s="3">
        <v>64.48</v>
      </c>
      <c r="L2174">
        <v>52.59</v>
      </c>
    </row>
    <row r="2175" spans="1:12">
      <c r="A2175" s="1">
        <v>46034</v>
      </c>
      <c r="B2175" t="s">
        <v>10537</v>
      </c>
      <c r="C2175">
        <v>24</v>
      </c>
      <c r="D2175" t="str">
        <f>VLOOKUP(Tabela26[[#This Row],[EMP]],[1]LOJA!$A:$B,2,0)</f>
        <v>LUZIÂNIA</v>
      </c>
      <c r="E2175">
        <v>192</v>
      </c>
      <c r="F2175" t="s">
        <v>3524</v>
      </c>
      <c r="G2175" t="s">
        <v>3402</v>
      </c>
      <c r="H2175" t="s">
        <v>3401</v>
      </c>
      <c r="I2175">
        <v>5102</v>
      </c>
      <c r="J2175" s="3">
        <v>80</v>
      </c>
      <c r="K2175" s="3">
        <v>41.89</v>
      </c>
      <c r="L2175">
        <v>47.64</v>
      </c>
    </row>
    <row r="2176" spans="1:12">
      <c r="A2176" s="1">
        <v>46034</v>
      </c>
      <c r="B2176" t="s">
        <v>10536</v>
      </c>
      <c r="C2176">
        <v>24</v>
      </c>
      <c r="D2176" t="str">
        <f>VLOOKUP(Tabela26[[#This Row],[EMP]],[1]LOJA!$A:$B,2,0)</f>
        <v>LUZIÂNIA</v>
      </c>
      <c r="E2176">
        <v>192</v>
      </c>
      <c r="F2176" t="s">
        <v>5917</v>
      </c>
      <c r="G2176" t="s">
        <v>5916</v>
      </c>
      <c r="H2176" t="s">
        <v>3401</v>
      </c>
      <c r="I2176">
        <v>5102</v>
      </c>
      <c r="J2176" s="3">
        <v>18</v>
      </c>
      <c r="K2176" s="3">
        <v>9.17</v>
      </c>
      <c r="L2176">
        <v>49.06</v>
      </c>
    </row>
    <row r="2177" spans="1:12">
      <c r="A2177" s="1">
        <v>46034</v>
      </c>
      <c r="B2177" t="s">
        <v>10535</v>
      </c>
      <c r="C2177">
        <v>24</v>
      </c>
      <c r="D2177" t="str">
        <f>VLOOKUP(Tabela26[[#This Row],[EMP]],[1]LOJA!$A:$B,2,0)</f>
        <v>LUZIÂNIA</v>
      </c>
      <c r="E2177">
        <v>192</v>
      </c>
      <c r="F2177" t="s">
        <v>10534</v>
      </c>
      <c r="G2177" t="s">
        <v>3402</v>
      </c>
      <c r="H2177" t="s">
        <v>3408</v>
      </c>
      <c r="I2177">
        <v>5405</v>
      </c>
      <c r="J2177" s="3">
        <v>200</v>
      </c>
      <c r="K2177" s="3">
        <v>98.97</v>
      </c>
      <c r="L2177">
        <v>50.52</v>
      </c>
    </row>
    <row r="2178" spans="1:12">
      <c r="A2178" s="1">
        <v>46034</v>
      </c>
      <c r="B2178" t="s">
        <v>10533</v>
      </c>
      <c r="C2178">
        <v>24</v>
      </c>
      <c r="D2178" t="str">
        <f>VLOOKUP(Tabela26[[#This Row],[EMP]],[1]LOJA!$A:$B,2,0)</f>
        <v>LUZIÂNIA</v>
      </c>
      <c r="E2178">
        <v>192</v>
      </c>
      <c r="F2178" t="s">
        <v>3524</v>
      </c>
      <c r="G2178" t="s">
        <v>3402</v>
      </c>
      <c r="H2178" t="s">
        <v>3401</v>
      </c>
      <c r="I2178">
        <v>5102</v>
      </c>
      <c r="J2178" s="3">
        <v>14</v>
      </c>
      <c r="K2178" s="3">
        <v>7.62</v>
      </c>
      <c r="L2178">
        <v>45.57</v>
      </c>
    </row>
    <row r="2179" spans="1:12">
      <c r="A2179" s="1">
        <v>46034</v>
      </c>
      <c r="B2179" t="s">
        <v>10532</v>
      </c>
      <c r="C2179">
        <v>24</v>
      </c>
      <c r="D2179" t="str">
        <f>VLOOKUP(Tabela26[[#This Row],[EMP]],[1]LOJA!$A:$B,2,0)</f>
        <v>LUZIÂNIA</v>
      </c>
      <c r="E2179">
        <v>192</v>
      </c>
      <c r="F2179" t="s">
        <v>4224</v>
      </c>
      <c r="G2179" t="s">
        <v>3402</v>
      </c>
      <c r="H2179" t="s">
        <v>3408</v>
      </c>
      <c r="I2179">
        <v>5102</v>
      </c>
      <c r="J2179" s="3">
        <v>33</v>
      </c>
      <c r="K2179" s="3">
        <v>18.62</v>
      </c>
      <c r="L2179">
        <v>43.58</v>
      </c>
    </row>
    <row r="2180" spans="1:12">
      <c r="A2180" s="1">
        <v>46034</v>
      </c>
      <c r="B2180" t="s">
        <v>10531</v>
      </c>
      <c r="C2180">
        <v>24</v>
      </c>
      <c r="D2180" t="str">
        <f>VLOOKUP(Tabela26[[#This Row],[EMP]],[1]LOJA!$A:$B,2,0)</f>
        <v>LUZIÂNIA</v>
      </c>
      <c r="E2180">
        <v>192</v>
      </c>
      <c r="F2180" t="s">
        <v>5917</v>
      </c>
      <c r="G2180" t="s">
        <v>5916</v>
      </c>
      <c r="H2180" t="s">
        <v>3408</v>
      </c>
      <c r="I2180">
        <v>5405</v>
      </c>
      <c r="J2180" s="3">
        <v>57</v>
      </c>
      <c r="K2180" s="3">
        <v>25.77</v>
      </c>
      <c r="L2180">
        <v>54.79</v>
      </c>
    </row>
    <row r="2181" spans="1:12">
      <c r="A2181" s="1">
        <v>46034</v>
      </c>
      <c r="B2181" t="s">
        <v>10530</v>
      </c>
      <c r="C2181">
        <v>24</v>
      </c>
      <c r="D2181" t="str">
        <f>VLOOKUP(Tabela26[[#This Row],[EMP]],[1]LOJA!$A:$B,2,0)</f>
        <v>LUZIÂNIA</v>
      </c>
      <c r="E2181">
        <v>192</v>
      </c>
      <c r="F2181" t="s">
        <v>10529</v>
      </c>
      <c r="G2181" t="s">
        <v>3402</v>
      </c>
      <c r="H2181" t="s">
        <v>3401</v>
      </c>
      <c r="I2181">
        <v>5405</v>
      </c>
      <c r="J2181" s="3">
        <v>84</v>
      </c>
      <c r="K2181" s="3">
        <v>39.08</v>
      </c>
      <c r="L2181">
        <v>53.48</v>
      </c>
    </row>
    <row r="2182" spans="1:12">
      <c r="A2182" s="1">
        <v>46034</v>
      </c>
      <c r="B2182" t="s">
        <v>10528</v>
      </c>
      <c r="C2182">
        <v>24</v>
      </c>
      <c r="D2182" t="str">
        <f>VLOOKUP(Tabela26[[#This Row],[EMP]],[1]LOJA!$A:$B,2,0)</f>
        <v>LUZIÂNIA</v>
      </c>
      <c r="E2182">
        <v>192</v>
      </c>
      <c r="F2182" t="s">
        <v>3524</v>
      </c>
      <c r="G2182" t="s">
        <v>3402</v>
      </c>
      <c r="H2182" t="s">
        <v>3401</v>
      </c>
      <c r="I2182">
        <v>5102</v>
      </c>
      <c r="J2182" s="3">
        <v>18</v>
      </c>
      <c r="K2182" s="3">
        <v>12.1</v>
      </c>
      <c r="L2182">
        <v>32.78</v>
      </c>
    </row>
    <row r="2183" spans="1:12">
      <c r="A2183" s="1">
        <v>46034</v>
      </c>
      <c r="B2183" t="s">
        <v>10527</v>
      </c>
      <c r="C2183">
        <v>24</v>
      </c>
      <c r="D2183" t="str">
        <f>VLOOKUP(Tabela26[[#This Row],[EMP]],[1]LOJA!$A:$B,2,0)</f>
        <v>LUZIÂNIA</v>
      </c>
      <c r="E2183">
        <v>242</v>
      </c>
      <c r="F2183" t="s">
        <v>10526</v>
      </c>
      <c r="G2183" t="s">
        <v>3402</v>
      </c>
      <c r="H2183" t="s">
        <v>3401</v>
      </c>
      <c r="I2183">
        <v>5102</v>
      </c>
      <c r="J2183" s="3">
        <v>169</v>
      </c>
      <c r="K2183" s="3">
        <v>79.010000000000005</v>
      </c>
      <c r="L2183">
        <v>53.25</v>
      </c>
    </row>
    <row r="2184" spans="1:12">
      <c r="A2184" s="1">
        <v>46034</v>
      </c>
      <c r="B2184" t="s">
        <v>10525</v>
      </c>
      <c r="C2184">
        <v>24</v>
      </c>
      <c r="D2184" t="str">
        <f>VLOOKUP(Tabela26[[#This Row],[EMP]],[1]LOJA!$A:$B,2,0)</f>
        <v>LUZIÂNIA</v>
      </c>
      <c r="E2184">
        <v>192</v>
      </c>
      <c r="F2184" t="s">
        <v>5449</v>
      </c>
      <c r="G2184" t="s">
        <v>5448</v>
      </c>
      <c r="H2184" t="s">
        <v>3408</v>
      </c>
      <c r="I2184">
        <v>5405</v>
      </c>
      <c r="J2184" s="3">
        <v>69</v>
      </c>
      <c r="K2184" s="3">
        <v>30.47</v>
      </c>
      <c r="L2184">
        <v>55.84</v>
      </c>
    </row>
    <row r="2185" spans="1:12">
      <c r="A2185" s="1">
        <v>46034</v>
      </c>
      <c r="B2185" t="s">
        <v>10524</v>
      </c>
      <c r="C2185">
        <v>24</v>
      </c>
      <c r="D2185" t="str">
        <f>VLOOKUP(Tabela26[[#This Row],[EMP]],[1]LOJA!$A:$B,2,0)</f>
        <v>LUZIÂNIA</v>
      </c>
      <c r="E2185">
        <v>150</v>
      </c>
      <c r="F2185" t="s">
        <v>5449</v>
      </c>
      <c r="G2185" t="s">
        <v>5448</v>
      </c>
      <c r="H2185" t="s">
        <v>3408</v>
      </c>
      <c r="I2185">
        <v>5405</v>
      </c>
      <c r="J2185" s="3">
        <v>142</v>
      </c>
      <c r="K2185" s="3">
        <v>69.27</v>
      </c>
      <c r="L2185">
        <v>51.22</v>
      </c>
    </row>
    <row r="2186" spans="1:12">
      <c r="A2186" s="1">
        <v>46034</v>
      </c>
      <c r="B2186" t="s">
        <v>10523</v>
      </c>
      <c r="C2186">
        <v>24</v>
      </c>
      <c r="D2186" t="str">
        <f>VLOOKUP(Tabela26[[#This Row],[EMP]],[1]LOJA!$A:$B,2,0)</f>
        <v>LUZIÂNIA</v>
      </c>
      <c r="E2186">
        <v>150</v>
      </c>
      <c r="F2186" t="s">
        <v>5449</v>
      </c>
      <c r="G2186" t="s">
        <v>5448</v>
      </c>
      <c r="H2186" t="s">
        <v>3408</v>
      </c>
      <c r="I2186">
        <v>5405</v>
      </c>
      <c r="J2186" s="3">
        <v>157</v>
      </c>
      <c r="K2186" s="3">
        <v>82.05</v>
      </c>
      <c r="L2186">
        <v>47.74</v>
      </c>
    </row>
    <row r="2187" spans="1:12">
      <c r="A2187" s="1">
        <v>46034</v>
      </c>
      <c r="B2187" t="s">
        <v>10522</v>
      </c>
      <c r="C2187">
        <v>24</v>
      </c>
      <c r="D2187" t="str">
        <f>VLOOKUP(Tabela26[[#This Row],[EMP]],[1]LOJA!$A:$B,2,0)</f>
        <v>LUZIÂNIA</v>
      </c>
      <c r="E2187">
        <v>192</v>
      </c>
      <c r="F2187" t="s">
        <v>5962</v>
      </c>
      <c r="G2187" t="s">
        <v>5961</v>
      </c>
      <c r="H2187" t="s">
        <v>3408</v>
      </c>
      <c r="I2187">
        <v>5405</v>
      </c>
      <c r="J2187" s="3">
        <v>220</v>
      </c>
      <c r="K2187" s="3">
        <v>118.67</v>
      </c>
      <c r="L2187">
        <v>46.06</v>
      </c>
    </row>
    <row r="2188" spans="1:12">
      <c r="A2188" s="1">
        <v>46034</v>
      </c>
      <c r="B2188" t="s">
        <v>10521</v>
      </c>
      <c r="C2188">
        <v>24</v>
      </c>
      <c r="D2188" t="str">
        <f>VLOOKUP(Tabela26[[#This Row],[EMP]],[1]LOJA!$A:$B,2,0)</f>
        <v>LUZIÂNIA</v>
      </c>
      <c r="E2188">
        <v>150</v>
      </c>
      <c r="F2188" t="s">
        <v>4880</v>
      </c>
      <c r="G2188" t="s">
        <v>4879</v>
      </c>
      <c r="H2188" t="s">
        <v>3408</v>
      </c>
      <c r="I2188">
        <v>5405</v>
      </c>
      <c r="J2188" s="3">
        <v>214</v>
      </c>
      <c r="K2188" s="3">
        <v>111.18</v>
      </c>
      <c r="L2188">
        <v>48.05</v>
      </c>
    </row>
    <row r="2189" spans="1:12">
      <c r="A2189" s="1">
        <v>46034</v>
      </c>
      <c r="B2189" t="s">
        <v>10520</v>
      </c>
      <c r="C2189">
        <v>24</v>
      </c>
      <c r="D2189" t="str">
        <f>VLOOKUP(Tabela26[[#This Row],[EMP]],[1]LOJA!$A:$B,2,0)</f>
        <v>LUZIÂNIA</v>
      </c>
      <c r="E2189">
        <v>150</v>
      </c>
      <c r="F2189" t="s">
        <v>4880</v>
      </c>
      <c r="G2189" t="s">
        <v>4879</v>
      </c>
      <c r="H2189" t="s">
        <v>3408</v>
      </c>
      <c r="I2189">
        <v>5405</v>
      </c>
      <c r="J2189" s="3">
        <v>670</v>
      </c>
      <c r="K2189" s="3">
        <v>346.79</v>
      </c>
      <c r="L2189">
        <v>48.24</v>
      </c>
    </row>
    <row r="2190" spans="1:12">
      <c r="A2190" s="1">
        <v>46034</v>
      </c>
      <c r="B2190" t="s">
        <v>10519</v>
      </c>
      <c r="C2190">
        <v>24</v>
      </c>
      <c r="D2190" t="str">
        <f>VLOOKUP(Tabela26[[#This Row],[EMP]],[1]LOJA!$A:$B,2,0)</f>
        <v>LUZIÂNIA</v>
      </c>
      <c r="E2190">
        <v>150</v>
      </c>
      <c r="F2190" t="s">
        <v>4898</v>
      </c>
      <c r="G2190" t="s">
        <v>4897</v>
      </c>
      <c r="H2190" t="s">
        <v>3408</v>
      </c>
      <c r="I2190">
        <v>5405</v>
      </c>
      <c r="J2190" s="3">
        <v>595</v>
      </c>
      <c r="K2190" s="3">
        <v>301.11</v>
      </c>
      <c r="L2190">
        <v>49.39</v>
      </c>
    </row>
    <row r="2191" spans="1:12">
      <c r="A2191" s="1">
        <v>46034</v>
      </c>
      <c r="B2191" t="s">
        <v>10518</v>
      </c>
      <c r="C2191">
        <v>24</v>
      </c>
      <c r="D2191" t="str">
        <f>VLOOKUP(Tabela26[[#This Row],[EMP]],[1]LOJA!$A:$B,2,0)</f>
        <v>LUZIÂNIA</v>
      </c>
      <c r="E2191">
        <v>150</v>
      </c>
      <c r="F2191" t="s">
        <v>4176</v>
      </c>
      <c r="G2191" t="s">
        <v>4175</v>
      </c>
      <c r="H2191" t="s">
        <v>3408</v>
      </c>
      <c r="I2191">
        <v>5405</v>
      </c>
      <c r="J2191" s="3">
        <v>2119.5</v>
      </c>
      <c r="K2191" s="3">
        <v>898.48</v>
      </c>
      <c r="L2191">
        <v>57.61</v>
      </c>
    </row>
    <row r="2192" spans="1:12">
      <c r="A2192" s="1">
        <v>46034</v>
      </c>
      <c r="B2192" t="s">
        <v>10517</v>
      </c>
      <c r="C2192">
        <v>24</v>
      </c>
      <c r="D2192" t="str">
        <f>VLOOKUP(Tabela26[[#This Row],[EMP]],[1]LOJA!$A:$B,2,0)</f>
        <v>LUZIÂNIA</v>
      </c>
      <c r="E2192">
        <v>192</v>
      </c>
      <c r="F2192" t="s">
        <v>3524</v>
      </c>
      <c r="G2192" t="s">
        <v>3402</v>
      </c>
      <c r="H2192" t="s">
        <v>3401</v>
      </c>
      <c r="I2192">
        <v>5102</v>
      </c>
      <c r="J2192" s="3">
        <v>40</v>
      </c>
      <c r="K2192" s="3">
        <v>18.59</v>
      </c>
      <c r="L2192">
        <v>53.53</v>
      </c>
    </row>
    <row r="2193" spans="1:12">
      <c r="A2193" s="1">
        <v>46034</v>
      </c>
      <c r="B2193" t="s">
        <v>10516</v>
      </c>
      <c r="C2193">
        <v>24</v>
      </c>
      <c r="D2193" t="str">
        <f>VLOOKUP(Tabela26[[#This Row],[EMP]],[1]LOJA!$A:$B,2,0)</f>
        <v>LUZIÂNIA</v>
      </c>
      <c r="E2193">
        <v>242</v>
      </c>
      <c r="F2193" t="s">
        <v>4848</v>
      </c>
      <c r="G2193" t="s">
        <v>4847</v>
      </c>
      <c r="H2193" t="s">
        <v>3408</v>
      </c>
      <c r="I2193">
        <v>5102</v>
      </c>
      <c r="J2193" s="3">
        <v>107</v>
      </c>
      <c r="K2193" s="3">
        <v>61.95</v>
      </c>
      <c r="L2193">
        <v>42.1</v>
      </c>
    </row>
    <row r="2194" spans="1:12">
      <c r="A2194" s="1">
        <v>46034</v>
      </c>
      <c r="B2194" t="s">
        <v>10515</v>
      </c>
      <c r="C2194">
        <v>24</v>
      </c>
      <c r="D2194" t="str">
        <f>VLOOKUP(Tabela26[[#This Row],[EMP]],[1]LOJA!$A:$B,2,0)</f>
        <v>LUZIÂNIA</v>
      </c>
      <c r="E2194">
        <v>192</v>
      </c>
      <c r="F2194" t="s">
        <v>3524</v>
      </c>
      <c r="G2194" t="s">
        <v>3402</v>
      </c>
      <c r="H2194" t="s">
        <v>3401</v>
      </c>
      <c r="I2194">
        <v>5102</v>
      </c>
      <c r="J2194" s="3">
        <v>30</v>
      </c>
      <c r="K2194" s="3">
        <v>17.489999999999998</v>
      </c>
      <c r="L2194">
        <v>41.7</v>
      </c>
    </row>
    <row r="2195" spans="1:12">
      <c r="A2195" s="1">
        <v>46034</v>
      </c>
      <c r="B2195" t="s">
        <v>10514</v>
      </c>
      <c r="C2195">
        <v>24</v>
      </c>
      <c r="D2195" t="str">
        <f>VLOOKUP(Tabela26[[#This Row],[EMP]],[1]LOJA!$A:$B,2,0)</f>
        <v>LUZIÂNIA</v>
      </c>
      <c r="E2195">
        <v>242</v>
      </c>
      <c r="F2195" t="s">
        <v>3524</v>
      </c>
      <c r="G2195" t="s">
        <v>3402</v>
      </c>
      <c r="H2195" t="s">
        <v>3401</v>
      </c>
      <c r="I2195">
        <v>5405</v>
      </c>
      <c r="J2195" s="3">
        <v>55</v>
      </c>
      <c r="K2195" s="3">
        <v>27</v>
      </c>
      <c r="L2195">
        <v>50.91</v>
      </c>
    </row>
    <row r="2196" spans="1:12">
      <c r="A2196" s="1">
        <v>46034</v>
      </c>
      <c r="B2196" t="s">
        <v>10513</v>
      </c>
      <c r="C2196">
        <v>24</v>
      </c>
      <c r="D2196" t="str">
        <f>VLOOKUP(Tabela26[[#This Row],[EMP]],[1]LOJA!$A:$B,2,0)</f>
        <v>LUZIÂNIA</v>
      </c>
      <c r="E2196">
        <v>192</v>
      </c>
      <c r="F2196" t="s">
        <v>3524</v>
      </c>
      <c r="G2196" t="s">
        <v>3402</v>
      </c>
      <c r="H2196" t="s">
        <v>3401</v>
      </c>
      <c r="I2196">
        <v>5405</v>
      </c>
      <c r="J2196" s="3">
        <v>27</v>
      </c>
      <c r="K2196" s="3">
        <v>12.04</v>
      </c>
      <c r="L2196">
        <v>55.41</v>
      </c>
    </row>
    <row r="2197" spans="1:12">
      <c r="A2197" s="1">
        <v>46034</v>
      </c>
      <c r="B2197" t="s">
        <v>10512</v>
      </c>
      <c r="C2197">
        <v>24</v>
      </c>
      <c r="D2197" t="str">
        <f>VLOOKUP(Tabela26[[#This Row],[EMP]],[1]LOJA!$A:$B,2,0)</f>
        <v>LUZIÂNIA</v>
      </c>
      <c r="E2197">
        <v>192</v>
      </c>
      <c r="F2197" t="s">
        <v>5449</v>
      </c>
      <c r="G2197" t="s">
        <v>5448</v>
      </c>
      <c r="H2197" t="s">
        <v>3408</v>
      </c>
      <c r="I2197">
        <v>5102</v>
      </c>
      <c r="J2197" s="3">
        <v>112</v>
      </c>
      <c r="K2197" s="3">
        <v>59.6</v>
      </c>
      <c r="L2197">
        <v>46.79</v>
      </c>
    </row>
    <row r="2198" spans="1:12">
      <c r="A2198" s="1">
        <v>46034</v>
      </c>
      <c r="B2198" t="s">
        <v>10511</v>
      </c>
      <c r="C2198">
        <v>24</v>
      </c>
      <c r="D2198" t="str">
        <f>VLOOKUP(Tabela26[[#This Row],[EMP]],[1]LOJA!$A:$B,2,0)</f>
        <v>LUZIÂNIA</v>
      </c>
      <c r="E2198">
        <v>242</v>
      </c>
      <c r="F2198" t="s">
        <v>10510</v>
      </c>
      <c r="G2198" t="s">
        <v>3402</v>
      </c>
      <c r="H2198" t="s">
        <v>3408</v>
      </c>
      <c r="I2198">
        <v>5405</v>
      </c>
      <c r="J2198" s="3">
        <v>170</v>
      </c>
      <c r="K2198" s="3">
        <v>98.11</v>
      </c>
      <c r="L2198">
        <v>42.29</v>
      </c>
    </row>
    <row r="2199" spans="1:12">
      <c r="A2199" s="1">
        <v>46034</v>
      </c>
      <c r="B2199" t="s">
        <v>10509</v>
      </c>
      <c r="C2199">
        <v>24</v>
      </c>
      <c r="D2199" t="str">
        <f>VLOOKUP(Tabela26[[#This Row],[EMP]],[1]LOJA!$A:$B,2,0)</f>
        <v>LUZIÂNIA</v>
      </c>
      <c r="E2199">
        <v>192</v>
      </c>
      <c r="F2199" t="s">
        <v>4169</v>
      </c>
      <c r="G2199" t="s">
        <v>4168</v>
      </c>
      <c r="H2199" t="s">
        <v>3401</v>
      </c>
      <c r="I2199">
        <v>5102</v>
      </c>
      <c r="J2199" s="3">
        <v>416</v>
      </c>
      <c r="K2199" s="3">
        <v>265.81</v>
      </c>
      <c r="L2199">
        <v>36.1</v>
      </c>
    </row>
    <row r="2200" spans="1:12">
      <c r="A2200" s="1">
        <v>46034</v>
      </c>
      <c r="B2200" t="s">
        <v>10508</v>
      </c>
      <c r="C2200">
        <v>12</v>
      </c>
      <c r="D2200" t="str">
        <f>VLOOKUP(Tabela26[[#This Row],[EMP]],[1]LOJA!$A:$B,2,0)</f>
        <v>SOFNORTE</v>
      </c>
      <c r="E2200">
        <v>60</v>
      </c>
      <c r="F2200" t="s">
        <v>3709</v>
      </c>
      <c r="G2200" t="s">
        <v>3708</v>
      </c>
      <c r="H2200" t="s">
        <v>10470</v>
      </c>
      <c r="I2200">
        <v>5102</v>
      </c>
      <c r="J2200" s="3">
        <v>116.23</v>
      </c>
      <c r="K2200" s="3">
        <v>62.83</v>
      </c>
      <c r="L2200">
        <v>45.94</v>
      </c>
    </row>
    <row r="2201" spans="1:12">
      <c r="A2201" s="1">
        <v>46034</v>
      </c>
      <c r="B2201" t="s">
        <v>10507</v>
      </c>
      <c r="C2201">
        <v>12</v>
      </c>
      <c r="D2201" t="str">
        <f>VLOOKUP(Tabela26[[#This Row],[EMP]],[1]LOJA!$A:$B,2,0)</f>
        <v>SOFNORTE</v>
      </c>
      <c r="E2201">
        <v>60</v>
      </c>
      <c r="F2201" t="s">
        <v>3737</v>
      </c>
      <c r="G2201" t="s">
        <v>3736</v>
      </c>
      <c r="H2201" t="s">
        <v>3520</v>
      </c>
      <c r="I2201">
        <v>5405</v>
      </c>
      <c r="J2201" s="3">
        <v>173</v>
      </c>
      <c r="K2201" s="3">
        <v>89.2</v>
      </c>
      <c r="L2201">
        <v>48.44</v>
      </c>
    </row>
    <row r="2202" spans="1:12">
      <c r="A2202" s="1">
        <v>46034</v>
      </c>
      <c r="B2202" t="s">
        <v>10506</v>
      </c>
      <c r="C2202">
        <v>12</v>
      </c>
      <c r="D2202" t="str">
        <f>VLOOKUP(Tabela26[[#This Row],[EMP]],[1]LOJA!$A:$B,2,0)</f>
        <v>SOFNORTE</v>
      </c>
      <c r="E2202">
        <v>60</v>
      </c>
      <c r="F2202" t="s">
        <v>4156</v>
      </c>
      <c r="G2202" t="s">
        <v>4155</v>
      </c>
      <c r="H2202" t="s">
        <v>4297</v>
      </c>
      <c r="I2202">
        <v>5405</v>
      </c>
      <c r="J2202" s="3">
        <v>29.9</v>
      </c>
      <c r="K2202" s="3">
        <v>12.04</v>
      </c>
      <c r="L2202">
        <v>59.73</v>
      </c>
    </row>
    <row r="2203" spans="1:12">
      <c r="A2203" s="1">
        <v>46034</v>
      </c>
      <c r="B2203" t="s">
        <v>10505</v>
      </c>
      <c r="C2203">
        <v>12</v>
      </c>
      <c r="D2203" t="str">
        <f>VLOOKUP(Tabela26[[#This Row],[EMP]],[1]LOJA!$A:$B,2,0)</f>
        <v>SOFNORTE</v>
      </c>
      <c r="E2203">
        <v>60</v>
      </c>
      <c r="F2203" t="s">
        <v>3709</v>
      </c>
      <c r="G2203" t="s">
        <v>3708</v>
      </c>
      <c r="H2203" t="s">
        <v>10470</v>
      </c>
      <c r="I2203">
        <v>5405</v>
      </c>
      <c r="J2203" s="3">
        <v>35.15</v>
      </c>
      <c r="K2203" s="3">
        <v>17.170000000000002</v>
      </c>
      <c r="L2203">
        <v>51.15</v>
      </c>
    </row>
    <row r="2204" spans="1:12">
      <c r="A2204" s="1">
        <v>46034</v>
      </c>
      <c r="B2204" t="s">
        <v>10504</v>
      </c>
      <c r="C2204">
        <v>12</v>
      </c>
      <c r="D2204" t="str">
        <f>VLOOKUP(Tabela26[[#This Row],[EMP]],[1]LOJA!$A:$B,2,0)</f>
        <v>SOFNORTE</v>
      </c>
      <c r="E2204">
        <v>60</v>
      </c>
      <c r="F2204" t="s">
        <v>4162</v>
      </c>
      <c r="G2204" t="s">
        <v>4161</v>
      </c>
      <c r="H2204" t="s">
        <v>3430</v>
      </c>
      <c r="I2204">
        <v>5405</v>
      </c>
      <c r="J2204" s="3">
        <v>103.07</v>
      </c>
      <c r="K2204" s="3">
        <v>50.22</v>
      </c>
      <c r="L2204">
        <v>51.28</v>
      </c>
    </row>
    <row r="2205" spans="1:12">
      <c r="A2205" s="1">
        <v>46034</v>
      </c>
      <c r="B2205" t="s">
        <v>10503</v>
      </c>
      <c r="C2205">
        <v>12</v>
      </c>
      <c r="D2205" t="str">
        <f>VLOOKUP(Tabela26[[#This Row],[EMP]],[1]LOJA!$A:$B,2,0)</f>
        <v>SOFNORTE</v>
      </c>
      <c r="E2205">
        <v>60</v>
      </c>
      <c r="F2205" t="s">
        <v>3709</v>
      </c>
      <c r="G2205" t="s">
        <v>3708</v>
      </c>
      <c r="H2205" t="s">
        <v>10470</v>
      </c>
      <c r="I2205">
        <v>5405</v>
      </c>
      <c r="J2205" s="3">
        <v>128</v>
      </c>
      <c r="K2205" s="3">
        <v>61.43</v>
      </c>
      <c r="L2205">
        <v>52.01</v>
      </c>
    </row>
    <row r="2206" spans="1:12">
      <c r="A2206" s="1">
        <v>46034</v>
      </c>
      <c r="B2206" t="s">
        <v>10502</v>
      </c>
      <c r="C2206">
        <v>12</v>
      </c>
      <c r="D2206" t="str">
        <f>VLOOKUP(Tabela26[[#This Row],[EMP]],[1]LOJA!$A:$B,2,0)</f>
        <v>SOFNORTE</v>
      </c>
      <c r="E2206">
        <v>60</v>
      </c>
      <c r="F2206" t="s">
        <v>3709</v>
      </c>
      <c r="G2206" t="s">
        <v>3708</v>
      </c>
      <c r="H2206" t="s">
        <v>10470</v>
      </c>
      <c r="I2206">
        <v>5102</v>
      </c>
      <c r="J2206" s="3">
        <v>63.81</v>
      </c>
      <c r="K2206" s="3">
        <v>28.52</v>
      </c>
      <c r="L2206">
        <v>55.3</v>
      </c>
    </row>
    <row r="2207" spans="1:12">
      <c r="A2207" s="1">
        <v>46034</v>
      </c>
      <c r="B2207" t="s">
        <v>10501</v>
      </c>
      <c r="C2207">
        <v>22</v>
      </c>
      <c r="D2207" t="str">
        <f>VLOOKUP(Tabela26[[#This Row],[EMP]],[1]LOJA!$A:$B,2,0)</f>
        <v>GUARÁ</v>
      </c>
      <c r="E2207">
        <v>93</v>
      </c>
      <c r="F2207" t="s">
        <v>10500</v>
      </c>
      <c r="G2207" t="s">
        <v>10499</v>
      </c>
      <c r="H2207" t="s">
        <v>3430</v>
      </c>
      <c r="I2207">
        <v>5102</v>
      </c>
      <c r="J2207" s="3">
        <v>103.5</v>
      </c>
      <c r="K2207" s="3">
        <v>48.75</v>
      </c>
      <c r="L2207">
        <v>52.9</v>
      </c>
    </row>
    <row r="2208" spans="1:12">
      <c r="A2208" s="1">
        <v>46034</v>
      </c>
      <c r="B2208" t="s">
        <v>10498</v>
      </c>
      <c r="C2208">
        <v>22</v>
      </c>
      <c r="D2208" t="str">
        <f>VLOOKUP(Tabela26[[#This Row],[EMP]],[1]LOJA!$A:$B,2,0)</f>
        <v>GUARÁ</v>
      </c>
      <c r="E2208">
        <v>93</v>
      </c>
      <c r="F2208" t="s">
        <v>4151</v>
      </c>
      <c r="G2208" t="s">
        <v>4150</v>
      </c>
      <c r="H2208" t="s">
        <v>3430</v>
      </c>
      <c r="I2208">
        <v>5405</v>
      </c>
      <c r="J2208" s="3">
        <v>83.02</v>
      </c>
      <c r="K2208" s="3">
        <v>40.01</v>
      </c>
      <c r="L2208">
        <v>51.81</v>
      </c>
    </row>
    <row r="2209" spans="1:12">
      <c r="A2209" s="1">
        <v>46034</v>
      </c>
      <c r="B2209" t="s">
        <v>10497</v>
      </c>
      <c r="C2209">
        <v>22</v>
      </c>
      <c r="D2209" t="str">
        <f>VLOOKUP(Tabela26[[#This Row],[EMP]],[1]LOJA!$A:$B,2,0)</f>
        <v>GUARÁ</v>
      </c>
      <c r="E2209">
        <v>93</v>
      </c>
      <c r="F2209" t="s">
        <v>4136</v>
      </c>
      <c r="G2209" t="s">
        <v>4135</v>
      </c>
      <c r="H2209" t="s">
        <v>3430</v>
      </c>
      <c r="I2209">
        <v>5405</v>
      </c>
      <c r="J2209" s="3">
        <v>430.85</v>
      </c>
      <c r="K2209" s="3">
        <v>220.48</v>
      </c>
      <c r="L2209">
        <v>48.83</v>
      </c>
    </row>
    <row r="2210" spans="1:12">
      <c r="A2210" s="1">
        <v>46034</v>
      </c>
      <c r="B2210" t="s">
        <v>10496</v>
      </c>
      <c r="C2210">
        <v>22</v>
      </c>
      <c r="D2210" t="str">
        <f>VLOOKUP(Tabela26[[#This Row],[EMP]],[1]LOJA!$A:$B,2,0)</f>
        <v>GUARÁ</v>
      </c>
      <c r="E2210">
        <v>93</v>
      </c>
      <c r="F2210" t="s">
        <v>6493</v>
      </c>
      <c r="G2210" t="s">
        <v>6492</v>
      </c>
      <c r="H2210" t="s">
        <v>3430</v>
      </c>
      <c r="I2210">
        <v>5405</v>
      </c>
      <c r="J2210" s="3">
        <v>224.82</v>
      </c>
      <c r="K2210" s="3">
        <v>112.88</v>
      </c>
      <c r="L2210">
        <v>49.79</v>
      </c>
    </row>
    <row r="2211" spans="1:12">
      <c r="A2211" s="1">
        <v>46034</v>
      </c>
      <c r="B2211" t="s">
        <v>10495</v>
      </c>
      <c r="C2211">
        <v>22</v>
      </c>
      <c r="D2211" t="str">
        <f>VLOOKUP(Tabela26[[#This Row],[EMP]],[1]LOJA!$A:$B,2,0)</f>
        <v>GUARÁ</v>
      </c>
      <c r="E2211">
        <v>93</v>
      </c>
      <c r="F2211" t="s">
        <v>4147</v>
      </c>
      <c r="G2211" t="s">
        <v>4146</v>
      </c>
      <c r="H2211" t="s">
        <v>3430</v>
      </c>
      <c r="I2211">
        <v>5405</v>
      </c>
      <c r="J2211" s="3">
        <v>146.07</v>
      </c>
      <c r="K2211" s="3">
        <v>75.569999999999993</v>
      </c>
      <c r="L2211">
        <v>48.26</v>
      </c>
    </row>
    <row r="2212" spans="1:12">
      <c r="A2212" s="1">
        <v>46034</v>
      </c>
      <c r="B2212" t="s">
        <v>10494</v>
      </c>
      <c r="C2212">
        <v>22</v>
      </c>
      <c r="D2212" t="str">
        <f>VLOOKUP(Tabela26[[#This Row],[EMP]],[1]LOJA!$A:$B,2,0)</f>
        <v>GUARÁ</v>
      </c>
      <c r="E2212">
        <v>93</v>
      </c>
      <c r="F2212" t="s">
        <v>3514</v>
      </c>
      <c r="G2212" t="s">
        <v>3513</v>
      </c>
      <c r="H2212" t="s">
        <v>3430</v>
      </c>
      <c r="I2212">
        <v>5405</v>
      </c>
      <c r="J2212" s="3">
        <v>380.26</v>
      </c>
      <c r="K2212" s="3">
        <v>217.02</v>
      </c>
      <c r="L2212">
        <v>42.93</v>
      </c>
    </row>
    <row r="2213" spans="1:12">
      <c r="A2213" s="1">
        <v>46034</v>
      </c>
      <c r="B2213" t="s">
        <v>10493</v>
      </c>
      <c r="C2213">
        <v>22</v>
      </c>
      <c r="D2213" t="str">
        <f>VLOOKUP(Tabela26[[#This Row],[EMP]],[1]LOJA!$A:$B,2,0)</f>
        <v>GUARÁ</v>
      </c>
      <c r="E2213">
        <v>93</v>
      </c>
      <c r="F2213" t="s">
        <v>4151</v>
      </c>
      <c r="G2213" t="s">
        <v>4150</v>
      </c>
      <c r="H2213" t="s">
        <v>3430</v>
      </c>
      <c r="I2213">
        <v>5405</v>
      </c>
      <c r="J2213" s="3">
        <v>340.87</v>
      </c>
      <c r="K2213" s="3">
        <v>164.06</v>
      </c>
      <c r="L2213">
        <v>51.87</v>
      </c>
    </row>
    <row r="2214" spans="1:12">
      <c r="A2214" s="1">
        <v>46034</v>
      </c>
      <c r="B2214" t="s">
        <v>10492</v>
      </c>
      <c r="C2214">
        <v>13</v>
      </c>
      <c r="D2214" t="str">
        <f>VLOOKUP(Tabela26[[#This Row],[EMP]],[1]LOJA!$A:$B,2,0)</f>
        <v>CEILÂNDIA</v>
      </c>
      <c r="E2214">
        <v>86</v>
      </c>
      <c r="F2214" t="s">
        <v>3406</v>
      </c>
      <c r="G2214" t="s">
        <v>3405</v>
      </c>
      <c r="H2214" t="s">
        <v>3401</v>
      </c>
      <c r="I2214">
        <v>1411</v>
      </c>
      <c r="J2214" s="3">
        <v>-50</v>
      </c>
      <c r="K2214" s="3">
        <v>-25.77</v>
      </c>
      <c r="L2214">
        <v>48.46</v>
      </c>
    </row>
    <row r="2215" spans="1:12">
      <c r="A2215" s="1">
        <v>46034</v>
      </c>
      <c r="B2215" t="s">
        <v>10491</v>
      </c>
      <c r="C2215">
        <v>13</v>
      </c>
      <c r="D2215" t="str">
        <f>VLOOKUP(Tabela26[[#This Row],[EMP]],[1]LOJA!$A:$B,2,0)</f>
        <v>CEILÂNDIA</v>
      </c>
      <c r="E2215">
        <v>33</v>
      </c>
      <c r="F2215" t="s">
        <v>4792</v>
      </c>
      <c r="G2215" t="s">
        <v>4791</v>
      </c>
      <c r="H2215" t="s">
        <v>10470</v>
      </c>
      <c r="I2215">
        <v>5405</v>
      </c>
      <c r="J2215" s="3">
        <v>1447.2</v>
      </c>
      <c r="K2215" s="3">
        <v>785.8</v>
      </c>
      <c r="L2215">
        <v>45.7</v>
      </c>
    </row>
    <row r="2216" spans="1:12">
      <c r="A2216" s="1">
        <v>46034</v>
      </c>
      <c r="B2216" t="s">
        <v>10490</v>
      </c>
      <c r="C2216">
        <v>13</v>
      </c>
      <c r="D2216" t="str">
        <f>VLOOKUP(Tabela26[[#This Row],[EMP]],[1]LOJA!$A:$B,2,0)</f>
        <v>CEILÂNDIA</v>
      </c>
      <c r="E2216">
        <v>33</v>
      </c>
      <c r="F2216" t="s">
        <v>4792</v>
      </c>
      <c r="G2216" t="s">
        <v>4791</v>
      </c>
      <c r="H2216" t="s">
        <v>10470</v>
      </c>
      <c r="I2216">
        <v>5405</v>
      </c>
      <c r="J2216" s="3">
        <v>153</v>
      </c>
      <c r="K2216" s="3">
        <v>98.61</v>
      </c>
      <c r="L2216">
        <v>35.549999999999997</v>
      </c>
    </row>
    <row r="2217" spans="1:12">
      <c r="A2217" s="1">
        <v>46034</v>
      </c>
      <c r="B2217" t="s">
        <v>10489</v>
      </c>
      <c r="C2217">
        <v>13</v>
      </c>
      <c r="D2217" t="str">
        <f>VLOOKUP(Tabela26[[#This Row],[EMP]],[1]LOJA!$A:$B,2,0)</f>
        <v>CEILÂNDIA</v>
      </c>
      <c r="E2217">
        <v>86</v>
      </c>
      <c r="F2217" t="s">
        <v>4122</v>
      </c>
      <c r="G2217" t="s">
        <v>4121</v>
      </c>
      <c r="H2217" t="s">
        <v>3430</v>
      </c>
      <c r="I2217">
        <v>5405</v>
      </c>
      <c r="J2217" s="3">
        <v>111.81</v>
      </c>
      <c r="K2217" s="3">
        <v>51.77</v>
      </c>
      <c r="L2217">
        <v>53.7</v>
      </c>
    </row>
    <row r="2218" spans="1:12">
      <c r="A2218" s="1">
        <v>46034</v>
      </c>
      <c r="B2218" t="s">
        <v>10488</v>
      </c>
      <c r="C2218">
        <v>13</v>
      </c>
      <c r="D2218" t="str">
        <f>VLOOKUP(Tabela26[[#This Row],[EMP]],[1]LOJA!$A:$B,2,0)</f>
        <v>CEILÂNDIA</v>
      </c>
      <c r="E2218">
        <v>86</v>
      </c>
      <c r="F2218" t="s">
        <v>4122</v>
      </c>
      <c r="G2218" t="s">
        <v>4121</v>
      </c>
      <c r="H2218" t="s">
        <v>3430</v>
      </c>
      <c r="I2218">
        <v>5405</v>
      </c>
      <c r="J2218" s="3">
        <v>146.1</v>
      </c>
      <c r="K2218" s="3">
        <v>68.91</v>
      </c>
      <c r="L2218">
        <v>52.83</v>
      </c>
    </row>
    <row r="2219" spans="1:12">
      <c r="A2219" s="1">
        <v>46034</v>
      </c>
      <c r="B2219" t="s">
        <v>10487</v>
      </c>
      <c r="C2219">
        <v>13</v>
      </c>
      <c r="D2219" t="str">
        <f>VLOOKUP(Tabela26[[#This Row],[EMP]],[1]LOJA!$A:$B,2,0)</f>
        <v>CEILÂNDIA</v>
      </c>
      <c r="E2219">
        <v>86</v>
      </c>
      <c r="F2219" t="s">
        <v>5857</v>
      </c>
      <c r="G2219" t="s">
        <v>5856</v>
      </c>
      <c r="H2219" t="s">
        <v>3430</v>
      </c>
      <c r="I2219">
        <v>5405</v>
      </c>
      <c r="J2219" s="3">
        <v>140</v>
      </c>
      <c r="K2219" s="3">
        <v>78.81</v>
      </c>
      <c r="L2219">
        <v>43.71</v>
      </c>
    </row>
    <row r="2220" spans="1:12">
      <c r="A2220" s="1">
        <v>46034</v>
      </c>
      <c r="B2220" t="s">
        <v>10486</v>
      </c>
      <c r="C2220">
        <v>13</v>
      </c>
      <c r="D2220" t="str">
        <f>VLOOKUP(Tabela26[[#This Row],[EMP]],[1]LOJA!$A:$B,2,0)</f>
        <v>CEILÂNDIA</v>
      </c>
      <c r="E2220">
        <v>86</v>
      </c>
      <c r="F2220" t="s">
        <v>4081</v>
      </c>
      <c r="G2220" t="s">
        <v>4080</v>
      </c>
      <c r="H2220" t="s">
        <v>10470</v>
      </c>
      <c r="I2220">
        <v>5405</v>
      </c>
      <c r="J2220" s="3">
        <v>194.69</v>
      </c>
      <c r="K2220" s="3">
        <v>102.86</v>
      </c>
      <c r="L2220">
        <v>47.17</v>
      </c>
    </row>
    <row r="2221" spans="1:12">
      <c r="A2221" s="1">
        <v>46034</v>
      </c>
      <c r="B2221" t="s">
        <v>10485</v>
      </c>
      <c r="C2221">
        <v>13</v>
      </c>
      <c r="D2221" t="str">
        <f>VLOOKUP(Tabela26[[#This Row],[EMP]],[1]LOJA!$A:$B,2,0)</f>
        <v>CEILÂNDIA</v>
      </c>
      <c r="E2221">
        <v>86</v>
      </c>
      <c r="F2221" t="s">
        <v>3501</v>
      </c>
      <c r="G2221" t="s">
        <v>3500</v>
      </c>
      <c r="H2221" t="s">
        <v>3430</v>
      </c>
      <c r="I2221">
        <v>5405</v>
      </c>
      <c r="J2221" s="3">
        <v>599.79999999999995</v>
      </c>
      <c r="K2221" s="3">
        <v>380.5</v>
      </c>
      <c r="L2221">
        <v>36.56</v>
      </c>
    </row>
    <row r="2222" spans="1:12">
      <c r="A2222" s="1">
        <v>46034</v>
      </c>
      <c r="B2222" t="s">
        <v>10484</v>
      </c>
      <c r="C2222">
        <v>13</v>
      </c>
      <c r="D2222" t="str">
        <f>VLOOKUP(Tabela26[[#This Row],[EMP]],[1]LOJA!$A:$B,2,0)</f>
        <v>CEILÂNDIA</v>
      </c>
      <c r="E2222">
        <v>86</v>
      </c>
      <c r="F2222" t="s">
        <v>4112</v>
      </c>
      <c r="G2222" t="s">
        <v>4111</v>
      </c>
      <c r="H2222" t="s">
        <v>3430</v>
      </c>
      <c r="I2222">
        <v>5102</v>
      </c>
      <c r="J2222" s="3">
        <v>40.29</v>
      </c>
      <c r="K2222" s="3">
        <v>22.83</v>
      </c>
      <c r="L2222">
        <v>43.34</v>
      </c>
    </row>
    <row r="2223" spans="1:12">
      <c r="A2223" s="1">
        <v>46034</v>
      </c>
      <c r="B2223" t="s">
        <v>10483</v>
      </c>
      <c r="C2223">
        <v>13</v>
      </c>
      <c r="D2223" t="str">
        <f>VLOOKUP(Tabela26[[#This Row],[EMP]],[1]LOJA!$A:$B,2,0)</f>
        <v>CEILÂNDIA</v>
      </c>
      <c r="E2223">
        <v>86</v>
      </c>
      <c r="F2223" t="s">
        <v>4106</v>
      </c>
      <c r="G2223" t="s">
        <v>4105</v>
      </c>
      <c r="H2223" t="s">
        <v>3430</v>
      </c>
      <c r="I2223">
        <v>5405</v>
      </c>
      <c r="J2223" s="3">
        <v>135</v>
      </c>
      <c r="K2223" s="3">
        <v>71.52</v>
      </c>
      <c r="L2223">
        <v>47.02</v>
      </c>
    </row>
    <row r="2224" spans="1:12">
      <c r="A2224" s="1">
        <v>46034</v>
      </c>
      <c r="B2224" t="s">
        <v>10482</v>
      </c>
      <c r="C2224">
        <v>13</v>
      </c>
      <c r="D2224" t="str">
        <f>VLOOKUP(Tabela26[[#This Row],[EMP]],[1]LOJA!$A:$B,2,0)</f>
        <v>CEILÂNDIA</v>
      </c>
      <c r="E2224">
        <v>33</v>
      </c>
      <c r="F2224" t="s">
        <v>3505</v>
      </c>
      <c r="G2224" t="s">
        <v>3504</v>
      </c>
      <c r="H2224" t="s">
        <v>3430</v>
      </c>
      <c r="I2224">
        <v>5405</v>
      </c>
      <c r="J2224" s="3">
        <v>661.25</v>
      </c>
      <c r="K2224" s="3">
        <v>346.55</v>
      </c>
      <c r="L2224">
        <v>47.59</v>
      </c>
    </row>
    <row r="2225" spans="1:12">
      <c r="A2225" s="1">
        <v>46034</v>
      </c>
      <c r="B2225" t="s">
        <v>10481</v>
      </c>
      <c r="C2225">
        <v>13</v>
      </c>
      <c r="D2225" t="str">
        <f>VLOOKUP(Tabela26[[#This Row],[EMP]],[1]LOJA!$A:$B,2,0)</f>
        <v>CEILÂNDIA</v>
      </c>
      <c r="E2225">
        <v>33</v>
      </c>
      <c r="F2225" t="s">
        <v>3505</v>
      </c>
      <c r="G2225" t="s">
        <v>3504</v>
      </c>
      <c r="H2225" t="s">
        <v>3430</v>
      </c>
      <c r="I2225">
        <v>5102</v>
      </c>
      <c r="J2225" s="3">
        <v>60.06</v>
      </c>
      <c r="K2225" s="3">
        <v>40.5</v>
      </c>
      <c r="L2225">
        <v>32.57</v>
      </c>
    </row>
    <row r="2226" spans="1:12">
      <c r="A2226" s="1">
        <v>46034</v>
      </c>
      <c r="B2226" t="s">
        <v>10480</v>
      </c>
      <c r="C2226">
        <v>13</v>
      </c>
      <c r="D2226" t="str">
        <f>VLOOKUP(Tabela26[[#This Row],[EMP]],[1]LOJA!$A:$B,2,0)</f>
        <v>CEILÂNDIA</v>
      </c>
      <c r="E2226">
        <v>86</v>
      </c>
      <c r="F2226" t="s">
        <v>4097</v>
      </c>
      <c r="G2226" t="s">
        <v>4096</v>
      </c>
      <c r="H2226" t="s">
        <v>3430</v>
      </c>
      <c r="I2226">
        <v>5405</v>
      </c>
      <c r="J2226" s="3">
        <v>978.88</v>
      </c>
      <c r="K2226" s="3">
        <v>537.37</v>
      </c>
      <c r="L2226">
        <v>45.1</v>
      </c>
    </row>
    <row r="2227" spans="1:12">
      <c r="A2227" s="1">
        <v>46034</v>
      </c>
      <c r="B2227" t="s">
        <v>10479</v>
      </c>
      <c r="C2227">
        <v>13</v>
      </c>
      <c r="D2227" t="str">
        <f>VLOOKUP(Tabela26[[#This Row],[EMP]],[1]LOJA!$A:$B,2,0)</f>
        <v>CEILÂNDIA</v>
      </c>
      <c r="E2227">
        <v>86</v>
      </c>
      <c r="F2227" t="s">
        <v>4775</v>
      </c>
      <c r="G2227" t="s">
        <v>4774</v>
      </c>
      <c r="H2227" t="s">
        <v>10470</v>
      </c>
      <c r="I2227">
        <v>5405</v>
      </c>
      <c r="J2227" s="3">
        <v>290</v>
      </c>
      <c r="K2227" s="3">
        <v>138.94</v>
      </c>
      <c r="L2227">
        <v>52.09</v>
      </c>
    </row>
    <row r="2228" spans="1:12">
      <c r="A2228" s="1">
        <v>46034</v>
      </c>
      <c r="B2228" t="s">
        <v>10478</v>
      </c>
      <c r="C2228">
        <v>13</v>
      </c>
      <c r="D2228" t="str">
        <f>VLOOKUP(Tabela26[[#This Row],[EMP]],[1]LOJA!$A:$B,2,0)</f>
        <v>CEILÂNDIA</v>
      </c>
      <c r="E2228">
        <v>86</v>
      </c>
      <c r="F2228" t="s">
        <v>4081</v>
      </c>
      <c r="G2228" t="s">
        <v>4080</v>
      </c>
      <c r="H2228" t="s">
        <v>10470</v>
      </c>
      <c r="I2228">
        <v>5102</v>
      </c>
      <c r="J2228" s="3">
        <v>59.8</v>
      </c>
      <c r="K2228" s="3">
        <v>43.66</v>
      </c>
      <c r="L2228">
        <v>26.99</v>
      </c>
    </row>
    <row r="2229" spans="1:12">
      <c r="A2229" s="1">
        <v>46034</v>
      </c>
      <c r="B2229" t="s">
        <v>10477</v>
      </c>
      <c r="C2229">
        <v>13</v>
      </c>
      <c r="D2229" t="str">
        <f>VLOOKUP(Tabela26[[#This Row],[EMP]],[1]LOJA!$A:$B,2,0)</f>
        <v>CEILÂNDIA</v>
      </c>
      <c r="E2229">
        <v>86</v>
      </c>
      <c r="F2229" t="s">
        <v>4115</v>
      </c>
      <c r="G2229" t="s">
        <v>4114</v>
      </c>
      <c r="H2229" t="s">
        <v>3430</v>
      </c>
      <c r="I2229">
        <v>5102</v>
      </c>
      <c r="J2229" s="3">
        <v>420</v>
      </c>
      <c r="K2229" s="3">
        <v>265.81</v>
      </c>
      <c r="L2229">
        <v>36.71</v>
      </c>
    </row>
    <row r="2230" spans="1:12">
      <c r="A2230" s="1">
        <v>46034</v>
      </c>
      <c r="B2230" t="s">
        <v>10476</v>
      </c>
      <c r="C2230">
        <v>13</v>
      </c>
      <c r="D2230" t="str">
        <f>VLOOKUP(Tabela26[[#This Row],[EMP]],[1]LOJA!$A:$B,2,0)</f>
        <v>CEILÂNDIA</v>
      </c>
      <c r="E2230">
        <v>86</v>
      </c>
      <c r="F2230" t="s">
        <v>4094</v>
      </c>
      <c r="G2230" t="s">
        <v>4093</v>
      </c>
      <c r="H2230" t="s">
        <v>10470</v>
      </c>
      <c r="I2230">
        <v>5405</v>
      </c>
      <c r="J2230" s="3">
        <v>83.42</v>
      </c>
      <c r="K2230" s="3">
        <v>43.46</v>
      </c>
      <c r="L2230">
        <v>47.9</v>
      </c>
    </row>
    <row r="2231" spans="1:12">
      <c r="A2231" s="1">
        <v>46034</v>
      </c>
      <c r="B2231" t="s">
        <v>10475</v>
      </c>
      <c r="C2231">
        <v>13</v>
      </c>
      <c r="D2231" t="str">
        <f>VLOOKUP(Tabela26[[#This Row],[EMP]],[1]LOJA!$A:$B,2,0)</f>
        <v>CEILÂNDIA</v>
      </c>
      <c r="E2231">
        <v>86</v>
      </c>
      <c r="F2231" t="s">
        <v>4084</v>
      </c>
      <c r="G2231" t="s">
        <v>4083</v>
      </c>
      <c r="H2231" t="s">
        <v>3430</v>
      </c>
      <c r="I2231">
        <v>5102</v>
      </c>
      <c r="J2231" s="3">
        <v>138.72999999999999</v>
      </c>
      <c r="K2231" s="3">
        <v>79.819999999999993</v>
      </c>
      <c r="L2231">
        <v>42.46</v>
      </c>
    </row>
    <row r="2232" spans="1:12">
      <c r="A2232" s="1">
        <v>46034</v>
      </c>
      <c r="B2232" t="s">
        <v>10474</v>
      </c>
      <c r="C2232">
        <v>13</v>
      </c>
      <c r="D2232" t="str">
        <f>VLOOKUP(Tabela26[[#This Row],[EMP]],[1]LOJA!$A:$B,2,0)</f>
        <v>CEILÂNDIA</v>
      </c>
      <c r="E2232">
        <v>86</v>
      </c>
      <c r="F2232" t="s">
        <v>3501</v>
      </c>
      <c r="G2232" t="s">
        <v>3500</v>
      </c>
      <c r="H2232" t="s">
        <v>3430</v>
      </c>
      <c r="I2232">
        <v>5405</v>
      </c>
      <c r="J2232" s="3">
        <v>228</v>
      </c>
      <c r="K2232" s="3">
        <v>115.63</v>
      </c>
      <c r="L2232">
        <v>49.29</v>
      </c>
    </row>
    <row r="2233" spans="1:12">
      <c r="A2233" s="1">
        <v>46034</v>
      </c>
      <c r="B2233" t="s">
        <v>10473</v>
      </c>
      <c r="C2233">
        <v>13</v>
      </c>
      <c r="D2233" t="str">
        <f>VLOOKUP(Tabela26[[#This Row],[EMP]],[1]LOJA!$A:$B,2,0)</f>
        <v>CEILÂNDIA</v>
      </c>
      <c r="E2233">
        <v>86</v>
      </c>
      <c r="F2233" t="s">
        <v>4097</v>
      </c>
      <c r="G2233" t="s">
        <v>4096</v>
      </c>
      <c r="H2233" t="s">
        <v>3430</v>
      </c>
      <c r="I2233">
        <v>5405</v>
      </c>
      <c r="J2233" s="3">
        <v>267.98</v>
      </c>
      <c r="K2233" s="3">
        <v>138.51</v>
      </c>
      <c r="L2233">
        <v>48.31</v>
      </c>
    </row>
    <row r="2234" spans="1:12">
      <c r="A2234" s="1">
        <v>46034</v>
      </c>
      <c r="B2234" t="s">
        <v>10472</v>
      </c>
      <c r="C2234">
        <v>13</v>
      </c>
      <c r="D2234" t="str">
        <f>VLOOKUP(Tabela26[[#This Row],[EMP]],[1]LOJA!$A:$B,2,0)</f>
        <v>CEILÂNDIA</v>
      </c>
      <c r="E2234">
        <v>86</v>
      </c>
      <c r="F2234" t="s">
        <v>4094</v>
      </c>
      <c r="G2234" t="s">
        <v>4093</v>
      </c>
      <c r="H2234" t="s">
        <v>10470</v>
      </c>
      <c r="I2234">
        <v>5102</v>
      </c>
      <c r="J2234" s="3">
        <v>27.79</v>
      </c>
      <c r="K2234" s="3">
        <v>12.57</v>
      </c>
      <c r="L2234">
        <v>54.77</v>
      </c>
    </row>
    <row r="2235" spans="1:12">
      <c r="A2235" s="1">
        <v>46034</v>
      </c>
      <c r="B2235" t="s">
        <v>10471</v>
      </c>
      <c r="C2235">
        <v>13</v>
      </c>
      <c r="D2235" t="str">
        <f>VLOOKUP(Tabela26[[#This Row],[EMP]],[1]LOJA!$A:$B,2,0)</f>
        <v>CEILÂNDIA</v>
      </c>
      <c r="E2235">
        <v>86</v>
      </c>
      <c r="F2235" t="s">
        <v>4081</v>
      </c>
      <c r="G2235" t="s">
        <v>4080</v>
      </c>
      <c r="H2235" t="s">
        <v>10470</v>
      </c>
      <c r="I2235">
        <v>5102</v>
      </c>
      <c r="J2235" s="3">
        <v>100.54</v>
      </c>
      <c r="K2235" s="3">
        <v>64.8</v>
      </c>
      <c r="L2235">
        <v>35.549999999999997</v>
      </c>
    </row>
    <row r="2236" spans="1:12">
      <c r="A2236" s="1">
        <v>46034</v>
      </c>
      <c r="B2236" t="s">
        <v>10469</v>
      </c>
      <c r="C2236">
        <v>15</v>
      </c>
      <c r="D2236" t="str">
        <f>VLOOKUP(Tabela26[[#This Row],[EMP]],[1]LOJA!$A:$B,2,0)</f>
        <v>UNAÍ</v>
      </c>
      <c r="E2236">
        <v>183</v>
      </c>
      <c r="F2236" t="s">
        <v>3485</v>
      </c>
      <c r="G2236" t="s">
        <v>3402</v>
      </c>
      <c r="H2236" t="s">
        <v>3401</v>
      </c>
      <c r="I2236">
        <v>5102</v>
      </c>
      <c r="J2236" s="3">
        <v>20</v>
      </c>
      <c r="K2236" s="3">
        <v>9.81</v>
      </c>
      <c r="L2236">
        <v>50.95</v>
      </c>
    </row>
    <row r="2237" spans="1:12">
      <c r="A2237" s="1">
        <v>46034</v>
      </c>
      <c r="B2237" t="s">
        <v>10468</v>
      </c>
      <c r="C2237">
        <v>15</v>
      </c>
      <c r="D2237" t="str">
        <f>VLOOKUP(Tabela26[[#This Row],[EMP]],[1]LOJA!$A:$B,2,0)</f>
        <v>UNAÍ</v>
      </c>
      <c r="E2237">
        <v>183</v>
      </c>
      <c r="F2237" t="s">
        <v>3491</v>
      </c>
      <c r="G2237" t="s">
        <v>3490</v>
      </c>
      <c r="H2237" t="s">
        <v>3430</v>
      </c>
      <c r="I2237">
        <v>5102</v>
      </c>
      <c r="J2237" s="3">
        <v>511.5</v>
      </c>
      <c r="K2237" s="3">
        <v>247.68</v>
      </c>
      <c r="L2237">
        <v>51.58</v>
      </c>
    </row>
    <row r="2238" spans="1:12">
      <c r="A2238" s="1">
        <v>46034</v>
      </c>
      <c r="B2238" t="s">
        <v>10467</v>
      </c>
      <c r="C2238">
        <v>15</v>
      </c>
      <c r="D2238" t="str">
        <f>VLOOKUP(Tabela26[[#This Row],[EMP]],[1]LOJA!$A:$B,2,0)</f>
        <v>UNAÍ</v>
      </c>
      <c r="E2238">
        <v>183</v>
      </c>
      <c r="F2238" t="s">
        <v>3485</v>
      </c>
      <c r="G2238" t="s">
        <v>3402</v>
      </c>
      <c r="H2238" t="s">
        <v>3401</v>
      </c>
      <c r="I2238">
        <v>5102</v>
      </c>
      <c r="J2238" s="3">
        <v>78</v>
      </c>
      <c r="K2238" s="3">
        <v>39.159999999999997</v>
      </c>
      <c r="L2238">
        <v>49.79</v>
      </c>
    </row>
    <row r="2239" spans="1:12">
      <c r="A2239" s="1">
        <v>46034</v>
      </c>
      <c r="B2239" t="s">
        <v>10466</v>
      </c>
      <c r="C2239">
        <v>15</v>
      </c>
      <c r="D2239" t="str">
        <f>VLOOKUP(Tabela26[[#This Row],[EMP]],[1]LOJA!$A:$B,2,0)</f>
        <v>UNAÍ</v>
      </c>
      <c r="E2239">
        <v>183</v>
      </c>
      <c r="F2239" t="s">
        <v>4025</v>
      </c>
      <c r="G2239" t="s">
        <v>4024</v>
      </c>
      <c r="H2239" t="s">
        <v>3401</v>
      </c>
      <c r="I2239">
        <v>5102</v>
      </c>
      <c r="J2239" s="3">
        <v>118.7</v>
      </c>
      <c r="K2239" s="3">
        <v>62.47</v>
      </c>
      <c r="L2239">
        <v>47.37</v>
      </c>
    </row>
    <row r="2240" spans="1:12">
      <c r="A2240" s="1">
        <v>46034</v>
      </c>
      <c r="B2240" t="s">
        <v>10465</v>
      </c>
      <c r="C2240">
        <v>15</v>
      </c>
      <c r="D2240" t="str">
        <f>VLOOKUP(Tabela26[[#This Row],[EMP]],[1]LOJA!$A:$B,2,0)</f>
        <v>UNAÍ</v>
      </c>
      <c r="E2240">
        <v>183</v>
      </c>
      <c r="F2240" t="s">
        <v>3485</v>
      </c>
      <c r="G2240" t="s">
        <v>3402</v>
      </c>
      <c r="H2240" t="s">
        <v>3401</v>
      </c>
      <c r="I2240">
        <v>5102</v>
      </c>
      <c r="J2240" s="3">
        <v>23.75</v>
      </c>
      <c r="K2240" s="3">
        <v>11.99</v>
      </c>
      <c r="L2240">
        <v>49.52</v>
      </c>
    </row>
    <row r="2241" spans="1:12">
      <c r="A2241" s="1">
        <v>46034</v>
      </c>
      <c r="B2241" t="s">
        <v>10464</v>
      </c>
      <c r="C2241">
        <v>15</v>
      </c>
      <c r="D2241" t="str">
        <f>VLOOKUP(Tabela26[[#This Row],[EMP]],[1]LOJA!$A:$B,2,0)</f>
        <v>UNAÍ</v>
      </c>
      <c r="E2241">
        <v>183</v>
      </c>
      <c r="F2241" t="s">
        <v>10463</v>
      </c>
      <c r="G2241" t="s">
        <v>10462</v>
      </c>
      <c r="H2241" t="s">
        <v>3520</v>
      </c>
      <c r="I2241">
        <v>5102</v>
      </c>
      <c r="J2241" s="3">
        <v>162.5</v>
      </c>
      <c r="K2241" s="3">
        <v>79.319999999999993</v>
      </c>
      <c r="L2241">
        <v>51.19</v>
      </c>
    </row>
    <row r="2242" spans="1:12">
      <c r="A2242" s="1">
        <v>46034</v>
      </c>
      <c r="B2242" t="s">
        <v>10461</v>
      </c>
      <c r="C2242">
        <v>15</v>
      </c>
      <c r="D2242" t="str">
        <f>VLOOKUP(Tabela26[[#This Row],[EMP]],[1]LOJA!$A:$B,2,0)</f>
        <v>UNAÍ</v>
      </c>
      <c r="E2242">
        <v>183</v>
      </c>
      <c r="F2242" t="s">
        <v>3485</v>
      </c>
      <c r="G2242" t="s">
        <v>3402</v>
      </c>
      <c r="H2242" t="s">
        <v>3401</v>
      </c>
      <c r="I2242">
        <v>5102</v>
      </c>
      <c r="J2242" s="3">
        <v>76.8</v>
      </c>
      <c r="K2242" s="3">
        <v>37.53</v>
      </c>
      <c r="L2242">
        <v>51.13</v>
      </c>
    </row>
    <row r="2243" spans="1:12">
      <c r="A2243" s="1">
        <v>46034</v>
      </c>
      <c r="B2243" t="s">
        <v>10460</v>
      </c>
      <c r="C2243">
        <v>15</v>
      </c>
      <c r="D2243" t="str">
        <f>VLOOKUP(Tabela26[[#This Row],[EMP]],[1]LOJA!$A:$B,2,0)</f>
        <v>UNAÍ</v>
      </c>
      <c r="E2243">
        <v>183</v>
      </c>
      <c r="F2243" t="s">
        <v>5763</v>
      </c>
      <c r="G2243" t="s">
        <v>5762</v>
      </c>
      <c r="H2243" t="s">
        <v>3401</v>
      </c>
      <c r="I2243">
        <v>5102</v>
      </c>
      <c r="J2243" s="3">
        <v>115</v>
      </c>
      <c r="K2243" s="3">
        <v>63.55</v>
      </c>
      <c r="L2243">
        <v>44.74</v>
      </c>
    </row>
    <row r="2244" spans="1:12">
      <c r="A2244" s="1">
        <v>46034</v>
      </c>
      <c r="B2244" t="s">
        <v>10459</v>
      </c>
      <c r="C2244">
        <v>15</v>
      </c>
      <c r="D2244" t="str">
        <f>VLOOKUP(Tabela26[[#This Row],[EMP]],[1]LOJA!$A:$B,2,0)</f>
        <v>UNAÍ</v>
      </c>
      <c r="E2244">
        <v>183</v>
      </c>
      <c r="F2244" t="s">
        <v>3485</v>
      </c>
      <c r="G2244" t="s">
        <v>3402</v>
      </c>
      <c r="H2244" t="s">
        <v>3401</v>
      </c>
      <c r="I2244">
        <v>5102</v>
      </c>
      <c r="J2244" s="3">
        <v>118.6</v>
      </c>
      <c r="K2244" s="3">
        <v>57.2</v>
      </c>
      <c r="L2244">
        <v>51.77</v>
      </c>
    </row>
    <row r="2245" spans="1:12">
      <c r="A2245" s="1">
        <v>46034</v>
      </c>
      <c r="B2245" t="s">
        <v>10458</v>
      </c>
      <c r="C2245">
        <v>15</v>
      </c>
      <c r="D2245" t="str">
        <f>VLOOKUP(Tabela26[[#This Row],[EMP]],[1]LOJA!$A:$B,2,0)</f>
        <v>UNAÍ</v>
      </c>
      <c r="E2245">
        <v>183</v>
      </c>
      <c r="F2245" t="s">
        <v>4758</v>
      </c>
      <c r="G2245" t="s">
        <v>4757</v>
      </c>
      <c r="H2245" t="s">
        <v>3430</v>
      </c>
      <c r="I2245">
        <v>5102</v>
      </c>
      <c r="J2245" s="3">
        <v>106.44</v>
      </c>
      <c r="K2245" s="3">
        <v>56.54</v>
      </c>
      <c r="L2245">
        <v>46.88</v>
      </c>
    </row>
    <row r="2246" spans="1:12">
      <c r="A2246" s="1">
        <v>46034</v>
      </c>
      <c r="B2246" t="s">
        <v>10457</v>
      </c>
      <c r="C2246">
        <v>15</v>
      </c>
      <c r="D2246" t="str">
        <f>VLOOKUP(Tabela26[[#This Row],[EMP]],[1]LOJA!$A:$B,2,0)</f>
        <v>UNAÍ</v>
      </c>
      <c r="E2246">
        <v>183</v>
      </c>
      <c r="F2246" t="s">
        <v>3485</v>
      </c>
      <c r="G2246" t="s">
        <v>3402</v>
      </c>
      <c r="H2246" t="s">
        <v>3401</v>
      </c>
      <c r="I2246">
        <v>5102</v>
      </c>
      <c r="J2246" s="3">
        <v>10.8</v>
      </c>
      <c r="K2246" s="3">
        <v>5.07</v>
      </c>
      <c r="L2246">
        <v>53.06</v>
      </c>
    </row>
    <row r="2247" spans="1:12">
      <c r="A2247" s="1">
        <v>46034</v>
      </c>
      <c r="B2247" t="s">
        <v>10456</v>
      </c>
      <c r="C2247">
        <v>15</v>
      </c>
      <c r="D2247" t="str">
        <f>VLOOKUP(Tabela26[[#This Row],[EMP]],[1]LOJA!$A:$B,2,0)</f>
        <v>UNAÍ</v>
      </c>
      <c r="E2247">
        <v>183</v>
      </c>
      <c r="F2247" t="s">
        <v>3485</v>
      </c>
      <c r="G2247" t="s">
        <v>3402</v>
      </c>
      <c r="H2247" t="s">
        <v>3401</v>
      </c>
      <c r="I2247">
        <v>5102</v>
      </c>
      <c r="J2247" s="3">
        <v>11</v>
      </c>
      <c r="K2247" s="3">
        <v>7.4</v>
      </c>
      <c r="L2247">
        <v>32.729999999999997</v>
      </c>
    </row>
    <row r="2248" spans="1:12">
      <c r="A2248" s="1">
        <v>46034</v>
      </c>
      <c r="B2248" t="s">
        <v>10455</v>
      </c>
      <c r="C2248">
        <v>15</v>
      </c>
      <c r="D2248" t="str">
        <f>VLOOKUP(Tabela26[[#This Row],[EMP]],[1]LOJA!$A:$B,2,0)</f>
        <v>UNAÍ</v>
      </c>
      <c r="E2248">
        <v>183</v>
      </c>
      <c r="F2248" t="s">
        <v>3485</v>
      </c>
      <c r="G2248" t="s">
        <v>3402</v>
      </c>
      <c r="H2248" t="s">
        <v>3401</v>
      </c>
      <c r="I2248">
        <v>5102</v>
      </c>
      <c r="J2248" s="3">
        <v>2.6</v>
      </c>
      <c r="K2248" s="3">
        <v>1.41</v>
      </c>
      <c r="L2248">
        <v>45.77</v>
      </c>
    </row>
    <row r="2249" spans="1:12">
      <c r="A2249" s="1">
        <v>46034</v>
      </c>
      <c r="B2249" t="s">
        <v>10454</v>
      </c>
      <c r="C2249">
        <v>15</v>
      </c>
      <c r="D2249" t="str">
        <f>VLOOKUP(Tabela26[[#This Row],[EMP]],[1]LOJA!$A:$B,2,0)</f>
        <v>UNAÍ</v>
      </c>
      <c r="E2249">
        <v>183</v>
      </c>
      <c r="F2249" t="s">
        <v>3485</v>
      </c>
      <c r="G2249" t="s">
        <v>3402</v>
      </c>
      <c r="H2249" t="s">
        <v>3401</v>
      </c>
      <c r="I2249">
        <v>5102</v>
      </c>
      <c r="J2249" s="3">
        <v>59.5</v>
      </c>
      <c r="K2249" s="3">
        <v>27.52</v>
      </c>
      <c r="L2249">
        <v>53.75</v>
      </c>
    </row>
    <row r="2250" spans="1:12">
      <c r="A2250" s="1">
        <v>46034</v>
      </c>
      <c r="B2250" t="s">
        <v>10453</v>
      </c>
      <c r="C2250">
        <v>15</v>
      </c>
      <c r="D2250" t="str">
        <f>VLOOKUP(Tabela26[[#This Row],[EMP]],[1]LOJA!$A:$B,2,0)</f>
        <v>UNAÍ</v>
      </c>
      <c r="E2250">
        <v>183</v>
      </c>
      <c r="F2250" t="s">
        <v>3485</v>
      </c>
      <c r="G2250" t="s">
        <v>3402</v>
      </c>
      <c r="H2250" t="s">
        <v>3401</v>
      </c>
      <c r="I2250">
        <v>5102</v>
      </c>
      <c r="J2250" s="3">
        <v>49.4</v>
      </c>
      <c r="K2250" s="3">
        <v>29.5</v>
      </c>
      <c r="L2250">
        <v>40.28</v>
      </c>
    </row>
    <row r="2251" spans="1:12">
      <c r="A2251" s="1">
        <v>46034</v>
      </c>
      <c r="B2251" t="s">
        <v>10452</v>
      </c>
      <c r="C2251">
        <v>15</v>
      </c>
      <c r="D2251" t="str">
        <f>VLOOKUP(Tabela26[[#This Row],[EMP]],[1]LOJA!$A:$B,2,0)</f>
        <v>UNAÍ</v>
      </c>
      <c r="E2251">
        <v>183</v>
      </c>
      <c r="F2251" t="s">
        <v>3969</v>
      </c>
      <c r="G2251" t="s">
        <v>3968</v>
      </c>
      <c r="H2251" t="s">
        <v>4297</v>
      </c>
      <c r="I2251">
        <v>5102</v>
      </c>
      <c r="J2251" s="3">
        <v>21.6</v>
      </c>
      <c r="K2251" s="3">
        <v>13.32</v>
      </c>
      <c r="L2251">
        <v>38.33</v>
      </c>
    </row>
    <row r="2252" spans="1:12">
      <c r="A2252" s="1">
        <v>46034</v>
      </c>
      <c r="B2252" t="s">
        <v>10451</v>
      </c>
      <c r="C2252">
        <v>15</v>
      </c>
      <c r="D2252" t="str">
        <f>VLOOKUP(Tabela26[[#This Row],[EMP]],[1]LOJA!$A:$B,2,0)</f>
        <v>UNAÍ</v>
      </c>
      <c r="E2252">
        <v>183</v>
      </c>
      <c r="F2252" t="s">
        <v>4708</v>
      </c>
      <c r="G2252" t="s">
        <v>4707</v>
      </c>
      <c r="H2252" t="s">
        <v>3520</v>
      </c>
      <c r="I2252">
        <v>5102</v>
      </c>
      <c r="J2252" s="3">
        <v>668</v>
      </c>
      <c r="K2252" s="3">
        <v>340.51</v>
      </c>
      <c r="L2252">
        <v>49.03</v>
      </c>
    </row>
    <row r="2253" spans="1:12">
      <c r="A2253" s="1">
        <v>46034</v>
      </c>
      <c r="B2253" t="s">
        <v>10450</v>
      </c>
      <c r="C2253">
        <v>15</v>
      </c>
      <c r="D2253" t="str">
        <f>VLOOKUP(Tabela26[[#This Row],[EMP]],[1]LOJA!$A:$B,2,0)</f>
        <v>UNAÍ</v>
      </c>
      <c r="E2253">
        <v>183</v>
      </c>
      <c r="F2253" t="s">
        <v>10449</v>
      </c>
      <c r="G2253" t="s">
        <v>10448</v>
      </c>
      <c r="H2253" t="s">
        <v>3408</v>
      </c>
      <c r="I2253">
        <v>5102</v>
      </c>
      <c r="J2253" s="3">
        <v>434</v>
      </c>
      <c r="K2253" s="3">
        <v>219.6</v>
      </c>
      <c r="L2253">
        <v>49.4</v>
      </c>
    </row>
    <row r="2254" spans="1:12">
      <c r="A2254" s="1">
        <v>46034</v>
      </c>
      <c r="B2254" t="s">
        <v>10447</v>
      </c>
      <c r="C2254">
        <v>15</v>
      </c>
      <c r="D2254" t="str">
        <f>VLOOKUP(Tabela26[[#This Row],[EMP]],[1]LOJA!$A:$B,2,0)</f>
        <v>UNAÍ</v>
      </c>
      <c r="E2254">
        <v>183</v>
      </c>
      <c r="F2254" t="s">
        <v>4048</v>
      </c>
      <c r="G2254" t="s">
        <v>4047</v>
      </c>
      <c r="H2254" t="s">
        <v>3520</v>
      </c>
      <c r="I2254">
        <v>5405</v>
      </c>
      <c r="J2254" s="3">
        <v>270</v>
      </c>
      <c r="K2254" s="3">
        <v>154.19999999999999</v>
      </c>
      <c r="L2254">
        <v>42.89</v>
      </c>
    </row>
    <row r="2255" spans="1:12">
      <c r="A2255" s="1">
        <v>46034</v>
      </c>
      <c r="B2255" t="s">
        <v>10446</v>
      </c>
      <c r="C2255">
        <v>15</v>
      </c>
      <c r="D2255" t="str">
        <f>VLOOKUP(Tabela26[[#This Row],[EMP]],[1]LOJA!$A:$B,2,0)</f>
        <v>UNAÍ</v>
      </c>
      <c r="E2255">
        <v>183</v>
      </c>
      <c r="F2255" t="s">
        <v>3485</v>
      </c>
      <c r="G2255" t="s">
        <v>3402</v>
      </c>
      <c r="H2255" t="s">
        <v>3401</v>
      </c>
      <c r="I2255">
        <v>5102</v>
      </c>
      <c r="J2255" s="3">
        <v>2.9</v>
      </c>
      <c r="K2255" s="3">
        <v>1.47</v>
      </c>
      <c r="L2255">
        <v>49.31</v>
      </c>
    </row>
    <row r="2256" spans="1:12">
      <c r="A2256" s="1">
        <v>46034</v>
      </c>
      <c r="B2256" t="s">
        <v>10445</v>
      </c>
      <c r="C2256">
        <v>15</v>
      </c>
      <c r="D2256" t="str">
        <f>VLOOKUP(Tabela26[[#This Row],[EMP]],[1]LOJA!$A:$B,2,0)</f>
        <v>UNAÍ</v>
      </c>
      <c r="E2256">
        <v>183</v>
      </c>
      <c r="F2256" t="s">
        <v>3485</v>
      </c>
      <c r="G2256" t="s">
        <v>3402</v>
      </c>
      <c r="H2256" t="s">
        <v>3401</v>
      </c>
      <c r="I2256">
        <v>5102</v>
      </c>
      <c r="J2256" s="3">
        <v>9</v>
      </c>
      <c r="K2256" s="3">
        <v>4.16</v>
      </c>
      <c r="L2256">
        <v>53.78</v>
      </c>
    </row>
    <row r="2257" spans="1:12">
      <c r="A2257" s="1">
        <v>46034</v>
      </c>
      <c r="B2257" t="s">
        <v>10444</v>
      </c>
      <c r="C2257">
        <v>15</v>
      </c>
      <c r="D2257" t="str">
        <f>VLOOKUP(Tabela26[[#This Row],[EMP]],[1]LOJA!$A:$B,2,0)</f>
        <v>UNAÍ</v>
      </c>
      <c r="E2257">
        <v>183</v>
      </c>
      <c r="F2257" t="s">
        <v>3485</v>
      </c>
      <c r="G2257" t="s">
        <v>3402</v>
      </c>
      <c r="H2257" t="s">
        <v>3401</v>
      </c>
      <c r="I2257">
        <v>5102</v>
      </c>
      <c r="J2257" s="3">
        <v>86.4</v>
      </c>
      <c r="K2257" s="3">
        <v>44.82</v>
      </c>
      <c r="L2257">
        <v>48.13</v>
      </c>
    </row>
    <row r="2258" spans="1:12">
      <c r="A2258" s="1">
        <v>46034</v>
      </c>
      <c r="B2258" t="s">
        <v>10443</v>
      </c>
      <c r="C2258">
        <v>15</v>
      </c>
      <c r="D2258" t="str">
        <f>VLOOKUP(Tabela26[[#This Row],[EMP]],[1]LOJA!$A:$B,2,0)</f>
        <v>UNAÍ</v>
      </c>
      <c r="E2258">
        <v>183</v>
      </c>
      <c r="F2258" t="s">
        <v>4681</v>
      </c>
      <c r="G2258" t="s">
        <v>4680</v>
      </c>
      <c r="H2258" t="s">
        <v>4297</v>
      </c>
      <c r="I2258">
        <v>5102</v>
      </c>
      <c r="J2258" s="3">
        <v>89.5</v>
      </c>
      <c r="K2258" s="3">
        <v>43.78</v>
      </c>
      <c r="L2258">
        <v>51.08</v>
      </c>
    </row>
    <row r="2259" spans="1:12">
      <c r="A2259" s="1">
        <v>46034</v>
      </c>
      <c r="B2259" t="s">
        <v>10442</v>
      </c>
      <c r="C2259">
        <v>15</v>
      </c>
      <c r="D2259" t="str">
        <f>VLOOKUP(Tabela26[[#This Row],[EMP]],[1]LOJA!$A:$B,2,0)</f>
        <v>UNAÍ</v>
      </c>
      <c r="E2259">
        <v>183</v>
      </c>
      <c r="F2259" t="s">
        <v>4016</v>
      </c>
      <c r="G2259" t="s">
        <v>4015</v>
      </c>
      <c r="H2259" t="s">
        <v>3533</v>
      </c>
      <c r="I2259">
        <v>5102</v>
      </c>
      <c r="J2259" s="3">
        <v>36</v>
      </c>
      <c r="K2259" s="3">
        <v>17.920000000000002</v>
      </c>
      <c r="L2259">
        <v>50.22</v>
      </c>
    </row>
    <row r="2260" spans="1:12">
      <c r="A2260" s="1">
        <v>46034</v>
      </c>
      <c r="B2260" t="s">
        <v>10441</v>
      </c>
      <c r="C2260">
        <v>15</v>
      </c>
      <c r="D2260" t="str">
        <f>VLOOKUP(Tabela26[[#This Row],[EMP]],[1]LOJA!$A:$B,2,0)</f>
        <v>UNAÍ</v>
      </c>
      <c r="E2260">
        <v>183</v>
      </c>
      <c r="F2260" t="s">
        <v>4019</v>
      </c>
      <c r="G2260" t="s">
        <v>4018</v>
      </c>
      <c r="H2260" t="s">
        <v>4297</v>
      </c>
      <c r="I2260">
        <v>5102</v>
      </c>
      <c r="J2260" s="3">
        <v>85.6</v>
      </c>
      <c r="K2260" s="3">
        <v>45.19</v>
      </c>
      <c r="L2260">
        <v>47.21</v>
      </c>
    </row>
    <row r="2261" spans="1:12">
      <c r="A2261" s="1">
        <v>46034</v>
      </c>
      <c r="B2261" t="s">
        <v>10440</v>
      </c>
      <c r="C2261">
        <v>6</v>
      </c>
      <c r="D2261" t="str">
        <f>VLOOKUP(Tabela26[[#This Row],[EMP]],[1]LOJA!$A:$B,2,0)</f>
        <v>GAMA</v>
      </c>
      <c r="E2261">
        <v>226</v>
      </c>
      <c r="F2261" t="s">
        <v>6827</v>
      </c>
      <c r="G2261" t="s">
        <v>6826</v>
      </c>
      <c r="H2261" t="s">
        <v>3430</v>
      </c>
      <c r="I2261">
        <v>5405</v>
      </c>
      <c r="J2261" s="3">
        <v>84.9</v>
      </c>
      <c r="K2261" s="3">
        <v>39.32</v>
      </c>
      <c r="L2261">
        <v>53.69</v>
      </c>
    </row>
    <row r="2262" spans="1:12">
      <c r="A2262" s="1">
        <v>46034</v>
      </c>
      <c r="B2262" t="s">
        <v>10439</v>
      </c>
      <c r="C2262">
        <v>14</v>
      </c>
      <c r="D2262" t="str">
        <f>VLOOKUP(Tabela26[[#This Row],[EMP]],[1]LOJA!$A:$B,2,0)</f>
        <v>S IA</v>
      </c>
      <c r="E2262">
        <v>54</v>
      </c>
      <c r="F2262" t="s">
        <v>3478</v>
      </c>
      <c r="G2262" t="s">
        <v>3477</v>
      </c>
      <c r="H2262" t="s">
        <v>3408</v>
      </c>
      <c r="I2262">
        <v>5102</v>
      </c>
      <c r="J2262" s="3">
        <v>70</v>
      </c>
      <c r="K2262" s="3">
        <v>33.92</v>
      </c>
      <c r="L2262">
        <v>51.54</v>
      </c>
    </row>
    <row r="2263" spans="1:12">
      <c r="A2263" s="1">
        <v>46034</v>
      </c>
      <c r="B2263" t="s">
        <v>10438</v>
      </c>
      <c r="C2263">
        <v>14</v>
      </c>
      <c r="D2263" t="str">
        <f>VLOOKUP(Tabela26[[#This Row],[EMP]],[1]LOJA!$A:$B,2,0)</f>
        <v>S IA</v>
      </c>
      <c r="E2263">
        <v>54</v>
      </c>
      <c r="F2263" t="s">
        <v>5589</v>
      </c>
      <c r="G2263" t="s">
        <v>3402</v>
      </c>
      <c r="H2263" t="s">
        <v>3408</v>
      </c>
      <c r="I2263">
        <v>5405</v>
      </c>
      <c r="J2263" s="3">
        <v>366.26</v>
      </c>
      <c r="K2263" s="3">
        <v>199.98</v>
      </c>
      <c r="L2263">
        <v>45.4</v>
      </c>
    </row>
    <row r="2264" spans="1:12">
      <c r="A2264" s="1">
        <v>46034</v>
      </c>
      <c r="B2264" t="s">
        <v>10437</v>
      </c>
      <c r="C2264">
        <v>14</v>
      </c>
      <c r="D2264" t="str">
        <f>VLOOKUP(Tabela26[[#This Row],[EMP]],[1]LOJA!$A:$B,2,0)</f>
        <v>S IA</v>
      </c>
      <c r="E2264">
        <v>212</v>
      </c>
      <c r="F2264" t="s">
        <v>3403</v>
      </c>
      <c r="G2264" t="s">
        <v>3402</v>
      </c>
      <c r="H2264" t="s">
        <v>3401</v>
      </c>
      <c r="I2264">
        <v>5102</v>
      </c>
      <c r="J2264" s="3">
        <v>43.9</v>
      </c>
      <c r="K2264" s="3">
        <v>19.32</v>
      </c>
      <c r="L2264">
        <v>55.99</v>
      </c>
    </row>
    <row r="2265" spans="1:12">
      <c r="A2265" s="1">
        <v>46034</v>
      </c>
      <c r="B2265" t="s">
        <v>10436</v>
      </c>
      <c r="C2265">
        <v>14</v>
      </c>
      <c r="D2265" t="str">
        <f>VLOOKUP(Tabela26[[#This Row],[EMP]],[1]LOJA!$A:$B,2,0)</f>
        <v>S IA</v>
      </c>
      <c r="E2265">
        <v>54</v>
      </c>
      <c r="F2265" t="s">
        <v>3478</v>
      </c>
      <c r="G2265" t="s">
        <v>3477</v>
      </c>
      <c r="H2265" t="s">
        <v>3408</v>
      </c>
      <c r="I2265">
        <v>5405</v>
      </c>
      <c r="J2265" s="3">
        <v>118</v>
      </c>
      <c r="K2265" s="3">
        <v>58.14</v>
      </c>
      <c r="L2265">
        <v>50.73</v>
      </c>
    </row>
    <row r="2266" spans="1:12">
      <c r="A2266" s="1">
        <v>46034</v>
      </c>
      <c r="B2266" t="s">
        <v>10435</v>
      </c>
      <c r="C2266">
        <v>14</v>
      </c>
      <c r="D2266" t="str">
        <f>VLOOKUP(Tabela26[[#This Row],[EMP]],[1]LOJA!$A:$B,2,0)</f>
        <v>S IA</v>
      </c>
      <c r="E2266">
        <v>54</v>
      </c>
      <c r="F2266" t="s">
        <v>3403</v>
      </c>
      <c r="G2266" t="s">
        <v>3402</v>
      </c>
      <c r="H2266" t="s">
        <v>3401</v>
      </c>
      <c r="I2266">
        <v>5405</v>
      </c>
      <c r="J2266" s="3">
        <v>58</v>
      </c>
      <c r="K2266" s="3">
        <v>29.25</v>
      </c>
      <c r="L2266">
        <v>49.57</v>
      </c>
    </row>
    <row r="2267" spans="1:12">
      <c r="A2267" s="1">
        <v>46034</v>
      </c>
      <c r="B2267" t="s">
        <v>10434</v>
      </c>
      <c r="C2267">
        <v>14</v>
      </c>
      <c r="D2267" t="str">
        <f>VLOOKUP(Tabela26[[#This Row],[EMP]],[1]LOJA!$A:$B,2,0)</f>
        <v>S IA</v>
      </c>
      <c r="E2267">
        <v>54</v>
      </c>
      <c r="F2267" t="s">
        <v>5589</v>
      </c>
      <c r="G2267" t="s">
        <v>3402</v>
      </c>
      <c r="H2267" t="s">
        <v>3408</v>
      </c>
      <c r="I2267">
        <v>5405</v>
      </c>
      <c r="J2267" s="3">
        <v>53</v>
      </c>
      <c r="K2267" s="3">
        <v>26.03</v>
      </c>
      <c r="L2267">
        <v>50.89</v>
      </c>
    </row>
    <row r="2268" spans="1:12">
      <c r="A2268" s="1">
        <v>46034</v>
      </c>
      <c r="B2268" t="s">
        <v>10433</v>
      </c>
      <c r="C2268">
        <v>14</v>
      </c>
      <c r="D2268" t="str">
        <f>VLOOKUP(Tabela26[[#This Row],[EMP]],[1]LOJA!$A:$B,2,0)</f>
        <v>S IA</v>
      </c>
      <c r="E2268">
        <v>212</v>
      </c>
      <c r="F2268" t="s">
        <v>5432</v>
      </c>
      <c r="G2268" t="s">
        <v>3402</v>
      </c>
      <c r="H2268" t="s">
        <v>3401</v>
      </c>
      <c r="I2268">
        <v>5405</v>
      </c>
      <c r="J2268" s="3">
        <v>27</v>
      </c>
      <c r="K2268" s="3">
        <v>11</v>
      </c>
      <c r="L2268">
        <v>59.26</v>
      </c>
    </row>
    <row r="2269" spans="1:12">
      <c r="A2269" s="1">
        <v>46034</v>
      </c>
      <c r="B2269" t="s">
        <v>10432</v>
      </c>
      <c r="C2269">
        <v>15</v>
      </c>
      <c r="D2269" t="str">
        <f>VLOOKUP(Tabela26[[#This Row],[EMP]],[1]LOJA!$A:$B,2,0)</f>
        <v>UNAÍ</v>
      </c>
      <c r="E2269">
        <v>183</v>
      </c>
      <c r="F2269" t="s">
        <v>5308</v>
      </c>
      <c r="G2269" t="s">
        <v>5307</v>
      </c>
      <c r="H2269" t="s">
        <v>3401</v>
      </c>
      <c r="I2269">
        <v>5102</v>
      </c>
      <c r="J2269" s="3">
        <v>42</v>
      </c>
      <c r="K2269" s="3">
        <v>19.25</v>
      </c>
      <c r="L2269">
        <v>54.17</v>
      </c>
    </row>
    <row r="2270" spans="1:12">
      <c r="A2270" s="1">
        <v>46034</v>
      </c>
      <c r="B2270" t="s">
        <v>10431</v>
      </c>
      <c r="C2270">
        <v>15</v>
      </c>
      <c r="D2270" t="str">
        <f>VLOOKUP(Tabela26[[#This Row],[EMP]],[1]LOJA!$A:$B,2,0)</f>
        <v>UNAÍ</v>
      </c>
      <c r="E2270">
        <v>183</v>
      </c>
      <c r="F2270" t="s">
        <v>4074</v>
      </c>
      <c r="G2270" t="s">
        <v>4073</v>
      </c>
      <c r="H2270" t="s">
        <v>3401</v>
      </c>
      <c r="I2270">
        <v>5102</v>
      </c>
      <c r="J2270" s="3">
        <v>51.5</v>
      </c>
      <c r="K2270" s="3">
        <v>20.46</v>
      </c>
      <c r="L2270">
        <v>60.27</v>
      </c>
    </row>
    <row r="2271" spans="1:12">
      <c r="A2271" s="1">
        <v>46034</v>
      </c>
      <c r="B2271" t="s">
        <v>10430</v>
      </c>
      <c r="C2271">
        <v>15</v>
      </c>
      <c r="D2271" t="str">
        <f>VLOOKUP(Tabela26[[#This Row],[EMP]],[1]LOJA!$A:$B,2,0)</f>
        <v>UNAÍ</v>
      </c>
      <c r="E2271">
        <v>183</v>
      </c>
      <c r="F2271" t="s">
        <v>4029</v>
      </c>
      <c r="G2271" t="s">
        <v>4028</v>
      </c>
      <c r="H2271" t="s">
        <v>3401</v>
      </c>
      <c r="I2271">
        <v>5405</v>
      </c>
      <c r="J2271" s="3">
        <v>250.5</v>
      </c>
      <c r="K2271" s="3">
        <v>138.37</v>
      </c>
      <c r="L2271">
        <v>44.76</v>
      </c>
    </row>
    <row r="2272" spans="1:12">
      <c r="A2272" s="1">
        <v>46034</v>
      </c>
      <c r="B2272" t="s">
        <v>10429</v>
      </c>
      <c r="C2272">
        <v>15</v>
      </c>
      <c r="D2272" t="str">
        <f>VLOOKUP(Tabela26[[#This Row],[EMP]],[1]LOJA!$A:$B,2,0)</f>
        <v>UNAÍ</v>
      </c>
      <c r="E2272">
        <v>183</v>
      </c>
      <c r="F2272" t="s">
        <v>4655</v>
      </c>
      <c r="G2272" t="s">
        <v>4654</v>
      </c>
      <c r="H2272" t="s">
        <v>3401</v>
      </c>
      <c r="I2272">
        <v>5102</v>
      </c>
      <c r="J2272" s="3">
        <v>3.6</v>
      </c>
      <c r="K2272" s="3">
        <v>1.69</v>
      </c>
      <c r="L2272">
        <v>53.06</v>
      </c>
    </row>
    <row r="2273" spans="1:12">
      <c r="A2273" s="1">
        <v>46034</v>
      </c>
      <c r="B2273" t="s">
        <v>10428</v>
      </c>
      <c r="C2273">
        <v>15</v>
      </c>
      <c r="D2273" t="str">
        <f>VLOOKUP(Tabela26[[#This Row],[EMP]],[1]LOJA!$A:$B,2,0)</f>
        <v>UNAÍ</v>
      </c>
      <c r="E2273">
        <v>183</v>
      </c>
      <c r="F2273" t="s">
        <v>3963</v>
      </c>
      <c r="G2273" t="s">
        <v>3962</v>
      </c>
      <c r="H2273" t="s">
        <v>3401</v>
      </c>
      <c r="I2273">
        <v>5102</v>
      </c>
      <c r="J2273" s="3">
        <v>64.8</v>
      </c>
      <c r="K2273" s="3">
        <v>30.61</v>
      </c>
      <c r="L2273">
        <v>52.76</v>
      </c>
    </row>
    <row r="2274" spans="1:12">
      <c r="A2274" s="1">
        <v>46034</v>
      </c>
      <c r="B2274" t="s">
        <v>10427</v>
      </c>
      <c r="C2274">
        <v>15</v>
      </c>
      <c r="D2274" t="str">
        <f>VLOOKUP(Tabela26[[#This Row],[EMP]],[1]LOJA!$A:$B,2,0)</f>
        <v>UNAÍ</v>
      </c>
      <c r="E2274">
        <v>183</v>
      </c>
      <c r="F2274" t="s">
        <v>4655</v>
      </c>
      <c r="G2274" t="s">
        <v>4654</v>
      </c>
      <c r="H2274" t="s">
        <v>3401</v>
      </c>
      <c r="I2274">
        <v>5102</v>
      </c>
      <c r="J2274" s="3">
        <v>7.2</v>
      </c>
      <c r="K2274" s="3">
        <v>3.38</v>
      </c>
      <c r="L2274">
        <v>53.06</v>
      </c>
    </row>
    <row r="2275" spans="1:12">
      <c r="A2275" s="1">
        <v>46034</v>
      </c>
      <c r="B2275" t="s">
        <v>10426</v>
      </c>
      <c r="C2275">
        <v>15</v>
      </c>
      <c r="D2275" t="str">
        <f>VLOOKUP(Tabela26[[#This Row],[EMP]],[1]LOJA!$A:$B,2,0)</f>
        <v>UNAÍ</v>
      </c>
      <c r="E2275">
        <v>183</v>
      </c>
      <c r="F2275" t="s">
        <v>3467</v>
      </c>
      <c r="G2275" t="s">
        <v>3466</v>
      </c>
      <c r="H2275" t="s">
        <v>3401</v>
      </c>
      <c r="I2275">
        <v>5102</v>
      </c>
      <c r="J2275" s="3">
        <v>11</v>
      </c>
      <c r="K2275" s="3">
        <v>6.56</v>
      </c>
      <c r="L2275">
        <v>40.36</v>
      </c>
    </row>
    <row r="2276" spans="1:12">
      <c r="A2276" s="1">
        <v>46034</v>
      </c>
      <c r="B2276" t="s">
        <v>10425</v>
      </c>
      <c r="C2276">
        <v>12</v>
      </c>
      <c r="D2276" t="str">
        <f>VLOOKUP(Tabela26[[#This Row],[EMP]],[1]LOJA!$A:$B,2,0)</f>
        <v>SOFNORTE</v>
      </c>
      <c r="E2276">
        <v>60</v>
      </c>
      <c r="F2276" t="s">
        <v>4817</v>
      </c>
      <c r="G2276" t="s">
        <v>4816</v>
      </c>
      <c r="H2276" t="s">
        <v>3430</v>
      </c>
      <c r="I2276">
        <v>5405</v>
      </c>
      <c r="J2276" s="3">
        <v>1061.01</v>
      </c>
      <c r="K2276" s="3">
        <v>543.51</v>
      </c>
      <c r="L2276">
        <v>48.77</v>
      </c>
    </row>
    <row r="2277" spans="1:12">
      <c r="A2277" s="1">
        <v>46034</v>
      </c>
      <c r="B2277" t="s">
        <v>10424</v>
      </c>
      <c r="C2277">
        <v>22</v>
      </c>
      <c r="D2277" t="str">
        <f>VLOOKUP(Tabela26[[#This Row],[EMP]],[1]LOJA!$A:$B,2,0)</f>
        <v>GUARÁ</v>
      </c>
      <c r="E2277">
        <v>93</v>
      </c>
      <c r="F2277" t="s">
        <v>4629</v>
      </c>
      <c r="G2277" t="s">
        <v>4628</v>
      </c>
      <c r="H2277" t="s">
        <v>3408</v>
      </c>
      <c r="I2277">
        <v>5102</v>
      </c>
      <c r="J2277" s="3">
        <v>43</v>
      </c>
      <c r="K2277" s="3">
        <v>22.89</v>
      </c>
      <c r="L2277">
        <v>46.77</v>
      </c>
    </row>
    <row r="2278" spans="1:12">
      <c r="A2278" s="1">
        <v>46034</v>
      </c>
      <c r="B2278" t="s">
        <v>10423</v>
      </c>
      <c r="C2278">
        <v>12</v>
      </c>
      <c r="D2278" t="str">
        <f>VLOOKUP(Tabela26[[#This Row],[EMP]],[1]LOJA!$A:$B,2,0)</f>
        <v>SOFNORTE</v>
      </c>
      <c r="E2278">
        <v>60</v>
      </c>
      <c r="F2278" t="s">
        <v>10422</v>
      </c>
      <c r="G2278" t="s">
        <v>10421</v>
      </c>
      <c r="H2278" t="s">
        <v>3401</v>
      </c>
      <c r="I2278">
        <v>5102</v>
      </c>
      <c r="J2278" s="3">
        <v>47.8</v>
      </c>
      <c r="K2278" s="3">
        <v>26.64</v>
      </c>
      <c r="L2278">
        <v>44.27</v>
      </c>
    </row>
    <row r="2279" spans="1:12">
      <c r="A2279" s="1">
        <v>46034</v>
      </c>
      <c r="B2279" t="s">
        <v>10420</v>
      </c>
      <c r="C2279">
        <v>22</v>
      </c>
      <c r="D2279" t="str">
        <f>VLOOKUP(Tabela26[[#This Row],[EMP]],[1]LOJA!$A:$B,2,0)</f>
        <v>GUARÁ</v>
      </c>
      <c r="E2279">
        <v>93</v>
      </c>
      <c r="F2279" t="s">
        <v>3921</v>
      </c>
      <c r="G2279" t="s">
        <v>3920</v>
      </c>
      <c r="H2279" t="s">
        <v>3401</v>
      </c>
      <c r="I2279">
        <v>5102</v>
      </c>
      <c r="J2279" s="3">
        <v>41</v>
      </c>
      <c r="K2279" s="3">
        <v>26.37</v>
      </c>
      <c r="L2279">
        <v>35.68</v>
      </c>
    </row>
    <row r="2280" spans="1:12">
      <c r="A2280" s="1">
        <v>46034</v>
      </c>
      <c r="B2280" t="s">
        <v>10419</v>
      </c>
      <c r="C2280">
        <v>12</v>
      </c>
      <c r="D2280" t="str">
        <f>VLOOKUP(Tabela26[[#This Row],[EMP]],[1]LOJA!$A:$B,2,0)</f>
        <v>SOFNORTE</v>
      </c>
      <c r="E2280">
        <v>60</v>
      </c>
      <c r="F2280" t="s">
        <v>5057</v>
      </c>
      <c r="G2280" t="s">
        <v>5056</v>
      </c>
      <c r="H2280" t="s">
        <v>3430</v>
      </c>
      <c r="I2280">
        <v>5405</v>
      </c>
      <c r="J2280" s="3">
        <v>109</v>
      </c>
      <c r="K2280" s="3">
        <v>60.21</v>
      </c>
      <c r="L2280">
        <v>44.76</v>
      </c>
    </row>
    <row r="2281" spans="1:12">
      <c r="A2281" s="1">
        <v>46034</v>
      </c>
      <c r="B2281" t="s">
        <v>10418</v>
      </c>
      <c r="C2281">
        <v>22</v>
      </c>
      <c r="D2281" t="str">
        <f>VLOOKUP(Tabela26[[#This Row],[EMP]],[1]LOJA!$A:$B,2,0)</f>
        <v>GUARÁ</v>
      </c>
      <c r="E2281">
        <v>93</v>
      </c>
      <c r="F2281" t="s">
        <v>9199</v>
      </c>
      <c r="G2281" t="s">
        <v>9198</v>
      </c>
      <c r="H2281" t="s">
        <v>3408</v>
      </c>
      <c r="I2281">
        <v>5405</v>
      </c>
      <c r="J2281" s="3">
        <v>77</v>
      </c>
      <c r="K2281" s="3">
        <v>39.28</v>
      </c>
      <c r="L2281">
        <v>48.99</v>
      </c>
    </row>
    <row r="2282" spans="1:12">
      <c r="A2282" s="1">
        <v>46034</v>
      </c>
      <c r="B2282" t="s">
        <v>10417</v>
      </c>
      <c r="C2282">
        <v>12</v>
      </c>
      <c r="D2282" t="str">
        <f>VLOOKUP(Tabela26[[#This Row],[EMP]],[1]LOJA!$A:$B,2,0)</f>
        <v>SOFNORTE</v>
      </c>
      <c r="E2282">
        <v>60</v>
      </c>
      <c r="F2282" t="s">
        <v>3461</v>
      </c>
      <c r="G2282" t="s">
        <v>3460</v>
      </c>
      <c r="H2282" t="s">
        <v>3430</v>
      </c>
      <c r="I2282">
        <v>5405</v>
      </c>
      <c r="J2282" s="3">
        <v>102.02</v>
      </c>
      <c r="K2282" s="3">
        <v>50.23</v>
      </c>
      <c r="L2282">
        <v>50.76</v>
      </c>
    </row>
    <row r="2283" spans="1:12">
      <c r="A2283" s="1">
        <v>46034</v>
      </c>
      <c r="B2283" t="s">
        <v>10416</v>
      </c>
      <c r="C2283">
        <v>22</v>
      </c>
      <c r="D2283" t="str">
        <f>VLOOKUP(Tabela26[[#This Row],[EMP]],[1]LOJA!$A:$B,2,0)</f>
        <v>GUARÁ</v>
      </c>
      <c r="E2283">
        <v>93</v>
      </c>
      <c r="F2283" t="s">
        <v>3403</v>
      </c>
      <c r="G2283" t="s">
        <v>3402</v>
      </c>
      <c r="H2283" t="s">
        <v>3401</v>
      </c>
      <c r="I2283">
        <v>5405</v>
      </c>
      <c r="J2283" s="3">
        <v>118</v>
      </c>
      <c r="K2283" s="3">
        <v>58.08</v>
      </c>
      <c r="L2283">
        <v>50.78</v>
      </c>
    </row>
    <row r="2284" spans="1:12">
      <c r="A2284" s="1">
        <v>46034</v>
      </c>
      <c r="B2284" t="s">
        <v>10415</v>
      </c>
      <c r="C2284">
        <v>12</v>
      </c>
      <c r="D2284" t="str">
        <f>VLOOKUP(Tabela26[[#This Row],[EMP]],[1]LOJA!$A:$B,2,0)</f>
        <v>SOFNORTE</v>
      </c>
      <c r="E2284">
        <v>60</v>
      </c>
      <c r="F2284" t="s">
        <v>3461</v>
      </c>
      <c r="G2284" t="s">
        <v>3460</v>
      </c>
      <c r="H2284" t="s">
        <v>3430</v>
      </c>
      <c r="I2284">
        <v>5405</v>
      </c>
      <c r="J2284" s="3">
        <v>87.73</v>
      </c>
      <c r="K2284" s="3">
        <v>43.73</v>
      </c>
      <c r="L2284">
        <v>50.15</v>
      </c>
    </row>
    <row r="2285" spans="1:12">
      <c r="A2285" s="1">
        <v>46034</v>
      </c>
      <c r="B2285" t="s">
        <v>10414</v>
      </c>
      <c r="C2285">
        <v>22</v>
      </c>
      <c r="D2285" t="str">
        <f>VLOOKUP(Tabela26[[#This Row],[EMP]],[1]LOJA!$A:$B,2,0)</f>
        <v>GUARÁ</v>
      </c>
      <c r="E2285">
        <v>93</v>
      </c>
      <c r="F2285" t="s">
        <v>10413</v>
      </c>
      <c r="G2285" t="s">
        <v>3402</v>
      </c>
      <c r="H2285" t="s">
        <v>3401</v>
      </c>
      <c r="I2285">
        <v>5405</v>
      </c>
      <c r="J2285" s="3">
        <v>80</v>
      </c>
      <c r="K2285" s="3">
        <v>36.44</v>
      </c>
      <c r="L2285">
        <v>54.45</v>
      </c>
    </row>
    <row r="2286" spans="1:12">
      <c r="A2286" s="1">
        <v>46034</v>
      </c>
      <c r="B2286" t="s">
        <v>10412</v>
      </c>
      <c r="C2286">
        <v>12</v>
      </c>
      <c r="D2286" t="str">
        <f>VLOOKUP(Tabela26[[#This Row],[EMP]],[1]LOJA!$A:$B,2,0)</f>
        <v>SOFNORTE</v>
      </c>
      <c r="E2286">
        <v>239</v>
      </c>
      <c r="F2286" t="s">
        <v>3925</v>
      </c>
      <c r="G2286" t="s">
        <v>3924</v>
      </c>
      <c r="H2286" t="s">
        <v>3430</v>
      </c>
      <c r="I2286">
        <v>5102</v>
      </c>
      <c r="J2286" s="3">
        <v>24</v>
      </c>
      <c r="K2286" s="3">
        <v>11.97</v>
      </c>
      <c r="L2286">
        <v>50.13</v>
      </c>
    </row>
    <row r="2287" spans="1:12">
      <c r="A2287" s="1">
        <v>46034</v>
      </c>
      <c r="B2287" t="s">
        <v>10411</v>
      </c>
      <c r="C2287">
        <v>22</v>
      </c>
      <c r="D2287" t="str">
        <f>VLOOKUP(Tabela26[[#This Row],[EMP]],[1]LOJA!$A:$B,2,0)</f>
        <v>GUARÁ</v>
      </c>
      <c r="E2287">
        <v>93</v>
      </c>
      <c r="F2287" t="s">
        <v>3870</v>
      </c>
      <c r="G2287" t="s">
        <v>3869</v>
      </c>
      <c r="H2287" t="s">
        <v>3401</v>
      </c>
      <c r="I2287">
        <v>5102</v>
      </c>
      <c r="J2287" s="3">
        <v>16.600000000000001</v>
      </c>
      <c r="K2287" s="3">
        <v>9.24</v>
      </c>
      <c r="L2287">
        <v>44.34</v>
      </c>
    </row>
    <row r="2288" spans="1:12">
      <c r="A2288" s="1">
        <v>46034</v>
      </c>
      <c r="B2288" t="s">
        <v>10410</v>
      </c>
      <c r="C2288">
        <v>12</v>
      </c>
      <c r="D2288" t="str">
        <f>VLOOKUP(Tabela26[[#This Row],[EMP]],[1]LOJA!$A:$B,2,0)</f>
        <v>SOFNORTE</v>
      </c>
      <c r="E2288">
        <v>60</v>
      </c>
      <c r="F2288" t="s">
        <v>10409</v>
      </c>
      <c r="G2288" t="s">
        <v>10408</v>
      </c>
      <c r="H2288" t="s">
        <v>4249</v>
      </c>
      <c r="I2288">
        <v>5102</v>
      </c>
      <c r="J2288" s="3">
        <v>804</v>
      </c>
      <c r="K2288" s="3">
        <v>416.5</v>
      </c>
      <c r="L2288">
        <v>48.2</v>
      </c>
    </row>
    <row r="2289" spans="1:12">
      <c r="A2289" s="1">
        <v>46034</v>
      </c>
      <c r="B2289" t="s">
        <v>10407</v>
      </c>
      <c r="C2289">
        <v>22</v>
      </c>
      <c r="D2289" t="str">
        <f>VLOOKUP(Tabela26[[#This Row],[EMP]],[1]LOJA!$A:$B,2,0)</f>
        <v>GUARÁ</v>
      </c>
      <c r="E2289">
        <v>93</v>
      </c>
      <c r="F2289" t="s">
        <v>4603</v>
      </c>
      <c r="G2289" t="s">
        <v>4602</v>
      </c>
      <c r="H2289" t="s">
        <v>3401</v>
      </c>
      <c r="I2289">
        <v>5102</v>
      </c>
      <c r="J2289" s="3">
        <v>20</v>
      </c>
      <c r="K2289" s="3">
        <v>10.16</v>
      </c>
      <c r="L2289">
        <v>49.2</v>
      </c>
    </row>
    <row r="2290" spans="1:12">
      <c r="A2290" s="1">
        <v>46034</v>
      </c>
      <c r="B2290" t="s">
        <v>10406</v>
      </c>
      <c r="C2290">
        <v>22</v>
      </c>
      <c r="D2290" t="str">
        <f>VLOOKUP(Tabela26[[#This Row],[EMP]],[1]LOJA!$A:$B,2,0)</f>
        <v>GUARÁ</v>
      </c>
      <c r="E2290">
        <v>16</v>
      </c>
      <c r="F2290" t="s">
        <v>3403</v>
      </c>
      <c r="G2290" t="s">
        <v>3402</v>
      </c>
      <c r="H2290" t="s">
        <v>3401</v>
      </c>
      <c r="I2290">
        <v>5102</v>
      </c>
      <c r="J2290" s="3">
        <v>47</v>
      </c>
      <c r="K2290" s="3">
        <v>23.53</v>
      </c>
      <c r="L2290">
        <v>49.94</v>
      </c>
    </row>
    <row r="2291" spans="1:12">
      <c r="A2291" s="1">
        <v>46034</v>
      </c>
      <c r="B2291" t="s">
        <v>10405</v>
      </c>
      <c r="C2291">
        <v>22</v>
      </c>
      <c r="D2291" t="str">
        <f>VLOOKUP(Tabela26[[#This Row],[EMP]],[1]LOJA!$A:$B,2,0)</f>
        <v>GUARÁ</v>
      </c>
      <c r="E2291">
        <v>16</v>
      </c>
      <c r="F2291" t="s">
        <v>10404</v>
      </c>
      <c r="G2291" t="s">
        <v>3402</v>
      </c>
      <c r="H2291" t="s">
        <v>3408</v>
      </c>
      <c r="I2291">
        <v>5102</v>
      </c>
      <c r="J2291" s="3">
        <v>43</v>
      </c>
      <c r="K2291" s="3">
        <v>25.59</v>
      </c>
      <c r="L2291">
        <v>40.49</v>
      </c>
    </row>
    <row r="2292" spans="1:12">
      <c r="A2292" s="1">
        <v>46034</v>
      </c>
      <c r="B2292" t="s">
        <v>10403</v>
      </c>
      <c r="C2292">
        <v>22</v>
      </c>
      <c r="D2292" t="str">
        <f>VLOOKUP(Tabela26[[#This Row],[EMP]],[1]LOJA!$A:$B,2,0)</f>
        <v>GUARÁ</v>
      </c>
      <c r="E2292">
        <v>93</v>
      </c>
      <c r="F2292" t="s">
        <v>3403</v>
      </c>
      <c r="G2292" t="s">
        <v>3402</v>
      </c>
      <c r="H2292" t="s">
        <v>3401</v>
      </c>
      <c r="I2292">
        <v>5405</v>
      </c>
      <c r="J2292" s="3">
        <v>87</v>
      </c>
      <c r="K2292" s="3">
        <v>38.590000000000003</v>
      </c>
      <c r="L2292">
        <v>55.64</v>
      </c>
    </row>
    <row r="2293" spans="1:12">
      <c r="A2293" s="1">
        <v>46034</v>
      </c>
      <c r="B2293" t="s">
        <v>10402</v>
      </c>
      <c r="C2293">
        <v>22</v>
      </c>
      <c r="D2293" t="str">
        <f>VLOOKUP(Tabela26[[#This Row],[EMP]],[1]LOJA!$A:$B,2,0)</f>
        <v>GUARÁ</v>
      </c>
      <c r="E2293">
        <v>93</v>
      </c>
      <c r="F2293" t="s">
        <v>4603</v>
      </c>
      <c r="G2293" t="s">
        <v>4602</v>
      </c>
      <c r="H2293" t="s">
        <v>3408</v>
      </c>
      <c r="I2293">
        <v>5102</v>
      </c>
      <c r="J2293" s="3">
        <v>33</v>
      </c>
      <c r="K2293" s="3">
        <v>18.02</v>
      </c>
      <c r="L2293">
        <v>45.39</v>
      </c>
    </row>
    <row r="2294" spans="1:12">
      <c r="A2294" s="1">
        <v>46034</v>
      </c>
      <c r="B2294" t="s">
        <v>10401</v>
      </c>
      <c r="C2294">
        <v>22</v>
      </c>
      <c r="D2294" t="str">
        <f>VLOOKUP(Tabela26[[#This Row],[EMP]],[1]LOJA!$A:$B,2,0)</f>
        <v>GUARÁ</v>
      </c>
      <c r="E2294">
        <v>93</v>
      </c>
      <c r="F2294" t="s">
        <v>9199</v>
      </c>
      <c r="G2294" t="s">
        <v>9198</v>
      </c>
      <c r="H2294" t="s">
        <v>3401</v>
      </c>
      <c r="I2294">
        <v>5405</v>
      </c>
      <c r="J2294" s="3">
        <v>57</v>
      </c>
      <c r="K2294" s="3">
        <v>27.24</v>
      </c>
      <c r="L2294">
        <v>52.21</v>
      </c>
    </row>
    <row r="2295" spans="1:12">
      <c r="A2295" s="1">
        <v>46034</v>
      </c>
      <c r="B2295" t="s">
        <v>10400</v>
      </c>
      <c r="C2295">
        <v>22</v>
      </c>
      <c r="D2295" t="str">
        <f>VLOOKUP(Tabela26[[#This Row],[EMP]],[1]LOJA!$A:$B,2,0)</f>
        <v>GUARÁ</v>
      </c>
      <c r="E2295">
        <v>93</v>
      </c>
      <c r="F2295" t="s">
        <v>6365</v>
      </c>
      <c r="G2295" t="s">
        <v>6364</v>
      </c>
      <c r="H2295" t="s">
        <v>3401</v>
      </c>
      <c r="I2295">
        <v>5405</v>
      </c>
      <c r="J2295" s="3">
        <v>245</v>
      </c>
      <c r="K2295" s="3">
        <v>132.19999999999999</v>
      </c>
      <c r="L2295">
        <v>46.04</v>
      </c>
    </row>
    <row r="2296" spans="1:12">
      <c r="A2296" s="1">
        <v>46034</v>
      </c>
      <c r="B2296" t="s">
        <v>10399</v>
      </c>
      <c r="C2296">
        <v>22</v>
      </c>
      <c r="D2296" t="str">
        <f>VLOOKUP(Tabela26[[#This Row],[EMP]],[1]LOJA!$A:$B,2,0)</f>
        <v>GUARÁ</v>
      </c>
      <c r="E2296">
        <v>93</v>
      </c>
      <c r="F2296" t="s">
        <v>5212</v>
      </c>
      <c r="G2296" t="s">
        <v>5211</v>
      </c>
      <c r="H2296" t="s">
        <v>3401</v>
      </c>
      <c r="I2296">
        <v>5102</v>
      </c>
      <c r="J2296" s="3">
        <v>66</v>
      </c>
      <c r="K2296" s="3">
        <v>36.880000000000003</v>
      </c>
      <c r="L2296">
        <v>44.12</v>
      </c>
    </row>
    <row r="2297" spans="1:12">
      <c r="A2297" s="1">
        <v>46034</v>
      </c>
      <c r="B2297" t="s">
        <v>10398</v>
      </c>
      <c r="C2297">
        <v>22</v>
      </c>
      <c r="D2297" t="str">
        <f>VLOOKUP(Tabela26[[#This Row],[EMP]],[1]LOJA!$A:$B,2,0)</f>
        <v>GUARÁ</v>
      </c>
      <c r="E2297">
        <v>16</v>
      </c>
      <c r="F2297" t="s">
        <v>3870</v>
      </c>
      <c r="G2297" t="s">
        <v>3869</v>
      </c>
      <c r="H2297" t="s">
        <v>3401</v>
      </c>
      <c r="I2297">
        <v>5102</v>
      </c>
      <c r="J2297" s="3">
        <v>16</v>
      </c>
      <c r="K2297" s="3">
        <v>9.2200000000000006</v>
      </c>
      <c r="L2297">
        <v>42.38</v>
      </c>
    </row>
    <row r="2298" spans="1:12">
      <c r="A2298" s="1">
        <v>46034</v>
      </c>
      <c r="B2298" t="s">
        <v>10397</v>
      </c>
      <c r="C2298">
        <v>22</v>
      </c>
      <c r="D2298" t="str">
        <f>VLOOKUP(Tabela26[[#This Row],[EMP]],[1]LOJA!$A:$B,2,0)</f>
        <v>GUARÁ</v>
      </c>
      <c r="E2298">
        <v>16</v>
      </c>
      <c r="F2298" t="s">
        <v>3403</v>
      </c>
      <c r="G2298" t="s">
        <v>3402</v>
      </c>
      <c r="H2298" t="s">
        <v>3401</v>
      </c>
      <c r="I2298">
        <v>5405</v>
      </c>
      <c r="J2298" s="3">
        <v>27</v>
      </c>
      <c r="K2298" s="3">
        <v>12.04</v>
      </c>
      <c r="L2298">
        <v>55.41</v>
      </c>
    </row>
    <row r="2299" spans="1:12">
      <c r="A2299" s="1">
        <v>46034</v>
      </c>
      <c r="B2299" t="s">
        <v>10396</v>
      </c>
      <c r="C2299">
        <v>22</v>
      </c>
      <c r="D2299" t="str">
        <f>VLOOKUP(Tabela26[[#This Row],[EMP]],[1]LOJA!$A:$B,2,0)</f>
        <v>GUARÁ</v>
      </c>
      <c r="E2299">
        <v>93</v>
      </c>
      <c r="F2299" t="s">
        <v>10395</v>
      </c>
      <c r="G2299" t="s">
        <v>10394</v>
      </c>
      <c r="H2299" t="s">
        <v>3401</v>
      </c>
      <c r="I2299">
        <v>5102</v>
      </c>
      <c r="J2299" s="3">
        <v>94</v>
      </c>
      <c r="K2299" s="3">
        <v>52.72</v>
      </c>
      <c r="L2299">
        <v>43.91</v>
      </c>
    </row>
    <row r="2300" spans="1:12">
      <c r="A2300" s="1">
        <v>46034</v>
      </c>
      <c r="B2300" t="s">
        <v>10393</v>
      </c>
      <c r="C2300">
        <v>22</v>
      </c>
      <c r="D2300" t="str">
        <f>VLOOKUP(Tabela26[[#This Row],[EMP]],[1]LOJA!$A:$B,2,0)</f>
        <v>GUARÁ</v>
      </c>
      <c r="E2300">
        <v>93</v>
      </c>
      <c r="F2300" t="s">
        <v>3403</v>
      </c>
      <c r="G2300" t="s">
        <v>3402</v>
      </c>
      <c r="H2300" t="s">
        <v>3401</v>
      </c>
      <c r="I2300">
        <v>5102</v>
      </c>
      <c r="J2300" s="3">
        <v>33</v>
      </c>
      <c r="K2300" s="3">
        <v>21.83</v>
      </c>
      <c r="L2300">
        <v>33.85</v>
      </c>
    </row>
    <row r="2301" spans="1:12">
      <c r="A2301" s="1">
        <v>46034</v>
      </c>
      <c r="B2301" t="s">
        <v>10392</v>
      </c>
      <c r="C2301">
        <v>22</v>
      </c>
      <c r="D2301" t="str">
        <f>VLOOKUP(Tabela26[[#This Row],[EMP]],[1]LOJA!$A:$B,2,0)</f>
        <v>GUARÁ</v>
      </c>
      <c r="E2301">
        <v>93</v>
      </c>
      <c r="F2301" t="s">
        <v>3403</v>
      </c>
      <c r="G2301" t="s">
        <v>3402</v>
      </c>
      <c r="H2301" t="s">
        <v>3401</v>
      </c>
      <c r="I2301">
        <v>5102</v>
      </c>
      <c r="J2301" s="3">
        <v>56</v>
      </c>
      <c r="K2301" s="3">
        <v>31.81</v>
      </c>
      <c r="L2301">
        <v>43.2</v>
      </c>
    </row>
    <row r="2302" spans="1:12">
      <c r="A2302" s="1">
        <v>46034</v>
      </c>
      <c r="B2302" t="s">
        <v>10391</v>
      </c>
      <c r="C2302">
        <v>4</v>
      </c>
      <c r="D2302" t="str">
        <f>VLOOKUP(Tabela26[[#This Row],[EMP]],[1]LOJA!$A:$B,2,0)</f>
        <v>ADE</v>
      </c>
      <c r="E2302">
        <v>132</v>
      </c>
      <c r="F2302" t="s">
        <v>3403</v>
      </c>
      <c r="G2302" t="s">
        <v>3402</v>
      </c>
      <c r="H2302" t="s">
        <v>3401</v>
      </c>
      <c r="I2302">
        <v>5102</v>
      </c>
      <c r="J2302" s="3">
        <v>50.7</v>
      </c>
      <c r="K2302" s="3">
        <v>24.26</v>
      </c>
      <c r="L2302">
        <v>52.15</v>
      </c>
    </row>
    <row r="2303" spans="1:12">
      <c r="A2303" s="1">
        <v>46034</v>
      </c>
      <c r="B2303" t="s">
        <v>10390</v>
      </c>
      <c r="C2303">
        <v>4</v>
      </c>
      <c r="D2303" t="str">
        <f>VLOOKUP(Tabela26[[#This Row],[EMP]],[1]LOJA!$A:$B,2,0)</f>
        <v>ADE</v>
      </c>
      <c r="E2303">
        <v>132</v>
      </c>
      <c r="F2303" t="s">
        <v>3403</v>
      </c>
      <c r="G2303" t="s">
        <v>3402</v>
      </c>
      <c r="H2303" t="s">
        <v>3408</v>
      </c>
      <c r="I2303">
        <v>5405</v>
      </c>
      <c r="J2303" s="3">
        <v>50</v>
      </c>
      <c r="K2303" s="3">
        <v>25.21</v>
      </c>
      <c r="L2303">
        <v>49.58</v>
      </c>
    </row>
    <row r="2304" spans="1:12">
      <c r="A2304" s="1">
        <v>46034</v>
      </c>
      <c r="B2304" t="s">
        <v>10389</v>
      </c>
      <c r="C2304">
        <v>4</v>
      </c>
      <c r="D2304" t="str">
        <f>VLOOKUP(Tabela26[[#This Row],[EMP]],[1]LOJA!$A:$B,2,0)</f>
        <v>ADE</v>
      </c>
      <c r="E2304">
        <v>132</v>
      </c>
      <c r="F2304" t="s">
        <v>10388</v>
      </c>
      <c r="G2304" t="s">
        <v>3402</v>
      </c>
      <c r="H2304" t="s">
        <v>3408</v>
      </c>
      <c r="I2304">
        <v>5405</v>
      </c>
      <c r="J2304" s="3">
        <v>416.55</v>
      </c>
      <c r="K2304" s="3">
        <v>187.44</v>
      </c>
      <c r="L2304">
        <v>55</v>
      </c>
    </row>
    <row r="2305" spans="1:12">
      <c r="A2305" s="1">
        <v>46034</v>
      </c>
      <c r="B2305" t="s">
        <v>10387</v>
      </c>
      <c r="C2305">
        <v>4</v>
      </c>
      <c r="D2305" t="str">
        <f>VLOOKUP(Tabela26[[#This Row],[EMP]],[1]LOJA!$A:$B,2,0)</f>
        <v>ADE</v>
      </c>
      <c r="E2305">
        <v>132</v>
      </c>
      <c r="F2305" t="s">
        <v>4558</v>
      </c>
      <c r="G2305" t="s">
        <v>4557</v>
      </c>
      <c r="H2305" t="s">
        <v>3533</v>
      </c>
      <c r="I2305">
        <v>5405</v>
      </c>
      <c r="J2305" s="3">
        <v>127.02</v>
      </c>
      <c r="K2305" s="3">
        <v>64.39</v>
      </c>
      <c r="L2305">
        <v>49.31</v>
      </c>
    </row>
    <row r="2306" spans="1:12">
      <c r="A2306" s="1">
        <v>46034</v>
      </c>
      <c r="B2306" t="s">
        <v>10386</v>
      </c>
      <c r="C2306">
        <v>4</v>
      </c>
      <c r="D2306" t="str">
        <f>VLOOKUP(Tabela26[[#This Row],[EMP]],[1]LOJA!$A:$B,2,0)</f>
        <v>ADE</v>
      </c>
      <c r="E2306">
        <v>132</v>
      </c>
      <c r="F2306" t="s">
        <v>4565</v>
      </c>
      <c r="G2306" t="s">
        <v>4564</v>
      </c>
      <c r="H2306" t="s">
        <v>3408</v>
      </c>
      <c r="I2306">
        <v>5405</v>
      </c>
      <c r="J2306" s="3">
        <v>149</v>
      </c>
      <c r="K2306" s="3">
        <v>80.12</v>
      </c>
      <c r="L2306">
        <v>46.23</v>
      </c>
    </row>
    <row r="2307" spans="1:12">
      <c r="A2307" s="1">
        <v>46034</v>
      </c>
      <c r="B2307" t="s">
        <v>10385</v>
      </c>
      <c r="C2307">
        <v>4</v>
      </c>
      <c r="D2307" t="str">
        <f>VLOOKUP(Tabela26[[#This Row],[EMP]],[1]LOJA!$A:$B,2,0)</f>
        <v>ADE</v>
      </c>
      <c r="E2307">
        <v>132</v>
      </c>
      <c r="F2307" t="s">
        <v>4565</v>
      </c>
      <c r="G2307" t="s">
        <v>4564</v>
      </c>
      <c r="H2307" t="s">
        <v>3408</v>
      </c>
      <c r="I2307">
        <v>5102</v>
      </c>
      <c r="J2307" s="3">
        <v>400.9</v>
      </c>
      <c r="K2307" s="3">
        <v>247.31</v>
      </c>
      <c r="L2307">
        <v>38.31</v>
      </c>
    </row>
    <row r="2308" spans="1:12">
      <c r="A2308" s="1">
        <v>46034</v>
      </c>
      <c r="B2308" t="s">
        <v>10384</v>
      </c>
      <c r="C2308">
        <v>4</v>
      </c>
      <c r="D2308" t="str">
        <f>VLOOKUP(Tabela26[[#This Row],[EMP]],[1]LOJA!$A:$B,2,0)</f>
        <v>ADE</v>
      </c>
      <c r="E2308">
        <v>132</v>
      </c>
      <c r="F2308" t="s">
        <v>3403</v>
      </c>
      <c r="G2308" t="s">
        <v>3402</v>
      </c>
      <c r="H2308" t="s">
        <v>3401</v>
      </c>
      <c r="I2308">
        <v>5102</v>
      </c>
      <c r="J2308" s="3">
        <v>47.8</v>
      </c>
      <c r="K2308" s="3">
        <v>25.76</v>
      </c>
      <c r="L2308">
        <v>46.11</v>
      </c>
    </row>
    <row r="2309" spans="1:12">
      <c r="A2309" s="1">
        <v>46034</v>
      </c>
      <c r="B2309" t="s">
        <v>10383</v>
      </c>
      <c r="C2309">
        <v>4</v>
      </c>
      <c r="D2309" t="str">
        <f>VLOOKUP(Tabela26[[#This Row],[EMP]],[1]LOJA!$A:$B,2,0)</f>
        <v>ADE</v>
      </c>
      <c r="E2309">
        <v>132</v>
      </c>
      <c r="F2309" t="s">
        <v>3836</v>
      </c>
      <c r="G2309" t="s">
        <v>3402</v>
      </c>
      <c r="H2309" t="s">
        <v>3401</v>
      </c>
      <c r="I2309">
        <v>5102</v>
      </c>
      <c r="J2309" s="3">
        <v>94.4</v>
      </c>
      <c r="K2309" s="3">
        <v>54.56</v>
      </c>
      <c r="L2309">
        <v>42.2</v>
      </c>
    </row>
    <row r="2310" spans="1:12">
      <c r="A2310" s="1">
        <v>46034</v>
      </c>
      <c r="B2310" t="s">
        <v>10382</v>
      </c>
      <c r="C2310">
        <v>4</v>
      </c>
      <c r="D2310" t="str">
        <f>VLOOKUP(Tabela26[[#This Row],[EMP]],[1]LOJA!$A:$B,2,0)</f>
        <v>ADE</v>
      </c>
      <c r="E2310">
        <v>132</v>
      </c>
      <c r="F2310" t="s">
        <v>10381</v>
      </c>
      <c r="G2310" t="s">
        <v>10380</v>
      </c>
      <c r="H2310" t="s">
        <v>3401</v>
      </c>
      <c r="I2310">
        <v>5102</v>
      </c>
      <c r="J2310" s="3">
        <v>70</v>
      </c>
      <c r="K2310" s="3">
        <v>23.58</v>
      </c>
      <c r="L2310">
        <v>66.31</v>
      </c>
    </row>
    <row r="2311" spans="1:12">
      <c r="A2311" s="1">
        <v>46034</v>
      </c>
      <c r="B2311" t="s">
        <v>10379</v>
      </c>
      <c r="C2311">
        <v>4</v>
      </c>
      <c r="D2311" t="str">
        <f>VLOOKUP(Tabela26[[#This Row],[EMP]],[1]LOJA!$A:$B,2,0)</f>
        <v>ADE</v>
      </c>
      <c r="E2311">
        <v>132</v>
      </c>
      <c r="F2311" t="s">
        <v>4568</v>
      </c>
      <c r="G2311" t="s">
        <v>4567</v>
      </c>
      <c r="H2311" t="s">
        <v>3408</v>
      </c>
      <c r="I2311">
        <v>5405</v>
      </c>
      <c r="J2311" s="3">
        <v>363.97</v>
      </c>
      <c r="K2311" s="3">
        <v>191.69</v>
      </c>
      <c r="L2311">
        <v>47.33</v>
      </c>
    </row>
    <row r="2312" spans="1:12">
      <c r="A2312" s="1">
        <v>46034</v>
      </c>
      <c r="B2312" t="s">
        <v>10378</v>
      </c>
      <c r="C2312">
        <v>4</v>
      </c>
      <c r="D2312" t="str">
        <f>VLOOKUP(Tabela26[[#This Row],[EMP]],[1]LOJA!$A:$B,2,0)</f>
        <v>ADE</v>
      </c>
      <c r="E2312">
        <v>132</v>
      </c>
      <c r="F2312" t="s">
        <v>10377</v>
      </c>
      <c r="G2312" t="s">
        <v>10376</v>
      </c>
      <c r="H2312" t="s">
        <v>3401</v>
      </c>
      <c r="I2312">
        <v>5102</v>
      </c>
      <c r="J2312" s="3">
        <v>141.93</v>
      </c>
      <c r="K2312" s="3">
        <v>61.76</v>
      </c>
      <c r="L2312">
        <v>56.49</v>
      </c>
    </row>
    <row r="2313" spans="1:12">
      <c r="A2313" s="1">
        <v>46034</v>
      </c>
      <c r="B2313" t="s">
        <v>10375</v>
      </c>
      <c r="C2313">
        <v>4</v>
      </c>
      <c r="D2313" t="str">
        <f>VLOOKUP(Tabela26[[#This Row],[EMP]],[1]LOJA!$A:$B,2,0)</f>
        <v>ADE</v>
      </c>
      <c r="E2313">
        <v>132</v>
      </c>
      <c r="F2313" t="s">
        <v>3403</v>
      </c>
      <c r="G2313" t="s">
        <v>3402</v>
      </c>
      <c r="H2313" t="s">
        <v>3401</v>
      </c>
      <c r="I2313">
        <v>5405</v>
      </c>
      <c r="J2313" s="3">
        <v>55</v>
      </c>
      <c r="K2313" s="3">
        <v>28.29</v>
      </c>
      <c r="L2313">
        <v>48.56</v>
      </c>
    </row>
    <row r="2314" spans="1:12">
      <c r="A2314" s="1">
        <v>46034</v>
      </c>
      <c r="B2314" t="s">
        <v>10374</v>
      </c>
      <c r="C2314">
        <v>4</v>
      </c>
      <c r="D2314" t="str">
        <f>VLOOKUP(Tabela26[[#This Row],[EMP]],[1]LOJA!$A:$B,2,0)</f>
        <v>ADE</v>
      </c>
      <c r="E2314">
        <v>132</v>
      </c>
      <c r="F2314" t="s">
        <v>4561</v>
      </c>
      <c r="G2314" t="s">
        <v>4560</v>
      </c>
      <c r="H2314" t="s">
        <v>3401</v>
      </c>
      <c r="I2314">
        <v>5102</v>
      </c>
      <c r="J2314" s="3">
        <v>145.4</v>
      </c>
      <c r="K2314" s="3">
        <v>87.41</v>
      </c>
      <c r="L2314">
        <v>39.880000000000003</v>
      </c>
    </row>
    <row r="2315" spans="1:12">
      <c r="A2315" s="1">
        <v>46034</v>
      </c>
      <c r="B2315" t="s">
        <v>10373</v>
      </c>
      <c r="C2315">
        <v>4</v>
      </c>
      <c r="D2315" t="str">
        <f>VLOOKUP(Tabela26[[#This Row],[EMP]],[1]LOJA!$A:$B,2,0)</f>
        <v>ADE</v>
      </c>
      <c r="E2315">
        <v>132</v>
      </c>
      <c r="F2315" t="s">
        <v>4565</v>
      </c>
      <c r="G2315" t="s">
        <v>4564</v>
      </c>
      <c r="H2315" t="s">
        <v>3408</v>
      </c>
      <c r="I2315">
        <v>5405</v>
      </c>
      <c r="J2315" s="3">
        <v>58.9</v>
      </c>
      <c r="K2315" s="3">
        <v>32.4</v>
      </c>
      <c r="L2315">
        <v>44.99</v>
      </c>
    </row>
    <row r="2316" spans="1:12">
      <c r="A2316" s="1">
        <v>46034</v>
      </c>
      <c r="B2316" t="s">
        <v>10372</v>
      </c>
      <c r="C2316">
        <v>16</v>
      </c>
      <c r="D2316" t="str">
        <f>VLOOKUP(Tabela26[[#This Row],[EMP]],[1]LOJA!$A:$B,2,0)</f>
        <v>AG LINDAS</v>
      </c>
      <c r="E2316">
        <v>240</v>
      </c>
      <c r="F2316" t="s">
        <v>3796</v>
      </c>
      <c r="G2316" t="s">
        <v>3795</v>
      </c>
      <c r="H2316" t="s">
        <v>3408</v>
      </c>
      <c r="I2316">
        <v>5405</v>
      </c>
      <c r="J2316" s="3">
        <v>183.9</v>
      </c>
      <c r="K2316" s="3">
        <v>97.09</v>
      </c>
      <c r="L2316">
        <v>47.21</v>
      </c>
    </row>
    <row r="2317" spans="1:12">
      <c r="A2317" s="1">
        <v>46034</v>
      </c>
      <c r="B2317" t="s">
        <v>10371</v>
      </c>
      <c r="C2317">
        <v>16</v>
      </c>
      <c r="D2317" t="str">
        <f>VLOOKUP(Tabela26[[#This Row],[EMP]],[1]LOJA!$A:$B,2,0)</f>
        <v>AG LINDAS</v>
      </c>
      <c r="E2317">
        <v>240</v>
      </c>
      <c r="F2317" t="s">
        <v>3780</v>
      </c>
      <c r="G2317" t="s">
        <v>3437</v>
      </c>
      <c r="H2317" t="s">
        <v>3401</v>
      </c>
      <c r="I2317">
        <v>5405</v>
      </c>
      <c r="J2317" s="3">
        <v>41</v>
      </c>
      <c r="K2317" s="3">
        <v>18.510000000000002</v>
      </c>
      <c r="L2317">
        <v>54.85</v>
      </c>
    </row>
    <row r="2318" spans="1:12">
      <c r="A2318" s="1">
        <v>46034</v>
      </c>
      <c r="B2318" t="s">
        <v>10370</v>
      </c>
      <c r="C2318">
        <v>16</v>
      </c>
      <c r="D2318" t="str">
        <f>VLOOKUP(Tabela26[[#This Row],[EMP]],[1]LOJA!$A:$B,2,0)</f>
        <v>AG LINDAS</v>
      </c>
      <c r="E2318">
        <v>240</v>
      </c>
      <c r="F2318" t="s">
        <v>8099</v>
      </c>
      <c r="G2318" t="s">
        <v>8098</v>
      </c>
      <c r="H2318" t="s">
        <v>3401</v>
      </c>
      <c r="I2318">
        <v>5405</v>
      </c>
      <c r="J2318" s="3">
        <v>468.1</v>
      </c>
      <c r="K2318" s="3">
        <v>254.57</v>
      </c>
      <c r="L2318">
        <v>45.62</v>
      </c>
    </row>
    <row r="2319" spans="1:12">
      <c r="A2319" s="1">
        <v>46034</v>
      </c>
      <c r="B2319" t="s">
        <v>10369</v>
      </c>
      <c r="C2319">
        <v>16</v>
      </c>
      <c r="D2319" t="str">
        <f>VLOOKUP(Tabela26[[#This Row],[EMP]],[1]LOJA!$A:$B,2,0)</f>
        <v>AG LINDAS</v>
      </c>
      <c r="E2319">
        <v>240</v>
      </c>
      <c r="F2319" t="s">
        <v>6990</v>
      </c>
      <c r="G2319" t="s">
        <v>6989</v>
      </c>
      <c r="H2319" t="s">
        <v>3401</v>
      </c>
      <c r="I2319">
        <v>5102</v>
      </c>
      <c r="J2319" s="3">
        <v>33</v>
      </c>
      <c r="K2319" s="3">
        <v>18.66</v>
      </c>
      <c r="L2319">
        <v>43.45</v>
      </c>
    </row>
    <row r="2320" spans="1:12">
      <c r="A2320" s="1">
        <v>46034</v>
      </c>
      <c r="B2320" t="s">
        <v>10368</v>
      </c>
      <c r="C2320">
        <v>16</v>
      </c>
      <c r="D2320" t="str">
        <f>VLOOKUP(Tabela26[[#This Row],[EMP]],[1]LOJA!$A:$B,2,0)</f>
        <v>AG LINDAS</v>
      </c>
      <c r="E2320">
        <v>240</v>
      </c>
      <c r="F2320" t="s">
        <v>7674</v>
      </c>
      <c r="G2320" t="s">
        <v>7673</v>
      </c>
      <c r="H2320" t="s">
        <v>3408</v>
      </c>
      <c r="I2320">
        <v>5102</v>
      </c>
      <c r="J2320" s="3">
        <v>226.9</v>
      </c>
      <c r="K2320" s="3">
        <v>129.5</v>
      </c>
      <c r="L2320">
        <v>42.93</v>
      </c>
    </row>
    <row r="2321" spans="1:12">
      <c r="A2321" s="1">
        <v>46034</v>
      </c>
      <c r="B2321" t="s">
        <v>10367</v>
      </c>
      <c r="C2321">
        <v>16</v>
      </c>
      <c r="D2321" t="str">
        <f>VLOOKUP(Tabela26[[#This Row],[EMP]],[1]LOJA!$A:$B,2,0)</f>
        <v>AG LINDAS</v>
      </c>
      <c r="E2321">
        <v>240</v>
      </c>
      <c r="F2321" t="s">
        <v>7674</v>
      </c>
      <c r="G2321" t="s">
        <v>7673</v>
      </c>
      <c r="H2321" t="s">
        <v>3408</v>
      </c>
      <c r="I2321">
        <v>5102</v>
      </c>
      <c r="J2321" s="3">
        <v>251.4</v>
      </c>
      <c r="K2321" s="3">
        <v>150.94</v>
      </c>
      <c r="L2321">
        <v>39.96</v>
      </c>
    </row>
    <row r="2322" spans="1:12">
      <c r="A2322" s="1">
        <v>46034</v>
      </c>
      <c r="B2322" t="s">
        <v>10366</v>
      </c>
      <c r="C2322">
        <v>16</v>
      </c>
      <c r="D2322" t="str">
        <f>VLOOKUP(Tabela26[[#This Row],[EMP]],[1]LOJA!$A:$B,2,0)</f>
        <v>AG LINDAS</v>
      </c>
      <c r="E2322">
        <v>240</v>
      </c>
      <c r="F2322" t="s">
        <v>3780</v>
      </c>
      <c r="G2322" t="s">
        <v>3437</v>
      </c>
      <c r="H2322" t="s">
        <v>3401</v>
      </c>
      <c r="I2322">
        <v>5405</v>
      </c>
      <c r="J2322" s="3">
        <v>33</v>
      </c>
      <c r="K2322" s="3">
        <v>14.19</v>
      </c>
      <c r="L2322">
        <v>57</v>
      </c>
    </row>
    <row r="2323" spans="1:12">
      <c r="A2323" s="1">
        <v>46034</v>
      </c>
      <c r="B2323" t="s">
        <v>10365</v>
      </c>
      <c r="C2323">
        <v>16</v>
      </c>
      <c r="D2323" t="str">
        <f>VLOOKUP(Tabela26[[#This Row],[EMP]],[1]LOJA!$A:$B,2,0)</f>
        <v>AG LINDAS</v>
      </c>
      <c r="E2323">
        <v>240</v>
      </c>
      <c r="F2323" t="s">
        <v>7211</v>
      </c>
      <c r="G2323" t="s">
        <v>7210</v>
      </c>
      <c r="H2323" t="s">
        <v>3401</v>
      </c>
      <c r="I2323">
        <v>5405</v>
      </c>
      <c r="J2323" s="3">
        <v>96</v>
      </c>
      <c r="K2323" s="3">
        <v>52.18</v>
      </c>
      <c r="L2323">
        <v>45.65</v>
      </c>
    </row>
    <row r="2324" spans="1:12">
      <c r="A2324" s="1">
        <v>46034</v>
      </c>
      <c r="B2324" t="s">
        <v>10364</v>
      </c>
      <c r="C2324">
        <v>16</v>
      </c>
      <c r="D2324" t="str">
        <f>VLOOKUP(Tabela26[[#This Row],[EMP]],[1]LOJA!$A:$B,2,0)</f>
        <v>AG LINDAS</v>
      </c>
      <c r="E2324">
        <v>240</v>
      </c>
      <c r="F2324" t="s">
        <v>5668</v>
      </c>
      <c r="G2324" t="s">
        <v>5667</v>
      </c>
      <c r="H2324" t="s">
        <v>3408</v>
      </c>
      <c r="I2324">
        <v>5405</v>
      </c>
      <c r="J2324" s="3">
        <v>59.9</v>
      </c>
      <c r="K2324" s="3">
        <v>26.34</v>
      </c>
      <c r="L2324">
        <v>56.03</v>
      </c>
    </row>
    <row r="2325" spans="1:12">
      <c r="A2325" s="1">
        <v>46034</v>
      </c>
      <c r="B2325" t="s">
        <v>10363</v>
      </c>
      <c r="C2325">
        <v>16</v>
      </c>
      <c r="D2325" t="str">
        <f>VLOOKUP(Tabela26[[#This Row],[EMP]],[1]LOJA!$A:$B,2,0)</f>
        <v>AG LINDAS</v>
      </c>
      <c r="E2325">
        <v>240</v>
      </c>
      <c r="F2325" t="s">
        <v>4508</v>
      </c>
      <c r="G2325" t="s">
        <v>3437</v>
      </c>
      <c r="H2325" t="s">
        <v>3401</v>
      </c>
      <c r="I2325">
        <v>5102</v>
      </c>
      <c r="J2325" s="3">
        <v>52.7</v>
      </c>
      <c r="K2325" s="3">
        <v>31.87</v>
      </c>
      <c r="L2325">
        <v>39.53</v>
      </c>
    </row>
    <row r="2326" spans="1:12">
      <c r="A2326" s="1">
        <v>46034</v>
      </c>
      <c r="B2326" t="s">
        <v>10362</v>
      </c>
      <c r="C2326">
        <v>16</v>
      </c>
      <c r="D2326" t="str">
        <f>VLOOKUP(Tabela26[[#This Row],[EMP]],[1]LOJA!$A:$B,2,0)</f>
        <v>AG LINDAS</v>
      </c>
      <c r="E2326">
        <v>240</v>
      </c>
      <c r="F2326" t="s">
        <v>3780</v>
      </c>
      <c r="G2326" t="s">
        <v>3437</v>
      </c>
      <c r="H2326" t="s">
        <v>3401</v>
      </c>
      <c r="I2326">
        <v>5102</v>
      </c>
      <c r="J2326" s="3">
        <v>56.9</v>
      </c>
      <c r="K2326" s="3">
        <v>32.619999999999997</v>
      </c>
      <c r="L2326">
        <v>42.67</v>
      </c>
    </row>
    <row r="2327" spans="1:12">
      <c r="A2327" s="1">
        <v>46034</v>
      </c>
      <c r="B2327" t="s">
        <v>10361</v>
      </c>
      <c r="C2327">
        <v>16</v>
      </c>
      <c r="D2327" t="str">
        <f>VLOOKUP(Tabela26[[#This Row],[EMP]],[1]LOJA!$A:$B,2,0)</f>
        <v>AG LINDAS</v>
      </c>
      <c r="E2327">
        <v>240</v>
      </c>
      <c r="F2327" t="s">
        <v>3780</v>
      </c>
      <c r="G2327" t="s">
        <v>3437</v>
      </c>
      <c r="H2327" t="s">
        <v>3401</v>
      </c>
      <c r="I2327">
        <v>5102</v>
      </c>
      <c r="J2327" s="3">
        <v>20</v>
      </c>
      <c r="K2327" s="3">
        <v>10.95</v>
      </c>
      <c r="L2327">
        <v>45.25</v>
      </c>
    </row>
    <row r="2328" spans="1:12">
      <c r="A2328" s="1">
        <v>46034</v>
      </c>
      <c r="B2328" t="s">
        <v>10360</v>
      </c>
      <c r="C2328">
        <v>16</v>
      </c>
      <c r="D2328" t="str">
        <f>VLOOKUP(Tabela26[[#This Row],[EMP]],[1]LOJA!$A:$B,2,0)</f>
        <v>AG LINDAS</v>
      </c>
      <c r="E2328">
        <v>240</v>
      </c>
      <c r="F2328" t="s">
        <v>3780</v>
      </c>
      <c r="G2328" t="s">
        <v>3437</v>
      </c>
      <c r="H2328" t="s">
        <v>3401</v>
      </c>
      <c r="I2328">
        <v>5102</v>
      </c>
      <c r="J2328" s="3">
        <v>23.9</v>
      </c>
      <c r="K2328" s="3">
        <v>13.96</v>
      </c>
      <c r="L2328">
        <v>41.59</v>
      </c>
    </row>
    <row r="2329" spans="1:12">
      <c r="A2329" s="1">
        <v>46034</v>
      </c>
      <c r="B2329" t="s">
        <v>10359</v>
      </c>
      <c r="C2329">
        <v>16</v>
      </c>
      <c r="D2329" t="str">
        <f>VLOOKUP(Tabela26[[#This Row],[EMP]],[1]LOJA!$A:$B,2,0)</f>
        <v>AG LINDAS</v>
      </c>
      <c r="E2329">
        <v>240</v>
      </c>
      <c r="F2329" t="s">
        <v>10355</v>
      </c>
      <c r="G2329" t="s">
        <v>3437</v>
      </c>
      <c r="H2329" t="s">
        <v>3401</v>
      </c>
      <c r="I2329">
        <v>5102</v>
      </c>
      <c r="J2329" s="3">
        <v>60</v>
      </c>
      <c r="K2329" s="3">
        <v>33.25</v>
      </c>
      <c r="L2329">
        <v>44.58</v>
      </c>
    </row>
    <row r="2330" spans="1:12">
      <c r="A2330" s="1">
        <v>46034</v>
      </c>
      <c r="B2330" t="s">
        <v>10358</v>
      </c>
      <c r="C2330">
        <v>16</v>
      </c>
      <c r="D2330" t="str">
        <f>VLOOKUP(Tabela26[[#This Row],[EMP]],[1]LOJA!$A:$B,2,0)</f>
        <v>AG LINDAS</v>
      </c>
      <c r="E2330">
        <v>240</v>
      </c>
      <c r="F2330" t="s">
        <v>10357</v>
      </c>
      <c r="G2330" t="s">
        <v>3437</v>
      </c>
      <c r="H2330" t="s">
        <v>3401</v>
      </c>
      <c r="I2330">
        <v>5102</v>
      </c>
      <c r="J2330" s="3">
        <v>59.7</v>
      </c>
      <c r="K2330" s="3">
        <v>37.08</v>
      </c>
      <c r="L2330">
        <v>37.89</v>
      </c>
    </row>
    <row r="2331" spans="1:12">
      <c r="A2331" s="1">
        <v>46034</v>
      </c>
      <c r="B2331" t="s">
        <v>10356</v>
      </c>
      <c r="C2331">
        <v>16</v>
      </c>
      <c r="D2331" t="str">
        <f>VLOOKUP(Tabela26[[#This Row],[EMP]],[1]LOJA!$A:$B,2,0)</f>
        <v>AG LINDAS</v>
      </c>
      <c r="E2331">
        <v>240</v>
      </c>
      <c r="F2331" t="s">
        <v>10355</v>
      </c>
      <c r="G2331" t="s">
        <v>3437</v>
      </c>
      <c r="H2331" t="s">
        <v>3401</v>
      </c>
      <c r="I2331">
        <v>5102</v>
      </c>
      <c r="J2331" s="3">
        <v>59</v>
      </c>
      <c r="K2331" s="3">
        <v>23.58</v>
      </c>
      <c r="L2331">
        <v>60.03</v>
      </c>
    </row>
    <row r="2332" spans="1:12">
      <c r="A2332" s="1">
        <v>46034</v>
      </c>
      <c r="B2332" t="s">
        <v>10354</v>
      </c>
      <c r="C2332">
        <v>16</v>
      </c>
      <c r="D2332" t="str">
        <f>VLOOKUP(Tabela26[[#This Row],[EMP]],[1]LOJA!$A:$B,2,0)</f>
        <v>AG LINDAS</v>
      </c>
      <c r="E2332">
        <v>240</v>
      </c>
      <c r="F2332" t="s">
        <v>3780</v>
      </c>
      <c r="G2332" t="s">
        <v>3437</v>
      </c>
      <c r="H2332" t="s">
        <v>3401</v>
      </c>
      <c r="I2332">
        <v>5102</v>
      </c>
      <c r="J2332" s="3">
        <v>28.5</v>
      </c>
      <c r="K2332" s="3">
        <v>14.91</v>
      </c>
      <c r="L2332">
        <v>47.68</v>
      </c>
    </row>
    <row r="2333" spans="1:12">
      <c r="A2333" s="1">
        <v>46034</v>
      </c>
      <c r="B2333" t="s">
        <v>10353</v>
      </c>
      <c r="C2333">
        <v>16</v>
      </c>
      <c r="D2333" t="str">
        <f>VLOOKUP(Tabela26[[#This Row],[EMP]],[1]LOJA!$A:$B,2,0)</f>
        <v>AG LINDAS</v>
      </c>
      <c r="E2333">
        <v>240</v>
      </c>
      <c r="F2333" t="s">
        <v>3811</v>
      </c>
      <c r="G2333" t="s">
        <v>3437</v>
      </c>
      <c r="H2333" t="s">
        <v>3401</v>
      </c>
      <c r="I2333">
        <v>5405</v>
      </c>
      <c r="J2333" s="3">
        <v>71.5</v>
      </c>
      <c r="K2333" s="3">
        <v>38.28</v>
      </c>
      <c r="L2333">
        <v>46.46</v>
      </c>
    </row>
    <row r="2334" spans="1:12">
      <c r="A2334" s="1">
        <v>46034</v>
      </c>
      <c r="B2334" t="s">
        <v>10352</v>
      </c>
      <c r="C2334">
        <v>16</v>
      </c>
      <c r="D2334" t="str">
        <f>VLOOKUP(Tabela26[[#This Row],[EMP]],[1]LOJA!$A:$B,2,0)</f>
        <v>AG LINDAS</v>
      </c>
      <c r="E2334">
        <v>240</v>
      </c>
      <c r="F2334" t="s">
        <v>3780</v>
      </c>
      <c r="G2334" t="s">
        <v>3437</v>
      </c>
      <c r="H2334" t="s">
        <v>3401</v>
      </c>
      <c r="I2334">
        <v>5102</v>
      </c>
      <c r="J2334" s="3">
        <v>28</v>
      </c>
      <c r="K2334" s="3">
        <v>17.23</v>
      </c>
      <c r="L2334">
        <v>38.46</v>
      </c>
    </row>
    <row r="2335" spans="1:12">
      <c r="A2335" s="1">
        <v>46034</v>
      </c>
      <c r="B2335" t="s">
        <v>10351</v>
      </c>
      <c r="C2335">
        <v>16</v>
      </c>
      <c r="D2335" t="str">
        <f>VLOOKUP(Tabela26[[#This Row],[EMP]],[1]LOJA!$A:$B,2,0)</f>
        <v>AG LINDAS</v>
      </c>
      <c r="E2335">
        <v>240</v>
      </c>
      <c r="F2335" t="s">
        <v>3780</v>
      </c>
      <c r="G2335" t="s">
        <v>3437</v>
      </c>
      <c r="H2335" t="s">
        <v>3401</v>
      </c>
      <c r="I2335">
        <v>5102</v>
      </c>
      <c r="J2335" s="3">
        <v>20</v>
      </c>
      <c r="K2335" s="3">
        <v>13.32</v>
      </c>
      <c r="L2335">
        <v>33.4</v>
      </c>
    </row>
    <row r="2336" spans="1:12">
      <c r="A2336" s="1">
        <v>46034</v>
      </c>
      <c r="B2336" t="s">
        <v>10350</v>
      </c>
      <c r="C2336">
        <v>16</v>
      </c>
      <c r="D2336" t="str">
        <f>VLOOKUP(Tabela26[[#This Row],[EMP]],[1]LOJA!$A:$B,2,0)</f>
        <v>AG LINDAS</v>
      </c>
      <c r="E2336">
        <v>240</v>
      </c>
      <c r="F2336" t="s">
        <v>3780</v>
      </c>
      <c r="G2336" t="s">
        <v>3437</v>
      </c>
      <c r="H2336" t="s">
        <v>3401</v>
      </c>
      <c r="I2336">
        <v>5405</v>
      </c>
      <c r="J2336" s="3">
        <v>72</v>
      </c>
      <c r="K2336" s="3">
        <v>36.35</v>
      </c>
      <c r="L2336">
        <v>49.51</v>
      </c>
    </row>
    <row r="2337" spans="1:12">
      <c r="A2337" s="1">
        <v>46034</v>
      </c>
      <c r="B2337" t="s">
        <v>10349</v>
      </c>
      <c r="C2337">
        <v>16</v>
      </c>
      <c r="D2337" t="str">
        <f>VLOOKUP(Tabela26[[#This Row],[EMP]],[1]LOJA!$A:$B,2,0)</f>
        <v>AG LINDAS</v>
      </c>
      <c r="E2337">
        <v>240</v>
      </c>
      <c r="F2337" t="s">
        <v>10348</v>
      </c>
      <c r="G2337" t="s">
        <v>3437</v>
      </c>
      <c r="H2337" t="s">
        <v>3401</v>
      </c>
      <c r="I2337">
        <v>5102</v>
      </c>
      <c r="J2337" s="3">
        <v>453</v>
      </c>
      <c r="K2337" s="3">
        <v>211.29</v>
      </c>
      <c r="L2337">
        <v>53.36</v>
      </c>
    </row>
    <row r="2338" spans="1:12">
      <c r="A2338" s="1">
        <v>46034</v>
      </c>
      <c r="B2338" t="s">
        <v>10347</v>
      </c>
      <c r="C2338">
        <v>16</v>
      </c>
      <c r="D2338" t="str">
        <f>VLOOKUP(Tabela26[[#This Row],[EMP]],[1]LOJA!$A:$B,2,0)</f>
        <v>AG LINDAS</v>
      </c>
      <c r="E2338">
        <v>240</v>
      </c>
      <c r="F2338" t="s">
        <v>3799</v>
      </c>
      <c r="G2338" t="s">
        <v>3798</v>
      </c>
      <c r="H2338" t="s">
        <v>3401</v>
      </c>
      <c r="I2338">
        <v>5405</v>
      </c>
      <c r="J2338" s="3">
        <v>327.2</v>
      </c>
      <c r="K2338" s="3">
        <v>198.77</v>
      </c>
      <c r="L2338">
        <v>39.25</v>
      </c>
    </row>
    <row r="2339" spans="1:12">
      <c r="A2339" s="1">
        <v>46034</v>
      </c>
      <c r="B2339" t="s">
        <v>10346</v>
      </c>
      <c r="C2339">
        <v>16</v>
      </c>
      <c r="D2339" t="str">
        <f>VLOOKUP(Tabela26[[#This Row],[EMP]],[1]LOJA!$A:$B,2,0)</f>
        <v>AG LINDAS</v>
      </c>
      <c r="E2339">
        <v>240</v>
      </c>
      <c r="F2339" t="s">
        <v>4516</v>
      </c>
      <c r="G2339" t="s">
        <v>4515</v>
      </c>
      <c r="H2339" t="s">
        <v>3401</v>
      </c>
      <c r="I2339">
        <v>5102</v>
      </c>
      <c r="J2339" s="3">
        <v>158.22999999999999</v>
      </c>
      <c r="K2339" s="3">
        <v>100.11</v>
      </c>
      <c r="L2339">
        <v>36.729999999999997</v>
      </c>
    </row>
    <row r="2340" spans="1:12">
      <c r="A2340" s="1">
        <v>46034</v>
      </c>
      <c r="B2340" t="s">
        <v>10345</v>
      </c>
      <c r="C2340">
        <v>16</v>
      </c>
      <c r="D2340" t="str">
        <f>VLOOKUP(Tabela26[[#This Row],[EMP]],[1]LOJA!$A:$B,2,0)</f>
        <v>AG LINDAS</v>
      </c>
      <c r="E2340">
        <v>240</v>
      </c>
      <c r="F2340" t="s">
        <v>4540</v>
      </c>
      <c r="G2340" t="s">
        <v>3437</v>
      </c>
      <c r="H2340" t="s">
        <v>3401</v>
      </c>
      <c r="I2340">
        <v>5102</v>
      </c>
      <c r="J2340" s="3">
        <v>72.5</v>
      </c>
      <c r="K2340" s="3">
        <v>48.09</v>
      </c>
      <c r="L2340">
        <v>33.67</v>
      </c>
    </row>
    <row r="2341" spans="1:12">
      <c r="A2341" s="1">
        <v>46034</v>
      </c>
      <c r="B2341" t="s">
        <v>10344</v>
      </c>
      <c r="C2341">
        <v>16</v>
      </c>
      <c r="D2341" t="str">
        <f>VLOOKUP(Tabela26[[#This Row],[EMP]],[1]LOJA!$A:$B,2,0)</f>
        <v>AG LINDAS</v>
      </c>
      <c r="E2341">
        <v>240</v>
      </c>
      <c r="F2341" t="s">
        <v>7674</v>
      </c>
      <c r="G2341" t="s">
        <v>7673</v>
      </c>
      <c r="H2341" t="s">
        <v>3401</v>
      </c>
      <c r="I2341">
        <v>5405</v>
      </c>
      <c r="J2341" s="3">
        <v>111.8</v>
      </c>
      <c r="K2341" s="3">
        <v>59.56</v>
      </c>
      <c r="L2341">
        <v>46.73</v>
      </c>
    </row>
    <row r="2342" spans="1:12">
      <c r="A2342" s="1">
        <v>46034</v>
      </c>
      <c r="B2342" t="s">
        <v>10343</v>
      </c>
      <c r="C2342">
        <v>16</v>
      </c>
      <c r="D2342" t="str">
        <f>VLOOKUP(Tabela26[[#This Row],[EMP]],[1]LOJA!$A:$B,2,0)</f>
        <v>AG LINDAS</v>
      </c>
      <c r="E2342">
        <v>240</v>
      </c>
      <c r="F2342" t="s">
        <v>3780</v>
      </c>
      <c r="G2342" t="s">
        <v>3437</v>
      </c>
      <c r="H2342" t="s">
        <v>3401</v>
      </c>
      <c r="I2342">
        <v>5102</v>
      </c>
      <c r="J2342" s="3">
        <v>118.42</v>
      </c>
      <c r="K2342" s="3">
        <v>66.98</v>
      </c>
      <c r="L2342">
        <v>43.44</v>
      </c>
    </row>
    <row r="2343" spans="1:12">
      <c r="A2343" s="1">
        <v>46034</v>
      </c>
      <c r="B2343" t="s">
        <v>10342</v>
      </c>
      <c r="C2343">
        <v>16</v>
      </c>
      <c r="D2343" t="str">
        <f>VLOOKUP(Tabela26[[#This Row],[EMP]],[1]LOJA!$A:$B,2,0)</f>
        <v>AG LINDAS</v>
      </c>
      <c r="E2343">
        <v>240</v>
      </c>
      <c r="F2343" t="s">
        <v>3780</v>
      </c>
      <c r="G2343" t="s">
        <v>3437</v>
      </c>
      <c r="H2343" t="s">
        <v>3401</v>
      </c>
      <c r="I2343">
        <v>5102</v>
      </c>
      <c r="J2343" s="3">
        <v>140</v>
      </c>
      <c r="K2343" s="3">
        <v>84.37</v>
      </c>
      <c r="L2343">
        <v>39.74</v>
      </c>
    </row>
    <row r="2344" spans="1:12">
      <c r="A2344" s="1">
        <v>46034</v>
      </c>
      <c r="B2344" t="s">
        <v>10341</v>
      </c>
      <c r="C2344">
        <v>14</v>
      </c>
      <c r="D2344" t="str">
        <f>VLOOKUP(Tabela26[[#This Row],[EMP]],[1]LOJA!$A:$B,2,0)</f>
        <v>S IA</v>
      </c>
      <c r="E2344">
        <v>54</v>
      </c>
      <c r="F2344" t="s">
        <v>10340</v>
      </c>
      <c r="G2344" t="s">
        <v>10339</v>
      </c>
      <c r="H2344" t="s">
        <v>3401</v>
      </c>
      <c r="I2344">
        <v>5102</v>
      </c>
      <c r="J2344" s="3">
        <v>675</v>
      </c>
      <c r="K2344" s="3">
        <v>417.22</v>
      </c>
      <c r="L2344">
        <v>38.19</v>
      </c>
    </row>
    <row r="2345" spans="1:12">
      <c r="A2345" s="1">
        <v>46034</v>
      </c>
      <c r="B2345" t="s">
        <v>10338</v>
      </c>
      <c r="C2345">
        <v>14</v>
      </c>
      <c r="D2345" t="str">
        <f>VLOOKUP(Tabela26[[#This Row],[EMP]],[1]LOJA!$A:$B,2,0)</f>
        <v>S IA</v>
      </c>
      <c r="E2345">
        <v>54</v>
      </c>
      <c r="F2345" t="s">
        <v>3775</v>
      </c>
      <c r="G2345" t="s">
        <v>3774</v>
      </c>
      <c r="H2345" t="s">
        <v>3430</v>
      </c>
      <c r="I2345">
        <v>5405</v>
      </c>
      <c r="J2345" s="3">
        <v>794.68</v>
      </c>
      <c r="K2345" s="3">
        <v>456.84</v>
      </c>
      <c r="L2345">
        <v>42.51</v>
      </c>
    </row>
    <row r="2346" spans="1:12">
      <c r="A2346" s="1">
        <v>46034</v>
      </c>
      <c r="B2346" t="s">
        <v>10337</v>
      </c>
      <c r="C2346">
        <v>14</v>
      </c>
      <c r="D2346" t="str">
        <f>VLOOKUP(Tabela26[[#This Row],[EMP]],[1]LOJA!$A:$B,2,0)</f>
        <v>S IA</v>
      </c>
      <c r="E2346">
        <v>212</v>
      </c>
      <c r="F2346" t="s">
        <v>3769</v>
      </c>
      <c r="G2346" t="s">
        <v>3768</v>
      </c>
      <c r="H2346" t="s">
        <v>3408</v>
      </c>
      <c r="I2346">
        <v>5405</v>
      </c>
      <c r="J2346" s="3">
        <v>37</v>
      </c>
      <c r="K2346" s="3">
        <v>16.37</v>
      </c>
      <c r="L2346">
        <v>55.76</v>
      </c>
    </row>
    <row r="2347" spans="1:12">
      <c r="A2347" s="1">
        <v>46034</v>
      </c>
      <c r="B2347" t="s">
        <v>10336</v>
      </c>
      <c r="C2347">
        <v>14</v>
      </c>
      <c r="D2347" t="str">
        <f>VLOOKUP(Tabela26[[#This Row],[EMP]],[1]LOJA!$A:$B,2,0)</f>
        <v>S IA</v>
      </c>
      <c r="E2347">
        <v>54</v>
      </c>
      <c r="F2347" t="s">
        <v>3775</v>
      </c>
      <c r="G2347" t="s">
        <v>3774</v>
      </c>
      <c r="H2347" t="s">
        <v>3430</v>
      </c>
      <c r="I2347">
        <v>5102</v>
      </c>
      <c r="J2347" s="3">
        <v>9</v>
      </c>
      <c r="K2347" s="3">
        <v>4.54</v>
      </c>
      <c r="L2347">
        <v>49.56</v>
      </c>
    </row>
    <row r="2348" spans="1:12">
      <c r="A2348" s="1">
        <v>46034</v>
      </c>
      <c r="B2348" t="s">
        <v>10335</v>
      </c>
      <c r="C2348">
        <v>14</v>
      </c>
      <c r="D2348" t="str">
        <f>VLOOKUP(Tabela26[[#This Row],[EMP]],[1]LOJA!$A:$B,2,0)</f>
        <v>S IA</v>
      </c>
      <c r="E2348">
        <v>212</v>
      </c>
      <c r="F2348" t="s">
        <v>10333</v>
      </c>
      <c r="G2348" t="s">
        <v>10332</v>
      </c>
      <c r="H2348" t="s">
        <v>3401</v>
      </c>
      <c r="I2348">
        <v>5405</v>
      </c>
      <c r="J2348" s="3">
        <v>282</v>
      </c>
      <c r="K2348" s="3">
        <v>128.47</v>
      </c>
      <c r="L2348">
        <v>54.44</v>
      </c>
    </row>
    <row r="2349" spans="1:12">
      <c r="A2349" s="1">
        <v>46034</v>
      </c>
      <c r="B2349" t="s">
        <v>10334</v>
      </c>
      <c r="C2349">
        <v>14</v>
      </c>
      <c r="D2349" t="str">
        <f>VLOOKUP(Tabela26[[#This Row],[EMP]],[1]LOJA!$A:$B,2,0)</f>
        <v>S IA</v>
      </c>
      <c r="E2349">
        <v>212</v>
      </c>
      <c r="F2349" t="s">
        <v>10333</v>
      </c>
      <c r="G2349" t="s">
        <v>10332</v>
      </c>
      <c r="H2349" t="s">
        <v>3401</v>
      </c>
      <c r="I2349">
        <v>5102</v>
      </c>
      <c r="J2349" s="3">
        <v>80</v>
      </c>
      <c r="K2349" s="3">
        <v>47.38</v>
      </c>
      <c r="L2349">
        <v>40.78</v>
      </c>
    </row>
    <row r="2350" spans="1:12">
      <c r="A2350" s="1">
        <v>46034</v>
      </c>
      <c r="B2350" t="s">
        <v>10331</v>
      </c>
      <c r="C2350">
        <v>14</v>
      </c>
      <c r="D2350" t="str">
        <f>VLOOKUP(Tabela26[[#This Row],[EMP]],[1]LOJA!$A:$B,2,0)</f>
        <v>S IA</v>
      </c>
      <c r="E2350">
        <v>212</v>
      </c>
      <c r="F2350" t="s">
        <v>3762</v>
      </c>
      <c r="G2350" t="s">
        <v>3761</v>
      </c>
      <c r="H2350" t="s">
        <v>3430</v>
      </c>
      <c r="I2350">
        <v>5405</v>
      </c>
      <c r="J2350" s="3">
        <v>835</v>
      </c>
      <c r="K2350" s="3">
        <v>429.86</v>
      </c>
      <c r="L2350">
        <v>48.52</v>
      </c>
    </row>
    <row r="2351" spans="1:12">
      <c r="A2351" s="1">
        <v>46034</v>
      </c>
      <c r="B2351" t="s">
        <v>10330</v>
      </c>
      <c r="C2351">
        <v>14</v>
      </c>
      <c r="D2351" t="str">
        <f>VLOOKUP(Tabela26[[#This Row],[EMP]],[1]LOJA!$A:$B,2,0)</f>
        <v>S IA</v>
      </c>
      <c r="E2351">
        <v>54</v>
      </c>
      <c r="F2351" t="s">
        <v>4485</v>
      </c>
      <c r="G2351" t="s">
        <v>4484</v>
      </c>
      <c r="H2351" t="s">
        <v>3401</v>
      </c>
      <c r="I2351">
        <v>5102</v>
      </c>
      <c r="J2351" s="3">
        <v>30</v>
      </c>
      <c r="K2351" s="3">
        <v>17.64</v>
      </c>
      <c r="L2351">
        <v>41.2</v>
      </c>
    </row>
    <row r="2352" spans="1:12">
      <c r="A2352" s="1">
        <v>46034</v>
      </c>
      <c r="B2352" t="s">
        <v>10329</v>
      </c>
      <c r="C2352">
        <v>14</v>
      </c>
      <c r="D2352" t="str">
        <f>VLOOKUP(Tabela26[[#This Row],[EMP]],[1]LOJA!$A:$B,2,0)</f>
        <v>S IA</v>
      </c>
      <c r="E2352">
        <v>54</v>
      </c>
      <c r="F2352" t="s">
        <v>10328</v>
      </c>
      <c r="G2352" t="s">
        <v>10327</v>
      </c>
      <c r="H2352" t="s">
        <v>3401</v>
      </c>
      <c r="I2352">
        <v>5102</v>
      </c>
      <c r="J2352" s="3">
        <v>40</v>
      </c>
      <c r="K2352" s="3">
        <v>18.28</v>
      </c>
      <c r="L2352">
        <v>54.3</v>
      </c>
    </row>
    <row r="2353" spans="1:12">
      <c r="A2353" s="1">
        <v>46034</v>
      </c>
      <c r="B2353" t="s">
        <v>10326</v>
      </c>
      <c r="C2353">
        <v>14</v>
      </c>
      <c r="D2353" t="str">
        <f>VLOOKUP(Tabela26[[#This Row],[EMP]],[1]LOJA!$A:$B,2,0)</f>
        <v>S IA</v>
      </c>
      <c r="E2353">
        <v>54</v>
      </c>
      <c r="F2353" t="s">
        <v>3772</v>
      </c>
      <c r="G2353" t="s">
        <v>3771</v>
      </c>
      <c r="H2353" t="s">
        <v>3430</v>
      </c>
      <c r="I2353">
        <v>5405</v>
      </c>
      <c r="J2353" s="3">
        <v>310.39</v>
      </c>
      <c r="K2353" s="3">
        <v>160.37</v>
      </c>
      <c r="L2353">
        <v>48.33</v>
      </c>
    </row>
    <row r="2354" spans="1:12">
      <c r="A2354" s="1">
        <v>46034</v>
      </c>
      <c r="B2354" t="s">
        <v>10325</v>
      </c>
      <c r="C2354">
        <v>14</v>
      </c>
      <c r="D2354" t="str">
        <f>VLOOKUP(Tabela26[[#This Row],[EMP]],[1]LOJA!$A:$B,2,0)</f>
        <v>S IA</v>
      </c>
      <c r="E2354">
        <v>54</v>
      </c>
      <c r="F2354" t="s">
        <v>10321</v>
      </c>
      <c r="G2354" t="s">
        <v>10320</v>
      </c>
      <c r="H2354" t="s">
        <v>3408</v>
      </c>
      <c r="I2354">
        <v>5405</v>
      </c>
      <c r="J2354" s="3">
        <v>290.85000000000002</v>
      </c>
      <c r="K2354" s="3">
        <v>104.2</v>
      </c>
      <c r="L2354">
        <v>64.17</v>
      </c>
    </row>
    <row r="2355" spans="1:12">
      <c r="A2355" s="1">
        <v>46034</v>
      </c>
      <c r="B2355" t="s">
        <v>10324</v>
      </c>
      <c r="C2355">
        <v>14</v>
      </c>
      <c r="D2355" t="str">
        <f>VLOOKUP(Tabela26[[#This Row],[EMP]],[1]LOJA!$A:$B,2,0)</f>
        <v>S IA</v>
      </c>
      <c r="E2355">
        <v>54</v>
      </c>
      <c r="F2355" t="s">
        <v>8014</v>
      </c>
      <c r="G2355" t="s">
        <v>8013</v>
      </c>
      <c r="H2355" t="s">
        <v>3430</v>
      </c>
      <c r="I2355">
        <v>5102</v>
      </c>
      <c r="J2355" s="3">
        <v>27.64</v>
      </c>
      <c r="K2355" s="3">
        <v>19.98</v>
      </c>
      <c r="L2355">
        <v>27.71</v>
      </c>
    </row>
    <row r="2356" spans="1:12">
      <c r="A2356" s="1">
        <v>46034</v>
      </c>
      <c r="B2356" t="s">
        <v>10323</v>
      </c>
      <c r="C2356">
        <v>14</v>
      </c>
      <c r="D2356" t="str">
        <f>VLOOKUP(Tabela26[[#This Row],[EMP]],[1]LOJA!$A:$B,2,0)</f>
        <v>S IA</v>
      </c>
      <c r="E2356">
        <v>54</v>
      </c>
      <c r="F2356" t="s">
        <v>3772</v>
      </c>
      <c r="G2356" t="s">
        <v>3771</v>
      </c>
      <c r="H2356" t="s">
        <v>3430</v>
      </c>
      <c r="I2356">
        <v>5102</v>
      </c>
      <c r="J2356" s="3">
        <v>268.2</v>
      </c>
      <c r="K2356" s="3">
        <v>152.1</v>
      </c>
      <c r="L2356">
        <v>43.29</v>
      </c>
    </row>
    <row r="2357" spans="1:12">
      <c r="A2357" s="1">
        <v>46034</v>
      </c>
      <c r="B2357" t="s">
        <v>10322</v>
      </c>
      <c r="C2357">
        <v>14</v>
      </c>
      <c r="D2357" t="str">
        <f>VLOOKUP(Tabela26[[#This Row],[EMP]],[1]LOJA!$A:$B,2,0)</f>
        <v>S IA</v>
      </c>
      <c r="E2357">
        <v>54</v>
      </c>
      <c r="F2357" t="s">
        <v>10321</v>
      </c>
      <c r="G2357" t="s">
        <v>10320</v>
      </c>
      <c r="H2357" t="s">
        <v>3408</v>
      </c>
      <c r="I2357">
        <v>5405</v>
      </c>
      <c r="J2357" s="3">
        <v>640</v>
      </c>
      <c r="K2357" s="3">
        <v>299.13</v>
      </c>
      <c r="L2357">
        <v>53.26</v>
      </c>
    </row>
    <row r="2358" spans="1:12">
      <c r="A2358" s="1">
        <v>46034</v>
      </c>
      <c r="B2358" t="s">
        <v>10319</v>
      </c>
      <c r="C2358">
        <v>14</v>
      </c>
      <c r="D2358" t="str">
        <f>VLOOKUP(Tabela26[[#This Row],[EMP]],[1]LOJA!$A:$B,2,0)</f>
        <v>S IA</v>
      </c>
      <c r="E2358">
        <v>212</v>
      </c>
      <c r="F2358" t="s">
        <v>3478</v>
      </c>
      <c r="G2358" t="s">
        <v>3477</v>
      </c>
      <c r="H2358" t="s">
        <v>3408</v>
      </c>
      <c r="I2358">
        <v>5405</v>
      </c>
      <c r="J2358" s="3">
        <v>410.11</v>
      </c>
      <c r="K2358" s="3">
        <v>216.34</v>
      </c>
      <c r="L2358">
        <v>47.25</v>
      </c>
    </row>
    <row r="2359" spans="1:12">
      <c r="A2359" s="1">
        <v>46034</v>
      </c>
      <c r="B2359" t="s">
        <v>10318</v>
      </c>
      <c r="C2359">
        <v>12</v>
      </c>
      <c r="D2359" t="str">
        <f>VLOOKUP(Tabela26[[#This Row],[EMP]],[1]LOJA!$A:$B,2,0)</f>
        <v>SOFNORTE</v>
      </c>
      <c r="E2359">
        <v>239</v>
      </c>
      <c r="F2359" t="s">
        <v>3722</v>
      </c>
      <c r="G2359" t="s">
        <v>3721</v>
      </c>
      <c r="H2359" t="s">
        <v>3408</v>
      </c>
      <c r="I2359">
        <v>5405</v>
      </c>
      <c r="J2359" s="3">
        <v>59.9</v>
      </c>
      <c r="K2359" s="3">
        <v>26.53</v>
      </c>
      <c r="L2359">
        <v>55.71</v>
      </c>
    </row>
    <row r="2360" spans="1:12">
      <c r="A2360" s="1">
        <v>46034</v>
      </c>
      <c r="B2360" t="s">
        <v>10317</v>
      </c>
      <c r="C2360">
        <v>12</v>
      </c>
      <c r="D2360" t="str">
        <f>VLOOKUP(Tabela26[[#This Row],[EMP]],[1]LOJA!$A:$B,2,0)</f>
        <v>SOFNORTE</v>
      </c>
      <c r="E2360">
        <v>60</v>
      </c>
      <c r="F2360" t="s">
        <v>4854</v>
      </c>
      <c r="G2360" t="s">
        <v>3402</v>
      </c>
      <c r="H2360" t="s">
        <v>3401</v>
      </c>
      <c r="I2360">
        <v>5405</v>
      </c>
      <c r="J2360" s="3">
        <v>58</v>
      </c>
      <c r="K2360" s="3">
        <v>26.09</v>
      </c>
      <c r="L2360">
        <v>55.02</v>
      </c>
    </row>
    <row r="2361" spans="1:12">
      <c r="A2361" s="1">
        <v>46034</v>
      </c>
      <c r="B2361" t="s">
        <v>10316</v>
      </c>
      <c r="C2361">
        <v>12</v>
      </c>
      <c r="D2361" t="str">
        <f>VLOOKUP(Tabela26[[#This Row],[EMP]],[1]LOJA!$A:$B,2,0)</f>
        <v>SOFNORTE</v>
      </c>
      <c r="E2361">
        <v>60</v>
      </c>
      <c r="F2361" t="s">
        <v>4446</v>
      </c>
      <c r="G2361" t="s">
        <v>4445</v>
      </c>
      <c r="H2361" t="s">
        <v>3408</v>
      </c>
      <c r="I2361">
        <v>5405</v>
      </c>
      <c r="J2361" s="3">
        <v>49</v>
      </c>
      <c r="K2361" s="3">
        <v>24</v>
      </c>
      <c r="L2361">
        <v>51.02</v>
      </c>
    </row>
    <row r="2362" spans="1:12">
      <c r="A2362" s="1">
        <v>46034</v>
      </c>
      <c r="B2362" t="s">
        <v>10315</v>
      </c>
      <c r="C2362">
        <v>12</v>
      </c>
      <c r="D2362" t="str">
        <f>VLOOKUP(Tabela26[[#This Row],[EMP]],[1]LOJA!$A:$B,2,0)</f>
        <v>SOFNORTE</v>
      </c>
      <c r="E2362">
        <v>60</v>
      </c>
      <c r="F2362" t="s">
        <v>10314</v>
      </c>
      <c r="G2362" t="s">
        <v>3402</v>
      </c>
      <c r="H2362" t="s">
        <v>3401</v>
      </c>
      <c r="I2362">
        <v>5405</v>
      </c>
      <c r="J2362" s="3">
        <v>97</v>
      </c>
      <c r="K2362" s="3">
        <v>46.98</v>
      </c>
      <c r="L2362">
        <v>51.57</v>
      </c>
    </row>
    <row r="2363" spans="1:12">
      <c r="A2363" s="1">
        <v>46034</v>
      </c>
      <c r="B2363" t="s">
        <v>10313</v>
      </c>
      <c r="C2363">
        <v>12</v>
      </c>
      <c r="D2363" t="str">
        <f>VLOOKUP(Tabela26[[#This Row],[EMP]],[1]LOJA!$A:$B,2,0)</f>
        <v>SOFNORTE</v>
      </c>
      <c r="E2363">
        <v>60</v>
      </c>
      <c r="F2363" t="s">
        <v>3691</v>
      </c>
      <c r="G2363" t="s">
        <v>3690</v>
      </c>
      <c r="H2363" t="s">
        <v>4297</v>
      </c>
      <c r="I2363">
        <v>5102</v>
      </c>
      <c r="J2363" s="3">
        <v>21.4</v>
      </c>
      <c r="K2363" s="3">
        <v>9.75</v>
      </c>
      <c r="L2363">
        <v>54.44</v>
      </c>
    </row>
    <row r="2364" spans="1:12">
      <c r="A2364" s="1">
        <v>46034</v>
      </c>
      <c r="B2364" t="s">
        <v>10312</v>
      </c>
      <c r="C2364">
        <v>12</v>
      </c>
      <c r="D2364" t="str">
        <f>VLOOKUP(Tabela26[[#This Row],[EMP]],[1]LOJA!$A:$B,2,0)</f>
        <v>SOFNORTE</v>
      </c>
      <c r="E2364">
        <v>239</v>
      </c>
      <c r="F2364" t="s">
        <v>3701</v>
      </c>
      <c r="G2364" t="s">
        <v>3700</v>
      </c>
      <c r="H2364" t="s">
        <v>3408</v>
      </c>
      <c r="I2364">
        <v>5102</v>
      </c>
      <c r="J2364" s="3">
        <v>79</v>
      </c>
      <c r="K2364" s="3">
        <v>40.68</v>
      </c>
      <c r="L2364">
        <v>48.51</v>
      </c>
    </row>
    <row r="2365" spans="1:12">
      <c r="A2365" s="1">
        <v>46034</v>
      </c>
      <c r="B2365" t="s">
        <v>10311</v>
      </c>
      <c r="C2365">
        <v>12</v>
      </c>
      <c r="D2365" t="str">
        <f>VLOOKUP(Tabela26[[#This Row],[EMP]],[1]LOJA!$A:$B,2,0)</f>
        <v>SOFNORTE</v>
      </c>
      <c r="E2365">
        <v>239</v>
      </c>
      <c r="F2365" t="s">
        <v>10310</v>
      </c>
      <c r="G2365" t="s">
        <v>3402</v>
      </c>
      <c r="H2365" t="s">
        <v>3408</v>
      </c>
      <c r="I2365">
        <v>5405</v>
      </c>
      <c r="J2365" s="3">
        <v>130</v>
      </c>
      <c r="K2365" s="3">
        <v>62.38</v>
      </c>
      <c r="L2365">
        <v>52.02</v>
      </c>
    </row>
    <row r="2366" spans="1:12">
      <c r="A2366" s="1">
        <v>46034</v>
      </c>
      <c r="B2366" t="s">
        <v>10309</v>
      </c>
      <c r="C2366">
        <v>12</v>
      </c>
      <c r="D2366" t="str">
        <f>VLOOKUP(Tabela26[[#This Row],[EMP]],[1]LOJA!$A:$B,2,0)</f>
        <v>SOFNORTE</v>
      </c>
      <c r="E2366">
        <v>239</v>
      </c>
      <c r="F2366" t="s">
        <v>3715</v>
      </c>
      <c r="G2366" t="s">
        <v>3714</v>
      </c>
      <c r="H2366" t="s">
        <v>3401</v>
      </c>
      <c r="I2366">
        <v>5405</v>
      </c>
      <c r="J2366" s="3">
        <v>67</v>
      </c>
      <c r="K2366" s="3">
        <v>31.61</v>
      </c>
      <c r="L2366">
        <v>52.82</v>
      </c>
    </row>
    <row r="2367" spans="1:12">
      <c r="A2367" s="1">
        <v>46034</v>
      </c>
      <c r="B2367" t="s">
        <v>10308</v>
      </c>
      <c r="C2367">
        <v>12</v>
      </c>
      <c r="D2367" t="str">
        <f>VLOOKUP(Tabela26[[#This Row],[EMP]],[1]LOJA!$A:$B,2,0)</f>
        <v>SOFNORTE</v>
      </c>
      <c r="E2367">
        <v>239</v>
      </c>
      <c r="F2367" t="s">
        <v>3715</v>
      </c>
      <c r="G2367" t="s">
        <v>3714</v>
      </c>
      <c r="H2367" t="s">
        <v>3401</v>
      </c>
      <c r="I2367">
        <v>5102</v>
      </c>
      <c r="J2367" s="3">
        <v>42</v>
      </c>
      <c r="K2367" s="3">
        <v>19.5</v>
      </c>
      <c r="L2367">
        <v>53.57</v>
      </c>
    </row>
    <row r="2368" spans="1:12">
      <c r="A2368" s="1">
        <v>46034</v>
      </c>
      <c r="B2368" t="s">
        <v>10307</v>
      </c>
      <c r="C2368">
        <v>12</v>
      </c>
      <c r="D2368" t="str">
        <f>VLOOKUP(Tabela26[[#This Row],[EMP]],[1]LOJA!$A:$B,2,0)</f>
        <v>SOFNORTE</v>
      </c>
      <c r="E2368">
        <v>60</v>
      </c>
      <c r="F2368" t="s">
        <v>10306</v>
      </c>
      <c r="G2368" t="s">
        <v>3402</v>
      </c>
      <c r="H2368" t="s">
        <v>3408</v>
      </c>
      <c r="I2368">
        <v>5405</v>
      </c>
      <c r="J2368" s="3">
        <v>157</v>
      </c>
      <c r="K2368" s="3">
        <v>92.47</v>
      </c>
      <c r="L2368">
        <v>41.1</v>
      </c>
    </row>
    <row r="2369" spans="1:12">
      <c r="A2369" s="1">
        <v>46034</v>
      </c>
      <c r="B2369" t="s">
        <v>10305</v>
      </c>
      <c r="C2369">
        <v>12</v>
      </c>
      <c r="D2369" t="str">
        <f>VLOOKUP(Tabela26[[#This Row],[EMP]],[1]LOJA!$A:$B,2,0)</f>
        <v>SOFNORTE</v>
      </c>
      <c r="E2369">
        <v>60</v>
      </c>
      <c r="F2369" t="s">
        <v>3403</v>
      </c>
      <c r="G2369" t="s">
        <v>3402</v>
      </c>
      <c r="H2369" t="s">
        <v>3401</v>
      </c>
      <c r="I2369">
        <v>5102</v>
      </c>
      <c r="J2369" s="3">
        <v>7.9</v>
      </c>
      <c r="K2369" s="3">
        <v>3.91</v>
      </c>
      <c r="L2369">
        <v>50.51</v>
      </c>
    </row>
    <row r="2370" spans="1:12">
      <c r="A2370" s="1">
        <v>46034</v>
      </c>
      <c r="B2370" t="s">
        <v>10304</v>
      </c>
      <c r="C2370">
        <v>12</v>
      </c>
      <c r="D2370" t="str">
        <f>VLOOKUP(Tabela26[[#This Row],[EMP]],[1]LOJA!$A:$B,2,0)</f>
        <v>SOFNORTE</v>
      </c>
      <c r="E2370">
        <v>60</v>
      </c>
      <c r="F2370" t="s">
        <v>3403</v>
      </c>
      <c r="G2370" t="s">
        <v>3402</v>
      </c>
      <c r="H2370" t="s">
        <v>3401</v>
      </c>
      <c r="I2370">
        <v>5405</v>
      </c>
      <c r="J2370" s="3">
        <v>29.9</v>
      </c>
      <c r="K2370" s="3">
        <v>12.04</v>
      </c>
      <c r="L2370">
        <v>59.73</v>
      </c>
    </row>
    <row r="2371" spans="1:12">
      <c r="A2371" s="1">
        <v>46034</v>
      </c>
      <c r="B2371" t="s">
        <v>10303</v>
      </c>
      <c r="C2371">
        <v>12</v>
      </c>
      <c r="D2371" t="str">
        <f>VLOOKUP(Tabela26[[#This Row],[EMP]],[1]LOJA!$A:$B,2,0)</f>
        <v>SOFNORTE</v>
      </c>
      <c r="E2371">
        <v>60</v>
      </c>
      <c r="F2371" t="s">
        <v>3687</v>
      </c>
      <c r="G2371" t="s">
        <v>3686</v>
      </c>
      <c r="H2371" t="s">
        <v>3401</v>
      </c>
      <c r="I2371">
        <v>5102</v>
      </c>
      <c r="J2371" s="3">
        <v>88</v>
      </c>
      <c r="K2371" s="3">
        <v>47.38</v>
      </c>
      <c r="L2371">
        <v>46.16</v>
      </c>
    </row>
    <row r="2372" spans="1:12">
      <c r="A2372" s="1">
        <v>46034</v>
      </c>
      <c r="B2372" t="s">
        <v>10302</v>
      </c>
      <c r="C2372">
        <v>12</v>
      </c>
      <c r="D2372" t="str">
        <f>VLOOKUP(Tabela26[[#This Row],[EMP]],[1]LOJA!$A:$B,2,0)</f>
        <v>SOFNORTE</v>
      </c>
      <c r="E2372">
        <v>239</v>
      </c>
      <c r="F2372" t="s">
        <v>3403</v>
      </c>
      <c r="G2372" t="s">
        <v>3402</v>
      </c>
      <c r="H2372" t="s">
        <v>3401</v>
      </c>
      <c r="I2372">
        <v>5405</v>
      </c>
      <c r="J2372" s="3">
        <v>137</v>
      </c>
      <c r="K2372" s="3">
        <v>71.400000000000006</v>
      </c>
      <c r="L2372">
        <v>47.88</v>
      </c>
    </row>
    <row r="2373" spans="1:12">
      <c r="A2373" s="1">
        <v>46034</v>
      </c>
      <c r="B2373" t="s">
        <v>10301</v>
      </c>
      <c r="C2373">
        <v>12</v>
      </c>
      <c r="D2373" t="str">
        <f>VLOOKUP(Tabela26[[#This Row],[EMP]],[1]LOJA!$A:$B,2,0)</f>
        <v>SOFNORTE</v>
      </c>
      <c r="E2373">
        <v>60</v>
      </c>
      <c r="F2373" t="s">
        <v>3704</v>
      </c>
      <c r="G2373" t="s">
        <v>3703</v>
      </c>
      <c r="H2373" t="s">
        <v>3408</v>
      </c>
      <c r="I2373">
        <v>5405</v>
      </c>
      <c r="J2373" s="3">
        <v>59.9</v>
      </c>
      <c r="K2373" s="3">
        <v>26.53</v>
      </c>
      <c r="L2373">
        <v>55.71</v>
      </c>
    </row>
    <row r="2374" spans="1:12">
      <c r="A2374" s="1">
        <v>46034</v>
      </c>
      <c r="B2374" t="s">
        <v>10300</v>
      </c>
      <c r="C2374">
        <v>12</v>
      </c>
      <c r="D2374" t="str">
        <f>VLOOKUP(Tabela26[[#This Row],[EMP]],[1]LOJA!$A:$B,2,0)</f>
        <v>SOFNORTE</v>
      </c>
      <c r="E2374">
        <v>60</v>
      </c>
      <c r="F2374" t="s">
        <v>3737</v>
      </c>
      <c r="G2374" t="s">
        <v>3736</v>
      </c>
      <c r="H2374" t="s">
        <v>3520</v>
      </c>
      <c r="I2374">
        <v>5405</v>
      </c>
      <c r="J2374" s="3">
        <v>65</v>
      </c>
      <c r="K2374" s="3">
        <v>31.61</v>
      </c>
      <c r="L2374">
        <v>51.37</v>
      </c>
    </row>
    <row r="2375" spans="1:12">
      <c r="A2375" s="1">
        <v>46034</v>
      </c>
      <c r="B2375" t="s">
        <v>10299</v>
      </c>
      <c r="C2375">
        <v>12</v>
      </c>
      <c r="D2375" t="str">
        <f>VLOOKUP(Tabela26[[#This Row],[EMP]],[1]LOJA!$A:$B,2,0)</f>
        <v>SOFNORTE</v>
      </c>
      <c r="E2375">
        <v>60</v>
      </c>
      <c r="F2375" t="s">
        <v>3715</v>
      </c>
      <c r="G2375" t="s">
        <v>3714</v>
      </c>
      <c r="H2375" t="s">
        <v>3401</v>
      </c>
      <c r="I2375">
        <v>5405</v>
      </c>
      <c r="J2375" s="3">
        <v>126</v>
      </c>
      <c r="K2375" s="3">
        <v>65.61</v>
      </c>
      <c r="L2375">
        <v>47.93</v>
      </c>
    </row>
    <row r="2376" spans="1:12">
      <c r="A2376" s="1">
        <v>46034</v>
      </c>
      <c r="B2376" t="s">
        <v>10298</v>
      </c>
      <c r="C2376">
        <v>12</v>
      </c>
      <c r="D2376" t="str">
        <f>VLOOKUP(Tabela26[[#This Row],[EMP]],[1]LOJA!$A:$B,2,0)</f>
        <v>SOFNORTE</v>
      </c>
      <c r="E2376">
        <v>60</v>
      </c>
      <c r="F2376" t="s">
        <v>3428</v>
      </c>
      <c r="G2376" t="s">
        <v>3427</v>
      </c>
      <c r="H2376" t="s">
        <v>4243</v>
      </c>
      <c r="I2376">
        <v>5405</v>
      </c>
      <c r="J2376" s="3">
        <v>147</v>
      </c>
      <c r="K2376" s="3">
        <v>58.25</v>
      </c>
      <c r="L2376">
        <v>60.37</v>
      </c>
    </row>
    <row r="2377" spans="1:12">
      <c r="A2377" s="1">
        <v>46034</v>
      </c>
      <c r="B2377" t="s">
        <v>10297</v>
      </c>
      <c r="C2377">
        <v>12</v>
      </c>
      <c r="D2377" t="str">
        <f>VLOOKUP(Tabela26[[#This Row],[EMP]],[1]LOJA!$A:$B,2,0)</f>
        <v>SOFNORTE</v>
      </c>
      <c r="E2377">
        <v>239</v>
      </c>
      <c r="F2377" t="s">
        <v>3403</v>
      </c>
      <c r="G2377" t="s">
        <v>3402</v>
      </c>
      <c r="H2377" t="s">
        <v>3401</v>
      </c>
      <c r="I2377">
        <v>5405</v>
      </c>
      <c r="J2377" s="3">
        <v>15</v>
      </c>
      <c r="K2377" s="3">
        <v>6.92</v>
      </c>
      <c r="L2377">
        <v>53.87</v>
      </c>
    </row>
    <row r="2378" spans="1:12">
      <c r="A2378" s="1">
        <v>46034</v>
      </c>
      <c r="B2378" t="s">
        <v>10296</v>
      </c>
      <c r="C2378">
        <v>12</v>
      </c>
      <c r="D2378" t="str">
        <f>VLOOKUP(Tabela26[[#This Row],[EMP]],[1]LOJA!$A:$B,2,0)</f>
        <v>SOFNORTE</v>
      </c>
      <c r="E2378">
        <v>239</v>
      </c>
      <c r="F2378" t="s">
        <v>3701</v>
      </c>
      <c r="G2378" t="s">
        <v>3700</v>
      </c>
      <c r="H2378" t="s">
        <v>3401</v>
      </c>
      <c r="I2378">
        <v>5405</v>
      </c>
      <c r="J2378" s="3">
        <v>66</v>
      </c>
      <c r="K2378" s="3">
        <v>31.61</v>
      </c>
      <c r="L2378">
        <v>52.11</v>
      </c>
    </row>
    <row r="2379" spans="1:12">
      <c r="A2379" s="1">
        <v>46034</v>
      </c>
      <c r="B2379" t="s">
        <v>10295</v>
      </c>
      <c r="C2379">
        <v>12</v>
      </c>
      <c r="D2379" t="str">
        <f>VLOOKUP(Tabela26[[#This Row],[EMP]],[1]LOJA!$A:$B,2,0)</f>
        <v>SOFNORTE</v>
      </c>
      <c r="E2379">
        <v>239</v>
      </c>
      <c r="F2379" t="s">
        <v>3403</v>
      </c>
      <c r="G2379" t="s">
        <v>3402</v>
      </c>
      <c r="H2379" t="s">
        <v>3401</v>
      </c>
      <c r="I2379">
        <v>5102</v>
      </c>
      <c r="J2379" s="3">
        <v>60</v>
      </c>
      <c r="K2379" s="3">
        <v>37.64</v>
      </c>
      <c r="L2379">
        <v>37.270000000000003</v>
      </c>
    </row>
    <row r="2380" spans="1:12">
      <c r="A2380" s="1">
        <v>46034</v>
      </c>
      <c r="B2380" t="s">
        <v>10294</v>
      </c>
      <c r="C2380">
        <v>14</v>
      </c>
      <c r="D2380" t="str">
        <f>VLOOKUP(Tabela26[[#This Row],[EMP]],[1]LOJA!$A:$B,2,0)</f>
        <v>S IA</v>
      </c>
      <c r="E2380">
        <v>54</v>
      </c>
      <c r="F2380" t="s">
        <v>9997</v>
      </c>
      <c r="G2380" t="s">
        <v>3402</v>
      </c>
      <c r="H2380" t="s">
        <v>3401</v>
      </c>
      <c r="I2380">
        <v>5102</v>
      </c>
      <c r="J2380" s="3">
        <v>188.5</v>
      </c>
      <c r="K2380" s="3">
        <v>109.22</v>
      </c>
      <c r="L2380">
        <v>42.06</v>
      </c>
    </row>
    <row r="2381" spans="1:12">
      <c r="A2381" s="1">
        <v>46034</v>
      </c>
      <c r="B2381" t="s">
        <v>10293</v>
      </c>
      <c r="C2381">
        <v>14</v>
      </c>
      <c r="D2381" t="str">
        <f>VLOOKUP(Tabela26[[#This Row],[EMP]],[1]LOJA!$A:$B,2,0)</f>
        <v>S IA</v>
      </c>
      <c r="E2381">
        <v>212</v>
      </c>
      <c r="F2381" t="s">
        <v>10292</v>
      </c>
      <c r="G2381" t="s">
        <v>10291</v>
      </c>
      <c r="H2381" t="s">
        <v>3401</v>
      </c>
      <c r="I2381">
        <v>5102</v>
      </c>
      <c r="J2381" s="3">
        <v>70</v>
      </c>
      <c r="K2381" s="3">
        <v>30.35</v>
      </c>
      <c r="L2381">
        <v>56.64</v>
      </c>
    </row>
    <row r="2382" spans="1:12">
      <c r="A2382" s="1">
        <v>46034</v>
      </c>
      <c r="B2382" t="s">
        <v>10290</v>
      </c>
      <c r="C2382">
        <v>14</v>
      </c>
      <c r="D2382" t="str">
        <f>VLOOKUP(Tabela26[[#This Row],[EMP]],[1]LOJA!$A:$B,2,0)</f>
        <v>S IA</v>
      </c>
      <c r="E2382">
        <v>212</v>
      </c>
      <c r="F2382" t="s">
        <v>3403</v>
      </c>
      <c r="G2382" t="s">
        <v>3402</v>
      </c>
      <c r="H2382" t="s">
        <v>3401</v>
      </c>
      <c r="I2382">
        <v>5405</v>
      </c>
      <c r="J2382" s="3">
        <v>42</v>
      </c>
      <c r="K2382" s="3">
        <v>17.25</v>
      </c>
      <c r="L2382">
        <v>58.93</v>
      </c>
    </row>
    <row r="2383" spans="1:12">
      <c r="A2383" s="1">
        <v>46034</v>
      </c>
      <c r="B2383" t="s">
        <v>10289</v>
      </c>
      <c r="C2383">
        <v>14</v>
      </c>
      <c r="D2383" t="str">
        <f>VLOOKUP(Tabela26[[#This Row],[EMP]],[1]LOJA!$A:$B,2,0)</f>
        <v>S IA</v>
      </c>
      <c r="E2383">
        <v>212</v>
      </c>
      <c r="F2383" t="s">
        <v>3403</v>
      </c>
      <c r="G2383" t="s">
        <v>10288</v>
      </c>
      <c r="H2383" t="s">
        <v>3401</v>
      </c>
      <c r="I2383">
        <v>5102</v>
      </c>
      <c r="J2383" s="3">
        <v>63</v>
      </c>
      <c r="K2383" s="3">
        <v>37.64</v>
      </c>
      <c r="L2383">
        <v>40.25</v>
      </c>
    </row>
    <row r="2384" spans="1:12">
      <c r="A2384" s="1">
        <v>46034</v>
      </c>
      <c r="B2384" t="s">
        <v>10287</v>
      </c>
      <c r="C2384">
        <v>14</v>
      </c>
      <c r="D2384" t="str">
        <f>VLOOKUP(Tabela26[[#This Row],[EMP]],[1]LOJA!$A:$B,2,0)</f>
        <v>S IA</v>
      </c>
      <c r="E2384">
        <v>212</v>
      </c>
      <c r="F2384" t="s">
        <v>3403</v>
      </c>
      <c r="G2384" t="s">
        <v>3402</v>
      </c>
      <c r="H2384" t="s">
        <v>3408</v>
      </c>
      <c r="I2384">
        <v>5102</v>
      </c>
      <c r="J2384" s="3">
        <v>80</v>
      </c>
      <c r="K2384" s="3">
        <v>47.38</v>
      </c>
      <c r="L2384">
        <v>40.78</v>
      </c>
    </row>
    <row r="2385" spans="1:12">
      <c r="A2385" s="1">
        <v>46034</v>
      </c>
      <c r="B2385" t="s">
        <v>10286</v>
      </c>
      <c r="C2385">
        <v>14</v>
      </c>
      <c r="D2385" t="str">
        <f>VLOOKUP(Tabela26[[#This Row],[EMP]],[1]LOJA!$A:$B,2,0)</f>
        <v>S IA</v>
      </c>
      <c r="E2385">
        <v>212</v>
      </c>
      <c r="F2385" t="s">
        <v>3403</v>
      </c>
      <c r="G2385" t="s">
        <v>3402</v>
      </c>
      <c r="H2385" t="s">
        <v>3401</v>
      </c>
      <c r="I2385">
        <v>5405</v>
      </c>
      <c r="J2385" s="3">
        <v>73.8</v>
      </c>
      <c r="K2385" s="3">
        <v>31.6</v>
      </c>
      <c r="L2385">
        <v>57.18</v>
      </c>
    </row>
    <row r="2386" spans="1:12">
      <c r="A2386" s="1">
        <v>46034</v>
      </c>
      <c r="B2386" t="s">
        <v>10285</v>
      </c>
      <c r="C2386">
        <v>14</v>
      </c>
      <c r="D2386" t="str">
        <f>VLOOKUP(Tabela26[[#This Row],[EMP]],[1]LOJA!$A:$B,2,0)</f>
        <v>S IA</v>
      </c>
      <c r="E2386">
        <v>54</v>
      </c>
      <c r="F2386" t="s">
        <v>3403</v>
      </c>
      <c r="G2386" t="s">
        <v>3402</v>
      </c>
      <c r="H2386" t="s">
        <v>3401</v>
      </c>
      <c r="I2386">
        <v>5102</v>
      </c>
      <c r="J2386" s="3">
        <v>47.6</v>
      </c>
      <c r="K2386" s="3">
        <v>23.54</v>
      </c>
      <c r="L2386">
        <v>50.55</v>
      </c>
    </row>
    <row r="2387" spans="1:12">
      <c r="A2387" s="1">
        <v>46034</v>
      </c>
      <c r="B2387" t="s">
        <v>10284</v>
      </c>
      <c r="C2387">
        <v>14</v>
      </c>
      <c r="D2387" t="str">
        <f>VLOOKUP(Tabela26[[#This Row],[EMP]],[1]LOJA!$A:$B,2,0)</f>
        <v>S IA</v>
      </c>
      <c r="E2387">
        <v>212</v>
      </c>
      <c r="F2387" t="s">
        <v>3403</v>
      </c>
      <c r="G2387" t="s">
        <v>3402</v>
      </c>
      <c r="H2387" t="s">
        <v>3401</v>
      </c>
      <c r="I2387">
        <v>5405</v>
      </c>
      <c r="J2387" s="3">
        <v>33</v>
      </c>
      <c r="K2387" s="3">
        <v>15.07</v>
      </c>
      <c r="L2387">
        <v>54.33</v>
      </c>
    </row>
    <row r="2388" spans="1:12">
      <c r="A2388" s="1">
        <v>46034</v>
      </c>
      <c r="B2388" t="s">
        <v>10283</v>
      </c>
      <c r="C2388">
        <v>4</v>
      </c>
      <c r="D2388" t="str">
        <f>VLOOKUP(Tabela26[[#This Row],[EMP]],[1]LOJA!$A:$B,2,0)</f>
        <v>ADE</v>
      </c>
      <c r="E2388">
        <v>132</v>
      </c>
      <c r="F2388" t="s">
        <v>3843</v>
      </c>
      <c r="G2388" t="s">
        <v>3842</v>
      </c>
      <c r="H2388" t="s">
        <v>3408</v>
      </c>
      <c r="I2388">
        <v>5405</v>
      </c>
      <c r="J2388" s="3">
        <v>92.5</v>
      </c>
      <c r="K2388" s="3">
        <v>48.14</v>
      </c>
      <c r="L2388">
        <v>47.96</v>
      </c>
    </row>
    <row r="2389" spans="1:12">
      <c r="A2389" s="1">
        <v>46034</v>
      </c>
      <c r="B2389" t="s">
        <v>10282</v>
      </c>
      <c r="C2389">
        <v>4</v>
      </c>
      <c r="D2389" t="str">
        <f>VLOOKUP(Tabela26[[#This Row],[EMP]],[1]LOJA!$A:$B,2,0)</f>
        <v>ADE</v>
      </c>
      <c r="E2389">
        <v>132</v>
      </c>
      <c r="F2389" t="s">
        <v>3677</v>
      </c>
      <c r="G2389" t="s">
        <v>3676</v>
      </c>
      <c r="H2389" t="s">
        <v>3430</v>
      </c>
      <c r="I2389">
        <v>5405</v>
      </c>
      <c r="J2389" s="3">
        <v>79.900000000000006</v>
      </c>
      <c r="K2389" s="3">
        <v>47.66</v>
      </c>
      <c r="L2389">
        <v>40.35</v>
      </c>
    </row>
    <row r="2390" spans="1:12">
      <c r="A2390" s="1">
        <v>46034</v>
      </c>
      <c r="B2390" t="s">
        <v>10281</v>
      </c>
      <c r="C2390">
        <v>4</v>
      </c>
      <c r="D2390" t="str">
        <f>VLOOKUP(Tabela26[[#This Row],[EMP]],[1]LOJA!$A:$B,2,0)</f>
        <v>ADE</v>
      </c>
      <c r="E2390">
        <v>132</v>
      </c>
      <c r="F2390" t="s">
        <v>3664</v>
      </c>
      <c r="G2390" t="s">
        <v>3663</v>
      </c>
      <c r="H2390" t="s">
        <v>3430</v>
      </c>
      <c r="I2390">
        <v>5405</v>
      </c>
      <c r="J2390" s="3">
        <v>175.75</v>
      </c>
      <c r="K2390" s="3">
        <v>85.15</v>
      </c>
      <c r="L2390">
        <v>51.55</v>
      </c>
    </row>
    <row r="2391" spans="1:12">
      <c r="A2391" s="1">
        <v>46034</v>
      </c>
      <c r="B2391" t="s">
        <v>10280</v>
      </c>
      <c r="C2391">
        <v>4</v>
      </c>
      <c r="D2391" t="str">
        <f>VLOOKUP(Tabela26[[#This Row],[EMP]],[1]LOJA!$A:$B,2,0)</f>
        <v>ADE</v>
      </c>
      <c r="E2391">
        <v>132</v>
      </c>
      <c r="F2391" t="s">
        <v>10279</v>
      </c>
      <c r="G2391" t="s">
        <v>10278</v>
      </c>
      <c r="H2391" t="s">
        <v>3401</v>
      </c>
      <c r="I2391">
        <v>1202</v>
      </c>
      <c r="J2391" s="3">
        <v>-109.83</v>
      </c>
      <c r="K2391" s="3">
        <v>-46.66</v>
      </c>
      <c r="L2391">
        <v>57.52</v>
      </c>
    </row>
    <row r="2392" spans="1:12">
      <c r="A2392" s="1">
        <v>46034</v>
      </c>
      <c r="B2392" t="s">
        <v>10277</v>
      </c>
      <c r="C2392">
        <v>4</v>
      </c>
      <c r="D2392" t="str">
        <f>VLOOKUP(Tabela26[[#This Row],[EMP]],[1]LOJA!$A:$B,2,0)</f>
        <v>ADE</v>
      </c>
      <c r="E2392">
        <v>132</v>
      </c>
      <c r="F2392" t="s">
        <v>10276</v>
      </c>
      <c r="G2392" t="s">
        <v>10275</v>
      </c>
      <c r="H2392" t="s">
        <v>3430</v>
      </c>
      <c r="I2392">
        <v>5405</v>
      </c>
      <c r="J2392" s="3">
        <v>178.9</v>
      </c>
      <c r="K2392" s="3">
        <v>46.17</v>
      </c>
      <c r="L2392">
        <v>74.19</v>
      </c>
    </row>
    <row r="2393" spans="1:12">
      <c r="A2393" s="1">
        <v>46034</v>
      </c>
      <c r="B2393" t="s">
        <v>10274</v>
      </c>
      <c r="C2393">
        <v>4</v>
      </c>
      <c r="D2393" t="str">
        <f>VLOOKUP(Tabela26[[#This Row],[EMP]],[1]LOJA!$A:$B,2,0)</f>
        <v>ADE</v>
      </c>
      <c r="E2393">
        <v>132</v>
      </c>
      <c r="F2393" t="s">
        <v>4377</v>
      </c>
      <c r="G2393" t="s">
        <v>4376</v>
      </c>
      <c r="H2393" t="s">
        <v>3408</v>
      </c>
      <c r="I2393">
        <v>5405</v>
      </c>
      <c r="J2393" s="3">
        <v>2837.5</v>
      </c>
      <c r="K2393" s="3">
        <v>2000.72</v>
      </c>
      <c r="L2393">
        <v>29.49</v>
      </c>
    </row>
    <row r="2394" spans="1:12">
      <c r="A2394" s="1">
        <v>46034</v>
      </c>
      <c r="B2394" t="s">
        <v>10273</v>
      </c>
      <c r="C2394">
        <v>4</v>
      </c>
      <c r="D2394" t="str">
        <f>VLOOKUP(Tabela26[[#This Row],[EMP]],[1]LOJA!$A:$B,2,0)</f>
        <v>ADE</v>
      </c>
      <c r="E2394">
        <v>132</v>
      </c>
      <c r="F2394" t="s">
        <v>3677</v>
      </c>
      <c r="G2394" t="s">
        <v>3676</v>
      </c>
      <c r="H2394" t="s">
        <v>3679</v>
      </c>
      <c r="I2394">
        <v>5405</v>
      </c>
      <c r="J2394" s="3">
        <v>1556.4</v>
      </c>
      <c r="K2394" s="3">
        <v>623.25</v>
      </c>
      <c r="L2394">
        <v>59.96</v>
      </c>
    </row>
    <row r="2395" spans="1:12">
      <c r="A2395" s="1">
        <v>46034</v>
      </c>
      <c r="B2395" t="s">
        <v>10272</v>
      </c>
      <c r="C2395">
        <v>4</v>
      </c>
      <c r="D2395" t="str">
        <f>VLOOKUP(Tabela26[[#This Row],[EMP]],[1]LOJA!$A:$B,2,0)</f>
        <v>ADE</v>
      </c>
      <c r="E2395">
        <v>132</v>
      </c>
      <c r="F2395" t="s">
        <v>3677</v>
      </c>
      <c r="G2395" t="s">
        <v>3676</v>
      </c>
      <c r="H2395" t="s">
        <v>4249</v>
      </c>
      <c r="I2395">
        <v>5102</v>
      </c>
      <c r="J2395" s="3">
        <v>318.25</v>
      </c>
      <c r="K2395" s="3">
        <v>190.83</v>
      </c>
      <c r="L2395">
        <v>40.04</v>
      </c>
    </row>
    <row r="2396" spans="1:12">
      <c r="A2396" s="1">
        <v>46034</v>
      </c>
      <c r="B2396" t="s">
        <v>10271</v>
      </c>
      <c r="C2396">
        <v>4</v>
      </c>
      <c r="D2396" t="str">
        <f>VLOOKUP(Tabela26[[#This Row],[EMP]],[1]LOJA!$A:$B,2,0)</f>
        <v>ADE</v>
      </c>
      <c r="E2396">
        <v>132</v>
      </c>
      <c r="F2396" t="s">
        <v>5027</v>
      </c>
      <c r="G2396" t="s">
        <v>5026</v>
      </c>
      <c r="H2396" t="s">
        <v>3430</v>
      </c>
      <c r="I2396">
        <v>5405</v>
      </c>
      <c r="J2396" s="3">
        <v>188.93</v>
      </c>
      <c r="K2396" s="3">
        <v>91.34</v>
      </c>
      <c r="L2396">
        <v>51.65</v>
      </c>
    </row>
    <row r="2397" spans="1:12">
      <c r="A2397" s="1">
        <v>46034</v>
      </c>
      <c r="B2397" t="s">
        <v>10270</v>
      </c>
      <c r="C2397">
        <v>4</v>
      </c>
      <c r="D2397" t="str">
        <f>VLOOKUP(Tabela26[[#This Row],[EMP]],[1]LOJA!$A:$B,2,0)</f>
        <v>ADE</v>
      </c>
      <c r="E2397">
        <v>132</v>
      </c>
      <c r="F2397" t="s">
        <v>3660</v>
      </c>
      <c r="G2397" t="s">
        <v>3659</v>
      </c>
      <c r="H2397" t="s">
        <v>3430</v>
      </c>
      <c r="I2397">
        <v>5102</v>
      </c>
      <c r="J2397" s="3">
        <v>237.1</v>
      </c>
      <c r="K2397" s="3">
        <v>143.36000000000001</v>
      </c>
      <c r="L2397">
        <v>39.54</v>
      </c>
    </row>
    <row r="2398" spans="1:12">
      <c r="A2398" s="1">
        <v>46034</v>
      </c>
      <c r="B2398" t="s">
        <v>10269</v>
      </c>
      <c r="C2398">
        <v>4</v>
      </c>
      <c r="D2398" t="str">
        <f>VLOOKUP(Tabela26[[#This Row],[EMP]],[1]LOJA!$A:$B,2,0)</f>
        <v>ADE</v>
      </c>
      <c r="E2398">
        <v>132</v>
      </c>
      <c r="F2398" t="s">
        <v>3660</v>
      </c>
      <c r="G2398" t="s">
        <v>3659</v>
      </c>
      <c r="H2398" t="s">
        <v>3430</v>
      </c>
      <c r="I2398">
        <v>5405</v>
      </c>
      <c r="J2398" s="3">
        <v>91.39</v>
      </c>
      <c r="K2398" s="3">
        <v>44.49</v>
      </c>
      <c r="L2398">
        <v>51.32</v>
      </c>
    </row>
    <row r="2399" spans="1:12">
      <c r="A2399" s="1">
        <v>46034</v>
      </c>
      <c r="B2399" t="s">
        <v>10268</v>
      </c>
      <c r="C2399">
        <v>4</v>
      </c>
      <c r="D2399" t="str">
        <f>VLOOKUP(Tabela26[[#This Row],[EMP]],[1]LOJA!$A:$B,2,0)</f>
        <v>ADE</v>
      </c>
      <c r="E2399">
        <v>132</v>
      </c>
      <c r="F2399" t="s">
        <v>3664</v>
      </c>
      <c r="G2399" t="s">
        <v>3663</v>
      </c>
      <c r="H2399" t="s">
        <v>3430</v>
      </c>
      <c r="I2399">
        <v>5405</v>
      </c>
      <c r="J2399" s="3">
        <v>319.97000000000003</v>
      </c>
      <c r="K2399" s="3">
        <v>158.82</v>
      </c>
      <c r="L2399">
        <v>50.36</v>
      </c>
    </row>
    <row r="2400" spans="1:12">
      <c r="A2400" s="1">
        <v>46034</v>
      </c>
      <c r="B2400" t="s">
        <v>10267</v>
      </c>
      <c r="C2400">
        <v>13</v>
      </c>
      <c r="D2400" t="str">
        <f>VLOOKUP(Tabela26[[#This Row],[EMP]],[1]LOJA!$A:$B,2,0)</f>
        <v>CEILÂNDIA</v>
      </c>
      <c r="E2400">
        <v>86</v>
      </c>
      <c r="F2400" t="s">
        <v>3403</v>
      </c>
      <c r="G2400" t="s">
        <v>3402</v>
      </c>
      <c r="H2400" t="s">
        <v>3401</v>
      </c>
      <c r="I2400">
        <v>5102</v>
      </c>
      <c r="J2400" s="3">
        <v>106</v>
      </c>
      <c r="K2400" s="3">
        <v>64.31</v>
      </c>
      <c r="L2400">
        <v>39.33</v>
      </c>
    </row>
    <row r="2401" spans="1:12">
      <c r="A2401" s="1">
        <v>46034</v>
      </c>
      <c r="B2401" t="s">
        <v>10266</v>
      </c>
      <c r="C2401">
        <v>13</v>
      </c>
      <c r="D2401" t="str">
        <f>VLOOKUP(Tabela26[[#This Row],[EMP]],[1]LOJA!$A:$B,2,0)</f>
        <v>CEILÂNDIA</v>
      </c>
      <c r="E2401">
        <v>33</v>
      </c>
      <c r="F2401" t="s">
        <v>3403</v>
      </c>
      <c r="G2401" t="s">
        <v>3402</v>
      </c>
      <c r="H2401" t="s">
        <v>3401</v>
      </c>
      <c r="I2401">
        <v>5405</v>
      </c>
      <c r="J2401" s="3">
        <v>39</v>
      </c>
      <c r="K2401" s="3">
        <v>17.22</v>
      </c>
      <c r="L2401">
        <v>55.85</v>
      </c>
    </row>
    <row r="2402" spans="1:12">
      <c r="A2402" s="1">
        <v>46034</v>
      </c>
      <c r="B2402" t="s">
        <v>10265</v>
      </c>
      <c r="C2402">
        <v>13</v>
      </c>
      <c r="D2402" t="str">
        <f>VLOOKUP(Tabela26[[#This Row],[EMP]],[1]LOJA!$A:$B,2,0)</f>
        <v>CEILÂNDIA</v>
      </c>
      <c r="E2402">
        <v>86</v>
      </c>
      <c r="F2402" t="s">
        <v>3403</v>
      </c>
      <c r="G2402" t="s">
        <v>3402</v>
      </c>
      <c r="H2402" t="s">
        <v>3401</v>
      </c>
      <c r="I2402">
        <v>5405</v>
      </c>
      <c r="J2402" s="3">
        <v>40</v>
      </c>
      <c r="K2402" s="3">
        <v>17.350000000000001</v>
      </c>
      <c r="L2402">
        <v>56.63</v>
      </c>
    </row>
    <row r="2403" spans="1:12">
      <c r="A2403" s="1">
        <v>46034</v>
      </c>
      <c r="B2403" t="s">
        <v>10264</v>
      </c>
      <c r="C2403">
        <v>13</v>
      </c>
      <c r="D2403" t="str">
        <f>VLOOKUP(Tabela26[[#This Row],[EMP]],[1]LOJA!$A:$B,2,0)</f>
        <v>CEILÂNDIA</v>
      </c>
      <c r="E2403">
        <v>33</v>
      </c>
      <c r="F2403" t="s">
        <v>3403</v>
      </c>
      <c r="G2403" t="s">
        <v>3402</v>
      </c>
      <c r="H2403" t="s">
        <v>3401</v>
      </c>
      <c r="I2403">
        <v>5102</v>
      </c>
      <c r="J2403" s="3">
        <v>80</v>
      </c>
      <c r="K2403" s="3">
        <v>37.06</v>
      </c>
      <c r="L2403">
        <v>53.68</v>
      </c>
    </row>
    <row r="2404" spans="1:12">
      <c r="A2404" s="1">
        <v>46034</v>
      </c>
      <c r="B2404" t="s">
        <v>10263</v>
      </c>
      <c r="C2404">
        <v>13</v>
      </c>
      <c r="D2404" t="str">
        <f>VLOOKUP(Tabela26[[#This Row],[EMP]],[1]LOJA!$A:$B,2,0)</f>
        <v>CEILÂNDIA</v>
      </c>
      <c r="E2404">
        <v>86</v>
      </c>
      <c r="F2404" t="s">
        <v>6606</v>
      </c>
      <c r="G2404" t="s">
        <v>6605</v>
      </c>
      <c r="H2404" t="s">
        <v>3401</v>
      </c>
      <c r="I2404">
        <v>5102</v>
      </c>
      <c r="J2404" s="3">
        <v>41.4</v>
      </c>
      <c r="K2404" s="3">
        <v>24.49</v>
      </c>
      <c r="L2404">
        <v>40.85</v>
      </c>
    </row>
    <row r="2405" spans="1:12">
      <c r="A2405" s="1">
        <v>46034</v>
      </c>
      <c r="B2405" t="s">
        <v>10262</v>
      </c>
      <c r="C2405">
        <v>13</v>
      </c>
      <c r="D2405" t="str">
        <f>VLOOKUP(Tabela26[[#This Row],[EMP]],[1]LOJA!$A:$B,2,0)</f>
        <v>CEILÂNDIA</v>
      </c>
      <c r="E2405">
        <v>33</v>
      </c>
      <c r="F2405" t="s">
        <v>3403</v>
      </c>
      <c r="G2405" t="s">
        <v>3402</v>
      </c>
      <c r="H2405" t="s">
        <v>3401</v>
      </c>
      <c r="I2405">
        <v>5102</v>
      </c>
      <c r="J2405" s="3">
        <v>78.5</v>
      </c>
      <c r="K2405" s="3">
        <v>40.83</v>
      </c>
      <c r="L2405">
        <v>47.99</v>
      </c>
    </row>
    <row r="2406" spans="1:12">
      <c r="A2406" s="1">
        <v>46034</v>
      </c>
      <c r="B2406" t="s">
        <v>10261</v>
      </c>
      <c r="C2406">
        <v>13</v>
      </c>
      <c r="D2406" t="str">
        <f>VLOOKUP(Tabela26[[#This Row],[EMP]],[1]LOJA!$A:$B,2,0)</f>
        <v>CEILÂNDIA</v>
      </c>
      <c r="E2406">
        <v>86</v>
      </c>
      <c r="F2406" t="s">
        <v>4346</v>
      </c>
      <c r="G2406" t="s">
        <v>4345</v>
      </c>
      <c r="H2406" t="s">
        <v>3408</v>
      </c>
      <c r="I2406">
        <v>5405</v>
      </c>
      <c r="J2406" s="3">
        <v>109.92</v>
      </c>
      <c r="K2406" s="3">
        <v>55.08</v>
      </c>
      <c r="L2406">
        <v>49.89</v>
      </c>
    </row>
    <row r="2407" spans="1:12">
      <c r="A2407" s="1">
        <v>46034</v>
      </c>
      <c r="B2407" t="s">
        <v>10260</v>
      </c>
      <c r="C2407">
        <v>13</v>
      </c>
      <c r="D2407" t="str">
        <f>VLOOKUP(Tabela26[[#This Row],[EMP]],[1]LOJA!$A:$B,2,0)</f>
        <v>CEILÂNDIA</v>
      </c>
      <c r="E2407">
        <v>33</v>
      </c>
      <c r="F2407" t="s">
        <v>3403</v>
      </c>
      <c r="G2407" t="s">
        <v>3402</v>
      </c>
      <c r="H2407" t="s">
        <v>3401</v>
      </c>
      <c r="I2407">
        <v>5102</v>
      </c>
      <c r="J2407" s="3">
        <v>19.899999999999999</v>
      </c>
      <c r="K2407" s="3">
        <v>5.83</v>
      </c>
      <c r="L2407">
        <v>70.7</v>
      </c>
    </row>
    <row r="2408" spans="1:12">
      <c r="A2408" s="1">
        <v>46034</v>
      </c>
      <c r="B2408" t="s">
        <v>10259</v>
      </c>
      <c r="C2408">
        <v>13</v>
      </c>
      <c r="D2408" t="str">
        <f>VLOOKUP(Tabela26[[#This Row],[EMP]],[1]LOJA!$A:$B,2,0)</f>
        <v>CEILÂNDIA</v>
      </c>
      <c r="E2408">
        <v>86</v>
      </c>
      <c r="F2408" t="s">
        <v>3403</v>
      </c>
      <c r="G2408" t="s">
        <v>3402</v>
      </c>
      <c r="H2408" t="s">
        <v>3401</v>
      </c>
      <c r="I2408">
        <v>5102</v>
      </c>
      <c r="J2408" s="3">
        <v>23</v>
      </c>
      <c r="K2408" s="3">
        <v>13.32</v>
      </c>
      <c r="L2408">
        <v>42.09</v>
      </c>
    </row>
    <row r="2409" spans="1:12">
      <c r="A2409" s="1">
        <v>46034</v>
      </c>
      <c r="B2409" t="s">
        <v>10258</v>
      </c>
      <c r="C2409">
        <v>13</v>
      </c>
      <c r="D2409" t="str">
        <f>VLOOKUP(Tabela26[[#This Row],[EMP]],[1]LOJA!$A:$B,2,0)</f>
        <v>CEILÂNDIA</v>
      </c>
      <c r="E2409">
        <v>86</v>
      </c>
      <c r="F2409" t="s">
        <v>3403</v>
      </c>
      <c r="G2409" t="s">
        <v>3402</v>
      </c>
      <c r="H2409" t="s">
        <v>3408</v>
      </c>
      <c r="I2409">
        <v>5405</v>
      </c>
      <c r="J2409" s="3">
        <v>80</v>
      </c>
      <c r="K2409" s="3">
        <v>39.86</v>
      </c>
      <c r="L2409">
        <v>50.18</v>
      </c>
    </row>
    <row r="2410" spans="1:12">
      <c r="A2410" s="1">
        <v>46034</v>
      </c>
      <c r="B2410" t="s">
        <v>10257</v>
      </c>
      <c r="C2410">
        <v>13</v>
      </c>
      <c r="D2410" t="str">
        <f>VLOOKUP(Tabela26[[#This Row],[EMP]],[1]LOJA!$A:$B,2,0)</f>
        <v>CEILÂNDIA</v>
      </c>
      <c r="E2410">
        <v>86</v>
      </c>
      <c r="F2410" t="s">
        <v>3406</v>
      </c>
      <c r="G2410" t="s">
        <v>3405</v>
      </c>
      <c r="H2410" t="s">
        <v>3408</v>
      </c>
      <c r="I2410">
        <v>5405</v>
      </c>
      <c r="J2410" s="3">
        <v>53</v>
      </c>
      <c r="K2410" s="3">
        <v>27.86</v>
      </c>
      <c r="L2410">
        <v>47.43</v>
      </c>
    </row>
    <row r="2411" spans="1:12">
      <c r="A2411" s="1">
        <v>46034</v>
      </c>
      <c r="B2411" t="s">
        <v>10256</v>
      </c>
      <c r="C2411">
        <v>13</v>
      </c>
      <c r="D2411" t="str">
        <f>VLOOKUP(Tabela26[[#This Row],[EMP]],[1]LOJA!$A:$B,2,0)</f>
        <v>CEILÂNDIA</v>
      </c>
      <c r="E2411">
        <v>33</v>
      </c>
      <c r="F2411" t="s">
        <v>10255</v>
      </c>
      <c r="G2411" t="s">
        <v>3402</v>
      </c>
      <c r="H2411" t="s">
        <v>3408</v>
      </c>
      <c r="I2411">
        <v>5405</v>
      </c>
      <c r="J2411" s="3">
        <v>45</v>
      </c>
      <c r="K2411" s="3">
        <v>20.71</v>
      </c>
      <c r="L2411">
        <v>53.98</v>
      </c>
    </row>
    <row r="2412" spans="1:12">
      <c r="A2412" s="1">
        <v>46034</v>
      </c>
      <c r="B2412" t="s">
        <v>10254</v>
      </c>
      <c r="C2412">
        <v>13</v>
      </c>
      <c r="D2412" t="str">
        <f>VLOOKUP(Tabela26[[#This Row],[EMP]],[1]LOJA!$A:$B,2,0)</f>
        <v>CEILÂNDIA</v>
      </c>
      <c r="E2412">
        <v>86</v>
      </c>
      <c r="F2412" t="s">
        <v>10253</v>
      </c>
      <c r="G2412" t="s">
        <v>3402</v>
      </c>
      <c r="H2412" t="s">
        <v>3401</v>
      </c>
      <c r="I2412">
        <v>5405</v>
      </c>
      <c r="J2412" s="3">
        <v>55</v>
      </c>
      <c r="K2412" s="3">
        <v>28.22</v>
      </c>
      <c r="L2412">
        <v>48.69</v>
      </c>
    </row>
    <row r="2413" spans="1:12">
      <c r="A2413" s="1">
        <v>46034</v>
      </c>
      <c r="B2413" t="s">
        <v>10252</v>
      </c>
      <c r="C2413">
        <v>13</v>
      </c>
      <c r="D2413" t="str">
        <f>VLOOKUP(Tabela26[[#This Row],[EMP]],[1]LOJA!$A:$B,2,0)</f>
        <v>CEILÂNDIA</v>
      </c>
      <c r="E2413">
        <v>86</v>
      </c>
      <c r="F2413" t="s">
        <v>3403</v>
      </c>
      <c r="G2413" t="s">
        <v>3402</v>
      </c>
      <c r="H2413" t="s">
        <v>3401</v>
      </c>
      <c r="I2413">
        <v>5405</v>
      </c>
      <c r="J2413" s="3">
        <v>35</v>
      </c>
      <c r="K2413" s="3">
        <v>16.23</v>
      </c>
      <c r="L2413">
        <v>53.63</v>
      </c>
    </row>
    <row r="2414" spans="1:12">
      <c r="A2414" s="1">
        <v>46034</v>
      </c>
      <c r="B2414" t="s">
        <v>10251</v>
      </c>
      <c r="C2414">
        <v>13</v>
      </c>
      <c r="D2414" t="str">
        <f>VLOOKUP(Tabela26[[#This Row],[EMP]],[1]LOJA!$A:$B,2,0)</f>
        <v>CEILÂNDIA</v>
      </c>
      <c r="E2414">
        <v>86</v>
      </c>
      <c r="F2414" t="s">
        <v>3403</v>
      </c>
      <c r="G2414" t="s">
        <v>3402</v>
      </c>
      <c r="H2414" t="s">
        <v>3401</v>
      </c>
      <c r="I2414">
        <v>5102</v>
      </c>
      <c r="J2414" s="3">
        <v>10</v>
      </c>
      <c r="K2414" s="3">
        <v>6.16</v>
      </c>
      <c r="L2414">
        <v>38.4</v>
      </c>
    </row>
    <row r="2415" spans="1:12">
      <c r="A2415" s="1">
        <v>46034</v>
      </c>
      <c r="B2415" t="s">
        <v>10250</v>
      </c>
      <c r="C2415">
        <v>13</v>
      </c>
      <c r="D2415" t="str">
        <f>VLOOKUP(Tabela26[[#This Row],[EMP]],[1]LOJA!$A:$B,2,0)</f>
        <v>CEILÂNDIA</v>
      </c>
      <c r="E2415">
        <v>86</v>
      </c>
      <c r="F2415" t="s">
        <v>3403</v>
      </c>
      <c r="G2415" t="s">
        <v>3402</v>
      </c>
      <c r="H2415" t="s">
        <v>3408</v>
      </c>
      <c r="I2415">
        <v>5405</v>
      </c>
      <c r="J2415" s="3">
        <v>155</v>
      </c>
      <c r="K2415" s="3">
        <v>75.06</v>
      </c>
      <c r="L2415">
        <v>51.57</v>
      </c>
    </row>
    <row r="2416" spans="1:12">
      <c r="A2416" s="1">
        <v>46034</v>
      </c>
      <c r="B2416" t="s">
        <v>10249</v>
      </c>
      <c r="C2416">
        <v>13</v>
      </c>
      <c r="D2416" t="str">
        <f>VLOOKUP(Tabela26[[#This Row],[EMP]],[1]LOJA!$A:$B,2,0)</f>
        <v>CEILÂNDIA</v>
      </c>
      <c r="E2416">
        <v>86</v>
      </c>
      <c r="F2416" t="s">
        <v>3403</v>
      </c>
      <c r="G2416" t="s">
        <v>3402</v>
      </c>
      <c r="H2416" t="s">
        <v>3401</v>
      </c>
      <c r="I2416">
        <v>5405</v>
      </c>
      <c r="J2416" s="3">
        <v>245</v>
      </c>
      <c r="K2416" s="3">
        <v>128.9</v>
      </c>
      <c r="L2416">
        <v>47.39</v>
      </c>
    </row>
    <row r="2417" spans="1:12">
      <c r="A2417" s="1">
        <v>46034</v>
      </c>
      <c r="B2417" t="s">
        <v>10248</v>
      </c>
      <c r="C2417">
        <v>13</v>
      </c>
      <c r="D2417" t="str">
        <f>VLOOKUP(Tabela26[[#This Row],[EMP]],[1]LOJA!$A:$B,2,0)</f>
        <v>CEILÂNDIA</v>
      </c>
      <c r="E2417">
        <v>86</v>
      </c>
      <c r="F2417" t="s">
        <v>3403</v>
      </c>
      <c r="G2417" t="s">
        <v>3402</v>
      </c>
      <c r="H2417" t="s">
        <v>3401</v>
      </c>
      <c r="I2417">
        <v>5102</v>
      </c>
      <c r="J2417" s="3">
        <v>34</v>
      </c>
      <c r="K2417" s="3">
        <v>16.64</v>
      </c>
      <c r="L2417">
        <v>51.06</v>
      </c>
    </row>
    <row r="2418" spans="1:12">
      <c r="A2418" s="1">
        <v>46034</v>
      </c>
      <c r="B2418" t="s">
        <v>10247</v>
      </c>
      <c r="C2418">
        <v>13</v>
      </c>
      <c r="D2418" t="str">
        <f>VLOOKUP(Tabela26[[#This Row],[EMP]],[1]LOJA!$A:$B,2,0)</f>
        <v>CEILÂNDIA</v>
      </c>
      <c r="E2418">
        <v>86</v>
      </c>
      <c r="F2418" t="s">
        <v>3403</v>
      </c>
      <c r="G2418" t="s">
        <v>3402</v>
      </c>
      <c r="H2418" t="s">
        <v>3401</v>
      </c>
      <c r="I2418">
        <v>5405</v>
      </c>
      <c r="J2418" s="3">
        <v>28</v>
      </c>
      <c r="K2418" s="3">
        <v>12.07</v>
      </c>
      <c r="L2418">
        <v>56.89</v>
      </c>
    </row>
    <row r="2419" spans="1:12">
      <c r="A2419" s="1">
        <v>46034</v>
      </c>
      <c r="B2419" t="s">
        <v>10246</v>
      </c>
      <c r="C2419">
        <v>13</v>
      </c>
      <c r="D2419" t="str">
        <f>VLOOKUP(Tabela26[[#This Row],[EMP]],[1]LOJA!$A:$B,2,0)</f>
        <v>CEILÂNDIA</v>
      </c>
      <c r="E2419">
        <v>86</v>
      </c>
      <c r="F2419" t="s">
        <v>3597</v>
      </c>
      <c r="G2419" t="s">
        <v>3596</v>
      </c>
      <c r="H2419" t="s">
        <v>3408</v>
      </c>
      <c r="I2419">
        <v>5405</v>
      </c>
      <c r="J2419" s="3">
        <v>252</v>
      </c>
      <c r="K2419" s="3">
        <v>129.26</v>
      </c>
      <c r="L2419">
        <v>48.71</v>
      </c>
    </row>
    <row r="2420" spans="1:12">
      <c r="A2420" s="1">
        <v>46034</v>
      </c>
      <c r="B2420" t="s">
        <v>10245</v>
      </c>
      <c r="C2420">
        <v>13</v>
      </c>
      <c r="D2420" t="str">
        <f>VLOOKUP(Tabela26[[#This Row],[EMP]],[1]LOJA!$A:$B,2,0)</f>
        <v>CEILÂNDIA</v>
      </c>
      <c r="E2420">
        <v>33</v>
      </c>
      <c r="F2420" t="s">
        <v>7933</v>
      </c>
      <c r="G2420" t="s">
        <v>7932</v>
      </c>
      <c r="H2420" t="s">
        <v>3520</v>
      </c>
      <c r="I2420">
        <v>5405</v>
      </c>
      <c r="J2420" s="3">
        <v>299.39999999999998</v>
      </c>
      <c r="K2420" s="3">
        <v>159.18</v>
      </c>
      <c r="L2420">
        <v>46.83</v>
      </c>
    </row>
    <row r="2421" spans="1:12">
      <c r="A2421" s="1">
        <v>46034</v>
      </c>
      <c r="B2421" t="s">
        <v>10244</v>
      </c>
      <c r="C2421">
        <v>13</v>
      </c>
      <c r="D2421" t="str">
        <f>VLOOKUP(Tabela26[[#This Row],[EMP]],[1]LOJA!$A:$B,2,0)</f>
        <v>CEILÂNDIA</v>
      </c>
      <c r="E2421">
        <v>86</v>
      </c>
      <c r="F2421" t="s">
        <v>3612</v>
      </c>
      <c r="G2421" t="s">
        <v>3611</v>
      </c>
      <c r="H2421" t="s">
        <v>3401</v>
      </c>
      <c r="I2421">
        <v>5405</v>
      </c>
      <c r="J2421" s="3">
        <v>190</v>
      </c>
      <c r="K2421" s="3">
        <v>107.88</v>
      </c>
      <c r="L2421">
        <v>43.22</v>
      </c>
    </row>
    <row r="2422" spans="1:12">
      <c r="A2422" s="1">
        <v>46034</v>
      </c>
      <c r="B2422" t="s">
        <v>10243</v>
      </c>
      <c r="C2422">
        <v>13</v>
      </c>
      <c r="D2422" t="str">
        <f>VLOOKUP(Tabela26[[#This Row],[EMP]],[1]LOJA!$A:$B,2,0)</f>
        <v>CEILÂNDIA</v>
      </c>
      <c r="E2422">
        <v>86</v>
      </c>
      <c r="F2422" t="s">
        <v>6610</v>
      </c>
      <c r="G2422" t="s">
        <v>6609</v>
      </c>
      <c r="H2422" t="s">
        <v>3408</v>
      </c>
      <c r="I2422">
        <v>5102</v>
      </c>
      <c r="J2422" s="3">
        <v>79.900000000000006</v>
      </c>
      <c r="K2422" s="3">
        <v>52.48</v>
      </c>
      <c r="L2422">
        <v>34.32</v>
      </c>
    </row>
    <row r="2423" spans="1:12">
      <c r="A2423" s="1">
        <v>46034</v>
      </c>
      <c r="B2423" t="s">
        <v>10242</v>
      </c>
      <c r="C2423">
        <v>13</v>
      </c>
      <c r="D2423" t="str">
        <f>VLOOKUP(Tabela26[[#This Row],[EMP]],[1]LOJA!$A:$B,2,0)</f>
        <v>CEILÂNDIA</v>
      </c>
      <c r="E2423">
        <v>86</v>
      </c>
      <c r="F2423" t="s">
        <v>3622</v>
      </c>
      <c r="G2423" t="s">
        <v>3402</v>
      </c>
      <c r="H2423" t="s">
        <v>3401</v>
      </c>
      <c r="I2423">
        <v>5405</v>
      </c>
      <c r="J2423" s="3">
        <v>75</v>
      </c>
      <c r="K2423" s="3">
        <v>37.01</v>
      </c>
      <c r="L2423">
        <v>50.65</v>
      </c>
    </row>
    <row r="2424" spans="1:12">
      <c r="A2424" s="1">
        <v>46034</v>
      </c>
      <c r="B2424" t="s">
        <v>10241</v>
      </c>
      <c r="C2424">
        <v>13</v>
      </c>
      <c r="D2424" t="str">
        <f>VLOOKUP(Tabela26[[#This Row],[EMP]],[1]LOJA!$A:$B,2,0)</f>
        <v>CEILÂNDIA</v>
      </c>
      <c r="E2424">
        <v>86</v>
      </c>
      <c r="F2424" t="s">
        <v>7966</v>
      </c>
      <c r="G2424" t="s">
        <v>3402</v>
      </c>
      <c r="H2424" t="s">
        <v>3408</v>
      </c>
      <c r="I2424">
        <v>5405</v>
      </c>
      <c r="J2424" s="3">
        <v>65</v>
      </c>
      <c r="K2424" s="3">
        <v>35.74</v>
      </c>
      <c r="L2424">
        <v>45.02</v>
      </c>
    </row>
    <row r="2425" spans="1:12">
      <c r="A2425" s="1">
        <v>46034</v>
      </c>
      <c r="B2425" t="s">
        <v>10240</v>
      </c>
      <c r="C2425">
        <v>13</v>
      </c>
      <c r="D2425" t="str">
        <f>VLOOKUP(Tabela26[[#This Row],[EMP]],[1]LOJA!$A:$B,2,0)</f>
        <v>CEILÂNDIA</v>
      </c>
      <c r="E2425">
        <v>86</v>
      </c>
      <c r="F2425" t="s">
        <v>3597</v>
      </c>
      <c r="G2425" t="s">
        <v>3596</v>
      </c>
      <c r="H2425" t="s">
        <v>3408</v>
      </c>
      <c r="I2425">
        <v>5102</v>
      </c>
      <c r="J2425" s="3">
        <v>99.9</v>
      </c>
      <c r="K2425" s="3">
        <v>56.47</v>
      </c>
      <c r="L2425">
        <v>43.47</v>
      </c>
    </row>
    <row r="2426" spans="1:12">
      <c r="A2426" s="1">
        <v>46034</v>
      </c>
      <c r="B2426" t="s">
        <v>10239</v>
      </c>
      <c r="C2426">
        <v>6</v>
      </c>
      <c r="D2426" t="str">
        <f>VLOOKUP(Tabela26[[#This Row],[EMP]],[1]LOJA!$A:$B,2,0)</f>
        <v>GAMA</v>
      </c>
      <c r="E2426">
        <v>226</v>
      </c>
      <c r="F2426" t="s">
        <v>3568</v>
      </c>
      <c r="G2426" t="s">
        <v>3567</v>
      </c>
      <c r="H2426" t="s">
        <v>3520</v>
      </c>
      <c r="I2426">
        <v>5405</v>
      </c>
      <c r="J2426" s="3">
        <v>274</v>
      </c>
      <c r="K2426" s="3">
        <v>181.74</v>
      </c>
      <c r="L2426">
        <v>33.67</v>
      </c>
    </row>
    <row r="2427" spans="1:12">
      <c r="A2427" s="1">
        <v>46034</v>
      </c>
      <c r="B2427" t="s">
        <v>10238</v>
      </c>
      <c r="C2427">
        <v>6</v>
      </c>
      <c r="D2427" t="str">
        <f>VLOOKUP(Tabela26[[#This Row],[EMP]],[1]LOJA!$A:$B,2,0)</f>
        <v>GAMA</v>
      </c>
      <c r="E2427">
        <v>245</v>
      </c>
      <c r="F2427" t="s">
        <v>3576</v>
      </c>
      <c r="G2427" t="s">
        <v>3402</v>
      </c>
      <c r="H2427" t="s">
        <v>3401</v>
      </c>
      <c r="I2427">
        <v>5405</v>
      </c>
      <c r="J2427" s="3">
        <v>216</v>
      </c>
      <c r="K2427" s="3">
        <v>112.15</v>
      </c>
      <c r="L2427">
        <v>48.08</v>
      </c>
    </row>
    <row r="2428" spans="1:12">
      <c r="A2428" s="1">
        <v>46034</v>
      </c>
      <c r="B2428" t="s">
        <v>10237</v>
      </c>
      <c r="C2428">
        <v>6</v>
      </c>
      <c r="D2428" t="str">
        <f>VLOOKUP(Tabela26[[#This Row],[EMP]],[1]LOJA!$A:$B,2,0)</f>
        <v>GAMA</v>
      </c>
      <c r="E2428">
        <v>245</v>
      </c>
      <c r="F2428" t="s">
        <v>3399</v>
      </c>
      <c r="G2428" t="s">
        <v>3398</v>
      </c>
      <c r="H2428" t="s">
        <v>3401</v>
      </c>
      <c r="I2428">
        <v>5102</v>
      </c>
      <c r="J2428" s="3">
        <v>120</v>
      </c>
      <c r="K2428" s="3">
        <v>63.03</v>
      </c>
      <c r="L2428">
        <v>47.48</v>
      </c>
    </row>
    <row r="2429" spans="1:12">
      <c r="A2429" s="1">
        <v>46034</v>
      </c>
      <c r="B2429" t="s">
        <v>10236</v>
      </c>
      <c r="C2429">
        <v>6</v>
      </c>
      <c r="D2429" t="str">
        <f>VLOOKUP(Tabela26[[#This Row],[EMP]],[1]LOJA!$A:$B,2,0)</f>
        <v>GAMA</v>
      </c>
      <c r="E2429">
        <v>226</v>
      </c>
      <c r="F2429" t="s">
        <v>3403</v>
      </c>
      <c r="G2429" t="s">
        <v>3402</v>
      </c>
      <c r="H2429" t="s">
        <v>3401</v>
      </c>
      <c r="I2429">
        <v>5405</v>
      </c>
      <c r="J2429" s="3">
        <v>55</v>
      </c>
      <c r="K2429" s="3">
        <v>24.29</v>
      </c>
      <c r="L2429">
        <v>55.84</v>
      </c>
    </row>
    <row r="2430" spans="1:12">
      <c r="A2430" s="1">
        <v>46034</v>
      </c>
      <c r="B2430" t="s">
        <v>10235</v>
      </c>
      <c r="C2430">
        <v>6</v>
      </c>
      <c r="D2430" t="str">
        <f>VLOOKUP(Tabela26[[#This Row],[EMP]],[1]LOJA!$A:$B,2,0)</f>
        <v>GAMA</v>
      </c>
      <c r="E2430">
        <v>245</v>
      </c>
      <c r="F2430" t="s">
        <v>3403</v>
      </c>
      <c r="G2430" t="s">
        <v>3402</v>
      </c>
      <c r="H2430" t="s">
        <v>3401</v>
      </c>
      <c r="I2430">
        <v>5102</v>
      </c>
      <c r="J2430" s="3">
        <v>44</v>
      </c>
      <c r="K2430" s="3">
        <v>26.36</v>
      </c>
      <c r="L2430">
        <v>40.090000000000003</v>
      </c>
    </row>
    <row r="2431" spans="1:12">
      <c r="A2431" s="1">
        <v>46034</v>
      </c>
      <c r="B2431" t="s">
        <v>10234</v>
      </c>
      <c r="C2431">
        <v>6</v>
      </c>
      <c r="D2431" t="str">
        <f>VLOOKUP(Tabela26[[#This Row],[EMP]],[1]LOJA!$A:$B,2,0)</f>
        <v>GAMA</v>
      </c>
      <c r="E2431">
        <v>245</v>
      </c>
      <c r="F2431" t="s">
        <v>9997</v>
      </c>
      <c r="G2431" t="s">
        <v>3402</v>
      </c>
      <c r="H2431" t="s">
        <v>3401</v>
      </c>
      <c r="I2431">
        <v>5405</v>
      </c>
      <c r="J2431" s="3">
        <v>240</v>
      </c>
      <c r="K2431" s="3">
        <v>120.79</v>
      </c>
      <c r="L2431">
        <v>49.67</v>
      </c>
    </row>
    <row r="2432" spans="1:12">
      <c r="A2432" s="1">
        <v>46034</v>
      </c>
      <c r="B2432" t="s">
        <v>10233</v>
      </c>
      <c r="C2432">
        <v>6</v>
      </c>
      <c r="D2432" t="str">
        <f>VLOOKUP(Tabela26[[#This Row],[EMP]],[1]LOJA!$A:$B,2,0)</f>
        <v>GAMA</v>
      </c>
      <c r="E2432">
        <v>245</v>
      </c>
      <c r="F2432" t="s">
        <v>6571</v>
      </c>
      <c r="G2432" t="s">
        <v>6570</v>
      </c>
      <c r="H2432" t="s">
        <v>3401</v>
      </c>
      <c r="I2432">
        <v>5405</v>
      </c>
      <c r="J2432" s="3">
        <v>50</v>
      </c>
      <c r="K2432" s="3">
        <v>26.64</v>
      </c>
      <c r="L2432">
        <v>46.72</v>
      </c>
    </row>
    <row r="2433" spans="1:12">
      <c r="A2433" s="1">
        <v>46034</v>
      </c>
      <c r="B2433" t="s">
        <v>10232</v>
      </c>
      <c r="C2433">
        <v>6</v>
      </c>
      <c r="D2433" t="str">
        <f>VLOOKUP(Tabela26[[#This Row],[EMP]],[1]LOJA!$A:$B,2,0)</f>
        <v>GAMA</v>
      </c>
      <c r="E2433">
        <v>226</v>
      </c>
      <c r="F2433" t="s">
        <v>3403</v>
      </c>
      <c r="G2433" t="s">
        <v>3402</v>
      </c>
      <c r="H2433" t="s">
        <v>3401</v>
      </c>
      <c r="I2433">
        <v>5102</v>
      </c>
      <c r="J2433" s="3">
        <v>41</v>
      </c>
      <c r="K2433" s="3">
        <v>20.73</v>
      </c>
      <c r="L2433">
        <v>49.44</v>
      </c>
    </row>
    <row r="2434" spans="1:12">
      <c r="A2434" s="1">
        <v>46034</v>
      </c>
      <c r="B2434" t="s">
        <v>10231</v>
      </c>
      <c r="C2434">
        <v>6</v>
      </c>
      <c r="D2434" t="str">
        <f>VLOOKUP(Tabela26[[#This Row],[EMP]],[1]LOJA!$A:$B,2,0)</f>
        <v>GAMA</v>
      </c>
      <c r="E2434">
        <v>245</v>
      </c>
      <c r="F2434" t="s">
        <v>4314</v>
      </c>
      <c r="G2434" t="s">
        <v>4313</v>
      </c>
      <c r="H2434" t="s">
        <v>3401</v>
      </c>
      <c r="I2434">
        <v>5405</v>
      </c>
      <c r="J2434" s="3">
        <v>86</v>
      </c>
      <c r="K2434" s="3">
        <v>44.1</v>
      </c>
      <c r="L2434">
        <v>48.72</v>
      </c>
    </row>
    <row r="2435" spans="1:12">
      <c r="A2435" s="1">
        <v>46034</v>
      </c>
      <c r="B2435" t="s">
        <v>10230</v>
      </c>
      <c r="C2435">
        <v>6</v>
      </c>
      <c r="D2435" t="str">
        <f>VLOOKUP(Tabela26[[#This Row],[EMP]],[1]LOJA!$A:$B,2,0)</f>
        <v>GAMA</v>
      </c>
      <c r="E2435">
        <v>226</v>
      </c>
      <c r="F2435" t="s">
        <v>8546</v>
      </c>
      <c r="G2435" t="s">
        <v>8545</v>
      </c>
      <c r="H2435" t="s">
        <v>3430</v>
      </c>
      <c r="I2435">
        <v>6108</v>
      </c>
      <c r="J2435" s="3">
        <v>339</v>
      </c>
      <c r="K2435" s="3">
        <v>177</v>
      </c>
      <c r="L2435">
        <v>47.79</v>
      </c>
    </row>
    <row r="2436" spans="1:12">
      <c r="A2436" s="1">
        <v>46035</v>
      </c>
      <c r="B2436" t="s">
        <v>10229</v>
      </c>
      <c r="C2436">
        <v>24</v>
      </c>
      <c r="D2436" t="str">
        <f>VLOOKUP(Tabela26[[#This Row],[EMP]],[1]LOJA!$A:$B,2,0)</f>
        <v>LUZIÂNIA</v>
      </c>
      <c r="E2436">
        <v>150</v>
      </c>
      <c r="F2436" t="s">
        <v>4279</v>
      </c>
      <c r="G2436" t="s">
        <v>4278</v>
      </c>
      <c r="H2436" t="s">
        <v>3401</v>
      </c>
      <c r="I2436">
        <v>1411</v>
      </c>
      <c r="J2436" s="3">
        <v>-193.96</v>
      </c>
      <c r="K2436" s="3">
        <v>-100.31</v>
      </c>
      <c r="L2436">
        <v>48.28</v>
      </c>
    </row>
    <row r="2437" spans="1:12">
      <c r="A2437" s="1">
        <v>46035</v>
      </c>
      <c r="B2437" t="s">
        <v>10228</v>
      </c>
      <c r="C2437">
        <v>13</v>
      </c>
      <c r="D2437" t="str">
        <f>VLOOKUP(Tabela26[[#This Row],[EMP]],[1]LOJA!$A:$B,2,0)</f>
        <v>CEILÂNDIA</v>
      </c>
      <c r="E2437">
        <v>86</v>
      </c>
      <c r="F2437" t="s">
        <v>4992</v>
      </c>
      <c r="G2437" t="s">
        <v>4991</v>
      </c>
      <c r="H2437" t="s">
        <v>3401</v>
      </c>
      <c r="I2437">
        <v>1411</v>
      </c>
      <c r="J2437" s="3">
        <v>-1121.71</v>
      </c>
      <c r="K2437" s="3">
        <v>-485.37</v>
      </c>
      <c r="L2437">
        <v>56.73</v>
      </c>
    </row>
    <row r="2438" spans="1:12">
      <c r="A2438" s="1">
        <v>46035</v>
      </c>
      <c r="B2438" t="s">
        <v>10227</v>
      </c>
      <c r="C2438">
        <v>24</v>
      </c>
      <c r="D2438" t="str">
        <f>VLOOKUP(Tabela26[[#This Row],[EMP]],[1]LOJA!$A:$B,2,0)</f>
        <v>LUZIÂNIA</v>
      </c>
      <c r="E2438">
        <v>192</v>
      </c>
      <c r="F2438" t="s">
        <v>8295</v>
      </c>
      <c r="G2438" t="s">
        <v>8294</v>
      </c>
      <c r="H2438" t="s">
        <v>3408</v>
      </c>
      <c r="I2438">
        <v>5102</v>
      </c>
      <c r="J2438" s="3">
        <v>253</v>
      </c>
      <c r="K2438" s="3">
        <v>174.62</v>
      </c>
      <c r="L2438">
        <v>30.98</v>
      </c>
    </row>
    <row r="2439" spans="1:12">
      <c r="A2439" s="1">
        <v>46035</v>
      </c>
      <c r="B2439" t="s">
        <v>10226</v>
      </c>
      <c r="C2439">
        <v>24</v>
      </c>
      <c r="D2439" t="str">
        <f>VLOOKUP(Tabela26[[#This Row],[EMP]],[1]LOJA!$A:$B,2,0)</f>
        <v>LUZIÂNIA</v>
      </c>
      <c r="E2439">
        <v>242</v>
      </c>
      <c r="F2439" t="s">
        <v>10225</v>
      </c>
      <c r="G2439" t="s">
        <v>10224</v>
      </c>
      <c r="H2439" t="s">
        <v>3401</v>
      </c>
      <c r="I2439">
        <v>5405</v>
      </c>
      <c r="J2439" s="3">
        <v>120</v>
      </c>
      <c r="K2439" s="3">
        <v>57.32</v>
      </c>
      <c r="L2439">
        <v>52.23</v>
      </c>
    </row>
    <row r="2440" spans="1:12">
      <c r="A2440" s="1">
        <v>46035</v>
      </c>
      <c r="B2440" t="s">
        <v>10223</v>
      </c>
      <c r="C2440">
        <v>24</v>
      </c>
      <c r="D2440" t="str">
        <f>VLOOKUP(Tabela26[[#This Row],[EMP]],[1]LOJA!$A:$B,2,0)</f>
        <v>LUZIÂNIA</v>
      </c>
      <c r="E2440">
        <v>150</v>
      </c>
      <c r="F2440" t="s">
        <v>4292</v>
      </c>
      <c r="G2440" t="s">
        <v>4291</v>
      </c>
      <c r="H2440" t="s">
        <v>3430</v>
      </c>
      <c r="I2440">
        <v>5405</v>
      </c>
      <c r="J2440" s="3">
        <v>855.89</v>
      </c>
      <c r="K2440" s="3">
        <v>480.13</v>
      </c>
      <c r="L2440">
        <v>43.9</v>
      </c>
    </row>
    <row r="2441" spans="1:12">
      <c r="A2441" s="1">
        <v>46035</v>
      </c>
      <c r="B2441" t="s">
        <v>10222</v>
      </c>
      <c r="C2441">
        <v>24</v>
      </c>
      <c r="D2441" t="str">
        <f>VLOOKUP(Tabela26[[#This Row],[EMP]],[1]LOJA!$A:$B,2,0)</f>
        <v>LUZIÂNIA</v>
      </c>
      <c r="E2441">
        <v>150</v>
      </c>
      <c r="F2441" t="s">
        <v>4952</v>
      </c>
      <c r="G2441" t="s">
        <v>4951</v>
      </c>
      <c r="H2441" t="s">
        <v>3430</v>
      </c>
      <c r="I2441">
        <v>5405</v>
      </c>
      <c r="J2441" s="3">
        <v>614.14</v>
      </c>
      <c r="K2441" s="3">
        <v>316.56</v>
      </c>
      <c r="L2441">
        <v>48.45</v>
      </c>
    </row>
    <row r="2442" spans="1:12">
      <c r="A2442" s="1">
        <v>46035</v>
      </c>
      <c r="B2442" t="s">
        <v>10221</v>
      </c>
      <c r="C2442">
        <v>24</v>
      </c>
      <c r="D2442" t="str">
        <f>VLOOKUP(Tabela26[[#This Row],[EMP]],[1]LOJA!$A:$B,2,0)</f>
        <v>LUZIÂNIA</v>
      </c>
      <c r="E2442">
        <v>150</v>
      </c>
      <c r="F2442" t="s">
        <v>4007</v>
      </c>
      <c r="G2442" t="s">
        <v>4006</v>
      </c>
      <c r="H2442" t="s">
        <v>4249</v>
      </c>
      <c r="I2442">
        <v>5405</v>
      </c>
      <c r="J2442" s="3">
        <v>1167.44</v>
      </c>
      <c r="K2442" s="3">
        <v>797.3</v>
      </c>
      <c r="L2442">
        <v>31.71</v>
      </c>
    </row>
    <row r="2443" spans="1:12">
      <c r="A2443" s="1">
        <v>46035</v>
      </c>
      <c r="B2443" t="s">
        <v>10220</v>
      </c>
      <c r="C2443">
        <v>24</v>
      </c>
      <c r="D2443" t="str">
        <f>VLOOKUP(Tabela26[[#This Row],[EMP]],[1]LOJA!$A:$B,2,0)</f>
        <v>LUZIÂNIA</v>
      </c>
      <c r="E2443">
        <v>150</v>
      </c>
      <c r="F2443" t="s">
        <v>5449</v>
      </c>
      <c r="G2443" t="s">
        <v>5448</v>
      </c>
      <c r="H2443" t="s">
        <v>3401</v>
      </c>
      <c r="I2443">
        <v>1411</v>
      </c>
      <c r="J2443" s="3">
        <v>-97</v>
      </c>
      <c r="K2443" s="3">
        <v>-53.44</v>
      </c>
      <c r="L2443">
        <v>44.91</v>
      </c>
    </row>
    <row r="2444" spans="1:12">
      <c r="A2444" s="1">
        <v>46035</v>
      </c>
      <c r="B2444" t="s">
        <v>10219</v>
      </c>
      <c r="C2444">
        <v>24</v>
      </c>
      <c r="D2444" t="str">
        <f>VLOOKUP(Tabela26[[#This Row],[EMP]],[1]LOJA!$A:$B,2,0)</f>
        <v>LUZIÂNIA</v>
      </c>
      <c r="E2444">
        <v>150</v>
      </c>
      <c r="F2444" t="s">
        <v>5987</v>
      </c>
      <c r="G2444" t="s">
        <v>5986</v>
      </c>
      <c r="H2444" t="s">
        <v>4142</v>
      </c>
      <c r="I2444">
        <v>5405</v>
      </c>
      <c r="J2444" s="3">
        <v>176.26</v>
      </c>
      <c r="K2444" s="3">
        <v>88.63</v>
      </c>
      <c r="L2444">
        <v>49.72</v>
      </c>
    </row>
    <row r="2445" spans="1:12">
      <c r="A2445" s="1">
        <v>46035</v>
      </c>
      <c r="B2445" t="s">
        <v>10218</v>
      </c>
      <c r="C2445">
        <v>24</v>
      </c>
      <c r="D2445" t="str">
        <f>VLOOKUP(Tabela26[[#This Row],[EMP]],[1]LOJA!$A:$B,2,0)</f>
        <v>LUZIÂNIA</v>
      </c>
      <c r="E2445">
        <v>150</v>
      </c>
      <c r="F2445" t="s">
        <v>4279</v>
      </c>
      <c r="G2445" t="s">
        <v>4278</v>
      </c>
      <c r="H2445" t="s">
        <v>3430</v>
      </c>
      <c r="I2445">
        <v>5405</v>
      </c>
      <c r="J2445" s="3">
        <v>480.94</v>
      </c>
      <c r="K2445" s="3">
        <v>239.56</v>
      </c>
      <c r="L2445">
        <v>50.19</v>
      </c>
    </row>
    <row r="2446" spans="1:12">
      <c r="A2446" s="1">
        <v>46035</v>
      </c>
      <c r="B2446" t="s">
        <v>10217</v>
      </c>
      <c r="C2446">
        <v>24</v>
      </c>
      <c r="D2446" t="str">
        <f>VLOOKUP(Tabela26[[#This Row],[EMP]],[1]LOJA!$A:$B,2,0)</f>
        <v>LUZIÂNIA</v>
      </c>
      <c r="E2446">
        <v>150</v>
      </c>
      <c r="F2446" t="s">
        <v>5987</v>
      </c>
      <c r="G2446" t="s">
        <v>5986</v>
      </c>
      <c r="H2446" t="s">
        <v>4142</v>
      </c>
      <c r="I2446">
        <v>5405</v>
      </c>
      <c r="J2446" s="3">
        <v>225.33</v>
      </c>
      <c r="K2446" s="3">
        <v>115.01</v>
      </c>
      <c r="L2446">
        <v>48.96</v>
      </c>
    </row>
    <row r="2447" spans="1:12">
      <c r="A2447" s="1">
        <v>46035</v>
      </c>
      <c r="B2447" t="s">
        <v>10216</v>
      </c>
      <c r="C2447">
        <v>24</v>
      </c>
      <c r="D2447" t="str">
        <f>VLOOKUP(Tabela26[[#This Row],[EMP]],[1]LOJA!$A:$B,2,0)</f>
        <v>LUZIÂNIA</v>
      </c>
      <c r="E2447">
        <v>192</v>
      </c>
      <c r="F2447" t="s">
        <v>3545</v>
      </c>
      <c r="G2447" t="s">
        <v>3544</v>
      </c>
      <c r="H2447" t="s">
        <v>3430</v>
      </c>
      <c r="I2447">
        <v>5405</v>
      </c>
      <c r="J2447" s="3">
        <v>342.44</v>
      </c>
      <c r="K2447" s="3">
        <v>163.69999999999999</v>
      </c>
      <c r="L2447">
        <v>52.2</v>
      </c>
    </row>
    <row r="2448" spans="1:12">
      <c r="A2448" s="1">
        <v>46035</v>
      </c>
      <c r="B2448" t="s">
        <v>10215</v>
      </c>
      <c r="C2448">
        <v>16</v>
      </c>
      <c r="D2448" t="str">
        <f>VLOOKUP(Tabela26[[#This Row],[EMP]],[1]LOJA!$A:$B,2,0)</f>
        <v>AG LINDAS</v>
      </c>
      <c r="E2448">
        <v>240</v>
      </c>
      <c r="F2448" t="s">
        <v>4525</v>
      </c>
      <c r="G2448" t="s">
        <v>4524</v>
      </c>
      <c r="H2448" t="s">
        <v>3401</v>
      </c>
      <c r="I2448">
        <v>5405</v>
      </c>
      <c r="J2448" s="3">
        <v>3849.43</v>
      </c>
      <c r="K2448" s="3">
        <v>2279.44</v>
      </c>
      <c r="L2448">
        <v>40.78</v>
      </c>
    </row>
    <row r="2449" spans="1:12">
      <c r="A2449" s="1">
        <v>46035</v>
      </c>
      <c r="B2449" t="s">
        <v>10214</v>
      </c>
      <c r="C2449">
        <v>22</v>
      </c>
      <c r="D2449" t="str">
        <f>VLOOKUP(Tabela26[[#This Row],[EMP]],[1]LOJA!$A:$B,2,0)</f>
        <v>GUARÁ</v>
      </c>
      <c r="E2449">
        <v>93</v>
      </c>
      <c r="F2449" t="s">
        <v>4246</v>
      </c>
      <c r="G2449" t="s">
        <v>4245</v>
      </c>
      <c r="H2449" t="s">
        <v>3430</v>
      </c>
      <c r="I2449">
        <v>5405</v>
      </c>
      <c r="J2449" s="3">
        <v>111.62</v>
      </c>
      <c r="K2449" s="3">
        <v>56.98</v>
      </c>
      <c r="L2449">
        <v>48.95</v>
      </c>
    </row>
    <row r="2450" spans="1:12">
      <c r="A2450" s="1">
        <v>46035</v>
      </c>
      <c r="B2450" t="s">
        <v>10213</v>
      </c>
      <c r="C2450">
        <v>22</v>
      </c>
      <c r="D2450" t="str">
        <f>VLOOKUP(Tabela26[[#This Row],[EMP]],[1]LOJA!$A:$B,2,0)</f>
        <v>GUARÁ</v>
      </c>
      <c r="E2450">
        <v>93</v>
      </c>
      <c r="F2450" t="s">
        <v>7721</v>
      </c>
      <c r="G2450" t="s">
        <v>7720</v>
      </c>
      <c r="H2450" t="s">
        <v>3745</v>
      </c>
      <c r="I2450">
        <v>5102</v>
      </c>
      <c r="J2450" s="3">
        <v>2920.5</v>
      </c>
      <c r="K2450" s="3">
        <v>1739</v>
      </c>
      <c r="L2450">
        <v>40.46</v>
      </c>
    </row>
    <row r="2451" spans="1:12">
      <c r="A2451" s="1">
        <v>46035</v>
      </c>
      <c r="B2451" t="s">
        <v>10212</v>
      </c>
      <c r="C2451">
        <v>22</v>
      </c>
      <c r="D2451" t="str">
        <f>VLOOKUP(Tabela26[[#This Row],[EMP]],[1]LOJA!$A:$B,2,0)</f>
        <v>GUARÁ</v>
      </c>
      <c r="E2451">
        <v>16</v>
      </c>
      <c r="F2451" t="s">
        <v>10208</v>
      </c>
      <c r="G2451" t="s">
        <v>10207</v>
      </c>
      <c r="H2451" t="s">
        <v>4142</v>
      </c>
      <c r="I2451">
        <v>5405</v>
      </c>
      <c r="J2451" s="3">
        <v>315</v>
      </c>
      <c r="K2451" s="3">
        <v>164.02</v>
      </c>
      <c r="L2451">
        <v>47.93</v>
      </c>
    </row>
    <row r="2452" spans="1:12">
      <c r="A2452" s="1">
        <v>46035</v>
      </c>
      <c r="B2452" t="s">
        <v>10211</v>
      </c>
      <c r="C2452">
        <v>22</v>
      </c>
      <c r="D2452" t="str">
        <f>VLOOKUP(Tabela26[[#This Row],[EMP]],[1]LOJA!$A:$B,2,0)</f>
        <v>GUARÁ</v>
      </c>
      <c r="E2452">
        <v>93</v>
      </c>
      <c r="F2452" t="s">
        <v>4246</v>
      </c>
      <c r="G2452" t="s">
        <v>4245</v>
      </c>
      <c r="H2452" t="s">
        <v>3430</v>
      </c>
      <c r="I2452">
        <v>5405</v>
      </c>
      <c r="J2452" s="3">
        <v>99.37</v>
      </c>
      <c r="K2452" s="3">
        <v>51.62</v>
      </c>
      <c r="L2452">
        <v>48.05</v>
      </c>
    </row>
    <row r="2453" spans="1:12">
      <c r="A2453" s="1">
        <v>46035</v>
      </c>
      <c r="B2453" t="s">
        <v>10210</v>
      </c>
      <c r="C2453">
        <v>22</v>
      </c>
      <c r="D2453" t="str">
        <f>VLOOKUP(Tabela26[[#This Row],[EMP]],[1]LOJA!$A:$B,2,0)</f>
        <v>GUARÁ</v>
      </c>
      <c r="E2453">
        <v>93</v>
      </c>
      <c r="F2453" t="s">
        <v>3542</v>
      </c>
      <c r="G2453" t="s">
        <v>3541</v>
      </c>
      <c r="H2453" t="s">
        <v>4249</v>
      </c>
      <c r="I2453">
        <v>5405</v>
      </c>
      <c r="J2453" s="3">
        <v>572.94000000000005</v>
      </c>
      <c r="K2453" s="3">
        <v>308.07</v>
      </c>
      <c r="L2453">
        <v>46.23</v>
      </c>
    </row>
    <row r="2454" spans="1:12">
      <c r="A2454" s="1">
        <v>46035</v>
      </c>
      <c r="B2454" t="s">
        <v>10209</v>
      </c>
      <c r="C2454">
        <v>22</v>
      </c>
      <c r="D2454" t="str">
        <f>VLOOKUP(Tabela26[[#This Row],[EMP]],[1]LOJA!$A:$B,2,0)</f>
        <v>GUARÁ</v>
      </c>
      <c r="E2454">
        <v>16</v>
      </c>
      <c r="F2454" t="s">
        <v>10208</v>
      </c>
      <c r="G2454" t="s">
        <v>10207</v>
      </c>
      <c r="H2454" t="s">
        <v>4142</v>
      </c>
      <c r="I2454">
        <v>5405</v>
      </c>
      <c r="J2454" s="3">
        <v>145</v>
      </c>
      <c r="K2454" s="3">
        <v>73.72</v>
      </c>
      <c r="L2454">
        <v>49.16</v>
      </c>
    </row>
    <row r="2455" spans="1:12">
      <c r="A2455" s="1">
        <v>46035</v>
      </c>
      <c r="B2455" t="s">
        <v>10206</v>
      </c>
      <c r="C2455">
        <v>24</v>
      </c>
      <c r="D2455" t="str">
        <f>VLOOKUP(Tabela26[[#This Row],[EMP]],[1]LOJA!$A:$B,2,0)</f>
        <v>LUZIÂNIA</v>
      </c>
      <c r="E2455">
        <v>242</v>
      </c>
      <c r="F2455" t="s">
        <v>3524</v>
      </c>
      <c r="G2455" t="s">
        <v>3402</v>
      </c>
      <c r="H2455" t="s">
        <v>3401</v>
      </c>
      <c r="I2455">
        <v>5102</v>
      </c>
      <c r="J2455" s="3">
        <v>65</v>
      </c>
      <c r="K2455" s="3">
        <v>37.21</v>
      </c>
      <c r="L2455">
        <v>42.75</v>
      </c>
    </row>
    <row r="2456" spans="1:12">
      <c r="A2456" s="1">
        <v>46035</v>
      </c>
      <c r="B2456" t="s">
        <v>10205</v>
      </c>
      <c r="C2456">
        <v>24</v>
      </c>
      <c r="D2456" t="str">
        <f>VLOOKUP(Tabela26[[#This Row],[EMP]],[1]LOJA!$A:$B,2,0)</f>
        <v>LUZIÂNIA</v>
      </c>
      <c r="E2456">
        <v>242</v>
      </c>
      <c r="F2456" t="s">
        <v>10204</v>
      </c>
      <c r="G2456" t="s">
        <v>3402</v>
      </c>
      <c r="H2456" t="s">
        <v>3401</v>
      </c>
      <c r="I2456">
        <v>5405</v>
      </c>
      <c r="J2456" s="3">
        <v>446</v>
      </c>
      <c r="K2456" s="3">
        <v>269.05</v>
      </c>
      <c r="L2456">
        <v>39.67</v>
      </c>
    </row>
    <row r="2457" spans="1:12">
      <c r="A2457" s="1">
        <v>46035</v>
      </c>
      <c r="B2457" t="s">
        <v>10203</v>
      </c>
      <c r="C2457">
        <v>24</v>
      </c>
      <c r="D2457" t="str">
        <f>VLOOKUP(Tabela26[[#This Row],[EMP]],[1]LOJA!$A:$B,2,0)</f>
        <v>LUZIÂNIA</v>
      </c>
      <c r="E2457">
        <v>242</v>
      </c>
      <c r="F2457" t="s">
        <v>3524</v>
      </c>
      <c r="G2457" t="s">
        <v>3402</v>
      </c>
      <c r="H2457" t="s">
        <v>3401</v>
      </c>
      <c r="I2457">
        <v>5405</v>
      </c>
      <c r="J2457" s="3">
        <v>120</v>
      </c>
      <c r="K2457" s="3">
        <v>72.72</v>
      </c>
      <c r="L2457">
        <v>39.4</v>
      </c>
    </row>
    <row r="2458" spans="1:12">
      <c r="A2458" s="1">
        <v>46035</v>
      </c>
      <c r="B2458" t="s">
        <v>10202</v>
      </c>
      <c r="C2458">
        <v>24</v>
      </c>
      <c r="D2458" t="str">
        <f>VLOOKUP(Tabela26[[#This Row],[EMP]],[1]LOJA!$A:$B,2,0)</f>
        <v>LUZIÂNIA</v>
      </c>
      <c r="E2458">
        <v>192</v>
      </c>
      <c r="F2458" t="s">
        <v>3524</v>
      </c>
      <c r="G2458" t="s">
        <v>3402</v>
      </c>
      <c r="H2458" t="s">
        <v>3401</v>
      </c>
      <c r="I2458">
        <v>5102</v>
      </c>
      <c r="J2458" s="3">
        <v>22</v>
      </c>
      <c r="K2458" s="3">
        <v>10.199999999999999</v>
      </c>
      <c r="L2458">
        <v>53.64</v>
      </c>
    </row>
    <row r="2459" spans="1:12">
      <c r="A2459" s="1">
        <v>46035</v>
      </c>
      <c r="B2459" t="s">
        <v>10201</v>
      </c>
      <c r="C2459">
        <v>24</v>
      </c>
      <c r="D2459" t="str">
        <f>VLOOKUP(Tabela26[[#This Row],[EMP]],[1]LOJA!$A:$B,2,0)</f>
        <v>LUZIÂNIA</v>
      </c>
      <c r="E2459">
        <v>192</v>
      </c>
      <c r="F2459" t="s">
        <v>4883</v>
      </c>
      <c r="G2459" t="s">
        <v>4882</v>
      </c>
      <c r="H2459" t="s">
        <v>3401</v>
      </c>
      <c r="I2459">
        <v>5102</v>
      </c>
      <c r="J2459" s="3">
        <v>40</v>
      </c>
      <c r="K2459" s="3">
        <v>24.41</v>
      </c>
      <c r="L2459">
        <v>38.979999999999997</v>
      </c>
    </row>
    <row r="2460" spans="1:12">
      <c r="A2460" s="1">
        <v>46035</v>
      </c>
      <c r="B2460" t="s">
        <v>10200</v>
      </c>
      <c r="C2460">
        <v>24</v>
      </c>
      <c r="D2460" t="str">
        <f>VLOOKUP(Tabela26[[#This Row],[EMP]],[1]LOJA!$A:$B,2,0)</f>
        <v>LUZIÂNIA</v>
      </c>
      <c r="E2460">
        <v>242</v>
      </c>
      <c r="F2460" t="s">
        <v>7861</v>
      </c>
      <c r="G2460" t="s">
        <v>7860</v>
      </c>
      <c r="H2460" t="s">
        <v>3401</v>
      </c>
      <c r="I2460">
        <v>5102</v>
      </c>
      <c r="J2460" s="3">
        <v>140</v>
      </c>
      <c r="K2460" s="3">
        <v>75.94</v>
      </c>
      <c r="L2460">
        <v>45.76</v>
      </c>
    </row>
    <row r="2461" spans="1:12">
      <c r="A2461" s="1">
        <v>46035</v>
      </c>
      <c r="B2461" t="s">
        <v>10199</v>
      </c>
      <c r="C2461">
        <v>24</v>
      </c>
      <c r="D2461" t="str">
        <f>VLOOKUP(Tabela26[[#This Row],[EMP]],[1]LOJA!$A:$B,2,0)</f>
        <v>LUZIÂNIA</v>
      </c>
      <c r="E2461">
        <v>192</v>
      </c>
      <c r="F2461" t="s">
        <v>4194</v>
      </c>
      <c r="G2461" t="s">
        <v>4193</v>
      </c>
      <c r="H2461" t="s">
        <v>3401</v>
      </c>
      <c r="I2461">
        <v>5102</v>
      </c>
      <c r="J2461" s="3">
        <v>205</v>
      </c>
      <c r="K2461" s="3">
        <v>113.05</v>
      </c>
      <c r="L2461">
        <v>44.85</v>
      </c>
    </row>
    <row r="2462" spans="1:12">
      <c r="A2462" s="1">
        <v>46035</v>
      </c>
      <c r="B2462" t="s">
        <v>10198</v>
      </c>
      <c r="C2462">
        <v>24</v>
      </c>
      <c r="D2462" t="str">
        <f>VLOOKUP(Tabela26[[#This Row],[EMP]],[1]LOJA!$A:$B,2,0)</f>
        <v>LUZIÂNIA</v>
      </c>
      <c r="E2462">
        <v>192</v>
      </c>
      <c r="F2462" t="s">
        <v>4194</v>
      </c>
      <c r="G2462" t="s">
        <v>4193</v>
      </c>
      <c r="H2462" t="s">
        <v>3401</v>
      </c>
      <c r="I2462">
        <v>5102</v>
      </c>
      <c r="J2462" s="3">
        <v>220</v>
      </c>
      <c r="K2462" s="3">
        <v>156.63999999999999</v>
      </c>
      <c r="L2462">
        <v>28.8</v>
      </c>
    </row>
    <row r="2463" spans="1:12">
      <c r="A2463" s="1">
        <v>46035</v>
      </c>
      <c r="B2463" t="s">
        <v>10197</v>
      </c>
      <c r="C2463">
        <v>24</v>
      </c>
      <c r="D2463" t="str">
        <f>VLOOKUP(Tabela26[[#This Row],[EMP]],[1]LOJA!$A:$B,2,0)</f>
        <v>LUZIÂNIA</v>
      </c>
      <c r="E2463">
        <v>192</v>
      </c>
      <c r="F2463" t="s">
        <v>3524</v>
      </c>
      <c r="G2463" t="s">
        <v>3402</v>
      </c>
      <c r="H2463" t="s">
        <v>3401</v>
      </c>
      <c r="I2463">
        <v>5102</v>
      </c>
      <c r="J2463" s="3">
        <v>9</v>
      </c>
      <c r="K2463" s="3">
        <v>4.16</v>
      </c>
      <c r="L2463">
        <v>53.78</v>
      </c>
    </row>
    <row r="2464" spans="1:12">
      <c r="A2464" s="1">
        <v>46035</v>
      </c>
      <c r="B2464" t="s">
        <v>10196</v>
      </c>
      <c r="C2464">
        <v>24</v>
      </c>
      <c r="D2464" t="str">
        <f>VLOOKUP(Tabela26[[#This Row],[EMP]],[1]LOJA!$A:$B,2,0)</f>
        <v>LUZIÂNIA</v>
      </c>
      <c r="E2464">
        <v>192</v>
      </c>
      <c r="F2464" t="s">
        <v>3524</v>
      </c>
      <c r="G2464" t="s">
        <v>3402</v>
      </c>
      <c r="H2464" t="s">
        <v>3408</v>
      </c>
      <c r="I2464">
        <v>5102</v>
      </c>
      <c r="J2464" s="3">
        <v>307.3</v>
      </c>
      <c r="K2464" s="3">
        <v>189.46</v>
      </c>
      <c r="L2464">
        <v>38.35</v>
      </c>
    </row>
    <row r="2465" spans="1:12">
      <c r="A2465" s="1">
        <v>46035</v>
      </c>
      <c r="B2465" t="s">
        <v>10195</v>
      </c>
      <c r="C2465">
        <v>24</v>
      </c>
      <c r="D2465" t="str">
        <f>VLOOKUP(Tabela26[[#This Row],[EMP]],[1]LOJA!$A:$B,2,0)</f>
        <v>LUZIÂNIA</v>
      </c>
      <c r="E2465">
        <v>192</v>
      </c>
      <c r="F2465" t="s">
        <v>4197</v>
      </c>
      <c r="G2465" t="s">
        <v>4196</v>
      </c>
      <c r="H2465" t="s">
        <v>3408</v>
      </c>
      <c r="I2465">
        <v>5405</v>
      </c>
      <c r="J2465" s="3">
        <v>262</v>
      </c>
      <c r="K2465" s="3">
        <v>131.6</v>
      </c>
      <c r="L2465">
        <v>49.77</v>
      </c>
    </row>
    <row r="2466" spans="1:12">
      <c r="A2466" s="1">
        <v>46035</v>
      </c>
      <c r="B2466" t="s">
        <v>10194</v>
      </c>
      <c r="C2466">
        <v>24</v>
      </c>
      <c r="D2466" t="str">
        <f>VLOOKUP(Tabela26[[#This Row],[EMP]],[1]LOJA!$A:$B,2,0)</f>
        <v>LUZIÂNIA</v>
      </c>
      <c r="E2466">
        <v>192</v>
      </c>
      <c r="F2466" t="s">
        <v>3524</v>
      </c>
      <c r="G2466" t="s">
        <v>3402</v>
      </c>
      <c r="H2466" t="s">
        <v>3401</v>
      </c>
      <c r="I2466">
        <v>5405</v>
      </c>
      <c r="J2466" s="3">
        <v>99.9</v>
      </c>
      <c r="K2466" s="3">
        <v>52.06</v>
      </c>
      <c r="L2466">
        <v>47.89</v>
      </c>
    </row>
    <row r="2467" spans="1:12">
      <c r="A2467" s="1">
        <v>46035</v>
      </c>
      <c r="B2467" t="s">
        <v>10193</v>
      </c>
      <c r="C2467">
        <v>24</v>
      </c>
      <c r="D2467" t="str">
        <f>VLOOKUP(Tabela26[[#This Row],[EMP]],[1]LOJA!$A:$B,2,0)</f>
        <v>LUZIÂNIA</v>
      </c>
      <c r="E2467">
        <v>192</v>
      </c>
      <c r="F2467" t="s">
        <v>3524</v>
      </c>
      <c r="G2467" t="s">
        <v>3402</v>
      </c>
      <c r="H2467" t="s">
        <v>3401</v>
      </c>
      <c r="I2467">
        <v>5405</v>
      </c>
      <c r="J2467" s="3">
        <v>160</v>
      </c>
      <c r="K2467" s="3">
        <v>74.540000000000006</v>
      </c>
      <c r="L2467">
        <v>53.41</v>
      </c>
    </row>
    <row r="2468" spans="1:12">
      <c r="A2468" s="1">
        <v>46035</v>
      </c>
      <c r="B2468" t="s">
        <v>10192</v>
      </c>
      <c r="C2468">
        <v>24</v>
      </c>
      <c r="D2468" t="str">
        <f>VLOOKUP(Tabela26[[#This Row],[EMP]],[1]LOJA!$A:$B,2,0)</f>
        <v>LUZIÂNIA</v>
      </c>
      <c r="E2468">
        <v>242</v>
      </c>
      <c r="F2468" t="s">
        <v>3524</v>
      </c>
      <c r="G2468" t="s">
        <v>3402</v>
      </c>
      <c r="H2468" t="s">
        <v>3401</v>
      </c>
      <c r="I2468">
        <v>5405</v>
      </c>
      <c r="J2468" s="3">
        <v>215</v>
      </c>
      <c r="K2468" s="3">
        <v>111.01</v>
      </c>
      <c r="L2468">
        <v>48.37</v>
      </c>
    </row>
    <row r="2469" spans="1:12">
      <c r="A2469" s="1">
        <v>46035</v>
      </c>
      <c r="B2469" t="s">
        <v>10191</v>
      </c>
      <c r="C2469">
        <v>24</v>
      </c>
      <c r="D2469" t="str">
        <f>VLOOKUP(Tabela26[[#This Row],[EMP]],[1]LOJA!$A:$B,2,0)</f>
        <v>LUZIÂNIA</v>
      </c>
      <c r="E2469">
        <v>242</v>
      </c>
      <c r="F2469" t="s">
        <v>7900</v>
      </c>
      <c r="G2469" t="s">
        <v>7899</v>
      </c>
      <c r="H2469" t="s">
        <v>3401</v>
      </c>
      <c r="I2469">
        <v>5405</v>
      </c>
      <c r="J2469" s="3">
        <v>325</v>
      </c>
      <c r="K2469" s="3">
        <v>163.92</v>
      </c>
      <c r="L2469">
        <v>49.56</v>
      </c>
    </row>
    <row r="2470" spans="1:12">
      <c r="A2470" s="1">
        <v>46035</v>
      </c>
      <c r="B2470" t="s">
        <v>10190</v>
      </c>
      <c r="C2470">
        <v>24</v>
      </c>
      <c r="D2470" t="str">
        <f>VLOOKUP(Tabela26[[#This Row],[EMP]],[1]LOJA!$A:$B,2,0)</f>
        <v>LUZIÂNIA</v>
      </c>
      <c r="E2470">
        <v>150</v>
      </c>
      <c r="F2470" t="s">
        <v>4176</v>
      </c>
      <c r="G2470" t="s">
        <v>4175</v>
      </c>
      <c r="H2470" t="s">
        <v>3408</v>
      </c>
      <c r="I2470">
        <v>5405</v>
      </c>
      <c r="J2470" s="3">
        <v>1034.79</v>
      </c>
      <c r="K2470" s="3">
        <v>567.35</v>
      </c>
      <c r="L2470">
        <v>45.17</v>
      </c>
    </row>
    <row r="2471" spans="1:12">
      <c r="A2471" s="1">
        <v>46035</v>
      </c>
      <c r="B2471" t="s">
        <v>10189</v>
      </c>
      <c r="C2471">
        <v>24</v>
      </c>
      <c r="D2471" t="str">
        <f>VLOOKUP(Tabela26[[#This Row],[EMP]],[1]LOJA!$A:$B,2,0)</f>
        <v>LUZIÂNIA</v>
      </c>
      <c r="E2471">
        <v>150</v>
      </c>
      <c r="F2471" t="s">
        <v>4898</v>
      </c>
      <c r="G2471" t="s">
        <v>4897</v>
      </c>
      <c r="H2471" t="s">
        <v>3408</v>
      </c>
      <c r="I2471">
        <v>5405</v>
      </c>
      <c r="J2471" s="3">
        <v>1577.6</v>
      </c>
      <c r="K2471" s="3">
        <v>826.94</v>
      </c>
      <c r="L2471">
        <v>47.58</v>
      </c>
    </row>
    <row r="2472" spans="1:12">
      <c r="A2472" s="1">
        <v>46035</v>
      </c>
      <c r="B2472" t="s">
        <v>10188</v>
      </c>
      <c r="C2472">
        <v>24</v>
      </c>
      <c r="D2472" t="str">
        <f>VLOOKUP(Tabela26[[#This Row],[EMP]],[1]LOJA!$A:$B,2,0)</f>
        <v>LUZIÂNIA</v>
      </c>
      <c r="E2472">
        <v>150</v>
      </c>
      <c r="F2472" t="s">
        <v>5445</v>
      </c>
      <c r="G2472" t="s">
        <v>5444</v>
      </c>
      <c r="H2472" t="s">
        <v>3408</v>
      </c>
      <c r="I2472">
        <v>5102</v>
      </c>
      <c r="J2472" s="3">
        <v>85</v>
      </c>
      <c r="K2472" s="3">
        <v>59.06</v>
      </c>
      <c r="L2472">
        <v>30.52</v>
      </c>
    </row>
    <row r="2473" spans="1:12">
      <c r="A2473" s="1">
        <v>46035</v>
      </c>
      <c r="B2473" t="s">
        <v>10187</v>
      </c>
      <c r="C2473">
        <v>24</v>
      </c>
      <c r="D2473" t="str">
        <f>VLOOKUP(Tabela26[[#This Row],[EMP]],[1]LOJA!$A:$B,2,0)</f>
        <v>LUZIÂNIA</v>
      </c>
      <c r="E2473">
        <v>150</v>
      </c>
      <c r="F2473" t="s">
        <v>5440</v>
      </c>
      <c r="G2473" t="s">
        <v>5439</v>
      </c>
      <c r="H2473" t="s">
        <v>3408</v>
      </c>
      <c r="I2473">
        <v>5102</v>
      </c>
      <c r="J2473" s="3">
        <v>63</v>
      </c>
      <c r="K2473" s="3">
        <v>32.43</v>
      </c>
      <c r="L2473">
        <v>48.52</v>
      </c>
    </row>
    <row r="2474" spans="1:12">
      <c r="A2474" s="1">
        <v>46035</v>
      </c>
      <c r="B2474" t="s">
        <v>10186</v>
      </c>
      <c r="C2474">
        <v>24</v>
      </c>
      <c r="D2474" t="str">
        <f>VLOOKUP(Tabela26[[#This Row],[EMP]],[1]LOJA!$A:$B,2,0)</f>
        <v>LUZIÂNIA</v>
      </c>
      <c r="E2474">
        <v>150</v>
      </c>
      <c r="F2474" t="s">
        <v>5442</v>
      </c>
      <c r="G2474" t="s">
        <v>3402</v>
      </c>
      <c r="H2474" t="s">
        <v>3408</v>
      </c>
      <c r="I2474">
        <v>5405</v>
      </c>
      <c r="J2474" s="3">
        <v>315</v>
      </c>
      <c r="K2474" s="3">
        <v>162.72999999999999</v>
      </c>
      <c r="L2474">
        <v>48.34</v>
      </c>
    </row>
    <row r="2475" spans="1:12">
      <c r="A2475" s="1">
        <v>46035</v>
      </c>
      <c r="B2475" t="s">
        <v>10185</v>
      </c>
      <c r="C2475">
        <v>24</v>
      </c>
      <c r="D2475" t="str">
        <f>VLOOKUP(Tabela26[[#This Row],[EMP]],[1]LOJA!$A:$B,2,0)</f>
        <v>LUZIÂNIA</v>
      </c>
      <c r="E2475">
        <v>150</v>
      </c>
      <c r="F2475" t="s">
        <v>4880</v>
      </c>
      <c r="G2475" t="s">
        <v>4879</v>
      </c>
      <c r="H2475" t="s">
        <v>3408</v>
      </c>
      <c r="I2475">
        <v>5405</v>
      </c>
      <c r="J2475" s="3">
        <v>76.7</v>
      </c>
      <c r="K2475" s="3">
        <v>41.5</v>
      </c>
      <c r="L2475">
        <v>45.89</v>
      </c>
    </row>
    <row r="2476" spans="1:12">
      <c r="A2476" s="1">
        <v>46035</v>
      </c>
      <c r="B2476" t="s">
        <v>10184</v>
      </c>
      <c r="C2476">
        <v>24</v>
      </c>
      <c r="D2476" t="str">
        <f>VLOOKUP(Tabela26[[#This Row],[EMP]],[1]LOJA!$A:$B,2,0)</f>
        <v>LUZIÂNIA</v>
      </c>
      <c r="E2476">
        <v>192</v>
      </c>
      <c r="F2476" t="s">
        <v>4169</v>
      </c>
      <c r="G2476" t="s">
        <v>4168</v>
      </c>
      <c r="H2476" t="s">
        <v>3401</v>
      </c>
      <c r="I2476">
        <v>5102</v>
      </c>
      <c r="J2476" s="3">
        <v>206.74</v>
      </c>
      <c r="K2476" s="3">
        <v>125.2</v>
      </c>
      <c r="L2476">
        <v>39.44</v>
      </c>
    </row>
    <row r="2477" spans="1:12">
      <c r="A2477" s="1">
        <v>46035</v>
      </c>
      <c r="B2477" t="s">
        <v>10183</v>
      </c>
      <c r="C2477">
        <v>24</v>
      </c>
      <c r="D2477" t="str">
        <f>VLOOKUP(Tabela26[[#This Row],[EMP]],[1]LOJA!$A:$B,2,0)</f>
        <v>LUZIÂNIA</v>
      </c>
      <c r="E2477">
        <v>150</v>
      </c>
      <c r="F2477" t="s">
        <v>3524</v>
      </c>
      <c r="G2477" t="s">
        <v>3402</v>
      </c>
      <c r="H2477" t="s">
        <v>3401</v>
      </c>
      <c r="I2477">
        <v>5405</v>
      </c>
      <c r="J2477" s="3">
        <v>80</v>
      </c>
      <c r="K2477" s="3">
        <v>47.73</v>
      </c>
      <c r="L2477">
        <v>40.340000000000003</v>
      </c>
    </row>
    <row r="2478" spans="1:12">
      <c r="A2478" s="1">
        <v>46035</v>
      </c>
      <c r="B2478" t="s">
        <v>10182</v>
      </c>
      <c r="C2478">
        <v>24</v>
      </c>
      <c r="D2478" t="str">
        <f>VLOOKUP(Tabela26[[#This Row],[EMP]],[1]LOJA!$A:$B,2,0)</f>
        <v>LUZIÂNIA</v>
      </c>
      <c r="E2478">
        <v>192</v>
      </c>
      <c r="F2478" t="s">
        <v>4832</v>
      </c>
      <c r="G2478" t="s">
        <v>4831</v>
      </c>
      <c r="H2478" t="s">
        <v>3401</v>
      </c>
      <c r="I2478">
        <v>5405</v>
      </c>
      <c r="J2478" s="3">
        <v>74</v>
      </c>
      <c r="K2478" s="3">
        <v>34.04</v>
      </c>
      <c r="L2478">
        <v>54</v>
      </c>
    </row>
    <row r="2479" spans="1:12">
      <c r="A2479" s="1">
        <v>46035</v>
      </c>
      <c r="B2479" t="s">
        <v>10181</v>
      </c>
      <c r="C2479">
        <v>24</v>
      </c>
      <c r="D2479" t="str">
        <f>VLOOKUP(Tabela26[[#This Row],[EMP]],[1]LOJA!$A:$B,2,0)</f>
        <v>LUZIÂNIA</v>
      </c>
      <c r="E2479">
        <v>150</v>
      </c>
      <c r="F2479" t="s">
        <v>3524</v>
      </c>
      <c r="G2479" t="s">
        <v>3402</v>
      </c>
      <c r="H2479" t="s">
        <v>3401</v>
      </c>
      <c r="I2479">
        <v>5102</v>
      </c>
      <c r="J2479" s="3">
        <v>48</v>
      </c>
      <c r="K2479" s="3">
        <v>27.7</v>
      </c>
      <c r="L2479">
        <v>42.29</v>
      </c>
    </row>
    <row r="2480" spans="1:12">
      <c r="A2480" s="1">
        <v>46035</v>
      </c>
      <c r="B2480" t="s">
        <v>10180</v>
      </c>
      <c r="C2480">
        <v>24</v>
      </c>
      <c r="D2480" t="str">
        <f>VLOOKUP(Tabela26[[#This Row],[EMP]],[1]LOJA!$A:$B,2,0)</f>
        <v>LUZIÂNIA</v>
      </c>
      <c r="E2480">
        <v>192</v>
      </c>
      <c r="F2480" t="s">
        <v>4184</v>
      </c>
      <c r="G2480" t="s">
        <v>3402</v>
      </c>
      <c r="H2480" t="s">
        <v>3408</v>
      </c>
      <c r="I2480">
        <v>5405</v>
      </c>
      <c r="J2480" s="3">
        <v>233</v>
      </c>
      <c r="K2480" s="3">
        <v>118.75</v>
      </c>
      <c r="L2480">
        <v>49.03</v>
      </c>
    </row>
    <row r="2481" spans="1:12">
      <c r="A2481" s="1">
        <v>46035</v>
      </c>
      <c r="B2481" t="s">
        <v>10179</v>
      </c>
      <c r="C2481">
        <v>24</v>
      </c>
      <c r="D2481" t="str">
        <f>VLOOKUP(Tabela26[[#This Row],[EMP]],[1]LOJA!$A:$B,2,0)</f>
        <v>LUZIÂNIA</v>
      </c>
      <c r="E2481">
        <v>192</v>
      </c>
      <c r="F2481" t="s">
        <v>4224</v>
      </c>
      <c r="G2481" t="s">
        <v>3402</v>
      </c>
      <c r="H2481" t="s">
        <v>3408</v>
      </c>
      <c r="I2481">
        <v>5405</v>
      </c>
      <c r="J2481" s="3">
        <v>82</v>
      </c>
      <c r="K2481" s="3">
        <v>41.87</v>
      </c>
      <c r="L2481">
        <v>48.94</v>
      </c>
    </row>
    <row r="2482" spans="1:12">
      <c r="A2482" s="1">
        <v>46035</v>
      </c>
      <c r="B2482" t="s">
        <v>10178</v>
      </c>
      <c r="C2482">
        <v>24</v>
      </c>
      <c r="D2482" t="str">
        <f>VLOOKUP(Tabela26[[#This Row],[EMP]],[1]LOJA!$A:$B,2,0)</f>
        <v>LUZIÂNIA</v>
      </c>
      <c r="E2482">
        <v>150</v>
      </c>
      <c r="F2482" t="s">
        <v>3524</v>
      </c>
      <c r="G2482" t="s">
        <v>3402</v>
      </c>
      <c r="H2482" t="s">
        <v>3401</v>
      </c>
      <c r="I2482">
        <v>5102</v>
      </c>
      <c r="J2482" s="3">
        <v>45</v>
      </c>
      <c r="K2482" s="3">
        <v>20.73</v>
      </c>
      <c r="L2482">
        <v>53.93</v>
      </c>
    </row>
    <row r="2483" spans="1:12">
      <c r="A2483" s="1">
        <v>46035</v>
      </c>
      <c r="B2483" t="s">
        <v>10177</v>
      </c>
      <c r="C2483">
        <v>24</v>
      </c>
      <c r="D2483" t="str">
        <f>VLOOKUP(Tabela26[[#This Row],[EMP]],[1]LOJA!$A:$B,2,0)</f>
        <v>LUZIÂNIA</v>
      </c>
      <c r="E2483">
        <v>242</v>
      </c>
      <c r="F2483" t="s">
        <v>3524</v>
      </c>
      <c r="G2483" t="s">
        <v>3402</v>
      </c>
      <c r="H2483" t="s">
        <v>3401</v>
      </c>
      <c r="I2483">
        <v>5405</v>
      </c>
      <c r="J2483" s="3">
        <v>94</v>
      </c>
      <c r="K2483" s="3">
        <v>51.18</v>
      </c>
      <c r="L2483">
        <v>45.55</v>
      </c>
    </row>
    <row r="2484" spans="1:12">
      <c r="A2484" s="1">
        <v>46035</v>
      </c>
      <c r="B2484" t="s">
        <v>10176</v>
      </c>
      <c r="C2484">
        <v>24</v>
      </c>
      <c r="D2484" t="str">
        <f>VLOOKUP(Tabela26[[#This Row],[EMP]],[1]LOJA!$A:$B,2,0)</f>
        <v>LUZIÂNIA</v>
      </c>
      <c r="E2484">
        <v>242</v>
      </c>
      <c r="F2484" t="s">
        <v>3524</v>
      </c>
      <c r="G2484" t="s">
        <v>3402</v>
      </c>
      <c r="H2484" t="s">
        <v>3401</v>
      </c>
      <c r="I2484">
        <v>5102</v>
      </c>
      <c r="J2484" s="3">
        <v>540</v>
      </c>
      <c r="K2484" s="3">
        <v>278.66000000000003</v>
      </c>
      <c r="L2484">
        <v>48.4</v>
      </c>
    </row>
    <row r="2485" spans="1:12">
      <c r="A2485" s="1">
        <v>46035</v>
      </c>
      <c r="B2485" t="s">
        <v>10175</v>
      </c>
      <c r="C2485">
        <v>24</v>
      </c>
      <c r="D2485" t="str">
        <f>VLOOKUP(Tabela26[[#This Row],[EMP]],[1]LOJA!$A:$B,2,0)</f>
        <v>LUZIÂNIA</v>
      </c>
      <c r="E2485">
        <v>192</v>
      </c>
      <c r="F2485" t="s">
        <v>3524</v>
      </c>
      <c r="G2485" t="s">
        <v>3402</v>
      </c>
      <c r="H2485" t="s">
        <v>3401</v>
      </c>
      <c r="I2485">
        <v>5102</v>
      </c>
      <c r="J2485" s="3">
        <v>81</v>
      </c>
      <c r="K2485" s="3">
        <v>38.64</v>
      </c>
      <c r="L2485">
        <v>52.3</v>
      </c>
    </row>
    <row r="2486" spans="1:12">
      <c r="A2486" s="1">
        <v>46035</v>
      </c>
      <c r="B2486" t="s">
        <v>10174</v>
      </c>
      <c r="C2486">
        <v>24</v>
      </c>
      <c r="D2486" t="str">
        <f>VLOOKUP(Tabela26[[#This Row],[EMP]],[1]LOJA!$A:$B,2,0)</f>
        <v>LUZIÂNIA</v>
      </c>
      <c r="E2486">
        <v>242</v>
      </c>
      <c r="F2486" t="s">
        <v>3524</v>
      </c>
      <c r="G2486" t="s">
        <v>3402</v>
      </c>
      <c r="H2486" t="s">
        <v>3401</v>
      </c>
      <c r="I2486">
        <v>5405</v>
      </c>
      <c r="J2486" s="3">
        <v>63</v>
      </c>
      <c r="K2486" s="3">
        <v>30.04</v>
      </c>
      <c r="L2486">
        <v>52.32</v>
      </c>
    </row>
    <row r="2487" spans="1:12">
      <c r="A2487" s="1">
        <v>46035</v>
      </c>
      <c r="B2487" t="s">
        <v>10173</v>
      </c>
      <c r="C2487">
        <v>24</v>
      </c>
      <c r="D2487" t="str">
        <f>VLOOKUP(Tabela26[[#This Row],[EMP]],[1]LOJA!$A:$B,2,0)</f>
        <v>LUZIÂNIA</v>
      </c>
      <c r="E2487">
        <v>192</v>
      </c>
      <c r="F2487" t="s">
        <v>3524</v>
      </c>
      <c r="G2487" t="s">
        <v>3402</v>
      </c>
      <c r="H2487" t="s">
        <v>3401</v>
      </c>
      <c r="I2487">
        <v>5405</v>
      </c>
      <c r="J2487" s="3">
        <v>69</v>
      </c>
      <c r="K2487" s="3">
        <v>30.92</v>
      </c>
      <c r="L2487">
        <v>55.19</v>
      </c>
    </row>
    <row r="2488" spans="1:12">
      <c r="A2488" s="1">
        <v>46035</v>
      </c>
      <c r="B2488" t="s">
        <v>10172</v>
      </c>
      <c r="C2488">
        <v>24</v>
      </c>
      <c r="D2488" t="str">
        <f>VLOOKUP(Tabela26[[#This Row],[EMP]],[1]LOJA!$A:$B,2,0)</f>
        <v>LUZIÂNIA</v>
      </c>
      <c r="E2488">
        <v>192</v>
      </c>
      <c r="F2488" t="s">
        <v>4895</v>
      </c>
      <c r="G2488" t="s">
        <v>3437</v>
      </c>
      <c r="H2488" t="s">
        <v>3408</v>
      </c>
      <c r="I2488">
        <v>5405</v>
      </c>
      <c r="J2488" s="3">
        <v>234</v>
      </c>
      <c r="K2488" s="3">
        <v>121.22</v>
      </c>
      <c r="L2488">
        <v>48.2</v>
      </c>
    </row>
    <row r="2489" spans="1:12">
      <c r="A2489" s="1">
        <v>46035</v>
      </c>
      <c r="B2489" t="s">
        <v>10171</v>
      </c>
      <c r="C2489">
        <v>24</v>
      </c>
      <c r="D2489" t="str">
        <f>VLOOKUP(Tabela26[[#This Row],[EMP]],[1]LOJA!$A:$B,2,0)</f>
        <v>LUZIÂNIA</v>
      </c>
      <c r="E2489">
        <v>192</v>
      </c>
      <c r="F2489" t="s">
        <v>4843</v>
      </c>
      <c r="G2489" t="s">
        <v>4842</v>
      </c>
      <c r="H2489" t="s">
        <v>3401</v>
      </c>
      <c r="I2489">
        <v>5405</v>
      </c>
      <c r="J2489" s="3">
        <v>160</v>
      </c>
      <c r="K2489" s="3">
        <v>84.3</v>
      </c>
      <c r="L2489">
        <v>47.31</v>
      </c>
    </row>
    <row r="2490" spans="1:12">
      <c r="A2490" s="1">
        <v>46035</v>
      </c>
      <c r="B2490" t="s">
        <v>10170</v>
      </c>
      <c r="C2490">
        <v>24</v>
      </c>
      <c r="D2490" t="str">
        <f>VLOOKUP(Tabela26[[#This Row],[EMP]],[1]LOJA!$A:$B,2,0)</f>
        <v>LUZIÂNIA</v>
      </c>
      <c r="E2490">
        <v>192</v>
      </c>
      <c r="F2490" t="s">
        <v>4883</v>
      </c>
      <c r="G2490" t="s">
        <v>4882</v>
      </c>
      <c r="H2490" t="s">
        <v>3401</v>
      </c>
      <c r="I2490">
        <v>5102</v>
      </c>
      <c r="J2490" s="3">
        <v>115</v>
      </c>
      <c r="K2490" s="3">
        <v>68.260000000000005</v>
      </c>
      <c r="L2490">
        <v>40.64</v>
      </c>
    </row>
    <row r="2491" spans="1:12">
      <c r="A2491" s="1">
        <v>46035</v>
      </c>
      <c r="B2491" t="s">
        <v>10169</v>
      </c>
      <c r="C2491">
        <v>24</v>
      </c>
      <c r="D2491" t="str">
        <f>VLOOKUP(Tabela26[[#This Row],[EMP]],[1]LOJA!$A:$B,2,0)</f>
        <v>LUZIÂNIA</v>
      </c>
      <c r="E2491">
        <v>242</v>
      </c>
      <c r="F2491" t="s">
        <v>3524</v>
      </c>
      <c r="G2491" t="s">
        <v>3402</v>
      </c>
      <c r="H2491" t="s">
        <v>3401</v>
      </c>
      <c r="I2491">
        <v>5102</v>
      </c>
      <c r="J2491" s="3">
        <v>174</v>
      </c>
      <c r="K2491" s="3">
        <v>105.99</v>
      </c>
      <c r="L2491">
        <v>39.090000000000003</v>
      </c>
    </row>
    <row r="2492" spans="1:12">
      <c r="A2492" s="1">
        <v>46035</v>
      </c>
      <c r="B2492" t="s">
        <v>10168</v>
      </c>
      <c r="C2492">
        <v>24</v>
      </c>
      <c r="D2492" t="str">
        <f>VLOOKUP(Tabela26[[#This Row],[EMP]],[1]LOJA!$A:$B,2,0)</f>
        <v>LUZIÂNIA</v>
      </c>
      <c r="E2492">
        <v>192</v>
      </c>
      <c r="F2492" t="s">
        <v>4184</v>
      </c>
      <c r="G2492" t="s">
        <v>3402</v>
      </c>
      <c r="H2492" t="s">
        <v>3408</v>
      </c>
      <c r="I2492">
        <v>5102</v>
      </c>
      <c r="J2492" s="3">
        <v>120</v>
      </c>
      <c r="K2492" s="3">
        <v>68.8</v>
      </c>
      <c r="L2492">
        <v>42.67</v>
      </c>
    </row>
    <row r="2493" spans="1:12">
      <c r="A2493" s="1">
        <v>46035</v>
      </c>
      <c r="B2493" t="s">
        <v>10167</v>
      </c>
      <c r="C2493">
        <v>24</v>
      </c>
      <c r="D2493" t="str">
        <f>VLOOKUP(Tabela26[[#This Row],[EMP]],[1]LOJA!$A:$B,2,0)</f>
        <v>LUZIÂNIA</v>
      </c>
      <c r="E2493">
        <v>192</v>
      </c>
      <c r="F2493" t="s">
        <v>4222</v>
      </c>
      <c r="G2493" t="s">
        <v>4221</v>
      </c>
      <c r="H2493" t="s">
        <v>3408</v>
      </c>
      <c r="I2493">
        <v>5405</v>
      </c>
      <c r="J2493" s="3">
        <v>135</v>
      </c>
      <c r="K2493" s="3">
        <v>61.3</v>
      </c>
      <c r="L2493">
        <v>54.59</v>
      </c>
    </row>
    <row r="2494" spans="1:12">
      <c r="A2494" s="1">
        <v>46035</v>
      </c>
      <c r="B2494" t="s">
        <v>10166</v>
      </c>
      <c r="C2494">
        <v>24</v>
      </c>
      <c r="D2494" t="str">
        <f>VLOOKUP(Tabela26[[#This Row],[EMP]],[1]LOJA!$A:$B,2,0)</f>
        <v>LUZIÂNIA</v>
      </c>
      <c r="E2494">
        <v>192</v>
      </c>
      <c r="F2494" t="s">
        <v>5913</v>
      </c>
      <c r="G2494" t="s">
        <v>5912</v>
      </c>
      <c r="H2494" t="s">
        <v>3401</v>
      </c>
      <c r="I2494">
        <v>5405</v>
      </c>
      <c r="J2494" s="3">
        <v>211</v>
      </c>
      <c r="K2494" s="3">
        <v>106.9</v>
      </c>
      <c r="L2494">
        <v>49.34</v>
      </c>
    </row>
    <row r="2495" spans="1:12">
      <c r="A2495" s="1">
        <v>46035</v>
      </c>
      <c r="B2495" t="s">
        <v>10165</v>
      </c>
      <c r="C2495">
        <v>24</v>
      </c>
      <c r="D2495" t="str">
        <f>VLOOKUP(Tabela26[[#This Row],[EMP]],[1]LOJA!$A:$B,2,0)</f>
        <v>LUZIÂNIA</v>
      </c>
      <c r="E2495">
        <v>192</v>
      </c>
      <c r="F2495" t="s">
        <v>3524</v>
      </c>
      <c r="G2495" t="s">
        <v>3402</v>
      </c>
      <c r="H2495" t="s">
        <v>3401</v>
      </c>
      <c r="I2495">
        <v>5102</v>
      </c>
      <c r="J2495" s="3">
        <v>15.3</v>
      </c>
      <c r="K2495" s="3">
        <v>8.34</v>
      </c>
      <c r="L2495">
        <v>45.49</v>
      </c>
    </row>
    <row r="2496" spans="1:12">
      <c r="A2496" s="1">
        <v>46035</v>
      </c>
      <c r="B2496" t="s">
        <v>10164</v>
      </c>
      <c r="C2496">
        <v>24</v>
      </c>
      <c r="D2496" t="str">
        <f>VLOOKUP(Tabela26[[#This Row],[EMP]],[1]LOJA!$A:$B,2,0)</f>
        <v>LUZIÂNIA</v>
      </c>
      <c r="E2496">
        <v>192</v>
      </c>
      <c r="F2496" t="s">
        <v>5913</v>
      </c>
      <c r="G2496" t="s">
        <v>5912</v>
      </c>
      <c r="H2496" t="s">
        <v>3401</v>
      </c>
      <c r="I2496">
        <v>5405</v>
      </c>
      <c r="J2496" s="3">
        <v>667</v>
      </c>
      <c r="K2496" s="3">
        <v>336.4</v>
      </c>
      <c r="L2496">
        <v>49.57</v>
      </c>
    </row>
    <row r="2497" spans="1:12">
      <c r="A2497" s="1">
        <v>46035</v>
      </c>
      <c r="B2497" t="s">
        <v>10163</v>
      </c>
      <c r="C2497">
        <v>24</v>
      </c>
      <c r="D2497" t="str">
        <f>VLOOKUP(Tabela26[[#This Row],[EMP]],[1]LOJA!$A:$B,2,0)</f>
        <v>LUZIÂNIA</v>
      </c>
      <c r="E2497">
        <v>192</v>
      </c>
      <c r="F2497" t="s">
        <v>4176</v>
      </c>
      <c r="G2497" t="s">
        <v>4175</v>
      </c>
      <c r="H2497" t="s">
        <v>3408</v>
      </c>
      <c r="I2497">
        <v>5405</v>
      </c>
      <c r="J2497" s="3">
        <v>754.9</v>
      </c>
      <c r="K2497" s="3">
        <v>459.78</v>
      </c>
      <c r="L2497">
        <v>39.090000000000003</v>
      </c>
    </row>
    <row r="2498" spans="1:12">
      <c r="A2498" s="1">
        <v>46035</v>
      </c>
      <c r="B2498" t="s">
        <v>10162</v>
      </c>
      <c r="C2498">
        <v>24</v>
      </c>
      <c r="D2498" t="str">
        <f>VLOOKUP(Tabela26[[#This Row],[EMP]],[1]LOJA!$A:$B,2,0)</f>
        <v>LUZIÂNIA</v>
      </c>
      <c r="E2498">
        <v>192</v>
      </c>
      <c r="F2498" t="s">
        <v>3524</v>
      </c>
      <c r="G2498" t="s">
        <v>3402</v>
      </c>
      <c r="H2498" t="s">
        <v>3408</v>
      </c>
      <c r="I2498">
        <v>5102</v>
      </c>
      <c r="J2498" s="3">
        <v>293.62</v>
      </c>
      <c r="K2498" s="3">
        <v>189.66</v>
      </c>
      <c r="L2498">
        <v>35.409999999999997</v>
      </c>
    </row>
    <row r="2499" spans="1:12">
      <c r="A2499" s="1">
        <v>46035</v>
      </c>
      <c r="B2499" t="s">
        <v>10161</v>
      </c>
      <c r="C2499">
        <v>24</v>
      </c>
      <c r="D2499" t="str">
        <f>VLOOKUP(Tabela26[[#This Row],[EMP]],[1]LOJA!$A:$B,2,0)</f>
        <v>LUZIÂNIA</v>
      </c>
      <c r="E2499">
        <v>192</v>
      </c>
      <c r="F2499" t="s">
        <v>3524</v>
      </c>
      <c r="G2499" t="s">
        <v>3402</v>
      </c>
      <c r="H2499" t="s">
        <v>3401</v>
      </c>
      <c r="I2499">
        <v>5102</v>
      </c>
      <c r="J2499" s="3">
        <v>18</v>
      </c>
      <c r="K2499" s="3">
        <v>9.17</v>
      </c>
      <c r="L2499">
        <v>49.06</v>
      </c>
    </row>
    <row r="2500" spans="1:12">
      <c r="A2500" s="1">
        <v>46035</v>
      </c>
      <c r="B2500" t="s">
        <v>10160</v>
      </c>
      <c r="C2500">
        <v>24</v>
      </c>
      <c r="D2500" t="str">
        <f>VLOOKUP(Tabela26[[#This Row],[EMP]],[1]LOJA!$A:$B,2,0)</f>
        <v>LUZIÂNIA</v>
      </c>
      <c r="E2500">
        <v>192</v>
      </c>
      <c r="F2500" t="s">
        <v>3524</v>
      </c>
      <c r="G2500" t="s">
        <v>3402</v>
      </c>
      <c r="H2500" t="s">
        <v>3401</v>
      </c>
      <c r="I2500">
        <v>5405</v>
      </c>
      <c r="J2500" s="3">
        <v>677</v>
      </c>
      <c r="K2500" s="3">
        <v>332.87</v>
      </c>
      <c r="L2500">
        <v>50.83</v>
      </c>
    </row>
    <row r="2501" spans="1:12">
      <c r="A2501" s="1">
        <v>46035</v>
      </c>
      <c r="B2501" t="s">
        <v>10159</v>
      </c>
      <c r="C2501">
        <v>12</v>
      </c>
      <c r="D2501" t="str">
        <f>VLOOKUP(Tabela26[[#This Row],[EMP]],[1]LOJA!$A:$B,2,0)</f>
        <v>SOFNORTE</v>
      </c>
      <c r="E2501">
        <v>60</v>
      </c>
      <c r="F2501" t="s">
        <v>4159</v>
      </c>
      <c r="G2501" t="s">
        <v>4158</v>
      </c>
      <c r="H2501" t="s">
        <v>3430</v>
      </c>
      <c r="I2501">
        <v>5102</v>
      </c>
      <c r="J2501" s="3">
        <v>96.75</v>
      </c>
      <c r="K2501" s="3">
        <v>62.4</v>
      </c>
      <c r="L2501">
        <v>35.5</v>
      </c>
    </row>
    <row r="2502" spans="1:12">
      <c r="A2502" s="1">
        <v>46035</v>
      </c>
      <c r="B2502" t="s">
        <v>10158</v>
      </c>
      <c r="C2502">
        <v>12</v>
      </c>
      <c r="D2502" t="str">
        <f>VLOOKUP(Tabela26[[#This Row],[EMP]],[1]LOJA!$A:$B,2,0)</f>
        <v>SOFNORTE</v>
      </c>
      <c r="E2502">
        <v>60</v>
      </c>
      <c r="F2502" t="s">
        <v>3518</v>
      </c>
      <c r="G2502" t="s">
        <v>3517</v>
      </c>
      <c r="H2502" t="s">
        <v>3430</v>
      </c>
      <c r="I2502">
        <v>5405</v>
      </c>
      <c r="J2502" s="3">
        <v>157.08000000000001</v>
      </c>
      <c r="K2502" s="3">
        <v>74.8</v>
      </c>
      <c r="L2502">
        <v>52.38</v>
      </c>
    </row>
    <row r="2503" spans="1:12">
      <c r="A2503" s="1">
        <v>46035</v>
      </c>
      <c r="B2503" t="s">
        <v>10157</v>
      </c>
      <c r="C2503">
        <v>12</v>
      </c>
      <c r="D2503" t="str">
        <f>VLOOKUP(Tabela26[[#This Row],[EMP]],[1]LOJA!$A:$B,2,0)</f>
        <v>SOFNORTE</v>
      </c>
      <c r="E2503">
        <v>60</v>
      </c>
      <c r="F2503" t="s">
        <v>3518</v>
      </c>
      <c r="G2503" t="s">
        <v>3517</v>
      </c>
      <c r="H2503" t="s">
        <v>3430</v>
      </c>
      <c r="I2503">
        <v>5405</v>
      </c>
      <c r="J2503" s="3">
        <v>82</v>
      </c>
      <c r="K2503" s="3">
        <v>39.229999999999997</v>
      </c>
      <c r="L2503">
        <v>52.16</v>
      </c>
    </row>
    <row r="2504" spans="1:12">
      <c r="A2504" s="1">
        <v>46035</v>
      </c>
      <c r="B2504" t="s">
        <v>10156</v>
      </c>
      <c r="C2504">
        <v>12</v>
      </c>
      <c r="D2504" t="str">
        <f>VLOOKUP(Tabela26[[#This Row],[EMP]],[1]LOJA!$A:$B,2,0)</f>
        <v>SOFNORTE</v>
      </c>
      <c r="E2504">
        <v>60</v>
      </c>
      <c r="F2504" t="s">
        <v>3709</v>
      </c>
      <c r="G2504" t="s">
        <v>3708</v>
      </c>
      <c r="H2504" t="s">
        <v>10049</v>
      </c>
      <c r="I2504">
        <v>5102</v>
      </c>
      <c r="J2504" s="3">
        <v>97.27</v>
      </c>
      <c r="K2504" s="3">
        <v>55.7</v>
      </c>
      <c r="L2504">
        <v>42.74</v>
      </c>
    </row>
    <row r="2505" spans="1:12">
      <c r="A2505" s="1">
        <v>46035</v>
      </c>
      <c r="B2505" t="s">
        <v>10155</v>
      </c>
      <c r="C2505">
        <v>12</v>
      </c>
      <c r="D2505" t="str">
        <f>VLOOKUP(Tabela26[[#This Row],[EMP]],[1]LOJA!$A:$B,2,0)</f>
        <v>SOFNORTE</v>
      </c>
      <c r="E2505">
        <v>60</v>
      </c>
      <c r="F2505" t="s">
        <v>3709</v>
      </c>
      <c r="G2505" t="s">
        <v>3708</v>
      </c>
      <c r="H2505" t="s">
        <v>10049</v>
      </c>
      <c r="I2505">
        <v>5405</v>
      </c>
      <c r="J2505" s="3">
        <v>40.82</v>
      </c>
      <c r="K2505" s="3">
        <v>19.989999999999998</v>
      </c>
      <c r="L2505">
        <v>51.03</v>
      </c>
    </row>
    <row r="2506" spans="1:12">
      <c r="A2506" s="1">
        <v>46035</v>
      </c>
      <c r="B2506" t="s">
        <v>10154</v>
      </c>
      <c r="C2506">
        <v>12</v>
      </c>
      <c r="D2506" t="str">
        <f>VLOOKUP(Tabela26[[#This Row],[EMP]],[1]LOJA!$A:$B,2,0)</f>
        <v>SOFNORTE</v>
      </c>
      <c r="E2506">
        <v>60</v>
      </c>
      <c r="F2506" t="s">
        <v>4156</v>
      </c>
      <c r="G2506" t="s">
        <v>4155</v>
      </c>
      <c r="H2506" t="s">
        <v>3689</v>
      </c>
      <c r="I2506">
        <v>5102</v>
      </c>
      <c r="J2506" s="3">
        <v>23.97</v>
      </c>
      <c r="K2506" s="3">
        <v>13.32</v>
      </c>
      <c r="L2506">
        <v>44.43</v>
      </c>
    </row>
    <row r="2507" spans="1:12">
      <c r="A2507" s="1">
        <v>46035</v>
      </c>
      <c r="B2507" t="s">
        <v>10153</v>
      </c>
      <c r="C2507">
        <v>12</v>
      </c>
      <c r="D2507" t="str">
        <f>VLOOKUP(Tabela26[[#This Row],[EMP]],[1]LOJA!$A:$B,2,0)</f>
        <v>SOFNORTE</v>
      </c>
      <c r="E2507">
        <v>60</v>
      </c>
      <c r="F2507" t="s">
        <v>4156</v>
      </c>
      <c r="G2507" t="s">
        <v>4155</v>
      </c>
      <c r="H2507" t="s">
        <v>3689</v>
      </c>
      <c r="I2507">
        <v>5102</v>
      </c>
      <c r="J2507" s="3">
        <v>176.1</v>
      </c>
      <c r="K2507" s="3">
        <v>92.4</v>
      </c>
      <c r="L2507">
        <v>47.53</v>
      </c>
    </row>
    <row r="2508" spans="1:12">
      <c r="A2508" s="1">
        <v>46035</v>
      </c>
      <c r="B2508" t="s">
        <v>10152</v>
      </c>
      <c r="C2508">
        <v>12</v>
      </c>
      <c r="D2508" t="str">
        <f>VLOOKUP(Tabela26[[#This Row],[EMP]],[1]LOJA!$A:$B,2,0)</f>
        <v>SOFNORTE</v>
      </c>
      <c r="E2508">
        <v>60</v>
      </c>
      <c r="F2508" t="s">
        <v>3518</v>
      </c>
      <c r="G2508" t="s">
        <v>3517</v>
      </c>
      <c r="H2508" t="s">
        <v>3430</v>
      </c>
      <c r="I2508">
        <v>5405</v>
      </c>
      <c r="J2508" s="3">
        <v>55</v>
      </c>
      <c r="K2508" s="3">
        <v>25.89</v>
      </c>
      <c r="L2508">
        <v>52.93</v>
      </c>
    </row>
    <row r="2509" spans="1:12">
      <c r="A2509" s="1">
        <v>46035</v>
      </c>
      <c r="B2509" t="s">
        <v>10151</v>
      </c>
      <c r="C2509">
        <v>12</v>
      </c>
      <c r="D2509" t="str">
        <f>VLOOKUP(Tabela26[[#This Row],[EMP]],[1]LOJA!$A:$B,2,0)</f>
        <v>SOFNORTE</v>
      </c>
      <c r="E2509">
        <v>60</v>
      </c>
      <c r="F2509" t="s">
        <v>4156</v>
      </c>
      <c r="G2509" t="s">
        <v>4155</v>
      </c>
      <c r="H2509" t="s">
        <v>3689</v>
      </c>
      <c r="I2509">
        <v>5405</v>
      </c>
      <c r="J2509" s="3">
        <v>74.58</v>
      </c>
      <c r="K2509" s="3">
        <v>33.9</v>
      </c>
      <c r="L2509">
        <v>54.55</v>
      </c>
    </row>
    <row r="2510" spans="1:12">
      <c r="A2510" s="1">
        <v>46035</v>
      </c>
      <c r="B2510" t="s">
        <v>10150</v>
      </c>
      <c r="C2510">
        <v>22</v>
      </c>
      <c r="D2510" t="str">
        <f>VLOOKUP(Tabela26[[#This Row],[EMP]],[1]LOJA!$A:$B,2,0)</f>
        <v>GUARÁ</v>
      </c>
      <c r="E2510">
        <v>93</v>
      </c>
      <c r="F2510" t="s">
        <v>4140</v>
      </c>
      <c r="G2510" t="s">
        <v>4139</v>
      </c>
      <c r="H2510" t="s">
        <v>3430</v>
      </c>
      <c r="I2510">
        <v>5102</v>
      </c>
      <c r="J2510" s="3">
        <v>355.09</v>
      </c>
      <c r="K2510" s="3">
        <v>177.36</v>
      </c>
      <c r="L2510">
        <v>50.05</v>
      </c>
    </row>
    <row r="2511" spans="1:12">
      <c r="A2511" s="1">
        <v>46035</v>
      </c>
      <c r="B2511" t="s">
        <v>10149</v>
      </c>
      <c r="C2511">
        <v>22</v>
      </c>
      <c r="D2511" t="str">
        <f>VLOOKUP(Tabela26[[#This Row],[EMP]],[1]LOJA!$A:$B,2,0)</f>
        <v>GUARÁ</v>
      </c>
      <c r="E2511">
        <v>93</v>
      </c>
      <c r="F2511" t="s">
        <v>3514</v>
      </c>
      <c r="G2511" t="s">
        <v>3513</v>
      </c>
      <c r="H2511" t="s">
        <v>3430</v>
      </c>
      <c r="I2511">
        <v>5405</v>
      </c>
      <c r="J2511" s="3">
        <v>107.93</v>
      </c>
      <c r="K2511" s="3">
        <v>56.45</v>
      </c>
      <c r="L2511">
        <v>47.7</v>
      </c>
    </row>
    <row r="2512" spans="1:12">
      <c r="A2512" s="1">
        <v>46035</v>
      </c>
      <c r="B2512" t="s">
        <v>10148</v>
      </c>
      <c r="C2512">
        <v>22</v>
      </c>
      <c r="D2512" t="str">
        <f>VLOOKUP(Tabela26[[#This Row],[EMP]],[1]LOJA!$A:$B,2,0)</f>
        <v>GUARÁ</v>
      </c>
      <c r="E2512">
        <v>93</v>
      </c>
      <c r="F2512" t="s">
        <v>4805</v>
      </c>
      <c r="G2512" t="s">
        <v>4804</v>
      </c>
      <c r="H2512" t="s">
        <v>3430</v>
      </c>
      <c r="I2512">
        <v>5405</v>
      </c>
      <c r="J2512" s="3">
        <v>303.24</v>
      </c>
      <c r="K2512" s="3">
        <v>181.84</v>
      </c>
      <c r="L2512">
        <v>40.03</v>
      </c>
    </row>
    <row r="2513" spans="1:12">
      <c r="A2513" s="1">
        <v>46035</v>
      </c>
      <c r="B2513" t="s">
        <v>10147</v>
      </c>
      <c r="C2513">
        <v>22</v>
      </c>
      <c r="D2513" t="str">
        <f>VLOOKUP(Tabela26[[#This Row],[EMP]],[1]LOJA!$A:$B,2,0)</f>
        <v>GUARÁ</v>
      </c>
      <c r="E2513">
        <v>93</v>
      </c>
      <c r="F2513" t="s">
        <v>4808</v>
      </c>
      <c r="G2513" t="s">
        <v>4807</v>
      </c>
      <c r="H2513" t="s">
        <v>3430</v>
      </c>
      <c r="I2513">
        <v>5102</v>
      </c>
      <c r="J2513" s="3">
        <v>153.94999999999999</v>
      </c>
      <c r="K2513" s="3">
        <v>87.24</v>
      </c>
      <c r="L2513">
        <v>43.33</v>
      </c>
    </row>
    <row r="2514" spans="1:12">
      <c r="A2514" s="1">
        <v>46035</v>
      </c>
      <c r="B2514" t="s">
        <v>10146</v>
      </c>
      <c r="C2514">
        <v>22</v>
      </c>
      <c r="D2514" t="str">
        <f>VLOOKUP(Tabela26[[#This Row],[EMP]],[1]LOJA!$A:$B,2,0)</f>
        <v>GUARÁ</v>
      </c>
      <c r="E2514">
        <v>93</v>
      </c>
      <c r="F2514" t="s">
        <v>4151</v>
      </c>
      <c r="G2514" t="s">
        <v>4150</v>
      </c>
      <c r="H2514" t="s">
        <v>3430</v>
      </c>
      <c r="I2514">
        <v>5405</v>
      </c>
      <c r="J2514" s="3">
        <v>258.45</v>
      </c>
      <c r="K2514" s="3">
        <v>123.88</v>
      </c>
      <c r="L2514">
        <v>52.07</v>
      </c>
    </row>
    <row r="2515" spans="1:12">
      <c r="A2515" s="1">
        <v>46035</v>
      </c>
      <c r="B2515" t="s">
        <v>10145</v>
      </c>
      <c r="C2515">
        <v>22</v>
      </c>
      <c r="D2515" t="str">
        <f>VLOOKUP(Tabela26[[#This Row],[EMP]],[1]LOJA!$A:$B,2,0)</f>
        <v>GUARÁ</v>
      </c>
      <c r="E2515">
        <v>93</v>
      </c>
      <c r="F2515" t="s">
        <v>3508</v>
      </c>
      <c r="G2515" t="s">
        <v>3507</v>
      </c>
      <c r="H2515" t="s">
        <v>3430</v>
      </c>
      <c r="I2515">
        <v>5405</v>
      </c>
      <c r="J2515" s="3">
        <v>294.33999999999997</v>
      </c>
      <c r="K2515" s="3">
        <v>147.80000000000001</v>
      </c>
      <c r="L2515">
        <v>49.79</v>
      </c>
    </row>
    <row r="2516" spans="1:12">
      <c r="A2516" s="1">
        <v>46035</v>
      </c>
      <c r="B2516" t="s">
        <v>10144</v>
      </c>
      <c r="C2516">
        <v>22</v>
      </c>
      <c r="D2516" t="str">
        <f>VLOOKUP(Tabela26[[#This Row],[EMP]],[1]LOJA!$A:$B,2,0)</f>
        <v>GUARÁ</v>
      </c>
      <c r="E2516">
        <v>93</v>
      </c>
      <c r="F2516" t="s">
        <v>4140</v>
      </c>
      <c r="G2516" t="s">
        <v>4139</v>
      </c>
      <c r="H2516" t="s">
        <v>3430</v>
      </c>
      <c r="I2516">
        <v>5405</v>
      </c>
      <c r="J2516" s="3">
        <v>209.27</v>
      </c>
      <c r="K2516" s="3">
        <v>111.24</v>
      </c>
      <c r="L2516">
        <v>46.84</v>
      </c>
    </row>
    <row r="2517" spans="1:12">
      <c r="A2517" s="1">
        <v>46035</v>
      </c>
      <c r="B2517" t="s">
        <v>10143</v>
      </c>
      <c r="C2517">
        <v>22</v>
      </c>
      <c r="D2517" t="str">
        <f>VLOOKUP(Tabela26[[#This Row],[EMP]],[1]LOJA!$A:$B,2,0)</f>
        <v>GUARÁ</v>
      </c>
      <c r="E2517">
        <v>93</v>
      </c>
      <c r="F2517" t="s">
        <v>4136</v>
      </c>
      <c r="G2517" t="s">
        <v>4135</v>
      </c>
      <c r="H2517" t="s">
        <v>3430</v>
      </c>
      <c r="I2517">
        <v>5405</v>
      </c>
      <c r="J2517" s="3">
        <v>55.28</v>
      </c>
      <c r="K2517" s="3">
        <v>28.74</v>
      </c>
      <c r="L2517">
        <v>48.01</v>
      </c>
    </row>
    <row r="2518" spans="1:12">
      <c r="A2518" s="1">
        <v>46035</v>
      </c>
      <c r="B2518" t="s">
        <v>10142</v>
      </c>
      <c r="C2518">
        <v>22</v>
      </c>
      <c r="D2518" t="str">
        <f>VLOOKUP(Tabela26[[#This Row],[EMP]],[1]LOJA!$A:$B,2,0)</f>
        <v>GUARÁ</v>
      </c>
      <c r="E2518">
        <v>93</v>
      </c>
      <c r="F2518" t="s">
        <v>4144</v>
      </c>
      <c r="G2518" t="s">
        <v>4143</v>
      </c>
      <c r="H2518" t="s">
        <v>4142</v>
      </c>
      <c r="I2518">
        <v>5405</v>
      </c>
      <c r="J2518" s="3">
        <v>236.68</v>
      </c>
      <c r="K2518" s="3">
        <v>121.43</v>
      </c>
      <c r="L2518">
        <v>48.69</v>
      </c>
    </row>
    <row r="2519" spans="1:12">
      <c r="A2519" s="1">
        <v>46035</v>
      </c>
      <c r="B2519" t="s">
        <v>10141</v>
      </c>
      <c r="C2519">
        <v>22</v>
      </c>
      <c r="D2519" t="str">
        <f>VLOOKUP(Tabela26[[#This Row],[EMP]],[1]LOJA!$A:$B,2,0)</f>
        <v>GUARÁ</v>
      </c>
      <c r="E2519">
        <v>93</v>
      </c>
      <c r="F2519" t="s">
        <v>4151</v>
      </c>
      <c r="G2519" t="s">
        <v>4150</v>
      </c>
      <c r="H2519" t="s">
        <v>3430</v>
      </c>
      <c r="I2519">
        <v>5405</v>
      </c>
      <c r="J2519" s="3">
        <v>230.27</v>
      </c>
      <c r="K2519" s="3">
        <v>109.77</v>
      </c>
      <c r="L2519">
        <v>52.33</v>
      </c>
    </row>
    <row r="2520" spans="1:12">
      <c r="A2520" s="1">
        <v>46035</v>
      </c>
      <c r="B2520" t="s">
        <v>10140</v>
      </c>
      <c r="C2520">
        <v>22</v>
      </c>
      <c r="D2520" t="str">
        <f>VLOOKUP(Tabela26[[#This Row],[EMP]],[1]LOJA!$A:$B,2,0)</f>
        <v>GUARÁ</v>
      </c>
      <c r="E2520">
        <v>93</v>
      </c>
      <c r="F2520" t="s">
        <v>4808</v>
      </c>
      <c r="G2520" t="s">
        <v>4807</v>
      </c>
      <c r="H2520" t="s">
        <v>3430</v>
      </c>
      <c r="I2520">
        <v>5405</v>
      </c>
      <c r="J2520" s="3">
        <v>317.93</v>
      </c>
      <c r="K2520" s="3">
        <v>167.2</v>
      </c>
      <c r="L2520">
        <v>47.41</v>
      </c>
    </row>
    <row r="2521" spans="1:12">
      <c r="A2521" s="1">
        <v>46035</v>
      </c>
      <c r="B2521" t="s">
        <v>10139</v>
      </c>
      <c r="C2521">
        <v>13</v>
      </c>
      <c r="D2521" t="str">
        <f>VLOOKUP(Tabela26[[#This Row],[EMP]],[1]LOJA!$A:$B,2,0)</f>
        <v>CEILÂNDIA</v>
      </c>
      <c r="E2521">
        <v>33</v>
      </c>
      <c r="F2521" t="s">
        <v>10135</v>
      </c>
      <c r="G2521" t="s">
        <v>10134</v>
      </c>
      <c r="H2521" t="s">
        <v>3430</v>
      </c>
      <c r="I2521">
        <v>5102</v>
      </c>
      <c r="J2521" s="3">
        <v>2890</v>
      </c>
      <c r="K2521" s="3">
        <v>1688</v>
      </c>
      <c r="L2521">
        <v>41.59</v>
      </c>
    </row>
    <row r="2522" spans="1:12">
      <c r="A2522" s="1">
        <v>46035</v>
      </c>
      <c r="B2522" t="s">
        <v>10138</v>
      </c>
      <c r="C2522">
        <v>13</v>
      </c>
      <c r="D2522" t="str">
        <f>VLOOKUP(Tabela26[[#This Row],[EMP]],[1]LOJA!$A:$B,2,0)</f>
        <v>CEILÂNDIA</v>
      </c>
      <c r="E2522">
        <v>33</v>
      </c>
      <c r="F2522" t="s">
        <v>10135</v>
      </c>
      <c r="G2522" t="s">
        <v>10134</v>
      </c>
      <c r="H2522" t="s">
        <v>3401</v>
      </c>
      <c r="I2522">
        <v>5910</v>
      </c>
      <c r="J2522" s="3">
        <v>0</v>
      </c>
      <c r="K2522" s="3">
        <v>893.88</v>
      </c>
      <c r="L2522">
        <v>0</v>
      </c>
    </row>
    <row r="2523" spans="1:12">
      <c r="A2523" s="1">
        <v>46035</v>
      </c>
      <c r="B2523" t="s">
        <v>10137</v>
      </c>
      <c r="C2523">
        <v>13</v>
      </c>
      <c r="D2523" t="str">
        <f>VLOOKUP(Tabela26[[#This Row],[EMP]],[1]LOJA!$A:$B,2,0)</f>
        <v>CEILÂNDIA</v>
      </c>
      <c r="E2523">
        <v>86</v>
      </c>
      <c r="F2523" t="s">
        <v>4133</v>
      </c>
      <c r="G2523" t="s">
        <v>4132</v>
      </c>
      <c r="H2523" t="s">
        <v>3430</v>
      </c>
      <c r="I2523">
        <v>5102</v>
      </c>
      <c r="J2523" s="3">
        <v>41.72</v>
      </c>
      <c r="K2523" s="3">
        <v>25.76</v>
      </c>
      <c r="L2523">
        <v>38.26</v>
      </c>
    </row>
    <row r="2524" spans="1:12">
      <c r="A2524" s="1">
        <v>46035</v>
      </c>
      <c r="B2524" t="s">
        <v>10136</v>
      </c>
      <c r="C2524">
        <v>13</v>
      </c>
      <c r="D2524" t="str">
        <f>VLOOKUP(Tabela26[[#This Row],[EMP]],[1]LOJA!$A:$B,2,0)</f>
        <v>CEILÂNDIA</v>
      </c>
      <c r="E2524">
        <v>33</v>
      </c>
      <c r="F2524" t="s">
        <v>10135</v>
      </c>
      <c r="G2524" t="s">
        <v>10134</v>
      </c>
      <c r="H2524" t="s">
        <v>3430</v>
      </c>
      <c r="I2524">
        <v>5405</v>
      </c>
      <c r="J2524" s="3">
        <v>288.89999999999998</v>
      </c>
      <c r="K2524" s="3">
        <v>146.24</v>
      </c>
      <c r="L2524">
        <v>49.38</v>
      </c>
    </row>
    <row r="2525" spans="1:12">
      <c r="A2525" s="1">
        <v>46035</v>
      </c>
      <c r="B2525" t="s">
        <v>10133</v>
      </c>
      <c r="C2525">
        <v>13</v>
      </c>
      <c r="D2525" t="str">
        <f>VLOOKUP(Tabela26[[#This Row],[EMP]],[1]LOJA!$A:$B,2,0)</f>
        <v>CEILÂNDIA</v>
      </c>
      <c r="E2525">
        <v>86</v>
      </c>
      <c r="F2525" t="s">
        <v>4133</v>
      </c>
      <c r="G2525" t="s">
        <v>4132</v>
      </c>
      <c r="H2525" t="s">
        <v>3430</v>
      </c>
      <c r="I2525">
        <v>5405</v>
      </c>
      <c r="J2525" s="3">
        <v>137.82</v>
      </c>
      <c r="K2525" s="3">
        <v>72.569999999999993</v>
      </c>
      <c r="L2525">
        <v>47.34</v>
      </c>
    </row>
    <row r="2526" spans="1:12">
      <c r="A2526" s="1">
        <v>46035</v>
      </c>
      <c r="B2526" t="s">
        <v>10132</v>
      </c>
      <c r="C2526">
        <v>13</v>
      </c>
      <c r="D2526" t="str">
        <f>VLOOKUP(Tabela26[[#This Row],[EMP]],[1]LOJA!$A:$B,2,0)</f>
        <v>CEILÂNDIA</v>
      </c>
      <c r="E2526">
        <v>86</v>
      </c>
      <c r="F2526" t="s">
        <v>4133</v>
      </c>
      <c r="G2526" t="s">
        <v>4132</v>
      </c>
      <c r="H2526" t="s">
        <v>3430</v>
      </c>
      <c r="I2526">
        <v>5405</v>
      </c>
      <c r="J2526" s="3">
        <v>64.8</v>
      </c>
      <c r="K2526" s="3">
        <v>34.08</v>
      </c>
      <c r="L2526">
        <v>47.41</v>
      </c>
    </row>
    <row r="2527" spans="1:12">
      <c r="A2527" s="1">
        <v>46035</v>
      </c>
      <c r="B2527" t="s">
        <v>10131</v>
      </c>
      <c r="C2527">
        <v>13</v>
      </c>
      <c r="D2527" t="str">
        <f>VLOOKUP(Tabela26[[#This Row],[EMP]],[1]LOJA!$A:$B,2,0)</f>
        <v>CEILÂNDIA</v>
      </c>
      <c r="E2527">
        <v>86</v>
      </c>
      <c r="F2527" t="s">
        <v>4118</v>
      </c>
      <c r="G2527" t="s">
        <v>4117</v>
      </c>
      <c r="H2527" t="s">
        <v>3430</v>
      </c>
      <c r="I2527">
        <v>5405</v>
      </c>
      <c r="J2527" s="3">
        <v>375.76</v>
      </c>
      <c r="K2527" s="3">
        <v>195.64</v>
      </c>
      <c r="L2527">
        <v>47.93</v>
      </c>
    </row>
    <row r="2528" spans="1:12">
      <c r="A2528" s="1">
        <v>46035</v>
      </c>
      <c r="B2528" t="s">
        <v>10130</v>
      </c>
      <c r="C2528">
        <v>13</v>
      </c>
      <c r="D2528" t="str">
        <f>VLOOKUP(Tabela26[[#This Row],[EMP]],[1]LOJA!$A:$B,2,0)</f>
        <v>CEILÂNDIA</v>
      </c>
      <c r="E2528">
        <v>86</v>
      </c>
      <c r="F2528" t="s">
        <v>4097</v>
      </c>
      <c r="G2528" t="s">
        <v>4096</v>
      </c>
      <c r="H2528" t="s">
        <v>3430</v>
      </c>
      <c r="I2528">
        <v>5405</v>
      </c>
      <c r="J2528" s="3">
        <v>221.29</v>
      </c>
      <c r="K2528" s="3">
        <v>108.74</v>
      </c>
      <c r="L2528">
        <v>50.86</v>
      </c>
    </row>
    <row r="2529" spans="1:12">
      <c r="A2529" s="1">
        <v>46035</v>
      </c>
      <c r="B2529" t="s">
        <v>10129</v>
      </c>
      <c r="C2529">
        <v>13</v>
      </c>
      <c r="D2529" t="str">
        <f>VLOOKUP(Tabela26[[#This Row],[EMP]],[1]LOJA!$A:$B,2,0)</f>
        <v>CEILÂNDIA</v>
      </c>
      <c r="E2529">
        <v>86</v>
      </c>
      <c r="F2529" t="s">
        <v>4097</v>
      </c>
      <c r="G2529" t="s">
        <v>4096</v>
      </c>
      <c r="H2529" t="s">
        <v>3430</v>
      </c>
      <c r="I2529">
        <v>5102</v>
      </c>
      <c r="J2529" s="3">
        <v>11.96</v>
      </c>
      <c r="K2529" s="3">
        <v>7.38</v>
      </c>
      <c r="L2529">
        <v>38.29</v>
      </c>
    </row>
    <row r="2530" spans="1:12">
      <c r="A2530" s="1">
        <v>46035</v>
      </c>
      <c r="B2530" t="s">
        <v>10128</v>
      </c>
      <c r="C2530">
        <v>13</v>
      </c>
      <c r="D2530" t="str">
        <f>VLOOKUP(Tabela26[[#This Row],[EMP]],[1]LOJA!$A:$B,2,0)</f>
        <v>CEILÂNDIA</v>
      </c>
      <c r="E2530">
        <v>33</v>
      </c>
      <c r="F2530" t="s">
        <v>4767</v>
      </c>
      <c r="G2530" t="s">
        <v>4766</v>
      </c>
      <c r="H2530" t="s">
        <v>3430</v>
      </c>
      <c r="I2530">
        <v>5405</v>
      </c>
      <c r="J2530" s="3">
        <v>75</v>
      </c>
      <c r="K2530" s="3">
        <v>38.99</v>
      </c>
      <c r="L2530">
        <v>48.01</v>
      </c>
    </row>
    <row r="2531" spans="1:12">
      <c r="A2531" s="1">
        <v>46035</v>
      </c>
      <c r="B2531" t="s">
        <v>10127</v>
      </c>
      <c r="C2531">
        <v>13</v>
      </c>
      <c r="D2531" t="str">
        <f>VLOOKUP(Tabela26[[#This Row],[EMP]],[1]LOJA!$A:$B,2,0)</f>
        <v>CEILÂNDIA</v>
      </c>
      <c r="E2531">
        <v>86</v>
      </c>
      <c r="F2531" t="s">
        <v>4081</v>
      </c>
      <c r="G2531" t="s">
        <v>4080</v>
      </c>
      <c r="H2531" t="s">
        <v>10049</v>
      </c>
      <c r="I2531">
        <v>5405</v>
      </c>
      <c r="J2531" s="3">
        <v>49.22</v>
      </c>
      <c r="K2531" s="3">
        <v>25.77</v>
      </c>
      <c r="L2531">
        <v>47.64</v>
      </c>
    </row>
    <row r="2532" spans="1:12">
      <c r="A2532" s="1">
        <v>46035</v>
      </c>
      <c r="B2532" t="s">
        <v>10126</v>
      </c>
      <c r="C2532">
        <v>13</v>
      </c>
      <c r="D2532" t="str">
        <f>VLOOKUP(Tabela26[[#This Row],[EMP]],[1]LOJA!$A:$B,2,0)</f>
        <v>CEILÂNDIA</v>
      </c>
      <c r="E2532">
        <v>86</v>
      </c>
      <c r="F2532" t="s">
        <v>4081</v>
      </c>
      <c r="G2532" t="s">
        <v>4080</v>
      </c>
      <c r="H2532" t="s">
        <v>10049</v>
      </c>
      <c r="I2532">
        <v>5405</v>
      </c>
      <c r="J2532" s="3">
        <v>401.8</v>
      </c>
      <c r="K2532" s="3">
        <v>238.2</v>
      </c>
      <c r="L2532">
        <v>40.72</v>
      </c>
    </row>
    <row r="2533" spans="1:12">
      <c r="A2533" s="1">
        <v>46035</v>
      </c>
      <c r="B2533" t="s">
        <v>10125</v>
      </c>
      <c r="C2533">
        <v>13</v>
      </c>
      <c r="D2533" t="str">
        <f>VLOOKUP(Tabela26[[#This Row],[EMP]],[1]LOJA!$A:$B,2,0)</f>
        <v>CEILÂNDIA</v>
      </c>
      <c r="E2533">
        <v>86</v>
      </c>
      <c r="F2533" t="s">
        <v>4992</v>
      </c>
      <c r="G2533" t="s">
        <v>4991</v>
      </c>
      <c r="H2533" t="s">
        <v>3520</v>
      </c>
      <c r="I2533">
        <v>5405</v>
      </c>
      <c r="J2533" s="3">
        <v>1121.71</v>
      </c>
      <c r="K2533" s="3">
        <v>485.37</v>
      </c>
      <c r="L2533">
        <v>56.73</v>
      </c>
    </row>
    <row r="2534" spans="1:12">
      <c r="A2534" s="1">
        <v>46035</v>
      </c>
      <c r="B2534" t="s">
        <v>10124</v>
      </c>
      <c r="C2534">
        <v>13</v>
      </c>
      <c r="D2534" t="str">
        <f>VLOOKUP(Tabela26[[#This Row],[EMP]],[1]LOJA!$A:$B,2,0)</f>
        <v>CEILÂNDIA</v>
      </c>
      <c r="E2534">
        <v>86</v>
      </c>
      <c r="F2534" t="s">
        <v>3501</v>
      </c>
      <c r="G2534" t="s">
        <v>3500</v>
      </c>
      <c r="H2534" t="s">
        <v>3430</v>
      </c>
      <c r="I2534">
        <v>5405</v>
      </c>
      <c r="J2534" s="3">
        <v>59</v>
      </c>
      <c r="K2534" s="3">
        <v>30.25</v>
      </c>
      <c r="L2534">
        <v>48.73</v>
      </c>
    </row>
    <row r="2535" spans="1:12">
      <c r="A2535" s="1">
        <v>46035</v>
      </c>
      <c r="B2535" t="s">
        <v>10123</v>
      </c>
      <c r="C2535">
        <v>13</v>
      </c>
      <c r="D2535" t="str">
        <f>VLOOKUP(Tabela26[[#This Row],[EMP]],[1]LOJA!$A:$B,2,0)</f>
        <v>CEILÂNDIA</v>
      </c>
      <c r="E2535">
        <v>86</v>
      </c>
      <c r="F2535" t="s">
        <v>4112</v>
      </c>
      <c r="G2535" t="s">
        <v>4111</v>
      </c>
      <c r="H2535" t="s">
        <v>3430</v>
      </c>
      <c r="I2535">
        <v>5102</v>
      </c>
      <c r="J2535" s="3">
        <v>37.979999999999997</v>
      </c>
      <c r="K2535" s="3">
        <v>20.82</v>
      </c>
      <c r="L2535">
        <v>45.18</v>
      </c>
    </row>
    <row r="2536" spans="1:12">
      <c r="A2536" s="1">
        <v>46035</v>
      </c>
      <c r="B2536" t="s">
        <v>10122</v>
      </c>
      <c r="C2536">
        <v>13</v>
      </c>
      <c r="D2536" t="str">
        <f>VLOOKUP(Tabela26[[#This Row],[EMP]],[1]LOJA!$A:$B,2,0)</f>
        <v>CEILÂNDIA</v>
      </c>
      <c r="E2536">
        <v>86</v>
      </c>
      <c r="F2536" t="s">
        <v>4081</v>
      </c>
      <c r="G2536" t="s">
        <v>4080</v>
      </c>
      <c r="H2536" t="s">
        <v>10049</v>
      </c>
      <c r="I2536">
        <v>5102</v>
      </c>
      <c r="J2536" s="3">
        <v>38.799999999999997</v>
      </c>
      <c r="K2536" s="3">
        <v>21.95</v>
      </c>
      <c r="L2536">
        <v>43.43</v>
      </c>
    </row>
    <row r="2537" spans="1:12">
      <c r="A2537" s="1">
        <v>46035</v>
      </c>
      <c r="B2537" t="s">
        <v>10121</v>
      </c>
      <c r="C2537">
        <v>13</v>
      </c>
      <c r="D2537" t="str">
        <f>VLOOKUP(Tabela26[[#This Row],[EMP]],[1]LOJA!$A:$B,2,0)</f>
        <v>CEILÂNDIA</v>
      </c>
      <c r="E2537">
        <v>33</v>
      </c>
      <c r="F2537" t="s">
        <v>3505</v>
      </c>
      <c r="G2537" t="s">
        <v>3504</v>
      </c>
      <c r="H2537" t="s">
        <v>3430</v>
      </c>
      <c r="I2537">
        <v>5405</v>
      </c>
      <c r="J2537" s="3">
        <v>50.92</v>
      </c>
      <c r="K2537" s="3">
        <v>26.64</v>
      </c>
      <c r="L2537">
        <v>47.68</v>
      </c>
    </row>
    <row r="2538" spans="1:12">
      <c r="A2538" s="1">
        <v>46035</v>
      </c>
      <c r="B2538" t="s">
        <v>10120</v>
      </c>
      <c r="C2538">
        <v>13</v>
      </c>
      <c r="D2538" t="str">
        <f>VLOOKUP(Tabela26[[#This Row],[EMP]],[1]LOJA!$A:$B,2,0)</f>
        <v>CEILÂNDIA</v>
      </c>
      <c r="E2538">
        <v>86</v>
      </c>
      <c r="F2538" t="s">
        <v>3501</v>
      </c>
      <c r="G2538" t="s">
        <v>3500</v>
      </c>
      <c r="H2538" t="s">
        <v>3430</v>
      </c>
      <c r="I2538">
        <v>5102</v>
      </c>
      <c r="J2538" s="3">
        <v>64</v>
      </c>
      <c r="K2538" s="3">
        <v>30.78</v>
      </c>
      <c r="L2538">
        <v>51.91</v>
      </c>
    </row>
    <row r="2539" spans="1:12">
      <c r="A2539" s="1">
        <v>46035</v>
      </c>
      <c r="B2539" t="s">
        <v>10119</v>
      </c>
      <c r="C2539">
        <v>15</v>
      </c>
      <c r="D2539" t="str">
        <f>VLOOKUP(Tabela26[[#This Row],[EMP]],[1]LOJA!$A:$B,2,0)</f>
        <v>UNAÍ</v>
      </c>
      <c r="E2539">
        <v>183</v>
      </c>
      <c r="F2539" t="s">
        <v>5766</v>
      </c>
      <c r="G2539" t="s">
        <v>5765</v>
      </c>
      <c r="H2539" t="s">
        <v>3401</v>
      </c>
      <c r="I2539">
        <v>5102</v>
      </c>
      <c r="J2539" s="3">
        <v>46.8</v>
      </c>
      <c r="K2539" s="3">
        <v>22.36</v>
      </c>
      <c r="L2539">
        <v>52.22</v>
      </c>
    </row>
    <row r="2540" spans="1:12">
      <c r="A2540" s="1">
        <v>46035</v>
      </c>
      <c r="B2540" t="s">
        <v>10118</v>
      </c>
      <c r="C2540">
        <v>15</v>
      </c>
      <c r="D2540" t="str">
        <f>VLOOKUP(Tabela26[[#This Row],[EMP]],[1]LOJA!$A:$B,2,0)</f>
        <v>UNAÍ</v>
      </c>
      <c r="E2540">
        <v>183</v>
      </c>
      <c r="F2540" t="s">
        <v>3485</v>
      </c>
      <c r="G2540" t="s">
        <v>3402</v>
      </c>
      <c r="H2540" t="s">
        <v>3401</v>
      </c>
      <c r="I2540">
        <v>5102</v>
      </c>
      <c r="J2540" s="3">
        <v>20</v>
      </c>
      <c r="K2540" s="3">
        <v>9.81</v>
      </c>
      <c r="L2540">
        <v>50.95</v>
      </c>
    </row>
    <row r="2541" spans="1:12">
      <c r="A2541" s="1">
        <v>46035</v>
      </c>
      <c r="B2541" t="s">
        <v>10117</v>
      </c>
      <c r="C2541">
        <v>15</v>
      </c>
      <c r="D2541" t="str">
        <f>VLOOKUP(Tabela26[[#This Row],[EMP]],[1]LOJA!$A:$B,2,0)</f>
        <v>UNAÍ</v>
      </c>
      <c r="E2541">
        <v>183</v>
      </c>
      <c r="F2541" t="s">
        <v>3488</v>
      </c>
      <c r="G2541" t="s">
        <v>3487</v>
      </c>
      <c r="H2541" t="s">
        <v>3430</v>
      </c>
      <c r="I2541">
        <v>5102</v>
      </c>
      <c r="J2541" s="3">
        <v>127.2</v>
      </c>
      <c r="K2541" s="3">
        <v>61.68</v>
      </c>
      <c r="L2541">
        <v>51.51</v>
      </c>
    </row>
    <row r="2542" spans="1:12">
      <c r="A2542" s="1">
        <v>46035</v>
      </c>
      <c r="B2542" t="s">
        <v>10116</v>
      </c>
      <c r="C2542">
        <v>15</v>
      </c>
      <c r="D2542" t="str">
        <f>VLOOKUP(Tabela26[[#This Row],[EMP]],[1]LOJA!$A:$B,2,0)</f>
        <v>UNAÍ</v>
      </c>
      <c r="E2542">
        <v>183</v>
      </c>
      <c r="F2542" t="s">
        <v>5763</v>
      </c>
      <c r="G2542" t="s">
        <v>5762</v>
      </c>
      <c r="H2542" t="s">
        <v>3401</v>
      </c>
      <c r="I2542">
        <v>5102</v>
      </c>
      <c r="J2542" s="3">
        <v>281.60000000000002</v>
      </c>
      <c r="K2542" s="3">
        <v>141.52000000000001</v>
      </c>
      <c r="L2542">
        <v>49.74</v>
      </c>
    </row>
    <row r="2543" spans="1:12">
      <c r="A2543" s="1">
        <v>46035</v>
      </c>
      <c r="B2543" t="s">
        <v>10115</v>
      </c>
      <c r="C2543">
        <v>15</v>
      </c>
      <c r="D2543" t="str">
        <f>VLOOKUP(Tabela26[[#This Row],[EMP]],[1]LOJA!$A:$B,2,0)</f>
        <v>UNAÍ</v>
      </c>
      <c r="E2543">
        <v>183</v>
      </c>
      <c r="F2543" t="s">
        <v>3485</v>
      </c>
      <c r="G2543" t="s">
        <v>3402</v>
      </c>
      <c r="H2543" t="s">
        <v>3401</v>
      </c>
      <c r="I2543">
        <v>5102</v>
      </c>
      <c r="J2543" s="3">
        <v>70</v>
      </c>
      <c r="K2543" s="3">
        <v>35.69</v>
      </c>
      <c r="L2543">
        <v>49.01</v>
      </c>
    </row>
    <row r="2544" spans="1:12">
      <c r="A2544" s="1">
        <v>46035</v>
      </c>
      <c r="B2544" t="s">
        <v>10114</v>
      </c>
      <c r="C2544">
        <v>15</v>
      </c>
      <c r="D2544" t="str">
        <f>VLOOKUP(Tabela26[[#This Row],[EMP]],[1]LOJA!$A:$B,2,0)</f>
        <v>UNAÍ</v>
      </c>
      <c r="E2544">
        <v>183</v>
      </c>
      <c r="F2544" t="s">
        <v>4025</v>
      </c>
      <c r="G2544" t="s">
        <v>4024</v>
      </c>
      <c r="H2544" t="s">
        <v>3401</v>
      </c>
      <c r="I2544">
        <v>5102</v>
      </c>
      <c r="J2544" s="3">
        <v>50</v>
      </c>
      <c r="K2544" s="3">
        <v>23.01</v>
      </c>
      <c r="L2544">
        <v>53.98</v>
      </c>
    </row>
    <row r="2545" spans="1:12">
      <c r="A2545" s="1">
        <v>46035</v>
      </c>
      <c r="B2545" t="s">
        <v>10113</v>
      </c>
      <c r="C2545">
        <v>15</v>
      </c>
      <c r="D2545" t="str">
        <f>VLOOKUP(Tabela26[[#This Row],[EMP]],[1]LOJA!$A:$B,2,0)</f>
        <v>UNAÍ</v>
      </c>
      <c r="E2545">
        <v>183</v>
      </c>
      <c r="F2545" t="s">
        <v>4720</v>
      </c>
      <c r="G2545" t="s">
        <v>4719</v>
      </c>
      <c r="H2545" t="s">
        <v>3401</v>
      </c>
      <c r="I2545">
        <v>5102</v>
      </c>
      <c r="J2545" s="3">
        <v>80</v>
      </c>
      <c r="K2545" s="3">
        <v>41.7</v>
      </c>
      <c r="L2545">
        <v>47.88</v>
      </c>
    </row>
    <row r="2546" spans="1:12">
      <c r="A2546" s="1">
        <v>46035</v>
      </c>
      <c r="B2546" t="s">
        <v>10112</v>
      </c>
      <c r="C2546">
        <v>15</v>
      </c>
      <c r="D2546" t="str">
        <f>VLOOKUP(Tabela26[[#This Row],[EMP]],[1]LOJA!$A:$B,2,0)</f>
        <v>UNAÍ</v>
      </c>
      <c r="E2546">
        <v>183</v>
      </c>
      <c r="F2546" t="s">
        <v>4037</v>
      </c>
      <c r="G2546" t="s">
        <v>4036</v>
      </c>
      <c r="H2546" t="s">
        <v>4142</v>
      </c>
      <c r="I2546">
        <v>5102</v>
      </c>
      <c r="J2546" s="3">
        <v>122.78</v>
      </c>
      <c r="K2546" s="3">
        <v>63.75</v>
      </c>
      <c r="L2546">
        <v>48.08</v>
      </c>
    </row>
    <row r="2547" spans="1:12">
      <c r="A2547" s="1">
        <v>46035</v>
      </c>
      <c r="B2547" t="s">
        <v>10111</v>
      </c>
      <c r="C2547">
        <v>15</v>
      </c>
      <c r="D2547" t="str">
        <f>VLOOKUP(Tabela26[[#This Row],[EMP]],[1]LOJA!$A:$B,2,0)</f>
        <v>UNAÍ</v>
      </c>
      <c r="E2547">
        <v>183</v>
      </c>
      <c r="F2547" t="s">
        <v>3485</v>
      </c>
      <c r="G2547" t="s">
        <v>3402</v>
      </c>
      <c r="H2547" t="s">
        <v>3401</v>
      </c>
      <c r="I2547">
        <v>5102</v>
      </c>
      <c r="J2547" s="3">
        <v>34</v>
      </c>
      <c r="K2547" s="3">
        <v>9.82</v>
      </c>
      <c r="L2547">
        <v>71.12</v>
      </c>
    </row>
    <row r="2548" spans="1:12">
      <c r="A2548" s="1">
        <v>46035</v>
      </c>
      <c r="B2548" t="s">
        <v>10110</v>
      </c>
      <c r="C2548">
        <v>15</v>
      </c>
      <c r="D2548" t="str">
        <f>VLOOKUP(Tabela26[[#This Row],[EMP]],[1]LOJA!$A:$B,2,0)</f>
        <v>UNAÍ</v>
      </c>
      <c r="E2548">
        <v>183</v>
      </c>
      <c r="F2548" t="s">
        <v>3969</v>
      </c>
      <c r="G2548" t="s">
        <v>3968</v>
      </c>
      <c r="H2548" t="s">
        <v>3401</v>
      </c>
      <c r="I2548">
        <v>5102</v>
      </c>
      <c r="J2548" s="3">
        <v>62.9</v>
      </c>
      <c r="K2548" s="3">
        <v>23.58</v>
      </c>
      <c r="L2548">
        <v>62.51</v>
      </c>
    </row>
    <row r="2549" spans="1:12">
      <c r="A2549" s="1">
        <v>46035</v>
      </c>
      <c r="B2549" t="s">
        <v>10109</v>
      </c>
      <c r="C2549">
        <v>15</v>
      </c>
      <c r="D2549" t="str">
        <f>VLOOKUP(Tabela26[[#This Row],[EMP]],[1]LOJA!$A:$B,2,0)</f>
        <v>UNAÍ</v>
      </c>
      <c r="E2549">
        <v>183</v>
      </c>
      <c r="F2549" t="s">
        <v>3485</v>
      </c>
      <c r="G2549" t="s">
        <v>3402</v>
      </c>
      <c r="H2549" t="s">
        <v>3401</v>
      </c>
      <c r="I2549">
        <v>5102</v>
      </c>
      <c r="J2549" s="3">
        <v>3.6</v>
      </c>
      <c r="K2549" s="3">
        <v>1.85</v>
      </c>
      <c r="L2549">
        <v>48.61</v>
      </c>
    </row>
    <row r="2550" spans="1:12">
      <c r="A2550" s="1">
        <v>46035</v>
      </c>
      <c r="B2550" t="s">
        <v>10108</v>
      </c>
      <c r="C2550">
        <v>15</v>
      </c>
      <c r="D2550" t="str">
        <f>VLOOKUP(Tabela26[[#This Row],[EMP]],[1]LOJA!$A:$B,2,0)</f>
        <v>UNAÍ</v>
      </c>
      <c r="E2550">
        <v>183</v>
      </c>
      <c r="F2550" t="s">
        <v>3485</v>
      </c>
      <c r="G2550" t="s">
        <v>3402</v>
      </c>
      <c r="H2550" t="s">
        <v>3408</v>
      </c>
      <c r="I2550">
        <v>5102</v>
      </c>
      <c r="J2550" s="3">
        <v>10.8</v>
      </c>
      <c r="K2550" s="3">
        <v>4.08</v>
      </c>
      <c r="L2550">
        <v>62.22</v>
      </c>
    </row>
    <row r="2551" spans="1:12">
      <c r="A2551" s="1">
        <v>46035</v>
      </c>
      <c r="B2551" t="s">
        <v>10107</v>
      </c>
      <c r="C2551">
        <v>15</v>
      </c>
      <c r="D2551" t="str">
        <f>VLOOKUP(Tabela26[[#This Row],[EMP]],[1]LOJA!$A:$B,2,0)</f>
        <v>UNAÍ</v>
      </c>
      <c r="E2551">
        <v>183</v>
      </c>
      <c r="F2551" t="s">
        <v>4689</v>
      </c>
      <c r="G2551" t="s">
        <v>4688</v>
      </c>
      <c r="H2551" t="s">
        <v>3430</v>
      </c>
      <c r="I2551">
        <v>5405</v>
      </c>
      <c r="J2551" s="3">
        <v>1388.89</v>
      </c>
      <c r="K2551" s="3">
        <v>612.41</v>
      </c>
      <c r="L2551">
        <v>55.91</v>
      </c>
    </row>
    <row r="2552" spans="1:12">
      <c r="A2552" s="1">
        <v>46035</v>
      </c>
      <c r="B2552" t="s">
        <v>10106</v>
      </c>
      <c r="C2552">
        <v>15</v>
      </c>
      <c r="D2552" t="str">
        <f>VLOOKUP(Tabela26[[#This Row],[EMP]],[1]LOJA!$A:$B,2,0)</f>
        <v>UNAÍ</v>
      </c>
      <c r="E2552">
        <v>183</v>
      </c>
      <c r="F2552" t="s">
        <v>3485</v>
      </c>
      <c r="G2552" t="s">
        <v>3402</v>
      </c>
      <c r="H2552" t="s">
        <v>3401</v>
      </c>
      <c r="I2552">
        <v>5102</v>
      </c>
      <c r="J2552" s="3">
        <v>321</v>
      </c>
      <c r="K2552" s="3">
        <v>145.83000000000001</v>
      </c>
      <c r="L2552">
        <v>54.57</v>
      </c>
    </row>
    <row r="2553" spans="1:12">
      <c r="A2553" s="1">
        <v>46035</v>
      </c>
      <c r="B2553" t="s">
        <v>10105</v>
      </c>
      <c r="C2553">
        <v>15</v>
      </c>
      <c r="D2553" t="str">
        <f>VLOOKUP(Tabela26[[#This Row],[EMP]],[1]LOJA!$A:$B,2,0)</f>
        <v>UNAÍ</v>
      </c>
      <c r="E2553">
        <v>183</v>
      </c>
      <c r="F2553" t="s">
        <v>3485</v>
      </c>
      <c r="G2553" t="s">
        <v>3402</v>
      </c>
      <c r="H2553" t="s">
        <v>3401</v>
      </c>
      <c r="I2553">
        <v>5102</v>
      </c>
      <c r="J2553" s="3">
        <v>59.8</v>
      </c>
      <c r="K2553" s="3">
        <v>29.86</v>
      </c>
      <c r="L2553">
        <v>50.07</v>
      </c>
    </row>
    <row r="2554" spans="1:12">
      <c r="A2554" s="1">
        <v>46035</v>
      </c>
      <c r="B2554" t="s">
        <v>10104</v>
      </c>
      <c r="C2554">
        <v>15</v>
      </c>
      <c r="D2554" t="str">
        <f>VLOOKUP(Tabela26[[#This Row],[EMP]],[1]LOJA!$A:$B,2,0)</f>
        <v>UNAÍ</v>
      </c>
      <c r="E2554">
        <v>183</v>
      </c>
      <c r="F2554" t="s">
        <v>4681</v>
      </c>
      <c r="G2554" t="s">
        <v>4680</v>
      </c>
      <c r="H2554" t="s">
        <v>3689</v>
      </c>
      <c r="I2554">
        <v>5102</v>
      </c>
      <c r="J2554" s="3">
        <v>88.5</v>
      </c>
      <c r="K2554" s="3">
        <v>43.9</v>
      </c>
      <c r="L2554">
        <v>50.4</v>
      </c>
    </row>
    <row r="2555" spans="1:12">
      <c r="A2555" s="1">
        <v>46035</v>
      </c>
      <c r="B2555" t="s">
        <v>10103</v>
      </c>
      <c r="C2555">
        <v>15</v>
      </c>
      <c r="D2555" t="str">
        <f>VLOOKUP(Tabela26[[#This Row],[EMP]],[1]LOJA!$A:$B,2,0)</f>
        <v>UNAÍ</v>
      </c>
      <c r="E2555">
        <v>183</v>
      </c>
      <c r="F2555" t="s">
        <v>4016</v>
      </c>
      <c r="G2555" t="s">
        <v>4015</v>
      </c>
      <c r="H2555" t="s">
        <v>4142</v>
      </c>
      <c r="I2555">
        <v>5102</v>
      </c>
      <c r="J2555" s="3">
        <v>95.3</v>
      </c>
      <c r="K2555" s="3">
        <v>51.57</v>
      </c>
      <c r="L2555">
        <v>45.89</v>
      </c>
    </row>
    <row r="2556" spans="1:12">
      <c r="A2556" s="1">
        <v>46035</v>
      </c>
      <c r="B2556" t="s">
        <v>10102</v>
      </c>
      <c r="C2556">
        <v>15</v>
      </c>
      <c r="D2556" t="str">
        <f>VLOOKUP(Tabela26[[#This Row],[EMP]],[1]LOJA!$A:$B,2,0)</f>
        <v>UNAÍ</v>
      </c>
      <c r="E2556">
        <v>183</v>
      </c>
      <c r="F2556" t="s">
        <v>4019</v>
      </c>
      <c r="G2556" t="s">
        <v>4018</v>
      </c>
      <c r="H2556" t="s">
        <v>3689</v>
      </c>
      <c r="I2556">
        <v>5102</v>
      </c>
      <c r="J2556" s="3">
        <v>82.42</v>
      </c>
      <c r="K2556" s="3">
        <v>42.22</v>
      </c>
      <c r="L2556">
        <v>48.77</v>
      </c>
    </row>
    <row r="2557" spans="1:12">
      <c r="A2557" s="1">
        <v>46035</v>
      </c>
      <c r="B2557" t="s">
        <v>10101</v>
      </c>
      <c r="C2557">
        <v>6</v>
      </c>
      <c r="D2557" t="str">
        <f>VLOOKUP(Tabela26[[#This Row],[EMP]],[1]LOJA!$A:$B,2,0)</f>
        <v>GAMA</v>
      </c>
      <c r="E2557">
        <v>226</v>
      </c>
      <c r="F2557" t="s">
        <v>4013</v>
      </c>
      <c r="G2557" t="s">
        <v>4012</v>
      </c>
      <c r="H2557" t="s">
        <v>3430</v>
      </c>
      <c r="I2557">
        <v>5102</v>
      </c>
      <c r="J2557" s="3">
        <v>70</v>
      </c>
      <c r="K2557" s="3">
        <v>37.700000000000003</v>
      </c>
      <c r="L2557">
        <v>46.14</v>
      </c>
    </row>
    <row r="2558" spans="1:12">
      <c r="A2558" s="1">
        <v>46035</v>
      </c>
      <c r="B2558" t="s">
        <v>10100</v>
      </c>
      <c r="C2558">
        <v>14</v>
      </c>
      <c r="D2558" t="str">
        <f>VLOOKUP(Tabela26[[#This Row],[EMP]],[1]LOJA!$A:$B,2,0)</f>
        <v>S IA</v>
      </c>
      <c r="E2558">
        <v>54</v>
      </c>
      <c r="F2558" t="s">
        <v>3478</v>
      </c>
      <c r="G2558" t="s">
        <v>3477</v>
      </c>
      <c r="H2558" t="s">
        <v>3408</v>
      </c>
      <c r="I2558">
        <v>5405</v>
      </c>
      <c r="J2558" s="3">
        <v>92</v>
      </c>
      <c r="K2558" s="3">
        <v>41.06</v>
      </c>
      <c r="L2558">
        <v>55.37</v>
      </c>
    </row>
    <row r="2559" spans="1:12">
      <c r="A2559" s="1">
        <v>46035</v>
      </c>
      <c r="B2559" t="s">
        <v>10099</v>
      </c>
      <c r="C2559">
        <v>14</v>
      </c>
      <c r="D2559" t="str">
        <f>VLOOKUP(Tabela26[[#This Row],[EMP]],[1]LOJA!$A:$B,2,0)</f>
        <v>S IA</v>
      </c>
      <c r="E2559">
        <v>54</v>
      </c>
      <c r="F2559" t="s">
        <v>3403</v>
      </c>
      <c r="G2559" t="s">
        <v>3402</v>
      </c>
      <c r="H2559" t="s">
        <v>3401</v>
      </c>
      <c r="I2559">
        <v>5102</v>
      </c>
      <c r="J2559" s="3">
        <v>18</v>
      </c>
      <c r="K2559" s="3">
        <v>8.34</v>
      </c>
      <c r="L2559">
        <v>53.67</v>
      </c>
    </row>
    <row r="2560" spans="1:12">
      <c r="A2560" s="1">
        <v>46035</v>
      </c>
      <c r="B2560" t="s">
        <v>10098</v>
      </c>
      <c r="C2560">
        <v>14</v>
      </c>
      <c r="D2560" t="str">
        <f>VLOOKUP(Tabela26[[#This Row],[EMP]],[1]LOJA!$A:$B,2,0)</f>
        <v>S IA</v>
      </c>
      <c r="E2560">
        <v>212</v>
      </c>
      <c r="F2560" t="s">
        <v>3403</v>
      </c>
      <c r="G2560" t="s">
        <v>3402</v>
      </c>
      <c r="H2560" t="s">
        <v>3401</v>
      </c>
      <c r="I2560">
        <v>5102</v>
      </c>
      <c r="J2560" s="3">
        <v>50</v>
      </c>
      <c r="K2560" s="3">
        <v>27.6</v>
      </c>
      <c r="L2560">
        <v>44.8</v>
      </c>
    </row>
    <row r="2561" spans="1:12">
      <c r="A2561" s="1">
        <v>46035</v>
      </c>
      <c r="B2561" t="s">
        <v>10097</v>
      </c>
      <c r="C2561">
        <v>14</v>
      </c>
      <c r="D2561" t="str">
        <f>VLOOKUP(Tabela26[[#This Row],[EMP]],[1]LOJA!$A:$B,2,0)</f>
        <v>S IA</v>
      </c>
      <c r="E2561">
        <v>54</v>
      </c>
      <c r="F2561" t="s">
        <v>6410</v>
      </c>
      <c r="G2561" t="s">
        <v>6409</v>
      </c>
      <c r="H2561" t="s">
        <v>3430</v>
      </c>
      <c r="I2561">
        <v>5405</v>
      </c>
      <c r="J2561" s="3">
        <v>233.01</v>
      </c>
      <c r="K2561" s="3">
        <v>140.56</v>
      </c>
      <c r="L2561">
        <v>39.68</v>
      </c>
    </row>
    <row r="2562" spans="1:12">
      <c r="A2562" s="1">
        <v>46035</v>
      </c>
      <c r="B2562" t="s">
        <v>10096</v>
      </c>
      <c r="C2562">
        <v>14</v>
      </c>
      <c r="D2562" t="str">
        <f>VLOOKUP(Tabela26[[#This Row],[EMP]],[1]LOJA!$A:$B,2,0)</f>
        <v>S IA</v>
      </c>
      <c r="E2562">
        <v>212</v>
      </c>
      <c r="F2562" t="s">
        <v>3403</v>
      </c>
      <c r="G2562" t="s">
        <v>3402</v>
      </c>
      <c r="H2562" t="s">
        <v>3401</v>
      </c>
      <c r="I2562">
        <v>5102</v>
      </c>
      <c r="J2562" s="3">
        <v>32</v>
      </c>
      <c r="K2562" s="3">
        <v>16.28</v>
      </c>
      <c r="L2562">
        <v>49.13</v>
      </c>
    </row>
    <row r="2563" spans="1:12">
      <c r="A2563" s="1">
        <v>46035</v>
      </c>
      <c r="B2563" t="s">
        <v>10095</v>
      </c>
      <c r="C2563">
        <v>14</v>
      </c>
      <c r="D2563" t="str">
        <f>VLOOKUP(Tabela26[[#This Row],[EMP]],[1]LOJA!$A:$B,2,0)</f>
        <v>S IA</v>
      </c>
      <c r="E2563">
        <v>212</v>
      </c>
      <c r="F2563" t="s">
        <v>3403</v>
      </c>
      <c r="G2563" t="s">
        <v>3402</v>
      </c>
      <c r="H2563" t="s">
        <v>3401</v>
      </c>
      <c r="I2563">
        <v>5102</v>
      </c>
      <c r="J2563" s="3">
        <v>54.8</v>
      </c>
      <c r="K2563" s="3">
        <v>26.98</v>
      </c>
      <c r="L2563">
        <v>50.77</v>
      </c>
    </row>
    <row r="2564" spans="1:12">
      <c r="A2564" s="1">
        <v>46035</v>
      </c>
      <c r="B2564" t="s">
        <v>10094</v>
      </c>
      <c r="C2564">
        <v>14</v>
      </c>
      <c r="D2564" t="str">
        <f>VLOOKUP(Tabela26[[#This Row],[EMP]],[1]LOJA!$A:$B,2,0)</f>
        <v>S IA</v>
      </c>
      <c r="E2564">
        <v>54</v>
      </c>
      <c r="F2564" t="s">
        <v>3403</v>
      </c>
      <c r="G2564" t="s">
        <v>3402</v>
      </c>
      <c r="H2564" t="s">
        <v>3401</v>
      </c>
      <c r="I2564">
        <v>5102</v>
      </c>
      <c r="J2564" s="3">
        <v>38</v>
      </c>
      <c r="K2564" s="3">
        <v>15.36</v>
      </c>
      <c r="L2564">
        <v>59.58</v>
      </c>
    </row>
    <row r="2565" spans="1:12">
      <c r="A2565" s="1">
        <v>46035</v>
      </c>
      <c r="B2565" t="s">
        <v>10093</v>
      </c>
      <c r="C2565">
        <v>14</v>
      </c>
      <c r="D2565" t="str">
        <f>VLOOKUP(Tabela26[[#This Row],[EMP]],[1]LOJA!$A:$B,2,0)</f>
        <v>S IA</v>
      </c>
      <c r="E2565">
        <v>212</v>
      </c>
      <c r="F2565" t="s">
        <v>3403</v>
      </c>
      <c r="G2565" t="s">
        <v>3402</v>
      </c>
      <c r="H2565" t="s">
        <v>3401</v>
      </c>
      <c r="I2565">
        <v>5102</v>
      </c>
      <c r="J2565" s="3">
        <v>24.9</v>
      </c>
      <c r="K2565" s="3">
        <v>16.84</v>
      </c>
      <c r="L2565">
        <v>32.369999999999997</v>
      </c>
    </row>
    <row r="2566" spans="1:12">
      <c r="A2566" s="1">
        <v>46035</v>
      </c>
      <c r="B2566" t="s">
        <v>10092</v>
      </c>
      <c r="C2566">
        <v>14</v>
      </c>
      <c r="D2566" t="str">
        <f>VLOOKUP(Tabela26[[#This Row],[EMP]],[1]LOJA!$A:$B,2,0)</f>
        <v>S IA</v>
      </c>
      <c r="E2566">
        <v>54</v>
      </c>
      <c r="F2566" t="s">
        <v>3769</v>
      </c>
      <c r="G2566" t="s">
        <v>3768</v>
      </c>
      <c r="H2566" t="s">
        <v>3401</v>
      </c>
      <c r="I2566">
        <v>5102</v>
      </c>
      <c r="J2566" s="3">
        <v>139.55000000000001</v>
      </c>
      <c r="K2566" s="3">
        <v>62</v>
      </c>
      <c r="L2566">
        <v>55.57</v>
      </c>
    </row>
    <row r="2567" spans="1:12">
      <c r="A2567" s="1">
        <v>46035</v>
      </c>
      <c r="B2567" t="s">
        <v>10091</v>
      </c>
      <c r="C2567">
        <v>14</v>
      </c>
      <c r="D2567" t="str">
        <f>VLOOKUP(Tabela26[[#This Row],[EMP]],[1]LOJA!$A:$B,2,0)</f>
        <v>S IA</v>
      </c>
      <c r="E2567">
        <v>212</v>
      </c>
      <c r="F2567" t="s">
        <v>3989</v>
      </c>
      <c r="G2567" t="s">
        <v>3988</v>
      </c>
      <c r="H2567" t="s">
        <v>3430</v>
      </c>
      <c r="I2567">
        <v>5405</v>
      </c>
      <c r="J2567" s="3">
        <v>350.74</v>
      </c>
      <c r="K2567" s="3">
        <v>191.73</v>
      </c>
      <c r="L2567">
        <v>45.34</v>
      </c>
    </row>
    <row r="2568" spans="1:12">
      <c r="A2568" s="1">
        <v>46035</v>
      </c>
      <c r="B2568" t="s">
        <v>10090</v>
      </c>
      <c r="C2568">
        <v>14</v>
      </c>
      <c r="D2568" t="str">
        <f>VLOOKUP(Tabela26[[#This Row],[EMP]],[1]LOJA!$A:$B,2,0)</f>
        <v>S IA</v>
      </c>
      <c r="E2568">
        <v>54</v>
      </c>
      <c r="F2568" t="s">
        <v>6410</v>
      </c>
      <c r="G2568" t="s">
        <v>6409</v>
      </c>
      <c r="H2568" t="s">
        <v>3430</v>
      </c>
      <c r="I2568">
        <v>5102</v>
      </c>
      <c r="J2568" s="3">
        <v>313.33999999999997</v>
      </c>
      <c r="K2568" s="3">
        <v>172.44</v>
      </c>
      <c r="L2568">
        <v>44.97</v>
      </c>
    </row>
    <row r="2569" spans="1:12">
      <c r="A2569" s="1">
        <v>46035</v>
      </c>
      <c r="B2569" t="s">
        <v>10089</v>
      </c>
      <c r="C2569">
        <v>14</v>
      </c>
      <c r="D2569" t="str">
        <f>VLOOKUP(Tabela26[[#This Row],[EMP]],[1]LOJA!$A:$B,2,0)</f>
        <v>S IA</v>
      </c>
      <c r="E2569">
        <v>212</v>
      </c>
      <c r="F2569" t="s">
        <v>5589</v>
      </c>
      <c r="G2569" t="s">
        <v>3402</v>
      </c>
      <c r="H2569" t="s">
        <v>3408</v>
      </c>
      <c r="I2569">
        <v>5405</v>
      </c>
      <c r="J2569" s="3">
        <v>159.65</v>
      </c>
      <c r="K2569" s="3">
        <v>83.24</v>
      </c>
      <c r="L2569">
        <v>47.86</v>
      </c>
    </row>
    <row r="2570" spans="1:12">
      <c r="A2570" s="1">
        <v>46035</v>
      </c>
      <c r="B2570" t="s">
        <v>10088</v>
      </c>
      <c r="C2570">
        <v>14</v>
      </c>
      <c r="D2570" t="str">
        <f>VLOOKUP(Tabela26[[#This Row],[EMP]],[1]LOJA!$A:$B,2,0)</f>
        <v>S IA</v>
      </c>
      <c r="E2570">
        <v>54</v>
      </c>
      <c r="F2570" t="s">
        <v>3403</v>
      </c>
      <c r="G2570" t="s">
        <v>3402</v>
      </c>
      <c r="H2570" t="s">
        <v>3401</v>
      </c>
      <c r="I2570">
        <v>5102</v>
      </c>
      <c r="J2570" s="3">
        <v>9</v>
      </c>
      <c r="K2570" s="3">
        <v>4.4800000000000004</v>
      </c>
      <c r="L2570">
        <v>50.22</v>
      </c>
    </row>
    <row r="2571" spans="1:12">
      <c r="A2571" s="1">
        <v>46035</v>
      </c>
      <c r="B2571" t="s">
        <v>10087</v>
      </c>
      <c r="C2571">
        <v>14</v>
      </c>
      <c r="D2571" t="str">
        <f>VLOOKUP(Tabela26[[#This Row],[EMP]],[1]LOJA!$A:$B,2,0)</f>
        <v>S IA</v>
      </c>
      <c r="E2571">
        <v>54</v>
      </c>
      <c r="F2571" t="s">
        <v>3403</v>
      </c>
      <c r="G2571" t="s">
        <v>3402</v>
      </c>
      <c r="H2571" t="s">
        <v>3401</v>
      </c>
      <c r="I2571">
        <v>5405</v>
      </c>
      <c r="J2571" s="3">
        <v>69</v>
      </c>
      <c r="K2571" s="3">
        <v>34.36</v>
      </c>
      <c r="L2571">
        <v>50.2</v>
      </c>
    </row>
    <row r="2572" spans="1:12">
      <c r="A2572" s="1">
        <v>46035</v>
      </c>
      <c r="B2572" t="s">
        <v>10086</v>
      </c>
      <c r="C2572">
        <v>14</v>
      </c>
      <c r="D2572" t="str">
        <f>VLOOKUP(Tabela26[[#This Row],[EMP]],[1]LOJA!$A:$B,2,0)</f>
        <v>S IA</v>
      </c>
      <c r="E2572">
        <v>54</v>
      </c>
      <c r="F2572" t="s">
        <v>5251</v>
      </c>
      <c r="G2572" t="s">
        <v>7587</v>
      </c>
      <c r="H2572" t="s">
        <v>3401</v>
      </c>
      <c r="I2572">
        <v>5102</v>
      </c>
      <c r="J2572" s="3">
        <v>11.7</v>
      </c>
      <c r="K2572" s="3">
        <v>5.55</v>
      </c>
      <c r="L2572">
        <v>52.56</v>
      </c>
    </row>
    <row r="2573" spans="1:12">
      <c r="A2573" s="1">
        <v>46035</v>
      </c>
      <c r="B2573" t="s">
        <v>10085</v>
      </c>
      <c r="C2573">
        <v>14</v>
      </c>
      <c r="D2573" t="str">
        <f>VLOOKUP(Tabela26[[#This Row],[EMP]],[1]LOJA!$A:$B,2,0)</f>
        <v>S IA</v>
      </c>
      <c r="E2573">
        <v>54</v>
      </c>
      <c r="F2573" t="s">
        <v>3403</v>
      </c>
      <c r="G2573" t="s">
        <v>3402</v>
      </c>
      <c r="H2573" t="s">
        <v>3401</v>
      </c>
      <c r="I2573">
        <v>5102</v>
      </c>
      <c r="J2573" s="3">
        <v>30</v>
      </c>
      <c r="K2573" s="3">
        <v>13.51</v>
      </c>
      <c r="L2573">
        <v>54.97</v>
      </c>
    </row>
    <row r="2574" spans="1:12">
      <c r="A2574" s="1">
        <v>46035</v>
      </c>
      <c r="B2574" t="s">
        <v>10084</v>
      </c>
      <c r="C2574">
        <v>14</v>
      </c>
      <c r="D2574" t="str">
        <f>VLOOKUP(Tabela26[[#This Row],[EMP]],[1]LOJA!$A:$B,2,0)</f>
        <v>S IA</v>
      </c>
      <c r="E2574">
        <v>54</v>
      </c>
      <c r="F2574" t="s">
        <v>3403</v>
      </c>
      <c r="G2574" t="s">
        <v>3402</v>
      </c>
      <c r="H2574" t="s">
        <v>3401</v>
      </c>
      <c r="I2574">
        <v>5102</v>
      </c>
      <c r="J2574" s="3">
        <v>22</v>
      </c>
      <c r="K2574" s="3">
        <v>10.25</v>
      </c>
      <c r="L2574">
        <v>53.41</v>
      </c>
    </row>
    <row r="2575" spans="1:12">
      <c r="A2575" s="1">
        <v>46035</v>
      </c>
      <c r="B2575" t="s">
        <v>10083</v>
      </c>
      <c r="C2575">
        <v>14</v>
      </c>
      <c r="D2575" t="str">
        <f>VLOOKUP(Tabela26[[#This Row],[EMP]],[1]LOJA!$A:$B,2,0)</f>
        <v>S IA</v>
      </c>
      <c r="E2575">
        <v>54</v>
      </c>
      <c r="F2575" t="s">
        <v>3403</v>
      </c>
      <c r="G2575" t="s">
        <v>3402</v>
      </c>
      <c r="H2575" t="s">
        <v>3401</v>
      </c>
      <c r="I2575">
        <v>5102</v>
      </c>
      <c r="J2575" s="3">
        <v>6</v>
      </c>
      <c r="K2575" s="3">
        <v>3.08</v>
      </c>
      <c r="L2575">
        <v>48.67</v>
      </c>
    </row>
    <row r="2576" spans="1:12">
      <c r="A2576" s="1">
        <v>46035</v>
      </c>
      <c r="B2576" t="s">
        <v>10082</v>
      </c>
      <c r="C2576">
        <v>14</v>
      </c>
      <c r="D2576" t="str">
        <f>VLOOKUP(Tabela26[[#This Row],[EMP]],[1]LOJA!$A:$B,2,0)</f>
        <v>S IA</v>
      </c>
      <c r="E2576">
        <v>212</v>
      </c>
      <c r="F2576" t="s">
        <v>3403</v>
      </c>
      <c r="G2576" t="s">
        <v>3402</v>
      </c>
      <c r="H2576" t="s">
        <v>3401</v>
      </c>
      <c r="I2576">
        <v>5405</v>
      </c>
      <c r="J2576" s="3">
        <v>48</v>
      </c>
      <c r="K2576" s="3">
        <v>17.48</v>
      </c>
      <c r="L2576">
        <v>63.58</v>
      </c>
    </row>
    <row r="2577" spans="1:12">
      <c r="A2577" s="1">
        <v>46035</v>
      </c>
      <c r="B2577" t="s">
        <v>10081</v>
      </c>
      <c r="C2577">
        <v>14</v>
      </c>
      <c r="D2577" t="str">
        <f>VLOOKUP(Tabela26[[#This Row],[EMP]],[1]LOJA!$A:$B,2,0)</f>
        <v>S IA</v>
      </c>
      <c r="E2577">
        <v>212</v>
      </c>
      <c r="F2577" t="s">
        <v>3403</v>
      </c>
      <c r="G2577" t="s">
        <v>3402</v>
      </c>
      <c r="H2577" t="s">
        <v>3401</v>
      </c>
      <c r="I2577">
        <v>5102</v>
      </c>
      <c r="J2577" s="3">
        <v>142</v>
      </c>
      <c r="K2577" s="3">
        <v>72.69</v>
      </c>
      <c r="L2577">
        <v>48.81</v>
      </c>
    </row>
    <row r="2578" spans="1:12">
      <c r="A2578" s="1">
        <v>46035</v>
      </c>
      <c r="B2578" t="s">
        <v>10080</v>
      </c>
      <c r="C2578">
        <v>14</v>
      </c>
      <c r="D2578" t="str">
        <f>VLOOKUP(Tabela26[[#This Row],[EMP]],[1]LOJA!$A:$B,2,0)</f>
        <v>S IA</v>
      </c>
      <c r="E2578">
        <v>54</v>
      </c>
      <c r="F2578" t="s">
        <v>5251</v>
      </c>
      <c r="G2578" t="s">
        <v>7587</v>
      </c>
      <c r="H2578" t="s">
        <v>3401</v>
      </c>
      <c r="I2578">
        <v>5405</v>
      </c>
      <c r="J2578" s="3">
        <v>55</v>
      </c>
      <c r="K2578" s="3">
        <v>26.53</v>
      </c>
      <c r="L2578">
        <v>51.76</v>
      </c>
    </row>
    <row r="2579" spans="1:12">
      <c r="A2579" s="1">
        <v>46035</v>
      </c>
      <c r="B2579" t="s">
        <v>10079</v>
      </c>
      <c r="C2579">
        <v>14</v>
      </c>
      <c r="D2579" t="str">
        <f>VLOOKUP(Tabela26[[#This Row],[EMP]],[1]LOJA!$A:$B,2,0)</f>
        <v>S IA</v>
      </c>
      <c r="E2579">
        <v>212</v>
      </c>
      <c r="F2579" t="s">
        <v>3403</v>
      </c>
      <c r="G2579" t="s">
        <v>3402</v>
      </c>
      <c r="H2579" t="s">
        <v>3401</v>
      </c>
      <c r="I2579">
        <v>5102</v>
      </c>
      <c r="J2579" s="3">
        <v>180</v>
      </c>
      <c r="K2579" s="3">
        <v>79.739999999999995</v>
      </c>
      <c r="L2579">
        <v>55.7</v>
      </c>
    </row>
    <row r="2580" spans="1:12">
      <c r="A2580" s="1">
        <v>46035</v>
      </c>
      <c r="B2580" t="s">
        <v>10078</v>
      </c>
      <c r="C2580">
        <v>14</v>
      </c>
      <c r="D2580" t="str">
        <f>VLOOKUP(Tabela26[[#This Row],[EMP]],[1]LOJA!$A:$B,2,0)</f>
        <v>S IA</v>
      </c>
      <c r="E2580">
        <v>212</v>
      </c>
      <c r="F2580" t="s">
        <v>3403</v>
      </c>
      <c r="G2580" t="s">
        <v>3402</v>
      </c>
      <c r="H2580" t="s">
        <v>3401</v>
      </c>
      <c r="I2580">
        <v>5405</v>
      </c>
      <c r="J2580" s="3">
        <v>192</v>
      </c>
      <c r="K2580" s="3">
        <v>61.1</v>
      </c>
      <c r="L2580">
        <v>68.180000000000007</v>
      </c>
    </row>
    <row r="2581" spans="1:12">
      <c r="A2581" s="1">
        <v>46035</v>
      </c>
      <c r="B2581" t="s">
        <v>10077</v>
      </c>
      <c r="C2581">
        <v>15</v>
      </c>
      <c r="D2581" t="str">
        <f>VLOOKUP(Tabela26[[#This Row],[EMP]],[1]LOJA!$A:$B,2,0)</f>
        <v>UNAÍ</v>
      </c>
      <c r="E2581">
        <v>183</v>
      </c>
      <c r="F2581" t="s">
        <v>10076</v>
      </c>
      <c r="G2581" t="s">
        <v>10075</v>
      </c>
      <c r="H2581" t="s">
        <v>3408</v>
      </c>
      <c r="I2581">
        <v>5102</v>
      </c>
      <c r="J2581" s="3">
        <v>45.8</v>
      </c>
      <c r="K2581" s="3">
        <v>23.1</v>
      </c>
      <c r="L2581">
        <v>49.56</v>
      </c>
    </row>
    <row r="2582" spans="1:12">
      <c r="A2582" s="1">
        <v>46035</v>
      </c>
      <c r="B2582" t="s">
        <v>10074</v>
      </c>
      <c r="C2582">
        <v>15</v>
      </c>
      <c r="D2582" t="str">
        <f>VLOOKUP(Tabela26[[#This Row],[EMP]],[1]LOJA!$A:$B,2,0)</f>
        <v>UNAÍ</v>
      </c>
      <c r="E2582">
        <v>183</v>
      </c>
      <c r="F2582" t="s">
        <v>4029</v>
      </c>
      <c r="G2582" t="s">
        <v>4028</v>
      </c>
      <c r="H2582" t="s">
        <v>3401</v>
      </c>
      <c r="I2582">
        <v>5102</v>
      </c>
      <c r="J2582" s="3">
        <v>45</v>
      </c>
      <c r="K2582" s="3">
        <v>22.18</v>
      </c>
      <c r="L2582">
        <v>50.71</v>
      </c>
    </row>
    <row r="2583" spans="1:12">
      <c r="A2583" s="1">
        <v>46035</v>
      </c>
      <c r="B2583" t="s">
        <v>10073</v>
      </c>
      <c r="C2583">
        <v>15</v>
      </c>
      <c r="D2583" t="str">
        <f>VLOOKUP(Tabela26[[#This Row],[EMP]],[1]LOJA!$A:$B,2,0)</f>
        <v>UNAÍ</v>
      </c>
      <c r="E2583">
        <v>183</v>
      </c>
      <c r="F2583" t="s">
        <v>3957</v>
      </c>
      <c r="G2583" t="s">
        <v>3956</v>
      </c>
      <c r="H2583" t="s">
        <v>3401</v>
      </c>
      <c r="I2583">
        <v>5102</v>
      </c>
      <c r="J2583" s="3">
        <v>51</v>
      </c>
      <c r="K2583" s="3">
        <v>28.98</v>
      </c>
      <c r="L2583">
        <v>43.18</v>
      </c>
    </row>
    <row r="2584" spans="1:12">
      <c r="A2584" s="1">
        <v>46035</v>
      </c>
      <c r="B2584" t="s">
        <v>10072</v>
      </c>
      <c r="C2584">
        <v>15</v>
      </c>
      <c r="D2584" t="str">
        <f>VLOOKUP(Tabela26[[#This Row],[EMP]],[1]LOJA!$A:$B,2,0)</f>
        <v>UNAÍ</v>
      </c>
      <c r="E2584">
        <v>183</v>
      </c>
      <c r="F2584" t="s">
        <v>3969</v>
      </c>
      <c r="G2584" t="s">
        <v>3968</v>
      </c>
      <c r="H2584" t="s">
        <v>3401</v>
      </c>
      <c r="I2584">
        <v>5102</v>
      </c>
      <c r="J2584" s="3">
        <v>35</v>
      </c>
      <c r="K2584" s="3">
        <v>16.170000000000002</v>
      </c>
      <c r="L2584">
        <v>53.8</v>
      </c>
    </row>
    <row r="2585" spans="1:12">
      <c r="A2585" s="1">
        <v>46035</v>
      </c>
      <c r="B2585" t="s">
        <v>10071</v>
      </c>
      <c r="C2585">
        <v>15</v>
      </c>
      <c r="D2585" t="str">
        <f>VLOOKUP(Tabela26[[#This Row],[EMP]],[1]LOJA!$A:$B,2,0)</f>
        <v>UNAÍ</v>
      </c>
      <c r="E2585">
        <v>183</v>
      </c>
      <c r="F2585" t="s">
        <v>4714</v>
      </c>
      <c r="G2585" t="s">
        <v>4713</v>
      </c>
      <c r="H2585" t="s">
        <v>3401</v>
      </c>
      <c r="I2585">
        <v>5102</v>
      </c>
      <c r="J2585" s="3">
        <v>29.5</v>
      </c>
      <c r="K2585" s="3">
        <v>14.74</v>
      </c>
      <c r="L2585">
        <v>50.03</v>
      </c>
    </row>
    <row r="2586" spans="1:12">
      <c r="A2586" s="1">
        <v>46035</v>
      </c>
      <c r="B2586" t="s">
        <v>10070</v>
      </c>
      <c r="C2586">
        <v>15</v>
      </c>
      <c r="D2586" t="str">
        <f>VLOOKUP(Tabela26[[#This Row],[EMP]],[1]LOJA!$A:$B,2,0)</f>
        <v>UNAÍ</v>
      </c>
      <c r="E2586">
        <v>183</v>
      </c>
      <c r="F2586" t="s">
        <v>5290</v>
      </c>
      <c r="G2586" t="s">
        <v>5289</v>
      </c>
      <c r="H2586" t="s">
        <v>3401</v>
      </c>
      <c r="I2586">
        <v>5102</v>
      </c>
      <c r="J2586" s="3">
        <v>64</v>
      </c>
      <c r="K2586" s="3">
        <v>32.619999999999997</v>
      </c>
      <c r="L2586">
        <v>49.03</v>
      </c>
    </row>
    <row r="2587" spans="1:12">
      <c r="A2587" s="1">
        <v>46035</v>
      </c>
      <c r="B2587" t="s">
        <v>10069</v>
      </c>
      <c r="C2587">
        <v>15</v>
      </c>
      <c r="D2587" t="str">
        <f>VLOOKUP(Tabela26[[#This Row],[EMP]],[1]LOJA!$A:$B,2,0)</f>
        <v>UNAÍ</v>
      </c>
      <c r="E2587">
        <v>183</v>
      </c>
      <c r="F2587" t="s">
        <v>3963</v>
      </c>
      <c r="G2587" t="s">
        <v>3962</v>
      </c>
      <c r="H2587" t="s">
        <v>3401</v>
      </c>
      <c r="I2587">
        <v>5102</v>
      </c>
      <c r="J2587" s="3">
        <v>54</v>
      </c>
      <c r="K2587" s="3">
        <v>26.53</v>
      </c>
      <c r="L2587">
        <v>50.87</v>
      </c>
    </row>
    <row r="2588" spans="1:12">
      <c r="A2588" s="1">
        <v>46035</v>
      </c>
      <c r="B2588" t="s">
        <v>10068</v>
      </c>
      <c r="C2588">
        <v>15</v>
      </c>
      <c r="D2588" t="str">
        <f>VLOOKUP(Tabela26[[#This Row],[EMP]],[1]LOJA!$A:$B,2,0)</f>
        <v>UNAÍ</v>
      </c>
      <c r="E2588">
        <v>183</v>
      </c>
      <c r="F2588" t="s">
        <v>5296</v>
      </c>
      <c r="G2588" t="s">
        <v>5295</v>
      </c>
      <c r="H2588" t="s">
        <v>3401</v>
      </c>
      <c r="I2588">
        <v>5102</v>
      </c>
      <c r="J2588" s="3">
        <v>47.5</v>
      </c>
      <c r="K2588" s="3">
        <v>23.26</v>
      </c>
      <c r="L2588">
        <v>51.03</v>
      </c>
    </row>
    <row r="2589" spans="1:12">
      <c r="A2589" s="1">
        <v>46035</v>
      </c>
      <c r="B2589" t="s">
        <v>10067</v>
      </c>
      <c r="C2589">
        <v>15</v>
      </c>
      <c r="D2589" t="str">
        <f>VLOOKUP(Tabela26[[#This Row],[EMP]],[1]LOJA!$A:$B,2,0)</f>
        <v>UNAÍ</v>
      </c>
      <c r="E2589">
        <v>183</v>
      </c>
      <c r="F2589" t="s">
        <v>3960</v>
      </c>
      <c r="G2589" t="s">
        <v>3959</v>
      </c>
      <c r="H2589" t="s">
        <v>3408</v>
      </c>
      <c r="I2589">
        <v>5102</v>
      </c>
      <c r="J2589" s="3">
        <v>57.4</v>
      </c>
      <c r="K2589" s="3">
        <v>30.79</v>
      </c>
      <c r="L2589">
        <v>46.36</v>
      </c>
    </row>
    <row r="2590" spans="1:12">
      <c r="A2590" s="1">
        <v>46035</v>
      </c>
      <c r="B2590" t="s">
        <v>10066</v>
      </c>
      <c r="C2590">
        <v>15</v>
      </c>
      <c r="D2590" t="str">
        <f>VLOOKUP(Tabela26[[#This Row],[EMP]],[1]LOJA!$A:$B,2,0)</f>
        <v>UNAÍ</v>
      </c>
      <c r="E2590">
        <v>183</v>
      </c>
      <c r="F2590" t="s">
        <v>5766</v>
      </c>
      <c r="G2590" t="s">
        <v>5765</v>
      </c>
      <c r="H2590" t="s">
        <v>3408</v>
      </c>
      <c r="I2590">
        <v>5102</v>
      </c>
      <c r="J2590" s="3">
        <v>92</v>
      </c>
      <c r="K2590" s="3">
        <v>48.53</v>
      </c>
      <c r="L2590">
        <v>47.25</v>
      </c>
    </row>
    <row r="2591" spans="1:12">
      <c r="A2591" s="1">
        <v>46035</v>
      </c>
      <c r="B2591" t="s">
        <v>10065</v>
      </c>
      <c r="C2591">
        <v>15</v>
      </c>
      <c r="D2591" t="str">
        <f>VLOOKUP(Tabela26[[#This Row],[EMP]],[1]LOJA!$A:$B,2,0)</f>
        <v>UNAÍ</v>
      </c>
      <c r="E2591">
        <v>183</v>
      </c>
      <c r="F2591" t="s">
        <v>4701</v>
      </c>
      <c r="G2591" t="s">
        <v>4700</v>
      </c>
      <c r="H2591" t="s">
        <v>3401</v>
      </c>
      <c r="I2591">
        <v>5102</v>
      </c>
      <c r="J2591" s="3">
        <v>36</v>
      </c>
      <c r="K2591" s="3">
        <v>18</v>
      </c>
      <c r="L2591">
        <v>50</v>
      </c>
    </row>
    <row r="2592" spans="1:12">
      <c r="A2592" s="1">
        <v>46035</v>
      </c>
      <c r="B2592" t="s">
        <v>10064</v>
      </c>
      <c r="C2592">
        <v>12</v>
      </c>
      <c r="D2592" t="str">
        <f>VLOOKUP(Tabela26[[#This Row],[EMP]],[1]LOJA!$A:$B,2,0)</f>
        <v>SOFNORTE</v>
      </c>
      <c r="E2592">
        <v>60</v>
      </c>
      <c r="F2592" t="s">
        <v>5057</v>
      </c>
      <c r="G2592" t="s">
        <v>5056</v>
      </c>
      <c r="H2592" t="s">
        <v>3430</v>
      </c>
      <c r="I2592">
        <v>5405</v>
      </c>
      <c r="J2592" s="3">
        <v>238</v>
      </c>
      <c r="K2592" s="3">
        <v>110.93</v>
      </c>
      <c r="L2592">
        <v>53.39</v>
      </c>
    </row>
    <row r="2593" spans="1:12">
      <c r="A2593" s="1">
        <v>46035</v>
      </c>
      <c r="B2593" t="s">
        <v>10063</v>
      </c>
      <c r="C2593">
        <v>12</v>
      </c>
      <c r="D2593" t="str">
        <f>VLOOKUP(Tabela26[[#This Row],[EMP]],[1]LOJA!$A:$B,2,0)</f>
        <v>SOFNORTE</v>
      </c>
      <c r="E2593">
        <v>60</v>
      </c>
      <c r="F2593" t="s">
        <v>3461</v>
      </c>
      <c r="G2593" t="s">
        <v>3460</v>
      </c>
      <c r="H2593" t="s">
        <v>3430</v>
      </c>
      <c r="I2593">
        <v>5405</v>
      </c>
      <c r="J2593" s="3">
        <v>25.79</v>
      </c>
      <c r="K2593" s="3">
        <v>12.29</v>
      </c>
      <c r="L2593">
        <v>52.35</v>
      </c>
    </row>
    <row r="2594" spans="1:12">
      <c r="A2594" s="1">
        <v>46035</v>
      </c>
      <c r="B2594" t="s">
        <v>10062</v>
      </c>
      <c r="C2594">
        <v>12</v>
      </c>
      <c r="D2594" t="str">
        <f>VLOOKUP(Tabela26[[#This Row],[EMP]],[1]LOJA!$A:$B,2,0)</f>
        <v>SOFNORTE</v>
      </c>
      <c r="E2594">
        <v>60</v>
      </c>
      <c r="F2594" t="s">
        <v>3698</v>
      </c>
      <c r="G2594" t="s">
        <v>3697</v>
      </c>
      <c r="H2594" t="s">
        <v>3408</v>
      </c>
      <c r="I2594">
        <v>5102</v>
      </c>
      <c r="J2594" s="3">
        <v>1300</v>
      </c>
      <c r="K2594" s="3">
        <v>843.53</v>
      </c>
      <c r="L2594">
        <v>35.11</v>
      </c>
    </row>
    <row r="2595" spans="1:12">
      <c r="A2595" s="1">
        <v>46035</v>
      </c>
      <c r="B2595" t="s">
        <v>10061</v>
      </c>
      <c r="C2595">
        <v>12</v>
      </c>
      <c r="D2595" t="str">
        <f>VLOOKUP(Tabela26[[#This Row],[EMP]],[1]LOJA!$A:$B,2,0)</f>
        <v>SOFNORTE</v>
      </c>
      <c r="E2595">
        <v>60</v>
      </c>
      <c r="F2595" t="s">
        <v>3461</v>
      </c>
      <c r="G2595" t="s">
        <v>3460</v>
      </c>
      <c r="H2595" t="s">
        <v>3430</v>
      </c>
      <c r="I2595">
        <v>5405</v>
      </c>
      <c r="J2595" s="3">
        <v>111.12</v>
      </c>
      <c r="K2595" s="3">
        <v>49.38</v>
      </c>
      <c r="L2595">
        <v>55.56</v>
      </c>
    </row>
    <row r="2596" spans="1:12">
      <c r="A2596" s="1">
        <v>46035</v>
      </c>
      <c r="B2596" t="s">
        <v>10060</v>
      </c>
      <c r="C2596">
        <v>12</v>
      </c>
      <c r="D2596" t="str">
        <f>VLOOKUP(Tabela26[[#This Row],[EMP]],[1]LOJA!$A:$B,2,0)</f>
        <v>SOFNORTE</v>
      </c>
      <c r="E2596">
        <v>60</v>
      </c>
      <c r="F2596" t="s">
        <v>3948</v>
      </c>
      <c r="G2596" t="s">
        <v>3947</v>
      </c>
      <c r="H2596" t="s">
        <v>3430</v>
      </c>
      <c r="I2596">
        <v>5405</v>
      </c>
      <c r="J2596" s="3">
        <v>168.78</v>
      </c>
      <c r="K2596" s="3">
        <v>83.55</v>
      </c>
      <c r="L2596">
        <v>50.5</v>
      </c>
    </row>
    <row r="2597" spans="1:12">
      <c r="A2597" s="1">
        <v>46035</v>
      </c>
      <c r="B2597" t="s">
        <v>10059</v>
      </c>
      <c r="C2597">
        <v>12</v>
      </c>
      <c r="D2597" t="str">
        <f>VLOOKUP(Tabela26[[#This Row],[EMP]],[1]LOJA!$A:$B,2,0)</f>
        <v>SOFNORTE</v>
      </c>
      <c r="E2597">
        <v>60</v>
      </c>
      <c r="F2597" t="s">
        <v>3948</v>
      </c>
      <c r="G2597" t="s">
        <v>3947</v>
      </c>
      <c r="H2597" t="s">
        <v>3430</v>
      </c>
      <c r="I2597">
        <v>5102</v>
      </c>
      <c r="J2597" s="3">
        <v>51.21</v>
      </c>
      <c r="K2597" s="3">
        <v>25.46</v>
      </c>
      <c r="L2597">
        <v>50.28</v>
      </c>
    </row>
    <row r="2598" spans="1:12">
      <c r="A2598" s="1">
        <v>46035</v>
      </c>
      <c r="B2598" t="s">
        <v>10058</v>
      </c>
      <c r="C2598">
        <v>12</v>
      </c>
      <c r="D2598" t="str">
        <f>VLOOKUP(Tabela26[[#This Row],[EMP]],[1]LOJA!$A:$B,2,0)</f>
        <v>SOFNORTE</v>
      </c>
      <c r="E2598">
        <v>60</v>
      </c>
      <c r="F2598" t="s">
        <v>3953</v>
      </c>
      <c r="G2598" t="s">
        <v>3952</v>
      </c>
      <c r="H2598" t="s">
        <v>3430</v>
      </c>
      <c r="I2598">
        <v>5405</v>
      </c>
      <c r="J2598" s="3">
        <v>134</v>
      </c>
      <c r="K2598" s="3">
        <v>62.5</v>
      </c>
      <c r="L2598">
        <v>53.36</v>
      </c>
    </row>
    <row r="2599" spans="1:12">
      <c r="A2599" s="1">
        <v>46035</v>
      </c>
      <c r="B2599" t="s">
        <v>10057</v>
      </c>
      <c r="C2599">
        <v>12</v>
      </c>
      <c r="D2599" t="str">
        <f>VLOOKUP(Tabela26[[#This Row],[EMP]],[1]LOJA!$A:$B,2,0)</f>
        <v>SOFNORTE</v>
      </c>
      <c r="E2599">
        <v>60</v>
      </c>
      <c r="F2599" t="s">
        <v>4817</v>
      </c>
      <c r="G2599" t="s">
        <v>4816</v>
      </c>
      <c r="H2599" t="s">
        <v>3430</v>
      </c>
      <c r="I2599">
        <v>5405</v>
      </c>
      <c r="J2599" s="3">
        <v>1155.75</v>
      </c>
      <c r="K2599" s="3">
        <v>570.62</v>
      </c>
      <c r="L2599">
        <v>50.63</v>
      </c>
    </row>
    <row r="2600" spans="1:12">
      <c r="A2600" s="1">
        <v>46035</v>
      </c>
      <c r="B2600" t="s">
        <v>10056</v>
      </c>
      <c r="C2600">
        <v>12</v>
      </c>
      <c r="D2600" t="str">
        <f>VLOOKUP(Tabela26[[#This Row],[EMP]],[1]LOJA!$A:$B,2,0)</f>
        <v>SOFNORTE</v>
      </c>
      <c r="E2600">
        <v>60</v>
      </c>
      <c r="F2600" t="s">
        <v>3461</v>
      </c>
      <c r="G2600" t="s">
        <v>3460</v>
      </c>
      <c r="H2600" t="s">
        <v>3430</v>
      </c>
      <c r="I2600">
        <v>5405</v>
      </c>
      <c r="J2600" s="3">
        <v>81.22</v>
      </c>
      <c r="K2600" s="3">
        <v>40.270000000000003</v>
      </c>
      <c r="L2600">
        <v>50.42</v>
      </c>
    </row>
    <row r="2601" spans="1:12">
      <c r="A2601" s="1">
        <v>46035</v>
      </c>
      <c r="B2601" t="s">
        <v>10055</v>
      </c>
      <c r="C2601">
        <v>12</v>
      </c>
      <c r="D2601" t="str">
        <f>VLOOKUP(Tabela26[[#This Row],[EMP]],[1]LOJA!$A:$B,2,0)</f>
        <v>SOFNORTE</v>
      </c>
      <c r="E2601">
        <v>60</v>
      </c>
      <c r="F2601" t="s">
        <v>4817</v>
      </c>
      <c r="G2601" t="s">
        <v>4816</v>
      </c>
      <c r="H2601" t="s">
        <v>3430</v>
      </c>
      <c r="I2601">
        <v>5102</v>
      </c>
      <c r="J2601" s="3">
        <v>264.3</v>
      </c>
      <c r="K2601" s="3">
        <v>163.35</v>
      </c>
      <c r="L2601">
        <v>38.200000000000003</v>
      </c>
    </row>
    <row r="2602" spans="1:12">
      <c r="A2602" s="1">
        <v>46035</v>
      </c>
      <c r="B2602" t="s">
        <v>10054</v>
      </c>
      <c r="C2602">
        <v>12</v>
      </c>
      <c r="D2602" t="str">
        <f>VLOOKUP(Tabela26[[#This Row],[EMP]],[1]LOJA!$A:$B,2,0)</f>
        <v>SOFNORTE</v>
      </c>
      <c r="E2602">
        <v>60</v>
      </c>
      <c r="F2602" t="s">
        <v>10053</v>
      </c>
      <c r="G2602" t="s">
        <v>10052</v>
      </c>
      <c r="H2602" t="s">
        <v>3745</v>
      </c>
      <c r="I2602">
        <v>5405</v>
      </c>
      <c r="J2602" s="3">
        <v>1509.6</v>
      </c>
      <c r="K2602" s="3">
        <v>809.76</v>
      </c>
      <c r="L2602">
        <v>46.36</v>
      </c>
    </row>
    <row r="2603" spans="1:12">
      <c r="A2603" s="1">
        <v>46035</v>
      </c>
      <c r="B2603" t="s">
        <v>10051</v>
      </c>
      <c r="C2603">
        <v>22</v>
      </c>
      <c r="D2603" t="str">
        <f>VLOOKUP(Tabela26[[#This Row],[EMP]],[1]LOJA!$A:$B,2,0)</f>
        <v>GUARÁ</v>
      </c>
      <c r="E2603">
        <v>93</v>
      </c>
      <c r="F2603" t="s">
        <v>3983</v>
      </c>
      <c r="G2603" t="s">
        <v>3982</v>
      </c>
      <c r="H2603" t="s">
        <v>3408</v>
      </c>
      <c r="I2603">
        <v>5405</v>
      </c>
      <c r="J2603" s="3">
        <v>777</v>
      </c>
      <c r="K2603" s="3">
        <v>414.93</v>
      </c>
      <c r="L2603">
        <v>46.6</v>
      </c>
    </row>
    <row r="2604" spans="1:12">
      <c r="A2604" s="1">
        <v>46035</v>
      </c>
      <c r="B2604" t="s">
        <v>10050</v>
      </c>
      <c r="C2604">
        <v>12</v>
      </c>
      <c r="D2604" t="str">
        <f>VLOOKUP(Tabela26[[#This Row],[EMP]],[1]LOJA!$A:$B,2,0)</f>
        <v>SOFNORTE</v>
      </c>
      <c r="E2604">
        <v>60</v>
      </c>
      <c r="F2604" t="s">
        <v>3931</v>
      </c>
      <c r="G2604" t="s">
        <v>3930</v>
      </c>
      <c r="H2604" t="s">
        <v>10049</v>
      </c>
      <c r="I2604">
        <v>5405</v>
      </c>
      <c r="J2604" s="3">
        <v>33</v>
      </c>
      <c r="K2604" s="3">
        <v>14.59</v>
      </c>
      <c r="L2604">
        <v>55.79</v>
      </c>
    </row>
    <row r="2605" spans="1:12">
      <c r="A2605" s="1">
        <v>46035</v>
      </c>
      <c r="B2605" t="s">
        <v>10048</v>
      </c>
      <c r="C2605">
        <v>22</v>
      </c>
      <c r="D2605" t="str">
        <f>VLOOKUP(Tabela26[[#This Row],[EMP]],[1]LOJA!$A:$B,2,0)</f>
        <v>GUARÁ</v>
      </c>
      <c r="E2605">
        <v>93</v>
      </c>
      <c r="F2605" t="s">
        <v>7276</v>
      </c>
      <c r="G2605" t="s">
        <v>3402</v>
      </c>
      <c r="H2605" t="s">
        <v>3408</v>
      </c>
      <c r="I2605">
        <v>5405</v>
      </c>
      <c r="J2605" s="3">
        <v>212</v>
      </c>
      <c r="K2605" s="3">
        <v>109.19</v>
      </c>
      <c r="L2605">
        <v>48.5</v>
      </c>
    </row>
    <row r="2606" spans="1:12">
      <c r="A2606" s="1">
        <v>46035</v>
      </c>
      <c r="B2606" t="s">
        <v>10047</v>
      </c>
      <c r="C2606">
        <v>22</v>
      </c>
      <c r="D2606" t="str">
        <f>VLOOKUP(Tabela26[[#This Row],[EMP]],[1]LOJA!$A:$B,2,0)</f>
        <v>GUARÁ</v>
      </c>
      <c r="E2606">
        <v>93</v>
      </c>
      <c r="F2606" t="s">
        <v>4588</v>
      </c>
      <c r="G2606" t="s">
        <v>3402</v>
      </c>
      <c r="H2606" t="s">
        <v>3401</v>
      </c>
      <c r="I2606">
        <v>5405</v>
      </c>
      <c r="J2606" s="3">
        <v>26</v>
      </c>
      <c r="K2606" s="3">
        <v>12.81</v>
      </c>
      <c r="L2606">
        <v>50.73</v>
      </c>
    </row>
    <row r="2607" spans="1:12">
      <c r="A2607" s="1">
        <v>46035</v>
      </c>
      <c r="B2607" t="s">
        <v>10046</v>
      </c>
      <c r="C2607">
        <v>12</v>
      </c>
      <c r="D2607" t="str">
        <f>VLOOKUP(Tabela26[[#This Row],[EMP]],[1]LOJA!$A:$B,2,0)</f>
        <v>SOFNORTE</v>
      </c>
      <c r="E2607">
        <v>60</v>
      </c>
      <c r="F2607" t="s">
        <v>10045</v>
      </c>
      <c r="G2607" t="s">
        <v>10044</v>
      </c>
      <c r="H2607" t="s">
        <v>3430</v>
      </c>
      <c r="I2607">
        <v>5405</v>
      </c>
      <c r="J2607" s="3">
        <v>643</v>
      </c>
      <c r="K2607" s="3">
        <v>277.77</v>
      </c>
      <c r="L2607">
        <v>56.8</v>
      </c>
    </row>
    <row r="2608" spans="1:12">
      <c r="A2608" s="1">
        <v>46035</v>
      </c>
      <c r="B2608" t="s">
        <v>10043</v>
      </c>
      <c r="C2608">
        <v>22</v>
      </c>
      <c r="D2608" t="str">
        <f>VLOOKUP(Tabela26[[#This Row],[EMP]],[1]LOJA!$A:$B,2,0)</f>
        <v>GUARÁ</v>
      </c>
      <c r="E2608">
        <v>93</v>
      </c>
      <c r="F2608" t="s">
        <v>8449</v>
      </c>
      <c r="G2608" t="s">
        <v>8448</v>
      </c>
      <c r="H2608" t="s">
        <v>3401</v>
      </c>
      <c r="I2608">
        <v>5405</v>
      </c>
      <c r="J2608" s="3">
        <v>52</v>
      </c>
      <c r="K2608" s="3">
        <v>23.39</v>
      </c>
      <c r="L2608">
        <v>55.02</v>
      </c>
    </row>
    <row r="2609" spans="1:12">
      <c r="A2609" s="1">
        <v>46035</v>
      </c>
      <c r="B2609" t="s">
        <v>10042</v>
      </c>
      <c r="C2609">
        <v>12</v>
      </c>
      <c r="D2609" t="str">
        <f>VLOOKUP(Tabela26[[#This Row],[EMP]],[1]LOJA!$A:$B,2,0)</f>
        <v>SOFNORTE</v>
      </c>
      <c r="E2609">
        <v>60</v>
      </c>
      <c r="F2609" t="s">
        <v>5223</v>
      </c>
      <c r="G2609" t="s">
        <v>5222</v>
      </c>
      <c r="H2609" t="s">
        <v>3430</v>
      </c>
      <c r="I2609">
        <v>5405</v>
      </c>
      <c r="J2609" s="3">
        <v>398.15</v>
      </c>
      <c r="K2609" s="3">
        <v>206.87</v>
      </c>
      <c r="L2609">
        <v>48.04</v>
      </c>
    </row>
    <row r="2610" spans="1:12">
      <c r="A2610" s="1">
        <v>46035</v>
      </c>
      <c r="B2610" t="s">
        <v>10041</v>
      </c>
      <c r="C2610">
        <v>22</v>
      </c>
      <c r="D2610" t="str">
        <f>VLOOKUP(Tabela26[[#This Row],[EMP]],[1]LOJA!$A:$B,2,0)</f>
        <v>GUARÁ</v>
      </c>
      <c r="E2610">
        <v>16</v>
      </c>
      <c r="F2610" t="s">
        <v>3403</v>
      </c>
      <c r="G2610" t="s">
        <v>3402</v>
      </c>
      <c r="H2610" t="s">
        <v>3401</v>
      </c>
      <c r="I2610">
        <v>5102</v>
      </c>
      <c r="J2610" s="3">
        <v>84</v>
      </c>
      <c r="K2610" s="3">
        <v>43.07</v>
      </c>
      <c r="L2610">
        <v>48.73</v>
      </c>
    </row>
    <row r="2611" spans="1:12">
      <c r="A2611" s="1">
        <v>46035</v>
      </c>
      <c r="B2611" t="s">
        <v>10040</v>
      </c>
      <c r="C2611">
        <v>12</v>
      </c>
      <c r="D2611" t="str">
        <f>VLOOKUP(Tabela26[[#This Row],[EMP]],[1]LOJA!$A:$B,2,0)</f>
        <v>SOFNORTE</v>
      </c>
      <c r="E2611">
        <v>60</v>
      </c>
      <c r="F2611" t="s">
        <v>5223</v>
      </c>
      <c r="G2611" t="s">
        <v>5222</v>
      </c>
      <c r="H2611" t="s">
        <v>3430</v>
      </c>
      <c r="I2611">
        <v>5405</v>
      </c>
      <c r="J2611" s="3">
        <v>128.77000000000001</v>
      </c>
      <c r="K2611" s="3">
        <v>59.89</v>
      </c>
      <c r="L2611">
        <v>53.49</v>
      </c>
    </row>
    <row r="2612" spans="1:12">
      <c r="A2612" s="1">
        <v>46035</v>
      </c>
      <c r="B2612" t="s">
        <v>10039</v>
      </c>
      <c r="C2612">
        <v>22</v>
      </c>
      <c r="D2612" t="str">
        <f>VLOOKUP(Tabela26[[#This Row],[EMP]],[1]LOJA!$A:$B,2,0)</f>
        <v>GUARÁ</v>
      </c>
      <c r="E2612">
        <v>93</v>
      </c>
      <c r="F2612" t="s">
        <v>3403</v>
      </c>
      <c r="G2612" t="s">
        <v>3402</v>
      </c>
      <c r="H2612" t="s">
        <v>3401</v>
      </c>
      <c r="I2612">
        <v>5102</v>
      </c>
      <c r="J2612" s="3">
        <v>32</v>
      </c>
      <c r="K2612" s="3">
        <v>18.62</v>
      </c>
      <c r="L2612">
        <v>41.81</v>
      </c>
    </row>
    <row r="2613" spans="1:12">
      <c r="A2613" s="1">
        <v>46035</v>
      </c>
      <c r="B2613" t="s">
        <v>10038</v>
      </c>
      <c r="C2613">
        <v>12</v>
      </c>
      <c r="D2613" t="str">
        <f>VLOOKUP(Tabela26[[#This Row],[EMP]],[1]LOJA!$A:$B,2,0)</f>
        <v>SOFNORTE</v>
      </c>
      <c r="E2613">
        <v>60</v>
      </c>
      <c r="F2613" t="s">
        <v>3925</v>
      </c>
      <c r="G2613" t="s">
        <v>3924</v>
      </c>
      <c r="H2613" t="s">
        <v>3430</v>
      </c>
      <c r="I2613">
        <v>5405</v>
      </c>
      <c r="J2613" s="3">
        <v>123</v>
      </c>
      <c r="K2613" s="3">
        <v>54.96</v>
      </c>
      <c r="L2613">
        <v>55.32</v>
      </c>
    </row>
    <row r="2614" spans="1:12">
      <c r="A2614" s="1">
        <v>46035</v>
      </c>
      <c r="B2614" t="s">
        <v>10037</v>
      </c>
      <c r="C2614">
        <v>22</v>
      </c>
      <c r="D2614" t="str">
        <f>VLOOKUP(Tabela26[[#This Row],[EMP]],[1]LOJA!$A:$B,2,0)</f>
        <v>GUARÁ</v>
      </c>
      <c r="E2614">
        <v>93</v>
      </c>
      <c r="F2614" t="s">
        <v>4597</v>
      </c>
      <c r="G2614" t="s">
        <v>4596</v>
      </c>
      <c r="H2614" t="s">
        <v>3401</v>
      </c>
      <c r="I2614">
        <v>5405</v>
      </c>
      <c r="J2614" s="3">
        <v>97</v>
      </c>
      <c r="K2614" s="3">
        <v>49.96</v>
      </c>
      <c r="L2614">
        <v>48.49</v>
      </c>
    </row>
    <row r="2615" spans="1:12">
      <c r="A2615" s="1">
        <v>46035</v>
      </c>
      <c r="B2615" t="s">
        <v>10036</v>
      </c>
      <c r="C2615">
        <v>12</v>
      </c>
      <c r="D2615" t="str">
        <f>VLOOKUP(Tabela26[[#This Row],[EMP]],[1]LOJA!$A:$B,2,0)</f>
        <v>SOFNORTE</v>
      </c>
      <c r="E2615">
        <v>60</v>
      </c>
      <c r="F2615" t="s">
        <v>3945</v>
      </c>
      <c r="G2615" t="s">
        <v>3944</v>
      </c>
      <c r="H2615" t="s">
        <v>3430</v>
      </c>
      <c r="I2615">
        <v>5405</v>
      </c>
      <c r="J2615" s="3">
        <v>1627.28</v>
      </c>
      <c r="K2615" s="3">
        <v>825.24</v>
      </c>
      <c r="L2615">
        <v>49.29</v>
      </c>
    </row>
    <row r="2616" spans="1:12">
      <c r="A2616" s="1">
        <v>46035</v>
      </c>
      <c r="B2616" t="s">
        <v>10035</v>
      </c>
      <c r="C2616">
        <v>22</v>
      </c>
      <c r="D2616" t="str">
        <f>VLOOKUP(Tabela26[[#This Row],[EMP]],[1]LOJA!$A:$B,2,0)</f>
        <v>GUARÁ</v>
      </c>
      <c r="E2616">
        <v>93</v>
      </c>
      <c r="F2616" t="s">
        <v>10034</v>
      </c>
      <c r="G2616" t="s">
        <v>10033</v>
      </c>
      <c r="H2616" t="s">
        <v>3408</v>
      </c>
      <c r="I2616">
        <v>5102</v>
      </c>
      <c r="J2616" s="3">
        <v>115.26</v>
      </c>
      <c r="K2616" s="3">
        <v>60.66</v>
      </c>
      <c r="L2616">
        <v>47.37</v>
      </c>
    </row>
    <row r="2617" spans="1:12">
      <c r="A2617" s="1">
        <v>46035</v>
      </c>
      <c r="B2617" t="s">
        <v>10032</v>
      </c>
      <c r="C2617">
        <v>12</v>
      </c>
      <c r="D2617" t="str">
        <f>VLOOKUP(Tabela26[[#This Row],[EMP]],[1]LOJA!$A:$B,2,0)</f>
        <v>SOFNORTE</v>
      </c>
      <c r="E2617">
        <v>60</v>
      </c>
      <c r="F2617" t="s">
        <v>3458</v>
      </c>
      <c r="G2617" t="s">
        <v>3457</v>
      </c>
      <c r="H2617" t="s">
        <v>3430</v>
      </c>
      <c r="I2617">
        <v>5405</v>
      </c>
      <c r="J2617" s="3">
        <v>589.02</v>
      </c>
      <c r="K2617" s="3">
        <v>274.95</v>
      </c>
      <c r="L2617">
        <v>53.32</v>
      </c>
    </row>
    <row r="2618" spans="1:12">
      <c r="A2618" s="1">
        <v>46035</v>
      </c>
      <c r="B2618" t="s">
        <v>10031</v>
      </c>
      <c r="C2618">
        <v>22</v>
      </c>
      <c r="D2618" t="str">
        <f>VLOOKUP(Tabela26[[#This Row],[EMP]],[1]LOJA!$A:$B,2,0)</f>
        <v>GUARÁ</v>
      </c>
      <c r="E2618">
        <v>93</v>
      </c>
      <c r="F2618" t="s">
        <v>3403</v>
      </c>
      <c r="G2618" t="s">
        <v>3402</v>
      </c>
      <c r="H2618" t="s">
        <v>3401</v>
      </c>
      <c r="I2618">
        <v>5405</v>
      </c>
      <c r="J2618" s="3">
        <v>46</v>
      </c>
      <c r="K2618" s="3">
        <v>20.53</v>
      </c>
      <c r="L2618">
        <v>55.37</v>
      </c>
    </row>
    <row r="2619" spans="1:12">
      <c r="A2619" s="1">
        <v>46035</v>
      </c>
      <c r="B2619" t="s">
        <v>10030</v>
      </c>
      <c r="C2619">
        <v>12</v>
      </c>
      <c r="D2619" t="str">
        <f>VLOOKUP(Tabela26[[#This Row],[EMP]],[1]LOJA!$A:$B,2,0)</f>
        <v>SOFNORTE</v>
      </c>
      <c r="E2619">
        <v>239</v>
      </c>
      <c r="F2619" t="s">
        <v>5057</v>
      </c>
      <c r="G2619" t="s">
        <v>5056</v>
      </c>
      <c r="H2619" t="s">
        <v>3430</v>
      </c>
      <c r="I2619">
        <v>5102</v>
      </c>
      <c r="J2619" s="3">
        <v>592.78</v>
      </c>
      <c r="K2619" s="3">
        <v>303.45999999999998</v>
      </c>
      <c r="L2619">
        <v>48.81</v>
      </c>
    </row>
    <row r="2620" spans="1:12">
      <c r="A2620" s="1">
        <v>46035</v>
      </c>
      <c r="B2620" t="s">
        <v>10029</v>
      </c>
      <c r="C2620">
        <v>22</v>
      </c>
      <c r="D2620" t="str">
        <f>VLOOKUP(Tabela26[[#This Row],[EMP]],[1]LOJA!$A:$B,2,0)</f>
        <v>GUARÁ</v>
      </c>
      <c r="E2620">
        <v>93</v>
      </c>
      <c r="F2620" t="s">
        <v>3403</v>
      </c>
      <c r="G2620" t="s">
        <v>3402</v>
      </c>
      <c r="H2620" t="s">
        <v>3408</v>
      </c>
      <c r="I2620">
        <v>5405</v>
      </c>
      <c r="J2620" s="3">
        <v>34.770000000000003</v>
      </c>
      <c r="K2620" s="3">
        <v>12.36</v>
      </c>
      <c r="L2620">
        <v>64.45</v>
      </c>
    </row>
    <row r="2621" spans="1:12">
      <c r="A2621" s="1">
        <v>46035</v>
      </c>
      <c r="B2621" t="s">
        <v>10028</v>
      </c>
      <c r="C2621">
        <v>22</v>
      </c>
      <c r="D2621" t="str">
        <f>VLOOKUP(Tabela26[[#This Row],[EMP]],[1]LOJA!$A:$B,2,0)</f>
        <v>GUARÁ</v>
      </c>
      <c r="E2621">
        <v>93</v>
      </c>
      <c r="F2621" t="s">
        <v>4603</v>
      </c>
      <c r="G2621" t="s">
        <v>4602</v>
      </c>
      <c r="H2621" t="s">
        <v>3408</v>
      </c>
      <c r="I2621">
        <v>5102</v>
      </c>
      <c r="J2621" s="3">
        <v>3.83</v>
      </c>
      <c r="K2621" s="3">
        <v>1.93</v>
      </c>
      <c r="L2621">
        <v>49.61</v>
      </c>
    </row>
    <row r="2622" spans="1:12">
      <c r="A2622" s="1">
        <v>46035</v>
      </c>
      <c r="B2622" t="s">
        <v>10027</v>
      </c>
      <c r="C2622">
        <v>22</v>
      </c>
      <c r="D2622" t="str">
        <f>VLOOKUP(Tabela26[[#This Row],[EMP]],[1]LOJA!$A:$B,2,0)</f>
        <v>GUARÁ</v>
      </c>
      <c r="E2622">
        <v>93</v>
      </c>
      <c r="F2622" t="s">
        <v>10025</v>
      </c>
      <c r="G2622" t="s">
        <v>10024</v>
      </c>
      <c r="H2622" t="s">
        <v>3401</v>
      </c>
      <c r="I2622">
        <v>5405</v>
      </c>
      <c r="J2622" s="3">
        <v>53</v>
      </c>
      <c r="K2622" s="3">
        <v>19.22</v>
      </c>
      <c r="L2622">
        <v>63.74</v>
      </c>
    </row>
    <row r="2623" spans="1:12">
      <c r="A2623" s="1">
        <v>46035</v>
      </c>
      <c r="B2623" t="s">
        <v>10026</v>
      </c>
      <c r="C2623">
        <v>22</v>
      </c>
      <c r="D2623" t="str">
        <f>VLOOKUP(Tabela26[[#This Row],[EMP]],[1]LOJA!$A:$B,2,0)</f>
        <v>GUARÁ</v>
      </c>
      <c r="E2623">
        <v>93</v>
      </c>
      <c r="F2623" t="s">
        <v>10025</v>
      </c>
      <c r="G2623" t="s">
        <v>10024</v>
      </c>
      <c r="H2623" t="s">
        <v>3401</v>
      </c>
      <c r="I2623">
        <v>5405</v>
      </c>
      <c r="J2623" s="3">
        <v>18</v>
      </c>
      <c r="K2623" s="3">
        <v>7.42</v>
      </c>
      <c r="L2623">
        <v>58.78</v>
      </c>
    </row>
    <row r="2624" spans="1:12">
      <c r="A2624" s="1">
        <v>46035</v>
      </c>
      <c r="B2624" t="s">
        <v>10023</v>
      </c>
      <c r="C2624">
        <v>22</v>
      </c>
      <c r="D2624" t="str">
        <f>VLOOKUP(Tabela26[[#This Row],[EMP]],[1]LOJA!$A:$B,2,0)</f>
        <v>GUARÁ</v>
      </c>
      <c r="E2624">
        <v>16</v>
      </c>
      <c r="F2624" t="s">
        <v>3403</v>
      </c>
      <c r="G2624" t="s">
        <v>3402</v>
      </c>
      <c r="H2624" t="s">
        <v>3401</v>
      </c>
      <c r="I2624">
        <v>5102</v>
      </c>
      <c r="J2624" s="3">
        <v>73</v>
      </c>
      <c r="K2624" s="3">
        <v>40.15</v>
      </c>
      <c r="L2624">
        <v>45</v>
      </c>
    </row>
    <row r="2625" spans="1:12">
      <c r="A2625" s="1">
        <v>46035</v>
      </c>
      <c r="B2625" t="s">
        <v>10022</v>
      </c>
      <c r="C2625">
        <v>22</v>
      </c>
      <c r="D2625" t="str">
        <f>VLOOKUP(Tabela26[[#This Row],[EMP]],[1]LOJA!$A:$B,2,0)</f>
        <v>GUARÁ</v>
      </c>
      <c r="E2625">
        <v>16</v>
      </c>
      <c r="F2625" t="s">
        <v>3403</v>
      </c>
      <c r="G2625" t="s">
        <v>3402</v>
      </c>
      <c r="H2625" t="s">
        <v>3401</v>
      </c>
      <c r="I2625">
        <v>5405</v>
      </c>
      <c r="J2625" s="3">
        <v>40</v>
      </c>
      <c r="K2625" s="3">
        <v>19.350000000000001</v>
      </c>
      <c r="L2625">
        <v>51.63</v>
      </c>
    </row>
    <row r="2626" spans="1:12">
      <c r="A2626" s="1">
        <v>46035</v>
      </c>
      <c r="B2626" t="s">
        <v>10021</v>
      </c>
      <c r="C2626">
        <v>22</v>
      </c>
      <c r="D2626" t="str">
        <f>VLOOKUP(Tabela26[[#This Row],[EMP]],[1]LOJA!$A:$B,2,0)</f>
        <v>GUARÁ</v>
      </c>
      <c r="E2626">
        <v>16</v>
      </c>
      <c r="F2626" t="s">
        <v>3403</v>
      </c>
      <c r="G2626" t="s">
        <v>3402</v>
      </c>
      <c r="H2626" t="s">
        <v>3401</v>
      </c>
      <c r="I2626">
        <v>5102</v>
      </c>
      <c r="J2626" s="3">
        <v>9</v>
      </c>
      <c r="K2626" s="3">
        <v>4.16</v>
      </c>
      <c r="L2626">
        <v>53.78</v>
      </c>
    </row>
    <row r="2627" spans="1:12">
      <c r="A2627" s="1">
        <v>46035</v>
      </c>
      <c r="B2627" t="s">
        <v>10020</v>
      </c>
      <c r="C2627">
        <v>22</v>
      </c>
      <c r="D2627" t="str">
        <f>VLOOKUP(Tabela26[[#This Row],[EMP]],[1]LOJA!$A:$B,2,0)</f>
        <v>GUARÁ</v>
      </c>
      <c r="E2627">
        <v>93</v>
      </c>
      <c r="F2627" t="s">
        <v>3403</v>
      </c>
      <c r="G2627" t="s">
        <v>3402</v>
      </c>
      <c r="H2627" t="s">
        <v>3401</v>
      </c>
      <c r="I2627">
        <v>5102</v>
      </c>
      <c r="J2627" s="3">
        <v>23</v>
      </c>
      <c r="K2627" s="3">
        <v>13.12</v>
      </c>
      <c r="L2627">
        <v>42.96</v>
      </c>
    </row>
    <row r="2628" spans="1:12">
      <c r="A2628" s="1">
        <v>46035</v>
      </c>
      <c r="B2628" t="s">
        <v>10019</v>
      </c>
      <c r="C2628">
        <v>22</v>
      </c>
      <c r="D2628" t="str">
        <f>VLOOKUP(Tabela26[[#This Row],[EMP]],[1]LOJA!$A:$B,2,0)</f>
        <v>GUARÁ</v>
      </c>
      <c r="E2628">
        <v>93</v>
      </c>
      <c r="F2628" t="s">
        <v>3403</v>
      </c>
      <c r="G2628" t="s">
        <v>3402</v>
      </c>
      <c r="H2628" t="s">
        <v>3401</v>
      </c>
      <c r="I2628">
        <v>5102</v>
      </c>
      <c r="J2628" s="3">
        <v>32</v>
      </c>
      <c r="K2628" s="3">
        <v>16.329999999999998</v>
      </c>
      <c r="L2628">
        <v>48.97</v>
      </c>
    </row>
    <row r="2629" spans="1:12">
      <c r="A2629" s="1">
        <v>46035</v>
      </c>
      <c r="B2629" t="s">
        <v>10018</v>
      </c>
      <c r="C2629">
        <v>22</v>
      </c>
      <c r="D2629" t="str">
        <f>VLOOKUP(Tabela26[[#This Row],[EMP]],[1]LOJA!$A:$B,2,0)</f>
        <v>GUARÁ</v>
      </c>
      <c r="E2629">
        <v>93</v>
      </c>
      <c r="F2629" t="s">
        <v>3870</v>
      </c>
      <c r="G2629" t="s">
        <v>3869</v>
      </c>
      <c r="H2629" t="s">
        <v>3401</v>
      </c>
      <c r="I2629">
        <v>5405</v>
      </c>
      <c r="J2629" s="3">
        <v>130</v>
      </c>
      <c r="K2629" s="3">
        <v>68.22</v>
      </c>
      <c r="L2629">
        <v>47.52</v>
      </c>
    </row>
    <row r="2630" spans="1:12">
      <c r="A2630" s="1">
        <v>46035</v>
      </c>
      <c r="B2630" t="s">
        <v>10017</v>
      </c>
      <c r="C2630">
        <v>22</v>
      </c>
      <c r="D2630" t="str">
        <f>VLOOKUP(Tabela26[[#This Row],[EMP]],[1]LOJA!$A:$B,2,0)</f>
        <v>GUARÁ</v>
      </c>
      <c r="E2630">
        <v>16</v>
      </c>
      <c r="F2630" t="s">
        <v>3403</v>
      </c>
      <c r="G2630" t="s">
        <v>3402</v>
      </c>
      <c r="H2630" t="s">
        <v>3401</v>
      </c>
      <c r="I2630">
        <v>5102</v>
      </c>
      <c r="J2630" s="3">
        <v>20</v>
      </c>
      <c r="K2630" s="3">
        <v>11.5</v>
      </c>
      <c r="L2630">
        <v>42.5</v>
      </c>
    </row>
    <row r="2631" spans="1:12">
      <c r="A2631" s="1">
        <v>46035</v>
      </c>
      <c r="B2631" t="s">
        <v>10016</v>
      </c>
      <c r="C2631">
        <v>22</v>
      </c>
      <c r="D2631" t="str">
        <f>VLOOKUP(Tabela26[[#This Row],[EMP]],[1]LOJA!$A:$B,2,0)</f>
        <v>GUARÁ</v>
      </c>
      <c r="E2631">
        <v>93</v>
      </c>
      <c r="F2631" t="s">
        <v>4593</v>
      </c>
      <c r="G2631" t="s">
        <v>4592</v>
      </c>
      <c r="H2631" t="s">
        <v>3401</v>
      </c>
      <c r="I2631">
        <v>5405</v>
      </c>
      <c r="J2631" s="3">
        <v>45</v>
      </c>
      <c r="K2631" s="3">
        <v>24.11</v>
      </c>
      <c r="L2631">
        <v>46.42</v>
      </c>
    </row>
    <row r="2632" spans="1:12">
      <c r="A2632" s="1">
        <v>46035</v>
      </c>
      <c r="B2632" t="s">
        <v>10015</v>
      </c>
      <c r="C2632">
        <v>22</v>
      </c>
      <c r="D2632" t="str">
        <f>VLOOKUP(Tabela26[[#This Row],[EMP]],[1]LOJA!$A:$B,2,0)</f>
        <v>GUARÁ</v>
      </c>
      <c r="E2632">
        <v>93</v>
      </c>
      <c r="F2632" t="s">
        <v>8132</v>
      </c>
      <c r="G2632" t="s">
        <v>3402</v>
      </c>
      <c r="H2632" t="s">
        <v>3408</v>
      </c>
      <c r="I2632">
        <v>5405</v>
      </c>
      <c r="J2632" s="3">
        <v>212.84</v>
      </c>
      <c r="K2632" s="3">
        <v>111.33</v>
      </c>
      <c r="L2632">
        <v>47.69</v>
      </c>
    </row>
    <row r="2633" spans="1:12">
      <c r="A2633" s="1">
        <v>46035</v>
      </c>
      <c r="B2633" t="s">
        <v>10014</v>
      </c>
      <c r="C2633">
        <v>22</v>
      </c>
      <c r="D2633" t="str">
        <f>VLOOKUP(Tabela26[[#This Row],[EMP]],[1]LOJA!$A:$B,2,0)</f>
        <v>GUARÁ</v>
      </c>
      <c r="E2633">
        <v>16</v>
      </c>
      <c r="F2633" t="s">
        <v>3902</v>
      </c>
      <c r="G2633" t="s">
        <v>3901</v>
      </c>
      <c r="H2633" t="s">
        <v>4142</v>
      </c>
      <c r="I2633">
        <v>5405</v>
      </c>
      <c r="J2633" s="3">
        <v>124</v>
      </c>
      <c r="K2633" s="3">
        <v>72.09</v>
      </c>
      <c r="L2633">
        <v>41.86</v>
      </c>
    </row>
    <row r="2634" spans="1:12">
      <c r="A2634" s="1">
        <v>46035</v>
      </c>
      <c r="B2634" t="s">
        <v>10013</v>
      </c>
      <c r="C2634">
        <v>22</v>
      </c>
      <c r="D2634" t="str">
        <f>VLOOKUP(Tabela26[[#This Row],[EMP]],[1]LOJA!$A:$B,2,0)</f>
        <v>GUARÁ</v>
      </c>
      <c r="E2634">
        <v>93</v>
      </c>
      <c r="F2634" t="s">
        <v>5212</v>
      </c>
      <c r="G2634" t="s">
        <v>5211</v>
      </c>
      <c r="H2634" t="s">
        <v>3408</v>
      </c>
      <c r="I2634">
        <v>5405</v>
      </c>
      <c r="J2634" s="3">
        <v>106</v>
      </c>
      <c r="K2634" s="3">
        <v>53.39</v>
      </c>
      <c r="L2634">
        <v>49.63</v>
      </c>
    </row>
    <row r="2635" spans="1:12">
      <c r="A2635" s="1">
        <v>46035</v>
      </c>
      <c r="B2635" t="s">
        <v>10012</v>
      </c>
      <c r="C2635">
        <v>22</v>
      </c>
      <c r="D2635" t="str">
        <f>VLOOKUP(Tabela26[[#This Row],[EMP]],[1]LOJA!$A:$B,2,0)</f>
        <v>GUARÁ</v>
      </c>
      <c r="E2635">
        <v>16</v>
      </c>
      <c r="F2635" t="s">
        <v>3403</v>
      </c>
      <c r="G2635" t="s">
        <v>3402</v>
      </c>
      <c r="H2635" t="s">
        <v>3401</v>
      </c>
      <c r="I2635">
        <v>5102</v>
      </c>
      <c r="J2635" s="3">
        <v>38</v>
      </c>
      <c r="K2635" s="3">
        <v>15.14</v>
      </c>
      <c r="L2635">
        <v>60.16</v>
      </c>
    </row>
    <row r="2636" spans="1:12">
      <c r="A2636" s="1">
        <v>46035</v>
      </c>
      <c r="B2636" t="s">
        <v>10011</v>
      </c>
      <c r="C2636">
        <v>22</v>
      </c>
      <c r="D2636" t="str">
        <f>VLOOKUP(Tabela26[[#This Row],[EMP]],[1]LOJA!$A:$B,2,0)</f>
        <v>GUARÁ</v>
      </c>
      <c r="E2636">
        <v>93</v>
      </c>
      <c r="F2636" t="s">
        <v>3403</v>
      </c>
      <c r="G2636" t="s">
        <v>3402</v>
      </c>
      <c r="H2636" t="s">
        <v>3401</v>
      </c>
      <c r="I2636">
        <v>5102</v>
      </c>
      <c r="J2636" s="3">
        <v>25</v>
      </c>
      <c r="K2636" s="3">
        <v>13.3</v>
      </c>
      <c r="L2636">
        <v>46.8</v>
      </c>
    </row>
    <row r="2637" spans="1:12">
      <c r="A2637" s="1">
        <v>46035</v>
      </c>
      <c r="B2637" t="s">
        <v>10010</v>
      </c>
      <c r="C2637">
        <v>22</v>
      </c>
      <c r="D2637" t="str">
        <f>VLOOKUP(Tabela26[[#This Row],[EMP]],[1]LOJA!$A:$B,2,0)</f>
        <v>GUARÁ</v>
      </c>
      <c r="E2637">
        <v>93</v>
      </c>
      <c r="F2637" t="s">
        <v>3403</v>
      </c>
      <c r="G2637" t="s">
        <v>3402</v>
      </c>
      <c r="H2637" t="s">
        <v>3401</v>
      </c>
      <c r="I2637">
        <v>5102</v>
      </c>
      <c r="J2637" s="3">
        <v>6</v>
      </c>
      <c r="K2637" s="3">
        <v>2.65</v>
      </c>
      <c r="L2637">
        <v>55.83</v>
      </c>
    </row>
    <row r="2638" spans="1:12">
      <c r="A2638" s="1">
        <v>46035</v>
      </c>
      <c r="B2638" t="s">
        <v>10009</v>
      </c>
      <c r="C2638">
        <v>22</v>
      </c>
      <c r="D2638" t="str">
        <f>VLOOKUP(Tabela26[[#This Row],[EMP]],[1]LOJA!$A:$B,2,0)</f>
        <v>GUARÁ</v>
      </c>
      <c r="E2638">
        <v>93</v>
      </c>
      <c r="F2638" t="s">
        <v>3894</v>
      </c>
      <c r="G2638" t="s">
        <v>3893</v>
      </c>
      <c r="H2638" t="s">
        <v>3401</v>
      </c>
      <c r="I2638">
        <v>5405</v>
      </c>
      <c r="J2638" s="3">
        <v>136</v>
      </c>
      <c r="K2638" s="3">
        <v>70.2</v>
      </c>
      <c r="L2638">
        <v>48.38</v>
      </c>
    </row>
    <row r="2639" spans="1:12">
      <c r="A2639" s="1">
        <v>46035</v>
      </c>
      <c r="B2639" t="s">
        <v>10008</v>
      </c>
      <c r="C2639">
        <v>22</v>
      </c>
      <c r="D2639" t="str">
        <f>VLOOKUP(Tabela26[[#This Row],[EMP]],[1]LOJA!$A:$B,2,0)</f>
        <v>GUARÁ</v>
      </c>
      <c r="E2639">
        <v>93</v>
      </c>
      <c r="F2639" t="s">
        <v>3403</v>
      </c>
      <c r="G2639" t="s">
        <v>3402</v>
      </c>
      <c r="H2639" t="s">
        <v>3401</v>
      </c>
      <c r="I2639">
        <v>5405</v>
      </c>
      <c r="J2639" s="3">
        <v>50</v>
      </c>
      <c r="K2639" s="3">
        <v>25.28</v>
      </c>
      <c r="L2639">
        <v>49.44</v>
      </c>
    </row>
    <row r="2640" spans="1:12">
      <c r="A2640" s="1">
        <v>46035</v>
      </c>
      <c r="B2640" t="s">
        <v>10007</v>
      </c>
      <c r="C2640">
        <v>22</v>
      </c>
      <c r="D2640" t="str">
        <f>VLOOKUP(Tabela26[[#This Row],[EMP]],[1]LOJA!$A:$B,2,0)</f>
        <v>GUARÁ</v>
      </c>
      <c r="E2640">
        <v>93</v>
      </c>
      <c r="F2640" t="s">
        <v>5203</v>
      </c>
      <c r="G2640" t="s">
        <v>5202</v>
      </c>
      <c r="H2640" t="s">
        <v>3401</v>
      </c>
      <c r="I2640">
        <v>5102</v>
      </c>
      <c r="J2640" s="3">
        <v>246</v>
      </c>
      <c r="K2640" s="3">
        <v>137.88999999999999</v>
      </c>
      <c r="L2640">
        <v>43.95</v>
      </c>
    </row>
    <row r="2641" spans="1:12">
      <c r="A2641" s="1">
        <v>46035</v>
      </c>
      <c r="B2641" t="s">
        <v>10006</v>
      </c>
      <c r="C2641">
        <v>22</v>
      </c>
      <c r="D2641" t="str">
        <f>VLOOKUP(Tabela26[[#This Row],[EMP]],[1]LOJA!$A:$B,2,0)</f>
        <v>GUARÁ</v>
      </c>
      <c r="E2641">
        <v>93</v>
      </c>
      <c r="F2641" t="s">
        <v>3983</v>
      </c>
      <c r="G2641" t="s">
        <v>3982</v>
      </c>
      <c r="H2641" t="s">
        <v>3401</v>
      </c>
      <c r="I2641">
        <v>5405</v>
      </c>
      <c r="J2641" s="3">
        <v>83</v>
      </c>
      <c r="K2641" s="3">
        <v>44.66</v>
      </c>
      <c r="L2641">
        <v>46.19</v>
      </c>
    </row>
    <row r="2642" spans="1:12">
      <c r="A2642" s="1">
        <v>46035</v>
      </c>
      <c r="B2642" t="s">
        <v>10005</v>
      </c>
      <c r="C2642">
        <v>22</v>
      </c>
      <c r="D2642" t="str">
        <f>VLOOKUP(Tabela26[[#This Row],[EMP]],[1]LOJA!$A:$B,2,0)</f>
        <v>GUARÁ</v>
      </c>
      <c r="E2642">
        <v>93</v>
      </c>
      <c r="F2642" t="s">
        <v>5200</v>
      </c>
      <c r="G2642" t="s">
        <v>5199</v>
      </c>
      <c r="H2642" t="s">
        <v>3401</v>
      </c>
      <c r="I2642">
        <v>5405</v>
      </c>
      <c r="J2642" s="3">
        <v>143</v>
      </c>
      <c r="K2642" s="3">
        <v>72.459999999999994</v>
      </c>
      <c r="L2642">
        <v>49.33</v>
      </c>
    </row>
    <row r="2643" spans="1:12">
      <c r="A2643" s="1">
        <v>46035</v>
      </c>
      <c r="B2643" t="s">
        <v>10004</v>
      </c>
      <c r="C2643">
        <v>22</v>
      </c>
      <c r="D2643" t="str">
        <f>VLOOKUP(Tabela26[[#This Row],[EMP]],[1]LOJA!$A:$B,2,0)</f>
        <v>GUARÁ</v>
      </c>
      <c r="E2643">
        <v>93</v>
      </c>
      <c r="F2643" t="s">
        <v>3403</v>
      </c>
      <c r="G2643" t="s">
        <v>3402</v>
      </c>
      <c r="H2643" t="s">
        <v>3401</v>
      </c>
      <c r="I2643">
        <v>5102</v>
      </c>
      <c r="J2643" s="3">
        <v>17</v>
      </c>
      <c r="K2643" s="3">
        <v>9.17</v>
      </c>
      <c r="L2643">
        <v>46.06</v>
      </c>
    </row>
    <row r="2644" spans="1:12">
      <c r="A2644" s="1">
        <v>46035</v>
      </c>
      <c r="B2644" t="s">
        <v>10003</v>
      </c>
      <c r="C2644">
        <v>4</v>
      </c>
      <c r="D2644" t="str">
        <f>VLOOKUP(Tabela26[[#This Row],[EMP]],[1]LOJA!$A:$B,2,0)</f>
        <v>ADE</v>
      </c>
      <c r="E2644">
        <v>132</v>
      </c>
      <c r="F2644" t="s">
        <v>4565</v>
      </c>
      <c r="G2644" t="s">
        <v>4564</v>
      </c>
      <c r="H2644" t="s">
        <v>3408</v>
      </c>
      <c r="I2644">
        <v>5405</v>
      </c>
      <c r="J2644" s="3">
        <v>345.48</v>
      </c>
      <c r="K2644" s="3">
        <v>183.51</v>
      </c>
      <c r="L2644">
        <v>46.88</v>
      </c>
    </row>
    <row r="2645" spans="1:12">
      <c r="A2645" s="1">
        <v>46035</v>
      </c>
      <c r="B2645" t="s">
        <v>10002</v>
      </c>
      <c r="C2645">
        <v>4</v>
      </c>
      <c r="D2645" t="str">
        <f>VLOOKUP(Tabela26[[#This Row],[EMP]],[1]LOJA!$A:$B,2,0)</f>
        <v>ADE</v>
      </c>
      <c r="E2645">
        <v>109</v>
      </c>
      <c r="F2645" t="s">
        <v>6078</v>
      </c>
      <c r="G2645" t="s">
        <v>3402</v>
      </c>
      <c r="H2645" t="s">
        <v>3401</v>
      </c>
      <c r="I2645">
        <v>5405</v>
      </c>
      <c r="J2645" s="3">
        <v>215</v>
      </c>
      <c r="K2645" s="3">
        <v>110.83</v>
      </c>
      <c r="L2645">
        <v>48.45</v>
      </c>
    </row>
    <row r="2646" spans="1:12">
      <c r="A2646" s="1">
        <v>46035</v>
      </c>
      <c r="B2646" t="s">
        <v>10001</v>
      </c>
      <c r="C2646">
        <v>4</v>
      </c>
      <c r="D2646" t="str">
        <f>VLOOKUP(Tabela26[[#This Row],[EMP]],[1]LOJA!$A:$B,2,0)</f>
        <v>ADE</v>
      </c>
      <c r="E2646">
        <v>132</v>
      </c>
      <c r="F2646" t="s">
        <v>4574</v>
      </c>
      <c r="G2646" t="s">
        <v>4573</v>
      </c>
      <c r="H2646" t="s">
        <v>3408</v>
      </c>
      <c r="I2646">
        <v>5102</v>
      </c>
      <c r="J2646" s="3">
        <v>72.900000000000006</v>
      </c>
      <c r="K2646" s="3">
        <v>47.38</v>
      </c>
      <c r="L2646">
        <v>35.01</v>
      </c>
    </row>
    <row r="2647" spans="1:12">
      <c r="A2647" s="1">
        <v>46035</v>
      </c>
      <c r="B2647" t="s">
        <v>10000</v>
      </c>
      <c r="C2647">
        <v>4</v>
      </c>
      <c r="D2647" t="str">
        <f>VLOOKUP(Tabela26[[#This Row],[EMP]],[1]LOJA!$A:$B,2,0)</f>
        <v>ADE</v>
      </c>
      <c r="E2647">
        <v>132</v>
      </c>
      <c r="F2647" t="s">
        <v>3836</v>
      </c>
      <c r="G2647" t="s">
        <v>3402</v>
      </c>
      <c r="H2647" t="s">
        <v>3401</v>
      </c>
      <c r="I2647">
        <v>5102</v>
      </c>
      <c r="J2647" s="3">
        <v>60</v>
      </c>
      <c r="K2647" s="3">
        <v>33.92</v>
      </c>
      <c r="L2647">
        <v>43.47</v>
      </c>
    </row>
    <row r="2648" spans="1:12">
      <c r="A2648" s="1">
        <v>46035</v>
      </c>
      <c r="B2648" t="s">
        <v>9999</v>
      </c>
      <c r="C2648">
        <v>4</v>
      </c>
      <c r="D2648" t="str">
        <f>VLOOKUP(Tabela26[[#This Row],[EMP]],[1]LOJA!$A:$B,2,0)</f>
        <v>ADE</v>
      </c>
      <c r="E2648">
        <v>132</v>
      </c>
      <c r="F2648" t="s">
        <v>3403</v>
      </c>
      <c r="G2648" t="s">
        <v>3402</v>
      </c>
      <c r="H2648" t="s">
        <v>3401</v>
      </c>
      <c r="I2648">
        <v>5102</v>
      </c>
      <c r="J2648" s="3">
        <v>90</v>
      </c>
      <c r="K2648" s="3">
        <v>56.15</v>
      </c>
      <c r="L2648">
        <v>37.61</v>
      </c>
    </row>
    <row r="2649" spans="1:12">
      <c r="A2649" s="1">
        <v>46035</v>
      </c>
      <c r="B2649" t="s">
        <v>9998</v>
      </c>
      <c r="C2649">
        <v>4</v>
      </c>
      <c r="D2649" t="str">
        <f>VLOOKUP(Tabela26[[#This Row],[EMP]],[1]LOJA!$A:$B,2,0)</f>
        <v>ADE</v>
      </c>
      <c r="E2649">
        <v>109</v>
      </c>
      <c r="F2649" t="s">
        <v>9997</v>
      </c>
      <c r="G2649" t="s">
        <v>3402</v>
      </c>
      <c r="H2649" t="s">
        <v>3401</v>
      </c>
      <c r="I2649">
        <v>5102</v>
      </c>
      <c r="J2649" s="3">
        <v>70</v>
      </c>
      <c r="K2649" s="3">
        <v>32.85</v>
      </c>
      <c r="L2649">
        <v>53.07</v>
      </c>
    </row>
    <row r="2650" spans="1:12">
      <c r="A2650" s="1">
        <v>46035</v>
      </c>
      <c r="B2650" t="s">
        <v>9996</v>
      </c>
      <c r="C2650">
        <v>4</v>
      </c>
      <c r="D2650" t="str">
        <f>VLOOKUP(Tabela26[[#This Row],[EMP]],[1]LOJA!$A:$B,2,0)</f>
        <v>ADE</v>
      </c>
      <c r="E2650">
        <v>109</v>
      </c>
      <c r="F2650" t="s">
        <v>3976</v>
      </c>
      <c r="G2650" t="s">
        <v>3402</v>
      </c>
      <c r="H2650" t="s">
        <v>3401</v>
      </c>
      <c r="I2650">
        <v>5102</v>
      </c>
      <c r="J2650" s="3">
        <v>95</v>
      </c>
      <c r="K2650" s="3">
        <v>46.35</v>
      </c>
      <c r="L2650">
        <v>51.21</v>
      </c>
    </row>
    <row r="2651" spans="1:12">
      <c r="A2651" s="1">
        <v>46035</v>
      </c>
      <c r="B2651" t="s">
        <v>9995</v>
      </c>
      <c r="C2651">
        <v>4</v>
      </c>
      <c r="D2651" t="str">
        <f>VLOOKUP(Tabela26[[#This Row],[EMP]],[1]LOJA!$A:$B,2,0)</f>
        <v>ADE</v>
      </c>
      <c r="E2651">
        <v>132</v>
      </c>
      <c r="F2651" t="s">
        <v>4568</v>
      </c>
      <c r="G2651" t="s">
        <v>4567</v>
      </c>
      <c r="H2651" t="s">
        <v>3408</v>
      </c>
      <c r="I2651">
        <v>5405</v>
      </c>
      <c r="J2651" s="3">
        <v>79.900000000000006</v>
      </c>
      <c r="K2651" s="3">
        <v>39.21</v>
      </c>
      <c r="L2651">
        <v>50.93</v>
      </c>
    </row>
    <row r="2652" spans="1:12">
      <c r="A2652" s="1">
        <v>46035</v>
      </c>
      <c r="B2652" t="s">
        <v>9994</v>
      </c>
      <c r="C2652">
        <v>4</v>
      </c>
      <c r="D2652" t="str">
        <f>VLOOKUP(Tabela26[[#This Row],[EMP]],[1]LOJA!$A:$B,2,0)</f>
        <v>ADE</v>
      </c>
      <c r="E2652">
        <v>132</v>
      </c>
      <c r="F2652" t="s">
        <v>5165</v>
      </c>
      <c r="G2652" t="s">
        <v>5164</v>
      </c>
      <c r="H2652" t="s">
        <v>3408</v>
      </c>
      <c r="I2652">
        <v>5102</v>
      </c>
      <c r="J2652" s="3">
        <v>205</v>
      </c>
      <c r="K2652" s="3">
        <v>139.30000000000001</v>
      </c>
      <c r="L2652">
        <v>32.049999999999997</v>
      </c>
    </row>
    <row r="2653" spans="1:12">
      <c r="A2653" s="1">
        <v>46035</v>
      </c>
      <c r="B2653" t="s">
        <v>9993</v>
      </c>
      <c r="C2653">
        <v>4</v>
      </c>
      <c r="D2653" t="str">
        <f>VLOOKUP(Tabela26[[#This Row],[EMP]],[1]LOJA!$A:$B,2,0)</f>
        <v>ADE</v>
      </c>
      <c r="E2653">
        <v>132</v>
      </c>
      <c r="F2653" t="s">
        <v>3403</v>
      </c>
      <c r="G2653" t="s">
        <v>3402</v>
      </c>
      <c r="H2653" t="s">
        <v>3401</v>
      </c>
      <c r="I2653">
        <v>5102</v>
      </c>
      <c r="J2653" s="3">
        <v>42.9</v>
      </c>
      <c r="K2653" s="3">
        <v>23.01</v>
      </c>
      <c r="L2653">
        <v>46.36</v>
      </c>
    </row>
    <row r="2654" spans="1:12">
      <c r="A2654" s="1">
        <v>46035</v>
      </c>
      <c r="B2654" t="s">
        <v>9992</v>
      </c>
      <c r="C2654">
        <v>4</v>
      </c>
      <c r="D2654" t="str">
        <f>VLOOKUP(Tabela26[[#This Row],[EMP]],[1]LOJA!$A:$B,2,0)</f>
        <v>ADE</v>
      </c>
      <c r="E2654">
        <v>132</v>
      </c>
      <c r="F2654" t="s">
        <v>3403</v>
      </c>
      <c r="G2654" t="s">
        <v>3402</v>
      </c>
      <c r="H2654" t="s">
        <v>3401</v>
      </c>
      <c r="I2654">
        <v>5102</v>
      </c>
      <c r="J2654" s="3">
        <v>118.88</v>
      </c>
      <c r="K2654" s="3">
        <v>68.790000000000006</v>
      </c>
      <c r="L2654">
        <v>42.13</v>
      </c>
    </row>
    <row r="2655" spans="1:12">
      <c r="A2655" s="1">
        <v>46035</v>
      </c>
      <c r="B2655" t="s">
        <v>9991</v>
      </c>
      <c r="C2655">
        <v>4</v>
      </c>
      <c r="D2655" t="str">
        <f>VLOOKUP(Tabela26[[#This Row],[EMP]],[1]LOJA!$A:$B,2,0)</f>
        <v>ADE</v>
      </c>
      <c r="E2655">
        <v>132</v>
      </c>
      <c r="F2655" t="s">
        <v>5691</v>
      </c>
      <c r="G2655" t="s">
        <v>3402</v>
      </c>
      <c r="H2655" t="s">
        <v>3408</v>
      </c>
      <c r="I2655">
        <v>5102</v>
      </c>
      <c r="J2655" s="3">
        <v>45</v>
      </c>
      <c r="K2655" s="3">
        <v>30.8</v>
      </c>
      <c r="L2655">
        <v>31.56</v>
      </c>
    </row>
    <row r="2656" spans="1:12">
      <c r="A2656" s="1">
        <v>46035</v>
      </c>
      <c r="B2656" t="s">
        <v>9990</v>
      </c>
      <c r="C2656">
        <v>4</v>
      </c>
      <c r="D2656" t="str">
        <f>VLOOKUP(Tabela26[[#This Row],[EMP]],[1]LOJA!$A:$B,2,0)</f>
        <v>ADE</v>
      </c>
      <c r="E2656">
        <v>132</v>
      </c>
      <c r="F2656" t="s">
        <v>4558</v>
      </c>
      <c r="G2656" t="s">
        <v>4557</v>
      </c>
      <c r="H2656" t="s">
        <v>4142</v>
      </c>
      <c r="I2656">
        <v>5405</v>
      </c>
      <c r="J2656" s="3">
        <v>205.13</v>
      </c>
      <c r="K2656" s="3">
        <v>108.16</v>
      </c>
      <c r="L2656">
        <v>47.27</v>
      </c>
    </row>
    <row r="2657" spans="1:12">
      <c r="A2657" s="1">
        <v>46035</v>
      </c>
      <c r="B2657" t="s">
        <v>9989</v>
      </c>
      <c r="C2657">
        <v>4</v>
      </c>
      <c r="D2657" t="str">
        <f>VLOOKUP(Tabela26[[#This Row],[EMP]],[1]LOJA!$A:$B,2,0)</f>
        <v>ADE</v>
      </c>
      <c r="E2657">
        <v>132</v>
      </c>
      <c r="F2657" t="s">
        <v>3836</v>
      </c>
      <c r="G2657" t="s">
        <v>3402</v>
      </c>
      <c r="H2657" t="s">
        <v>3401</v>
      </c>
      <c r="I2657">
        <v>5102</v>
      </c>
      <c r="J2657" s="3">
        <v>100</v>
      </c>
      <c r="K2657" s="3">
        <v>56.93</v>
      </c>
      <c r="L2657">
        <v>43.07</v>
      </c>
    </row>
    <row r="2658" spans="1:12">
      <c r="A2658" s="1">
        <v>46035</v>
      </c>
      <c r="B2658" t="s">
        <v>9988</v>
      </c>
      <c r="C2658">
        <v>16</v>
      </c>
      <c r="D2658" t="str">
        <f>VLOOKUP(Tabela26[[#This Row],[EMP]],[1]LOJA!$A:$B,2,0)</f>
        <v>AG LINDAS</v>
      </c>
      <c r="E2658">
        <v>240</v>
      </c>
      <c r="F2658" t="s">
        <v>3808</v>
      </c>
      <c r="G2658" t="s">
        <v>3807</v>
      </c>
      <c r="H2658" t="s">
        <v>3408</v>
      </c>
      <c r="I2658">
        <v>5405</v>
      </c>
      <c r="J2658" s="3">
        <v>115.8</v>
      </c>
      <c r="K2658" s="3">
        <v>63.22</v>
      </c>
      <c r="L2658">
        <v>45.41</v>
      </c>
    </row>
    <row r="2659" spans="1:12">
      <c r="A2659" s="1">
        <v>46035</v>
      </c>
      <c r="B2659" t="s">
        <v>9987</v>
      </c>
      <c r="C2659">
        <v>16</v>
      </c>
      <c r="D2659" t="str">
        <f>VLOOKUP(Tabela26[[#This Row],[EMP]],[1]LOJA!$A:$B,2,0)</f>
        <v>AG LINDAS</v>
      </c>
      <c r="E2659">
        <v>240</v>
      </c>
      <c r="F2659" t="s">
        <v>3808</v>
      </c>
      <c r="G2659" t="s">
        <v>3807</v>
      </c>
      <c r="H2659" t="s">
        <v>3401</v>
      </c>
      <c r="I2659">
        <v>5102</v>
      </c>
      <c r="J2659" s="3">
        <v>29.9</v>
      </c>
      <c r="K2659" s="3">
        <v>20.260000000000002</v>
      </c>
      <c r="L2659">
        <v>32.24</v>
      </c>
    </row>
    <row r="2660" spans="1:12">
      <c r="A2660" s="1">
        <v>46035</v>
      </c>
      <c r="B2660" t="s">
        <v>9986</v>
      </c>
      <c r="C2660">
        <v>16</v>
      </c>
      <c r="D2660" t="str">
        <f>VLOOKUP(Tabela26[[#This Row],[EMP]],[1]LOJA!$A:$B,2,0)</f>
        <v>AG LINDAS</v>
      </c>
      <c r="E2660">
        <v>240</v>
      </c>
      <c r="F2660" t="s">
        <v>3780</v>
      </c>
      <c r="G2660" t="s">
        <v>3437</v>
      </c>
      <c r="H2660" t="s">
        <v>3401</v>
      </c>
      <c r="I2660">
        <v>5102</v>
      </c>
      <c r="J2660" s="3">
        <v>24.6</v>
      </c>
      <c r="K2660" s="3">
        <v>12.92</v>
      </c>
      <c r="L2660">
        <v>47.48</v>
      </c>
    </row>
    <row r="2661" spans="1:12">
      <c r="A2661" s="1">
        <v>46035</v>
      </c>
      <c r="B2661" t="s">
        <v>9985</v>
      </c>
      <c r="C2661">
        <v>16</v>
      </c>
      <c r="D2661" t="str">
        <f>VLOOKUP(Tabela26[[#This Row],[EMP]],[1]LOJA!$A:$B,2,0)</f>
        <v>AG LINDAS</v>
      </c>
      <c r="E2661">
        <v>240</v>
      </c>
      <c r="F2661" t="s">
        <v>9530</v>
      </c>
      <c r="G2661" t="s">
        <v>3437</v>
      </c>
      <c r="H2661" t="s">
        <v>3401</v>
      </c>
      <c r="I2661">
        <v>5102</v>
      </c>
      <c r="J2661" s="3">
        <v>122.5</v>
      </c>
      <c r="K2661" s="3">
        <v>72.56</v>
      </c>
      <c r="L2661">
        <v>40.770000000000003</v>
      </c>
    </row>
    <row r="2662" spans="1:12">
      <c r="A2662" s="1">
        <v>46035</v>
      </c>
      <c r="B2662" t="s">
        <v>9984</v>
      </c>
      <c r="C2662">
        <v>16</v>
      </c>
      <c r="D2662" t="str">
        <f>VLOOKUP(Tabela26[[#This Row],[EMP]],[1]LOJA!$A:$B,2,0)</f>
        <v>AG LINDAS</v>
      </c>
      <c r="E2662">
        <v>240</v>
      </c>
      <c r="F2662" t="s">
        <v>9983</v>
      </c>
      <c r="G2662" t="s">
        <v>3437</v>
      </c>
      <c r="H2662" t="s">
        <v>3401</v>
      </c>
      <c r="I2662">
        <v>5102</v>
      </c>
      <c r="J2662" s="3">
        <v>58.9</v>
      </c>
      <c r="K2662" s="3">
        <v>39.159999999999997</v>
      </c>
      <c r="L2662">
        <v>33.51</v>
      </c>
    </row>
    <row r="2663" spans="1:12">
      <c r="A2663" s="1">
        <v>46035</v>
      </c>
      <c r="B2663" t="s">
        <v>9982</v>
      </c>
      <c r="C2663">
        <v>16</v>
      </c>
      <c r="D2663" t="str">
        <f>VLOOKUP(Tabela26[[#This Row],[EMP]],[1]LOJA!$A:$B,2,0)</f>
        <v>AG LINDAS</v>
      </c>
      <c r="E2663">
        <v>240</v>
      </c>
      <c r="F2663" t="s">
        <v>3796</v>
      </c>
      <c r="G2663" t="s">
        <v>3795</v>
      </c>
      <c r="H2663" t="s">
        <v>3408</v>
      </c>
      <c r="I2663">
        <v>5405</v>
      </c>
      <c r="J2663" s="3">
        <v>131.5</v>
      </c>
      <c r="K2663" s="3">
        <v>70.34</v>
      </c>
      <c r="L2663">
        <v>46.51</v>
      </c>
    </row>
    <row r="2664" spans="1:12">
      <c r="A2664" s="1">
        <v>46035</v>
      </c>
      <c r="B2664" t="s">
        <v>9981</v>
      </c>
      <c r="C2664">
        <v>16</v>
      </c>
      <c r="D2664" t="str">
        <f>VLOOKUP(Tabela26[[#This Row],[EMP]],[1]LOJA!$A:$B,2,0)</f>
        <v>AG LINDAS</v>
      </c>
      <c r="E2664">
        <v>240</v>
      </c>
      <c r="F2664" t="s">
        <v>6325</v>
      </c>
      <c r="G2664" t="s">
        <v>3437</v>
      </c>
      <c r="H2664" t="s">
        <v>3401</v>
      </c>
      <c r="I2664">
        <v>5405</v>
      </c>
      <c r="J2664" s="3">
        <v>240</v>
      </c>
      <c r="K2664" s="3">
        <v>146.77000000000001</v>
      </c>
      <c r="L2664">
        <v>38.85</v>
      </c>
    </row>
    <row r="2665" spans="1:12">
      <c r="A2665" s="1">
        <v>46035</v>
      </c>
      <c r="B2665" t="s">
        <v>9980</v>
      </c>
      <c r="C2665">
        <v>16</v>
      </c>
      <c r="D2665" t="str">
        <f>VLOOKUP(Tabela26[[#This Row],[EMP]],[1]LOJA!$A:$B,2,0)</f>
        <v>AG LINDAS</v>
      </c>
      <c r="E2665">
        <v>240</v>
      </c>
      <c r="F2665" t="s">
        <v>6319</v>
      </c>
      <c r="G2665" t="s">
        <v>6318</v>
      </c>
      <c r="H2665" t="s">
        <v>3401</v>
      </c>
      <c r="I2665">
        <v>5102</v>
      </c>
      <c r="J2665" s="3">
        <v>40</v>
      </c>
      <c r="K2665" s="3">
        <v>26.64</v>
      </c>
      <c r="L2665">
        <v>33.4</v>
      </c>
    </row>
    <row r="2666" spans="1:12">
      <c r="A2666" s="1">
        <v>46035</v>
      </c>
      <c r="B2666" t="s">
        <v>9979</v>
      </c>
      <c r="C2666">
        <v>16</v>
      </c>
      <c r="D2666" t="str">
        <f>VLOOKUP(Tabela26[[#This Row],[EMP]],[1]LOJA!$A:$B,2,0)</f>
        <v>AG LINDAS</v>
      </c>
      <c r="E2666">
        <v>240</v>
      </c>
      <c r="F2666" t="s">
        <v>6714</v>
      </c>
      <c r="G2666" t="s">
        <v>3437</v>
      </c>
      <c r="H2666" t="s">
        <v>3401</v>
      </c>
      <c r="I2666">
        <v>5102</v>
      </c>
      <c r="J2666" s="3">
        <v>113</v>
      </c>
      <c r="K2666" s="3">
        <v>62.59</v>
      </c>
      <c r="L2666">
        <v>44.61</v>
      </c>
    </row>
    <row r="2667" spans="1:12">
      <c r="A2667" s="1">
        <v>46035</v>
      </c>
      <c r="B2667" t="s">
        <v>9978</v>
      </c>
      <c r="C2667">
        <v>16</v>
      </c>
      <c r="D2667" t="str">
        <f>VLOOKUP(Tabela26[[#This Row],[EMP]],[1]LOJA!$A:$B,2,0)</f>
        <v>AG LINDAS</v>
      </c>
      <c r="E2667">
        <v>240</v>
      </c>
      <c r="F2667" t="s">
        <v>4501</v>
      </c>
      <c r="G2667" t="s">
        <v>3437</v>
      </c>
      <c r="H2667" t="s">
        <v>3408</v>
      </c>
      <c r="I2667">
        <v>5405</v>
      </c>
      <c r="J2667" s="3">
        <v>343.5</v>
      </c>
      <c r="K2667" s="3">
        <v>184.8</v>
      </c>
      <c r="L2667">
        <v>46.2</v>
      </c>
    </row>
    <row r="2668" spans="1:12">
      <c r="A2668" s="1">
        <v>46035</v>
      </c>
      <c r="B2668" t="s">
        <v>9977</v>
      </c>
      <c r="C2668">
        <v>16</v>
      </c>
      <c r="D2668" t="str">
        <f>VLOOKUP(Tabela26[[#This Row],[EMP]],[1]LOJA!$A:$B,2,0)</f>
        <v>AG LINDAS</v>
      </c>
      <c r="E2668">
        <v>240</v>
      </c>
      <c r="F2668" t="s">
        <v>4501</v>
      </c>
      <c r="G2668" t="s">
        <v>3437</v>
      </c>
      <c r="H2668" t="s">
        <v>3408</v>
      </c>
      <c r="I2668">
        <v>5405</v>
      </c>
      <c r="J2668" s="3">
        <v>150.9</v>
      </c>
      <c r="K2668" s="3">
        <v>62.85</v>
      </c>
      <c r="L2668">
        <v>58.35</v>
      </c>
    </row>
    <row r="2669" spans="1:12">
      <c r="A2669" s="1">
        <v>46035</v>
      </c>
      <c r="B2669" t="s">
        <v>9976</v>
      </c>
      <c r="C2669">
        <v>16</v>
      </c>
      <c r="D2669" t="str">
        <f>VLOOKUP(Tabela26[[#This Row],[EMP]],[1]LOJA!$A:$B,2,0)</f>
        <v>AG LINDAS</v>
      </c>
      <c r="E2669">
        <v>240</v>
      </c>
      <c r="F2669" t="s">
        <v>3780</v>
      </c>
      <c r="G2669" t="s">
        <v>3437</v>
      </c>
      <c r="H2669" t="s">
        <v>3401</v>
      </c>
      <c r="I2669">
        <v>5102</v>
      </c>
      <c r="J2669" s="3">
        <v>30</v>
      </c>
      <c r="K2669" s="3">
        <v>18.62</v>
      </c>
      <c r="L2669">
        <v>37.93</v>
      </c>
    </row>
    <row r="2670" spans="1:12">
      <c r="A2670" s="1">
        <v>46035</v>
      </c>
      <c r="B2670" t="s">
        <v>9975</v>
      </c>
      <c r="C2670">
        <v>16</v>
      </c>
      <c r="D2670" t="str">
        <f>VLOOKUP(Tabela26[[#This Row],[EMP]],[1]LOJA!$A:$B,2,0)</f>
        <v>AG LINDAS</v>
      </c>
      <c r="E2670">
        <v>240</v>
      </c>
      <c r="F2670" t="s">
        <v>3780</v>
      </c>
      <c r="G2670" t="s">
        <v>3437</v>
      </c>
      <c r="H2670" t="s">
        <v>3401</v>
      </c>
      <c r="I2670">
        <v>5102</v>
      </c>
      <c r="J2670" s="3">
        <v>20</v>
      </c>
      <c r="K2670" s="3">
        <v>11.86</v>
      </c>
      <c r="L2670">
        <v>40.700000000000003</v>
      </c>
    </row>
    <row r="2671" spans="1:12">
      <c r="A2671" s="1">
        <v>46035</v>
      </c>
      <c r="B2671" t="s">
        <v>9974</v>
      </c>
      <c r="C2671">
        <v>16</v>
      </c>
      <c r="D2671" t="str">
        <f>VLOOKUP(Tabela26[[#This Row],[EMP]],[1]LOJA!$A:$B,2,0)</f>
        <v>AG LINDAS</v>
      </c>
      <c r="E2671">
        <v>240</v>
      </c>
      <c r="F2671" t="s">
        <v>3780</v>
      </c>
      <c r="G2671" t="s">
        <v>3437</v>
      </c>
      <c r="H2671" t="s">
        <v>3401</v>
      </c>
      <c r="I2671">
        <v>5405</v>
      </c>
      <c r="J2671" s="3">
        <v>150</v>
      </c>
      <c r="K2671" s="3">
        <v>78.94</v>
      </c>
      <c r="L2671">
        <v>47.37</v>
      </c>
    </row>
    <row r="2672" spans="1:12">
      <c r="A2672" s="1">
        <v>46035</v>
      </c>
      <c r="B2672" t="s">
        <v>9973</v>
      </c>
      <c r="C2672">
        <v>16</v>
      </c>
      <c r="D2672" t="str">
        <f>VLOOKUP(Tabela26[[#This Row],[EMP]],[1]LOJA!$A:$B,2,0)</f>
        <v>AG LINDAS</v>
      </c>
      <c r="E2672">
        <v>240</v>
      </c>
      <c r="F2672" t="s">
        <v>7674</v>
      </c>
      <c r="G2672" t="s">
        <v>7673</v>
      </c>
      <c r="H2672" t="s">
        <v>3401</v>
      </c>
      <c r="I2672">
        <v>5405</v>
      </c>
      <c r="J2672" s="3">
        <v>154.80000000000001</v>
      </c>
      <c r="K2672" s="3">
        <v>82.02</v>
      </c>
      <c r="L2672">
        <v>47.02</v>
      </c>
    </row>
    <row r="2673" spans="1:12">
      <c r="A2673" s="1">
        <v>46035</v>
      </c>
      <c r="B2673" t="s">
        <v>9972</v>
      </c>
      <c r="C2673">
        <v>16</v>
      </c>
      <c r="D2673" t="str">
        <f>VLOOKUP(Tabela26[[#This Row],[EMP]],[1]LOJA!$A:$B,2,0)</f>
        <v>AG LINDAS</v>
      </c>
      <c r="E2673">
        <v>240</v>
      </c>
      <c r="F2673" t="s">
        <v>4544</v>
      </c>
      <c r="G2673" t="s">
        <v>3437</v>
      </c>
      <c r="H2673" t="s">
        <v>3401</v>
      </c>
      <c r="I2673">
        <v>5405</v>
      </c>
      <c r="J2673" s="3">
        <v>271.58999999999997</v>
      </c>
      <c r="K2673" s="3">
        <v>148.15</v>
      </c>
      <c r="L2673">
        <v>45.45</v>
      </c>
    </row>
    <row r="2674" spans="1:12">
      <c r="A2674" s="1">
        <v>46035</v>
      </c>
      <c r="B2674" t="s">
        <v>9971</v>
      </c>
      <c r="C2674">
        <v>16</v>
      </c>
      <c r="D2674" t="str">
        <f>VLOOKUP(Tabela26[[#This Row],[EMP]],[1]LOJA!$A:$B,2,0)</f>
        <v>AG LINDAS</v>
      </c>
      <c r="E2674">
        <v>240</v>
      </c>
      <c r="F2674" t="s">
        <v>4546</v>
      </c>
      <c r="G2674" t="s">
        <v>3437</v>
      </c>
      <c r="H2674" t="s">
        <v>3401</v>
      </c>
      <c r="I2674">
        <v>5102</v>
      </c>
      <c r="J2674" s="3">
        <v>187.4</v>
      </c>
      <c r="K2674" s="3">
        <v>117.81</v>
      </c>
      <c r="L2674">
        <v>37.130000000000003</v>
      </c>
    </row>
    <row r="2675" spans="1:12">
      <c r="A2675" s="1">
        <v>46035</v>
      </c>
      <c r="B2675" t="s">
        <v>9970</v>
      </c>
      <c r="C2675">
        <v>16</v>
      </c>
      <c r="D2675" t="str">
        <f>VLOOKUP(Tabela26[[#This Row],[EMP]],[1]LOJA!$A:$B,2,0)</f>
        <v>AG LINDAS</v>
      </c>
      <c r="E2675">
        <v>240</v>
      </c>
      <c r="F2675" t="s">
        <v>5117</v>
      </c>
      <c r="G2675" t="s">
        <v>3437</v>
      </c>
      <c r="H2675" t="s">
        <v>3401</v>
      </c>
      <c r="I2675">
        <v>5102</v>
      </c>
      <c r="J2675" s="3">
        <v>59.9</v>
      </c>
      <c r="K2675" s="3">
        <v>23.58</v>
      </c>
      <c r="L2675">
        <v>60.63</v>
      </c>
    </row>
    <row r="2676" spans="1:12">
      <c r="A2676" s="1">
        <v>46035</v>
      </c>
      <c r="B2676" t="s">
        <v>9969</v>
      </c>
      <c r="C2676">
        <v>16</v>
      </c>
      <c r="D2676" t="str">
        <f>VLOOKUP(Tabela26[[#This Row],[EMP]],[1]LOJA!$A:$B,2,0)</f>
        <v>AG LINDAS</v>
      </c>
      <c r="E2676">
        <v>240</v>
      </c>
      <c r="F2676" t="s">
        <v>4503</v>
      </c>
      <c r="G2676" t="s">
        <v>3437</v>
      </c>
      <c r="H2676" t="s">
        <v>3401</v>
      </c>
      <c r="I2676">
        <v>5102</v>
      </c>
      <c r="J2676" s="3">
        <v>38.799999999999997</v>
      </c>
      <c r="K2676" s="3">
        <v>22.78</v>
      </c>
      <c r="L2676">
        <v>41.29</v>
      </c>
    </row>
    <row r="2677" spans="1:12">
      <c r="A2677" s="1">
        <v>46035</v>
      </c>
      <c r="B2677" t="s">
        <v>9968</v>
      </c>
      <c r="C2677">
        <v>16</v>
      </c>
      <c r="D2677" t="str">
        <f>VLOOKUP(Tabela26[[#This Row],[EMP]],[1]LOJA!$A:$B,2,0)</f>
        <v>AG LINDAS</v>
      </c>
      <c r="E2677">
        <v>240</v>
      </c>
      <c r="F2677" t="s">
        <v>4534</v>
      </c>
      <c r="G2677" t="s">
        <v>4533</v>
      </c>
      <c r="H2677" t="s">
        <v>3401</v>
      </c>
      <c r="I2677">
        <v>5102</v>
      </c>
      <c r="J2677" s="3">
        <v>185.7</v>
      </c>
      <c r="K2677" s="3">
        <v>97.77</v>
      </c>
      <c r="L2677">
        <v>47.35</v>
      </c>
    </row>
    <row r="2678" spans="1:12">
      <c r="A2678" s="1">
        <v>46035</v>
      </c>
      <c r="B2678" t="s">
        <v>9967</v>
      </c>
      <c r="C2678">
        <v>16</v>
      </c>
      <c r="D2678" t="str">
        <f>VLOOKUP(Tabela26[[#This Row],[EMP]],[1]LOJA!$A:$B,2,0)</f>
        <v>AG LINDAS</v>
      </c>
      <c r="E2678">
        <v>240</v>
      </c>
      <c r="F2678" t="s">
        <v>5663</v>
      </c>
      <c r="G2678" t="s">
        <v>3437</v>
      </c>
      <c r="H2678" t="s">
        <v>3401</v>
      </c>
      <c r="I2678">
        <v>5102</v>
      </c>
      <c r="J2678" s="3">
        <v>89</v>
      </c>
      <c r="K2678" s="3">
        <v>50.74</v>
      </c>
      <c r="L2678">
        <v>42.99</v>
      </c>
    </row>
    <row r="2679" spans="1:12">
      <c r="A2679" s="1">
        <v>46035</v>
      </c>
      <c r="B2679" t="s">
        <v>9966</v>
      </c>
      <c r="C2679">
        <v>16</v>
      </c>
      <c r="D2679" t="str">
        <f>VLOOKUP(Tabela26[[#This Row],[EMP]],[1]LOJA!$A:$B,2,0)</f>
        <v>AG LINDAS</v>
      </c>
      <c r="E2679">
        <v>240</v>
      </c>
      <c r="F2679" t="s">
        <v>3818</v>
      </c>
      <c r="G2679" t="s">
        <v>3817</v>
      </c>
      <c r="H2679" t="s">
        <v>3401</v>
      </c>
      <c r="I2679">
        <v>5102</v>
      </c>
      <c r="J2679" s="3">
        <v>61</v>
      </c>
      <c r="K2679" s="3">
        <v>39.76</v>
      </c>
      <c r="L2679">
        <v>34.82</v>
      </c>
    </row>
    <row r="2680" spans="1:12">
      <c r="A2680" s="1">
        <v>46035</v>
      </c>
      <c r="B2680" t="s">
        <v>9965</v>
      </c>
      <c r="C2680">
        <v>16</v>
      </c>
      <c r="D2680" t="str">
        <f>VLOOKUP(Tabela26[[#This Row],[EMP]],[1]LOJA!$A:$B,2,0)</f>
        <v>AG LINDAS</v>
      </c>
      <c r="E2680">
        <v>240</v>
      </c>
      <c r="F2680" t="s">
        <v>5133</v>
      </c>
      <c r="G2680" t="s">
        <v>5132</v>
      </c>
      <c r="H2680" t="s">
        <v>3401</v>
      </c>
      <c r="I2680">
        <v>5405</v>
      </c>
      <c r="J2680" s="3">
        <v>1140</v>
      </c>
      <c r="K2680" s="3">
        <v>652.66999999999996</v>
      </c>
      <c r="L2680">
        <v>42.75</v>
      </c>
    </row>
    <row r="2681" spans="1:12">
      <c r="A2681" s="1">
        <v>46035</v>
      </c>
      <c r="B2681" t="s">
        <v>9964</v>
      </c>
      <c r="C2681">
        <v>16</v>
      </c>
      <c r="D2681" t="str">
        <f>VLOOKUP(Tabela26[[#This Row],[EMP]],[1]LOJA!$A:$B,2,0)</f>
        <v>AG LINDAS</v>
      </c>
      <c r="E2681">
        <v>240</v>
      </c>
      <c r="F2681" t="s">
        <v>9963</v>
      </c>
      <c r="G2681" t="s">
        <v>3437</v>
      </c>
      <c r="H2681" t="s">
        <v>3401</v>
      </c>
      <c r="I2681">
        <v>5102</v>
      </c>
      <c r="J2681" s="3">
        <v>384.05</v>
      </c>
      <c r="K2681" s="3">
        <v>227.83</v>
      </c>
      <c r="L2681">
        <v>40.68</v>
      </c>
    </row>
    <row r="2682" spans="1:12">
      <c r="A2682" s="1">
        <v>46035</v>
      </c>
      <c r="B2682" t="s">
        <v>9962</v>
      </c>
      <c r="C2682">
        <v>16</v>
      </c>
      <c r="D2682" t="str">
        <f>VLOOKUP(Tabela26[[#This Row],[EMP]],[1]LOJA!$A:$B,2,0)</f>
        <v>AG LINDAS</v>
      </c>
      <c r="E2682">
        <v>240</v>
      </c>
      <c r="F2682" t="s">
        <v>3780</v>
      </c>
      <c r="G2682" t="s">
        <v>3437</v>
      </c>
      <c r="H2682" t="s">
        <v>3401</v>
      </c>
      <c r="I2682">
        <v>5405</v>
      </c>
      <c r="J2682" s="3">
        <v>59.9</v>
      </c>
      <c r="K2682" s="3">
        <v>25.51</v>
      </c>
      <c r="L2682">
        <v>57.41</v>
      </c>
    </row>
    <row r="2683" spans="1:12">
      <c r="A2683" s="1">
        <v>46035</v>
      </c>
      <c r="B2683" t="s">
        <v>9961</v>
      </c>
      <c r="C2683">
        <v>16</v>
      </c>
      <c r="D2683" t="str">
        <f>VLOOKUP(Tabela26[[#This Row],[EMP]],[1]LOJA!$A:$B,2,0)</f>
        <v>AG LINDAS</v>
      </c>
      <c r="E2683">
        <v>240</v>
      </c>
      <c r="F2683" t="s">
        <v>3780</v>
      </c>
      <c r="G2683" t="s">
        <v>3437</v>
      </c>
      <c r="H2683" t="s">
        <v>3401</v>
      </c>
      <c r="I2683">
        <v>5102</v>
      </c>
      <c r="J2683" s="3">
        <v>29.9</v>
      </c>
      <c r="K2683" s="3">
        <v>18.62</v>
      </c>
      <c r="L2683">
        <v>37.729999999999997</v>
      </c>
    </row>
    <row r="2684" spans="1:12">
      <c r="A2684" s="1">
        <v>46035</v>
      </c>
      <c r="B2684" t="s">
        <v>9960</v>
      </c>
      <c r="C2684">
        <v>16</v>
      </c>
      <c r="D2684" t="str">
        <f>VLOOKUP(Tabela26[[#This Row],[EMP]],[1]LOJA!$A:$B,2,0)</f>
        <v>AG LINDAS</v>
      </c>
      <c r="E2684">
        <v>240</v>
      </c>
      <c r="F2684" t="s">
        <v>3780</v>
      </c>
      <c r="G2684" t="s">
        <v>3437</v>
      </c>
      <c r="H2684" t="s">
        <v>3401</v>
      </c>
      <c r="I2684">
        <v>5405</v>
      </c>
      <c r="J2684" s="3">
        <v>210</v>
      </c>
      <c r="K2684" s="3">
        <v>104.38</v>
      </c>
      <c r="L2684">
        <v>50.3</v>
      </c>
    </row>
    <row r="2685" spans="1:12">
      <c r="A2685" s="1">
        <v>46035</v>
      </c>
      <c r="B2685" t="s">
        <v>9959</v>
      </c>
      <c r="C2685">
        <v>16</v>
      </c>
      <c r="D2685" t="str">
        <f>VLOOKUP(Tabela26[[#This Row],[EMP]],[1]LOJA!$A:$B,2,0)</f>
        <v>AG LINDAS</v>
      </c>
      <c r="E2685">
        <v>240</v>
      </c>
      <c r="F2685" t="s">
        <v>3780</v>
      </c>
      <c r="G2685" t="s">
        <v>3437</v>
      </c>
      <c r="H2685" t="s">
        <v>3401</v>
      </c>
      <c r="I2685">
        <v>5102</v>
      </c>
      <c r="J2685" s="3">
        <v>59</v>
      </c>
      <c r="K2685" s="3">
        <v>29.85</v>
      </c>
      <c r="L2685">
        <v>49.41</v>
      </c>
    </row>
    <row r="2686" spans="1:12">
      <c r="A2686" s="1">
        <v>46035</v>
      </c>
      <c r="B2686" t="s">
        <v>9958</v>
      </c>
      <c r="C2686">
        <v>14</v>
      </c>
      <c r="D2686" t="str">
        <f>VLOOKUP(Tabela26[[#This Row],[EMP]],[1]LOJA!$A:$B,2,0)</f>
        <v>S IA</v>
      </c>
      <c r="E2686">
        <v>54</v>
      </c>
      <c r="F2686" t="s">
        <v>5089</v>
      </c>
      <c r="G2686" t="s">
        <v>5088</v>
      </c>
      <c r="H2686" t="s">
        <v>3430</v>
      </c>
      <c r="I2686">
        <v>5405</v>
      </c>
      <c r="J2686" s="3">
        <v>679.05</v>
      </c>
      <c r="K2686" s="3">
        <v>299.56</v>
      </c>
      <c r="L2686">
        <v>55.89</v>
      </c>
    </row>
    <row r="2687" spans="1:12">
      <c r="A2687" s="1">
        <v>46035</v>
      </c>
      <c r="B2687" t="s">
        <v>9957</v>
      </c>
      <c r="C2687">
        <v>14</v>
      </c>
      <c r="D2687" t="str">
        <f>VLOOKUP(Tabela26[[#This Row],[EMP]],[1]LOJA!$A:$B,2,0)</f>
        <v>S IA</v>
      </c>
      <c r="E2687">
        <v>54</v>
      </c>
      <c r="F2687" t="s">
        <v>3775</v>
      </c>
      <c r="G2687" t="s">
        <v>3774</v>
      </c>
      <c r="H2687" t="s">
        <v>3430</v>
      </c>
      <c r="I2687">
        <v>5405</v>
      </c>
      <c r="J2687" s="3">
        <v>89</v>
      </c>
      <c r="K2687" s="3">
        <v>34.630000000000003</v>
      </c>
      <c r="L2687">
        <v>61.09</v>
      </c>
    </row>
    <row r="2688" spans="1:12">
      <c r="A2688" s="1">
        <v>46035</v>
      </c>
      <c r="B2688" t="s">
        <v>9956</v>
      </c>
      <c r="C2688">
        <v>14</v>
      </c>
      <c r="D2688" t="str">
        <f>VLOOKUP(Tabela26[[#This Row],[EMP]],[1]LOJA!$A:$B,2,0)</f>
        <v>S IA</v>
      </c>
      <c r="E2688">
        <v>212</v>
      </c>
      <c r="F2688" t="s">
        <v>7639</v>
      </c>
      <c r="G2688" t="s">
        <v>7638</v>
      </c>
      <c r="H2688" t="s">
        <v>3408</v>
      </c>
      <c r="I2688">
        <v>5405</v>
      </c>
      <c r="J2688" s="3">
        <v>1325.6</v>
      </c>
      <c r="K2688" s="3">
        <v>695.09</v>
      </c>
      <c r="L2688">
        <v>47.56</v>
      </c>
    </row>
    <row r="2689" spans="1:12">
      <c r="A2689" s="1">
        <v>46035</v>
      </c>
      <c r="B2689" t="s">
        <v>9955</v>
      </c>
      <c r="C2689">
        <v>14</v>
      </c>
      <c r="D2689" t="str">
        <f>VLOOKUP(Tabela26[[#This Row],[EMP]],[1]LOJA!$A:$B,2,0)</f>
        <v>S IA</v>
      </c>
      <c r="E2689">
        <v>54</v>
      </c>
      <c r="F2689" t="s">
        <v>5089</v>
      </c>
      <c r="G2689" t="s">
        <v>5088</v>
      </c>
      <c r="H2689" t="s">
        <v>3430</v>
      </c>
      <c r="I2689">
        <v>5405</v>
      </c>
      <c r="J2689" s="3">
        <v>96.44</v>
      </c>
      <c r="K2689" s="3">
        <v>37.79</v>
      </c>
      <c r="L2689">
        <v>60.82</v>
      </c>
    </row>
    <row r="2690" spans="1:12">
      <c r="A2690" s="1">
        <v>46035</v>
      </c>
      <c r="B2690" t="s">
        <v>9954</v>
      </c>
      <c r="C2690">
        <v>14</v>
      </c>
      <c r="D2690" t="str">
        <f>VLOOKUP(Tabela26[[#This Row],[EMP]],[1]LOJA!$A:$B,2,0)</f>
        <v>S IA</v>
      </c>
      <c r="E2690">
        <v>54</v>
      </c>
      <c r="F2690" t="s">
        <v>4488</v>
      </c>
      <c r="G2690" t="s">
        <v>4487</v>
      </c>
      <c r="H2690" t="s">
        <v>3401</v>
      </c>
      <c r="I2690">
        <v>1411</v>
      </c>
      <c r="J2690" s="3">
        <v>-160.41</v>
      </c>
      <c r="K2690" s="3">
        <v>-83.58</v>
      </c>
      <c r="L2690">
        <v>47.9</v>
      </c>
    </row>
    <row r="2691" spans="1:12">
      <c r="A2691" s="1">
        <v>46035</v>
      </c>
      <c r="B2691" t="s">
        <v>9953</v>
      </c>
      <c r="C2691">
        <v>14</v>
      </c>
      <c r="D2691" t="str">
        <f>VLOOKUP(Tabela26[[#This Row],[EMP]],[1]LOJA!$A:$B,2,0)</f>
        <v>S IA</v>
      </c>
      <c r="E2691">
        <v>212</v>
      </c>
      <c r="F2691" t="s">
        <v>4488</v>
      </c>
      <c r="G2691" t="s">
        <v>4487</v>
      </c>
      <c r="H2691" t="s">
        <v>3408</v>
      </c>
      <c r="I2691">
        <v>5102</v>
      </c>
      <c r="J2691" s="3">
        <v>340.65</v>
      </c>
      <c r="K2691" s="3">
        <v>200.72</v>
      </c>
      <c r="L2691">
        <v>41.08</v>
      </c>
    </row>
    <row r="2692" spans="1:12">
      <c r="A2692" s="1">
        <v>46035</v>
      </c>
      <c r="B2692" t="s">
        <v>9952</v>
      </c>
      <c r="C2692">
        <v>14</v>
      </c>
      <c r="D2692" t="str">
        <f>VLOOKUP(Tabela26[[#This Row],[EMP]],[1]LOJA!$A:$B,2,0)</f>
        <v>S IA</v>
      </c>
      <c r="E2692">
        <v>54</v>
      </c>
      <c r="F2692" t="s">
        <v>3775</v>
      </c>
      <c r="G2692" t="s">
        <v>3774</v>
      </c>
      <c r="H2692" t="s">
        <v>3430</v>
      </c>
      <c r="I2692">
        <v>5102</v>
      </c>
      <c r="J2692" s="3">
        <v>47.51</v>
      </c>
      <c r="K2692" s="3">
        <v>21.36</v>
      </c>
      <c r="L2692">
        <v>55.04</v>
      </c>
    </row>
    <row r="2693" spans="1:12">
      <c r="A2693" s="1">
        <v>46035</v>
      </c>
      <c r="B2693" t="s">
        <v>9951</v>
      </c>
      <c r="C2693">
        <v>14</v>
      </c>
      <c r="D2693" t="str">
        <f>VLOOKUP(Tabela26[[#This Row],[EMP]],[1]LOJA!$A:$B,2,0)</f>
        <v>S IA</v>
      </c>
      <c r="E2693">
        <v>212</v>
      </c>
      <c r="F2693" t="s">
        <v>3740</v>
      </c>
      <c r="G2693" t="s">
        <v>3739</v>
      </c>
      <c r="H2693" t="s">
        <v>3408</v>
      </c>
      <c r="I2693">
        <v>5405</v>
      </c>
      <c r="J2693" s="3">
        <v>520</v>
      </c>
      <c r="K2693" s="3">
        <v>233.52</v>
      </c>
      <c r="L2693">
        <v>55.09</v>
      </c>
    </row>
    <row r="2694" spans="1:12">
      <c r="A2694" s="1">
        <v>46035</v>
      </c>
      <c r="B2694" t="s">
        <v>9950</v>
      </c>
      <c r="C2694">
        <v>14</v>
      </c>
      <c r="D2694" t="str">
        <f>VLOOKUP(Tabela26[[#This Row],[EMP]],[1]LOJA!$A:$B,2,0)</f>
        <v>S IA</v>
      </c>
      <c r="E2694">
        <v>54</v>
      </c>
      <c r="F2694" t="s">
        <v>3772</v>
      </c>
      <c r="G2694" t="s">
        <v>3771</v>
      </c>
      <c r="H2694" t="s">
        <v>3430</v>
      </c>
      <c r="I2694">
        <v>5405</v>
      </c>
      <c r="J2694" s="3">
        <v>35</v>
      </c>
      <c r="K2694" s="3">
        <v>14.68</v>
      </c>
      <c r="L2694">
        <v>58.06</v>
      </c>
    </row>
    <row r="2695" spans="1:12">
      <c r="A2695" s="1">
        <v>46035</v>
      </c>
      <c r="B2695" t="s">
        <v>9949</v>
      </c>
      <c r="C2695">
        <v>14</v>
      </c>
      <c r="D2695" t="str">
        <f>VLOOKUP(Tabela26[[#This Row],[EMP]],[1]LOJA!$A:$B,2,0)</f>
        <v>S IA</v>
      </c>
      <c r="E2695">
        <v>54</v>
      </c>
      <c r="F2695" t="s">
        <v>7649</v>
      </c>
      <c r="G2695" t="s">
        <v>7648</v>
      </c>
      <c r="H2695" t="s">
        <v>3408</v>
      </c>
      <c r="I2695">
        <v>5405</v>
      </c>
      <c r="J2695" s="3">
        <v>80</v>
      </c>
      <c r="K2695" s="3">
        <v>33.93</v>
      </c>
      <c r="L2695">
        <v>57.59</v>
      </c>
    </row>
    <row r="2696" spans="1:12">
      <c r="A2696" s="1">
        <v>46035</v>
      </c>
      <c r="B2696" t="s">
        <v>9948</v>
      </c>
      <c r="C2696">
        <v>14</v>
      </c>
      <c r="D2696" t="str">
        <f>VLOOKUP(Tabela26[[#This Row],[EMP]],[1]LOJA!$A:$B,2,0)</f>
        <v>S IA</v>
      </c>
      <c r="E2696">
        <v>212</v>
      </c>
      <c r="F2696" t="s">
        <v>3762</v>
      </c>
      <c r="G2696" t="s">
        <v>3761</v>
      </c>
      <c r="H2696" t="s">
        <v>3430</v>
      </c>
      <c r="I2696">
        <v>5405</v>
      </c>
      <c r="J2696" s="3">
        <v>97.18</v>
      </c>
      <c r="K2696" s="3">
        <v>46.85</v>
      </c>
      <c r="L2696">
        <v>51.79</v>
      </c>
    </row>
    <row r="2697" spans="1:12">
      <c r="A2697" s="1">
        <v>46035</v>
      </c>
      <c r="B2697" t="s">
        <v>9947</v>
      </c>
      <c r="C2697">
        <v>14</v>
      </c>
      <c r="D2697" t="str">
        <f>VLOOKUP(Tabela26[[#This Row],[EMP]],[1]LOJA!$A:$B,2,0)</f>
        <v>S IA</v>
      </c>
      <c r="E2697">
        <v>212</v>
      </c>
      <c r="F2697" t="s">
        <v>8644</v>
      </c>
      <c r="G2697" t="s">
        <v>8643</v>
      </c>
      <c r="H2697" t="s">
        <v>3408</v>
      </c>
      <c r="I2697">
        <v>5405</v>
      </c>
      <c r="J2697" s="3">
        <v>298</v>
      </c>
      <c r="K2697" s="3">
        <v>146.63</v>
      </c>
      <c r="L2697">
        <v>50.8</v>
      </c>
    </row>
    <row r="2698" spans="1:12">
      <c r="A2698" s="1">
        <v>46035</v>
      </c>
      <c r="B2698" t="s">
        <v>9946</v>
      </c>
      <c r="C2698">
        <v>14</v>
      </c>
      <c r="D2698" t="str">
        <f>VLOOKUP(Tabela26[[#This Row],[EMP]],[1]LOJA!$A:$B,2,0)</f>
        <v>S IA</v>
      </c>
      <c r="E2698">
        <v>54</v>
      </c>
      <c r="F2698" t="s">
        <v>3756</v>
      </c>
      <c r="G2698" t="s">
        <v>3755</v>
      </c>
      <c r="H2698" t="s">
        <v>3408</v>
      </c>
      <c r="I2698">
        <v>5102</v>
      </c>
      <c r="J2698" s="3">
        <v>12259.21</v>
      </c>
      <c r="K2698" s="3">
        <v>8552.77</v>
      </c>
      <c r="L2698">
        <v>30.23</v>
      </c>
    </row>
    <row r="2699" spans="1:12">
      <c r="A2699" s="1">
        <v>46035</v>
      </c>
      <c r="B2699" t="s">
        <v>9945</v>
      </c>
      <c r="C2699">
        <v>14</v>
      </c>
      <c r="D2699" t="str">
        <f>VLOOKUP(Tabela26[[#This Row],[EMP]],[1]LOJA!$A:$B,2,0)</f>
        <v>S IA</v>
      </c>
      <c r="E2699">
        <v>212</v>
      </c>
      <c r="F2699" t="s">
        <v>9944</v>
      </c>
      <c r="G2699" t="s">
        <v>6252</v>
      </c>
      <c r="H2699" t="s">
        <v>3408</v>
      </c>
      <c r="I2699">
        <v>5405</v>
      </c>
      <c r="J2699" s="3">
        <v>130</v>
      </c>
      <c r="K2699" s="3">
        <v>56.57</v>
      </c>
      <c r="L2699">
        <v>56.48</v>
      </c>
    </row>
    <row r="2700" spans="1:12">
      <c r="A2700" s="1">
        <v>46035</v>
      </c>
      <c r="B2700" t="s">
        <v>9943</v>
      </c>
      <c r="C2700">
        <v>14</v>
      </c>
      <c r="D2700" t="str">
        <f>VLOOKUP(Tabela26[[#This Row],[EMP]],[1]LOJA!$A:$B,2,0)</f>
        <v>S IA</v>
      </c>
      <c r="E2700">
        <v>212</v>
      </c>
      <c r="F2700" t="s">
        <v>9942</v>
      </c>
      <c r="G2700" t="s">
        <v>9941</v>
      </c>
      <c r="H2700" t="s">
        <v>3401</v>
      </c>
      <c r="I2700">
        <v>5405</v>
      </c>
      <c r="J2700" s="3">
        <v>696</v>
      </c>
      <c r="K2700" s="3">
        <v>344.04</v>
      </c>
      <c r="L2700">
        <v>50.57</v>
      </c>
    </row>
    <row r="2701" spans="1:12">
      <c r="A2701" s="1">
        <v>46035</v>
      </c>
      <c r="B2701" t="s">
        <v>9940</v>
      </c>
      <c r="C2701">
        <v>14</v>
      </c>
      <c r="D2701" t="str">
        <f>VLOOKUP(Tabela26[[#This Row],[EMP]],[1]LOJA!$A:$B,2,0)</f>
        <v>S IA</v>
      </c>
      <c r="E2701">
        <v>54</v>
      </c>
      <c r="F2701" t="s">
        <v>9939</v>
      </c>
      <c r="G2701" t="s">
        <v>9938</v>
      </c>
      <c r="H2701" t="s">
        <v>3401</v>
      </c>
      <c r="I2701">
        <v>5405</v>
      </c>
      <c r="J2701" s="3">
        <v>423.54</v>
      </c>
      <c r="K2701" s="3">
        <v>189.66</v>
      </c>
      <c r="L2701">
        <v>55.22</v>
      </c>
    </row>
    <row r="2702" spans="1:12">
      <c r="A2702" s="1">
        <v>46035</v>
      </c>
      <c r="B2702" t="s">
        <v>9937</v>
      </c>
      <c r="C2702">
        <v>14</v>
      </c>
      <c r="D2702" t="str">
        <f>VLOOKUP(Tabela26[[#This Row],[EMP]],[1]LOJA!$A:$B,2,0)</f>
        <v>S IA</v>
      </c>
      <c r="E2702">
        <v>212</v>
      </c>
      <c r="F2702" t="s">
        <v>3778</v>
      </c>
      <c r="G2702" t="s">
        <v>3777</v>
      </c>
      <c r="H2702" t="s">
        <v>3537</v>
      </c>
      <c r="I2702">
        <v>5405</v>
      </c>
      <c r="J2702" s="3">
        <v>206.42</v>
      </c>
      <c r="K2702" s="3">
        <v>105.5</v>
      </c>
      <c r="L2702">
        <v>48.89</v>
      </c>
    </row>
    <row r="2703" spans="1:12">
      <c r="A2703" s="1">
        <v>46035</v>
      </c>
      <c r="B2703" t="s">
        <v>9936</v>
      </c>
      <c r="C2703">
        <v>14</v>
      </c>
      <c r="D2703" t="str">
        <f>VLOOKUP(Tabela26[[#This Row],[EMP]],[1]LOJA!$A:$B,2,0)</f>
        <v>S IA</v>
      </c>
      <c r="E2703">
        <v>54</v>
      </c>
      <c r="F2703" t="s">
        <v>3759</v>
      </c>
      <c r="G2703" t="s">
        <v>3758</v>
      </c>
      <c r="H2703" t="s">
        <v>3408</v>
      </c>
      <c r="I2703">
        <v>5405</v>
      </c>
      <c r="J2703" s="3">
        <v>51</v>
      </c>
      <c r="K2703" s="3">
        <v>25.02</v>
      </c>
      <c r="L2703">
        <v>50.94</v>
      </c>
    </row>
    <row r="2704" spans="1:12">
      <c r="A2704" s="1">
        <v>46035</v>
      </c>
      <c r="B2704" t="s">
        <v>9935</v>
      </c>
      <c r="C2704">
        <v>14</v>
      </c>
      <c r="D2704" t="str">
        <f>VLOOKUP(Tabela26[[#This Row],[EMP]],[1]LOJA!$A:$B,2,0)</f>
        <v>S IA</v>
      </c>
      <c r="E2704">
        <v>54</v>
      </c>
      <c r="F2704" t="s">
        <v>5089</v>
      </c>
      <c r="G2704" t="s">
        <v>5088</v>
      </c>
      <c r="H2704" t="s">
        <v>3430</v>
      </c>
      <c r="I2704">
        <v>5405</v>
      </c>
      <c r="J2704" s="3">
        <v>200.09</v>
      </c>
      <c r="K2704" s="3">
        <v>80.150000000000006</v>
      </c>
      <c r="L2704">
        <v>59.94</v>
      </c>
    </row>
    <row r="2705" spans="1:12">
      <c r="A2705" s="1">
        <v>46035</v>
      </c>
      <c r="B2705" t="s">
        <v>9934</v>
      </c>
      <c r="C2705">
        <v>14</v>
      </c>
      <c r="D2705" t="str">
        <f>VLOOKUP(Tabela26[[#This Row],[EMP]],[1]LOJA!$A:$B,2,0)</f>
        <v>S IA</v>
      </c>
      <c r="E2705">
        <v>54</v>
      </c>
      <c r="F2705" t="s">
        <v>3775</v>
      </c>
      <c r="G2705" t="s">
        <v>3774</v>
      </c>
      <c r="H2705" t="s">
        <v>3430</v>
      </c>
      <c r="I2705">
        <v>5102</v>
      </c>
      <c r="J2705" s="3">
        <v>189.63</v>
      </c>
      <c r="K2705" s="3">
        <v>103.64</v>
      </c>
      <c r="L2705">
        <v>45.35</v>
      </c>
    </row>
    <row r="2706" spans="1:12">
      <c r="A2706" s="1">
        <v>46035</v>
      </c>
      <c r="B2706" t="s">
        <v>9933</v>
      </c>
      <c r="C2706">
        <v>12</v>
      </c>
      <c r="D2706" t="str">
        <f>VLOOKUP(Tabela26[[#This Row],[EMP]],[1]LOJA!$A:$B,2,0)</f>
        <v>SOFNORTE</v>
      </c>
      <c r="E2706">
        <v>239</v>
      </c>
      <c r="F2706" t="s">
        <v>3691</v>
      </c>
      <c r="G2706" t="s">
        <v>3690</v>
      </c>
      <c r="H2706" t="s">
        <v>3689</v>
      </c>
      <c r="I2706">
        <v>5102</v>
      </c>
      <c r="J2706" s="3">
        <v>4.1399999999999997</v>
      </c>
      <c r="K2706" s="3">
        <v>2.3199999999999998</v>
      </c>
      <c r="L2706">
        <v>43.96</v>
      </c>
    </row>
    <row r="2707" spans="1:12">
      <c r="A2707" s="1">
        <v>46035</v>
      </c>
      <c r="B2707" t="s">
        <v>9932</v>
      </c>
      <c r="C2707">
        <v>12</v>
      </c>
      <c r="D2707" t="str">
        <f>VLOOKUP(Tabela26[[#This Row],[EMP]],[1]LOJA!$A:$B,2,0)</f>
        <v>SOFNORTE</v>
      </c>
      <c r="E2707">
        <v>239</v>
      </c>
      <c r="F2707" t="s">
        <v>3687</v>
      </c>
      <c r="G2707" t="s">
        <v>3686</v>
      </c>
      <c r="H2707" t="s">
        <v>3689</v>
      </c>
      <c r="I2707">
        <v>5405</v>
      </c>
      <c r="J2707" s="3">
        <v>125</v>
      </c>
      <c r="K2707" s="3">
        <v>60.91</v>
      </c>
      <c r="L2707">
        <v>51.27</v>
      </c>
    </row>
    <row r="2708" spans="1:12">
      <c r="A2708" s="1">
        <v>46035</v>
      </c>
      <c r="B2708" t="s">
        <v>9931</v>
      </c>
      <c r="C2708">
        <v>12</v>
      </c>
      <c r="D2708" t="str">
        <f>VLOOKUP(Tabela26[[#This Row],[EMP]],[1]LOJA!$A:$B,2,0)</f>
        <v>SOFNORTE</v>
      </c>
      <c r="E2708">
        <v>60</v>
      </c>
      <c r="F2708" t="s">
        <v>4458</v>
      </c>
      <c r="G2708" t="s">
        <v>4457</v>
      </c>
      <c r="H2708" t="s">
        <v>3689</v>
      </c>
      <c r="I2708">
        <v>5102</v>
      </c>
      <c r="J2708" s="3">
        <v>106</v>
      </c>
      <c r="K2708" s="3">
        <v>52.99</v>
      </c>
      <c r="L2708">
        <v>50.01</v>
      </c>
    </row>
    <row r="2709" spans="1:12">
      <c r="A2709" s="1">
        <v>46035</v>
      </c>
      <c r="B2709" t="s">
        <v>9930</v>
      </c>
      <c r="C2709">
        <v>12</v>
      </c>
      <c r="D2709" t="str">
        <f>VLOOKUP(Tabela26[[#This Row],[EMP]],[1]LOJA!$A:$B,2,0)</f>
        <v>SOFNORTE</v>
      </c>
      <c r="E2709">
        <v>60</v>
      </c>
      <c r="F2709" t="s">
        <v>9929</v>
      </c>
      <c r="G2709" t="s">
        <v>3402</v>
      </c>
      <c r="H2709" t="s">
        <v>3401</v>
      </c>
      <c r="I2709">
        <v>5405</v>
      </c>
      <c r="J2709" s="3">
        <v>270</v>
      </c>
      <c r="K2709" s="3">
        <v>127.88</v>
      </c>
      <c r="L2709">
        <v>52.64</v>
      </c>
    </row>
    <row r="2710" spans="1:12">
      <c r="A2710" s="1">
        <v>46035</v>
      </c>
      <c r="B2710" t="s">
        <v>9928</v>
      </c>
      <c r="C2710">
        <v>12</v>
      </c>
      <c r="D2710" t="str">
        <f>VLOOKUP(Tabela26[[#This Row],[EMP]],[1]LOJA!$A:$B,2,0)</f>
        <v>SOFNORTE</v>
      </c>
      <c r="E2710">
        <v>60</v>
      </c>
      <c r="F2710" t="s">
        <v>6686</v>
      </c>
      <c r="G2710" t="s">
        <v>3402</v>
      </c>
      <c r="H2710" t="s">
        <v>3408</v>
      </c>
      <c r="I2710">
        <v>5405</v>
      </c>
      <c r="J2710" s="3">
        <v>40</v>
      </c>
      <c r="K2710" s="3">
        <v>19.079999999999998</v>
      </c>
      <c r="L2710">
        <v>52.3</v>
      </c>
    </row>
    <row r="2711" spans="1:12">
      <c r="A2711" s="1">
        <v>46035</v>
      </c>
      <c r="B2711" t="s">
        <v>9927</v>
      </c>
      <c r="C2711">
        <v>12</v>
      </c>
      <c r="D2711" t="str">
        <f>VLOOKUP(Tabela26[[#This Row],[EMP]],[1]LOJA!$A:$B,2,0)</f>
        <v>SOFNORTE</v>
      </c>
      <c r="E2711">
        <v>60</v>
      </c>
      <c r="F2711" t="s">
        <v>3698</v>
      </c>
      <c r="G2711" t="s">
        <v>3697</v>
      </c>
      <c r="H2711" t="s">
        <v>3401</v>
      </c>
      <c r="I2711">
        <v>5405</v>
      </c>
      <c r="J2711" s="3">
        <v>86</v>
      </c>
      <c r="K2711" s="3">
        <v>38.22</v>
      </c>
      <c r="L2711">
        <v>55.56</v>
      </c>
    </row>
    <row r="2712" spans="1:12">
      <c r="A2712" s="1">
        <v>46035</v>
      </c>
      <c r="B2712" t="s">
        <v>9926</v>
      </c>
      <c r="C2712">
        <v>12</v>
      </c>
      <c r="D2712" t="str">
        <f>VLOOKUP(Tabela26[[#This Row],[EMP]],[1]LOJA!$A:$B,2,0)</f>
        <v>SOFNORTE</v>
      </c>
      <c r="E2712">
        <v>60</v>
      </c>
      <c r="F2712" t="s">
        <v>3691</v>
      </c>
      <c r="G2712" t="s">
        <v>3690</v>
      </c>
      <c r="H2712" t="s">
        <v>3689</v>
      </c>
      <c r="I2712">
        <v>5405</v>
      </c>
      <c r="J2712" s="3">
        <v>166</v>
      </c>
      <c r="K2712" s="3">
        <v>79.61</v>
      </c>
      <c r="L2712">
        <v>52.04</v>
      </c>
    </row>
    <row r="2713" spans="1:12">
      <c r="A2713" s="1">
        <v>46035</v>
      </c>
      <c r="B2713" t="s">
        <v>9925</v>
      </c>
      <c r="C2713">
        <v>12</v>
      </c>
      <c r="D2713" t="str">
        <f>VLOOKUP(Tabela26[[#This Row],[EMP]],[1]LOJA!$A:$B,2,0)</f>
        <v>SOFNORTE</v>
      </c>
      <c r="E2713">
        <v>60</v>
      </c>
      <c r="F2713" t="s">
        <v>3701</v>
      </c>
      <c r="G2713" t="s">
        <v>3700</v>
      </c>
      <c r="H2713" t="s">
        <v>3408</v>
      </c>
      <c r="I2713">
        <v>5102</v>
      </c>
      <c r="J2713" s="3">
        <v>23.9</v>
      </c>
      <c r="K2713" s="3">
        <v>11.63</v>
      </c>
      <c r="L2713">
        <v>51.34</v>
      </c>
    </row>
    <row r="2714" spans="1:12">
      <c r="A2714" s="1">
        <v>46035</v>
      </c>
      <c r="B2714" t="s">
        <v>9924</v>
      </c>
      <c r="C2714">
        <v>12</v>
      </c>
      <c r="D2714" t="str">
        <f>VLOOKUP(Tabela26[[#This Row],[EMP]],[1]LOJA!$A:$B,2,0)</f>
        <v>SOFNORTE</v>
      </c>
      <c r="E2714">
        <v>60</v>
      </c>
      <c r="F2714" t="s">
        <v>5625</v>
      </c>
      <c r="G2714" t="s">
        <v>5624</v>
      </c>
      <c r="H2714" t="s">
        <v>3401</v>
      </c>
      <c r="I2714">
        <v>5405</v>
      </c>
      <c r="J2714" s="3">
        <v>104</v>
      </c>
      <c r="K2714" s="3">
        <v>52.32</v>
      </c>
      <c r="L2714">
        <v>49.69</v>
      </c>
    </row>
    <row r="2715" spans="1:12">
      <c r="A2715" s="1">
        <v>46035</v>
      </c>
      <c r="B2715" t="s">
        <v>9923</v>
      </c>
      <c r="C2715">
        <v>12</v>
      </c>
      <c r="D2715" t="str">
        <f>VLOOKUP(Tabela26[[#This Row],[EMP]],[1]LOJA!$A:$B,2,0)</f>
        <v>SOFNORTE</v>
      </c>
      <c r="E2715">
        <v>60</v>
      </c>
      <c r="F2715" t="s">
        <v>9922</v>
      </c>
      <c r="G2715" t="s">
        <v>3402</v>
      </c>
      <c r="H2715" t="s">
        <v>3401</v>
      </c>
      <c r="I2715">
        <v>5405</v>
      </c>
      <c r="J2715" s="3">
        <v>168</v>
      </c>
      <c r="K2715" s="3">
        <v>79.23</v>
      </c>
      <c r="L2715">
        <v>52.84</v>
      </c>
    </row>
    <row r="2716" spans="1:12">
      <c r="A2716" s="1">
        <v>46035</v>
      </c>
      <c r="B2716" t="s">
        <v>9921</v>
      </c>
      <c r="C2716">
        <v>12</v>
      </c>
      <c r="D2716" t="str">
        <f>VLOOKUP(Tabela26[[#This Row],[EMP]],[1]LOJA!$A:$B,2,0)</f>
        <v>SOFNORTE</v>
      </c>
      <c r="E2716">
        <v>60</v>
      </c>
      <c r="F2716" t="s">
        <v>3691</v>
      </c>
      <c r="G2716" t="s">
        <v>3690</v>
      </c>
      <c r="H2716" t="s">
        <v>3689</v>
      </c>
      <c r="I2716">
        <v>5405</v>
      </c>
      <c r="J2716" s="3">
        <v>127</v>
      </c>
      <c r="K2716" s="3">
        <v>60.06</v>
      </c>
      <c r="L2716">
        <v>52.71</v>
      </c>
    </row>
    <row r="2717" spans="1:12">
      <c r="A2717" s="1">
        <v>46035</v>
      </c>
      <c r="B2717" t="s">
        <v>9920</v>
      </c>
      <c r="C2717">
        <v>12</v>
      </c>
      <c r="D2717" t="str">
        <f>VLOOKUP(Tabela26[[#This Row],[EMP]],[1]LOJA!$A:$B,2,0)</f>
        <v>SOFNORTE</v>
      </c>
      <c r="E2717">
        <v>60</v>
      </c>
      <c r="F2717" t="s">
        <v>3715</v>
      </c>
      <c r="G2717" t="s">
        <v>3714</v>
      </c>
      <c r="H2717" t="s">
        <v>3401</v>
      </c>
      <c r="I2717">
        <v>5102</v>
      </c>
      <c r="J2717" s="3">
        <v>22.5</v>
      </c>
      <c r="K2717" s="3">
        <v>9.65</v>
      </c>
      <c r="L2717">
        <v>57.11</v>
      </c>
    </row>
    <row r="2718" spans="1:12">
      <c r="A2718" s="1">
        <v>46035</v>
      </c>
      <c r="B2718" t="s">
        <v>9919</v>
      </c>
      <c r="C2718">
        <v>12</v>
      </c>
      <c r="D2718" t="str">
        <f>VLOOKUP(Tabela26[[#This Row],[EMP]],[1]LOJA!$A:$B,2,0)</f>
        <v>SOFNORTE</v>
      </c>
      <c r="E2718">
        <v>60</v>
      </c>
      <c r="F2718" t="s">
        <v>3737</v>
      </c>
      <c r="G2718" t="s">
        <v>3736</v>
      </c>
      <c r="H2718" t="s">
        <v>3520</v>
      </c>
      <c r="I2718">
        <v>5405</v>
      </c>
      <c r="J2718" s="3">
        <v>35</v>
      </c>
      <c r="K2718" s="3">
        <v>15.69</v>
      </c>
      <c r="L2718">
        <v>55.17</v>
      </c>
    </row>
    <row r="2719" spans="1:12">
      <c r="A2719" s="1">
        <v>46035</v>
      </c>
      <c r="B2719" t="s">
        <v>9918</v>
      </c>
      <c r="C2719">
        <v>12</v>
      </c>
      <c r="D2719" t="str">
        <f>VLOOKUP(Tabela26[[#This Row],[EMP]],[1]LOJA!$A:$B,2,0)</f>
        <v>SOFNORTE</v>
      </c>
      <c r="E2719">
        <v>60</v>
      </c>
      <c r="F2719" t="s">
        <v>3691</v>
      </c>
      <c r="G2719" t="s">
        <v>3690</v>
      </c>
      <c r="H2719" t="s">
        <v>3689</v>
      </c>
      <c r="I2719">
        <v>5102</v>
      </c>
      <c r="J2719" s="3">
        <v>22.5</v>
      </c>
      <c r="K2719" s="3">
        <v>11.46</v>
      </c>
      <c r="L2719">
        <v>49.07</v>
      </c>
    </row>
    <row r="2720" spans="1:12">
      <c r="A2720" s="1">
        <v>46035</v>
      </c>
      <c r="B2720" t="s">
        <v>9917</v>
      </c>
      <c r="C2720">
        <v>12</v>
      </c>
      <c r="D2720" t="str">
        <f>VLOOKUP(Tabela26[[#This Row],[EMP]],[1]LOJA!$A:$B,2,0)</f>
        <v>SOFNORTE</v>
      </c>
      <c r="E2720">
        <v>60</v>
      </c>
      <c r="F2720" t="s">
        <v>9916</v>
      </c>
      <c r="G2720" t="s">
        <v>9915</v>
      </c>
      <c r="H2720" t="s">
        <v>3408</v>
      </c>
      <c r="I2720">
        <v>5102</v>
      </c>
      <c r="J2720" s="3">
        <v>65</v>
      </c>
      <c r="K2720" s="3">
        <v>31.81</v>
      </c>
      <c r="L2720">
        <v>51.06</v>
      </c>
    </row>
    <row r="2721" spans="1:12">
      <c r="A2721" s="1">
        <v>46035</v>
      </c>
      <c r="B2721" t="s">
        <v>9914</v>
      </c>
      <c r="C2721">
        <v>12</v>
      </c>
      <c r="D2721" t="str">
        <f>VLOOKUP(Tabela26[[#This Row],[EMP]],[1]LOJA!$A:$B,2,0)</f>
        <v>SOFNORTE</v>
      </c>
      <c r="E2721">
        <v>60</v>
      </c>
      <c r="F2721" t="s">
        <v>3403</v>
      </c>
      <c r="G2721" t="s">
        <v>3402</v>
      </c>
      <c r="H2721" t="s">
        <v>3401</v>
      </c>
      <c r="I2721">
        <v>5102</v>
      </c>
      <c r="J2721" s="3">
        <v>26</v>
      </c>
      <c r="K2721" s="3">
        <v>12.32</v>
      </c>
      <c r="L2721">
        <v>52.62</v>
      </c>
    </row>
    <row r="2722" spans="1:12">
      <c r="A2722" s="1">
        <v>46035</v>
      </c>
      <c r="B2722" t="s">
        <v>9913</v>
      </c>
      <c r="C2722">
        <v>12</v>
      </c>
      <c r="D2722" t="str">
        <f>VLOOKUP(Tabela26[[#This Row],[EMP]],[1]LOJA!$A:$B,2,0)</f>
        <v>SOFNORTE</v>
      </c>
      <c r="E2722">
        <v>60</v>
      </c>
      <c r="F2722" t="s">
        <v>3691</v>
      </c>
      <c r="G2722" t="s">
        <v>3690</v>
      </c>
      <c r="H2722" t="s">
        <v>3689</v>
      </c>
      <c r="I2722">
        <v>5102</v>
      </c>
      <c r="J2722" s="3">
        <v>39</v>
      </c>
      <c r="K2722" s="3">
        <v>21.35</v>
      </c>
      <c r="L2722">
        <v>45.26</v>
      </c>
    </row>
    <row r="2723" spans="1:12">
      <c r="A2723" s="1">
        <v>46035</v>
      </c>
      <c r="B2723" t="s">
        <v>9912</v>
      </c>
      <c r="C2723">
        <v>12</v>
      </c>
      <c r="D2723" t="str">
        <f>VLOOKUP(Tabela26[[#This Row],[EMP]],[1]LOJA!$A:$B,2,0)</f>
        <v>SOFNORTE</v>
      </c>
      <c r="E2723">
        <v>60</v>
      </c>
      <c r="F2723" t="s">
        <v>4973</v>
      </c>
      <c r="G2723" t="s">
        <v>3402</v>
      </c>
      <c r="H2723" t="s">
        <v>3401</v>
      </c>
      <c r="I2723">
        <v>5405</v>
      </c>
      <c r="J2723" s="3">
        <v>42</v>
      </c>
      <c r="K2723" s="3">
        <v>18.399999999999999</v>
      </c>
      <c r="L2723">
        <v>56.19</v>
      </c>
    </row>
    <row r="2724" spans="1:12">
      <c r="A2724" s="1">
        <v>46035</v>
      </c>
      <c r="B2724" t="s">
        <v>9911</v>
      </c>
      <c r="C2724">
        <v>12</v>
      </c>
      <c r="D2724" t="str">
        <f>VLOOKUP(Tabela26[[#This Row],[EMP]],[1]LOJA!$A:$B,2,0)</f>
        <v>SOFNORTE</v>
      </c>
      <c r="E2724">
        <v>60</v>
      </c>
      <c r="F2724" t="s">
        <v>3691</v>
      </c>
      <c r="G2724" t="s">
        <v>3690</v>
      </c>
      <c r="H2724" t="s">
        <v>3689</v>
      </c>
      <c r="I2724">
        <v>5405</v>
      </c>
      <c r="J2724" s="3">
        <v>95</v>
      </c>
      <c r="K2724" s="3">
        <v>43.79</v>
      </c>
      <c r="L2724">
        <v>53.91</v>
      </c>
    </row>
    <row r="2725" spans="1:12">
      <c r="A2725" s="1">
        <v>46035</v>
      </c>
      <c r="B2725" t="s">
        <v>9910</v>
      </c>
      <c r="C2725">
        <v>12</v>
      </c>
      <c r="D2725" t="str">
        <f>VLOOKUP(Tabela26[[#This Row],[EMP]],[1]LOJA!$A:$B,2,0)</f>
        <v>SOFNORTE</v>
      </c>
      <c r="E2725">
        <v>60</v>
      </c>
      <c r="F2725" t="s">
        <v>9909</v>
      </c>
      <c r="G2725" t="s">
        <v>3402</v>
      </c>
      <c r="H2725" t="s">
        <v>3401</v>
      </c>
      <c r="I2725">
        <v>5405</v>
      </c>
      <c r="J2725" s="3">
        <v>103</v>
      </c>
      <c r="K2725" s="3">
        <v>48.21</v>
      </c>
      <c r="L2725">
        <v>53.19</v>
      </c>
    </row>
    <row r="2726" spans="1:12">
      <c r="A2726" s="1">
        <v>46035</v>
      </c>
      <c r="B2726" t="s">
        <v>9908</v>
      </c>
      <c r="C2726">
        <v>12</v>
      </c>
      <c r="D2726" t="str">
        <f>VLOOKUP(Tabela26[[#This Row],[EMP]],[1]LOJA!$A:$B,2,0)</f>
        <v>SOFNORTE</v>
      </c>
      <c r="E2726">
        <v>239</v>
      </c>
      <c r="F2726" t="s">
        <v>3403</v>
      </c>
      <c r="G2726" t="s">
        <v>3402</v>
      </c>
      <c r="H2726" t="s">
        <v>3401</v>
      </c>
      <c r="I2726">
        <v>5102</v>
      </c>
      <c r="J2726" s="3">
        <v>53</v>
      </c>
      <c r="K2726" s="3">
        <v>30.3</v>
      </c>
      <c r="L2726">
        <v>42.83</v>
      </c>
    </row>
    <row r="2727" spans="1:12">
      <c r="A2727" s="1">
        <v>46035</v>
      </c>
      <c r="B2727" t="s">
        <v>9907</v>
      </c>
      <c r="C2727">
        <v>12</v>
      </c>
      <c r="D2727" t="str">
        <f>VLOOKUP(Tabela26[[#This Row],[EMP]],[1]LOJA!$A:$B,2,0)</f>
        <v>SOFNORTE</v>
      </c>
      <c r="E2727">
        <v>60</v>
      </c>
      <c r="F2727" t="s">
        <v>9906</v>
      </c>
      <c r="G2727" t="s">
        <v>9905</v>
      </c>
      <c r="H2727" t="s">
        <v>3408</v>
      </c>
      <c r="I2727">
        <v>5405</v>
      </c>
      <c r="J2727" s="3">
        <v>598.79999999999995</v>
      </c>
      <c r="K2727" s="3">
        <v>318.36</v>
      </c>
      <c r="L2727">
        <v>46.83</v>
      </c>
    </row>
    <row r="2728" spans="1:12">
      <c r="A2728" s="1">
        <v>46035</v>
      </c>
      <c r="B2728" t="s">
        <v>9904</v>
      </c>
      <c r="C2728">
        <v>14</v>
      </c>
      <c r="D2728" t="str">
        <f>VLOOKUP(Tabela26[[#This Row],[EMP]],[1]LOJA!$A:$B,2,0)</f>
        <v>S IA</v>
      </c>
      <c r="E2728">
        <v>54</v>
      </c>
      <c r="F2728" t="s">
        <v>9903</v>
      </c>
      <c r="G2728" t="s">
        <v>3402</v>
      </c>
      <c r="H2728" t="s">
        <v>3401</v>
      </c>
      <c r="I2728">
        <v>5102</v>
      </c>
      <c r="J2728" s="3">
        <v>45</v>
      </c>
      <c r="K2728" s="3">
        <v>20.8</v>
      </c>
      <c r="L2728">
        <v>53.78</v>
      </c>
    </row>
    <row r="2729" spans="1:12">
      <c r="A2729" s="1">
        <v>46035</v>
      </c>
      <c r="B2729" t="s">
        <v>9902</v>
      </c>
      <c r="C2729">
        <v>14</v>
      </c>
      <c r="D2729" t="str">
        <f>VLOOKUP(Tabela26[[#This Row],[EMP]],[1]LOJA!$A:$B,2,0)</f>
        <v>S IA</v>
      </c>
      <c r="E2729">
        <v>54</v>
      </c>
      <c r="F2729" t="s">
        <v>9901</v>
      </c>
      <c r="G2729" t="s">
        <v>3402</v>
      </c>
      <c r="H2729" t="s">
        <v>3408</v>
      </c>
      <c r="I2729">
        <v>5405</v>
      </c>
      <c r="J2729" s="3">
        <v>170</v>
      </c>
      <c r="K2729" s="3">
        <v>80.19</v>
      </c>
      <c r="L2729">
        <v>52.83</v>
      </c>
    </row>
    <row r="2730" spans="1:12">
      <c r="A2730" s="1">
        <v>46035</v>
      </c>
      <c r="B2730" t="s">
        <v>9900</v>
      </c>
      <c r="C2730">
        <v>14</v>
      </c>
      <c r="D2730" t="str">
        <f>VLOOKUP(Tabela26[[#This Row],[EMP]],[1]LOJA!$A:$B,2,0)</f>
        <v>S IA</v>
      </c>
      <c r="E2730">
        <v>212</v>
      </c>
      <c r="F2730" t="s">
        <v>3403</v>
      </c>
      <c r="G2730" t="s">
        <v>3402</v>
      </c>
      <c r="H2730" t="s">
        <v>3401</v>
      </c>
      <c r="I2730">
        <v>5102</v>
      </c>
      <c r="J2730" s="3">
        <v>59</v>
      </c>
      <c r="K2730" s="3">
        <v>31.34</v>
      </c>
      <c r="L2730">
        <v>46.88</v>
      </c>
    </row>
    <row r="2731" spans="1:12">
      <c r="A2731" s="1">
        <v>46035</v>
      </c>
      <c r="B2731" t="s">
        <v>9899</v>
      </c>
      <c r="C2731">
        <v>14</v>
      </c>
      <c r="D2731" t="str">
        <f>VLOOKUP(Tabela26[[#This Row],[EMP]],[1]LOJA!$A:$B,2,0)</f>
        <v>S IA</v>
      </c>
      <c r="E2731">
        <v>212</v>
      </c>
      <c r="F2731" t="s">
        <v>3403</v>
      </c>
      <c r="G2731" t="s">
        <v>3402</v>
      </c>
      <c r="H2731" t="s">
        <v>3401</v>
      </c>
      <c r="I2731">
        <v>5405</v>
      </c>
      <c r="J2731" s="3">
        <v>120</v>
      </c>
      <c r="K2731" s="3">
        <v>50.01</v>
      </c>
      <c r="L2731">
        <v>58.33</v>
      </c>
    </row>
    <row r="2732" spans="1:12">
      <c r="A2732" s="1">
        <v>46035</v>
      </c>
      <c r="B2732" t="s">
        <v>9898</v>
      </c>
      <c r="C2732">
        <v>14</v>
      </c>
      <c r="D2732" t="str">
        <f>VLOOKUP(Tabela26[[#This Row],[EMP]],[1]LOJA!$A:$B,2,0)</f>
        <v>S IA</v>
      </c>
      <c r="E2732">
        <v>212</v>
      </c>
      <c r="F2732" t="s">
        <v>3403</v>
      </c>
      <c r="G2732" t="s">
        <v>3402</v>
      </c>
      <c r="H2732" t="s">
        <v>3408</v>
      </c>
      <c r="I2732">
        <v>5102</v>
      </c>
      <c r="J2732" s="3">
        <v>35</v>
      </c>
      <c r="K2732" s="3">
        <v>21.83</v>
      </c>
      <c r="L2732">
        <v>37.630000000000003</v>
      </c>
    </row>
    <row r="2733" spans="1:12">
      <c r="A2733" s="1">
        <v>46035</v>
      </c>
      <c r="B2733" t="s">
        <v>9897</v>
      </c>
      <c r="C2733">
        <v>14</v>
      </c>
      <c r="D2733" t="str">
        <f>VLOOKUP(Tabela26[[#This Row],[EMP]],[1]LOJA!$A:$B,2,0)</f>
        <v>S IA</v>
      </c>
      <c r="E2733">
        <v>212</v>
      </c>
      <c r="F2733" t="s">
        <v>5642</v>
      </c>
      <c r="G2733" t="s">
        <v>5641</v>
      </c>
      <c r="H2733" t="s">
        <v>3401</v>
      </c>
      <c r="I2733">
        <v>5102</v>
      </c>
      <c r="J2733" s="3">
        <v>170.9</v>
      </c>
      <c r="K2733" s="3">
        <v>83.72</v>
      </c>
      <c r="L2733">
        <v>51.01</v>
      </c>
    </row>
    <row r="2734" spans="1:12">
      <c r="A2734" s="1">
        <v>46035</v>
      </c>
      <c r="B2734" t="s">
        <v>9896</v>
      </c>
      <c r="C2734">
        <v>14</v>
      </c>
      <c r="D2734" t="str">
        <f>VLOOKUP(Tabela26[[#This Row],[EMP]],[1]LOJA!$A:$B,2,0)</f>
        <v>S IA</v>
      </c>
      <c r="E2734">
        <v>212</v>
      </c>
      <c r="F2734" t="s">
        <v>3403</v>
      </c>
      <c r="G2734" t="s">
        <v>9895</v>
      </c>
      <c r="H2734" t="s">
        <v>3401</v>
      </c>
      <c r="I2734">
        <v>5405</v>
      </c>
      <c r="J2734" s="3">
        <v>35</v>
      </c>
      <c r="K2734" s="3">
        <v>15.78</v>
      </c>
      <c r="L2734">
        <v>54.91</v>
      </c>
    </row>
    <row r="2735" spans="1:12">
      <c r="A2735" s="1">
        <v>46035</v>
      </c>
      <c r="B2735" t="s">
        <v>9894</v>
      </c>
      <c r="C2735">
        <v>14</v>
      </c>
      <c r="D2735" t="str">
        <f>VLOOKUP(Tabela26[[#This Row],[EMP]],[1]LOJA!$A:$B,2,0)</f>
        <v>S IA</v>
      </c>
      <c r="E2735">
        <v>212</v>
      </c>
      <c r="F2735" t="s">
        <v>3769</v>
      </c>
      <c r="G2735" t="s">
        <v>3768</v>
      </c>
      <c r="H2735" t="s">
        <v>3401</v>
      </c>
      <c r="I2735">
        <v>5405</v>
      </c>
      <c r="J2735" s="3">
        <v>80</v>
      </c>
      <c r="K2735" s="3">
        <v>36.92</v>
      </c>
      <c r="L2735">
        <v>53.85</v>
      </c>
    </row>
    <row r="2736" spans="1:12">
      <c r="A2736" s="1">
        <v>46035</v>
      </c>
      <c r="B2736" t="s">
        <v>9893</v>
      </c>
      <c r="C2736">
        <v>14</v>
      </c>
      <c r="D2736" t="str">
        <f>VLOOKUP(Tabela26[[#This Row],[EMP]],[1]LOJA!$A:$B,2,0)</f>
        <v>S IA</v>
      </c>
      <c r="E2736">
        <v>54</v>
      </c>
      <c r="F2736" t="s">
        <v>9892</v>
      </c>
      <c r="G2736" t="s">
        <v>3402</v>
      </c>
      <c r="H2736" t="s">
        <v>3408</v>
      </c>
      <c r="I2736">
        <v>5405</v>
      </c>
      <c r="J2736" s="3">
        <v>197</v>
      </c>
      <c r="K2736" s="3">
        <v>94.16</v>
      </c>
      <c r="L2736">
        <v>52.2</v>
      </c>
    </row>
    <row r="2737" spans="1:12">
      <c r="A2737" s="1">
        <v>46035</v>
      </c>
      <c r="B2737" t="s">
        <v>9891</v>
      </c>
      <c r="C2737">
        <v>14</v>
      </c>
      <c r="D2737" t="str">
        <f>VLOOKUP(Tabela26[[#This Row],[EMP]],[1]LOJA!$A:$B,2,0)</f>
        <v>S IA</v>
      </c>
      <c r="E2737">
        <v>212</v>
      </c>
      <c r="F2737" t="s">
        <v>3403</v>
      </c>
      <c r="G2737" t="s">
        <v>3402</v>
      </c>
      <c r="H2737" t="s">
        <v>3401</v>
      </c>
      <c r="I2737">
        <v>5405</v>
      </c>
      <c r="J2737" s="3">
        <v>92.9</v>
      </c>
      <c r="K2737" s="3">
        <v>39.950000000000003</v>
      </c>
      <c r="L2737">
        <v>57</v>
      </c>
    </row>
    <row r="2738" spans="1:12">
      <c r="A2738" s="1">
        <v>46035</v>
      </c>
      <c r="B2738" t="s">
        <v>9890</v>
      </c>
      <c r="C2738">
        <v>4</v>
      </c>
      <c r="D2738" t="str">
        <f>VLOOKUP(Tabela26[[#This Row],[EMP]],[1]LOJA!$A:$B,2,0)</f>
        <v>ADE</v>
      </c>
      <c r="E2738">
        <v>132</v>
      </c>
      <c r="F2738" t="s">
        <v>9031</v>
      </c>
      <c r="G2738" t="s">
        <v>9030</v>
      </c>
      <c r="H2738" t="s">
        <v>4249</v>
      </c>
      <c r="I2738">
        <v>5405</v>
      </c>
      <c r="J2738" s="3">
        <v>790.8</v>
      </c>
      <c r="K2738" s="3">
        <v>404.88</v>
      </c>
      <c r="L2738">
        <v>48.8</v>
      </c>
    </row>
    <row r="2739" spans="1:12">
      <c r="A2739" s="1">
        <v>46035</v>
      </c>
      <c r="B2739" t="s">
        <v>9889</v>
      </c>
      <c r="C2739">
        <v>4</v>
      </c>
      <c r="D2739" t="str">
        <f>VLOOKUP(Tabela26[[#This Row],[EMP]],[1]LOJA!$A:$B,2,0)</f>
        <v>ADE</v>
      </c>
      <c r="E2739">
        <v>132</v>
      </c>
      <c r="F2739" t="s">
        <v>6220</v>
      </c>
      <c r="G2739" t="s">
        <v>6219</v>
      </c>
      <c r="H2739" t="s">
        <v>3745</v>
      </c>
      <c r="I2739">
        <v>5405</v>
      </c>
      <c r="J2739" s="3">
        <v>1819.9</v>
      </c>
      <c r="K2739" s="3">
        <v>1179.1400000000001</v>
      </c>
      <c r="L2739">
        <v>35.21</v>
      </c>
    </row>
    <row r="2740" spans="1:12">
      <c r="A2740" s="1">
        <v>46035</v>
      </c>
      <c r="B2740" t="s">
        <v>9888</v>
      </c>
      <c r="C2740">
        <v>4</v>
      </c>
      <c r="D2740" t="str">
        <f>VLOOKUP(Tabela26[[#This Row],[EMP]],[1]LOJA!$A:$B,2,0)</f>
        <v>ADE</v>
      </c>
      <c r="E2740">
        <v>132</v>
      </c>
      <c r="F2740" t="s">
        <v>3664</v>
      </c>
      <c r="G2740" t="s">
        <v>3663</v>
      </c>
      <c r="H2740" t="s">
        <v>3430</v>
      </c>
      <c r="I2740">
        <v>5405</v>
      </c>
      <c r="J2740" s="3">
        <v>123.82</v>
      </c>
      <c r="K2740" s="3">
        <v>60.59</v>
      </c>
      <c r="L2740">
        <v>51.07</v>
      </c>
    </row>
    <row r="2741" spans="1:12">
      <c r="A2741" s="1">
        <v>46035</v>
      </c>
      <c r="B2741" t="s">
        <v>9887</v>
      </c>
      <c r="C2741">
        <v>4</v>
      </c>
      <c r="D2741" t="str">
        <f>VLOOKUP(Tabela26[[#This Row],[EMP]],[1]LOJA!$A:$B,2,0)</f>
        <v>ADE</v>
      </c>
      <c r="E2741">
        <v>132</v>
      </c>
      <c r="F2741" t="s">
        <v>3660</v>
      </c>
      <c r="G2741" t="s">
        <v>3659</v>
      </c>
      <c r="H2741" t="s">
        <v>3401</v>
      </c>
      <c r="I2741">
        <v>1411</v>
      </c>
      <c r="J2741" s="3">
        <v>-168.43</v>
      </c>
      <c r="K2741" s="3">
        <v>-82.42</v>
      </c>
      <c r="L2741">
        <v>51.07</v>
      </c>
    </row>
    <row r="2742" spans="1:12">
      <c r="A2742" s="1">
        <v>46035</v>
      </c>
      <c r="B2742" t="s">
        <v>9886</v>
      </c>
      <c r="C2742">
        <v>4</v>
      </c>
      <c r="D2742" t="str">
        <f>VLOOKUP(Tabela26[[#This Row],[EMP]],[1]LOJA!$A:$B,2,0)</f>
        <v>ADE</v>
      </c>
      <c r="E2742">
        <v>132</v>
      </c>
      <c r="F2742" t="s">
        <v>3670</v>
      </c>
      <c r="G2742" t="s">
        <v>3669</v>
      </c>
      <c r="H2742" t="s">
        <v>3430</v>
      </c>
      <c r="I2742">
        <v>5102</v>
      </c>
      <c r="J2742" s="3">
        <v>56.9</v>
      </c>
      <c r="K2742" s="3">
        <v>25.46</v>
      </c>
      <c r="L2742">
        <v>55.25</v>
      </c>
    </row>
    <row r="2743" spans="1:12">
      <c r="A2743" s="1">
        <v>46035</v>
      </c>
      <c r="B2743" t="s">
        <v>9885</v>
      </c>
      <c r="C2743">
        <v>4</v>
      </c>
      <c r="D2743" t="str">
        <f>VLOOKUP(Tabela26[[#This Row],[EMP]],[1]LOJA!$A:$B,2,0)</f>
        <v>ADE</v>
      </c>
      <c r="E2743">
        <v>132</v>
      </c>
      <c r="F2743" t="s">
        <v>3660</v>
      </c>
      <c r="G2743" t="s">
        <v>3659</v>
      </c>
      <c r="H2743" t="s">
        <v>3430</v>
      </c>
      <c r="I2743">
        <v>5405</v>
      </c>
      <c r="J2743" s="3">
        <v>191.14</v>
      </c>
      <c r="K2743" s="3">
        <v>91.8</v>
      </c>
      <c r="L2743">
        <v>51.97</v>
      </c>
    </row>
    <row r="2744" spans="1:12">
      <c r="A2744" s="1">
        <v>46035</v>
      </c>
      <c r="B2744" t="s">
        <v>9884</v>
      </c>
      <c r="C2744">
        <v>4</v>
      </c>
      <c r="D2744" t="str">
        <f>VLOOKUP(Tabela26[[#This Row],[EMP]],[1]LOJA!$A:$B,2,0)</f>
        <v>ADE</v>
      </c>
      <c r="E2744">
        <v>132</v>
      </c>
      <c r="F2744" t="s">
        <v>3660</v>
      </c>
      <c r="G2744" t="s">
        <v>3659</v>
      </c>
      <c r="H2744" t="s">
        <v>3430</v>
      </c>
      <c r="I2744">
        <v>5405</v>
      </c>
      <c r="J2744" s="3">
        <v>168.27</v>
      </c>
      <c r="K2744" s="3">
        <v>82.34</v>
      </c>
      <c r="L2744">
        <v>51.07</v>
      </c>
    </row>
    <row r="2745" spans="1:12">
      <c r="A2745" s="1">
        <v>46035</v>
      </c>
      <c r="B2745" t="s">
        <v>9883</v>
      </c>
      <c r="C2745">
        <v>4</v>
      </c>
      <c r="D2745" t="str">
        <f>VLOOKUP(Tabela26[[#This Row],[EMP]],[1]LOJA!$A:$B,2,0)</f>
        <v>ADE</v>
      </c>
      <c r="E2745">
        <v>132</v>
      </c>
      <c r="F2745" t="s">
        <v>3667</v>
      </c>
      <c r="G2745" t="s">
        <v>3666</v>
      </c>
      <c r="H2745" t="s">
        <v>3430</v>
      </c>
      <c r="I2745">
        <v>5405</v>
      </c>
      <c r="J2745" s="3">
        <v>392.69</v>
      </c>
      <c r="K2745" s="3">
        <v>182.92</v>
      </c>
      <c r="L2745">
        <v>53.42</v>
      </c>
    </row>
    <row r="2746" spans="1:12">
      <c r="A2746" s="1">
        <v>46035</v>
      </c>
      <c r="B2746" t="s">
        <v>9882</v>
      </c>
      <c r="C2746">
        <v>13</v>
      </c>
      <c r="D2746" t="str">
        <f>VLOOKUP(Tabela26[[#This Row],[EMP]],[1]LOJA!$A:$B,2,0)</f>
        <v>CEILÂNDIA</v>
      </c>
      <c r="E2746">
        <v>86</v>
      </c>
      <c r="F2746" t="s">
        <v>3403</v>
      </c>
      <c r="G2746" t="s">
        <v>3402</v>
      </c>
      <c r="H2746" t="s">
        <v>3401</v>
      </c>
      <c r="I2746">
        <v>5102</v>
      </c>
      <c r="J2746" s="3">
        <v>50</v>
      </c>
      <c r="K2746" s="3">
        <v>27.17</v>
      </c>
      <c r="L2746">
        <v>45.66</v>
      </c>
    </row>
    <row r="2747" spans="1:12">
      <c r="A2747" s="1">
        <v>46035</v>
      </c>
      <c r="B2747" t="s">
        <v>9881</v>
      </c>
      <c r="C2747">
        <v>13</v>
      </c>
      <c r="D2747" t="str">
        <f>VLOOKUP(Tabela26[[#This Row],[EMP]],[1]LOJA!$A:$B,2,0)</f>
        <v>CEILÂNDIA</v>
      </c>
      <c r="E2747">
        <v>86</v>
      </c>
      <c r="F2747" t="s">
        <v>3403</v>
      </c>
      <c r="G2747" t="s">
        <v>3402</v>
      </c>
      <c r="H2747" t="s">
        <v>3401</v>
      </c>
      <c r="I2747">
        <v>5405</v>
      </c>
      <c r="J2747" s="3">
        <v>50</v>
      </c>
      <c r="K2747" s="3">
        <v>21.48</v>
      </c>
      <c r="L2747">
        <v>57.04</v>
      </c>
    </row>
    <row r="2748" spans="1:12">
      <c r="A2748" s="1">
        <v>46035</v>
      </c>
      <c r="B2748" t="s">
        <v>9880</v>
      </c>
      <c r="C2748">
        <v>13</v>
      </c>
      <c r="D2748" t="str">
        <f>VLOOKUP(Tabela26[[#This Row],[EMP]],[1]LOJA!$A:$B,2,0)</f>
        <v>CEILÂNDIA</v>
      </c>
      <c r="E2748">
        <v>86</v>
      </c>
      <c r="F2748" t="s">
        <v>9007</v>
      </c>
      <c r="G2748" t="s">
        <v>9006</v>
      </c>
      <c r="H2748" t="s">
        <v>3520</v>
      </c>
      <c r="I2748">
        <v>5405</v>
      </c>
      <c r="J2748" s="3">
        <v>592.33000000000004</v>
      </c>
      <c r="K2748" s="3">
        <v>312.52999999999997</v>
      </c>
      <c r="L2748">
        <v>47.24</v>
      </c>
    </row>
    <row r="2749" spans="1:12">
      <c r="A2749" s="1">
        <v>46035</v>
      </c>
      <c r="B2749" t="s">
        <v>9879</v>
      </c>
      <c r="C2749">
        <v>13</v>
      </c>
      <c r="D2749" t="str">
        <f>VLOOKUP(Tabela26[[#This Row],[EMP]],[1]LOJA!$A:$B,2,0)</f>
        <v>CEILÂNDIA</v>
      </c>
      <c r="E2749">
        <v>86</v>
      </c>
      <c r="F2749" t="s">
        <v>7072</v>
      </c>
      <c r="G2749" t="s">
        <v>7071</v>
      </c>
      <c r="H2749" t="s">
        <v>3408</v>
      </c>
      <c r="I2749">
        <v>5405</v>
      </c>
      <c r="J2749" s="3">
        <v>860</v>
      </c>
      <c r="K2749" s="3">
        <v>462.61</v>
      </c>
      <c r="L2749">
        <v>46.21</v>
      </c>
    </row>
    <row r="2750" spans="1:12">
      <c r="A2750" s="1">
        <v>46035</v>
      </c>
      <c r="B2750" t="s">
        <v>9878</v>
      </c>
      <c r="C2750">
        <v>13</v>
      </c>
      <c r="D2750" t="str">
        <f>VLOOKUP(Tabela26[[#This Row],[EMP]],[1]LOJA!$A:$B,2,0)</f>
        <v>CEILÂNDIA</v>
      </c>
      <c r="E2750">
        <v>86</v>
      </c>
      <c r="F2750" t="s">
        <v>3403</v>
      </c>
      <c r="G2750" t="s">
        <v>3402</v>
      </c>
      <c r="H2750" t="s">
        <v>3408</v>
      </c>
      <c r="I2750">
        <v>5405</v>
      </c>
      <c r="J2750" s="3">
        <v>375</v>
      </c>
      <c r="K2750" s="3">
        <v>197.59</v>
      </c>
      <c r="L2750">
        <v>47.31</v>
      </c>
    </row>
    <row r="2751" spans="1:12">
      <c r="A2751" s="1">
        <v>46035</v>
      </c>
      <c r="B2751" t="s">
        <v>9877</v>
      </c>
      <c r="C2751">
        <v>13</v>
      </c>
      <c r="D2751" t="str">
        <f>VLOOKUP(Tabela26[[#This Row],[EMP]],[1]LOJA!$A:$B,2,0)</f>
        <v>CEILÂNDIA</v>
      </c>
      <c r="E2751">
        <v>86</v>
      </c>
      <c r="F2751" t="s">
        <v>3615</v>
      </c>
      <c r="G2751" t="s">
        <v>3614</v>
      </c>
      <c r="H2751" t="s">
        <v>4142</v>
      </c>
      <c r="I2751">
        <v>5102</v>
      </c>
      <c r="J2751" s="3">
        <v>8</v>
      </c>
      <c r="K2751" s="3">
        <v>4.16</v>
      </c>
      <c r="L2751">
        <v>48</v>
      </c>
    </row>
    <row r="2752" spans="1:12">
      <c r="A2752" s="1">
        <v>46035</v>
      </c>
      <c r="B2752" t="s">
        <v>9876</v>
      </c>
      <c r="C2752">
        <v>13</v>
      </c>
      <c r="D2752" t="str">
        <f>VLOOKUP(Tabela26[[#This Row],[EMP]],[1]LOJA!$A:$B,2,0)</f>
        <v>CEILÂNDIA</v>
      </c>
      <c r="E2752">
        <v>86</v>
      </c>
      <c r="F2752" t="s">
        <v>5565</v>
      </c>
      <c r="G2752" t="s">
        <v>5564</v>
      </c>
      <c r="H2752" t="s">
        <v>4142</v>
      </c>
      <c r="I2752">
        <v>5102</v>
      </c>
      <c r="J2752" s="3">
        <v>79.599999999999994</v>
      </c>
      <c r="K2752" s="3">
        <v>45.67</v>
      </c>
      <c r="L2752">
        <v>42.63</v>
      </c>
    </row>
    <row r="2753" spans="1:12">
      <c r="A2753" s="1">
        <v>46035</v>
      </c>
      <c r="B2753" t="s">
        <v>9875</v>
      </c>
      <c r="C2753">
        <v>13</v>
      </c>
      <c r="D2753" t="str">
        <f>VLOOKUP(Tabela26[[#This Row],[EMP]],[1]LOJA!$A:$B,2,0)</f>
        <v>CEILÂNDIA</v>
      </c>
      <c r="E2753">
        <v>86</v>
      </c>
      <c r="F2753" t="s">
        <v>7536</v>
      </c>
      <c r="G2753" t="s">
        <v>3402</v>
      </c>
      <c r="H2753" t="s">
        <v>3408</v>
      </c>
      <c r="I2753">
        <v>5102</v>
      </c>
      <c r="J2753" s="3">
        <v>126</v>
      </c>
      <c r="K2753" s="3">
        <v>79.08</v>
      </c>
      <c r="L2753">
        <v>37.24</v>
      </c>
    </row>
    <row r="2754" spans="1:12">
      <c r="A2754" s="1">
        <v>46035</v>
      </c>
      <c r="B2754" t="s">
        <v>9874</v>
      </c>
      <c r="C2754">
        <v>13</v>
      </c>
      <c r="D2754" t="str">
        <f>VLOOKUP(Tabela26[[#This Row],[EMP]],[1]LOJA!$A:$B,2,0)</f>
        <v>CEILÂNDIA</v>
      </c>
      <c r="E2754">
        <v>86</v>
      </c>
      <c r="F2754" t="s">
        <v>9873</v>
      </c>
      <c r="G2754" t="s">
        <v>3402</v>
      </c>
      <c r="H2754" t="s">
        <v>3408</v>
      </c>
      <c r="I2754">
        <v>5102</v>
      </c>
      <c r="J2754" s="3">
        <v>48</v>
      </c>
      <c r="K2754" s="3">
        <v>22.84</v>
      </c>
      <c r="L2754">
        <v>52.42</v>
      </c>
    </row>
    <row r="2755" spans="1:12">
      <c r="A2755" s="1">
        <v>46035</v>
      </c>
      <c r="B2755" t="s">
        <v>9872</v>
      </c>
      <c r="C2755">
        <v>13</v>
      </c>
      <c r="D2755" t="str">
        <f>VLOOKUP(Tabela26[[#This Row],[EMP]],[1]LOJA!$A:$B,2,0)</f>
        <v>CEILÂNDIA</v>
      </c>
      <c r="E2755">
        <v>86</v>
      </c>
      <c r="F2755" t="s">
        <v>4346</v>
      </c>
      <c r="G2755" t="s">
        <v>4345</v>
      </c>
      <c r="H2755" t="s">
        <v>3408</v>
      </c>
      <c r="I2755">
        <v>5405</v>
      </c>
      <c r="J2755" s="3">
        <v>355</v>
      </c>
      <c r="K2755" s="3">
        <v>189.39</v>
      </c>
      <c r="L2755">
        <v>46.65</v>
      </c>
    </row>
    <row r="2756" spans="1:12">
      <c r="A2756" s="1">
        <v>46035</v>
      </c>
      <c r="B2756" t="s">
        <v>9871</v>
      </c>
      <c r="C2756">
        <v>13</v>
      </c>
      <c r="D2756" t="str">
        <f>VLOOKUP(Tabela26[[#This Row],[EMP]],[1]LOJA!$A:$B,2,0)</f>
        <v>CEILÂNDIA</v>
      </c>
      <c r="E2756">
        <v>86</v>
      </c>
      <c r="F2756" t="s">
        <v>9007</v>
      </c>
      <c r="G2756" t="s">
        <v>9006</v>
      </c>
      <c r="H2756" t="s">
        <v>3520</v>
      </c>
      <c r="I2756">
        <v>5102</v>
      </c>
      <c r="J2756" s="3">
        <v>43.11</v>
      </c>
      <c r="K2756" s="3">
        <v>17.329999999999998</v>
      </c>
      <c r="L2756">
        <v>59.8</v>
      </c>
    </row>
    <row r="2757" spans="1:12">
      <c r="A2757" s="1">
        <v>46035</v>
      </c>
      <c r="B2757" t="s">
        <v>9870</v>
      </c>
      <c r="C2757">
        <v>13</v>
      </c>
      <c r="D2757" t="str">
        <f>VLOOKUP(Tabela26[[#This Row],[EMP]],[1]LOJA!$A:$B,2,0)</f>
        <v>CEILÂNDIA</v>
      </c>
      <c r="E2757">
        <v>86</v>
      </c>
      <c r="F2757" t="s">
        <v>3403</v>
      </c>
      <c r="G2757" t="s">
        <v>3402</v>
      </c>
      <c r="H2757" t="s">
        <v>3401</v>
      </c>
      <c r="I2757">
        <v>5102</v>
      </c>
      <c r="J2757" s="3">
        <v>30</v>
      </c>
      <c r="K2757" s="3">
        <v>16.02</v>
      </c>
      <c r="L2757">
        <v>46.6</v>
      </c>
    </row>
    <row r="2758" spans="1:12">
      <c r="A2758" s="1">
        <v>46035</v>
      </c>
      <c r="B2758" t="s">
        <v>9869</v>
      </c>
      <c r="C2758">
        <v>13</v>
      </c>
      <c r="D2758" t="str">
        <f>VLOOKUP(Tabela26[[#This Row],[EMP]],[1]LOJA!$A:$B,2,0)</f>
        <v>CEILÂNDIA</v>
      </c>
      <c r="E2758">
        <v>86</v>
      </c>
      <c r="F2758" t="s">
        <v>3403</v>
      </c>
      <c r="G2758" t="s">
        <v>3402</v>
      </c>
      <c r="H2758" t="s">
        <v>3401</v>
      </c>
      <c r="I2758">
        <v>5102</v>
      </c>
      <c r="J2758" s="3">
        <v>156</v>
      </c>
      <c r="K2758" s="3">
        <v>85.29</v>
      </c>
      <c r="L2758">
        <v>45.33</v>
      </c>
    </row>
    <row r="2759" spans="1:12">
      <c r="A2759" s="1">
        <v>46035</v>
      </c>
      <c r="B2759" t="s">
        <v>9868</v>
      </c>
      <c r="C2759">
        <v>13</v>
      </c>
      <c r="D2759" t="str">
        <f>VLOOKUP(Tabela26[[#This Row],[EMP]],[1]LOJA!$A:$B,2,0)</f>
        <v>CEILÂNDIA</v>
      </c>
      <c r="E2759">
        <v>86</v>
      </c>
      <c r="F2759" t="s">
        <v>3597</v>
      </c>
      <c r="G2759" t="s">
        <v>3596</v>
      </c>
      <c r="H2759" t="s">
        <v>3408</v>
      </c>
      <c r="I2759">
        <v>5405</v>
      </c>
      <c r="J2759" s="3">
        <v>145</v>
      </c>
      <c r="K2759" s="3">
        <v>71.099999999999994</v>
      </c>
      <c r="L2759">
        <v>50.97</v>
      </c>
    </row>
    <row r="2760" spans="1:12">
      <c r="A2760" s="1">
        <v>46035</v>
      </c>
      <c r="B2760" t="s">
        <v>9867</v>
      </c>
      <c r="C2760">
        <v>13</v>
      </c>
      <c r="D2760" t="str">
        <f>VLOOKUP(Tabela26[[#This Row],[EMP]],[1]LOJA!$A:$B,2,0)</f>
        <v>CEILÂNDIA</v>
      </c>
      <c r="E2760">
        <v>86</v>
      </c>
      <c r="F2760" t="s">
        <v>9866</v>
      </c>
      <c r="G2760" t="s">
        <v>9865</v>
      </c>
      <c r="H2760" t="s">
        <v>3401</v>
      </c>
      <c r="I2760">
        <v>5405</v>
      </c>
      <c r="J2760" s="3">
        <v>128</v>
      </c>
      <c r="K2760" s="3">
        <v>57.32</v>
      </c>
      <c r="L2760">
        <v>55.22</v>
      </c>
    </row>
    <row r="2761" spans="1:12">
      <c r="A2761" s="1">
        <v>46035</v>
      </c>
      <c r="B2761" t="s">
        <v>9864</v>
      </c>
      <c r="C2761">
        <v>13</v>
      </c>
      <c r="D2761" t="str">
        <f>VLOOKUP(Tabela26[[#This Row],[EMP]],[1]LOJA!$A:$B,2,0)</f>
        <v>CEILÂNDIA</v>
      </c>
      <c r="E2761">
        <v>86</v>
      </c>
      <c r="F2761" t="s">
        <v>3615</v>
      </c>
      <c r="G2761" t="s">
        <v>3614</v>
      </c>
      <c r="H2761" t="s">
        <v>4142</v>
      </c>
      <c r="I2761">
        <v>5102</v>
      </c>
      <c r="J2761" s="3">
        <v>100.9</v>
      </c>
      <c r="K2761" s="3">
        <v>56.6</v>
      </c>
      <c r="L2761">
        <v>43.9</v>
      </c>
    </row>
    <row r="2762" spans="1:12">
      <c r="A2762" s="1">
        <v>46035</v>
      </c>
      <c r="B2762" t="s">
        <v>9863</v>
      </c>
      <c r="C2762">
        <v>13</v>
      </c>
      <c r="D2762" t="str">
        <f>VLOOKUP(Tabela26[[#This Row],[EMP]],[1]LOJA!$A:$B,2,0)</f>
        <v>CEILÂNDIA</v>
      </c>
      <c r="E2762">
        <v>86</v>
      </c>
      <c r="F2762" t="s">
        <v>3403</v>
      </c>
      <c r="G2762" t="s">
        <v>3402</v>
      </c>
      <c r="H2762" t="s">
        <v>3401</v>
      </c>
      <c r="I2762">
        <v>5102</v>
      </c>
      <c r="J2762" s="3">
        <v>180</v>
      </c>
      <c r="K2762" s="3">
        <v>105.04</v>
      </c>
      <c r="L2762">
        <v>41.64</v>
      </c>
    </row>
    <row r="2763" spans="1:12">
      <c r="A2763" s="1">
        <v>46035</v>
      </c>
      <c r="B2763" t="s">
        <v>9862</v>
      </c>
      <c r="C2763">
        <v>13</v>
      </c>
      <c r="D2763" t="str">
        <f>VLOOKUP(Tabela26[[#This Row],[EMP]],[1]LOJA!$A:$B,2,0)</f>
        <v>CEILÂNDIA</v>
      </c>
      <c r="E2763">
        <v>86</v>
      </c>
      <c r="F2763" t="s">
        <v>3403</v>
      </c>
      <c r="G2763" t="s">
        <v>3402</v>
      </c>
      <c r="H2763" t="s">
        <v>3401</v>
      </c>
      <c r="I2763">
        <v>5102</v>
      </c>
      <c r="J2763" s="3">
        <v>15</v>
      </c>
      <c r="K2763" s="3">
        <v>8.08</v>
      </c>
      <c r="L2763">
        <v>46.13</v>
      </c>
    </row>
    <row r="2764" spans="1:12">
      <c r="A2764" s="1">
        <v>46035</v>
      </c>
      <c r="B2764" t="s">
        <v>9861</v>
      </c>
      <c r="C2764">
        <v>13</v>
      </c>
      <c r="D2764" t="str">
        <f>VLOOKUP(Tabela26[[#This Row],[EMP]],[1]LOJA!$A:$B,2,0)</f>
        <v>CEILÂNDIA</v>
      </c>
      <c r="E2764">
        <v>86</v>
      </c>
      <c r="F2764" t="s">
        <v>3615</v>
      </c>
      <c r="G2764" t="s">
        <v>3614</v>
      </c>
      <c r="H2764" t="s">
        <v>4142</v>
      </c>
      <c r="I2764">
        <v>5405</v>
      </c>
      <c r="J2764" s="3">
        <v>65</v>
      </c>
      <c r="K2764" s="3">
        <v>35.979999999999997</v>
      </c>
      <c r="L2764">
        <v>44.65</v>
      </c>
    </row>
    <row r="2765" spans="1:12">
      <c r="A2765" s="1">
        <v>46035</v>
      </c>
      <c r="B2765" t="s">
        <v>9860</v>
      </c>
      <c r="C2765">
        <v>13</v>
      </c>
      <c r="D2765" t="str">
        <f>VLOOKUP(Tabela26[[#This Row],[EMP]],[1]LOJA!$A:$B,2,0)</f>
        <v>CEILÂNDIA</v>
      </c>
      <c r="E2765">
        <v>86</v>
      </c>
      <c r="F2765" t="s">
        <v>9859</v>
      </c>
      <c r="G2765" t="s">
        <v>3402</v>
      </c>
      <c r="H2765" t="s">
        <v>3408</v>
      </c>
      <c r="I2765">
        <v>5102</v>
      </c>
      <c r="J2765" s="3">
        <v>299.89999999999998</v>
      </c>
      <c r="K2765" s="3">
        <v>156.62</v>
      </c>
      <c r="L2765">
        <v>47.78</v>
      </c>
    </row>
    <row r="2766" spans="1:12">
      <c r="A2766" s="1">
        <v>46035</v>
      </c>
      <c r="B2766" t="s">
        <v>9858</v>
      </c>
      <c r="C2766">
        <v>13</v>
      </c>
      <c r="D2766" t="str">
        <f>VLOOKUP(Tabela26[[#This Row],[EMP]],[1]LOJA!$A:$B,2,0)</f>
        <v>CEILÂNDIA</v>
      </c>
      <c r="E2766">
        <v>86</v>
      </c>
      <c r="F2766" t="s">
        <v>3593</v>
      </c>
      <c r="G2766" t="s">
        <v>3402</v>
      </c>
      <c r="H2766" t="s">
        <v>3408</v>
      </c>
      <c r="I2766">
        <v>5405</v>
      </c>
      <c r="J2766" s="3">
        <v>120</v>
      </c>
      <c r="K2766" s="3">
        <v>66.52</v>
      </c>
      <c r="L2766">
        <v>44.57</v>
      </c>
    </row>
    <row r="2767" spans="1:12">
      <c r="A2767" s="1">
        <v>46035</v>
      </c>
      <c r="B2767" t="s">
        <v>9857</v>
      </c>
      <c r="C2767">
        <v>13</v>
      </c>
      <c r="D2767" t="str">
        <f>VLOOKUP(Tabela26[[#This Row],[EMP]],[1]LOJA!$A:$B,2,0)</f>
        <v>CEILÂNDIA</v>
      </c>
      <c r="E2767">
        <v>86</v>
      </c>
      <c r="F2767" t="s">
        <v>4992</v>
      </c>
      <c r="G2767" t="s">
        <v>4991</v>
      </c>
      <c r="H2767" t="s">
        <v>3520</v>
      </c>
      <c r="I2767">
        <v>5102</v>
      </c>
      <c r="J2767" s="3">
        <v>140</v>
      </c>
      <c r="K2767" s="3">
        <v>85.79</v>
      </c>
      <c r="L2767">
        <v>38.72</v>
      </c>
    </row>
    <row r="2768" spans="1:12">
      <c r="A2768" s="1">
        <v>46035</v>
      </c>
      <c r="B2768" t="s">
        <v>9856</v>
      </c>
      <c r="C2768">
        <v>13</v>
      </c>
      <c r="D2768" t="str">
        <f>VLOOKUP(Tabela26[[#This Row],[EMP]],[1]LOJA!$A:$B,2,0)</f>
        <v>CEILÂNDIA</v>
      </c>
      <c r="E2768">
        <v>86</v>
      </c>
      <c r="F2768" t="s">
        <v>9855</v>
      </c>
      <c r="G2768" t="s">
        <v>3402</v>
      </c>
      <c r="H2768" t="s">
        <v>3401</v>
      </c>
      <c r="I2768">
        <v>5405</v>
      </c>
      <c r="J2768" s="3">
        <v>83</v>
      </c>
      <c r="K2768" s="3">
        <v>44.82</v>
      </c>
      <c r="L2768">
        <v>46</v>
      </c>
    </row>
    <row r="2769" spans="1:12">
      <c r="A2769" s="1">
        <v>46035</v>
      </c>
      <c r="B2769" t="s">
        <v>9854</v>
      </c>
      <c r="C2769">
        <v>13</v>
      </c>
      <c r="D2769" t="str">
        <f>VLOOKUP(Tabela26[[#This Row],[EMP]],[1]LOJA!$A:$B,2,0)</f>
        <v>CEILÂNDIA</v>
      </c>
      <c r="E2769">
        <v>86</v>
      </c>
      <c r="F2769" t="s">
        <v>6601</v>
      </c>
      <c r="G2769" t="s">
        <v>3402</v>
      </c>
      <c r="H2769" t="s">
        <v>3401</v>
      </c>
      <c r="I2769">
        <v>5405</v>
      </c>
      <c r="J2769" s="3">
        <v>106</v>
      </c>
      <c r="K2769" s="3">
        <v>56.39</v>
      </c>
      <c r="L2769">
        <v>46.8</v>
      </c>
    </row>
    <row r="2770" spans="1:12">
      <c r="A2770" s="1">
        <v>46035</v>
      </c>
      <c r="B2770" t="s">
        <v>9853</v>
      </c>
      <c r="C2770">
        <v>13</v>
      </c>
      <c r="D2770" t="str">
        <f>VLOOKUP(Tabela26[[#This Row],[EMP]],[1]LOJA!$A:$B,2,0)</f>
        <v>CEILÂNDIA</v>
      </c>
      <c r="E2770">
        <v>86</v>
      </c>
      <c r="F2770" t="s">
        <v>3403</v>
      </c>
      <c r="G2770" t="s">
        <v>3402</v>
      </c>
      <c r="H2770" t="s">
        <v>3401</v>
      </c>
      <c r="I2770">
        <v>5102</v>
      </c>
      <c r="J2770" s="3">
        <v>70</v>
      </c>
      <c r="K2770" s="3">
        <v>44.35</v>
      </c>
      <c r="L2770">
        <v>36.64</v>
      </c>
    </row>
    <row r="2771" spans="1:12">
      <c r="A2771" s="1">
        <v>46035</v>
      </c>
      <c r="B2771" t="s">
        <v>9852</v>
      </c>
      <c r="C2771">
        <v>13</v>
      </c>
      <c r="D2771" t="str">
        <f>VLOOKUP(Tabela26[[#This Row],[EMP]],[1]LOJA!$A:$B,2,0)</f>
        <v>CEILÂNDIA</v>
      </c>
      <c r="E2771">
        <v>86</v>
      </c>
      <c r="F2771" t="s">
        <v>4230</v>
      </c>
      <c r="G2771" t="s">
        <v>3402</v>
      </c>
      <c r="H2771" t="s">
        <v>3408</v>
      </c>
      <c r="I2771">
        <v>5405</v>
      </c>
      <c r="J2771" s="3">
        <v>500</v>
      </c>
      <c r="K2771" s="3">
        <v>264.49</v>
      </c>
      <c r="L2771">
        <v>47.1</v>
      </c>
    </row>
    <row r="2772" spans="1:12">
      <c r="A2772" s="1">
        <v>46035</v>
      </c>
      <c r="B2772" t="s">
        <v>9851</v>
      </c>
      <c r="C2772">
        <v>13</v>
      </c>
      <c r="D2772" t="str">
        <f>VLOOKUP(Tabela26[[#This Row],[EMP]],[1]LOJA!$A:$B,2,0)</f>
        <v>CEILÂNDIA</v>
      </c>
      <c r="E2772">
        <v>86</v>
      </c>
      <c r="F2772" t="s">
        <v>3406</v>
      </c>
      <c r="G2772" t="s">
        <v>3405</v>
      </c>
      <c r="H2772" t="s">
        <v>3401</v>
      </c>
      <c r="I2772">
        <v>5405</v>
      </c>
      <c r="J2772" s="3">
        <v>274</v>
      </c>
      <c r="K2772" s="3">
        <v>164.14</v>
      </c>
      <c r="L2772">
        <v>40.090000000000003</v>
      </c>
    </row>
    <row r="2773" spans="1:12">
      <c r="A2773" s="1">
        <v>46035</v>
      </c>
      <c r="B2773" t="s">
        <v>9850</v>
      </c>
      <c r="C2773">
        <v>13</v>
      </c>
      <c r="D2773" t="str">
        <f>VLOOKUP(Tabela26[[#This Row],[EMP]],[1]LOJA!$A:$B,2,0)</f>
        <v>CEILÂNDIA</v>
      </c>
      <c r="E2773">
        <v>86</v>
      </c>
      <c r="F2773" t="s">
        <v>3406</v>
      </c>
      <c r="G2773" t="s">
        <v>3405</v>
      </c>
      <c r="H2773" t="s">
        <v>3401</v>
      </c>
      <c r="I2773">
        <v>5102</v>
      </c>
      <c r="J2773" s="3">
        <v>18</v>
      </c>
      <c r="K2773" s="3">
        <v>10.9</v>
      </c>
      <c r="L2773">
        <v>39.44</v>
      </c>
    </row>
    <row r="2774" spans="1:12">
      <c r="A2774" s="1">
        <v>46035</v>
      </c>
      <c r="B2774" t="s">
        <v>9849</v>
      </c>
      <c r="C2774">
        <v>13</v>
      </c>
      <c r="D2774" t="str">
        <f>VLOOKUP(Tabela26[[#This Row],[EMP]],[1]LOJA!$A:$B,2,0)</f>
        <v>CEILÂNDIA</v>
      </c>
      <c r="E2774">
        <v>86</v>
      </c>
      <c r="F2774" t="s">
        <v>3403</v>
      </c>
      <c r="G2774" t="s">
        <v>3402</v>
      </c>
      <c r="H2774" t="s">
        <v>3401</v>
      </c>
      <c r="I2774">
        <v>5102</v>
      </c>
      <c r="J2774" s="3">
        <v>34</v>
      </c>
      <c r="K2774" s="3">
        <v>18.62</v>
      </c>
      <c r="L2774">
        <v>45.24</v>
      </c>
    </row>
    <row r="2775" spans="1:12">
      <c r="A2775" s="1">
        <v>46035</v>
      </c>
      <c r="B2775" t="s">
        <v>9848</v>
      </c>
      <c r="C2775">
        <v>13</v>
      </c>
      <c r="D2775" t="str">
        <f>VLOOKUP(Tabela26[[#This Row],[EMP]],[1]LOJA!$A:$B,2,0)</f>
        <v>CEILÂNDIA</v>
      </c>
      <c r="E2775">
        <v>86</v>
      </c>
      <c r="F2775" t="s">
        <v>3403</v>
      </c>
      <c r="G2775" t="s">
        <v>3402</v>
      </c>
      <c r="H2775" t="s">
        <v>3401</v>
      </c>
      <c r="I2775">
        <v>5405</v>
      </c>
      <c r="J2775" s="3">
        <v>29.9</v>
      </c>
      <c r="K2775" s="3">
        <v>12.04</v>
      </c>
      <c r="L2775">
        <v>59.73</v>
      </c>
    </row>
    <row r="2776" spans="1:12">
      <c r="A2776" s="1">
        <v>46035</v>
      </c>
      <c r="B2776" t="s">
        <v>9847</v>
      </c>
      <c r="C2776">
        <v>13</v>
      </c>
      <c r="D2776" t="str">
        <f>VLOOKUP(Tabela26[[#This Row],[EMP]],[1]LOJA!$A:$B,2,0)</f>
        <v>CEILÂNDIA</v>
      </c>
      <c r="E2776">
        <v>33</v>
      </c>
      <c r="F2776" t="s">
        <v>9846</v>
      </c>
      <c r="G2776" t="s">
        <v>9845</v>
      </c>
      <c r="H2776" t="s">
        <v>3408</v>
      </c>
      <c r="I2776">
        <v>5102</v>
      </c>
      <c r="J2776" s="3">
        <v>125</v>
      </c>
      <c r="K2776" s="3">
        <v>75</v>
      </c>
      <c r="L2776">
        <v>40</v>
      </c>
    </row>
    <row r="2777" spans="1:12">
      <c r="A2777" s="1">
        <v>46035</v>
      </c>
      <c r="B2777" t="s">
        <v>9844</v>
      </c>
      <c r="C2777">
        <v>13</v>
      </c>
      <c r="D2777" t="str">
        <f>VLOOKUP(Tabela26[[#This Row],[EMP]],[1]LOJA!$A:$B,2,0)</f>
        <v>CEILÂNDIA</v>
      </c>
      <c r="E2777">
        <v>86</v>
      </c>
      <c r="F2777" t="s">
        <v>3403</v>
      </c>
      <c r="G2777" t="s">
        <v>3402</v>
      </c>
      <c r="H2777" t="s">
        <v>3408</v>
      </c>
      <c r="I2777">
        <v>5405</v>
      </c>
      <c r="J2777" s="3">
        <v>150</v>
      </c>
      <c r="K2777" s="3">
        <v>64.94</v>
      </c>
      <c r="L2777">
        <v>56.71</v>
      </c>
    </row>
    <row r="2778" spans="1:12">
      <c r="A2778" s="1">
        <v>46035</v>
      </c>
      <c r="B2778" t="s">
        <v>9843</v>
      </c>
      <c r="C2778">
        <v>13</v>
      </c>
      <c r="D2778" t="str">
        <f>VLOOKUP(Tabela26[[#This Row],[EMP]],[1]LOJA!$A:$B,2,0)</f>
        <v>CEILÂNDIA</v>
      </c>
      <c r="E2778">
        <v>33</v>
      </c>
      <c r="F2778" t="s">
        <v>7057</v>
      </c>
      <c r="G2778" t="s">
        <v>7056</v>
      </c>
      <c r="H2778" t="s">
        <v>3408</v>
      </c>
      <c r="I2778">
        <v>5102</v>
      </c>
      <c r="J2778" s="3">
        <v>399.9</v>
      </c>
      <c r="K2778" s="3">
        <v>232.75</v>
      </c>
      <c r="L2778">
        <v>41.8</v>
      </c>
    </row>
    <row r="2779" spans="1:12">
      <c r="A2779" s="1">
        <v>46035</v>
      </c>
      <c r="B2779" t="s">
        <v>9842</v>
      </c>
      <c r="C2779">
        <v>6</v>
      </c>
      <c r="D2779" t="str">
        <f>VLOOKUP(Tabela26[[#This Row],[EMP]],[1]LOJA!$A:$B,2,0)</f>
        <v>GAMA</v>
      </c>
      <c r="E2779">
        <v>226</v>
      </c>
      <c r="F2779" t="s">
        <v>4204</v>
      </c>
      <c r="G2779" t="s">
        <v>4203</v>
      </c>
      <c r="H2779" t="s">
        <v>3401</v>
      </c>
      <c r="I2779">
        <v>6108</v>
      </c>
      <c r="J2779" s="3">
        <v>60</v>
      </c>
      <c r="K2779" s="3">
        <v>30.12</v>
      </c>
      <c r="L2779">
        <v>49.8</v>
      </c>
    </row>
    <row r="2780" spans="1:12">
      <c r="A2780" s="1">
        <v>46035</v>
      </c>
      <c r="B2780" t="s">
        <v>9841</v>
      </c>
      <c r="C2780">
        <v>6</v>
      </c>
      <c r="D2780" t="str">
        <f>VLOOKUP(Tabela26[[#This Row],[EMP]],[1]LOJA!$A:$B,2,0)</f>
        <v>GAMA</v>
      </c>
      <c r="E2780">
        <v>245</v>
      </c>
      <c r="F2780" t="s">
        <v>3565</v>
      </c>
      <c r="G2780" t="s">
        <v>3564</v>
      </c>
      <c r="H2780" t="s">
        <v>3401</v>
      </c>
      <c r="I2780">
        <v>5405</v>
      </c>
      <c r="J2780" s="3">
        <v>270</v>
      </c>
      <c r="K2780" s="3">
        <v>148</v>
      </c>
      <c r="L2780">
        <v>45.19</v>
      </c>
    </row>
    <row r="2781" spans="1:12">
      <c r="A2781" s="1">
        <v>46035</v>
      </c>
      <c r="B2781" t="s">
        <v>9840</v>
      </c>
      <c r="C2781">
        <v>6</v>
      </c>
      <c r="D2781" t="str">
        <f>VLOOKUP(Tabela26[[#This Row],[EMP]],[1]LOJA!$A:$B,2,0)</f>
        <v>GAMA</v>
      </c>
      <c r="E2781">
        <v>245</v>
      </c>
      <c r="F2781" t="s">
        <v>9839</v>
      </c>
      <c r="G2781" t="s">
        <v>3402</v>
      </c>
      <c r="H2781" t="s">
        <v>3401</v>
      </c>
      <c r="I2781">
        <v>5405</v>
      </c>
      <c r="J2781" s="3">
        <v>63</v>
      </c>
      <c r="K2781" s="3">
        <v>28.9</v>
      </c>
      <c r="L2781">
        <v>54.13</v>
      </c>
    </row>
    <row r="2782" spans="1:12">
      <c r="A2782" s="1">
        <v>46035</v>
      </c>
      <c r="B2782" t="s">
        <v>9838</v>
      </c>
      <c r="C2782">
        <v>6</v>
      </c>
      <c r="D2782" t="str">
        <f>VLOOKUP(Tabela26[[#This Row],[EMP]],[1]LOJA!$A:$B,2,0)</f>
        <v>GAMA</v>
      </c>
      <c r="E2782">
        <v>226</v>
      </c>
      <c r="F2782" t="s">
        <v>3403</v>
      </c>
      <c r="G2782" t="s">
        <v>3402</v>
      </c>
      <c r="H2782" t="s">
        <v>3401</v>
      </c>
      <c r="I2782">
        <v>5102</v>
      </c>
      <c r="J2782" s="3">
        <v>46</v>
      </c>
      <c r="K2782" s="3">
        <v>19.93</v>
      </c>
      <c r="L2782">
        <v>56.67</v>
      </c>
    </row>
    <row r="2783" spans="1:12">
      <c r="A2783" s="1">
        <v>46035</v>
      </c>
      <c r="B2783" t="s">
        <v>9837</v>
      </c>
      <c r="C2783">
        <v>6</v>
      </c>
      <c r="D2783" t="str">
        <f>VLOOKUP(Tabela26[[#This Row],[EMP]],[1]LOJA!$A:$B,2,0)</f>
        <v>GAMA</v>
      </c>
      <c r="E2783">
        <v>226</v>
      </c>
      <c r="F2783" t="s">
        <v>3403</v>
      </c>
      <c r="G2783" t="s">
        <v>3402</v>
      </c>
      <c r="H2783" t="s">
        <v>3401</v>
      </c>
      <c r="I2783">
        <v>5102</v>
      </c>
      <c r="J2783" s="3">
        <v>240</v>
      </c>
      <c r="K2783" s="3">
        <v>159.84</v>
      </c>
      <c r="L2783">
        <v>33.4</v>
      </c>
    </row>
    <row r="2784" spans="1:12">
      <c r="A2784" s="1">
        <v>46035</v>
      </c>
      <c r="B2784" t="s">
        <v>9836</v>
      </c>
      <c r="C2784">
        <v>6</v>
      </c>
      <c r="D2784" t="str">
        <f>VLOOKUP(Tabela26[[#This Row],[EMP]],[1]LOJA!$A:$B,2,0)</f>
        <v>GAMA</v>
      </c>
      <c r="E2784">
        <v>245</v>
      </c>
      <c r="F2784" t="s">
        <v>3403</v>
      </c>
      <c r="G2784" t="s">
        <v>3402</v>
      </c>
      <c r="H2784" t="s">
        <v>3401</v>
      </c>
      <c r="I2784">
        <v>5405</v>
      </c>
      <c r="J2784" s="3">
        <v>64</v>
      </c>
      <c r="K2784" s="3">
        <v>30.51</v>
      </c>
      <c r="L2784">
        <v>52.33</v>
      </c>
    </row>
    <row r="2785" spans="1:12">
      <c r="A2785" s="1">
        <v>46035</v>
      </c>
      <c r="B2785" t="s">
        <v>9835</v>
      </c>
      <c r="C2785">
        <v>6</v>
      </c>
      <c r="D2785" t="str">
        <f>VLOOKUP(Tabela26[[#This Row],[EMP]],[1]LOJA!$A:$B,2,0)</f>
        <v>GAMA</v>
      </c>
      <c r="E2785">
        <v>245</v>
      </c>
      <c r="F2785" t="s">
        <v>3403</v>
      </c>
      <c r="G2785" t="s">
        <v>3402</v>
      </c>
      <c r="H2785" t="s">
        <v>3401</v>
      </c>
      <c r="I2785">
        <v>5102</v>
      </c>
      <c r="J2785" s="3">
        <v>19</v>
      </c>
      <c r="K2785" s="3">
        <v>9.17</v>
      </c>
      <c r="L2785">
        <v>51.74</v>
      </c>
    </row>
    <row r="2786" spans="1:12">
      <c r="A2786" s="1">
        <v>46035</v>
      </c>
      <c r="B2786" t="s">
        <v>9834</v>
      </c>
      <c r="C2786">
        <v>6</v>
      </c>
      <c r="D2786" t="str">
        <f>VLOOKUP(Tabela26[[#This Row],[EMP]],[1]LOJA!$A:$B,2,0)</f>
        <v>GAMA</v>
      </c>
      <c r="E2786">
        <v>226</v>
      </c>
      <c r="F2786" t="s">
        <v>9833</v>
      </c>
      <c r="G2786" t="s">
        <v>3402</v>
      </c>
      <c r="H2786" t="s">
        <v>3401</v>
      </c>
      <c r="I2786">
        <v>5405</v>
      </c>
      <c r="J2786" s="3">
        <v>100</v>
      </c>
      <c r="K2786" s="3">
        <v>54.43</v>
      </c>
      <c r="L2786">
        <v>45.57</v>
      </c>
    </row>
    <row r="2787" spans="1:12">
      <c r="A2787" s="1">
        <v>46035</v>
      </c>
      <c r="B2787" t="s">
        <v>9832</v>
      </c>
      <c r="C2787">
        <v>6</v>
      </c>
      <c r="D2787" t="str">
        <f>VLOOKUP(Tabela26[[#This Row],[EMP]],[1]LOJA!$A:$B,2,0)</f>
        <v>GAMA</v>
      </c>
      <c r="E2787">
        <v>245</v>
      </c>
      <c r="F2787" t="s">
        <v>3576</v>
      </c>
      <c r="G2787" t="s">
        <v>3402</v>
      </c>
      <c r="H2787" t="s">
        <v>3401</v>
      </c>
      <c r="I2787">
        <v>5405</v>
      </c>
      <c r="J2787" s="3">
        <v>96</v>
      </c>
      <c r="K2787" s="3">
        <v>46.09</v>
      </c>
      <c r="L2787">
        <v>51.99</v>
      </c>
    </row>
    <row r="2788" spans="1:12">
      <c r="A2788" s="1">
        <v>46035</v>
      </c>
      <c r="B2788" t="s">
        <v>9831</v>
      </c>
      <c r="C2788">
        <v>6</v>
      </c>
      <c r="D2788" t="str">
        <f>VLOOKUP(Tabela26[[#This Row],[EMP]],[1]LOJA!$A:$B,2,0)</f>
        <v>GAMA</v>
      </c>
      <c r="E2788">
        <v>245</v>
      </c>
      <c r="F2788" t="s">
        <v>5501</v>
      </c>
      <c r="G2788" t="s">
        <v>5500</v>
      </c>
      <c r="H2788" t="s">
        <v>3401</v>
      </c>
      <c r="I2788">
        <v>5405</v>
      </c>
      <c r="J2788" s="3">
        <v>500</v>
      </c>
      <c r="K2788" s="3">
        <v>249.7</v>
      </c>
      <c r="L2788">
        <v>50.06</v>
      </c>
    </row>
    <row r="2789" spans="1:12">
      <c r="A2789" s="1">
        <v>46035</v>
      </c>
      <c r="B2789" t="s">
        <v>9830</v>
      </c>
      <c r="C2789">
        <v>6</v>
      </c>
      <c r="D2789" t="str">
        <f>VLOOKUP(Tabela26[[#This Row],[EMP]],[1]LOJA!$A:$B,2,0)</f>
        <v>GAMA</v>
      </c>
      <c r="E2789">
        <v>226</v>
      </c>
      <c r="F2789" t="s">
        <v>5509</v>
      </c>
      <c r="G2789" t="s">
        <v>5508</v>
      </c>
      <c r="H2789" t="s">
        <v>4142</v>
      </c>
      <c r="I2789">
        <v>5405</v>
      </c>
      <c r="J2789" s="3">
        <v>29.15</v>
      </c>
      <c r="K2789" s="3">
        <v>14.17</v>
      </c>
      <c r="L2789">
        <v>51.39</v>
      </c>
    </row>
    <row r="2790" spans="1:12">
      <c r="A2790" s="1">
        <v>46035</v>
      </c>
      <c r="B2790" t="s">
        <v>9829</v>
      </c>
      <c r="C2790">
        <v>6</v>
      </c>
      <c r="D2790" t="str">
        <f>VLOOKUP(Tabela26[[#This Row],[EMP]],[1]LOJA!$A:$B,2,0)</f>
        <v>GAMA</v>
      </c>
      <c r="E2790">
        <v>245</v>
      </c>
      <c r="F2790" t="s">
        <v>3403</v>
      </c>
      <c r="G2790" t="s">
        <v>3402</v>
      </c>
      <c r="H2790" t="s">
        <v>3408</v>
      </c>
      <c r="I2790">
        <v>5102</v>
      </c>
      <c r="J2790" s="3">
        <v>23</v>
      </c>
      <c r="K2790" s="3">
        <v>10.52</v>
      </c>
      <c r="L2790">
        <v>54.26</v>
      </c>
    </row>
    <row r="2791" spans="1:12">
      <c r="A2791" s="1">
        <v>46035</v>
      </c>
      <c r="B2791" t="s">
        <v>9828</v>
      </c>
      <c r="C2791">
        <v>6</v>
      </c>
      <c r="D2791" t="str">
        <f>VLOOKUP(Tabela26[[#This Row],[EMP]],[1]LOJA!$A:$B,2,0)</f>
        <v>GAMA</v>
      </c>
      <c r="E2791">
        <v>226</v>
      </c>
      <c r="F2791" t="s">
        <v>3403</v>
      </c>
      <c r="G2791" t="s">
        <v>3402</v>
      </c>
      <c r="H2791" t="s">
        <v>3408</v>
      </c>
      <c r="I2791">
        <v>5102</v>
      </c>
      <c r="J2791" s="3">
        <v>142</v>
      </c>
      <c r="K2791" s="3">
        <v>63.23</v>
      </c>
      <c r="L2791">
        <v>55.47</v>
      </c>
    </row>
    <row r="2792" spans="1:12">
      <c r="A2792" s="1">
        <v>46035</v>
      </c>
      <c r="B2792" t="s">
        <v>9827</v>
      </c>
      <c r="C2792">
        <v>6</v>
      </c>
      <c r="D2792" t="str">
        <f>VLOOKUP(Tabela26[[#This Row],[EMP]],[1]LOJA!$A:$B,2,0)</f>
        <v>GAMA</v>
      </c>
      <c r="E2792">
        <v>226</v>
      </c>
      <c r="F2792" t="s">
        <v>3403</v>
      </c>
      <c r="G2792" t="s">
        <v>3402</v>
      </c>
      <c r="H2792" t="s">
        <v>3401</v>
      </c>
      <c r="I2792">
        <v>5102</v>
      </c>
      <c r="J2792" s="3">
        <v>11.49</v>
      </c>
      <c r="K2792" s="3">
        <v>5.79</v>
      </c>
      <c r="L2792">
        <v>49.61</v>
      </c>
    </row>
    <row r="2793" spans="1:12">
      <c r="A2793" s="1">
        <v>46035</v>
      </c>
      <c r="B2793" t="s">
        <v>9826</v>
      </c>
      <c r="C2793">
        <v>6</v>
      </c>
      <c r="D2793" t="str">
        <f>VLOOKUP(Tabela26[[#This Row],[EMP]],[1]LOJA!$A:$B,2,0)</f>
        <v>GAMA</v>
      </c>
      <c r="E2793">
        <v>226</v>
      </c>
      <c r="F2793" t="s">
        <v>3403</v>
      </c>
      <c r="G2793" t="s">
        <v>3402</v>
      </c>
      <c r="H2793" t="s">
        <v>3401</v>
      </c>
      <c r="I2793">
        <v>5102</v>
      </c>
      <c r="J2793" s="3">
        <v>200</v>
      </c>
      <c r="K2793" s="3">
        <v>122.76</v>
      </c>
      <c r="L2793">
        <v>38.619999999999997</v>
      </c>
    </row>
    <row r="2794" spans="1:12">
      <c r="A2794" s="1">
        <v>46035</v>
      </c>
      <c r="B2794" t="s">
        <v>9825</v>
      </c>
      <c r="C2794">
        <v>6</v>
      </c>
      <c r="D2794" t="str">
        <f>VLOOKUP(Tabela26[[#This Row],[EMP]],[1]LOJA!$A:$B,2,0)</f>
        <v>GAMA</v>
      </c>
      <c r="E2794">
        <v>245</v>
      </c>
      <c r="F2794" t="s">
        <v>3403</v>
      </c>
      <c r="G2794" t="s">
        <v>3402</v>
      </c>
      <c r="H2794" t="s">
        <v>3401</v>
      </c>
      <c r="I2794">
        <v>5405</v>
      </c>
      <c r="J2794" s="3">
        <v>32</v>
      </c>
      <c r="K2794" s="3">
        <v>14.58</v>
      </c>
      <c r="L2794">
        <v>54.44</v>
      </c>
    </row>
    <row r="2795" spans="1:12">
      <c r="A2795" s="1">
        <v>46035</v>
      </c>
      <c r="B2795" t="s">
        <v>9824</v>
      </c>
      <c r="C2795">
        <v>6</v>
      </c>
      <c r="D2795" t="str">
        <f>VLOOKUP(Tabela26[[#This Row],[EMP]],[1]LOJA!$A:$B,2,0)</f>
        <v>GAMA</v>
      </c>
      <c r="E2795">
        <v>245</v>
      </c>
      <c r="F2795" t="s">
        <v>3568</v>
      </c>
      <c r="G2795" t="s">
        <v>3567</v>
      </c>
      <c r="H2795" t="s">
        <v>3520</v>
      </c>
      <c r="I2795">
        <v>5405</v>
      </c>
      <c r="J2795" s="3">
        <v>381.69</v>
      </c>
      <c r="K2795" s="3">
        <v>207.37</v>
      </c>
      <c r="L2795">
        <v>45.67</v>
      </c>
    </row>
    <row r="2796" spans="1:12">
      <c r="A2796" s="1">
        <v>46035</v>
      </c>
      <c r="B2796" t="s">
        <v>9823</v>
      </c>
      <c r="C2796">
        <v>4</v>
      </c>
      <c r="D2796" t="str">
        <f>VLOOKUP(Tabela26[[#This Row],[EMP]],[1]LOJA!$A:$B,2,0)</f>
        <v>ADE</v>
      </c>
      <c r="E2796">
        <v>132</v>
      </c>
      <c r="F2796" t="s">
        <v>9822</v>
      </c>
      <c r="G2796" t="s">
        <v>9821</v>
      </c>
      <c r="H2796" t="s">
        <v>3408</v>
      </c>
      <c r="I2796">
        <v>5405</v>
      </c>
      <c r="J2796" s="3">
        <v>706.5</v>
      </c>
      <c r="K2796" s="3">
        <v>272.70999999999998</v>
      </c>
      <c r="L2796">
        <v>61.4</v>
      </c>
    </row>
    <row r="2797" spans="1:12">
      <c r="A2797" s="1">
        <v>46035</v>
      </c>
      <c r="B2797" t="s">
        <v>9820</v>
      </c>
      <c r="C2797">
        <v>6</v>
      </c>
      <c r="D2797" t="str">
        <f>VLOOKUP(Tabela26[[#This Row],[EMP]],[1]LOJA!$A:$B,2,0)</f>
        <v>GAMA</v>
      </c>
      <c r="E2797">
        <v>245</v>
      </c>
      <c r="F2797" t="s">
        <v>3555</v>
      </c>
      <c r="G2797" t="s">
        <v>3554</v>
      </c>
      <c r="H2797" t="s">
        <v>3430</v>
      </c>
      <c r="I2797">
        <v>6403</v>
      </c>
      <c r="J2797" s="3">
        <v>369.98</v>
      </c>
      <c r="K2797" s="3">
        <v>203.77</v>
      </c>
      <c r="L2797">
        <v>44.92</v>
      </c>
    </row>
    <row r="2798" spans="1:12">
      <c r="A2798" s="1">
        <v>46035</v>
      </c>
      <c r="B2798" t="s">
        <v>9819</v>
      </c>
      <c r="C2798">
        <v>6</v>
      </c>
      <c r="D2798" t="str">
        <f>VLOOKUP(Tabela26[[#This Row],[EMP]],[1]LOJA!$A:$B,2,0)</f>
        <v>GAMA</v>
      </c>
      <c r="E2798">
        <v>226</v>
      </c>
      <c r="F2798" t="s">
        <v>7518</v>
      </c>
      <c r="G2798" t="s">
        <v>7517</v>
      </c>
      <c r="H2798" t="s">
        <v>3408</v>
      </c>
      <c r="I2798">
        <v>5405</v>
      </c>
      <c r="J2798" s="3">
        <v>380.01</v>
      </c>
      <c r="K2798" s="3">
        <v>216.9</v>
      </c>
      <c r="L2798">
        <v>42.92</v>
      </c>
    </row>
    <row r="2799" spans="1:12">
      <c r="A2799" s="1">
        <v>46036</v>
      </c>
      <c r="B2799" t="s">
        <v>9818</v>
      </c>
      <c r="C2799">
        <v>24</v>
      </c>
      <c r="D2799" t="str">
        <f>VLOOKUP(Tabela26[[#This Row],[EMP]],[1]LOJA!$A:$B,2,0)</f>
        <v>LUZIÂNIA</v>
      </c>
      <c r="E2799">
        <v>192</v>
      </c>
      <c r="F2799" t="s">
        <v>5422</v>
      </c>
      <c r="G2799" t="s">
        <v>5421</v>
      </c>
      <c r="H2799" t="s">
        <v>3430</v>
      </c>
      <c r="I2799">
        <v>5102</v>
      </c>
      <c r="J2799" s="3">
        <v>147</v>
      </c>
      <c r="K2799" s="3">
        <v>78.91</v>
      </c>
      <c r="L2799">
        <v>46.32</v>
      </c>
    </row>
    <row r="2800" spans="1:12">
      <c r="A2800" s="1">
        <v>46036</v>
      </c>
      <c r="B2800" t="s">
        <v>9817</v>
      </c>
      <c r="C2800">
        <v>24</v>
      </c>
      <c r="D2800" t="str">
        <f>VLOOKUP(Tabela26[[#This Row],[EMP]],[1]LOJA!$A:$B,2,0)</f>
        <v>LUZIÂNIA</v>
      </c>
      <c r="E2800">
        <v>150</v>
      </c>
      <c r="F2800" t="s">
        <v>4952</v>
      </c>
      <c r="G2800" t="s">
        <v>4951</v>
      </c>
      <c r="H2800" t="s">
        <v>3430</v>
      </c>
      <c r="I2800">
        <v>5102</v>
      </c>
      <c r="J2800" s="3">
        <v>618.16999999999996</v>
      </c>
      <c r="K2800" s="3">
        <v>410.52</v>
      </c>
      <c r="L2800">
        <v>33.590000000000003</v>
      </c>
    </row>
    <row r="2801" spans="1:12">
      <c r="A2801" s="1">
        <v>46036</v>
      </c>
      <c r="B2801" t="s">
        <v>9816</v>
      </c>
      <c r="C2801">
        <v>24</v>
      </c>
      <c r="D2801" t="str">
        <f>VLOOKUP(Tabela26[[#This Row],[EMP]],[1]LOJA!$A:$B,2,0)</f>
        <v>LUZIÂNIA</v>
      </c>
      <c r="E2801">
        <v>192</v>
      </c>
      <c r="F2801" t="s">
        <v>4943</v>
      </c>
      <c r="G2801" t="s">
        <v>4942</v>
      </c>
      <c r="H2801" t="s">
        <v>3401</v>
      </c>
      <c r="I2801">
        <v>1202</v>
      </c>
      <c r="J2801" s="3">
        <v>-3538</v>
      </c>
      <c r="K2801" s="3">
        <v>-2467.29</v>
      </c>
      <c r="L2801">
        <v>30.26</v>
      </c>
    </row>
    <row r="2802" spans="1:12">
      <c r="A2802" s="1">
        <v>46036</v>
      </c>
      <c r="B2802" t="s">
        <v>9815</v>
      </c>
      <c r="C2802">
        <v>24</v>
      </c>
      <c r="D2802" t="str">
        <f>VLOOKUP(Tabela26[[#This Row],[EMP]],[1]LOJA!$A:$B,2,0)</f>
        <v>LUZIÂNIA</v>
      </c>
      <c r="E2802">
        <v>192</v>
      </c>
      <c r="F2802" t="s">
        <v>4943</v>
      </c>
      <c r="G2802" t="s">
        <v>4942</v>
      </c>
      <c r="H2802" t="s">
        <v>3397</v>
      </c>
      <c r="I2802">
        <v>5102</v>
      </c>
      <c r="J2802" s="3">
        <v>3538</v>
      </c>
      <c r="K2802" s="3">
        <v>2458.4699999999998</v>
      </c>
      <c r="L2802">
        <v>30.51</v>
      </c>
    </row>
    <row r="2803" spans="1:12">
      <c r="A2803" s="1">
        <v>46036</v>
      </c>
      <c r="B2803" t="s">
        <v>9814</v>
      </c>
      <c r="C2803">
        <v>24</v>
      </c>
      <c r="D2803" t="str">
        <f>VLOOKUP(Tabela26[[#This Row],[EMP]],[1]LOJA!$A:$B,2,0)</f>
        <v>LUZIÂNIA</v>
      </c>
      <c r="E2803">
        <v>150</v>
      </c>
      <c r="F2803" t="s">
        <v>4273</v>
      </c>
      <c r="G2803" t="s">
        <v>4272</v>
      </c>
      <c r="H2803" t="s">
        <v>3520</v>
      </c>
      <c r="I2803">
        <v>5102</v>
      </c>
      <c r="J2803" s="3">
        <v>2398</v>
      </c>
      <c r="K2803" s="3">
        <v>1623.54</v>
      </c>
      <c r="L2803">
        <v>32.299999999999997</v>
      </c>
    </row>
    <row r="2804" spans="1:12">
      <c r="A2804" s="1">
        <v>46036</v>
      </c>
      <c r="B2804" t="s">
        <v>9813</v>
      </c>
      <c r="C2804">
        <v>24</v>
      </c>
      <c r="D2804" t="str">
        <f>VLOOKUP(Tabela26[[#This Row],[EMP]],[1]LOJA!$A:$B,2,0)</f>
        <v>LUZIÂNIA</v>
      </c>
      <c r="E2804">
        <v>192</v>
      </c>
      <c r="F2804" t="s">
        <v>4270</v>
      </c>
      <c r="G2804" t="s">
        <v>4269</v>
      </c>
      <c r="H2804" t="s">
        <v>3430</v>
      </c>
      <c r="I2804">
        <v>5102</v>
      </c>
      <c r="J2804" s="3">
        <v>39.9</v>
      </c>
      <c r="K2804" s="3">
        <v>23.58</v>
      </c>
      <c r="L2804">
        <v>40.9</v>
      </c>
    </row>
    <row r="2805" spans="1:12">
      <c r="A2805" s="1">
        <v>46036</v>
      </c>
      <c r="B2805" t="s">
        <v>9812</v>
      </c>
      <c r="C2805">
        <v>24</v>
      </c>
      <c r="D2805" t="str">
        <f>VLOOKUP(Tabela26[[#This Row],[EMP]],[1]LOJA!$A:$B,2,0)</f>
        <v>LUZIÂNIA</v>
      </c>
      <c r="E2805">
        <v>192</v>
      </c>
      <c r="F2805" t="s">
        <v>4270</v>
      </c>
      <c r="G2805" t="s">
        <v>4269</v>
      </c>
      <c r="H2805" t="s">
        <v>3430</v>
      </c>
      <c r="I2805">
        <v>5405</v>
      </c>
      <c r="J2805" s="3">
        <v>78.900000000000006</v>
      </c>
      <c r="K2805" s="3">
        <v>39.18</v>
      </c>
      <c r="L2805">
        <v>50.34</v>
      </c>
    </row>
    <row r="2806" spans="1:12">
      <c r="A2806" s="1">
        <v>46036</v>
      </c>
      <c r="B2806" t="s">
        <v>9811</v>
      </c>
      <c r="C2806">
        <v>24</v>
      </c>
      <c r="D2806" t="str">
        <f>VLOOKUP(Tabela26[[#This Row],[EMP]],[1]LOJA!$A:$B,2,0)</f>
        <v>LUZIÂNIA</v>
      </c>
      <c r="E2806">
        <v>150</v>
      </c>
      <c r="F2806" t="s">
        <v>4276</v>
      </c>
      <c r="G2806" t="s">
        <v>4275</v>
      </c>
      <c r="H2806" t="s">
        <v>3520</v>
      </c>
      <c r="I2806">
        <v>5405</v>
      </c>
      <c r="J2806" s="3">
        <v>120</v>
      </c>
      <c r="K2806" s="3">
        <v>50.76</v>
      </c>
      <c r="L2806">
        <v>57.7</v>
      </c>
    </row>
    <row r="2807" spans="1:12">
      <c r="A2807" s="1">
        <v>46036</v>
      </c>
      <c r="B2807" t="s">
        <v>9810</v>
      </c>
      <c r="C2807">
        <v>24</v>
      </c>
      <c r="D2807" t="str">
        <f>VLOOKUP(Tabela26[[#This Row],[EMP]],[1]LOJA!$A:$B,2,0)</f>
        <v>LUZIÂNIA</v>
      </c>
      <c r="E2807">
        <v>192</v>
      </c>
      <c r="F2807" t="s">
        <v>9809</v>
      </c>
      <c r="G2807" t="s">
        <v>9808</v>
      </c>
      <c r="H2807" t="s">
        <v>3408</v>
      </c>
      <c r="I2807">
        <v>5405</v>
      </c>
      <c r="J2807" s="3">
        <v>299</v>
      </c>
      <c r="K2807" s="3">
        <v>152.56</v>
      </c>
      <c r="L2807">
        <v>48.98</v>
      </c>
    </row>
    <row r="2808" spans="1:12">
      <c r="A2808" s="1">
        <v>46036</v>
      </c>
      <c r="B2808" t="s">
        <v>9807</v>
      </c>
      <c r="C2808">
        <v>24</v>
      </c>
      <c r="D2808" t="str">
        <f>VLOOKUP(Tabela26[[#This Row],[EMP]],[1]LOJA!$A:$B,2,0)</f>
        <v>LUZIÂNIA</v>
      </c>
      <c r="E2808">
        <v>150</v>
      </c>
      <c r="F2808" t="s">
        <v>4276</v>
      </c>
      <c r="G2808" t="s">
        <v>4275</v>
      </c>
      <c r="H2808" t="s">
        <v>3520</v>
      </c>
      <c r="I2808">
        <v>5102</v>
      </c>
      <c r="J2808" s="3">
        <v>52.5</v>
      </c>
      <c r="K2808" s="3">
        <v>32.4</v>
      </c>
      <c r="L2808">
        <v>38.29</v>
      </c>
    </row>
    <row r="2809" spans="1:12">
      <c r="A2809" s="1">
        <v>46036</v>
      </c>
      <c r="B2809" t="s">
        <v>9806</v>
      </c>
      <c r="C2809">
        <v>24</v>
      </c>
      <c r="D2809" t="str">
        <f>VLOOKUP(Tabela26[[#This Row],[EMP]],[1]LOJA!$A:$B,2,0)</f>
        <v>LUZIÂNIA</v>
      </c>
      <c r="E2809">
        <v>150</v>
      </c>
      <c r="F2809" t="s">
        <v>4182</v>
      </c>
      <c r="G2809" t="s">
        <v>4181</v>
      </c>
      <c r="H2809" t="s">
        <v>3430</v>
      </c>
      <c r="I2809">
        <v>5102</v>
      </c>
      <c r="J2809" s="3">
        <v>36</v>
      </c>
      <c r="K2809" s="3">
        <v>15.6</v>
      </c>
      <c r="L2809">
        <v>56.67</v>
      </c>
    </row>
    <row r="2810" spans="1:12">
      <c r="A2810" s="1">
        <v>46036</v>
      </c>
      <c r="B2810" t="s">
        <v>9805</v>
      </c>
      <c r="C2810">
        <v>24</v>
      </c>
      <c r="D2810" t="str">
        <f>VLOOKUP(Tabela26[[#This Row],[EMP]],[1]LOJA!$A:$B,2,0)</f>
        <v>LUZIÂNIA</v>
      </c>
      <c r="E2810">
        <v>192</v>
      </c>
      <c r="F2810" t="s">
        <v>9372</v>
      </c>
      <c r="G2810" t="s">
        <v>9371</v>
      </c>
      <c r="H2810" t="s">
        <v>3430</v>
      </c>
      <c r="I2810">
        <v>5102</v>
      </c>
      <c r="J2810" s="3">
        <v>55</v>
      </c>
      <c r="K2810" s="3">
        <v>29.5</v>
      </c>
      <c r="L2810">
        <v>46.36</v>
      </c>
    </row>
    <row r="2811" spans="1:12">
      <c r="A2811" s="1">
        <v>46036</v>
      </c>
      <c r="B2811" t="s">
        <v>9804</v>
      </c>
      <c r="C2811">
        <v>24</v>
      </c>
      <c r="D2811" t="str">
        <f>VLOOKUP(Tabela26[[#This Row],[EMP]],[1]LOJA!$A:$B,2,0)</f>
        <v>LUZIÂNIA</v>
      </c>
      <c r="E2811">
        <v>150</v>
      </c>
      <c r="F2811" t="s">
        <v>5987</v>
      </c>
      <c r="G2811" t="s">
        <v>5986</v>
      </c>
      <c r="H2811" t="s">
        <v>3408</v>
      </c>
      <c r="I2811">
        <v>5405</v>
      </c>
      <c r="J2811" s="3">
        <v>190.17</v>
      </c>
      <c r="K2811" s="3">
        <v>102.07</v>
      </c>
      <c r="L2811">
        <v>46.33</v>
      </c>
    </row>
    <row r="2812" spans="1:12">
      <c r="A2812" s="1">
        <v>46036</v>
      </c>
      <c r="B2812" t="s">
        <v>9803</v>
      </c>
      <c r="C2812">
        <v>24</v>
      </c>
      <c r="D2812" t="str">
        <f>VLOOKUP(Tabela26[[#This Row],[EMP]],[1]LOJA!$A:$B,2,0)</f>
        <v>LUZIÂNIA</v>
      </c>
      <c r="E2812">
        <v>150</v>
      </c>
      <c r="F2812" t="s">
        <v>5987</v>
      </c>
      <c r="G2812" t="s">
        <v>5986</v>
      </c>
      <c r="H2812" t="s">
        <v>3408</v>
      </c>
      <c r="I2812">
        <v>5405</v>
      </c>
      <c r="J2812" s="3">
        <v>32</v>
      </c>
      <c r="K2812" s="3">
        <v>14.9</v>
      </c>
      <c r="L2812">
        <v>53.44</v>
      </c>
    </row>
    <row r="2813" spans="1:12">
      <c r="A2813" s="1">
        <v>46036</v>
      </c>
      <c r="B2813" t="s">
        <v>9802</v>
      </c>
      <c r="C2813">
        <v>24</v>
      </c>
      <c r="D2813" t="str">
        <f>VLOOKUP(Tabela26[[#This Row],[EMP]],[1]LOJA!$A:$B,2,0)</f>
        <v>LUZIÂNIA</v>
      </c>
      <c r="E2813">
        <v>150</v>
      </c>
      <c r="F2813" t="s">
        <v>4182</v>
      </c>
      <c r="G2813" t="s">
        <v>4181</v>
      </c>
      <c r="H2813" t="s">
        <v>3430</v>
      </c>
      <c r="I2813">
        <v>5102</v>
      </c>
      <c r="J2813" s="3">
        <v>50</v>
      </c>
      <c r="K2813" s="3">
        <v>25.46</v>
      </c>
      <c r="L2813">
        <v>49.08</v>
      </c>
    </row>
    <row r="2814" spans="1:12">
      <c r="A2814" s="1">
        <v>46036</v>
      </c>
      <c r="B2814" t="s">
        <v>9801</v>
      </c>
      <c r="C2814">
        <v>24</v>
      </c>
      <c r="D2814" t="str">
        <f>VLOOKUP(Tabela26[[#This Row],[EMP]],[1]LOJA!$A:$B,2,0)</f>
        <v>LUZIÂNIA</v>
      </c>
      <c r="E2814">
        <v>150</v>
      </c>
      <c r="F2814" t="s">
        <v>7487</v>
      </c>
      <c r="G2814" t="s">
        <v>7486</v>
      </c>
      <c r="H2814" t="s">
        <v>3430</v>
      </c>
      <c r="I2814">
        <v>5405</v>
      </c>
      <c r="J2814" s="3">
        <v>99.8</v>
      </c>
      <c r="K2814" s="3">
        <v>51.84</v>
      </c>
      <c r="L2814">
        <v>48.06</v>
      </c>
    </row>
    <row r="2815" spans="1:12">
      <c r="A2815" s="1">
        <v>46036</v>
      </c>
      <c r="B2815" t="s">
        <v>9800</v>
      </c>
      <c r="C2815">
        <v>24</v>
      </c>
      <c r="D2815" t="str">
        <f>VLOOKUP(Tabela26[[#This Row],[EMP]],[1]LOJA!$A:$B,2,0)</f>
        <v>LUZIÂNIA</v>
      </c>
      <c r="E2815">
        <v>150</v>
      </c>
      <c r="F2815" t="s">
        <v>4276</v>
      </c>
      <c r="G2815" t="s">
        <v>4275</v>
      </c>
      <c r="H2815" t="s">
        <v>3520</v>
      </c>
      <c r="I2815">
        <v>5405</v>
      </c>
      <c r="J2815" s="3">
        <v>99.8</v>
      </c>
      <c r="K2815" s="3">
        <v>51.84</v>
      </c>
      <c r="L2815">
        <v>48.06</v>
      </c>
    </row>
    <row r="2816" spans="1:12">
      <c r="A2816" s="1">
        <v>46036</v>
      </c>
      <c r="B2816" t="s">
        <v>9799</v>
      </c>
      <c r="C2816">
        <v>24</v>
      </c>
      <c r="D2816" t="str">
        <f>VLOOKUP(Tabela26[[#This Row],[EMP]],[1]LOJA!$A:$B,2,0)</f>
        <v>LUZIÂNIA</v>
      </c>
      <c r="E2816">
        <v>192</v>
      </c>
      <c r="F2816" t="s">
        <v>4946</v>
      </c>
      <c r="G2816" t="s">
        <v>4945</v>
      </c>
      <c r="H2816" t="s">
        <v>3430</v>
      </c>
      <c r="I2816">
        <v>5405</v>
      </c>
      <c r="J2816" s="3">
        <v>314</v>
      </c>
      <c r="K2816" s="3">
        <v>156.97</v>
      </c>
      <c r="L2816">
        <v>50.01</v>
      </c>
    </row>
    <row r="2817" spans="1:12">
      <c r="A2817" s="1">
        <v>46036</v>
      </c>
      <c r="B2817" t="s">
        <v>9798</v>
      </c>
      <c r="C2817">
        <v>24</v>
      </c>
      <c r="D2817" t="str">
        <f>VLOOKUP(Tabela26[[#This Row],[EMP]],[1]LOJA!$A:$B,2,0)</f>
        <v>LUZIÂNIA</v>
      </c>
      <c r="E2817">
        <v>192</v>
      </c>
      <c r="F2817" t="s">
        <v>4940</v>
      </c>
      <c r="G2817" t="s">
        <v>4939</v>
      </c>
      <c r="H2817" t="s">
        <v>3430</v>
      </c>
      <c r="I2817">
        <v>5405</v>
      </c>
      <c r="J2817" s="3">
        <v>173</v>
      </c>
      <c r="K2817" s="3">
        <v>76.349999999999994</v>
      </c>
      <c r="L2817">
        <v>55.87</v>
      </c>
    </row>
    <row r="2818" spans="1:12">
      <c r="A2818" s="1">
        <v>46036</v>
      </c>
      <c r="B2818" t="s">
        <v>9797</v>
      </c>
      <c r="C2818">
        <v>24</v>
      </c>
      <c r="D2818" t="str">
        <f>VLOOKUP(Tabela26[[#This Row],[EMP]],[1]LOJA!$A:$B,2,0)</f>
        <v>LUZIÂNIA</v>
      </c>
      <c r="E2818">
        <v>150</v>
      </c>
      <c r="F2818" t="s">
        <v>7487</v>
      </c>
      <c r="G2818" t="s">
        <v>7486</v>
      </c>
      <c r="H2818" t="s">
        <v>3430</v>
      </c>
      <c r="I2818">
        <v>5405</v>
      </c>
      <c r="J2818" s="3">
        <v>118.95</v>
      </c>
      <c r="K2818" s="3">
        <v>50.61</v>
      </c>
      <c r="L2818">
        <v>57.45</v>
      </c>
    </row>
    <row r="2819" spans="1:12">
      <c r="A2819" s="1">
        <v>46036</v>
      </c>
      <c r="B2819" t="s">
        <v>9796</v>
      </c>
      <c r="C2819">
        <v>16</v>
      </c>
      <c r="D2819" t="str">
        <f>VLOOKUP(Tabela26[[#This Row],[EMP]],[1]LOJA!$A:$B,2,0)</f>
        <v>AG LINDAS</v>
      </c>
      <c r="E2819">
        <v>107</v>
      </c>
      <c r="F2819" t="s">
        <v>4267</v>
      </c>
      <c r="G2819" t="s">
        <v>4266</v>
      </c>
      <c r="H2819" t="s">
        <v>3430</v>
      </c>
      <c r="I2819">
        <v>5405</v>
      </c>
      <c r="J2819" s="3">
        <v>101.8</v>
      </c>
      <c r="K2819" s="3">
        <v>48.32</v>
      </c>
      <c r="L2819">
        <v>52.53</v>
      </c>
    </row>
    <row r="2820" spans="1:12">
      <c r="A2820" s="1">
        <v>46036</v>
      </c>
      <c r="B2820" t="s">
        <v>9795</v>
      </c>
      <c r="C2820">
        <v>16</v>
      </c>
      <c r="D2820" t="str">
        <f>VLOOKUP(Tabela26[[#This Row],[EMP]],[1]LOJA!$A:$B,2,0)</f>
        <v>AG LINDAS</v>
      </c>
      <c r="E2820">
        <v>107</v>
      </c>
      <c r="F2820" t="s">
        <v>4267</v>
      </c>
      <c r="G2820" t="s">
        <v>4266</v>
      </c>
      <c r="H2820" t="s">
        <v>3430</v>
      </c>
      <c r="I2820">
        <v>5405</v>
      </c>
      <c r="J2820" s="3">
        <v>74</v>
      </c>
      <c r="K2820" s="3">
        <v>36.92</v>
      </c>
      <c r="L2820">
        <v>50.11</v>
      </c>
    </row>
    <row r="2821" spans="1:12">
      <c r="A2821" s="1">
        <v>46036</v>
      </c>
      <c r="B2821" t="s">
        <v>9794</v>
      </c>
      <c r="C2821">
        <v>20</v>
      </c>
      <c r="D2821" t="str">
        <f>VLOOKUP(Tabela26[[#This Row],[EMP]],[1]LOJA!$A:$B,2,0)</f>
        <v>DAUTO SERVIÇOS</v>
      </c>
      <c r="E2821">
        <v>232</v>
      </c>
      <c r="F2821" t="s">
        <v>4260</v>
      </c>
      <c r="G2821" t="s">
        <v>4259</v>
      </c>
      <c r="H2821" t="s">
        <v>3430</v>
      </c>
      <c r="I2821">
        <v>5933</v>
      </c>
      <c r="J2821" s="3">
        <v>1180</v>
      </c>
      <c r="K2821" s="3">
        <v>0</v>
      </c>
      <c r="L2821">
        <v>100</v>
      </c>
    </row>
    <row r="2822" spans="1:12">
      <c r="A2822" s="1">
        <v>46036</v>
      </c>
      <c r="B2822" t="s">
        <v>9793</v>
      </c>
      <c r="C2822">
        <v>20</v>
      </c>
      <c r="D2822" t="str">
        <f>VLOOKUP(Tabela26[[#This Row],[EMP]],[1]LOJA!$A:$B,2,0)</f>
        <v>DAUTO SERVIÇOS</v>
      </c>
      <c r="E2822">
        <v>232</v>
      </c>
      <c r="F2822" t="s">
        <v>4260</v>
      </c>
      <c r="G2822" t="s">
        <v>4259</v>
      </c>
      <c r="H2822" t="s">
        <v>3430</v>
      </c>
      <c r="I2822">
        <v>5933</v>
      </c>
      <c r="J2822" s="3">
        <v>340</v>
      </c>
      <c r="K2822" s="3">
        <v>0</v>
      </c>
      <c r="L2822">
        <v>100</v>
      </c>
    </row>
    <row r="2823" spans="1:12">
      <c r="A2823" s="1">
        <v>46036</v>
      </c>
      <c r="B2823" t="s">
        <v>9792</v>
      </c>
      <c r="C2823">
        <v>20</v>
      </c>
      <c r="D2823" t="str">
        <f>VLOOKUP(Tabela26[[#This Row],[EMP]],[1]LOJA!$A:$B,2,0)</f>
        <v>DAUTO SERVIÇOS</v>
      </c>
      <c r="E2823">
        <v>232</v>
      </c>
      <c r="F2823" t="s">
        <v>4260</v>
      </c>
      <c r="G2823" t="s">
        <v>4259</v>
      </c>
      <c r="H2823" t="s">
        <v>3430</v>
      </c>
      <c r="I2823">
        <v>5933</v>
      </c>
      <c r="J2823" s="3">
        <v>500.4</v>
      </c>
      <c r="K2823" s="3">
        <v>0</v>
      </c>
      <c r="L2823">
        <v>100</v>
      </c>
    </row>
    <row r="2824" spans="1:12">
      <c r="A2824" s="1">
        <v>46036</v>
      </c>
      <c r="B2824" t="s">
        <v>9791</v>
      </c>
      <c r="C2824">
        <v>20</v>
      </c>
      <c r="D2824" t="str">
        <f>VLOOKUP(Tabela26[[#This Row],[EMP]],[1]LOJA!$A:$B,2,0)</f>
        <v>DAUTO SERVIÇOS</v>
      </c>
      <c r="E2824">
        <v>232</v>
      </c>
      <c r="F2824" t="s">
        <v>4260</v>
      </c>
      <c r="G2824" t="s">
        <v>4259</v>
      </c>
      <c r="H2824" t="s">
        <v>3430</v>
      </c>
      <c r="I2824">
        <v>5933</v>
      </c>
      <c r="J2824" s="3">
        <v>108.8</v>
      </c>
      <c r="K2824" s="3">
        <v>0</v>
      </c>
      <c r="L2824">
        <v>100</v>
      </c>
    </row>
    <row r="2825" spans="1:12">
      <c r="A2825" s="1">
        <v>46036</v>
      </c>
      <c r="B2825" t="s">
        <v>9790</v>
      </c>
      <c r="C2825">
        <v>20</v>
      </c>
      <c r="D2825" t="str">
        <f>VLOOKUP(Tabela26[[#This Row],[EMP]],[1]LOJA!$A:$B,2,0)</f>
        <v>DAUTO SERVIÇOS</v>
      </c>
      <c r="E2825">
        <v>232</v>
      </c>
      <c r="F2825" t="s">
        <v>4260</v>
      </c>
      <c r="G2825" t="s">
        <v>4259</v>
      </c>
      <c r="H2825" t="s">
        <v>3430</v>
      </c>
      <c r="I2825">
        <v>5933</v>
      </c>
      <c r="J2825" s="3">
        <v>1360</v>
      </c>
      <c r="K2825" s="3">
        <v>0</v>
      </c>
      <c r="L2825">
        <v>100</v>
      </c>
    </row>
    <row r="2826" spans="1:12">
      <c r="A2826" s="1">
        <v>46036</v>
      </c>
      <c r="B2826" t="s">
        <v>9789</v>
      </c>
      <c r="C2826">
        <v>20</v>
      </c>
      <c r="D2826" t="str">
        <f>VLOOKUP(Tabela26[[#This Row],[EMP]],[1]LOJA!$A:$B,2,0)</f>
        <v>DAUTO SERVIÇOS</v>
      </c>
      <c r="E2826">
        <v>232</v>
      </c>
      <c r="F2826" t="s">
        <v>4260</v>
      </c>
      <c r="G2826" t="s">
        <v>4259</v>
      </c>
      <c r="H2826" t="s">
        <v>3430</v>
      </c>
      <c r="I2826">
        <v>5933</v>
      </c>
      <c r="J2826" s="3">
        <v>881.55</v>
      </c>
      <c r="K2826" s="3">
        <v>0</v>
      </c>
      <c r="L2826">
        <v>100</v>
      </c>
    </row>
    <row r="2827" spans="1:12">
      <c r="A2827" s="1">
        <v>46036</v>
      </c>
      <c r="B2827" t="s">
        <v>9788</v>
      </c>
      <c r="C2827">
        <v>20</v>
      </c>
      <c r="D2827" t="str">
        <f>VLOOKUP(Tabela26[[#This Row],[EMP]],[1]LOJA!$A:$B,2,0)</f>
        <v>DAUTO SERVIÇOS</v>
      </c>
      <c r="E2827">
        <v>232</v>
      </c>
      <c r="F2827" t="s">
        <v>4260</v>
      </c>
      <c r="G2827" t="s">
        <v>4259</v>
      </c>
      <c r="H2827" t="s">
        <v>3430</v>
      </c>
      <c r="I2827">
        <v>5933</v>
      </c>
      <c r="J2827" s="3">
        <v>1054.7</v>
      </c>
      <c r="K2827" s="3">
        <v>0</v>
      </c>
      <c r="L2827">
        <v>100</v>
      </c>
    </row>
    <row r="2828" spans="1:12">
      <c r="A2828" s="1">
        <v>46036</v>
      </c>
      <c r="B2828" t="s">
        <v>9787</v>
      </c>
      <c r="C2828">
        <v>20</v>
      </c>
      <c r="D2828" t="str">
        <f>VLOOKUP(Tabela26[[#This Row],[EMP]],[1]LOJA!$A:$B,2,0)</f>
        <v>DAUTO SERVIÇOS</v>
      </c>
      <c r="E2828">
        <v>232</v>
      </c>
      <c r="F2828" t="s">
        <v>4260</v>
      </c>
      <c r="G2828" t="s">
        <v>4259</v>
      </c>
      <c r="H2828" t="s">
        <v>3430</v>
      </c>
      <c r="I2828">
        <v>5933</v>
      </c>
      <c r="J2828" s="3">
        <v>697.32</v>
      </c>
      <c r="K2828" s="3">
        <v>0</v>
      </c>
      <c r="L2828">
        <v>100</v>
      </c>
    </row>
    <row r="2829" spans="1:12">
      <c r="A2829" s="1">
        <v>46036</v>
      </c>
      <c r="B2829" t="s">
        <v>9786</v>
      </c>
      <c r="C2829">
        <v>20</v>
      </c>
      <c r="D2829" t="str">
        <f>VLOOKUP(Tabela26[[#This Row],[EMP]],[1]LOJA!$A:$B,2,0)</f>
        <v>DAUTO SERVIÇOS</v>
      </c>
      <c r="E2829">
        <v>232</v>
      </c>
      <c r="F2829" t="s">
        <v>4260</v>
      </c>
      <c r="G2829" t="s">
        <v>4259</v>
      </c>
      <c r="H2829" t="s">
        <v>3430</v>
      </c>
      <c r="I2829">
        <v>5933</v>
      </c>
      <c r="J2829" s="3">
        <v>171.14</v>
      </c>
      <c r="K2829" s="3">
        <v>0</v>
      </c>
      <c r="L2829">
        <v>100</v>
      </c>
    </row>
    <row r="2830" spans="1:12">
      <c r="A2830" s="1">
        <v>46036</v>
      </c>
      <c r="B2830" t="s">
        <v>9785</v>
      </c>
      <c r="C2830">
        <v>20</v>
      </c>
      <c r="D2830" t="str">
        <f>VLOOKUP(Tabela26[[#This Row],[EMP]],[1]LOJA!$A:$B,2,0)</f>
        <v>DAUTO SERVIÇOS</v>
      </c>
      <c r="E2830">
        <v>232</v>
      </c>
      <c r="F2830" t="s">
        <v>4260</v>
      </c>
      <c r="G2830" t="s">
        <v>4259</v>
      </c>
      <c r="H2830" t="s">
        <v>3430</v>
      </c>
      <c r="I2830">
        <v>5933</v>
      </c>
      <c r="J2830" s="3">
        <v>95.2</v>
      </c>
      <c r="K2830" s="3">
        <v>0</v>
      </c>
      <c r="L2830">
        <v>100</v>
      </c>
    </row>
    <row r="2831" spans="1:12">
      <c r="A2831" s="1">
        <v>46036</v>
      </c>
      <c r="B2831" t="s">
        <v>9784</v>
      </c>
      <c r="C2831">
        <v>20</v>
      </c>
      <c r="D2831" t="str">
        <f>VLOOKUP(Tabela26[[#This Row],[EMP]],[1]LOJA!$A:$B,2,0)</f>
        <v>DAUTO SERVIÇOS</v>
      </c>
      <c r="E2831">
        <v>232</v>
      </c>
      <c r="F2831" t="s">
        <v>4260</v>
      </c>
      <c r="G2831" t="s">
        <v>4259</v>
      </c>
      <c r="H2831" t="s">
        <v>3430</v>
      </c>
      <c r="I2831">
        <v>5933</v>
      </c>
      <c r="J2831" s="3">
        <v>1666.18</v>
      </c>
      <c r="K2831" s="3">
        <v>0</v>
      </c>
      <c r="L2831">
        <v>100</v>
      </c>
    </row>
    <row r="2832" spans="1:12">
      <c r="A2832" s="1">
        <v>46036</v>
      </c>
      <c r="B2832" t="s">
        <v>9783</v>
      </c>
      <c r="C2832">
        <v>15</v>
      </c>
      <c r="D2832" t="str">
        <f>VLOOKUP(Tabela26[[#This Row],[EMP]],[1]LOJA!$A:$B,2,0)</f>
        <v>UNAÍ</v>
      </c>
      <c r="E2832">
        <v>183</v>
      </c>
      <c r="F2832" t="s">
        <v>9782</v>
      </c>
      <c r="G2832" t="s">
        <v>9781</v>
      </c>
      <c r="H2832" t="s">
        <v>3408</v>
      </c>
      <c r="I2832">
        <v>5102</v>
      </c>
      <c r="J2832" s="3">
        <v>1788</v>
      </c>
      <c r="K2832" s="3">
        <v>701.28</v>
      </c>
      <c r="L2832">
        <v>60.78</v>
      </c>
    </row>
    <row r="2833" spans="1:12">
      <c r="A2833" s="1">
        <v>46036</v>
      </c>
      <c r="B2833" t="s">
        <v>9780</v>
      </c>
      <c r="C2833">
        <v>15</v>
      </c>
      <c r="D2833" t="str">
        <f>VLOOKUP(Tabela26[[#This Row],[EMP]],[1]LOJA!$A:$B,2,0)</f>
        <v>UNAÍ</v>
      </c>
      <c r="E2833">
        <v>183</v>
      </c>
      <c r="F2833" t="s">
        <v>4686</v>
      </c>
      <c r="G2833" t="s">
        <v>4685</v>
      </c>
      <c r="H2833" t="s">
        <v>3520</v>
      </c>
      <c r="I2833">
        <v>5405</v>
      </c>
      <c r="J2833" s="3">
        <v>168</v>
      </c>
      <c r="K2833" s="3">
        <v>79.89</v>
      </c>
      <c r="L2833">
        <v>52.45</v>
      </c>
    </row>
    <row r="2834" spans="1:12">
      <c r="A2834" s="1">
        <v>46036</v>
      </c>
      <c r="B2834" t="s">
        <v>9779</v>
      </c>
      <c r="C2834">
        <v>22</v>
      </c>
      <c r="D2834" t="str">
        <f>VLOOKUP(Tabela26[[#This Row],[EMP]],[1]LOJA!$A:$B,2,0)</f>
        <v>GUARÁ</v>
      </c>
      <c r="E2834">
        <v>93</v>
      </c>
      <c r="F2834" t="s">
        <v>9778</v>
      </c>
      <c r="G2834" t="s">
        <v>9777</v>
      </c>
      <c r="H2834" t="s">
        <v>3408</v>
      </c>
      <c r="I2834">
        <v>5405</v>
      </c>
      <c r="J2834" s="3">
        <v>415.56</v>
      </c>
      <c r="K2834" s="3">
        <v>229.27</v>
      </c>
      <c r="L2834">
        <v>44.83</v>
      </c>
    </row>
    <row r="2835" spans="1:12">
      <c r="A2835" s="1">
        <v>46036</v>
      </c>
      <c r="B2835" t="s">
        <v>9776</v>
      </c>
      <c r="C2835">
        <v>22</v>
      </c>
      <c r="D2835" t="str">
        <f>VLOOKUP(Tabela26[[#This Row],[EMP]],[1]LOJA!$A:$B,2,0)</f>
        <v>GUARÁ</v>
      </c>
      <c r="E2835">
        <v>93</v>
      </c>
      <c r="F2835" t="s">
        <v>4246</v>
      </c>
      <c r="G2835" t="s">
        <v>4245</v>
      </c>
      <c r="H2835" t="s">
        <v>3430</v>
      </c>
      <c r="I2835">
        <v>5405</v>
      </c>
      <c r="J2835" s="3">
        <v>287.42</v>
      </c>
      <c r="K2835" s="3">
        <v>152.02000000000001</v>
      </c>
      <c r="L2835">
        <v>47.11</v>
      </c>
    </row>
    <row r="2836" spans="1:12">
      <c r="A2836" s="1">
        <v>46036</v>
      </c>
      <c r="B2836" t="s">
        <v>9775</v>
      </c>
      <c r="C2836">
        <v>22</v>
      </c>
      <c r="D2836" t="str">
        <f>VLOOKUP(Tabela26[[#This Row],[EMP]],[1]LOJA!$A:$B,2,0)</f>
        <v>GUARÁ</v>
      </c>
      <c r="E2836">
        <v>93</v>
      </c>
      <c r="F2836" t="s">
        <v>3535</v>
      </c>
      <c r="G2836" t="s">
        <v>3534</v>
      </c>
      <c r="H2836" t="s">
        <v>5887</v>
      </c>
      <c r="I2836">
        <v>5405</v>
      </c>
      <c r="J2836" s="3">
        <v>228.17</v>
      </c>
      <c r="K2836" s="3">
        <v>129.05000000000001</v>
      </c>
      <c r="L2836">
        <v>43.44</v>
      </c>
    </row>
    <row r="2837" spans="1:12">
      <c r="A2837" s="1">
        <v>46036</v>
      </c>
      <c r="B2837" t="s">
        <v>9774</v>
      </c>
      <c r="C2837">
        <v>22</v>
      </c>
      <c r="D2837" t="str">
        <f>VLOOKUP(Tabela26[[#This Row],[EMP]],[1]LOJA!$A:$B,2,0)</f>
        <v>GUARÁ</v>
      </c>
      <c r="E2837">
        <v>93</v>
      </c>
      <c r="F2837" t="s">
        <v>9773</v>
      </c>
      <c r="G2837" t="s">
        <v>9772</v>
      </c>
      <c r="H2837" t="s">
        <v>3430</v>
      </c>
      <c r="I2837">
        <v>5405</v>
      </c>
      <c r="J2837" s="3">
        <v>128</v>
      </c>
      <c r="K2837" s="3">
        <v>70.38</v>
      </c>
      <c r="L2837">
        <v>45.02</v>
      </c>
    </row>
    <row r="2838" spans="1:12">
      <c r="A2838" s="1">
        <v>46036</v>
      </c>
      <c r="B2838" t="s">
        <v>9771</v>
      </c>
      <c r="C2838">
        <v>22</v>
      </c>
      <c r="D2838" t="str">
        <f>VLOOKUP(Tabela26[[#This Row],[EMP]],[1]LOJA!$A:$B,2,0)</f>
        <v>GUARÁ</v>
      </c>
      <c r="E2838">
        <v>93</v>
      </c>
      <c r="F2838" t="s">
        <v>8328</v>
      </c>
      <c r="G2838" t="s">
        <v>8327</v>
      </c>
      <c r="H2838" t="s">
        <v>3537</v>
      </c>
      <c r="I2838">
        <v>5405</v>
      </c>
      <c r="J2838" s="3">
        <v>710.31</v>
      </c>
      <c r="K2838" s="3">
        <v>419.86</v>
      </c>
      <c r="L2838">
        <v>40.89</v>
      </c>
    </row>
    <row r="2839" spans="1:12">
      <c r="A2839" s="1">
        <v>46036</v>
      </c>
      <c r="B2839" t="s">
        <v>9770</v>
      </c>
      <c r="C2839">
        <v>24</v>
      </c>
      <c r="D2839" t="str">
        <f>VLOOKUP(Tabela26[[#This Row],[EMP]],[1]LOJA!$A:$B,2,0)</f>
        <v>LUZIÂNIA</v>
      </c>
      <c r="E2839">
        <v>150</v>
      </c>
      <c r="F2839" t="s">
        <v>3524</v>
      </c>
      <c r="G2839" t="s">
        <v>3402</v>
      </c>
      <c r="H2839" t="s">
        <v>3401</v>
      </c>
      <c r="I2839">
        <v>5102</v>
      </c>
      <c r="J2839" s="3">
        <v>8</v>
      </c>
      <c r="K2839" s="3">
        <v>3.91</v>
      </c>
      <c r="L2839">
        <v>51.13</v>
      </c>
    </row>
    <row r="2840" spans="1:12">
      <c r="A2840" s="1">
        <v>46036</v>
      </c>
      <c r="B2840" t="s">
        <v>9769</v>
      </c>
      <c r="C2840">
        <v>24</v>
      </c>
      <c r="D2840" t="str">
        <f>VLOOKUP(Tabela26[[#This Row],[EMP]],[1]LOJA!$A:$B,2,0)</f>
        <v>LUZIÂNIA</v>
      </c>
      <c r="E2840">
        <v>192</v>
      </c>
      <c r="F2840" t="s">
        <v>9768</v>
      </c>
      <c r="G2840" t="s">
        <v>3402</v>
      </c>
      <c r="H2840" t="s">
        <v>3401</v>
      </c>
      <c r="I2840">
        <v>5405</v>
      </c>
      <c r="J2840" s="3">
        <v>110</v>
      </c>
      <c r="K2840" s="3">
        <v>44.45</v>
      </c>
      <c r="L2840">
        <v>59.59</v>
      </c>
    </row>
    <row r="2841" spans="1:12">
      <c r="A2841" s="1">
        <v>46036</v>
      </c>
      <c r="B2841" t="s">
        <v>9767</v>
      </c>
      <c r="C2841">
        <v>24</v>
      </c>
      <c r="D2841" t="str">
        <f>VLOOKUP(Tabela26[[#This Row],[EMP]],[1]LOJA!$A:$B,2,0)</f>
        <v>LUZIÂNIA</v>
      </c>
      <c r="E2841">
        <v>150</v>
      </c>
      <c r="F2841" t="s">
        <v>3524</v>
      </c>
      <c r="G2841" t="s">
        <v>3402</v>
      </c>
      <c r="H2841" t="s">
        <v>3401</v>
      </c>
      <c r="I2841">
        <v>5102</v>
      </c>
      <c r="J2841" s="3">
        <v>8</v>
      </c>
      <c r="K2841" s="3">
        <v>3.91</v>
      </c>
      <c r="L2841">
        <v>51.13</v>
      </c>
    </row>
    <row r="2842" spans="1:12">
      <c r="A2842" s="1">
        <v>46036</v>
      </c>
      <c r="B2842" t="s">
        <v>9766</v>
      </c>
      <c r="C2842">
        <v>24</v>
      </c>
      <c r="D2842" t="str">
        <f>VLOOKUP(Tabela26[[#This Row],[EMP]],[1]LOJA!$A:$B,2,0)</f>
        <v>LUZIÂNIA</v>
      </c>
      <c r="E2842">
        <v>242</v>
      </c>
      <c r="F2842" t="s">
        <v>3524</v>
      </c>
      <c r="G2842" t="s">
        <v>3402</v>
      </c>
      <c r="H2842" t="s">
        <v>3401</v>
      </c>
      <c r="I2842">
        <v>5102</v>
      </c>
      <c r="J2842" s="3">
        <v>49</v>
      </c>
      <c r="K2842" s="3">
        <v>27.99</v>
      </c>
      <c r="L2842">
        <v>42.88</v>
      </c>
    </row>
    <row r="2843" spans="1:12">
      <c r="A2843" s="1">
        <v>46036</v>
      </c>
      <c r="B2843" t="s">
        <v>9765</v>
      </c>
      <c r="C2843">
        <v>24</v>
      </c>
      <c r="D2843" t="str">
        <f>VLOOKUP(Tabela26[[#This Row],[EMP]],[1]LOJA!$A:$B,2,0)</f>
        <v>LUZIÂNIA</v>
      </c>
      <c r="E2843">
        <v>150</v>
      </c>
      <c r="F2843" t="s">
        <v>9764</v>
      </c>
      <c r="G2843" t="s">
        <v>3402</v>
      </c>
      <c r="H2843" t="s">
        <v>3401</v>
      </c>
      <c r="I2843">
        <v>5102</v>
      </c>
      <c r="J2843" s="3">
        <v>165</v>
      </c>
      <c r="K2843" s="3">
        <v>79.22</v>
      </c>
      <c r="L2843">
        <v>51.99</v>
      </c>
    </row>
    <row r="2844" spans="1:12">
      <c r="A2844" s="1">
        <v>46036</v>
      </c>
      <c r="B2844" t="s">
        <v>9763</v>
      </c>
      <c r="C2844">
        <v>24</v>
      </c>
      <c r="D2844" t="str">
        <f>VLOOKUP(Tabela26[[#This Row],[EMP]],[1]LOJA!$A:$B,2,0)</f>
        <v>LUZIÂNIA</v>
      </c>
      <c r="E2844">
        <v>192</v>
      </c>
      <c r="F2844" t="s">
        <v>4832</v>
      </c>
      <c r="G2844" t="s">
        <v>4831</v>
      </c>
      <c r="H2844" t="s">
        <v>3401</v>
      </c>
      <c r="I2844">
        <v>5102</v>
      </c>
      <c r="J2844" s="3">
        <v>110</v>
      </c>
      <c r="K2844" s="3">
        <v>58.65</v>
      </c>
      <c r="L2844">
        <v>46.68</v>
      </c>
    </row>
    <row r="2845" spans="1:12">
      <c r="A2845" s="1">
        <v>46036</v>
      </c>
      <c r="B2845" t="s">
        <v>9762</v>
      </c>
      <c r="C2845">
        <v>24</v>
      </c>
      <c r="D2845" t="str">
        <f>VLOOKUP(Tabela26[[#This Row],[EMP]],[1]LOJA!$A:$B,2,0)</f>
        <v>LUZIÂNIA</v>
      </c>
      <c r="E2845">
        <v>150</v>
      </c>
      <c r="F2845" t="s">
        <v>5429</v>
      </c>
      <c r="G2845" t="s">
        <v>5428</v>
      </c>
      <c r="H2845" t="s">
        <v>3401</v>
      </c>
      <c r="I2845">
        <v>5102</v>
      </c>
      <c r="J2845" s="3">
        <v>36</v>
      </c>
      <c r="K2845" s="3">
        <v>14.79</v>
      </c>
      <c r="L2845">
        <v>58.92</v>
      </c>
    </row>
    <row r="2846" spans="1:12">
      <c r="A2846" s="1">
        <v>46036</v>
      </c>
      <c r="B2846" t="s">
        <v>9761</v>
      </c>
      <c r="C2846">
        <v>24</v>
      </c>
      <c r="D2846" t="str">
        <f>VLOOKUP(Tabela26[[#This Row],[EMP]],[1]LOJA!$A:$B,2,0)</f>
        <v>LUZIÂNIA</v>
      </c>
      <c r="E2846">
        <v>242</v>
      </c>
      <c r="F2846" t="s">
        <v>3524</v>
      </c>
      <c r="G2846" t="s">
        <v>3402</v>
      </c>
      <c r="H2846" t="s">
        <v>3401</v>
      </c>
      <c r="I2846">
        <v>5102</v>
      </c>
      <c r="J2846" s="3">
        <v>3</v>
      </c>
      <c r="K2846" s="3">
        <v>1.41</v>
      </c>
      <c r="L2846">
        <v>53</v>
      </c>
    </row>
    <row r="2847" spans="1:12">
      <c r="A2847" s="1">
        <v>46036</v>
      </c>
      <c r="B2847" t="s">
        <v>9760</v>
      </c>
      <c r="C2847">
        <v>24</v>
      </c>
      <c r="D2847" t="str">
        <f>VLOOKUP(Tabela26[[#This Row],[EMP]],[1]LOJA!$A:$B,2,0)</f>
        <v>LUZIÂNIA</v>
      </c>
      <c r="E2847">
        <v>192</v>
      </c>
      <c r="F2847" t="s">
        <v>3524</v>
      </c>
      <c r="G2847" t="s">
        <v>3402</v>
      </c>
      <c r="H2847" t="s">
        <v>3401</v>
      </c>
      <c r="I2847">
        <v>5102</v>
      </c>
      <c r="J2847" s="3">
        <v>230</v>
      </c>
      <c r="K2847" s="3">
        <v>102.97</v>
      </c>
      <c r="L2847">
        <v>55.23</v>
      </c>
    </row>
    <row r="2848" spans="1:12">
      <c r="A2848" s="1">
        <v>46036</v>
      </c>
      <c r="B2848" t="s">
        <v>9759</v>
      </c>
      <c r="C2848">
        <v>24</v>
      </c>
      <c r="D2848" t="str">
        <f>VLOOKUP(Tabela26[[#This Row],[EMP]],[1]LOJA!$A:$B,2,0)</f>
        <v>LUZIÂNIA</v>
      </c>
      <c r="E2848">
        <v>192</v>
      </c>
      <c r="F2848" t="s">
        <v>5391</v>
      </c>
      <c r="G2848" t="s">
        <v>3402</v>
      </c>
      <c r="H2848" t="s">
        <v>3401</v>
      </c>
      <c r="I2848">
        <v>5405</v>
      </c>
      <c r="J2848" s="3">
        <v>299</v>
      </c>
      <c r="K2848" s="3">
        <v>150.4</v>
      </c>
      <c r="L2848">
        <v>49.7</v>
      </c>
    </row>
    <row r="2849" spans="1:12">
      <c r="A2849" s="1">
        <v>46036</v>
      </c>
      <c r="B2849" t="s">
        <v>9758</v>
      </c>
      <c r="C2849">
        <v>24</v>
      </c>
      <c r="D2849" t="str">
        <f>VLOOKUP(Tabela26[[#This Row],[EMP]],[1]LOJA!$A:$B,2,0)</f>
        <v>LUZIÂNIA</v>
      </c>
      <c r="E2849">
        <v>150</v>
      </c>
      <c r="F2849" t="s">
        <v>4176</v>
      </c>
      <c r="G2849" t="s">
        <v>4175</v>
      </c>
      <c r="H2849" t="s">
        <v>3408</v>
      </c>
      <c r="I2849">
        <v>5102</v>
      </c>
      <c r="J2849" s="3">
        <v>238</v>
      </c>
      <c r="K2849" s="3">
        <v>119.42</v>
      </c>
      <c r="L2849">
        <v>49.82</v>
      </c>
    </row>
    <row r="2850" spans="1:12">
      <c r="A2850" s="1">
        <v>46036</v>
      </c>
      <c r="B2850" t="s">
        <v>9757</v>
      </c>
      <c r="C2850">
        <v>24</v>
      </c>
      <c r="D2850" t="str">
        <f>VLOOKUP(Tabela26[[#This Row],[EMP]],[1]LOJA!$A:$B,2,0)</f>
        <v>LUZIÂNIA</v>
      </c>
      <c r="E2850">
        <v>150</v>
      </c>
      <c r="F2850" t="s">
        <v>4880</v>
      </c>
      <c r="G2850" t="s">
        <v>4879</v>
      </c>
      <c r="H2850" t="s">
        <v>3408</v>
      </c>
      <c r="I2850">
        <v>5405</v>
      </c>
      <c r="J2850" s="3">
        <v>87.9</v>
      </c>
      <c r="K2850" s="3">
        <v>41.32</v>
      </c>
      <c r="L2850">
        <v>52.99</v>
      </c>
    </row>
    <row r="2851" spans="1:12">
      <c r="A2851" s="1">
        <v>46036</v>
      </c>
      <c r="B2851" t="s">
        <v>9756</v>
      </c>
      <c r="C2851">
        <v>24</v>
      </c>
      <c r="D2851" t="str">
        <f>VLOOKUP(Tabela26[[#This Row],[EMP]],[1]LOJA!$A:$B,2,0)</f>
        <v>LUZIÂNIA</v>
      </c>
      <c r="E2851">
        <v>192</v>
      </c>
      <c r="F2851" t="s">
        <v>9755</v>
      </c>
      <c r="G2851" t="s">
        <v>3402</v>
      </c>
      <c r="H2851" t="s">
        <v>3401</v>
      </c>
      <c r="I2851">
        <v>5102</v>
      </c>
      <c r="J2851" s="3">
        <v>187</v>
      </c>
      <c r="K2851" s="3">
        <v>92.29</v>
      </c>
      <c r="L2851">
        <v>50.65</v>
      </c>
    </row>
    <row r="2852" spans="1:12">
      <c r="A2852" s="1">
        <v>46036</v>
      </c>
      <c r="B2852" t="s">
        <v>9754</v>
      </c>
      <c r="C2852">
        <v>24</v>
      </c>
      <c r="D2852" t="str">
        <f>VLOOKUP(Tabela26[[#This Row],[EMP]],[1]LOJA!$A:$B,2,0)</f>
        <v>LUZIÂNIA</v>
      </c>
      <c r="E2852">
        <v>192</v>
      </c>
      <c r="F2852" t="s">
        <v>9753</v>
      </c>
      <c r="G2852" t="s">
        <v>3402</v>
      </c>
      <c r="H2852" t="s">
        <v>3401</v>
      </c>
      <c r="I2852">
        <v>5405</v>
      </c>
      <c r="J2852" s="3">
        <v>70</v>
      </c>
      <c r="K2852" s="3">
        <v>31.71</v>
      </c>
      <c r="L2852">
        <v>54.7</v>
      </c>
    </row>
    <row r="2853" spans="1:12">
      <c r="A2853" s="1">
        <v>46036</v>
      </c>
      <c r="B2853" t="s">
        <v>9752</v>
      </c>
      <c r="C2853">
        <v>24</v>
      </c>
      <c r="D2853" t="str">
        <f>VLOOKUP(Tabela26[[#This Row],[EMP]],[1]LOJA!$A:$B,2,0)</f>
        <v>LUZIÂNIA</v>
      </c>
      <c r="E2853">
        <v>192</v>
      </c>
      <c r="F2853" t="s">
        <v>5426</v>
      </c>
      <c r="G2853" t="s">
        <v>5425</v>
      </c>
      <c r="H2853" t="s">
        <v>3401</v>
      </c>
      <c r="I2853">
        <v>5102</v>
      </c>
      <c r="J2853" s="3">
        <v>156</v>
      </c>
      <c r="K2853" s="3">
        <v>76.03</v>
      </c>
      <c r="L2853">
        <v>51.26</v>
      </c>
    </row>
    <row r="2854" spans="1:12">
      <c r="A2854" s="1">
        <v>46036</v>
      </c>
      <c r="B2854" t="s">
        <v>9751</v>
      </c>
      <c r="C2854">
        <v>24</v>
      </c>
      <c r="D2854" t="str">
        <f>VLOOKUP(Tabela26[[#This Row],[EMP]],[1]LOJA!$A:$B,2,0)</f>
        <v>LUZIÂNIA</v>
      </c>
      <c r="E2854">
        <v>242</v>
      </c>
      <c r="F2854" t="s">
        <v>9750</v>
      </c>
      <c r="G2854" t="s">
        <v>3402</v>
      </c>
      <c r="H2854" t="s">
        <v>3401</v>
      </c>
      <c r="I2854">
        <v>5405</v>
      </c>
      <c r="J2854" s="3">
        <v>32</v>
      </c>
      <c r="K2854" s="3">
        <v>16.75</v>
      </c>
      <c r="L2854">
        <v>47.66</v>
      </c>
    </row>
    <row r="2855" spans="1:12">
      <c r="A2855" s="1">
        <v>46036</v>
      </c>
      <c r="B2855" t="s">
        <v>9749</v>
      </c>
      <c r="C2855">
        <v>24</v>
      </c>
      <c r="D2855" t="str">
        <f>VLOOKUP(Tabela26[[#This Row],[EMP]],[1]LOJA!$A:$B,2,0)</f>
        <v>LUZIÂNIA</v>
      </c>
      <c r="E2855">
        <v>192</v>
      </c>
      <c r="F2855" t="s">
        <v>4270</v>
      </c>
      <c r="G2855" t="s">
        <v>4269</v>
      </c>
      <c r="H2855" t="s">
        <v>3401</v>
      </c>
      <c r="I2855">
        <v>5405</v>
      </c>
      <c r="J2855" s="3">
        <v>149.9</v>
      </c>
      <c r="K2855" s="3">
        <v>94.66</v>
      </c>
      <c r="L2855">
        <v>36.85</v>
      </c>
    </row>
    <row r="2856" spans="1:12">
      <c r="A2856" s="1">
        <v>46036</v>
      </c>
      <c r="B2856" t="s">
        <v>9748</v>
      </c>
      <c r="C2856">
        <v>24</v>
      </c>
      <c r="D2856" t="str">
        <f>VLOOKUP(Tabela26[[#This Row],[EMP]],[1]LOJA!$A:$B,2,0)</f>
        <v>LUZIÂNIA</v>
      </c>
      <c r="E2856">
        <v>192</v>
      </c>
      <c r="F2856" t="s">
        <v>9747</v>
      </c>
      <c r="G2856" t="s">
        <v>3402</v>
      </c>
      <c r="H2856" t="s">
        <v>3401</v>
      </c>
      <c r="I2856">
        <v>5405</v>
      </c>
      <c r="J2856" s="3">
        <v>318</v>
      </c>
      <c r="K2856" s="3">
        <v>162.69999999999999</v>
      </c>
      <c r="L2856">
        <v>48.84</v>
      </c>
    </row>
    <row r="2857" spans="1:12">
      <c r="A2857" s="1">
        <v>46036</v>
      </c>
      <c r="B2857" t="s">
        <v>9746</v>
      </c>
      <c r="C2857">
        <v>24</v>
      </c>
      <c r="D2857" t="str">
        <f>VLOOKUP(Tabela26[[#This Row],[EMP]],[1]LOJA!$A:$B,2,0)</f>
        <v>LUZIÂNIA</v>
      </c>
      <c r="E2857">
        <v>242</v>
      </c>
      <c r="F2857" t="s">
        <v>3524</v>
      </c>
      <c r="G2857" t="s">
        <v>3402</v>
      </c>
      <c r="H2857" t="s">
        <v>3401</v>
      </c>
      <c r="I2857">
        <v>5102</v>
      </c>
      <c r="J2857" s="3">
        <v>18</v>
      </c>
      <c r="K2857" s="3">
        <v>8.7899999999999991</v>
      </c>
      <c r="L2857">
        <v>51.17</v>
      </c>
    </row>
    <row r="2858" spans="1:12">
      <c r="A2858" s="1">
        <v>46036</v>
      </c>
      <c r="B2858" t="s">
        <v>9745</v>
      </c>
      <c r="C2858">
        <v>24</v>
      </c>
      <c r="D2858" t="str">
        <f>VLOOKUP(Tabela26[[#This Row],[EMP]],[1]LOJA!$A:$B,2,0)</f>
        <v>LUZIÂNIA</v>
      </c>
      <c r="E2858">
        <v>192</v>
      </c>
      <c r="F2858" t="s">
        <v>4270</v>
      </c>
      <c r="G2858" t="s">
        <v>4269</v>
      </c>
      <c r="H2858" t="s">
        <v>3408</v>
      </c>
      <c r="I2858">
        <v>5405</v>
      </c>
      <c r="J2858" s="3">
        <v>413</v>
      </c>
      <c r="K2858" s="3">
        <v>256.95</v>
      </c>
      <c r="L2858">
        <v>37.78</v>
      </c>
    </row>
    <row r="2859" spans="1:12">
      <c r="A2859" s="1">
        <v>46036</v>
      </c>
      <c r="B2859" t="s">
        <v>9744</v>
      </c>
      <c r="C2859">
        <v>24</v>
      </c>
      <c r="D2859" t="str">
        <f>VLOOKUP(Tabela26[[#This Row],[EMP]],[1]LOJA!$A:$B,2,0)</f>
        <v>LUZIÂNIA</v>
      </c>
      <c r="E2859">
        <v>192</v>
      </c>
      <c r="F2859" t="s">
        <v>3524</v>
      </c>
      <c r="G2859" t="s">
        <v>3402</v>
      </c>
      <c r="H2859" t="s">
        <v>3401</v>
      </c>
      <c r="I2859">
        <v>5102</v>
      </c>
      <c r="J2859" s="3">
        <v>6</v>
      </c>
      <c r="K2859" s="3">
        <v>2.7</v>
      </c>
      <c r="L2859">
        <v>55</v>
      </c>
    </row>
    <row r="2860" spans="1:12">
      <c r="A2860" s="1">
        <v>46036</v>
      </c>
      <c r="B2860" t="s">
        <v>9743</v>
      </c>
      <c r="C2860">
        <v>24</v>
      </c>
      <c r="D2860" t="str">
        <f>VLOOKUP(Tabela26[[#This Row],[EMP]],[1]LOJA!$A:$B,2,0)</f>
        <v>LUZIÂNIA</v>
      </c>
      <c r="E2860">
        <v>192</v>
      </c>
      <c r="F2860" t="s">
        <v>4892</v>
      </c>
      <c r="G2860" t="s">
        <v>4891</v>
      </c>
      <c r="H2860" t="s">
        <v>3401</v>
      </c>
      <c r="I2860">
        <v>5405</v>
      </c>
      <c r="J2860" s="3">
        <v>145</v>
      </c>
      <c r="K2860" s="3">
        <v>61.32</v>
      </c>
      <c r="L2860">
        <v>57.71</v>
      </c>
    </row>
    <row r="2861" spans="1:12">
      <c r="A2861" s="1">
        <v>46036</v>
      </c>
      <c r="B2861" t="s">
        <v>9742</v>
      </c>
      <c r="C2861">
        <v>24</v>
      </c>
      <c r="D2861" t="str">
        <f>VLOOKUP(Tabela26[[#This Row],[EMP]],[1]LOJA!$A:$B,2,0)</f>
        <v>LUZIÂNIA</v>
      </c>
      <c r="E2861">
        <v>192</v>
      </c>
      <c r="F2861" t="s">
        <v>4892</v>
      </c>
      <c r="G2861" t="s">
        <v>4891</v>
      </c>
      <c r="H2861" t="s">
        <v>3401</v>
      </c>
      <c r="I2861">
        <v>5102</v>
      </c>
      <c r="J2861" s="3">
        <v>130</v>
      </c>
      <c r="K2861" s="3">
        <v>71.099999999999994</v>
      </c>
      <c r="L2861">
        <v>45.31</v>
      </c>
    </row>
    <row r="2862" spans="1:12">
      <c r="A2862" s="1">
        <v>46036</v>
      </c>
      <c r="B2862" t="s">
        <v>9741</v>
      </c>
      <c r="C2862">
        <v>24</v>
      </c>
      <c r="D2862" t="str">
        <f>VLOOKUP(Tabela26[[#This Row],[EMP]],[1]LOJA!$A:$B,2,0)</f>
        <v>LUZIÂNIA</v>
      </c>
      <c r="E2862">
        <v>150</v>
      </c>
      <c r="F2862" t="s">
        <v>4176</v>
      </c>
      <c r="G2862" t="s">
        <v>4175</v>
      </c>
      <c r="H2862" t="s">
        <v>3408</v>
      </c>
      <c r="I2862">
        <v>5405</v>
      </c>
      <c r="J2862" s="3">
        <v>48.9</v>
      </c>
      <c r="K2862" s="3">
        <v>18.62</v>
      </c>
      <c r="L2862">
        <v>61.92</v>
      </c>
    </row>
    <row r="2863" spans="1:12">
      <c r="A2863" s="1">
        <v>46036</v>
      </c>
      <c r="B2863" t="s">
        <v>9740</v>
      </c>
      <c r="C2863">
        <v>24</v>
      </c>
      <c r="D2863" t="str">
        <f>VLOOKUP(Tabela26[[#This Row],[EMP]],[1]LOJA!$A:$B,2,0)</f>
        <v>LUZIÂNIA</v>
      </c>
      <c r="E2863">
        <v>150</v>
      </c>
      <c r="F2863" t="s">
        <v>6159</v>
      </c>
      <c r="G2863" t="s">
        <v>4181</v>
      </c>
      <c r="H2863" t="s">
        <v>3408</v>
      </c>
      <c r="I2863">
        <v>5405</v>
      </c>
      <c r="J2863" s="3">
        <v>269.89999999999998</v>
      </c>
      <c r="K2863" s="3">
        <v>135.82</v>
      </c>
      <c r="L2863">
        <v>49.68</v>
      </c>
    </row>
    <row r="2864" spans="1:12">
      <c r="A2864" s="1">
        <v>46036</v>
      </c>
      <c r="B2864" t="s">
        <v>9739</v>
      </c>
      <c r="C2864">
        <v>24</v>
      </c>
      <c r="D2864" t="str">
        <f>VLOOKUP(Tabela26[[#This Row],[EMP]],[1]LOJA!$A:$B,2,0)</f>
        <v>LUZIÂNIA</v>
      </c>
      <c r="E2864">
        <v>192</v>
      </c>
      <c r="F2864" t="s">
        <v>3524</v>
      </c>
      <c r="G2864" t="s">
        <v>3402</v>
      </c>
      <c r="H2864" t="s">
        <v>3401</v>
      </c>
      <c r="I2864">
        <v>5102</v>
      </c>
      <c r="J2864" s="3">
        <v>27</v>
      </c>
      <c r="K2864" s="3">
        <v>12.48</v>
      </c>
      <c r="L2864">
        <v>53.78</v>
      </c>
    </row>
    <row r="2865" spans="1:12">
      <c r="A2865" s="1">
        <v>46036</v>
      </c>
      <c r="B2865" t="s">
        <v>9738</v>
      </c>
      <c r="C2865">
        <v>24</v>
      </c>
      <c r="D2865" t="str">
        <f>VLOOKUP(Tabela26[[#This Row],[EMP]],[1]LOJA!$A:$B,2,0)</f>
        <v>LUZIÂNIA</v>
      </c>
      <c r="E2865">
        <v>192</v>
      </c>
      <c r="F2865" t="s">
        <v>4270</v>
      </c>
      <c r="G2865" t="s">
        <v>4269</v>
      </c>
      <c r="H2865" t="s">
        <v>3401</v>
      </c>
      <c r="I2865">
        <v>5405</v>
      </c>
      <c r="J2865" s="3">
        <v>49</v>
      </c>
      <c r="K2865" s="3">
        <v>26.51</v>
      </c>
      <c r="L2865">
        <v>45.9</v>
      </c>
    </row>
    <row r="2866" spans="1:12">
      <c r="A2866" s="1">
        <v>46036</v>
      </c>
      <c r="B2866" t="s">
        <v>9737</v>
      </c>
      <c r="C2866">
        <v>24</v>
      </c>
      <c r="D2866" t="str">
        <f>VLOOKUP(Tabela26[[#This Row],[EMP]],[1]LOJA!$A:$B,2,0)</f>
        <v>LUZIÂNIA</v>
      </c>
      <c r="E2866">
        <v>242</v>
      </c>
      <c r="F2866" t="s">
        <v>3524</v>
      </c>
      <c r="G2866" t="s">
        <v>3402</v>
      </c>
      <c r="H2866" t="s">
        <v>3401</v>
      </c>
      <c r="I2866">
        <v>5405</v>
      </c>
      <c r="J2866" s="3">
        <v>55</v>
      </c>
      <c r="K2866" s="3">
        <v>25.55</v>
      </c>
      <c r="L2866">
        <v>53.55</v>
      </c>
    </row>
    <row r="2867" spans="1:12">
      <c r="A2867" s="1">
        <v>46036</v>
      </c>
      <c r="B2867" t="s">
        <v>9736</v>
      </c>
      <c r="C2867">
        <v>24</v>
      </c>
      <c r="D2867" t="str">
        <f>VLOOKUP(Tabela26[[#This Row],[EMP]],[1]LOJA!$A:$B,2,0)</f>
        <v>LUZIÂNIA</v>
      </c>
      <c r="E2867">
        <v>192</v>
      </c>
      <c r="F2867" t="s">
        <v>9735</v>
      </c>
      <c r="G2867" t="s">
        <v>3402</v>
      </c>
      <c r="H2867" t="s">
        <v>3408</v>
      </c>
      <c r="I2867">
        <v>5405</v>
      </c>
      <c r="J2867" s="3">
        <v>36</v>
      </c>
      <c r="K2867" s="3">
        <v>18.28</v>
      </c>
      <c r="L2867">
        <v>49.22</v>
      </c>
    </row>
    <row r="2868" spans="1:12">
      <c r="A2868" s="1">
        <v>46036</v>
      </c>
      <c r="B2868" t="s">
        <v>9734</v>
      </c>
      <c r="C2868">
        <v>24</v>
      </c>
      <c r="D2868" t="str">
        <f>VLOOKUP(Tabela26[[#This Row],[EMP]],[1]LOJA!$A:$B,2,0)</f>
        <v>LUZIÂNIA</v>
      </c>
      <c r="E2868">
        <v>150</v>
      </c>
      <c r="F2868" t="s">
        <v>6159</v>
      </c>
      <c r="G2868" t="s">
        <v>4181</v>
      </c>
      <c r="H2868" t="s">
        <v>3408</v>
      </c>
      <c r="I2868">
        <v>5102</v>
      </c>
      <c r="J2868" s="3">
        <v>8</v>
      </c>
      <c r="K2868" s="3">
        <v>3.91</v>
      </c>
      <c r="L2868">
        <v>51.13</v>
      </c>
    </row>
    <row r="2869" spans="1:12">
      <c r="A2869" s="1">
        <v>46036</v>
      </c>
      <c r="B2869" t="s">
        <v>9733</v>
      </c>
      <c r="C2869">
        <v>24</v>
      </c>
      <c r="D2869" t="str">
        <f>VLOOKUP(Tabela26[[#This Row],[EMP]],[1]LOJA!$A:$B,2,0)</f>
        <v>LUZIÂNIA</v>
      </c>
      <c r="E2869">
        <v>192</v>
      </c>
      <c r="F2869" t="s">
        <v>3524</v>
      </c>
      <c r="G2869" t="s">
        <v>3402</v>
      </c>
      <c r="H2869" t="s">
        <v>3401</v>
      </c>
      <c r="I2869">
        <v>5102</v>
      </c>
      <c r="J2869" s="3">
        <v>6</v>
      </c>
      <c r="K2869" s="3">
        <v>3.08</v>
      </c>
      <c r="L2869">
        <v>48.67</v>
      </c>
    </row>
    <row r="2870" spans="1:12">
      <c r="A2870" s="1">
        <v>46036</v>
      </c>
      <c r="B2870" t="s">
        <v>9732</v>
      </c>
      <c r="C2870">
        <v>24</v>
      </c>
      <c r="D2870" t="str">
        <f>VLOOKUP(Tabela26[[#This Row],[EMP]],[1]LOJA!$A:$B,2,0)</f>
        <v>LUZIÂNIA</v>
      </c>
      <c r="E2870">
        <v>150</v>
      </c>
      <c r="F2870" t="s">
        <v>3524</v>
      </c>
      <c r="G2870" t="s">
        <v>3402</v>
      </c>
      <c r="H2870" t="s">
        <v>3401</v>
      </c>
      <c r="I2870">
        <v>5102</v>
      </c>
      <c r="J2870" s="3">
        <v>8</v>
      </c>
      <c r="K2870" s="3">
        <v>3.84</v>
      </c>
      <c r="L2870">
        <v>52</v>
      </c>
    </row>
    <row r="2871" spans="1:12">
      <c r="A2871" s="1">
        <v>46036</v>
      </c>
      <c r="B2871" t="s">
        <v>9731</v>
      </c>
      <c r="C2871">
        <v>24</v>
      </c>
      <c r="D2871" t="str">
        <f>VLOOKUP(Tabela26[[#This Row],[EMP]],[1]LOJA!$A:$B,2,0)</f>
        <v>LUZIÂNIA</v>
      </c>
      <c r="E2871">
        <v>242</v>
      </c>
      <c r="F2871" t="s">
        <v>3524</v>
      </c>
      <c r="G2871" t="s">
        <v>3402</v>
      </c>
      <c r="H2871" t="s">
        <v>3401</v>
      </c>
      <c r="I2871">
        <v>5102</v>
      </c>
      <c r="J2871" s="3">
        <v>21</v>
      </c>
      <c r="K2871" s="3">
        <v>12.02</v>
      </c>
      <c r="L2871">
        <v>42.76</v>
      </c>
    </row>
    <row r="2872" spans="1:12">
      <c r="A2872" s="1">
        <v>46036</v>
      </c>
      <c r="B2872" t="s">
        <v>9730</v>
      </c>
      <c r="C2872">
        <v>24</v>
      </c>
      <c r="D2872" t="str">
        <f>VLOOKUP(Tabela26[[#This Row],[EMP]],[1]LOJA!$A:$B,2,0)</f>
        <v>LUZIÂNIA</v>
      </c>
      <c r="E2872">
        <v>150</v>
      </c>
      <c r="F2872" t="s">
        <v>4201</v>
      </c>
      <c r="G2872" t="s">
        <v>4200</v>
      </c>
      <c r="H2872" t="s">
        <v>3408</v>
      </c>
      <c r="I2872">
        <v>5102</v>
      </c>
      <c r="J2872" s="3">
        <v>312.60000000000002</v>
      </c>
      <c r="K2872" s="3">
        <v>176.1</v>
      </c>
      <c r="L2872">
        <v>43.67</v>
      </c>
    </row>
    <row r="2873" spans="1:12">
      <c r="A2873" s="1">
        <v>46036</v>
      </c>
      <c r="B2873" t="s">
        <v>9729</v>
      </c>
      <c r="C2873">
        <v>24</v>
      </c>
      <c r="D2873" t="str">
        <f>VLOOKUP(Tabela26[[#This Row],[EMP]],[1]LOJA!$A:$B,2,0)</f>
        <v>LUZIÂNIA</v>
      </c>
      <c r="E2873">
        <v>150</v>
      </c>
      <c r="F2873" t="s">
        <v>4201</v>
      </c>
      <c r="G2873" t="s">
        <v>4200</v>
      </c>
      <c r="H2873" t="s">
        <v>3408</v>
      </c>
      <c r="I2873">
        <v>5102</v>
      </c>
      <c r="J2873" s="3">
        <v>325.3</v>
      </c>
      <c r="K2873" s="3">
        <v>194.48</v>
      </c>
      <c r="L2873">
        <v>40.22</v>
      </c>
    </row>
    <row r="2874" spans="1:12">
      <c r="A2874" s="1">
        <v>46036</v>
      </c>
      <c r="B2874" t="s">
        <v>9728</v>
      </c>
      <c r="C2874">
        <v>24</v>
      </c>
      <c r="D2874" t="str">
        <f>VLOOKUP(Tabela26[[#This Row],[EMP]],[1]LOJA!$A:$B,2,0)</f>
        <v>LUZIÂNIA</v>
      </c>
      <c r="E2874">
        <v>192</v>
      </c>
      <c r="F2874" t="s">
        <v>4827</v>
      </c>
      <c r="G2874" t="s">
        <v>4826</v>
      </c>
      <c r="H2874" t="s">
        <v>3401</v>
      </c>
      <c r="I2874">
        <v>5405</v>
      </c>
      <c r="J2874" s="3">
        <v>395</v>
      </c>
      <c r="K2874" s="3">
        <v>178.14</v>
      </c>
      <c r="L2874">
        <v>54.9</v>
      </c>
    </row>
    <row r="2875" spans="1:12">
      <c r="A2875" s="1">
        <v>46036</v>
      </c>
      <c r="B2875" t="s">
        <v>9727</v>
      </c>
      <c r="C2875">
        <v>24</v>
      </c>
      <c r="D2875" t="str">
        <f>VLOOKUP(Tabela26[[#This Row],[EMP]],[1]LOJA!$A:$B,2,0)</f>
        <v>LUZIÂNIA</v>
      </c>
      <c r="E2875">
        <v>242</v>
      </c>
      <c r="F2875" t="s">
        <v>3524</v>
      </c>
      <c r="G2875" t="s">
        <v>3402</v>
      </c>
      <c r="H2875" t="s">
        <v>3401</v>
      </c>
      <c r="I2875">
        <v>5405</v>
      </c>
      <c r="J2875" s="3">
        <v>160</v>
      </c>
      <c r="K2875" s="3">
        <v>94.66</v>
      </c>
      <c r="L2875">
        <v>40.840000000000003</v>
      </c>
    </row>
    <row r="2876" spans="1:12">
      <c r="A2876" s="1">
        <v>46036</v>
      </c>
      <c r="B2876" t="s">
        <v>9726</v>
      </c>
      <c r="C2876">
        <v>24</v>
      </c>
      <c r="D2876" t="str">
        <f>VLOOKUP(Tabela26[[#This Row],[EMP]],[1]LOJA!$A:$B,2,0)</f>
        <v>LUZIÂNIA</v>
      </c>
      <c r="E2876">
        <v>242</v>
      </c>
      <c r="F2876" t="s">
        <v>3524</v>
      </c>
      <c r="G2876" t="s">
        <v>3402</v>
      </c>
      <c r="H2876" t="s">
        <v>3401</v>
      </c>
      <c r="I2876">
        <v>5405</v>
      </c>
      <c r="J2876" s="3">
        <v>45</v>
      </c>
      <c r="K2876" s="3">
        <v>20.76</v>
      </c>
      <c r="L2876">
        <v>53.87</v>
      </c>
    </row>
    <row r="2877" spans="1:12">
      <c r="A2877" s="1">
        <v>46036</v>
      </c>
      <c r="B2877" t="s">
        <v>9725</v>
      </c>
      <c r="C2877">
        <v>24</v>
      </c>
      <c r="D2877" t="str">
        <f>VLOOKUP(Tabela26[[#This Row],[EMP]],[1]LOJA!$A:$B,2,0)</f>
        <v>LUZIÂNIA</v>
      </c>
      <c r="E2877">
        <v>242</v>
      </c>
      <c r="F2877" t="s">
        <v>3524</v>
      </c>
      <c r="G2877" t="s">
        <v>3402</v>
      </c>
      <c r="H2877" t="s">
        <v>3401</v>
      </c>
      <c r="I2877">
        <v>5102</v>
      </c>
      <c r="J2877" s="3">
        <v>19</v>
      </c>
      <c r="K2877" s="3">
        <v>10.62</v>
      </c>
      <c r="L2877">
        <v>44.11</v>
      </c>
    </row>
    <row r="2878" spans="1:12">
      <c r="A2878" s="1">
        <v>46036</v>
      </c>
      <c r="B2878" t="s">
        <v>9724</v>
      </c>
      <c r="C2878">
        <v>24</v>
      </c>
      <c r="D2878" t="str">
        <f>VLOOKUP(Tabela26[[#This Row],[EMP]],[1]LOJA!$A:$B,2,0)</f>
        <v>LUZIÂNIA</v>
      </c>
      <c r="E2878">
        <v>192</v>
      </c>
      <c r="F2878" t="s">
        <v>4184</v>
      </c>
      <c r="G2878" t="s">
        <v>3402</v>
      </c>
      <c r="H2878" t="s">
        <v>3401</v>
      </c>
      <c r="I2878">
        <v>5102</v>
      </c>
      <c r="J2878" s="3">
        <v>169</v>
      </c>
      <c r="K2878" s="3">
        <v>97.36</v>
      </c>
      <c r="L2878">
        <v>42.39</v>
      </c>
    </row>
    <row r="2879" spans="1:12">
      <c r="A2879" s="1">
        <v>46036</v>
      </c>
      <c r="B2879" t="s">
        <v>9723</v>
      </c>
      <c r="C2879">
        <v>24</v>
      </c>
      <c r="D2879" t="str">
        <f>VLOOKUP(Tabela26[[#This Row],[EMP]],[1]LOJA!$A:$B,2,0)</f>
        <v>LUZIÂNIA</v>
      </c>
      <c r="E2879">
        <v>192</v>
      </c>
      <c r="F2879" t="s">
        <v>4832</v>
      </c>
      <c r="G2879" t="s">
        <v>4831</v>
      </c>
      <c r="H2879" t="s">
        <v>3408</v>
      </c>
      <c r="I2879">
        <v>5405</v>
      </c>
      <c r="J2879" s="3">
        <v>290</v>
      </c>
      <c r="K2879" s="3">
        <v>132.56</v>
      </c>
      <c r="L2879">
        <v>54.29</v>
      </c>
    </row>
    <row r="2880" spans="1:12">
      <c r="A2880" s="1">
        <v>46036</v>
      </c>
      <c r="B2880" t="s">
        <v>9722</v>
      </c>
      <c r="C2880">
        <v>24</v>
      </c>
      <c r="D2880" t="str">
        <f>VLOOKUP(Tabela26[[#This Row],[EMP]],[1]LOJA!$A:$B,2,0)</f>
        <v>LUZIÂNIA</v>
      </c>
      <c r="E2880">
        <v>242</v>
      </c>
      <c r="F2880" t="s">
        <v>4186</v>
      </c>
      <c r="G2880" t="s">
        <v>3402</v>
      </c>
      <c r="H2880" t="s">
        <v>3408</v>
      </c>
      <c r="I2880">
        <v>5405</v>
      </c>
      <c r="J2880" s="3">
        <v>1135</v>
      </c>
      <c r="K2880" s="3">
        <v>612.13</v>
      </c>
      <c r="L2880">
        <v>46.07</v>
      </c>
    </row>
    <row r="2881" spans="1:12">
      <c r="A2881" s="1">
        <v>46036</v>
      </c>
      <c r="B2881" t="s">
        <v>9721</v>
      </c>
      <c r="C2881">
        <v>24</v>
      </c>
      <c r="D2881" t="str">
        <f>VLOOKUP(Tabela26[[#This Row],[EMP]],[1]LOJA!$A:$B,2,0)</f>
        <v>LUZIÂNIA</v>
      </c>
      <c r="E2881">
        <v>192</v>
      </c>
      <c r="F2881" t="s">
        <v>4837</v>
      </c>
      <c r="G2881" t="s">
        <v>4836</v>
      </c>
      <c r="H2881" t="s">
        <v>3408</v>
      </c>
      <c r="I2881">
        <v>5405</v>
      </c>
      <c r="J2881" s="3">
        <v>139</v>
      </c>
      <c r="K2881" s="3">
        <v>62.49</v>
      </c>
      <c r="L2881">
        <v>55.04</v>
      </c>
    </row>
    <row r="2882" spans="1:12">
      <c r="A2882" s="1">
        <v>46036</v>
      </c>
      <c r="B2882" t="s">
        <v>9720</v>
      </c>
      <c r="C2882">
        <v>24</v>
      </c>
      <c r="D2882" t="str">
        <f>VLOOKUP(Tabela26[[#This Row],[EMP]],[1]LOJA!$A:$B,2,0)</f>
        <v>LUZIÂNIA</v>
      </c>
      <c r="E2882">
        <v>192</v>
      </c>
      <c r="F2882" t="s">
        <v>4210</v>
      </c>
      <c r="G2882" t="s">
        <v>4209</v>
      </c>
      <c r="H2882" t="s">
        <v>3401</v>
      </c>
      <c r="I2882">
        <v>5405</v>
      </c>
      <c r="J2882" s="3">
        <v>154</v>
      </c>
      <c r="K2882" s="3">
        <v>84.15</v>
      </c>
      <c r="L2882">
        <v>45.36</v>
      </c>
    </row>
    <row r="2883" spans="1:12">
      <c r="A2883" s="1">
        <v>46036</v>
      </c>
      <c r="B2883" t="s">
        <v>9719</v>
      </c>
      <c r="C2883">
        <v>12</v>
      </c>
      <c r="D2883" t="str">
        <f>VLOOKUP(Tabela26[[#This Row],[EMP]],[1]LOJA!$A:$B,2,0)</f>
        <v>SOFNORTE</v>
      </c>
      <c r="E2883">
        <v>239</v>
      </c>
      <c r="F2883" t="s">
        <v>4156</v>
      </c>
      <c r="G2883" t="s">
        <v>4155</v>
      </c>
      <c r="H2883" t="s">
        <v>3397</v>
      </c>
      <c r="I2883">
        <v>5405</v>
      </c>
      <c r="J2883" s="3">
        <v>161.1</v>
      </c>
      <c r="K2883" s="3">
        <v>75.52</v>
      </c>
      <c r="L2883">
        <v>53.12</v>
      </c>
    </row>
    <row r="2884" spans="1:12">
      <c r="A2884" s="1">
        <v>46036</v>
      </c>
      <c r="B2884" t="s">
        <v>9718</v>
      </c>
      <c r="C2884">
        <v>12</v>
      </c>
      <c r="D2884" t="str">
        <f>VLOOKUP(Tabela26[[#This Row],[EMP]],[1]LOJA!$A:$B,2,0)</f>
        <v>SOFNORTE</v>
      </c>
      <c r="E2884">
        <v>60</v>
      </c>
      <c r="F2884" t="s">
        <v>3709</v>
      </c>
      <c r="G2884" t="s">
        <v>3708</v>
      </c>
      <c r="H2884" t="s">
        <v>9607</v>
      </c>
      <c r="I2884">
        <v>5102</v>
      </c>
      <c r="J2884" s="3">
        <v>104.88</v>
      </c>
      <c r="K2884" s="3">
        <v>59.88</v>
      </c>
      <c r="L2884">
        <v>42.91</v>
      </c>
    </row>
    <row r="2885" spans="1:12">
      <c r="A2885" s="1">
        <v>46036</v>
      </c>
      <c r="B2885" t="s">
        <v>9717</v>
      </c>
      <c r="C2885">
        <v>12</v>
      </c>
      <c r="D2885" t="str">
        <f>VLOOKUP(Tabela26[[#This Row],[EMP]],[1]LOJA!$A:$B,2,0)</f>
        <v>SOFNORTE</v>
      </c>
      <c r="E2885">
        <v>60</v>
      </c>
      <c r="F2885" t="s">
        <v>3709</v>
      </c>
      <c r="G2885" t="s">
        <v>3708</v>
      </c>
      <c r="H2885" t="s">
        <v>9607</v>
      </c>
      <c r="I2885">
        <v>5102</v>
      </c>
      <c r="J2885" s="3">
        <v>25.89</v>
      </c>
      <c r="K2885" s="3">
        <v>12.48</v>
      </c>
      <c r="L2885">
        <v>51.8</v>
      </c>
    </row>
    <row r="2886" spans="1:12">
      <c r="A2886" s="1">
        <v>46036</v>
      </c>
      <c r="B2886" t="s">
        <v>9716</v>
      </c>
      <c r="C2886">
        <v>12</v>
      </c>
      <c r="D2886" t="str">
        <f>VLOOKUP(Tabela26[[#This Row],[EMP]],[1]LOJA!$A:$B,2,0)</f>
        <v>SOFNORTE</v>
      </c>
      <c r="E2886">
        <v>60</v>
      </c>
      <c r="F2886" t="s">
        <v>3518</v>
      </c>
      <c r="G2886" t="s">
        <v>3517</v>
      </c>
      <c r="H2886" t="s">
        <v>3430</v>
      </c>
      <c r="I2886">
        <v>5405</v>
      </c>
      <c r="J2886" s="3">
        <v>82</v>
      </c>
      <c r="K2886" s="3">
        <v>36.92</v>
      </c>
      <c r="L2886">
        <v>54.98</v>
      </c>
    </row>
    <row r="2887" spans="1:12">
      <c r="A2887" s="1">
        <v>46036</v>
      </c>
      <c r="B2887" t="s">
        <v>9715</v>
      </c>
      <c r="C2887">
        <v>12</v>
      </c>
      <c r="D2887" t="str">
        <f>VLOOKUP(Tabela26[[#This Row],[EMP]],[1]LOJA!$A:$B,2,0)</f>
        <v>SOFNORTE</v>
      </c>
      <c r="E2887">
        <v>60</v>
      </c>
      <c r="F2887" t="s">
        <v>4813</v>
      </c>
      <c r="G2887" t="s">
        <v>4812</v>
      </c>
      <c r="H2887" t="s">
        <v>3397</v>
      </c>
      <c r="I2887">
        <v>5102</v>
      </c>
      <c r="J2887" s="3">
        <v>120</v>
      </c>
      <c r="K2887" s="3">
        <v>62.03</v>
      </c>
      <c r="L2887">
        <v>48.31</v>
      </c>
    </row>
    <row r="2888" spans="1:12">
      <c r="A2888" s="1">
        <v>46036</v>
      </c>
      <c r="B2888" t="s">
        <v>9714</v>
      </c>
      <c r="C2888">
        <v>12</v>
      </c>
      <c r="D2888" t="str">
        <f>VLOOKUP(Tabela26[[#This Row],[EMP]],[1]LOJA!$A:$B,2,0)</f>
        <v>SOFNORTE</v>
      </c>
      <c r="E2888">
        <v>60</v>
      </c>
      <c r="F2888" t="s">
        <v>3518</v>
      </c>
      <c r="G2888" t="s">
        <v>3517</v>
      </c>
      <c r="H2888" t="s">
        <v>3430</v>
      </c>
      <c r="I2888">
        <v>5102</v>
      </c>
      <c r="J2888" s="3">
        <v>68</v>
      </c>
      <c r="K2888" s="3">
        <v>34.89</v>
      </c>
      <c r="L2888">
        <v>48.69</v>
      </c>
    </row>
    <row r="2889" spans="1:12">
      <c r="A2889" s="1">
        <v>46036</v>
      </c>
      <c r="B2889" t="s">
        <v>9713</v>
      </c>
      <c r="C2889">
        <v>12</v>
      </c>
      <c r="D2889" t="str">
        <f>VLOOKUP(Tabela26[[#This Row],[EMP]],[1]LOJA!$A:$B,2,0)</f>
        <v>SOFNORTE</v>
      </c>
      <c r="E2889">
        <v>60</v>
      </c>
      <c r="F2889" t="s">
        <v>3709</v>
      </c>
      <c r="G2889" t="s">
        <v>3708</v>
      </c>
      <c r="H2889" t="s">
        <v>9607</v>
      </c>
      <c r="I2889">
        <v>5405</v>
      </c>
      <c r="J2889" s="3">
        <v>38.020000000000003</v>
      </c>
      <c r="K2889" s="3">
        <v>18.62</v>
      </c>
      <c r="L2889">
        <v>51.03</v>
      </c>
    </row>
    <row r="2890" spans="1:12">
      <c r="A2890" s="1">
        <v>46036</v>
      </c>
      <c r="B2890" t="s">
        <v>9712</v>
      </c>
      <c r="C2890">
        <v>12</v>
      </c>
      <c r="D2890" t="str">
        <f>VLOOKUP(Tabela26[[#This Row],[EMP]],[1]LOJA!$A:$B,2,0)</f>
        <v>SOFNORTE</v>
      </c>
      <c r="E2890">
        <v>60</v>
      </c>
      <c r="F2890" t="s">
        <v>4156</v>
      </c>
      <c r="G2890" t="s">
        <v>4155</v>
      </c>
      <c r="H2890" t="s">
        <v>3397</v>
      </c>
      <c r="I2890">
        <v>5405</v>
      </c>
      <c r="J2890" s="3">
        <v>65</v>
      </c>
      <c r="K2890" s="3">
        <v>28.37</v>
      </c>
      <c r="L2890">
        <v>56.35</v>
      </c>
    </row>
    <row r="2891" spans="1:12">
      <c r="A2891" s="1">
        <v>46036</v>
      </c>
      <c r="B2891" t="s">
        <v>9711</v>
      </c>
      <c r="C2891">
        <v>12</v>
      </c>
      <c r="D2891" t="str">
        <f>VLOOKUP(Tabela26[[#This Row],[EMP]],[1]LOJA!$A:$B,2,0)</f>
        <v>SOFNORTE</v>
      </c>
      <c r="E2891">
        <v>60</v>
      </c>
      <c r="F2891" t="s">
        <v>4813</v>
      </c>
      <c r="G2891" t="s">
        <v>4812</v>
      </c>
      <c r="H2891" t="s">
        <v>3397</v>
      </c>
      <c r="I2891">
        <v>5405</v>
      </c>
      <c r="J2891" s="3">
        <v>55</v>
      </c>
      <c r="K2891" s="3">
        <v>25.93</v>
      </c>
      <c r="L2891">
        <v>52.85</v>
      </c>
    </row>
    <row r="2892" spans="1:12">
      <c r="A2892" s="1">
        <v>46036</v>
      </c>
      <c r="B2892" t="s">
        <v>9710</v>
      </c>
      <c r="C2892">
        <v>12</v>
      </c>
      <c r="D2892" t="str">
        <f>VLOOKUP(Tabela26[[#This Row],[EMP]],[1]LOJA!$A:$B,2,0)</f>
        <v>SOFNORTE</v>
      </c>
      <c r="E2892">
        <v>239</v>
      </c>
      <c r="F2892" t="s">
        <v>3709</v>
      </c>
      <c r="G2892" t="s">
        <v>3708</v>
      </c>
      <c r="H2892" t="s">
        <v>9607</v>
      </c>
      <c r="I2892">
        <v>5405</v>
      </c>
      <c r="J2892" s="3">
        <v>53.91</v>
      </c>
      <c r="K2892" s="3">
        <v>26.53</v>
      </c>
      <c r="L2892">
        <v>50.79</v>
      </c>
    </row>
    <row r="2893" spans="1:12">
      <c r="A2893" s="1">
        <v>46036</v>
      </c>
      <c r="B2893" t="s">
        <v>9709</v>
      </c>
      <c r="C2893">
        <v>22</v>
      </c>
      <c r="D2893" t="str">
        <f>VLOOKUP(Tabela26[[#This Row],[EMP]],[1]LOJA!$A:$B,2,0)</f>
        <v>GUARÁ</v>
      </c>
      <c r="E2893">
        <v>93</v>
      </c>
      <c r="F2893" t="s">
        <v>4136</v>
      </c>
      <c r="G2893" t="s">
        <v>4135</v>
      </c>
      <c r="H2893" t="s">
        <v>3430</v>
      </c>
      <c r="I2893">
        <v>5102</v>
      </c>
      <c r="J2893" s="3">
        <v>114.9</v>
      </c>
      <c r="K2893" s="3">
        <v>57.9</v>
      </c>
      <c r="L2893">
        <v>49.61</v>
      </c>
    </row>
    <row r="2894" spans="1:12">
      <c r="A2894" s="1">
        <v>46036</v>
      </c>
      <c r="B2894" t="s">
        <v>9708</v>
      </c>
      <c r="C2894">
        <v>22</v>
      </c>
      <c r="D2894" t="str">
        <f>VLOOKUP(Tabela26[[#This Row],[EMP]],[1]LOJA!$A:$B,2,0)</f>
        <v>GUARÁ</v>
      </c>
      <c r="E2894">
        <v>93</v>
      </c>
      <c r="F2894" t="s">
        <v>4147</v>
      </c>
      <c r="G2894" t="s">
        <v>4146</v>
      </c>
      <c r="H2894" t="s">
        <v>3430</v>
      </c>
      <c r="I2894">
        <v>5405</v>
      </c>
      <c r="J2894" s="3">
        <v>89.37</v>
      </c>
      <c r="K2894" s="3">
        <v>45.8</v>
      </c>
      <c r="L2894">
        <v>48.75</v>
      </c>
    </row>
    <row r="2895" spans="1:12">
      <c r="A2895" s="1">
        <v>46036</v>
      </c>
      <c r="B2895" t="s">
        <v>9707</v>
      </c>
      <c r="C2895">
        <v>22</v>
      </c>
      <c r="D2895" t="str">
        <f>VLOOKUP(Tabela26[[#This Row],[EMP]],[1]LOJA!$A:$B,2,0)</f>
        <v>GUARÁ</v>
      </c>
      <c r="E2895">
        <v>93</v>
      </c>
      <c r="F2895" t="s">
        <v>4151</v>
      </c>
      <c r="G2895" t="s">
        <v>4150</v>
      </c>
      <c r="H2895" t="s">
        <v>3430</v>
      </c>
      <c r="I2895">
        <v>5405</v>
      </c>
      <c r="J2895" s="3">
        <v>963.6</v>
      </c>
      <c r="K2895" s="3">
        <v>550.84</v>
      </c>
      <c r="L2895">
        <v>42.84</v>
      </c>
    </row>
    <row r="2896" spans="1:12">
      <c r="A2896" s="1">
        <v>46036</v>
      </c>
      <c r="B2896" t="s">
        <v>9706</v>
      </c>
      <c r="C2896">
        <v>22</v>
      </c>
      <c r="D2896" t="str">
        <f>VLOOKUP(Tabela26[[#This Row],[EMP]],[1]LOJA!$A:$B,2,0)</f>
        <v>GUARÁ</v>
      </c>
      <c r="E2896">
        <v>93</v>
      </c>
      <c r="F2896" t="s">
        <v>3508</v>
      </c>
      <c r="G2896" t="s">
        <v>3507</v>
      </c>
      <c r="H2896" t="s">
        <v>3430</v>
      </c>
      <c r="I2896">
        <v>5102</v>
      </c>
      <c r="J2896" s="3">
        <v>553.91999999999996</v>
      </c>
      <c r="K2896" s="3">
        <v>323.68</v>
      </c>
      <c r="L2896">
        <v>41.57</v>
      </c>
    </row>
    <row r="2897" spans="1:12">
      <c r="A2897" s="1">
        <v>46036</v>
      </c>
      <c r="B2897" t="s">
        <v>9705</v>
      </c>
      <c r="C2897">
        <v>22</v>
      </c>
      <c r="D2897" t="str">
        <f>VLOOKUP(Tabela26[[#This Row],[EMP]],[1]LOJA!$A:$B,2,0)</f>
        <v>GUARÁ</v>
      </c>
      <c r="E2897">
        <v>93</v>
      </c>
      <c r="F2897" t="s">
        <v>3514</v>
      </c>
      <c r="G2897" t="s">
        <v>3513</v>
      </c>
      <c r="H2897" t="s">
        <v>3430</v>
      </c>
      <c r="I2897">
        <v>5405</v>
      </c>
      <c r="J2897" s="3">
        <v>38.299999999999997</v>
      </c>
      <c r="K2897" s="3">
        <v>19.899999999999999</v>
      </c>
      <c r="L2897">
        <v>48.04</v>
      </c>
    </row>
    <row r="2898" spans="1:12">
      <c r="A2898" s="1">
        <v>46036</v>
      </c>
      <c r="B2898" t="s">
        <v>9704</v>
      </c>
      <c r="C2898">
        <v>22</v>
      </c>
      <c r="D2898" t="str">
        <f>VLOOKUP(Tabela26[[#This Row],[EMP]],[1]LOJA!$A:$B,2,0)</f>
        <v>GUARÁ</v>
      </c>
      <c r="E2898">
        <v>93</v>
      </c>
      <c r="F2898" t="s">
        <v>3514</v>
      </c>
      <c r="G2898" t="s">
        <v>3513</v>
      </c>
      <c r="H2898" t="s">
        <v>3430</v>
      </c>
      <c r="I2898">
        <v>5102</v>
      </c>
      <c r="J2898" s="3">
        <v>128.96</v>
      </c>
      <c r="K2898" s="3">
        <v>67.84</v>
      </c>
      <c r="L2898">
        <v>47.39</v>
      </c>
    </row>
    <row r="2899" spans="1:12">
      <c r="A2899" s="1">
        <v>46036</v>
      </c>
      <c r="B2899" t="s">
        <v>9703</v>
      </c>
      <c r="C2899">
        <v>22</v>
      </c>
      <c r="D2899" t="str">
        <f>VLOOKUP(Tabela26[[#This Row],[EMP]],[1]LOJA!$A:$B,2,0)</f>
        <v>GUARÁ</v>
      </c>
      <c r="E2899">
        <v>93</v>
      </c>
      <c r="F2899" t="s">
        <v>4805</v>
      </c>
      <c r="G2899" t="s">
        <v>4804</v>
      </c>
      <c r="H2899" t="s">
        <v>3430</v>
      </c>
      <c r="I2899">
        <v>5102</v>
      </c>
      <c r="J2899" s="3">
        <v>153.05000000000001</v>
      </c>
      <c r="K2899" s="3">
        <v>91.56</v>
      </c>
      <c r="L2899">
        <v>40.18</v>
      </c>
    </row>
    <row r="2900" spans="1:12">
      <c r="A2900" s="1">
        <v>46036</v>
      </c>
      <c r="B2900" t="s">
        <v>9702</v>
      </c>
      <c r="C2900">
        <v>13</v>
      </c>
      <c r="D2900" t="str">
        <f>VLOOKUP(Tabela26[[#This Row],[EMP]],[1]LOJA!$A:$B,2,0)</f>
        <v>CEILÂNDIA</v>
      </c>
      <c r="E2900">
        <v>86</v>
      </c>
      <c r="F2900" t="s">
        <v>4118</v>
      </c>
      <c r="G2900" t="s">
        <v>4117</v>
      </c>
      <c r="H2900" t="s">
        <v>3430</v>
      </c>
      <c r="I2900">
        <v>5405</v>
      </c>
      <c r="J2900" s="3">
        <v>859.78</v>
      </c>
      <c r="K2900" s="3">
        <v>515.62</v>
      </c>
      <c r="L2900">
        <v>40.03</v>
      </c>
    </row>
    <row r="2901" spans="1:12">
      <c r="A2901" s="1">
        <v>46036</v>
      </c>
      <c r="B2901" t="s">
        <v>9701</v>
      </c>
      <c r="C2901">
        <v>13</v>
      </c>
      <c r="D2901" t="str">
        <f>VLOOKUP(Tabela26[[#This Row],[EMP]],[1]LOJA!$A:$B,2,0)</f>
        <v>CEILÂNDIA</v>
      </c>
      <c r="E2901">
        <v>86</v>
      </c>
      <c r="F2901" t="s">
        <v>4118</v>
      </c>
      <c r="G2901" t="s">
        <v>4117</v>
      </c>
      <c r="H2901" t="s">
        <v>3430</v>
      </c>
      <c r="I2901">
        <v>5405</v>
      </c>
      <c r="J2901" s="3">
        <v>1248.22</v>
      </c>
      <c r="K2901" s="3">
        <v>750.11</v>
      </c>
      <c r="L2901">
        <v>39.909999999999997</v>
      </c>
    </row>
    <row r="2902" spans="1:12">
      <c r="A2902" s="1">
        <v>46036</v>
      </c>
      <c r="B2902" t="s">
        <v>9700</v>
      </c>
      <c r="C2902">
        <v>13</v>
      </c>
      <c r="D2902" t="str">
        <f>VLOOKUP(Tabela26[[#This Row],[EMP]],[1]LOJA!$A:$B,2,0)</f>
        <v>CEILÂNDIA</v>
      </c>
      <c r="E2902">
        <v>86</v>
      </c>
      <c r="F2902" t="s">
        <v>4118</v>
      </c>
      <c r="G2902" t="s">
        <v>4117</v>
      </c>
      <c r="H2902" t="s">
        <v>3430</v>
      </c>
      <c r="I2902">
        <v>5102</v>
      </c>
      <c r="J2902" s="3">
        <v>434.5</v>
      </c>
      <c r="K2902" s="3">
        <v>226</v>
      </c>
      <c r="L2902">
        <v>47.99</v>
      </c>
    </row>
    <row r="2903" spans="1:12">
      <c r="A2903" s="1">
        <v>46036</v>
      </c>
      <c r="B2903" t="s">
        <v>9699</v>
      </c>
      <c r="C2903">
        <v>13</v>
      </c>
      <c r="D2903" t="str">
        <f>VLOOKUP(Tabela26[[#This Row],[EMP]],[1]LOJA!$A:$B,2,0)</f>
        <v>CEILÂNDIA</v>
      </c>
      <c r="E2903">
        <v>86</v>
      </c>
      <c r="F2903" t="s">
        <v>6884</v>
      </c>
      <c r="G2903" t="s">
        <v>6883</v>
      </c>
      <c r="H2903" t="s">
        <v>3430</v>
      </c>
      <c r="I2903">
        <v>5102</v>
      </c>
      <c r="J2903" s="3">
        <v>105.5</v>
      </c>
      <c r="K2903" s="3">
        <v>50.92</v>
      </c>
      <c r="L2903">
        <v>51.73</v>
      </c>
    </row>
    <row r="2904" spans="1:12">
      <c r="A2904" s="1">
        <v>46036</v>
      </c>
      <c r="B2904" t="s">
        <v>9698</v>
      </c>
      <c r="C2904">
        <v>13</v>
      </c>
      <c r="D2904" t="str">
        <f>VLOOKUP(Tabela26[[#This Row],[EMP]],[1]LOJA!$A:$B,2,0)</f>
        <v>CEILÂNDIA</v>
      </c>
      <c r="E2904">
        <v>86</v>
      </c>
      <c r="F2904" t="s">
        <v>4775</v>
      </c>
      <c r="G2904" t="s">
        <v>4774</v>
      </c>
      <c r="H2904" t="s">
        <v>9607</v>
      </c>
      <c r="I2904">
        <v>5405</v>
      </c>
      <c r="J2904" s="3">
        <v>290</v>
      </c>
      <c r="K2904" s="3">
        <v>138.94</v>
      </c>
      <c r="L2904">
        <v>52.09</v>
      </c>
    </row>
    <row r="2905" spans="1:12">
      <c r="A2905" s="1">
        <v>46036</v>
      </c>
      <c r="B2905" t="s">
        <v>9697</v>
      </c>
      <c r="C2905">
        <v>13</v>
      </c>
      <c r="D2905" t="str">
        <f>VLOOKUP(Tabela26[[#This Row],[EMP]],[1]LOJA!$A:$B,2,0)</f>
        <v>CEILÂNDIA</v>
      </c>
      <c r="E2905">
        <v>86</v>
      </c>
      <c r="F2905" t="s">
        <v>4084</v>
      </c>
      <c r="G2905" t="s">
        <v>4083</v>
      </c>
      <c r="H2905" t="s">
        <v>3430</v>
      </c>
      <c r="I2905">
        <v>5102</v>
      </c>
      <c r="J2905" s="3">
        <v>30.98</v>
      </c>
      <c r="K2905" s="3">
        <v>20.260000000000002</v>
      </c>
      <c r="L2905">
        <v>34.6</v>
      </c>
    </row>
    <row r="2906" spans="1:12">
      <c r="A2906" s="1">
        <v>46036</v>
      </c>
      <c r="B2906" t="s">
        <v>9696</v>
      </c>
      <c r="C2906">
        <v>13</v>
      </c>
      <c r="D2906" t="str">
        <f>VLOOKUP(Tabela26[[#This Row],[EMP]],[1]LOJA!$A:$B,2,0)</f>
        <v>CEILÂNDIA</v>
      </c>
      <c r="E2906">
        <v>86</v>
      </c>
      <c r="F2906" t="s">
        <v>3629</v>
      </c>
      <c r="G2906" t="s">
        <v>3628</v>
      </c>
      <c r="H2906" t="s">
        <v>3430</v>
      </c>
      <c r="I2906">
        <v>5102</v>
      </c>
      <c r="J2906" s="3">
        <v>690</v>
      </c>
      <c r="K2906" s="3">
        <v>409.24</v>
      </c>
      <c r="L2906">
        <v>40.69</v>
      </c>
    </row>
    <row r="2907" spans="1:12">
      <c r="A2907" s="1">
        <v>46036</v>
      </c>
      <c r="B2907" t="s">
        <v>9695</v>
      </c>
      <c r="C2907">
        <v>13</v>
      </c>
      <c r="D2907" t="str">
        <f>VLOOKUP(Tabela26[[#This Row],[EMP]],[1]LOJA!$A:$B,2,0)</f>
        <v>CEILÂNDIA</v>
      </c>
      <c r="E2907">
        <v>86</v>
      </c>
      <c r="F2907" t="s">
        <v>3501</v>
      </c>
      <c r="G2907" t="s">
        <v>3500</v>
      </c>
      <c r="H2907" t="s">
        <v>3430</v>
      </c>
      <c r="I2907">
        <v>5102</v>
      </c>
      <c r="J2907" s="3">
        <v>42.5</v>
      </c>
      <c r="K2907" s="3">
        <v>20.8</v>
      </c>
      <c r="L2907">
        <v>51.06</v>
      </c>
    </row>
    <row r="2908" spans="1:12">
      <c r="A2908" s="1">
        <v>46036</v>
      </c>
      <c r="B2908" t="s">
        <v>9694</v>
      </c>
      <c r="C2908">
        <v>13</v>
      </c>
      <c r="D2908" t="str">
        <f>VLOOKUP(Tabela26[[#This Row],[EMP]],[1]LOJA!$A:$B,2,0)</f>
        <v>CEILÂNDIA</v>
      </c>
      <c r="E2908">
        <v>86</v>
      </c>
      <c r="F2908" t="s">
        <v>4775</v>
      </c>
      <c r="G2908" t="s">
        <v>4774</v>
      </c>
      <c r="H2908" t="s">
        <v>9607</v>
      </c>
      <c r="I2908">
        <v>5405</v>
      </c>
      <c r="J2908" s="3">
        <v>55</v>
      </c>
      <c r="K2908" s="3">
        <v>28.22</v>
      </c>
      <c r="L2908">
        <v>48.69</v>
      </c>
    </row>
    <row r="2909" spans="1:12">
      <c r="A2909" s="1">
        <v>46036</v>
      </c>
      <c r="B2909" t="s">
        <v>9693</v>
      </c>
      <c r="C2909">
        <v>13</v>
      </c>
      <c r="D2909" t="str">
        <f>VLOOKUP(Tabela26[[#This Row],[EMP]],[1]LOJA!$A:$B,2,0)</f>
        <v>CEILÂNDIA</v>
      </c>
      <c r="E2909">
        <v>86</v>
      </c>
      <c r="F2909" t="s">
        <v>3501</v>
      </c>
      <c r="G2909" t="s">
        <v>3500</v>
      </c>
      <c r="H2909" t="s">
        <v>3430</v>
      </c>
      <c r="I2909">
        <v>5405</v>
      </c>
      <c r="J2909" s="3">
        <v>160</v>
      </c>
      <c r="K2909" s="3">
        <v>84.14</v>
      </c>
      <c r="L2909">
        <v>47.41</v>
      </c>
    </row>
    <row r="2910" spans="1:12">
      <c r="A2910" s="1">
        <v>46036</v>
      </c>
      <c r="B2910" t="s">
        <v>9692</v>
      </c>
      <c r="C2910">
        <v>13</v>
      </c>
      <c r="D2910" t="str">
        <f>VLOOKUP(Tabela26[[#This Row],[EMP]],[1]LOJA!$A:$B,2,0)</f>
        <v>CEILÂNDIA</v>
      </c>
      <c r="E2910">
        <v>86</v>
      </c>
      <c r="F2910" t="s">
        <v>3501</v>
      </c>
      <c r="G2910" t="s">
        <v>3500</v>
      </c>
      <c r="H2910" t="s">
        <v>3430</v>
      </c>
      <c r="I2910">
        <v>5405</v>
      </c>
      <c r="J2910" s="3">
        <v>54</v>
      </c>
      <c r="K2910" s="3">
        <v>27.24</v>
      </c>
      <c r="L2910">
        <v>49.56</v>
      </c>
    </row>
    <row r="2911" spans="1:12">
      <c r="A2911" s="1">
        <v>46036</v>
      </c>
      <c r="B2911" t="s">
        <v>9691</v>
      </c>
      <c r="C2911">
        <v>13</v>
      </c>
      <c r="D2911" t="str">
        <f>VLOOKUP(Tabela26[[#This Row],[EMP]],[1]LOJA!$A:$B,2,0)</f>
        <v>CEILÂNDIA</v>
      </c>
      <c r="E2911">
        <v>86</v>
      </c>
      <c r="F2911" t="s">
        <v>4097</v>
      </c>
      <c r="G2911" t="s">
        <v>4096</v>
      </c>
      <c r="H2911" t="s">
        <v>3430</v>
      </c>
      <c r="I2911">
        <v>5405</v>
      </c>
      <c r="J2911" s="3">
        <v>323.89</v>
      </c>
      <c r="K2911" s="3">
        <v>177.46</v>
      </c>
      <c r="L2911">
        <v>45.21</v>
      </c>
    </row>
    <row r="2912" spans="1:12">
      <c r="A2912" s="1">
        <v>46036</v>
      </c>
      <c r="B2912" t="s">
        <v>9690</v>
      </c>
      <c r="C2912">
        <v>13</v>
      </c>
      <c r="D2912" t="str">
        <f>VLOOKUP(Tabela26[[#This Row],[EMP]],[1]LOJA!$A:$B,2,0)</f>
        <v>CEILÂNDIA</v>
      </c>
      <c r="E2912">
        <v>86</v>
      </c>
      <c r="F2912" t="s">
        <v>3501</v>
      </c>
      <c r="G2912" t="s">
        <v>3500</v>
      </c>
      <c r="H2912" t="s">
        <v>3430</v>
      </c>
      <c r="I2912">
        <v>5405</v>
      </c>
      <c r="J2912" s="3">
        <v>54</v>
      </c>
      <c r="K2912" s="3">
        <v>31.48</v>
      </c>
      <c r="L2912">
        <v>41.7</v>
      </c>
    </row>
    <row r="2913" spans="1:12">
      <c r="A2913" s="1">
        <v>46036</v>
      </c>
      <c r="B2913" t="s">
        <v>9689</v>
      </c>
      <c r="C2913">
        <v>13</v>
      </c>
      <c r="D2913" t="str">
        <f>VLOOKUP(Tabela26[[#This Row],[EMP]],[1]LOJA!$A:$B,2,0)</f>
        <v>CEILÂNDIA</v>
      </c>
      <c r="E2913">
        <v>86</v>
      </c>
      <c r="F2913" t="s">
        <v>4097</v>
      </c>
      <c r="G2913" t="s">
        <v>4096</v>
      </c>
      <c r="H2913" t="s">
        <v>3430</v>
      </c>
      <c r="I2913">
        <v>5405</v>
      </c>
      <c r="J2913" s="3">
        <v>78.92</v>
      </c>
      <c r="K2913" s="3">
        <v>38.65</v>
      </c>
      <c r="L2913">
        <v>51.03</v>
      </c>
    </row>
    <row r="2914" spans="1:12">
      <c r="A2914" s="1">
        <v>46036</v>
      </c>
      <c r="B2914" t="s">
        <v>9688</v>
      </c>
      <c r="C2914">
        <v>13</v>
      </c>
      <c r="D2914" t="str">
        <f>VLOOKUP(Tabela26[[#This Row],[EMP]],[1]LOJA!$A:$B,2,0)</f>
        <v>CEILÂNDIA</v>
      </c>
      <c r="E2914">
        <v>86</v>
      </c>
      <c r="F2914" t="s">
        <v>4097</v>
      </c>
      <c r="G2914" t="s">
        <v>4096</v>
      </c>
      <c r="H2914" t="s">
        <v>3430</v>
      </c>
      <c r="I2914">
        <v>5405</v>
      </c>
      <c r="J2914" s="3">
        <v>29.03</v>
      </c>
      <c r="K2914" s="3">
        <v>14.95</v>
      </c>
      <c r="L2914">
        <v>48.5</v>
      </c>
    </row>
    <row r="2915" spans="1:12">
      <c r="A2915" s="1">
        <v>46036</v>
      </c>
      <c r="B2915" t="s">
        <v>9687</v>
      </c>
      <c r="C2915">
        <v>13</v>
      </c>
      <c r="D2915" t="str">
        <f>VLOOKUP(Tabela26[[#This Row],[EMP]],[1]LOJA!$A:$B,2,0)</f>
        <v>CEILÂNDIA</v>
      </c>
      <c r="E2915">
        <v>33</v>
      </c>
      <c r="F2915" t="s">
        <v>4088</v>
      </c>
      <c r="G2915" t="s">
        <v>4087</v>
      </c>
      <c r="H2915" t="s">
        <v>9607</v>
      </c>
      <c r="I2915">
        <v>5102</v>
      </c>
      <c r="J2915" s="3">
        <v>80</v>
      </c>
      <c r="K2915" s="3">
        <v>46.02</v>
      </c>
      <c r="L2915">
        <v>42.48</v>
      </c>
    </row>
    <row r="2916" spans="1:12">
      <c r="A2916" s="1">
        <v>46036</v>
      </c>
      <c r="B2916" t="s">
        <v>9686</v>
      </c>
      <c r="C2916">
        <v>15</v>
      </c>
      <c r="D2916" t="str">
        <f>VLOOKUP(Tabela26[[#This Row],[EMP]],[1]LOJA!$A:$B,2,0)</f>
        <v>UNAÍ</v>
      </c>
      <c r="E2916">
        <v>183</v>
      </c>
      <c r="F2916" t="s">
        <v>3485</v>
      </c>
      <c r="G2916" t="s">
        <v>3402</v>
      </c>
      <c r="H2916" t="s">
        <v>3401</v>
      </c>
      <c r="I2916">
        <v>5102</v>
      </c>
      <c r="J2916" s="3">
        <v>106</v>
      </c>
      <c r="K2916" s="3">
        <v>55.2</v>
      </c>
      <c r="L2916">
        <v>47.92</v>
      </c>
    </row>
    <row r="2917" spans="1:12">
      <c r="A2917" s="1">
        <v>46036</v>
      </c>
      <c r="B2917" t="s">
        <v>9685</v>
      </c>
      <c r="C2917">
        <v>15</v>
      </c>
      <c r="D2917" t="str">
        <f>VLOOKUP(Tabela26[[#This Row],[EMP]],[1]LOJA!$A:$B,2,0)</f>
        <v>UNAÍ</v>
      </c>
      <c r="E2917">
        <v>183</v>
      </c>
      <c r="F2917" t="s">
        <v>6126</v>
      </c>
      <c r="G2917" t="s">
        <v>6125</v>
      </c>
      <c r="H2917" t="s">
        <v>3408</v>
      </c>
      <c r="I2917">
        <v>5102</v>
      </c>
      <c r="J2917" s="3">
        <v>220.5</v>
      </c>
      <c r="K2917" s="3">
        <v>115.08</v>
      </c>
      <c r="L2917">
        <v>47.81</v>
      </c>
    </row>
    <row r="2918" spans="1:12">
      <c r="A2918" s="1">
        <v>46036</v>
      </c>
      <c r="B2918" t="s">
        <v>9684</v>
      </c>
      <c r="C2918">
        <v>15</v>
      </c>
      <c r="D2918" t="str">
        <f>VLOOKUP(Tabela26[[#This Row],[EMP]],[1]LOJA!$A:$B,2,0)</f>
        <v>UNAÍ</v>
      </c>
      <c r="E2918">
        <v>183</v>
      </c>
      <c r="F2918" t="s">
        <v>3485</v>
      </c>
      <c r="G2918" t="s">
        <v>3402</v>
      </c>
      <c r="H2918" t="s">
        <v>3401</v>
      </c>
      <c r="I2918">
        <v>5102</v>
      </c>
      <c r="J2918" s="3">
        <v>135.6</v>
      </c>
      <c r="K2918" s="3">
        <v>65.680000000000007</v>
      </c>
      <c r="L2918">
        <v>51.56</v>
      </c>
    </row>
    <row r="2919" spans="1:12">
      <c r="A2919" s="1">
        <v>46036</v>
      </c>
      <c r="B2919" t="s">
        <v>9683</v>
      </c>
      <c r="C2919">
        <v>15</v>
      </c>
      <c r="D2919" t="str">
        <f>VLOOKUP(Tabela26[[#This Row],[EMP]],[1]LOJA!$A:$B,2,0)</f>
        <v>UNAÍ</v>
      </c>
      <c r="E2919">
        <v>183</v>
      </c>
      <c r="F2919" t="s">
        <v>3485</v>
      </c>
      <c r="G2919" t="s">
        <v>3402</v>
      </c>
      <c r="H2919" t="s">
        <v>3401</v>
      </c>
      <c r="I2919">
        <v>5102</v>
      </c>
      <c r="J2919" s="3">
        <v>7</v>
      </c>
      <c r="K2919" s="3">
        <v>3.48</v>
      </c>
      <c r="L2919">
        <v>50.29</v>
      </c>
    </row>
    <row r="2920" spans="1:12">
      <c r="A2920" s="1">
        <v>46036</v>
      </c>
      <c r="B2920" t="s">
        <v>9682</v>
      </c>
      <c r="C2920">
        <v>15</v>
      </c>
      <c r="D2920" t="str">
        <f>VLOOKUP(Tabela26[[#This Row],[EMP]],[1]LOJA!$A:$B,2,0)</f>
        <v>UNAÍ</v>
      </c>
      <c r="E2920">
        <v>183</v>
      </c>
      <c r="F2920" t="s">
        <v>3485</v>
      </c>
      <c r="G2920" t="s">
        <v>3402</v>
      </c>
      <c r="H2920" t="s">
        <v>3401</v>
      </c>
      <c r="I2920">
        <v>5102</v>
      </c>
      <c r="J2920" s="3">
        <v>31.5</v>
      </c>
      <c r="K2920" s="3">
        <v>18.62</v>
      </c>
      <c r="L2920">
        <v>40.89</v>
      </c>
    </row>
    <row r="2921" spans="1:12">
      <c r="A2921" s="1">
        <v>46036</v>
      </c>
      <c r="B2921" t="s">
        <v>9681</v>
      </c>
      <c r="C2921">
        <v>15</v>
      </c>
      <c r="D2921" t="str">
        <f>VLOOKUP(Tabela26[[#This Row],[EMP]],[1]LOJA!$A:$B,2,0)</f>
        <v>UNAÍ</v>
      </c>
      <c r="E2921">
        <v>183</v>
      </c>
      <c r="F2921" t="s">
        <v>5302</v>
      </c>
      <c r="G2921" t="s">
        <v>5301</v>
      </c>
      <c r="H2921" t="s">
        <v>3430</v>
      </c>
      <c r="I2921">
        <v>5405</v>
      </c>
      <c r="J2921" s="3">
        <v>104</v>
      </c>
      <c r="K2921" s="3">
        <v>50.45</v>
      </c>
      <c r="L2921">
        <v>51.49</v>
      </c>
    </row>
    <row r="2922" spans="1:12">
      <c r="A2922" s="1">
        <v>46036</v>
      </c>
      <c r="B2922" t="s">
        <v>9680</v>
      </c>
      <c r="C2922">
        <v>15</v>
      </c>
      <c r="D2922" t="str">
        <f>VLOOKUP(Tabela26[[#This Row],[EMP]],[1]LOJA!$A:$B,2,0)</f>
        <v>UNAÍ</v>
      </c>
      <c r="E2922">
        <v>183</v>
      </c>
      <c r="F2922" t="s">
        <v>3485</v>
      </c>
      <c r="G2922" t="s">
        <v>3402</v>
      </c>
      <c r="H2922" t="s">
        <v>3401</v>
      </c>
      <c r="I2922">
        <v>5102</v>
      </c>
      <c r="J2922" s="3">
        <v>20</v>
      </c>
      <c r="K2922" s="3">
        <v>11.2</v>
      </c>
      <c r="L2922">
        <v>44</v>
      </c>
    </row>
    <row r="2923" spans="1:12">
      <c r="A2923" s="1">
        <v>46036</v>
      </c>
      <c r="B2923" t="s">
        <v>9679</v>
      </c>
      <c r="C2923">
        <v>15</v>
      </c>
      <c r="D2923" t="str">
        <f>VLOOKUP(Tabela26[[#This Row],[EMP]],[1]LOJA!$A:$B,2,0)</f>
        <v>UNAÍ</v>
      </c>
      <c r="E2923">
        <v>183</v>
      </c>
      <c r="F2923" t="s">
        <v>3485</v>
      </c>
      <c r="G2923" t="s">
        <v>3402</v>
      </c>
      <c r="H2923" t="s">
        <v>3401</v>
      </c>
      <c r="I2923">
        <v>5102</v>
      </c>
      <c r="J2923" s="3">
        <v>49.5</v>
      </c>
      <c r="K2923" s="3">
        <v>21.14</v>
      </c>
      <c r="L2923">
        <v>57.29</v>
      </c>
    </row>
    <row r="2924" spans="1:12">
      <c r="A2924" s="1">
        <v>46036</v>
      </c>
      <c r="B2924" t="s">
        <v>9678</v>
      </c>
      <c r="C2924">
        <v>15</v>
      </c>
      <c r="D2924" t="str">
        <f>VLOOKUP(Tabela26[[#This Row],[EMP]],[1]LOJA!$A:$B,2,0)</f>
        <v>UNAÍ</v>
      </c>
      <c r="E2924">
        <v>183</v>
      </c>
      <c r="F2924" t="s">
        <v>3485</v>
      </c>
      <c r="G2924" t="s">
        <v>3402</v>
      </c>
      <c r="H2924" t="s">
        <v>3401</v>
      </c>
      <c r="I2924">
        <v>5102</v>
      </c>
      <c r="J2924" s="3">
        <v>62</v>
      </c>
      <c r="K2924" s="3">
        <v>32.380000000000003</v>
      </c>
      <c r="L2924">
        <v>47.77</v>
      </c>
    </row>
    <row r="2925" spans="1:12">
      <c r="A2925" s="1">
        <v>46036</v>
      </c>
      <c r="B2925" t="s">
        <v>9677</v>
      </c>
      <c r="C2925">
        <v>15</v>
      </c>
      <c r="D2925" t="str">
        <f>VLOOKUP(Tabela26[[#This Row],[EMP]],[1]LOJA!$A:$B,2,0)</f>
        <v>UNAÍ</v>
      </c>
      <c r="E2925">
        <v>183</v>
      </c>
      <c r="F2925" t="s">
        <v>3485</v>
      </c>
      <c r="G2925" t="s">
        <v>3402</v>
      </c>
      <c r="H2925" t="s">
        <v>3401</v>
      </c>
      <c r="I2925">
        <v>5102</v>
      </c>
      <c r="J2925" s="3">
        <v>23</v>
      </c>
      <c r="K2925" s="3">
        <v>10.99</v>
      </c>
      <c r="L2925">
        <v>52.22</v>
      </c>
    </row>
    <row r="2926" spans="1:12">
      <c r="A2926" s="1">
        <v>46036</v>
      </c>
      <c r="B2926" t="s">
        <v>9676</v>
      </c>
      <c r="C2926">
        <v>15</v>
      </c>
      <c r="D2926" t="str">
        <f>VLOOKUP(Tabela26[[#This Row],[EMP]],[1]LOJA!$A:$B,2,0)</f>
        <v>UNAÍ</v>
      </c>
      <c r="E2926">
        <v>183</v>
      </c>
      <c r="F2926" t="s">
        <v>3485</v>
      </c>
      <c r="G2926" t="s">
        <v>3402</v>
      </c>
      <c r="H2926" t="s">
        <v>3401</v>
      </c>
      <c r="I2926">
        <v>5102</v>
      </c>
      <c r="J2926" s="3">
        <v>230.4</v>
      </c>
      <c r="K2926" s="3">
        <v>114.6</v>
      </c>
      <c r="L2926">
        <v>50.26</v>
      </c>
    </row>
    <row r="2927" spans="1:12">
      <c r="A2927" s="1">
        <v>46036</v>
      </c>
      <c r="B2927" t="s">
        <v>9675</v>
      </c>
      <c r="C2927">
        <v>15</v>
      </c>
      <c r="D2927" t="str">
        <f>VLOOKUP(Tabela26[[#This Row],[EMP]],[1]LOJA!$A:$B,2,0)</f>
        <v>UNAÍ</v>
      </c>
      <c r="E2927">
        <v>183</v>
      </c>
      <c r="F2927" t="s">
        <v>3485</v>
      </c>
      <c r="G2927" t="s">
        <v>3402</v>
      </c>
      <c r="H2927" t="s">
        <v>3401</v>
      </c>
      <c r="I2927">
        <v>5102</v>
      </c>
      <c r="J2927" s="3">
        <v>30.15</v>
      </c>
      <c r="K2927" s="3">
        <v>15.8</v>
      </c>
      <c r="L2927">
        <v>47.6</v>
      </c>
    </row>
    <row r="2928" spans="1:12">
      <c r="A2928" s="1">
        <v>46036</v>
      </c>
      <c r="B2928" t="s">
        <v>9674</v>
      </c>
      <c r="C2928">
        <v>15</v>
      </c>
      <c r="D2928" t="str">
        <f>VLOOKUP(Tabela26[[#This Row],[EMP]],[1]LOJA!$A:$B,2,0)</f>
        <v>UNAÍ</v>
      </c>
      <c r="E2928">
        <v>183</v>
      </c>
      <c r="F2928" t="s">
        <v>4720</v>
      </c>
      <c r="G2928" t="s">
        <v>4719</v>
      </c>
      <c r="H2928" t="s">
        <v>3401</v>
      </c>
      <c r="I2928">
        <v>5102</v>
      </c>
      <c r="J2928" s="3">
        <v>38</v>
      </c>
      <c r="K2928" s="3">
        <v>23.18</v>
      </c>
      <c r="L2928">
        <v>39</v>
      </c>
    </row>
    <row r="2929" spans="1:12">
      <c r="A2929" s="1">
        <v>46036</v>
      </c>
      <c r="B2929" t="s">
        <v>9673</v>
      </c>
      <c r="C2929">
        <v>15</v>
      </c>
      <c r="D2929" t="str">
        <f>VLOOKUP(Tabela26[[#This Row],[EMP]],[1]LOJA!$A:$B,2,0)</f>
        <v>UNAÍ</v>
      </c>
      <c r="E2929">
        <v>183</v>
      </c>
      <c r="F2929" t="s">
        <v>3485</v>
      </c>
      <c r="G2929" t="s">
        <v>3402</v>
      </c>
      <c r="H2929" t="s">
        <v>3401</v>
      </c>
      <c r="I2929">
        <v>5102</v>
      </c>
      <c r="J2929" s="3">
        <v>57.6</v>
      </c>
      <c r="K2929" s="3">
        <v>21.19</v>
      </c>
      <c r="L2929">
        <v>63.21</v>
      </c>
    </row>
    <row r="2930" spans="1:12">
      <c r="A2930" s="1">
        <v>46036</v>
      </c>
      <c r="B2930" t="s">
        <v>9672</v>
      </c>
      <c r="C2930">
        <v>15</v>
      </c>
      <c r="D2930" t="str">
        <f>VLOOKUP(Tabela26[[#This Row],[EMP]],[1]LOJA!$A:$B,2,0)</f>
        <v>UNAÍ</v>
      </c>
      <c r="E2930">
        <v>183</v>
      </c>
      <c r="F2930" t="s">
        <v>4708</v>
      </c>
      <c r="G2930" t="s">
        <v>4707</v>
      </c>
      <c r="H2930" t="s">
        <v>3520</v>
      </c>
      <c r="I2930">
        <v>5102</v>
      </c>
      <c r="J2930" s="3">
        <v>137</v>
      </c>
      <c r="K2930" s="3">
        <v>73.010000000000005</v>
      </c>
      <c r="L2930">
        <v>46.71</v>
      </c>
    </row>
    <row r="2931" spans="1:12">
      <c r="A2931" s="1">
        <v>46036</v>
      </c>
      <c r="B2931" t="s">
        <v>9671</v>
      </c>
      <c r="C2931">
        <v>15</v>
      </c>
      <c r="D2931" t="str">
        <f>VLOOKUP(Tabela26[[#This Row],[EMP]],[1]LOJA!$A:$B,2,0)</f>
        <v>UNAÍ</v>
      </c>
      <c r="E2931">
        <v>183</v>
      </c>
      <c r="F2931" t="s">
        <v>4689</v>
      </c>
      <c r="G2931" t="s">
        <v>4688</v>
      </c>
      <c r="H2931" t="s">
        <v>3430</v>
      </c>
      <c r="I2931">
        <v>5405</v>
      </c>
      <c r="J2931" s="3">
        <v>172.53</v>
      </c>
      <c r="K2931" s="3">
        <v>76.13</v>
      </c>
      <c r="L2931">
        <v>55.87</v>
      </c>
    </row>
    <row r="2932" spans="1:12">
      <c r="A2932" s="1">
        <v>46036</v>
      </c>
      <c r="B2932" t="s">
        <v>9670</v>
      </c>
      <c r="C2932">
        <v>15</v>
      </c>
      <c r="D2932" t="str">
        <f>VLOOKUP(Tabela26[[#This Row],[EMP]],[1]LOJA!$A:$B,2,0)</f>
        <v>UNAÍ</v>
      </c>
      <c r="E2932">
        <v>183</v>
      </c>
      <c r="F2932" t="s">
        <v>3497</v>
      </c>
      <c r="G2932" t="s">
        <v>3496</v>
      </c>
      <c r="H2932" t="s">
        <v>3408</v>
      </c>
      <c r="I2932">
        <v>5102</v>
      </c>
      <c r="J2932" s="3">
        <v>81</v>
      </c>
      <c r="K2932" s="3">
        <v>43.97</v>
      </c>
      <c r="L2932">
        <v>45.72</v>
      </c>
    </row>
    <row r="2933" spans="1:12">
      <c r="A2933" s="1">
        <v>46036</v>
      </c>
      <c r="B2933" t="s">
        <v>9669</v>
      </c>
      <c r="C2933">
        <v>15</v>
      </c>
      <c r="D2933" t="str">
        <f>VLOOKUP(Tabela26[[#This Row],[EMP]],[1]LOJA!$A:$B,2,0)</f>
        <v>UNAÍ</v>
      </c>
      <c r="E2933">
        <v>183</v>
      </c>
      <c r="F2933" t="s">
        <v>3485</v>
      </c>
      <c r="G2933" t="s">
        <v>3402</v>
      </c>
      <c r="H2933" t="s">
        <v>3401</v>
      </c>
      <c r="I2933">
        <v>5102</v>
      </c>
      <c r="J2933" s="3">
        <v>101</v>
      </c>
      <c r="K2933" s="3">
        <v>60.5</v>
      </c>
      <c r="L2933">
        <v>40.1</v>
      </c>
    </row>
    <row r="2934" spans="1:12">
      <c r="A2934" s="1">
        <v>46036</v>
      </c>
      <c r="B2934" t="s">
        <v>9668</v>
      </c>
      <c r="C2934">
        <v>15</v>
      </c>
      <c r="D2934" t="str">
        <f>VLOOKUP(Tabela26[[#This Row],[EMP]],[1]LOJA!$A:$B,2,0)</f>
        <v>UNAÍ</v>
      </c>
      <c r="E2934">
        <v>183</v>
      </c>
      <c r="F2934" t="s">
        <v>3485</v>
      </c>
      <c r="G2934" t="s">
        <v>3402</v>
      </c>
      <c r="H2934" t="s">
        <v>3401</v>
      </c>
      <c r="I2934">
        <v>5102</v>
      </c>
      <c r="J2934" s="3">
        <v>45.7</v>
      </c>
      <c r="K2934" s="3">
        <v>21.71</v>
      </c>
      <c r="L2934">
        <v>52.49</v>
      </c>
    </row>
    <row r="2935" spans="1:12">
      <c r="A2935" s="1">
        <v>46036</v>
      </c>
      <c r="B2935" t="s">
        <v>9667</v>
      </c>
      <c r="C2935">
        <v>15</v>
      </c>
      <c r="D2935" t="str">
        <f>VLOOKUP(Tabela26[[#This Row],[EMP]],[1]LOJA!$A:$B,2,0)</f>
        <v>UNAÍ</v>
      </c>
      <c r="E2935">
        <v>183</v>
      </c>
      <c r="F2935" t="s">
        <v>8218</v>
      </c>
      <c r="G2935" t="s">
        <v>3402</v>
      </c>
      <c r="H2935" t="s">
        <v>3408</v>
      </c>
      <c r="I2935">
        <v>5102</v>
      </c>
      <c r="J2935" s="3">
        <v>317</v>
      </c>
      <c r="K2935" s="3">
        <v>147.6</v>
      </c>
      <c r="L2935">
        <v>53.44</v>
      </c>
    </row>
    <row r="2936" spans="1:12">
      <c r="A2936" s="1">
        <v>46036</v>
      </c>
      <c r="B2936" t="s">
        <v>9666</v>
      </c>
      <c r="C2936">
        <v>15</v>
      </c>
      <c r="D2936" t="str">
        <f>VLOOKUP(Tabela26[[#This Row],[EMP]],[1]LOJA!$A:$B,2,0)</f>
        <v>UNAÍ</v>
      </c>
      <c r="E2936">
        <v>183</v>
      </c>
      <c r="F2936" t="s">
        <v>4681</v>
      </c>
      <c r="G2936" t="s">
        <v>4680</v>
      </c>
      <c r="H2936" t="s">
        <v>3397</v>
      </c>
      <c r="I2936">
        <v>5102</v>
      </c>
      <c r="J2936" s="3">
        <v>53.6</v>
      </c>
      <c r="K2936" s="3">
        <v>25.21</v>
      </c>
      <c r="L2936">
        <v>52.97</v>
      </c>
    </row>
    <row r="2937" spans="1:12">
      <c r="A2937" s="1">
        <v>46036</v>
      </c>
      <c r="B2937" t="s">
        <v>9665</v>
      </c>
      <c r="C2937">
        <v>15</v>
      </c>
      <c r="D2937" t="str">
        <f>VLOOKUP(Tabela26[[#This Row],[EMP]],[1]LOJA!$A:$B,2,0)</f>
        <v>UNAÍ</v>
      </c>
      <c r="E2937">
        <v>183</v>
      </c>
      <c r="F2937" t="s">
        <v>4016</v>
      </c>
      <c r="G2937" t="s">
        <v>4015</v>
      </c>
      <c r="H2937" t="s">
        <v>3408</v>
      </c>
      <c r="I2937">
        <v>5405</v>
      </c>
      <c r="J2937" s="3">
        <v>122.8</v>
      </c>
      <c r="K2937" s="3">
        <v>65.989999999999995</v>
      </c>
      <c r="L2937">
        <v>46.26</v>
      </c>
    </row>
    <row r="2938" spans="1:12">
      <c r="A2938" s="1">
        <v>46036</v>
      </c>
      <c r="B2938" t="s">
        <v>9664</v>
      </c>
      <c r="C2938">
        <v>15</v>
      </c>
      <c r="D2938" t="str">
        <f>VLOOKUP(Tabela26[[#This Row],[EMP]],[1]LOJA!$A:$B,2,0)</f>
        <v>UNAÍ</v>
      </c>
      <c r="E2938">
        <v>183</v>
      </c>
      <c r="F2938" t="s">
        <v>4019</v>
      </c>
      <c r="G2938" t="s">
        <v>4018</v>
      </c>
      <c r="H2938" t="s">
        <v>3397</v>
      </c>
      <c r="I2938">
        <v>5102</v>
      </c>
      <c r="J2938" s="3">
        <v>51.21</v>
      </c>
      <c r="K2938" s="3">
        <v>20.46</v>
      </c>
      <c r="L2938">
        <v>60.05</v>
      </c>
    </row>
    <row r="2939" spans="1:12">
      <c r="A2939" s="1">
        <v>46036</v>
      </c>
      <c r="B2939" t="s">
        <v>9663</v>
      </c>
      <c r="C2939">
        <v>15</v>
      </c>
      <c r="D2939" t="str">
        <f>VLOOKUP(Tabela26[[#This Row],[EMP]],[1]LOJA!$A:$B,2,0)</f>
        <v>UNAÍ</v>
      </c>
      <c r="E2939">
        <v>183</v>
      </c>
      <c r="F2939" t="s">
        <v>3488</v>
      </c>
      <c r="G2939" t="s">
        <v>3487</v>
      </c>
      <c r="H2939" t="s">
        <v>3430</v>
      </c>
      <c r="I2939">
        <v>5102</v>
      </c>
      <c r="J2939" s="3">
        <v>142.41</v>
      </c>
      <c r="K2939" s="3">
        <v>74.400000000000006</v>
      </c>
      <c r="L2939">
        <v>47.76</v>
      </c>
    </row>
    <row r="2940" spans="1:12">
      <c r="A2940" s="1">
        <v>46036</v>
      </c>
      <c r="B2940" t="s">
        <v>9662</v>
      </c>
      <c r="C2940">
        <v>15</v>
      </c>
      <c r="D2940" t="str">
        <f>VLOOKUP(Tabela26[[#This Row],[EMP]],[1]LOJA!$A:$B,2,0)</f>
        <v>UNAÍ</v>
      </c>
      <c r="E2940">
        <v>183</v>
      </c>
      <c r="F2940" t="s">
        <v>7795</v>
      </c>
      <c r="G2940" t="s">
        <v>3402</v>
      </c>
      <c r="H2940" t="s">
        <v>3408</v>
      </c>
      <c r="I2940">
        <v>5102</v>
      </c>
      <c r="J2940" s="3">
        <v>65.7</v>
      </c>
      <c r="K2940" s="3">
        <v>37.4</v>
      </c>
      <c r="L2940">
        <v>43.07</v>
      </c>
    </row>
    <row r="2941" spans="1:12">
      <c r="A2941" s="1">
        <v>46036</v>
      </c>
      <c r="B2941" t="s">
        <v>9661</v>
      </c>
      <c r="C2941">
        <v>15</v>
      </c>
      <c r="D2941" t="str">
        <f>VLOOKUP(Tabela26[[#This Row],[EMP]],[1]LOJA!$A:$B,2,0)</f>
        <v>UNAÍ</v>
      </c>
      <c r="E2941">
        <v>183</v>
      </c>
      <c r="F2941" t="s">
        <v>3485</v>
      </c>
      <c r="G2941" t="s">
        <v>3402</v>
      </c>
      <c r="H2941" t="s">
        <v>3401</v>
      </c>
      <c r="I2941">
        <v>5102</v>
      </c>
      <c r="J2941" s="3">
        <v>1389</v>
      </c>
      <c r="K2941" s="3">
        <v>701.28</v>
      </c>
      <c r="L2941">
        <v>49.51</v>
      </c>
    </row>
    <row r="2942" spans="1:12">
      <c r="A2942" s="1">
        <v>46036</v>
      </c>
      <c r="B2942" t="s">
        <v>9660</v>
      </c>
      <c r="C2942">
        <v>15</v>
      </c>
      <c r="D2942" t="str">
        <f>VLOOKUP(Tabela26[[#This Row],[EMP]],[1]LOJA!$A:$B,2,0)</f>
        <v>UNAÍ</v>
      </c>
      <c r="E2942">
        <v>183</v>
      </c>
      <c r="F2942" t="s">
        <v>4029</v>
      </c>
      <c r="G2942" t="s">
        <v>4028</v>
      </c>
      <c r="H2942" t="s">
        <v>3401</v>
      </c>
      <c r="I2942">
        <v>5102</v>
      </c>
      <c r="J2942" s="3">
        <v>436.3</v>
      </c>
      <c r="K2942" s="3">
        <v>217.63</v>
      </c>
      <c r="L2942">
        <v>50.12</v>
      </c>
    </row>
    <row r="2943" spans="1:12">
      <c r="A2943" s="1">
        <v>46036</v>
      </c>
      <c r="B2943" t="s">
        <v>9659</v>
      </c>
      <c r="C2943">
        <v>15</v>
      </c>
      <c r="D2943" t="str">
        <f>VLOOKUP(Tabela26[[#This Row],[EMP]],[1]LOJA!$A:$B,2,0)</f>
        <v>UNAÍ</v>
      </c>
      <c r="E2943">
        <v>183</v>
      </c>
      <c r="F2943" t="s">
        <v>3485</v>
      </c>
      <c r="G2943" t="s">
        <v>3402</v>
      </c>
      <c r="H2943" t="s">
        <v>3401</v>
      </c>
      <c r="I2943">
        <v>5102</v>
      </c>
      <c r="J2943" s="3">
        <v>80</v>
      </c>
      <c r="K2943" s="3">
        <v>47.38</v>
      </c>
      <c r="L2943">
        <v>40.78</v>
      </c>
    </row>
    <row r="2944" spans="1:12">
      <c r="A2944" s="1">
        <v>46036</v>
      </c>
      <c r="B2944" t="s">
        <v>9658</v>
      </c>
      <c r="C2944">
        <v>6</v>
      </c>
      <c r="D2944" t="str">
        <f>VLOOKUP(Tabela26[[#This Row],[EMP]],[1]LOJA!$A:$B,2,0)</f>
        <v>GAMA</v>
      </c>
      <c r="E2944">
        <v>245</v>
      </c>
      <c r="F2944" t="s">
        <v>8804</v>
      </c>
      <c r="G2944" t="s">
        <v>8803</v>
      </c>
      <c r="H2944" t="s">
        <v>3401</v>
      </c>
      <c r="I2944">
        <v>6108</v>
      </c>
      <c r="J2944" s="3">
        <v>34</v>
      </c>
      <c r="K2944" s="3">
        <v>21.78</v>
      </c>
      <c r="L2944">
        <v>35.94</v>
      </c>
    </row>
    <row r="2945" spans="1:12">
      <c r="A2945" s="1">
        <v>46036</v>
      </c>
      <c r="B2945" t="s">
        <v>9657</v>
      </c>
      <c r="C2945">
        <v>6</v>
      </c>
      <c r="D2945" t="str">
        <f>VLOOKUP(Tabela26[[#This Row],[EMP]],[1]LOJA!$A:$B,2,0)</f>
        <v>GAMA</v>
      </c>
      <c r="E2945">
        <v>245</v>
      </c>
      <c r="F2945" t="s">
        <v>3559</v>
      </c>
      <c r="G2945" t="s">
        <v>3558</v>
      </c>
      <c r="H2945" t="s">
        <v>3408</v>
      </c>
      <c r="I2945">
        <v>5405</v>
      </c>
      <c r="J2945" s="3">
        <v>214.9</v>
      </c>
      <c r="K2945" s="3">
        <v>119.84</v>
      </c>
      <c r="L2945">
        <v>44.23</v>
      </c>
    </row>
    <row r="2946" spans="1:12">
      <c r="A2946" s="1">
        <v>46036</v>
      </c>
      <c r="B2946" t="s">
        <v>9656</v>
      </c>
      <c r="C2946">
        <v>6</v>
      </c>
      <c r="D2946" t="str">
        <f>VLOOKUP(Tabela26[[#This Row],[EMP]],[1]LOJA!$A:$B,2,0)</f>
        <v>GAMA</v>
      </c>
      <c r="E2946">
        <v>226</v>
      </c>
      <c r="F2946" t="s">
        <v>7521</v>
      </c>
      <c r="G2946" t="s">
        <v>7520</v>
      </c>
      <c r="H2946" t="s">
        <v>3430</v>
      </c>
      <c r="I2946">
        <v>5405</v>
      </c>
      <c r="J2946" s="3">
        <v>196.24</v>
      </c>
      <c r="K2946" s="3">
        <v>98.68</v>
      </c>
      <c r="L2946">
        <v>49.71</v>
      </c>
    </row>
    <row r="2947" spans="1:12">
      <c r="A2947" s="1">
        <v>46036</v>
      </c>
      <c r="B2947" t="s">
        <v>9655</v>
      </c>
      <c r="C2947">
        <v>6</v>
      </c>
      <c r="D2947" t="str">
        <f>VLOOKUP(Tabela26[[#This Row],[EMP]],[1]LOJA!$A:$B,2,0)</f>
        <v>GAMA</v>
      </c>
      <c r="E2947">
        <v>226</v>
      </c>
      <c r="F2947" t="s">
        <v>6827</v>
      </c>
      <c r="G2947" t="s">
        <v>6826</v>
      </c>
      <c r="H2947" t="s">
        <v>3430</v>
      </c>
      <c r="I2947">
        <v>5405</v>
      </c>
      <c r="J2947" s="3">
        <v>58.41</v>
      </c>
      <c r="K2947" s="3">
        <v>28.8</v>
      </c>
      <c r="L2947">
        <v>50.69</v>
      </c>
    </row>
    <row r="2948" spans="1:12">
      <c r="A2948" s="1">
        <v>46036</v>
      </c>
      <c r="B2948" t="s">
        <v>9654</v>
      </c>
      <c r="C2948">
        <v>6</v>
      </c>
      <c r="D2948" t="str">
        <f>VLOOKUP(Tabela26[[#This Row],[EMP]],[1]LOJA!$A:$B,2,0)</f>
        <v>GAMA</v>
      </c>
      <c r="E2948">
        <v>245</v>
      </c>
      <c r="F2948" t="s">
        <v>4004</v>
      </c>
      <c r="G2948" t="s">
        <v>4003</v>
      </c>
      <c r="H2948" t="s">
        <v>3430</v>
      </c>
      <c r="I2948">
        <v>5405</v>
      </c>
      <c r="J2948" s="3">
        <v>561.09</v>
      </c>
      <c r="K2948" s="3">
        <v>264.04000000000002</v>
      </c>
      <c r="L2948">
        <v>52.94</v>
      </c>
    </row>
    <row r="2949" spans="1:12">
      <c r="A2949" s="1">
        <v>46036</v>
      </c>
      <c r="B2949" t="s">
        <v>9653</v>
      </c>
      <c r="C2949">
        <v>6</v>
      </c>
      <c r="D2949" t="str">
        <f>VLOOKUP(Tabela26[[#This Row],[EMP]],[1]LOJA!$A:$B,2,0)</f>
        <v>GAMA</v>
      </c>
      <c r="E2949">
        <v>245</v>
      </c>
      <c r="F2949" t="s">
        <v>4004</v>
      </c>
      <c r="G2949" t="s">
        <v>4003</v>
      </c>
      <c r="H2949" t="s">
        <v>3430</v>
      </c>
      <c r="I2949">
        <v>5405</v>
      </c>
      <c r="J2949" s="3">
        <v>471.63</v>
      </c>
      <c r="K2949" s="3">
        <v>221.95</v>
      </c>
      <c r="L2949">
        <v>52.94</v>
      </c>
    </row>
    <row r="2950" spans="1:12">
      <c r="A2950" s="1">
        <v>46036</v>
      </c>
      <c r="B2950" t="s">
        <v>9652</v>
      </c>
      <c r="C2950">
        <v>6</v>
      </c>
      <c r="D2950" t="str">
        <f>VLOOKUP(Tabela26[[#This Row],[EMP]],[1]LOJA!$A:$B,2,0)</f>
        <v>GAMA</v>
      </c>
      <c r="E2950">
        <v>245</v>
      </c>
      <c r="F2950" t="s">
        <v>8804</v>
      </c>
      <c r="G2950" t="s">
        <v>8803</v>
      </c>
      <c r="H2950" t="s">
        <v>3401</v>
      </c>
      <c r="I2950">
        <v>6108</v>
      </c>
      <c r="J2950" s="3">
        <v>74.900000000000006</v>
      </c>
      <c r="K2950" s="3">
        <v>47.38</v>
      </c>
      <c r="L2950">
        <v>36.74</v>
      </c>
    </row>
    <row r="2951" spans="1:12">
      <c r="A2951" s="1">
        <v>46036</v>
      </c>
      <c r="B2951" t="s">
        <v>9651</v>
      </c>
      <c r="C2951">
        <v>6</v>
      </c>
      <c r="D2951" t="str">
        <f>VLOOKUP(Tabela26[[#This Row],[EMP]],[1]LOJA!$A:$B,2,0)</f>
        <v>GAMA</v>
      </c>
      <c r="E2951">
        <v>245</v>
      </c>
      <c r="F2951" t="s">
        <v>4001</v>
      </c>
      <c r="G2951" t="s">
        <v>4000</v>
      </c>
      <c r="H2951" t="s">
        <v>3408</v>
      </c>
      <c r="I2951">
        <v>5405</v>
      </c>
      <c r="J2951" s="3">
        <v>5270</v>
      </c>
      <c r="K2951" s="3">
        <v>2571.36</v>
      </c>
      <c r="L2951">
        <v>51.21</v>
      </c>
    </row>
    <row r="2952" spans="1:12">
      <c r="A2952" s="1">
        <v>46036</v>
      </c>
      <c r="B2952" t="s">
        <v>9650</v>
      </c>
      <c r="C2952">
        <v>14</v>
      </c>
      <c r="D2952" t="str">
        <f>VLOOKUP(Tabela26[[#This Row],[EMP]],[1]LOJA!$A:$B,2,0)</f>
        <v>S IA</v>
      </c>
      <c r="E2952">
        <v>212</v>
      </c>
      <c r="F2952" t="s">
        <v>9649</v>
      </c>
      <c r="G2952" t="s">
        <v>3402</v>
      </c>
      <c r="H2952" t="s">
        <v>3401</v>
      </c>
      <c r="I2952">
        <v>5405</v>
      </c>
      <c r="J2952" s="3">
        <v>782</v>
      </c>
      <c r="K2952" s="3">
        <v>314.43</v>
      </c>
      <c r="L2952">
        <v>59.79</v>
      </c>
    </row>
    <row r="2953" spans="1:12">
      <c r="A2953" s="1">
        <v>46036</v>
      </c>
      <c r="B2953" t="s">
        <v>9648</v>
      </c>
      <c r="C2953">
        <v>14</v>
      </c>
      <c r="D2953" t="str">
        <f>VLOOKUP(Tabela26[[#This Row],[EMP]],[1]LOJA!$A:$B,2,0)</f>
        <v>S IA</v>
      </c>
      <c r="E2953">
        <v>54</v>
      </c>
      <c r="F2953" t="s">
        <v>9647</v>
      </c>
      <c r="G2953" t="s">
        <v>9646</v>
      </c>
      <c r="H2953" t="s">
        <v>3401</v>
      </c>
      <c r="I2953">
        <v>5102</v>
      </c>
      <c r="J2953" s="3">
        <v>56</v>
      </c>
      <c r="K2953" s="3">
        <v>28.31</v>
      </c>
      <c r="L2953">
        <v>49.45</v>
      </c>
    </row>
    <row r="2954" spans="1:12">
      <c r="A2954" s="1">
        <v>46036</v>
      </c>
      <c r="B2954" t="s">
        <v>9645</v>
      </c>
      <c r="C2954">
        <v>14</v>
      </c>
      <c r="D2954" t="str">
        <f>VLOOKUP(Tabela26[[#This Row],[EMP]],[1]LOJA!$A:$B,2,0)</f>
        <v>S IA</v>
      </c>
      <c r="E2954">
        <v>212</v>
      </c>
      <c r="F2954" t="s">
        <v>3403</v>
      </c>
      <c r="G2954" t="s">
        <v>3402</v>
      </c>
      <c r="H2954" t="s">
        <v>3401</v>
      </c>
      <c r="I2954">
        <v>5102</v>
      </c>
      <c r="J2954" s="3">
        <v>161</v>
      </c>
      <c r="K2954" s="3">
        <v>98.38</v>
      </c>
      <c r="L2954">
        <v>38.89</v>
      </c>
    </row>
    <row r="2955" spans="1:12">
      <c r="A2955" s="1">
        <v>46036</v>
      </c>
      <c r="B2955" t="s">
        <v>9644</v>
      </c>
      <c r="C2955">
        <v>14</v>
      </c>
      <c r="D2955" t="str">
        <f>VLOOKUP(Tabela26[[#This Row],[EMP]],[1]LOJA!$A:$B,2,0)</f>
        <v>S IA</v>
      </c>
      <c r="E2955">
        <v>212</v>
      </c>
      <c r="F2955" t="s">
        <v>3403</v>
      </c>
      <c r="G2955" t="s">
        <v>3402</v>
      </c>
      <c r="H2955" t="s">
        <v>3401</v>
      </c>
      <c r="I2955">
        <v>5102</v>
      </c>
      <c r="J2955" s="3">
        <v>33.9</v>
      </c>
      <c r="K2955" s="3">
        <v>14.64</v>
      </c>
      <c r="L2955">
        <v>56.81</v>
      </c>
    </row>
    <row r="2956" spans="1:12">
      <c r="A2956" s="1">
        <v>46036</v>
      </c>
      <c r="B2956" t="s">
        <v>9643</v>
      </c>
      <c r="C2956">
        <v>14</v>
      </c>
      <c r="D2956" t="str">
        <f>VLOOKUP(Tabela26[[#This Row],[EMP]],[1]LOJA!$A:$B,2,0)</f>
        <v>S IA</v>
      </c>
      <c r="E2956">
        <v>212</v>
      </c>
      <c r="F2956" t="s">
        <v>3403</v>
      </c>
      <c r="G2956" t="s">
        <v>3402</v>
      </c>
      <c r="H2956" t="s">
        <v>3401</v>
      </c>
      <c r="I2956">
        <v>5102</v>
      </c>
      <c r="J2956" s="3">
        <v>63</v>
      </c>
      <c r="K2956" s="3">
        <v>30.69</v>
      </c>
      <c r="L2956">
        <v>51.29</v>
      </c>
    </row>
    <row r="2957" spans="1:12">
      <c r="A2957" s="1">
        <v>46036</v>
      </c>
      <c r="B2957" t="s">
        <v>9642</v>
      </c>
      <c r="C2957">
        <v>14</v>
      </c>
      <c r="D2957" t="str">
        <f>VLOOKUP(Tabela26[[#This Row],[EMP]],[1]LOJA!$A:$B,2,0)</f>
        <v>S IA</v>
      </c>
      <c r="E2957">
        <v>54</v>
      </c>
      <c r="F2957" t="s">
        <v>4659</v>
      </c>
      <c r="G2957" t="s">
        <v>4658</v>
      </c>
      <c r="H2957" t="s">
        <v>3430</v>
      </c>
      <c r="I2957">
        <v>5405</v>
      </c>
      <c r="J2957" s="3">
        <v>2236.56</v>
      </c>
      <c r="K2957" s="3">
        <v>1289.23</v>
      </c>
      <c r="L2957">
        <v>42.36</v>
      </c>
    </row>
    <row r="2958" spans="1:12">
      <c r="A2958" s="1">
        <v>46036</v>
      </c>
      <c r="B2958" t="s">
        <v>9641</v>
      </c>
      <c r="C2958">
        <v>14</v>
      </c>
      <c r="D2958" t="str">
        <f>VLOOKUP(Tabela26[[#This Row],[EMP]],[1]LOJA!$A:$B,2,0)</f>
        <v>S IA</v>
      </c>
      <c r="E2958">
        <v>54</v>
      </c>
      <c r="F2958" t="s">
        <v>4659</v>
      </c>
      <c r="G2958" t="s">
        <v>4658</v>
      </c>
      <c r="H2958" t="s">
        <v>3430</v>
      </c>
      <c r="I2958">
        <v>5102</v>
      </c>
      <c r="J2958" s="3">
        <v>129.9</v>
      </c>
      <c r="K2958" s="3">
        <v>73.58</v>
      </c>
      <c r="L2958">
        <v>43.36</v>
      </c>
    </row>
    <row r="2959" spans="1:12">
      <c r="A2959" s="1">
        <v>46036</v>
      </c>
      <c r="B2959" t="s">
        <v>9640</v>
      </c>
      <c r="C2959">
        <v>14</v>
      </c>
      <c r="D2959" t="str">
        <f>VLOOKUP(Tabela26[[#This Row],[EMP]],[1]LOJA!$A:$B,2,0)</f>
        <v>S IA</v>
      </c>
      <c r="E2959">
        <v>212</v>
      </c>
      <c r="F2959" t="s">
        <v>3403</v>
      </c>
      <c r="G2959" t="s">
        <v>3402</v>
      </c>
      <c r="H2959" t="s">
        <v>3401</v>
      </c>
      <c r="I2959">
        <v>5102</v>
      </c>
      <c r="J2959" s="3">
        <v>48</v>
      </c>
      <c r="K2959" s="3">
        <v>20.74</v>
      </c>
      <c r="L2959">
        <v>56.79</v>
      </c>
    </row>
    <row r="2960" spans="1:12">
      <c r="A2960" s="1">
        <v>46036</v>
      </c>
      <c r="B2960" t="s">
        <v>9639</v>
      </c>
      <c r="C2960">
        <v>14</v>
      </c>
      <c r="D2960" t="str">
        <f>VLOOKUP(Tabela26[[#This Row],[EMP]],[1]LOJA!$A:$B,2,0)</f>
        <v>S IA</v>
      </c>
      <c r="E2960">
        <v>212</v>
      </c>
      <c r="F2960" t="s">
        <v>3403</v>
      </c>
      <c r="G2960" t="s">
        <v>3402</v>
      </c>
      <c r="H2960" t="s">
        <v>3401</v>
      </c>
      <c r="I2960">
        <v>5405</v>
      </c>
      <c r="J2960" s="3">
        <v>35</v>
      </c>
      <c r="K2960" s="3">
        <v>17.22</v>
      </c>
      <c r="L2960">
        <v>50.8</v>
      </c>
    </row>
    <row r="2961" spans="1:12">
      <c r="A2961" s="1">
        <v>46036</v>
      </c>
      <c r="B2961" t="s">
        <v>9638</v>
      </c>
      <c r="C2961">
        <v>14</v>
      </c>
      <c r="D2961" t="str">
        <f>VLOOKUP(Tabela26[[#This Row],[EMP]],[1]LOJA!$A:$B,2,0)</f>
        <v>S IA</v>
      </c>
      <c r="E2961">
        <v>54</v>
      </c>
      <c r="F2961" t="s">
        <v>5251</v>
      </c>
      <c r="G2961" t="s">
        <v>5250</v>
      </c>
      <c r="H2961" t="s">
        <v>3401</v>
      </c>
      <c r="I2961">
        <v>5102</v>
      </c>
      <c r="J2961" s="3">
        <v>8</v>
      </c>
      <c r="K2961" s="3">
        <v>3.91</v>
      </c>
      <c r="L2961">
        <v>51.13</v>
      </c>
    </row>
    <row r="2962" spans="1:12">
      <c r="A2962" s="1">
        <v>46036</v>
      </c>
      <c r="B2962" t="s">
        <v>9637</v>
      </c>
      <c r="C2962">
        <v>14</v>
      </c>
      <c r="D2962" t="str">
        <f>VLOOKUP(Tabela26[[#This Row],[EMP]],[1]LOJA!$A:$B,2,0)</f>
        <v>S IA</v>
      </c>
      <c r="E2962">
        <v>54</v>
      </c>
      <c r="F2962" t="s">
        <v>3769</v>
      </c>
      <c r="G2962" t="s">
        <v>3768</v>
      </c>
      <c r="H2962" t="s">
        <v>3401</v>
      </c>
      <c r="I2962">
        <v>5102</v>
      </c>
      <c r="J2962" s="3">
        <v>38</v>
      </c>
      <c r="K2962" s="3">
        <v>18</v>
      </c>
      <c r="L2962">
        <v>52.63</v>
      </c>
    </row>
    <row r="2963" spans="1:12">
      <c r="A2963" s="1">
        <v>46036</v>
      </c>
      <c r="B2963" t="s">
        <v>9636</v>
      </c>
      <c r="C2963">
        <v>14</v>
      </c>
      <c r="D2963" t="str">
        <f>VLOOKUP(Tabela26[[#This Row],[EMP]],[1]LOJA!$A:$B,2,0)</f>
        <v>S IA</v>
      </c>
      <c r="E2963">
        <v>212</v>
      </c>
      <c r="F2963" t="s">
        <v>5589</v>
      </c>
      <c r="G2963" t="s">
        <v>3402</v>
      </c>
      <c r="H2963" t="s">
        <v>3408</v>
      </c>
      <c r="I2963">
        <v>5102</v>
      </c>
      <c r="J2963" s="3">
        <v>399</v>
      </c>
      <c r="K2963" s="3">
        <v>228.84</v>
      </c>
      <c r="L2963">
        <v>42.65</v>
      </c>
    </row>
    <row r="2964" spans="1:12">
      <c r="A2964" s="1">
        <v>46036</v>
      </c>
      <c r="B2964" t="s">
        <v>9635</v>
      </c>
      <c r="C2964">
        <v>14</v>
      </c>
      <c r="D2964" t="str">
        <f>VLOOKUP(Tabela26[[#This Row],[EMP]],[1]LOJA!$A:$B,2,0)</f>
        <v>S IA</v>
      </c>
      <c r="E2964">
        <v>212</v>
      </c>
      <c r="F2964" t="s">
        <v>9634</v>
      </c>
      <c r="G2964" t="s">
        <v>9633</v>
      </c>
      <c r="H2964" t="s">
        <v>3401</v>
      </c>
      <c r="I2964">
        <v>5102</v>
      </c>
      <c r="J2964" s="3">
        <v>324</v>
      </c>
      <c r="K2964" s="3">
        <v>159.91999999999999</v>
      </c>
      <c r="L2964">
        <v>50.64</v>
      </c>
    </row>
    <row r="2965" spans="1:12">
      <c r="A2965" s="1">
        <v>46036</v>
      </c>
      <c r="B2965" t="s">
        <v>9632</v>
      </c>
      <c r="C2965">
        <v>15</v>
      </c>
      <c r="D2965" t="str">
        <f>VLOOKUP(Tabela26[[#This Row],[EMP]],[1]LOJA!$A:$B,2,0)</f>
        <v>UNAÍ</v>
      </c>
      <c r="E2965">
        <v>183</v>
      </c>
      <c r="F2965" t="s">
        <v>5234</v>
      </c>
      <c r="G2965" t="s">
        <v>5233</v>
      </c>
      <c r="H2965" t="s">
        <v>3408</v>
      </c>
      <c r="I2965">
        <v>5102</v>
      </c>
      <c r="J2965" s="3">
        <v>37.700000000000003</v>
      </c>
      <c r="K2965" s="3">
        <v>23.18</v>
      </c>
      <c r="L2965">
        <v>38.51</v>
      </c>
    </row>
    <row r="2966" spans="1:12">
      <c r="A2966" s="1">
        <v>46036</v>
      </c>
      <c r="B2966" t="s">
        <v>9631</v>
      </c>
      <c r="C2966">
        <v>15</v>
      </c>
      <c r="D2966" t="str">
        <f>VLOOKUP(Tabela26[[#This Row],[EMP]],[1]LOJA!$A:$B,2,0)</f>
        <v>UNAÍ</v>
      </c>
      <c r="E2966">
        <v>183</v>
      </c>
      <c r="F2966" t="s">
        <v>4701</v>
      </c>
      <c r="G2966" t="s">
        <v>4700</v>
      </c>
      <c r="H2966" t="s">
        <v>3401</v>
      </c>
      <c r="I2966">
        <v>5102</v>
      </c>
      <c r="J2966" s="3">
        <v>46.7</v>
      </c>
      <c r="K2966" s="3">
        <v>30.73</v>
      </c>
      <c r="L2966">
        <v>34.200000000000003</v>
      </c>
    </row>
    <row r="2967" spans="1:12">
      <c r="A2967" s="1">
        <v>46036</v>
      </c>
      <c r="B2967" t="s">
        <v>9630</v>
      </c>
      <c r="C2967">
        <v>15</v>
      </c>
      <c r="D2967" t="str">
        <f>VLOOKUP(Tabela26[[#This Row],[EMP]],[1]LOJA!$A:$B,2,0)</f>
        <v>UNAÍ</v>
      </c>
      <c r="E2967">
        <v>183</v>
      </c>
      <c r="F2967" t="s">
        <v>9629</v>
      </c>
      <c r="G2967" t="s">
        <v>9628</v>
      </c>
      <c r="H2967" t="s">
        <v>3401</v>
      </c>
      <c r="I2967">
        <v>5102</v>
      </c>
      <c r="J2967" s="3">
        <v>50</v>
      </c>
      <c r="K2967" s="3">
        <v>29.14</v>
      </c>
      <c r="L2967">
        <v>41.72</v>
      </c>
    </row>
    <row r="2968" spans="1:12">
      <c r="A2968" s="1">
        <v>46036</v>
      </c>
      <c r="B2968" t="s">
        <v>9627</v>
      </c>
      <c r="C2968">
        <v>15</v>
      </c>
      <c r="D2968" t="str">
        <f>VLOOKUP(Tabela26[[#This Row],[EMP]],[1]LOJA!$A:$B,2,0)</f>
        <v>UNAÍ</v>
      </c>
      <c r="E2968">
        <v>183</v>
      </c>
      <c r="F2968" t="s">
        <v>5296</v>
      </c>
      <c r="G2968" t="s">
        <v>5295</v>
      </c>
      <c r="H2968" t="s">
        <v>3401</v>
      </c>
      <c r="I2968">
        <v>5102</v>
      </c>
      <c r="J2968" s="3">
        <v>64</v>
      </c>
      <c r="K2968" s="3">
        <v>31.61</v>
      </c>
      <c r="L2968">
        <v>50.61</v>
      </c>
    </row>
    <row r="2969" spans="1:12">
      <c r="A2969" s="1">
        <v>46036</v>
      </c>
      <c r="B2969" t="s">
        <v>9626</v>
      </c>
      <c r="C2969">
        <v>15</v>
      </c>
      <c r="D2969" t="str">
        <f>VLOOKUP(Tabela26[[#This Row],[EMP]],[1]LOJA!$A:$B,2,0)</f>
        <v>UNAÍ</v>
      </c>
      <c r="E2969">
        <v>183</v>
      </c>
      <c r="F2969" t="s">
        <v>4655</v>
      </c>
      <c r="G2969" t="s">
        <v>4654</v>
      </c>
      <c r="H2969" t="s">
        <v>3401</v>
      </c>
      <c r="I2969">
        <v>5102</v>
      </c>
      <c r="J2969" s="3">
        <v>80</v>
      </c>
      <c r="K2969" s="3">
        <v>39.9</v>
      </c>
      <c r="L2969">
        <v>50.13</v>
      </c>
    </row>
    <row r="2970" spans="1:12">
      <c r="A2970" s="1">
        <v>46036</v>
      </c>
      <c r="B2970" t="s">
        <v>9625</v>
      </c>
      <c r="C2970">
        <v>15</v>
      </c>
      <c r="D2970" t="str">
        <f>VLOOKUP(Tabela26[[#This Row],[EMP]],[1]LOJA!$A:$B,2,0)</f>
        <v>UNAÍ</v>
      </c>
      <c r="E2970">
        <v>183</v>
      </c>
      <c r="F2970" t="s">
        <v>7345</v>
      </c>
      <c r="G2970" t="s">
        <v>7344</v>
      </c>
      <c r="H2970" t="s">
        <v>3401</v>
      </c>
      <c r="I2970">
        <v>5102</v>
      </c>
      <c r="J2970" s="3">
        <v>109</v>
      </c>
      <c r="K2970" s="3">
        <v>49.62</v>
      </c>
      <c r="L2970">
        <v>54.48</v>
      </c>
    </row>
    <row r="2971" spans="1:12">
      <c r="A2971" s="1">
        <v>46036</v>
      </c>
      <c r="B2971" t="s">
        <v>9624</v>
      </c>
      <c r="C2971">
        <v>15</v>
      </c>
      <c r="D2971" t="str">
        <f>VLOOKUP(Tabela26[[#This Row],[EMP]],[1]LOJA!$A:$B,2,0)</f>
        <v>UNAÍ</v>
      </c>
      <c r="E2971">
        <v>183</v>
      </c>
      <c r="F2971" t="s">
        <v>5296</v>
      </c>
      <c r="G2971" t="s">
        <v>5295</v>
      </c>
      <c r="H2971" t="s">
        <v>3401</v>
      </c>
      <c r="I2971">
        <v>5102</v>
      </c>
      <c r="J2971" s="3">
        <v>54</v>
      </c>
      <c r="K2971" s="3">
        <v>26.28</v>
      </c>
      <c r="L2971">
        <v>51.33</v>
      </c>
    </row>
    <row r="2972" spans="1:12">
      <c r="A2972" s="1">
        <v>46036</v>
      </c>
      <c r="B2972" t="s">
        <v>9623</v>
      </c>
      <c r="C2972">
        <v>15</v>
      </c>
      <c r="D2972" t="str">
        <f>VLOOKUP(Tabela26[[#This Row],[EMP]],[1]LOJA!$A:$B,2,0)</f>
        <v>UNAÍ</v>
      </c>
      <c r="E2972">
        <v>183</v>
      </c>
      <c r="F2972" t="s">
        <v>5290</v>
      </c>
      <c r="G2972" t="s">
        <v>5289</v>
      </c>
      <c r="H2972" t="s">
        <v>3401</v>
      </c>
      <c r="I2972">
        <v>5102</v>
      </c>
      <c r="J2972" s="3">
        <v>123.65</v>
      </c>
      <c r="K2972" s="3">
        <v>62.74</v>
      </c>
      <c r="L2972">
        <v>49.26</v>
      </c>
    </row>
    <row r="2973" spans="1:12">
      <c r="A2973" s="1">
        <v>46036</v>
      </c>
      <c r="B2973" t="s">
        <v>9622</v>
      </c>
      <c r="C2973">
        <v>15</v>
      </c>
      <c r="D2973" t="str">
        <f>VLOOKUP(Tabela26[[#This Row],[EMP]],[1]LOJA!$A:$B,2,0)</f>
        <v>UNAÍ</v>
      </c>
      <c r="E2973">
        <v>183</v>
      </c>
      <c r="F2973" t="s">
        <v>4074</v>
      </c>
      <c r="G2973" t="s">
        <v>4073</v>
      </c>
      <c r="H2973" t="s">
        <v>3401</v>
      </c>
      <c r="I2973">
        <v>5102</v>
      </c>
      <c r="J2973" s="3">
        <v>228</v>
      </c>
      <c r="K2973" s="3">
        <v>103.75</v>
      </c>
      <c r="L2973">
        <v>54.5</v>
      </c>
    </row>
    <row r="2974" spans="1:12">
      <c r="A2974" s="1">
        <v>46036</v>
      </c>
      <c r="B2974" t="s">
        <v>9621</v>
      </c>
      <c r="C2974">
        <v>15</v>
      </c>
      <c r="D2974" t="str">
        <f>VLOOKUP(Tabela26[[#This Row],[EMP]],[1]LOJA!$A:$B,2,0)</f>
        <v>UNAÍ</v>
      </c>
      <c r="E2974">
        <v>183</v>
      </c>
      <c r="F2974" t="s">
        <v>5244</v>
      </c>
      <c r="G2974" t="s">
        <v>5243</v>
      </c>
      <c r="H2974" t="s">
        <v>3401</v>
      </c>
      <c r="I2974">
        <v>5102</v>
      </c>
      <c r="J2974" s="3">
        <v>18</v>
      </c>
      <c r="K2974" s="3">
        <v>10.46</v>
      </c>
      <c r="L2974">
        <v>41.89</v>
      </c>
    </row>
    <row r="2975" spans="1:12">
      <c r="A2975" s="1">
        <v>46036</v>
      </c>
      <c r="B2975" t="s">
        <v>9620</v>
      </c>
      <c r="C2975">
        <v>12</v>
      </c>
      <c r="D2975" t="str">
        <f>VLOOKUP(Tabela26[[#This Row],[EMP]],[1]LOJA!$A:$B,2,0)</f>
        <v>SOFNORTE</v>
      </c>
      <c r="E2975">
        <v>60</v>
      </c>
      <c r="F2975" t="s">
        <v>3461</v>
      </c>
      <c r="G2975" t="s">
        <v>3460</v>
      </c>
      <c r="H2975" t="s">
        <v>3430</v>
      </c>
      <c r="I2975">
        <v>5405</v>
      </c>
      <c r="J2975" s="3">
        <v>82.66</v>
      </c>
      <c r="K2975" s="3">
        <v>40.64</v>
      </c>
      <c r="L2975">
        <v>50.83</v>
      </c>
    </row>
    <row r="2976" spans="1:12">
      <c r="A2976" s="1">
        <v>46036</v>
      </c>
      <c r="B2976" t="s">
        <v>9619</v>
      </c>
      <c r="C2976">
        <v>12</v>
      </c>
      <c r="D2976" t="str">
        <f>VLOOKUP(Tabela26[[#This Row],[EMP]],[1]LOJA!$A:$B,2,0)</f>
        <v>SOFNORTE</v>
      </c>
      <c r="E2976">
        <v>60</v>
      </c>
      <c r="F2976" t="s">
        <v>3948</v>
      </c>
      <c r="G2976" t="s">
        <v>3947</v>
      </c>
      <c r="H2976" t="s">
        <v>3430</v>
      </c>
      <c r="I2976">
        <v>5405</v>
      </c>
      <c r="J2976" s="3">
        <v>56.61</v>
      </c>
      <c r="K2976" s="3">
        <v>27.86</v>
      </c>
      <c r="L2976">
        <v>50.79</v>
      </c>
    </row>
    <row r="2977" spans="1:12">
      <c r="A2977" s="1">
        <v>46036</v>
      </c>
      <c r="B2977" t="s">
        <v>9618</v>
      </c>
      <c r="C2977">
        <v>12</v>
      </c>
      <c r="D2977" t="str">
        <f>VLOOKUP(Tabela26[[#This Row],[EMP]],[1]LOJA!$A:$B,2,0)</f>
        <v>SOFNORTE</v>
      </c>
      <c r="E2977">
        <v>60</v>
      </c>
      <c r="F2977" t="s">
        <v>3928</v>
      </c>
      <c r="G2977" t="s">
        <v>3927</v>
      </c>
      <c r="H2977" t="s">
        <v>3430</v>
      </c>
      <c r="I2977">
        <v>5405</v>
      </c>
      <c r="J2977" s="3">
        <v>70.91</v>
      </c>
      <c r="K2977" s="3">
        <v>32.869999999999997</v>
      </c>
      <c r="L2977">
        <v>53.65</v>
      </c>
    </row>
    <row r="2978" spans="1:12">
      <c r="A2978" s="1">
        <v>46036</v>
      </c>
      <c r="B2978" t="s">
        <v>9617</v>
      </c>
      <c r="C2978">
        <v>12</v>
      </c>
      <c r="D2978" t="str">
        <f>VLOOKUP(Tabela26[[#This Row],[EMP]],[1]LOJA!$A:$B,2,0)</f>
        <v>SOFNORTE</v>
      </c>
      <c r="E2978">
        <v>60</v>
      </c>
      <c r="F2978" t="s">
        <v>4817</v>
      </c>
      <c r="G2978" t="s">
        <v>4816</v>
      </c>
      <c r="H2978" t="s">
        <v>3430</v>
      </c>
      <c r="I2978">
        <v>5102</v>
      </c>
      <c r="J2978" s="3">
        <v>472.77</v>
      </c>
      <c r="K2978" s="3">
        <v>224.4</v>
      </c>
      <c r="L2978">
        <v>52.54</v>
      </c>
    </row>
    <row r="2979" spans="1:12">
      <c r="A2979" s="1">
        <v>46036</v>
      </c>
      <c r="B2979" t="s">
        <v>9616</v>
      </c>
      <c r="C2979">
        <v>12</v>
      </c>
      <c r="D2979" t="str">
        <f>VLOOKUP(Tabela26[[#This Row],[EMP]],[1]LOJA!$A:$B,2,0)</f>
        <v>SOFNORTE</v>
      </c>
      <c r="E2979">
        <v>60</v>
      </c>
      <c r="F2979" t="s">
        <v>3925</v>
      </c>
      <c r="G2979" t="s">
        <v>3924</v>
      </c>
      <c r="H2979" t="s">
        <v>3430</v>
      </c>
      <c r="I2979">
        <v>5405</v>
      </c>
      <c r="J2979" s="3">
        <v>175</v>
      </c>
      <c r="K2979" s="3">
        <v>84.24</v>
      </c>
      <c r="L2979">
        <v>51.86</v>
      </c>
    </row>
    <row r="2980" spans="1:12">
      <c r="A2980" s="1">
        <v>46036</v>
      </c>
      <c r="B2980" t="s">
        <v>9615</v>
      </c>
      <c r="C2980">
        <v>12</v>
      </c>
      <c r="D2980" t="str">
        <f>VLOOKUP(Tabela26[[#This Row],[EMP]],[1]LOJA!$A:$B,2,0)</f>
        <v>SOFNORTE</v>
      </c>
      <c r="E2980">
        <v>60</v>
      </c>
      <c r="F2980" t="s">
        <v>7303</v>
      </c>
      <c r="G2980" t="s">
        <v>7302</v>
      </c>
      <c r="H2980" t="s">
        <v>3430</v>
      </c>
      <c r="I2980">
        <v>5405</v>
      </c>
      <c r="J2980" s="3">
        <v>131</v>
      </c>
      <c r="K2980" s="3">
        <v>61.78</v>
      </c>
      <c r="L2980">
        <v>52.84</v>
      </c>
    </row>
    <row r="2981" spans="1:12">
      <c r="A2981" s="1">
        <v>46036</v>
      </c>
      <c r="B2981" t="s">
        <v>9614</v>
      </c>
      <c r="C2981">
        <v>12</v>
      </c>
      <c r="D2981" t="str">
        <f>VLOOKUP(Tabela26[[#This Row],[EMP]],[1]LOJA!$A:$B,2,0)</f>
        <v>SOFNORTE</v>
      </c>
      <c r="E2981">
        <v>60</v>
      </c>
      <c r="F2981" t="s">
        <v>3931</v>
      </c>
      <c r="G2981" t="s">
        <v>3930</v>
      </c>
      <c r="H2981" t="s">
        <v>9607</v>
      </c>
      <c r="I2981">
        <v>5405</v>
      </c>
      <c r="J2981" s="3">
        <v>469</v>
      </c>
      <c r="K2981" s="3">
        <v>217.35</v>
      </c>
      <c r="L2981">
        <v>53.66</v>
      </c>
    </row>
    <row r="2982" spans="1:12">
      <c r="A2982" s="1">
        <v>46036</v>
      </c>
      <c r="B2982" t="s">
        <v>9613</v>
      </c>
      <c r="C2982">
        <v>12</v>
      </c>
      <c r="D2982" t="str">
        <f>VLOOKUP(Tabela26[[#This Row],[EMP]],[1]LOJA!$A:$B,2,0)</f>
        <v>SOFNORTE</v>
      </c>
      <c r="E2982">
        <v>60</v>
      </c>
      <c r="F2982" t="s">
        <v>5223</v>
      </c>
      <c r="G2982" t="s">
        <v>5222</v>
      </c>
      <c r="H2982" t="s">
        <v>3430</v>
      </c>
      <c r="I2982">
        <v>5405</v>
      </c>
      <c r="J2982" s="3">
        <v>182.09</v>
      </c>
      <c r="K2982" s="3">
        <v>83.39</v>
      </c>
      <c r="L2982">
        <v>54.2</v>
      </c>
    </row>
    <row r="2983" spans="1:12">
      <c r="A2983" s="1">
        <v>46036</v>
      </c>
      <c r="B2983" t="s">
        <v>9612</v>
      </c>
      <c r="C2983">
        <v>12</v>
      </c>
      <c r="D2983" t="str">
        <f>VLOOKUP(Tabela26[[#This Row],[EMP]],[1]LOJA!$A:$B,2,0)</f>
        <v>SOFNORTE</v>
      </c>
      <c r="E2983">
        <v>60</v>
      </c>
      <c r="F2983" t="s">
        <v>3461</v>
      </c>
      <c r="G2983" t="s">
        <v>3460</v>
      </c>
      <c r="H2983" t="s">
        <v>3430</v>
      </c>
      <c r="I2983">
        <v>5405</v>
      </c>
      <c r="J2983" s="3">
        <v>77.650000000000006</v>
      </c>
      <c r="K2983" s="3">
        <v>37.71</v>
      </c>
      <c r="L2983">
        <v>51.44</v>
      </c>
    </row>
    <row r="2984" spans="1:12">
      <c r="A2984" s="1">
        <v>46036</v>
      </c>
      <c r="B2984" t="s">
        <v>9611</v>
      </c>
      <c r="C2984">
        <v>12</v>
      </c>
      <c r="D2984" t="str">
        <f>VLOOKUP(Tabela26[[#This Row],[EMP]],[1]LOJA!$A:$B,2,0)</f>
        <v>SOFNORTE</v>
      </c>
      <c r="E2984">
        <v>60</v>
      </c>
      <c r="F2984" t="s">
        <v>3948</v>
      </c>
      <c r="G2984" t="s">
        <v>3947</v>
      </c>
      <c r="H2984" t="s">
        <v>3430</v>
      </c>
      <c r="I2984">
        <v>5405</v>
      </c>
      <c r="J2984" s="3">
        <v>197.54</v>
      </c>
      <c r="K2984" s="3">
        <v>96.15</v>
      </c>
      <c r="L2984">
        <v>51.33</v>
      </c>
    </row>
    <row r="2985" spans="1:12">
      <c r="A2985" s="1">
        <v>46036</v>
      </c>
      <c r="B2985" t="s">
        <v>9610</v>
      </c>
      <c r="C2985">
        <v>12</v>
      </c>
      <c r="D2985" t="str">
        <f>VLOOKUP(Tabela26[[#This Row],[EMP]],[1]LOJA!$A:$B,2,0)</f>
        <v>SOFNORTE</v>
      </c>
      <c r="E2985">
        <v>60</v>
      </c>
      <c r="F2985" t="s">
        <v>3461</v>
      </c>
      <c r="G2985" t="s">
        <v>3460</v>
      </c>
      <c r="H2985" t="s">
        <v>3430</v>
      </c>
      <c r="I2985">
        <v>5405</v>
      </c>
      <c r="J2985" s="3">
        <v>72.709999999999994</v>
      </c>
      <c r="K2985" s="3">
        <v>32.31</v>
      </c>
      <c r="L2985">
        <v>55.56</v>
      </c>
    </row>
    <row r="2986" spans="1:12">
      <c r="A2986" s="1">
        <v>46036</v>
      </c>
      <c r="B2986" t="s">
        <v>9609</v>
      </c>
      <c r="C2986">
        <v>12</v>
      </c>
      <c r="D2986" t="str">
        <f>VLOOKUP(Tabela26[[#This Row],[EMP]],[1]LOJA!$A:$B,2,0)</f>
        <v>SOFNORTE</v>
      </c>
      <c r="E2986">
        <v>60</v>
      </c>
      <c r="F2986" t="s">
        <v>3948</v>
      </c>
      <c r="G2986" t="s">
        <v>3947</v>
      </c>
      <c r="H2986" t="s">
        <v>3430</v>
      </c>
      <c r="I2986">
        <v>5405</v>
      </c>
      <c r="J2986" s="3">
        <v>124.98</v>
      </c>
      <c r="K2986" s="3">
        <v>62.57</v>
      </c>
      <c r="L2986">
        <v>49.94</v>
      </c>
    </row>
    <row r="2987" spans="1:12">
      <c r="A2987" s="1">
        <v>46036</v>
      </c>
      <c r="B2987" t="s">
        <v>9608</v>
      </c>
      <c r="C2987">
        <v>12</v>
      </c>
      <c r="D2987" t="str">
        <f>VLOOKUP(Tabela26[[#This Row],[EMP]],[1]LOJA!$A:$B,2,0)</f>
        <v>SOFNORTE</v>
      </c>
      <c r="E2987">
        <v>60</v>
      </c>
      <c r="F2987" t="s">
        <v>3931</v>
      </c>
      <c r="G2987" t="s">
        <v>3930</v>
      </c>
      <c r="H2987" t="s">
        <v>9607</v>
      </c>
      <c r="I2987">
        <v>5405</v>
      </c>
      <c r="J2987" s="3">
        <v>275</v>
      </c>
      <c r="K2987" s="3">
        <v>129.88999999999999</v>
      </c>
      <c r="L2987">
        <v>52.77</v>
      </c>
    </row>
    <row r="2988" spans="1:12">
      <c r="A2988" s="1">
        <v>46036</v>
      </c>
      <c r="B2988" t="s">
        <v>9606</v>
      </c>
      <c r="C2988">
        <v>12</v>
      </c>
      <c r="D2988" t="str">
        <f>VLOOKUP(Tabela26[[#This Row],[EMP]],[1]LOJA!$A:$B,2,0)</f>
        <v>SOFNORTE</v>
      </c>
      <c r="E2988">
        <v>60</v>
      </c>
      <c r="F2988" t="s">
        <v>3461</v>
      </c>
      <c r="G2988" t="s">
        <v>3460</v>
      </c>
      <c r="H2988" t="s">
        <v>3430</v>
      </c>
      <c r="I2988">
        <v>5102</v>
      </c>
      <c r="J2988" s="3">
        <v>84.06</v>
      </c>
      <c r="K2988" s="3">
        <v>39.72</v>
      </c>
      <c r="L2988">
        <v>52.75</v>
      </c>
    </row>
    <row r="2989" spans="1:12">
      <c r="A2989" s="1">
        <v>46036</v>
      </c>
      <c r="B2989" t="s">
        <v>9605</v>
      </c>
      <c r="C2989">
        <v>12</v>
      </c>
      <c r="D2989" t="str">
        <f>VLOOKUP(Tabela26[[#This Row],[EMP]],[1]LOJA!$A:$B,2,0)</f>
        <v>SOFNORTE</v>
      </c>
      <c r="E2989">
        <v>60</v>
      </c>
      <c r="F2989" t="s">
        <v>3925</v>
      </c>
      <c r="G2989" t="s">
        <v>3924</v>
      </c>
      <c r="H2989" t="s">
        <v>3430</v>
      </c>
      <c r="I2989">
        <v>5405</v>
      </c>
      <c r="J2989" s="3">
        <v>715</v>
      </c>
      <c r="K2989" s="3">
        <v>346.83</v>
      </c>
      <c r="L2989">
        <v>51.49</v>
      </c>
    </row>
    <row r="2990" spans="1:12">
      <c r="A2990" s="1">
        <v>46036</v>
      </c>
      <c r="B2990" t="s">
        <v>9604</v>
      </c>
      <c r="C2990">
        <v>12</v>
      </c>
      <c r="D2990" t="str">
        <f>VLOOKUP(Tabela26[[#This Row],[EMP]],[1]LOJA!$A:$B,2,0)</f>
        <v>SOFNORTE</v>
      </c>
      <c r="E2990">
        <v>60</v>
      </c>
      <c r="F2990" t="s">
        <v>5057</v>
      </c>
      <c r="G2990" t="s">
        <v>5056</v>
      </c>
      <c r="H2990" t="s">
        <v>3430</v>
      </c>
      <c r="I2990">
        <v>5405</v>
      </c>
      <c r="J2990" s="3">
        <v>171</v>
      </c>
      <c r="K2990" s="3">
        <v>81.209999999999994</v>
      </c>
      <c r="L2990">
        <v>52.51</v>
      </c>
    </row>
    <row r="2991" spans="1:12">
      <c r="A2991" s="1">
        <v>46036</v>
      </c>
      <c r="B2991" t="s">
        <v>9603</v>
      </c>
      <c r="C2991">
        <v>12</v>
      </c>
      <c r="D2991" t="str">
        <f>VLOOKUP(Tabela26[[#This Row],[EMP]],[1]LOJA!$A:$B,2,0)</f>
        <v>SOFNORTE</v>
      </c>
      <c r="E2991">
        <v>60</v>
      </c>
      <c r="F2991" t="s">
        <v>5057</v>
      </c>
      <c r="G2991" t="s">
        <v>5056</v>
      </c>
      <c r="H2991" t="s">
        <v>3430</v>
      </c>
      <c r="I2991">
        <v>5405</v>
      </c>
      <c r="J2991" s="3">
        <v>132</v>
      </c>
      <c r="K2991" s="3">
        <v>61.1</v>
      </c>
      <c r="L2991">
        <v>53.71</v>
      </c>
    </row>
    <row r="2992" spans="1:12">
      <c r="A2992" s="1">
        <v>46036</v>
      </c>
      <c r="B2992" t="s">
        <v>9602</v>
      </c>
      <c r="C2992">
        <v>12</v>
      </c>
      <c r="D2992" t="str">
        <f>VLOOKUP(Tabela26[[#This Row],[EMP]],[1]LOJA!$A:$B,2,0)</f>
        <v>SOFNORTE</v>
      </c>
      <c r="E2992">
        <v>60</v>
      </c>
      <c r="F2992" t="s">
        <v>5057</v>
      </c>
      <c r="G2992" t="s">
        <v>5056</v>
      </c>
      <c r="H2992" t="s">
        <v>3430</v>
      </c>
      <c r="I2992">
        <v>5405</v>
      </c>
      <c r="J2992" s="3">
        <v>110</v>
      </c>
      <c r="K2992" s="3">
        <v>46.99</v>
      </c>
      <c r="L2992">
        <v>57.28</v>
      </c>
    </row>
    <row r="2993" spans="1:12">
      <c r="A2993" s="1">
        <v>46036</v>
      </c>
      <c r="B2993" t="s">
        <v>9601</v>
      </c>
      <c r="C2993">
        <v>12</v>
      </c>
      <c r="D2993" t="str">
        <f>VLOOKUP(Tabela26[[#This Row],[EMP]],[1]LOJA!$A:$B,2,0)</f>
        <v>SOFNORTE</v>
      </c>
      <c r="E2993">
        <v>60</v>
      </c>
      <c r="F2993" t="s">
        <v>3925</v>
      </c>
      <c r="G2993" t="s">
        <v>3924</v>
      </c>
      <c r="H2993" t="s">
        <v>3430</v>
      </c>
      <c r="I2993">
        <v>5405</v>
      </c>
      <c r="J2993" s="3">
        <v>44</v>
      </c>
      <c r="K2993" s="3">
        <v>20.61</v>
      </c>
      <c r="L2993">
        <v>53.16</v>
      </c>
    </row>
    <row r="2994" spans="1:12">
      <c r="A2994" s="1">
        <v>46036</v>
      </c>
      <c r="B2994" t="s">
        <v>9600</v>
      </c>
      <c r="C2994">
        <v>12</v>
      </c>
      <c r="D2994" t="str">
        <f>VLOOKUP(Tabela26[[#This Row],[EMP]],[1]LOJA!$A:$B,2,0)</f>
        <v>SOFNORTE</v>
      </c>
      <c r="E2994">
        <v>60</v>
      </c>
      <c r="F2994" t="s">
        <v>3948</v>
      </c>
      <c r="G2994" t="s">
        <v>3947</v>
      </c>
      <c r="H2994" t="s">
        <v>3430</v>
      </c>
      <c r="I2994">
        <v>5405</v>
      </c>
      <c r="J2994" s="3">
        <v>56.61</v>
      </c>
      <c r="K2994" s="3">
        <v>27.24</v>
      </c>
      <c r="L2994">
        <v>51.88</v>
      </c>
    </row>
    <row r="2995" spans="1:12">
      <c r="A2995" s="1">
        <v>46036</v>
      </c>
      <c r="B2995" t="s">
        <v>9599</v>
      </c>
      <c r="C2995">
        <v>12</v>
      </c>
      <c r="D2995" t="str">
        <f>VLOOKUP(Tabela26[[#This Row],[EMP]],[1]LOJA!$A:$B,2,0)</f>
        <v>SOFNORTE</v>
      </c>
      <c r="E2995">
        <v>239</v>
      </c>
      <c r="F2995" t="s">
        <v>6537</v>
      </c>
      <c r="G2995" t="s">
        <v>6536</v>
      </c>
      <c r="H2995" t="s">
        <v>3430</v>
      </c>
      <c r="I2995">
        <v>5405</v>
      </c>
      <c r="J2995" s="3">
        <v>100</v>
      </c>
      <c r="K2995" s="3">
        <v>57.26</v>
      </c>
      <c r="L2995">
        <v>42.74</v>
      </c>
    </row>
    <row r="2996" spans="1:12">
      <c r="A2996" s="1">
        <v>46036</v>
      </c>
      <c r="B2996" t="s">
        <v>9598</v>
      </c>
      <c r="C2996">
        <v>22</v>
      </c>
      <c r="D2996" t="str">
        <f>VLOOKUP(Tabela26[[#This Row],[EMP]],[1]LOJA!$A:$B,2,0)</f>
        <v>GUARÁ</v>
      </c>
      <c r="E2996">
        <v>93</v>
      </c>
      <c r="F2996" t="s">
        <v>3403</v>
      </c>
      <c r="G2996" t="s">
        <v>3402</v>
      </c>
      <c r="H2996" t="s">
        <v>3401</v>
      </c>
      <c r="I2996">
        <v>5405</v>
      </c>
      <c r="J2996" s="3">
        <v>132</v>
      </c>
      <c r="K2996" s="3">
        <v>67.03</v>
      </c>
      <c r="L2996">
        <v>49.22</v>
      </c>
    </row>
    <row r="2997" spans="1:12">
      <c r="A2997" s="1">
        <v>46036</v>
      </c>
      <c r="B2997" t="s">
        <v>9597</v>
      </c>
      <c r="C2997">
        <v>22</v>
      </c>
      <c r="D2997" t="str">
        <f>VLOOKUP(Tabela26[[#This Row],[EMP]],[1]LOJA!$A:$B,2,0)</f>
        <v>GUARÁ</v>
      </c>
      <c r="E2997">
        <v>238</v>
      </c>
      <c r="F2997" t="s">
        <v>3403</v>
      </c>
      <c r="G2997" t="s">
        <v>3402</v>
      </c>
      <c r="H2997" t="s">
        <v>3401</v>
      </c>
      <c r="I2997">
        <v>5102</v>
      </c>
      <c r="J2997" s="3">
        <v>21</v>
      </c>
      <c r="K2997" s="3">
        <v>10.7</v>
      </c>
      <c r="L2997">
        <v>49.05</v>
      </c>
    </row>
    <row r="2998" spans="1:12">
      <c r="A2998" s="1">
        <v>46036</v>
      </c>
      <c r="B2998" t="s">
        <v>9596</v>
      </c>
      <c r="C2998">
        <v>22</v>
      </c>
      <c r="D2998" t="str">
        <f>VLOOKUP(Tabela26[[#This Row],[EMP]],[1]LOJA!$A:$B,2,0)</f>
        <v>GUARÁ</v>
      </c>
      <c r="E2998">
        <v>93</v>
      </c>
      <c r="F2998" t="s">
        <v>3403</v>
      </c>
      <c r="G2998" t="s">
        <v>3402</v>
      </c>
      <c r="H2998" t="s">
        <v>3401</v>
      </c>
      <c r="I2998">
        <v>5102</v>
      </c>
      <c r="J2998" s="3">
        <v>18</v>
      </c>
      <c r="K2998" s="3">
        <v>9.26</v>
      </c>
      <c r="L2998">
        <v>48.56</v>
      </c>
    </row>
    <row r="2999" spans="1:12">
      <c r="A2999" s="1">
        <v>46036</v>
      </c>
      <c r="B2999" t="s">
        <v>9595</v>
      </c>
      <c r="C2999">
        <v>22</v>
      </c>
      <c r="D2999" t="str">
        <f>VLOOKUP(Tabela26[[#This Row],[EMP]],[1]LOJA!$A:$B,2,0)</f>
        <v>GUARÁ</v>
      </c>
      <c r="E2999">
        <v>93</v>
      </c>
      <c r="F2999" t="s">
        <v>4597</v>
      </c>
      <c r="G2999" t="s">
        <v>4596</v>
      </c>
      <c r="H2999" t="s">
        <v>3401</v>
      </c>
      <c r="I2999">
        <v>5102</v>
      </c>
      <c r="J2999" s="3">
        <v>33</v>
      </c>
      <c r="K2999" s="3">
        <v>19.2</v>
      </c>
      <c r="L2999">
        <v>41.82</v>
      </c>
    </row>
    <row r="3000" spans="1:12">
      <c r="A3000" s="1">
        <v>46036</v>
      </c>
      <c r="B3000" t="s">
        <v>9594</v>
      </c>
      <c r="C3000">
        <v>22</v>
      </c>
      <c r="D3000" t="str">
        <f>VLOOKUP(Tabela26[[#This Row],[EMP]],[1]LOJA!$A:$B,2,0)</f>
        <v>GUARÁ</v>
      </c>
      <c r="E3000">
        <v>93</v>
      </c>
      <c r="F3000" t="s">
        <v>3899</v>
      </c>
      <c r="G3000" t="s">
        <v>3898</v>
      </c>
      <c r="H3000" t="s">
        <v>3520</v>
      </c>
      <c r="I3000">
        <v>5405</v>
      </c>
      <c r="J3000" s="3">
        <v>213.7</v>
      </c>
      <c r="K3000" s="3">
        <v>112.28</v>
      </c>
      <c r="L3000">
        <v>47.46</v>
      </c>
    </row>
    <row r="3001" spans="1:12">
      <c r="A3001" s="1">
        <v>46036</v>
      </c>
      <c r="B3001" t="s">
        <v>9593</v>
      </c>
      <c r="C3001">
        <v>22</v>
      </c>
      <c r="D3001" t="str">
        <f>VLOOKUP(Tabela26[[#This Row],[EMP]],[1]LOJA!$A:$B,2,0)</f>
        <v>GUARÁ</v>
      </c>
      <c r="E3001">
        <v>93</v>
      </c>
      <c r="F3001" t="s">
        <v>3899</v>
      </c>
      <c r="G3001" t="s">
        <v>3898</v>
      </c>
      <c r="H3001" t="s">
        <v>3520</v>
      </c>
      <c r="I3001">
        <v>5102</v>
      </c>
      <c r="J3001" s="3">
        <v>27.7</v>
      </c>
      <c r="K3001" s="3">
        <v>15.4</v>
      </c>
      <c r="L3001">
        <v>44.4</v>
      </c>
    </row>
    <row r="3002" spans="1:12">
      <c r="A3002" s="1">
        <v>46036</v>
      </c>
      <c r="B3002" t="s">
        <v>9592</v>
      </c>
      <c r="C3002">
        <v>22</v>
      </c>
      <c r="D3002" t="str">
        <f>VLOOKUP(Tabela26[[#This Row],[EMP]],[1]LOJA!$A:$B,2,0)</f>
        <v>GUARÁ</v>
      </c>
      <c r="E3002">
        <v>93</v>
      </c>
      <c r="F3002" t="s">
        <v>8709</v>
      </c>
      <c r="G3002" t="s">
        <v>3402</v>
      </c>
      <c r="H3002" t="s">
        <v>3401</v>
      </c>
      <c r="I3002">
        <v>5102</v>
      </c>
      <c r="J3002" s="3">
        <v>108</v>
      </c>
      <c r="K3002" s="3">
        <v>60.73</v>
      </c>
      <c r="L3002">
        <v>43.77</v>
      </c>
    </row>
    <row r="3003" spans="1:12">
      <c r="A3003" s="1">
        <v>46036</v>
      </c>
      <c r="B3003" t="s">
        <v>9591</v>
      </c>
      <c r="C3003">
        <v>22</v>
      </c>
      <c r="D3003" t="str">
        <f>VLOOKUP(Tabela26[[#This Row],[EMP]],[1]LOJA!$A:$B,2,0)</f>
        <v>GUARÁ</v>
      </c>
      <c r="E3003">
        <v>238</v>
      </c>
      <c r="F3003" t="s">
        <v>3403</v>
      </c>
      <c r="G3003" t="s">
        <v>3402</v>
      </c>
      <c r="H3003" t="s">
        <v>3401</v>
      </c>
      <c r="I3003">
        <v>5405</v>
      </c>
      <c r="J3003" s="3">
        <v>27</v>
      </c>
      <c r="K3003" s="3">
        <v>12.21</v>
      </c>
      <c r="L3003">
        <v>54.78</v>
      </c>
    </row>
    <row r="3004" spans="1:12">
      <c r="A3004" s="1">
        <v>46036</v>
      </c>
      <c r="B3004" t="s">
        <v>9590</v>
      </c>
      <c r="C3004">
        <v>22</v>
      </c>
      <c r="D3004" t="str">
        <f>VLOOKUP(Tabela26[[#This Row],[EMP]],[1]LOJA!$A:$B,2,0)</f>
        <v>GUARÁ</v>
      </c>
      <c r="E3004">
        <v>238</v>
      </c>
      <c r="F3004" t="s">
        <v>3403</v>
      </c>
      <c r="G3004" t="s">
        <v>3402</v>
      </c>
      <c r="H3004" t="s">
        <v>3401</v>
      </c>
      <c r="I3004">
        <v>5102</v>
      </c>
      <c r="J3004" s="3">
        <v>7</v>
      </c>
      <c r="K3004" s="3">
        <v>3.91</v>
      </c>
      <c r="L3004">
        <v>44.14</v>
      </c>
    </row>
    <row r="3005" spans="1:12">
      <c r="A3005" s="1">
        <v>46036</v>
      </c>
      <c r="B3005" t="s">
        <v>9589</v>
      </c>
      <c r="C3005">
        <v>22</v>
      </c>
      <c r="D3005" t="str">
        <f>VLOOKUP(Tabela26[[#This Row],[EMP]],[1]LOJA!$A:$B,2,0)</f>
        <v>GUARÁ</v>
      </c>
      <c r="E3005">
        <v>93</v>
      </c>
      <c r="F3005" t="s">
        <v>9588</v>
      </c>
      <c r="G3005" t="s">
        <v>3402</v>
      </c>
      <c r="H3005" t="s">
        <v>3401</v>
      </c>
      <c r="I3005">
        <v>5405</v>
      </c>
      <c r="J3005" s="3">
        <v>48</v>
      </c>
      <c r="K3005" s="3">
        <v>17.39</v>
      </c>
      <c r="L3005">
        <v>63.77</v>
      </c>
    </row>
    <row r="3006" spans="1:12">
      <c r="A3006" s="1">
        <v>46036</v>
      </c>
      <c r="B3006" t="s">
        <v>9587</v>
      </c>
      <c r="C3006">
        <v>22</v>
      </c>
      <c r="D3006" t="str">
        <f>VLOOKUP(Tabela26[[#This Row],[EMP]],[1]LOJA!$A:$B,2,0)</f>
        <v>GUARÁ</v>
      </c>
      <c r="E3006">
        <v>238</v>
      </c>
      <c r="F3006" t="s">
        <v>3403</v>
      </c>
      <c r="G3006" t="s">
        <v>3402</v>
      </c>
      <c r="H3006" t="s">
        <v>3401</v>
      </c>
      <c r="I3006">
        <v>5102</v>
      </c>
      <c r="J3006" s="3">
        <v>6</v>
      </c>
      <c r="K3006" s="3">
        <v>3.08</v>
      </c>
      <c r="L3006">
        <v>48.67</v>
      </c>
    </row>
    <row r="3007" spans="1:12">
      <c r="A3007" s="1">
        <v>46036</v>
      </c>
      <c r="B3007" t="s">
        <v>9586</v>
      </c>
      <c r="C3007">
        <v>22</v>
      </c>
      <c r="D3007" t="str">
        <f>VLOOKUP(Tabela26[[#This Row],[EMP]],[1]LOJA!$A:$B,2,0)</f>
        <v>GUARÁ</v>
      </c>
      <c r="E3007">
        <v>93</v>
      </c>
      <c r="F3007" t="s">
        <v>3403</v>
      </c>
      <c r="G3007" t="s">
        <v>3402</v>
      </c>
      <c r="H3007" t="s">
        <v>3401</v>
      </c>
      <c r="I3007">
        <v>5102</v>
      </c>
      <c r="J3007" s="3">
        <v>39</v>
      </c>
      <c r="K3007" s="3">
        <v>17.05</v>
      </c>
      <c r="L3007">
        <v>56.28</v>
      </c>
    </row>
    <row r="3008" spans="1:12">
      <c r="A3008" s="1">
        <v>46036</v>
      </c>
      <c r="B3008" t="s">
        <v>9585</v>
      </c>
      <c r="C3008">
        <v>22</v>
      </c>
      <c r="D3008" t="str">
        <f>VLOOKUP(Tabela26[[#This Row],[EMP]],[1]LOJA!$A:$B,2,0)</f>
        <v>GUARÁ</v>
      </c>
      <c r="E3008">
        <v>93</v>
      </c>
      <c r="F3008" t="s">
        <v>3403</v>
      </c>
      <c r="G3008" t="s">
        <v>3402</v>
      </c>
      <c r="H3008" t="s">
        <v>3401</v>
      </c>
      <c r="I3008">
        <v>5102</v>
      </c>
      <c r="J3008" s="3">
        <v>12</v>
      </c>
      <c r="K3008" s="3">
        <v>6.72</v>
      </c>
      <c r="L3008">
        <v>44</v>
      </c>
    </row>
    <row r="3009" spans="1:12">
      <c r="A3009" s="1">
        <v>46036</v>
      </c>
      <c r="B3009" t="s">
        <v>9584</v>
      </c>
      <c r="C3009">
        <v>22</v>
      </c>
      <c r="D3009" t="str">
        <f>VLOOKUP(Tabela26[[#This Row],[EMP]],[1]LOJA!$A:$B,2,0)</f>
        <v>GUARÁ</v>
      </c>
      <c r="E3009">
        <v>93</v>
      </c>
      <c r="F3009" t="s">
        <v>3403</v>
      </c>
      <c r="G3009" t="s">
        <v>3402</v>
      </c>
      <c r="H3009" t="s">
        <v>3401</v>
      </c>
      <c r="I3009">
        <v>5102</v>
      </c>
      <c r="J3009" s="3">
        <v>34</v>
      </c>
      <c r="K3009" s="3">
        <v>18.600000000000001</v>
      </c>
      <c r="L3009">
        <v>45.29</v>
      </c>
    </row>
    <row r="3010" spans="1:12">
      <c r="A3010" s="1">
        <v>46036</v>
      </c>
      <c r="B3010" t="s">
        <v>9583</v>
      </c>
      <c r="C3010">
        <v>22</v>
      </c>
      <c r="D3010" t="str">
        <f>VLOOKUP(Tabela26[[#This Row],[EMP]],[1]LOJA!$A:$B,2,0)</f>
        <v>GUARÁ</v>
      </c>
      <c r="E3010">
        <v>93</v>
      </c>
      <c r="F3010" t="s">
        <v>9582</v>
      </c>
      <c r="G3010" t="s">
        <v>9581</v>
      </c>
      <c r="H3010" t="s">
        <v>3401</v>
      </c>
      <c r="I3010">
        <v>5405</v>
      </c>
      <c r="J3010" s="3">
        <v>820</v>
      </c>
      <c r="K3010" s="3">
        <v>455.65</v>
      </c>
      <c r="L3010">
        <v>44.43</v>
      </c>
    </row>
    <row r="3011" spans="1:12">
      <c r="A3011" s="1">
        <v>46036</v>
      </c>
      <c r="B3011" t="s">
        <v>9580</v>
      </c>
      <c r="C3011">
        <v>22</v>
      </c>
      <c r="D3011" t="str">
        <f>VLOOKUP(Tabela26[[#This Row],[EMP]],[1]LOJA!$A:$B,2,0)</f>
        <v>GUARÁ</v>
      </c>
      <c r="E3011">
        <v>93</v>
      </c>
      <c r="F3011" t="s">
        <v>3889</v>
      </c>
      <c r="G3011" t="s">
        <v>3888</v>
      </c>
      <c r="H3011" t="s">
        <v>3397</v>
      </c>
      <c r="I3011">
        <v>5405</v>
      </c>
      <c r="J3011" s="3">
        <v>410</v>
      </c>
      <c r="K3011" s="3">
        <v>217.5</v>
      </c>
      <c r="L3011">
        <v>46.95</v>
      </c>
    </row>
    <row r="3012" spans="1:12">
      <c r="A3012" s="1">
        <v>46036</v>
      </c>
      <c r="B3012" t="s">
        <v>9579</v>
      </c>
      <c r="C3012">
        <v>22</v>
      </c>
      <c r="D3012" t="str">
        <f>VLOOKUP(Tabela26[[#This Row],[EMP]],[1]LOJA!$A:$B,2,0)</f>
        <v>GUARÁ</v>
      </c>
      <c r="E3012">
        <v>93</v>
      </c>
      <c r="F3012" t="s">
        <v>3899</v>
      </c>
      <c r="G3012" t="s">
        <v>3898</v>
      </c>
      <c r="H3012" t="s">
        <v>3520</v>
      </c>
      <c r="I3012">
        <v>5405</v>
      </c>
      <c r="J3012" s="3">
        <v>117.06</v>
      </c>
      <c r="K3012" s="3">
        <v>59.9</v>
      </c>
      <c r="L3012">
        <v>48.83</v>
      </c>
    </row>
    <row r="3013" spans="1:12">
      <c r="A3013" s="1">
        <v>46036</v>
      </c>
      <c r="B3013" t="s">
        <v>9578</v>
      </c>
      <c r="C3013">
        <v>22</v>
      </c>
      <c r="D3013" t="str">
        <f>VLOOKUP(Tabela26[[#This Row],[EMP]],[1]LOJA!$A:$B,2,0)</f>
        <v>GUARÁ</v>
      </c>
      <c r="E3013">
        <v>93</v>
      </c>
      <c r="F3013" t="s">
        <v>3866</v>
      </c>
      <c r="G3013" t="s">
        <v>3865</v>
      </c>
      <c r="H3013" t="s">
        <v>3401</v>
      </c>
      <c r="I3013">
        <v>5102</v>
      </c>
      <c r="J3013" s="3">
        <v>113</v>
      </c>
      <c r="K3013" s="3">
        <v>62.84</v>
      </c>
      <c r="L3013">
        <v>44.39</v>
      </c>
    </row>
    <row r="3014" spans="1:12">
      <c r="A3014" s="1">
        <v>46036</v>
      </c>
      <c r="B3014" t="s">
        <v>9577</v>
      </c>
      <c r="C3014">
        <v>22</v>
      </c>
      <c r="D3014" t="str">
        <f>VLOOKUP(Tabela26[[#This Row],[EMP]],[1]LOJA!$A:$B,2,0)</f>
        <v>GUARÁ</v>
      </c>
      <c r="E3014">
        <v>93</v>
      </c>
      <c r="F3014" t="s">
        <v>3449</v>
      </c>
      <c r="G3014" t="s">
        <v>3448</v>
      </c>
      <c r="H3014" t="s">
        <v>3401</v>
      </c>
      <c r="I3014">
        <v>5405</v>
      </c>
      <c r="J3014" s="3">
        <v>225</v>
      </c>
      <c r="K3014" s="3">
        <v>109.83</v>
      </c>
      <c r="L3014">
        <v>51.19</v>
      </c>
    </row>
    <row r="3015" spans="1:12">
      <c r="A3015" s="1">
        <v>46036</v>
      </c>
      <c r="B3015" t="s">
        <v>9576</v>
      </c>
      <c r="C3015">
        <v>22</v>
      </c>
      <c r="D3015" t="str">
        <f>VLOOKUP(Tabela26[[#This Row],[EMP]],[1]LOJA!$A:$B,2,0)</f>
        <v>GUARÁ</v>
      </c>
      <c r="E3015">
        <v>93</v>
      </c>
      <c r="F3015" t="s">
        <v>3899</v>
      </c>
      <c r="G3015" t="s">
        <v>3898</v>
      </c>
      <c r="H3015" t="s">
        <v>3520</v>
      </c>
      <c r="I3015">
        <v>5102</v>
      </c>
      <c r="J3015" s="3">
        <v>15.22</v>
      </c>
      <c r="K3015" s="3">
        <v>4.91</v>
      </c>
      <c r="L3015">
        <v>67.739999999999995</v>
      </c>
    </row>
    <row r="3016" spans="1:12">
      <c r="A3016" s="1">
        <v>46036</v>
      </c>
      <c r="B3016" t="s">
        <v>9575</v>
      </c>
      <c r="C3016">
        <v>22</v>
      </c>
      <c r="D3016" t="str">
        <f>VLOOKUP(Tabela26[[#This Row],[EMP]],[1]LOJA!$A:$B,2,0)</f>
        <v>GUARÁ</v>
      </c>
      <c r="E3016">
        <v>93</v>
      </c>
      <c r="F3016" t="s">
        <v>3403</v>
      </c>
      <c r="G3016" t="s">
        <v>3402</v>
      </c>
      <c r="H3016" t="s">
        <v>3408</v>
      </c>
      <c r="I3016">
        <v>5405</v>
      </c>
      <c r="J3016" s="3">
        <v>72</v>
      </c>
      <c r="K3016" s="3">
        <v>36.08</v>
      </c>
      <c r="L3016">
        <v>49.89</v>
      </c>
    </row>
    <row r="3017" spans="1:12">
      <c r="A3017" s="1">
        <v>46036</v>
      </c>
      <c r="B3017" t="s">
        <v>9574</v>
      </c>
      <c r="C3017">
        <v>22</v>
      </c>
      <c r="D3017" t="str">
        <f>VLOOKUP(Tabela26[[#This Row],[EMP]],[1]LOJA!$A:$B,2,0)</f>
        <v>GUARÁ</v>
      </c>
      <c r="E3017">
        <v>93</v>
      </c>
      <c r="F3017" t="s">
        <v>9573</v>
      </c>
      <c r="G3017" t="s">
        <v>9572</v>
      </c>
      <c r="H3017" t="s">
        <v>3408</v>
      </c>
      <c r="I3017">
        <v>5405</v>
      </c>
      <c r="J3017" s="3">
        <v>66</v>
      </c>
      <c r="K3017" s="3">
        <v>33.090000000000003</v>
      </c>
      <c r="L3017">
        <v>49.86</v>
      </c>
    </row>
    <row r="3018" spans="1:12">
      <c r="A3018" s="1">
        <v>46036</v>
      </c>
      <c r="B3018" t="s">
        <v>9571</v>
      </c>
      <c r="C3018">
        <v>22</v>
      </c>
      <c r="D3018" t="str">
        <f>VLOOKUP(Tabela26[[#This Row],[EMP]],[1]LOJA!$A:$B,2,0)</f>
        <v>GUARÁ</v>
      </c>
      <c r="E3018">
        <v>93</v>
      </c>
      <c r="F3018" t="s">
        <v>3452</v>
      </c>
      <c r="G3018" t="s">
        <v>3451</v>
      </c>
      <c r="H3018" t="s">
        <v>3408</v>
      </c>
      <c r="I3018">
        <v>5405</v>
      </c>
      <c r="J3018" s="3">
        <v>97</v>
      </c>
      <c r="K3018" s="3">
        <v>47.76</v>
      </c>
      <c r="L3018">
        <v>50.76</v>
      </c>
    </row>
    <row r="3019" spans="1:12">
      <c r="A3019" s="1">
        <v>46036</v>
      </c>
      <c r="B3019" t="s">
        <v>9570</v>
      </c>
      <c r="C3019">
        <v>22</v>
      </c>
      <c r="D3019" t="str">
        <f>VLOOKUP(Tabela26[[#This Row],[EMP]],[1]LOJA!$A:$B,2,0)</f>
        <v>GUARÁ</v>
      </c>
      <c r="E3019">
        <v>93</v>
      </c>
      <c r="F3019" t="s">
        <v>3913</v>
      </c>
      <c r="G3019" t="s">
        <v>3912</v>
      </c>
      <c r="H3019" t="s">
        <v>3408</v>
      </c>
      <c r="I3019">
        <v>5102</v>
      </c>
      <c r="J3019" s="3">
        <v>86.64</v>
      </c>
      <c r="K3019" s="3">
        <v>44.02</v>
      </c>
      <c r="L3019">
        <v>49.19</v>
      </c>
    </row>
    <row r="3020" spans="1:12">
      <c r="A3020" s="1">
        <v>46036</v>
      </c>
      <c r="B3020" t="s">
        <v>9569</v>
      </c>
      <c r="C3020">
        <v>22</v>
      </c>
      <c r="D3020" t="str">
        <f>VLOOKUP(Tabela26[[#This Row],[EMP]],[1]LOJA!$A:$B,2,0)</f>
        <v>GUARÁ</v>
      </c>
      <c r="E3020">
        <v>93</v>
      </c>
      <c r="F3020" t="s">
        <v>3983</v>
      </c>
      <c r="G3020" t="s">
        <v>3982</v>
      </c>
      <c r="H3020" t="s">
        <v>3401</v>
      </c>
      <c r="I3020">
        <v>5405</v>
      </c>
      <c r="J3020" s="3">
        <v>145</v>
      </c>
      <c r="K3020" s="3">
        <v>76.33</v>
      </c>
      <c r="L3020">
        <v>47.36</v>
      </c>
    </row>
    <row r="3021" spans="1:12">
      <c r="A3021" s="1">
        <v>46036</v>
      </c>
      <c r="B3021" t="s">
        <v>9568</v>
      </c>
      <c r="C3021">
        <v>22</v>
      </c>
      <c r="D3021" t="str">
        <f>VLOOKUP(Tabela26[[#This Row],[EMP]],[1]LOJA!$A:$B,2,0)</f>
        <v>GUARÁ</v>
      </c>
      <c r="E3021">
        <v>93</v>
      </c>
      <c r="F3021" t="s">
        <v>3403</v>
      </c>
      <c r="G3021" t="s">
        <v>3402</v>
      </c>
      <c r="H3021" t="s">
        <v>3401</v>
      </c>
      <c r="I3021">
        <v>5102</v>
      </c>
      <c r="J3021" s="3">
        <v>14.5</v>
      </c>
      <c r="K3021" s="3">
        <v>8.17</v>
      </c>
      <c r="L3021">
        <v>43.66</v>
      </c>
    </row>
    <row r="3022" spans="1:12">
      <c r="A3022" s="1">
        <v>46036</v>
      </c>
      <c r="B3022" t="s">
        <v>9567</v>
      </c>
      <c r="C3022">
        <v>22</v>
      </c>
      <c r="D3022" t="str">
        <f>VLOOKUP(Tabela26[[#This Row],[EMP]],[1]LOJA!$A:$B,2,0)</f>
        <v>GUARÁ</v>
      </c>
      <c r="E3022">
        <v>93</v>
      </c>
      <c r="F3022" t="s">
        <v>3403</v>
      </c>
      <c r="G3022" t="s">
        <v>3402</v>
      </c>
      <c r="H3022" t="s">
        <v>3401</v>
      </c>
      <c r="I3022">
        <v>5102</v>
      </c>
      <c r="J3022" s="3">
        <v>17</v>
      </c>
      <c r="K3022" s="3">
        <v>9.0299999999999994</v>
      </c>
      <c r="L3022">
        <v>46.88</v>
      </c>
    </row>
    <row r="3023" spans="1:12">
      <c r="A3023" s="1">
        <v>46036</v>
      </c>
      <c r="B3023" t="s">
        <v>9566</v>
      </c>
      <c r="C3023">
        <v>22</v>
      </c>
      <c r="D3023" t="str">
        <f>VLOOKUP(Tabela26[[#This Row],[EMP]],[1]LOJA!$A:$B,2,0)</f>
        <v>GUARÁ</v>
      </c>
      <c r="E3023">
        <v>93</v>
      </c>
      <c r="F3023" t="s">
        <v>3873</v>
      </c>
      <c r="G3023" t="s">
        <v>3872</v>
      </c>
      <c r="H3023" t="s">
        <v>3401</v>
      </c>
      <c r="I3023">
        <v>5102</v>
      </c>
      <c r="J3023" s="3">
        <v>16.5</v>
      </c>
      <c r="K3023" s="3">
        <v>10.89</v>
      </c>
      <c r="L3023">
        <v>34</v>
      </c>
    </row>
    <row r="3024" spans="1:12">
      <c r="A3024" s="1">
        <v>46036</v>
      </c>
      <c r="B3024" t="s">
        <v>9565</v>
      </c>
      <c r="C3024">
        <v>22</v>
      </c>
      <c r="D3024" t="str">
        <f>VLOOKUP(Tabela26[[#This Row],[EMP]],[1]LOJA!$A:$B,2,0)</f>
        <v>GUARÁ</v>
      </c>
      <c r="E3024">
        <v>93</v>
      </c>
      <c r="F3024" t="s">
        <v>3403</v>
      </c>
      <c r="G3024" t="s">
        <v>3402</v>
      </c>
      <c r="H3024" t="s">
        <v>3401</v>
      </c>
      <c r="I3024">
        <v>5102</v>
      </c>
      <c r="J3024" s="3">
        <v>18</v>
      </c>
      <c r="K3024" s="3">
        <v>9.26</v>
      </c>
      <c r="L3024">
        <v>48.56</v>
      </c>
    </row>
    <row r="3025" spans="1:12">
      <c r="A3025" s="1">
        <v>46036</v>
      </c>
      <c r="B3025" t="s">
        <v>9564</v>
      </c>
      <c r="C3025">
        <v>22</v>
      </c>
      <c r="D3025" t="str">
        <f>VLOOKUP(Tabela26[[#This Row],[EMP]],[1]LOJA!$A:$B,2,0)</f>
        <v>GUARÁ</v>
      </c>
      <c r="E3025">
        <v>16</v>
      </c>
      <c r="F3025" t="s">
        <v>4593</v>
      </c>
      <c r="G3025" t="s">
        <v>4592</v>
      </c>
      <c r="H3025" t="s">
        <v>3401</v>
      </c>
      <c r="I3025">
        <v>5102</v>
      </c>
      <c r="J3025" s="3">
        <v>63</v>
      </c>
      <c r="K3025" s="3">
        <v>23.58</v>
      </c>
      <c r="L3025">
        <v>62.57</v>
      </c>
    </row>
    <row r="3026" spans="1:12">
      <c r="A3026" s="1">
        <v>46036</v>
      </c>
      <c r="B3026" t="s">
        <v>9563</v>
      </c>
      <c r="C3026">
        <v>22</v>
      </c>
      <c r="D3026" t="str">
        <f>VLOOKUP(Tabela26[[#This Row],[EMP]],[1]LOJA!$A:$B,2,0)</f>
        <v>GUARÁ</v>
      </c>
      <c r="E3026">
        <v>93</v>
      </c>
      <c r="F3026" t="s">
        <v>3403</v>
      </c>
      <c r="G3026" t="s">
        <v>3402</v>
      </c>
      <c r="H3026" t="s">
        <v>3401</v>
      </c>
      <c r="I3026">
        <v>5405</v>
      </c>
      <c r="J3026" s="3">
        <v>89</v>
      </c>
      <c r="K3026" s="3">
        <v>41.6</v>
      </c>
      <c r="L3026">
        <v>53.26</v>
      </c>
    </row>
    <row r="3027" spans="1:12">
      <c r="A3027" s="1">
        <v>46036</v>
      </c>
      <c r="B3027" t="s">
        <v>9562</v>
      </c>
      <c r="C3027">
        <v>4</v>
      </c>
      <c r="D3027" t="str">
        <f>VLOOKUP(Tabela26[[#This Row],[EMP]],[1]LOJA!$A:$B,2,0)</f>
        <v>ADE</v>
      </c>
      <c r="E3027">
        <v>132</v>
      </c>
      <c r="F3027" t="s">
        <v>3840</v>
      </c>
      <c r="G3027" t="s">
        <v>3839</v>
      </c>
      <c r="H3027" t="s">
        <v>3408</v>
      </c>
      <c r="I3027">
        <v>5405</v>
      </c>
      <c r="J3027" s="3">
        <v>130</v>
      </c>
      <c r="K3027" s="3">
        <v>68.239999999999995</v>
      </c>
      <c r="L3027">
        <v>47.51</v>
      </c>
    </row>
    <row r="3028" spans="1:12">
      <c r="A3028" s="1">
        <v>46036</v>
      </c>
      <c r="B3028" t="s">
        <v>9561</v>
      </c>
      <c r="C3028">
        <v>4</v>
      </c>
      <c r="D3028" t="str">
        <f>VLOOKUP(Tabela26[[#This Row],[EMP]],[1]LOJA!$A:$B,2,0)</f>
        <v>ADE</v>
      </c>
      <c r="E3028">
        <v>132</v>
      </c>
      <c r="F3028" t="s">
        <v>3403</v>
      </c>
      <c r="G3028" t="s">
        <v>3402</v>
      </c>
      <c r="H3028" t="s">
        <v>3401</v>
      </c>
      <c r="I3028">
        <v>5102</v>
      </c>
      <c r="J3028" s="3">
        <v>38</v>
      </c>
      <c r="K3028" s="3">
        <v>11.24</v>
      </c>
      <c r="L3028">
        <v>70.42</v>
      </c>
    </row>
    <row r="3029" spans="1:12">
      <c r="A3029" s="1">
        <v>46036</v>
      </c>
      <c r="B3029" t="s">
        <v>9560</v>
      </c>
      <c r="C3029">
        <v>4</v>
      </c>
      <c r="D3029" t="str">
        <f>VLOOKUP(Tabela26[[#This Row],[EMP]],[1]LOJA!$A:$B,2,0)</f>
        <v>ADE</v>
      </c>
      <c r="E3029">
        <v>132</v>
      </c>
      <c r="F3029" t="s">
        <v>4574</v>
      </c>
      <c r="G3029" t="s">
        <v>4573</v>
      </c>
      <c r="H3029" t="s">
        <v>3401</v>
      </c>
      <c r="I3029">
        <v>5102</v>
      </c>
      <c r="J3029" s="3">
        <v>27</v>
      </c>
      <c r="K3029" s="3">
        <v>18.48</v>
      </c>
      <c r="L3029">
        <v>31.56</v>
      </c>
    </row>
    <row r="3030" spans="1:12">
      <c r="A3030" s="1">
        <v>46036</v>
      </c>
      <c r="B3030" t="s">
        <v>9559</v>
      </c>
      <c r="C3030">
        <v>4</v>
      </c>
      <c r="D3030" t="str">
        <f>VLOOKUP(Tabela26[[#This Row],[EMP]],[1]LOJA!$A:$B,2,0)</f>
        <v>ADE</v>
      </c>
      <c r="E3030">
        <v>132</v>
      </c>
      <c r="F3030" t="s">
        <v>4558</v>
      </c>
      <c r="G3030" t="s">
        <v>4557</v>
      </c>
      <c r="H3030" t="s">
        <v>3408</v>
      </c>
      <c r="I3030">
        <v>5102</v>
      </c>
      <c r="J3030" s="3">
        <v>16.899999999999999</v>
      </c>
      <c r="K3030" s="3">
        <v>11.2</v>
      </c>
      <c r="L3030">
        <v>33.729999999999997</v>
      </c>
    </row>
    <row r="3031" spans="1:12">
      <c r="A3031" s="1">
        <v>46036</v>
      </c>
      <c r="B3031" t="s">
        <v>9558</v>
      </c>
      <c r="C3031">
        <v>4</v>
      </c>
      <c r="D3031" t="str">
        <f>VLOOKUP(Tabela26[[#This Row],[EMP]],[1]LOJA!$A:$B,2,0)</f>
        <v>ADE</v>
      </c>
      <c r="E3031">
        <v>132</v>
      </c>
      <c r="F3031" t="s">
        <v>3403</v>
      </c>
      <c r="G3031" t="s">
        <v>3402</v>
      </c>
      <c r="H3031" t="s">
        <v>3401</v>
      </c>
      <c r="I3031">
        <v>5102</v>
      </c>
      <c r="J3031" s="3">
        <v>119.8</v>
      </c>
      <c r="K3031" s="3">
        <v>70.62</v>
      </c>
      <c r="L3031">
        <v>41.05</v>
      </c>
    </row>
    <row r="3032" spans="1:12">
      <c r="A3032" s="1">
        <v>46036</v>
      </c>
      <c r="B3032" t="s">
        <v>9557</v>
      </c>
      <c r="C3032">
        <v>4</v>
      </c>
      <c r="D3032" t="str">
        <f>VLOOKUP(Tabela26[[#This Row],[EMP]],[1]LOJA!$A:$B,2,0)</f>
        <v>ADE</v>
      </c>
      <c r="E3032">
        <v>132</v>
      </c>
      <c r="F3032" t="s">
        <v>3403</v>
      </c>
      <c r="G3032" t="s">
        <v>3402</v>
      </c>
      <c r="H3032" t="s">
        <v>3401</v>
      </c>
      <c r="I3032">
        <v>5102</v>
      </c>
      <c r="J3032" s="3">
        <v>45</v>
      </c>
      <c r="K3032" s="3">
        <v>23.63</v>
      </c>
      <c r="L3032">
        <v>47.49</v>
      </c>
    </row>
    <row r="3033" spans="1:12">
      <c r="A3033" s="1">
        <v>46036</v>
      </c>
      <c r="B3033" t="s">
        <v>9556</v>
      </c>
      <c r="C3033">
        <v>4</v>
      </c>
      <c r="D3033" t="str">
        <f>VLOOKUP(Tabela26[[#This Row],[EMP]],[1]LOJA!$A:$B,2,0)</f>
        <v>ADE</v>
      </c>
      <c r="E3033">
        <v>132</v>
      </c>
      <c r="F3033" t="s">
        <v>3403</v>
      </c>
      <c r="G3033" t="s">
        <v>3402</v>
      </c>
      <c r="H3033" t="s">
        <v>3401</v>
      </c>
      <c r="I3033">
        <v>5102</v>
      </c>
      <c r="J3033" s="3">
        <v>23.9</v>
      </c>
      <c r="K3033" s="3">
        <v>11.24</v>
      </c>
      <c r="L3033">
        <v>52.97</v>
      </c>
    </row>
    <row r="3034" spans="1:12">
      <c r="A3034" s="1">
        <v>46036</v>
      </c>
      <c r="B3034" t="s">
        <v>9555</v>
      </c>
      <c r="C3034">
        <v>4</v>
      </c>
      <c r="D3034" t="str">
        <f>VLOOKUP(Tabela26[[#This Row],[EMP]],[1]LOJA!$A:$B,2,0)</f>
        <v>ADE</v>
      </c>
      <c r="E3034">
        <v>132</v>
      </c>
      <c r="F3034" t="s">
        <v>3403</v>
      </c>
      <c r="G3034" t="s">
        <v>3402</v>
      </c>
      <c r="H3034" t="s">
        <v>3401</v>
      </c>
      <c r="I3034">
        <v>5405</v>
      </c>
      <c r="J3034" s="3">
        <v>85</v>
      </c>
      <c r="K3034" s="3">
        <v>46.22</v>
      </c>
      <c r="L3034">
        <v>45.62</v>
      </c>
    </row>
    <row r="3035" spans="1:12">
      <c r="A3035" s="1">
        <v>46036</v>
      </c>
      <c r="B3035" t="s">
        <v>9554</v>
      </c>
      <c r="C3035">
        <v>4</v>
      </c>
      <c r="D3035" t="str">
        <f>VLOOKUP(Tabela26[[#This Row],[EMP]],[1]LOJA!$A:$B,2,0)</f>
        <v>ADE</v>
      </c>
      <c r="E3035">
        <v>132</v>
      </c>
      <c r="F3035" t="s">
        <v>4565</v>
      </c>
      <c r="G3035" t="s">
        <v>4564</v>
      </c>
      <c r="H3035" t="s">
        <v>3408</v>
      </c>
      <c r="I3035">
        <v>5405</v>
      </c>
      <c r="J3035" s="3">
        <v>58.9</v>
      </c>
      <c r="K3035" s="3">
        <v>32.4</v>
      </c>
      <c r="L3035">
        <v>44.99</v>
      </c>
    </row>
    <row r="3036" spans="1:12">
      <c r="A3036" s="1">
        <v>46036</v>
      </c>
      <c r="B3036" t="s">
        <v>9553</v>
      </c>
      <c r="C3036">
        <v>4</v>
      </c>
      <c r="D3036" t="str">
        <f>VLOOKUP(Tabela26[[#This Row],[EMP]],[1]LOJA!$A:$B,2,0)</f>
        <v>ADE</v>
      </c>
      <c r="E3036">
        <v>132</v>
      </c>
      <c r="F3036" t="s">
        <v>3403</v>
      </c>
      <c r="G3036" t="s">
        <v>3402</v>
      </c>
      <c r="H3036" t="s">
        <v>3401</v>
      </c>
      <c r="I3036">
        <v>5102</v>
      </c>
      <c r="J3036" s="3">
        <v>97</v>
      </c>
      <c r="K3036" s="3">
        <v>69.16</v>
      </c>
      <c r="L3036">
        <v>28.7</v>
      </c>
    </row>
    <row r="3037" spans="1:12">
      <c r="A3037" s="1">
        <v>46036</v>
      </c>
      <c r="B3037" t="s">
        <v>9552</v>
      </c>
      <c r="C3037">
        <v>4</v>
      </c>
      <c r="D3037" t="str">
        <f>VLOOKUP(Tabela26[[#This Row],[EMP]],[1]LOJA!$A:$B,2,0)</f>
        <v>ADE</v>
      </c>
      <c r="E3037">
        <v>132</v>
      </c>
      <c r="F3037" t="s">
        <v>9551</v>
      </c>
      <c r="G3037" t="s">
        <v>3402</v>
      </c>
      <c r="H3037" t="s">
        <v>3408</v>
      </c>
      <c r="I3037">
        <v>5405</v>
      </c>
      <c r="J3037" s="3">
        <v>100</v>
      </c>
      <c r="K3037" s="3">
        <v>53.06</v>
      </c>
      <c r="L3037">
        <v>46.94</v>
      </c>
    </row>
    <row r="3038" spans="1:12">
      <c r="A3038" s="1">
        <v>46036</v>
      </c>
      <c r="B3038" t="s">
        <v>9550</v>
      </c>
      <c r="C3038">
        <v>4</v>
      </c>
      <c r="D3038" t="str">
        <f>VLOOKUP(Tabela26[[#This Row],[EMP]],[1]LOJA!$A:$B,2,0)</f>
        <v>ADE</v>
      </c>
      <c r="E3038">
        <v>132</v>
      </c>
      <c r="F3038" t="s">
        <v>6339</v>
      </c>
      <c r="G3038" t="s">
        <v>3402</v>
      </c>
      <c r="H3038" t="s">
        <v>3408</v>
      </c>
      <c r="I3038">
        <v>5102</v>
      </c>
      <c r="J3038" s="3">
        <v>125</v>
      </c>
      <c r="K3038" s="3">
        <v>78.3</v>
      </c>
      <c r="L3038">
        <v>37.36</v>
      </c>
    </row>
    <row r="3039" spans="1:12">
      <c r="A3039" s="1">
        <v>46036</v>
      </c>
      <c r="B3039" t="s">
        <v>9549</v>
      </c>
      <c r="C3039">
        <v>4</v>
      </c>
      <c r="D3039" t="str">
        <f>VLOOKUP(Tabela26[[#This Row],[EMP]],[1]LOJA!$A:$B,2,0)</f>
        <v>ADE</v>
      </c>
      <c r="E3039">
        <v>132</v>
      </c>
      <c r="F3039" t="s">
        <v>4568</v>
      </c>
      <c r="G3039" t="s">
        <v>4567</v>
      </c>
      <c r="H3039" t="s">
        <v>3408</v>
      </c>
      <c r="I3039">
        <v>5405</v>
      </c>
      <c r="J3039" s="3">
        <v>127.63</v>
      </c>
      <c r="K3039" s="3">
        <v>62.69</v>
      </c>
      <c r="L3039">
        <v>50.88</v>
      </c>
    </row>
    <row r="3040" spans="1:12">
      <c r="A3040" s="1">
        <v>46036</v>
      </c>
      <c r="B3040" t="s">
        <v>9548</v>
      </c>
      <c r="C3040">
        <v>4</v>
      </c>
      <c r="D3040" t="str">
        <f>VLOOKUP(Tabela26[[#This Row],[EMP]],[1]LOJA!$A:$B,2,0)</f>
        <v>ADE</v>
      </c>
      <c r="E3040">
        <v>132</v>
      </c>
      <c r="F3040" t="s">
        <v>3403</v>
      </c>
      <c r="G3040" t="s">
        <v>3402</v>
      </c>
      <c r="H3040" t="s">
        <v>3401</v>
      </c>
      <c r="I3040">
        <v>5405</v>
      </c>
      <c r="J3040" s="3">
        <v>185</v>
      </c>
      <c r="K3040" s="3">
        <v>101.9</v>
      </c>
      <c r="L3040">
        <v>44.92</v>
      </c>
    </row>
    <row r="3041" spans="1:12">
      <c r="A3041" s="1">
        <v>46036</v>
      </c>
      <c r="B3041" t="s">
        <v>9547</v>
      </c>
      <c r="C3041">
        <v>4</v>
      </c>
      <c r="D3041" t="str">
        <f>VLOOKUP(Tabela26[[#This Row],[EMP]],[1]LOJA!$A:$B,2,0)</f>
        <v>ADE</v>
      </c>
      <c r="E3041">
        <v>132</v>
      </c>
      <c r="F3041" t="s">
        <v>9546</v>
      </c>
      <c r="G3041" t="s">
        <v>9545</v>
      </c>
      <c r="H3041" t="s">
        <v>3401</v>
      </c>
      <c r="I3041">
        <v>5102</v>
      </c>
      <c r="J3041" s="3">
        <v>38.5</v>
      </c>
      <c r="K3041" s="3">
        <v>20.29</v>
      </c>
      <c r="L3041">
        <v>47.3</v>
      </c>
    </row>
    <row r="3042" spans="1:12">
      <c r="A3042" s="1">
        <v>46036</v>
      </c>
      <c r="B3042" t="s">
        <v>9544</v>
      </c>
      <c r="C3042">
        <v>4</v>
      </c>
      <c r="D3042" t="str">
        <f>VLOOKUP(Tabela26[[#This Row],[EMP]],[1]LOJA!$A:$B,2,0)</f>
        <v>ADE</v>
      </c>
      <c r="E3042">
        <v>109</v>
      </c>
      <c r="F3042" t="s">
        <v>7980</v>
      </c>
      <c r="G3042" t="s">
        <v>7979</v>
      </c>
      <c r="H3042" t="s">
        <v>3408</v>
      </c>
      <c r="I3042">
        <v>5102</v>
      </c>
      <c r="J3042" s="3">
        <v>185</v>
      </c>
      <c r="K3042" s="3">
        <v>92.24</v>
      </c>
      <c r="L3042">
        <v>50.14</v>
      </c>
    </row>
    <row r="3043" spans="1:12">
      <c r="A3043" s="1">
        <v>46036</v>
      </c>
      <c r="B3043" t="s">
        <v>9543</v>
      </c>
      <c r="C3043">
        <v>4</v>
      </c>
      <c r="D3043" t="str">
        <f>VLOOKUP(Tabela26[[#This Row],[EMP]],[1]LOJA!$A:$B,2,0)</f>
        <v>ADE</v>
      </c>
      <c r="E3043">
        <v>109</v>
      </c>
      <c r="F3043" t="s">
        <v>9542</v>
      </c>
      <c r="G3043" t="s">
        <v>3402</v>
      </c>
      <c r="H3043" t="s">
        <v>3401</v>
      </c>
      <c r="I3043">
        <v>5102</v>
      </c>
      <c r="J3043" s="3">
        <v>100</v>
      </c>
      <c r="K3043" s="3">
        <v>59.68</v>
      </c>
      <c r="L3043">
        <v>40.32</v>
      </c>
    </row>
    <row r="3044" spans="1:12">
      <c r="A3044" s="1">
        <v>46036</v>
      </c>
      <c r="B3044" t="s">
        <v>9541</v>
      </c>
      <c r="C3044">
        <v>4</v>
      </c>
      <c r="D3044" t="str">
        <f>VLOOKUP(Tabela26[[#This Row],[EMP]],[1]LOJA!$A:$B,2,0)</f>
        <v>ADE</v>
      </c>
      <c r="E3044">
        <v>132</v>
      </c>
      <c r="F3044" t="s">
        <v>3403</v>
      </c>
      <c r="G3044" t="s">
        <v>3402</v>
      </c>
      <c r="H3044" t="s">
        <v>3408</v>
      </c>
      <c r="I3044">
        <v>5405</v>
      </c>
      <c r="J3044" s="3">
        <v>75</v>
      </c>
      <c r="K3044" s="3">
        <v>49.24</v>
      </c>
      <c r="L3044">
        <v>34.35</v>
      </c>
    </row>
    <row r="3045" spans="1:12">
      <c r="A3045" s="1">
        <v>46036</v>
      </c>
      <c r="B3045" t="s">
        <v>9540</v>
      </c>
      <c r="C3045">
        <v>16</v>
      </c>
      <c r="D3045" t="str">
        <f>VLOOKUP(Tabela26[[#This Row],[EMP]],[1]LOJA!$A:$B,2,0)</f>
        <v>AG LINDAS</v>
      </c>
      <c r="E3045">
        <v>240</v>
      </c>
      <c r="F3045" t="s">
        <v>3796</v>
      </c>
      <c r="G3045" t="s">
        <v>3795</v>
      </c>
      <c r="H3045" t="s">
        <v>3408</v>
      </c>
      <c r="I3045">
        <v>5405</v>
      </c>
      <c r="J3045" s="3">
        <v>127.9</v>
      </c>
      <c r="K3045" s="3">
        <v>68.83</v>
      </c>
      <c r="L3045">
        <v>46.18</v>
      </c>
    </row>
    <row r="3046" spans="1:12">
      <c r="A3046" s="1">
        <v>46036</v>
      </c>
      <c r="B3046" t="s">
        <v>9539</v>
      </c>
      <c r="C3046">
        <v>16</v>
      </c>
      <c r="D3046" t="str">
        <f>VLOOKUP(Tabela26[[#This Row],[EMP]],[1]LOJA!$A:$B,2,0)</f>
        <v>AG LINDAS</v>
      </c>
      <c r="E3046">
        <v>240</v>
      </c>
      <c r="F3046" t="s">
        <v>3780</v>
      </c>
      <c r="G3046" t="s">
        <v>3437</v>
      </c>
      <c r="H3046" t="s">
        <v>3401</v>
      </c>
      <c r="I3046">
        <v>5102</v>
      </c>
      <c r="J3046" s="3">
        <v>170.15</v>
      </c>
      <c r="K3046" s="3">
        <v>94.92</v>
      </c>
      <c r="L3046">
        <v>44.21</v>
      </c>
    </row>
    <row r="3047" spans="1:12">
      <c r="A3047" s="1">
        <v>46036</v>
      </c>
      <c r="B3047" t="s">
        <v>9538</v>
      </c>
      <c r="C3047">
        <v>16</v>
      </c>
      <c r="D3047" t="str">
        <f>VLOOKUP(Tabela26[[#This Row],[EMP]],[1]LOJA!$A:$B,2,0)</f>
        <v>AG LINDAS</v>
      </c>
      <c r="E3047">
        <v>240</v>
      </c>
      <c r="F3047" t="s">
        <v>3780</v>
      </c>
      <c r="G3047" t="s">
        <v>3437</v>
      </c>
      <c r="H3047" t="s">
        <v>3401</v>
      </c>
      <c r="I3047">
        <v>5405</v>
      </c>
      <c r="J3047" s="3">
        <v>71.7</v>
      </c>
      <c r="K3047" s="3">
        <v>36.51</v>
      </c>
      <c r="L3047">
        <v>49.08</v>
      </c>
    </row>
    <row r="3048" spans="1:12">
      <c r="A3048" s="1">
        <v>46036</v>
      </c>
      <c r="B3048" t="s">
        <v>9537</v>
      </c>
      <c r="C3048">
        <v>16</v>
      </c>
      <c r="D3048" t="str">
        <f>VLOOKUP(Tabela26[[#This Row],[EMP]],[1]LOJA!$A:$B,2,0)</f>
        <v>AG LINDAS</v>
      </c>
      <c r="E3048">
        <v>240</v>
      </c>
      <c r="F3048" t="s">
        <v>9536</v>
      </c>
      <c r="G3048" t="s">
        <v>3437</v>
      </c>
      <c r="H3048" t="s">
        <v>3401</v>
      </c>
      <c r="I3048">
        <v>5405</v>
      </c>
      <c r="J3048" s="3">
        <v>32</v>
      </c>
      <c r="K3048" s="3">
        <v>13.59</v>
      </c>
      <c r="L3048">
        <v>57.53</v>
      </c>
    </row>
    <row r="3049" spans="1:12">
      <c r="A3049" s="1">
        <v>46036</v>
      </c>
      <c r="B3049" t="s">
        <v>9535</v>
      </c>
      <c r="C3049">
        <v>16</v>
      </c>
      <c r="D3049" t="str">
        <f>VLOOKUP(Tabela26[[#This Row],[EMP]],[1]LOJA!$A:$B,2,0)</f>
        <v>AG LINDAS</v>
      </c>
      <c r="E3049">
        <v>240</v>
      </c>
      <c r="F3049" t="s">
        <v>3780</v>
      </c>
      <c r="G3049" t="s">
        <v>3437</v>
      </c>
      <c r="H3049" t="s">
        <v>3401</v>
      </c>
      <c r="I3049">
        <v>5102</v>
      </c>
      <c r="J3049" s="3">
        <v>7.8</v>
      </c>
      <c r="K3049" s="3">
        <v>3.38</v>
      </c>
      <c r="L3049">
        <v>56.67</v>
      </c>
    </row>
    <row r="3050" spans="1:12">
      <c r="A3050" s="1">
        <v>46036</v>
      </c>
      <c r="B3050" t="s">
        <v>9534</v>
      </c>
      <c r="C3050">
        <v>16</v>
      </c>
      <c r="D3050" t="str">
        <f>VLOOKUP(Tabela26[[#This Row],[EMP]],[1]LOJA!$A:$B,2,0)</f>
        <v>AG LINDAS</v>
      </c>
      <c r="E3050">
        <v>240</v>
      </c>
      <c r="F3050" t="s">
        <v>8083</v>
      </c>
      <c r="G3050" t="s">
        <v>8082</v>
      </c>
      <c r="H3050" t="s">
        <v>3408</v>
      </c>
      <c r="I3050">
        <v>5405</v>
      </c>
      <c r="J3050" s="3">
        <v>1073.25</v>
      </c>
      <c r="K3050" s="3">
        <v>565.9</v>
      </c>
      <c r="L3050">
        <v>47.27</v>
      </c>
    </row>
    <row r="3051" spans="1:12">
      <c r="A3051" s="1">
        <v>46036</v>
      </c>
      <c r="B3051" t="s">
        <v>9533</v>
      </c>
      <c r="C3051">
        <v>16</v>
      </c>
      <c r="D3051" t="str">
        <f>VLOOKUP(Tabela26[[#This Row],[EMP]],[1]LOJA!$A:$B,2,0)</f>
        <v>AG LINDAS</v>
      </c>
      <c r="E3051">
        <v>240</v>
      </c>
      <c r="F3051" t="s">
        <v>3780</v>
      </c>
      <c r="G3051" t="s">
        <v>3437</v>
      </c>
      <c r="H3051" t="s">
        <v>3401</v>
      </c>
      <c r="I3051">
        <v>5102</v>
      </c>
      <c r="J3051" s="3">
        <v>27.9</v>
      </c>
      <c r="K3051" s="3">
        <v>17.489999999999998</v>
      </c>
      <c r="L3051">
        <v>37.31</v>
      </c>
    </row>
    <row r="3052" spans="1:12">
      <c r="A3052" s="1">
        <v>46036</v>
      </c>
      <c r="B3052" t="s">
        <v>9532</v>
      </c>
      <c r="C3052">
        <v>16</v>
      </c>
      <c r="D3052" t="str">
        <f>VLOOKUP(Tabela26[[#This Row],[EMP]],[1]LOJA!$A:$B,2,0)</f>
        <v>AG LINDAS</v>
      </c>
      <c r="E3052">
        <v>240</v>
      </c>
      <c r="F3052" t="s">
        <v>3780</v>
      </c>
      <c r="G3052" t="s">
        <v>3437</v>
      </c>
      <c r="H3052" t="s">
        <v>3401</v>
      </c>
      <c r="I3052">
        <v>5102</v>
      </c>
      <c r="J3052" s="3">
        <v>55</v>
      </c>
      <c r="K3052" s="3">
        <v>29.04</v>
      </c>
      <c r="L3052">
        <v>47.2</v>
      </c>
    </row>
    <row r="3053" spans="1:12">
      <c r="A3053" s="1">
        <v>46036</v>
      </c>
      <c r="B3053" t="s">
        <v>9531</v>
      </c>
      <c r="C3053">
        <v>16</v>
      </c>
      <c r="D3053" t="str">
        <f>VLOOKUP(Tabela26[[#This Row],[EMP]],[1]LOJA!$A:$B,2,0)</f>
        <v>AG LINDAS</v>
      </c>
      <c r="E3053">
        <v>240</v>
      </c>
      <c r="F3053" t="s">
        <v>9530</v>
      </c>
      <c r="G3053" t="s">
        <v>3437</v>
      </c>
      <c r="H3053" t="s">
        <v>3401</v>
      </c>
      <c r="I3053">
        <v>5102</v>
      </c>
      <c r="J3053" s="3">
        <v>113</v>
      </c>
      <c r="K3053" s="3">
        <v>64.03</v>
      </c>
      <c r="L3053">
        <v>43.34</v>
      </c>
    </row>
    <row r="3054" spans="1:12">
      <c r="A3054" s="1">
        <v>46036</v>
      </c>
      <c r="B3054" t="s">
        <v>9529</v>
      </c>
      <c r="C3054">
        <v>16</v>
      </c>
      <c r="D3054" t="str">
        <f>VLOOKUP(Tabela26[[#This Row],[EMP]],[1]LOJA!$A:$B,2,0)</f>
        <v>AG LINDAS</v>
      </c>
      <c r="E3054">
        <v>240</v>
      </c>
      <c r="F3054" t="s">
        <v>9119</v>
      </c>
      <c r="G3054" t="s">
        <v>3437</v>
      </c>
      <c r="H3054" t="s">
        <v>3401</v>
      </c>
      <c r="I3054">
        <v>5102</v>
      </c>
      <c r="J3054" s="3">
        <v>28.5</v>
      </c>
      <c r="K3054" s="3">
        <v>14.74</v>
      </c>
      <c r="L3054">
        <v>48.28</v>
      </c>
    </row>
    <row r="3055" spans="1:12">
      <c r="A3055" s="1">
        <v>46036</v>
      </c>
      <c r="B3055" t="s">
        <v>9528</v>
      </c>
      <c r="C3055">
        <v>16</v>
      </c>
      <c r="D3055" t="str">
        <f>VLOOKUP(Tabela26[[#This Row],[EMP]],[1]LOJA!$A:$B,2,0)</f>
        <v>AG LINDAS</v>
      </c>
      <c r="E3055">
        <v>240</v>
      </c>
      <c r="F3055" t="s">
        <v>8408</v>
      </c>
      <c r="G3055" t="s">
        <v>3437</v>
      </c>
      <c r="H3055" t="s">
        <v>3401</v>
      </c>
      <c r="I3055">
        <v>5405</v>
      </c>
      <c r="J3055" s="3">
        <v>479.55</v>
      </c>
      <c r="K3055" s="3">
        <v>244.44</v>
      </c>
      <c r="L3055">
        <v>49.03</v>
      </c>
    </row>
    <row r="3056" spans="1:12">
      <c r="A3056" s="1">
        <v>46036</v>
      </c>
      <c r="B3056" t="s">
        <v>9527</v>
      </c>
      <c r="C3056">
        <v>16</v>
      </c>
      <c r="D3056" t="str">
        <f>VLOOKUP(Tabela26[[#This Row],[EMP]],[1]LOJA!$A:$B,2,0)</f>
        <v>AG LINDAS</v>
      </c>
      <c r="E3056">
        <v>240</v>
      </c>
      <c r="F3056" t="s">
        <v>3796</v>
      </c>
      <c r="G3056" t="s">
        <v>3795</v>
      </c>
      <c r="H3056" t="s">
        <v>3408</v>
      </c>
      <c r="I3056">
        <v>5405</v>
      </c>
      <c r="J3056" s="3">
        <v>95.65</v>
      </c>
      <c r="K3056" s="3">
        <v>47.62</v>
      </c>
      <c r="L3056">
        <v>50.21</v>
      </c>
    </row>
    <row r="3057" spans="1:12">
      <c r="A3057" s="1">
        <v>46036</v>
      </c>
      <c r="B3057" t="s">
        <v>9526</v>
      </c>
      <c r="C3057">
        <v>16</v>
      </c>
      <c r="D3057" t="str">
        <f>VLOOKUP(Tabela26[[#This Row],[EMP]],[1]LOJA!$A:$B,2,0)</f>
        <v>AG LINDAS</v>
      </c>
      <c r="E3057">
        <v>240</v>
      </c>
      <c r="F3057" t="s">
        <v>8083</v>
      </c>
      <c r="G3057" t="s">
        <v>8082</v>
      </c>
      <c r="H3057" t="s">
        <v>3401</v>
      </c>
      <c r="I3057">
        <v>5102</v>
      </c>
      <c r="J3057" s="3">
        <v>39.5</v>
      </c>
      <c r="K3057" s="3">
        <v>24.46</v>
      </c>
      <c r="L3057">
        <v>38.08</v>
      </c>
    </row>
    <row r="3058" spans="1:12">
      <c r="A3058" s="1">
        <v>46036</v>
      </c>
      <c r="B3058" t="s">
        <v>9525</v>
      </c>
      <c r="C3058">
        <v>16</v>
      </c>
      <c r="D3058" t="str">
        <f>VLOOKUP(Tabela26[[#This Row],[EMP]],[1]LOJA!$A:$B,2,0)</f>
        <v>AG LINDAS</v>
      </c>
      <c r="E3058">
        <v>240</v>
      </c>
      <c r="F3058" t="s">
        <v>3780</v>
      </c>
      <c r="G3058" t="s">
        <v>3437</v>
      </c>
      <c r="H3058" t="s">
        <v>3401</v>
      </c>
      <c r="I3058">
        <v>5102</v>
      </c>
      <c r="J3058" s="3">
        <v>36</v>
      </c>
      <c r="K3058" s="3">
        <v>22.22</v>
      </c>
      <c r="L3058">
        <v>38.28</v>
      </c>
    </row>
    <row r="3059" spans="1:12">
      <c r="A3059" s="1">
        <v>46036</v>
      </c>
      <c r="B3059" t="s">
        <v>9524</v>
      </c>
      <c r="C3059">
        <v>16</v>
      </c>
      <c r="D3059" t="str">
        <f>VLOOKUP(Tabela26[[#This Row],[EMP]],[1]LOJA!$A:$B,2,0)</f>
        <v>AG LINDAS</v>
      </c>
      <c r="E3059">
        <v>240</v>
      </c>
      <c r="F3059" t="s">
        <v>5129</v>
      </c>
      <c r="G3059" t="s">
        <v>5128</v>
      </c>
      <c r="H3059" t="s">
        <v>3408</v>
      </c>
      <c r="I3059">
        <v>5405</v>
      </c>
      <c r="J3059" s="3">
        <v>1030</v>
      </c>
      <c r="K3059" s="3">
        <v>579.57000000000005</v>
      </c>
      <c r="L3059">
        <v>43.73</v>
      </c>
    </row>
    <row r="3060" spans="1:12">
      <c r="A3060" s="1">
        <v>46036</v>
      </c>
      <c r="B3060" t="s">
        <v>9523</v>
      </c>
      <c r="C3060">
        <v>16</v>
      </c>
      <c r="D3060" t="str">
        <f>VLOOKUP(Tabela26[[#This Row],[EMP]],[1]LOJA!$A:$B,2,0)</f>
        <v>AG LINDAS</v>
      </c>
      <c r="E3060">
        <v>240</v>
      </c>
      <c r="F3060" t="s">
        <v>6309</v>
      </c>
      <c r="G3060" t="s">
        <v>3437</v>
      </c>
      <c r="H3060" t="s">
        <v>3401</v>
      </c>
      <c r="I3060">
        <v>5405</v>
      </c>
      <c r="J3060" s="3">
        <v>359</v>
      </c>
      <c r="K3060" s="3">
        <v>187.26</v>
      </c>
      <c r="L3060">
        <v>47.84</v>
      </c>
    </row>
    <row r="3061" spans="1:12">
      <c r="A3061" s="1">
        <v>46036</v>
      </c>
      <c r="B3061" t="s">
        <v>9522</v>
      </c>
      <c r="C3061">
        <v>16</v>
      </c>
      <c r="D3061" t="str">
        <f>VLOOKUP(Tabela26[[#This Row],[EMP]],[1]LOJA!$A:$B,2,0)</f>
        <v>AG LINDAS</v>
      </c>
      <c r="E3061">
        <v>240</v>
      </c>
      <c r="F3061" t="s">
        <v>3780</v>
      </c>
      <c r="G3061" t="s">
        <v>3437</v>
      </c>
      <c r="H3061" t="s">
        <v>3401</v>
      </c>
      <c r="I3061">
        <v>5405</v>
      </c>
      <c r="J3061" s="3">
        <v>99.9</v>
      </c>
      <c r="K3061" s="3">
        <v>59.87</v>
      </c>
      <c r="L3061">
        <v>40.07</v>
      </c>
    </row>
    <row r="3062" spans="1:12">
      <c r="A3062" s="1">
        <v>46036</v>
      </c>
      <c r="B3062" t="s">
        <v>9521</v>
      </c>
      <c r="C3062">
        <v>16</v>
      </c>
      <c r="D3062" t="str">
        <f>VLOOKUP(Tabela26[[#This Row],[EMP]],[1]LOJA!$A:$B,2,0)</f>
        <v>AG LINDAS</v>
      </c>
      <c r="E3062">
        <v>240</v>
      </c>
      <c r="F3062" t="s">
        <v>3780</v>
      </c>
      <c r="G3062" t="s">
        <v>3437</v>
      </c>
      <c r="H3062" t="s">
        <v>3401</v>
      </c>
      <c r="I3062">
        <v>5102</v>
      </c>
      <c r="J3062" s="3">
        <v>24.13</v>
      </c>
      <c r="K3062" s="3">
        <v>10.97</v>
      </c>
      <c r="L3062">
        <v>54.54</v>
      </c>
    </row>
    <row r="3063" spans="1:12">
      <c r="A3063" s="1">
        <v>46036</v>
      </c>
      <c r="B3063" t="s">
        <v>9520</v>
      </c>
      <c r="C3063">
        <v>16</v>
      </c>
      <c r="D3063" t="str">
        <f>VLOOKUP(Tabela26[[#This Row],[EMP]],[1]LOJA!$A:$B,2,0)</f>
        <v>AG LINDAS</v>
      </c>
      <c r="E3063">
        <v>240</v>
      </c>
      <c r="F3063" t="s">
        <v>7434</v>
      </c>
      <c r="G3063" t="s">
        <v>3437</v>
      </c>
      <c r="H3063" t="s">
        <v>3401</v>
      </c>
      <c r="I3063">
        <v>5102</v>
      </c>
      <c r="J3063" s="3">
        <v>73.5</v>
      </c>
      <c r="K3063" s="3">
        <v>42.61</v>
      </c>
      <c r="L3063">
        <v>42.03</v>
      </c>
    </row>
    <row r="3064" spans="1:12">
      <c r="A3064" s="1">
        <v>46036</v>
      </c>
      <c r="B3064" t="s">
        <v>9519</v>
      </c>
      <c r="C3064">
        <v>16</v>
      </c>
      <c r="D3064" t="str">
        <f>VLOOKUP(Tabela26[[#This Row],[EMP]],[1]LOJA!$A:$B,2,0)</f>
        <v>AG LINDAS</v>
      </c>
      <c r="E3064">
        <v>240</v>
      </c>
      <c r="F3064" t="s">
        <v>9518</v>
      </c>
      <c r="G3064" t="s">
        <v>9517</v>
      </c>
      <c r="H3064" t="s">
        <v>3401</v>
      </c>
      <c r="I3064">
        <v>5405</v>
      </c>
      <c r="J3064" s="3">
        <v>56</v>
      </c>
      <c r="K3064" s="3">
        <v>27.86</v>
      </c>
      <c r="L3064">
        <v>50.25</v>
      </c>
    </row>
    <row r="3065" spans="1:12">
      <c r="A3065" s="1">
        <v>46036</v>
      </c>
      <c r="B3065" t="s">
        <v>9516</v>
      </c>
      <c r="C3065">
        <v>16</v>
      </c>
      <c r="D3065" t="str">
        <f>VLOOKUP(Tabela26[[#This Row],[EMP]],[1]LOJA!$A:$B,2,0)</f>
        <v>AG LINDAS</v>
      </c>
      <c r="E3065">
        <v>240</v>
      </c>
      <c r="F3065" t="s">
        <v>5140</v>
      </c>
      <c r="G3065" t="s">
        <v>3437</v>
      </c>
      <c r="H3065" t="s">
        <v>3401</v>
      </c>
      <c r="I3065">
        <v>5405</v>
      </c>
      <c r="J3065" s="3">
        <v>44.9</v>
      </c>
      <c r="K3065" s="3">
        <v>22.8</v>
      </c>
      <c r="L3065">
        <v>49.22</v>
      </c>
    </row>
    <row r="3066" spans="1:12">
      <c r="A3066" s="1">
        <v>46036</v>
      </c>
      <c r="B3066" t="s">
        <v>9515</v>
      </c>
      <c r="C3066">
        <v>16</v>
      </c>
      <c r="D3066" t="str">
        <f>VLOOKUP(Tabela26[[#This Row],[EMP]],[1]LOJA!$A:$B,2,0)</f>
        <v>AG LINDAS</v>
      </c>
      <c r="E3066">
        <v>240</v>
      </c>
      <c r="F3066" t="s">
        <v>3780</v>
      </c>
      <c r="G3066" t="s">
        <v>3437</v>
      </c>
      <c r="H3066" t="s">
        <v>3401</v>
      </c>
      <c r="I3066">
        <v>5102</v>
      </c>
      <c r="J3066" s="3">
        <v>100</v>
      </c>
      <c r="K3066" s="3">
        <v>62.59</v>
      </c>
      <c r="L3066">
        <v>37.409999999999997</v>
      </c>
    </row>
    <row r="3067" spans="1:12">
      <c r="A3067" s="1">
        <v>46036</v>
      </c>
      <c r="B3067" t="s">
        <v>9514</v>
      </c>
      <c r="C3067">
        <v>14</v>
      </c>
      <c r="D3067" t="str">
        <f>VLOOKUP(Tabela26[[#This Row],[EMP]],[1]LOJA!$A:$B,2,0)</f>
        <v>S IA</v>
      </c>
      <c r="E3067">
        <v>54</v>
      </c>
      <c r="F3067" t="s">
        <v>6295</v>
      </c>
      <c r="G3067" t="s">
        <v>6294</v>
      </c>
      <c r="H3067" t="s">
        <v>3430</v>
      </c>
      <c r="I3067">
        <v>5102</v>
      </c>
      <c r="J3067" s="3">
        <v>183.78</v>
      </c>
      <c r="K3067" s="3">
        <v>80.819999999999993</v>
      </c>
      <c r="L3067">
        <v>56.02</v>
      </c>
    </row>
    <row r="3068" spans="1:12">
      <c r="A3068" s="1">
        <v>46036</v>
      </c>
      <c r="B3068" t="s">
        <v>9513</v>
      </c>
      <c r="C3068">
        <v>14</v>
      </c>
      <c r="D3068" t="str">
        <f>VLOOKUP(Tabela26[[#This Row],[EMP]],[1]LOJA!$A:$B,2,0)</f>
        <v>S IA</v>
      </c>
      <c r="E3068">
        <v>212</v>
      </c>
      <c r="F3068" t="s">
        <v>9108</v>
      </c>
      <c r="G3068" t="s">
        <v>9107</v>
      </c>
      <c r="H3068" t="s">
        <v>3401</v>
      </c>
      <c r="I3068">
        <v>5405</v>
      </c>
      <c r="J3068" s="3">
        <v>339</v>
      </c>
      <c r="K3068" s="3">
        <v>167.09</v>
      </c>
      <c r="L3068">
        <v>50.71</v>
      </c>
    </row>
    <row r="3069" spans="1:12">
      <c r="A3069" s="1">
        <v>46036</v>
      </c>
      <c r="B3069" t="s">
        <v>9512</v>
      </c>
      <c r="C3069">
        <v>14</v>
      </c>
      <c r="D3069" t="str">
        <f>VLOOKUP(Tabela26[[#This Row],[EMP]],[1]LOJA!$A:$B,2,0)</f>
        <v>S IA</v>
      </c>
      <c r="E3069">
        <v>54</v>
      </c>
      <c r="F3069" t="s">
        <v>5089</v>
      </c>
      <c r="G3069" t="s">
        <v>5088</v>
      </c>
      <c r="H3069" t="s">
        <v>3430</v>
      </c>
      <c r="I3069">
        <v>5405</v>
      </c>
      <c r="J3069" s="3">
        <v>80.709999999999994</v>
      </c>
      <c r="K3069" s="3">
        <v>40.17</v>
      </c>
      <c r="L3069">
        <v>50.23</v>
      </c>
    </row>
    <row r="3070" spans="1:12">
      <c r="A3070" s="1">
        <v>46036</v>
      </c>
      <c r="B3070" t="s">
        <v>9511</v>
      </c>
      <c r="C3070">
        <v>14</v>
      </c>
      <c r="D3070" t="str">
        <f>VLOOKUP(Tabela26[[#This Row],[EMP]],[1]LOJA!$A:$B,2,0)</f>
        <v>S IA</v>
      </c>
      <c r="E3070">
        <v>212</v>
      </c>
      <c r="F3070" t="s">
        <v>6696</v>
      </c>
      <c r="G3070" t="s">
        <v>6695</v>
      </c>
      <c r="H3070" t="s">
        <v>3401</v>
      </c>
      <c r="I3070">
        <v>5405</v>
      </c>
      <c r="J3070" s="3">
        <v>542.84</v>
      </c>
      <c r="K3070" s="3">
        <v>251.29</v>
      </c>
      <c r="L3070">
        <v>53.71</v>
      </c>
    </row>
    <row r="3071" spans="1:12">
      <c r="A3071" s="1">
        <v>46036</v>
      </c>
      <c r="B3071" t="s">
        <v>9510</v>
      </c>
      <c r="C3071">
        <v>14</v>
      </c>
      <c r="D3071" t="str">
        <f>VLOOKUP(Tabela26[[#This Row],[EMP]],[1]LOJA!$A:$B,2,0)</f>
        <v>S IA</v>
      </c>
      <c r="E3071">
        <v>212</v>
      </c>
      <c r="F3071" t="s">
        <v>9509</v>
      </c>
      <c r="G3071" t="s">
        <v>9508</v>
      </c>
      <c r="H3071" t="s">
        <v>3401</v>
      </c>
      <c r="I3071">
        <v>5102</v>
      </c>
      <c r="J3071" s="3">
        <v>354</v>
      </c>
      <c r="K3071" s="3">
        <v>145</v>
      </c>
      <c r="L3071">
        <v>59.04</v>
      </c>
    </row>
    <row r="3072" spans="1:12">
      <c r="A3072" s="1">
        <v>46036</v>
      </c>
      <c r="B3072" t="s">
        <v>9507</v>
      </c>
      <c r="C3072">
        <v>14</v>
      </c>
      <c r="D3072" t="str">
        <f>VLOOKUP(Tabela26[[#This Row],[EMP]],[1]LOJA!$A:$B,2,0)</f>
        <v>S IA</v>
      </c>
      <c r="E3072">
        <v>212</v>
      </c>
      <c r="F3072" t="s">
        <v>6442</v>
      </c>
      <c r="G3072" t="s">
        <v>6441</v>
      </c>
      <c r="H3072" t="s">
        <v>3401</v>
      </c>
      <c r="I3072">
        <v>5405</v>
      </c>
      <c r="J3072" s="3">
        <v>1064.5999999999999</v>
      </c>
      <c r="K3072" s="3">
        <v>611.13</v>
      </c>
      <c r="L3072">
        <v>42.6</v>
      </c>
    </row>
    <row r="3073" spans="1:12">
      <c r="A3073" s="1">
        <v>46036</v>
      </c>
      <c r="B3073" t="s">
        <v>9506</v>
      </c>
      <c r="C3073">
        <v>14</v>
      </c>
      <c r="D3073" t="str">
        <f>VLOOKUP(Tabela26[[#This Row],[EMP]],[1]LOJA!$A:$B,2,0)</f>
        <v>S IA</v>
      </c>
      <c r="E3073">
        <v>54</v>
      </c>
      <c r="F3073" t="s">
        <v>4470</v>
      </c>
      <c r="G3073" t="s">
        <v>4469</v>
      </c>
      <c r="H3073" t="s">
        <v>3430</v>
      </c>
      <c r="I3073">
        <v>5405</v>
      </c>
      <c r="J3073" s="3">
        <v>482.79</v>
      </c>
      <c r="K3073" s="3">
        <v>264.55</v>
      </c>
      <c r="L3073">
        <v>45.2</v>
      </c>
    </row>
    <row r="3074" spans="1:12">
      <c r="A3074" s="1">
        <v>46036</v>
      </c>
      <c r="B3074" t="s">
        <v>9505</v>
      </c>
      <c r="C3074">
        <v>14</v>
      </c>
      <c r="D3074" t="str">
        <f>VLOOKUP(Tabela26[[#This Row],[EMP]],[1]LOJA!$A:$B,2,0)</f>
        <v>S IA</v>
      </c>
      <c r="E3074">
        <v>212</v>
      </c>
      <c r="F3074" t="s">
        <v>7639</v>
      </c>
      <c r="G3074" t="s">
        <v>7638</v>
      </c>
      <c r="H3074" t="s">
        <v>3430</v>
      </c>
      <c r="I3074">
        <v>5405</v>
      </c>
      <c r="J3074" s="3">
        <v>752.22</v>
      </c>
      <c r="K3074" s="3">
        <v>371.45</v>
      </c>
      <c r="L3074">
        <v>50.62</v>
      </c>
    </row>
    <row r="3075" spans="1:12">
      <c r="A3075" s="1">
        <v>46036</v>
      </c>
      <c r="B3075" t="s">
        <v>9504</v>
      </c>
      <c r="C3075">
        <v>14</v>
      </c>
      <c r="D3075" t="str">
        <f>VLOOKUP(Tabela26[[#This Row],[EMP]],[1]LOJA!$A:$B,2,0)</f>
        <v>S IA</v>
      </c>
      <c r="E3075">
        <v>54</v>
      </c>
      <c r="F3075" t="s">
        <v>9503</v>
      </c>
      <c r="G3075" t="s">
        <v>9502</v>
      </c>
      <c r="H3075" t="s">
        <v>3401</v>
      </c>
      <c r="I3075">
        <v>5102</v>
      </c>
      <c r="J3075" s="3">
        <v>20</v>
      </c>
      <c r="K3075" s="3">
        <v>10.95</v>
      </c>
      <c r="L3075">
        <v>45.25</v>
      </c>
    </row>
    <row r="3076" spans="1:12">
      <c r="A3076" s="1">
        <v>46036</v>
      </c>
      <c r="B3076" t="s">
        <v>9501</v>
      </c>
      <c r="C3076">
        <v>14</v>
      </c>
      <c r="D3076" t="str">
        <f>VLOOKUP(Tabela26[[#This Row],[EMP]],[1]LOJA!$A:$B,2,0)</f>
        <v>S IA</v>
      </c>
      <c r="E3076">
        <v>54</v>
      </c>
      <c r="F3076" t="s">
        <v>9500</v>
      </c>
      <c r="G3076" t="s">
        <v>9499</v>
      </c>
      <c r="H3076" t="s">
        <v>3401</v>
      </c>
      <c r="I3076">
        <v>5405</v>
      </c>
      <c r="J3076" s="3">
        <v>29.9</v>
      </c>
      <c r="K3076" s="3">
        <v>12.63</v>
      </c>
      <c r="L3076">
        <v>57.76</v>
      </c>
    </row>
    <row r="3077" spans="1:12">
      <c r="A3077" s="1">
        <v>46036</v>
      </c>
      <c r="B3077" t="s">
        <v>9498</v>
      </c>
      <c r="C3077">
        <v>14</v>
      </c>
      <c r="D3077" t="str">
        <f>VLOOKUP(Tabela26[[#This Row],[EMP]],[1]LOJA!$A:$B,2,0)</f>
        <v>S IA</v>
      </c>
      <c r="E3077">
        <v>54</v>
      </c>
      <c r="F3077" t="s">
        <v>5339</v>
      </c>
      <c r="G3077" t="s">
        <v>5338</v>
      </c>
      <c r="H3077" t="s">
        <v>3401</v>
      </c>
      <c r="I3077">
        <v>5102</v>
      </c>
      <c r="J3077" s="3">
        <v>24.9</v>
      </c>
      <c r="K3077" s="3">
        <v>11.24</v>
      </c>
      <c r="L3077">
        <v>54.86</v>
      </c>
    </row>
    <row r="3078" spans="1:12">
      <c r="A3078" s="1">
        <v>46036</v>
      </c>
      <c r="B3078" t="s">
        <v>9497</v>
      </c>
      <c r="C3078">
        <v>14</v>
      </c>
      <c r="D3078" t="str">
        <f>VLOOKUP(Tabela26[[#This Row],[EMP]],[1]LOJA!$A:$B,2,0)</f>
        <v>S IA</v>
      </c>
      <c r="E3078">
        <v>54</v>
      </c>
      <c r="F3078" t="s">
        <v>7636</v>
      </c>
      <c r="G3078" t="s">
        <v>7635</v>
      </c>
      <c r="H3078" t="s">
        <v>3408</v>
      </c>
      <c r="I3078">
        <v>5405</v>
      </c>
      <c r="J3078" s="3">
        <v>155</v>
      </c>
      <c r="K3078" s="3">
        <v>65.42</v>
      </c>
      <c r="L3078">
        <v>57.79</v>
      </c>
    </row>
    <row r="3079" spans="1:12">
      <c r="A3079" s="1">
        <v>46036</v>
      </c>
      <c r="B3079" t="s">
        <v>9496</v>
      </c>
      <c r="C3079">
        <v>14</v>
      </c>
      <c r="D3079" t="str">
        <f>VLOOKUP(Tabela26[[#This Row],[EMP]],[1]LOJA!$A:$B,2,0)</f>
        <v>S IA</v>
      </c>
      <c r="E3079">
        <v>54</v>
      </c>
      <c r="F3079" t="s">
        <v>6064</v>
      </c>
      <c r="G3079" t="s">
        <v>6063</v>
      </c>
      <c r="H3079" t="s">
        <v>3408</v>
      </c>
      <c r="I3079">
        <v>6403</v>
      </c>
      <c r="J3079" s="3">
        <v>120</v>
      </c>
      <c r="K3079" s="3">
        <v>53.04</v>
      </c>
      <c r="L3079">
        <v>55.8</v>
      </c>
    </row>
    <row r="3080" spans="1:12">
      <c r="A3080" s="1">
        <v>46036</v>
      </c>
      <c r="B3080" t="s">
        <v>9495</v>
      </c>
      <c r="C3080">
        <v>12</v>
      </c>
      <c r="D3080" t="str">
        <f>VLOOKUP(Tabela26[[#This Row],[EMP]],[1]LOJA!$A:$B,2,0)</f>
        <v>SOFNORTE</v>
      </c>
      <c r="E3080">
        <v>239</v>
      </c>
      <c r="F3080" t="s">
        <v>3691</v>
      </c>
      <c r="G3080" t="s">
        <v>3690</v>
      </c>
      <c r="H3080" t="s">
        <v>3397</v>
      </c>
      <c r="I3080">
        <v>5102</v>
      </c>
      <c r="J3080" s="3">
        <v>40.409999999999997</v>
      </c>
      <c r="K3080" s="3">
        <v>21.67</v>
      </c>
      <c r="L3080">
        <v>46.37</v>
      </c>
    </row>
    <row r="3081" spans="1:12">
      <c r="A3081" s="1">
        <v>46036</v>
      </c>
      <c r="B3081" t="s">
        <v>9494</v>
      </c>
      <c r="C3081">
        <v>12</v>
      </c>
      <c r="D3081" t="str">
        <f>VLOOKUP(Tabela26[[#This Row],[EMP]],[1]LOJA!$A:$B,2,0)</f>
        <v>SOFNORTE</v>
      </c>
      <c r="E3081">
        <v>60</v>
      </c>
      <c r="F3081" t="s">
        <v>3691</v>
      </c>
      <c r="G3081" t="s">
        <v>3690</v>
      </c>
      <c r="H3081" t="s">
        <v>3397</v>
      </c>
      <c r="I3081">
        <v>5405</v>
      </c>
      <c r="J3081" s="3">
        <v>66</v>
      </c>
      <c r="K3081" s="3">
        <v>29.56</v>
      </c>
      <c r="L3081">
        <v>55.21</v>
      </c>
    </row>
    <row r="3082" spans="1:12">
      <c r="A3082" s="1">
        <v>46036</v>
      </c>
      <c r="B3082" t="s">
        <v>9493</v>
      </c>
      <c r="C3082">
        <v>12</v>
      </c>
      <c r="D3082" t="str">
        <f>VLOOKUP(Tabela26[[#This Row],[EMP]],[1]LOJA!$A:$B,2,0)</f>
        <v>SOFNORTE</v>
      </c>
      <c r="E3082">
        <v>239</v>
      </c>
      <c r="F3082" t="s">
        <v>3691</v>
      </c>
      <c r="G3082" t="s">
        <v>3690</v>
      </c>
      <c r="H3082" t="s">
        <v>3397</v>
      </c>
      <c r="I3082">
        <v>5102</v>
      </c>
      <c r="J3082" s="3">
        <v>109.5</v>
      </c>
      <c r="K3082" s="3">
        <v>50.72</v>
      </c>
      <c r="L3082">
        <v>53.68</v>
      </c>
    </row>
    <row r="3083" spans="1:12">
      <c r="A3083" s="1">
        <v>46036</v>
      </c>
      <c r="B3083" t="s">
        <v>9492</v>
      </c>
      <c r="C3083">
        <v>12</v>
      </c>
      <c r="D3083" t="str">
        <f>VLOOKUP(Tabela26[[#This Row],[EMP]],[1]LOJA!$A:$B,2,0)</f>
        <v>SOFNORTE</v>
      </c>
      <c r="E3083">
        <v>239</v>
      </c>
      <c r="F3083" t="s">
        <v>3403</v>
      </c>
      <c r="G3083" t="s">
        <v>3402</v>
      </c>
      <c r="H3083" t="s">
        <v>3401</v>
      </c>
      <c r="I3083">
        <v>5102</v>
      </c>
      <c r="J3083" s="3">
        <v>25</v>
      </c>
      <c r="K3083" s="3">
        <v>14.16</v>
      </c>
      <c r="L3083">
        <v>43.36</v>
      </c>
    </row>
    <row r="3084" spans="1:12">
      <c r="A3084" s="1">
        <v>46036</v>
      </c>
      <c r="B3084" t="s">
        <v>9491</v>
      </c>
      <c r="C3084">
        <v>12</v>
      </c>
      <c r="D3084" t="str">
        <f>VLOOKUP(Tabela26[[#This Row],[EMP]],[1]LOJA!$A:$B,2,0)</f>
        <v>SOFNORTE</v>
      </c>
      <c r="E3084">
        <v>60</v>
      </c>
      <c r="F3084" t="s">
        <v>9490</v>
      </c>
      <c r="G3084" t="s">
        <v>3402</v>
      </c>
      <c r="H3084" t="s">
        <v>3408</v>
      </c>
      <c r="I3084">
        <v>5405</v>
      </c>
      <c r="J3084" s="3">
        <v>293.39999999999998</v>
      </c>
      <c r="K3084" s="3">
        <v>159.18</v>
      </c>
      <c r="L3084">
        <v>45.75</v>
      </c>
    </row>
    <row r="3085" spans="1:12">
      <c r="A3085" s="1">
        <v>46036</v>
      </c>
      <c r="B3085" t="s">
        <v>9489</v>
      </c>
      <c r="C3085">
        <v>12</v>
      </c>
      <c r="D3085" t="str">
        <f>VLOOKUP(Tabela26[[#This Row],[EMP]],[1]LOJA!$A:$B,2,0)</f>
        <v>SOFNORTE</v>
      </c>
      <c r="E3085">
        <v>60</v>
      </c>
      <c r="F3085" t="s">
        <v>9488</v>
      </c>
      <c r="G3085" t="s">
        <v>3402</v>
      </c>
      <c r="H3085" t="s">
        <v>3401</v>
      </c>
      <c r="I3085">
        <v>5405</v>
      </c>
      <c r="J3085" s="3">
        <v>36</v>
      </c>
      <c r="K3085" s="3">
        <v>15.94</v>
      </c>
      <c r="L3085">
        <v>55.72</v>
      </c>
    </row>
    <row r="3086" spans="1:12">
      <c r="A3086" s="1">
        <v>46036</v>
      </c>
      <c r="B3086" t="s">
        <v>9487</v>
      </c>
      <c r="C3086">
        <v>12</v>
      </c>
      <c r="D3086" t="str">
        <f>VLOOKUP(Tabela26[[#This Row],[EMP]],[1]LOJA!$A:$B,2,0)</f>
        <v>SOFNORTE</v>
      </c>
      <c r="E3086">
        <v>60</v>
      </c>
      <c r="F3086" t="s">
        <v>3691</v>
      </c>
      <c r="G3086" t="s">
        <v>3690</v>
      </c>
      <c r="H3086" t="s">
        <v>3397</v>
      </c>
      <c r="I3086">
        <v>5405</v>
      </c>
      <c r="J3086" s="3">
        <v>93</v>
      </c>
      <c r="K3086" s="3">
        <v>44.23</v>
      </c>
      <c r="L3086">
        <v>52.44</v>
      </c>
    </row>
    <row r="3087" spans="1:12">
      <c r="A3087" s="1">
        <v>46036</v>
      </c>
      <c r="B3087" t="s">
        <v>9486</v>
      </c>
      <c r="C3087">
        <v>12</v>
      </c>
      <c r="D3087" t="str">
        <f>VLOOKUP(Tabela26[[#This Row],[EMP]],[1]LOJA!$A:$B,2,0)</f>
        <v>SOFNORTE</v>
      </c>
      <c r="E3087">
        <v>60</v>
      </c>
      <c r="F3087" t="s">
        <v>3715</v>
      </c>
      <c r="G3087" t="s">
        <v>3714</v>
      </c>
      <c r="H3087" t="s">
        <v>3408</v>
      </c>
      <c r="I3087">
        <v>5405</v>
      </c>
      <c r="J3087" s="3">
        <v>90</v>
      </c>
      <c r="K3087" s="3">
        <v>43.94</v>
      </c>
      <c r="L3087">
        <v>51.18</v>
      </c>
    </row>
    <row r="3088" spans="1:12">
      <c r="A3088" s="1">
        <v>46036</v>
      </c>
      <c r="B3088" t="s">
        <v>9485</v>
      </c>
      <c r="C3088">
        <v>12</v>
      </c>
      <c r="D3088" t="str">
        <f>VLOOKUP(Tabela26[[#This Row],[EMP]],[1]LOJA!$A:$B,2,0)</f>
        <v>SOFNORTE</v>
      </c>
      <c r="E3088">
        <v>60</v>
      </c>
      <c r="F3088" t="s">
        <v>3715</v>
      </c>
      <c r="G3088" t="s">
        <v>3714</v>
      </c>
      <c r="H3088" t="s">
        <v>3408</v>
      </c>
      <c r="I3088">
        <v>5405</v>
      </c>
      <c r="J3088" s="3">
        <v>34</v>
      </c>
      <c r="K3088" s="3">
        <v>14.79</v>
      </c>
      <c r="L3088">
        <v>56.5</v>
      </c>
    </row>
    <row r="3089" spans="1:12">
      <c r="A3089" s="1">
        <v>46036</v>
      </c>
      <c r="B3089" t="s">
        <v>9484</v>
      </c>
      <c r="C3089">
        <v>12</v>
      </c>
      <c r="D3089" t="str">
        <f>VLOOKUP(Tabela26[[#This Row],[EMP]],[1]LOJA!$A:$B,2,0)</f>
        <v>SOFNORTE</v>
      </c>
      <c r="E3089">
        <v>60</v>
      </c>
      <c r="F3089" t="s">
        <v>3715</v>
      </c>
      <c r="G3089" t="s">
        <v>3714</v>
      </c>
      <c r="H3089" t="s">
        <v>3408</v>
      </c>
      <c r="I3089">
        <v>5405</v>
      </c>
      <c r="J3089" s="3">
        <v>65</v>
      </c>
      <c r="K3089" s="3">
        <v>30.51</v>
      </c>
      <c r="L3089">
        <v>53.06</v>
      </c>
    </row>
    <row r="3090" spans="1:12">
      <c r="A3090" s="1">
        <v>46036</v>
      </c>
      <c r="B3090" t="s">
        <v>9483</v>
      </c>
      <c r="C3090">
        <v>12</v>
      </c>
      <c r="D3090" t="str">
        <f>VLOOKUP(Tabela26[[#This Row],[EMP]],[1]LOJA!$A:$B,2,0)</f>
        <v>SOFNORTE</v>
      </c>
      <c r="E3090">
        <v>239</v>
      </c>
      <c r="F3090" t="s">
        <v>3722</v>
      </c>
      <c r="G3090" t="s">
        <v>3721</v>
      </c>
      <c r="H3090" t="s">
        <v>3401</v>
      </c>
      <c r="I3090">
        <v>5102</v>
      </c>
      <c r="J3090" s="3">
        <v>59</v>
      </c>
      <c r="K3090" s="3">
        <v>30.8</v>
      </c>
      <c r="L3090">
        <v>47.8</v>
      </c>
    </row>
    <row r="3091" spans="1:12">
      <c r="A3091" s="1">
        <v>46036</v>
      </c>
      <c r="B3091" t="s">
        <v>9482</v>
      </c>
      <c r="C3091">
        <v>12</v>
      </c>
      <c r="D3091" t="str">
        <f>VLOOKUP(Tabela26[[#This Row],[EMP]],[1]LOJA!$A:$B,2,0)</f>
        <v>SOFNORTE</v>
      </c>
      <c r="E3091">
        <v>60</v>
      </c>
      <c r="F3091" t="s">
        <v>3715</v>
      </c>
      <c r="G3091" t="s">
        <v>3714</v>
      </c>
      <c r="H3091" t="s">
        <v>3408</v>
      </c>
      <c r="I3091">
        <v>5102</v>
      </c>
      <c r="J3091" s="3">
        <v>20</v>
      </c>
      <c r="K3091" s="3">
        <v>7.2</v>
      </c>
      <c r="L3091">
        <v>64</v>
      </c>
    </row>
    <row r="3092" spans="1:12">
      <c r="A3092" s="1">
        <v>46036</v>
      </c>
      <c r="B3092" t="s">
        <v>9481</v>
      </c>
      <c r="C3092">
        <v>12</v>
      </c>
      <c r="D3092" t="str">
        <f>VLOOKUP(Tabela26[[#This Row],[EMP]],[1]LOJA!$A:$B,2,0)</f>
        <v>SOFNORTE</v>
      </c>
      <c r="E3092">
        <v>239</v>
      </c>
      <c r="F3092" t="s">
        <v>3403</v>
      </c>
      <c r="G3092" t="s">
        <v>3402</v>
      </c>
      <c r="H3092" t="s">
        <v>3401</v>
      </c>
      <c r="I3092">
        <v>5102</v>
      </c>
      <c r="J3092" s="3">
        <v>20</v>
      </c>
      <c r="K3092" s="3">
        <v>10.26</v>
      </c>
      <c r="L3092">
        <v>48.7</v>
      </c>
    </row>
    <row r="3093" spans="1:12">
      <c r="A3093" s="1">
        <v>46036</v>
      </c>
      <c r="B3093" t="s">
        <v>9480</v>
      </c>
      <c r="C3093">
        <v>12</v>
      </c>
      <c r="D3093" t="str">
        <f>VLOOKUP(Tabela26[[#This Row],[EMP]],[1]LOJA!$A:$B,2,0)</f>
        <v>SOFNORTE</v>
      </c>
      <c r="E3093">
        <v>239</v>
      </c>
      <c r="F3093" t="s">
        <v>3403</v>
      </c>
      <c r="G3093" t="s">
        <v>3402</v>
      </c>
      <c r="H3093" t="s">
        <v>3401</v>
      </c>
      <c r="I3093">
        <v>5405</v>
      </c>
      <c r="J3093" s="3">
        <v>146</v>
      </c>
      <c r="K3093" s="3">
        <v>71.099999999999994</v>
      </c>
      <c r="L3093">
        <v>51.3</v>
      </c>
    </row>
    <row r="3094" spans="1:12">
      <c r="A3094" s="1">
        <v>46036</v>
      </c>
      <c r="B3094" t="s">
        <v>9479</v>
      </c>
      <c r="C3094">
        <v>12</v>
      </c>
      <c r="D3094" t="str">
        <f>VLOOKUP(Tabela26[[#This Row],[EMP]],[1]LOJA!$A:$B,2,0)</f>
        <v>SOFNORTE</v>
      </c>
      <c r="E3094">
        <v>239</v>
      </c>
      <c r="F3094" t="s">
        <v>3403</v>
      </c>
      <c r="G3094" t="s">
        <v>3402</v>
      </c>
      <c r="H3094" t="s">
        <v>3401</v>
      </c>
      <c r="I3094">
        <v>5102</v>
      </c>
      <c r="J3094" s="3">
        <v>2.6</v>
      </c>
      <c r="K3094" s="3">
        <v>1.35</v>
      </c>
      <c r="L3094">
        <v>48.08</v>
      </c>
    </row>
    <row r="3095" spans="1:12">
      <c r="A3095" s="1">
        <v>46036</v>
      </c>
      <c r="B3095" t="s">
        <v>9478</v>
      </c>
      <c r="C3095">
        <v>12</v>
      </c>
      <c r="D3095" t="str">
        <f>VLOOKUP(Tabela26[[#This Row],[EMP]],[1]LOJA!$A:$B,2,0)</f>
        <v>SOFNORTE</v>
      </c>
      <c r="E3095">
        <v>60</v>
      </c>
      <c r="F3095" t="s">
        <v>4455</v>
      </c>
      <c r="G3095" t="s">
        <v>3402</v>
      </c>
      <c r="H3095" t="s">
        <v>3408</v>
      </c>
      <c r="I3095">
        <v>5405</v>
      </c>
      <c r="J3095" s="3">
        <v>179</v>
      </c>
      <c r="K3095" s="3">
        <v>83.99</v>
      </c>
      <c r="L3095">
        <v>53.08</v>
      </c>
    </row>
    <row r="3096" spans="1:12">
      <c r="A3096" s="1">
        <v>46036</v>
      </c>
      <c r="B3096" t="s">
        <v>9477</v>
      </c>
      <c r="C3096">
        <v>12</v>
      </c>
      <c r="D3096" t="str">
        <f>VLOOKUP(Tabela26[[#This Row],[EMP]],[1]LOJA!$A:$B,2,0)</f>
        <v>SOFNORTE</v>
      </c>
      <c r="E3096">
        <v>60</v>
      </c>
      <c r="F3096" t="s">
        <v>3691</v>
      </c>
      <c r="G3096" t="s">
        <v>3690</v>
      </c>
      <c r="H3096" t="s">
        <v>3397</v>
      </c>
      <c r="I3096">
        <v>5102</v>
      </c>
      <c r="J3096" s="3">
        <v>122</v>
      </c>
      <c r="K3096" s="3">
        <v>57.99</v>
      </c>
      <c r="L3096">
        <v>52.47</v>
      </c>
    </row>
    <row r="3097" spans="1:12">
      <c r="A3097" s="1">
        <v>46036</v>
      </c>
      <c r="B3097" t="s">
        <v>9476</v>
      </c>
      <c r="C3097">
        <v>12</v>
      </c>
      <c r="D3097" t="str">
        <f>VLOOKUP(Tabela26[[#This Row],[EMP]],[1]LOJA!$A:$B,2,0)</f>
        <v>SOFNORTE</v>
      </c>
      <c r="E3097">
        <v>60</v>
      </c>
      <c r="F3097" t="s">
        <v>3715</v>
      </c>
      <c r="G3097" t="s">
        <v>3714</v>
      </c>
      <c r="H3097" t="s">
        <v>3408</v>
      </c>
      <c r="I3097">
        <v>5405</v>
      </c>
      <c r="J3097" s="3">
        <v>65</v>
      </c>
      <c r="K3097" s="3">
        <v>30.51</v>
      </c>
      <c r="L3097">
        <v>53.06</v>
      </c>
    </row>
    <row r="3098" spans="1:12">
      <c r="A3098" s="1">
        <v>46036</v>
      </c>
      <c r="B3098" t="s">
        <v>9475</v>
      </c>
      <c r="C3098">
        <v>12</v>
      </c>
      <c r="D3098" t="str">
        <f>VLOOKUP(Tabela26[[#This Row],[EMP]],[1]LOJA!$A:$B,2,0)</f>
        <v>SOFNORTE</v>
      </c>
      <c r="E3098">
        <v>60</v>
      </c>
      <c r="F3098" t="s">
        <v>3701</v>
      </c>
      <c r="G3098" t="s">
        <v>3700</v>
      </c>
      <c r="H3098" t="s">
        <v>3408</v>
      </c>
      <c r="I3098">
        <v>5405</v>
      </c>
      <c r="J3098" s="3">
        <v>47</v>
      </c>
      <c r="K3098" s="3">
        <v>20.14</v>
      </c>
      <c r="L3098">
        <v>57.15</v>
      </c>
    </row>
    <row r="3099" spans="1:12">
      <c r="A3099" s="1">
        <v>46036</v>
      </c>
      <c r="B3099" t="s">
        <v>9474</v>
      </c>
      <c r="C3099">
        <v>12</v>
      </c>
      <c r="D3099" t="str">
        <f>VLOOKUP(Tabela26[[#This Row],[EMP]],[1]LOJA!$A:$B,2,0)</f>
        <v>SOFNORTE</v>
      </c>
      <c r="E3099">
        <v>60</v>
      </c>
      <c r="F3099" t="s">
        <v>3704</v>
      </c>
      <c r="G3099" t="s">
        <v>3703</v>
      </c>
      <c r="H3099" t="s">
        <v>3408</v>
      </c>
      <c r="I3099">
        <v>5102</v>
      </c>
      <c r="J3099" s="3">
        <v>74</v>
      </c>
      <c r="K3099" s="3">
        <v>35.4</v>
      </c>
      <c r="L3099">
        <v>52.16</v>
      </c>
    </row>
    <row r="3100" spans="1:12">
      <c r="A3100" s="1">
        <v>46036</v>
      </c>
      <c r="B3100" t="s">
        <v>9473</v>
      </c>
      <c r="C3100">
        <v>14</v>
      </c>
      <c r="D3100" t="str">
        <f>VLOOKUP(Tabela26[[#This Row],[EMP]],[1]LOJA!$A:$B,2,0)</f>
        <v>S IA</v>
      </c>
      <c r="E3100">
        <v>54</v>
      </c>
      <c r="F3100" t="s">
        <v>5599</v>
      </c>
      <c r="G3100" t="s">
        <v>5598</v>
      </c>
      <c r="H3100" t="s">
        <v>3408</v>
      </c>
      <c r="I3100">
        <v>5405</v>
      </c>
      <c r="J3100" s="3">
        <v>119</v>
      </c>
      <c r="K3100" s="3">
        <v>60.29</v>
      </c>
      <c r="L3100">
        <v>49.34</v>
      </c>
    </row>
    <row r="3101" spans="1:12">
      <c r="A3101" s="1">
        <v>46036</v>
      </c>
      <c r="B3101" t="s">
        <v>9472</v>
      </c>
      <c r="C3101">
        <v>14</v>
      </c>
      <c r="D3101" t="str">
        <f>VLOOKUP(Tabela26[[#This Row],[EMP]],[1]LOJA!$A:$B,2,0)</f>
        <v>S IA</v>
      </c>
      <c r="E3101">
        <v>212</v>
      </c>
      <c r="F3101" t="s">
        <v>3403</v>
      </c>
      <c r="G3101" t="s">
        <v>3402</v>
      </c>
      <c r="H3101" t="s">
        <v>3401</v>
      </c>
      <c r="I3101">
        <v>5102</v>
      </c>
      <c r="J3101" s="3">
        <v>12</v>
      </c>
      <c r="K3101" s="3">
        <v>6.16</v>
      </c>
      <c r="L3101">
        <v>48.67</v>
      </c>
    </row>
    <row r="3102" spans="1:12">
      <c r="A3102" s="1">
        <v>46036</v>
      </c>
      <c r="B3102" t="s">
        <v>9471</v>
      </c>
      <c r="C3102">
        <v>14</v>
      </c>
      <c r="D3102" t="str">
        <f>VLOOKUP(Tabela26[[#This Row],[EMP]],[1]LOJA!$A:$B,2,0)</f>
        <v>S IA</v>
      </c>
      <c r="E3102">
        <v>212</v>
      </c>
      <c r="F3102" t="s">
        <v>9470</v>
      </c>
      <c r="G3102" t="s">
        <v>9469</v>
      </c>
      <c r="H3102" t="s">
        <v>3401</v>
      </c>
      <c r="I3102">
        <v>5102</v>
      </c>
      <c r="J3102" s="3">
        <v>66.05</v>
      </c>
      <c r="K3102" s="3">
        <v>36.81</v>
      </c>
      <c r="L3102">
        <v>44.27</v>
      </c>
    </row>
    <row r="3103" spans="1:12">
      <c r="A3103" s="1">
        <v>46036</v>
      </c>
      <c r="B3103" t="s">
        <v>9468</v>
      </c>
      <c r="C3103">
        <v>14</v>
      </c>
      <c r="D3103" t="str">
        <f>VLOOKUP(Tabela26[[#This Row],[EMP]],[1]LOJA!$A:$B,2,0)</f>
        <v>S IA</v>
      </c>
      <c r="E3103">
        <v>212</v>
      </c>
      <c r="F3103" t="s">
        <v>6265</v>
      </c>
      <c r="G3103" t="s">
        <v>9467</v>
      </c>
      <c r="H3103" t="s">
        <v>3401</v>
      </c>
      <c r="I3103">
        <v>5102</v>
      </c>
      <c r="J3103" s="3">
        <v>58</v>
      </c>
      <c r="K3103" s="3">
        <v>25.04</v>
      </c>
      <c r="L3103">
        <v>56.83</v>
      </c>
    </row>
    <row r="3104" spans="1:12">
      <c r="A3104" s="1">
        <v>46036</v>
      </c>
      <c r="B3104" t="s">
        <v>9466</v>
      </c>
      <c r="C3104">
        <v>14</v>
      </c>
      <c r="D3104" t="str">
        <f>VLOOKUP(Tabela26[[#This Row],[EMP]],[1]LOJA!$A:$B,2,0)</f>
        <v>S IA</v>
      </c>
      <c r="E3104">
        <v>54</v>
      </c>
      <c r="F3104" t="s">
        <v>9465</v>
      </c>
      <c r="G3104" t="s">
        <v>9464</v>
      </c>
      <c r="H3104" t="s">
        <v>3401</v>
      </c>
      <c r="I3104">
        <v>5405</v>
      </c>
      <c r="J3104" s="3">
        <v>46.8</v>
      </c>
      <c r="K3104" s="3">
        <v>20.52</v>
      </c>
      <c r="L3104">
        <v>56.15</v>
      </c>
    </row>
    <row r="3105" spans="1:12">
      <c r="A3105" s="1">
        <v>46036</v>
      </c>
      <c r="B3105" t="s">
        <v>9463</v>
      </c>
      <c r="C3105">
        <v>14</v>
      </c>
      <c r="D3105" t="str">
        <f>VLOOKUP(Tabela26[[#This Row],[EMP]],[1]LOJA!$A:$B,2,0)</f>
        <v>S IA</v>
      </c>
      <c r="E3105">
        <v>54</v>
      </c>
      <c r="F3105" t="s">
        <v>9057</v>
      </c>
      <c r="G3105" t="s">
        <v>9056</v>
      </c>
      <c r="H3105" t="s">
        <v>3408</v>
      </c>
      <c r="I3105">
        <v>5102</v>
      </c>
      <c r="J3105" s="3">
        <v>83.9</v>
      </c>
      <c r="K3105" s="3">
        <v>43.78</v>
      </c>
      <c r="L3105">
        <v>47.82</v>
      </c>
    </row>
    <row r="3106" spans="1:12">
      <c r="A3106" s="1">
        <v>46036</v>
      </c>
      <c r="B3106" t="s">
        <v>9462</v>
      </c>
      <c r="C3106">
        <v>14</v>
      </c>
      <c r="D3106" t="str">
        <f>VLOOKUP(Tabela26[[#This Row],[EMP]],[1]LOJA!$A:$B,2,0)</f>
        <v>S IA</v>
      </c>
      <c r="E3106">
        <v>54</v>
      </c>
      <c r="F3106" t="s">
        <v>3694</v>
      </c>
      <c r="G3106" t="s">
        <v>3693</v>
      </c>
      <c r="H3106" t="s">
        <v>3401</v>
      </c>
      <c r="I3106">
        <v>5405</v>
      </c>
      <c r="J3106" s="3">
        <v>77</v>
      </c>
      <c r="K3106" s="3">
        <v>38.71</v>
      </c>
      <c r="L3106">
        <v>49.73</v>
      </c>
    </row>
    <row r="3107" spans="1:12">
      <c r="A3107" s="1">
        <v>46036</v>
      </c>
      <c r="B3107" t="s">
        <v>9461</v>
      </c>
      <c r="C3107">
        <v>14</v>
      </c>
      <c r="D3107" t="str">
        <f>VLOOKUP(Tabela26[[#This Row],[EMP]],[1]LOJA!$A:$B,2,0)</f>
        <v>S IA</v>
      </c>
      <c r="E3107">
        <v>54</v>
      </c>
      <c r="F3107" t="s">
        <v>3403</v>
      </c>
      <c r="G3107" t="s">
        <v>3402</v>
      </c>
      <c r="H3107" t="s">
        <v>3401</v>
      </c>
      <c r="I3107">
        <v>5405</v>
      </c>
      <c r="J3107" s="3">
        <v>29.9</v>
      </c>
      <c r="K3107" s="3">
        <v>12.04</v>
      </c>
      <c r="L3107">
        <v>59.73</v>
      </c>
    </row>
    <row r="3108" spans="1:12">
      <c r="A3108" s="1">
        <v>46036</v>
      </c>
      <c r="B3108" t="s">
        <v>9460</v>
      </c>
      <c r="C3108">
        <v>14</v>
      </c>
      <c r="D3108" t="str">
        <f>VLOOKUP(Tabela26[[#This Row],[EMP]],[1]LOJA!$A:$B,2,0)</f>
        <v>S IA</v>
      </c>
      <c r="E3108">
        <v>54</v>
      </c>
      <c r="F3108" t="s">
        <v>5592</v>
      </c>
      <c r="G3108" t="s">
        <v>5591</v>
      </c>
      <c r="H3108" t="s">
        <v>3401</v>
      </c>
      <c r="I3108">
        <v>5405</v>
      </c>
      <c r="J3108" s="3">
        <v>35</v>
      </c>
      <c r="K3108" s="3">
        <v>17.68</v>
      </c>
      <c r="L3108">
        <v>49.49</v>
      </c>
    </row>
    <row r="3109" spans="1:12">
      <c r="A3109" s="1">
        <v>46036</v>
      </c>
      <c r="B3109" t="s">
        <v>9459</v>
      </c>
      <c r="C3109">
        <v>14</v>
      </c>
      <c r="D3109" t="str">
        <f>VLOOKUP(Tabela26[[#This Row],[EMP]],[1]LOJA!$A:$B,2,0)</f>
        <v>S IA</v>
      </c>
      <c r="E3109">
        <v>54</v>
      </c>
      <c r="F3109" t="s">
        <v>5592</v>
      </c>
      <c r="G3109" t="s">
        <v>5591</v>
      </c>
      <c r="H3109" t="s">
        <v>3401</v>
      </c>
      <c r="I3109">
        <v>5102</v>
      </c>
      <c r="J3109" s="3">
        <v>35</v>
      </c>
      <c r="K3109" s="3">
        <v>16.920000000000002</v>
      </c>
      <c r="L3109">
        <v>51.66</v>
      </c>
    </row>
    <row r="3110" spans="1:12">
      <c r="A3110" s="1">
        <v>46036</v>
      </c>
      <c r="B3110" t="s">
        <v>9458</v>
      </c>
      <c r="C3110">
        <v>4</v>
      </c>
      <c r="D3110" t="str">
        <f>VLOOKUP(Tabela26[[#This Row],[EMP]],[1]LOJA!$A:$B,2,0)</f>
        <v>ADE</v>
      </c>
      <c r="E3110">
        <v>132</v>
      </c>
      <c r="F3110" t="s">
        <v>3677</v>
      </c>
      <c r="G3110" t="s">
        <v>3676</v>
      </c>
      <c r="H3110" t="s">
        <v>4249</v>
      </c>
      <c r="I3110">
        <v>5102</v>
      </c>
      <c r="J3110" s="3">
        <v>1030.4000000000001</v>
      </c>
      <c r="K3110" s="3">
        <v>639.11</v>
      </c>
      <c r="L3110">
        <v>37.97</v>
      </c>
    </row>
    <row r="3111" spans="1:12">
      <c r="A3111" s="1">
        <v>46036</v>
      </c>
      <c r="B3111" t="s">
        <v>9457</v>
      </c>
      <c r="C3111">
        <v>4</v>
      </c>
      <c r="D3111" t="str">
        <f>VLOOKUP(Tabela26[[#This Row],[EMP]],[1]LOJA!$A:$B,2,0)</f>
        <v>ADE</v>
      </c>
      <c r="E3111">
        <v>132</v>
      </c>
      <c r="F3111" t="s">
        <v>3677</v>
      </c>
      <c r="G3111" t="s">
        <v>3676</v>
      </c>
      <c r="H3111" t="s">
        <v>3679</v>
      </c>
      <c r="I3111">
        <v>5405</v>
      </c>
      <c r="J3111" s="3">
        <v>1201.7</v>
      </c>
      <c r="K3111" s="3">
        <v>688.31</v>
      </c>
      <c r="L3111">
        <v>42.72</v>
      </c>
    </row>
    <row r="3112" spans="1:12">
      <c r="A3112" s="1">
        <v>46036</v>
      </c>
      <c r="B3112" t="s">
        <v>9456</v>
      </c>
      <c r="C3112">
        <v>4</v>
      </c>
      <c r="D3112" t="str">
        <f>VLOOKUP(Tabela26[[#This Row],[EMP]],[1]LOJA!$A:$B,2,0)</f>
        <v>ADE</v>
      </c>
      <c r="E3112">
        <v>109</v>
      </c>
      <c r="F3112" t="s">
        <v>3660</v>
      </c>
      <c r="G3112" t="s">
        <v>3659</v>
      </c>
      <c r="H3112" t="s">
        <v>3430</v>
      </c>
      <c r="I3112">
        <v>5102</v>
      </c>
      <c r="J3112" s="3">
        <v>150</v>
      </c>
      <c r="K3112" s="3">
        <v>92.5</v>
      </c>
      <c r="L3112">
        <v>38.33</v>
      </c>
    </row>
    <row r="3113" spans="1:12">
      <c r="A3113" s="1">
        <v>46036</v>
      </c>
      <c r="B3113" t="s">
        <v>9455</v>
      </c>
      <c r="C3113">
        <v>4</v>
      </c>
      <c r="D3113" t="str">
        <f>VLOOKUP(Tabela26[[#This Row],[EMP]],[1]LOJA!$A:$B,2,0)</f>
        <v>ADE</v>
      </c>
      <c r="E3113">
        <v>132</v>
      </c>
      <c r="F3113" t="s">
        <v>3667</v>
      </c>
      <c r="G3113" t="s">
        <v>3666</v>
      </c>
      <c r="H3113" t="s">
        <v>3430</v>
      </c>
      <c r="I3113">
        <v>5405</v>
      </c>
      <c r="J3113" s="3">
        <v>235.4</v>
      </c>
      <c r="K3113" s="3">
        <v>163.85</v>
      </c>
      <c r="L3113">
        <v>30.4</v>
      </c>
    </row>
    <row r="3114" spans="1:12">
      <c r="A3114" s="1">
        <v>46036</v>
      </c>
      <c r="B3114" t="s">
        <v>9454</v>
      </c>
      <c r="C3114">
        <v>4</v>
      </c>
      <c r="D3114" t="str">
        <f>VLOOKUP(Tabela26[[#This Row],[EMP]],[1]LOJA!$A:$B,2,0)</f>
        <v>ADE</v>
      </c>
      <c r="E3114">
        <v>132</v>
      </c>
      <c r="F3114" t="s">
        <v>3677</v>
      </c>
      <c r="G3114" t="s">
        <v>3676</v>
      </c>
      <c r="H3114" t="s">
        <v>4249</v>
      </c>
      <c r="I3114">
        <v>5405</v>
      </c>
      <c r="J3114" s="3">
        <v>493.7</v>
      </c>
      <c r="K3114" s="3">
        <v>230.9</v>
      </c>
      <c r="L3114">
        <v>53.23</v>
      </c>
    </row>
    <row r="3115" spans="1:12">
      <c r="A3115" s="1">
        <v>46036</v>
      </c>
      <c r="B3115" t="s">
        <v>9453</v>
      </c>
      <c r="C3115">
        <v>4</v>
      </c>
      <c r="D3115" t="str">
        <f>VLOOKUP(Tabela26[[#This Row],[EMP]],[1]LOJA!$A:$B,2,0)</f>
        <v>ADE</v>
      </c>
      <c r="E3115">
        <v>132</v>
      </c>
      <c r="F3115" t="s">
        <v>9031</v>
      </c>
      <c r="G3115" t="s">
        <v>9030</v>
      </c>
      <c r="H3115" t="s">
        <v>4249</v>
      </c>
      <c r="I3115">
        <v>5102</v>
      </c>
      <c r="J3115" s="3">
        <v>825.3</v>
      </c>
      <c r="K3115" s="3">
        <v>424.43</v>
      </c>
      <c r="L3115">
        <v>48.57</v>
      </c>
    </row>
    <row r="3116" spans="1:12">
      <c r="A3116" s="1">
        <v>46036</v>
      </c>
      <c r="B3116" t="s">
        <v>9452</v>
      </c>
      <c r="C3116">
        <v>4</v>
      </c>
      <c r="D3116" t="str">
        <f>VLOOKUP(Tabela26[[#This Row],[EMP]],[1]LOJA!$A:$B,2,0)</f>
        <v>ADE</v>
      </c>
      <c r="E3116">
        <v>109</v>
      </c>
      <c r="F3116" t="s">
        <v>4377</v>
      </c>
      <c r="G3116" t="s">
        <v>4376</v>
      </c>
      <c r="H3116" t="s">
        <v>3408</v>
      </c>
      <c r="I3116">
        <v>5405</v>
      </c>
      <c r="J3116" s="3">
        <v>3557.2</v>
      </c>
      <c r="K3116" s="3">
        <v>1724.27</v>
      </c>
      <c r="L3116">
        <v>51.53</v>
      </c>
    </row>
    <row r="3117" spans="1:12">
      <c r="A3117" s="1">
        <v>46036</v>
      </c>
      <c r="B3117" t="s">
        <v>9451</v>
      </c>
      <c r="C3117">
        <v>4</v>
      </c>
      <c r="D3117" t="str">
        <f>VLOOKUP(Tabela26[[#This Row],[EMP]],[1]LOJA!$A:$B,2,0)</f>
        <v>ADE</v>
      </c>
      <c r="E3117">
        <v>132</v>
      </c>
      <c r="F3117" t="s">
        <v>3664</v>
      </c>
      <c r="G3117" t="s">
        <v>3663</v>
      </c>
      <c r="H3117" t="s">
        <v>3430</v>
      </c>
      <c r="I3117">
        <v>5405</v>
      </c>
      <c r="J3117" s="3">
        <v>205.42</v>
      </c>
      <c r="K3117" s="3">
        <v>98.74</v>
      </c>
      <c r="L3117">
        <v>51.93</v>
      </c>
    </row>
    <row r="3118" spans="1:12">
      <c r="A3118" s="1">
        <v>46036</v>
      </c>
      <c r="B3118" t="s">
        <v>9450</v>
      </c>
      <c r="C3118">
        <v>4</v>
      </c>
      <c r="D3118" t="str">
        <f>VLOOKUP(Tabela26[[#This Row],[EMP]],[1]LOJA!$A:$B,2,0)</f>
        <v>ADE</v>
      </c>
      <c r="E3118">
        <v>109</v>
      </c>
      <c r="F3118" t="s">
        <v>3660</v>
      </c>
      <c r="G3118" t="s">
        <v>3659</v>
      </c>
      <c r="H3118" t="s">
        <v>3430</v>
      </c>
      <c r="I3118">
        <v>5102</v>
      </c>
      <c r="J3118" s="3">
        <v>108.8</v>
      </c>
      <c r="K3118" s="3">
        <v>64.34</v>
      </c>
      <c r="L3118">
        <v>40.86</v>
      </c>
    </row>
    <row r="3119" spans="1:12">
      <c r="A3119" s="1">
        <v>46036</v>
      </c>
      <c r="B3119" t="s">
        <v>9449</v>
      </c>
      <c r="C3119">
        <v>4</v>
      </c>
      <c r="D3119" t="str">
        <f>VLOOKUP(Tabela26[[#This Row],[EMP]],[1]LOJA!$A:$B,2,0)</f>
        <v>ADE</v>
      </c>
      <c r="E3119">
        <v>132</v>
      </c>
      <c r="F3119" t="s">
        <v>3660</v>
      </c>
      <c r="G3119" t="s">
        <v>3659</v>
      </c>
      <c r="H3119" t="s">
        <v>3430</v>
      </c>
      <c r="I3119">
        <v>5405</v>
      </c>
      <c r="J3119" s="3">
        <v>291.64999999999998</v>
      </c>
      <c r="K3119" s="3">
        <v>139.36000000000001</v>
      </c>
      <c r="L3119">
        <v>52.22</v>
      </c>
    </row>
    <row r="3120" spans="1:12">
      <c r="A3120" s="1">
        <v>46036</v>
      </c>
      <c r="B3120" t="s">
        <v>9448</v>
      </c>
      <c r="C3120">
        <v>13</v>
      </c>
      <c r="D3120" t="str">
        <f>VLOOKUP(Tabela26[[#This Row],[EMP]],[1]LOJA!$A:$B,2,0)</f>
        <v>CEILÂNDIA</v>
      </c>
      <c r="E3120">
        <v>33</v>
      </c>
      <c r="F3120" t="s">
        <v>9447</v>
      </c>
      <c r="G3120" t="s">
        <v>9446</v>
      </c>
      <c r="H3120" t="s">
        <v>3401</v>
      </c>
      <c r="I3120">
        <v>5102</v>
      </c>
      <c r="J3120" s="3">
        <v>217</v>
      </c>
      <c r="K3120" s="3">
        <v>122.68</v>
      </c>
      <c r="L3120">
        <v>43.47</v>
      </c>
    </row>
    <row r="3121" spans="1:12">
      <c r="A3121" s="1">
        <v>46036</v>
      </c>
      <c r="B3121" t="s">
        <v>9445</v>
      </c>
      <c r="C3121">
        <v>13</v>
      </c>
      <c r="D3121" t="str">
        <f>VLOOKUP(Tabela26[[#This Row],[EMP]],[1]LOJA!$A:$B,2,0)</f>
        <v>CEILÂNDIA</v>
      </c>
      <c r="E3121">
        <v>86</v>
      </c>
      <c r="F3121" t="s">
        <v>3403</v>
      </c>
      <c r="G3121" t="s">
        <v>3402</v>
      </c>
      <c r="H3121" t="s">
        <v>3401</v>
      </c>
      <c r="I3121">
        <v>5102</v>
      </c>
      <c r="J3121" s="3">
        <v>32</v>
      </c>
      <c r="K3121" s="3">
        <v>18.260000000000002</v>
      </c>
      <c r="L3121">
        <v>42.94</v>
      </c>
    </row>
    <row r="3122" spans="1:12">
      <c r="A3122" s="1">
        <v>46036</v>
      </c>
      <c r="B3122" t="s">
        <v>9444</v>
      </c>
      <c r="C3122">
        <v>13</v>
      </c>
      <c r="D3122" t="str">
        <f>VLOOKUP(Tabela26[[#This Row],[EMP]],[1]LOJA!$A:$B,2,0)</f>
        <v>CEILÂNDIA</v>
      </c>
      <c r="E3122">
        <v>86</v>
      </c>
      <c r="F3122" t="s">
        <v>3403</v>
      </c>
      <c r="G3122" t="s">
        <v>3402</v>
      </c>
      <c r="H3122" t="s">
        <v>3401</v>
      </c>
      <c r="I3122">
        <v>5102</v>
      </c>
      <c r="J3122" s="3">
        <v>160</v>
      </c>
      <c r="K3122" s="3">
        <v>100.76</v>
      </c>
      <c r="L3122">
        <v>37.03</v>
      </c>
    </row>
    <row r="3123" spans="1:12">
      <c r="A3123" s="1">
        <v>46036</v>
      </c>
      <c r="B3123" t="s">
        <v>9443</v>
      </c>
      <c r="C3123">
        <v>13</v>
      </c>
      <c r="D3123" t="str">
        <f>VLOOKUP(Tabela26[[#This Row],[EMP]],[1]LOJA!$A:$B,2,0)</f>
        <v>CEILÂNDIA</v>
      </c>
      <c r="E3123">
        <v>86</v>
      </c>
      <c r="F3123" t="s">
        <v>3587</v>
      </c>
      <c r="G3123" t="s">
        <v>3586</v>
      </c>
      <c r="H3123" t="s">
        <v>3408</v>
      </c>
      <c r="I3123">
        <v>5405</v>
      </c>
      <c r="J3123" s="3">
        <v>96.01</v>
      </c>
      <c r="K3123" s="3">
        <v>50.24</v>
      </c>
      <c r="L3123">
        <v>47.67</v>
      </c>
    </row>
    <row r="3124" spans="1:12">
      <c r="A3124" s="1">
        <v>46036</v>
      </c>
      <c r="B3124" t="s">
        <v>9442</v>
      </c>
      <c r="C3124">
        <v>13</v>
      </c>
      <c r="D3124" t="str">
        <f>VLOOKUP(Tabela26[[#This Row],[EMP]],[1]LOJA!$A:$B,2,0)</f>
        <v>CEILÂNDIA</v>
      </c>
      <c r="E3124">
        <v>86</v>
      </c>
      <c r="F3124" t="s">
        <v>3403</v>
      </c>
      <c r="G3124" t="s">
        <v>3402</v>
      </c>
      <c r="H3124" t="s">
        <v>3401</v>
      </c>
      <c r="I3124">
        <v>5102</v>
      </c>
      <c r="J3124" s="3">
        <v>30</v>
      </c>
      <c r="K3124" s="3">
        <v>16.02</v>
      </c>
      <c r="L3124">
        <v>46.6</v>
      </c>
    </row>
    <row r="3125" spans="1:12">
      <c r="A3125" s="1">
        <v>46036</v>
      </c>
      <c r="B3125" t="s">
        <v>9441</v>
      </c>
      <c r="C3125">
        <v>13</v>
      </c>
      <c r="D3125" t="str">
        <f>VLOOKUP(Tabela26[[#This Row],[EMP]],[1]LOJA!$A:$B,2,0)</f>
        <v>CEILÂNDIA</v>
      </c>
      <c r="E3125">
        <v>86</v>
      </c>
      <c r="F3125" t="s">
        <v>3403</v>
      </c>
      <c r="G3125" t="s">
        <v>3402</v>
      </c>
      <c r="H3125" t="s">
        <v>3401</v>
      </c>
      <c r="I3125">
        <v>5102</v>
      </c>
      <c r="J3125" s="3">
        <v>3.5</v>
      </c>
      <c r="K3125" s="3">
        <v>1.69</v>
      </c>
      <c r="L3125">
        <v>51.71</v>
      </c>
    </row>
    <row r="3126" spans="1:12">
      <c r="A3126" s="1">
        <v>46036</v>
      </c>
      <c r="B3126" t="s">
        <v>9440</v>
      </c>
      <c r="C3126">
        <v>13</v>
      </c>
      <c r="D3126" t="str">
        <f>VLOOKUP(Tabela26[[#This Row],[EMP]],[1]LOJA!$A:$B,2,0)</f>
        <v>CEILÂNDIA</v>
      </c>
      <c r="E3126">
        <v>33</v>
      </c>
      <c r="F3126" t="s">
        <v>3403</v>
      </c>
      <c r="G3126" t="s">
        <v>3402</v>
      </c>
      <c r="H3126" t="s">
        <v>3401</v>
      </c>
      <c r="I3126">
        <v>5102</v>
      </c>
      <c r="J3126" s="3">
        <v>270</v>
      </c>
      <c r="K3126" s="3">
        <v>175.44</v>
      </c>
      <c r="L3126">
        <v>35.020000000000003</v>
      </c>
    </row>
    <row r="3127" spans="1:12">
      <c r="A3127" s="1">
        <v>46036</v>
      </c>
      <c r="B3127" t="s">
        <v>9439</v>
      </c>
      <c r="C3127">
        <v>13</v>
      </c>
      <c r="D3127" t="str">
        <f>VLOOKUP(Tabela26[[#This Row],[EMP]],[1]LOJA!$A:$B,2,0)</f>
        <v>CEILÂNDIA</v>
      </c>
      <c r="E3127">
        <v>33</v>
      </c>
      <c r="F3127" t="s">
        <v>3605</v>
      </c>
      <c r="G3127" t="s">
        <v>3604</v>
      </c>
      <c r="H3127" t="s">
        <v>3408</v>
      </c>
      <c r="I3127">
        <v>5405</v>
      </c>
      <c r="J3127" s="3">
        <v>400</v>
      </c>
      <c r="K3127" s="3">
        <v>228.21</v>
      </c>
      <c r="L3127">
        <v>42.95</v>
      </c>
    </row>
    <row r="3128" spans="1:12">
      <c r="A3128" s="1">
        <v>46036</v>
      </c>
      <c r="B3128" t="s">
        <v>9438</v>
      </c>
      <c r="C3128">
        <v>13</v>
      </c>
      <c r="D3128" t="str">
        <f>VLOOKUP(Tabela26[[#This Row],[EMP]],[1]LOJA!$A:$B,2,0)</f>
        <v>CEILÂNDIA</v>
      </c>
      <c r="E3128">
        <v>86</v>
      </c>
      <c r="F3128" t="s">
        <v>3646</v>
      </c>
      <c r="G3128" t="s">
        <v>3402</v>
      </c>
      <c r="H3128" t="s">
        <v>3408</v>
      </c>
      <c r="I3128">
        <v>5102</v>
      </c>
      <c r="J3128" s="3">
        <v>130</v>
      </c>
      <c r="K3128" s="3">
        <v>84.06</v>
      </c>
      <c r="L3128">
        <v>35.340000000000003</v>
      </c>
    </row>
    <row r="3129" spans="1:12">
      <c r="A3129" s="1">
        <v>46036</v>
      </c>
      <c r="B3129" t="s">
        <v>9437</v>
      </c>
      <c r="C3129">
        <v>13</v>
      </c>
      <c r="D3129" t="str">
        <f>VLOOKUP(Tabela26[[#This Row],[EMP]],[1]LOJA!$A:$B,2,0)</f>
        <v>CEILÂNDIA</v>
      </c>
      <c r="E3129">
        <v>86</v>
      </c>
      <c r="F3129" t="s">
        <v>3615</v>
      </c>
      <c r="G3129" t="s">
        <v>3614</v>
      </c>
      <c r="H3129" t="s">
        <v>3408</v>
      </c>
      <c r="I3129">
        <v>5405</v>
      </c>
      <c r="J3129" s="3">
        <v>48</v>
      </c>
      <c r="K3129" s="3">
        <v>20.46</v>
      </c>
      <c r="L3129">
        <v>57.38</v>
      </c>
    </row>
    <row r="3130" spans="1:12">
      <c r="A3130" s="1">
        <v>46036</v>
      </c>
      <c r="B3130" t="s">
        <v>9436</v>
      </c>
      <c r="C3130">
        <v>13</v>
      </c>
      <c r="D3130" t="str">
        <f>VLOOKUP(Tabela26[[#This Row],[EMP]],[1]LOJA!$A:$B,2,0)</f>
        <v>CEILÂNDIA</v>
      </c>
      <c r="E3130">
        <v>33</v>
      </c>
      <c r="F3130" t="s">
        <v>9435</v>
      </c>
      <c r="G3130" t="s">
        <v>3402</v>
      </c>
      <c r="H3130" t="s">
        <v>3408</v>
      </c>
      <c r="I3130">
        <v>5405</v>
      </c>
      <c r="J3130" s="3">
        <v>85</v>
      </c>
      <c r="K3130" s="3">
        <v>38.299999999999997</v>
      </c>
      <c r="L3130">
        <v>54.94</v>
      </c>
    </row>
    <row r="3131" spans="1:12">
      <c r="A3131" s="1">
        <v>46036</v>
      </c>
      <c r="B3131" t="s">
        <v>9434</v>
      </c>
      <c r="C3131">
        <v>13</v>
      </c>
      <c r="D3131" t="str">
        <f>VLOOKUP(Tabela26[[#This Row],[EMP]],[1]LOJA!$A:$B,2,0)</f>
        <v>CEILÂNDIA</v>
      </c>
      <c r="E3131">
        <v>86</v>
      </c>
      <c r="F3131" t="s">
        <v>3403</v>
      </c>
      <c r="G3131" t="s">
        <v>3402</v>
      </c>
      <c r="H3131" t="s">
        <v>3401</v>
      </c>
      <c r="I3131">
        <v>5405</v>
      </c>
      <c r="J3131" s="3">
        <v>68</v>
      </c>
      <c r="K3131" s="3">
        <v>33.659999999999997</v>
      </c>
      <c r="L3131">
        <v>50.5</v>
      </c>
    </row>
    <row r="3132" spans="1:12">
      <c r="A3132" s="1">
        <v>46036</v>
      </c>
      <c r="B3132" t="s">
        <v>9433</v>
      </c>
      <c r="C3132">
        <v>13</v>
      </c>
      <c r="D3132" t="str">
        <f>VLOOKUP(Tabela26[[#This Row],[EMP]],[1]LOJA!$A:$B,2,0)</f>
        <v>CEILÂNDIA</v>
      </c>
      <c r="E3132">
        <v>86</v>
      </c>
      <c r="F3132" t="s">
        <v>6601</v>
      </c>
      <c r="G3132" t="s">
        <v>3402</v>
      </c>
      <c r="H3132" t="s">
        <v>3408</v>
      </c>
      <c r="I3132">
        <v>5405</v>
      </c>
      <c r="J3132" s="3">
        <v>40</v>
      </c>
      <c r="K3132" s="3">
        <v>17.920000000000002</v>
      </c>
      <c r="L3132">
        <v>55.2</v>
      </c>
    </row>
    <row r="3133" spans="1:12">
      <c r="A3133" s="1">
        <v>46036</v>
      </c>
      <c r="B3133" t="s">
        <v>9432</v>
      </c>
      <c r="C3133">
        <v>13</v>
      </c>
      <c r="D3133" t="str">
        <f>VLOOKUP(Tabela26[[#This Row],[EMP]],[1]LOJA!$A:$B,2,0)</f>
        <v>CEILÂNDIA</v>
      </c>
      <c r="E3133">
        <v>86</v>
      </c>
      <c r="F3133" t="s">
        <v>3403</v>
      </c>
      <c r="G3133" t="s">
        <v>3402</v>
      </c>
      <c r="H3133" t="s">
        <v>3401</v>
      </c>
      <c r="I3133">
        <v>5102</v>
      </c>
      <c r="J3133" s="3">
        <v>55</v>
      </c>
      <c r="K3133" s="3">
        <v>31</v>
      </c>
      <c r="L3133">
        <v>43.64</v>
      </c>
    </row>
    <row r="3134" spans="1:12">
      <c r="A3134" s="1">
        <v>46036</v>
      </c>
      <c r="B3134" t="s">
        <v>9431</v>
      </c>
      <c r="C3134">
        <v>13</v>
      </c>
      <c r="D3134" t="str">
        <f>VLOOKUP(Tabela26[[#This Row],[EMP]],[1]LOJA!$A:$B,2,0)</f>
        <v>CEILÂNDIA</v>
      </c>
      <c r="E3134">
        <v>86</v>
      </c>
      <c r="F3134" t="s">
        <v>3403</v>
      </c>
      <c r="G3134" t="s">
        <v>3402</v>
      </c>
      <c r="H3134" t="s">
        <v>3401</v>
      </c>
      <c r="I3134">
        <v>5102</v>
      </c>
      <c r="J3134" s="3">
        <v>8</v>
      </c>
      <c r="K3134" s="3">
        <v>3.91</v>
      </c>
      <c r="L3134">
        <v>51.13</v>
      </c>
    </row>
    <row r="3135" spans="1:12">
      <c r="A3135" s="1">
        <v>46036</v>
      </c>
      <c r="B3135" t="s">
        <v>9430</v>
      </c>
      <c r="C3135">
        <v>13</v>
      </c>
      <c r="D3135" t="str">
        <f>VLOOKUP(Tabela26[[#This Row],[EMP]],[1]LOJA!$A:$B,2,0)</f>
        <v>CEILÂNDIA</v>
      </c>
      <c r="E3135">
        <v>86</v>
      </c>
      <c r="F3135" t="s">
        <v>3406</v>
      </c>
      <c r="G3135" t="s">
        <v>3405</v>
      </c>
      <c r="H3135" t="s">
        <v>3408</v>
      </c>
      <c r="I3135">
        <v>5405</v>
      </c>
      <c r="J3135" s="3">
        <v>309.39999999999998</v>
      </c>
      <c r="K3135" s="3">
        <v>168.03</v>
      </c>
      <c r="L3135">
        <v>45.69</v>
      </c>
    </row>
    <row r="3136" spans="1:12">
      <c r="A3136" s="1">
        <v>46036</v>
      </c>
      <c r="B3136" t="s">
        <v>9429</v>
      </c>
      <c r="C3136">
        <v>13</v>
      </c>
      <c r="D3136" t="str">
        <f>VLOOKUP(Tabela26[[#This Row],[EMP]],[1]LOJA!$A:$B,2,0)</f>
        <v>CEILÂNDIA</v>
      </c>
      <c r="E3136">
        <v>86</v>
      </c>
      <c r="F3136" t="s">
        <v>9428</v>
      </c>
      <c r="G3136" t="s">
        <v>3402</v>
      </c>
      <c r="H3136" t="s">
        <v>3408</v>
      </c>
      <c r="I3136">
        <v>5405</v>
      </c>
      <c r="J3136" s="3">
        <v>140</v>
      </c>
      <c r="K3136" s="3">
        <v>58.38</v>
      </c>
      <c r="L3136">
        <v>58.3</v>
      </c>
    </row>
    <row r="3137" spans="1:12">
      <c r="A3137" s="1">
        <v>46036</v>
      </c>
      <c r="B3137" t="s">
        <v>9427</v>
      </c>
      <c r="C3137">
        <v>13</v>
      </c>
      <c r="D3137" t="str">
        <f>VLOOKUP(Tabela26[[#This Row],[EMP]],[1]LOJA!$A:$B,2,0)</f>
        <v>CEILÂNDIA</v>
      </c>
      <c r="E3137">
        <v>86</v>
      </c>
      <c r="F3137" t="s">
        <v>3406</v>
      </c>
      <c r="G3137" t="s">
        <v>3405</v>
      </c>
      <c r="H3137" t="s">
        <v>3408</v>
      </c>
      <c r="I3137">
        <v>5405</v>
      </c>
      <c r="J3137" s="3">
        <v>52</v>
      </c>
      <c r="K3137" s="3">
        <v>26.64</v>
      </c>
      <c r="L3137">
        <v>48.77</v>
      </c>
    </row>
    <row r="3138" spans="1:12">
      <c r="A3138" s="1">
        <v>46036</v>
      </c>
      <c r="B3138" t="s">
        <v>9426</v>
      </c>
      <c r="C3138">
        <v>13</v>
      </c>
      <c r="D3138" t="str">
        <f>VLOOKUP(Tabela26[[#This Row],[EMP]],[1]LOJA!$A:$B,2,0)</f>
        <v>CEILÂNDIA</v>
      </c>
      <c r="E3138">
        <v>33</v>
      </c>
      <c r="F3138" t="s">
        <v>3403</v>
      </c>
      <c r="G3138" t="s">
        <v>3402</v>
      </c>
      <c r="H3138" t="s">
        <v>3401</v>
      </c>
      <c r="I3138">
        <v>5405</v>
      </c>
      <c r="J3138" s="3">
        <v>30</v>
      </c>
      <c r="K3138" s="3">
        <v>13.84</v>
      </c>
      <c r="L3138">
        <v>53.87</v>
      </c>
    </row>
    <row r="3139" spans="1:12">
      <c r="A3139" s="1">
        <v>46036</v>
      </c>
      <c r="B3139" t="s">
        <v>9425</v>
      </c>
      <c r="C3139">
        <v>13</v>
      </c>
      <c r="D3139" t="str">
        <f>VLOOKUP(Tabela26[[#This Row],[EMP]],[1]LOJA!$A:$B,2,0)</f>
        <v>CEILÂNDIA</v>
      </c>
      <c r="E3139">
        <v>33</v>
      </c>
      <c r="F3139" t="s">
        <v>3403</v>
      </c>
      <c r="G3139" t="s">
        <v>3402</v>
      </c>
      <c r="H3139" t="s">
        <v>3401</v>
      </c>
      <c r="I3139">
        <v>5102</v>
      </c>
      <c r="J3139" s="3">
        <v>34</v>
      </c>
      <c r="K3139" s="3">
        <v>18.62</v>
      </c>
      <c r="L3139">
        <v>45.24</v>
      </c>
    </row>
    <row r="3140" spans="1:12">
      <c r="A3140" s="1">
        <v>46036</v>
      </c>
      <c r="B3140" t="s">
        <v>9424</v>
      </c>
      <c r="C3140">
        <v>13</v>
      </c>
      <c r="D3140" t="str">
        <f>VLOOKUP(Tabela26[[#This Row],[EMP]],[1]LOJA!$A:$B,2,0)</f>
        <v>CEILÂNDIA</v>
      </c>
      <c r="E3140">
        <v>86</v>
      </c>
      <c r="F3140" t="s">
        <v>7947</v>
      </c>
      <c r="G3140" t="s">
        <v>7946</v>
      </c>
      <c r="H3140" t="s">
        <v>3401</v>
      </c>
      <c r="I3140">
        <v>5405</v>
      </c>
      <c r="J3140" s="3">
        <v>310</v>
      </c>
      <c r="K3140" s="3">
        <v>165.58</v>
      </c>
      <c r="L3140">
        <v>46.59</v>
      </c>
    </row>
    <row r="3141" spans="1:12">
      <c r="A3141" s="1">
        <v>46036</v>
      </c>
      <c r="B3141" t="s">
        <v>9423</v>
      </c>
      <c r="C3141">
        <v>13</v>
      </c>
      <c r="D3141" t="str">
        <f>VLOOKUP(Tabela26[[#This Row],[EMP]],[1]LOJA!$A:$B,2,0)</f>
        <v>CEILÂNDIA</v>
      </c>
      <c r="E3141">
        <v>86</v>
      </c>
      <c r="F3141" t="s">
        <v>3406</v>
      </c>
      <c r="G3141" t="s">
        <v>3405</v>
      </c>
      <c r="H3141" t="s">
        <v>3408</v>
      </c>
      <c r="I3141">
        <v>5405</v>
      </c>
      <c r="J3141" s="3">
        <v>55</v>
      </c>
      <c r="K3141" s="3">
        <v>28.22</v>
      </c>
      <c r="L3141">
        <v>48.69</v>
      </c>
    </row>
    <row r="3142" spans="1:12">
      <c r="A3142" s="1">
        <v>46036</v>
      </c>
      <c r="B3142" t="s">
        <v>9422</v>
      </c>
      <c r="C3142">
        <v>13</v>
      </c>
      <c r="D3142" t="str">
        <f>VLOOKUP(Tabela26[[#This Row],[EMP]],[1]LOJA!$A:$B,2,0)</f>
        <v>CEILÂNDIA</v>
      </c>
      <c r="E3142">
        <v>86</v>
      </c>
      <c r="F3142" t="s">
        <v>4091</v>
      </c>
      <c r="G3142" t="s">
        <v>4090</v>
      </c>
      <c r="H3142" t="s">
        <v>3408</v>
      </c>
      <c r="I3142">
        <v>5405</v>
      </c>
      <c r="J3142" s="3">
        <v>185</v>
      </c>
      <c r="K3142" s="3">
        <v>98.19</v>
      </c>
      <c r="L3142">
        <v>46.92</v>
      </c>
    </row>
    <row r="3143" spans="1:12">
      <c r="A3143" s="1">
        <v>46036</v>
      </c>
      <c r="B3143" t="s">
        <v>9421</v>
      </c>
      <c r="C3143">
        <v>13</v>
      </c>
      <c r="D3143" t="str">
        <f>VLOOKUP(Tabela26[[#This Row],[EMP]],[1]LOJA!$A:$B,2,0)</f>
        <v>CEILÂNDIA</v>
      </c>
      <c r="E3143">
        <v>86</v>
      </c>
      <c r="F3143" t="s">
        <v>9007</v>
      </c>
      <c r="G3143" t="s">
        <v>9006</v>
      </c>
      <c r="H3143" t="s">
        <v>3520</v>
      </c>
      <c r="I3143">
        <v>5405</v>
      </c>
      <c r="J3143" s="3">
        <v>50</v>
      </c>
      <c r="K3143" s="3">
        <v>24.68</v>
      </c>
      <c r="L3143">
        <v>50.64</v>
      </c>
    </row>
    <row r="3144" spans="1:12">
      <c r="A3144" s="1">
        <v>46036</v>
      </c>
      <c r="B3144" t="s">
        <v>9420</v>
      </c>
      <c r="C3144">
        <v>13</v>
      </c>
      <c r="D3144" t="str">
        <f>VLOOKUP(Tabela26[[#This Row],[EMP]],[1]LOJA!$A:$B,2,0)</f>
        <v>CEILÂNDIA</v>
      </c>
      <c r="E3144">
        <v>86</v>
      </c>
      <c r="F3144" t="s">
        <v>3403</v>
      </c>
      <c r="G3144" t="s">
        <v>3402</v>
      </c>
      <c r="H3144" t="s">
        <v>3401</v>
      </c>
      <c r="I3144">
        <v>5102</v>
      </c>
      <c r="J3144" s="3">
        <v>84</v>
      </c>
      <c r="K3144" s="3">
        <v>55.1</v>
      </c>
      <c r="L3144">
        <v>34.4</v>
      </c>
    </row>
    <row r="3145" spans="1:12">
      <c r="A3145" s="1">
        <v>46036</v>
      </c>
      <c r="B3145" t="s">
        <v>9419</v>
      </c>
      <c r="C3145">
        <v>13</v>
      </c>
      <c r="D3145" t="str">
        <f>VLOOKUP(Tabela26[[#This Row],[EMP]],[1]LOJA!$A:$B,2,0)</f>
        <v>CEILÂNDIA</v>
      </c>
      <c r="E3145">
        <v>86</v>
      </c>
      <c r="F3145" t="s">
        <v>3403</v>
      </c>
      <c r="G3145" t="s">
        <v>3402</v>
      </c>
      <c r="H3145" t="s">
        <v>3401</v>
      </c>
      <c r="I3145">
        <v>5405</v>
      </c>
      <c r="J3145" s="3">
        <v>27</v>
      </c>
      <c r="K3145" s="3">
        <v>14.08</v>
      </c>
      <c r="L3145">
        <v>47.85</v>
      </c>
    </row>
    <row r="3146" spans="1:12">
      <c r="A3146" s="1">
        <v>46036</v>
      </c>
      <c r="B3146" t="s">
        <v>9418</v>
      </c>
      <c r="C3146">
        <v>13</v>
      </c>
      <c r="D3146" t="str">
        <f>VLOOKUP(Tabela26[[#This Row],[EMP]],[1]LOJA!$A:$B,2,0)</f>
        <v>CEILÂNDIA</v>
      </c>
      <c r="E3146">
        <v>86</v>
      </c>
      <c r="F3146" t="s">
        <v>3403</v>
      </c>
      <c r="G3146" t="s">
        <v>3402</v>
      </c>
      <c r="H3146" t="s">
        <v>3401</v>
      </c>
      <c r="I3146">
        <v>5405</v>
      </c>
      <c r="J3146" s="3">
        <v>50</v>
      </c>
      <c r="K3146" s="3">
        <v>26.53</v>
      </c>
      <c r="L3146">
        <v>46.94</v>
      </c>
    </row>
    <row r="3147" spans="1:12">
      <c r="A3147" s="1">
        <v>46036</v>
      </c>
      <c r="B3147" t="s">
        <v>9417</v>
      </c>
      <c r="C3147">
        <v>13</v>
      </c>
      <c r="D3147" t="str">
        <f>VLOOKUP(Tabela26[[#This Row],[EMP]],[1]LOJA!$A:$B,2,0)</f>
        <v>CEILÂNDIA</v>
      </c>
      <c r="E3147">
        <v>86</v>
      </c>
      <c r="F3147" t="s">
        <v>3587</v>
      </c>
      <c r="G3147" t="s">
        <v>3586</v>
      </c>
      <c r="H3147" t="s">
        <v>3408</v>
      </c>
      <c r="I3147">
        <v>5102</v>
      </c>
      <c r="J3147" s="3">
        <v>171.7</v>
      </c>
      <c r="K3147" s="3">
        <v>91.35</v>
      </c>
      <c r="L3147">
        <v>46.8</v>
      </c>
    </row>
    <row r="3148" spans="1:12">
      <c r="A3148" s="1">
        <v>46036</v>
      </c>
      <c r="B3148" t="s">
        <v>9416</v>
      </c>
      <c r="C3148">
        <v>13</v>
      </c>
      <c r="D3148" t="str">
        <f>VLOOKUP(Tabela26[[#This Row],[EMP]],[1]LOJA!$A:$B,2,0)</f>
        <v>CEILÂNDIA</v>
      </c>
      <c r="E3148">
        <v>86</v>
      </c>
      <c r="F3148" t="s">
        <v>3649</v>
      </c>
      <c r="G3148" t="s">
        <v>3648</v>
      </c>
      <c r="H3148" t="s">
        <v>3408</v>
      </c>
      <c r="I3148">
        <v>5102</v>
      </c>
      <c r="J3148" s="3">
        <v>150</v>
      </c>
      <c r="K3148" s="3">
        <v>101.76</v>
      </c>
      <c r="L3148">
        <v>32.159999999999997</v>
      </c>
    </row>
    <row r="3149" spans="1:12">
      <c r="A3149" s="1">
        <v>46036</v>
      </c>
      <c r="B3149" t="s">
        <v>9415</v>
      </c>
      <c r="C3149">
        <v>13</v>
      </c>
      <c r="D3149" t="str">
        <f>VLOOKUP(Tabela26[[#This Row],[EMP]],[1]LOJA!$A:$B,2,0)</f>
        <v>CEILÂNDIA</v>
      </c>
      <c r="E3149">
        <v>86</v>
      </c>
      <c r="F3149" t="s">
        <v>3403</v>
      </c>
      <c r="G3149" t="s">
        <v>3402</v>
      </c>
      <c r="H3149" t="s">
        <v>3408</v>
      </c>
      <c r="I3149">
        <v>5102</v>
      </c>
      <c r="J3149" s="3">
        <v>30</v>
      </c>
      <c r="K3149" s="3">
        <v>16.010000000000002</v>
      </c>
      <c r="L3149">
        <v>46.63</v>
      </c>
    </row>
    <row r="3150" spans="1:12">
      <c r="A3150" s="1">
        <v>46036</v>
      </c>
      <c r="B3150" t="s">
        <v>9414</v>
      </c>
      <c r="C3150">
        <v>13</v>
      </c>
      <c r="D3150" t="str">
        <f>VLOOKUP(Tabela26[[#This Row],[EMP]],[1]LOJA!$A:$B,2,0)</f>
        <v>CEILÂNDIA</v>
      </c>
      <c r="E3150">
        <v>86</v>
      </c>
      <c r="F3150" t="s">
        <v>3403</v>
      </c>
      <c r="G3150" t="s">
        <v>3402</v>
      </c>
      <c r="H3150" t="s">
        <v>3401</v>
      </c>
      <c r="I3150">
        <v>5405</v>
      </c>
      <c r="J3150" s="3">
        <v>350</v>
      </c>
      <c r="K3150" s="3">
        <v>203.23</v>
      </c>
      <c r="L3150">
        <v>41.93</v>
      </c>
    </row>
    <row r="3151" spans="1:12">
      <c r="A3151" s="1">
        <v>46036</v>
      </c>
      <c r="B3151" t="s">
        <v>9413</v>
      </c>
      <c r="C3151">
        <v>13</v>
      </c>
      <c r="D3151" t="str">
        <f>VLOOKUP(Tabela26[[#This Row],[EMP]],[1]LOJA!$A:$B,2,0)</f>
        <v>CEILÂNDIA</v>
      </c>
      <c r="E3151">
        <v>86</v>
      </c>
      <c r="F3151" t="s">
        <v>6633</v>
      </c>
      <c r="G3151" t="s">
        <v>3402</v>
      </c>
      <c r="H3151" t="s">
        <v>3408</v>
      </c>
      <c r="I3151">
        <v>5405</v>
      </c>
      <c r="J3151" s="3">
        <v>140</v>
      </c>
      <c r="K3151" s="3">
        <v>58.38</v>
      </c>
      <c r="L3151">
        <v>58.3</v>
      </c>
    </row>
    <row r="3152" spans="1:12">
      <c r="A3152" s="1">
        <v>46036</v>
      </c>
      <c r="B3152" t="s">
        <v>9412</v>
      </c>
      <c r="C3152">
        <v>13</v>
      </c>
      <c r="D3152" t="str">
        <f>VLOOKUP(Tabela26[[#This Row],[EMP]],[1]LOJA!$A:$B,2,0)</f>
        <v>CEILÂNDIA</v>
      </c>
      <c r="E3152">
        <v>86</v>
      </c>
      <c r="F3152" t="s">
        <v>3403</v>
      </c>
      <c r="G3152" t="s">
        <v>3402</v>
      </c>
      <c r="H3152" t="s">
        <v>3401</v>
      </c>
      <c r="I3152">
        <v>5102</v>
      </c>
      <c r="J3152" s="3">
        <v>15</v>
      </c>
      <c r="K3152" s="3">
        <v>6.81</v>
      </c>
      <c r="L3152">
        <v>54.6</v>
      </c>
    </row>
    <row r="3153" spans="1:12">
      <c r="A3153" s="1">
        <v>46036</v>
      </c>
      <c r="B3153" t="s">
        <v>9411</v>
      </c>
      <c r="C3153">
        <v>13</v>
      </c>
      <c r="D3153" t="str">
        <f>VLOOKUP(Tabela26[[#This Row],[EMP]],[1]LOJA!$A:$B,2,0)</f>
        <v>CEILÂNDIA</v>
      </c>
      <c r="E3153">
        <v>86</v>
      </c>
      <c r="F3153" t="s">
        <v>6595</v>
      </c>
      <c r="G3153" t="s">
        <v>6594</v>
      </c>
      <c r="H3153" t="s">
        <v>3408</v>
      </c>
      <c r="I3153">
        <v>5102</v>
      </c>
      <c r="J3153" s="3">
        <v>49</v>
      </c>
      <c r="K3153" s="3">
        <v>27.58</v>
      </c>
      <c r="L3153">
        <v>43.71</v>
      </c>
    </row>
    <row r="3154" spans="1:12">
      <c r="A3154" s="1">
        <v>46036</v>
      </c>
      <c r="B3154" t="s">
        <v>9410</v>
      </c>
      <c r="C3154">
        <v>13</v>
      </c>
      <c r="D3154" t="str">
        <f>VLOOKUP(Tabela26[[#This Row],[EMP]],[1]LOJA!$A:$B,2,0)</f>
        <v>CEILÂNDIA</v>
      </c>
      <c r="E3154">
        <v>86</v>
      </c>
      <c r="F3154" t="s">
        <v>3403</v>
      </c>
      <c r="G3154" t="s">
        <v>3402</v>
      </c>
      <c r="H3154" t="s">
        <v>3401</v>
      </c>
      <c r="I3154">
        <v>5102</v>
      </c>
      <c r="J3154" s="3">
        <v>28</v>
      </c>
      <c r="K3154" s="3">
        <v>12.72</v>
      </c>
      <c r="L3154">
        <v>54.57</v>
      </c>
    </row>
    <row r="3155" spans="1:12">
      <c r="A3155" s="1">
        <v>46036</v>
      </c>
      <c r="B3155" t="s">
        <v>9409</v>
      </c>
      <c r="C3155">
        <v>13</v>
      </c>
      <c r="D3155" t="str">
        <f>VLOOKUP(Tabela26[[#This Row],[EMP]],[1]LOJA!$A:$B,2,0)</f>
        <v>CEILÂNDIA</v>
      </c>
      <c r="E3155">
        <v>86</v>
      </c>
      <c r="F3155" t="s">
        <v>3403</v>
      </c>
      <c r="G3155" t="s">
        <v>3402</v>
      </c>
      <c r="H3155" t="s">
        <v>3401</v>
      </c>
      <c r="I3155">
        <v>5102</v>
      </c>
      <c r="J3155" s="3">
        <v>10</v>
      </c>
      <c r="K3155" s="3">
        <v>6.56</v>
      </c>
      <c r="L3155">
        <v>34.4</v>
      </c>
    </row>
    <row r="3156" spans="1:12">
      <c r="A3156" s="1">
        <v>46036</v>
      </c>
      <c r="B3156" t="s">
        <v>9408</v>
      </c>
      <c r="C3156">
        <v>13</v>
      </c>
      <c r="D3156" t="str">
        <f>VLOOKUP(Tabela26[[#This Row],[EMP]],[1]LOJA!$A:$B,2,0)</f>
        <v>CEILÂNDIA</v>
      </c>
      <c r="E3156">
        <v>86</v>
      </c>
      <c r="F3156" t="s">
        <v>3403</v>
      </c>
      <c r="G3156" t="s">
        <v>3402</v>
      </c>
      <c r="H3156" t="s">
        <v>3401</v>
      </c>
      <c r="I3156">
        <v>5102</v>
      </c>
      <c r="J3156" s="3">
        <v>28</v>
      </c>
      <c r="K3156" s="3">
        <v>17.36</v>
      </c>
      <c r="L3156">
        <v>38</v>
      </c>
    </row>
    <row r="3157" spans="1:12">
      <c r="A3157" s="1">
        <v>46036</v>
      </c>
      <c r="B3157" t="s">
        <v>9407</v>
      </c>
      <c r="C3157">
        <v>6</v>
      </c>
      <c r="D3157" t="str">
        <f>VLOOKUP(Tabela26[[#This Row],[EMP]],[1]LOJA!$A:$B,2,0)</f>
        <v>GAMA</v>
      </c>
      <c r="E3157">
        <v>226</v>
      </c>
      <c r="F3157" t="s">
        <v>9406</v>
      </c>
      <c r="G3157" t="s">
        <v>3402</v>
      </c>
      <c r="H3157" t="s">
        <v>3401</v>
      </c>
      <c r="I3157">
        <v>5405</v>
      </c>
      <c r="J3157" s="3">
        <v>136.58000000000001</v>
      </c>
      <c r="K3157" s="3">
        <v>67.91</v>
      </c>
      <c r="L3157">
        <v>50.28</v>
      </c>
    </row>
    <row r="3158" spans="1:12">
      <c r="A3158" s="1">
        <v>46036</v>
      </c>
      <c r="B3158" t="s">
        <v>9405</v>
      </c>
      <c r="C3158">
        <v>6</v>
      </c>
      <c r="D3158" t="str">
        <f>VLOOKUP(Tabela26[[#This Row],[EMP]],[1]LOJA!$A:$B,2,0)</f>
        <v>GAMA</v>
      </c>
      <c r="E3158">
        <v>245</v>
      </c>
      <c r="F3158" t="s">
        <v>4314</v>
      </c>
      <c r="G3158" t="s">
        <v>4313</v>
      </c>
      <c r="H3158" t="s">
        <v>3401</v>
      </c>
      <c r="I3158">
        <v>5405</v>
      </c>
      <c r="J3158" s="3">
        <v>48</v>
      </c>
      <c r="K3158" s="3">
        <v>23.23</v>
      </c>
      <c r="L3158">
        <v>51.6</v>
      </c>
    </row>
    <row r="3159" spans="1:12">
      <c r="A3159" s="1">
        <v>46036</v>
      </c>
      <c r="B3159" t="s">
        <v>9404</v>
      </c>
      <c r="C3159">
        <v>6</v>
      </c>
      <c r="D3159" t="str">
        <f>VLOOKUP(Tabela26[[#This Row],[EMP]],[1]LOJA!$A:$B,2,0)</f>
        <v>GAMA</v>
      </c>
      <c r="E3159">
        <v>245</v>
      </c>
      <c r="F3159" t="s">
        <v>7026</v>
      </c>
      <c r="G3159" t="s">
        <v>3402</v>
      </c>
      <c r="H3159" t="s">
        <v>3401</v>
      </c>
      <c r="I3159">
        <v>5405</v>
      </c>
      <c r="J3159" s="3">
        <v>163</v>
      </c>
      <c r="K3159" s="3">
        <v>82.95</v>
      </c>
      <c r="L3159">
        <v>49.11</v>
      </c>
    </row>
    <row r="3160" spans="1:12">
      <c r="A3160" s="1">
        <v>46036</v>
      </c>
      <c r="B3160" t="s">
        <v>9403</v>
      </c>
      <c r="C3160">
        <v>6</v>
      </c>
      <c r="D3160" t="str">
        <f>VLOOKUP(Tabela26[[#This Row],[EMP]],[1]LOJA!$A:$B,2,0)</f>
        <v>GAMA</v>
      </c>
      <c r="E3160">
        <v>245</v>
      </c>
      <c r="F3160" t="s">
        <v>4966</v>
      </c>
      <c r="G3160" t="s">
        <v>4965</v>
      </c>
      <c r="H3160" t="s">
        <v>3401</v>
      </c>
      <c r="I3160">
        <v>5102</v>
      </c>
      <c r="J3160" s="3">
        <v>39.9</v>
      </c>
      <c r="K3160" s="3">
        <v>21.74</v>
      </c>
      <c r="L3160">
        <v>45.51</v>
      </c>
    </row>
    <row r="3161" spans="1:12">
      <c r="A3161" s="1">
        <v>46036</v>
      </c>
      <c r="B3161" t="s">
        <v>9402</v>
      </c>
      <c r="C3161">
        <v>6</v>
      </c>
      <c r="D3161" t="str">
        <f>VLOOKUP(Tabela26[[#This Row],[EMP]],[1]LOJA!$A:$B,2,0)</f>
        <v>GAMA</v>
      </c>
      <c r="E3161">
        <v>245</v>
      </c>
      <c r="F3161" t="s">
        <v>3403</v>
      </c>
      <c r="G3161" t="s">
        <v>3402</v>
      </c>
      <c r="H3161" t="s">
        <v>3401</v>
      </c>
      <c r="I3161">
        <v>5102</v>
      </c>
      <c r="J3161" s="3">
        <v>165</v>
      </c>
      <c r="K3161" s="3">
        <v>101.76</v>
      </c>
      <c r="L3161">
        <v>38.33</v>
      </c>
    </row>
    <row r="3162" spans="1:12">
      <c r="A3162" s="1">
        <v>46036</v>
      </c>
      <c r="B3162" t="s">
        <v>9401</v>
      </c>
      <c r="C3162">
        <v>6</v>
      </c>
      <c r="D3162" t="str">
        <f>VLOOKUP(Tabela26[[#This Row],[EMP]],[1]LOJA!$A:$B,2,0)</f>
        <v>GAMA</v>
      </c>
      <c r="E3162">
        <v>245</v>
      </c>
      <c r="F3162" t="s">
        <v>3403</v>
      </c>
      <c r="G3162" t="s">
        <v>3402</v>
      </c>
      <c r="H3162" t="s">
        <v>3401</v>
      </c>
      <c r="I3162">
        <v>5405</v>
      </c>
      <c r="J3162" s="3">
        <v>60</v>
      </c>
      <c r="K3162" s="3">
        <v>25.37</v>
      </c>
      <c r="L3162">
        <v>57.72</v>
      </c>
    </row>
    <row r="3163" spans="1:12">
      <c r="A3163" s="1">
        <v>46036</v>
      </c>
      <c r="B3163" t="s">
        <v>9400</v>
      </c>
      <c r="C3163">
        <v>6</v>
      </c>
      <c r="D3163" t="str">
        <f>VLOOKUP(Tabela26[[#This Row],[EMP]],[1]LOJA!$A:$B,2,0)</f>
        <v>GAMA</v>
      </c>
      <c r="E3163">
        <v>245</v>
      </c>
      <c r="F3163" t="s">
        <v>3399</v>
      </c>
      <c r="G3163" t="s">
        <v>3398</v>
      </c>
      <c r="H3163" t="s">
        <v>3401</v>
      </c>
      <c r="I3163">
        <v>5102</v>
      </c>
      <c r="J3163" s="3">
        <v>36</v>
      </c>
      <c r="K3163" s="3">
        <v>18.48</v>
      </c>
      <c r="L3163">
        <v>48.67</v>
      </c>
    </row>
    <row r="3164" spans="1:12">
      <c r="A3164" s="1">
        <v>46036</v>
      </c>
      <c r="B3164" t="s">
        <v>9399</v>
      </c>
      <c r="C3164">
        <v>6</v>
      </c>
      <c r="D3164" t="str">
        <f>VLOOKUP(Tabela26[[#This Row],[EMP]],[1]LOJA!$A:$B,2,0)</f>
        <v>GAMA</v>
      </c>
      <c r="E3164">
        <v>226</v>
      </c>
      <c r="F3164" t="s">
        <v>3403</v>
      </c>
      <c r="G3164" t="s">
        <v>3402</v>
      </c>
      <c r="H3164" t="s">
        <v>3401</v>
      </c>
      <c r="I3164">
        <v>5102</v>
      </c>
      <c r="J3164" s="3">
        <v>79</v>
      </c>
      <c r="K3164" s="3">
        <v>42.38</v>
      </c>
      <c r="L3164">
        <v>46.35</v>
      </c>
    </row>
    <row r="3165" spans="1:12">
      <c r="A3165" s="1">
        <v>46036</v>
      </c>
      <c r="B3165" t="s">
        <v>9398</v>
      </c>
      <c r="C3165">
        <v>6</v>
      </c>
      <c r="D3165" t="str">
        <f>VLOOKUP(Tabela26[[#This Row],[EMP]],[1]LOJA!$A:$B,2,0)</f>
        <v>GAMA</v>
      </c>
      <c r="E3165">
        <v>245</v>
      </c>
      <c r="F3165" t="s">
        <v>3403</v>
      </c>
      <c r="G3165" t="s">
        <v>3402</v>
      </c>
      <c r="H3165" t="s">
        <v>3401</v>
      </c>
      <c r="I3165">
        <v>5102</v>
      </c>
      <c r="J3165" s="3">
        <v>16</v>
      </c>
      <c r="K3165" s="3">
        <v>7.72</v>
      </c>
      <c r="L3165">
        <v>51.75</v>
      </c>
    </row>
    <row r="3166" spans="1:12">
      <c r="A3166" s="1">
        <v>46036</v>
      </c>
      <c r="B3166" t="s">
        <v>9397</v>
      </c>
      <c r="C3166">
        <v>6</v>
      </c>
      <c r="D3166" t="str">
        <f>VLOOKUP(Tabela26[[#This Row],[EMP]],[1]LOJA!$A:$B,2,0)</f>
        <v>GAMA</v>
      </c>
      <c r="E3166">
        <v>226</v>
      </c>
      <c r="F3166" t="s">
        <v>3403</v>
      </c>
      <c r="G3166" t="s">
        <v>3402</v>
      </c>
      <c r="H3166" t="s">
        <v>3401</v>
      </c>
      <c r="I3166">
        <v>5102</v>
      </c>
      <c r="J3166" s="3">
        <v>39</v>
      </c>
      <c r="K3166" s="3">
        <v>20.010000000000002</v>
      </c>
      <c r="L3166">
        <v>48.69</v>
      </c>
    </row>
    <row r="3167" spans="1:12">
      <c r="A3167" s="1">
        <v>46036</v>
      </c>
      <c r="B3167" t="s">
        <v>9396</v>
      </c>
      <c r="C3167">
        <v>6</v>
      </c>
      <c r="D3167" t="str">
        <f>VLOOKUP(Tabela26[[#This Row],[EMP]],[1]LOJA!$A:$B,2,0)</f>
        <v>GAMA</v>
      </c>
      <c r="E3167">
        <v>226</v>
      </c>
      <c r="F3167" t="s">
        <v>3403</v>
      </c>
      <c r="G3167" t="s">
        <v>3402</v>
      </c>
      <c r="H3167" t="s">
        <v>3401</v>
      </c>
      <c r="I3167">
        <v>5102</v>
      </c>
      <c r="J3167" s="3">
        <v>24.9</v>
      </c>
      <c r="K3167" s="3">
        <v>11.24</v>
      </c>
      <c r="L3167">
        <v>54.86</v>
      </c>
    </row>
    <row r="3168" spans="1:12">
      <c r="A3168" s="1">
        <v>46036</v>
      </c>
      <c r="B3168" t="s">
        <v>9395</v>
      </c>
      <c r="C3168">
        <v>6</v>
      </c>
      <c r="D3168" t="str">
        <f>VLOOKUP(Tabela26[[#This Row],[EMP]],[1]LOJA!$A:$B,2,0)</f>
        <v>GAMA</v>
      </c>
      <c r="E3168">
        <v>245</v>
      </c>
      <c r="F3168" t="s">
        <v>9394</v>
      </c>
      <c r="G3168" t="s">
        <v>9393</v>
      </c>
      <c r="H3168" t="s">
        <v>3401</v>
      </c>
      <c r="I3168">
        <v>5102</v>
      </c>
      <c r="J3168" s="3">
        <v>214.8</v>
      </c>
      <c r="K3168" s="3">
        <v>148.32</v>
      </c>
      <c r="L3168">
        <v>30.95</v>
      </c>
    </row>
    <row r="3169" spans="1:12">
      <c r="A3169" s="1">
        <v>46036</v>
      </c>
      <c r="B3169" t="s">
        <v>9392</v>
      </c>
      <c r="C3169">
        <v>6</v>
      </c>
      <c r="D3169" t="str">
        <f>VLOOKUP(Tabela26[[#This Row],[EMP]],[1]LOJA!$A:$B,2,0)</f>
        <v>GAMA</v>
      </c>
      <c r="E3169">
        <v>245</v>
      </c>
      <c r="F3169" t="s">
        <v>9391</v>
      </c>
      <c r="G3169" t="s">
        <v>3402</v>
      </c>
      <c r="H3169" t="s">
        <v>3401</v>
      </c>
      <c r="I3169">
        <v>5102</v>
      </c>
      <c r="J3169" s="3">
        <v>410</v>
      </c>
      <c r="K3169" s="3">
        <v>265.81</v>
      </c>
      <c r="L3169">
        <v>35.17</v>
      </c>
    </row>
    <row r="3170" spans="1:12">
      <c r="A3170" s="1">
        <v>46036</v>
      </c>
      <c r="B3170" t="s">
        <v>9390</v>
      </c>
      <c r="C3170">
        <v>6</v>
      </c>
      <c r="D3170" t="str">
        <f>VLOOKUP(Tabela26[[#This Row],[EMP]],[1]LOJA!$A:$B,2,0)</f>
        <v>GAMA</v>
      </c>
      <c r="E3170">
        <v>245</v>
      </c>
      <c r="F3170" t="s">
        <v>3403</v>
      </c>
      <c r="G3170" t="s">
        <v>3402</v>
      </c>
      <c r="H3170" t="s">
        <v>3401</v>
      </c>
      <c r="I3170">
        <v>5405</v>
      </c>
      <c r="J3170" s="3">
        <v>11.73</v>
      </c>
      <c r="K3170" s="3">
        <v>6.27</v>
      </c>
      <c r="L3170">
        <v>46.55</v>
      </c>
    </row>
    <row r="3171" spans="1:12">
      <c r="A3171" s="1">
        <v>46036</v>
      </c>
      <c r="B3171" t="s">
        <v>9389</v>
      </c>
      <c r="C3171">
        <v>6</v>
      </c>
      <c r="D3171" t="str">
        <f>VLOOKUP(Tabela26[[#This Row],[EMP]],[1]LOJA!$A:$B,2,0)</f>
        <v>GAMA</v>
      </c>
      <c r="E3171">
        <v>245</v>
      </c>
      <c r="F3171" t="s">
        <v>6571</v>
      </c>
      <c r="G3171" t="s">
        <v>6570</v>
      </c>
      <c r="H3171" t="s">
        <v>3401</v>
      </c>
      <c r="I3171">
        <v>5405</v>
      </c>
      <c r="J3171" s="3">
        <v>62</v>
      </c>
      <c r="K3171" s="3">
        <v>32.94</v>
      </c>
      <c r="L3171">
        <v>46.87</v>
      </c>
    </row>
    <row r="3172" spans="1:12">
      <c r="A3172" s="1">
        <v>46036</v>
      </c>
      <c r="B3172" t="s">
        <v>9388</v>
      </c>
      <c r="C3172">
        <v>6</v>
      </c>
      <c r="D3172" t="str">
        <f>VLOOKUP(Tabela26[[#This Row],[EMP]],[1]LOJA!$A:$B,2,0)</f>
        <v>GAMA</v>
      </c>
      <c r="E3172">
        <v>226</v>
      </c>
      <c r="F3172" t="s">
        <v>3403</v>
      </c>
      <c r="G3172" t="s">
        <v>3402</v>
      </c>
      <c r="H3172" t="s">
        <v>3401</v>
      </c>
      <c r="I3172">
        <v>5102</v>
      </c>
      <c r="J3172" s="3">
        <v>17.899999999999999</v>
      </c>
      <c r="K3172" s="3">
        <v>4.91</v>
      </c>
      <c r="L3172">
        <v>72.569999999999993</v>
      </c>
    </row>
    <row r="3173" spans="1:12">
      <c r="A3173" s="1">
        <v>46036</v>
      </c>
      <c r="B3173" t="s">
        <v>9387</v>
      </c>
      <c r="C3173">
        <v>6</v>
      </c>
      <c r="D3173" t="str">
        <f>VLOOKUP(Tabela26[[#This Row],[EMP]],[1]LOJA!$A:$B,2,0)</f>
        <v>GAMA</v>
      </c>
      <c r="E3173">
        <v>226</v>
      </c>
      <c r="F3173" t="s">
        <v>3403</v>
      </c>
      <c r="G3173" t="s">
        <v>3402</v>
      </c>
      <c r="H3173" t="s">
        <v>3401</v>
      </c>
      <c r="I3173">
        <v>5102</v>
      </c>
      <c r="J3173" s="3">
        <v>25</v>
      </c>
      <c r="K3173" s="3">
        <v>12.57</v>
      </c>
      <c r="L3173">
        <v>49.72</v>
      </c>
    </row>
    <row r="3174" spans="1:12">
      <c r="A3174" s="1">
        <v>46036</v>
      </c>
      <c r="B3174" t="s">
        <v>9386</v>
      </c>
      <c r="C3174">
        <v>4</v>
      </c>
      <c r="D3174" t="str">
        <f>VLOOKUP(Tabela26[[#This Row],[EMP]],[1]LOJA!$A:$B,2,0)</f>
        <v>ADE</v>
      </c>
      <c r="E3174">
        <v>132</v>
      </c>
      <c r="F3174" t="s">
        <v>4299</v>
      </c>
      <c r="G3174" t="s">
        <v>4298</v>
      </c>
      <c r="H3174" t="s">
        <v>3408</v>
      </c>
      <c r="I3174">
        <v>5102</v>
      </c>
      <c r="J3174" s="3">
        <v>495.7</v>
      </c>
      <c r="K3174" s="3">
        <v>318.66000000000003</v>
      </c>
      <c r="L3174">
        <v>35.72</v>
      </c>
    </row>
    <row r="3175" spans="1:12">
      <c r="A3175" s="1">
        <v>46036</v>
      </c>
      <c r="B3175" t="s">
        <v>9385</v>
      </c>
      <c r="C3175">
        <v>4</v>
      </c>
      <c r="D3175" t="str">
        <f>VLOOKUP(Tabela26[[#This Row],[EMP]],[1]LOJA!$A:$B,2,0)</f>
        <v>ADE</v>
      </c>
      <c r="E3175">
        <v>132</v>
      </c>
      <c r="F3175" t="s">
        <v>4299</v>
      </c>
      <c r="G3175" t="s">
        <v>4298</v>
      </c>
      <c r="H3175" t="s">
        <v>3408</v>
      </c>
      <c r="I3175">
        <v>5102</v>
      </c>
      <c r="J3175" s="3">
        <v>44.9</v>
      </c>
      <c r="K3175" s="3">
        <v>28.68</v>
      </c>
      <c r="L3175">
        <v>36.119999999999997</v>
      </c>
    </row>
    <row r="3176" spans="1:12">
      <c r="A3176" s="1">
        <v>46036</v>
      </c>
      <c r="B3176" t="s">
        <v>9384</v>
      </c>
      <c r="C3176">
        <v>6</v>
      </c>
      <c r="D3176" t="str">
        <f>VLOOKUP(Tabela26[[#This Row],[EMP]],[1]LOJA!$A:$B,2,0)</f>
        <v>GAMA</v>
      </c>
      <c r="E3176">
        <v>226</v>
      </c>
      <c r="F3176" t="s">
        <v>8546</v>
      </c>
      <c r="G3176" t="s">
        <v>8545</v>
      </c>
      <c r="H3176" t="s">
        <v>3430</v>
      </c>
      <c r="I3176">
        <v>6108</v>
      </c>
      <c r="J3176" s="3">
        <v>522.6</v>
      </c>
      <c r="K3176" s="3">
        <v>301.10000000000002</v>
      </c>
      <c r="L3176">
        <v>42.38</v>
      </c>
    </row>
    <row r="3177" spans="1:12">
      <c r="A3177" s="1">
        <v>46036</v>
      </c>
      <c r="B3177" t="s">
        <v>9383</v>
      </c>
      <c r="C3177">
        <v>6</v>
      </c>
      <c r="D3177" t="str">
        <f>VLOOKUP(Tabela26[[#This Row],[EMP]],[1]LOJA!$A:$B,2,0)</f>
        <v>GAMA</v>
      </c>
      <c r="E3177">
        <v>226</v>
      </c>
      <c r="F3177" t="s">
        <v>8546</v>
      </c>
      <c r="G3177" t="s">
        <v>8545</v>
      </c>
      <c r="H3177" t="s">
        <v>3430</v>
      </c>
      <c r="I3177">
        <v>6108</v>
      </c>
      <c r="J3177" s="3">
        <v>81.94</v>
      </c>
      <c r="K3177" s="3">
        <v>43.97</v>
      </c>
      <c r="L3177">
        <v>46.34</v>
      </c>
    </row>
    <row r="3178" spans="1:12">
      <c r="A3178" s="1">
        <v>46036</v>
      </c>
      <c r="B3178" t="s">
        <v>9382</v>
      </c>
      <c r="C3178">
        <v>6</v>
      </c>
      <c r="D3178" t="str">
        <f>VLOOKUP(Tabela26[[#This Row],[EMP]],[1]LOJA!$A:$B,2,0)</f>
        <v>GAMA</v>
      </c>
      <c r="E3178">
        <v>245</v>
      </c>
      <c r="F3178" t="s">
        <v>3555</v>
      </c>
      <c r="G3178" t="s">
        <v>3554</v>
      </c>
      <c r="H3178" t="s">
        <v>3430</v>
      </c>
      <c r="I3178">
        <v>6403</v>
      </c>
      <c r="J3178" s="3">
        <v>937.65</v>
      </c>
      <c r="K3178" s="3">
        <v>505.56</v>
      </c>
      <c r="L3178">
        <v>46.08</v>
      </c>
    </row>
    <row r="3179" spans="1:12">
      <c r="A3179" s="1">
        <v>46037</v>
      </c>
      <c r="B3179" t="s">
        <v>9381</v>
      </c>
      <c r="C3179">
        <v>24</v>
      </c>
      <c r="D3179" t="str">
        <f>VLOOKUP(Tabela26[[#This Row],[EMP]],[1]LOJA!$A:$B,2,0)</f>
        <v>LUZIÂNIA</v>
      </c>
      <c r="E3179">
        <v>192</v>
      </c>
      <c r="F3179" t="s">
        <v>4286</v>
      </c>
      <c r="G3179" t="s">
        <v>4285</v>
      </c>
      <c r="H3179" t="s">
        <v>3430</v>
      </c>
      <c r="I3179">
        <v>5405</v>
      </c>
      <c r="J3179" s="3">
        <v>179.4</v>
      </c>
      <c r="K3179" s="3">
        <v>71.94</v>
      </c>
      <c r="L3179">
        <v>59.9</v>
      </c>
    </row>
    <row r="3180" spans="1:12">
      <c r="A3180" s="1">
        <v>46037</v>
      </c>
      <c r="B3180" t="s">
        <v>9380</v>
      </c>
      <c r="C3180">
        <v>24</v>
      </c>
      <c r="D3180" t="str">
        <f>VLOOKUP(Tabela26[[#This Row],[EMP]],[1]LOJA!$A:$B,2,0)</f>
        <v>LUZIÂNIA</v>
      </c>
      <c r="E3180">
        <v>192</v>
      </c>
      <c r="F3180" t="s">
        <v>4286</v>
      </c>
      <c r="G3180" t="s">
        <v>4285</v>
      </c>
      <c r="H3180" t="s">
        <v>3430</v>
      </c>
      <c r="I3180">
        <v>5102</v>
      </c>
      <c r="J3180" s="3">
        <v>65</v>
      </c>
      <c r="K3180" s="3">
        <v>31.81</v>
      </c>
      <c r="L3180">
        <v>51.06</v>
      </c>
    </row>
    <row r="3181" spans="1:12">
      <c r="A3181" s="1">
        <v>46037</v>
      </c>
      <c r="B3181" t="s">
        <v>9379</v>
      </c>
      <c r="C3181">
        <v>24</v>
      </c>
      <c r="D3181" t="str">
        <f>VLOOKUP(Tabela26[[#This Row],[EMP]],[1]LOJA!$A:$B,2,0)</f>
        <v>LUZIÂNIA</v>
      </c>
      <c r="E3181">
        <v>150</v>
      </c>
      <c r="F3181" t="s">
        <v>4282</v>
      </c>
      <c r="G3181" t="s">
        <v>4281</v>
      </c>
      <c r="H3181" t="s">
        <v>3430</v>
      </c>
      <c r="I3181">
        <v>5102</v>
      </c>
      <c r="J3181" s="3">
        <v>65</v>
      </c>
      <c r="K3181" s="3">
        <v>30.9</v>
      </c>
      <c r="L3181">
        <v>52.46</v>
      </c>
    </row>
    <row r="3182" spans="1:12">
      <c r="A3182" s="1">
        <v>46037</v>
      </c>
      <c r="B3182" t="s">
        <v>9378</v>
      </c>
      <c r="C3182">
        <v>24</v>
      </c>
      <c r="D3182" t="str">
        <f>VLOOKUP(Tabela26[[#This Row],[EMP]],[1]LOJA!$A:$B,2,0)</f>
        <v>LUZIÂNIA</v>
      </c>
      <c r="E3182">
        <v>150</v>
      </c>
      <c r="F3182" t="s">
        <v>4292</v>
      </c>
      <c r="G3182" t="s">
        <v>4291</v>
      </c>
      <c r="H3182" t="s">
        <v>3430</v>
      </c>
      <c r="I3182">
        <v>5405</v>
      </c>
      <c r="J3182" s="3">
        <v>554.86</v>
      </c>
      <c r="K3182" s="3">
        <v>309.67</v>
      </c>
      <c r="L3182">
        <v>44.19</v>
      </c>
    </row>
    <row r="3183" spans="1:12">
      <c r="A3183" s="1">
        <v>46037</v>
      </c>
      <c r="B3183" t="s">
        <v>9377</v>
      </c>
      <c r="C3183">
        <v>24</v>
      </c>
      <c r="D3183" t="str">
        <f>VLOOKUP(Tabela26[[#This Row],[EMP]],[1]LOJA!$A:$B,2,0)</f>
        <v>LUZIÂNIA</v>
      </c>
      <c r="E3183">
        <v>242</v>
      </c>
      <c r="F3183" t="s">
        <v>5993</v>
      </c>
      <c r="G3183" t="s">
        <v>5992</v>
      </c>
      <c r="H3183" t="s">
        <v>9376</v>
      </c>
      <c r="I3183">
        <v>5405</v>
      </c>
      <c r="J3183" s="3">
        <v>799</v>
      </c>
      <c r="K3183" s="3">
        <v>492</v>
      </c>
      <c r="L3183">
        <v>38.42</v>
      </c>
    </row>
    <row r="3184" spans="1:12">
      <c r="A3184" s="1">
        <v>46037</v>
      </c>
      <c r="B3184" t="s">
        <v>9375</v>
      </c>
      <c r="C3184">
        <v>24</v>
      </c>
      <c r="D3184" t="str">
        <f>VLOOKUP(Tabela26[[#This Row],[EMP]],[1]LOJA!$A:$B,2,0)</f>
        <v>LUZIÂNIA</v>
      </c>
      <c r="E3184">
        <v>192</v>
      </c>
      <c r="F3184" t="s">
        <v>6557</v>
      </c>
      <c r="G3184" t="s">
        <v>6556</v>
      </c>
      <c r="H3184" t="s">
        <v>4249</v>
      </c>
      <c r="I3184">
        <v>5405</v>
      </c>
      <c r="J3184" s="3">
        <v>1095.3599999999999</v>
      </c>
      <c r="K3184" s="3">
        <v>504.27</v>
      </c>
      <c r="L3184">
        <v>53.96</v>
      </c>
    </row>
    <row r="3185" spans="1:12">
      <c r="A3185" s="1">
        <v>46037</v>
      </c>
      <c r="B3185" t="s">
        <v>9374</v>
      </c>
      <c r="C3185">
        <v>24</v>
      </c>
      <c r="D3185" t="str">
        <f>VLOOKUP(Tabela26[[#This Row],[EMP]],[1]LOJA!$A:$B,2,0)</f>
        <v>LUZIÂNIA</v>
      </c>
      <c r="E3185">
        <v>192</v>
      </c>
      <c r="F3185" t="s">
        <v>3549</v>
      </c>
      <c r="G3185" t="s">
        <v>3548</v>
      </c>
      <c r="H3185" t="s">
        <v>4760</v>
      </c>
      <c r="I3185">
        <v>5405</v>
      </c>
      <c r="J3185" s="3">
        <v>1678.11</v>
      </c>
      <c r="K3185" s="3">
        <v>860.66</v>
      </c>
      <c r="L3185">
        <v>48.71</v>
      </c>
    </row>
    <row r="3186" spans="1:12">
      <c r="A3186" s="1">
        <v>46037</v>
      </c>
      <c r="B3186" t="s">
        <v>9373</v>
      </c>
      <c r="C3186">
        <v>24</v>
      </c>
      <c r="D3186" t="str">
        <f>VLOOKUP(Tabela26[[#This Row],[EMP]],[1]LOJA!$A:$B,2,0)</f>
        <v>LUZIÂNIA</v>
      </c>
      <c r="E3186">
        <v>192</v>
      </c>
      <c r="F3186" t="s">
        <v>9372</v>
      </c>
      <c r="G3186" t="s">
        <v>9371</v>
      </c>
      <c r="H3186" t="s">
        <v>3430</v>
      </c>
      <c r="I3186">
        <v>5102</v>
      </c>
      <c r="J3186" s="3">
        <v>18.899999999999999</v>
      </c>
      <c r="K3186" s="3">
        <v>9.17</v>
      </c>
      <c r="L3186">
        <v>51.48</v>
      </c>
    </row>
    <row r="3187" spans="1:12">
      <c r="A3187" s="1">
        <v>46037</v>
      </c>
      <c r="B3187" t="s">
        <v>9370</v>
      </c>
      <c r="C3187">
        <v>24</v>
      </c>
      <c r="D3187" t="str">
        <f>VLOOKUP(Tabela26[[#This Row],[EMP]],[1]LOJA!$A:$B,2,0)</f>
        <v>LUZIÂNIA</v>
      </c>
      <c r="E3187">
        <v>150</v>
      </c>
      <c r="F3187" t="s">
        <v>4182</v>
      </c>
      <c r="G3187" t="s">
        <v>4181</v>
      </c>
      <c r="H3187" t="s">
        <v>3430</v>
      </c>
      <c r="I3187">
        <v>5102</v>
      </c>
      <c r="J3187" s="3">
        <v>35</v>
      </c>
      <c r="K3187" s="3">
        <v>18.28</v>
      </c>
      <c r="L3187">
        <v>47.77</v>
      </c>
    </row>
    <row r="3188" spans="1:12">
      <c r="A3188" s="1">
        <v>46037</v>
      </c>
      <c r="B3188" t="s">
        <v>9369</v>
      </c>
      <c r="C3188">
        <v>24</v>
      </c>
      <c r="D3188" t="str">
        <f>VLOOKUP(Tabela26[[#This Row],[EMP]],[1]LOJA!$A:$B,2,0)</f>
        <v>LUZIÂNIA</v>
      </c>
      <c r="E3188">
        <v>150</v>
      </c>
      <c r="F3188" t="s">
        <v>4182</v>
      </c>
      <c r="G3188" t="s">
        <v>4181</v>
      </c>
      <c r="H3188" t="s">
        <v>3430</v>
      </c>
      <c r="I3188">
        <v>5102</v>
      </c>
      <c r="J3188" s="3">
        <v>90</v>
      </c>
      <c r="K3188" s="3">
        <v>41.6</v>
      </c>
      <c r="L3188">
        <v>53.78</v>
      </c>
    </row>
    <row r="3189" spans="1:12">
      <c r="A3189" s="1">
        <v>46037</v>
      </c>
      <c r="B3189" t="s">
        <v>9368</v>
      </c>
      <c r="C3189">
        <v>24</v>
      </c>
      <c r="D3189" t="str">
        <f>VLOOKUP(Tabela26[[#This Row],[EMP]],[1]LOJA!$A:$B,2,0)</f>
        <v>LUZIÂNIA</v>
      </c>
      <c r="E3189">
        <v>150</v>
      </c>
      <c r="F3189" t="s">
        <v>7491</v>
      </c>
      <c r="G3189" t="s">
        <v>7490</v>
      </c>
      <c r="H3189" t="s">
        <v>3430</v>
      </c>
      <c r="I3189">
        <v>5405</v>
      </c>
      <c r="J3189" s="3">
        <v>40</v>
      </c>
      <c r="K3189" s="3">
        <v>20.16</v>
      </c>
      <c r="L3189">
        <v>49.6</v>
      </c>
    </row>
    <row r="3190" spans="1:12">
      <c r="A3190" s="1">
        <v>46037</v>
      </c>
      <c r="B3190" t="s">
        <v>9367</v>
      </c>
      <c r="C3190">
        <v>24</v>
      </c>
      <c r="D3190" t="str">
        <f>VLOOKUP(Tabela26[[#This Row],[EMP]],[1]LOJA!$A:$B,2,0)</f>
        <v>LUZIÂNIA</v>
      </c>
      <c r="E3190">
        <v>150</v>
      </c>
      <c r="F3190" t="s">
        <v>4276</v>
      </c>
      <c r="G3190" t="s">
        <v>4275</v>
      </c>
      <c r="H3190" t="s">
        <v>3520</v>
      </c>
      <c r="I3190">
        <v>5405</v>
      </c>
      <c r="J3190" s="3">
        <v>97</v>
      </c>
      <c r="K3190" s="3">
        <v>41.17</v>
      </c>
      <c r="L3190">
        <v>57.56</v>
      </c>
    </row>
    <row r="3191" spans="1:12">
      <c r="A3191" s="1">
        <v>46037</v>
      </c>
      <c r="B3191" t="s">
        <v>9366</v>
      </c>
      <c r="C3191">
        <v>24</v>
      </c>
      <c r="D3191" t="str">
        <f>VLOOKUP(Tabela26[[#This Row],[EMP]],[1]LOJA!$A:$B,2,0)</f>
        <v>LUZIÂNIA</v>
      </c>
      <c r="E3191">
        <v>150</v>
      </c>
      <c r="F3191" t="s">
        <v>7487</v>
      </c>
      <c r="G3191" t="s">
        <v>7486</v>
      </c>
      <c r="H3191" t="s">
        <v>3430</v>
      </c>
      <c r="I3191">
        <v>5102</v>
      </c>
      <c r="J3191" s="3">
        <v>297.5</v>
      </c>
      <c r="K3191" s="3">
        <v>186.62</v>
      </c>
      <c r="L3191">
        <v>37.270000000000003</v>
      </c>
    </row>
    <row r="3192" spans="1:12">
      <c r="A3192" s="1">
        <v>46037</v>
      </c>
      <c r="B3192" t="s">
        <v>9365</v>
      </c>
      <c r="C3192">
        <v>24</v>
      </c>
      <c r="D3192" t="str">
        <f>VLOOKUP(Tabela26[[#This Row],[EMP]],[1]LOJA!$A:$B,2,0)</f>
        <v>LUZIÂNIA</v>
      </c>
      <c r="E3192">
        <v>150</v>
      </c>
      <c r="F3192" t="s">
        <v>4279</v>
      </c>
      <c r="G3192" t="s">
        <v>4278</v>
      </c>
      <c r="H3192" t="s">
        <v>3430</v>
      </c>
      <c r="I3192">
        <v>5405</v>
      </c>
      <c r="J3192" s="3">
        <v>202.09</v>
      </c>
      <c r="K3192" s="3">
        <v>101.7</v>
      </c>
      <c r="L3192">
        <v>49.68</v>
      </c>
    </row>
    <row r="3193" spans="1:12">
      <c r="A3193" s="1">
        <v>46037</v>
      </c>
      <c r="B3193" t="s">
        <v>9364</v>
      </c>
      <c r="C3193">
        <v>24</v>
      </c>
      <c r="D3193" t="str">
        <f>VLOOKUP(Tabela26[[#This Row],[EMP]],[1]LOJA!$A:$B,2,0)</f>
        <v>LUZIÂNIA</v>
      </c>
      <c r="E3193">
        <v>150</v>
      </c>
      <c r="F3193" t="s">
        <v>5987</v>
      </c>
      <c r="G3193" t="s">
        <v>5986</v>
      </c>
      <c r="H3193" t="s">
        <v>3520</v>
      </c>
      <c r="I3193">
        <v>5405</v>
      </c>
      <c r="J3193" s="3">
        <v>240.1</v>
      </c>
      <c r="K3193" s="3">
        <v>118.19</v>
      </c>
      <c r="L3193">
        <v>50.77</v>
      </c>
    </row>
    <row r="3194" spans="1:12">
      <c r="A3194" s="1">
        <v>46037</v>
      </c>
      <c r="B3194" t="s">
        <v>9363</v>
      </c>
      <c r="C3194">
        <v>24</v>
      </c>
      <c r="D3194" t="str">
        <f>VLOOKUP(Tabela26[[#This Row],[EMP]],[1]LOJA!$A:$B,2,0)</f>
        <v>LUZIÂNIA</v>
      </c>
      <c r="E3194">
        <v>150</v>
      </c>
      <c r="F3194" t="s">
        <v>4292</v>
      </c>
      <c r="G3194" t="s">
        <v>4291</v>
      </c>
      <c r="H3194" t="s">
        <v>3430</v>
      </c>
      <c r="I3194">
        <v>5405</v>
      </c>
      <c r="J3194" s="3">
        <v>916.48</v>
      </c>
      <c r="K3194" s="3">
        <v>457.36</v>
      </c>
      <c r="L3194">
        <v>50.1</v>
      </c>
    </row>
    <row r="3195" spans="1:12">
      <c r="A3195" s="1">
        <v>46037</v>
      </c>
      <c r="B3195" t="s">
        <v>9362</v>
      </c>
      <c r="C3195">
        <v>24</v>
      </c>
      <c r="D3195" t="str">
        <f>VLOOKUP(Tabela26[[#This Row],[EMP]],[1]LOJA!$A:$B,2,0)</f>
        <v>LUZIÂNIA</v>
      </c>
      <c r="E3195">
        <v>192</v>
      </c>
      <c r="F3195" t="s">
        <v>8940</v>
      </c>
      <c r="G3195" t="s">
        <v>8939</v>
      </c>
      <c r="H3195" t="s">
        <v>3430</v>
      </c>
      <c r="I3195">
        <v>5405</v>
      </c>
      <c r="J3195" s="3">
        <v>48</v>
      </c>
      <c r="K3195" s="3">
        <v>20.36</v>
      </c>
      <c r="L3195">
        <v>57.58</v>
      </c>
    </row>
    <row r="3196" spans="1:12">
      <c r="A3196" s="1">
        <v>46037</v>
      </c>
      <c r="B3196" t="s">
        <v>9361</v>
      </c>
      <c r="C3196">
        <v>24</v>
      </c>
      <c r="D3196" t="str">
        <f>VLOOKUP(Tabela26[[#This Row],[EMP]],[1]LOJA!$A:$B,2,0)</f>
        <v>LUZIÂNIA</v>
      </c>
      <c r="E3196">
        <v>150</v>
      </c>
      <c r="F3196" t="s">
        <v>4182</v>
      </c>
      <c r="G3196" t="s">
        <v>4181</v>
      </c>
      <c r="H3196" t="s">
        <v>3430</v>
      </c>
      <c r="I3196">
        <v>5405</v>
      </c>
      <c r="J3196" s="3">
        <v>706.8</v>
      </c>
      <c r="K3196" s="3">
        <v>348.84</v>
      </c>
      <c r="L3196">
        <v>50.65</v>
      </c>
    </row>
    <row r="3197" spans="1:12">
      <c r="A3197" s="1">
        <v>46037</v>
      </c>
      <c r="B3197" t="s">
        <v>9360</v>
      </c>
      <c r="C3197">
        <v>24</v>
      </c>
      <c r="D3197" t="str">
        <f>VLOOKUP(Tabela26[[#This Row],[EMP]],[1]LOJA!$A:$B,2,0)</f>
        <v>LUZIÂNIA</v>
      </c>
      <c r="E3197">
        <v>192</v>
      </c>
      <c r="F3197" t="s">
        <v>4270</v>
      </c>
      <c r="G3197" t="s">
        <v>4269</v>
      </c>
      <c r="H3197" t="s">
        <v>3430</v>
      </c>
      <c r="I3197">
        <v>5405</v>
      </c>
      <c r="J3197" s="3">
        <v>108</v>
      </c>
      <c r="K3197" s="3">
        <v>54.36</v>
      </c>
      <c r="L3197">
        <v>49.67</v>
      </c>
    </row>
    <row r="3198" spans="1:12">
      <c r="A3198" s="1">
        <v>46037</v>
      </c>
      <c r="B3198" t="s">
        <v>9359</v>
      </c>
      <c r="C3198">
        <v>24</v>
      </c>
      <c r="D3198" t="str">
        <f>VLOOKUP(Tabela26[[#This Row],[EMP]],[1]LOJA!$A:$B,2,0)</f>
        <v>LUZIÂNIA</v>
      </c>
      <c r="E3198">
        <v>150</v>
      </c>
      <c r="F3198" t="s">
        <v>4276</v>
      </c>
      <c r="G3198" t="s">
        <v>4275</v>
      </c>
      <c r="H3198" t="s">
        <v>3520</v>
      </c>
      <c r="I3198">
        <v>5405</v>
      </c>
      <c r="J3198" s="3">
        <v>376.4</v>
      </c>
      <c r="K3198" s="3">
        <v>206.9</v>
      </c>
      <c r="L3198">
        <v>45.03</v>
      </c>
    </row>
    <row r="3199" spans="1:12">
      <c r="A3199" s="1">
        <v>46037</v>
      </c>
      <c r="B3199" t="s">
        <v>9358</v>
      </c>
      <c r="C3199">
        <v>16</v>
      </c>
      <c r="D3199" t="str">
        <f>VLOOKUP(Tabela26[[#This Row],[EMP]],[1]LOJA!$A:$B,2,0)</f>
        <v>AG LINDAS</v>
      </c>
      <c r="E3199">
        <v>240</v>
      </c>
      <c r="F3199" t="s">
        <v>9357</v>
      </c>
      <c r="G3199" t="s">
        <v>9356</v>
      </c>
      <c r="H3199" t="s">
        <v>3430</v>
      </c>
      <c r="I3199">
        <v>6108</v>
      </c>
      <c r="J3199" s="3">
        <v>16.899999999999999</v>
      </c>
      <c r="K3199" s="3">
        <v>5.83</v>
      </c>
      <c r="L3199">
        <v>65.5</v>
      </c>
    </row>
    <row r="3200" spans="1:12">
      <c r="A3200" s="1">
        <v>46037</v>
      </c>
      <c r="B3200" t="s">
        <v>9355</v>
      </c>
      <c r="C3200">
        <v>22</v>
      </c>
      <c r="D3200" t="str">
        <f>VLOOKUP(Tabela26[[#This Row],[EMP]],[1]LOJA!$A:$B,2,0)</f>
        <v>GUARÁ</v>
      </c>
      <c r="E3200">
        <v>93</v>
      </c>
      <c r="F3200" t="s">
        <v>4246</v>
      </c>
      <c r="G3200" t="s">
        <v>4245</v>
      </c>
      <c r="H3200" t="s">
        <v>3430</v>
      </c>
      <c r="I3200">
        <v>5405</v>
      </c>
      <c r="J3200" s="3">
        <v>170.82</v>
      </c>
      <c r="K3200" s="3">
        <v>87.71</v>
      </c>
      <c r="L3200">
        <v>48.65</v>
      </c>
    </row>
    <row r="3201" spans="1:12">
      <c r="A3201" s="1">
        <v>46037</v>
      </c>
      <c r="B3201" t="s">
        <v>9354</v>
      </c>
      <c r="C3201">
        <v>22</v>
      </c>
      <c r="D3201" t="str">
        <f>VLOOKUP(Tabela26[[#This Row],[EMP]],[1]LOJA!$A:$B,2,0)</f>
        <v>GUARÁ</v>
      </c>
      <c r="E3201">
        <v>93</v>
      </c>
      <c r="F3201" t="s">
        <v>7751</v>
      </c>
      <c r="G3201" t="s">
        <v>7750</v>
      </c>
      <c r="H3201" t="s">
        <v>3401</v>
      </c>
      <c r="I3201">
        <v>5102</v>
      </c>
      <c r="J3201" s="3">
        <v>108</v>
      </c>
      <c r="K3201" s="3">
        <v>62.64</v>
      </c>
      <c r="L3201">
        <v>42</v>
      </c>
    </row>
    <row r="3202" spans="1:12">
      <c r="A3202" s="1">
        <v>46037</v>
      </c>
      <c r="B3202" t="s">
        <v>9353</v>
      </c>
      <c r="C3202">
        <v>22</v>
      </c>
      <c r="D3202" t="str">
        <f>VLOOKUP(Tabela26[[#This Row],[EMP]],[1]LOJA!$A:$B,2,0)</f>
        <v>GUARÁ</v>
      </c>
      <c r="E3202">
        <v>93</v>
      </c>
      <c r="F3202" t="s">
        <v>3535</v>
      </c>
      <c r="G3202" t="s">
        <v>3534</v>
      </c>
      <c r="H3202" t="s">
        <v>4243</v>
      </c>
      <c r="I3202">
        <v>5405</v>
      </c>
      <c r="J3202" s="3">
        <v>72.27</v>
      </c>
      <c r="K3202" s="3">
        <v>38.090000000000003</v>
      </c>
      <c r="L3202">
        <v>47.29</v>
      </c>
    </row>
    <row r="3203" spans="1:12">
      <c r="A3203" s="1">
        <v>46037</v>
      </c>
      <c r="B3203" t="s">
        <v>9352</v>
      </c>
      <c r="C3203">
        <v>22</v>
      </c>
      <c r="D3203" t="str">
        <f>VLOOKUP(Tabela26[[#This Row],[EMP]],[1]LOJA!$A:$B,2,0)</f>
        <v>GUARÁ</v>
      </c>
      <c r="E3203">
        <v>16</v>
      </c>
      <c r="F3203" t="s">
        <v>9351</v>
      </c>
      <c r="G3203" t="s">
        <v>9350</v>
      </c>
      <c r="H3203" t="s">
        <v>3408</v>
      </c>
      <c r="I3203">
        <v>5405</v>
      </c>
      <c r="J3203" s="3">
        <v>800</v>
      </c>
      <c r="K3203" s="3">
        <v>380.76</v>
      </c>
      <c r="L3203">
        <v>52.41</v>
      </c>
    </row>
    <row r="3204" spans="1:12">
      <c r="A3204" s="1">
        <v>46037</v>
      </c>
      <c r="B3204" t="s">
        <v>9349</v>
      </c>
      <c r="C3204">
        <v>22</v>
      </c>
      <c r="D3204" t="str">
        <f>VLOOKUP(Tabela26[[#This Row],[EMP]],[1]LOJA!$A:$B,2,0)</f>
        <v>GUARÁ</v>
      </c>
      <c r="E3204">
        <v>93</v>
      </c>
      <c r="F3204" t="s">
        <v>4246</v>
      </c>
      <c r="G3204" t="s">
        <v>4245</v>
      </c>
      <c r="H3204" t="s">
        <v>3430</v>
      </c>
      <c r="I3204">
        <v>5405</v>
      </c>
      <c r="J3204" s="3">
        <v>347.76</v>
      </c>
      <c r="K3204" s="3">
        <v>222.34</v>
      </c>
      <c r="L3204">
        <v>36.07</v>
      </c>
    </row>
    <row r="3205" spans="1:12">
      <c r="A3205" s="1">
        <v>46037</v>
      </c>
      <c r="B3205" t="s">
        <v>9348</v>
      </c>
      <c r="C3205">
        <v>22</v>
      </c>
      <c r="D3205" t="str">
        <f>VLOOKUP(Tabela26[[#This Row],[EMP]],[1]LOJA!$A:$B,2,0)</f>
        <v>GUARÁ</v>
      </c>
      <c r="E3205">
        <v>16</v>
      </c>
      <c r="F3205" t="s">
        <v>8328</v>
      </c>
      <c r="G3205" t="s">
        <v>8327</v>
      </c>
      <c r="H3205" t="s">
        <v>3430</v>
      </c>
      <c r="I3205">
        <v>5405</v>
      </c>
      <c r="J3205" s="3">
        <v>389</v>
      </c>
      <c r="K3205" s="3">
        <v>187.51</v>
      </c>
      <c r="L3205">
        <v>51.8</v>
      </c>
    </row>
    <row r="3206" spans="1:12">
      <c r="A3206" s="1">
        <v>46037</v>
      </c>
      <c r="B3206" t="s">
        <v>9347</v>
      </c>
      <c r="C3206">
        <v>22</v>
      </c>
      <c r="D3206" t="str">
        <f>VLOOKUP(Tabela26[[#This Row],[EMP]],[1]LOJA!$A:$B,2,0)</f>
        <v>GUARÁ</v>
      </c>
      <c r="E3206">
        <v>93</v>
      </c>
      <c r="F3206" t="s">
        <v>3542</v>
      </c>
      <c r="G3206" t="s">
        <v>3541</v>
      </c>
      <c r="H3206" t="s">
        <v>3430</v>
      </c>
      <c r="I3206">
        <v>5102</v>
      </c>
      <c r="J3206" s="3">
        <v>162</v>
      </c>
      <c r="K3206" s="3">
        <v>71</v>
      </c>
      <c r="L3206">
        <v>56.17</v>
      </c>
    </row>
    <row r="3207" spans="1:12">
      <c r="A3207" s="1">
        <v>46037</v>
      </c>
      <c r="B3207" t="s">
        <v>9346</v>
      </c>
      <c r="C3207">
        <v>24</v>
      </c>
      <c r="D3207" t="str">
        <f>VLOOKUP(Tabela26[[#This Row],[EMP]],[1]LOJA!$A:$B,2,0)</f>
        <v>LUZIÂNIA</v>
      </c>
      <c r="E3207">
        <v>150</v>
      </c>
      <c r="F3207" t="s">
        <v>3524</v>
      </c>
      <c r="G3207" t="s">
        <v>3402</v>
      </c>
      <c r="H3207" t="s">
        <v>3401</v>
      </c>
      <c r="I3207">
        <v>5405</v>
      </c>
      <c r="J3207" s="3">
        <v>148.5</v>
      </c>
      <c r="K3207" s="3">
        <v>71.650000000000006</v>
      </c>
      <c r="L3207">
        <v>51.75</v>
      </c>
    </row>
    <row r="3208" spans="1:12">
      <c r="A3208" s="1">
        <v>46037</v>
      </c>
      <c r="B3208" t="s">
        <v>9345</v>
      </c>
      <c r="C3208">
        <v>24</v>
      </c>
      <c r="D3208" t="str">
        <f>VLOOKUP(Tabela26[[#This Row],[EMP]],[1]LOJA!$A:$B,2,0)</f>
        <v>LUZIÂNIA</v>
      </c>
      <c r="E3208">
        <v>242</v>
      </c>
      <c r="F3208" t="s">
        <v>3524</v>
      </c>
      <c r="G3208" t="s">
        <v>3402</v>
      </c>
      <c r="H3208" t="s">
        <v>3401</v>
      </c>
      <c r="I3208">
        <v>5102</v>
      </c>
      <c r="J3208" s="3">
        <v>966</v>
      </c>
      <c r="K3208" s="3">
        <v>416.28</v>
      </c>
      <c r="L3208">
        <v>56.91</v>
      </c>
    </row>
    <row r="3209" spans="1:12">
      <c r="A3209" s="1">
        <v>46037</v>
      </c>
      <c r="B3209" t="s">
        <v>9344</v>
      </c>
      <c r="C3209">
        <v>24</v>
      </c>
      <c r="D3209" t="str">
        <f>VLOOKUP(Tabela26[[#This Row],[EMP]],[1]LOJA!$A:$B,2,0)</f>
        <v>LUZIÂNIA</v>
      </c>
      <c r="E3209">
        <v>192</v>
      </c>
      <c r="F3209" t="s">
        <v>3524</v>
      </c>
      <c r="G3209" t="s">
        <v>3402</v>
      </c>
      <c r="H3209" t="s">
        <v>3401</v>
      </c>
      <c r="I3209">
        <v>5405</v>
      </c>
      <c r="J3209" s="3">
        <v>48</v>
      </c>
      <c r="K3209" s="3">
        <v>21.71</v>
      </c>
      <c r="L3209">
        <v>54.77</v>
      </c>
    </row>
    <row r="3210" spans="1:12">
      <c r="A3210" s="1">
        <v>46037</v>
      </c>
      <c r="B3210" t="s">
        <v>9343</v>
      </c>
      <c r="C3210">
        <v>24</v>
      </c>
      <c r="D3210" t="str">
        <f>VLOOKUP(Tabela26[[#This Row],[EMP]],[1]LOJA!$A:$B,2,0)</f>
        <v>LUZIÂNIA</v>
      </c>
      <c r="E3210">
        <v>192</v>
      </c>
      <c r="F3210" t="s">
        <v>4189</v>
      </c>
      <c r="G3210" t="s">
        <v>4188</v>
      </c>
      <c r="H3210" t="s">
        <v>3408</v>
      </c>
      <c r="I3210">
        <v>5405</v>
      </c>
      <c r="J3210" s="3">
        <v>159</v>
      </c>
      <c r="K3210" s="3">
        <v>77.11</v>
      </c>
      <c r="L3210">
        <v>51.5</v>
      </c>
    </row>
    <row r="3211" spans="1:12">
      <c r="A3211" s="1">
        <v>46037</v>
      </c>
      <c r="B3211" t="s">
        <v>9342</v>
      </c>
      <c r="C3211">
        <v>24</v>
      </c>
      <c r="D3211" t="str">
        <f>VLOOKUP(Tabela26[[#This Row],[EMP]],[1]LOJA!$A:$B,2,0)</f>
        <v>LUZIÂNIA</v>
      </c>
      <c r="E3211">
        <v>150</v>
      </c>
      <c r="F3211" t="s">
        <v>5393</v>
      </c>
      <c r="G3211" t="s">
        <v>3402</v>
      </c>
      <c r="H3211" t="s">
        <v>3401</v>
      </c>
      <c r="I3211">
        <v>5102</v>
      </c>
      <c r="J3211" s="3">
        <v>70</v>
      </c>
      <c r="K3211" s="3">
        <v>46.4</v>
      </c>
      <c r="L3211">
        <v>33.71</v>
      </c>
    </row>
    <row r="3212" spans="1:12">
      <c r="A3212" s="1">
        <v>46037</v>
      </c>
      <c r="B3212" t="s">
        <v>9341</v>
      </c>
      <c r="C3212">
        <v>24</v>
      </c>
      <c r="D3212" t="str">
        <f>VLOOKUP(Tabela26[[#This Row],[EMP]],[1]LOJA!$A:$B,2,0)</f>
        <v>LUZIÂNIA</v>
      </c>
      <c r="E3212">
        <v>192</v>
      </c>
      <c r="F3212" t="s">
        <v>3524</v>
      </c>
      <c r="G3212" t="s">
        <v>3402</v>
      </c>
      <c r="H3212" t="s">
        <v>3401</v>
      </c>
      <c r="I3212">
        <v>5405</v>
      </c>
      <c r="J3212" s="3">
        <v>88</v>
      </c>
      <c r="K3212" s="3">
        <v>45.62</v>
      </c>
      <c r="L3212">
        <v>48.16</v>
      </c>
    </row>
    <row r="3213" spans="1:12">
      <c r="A3213" s="1">
        <v>46037</v>
      </c>
      <c r="B3213" t="s">
        <v>9340</v>
      </c>
      <c r="C3213">
        <v>24</v>
      </c>
      <c r="D3213" t="str">
        <f>VLOOKUP(Tabela26[[#This Row],[EMP]],[1]LOJA!$A:$B,2,0)</f>
        <v>LUZIÂNIA</v>
      </c>
      <c r="E3213">
        <v>192</v>
      </c>
      <c r="F3213" t="s">
        <v>3524</v>
      </c>
      <c r="G3213" t="s">
        <v>3402</v>
      </c>
      <c r="H3213" t="s">
        <v>3408</v>
      </c>
      <c r="I3213">
        <v>5102</v>
      </c>
      <c r="J3213" s="3">
        <v>341</v>
      </c>
      <c r="K3213" s="3">
        <v>202.74</v>
      </c>
      <c r="L3213">
        <v>40.549999999999997</v>
      </c>
    </row>
    <row r="3214" spans="1:12">
      <c r="A3214" s="1">
        <v>46037</v>
      </c>
      <c r="B3214" t="s">
        <v>9339</v>
      </c>
      <c r="C3214">
        <v>24</v>
      </c>
      <c r="D3214" t="str">
        <f>VLOOKUP(Tabela26[[#This Row],[EMP]],[1]LOJA!$A:$B,2,0)</f>
        <v>LUZIÂNIA</v>
      </c>
      <c r="E3214">
        <v>150</v>
      </c>
      <c r="F3214" t="s">
        <v>4201</v>
      </c>
      <c r="G3214" t="s">
        <v>4200</v>
      </c>
      <c r="H3214" t="s">
        <v>3408</v>
      </c>
      <c r="I3214">
        <v>5102</v>
      </c>
      <c r="J3214" s="3">
        <v>105</v>
      </c>
      <c r="K3214" s="3">
        <v>55.5</v>
      </c>
      <c r="L3214">
        <v>47.14</v>
      </c>
    </row>
    <row r="3215" spans="1:12">
      <c r="A3215" s="1">
        <v>46037</v>
      </c>
      <c r="B3215" t="s">
        <v>9338</v>
      </c>
      <c r="C3215">
        <v>24</v>
      </c>
      <c r="D3215" t="str">
        <f>VLOOKUP(Tabela26[[#This Row],[EMP]],[1]LOJA!$A:$B,2,0)</f>
        <v>LUZIÂNIA</v>
      </c>
      <c r="E3215">
        <v>150</v>
      </c>
      <c r="F3215" t="s">
        <v>4857</v>
      </c>
      <c r="G3215" t="s">
        <v>4856</v>
      </c>
      <c r="H3215" t="s">
        <v>3401</v>
      </c>
      <c r="I3215">
        <v>5405</v>
      </c>
      <c r="J3215" s="3">
        <v>106</v>
      </c>
      <c r="K3215" s="3">
        <v>54.26</v>
      </c>
      <c r="L3215">
        <v>48.81</v>
      </c>
    </row>
    <row r="3216" spans="1:12">
      <c r="A3216" s="1">
        <v>46037</v>
      </c>
      <c r="B3216" t="s">
        <v>9337</v>
      </c>
      <c r="C3216">
        <v>24</v>
      </c>
      <c r="D3216" t="str">
        <f>VLOOKUP(Tabela26[[#This Row],[EMP]],[1]LOJA!$A:$B,2,0)</f>
        <v>LUZIÂNIA</v>
      </c>
      <c r="E3216">
        <v>192</v>
      </c>
      <c r="F3216" t="s">
        <v>3524</v>
      </c>
      <c r="G3216" t="s">
        <v>3402</v>
      </c>
      <c r="H3216" t="s">
        <v>3401</v>
      </c>
      <c r="I3216">
        <v>5102</v>
      </c>
      <c r="J3216" s="3">
        <v>5</v>
      </c>
      <c r="K3216" s="3">
        <v>3.28</v>
      </c>
      <c r="L3216">
        <v>34.4</v>
      </c>
    </row>
    <row r="3217" spans="1:12">
      <c r="A3217" s="1">
        <v>46037</v>
      </c>
      <c r="B3217" t="s">
        <v>9336</v>
      </c>
      <c r="C3217">
        <v>24</v>
      </c>
      <c r="D3217" t="str">
        <f>VLOOKUP(Tabela26[[#This Row],[EMP]],[1]LOJA!$A:$B,2,0)</f>
        <v>LUZIÂNIA</v>
      </c>
      <c r="E3217">
        <v>150</v>
      </c>
      <c r="F3217" t="s">
        <v>4892</v>
      </c>
      <c r="G3217" t="s">
        <v>4891</v>
      </c>
      <c r="H3217" t="s">
        <v>3401</v>
      </c>
      <c r="I3217">
        <v>5102</v>
      </c>
      <c r="J3217" s="3">
        <v>75</v>
      </c>
      <c r="K3217" s="3">
        <v>42.66</v>
      </c>
      <c r="L3217">
        <v>43.12</v>
      </c>
    </row>
    <row r="3218" spans="1:12">
      <c r="A3218" s="1">
        <v>46037</v>
      </c>
      <c r="B3218" t="s">
        <v>9335</v>
      </c>
      <c r="C3218">
        <v>24</v>
      </c>
      <c r="D3218" t="str">
        <f>VLOOKUP(Tabela26[[#This Row],[EMP]],[1]LOJA!$A:$B,2,0)</f>
        <v>LUZIÂNIA</v>
      </c>
      <c r="E3218">
        <v>150</v>
      </c>
      <c r="F3218" t="s">
        <v>3524</v>
      </c>
      <c r="G3218" t="s">
        <v>3402</v>
      </c>
      <c r="H3218" t="s">
        <v>3401</v>
      </c>
      <c r="I3218">
        <v>5102</v>
      </c>
      <c r="J3218" s="3">
        <v>6</v>
      </c>
      <c r="K3218" s="3">
        <v>3.08</v>
      </c>
      <c r="L3218">
        <v>48.67</v>
      </c>
    </row>
    <row r="3219" spans="1:12">
      <c r="A3219" s="1">
        <v>46037</v>
      </c>
      <c r="B3219" t="s">
        <v>9334</v>
      </c>
      <c r="C3219">
        <v>24</v>
      </c>
      <c r="D3219" t="str">
        <f>VLOOKUP(Tabela26[[#This Row],[EMP]],[1]LOJA!$A:$B,2,0)</f>
        <v>LUZIÂNIA</v>
      </c>
      <c r="E3219">
        <v>192</v>
      </c>
      <c r="F3219" t="s">
        <v>4222</v>
      </c>
      <c r="G3219" t="s">
        <v>4221</v>
      </c>
      <c r="H3219" t="s">
        <v>3408</v>
      </c>
      <c r="I3219">
        <v>5405</v>
      </c>
      <c r="J3219" s="3">
        <v>206</v>
      </c>
      <c r="K3219" s="3">
        <v>104.85</v>
      </c>
      <c r="L3219">
        <v>49.1</v>
      </c>
    </row>
    <row r="3220" spans="1:12">
      <c r="A3220" s="1">
        <v>46037</v>
      </c>
      <c r="B3220" t="s">
        <v>9333</v>
      </c>
      <c r="C3220">
        <v>24</v>
      </c>
      <c r="D3220" t="str">
        <f>VLOOKUP(Tabela26[[#This Row],[EMP]],[1]LOJA!$A:$B,2,0)</f>
        <v>LUZIÂNIA</v>
      </c>
      <c r="E3220">
        <v>192</v>
      </c>
      <c r="F3220" t="s">
        <v>4883</v>
      </c>
      <c r="G3220" t="s">
        <v>4882</v>
      </c>
      <c r="H3220" t="s">
        <v>3408</v>
      </c>
      <c r="I3220">
        <v>5102</v>
      </c>
      <c r="J3220" s="3">
        <v>85.7</v>
      </c>
      <c r="K3220" s="3">
        <v>48.15</v>
      </c>
      <c r="L3220">
        <v>43.82</v>
      </c>
    </row>
    <row r="3221" spans="1:12">
      <c r="A3221" s="1">
        <v>46037</v>
      </c>
      <c r="B3221" t="s">
        <v>9332</v>
      </c>
      <c r="C3221">
        <v>24</v>
      </c>
      <c r="D3221" t="str">
        <f>VLOOKUP(Tabela26[[#This Row],[EMP]],[1]LOJA!$A:$B,2,0)</f>
        <v>LUZIÂNIA</v>
      </c>
      <c r="E3221">
        <v>150</v>
      </c>
      <c r="F3221" t="s">
        <v>8899</v>
      </c>
      <c r="G3221" t="s">
        <v>3402</v>
      </c>
      <c r="H3221" t="s">
        <v>3401</v>
      </c>
      <c r="I3221">
        <v>5102</v>
      </c>
      <c r="J3221" s="3">
        <v>25</v>
      </c>
      <c r="K3221" s="3">
        <v>12.57</v>
      </c>
      <c r="L3221">
        <v>49.72</v>
      </c>
    </row>
    <row r="3222" spans="1:12">
      <c r="A3222" s="1">
        <v>46037</v>
      </c>
      <c r="B3222" t="s">
        <v>9331</v>
      </c>
      <c r="C3222">
        <v>24</v>
      </c>
      <c r="D3222" t="str">
        <f>VLOOKUP(Tabela26[[#This Row],[EMP]],[1]LOJA!$A:$B,2,0)</f>
        <v>LUZIÂNIA</v>
      </c>
      <c r="E3222">
        <v>150</v>
      </c>
      <c r="F3222" t="s">
        <v>9330</v>
      </c>
      <c r="G3222" t="s">
        <v>9329</v>
      </c>
      <c r="H3222" t="s">
        <v>3408</v>
      </c>
      <c r="I3222">
        <v>5405</v>
      </c>
      <c r="J3222" s="3">
        <v>70</v>
      </c>
      <c r="K3222" s="3">
        <v>33.29</v>
      </c>
      <c r="L3222">
        <v>52.44</v>
      </c>
    </row>
    <row r="3223" spans="1:12">
      <c r="A3223" s="1">
        <v>46037</v>
      </c>
      <c r="B3223" t="s">
        <v>9328</v>
      </c>
      <c r="C3223">
        <v>24</v>
      </c>
      <c r="D3223" t="str">
        <f>VLOOKUP(Tabela26[[#This Row],[EMP]],[1]LOJA!$A:$B,2,0)</f>
        <v>LUZIÂNIA</v>
      </c>
      <c r="E3223">
        <v>150</v>
      </c>
      <c r="F3223" t="s">
        <v>9327</v>
      </c>
      <c r="G3223" t="s">
        <v>3402</v>
      </c>
      <c r="H3223" t="s">
        <v>3408</v>
      </c>
      <c r="I3223">
        <v>5405</v>
      </c>
      <c r="J3223" s="3">
        <v>111</v>
      </c>
      <c r="K3223" s="3">
        <v>55.98</v>
      </c>
      <c r="L3223">
        <v>49.57</v>
      </c>
    </row>
    <row r="3224" spans="1:12">
      <c r="A3224" s="1">
        <v>46037</v>
      </c>
      <c r="B3224" t="s">
        <v>9326</v>
      </c>
      <c r="C3224">
        <v>24</v>
      </c>
      <c r="D3224" t="str">
        <f>VLOOKUP(Tabela26[[#This Row],[EMP]],[1]LOJA!$A:$B,2,0)</f>
        <v>LUZIÂNIA</v>
      </c>
      <c r="E3224">
        <v>150</v>
      </c>
      <c r="F3224" t="s">
        <v>5445</v>
      </c>
      <c r="G3224" t="s">
        <v>5444</v>
      </c>
      <c r="H3224" t="s">
        <v>3408</v>
      </c>
      <c r="I3224">
        <v>5102</v>
      </c>
      <c r="J3224" s="3">
        <v>190</v>
      </c>
      <c r="K3224" s="3">
        <v>113.92</v>
      </c>
      <c r="L3224">
        <v>40.04</v>
      </c>
    </row>
    <row r="3225" spans="1:12">
      <c r="A3225" s="1">
        <v>46037</v>
      </c>
      <c r="B3225" t="s">
        <v>9325</v>
      </c>
      <c r="C3225">
        <v>24</v>
      </c>
      <c r="D3225" t="str">
        <f>VLOOKUP(Tabela26[[#This Row],[EMP]],[1]LOJA!$A:$B,2,0)</f>
        <v>LUZIÂNIA</v>
      </c>
      <c r="E3225">
        <v>150</v>
      </c>
      <c r="F3225" t="s">
        <v>9324</v>
      </c>
      <c r="G3225" t="s">
        <v>3402</v>
      </c>
      <c r="H3225" t="s">
        <v>3408</v>
      </c>
      <c r="I3225">
        <v>5102</v>
      </c>
      <c r="J3225" s="3">
        <v>200</v>
      </c>
      <c r="K3225" s="3">
        <v>104.08</v>
      </c>
      <c r="L3225">
        <v>47.96</v>
      </c>
    </row>
    <row r="3226" spans="1:12">
      <c r="A3226" s="1">
        <v>46037</v>
      </c>
      <c r="B3226" t="s">
        <v>9323</v>
      </c>
      <c r="C3226">
        <v>24</v>
      </c>
      <c r="D3226" t="str">
        <f>VLOOKUP(Tabela26[[#This Row],[EMP]],[1]LOJA!$A:$B,2,0)</f>
        <v>LUZIÂNIA</v>
      </c>
      <c r="E3226">
        <v>150</v>
      </c>
      <c r="F3226" t="s">
        <v>9322</v>
      </c>
      <c r="G3226" t="s">
        <v>3402</v>
      </c>
      <c r="H3226" t="s">
        <v>3408</v>
      </c>
      <c r="I3226">
        <v>5405</v>
      </c>
      <c r="J3226" s="3">
        <v>440</v>
      </c>
      <c r="K3226" s="3">
        <v>275.22000000000003</v>
      </c>
      <c r="L3226">
        <v>37.450000000000003</v>
      </c>
    </row>
    <row r="3227" spans="1:12">
      <c r="A3227" s="1">
        <v>46037</v>
      </c>
      <c r="B3227" t="s">
        <v>9321</v>
      </c>
      <c r="C3227">
        <v>24</v>
      </c>
      <c r="D3227" t="str">
        <f>VLOOKUP(Tabela26[[#This Row],[EMP]],[1]LOJA!$A:$B,2,0)</f>
        <v>LUZIÂNIA</v>
      </c>
      <c r="E3227">
        <v>150</v>
      </c>
      <c r="F3227" t="s">
        <v>4902</v>
      </c>
      <c r="G3227" t="s">
        <v>3402</v>
      </c>
      <c r="H3227" t="s">
        <v>3408</v>
      </c>
      <c r="I3227">
        <v>5405</v>
      </c>
      <c r="J3227" s="3">
        <v>630</v>
      </c>
      <c r="K3227" s="3">
        <v>352.87</v>
      </c>
      <c r="L3227">
        <v>43.99</v>
      </c>
    </row>
    <row r="3228" spans="1:12">
      <c r="A3228" s="1">
        <v>46037</v>
      </c>
      <c r="B3228" t="s">
        <v>9320</v>
      </c>
      <c r="C3228">
        <v>24</v>
      </c>
      <c r="D3228" t="str">
        <f>VLOOKUP(Tabela26[[#This Row],[EMP]],[1]LOJA!$A:$B,2,0)</f>
        <v>LUZIÂNIA</v>
      </c>
      <c r="E3228">
        <v>150</v>
      </c>
      <c r="F3228" t="s">
        <v>5404</v>
      </c>
      <c r="G3228" t="s">
        <v>5403</v>
      </c>
      <c r="H3228" t="s">
        <v>3408</v>
      </c>
      <c r="I3228">
        <v>5405</v>
      </c>
      <c r="J3228" s="3">
        <v>1077.5999999999999</v>
      </c>
      <c r="K3228" s="3">
        <v>467.52</v>
      </c>
      <c r="L3228">
        <v>56.61</v>
      </c>
    </row>
    <row r="3229" spans="1:12">
      <c r="A3229" s="1">
        <v>46037</v>
      </c>
      <c r="B3229" t="s">
        <v>9319</v>
      </c>
      <c r="C3229">
        <v>24</v>
      </c>
      <c r="D3229" t="str">
        <f>VLOOKUP(Tabela26[[#This Row],[EMP]],[1]LOJA!$A:$B,2,0)</f>
        <v>LUZIÂNIA</v>
      </c>
      <c r="E3229">
        <v>192</v>
      </c>
      <c r="F3229" t="s">
        <v>4854</v>
      </c>
      <c r="G3229" t="s">
        <v>3402</v>
      </c>
      <c r="H3229" t="s">
        <v>3408</v>
      </c>
      <c r="I3229">
        <v>5102</v>
      </c>
      <c r="J3229" s="3">
        <v>22</v>
      </c>
      <c r="K3229" s="3">
        <v>13.32</v>
      </c>
      <c r="L3229">
        <v>39.450000000000003</v>
      </c>
    </row>
    <row r="3230" spans="1:12">
      <c r="A3230" s="1">
        <v>46037</v>
      </c>
      <c r="B3230" t="s">
        <v>9318</v>
      </c>
      <c r="C3230">
        <v>24</v>
      </c>
      <c r="D3230" t="str">
        <f>VLOOKUP(Tabela26[[#This Row],[EMP]],[1]LOJA!$A:$B,2,0)</f>
        <v>LUZIÂNIA</v>
      </c>
      <c r="E3230">
        <v>242</v>
      </c>
      <c r="F3230" t="s">
        <v>3524</v>
      </c>
      <c r="G3230" t="s">
        <v>3402</v>
      </c>
      <c r="H3230" t="s">
        <v>3401</v>
      </c>
      <c r="I3230">
        <v>5405</v>
      </c>
      <c r="J3230" s="3">
        <v>267</v>
      </c>
      <c r="K3230" s="3">
        <v>140.75</v>
      </c>
      <c r="L3230">
        <v>47.28</v>
      </c>
    </row>
    <row r="3231" spans="1:12">
      <c r="A3231" s="1">
        <v>46037</v>
      </c>
      <c r="B3231" t="s">
        <v>9317</v>
      </c>
      <c r="C3231">
        <v>24</v>
      </c>
      <c r="D3231" t="str">
        <f>VLOOKUP(Tabela26[[#This Row],[EMP]],[1]LOJA!$A:$B,2,0)</f>
        <v>LUZIÂNIA</v>
      </c>
      <c r="E3231">
        <v>150</v>
      </c>
      <c r="F3231" t="s">
        <v>5449</v>
      </c>
      <c r="G3231" t="s">
        <v>5448</v>
      </c>
      <c r="H3231" t="s">
        <v>3401</v>
      </c>
      <c r="I3231">
        <v>5405</v>
      </c>
      <c r="J3231" s="3">
        <v>118</v>
      </c>
      <c r="K3231" s="3">
        <v>58.56</v>
      </c>
      <c r="L3231">
        <v>50.37</v>
      </c>
    </row>
    <row r="3232" spans="1:12">
      <c r="A3232" s="1">
        <v>46037</v>
      </c>
      <c r="B3232" t="s">
        <v>9316</v>
      </c>
      <c r="C3232">
        <v>24</v>
      </c>
      <c r="D3232" t="str">
        <f>VLOOKUP(Tabela26[[#This Row],[EMP]],[1]LOJA!$A:$B,2,0)</f>
        <v>LUZIÂNIA</v>
      </c>
      <c r="E3232">
        <v>242</v>
      </c>
      <c r="F3232" t="s">
        <v>3524</v>
      </c>
      <c r="G3232" t="s">
        <v>3402</v>
      </c>
      <c r="H3232" t="s">
        <v>3401</v>
      </c>
      <c r="I3232">
        <v>5405</v>
      </c>
      <c r="J3232" s="3">
        <v>130</v>
      </c>
      <c r="K3232" s="3">
        <v>62.51</v>
      </c>
      <c r="L3232">
        <v>51.92</v>
      </c>
    </row>
    <row r="3233" spans="1:12">
      <c r="A3233" s="1">
        <v>46037</v>
      </c>
      <c r="B3233" t="s">
        <v>9315</v>
      </c>
      <c r="C3233">
        <v>24</v>
      </c>
      <c r="D3233" t="str">
        <f>VLOOKUP(Tabela26[[#This Row],[EMP]],[1]LOJA!$A:$B,2,0)</f>
        <v>LUZIÂNIA</v>
      </c>
      <c r="E3233">
        <v>192</v>
      </c>
      <c r="F3233" t="s">
        <v>3524</v>
      </c>
      <c r="G3233" t="s">
        <v>3402</v>
      </c>
      <c r="H3233" t="s">
        <v>3408</v>
      </c>
      <c r="I3233">
        <v>5405</v>
      </c>
      <c r="J3233" s="3">
        <v>220</v>
      </c>
      <c r="K3233" s="3">
        <v>122.66</v>
      </c>
      <c r="L3233">
        <v>44.25</v>
      </c>
    </row>
    <row r="3234" spans="1:12">
      <c r="A3234" s="1">
        <v>46037</v>
      </c>
      <c r="B3234" t="s">
        <v>9314</v>
      </c>
      <c r="C3234">
        <v>24</v>
      </c>
      <c r="D3234" t="str">
        <f>VLOOKUP(Tabela26[[#This Row],[EMP]],[1]LOJA!$A:$B,2,0)</f>
        <v>LUZIÂNIA</v>
      </c>
      <c r="E3234">
        <v>242</v>
      </c>
      <c r="F3234" t="s">
        <v>3524</v>
      </c>
      <c r="G3234" t="s">
        <v>3402</v>
      </c>
      <c r="H3234" t="s">
        <v>3401</v>
      </c>
      <c r="I3234">
        <v>5102</v>
      </c>
      <c r="J3234" s="3">
        <v>168</v>
      </c>
      <c r="K3234" s="3">
        <v>92.94</v>
      </c>
      <c r="L3234">
        <v>44.68</v>
      </c>
    </row>
    <row r="3235" spans="1:12">
      <c r="A3235" s="1">
        <v>46037</v>
      </c>
      <c r="B3235" t="s">
        <v>9313</v>
      </c>
      <c r="C3235">
        <v>24</v>
      </c>
      <c r="D3235" t="str">
        <f>VLOOKUP(Tabela26[[#This Row],[EMP]],[1]LOJA!$A:$B,2,0)</f>
        <v>LUZIÂNIA</v>
      </c>
      <c r="E3235">
        <v>242</v>
      </c>
      <c r="F3235" t="s">
        <v>3524</v>
      </c>
      <c r="G3235" t="s">
        <v>3402</v>
      </c>
      <c r="H3235" t="s">
        <v>3401</v>
      </c>
      <c r="I3235">
        <v>5102</v>
      </c>
      <c r="J3235" s="3">
        <v>130</v>
      </c>
      <c r="K3235" s="3">
        <v>76.22</v>
      </c>
      <c r="L3235">
        <v>41.37</v>
      </c>
    </row>
    <row r="3236" spans="1:12">
      <c r="A3236" s="1">
        <v>46037</v>
      </c>
      <c r="B3236" t="s">
        <v>9312</v>
      </c>
      <c r="C3236">
        <v>24</v>
      </c>
      <c r="D3236" t="str">
        <f>VLOOKUP(Tabela26[[#This Row],[EMP]],[1]LOJA!$A:$B,2,0)</f>
        <v>LUZIÂNIA</v>
      </c>
      <c r="E3236">
        <v>192</v>
      </c>
      <c r="F3236" t="s">
        <v>6163</v>
      </c>
      <c r="G3236" t="s">
        <v>6162</v>
      </c>
      <c r="H3236" t="s">
        <v>3401</v>
      </c>
      <c r="I3236">
        <v>5102</v>
      </c>
      <c r="J3236" s="3">
        <v>42</v>
      </c>
      <c r="K3236" s="3">
        <v>20.81</v>
      </c>
      <c r="L3236">
        <v>50.45</v>
      </c>
    </row>
    <row r="3237" spans="1:12">
      <c r="A3237" s="1">
        <v>46037</v>
      </c>
      <c r="B3237" t="s">
        <v>9311</v>
      </c>
      <c r="C3237">
        <v>24</v>
      </c>
      <c r="D3237" t="str">
        <f>VLOOKUP(Tabela26[[#This Row],[EMP]],[1]LOJA!$A:$B,2,0)</f>
        <v>LUZIÂNIA</v>
      </c>
      <c r="E3237">
        <v>150</v>
      </c>
      <c r="F3237" t="s">
        <v>9310</v>
      </c>
      <c r="G3237" t="s">
        <v>9309</v>
      </c>
      <c r="H3237" t="s">
        <v>3401</v>
      </c>
      <c r="I3237">
        <v>5102</v>
      </c>
      <c r="J3237" s="3">
        <v>30</v>
      </c>
      <c r="K3237" s="3">
        <v>12.96</v>
      </c>
      <c r="L3237">
        <v>56.8</v>
      </c>
    </row>
    <row r="3238" spans="1:12">
      <c r="A3238" s="1">
        <v>46037</v>
      </c>
      <c r="B3238" t="s">
        <v>9308</v>
      </c>
      <c r="C3238">
        <v>24</v>
      </c>
      <c r="D3238" t="str">
        <f>VLOOKUP(Tabela26[[#This Row],[EMP]],[1]LOJA!$A:$B,2,0)</f>
        <v>LUZIÂNIA</v>
      </c>
      <c r="E3238">
        <v>242</v>
      </c>
      <c r="F3238" t="s">
        <v>3524</v>
      </c>
      <c r="G3238" t="s">
        <v>3402</v>
      </c>
      <c r="H3238" t="s">
        <v>3408</v>
      </c>
      <c r="I3238">
        <v>5102</v>
      </c>
      <c r="J3238" s="3">
        <v>35</v>
      </c>
      <c r="K3238" s="3">
        <v>18.28</v>
      </c>
      <c r="L3238">
        <v>47.77</v>
      </c>
    </row>
    <row r="3239" spans="1:12">
      <c r="A3239" s="1">
        <v>46037</v>
      </c>
      <c r="B3239" t="s">
        <v>9307</v>
      </c>
      <c r="C3239">
        <v>24</v>
      </c>
      <c r="D3239" t="str">
        <f>VLOOKUP(Tabela26[[#This Row],[EMP]],[1]LOJA!$A:$B,2,0)</f>
        <v>LUZIÂNIA</v>
      </c>
      <c r="E3239">
        <v>192</v>
      </c>
      <c r="F3239" t="s">
        <v>3524</v>
      </c>
      <c r="G3239" t="s">
        <v>3402</v>
      </c>
      <c r="H3239" t="s">
        <v>3401</v>
      </c>
      <c r="I3239">
        <v>5405</v>
      </c>
      <c r="J3239" s="3">
        <v>48</v>
      </c>
      <c r="K3239" s="3">
        <v>21.71</v>
      </c>
      <c r="L3239">
        <v>54.77</v>
      </c>
    </row>
    <row r="3240" spans="1:12">
      <c r="A3240" s="1">
        <v>46037</v>
      </c>
      <c r="B3240" t="s">
        <v>9306</v>
      </c>
      <c r="C3240">
        <v>24</v>
      </c>
      <c r="D3240" t="str">
        <f>VLOOKUP(Tabela26[[#This Row],[EMP]],[1]LOJA!$A:$B,2,0)</f>
        <v>LUZIÂNIA</v>
      </c>
      <c r="E3240">
        <v>242</v>
      </c>
      <c r="F3240" t="s">
        <v>5171</v>
      </c>
      <c r="G3240" t="s">
        <v>3402</v>
      </c>
      <c r="H3240" t="s">
        <v>3408</v>
      </c>
      <c r="I3240">
        <v>5405</v>
      </c>
      <c r="J3240" s="3">
        <v>1240.4000000000001</v>
      </c>
      <c r="K3240" s="3">
        <v>668.07</v>
      </c>
      <c r="L3240">
        <v>46.14</v>
      </c>
    </row>
    <row r="3241" spans="1:12">
      <c r="A3241" s="1">
        <v>46037</v>
      </c>
      <c r="B3241" t="s">
        <v>9305</v>
      </c>
      <c r="C3241">
        <v>24</v>
      </c>
      <c r="D3241" t="str">
        <f>VLOOKUP(Tabela26[[#This Row],[EMP]],[1]LOJA!$A:$B,2,0)</f>
        <v>LUZIÂNIA</v>
      </c>
      <c r="E3241">
        <v>192</v>
      </c>
      <c r="F3241" t="s">
        <v>3524</v>
      </c>
      <c r="G3241" t="s">
        <v>3402</v>
      </c>
      <c r="H3241" t="s">
        <v>3401</v>
      </c>
      <c r="I3241">
        <v>5102</v>
      </c>
      <c r="J3241" s="3">
        <v>32</v>
      </c>
      <c r="K3241" s="3">
        <v>18</v>
      </c>
      <c r="L3241">
        <v>43.75</v>
      </c>
    </row>
    <row r="3242" spans="1:12">
      <c r="A3242" s="1">
        <v>46037</v>
      </c>
      <c r="B3242" t="s">
        <v>9304</v>
      </c>
      <c r="C3242">
        <v>24</v>
      </c>
      <c r="D3242" t="str">
        <f>VLOOKUP(Tabela26[[#This Row],[EMP]],[1]LOJA!$A:$B,2,0)</f>
        <v>LUZIÂNIA</v>
      </c>
      <c r="E3242">
        <v>192</v>
      </c>
      <c r="F3242" t="s">
        <v>3524</v>
      </c>
      <c r="G3242" t="s">
        <v>3402</v>
      </c>
      <c r="H3242" t="s">
        <v>3408</v>
      </c>
      <c r="I3242">
        <v>5102</v>
      </c>
      <c r="J3242" s="3">
        <v>18</v>
      </c>
      <c r="K3242" s="3">
        <v>8.32</v>
      </c>
      <c r="L3242">
        <v>53.78</v>
      </c>
    </row>
    <row r="3243" spans="1:12">
      <c r="A3243" s="1">
        <v>46037</v>
      </c>
      <c r="B3243" t="s">
        <v>9303</v>
      </c>
      <c r="C3243">
        <v>24</v>
      </c>
      <c r="D3243" t="str">
        <f>VLOOKUP(Tabela26[[#This Row],[EMP]],[1]LOJA!$A:$B,2,0)</f>
        <v>LUZIÂNIA</v>
      </c>
      <c r="E3243">
        <v>150</v>
      </c>
      <c r="F3243" t="s">
        <v>4176</v>
      </c>
      <c r="G3243" t="s">
        <v>4175</v>
      </c>
      <c r="H3243" t="s">
        <v>3408</v>
      </c>
      <c r="I3243">
        <v>5405</v>
      </c>
      <c r="J3243" s="3">
        <v>405.9</v>
      </c>
      <c r="K3243" s="3">
        <v>208.34</v>
      </c>
      <c r="L3243">
        <v>48.67</v>
      </c>
    </row>
    <row r="3244" spans="1:12">
      <c r="A3244" s="1">
        <v>46037</v>
      </c>
      <c r="B3244" t="s">
        <v>9302</v>
      </c>
      <c r="C3244">
        <v>24</v>
      </c>
      <c r="D3244" t="str">
        <f>VLOOKUP(Tabela26[[#This Row],[EMP]],[1]LOJA!$A:$B,2,0)</f>
        <v>LUZIÂNIA</v>
      </c>
      <c r="E3244">
        <v>192</v>
      </c>
      <c r="F3244" t="s">
        <v>3524</v>
      </c>
      <c r="G3244" t="s">
        <v>3402</v>
      </c>
      <c r="H3244" t="s">
        <v>3408</v>
      </c>
      <c r="I3244">
        <v>5405</v>
      </c>
      <c r="J3244" s="3">
        <v>30</v>
      </c>
      <c r="K3244" s="3">
        <v>12.04</v>
      </c>
      <c r="L3244">
        <v>59.87</v>
      </c>
    </row>
    <row r="3245" spans="1:12">
      <c r="A3245" s="1">
        <v>46037</v>
      </c>
      <c r="B3245" t="s">
        <v>9301</v>
      </c>
      <c r="C3245">
        <v>24</v>
      </c>
      <c r="D3245" t="str">
        <f>VLOOKUP(Tabela26[[#This Row],[EMP]],[1]LOJA!$A:$B,2,0)</f>
        <v>LUZIÂNIA</v>
      </c>
      <c r="E3245">
        <v>192</v>
      </c>
      <c r="F3245" t="s">
        <v>9300</v>
      </c>
      <c r="G3245" t="s">
        <v>3402</v>
      </c>
      <c r="H3245" t="s">
        <v>3408</v>
      </c>
      <c r="I3245">
        <v>5102</v>
      </c>
      <c r="J3245" s="3">
        <v>155</v>
      </c>
      <c r="K3245" s="3">
        <v>75.81</v>
      </c>
      <c r="L3245">
        <v>51.09</v>
      </c>
    </row>
    <row r="3246" spans="1:12">
      <c r="A3246" s="1">
        <v>46037</v>
      </c>
      <c r="B3246" t="s">
        <v>9299</v>
      </c>
      <c r="C3246">
        <v>24</v>
      </c>
      <c r="D3246" t="str">
        <f>VLOOKUP(Tabela26[[#This Row],[EMP]],[1]LOJA!$A:$B,2,0)</f>
        <v>LUZIÂNIA</v>
      </c>
      <c r="E3246">
        <v>192</v>
      </c>
      <c r="F3246" t="s">
        <v>3524</v>
      </c>
      <c r="G3246" t="s">
        <v>3402</v>
      </c>
      <c r="H3246" t="s">
        <v>3401</v>
      </c>
      <c r="I3246">
        <v>5102</v>
      </c>
      <c r="J3246" s="3">
        <v>6</v>
      </c>
      <c r="K3246" s="3">
        <v>3.08</v>
      </c>
      <c r="L3246">
        <v>48.67</v>
      </c>
    </row>
    <row r="3247" spans="1:12">
      <c r="A3247" s="1">
        <v>46037</v>
      </c>
      <c r="B3247" t="s">
        <v>9298</v>
      </c>
      <c r="C3247">
        <v>24</v>
      </c>
      <c r="D3247" t="str">
        <f>VLOOKUP(Tabela26[[#This Row],[EMP]],[1]LOJA!$A:$B,2,0)</f>
        <v>LUZIÂNIA</v>
      </c>
      <c r="E3247">
        <v>242</v>
      </c>
      <c r="F3247" t="s">
        <v>3524</v>
      </c>
      <c r="G3247" t="s">
        <v>3402</v>
      </c>
      <c r="H3247" t="s">
        <v>3401</v>
      </c>
      <c r="I3247">
        <v>5102</v>
      </c>
      <c r="J3247" s="3">
        <v>170</v>
      </c>
      <c r="K3247" s="3">
        <v>88.31</v>
      </c>
      <c r="L3247">
        <v>48.05</v>
      </c>
    </row>
    <row r="3248" spans="1:12">
      <c r="A3248" s="1">
        <v>46037</v>
      </c>
      <c r="B3248" t="s">
        <v>9297</v>
      </c>
      <c r="C3248">
        <v>24</v>
      </c>
      <c r="D3248" t="str">
        <f>VLOOKUP(Tabela26[[#This Row],[EMP]],[1]LOJA!$A:$B,2,0)</f>
        <v>LUZIÂNIA</v>
      </c>
      <c r="E3248">
        <v>192</v>
      </c>
      <c r="F3248" t="s">
        <v>3524</v>
      </c>
      <c r="G3248" t="s">
        <v>3402</v>
      </c>
      <c r="H3248" t="s">
        <v>3401</v>
      </c>
      <c r="I3248">
        <v>5405</v>
      </c>
      <c r="J3248" s="3">
        <v>84</v>
      </c>
      <c r="K3248" s="3">
        <v>43.4</v>
      </c>
      <c r="L3248">
        <v>48.33</v>
      </c>
    </row>
    <row r="3249" spans="1:12">
      <c r="A3249" s="1">
        <v>46037</v>
      </c>
      <c r="B3249" t="s">
        <v>9296</v>
      </c>
      <c r="C3249">
        <v>24</v>
      </c>
      <c r="D3249" t="str">
        <f>VLOOKUP(Tabela26[[#This Row],[EMP]],[1]LOJA!$A:$B,2,0)</f>
        <v>LUZIÂNIA</v>
      </c>
      <c r="E3249">
        <v>192</v>
      </c>
      <c r="F3249" t="s">
        <v>3524</v>
      </c>
      <c r="G3249" t="s">
        <v>3402</v>
      </c>
      <c r="H3249" t="s">
        <v>3408</v>
      </c>
      <c r="I3249">
        <v>5102</v>
      </c>
      <c r="J3249" s="3">
        <v>55</v>
      </c>
      <c r="K3249" s="3">
        <v>29.9</v>
      </c>
      <c r="L3249">
        <v>45.64</v>
      </c>
    </row>
    <row r="3250" spans="1:12">
      <c r="A3250" s="1">
        <v>46037</v>
      </c>
      <c r="B3250" t="s">
        <v>9295</v>
      </c>
      <c r="C3250">
        <v>24</v>
      </c>
      <c r="D3250" t="str">
        <f>VLOOKUP(Tabela26[[#This Row],[EMP]],[1]LOJA!$A:$B,2,0)</f>
        <v>LUZIÂNIA</v>
      </c>
      <c r="E3250">
        <v>192</v>
      </c>
      <c r="F3250" t="s">
        <v>4194</v>
      </c>
      <c r="G3250" t="s">
        <v>4193</v>
      </c>
      <c r="H3250" t="s">
        <v>3401</v>
      </c>
      <c r="I3250">
        <v>5102</v>
      </c>
      <c r="J3250" s="3">
        <v>70</v>
      </c>
      <c r="K3250" s="3">
        <v>44</v>
      </c>
      <c r="L3250">
        <v>37.14</v>
      </c>
    </row>
    <row r="3251" spans="1:12">
      <c r="A3251" s="1">
        <v>46037</v>
      </c>
      <c r="B3251" t="s">
        <v>9294</v>
      </c>
      <c r="C3251">
        <v>24</v>
      </c>
      <c r="D3251" t="str">
        <f>VLOOKUP(Tabela26[[#This Row],[EMP]],[1]LOJA!$A:$B,2,0)</f>
        <v>LUZIÂNIA</v>
      </c>
      <c r="E3251">
        <v>192</v>
      </c>
      <c r="F3251" t="s">
        <v>9293</v>
      </c>
      <c r="G3251" t="s">
        <v>3402</v>
      </c>
      <c r="H3251" t="s">
        <v>3401</v>
      </c>
      <c r="I3251">
        <v>5405</v>
      </c>
      <c r="J3251" s="3">
        <v>386</v>
      </c>
      <c r="K3251" s="3">
        <v>181.42</v>
      </c>
      <c r="L3251">
        <v>53</v>
      </c>
    </row>
    <row r="3252" spans="1:12">
      <c r="A3252" s="1">
        <v>46037</v>
      </c>
      <c r="B3252" t="s">
        <v>9292</v>
      </c>
      <c r="C3252">
        <v>24</v>
      </c>
      <c r="D3252" t="str">
        <f>VLOOKUP(Tabela26[[#This Row],[EMP]],[1]LOJA!$A:$B,2,0)</f>
        <v>LUZIÂNIA</v>
      </c>
      <c r="E3252">
        <v>192</v>
      </c>
      <c r="F3252" t="s">
        <v>3524</v>
      </c>
      <c r="G3252" t="s">
        <v>3402</v>
      </c>
      <c r="H3252" t="s">
        <v>3401</v>
      </c>
      <c r="I3252">
        <v>5405</v>
      </c>
      <c r="J3252" s="3">
        <v>45</v>
      </c>
      <c r="K3252" s="3">
        <v>18.14</v>
      </c>
      <c r="L3252">
        <v>59.69</v>
      </c>
    </row>
    <row r="3253" spans="1:12">
      <c r="A3253" s="1">
        <v>46037</v>
      </c>
      <c r="B3253" t="s">
        <v>9291</v>
      </c>
      <c r="C3253">
        <v>24</v>
      </c>
      <c r="D3253" t="str">
        <f>VLOOKUP(Tabela26[[#This Row],[EMP]],[1]LOJA!$A:$B,2,0)</f>
        <v>LUZIÂNIA</v>
      </c>
      <c r="E3253">
        <v>192</v>
      </c>
      <c r="F3253" t="s">
        <v>3524</v>
      </c>
      <c r="G3253" t="s">
        <v>3402</v>
      </c>
      <c r="H3253" t="s">
        <v>3401</v>
      </c>
      <c r="I3253">
        <v>5405</v>
      </c>
      <c r="J3253" s="3">
        <v>493</v>
      </c>
      <c r="K3253" s="3">
        <v>233.65</v>
      </c>
      <c r="L3253">
        <v>52.61</v>
      </c>
    </row>
    <row r="3254" spans="1:12">
      <c r="A3254" s="1">
        <v>46037</v>
      </c>
      <c r="B3254" t="s">
        <v>9290</v>
      </c>
      <c r="C3254">
        <v>24</v>
      </c>
      <c r="D3254" t="str">
        <f>VLOOKUP(Tabela26[[#This Row],[EMP]],[1]LOJA!$A:$B,2,0)</f>
        <v>LUZIÂNIA</v>
      </c>
      <c r="E3254">
        <v>192</v>
      </c>
      <c r="F3254" t="s">
        <v>3524</v>
      </c>
      <c r="G3254" t="s">
        <v>3402</v>
      </c>
      <c r="H3254" t="s">
        <v>3401</v>
      </c>
      <c r="I3254">
        <v>5102</v>
      </c>
      <c r="J3254" s="3">
        <v>17.899999999999999</v>
      </c>
      <c r="K3254" s="3">
        <v>9.67</v>
      </c>
      <c r="L3254">
        <v>45.98</v>
      </c>
    </row>
    <row r="3255" spans="1:12">
      <c r="A3255" s="1">
        <v>46037</v>
      </c>
      <c r="B3255" t="s">
        <v>9289</v>
      </c>
      <c r="C3255">
        <v>24</v>
      </c>
      <c r="D3255" t="str">
        <f>VLOOKUP(Tabela26[[#This Row],[EMP]],[1]LOJA!$A:$B,2,0)</f>
        <v>LUZIÂNIA</v>
      </c>
      <c r="E3255">
        <v>242</v>
      </c>
      <c r="F3255" t="s">
        <v>3524</v>
      </c>
      <c r="G3255" t="s">
        <v>3402</v>
      </c>
      <c r="H3255" t="s">
        <v>3401</v>
      </c>
      <c r="I3255">
        <v>5405</v>
      </c>
      <c r="J3255" s="3">
        <v>125</v>
      </c>
      <c r="K3255" s="3">
        <v>58.38</v>
      </c>
      <c r="L3255">
        <v>53.3</v>
      </c>
    </row>
    <row r="3256" spans="1:12">
      <c r="A3256" s="1">
        <v>46037</v>
      </c>
      <c r="B3256" t="s">
        <v>9288</v>
      </c>
      <c r="C3256">
        <v>24</v>
      </c>
      <c r="D3256" t="str">
        <f>VLOOKUP(Tabela26[[#This Row],[EMP]],[1]LOJA!$A:$B,2,0)</f>
        <v>LUZIÂNIA</v>
      </c>
      <c r="E3256">
        <v>192</v>
      </c>
      <c r="F3256" t="s">
        <v>3524</v>
      </c>
      <c r="G3256" t="s">
        <v>3402</v>
      </c>
      <c r="H3256" t="s">
        <v>3401</v>
      </c>
      <c r="I3256">
        <v>5102</v>
      </c>
      <c r="J3256" s="3">
        <v>18</v>
      </c>
      <c r="K3256" s="3">
        <v>9.17</v>
      </c>
      <c r="L3256">
        <v>49.06</v>
      </c>
    </row>
    <row r="3257" spans="1:12">
      <c r="A3257" s="1">
        <v>46037</v>
      </c>
      <c r="B3257" t="s">
        <v>9287</v>
      </c>
      <c r="C3257">
        <v>12</v>
      </c>
      <c r="D3257" t="str">
        <f>VLOOKUP(Tabela26[[#This Row],[EMP]],[1]LOJA!$A:$B,2,0)</f>
        <v>SOFNORTE</v>
      </c>
      <c r="E3257">
        <v>60</v>
      </c>
      <c r="F3257" t="s">
        <v>3709</v>
      </c>
      <c r="G3257" t="s">
        <v>3708</v>
      </c>
      <c r="H3257" t="s">
        <v>4760</v>
      </c>
      <c r="I3257">
        <v>5405</v>
      </c>
      <c r="J3257" s="3">
        <v>242.29</v>
      </c>
      <c r="K3257" s="3">
        <v>119.92</v>
      </c>
      <c r="L3257">
        <v>50.51</v>
      </c>
    </row>
    <row r="3258" spans="1:12">
      <c r="A3258" s="1">
        <v>46037</v>
      </c>
      <c r="B3258" t="s">
        <v>9286</v>
      </c>
      <c r="C3258">
        <v>12</v>
      </c>
      <c r="D3258" t="str">
        <f>VLOOKUP(Tabela26[[#This Row],[EMP]],[1]LOJA!$A:$B,2,0)</f>
        <v>SOFNORTE</v>
      </c>
      <c r="E3258">
        <v>60</v>
      </c>
      <c r="F3258" t="s">
        <v>3518</v>
      </c>
      <c r="G3258" t="s">
        <v>3517</v>
      </c>
      <c r="H3258" t="s">
        <v>3430</v>
      </c>
      <c r="I3258">
        <v>5405</v>
      </c>
      <c r="J3258" s="3">
        <v>49.53</v>
      </c>
      <c r="K3258" s="3">
        <v>22.25</v>
      </c>
      <c r="L3258">
        <v>55.08</v>
      </c>
    </row>
    <row r="3259" spans="1:12">
      <c r="A3259" s="1">
        <v>46037</v>
      </c>
      <c r="B3259" t="s">
        <v>9285</v>
      </c>
      <c r="C3259">
        <v>12</v>
      </c>
      <c r="D3259" t="str">
        <f>VLOOKUP(Tabela26[[#This Row],[EMP]],[1]LOJA!$A:$B,2,0)</f>
        <v>SOFNORTE</v>
      </c>
      <c r="E3259">
        <v>60</v>
      </c>
      <c r="F3259" t="s">
        <v>4813</v>
      </c>
      <c r="G3259" t="s">
        <v>4812</v>
      </c>
      <c r="H3259" t="s">
        <v>3520</v>
      </c>
      <c r="I3259">
        <v>5102</v>
      </c>
      <c r="J3259" s="3">
        <v>10</v>
      </c>
      <c r="K3259" s="3">
        <v>3.6</v>
      </c>
      <c r="L3259">
        <v>64</v>
      </c>
    </row>
    <row r="3260" spans="1:12">
      <c r="A3260" s="1">
        <v>46037</v>
      </c>
      <c r="B3260" t="s">
        <v>9284</v>
      </c>
      <c r="C3260">
        <v>12</v>
      </c>
      <c r="D3260" t="str">
        <f>VLOOKUP(Tabela26[[#This Row],[EMP]],[1]LOJA!$A:$B,2,0)</f>
        <v>SOFNORTE</v>
      </c>
      <c r="E3260">
        <v>60</v>
      </c>
      <c r="F3260" t="s">
        <v>4156</v>
      </c>
      <c r="G3260" t="s">
        <v>4155</v>
      </c>
      <c r="H3260" t="s">
        <v>3520</v>
      </c>
      <c r="I3260">
        <v>5405</v>
      </c>
      <c r="J3260" s="3">
        <v>108</v>
      </c>
      <c r="K3260" s="3">
        <v>52.92</v>
      </c>
      <c r="L3260">
        <v>51</v>
      </c>
    </row>
    <row r="3261" spans="1:12">
      <c r="A3261" s="1">
        <v>46037</v>
      </c>
      <c r="B3261" t="s">
        <v>9283</v>
      </c>
      <c r="C3261">
        <v>12</v>
      </c>
      <c r="D3261" t="str">
        <f>VLOOKUP(Tabela26[[#This Row],[EMP]],[1]LOJA!$A:$B,2,0)</f>
        <v>SOFNORTE</v>
      </c>
      <c r="E3261">
        <v>60</v>
      </c>
      <c r="F3261" t="s">
        <v>4813</v>
      </c>
      <c r="G3261" t="s">
        <v>4812</v>
      </c>
      <c r="H3261" t="s">
        <v>3520</v>
      </c>
      <c r="I3261">
        <v>5405</v>
      </c>
      <c r="J3261" s="3">
        <v>139</v>
      </c>
      <c r="K3261" s="3">
        <v>63.79</v>
      </c>
      <c r="L3261">
        <v>54.11</v>
      </c>
    </row>
    <row r="3262" spans="1:12">
      <c r="A3262" s="1">
        <v>46037</v>
      </c>
      <c r="B3262" t="s">
        <v>9282</v>
      </c>
      <c r="C3262">
        <v>22</v>
      </c>
      <c r="D3262" t="str">
        <f>VLOOKUP(Tabela26[[#This Row],[EMP]],[1]LOJA!$A:$B,2,0)</f>
        <v>GUARÁ</v>
      </c>
      <c r="E3262">
        <v>93</v>
      </c>
      <c r="F3262" t="s">
        <v>4805</v>
      </c>
      <c r="G3262" t="s">
        <v>4804</v>
      </c>
      <c r="H3262" t="s">
        <v>3430</v>
      </c>
      <c r="I3262">
        <v>5405</v>
      </c>
      <c r="J3262" s="3">
        <v>84.98</v>
      </c>
      <c r="K3262" s="3">
        <v>44.01</v>
      </c>
      <c r="L3262">
        <v>48.21</v>
      </c>
    </row>
    <row r="3263" spans="1:12">
      <c r="A3263" s="1">
        <v>46037</v>
      </c>
      <c r="B3263" t="s">
        <v>9281</v>
      </c>
      <c r="C3263">
        <v>22</v>
      </c>
      <c r="D3263" t="str">
        <f>VLOOKUP(Tabela26[[#This Row],[EMP]],[1]LOJA!$A:$B,2,0)</f>
        <v>GUARÁ</v>
      </c>
      <c r="E3263">
        <v>93</v>
      </c>
      <c r="F3263" t="s">
        <v>3508</v>
      </c>
      <c r="G3263" t="s">
        <v>3507</v>
      </c>
      <c r="H3263" t="s">
        <v>3430</v>
      </c>
      <c r="I3263">
        <v>5405</v>
      </c>
      <c r="J3263" s="3">
        <v>103.34</v>
      </c>
      <c r="K3263" s="3">
        <v>53.08</v>
      </c>
      <c r="L3263">
        <v>48.64</v>
      </c>
    </row>
    <row r="3264" spans="1:12">
      <c r="A3264" s="1">
        <v>46037</v>
      </c>
      <c r="B3264" t="s">
        <v>9280</v>
      </c>
      <c r="C3264">
        <v>22</v>
      </c>
      <c r="D3264" t="str">
        <f>VLOOKUP(Tabela26[[#This Row],[EMP]],[1]LOJA!$A:$B,2,0)</f>
        <v>GUARÁ</v>
      </c>
      <c r="E3264">
        <v>93</v>
      </c>
      <c r="F3264" t="s">
        <v>3511</v>
      </c>
      <c r="G3264" t="s">
        <v>3510</v>
      </c>
      <c r="H3264" t="s">
        <v>3430</v>
      </c>
      <c r="I3264">
        <v>5405</v>
      </c>
      <c r="J3264" s="3">
        <v>303.51</v>
      </c>
      <c r="K3264" s="3">
        <v>161.53</v>
      </c>
      <c r="L3264">
        <v>46.78</v>
      </c>
    </row>
    <row r="3265" spans="1:12">
      <c r="A3265" s="1">
        <v>46037</v>
      </c>
      <c r="B3265" t="s">
        <v>9279</v>
      </c>
      <c r="C3265">
        <v>22</v>
      </c>
      <c r="D3265" t="str">
        <f>VLOOKUP(Tabela26[[#This Row],[EMP]],[1]LOJA!$A:$B,2,0)</f>
        <v>GUARÁ</v>
      </c>
      <c r="E3265">
        <v>93</v>
      </c>
      <c r="F3265" t="s">
        <v>4808</v>
      </c>
      <c r="G3265" t="s">
        <v>4807</v>
      </c>
      <c r="H3265" t="s">
        <v>3430</v>
      </c>
      <c r="I3265">
        <v>5405</v>
      </c>
      <c r="J3265" s="3">
        <v>440.35</v>
      </c>
      <c r="K3265" s="3">
        <v>251.31</v>
      </c>
      <c r="L3265">
        <v>42.93</v>
      </c>
    </row>
    <row r="3266" spans="1:12">
      <c r="A3266" s="1">
        <v>46037</v>
      </c>
      <c r="B3266" t="s">
        <v>9278</v>
      </c>
      <c r="C3266">
        <v>22</v>
      </c>
      <c r="D3266" t="str">
        <f>VLOOKUP(Tabela26[[#This Row],[EMP]],[1]LOJA!$A:$B,2,0)</f>
        <v>GUARÁ</v>
      </c>
      <c r="E3266">
        <v>93</v>
      </c>
      <c r="F3266" t="s">
        <v>3514</v>
      </c>
      <c r="G3266" t="s">
        <v>3513</v>
      </c>
      <c r="H3266" t="s">
        <v>3430</v>
      </c>
      <c r="I3266">
        <v>5102</v>
      </c>
      <c r="J3266" s="3">
        <v>19.39</v>
      </c>
      <c r="K3266" s="3">
        <v>10.36</v>
      </c>
      <c r="L3266">
        <v>46.57</v>
      </c>
    </row>
    <row r="3267" spans="1:12">
      <c r="A3267" s="1">
        <v>46037</v>
      </c>
      <c r="B3267" t="s">
        <v>9277</v>
      </c>
      <c r="C3267">
        <v>22</v>
      </c>
      <c r="D3267" t="str">
        <f>VLOOKUP(Tabela26[[#This Row],[EMP]],[1]LOJA!$A:$B,2,0)</f>
        <v>GUARÁ</v>
      </c>
      <c r="E3267">
        <v>93</v>
      </c>
      <c r="F3267" t="s">
        <v>4140</v>
      </c>
      <c r="G3267" t="s">
        <v>4139</v>
      </c>
      <c r="H3267" t="s">
        <v>3430</v>
      </c>
      <c r="I3267">
        <v>5102</v>
      </c>
      <c r="J3267" s="3">
        <v>48.37</v>
      </c>
      <c r="K3267" s="3">
        <v>25.46</v>
      </c>
      <c r="L3267">
        <v>47.36</v>
      </c>
    </row>
    <row r="3268" spans="1:12">
      <c r="A3268" s="1">
        <v>46037</v>
      </c>
      <c r="B3268" t="s">
        <v>9276</v>
      </c>
      <c r="C3268">
        <v>22</v>
      </c>
      <c r="D3268" t="str">
        <f>VLOOKUP(Tabela26[[#This Row],[EMP]],[1]LOJA!$A:$B,2,0)</f>
        <v>GUARÁ</v>
      </c>
      <c r="E3268">
        <v>93</v>
      </c>
      <c r="F3268" t="s">
        <v>4136</v>
      </c>
      <c r="G3268" t="s">
        <v>4135</v>
      </c>
      <c r="H3268" t="s">
        <v>3430</v>
      </c>
      <c r="I3268">
        <v>5102</v>
      </c>
      <c r="J3268" s="3">
        <v>60.27</v>
      </c>
      <c r="K3268" s="3">
        <v>30.5</v>
      </c>
      <c r="L3268">
        <v>49.39</v>
      </c>
    </row>
    <row r="3269" spans="1:12">
      <c r="A3269" s="1">
        <v>46037</v>
      </c>
      <c r="B3269" t="s">
        <v>9275</v>
      </c>
      <c r="C3269">
        <v>13</v>
      </c>
      <c r="D3269" t="str">
        <f>VLOOKUP(Tabela26[[#This Row],[EMP]],[1]LOJA!$A:$B,2,0)</f>
        <v>CEILÂNDIA</v>
      </c>
      <c r="E3269">
        <v>86</v>
      </c>
      <c r="F3269" t="s">
        <v>6884</v>
      </c>
      <c r="G3269" t="s">
        <v>6883</v>
      </c>
      <c r="H3269" t="s">
        <v>3430</v>
      </c>
      <c r="I3269">
        <v>5405</v>
      </c>
      <c r="J3269" s="3">
        <v>71.38</v>
      </c>
      <c r="K3269" s="3">
        <v>37.61</v>
      </c>
      <c r="L3269">
        <v>47.31</v>
      </c>
    </row>
    <row r="3270" spans="1:12">
      <c r="A3270" s="1">
        <v>46037</v>
      </c>
      <c r="B3270" t="s">
        <v>9274</v>
      </c>
      <c r="C3270">
        <v>13</v>
      </c>
      <c r="D3270" t="str">
        <f>VLOOKUP(Tabela26[[#This Row],[EMP]],[1]LOJA!$A:$B,2,0)</f>
        <v>CEILÂNDIA</v>
      </c>
      <c r="E3270">
        <v>33</v>
      </c>
      <c r="F3270" t="s">
        <v>4122</v>
      </c>
      <c r="G3270" t="s">
        <v>4121</v>
      </c>
      <c r="H3270" t="s">
        <v>3430</v>
      </c>
      <c r="I3270">
        <v>5405</v>
      </c>
      <c r="J3270" s="3">
        <v>459.86</v>
      </c>
      <c r="K3270" s="3">
        <v>251.9</v>
      </c>
      <c r="L3270">
        <v>45.22</v>
      </c>
    </row>
    <row r="3271" spans="1:12">
      <c r="A3271" s="1">
        <v>46037</v>
      </c>
      <c r="B3271" t="s">
        <v>9273</v>
      </c>
      <c r="C3271">
        <v>13</v>
      </c>
      <c r="D3271" t="str">
        <f>VLOOKUP(Tabela26[[#This Row],[EMP]],[1]LOJA!$A:$B,2,0)</f>
        <v>CEILÂNDIA</v>
      </c>
      <c r="E3271">
        <v>86</v>
      </c>
      <c r="F3271" t="s">
        <v>5339</v>
      </c>
      <c r="G3271" t="s">
        <v>5338</v>
      </c>
      <c r="H3271" t="s">
        <v>3408</v>
      </c>
      <c r="I3271">
        <v>5102</v>
      </c>
      <c r="J3271" s="3">
        <v>745</v>
      </c>
      <c r="K3271" s="3">
        <v>416.84</v>
      </c>
      <c r="L3271">
        <v>44.05</v>
      </c>
    </row>
    <row r="3272" spans="1:12">
      <c r="A3272" s="1">
        <v>46037</v>
      </c>
      <c r="B3272" t="s">
        <v>9272</v>
      </c>
      <c r="C3272">
        <v>13</v>
      </c>
      <c r="D3272" t="str">
        <f>VLOOKUP(Tabela26[[#This Row],[EMP]],[1]LOJA!$A:$B,2,0)</f>
        <v>CEILÂNDIA</v>
      </c>
      <c r="E3272">
        <v>86</v>
      </c>
      <c r="F3272" t="s">
        <v>4118</v>
      </c>
      <c r="G3272" t="s">
        <v>4117</v>
      </c>
      <c r="H3272" t="s">
        <v>3430</v>
      </c>
      <c r="I3272">
        <v>5405</v>
      </c>
      <c r="J3272" s="3">
        <v>68.709999999999994</v>
      </c>
      <c r="K3272" s="3">
        <v>36.17</v>
      </c>
      <c r="L3272">
        <v>47.36</v>
      </c>
    </row>
    <row r="3273" spans="1:12">
      <c r="A3273" s="1">
        <v>46037</v>
      </c>
      <c r="B3273" t="s">
        <v>9271</v>
      </c>
      <c r="C3273">
        <v>13</v>
      </c>
      <c r="D3273" t="str">
        <f>VLOOKUP(Tabela26[[#This Row],[EMP]],[1]LOJA!$A:$B,2,0)</f>
        <v>CEILÂNDIA</v>
      </c>
      <c r="E3273">
        <v>86</v>
      </c>
      <c r="F3273" t="s">
        <v>4118</v>
      </c>
      <c r="G3273" t="s">
        <v>4117</v>
      </c>
      <c r="H3273" t="s">
        <v>3430</v>
      </c>
      <c r="I3273">
        <v>5405</v>
      </c>
      <c r="J3273" s="3">
        <v>63.67</v>
      </c>
      <c r="K3273" s="3">
        <v>32.869999999999997</v>
      </c>
      <c r="L3273">
        <v>48.37</v>
      </c>
    </row>
    <row r="3274" spans="1:12">
      <c r="A3274" s="1">
        <v>46037</v>
      </c>
      <c r="B3274" t="s">
        <v>9270</v>
      </c>
      <c r="C3274">
        <v>13</v>
      </c>
      <c r="D3274" t="str">
        <f>VLOOKUP(Tabela26[[#This Row],[EMP]],[1]LOJA!$A:$B,2,0)</f>
        <v>CEILÂNDIA</v>
      </c>
      <c r="E3274">
        <v>86</v>
      </c>
      <c r="F3274" t="s">
        <v>6884</v>
      </c>
      <c r="G3274" t="s">
        <v>6883</v>
      </c>
      <c r="H3274" t="s">
        <v>3430</v>
      </c>
      <c r="I3274">
        <v>5102</v>
      </c>
      <c r="J3274" s="3">
        <v>54</v>
      </c>
      <c r="K3274" s="3">
        <v>17.489999999999998</v>
      </c>
      <c r="L3274">
        <v>67.61</v>
      </c>
    </row>
    <row r="3275" spans="1:12">
      <c r="A3275" s="1">
        <v>46037</v>
      </c>
      <c r="B3275" t="s">
        <v>9269</v>
      </c>
      <c r="C3275">
        <v>13</v>
      </c>
      <c r="D3275" t="str">
        <f>VLOOKUP(Tabela26[[#This Row],[EMP]],[1]LOJA!$A:$B,2,0)</f>
        <v>CEILÂNDIA</v>
      </c>
      <c r="E3275">
        <v>86</v>
      </c>
      <c r="F3275" t="s">
        <v>4133</v>
      </c>
      <c r="G3275" t="s">
        <v>4132</v>
      </c>
      <c r="H3275" t="s">
        <v>3430</v>
      </c>
      <c r="I3275">
        <v>5102</v>
      </c>
      <c r="J3275" s="3">
        <v>10.96</v>
      </c>
      <c r="K3275" s="3">
        <v>6.77</v>
      </c>
      <c r="L3275">
        <v>38.229999999999997</v>
      </c>
    </row>
    <row r="3276" spans="1:12">
      <c r="A3276" s="1">
        <v>46037</v>
      </c>
      <c r="B3276" t="s">
        <v>9268</v>
      </c>
      <c r="C3276">
        <v>13</v>
      </c>
      <c r="D3276" t="str">
        <f>VLOOKUP(Tabela26[[#This Row],[EMP]],[1]LOJA!$A:$B,2,0)</f>
        <v>CEILÂNDIA</v>
      </c>
      <c r="E3276">
        <v>86</v>
      </c>
      <c r="F3276" t="s">
        <v>5339</v>
      </c>
      <c r="G3276" t="s">
        <v>5338</v>
      </c>
      <c r="H3276" t="s">
        <v>3408</v>
      </c>
      <c r="I3276">
        <v>5102</v>
      </c>
      <c r="J3276" s="3">
        <v>330</v>
      </c>
      <c r="K3276" s="3">
        <v>186</v>
      </c>
      <c r="L3276">
        <v>43.64</v>
      </c>
    </row>
    <row r="3277" spans="1:12">
      <c r="A3277" s="1">
        <v>46037</v>
      </c>
      <c r="B3277" t="s">
        <v>9267</v>
      </c>
      <c r="C3277">
        <v>13</v>
      </c>
      <c r="D3277" t="str">
        <f>VLOOKUP(Tabela26[[#This Row],[EMP]],[1]LOJA!$A:$B,2,0)</f>
        <v>CEILÂNDIA</v>
      </c>
      <c r="E3277">
        <v>86</v>
      </c>
      <c r="F3277" t="s">
        <v>4133</v>
      </c>
      <c r="G3277" t="s">
        <v>4132</v>
      </c>
      <c r="H3277" t="s">
        <v>3430</v>
      </c>
      <c r="I3277">
        <v>5405</v>
      </c>
      <c r="J3277" s="3">
        <v>71.83</v>
      </c>
      <c r="K3277" s="3">
        <v>37.72</v>
      </c>
      <c r="L3277">
        <v>47.49</v>
      </c>
    </row>
    <row r="3278" spans="1:12">
      <c r="A3278" s="1">
        <v>46037</v>
      </c>
      <c r="B3278" t="s">
        <v>9266</v>
      </c>
      <c r="C3278">
        <v>13</v>
      </c>
      <c r="D3278" t="str">
        <f>VLOOKUP(Tabela26[[#This Row],[EMP]],[1]LOJA!$A:$B,2,0)</f>
        <v>CEILÂNDIA</v>
      </c>
      <c r="E3278">
        <v>86</v>
      </c>
      <c r="F3278" t="s">
        <v>4118</v>
      </c>
      <c r="G3278" t="s">
        <v>4117</v>
      </c>
      <c r="H3278" t="s">
        <v>3430</v>
      </c>
      <c r="I3278">
        <v>5405</v>
      </c>
      <c r="J3278" s="3">
        <v>74.89</v>
      </c>
      <c r="K3278" s="3">
        <v>39.49</v>
      </c>
      <c r="L3278">
        <v>47.27</v>
      </c>
    </row>
    <row r="3279" spans="1:12">
      <c r="A3279" s="1">
        <v>46037</v>
      </c>
      <c r="B3279" t="s">
        <v>9265</v>
      </c>
      <c r="C3279">
        <v>13</v>
      </c>
      <c r="D3279" t="str">
        <f>VLOOKUP(Tabela26[[#This Row],[EMP]],[1]LOJA!$A:$B,2,0)</f>
        <v>CEILÂNDIA</v>
      </c>
      <c r="E3279">
        <v>86</v>
      </c>
      <c r="F3279" t="s">
        <v>4118</v>
      </c>
      <c r="G3279" t="s">
        <v>4117</v>
      </c>
      <c r="H3279" t="s">
        <v>3430</v>
      </c>
      <c r="I3279">
        <v>5405</v>
      </c>
      <c r="J3279" s="3">
        <v>50.92</v>
      </c>
      <c r="K3279" s="3">
        <v>26.03</v>
      </c>
      <c r="L3279">
        <v>48.88</v>
      </c>
    </row>
    <row r="3280" spans="1:12">
      <c r="A3280" s="1">
        <v>46037</v>
      </c>
      <c r="B3280" t="s">
        <v>9264</v>
      </c>
      <c r="C3280">
        <v>13</v>
      </c>
      <c r="D3280" t="str">
        <f>VLOOKUP(Tabela26[[#This Row],[EMP]],[1]LOJA!$A:$B,2,0)</f>
        <v>CEILÂNDIA</v>
      </c>
      <c r="E3280">
        <v>86</v>
      </c>
      <c r="F3280" t="s">
        <v>4133</v>
      </c>
      <c r="G3280" t="s">
        <v>4132</v>
      </c>
      <c r="H3280" t="s">
        <v>3430</v>
      </c>
      <c r="I3280">
        <v>5405</v>
      </c>
      <c r="J3280" s="3">
        <v>53.47</v>
      </c>
      <c r="K3280" s="3">
        <v>27.18</v>
      </c>
      <c r="L3280">
        <v>49.17</v>
      </c>
    </row>
    <row r="3281" spans="1:12">
      <c r="A3281" s="1">
        <v>46037</v>
      </c>
      <c r="B3281" t="s">
        <v>9263</v>
      </c>
      <c r="C3281">
        <v>13</v>
      </c>
      <c r="D3281" t="str">
        <f>VLOOKUP(Tabela26[[#This Row],[EMP]],[1]LOJA!$A:$B,2,0)</f>
        <v>CEILÂNDIA</v>
      </c>
      <c r="E3281">
        <v>86</v>
      </c>
      <c r="F3281" t="s">
        <v>4775</v>
      </c>
      <c r="G3281" t="s">
        <v>4774</v>
      </c>
      <c r="H3281" t="s">
        <v>4760</v>
      </c>
      <c r="I3281">
        <v>5102</v>
      </c>
      <c r="J3281" s="3">
        <v>8000</v>
      </c>
      <c r="K3281" s="3">
        <v>4646.78</v>
      </c>
      <c r="L3281">
        <v>41.92</v>
      </c>
    </row>
    <row r="3282" spans="1:12">
      <c r="A3282" s="1">
        <v>46037</v>
      </c>
      <c r="B3282" t="s">
        <v>9262</v>
      </c>
      <c r="C3282">
        <v>13</v>
      </c>
      <c r="D3282" t="str">
        <f>VLOOKUP(Tabela26[[#This Row],[EMP]],[1]LOJA!$A:$B,2,0)</f>
        <v>CEILÂNDIA</v>
      </c>
      <c r="E3282">
        <v>86</v>
      </c>
      <c r="F3282" t="s">
        <v>5339</v>
      </c>
      <c r="G3282" t="s">
        <v>5338</v>
      </c>
      <c r="H3282" t="s">
        <v>3408</v>
      </c>
      <c r="I3282">
        <v>5102</v>
      </c>
      <c r="J3282" s="3">
        <v>22</v>
      </c>
      <c r="K3282" s="3">
        <v>13.32</v>
      </c>
      <c r="L3282">
        <v>39.450000000000003</v>
      </c>
    </row>
    <row r="3283" spans="1:12">
      <c r="A3283" s="1">
        <v>46037</v>
      </c>
      <c r="B3283" t="s">
        <v>9261</v>
      </c>
      <c r="C3283">
        <v>13</v>
      </c>
      <c r="D3283" t="str">
        <f>VLOOKUP(Tabela26[[#This Row],[EMP]],[1]LOJA!$A:$B,2,0)</f>
        <v>CEILÂNDIA</v>
      </c>
      <c r="E3283">
        <v>33</v>
      </c>
      <c r="F3283" t="s">
        <v>4767</v>
      </c>
      <c r="G3283" t="s">
        <v>4766</v>
      </c>
      <c r="H3283" t="s">
        <v>3430</v>
      </c>
      <c r="I3283">
        <v>5405</v>
      </c>
      <c r="J3283" s="3">
        <v>71</v>
      </c>
      <c r="K3283" s="3">
        <v>34.880000000000003</v>
      </c>
      <c r="L3283">
        <v>50.87</v>
      </c>
    </row>
    <row r="3284" spans="1:12">
      <c r="A3284" s="1">
        <v>46037</v>
      </c>
      <c r="B3284" t="s">
        <v>9260</v>
      </c>
      <c r="C3284">
        <v>13</v>
      </c>
      <c r="D3284" t="str">
        <f>VLOOKUP(Tabela26[[#This Row],[EMP]],[1]LOJA!$A:$B,2,0)</f>
        <v>CEILÂNDIA</v>
      </c>
      <c r="E3284">
        <v>86</v>
      </c>
      <c r="F3284" t="s">
        <v>4115</v>
      </c>
      <c r="G3284" t="s">
        <v>4114</v>
      </c>
      <c r="H3284" t="s">
        <v>3430</v>
      </c>
      <c r="I3284">
        <v>5405</v>
      </c>
      <c r="J3284" s="3">
        <v>55.35</v>
      </c>
      <c r="K3284" s="3">
        <v>27.86</v>
      </c>
      <c r="L3284">
        <v>49.67</v>
      </c>
    </row>
    <row r="3285" spans="1:12">
      <c r="A3285" s="1">
        <v>46037</v>
      </c>
      <c r="B3285" t="s">
        <v>9259</v>
      </c>
      <c r="C3285">
        <v>13</v>
      </c>
      <c r="D3285" t="str">
        <f>VLOOKUP(Tabela26[[#This Row],[EMP]],[1]LOJA!$A:$B,2,0)</f>
        <v>CEILÂNDIA</v>
      </c>
      <c r="E3285">
        <v>86</v>
      </c>
      <c r="F3285" t="s">
        <v>4081</v>
      </c>
      <c r="G3285" t="s">
        <v>4080</v>
      </c>
      <c r="H3285" t="s">
        <v>4760</v>
      </c>
      <c r="I3285">
        <v>5405</v>
      </c>
      <c r="J3285" s="3">
        <v>286.62</v>
      </c>
      <c r="K3285" s="3">
        <v>173.95</v>
      </c>
      <c r="L3285">
        <v>39.31</v>
      </c>
    </row>
    <row r="3286" spans="1:12">
      <c r="A3286" s="1">
        <v>46037</v>
      </c>
      <c r="B3286" t="s">
        <v>9258</v>
      </c>
      <c r="C3286">
        <v>13</v>
      </c>
      <c r="D3286" t="str">
        <f>VLOOKUP(Tabela26[[#This Row],[EMP]],[1]LOJA!$A:$B,2,0)</f>
        <v>CEILÂNDIA</v>
      </c>
      <c r="E3286">
        <v>86</v>
      </c>
      <c r="F3286" t="s">
        <v>4097</v>
      </c>
      <c r="G3286" t="s">
        <v>4096</v>
      </c>
      <c r="H3286" t="s">
        <v>3430</v>
      </c>
      <c r="I3286">
        <v>5102</v>
      </c>
      <c r="J3286" s="3">
        <v>98.14</v>
      </c>
      <c r="K3286" s="3">
        <v>55.48</v>
      </c>
      <c r="L3286">
        <v>43.47</v>
      </c>
    </row>
    <row r="3287" spans="1:12">
      <c r="A3287" s="1">
        <v>46037</v>
      </c>
      <c r="B3287" t="s">
        <v>9257</v>
      </c>
      <c r="C3287">
        <v>13</v>
      </c>
      <c r="D3287" t="str">
        <f>VLOOKUP(Tabela26[[#This Row],[EMP]],[1]LOJA!$A:$B,2,0)</f>
        <v>CEILÂNDIA</v>
      </c>
      <c r="E3287">
        <v>86</v>
      </c>
      <c r="F3287" t="s">
        <v>4084</v>
      </c>
      <c r="G3287" t="s">
        <v>4083</v>
      </c>
      <c r="H3287" t="s">
        <v>3430</v>
      </c>
      <c r="I3287">
        <v>5405</v>
      </c>
      <c r="J3287" s="3">
        <v>90.39</v>
      </c>
      <c r="K3287" s="3">
        <v>44.13</v>
      </c>
      <c r="L3287">
        <v>51.18</v>
      </c>
    </row>
    <row r="3288" spans="1:12">
      <c r="A3288" s="1">
        <v>46037</v>
      </c>
      <c r="B3288" t="s">
        <v>9256</v>
      </c>
      <c r="C3288">
        <v>13</v>
      </c>
      <c r="D3288" t="str">
        <f>VLOOKUP(Tabela26[[#This Row],[EMP]],[1]LOJA!$A:$B,2,0)</f>
        <v>CEILÂNDIA</v>
      </c>
      <c r="E3288">
        <v>86</v>
      </c>
      <c r="F3288" t="s">
        <v>4081</v>
      </c>
      <c r="G3288" t="s">
        <v>4080</v>
      </c>
      <c r="H3288" t="s">
        <v>4760</v>
      </c>
      <c r="I3288">
        <v>5405</v>
      </c>
      <c r="J3288" s="3">
        <v>54.32</v>
      </c>
      <c r="K3288" s="3">
        <v>28.22</v>
      </c>
      <c r="L3288">
        <v>48.05</v>
      </c>
    </row>
    <row r="3289" spans="1:12">
      <c r="A3289" s="1">
        <v>46037</v>
      </c>
      <c r="B3289" t="s">
        <v>9255</v>
      </c>
      <c r="C3289">
        <v>13</v>
      </c>
      <c r="D3289" t="str">
        <f>VLOOKUP(Tabela26[[#This Row],[EMP]],[1]LOJA!$A:$B,2,0)</f>
        <v>CEILÂNDIA</v>
      </c>
      <c r="E3289">
        <v>86</v>
      </c>
      <c r="F3289" t="s">
        <v>4081</v>
      </c>
      <c r="G3289" t="s">
        <v>4080</v>
      </c>
      <c r="H3289" t="s">
        <v>4760</v>
      </c>
      <c r="I3289">
        <v>5102</v>
      </c>
      <c r="J3289" s="3">
        <v>25.5</v>
      </c>
      <c r="K3289" s="3">
        <v>10.8</v>
      </c>
      <c r="L3289">
        <v>57.65</v>
      </c>
    </row>
    <row r="3290" spans="1:12">
      <c r="A3290" s="1">
        <v>46037</v>
      </c>
      <c r="B3290" t="s">
        <v>9254</v>
      </c>
      <c r="C3290">
        <v>13</v>
      </c>
      <c r="D3290" t="str">
        <f>VLOOKUP(Tabela26[[#This Row],[EMP]],[1]LOJA!$A:$B,2,0)</f>
        <v>CEILÂNDIA</v>
      </c>
      <c r="E3290">
        <v>86</v>
      </c>
      <c r="F3290" t="s">
        <v>4097</v>
      </c>
      <c r="G3290" t="s">
        <v>4096</v>
      </c>
      <c r="H3290" t="s">
        <v>3430</v>
      </c>
      <c r="I3290">
        <v>5102</v>
      </c>
      <c r="J3290" s="3">
        <v>102.9</v>
      </c>
      <c r="K3290" s="3">
        <v>62.78</v>
      </c>
      <c r="L3290">
        <v>38.99</v>
      </c>
    </row>
    <row r="3291" spans="1:12">
      <c r="A3291" s="1">
        <v>46037</v>
      </c>
      <c r="B3291" t="s">
        <v>9253</v>
      </c>
      <c r="C3291">
        <v>13</v>
      </c>
      <c r="D3291" t="str">
        <f>VLOOKUP(Tabela26[[#This Row],[EMP]],[1]LOJA!$A:$B,2,0)</f>
        <v>CEILÂNDIA</v>
      </c>
      <c r="E3291">
        <v>33</v>
      </c>
      <c r="F3291" t="s">
        <v>4109</v>
      </c>
      <c r="G3291" t="s">
        <v>4108</v>
      </c>
      <c r="H3291" t="s">
        <v>4760</v>
      </c>
      <c r="I3291">
        <v>5405</v>
      </c>
      <c r="J3291" s="3">
        <v>347.4</v>
      </c>
      <c r="K3291" s="3">
        <v>189.66</v>
      </c>
      <c r="L3291">
        <v>45.41</v>
      </c>
    </row>
    <row r="3292" spans="1:12">
      <c r="A3292" s="1">
        <v>46037</v>
      </c>
      <c r="B3292" t="s">
        <v>9252</v>
      </c>
      <c r="C3292">
        <v>13</v>
      </c>
      <c r="D3292" t="str">
        <f>VLOOKUP(Tabela26[[#This Row],[EMP]],[1]LOJA!$A:$B,2,0)</f>
        <v>CEILÂNDIA</v>
      </c>
      <c r="E3292">
        <v>86</v>
      </c>
      <c r="F3292" t="s">
        <v>4775</v>
      </c>
      <c r="G3292" t="s">
        <v>4774</v>
      </c>
      <c r="H3292" t="s">
        <v>4760</v>
      </c>
      <c r="I3292">
        <v>5405</v>
      </c>
      <c r="J3292" s="3">
        <v>100</v>
      </c>
      <c r="K3292" s="3">
        <v>45.22</v>
      </c>
      <c r="L3292">
        <v>54.78</v>
      </c>
    </row>
    <row r="3293" spans="1:12">
      <c r="A3293" s="1">
        <v>46037</v>
      </c>
      <c r="B3293" t="s">
        <v>9251</v>
      </c>
      <c r="C3293">
        <v>13</v>
      </c>
      <c r="D3293" t="str">
        <f>VLOOKUP(Tabela26[[#This Row],[EMP]],[1]LOJA!$A:$B,2,0)</f>
        <v>CEILÂNDIA</v>
      </c>
      <c r="E3293">
        <v>86</v>
      </c>
      <c r="F3293" t="s">
        <v>4081</v>
      </c>
      <c r="G3293" t="s">
        <v>4080</v>
      </c>
      <c r="H3293" t="s">
        <v>3520</v>
      </c>
      <c r="I3293">
        <v>5405</v>
      </c>
      <c r="J3293" s="3">
        <v>88.3</v>
      </c>
      <c r="K3293" s="3">
        <v>46.11</v>
      </c>
      <c r="L3293">
        <v>47.78</v>
      </c>
    </row>
    <row r="3294" spans="1:12">
      <c r="A3294" s="1">
        <v>46037</v>
      </c>
      <c r="B3294" t="s">
        <v>9250</v>
      </c>
      <c r="C3294">
        <v>13</v>
      </c>
      <c r="D3294" t="str">
        <f>VLOOKUP(Tabela26[[#This Row],[EMP]],[1]LOJA!$A:$B,2,0)</f>
        <v>CEILÂNDIA</v>
      </c>
      <c r="E3294">
        <v>86</v>
      </c>
      <c r="F3294" t="s">
        <v>4081</v>
      </c>
      <c r="G3294" t="s">
        <v>4080</v>
      </c>
      <c r="H3294" t="s">
        <v>4760</v>
      </c>
      <c r="I3294">
        <v>5405</v>
      </c>
      <c r="J3294" s="3">
        <v>69.150000000000006</v>
      </c>
      <c r="K3294" s="3">
        <v>36.39</v>
      </c>
      <c r="L3294">
        <v>47.38</v>
      </c>
    </row>
    <row r="3295" spans="1:12">
      <c r="A3295" s="1">
        <v>46037</v>
      </c>
      <c r="B3295" t="s">
        <v>9249</v>
      </c>
      <c r="C3295">
        <v>13</v>
      </c>
      <c r="D3295" t="str">
        <f>VLOOKUP(Tabela26[[#This Row],[EMP]],[1]LOJA!$A:$B,2,0)</f>
        <v>CEILÂNDIA</v>
      </c>
      <c r="E3295">
        <v>86</v>
      </c>
      <c r="F3295" t="s">
        <v>4106</v>
      </c>
      <c r="G3295" t="s">
        <v>4105</v>
      </c>
      <c r="H3295" t="s">
        <v>3430</v>
      </c>
      <c r="I3295">
        <v>5102</v>
      </c>
      <c r="J3295" s="3">
        <v>415</v>
      </c>
      <c r="K3295" s="3">
        <v>264.76</v>
      </c>
      <c r="L3295">
        <v>36.200000000000003</v>
      </c>
    </row>
    <row r="3296" spans="1:12">
      <c r="A3296" s="1">
        <v>46037</v>
      </c>
      <c r="B3296" t="s">
        <v>9248</v>
      </c>
      <c r="C3296">
        <v>13</v>
      </c>
      <c r="D3296" t="str">
        <f>VLOOKUP(Tabela26[[#This Row],[EMP]],[1]LOJA!$A:$B,2,0)</f>
        <v>CEILÂNDIA</v>
      </c>
      <c r="E3296">
        <v>86</v>
      </c>
      <c r="F3296" t="s">
        <v>4775</v>
      </c>
      <c r="G3296" t="s">
        <v>4774</v>
      </c>
      <c r="H3296" t="s">
        <v>4760</v>
      </c>
      <c r="I3296">
        <v>5405</v>
      </c>
      <c r="J3296" s="3">
        <v>36.33</v>
      </c>
      <c r="K3296" s="3">
        <v>15.94</v>
      </c>
      <c r="L3296">
        <v>56.12</v>
      </c>
    </row>
    <row r="3297" spans="1:12">
      <c r="A3297" s="1">
        <v>46037</v>
      </c>
      <c r="B3297" t="s">
        <v>9247</v>
      </c>
      <c r="C3297">
        <v>13</v>
      </c>
      <c r="D3297" t="str">
        <f>VLOOKUP(Tabela26[[#This Row],[EMP]],[1]LOJA!$A:$B,2,0)</f>
        <v>CEILÂNDIA</v>
      </c>
      <c r="E3297">
        <v>33</v>
      </c>
      <c r="F3297" t="s">
        <v>3505</v>
      </c>
      <c r="G3297" t="s">
        <v>3504</v>
      </c>
      <c r="H3297" t="s">
        <v>3430</v>
      </c>
      <c r="I3297">
        <v>5102</v>
      </c>
      <c r="J3297" s="3">
        <v>79.400000000000006</v>
      </c>
      <c r="K3297" s="3">
        <v>40.67</v>
      </c>
      <c r="L3297">
        <v>48.78</v>
      </c>
    </row>
    <row r="3298" spans="1:12">
      <c r="A3298" s="1">
        <v>46037</v>
      </c>
      <c r="B3298" t="s">
        <v>9246</v>
      </c>
      <c r="C3298">
        <v>13</v>
      </c>
      <c r="D3298" t="str">
        <f>VLOOKUP(Tabela26[[#This Row],[EMP]],[1]LOJA!$A:$B,2,0)</f>
        <v>CEILÂNDIA</v>
      </c>
      <c r="E3298">
        <v>86</v>
      </c>
      <c r="F3298" t="s">
        <v>3505</v>
      </c>
      <c r="G3298" t="s">
        <v>3504</v>
      </c>
      <c r="H3298" t="s">
        <v>3430</v>
      </c>
      <c r="I3298">
        <v>5405</v>
      </c>
      <c r="J3298" s="3">
        <v>63.67</v>
      </c>
      <c r="K3298" s="3">
        <v>32.94</v>
      </c>
      <c r="L3298">
        <v>48.26</v>
      </c>
    </row>
    <row r="3299" spans="1:12">
      <c r="A3299" s="1">
        <v>46037</v>
      </c>
      <c r="B3299" t="s">
        <v>9245</v>
      </c>
      <c r="C3299">
        <v>13</v>
      </c>
      <c r="D3299" t="str">
        <f>VLOOKUP(Tabela26[[#This Row],[EMP]],[1]LOJA!$A:$B,2,0)</f>
        <v>CEILÂNDIA</v>
      </c>
      <c r="E3299">
        <v>33</v>
      </c>
      <c r="F3299" t="s">
        <v>3505</v>
      </c>
      <c r="G3299" t="s">
        <v>3504</v>
      </c>
      <c r="H3299" t="s">
        <v>3430</v>
      </c>
      <c r="I3299">
        <v>5405</v>
      </c>
      <c r="J3299" s="3">
        <v>117.99</v>
      </c>
      <c r="K3299" s="3">
        <v>60.44</v>
      </c>
      <c r="L3299">
        <v>48.78</v>
      </c>
    </row>
    <row r="3300" spans="1:12">
      <c r="A3300" s="1">
        <v>46037</v>
      </c>
      <c r="B3300" t="s">
        <v>9244</v>
      </c>
      <c r="C3300">
        <v>6</v>
      </c>
      <c r="D3300" t="str">
        <f>VLOOKUP(Tabela26[[#This Row],[EMP]],[1]LOJA!$A:$B,2,0)</f>
        <v>GAMA</v>
      </c>
      <c r="E3300">
        <v>245</v>
      </c>
      <c r="F3300" t="s">
        <v>8804</v>
      </c>
      <c r="G3300" t="s">
        <v>8803</v>
      </c>
      <c r="H3300" t="s">
        <v>3401</v>
      </c>
      <c r="I3300">
        <v>6108</v>
      </c>
      <c r="J3300" s="3">
        <v>6.4</v>
      </c>
      <c r="K3300" s="3">
        <v>2.86</v>
      </c>
      <c r="L3300">
        <v>55.31</v>
      </c>
    </row>
    <row r="3301" spans="1:12">
      <c r="A3301" s="1">
        <v>46037</v>
      </c>
      <c r="B3301" t="s">
        <v>9243</v>
      </c>
      <c r="C3301">
        <v>6</v>
      </c>
      <c r="D3301" t="str">
        <f>VLOOKUP(Tabela26[[#This Row],[EMP]],[1]LOJA!$A:$B,2,0)</f>
        <v>GAMA</v>
      </c>
      <c r="E3301">
        <v>226</v>
      </c>
      <c r="F3301" t="s">
        <v>4013</v>
      </c>
      <c r="G3301" t="s">
        <v>4012</v>
      </c>
      <c r="H3301" t="s">
        <v>3430</v>
      </c>
      <c r="I3301">
        <v>5102</v>
      </c>
      <c r="J3301" s="3">
        <v>1214.4000000000001</v>
      </c>
      <c r="K3301" s="3">
        <v>606.24</v>
      </c>
      <c r="L3301">
        <v>50.08</v>
      </c>
    </row>
    <row r="3302" spans="1:12">
      <c r="A3302" s="1">
        <v>46037</v>
      </c>
      <c r="B3302" t="s">
        <v>9242</v>
      </c>
      <c r="C3302">
        <v>6</v>
      </c>
      <c r="D3302" t="str">
        <f>VLOOKUP(Tabela26[[#This Row],[EMP]],[1]LOJA!$A:$B,2,0)</f>
        <v>GAMA</v>
      </c>
      <c r="E3302">
        <v>226</v>
      </c>
      <c r="F3302" t="s">
        <v>7521</v>
      </c>
      <c r="G3302" t="s">
        <v>7520</v>
      </c>
      <c r="H3302" t="s">
        <v>3430</v>
      </c>
      <c r="I3302">
        <v>5405</v>
      </c>
      <c r="J3302" s="3">
        <v>51.2</v>
      </c>
      <c r="K3302" s="3">
        <v>20.46</v>
      </c>
      <c r="L3302">
        <v>60.04</v>
      </c>
    </row>
    <row r="3303" spans="1:12">
      <c r="A3303" s="1">
        <v>46037</v>
      </c>
      <c r="B3303" t="s">
        <v>9241</v>
      </c>
      <c r="C3303">
        <v>6</v>
      </c>
      <c r="D3303" t="str">
        <f>VLOOKUP(Tabela26[[#This Row],[EMP]],[1]LOJA!$A:$B,2,0)</f>
        <v>GAMA</v>
      </c>
      <c r="E3303">
        <v>226</v>
      </c>
      <c r="F3303" t="s">
        <v>6827</v>
      </c>
      <c r="G3303" t="s">
        <v>6826</v>
      </c>
      <c r="H3303" t="s">
        <v>3430</v>
      </c>
      <c r="I3303">
        <v>5405</v>
      </c>
      <c r="J3303" s="3">
        <v>48.52</v>
      </c>
      <c r="K3303" s="3">
        <v>23.92</v>
      </c>
      <c r="L3303">
        <v>50.7</v>
      </c>
    </row>
    <row r="3304" spans="1:12">
      <c r="A3304" s="1">
        <v>46037</v>
      </c>
      <c r="B3304" t="s">
        <v>9240</v>
      </c>
      <c r="C3304">
        <v>6</v>
      </c>
      <c r="D3304" t="str">
        <f>VLOOKUP(Tabela26[[#This Row],[EMP]],[1]LOJA!$A:$B,2,0)</f>
        <v>GAMA</v>
      </c>
      <c r="E3304">
        <v>226</v>
      </c>
      <c r="F3304" t="s">
        <v>6827</v>
      </c>
      <c r="G3304" t="s">
        <v>6826</v>
      </c>
      <c r="H3304" t="s">
        <v>3430</v>
      </c>
      <c r="I3304">
        <v>5405</v>
      </c>
      <c r="J3304" s="3">
        <v>103.47</v>
      </c>
      <c r="K3304" s="3">
        <v>50.96</v>
      </c>
      <c r="L3304">
        <v>50.75</v>
      </c>
    </row>
    <row r="3305" spans="1:12">
      <c r="A3305" s="1">
        <v>46037</v>
      </c>
      <c r="B3305" t="s">
        <v>9239</v>
      </c>
      <c r="C3305">
        <v>6</v>
      </c>
      <c r="D3305" t="str">
        <f>VLOOKUP(Tabela26[[#This Row],[EMP]],[1]LOJA!$A:$B,2,0)</f>
        <v>GAMA</v>
      </c>
      <c r="E3305">
        <v>185</v>
      </c>
      <c r="F3305" t="s">
        <v>8960</v>
      </c>
      <c r="G3305" t="s">
        <v>8959</v>
      </c>
      <c r="H3305" t="s">
        <v>3401</v>
      </c>
      <c r="I3305">
        <v>1202</v>
      </c>
      <c r="J3305" s="3">
        <v>-59.89</v>
      </c>
      <c r="K3305" s="3">
        <v>-41.63</v>
      </c>
      <c r="L3305">
        <v>30.49</v>
      </c>
    </row>
    <row r="3306" spans="1:12">
      <c r="A3306" s="1">
        <v>46037</v>
      </c>
      <c r="B3306" t="s">
        <v>9238</v>
      </c>
      <c r="C3306">
        <v>14</v>
      </c>
      <c r="D3306" t="str">
        <f>VLOOKUP(Tabela26[[#This Row],[EMP]],[1]LOJA!$A:$B,2,0)</f>
        <v>S IA</v>
      </c>
      <c r="E3306">
        <v>54</v>
      </c>
      <c r="F3306" t="s">
        <v>3403</v>
      </c>
      <c r="G3306" t="s">
        <v>3402</v>
      </c>
      <c r="H3306" t="s">
        <v>3401</v>
      </c>
      <c r="I3306">
        <v>5102</v>
      </c>
      <c r="J3306" s="3">
        <v>10</v>
      </c>
      <c r="K3306" s="3">
        <v>3.8</v>
      </c>
      <c r="L3306">
        <v>62</v>
      </c>
    </row>
    <row r="3307" spans="1:12">
      <c r="A3307" s="1">
        <v>46037</v>
      </c>
      <c r="B3307" t="s">
        <v>9237</v>
      </c>
      <c r="C3307">
        <v>14</v>
      </c>
      <c r="D3307" t="str">
        <f>VLOOKUP(Tabela26[[#This Row],[EMP]],[1]LOJA!$A:$B,2,0)</f>
        <v>S IA</v>
      </c>
      <c r="E3307">
        <v>54</v>
      </c>
      <c r="F3307" t="s">
        <v>6410</v>
      </c>
      <c r="G3307" t="s">
        <v>6409</v>
      </c>
      <c r="H3307" t="s">
        <v>3430</v>
      </c>
      <c r="I3307">
        <v>5405</v>
      </c>
      <c r="J3307" s="3">
        <v>39.24</v>
      </c>
      <c r="K3307" s="3">
        <v>17.239999999999998</v>
      </c>
      <c r="L3307">
        <v>56.07</v>
      </c>
    </row>
    <row r="3308" spans="1:12">
      <c r="A3308" s="1">
        <v>46037</v>
      </c>
      <c r="B3308" t="s">
        <v>9236</v>
      </c>
      <c r="C3308">
        <v>14</v>
      </c>
      <c r="D3308" t="str">
        <f>VLOOKUP(Tabela26[[#This Row],[EMP]],[1]LOJA!$A:$B,2,0)</f>
        <v>S IA</v>
      </c>
      <c r="E3308">
        <v>54</v>
      </c>
      <c r="F3308" t="s">
        <v>3403</v>
      </c>
      <c r="G3308" t="s">
        <v>3402</v>
      </c>
      <c r="H3308" t="s">
        <v>3401</v>
      </c>
      <c r="I3308">
        <v>5405</v>
      </c>
      <c r="J3308" s="3">
        <v>52.11</v>
      </c>
      <c r="K3308" s="3">
        <v>25.77</v>
      </c>
      <c r="L3308">
        <v>50.55</v>
      </c>
    </row>
    <row r="3309" spans="1:12">
      <c r="A3309" s="1">
        <v>46037</v>
      </c>
      <c r="B3309" t="s">
        <v>9235</v>
      </c>
      <c r="C3309">
        <v>14</v>
      </c>
      <c r="D3309" t="str">
        <f>VLOOKUP(Tabela26[[#This Row],[EMP]],[1]LOJA!$A:$B,2,0)</f>
        <v>S IA</v>
      </c>
      <c r="E3309">
        <v>54</v>
      </c>
      <c r="F3309" t="s">
        <v>3403</v>
      </c>
      <c r="G3309" t="s">
        <v>3402</v>
      </c>
      <c r="H3309" t="s">
        <v>3401</v>
      </c>
      <c r="I3309">
        <v>5102</v>
      </c>
      <c r="J3309" s="3">
        <v>17.3</v>
      </c>
      <c r="K3309" s="3">
        <v>7.53</v>
      </c>
      <c r="L3309">
        <v>56.47</v>
      </c>
    </row>
    <row r="3310" spans="1:12">
      <c r="A3310" s="1">
        <v>46037</v>
      </c>
      <c r="B3310" t="s">
        <v>9234</v>
      </c>
      <c r="C3310">
        <v>14</v>
      </c>
      <c r="D3310" t="str">
        <f>VLOOKUP(Tabela26[[#This Row],[EMP]],[1]LOJA!$A:$B,2,0)</f>
        <v>S IA</v>
      </c>
      <c r="E3310">
        <v>54</v>
      </c>
      <c r="F3310" t="s">
        <v>6410</v>
      </c>
      <c r="G3310" t="s">
        <v>6409</v>
      </c>
      <c r="H3310" t="s">
        <v>3430</v>
      </c>
      <c r="I3310">
        <v>5405</v>
      </c>
      <c r="J3310" s="3">
        <v>44.33</v>
      </c>
      <c r="K3310" s="3">
        <v>21.89</v>
      </c>
      <c r="L3310">
        <v>50.62</v>
      </c>
    </row>
    <row r="3311" spans="1:12">
      <c r="A3311" s="1">
        <v>46037</v>
      </c>
      <c r="B3311" t="s">
        <v>9233</v>
      </c>
      <c r="C3311">
        <v>14</v>
      </c>
      <c r="D3311" t="str">
        <f>VLOOKUP(Tabela26[[#This Row],[EMP]],[1]LOJA!$A:$B,2,0)</f>
        <v>S IA</v>
      </c>
      <c r="E3311">
        <v>54</v>
      </c>
      <c r="F3311" t="s">
        <v>3403</v>
      </c>
      <c r="G3311" t="s">
        <v>3402</v>
      </c>
      <c r="H3311" t="s">
        <v>3401</v>
      </c>
      <c r="I3311">
        <v>5102</v>
      </c>
      <c r="J3311" s="3">
        <v>7.9</v>
      </c>
      <c r="K3311" s="3">
        <v>3.91</v>
      </c>
      <c r="L3311">
        <v>50.51</v>
      </c>
    </row>
    <row r="3312" spans="1:12">
      <c r="A3312" s="1">
        <v>46037</v>
      </c>
      <c r="B3312" t="s">
        <v>9232</v>
      </c>
      <c r="C3312">
        <v>14</v>
      </c>
      <c r="D3312" t="str">
        <f>VLOOKUP(Tabela26[[#This Row],[EMP]],[1]LOJA!$A:$B,2,0)</f>
        <v>S IA</v>
      </c>
      <c r="E3312">
        <v>54</v>
      </c>
      <c r="F3312" t="s">
        <v>6410</v>
      </c>
      <c r="G3312" t="s">
        <v>6409</v>
      </c>
      <c r="H3312" t="s">
        <v>3430</v>
      </c>
      <c r="I3312">
        <v>5405</v>
      </c>
      <c r="J3312" s="3">
        <v>106.41</v>
      </c>
      <c r="K3312" s="3">
        <v>50.15</v>
      </c>
      <c r="L3312">
        <v>52.87</v>
      </c>
    </row>
    <row r="3313" spans="1:12">
      <c r="A3313" s="1">
        <v>46037</v>
      </c>
      <c r="B3313" t="s">
        <v>9231</v>
      </c>
      <c r="C3313">
        <v>14</v>
      </c>
      <c r="D3313" t="str">
        <f>VLOOKUP(Tabela26[[#This Row],[EMP]],[1]LOJA!$A:$B,2,0)</f>
        <v>S IA</v>
      </c>
      <c r="E3313">
        <v>212</v>
      </c>
      <c r="F3313" t="s">
        <v>3403</v>
      </c>
      <c r="G3313" t="s">
        <v>3402</v>
      </c>
      <c r="H3313" t="s">
        <v>3401</v>
      </c>
      <c r="I3313">
        <v>5405</v>
      </c>
      <c r="J3313" s="3">
        <v>48</v>
      </c>
      <c r="K3313" s="3">
        <v>23.6</v>
      </c>
      <c r="L3313">
        <v>50.83</v>
      </c>
    </row>
    <row r="3314" spans="1:12">
      <c r="A3314" s="1">
        <v>46037</v>
      </c>
      <c r="B3314" t="s">
        <v>9230</v>
      </c>
      <c r="C3314">
        <v>14</v>
      </c>
      <c r="D3314" t="str">
        <f>VLOOKUP(Tabela26[[#This Row],[EMP]],[1]LOJA!$A:$B,2,0)</f>
        <v>S IA</v>
      </c>
      <c r="E3314">
        <v>212</v>
      </c>
      <c r="F3314" t="s">
        <v>3403</v>
      </c>
      <c r="G3314" t="s">
        <v>3402</v>
      </c>
      <c r="H3314" t="s">
        <v>3401</v>
      </c>
      <c r="I3314">
        <v>5405</v>
      </c>
      <c r="J3314" s="3">
        <v>197.7</v>
      </c>
      <c r="K3314" s="3">
        <v>106.94</v>
      </c>
      <c r="L3314">
        <v>45.91</v>
      </c>
    </row>
    <row r="3315" spans="1:12">
      <c r="A3315" s="1">
        <v>46037</v>
      </c>
      <c r="B3315" t="s">
        <v>9229</v>
      </c>
      <c r="C3315">
        <v>14</v>
      </c>
      <c r="D3315" t="str">
        <f>VLOOKUP(Tabela26[[#This Row],[EMP]],[1]LOJA!$A:$B,2,0)</f>
        <v>S IA</v>
      </c>
      <c r="E3315">
        <v>212</v>
      </c>
      <c r="F3315" t="s">
        <v>3403</v>
      </c>
      <c r="G3315" t="s">
        <v>3402</v>
      </c>
      <c r="H3315" t="s">
        <v>3401</v>
      </c>
      <c r="I3315">
        <v>5102</v>
      </c>
      <c r="J3315" s="3">
        <v>157</v>
      </c>
      <c r="K3315" s="3">
        <v>80.12</v>
      </c>
      <c r="L3315">
        <v>48.97</v>
      </c>
    </row>
    <row r="3316" spans="1:12">
      <c r="A3316" s="1">
        <v>46037</v>
      </c>
      <c r="B3316" t="s">
        <v>9228</v>
      </c>
      <c r="C3316">
        <v>14</v>
      </c>
      <c r="D3316" t="str">
        <f>VLOOKUP(Tabela26[[#This Row],[EMP]],[1]LOJA!$A:$B,2,0)</f>
        <v>S IA</v>
      </c>
      <c r="E3316">
        <v>54</v>
      </c>
      <c r="F3316" t="s">
        <v>6410</v>
      </c>
      <c r="G3316" t="s">
        <v>6409</v>
      </c>
      <c r="H3316" t="s">
        <v>3430</v>
      </c>
      <c r="I3316">
        <v>5405</v>
      </c>
      <c r="J3316" s="3">
        <v>67.41</v>
      </c>
      <c r="K3316" s="3">
        <v>33.090000000000003</v>
      </c>
      <c r="L3316">
        <v>50.91</v>
      </c>
    </row>
    <row r="3317" spans="1:12">
      <c r="A3317" s="1">
        <v>46037</v>
      </c>
      <c r="B3317" t="s">
        <v>9227</v>
      </c>
      <c r="C3317">
        <v>14</v>
      </c>
      <c r="D3317" t="str">
        <f>VLOOKUP(Tabela26[[#This Row],[EMP]],[1]LOJA!$A:$B,2,0)</f>
        <v>S IA</v>
      </c>
      <c r="E3317">
        <v>54</v>
      </c>
      <c r="F3317" t="s">
        <v>4659</v>
      </c>
      <c r="G3317" t="s">
        <v>4658</v>
      </c>
      <c r="H3317" t="s">
        <v>3408</v>
      </c>
      <c r="I3317">
        <v>5405</v>
      </c>
      <c r="J3317" s="3">
        <v>1336.56</v>
      </c>
      <c r="K3317" s="3">
        <v>830.97</v>
      </c>
      <c r="L3317">
        <v>37.83</v>
      </c>
    </row>
    <row r="3318" spans="1:12">
      <c r="A3318" s="1">
        <v>46037</v>
      </c>
      <c r="B3318" t="s">
        <v>9226</v>
      </c>
      <c r="C3318">
        <v>14</v>
      </c>
      <c r="D3318" t="str">
        <f>VLOOKUP(Tabela26[[#This Row],[EMP]],[1]LOJA!$A:$B,2,0)</f>
        <v>S IA</v>
      </c>
      <c r="E3318">
        <v>54</v>
      </c>
      <c r="F3318" t="s">
        <v>3403</v>
      </c>
      <c r="G3318" t="s">
        <v>3402</v>
      </c>
      <c r="H3318" t="s">
        <v>3401</v>
      </c>
      <c r="I3318">
        <v>5102</v>
      </c>
      <c r="J3318" s="3">
        <v>66.2</v>
      </c>
      <c r="K3318" s="3">
        <v>36</v>
      </c>
      <c r="L3318">
        <v>45.62</v>
      </c>
    </row>
    <row r="3319" spans="1:12">
      <c r="A3319" s="1">
        <v>46037</v>
      </c>
      <c r="B3319" t="s">
        <v>9225</v>
      </c>
      <c r="C3319">
        <v>14</v>
      </c>
      <c r="D3319" t="str">
        <f>VLOOKUP(Tabela26[[#This Row],[EMP]],[1]LOJA!$A:$B,2,0)</f>
        <v>S IA</v>
      </c>
      <c r="E3319">
        <v>54</v>
      </c>
      <c r="F3319" t="s">
        <v>3403</v>
      </c>
      <c r="G3319" t="s">
        <v>3402</v>
      </c>
      <c r="H3319" t="s">
        <v>3401</v>
      </c>
      <c r="I3319">
        <v>5102</v>
      </c>
      <c r="J3319" s="3">
        <v>42.9</v>
      </c>
      <c r="K3319" s="3">
        <v>22.53</v>
      </c>
      <c r="L3319">
        <v>47.48</v>
      </c>
    </row>
    <row r="3320" spans="1:12">
      <c r="A3320" s="1">
        <v>46037</v>
      </c>
      <c r="B3320" t="s">
        <v>9224</v>
      </c>
      <c r="C3320">
        <v>14</v>
      </c>
      <c r="D3320" t="str">
        <f>VLOOKUP(Tabela26[[#This Row],[EMP]],[1]LOJA!$A:$B,2,0)</f>
        <v>S IA</v>
      </c>
      <c r="E3320">
        <v>212</v>
      </c>
      <c r="F3320" t="s">
        <v>3769</v>
      </c>
      <c r="G3320" t="s">
        <v>3768</v>
      </c>
      <c r="H3320" t="s">
        <v>3401</v>
      </c>
      <c r="I3320">
        <v>5405</v>
      </c>
      <c r="J3320" s="3">
        <v>66</v>
      </c>
      <c r="K3320" s="3">
        <v>31.61</v>
      </c>
      <c r="L3320">
        <v>52.11</v>
      </c>
    </row>
    <row r="3321" spans="1:12">
      <c r="A3321" s="1">
        <v>46037</v>
      </c>
      <c r="B3321" t="s">
        <v>9223</v>
      </c>
      <c r="C3321">
        <v>14</v>
      </c>
      <c r="D3321" t="str">
        <f>VLOOKUP(Tabela26[[#This Row],[EMP]],[1]LOJA!$A:$B,2,0)</f>
        <v>S IA</v>
      </c>
      <c r="E3321">
        <v>212</v>
      </c>
      <c r="F3321" t="s">
        <v>3403</v>
      </c>
      <c r="G3321" t="s">
        <v>3402</v>
      </c>
      <c r="H3321" t="s">
        <v>3401</v>
      </c>
      <c r="I3321">
        <v>5102</v>
      </c>
      <c r="J3321" s="3">
        <v>120</v>
      </c>
      <c r="K3321" s="3">
        <v>72.16</v>
      </c>
      <c r="L3321">
        <v>39.869999999999997</v>
      </c>
    </row>
    <row r="3322" spans="1:12">
      <c r="A3322" s="1">
        <v>46037</v>
      </c>
      <c r="B3322" t="s">
        <v>9222</v>
      </c>
      <c r="C3322">
        <v>14</v>
      </c>
      <c r="D3322" t="str">
        <f>VLOOKUP(Tabela26[[#This Row],[EMP]],[1]LOJA!$A:$B,2,0)</f>
        <v>S IA</v>
      </c>
      <c r="E3322">
        <v>54</v>
      </c>
      <c r="F3322" t="s">
        <v>3983</v>
      </c>
      <c r="G3322" t="s">
        <v>3982</v>
      </c>
      <c r="H3322" t="s">
        <v>3401</v>
      </c>
      <c r="I3322">
        <v>5405</v>
      </c>
      <c r="J3322" s="3">
        <v>258</v>
      </c>
      <c r="K3322" s="3">
        <v>135.06</v>
      </c>
      <c r="L3322">
        <v>47.65</v>
      </c>
    </row>
    <row r="3323" spans="1:12">
      <c r="A3323" s="1">
        <v>46037</v>
      </c>
      <c r="B3323" t="s">
        <v>9221</v>
      </c>
      <c r="C3323">
        <v>14</v>
      </c>
      <c r="D3323" t="str">
        <f>VLOOKUP(Tabela26[[#This Row],[EMP]],[1]LOJA!$A:$B,2,0)</f>
        <v>S IA</v>
      </c>
      <c r="E3323">
        <v>212</v>
      </c>
      <c r="F3323" t="s">
        <v>3403</v>
      </c>
      <c r="G3323" t="s">
        <v>3402</v>
      </c>
      <c r="H3323" t="s">
        <v>3401</v>
      </c>
      <c r="I3323">
        <v>5102</v>
      </c>
      <c r="J3323" s="3">
        <v>6</v>
      </c>
      <c r="K3323" s="3">
        <v>2.7</v>
      </c>
      <c r="L3323">
        <v>55</v>
      </c>
    </row>
    <row r="3324" spans="1:12">
      <c r="A3324" s="1">
        <v>46037</v>
      </c>
      <c r="B3324" t="s">
        <v>9220</v>
      </c>
      <c r="C3324">
        <v>14</v>
      </c>
      <c r="D3324" t="str">
        <f>VLOOKUP(Tabela26[[#This Row],[EMP]],[1]LOJA!$A:$B,2,0)</f>
        <v>S IA</v>
      </c>
      <c r="E3324">
        <v>212</v>
      </c>
      <c r="F3324" t="s">
        <v>3403</v>
      </c>
      <c r="G3324" t="s">
        <v>3402</v>
      </c>
      <c r="H3324" t="s">
        <v>3401</v>
      </c>
      <c r="I3324">
        <v>5102</v>
      </c>
      <c r="J3324" s="3">
        <v>67</v>
      </c>
      <c r="K3324" s="3">
        <v>30.33</v>
      </c>
      <c r="L3324">
        <v>54.73</v>
      </c>
    </row>
    <row r="3325" spans="1:12">
      <c r="A3325" s="1">
        <v>46037</v>
      </c>
      <c r="B3325" t="s">
        <v>9219</v>
      </c>
      <c r="C3325">
        <v>14</v>
      </c>
      <c r="D3325" t="str">
        <f>VLOOKUP(Tabela26[[#This Row],[EMP]],[1]LOJA!$A:$B,2,0)</f>
        <v>S IA</v>
      </c>
      <c r="E3325">
        <v>54</v>
      </c>
      <c r="F3325" t="s">
        <v>3455</v>
      </c>
      <c r="G3325" t="s">
        <v>3454</v>
      </c>
      <c r="H3325" t="s">
        <v>3401</v>
      </c>
      <c r="I3325">
        <v>5405</v>
      </c>
      <c r="J3325" s="3">
        <v>401.4</v>
      </c>
      <c r="K3325" s="3">
        <v>199.75</v>
      </c>
      <c r="L3325">
        <v>50.24</v>
      </c>
    </row>
    <row r="3326" spans="1:12">
      <c r="A3326" s="1">
        <v>46037</v>
      </c>
      <c r="B3326" t="s">
        <v>9218</v>
      </c>
      <c r="C3326">
        <v>14</v>
      </c>
      <c r="D3326" t="str">
        <f>VLOOKUP(Tabela26[[#This Row],[EMP]],[1]LOJA!$A:$B,2,0)</f>
        <v>S IA</v>
      </c>
      <c r="E3326">
        <v>54</v>
      </c>
      <c r="F3326" t="s">
        <v>3478</v>
      </c>
      <c r="G3326" t="s">
        <v>3477</v>
      </c>
      <c r="H3326" t="s">
        <v>3408</v>
      </c>
      <c r="I3326">
        <v>5405</v>
      </c>
      <c r="J3326" s="3">
        <v>45</v>
      </c>
      <c r="K3326" s="3">
        <v>19.73</v>
      </c>
      <c r="L3326">
        <v>56.16</v>
      </c>
    </row>
    <row r="3327" spans="1:12">
      <c r="A3327" s="1">
        <v>46037</v>
      </c>
      <c r="B3327" t="s">
        <v>9217</v>
      </c>
      <c r="C3327">
        <v>14</v>
      </c>
      <c r="D3327" t="str">
        <f>VLOOKUP(Tabela26[[#This Row],[EMP]],[1]LOJA!$A:$B,2,0)</f>
        <v>S IA</v>
      </c>
      <c r="E3327">
        <v>212</v>
      </c>
      <c r="F3327" t="s">
        <v>5599</v>
      </c>
      <c r="G3327" t="s">
        <v>5598</v>
      </c>
      <c r="H3327" t="s">
        <v>3408</v>
      </c>
      <c r="I3327">
        <v>5102</v>
      </c>
      <c r="J3327" s="3">
        <v>59.8</v>
      </c>
      <c r="K3327" s="3">
        <v>39.08</v>
      </c>
      <c r="L3327">
        <v>34.65</v>
      </c>
    </row>
    <row r="3328" spans="1:12">
      <c r="A3328" s="1">
        <v>46037</v>
      </c>
      <c r="B3328" t="s">
        <v>9216</v>
      </c>
      <c r="C3328">
        <v>14</v>
      </c>
      <c r="D3328" t="str">
        <f>VLOOKUP(Tabela26[[#This Row],[EMP]],[1]LOJA!$A:$B,2,0)</f>
        <v>S IA</v>
      </c>
      <c r="E3328">
        <v>212</v>
      </c>
      <c r="F3328" t="s">
        <v>9215</v>
      </c>
      <c r="G3328" t="s">
        <v>3402</v>
      </c>
      <c r="H3328" t="s">
        <v>3408</v>
      </c>
      <c r="I3328">
        <v>5405</v>
      </c>
      <c r="J3328" s="3">
        <v>67</v>
      </c>
      <c r="K3328" s="3">
        <v>32.94</v>
      </c>
      <c r="L3328">
        <v>50.84</v>
      </c>
    </row>
    <row r="3329" spans="1:12">
      <c r="A3329" s="1">
        <v>46037</v>
      </c>
      <c r="B3329" t="s">
        <v>9214</v>
      </c>
      <c r="C3329">
        <v>12</v>
      </c>
      <c r="D3329" t="str">
        <f>VLOOKUP(Tabela26[[#This Row],[EMP]],[1]LOJA!$A:$B,2,0)</f>
        <v>SOFNORTE</v>
      </c>
      <c r="E3329">
        <v>60</v>
      </c>
      <c r="F3329" t="s">
        <v>3461</v>
      </c>
      <c r="G3329" t="s">
        <v>3460</v>
      </c>
      <c r="H3329" t="s">
        <v>3430</v>
      </c>
      <c r="I3329">
        <v>5405</v>
      </c>
      <c r="J3329" s="3">
        <v>32</v>
      </c>
      <c r="K3329" s="3">
        <v>15.49</v>
      </c>
      <c r="L3329">
        <v>51.59</v>
      </c>
    </row>
    <row r="3330" spans="1:12">
      <c r="A3330" s="1">
        <v>46037</v>
      </c>
      <c r="B3330" t="s">
        <v>9213</v>
      </c>
      <c r="C3330">
        <v>12</v>
      </c>
      <c r="D3330" t="str">
        <f>VLOOKUP(Tabela26[[#This Row],[EMP]],[1]LOJA!$A:$B,2,0)</f>
        <v>SOFNORTE</v>
      </c>
      <c r="E3330">
        <v>239</v>
      </c>
      <c r="F3330" t="s">
        <v>3461</v>
      </c>
      <c r="G3330" t="s">
        <v>3460</v>
      </c>
      <c r="H3330" t="s">
        <v>3430</v>
      </c>
      <c r="I3330">
        <v>5405</v>
      </c>
      <c r="J3330" s="3">
        <v>136.24</v>
      </c>
      <c r="K3330" s="3">
        <v>68.16</v>
      </c>
      <c r="L3330">
        <v>49.97</v>
      </c>
    </row>
    <row r="3331" spans="1:12">
      <c r="A3331" s="1">
        <v>46037</v>
      </c>
      <c r="B3331" t="s">
        <v>9212</v>
      </c>
      <c r="C3331">
        <v>12</v>
      </c>
      <c r="D3331" t="str">
        <f>VLOOKUP(Tabela26[[#This Row],[EMP]],[1]LOJA!$A:$B,2,0)</f>
        <v>SOFNORTE</v>
      </c>
      <c r="E3331">
        <v>60</v>
      </c>
      <c r="F3331" t="s">
        <v>6537</v>
      </c>
      <c r="G3331" t="s">
        <v>6536</v>
      </c>
      <c r="H3331" t="s">
        <v>3430</v>
      </c>
      <c r="I3331">
        <v>5405</v>
      </c>
      <c r="J3331" s="3">
        <v>156</v>
      </c>
      <c r="K3331" s="3">
        <v>70.510000000000005</v>
      </c>
      <c r="L3331">
        <v>54.8</v>
      </c>
    </row>
    <row r="3332" spans="1:12">
      <c r="A3332" s="1">
        <v>46037</v>
      </c>
      <c r="B3332" t="s">
        <v>9211</v>
      </c>
      <c r="C3332">
        <v>12</v>
      </c>
      <c r="D3332" t="str">
        <f>VLOOKUP(Tabela26[[#This Row],[EMP]],[1]LOJA!$A:$B,2,0)</f>
        <v>SOFNORTE</v>
      </c>
      <c r="E3332">
        <v>60</v>
      </c>
      <c r="F3332" t="s">
        <v>3461</v>
      </c>
      <c r="G3332" t="s">
        <v>3460</v>
      </c>
      <c r="H3332" t="s">
        <v>3430</v>
      </c>
      <c r="I3332">
        <v>5102</v>
      </c>
      <c r="J3332" s="3">
        <v>142.91999999999999</v>
      </c>
      <c r="K3332" s="3">
        <v>61.44</v>
      </c>
      <c r="L3332">
        <v>57.01</v>
      </c>
    </row>
    <row r="3333" spans="1:12">
      <c r="A3333" s="1">
        <v>46037</v>
      </c>
      <c r="B3333" t="s">
        <v>9210</v>
      </c>
      <c r="C3333">
        <v>12</v>
      </c>
      <c r="D3333" t="str">
        <f>VLOOKUP(Tabela26[[#This Row],[EMP]],[1]LOJA!$A:$B,2,0)</f>
        <v>SOFNORTE</v>
      </c>
      <c r="E3333">
        <v>60</v>
      </c>
      <c r="F3333" t="s">
        <v>3948</v>
      </c>
      <c r="G3333" t="s">
        <v>3947</v>
      </c>
      <c r="H3333" t="s">
        <v>3430</v>
      </c>
      <c r="I3333">
        <v>5405</v>
      </c>
      <c r="J3333" s="3">
        <v>149</v>
      </c>
      <c r="K3333" s="3">
        <v>78.349999999999994</v>
      </c>
      <c r="L3333">
        <v>47.42</v>
      </c>
    </row>
    <row r="3334" spans="1:12">
      <c r="A3334" s="1">
        <v>46037</v>
      </c>
      <c r="B3334" t="s">
        <v>9209</v>
      </c>
      <c r="C3334">
        <v>12</v>
      </c>
      <c r="D3334" t="str">
        <f>VLOOKUP(Tabela26[[#This Row],[EMP]],[1]LOJA!$A:$B,2,0)</f>
        <v>SOFNORTE</v>
      </c>
      <c r="E3334">
        <v>60</v>
      </c>
      <c r="F3334" t="s">
        <v>3945</v>
      </c>
      <c r="G3334" t="s">
        <v>3944</v>
      </c>
      <c r="H3334" t="s">
        <v>3430</v>
      </c>
      <c r="I3334">
        <v>5405</v>
      </c>
      <c r="J3334" s="3">
        <v>1791.37</v>
      </c>
      <c r="K3334" s="3">
        <v>1064.4100000000001</v>
      </c>
      <c r="L3334">
        <v>40.58</v>
      </c>
    </row>
    <row r="3335" spans="1:12">
      <c r="A3335" s="1">
        <v>46037</v>
      </c>
      <c r="B3335" t="s">
        <v>9208</v>
      </c>
      <c r="C3335">
        <v>12</v>
      </c>
      <c r="D3335" t="str">
        <f>VLOOKUP(Tabela26[[#This Row],[EMP]],[1]LOJA!$A:$B,2,0)</f>
        <v>SOFNORTE</v>
      </c>
      <c r="E3335">
        <v>60</v>
      </c>
      <c r="F3335" t="s">
        <v>3931</v>
      </c>
      <c r="G3335" t="s">
        <v>3930</v>
      </c>
      <c r="H3335" t="s">
        <v>4760</v>
      </c>
      <c r="I3335">
        <v>5405</v>
      </c>
      <c r="J3335" s="3">
        <v>191</v>
      </c>
      <c r="K3335" s="3">
        <v>92.88</v>
      </c>
      <c r="L3335">
        <v>51.37</v>
      </c>
    </row>
    <row r="3336" spans="1:12">
      <c r="A3336" s="1">
        <v>46037</v>
      </c>
      <c r="B3336" t="s">
        <v>9207</v>
      </c>
      <c r="C3336">
        <v>12</v>
      </c>
      <c r="D3336" t="str">
        <f>VLOOKUP(Tabela26[[#This Row],[EMP]],[1]LOJA!$A:$B,2,0)</f>
        <v>SOFNORTE</v>
      </c>
      <c r="E3336">
        <v>60</v>
      </c>
      <c r="F3336" t="s">
        <v>3925</v>
      </c>
      <c r="G3336" t="s">
        <v>3924</v>
      </c>
      <c r="H3336" t="s">
        <v>3430</v>
      </c>
      <c r="I3336">
        <v>5405</v>
      </c>
      <c r="J3336" s="3">
        <v>38</v>
      </c>
      <c r="K3336" s="3">
        <v>16.62</v>
      </c>
      <c r="L3336">
        <v>56.26</v>
      </c>
    </row>
    <row r="3337" spans="1:12">
      <c r="A3337" s="1">
        <v>46037</v>
      </c>
      <c r="B3337" t="s">
        <v>9206</v>
      </c>
      <c r="C3337">
        <v>12</v>
      </c>
      <c r="D3337" t="str">
        <f>VLOOKUP(Tabela26[[#This Row],[EMP]],[1]LOJA!$A:$B,2,0)</f>
        <v>SOFNORTE</v>
      </c>
      <c r="E3337">
        <v>60</v>
      </c>
      <c r="F3337" t="s">
        <v>8166</v>
      </c>
      <c r="G3337" t="s">
        <v>8165</v>
      </c>
      <c r="H3337" t="s">
        <v>3430</v>
      </c>
      <c r="I3337">
        <v>5405</v>
      </c>
      <c r="J3337" s="3">
        <v>424</v>
      </c>
      <c r="K3337" s="3">
        <v>196.28</v>
      </c>
      <c r="L3337">
        <v>53.71</v>
      </c>
    </row>
    <row r="3338" spans="1:12">
      <c r="A3338" s="1">
        <v>46037</v>
      </c>
      <c r="B3338" t="s">
        <v>9205</v>
      </c>
      <c r="C3338">
        <v>12</v>
      </c>
      <c r="D3338" t="str">
        <f>VLOOKUP(Tabela26[[#This Row],[EMP]],[1]LOJA!$A:$B,2,0)</f>
        <v>SOFNORTE</v>
      </c>
      <c r="E3338">
        <v>60</v>
      </c>
      <c r="F3338" t="s">
        <v>3461</v>
      </c>
      <c r="G3338" t="s">
        <v>3460</v>
      </c>
      <c r="H3338" t="s">
        <v>3430</v>
      </c>
      <c r="I3338">
        <v>5405</v>
      </c>
      <c r="J3338" s="3">
        <v>44.47</v>
      </c>
      <c r="K3338" s="3">
        <v>21.89</v>
      </c>
      <c r="L3338">
        <v>50.78</v>
      </c>
    </row>
    <row r="3339" spans="1:12">
      <c r="A3339" s="1">
        <v>46037</v>
      </c>
      <c r="B3339" t="s">
        <v>9204</v>
      </c>
      <c r="C3339">
        <v>12</v>
      </c>
      <c r="D3339" t="str">
        <f>VLOOKUP(Tabela26[[#This Row],[EMP]],[1]LOJA!$A:$B,2,0)</f>
        <v>SOFNORTE</v>
      </c>
      <c r="E3339">
        <v>60</v>
      </c>
      <c r="F3339" t="s">
        <v>3928</v>
      </c>
      <c r="G3339" t="s">
        <v>3927</v>
      </c>
      <c r="H3339" t="s">
        <v>3430</v>
      </c>
      <c r="I3339">
        <v>5405</v>
      </c>
      <c r="J3339" s="3">
        <v>414</v>
      </c>
      <c r="K3339" s="3">
        <v>195.2</v>
      </c>
      <c r="L3339">
        <v>52.85</v>
      </c>
    </row>
    <row r="3340" spans="1:12">
      <c r="A3340" s="1">
        <v>46037</v>
      </c>
      <c r="B3340" t="s">
        <v>9203</v>
      </c>
      <c r="C3340">
        <v>12</v>
      </c>
      <c r="D3340" t="str">
        <f>VLOOKUP(Tabela26[[#This Row],[EMP]],[1]LOJA!$A:$B,2,0)</f>
        <v>SOFNORTE</v>
      </c>
      <c r="E3340">
        <v>239</v>
      </c>
      <c r="F3340" t="s">
        <v>6390</v>
      </c>
      <c r="G3340" t="s">
        <v>6389</v>
      </c>
      <c r="H3340" t="s">
        <v>3401</v>
      </c>
      <c r="I3340">
        <v>5405</v>
      </c>
      <c r="J3340" s="3">
        <v>1080</v>
      </c>
      <c r="K3340" s="3">
        <v>649.32000000000005</v>
      </c>
      <c r="L3340">
        <v>39.880000000000003</v>
      </c>
    </row>
    <row r="3341" spans="1:12">
      <c r="A3341" s="1">
        <v>46037</v>
      </c>
      <c r="B3341" t="s">
        <v>9202</v>
      </c>
      <c r="C3341">
        <v>12</v>
      </c>
      <c r="D3341" t="str">
        <f>VLOOKUP(Tabela26[[#This Row],[EMP]],[1]LOJA!$A:$B,2,0)</f>
        <v>SOFNORTE</v>
      </c>
      <c r="E3341">
        <v>60</v>
      </c>
      <c r="F3341" t="s">
        <v>6397</v>
      </c>
      <c r="G3341" t="s">
        <v>6396</v>
      </c>
      <c r="H3341" t="s">
        <v>3401</v>
      </c>
      <c r="I3341">
        <v>1202</v>
      </c>
      <c r="J3341" s="3">
        <v>-19.239999999999998</v>
      </c>
      <c r="K3341" s="3">
        <v>-10.89</v>
      </c>
      <c r="L3341">
        <v>43.4</v>
      </c>
    </row>
    <row r="3342" spans="1:12">
      <c r="A3342" s="1">
        <v>46037</v>
      </c>
      <c r="B3342" t="s">
        <v>9201</v>
      </c>
      <c r="C3342">
        <v>22</v>
      </c>
      <c r="D3342" t="str">
        <f>VLOOKUP(Tabela26[[#This Row],[EMP]],[1]LOJA!$A:$B,2,0)</f>
        <v>GUARÁ</v>
      </c>
      <c r="E3342">
        <v>93</v>
      </c>
      <c r="F3342" t="s">
        <v>3403</v>
      </c>
      <c r="G3342" t="s">
        <v>3402</v>
      </c>
      <c r="H3342" t="s">
        <v>3401</v>
      </c>
      <c r="I3342">
        <v>5405</v>
      </c>
      <c r="J3342" s="3">
        <v>26</v>
      </c>
      <c r="K3342" s="3">
        <v>12.07</v>
      </c>
      <c r="L3342">
        <v>53.58</v>
      </c>
    </row>
    <row r="3343" spans="1:12">
      <c r="A3343" s="1">
        <v>46037</v>
      </c>
      <c r="B3343" t="s">
        <v>9200</v>
      </c>
      <c r="C3343">
        <v>22</v>
      </c>
      <c r="D3343" t="str">
        <f>VLOOKUP(Tabela26[[#This Row],[EMP]],[1]LOJA!$A:$B,2,0)</f>
        <v>GUARÁ</v>
      </c>
      <c r="E3343">
        <v>93</v>
      </c>
      <c r="F3343" t="s">
        <v>9199</v>
      </c>
      <c r="G3343" t="s">
        <v>9198</v>
      </c>
      <c r="H3343" t="s">
        <v>3401</v>
      </c>
      <c r="I3343">
        <v>5405</v>
      </c>
      <c r="J3343" s="3">
        <v>72</v>
      </c>
      <c r="K3343" s="3">
        <v>35.21</v>
      </c>
      <c r="L3343">
        <v>51.1</v>
      </c>
    </row>
    <row r="3344" spans="1:12">
      <c r="A3344" s="1">
        <v>46037</v>
      </c>
      <c r="B3344" t="s">
        <v>9197</v>
      </c>
      <c r="C3344">
        <v>22</v>
      </c>
      <c r="D3344" t="str">
        <f>VLOOKUP(Tabela26[[#This Row],[EMP]],[1]LOJA!$A:$B,2,0)</f>
        <v>GUARÁ</v>
      </c>
      <c r="E3344">
        <v>93</v>
      </c>
      <c r="F3344" t="s">
        <v>3403</v>
      </c>
      <c r="G3344" t="s">
        <v>3402</v>
      </c>
      <c r="H3344" t="s">
        <v>3401</v>
      </c>
      <c r="I3344">
        <v>5405</v>
      </c>
      <c r="J3344" s="3">
        <v>40</v>
      </c>
      <c r="K3344" s="3">
        <v>17.78</v>
      </c>
      <c r="L3344">
        <v>55.55</v>
      </c>
    </row>
    <row r="3345" spans="1:12">
      <c r="A3345" s="1">
        <v>46037</v>
      </c>
      <c r="B3345" t="s">
        <v>9196</v>
      </c>
      <c r="C3345">
        <v>22</v>
      </c>
      <c r="D3345" t="str">
        <f>VLOOKUP(Tabela26[[#This Row],[EMP]],[1]LOJA!$A:$B,2,0)</f>
        <v>GUARÁ</v>
      </c>
      <c r="E3345">
        <v>93</v>
      </c>
      <c r="F3345" t="s">
        <v>3403</v>
      </c>
      <c r="G3345" t="s">
        <v>3402</v>
      </c>
      <c r="H3345" t="s">
        <v>3401</v>
      </c>
      <c r="I3345">
        <v>5405</v>
      </c>
      <c r="J3345" s="3">
        <v>128</v>
      </c>
      <c r="K3345" s="3">
        <v>65.63</v>
      </c>
      <c r="L3345">
        <v>48.73</v>
      </c>
    </row>
    <row r="3346" spans="1:12">
      <c r="A3346" s="1">
        <v>46037</v>
      </c>
      <c r="B3346" t="s">
        <v>9195</v>
      </c>
      <c r="C3346">
        <v>22</v>
      </c>
      <c r="D3346" t="str">
        <f>VLOOKUP(Tabela26[[#This Row],[EMP]],[1]LOJA!$A:$B,2,0)</f>
        <v>GUARÁ</v>
      </c>
      <c r="E3346">
        <v>93</v>
      </c>
      <c r="F3346" t="s">
        <v>3403</v>
      </c>
      <c r="G3346" t="s">
        <v>3402</v>
      </c>
      <c r="H3346" t="s">
        <v>3401</v>
      </c>
      <c r="I3346">
        <v>5102</v>
      </c>
      <c r="J3346" s="3">
        <v>24.27</v>
      </c>
      <c r="K3346" s="3">
        <v>14.37</v>
      </c>
      <c r="L3346">
        <v>40.79</v>
      </c>
    </row>
    <row r="3347" spans="1:12">
      <c r="A3347" s="1">
        <v>46037</v>
      </c>
      <c r="B3347" t="s">
        <v>9194</v>
      </c>
      <c r="C3347">
        <v>22</v>
      </c>
      <c r="D3347" t="str">
        <f>VLOOKUP(Tabela26[[#This Row],[EMP]],[1]LOJA!$A:$B,2,0)</f>
        <v>GUARÁ</v>
      </c>
      <c r="E3347">
        <v>93</v>
      </c>
      <c r="F3347" t="s">
        <v>9193</v>
      </c>
      <c r="G3347" t="s">
        <v>3402</v>
      </c>
      <c r="H3347" t="s">
        <v>3401</v>
      </c>
      <c r="I3347">
        <v>5102</v>
      </c>
      <c r="J3347" s="3">
        <v>90</v>
      </c>
      <c r="K3347" s="3">
        <v>56.47</v>
      </c>
      <c r="L3347">
        <v>37.26</v>
      </c>
    </row>
    <row r="3348" spans="1:12">
      <c r="A3348" s="1">
        <v>46037</v>
      </c>
      <c r="B3348" t="s">
        <v>9192</v>
      </c>
      <c r="C3348">
        <v>22</v>
      </c>
      <c r="D3348" t="str">
        <f>VLOOKUP(Tabela26[[#This Row],[EMP]],[1]LOJA!$A:$B,2,0)</f>
        <v>GUARÁ</v>
      </c>
      <c r="E3348">
        <v>238</v>
      </c>
      <c r="F3348" t="s">
        <v>3403</v>
      </c>
      <c r="G3348" t="s">
        <v>3402</v>
      </c>
      <c r="H3348" t="s">
        <v>3401</v>
      </c>
      <c r="I3348">
        <v>5102</v>
      </c>
      <c r="J3348" s="3">
        <v>7</v>
      </c>
      <c r="K3348" s="3">
        <v>3</v>
      </c>
      <c r="L3348">
        <v>57.14</v>
      </c>
    </row>
    <row r="3349" spans="1:12">
      <c r="A3349" s="1">
        <v>46037</v>
      </c>
      <c r="B3349" t="s">
        <v>9191</v>
      </c>
      <c r="C3349">
        <v>22</v>
      </c>
      <c r="D3349" t="str">
        <f>VLOOKUP(Tabela26[[#This Row],[EMP]],[1]LOJA!$A:$B,2,0)</f>
        <v>GUARÁ</v>
      </c>
      <c r="E3349">
        <v>238</v>
      </c>
      <c r="F3349" t="s">
        <v>3403</v>
      </c>
      <c r="G3349" t="s">
        <v>3402</v>
      </c>
      <c r="H3349" t="s">
        <v>3401</v>
      </c>
      <c r="I3349">
        <v>5405</v>
      </c>
      <c r="J3349" s="3">
        <v>28</v>
      </c>
      <c r="K3349" s="3">
        <v>12.04</v>
      </c>
      <c r="L3349">
        <v>57</v>
      </c>
    </row>
    <row r="3350" spans="1:12">
      <c r="A3350" s="1">
        <v>46037</v>
      </c>
      <c r="B3350" t="s">
        <v>9190</v>
      </c>
      <c r="C3350">
        <v>22</v>
      </c>
      <c r="D3350" t="str">
        <f>VLOOKUP(Tabela26[[#This Row],[EMP]],[1]LOJA!$A:$B,2,0)</f>
        <v>GUARÁ</v>
      </c>
      <c r="E3350">
        <v>93</v>
      </c>
      <c r="F3350" t="s">
        <v>4620</v>
      </c>
      <c r="G3350" t="s">
        <v>4619</v>
      </c>
      <c r="H3350" t="s">
        <v>3401</v>
      </c>
      <c r="I3350">
        <v>5102</v>
      </c>
      <c r="J3350" s="3">
        <v>185</v>
      </c>
      <c r="K3350" s="3">
        <v>82.41</v>
      </c>
      <c r="L3350">
        <v>55.45</v>
      </c>
    </row>
    <row r="3351" spans="1:12">
      <c r="A3351" s="1">
        <v>46037</v>
      </c>
      <c r="B3351" t="s">
        <v>9189</v>
      </c>
      <c r="C3351">
        <v>22</v>
      </c>
      <c r="D3351" t="str">
        <f>VLOOKUP(Tabela26[[#This Row],[EMP]],[1]LOJA!$A:$B,2,0)</f>
        <v>GUARÁ</v>
      </c>
      <c r="E3351">
        <v>93</v>
      </c>
      <c r="F3351" t="s">
        <v>6171</v>
      </c>
      <c r="G3351" t="s">
        <v>3402</v>
      </c>
      <c r="H3351" t="s">
        <v>3401</v>
      </c>
      <c r="I3351">
        <v>5405</v>
      </c>
      <c r="J3351" s="3">
        <v>102</v>
      </c>
      <c r="K3351" s="3">
        <v>53.91</v>
      </c>
      <c r="L3351">
        <v>47.15</v>
      </c>
    </row>
    <row r="3352" spans="1:12">
      <c r="A3352" s="1">
        <v>46037</v>
      </c>
      <c r="B3352" t="s">
        <v>9188</v>
      </c>
      <c r="C3352">
        <v>22</v>
      </c>
      <c r="D3352" t="str">
        <f>VLOOKUP(Tabela26[[#This Row],[EMP]],[1]LOJA!$A:$B,2,0)</f>
        <v>GUARÁ</v>
      </c>
      <c r="E3352">
        <v>93</v>
      </c>
      <c r="F3352" t="s">
        <v>3403</v>
      </c>
      <c r="G3352" t="s">
        <v>3402</v>
      </c>
      <c r="H3352" t="s">
        <v>3401</v>
      </c>
      <c r="I3352">
        <v>5102</v>
      </c>
      <c r="J3352" s="3">
        <v>33.9</v>
      </c>
      <c r="K3352" s="3">
        <v>19.73</v>
      </c>
      <c r="L3352">
        <v>41.8</v>
      </c>
    </row>
    <row r="3353" spans="1:12">
      <c r="A3353" s="1">
        <v>46037</v>
      </c>
      <c r="B3353" t="s">
        <v>9187</v>
      </c>
      <c r="C3353">
        <v>22</v>
      </c>
      <c r="D3353" t="str">
        <f>VLOOKUP(Tabela26[[#This Row],[EMP]],[1]LOJA!$A:$B,2,0)</f>
        <v>GUARÁ</v>
      </c>
      <c r="E3353">
        <v>93</v>
      </c>
      <c r="F3353" t="s">
        <v>3899</v>
      </c>
      <c r="G3353" t="s">
        <v>3898</v>
      </c>
      <c r="H3353" t="s">
        <v>3520</v>
      </c>
      <c r="I3353">
        <v>5405</v>
      </c>
      <c r="J3353" s="3">
        <v>268.45999999999998</v>
      </c>
      <c r="K3353" s="3">
        <v>140.47</v>
      </c>
      <c r="L3353">
        <v>47.68</v>
      </c>
    </row>
    <row r="3354" spans="1:12">
      <c r="A3354" s="1">
        <v>46037</v>
      </c>
      <c r="B3354" t="s">
        <v>9186</v>
      </c>
      <c r="C3354">
        <v>22</v>
      </c>
      <c r="D3354" t="str">
        <f>VLOOKUP(Tabela26[[#This Row],[EMP]],[1]LOJA!$A:$B,2,0)</f>
        <v>GUARÁ</v>
      </c>
      <c r="E3354">
        <v>93</v>
      </c>
      <c r="F3354" t="s">
        <v>3870</v>
      </c>
      <c r="G3354" t="s">
        <v>3869</v>
      </c>
      <c r="H3354" t="s">
        <v>3401</v>
      </c>
      <c r="I3354">
        <v>5102</v>
      </c>
      <c r="J3354" s="3">
        <v>45</v>
      </c>
      <c r="K3354" s="3">
        <v>24.19</v>
      </c>
      <c r="L3354">
        <v>46.24</v>
      </c>
    </row>
    <row r="3355" spans="1:12">
      <c r="A3355" s="1">
        <v>46037</v>
      </c>
      <c r="B3355" t="s">
        <v>9185</v>
      </c>
      <c r="C3355">
        <v>22</v>
      </c>
      <c r="D3355" t="str">
        <f>VLOOKUP(Tabela26[[#This Row],[EMP]],[1]LOJA!$A:$B,2,0)</f>
        <v>GUARÁ</v>
      </c>
      <c r="E3355">
        <v>93</v>
      </c>
      <c r="F3355" t="s">
        <v>3403</v>
      </c>
      <c r="G3355" t="s">
        <v>3402</v>
      </c>
      <c r="H3355" t="s">
        <v>3401</v>
      </c>
      <c r="I3355">
        <v>5102</v>
      </c>
      <c r="J3355" s="3">
        <v>9</v>
      </c>
      <c r="K3355" s="3">
        <v>4.16</v>
      </c>
      <c r="L3355">
        <v>53.78</v>
      </c>
    </row>
    <row r="3356" spans="1:12">
      <c r="A3356" s="1">
        <v>46037</v>
      </c>
      <c r="B3356" t="s">
        <v>9184</v>
      </c>
      <c r="C3356">
        <v>22</v>
      </c>
      <c r="D3356" t="str">
        <f>VLOOKUP(Tabela26[[#This Row],[EMP]],[1]LOJA!$A:$B,2,0)</f>
        <v>GUARÁ</v>
      </c>
      <c r="E3356">
        <v>93</v>
      </c>
      <c r="F3356" t="s">
        <v>3403</v>
      </c>
      <c r="G3356" t="s">
        <v>3402</v>
      </c>
      <c r="H3356" t="s">
        <v>3401</v>
      </c>
      <c r="I3356">
        <v>5102</v>
      </c>
      <c r="J3356" s="3">
        <v>39</v>
      </c>
      <c r="K3356" s="3">
        <v>21.22</v>
      </c>
      <c r="L3356">
        <v>45.59</v>
      </c>
    </row>
    <row r="3357" spans="1:12">
      <c r="A3357" s="1">
        <v>46037</v>
      </c>
      <c r="B3357" t="s">
        <v>9183</v>
      </c>
      <c r="C3357">
        <v>22</v>
      </c>
      <c r="D3357" t="str">
        <f>VLOOKUP(Tabela26[[#This Row],[EMP]],[1]LOJA!$A:$B,2,0)</f>
        <v>GUARÁ</v>
      </c>
      <c r="E3357">
        <v>16</v>
      </c>
      <c r="F3357" t="s">
        <v>3873</v>
      </c>
      <c r="G3357" t="s">
        <v>3872</v>
      </c>
      <c r="H3357" t="s">
        <v>3401</v>
      </c>
      <c r="I3357">
        <v>5102</v>
      </c>
      <c r="J3357" s="3">
        <v>25.8</v>
      </c>
      <c r="K3357" s="3">
        <v>16.850000000000001</v>
      </c>
      <c r="L3357">
        <v>34.69</v>
      </c>
    </row>
    <row r="3358" spans="1:12">
      <c r="A3358" s="1">
        <v>46037</v>
      </c>
      <c r="B3358" t="s">
        <v>9182</v>
      </c>
      <c r="C3358">
        <v>22</v>
      </c>
      <c r="D3358" t="str">
        <f>VLOOKUP(Tabela26[[#This Row],[EMP]],[1]LOJA!$A:$B,2,0)</f>
        <v>GUARÁ</v>
      </c>
      <c r="E3358">
        <v>93</v>
      </c>
      <c r="F3358" t="s">
        <v>7276</v>
      </c>
      <c r="G3358" t="s">
        <v>3402</v>
      </c>
      <c r="H3358" t="s">
        <v>3401</v>
      </c>
      <c r="I3358">
        <v>5405</v>
      </c>
      <c r="J3358" s="3">
        <v>225</v>
      </c>
      <c r="K3358" s="3">
        <v>118.25</v>
      </c>
      <c r="L3358">
        <v>47.44</v>
      </c>
    </row>
    <row r="3359" spans="1:12">
      <c r="A3359" s="1">
        <v>46037</v>
      </c>
      <c r="B3359" t="s">
        <v>9181</v>
      </c>
      <c r="C3359">
        <v>22</v>
      </c>
      <c r="D3359" t="str">
        <f>VLOOKUP(Tabela26[[#This Row],[EMP]],[1]LOJA!$A:$B,2,0)</f>
        <v>GUARÁ</v>
      </c>
      <c r="E3359">
        <v>238</v>
      </c>
      <c r="F3359" t="s">
        <v>3403</v>
      </c>
      <c r="G3359" t="s">
        <v>3402</v>
      </c>
      <c r="H3359" t="s">
        <v>3408</v>
      </c>
      <c r="I3359">
        <v>5102</v>
      </c>
      <c r="J3359" s="3">
        <v>96</v>
      </c>
      <c r="K3359" s="3">
        <v>54.37</v>
      </c>
      <c r="L3359">
        <v>43.36</v>
      </c>
    </row>
    <row r="3360" spans="1:12">
      <c r="A3360" s="1">
        <v>46037</v>
      </c>
      <c r="B3360" t="s">
        <v>9180</v>
      </c>
      <c r="C3360">
        <v>22</v>
      </c>
      <c r="D3360" t="str">
        <f>VLOOKUP(Tabela26[[#This Row],[EMP]],[1]LOJA!$A:$B,2,0)</f>
        <v>GUARÁ</v>
      </c>
      <c r="E3360">
        <v>238</v>
      </c>
      <c r="F3360" t="s">
        <v>3877</v>
      </c>
      <c r="G3360" t="s">
        <v>3876</v>
      </c>
      <c r="H3360" t="s">
        <v>3401</v>
      </c>
      <c r="I3360">
        <v>5102</v>
      </c>
      <c r="J3360" s="3">
        <v>26</v>
      </c>
      <c r="K3360" s="3">
        <v>16</v>
      </c>
      <c r="L3360">
        <v>38.46</v>
      </c>
    </row>
    <row r="3361" spans="1:12">
      <c r="A3361" s="1">
        <v>46037</v>
      </c>
      <c r="B3361" t="s">
        <v>9179</v>
      </c>
      <c r="C3361">
        <v>22</v>
      </c>
      <c r="D3361" t="str">
        <f>VLOOKUP(Tabela26[[#This Row],[EMP]],[1]LOJA!$A:$B,2,0)</f>
        <v>GUARÁ</v>
      </c>
      <c r="E3361">
        <v>93</v>
      </c>
      <c r="F3361" t="s">
        <v>3403</v>
      </c>
      <c r="G3361" t="s">
        <v>3402</v>
      </c>
      <c r="H3361" t="s">
        <v>3401</v>
      </c>
      <c r="I3361">
        <v>5102</v>
      </c>
      <c r="J3361" s="3">
        <v>38</v>
      </c>
      <c r="K3361" s="3">
        <v>21.74</v>
      </c>
      <c r="L3361">
        <v>42.79</v>
      </c>
    </row>
    <row r="3362" spans="1:12">
      <c r="A3362" s="1">
        <v>46037</v>
      </c>
      <c r="B3362" t="s">
        <v>9178</v>
      </c>
      <c r="C3362">
        <v>22</v>
      </c>
      <c r="D3362" t="str">
        <f>VLOOKUP(Tabela26[[#This Row],[EMP]],[1]LOJA!$A:$B,2,0)</f>
        <v>GUARÁ</v>
      </c>
      <c r="E3362">
        <v>93</v>
      </c>
      <c r="F3362" t="s">
        <v>6372</v>
      </c>
      <c r="G3362" t="s">
        <v>6371</v>
      </c>
      <c r="H3362" t="s">
        <v>3408</v>
      </c>
      <c r="I3362">
        <v>5102</v>
      </c>
      <c r="J3362" s="3">
        <v>177.64</v>
      </c>
      <c r="K3362" s="3">
        <v>95.91</v>
      </c>
      <c r="L3362">
        <v>46.01</v>
      </c>
    </row>
    <row r="3363" spans="1:12">
      <c r="A3363" s="1">
        <v>46037</v>
      </c>
      <c r="B3363" t="s">
        <v>9177</v>
      </c>
      <c r="C3363">
        <v>22</v>
      </c>
      <c r="D3363" t="str">
        <f>VLOOKUP(Tabela26[[#This Row],[EMP]],[1]LOJA!$A:$B,2,0)</f>
        <v>GUARÁ</v>
      </c>
      <c r="E3363">
        <v>16</v>
      </c>
      <c r="F3363" t="s">
        <v>3889</v>
      </c>
      <c r="G3363" t="s">
        <v>3888</v>
      </c>
      <c r="H3363" t="s">
        <v>3520</v>
      </c>
      <c r="I3363">
        <v>5102</v>
      </c>
      <c r="J3363" s="3">
        <v>300</v>
      </c>
      <c r="K3363" s="3">
        <v>165.57</v>
      </c>
      <c r="L3363">
        <v>44.81</v>
      </c>
    </row>
    <row r="3364" spans="1:12">
      <c r="A3364" s="1">
        <v>46037</v>
      </c>
      <c r="B3364" t="s">
        <v>9176</v>
      </c>
      <c r="C3364">
        <v>22</v>
      </c>
      <c r="D3364" t="str">
        <f>VLOOKUP(Tabela26[[#This Row],[EMP]],[1]LOJA!$A:$B,2,0)</f>
        <v>GUARÁ</v>
      </c>
      <c r="E3364">
        <v>93</v>
      </c>
      <c r="F3364" t="s">
        <v>3576</v>
      </c>
      <c r="G3364" t="s">
        <v>3402</v>
      </c>
      <c r="H3364" t="s">
        <v>3401</v>
      </c>
      <c r="I3364">
        <v>5405</v>
      </c>
      <c r="J3364" s="3">
        <v>145.18</v>
      </c>
      <c r="K3364" s="3">
        <v>75.55</v>
      </c>
      <c r="L3364">
        <v>47.96</v>
      </c>
    </row>
    <row r="3365" spans="1:12">
      <c r="A3365" s="1">
        <v>46037</v>
      </c>
      <c r="B3365" t="s">
        <v>9175</v>
      </c>
      <c r="C3365">
        <v>22</v>
      </c>
      <c r="D3365" t="str">
        <f>VLOOKUP(Tabela26[[#This Row],[EMP]],[1]LOJA!$A:$B,2,0)</f>
        <v>GUARÁ</v>
      </c>
      <c r="E3365">
        <v>93</v>
      </c>
      <c r="F3365" t="s">
        <v>3403</v>
      </c>
      <c r="G3365" t="s">
        <v>3402</v>
      </c>
      <c r="H3365" t="s">
        <v>3401</v>
      </c>
      <c r="I3365">
        <v>5102</v>
      </c>
      <c r="J3365" s="3">
        <v>23</v>
      </c>
      <c r="K3365" s="3">
        <v>10.92</v>
      </c>
      <c r="L3365">
        <v>52.52</v>
      </c>
    </row>
    <row r="3366" spans="1:12">
      <c r="A3366" s="1">
        <v>46037</v>
      </c>
      <c r="B3366" t="s">
        <v>9174</v>
      </c>
      <c r="C3366">
        <v>22</v>
      </c>
      <c r="D3366" t="str">
        <f>VLOOKUP(Tabela26[[#This Row],[EMP]],[1]LOJA!$A:$B,2,0)</f>
        <v>GUARÁ</v>
      </c>
      <c r="E3366">
        <v>16</v>
      </c>
      <c r="F3366" t="s">
        <v>3403</v>
      </c>
      <c r="G3366" t="s">
        <v>3402</v>
      </c>
      <c r="H3366" t="s">
        <v>3401</v>
      </c>
      <c r="I3366">
        <v>5102</v>
      </c>
      <c r="J3366" s="3">
        <v>8</v>
      </c>
      <c r="K3366" s="3">
        <v>3.86</v>
      </c>
      <c r="L3366">
        <v>51.75</v>
      </c>
    </row>
    <row r="3367" spans="1:12">
      <c r="A3367" s="1">
        <v>46037</v>
      </c>
      <c r="B3367" t="s">
        <v>9173</v>
      </c>
      <c r="C3367">
        <v>22</v>
      </c>
      <c r="D3367" t="str">
        <f>VLOOKUP(Tabela26[[#This Row],[EMP]],[1]LOJA!$A:$B,2,0)</f>
        <v>GUARÁ</v>
      </c>
      <c r="E3367">
        <v>16</v>
      </c>
      <c r="F3367" t="s">
        <v>3403</v>
      </c>
      <c r="G3367" t="s">
        <v>3402</v>
      </c>
      <c r="H3367" t="s">
        <v>3401</v>
      </c>
      <c r="I3367">
        <v>5405</v>
      </c>
      <c r="J3367" s="3">
        <v>24.5</v>
      </c>
      <c r="K3367" s="3">
        <v>12.07</v>
      </c>
      <c r="L3367">
        <v>50.73</v>
      </c>
    </row>
    <row r="3368" spans="1:12">
      <c r="A3368" s="1">
        <v>46037</v>
      </c>
      <c r="B3368" t="s">
        <v>9172</v>
      </c>
      <c r="C3368">
        <v>22</v>
      </c>
      <c r="D3368" t="str">
        <f>VLOOKUP(Tabela26[[#This Row],[EMP]],[1]LOJA!$A:$B,2,0)</f>
        <v>GUARÁ</v>
      </c>
      <c r="E3368">
        <v>16</v>
      </c>
      <c r="F3368" t="s">
        <v>3403</v>
      </c>
      <c r="G3368" t="s">
        <v>3402</v>
      </c>
      <c r="H3368" t="s">
        <v>3401</v>
      </c>
      <c r="I3368">
        <v>5102</v>
      </c>
      <c r="J3368" s="3">
        <v>20</v>
      </c>
      <c r="K3368" s="3">
        <v>12.88</v>
      </c>
      <c r="L3368">
        <v>35.6</v>
      </c>
    </row>
    <row r="3369" spans="1:12">
      <c r="A3369" s="1">
        <v>46037</v>
      </c>
      <c r="B3369" t="s">
        <v>9171</v>
      </c>
      <c r="C3369">
        <v>22</v>
      </c>
      <c r="D3369" t="str">
        <f>VLOOKUP(Tabela26[[#This Row],[EMP]],[1]LOJA!$A:$B,2,0)</f>
        <v>GUARÁ</v>
      </c>
      <c r="E3369">
        <v>16</v>
      </c>
      <c r="F3369" t="s">
        <v>3403</v>
      </c>
      <c r="G3369" t="s">
        <v>3402</v>
      </c>
      <c r="H3369" t="s">
        <v>3401</v>
      </c>
      <c r="I3369">
        <v>5102</v>
      </c>
      <c r="J3369" s="3">
        <v>15</v>
      </c>
      <c r="K3369" s="3">
        <v>8.18</v>
      </c>
      <c r="L3369">
        <v>45.47</v>
      </c>
    </row>
    <row r="3370" spans="1:12">
      <c r="A3370" s="1">
        <v>46037</v>
      </c>
      <c r="B3370" t="s">
        <v>9170</v>
      </c>
      <c r="C3370">
        <v>22</v>
      </c>
      <c r="D3370" t="str">
        <f>VLOOKUP(Tabela26[[#This Row],[EMP]],[1]LOJA!$A:$B,2,0)</f>
        <v>GUARÁ</v>
      </c>
      <c r="E3370">
        <v>238</v>
      </c>
      <c r="F3370" t="s">
        <v>3403</v>
      </c>
      <c r="G3370" t="s">
        <v>3402</v>
      </c>
      <c r="H3370" t="s">
        <v>3401</v>
      </c>
      <c r="I3370">
        <v>5102</v>
      </c>
      <c r="J3370" s="3">
        <v>6</v>
      </c>
      <c r="K3370" s="3">
        <v>3.08</v>
      </c>
      <c r="L3370">
        <v>48.67</v>
      </c>
    </row>
    <row r="3371" spans="1:12">
      <c r="A3371" s="1">
        <v>46037</v>
      </c>
      <c r="B3371" t="s">
        <v>9169</v>
      </c>
      <c r="C3371">
        <v>22</v>
      </c>
      <c r="D3371" t="str">
        <f>VLOOKUP(Tabela26[[#This Row],[EMP]],[1]LOJA!$A:$B,2,0)</f>
        <v>GUARÁ</v>
      </c>
      <c r="E3371">
        <v>16</v>
      </c>
      <c r="F3371" t="s">
        <v>4593</v>
      </c>
      <c r="G3371" t="s">
        <v>4592</v>
      </c>
      <c r="H3371" t="s">
        <v>3401</v>
      </c>
      <c r="I3371">
        <v>5102</v>
      </c>
      <c r="J3371" s="3">
        <v>11</v>
      </c>
      <c r="K3371" s="3">
        <v>6.02</v>
      </c>
      <c r="L3371">
        <v>45.27</v>
      </c>
    </row>
    <row r="3372" spans="1:12">
      <c r="A3372" s="1">
        <v>46037</v>
      </c>
      <c r="B3372" t="s">
        <v>9168</v>
      </c>
      <c r="C3372">
        <v>22</v>
      </c>
      <c r="D3372" t="str">
        <f>VLOOKUP(Tabela26[[#This Row],[EMP]],[1]LOJA!$A:$B,2,0)</f>
        <v>GUARÁ</v>
      </c>
      <c r="E3372">
        <v>93</v>
      </c>
      <c r="F3372" t="s">
        <v>3403</v>
      </c>
      <c r="G3372" t="s">
        <v>3402</v>
      </c>
      <c r="H3372" t="s">
        <v>3401</v>
      </c>
      <c r="I3372">
        <v>5102</v>
      </c>
      <c r="J3372" s="3">
        <v>29.5</v>
      </c>
      <c r="K3372" s="3">
        <v>15.8</v>
      </c>
      <c r="L3372">
        <v>46.44</v>
      </c>
    </row>
    <row r="3373" spans="1:12">
      <c r="A3373" s="1">
        <v>46037</v>
      </c>
      <c r="B3373" t="s">
        <v>9167</v>
      </c>
      <c r="C3373">
        <v>22</v>
      </c>
      <c r="D3373" t="str">
        <f>VLOOKUP(Tabela26[[#This Row],[EMP]],[1]LOJA!$A:$B,2,0)</f>
        <v>GUARÁ</v>
      </c>
      <c r="E3373">
        <v>93</v>
      </c>
      <c r="F3373" t="s">
        <v>3862</v>
      </c>
      <c r="G3373" t="s">
        <v>3402</v>
      </c>
      <c r="H3373" t="s">
        <v>3408</v>
      </c>
      <c r="I3373">
        <v>5102</v>
      </c>
      <c r="J3373" s="3">
        <v>80</v>
      </c>
      <c r="K3373" s="3">
        <v>43.07</v>
      </c>
      <c r="L3373">
        <v>46.16</v>
      </c>
    </row>
    <row r="3374" spans="1:12">
      <c r="A3374" s="1">
        <v>46037</v>
      </c>
      <c r="B3374" t="s">
        <v>9166</v>
      </c>
      <c r="C3374">
        <v>22</v>
      </c>
      <c r="D3374" t="str">
        <f>VLOOKUP(Tabela26[[#This Row],[EMP]],[1]LOJA!$A:$B,2,0)</f>
        <v>GUARÁ</v>
      </c>
      <c r="E3374">
        <v>93</v>
      </c>
      <c r="F3374" t="s">
        <v>3403</v>
      </c>
      <c r="G3374" t="s">
        <v>3402</v>
      </c>
      <c r="H3374" t="s">
        <v>3401</v>
      </c>
      <c r="I3374">
        <v>5102</v>
      </c>
      <c r="J3374" s="3">
        <v>18</v>
      </c>
      <c r="K3374" s="3">
        <v>9.2100000000000009</v>
      </c>
      <c r="L3374">
        <v>48.83</v>
      </c>
    </row>
    <row r="3375" spans="1:12">
      <c r="A3375" s="1">
        <v>46037</v>
      </c>
      <c r="B3375" t="s">
        <v>9165</v>
      </c>
      <c r="C3375">
        <v>22</v>
      </c>
      <c r="D3375" t="str">
        <f>VLOOKUP(Tabela26[[#This Row],[EMP]],[1]LOJA!$A:$B,2,0)</f>
        <v>GUARÁ</v>
      </c>
      <c r="E3375">
        <v>93</v>
      </c>
      <c r="F3375" t="s">
        <v>3403</v>
      </c>
      <c r="G3375" t="s">
        <v>3402</v>
      </c>
      <c r="H3375" t="s">
        <v>3401</v>
      </c>
      <c r="I3375">
        <v>5102</v>
      </c>
      <c r="J3375" s="3">
        <v>227.9</v>
      </c>
      <c r="K3375" s="3">
        <v>148.12</v>
      </c>
      <c r="L3375">
        <v>35.01</v>
      </c>
    </row>
    <row r="3376" spans="1:12">
      <c r="A3376" s="1">
        <v>46037</v>
      </c>
      <c r="B3376" t="s">
        <v>9164</v>
      </c>
      <c r="C3376">
        <v>22</v>
      </c>
      <c r="D3376" t="str">
        <f>VLOOKUP(Tabela26[[#This Row],[EMP]],[1]LOJA!$A:$B,2,0)</f>
        <v>GUARÁ</v>
      </c>
      <c r="E3376">
        <v>93</v>
      </c>
      <c r="F3376" t="s">
        <v>3894</v>
      </c>
      <c r="G3376" t="s">
        <v>3893</v>
      </c>
      <c r="H3376" t="s">
        <v>3401</v>
      </c>
      <c r="I3376">
        <v>5405</v>
      </c>
      <c r="J3376" s="3">
        <v>87.5</v>
      </c>
      <c r="K3376" s="3">
        <v>46.33</v>
      </c>
      <c r="L3376">
        <v>47.05</v>
      </c>
    </row>
    <row r="3377" spans="1:12">
      <c r="A3377" s="1">
        <v>46037</v>
      </c>
      <c r="B3377" t="s">
        <v>9163</v>
      </c>
      <c r="C3377">
        <v>22</v>
      </c>
      <c r="D3377" t="str">
        <f>VLOOKUP(Tabela26[[#This Row],[EMP]],[1]LOJA!$A:$B,2,0)</f>
        <v>GUARÁ</v>
      </c>
      <c r="E3377">
        <v>93</v>
      </c>
      <c r="F3377" t="s">
        <v>3870</v>
      </c>
      <c r="G3377" t="s">
        <v>3869</v>
      </c>
      <c r="H3377" t="s">
        <v>3401</v>
      </c>
      <c r="I3377">
        <v>5405</v>
      </c>
      <c r="J3377" s="3">
        <v>130</v>
      </c>
      <c r="K3377" s="3">
        <v>62.89</v>
      </c>
      <c r="L3377">
        <v>51.62</v>
      </c>
    </row>
    <row r="3378" spans="1:12">
      <c r="A3378" s="1">
        <v>46037</v>
      </c>
      <c r="B3378" t="s">
        <v>9162</v>
      </c>
      <c r="C3378">
        <v>22</v>
      </c>
      <c r="D3378" t="str">
        <f>VLOOKUP(Tabela26[[#This Row],[EMP]],[1]LOJA!$A:$B,2,0)</f>
        <v>GUARÁ</v>
      </c>
      <c r="E3378">
        <v>16</v>
      </c>
      <c r="F3378" t="s">
        <v>3403</v>
      </c>
      <c r="G3378" t="s">
        <v>3402</v>
      </c>
      <c r="H3378" t="s">
        <v>3401</v>
      </c>
      <c r="I3378">
        <v>5102</v>
      </c>
      <c r="J3378" s="3">
        <v>20</v>
      </c>
      <c r="K3378" s="3">
        <v>11.63</v>
      </c>
      <c r="L3378">
        <v>41.85</v>
      </c>
    </row>
    <row r="3379" spans="1:12">
      <c r="A3379" s="1">
        <v>46037</v>
      </c>
      <c r="B3379" t="s">
        <v>9161</v>
      </c>
      <c r="C3379">
        <v>22</v>
      </c>
      <c r="D3379" t="str">
        <f>VLOOKUP(Tabela26[[#This Row],[EMP]],[1]LOJA!$A:$B,2,0)</f>
        <v>GUARÁ</v>
      </c>
      <c r="E3379">
        <v>93</v>
      </c>
      <c r="F3379" t="s">
        <v>3983</v>
      </c>
      <c r="G3379" t="s">
        <v>3982</v>
      </c>
      <c r="H3379" t="s">
        <v>3401</v>
      </c>
      <c r="I3379">
        <v>5405</v>
      </c>
      <c r="J3379" s="3">
        <v>92</v>
      </c>
      <c r="K3379" s="3">
        <v>44.81</v>
      </c>
      <c r="L3379">
        <v>51.29</v>
      </c>
    </row>
    <row r="3380" spans="1:12">
      <c r="A3380" s="1">
        <v>46037</v>
      </c>
      <c r="B3380" t="s">
        <v>9160</v>
      </c>
      <c r="C3380">
        <v>22</v>
      </c>
      <c r="D3380" t="str">
        <f>VLOOKUP(Tabela26[[#This Row],[EMP]],[1]LOJA!$A:$B,2,0)</f>
        <v>GUARÁ</v>
      </c>
      <c r="E3380">
        <v>93</v>
      </c>
      <c r="F3380" t="s">
        <v>3403</v>
      </c>
      <c r="G3380" t="s">
        <v>3402</v>
      </c>
      <c r="H3380" t="s">
        <v>3401</v>
      </c>
      <c r="I3380">
        <v>5102</v>
      </c>
      <c r="J3380" s="3">
        <v>35</v>
      </c>
      <c r="K3380" s="3">
        <v>18.149999999999999</v>
      </c>
      <c r="L3380">
        <v>48.14</v>
      </c>
    </row>
    <row r="3381" spans="1:12">
      <c r="A3381" s="1">
        <v>46037</v>
      </c>
      <c r="B3381" t="s">
        <v>9159</v>
      </c>
      <c r="C3381">
        <v>22</v>
      </c>
      <c r="D3381" t="str">
        <f>VLOOKUP(Tabela26[[#This Row],[EMP]],[1]LOJA!$A:$B,2,0)</f>
        <v>GUARÁ</v>
      </c>
      <c r="E3381">
        <v>93</v>
      </c>
      <c r="F3381" t="s">
        <v>3921</v>
      </c>
      <c r="G3381" t="s">
        <v>3920</v>
      </c>
      <c r="H3381" t="s">
        <v>3401</v>
      </c>
      <c r="I3381">
        <v>5102</v>
      </c>
      <c r="J3381" s="3">
        <v>33</v>
      </c>
      <c r="K3381" s="3">
        <v>21.83</v>
      </c>
      <c r="L3381">
        <v>33.85</v>
      </c>
    </row>
    <row r="3382" spans="1:12">
      <c r="A3382" s="1">
        <v>46037</v>
      </c>
      <c r="B3382" t="s">
        <v>9158</v>
      </c>
      <c r="C3382">
        <v>22</v>
      </c>
      <c r="D3382" t="str">
        <f>VLOOKUP(Tabela26[[#This Row],[EMP]],[1]LOJA!$A:$B,2,0)</f>
        <v>GUARÁ</v>
      </c>
      <c r="E3382">
        <v>93</v>
      </c>
      <c r="F3382" t="s">
        <v>7744</v>
      </c>
      <c r="G3382" t="s">
        <v>7743</v>
      </c>
      <c r="H3382" t="s">
        <v>3401</v>
      </c>
      <c r="I3382">
        <v>5405</v>
      </c>
      <c r="J3382" s="3">
        <v>136</v>
      </c>
      <c r="K3382" s="3">
        <v>63.8</v>
      </c>
      <c r="L3382">
        <v>53.09</v>
      </c>
    </row>
    <row r="3383" spans="1:12">
      <c r="A3383" s="1">
        <v>46037</v>
      </c>
      <c r="B3383" t="s">
        <v>9157</v>
      </c>
      <c r="C3383">
        <v>22</v>
      </c>
      <c r="D3383" t="str">
        <f>VLOOKUP(Tabela26[[#This Row],[EMP]],[1]LOJA!$A:$B,2,0)</f>
        <v>GUARÁ</v>
      </c>
      <c r="E3383">
        <v>93</v>
      </c>
      <c r="F3383" t="s">
        <v>3403</v>
      </c>
      <c r="G3383" t="s">
        <v>3402</v>
      </c>
      <c r="H3383" t="s">
        <v>3401</v>
      </c>
      <c r="I3383">
        <v>5102</v>
      </c>
      <c r="J3383" s="3">
        <v>12</v>
      </c>
      <c r="K3383" s="3">
        <v>6.16</v>
      </c>
      <c r="L3383">
        <v>48.67</v>
      </c>
    </row>
    <row r="3384" spans="1:12">
      <c r="A3384" s="1">
        <v>46037</v>
      </c>
      <c r="B3384" t="s">
        <v>9156</v>
      </c>
      <c r="C3384">
        <v>22</v>
      </c>
      <c r="D3384" t="str">
        <f>VLOOKUP(Tabela26[[#This Row],[EMP]],[1]LOJA!$A:$B,2,0)</f>
        <v>GUARÁ</v>
      </c>
      <c r="E3384">
        <v>238</v>
      </c>
      <c r="F3384" t="s">
        <v>3403</v>
      </c>
      <c r="G3384" t="s">
        <v>3402</v>
      </c>
      <c r="H3384" t="s">
        <v>3401</v>
      </c>
      <c r="I3384">
        <v>5102</v>
      </c>
      <c r="J3384" s="3">
        <v>8</v>
      </c>
      <c r="K3384" s="3">
        <v>3.91</v>
      </c>
      <c r="L3384">
        <v>51.13</v>
      </c>
    </row>
    <row r="3385" spans="1:12">
      <c r="A3385" s="1">
        <v>46037</v>
      </c>
      <c r="B3385" t="s">
        <v>9155</v>
      </c>
      <c r="C3385">
        <v>22</v>
      </c>
      <c r="D3385" t="str">
        <f>VLOOKUP(Tabela26[[#This Row],[EMP]],[1]LOJA!$A:$B,2,0)</f>
        <v>GUARÁ</v>
      </c>
      <c r="E3385">
        <v>93</v>
      </c>
      <c r="F3385" t="s">
        <v>9154</v>
      </c>
      <c r="G3385" t="s">
        <v>3402</v>
      </c>
      <c r="H3385" t="s">
        <v>3408</v>
      </c>
      <c r="I3385">
        <v>5405</v>
      </c>
      <c r="J3385" s="3">
        <v>64</v>
      </c>
      <c r="K3385" s="3">
        <v>35.590000000000003</v>
      </c>
      <c r="L3385">
        <v>44.39</v>
      </c>
    </row>
    <row r="3386" spans="1:12">
      <c r="A3386" s="1">
        <v>46037</v>
      </c>
      <c r="B3386" t="s">
        <v>9153</v>
      </c>
      <c r="C3386">
        <v>4</v>
      </c>
      <c r="D3386" t="str">
        <f>VLOOKUP(Tabela26[[#This Row],[EMP]],[1]LOJA!$A:$B,2,0)</f>
        <v>ADE</v>
      </c>
      <c r="E3386">
        <v>132</v>
      </c>
      <c r="F3386" t="s">
        <v>3403</v>
      </c>
      <c r="G3386" t="s">
        <v>3402</v>
      </c>
      <c r="H3386" t="s">
        <v>3408</v>
      </c>
      <c r="I3386">
        <v>5102</v>
      </c>
      <c r="J3386" s="3">
        <v>114</v>
      </c>
      <c r="K3386" s="3">
        <v>60.39</v>
      </c>
      <c r="L3386">
        <v>47.03</v>
      </c>
    </row>
    <row r="3387" spans="1:12">
      <c r="A3387" s="1">
        <v>46037</v>
      </c>
      <c r="B3387" t="s">
        <v>9152</v>
      </c>
      <c r="C3387">
        <v>4</v>
      </c>
      <c r="D3387" t="str">
        <f>VLOOKUP(Tabela26[[#This Row],[EMP]],[1]LOJA!$A:$B,2,0)</f>
        <v>ADE</v>
      </c>
      <c r="E3387">
        <v>109</v>
      </c>
      <c r="F3387" t="s">
        <v>4299</v>
      </c>
      <c r="G3387" t="s">
        <v>4298</v>
      </c>
      <c r="H3387" t="s">
        <v>4760</v>
      </c>
      <c r="I3387">
        <v>5102</v>
      </c>
      <c r="J3387" s="3">
        <v>60</v>
      </c>
      <c r="K3387" s="3">
        <v>28.84</v>
      </c>
      <c r="L3387">
        <v>51.93</v>
      </c>
    </row>
    <row r="3388" spans="1:12">
      <c r="A3388" s="1">
        <v>46037</v>
      </c>
      <c r="B3388" t="s">
        <v>9151</v>
      </c>
      <c r="C3388">
        <v>4</v>
      </c>
      <c r="D3388" t="str">
        <f>VLOOKUP(Tabela26[[#This Row],[EMP]],[1]LOJA!$A:$B,2,0)</f>
        <v>ADE</v>
      </c>
      <c r="E3388">
        <v>132</v>
      </c>
      <c r="F3388" t="s">
        <v>4565</v>
      </c>
      <c r="G3388" t="s">
        <v>4564</v>
      </c>
      <c r="H3388" t="s">
        <v>3408</v>
      </c>
      <c r="I3388">
        <v>5405</v>
      </c>
      <c r="J3388" s="3">
        <v>213</v>
      </c>
      <c r="K3388" s="3">
        <v>129.53</v>
      </c>
      <c r="L3388">
        <v>39.19</v>
      </c>
    </row>
    <row r="3389" spans="1:12">
      <c r="A3389" s="1">
        <v>46037</v>
      </c>
      <c r="B3389" t="s">
        <v>9150</v>
      </c>
      <c r="C3389">
        <v>4</v>
      </c>
      <c r="D3389" t="str">
        <f>VLOOKUP(Tabela26[[#This Row],[EMP]],[1]LOJA!$A:$B,2,0)</f>
        <v>ADE</v>
      </c>
      <c r="E3389">
        <v>132</v>
      </c>
      <c r="F3389" t="s">
        <v>3403</v>
      </c>
      <c r="G3389" t="s">
        <v>3402</v>
      </c>
      <c r="H3389" t="s">
        <v>3401</v>
      </c>
      <c r="I3389">
        <v>5102</v>
      </c>
      <c r="J3389" s="3">
        <v>148.69999999999999</v>
      </c>
      <c r="K3389" s="3">
        <v>78.2</v>
      </c>
      <c r="L3389">
        <v>47.41</v>
      </c>
    </row>
    <row r="3390" spans="1:12">
      <c r="A3390" s="1">
        <v>46037</v>
      </c>
      <c r="B3390" t="s">
        <v>9149</v>
      </c>
      <c r="C3390">
        <v>4</v>
      </c>
      <c r="D3390" t="str">
        <f>VLOOKUP(Tabela26[[#This Row],[EMP]],[1]LOJA!$A:$B,2,0)</f>
        <v>ADE</v>
      </c>
      <c r="E3390">
        <v>132</v>
      </c>
      <c r="F3390" t="s">
        <v>3403</v>
      </c>
      <c r="G3390" t="s">
        <v>3402</v>
      </c>
      <c r="H3390" t="s">
        <v>3401</v>
      </c>
      <c r="I3390">
        <v>5405</v>
      </c>
      <c r="J3390" s="3">
        <v>14</v>
      </c>
      <c r="K3390" s="3">
        <v>6.9</v>
      </c>
      <c r="L3390">
        <v>50.71</v>
      </c>
    </row>
    <row r="3391" spans="1:12">
      <c r="A3391" s="1">
        <v>46037</v>
      </c>
      <c r="B3391" t="s">
        <v>9148</v>
      </c>
      <c r="C3391">
        <v>4</v>
      </c>
      <c r="D3391" t="str">
        <f>VLOOKUP(Tabela26[[#This Row],[EMP]],[1]LOJA!$A:$B,2,0)</f>
        <v>ADE</v>
      </c>
      <c r="E3391">
        <v>132</v>
      </c>
      <c r="F3391" t="s">
        <v>4565</v>
      </c>
      <c r="G3391" t="s">
        <v>4564</v>
      </c>
      <c r="H3391" t="s">
        <v>3408</v>
      </c>
      <c r="I3391">
        <v>5405</v>
      </c>
      <c r="J3391" s="3">
        <v>130</v>
      </c>
      <c r="K3391" s="3">
        <v>63.66</v>
      </c>
      <c r="L3391">
        <v>51.03</v>
      </c>
    </row>
    <row r="3392" spans="1:12">
      <c r="A3392" s="1">
        <v>46037</v>
      </c>
      <c r="B3392" t="s">
        <v>9147</v>
      </c>
      <c r="C3392">
        <v>4</v>
      </c>
      <c r="D3392" t="str">
        <f>VLOOKUP(Tabela26[[#This Row],[EMP]],[1]LOJA!$A:$B,2,0)</f>
        <v>ADE</v>
      </c>
      <c r="E3392">
        <v>132</v>
      </c>
      <c r="F3392" t="s">
        <v>4574</v>
      </c>
      <c r="G3392" t="s">
        <v>4573</v>
      </c>
      <c r="H3392" t="s">
        <v>3408</v>
      </c>
      <c r="I3392">
        <v>5102</v>
      </c>
      <c r="J3392" s="3">
        <v>450</v>
      </c>
      <c r="K3392" s="3">
        <v>268.31</v>
      </c>
      <c r="L3392">
        <v>40.380000000000003</v>
      </c>
    </row>
    <row r="3393" spans="1:12">
      <c r="A3393" s="1">
        <v>46037</v>
      </c>
      <c r="B3393" t="s">
        <v>9146</v>
      </c>
      <c r="C3393">
        <v>4</v>
      </c>
      <c r="D3393" t="str">
        <f>VLOOKUP(Tabela26[[#This Row],[EMP]],[1]LOJA!$A:$B,2,0)</f>
        <v>ADE</v>
      </c>
      <c r="E3393">
        <v>132</v>
      </c>
      <c r="F3393" t="s">
        <v>3403</v>
      </c>
      <c r="G3393" t="s">
        <v>3402</v>
      </c>
      <c r="H3393" t="s">
        <v>3401</v>
      </c>
      <c r="I3393">
        <v>5102</v>
      </c>
      <c r="J3393" s="3">
        <v>39</v>
      </c>
      <c r="K3393" s="3">
        <v>21.83</v>
      </c>
      <c r="L3393">
        <v>44.03</v>
      </c>
    </row>
    <row r="3394" spans="1:12">
      <c r="A3394" s="1">
        <v>46037</v>
      </c>
      <c r="B3394" t="s">
        <v>9145</v>
      </c>
      <c r="C3394">
        <v>4</v>
      </c>
      <c r="D3394" t="str">
        <f>VLOOKUP(Tabela26[[#This Row],[EMP]],[1]LOJA!$A:$B,2,0)</f>
        <v>ADE</v>
      </c>
      <c r="E3394">
        <v>132</v>
      </c>
      <c r="F3394" t="s">
        <v>4558</v>
      </c>
      <c r="G3394" t="s">
        <v>4557</v>
      </c>
      <c r="H3394" t="s">
        <v>3520</v>
      </c>
      <c r="I3394">
        <v>5102</v>
      </c>
      <c r="J3394" s="3">
        <v>30</v>
      </c>
      <c r="K3394" s="3">
        <v>18</v>
      </c>
      <c r="L3394">
        <v>40</v>
      </c>
    </row>
    <row r="3395" spans="1:12">
      <c r="A3395" s="1">
        <v>46037</v>
      </c>
      <c r="B3395" t="s">
        <v>9144</v>
      </c>
      <c r="C3395">
        <v>4</v>
      </c>
      <c r="D3395" t="str">
        <f>VLOOKUP(Tabela26[[#This Row],[EMP]],[1]LOJA!$A:$B,2,0)</f>
        <v>ADE</v>
      </c>
      <c r="E3395">
        <v>132</v>
      </c>
      <c r="F3395" t="s">
        <v>3836</v>
      </c>
      <c r="G3395" t="s">
        <v>3402</v>
      </c>
      <c r="H3395" t="s">
        <v>3401</v>
      </c>
      <c r="I3395">
        <v>5102</v>
      </c>
      <c r="J3395" s="3">
        <v>60</v>
      </c>
      <c r="K3395" s="3">
        <v>33.92</v>
      </c>
      <c r="L3395">
        <v>43.47</v>
      </c>
    </row>
    <row r="3396" spans="1:12">
      <c r="A3396" s="1">
        <v>46037</v>
      </c>
      <c r="B3396" t="s">
        <v>9143</v>
      </c>
      <c r="C3396">
        <v>4</v>
      </c>
      <c r="D3396" t="str">
        <f>VLOOKUP(Tabela26[[#This Row],[EMP]],[1]LOJA!$A:$B,2,0)</f>
        <v>ADE</v>
      </c>
      <c r="E3396">
        <v>132</v>
      </c>
      <c r="F3396" t="s">
        <v>3403</v>
      </c>
      <c r="G3396" t="s">
        <v>3402</v>
      </c>
      <c r="H3396" t="s">
        <v>3401</v>
      </c>
      <c r="I3396">
        <v>5102</v>
      </c>
      <c r="J3396" s="3">
        <v>87.6</v>
      </c>
      <c r="K3396" s="3">
        <v>50.62</v>
      </c>
      <c r="L3396">
        <v>42.21</v>
      </c>
    </row>
    <row r="3397" spans="1:12">
      <c r="A3397" s="1">
        <v>46037</v>
      </c>
      <c r="B3397" t="s">
        <v>9142</v>
      </c>
      <c r="C3397">
        <v>4</v>
      </c>
      <c r="D3397" t="str">
        <f>VLOOKUP(Tabela26[[#This Row],[EMP]],[1]LOJA!$A:$B,2,0)</f>
        <v>ADE</v>
      </c>
      <c r="E3397">
        <v>132</v>
      </c>
      <c r="F3397" t="s">
        <v>3403</v>
      </c>
      <c r="G3397" t="s">
        <v>3402</v>
      </c>
      <c r="H3397" t="s">
        <v>3401</v>
      </c>
      <c r="I3397">
        <v>5102</v>
      </c>
      <c r="J3397" s="3">
        <v>25</v>
      </c>
      <c r="K3397" s="3">
        <v>11</v>
      </c>
      <c r="L3397">
        <v>56</v>
      </c>
    </row>
    <row r="3398" spans="1:12">
      <c r="A3398" s="1">
        <v>46037</v>
      </c>
      <c r="B3398" t="s">
        <v>9141</v>
      </c>
      <c r="C3398">
        <v>4</v>
      </c>
      <c r="D3398" t="str">
        <f>VLOOKUP(Tabela26[[#This Row],[EMP]],[1]LOJA!$A:$B,2,0)</f>
        <v>ADE</v>
      </c>
      <c r="E3398">
        <v>132</v>
      </c>
      <c r="F3398" t="s">
        <v>3403</v>
      </c>
      <c r="G3398" t="s">
        <v>3402</v>
      </c>
      <c r="H3398" t="s">
        <v>3401</v>
      </c>
      <c r="I3398">
        <v>5102</v>
      </c>
      <c r="J3398" s="3">
        <v>88</v>
      </c>
      <c r="K3398" s="3">
        <v>54.22</v>
      </c>
      <c r="L3398">
        <v>38.39</v>
      </c>
    </row>
    <row r="3399" spans="1:12">
      <c r="A3399" s="1">
        <v>46037</v>
      </c>
      <c r="B3399" t="s">
        <v>9140</v>
      </c>
      <c r="C3399">
        <v>4</v>
      </c>
      <c r="D3399" t="str">
        <f>VLOOKUP(Tabela26[[#This Row],[EMP]],[1]LOJA!$A:$B,2,0)</f>
        <v>ADE</v>
      </c>
      <c r="E3399">
        <v>132</v>
      </c>
      <c r="F3399" t="s">
        <v>9139</v>
      </c>
      <c r="G3399" t="s">
        <v>3402</v>
      </c>
      <c r="H3399" t="s">
        <v>3401</v>
      </c>
      <c r="I3399">
        <v>5405</v>
      </c>
      <c r="J3399" s="3">
        <v>200</v>
      </c>
      <c r="K3399" s="3">
        <v>89.48</v>
      </c>
      <c r="L3399">
        <v>55.26</v>
      </c>
    </row>
    <row r="3400" spans="1:12">
      <c r="A3400" s="1">
        <v>46037</v>
      </c>
      <c r="B3400" t="s">
        <v>9138</v>
      </c>
      <c r="C3400">
        <v>16</v>
      </c>
      <c r="D3400" t="str">
        <f>VLOOKUP(Tabela26[[#This Row],[EMP]],[1]LOJA!$A:$B,2,0)</f>
        <v>AG LINDAS</v>
      </c>
      <c r="E3400">
        <v>240</v>
      </c>
      <c r="F3400" t="s">
        <v>4511</v>
      </c>
      <c r="G3400" t="s">
        <v>4510</v>
      </c>
      <c r="H3400" t="s">
        <v>3401</v>
      </c>
      <c r="I3400">
        <v>5405</v>
      </c>
      <c r="J3400" s="3">
        <v>447.7</v>
      </c>
      <c r="K3400" s="3">
        <v>250.89</v>
      </c>
      <c r="L3400">
        <v>43.96</v>
      </c>
    </row>
    <row r="3401" spans="1:12">
      <c r="A3401" s="1">
        <v>46037</v>
      </c>
      <c r="B3401" t="s">
        <v>9137</v>
      </c>
      <c r="C3401">
        <v>16</v>
      </c>
      <c r="D3401" t="str">
        <f>VLOOKUP(Tabela26[[#This Row],[EMP]],[1]LOJA!$A:$B,2,0)</f>
        <v>AG LINDAS</v>
      </c>
      <c r="E3401">
        <v>240</v>
      </c>
      <c r="F3401" t="s">
        <v>6862</v>
      </c>
      <c r="G3401" t="s">
        <v>3437</v>
      </c>
      <c r="H3401" t="s">
        <v>3401</v>
      </c>
      <c r="I3401">
        <v>5102</v>
      </c>
      <c r="J3401" s="3">
        <v>190</v>
      </c>
      <c r="K3401" s="3">
        <v>117.44</v>
      </c>
      <c r="L3401">
        <v>38.19</v>
      </c>
    </row>
    <row r="3402" spans="1:12">
      <c r="A3402" s="1">
        <v>46037</v>
      </c>
      <c r="B3402" t="s">
        <v>9136</v>
      </c>
      <c r="C3402">
        <v>16</v>
      </c>
      <c r="D3402" t="str">
        <f>VLOOKUP(Tabela26[[#This Row],[EMP]],[1]LOJA!$A:$B,2,0)</f>
        <v>AG LINDAS</v>
      </c>
      <c r="E3402">
        <v>240</v>
      </c>
      <c r="F3402" t="s">
        <v>5129</v>
      </c>
      <c r="G3402" t="s">
        <v>5128</v>
      </c>
      <c r="H3402" t="s">
        <v>3408</v>
      </c>
      <c r="I3402">
        <v>5405</v>
      </c>
      <c r="J3402" s="3">
        <v>48.6</v>
      </c>
      <c r="K3402" s="3">
        <v>24.59</v>
      </c>
      <c r="L3402">
        <v>49.4</v>
      </c>
    </row>
    <row r="3403" spans="1:12">
      <c r="A3403" s="1">
        <v>46037</v>
      </c>
      <c r="B3403" t="s">
        <v>9135</v>
      </c>
      <c r="C3403">
        <v>16</v>
      </c>
      <c r="D3403" t="str">
        <f>VLOOKUP(Tabela26[[#This Row],[EMP]],[1]LOJA!$A:$B,2,0)</f>
        <v>AG LINDAS</v>
      </c>
      <c r="E3403">
        <v>240</v>
      </c>
      <c r="F3403" t="s">
        <v>3796</v>
      </c>
      <c r="G3403" t="s">
        <v>3795</v>
      </c>
      <c r="H3403" t="s">
        <v>3408</v>
      </c>
      <c r="I3403">
        <v>5405</v>
      </c>
      <c r="J3403" s="3">
        <v>255.8</v>
      </c>
      <c r="K3403" s="3">
        <v>137.47999999999999</v>
      </c>
      <c r="L3403">
        <v>46.25</v>
      </c>
    </row>
    <row r="3404" spans="1:12">
      <c r="A3404" s="1">
        <v>46037</v>
      </c>
      <c r="B3404" t="s">
        <v>9134</v>
      </c>
      <c r="C3404">
        <v>16</v>
      </c>
      <c r="D3404" t="str">
        <f>VLOOKUP(Tabela26[[#This Row],[EMP]],[1]LOJA!$A:$B,2,0)</f>
        <v>AG LINDAS</v>
      </c>
      <c r="E3404">
        <v>240</v>
      </c>
      <c r="F3404" t="s">
        <v>4546</v>
      </c>
      <c r="G3404" t="s">
        <v>3437</v>
      </c>
      <c r="H3404" t="s">
        <v>3401</v>
      </c>
      <c r="I3404">
        <v>5102</v>
      </c>
      <c r="J3404" s="3">
        <v>100</v>
      </c>
      <c r="K3404" s="3">
        <v>67.84</v>
      </c>
      <c r="L3404">
        <v>32.159999999999997</v>
      </c>
    </row>
    <row r="3405" spans="1:12">
      <c r="A3405" s="1">
        <v>46037</v>
      </c>
      <c r="B3405" t="s">
        <v>9133</v>
      </c>
      <c r="C3405">
        <v>16</v>
      </c>
      <c r="D3405" t="str">
        <f>VLOOKUP(Tabela26[[#This Row],[EMP]],[1]LOJA!$A:$B,2,0)</f>
        <v>AG LINDAS</v>
      </c>
      <c r="E3405">
        <v>240</v>
      </c>
      <c r="F3405" t="s">
        <v>9132</v>
      </c>
      <c r="G3405" t="s">
        <v>3437</v>
      </c>
      <c r="H3405" t="s">
        <v>3401</v>
      </c>
      <c r="I3405">
        <v>5102</v>
      </c>
      <c r="J3405" s="3">
        <v>250</v>
      </c>
      <c r="K3405" s="3">
        <v>163.44999999999999</v>
      </c>
      <c r="L3405">
        <v>34.619999999999997</v>
      </c>
    </row>
    <row r="3406" spans="1:12">
      <c r="A3406" s="1">
        <v>46037</v>
      </c>
      <c r="B3406" t="s">
        <v>9131</v>
      </c>
      <c r="C3406">
        <v>16</v>
      </c>
      <c r="D3406" t="str">
        <f>VLOOKUP(Tabela26[[#This Row],[EMP]],[1]LOJA!$A:$B,2,0)</f>
        <v>AG LINDAS</v>
      </c>
      <c r="E3406">
        <v>240</v>
      </c>
      <c r="F3406" t="s">
        <v>4544</v>
      </c>
      <c r="G3406" t="s">
        <v>3437</v>
      </c>
      <c r="H3406" t="s">
        <v>3401</v>
      </c>
      <c r="I3406">
        <v>5405</v>
      </c>
      <c r="J3406" s="3">
        <v>382.45</v>
      </c>
      <c r="K3406" s="3">
        <v>216.05</v>
      </c>
      <c r="L3406">
        <v>43.51</v>
      </c>
    </row>
    <row r="3407" spans="1:12">
      <c r="A3407" s="1">
        <v>46037</v>
      </c>
      <c r="B3407" t="s">
        <v>9130</v>
      </c>
      <c r="C3407">
        <v>16</v>
      </c>
      <c r="D3407" t="str">
        <f>VLOOKUP(Tabela26[[#This Row],[EMP]],[1]LOJA!$A:$B,2,0)</f>
        <v>AG LINDAS</v>
      </c>
      <c r="E3407">
        <v>240</v>
      </c>
      <c r="F3407" t="s">
        <v>3780</v>
      </c>
      <c r="G3407" t="s">
        <v>3437</v>
      </c>
      <c r="H3407" t="s">
        <v>3401</v>
      </c>
      <c r="I3407">
        <v>5102</v>
      </c>
      <c r="J3407" s="3">
        <v>22</v>
      </c>
      <c r="K3407" s="3">
        <v>9.34</v>
      </c>
      <c r="L3407">
        <v>57.55</v>
      </c>
    </row>
    <row r="3408" spans="1:12">
      <c r="A3408" s="1">
        <v>46037</v>
      </c>
      <c r="B3408" t="s">
        <v>9129</v>
      </c>
      <c r="C3408">
        <v>16</v>
      </c>
      <c r="D3408" t="str">
        <f>VLOOKUP(Tabela26[[#This Row],[EMP]],[1]LOJA!$A:$B,2,0)</f>
        <v>AG LINDAS</v>
      </c>
      <c r="E3408">
        <v>240</v>
      </c>
      <c r="F3408" t="s">
        <v>7674</v>
      </c>
      <c r="G3408" t="s">
        <v>7673</v>
      </c>
      <c r="H3408" t="s">
        <v>3401</v>
      </c>
      <c r="I3408">
        <v>5405</v>
      </c>
      <c r="J3408" s="3">
        <v>79.8</v>
      </c>
      <c r="K3408" s="3">
        <v>42.35</v>
      </c>
      <c r="L3408">
        <v>46.93</v>
      </c>
    </row>
    <row r="3409" spans="1:12">
      <c r="A3409" s="1">
        <v>46037</v>
      </c>
      <c r="B3409" t="s">
        <v>9128</v>
      </c>
      <c r="C3409">
        <v>16</v>
      </c>
      <c r="D3409" t="str">
        <f>VLOOKUP(Tabela26[[#This Row],[EMP]],[1]LOJA!$A:$B,2,0)</f>
        <v>AG LINDAS</v>
      </c>
      <c r="E3409">
        <v>240</v>
      </c>
      <c r="F3409" t="s">
        <v>5140</v>
      </c>
      <c r="G3409" t="s">
        <v>3437</v>
      </c>
      <c r="H3409" t="s">
        <v>3401</v>
      </c>
      <c r="I3409">
        <v>5405</v>
      </c>
      <c r="J3409" s="3">
        <v>151.5</v>
      </c>
      <c r="K3409" s="3">
        <v>76.42</v>
      </c>
      <c r="L3409">
        <v>49.56</v>
      </c>
    </row>
    <row r="3410" spans="1:12">
      <c r="A3410" s="1">
        <v>46037</v>
      </c>
      <c r="B3410" t="s">
        <v>9127</v>
      </c>
      <c r="C3410">
        <v>16</v>
      </c>
      <c r="D3410" t="str">
        <f>VLOOKUP(Tabela26[[#This Row],[EMP]],[1]LOJA!$A:$B,2,0)</f>
        <v>AG LINDAS</v>
      </c>
      <c r="E3410">
        <v>240</v>
      </c>
      <c r="F3410" t="s">
        <v>3780</v>
      </c>
      <c r="G3410" t="s">
        <v>3437</v>
      </c>
      <c r="H3410" t="s">
        <v>3401</v>
      </c>
      <c r="I3410">
        <v>5405</v>
      </c>
      <c r="J3410" s="3">
        <v>524.70000000000005</v>
      </c>
      <c r="K3410" s="3">
        <v>323</v>
      </c>
      <c r="L3410">
        <v>38.44</v>
      </c>
    </row>
    <row r="3411" spans="1:12">
      <c r="A3411" s="1">
        <v>46037</v>
      </c>
      <c r="B3411" t="s">
        <v>9126</v>
      </c>
      <c r="C3411">
        <v>16</v>
      </c>
      <c r="D3411" t="str">
        <f>VLOOKUP(Tabela26[[#This Row],[EMP]],[1]LOJA!$A:$B,2,0)</f>
        <v>AG LINDAS</v>
      </c>
      <c r="E3411">
        <v>240</v>
      </c>
      <c r="F3411" t="s">
        <v>8403</v>
      </c>
      <c r="G3411" t="s">
        <v>8402</v>
      </c>
      <c r="H3411" t="s">
        <v>3401</v>
      </c>
      <c r="I3411">
        <v>5102</v>
      </c>
      <c r="J3411" s="3">
        <v>372.8</v>
      </c>
      <c r="K3411" s="3">
        <v>219.2</v>
      </c>
      <c r="L3411">
        <v>41.2</v>
      </c>
    </row>
    <row r="3412" spans="1:12">
      <c r="A3412" s="1">
        <v>46037</v>
      </c>
      <c r="B3412" t="s">
        <v>9125</v>
      </c>
      <c r="C3412">
        <v>16</v>
      </c>
      <c r="D3412" t="str">
        <f>VLOOKUP(Tabela26[[#This Row],[EMP]],[1]LOJA!$A:$B,2,0)</f>
        <v>AG LINDAS</v>
      </c>
      <c r="E3412">
        <v>240</v>
      </c>
      <c r="F3412" t="s">
        <v>3780</v>
      </c>
      <c r="G3412" t="s">
        <v>3437</v>
      </c>
      <c r="H3412" t="s">
        <v>3401</v>
      </c>
      <c r="I3412">
        <v>5102</v>
      </c>
      <c r="J3412" s="3">
        <v>19</v>
      </c>
      <c r="K3412" s="3">
        <v>11.2</v>
      </c>
      <c r="L3412">
        <v>41.05</v>
      </c>
    </row>
    <row r="3413" spans="1:12">
      <c r="A3413" s="1">
        <v>46037</v>
      </c>
      <c r="B3413" t="s">
        <v>9124</v>
      </c>
      <c r="C3413">
        <v>16</v>
      </c>
      <c r="D3413" t="str">
        <f>VLOOKUP(Tabela26[[#This Row],[EMP]],[1]LOJA!$A:$B,2,0)</f>
        <v>AG LINDAS</v>
      </c>
      <c r="E3413">
        <v>240</v>
      </c>
      <c r="F3413" t="s">
        <v>5668</v>
      </c>
      <c r="G3413" t="s">
        <v>5667</v>
      </c>
      <c r="H3413" t="s">
        <v>3408</v>
      </c>
      <c r="I3413">
        <v>5102</v>
      </c>
      <c r="J3413" s="3">
        <v>158</v>
      </c>
      <c r="K3413" s="3">
        <v>92.04</v>
      </c>
      <c r="L3413">
        <v>41.75</v>
      </c>
    </row>
    <row r="3414" spans="1:12">
      <c r="A3414" s="1">
        <v>46037</v>
      </c>
      <c r="B3414" t="s">
        <v>9123</v>
      </c>
      <c r="C3414">
        <v>16</v>
      </c>
      <c r="D3414" t="str">
        <f>VLOOKUP(Tabela26[[#This Row],[EMP]],[1]LOJA!$A:$B,2,0)</f>
        <v>AG LINDAS</v>
      </c>
      <c r="E3414">
        <v>240</v>
      </c>
      <c r="F3414" t="s">
        <v>7674</v>
      </c>
      <c r="G3414" t="s">
        <v>7673</v>
      </c>
      <c r="H3414" t="s">
        <v>3401</v>
      </c>
      <c r="I3414">
        <v>5102</v>
      </c>
      <c r="J3414" s="3">
        <v>139.6</v>
      </c>
      <c r="K3414" s="3">
        <v>77.819999999999993</v>
      </c>
      <c r="L3414">
        <v>44.26</v>
      </c>
    </row>
    <row r="3415" spans="1:12">
      <c r="A3415" s="1">
        <v>46037</v>
      </c>
      <c r="B3415" t="s">
        <v>9122</v>
      </c>
      <c r="C3415">
        <v>16</v>
      </c>
      <c r="D3415" t="str">
        <f>VLOOKUP(Tabela26[[#This Row],[EMP]],[1]LOJA!$A:$B,2,0)</f>
        <v>AG LINDAS</v>
      </c>
      <c r="E3415">
        <v>240</v>
      </c>
      <c r="F3415" t="s">
        <v>5129</v>
      </c>
      <c r="G3415" t="s">
        <v>5128</v>
      </c>
      <c r="H3415" t="s">
        <v>3401</v>
      </c>
      <c r="I3415">
        <v>5405</v>
      </c>
      <c r="J3415" s="3">
        <v>40</v>
      </c>
      <c r="K3415" s="3">
        <v>20.71</v>
      </c>
      <c r="L3415">
        <v>48.23</v>
      </c>
    </row>
    <row r="3416" spans="1:12">
      <c r="A3416" s="1">
        <v>46037</v>
      </c>
      <c r="B3416" t="s">
        <v>9121</v>
      </c>
      <c r="C3416">
        <v>16</v>
      </c>
      <c r="D3416" t="str">
        <f>VLOOKUP(Tabela26[[#This Row],[EMP]],[1]LOJA!$A:$B,2,0)</f>
        <v>AG LINDAS</v>
      </c>
      <c r="E3416">
        <v>240</v>
      </c>
      <c r="F3416" t="s">
        <v>5124</v>
      </c>
      <c r="G3416" t="s">
        <v>5123</v>
      </c>
      <c r="H3416" t="s">
        <v>3401</v>
      </c>
      <c r="I3416">
        <v>5102</v>
      </c>
      <c r="J3416" s="3">
        <v>40</v>
      </c>
      <c r="K3416" s="3">
        <v>26.64</v>
      </c>
      <c r="L3416">
        <v>33.4</v>
      </c>
    </row>
    <row r="3417" spans="1:12">
      <c r="A3417" s="1">
        <v>46037</v>
      </c>
      <c r="B3417" t="s">
        <v>9120</v>
      </c>
      <c r="C3417">
        <v>16</v>
      </c>
      <c r="D3417" t="str">
        <f>VLOOKUP(Tabela26[[#This Row],[EMP]],[1]LOJA!$A:$B,2,0)</f>
        <v>AG LINDAS</v>
      </c>
      <c r="E3417">
        <v>240</v>
      </c>
      <c r="F3417" t="s">
        <v>9119</v>
      </c>
      <c r="G3417" t="s">
        <v>3437</v>
      </c>
      <c r="H3417" t="s">
        <v>3401</v>
      </c>
      <c r="I3417">
        <v>5102</v>
      </c>
      <c r="J3417" s="3">
        <v>100</v>
      </c>
      <c r="K3417" s="3">
        <v>54.8</v>
      </c>
      <c r="L3417">
        <v>45.2</v>
      </c>
    </row>
    <row r="3418" spans="1:12">
      <c r="A3418" s="1">
        <v>46037</v>
      </c>
      <c r="B3418" t="s">
        <v>9118</v>
      </c>
      <c r="C3418">
        <v>16</v>
      </c>
      <c r="D3418" t="str">
        <f>VLOOKUP(Tabela26[[#This Row],[EMP]],[1]LOJA!$A:$B,2,0)</f>
        <v>AG LINDAS</v>
      </c>
      <c r="E3418">
        <v>240</v>
      </c>
      <c r="F3418" t="s">
        <v>7434</v>
      </c>
      <c r="G3418" t="s">
        <v>3437</v>
      </c>
      <c r="H3418" t="s">
        <v>3401</v>
      </c>
      <c r="I3418">
        <v>5102</v>
      </c>
      <c r="J3418" s="3">
        <v>24.9</v>
      </c>
      <c r="K3418" s="3">
        <v>16.84</v>
      </c>
      <c r="L3418">
        <v>32.369999999999997</v>
      </c>
    </row>
    <row r="3419" spans="1:12">
      <c r="A3419" s="1">
        <v>46037</v>
      </c>
      <c r="B3419" t="s">
        <v>9117</v>
      </c>
      <c r="C3419">
        <v>16</v>
      </c>
      <c r="D3419" t="str">
        <f>VLOOKUP(Tabela26[[#This Row],[EMP]],[1]LOJA!$A:$B,2,0)</f>
        <v>AG LINDAS</v>
      </c>
      <c r="E3419">
        <v>240</v>
      </c>
      <c r="F3419" t="s">
        <v>5140</v>
      </c>
      <c r="G3419" t="s">
        <v>3437</v>
      </c>
      <c r="H3419" t="s">
        <v>3401</v>
      </c>
      <c r="I3419">
        <v>5405</v>
      </c>
      <c r="J3419" s="3">
        <v>50</v>
      </c>
      <c r="K3419" s="3">
        <v>26.03</v>
      </c>
      <c r="L3419">
        <v>47.94</v>
      </c>
    </row>
    <row r="3420" spans="1:12">
      <c r="A3420" s="1">
        <v>46037</v>
      </c>
      <c r="B3420" t="s">
        <v>9116</v>
      </c>
      <c r="C3420">
        <v>16</v>
      </c>
      <c r="D3420" t="str">
        <f>VLOOKUP(Tabela26[[#This Row],[EMP]],[1]LOJA!$A:$B,2,0)</f>
        <v>AG LINDAS</v>
      </c>
      <c r="E3420">
        <v>240</v>
      </c>
      <c r="F3420" t="s">
        <v>5657</v>
      </c>
      <c r="G3420" t="s">
        <v>5656</v>
      </c>
      <c r="H3420" t="s">
        <v>3401</v>
      </c>
      <c r="I3420">
        <v>5102</v>
      </c>
      <c r="J3420" s="3">
        <v>55.8</v>
      </c>
      <c r="K3420" s="3">
        <v>34.979999999999997</v>
      </c>
      <c r="L3420">
        <v>37.31</v>
      </c>
    </row>
    <row r="3421" spans="1:12">
      <c r="A3421" s="1">
        <v>46037</v>
      </c>
      <c r="B3421" t="s">
        <v>9115</v>
      </c>
      <c r="C3421">
        <v>16</v>
      </c>
      <c r="D3421" t="str">
        <f>VLOOKUP(Tabela26[[#This Row],[EMP]],[1]LOJA!$A:$B,2,0)</f>
        <v>AG LINDAS</v>
      </c>
      <c r="E3421">
        <v>240</v>
      </c>
      <c r="F3421" t="s">
        <v>3808</v>
      </c>
      <c r="G3421" t="s">
        <v>3807</v>
      </c>
      <c r="H3421" t="s">
        <v>3408</v>
      </c>
      <c r="I3421">
        <v>5102</v>
      </c>
      <c r="J3421" s="3">
        <v>19.600000000000001</v>
      </c>
      <c r="K3421" s="3">
        <v>9.6999999999999993</v>
      </c>
      <c r="L3421">
        <v>50.51</v>
      </c>
    </row>
    <row r="3422" spans="1:12">
      <c r="A3422" s="1">
        <v>46037</v>
      </c>
      <c r="B3422" t="s">
        <v>9114</v>
      </c>
      <c r="C3422">
        <v>16</v>
      </c>
      <c r="D3422" t="str">
        <f>VLOOKUP(Tabela26[[#This Row],[EMP]],[1]LOJA!$A:$B,2,0)</f>
        <v>AG LINDAS</v>
      </c>
      <c r="E3422">
        <v>240</v>
      </c>
      <c r="F3422" t="s">
        <v>7674</v>
      </c>
      <c r="G3422" t="s">
        <v>7673</v>
      </c>
      <c r="H3422" t="s">
        <v>3408</v>
      </c>
      <c r="I3422">
        <v>5405</v>
      </c>
      <c r="J3422" s="3">
        <v>48</v>
      </c>
      <c r="K3422" s="3">
        <v>20.46</v>
      </c>
      <c r="L3422">
        <v>57.38</v>
      </c>
    </row>
    <row r="3423" spans="1:12">
      <c r="A3423" s="1">
        <v>46037</v>
      </c>
      <c r="B3423" t="s">
        <v>9113</v>
      </c>
      <c r="C3423">
        <v>16</v>
      </c>
      <c r="D3423" t="str">
        <f>VLOOKUP(Tabela26[[#This Row],[EMP]],[1]LOJA!$A:$B,2,0)</f>
        <v>AG LINDAS</v>
      </c>
      <c r="E3423">
        <v>240</v>
      </c>
      <c r="F3423" t="s">
        <v>3780</v>
      </c>
      <c r="G3423" t="s">
        <v>3437</v>
      </c>
      <c r="H3423" t="s">
        <v>3401</v>
      </c>
      <c r="I3423">
        <v>5102</v>
      </c>
      <c r="J3423" s="3">
        <v>9</v>
      </c>
      <c r="K3423" s="3">
        <v>4.16</v>
      </c>
      <c r="L3423">
        <v>53.78</v>
      </c>
    </row>
    <row r="3424" spans="1:12">
      <c r="A3424" s="1">
        <v>46037</v>
      </c>
      <c r="B3424" t="s">
        <v>9112</v>
      </c>
      <c r="C3424">
        <v>14</v>
      </c>
      <c r="D3424" t="str">
        <f>VLOOKUP(Tabela26[[#This Row],[EMP]],[1]LOJA!$A:$B,2,0)</f>
        <v>S IA</v>
      </c>
      <c r="E3424">
        <v>54</v>
      </c>
      <c r="F3424" t="s">
        <v>5108</v>
      </c>
      <c r="G3424" t="s">
        <v>5107</v>
      </c>
      <c r="H3424" t="s">
        <v>3430</v>
      </c>
      <c r="I3424">
        <v>5102</v>
      </c>
      <c r="J3424" s="3">
        <v>177.8</v>
      </c>
      <c r="K3424" s="3">
        <v>94.76</v>
      </c>
      <c r="L3424">
        <v>46.7</v>
      </c>
    </row>
    <row r="3425" spans="1:12">
      <c r="A3425" s="1">
        <v>46037</v>
      </c>
      <c r="B3425" t="s">
        <v>9111</v>
      </c>
      <c r="C3425">
        <v>14</v>
      </c>
      <c r="D3425" t="str">
        <f>VLOOKUP(Tabela26[[#This Row],[EMP]],[1]LOJA!$A:$B,2,0)</f>
        <v>S IA</v>
      </c>
      <c r="E3425">
        <v>212</v>
      </c>
      <c r="F3425" t="s">
        <v>6692</v>
      </c>
      <c r="G3425" t="s">
        <v>6691</v>
      </c>
      <c r="H3425" t="s">
        <v>3408</v>
      </c>
      <c r="I3425">
        <v>5405</v>
      </c>
      <c r="J3425" s="3">
        <v>520</v>
      </c>
      <c r="K3425" s="3">
        <v>283.14</v>
      </c>
      <c r="L3425">
        <v>45.55</v>
      </c>
    </row>
    <row r="3426" spans="1:12">
      <c r="A3426" s="1">
        <v>46037</v>
      </c>
      <c r="B3426" t="s">
        <v>9110</v>
      </c>
      <c r="C3426">
        <v>14</v>
      </c>
      <c r="D3426" t="str">
        <f>VLOOKUP(Tabela26[[#This Row],[EMP]],[1]LOJA!$A:$B,2,0)</f>
        <v>S IA</v>
      </c>
      <c r="E3426">
        <v>212</v>
      </c>
      <c r="F3426" t="s">
        <v>6710</v>
      </c>
      <c r="G3426" t="s">
        <v>6709</v>
      </c>
      <c r="H3426" t="s">
        <v>3408</v>
      </c>
      <c r="I3426">
        <v>5405</v>
      </c>
      <c r="J3426" s="3">
        <v>144</v>
      </c>
      <c r="K3426" s="3">
        <v>50.94</v>
      </c>
      <c r="L3426">
        <v>64.63</v>
      </c>
    </row>
    <row r="3427" spans="1:12">
      <c r="A3427" s="1">
        <v>46037</v>
      </c>
      <c r="B3427" t="s">
        <v>9109</v>
      </c>
      <c r="C3427">
        <v>14</v>
      </c>
      <c r="D3427" t="str">
        <f>VLOOKUP(Tabela26[[#This Row],[EMP]],[1]LOJA!$A:$B,2,0)</f>
        <v>S IA</v>
      </c>
      <c r="E3427">
        <v>212</v>
      </c>
      <c r="F3427" t="s">
        <v>9108</v>
      </c>
      <c r="G3427" t="s">
        <v>9107</v>
      </c>
      <c r="H3427" t="s">
        <v>3401</v>
      </c>
      <c r="I3427">
        <v>5102</v>
      </c>
      <c r="J3427" s="3">
        <v>100</v>
      </c>
      <c r="K3427" s="3">
        <v>45.83</v>
      </c>
      <c r="L3427">
        <v>54.17</v>
      </c>
    </row>
    <row r="3428" spans="1:12">
      <c r="A3428" s="1">
        <v>46037</v>
      </c>
      <c r="B3428" t="s">
        <v>9106</v>
      </c>
      <c r="C3428">
        <v>14</v>
      </c>
      <c r="D3428" t="str">
        <f>VLOOKUP(Tabela26[[#This Row],[EMP]],[1]LOJA!$A:$B,2,0)</f>
        <v>S IA</v>
      </c>
      <c r="E3428">
        <v>212</v>
      </c>
      <c r="F3428" t="s">
        <v>3759</v>
      </c>
      <c r="G3428" t="s">
        <v>3758</v>
      </c>
      <c r="H3428" t="s">
        <v>3408</v>
      </c>
      <c r="I3428">
        <v>5405</v>
      </c>
      <c r="J3428" s="3">
        <v>155</v>
      </c>
      <c r="K3428" s="3">
        <v>85.02</v>
      </c>
      <c r="L3428">
        <v>45.15</v>
      </c>
    </row>
    <row r="3429" spans="1:12">
      <c r="A3429" s="1">
        <v>46037</v>
      </c>
      <c r="B3429" t="s">
        <v>9105</v>
      </c>
      <c r="C3429">
        <v>14</v>
      </c>
      <c r="D3429" t="str">
        <f>VLOOKUP(Tabela26[[#This Row],[EMP]],[1]LOJA!$A:$B,2,0)</f>
        <v>S IA</v>
      </c>
      <c r="E3429">
        <v>54</v>
      </c>
      <c r="F3429" t="s">
        <v>3775</v>
      </c>
      <c r="G3429" t="s">
        <v>3774</v>
      </c>
      <c r="H3429" t="s">
        <v>3430</v>
      </c>
      <c r="I3429">
        <v>5102</v>
      </c>
      <c r="J3429" s="3">
        <v>55.58</v>
      </c>
      <c r="K3429" s="3">
        <v>25.14</v>
      </c>
      <c r="L3429">
        <v>54.77</v>
      </c>
    </row>
    <row r="3430" spans="1:12">
      <c r="A3430" s="1">
        <v>46037</v>
      </c>
      <c r="B3430" t="s">
        <v>9104</v>
      </c>
      <c r="C3430">
        <v>14</v>
      </c>
      <c r="D3430" t="str">
        <f>VLOOKUP(Tabela26[[#This Row],[EMP]],[1]LOJA!$A:$B,2,0)</f>
        <v>S IA</v>
      </c>
      <c r="E3430">
        <v>54</v>
      </c>
      <c r="F3430" t="s">
        <v>9103</v>
      </c>
      <c r="G3430" t="s">
        <v>9102</v>
      </c>
      <c r="H3430" t="s">
        <v>3401</v>
      </c>
      <c r="I3430">
        <v>5102</v>
      </c>
      <c r="J3430" s="3">
        <v>10</v>
      </c>
      <c r="K3430" s="3">
        <v>3.6</v>
      </c>
      <c r="L3430">
        <v>64</v>
      </c>
    </row>
    <row r="3431" spans="1:12">
      <c r="A3431" s="1">
        <v>46037</v>
      </c>
      <c r="B3431" t="s">
        <v>9101</v>
      </c>
      <c r="C3431">
        <v>14</v>
      </c>
      <c r="D3431" t="str">
        <f>VLOOKUP(Tabela26[[#This Row],[EMP]],[1]LOJA!$A:$B,2,0)</f>
        <v>S IA</v>
      </c>
      <c r="E3431">
        <v>54</v>
      </c>
      <c r="F3431" t="s">
        <v>6064</v>
      </c>
      <c r="G3431" t="s">
        <v>6063</v>
      </c>
      <c r="H3431" t="s">
        <v>3408</v>
      </c>
      <c r="I3431">
        <v>6102</v>
      </c>
      <c r="J3431" s="3">
        <v>94.5</v>
      </c>
      <c r="K3431" s="3">
        <v>54.84</v>
      </c>
      <c r="L3431">
        <v>41.97</v>
      </c>
    </row>
    <row r="3432" spans="1:12">
      <c r="A3432" s="1">
        <v>46037</v>
      </c>
      <c r="B3432" t="s">
        <v>9100</v>
      </c>
      <c r="C3432">
        <v>14</v>
      </c>
      <c r="D3432" t="str">
        <f>VLOOKUP(Tabela26[[#This Row],[EMP]],[1]LOJA!$A:$B,2,0)</f>
        <v>S IA</v>
      </c>
      <c r="E3432">
        <v>212</v>
      </c>
      <c r="F3432" t="s">
        <v>3772</v>
      </c>
      <c r="G3432" t="s">
        <v>3771</v>
      </c>
      <c r="H3432" t="s">
        <v>3430</v>
      </c>
      <c r="I3432">
        <v>5405</v>
      </c>
      <c r="J3432" s="3">
        <v>35</v>
      </c>
      <c r="K3432" s="3">
        <v>15.66</v>
      </c>
      <c r="L3432">
        <v>55.26</v>
      </c>
    </row>
    <row r="3433" spans="1:12">
      <c r="A3433" s="1">
        <v>46037</v>
      </c>
      <c r="B3433" t="s">
        <v>9099</v>
      </c>
      <c r="C3433">
        <v>14</v>
      </c>
      <c r="D3433" t="str">
        <f>VLOOKUP(Tabela26[[#This Row],[EMP]],[1]LOJA!$A:$B,2,0)</f>
        <v>S IA</v>
      </c>
      <c r="E3433">
        <v>54</v>
      </c>
      <c r="F3433" t="s">
        <v>9098</v>
      </c>
      <c r="G3433" t="s">
        <v>9097</v>
      </c>
      <c r="H3433" t="s">
        <v>3401</v>
      </c>
      <c r="I3433">
        <v>5405</v>
      </c>
      <c r="J3433" s="3">
        <v>59</v>
      </c>
      <c r="K3433" s="3">
        <v>18.66</v>
      </c>
      <c r="L3433">
        <v>68.37</v>
      </c>
    </row>
    <row r="3434" spans="1:12">
      <c r="A3434" s="1">
        <v>46037</v>
      </c>
      <c r="B3434" t="s">
        <v>9096</v>
      </c>
      <c r="C3434">
        <v>14</v>
      </c>
      <c r="D3434" t="str">
        <f>VLOOKUP(Tabela26[[#This Row],[EMP]],[1]LOJA!$A:$B,2,0)</f>
        <v>S IA</v>
      </c>
      <c r="E3434">
        <v>54</v>
      </c>
      <c r="F3434" t="s">
        <v>3762</v>
      </c>
      <c r="G3434" t="s">
        <v>3761</v>
      </c>
      <c r="H3434" t="s">
        <v>3430</v>
      </c>
      <c r="I3434">
        <v>5405</v>
      </c>
      <c r="J3434" s="3">
        <v>44.69</v>
      </c>
      <c r="K3434" s="3">
        <v>23.26</v>
      </c>
      <c r="L3434">
        <v>47.95</v>
      </c>
    </row>
    <row r="3435" spans="1:12">
      <c r="A3435" s="1">
        <v>46037</v>
      </c>
      <c r="B3435" t="s">
        <v>9095</v>
      </c>
      <c r="C3435">
        <v>14</v>
      </c>
      <c r="D3435" t="str">
        <f>VLOOKUP(Tabela26[[#This Row],[EMP]],[1]LOJA!$A:$B,2,0)</f>
        <v>S IA</v>
      </c>
      <c r="E3435">
        <v>54</v>
      </c>
      <c r="F3435" t="s">
        <v>5089</v>
      </c>
      <c r="G3435" t="s">
        <v>5088</v>
      </c>
      <c r="H3435" t="s">
        <v>3430</v>
      </c>
      <c r="I3435">
        <v>5102</v>
      </c>
      <c r="J3435" s="3">
        <v>410.59</v>
      </c>
      <c r="K3435" s="3">
        <v>207.48</v>
      </c>
      <c r="L3435">
        <v>49.47</v>
      </c>
    </row>
    <row r="3436" spans="1:12">
      <c r="A3436" s="1">
        <v>46037</v>
      </c>
      <c r="B3436" t="s">
        <v>9094</v>
      </c>
      <c r="C3436">
        <v>14</v>
      </c>
      <c r="D3436" t="str">
        <f>VLOOKUP(Tabela26[[#This Row],[EMP]],[1]LOJA!$A:$B,2,0)</f>
        <v>S IA</v>
      </c>
      <c r="E3436">
        <v>54</v>
      </c>
      <c r="F3436" t="s">
        <v>7636</v>
      </c>
      <c r="G3436" t="s">
        <v>7635</v>
      </c>
      <c r="H3436" t="s">
        <v>3408</v>
      </c>
      <c r="I3436">
        <v>5102</v>
      </c>
      <c r="J3436" s="3">
        <v>69.900000000000006</v>
      </c>
      <c r="K3436" s="3">
        <v>30.13</v>
      </c>
      <c r="L3436">
        <v>56.9</v>
      </c>
    </row>
    <row r="3437" spans="1:12">
      <c r="A3437" s="1">
        <v>46037</v>
      </c>
      <c r="B3437" t="s">
        <v>9093</v>
      </c>
      <c r="C3437">
        <v>14</v>
      </c>
      <c r="D3437" t="str">
        <f>VLOOKUP(Tabela26[[#This Row],[EMP]],[1]LOJA!$A:$B,2,0)</f>
        <v>S IA</v>
      </c>
      <c r="E3437">
        <v>212</v>
      </c>
      <c r="F3437" t="s">
        <v>9092</v>
      </c>
      <c r="G3437" t="s">
        <v>9091</v>
      </c>
      <c r="H3437" t="s">
        <v>3408</v>
      </c>
      <c r="I3437">
        <v>5405</v>
      </c>
      <c r="J3437" s="3">
        <v>184</v>
      </c>
      <c r="K3437" s="3">
        <v>83.19</v>
      </c>
      <c r="L3437">
        <v>54.79</v>
      </c>
    </row>
    <row r="3438" spans="1:12">
      <c r="A3438" s="1">
        <v>46037</v>
      </c>
      <c r="B3438" t="s">
        <v>9090</v>
      </c>
      <c r="C3438">
        <v>14</v>
      </c>
      <c r="D3438" t="str">
        <f>VLOOKUP(Tabela26[[#This Row],[EMP]],[1]LOJA!$A:$B,2,0)</f>
        <v>S IA</v>
      </c>
      <c r="E3438">
        <v>212</v>
      </c>
      <c r="F3438" t="s">
        <v>3759</v>
      </c>
      <c r="G3438" t="s">
        <v>3758</v>
      </c>
      <c r="H3438" t="s">
        <v>3408</v>
      </c>
      <c r="I3438">
        <v>5102</v>
      </c>
      <c r="J3438" s="3">
        <v>115.6</v>
      </c>
      <c r="K3438" s="3">
        <v>78.16</v>
      </c>
      <c r="L3438">
        <v>32.39</v>
      </c>
    </row>
    <row r="3439" spans="1:12">
      <c r="A3439" s="1">
        <v>46037</v>
      </c>
      <c r="B3439" t="s">
        <v>9089</v>
      </c>
      <c r="C3439">
        <v>14</v>
      </c>
      <c r="D3439" t="str">
        <f>VLOOKUP(Tabela26[[#This Row],[EMP]],[1]LOJA!$A:$B,2,0)</f>
        <v>S IA</v>
      </c>
      <c r="E3439">
        <v>54</v>
      </c>
      <c r="F3439" t="s">
        <v>6657</v>
      </c>
      <c r="G3439" t="s">
        <v>6656</v>
      </c>
      <c r="H3439" t="s">
        <v>3408</v>
      </c>
      <c r="I3439">
        <v>5405</v>
      </c>
      <c r="J3439" s="3">
        <v>83.53</v>
      </c>
      <c r="K3439" s="3">
        <v>41.45</v>
      </c>
      <c r="L3439">
        <v>50.38</v>
      </c>
    </row>
    <row r="3440" spans="1:12">
      <c r="A3440" s="1">
        <v>46037</v>
      </c>
      <c r="B3440" t="s">
        <v>9088</v>
      </c>
      <c r="C3440">
        <v>14</v>
      </c>
      <c r="D3440" t="str">
        <f>VLOOKUP(Tabela26[[#This Row],[EMP]],[1]LOJA!$A:$B,2,0)</f>
        <v>S IA</v>
      </c>
      <c r="E3440">
        <v>212</v>
      </c>
      <c r="F3440" t="s">
        <v>5096</v>
      </c>
      <c r="G3440" t="s">
        <v>5095</v>
      </c>
      <c r="H3440" t="s">
        <v>3408</v>
      </c>
      <c r="I3440">
        <v>5405</v>
      </c>
      <c r="J3440" s="3">
        <v>478.34</v>
      </c>
      <c r="K3440" s="3">
        <v>225.1</v>
      </c>
      <c r="L3440">
        <v>52.94</v>
      </c>
    </row>
    <row r="3441" spans="1:12">
      <c r="A3441" s="1">
        <v>46037</v>
      </c>
      <c r="B3441" t="s">
        <v>9087</v>
      </c>
      <c r="C3441">
        <v>14</v>
      </c>
      <c r="D3441" t="str">
        <f>VLOOKUP(Tabela26[[#This Row],[EMP]],[1]LOJA!$A:$B,2,0)</f>
        <v>S IA</v>
      </c>
      <c r="E3441">
        <v>54</v>
      </c>
      <c r="F3441" t="s">
        <v>3775</v>
      </c>
      <c r="G3441" t="s">
        <v>3774</v>
      </c>
      <c r="H3441" t="s">
        <v>3430</v>
      </c>
      <c r="I3441">
        <v>5405</v>
      </c>
      <c r="J3441" s="3">
        <v>370</v>
      </c>
      <c r="K3441" s="3">
        <v>192.55</v>
      </c>
      <c r="L3441">
        <v>47.96</v>
      </c>
    </row>
    <row r="3442" spans="1:12">
      <c r="A3442" s="1">
        <v>46037</v>
      </c>
      <c r="B3442" t="s">
        <v>9086</v>
      </c>
      <c r="C3442">
        <v>14</v>
      </c>
      <c r="D3442" t="str">
        <f>VLOOKUP(Tabela26[[#This Row],[EMP]],[1]LOJA!$A:$B,2,0)</f>
        <v>S IA</v>
      </c>
      <c r="E3442">
        <v>212</v>
      </c>
      <c r="F3442" t="s">
        <v>9085</v>
      </c>
      <c r="G3442" t="s">
        <v>9084</v>
      </c>
      <c r="H3442" t="s">
        <v>3401</v>
      </c>
      <c r="I3442">
        <v>5102</v>
      </c>
      <c r="J3442" s="3">
        <v>313</v>
      </c>
      <c r="K3442" s="3">
        <v>157.69999999999999</v>
      </c>
      <c r="L3442">
        <v>49.62</v>
      </c>
    </row>
    <row r="3443" spans="1:12">
      <c r="A3443" s="1">
        <v>46037</v>
      </c>
      <c r="B3443" t="s">
        <v>9083</v>
      </c>
      <c r="C3443">
        <v>14</v>
      </c>
      <c r="D3443" t="str">
        <f>VLOOKUP(Tabela26[[#This Row],[EMP]],[1]LOJA!$A:$B,2,0)</f>
        <v>S IA</v>
      </c>
      <c r="E3443">
        <v>212</v>
      </c>
      <c r="F3443" t="s">
        <v>5096</v>
      </c>
      <c r="G3443" t="s">
        <v>5095</v>
      </c>
      <c r="H3443" t="s">
        <v>3401</v>
      </c>
      <c r="I3443">
        <v>1411</v>
      </c>
      <c r="J3443" s="3">
        <v>-155.51</v>
      </c>
      <c r="K3443" s="3">
        <v>-79.930000000000007</v>
      </c>
      <c r="L3443">
        <v>48.6</v>
      </c>
    </row>
    <row r="3444" spans="1:12">
      <c r="A3444" s="1">
        <v>46037</v>
      </c>
      <c r="B3444" t="s">
        <v>9082</v>
      </c>
      <c r="C3444">
        <v>14</v>
      </c>
      <c r="D3444" t="str">
        <f>VLOOKUP(Tabela26[[#This Row],[EMP]],[1]LOJA!$A:$B,2,0)</f>
        <v>S IA</v>
      </c>
      <c r="E3444">
        <v>54</v>
      </c>
      <c r="F3444" t="s">
        <v>3775</v>
      </c>
      <c r="G3444" t="s">
        <v>3774</v>
      </c>
      <c r="H3444" t="s">
        <v>3430</v>
      </c>
      <c r="I3444">
        <v>5102</v>
      </c>
      <c r="J3444" s="3">
        <v>19.899999999999999</v>
      </c>
      <c r="K3444" s="3">
        <v>9.75</v>
      </c>
      <c r="L3444">
        <v>51.01</v>
      </c>
    </row>
    <row r="3445" spans="1:12">
      <c r="A3445" s="1">
        <v>46037</v>
      </c>
      <c r="B3445" t="s">
        <v>9081</v>
      </c>
      <c r="C3445">
        <v>12</v>
      </c>
      <c r="D3445" t="str">
        <f>VLOOKUP(Tabela26[[#This Row],[EMP]],[1]LOJA!$A:$B,2,0)</f>
        <v>SOFNORTE</v>
      </c>
      <c r="E3445">
        <v>239</v>
      </c>
      <c r="F3445" t="s">
        <v>3691</v>
      </c>
      <c r="G3445" t="s">
        <v>3690</v>
      </c>
      <c r="H3445" t="s">
        <v>3520</v>
      </c>
      <c r="I3445">
        <v>5102</v>
      </c>
      <c r="J3445" s="3">
        <v>25.68</v>
      </c>
      <c r="K3445" s="3">
        <v>12.84</v>
      </c>
      <c r="L3445">
        <v>50</v>
      </c>
    </row>
    <row r="3446" spans="1:12">
      <c r="A3446" s="1">
        <v>46037</v>
      </c>
      <c r="B3446" t="s">
        <v>9080</v>
      </c>
      <c r="C3446">
        <v>12</v>
      </c>
      <c r="D3446" t="str">
        <f>VLOOKUP(Tabela26[[#This Row],[EMP]],[1]LOJA!$A:$B,2,0)</f>
        <v>SOFNORTE</v>
      </c>
      <c r="E3446">
        <v>60</v>
      </c>
      <c r="F3446" t="s">
        <v>3737</v>
      </c>
      <c r="G3446" t="s">
        <v>3736</v>
      </c>
      <c r="H3446" t="s">
        <v>3520</v>
      </c>
      <c r="I3446">
        <v>5405</v>
      </c>
      <c r="J3446" s="3">
        <v>59</v>
      </c>
      <c r="K3446" s="3">
        <v>27.44</v>
      </c>
      <c r="L3446">
        <v>53.49</v>
      </c>
    </row>
    <row r="3447" spans="1:12">
      <c r="A3447" s="1">
        <v>46037</v>
      </c>
      <c r="B3447" t="s">
        <v>9079</v>
      </c>
      <c r="C3447">
        <v>12</v>
      </c>
      <c r="D3447" t="str">
        <f>VLOOKUP(Tabela26[[#This Row],[EMP]],[1]LOJA!$A:$B,2,0)</f>
        <v>SOFNORTE</v>
      </c>
      <c r="E3447">
        <v>239</v>
      </c>
      <c r="F3447" t="s">
        <v>4466</v>
      </c>
      <c r="G3447" t="s">
        <v>4465</v>
      </c>
      <c r="H3447" t="s">
        <v>3408</v>
      </c>
      <c r="I3447">
        <v>5405</v>
      </c>
      <c r="J3447" s="3">
        <v>60</v>
      </c>
      <c r="K3447" s="3">
        <v>29.78</v>
      </c>
      <c r="L3447">
        <v>50.37</v>
      </c>
    </row>
    <row r="3448" spans="1:12">
      <c r="A3448" s="1">
        <v>46037</v>
      </c>
      <c r="B3448" t="s">
        <v>9078</v>
      </c>
      <c r="C3448">
        <v>12</v>
      </c>
      <c r="D3448" t="str">
        <f>VLOOKUP(Tabela26[[#This Row],[EMP]],[1]LOJA!$A:$B,2,0)</f>
        <v>SOFNORTE</v>
      </c>
      <c r="E3448">
        <v>60</v>
      </c>
      <c r="F3448" t="s">
        <v>3737</v>
      </c>
      <c r="G3448" t="s">
        <v>3736</v>
      </c>
      <c r="H3448" t="s">
        <v>3520</v>
      </c>
      <c r="I3448">
        <v>5102</v>
      </c>
      <c r="J3448" s="3">
        <v>113</v>
      </c>
      <c r="K3448" s="3">
        <v>53.21</v>
      </c>
      <c r="L3448">
        <v>52.91</v>
      </c>
    </row>
    <row r="3449" spans="1:12">
      <c r="A3449" s="1">
        <v>46037</v>
      </c>
      <c r="B3449" t="s">
        <v>9077</v>
      </c>
      <c r="C3449">
        <v>12</v>
      </c>
      <c r="D3449" t="str">
        <f>VLOOKUP(Tabela26[[#This Row],[EMP]],[1]LOJA!$A:$B,2,0)</f>
        <v>SOFNORTE</v>
      </c>
      <c r="E3449">
        <v>60</v>
      </c>
      <c r="F3449" t="s">
        <v>3706</v>
      </c>
      <c r="G3449" t="s">
        <v>3402</v>
      </c>
      <c r="H3449" t="s">
        <v>3408</v>
      </c>
      <c r="I3449">
        <v>5405</v>
      </c>
      <c r="J3449" s="3">
        <v>34</v>
      </c>
      <c r="K3449" s="3">
        <v>16.079999999999998</v>
      </c>
      <c r="L3449">
        <v>52.71</v>
      </c>
    </row>
    <row r="3450" spans="1:12">
      <c r="A3450" s="1">
        <v>46037</v>
      </c>
      <c r="B3450" t="s">
        <v>9076</v>
      </c>
      <c r="C3450">
        <v>12</v>
      </c>
      <c r="D3450" t="str">
        <f>VLOOKUP(Tabela26[[#This Row],[EMP]],[1]LOJA!$A:$B,2,0)</f>
        <v>SOFNORTE</v>
      </c>
      <c r="E3450">
        <v>60</v>
      </c>
      <c r="F3450" t="s">
        <v>4455</v>
      </c>
      <c r="G3450" t="s">
        <v>3402</v>
      </c>
      <c r="H3450" t="s">
        <v>3408</v>
      </c>
      <c r="I3450">
        <v>5102</v>
      </c>
      <c r="J3450" s="3">
        <v>27</v>
      </c>
      <c r="K3450" s="3">
        <v>14.8</v>
      </c>
      <c r="L3450">
        <v>45.19</v>
      </c>
    </row>
    <row r="3451" spans="1:12">
      <c r="A3451" s="1">
        <v>46037</v>
      </c>
      <c r="B3451" t="s">
        <v>9075</v>
      </c>
      <c r="C3451">
        <v>12</v>
      </c>
      <c r="D3451" t="str">
        <f>VLOOKUP(Tabela26[[#This Row],[EMP]],[1]LOJA!$A:$B,2,0)</f>
        <v>SOFNORTE</v>
      </c>
      <c r="E3451">
        <v>60</v>
      </c>
      <c r="F3451" t="s">
        <v>4466</v>
      </c>
      <c r="G3451" t="s">
        <v>4465</v>
      </c>
      <c r="H3451" t="s">
        <v>3408</v>
      </c>
      <c r="I3451">
        <v>5405</v>
      </c>
      <c r="J3451" s="3">
        <v>49</v>
      </c>
      <c r="K3451" s="3">
        <v>21.8</v>
      </c>
      <c r="L3451">
        <v>55.51</v>
      </c>
    </row>
    <row r="3452" spans="1:12">
      <c r="A3452" s="1">
        <v>46037</v>
      </c>
      <c r="B3452" t="s">
        <v>9074</v>
      </c>
      <c r="C3452">
        <v>12</v>
      </c>
      <c r="D3452" t="str">
        <f>VLOOKUP(Tabela26[[#This Row],[EMP]],[1]LOJA!$A:$B,2,0)</f>
        <v>SOFNORTE</v>
      </c>
      <c r="E3452">
        <v>60</v>
      </c>
      <c r="F3452" t="s">
        <v>3715</v>
      </c>
      <c r="G3452" t="s">
        <v>3714</v>
      </c>
      <c r="H3452" t="s">
        <v>3401</v>
      </c>
      <c r="I3452">
        <v>5102</v>
      </c>
      <c r="J3452" s="3">
        <v>13</v>
      </c>
      <c r="K3452" s="3">
        <v>7.4</v>
      </c>
      <c r="L3452">
        <v>43.08</v>
      </c>
    </row>
    <row r="3453" spans="1:12">
      <c r="A3453" s="1">
        <v>46037</v>
      </c>
      <c r="B3453" t="s">
        <v>9073</v>
      </c>
      <c r="C3453">
        <v>12</v>
      </c>
      <c r="D3453" t="str">
        <f>VLOOKUP(Tabela26[[#This Row],[EMP]],[1]LOJA!$A:$B,2,0)</f>
        <v>SOFNORTE</v>
      </c>
      <c r="E3453">
        <v>239</v>
      </c>
      <c r="F3453" t="s">
        <v>3691</v>
      </c>
      <c r="G3453" t="s">
        <v>3690</v>
      </c>
      <c r="H3453" t="s">
        <v>3520</v>
      </c>
      <c r="I3453">
        <v>5102</v>
      </c>
      <c r="J3453" s="3">
        <v>21.99</v>
      </c>
      <c r="K3453" s="3">
        <v>11.63</v>
      </c>
      <c r="L3453">
        <v>47.11</v>
      </c>
    </row>
    <row r="3454" spans="1:12">
      <c r="A3454" s="1">
        <v>46037</v>
      </c>
      <c r="B3454" t="s">
        <v>9072</v>
      </c>
      <c r="C3454">
        <v>12</v>
      </c>
      <c r="D3454" t="str">
        <f>VLOOKUP(Tabela26[[#This Row],[EMP]],[1]LOJA!$A:$B,2,0)</f>
        <v>SOFNORTE</v>
      </c>
      <c r="E3454">
        <v>60</v>
      </c>
      <c r="F3454" t="s">
        <v>3701</v>
      </c>
      <c r="G3454" t="s">
        <v>3700</v>
      </c>
      <c r="H3454" t="s">
        <v>3408</v>
      </c>
      <c r="I3454">
        <v>5405</v>
      </c>
      <c r="J3454" s="3">
        <v>107</v>
      </c>
      <c r="K3454" s="3">
        <v>50.59</v>
      </c>
      <c r="L3454">
        <v>52.72</v>
      </c>
    </row>
    <row r="3455" spans="1:12">
      <c r="A3455" s="1">
        <v>46037</v>
      </c>
      <c r="B3455" t="s">
        <v>9071</v>
      </c>
      <c r="C3455">
        <v>12</v>
      </c>
      <c r="D3455" t="str">
        <f>VLOOKUP(Tabela26[[#This Row],[EMP]],[1]LOJA!$A:$B,2,0)</f>
        <v>SOFNORTE</v>
      </c>
      <c r="E3455">
        <v>60</v>
      </c>
      <c r="F3455" t="s">
        <v>3691</v>
      </c>
      <c r="G3455" t="s">
        <v>3690</v>
      </c>
      <c r="H3455" t="s">
        <v>3520</v>
      </c>
      <c r="I3455">
        <v>5102</v>
      </c>
      <c r="J3455" s="3">
        <v>116</v>
      </c>
      <c r="K3455" s="3">
        <v>54.51</v>
      </c>
      <c r="L3455">
        <v>53.01</v>
      </c>
    </row>
    <row r="3456" spans="1:12">
      <c r="A3456" s="1">
        <v>46037</v>
      </c>
      <c r="B3456" t="s">
        <v>9070</v>
      </c>
      <c r="C3456">
        <v>12</v>
      </c>
      <c r="D3456" t="str">
        <f>VLOOKUP(Tabela26[[#This Row],[EMP]],[1]LOJA!$A:$B,2,0)</f>
        <v>SOFNORTE</v>
      </c>
      <c r="E3456">
        <v>60</v>
      </c>
      <c r="F3456" t="s">
        <v>3701</v>
      </c>
      <c r="G3456" t="s">
        <v>3700</v>
      </c>
      <c r="H3456" t="s">
        <v>3408</v>
      </c>
      <c r="I3456">
        <v>5405</v>
      </c>
      <c r="J3456" s="3">
        <v>125</v>
      </c>
      <c r="K3456" s="3">
        <v>58.85</v>
      </c>
      <c r="L3456">
        <v>52.92</v>
      </c>
    </row>
    <row r="3457" spans="1:12">
      <c r="A3457" s="1">
        <v>46037</v>
      </c>
      <c r="B3457" t="s">
        <v>9069</v>
      </c>
      <c r="C3457">
        <v>12</v>
      </c>
      <c r="D3457" t="str">
        <f>VLOOKUP(Tabela26[[#This Row],[EMP]],[1]LOJA!$A:$B,2,0)</f>
        <v>SOFNORTE</v>
      </c>
      <c r="E3457">
        <v>60</v>
      </c>
      <c r="F3457" t="s">
        <v>3715</v>
      </c>
      <c r="G3457" t="s">
        <v>3714</v>
      </c>
      <c r="H3457" t="s">
        <v>3401</v>
      </c>
      <c r="I3457">
        <v>5405</v>
      </c>
      <c r="J3457" s="3">
        <v>112</v>
      </c>
      <c r="K3457" s="3">
        <v>53.06</v>
      </c>
      <c r="L3457">
        <v>52.63</v>
      </c>
    </row>
    <row r="3458" spans="1:12">
      <c r="A3458" s="1">
        <v>46037</v>
      </c>
      <c r="B3458" t="s">
        <v>9068</v>
      </c>
      <c r="C3458">
        <v>12</v>
      </c>
      <c r="D3458" t="str">
        <f>VLOOKUP(Tabela26[[#This Row],[EMP]],[1]LOJA!$A:$B,2,0)</f>
        <v>SOFNORTE</v>
      </c>
      <c r="E3458">
        <v>60</v>
      </c>
      <c r="F3458" t="s">
        <v>3698</v>
      </c>
      <c r="G3458" t="s">
        <v>3697</v>
      </c>
      <c r="H3458" t="s">
        <v>3408</v>
      </c>
      <c r="I3458">
        <v>5102</v>
      </c>
      <c r="J3458" s="3">
        <v>133</v>
      </c>
      <c r="K3458" s="3">
        <v>68.25</v>
      </c>
      <c r="L3458">
        <v>48.68</v>
      </c>
    </row>
    <row r="3459" spans="1:12">
      <c r="A3459" s="1">
        <v>46037</v>
      </c>
      <c r="B3459" t="s">
        <v>9067</v>
      </c>
      <c r="C3459">
        <v>12</v>
      </c>
      <c r="D3459" t="str">
        <f>VLOOKUP(Tabela26[[#This Row],[EMP]],[1]LOJA!$A:$B,2,0)</f>
        <v>SOFNORTE</v>
      </c>
      <c r="E3459">
        <v>60</v>
      </c>
      <c r="F3459" t="s">
        <v>6686</v>
      </c>
      <c r="G3459" t="s">
        <v>3402</v>
      </c>
      <c r="H3459" t="s">
        <v>3408</v>
      </c>
      <c r="I3459">
        <v>5102</v>
      </c>
      <c r="J3459" s="3">
        <v>4.5</v>
      </c>
      <c r="K3459" s="3">
        <v>2.2400000000000002</v>
      </c>
      <c r="L3459">
        <v>50.22</v>
      </c>
    </row>
    <row r="3460" spans="1:12">
      <c r="A3460" s="1">
        <v>46037</v>
      </c>
      <c r="B3460" t="s">
        <v>9066</v>
      </c>
      <c r="C3460">
        <v>12</v>
      </c>
      <c r="D3460" t="str">
        <f>VLOOKUP(Tabela26[[#This Row],[EMP]],[1]LOJA!$A:$B,2,0)</f>
        <v>SOFNORTE</v>
      </c>
      <c r="E3460">
        <v>60</v>
      </c>
      <c r="F3460" t="s">
        <v>3403</v>
      </c>
      <c r="G3460" t="s">
        <v>3402</v>
      </c>
      <c r="H3460" t="s">
        <v>3401</v>
      </c>
      <c r="I3460">
        <v>5405</v>
      </c>
      <c r="J3460" s="3">
        <v>29.9</v>
      </c>
      <c r="K3460" s="3">
        <v>12.63</v>
      </c>
      <c r="L3460">
        <v>57.76</v>
      </c>
    </row>
    <row r="3461" spans="1:12">
      <c r="A3461" s="1">
        <v>46037</v>
      </c>
      <c r="B3461" t="s">
        <v>9065</v>
      </c>
      <c r="C3461">
        <v>12</v>
      </c>
      <c r="D3461" t="str">
        <f>VLOOKUP(Tabela26[[#This Row],[EMP]],[1]LOJA!$A:$B,2,0)</f>
        <v>SOFNORTE</v>
      </c>
      <c r="E3461">
        <v>239</v>
      </c>
      <c r="F3461" t="s">
        <v>3691</v>
      </c>
      <c r="G3461" t="s">
        <v>3690</v>
      </c>
      <c r="H3461" t="s">
        <v>3520</v>
      </c>
      <c r="I3461">
        <v>5102</v>
      </c>
      <c r="J3461" s="3">
        <v>92.92</v>
      </c>
      <c r="K3461" s="3">
        <v>45.05</v>
      </c>
      <c r="L3461">
        <v>51.52</v>
      </c>
    </row>
    <row r="3462" spans="1:12">
      <c r="A3462" s="1">
        <v>46037</v>
      </c>
      <c r="B3462" t="s">
        <v>9064</v>
      </c>
      <c r="C3462">
        <v>14</v>
      </c>
      <c r="D3462" t="str">
        <f>VLOOKUP(Tabela26[[#This Row],[EMP]],[1]LOJA!$A:$B,2,0)</f>
        <v>S IA</v>
      </c>
      <c r="E3462">
        <v>54</v>
      </c>
      <c r="F3462" t="s">
        <v>3403</v>
      </c>
      <c r="G3462" t="s">
        <v>3402</v>
      </c>
      <c r="H3462" t="s">
        <v>3401</v>
      </c>
      <c r="I3462">
        <v>5102</v>
      </c>
      <c r="J3462" s="3">
        <v>32</v>
      </c>
      <c r="K3462" s="3">
        <v>18.62</v>
      </c>
      <c r="L3462">
        <v>41.81</v>
      </c>
    </row>
    <row r="3463" spans="1:12">
      <c r="A3463" s="1">
        <v>46037</v>
      </c>
      <c r="B3463" t="s">
        <v>9063</v>
      </c>
      <c r="C3463">
        <v>14</v>
      </c>
      <c r="D3463" t="str">
        <f>VLOOKUP(Tabela26[[#This Row],[EMP]],[1]LOJA!$A:$B,2,0)</f>
        <v>S IA</v>
      </c>
      <c r="E3463">
        <v>212</v>
      </c>
      <c r="F3463" t="s">
        <v>3403</v>
      </c>
      <c r="G3463" t="s">
        <v>9061</v>
      </c>
      <c r="H3463" t="s">
        <v>3401</v>
      </c>
      <c r="I3463">
        <v>5405</v>
      </c>
      <c r="J3463" s="3">
        <v>40</v>
      </c>
      <c r="K3463" s="3">
        <v>17.87</v>
      </c>
      <c r="L3463">
        <v>55.33</v>
      </c>
    </row>
    <row r="3464" spans="1:12">
      <c r="A3464" s="1">
        <v>46037</v>
      </c>
      <c r="B3464" t="s">
        <v>9062</v>
      </c>
      <c r="C3464">
        <v>14</v>
      </c>
      <c r="D3464" t="str">
        <f>VLOOKUP(Tabela26[[#This Row],[EMP]],[1]LOJA!$A:$B,2,0)</f>
        <v>S IA</v>
      </c>
      <c r="E3464">
        <v>212</v>
      </c>
      <c r="F3464" t="s">
        <v>3403</v>
      </c>
      <c r="G3464" t="s">
        <v>9061</v>
      </c>
      <c r="H3464" t="s">
        <v>3401</v>
      </c>
      <c r="I3464">
        <v>5102</v>
      </c>
      <c r="J3464" s="3">
        <v>22</v>
      </c>
      <c r="K3464" s="3">
        <v>10.36</v>
      </c>
      <c r="L3464">
        <v>52.91</v>
      </c>
    </row>
    <row r="3465" spans="1:12">
      <c r="A3465" s="1">
        <v>46037</v>
      </c>
      <c r="B3465" t="s">
        <v>9060</v>
      </c>
      <c r="C3465">
        <v>14</v>
      </c>
      <c r="D3465" t="str">
        <f>VLOOKUP(Tabela26[[#This Row],[EMP]],[1]LOJA!$A:$B,2,0)</f>
        <v>S IA</v>
      </c>
      <c r="E3465">
        <v>212</v>
      </c>
      <c r="F3465" t="s">
        <v>3403</v>
      </c>
      <c r="G3465" t="s">
        <v>3402</v>
      </c>
      <c r="H3465" t="s">
        <v>3401</v>
      </c>
      <c r="I3465">
        <v>5405</v>
      </c>
      <c r="J3465" s="3">
        <v>430</v>
      </c>
      <c r="K3465" s="3">
        <v>218.32</v>
      </c>
      <c r="L3465">
        <v>49.23</v>
      </c>
    </row>
    <row r="3466" spans="1:12">
      <c r="A3466" s="1">
        <v>46037</v>
      </c>
      <c r="B3466" t="s">
        <v>9059</v>
      </c>
      <c r="C3466">
        <v>14</v>
      </c>
      <c r="D3466" t="str">
        <f>VLOOKUP(Tabela26[[#This Row],[EMP]],[1]LOJA!$A:$B,2,0)</f>
        <v>S IA</v>
      </c>
      <c r="E3466">
        <v>54</v>
      </c>
      <c r="F3466" t="s">
        <v>3478</v>
      </c>
      <c r="G3466" t="s">
        <v>3477</v>
      </c>
      <c r="H3466" t="s">
        <v>3408</v>
      </c>
      <c r="I3466">
        <v>5405</v>
      </c>
      <c r="J3466" s="3">
        <v>288</v>
      </c>
      <c r="K3466" s="3">
        <v>150.91999999999999</v>
      </c>
      <c r="L3466">
        <v>47.6</v>
      </c>
    </row>
    <row r="3467" spans="1:12">
      <c r="A3467" s="1">
        <v>46037</v>
      </c>
      <c r="B3467" t="s">
        <v>9058</v>
      </c>
      <c r="C3467">
        <v>14</v>
      </c>
      <c r="D3467" t="str">
        <f>VLOOKUP(Tabela26[[#This Row],[EMP]],[1]LOJA!$A:$B,2,0)</f>
        <v>S IA</v>
      </c>
      <c r="E3467">
        <v>54</v>
      </c>
      <c r="F3467" t="s">
        <v>9057</v>
      </c>
      <c r="G3467" t="s">
        <v>9056</v>
      </c>
      <c r="H3467" t="s">
        <v>3401</v>
      </c>
      <c r="I3467">
        <v>5405</v>
      </c>
      <c r="J3467" s="3">
        <v>60</v>
      </c>
      <c r="K3467" s="3">
        <v>31.61</v>
      </c>
      <c r="L3467">
        <v>47.32</v>
      </c>
    </row>
    <row r="3468" spans="1:12">
      <c r="A3468" s="1">
        <v>46037</v>
      </c>
      <c r="B3468" t="s">
        <v>9055</v>
      </c>
      <c r="C3468">
        <v>14</v>
      </c>
      <c r="D3468" t="str">
        <f>VLOOKUP(Tabela26[[#This Row],[EMP]],[1]LOJA!$A:$B,2,0)</f>
        <v>S IA</v>
      </c>
      <c r="E3468">
        <v>212</v>
      </c>
      <c r="F3468" t="s">
        <v>3478</v>
      </c>
      <c r="G3468" t="s">
        <v>3477</v>
      </c>
      <c r="H3468" t="s">
        <v>3408</v>
      </c>
      <c r="I3468">
        <v>5405</v>
      </c>
      <c r="J3468" s="3">
        <v>37.01</v>
      </c>
      <c r="K3468" s="3">
        <v>16.100000000000001</v>
      </c>
      <c r="L3468">
        <v>56.5</v>
      </c>
    </row>
    <row r="3469" spans="1:12">
      <c r="A3469" s="1">
        <v>46037</v>
      </c>
      <c r="B3469" t="s">
        <v>9054</v>
      </c>
      <c r="C3469">
        <v>14</v>
      </c>
      <c r="D3469" t="str">
        <f>VLOOKUP(Tabela26[[#This Row],[EMP]],[1]LOJA!$A:$B,2,0)</f>
        <v>S IA</v>
      </c>
      <c r="E3469">
        <v>54</v>
      </c>
      <c r="F3469" t="s">
        <v>9053</v>
      </c>
      <c r="G3469" t="s">
        <v>3402</v>
      </c>
      <c r="H3469" t="s">
        <v>3401</v>
      </c>
      <c r="I3469">
        <v>5102</v>
      </c>
      <c r="J3469" s="3">
        <v>29.9</v>
      </c>
      <c r="K3469" s="3">
        <v>13.73</v>
      </c>
      <c r="L3469">
        <v>54.08</v>
      </c>
    </row>
    <row r="3470" spans="1:12">
      <c r="A3470" s="1">
        <v>46037</v>
      </c>
      <c r="B3470" t="s">
        <v>9052</v>
      </c>
      <c r="C3470">
        <v>14</v>
      </c>
      <c r="D3470" t="str">
        <f>VLOOKUP(Tabela26[[#This Row],[EMP]],[1]LOJA!$A:$B,2,0)</f>
        <v>S IA</v>
      </c>
      <c r="E3470">
        <v>212</v>
      </c>
      <c r="F3470" t="s">
        <v>9051</v>
      </c>
      <c r="G3470" t="s">
        <v>9050</v>
      </c>
      <c r="H3470" t="s">
        <v>3401</v>
      </c>
      <c r="I3470">
        <v>5405</v>
      </c>
      <c r="J3470" s="3">
        <v>125</v>
      </c>
      <c r="K3470" s="3">
        <v>62.38</v>
      </c>
      <c r="L3470">
        <v>50.1</v>
      </c>
    </row>
    <row r="3471" spans="1:12">
      <c r="A3471" s="1">
        <v>46037</v>
      </c>
      <c r="B3471" t="s">
        <v>9049</v>
      </c>
      <c r="C3471">
        <v>14</v>
      </c>
      <c r="D3471" t="str">
        <f>VLOOKUP(Tabela26[[#This Row],[EMP]],[1]LOJA!$A:$B,2,0)</f>
        <v>S IA</v>
      </c>
      <c r="E3471">
        <v>54</v>
      </c>
      <c r="F3471" t="s">
        <v>3403</v>
      </c>
      <c r="G3471" t="s">
        <v>3402</v>
      </c>
      <c r="H3471" t="s">
        <v>3401</v>
      </c>
      <c r="I3471">
        <v>5102</v>
      </c>
      <c r="J3471" s="3">
        <v>100</v>
      </c>
      <c r="K3471" s="3">
        <v>51.58</v>
      </c>
      <c r="L3471">
        <v>48.42</v>
      </c>
    </row>
    <row r="3472" spans="1:12">
      <c r="A3472" s="1">
        <v>46037</v>
      </c>
      <c r="B3472" t="s">
        <v>9048</v>
      </c>
      <c r="C3472">
        <v>14</v>
      </c>
      <c r="D3472" t="str">
        <f>VLOOKUP(Tabela26[[#This Row],[EMP]],[1]LOJA!$A:$B,2,0)</f>
        <v>S IA</v>
      </c>
      <c r="E3472">
        <v>212</v>
      </c>
      <c r="F3472" t="s">
        <v>5599</v>
      </c>
      <c r="G3472" t="s">
        <v>5598</v>
      </c>
      <c r="H3472" t="s">
        <v>3408</v>
      </c>
      <c r="I3472">
        <v>5405</v>
      </c>
      <c r="J3472" s="3">
        <v>82.9</v>
      </c>
      <c r="K3472" s="3">
        <v>41.41</v>
      </c>
      <c r="L3472">
        <v>50.05</v>
      </c>
    </row>
    <row r="3473" spans="1:12">
      <c r="A3473" s="1">
        <v>46037</v>
      </c>
      <c r="B3473" t="s">
        <v>9047</v>
      </c>
      <c r="C3473">
        <v>14</v>
      </c>
      <c r="D3473" t="str">
        <f>VLOOKUP(Tabela26[[#This Row],[EMP]],[1]LOJA!$A:$B,2,0)</f>
        <v>S IA</v>
      </c>
      <c r="E3473">
        <v>54</v>
      </c>
      <c r="F3473" t="s">
        <v>9046</v>
      </c>
      <c r="G3473" t="s">
        <v>3402</v>
      </c>
      <c r="H3473" t="s">
        <v>3408</v>
      </c>
      <c r="I3473">
        <v>5102</v>
      </c>
      <c r="J3473" s="3">
        <v>67.98</v>
      </c>
      <c r="K3473" s="3">
        <v>36.93</v>
      </c>
      <c r="L3473">
        <v>45.68</v>
      </c>
    </row>
    <row r="3474" spans="1:12">
      <c r="A3474" s="1">
        <v>46037</v>
      </c>
      <c r="B3474" t="s">
        <v>9045</v>
      </c>
      <c r="C3474">
        <v>14</v>
      </c>
      <c r="D3474" t="str">
        <f>VLOOKUP(Tabela26[[#This Row],[EMP]],[1]LOJA!$A:$B,2,0)</f>
        <v>S IA</v>
      </c>
      <c r="E3474">
        <v>212</v>
      </c>
      <c r="F3474" t="s">
        <v>9044</v>
      </c>
      <c r="G3474" t="s">
        <v>3402</v>
      </c>
      <c r="H3474" t="s">
        <v>3408</v>
      </c>
      <c r="I3474">
        <v>5405</v>
      </c>
      <c r="J3474" s="3">
        <v>48</v>
      </c>
      <c r="K3474" s="3">
        <v>16.87</v>
      </c>
      <c r="L3474">
        <v>64.849999999999994</v>
      </c>
    </row>
    <row r="3475" spans="1:12">
      <c r="A3475" s="1">
        <v>46037</v>
      </c>
      <c r="B3475" t="s">
        <v>9043</v>
      </c>
      <c r="C3475">
        <v>4</v>
      </c>
      <c r="D3475" t="str">
        <f>VLOOKUP(Tabela26[[#This Row],[EMP]],[1]LOJA!$A:$B,2,0)</f>
        <v>ADE</v>
      </c>
      <c r="E3475">
        <v>132</v>
      </c>
      <c r="F3475" t="s">
        <v>3677</v>
      </c>
      <c r="G3475" t="s">
        <v>3676</v>
      </c>
      <c r="H3475" t="s">
        <v>4249</v>
      </c>
      <c r="I3475">
        <v>5102</v>
      </c>
      <c r="J3475" s="3">
        <v>560</v>
      </c>
      <c r="K3475" s="3">
        <v>139.06</v>
      </c>
      <c r="L3475">
        <v>75.17</v>
      </c>
    </row>
    <row r="3476" spans="1:12">
      <c r="A3476" s="1">
        <v>46037</v>
      </c>
      <c r="B3476" t="s">
        <v>9042</v>
      </c>
      <c r="C3476">
        <v>4</v>
      </c>
      <c r="D3476" t="str">
        <f>VLOOKUP(Tabela26[[#This Row],[EMP]],[1]LOJA!$A:$B,2,0)</f>
        <v>ADE</v>
      </c>
      <c r="E3476">
        <v>132</v>
      </c>
      <c r="F3476" t="s">
        <v>3670</v>
      </c>
      <c r="G3476" t="s">
        <v>3669</v>
      </c>
      <c r="H3476" t="s">
        <v>4249</v>
      </c>
      <c r="I3476">
        <v>5102</v>
      </c>
      <c r="J3476" s="3">
        <v>512</v>
      </c>
      <c r="K3476" s="3">
        <v>232.42</v>
      </c>
      <c r="L3476">
        <v>54.61</v>
      </c>
    </row>
    <row r="3477" spans="1:12">
      <c r="A3477" s="1">
        <v>46037</v>
      </c>
      <c r="B3477" t="s">
        <v>9041</v>
      </c>
      <c r="C3477">
        <v>4</v>
      </c>
      <c r="D3477" t="str">
        <f>VLOOKUP(Tabela26[[#This Row],[EMP]],[1]LOJA!$A:$B,2,0)</f>
        <v>ADE</v>
      </c>
      <c r="E3477">
        <v>109</v>
      </c>
      <c r="F3477" t="s">
        <v>3660</v>
      </c>
      <c r="G3477" t="s">
        <v>3659</v>
      </c>
      <c r="H3477" t="s">
        <v>3430</v>
      </c>
      <c r="I3477">
        <v>5405</v>
      </c>
      <c r="J3477" s="3">
        <v>56.61</v>
      </c>
      <c r="K3477" s="3">
        <v>27.86</v>
      </c>
      <c r="L3477">
        <v>50.79</v>
      </c>
    </row>
    <row r="3478" spans="1:12">
      <c r="A3478" s="1">
        <v>46037</v>
      </c>
      <c r="B3478" t="s">
        <v>9040</v>
      </c>
      <c r="C3478">
        <v>4</v>
      </c>
      <c r="D3478" t="str">
        <f>VLOOKUP(Tabela26[[#This Row],[EMP]],[1]LOJA!$A:$B,2,0)</f>
        <v>ADE</v>
      </c>
      <c r="E3478">
        <v>132</v>
      </c>
      <c r="F3478" t="s">
        <v>5027</v>
      </c>
      <c r="G3478" t="s">
        <v>5026</v>
      </c>
      <c r="H3478" t="s">
        <v>3430</v>
      </c>
      <c r="I3478">
        <v>5102</v>
      </c>
      <c r="J3478" s="3">
        <v>431</v>
      </c>
      <c r="K3478" s="3">
        <v>215.97</v>
      </c>
      <c r="L3478">
        <v>49.89</v>
      </c>
    </row>
    <row r="3479" spans="1:12">
      <c r="A3479" s="1">
        <v>46037</v>
      </c>
      <c r="B3479" t="s">
        <v>9039</v>
      </c>
      <c r="C3479">
        <v>4</v>
      </c>
      <c r="D3479" t="str">
        <f>VLOOKUP(Tabela26[[#This Row],[EMP]],[1]LOJA!$A:$B,2,0)</f>
        <v>ADE</v>
      </c>
      <c r="E3479">
        <v>132</v>
      </c>
      <c r="F3479" t="s">
        <v>9038</v>
      </c>
      <c r="G3479" t="s">
        <v>9037</v>
      </c>
      <c r="H3479" t="s">
        <v>3430</v>
      </c>
      <c r="I3479">
        <v>5102</v>
      </c>
      <c r="J3479" s="3">
        <v>78.900000000000006</v>
      </c>
      <c r="K3479" s="3">
        <v>41.6</v>
      </c>
      <c r="L3479">
        <v>47.28</v>
      </c>
    </row>
    <row r="3480" spans="1:12">
      <c r="A3480" s="1">
        <v>46037</v>
      </c>
      <c r="B3480" t="s">
        <v>9036</v>
      </c>
      <c r="C3480">
        <v>4</v>
      </c>
      <c r="D3480" t="str">
        <f>VLOOKUP(Tabela26[[#This Row],[EMP]],[1]LOJA!$A:$B,2,0)</f>
        <v>ADE</v>
      </c>
      <c r="E3480">
        <v>132</v>
      </c>
      <c r="F3480" t="s">
        <v>3664</v>
      </c>
      <c r="G3480" t="s">
        <v>3663</v>
      </c>
      <c r="H3480" t="s">
        <v>3430</v>
      </c>
      <c r="I3480">
        <v>5102</v>
      </c>
      <c r="J3480" s="3">
        <v>297.39999999999998</v>
      </c>
      <c r="K3480" s="3">
        <v>152.46</v>
      </c>
      <c r="L3480">
        <v>48.74</v>
      </c>
    </row>
    <row r="3481" spans="1:12">
      <c r="A3481" s="1">
        <v>46037</v>
      </c>
      <c r="B3481" t="s">
        <v>9035</v>
      </c>
      <c r="C3481">
        <v>4</v>
      </c>
      <c r="D3481" t="str">
        <f>VLOOKUP(Tabela26[[#This Row],[EMP]],[1]LOJA!$A:$B,2,0)</f>
        <v>ADE</v>
      </c>
      <c r="E3481">
        <v>132</v>
      </c>
      <c r="F3481" t="s">
        <v>3677</v>
      </c>
      <c r="G3481" t="s">
        <v>3676</v>
      </c>
      <c r="H3481" t="s">
        <v>3679</v>
      </c>
      <c r="I3481">
        <v>5102</v>
      </c>
      <c r="J3481" s="3">
        <v>1730</v>
      </c>
      <c r="K3481" s="3">
        <v>1273.43</v>
      </c>
      <c r="L3481">
        <v>26.39</v>
      </c>
    </row>
    <row r="3482" spans="1:12">
      <c r="A3482" s="1">
        <v>46037</v>
      </c>
      <c r="B3482" t="s">
        <v>9034</v>
      </c>
      <c r="C3482">
        <v>4</v>
      </c>
      <c r="D3482" t="str">
        <f>VLOOKUP(Tabela26[[#This Row],[EMP]],[1]LOJA!$A:$B,2,0)</f>
        <v>ADE</v>
      </c>
      <c r="E3482">
        <v>132</v>
      </c>
      <c r="F3482" t="s">
        <v>3667</v>
      </c>
      <c r="G3482" t="s">
        <v>3666</v>
      </c>
      <c r="H3482" t="s">
        <v>3430</v>
      </c>
      <c r="I3482">
        <v>5405</v>
      </c>
      <c r="J3482" s="3">
        <v>42</v>
      </c>
      <c r="K3482" s="3">
        <v>20.27</v>
      </c>
      <c r="L3482">
        <v>51.74</v>
      </c>
    </row>
    <row r="3483" spans="1:12">
      <c r="A3483" s="1">
        <v>46037</v>
      </c>
      <c r="B3483" t="s">
        <v>9033</v>
      </c>
      <c r="C3483">
        <v>4</v>
      </c>
      <c r="D3483" t="str">
        <f>VLOOKUP(Tabela26[[#This Row],[EMP]],[1]LOJA!$A:$B,2,0)</f>
        <v>ADE</v>
      </c>
      <c r="E3483">
        <v>132</v>
      </c>
      <c r="F3483" t="s">
        <v>6220</v>
      </c>
      <c r="G3483" t="s">
        <v>6219</v>
      </c>
      <c r="H3483" t="s">
        <v>3679</v>
      </c>
      <c r="I3483">
        <v>5102</v>
      </c>
      <c r="J3483" s="3">
        <v>1536.68</v>
      </c>
      <c r="K3483" s="3">
        <v>818.02</v>
      </c>
      <c r="L3483">
        <v>46.77</v>
      </c>
    </row>
    <row r="3484" spans="1:12">
      <c r="A3484" s="1">
        <v>46037</v>
      </c>
      <c r="B3484" t="s">
        <v>9032</v>
      </c>
      <c r="C3484">
        <v>4</v>
      </c>
      <c r="D3484" t="str">
        <f>VLOOKUP(Tabela26[[#This Row],[EMP]],[1]LOJA!$A:$B,2,0)</f>
        <v>ADE</v>
      </c>
      <c r="E3484">
        <v>132</v>
      </c>
      <c r="F3484" t="s">
        <v>9031</v>
      </c>
      <c r="G3484" t="s">
        <v>9030</v>
      </c>
      <c r="H3484" t="s">
        <v>4249</v>
      </c>
      <c r="I3484">
        <v>5405</v>
      </c>
      <c r="J3484" s="3">
        <v>593.1</v>
      </c>
      <c r="K3484" s="3">
        <v>303.66000000000003</v>
      </c>
      <c r="L3484">
        <v>48.8</v>
      </c>
    </row>
    <row r="3485" spans="1:12">
      <c r="A3485" s="1">
        <v>46037</v>
      </c>
      <c r="B3485" t="s">
        <v>9029</v>
      </c>
      <c r="C3485">
        <v>13</v>
      </c>
      <c r="D3485" t="str">
        <f>VLOOKUP(Tabela26[[#This Row],[EMP]],[1]LOJA!$A:$B,2,0)</f>
        <v>CEILÂNDIA</v>
      </c>
      <c r="E3485">
        <v>86</v>
      </c>
      <c r="F3485" t="s">
        <v>3629</v>
      </c>
      <c r="G3485" t="s">
        <v>3628</v>
      </c>
      <c r="H3485" t="s">
        <v>3401</v>
      </c>
      <c r="I3485">
        <v>5405</v>
      </c>
      <c r="J3485" s="3">
        <v>231</v>
      </c>
      <c r="K3485" s="3">
        <v>117.01</v>
      </c>
      <c r="L3485">
        <v>49.35</v>
      </c>
    </row>
    <row r="3486" spans="1:12">
      <c r="A3486" s="1">
        <v>46037</v>
      </c>
      <c r="B3486" t="s">
        <v>9028</v>
      </c>
      <c r="C3486">
        <v>13</v>
      </c>
      <c r="D3486" t="str">
        <f>VLOOKUP(Tabela26[[#This Row],[EMP]],[1]LOJA!$A:$B,2,0)</f>
        <v>CEILÂNDIA</v>
      </c>
      <c r="E3486">
        <v>86</v>
      </c>
      <c r="F3486" t="s">
        <v>3406</v>
      </c>
      <c r="G3486" t="s">
        <v>3405</v>
      </c>
      <c r="H3486" t="s">
        <v>3408</v>
      </c>
      <c r="I3486">
        <v>5102</v>
      </c>
      <c r="J3486" s="3">
        <v>60</v>
      </c>
      <c r="K3486" s="3">
        <v>36.840000000000003</v>
      </c>
      <c r="L3486">
        <v>38.6</v>
      </c>
    </row>
    <row r="3487" spans="1:12">
      <c r="A3487" s="1">
        <v>46037</v>
      </c>
      <c r="B3487" t="s">
        <v>9027</v>
      </c>
      <c r="C3487">
        <v>13</v>
      </c>
      <c r="D3487" t="str">
        <f>VLOOKUP(Tabela26[[#This Row],[EMP]],[1]LOJA!$A:$B,2,0)</f>
        <v>CEILÂNDIA</v>
      </c>
      <c r="E3487">
        <v>86</v>
      </c>
      <c r="F3487" t="s">
        <v>3403</v>
      </c>
      <c r="G3487" t="s">
        <v>3402</v>
      </c>
      <c r="H3487" t="s">
        <v>3401</v>
      </c>
      <c r="I3487">
        <v>5405</v>
      </c>
      <c r="J3487" s="3">
        <v>40</v>
      </c>
      <c r="K3487" s="3">
        <v>15.62</v>
      </c>
      <c r="L3487">
        <v>60.95</v>
      </c>
    </row>
    <row r="3488" spans="1:12">
      <c r="A3488" s="1">
        <v>46037</v>
      </c>
      <c r="B3488" t="s">
        <v>9026</v>
      </c>
      <c r="C3488">
        <v>13</v>
      </c>
      <c r="D3488" t="str">
        <f>VLOOKUP(Tabela26[[#This Row],[EMP]],[1]LOJA!$A:$B,2,0)</f>
        <v>CEILÂNDIA</v>
      </c>
      <c r="E3488">
        <v>86</v>
      </c>
      <c r="F3488" t="s">
        <v>3612</v>
      </c>
      <c r="G3488" t="s">
        <v>3611</v>
      </c>
      <c r="H3488" t="s">
        <v>3401</v>
      </c>
      <c r="I3488">
        <v>5102</v>
      </c>
      <c r="J3488" s="3">
        <v>93</v>
      </c>
      <c r="K3488" s="3">
        <v>52.89</v>
      </c>
      <c r="L3488">
        <v>43.13</v>
      </c>
    </row>
    <row r="3489" spans="1:12">
      <c r="A3489" s="1">
        <v>46037</v>
      </c>
      <c r="B3489" t="s">
        <v>9025</v>
      </c>
      <c r="C3489">
        <v>13</v>
      </c>
      <c r="D3489" t="str">
        <f>VLOOKUP(Tabela26[[#This Row],[EMP]],[1]LOJA!$A:$B,2,0)</f>
        <v>CEILÂNDIA</v>
      </c>
      <c r="E3489">
        <v>33</v>
      </c>
      <c r="F3489" t="s">
        <v>3403</v>
      </c>
      <c r="G3489" t="s">
        <v>3402</v>
      </c>
      <c r="H3489" t="s">
        <v>3401</v>
      </c>
      <c r="I3489">
        <v>5102</v>
      </c>
      <c r="J3489" s="3">
        <v>117</v>
      </c>
      <c r="K3489" s="3">
        <v>62.85</v>
      </c>
      <c r="L3489">
        <v>46.28</v>
      </c>
    </row>
    <row r="3490" spans="1:12">
      <c r="A3490" s="1">
        <v>46037</v>
      </c>
      <c r="B3490" t="s">
        <v>9024</v>
      </c>
      <c r="C3490">
        <v>13</v>
      </c>
      <c r="D3490" t="str">
        <f>VLOOKUP(Tabela26[[#This Row],[EMP]],[1]LOJA!$A:$B,2,0)</f>
        <v>CEILÂNDIA</v>
      </c>
      <c r="E3490">
        <v>86</v>
      </c>
      <c r="F3490" t="s">
        <v>5565</v>
      </c>
      <c r="G3490" t="s">
        <v>5564</v>
      </c>
      <c r="H3490" t="s">
        <v>3520</v>
      </c>
      <c r="I3490">
        <v>5405</v>
      </c>
      <c r="J3490" s="3">
        <v>115</v>
      </c>
      <c r="K3490" s="3">
        <v>63.19</v>
      </c>
      <c r="L3490">
        <v>45.05</v>
      </c>
    </row>
    <row r="3491" spans="1:12">
      <c r="A3491" s="1">
        <v>46037</v>
      </c>
      <c r="B3491" t="s">
        <v>9023</v>
      </c>
      <c r="C3491">
        <v>13</v>
      </c>
      <c r="D3491" t="str">
        <f>VLOOKUP(Tabela26[[#This Row],[EMP]],[1]LOJA!$A:$B,2,0)</f>
        <v>CEILÂNDIA</v>
      </c>
      <c r="E3491">
        <v>86</v>
      </c>
      <c r="F3491" t="s">
        <v>9007</v>
      </c>
      <c r="G3491" t="s">
        <v>9006</v>
      </c>
      <c r="H3491" t="s">
        <v>3520</v>
      </c>
      <c r="I3491">
        <v>5405</v>
      </c>
      <c r="J3491" s="3">
        <v>188</v>
      </c>
      <c r="K3491" s="3">
        <v>94.28</v>
      </c>
      <c r="L3491">
        <v>49.85</v>
      </c>
    </row>
    <row r="3492" spans="1:12">
      <c r="A3492" s="1">
        <v>46037</v>
      </c>
      <c r="B3492" t="s">
        <v>9022</v>
      </c>
      <c r="C3492">
        <v>13</v>
      </c>
      <c r="D3492" t="str">
        <f>VLOOKUP(Tabela26[[#This Row],[EMP]],[1]LOJA!$A:$B,2,0)</f>
        <v>CEILÂNDIA</v>
      </c>
      <c r="E3492">
        <v>86</v>
      </c>
      <c r="F3492" t="s">
        <v>6633</v>
      </c>
      <c r="G3492" t="s">
        <v>3402</v>
      </c>
      <c r="H3492" t="s">
        <v>3408</v>
      </c>
      <c r="I3492">
        <v>5405</v>
      </c>
      <c r="J3492" s="3">
        <v>155</v>
      </c>
      <c r="K3492" s="3">
        <v>67.64</v>
      </c>
      <c r="L3492">
        <v>56.36</v>
      </c>
    </row>
    <row r="3493" spans="1:12">
      <c r="A3493" s="1">
        <v>46037</v>
      </c>
      <c r="B3493" t="s">
        <v>9021</v>
      </c>
      <c r="C3493">
        <v>13</v>
      </c>
      <c r="D3493" t="str">
        <f>VLOOKUP(Tabela26[[#This Row],[EMP]],[1]LOJA!$A:$B,2,0)</f>
        <v>CEILÂNDIA</v>
      </c>
      <c r="E3493">
        <v>33</v>
      </c>
      <c r="F3493" t="s">
        <v>3591</v>
      </c>
      <c r="G3493" t="s">
        <v>3590</v>
      </c>
      <c r="H3493" t="s">
        <v>3520</v>
      </c>
      <c r="I3493">
        <v>5102</v>
      </c>
      <c r="J3493" s="3">
        <v>389.34</v>
      </c>
      <c r="K3493" s="3">
        <v>219.79</v>
      </c>
      <c r="L3493">
        <v>43.55</v>
      </c>
    </row>
    <row r="3494" spans="1:12">
      <c r="A3494" s="1">
        <v>46037</v>
      </c>
      <c r="B3494" t="s">
        <v>9020</v>
      </c>
      <c r="C3494">
        <v>13</v>
      </c>
      <c r="D3494" t="str">
        <f>VLOOKUP(Tabela26[[#This Row],[EMP]],[1]LOJA!$A:$B,2,0)</f>
        <v>CEILÂNDIA</v>
      </c>
      <c r="E3494">
        <v>86</v>
      </c>
      <c r="F3494" t="s">
        <v>3622</v>
      </c>
      <c r="G3494" t="s">
        <v>3402</v>
      </c>
      <c r="H3494" t="s">
        <v>3408</v>
      </c>
      <c r="I3494">
        <v>5405</v>
      </c>
      <c r="J3494" s="3">
        <v>124</v>
      </c>
      <c r="K3494" s="3">
        <v>68.91</v>
      </c>
      <c r="L3494">
        <v>44.43</v>
      </c>
    </row>
    <row r="3495" spans="1:12">
      <c r="A3495" s="1">
        <v>46037</v>
      </c>
      <c r="B3495" t="s">
        <v>9019</v>
      </c>
      <c r="C3495">
        <v>13</v>
      </c>
      <c r="D3495" t="str">
        <f>VLOOKUP(Tabela26[[#This Row],[EMP]],[1]LOJA!$A:$B,2,0)</f>
        <v>CEILÂNDIA</v>
      </c>
      <c r="E3495">
        <v>86</v>
      </c>
      <c r="F3495" t="s">
        <v>3403</v>
      </c>
      <c r="G3495" t="s">
        <v>3402</v>
      </c>
      <c r="H3495" t="s">
        <v>3401</v>
      </c>
      <c r="I3495">
        <v>5102</v>
      </c>
      <c r="J3495" s="3">
        <v>15</v>
      </c>
      <c r="K3495" s="3">
        <v>6.78</v>
      </c>
      <c r="L3495">
        <v>54.8</v>
      </c>
    </row>
    <row r="3496" spans="1:12">
      <c r="A3496" s="1">
        <v>46037</v>
      </c>
      <c r="B3496" t="s">
        <v>9018</v>
      </c>
      <c r="C3496">
        <v>13</v>
      </c>
      <c r="D3496" t="str">
        <f>VLOOKUP(Tabela26[[#This Row],[EMP]],[1]LOJA!$A:$B,2,0)</f>
        <v>CEILÂNDIA</v>
      </c>
      <c r="E3496">
        <v>86</v>
      </c>
      <c r="F3496" t="s">
        <v>9007</v>
      </c>
      <c r="G3496" t="s">
        <v>9006</v>
      </c>
      <c r="H3496" t="s">
        <v>3520</v>
      </c>
      <c r="I3496">
        <v>5102</v>
      </c>
      <c r="J3496" s="3">
        <v>136.9</v>
      </c>
      <c r="K3496" s="3">
        <v>73.81</v>
      </c>
      <c r="L3496">
        <v>46.08</v>
      </c>
    </row>
    <row r="3497" spans="1:12">
      <c r="A3497" s="1">
        <v>46037</v>
      </c>
      <c r="B3497" t="s">
        <v>9017</v>
      </c>
      <c r="C3497">
        <v>13</v>
      </c>
      <c r="D3497" t="str">
        <f>VLOOKUP(Tabela26[[#This Row],[EMP]],[1]LOJA!$A:$B,2,0)</f>
        <v>CEILÂNDIA</v>
      </c>
      <c r="E3497">
        <v>86</v>
      </c>
      <c r="F3497" t="s">
        <v>9015</v>
      </c>
      <c r="G3497" t="s">
        <v>9014</v>
      </c>
      <c r="H3497" t="s">
        <v>3520</v>
      </c>
      <c r="I3497">
        <v>5405</v>
      </c>
      <c r="J3497" s="3">
        <v>215.13</v>
      </c>
      <c r="K3497" s="3">
        <v>110.6</v>
      </c>
      <c r="L3497">
        <v>48.59</v>
      </c>
    </row>
    <row r="3498" spans="1:12">
      <c r="A3498" s="1">
        <v>46037</v>
      </c>
      <c r="B3498" t="s">
        <v>9016</v>
      </c>
      <c r="C3498">
        <v>13</v>
      </c>
      <c r="D3498" t="str">
        <f>VLOOKUP(Tabela26[[#This Row],[EMP]],[1]LOJA!$A:$B,2,0)</f>
        <v>CEILÂNDIA</v>
      </c>
      <c r="E3498">
        <v>86</v>
      </c>
      <c r="F3498" t="s">
        <v>9015</v>
      </c>
      <c r="G3498" t="s">
        <v>9014</v>
      </c>
      <c r="H3498" t="s">
        <v>3520</v>
      </c>
      <c r="I3498">
        <v>5405</v>
      </c>
      <c r="J3498" s="3">
        <v>38</v>
      </c>
      <c r="K3498" s="3">
        <v>19.059999999999999</v>
      </c>
      <c r="L3498">
        <v>49.84</v>
      </c>
    </row>
    <row r="3499" spans="1:12">
      <c r="A3499" s="1">
        <v>46037</v>
      </c>
      <c r="B3499" t="s">
        <v>9013</v>
      </c>
      <c r="C3499">
        <v>13</v>
      </c>
      <c r="D3499" t="str">
        <f>VLOOKUP(Tabela26[[#This Row],[EMP]],[1]LOJA!$A:$B,2,0)</f>
        <v>CEILÂNDIA</v>
      </c>
      <c r="E3499">
        <v>86</v>
      </c>
      <c r="F3499" t="s">
        <v>3622</v>
      </c>
      <c r="G3499" t="s">
        <v>3402</v>
      </c>
      <c r="H3499" t="s">
        <v>3408</v>
      </c>
      <c r="I3499">
        <v>5102</v>
      </c>
      <c r="J3499" s="3">
        <v>16</v>
      </c>
      <c r="K3499" s="3">
        <v>9.76</v>
      </c>
      <c r="L3499">
        <v>39</v>
      </c>
    </row>
    <row r="3500" spans="1:12">
      <c r="A3500" s="1">
        <v>46037</v>
      </c>
      <c r="B3500" t="s">
        <v>9012</v>
      </c>
      <c r="C3500">
        <v>13</v>
      </c>
      <c r="D3500" t="str">
        <f>VLOOKUP(Tabela26[[#This Row],[EMP]],[1]LOJA!$A:$B,2,0)</f>
        <v>CEILÂNDIA</v>
      </c>
      <c r="E3500">
        <v>86</v>
      </c>
      <c r="F3500" t="s">
        <v>3403</v>
      </c>
      <c r="G3500" t="s">
        <v>3402</v>
      </c>
      <c r="H3500" t="s">
        <v>3408</v>
      </c>
      <c r="I3500">
        <v>5405</v>
      </c>
      <c r="J3500" s="3">
        <v>70</v>
      </c>
      <c r="K3500" s="3">
        <v>32.21</v>
      </c>
      <c r="L3500">
        <v>53.99</v>
      </c>
    </row>
    <row r="3501" spans="1:12">
      <c r="A3501" s="1">
        <v>46037</v>
      </c>
      <c r="B3501" t="s">
        <v>9011</v>
      </c>
      <c r="C3501">
        <v>13</v>
      </c>
      <c r="D3501" t="str">
        <f>VLOOKUP(Tabela26[[#This Row],[EMP]],[1]LOJA!$A:$B,2,0)</f>
        <v>CEILÂNDIA</v>
      </c>
      <c r="E3501">
        <v>86</v>
      </c>
      <c r="F3501" t="s">
        <v>3403</v>
      </c>
      <c r="G3501" t="s">
        <v>3402</v>
      </c>
      <c r="H3501" t="s">
        <v>3401</v>
      </c>
      <c r="I3501">
        <v>5102</v>
      </c>
      <c r="J3501" s="3">
        <v>18</v>
      </c>
      <c r="K3501" s="3">
        <v>8.32</v>
      </c>
      <c r="L3501">
        <v>53.78</v>
      </c>
    </row>
    <row r="3502" spans="1:12">
      <c r="A3502" s="1">
        <v>46037</v>
      </c>
      <c r="B3502" t="s">
        <v>9010</v>
      </c>
      <c r="C3502">
        <v>13</v>
      </c>
      <c r="D3502" t="str">
        <f>VLOOKUP(Tabela26[[#This Row],[EMP]],[1]LOJA!$A:$B,2,0)</f>
        <v>CEILÂNDIA</v>
      </c>
      <c r="E3502">
        <v>86</v>
      </c>
      <c r="F3502" t="s">
        <v>3629</v>
      </c>
      <c r="G3502" t="s">
        <v>3628</v>
      </c>
      <c r="H3502" t="s">
        <v>3401</v>
      </c>
      <c r="I3502">
        <v>5405</v>
      </c>
      <c r="J3502" s="3">
        <v>49.9</v>
      </c>
      <c r="K3502" s="3">
        <v>24.62</v>
      </c>
      <c r="L3502">
        <v>50.66</v>
      </c>
    </row>
    <row r="3503" spans="1:12">
      <c r="A3503" s="1">
        <v>46037</v>
      </c>
      <c r="B3503" t="s">
        <v>9009</v>
      </c>
      <c r="C3503">
        <v>13</v>
      </c>
      <c r="D3503" t="str">
        <f>VLOOKUP(Tabela26[[#This Row],[EMP]],[1]LOJA!$A:$B,2,0)</f>
        <v>CEILÂNDIA</v>
      </c>
      <c r="E3503">
        <v>86</v>
      </c>
      <c r="F3503" t="s">
        <v>3406</v>
      </c>
      <c r="G3503" t="s">
        <v>3405</v>
      </c>
      <c r="H3503" t="s">
        <v>3408</v>
      </c>
      <c r="I3503">
        <v>5405</v>
      </c>
      <c r="J3503" s="3">
        <v>180</v>
      </c>
      <c r="K3503" s="3">
        <v>97.93</v>
      </c>
      <c r="L3503">
        <v>45.59</v>
      </c>
    </row>
    <row r="3504" spans="1:12">
      <c r="A3504" s="1">
        <v>46037</v>
      </c>
      <c r="B3504" t="s">
        <v>9008</v>
      </c>
      <c r="C3504">
        <v>13</v>
      </c>
      <c r="D3504" t="str">
        <f>VLOOKUP(Tabela26[[#This Row],[EMP]],[1]LOJA!$A:$B,2,0)</f>
        <v>CEILÂNDIA</v>
      </c>
      <c r="E3504">
        <v>86</v>
      </c>
      <c r="F3504" t="s">
        <v>9007</v>
      </c>
      <c r="G3504" t="s">
        <v>9006</v>
      </c>
      <c r="H3504" t="s">
        <v>3520</v>
      </c>
      <c r="I3504">
        <v>5102</v>
      </c>
      <c r="J3504" s="3">
        <v>45.81</v>
      </c>
      <c r="K3504" s="3">
        <v>25.59</v>
      </c>
      <c r="L3504">
        <v>44.14</v>
      </c>
    </row>
    <row r="3505" spans="1:12">
      <c r="A3505" s="1">
        <v>46037</v>
      </c>
      <c r="B3505" t="s">
        <v>9005</v>
      </c>
      <c r="C3505">
        <v>13</v>
      </c>
      <c r="D3505" t="str">
        <f>VLOOKUP(Tabela26[[#This Row],[EMP]],[1]LOJA!$A:$B,2,0)</f>
        <v>CEILÂNDIA</v>
      </c>
      <c r="E3505">
        <v>86</v>
      </c>
      <c r="F3505" t="s">
        <v>4346</v>
      </c>
      <c r="G3505" t="s">
        <v>4345</v>
      </c>
      <c r="H3505" t="s">
        <v>3408</v>
      </c>
      <c r="I3505">
        <v>5405</v>
      </c>
      <c r="J3505" s="3">
        <v>300.33</v>
      </c>
      <c r="K3505" s="3">
        <v>156.28</v>
      </c>
      <c r="L3505">
        <v>47.96</v>
      </c>
    </row>
    <row r="3506" spans="1:12">
      <c r="A3506" s="1">
        <v>46037</v>
      </c>
      <c r="B3506" t="s">
        <v>9004</v>
      </c>
      <c r="C3506">
        <v>13</v>
      </c>
      <c r="D3506" t="str">
        <f>VLOOKUP(Tabela26[[#This Row],[EMP]],[1]LOJA!$A:$B,2,0)</f>
        <v>CEILÂNDIA</v>
      </c>
      <c r="E3506">
        <v>33</v>
      </c>
      <c r="F3506" t="s">
        <v>9003</v>
      </c>
      <c r="G3506" t="s">
        <v>9002</v>
      </c>
      <c r="H3506" t="s">
        <v>3401</v>
      </c>
      <c r="I3506">
        <v>5102</v>
      </c>
      <c r="J3506" s="3">
        <v>335</v>
      </c>
      <c r="K3506" s="3">
        <v>180.65</v>
      </c>
      <c r="L3506">
        <v>46.07</v>
      </c>
    </row>
    <row r="3507" spans="1:12">
      <c r="A3507" s="1">
        <v>46037</v>
      </c>
      <c r="B3507" t="s">
        <v>9001</v>
      </c>
      <c r="C3507">
        <v>13</v>
      </c>
      <c r="D3507" t="str">
        <f>VLOOKUP(Tabela26[[#This Row],[EMP]],[1]LOJA!$A:$B,2,0)</f>
        <v>CEILÂNDIA</v>
      </c>
      <c r="E3507">
        <v>86</v>
      </c>
      <c r="F3507" t="s">
        <v>3409</v>
      </c>
      <c r="G3507" t="s">
        <v>3402</v>
      </c>
      <c r="H3507" t="s">
        <v>3408</v>
      </c>
      <c r="I3507">
        <v>5102</v>
      </c>
      <c r="J3507" s="3">
        <v>30</v>
      </c>
      <c r="K3507" s="3">
        <v>18.62</v>
      </c>
      <c r="L3507">
        <v>37.93</v>
      </c>
    </row>
    <row r="3508" spans="1:12">
      <c r="A3508" s="1">
        <v>46037</v>
      </c>
      <c r="B3508" t="s">
        <v>9000</v>
      </c>
      <c r="C3508">
        <v>13</v>
      </c>
      <c r="D3508" t="str">
        <f>VLOOKUP(Tabela26[[#This Row],[EMP]],[1]LOJA!$A:$B,2,0)</f>
        <v>CEILÂNDIA</v>
      </c>
      <c r="E3508">
        <v>86</v>
      </c>
      <c r="F3508" t="s">
        <v>3403</v>
      </c>
      <c r="G3508" t="s">
        <v>3402</v>
      </c>
      <c r="H3508" t="s">
        <v>3401</v>
      </c>
      <c r="I3508">
        <v>5405</v>
      </c>
      <c r="J3508" s="3">
        <v>140</v>
      </c>
      <c r="K3508" s="3">
        <v>74.08</v>
      </c>
      <c r="L3508">
        <v>47.09</v>
      </c>
    </row>
    <row r="3509" spans="1:12">
      <c r="A3509" s="1">
        <v>46037</v>
      </c>
      <c r="B3509" t="s">
        <v>8999</v>
      </c>
      <c r="C3509">
        <v>13</v>
      </c>
      <c r="D3509" t="str">
        <f>VLOOKUP(Tabela26[[#This Row],[EMP]],[1]LOJA!$A:$B,2,0)</f>
        <v>CEILÂNDIA</v>
      </c>
      <c r="E3509">
        <v>33</v>
      </c>
      <c r="F3509" t="s">
        <v>7057</v>
      </c>
      <c r="G3509" t="s">
        <v>7056</v>
      </c>
      <c r="H3509" t="s">
        <v>3408</v>
      </c>
      <c r="I3509">
        <v>5405</v>
      </c>
      <c r="J3509" s="3">
        <v>179.8</v>
      </c>
      <c r="K3509" s="3">
        <v>92.97</v>
      </c>
      <c r="L3509">
        <v>48.29</v>
      </c>
    </row>
    <row r="3510" spans="1:12">
      <c r="A3510" s="1">
        <v>46037</v>
      </c>
      <c r="B3510" t="s">
        <v>8998</v>
      </c>
      <c r="C3510">
        <v>13</v>
      </c>
      <c r="D3510" t="str">
        <f>VLOOKUP(Tabela26[[#This Row],[EMP]],[1]LOJA!$A:$B,2,0)</f>
        <v>CEILÂNDIA</v>
      </c>
      <c r="E3510">
        <v>86</v>
      </c>
      <c r="F3510" t="s">
        <v>3403</v>
      </c>
      <c r="G3510" t="s">
        <v>3402</v>
      </c>
      <c r="H3510" t="s">
        <v>3401</v>
      </c>
      <c r="I3510">
        <v>5102</v>
      </c>
      <c r="J3510" s="3">
        <v>24</v>
      </c>
      <c r="K3510" s="3">
        <v>11.77</v>
      </c>
      <c r="L3510">
        <v>50.96</v>
      </c>
    </row>
    <row r="3511" spans="1:12">
      <c r="A3511" s="1">
        <v>46037</v>
      </c>
      <c r="B3511" t="s">
        <v>8997</v>
      </c>
      <c r="C3511">
        <v>13</v>
      </c>
      <c r="D3511" t="str">
        <f>VLOOKUP(Tabela26[[#This Row],[EMP]],[1]LOJA!$A:$B,2,0)</f>
        <v>CEILÂNDIA</v>
      </c>
      <c r="E3511">
        <v>86</v>
      </c>
      <c r="F3511" t="s">
        <v>5565</v>
      </c>
      <c r="G3511" t="s">
        <v>5564</v>
      </c>
      <c r="H3511" t="s">
        <v>3520</v>
      </c>
      <c r="I3511">
        <v>5102</v>
      </c>
      <c r="J3511" s="3">
        <v>79.900000000000006</v>
      </c>
      <c r="K3511" s="3">
        <v>51.7</v>
      </c>
      <c r="L3511">
        <v>35.29</v>
      </c>
    </row>
    <row r="3512" spans="1:12">
      <c r="A3512" s="1">
        <v>46037</v>
      </c>
      <c r="B3512" t="s">
        <v>8996</v>
      </c>
      <c r="C3512">
        <v>13</v>
      </c>
      <c r="D3512" t="str">
        <f>VLOOKUP(Tabela26[[#This Row],[EMP]],[1]LOJA!$A:$B,2,0)</f>
        <v>CEILÂNDIA</v>
      </c>
      <c r="E3512">
        <v>86</v>
      </c>
      <c r="F3512" t="s">
        <v>6633</v>
      </c>
      <c r="G3512" t="s">
        <v>3402</v>
      </c>
      <c r="H3512" t="s">
        <v>3408</v>
      </c>
      <c r="I3512">
        <v>5102</v>
      </c>
      <c r="J3512" s="3">
        <v>24.9</v>
      </c>
      <c r="K3512" s="3">
        <v>16.84</v>
      </c>
      <c r="L3512">
        <v>32.369999999999997</v>
      </c>
    </row>
    <row r="3513" spans="1:12">
      <c r="A3513" s="1">
        <v>46037</v>
      </c>
      <c r="B3513" t="s">
        <v>8995</v>
      </c>
      <c r="C3513">
        <v>13</v>
      </c>
      <c r="D3513" t="str">
        <f>VLOOKUP(Tabela26[[#This Row],[EMP]],[1]LOJA!$A:$B,2,0)</f>
        <v>CEILÂNDIA</v>
      </c>
      <c r="E3513">
        <v>86</v>
      </c>
      <c r="F3513" t="s">
        <v>3403</v>
      </c>
      <c r="G3513" t="s">
        <v>3402</v>
      </c>
      <c r="H3513" t="s">
        <v>3408</v>
      </c>
      <c r="I3513">
        <v>5405</v>
      </c>
      <c r="J3513" s="3">
        <v>64</v>
      </c>
      <c r="K3513" s="3">
        <v>30.89</v>
      </c>
      <c r="L3513">
        <v>51.73</v>
      </c>
    </row>
    <row r="3514" spans="1:12">
      <c r="A3514" s="1">
        <v>46037</v>
      </c>
      <c r="B3514" t="s">
        <v>8994</v>
      </c>
      <c r="C3514">
        <v>13</v>
      </c>
      <c r="D3514" t="str">
        <f>VLOOKUP(Tabela26[[#This Row],[EMP]],[1]LOJA!$A:$B,2,0)</f>
        <v>CEILÂNDIA</v>
      </c>
      <c r="E3514">
        <v>86</v>
      </c>
      <c r="F3514" t="s">
        <v>3403</v>
      </c>
      <c r="G3514" t="s">
        <v>3402</v>
      </c>
      <c r="H3514" t="s">
        <v>3401</v>
      </c>
      <c r="I3514">
        <v>5102</v>
      </c>
      <c r="J3514" s="3">
        <v>20</v>
      </c>
      <c r="K3514" s="3">
        <v>9.01</v>
      </c>
      <c r="L3514">
        <v>54.95</v>
      </c>
    </row>
    <row r="3515" spans="1:12">
      <c r="A3515" s="1">
        <v>46037</v>
      </c>
      <c r="B3515" t="s">
        <v>8993</v>
      </c>
      <c r="C3515">
        <v>13</v>
      </c>
      <c r="D3515" t="str">
        <f>VLOOKUP(Tabela26[[#This Row],[EMP]],[1]LOJA!$A:$B,2,0)</f>
        <v>CEILÂNDIA</v>
      </c>
      <c r="E3515">
        <v>86</v>
      </c>
      <c r="F3515" t="s">
        <v>8992</v>
      </c>
      <c r="G3515" t="s">
        <v>3402</v>
      </c>
      <c r="H3515" t="s">
        <v>3408</v>
      </c>
      <c r="I3515">
        <v>5102</v>
      </c>
      <c r="J3515" s="3">
        <v>45</v>
      </c>
      <c r="K3515" s="3">
        <v>20.73</v>
      </c>
      <c r="L3515">
        <v>53.93</v>
      </c>
    </row>
    <row r="3516" spans="1:12">
      <c r="A3516" s="1">
        <v>46037</v>
      </c>
      <c r="B3516" t="s">
        <v>8991</v>
      </c>
      <c r="C3516">
        <v>13</v>
      </c>
      <c r="D3516" t="str">
        <f>VLOOKUP(Tabela26[[#This Row],[EMP]],[1]LOJA!$A:$B,2,0)</f>
        <v>CEILÂNDIA</v>
      </c>
      <c r="E3516">
        <v>86</v>
      </c>
      <c r="F3516" t="s">
        <v>3649</v>
      </c>
      <c r="G3516" t="s">
        <v>3648</v>
      </c>
      <c r="H3516" t="s">
        <v>3408</v>
      </c>
      <c r="I3516">
        <v>5405</v>
      </c>
      <c r="J3516" s="3">
        <v>217</v>
      </c>
      <c r="K3516" s="3">
        <v>117.53</v>
      </c>
      <c r="L3516">
        <v>45.84</v>
      </c>
    </row>
    <row r="3517" spans="1:12">
      <c r="A3517" s="1">
        <v>46037</v>
      </c>
      <c r="B3517" t="s">
        <v>8990</v>
      </c>
      <c r="C3517">
        <v>13</v>
      </c>
      <c r="D3517" t="str">
        <f>VLOOKUP(Tabela26[[#This Row],[EMP]],[1]LOJA!$A:$B,2,0)</f>
        <v>CEILÂNDIA</v>
      </c>
      <c r="E3517">
        <v>86</v>
      </c>
      <c r="F3517" t="s">
        <v>3615</v>
      </c>
      <c r="G3517" t="s">
        <v>3614</v>
      </c>
      <c r="H3517" t="s">
        <v>3520</v>
      </c>
      <c r="I3517">
        <v>5102</v>
      </c>
      <c r="J3517" s="3">
        <v>38.5</v>
      </c>
      <c r="K3517" s="3">
        <v>23.72</v>
      </c>
      <c r="L3517">
        <v>38.39</v>
      </c>
    </row>
    <row r="3518" spans="1:12">
      <c r="A3518" s="1">
        <v>46037</v>
      </c>
      <c r="B3518" t="s">
        <v>8989</v>
      </c>
      <c r="C3518">
        <v>13</v>
      </c>
      <c r="D3518" t="str">
        <f>VLOOKUP(Tabela26[[#This Row],[EMP]],[1]LOJA!$A:$B,2,0)</f>
        <v>CEILÂNDIA</v>
      </c>
      <c r="E3518">
        <v>86</v>
      </c>
      <c r="F3518" t="s">
        <v>3615</v>
      </c>
      <c r="G3518" t="s">
        <v>3614</v>
      </c>
      <c r="H3518" t="s">
        <v>3520</v>
      </c>
      <c r="I3518">
        <v>5405</v>
      </c>
      <c r="J3518" s="3">
        <v>50</v>
      </c>
      <c r="K3518" s="3">
        <v>29.78</v>
      </c>
      <c r="L3518">
        <v>40.44</v>
      </c>
    </row>
    <row r="3519" spans="1:12">
      <c r="A3519" s="1">
        <v>46037</v>
      </c>
      <c r="B3519" t="s">
        <v>8988</v>
      </c>
      <c r="C3519">
        <v>13</v>
      </c>
      <c r="D3519" t="str">
        <f>VLOOKUP(Tabela26[[#This Row],[EMP]],[1]LOJA!$A:$B,2,0)</f>
        <v>CEILÂNDIA</v>
      </c>
      <c r="E3519">
        <v>86</v>
      </c>
      <c r="F3519" t="s">
        <v>6625</v>
      </c>
      <c r="G3519" t="s">
        <v>6624</v>
      </c>
      <c r="H3519" t="s">
        <v>3520</v>
      </c>
      <c r="I3519">
        <v>5405</v>
      </c>
      <c r="J3519" s="3">
        <v>50</v>
      </c>
      <c r="K3519" s="3">
        <v>24.14</v>
      </c>
      <c r="L3519">
        <v>51.72</v>
      </c>
    </row>
    <row r="3520" spans="1:12">
      <c r="A3520" s="1">
        <v>46037</v>
      </c>
      <c r="B3520" t="s">
        <v>8987</v>
      </c>
      <c r="C3520">
        <v>13</v>
      </c>
      <c r="D3520" t="str">
        <f>VLOOKUP(Tabela26[[#This Row],[EMP]],[1]LOJA!$A:$B,2,0)</f>
        <v>CEILÂNDIA</v>
      </c>
      <c r="E3520">
        <v>86</v>
      </c>
      <c r="F3520" t="s">
        <v>8578</v>
      </c>
      <c r="G3520" t="s">
        <v>3402</v>
      </c>
      <c r="H3520" t="s">
        <v>3401</v>
      </c>
      <c r="I3520">
        <v>5405</v>
      </c>
      <c r="J3520" s="3">
        <v>100</v>
      </c>
      <c r="K3520" s="3">
        <v>48.4</v>
      </c>
      <c r="L3520">
        <v>51.6</v>
      </c>
    </row>
    <row r="3521" spans="1:12">
      <c r="A3521" s="1">
        <v>46037</v>
      </c>
      <c r="B3521" t="s">
        <v>8986</v>
      </c>
      <c r="C3521">
        <v>13</v>
      </c>
      <c r="D3521" t="str">
        <f>VLOOKUP(Tabela26[[#This Row],[EMP]],[1]LOJA!$A:$B,2,0)</f>
        <v>CEILÂNDIA</v>
      </c>
      <c r="E3521">
        <v>86</v>
      </c>
      <c r="F3521" t="s">
        <v>6633</v>
      </c>
      <c r="G3521" t="s">
        <v>3402</v>
      </c>
      <c r="H3521" t="s">
        <v>3408</v>
      </c>
      <c r="I3521">
        <v>5102</v>
      </c>
      <c r="J3521" s="3">
        <v>15</v>
      </c>
      <c r="K3521" s="3">
        <v>9.26</v>
      </c>
      <c r="L3521">
        <v>38.270000000000003</v>
      </c>
    </row>
    <row r="3522" spans="1:12">
      <c r="A3522" s="1">
        <v>46037</v>
      </c>
      <c r="B3522" t="s">
        <v>8985</v>
      </c>
      <c r="C3522">
        <v>13</v>
      </c>
      <c r="D3522" t="str">
        <f>VLOOKUP(Tabela26[[#This Row],[EMP]],[1]LOJA!$A:$B,2,0)</f>
        <v>CEILÂNDIA</v>
      </c>
      <c r="E3522">
        <v>86</v>
      </c>
      <c r="F3522" t="s">
        <v>3403</v>
      </c>
      <c r="G3522" t="s">
        <v>3402</v>
      </c>
      <c r="H3522" t="s">
        <v>3401</v>
      </c>
      <c r="I3522">
        <v>5405</v>
      </c>
      <c r="J3522" s="3">
        <v>35</v>
      </c>
      <c r="K3522" s="3">
        <v>16.04</v>
      </c>
      <c r="L3522">
        <v>54.17</v>
      </c>
    </row>
    <row r="3523" spans="1:12">
      <c r="A3523" s="1">
        <v>46037</v>
      </c>
      <c r="B3523" t="s">
        <v>8984</v>
      </c>
      <c r="C3523">
        <v>13</v>
      </c>
      <c r="D3523" t="str">
        <f>VLOOKUP(Tabela26[[#This Row],[EMP]],[1]LOJA!$A:$B,2,0)</f>
        <v>CEILÂNDIA</v>
      </c>
      <c r="E3523">
        <v>86</v>
      </c>
      <c r="F3523" t="s">
        <v>3406</v>
      </c>
      <c r="G3523" t="s">
        <v>3405</v>
      </c>
      <c r="H3523" t="s">
        <v>3408</v>
      </c>
      <c r="I3523">
        <v>5102</v>
      </c>
      <c r="J3523" s="3">
        <v>25</v>
      </c>
      <c r="K3523" s="3">
        <v>12.57</v>
      </c>
      <c r="L3523">
        <v>49.72</v>
      </c>
    </row>
    <row r="3524" spans="1:12">
      <c r="A3524" s="1">
        <v>46037</v>
      </c>
      <c r="B3524" t="s">
        <v>8983</v>
      </c>
      <c r="C3524">
        <v>13</v>
      </c>
      <c r="D3524" t="str">
        <f>VLOOKUP(Tabela26[[#This Row],[EMP]],[1]LOJA!$A:$B,2,0)</f>
        <v>CEILÂNDIA</v>
      </c>
      <c r="E3524">
        <v>86</v>
      </c>
      <c r="F3524" t="s">
        <v>3609</v>
      </c>
      <c r="G3524" t="s">
        <v>3608</v>
      </c>
      <c r="H3524" t="s">
        <v>3408</v>
      </c>
      <c r="I3524">
        <v>5102</v>
      </c>
      <c r="J3524" s="3">
        <v>159.6</v>
      </c>
      <c r="K3524" s="3">
        <v>86.04</v>
      </c>
      <c r="L3524">
        <v>46.09</v>
      </c>
    </row>
    <row r="3525" spans="1:12">
      <c r="A3525" s="1">
        <v>46037</v>
      </c>
      <c r="B3525" t="s">
        <v>8982</v>
      </c>
      <c r="C3525">
        <v>13</v>
      </c>
      <c r="D3525" t="str">
        <f>VLOOKUP(Tabela26[[#This Row],[EMP]],[1]LOJA!$A:$B,2,0)</f>
        <v>CEILÂNDIA</v>
      </c>
      <c r="E3525">
        <v>86</v>
      </c>
      <c r="F3525" t="s">
        <v>3403</v>
      </c>
      <c r="G3525" t="s">
        <v>3402</v>
      </c>
      <c r="H3525" t="s">
        <v>3401</v>
      </c>
      <c r="I3525">
        <v>5405</v>
      </c>
      <c r="J3525" s="3">
        <v>120</v>
      </c>
      <c r="K3525" s="3">
        <v>76.08</v>
      </c>
      <c r="L3525">
        <v>36.6</v>
      </c>
    </row>
    <row r="3526" spans="1:12">
      <c r="A3526" s="1">
        <v>46037</v>
      </c>
      <c r="B3526" t="s">
        <v>8981</v>
      </c>
      <c r="C3526">
        <v>13</v>
      </c>
      <c r="D3526" t="str">
        <f>VLOOKUP(Tabela26[[#This Row],[EMP]],[1]LOJA!$A:$B,2,0)</f>
        <v>CEILÂNDIA</v>
      </c>
      <c r="E3526">
        <v>86</v>
      </c>
      <c r="F3526" t="s">
        <v>3406</v>
      </c>
      <c r="G3526" t="s">
        <v>3405</v>
      </c>
      <c r="H3526" t="s">
        <v>3401</v>
      </c>
      <c r="I3526">
        <v>5102</v>
      </c>
      <c r="J3526" s="3">
        <v>95</v>
      </c>
      <c r="K3526" s="3">
        <v>56.47</v>
      </c>
      <c r="L3526">
        <v>40.56</v>
      </c>
    </row>
    <row r="3527" spans="1:12">
      <c r="A3527" s="1">
        <v>46037</v>
      </c>
      <c r="B3527" t="s">
        <v>8980</v>
      </c>
      <c r="C3527">
        <v>13</v>
      </c>
      <c r="D3527" t="str">
        <f>VLOOKUP(Tabela26[[#This Row],[EMP]],[1]LOJA!$A:$B,2,0)</f>
        <v>CEILÂNDIA</v>
      </c>
      <c r="E3527">
        <v>86</v>
      </c>
      <c r="F3527" t="s">
        <v>6633</v>
      </c>
      <c r="G3527" t="s">
        <v>3402</v>
      </c>
      <c r="H3527" t="s">
        <v>3408</v>
      </c>
      <c r="I3527">
        <v>5102</v>
      </c>
      <c r="J3527" s="3">
        <v>162</v>
      </c>
      <c r="K3527" s="3">
        <v>82.35</v>
      </c>
      <c r="L3527">
        <v>49.17</v>
      </c>
    </row>
    <row r="3528" spans="1:12">
      <c r="A3528" s="1">
        <v>46037</v>
      </c>
      <c r="B3528" t="s">
        <v>8979</v>
      </c>
      <c r="C3528">
        <v>13</v>
      </c>
      <c r="D3528" t="str">
        <f>VLOOKUP(Tabela26[[#This Row],[EMP]],[1]LOJA!$A:$B,2,0)</f>
        <v>CEILÂNDIA</v>
      </c>
      <c r="E3528">
        <v>86</v>
      </c>
      <c r="F3528" t="s">
        <v>3403</v>
      </c>
      <c r="G3528" t="s">
        <v>3402</v>
      </c>
      <c r="H3528" t="s">
        <v>3401</v>
      </c>
      <c r="I3528">
        <v>5102</v>
      </c>
      <c r="J3528" s="3">
        <v>45</v>
      </c>
      <c r="K3528" s="3">
        <v>30.8</v>
      </c>
      <c r="L3528">
        <v>31.56</v>
      </c>
    </row>
    <row r="3529" spans="1:12">
      <c r="A3529" s="1">
        <v>46037</v>
      </c>
      <c r="B3529" t="s">
        <v>8978</v>
      </c>
      <c r="C3529">
        <v>13</v>
      </c>
      <c r="D3529" t="str">
        <f>VLOOKUP(Tabela26[[#This Row],[EMP]],[1]LOJA!$A:$B,2,0)</f>
        <v>CEILÂNDIA</v>
      </c>
      <c r="E3529">
        <v>86</v>
      </c>
      <c r="F3529" t="s">
        <v>3403</v>
      </c>
      <c r="G3529" t="s">
        <v>3402</v>
      </c>
      <c r="H3529" t="s">
        <v>3401</v>
      </c>
      <c r="I3529">
        <v>5405</v>
      </c>
      <c r="J3529" s="3">
        <v>34</v>
      </c>
      <c r="K3529" s="3">
        <v>13.84</v>
      </c>
      <c r="L3529">
        <v>59.29</v>
      </c>
    </row>
    <row r="3530" spans="1:12">
      <c r="A3530" s="1">
        <v>46037</v>
      </c>
      <c r="B3530" t="s">
        <v>8977</v>
      </c>
      <c r="C3530">
        <v>6</v>
      </c>
      <c r="D3530" t="str">
        <f>VLOOKUP(Tabela26[[#This Row],[EMP]],[1]LOJA!$A:$B,2,0)</f>
        <v>GAMA</v>
      </c>
      <c r="E3530">
        <v>226</v>
      </c>
      <c r="F3530" t="s">
        <v>3403</v>
      </c>
      <c r="G3530" t="s">
        <v>3402</v>
      </c>
      <c r="H3530" t="s">
        <v>3401</v>
      </c>
      <c r="I3530">
        <v>5102</v>
      </c>
      <c r="J3530" s="3">
        <v>78</v>
      </c>
      <c r="K3530" s="3">
        <v>43.03</v>
      </c>
      <c r="L3530">
        <v>44.83</v>
      </c>
    </row>
    <row r="3531" spans="1:12">
      <c r="A3531" s="1">
        <v>46037</v>
      </c>
      <c r="B3531" t="s">
        <v>8976</v>
      </c>
      <c r="C3531">
        <v>6</v>
      </c>
      <c r="D3531" t="str">
        <f>VLOOKUP(Tabela26[[#This Row],[EMP]],[1]LOJA!$A:$B,2,0)</f>
        <v>GAMA</v>
      </c>
      <c r="E3531">
        <v>245</v>
      </c>
      <c r="F3531" t="s">
        <v>8975</v>
      </c>
      <c r="G3531" t="s">
        <v>3402</v>
      </c>
      <c r="H3531" t="s">
        <v>3401</v>
      </c>
      <c r="I3531">
        <v>5405</v>
      </c>
      <c r="J3531" s="3">
        <v>52</v>
      </c>
      <c r="K3531" s="3">
        <v>25.1</v>
      </c>
      <c r="L3531">
        <v>51.73</v>
      </c>
    </row>
    <row r="3532" spans="1:12">
      <c r="A3532" s="1">
        <v>46037</v>
      </c>
      <c r="B3532" t="s">
        <v>8974</v>
      </c>
      <c r="C3532">
        <v>6</v>
      </c>
      <c r="D3532" t="str">
        <f>VLOOKUP(Tabela26[[#This Row],[EMP]],[1]LOJA!$A:$B,2,0)</f>
        <v>GAMA</v>
      </c>
      <c r="E3532">
        <v>245</v>
      </c>
      <c r="F3532" t="s">
        <v>3403</v>
      </c>
      <c r="G3532" t="s">
        <v>3402</v>
      </c>
      <c r="H3532" t="s">
        <v>3401</v>
      </c>
      <c r="I3532">
        <v>5102</v>
      </c>
      <c r="J3532" s="3">
        <v>16.600000000000001</v>
      </c>
      <c r="K3532" s="3">
        <v>8.32</v>
      </c>
      <c r="L3532">
        <v>49.88</v>
      </c>
    </row>
    <row r="3533" spans="1:12">
      <c r="A3533" s="1">
        <v>46037</v>
      </c>
      <c r="B3533" t="s">
        <v>8973</v>
      </c>
      <c r="C3533">
        <v>6</v>
      </c>
      <c r="D3533" t="str">
        <f>VLOOKUP(Tabela26[[#This Row],[EMP]],[1]LOJA!$A:$B,2,0)</f>
        <v>GAMA</v>
      </c>
      <c r="E3533">
        <v>245</v>
      </c>
      <c r="F3533" t="s">
        <v>4966</v>
      </c>
      <c r="G3533" t="s">
        <v>4965</v>
      </c>
      <c r="H3533" t="s">
        <v>3401</v>
      </c>
      <c r="I3533">
        <v>5405</v>
      </c>
      <c r="J3533" s="3">
        <v>309</v>
      </c>
      <c r="K3533" s="3">
        <v>166.51</v>
      </c>
      <c r="L3533">
        <v>46.11</v>
      </c>
    </row>
    <row r="3534" spans="1:12">
      <c r="A3534" s="1">
        <v>46037</v>
      </c>
      <c r="B3534" t="s">
        <v>8972</v>
      </c>
      <c r="C3534">
        <v>6</v>
      </c>
      <c r="D3534" t="str">
        <f>VLOOKUP(Tabela26[[#This Row],[EMP]],[1]LOJA!$A:$B,2,0)</f>
        <v>GAMA</v>
      </c>
      <c r="E3534">
        <v>245</v>
      </c>
      <c r="F3534" t="s">
        <v>3403</v>
      </c>
      <c r="G3534" t="s">
        <v>3402</v>
      </c>
      <c r="H3534" t="s">
        <v>3401</v>
      </c>
      <c r="I3534">
        <v>5102</v>
      </c>
      <c r="J3534" s="3">
        <v>16</v>
      </c>
      <c r="K3534" s="3">
        <v>9</v>
      </c>
      <c r="L3534">
        <v>43.75</v>
      </c>
    </row>
    <row r="3535" spans="1:12">
      <c r="A3535" s="1">
        <v>46037</v>
      </c>
      <c r="B3535" t="s">
        <v>8971</v>
      </c>
      <c r="C3535">
        <v>6</v>
      </c>
      <c r="D3535" t="str">
        <f>VLOOKUP(Tabela26[[#This Row],[EMP]],[1]LOJA!$A:$B,2,0)</f>
        <v>GAMA</v>
      </c>
      <c r="E3535">
        <v>226</v>
      </c>
      <c r="F3535" t="s">
        <v>8970</v>
      </c>
      <c r="G3535" t="s">
        <v>8969</v>
      </c>
      <c r="H3535" t="s">
        <v>3401</v>
      </c>
      <c r="I3535">
        <v>5102</v>
      </c>
      <c r="J3535" s="3">
        <v>44</v>
      </c>
      <c r="K3535" s="3">
        <v>28.68</v>
      </c>
      <c r="L3535">
        <v>34.82</v>
      </c>
    </row>
    <row r="3536" spans="1:12">
      <c r="A3536" s="1">
        <v>46037</v>
      </c>
      <c r="B3536" t="s">
        <v>8968</v>
      </c>
      <c r="C3536">
        <v>6</v>
      </c>
      <c r="D3536" t="str">
        <f>VLOOKUP(Tabela26[[#This Row],[EMP]],[1]LOJA!$A:$B,2,0)</f>
        <v>GAMA</v>
      </c>
      <c r="E3536">
        <v>245</v>
      </c>
      <c r="F3536" t="s">
        <v>5501</v>
      </c>
      <c r="G3536" t="s">
        <v>5500</v>
      </c>
      <c r="H3536" t="s">
        <v>3401</v>
      </c>
      <c r="I3536">
        <v>5405</v>
      </c>
      <c r="J3536" s="3">
        <v>35</v>
      </c>
      <c r="K3536" s="3">
        <v>15.9</v>
      </c>
      <c r="L3536">
        <v>54.57</v>
      </c>
    </row>
    <row r="3537" spans="1:12">
      <c r="A3537" s="1">
        <v>46037</v>
      </c>
      <c r="B3537" t="s">
        <v>8967</v>
      </c>
      <c r="C3537">
        <v>6</v>
      </c>
      <c r="D3537" t="str">
        <f>VLOOKUP(Tabela26[[#This Row],[EMP]],[1]LOJA!$A:$B,2,0)</f>
        <v>GAMA</v>
      </c>
      <c r="E3537">
        <v>226</v>
      </c>
      <c r="F3537" t="s">
        <v>8966</v>
      </c>
      <c r="G3537" t="s">
        <v>3402</v>
      </c>
      <c r="H3537" t="s">
        <v>3401</v>
      </c>
      <c r="I3537">
        <v>5405</v>
      </c>
      <c r="J3537" s="3">
        <v>186</v>
      </c>
      <c r="K3537" s="3">
        <v>79.16</v>
      </c>
      <c r="L3537">
        <v>57.44</v>
      </c>
    </row>
    <row r="3538" spans="1:12">
      <c r="A3538" s="1">
        <v>46037</v>
      </c>
      <c r="B3538" t="s">
        <v>8965</v>
      </c>
      <c r="C3538">
        <v>6</v>
      </c>
      <c r="D3538" t="str">
        <f>VLOOKUP(Tabela26[[#This Row],[EMP]],[1]LOJA!$A:$B,2,0)</f>
        <v>GAMA</v>
      </c>
      <c r="E3538">
        <v>245</v>
      </c>
      <c r="F3538" t="s">
        <v>3399</v>
      </c>
      <c r="G3538" t="s">
        <v>3398</v>
      </c>
      <c r="H3538" t="s">
        <v>3520</v>
      </c>
      <c r="I3538">
        <v>5102</v>
      </c>
      <c r="J3538" s="3">
        <v>102.8</v>
      </c>
      <c r="K3538" s="3">
        <v>53.65</v>
      </c>
      <c r="L3538">
        <v>47.81</v>
      </c>
    </row>
    <row r="3539" spans="1:12">
      <c r="A3539" s="1">
        <v>46037</v>
      </c>
      <c r="B3539" t="s">
        <v>8964</v>
      </c>
      <c r="C3539">
        <v>6</v>
      </c>
      <c r="D3539" t="str">
        <f>VLOOKUP(Tabela26[[#This Row],[EMP]],[1]LOJA!$A:$B,2,0)</f>
        <v>GAMA</v>
      </c>
      <c r="E3539">
        <v>245</v>
      </c>
      <c r="F3539" t="s">
        <v>3565</v>
      </c>
      <c r="G3539" t="s">
        <v>3564</v>
      </c>
      <c r="H3539" t="s">
        <v>3401</v>
      </c>
      <c r="I3539">
        <v>5405</v>
      </c>
      <c r="J3539" s="3">
        <v>120</v>
      </c>
      <c r="K3539" s="3">
        <v>62.19</v>
      </c>
      <c r="L3539">
        <v>48.18</v>
      </c>
    </row>
    <row r="3540" spans="1:12">
      <c r="A3540" s="1">
        <v>46037</v>
      </c>
      <c r="B3540" t="s">
        <v>8963</v>
      </c>
      <c r="C3540">
        <v>6</v>
      </c>
      <c r="D3540" t="str">
        <f>VLOOKUP(Tabela26[[#This Row],[EMP]],[1]LOJA!$A:$B,2,0)</f>
        <v>GAMA</v>
      </c>
      <c r="E3540">
        <v>245</v>
      </c>
      <c r="F3540" t="s">
        <v>5509</v>
      </c>
      <c r="G3540" t="s">
        <v>5508</v>
      </c>
      <c r="H3540" t="s">
        <v>3520</v>
      </c>
      <c r="I3540">
        <v>5405</v>
      </c>
      <c r="J3540" s="3">
        <v>701.7</v>
      </c>
      <c r="K3540" s="3">
        <v>418.28</v>
      </c>
      <c r="L3540">
        <v>40.39</v>
      </c>
    </row>
    <row r="3541" spans="1:12">
      <c r="A3541" s="1">
        <v>46037</v>
      </c>
      <c r="B3541" t="s">
        <v>8962</v>
      </c>
      <c r="C3541">
        <v>6</v>
      </c>
      <c r="D3541" t="str">
        <f>VLOOKUP(Tabela26[[#This Row],[EMP]],[1]LOJA!$A:$B,2,0)</f>
        <v>GAMA</v>
      </c>
      <c r="E3541">
        <v>245</v>
      </c>
      <c r="F3541" t="s">
        <v>8804</v>
      </c>
      <c r="G3541" t="s">
        <v>8803</v>
      </c>
      <c r="H3541" t="s">
        <v>3401</v>
      </c>
      <c r="I3541">
        <v>6108</v>
      </c>
      <c r="J3541" s="3">
        <v>106</v>
      </c>
      <c r="K3541" s="3">
        <v>45.74</v>
      </c>
      <c r="L3541">
        <v>56.85</v>
      </c>
    </row>
    <row r="3542" spans="1:12">
      <c r="A3542" s="1">
        <v>46037</v>
      </c>
      <c r="B3542" t="s">
        <v>8961</v>
      </c>
      <c r="C3542">
        <v>6</v>
      </c>
      <c r="D3542" t="str">
        <f>VLOOKUP(Tabela26[[#This Row],[EMP]],[1]LOJA!$A:$B,2,0)</f>
        <v>GAMA</v>
      </c>
      <c r="E3542">
        <v>245</v>
      </c>
      <c r="F3542" t="s">
        <v>8960</v>
      </c>
      <c r="G3542" t="s">
        <v>8959</v>
      </c>
      <c r="H3542" t="s">
        <v>3408</v>
      </c>
      <c r="I3542">
        <v>5405</v>
      </c>
      <c r="J3542" s="3">
        <v>145</v>
      </c>
      <c r="K3542" s="3">
        <v>88.97</v>
      </c>
      <c r="L3542">
        <v>38.64</v>
      </c>
    </row>
    <row r="3543" spans="1:12">
      <c r="A3543" s="1">
        <v>46037</v>
      </c>
      <c r="B3543" t="s">
        <v>8958</v>
      </c>
      <c r="C3543">
        <v>6</v>
      </c>
      <c r="D3543" t="str">
        <f>VLOOKUP(Tabela26[[#This Row],[EMP]],[1]LOJA!$A:$B,2,0)</f>
        <v>GAMA</v>
      </c>
      <c r="E3543">
        <v>245</v>
      </c>
      <c r="F3543" t="s">
        <v>6177</v>
      </c>
      <c r="G3543" t="s">
        <v>6176</v>
      </c>
      <c r="H3543" t="s">
        <v>3408</v>
      </c>
      <c r="I3543">
        <v>5102</v>
      </c>
      <c r="J3543" s="3">
        <v>228</v>
      </c>
      <c r="K3543" s="3">
        <v>142.69999999999999</v>
      </c>
      <c r="L3543">
        <v>37.409999999999997</v>
      </c>
    </row>
    <row r="3544" spans="1:12">
      <c r="A3544" s="1">
        <v>46037</v>
      </c>
      <c r="B3544" t="s">
        <v>8957</v>
      </c>
      <c r="C3544">
        <v>4</v>
      </c>
      <c r="D3544" t="str">
        <f>VLOOKUP(Tabela26[[#This Row],[EMP]],[1]LOJA!$A:$B,2,0)</f>
        <v>ADE</v>
      </c>
      <c r="E3544">
        <v>132</v>
      </c>
      <c r="F3544" t="s">
        <v>8956</v>
      </c>
      <c r="G3544" t="s">
        <v>8955</v>
      </c>
      <c r="H3544" t="s">
        <v>3520</v>
      </c>
      <c r="I3544">
        <v>5102</v>
      </c>
      <c r="J3544" s="3">
        <v>169</v>
      </c>
      <c r="K3544" s="3">
        <v>110.7</v>
      </c>
      <c r="L3544">
        <v>34.5</v>
      </c>
    </row>
    <row r="3545" spans="1:12">
      <c r="A3545" s="1">
        <v>46037</v>
      </c>
      <c r="B3545" t="s">
        <v>8954</v>
      </c>
      <c r="C3545">
        <v>4</v>
      </c>
      <c r="D3545" t="str">
        <f>VLOOKUP(Tabela26[[#This Row],[EMP]],[1]LOJA!$A:$B,2,0)</f>
        <v>ADE</v>
      </c>
      <c r="E3545">
        <v>132</v>
      </c>
      <c r="F3545" t="s">
        <v>5678</v>
      </c>
      <c r="G3545" t="s">
        <v>5677</v>
      </c>
      <c r="H3545" t="s">
        <v>3401</v>
      </c>
      <c r="I3545">
        <v>5405</v>
      </c>
      <c r="J3545" s="3">
        <v>1296.5999999999999</v>
      </c>
      <c r="K3545" s="3">
        <v>751.64</v>
      </c>
      <c r="L3545">
        <v>42.03</v>
      </c>
    </row>
    <row r="3546" spans="1:12">
      <c r="A3546" s="1">
        <v>46037</v>
      </c>
      <c r="B3546" t="s">
        <v>8953</v>
      </c>
      <c r="C3546">
        <v>6</v>
      </c>
      <c r="D3546" t="str">
        <f>VLOOKUP(Tabela26[[#This Row],[EMP]],[1]LOJA!$A:$B,2,0)</f>
        <v>GAMA</v>
      </c>
      <c r="E3546">
        <v>226</v>
      </c>
      <c r="F3546" t="s">
        <v>4204</v>
      </c>
      <c r="G3546" t="s">
        <v>4203</v>
      </c>
      <c r="H3546" t="s">
        <v>3408</v>
      </c>
      <c r="I3546">
        <v>6108</v>
      </c>
      <c r="J3546" s="3">
        <v>365.6</v>
      </c>
      <c r="K3546" s="3">
        <v>223.86</v>
      </c>
      <c r="L3546">
        <v>38.770000000000003</v>
      </c>
    </row>
    <row r="3547" spans="1:12">
      <c r="A3547" s="1">
        <v>46037</v>
      </c>
      <c r="B3547" t="s">
        <v>8952</v>
      </c>
      <c r="C3547">
        <v>6</v>
      </c>
      <c r="D3547" t="str">
        <f>VLOOKUP(Tabela26[[#This Row],[EMP]],[1]LOJA!$A:$B,2,0)</f>
        <v>GAMA</v>
      </c>
      <c r="E3547">
        <v>245</v>
      </c>
      <c r="F3547" t="s">
        <v>3555</v>
      </c>
      <c r="G3547" t="s">
        <v>3554</v>
      </c>
      <c r="H3547" t="s">
        <v>3430</v>
      </c>
      <c r="I3547">
        <v>6102</v>
      </c>
      <c r="J3547" s="3">
        <v>189</v>
      </c>
      <c r="K3547" s="3">
        <v>121.95</v>
      </c>
      <c r="L3547">
        <v>35.479999999999997</v>
      </c>
    </row>
    <row r="3548" spans="1:12">
      <c r="A3548" s="1">
        <v>46038</v>
      </c>
      <c r="B3548" t="s">
        <v>8951</v>
      </c>
      <c r="C3548">
        <v>24</v>
      </c>
      <c r="D3548" t="str">
        <f>VLOOKUP(Tabela26[[#This Row],[EMP]],[1]LOJA!$A:$B,2,0)</f>
        <v>LUZIÂNIA</v>
      </c>
      <c r="E3548">
        <v>192</v>
      </c>
      <c r="F3548" t="s">
        <v>7503</v>
      </c>
      <c r="G3548" t="s">
        <v>7502</v>
      </c>
      <c r="H3548" t="s">
        <v>3408</v>
      </c>
      <c r="I3548">
        <v>5405</v>
      </c>
      <c r="J3548" s="3">
        <v>400</v>
      </c>
      <c r="K3548" s="3">
        <v>199.02</v>
      </c>
      <c r="L3548">
        <v>50.25</v>
      </c>
    </row>
    <row r="3549" spans="1:12">
      <c r="A3549" s="1">
        <v>46038</v>
      </c>
      <c r="B3549" t="s">
        <v>8950</v>
      </c>
      <c r="C3549">
        <v>24</v>
      </c>
      <c r="D3549" t="str">
        <f>VLOOKUP(Tabela26[[#This Row],[EMP]],[1]LOJA!$A:$B,2,0)</f>
        <v>LUZIÂNIA</v>
      </c>
      <c r="E3549">
        <v>192</v>
      </c>
      <c r="F3549" t="s">
        <v>4949</v>
      </c>
      <c r="G3549" t="s">
        <v>4948</v>
      </c>
      <c r="H3549" t="s">
        <v>3430</v>
      </c>
      <c r="I3549">
        <v>5102</v>
      </c>
      <c r="J3549" s="3">
        <v>69.400000000000006</v>
      </c>
      <c r="K3549" s="3">
        <v>35.15</v>
      </c>
      <c r="L3549">
        <v>49.35</v>
      </c>
    </row>
    <row r="3550" spans="1:12">
      <c r="A3550" s="1">
        <v>46038</v>
      </c>
      <c r="B3550" t="s">
        <v>8949</v>
      </c>
      <c r="C3550">
        <v>24</v>
      </c>
      <c r="D3550" t="str">
        <f>VLOOKUP(Tabela26[[#This Row],[EMP]],[1]LOJA!$A:$B,2,0)</f>
        <v>LUZIÂNIA</v>
      </c>
      <c r="E3550">
        <v>192</v>
      </c>
      <c r="F3550" t="s">
        <v>6557</v>
      </c>
      <c r="G3550" t="s">
        <v>6556</v>
      </c>
      <c r="H3550" t="s">
        <v>3537</v>
      </c>
      <c r="I3550">
        <v>5405</v>
      </c>
      <c r="J3550" s="3">
        <v>834</v>
      </c>
      <c r="K3550" s="3">
        <v>415.77</v>
      </c>
      <c r="L3550">
        <v>50.15</v>
      </c>
    </row>
    <row r="3551" spans="1:12">
      <c r="A3551" s="1">
        <v>46038</v>
      </c>
      <c r="B3551" t="s">
        <v>8948</v>
      </c>
      <c r="C3551">
        <v>24</v>
      </c>
      <c r="D3551" t="str">
        <f>VLOOKUP(Tabela26[[#This Row],[EMP]],[1]LOJA!$A:$B,2,0)</f>
        <v>LUZIÂNIA</v>
      </c>
      <c r="E3551">
        <v>150</v>
      </c>
      <c r="F3551" t="s">
        <v>4952</v>
      </c>
      <c r="G3551" t="s">
        <v>4951</v>
      </c>
      <c r="H3551" t="s">
        <v>3430</v>
      </c>
      <c r="I3551">
        <v>5102</v>
      </c>
      <c r="J3551" s="3">
        <v>152.5</v>
      </c>
      <c r="K3551" s="3">
        <v>96.5</v>
      </c>
      <c r="L3551">
        <v>36.72</v>
      </c>
    </row>
    <row r="3552" spans="1:12">
      <c r="A3552" s="1">
        <v>46038</v>
      </c>
      <c r="B3552" t="s">
        <v>8947</v>
      </c>
      <c r="C3552">
        <v>24</v>
      </c>
      <c r="D3552" t="str">
        <f>VLOOKUP(Tabela26[[#This Row],[EMP]],[1]LOJA!$A:$B,2,0)</f>
        <v>LUZIÂNIA</v>
      </c>
      <c r="E3552">
        <v>192</v>
      </c>
      <c r="F3552" t="s">
        <v>4270</v>
      </c>
      <c r="G3552" t="s">
        <v>4269</v>
      </c>
      <c r="H3552" t="s">
        <v>3430</v>
      </c>
      <c r="I3552">
        <v>5102</v>
      </c>
      <c r="J3552" s="3">
        <v>2890</v>
      </c>
      <c r="K3552" s="3">
        <v>1709.5</v>
      </c>
      <c r="L3552">
        <v>40.85</v>
      </c>
    </row>
    <row r="3553" spans="1:12">
      <c r="A3553" s="1">
        <v>46038</v>
      </c>
      <c r="B3553" t="s">
        <v>8946</v>
      </c>
      <c r="C3553">
        <v>24</v>
      </c>
      <c r="D3553" t="str">
        <f>VLOOKUP(Tabela26[[#This Row],[EMP]],[1]LOJA!$A:$B,2,0)</f>
        <v>LUZIÂNIA</v>
      </c>
      <c r="E3553">
        <v>192</v>
      </c>
      <c r="F3553" t="s">
        <v>4943</v>
      </c>
      <c r="G3553" t="s">
        <v>4942</v>
      </c>
      <c r="H3553" t="s">
        <v>8570</v>
      </c>
      <c r="I3553">
        <v>5102</v>
      </c>
      <c r="J3553" s="3">
        <v>909.6</v>
      </c>
      <c r="K3553" s="3">
        <v>660.96</v>
      </c>
      <c r="L3553">
        <v>27.34</v>
      </c>
    </row>
    <row r="3554" spans="1:12">
      <c r="A3554" s="1">
        <v>46038</v>
      </c>
      <c r="B3554" t="s">
        <v>8945</v>
      </c>
      <c r="C3554">
        <v>24</v>
      </c>
      <c r="D3554" t="str">
        <f>VLOOKUP(Tabela26[[#This Row],[EMP]],[1]LOJA!$A:$B,2,0)</f>
        <v>LUZIÂNIA</v>
      </c>
      <c r="E3554">
        <v>192</v>
      </c>
      <c r="F3554" t="s">
        <v>4270</v>
      </c>
      <c r="G3554" t="s">
        <v>4269</v>
      </c>
      <c r="H3554" t="s">
        <v>3430</v>
      </c>
      <c r="I3554">
        <v>5405</v>
      </c>
      <c r="J3554" s="3">
        <v>123</v>
      </c>
      <c r="K3554" s="3">
        <v>58.91</v>
      </c>
      <c r="L3554">
        <v>52.11</v>
      </c>
    </row>
    <row r="3555" spans="1:12">
      <c r="A3555" s="1">
        <v>46038</v>
      </c>
      <c r="B3555" t="s">
        <v>8944</v>
      </c>
      <c r="C3555">
        <v>24</v>
      </c>
      <c r="D3555" t="str">
        <f>VLOOKUP(Tabela26[[#This Row],[EMP]],[1]LOJA!$A:$B,2,0)</f>
        <v>LUZIÂNIA</v>
      </c>
      <c r="E3555">
        <v>192</v>
      </c>
      <c r="F3555" t="s">
        <v>4940</v>
      </c>
      <c r="G3555" t="s">
        <v>4939</v>
      </c>
      <c r="H3555" t="s">
        <v>3430</v>
      </c>
      <c r="I3555">
        <v>5405</v>
      </c>
      <c r="J3555" s="3">
        <v>496</v>
      </c>
      <c r="K3555" s="3">
        <v>234.74</v>
      </c>
      <c r="L3555">
        <v>52.67</v>
      </c>
    </row>
    <row r="3556" spans="1:12">
      <c r="A3556" s="1">
        <v>46038</v>
      </c>
      <c r="B3556" t="s">
        <v>8943</v>
      </c>
      <c r="C3556">
        <v>24</v>
      </c>
      <c r="D3556" t="str">
        <f>VLOOKUP(Tabela26[[#This Row],[EMP]],[1]LOJA!$A:$B,2,0)</f>
        <v>LUZIÂNIA</v>
      </c>
      <c r="E3556">
        <v>150</v>
      </c>
      <c r="F3556" t="s">
        <v>5987</v>
      </c>
      <c r="G3556" t="s">
        <v>5986</v>
      </c>
      <c r="H3556" t="s">
        <v>8570</v>
      </c>
      <c r="I3556">
        <v>5405</v>
      </c>
      <c r="J3556" s="3">
        <v>107.66</v>
      </c>
      <c r="K3556" s="3">
        <v>46.04</v>
      </c>
      <c r="L3556">
        <v>57.24</v>
      </c>
    </row>
    <row r="3557" spans="1:12">
      <c r="A3557" s="1">
        <v>46038</v>
      </c>
      <c r="B3557" t="s">
        <v>8942</v>
      </c>
      <c r="C3557">
        <v>24</v>
      </c>
      <c r="D3557" t="str">
        <f>VLOOKUP(Tabela26[[#This Row],[EMP]],[1]LOJA!$A:$B,2,0)</f>
        <v>LUZIÂNIA</v>
      </c>
      <c r="E3557">
        <v>192</v>
      </c>
      <c r="F3557" t="s">
        <v>8940</v>
      </c>
      <c r="G3557" t="s">
        <v>8939</v>
      </c>
      <c r="H3557" t="s">
        <v>3430</v>
      </c>
      <c r="I3557">
        <v>5405</v>
      </c>
      <c r="J3557" s="3">
        <v>123</v>
      </c>
      <c r="K3557" s="3">
        <v>59.12</v>
      </c>
      <c r="L3557">
        <v>51.93</v>
      </c>
    </row>
    <row r="3558" spans="1:12">
      <c r="A3558" s="1">
        <v>46038</v>
      </c>
      <c r="B3558" t="s">
        <v>8941</v>
      </c>
      <c r="C3558">
        <v>24</v>
      </c>
      <c r="D3558" t="str">
        <f>VLOOKUP(Tabela26[[#This Row],[EMP]],[1]LOJA!$A:$B,2,0)</f>
        <v>LUZIÂNIA</v>
      </c>
      <c r="E3558">
        <v>192</v>
      </c>
      <c r="F3558" t="s">
        <v>8940</v>
      </c>
      <c r="G3558" t="s">
        <v>8939</v>
      </c>
      <c r="H3558" t="s">
        <v>3430</v>
      </c>
      <c r="I3558">
        <v>5102</v>
      </c>
      <c r="J3558" s="3">
        <v>40</v>
      </c>
      <c r="K3558" s="3">
        <v>22.85</v>
      </c>
      <c r="L3558">
        <v>42.88</v>
      </c>
    </row>
    <row r="3559" spans="1:12">
      <c r="A3559" s="1">
        <v>46038</v>
      </c>
      <c r="B3559" t="s">
        <v>8938</v>
      </c>
      <c r="C3559">
        <v>24</v>
      </c>
      <c r="D3559" t="str">
        <f>VLOOKUP(Tabela26[[#This Row],[EMP]],[1]LOJA!$A:$B,2,0)</f>
        <v>LUZIÂNIA</v>
      </c>
      <c r="E3559">
        <v>150</v>
      </c>
      <c r="F3559" t="s">
        <v>4182</v>
      </c>
      <c r="G3559" t="s">
        <v>4181</v>
      </c>
      <c r="H3559" t="s">
        <v>3430</v>
      </c>
      <c r="I3559">
        <v>5102</v>
      </c>
      <c r="J3559" s="3">
        <v>179.4</v>
      </c>
      <c r="K3559" s="3">
        <v>130.97999999999999</v>
      </c>
      <c r="L3559">
        <v>26.99</v>
      </c>
    </row>
    <row r="3560" spans="1:12">
      <c r="A3560" s="1">
        <v>46038</v>
      </c>
      <c r="B3560" t="s">
        <v>8937</v>
      </c>
      <c r="C3560">
        <v>16</v>
      </c>
      <c r="D3560" t="str">
        <f>VLOOKUP(Tabela26[[#This Row],[EMP]],[1]LOJA!$A:$B,2,0)</f>
        <v>AG LINDAS</v>
      </c>
      <c r="E3560">
        <v>240</v>
      </c>
      <c r="F3560" t="s">
        <v>4267</v>
      </c>
      <c r="G3560" t="s">
        <v>4266</v>
      </c>
      <c r="H3560" t="s">
        <v>3430</v>
      </c>
      <c r="I3560">
        <v>5405</v>
      </c>
      <c r="J3560" s="3">
        <v>155.6</v>
      </c>
      <c r="K3560" s="3">
        <v>92.44</v>
      </c>
      <c r="L3560">
        <v>40.590000000000003</v>
      </c>
    </row>
    <row r="3561" spans="1:12">
      <c r="A3561" s="1">
        <v>46038</v>
      </c>
      <c r="B3561" t="s">
        <v>8936</v>
      </c>
      <c r="C3561">
        <v>15</v>
      </c>
      <c r="D3561" t="str">
        <f>VLOOKUP(Tabela26[[#This Row],[EMP]],[1]LOJA!$A:$B,2,0)</f>
        <v>UNAÍ</v>
      </c>
      <c r="E3561">
        <v>183</v>
      </c>
      <c r="F3561" t="s">
        <v>8935</v>
      </c>
      <c r="G3561" t="s">
        <v>8934</v>
      </c>
      <c r="H3561" t="s">
        <v>3430</v>
      </c>
      <c r="I3561">
        <v>5102</v>
      </c>
      <c r="J3561" s="3">
        <v>87.1</v>
      </c>
      <c r="K3561" s="3">
        <v>51.29</v>
      </c>
      <c r="L3561">
        <v>41.11</v>
      </c>
    </row>
    <row r="3562" spans="1:12">
      <c r="A3562" s="1">
        <v>46038</v>
      </c>
      <c r="B3562" t="s">
        <v>8933</v>
      </c>
      <c r="C3562">
        <v>15</v>
      </c>
      <c r="D3562" t="str">
        <f>VLOOKUP(Tabela26[[#This Row],[EMP]],[1]LOJA!$A:$B,2,0)</f>
        <v>UNAÍ</v>
      </c>
      <c r="E3562">
        <v>183</v>
      </c>
      <c r="F3562" t="s">
        <v>5469</v>
      </c>
      <c r="G3562" t="s">
        <v>5468</v>
      </c>
      <c r="H3562" t="s">
        <v>3408</v>
      </c>
      <c r="I3562">
        <v>5405</v>
      </c>
      <c r="J3562" s="3">
        <v>1602.64</v>
      </c>
      <c r="K3562" s="3">
        <v>789.07</v>
      </c>
      <c r="L3562">
        <v>50.76</v>
      </c>
    </row>
    <row r="3563" spans="1:12">
      <c r="A3563" s="1">
        <v>46038</v>
      </c>
      <c r="B3563" t="s">
        <v>8932</v>
      </c>
      <c r="C3563">
        <v>22</v>
      </c>
      <c r="D3563" t="str">
        <f>VLOOKUP(Tabela26[[#This Row],[EMP]],[1]LOJA!$A:$B,2,0)</f>
        <v>GUARÁ</v>
      </c>
      <c r="E3563">
        <v>93</v>
      </c>
      <c r="F3563" t="s">
        <v>3535</v>
      </c>
      <c r="G3563" t="s">
        <v>3534</v>
      </c>
      <c r="H3563" t="s">
        <v>3533</v>
      </c>
      <c r="I3563">
        <v>5405</v>
      </c>
      <c r="J3563" s="3">
        <v>152.62</v>
      </c>
      <c r="K3563" s="3">
        <v>82.04</v>
      </c>
      <c r="L3563">
        <v>46.25</v>
      </c>
    </row>
    <row r="3564" spans="1:12">
      <c r="A3564" s="1">
        <v>46038</v>
      </c>
      <c r="B3564" t="s">
        <v>8931</v>
      </c>
      <c r="C3564">
        <v>22</v>
      </c>
      <c r="D3564" t="str">
        <f>VLOOKUP(Tabela26[[#This Row],[EMP]],[1]LOJA!$A:$B,2,0)</f>
        <v>GUARÁ</v>
      </c>
      <c r="E3564">
        <v>93</v>
      </c>
      <c r="F3564" t="s">
        <v>3535</v>
      </c>
      <c r="G3564" t="s">
        <v>3534</v>
      </c>
      <c r="H3564" t="s">
        <v>3533</v>
      </c>
      <c r="I3564">
        <v>5405</v>
      </c>
      <c r="J3564" s="3">
        <v>266.47000000000003</v>
      </c>
      <c r="K3564" s="3">
        <v>141.21</v>
      </c>
      <c r="L3564">
        <v>47.01</v>
      </c>
    </row>
    <row r="3565" spans="1:12">
      <c r="A3565" s="1">
        <v>46038</v>
      </c>
      <c r="B3565" t="s">
        <v>8930</v>
      </c>
      <c r="C3565">
        <v>22</v>
      </c>
      <c r="D3565" t="str">
        <f>VLOOKUP(Tabela26[[#This Row],[EMP]],[1]LOJA!$A:$B,2,0)</f>
        <v>GUARÁ</v>
      </c>
      <c r="E3565">
        <v>93</v>
      </c>
      <c r="F3565" t="s">
        <v>3542</v>
      </c>
      <c r="G3565" t="s">
        <v>3541</v>
      </c>
      <c r="H3565" t="s">
        <v>4249</v>
      </c>
      <c r="I3565">
        <v>5405</v>
      </c>
      <c r="J3565" s="3">
        <v>662.8</v>
      </c>
      <c r="K3565" s="3">
        <v>316.73</v>
      </c>
      <c r="L3565">
        <v>52.21</v>
      </c>
    </row>
    <row r="3566" spans="1:12">
      <c r="A3566" s="1">
        <v>46038</v>
      </c>
      <c r="B3566" t="s">
        <v>8929</v>
      </c>
      <c r="C3566">
        <v>22</v>
      </c>
      <c r="D3566" t="str">
        <f>VLOOKUP(Tabela26[[#This Row],[EMP]],[1]LOJA!$A:$B,2,0)</f>
        <v>GUARÁ</v>
      </c>
      <c r="E3566">
        <v>93</v>
      </c>
      <c r="F3566" t="s">
        <v>4246</v>
      </c>
      <c r="G3566" t="s">
        <v>4245</v>
      </c>
      <c r="H3566" t="s">
        <v>3430</v>
      </c>
      <c r="I3566">
        <v>5405</v>
      </c>
      <c r="J3566" s="3">
        <v>641.67999999999995</v>
      </c>
      <c r="K3566" s="3">
        <v>387.58</v>
      </c>
      <c r="L3566">
        <v>39.6</v>
      </c>
    </row>
    <row r="3567" spans="1:12">
      <c r="A3567" s="1">
        <v>46038</v>
      </c>
      <c r="B3567" t="s">
        <v>8928</v>
      </c>
      <c r="C3567">
        <v>22</v>
      </c>
      <c r="D3567" t="str">
        <f>VLOOKUP(Tabela26[[#This Row],[EMP]],[1]LOJA!$A:$B,2,0)</f>
        <v>GUARÁ</v>
      </c>
      <c r="E3567">
        <v>93</v>
      </c>
      <c r="F3567" t="s">
        <v>4246</v>
      </c>
      <c r="G3567" t="s">
        <v>4245</v>
      </c>
      <c r="H3567" t="s">
        <v>3430</v>
      </c>
      <c r="I3567">
        <v>5102</v>
      </c>
      <c r="J3567" s="3">
        <v>114.9</v>
      </c>
      <c r="K3567" s="3">
        <v>61</v>
      </c>
      <c r="L3567">
        <v>46.91</v>
      </c>
    </row>
    <row r="3568" spans="1:12">
      <c r="A3568" s="1">
        <v>46038</v>
      </c>
      <c r="B3568" t="s">
        <v>8927</v>
      </c>
      <c r="C3568">
        <v>22</v>
      </c>
      <c r="D3568" t="str">
        <f>VLOOKUP(Tabela26[[#This Row],[EMP]],[1]LOJA!$A:$B,2,0)</f>
        <v>GUARÁ</v>
      </c>
      <c r="E3568">
        <v>16</v>
      </c>
      <c r="F3568" t="s">
        <v>5972</v>
      </c>
      <c r="G3568" t="s">
        <v>5971</v>
      </c>
      <c r="H3568" t="s">
        <v>3430</v>
      </c>
      <c r="I3568">
        <v>5102</v>
      </c>
      <c r="J3568" s="3">
        <v>489.66</v>
      </c>
      <c r="K3568" s="3">
        <v>268.10000000000002</v>
      </c>
      <c r="L3568">
        <v>45.25</v>
      </c>
    </row>
    <row r="3569" spans="1:12">
      <c r="A3569" s="1">
        <v>46038</v>
      </c>
      <c r="B3569" t="s">
        <v>8926</v>
      </c>
      <c r="C3569">
        <v>22</v>
      </c>
      <c r="D3569" t="str">
        <f>VLOOKUP(Tabela26[[#This Row],[EMP]],[1]LOJA!$A:$B,2,0)</f>
        <v>GUARÁ</v>
      </c>
      <c r="E3569">
        <v>93</v>
      </c>
      <c r="F3569" t="s">
        <v>4246</v>
      </c>
      <c r="G3569" t="s">
        <v>4245</v>
      </c>
      <c r="H3569" t="s">
        <v>3430</v>
      </c>
      <c r="I3569">
        <v>5405</v>
      </c>
      <c r="J3569" s="3">
        <v>106.1</v>
      </c>
      <c r="K3569" s="3">
        <v>54.75</v>
      </c>
      <c r="L3569">
        <v>48.4</v>
      </c>
    </row>
    <row r="3570" spans="1:12">
      <c r="A3570" s="1">
        <v>46038</v>
      </c>
      <c r="B3570" t="s">
        <v>8925</v>
      </c>
      <c r="C3570">
        <v>22</v>
      </c>
      <c r="D3570" t="str">
        <f>VLOOKUP(Tabela26[[#This Row],[EMP]],[1]LOJA!$A:$B,2,0)</f>
        <v>GUARÁ</v>
      </c>
      <c r="E3570">
        <v>16</v>
      </c>
      <c r="F3570" t="s">
        <v>8924</v>
      </c>
      <c r="G3570" t="s">
        <v>8923</v>
      </c>
      <c r="H3570" t="s">
        <v>3430</v>
      </c>
      <c r="I3570">
        <v>5405</v>
      </c>
      <c r="J3570" s="3">
        <v>148.88999999999999</v>
      </c>
      <c r="K3570" s="3">
        <v>70.59</v>
      </c>
      <c r="L3570">
        <v>52.59</v>
      </c>
    </row>
    <row r="3571" spans="1:12">
      <c r="A3571" s="1">
        <v>46038</v>
      </c>
      <c r="B3571" t="s">
        <v>8922</v>
      </c>
      <c r="C3571">
        <v>22</v>
      </c>
      <c r="D3571" t="str">
        <f>VLOOKUP(Tabela26[[#This Row],[EMP]],[1]LOJA!$A:$B,2,0)</f>
        <v>GUARÁ</v>
      </c>
      <c r="E3571">
        <v>16</v>
      </c>
      <c r="F3571" t="s">
        <v>8328</v>
      </c>
      <c r="G3571" t="s">
        <v>8327</v>
      </c>
      <c r="H3571" t="s">
        <v>3430</v>
      </c>
      <c r="I3571">
        <v>5102</v>
      </c>
      <c r="J3571" s="3">
        <v>346.88</v>
      </c>
      <c r="K3571" s="3">
        <v>214.34</v>
      </c>
      <c r="L3571">
        <v>38.21</v>
      </c>
    </row>
    <row r="3572" spans="1:12">
      <c r="A3572" s="1">
        <v>46038</v>
      </c>
      <c r="B3572" t="s">
        <v>8921</v>
      </c>
      <c r="C3572">
        <v>22</v>
      </c>
      <c r="D3572" t="str">
        <f>VLOOKUP(Tabela26[[#This Row],[EMP]],[1]LOJA!$A:$B,2,0)</f>
        <v>GUARÁ</v>
      </c>
      <c r="E3572">
        <v>16</v>
      </c>
      <c r="F3572" t="s">
        <v>7460</v>
      </c>
      <c r="G3572" t="s">
        <v>7459</v>
      </c>
      <c r="H3572" t="s">
        <v>3408</v>
      </c>
      <c r="I3572">
        <v>5102</v>
      </c>
      <c r="J3572" s="3">
        <v>262.76</v>
      </c>
      <c r="K3572" s="3">
        <v>160.94999999999999</v>
      </c>
      <c r="L3572">
        <v>38.75</v>
      </c>
    </row>
    <row r="3573" spans="1:12">
      <c r="A3573" s="1">
        <v>46038</v>
      </c>
      <c r="B3573" t="s">
        <v>8920</v>
      </c>
      <c r="C3573">
        <v>22</v>
      </c>
      <c r="D3573" t="str">
        <f>VLOOKUP(Tabela26[[#This Row],[EMP]],[1]LOJA!$A:$B,2,0)</f>
        <v>GUARÁ</v>
      </c>
      <c r="E3573">
        <v>93</v>
      </c>
      <c r="F3573" t="s">
        <v>4251</v>
      </c>
      <c r="G3573" t="s">
        <v>4250</v>
      </c>
      <c r="H3573" t="s">
        <v>3430</v>
      </c>
      <c r="I3573">
        <v>5102</v>
      </c>
      <c r="J3573" s="3">
        <v>167.09</v>
      </c>
      <c r="K3573" s="3">
        <v>95.99</v>
      </c>
      <c r="L3573">
        <v>42.55</v>
      </c>
    </row>
    <row r="3574" spans="1:12">
      <c r="A3574" s="1">
        <v>46038</v>
      </c>
      <c r="B3574" t="s">
        <v>8919</v>
      </c>
      <c r="C3574">
        <v>24</v>
      </c>
      <c r="D3574" t="str">
        <f>VLOOKUP(Tabela26[[#This Row],[EMP]],[1]LOJA!$A:$B,2,0)</f>
        <v>LUZIÂNIA</v>
      </c>
      <c r="E3574">
        <v>242</v>
      </c>
      <c r="F3574" t="s">
        <v>3524</v>
      </c>
      <c r="G3574" t="s">
        <v>3402</v>
      </c>
      <c r="H3574" t="s">
        <v>3401</v>
      </c>
      <c r="I3574">
        <v>5102</v>
      </c>
      <c r="J3574" s="3">
        <v>22</v>
      </c>
      <c r="K3574" s="3">
        <v>13.32</v>
      </c>
      <c r="L3574">
        <v>39.450000000000003</v>
      </c>
    </row>
    <row r="3575" spans="1:12">
      <c r="A3575" s="1">
        <v>46038</v>
      </c>
      <c r="B3575" t="s">
        <v>8918</v>
      </c>
      <c r="C3575">
        <v>24</v>
      </c>
      <c r="D3575" t="str">
        <f>VLOOKUP(Tabela26[[#This Row],[EMP]],[1]LOJA!$A:$B,2,0)</f>
        <v>LUZIÂNIA</v>
      </c>
      <c r="E3575">
        <v>192</v>
      </c>
      <c r="F3575" t="s">
        <v>3524</v>
      </c>
      <c r="G3575" t="s">
        <v>3402</v>
      </c>
      <c r="H3575" t="s">
        <v>3401</v>
      </c>
      <c r="I3575">
        <v>5102</v>
      </c>
      <c r="J3575" s="3">
        <v>8</v>
      </c>
      <c r="K3575" s="3">
        <v>3.86</v>
      </c>
      <c r="L3575">
        <v>51.75</v>
      </c>
    </row>
    <row r="3576" spans="1:12">
      <c r="A3576" s="1">
        <v>46038</v>
      </c>
      <c r="B3576" t="s">
        <v>8917</v>
      </c>
      <c r="C3576">
        <v>24</v>
      </c>
      <c r="D3576" t="str">
        <f>VLOOKUP(Tabela26[[#This Row],[EMP]],[1]LOJA!$A:$B,2,0)</f>
        <v>LUZIÂNIA</v>
      </c>
      <c r="E3576">
        <v>192</v>
      </c>
      <c r="F3576" t="s">
        <v>4169</v>
      </c>
      <c r="G3576" t="s">
        <v>4168</v>
      </c>
      <c r="H3576" t="s">
        <v>3401</v>
      </c>
      <c r="I3576">
        <v>5405</v>
      </c>
      <c r="J3576" s="3">
        <v>290</v>
      </c>
      <c r="K3576" s="3">
        <v>158.04</v>
      </c>
      <c r="L3576">
        <v>45.5</v>
      </c>
    </row>
    <row r="3577" spans="1:12">
      <c r="A3577" s="1">
        <v>46038</v>
      </c>
      <c r="B3577" t="s">
        <v>8916</v>
      </c>
      <c r="C3577">
        <v>24</v>
      </c>
      <c r="D3577" t="str">
        <f>VLOOKUP(Tabela26[[#This Row],[EMP]],[1]LOJA!$A:$B,2,0)</f>
        <v>LUZIÂNIA</v>
      </c>
      <c r="E3577">
        <v>150</v>
      </c>
      <c r="F3577" t="s">
        <v>5943</v>
      </c>
      <c r="G3577" t="s">
        <v>5942</v>
      </c>
      <c r="H3577" t="s">
        <v>3401</v>
      </c>
      <c r="I3577">
        <v>5102</v>
      </c>
      <c r="J3577" s="3">
        <v>89.9</v>
      </c>
      <c r="K3577" s="3">
        <v>51.7</v>
      </c>
      <c r="L3577">
        <v>42.49</v>
      </c>
    </row>
    <row r="3578" spans="1:12">
      <c r="A3578" s="1">
        <v>46038</v>
      </c>
      <c r="B3578" t="s">
        <v>8915</v>
      </c>
      <c r="C3578">
        <v>24</v>
      </c>
      <c r="D3578" t="str">
        <f>VLOOKUP(Tabela26[[#This Row],[EMP]],[1]LOJA!$A:$B,2,0)</f>
        <v>LUZIÂNIA</v>
      </c>
      <c r="E3578">
        <v>242</v>
      </c>
      <c r="F3578" t="s">
        <v>8914</v>
      </c>
      <c r="G3578" t="s">
        <v>8913</v>
      </c>
      <c r="H3578" t="s">
        <v>3401</v>
      </c>
      <c r="I3578">
        <v>5405</v>
      </c>
      <c r="J3578" s="3">
        <v>198</v>
      </c>
      <c r="K3578" s="3">
        <v>84.84</v>
      </c>
      <c r="L3578">
        <v>57.15</v>
      </c>
    </row>
    <row r="3579" spans="1:12">
      <c r="A3579" s="1">
        <v>46038</v>
      </c>
      <c r="B3579" t="s">
        <v>8912</v>
      </c>
      <c r="C3579">
        <v>24</v>
      </c>
      <c r="D3579" t="str">
        <f>VLOOKUP(Tabela26[[#This Row],[EMP]],[1]LOJA!$A:$B,2,0)</f>
        <v>LUZIÂNIA</v>
      </c>
      <c r="E3579">
        <v>192</v>
      </c>
      <c r="F3579" t="s">
        <v>4224</v>
      </c>
      <c r="G3579" t="s">
        <v>3402</v>
      </c>
      <c r="H3579" t="s">
        <v>3408</v>
      </c>
      <c r="I3579">
        <v>5405</v>
      </c>
      <c r="J3579" s="3">
        <v>78</v>
      </c>
      <c r="K3579" s="3">
        <v>30.47</v>
      </c>
      <c r="L3579">
        <v>60.94</v>
      </c>
    </row>
    <row r="3580" spans="1:12">
      <c r="A3580" s="1">
        <v>46038</v>
      </c>
      <c r="B3580" t="s">
        <v>8911</v>
      </c>
      <c r="C3580">
        <v>24</v>
      </c>
      <c r="D3580" t="str">
        <f>VLOOKUP(Tabela26[[#This Row],[EMP]],[1]LOJA!$A:$B,2,0)</f>
        <v>LUZIÂNIA</v>
      </c>
      <c r="E3580">
        <v>192</v>
      </c>
      <c r="F3580" t="s">
        <v>5917</v>
      </c>
      <c r="G3580" t="s">
        <v>5916</v>
      </c>
      <c r="H3580" t="s">
        <v>3401</v>
      </c>
      <c r="I3580">
        <v>5102</v>
      </c>
      <c r="J3580" s="3">
        <v>119</v>
      </c>
      <c r="K3580" s="3">
        <v>60.26</v>
      </c>
      <c r="L3580">
        <v>49.36</v>
      </c>
    </row>
    <row r="3581" spans="1:12">
      <c r="A3581" s="1">
        <v>46038</v>
      </c>
      <c r="B3581" t="s">
        <v>8910</v>
      </c>
      <c r="C3581">
        <v>24</v>
      </c>
      <c r="D3581" t="str">
        <f>VLOOKUP(Tabela26[[#This Row],[EMP]],[1]LOJA!$A:$B,2,0)</f>
        <v>LUZIÂNIA</v>
      </c>
      <c r="E3581">
        <v>150</v>
      </c>
      <c r="F3581" t="s">
        <v>3524</v>
      </c>
      <c r="G3581" t="s">
        <v>3402</v>
      </c>
      <c r="H3581" t="s">
        <v>3401</v>
      </c>
      <c r="I3581">
        <v>5405</v>
      </c>
      <c r="J3581" s="3">
        <v>65</v>
      </c>
      <c r="K3581" s="3">
        <v>30.92</v>
      </c>
      <c r="L3581">
        <v>52.43</v>
      </c>
    </row>
    <row r="3582" spans="1:12">
      <c r="A3582" s="1">
        <v>46038</v>
      </c>
      <c r="B3582" t="s">
        <v>8909</v>
      </c>
      <c r="C3582">
        <v>24</v>
      </c>
      <c r="D3582" t="str">
        <f>VLOOKUP(Tabela26[[#This Row],[EMP]],[1]LOJA!$A:$B,2,0)</f>
        <v>LUZIÂNIA</v>
      </c>
      <c r="E3582">
        <v>150</v>
      </c>
      <c r="F3582" t="s">
        <v>4176</v>
      </c>
      <c r="G3582" t="s">
        <v>4175</v>
      </c>
      <c r="H3582" t="s">
        <v>3408</v>
      </c>
      <c r="I3582">
        <v>5405</v>
      </c>
      <c r="J3582" s="3">
        <v>389.65</v>
      </c>
      <c r="K3582" s="3">
        <v>215.75</v>
      </c>
      <c r="L3582">
        <v>44.63</v>
      </c>
    </row>
    <row r="3583" spans="1:12">
      <c r="A3583" s="1">
        <v>46038</v>
      </c>
      <c r="B3583" t="s">
        <v>8908</v>
      </c>
      <c r="C3583">
        <v>24</v>
      </c>
      <c r="D3583" t="str">
        <f>VLOOKUP(Tabela26[[#This Row],[EMP]],[1]LOJA!$A:$B,2,0)</f>
        <v>LUZIÂNIA</v>
      </c>
      <c r="E3583">
        <v>150</v>
      </c>
      <c r="F3583" t="s">
        <v>8280</v>
      </c>
      <c r="G3583" t="s">
        <v>8279</v>
      </c>
      <c r="H3583" t="s">
        <v>3401</v>
      </c>
      <c r="I3583">
        <v>5405</v>
      </c>
      <c r="J3583" s="3">
        <v>110</v>
      </c>
      <c r="K3583" s="3">
        <v>46.99</v>
      </c>
      <c r="L3583">
        <v>57.28</v>
      </c>
    </row>
    <row r="3584" spans="1:12">
      <c r="A3584" s="1">
        <v>46038</v>
      </c>
      <c r="B3584" t="s">
        <v>8907</v>
      </c>
      <c r="C3584">
        <v>24</v>
      </c>
      <c r="D3584" t="str">
        <f>VLOOKUP(Tabela26[[#This Row],[EMP]],[1]LOJA!$A:$B,2,0)</f>
        <v>LUZIÂNIA</v>
      </c>
      <c r="E3584">
        <v>150</v>
      </c>
      <c r="F3584" t="s">
        <v>4898</v>
      </c>
      <c r="G3584" t="s">
        <v>4897</v>
      </c>
      <c r="H3584" t="s">
        <v>3408</v>
      </c>
      <c r="I3584">
        <v>5102</v>
      </c>
      <c r="J3584" s="3">
        <v>12</v>
      </c>
      <c r="K3584" s="3">
        <v>5.84</v>
      </c>
      <c r="L3584">
        <v>51.33</v>
      </c>
    </row>
    <row r="3585" spans="1:12">
      <c r="A3585" s="1">
        <v>46038</v>
      </c>
      <c r="B3585" t="s">
        <v>8906</v>
      </c>
      <c r="C3585">
        <v>24</v>
      </c>
      <c r="D3585" t="str">
        <f>VLOOKUP(Tabela26[[#This Row],[EMP]],[1]LOJA!$A:$B,2,0)</f>
        <v>LUZIÂNIA</v>
      </c>
      <c r="E3585">
        <v>150</v>
      </c>
      <c r="F3585" t="s">
        <v>4176</v>
      </c>
      <c r="G3585" t="s">
        <v>4175</v>
      </c>
      <c r="H3585" t="s">
        <v>3408</v>
      </c>
      <c r="I3585">
        <v>5405</v>
      </c>
      <c r="J3585" s="3">
        <v>616.87</v>
      </c>
      <c r="K3585" s="3">
        <v>395.42</v>
      </c>
      <c r="L3585">
        <v>35.9</v>
      </c>
    </row>
    <row r="3586" spans="1:12">
      <c r="A3586" s="1">
        <v>46038</v>
      </c>
      <c r="B3586" t="s">
        <v>8905</v>
      </c>
      <c r="C3586">
        <v>24</v>
      </c>
      <c r="D3586" t="str">
        <f>VLOOKUP(Tabela26[[#This Row],[EMP]],[1]LOJA!$A:$B,2,0)</f>
        <v>LUZIÂNIA</v>
      </c>
      <c r="E3586">
        <v>150</v>
      </c>
      <c r="F3586" t="s">
        <v>4857</v>
      </c>
      <c r="G3586" t="s">
        <v>4856</v>
      </c>
      <c r="H3586" t="s">
        <v>3408</v>
      </c>
      <c r="I3586">
        <v>5102</v>
      </c>
      <c r="J3586" s="3">
        <v>110.7</v>
      </c>
      <c r="K3586" s="3">
        <v>68.72</v>
      </c>
      <c r="L3586">
        <v>37.92</v>
      </c>
    </row>
    <row r="3587" spans="1:12">
      <c r="A3587" s="1">
        <v>46038</v>
      </c>
      <c r="B3587" t="s">
        <v>8904</v>
      </c>
      <c r="C3587">
        <v>24</v>
      </c>
      <c r="D3587" t="str">
        <f>VLOOKUP(Tabela26[[#This Row],[EMP]],[1]LOJA!$A:$B,2,0)</f>
        <v>LUZIÂNIA</v>
      </c>
      <c r="E3587">
        <v>150</v>
      </c>
      <c r="F3587" t="s">
        <v>4857</v>
      </c>
      <c r="G3587" t="s">
        <v>4856</v>
      </c>
      <c r="H3587" t="s">
        <v>3408</v>
      </c>
      <c r="I3587">
        <v>5102</v>
      </c>
      <c r="J3587" s="3">
        <v>55</v>
      </c>
      <c r="K3587" s="3">
        <v>23.58</v>
      </c>
      <c r="L3587">
        <v>57.13</v>
      </c>
    </row>
    <row r="3588" spans="1:12">
      <c r="A3588" s="1">
        <v>46038</v>
      </c>
      <c r="B3588" t="s">
        <v>8903</v>
      </c>
      <c r="C3588">
        <v>24</v>
      </c>
      <c r="D3588" t="str">
        <f>VLOOKUP(Tabela26[[#This Row],[EMP]],[1]LOJA!$A:$B,2,0)</f>
        <v>LUZIÂNIA</v>
      </c>
      <c r="E3588">
        <v>242</v>
      </c>
      <c r="F3588" t="s">
        <v>3524</v>
      </c>
      <c r="G3588" t="s">
        <v>3402</v>
      </c>
      <c r="H3588" t="s">
        <v>3401</v>
      </c>
      <c r="I3588">
        <v>5102</v>
      </c>
      <c r="J3588" s="3">
        <v>44</v>
      </c>
      <c r="K3588" s="3">
        <v>27.13</v>
      </c>
      <c r="L3588">
        <v>38.340000000000003</v>
      </c>
    </row>
    <row r="3589" spans="1:12">
      <c r="A3589" s="1">
        <v>46038</v>
      </c>
      <c r="B3589" t="s">
        <v>8902</v>
      </c>
      <c r="C3589">
        <v>24</v>
      </c>
      <c r="D3589" t="str">
        <f>VLOOKUP(Tabela26[[#This Row],[EMP]],[1]LOJA!$A:$B,2,0)</f>
        <v>LUZIÂNIA</v>
      </c>
      <c r="E3589">
        <v>242</v>
      </c>
      <c r="F3589" t="s">
        <v>3524</v>
      </c>
      <c r="G3589" t="s">
        <v>3402</v>
      </c>
      <c r="H3589" t="s">
        <v>3401</v>
      </c>
      <c r="I3589">
        <v>5102</v>
      </c>
      <c r="J3589" s="3">
        <v>45</v>
      </c>
      <c r="K3589" s="3">
        <v>20.98</v>
      </c>
      <c r="L3589">
        <v>53.38</v>
      </c>
    </row>
    <row r="3590" spans="1:12">
      <c r="A3590" s="1">
        <v>46038</v>
      </c>
      <c r="B3590" t="s">
        <v>8901</v>
      </c>
      <c r="C3590">
        <v>24</v>
      </c>
      <c r="D3590" t="str">
        <f>VLOOKUP(Tabela26[[#This Row],[EMP]],[1]LOJA!$A:$B,2,0)</f>
        <v>LUZIÂNIA</v>
      </c>
      <c r="E3590">
        <v>150</v>
      </c>
      <c r="F3590" t="s">
        <v>3527</v>
      </c>
      <c r="G3590" t="s">
        <v>3526</v>
      </c>
      <c r="H3590" t="s">
        <v>3401</v>
      </c>
      <c r="I3590">
        <v>5405</v>
      </c>
      <c r="J3590" s="3">
        <v>59</v>
      </c>
      <c r="K3590" s="3">
        <v>29</v>
      </c>
      <c r="L3590">
        <v>50.85</v>
      </c>
    </row>
    <row r="3591" spans="1:12">
      <c r="A3591" s="1">
        <v>46038</v>
      </c>
      <c r="B3591" t="s">
        <v>8900</v>
      </c>
      <c r="C3591">
        <v>24</v>
      </c>
      <c r="D3591" t="str">
        <f>VLOOKUP(Tabela26[[#This Row],[EMP]],[1]LOJA!$A:$B,2,0)</f>
        <v>LUZIÂNIA</v>
      </c>
      <c r="E3591">
        <v>150</v>
      </c>
      <c r="F3591" t="s">
        <v>8899</v>
      </c>
      <c r="G3591" t="s">
        <v>3402</v>
      </c>
      <c r="H3591" t="s">
        <v>3408</v>
      </c>
      <c r="I3591">
        <v>5405</v>
      </c>
      <c r="J3591" s="3">
        <v>48</v>
      </c>
      <c r="K3591" s="3">
        <v>22.09</v>
      </c>
      <c r="L3591">
        <v>53.98</v>
      </c>
    </row>
    <row r="3592" spans="1:12">
      <c r="A3592" s="1">
        <v>46038</v>
      </c>
      <c r="B3592" t="s">
        <v>8898</v>
      </c>
      <c r="C3592">
        <v>24</v>
      </c>
      <c r="D3592" t="str">
        <f>VLOOKUP(Tabela26[[#This Row],[EMP]],[1]LOJA!$A:$B,2,0)</f>
        <v>LUZIÂNIA</v>
      </c>
      <c r="E3592">
        <v>192</v>
      </c>
      <c r="F3592" t="s">
        <v>3524</v>
      </c>
      <c r="G3592" t="s">
        <v>3402</v>
      </c>
      <c r="H3592" t="s">
        <v>3401</v>
      </c>
      <c r="I3592">
        <v>5405</v>
      </c>
      <c r="J3592" s="3">
        <v>44</v>
      </c>
      <c r="K3592" s="3">
        <v>21.08</v>
      </c>
      <c r="L3592">
        <v>52.09</v>
      </c>
    </row>
    <row r="3593" spans="1:12">
      <c r="A3593" s="1">
        <v>46038</v>
      </c>
      <c r="B3593" t="s">
        <v>8897</v>
      </c>
      <c r="C3593">
        <v>24</v>
      </c>
      <c r="D3593" t="str">
        <f>VLOOKUP(Tabela26[[#This Row],[EMP]],[1]LOJA!$A:$B,2,0)</f>
        <v>LUZIÂNIA</v>
      </c>
      <c r="E3593">
        <v>192</v>
      </c>
      <c r="F3593" t="s">
        <v>4827</v>
      </c>
      <c r="G3593" t="s">
        <v>4826</v>
      </c>
      <c r="H3593" t="s">
        <v>3401</v>
      </c>
      <c r="I3593">
        <v>5405</v>
      </c>
      <c r="J3593" s="3">
        <v>158.6</v>
      </c>
      <c r="K3593" s="3">
        <v>76.55</v>
      </c>
      <c r="L3593">
        <v>51.73</v>
      </c>
    </row>
    <row r="3594" spans="1:12">
      <c r="A3594" s="1">
        <v>46038</v>
      </c>
      <c r="B3594" t="s">
        <v>8896</v>
      </c>
      <c r="C3594">
        <v>24</v>
      </c>
      <c r="D3594" t="str">
        <f>VLOOKUP(Tabela26[[#This Row],[EMP]],[1]LOJA!$A:$B,2,0)</f>
        <v>LUZIÂNIA</v>
      </c>
      <c r="E3594">
        <v>242</v>
      </c>
      <c r="F3594" t="s">
        <v>3524</v>
      </c>
      <c r="G3594" t="s">
        <v>3402</v>
      </c>
      <c r="H3594" t="s">
        <v>3401</v>
      </c>
      <c r="I3594">
        <v>5102</v>
      </c>
      <c r="J3594" s="3">
        <v>51</v>
      </c>
      <c r="K3594" s="3">
        <v>23.52</v>
      </c>
      <c r="L3594">
        <v>53.88</v>
      </c>
    </row>
    <row r="3595" spans="1:12">
      <c r="A3595" s="1">
        <v>46038</v>
      </c>
      <c r="B3595" t="s">
        <v>8895</v>
      </c>
      <c r="C3595">
        <v>24</v>
      </c>
      <c r="D3595" t="str">
        <f>VLOOKUP(Tabela26[[#This Row],[EMP]],[1]LOJA!$A:$B,2,0)</f>
        <v>LUZIÂNIA</v>
      </c>
      <c r="E3595">
        <v>192</v>
      </c>
      <c r="F3595" t="s">
        <v>8894</v>
      </c>
      <c r="G3595" t="s">
        <v>3402</v>
      </c>
      <c r="H3595" t="s">
        <v>3408</v>
      </c>
      <c r="I3595">
        <v>5405</v>
      </c>
      <c r="J3595" s="3">
        <v>114</v>
      </c>
      <c r="K3595" s="3">
        <v>57.31</v>
      </c>
      <c r="L3595">
        <v>49.73</v>
      </c>
    </row>
    <row r="3596" spans="1:12">
      <c r="A3596" s="1">
        <v>46038</v>
      </c>
      <c r="B3596" t="s">
        <v>8893</v>
      </c>
      <c r="C3596">
        <v>24</v>
      </c>
      <c r="D3596" t="str">
        <f>VLOOKUP(Tabela26[[#This Row],[EMP]],[1]LOJA!$A:$B,2,0)</f>
        <v>LUZIÂNIA</v>
      </c>
      <c r="E3596">
        <v>150</v>
      </c>
      <c r="F3596" t="s">
        <v>3524</v>
      </c>
      <c r="G3596" t="s">
        <v>3402</v>
      </c>
      <c r="H3596" t="s">
        <v>3401</v>
      </c>
      <c r="I3596">
        <v>5405</v>
      </c>
      <c r="J3596" s="3">
        <v>40</v>
      </c>
      <c r="K3596" s="3">
        <v>13.84</v>
      </c>
      <c r="L3596">
        <v>65.400000000000006</v>
      </c>
    </row>
    <row r="3597" spans="1:12">
      <c r="A3597" s="1">
        <v>46038</v>
      </c>
      <c r="B3597" t="s">
        <v>8892</v>
      </c>
      <c r="C3597">
        <v>24</v>
      </c>
      <c r="D3597" t="str">
        <f>VLOOKUP(Tabela26[[#This Row],[EMP]],[1]LOJA!$A:$B,2,0)</f>
        <v>LUZIÂNIA</v>
      </c>
      <c r="E3597">
        <v>150</v>
      </c>
      <c r="F3597" t="s">
        <v>5917</v>
      </c>
      <c r="G3597" t="s">
        <v>5916</v>
      </c>
      <c r="H3597" t="s">
        <v>3401</v>
      </c>
      <c r="I3597">
        <v>5102</v>
      </c>
      <c r="J3597" s="3">
        <v>19</v>
      </c>
      <c r="K3597" s="3">
        <v>10.42</v>
      </c>
      <c r="L3597">
        <v>45.16</v>
      </c>
    </row>
    <row r="3598" spans="1:12">
      <c r="A3598" s="1">
        <v>46038</v>
      </c>
      <c r="B3598" t="s">
        <v>8891</v>
      </c>
      <c r="C3598">
        <v>24</v>
      </c>
      <c r="D3598" t="str">
        <f>VLOOKUP(Tabela26[[#This Row],[EMP]],[1]LOJA!$A:$B,2,0)</f>
        <v>LUZIÂNIA</v>
      </c>
      <c r="E3598">
        <v>242</v>
      </c>
      <c r="F3598" t="s">
        <v>3524</v>
      </c>
      <c r="G3598" t="s">
        <v>3402</v>
      </c>
      <c r="H3598" t="s">
        <v>3401</v>
      </c>
      <c r="I3598">
        <v>5102</v>
      </c>
      <c r="J3598" s="3">
        <v>21</v>
      </c>
      <c r="K3598" s="3">
        <v>8.92</v>
      </c>
      <c r="L3598">
        <v>57.52</v>
      </c>
    </row>
    <row r="3599" spans="1:12">
      <c r="A3599" s="1">
        <v>46038</v>
      </c>
      <c r="B3599" t="s">
        <v>8890</v>
      </c>
      <c r="C3599">
        <v>24</v>
      </c>
      <c r="D3599" t="str">
        <f>VLOOKUP(Tabela26[[#This Row],[EMP]],[1]LOJA!$A:$B,2,0)</f>
        <v>LUZIÂNIA</v>
      </c>
      <c r="E3599">
        <v>150</v>
      </c>
      <c r="F3599" t="s">
        <v>3524</v>
      </c>
      <c r="G3599" t="s">
        <v>3402</v>
      </c>
      <c r="H3599" t="s">
        <v>3401</v>
      </c>
      <c r="I3599">
        <v>5102</v>
      </c>
      <c r="J3599" s="3">
        <v>54</v>
      </c>
      <c r="K3599" s="3">
        <v>27.84</v>
      </c>
      <c r="L3599">
        <v>48.44</v>
      </c>
    </row>
    <row r="3600" spans="1:12">
      <c r="A3600" s="1">
        <v>46038</v>
      </c>
      <c r="B3600" t="s">
        <v>8889</v>
      </c>
      <c r="C3600">
        <v>24</v>
      </c>
      <c r="D3600" t="str">
        <f>VLOOKUP(Tabela26[[#This Row],[EMP]],[1]LOJA!$A:$B,2,0)</f>
        <v>LUZIÂNIA</v>
      </c>
      <c r="E3600">
        <v>150</v>
      </c>
      <c r="F3600" t="s">
        <v>3524</v>
      </c>
      <c r="G3600" t="s">
        <v>3402</v>
      </c>
      <c r="H3600" t="s">
        <v>3401</v>
      </c>
      <c r="I3600">
        <v>5405</v>
      </c>
      <c r="J3600" s="3">
        <v>260</v>
      </c>
      <c r="K3600" s="3">
        <v>137.61000000000001</v>
      </c>
      <c r="L3600">
        <v>47.07</v>
      </c>
    </row>
    <row r="3601" spans="1:12">
      <c r="A3601" s="1">
        <v>46038</v>
      </c>
      <c r="B3601" t="s">
        <v>8888</v>
      </c>
      <c r="C3601">
        <v>24</v>
      </c>
      <c r="D3601" t="str">
        <f>VLOOKUP(Tabela26[[#This Row],[EMP]],[1]LOJA!$A:$B,2,0)</f>
        <v>LUZIÂNIA</v>
      </c>
      <c r="E3601">
        <v>242</v>
      </c>
      <c r="F3601" t="s">
        <v>8887</v>
      </c>
      <c r="G3601" t="s">
        <v>8886</v>
      </c>
      <c r="H3601" t="s">
        <v>3401</v>
      </c>
      <c r="I3601">
        <v>5405</v>
      </c>
      <c r="J3601" s="3">
        <v>188</v>
      </c>
      <c r="K3601" s="3">
        <v>92.43</v>
      </c>
      <c r="L3601">
        <v>50.84</v>
      </c>
    </row>
    <row r="3602" spans="1:12">
      <c r="A3602" s="1">
        <v>46038</v>
      </c>
      <c r="B3602" t="s">
        <v>8885</v>
      </c>
      <c r="C3602">
        <v>24</v>
      </c>
      <c r="D3602" t="str">
        <f>VLOOKUP(Tabela26[[#This Row],[EMP]],[1]LOJA!$A:$B,2,0)</f>
        <v>LUZIÂNIA</v>
      </c>
      <c r="E3602">
        <v>242</v>
      </c>
      <c r="F3602" t="s">
        <v>4179</v>
      </c>
      <c r="G3602" t="s">
        <v>4178</v>
      </c>
      <c r="H3602" t="s">
        <v>3401</v>
      </c>
      <c r="I3602">
        <v>5102</v>
      </c>
      <c r="J3602" s="3">
        <v>200</v>
      </c>
      <c r="K3602" s="3">
        <v>107.62</v>
      </c>
      <c r="L3602">
        <v>46.19</v>
      </c>
    </row>
    <row r="3603" spans="1:12">
      <c r="A3603" s="1">
        <v>46038</v>
      </c>
      <c r="B3603" t="s">
        <v>8884</v>
      </c>
      <c r="C3603">
        <v>24</v>
      </c>
      <c r="D3603" t="str">
        <f>VLOOKUP(Tabela26[[#This Row],[EMP]],[1]LOJA!$A:$B,2,0)</f>
        <v>LUZIÂNIA</v>
      </c>
      <c r="E3603">
        <v>192</v>
      </c>
      <c r="F3603" t="s">
        <v>5962</v>
      </c>
      <c r="G3603" t="s">
        <v>5961</v>
      </c>
      <c r="H3603" t="s">
        <v>3401</v>
      </c>
      <c r="I3603">
        <v>5102</v>
      </c>
      <c r="J3603" s="3">
        <v>23</v>
      </c>
      <c r="K3603" s="3">
        <v>13.37</v>
      </c>
      <c r="L3603">
        <v>41.87</v>
      </c>
    </row>
    <row r="3604" spans="1:12">
      <c r="A3604" s="1">
        <v>46038</v>
      </c>
      <c r="B3604" t="s">
        <v>8883</v>
      </c>
      <c r="C3604">
        <v>24</v>
      </c>
      <c r="D3604" t="str">
        <f>VLOOKUP(Tabela26[[#This Row],[EMP]],[1]LOJA!$A:$B,2,0)</f>
        <v>LUZIÂNIA</v>
      </c>
      <c r="E3604">
        <v>192</v>
      </c>
      <c r="F3604" t="s">
        <v>4832</v>
      </c>
      <c r="G3604" t="s">
        <v>4831</v>
      </c>
      <c r="H3604" t="s">
        <v>3408</v>
      </c>
      <c r="I3604">
        <v>5405</v>
      </c>
      <c r="J3604" s="3">
        <v>198</v>
      </c>
      <c r="K3604" s="3">
        <v>88.92</v>
      </c>
      <c r="L3604">
        <v>55.09</v>
      </c>
    </row>
    <row r="3605" spans="1:12">
      <c r="A3605" s="1">
        <v>46038</v>
      </c>
      <c r="B3605" t="s">
        <v>8882</v>
      </c>
      <c r="C3605">
        <v>24</v>
      </c>
      <c r="D3605" t="str">
        <f>VLOOKUP(Tabela26[[#This Row],[EMP]],[1]LOJA!$A:$B,2,0)</f>
        <v>LUZIÂNIA</v>
      </c>
      <c r="E3605">
        <v>192</v>
      </c>
      <c r="F3605" t="s">
        <v>4222</v>
      </c>
      <c r="G3605" t="s">
        <v>4221</v>
      </c>
      <c r="H3605" t="s">
        <v>3408</v>
      </c>
      <c r="I3605">
        <v>5405</v>
      </c>
      <c r="J3605" s="3">
        <v>63</v>
      </c>
      <c r="K3605" s="3">
        <v>28.63</v>
      </c>
      <c r="L3605">
        <v>54.56</v>
      </c>
    </row>
    <row r="3606" spans="1:12">
      <c r="A3606" s="1">
        <v>46038</v>
      </c>
      <c r="B3606" t="s">
        <v>8881</v>
      </c>
      <c r="C3606">
        <v>24</v>
      </c>
      <c r="D3606" t="str">
        <f>VLOOKUP(Tabela26[[#This Row],[EMP]],[1]LOJA!$A:$B,2,0)</f>
        <v>LUZIÂNIA</v>
      </c>
      <c r="E3606">
        <v>192</v>
      </c>
      <c r="F3606" t="s">
        <v>4222</v>
      </c>
      <c r="G3606" t="s">
        <v>4221</v>
      </c>
      <c r="H3606" t="s">
        <v>3408</v>
      </c>
      <c r="I3606">
        <v>5102</v>
      </c>
      <c r="J3606" s="3">
        <v>76</v>
      </c>
      <c r="K3606" s="3">
        <v>47.38</v>
      </c>
      <c r="L3606">
        <v>37.659999999999997</v>
      </c>
    </row>
    <row r="3607" spans="1:12">
      <c r="A3607" s="1">
        <v>46038</v>
      </c>
      <c r="B3607" t="s">
        <v>8880</v>
      </c>
      <c r="C3607">
        <v>24</v>
      </c>
      <c r="D3607" t="str">
        <f>VLOOKUP(Tabela26[[#This Row],[EMP]],[1]LOJA!$A:$B,2,0)</f>
        <v>LUZIÂNIA</v>
      </c>
      <c r="E3607">
        <v>192</v>
      </c>
      <c r="F3607" t="s">
        <v>3524</v>
      </c>
      <c r="G3607" t="s">
        <v>3402</v>
      </c>
      <c r="H3607" t="s">
        <v>3401</v>
      </c>
      <c r="I3607">
        <v>5102</v>
      </c>
      <c r="J3607" s="3">
        <v>53</v>
      </c>
      <c r="K3607" s="3">
        <v>21.12</v>
      </c>
      <c r="L3607">
        <v>60.15</v>
      </c>
    </row>
    <row r="3608" spans="1:12">
      <c r="A3608" s="1">
        <v>46038</v>
      </c>
      <c r="B3608" t="s">
        <v>8879</v>
      </c>
      <c r="C3608">
        <v>24</v>
      </c>
      <c r="D3608" t="str">
        <f>VLOOKUP(Tabela26[[#This Row],[EMP]],[1]LOJA!$A:$B,2,0)</f>
        <v>LUZIÂNIA</v>
      </c>
      <c r="E3608">
        <v>150</v>
      </c>
      <c r="F3608" t="s">
        <v>4204</v>
      </c>
      <c r="G3608" t="s">
        <v>4203</v>
      </c>
      <c r="H3608" t="s">
        <v>3408</v>
      </c>
      <c r="I3608">
        <v>5102</v>
      </c>
      <c r="J3608" s="3">
        <v>289.89999999999998</v>
      </c>
      <c r="K3608" s="3">
        <v>168.93</v>
      </c>
      <c r="L3608">
        <v>41.73</v>
      </c>
    </row>
    <row r="3609" spans="1:12">
      <c r="A3609" s="1">
        <v>46038</v>
      </c>
      <c r="B3609" t="s">
        <v>8878</v>
      </c>
      <c r="C3609">
        <v>24</v>
      </c>
      <c r="D3609" t="str">
        <f>VLOOKUP(Tabela26[[#This Row],[EMP]],[1]LOJA!$A:$B,2,0)</f>
        <v>LUZIÂNIA</v>
      </c>
      <c r="E3609">
        <v>192</v>
      </c>
      <c r="F3609" t="s">
        <v>3524</v>
      </c>
      <c r="G3609" t="s">
        <v>3402</v>
      </c>
      <c r="H3609" t="s">
        <v>3401</v>
      </c>
      <c r="I3609">
        <v>5102</v>
      </c>
      <c r="J3609" s="3">
        <v>37</v>
      </c>
      <c r="K3609" s="3">
        <v>17.16</v>
      </c>
      <c r="L3609">
        <v>53.62</v>
      </c>
    </row>
    <row r="3610" spans="1:12">
      <c r="A3610" s="1">
        <v>46038</v>
      </c>
      <c r="B3610" t="s">
        <v>8877</v>
      </c>
      <c r="C3610">
        <v>24</v>
      </c>
      <c r="D3610" t="str">
        <f>VLOOKUP(Tabela26[[#This Row],[EMP]],[1]LOJA!$A:$B,2,0)</f>
        <v>LUZIÂNIA</v>
      </c>
      <c r="E3610">
        <v>192</v>
      </c>
      <c r="F3610" t="s">
        <v>6955</v>
      </c>
      <c r="G3610" t="s">
        <v>6954</v>
      </c>
      <c r="H3610" t="s">
        <v>3401</v>
      </c>
      <c r="I3610">
        <v>5405</v>
      </c>
      <c r="J3610" s="3">
        <v>366</v>
      </c>
      <c r="K3610" s="3">
        <v>179.76</v>
      </c>
      <c r="L3610">
        <v>50.89</v>
      </c>
    </row>
    <row r="3611" spans="1:12">
      <c r="A3611" s="1">
        <v>46038</v>
      </c>
      <c r="B3611" t="s">
        <v>8876</v>
      </c>
      <c r="C3611">
        <v>24</v>
      </c>
      <c r="D3611" t="str">
        <f>VLOOKUP(Tabela26[[#This Row],[EMP]],[1]LOJA!$A:$B,2,0)</f>
        <v>LUZIÂNIA</v>
      </c>
      <c r="E3611">
        <v>150</v>
      </c>
      <c r="F3611" t="s">
        <v>5917</v>
      </c>
      <c r="G3611" t="s">
        <v>5916</v>
      </c>
      <c r="H3611" t="s">
        <v>3401</v>
      </c>
      <c r="I3611">
        <v>5102</v>
      </c>
      <c r="J3611" s="3">
        <v>20</v>
      </c>
      <c r="K3611" s="3">
        <v>10.07</v>
      </c>
      <c r="L3611">
        <v>49.65</v>
      </c>
    </row>
    <row r="3612" spans="1:12">
      <c r="A3612" s="1">
        <v>46038</v>
      </c>
      <c r="B3612" t="s">
        <v>8875</v>
      </c>
      <c r="C3612">
        <v>24</v>
      </c>
      <c r="D3612" t="str">
        <f>VLOOKUP(Tabela26[[#This Row],[EMP]],[1]LOJA!$A:$B,2,0)</f>
        <v>LUZIÂNIA</v>
      </c>
      <c r="E3612">
        <v>150</v>
      </c>
      <c r="F3612" t="s">
        <v>3527</v>
      </c>
      <c r="G3612" t="s">
        <v>3526</v>
      </c>
      <c r="H3612" t="s">
        <v>3401</v>
      </c>
      <c r="I3612">
        <v>5102</v>
      </c>
      <c r="J3612" s="3">
        <v>33.9</v>
      </c>
      <c r="K3612" s="3">
        <v>16.690000000000001</v>
      </c>
      <c r="L3612">
        <v>50.77</v>
      </c>
    </row>
    <row r="3613" spans="1:12">
      <c r="A3613" s="1">
        <v>46038</v>
      </c>
      <c r="B3613" t="s">
        <v>8874</v>
      </c>
      <c r="C3613">
        <v>24</v>
      </c>
      <c r="D3613" t="str">
        <f>VLOOKUP(Tabela26[[#This Row],[EMP]],[1]LOJA!$A:$B,2,0)</f>
        <v>LUZIÂNIA</v>
      </c>
      <c r="E3613">
        <v>150</v>
      </c>
      <c r="F3613" t="s">
        <v>3524</v>
      </c>
      <c r="G3613" t="s">
        <v>3402</v>
      </c>
      <c r="H3613" t="s">
        <v>3401</v>
      </c>
      <c r="I3613">
        <v>5102</v>
      </c>
      <c r="J3613" s="3">
        <v>19</v>
      </c>
      <c r="K3613" s="3">
        <v>10.89</v>
      </c>
      <c r="L3613">
        <v>42.68</v>
      </c>
    </row>
    <row r="3614" spans="1:12">
      <c r="A3614" s="1">
        <v>46038</v>
      </c>
      <c r="B3614" t="s">
        <v>8873</v>
      </c>
      <c r="C3614">
        <v>24</v>
      </c>
      <c r="D3614" t="str">
        <f>VLOOKUP(Tabela26[[#This Row],[EMP]],[1]LOJA!$A:$B,2,0)</f>
        <v>LUZIÂNIA</v>
      </c>
      <c r="E3614">
        <v>192</v>
      </c>
      <c r="F3614" t="s">
        <v>4892</v>
      </c>
      <c r="G3614" t="s">
        <v>4891</v>
      </c>
      <c r="H3614" t="s">
        <v>3408</v>
      </c>
      <c r="I3614">
        <v>5405</v>
      </c>
      <c r="J3614" s="3">
        <v>250</v>
      </c>
      <c r="K3614" s="3">
        <v>117.97</v>
      </c>
      <c r="L3614">
        <v>52.81</v>
      </c>
    </row>
    <row r="3615" spans="1:12">
      <c r="A3615" s="1">
        <v>46038</v>
      </c>
      <c r="B3615" t="s">
        <v>8872</v>
      </c>
      <c r="C3615">
        <v>24</v>
      </c>
      <c r="D3615" t="str">
        <f>VLOOKUP(Tabela26[[#This Row],[EMP]],[1]LOJA!$A:$B,2,0)</f>
        <v>LUZIÂNIA</v>
      </c>
      <c r="E3615">
        <v>192</v>
      </c>
      <c r="F3615" t="s">
        <v>4892</v>
      </c>
      <c r="G3615" t="s">
        <v>4891</v>
      </c>
      <c r="H3615" t="s">
        <v>3408</v>
      </c>
      <c r="I3615">
        <v>5102</v>
      </c>
      <c r="J3615" s="3">
        <v>25</v>
      </c>
      <c r="K3615" s="3">
        <v>11.85</v>
      </c>
      <c r="L3615">
        <v>52.6</v>
      </c>
    </row>
    <row r="3616" spans="1:12">
      <c r="A3616" s="1">
        <v>46038</v>
      </c>
      <c r="B3616" t="s">
        <v>8871</v>
      </c>
      <c r="C3616">
        <v>24</v>
      </c>
      <c r="D3616" t="str">
        <f>VLOOKUP(Tabela26[[#This Row],[EMP]],[1]LOJA!$A:$B,2,0)</f>
        <v>LUZIÂNIA</v>
      </c>
      <c r="E3616">
        <v>192</v>
      </c>
      <c r="F3616" t="s">
        <v>8870</v>
      </c>
      <c r="G3616" t="s">
        <v>8869</v>
      </c>
      <c r="H3616" t="s">
        <v>3408</v>
      </c>
      <c r="I3616">
        <v>5405</v>
      </c>
      <c r="J3616" s="3">
        <v>170</v>
      </c>
      <c r="K3616" s="3">
        <v>84.11</v>
      </c>
      <c r="L3616">
        <v>50.52</v>
      </c>
    </row>
    <row r="3617" spans="1:12">
      <c r="A3617" s="1">
        <v>46038</v>
      </c>
      <c r="B3617" t="s">
        <v>8868</v>
      </c>
      <c r="C3617">
        <v>24</v>
      </c>
      <c r="D3617" t="str">
        <f>VLOOKUP(Tabela26[[#This Row],[EMP]],[1]LOJA!$A:$B,2,0)</f>
        <v>LUZIÂNIA</v>
      </c>
      <c r="E3617">
        <v>192</v>
      </c>
      <c r="F3617" t="s">
        <v>5962</v>
      </c>
      <c r="G3617" t="s">
        <v>5961</v>
      </c>
      <c r="H3617" t="s">
        <v>3408</v>
      </c>
      <c r="I3617">
        <v>5405</v>
      </c>
      <c r="J3617" s="3">
        <v>346</v>
      </c>
      <c r="K3617" s="3">
        <v>165.94</v>
      </c>
      <c r="L3617">
        <v>52.04</v>
      </c>
    </row>
    <row r="3618" spans="1:12">
      <c r="A3618" s="1">
        <v>46038</v>
      </c>
      <c r="B3618" t="s">
        <v>8867</v>
      </c>
      <c r="C3618">
        <v>12</v>
      </c>
      <c r="D3618" t="str">
        <f>VLOOKUP(Tabela26[[#This Row],[EMP]],[1]LOJA!$A:$B,2,0)</f>
        <v>SOFNORTE</v>
      </c>
      <c r="E3618">
        <v>60</v>
      </c>
      <c r="F3618" t="s">
        <v>3518</v>
      </c>
      <c r="G3618" t="s">
        <v>3517</v>
      </c>
      <c r="H3618" t="s">
        <v>3430</v>
      </c>
      <c r="I3618">
        <v>5405</v>
      </c>
      <c r="J3618" s="3">
        <v>155</v>
      </c>
      <c r="K3618" s="3">
        <v>73.58</v>
      </c>
      <c r="L3618">
        <v>52.53</v>
      </c>
    </row>
    <row r="3619" spans="1:12">
      <c r="A3619" s="1">
        <v>46038</v>
      </c>
      <c r="B3619" t="s">
        <v>8866</v>
      </c>
      <c r="C3619">
        <v>12</v>
      </c>
      <c r="D3619" t="str">
        <f>VLOOKUP(Tabela26[[#This Row],[EMP]],[1]LOJA!$A:$B,2,0)</f>
        <v>SOFNORTE</v>
      </c>
      <c r="E3619">
        <v>239</v>
      </c>
      <c r="F3619" t="s">
        <v>4156</v>
      </c>
      <c r="G3619" t="s">
        <v>4155</v>
      </c>
      <c r="H3619" t="s">
        <v>3430</v>
      </c>
      <c r="I3619">
        <v>5102</v>
      </c>
      <c r="J3619" s="3">
        <v>42.55</v>
      </c>
      <c r="K3619" s="3">
        <v>17.79</v>
      </c>
      <c r="L3619">
        <v>58.19</v>
      </c>
    </row>
    <row r="3620" spans="1:12">
      <c r="A3620" s="1">
        <v>46038</v>
      </c>
      <c r="B3620" t="s">
        <v>8865</v>
      </c>
      <c r="C3620">
        <v>12</v>
      </c>
      <c r="D3620" t="str">
        <f>VLOOKUP(Tabela26[[#This Row],[EMP]],[1]LOJA!$A:$B,2,0)</f>
        <v>SOFNORTE</v>
      </c>
      <c r="E3620">
        <v>60</v>
      </c>
      <c r="F3620" t="s">
        <v>4813</v>
      </c>
      <c r="G3620" t="s">
        <v>4812</v>
      </c>
      <c r="H3620" t="s">
        <v>3430</v>
      </c>
      <c r="I3620">
        <v>5102</v>
      </c>
      <c r="J3620" s="3">
        <v>40</v>
      </c>
      <c r="K3620" s="3">
        <v>15.36</v>
      </c>
      <c r="L3620">
        <v>61.6</v>
      </c>
    </row>
    <row r="3621" spans="1:12">
      <c r="A3621" s="1">
        <v>46038</v>
      </c>
      <c r="B3621" t="s">
        <v>8864</v>
      </c>
      <c r="C3621">
        <v>12</v>
      </c>
      <c r="D3621" t="str">
        <f>VLOOKUP(Tabela26[[#This Row],[EMP]],[1]LOJA!$A:$B,2,0)</f>
        <v>SOFNORTE</v>
      </c>
      <c r="E3621">
        <v>239</v>
      </c>
      <c r="F3621" t="s">
        <v>4156</v>
      </c>
      <c r="G3621" t="s">
        <v>4155</v>
      </c>
      <c r="H3621" t="s">
        <v>3430</v>
      </c>
      <c r="I3621">
        <v>5102</v>
      </c>
      <c r="J3621" s="3">
        <v>86</v>
      </c>
      <c r="K3621" s="3">
        <v>45.02</v>
      </c>
      <c r="L3621">
        <v>47.65</v>
      </c>
    </row>
    <row r="3622" spans="1:12">
      <c r="A3622" s="1">
        <v>46038</v>
      </c>
      <c r="B3622" t="s">
        <v>8863</v>
      </c>
      <c r="C3622">
        <v>12</v>
      </c>
      <c r="D3622" t="str">
        <f>VLOOKUP(Tabela26[[#This Row],[EMP]],[1]LOJA!$A:$B,2,0)</f>
        <v>SOFNORTE</v>
      </c>
      <c r="E3622">
        <v>60</v>
      </c>
      <c r="F3622" t="s">
        <v>4162</v>
      </c>
      <c r="G3622" t="s">
        <v>4161</v>
      </c>
      <c r="H3622" t="s">
        <v>3430</v>
      </c>
      <c r="I3622">
        <v>5405</v>
      </c>
      <c r="J3622" s="3">
        <v>60.01</v>
      </c>
      <c r="K3622" s="3">
        <v>29.08</v>
      </c>
      <c r="L3622">
        <v>51.54</v>
      </c>
    </row>
    <row r="3623" spans="1:12">
      <c r="A3623" s="1">
        <v>46038</v>
      </c>
      <c r="B3623" t="s">
        <v>8862</v>
      </c>
      <c r="C3623">
        <v>22</v>
      </c>
      <c r="D3623" t="str">
        <f>VLOOKUP(Tabela26[[#This Row],[EMP]],[1]LOJA!$A:$B,2,0)</f>
        <v>GUARÁ</v>
      </c>
      <c r="E3623">
        <v>93</v>
      </c>
      <c r="F3623" t="s">
        <v>3511</v>
      </c>
      <c r="G3623" t="s">
        <v>3510</v>
      </c>
      <c r="H3623" t="s">
        <v>3430</v>
      </c>
      <c r="I3623">
        <v>5102</v>
      </c>
      <c r="J3623" s="3">
        <v>38.83</v>
      </c>
      <c r="K3623" s="3">
        <v>20.25</v>
      </c>
      <c r="L3623">
        <v>47.85</v>
      </c>
    </row>
    <row r="3624" spans="1:12">
      <c r="A3624" s="1">
        <v>46038</v>
      </c>
      <c r="B3624" t="s">
        <v>8861</v>
      </c>
      <c r="C3624">
        <v>22</v>
      </c>
      <c r="D3624" t="str">
        <f>VLOOKUP(Tabela26[[#This Row],[EMP]],[1]LOJA!$A:$B,2,0)</f>
        <v>GUARÁ</v>
      </c>
      <c r="E3624">
        <v>93</v>
      </c>
      <c r="F3624" t="s">
        <v>4144</v>
      </c>
      <c r="G3624" t="s">
        <v>4143</v>
      </c>
      <c r="H3624" t="s">
        <v>3520</v>
      </c>
      <c r="I3624">
        <v>5405</v>
      </c>
      <c r="J3624" s="3">
        <v>82.99</v>
      </c>
      <c r="K3624" s="3">
        <v>43.06</v>
      </c>
      <c r="L3624">
        <v>48.11</v>
      </c>
    </row>
    <row r="3625" spans="1:12">
      <c r="A3625" s="1">
        <v>46038</v>
      </c>
      <c r="B3625" t="s">
        <v>8860</v>
      </c>
      <c r="C3625">
        <v>22</v>
      </c>
      <c r="D3625" t="str">
        <f>VLOOKUP(Tabela26[[#This Row],[EMP]],[1]LOJA!$A:$B,2,0)</f>
        <v>GUARÁ</v>
      </c>
      <c r="E3625">
        <v>93</v>
      </c>
      <c r="F3625" t="s">
        <v>3514</v>
      </c>
      <c r="G3625" t="s">
        <v>3513</v>
      </c>
      <c r="H3625" t="s">
        <v>3430</v>
      </c>
      <c r="I3625">
        <v>5405</v>
      </c>
      <c r="J3625" s="3">
        <v>307.51</v>
      </c>
      <c r="K3625" s="3">
        <v>161.47999999999999</v>
      </c>
      <c r="L3625">
        <v>47.49</v>
      </c>
    </row>
    <row r="3626" spans="1:12">
      <c r="A3626" s="1">
        <v>46038</v>
      </c>
      <c r="B3626" t="s">
        <v>8859</v>
      </c>
      <c r="C3626">
        <v>22</v>
      </c>
      <c r="D3626" t="str">
        <f>VLOOKUP(Tabela26[[#This Row],[EMP]],[1]LOJA!$A:$B,2,0)</f>
        <v>GUARÁ</v>
      </c>
      <c r="E3626">
        <v>93</v>
      </c>
      <c r="F3626" t="s">
        <v>4147</v>
      </c>
      <c r="G3626" t="s">
        <v>4146</v>
      </c>
      <c r="H3626" t="s">
        <v>3430</v>
      </c>
      <c r="I3626">
        <v>5102</v>
      </c>
      <c r="J3626" s="3">
        <v>540.79999999999995</v>
      </c>
      <c r="K3626" s="3">
        <v>348.65</v>
      </c>
      <c r="L3626">
        <v>35.53</v>
      </c>
    </row>
    <row r="3627" spans="1:12">
      <c r="A3627" s="1">
        <v>46038</v>
      </c>
      <c r="B3627" t="s">
        <v>8858</v>
      </c>
      <c r="C3627">
        <v>22</v>
      </c>
      <c r="D3627" t="str">
        <f>VLOOKUP(Tabela26[[#This Row],[EMP]],[1]LOJA!$A:$B,2,0)</f>
        <v>GUARÁ</v>
      </c>
      <c r="E3627">
        <v>93</v>
      </c>
      <c r="F3627" t="s">
        <v>4140</v>
      </c>
      <c r="G3627" t="s">
        <v>4139</v>
      </c>
      <c r="H3627" t="s">
        <v>3430</v>
      </c>
      <c r="I3627">
        <v>5102</v>
      </c>
      <c r="J3627" s="3">
        <v>105.5</v>
      </c>
      <c r="K3627" s="3">
        <v>61.5</v>
      </c>
      <c r="L3627">
        <v>41.71</v>
      </c>
    </row>
    <row r="3628" spans="1:12">
      <c r="A3628" s="1">
        <v>46038</v>
      </c>
      <c r="B3628" t="s">
        <v>8857</v>
      </c>
      <c r="C3628">
        <v>22</v>
      </c>
      <c r="D3628" t="str">
        <f>VLOOKUP(Tabela26[[#This Row],[EMP]],[1]LOJA!$A:$B,2,0)</f>
        <v>GUARÁ</v>
      </c>
      <c r="E3628">
        <v>93</v>
      </c>
      <c r="F3628" t="s">
        <v>4147</v>
      </c>
      <c r="G3628" t="s">
        <v>4146</v>
      </c>
      <c r="H3628" t="s">
        <v>3430</v>
      </c>
      <c r="I3628">
        <v>5405</v>
      </c>
      <c r="J3628" s="3">
        <v>62</v>
      </c>
      <c r="K3628" s="3">
        <v>32.200000000000003</v>
      </c>
      <c r="L3628">
        <v>48.06</v>
      </c>
    </row>
    <row r="3629" spans="1:12">
      <c r="A3629" s="1">
        <v>46038</v>
      </c>
      <c r="B3629" t="s">
        <v>8856</v>
      </c>
      <c r="C3629">
        <v>22</v>
      </c>
      <c r="D3629" t="str">
        <f>VLOOKUP(Tabela26[[#This Row],[EMP]],[1]LOJA!$A:$B,2,0)</f>
        <v>GUARÁ</v>
      </c>
      <c r="E3629">
        <v>93</v>
      </c>
      <c r="F3629" t="s">
        <v>6897</v>
      </c>
      <c r="G3629" t="s">
        <v>6896</v>
      </c>
      <c r="H3629" t="s">
        <v>3430</v>
      </c>
      <c r="I3629">
        <v>5102</v>
      </c>
      <c r="J3629" s="3">
        <v>620</v>
      </c>
      <c r="K3629" s="3">
        <v>360.99</v>
      </c>
      <c r="L3629">
        <v>41.78</v>
      </c>
    </row>
    <row r="3630" spans="1:12">
      <c r="A3630" s="1">
        <v>46038</v>
      </c>
      <c r="B3630" t="s">
        <v>8855</v>
      </c>
      <c r="C3630">
        <v>22</v>
      </c>
      <c r="D3630" t="str">
        <f>VLOOKUP(Tabela26[[#This Row],[EMP]],[1]LOJA!$A:$B,2,0)</f>
        <v>GUARÁ</v>
      </c>
      <c r="E3630">
        <v>93</v>
      </c>
      <c r="F3630" t="s">
        <v>4140</v>
      </c>
      <c r="G3630" t="s">
        <v>4139</v>
      </c>
      <c r="H3630" t="s">
        <v>3430</v>
      </c>
      <c r="I3630">
        <v>5102</v>
      </c>
      <c r="J3630" s="3">
        <v>133.99</v>
      </c>
      <c r="K3630" s="3">
        <v>71.86</v>
      </c>
      <c r="L3630">
        <v>46.37</v>
      </c>
    </row>
    <row r="3631" spans="1:12">
      <c r="A3631" s="1">
        <v>46038</v>
      </c>
      <c r="B3631" t="s">
        <v>8854</v>
      </c>
      <c r="C3631">
        <v>22</v>
      </c>
      <c r="D3631" t="str">
        <f>VLOOKUP(Tabela26[[#This Row],[EMP]],[1]LOJA!$A:$B,2,0)</f>
        <v>GUARÁ</v>
      </c>
      <c r="E3631">
        <v>93</v>
      </c>
      <c r="F3631" t="s">
        <v>5353</v>
      </c>
      <c r="G3631" t="s">
        <v>5352</v>
      </c>
      <c r="H3631" t="s">
        <v>3520</v>
      </c>
      <c r="I3631">
        <v>5405</v>
      </c>
      <c r="J3631" s="3">
        <v>560.79999999999995</v>
      </c>
      <c r="K3631" s="3">
        <v>334.52</v>
      </c>
      <c r="L3631">
        <v>40.35</v>
      </c>
    </row>
    <row r="3632" spans="1:12">
      <c r="A3632" s="1">
        <v>46038</v>
      </c>
      <c r="B3632" t="s">
        <v>8853</v>
      </c>
      <c r="C3632">
        <v>13</v>
      </c>
      <c r="D3632" t="str">
        <f>VLOOKUP(Tabela26[[#This Row],[EMP]],[1]LOJA!$A:$B,2,0)</f>
        <v>CEILÂNDIA</v>
      </c>
      <c r="E3632">
        <v>86</v>
      </c>
      <c r="F3632" t="s">
        <v>6884</v>
      </c>
      <c r="G3632" t="s">
        <v>6883</v>
      </c>
      <c r="H3632" t="s">
        <v>3430</v>
      </c>
      <c r="I3632">
        <v>5102</v>
      </c>
      <c r="J3632" s="3">
        <v>34.700000000000003</v>
      </c>
      <c r="K3632" s="3">
        <v>15.64</v>
      </c>
      <c r="L3632">
        <v>54.93</v>
      </c>
    </row>
    <row r="3633" spans="1:12">
      <c r="A3633" s="1">
        <v>46038</v>
      </c>
      <c r="B3633" t="s">
        <v>8852</v>
      </c>
      <c r="C3633">
        <v>13</v>
      </c>
      <c r="D3633" t="str">
        <f>VLOOKUP(Tabela26[[#This Row],[EMP]],[1]LOJA!$A:$B,2,0)</f>
        <v>CEILÂNDIA</v>
      </c>
      <c r="E3633">
        <v>33</v>
      </c>
      <c r="F3633" t="s">
        <v>4792</v>
      </c>
      <c r="G3633" t="s">
        <v>4791</v>
      </c>
      <c r="H3633" t="s">
        <v>3430</v>
      </c>
      <c r="I3633">
        <v>5405</v>
      </c>
      <c r="J3633" s="3">
        <v>749.9</v>
      </c>
      <c r="K3633" s="3">
        <v>475.14</v>
      </c>
      <c r="L3633">
        <v>36.64</v>
      </c>
    </row>
    <row r="3634" spans="1:12">
      <c r="A3634" s="1">
        <v>46038</v>
      </c>
      <c r="B3634" t="s">
        <v>8851</v>
      </c>
      <c r="C3634">
        <v>13</v>
      </c>
      <c r="D3634" t="str">
        <f>VLOOKUP(Tabela26[[#This Row],[EMP]],[1]LOJA!$A:$B,2,0)</f>
        <v>CEILÂNDIA</v>
      </c>
      <c r="E3634">
        <v>33</v>
      </c>
      <c r="F3634" t="s">
        <v>4792</v>
      </c>
      <c r="G3634" t="s">
        <v>4791</v>
      </c>
      <c r="H3634" t="s">
        <v>3430</v>
      </c>
      <c r="I3634">
        <v>5102</v>
      </c>
      <c r="J3634" s="3">
        <v>58</v>
      </c>
      <c r="K3634" s="3">
        <v>32.450000000000003</v>
      </c>
      <c r="L3634">
        <v>44.05</v>
      </c>
    </row>
    <row r="3635" spans="1:12">
      <c r="A3635" s="1">
        <v>46038</v>
      </c>
      <c r="B3635" t="s">
        <v>8850</v>
      </c>
      <c r="C3635">
        <v>13</v>
      </c>
      <c r="D3635" t="str">
        <f>VLOOKUP(Tabela26[[#This Row],[EMP]],[1]LOJA!$A:$B,2,0)</f>
        <v>CEILÂNDIA</v>
      </c>
      <c r="E3635">
        <v>86</v>
      </c>
      <c r="F3635" t="s">
        <v>5339</v>
      </c>
      <c r="G3635" t="s">
        <v>5338</v>
      </c>
      <c r="H3635" t="s">
        <v>3408</v>
      </c>
      <c r="I3635">
        <v>5102</v>
      </c>
      <c r="J3635" s="3">
        <v>60</v>
      </c>
      <c r="K3635" s="3">
        <v>29.28</v>
      </c>
      <c r="L3635">
        <v>51.2</v>
      </c>
    </row>
    <row r="3636" spans="1:12">
      <c r="A3636" s="1">
        <v>46038</v>
      </c>
      <c r="B3636" t="s">
        <v>8849</v>
      </c>
      <c r="C3636">
        <v>13</v>
      </c>
      <c r="D3636" t="str">
        <f>VLOOKUP(Tabela26[[#This Row],[EMP]],[1]LOJA!$A:$B,2,0)</f>
        <v>CEILÂNDIA</v>
      </c>
      <c r="E3636">
        <v>86</v>
      </c>
      <c r="F3636" t="s">
        <v>4118</v>
      </c>
      <c r="G3636" t="s">
        <v>4117</v>
      </c>
      <c r="H3636" t="s">
        <v>3430</v>
      </c>
      <c r="I3636">
        <v>5102</v>
      </c>
      <c r="J3636" s="3">
        <v>1077.1199999999999</v>
      </c>
      <c r="K3636" s="3">
        <v>687.96</v>
      </c>
      <c r="L3636">
        <v>36.130000000000003</v>
      </c>
    </row>
    <row r="3637" spans="1:12">
      <c r="A3637" s="1">
        <v>46038</v>
      </c>
      <c r="B3637" t="s">
        <v>8848</v>
      </c>
      <c r="C3637">
        <v>13</v>
      </c>
      <c r="D3637" t="str">
        <f>VLOOKUP(Tabela26[[#This Row],[EMP]],[1]LOJA!$A:$B,2,0)</f>
        <v>CEILÂNDIA</v>
      </c>
      <c r="E3637">
        <v>86</v>
      </c>
      <c r="F3637" t="s">
        <v>4118</v>
      </c>
      <c r="G3637" t="s">
        <v>4117</v>
      </c>
      <c r="H3637" t="s">
        <v>3430</v>
      </c>
      <c r="I3637">
        <v>5102</v>
      </c>
      <c r="J3637" s="3">
        <v>94.23</v>
      </c>
      <c r="K3637" s="3">
        <v>55.86</v>
      </c>
      <c r="L3637">
        <v>40.72</v>
      </c>
    </row>
    <row r="3638" spans="1:12">
      <c r="A3638" s="1">
        <v>46038</v>
      </c>
      <c r="B3638" t="s">
        <v>8847</v>
      </c>
      <c r="C3638">
        <v>13</v>
      </c>
      <c r="D3638" t="str">
        <f>VLOOKUP(Tabela26[[#This Row],[EMP]],[1]LOJA!$A:$B,2,0)</f>
        <v>CEILÂNDIA</v>
      </c>
      <c r="E3638">
        <v>33</v>
      </c>
      <c r="F3638" t="s">
        <v>3505</v>
      </c>
      <c r="G3638" t="s">
        <v>3504</v>
      </c>
      <c r="H3638" t="s">
        <v>3430</v>
      </c>
      <c r="I3638">
        <v>5102</v>
      </c>
      <c r="J3638" s="3">
        <v>579.79999999999995</v>
      </c>
      <c r="K3638" s="3">
        <v>307.95999999999998</v>
      </c>
      <c r="L3638">
        <v>46.89</v>
      </c>
    </row>
    <row r="3639" spans="1:12">
      <c r="A3639" s="1">
        <v>46038</v>
      </c>
      <c r="B3639" t="s">
        <v>8846</v>
      </c>
      <c r="C3639">
        <v>13</v>
      </c>
      <c r="D3639" t="str">
        <f>VLOOKUP(Tabela26[[#This Row],[EMP]],[1]LOJA!$A:$B,2,0)</f>
        <v>CEILÂNDIA</v>
      </c>
      <c r="E3639">
        <v>33</v>
      </c>
      <c r="F3639" t="s">
        <v>4781</v>
      </c>
      <c r="G3639" t="s">
        <v>4780</v>
      </c>
      <c r="H3639" t="s">
        <v>3430</v>
      </c>
      <c r="I3639">
        <v>5405</v>
      </c>
      <c r="J3639" s="3">
        <v>1025.6600000000001</v>
      </c>
      <c r="K3639" s="3">
        <v>627.80999999999995</v>
      </c>
      <c r="L3639">
        <v>38.79</v>
      </c>
    </row>
    <row r="3640" spans="1:12">
      <c r="A3640" s="1">
        <v>46038</v>
      </c>
      <c r="B3640" t="s">
        <v>8845</v>
      </c>
      <c r="C3640">
        <v>13</v>
      </c>
      <c r="D3640" t="str">
        <f>VLOOKUP(Tabela26[[#This Row],[EMP]],[1]LOJA!$A:$B,2,0)</f>
        <v>CEILÂNDIA</v>
      </c>
      <c r="E3640">
        <v>86</v>
      </c>
      <c r="F3640" t="s">
        <v>4097</v>
      </c>
      <c r="G3640" t="s">
        <v>4096</v>
      </c>
      <c r="H3640" t="s">
        <v>3430</v>
      </c>
      <c r="I3640">
        <v>5405</v>
      </c>
      <c r="J3640" s="3">
        <v>86.56</v>
      </c>
      <c r="K3640" s="3">
        <v>45.11</v>
      </c>
      <c r="L3640">
        <v>47.89</v>
      </c>
    </row>
    <row r="3641" spans="1:12">
      <c r="A3641" s="1">
        <v>46038</v>
      </c>
      <c r="B3641" t="s">
        <v>8844</v>
      </c>
      <c r="C3641">
        <v>13</v>
      </c>
      <c r="D3641" t="str">
        <f>VLOOKUP(Tabela26[[#This Row],[EMP]],[1]LOJA!$A:$B,2,0)</f>
        <v>CEILÂNDIA</v>
      </c>
      <c r="E3641">
        <v>86</v>
      </c>
      <c r="F3641" t="s">
        <v>4097</v>
      </c>
      <c r="G3641" t="s">
        <v>4096</v>
      </c>
      <c r="H3641" t="s">
        <v>3430</v>
      </c>
      <c r="I3641">
        <v>5102</v>
      </c>
      <c r="J3641" s="3">
        <v>57.51</v>
      </c>
      <c r="K3641" s="3">
        <v>32.450000000000003</v>
      </c>
      <c r="L3641">
        <v>43.58</v>
      </c>
    </row>
    <row r="3642" spans="1:12">
      <c r="A3642" s="1">
        <v>46038</v>
      </c>
      <c r="B3642" t="s">
        <v>8843</v>
      </c>
      <c r="C3642">
        <v>13</v>
      </c>
      <c r="D3642" t="str">
        <f>VLOOKUP(Tabela26[[#This Row],[EMP]],[1]LOJA!$A:$B,2,0)</f>
        <v>CEILÂNDIA</v>
      </c>
      <c r="E3642">
        <v>33</v>
      </c>
      <c r="F3642" t="s">
        <v>3505</v>
      </c>
      <c r="G3642" t="s">
        <v>3504</v>
      </c>
      <c r="H3642" t="s">
        <v>3430</v>
      </c>
      <c r="I3642">
        <v>5102</v>
      </c>
      <c r="J3642" s="3">
        <v>224.63</v>
      </c>
      <c r="K3642" s="3">
        <v>140.44999999999999</v>
      </c>
      <c r="L3642">
        <v>37.47</v>
      </c>
    </row>
    <row r="3643" spans="1:12">
      <c r="A3643" s="1">
        <v>46038</v>
      </c>
      <c r="B3643" t="s">
        <v>8842</v>
      </c>
      <c r="C3643">
        <v>13</v>
      </c>
      <c r="D3643" t="str">
        <f>VLOOKUP(Tabela26[[#This Row],[EMP]],[1]LOJA!$A:$B,2,0)</f>
        <v>CEILÂNDIA</v>
      </c>
      <c r="E3643">
        <v>86</v>
      </c>
      <c r="F3643" t="s">
        <v>4081</v>
      </c>
      <c r="G3643" t="s">
        <v>4080</v>
      </c>
      <c r="H3643" t="s">
        <v>3430</v>
      </c>
      <c r="I3643">
        <v>5405</v>
      </c>
      <c r="J3643" s="3">
        <v>56.1</v>
      </c>
      <c r="K3643" s="3">
        <v>29.26</v>
      </c>
      <c r="L3643">
        <v>47.84</v>
      </c>
    </row>
    <row r="3644" spans="1:12">
      <c r="A3644" s="1">
        <v>46038</v>
      </c>
      <c r="B3644" t="s">
        <v>8841</v>
      </c>
      <c r="C3644">
        <v>13</v>
      </c>
      <c r="D3644" t="str">
        <f>VLOOKUP(Tabela26[[#This Row],[EMP]],[1]LOJA!$A:$B,2,0)</f>
        <v>CEILÂNDIA</v>
      </c>
      <c r="E3644">
        <v>33</v>
      </c>
      <c r="F3644" t="s">
        <v>4764</v>
      </c>
      <c r="G3644" t="s">
        <v>4763</v>
      </c>
      <c r="H3644" t="s">
        <v>3430</v>
      </c>
      <c r="I3644">
        <v>5405</v>
      </c>
      <c r="J3644" s="3">
        <v>140</v>
      </c>
      <c r="K3644" s="3">
        <v>78.8</v>
      </c>
      <c r="L3644">
        <v>43.71</v>
      </c>
    </row>
    <row r="3645" spans="1:12">
      <c r="A3645" s="1">
        <v>46038</v>
      </c>
      <c r="B3645" t="s">
        <v>8840</v>
      </c>
      <c r="C3645">
        <v>13</v>
      </c>
      <c r="D3645" t="str">
        <f>VLOOKUP(Tabela26[[#This Row],[EMP]],[1]LOJA!$A:$B,2,0)</f>
        <v>CEILÂNDIA</v>
      </c>
      <c r="E3645">
        <v>33</v>
      </c>
      <c r="F3645" t="s">
        <v>4088</v>
      </c>
      <c r="G3645" t="s">
        <v>4087</v>
      </c>
      <c r="H3645" t="s">
        <v>3430</v>
      </c>
      <c r="I3645">
        <v>5102</v>
      </c>
      <c r="J3645" s="3">
        <v>494.92</v>
      </c>
      <c r="K3645" s="3">
        <v>349.71</v>
      </c>
      <c r="L3645">
        <v>29.34</v>
      </c>
    </row>
    <row r="3646" spans="1:12">
      <c r="A3646" s="1">
        <v>46038</v>
      </c>
      <c r="B3646" t="s">
        <v>8839</v>
      </c>
      <c r="C3646">
        <v>13</v>
      </c>
      <c r="D3646" t="str">
        <f>VLOOKUP(Tabela26[[#This Row],[EMP]],[1]LOJA!$A:$B,2,0)</f>
        <v>CEILÂNDIA</v>
      </c>
      <c r="E3646">
        <v>86</v>
      </c>
      <c r="F3646" t="s">
        <v>3505</v>
      </c>
      <c r="G3646" t="s">
        <v>3504</v>
      </c>
      <c r="H3646" t="s">
        <v>3430</v>
      </c>
      <c r="I3646">
        <v>5102</v>
      </c>
      <c r="J3646" s="3">
        <v>600.59</v>
      </c>
      <c r="K3646" s="3">
        <v>373.94</v>
      </c>
      <c r="L3646">
        <v>37.74</v>
      </c>
    </row>
    <row r="3647" spans="1:12">
      <c r="A3647" s="1">
        <v>46038</v>
      </c>
      <c r="B3647" t="s">
        <v>8838</v>
      </c>
      <c r="C3647">
        <v>13</v>
      </c>
      <c r="D3647" t="str">
        <f>VLOOKUP(Tabela26[[#This Row],[EMP]],[1]LOJA!$A:$B,2,0)</f>
        <v>CEILÂNDIA</v>
      </c>
      <c r="E3647">
        <v>33</v>
      </c>
      <c r="F3647" t="s">
        <v>3505</v>
      </c>
      <c r="G3647" t="s">
        <v>3504</v>
      </c>
      <c r="H3647" t="s">
        <v>3430</v>
      </c>
      <c r="I3647">
        <v>5102</v>
      </c>
      <c r="J3647" s="3">
        <v>86.54</v>
      </c>
      <c r="K3647" s="3">
        <v>51.18</v>
      </c>
      <c r="L3647">
        <v>40.86</v>
      </c>
    </row>
    <row r="3648" spans="1:12">
      <c r="A3648" s="1">
        <v>46038</v>
      </c>
      <c r="B3648" t="s">
        <v>8837</v>
      </c>
      <c r="C3648">
        <v>15</v>
      </c>
      <c r="D3648" t="str">
        <f>VLOOKUP(Tabela26[[#This Row],[EMP]],[1]LOJA!$A:$B,2,0)</f>
        <v>UNAÍ</v>
      </c>
      <c r="E3648">
        <v>183</v>
      </c>
      <c r="F3648" t="s">
        <v>4740</v>
      </c>
      <c r="G3648" t="s">
        <v>4739</v>
      </c>
      <c r="H3648" t="s">
        <v>8570</v>
      </c>
      <c r="I3648">
        <v>5102</v>
      </c>
      <c r="J3648" s="3">
        <v>118</v>
      </c>
      <c r="K3648" s="3">
        <v>57.55</v>
      </c>
      <c r="L3648">
        <v>51.23</v>
      </c>
    </row>
    <row r="3649" spans="1:12">
      <c r="A3649" s="1">
        <v>46038</v>
      </c>
      <c r="B3649" t="s">
        <v>8836</v>
      </c>
      <c r="C3649">
        <v>15</v>
      </c>
      <c r="D3649" t="str">
        <f>VLOOKUP(Tabela26[[#This Row],[EMP]],[1]LOJA!$A:$B,2,0)</f>
        <v>UNAÍ</v>
      </c>
      <c r="E3649">
        <v>183</v>
      </c>
      <c r="F3649" t="s">
        <v>4740</v>
      </c>
      <c r="G3649" t="s">
        <v>4739</v>
      </c>
      <c r="H3649" t="s">
        <v>8570</v>
      </c>
      <c r="I3649">
        <v>5102</v>
      </c>
      <c r="J3649" s="3">
        <v>10.8</v>
      </c>
      <c r="K3649" s="3">
        <v>5.07</v>
      </c>
      <c r="L3649">
        <v>53.06</v>
      </c>
    </row>
    <row r="3650" spans="1:12">
      <c r="A3650" s="1">
        <v>46038</v>
      </c>
      <c r="B3650" t="s">
        <v>8835</v>
      </c>
      <c r="C3650">
        <v>15</v>
      </c>
      <c r="D3650" t="str">
        <f>VLOOKUP(Tabela26[[#This Row],[EMP]],[1]LOJA!$A:$B,2,0)</f>
        <v>UNAÍ</v>
      </c>
      <c r="E3650">
        <v>183</v>
      </c>
      <c r="F3650" t="s">
        <v>3485</v>
      </c>
      <c r="G3650" t="s">
        <v>3402</v>
      </c>
      <c r="H3650" t="s">
        <v>3401</v>
      </c>
      <c r="I3650">
        <v>5102</v>
      </c>
      <c r="J3650" s="3">
        <v>6</v>
      </c>
      <c r="K3650" s="3">
        <v>2.6</v>
      </c>
      <c r="L3650">
        <v>56.67</v>
      </c>
    </row>
    <row r="3651" spans="1:12">
      <c r="A3651" s="1">
        <v>46038</v>
      </c>
      <c r="B3651" t="s">
        <v>8834</v>
      </c>
      <c r="C3651">
        <v>15</v>
      </c>
      <c r="D3651" t="str">
        <f>VLOOKUP(Tabela26[[#This Row],[EMP]],[1]LOJA!$A:$B,2,0)</f>
        <v>UNAÍ</v>
      </c>
      <c r="E3651">
        <v>183</v>
      </c>
      <c r="F3651" t="s">
        <v>3485</v>
      </c>
      <c r="G3651" t="s">
        <v>3402</v>
      </c>
      <c r="H3651" t="s">
        <v>3401</v>
      </c>
      <c r="I3651">
        <v>5102</v>
      </c>
      <c r="J3651" s="3">
        <v>70</v>
      </c>
      <c r="K3651" s="3">
        <v>42.59</v>
      </c>
      <c r="L3651">
        <v>39.159999999999997</v>
      </c>
    </row>
    <row r="3652" spans="1:12">
      <c r="A3652" s="1">
        <v>46038</v>
      </c>
      <c r="B3652" t="s">
        <v>8833</v>
      </c>
      <c r="C3652">
        <v>15</v>
      </c>
      <c r="D3652" t="str">
        <f>VLOOKUP(Tabela26[[#This Row],[EMP]],[1]LOJA!$A:$B,2,0)</f>
        <v>UNAÍ</v>
      </c>
      <c r="E3652">
        <v>183</v>
      </c>
      <c r="F3652" t="s">
        <v>3485</v>
      </c>
      <c r="G3652" t="s">
        <v>3402</v>
      </c>
      <c r="H3652" t="s">
        <v>3401</v>
      </c>
      <c r="I3652">
        <v>5102</v>
      </c>
      <c r="J3652" s="3">
        <v>51.5</v>
      </c>
      <c r="K3652" s="3">
        <v>27.05</v>
      </c>
      <c r="L3652">
        <v>47.48</v>
      </c>
    </row>
    <row r="3653" spans="1:12">
      <c r="A3653" s="1">
        <v>46038</v>
      </c>
      <c r="B3653" t="s">
        <v>8832</v>
      </c>
      <c r="C3653">
        <v>15</v>
      </c>
      <c r="D3653" t="str">
        <f>VLOOKUP(Tabela26[[#This Row],[EMP]],[1]LOJA!$A:$B,2,0)</f>
        <v>UNAÍ</v>
      </c>
      <c r="E3653">
        <v>183</v>
      </c>
      <c r="F3653" t="s">
        <v>3488</v>
      </c>
      <c r="G3653" t="s">
        <v>3487</v>
      </c>
      <c r="H3653" t="s">
        <v>3430</v>
      </c>
      <c r="I3653">
        <v>5102</v>
      </c>
      <c r="J3653" s="3">
        <v>44.6</v>
      </c>
      <c r="K3653" s="3">
        <v>25.42</v>
      </c>
      <c r="L3653">
        <v>43</v>
      </c>
    </row>
    <row r="3654" spans="1:12">
      <c r="A3654" s="1">
        <v>46038</v>
      </c>
      <c r="B3654" t="s">
        <v>8831</v>
      </c>
      <c r="C3654">
        <v>15</v>
      </c>
      <c r="D3654" t="str">
        <f>VLOOKUP(Tabela26[[#This Row],[EMP]],[1]LOJA!$A:$B,2,0)</f>
        <v>UNAÍ</v>
      </c>
      <c r="E3654">
        <v>183</v>
      </c>
      <c r="F3654" t="s">
        <v>4037</v>
      </c>
      <c r="G3654" t="s">
        <v>4036</v>
      </c>
      <c r="H3654" t="s">
        <v>8570</v>
      </c>
      <c r="I3654">
        <v>5102</v>
      </c>
      <c r="J3654" s="3">
        <v>142.26</v>
      </c>
      <c r="K3654" s="3">
        <v>87.9</v>
      </c>
      <c r="L3654">
        <v>38.21</v>
      </c>
    </row>
    <row r="3655" spans="1:12">
      <c r="A3655" s="1">
        <v>46038</v>
      </c>
      <c r="B3655" t="s">
        <v>8830</v>
      </c>
      <c r="C3655">
        <v>15</v>
      </c>
      <c r="D3655" t="str">
        <f>VLOOKUP(Tabela26[[#This Row],[EMP]],[1]LOJA!$A:$B,2,0)</f>
        <v>UNAÍ</v>
      </c>
      <c r="E3655">
        <v>183</v>
      </c>
      <c r="F3655" t="s">
        <v>3485</v>
      </c>
      <c r="G3655" t="s">
        <v>3402</v>
      </c>
      <c r="H3655" t="s">
        <v>3401</v>
      </c>
      <c r="I3655">
        <v>5102</v>
      </c>
      <c r="J3655" s="3">
        <v>2</v>
      </c>
      <c r="K3655" s="3">
        <v>0.99</v>
      </c>
      <c r="L3655">
        <v>50.5</v>
      </c>
    </row>
    <row r="3656" spans="1:12">
      <c r="A3656" s="1">
        <v>46038</v>
      </c>
      <c r="B3656" t="s">
        <v>8829</v>
      </c>
      <c r="C3656">
        <v>15</v>
      </c>
      <c r="D3656" t="str">
        <f>VLOOKUP(Tabela26[[#This Row],[EMP]],[1]LOJA!$A:$B,2,0)</f>
        <v>UNAÍ</v>
      </c>
      <c r="E3656">
        <v>183</v>
      </c>
      <c r="F3656" t="s">
        <v>3467</v>
      </c>
      <c r="G3656" t="s">
        <v>3466</v>
      </c>
      <c r="H3656" t="s">
        <v>3401</v>
      </c>
      <c r="I3656">
        <v>5102</v>
      </c>
      <c r="J3656" s="3">
        <v>11</v>
      </c>
      <c r="K3656" s="3">
        <v>6.56</v>
      </c>
      <c r="L3656">
        <v>40.36</v>
      </c>
    </row>
    <row r="3657" spans="1:12">
      <c r="A3657" s="1">
        <v>46038</v>
      </c>
      <c r="B3657" t="s">
        <v>8828</v>
      </c>
      <c r="C3657">
        <v>15</v>
      </c>
      <c r="D3657" t="str">
        <f>VLOOKUP(Tabela26[[#This Row],[EMP]],[1]LOJA!$A:$B,2,0)</f>
        <v>UNAÍ</v>
      </c>
      <c r="E3657">
        <v>183</v>
      </c>
      <c r="F3657" t="s">
        <v>4060</v>
      </c>
      <c r="G3657" t="s">
        <v>3402</v>
      </c>
      <c r="H3657" t="s">
        <v>3401</v>
      </c>
      <c r="I3657">
        <v>5102</v>
      </c>
      <c r="J3657" s="3">
        <v>49</v>
      </c>
      <c r="K3657" s="3">
        <v>18.22</v>
      </c>
      <c r="L3657">
        <v>62.82</v>
      </c>
    </row>
    <row r="3658" spans="1:12">
      <c r="A3658" s="1">
        <v>46038</v>
      </c>
      <c r="B3658" t="s">
        <v>8827</v>
      </c>
      <c r="C3658">
        <v>15</v>
      </c>
      <c r="D3658" t="str">
        <f>VLOOKUP(Tabela26[[#This Row],[EMP]],[1]LOJA!$A:$B,2,0)</f>
        <v>UNAÍ</v>
      </c>
      <c r="E3658">
        <v>183</v>
      </c>
      <c r="F3658" t="s">
        <v>4720</v>
      </c>
      <c r="G3658" t="s">
        <v>4719</v>
      </c>
      <c r="H3658" t="s">
        <v>3401</v>
      </c>
      <c r="I3658">
        <v>5102</v>
      </c>
      <c r="J3658" s="3">
        <v>44</v>
      </c>
      <c r="K3658" s="3">
        <v>23.21</v>
      </c>
      <c r="L3658">
        <v>47.25</v>
      </c>
    </row>
    <row r="3659" spans="1:12">
      <c r="A3659" s="1">
        <v>46038</v>
      </c>
      <c r="B3659" t="s">
        <v>8826</v>
      </c>
      <c r="C3659">
        <v>15</v>
      </c>
      <c r="D3659" t="str">
        <f>VLOOKUP(Tabela26[[#This Row],[EMP]],[1]LOJA!$A:$B,2,0)</f>
        <v>UNAÍ</v>
      </c>
      <c r="E3659">
        <v>183</v>
      </c>
      <c r="F3659" t="s">
        <v>3485</v>
      </c>
      <c r="G3659" t="s">
        <v>3402</v>
      </c>
      <c r="H3659" t="s">
        <v>3401</v>
      </c>
      <c r="I3659">
        <v>5102</v>
      </c>
      <c r="J3659" s="3">
        <v>15</v>
      </c>
      <c r="K3659" s="3">
        <v>9.26</v>
      </c>
      <c r="L3659">
        <v>38.270000000000003</v>
      </c>
    </row>
    <row r="3660" spans="1:12">
      <c r="A3660" s="1">
        <v>46038</v>
      </c>
      <c r="B3660" t="s">
        <v>8825</v>
      </c>
      <c r="C3660">
        <v>15</v>
      </c>
      <c r="D3660" t="str">
        <f>VLOOKUP(Tabela26[[#This Row],[EMP]],[1]LOJA!$A:$B,2,0)</f>
        <v>UNAÍ</v>
      </c>
      <c r="E3660">
        <v>183</v>
      </c>
      <c r="F3660" t="s">
        <v>4040</v>
      </c>
      <c r="G3660" t="s">
        <v>4039</v>
      </c>
      <c r="H3660" t="s">
        <v>3408</v>
      </c>
      <c r="I3660">
        <v>5102</v>
      </c>
      <c r="J3660" s="3">
        <v>308</v>
      </c>
      <c r="K3660" s="3">
        <v>154.47999999999999</v>
      </c>
      <c r="L3660">
        <v>49.84</v>
      </c>
    </row>
    <row r="3661" spans="1:12">
      <c r="A3661" s="1">
        <v>46038</v>
      </c>
      <c r="B3661" t="s">
        <v>8824</v>
      </c>
      <c r="C3661">
        <v>15</v>
      </c>
      <c r="D3661" t="str">
        <f>VLOOKUP(Tabela26[[#This Row],[EMP]],[1]LOJA!$A:$B,2,0)</f>
        <v>UNAÍ</v>
      </c>
      <c r="E3661">
        <v>183</v>
      </c>
      <c r="F3661" t="s">
        <v>4032</v>
      </c>
      <c r="G3661" t="s">
        <v>4031</v>
      </c>
      <c r="H3661" t="s">
        <v>3430</v>
      </c>
      <c r="I3661">
        <v>5102</v>
      </c>
      <c r="J3661" s="3">
        <v>104.2</v>
      </c>
      <c r="K3661" s="3">
        <v>50.83</v>
      </c>
      <c r="L3661">
        <v>51.22</v>
      </c>
    </row>
    <row r="3662" spans="1:12">
      <c r="A3662" s="1">
        <v>46038</v>
      </c>
      <c r="B3662" t="s">
        <v>8823</v>
      </c>
      <c r="C3662">
        <v>15</v>
      </c>
      <c r="D3662" t="str">
        <f>VLOOKUP(Tabela26[[#This Row],[EMP]],[1]LOJA!$A:$B,2,0)</f>
        <v>UNAÍ</v>
      </c>
      <c r="E3662">
        <v>183</v>
      </c>
      <c r="F3662" t="s">
        <v>8822</v>
      </c>
      <c r="G3662" t="s">
        <v>8821</v>
      </c>
      <c r="H3662" t="s">
        <v>3408</v>
      </c>
      <c r="I3662">
        <v>5102</v>
      </c>
      <c r="J3662" s="3">
        <v>145</v>
      </c>
      <c r="K3662" s="3">
        <v>72.06</v>
      </c>
      <c r="L3662">
        <v>50.3</v>
      </c>
    </row>
    <row r="3663" spans="1:12">
      <c r="A3663" s="1">
        <v>46038</v>
      </c>
      <c r="B3663" t="s">
        <v>8820</v>
      </c>
      <c r="C3663">
        <v>15</v>
      </c>
      <c r="D3663" t="str">
        <f>VLOOKUP(Tabela26[[#This Row],[EMP]],[1]LOJA!$A:$B,2,0)</f>
        <v>UNAÍ</v>
      </c>
      <c r="E3663">
        <v>183</v>
      </c>
      <c r="F3663" t="s">
        <v>3485</v>
      </c>
      <c r="G3663" t="s">
        <v>3402</v>
      </c>
      <c r="H3663" t="s">
        <v>3401</v>
      </c>
      <c r="I3663">
        <v>5102</v>
      </c>
      <c r="J3663" s="3">
        <v>35</v>
      </c>
      <c r="K3663" s="3">
        <v>19.87</v>
      </c>
      <c r="L3663">
        <v>43.23</v>
      </c>
    </row>
    <row r="3664" spans="1:12">
      <c r="A3664" s="1">
        <v>46038</v>
      </c>
      <c r="B3664" t="s">
        <v>8819</v>
      </c>
      <c r="C3664">
        <v>15</v>
      </c>
      <c r="D3664" t="str">
        <f>VLOOKUP(Tabela26[[#This Row],[EMP]],[1]LOJA!$A:$B,2,0)</f>
        <v>UNAÍ</v>
      </c>
      <c r="E3664">
        <v>183</v>
      </c>
      <c r="F3664" t="s">
        <v>3485</v>
      </c>
      <c r="G3664" t="s">
        <v>3402</v>
      </c>
      <c r="H3664" t="s">
        <v>3401</v>
      </c>
      <c r="I3664">
        <v>5102</v>
      </c>
      <c r="J3664" s="3">
        <v>62.8</v>
      </c>
      <c r="K3664" s="3">
        <v>30.16</v>
      </c>
      <c r="L3664">
        <v>51.97</v>
      </c>
    </row>
    <row r="3665" spans="1:12">
      <c r="A3665" s="1">
        <v>46038</v>
      </c>
      <c r="B3665" t="s">
        <v>8818</v>
      </c>
      <c r="C3665">
        <v>15</v>
      </c>
      <c r="D3665" t="str">
        <f>VLOOKUP(Tabela26[[#This Row],[EMP]],[1]LOJA!$A:$B,2,0)</f>
        <v>UNAÍ</v>
      </c>
      <c r="E3665">
        <v>183</v>
      </c>
      <c r="F3665" t="s">
        <v>3485</v>
      </c>
      <c r="G3665" t="s">
        <v>3402</v>
      </c>
      <c r="H3665" t="s">
        <v>3401</v>
      </c>
      <c r="I3665">
        <v>5102</v>
      </c>
      <c r="J3665" s="3">
        <v>211</v>
      </c>
      <c r="K3665" s="3">
        <v>104.78</v>
      </c>
      <c r="L3665">
        <v>50.34</v>
      </c>
    </row>
    <row r="3666" spans="1:12">
      <c r="A3666" s="1">
        <v>46038</v>
      </c>
      <c r="B3666" t="s">
        <v>8817</v>
      </c>
      <c r="C3666">
        <v>15</v>
      </c>
      <c r="D3666" t="str">
        <f>VLOOKUP(Tabela26[[#This Row],[EMP]],[1]LOJA!$A:$B,2,0)</f>
        <v>UNAÍ</v>
      </c>
      <c r="E3666">
        <v>183</v>
      </c>
      <c r="F3666" t="s">
        <v>4029</v>
      </c>
      <c r="G3666" t="s">
        <v>4028</v>
      </c>
      <c r="H3666" t="s">
        <v>3401</v>
      </c>
      <c r="I3666">
        <v>5405</v>
      </c>
      <c r="J3666" s="3">
        <v>101.6</v>
      </c>
      <c r="K3666" s="3">
        <v>48.48</v>
      </c>
      <c r="L3666">
        <v>52.28</v>
      </c>
    </row>
    <row r="3667" spans="1:12">
      <c r="A3667" s="1">
        <v>46038</v>
      </c>
      <c r="B3667" t="s">
        <v>8816</v>
      </c>
      <c r="C3667">
        <v>15</v>
      </c>
      <c r="D3667" t="str">
        <f>VLOOKUP(Tabela26[[#This Row],[EMP]],[1]LOJA!$A:$B,2,0)</f>
        <v>UNAÍ</v>
      </c>
      <c r="E3667">
        <v>183</v>
      </c>
      <c r="F3667" t="s">
        <v>3485</v>
      </c>
      <c r="G3667" t="s">
        <v>3402</v>
      </c>
      <c r="H3667" t="s">
        <v>3401</v>
      </c>
      <c r="I3667">
        <v>5102</v>
      </c>
      <c r="J3667" s="3">
        <v>115</v>
      </c>
      <c r="K3667" s="3">
        <v>61.1</v>
      </c>
      <c r="L3667">
        <v>46.87</v>
      </c>
    </row>
    <row r="3668" spans="1:12">
      <c r="A3668" s="1">
        <v>46038</v>
      </c>
      <c r="B3668" t="s">
        <v>8815</v>
      </c>
      <c r="C3668">
        <v>15</v>
      </c>
      <c r="D3668" t="str">
        <f>VLOOKUP(Tabela26[[#This Row],[EMP]],[1]LOJA!$A:$B,2,0)</f>
        <v>UNAÍ</v>
      </c>
      <c r="E3668">
        <v>183</v>
      </c>
      <c r="F3668" t="s">
        <v>8814</v>
      </c>
      <c r="G3668" t="s">
        <v>8813</v>
      </c>
      <c r="H3668" t="s">
        <v>3408</v>
      </c>
      <c r="I3668">
        <v>5102</v>
      </c>
      <c r="J3668" s="3">
        <v>958.7</v>
      </c>
      <c r="K3668" s="3">
        <v>363.13</v>
      </c>
      <c r="L3668">
        <v>62.12</v>
      </c>
    </row>
    <row r="3669" spans="1:12">
      <c r="A3669" s="1">
        <v>46038</v>
      </c>
      <c r="B3669" t="s">
        <v>8812</v>
      </c>
      <c r="C3669">
        <v>15</v>
      </c>
      <c r="D3669" t="str">
        <f>VLOOKUP(Tabela26[[#This Row],[EMP]],[1]LOJA!$A:$B,2,0)</f>
        <v>UNAÍ</v>
      </c>
      <c r="E3669">
        <v>183</v>
      </c>
      <c r="F3669" t="s">
        <v>4714</v>
      </c>
      <c r="G3669" t="s">
        <v>4713</v>
      </c>
      <c r="H3669" t="s">
        <v>3401</v>
      </c>
      <c r="I3669">
        <v>5102</v>
      </c>
      <c r="J3669" s="3">
        <v>119</v>
      </c>
      <c r="K3669" s="3">
        <v>69.650000000000006</v>
      </c>
      <c r="L3669">
        <v>41.47</v>
      </c>
    </row>
    <row r="3670" spans="1:12">
      <c r="A3670" s="1">
        <v>46038</v>
      </c>
      <c r="B3670" t="s">
        <v>8811</v>
      </c>
      <c r="C3670">
        <v>15</v>
      </c>
      <c r="D3670" t="str">
        <f>VLOOKUP(Tabela26[[#This Row],[EMP]],[1]LOJA!$A:$B,2,0)</f>
        <v>UNAÍ</v>
      </c>
      <c r="E3670">
        <v>183</v>
      </c>
      <c r="F3670" t="s">
        <v>8810</v>
      </c>
      <c r="G3670" t="s">
        <v>8809</v>
      </c>
      <c r="H3670" t="s">
        <v>3430</v>
      </c>
      <c r="I3670">
        <v>5102</v>
      </c>
      <c r="J3670" s="3">
        <v>76</v>
      </c>
      <c r="K3670" s="3">
        <v>23.32</v>
      </c>
      <c r="L3670">
        <v>69.319999999999993</v>
      </c>
    </row>
    <row r="3671" spans="1:12">
      <c r="A3671" s="1">
        <v>46038</v>
      </c>
      <c r="B3671" t="s">
        <v>8808</v>
      </c>
      <c r="C3671">
        <v>15</v>
      </c>
      <c r="D3671" t="str">
        <f>VLOOKUP(Tabela26[[#This Row],[EMP]],[1]LOJA!$A:$B,2,0)</f>
        <v>UNAÍ</v>
      </c>
      <c r="E3671">
        <v>183</v>
      </c>
      <c r="F3671" t="s">
        <v>3485</v>
      </c>
      <c r="G3671" t="s">
        <v>3402</v>
      </c>
      <c r="H3671" t="s">
        <v>3401</v>
      </c>
      <c r="I3671">
        <v>5102</v>
      </c>
      <c r="J3671" s="3">
        <v>32</v>
      </c>
      <c r="K3671" s="3">
        <v>13.84</v>
      </c>
      <c r="L3671">
        <v>56.75</v>
      </c>
    </row>
    <row r="3672" spans="1:12">
      <c r="A3672" s="1">
        <v>46038</v>
      </c>
      <c r="B3672" t="s">
        <v>8807</v>
      </c>
      <c r="C3672">
        <v>15</v>
      </c>
      <c r="D3672" t="str">
        <f>VLOOKUP(Tabela26[[#This Row],[EMP]],[1]LOJA!$A:$B,2,0)</f>
        <v>UNAÍ</v>
      </c>
      <c r="E3672">
        <v>183</v>
      </c>
      <c r="F3672" t="s">
        <v>5817</v>
      </c>
      <c r="G3672" t="s">
        <v>5816</v>
      </c>
      <c r="H3672" t="s">
        <v>3408</v>
      </c>
      <c r="I3672">
        <v>5102</v>
      </c>
      <c r="J3672" s="3">
        <v>258</v>
      </c>
      <c r="K3672" s="3">
        <v>114.58</v>
      </c>
      <c r="L3672">
        <v>55.59</v>
      </c>
    </row>
    <row r="3673" spans="1:12">
      <c r="A3673" s="1">
        <v>46038</v>
      </c>
      <c r="B3673" t="s">
        <v>8806</v>
      </c>
      <c r="C3673">
        <v>6</v>
      </c>
      <c r="D3673" t="str">
        <f>VLOOKUP(Tabela26[[#This Row],[EMP]],[1]LOJA!$A:$B,2,0)</f>
        <v>GAMA</v>
      </c>
      <c r="E3673">
        <v>226</v>
      </c>
      <c r="F3673" t="s">
        <v>4013</v>
      </c>
      <c r="G3673" t="s">
        <v>4012</v>
      </c>
      <c r="H3673" t="s">
        <v>3430</v>
      </c>
      <c r="I3673">
        <v>5405</v>
      </c>
      <c r="J3673" s="3">
        <v>437.68</v>
      </c>
      <c r="K3673" s="3">
        <v>208.04</v>
      </c>
      <c r="L3673">
        <v>52.47</v>
      </c>
    </row>
    <row r="3674" spans="1:12">
      <c r="A3674" s="1">
        <v>46038</v>
      </c>
      <c r="B3674" t="s">
        <v>8805</v>
      </c>
      <c r="C3674">
        <v>6</v>
      </c>
      <c r="D3674" t="str">
        <f>VLOOKUP(Tabela26[[#This Row],[EMP]],[1]LOJA!$A:$B,2,0)</f>
        <v>GAMA</v>
      </c>
      <c r="E3674">
        <v>245</v>
      </c>
      <c r="F3674" t="s">
        <v>8804</v>
      </c>
      <c r="G3674" t="s">
        <v>8803</v>
      </c>
      <c r="H3674" t="s">
        <v>3401</v>
      </c>
      <c r="I3674">
        <v>6108</v>
      </c>
      <c r="J3674" s="3">
        <v>60</v>
      </c>
      <c r="K3674" s="3">
        <v>29.78</v>
      </c>
      <c r="L3674">
        <v>50.37</v>
      </c>
    </row>
    <row r="3675" spans="1:12">
      <c r="A3675" s="1">
        <v>46038</v>
      </c>
      <c r="B3675" t="s">
        <v>8802</v>
      </c>
      <c r="C3675">
        <v>6</v>
      </c>
      <c r="D3675" t="str">
        <f>VLOOKUP(Tabela26[[#This Row],[EMP]],[1]LOJA!$A:$B,2,0)</f>
        <v>GAMA</v>
      </c>
      <c r="E3675">
        <v>226</v>
      </c>
      <c r="F3675" t="s">
        <v>4013</v>
      </c>
      <c r="G3675" t="s">
        <v>4012</v>
      </c>
      <c r="H3675" t="s">
        <v>3430</v>
      </c>
      <c r="I3675">
        <v>5405</v>
      </c>
      <c r="J3675" s="3">
        <v>134.36000000000001</v>
      </c>
      <c r="K3675" s="3">
        <v>67.48</v>
      </c>
      <c r="L3675">
        <v>49.78</v>
      </c>
    </row>
    <row r="3676" spans="1:12">
      <c r="A3676" s="1">
        <v>46038</v>
      </c>
      <c r="B3676" t="s">
        <v>8801</v>
      </c>
      <c r="C3676">
        <v>6</v>
      </c>
      <c r="D3676" t="str">
        <f>VLOOKUP(Tabela26[[#This Row],[EMP]],[1]LOJA!$A:$B,2,0)</f>
        <v>GAMA</v>
      </c>
      <c r="E3676">
        <v>245</v>
      </c>
      <c r="F3676" t="s">
        <v>7521</v>
      </c>
      <c r="G3676" t="s">
        <v>7520</v>
      </c>
      <c r="H3676" t="s">
        <v>3430</v>
      </c>
      <c r="I3676">
        <v>5405</v>
      </c>
      <c r="J3676" s="3">
        <v>55</v>
      </c>
      <c r="K3676" s="3">
        <v>27.86</v>
      </c>
      <c r="L3676">
        <v>49.35</v>
      </c>
    </row>
    <row r="3677" spans="1:12">
      <c r="A3677" s="1">
        <v>46038</v>
      </c>
      <c r="B3677" t="s">
        <v>8800</v>
      </c>
      <c r="C3677">
        <v>14</v>
      </c>
      <c r="D3677" t="str">
        <f>VLOOKUP(Tabela26[[#This Row],[EMP]],[1]LOJA!$A:$B,2,0)</f>
        <v>S IA</v>
      </c>
      <c r="E3677">
        <v>212</v>
      </c>
      <c r="F3677" t="s">
        <v>3403</v>
      </c>
      <c r="G3677" t="s">
        <v>3402</v>
      </c>
      <c r="H3677" t="s">
        <v>3401</v>
      </c>
      <c r="I3677">
        <v>5102</v>
      </c>
      <c r="J3677" s="3">
        <v>64</v>
      </c>
      <c r="K3677" s="3">
        <v>31.54</v>
      </c>
      <c r="L3677">
        <v>50.72</v>
      </c>
    </row>
    <row r="3678" spans="1:12">
      <c r="A3678" s="1">
        <v>46038</v>
      </c>
      <c r="B3678" t="s">
        <v>8799</v>
      </c>
      <c r="C3678">
        <v>14</v>
      </c>
      <c r="D3678" t="str">
        <f>VLOOKUP(Tabela26[[#This Row],[EMP]],[1]LOJA!$A:$B,2,0)</f>
        <v>S IA</v>
      </c>
      <c r="E3678">
        <v>212</v>
      </c>
      <c r="F3678" t="s">
        <v>3403</v>
      </c>
      <c r="G3678" t="s">
        <v>3402</v>
      </c>
      <c r="H3678" t="s">
        <v>3401</v>
      </c>
      <c r="I3678">
        <v>5102</v>
      </c>
      <c r="J3678" s="3">
        <v>18</v>
      </c>
      <c r="K3678" s="3">
        <v>5.16</v>
      </c>
      <c r="L3678">
        <v>71.33</v>
      </c>
    </row>
    <row r="3679" spans="1:12">
      <c r="A3679" s="1">
        <v>46038</v>
      </c>
      <c r="B3679" t="s">
        <v>8798</v>
      </c>
      <c r="C3679">
        <v>14</v>
      </c>
      <c r="D3679" t="str">
        <f>VLOOKUP(Tabela26[[#This Row],[EMP]],[1]LOJA!$A:$B,2,0)</f>
        <v>S IA</v>
      </c>
      <c r="E3679">
        <v>212</v>
      </c>
      <c r="F3679" t="s">
        <v>3403</v>
      </c>
      <c r="G3679" t="s">
        <v>3402</v>
      </c>
      <c r="H3679" t="s">
        <v>3401</v>
      </c>
      <c r="I3679">
        <v>5102</v>
      </c>
      <c r="J3679" s="3">
        <v>14</v>
      </c>
      <c r="K3679" s="3">
        <v>7.72</v>
      </c>
      <c r="L3679">
        <v>44.86</v>
      </c>
    </row>
    <row r="3680" spans="1:12">
      <c r="A3680" s="1">
        <v>46038</v>
      </c>
      <c r="B3680" t="s">
        <v>8797</v>
      </c>
      <c r="C3680">
        <v>14</v>
      </c>
      <c r="D3680" t="str">
        <f>VLOOKUP(Tabela26[[#This Row],[EMP]],[1]LOJA!$A:$B,2,0)</f>
        <v>S IA</v>
      </c>
      <c r="E3680">
        <v>54</v>
      </c>
      <c r="F3680" t="s">
        <v>4318</v>
      </c>
      <c r="G3680" t="s">
        <v>3402</v>
      </c>
      <c r="H3680" t="s">
        <v>3401</v>
      </c>
      <c r="I3680">
        <v>5102</v>
      </c>
      <c r="J3680" s="3">
        <v>160</v>
      </c>
      <c r="K3680" s="3">
        <v>71.83</v>
      </c>
      <c r="L3680">
        <v>55.11</v>
      </c>
    </row>
    <row r="3681" spans="1:12">
      <c r="A3681" s="1">
        <v>46038</v>
      </c>
      <c r="B3681" t="s">
        <v>8796</v>
      </c>
      <c r="C3681">
        <v>14</v>
      </c>
      <c r="D3681" t="str">
        <f>VLOOKUP(Tabela26[[#This Row],[EMP]],[1]LOJA!$A:$B,2,0)</f>
        <v>S IA</v>
      </c>
      <c r="E3681">
        <v>54</v>
      </c>
      <c r="F3681" t="s">
        <v>8795</v>
      </c>
      <c r="G3681" t="s">
        <v>3402</v>
      </c>
      <c r="H3681" t="s">
        <v>3401</v>
      </c>
      <c r="I3681">
        <v>5405</v>
      </c>
      <c r="J3681" s="3">
        <v>113</v>
      </c>
      <c r="K3681" s="3">
        <v>51.9</v>
      </c>
      <c r="L3681">
        <v>54.07</v>
      </c>
    </row>
    <row r="3682" spans="1:12">
      <c r="A3682" s="1">
        <v>46038</v>
      </c>
      <c r="B3682" t="s">
        <v>8794</v>
      </c>
      <c r="C3682">
        <v>14</v>
      </c>
      <c r="D3682" t="str">
        <f>VLOOKUP(Tabela26[[#This Row],[EMP]],[1]LOJA!$A:$B,2,0)</f>
        <v>S IA</v>
      </c>
      <c r="E3682">
        <v>54</v>
      </c>
      <c r="F3682" t="s">
        <v>3403</v>
      </c>
      <c r="G3682" t="s">
        <v>3402</v>
      </c>
      <c r="H3682" t="s">
        <v>3401</v>
      </c>
      <c r="I3682">
        <v>5102</v>
      </c>
      <c r="J3682" s="3">
        <v>12</v>
      </c>
      <c r="K3682" s="3">
        <v>5.69</v>
      </c>
      <c r="L3682">
        <v>52.58</v>
      </c>
    </row>
    <row r="3683" spans="1:12">
      <c r="A3683" s="1">
        <v>46038</v>
      </c>
      <c r="B3683" t="s">
        <v>8793</v>
      </c>
      <c r="C3683">
        <v>14</v>
      </c>
      <c r="D3683" t="str">
        <f>VLOOKUP(Tabela26[[#This Row],[EMP]],[1]LOJA!$A:$B,2,0)</f>
        <v>S IA</v>
      </c>
      <c r="E3683">
        <v>212</v>
      </c>
      <c r="F3683" t="s">
        <v>3403</v>
      </c>
      <c r="G3683" t="s">
        <v>3402</v>
      </c>
      <c r="H3683" t="s">
        <v>3401</v>
      </c>
      <c r="I3683">
        <v>5102</v>
      </c>
      <c r="J3683" s="3">
        <v>65.900000000000006</v>
      </c>
      <c r="K3683" s="3">
        <v>33.25</v>
      </c>
      <c r="L3683">
        <v>49.54</v>
      </c>
    </row>
    <row r="3684" spans="1:12">
      <c r="A3684" s="1">
        <v>46038</v>
      </c>
      <c r="B3684" t="s">
        <v>8792</v>
      </c>
      <c r="C3684">
        <v>14</v>
      </c>
      <c r="D3684" t="str">
        <f>VLOOKUP(Tabela26[[#This Row],[EMP]],[1]LOJA!$A:$B,2,0)</f>
        <v>S IA</v>
      </c>
      <c r="E3684">
        <v>54</v>
      </c>
      <c r="F3684" t="s">
        <v>6410</v>
      </c>
      <c r="G3684" t="s">
        <v>6409</v>
      </c>
      <c r="H3684" t="s">
        <v>3430</v>
      </c>
      <c r="I3684">
        <v>5102</v>
      </c>
      <c r="J3684" s="3">
        <v>81</v>
      </c>
      <c r="K3684" s="3">
        <v>46.05</v>
      </c>
      <c r="L3684">
        <v>43.15</v>
      </c>
    </row>
    <row r="3685" spans="1:12">
      <c r="A3685" s="1">
        <v>46038</v>
      </c>
      <c r="B3685" t="s">
        <v>8791</v>
      </c>
      <c r="C3685">
        <v>14</v>
      </c>
      <c r="D3685" t="str">
        <f>VLOOKUP(Tabela26[[#This Row],[EMP]],[1]LOJA!$A:$B,2,0)</f>
        <v>S IA</v>
      </c>
      <c r="E3685">
        <v>212</v>
      </c>
      <c r="F3685" t="s">
        <v>3989</v>
      </c>
      <c r="G3685" t="s">
        <v>3988</v>
      </c>
      <c r="H3685" t="s">
        <v>3430</v>
      </c>
      <c r="I3685">
        <v>5405</v>
      </c>
      <c r="J3685" s="3">
        <v>67.14</v>
      </c>
      <c r="K3685" s="3">
        <v>27.62</v>
      </c>
      <c r="L3685">
        <v>58.86</v>
      </c>
    </row>
    <row r="3686" spans="1:12">
      <c r="A3686" s="1">
        <v>46038</v>
      </c>
      <c r="B3686" t="s">
        <v>8790</v>
      </c>
      <c r="C3686">
        <v>14</v>
      </c>
      <c r="D3686" t="str">
        <f>VLOOKUP(Tabela26[[#This Row],[EMP]],[1]LOJA!$A:$B,2,0)</f>
        <v>S IA</v>
      </c>
      <c r="E3686">
        <v>54</v>
      </c>
      <c r="F3686" t="s">
        <v>3403</v>
      </c>
      <c r="G3686" t="s">
        <v>3402</v>
      </c>
      <c r="H3686" t="s">
        <v>3401</v>
      </c>
      <c r="I3686">
        <v>5102</v>
      </c>
      <c r="J3686" s="3">
        <v>68</v>
      </c>
      <c r="K3686" s="3">
        <v>37.64</v>
      </c>
      <c r="L3686">
        <v>44.65</v>
      </c>
    </row>
    <row r="3687" spans="1:12">
      <c r="A3687" s="1">
        <v>46038</v>
      </c>
      <c r="B3687" t="s">
        <v>8789</v>
      </c>
      <c r="C3687">
        <v>14</v>
      </c>
      <c r="D3687" t="str">
        <f>VLOOKUP(Tabela26[[#This Row],[EMP]],[1]LOJA!$A:$B,2,0)</f>
        <v>S IA</v>
      </c>
      <c r="E3687">
        <v>212</v>
      </c>
      <c r="F3687" t="s">
        <v>3403</v>
      </c>
      <c r="G3687" t="s">
        <v>3402</v>
      </c>
      <c r="H3687" t="s">
        <v>3401</v>
      </c>
      <c r="I3687">
        <v>5102</v>
      </c>
      <c r="J3687" s="3">
        <v>11</v>
      </c>
      <c r="K3687" s="3">
        <v>5.55</v>
      </c>
      <c r="L3687">
        <v>49.55</v>
      </c>
    </row>
    <row r="3688" spans="1:12">
      <c r="A3688" s="1">
        <v>46038</v>
      </c>
      <c r="B3688" t="s">
        <v>8788</v>
      </c>
      <c r="C3688">
        <v>14</v>
      </c>
      <c r="D3688" t="str">
        <f>VLOOKUP(Tabela26[[#This Row],[EMP]],[1]LOJA!$A:$B,2,0)</f>
        <v>S IA</v>
      </c>
      <c r="E3688">
        <v>54</v>
      </c>
      <c r="F3688" t="s">
        <v>4672</v>
      </c>
      <c r="G3688" t="s">
        <v>4671</v>
      </c>
      <c r="H3688" t="s">
        <v>3401</v>
      </c>
      <c r="I3688">
        <v>5102</v>
      </c>
      <c r="J3688" s="3">
        <v>93</v>
      </c>
      <c r="K3688" s="3">
        <v>46.67</v>
      </c>
      <c r="L3688">
        <v>49.82</v>
      </c>
    </row>
    <row r="3689" spans="1:12">
      <c r="A3689" s="1">
        <v>46038</v>
      </c>
      <c r="B3689" t="s">
        <v>8787</v>
      </c>
      <c r="C3689">
        <v>14</v>
      </c>
      <c r="D3689" t="str">
        <f>VLOOKUP(Tabela26[[#This Row],[EMP]],[1]LOJA!$A:$B,2,0)</f>
        <v>S IA</v>
      </c>
      <c r="E3689">
        <v>54</v>
      </c>
      <c r="F3689" t="s">
        <v>3403</v>
      </c>
      <c r="G3689" t="s">
        <v>3402</v>
      </c>
      <c r="H3689" t="s">
        <v>3401</v>
      </c>
      <c r="I3689">
        <v>5102</v>
      </c>
      <c r="J3689" s="3">
        <v>18</v>
      </c>
      <c r="K3689" s="3">
        <v>8.32</v>
      </c>
      <c r="L3689">
        <v>53.78</v>
      </c>
    </row>
    <row r="3690" spans="1:12">
      <c r="A3690" s="1">
        <v>46038</v>
      </c>
      <c r="B3690" t="s">
        <v>8786</v>
      </c>
      <c r="C3690">
        <v>14</v>
      </c>
      <c r="D3690" t="str">
        <f>VLOOKUP(Tabela26[[#This Row],[EMP]],[1]LOJA!$A:$B,2,0)</f>
        <v>S IA</v>
      </c>
      <c r="E3690">
        <v>212</v>
      </c>
      <c r="F3690" t="s">
        <v>5251</v>
      </c>
      <c r="G3690" t="s">
        <v>5250</v>
      </c>
      <c r="H3690" t="s">
        <v>3401</v>
      </c>
      <c r="I3690">
        <v>5102</v>
      </c>
      <c r="J3690" s="3">
        <v>40</v>
      </c>
      <c r="K3690" s="3">
        <v>17.23</v>
      </c>
      <c r="L3690">
        <v>56.93</v>
      </c>
    </row>
    <row r="3691" spans="1:12">
      <c r="A3691" s="1">
        <v>46038</v>
      </c>
      <c r="B3691" t="s">
        <v>8785</v>
      </c>
      <c r="C3691">
        <v>14</v>
      </c>
      <c r="D3691" t="str">
        <f>VLOOKUP(Tabela26[[#This Row],[EMP]],[1]LOJA!$A:$B,2,0)</f>
        <v>S IA</v>
      </c>
      <c r="E3691">
        <v>54</v>
      </c>
      <c r="F3691" t="s">
        <v>3403</v>
      </c>
      <c r="G3691" t="s">
        <v>3402</v>
      </c>
      <c r="H3691" t="s">
        <v>3401</v>
      </c>
      <c r="I3691">
        <v>5102</v>
      </c>
      <c r="J3691" s="3">
        <v>119.61</v>
      </c>
      <c r="K3691" s="3">
        <v>66.73</v>
      </c>
      <c r="L3691">
        <v>44.21</v>
      </c>
    </row>
    <row r="3692" spans="1:12">
      <c r="A3692" s="1">
        <v>46038</v>
      </c>
      <c r="B3692" t="s">
        <v>8784</v>
      </c>
      <c r="C3692">
        <v>15</v>
      </c>
      <c r="D3692" t="str">
        <f>VLOOKUP(Tabela26[[#This Row],[EMP]],[1]LOJA!$A:$B,2,0)</f>
        <v>UNAÍ</v>
      </c>
      <c r="E3692">
        <v>183</v>
      </c>
      <c r="F3692" t="s">
        <v>5237</v>
      </c>
      <c r="G3692" t="s">
        <v>5236</v>
      </c>
      <c r="H3692" t="s">
        <v>3401</v>
      </c>
      <c r="I3692">
        <v>5102</v>
      </c>
      <c r="J3692" s="3">
        <v>31.5</v>
      </c>
      <c r="K3692" s="3">
        <v>11.64</v>
      </c>
      <c r="L3692">
        <v>63.05</v>
      </c>
    </row>
    <row r="3693" spans="1:12">
      <c r="A3693" s="1">
        <v>46038</v>
      </c>
      <c r="B3693" t="s">
        <v>8783</v>
      </c>
      <c r="C3693">
        <v>15</v>
      </c>
      <c r="D3693" t="str">
        <f>VLOOKUP(Tabela26[[#This Row],[EMP]],[1]LOJA!$A:$B,2,0)</f>
        <v>UNAÍ</v>
      </c>
      <c r="E3693">
        <v>183</v>
      </c>
      <c r="F3693" t="s">
        <v>5296</v>
      </c>
      <c r="G3693" t="s">
        <v>5295</v>
      </c>
      <c r="H3693" t="s">
        <v>3401</v>
      </c>
      <c r="I3693">
        <v>5102</v>
      </c>
      <c r="J3693" s="3">
        <v>155.69999999999999</v>
      </c>
      <c r="K3693" s="3">
        <v>82.59</v>
      </c>
      <c r="L3693">
        <v>46.96</v>
      </c>
    </row>
    <row r="3694" spans="1:12">
      <c r="A3694" s="1">
        <v>46038</v>
      </c>
      <c r="B3694" t="s">
        <v>8782</v>
      </c>
      <c r="C3694">
        <v>15</v>
      </c>
      <c r="D3694" t="str">
        <f>VLOOKUP(Tabela26[[#This Row],[EMP]],[1]LOJA!$A:$B,2,0)</f>
        <v>UNAÍ</v>
      </c>
      <c r="E3694">
        <v>183</v>
      </c>
      <c r="F3694" t="s">
        <v>4652</v>
      </c>
      <c r="G3694" t="s">
        <v>4651</v>
      </c>
      <c r="H3694" t="s">
        <v>3401</v>
      </c>
      <c r="I3694">
        <v>5102</v>
      </c>
      <c r="J3694" s="3">
        <v>28.8</v>
      </c>
      <c r="K3694" s="3">
        <v>14.83</v>
      </c>
      <c r="L3694">
        <v>48.51</v>
      </c>
    </row>
    <row r="3695" spans="1:12">
      <c r="A3695" s="1">
        <v>46038</v>
      </c>
      <c r="B3695" t="s">
        <v>8781</v>
      </c>
      <c r="C3695">
        <v>15</v>
      </c>
      <c r="D3695" t="str">
        <f>VLOOKUP(Tabela26[[#This Row],[EMP]],[1]LOJA!$A:$B,2,0)</f>
        <v>UNAÍ</v>
      </c>
      <c r="E3695">
        <v>183</v>
      </c>
      <c r="F3695" t="s">
        <v>4040</v>
      </c>
      <c r="G3695" t="s">
        <v>4039</v>
      </c>
      <c r="H3695" t="s">
        <v>3408</v>
      </c>
      <c r="I3695">
        <v>5102</v>
      </c>
      <c r="J3695" s="3">
        <v>42.5</v>
      </c>
      <c r="K3695" s="3">
        <v>20.71</v>
      </c>
      <c r="L3695">
        <v>51.27</v>
      </c>
    </row>
    <row r="3696" spans="1:12">
      <c r="A3696" s="1">
        <v>46038</v>
      </c>
      <c r="B3696" t="s">
        <v>8780</v>
      </c>
      <c r="C3696">
        <v>15</v>
      </c>
      <c r="D3696" t="str">
        <f>VLOOKUP(Tabela26[[#This Row],[EMP]],[1]LOJA!$A:$B,2,0)</f>
        <v>UNAÍ</v>
      </c>
      <c r="E3696">
        <v>183</v>
      </c>
      <c r="F3696" t="s">
        <v>4701</v>
      </c>
      <c r="G3696" t="s">
        <v>4700</v>
      </c>
      <c r="H3696" t="s">
        <v>3401</v>
      </c>
      <c r="I3696">
        <v>5102</v>
      </c>
      <c r="J3696" s="3">
        <v>21.6</v>
      </c>
      <c r="K3696" s="3">
        <v>12.51</v>
      </c>
      <c r="L3696">
        <v>42.08</v>
      </c>
    </row>
    <row r="3697" spans="1:12">
      <c r="A3697" s="1">
        <v>46038</v>
      </c>
      <c r="B3697" t="s">
        <v>8779</v>
      </c>
      <c r="C3697">
        <v>15</v>
      </c>
      <c r="D3697" t="str">
        <f>VLOOKUP(Tabela26[[#This Row],[EMP]],[1]LOJA!$A:$B,2,0)</f>
        <v>UNAÍ</v>
      </c>
      <c r="E3697">
        <v>183</v>
      </c>
      <c r="F3697" t="s">
        <v>4022</v>
      </c>
      <c r="G3697" t="s">
        <v>4021</v>
      </c>
      <c r="H3697" t="s">
        <v>3401</v>
      </c>
      <c r="I3697">
        <v>5102</v>
      </c>
      <c r="J3697" s="3">
        <v>131</v>
      </c>
      <c r="K3697" s="3">
        <v>64.3</v>
      </c>
      <c r="L3697">
        <v>50.92</v>
      </c>
    </row>
    <row r="3698" spans="1:12">
      <c r="A3698" s="1">
        <v>46038</v>
      </c>
      <c r="B3698" t="s">
        <v>8778</v>
      </c>
      <c r="C3698">
        <v>15</v>
      </c>
      <c r="D3698" t="str">
        <f>VLOOKUP(Tabela26[[#This Row],[EMP]],[1]LOJA!$A:$B,2,0)</f>
        <v>UNAÍ</v>
      </c>
      <c r="E3698">
        <v>183</v>
      </c>
      <c r="F3698" t="s">
        <v>3467</v>
      </c>
      <c r="G3698" t="s">
        <v>3466</v>
      </c>
      <c r="H3698" t="s">
        <v>3401</v>
      </c>
      <c r="I3698">
        <v>5102</v>
      </c>
      <c r="J3698" s="3">
        <v>7.2</v>
      </c>
      <c r="K3698" s="3">
        <v>2.65</v>
      </c>
      <c r="L3698">
        <v>63.19</v>
      </c>
    </row>
    <row r="3699" spans="1:12">
      <c r="A3699" s="1">
        <v>46038</v>
      </c>
      <c r="B3699" t="s">
        <v>8777</v>
      </c>
      <c r="C3699">
        <v>15</v>
      </c>
      <c r="D3699" t="str">
        <f>VLOOKUP(Tabela26[[#This Row],[EMP]],[1]LOJA!$A:$B,2,0)</f>
        <v>UNAÍ</v>
      </c>
      <c r="E3699">
        <v>183</v>
      </c>
      <c r="F3699" t="s">
        <v>3957</v>
      </c>
      <c r="G3699" t="s">
        <v>3956</v>
      </c>
      <c r="H3699" t="s">
        <v>3401</v>
      </c>
      <c r="I3699">
        <v>5102</v>
      </c>
      <c r="J3699" s="3">
        <v>7.2</v>
      </c>
      <c r="K3699" s="3">
        <v>2.98</v>
      </c>
      <c r="L3699">
        <v>58.61</v>
      </c>
    </row>
    <row r="3700" spans="1:12">
      <c r="A3700" s="1">
        <v>46038</v>
      </c>
      <c r="B3700" t="s">
        <v>8776</v>
      </c>
      <c r="C3700">
        <v>12</v>
      </c>
      <c r="D3700" t="str">
        <f>VLOOKUP(Tabela26[[#This Row],[EMP]],[1]LOJA!$A:$B,2,0)</f>
        <v>SOFNORTE</v>
      </c>
      <c r="E3700">
        <v>60</v>
      </c>
      <c r="F3700" t="s">
        <v>3461</v>
      </c>
      <c r="G3700" t="s">
        <v>3460</v>
      </c>
      <c r="H3700" t="s">
        <v>3430</v>
      </c>
      <c r="I3700">
        <v>5405</v>
      </c>
      <c r="J3700" s="3">
        <v>170.52</v>
      </c>
      <c r="K3700" s="3">
        <v>79.239999999999995</v>
      </c>
      <c r="L3700">
        <v>53.53</v>
      </c>
    </row>
    <row r="3701" spans="1:12">
      <c r="A3701" s="1">
        <v>46038</v>
      </c>
      <c r="B3701" t="s">
        <v>8775</v>
      </c>
      <c r="C3701">
        <v>12</v>
      </c>
      <c r="D3701" t="str">
        <f>VLOOKUP(Tabela26[[#This Row],[EMP]],[1]LOJA!$A:$B,2,0)</f>
        <v>SOFNORTE</v>
      </c>
      <c r="E3701">
        <v>60</v>
      </c>
      <c r="F3701" t="s">
        <v>3461</v>
      </c>
      <c r="G3701" t="s">
        <v>3460</v>
      </c>
      <c r="H3701" t="s">
        <v>3430</v>
      </c>
      <c r="I3701">
        <v>5102</v>
      </c>
      <c r="J3701" s="3">
        <v>7.11</v>
      </c>
      <c r="K3701" s="3">
        <v>3.91</v>
      </c>
      <c r="L3701">
        <v>45.01</v>
      </c>
    </row>
    <row r="3702" spans="1:12">
      <c r="A3702" s="1">
        <v>46038</v>
      </c>
      <c r="B3702" t="s">
        <v>8774</v>
      </c>
      <c r="C3702">
        <v>12</v>
      </c>
      <c r="D3702" t="str">
        <f>VLOOKUP(Tabela26[[#This Row],[EMP]],[1]LOJA!$A:$B,2,0)</f>
        <v>SOFNORTE</v>
      </c>
      <c r="E3702">
        <v>60</v>
      </c>
      <c r="F3702" t="s">
        <v>4817</v>
      </c>
      <c r="G3702" t="s">
        <v>4816</v>
      </c>
      <c r="H3702" t="s">
        <v>3430</v>
      </c>
      <c r="I3702">
        <v>5405</v>
      </c>
      <c r="J3702" s="3">
        <v>886.41</v>
      </c>
      <c r="K3702" s="3">
        <v>438.33</v>
      </c>
      <c r="L3702">
        <v>50.55</v>
      </c>
    </row>
    <row r="3703" spans="1:12">
      <c r="A3703" s="1">
        <v>46038</v>
      </c>
      <c r="B3703" t="s">
        <v>8773</v>
      </c>
      <c r="C3703">
        <v>12</v>
      </c>
      <c r="D3703" t="str">
        <f>VLOOKUP(Tabela26[[#This Row],[EMP]],[1]LOJA!$A:$B,2,0)</f>
        <v>SOFNORTE</v>
      </c>
      <c r="E3703">
        <v>60</v>
      </c>
      <c r="F3703" t="s">
        <v>5057</v>
      </c>
      <c r="G3703" t="s">
        <v>5056</v>
      </c>
      <c r="H3703" t="s">
        <v>3430</v>
      </c>
      <c r="I3703">
        <v>5102</v>
      </c>
      <c r="J3703" s="3">
        <v>112</v>
      </c>
      <c r="K3703" s="3">
        <v>54.15</v>
      </c>
      <c r="L3703">
        <v>51.65</v>
      </c>
    </row>
    <row r="3704" spans="1:12">
      <c r="A3704" s="1">
        <v>46038</v>
      </c>
      <c r="B3704" t="s">
        <v>8772</v>
      </c>
      <c r="C3704">
        <v>12</v>
      </c>
      <c r="D3704" t="str">
        <f>VLOOKUP(Tabela26[[#This Row],[EMP]],[1]LOJA!$A:$B,2,0)</f>
        <v>SOFNORTE</v>
      </c>
      <c r="E3704">
        <v>60</v>
      </c>
      <c r="F3704" t="s">
        <v>5057</v>
      </c>
      <c r="G3704" t="s">
        <v>5056</v>
      </c>
      <c r="H3704" t="s">
        <v>3430</v>
      </c>
      <c r="I3704">
        <v>5405</v>
      </c>
      <c r="J3704" s="3">
        <v>163</v>
      </c>
      <c r="K3704" s="3">
        <v>79.680000000000007</v>
      </c>
      <c r="L3704">
        <v>51.12</v>
      </c>
    </row>
    <row r="3705" spans="1:12">
      <c r="A3705" s="1">
        <v>46038</v>
      </c>
      <c r="B3705" t="s">
        <v>8771</v>
      </c>
      <c r="C3705">
        <v>12</v>
      </c>
      <c r="D3705" t="str">
        <f>VLOOKUP(Tabela26[[#This Row],[EMP]],[1]LOJA!$A:$B,2,0)</f>
        <v>SOFNORTE</v>
      </c>
      <c r="E3705">
        <v>60</v>
      </c>
      <c r="F3705" t="s">
        <v>3461</v>
      </c>
      <c r="G3705" t="s">
        <v>3460</v>
      </c>
      <c r="H3705" t="s">
        <v>3408</v>
      </c>
      <c r="I3705">
        <v>5405</v>
      </c>
      <c r="J3705" s="3">
        <v>62.18</v>
      </c>
      <c r="K3705" s="3">
        <v>30.26</v>
      </c>
      <c r="L3705">
        <v>51.33</v>
      </c>
    </row>
    <row r="3706" spans="1:12">
      <c r="A3706" s="1">
        <v>46038</v>
      </c>
      <c r="B3706" t="s">
        <v>8770</v>
      </c>
      <c r="C3706">
        <v>12</v>
      </c>
      <c r="D3706" t="str">
        <f>VLOOKUP(Tabela26[[#This Row],[EMP]],[1]LOJA!$A:$B,2,0)</f>
        <v>SOFNORTE</v>
      </c>
      <c r="E3706">
        <v>60</v>
      </c>
      <c r="F3706" t="s">
        <v>3953</v>
      </c>
      <c r="G3706" t="s">
        <v>3952</v>
      </c>
      <c r="H3706" t="s">
        <v>3430</v>
      </c>
      <c r="I3706">
        <v>5102</v>
      </c>
      <c r="J3706" s="3">
        <v>47</v>
      </c>
      <c r="K3706" s="3">
        <v>22.78</v>
      </c>
      <c r="L3706">
        <v>51.53</v>
      </c>
    </row>
    <row r="3707" spans="1:12">
      <c r="A3707" s="1">
        <v>46038</v>
      </c>
      <c r="B3707" t="s">
        <v>8769</v>
      </c>
      <c r="C3707">
        <v>12</v>
      </c>
      <c r="D3707" t="str">
        <f>VLOOKUP(Tabela26[[#This Row],[EMP]],[1]LOJA!$A:$B,2,0)</f>
        <v>SOFNORTE</v>
      </c>
      <c r="E3707">
        <v>239</v>
      </c>
      <c r="F3707" t="s">
        <v>5057</v>
      </c>
      <c r="G3707" t="s">
        <v>5056</v>
      </c>
      <c r="H3707" t="s">
        <v>3430</v>
      </c>
      <c r="I3707">
        <v>5102</v>
      </c>
      <c r="J3707" s="3">
        <v>160.82</v>
      </c>
      <c r="K3707" s="3">
        <v>75.959999999999994</v>
      </c>
      <c r="L3707">
        <v>52.77</v>
      </c>
    </row>
    <row r="3708" spans="1:12">
      <c r="A3708" s="1">
        <v>46038</v>
      </c>
      <c r="B3708" t="s">
        <v>8768</v>
      </c>
      <c r="C3708">
        <v>12</v>
      </c>
      <c r="D3708" t="str">
        <f>VLOOKUP(Tabela26[[#This Row],[EMP]],[1]LOJA!$A:$B,2,0)</f>
        <v>SOFNORTE</v>
      </c>
      <c r="E3708">
        <v>60</v>
      </c>
      <c r="F3708" t="s">
        <v>3461</v>
      </c>
      <c r="G3708" t="s">
        <v>3460</v>
      </c>
      <c r="H3708" t="s">
        <v>3430</v>
      </c>
      <c r="I3708">
        <v>5405</v>
      </c>
      <c r="J3708" s="3">
        <v>79.709999999999994</v>
      </c>
      <c r="K3708" s="3">
        <v>39.619999999999997</v>
      </c>
      <c r="L3708">
        <v>50.29</v>
      </c>
    </row>
    <row r="3709" spans="1:12">
      <c r="A3709" s="1">
        <v>46038</v>
      </c>
      <c r="B3709" t="s">
        <v>8767</v>
      </c>
      <c r="C3709">
        <v>12</v>
      </c>
      <c r="D3709" t="str">
        <f>VLOOKUP(Tabela26[[#This Row],[EMP]],[1]LOJA!$A:$B,2,0)</f>
        <v>SOFNORTE</v>
      </c>
      <c r="E3709">
        <v>239</v>
      </c>
      <c r="F3709" t="s">
        <v>6390</v>
      </c>
      <c r="G3709" t="s">
        <v>6389</v>
      </c>
      <c r="H3709" t="s">
        <v>3408</v>
      </c>
      <c r="I3709">
        <v>5405</v>
      </c>
      <c r="J3709" s="3">
        <v>55</v>
      </c>
      <c r="K3709" s="3">
        <v>30.93</v>
      </c>
      <c r="L3709">
        <v>43.76</v>
      </c>
    </row>
    <row r="3710" spans="1:12">
      <c r="A3710" s="1">
        <v>46038</v>
      </c>
      <c r="B3710" t="s">
        <v>8766</v>
      </c>
      <c r="C3710">
        <v>12</v>
      </c>
      <c r="D3710" t="str">
        <f>VLOOKUP(Tabela26[[#This Row],[EMP]],[1]LOJA!$A:$B,2,0)</f>
        <v>SOFNORTE</v>
      </c>
      <c r="E3710">
        <v>60</v>
      </c>
      <c r="F3710" t="s">
        <v>3925</v>
      </c>
      <c r="G3710" t="s">
        <v>3924</v>
      </c>
      <c r="H3710" t="s">
        <v>3430</v>
      </c>
      <c r="I3710">
        <v>5405</v>
      </c>
      <c r="J3710" s="3">
        <v>202</v>
      </c>
      <c r="K3710" s="3">
        <v>99.89</v>
      </c>
      <c r="L3710">
        <v>50.55</v>
      </c>
    </row>
    <row r="3711" spans="1:12">
      <c r="A3711" s="1">
        <v>46038</v>
      </c>
      <c r="B3711" t="s">
        <v>8765</v>
      </c>
      <c r="C3711">
        <v>22</v>
      </c>
      <c r="D3711" t="str">
        <f>VLOOKUP(Tabela26[[#This Row],[EMP]],[1]LOJA!$A:$B,2,0)</f>
        <v>GUARÁ</v>
      </c>
      <c r="E3711">
        <v>238</v>
      </c>
      <c r="F3711" t="s">
        <v>3403</v>
      </c>
      <c r="G3711" t="s">
        <v>3402</v>
      </c>
      <c r="H3711" t="s">
        <v>3401</v>
      </c>
      <c r="I3711">
        <v>5102</v>
      </c>
      <c r="J3711" s="3">
        <v>14</v>
      </c>
      <c r="K3711" s="3">
        <v>7.72</v>
      </c>
      <c r="L3711">
        <v>44.86</v>
      </c>
    </row>
    <row r="3712" spans="1:12">
      <c r="A3712" s="1">
        <v>46038</v>
      </c>
      <c r="B3712" t="s">
        <v>8764</v>
      </c>
      <c r="C3712">
        <v>22</v>
      </c>
      <c r="D3712" t="str">
        <f>VLOOKUP(Tabela26[[#This Row],[EMP]],[1]LOJA!$A:$B,2,0)</f>
        <v>GUARÁ</v>
      </c>
      <c r="E3712">
        <v>93</v>
      </c>
      <c r="F3712" t="s">
        <v>3403</v>
      </c>
      <c r="G3712" t="s">
        <v>3402</v>
      </c>
      <c r="H3712" t="s">
        <v>3401</v>
      </c>
      <c r="I3712">
        <v>5102</v>
      </c>
      <c r="J3712" s="3">
        <v>4</v>
      </c>
      <c r="K3712" s="3">
        <v>2.2400000000000002</v>
      </c>
      <c r="L3712">
        <v>44</v>
      </c>
    </row>
    <row r="3713" spans="1:12">
      <c r="A3713" s="1">
        <v>46038</v>
      </c>
      <c r="B3713" t="s">
        <v>8763</v>
      </c>
      <c r="C3713">
        <v>22</v>
      </c>
      <c r="D3713" t="str">
        <f>VLOOKUP(Tabela26[[#This Row],[EMP]],[1]LOJA!$A:$B,2,0)</f>
        <v>GUARÁ</v>
      </c>
      <c r="E3713">
        <v>93</v>
      </c>
      <c r="F3713" t="s">
        <v>5729</v>
      </c>
      <c r="G3713" t="s">
        <v>5728</v>
      </c>
      <c r="H3713" t="s">
        <v>3401</v>
      </c>
      <c r="I3713">
        <v>5102</v>
      </c>
      <c r="J3713" s="3">
        <v>464.8</v>
      </c>
      <c r="K3713" s="3">
        <v>275.38</v>
      </c>
      <c r="L3713">
        <v>40.75</v>
      </c>
    </row>
    <row r="3714" spans="1:12">
      <c r="A3714" s="1">
        <v>46038</v>
      </c>
      <c r="B3714" t="s">
        <v>8762</v>
      </c>
      <c r="C3714">
        <v>22</v>
      </c>
      <c r="D3714" t="str">
        <f>VLOOKUP(Tabela26[[#This Row],[EMP]],[1]LOJA!$A:$B,2,0)</f>
        <v>GUARÁ</v>
      </c>
      <c r="E3714">
        <v>93</v>
      </c>
      <c r="F3714" t="s">
        <v>3403</v>
      </c>
      <c r="G3714" t="s">
        <v>3402</v>
      </c>
      <c r="H3714" t="s">
        <v>3408</v>
      </c>
      <c r="I3714">
        <v>5102</v>
      </c>
      <c r="J3714" s="3">
        <v>30</v>
      </c>
      <c r="K3714" s="3">
        <v>18.64</v>
      </c>
      <c r="L3714">
        <v>37.869999999999997</v>
      </c>
    </row>
    <row r="3715" spans="1:12">
      <c r="A3715" s="1">
        <v>46038</v>
      </c>
      <c r="B3715" t="s">
        <v>8761</v>
      </c>
      <c r="C3715">
        <v>22</v>
      </c>
      <c r="D3715" t="str">
        <f>VLOOKUP(Tabela26[[#This Row],[EMP]],[1]LOJA!$A:$B,2,0)</f>
        <v>GUARÁ</v>
      </c>
      <c r="E3715">
        <v>93</v>
      </c>
      <c r="F3715" t="s">
        <v>3452</v>
      </c>
      <c r="G3715" t="s">
        <v>3451</v>
      </c>
      <c r="H3715" t="s">
        <v>3408</v>
      </c>
      <c r="I3715">
        <v>5405</v>
      </c>
      <c r="J3715" s="3">
        <v>87</v>
      </c>
      <c r="K3715" s="3">
        <v>45.06</v>
      </c>
      <c r="L3715">
        <v>48.21</v>
      </c>
    </row>
    <row r="3716" spans="1:12">
      <c r="A3716" s="1">
        <v>46038</v>
      </c>
      <c r="B3716" t="s">
        <v>8760</v>
      </c>
      <c r="C3716">
        <v>22</v>
      </c>
      <c r="D3716" t="str">
        <f>VLOOKUP(Tabela26[[#This Row],[EMP]],[1]LOJA!$A:$B,2,0)</f>
        <v>GUARÁ</v>
      </c>
      <c r="E3716">
        <v>93</v>
      </c>
      <c r="F3716" t="s">
        <v>3403</v>
      </c>
      <c r="G3716" t="s">
        <v>3402</v>
      </c>
      <c r="H3716" t="s">
        <v>3401</v>
      </c>
      <c r="I3716">
        <v>5102</v>
      </c>
      <c r="J3716" s="3">
        <v>77</v>
      </c>
      <c r="K3716" s="3">
        <v>39.5</v>
      </c>
      <c r="L3716">
        <v>48.7</v>
      </c>
    </row>
    <row r="3717" spans="1:12">
      <c r="A3717" s="1">
        <v>46038</v>
      </c>
      <c r="B3717" t="s">
        <v>8759</v>
      </c>
      <c r="C3717">
        <v>22</v>
      </c>
      <c r="D3717" t="str">
        <f>VLOOKUP(Tabela26[[#This Row],[EMP]],[1]LOJA!$A:$B,2,0)</f>
        <v>GUARÁ</v>
      </c>
      <c r="E3717">
        <v>93</v>
      </c>
      <c r="F3717" t="s">
        <v>8449</v>
      </c>
      <c r="G3717" t="s">
        <v>8448</v>
      </c>
      <c r="H3717" t="s">
        <v>3401</v>
      </c>
      <c r="I3717">
        <v>5102</v>
      </c>
      <c r="J3717" s="3">
        <v>34</v>
      </c>
      <c r="K3717" s="3">
        <v>21.83</v>
      </c>
      <c r="L3717">
        <v>35.79</v>
      </c>
    </row>
    <row r="3718" spans="1:12">
      <c r="A3718" s="1">
        <v>46038</v>
      </c>
      <c r="B3718" t="s">
        <v>8758</v>
      </c>
      <c r="C3718">
        <v>22</v>
      </c>
      <c r="D3718" t="str">
        <f>VLOOKUP(Tabela26[[#This Row],[EMP]],[1]LOJA!$A:$B,2,0)</f>
        <v>GUARÁ</v>
      </c>
      <c r="E3718">
        <v>93</v>
      </c>
      <c r="F3718" t="s">
        <v>4593</v>
      </c>
      <c r="G3718" t="s">
        <v>4592</v>
      </c>
      <c r="H3718" t="s">
        <v>3401</v>
      </c>
      <c r="I3718">
        <v>5405</v>
      </c>
      <c r="J3718" s="3">
        <v>64</v>
      </c>
      <c r="K3718" s="3">
        <v>32.869999999999997</v>
      </c>
      <c r="L3718">
        <v>48.64</v>
      </c>
    </row>
    <row r="3719" spans="1:12">
      <c r="A3719" s="1">
        <v>46038</v>
      </c>
      <c r="B3719" t="s">
        <v>8757</v>
      </c>
      <c r="C3719">
        <v>22</v>
      </c>
      <c r="D3719" t="str">
        <f>VLOOKUP(Tabela26[[#This Row],[EMP]],[1]LOJA!$A:$B,2,0)</f>
        <v>GUARÁ</v>
      </c>
      <c r="E3719">
        <v>93</v>
      </c>
      <c r="F3719" t="s">
        <v>3403</v>
      </c>
      <c r="G3719" t="s">
        <v>3402</v>
      </c>
      <c r="H3719" t="s">
        <v>3401</v>
      </c>
      <c r="I3719">
        <v>5405</v>
      </c>
      <c r="J3719" s="3">
        <v>50</v>
      </c>
      <c r="K3719" s="3">
        <v>24.43</v>
      </c>
      <c r="L3719">
        <v>51.14</v>
      </c>
    </row>
    <row r="3720" spans="1:12">
      <c r="A3720" s="1">
        <v>46038</v>
      </c>
      <c r="B3720" t="s">
        <v>8756</v>
      </c>
      <c r="C3720">
        <v>22</v>
      </c>
      <c r="D3720" t="str">
        <f>VLOOKUP(Tabela26[[#This Row],[EMP]],[1]LOJA!$A:$B,2,0)</f>
        <v>GUARÁ</v>
      </c>
      <c r="E3720">
        <v>93</v>
      </c>
      <c r="F3720" t="s">
        <v>3403</v>
      </c>
      <c r="G3720" t="s">
        <v>3402</v>
      </c>
      <c r="H3720" t="s">
        <v>3401</v>
      </c>
      <c r="I3720">
        <v>5102</v>
      </c>
      <c r="J3720" s="3">
        <v>19</v>
      </c>
      <c r="K3720" s="3">
        <v>10.27</v>
      </c>
      <c r="L3720">
        <v>45.95</v>
      </c>
    </row>
    <row r="3721" spans="1:12">
      <c r="A3721" s="1">
        <v>46038</v>
      </c>
      <c r="B3721" t="s">
        <v>8755</v>
      </c>
      <c r="C3721">
        <v>22</v>
      </c>
      <c r="D3721" t="str">
        <f>VLOOKUP(Tabela26[[#This Row],[EMP]],[1]LOJA!$A:$B,2,0)</f>
        <v>GUARÁ</v>
      </c>
      <c r="E3721">
        <v>93</v>
      </c>
      <c r="F3721" t="s">
        <v>3921</v>
      </c>
      <c r="G3721" t="s">
        <v>3920</v>
      </c>
      <c r="H3721" t="s">
        <v>3401</v>
      </c>
      <c r="I3721">
        <v>5405</v>
      </c>
      <c r="J3721" s="3">
        <v>55</v>
      </c>
      <c r="K3721" s="3">
        <v>28.16</v>
      </c>
      <c r="L3721">
        <v>48.8</v>
      </c>
    </row>
    <row r="3722" spans="1:12">
      <c r="A3722" s="1">
        <v>46038</v>
      </c>
      <c r="B3722" t="s">
        <v>8754</v>
      </c>
      <c r="C3722">
        <v>22</v>
      </c>
      <c r="D3722" t="str">
        <f>VLOOKUP(Tabela26[[#This Row],[EMP]],[1]LOJA!$A:$B,2,0)</f>
        <v>GUARÁ</v>
      </c>
      <c r="E3722">
        <v>16</v>
      </c>
      <c r="F3722" t="s">
        <v>4600</v>
      </c>
      <c r="G3722" t="s">
        <v>4599</v>
      </c>
      <c r="H3722" t="s">
        <v>3408</v>
      </c>
      <c r="I3722">
        <v>5405</v>
      </c>
      <c r="J3722" s="3">
        <v>207.08</v>
      </c>
      <c r="K3722" s="3">
        <v>106.97</v>
      </c>
      <c r="L3722">
        <v>48.34</v>
      </c>
    </row>
    <row r="3723" spans="1:12">
      <c r="A3723" s="1">
        <v>46038</v>
      </c>
      <c r="B3723" t="s">
        <v>8753</v>
      </c>
      <c r="C3723">
        <v>22</v>
      </c>
      <c r="D3723" t="str">
        <f>VLOOKUP(Tabela26[[#This Row],[EMP]],[1]LOJA!$A:$B,2,0)</f>
        <v>GUARÁ</v>
      </c>
      <c r="E3723">
        <v>93</v>
      </c>
      <c r="F3723" t="s">
        <v>3403</v>
      </c>
      <c r="G3723" t="s">
        <v>3402</v>
      </c>
      <c r="H3723" t="s">
        <v>3408</v>
      </c>
      <c r="I3723">
        <v>5405</v>
      </c>
      <c r="J3723" s="3">
        <v>127</v>
      </c>
      <c r="K3723" s="3">
        <v>65.2</v>
      </c>
      <c r="L3723">
        <v>48.66</v>
      </c>
    </row>
    <row r="3724" spans="1:12">
      <c r="A3724" s="1">
        <v>46038</v>
      </c>
      <c r="B3724" t="s">
        <v>8752</v>
      </c>
      <c r="C3724">
        <v>22</v>
      </c>
      <c r="D3724" t="str">
        <f>VLOOKUP(Tabela26[[#This Row],[EMP]],[1]LOJA!$A:$B,2,0)</f>
        <v>GUARÁ</v>
      </c>
      <c r="E3724">
        <v>93</v>
      </c>
      <c r="F3724" t="s">
        <v>5212</v>
      </c>
      <c r="G3724" t="s">
        <v>5211</v>
      </c>
      <c r="H3724" t="s">
        <v>3401</v>
      </c>
      <c r="I3724">
        <v>5102</v>
      </c>
      <c r="J3724" s="3">
        <v>20</v>
      </c>
      <c r="K3724" s="3">
        <v>10.61</v>
      </c>
      <c r="L3724">
        <v>46.95</v>
      </c>
    </row>
    <row r="3725" spans="1:12">
      <c r="A3725" s="1">
        <v>46038</v>
      </c>
      <c r="B3725" t="s">
        <v>8751</v>
      </c>
      <c r="C3725">
        <v>22</v>
      </c>
      <c r="D3725" t="str">
        <f>VLOOKUP(Tabela26[[#This Row],[EMP]],[1]LOJA!$A:$B,2,0)</f>
        <v>GUARÁ</v>
      </c>
      <c r="E3725">
        <v>16</v>
      </c>
      <c r="F3725" t="s">
        <v>3403</v>
      </c>
      <c r="G3725" t="s">
        <v>3402</v>
      </c>
      <c r="H3725" t="s">
        <v>3401</v>
      </c>
      <c r="I3725">
        <v>5102</v>
      </c>
      <c r="J3725" s="3">
        <v>24</v>
      </c>
      <c r="K3725" s="3">
        <v>9.07</v>
      </c>
      <c r="L3725">
        <v>62.21</v>
      </c>
    </row>
    <row r="3726" spans="1:12">
      <c r="A3726" s="1">
        <v>46038</v>
      </c>
      <c r="B3726" t="s">
        <v>8750</v>
      </c>
      <c r="C3726">
        <v>22</v>
      </c>
      <c r="D3726" t="str">
        <f>VLOOKUP(Tabela26[[#This Row],[EMP]],[1]LOJA!$A:$B,2,0)</f>
        <v>GUARÁ</v>
      </c>
      <c r="E3726">
        <v>238</v>
      </c>
      <c r="F3726" t="s">
        <v>3403</v>
      </c>
      <c r="G3726" t="s">
        <v>3402</v>
      </c>
      <c r="H3726" t="s">
        <v>3401</v>
      </c>
      <c r="I3726">
        <v>5102</v>
      </c>
      <c r="J3726" s="3">
        <v>3</v>
      </c>
      <c r="K3726" s="3">
        <v>1.35</v>
      </c>
      <c r="L3726">
        <v>55</v>
      </c>
    </row>
    <row r="3727" spans="1:12">
      <c r="A3727" s="1">
        <v>46038</v>
      </c>
      <c r="B3727" t="s">
        <v>8749</v>
      </c>
      <c r="C3727">
        <v>22</v>
      </c>
      <c r="D3727" t="str">
        <f>VLOOKUP(Tabela26[[#This Row],[EMP]],[1]LOJA!$A:$B,2,0)</f>
        <v>GUARÁ</v>
      </c>
      <c r="E3727">
        <v>16</v>
      </c>
      <c r="F3727" t="s">
        <v>3856</v>
      </c>
      <c r="G3727" t="s">
        <v>3855</v>
      </c>
      <c r="H3727" t="s">
        <v>3520</v>
      </c>
      <c r="I3727">
        <v>5405</v>
      </c>
      <c r="J3727" s="3">
        <v>904.59</v>
      </c>
      <c r="K3727" s="3">
        <v>493.1</v>
      </c>
      <c r="L3727">
        <v>45.49</v>
      </c>
    </row>
    <row r="3728" spans="1:12">
      <c r="A3728" s="1">
        <v>46038</v>
      </c>
      <c r="B3728" t="s">
        <v>8748</v>
      </c>
      <c r="C3728">
        <v>22</v>
      </c>
      <c r="D3728" t="str">
        <f>VLOOKUP(Tabela26[[#This Row],[EMP]],[1]LOJA!$A:$B,2,0)</f>
        <v>GUARÁ</v>
      </c>
      <c r="E3728">
        <v>93</v>
      </c>
      <c r="F3728" t="s">
        <v>3403</v>
      </c>
      <c r="G3728" t="s">
        <v>3402</v>
      </c>
      <c r="H3728" t="s">
        <v>3401</v>
      </c>
      <c r="I3728">
        <v>5405</v>
      </c>
      <c r="J3728" s="3">
        <v>75</v>
      </c>
      <c r="K3728" s="3">
        <v>39.21</v>
      </c>
      <c r="L3728">
        <v>47.72</v>
      </c>
    </row>
    <row r="3729" spans="1:12">
      <c r="A3729" s="1">
        <v>46038</v>
      </c>
      <c r="B3729" t="s">
        <v>8747</v>
      </c>
      <c r="C3729">
        <v>22</v>
      </c>
      <c r="D3729" t="str">
        <f>VLOOKUP(Tabela26[[#This Row],[EMP]],[1]LOJA!$A:$B,2,0)</f>
        <v>GUARÁ</v>
      </c>
      <c r="E3729">
        <v>93</v>
      </c>
      <c r="F3729" t="s">
        <v>3403</v>
      </c>
      <c r="G3729" t="s">
        <v>3402</v>
      </c>
      <c r="H3729" t="s">
        <v>3401</v>
      </c>
      <c r="I3729">
        <v>5102</v>
      </c>
      <c r="J3729" s="3">
        <v>43</v>
      </c>
      <c r="K3729" s="3">
        <v>23.26</v>
      </c>
      <c r="L3729">
        <v>45.91</v>
      </c>
    </row>
    <row r="3730" spans="1:12">
      <c r="A3730" s="1">
        <v>46038</v>
      </c>
      <c r="B3730" t="s">
        <v>8746</v>
      </c>
      <c r="C3730">
        <v>22</v>
      </c>
      <c r="D3730" t="str">
        <f>VLOOKUP(Tabela26[[#This Row],[EMP]],[1]LOJA!$A:$B,2,0)</f>
        <v>GUARÁ</v>
      </c>
      <c r="E3730">
        <v>93</v>
      </c>
      <c r="F3730" t="s">
        <v>8745</v>
      </c>
      <c r="G3730" t="s">
        <v>8744</v>
      </c>
      <c r="H3730" t="s">
        <v>3401</v>
      </c>
      <c r="I3730">
        <v>5405</v>
      </c>
      <c r="J3730" s="3">
        <v>184</v>
      </c>
      <c r="K3730" s="3">
        <v>108.42</v>
      </c>
      <c r="L3730">
        <v>41.08</v>
      </c>
    </row>
    <row r="3731" spans="1:12">
      <c r="A3731" s="1">
        <v>46038</v>
      </c>
      <c r="B3731" t="s">
        <v>8743</v>
      </c>
      <c r="C3731">
        <v>22</v>
      </c>
      <c r="D3731" t="str">
        <f>VLOOKUP(Tabela26[[#This Row],[EMP]],[1]LOJA!$A:$B,2,0)</f>
        <v>GUARÁ</v>
      </c>
      <c r="E3731">
        <v>16</v>
      </c>
      <c r="F3731" t="s">
        <v>3873</v>
      </c>
      <c r="G3731" t="s">
        <v>3872</v>
      </c>
      <c r="H3731" t="s">
        <v>3401</v>
      </c>
      <c r="I3731">
        <v>5405</v>
      </c>
      <c r="J3731" s="3">
        <v>147</v>
      </c>
      <c r="K3731" s="3">
        <v>76.52</v>
      </c>
      <c r="L3731">
        <v>47.95</v>
      </c>
    </row>
    <row r="3732" spans="1:12">
      <c r="A3732" s="1">
        <v>46038</v>
      </c>
      <c r="B3732" t="s">
        <v>8742</v>
      </c>
      <c r="C3732">
        <v>22</v>
      </c>
      <c r="D3732" t="str">
        <f>VLOOKUP(Tabela26[[#This Row],[EMP]],[1]LOJA!$A:$B,2,0)</f>
        <v>GUARÁ</v>
      </c>
      <c r="E3732">
        <v>93</v>
      </c>
      <c r="F3732" t="s">
        <v>4593</v>
      </c>
      <c r="G3732" t="s">
        <v>4592</v>
      </c>
      <c r="H3732" t="s">
        <v>3401</v>
      </c>
      <c r="I3732">
        <v>5102</v>
      </c>
      <c r="J3732" s="3">
        <v>72.45</v>
      </c>
      <c r="K3732" s="3">
        <v>36.96</v>
      </c>
      <c r="L3732">
        <v>48.99</v>
      </c>
    </row>
    <row r="3733" spans="1:12">
      <c r="A3733" s="1">
        <v>46038</v>
      </c>
      <c r="B3733" t="s">
        <v>8741</v>
      </c>
      <c r="C3733">
        <v>22</v>
      </c>
      <c r="D3733" t="str">
        <f>VLOOKUP(Tabela26[[#This Row],[EMP]],[1]LOJA!$A:$B,2,0)</f>
        <v>GUARÁ</v>
      </c>
      <c r="E3733">
        <v>93</v>
      </c>
      <c r="F3733" t="s">
        <v>3403</v>
      </c>
      <c r="G3733" t="s">
        <v>3402</v>
      </c>
      <c r="H3733" t="s">
        <v>3401</v>
      </c>
      <c r="I3733">
        <v>5102</v>
      </c>
      <c r="J3733" s="3">
        <v>7.5</v>
      </c>
      <c r="K3733" s="3">
        <v>3.91</v>
      </c>
      <c r="L3733">
        <v>47.87</v>
      </c>
    </row>
    <row r="3734" spans="1:12">
      <c r="A3734" s="1">
        <v>46038</v>
      </c>
      <c r="B3734" t="s">
        <v>8740</v>
      </c>
      <c r="C3734">
        <v>22</v>
      </c>
      <c r="D3734" t="str">
        <f>VLOOKUP(Tabela26[[#This Row],[EMP]],[1]LOJA!$A:$B,2,0)</f>
        <v>GUARÁ</v>
      </c>
      <c r="E3734">
        <v>93</v>
      </c>
      <c r="F3734" t="s">
        <v>3403</v>
      </c>
      <c r="G3734" t="s">
        <v>3402</v>
      </c>
      <c r="H3734" t="s">
        <v>3401</v>
      </c>
      <c r="I3734">
        <v>5102</v>
      </c>
      <c r="J3734" s="3">
        <v>7.5</v>
      </c>
      <c r="K3734" s="3">
        <v>3.91</v>
      </c>
      <c r="L3734">
        <v>47.87</v>
      </c>
    </row>
    <row r="3735" spans="1:12">
      <c r="A3735" s="1">
        <v>46038</v>
      </c>
      <c r="B3735" t="s">
        <v>8739</v>
      </c>
      <c r="C3735">
        <v>22</v>
      </c>
      <c r="D3735" t="str">
        <f>VLOOKUP(Tabela26[[#This Row],[EMP]],[1]LOJA!$A:$B,2,0)</f>
        <v>GUARÁ</v>
      </c>
      <c r="E3735">
        <v>93</v>
      </c>
      <c r="F3735" t="s">
        <v>3403</v>
      </c>
      <c r="G3735" t="s">
        <v>3402</v>
      </c>
      <c r="H3735" t="s">
        <v>3401</v>
      </c>
      <c r="I3735">
        <v>5102</v>
      </c>
      <c r="J3735" s="3">
        <v>4</v>
      </c>
      <c r="K3735" s="3">
        <v>2.2400000000000002</v>
      </c>
      <c r="L3735">
        <v>44</v>
      </c>
    </row>
    <row r="3736" spans="1:12">
      <c r="A3736" s="1">
        <v>46038</v>
      </c>
      <c r="B3736" t="s">
        <v>8738</v>
      </c>
      <c r="C3736">
        <v>22</v>
      </c>
      <c r="D3736" t="str">
        <f>VLOOKUP(Tabela26[[#This Row],[EMP]],[1]LOJA!$A:$B,2,0)</f>
        <v>GUARÁ</v>
      </c>
      <c r="E3736">
        <v>93</v>
      </c>
      <c r="F3736" t="s">
        <v>3403</v>
      </c>
      <c r="G3736" t="s">
        <v>3402</v>
      </c>
      <c r="H3736" t="s">
        <v>3401</v>
      </c>
      <c r="I3736">
        <v>5102</v>
      </c>
      <c r="J3736" s="3">
        <v>29</v>
      </c>
      <c r="K3736" s="3">
        <v>17.489999999999998</v>
      </c>
      <c r="L3736">
        <v>39.69</v>
      </c>
    </row>
    <row r="3737" spans="1:12">
      <c r="A3737" s="1">
        <v>46038</v>
      </c>
      <c r="B3737" t="s">
        <v>8737</v>
      </c>
      <c r="C3737">
        <v>22</v>
      </c>
      <c r="D3737" t="str">
        <f>VLOOKUP(Tabela26[[#This Row],[EMP]],[1]LOJA!$A:$B,2,0)</f>
        <v>GUARÁ</v>
      </c>
      <c r="E3737">
        <v>16</v>
      </c>
      <c r="F3737" t="s">
        <v>3403</v>
      </c>
      <c r="G3737" t="s">
        <v>3402</v>
      </c>
      <c r="H3737" t="s">
        <v>3401</v>
      </c>
      <c r="I3737">
        <v>5405</v>
      </c>
      <c r="J3737" s="3">
        <v>50</v>
      </c>
      <c r="K3737" s="3">
        <v>20.75</v>
      </c>
      <c r="L3737">
        <v>58.5</v>
      </c>
    </row>
    <row r="3738" spans="1:12">
      <c r="A3738" s="1">
        <v>46038</v>
      </c>
      <c r="B3738" t="s">
        <v>8736</v>
      </c>
      <c r="C3738">
        <v>22</v>
      </c>
      <c r="D3738" t="str">
        <f>VLOOKUP(Tabela26[[#This Row],[EMP]],[1]LOJA!$A:$B,2,0)</f>
        <v>GUARÁ</v>
      </c>
      <c r="E3738">
        <v>16</v>
      </c>
      <c r="F3738" t="s">
        <v>3921</v>
      </c>
      <c r="G3738" t="s">
        <v>3920</v>
      </c>
      <c r="H3738" t="s">
        <v>3401</v>
      </c>
      <c r="I3738">
        <v>5102</v>
      </c>
      <c r="J3738" s="3">
        <v>58.31</v>
      </c>
      <c r="K3738" s="3">
        <v>38.11</v>
      </c>
      <c r="L3738">
        <v>34.64</v>
      </c>
    </row>
    <row r="3739" spans="1:12">
      <c r="A3739" s="1">
        <v>46038</v>
      </c>
      <c r="B3739" t="s">
        <v>8735</v>
      </c>
      <c r="C3739">
        <v>22</v>
      </c>
      <c r="D3739" t="str">
        <f>VLOOKUP(Tabela26[[#This Row],[EMP]],[1]LOJA!$A:$B,2,0)</f>
        <v>GUARÁ</v>
      </c>
      <c r="E3739">
        <v>16</v>
      </c>
      <c r="F3739" t="s">
        <v>3899</v>
      </c>
      <c r="G3739" t="s">
        <v>3898</v>
      </c>
      <c r="H3739" t="s">
        <v>3520</v>
      </c>
      <c r="I3739">
        <v>5405</v>
      </c>
      <c r="J3739" s="3">
        <v>64.52</v>
      </c>
      <c r="K3739" s="3">
        <v>33.26</v>
      </c>
      <c r="L3739">
        <v>48.45</v>
      </c>
    </row>
    <row r="3740" spans="1:12">
      <c r="A3740" s="1">
        <v>46038</v>
      </c>
      <c r="B3740" t="s">
        <v>8734</v>
      </c>
      <c r="C3740">
        <v>22</v>
      </c>
      <c r="D3740" t="str">
        <f>VLOOKUP(Tabela26[[#This Row],[EMP]],[1]LOJA!$A:$B,2,0)</f>
        <v>GUARÁ</v>
      </c>
      <c r="E3740">
        <v>93</v>
      </c>
      <c r="F3740" t="s">
        <v>3403</v>
      </c>
      <c r="G3740" t="s">
        <v>3402</v>
      </c>
      <c r="H3740" t="s">
        <v>3401</v>
      </c>
      <c r="I3740">
        <v>5405</v>
      </c>
      <c r="J3740" s="3">
        <v>86</v>
      </c>
      <c r="K3740" s="3">
        <v>26.06</v>
      </c>
      <c r="L3740">
        <v>69.7</v>
      </c>
    </row>
    <row r="3741" spans="1:12">
      <c r="A3741" s="1">
        <v>46038</v>
      </c>
      <c r="B3741" t="s">
        <v>8733</v>
      </c>
      <c r="C3741">
        <v>22</v>
      </c>
      <c r="D3741" t="str">
        <f>VLOOKUP(Tabela26[[#This Row],[EMP]],[1]LOJA!$A:$B,2,0)</f>
        <v>GUARÁ</v>
      </c>
      <c r="E3741">
        <v>93</v>
      </c>
      <c r="F3741" t="s">
        <v>7276</v>
      </c>
      <c r="G3741" t="s">
        <v>3402</v>
      </c>
      <c r="H3741" t="s">
        <v>3401</v>
      </c>
      <c r="I3741">
        <v>5405</v>
      </c>
      <c r="J3741" s="3">
        <v>60</v>
      </c>
      <c r="K3741" s="3">
        <v>31.52</v>
      </c>
      <c r="L3741">
        <v>47.47</v>
      </c>
    </row>
    <row r="3742" spans="1:12">
      <c r="A3742" s="1">
        <v>46038</v>
      </c>
      <c r="B3742" t="s">
        <v>8732</v>
      </c>
      <c r="C3742">
        <v>22</v>
      </c>
      <c r="D3742" t="str">
        <f>VLOOKUP(Tabela26[[#This Row],[EMP]],[1]LOJA!$A:$B,2,0)</f>
        <v>GUARÁ</v>
      </c>
      <c r="E3742">
        <v>93</v>
      </c>
      <c r="F3742" t="s">
        <v>3403</v>
      </c>
      <c r="G3742" t="s">
        <v>3402</v>
      </c>
      <c r="H3742" t="s">
        <v>3401</v>
      </c>
      <c r="I3742">
        <v>5102</v>
      </c>
      <c r="J3742" s="3">
        <v>75</v>
      </c>
      <c r="K3742" s="3">
        <v>47.38</v>
      </c>
      <c r="L3742">
        <v>36.83</v>
      </c>
    </row>
    <row r="3743" spans="1:12">
      <c r="A3743" s="1">
        <v>46038</v>
      </c>
      <c r="B3743" t="s">
        <v>8731</v>
      </c>
      <c r="C3743">
        <v>22</v>
      </c>
      <c r="D3743" t="str">
        <f>VLOOKUP(Tabela26[[#This Row],[EMP]],[1]LOJA!$A:$B,2,0)</f>
        <v>GUARÁ</v>
      </c>
      <c r="E3743">
        <v>16</v>
      </c>
      <c r="F3743" t="s">
        <v>3877</v>
      </c>
      <c r="G3743" t="s">
        <v>3876</v>
      </c>
      <c r="H3743" t="s">
        <v>3401</v>
      </c>
      <c r="I3743">
        <v>5102</v>
      </c>
      <c r="J3743" s="3">
        <v>14.17</v>
      </c>
      <c r="K3743" s="3">
        <v>9.26</v>
      </c>
      <c r="L3743">
        <v>34.65</v>
      </c>
    </row>
    <row r="3744" spans="1:12">
      <c r="A3744" s="1">
        <v>46038</v>
      </c>
      <c r="B3744" t="s">
        <v>8730</v>
      </c>
      <c r="C3744">
        <v>22</v>
      </c>
      <c r="D3744" t="str">
        <f>VLOOKUP(Tabela26[[#This Row],[EMP]],[1]LOJA!$A:$B,2,0)</f>
        <v>GUARÁ</v>
      </c>
      <c r="E3744">
        <v>16</v>
      </c>
      <c r="F3744" t="s">
        <v>3403</v>
      </c>
      <c r="G3744" t="s">
        <v>3402</v>
      </c>
      <c r="H3744" t="s">
        <v>3401</v>
      </c>
      <c r="I3744">
        <v>5102</v>
      </c>
      <c r="J3744" s="3">
        <v>40</v>
      </c>
      <c r="K3744" s="3">
        <v>23.26</v>
      </c>
      <c r="L3744">
        <v>41.85</v>
      </c>
    </row>
    <row r="3745" spans="1:12">
      <c r="A3745" s="1">
        <v>46038</v>
      </c>
      <c r="B3745" t="s">
        <v>8729</v>
      </c>
      <c r="C3745">
        <v>22</v>
      </c>
      <c r="D3745" t="str">
        <f>VLOOKUP(Tabela26[[#This Row],[EMP]],[1]LOJA!$A:$B,2,0)</f>
        <v>GUARÁ</v>
      </c>
      <c r="E3745">
        <v>93</v>
      </c>
      <c r="F3745" t="s">
        <v>3881</v>
      </c>
      <c r="G3745" t="s">
        <v>3402</v>
      </c>
      <c r="H3745" t="s">
        <v>3401</v>
      </c>
      <c r="I3745">
        <v>5405</v>
      </c>
      <c r="J3745" s="3">
        <v>371.58</v>
      </c>
      <c r="K3745" s="3">
        <v>195.29</v>
      </c>
      <c r="L3745">
        <v>47.44</v>
      </c>
    </row>
    <row r="3746" spans="1:12">
      <c r="A3746" s="1">
        <v>46038</v>
      </c>
      <c r="B3746" t="s">
        <v>8728</v>
      </c>
      <c r="C3746">
        <v>22</v>
      </c>
      <c r="D3746" t="str">
        <f>VLOOKUP(Tabela26[[#This Row],[EMP]],[1]LOJA!$A:$B,2,0)</f>
        <v>GUARÁ</v>
      </c>
      <c r="E3746">
        <v>16</v>
      </c>
      <c r="F3746" t="s">
        <v>3403</v>
      </c>
      <c r="G3746" t="s">
        <v>3402</v>
      </c>
      <c r="H3746" t="s">
        <v>3401</v>
      </c>
      <c r="I3746">
        <v>5405</v>
      </c>
      <c r="J3746" s="3">
        <v>76</v>
      </c>
      <c r="K3746" s="3">
        <v>29.2</v>
      </c>
      <c r="L3746">
        <v>61.58</v>
      </c>
    </row>
    <row r="3747" spans="1:12">
      <c r="A3747" s="1">
        <v>46038</v>
      </c>
      <c r="B3747" t="s">
        <v>8727</v>
      </c>
      <c r="C3747">
        <v>22</v>
      </c>
      <c r="D3747" t="str">
        <f>VLOOKUP(Tabela26[[#This Row],[EMP]],[1]LOJA!$A:$B,2,0)</f>
        <v>GUARÁ</v>
      </c>
      <c r="E3747">
        <v>16</v>
      </c>
      <c r="F3747" t="s">
        <v>3886</v>
      </c>
      <c r="G3747" t="s">
        <v>3402</v>
      </c>
      <c r="H3747" t="s">
        <v>3408</v>
      </c>
      <c r="I3747">
        <v>5405</v>
      </c>
      <c r="J3747" s="3">
        <v>134.96</v>
      </c>
      <c r="K3747" s="3">
        <v>68.45</v>
      </c>
      <c r="L3747">
        <v>49.28</v>
      </c>
    </row>
    <row r="3748" spans="1:12">
      <c r="A3748" s="1">
        <v>46038</v>
      </c>
      <c r="B3748" t="s">
        <v>8726</v>
      </c>
      <c r="C3748">
        <v>22</v>
      </c>
      <c r="D3748" t="str">
        <f>VLOOKUP(Tabela26[[#This Row],[EMP]],[1]LOJA!$A:$B,2,0)</f>
        <v>GUARÁ</v>
      </c>
      <c r="E3748">
        <v>93</v>
      </c>
      <c r="F3748" t="s">
        <v>3921</v>
      </c>
      <c r="G3748" t="s">
        <v>3920</v>
      </c>
      <c r="H3748" t="s">
        <v>3401</v>
      </c>
      <c r="I3748">
        <v>5102</v>
      </c>
      <c r="J3748" s="3">
        <v>90</v>
      </c>
      <c r="K3748" s="3">
        <v>51.7</v>
      </c>
      <c r="L3748">
        <v>42.56</v>
      </c>
    </row>
    <row r="3749" spans="1:12">
      <c r="A3749" s="1">
        <v>46038</v>
      </c>
      <c r="B3749" t="s">
        <v>8725</v>
      </c>
      <c r="C3749">
        <v>22</v>
      </c>
      <c r="D3749" t="str">
        <f>VLOOKUP(Tabela26[[#This Row],[EMP]],[1]LOJA!$A:$B,2,0)</f>
        <v>GUARÁ</v>
      </c>
      <c r="E3749">
        <v>93</v>
      </c>
      <c r="F3749" t="s">
        <v>8724</v>
      </c>
      <c r="G3749" t="s">
        <v>3402</v>
      </c>
      <c r="H3749" t="s">
        <v>3401</v>
      </c>
      <c r="I3749">
        <v>5405</v>
      </c>
      <c r="J3749" s="3">
        <v>175</v>
      </c>
      <c r="K3749" s="3">
        <v>89.09</v>
      </c>
      <c r="L3749">
        <v>49.09</v>
      </c>
    </row>
    <row r="3750" spans="1:12">
      <c r="A3750" s="1">
        <v>46038</v>
      </c>
      <c r="B3750" t="s">
        <v>8723</v>
      </c>
      <c r="C3750">
        <v>22</v>
      </c>
      <c r="D3750" t="str">
        <f>VLOOKUP(Tabela26[[#This Row],[EMP]],[1]LOJA!$A:$B,2,0)</f>
        <v>GUARÁ</v>
      </c>
      <c r="E3750">
        <v>93</v>
      </c>
      <c r="F3750" t="s">
        <v>3403</v>
      </c>
      <c r="G3750" t="s">
        <v>3402</v>
      </c>
      <c r="H3750" t="s">
        <v>3401</v>
      </c>
      <c r="I3750">
        <v>5405</v>
      </c>
      <c r="J3750" s="3">
        <v>140</v>
      </c>
      <c r="K3750" s="3">
        <v>71.099999999999994</v>
      </c>
      <c r="L3750">
        <v>49.21</v>
      </c>
    </row>
    <row r="3751" spans="1:12">
      <c r="A3751" s="1">
        <v>46038</v>
      </c>
      <c r="B3751" t="s">
        <v>8722</v>
      </c>
      <c r="C3751">
        <v>22</v>
      </c>
      <c r="D3751" t="str">
        <f>VLOOKUP(Tabela26[[#This Row],[EMP]],[1]LOJA!$A:$B,2,0)</f>
        <v>GUARÁ</v>
      </c>
      <c r="E3751">
        <v>93</v>
      </c>
      <c r="F3751" t="s">
        <v>3856</v>
      </c>
      <c r="G3751" t="s">
        <v>3855</v>
      </c>
      <c r="H3751" t="s">
        <v>3520</v>
      </c>
      <c r="I3751">
        <v>5102</v>
      </c>
      <c r="J3751" s="3">
        <v>244.24</v>
      </c>
      <c r="K3751" s="3">
        <v>133.22</v>
      </c>
      <c r="L3751">
        <v>45.46</v>
      </c>
    </row>
    <row r="3752" spans="1:12">
      <c r="A3752" s="1">
        <v>46038</v>
      </c>
      <c r="B3752" t="s">
        <v>8721</v>
      </c>
      <c r="C3752">
        <v>22</v>
      </c>
      <c r="D3752" t="str">
        <f>VLOOKUP(Tabela26[[#This Row],[EMP]],[1]LOJA!$A:$B,2,0)</f>
        <v>GUARÁ</v>
      </c>
      <c r="E3752">
        <v>93</v>
      </c>
      <c r="F3752" t="s">
        <v>4605</v>
      </c>
      <c r="G3752" t="s">
        <v>3402</v>
      </c>
      <c r="H3752" t="s">
        <v>3401</v>
      </c>
      <c r="I3752">
        <v>5102</v>
      </c>
      <c r="J3752" s="3">
        <v>11</v>
      </c>
      <c r="K3752" s="3">
        <v>5.21</v>
      </c>
      <c r="L3752">
        <v>52.64</v>
      </c>
    </row>
    <row r="3753" spans="1:12">
      <c r="A3753" s="1">
        <v>46038</v>
      </c>
      <c r="B3753" t="s">
        <v>8720</v>
      </c>
      <c r="C3753">
        <v>22</v>
      </c>
      <c r="D3753" t="str">
        <f>VLOOKUP(Tabela26[[#This Row],[EMP]],[1]LOJA!$A:$B,2,0)</f>
        <v>GUARÁ</v>
      </c>
      <c r="E3753">
        <v>93</v>
      </c>
      <c r="F3753" t="s">
        <v>3403</v>
      </c>
      <c r="G3753" t="s">
        <v>3402</v>
      </c>
      <c r="H3753" t="s">
        <v>3401</v>
      </c>
      <c r="I3753">
        <v>5102</v>
      </c>
      <c r="J3753" s="3">
        <v>68</v>
      </c>
      <c r="K3753" s="3">
        <v>30.35</v>
      </c>
      <c r="L3753">
        <v>55.37</v>
      </c>
    </row>
    <row r="3754" spans="1:12">
      <c r="A3754" s="1">
        <v>46038</v>
      </c>
      <c r="B3754" t="s">
        <v>8719</v>
      </c>
      <c r="C3754">
        <v>22</v>
      </c>
      <c r="D3754" t="str">
        <f>VLOOKUP(Tabela26[[#This Row],[EMP]],[1]LOJA!$A:$B,2,0)</f>
        <v>GUARÁ</v>
      </c>
      <c r="E3754">
        <v>93</v>
      </c>
      <c r="F3754" t="s">
        <v>4600</v>
      </c>
      <c r="G3754" t="s">
        <v>4599</v>
      </c>
      <c r="H3754" t="s">
        <v>3401</v>
      </c>
      <c r="I3754">
        <v>5102</v>
      </c>
      <c r="J3754" s="3">
        <v>66</v>
      </c>
      <c r="K3754" s="3">
        <v>33.19</v>
      </c>
      <c r="L3754">
        <v>49.71</v>
      </c>
    </row>
    <row r="3755" spans="1:12">
      <c r="A3755" s="1">
        <v>46038</v>
      </c>
      <c r="B3755" t="s">
        <v>8718</v>
      </c>
      <c r="C3755">
        <v>22</v>
      </c>
      <c r="D3755" t="str">
        <f>VLOOKUP(Tabela26[[#This Row],[EMP]],[1]LOJA!$A:$B,2,0)</f>
        <v>GUARÁ</v>
      </c>
      <c r="E3755">
        <v>93</v>
      </c>
      <c r="F3755" t="s">
        <v>3403</v>
      </c>
      <c r="G3755" t="s">
        <v>3402</v>
      </c>
      <c r="H3755" t="s">
        <v>3401</v>
      </c>
      <c r="I3755">
        <v>5405</v>
      </c>
      <c r="J3755" s="3">
        <v>78</v>
      </c>
      <c r="K3755" s="3">
        <v>44.7</v>
      </c>
      <c r="L3755">
        <v>42.69</v>
      </c>
    </row>
    <row r="3756" spans="1:12">
      <c r="A3756" s="1">
        <v>46038</v>
      </c>
      <c r="B3756" t="s">
        <v>8717</v>
      </c>
      <c r="C3756">
        <v>22</v>
      </c>
      <c r="D3756" t="str">
        <f>VLOOKUP(Tabela26[[#This Row],[EMP]],[1]LOJA!$A:$B,2,0)</f>
        <v>GUARÁ</v>
      </c>
      <c r="E3756">
        <v>93</v>
      </c>
      <c r="F3756" t="s">
        <v>3894</v>
      </c>
      <c r="G3756" t="s">
        <v>3893</v>
      </c>
      <c r="H3756" t="s">
        <v>3401</v>
      </c>
      <c r="I3756">
        <v>5102</v>
      </c>
      <c r="J3756" s="3">
        <v>19</v>
      </c>
      <c r="K3756" s="3">
        <v>10.02</v>
      </c>
      <c r="L3756">
        <v>47.26</v>
      </c>
    </row>
    <row r="3757" spans="1:12">
      <c r="A3757" s="1">
        <v>46038</v>
      </c>
      <c r="B3757" t="s">
        <v>8716</v>
      </c>
      <c r="C3757">
        <v>22</v>
      </c>
      <c r="D3757" t="str">
        <f>VLOOKUP(Tabela26[[#This Row],[EMP]],[1]LOJA!$A:$B,2,0)</f>
        <v>GUARÁ</v>
      </c>
      <c r="E3757">
        <v>93</v>
      </c>
      <c r="F3757" t="s">
        <v>3403</v>
      </c>
      <c r="G3757" t="s">
        <v>3402</v>
      </c>
      <c r="H3757" t="s">
        <v>3401</v>
      </c>
      <c r="I3757">
        <v>5102</v>
      </c>
      <c r="J3757" s="3">
        <v>23</v>
      </c>
      <c r="K3757" s="3">
        <v>12.29</v>
      </c>
      <c r="L3757">
        <v>46.57</v>
      </c>
    </row>
    <row r="3758" spans="1:12">
      <c r="A3758" s="1">
        <v>46038</v>
      </c>
      <c r="B3758" t="s">
        <v>8715</v>
      </c>
      <c r="C3758">
        <v>22</v>
      </c>
      <c r="D3758" t="str">
        <f>VLOOKUP(Tabela26[[#This Row],[EMP]],[1]LOJA!$A:$B,2,0)</f>
        <v>GUARÁ</v>
      </c>
      <c r="E3758">
        <v>93</v>
      </c>
      <c r="F3758" t="s">
        <v>3403</v>
      </c>
      <c r="G3758" t="s">
        <v>3402</v>
      </c>
      <c r="H3758" t="s">
        <v>3401</v>
      </c>
      <c r="I3758">
        <v>5102</v>
      </c>
      <c r="J3758" s="3">
        <v>8</v>
      </c>
      <c r="K3758" s="3">
        <v>4.17</v>
      </c>
      <c r="L3758">
        <v>47.88</v>
      </c>
    </row>
    <row r="3759" spans="1:12">
      <c r="A3759" s="1">
        <v>46038</v>
      </c>
      <c r="B3759" t="s">
        <v>8714</v>
      </c>
      <c r="C3759">
        <v>22</v>
      </c>
      <c r="D3759" t="str">
        <f>VLOOKUP(Tabela26[[#This Row],[EMP]],[1]LOJA!$A:$B,2,0)</f>
        <v>GUARÁ</v>
      </c>
      <c r="E3759">
        <v>93</v>
      </c>
      <c r="F3759" t="s">
        <v>4603</v>
      </c>
      <c r="G3759" t="s">
        <v>4602</v>
      </c>
      <c r="H3759" t="s">
        <v>3401</v>
      </c>
      <c r="I3759">
        <v>5405</v>
      </c>
      <c r="J3759" s="3">
        <v>82</v>
      </c>
      <c r="K3759" s="3">
        <v>41.26</v>
      </c>
      <c r="L3759">
        <v>49.68</v>
      </c>
    </row>
    <row r="3760" spans="1:12">
      <c r="A3760" s="1">
        <v>46038</v>
      </c>
      <c r="B3760" t="s">
        <v>8713</v>
      </c>
      <c r="C3760">
        <v>22</v>
      </c>
      <c r="D3760" t="str">
        <f>VLOOKUP(Tabela26[[#This Row],[EMP]],[1]LOJA!$A:$B,2,0)</f>
        <v>GUARÁ</v>
      </c>
      <c r="E3760">
        <v>93</v>
      </c>
      <c r="F3760" t="s">
        <v>3403</v>
      </c>
      <c r="G3760" t="s">
        <v>3402</v>
      </c>
      <c r="H3760" t="s">
        <v>3401</v>
      </c>
      <c r="I3760">
        <v>5102</v>
      </c>
      <c r="J3760" s="3">
        <v>17</v>
      </c>
      <c r="K3760" s="3">
        <v>9.17</v>
      </c>
      <c r="L3760">
        <v>46.06</v>
      </c>
    </row>
    <row r="3761" spans="1:12">
      <c r="A3761" s="1">
        <v>46038</v>
      </c>
      <c r="B3761" t="s">
        <v>8712</v>
      </c>
      <c r="C3761">
        <v>22</v>
      </c>
      <c r="D3761" t="str">
        <f>VLOOKUP(Tabela26[[#This Row],[EMP]],[1]LOJA!$A:$B,2,0)</f>
        <v>GUARÁ</v>
      </c>
      <c r="E3761">
        <v>93</v>
      </c>
      <c r="F3761" t="s">
        <v>3403</v>
      </c>
      <c r="G3761" t="s">
        <v>3402</v>
      </c>
      <c r="H3761" t="s">
        <v>3401</v>
      </c>
      <c r="I3761">
        <v>5102</v>
      </c>
      <c r="J3761" s="3">
        <v>8</v>
      </c>
      <c r="K3761" s="3">
        <v>3.86</v>
      </c>
      <c r="L3761">
        <v>51.75</v>
      </c>
    </row>
    <row r="3762" spans="1:12">
      <c r="A3762" s="1">
        <v>46038</v>
      </c>
      <c r="B3762" t="s">
        <v>8711</v>
      </c>
      <c r="C3762">
        <v>22</v>
      </c>
      <c r="D3762" t="str">
        <f>VLOOKUP(Tabela26[[#This Row],[EMP]],[1]LOJA!$A:$B,2,0)</f>
        <v>GUARÁ</v>
      </c>
      <c r="E3762">
        <v>93</v>
      </c>
      <c r="F3762" t="s">
        <v>3403</v>
      </c>
      <c r="G3762" t="s">
        <v>3402</v>
      </c>
      <c r="H3762" t="s">
        <v>3401</v>
      </c>
      <c r="I3762">
        <v>5102</v>
      </c>
      <c r="J3762" s="3">
        <v>63</v>
      </c>
      <c r="K3762" s="3">
        <v>30.9</v>
      </c>
      <c r="L3762">
        <v>50.95</v>
      </c>
    </row>
    <row r="3763" spans="1:12">
      <c r="A3763" s="1">
        <v>46038</v>
      </c>
      <c r="B3763" t="s">
        <v>8710</v>
      </c>
      <c r="C3763">
        <v>22</v>
      </c>
      <c r="D3763" t="str">
        <f>VLOOKUP(Tabela26[[#This Row],[EMP]],[1]LOJA!$A:$B,2,0)</f>
        <v>GUARÁ</v>
      </c>
      <c r="E3763">
        <v>93</v>
      </c>
      <c r="F3763" t="s">
        <v>8709</v>
      </c>
      <c r="G3763" t="s">
        <v>3402</v>
      </c>
      <c r="H3763" t="s">
        <v>3401</v>
      </c>
      <c r="I3763">
        <v>5102</v>
      </c>
      <c r="J3763" s="3">
        <v>115</v>
      </c>
      <c r="K3763" s="3">
        <v>65.16</v>
      </c>
      <c r="L3763">
        <v>43.34</v>
      </c>
    </row>
    <row r="3764" spans="1:12">
      <c r="A3764" s="1">
        <v>46038</v>
      </c>
      <c r="B3764" t="s">
        <v>8708</v>
      </c>
      <c r="C3764">
        <v>22</v>
      </c>
      <c r="D3764" t="str">
        <f>VLOOKUP(Tabela26[[#This Row],[EMP]],[1]LOJA!$A:$B,2,0)</f>
        <v>GUARÁ</v>
      </c>
      <c r="E3764">
        <v>93</v>
      </c>
      <c r="F3764" t="s">
        <v>5729</v>
      </c>
      <c r="G3764" t="s">
        <v>5728</v>
      </c>
      <c r="H3764" t="s">
        <v>3401</v>
      </c>
      <c r="I3764">
        <v>5102</v>
      </c>
      <c r="J3764" s="3">
        <v>82.79</v>
      </c>
      <c r="K3764" s="3">
        <v>45.82</v>
      </c>
      <c r="L3764">
        <v>44.66</v>
      </c>
    </row>
    <row r="3765" spans="1:12">
      <c r="A3765" s="1">
        <v>46038</v>
      </c>
      <c r="B3765" t="s">
        <v>8707</v>
      </c>
      <c r="C3765">
        <v>22</v>
      </c>
      <c r="D3765" t="str">
        <f>VLOOKUP(Tabela26[[#This Row],[EMP]],[1]LOJA!$A:$B,2,0)</f>
        <v>GUARÁ</v>
      </c>
      <c r="E3765">
        <v>93</v>
      </c>
      <c r="F3765" t="s">
        <v>4603</v>
      </c>
      <c r="G3765" t="s">
        <v>4602</v>
      </c>
      <c r="H3765" t="s">
        <v>3401</v>
      </c>
      <c r="I3765">
        <v>5405</v>
      </c>
      <c r="J3765" s="3">
        <v>33</v>
      </c>
      <c r="K3765" s="3">
        <v>13.95</v>
      </c>
      <c r="L3765">
        <v>57.73</v>
      </c>
    </row>
    <row r="3766" spans="1:12">
      <c r="A3766" s="1">
        <v>46038</v>
      </c>
      <c r="B3766" t="s">
        <v>8706</v>
      </c>
      <c r="C3766">
        <v>4</v>
      </c>
      <c r="D3766" t="str">
        <f>VLOOKUP(Tabela26[[#This Row],[EMP]],[1]LOJA!$A:$B,2,0)</f>
        <v>ADE</v>
      </c>
      <c r="E3766">
        <v>132</v>
      </c>
      <c r="F3766" t="s">
        <v>3403</v>
      </c>
      <c r="G3766" t="s">
        <v>3402</v>
      </c>
      <c r="H3766" t="s">
        <v>3401</v>
      </c>
      <c r="I3766">
        <v>5102</v>
      </c>
      <c r="J3766" s="3">
        <v>95</v>
      </c>
      <c r="K3766" s="3">
        <v>56.47</v>
      </c>
      <c r="L3766">
        <v>40.56</v>
      </c>
    </row>
    <row r="3767" spans="1:12">
      <c r="A3767" s="1">
        <v>46038</v>
      </c>
      <c r="B3767" t="s">
        <v>8705</v>
      </c>
      <c r="C3767">
        <v>4</v>
      </c>
      <c r="D3767" t="str">
        <f>VLOOKUP(Tabela26[[#This Row],[EMP]],[1]LOJA!$A:$B,2,0)</f>
        <v>ADE</v>
      </c>
      <c r="E3767">
        <v>132</v>
      </c>
      <c r="F3767" t="s">
        <v>3403</v>
      </c>
      <c r="G3767" t="s">
        <v>3402</v>
      </c>
      <c r="H3767" t="s">
        <v>3401</v>
      </c>
      <c r="I3767">
        <v>5102</v>
      </c>
      <c r="J3767" s="3">
        <v>136.19999999999999</v>
      </c>
      <c r="K3767" s="3">
        <v>82.59</v>
      </c>
      <c r="L3767">
        <v>39.36</v>
      </c>
    </row>
    <row r="3768" spans="1:12">
      <c r="A3768" s="1">
        <v>46038</v>
      </c>
      <c r="B3768" t="s">
        <v>8704</v>
      </c>
      <c r="C3768">
        <v>4</v>
      </c>
      <c r="D3768" t="str">
        <f>VLOOKUP(Tabela26[[#This Row],[EMP]],[1]LOJA!$A:$B,2,0)</f>
        <v>ADE</v>
      </c>
      <c r="E3768">
        <v>132</v>
      </c>
      <c r="F3768" t="s">
        <v>3403</v>
      </c>
      <c r="G3768" t="s">
        <v>3402</v>
      </c>
      <c r="H3768" t="s">
        <v>3401</v>
      </c>
      <c r="I3768">
        <v>5102</v>
      </c>
      <c r="J3768" s="3">
        <v>24</v>
      </c>
      <c r="K3768" s="3">
        <v>11.63</v>
      </c>
      <c r="L3768">
        <v>51.54</v>
      </c>
    </row>
    <row r="3769" spans="1:12">
      <c r="A3769" s="1">
        <v>46038</v>
      </c>
      <c r="B3769" t="s">
        <v>8703</v>
      </c>
      <c r="C3769">
        <v>4</v>
      </c>
      <c r="D3769" t="str">
        <f>VLOOKUP(Tabela26[[#This Row],[EMP]],[1]LOJA!$A:$B,2,0)</f>
        <v>ADE</v>
      </c>
      <c r="E3769">
        <v>132</v>
      </c>
      <c r="F3769" t="s">
        <v>3403</v>
      </c>
      <c r="G3769" t="s">
        <v>3402</v>
      </c>
      <c r="H3769" t="s">
        <v>3401</v>
      </c>
      <c r="I3769">
        <v>5405</v>
      </c>
      <c r="J3769" s="3">
        <v>245.34</v>
      </c>
      <c r="K3769" s="3">
        <v>140.22</v>
      </c>
      <c r="L3769">
        <v>42.85</v>
      </c>
    </row>
    <row r="3770" spans="1:12">
      <c r="A3770" s="1">
        <v>46038</v>
      </c>
      <c r="B3770" t="s">
        <v>8702</v>
      </c>
      <c r="C3770">
        <v>4</v>
      </c>
      <c r="D3770" t="str">
        <f>VLOOKUP(Tabela26[[#This Row],[EMP]],[1]LOJA!$A:$B,2,0)</f>
        <v>ADE</v>
      </c>
      <c r="E3770">
        <v>132</v>
      </c>
      <c r="F3770" t="s">
        <v>4574</v>
      </c>
      <c r="G3770" t="s">
        <v>4573</v>
      </c>
      <c r="H3770" t="s">
        <v>3408</v>
      </c>
      <c r="I3770">
        <v>5102</v>
      </c>
      <c r="J3770" s="3">
        <v>30</v>
      </c>
      <c r="K3770" s="3">
        <v>19.260000000000002</v>
      </c>
      <c r="L3770">
        <v>35.799999999999997</v>
      </c>
    </row>
    <row r="3771" spans="1:12">
      <c r="A3771" s="1">
        <v>46038</v>
      </c>
      <c r="B3771" t="s">
        <v>8701</v>
      </c>
      <c r="C3771">
        <v>4</v>
      </c>
      <c r="D3771" t="str">
        <f>VLOOKUP(Tabela26[[#This Row],[EMP]],[1]LOJA!$A:$B,2,0)</f>
        <v>ADE</v>
      </c>
      <c r="E3771">
        <v>132</v>
      </c>
      <c r="F3771" t="s">
        <v>8677</v>
      </c>
      <c r="G3771" t="s">
        <v>3402</v>
      </c>
      <c r="H3771" t="s">
        <v>3408</v>
      </c>
      <c r="I3771">
        <v>5102</v>
      </c>
      <c r="J3771" s="3">
        <v>17</v>
      </c>
      <c r="K3771" s="3">
        <v>9.65</v>
      </c>
      <c r="L3771">
        <v>43.24</v>
      </c>
    </row>
    <row r="3772" spans="1:12">
      <c r="A3772" s="1">
        <v>46038</v>
      </c>
      <c r="B3772" t="s">
        <v>8700</v>
      </c>
      <c r="C3772">
        <v>4</v>
      </c>
      <c r="D3772" t="str">
        <f>VLOOKUP(Tabela26[[#This Row],[EMP]],[1]LOJA!$A:$B,2,0)</f>
        <v>ADE</v>
      </c>
      <c r="E3772">
        <v>132</v>
      </c>
      <c r="F3772" t="s">
        <v>6339</v>
      </c>
      <c r="G3772" t="s">
        <v>3402</v>
      </c>
      <c r="H3772" t="s">
        <v>3408</v>
      </c>
      <c r="I3772">
        <v>5405</v>
      </c>
      <c r="J3772" s="3">
        <v>70</v>
      </c>
      <c r="K3772" s="3">
        <v>31.61</v>
      </c>
      <c r="L3772">
        <v>54.84</v>
      </c>
    </row>
    <row r="3773" spans="1:12">
      <c r="A3773" s="1">
        <v>46038</v>
      </c>
      <c r="B3773" t="s">
        <v>8699</v>
      </c>
      <c r="C3773">
        <v>4</v>
      </c>
      <c r="D3773" t="str">
        <f>VLOOKUP(Tabela26[[#This Row],[EMP]],[1]LOJA!$A:$B,2,0)</f>
        <v>ADE</v>
      </c>
      <c r="E3773">
        <v>132</v>
      </c>
      <c r="F3773" t="s">
        <v>5691</v>
      </c>
      <c r="G3773" t="s">
        <v>3402</v>
      </c>
      <c r="H3773" t="s">
        <v>3408</v>
      </c>
      <c r="I3773">
        <v>5405</v>
      </c>
      <c r="J3773" s="3">
        <v>100</v>
      </c>
      <c r="K3773" s="3">
        <v>50.37</v>
      </c>
      <c r="L3773">
        <v>49.63</v>
      </c>
    </row>
    <row r="3774" spans="1:12">
      <c r="A3774" s="1">
        <v>46038</v>
      </c>
      <c r="B3774" t="s">
        <v>8698</v>
      </c>
      <c r="C3774">
        <v>16</v>
      </c>
      <c r="D3774" t="str">
        <f>VLOOKUP(Tabela26[[#This Row],[EMP]],[1]LOJA!$A:$B,2,0)</f>
        <v>AG LINDAS</v>
      </c>
      <c r="E3774">
        <v>240</v>
      </c>
      <c r="F3774" t="s">
        <v>3780</v>
      </c>
      <c r="G3774" t="s">
        <v>3437</v>
      </c>
      <c r="H3774" t="s">
        <v>3401</v>
      </c>
      <c r="I3774">
        <v>5405</v>
      </c>
      <c r="J3774" s="3">
        <v>78</v>
      </c>
      <c r="K3774" s="3">
        <v>37.06</v>
      </c>
      <c r="L3774">
        <v>52.49</v>
      </c>
    </row>
    <row r="3775" spans="1:12">
      <c r="A3775" s="1">
        <v>46038</v>
      </c>
      <c r="B3775" t="s">
        <v>8697</v>
      </c>
      <c r="C3775">
        <v>16</v>
      </c>
      <c r="D3775" t="str">
        <f>VLOOKUP(Tabela26[[#This Row],[EMP]],[1]LOJA!$A:$B,2,0)</f>
        <v>AG LINDAS</v>
      </c>
      <c r="E3775">
        <v>240</v>
      </c>
      <c r="F3775" t="s">
        <v>3780</v>
      </c>
      <c r="G3775" t="s">
        <v>3437</v>
      </c>
      <c r="H3775" t="s">
        <v>3401</v>
      </c>
      <c r="I3775">
        <v>5102</v>
      </c>
      <c r="J3775" s="3">
        <v>32</v>
      </c>
      <c r="K3775" s="3">
        <v>19.260000000000002</v>
      </c>
      <c r="L3775">
        <v>39.81</v>
      </c>
    </row>
    <row r="3776" spans="1:12">
      <c r="A3776" s="1">
        <v>46038</v>
      </c>
      <c r="B3776" t="s">
        <v>8696</v>
      </c>
      <c r="C3776">
        <v>16</v>
      </c>
      <c r="D3776" t="str">
        <f>VLOOKUP(Tabela26[[#This Row],[EMP]],[1]LOJA!$A:$B,2,0)</f>
        <v>AG LINDAS</v>
      </c>
      <c r="E3776">
        <v>240</v>
      </c>
      <c r="F3776" t="s">
        <v>4536</v>
      </c>
      <c r="G3776" t="s">
        <v>3437</v>
      </c>
      <c r="H3776" t="s">
        <v>3401</v>
      </c>
      <c r="I3776">
        <v>5405</v>
      </c>
      <c r="J3776" s="3">
        <v>80</v>
      </c>
      <c r="K3776" s="3">
        <v>45.6</v>
      </c>
      <c r="L3776">
        <v>43</v>
      </c>
    </row>
    <row r="3777" spans="1:12">
      <c r="A3777" s="1">
        <v>46038</v>
      </c>
      <c r="B3777" t="s">
        <v>8695</v>
      </c>
      <c r="C3777">
        <v>16</v>
      </c>
      <c r="D3777" t="str">
        <f>VLOOKUP(Tabela26[[#This Row],[EMP]],[1]LOJA!$A:$B,2,0)</f>
        <v>AG LINDAS</v>
      </c>
      <c r="E3777">
        <v>240</v>
      </c>
      <c r="F3777" t="s">
        <v>3780</v>
      </c>
      <c r="G3777" t="s">
        <v>3437</v>
      </c>
      <c r="H3777" t="s">
        <v>3401</v>
      </c>
      <c r="I3777">
        <v>5102</v>
      </c>
      <c r="J3777" s="3">
        <v>45</v>
      </c>
      <c r="K3777" s="3">
        <v>20.8</v>
      </c>
      <c r="L3777">
        <v>53.78</v>
      </c>
    </row>
    <row r="3778" spans="1:12">
      <c r="A3778" s="1">
        <v>46038</v>
      </c>
      <c r="B3778" t="s">
        <v>8694</v>
      </c>
      <c r="C3778">
        <v>16</v>
      </c>
      <c r="D3778" t="str">
        <f>VLOOKUP(Tabela26[[#This Row],[EMP]],[1]LOJA!$A:$B,2,0)</f>
        <v>AG LINDAS</v>
      </c>
      <c r="E3778">
        <v>240</v>
      </c>
      <c r="F3778" t="s">
        <v>4544</v>
      </c>
      <c r="G3778" t="s">
        <v>3437</v>
      </c>
      <c r="H3778" t="s">
        <v>3401</v>
      </c>
      <c r="I3778">
        <v>5405</v>
      </c>
      <c r="J3778" s="3">
        <v>501.9</v>
      </c>
      <c r="K3778" s="3">
        <v>256.11</v>
      </c>
      <c r="L3778">
        <v>48.97</v>
      </c>
    </row>
    <row r="3779" spans="1:12">
      <c r="A3779" s="1">
        <v>46038</v>
      </c>
      <c r="B3779" t="s">
        <v>8693</v>
      </c>
      <c r="C3779">
        <v>16</v>
      </c>
      <c r="D3779" t="str">
        <f>VLOOKUP(Tabela26[[#This Row],[EMP]],[1]LOJA!$A:$B,2,0)</f>
        <v>AG LINDAS</v>
      </c>
      <c r="E3779">
        <v>240</v>
      </c>
      <c r="F3779" t="s">
        <v>4501</v>
      </c>
      <c r="G3779" t="s">
        <v>3437</v>
      </c>
      <c r="H3779" t="s">
        <v>3401</v>
      </c>
      <c r="I3779">
        <v>5102</v>
      </c>
      <c r="J3779" s="3">
        <v>150.9</v>
      </c>
      <c r="K3779" s="3">
        <v>87.6</v>
      </c>
      <c r="L3779">
        <v>41.95</v>
      </c>
    </row>
    <row r="3780" spans="1:12">
      <c r="A3780" s="1">
        <v>46038</v>
      </c>
      <c r="B3780" t="s">
        <v>8692</v>
      </c>
      <c r="C3780">
        <v>16</v>
      </c>
      <c r="D3780" t="str">
        <f>VLOOKUP(Tabela26[[#This Row],[EMP]],[1]LOJA!$A:$B,2,0)</f>
        <v>AG LINDAS</v>
      </c>
      <c r="E3780">
        <v>240</v>
      </c>
      <c r="F3780" t="s">
        <v>3796</v>
      </c>
      <c r="G3780" t="s">
        <v>3795</v>
      </c>
      <c r="H3780" t="s">
        <v>3408</v>
      </c>
      <c r="I3780">
        <v>5405</v>
      </c>
      <c r="J3780" s="3">
        <v>167.4</v>
      </c>
      <c r="K3780" s="3">
        <v>88.8</v>
      </c>
      <c r="L3780">
        <v>46.95</v>
      </c>
    </row>
    <row r="3781" spans="1:12">
      <c r="A3781" s="1">
        <v>46038</v>
      </c>
      <c r="B3781" t="s">
        <v>8691</v>
      </c>
      <c r="C3781">
        <v>16</v>
      </c>
      <c r="D3781" t="str">
        <f>VLOOKUP(Tabela26[[#This Row],[EMP]],[1]LOJA!$A:$B,2,0)</f>
        <v>AG LINDAS</v>
      </c>
      <c r="E3781">
        <v>240</v>
      </c>
      <c r="F3781" t="s">
        <v>4540</v>
      </c>
      <c r="G3781" t="s">
        <v>3437</v>
      </c>
      <c r="H3781" t="s">
        <v>3401</v>
      </c>
      <c r="I3781">
        <v>5405</v>
      </c>
      <c r="J3781" s="3">
        <v>50</v>
      </c>
      <c r="K3781" s="3">
        <v>23.91</v>
      </c>
      <c r="L3781">
        <v>52.18</v>
      </c>
    </row>
    <row r="3782" spans="1:12">
      <c r="A3782" s="1">
        <v>46038</v>
      </c>
      <c r="B3782" t="s">
        <v>8690</v>
      </c>
      <c r="C3782">
        <v>16</v>
      </c>
      <c r="D3782" t="str">
        <f>VLOOKUP(Tabela26[[#This Row],[EMP]],[1]LOJA!$A:$B,2,0)</f>
        <v>AG LINDAS</v>
      </c>
      <c r="E3782">
        <v>240</v>
      </c>
      <c r="F3782" t="s">
        <v>3799</v>
      </c>
      <c r="G3782" t="s">
        <v>3798</v>
      </c>
      <c r="H3782" t="s">
        <v>3401</v>
      </c>
      <c r="I3782">
        <v>5405</v>
      </c>
      <c r="J3782" s="3">
        <v>130.69999999999999</v>
      </c>
      <c r="K3782" s="3">
        <v>73.72</v>
      </c>
      <c r="L3782">
        <v>43.6</v>
      </c>
    </row>
    <row r="3783" spans="1:12">
      <c r="A3783" s="1">
        <v>46038</v>
      </c>
      <c r="B3783" t="s">
        <v>8689</v>
      </c>
      <c r="C3783">
        <v>16</v>
      </c>
      <c r="D3783" t="str">
        <f>VLOOKUP(Tabela26[[#This Row],[EMP]],[1]LOJA!$A:$B,2,0)</f>
        <v>AG LINDAS</v>
      </c>
      <c r="E3783">
        <v>240</v>
      </c>
      <c r="F3783" t="s">
        <v>3438</v>
      </c>
      <c r="G3783" t="s">
        <v>3437</v>
      </c>
      <c r="H3783" t="s">
        <v>3401</v>
      </c>
      <c r="I3783">
        <v>5405</v>
      </c>
      <c r="J3783" s="3">
        <v>115.8</v>
      </c>
      <c r="K3783" s="3">
        <v>61.1</v>
      </c>
      <c r="L3783">
        <v>47.24</v>
      </c>
    </row>
    <row r="3784" spans="1:12">
      <c r="A3784" s="1">
        <v>46038</v>
      </c>
      <c r="B3784" t="s">
        <v>8688</v>
      </c>
      <c r="C3784">
        <v>16</v>
      </c>
      <c r="D3784" t="str">
        <f>VLOOKUP(Tabela26[[#This Row],[EMP]],[1]LOJA!$A:$B,2,0)</f>
        <v>AG LINDAS</v>
      </c>
      <c r="E3784">
        <v>240</v>
      </c>
      <c r="F3784" t="s">
        <v>3780</v>
      </c>
      <c r="G3784" t="s">
        <v>3437</v>
      </c>
      <c r="H3784" t="s">
        <v>3401</v>
      </c>
      <c r="I3784">
        <v>5102</v>
      </c>
      <c r="J3784" s="3">
        <v>87.94</v>
      </c>
      <c r="K3784" s="3">
        <v>52.68</v>
      </c>
      <c r="L3784">
        <v>40.1</v>
      </c>
    </row>
    <row r="3785" spans="1:12">
      <c r="A3785" s="1">
        <v>46038</v>
      </c>
      <c r="B3785" t="s">
        <v>8687</v>
      </c>
      <c r="C3785">
        <v>16</v>
      </c>
      <c r="D3785" t="str">
        <f>VLOOKUP(Tabela26[[#This Row],[EMP]],[1]LOJA!$A:$B,2,0)</f>
        <v>AG LINDAS</v>
      </c>
      <c r="E3785">
        <v>240</v>
      </c>
      <c r="F3785" t="s">
        <v>8686</v>
      </c>
      <c r="G3785" t="s">
        <v>3437</v>
      </c>
      <c r="H3785" t="s">
        <v>3401</v>
      </c>
      <c r="I3785">
        <v>5102</v>
      </c>
      <c r="J3785" s="3">
        <v>207.42</v>
      </c>
      <c r="K3785" s="3">
        <v>111.87</v>
      </c>
      <c r="L3785">
        <v>46.07</v>
      </c>
    </row>
    <row r="3786" spans="1:12">
      <c r="A3786" s="1">
        <v>46038</v>
      </c>
      <c r="B3786" t="s">
        <v>8685</v>
      </c>
      <c r="C3786">
        <v>16</v>
      </c>
      <c r="D3786" t="str">
        <f>VLOOKUP(Tabela26[[#This Row],[EMP]],[1]LOJA!$A:$B,2,0)</f>
        <v>AG LINDAS</v>
      </c>
      <c r="E3786">
        <v>240</v>
      </c>
      <c r="F3786" t="s">
        <v>3780</v>
      </c>
      <c r="G3786" t="s">
        <v>3437</v>
      </c>
      <c r="H3786" t="s">
        <v>3401</v>
      </c>
      <c r="I3786">
        <v>5102</v>
      </c>
      <c r="J3786" s="3">
        <v>98.73</v>
      </c>
      <c r="K3786" s="3">
        <v>54.35</v>
      </c>
      <c r="L3786">
        <v>44.95</v>
      </c>
    </row>
    <row r="3787" spans="1:12">
      <c r="A3787" s="1">
        <v>46038</v>
      </c>
      <c r="B3787" t="s">
        <v>8684</v>
      </c>
      <c r="C3787">
        <v>16</v>
      </c>
      <c r="D3787" t="str">
        <f>VLOOKUP(Tabela26[[#This Row],[EMP]],[1]LOJA!$A:$B,2,0)</f>
        <v>AG LINDAS</v>
      </c>
      <c r="E3787">
        <v>240</v>
      </c>
      <c r="F3787" t="s">
        <v>3780</v>
      </c>
      <c r="G3787" t="s">
        <v>3437</v>
      </c>
      <c r="H3787" t="s">
        <v>3401</v>
      </c>
      <c r="I3787">
        <v>5102</v>
      </c>
      <c r="J3787" s="3">
        <v>30</v>
      </c>
      <c r="K3787" s="3">
        <v>18.62</v>
      </c>
      <c r="L3787">
        <v>37.93</v>
      </c>
    </row>
    <row r="3788" spans="1:12">
      <c r="A3788" s="1">
        <v>46038</v>
      </c>
      <c r="B3788" t="s">
        <v>8683</v>
      </c>
      <c r="C3788">
        <v>16</v>
      </c>
      <c r="D3788" t="str">
        <f>VLOOKUP(Tabela26[[#This Row],[EMP]],[1]LOJA!$A:$B,2,0)</f>
        <v>AG LINDAS</v>
      </c>
      <c r="E3788">
        <v>240</v>
      </c>
      <c r="F3788" t="s">
        <v>8083</v>
      </c>
      <c r="G3788" t="s">
        <v>8082</v>
      </c>
      <c r="H3788" t="s">
        <v>3401</v>
      </c>
      <c r="I3788">
        <v>5405</v>
      </c>
      <c r="J3788" s="3">
        <v>127.82</v>
      </c>
      <c r="K3788" s="3">
        <v>64.45</v>
      </c>
      <c r="L3788">
        <v>49.58</v>
      </c>
    </row>
    <row r="3789" spans="1:12">
      <c r="A3789" s="1">
        <v>46038</v>
      </c>
      <c r="B3789" t="s">
        <v>8682</v>
      </c>
      <c r="C3789">
        <v>16</v>
      </c>
      <c r="D3789" t="str">
        <f>VLOOKUP(Tabela26[[#This Row],[EMP]],[1]LOJA!$A:$B,2,0)</f>
        <v>AG LINDAS</v>
      </c>
      <c r="E3789">
        <v>240</v>
      </c>
      <c r="F3789" t="s">
        <v>3811</v>
      </c>
      <c r="G3789" t="s">
        <v>3437</v>
      </c>
      <c r="H3789" t="s">
        <v>3401</v>
      </c>
      <c r="I3789">
        <v>5405</v>
      </c>
      <c r="J3789" s="3">
        <v>172.8</v>
      </c>
      <c r="K3789" s="3">
        <v>98.43</v>
      </c>
      <c r="L3789">
        <v>43.04</v>
      </c>
    </row>
    <row r="3790" spans="1:12">
      <c r="A3790" s="1">
        <v>46038</v>
      </c>
      <c r="B3790" t="s">
        <v>8681</v>
      </c>
      <c r="C3790">
        <v>16</v>
      </c>
      <c r="D3790" t="str">
        <f>VLOOKUP(Tabela26[[#This Row],[EMP]],[1]LOJA!$A:$B,2,0)</f>
        <v>AG LINDAS</v>
      </c>
      <c r="E3790">
        <v>240</v>
      </c>
      <c r="F3790" t="s">
        <v>5137</v>
      </c>
      <c r="G3790" t="s">
        <v>3437</v>
      </c>
      <c r="H3790" t="s">
        <v>3401</v>
      </c>
      <c r="I3790">
        <v>5405</v>
      </c>
      <c r="J3790" s="3">
        <v>583.5</v>
      </c>
      <c r="K3790" s="3">
        <v>323.77999999999997</v>
      </c>
      <c r="L3790">
        <v>44.51</v>
      </c>
    </row>
    <row r="3791" spans="1:12">
      <c r="A3791" s="1">
        <v>46038</v>
      </c>
      <c r="B3791" t="s">
        <v>8680</v>
      </c>
      <c r="C3791">
        <v>16</v>
      </c>
      <c r="D3791" t="str">
        <f>VLOOKUP(Tabela26[[#This Row],[EMP]],[1]LOJA!$A:$B,2,0)</f>
        <v>AG LINDAS</v>
      </c>
      <c r="E3791">
        <v>240</v>
      </c>
      <c r="F3791" t="s">
        <v>7674</v>
      </c>
      <c r="G3791" t="s">
        <v>7673</v>
      </c>
      <c r="H3791" t="s">
        <v>3401</v>
      </c>
      <c r="I3791">
        <v>5405</v>
      </c>
      <c r="J3791" s="3">
        <v>165</v>
      </c>
      <c r="K3791" s="3">
        <v>91.53</v>
      </c>
      <c r="L3791">
        <v>44.53</v>
      </c>
    </row>
    <row r="3792" spans="1:12">
      <c r="A3792" s="1">
        <v>46038</v>
      </c>
      <c r="B3792" t="s">
        <v>8679</v>
      </c>
      <c r="C3792">
        <v>16</v>
      </c>
      <c r="D3792" t="str">
        <f>VLOOKUP(Tabela26[[#This Row],[EMP]],[1]LOJA!$A:$B,2,0)</f>
        <v>AG LINDAS</v>
      </c>
      <c r="E3792">
        <v>240</v>
      </c>
      <c r="F3792" t="s">
        <v>4318</v>
      </c>
      <c r="G3792" t="s">
        <v>3437</v>
      </c>
      <c r="H3792" t="s">
        <v>3401</v>
      </c>
      <c r="I3792">
        <v>5405</v>
      </c>
      <c r="J3792" s="3">
        <v>49</v>
      </c>
      <c r="K3792" s="3">
        <v>21.89</v>
      </c>
      <c r="L3792">
        <v>55.33</v>
      </c>
    </row>
    <row r="3793" spans="1:12">
      <c r="A3793" s="1">
        <v>46038</v>
      </c>
      <c r="B3793" t="s">
        <v>8678</v>
      </c>
      <c r="C3793">
        <v>16</v>
      </c>
      <c r="D3793" t="str">
        <f>VLOOKUP(Tabela26[[#This Row],[EMP]],[1]LOJA!$A:$B,2,0)</f>
        <v>AG LINDAS</v>
      </c>
      <c r="E3793">
        <v>240</v>
      </c>
      <c r="F3793" t="s">
        <v>8677</v>
      </c>
      <c r="G3793" t="s">
        <v>3437</v>
      </c>
      <c r="H3793" t="s">
        <v>3401</v>
      </c>
      <c r="I3793">
        <v>5405</v>
      </c>
      <c r="J3793" s="3">
        <v>150</v>
      </c>
      <c r="K3793" s="3">
        <v>84.96</v>
      </c>
      <c r="L3793">
        <v>43.36</v>
      </c>
    </row>
    <row r="3794" spans="1:12">
      <c r="A3794" s="1">
        <v>46038</v>
      </c>
      <c r="B3794" t="s">
        <v>8676</v>
      </c>
      <c r="C3794">
        <v>16</v>
      </c>
      <c r="D3794" t="str">
        <f>VLOOKUP(Tabela26[[#This Row],[EMP]],[1]LOJA!$A:$B,2,0)</f>
        <v>AG LINDAS</v>
      </c>
      <c r="E3794">
        <v>240</v>
      </c>
      <c r="F3794" t="s">
        <v>3780</v>
      </c>
      <c r="G3794" t="s">
        <v>3437</v>
      </c>
      <c r="H3794" t="s">
        <v>3401</v>
      </c>
      <c r="I3794">
        <v>5102</v>
      </c>
      <c r="J3794" s="3">
        <v>12</v>
      </c>
      <c r="K3794" s="3">
        <v>5.3</v>
      </c>
      <c r="L3794">
        <v>55.83</v>
      </c>
    </row>
    <row r="3795" spans="1:12">
      <c r="A3795" s="1">
        <v>46038</v>
      </c>
      <c r="B3795" t="s">
        <v>8675</v>
      </c>
      <c r="C3795">
        <v>16</v>
      </c>
      <c r="D3795" t="str">
        <f>VLOOKUP(Tabela26[[#This Row],[EMP]],[1]LOJA!$A:$B,2,0)</f>
        <v>AG LINDAS</v>
      </c>
      <c r="E3795">
        <v>240</v>
      </c>
      <c r="F3795" t="s">
        <v>5668</v>
      </c>
      <c r="G3795" t="s">
        <v>5667</v>
      </c>
      <c r="H3795" t="s">
        <v>3408</v>
      </c>
      <c r="I3795">
        <v>5405</v>
      </c>
      <c r="J3795" s="3">
        <v>93.8</v>
      </c>
      <c r="K3795" s="3">
        <v>47.07</v>
      </c>
      <c r="L3795">
        <v>49.82</v>
      </c>
    </row>
    <row r="3796" spans="1:12">
      <c r="A3796" s="1">
        <v>46038</v>
      </c>
      <c r="B3796" t="s">
        <v>8674</v>
      </c>
      <c r="C3796">
        <v>16</v>
      </c>
      <c r="D3796" t="str">
        <f>VLOOKUP(Tabela26[[#This Row],[EMP]],[1]LOJA!$A:$B,2,0)</f>
        <v>AG LINDAS</v>
      </c>
      <c r="E3796">
        <v>240</v>
      </c>
      <c r="F3796" t="s">
        <v>4534</v>
      </c>
      <c r="G3796" t="s">
        <v>4533</v>
      </c>
      <c r="H3796" t="s">
        <v>3401</v>
      </c>
      <c r="I3796">
        <v>5102</v>
      </c>
      <c r="J3796" s="3">
        <v>42</v>
      </c>
      <c r="K3796" s="3">
        <v>23.37</v>
      </c>
      <c r="L3796">
        <v>44.36</v>
      </c>
    </row>
    <row r="3797" spans="1:12">
      <c r="A3797" s="1">
        <v>46038</v>
      </c>
      <c r="B3797" t="s">
        <v>8673</v>
      </c>
      <c r="C3797">
        <v>16</v>
      </c>
      <c r="D3797" t="str">
        <f>VLOOKUP(Tabela26[[#This Row],[EMP]],[1]LOJA!$A:$B,2,0)</f>
        <v>AG LINDAS</v>
      </c>
      <c r="E3797">
        <v>240</v>
      </c>
      <c r="F3797" t="s">
        <v>3804</v>
      </c>
      <c r="G3797" t="s">
        <v>3803</v>
      </c>
      <c r="H3797" t="s">
        <v>3401</v>
      </c>
      <c r="I3797">
        <v>5102</v>
      </c>
      <c r="J3797" s="3">
        <v>38</v>
      </c>
      <c r="K3797" s="3">
        <v>22.07</v>
      </c>
      <c r="L3797">
        <v>41.92</v>
      </c>
    </row>
    <row r="3798" spans="1:12">
      <c r="A3798" s="1">
        <v>46038</v>
      </c>
      <c r="B3798" t="s">
        <v>8672</v>
      </c>
      <c r="C3798">
        <v>16</v>
      </c>
      <c r="D3798" t="str">
        <f>VLOOKUP(Tabela26[[#This Row],[EMP]],[1]LOJA!$A:$B,2,0)</f>
        <v>AG LINDAS</v>
      </c>
      <c r="E3798">
        <v>240</v>
      </c>
      <c r="F3798" t="s">
        <v>4511</v>
      </c>
      <c r="G3798" t="s">
        <v>4510</v>
      </c>
      <c r="H3798" t="s">
        <v>3401</v>
      </c>
      <c r="I3798">
        <v>5102</v>
      </c>
      <c r="J3798" s="3">
        <v>143.9</v>
      </c>
      <c r="K3798" s="3">
        <v>84.35</v>
      </c>
      <c r="L3798">
        <v>41.38</v>
      </c>
    </row>
    <row r="3799" spans="1:12">
      <c r="A3799" s="1">
        <v>46038</v>
      </c>
      <c r="B3799" t="s">
        <v>8671</v>
      </c>
      <c r="C3799">
        <v>14</v>
      </c>
      <c r="D3799" t="str">
        <f>VLOOKUP(Tabela26[[#This Row],[EMP]],[1]LOJA!$A:$B,2,0)</f>
        <v>S IA</v>
      </c>
      <c r="E3799">
        <v>212</v>
      </c>
      <c r="F3799" t="s">
        <v>3769</v>
      </c>
      <c r="G3799" t="s">
        <v>3768</v>
      </c>
      <c r="H3799" t="s">
        <v>3408</v>
      </c>
      <c r="I3799">
        <v>5405</v>
      </c>
      <c r="J3799" s="3">
        <v>58.34</v>
      </c>
      <c r="K3799" s="3">
        <v>29.6</v>
      </c>
      <c r="L3799">
        <v>49.26</v>
      </c>
    </row>
    <row r="3800" spans="1:12">
      <c r="A3800" s="1">
        <v>46038</v>
      </c>
      <c r="B3800" t="s">
        <v>8670</v>
      </c>
      <c r="C3800">
        <v>14</v>
      </c>
      <c r="D3800" t="str">
        <f>VLOOKUP(Tabela26[[#This Row],[EMP]],[1]LOJA!$A:$B,2,0)</f>
        <v>S IA</v>
      </c>
      <c r="E3800">
        <v>212</v>
      </c>
      <c r="F3800" t="s">
        <v>3772</v>
      </c>
      <c r="G3800" t="s">
        <v>3771</v>
      </c>
      <c r="H3800" t="s">
        <v>3430</v>
      </c>
      <c r="I3800">
        <v>5405</v>
      </c>
      <c r="J3800" s="3">
        <v>56</v>
      </c>
      <c r="K3800" s="3">
        <v>27.86</v>
      </c>
      <c r="L3800">
        <v>50.25</v>
      </c>
    </row>
    <row r="3801" spans="1:12">
      <c r="A3801" s="1">
        <v>46038</v>
      </c>
      <c r="B3801" t="s">
        <v>8669</v>
      </c>
      <c r="C3801">
        <v>14</v>
      </c>
      <c r="D3801" t="str">
        <f>VLOOKUP(Tabela26[[#This Row],[EMP]],[1]LOJA!$A:$B,2,0)</f>
        <v>S IA</v>
      </c>
      <c r="E3801">
        <v>212</v>
      </c>
      <c r="F3801" t="s">
        <v>4470</v>
      </c>
      <c r="G3801" t="s">
        <v>4469</v>
      </c>
      <c r="H3801" t="s">
        <v>3430</v>
      </c>
      <c r="I3801">
        <v>5405</v>
      </c>
      <c r="J3801" s="3">
        <v>842.9</v>
      </c>
      <c r="K3801" s="3">
        <v>511.98</v>
      </c>
      <c r="L3801">
        <v>39.26</v>
      </c>
    </row>
    <row r="3802" spans="1:12">
      <c r="A3802" s="1">
        <v>46038</v>
      </c>
      <c r="B3802" t="s">
        <v>8668</v>
      </c>
      <c r="C3802">
        <v>14</v>
      </c>
      <c r="D3802" t="str">
        <f>VLOOKUP(Tabela26[[#This Row],[EMP]],[1]LOJA!$A:$B,2,0)</f>
        <v>S IA</v>
      </c>
      <c r="E3802">
        <v>212</v>
      </c>
      <c r="F3802" t="s">
        <v>4470</v>
      </c>
      <c r="G3802" t="s">
        <v>4469</v>
      </c>
      <c r="H3802" t="s">
        <v>3430</v>
      </c>
      <c r="I3802">
        <v>5405</v>
      </c>
      <c r="J3802" s="3">
        <v>67.8</v>
      </c>
      <c r="K3802" s="3">
        <v>36.659999999999997</v>
      </c>
      <c r="L3802">
        <v>45.93</v>
      </c>
    </row>
    <row r="3803" spans="1:12">
      <c r="A3803" s="1">
        <v>46038</v>
      </c>
      <c r="B3803" t="s">
        <v>8667</v>
      </c>
      <c r="C3803">
        <v>14</v>
      </c>
      <c r="D3803" t="str">
        <f>VLOOKUP(Tabela26[[#This Row],[EMP]],[1]LOJA!$A:$B,2,0)</f>
        <v>S IA</v>
      </c>
      <c r="E3803">
        <v>54</v>
      </c>
      <c r="F3803" t="s">
        <v>4666</v>
      </c>
      <c r="G3803" t="s">
        <v>4665</v>
      </c>
      <c r="H3803" t="s">
        <v>3408</v>
      </c>
      <c r="I3803">
        <v>5405</v>
      </c>
      <c r="J3803" s="3">
        <v>50</v>
      </c>
      <c r="K3803" s="3">
        <v>19.559999999999999</v>
      </c>
      <c r="L3803">
        <v>60.88</v>
      </c>
    </row>
    <row r="3804" spans="1:12">
      <c r="A3804" s="1">
        <v>46038</v>
      </c>
      <c r="B3804" t="s">
        <v>8666</v>
      </c>
      <c r="C3804">
        <v>14</v>
      </c>
      <c r="D3804" t="str">
        <f>VLOOKUP(Tabela26[[#This Row],[EMP]],[1]LOJA!$A:$B,2,0)</f>
        <v>S IA</v>
      </c>
      <c r="E3804">
        <v>212</v>
      </c>
      <c r="F3804" t="s">
        <v>8665</v>
      </c>
      <c r="G3804" t="s">
        <v>8664</v>
      </c>
      <c r="H3804" t="s">
        <v>3401</v>
      </c>
      <c r="I3804">
        <v>5405</v>
      </c>
      <c r="J3804" s="3">
        <v>347</v>
      </c>
      <c r="K3804" s="3">
        <v>165.02</v>
      </c>
      <c r="L3804">
        <v>52.44</v>
      </c>
    </row>
    <row r="3805" spans="1:12">
      <c r="A3805" s="1">
        <v>46038</v>
      </c>
      <c r="B3805" t="s">
        <v>8663</v>
      </c>
      <c r="C3805">
        <v>14</v>
      </c>
      <c r="D3805" t="str">
        <f>VLOOKUP(Tabela26[[#This Row],[EMP]],[1]LOJA!$A:$B,2,0)</f>
        <v>S IA</v>
      </c>
      <c r="E3805">
        <v>212</v>
      </c>
      <c r="F3805" t="s">
        <v>8662</v>
      </c>
      <c r="G3805" t="s">
        <v>8661</v>
      </c>
      <c r="H3805" t="s">
        <v>3408</v>
      </c>
      <c r="I3805">
        <v>5405</v>
      </c>
      <c r="J3805" s="3">
        <v>350</v>
      </c>
      <c r="K3805" s="3">
        <v>177.99</v>
      </c>
      <c r="L3805">
        <v>49.15</v>
      </c>
    </row>
    <row r="3806" spans="1:12">
      <c r="A3806" s="1">
        <v>46038</v>
      </c>
      <c r="B3806" t="s">
        <v>8660</v>
      </c>
      <c r="C3806">
        <v>14</v>
      </c>
      <c r="D3806" t="str">
        <f>VLOOKUP(Tabela26[[#This Row],[EMP]],[1]LOJA!$A:$B,2,0)</f>
        <v>S IA</v>
      </c>
      <c r="E3806">
        <v>212</v>
      </c>
      <c r="F3806" t="s">
        <v>8659</v>
      </c>
      <c r="G3806" t="s">
        <v>8658</v>
      </c>
      <c r="H3806" t="s">
        <v>3430</v>
      </c>
      <c r="I3806">
        <v>5405</v>
      </c>
      <c r="J3806" s="3">
        <v>1660</v>
      </c>
      <c r="K3806" s="3">
        <v>743.65</v>
      </c>
      <c r="L3806">
        <v>55.2</v>
      </c>
    </row>
    <row r="3807" spans="1:12">
      <c r="A3807" s="1">
        <v>46038</v>
      </c>
      <c r="B3807" t="s">
        <v>8657</v>
      </c>
      <c r="C3807">
        <v>14</v>
      </c>
      <c r="D3807" t="str">
        <f>VLOOKUP(Tabela26[[#This Row],[EMP]],[1]LOJA!$A:$B,2,0)</f>
        <v>S IA</v>
      </c>
      <c r="E3807">
        <v>212</v>
      </c>
      <c r="F3807" t="s">
        <v>3778</v>
      </c>
      <c r="G3807" t="s">
        <v>3777</v>
      </c>
      <c r="H3807" t="s">
        <v>3408</v>
      </c>
      <c r="I3807">
        <v>5405</v>
      </c>
      <c r="J3807" s="3">
        <v>42.03</v>
      </c>
      <c r="K3807" s="3">
        <v>20.71</v>
      </c>
      <c r="L3807">
        <v>50.73</v>
      </c>
    </row>
    <row r="3808" spans="1:12">
      <c r="A3808" s="1">
        <v>46038</v>
      </c>
      <c r="B3808" t="s">
        <v>8656</v>
      </c>
      <c r="C3808">
        <v>14</v>
      </c>
      <c r="D3808" t="str">
        <f>VLOOKUP(Tabela26[[#This Row],[EMP]],[1]LOJA!$A:$B,2,0)</f>
        <v>S IA</v>
      </c>
      <c r="E3808">
        <v>54</v>
      </c>
      <c r="F3808" t="s">
        <v>8655</v>
      </c>
      <c r="G3808" t="s">
        <v>8654</v>
      </c>
      <c r="H3808" t="s">
        <v>3401</v>
      </c>
      <c r="I3808">
        <v>5405</v>
      </c>
      <c r="J3808" s="3">
        <v>177</v>
      </c>
      <c r="K3808" s="3">
        <v>91.27</v>
      </c>
      <c r="L3808">
        <v>48.44</v>
      </c>
    </row>
    <row r="3809" spans="1:12">
      <c r="A3809" s="1">
        <v>46038</v>
      </c>
      <c r="B3809" t="s">
        <v>8653</v>
      </c>
      <c r="C3809">
        <v>14</v>
      </c>
      <c r="D3809" t="str">
        <f>VLOOKUP(Tabela26[[#This Row],[EMP]],[1]LOJA!$A:$B,2,0)</f>
        <v>S IA</v>
      </c>
      <c r="E3809">
        <v>54</v>
      </c>
      <c r="F3809" t="s">
        <v>5089</v>
      </c>
      <c r="G3809" t="s">
        <v>5088</v>
      </c>
      <c r="H3809" t="s">
        <v>3430</v>
      </c>
      <c r="I3809">
        <v>5405</v>
      </c>
      <c r="J3809" s="3">
        <v>82.03</v>
      </c>
      <c r="K3809" s="3">
        <v>35.799999999999997</v>
      </c>
      <c r="L3809">
        <v>56.36</v>
      </c>
    </row>
    <row r="3810" spans="1:12">
      <c r="A3810" s="1">
        <v>46038</v>
      </c>
      <c r="B3810" t="s">
        <v>8652</v>
      </c>
      <c r="C3810">
        <v>14</v>
      </c>
      <c r="D3810" t="str">
        <f>VLOOKUP(Tabela26[[#This Row],[EMP]],[1]LOJA!$A:$B,2,0)</f>
        <v>S IA</v>
      </c>
      <c r="E3810">
        <v>54</v>
      </c>
      <c r="F3810" t="s">
        <v>5339</v>
      </c>
      <c r="G3810" t="s">
        <v>5338</v>
      </c>
      <c r="H3810" t="s">
        <v>3401</v>
      </c>
      <c r="I3810">
        <v>1202</v>
      </c>
      <c r="J3810" s="3">
        <v>-50</v>
      </c>
      <c r="K3810" s="3">
        <v>-25.46</v>
      </c>
      <c r="L3810">
        <v>49.08</v>
      </c>
    </row>
    <row r="3811" spans="1:12">
      <c r="A3811" s="1">
        <v>46038</v>
      </c>
      <c r="B3811" t="s">
        <v>8651</v>
      </c>
      <c r="C3811">
        <v>14</v>
      </c>
      <c r="D3811" t="str">
        <f>VLOOKUP(Tabela26[[#This Row],[EMP]],[1]LOJA!$A:$B,2,0)</f>
        <v>S IA</v>
      </c>
      <c r="E3811">
        <v>212</v>
      </c>
      <c r="F3811" t="s">
        <v>6295</v>
      </c>
      <c r="G3811" t="s">
        <v>6294</v>
      </c>
      <c r="H3811" t="s">
        <v>3430</v>
      </c>
      <c r="I3811">
        <v>5102</v>
      </c>
      <c r="J3811" s="3">
        <v>119.16</v>
      </c>
      <c r="K3811" s="3">
        <v>62.18</v>
      </c>
      <c r="L3811">
        <v>47.82</v>
      </c>
    </row>
    <row r="3812" spans="1:12">
      <c r="A3812" s="1">
        <v>46038</v>
      </c>
      <c r="B3812" t="s">
        <v>8650</v>
      </c>
      <c r="C3812">
        <v>14</v>
      </c>
      <c r="D3812" t="str">
        <f>VLOOKUP(Tabela26[[#This Row],[EMP]],[1]LOJA!$A:$B,2,0)</f>
        <v>S IA</v>
      </c>
      <c r="E3812">
        <v>212</v>
      </c>
      <c r="F3812" t="s">
        <v>7639</v>
      </c>
      <c r="G3812" t="s">
        <v>7638</v>
      </c>
      <c r="H3812" t="s">
        <v>3408</v>
      </c>
      <c r="I3812">
        <v>5405</v>
      </c>
      <c r="J3812" s="3">
        <v>53.9</v>
      </c>
      <c r="K3812" s="3">
        <v>26.32</v>
      </c>
      <c r="L3812">
        <v>51.17</v>
      </c>
    </row>
    <row r="3813" spans="1:12">
      <c r="A3813" s="1">
        <v>46038</v>
      </c>
      <c r="B3813" t="s">
        <v>8649</v>
      </c>
      <c r="C3813">
        <v>14</v>
      </c>
      <c r="D3813" t="str">
        <f>VLOOKUP(Tabela26[[#This Row],[EMP]],[1]LOJA!$A:$B,2,0)</f>
        <v>S IA</v>
      </c>
      <c r="E3813">
        <v>212</v>
      </c>
      <c r="F3813" t="s">
        <v>7639</v>
      </c>
      <c r="G3813" t="s">
        <v>7638</v>
      </c>
      <c r="H3813" t="s">
        <v>3408</v>
      </c>
      <c r="I3813">
        <v>5102</v>
      </c>
      <c r="J3813" s="3">
        <v>410.58</v>
      </c>
      <c r="K3813" s="3">
        <v>224.2</v>
      </c>
      <c r="L3813">
        <v>45.39</v>
      </c>
    </row>
    <row r="3814" spans="1:12">
      <c r="A3814" s="1">
        <v>46038</v>
      </c>
      <c r="B3814" t="s">
        <v>8648</v>
      </c>
      <c r="C3814">
        <v>14</v>
      </c>
      <c r="D3814" t="str">
        <f>VLOOKUP(Tabela26[[#This Row],[EMP]],[1]LOJA!$A:$B,2,0)</f>
        <v>S IA</v>
      </c>
      <c r="E3814">
        <v>54</v>
      </c>
      <c r="F3814" t="s">
        <v>8647</v>
      </c>
      <c r="G3814" t="s">
        <v>8646</v>
      </c>
      <c r="H3814" t="s">
        <v>3408</v>
      </c>
      <c r="I3814">
        <v>5405</v>
      </c>
      <c r="J3814" s="3">
        <v>46</v>
      </c>
      <c r="K3814" s="3">
        <v>16.97</v>
      </c>
      <c r="L3814">
        <v>63.11</v>
      </c>
    </row>
    <row r="3815" spans="1:12">
      <c r="A3815" s="1">
        <v>46038</v>
      </c>
      <c r="B3815" t="s">
        <v>8645</v>
      </c>
      <c r="C3815">
        <v>14</v>
      </c>
      <c r="D3815" t="str">
        <f>VLOOKUP(Tabela26[[#This Row],[EMP]],[1]LOJA!$A:$B,2,0)</f>
        <v>S IA</v>
      </c>
      <c r="E3815">
        <v>212</v>
      </c>
      <c r="F3815" t="s">
        <v>8644</v>
      </c>
      <c r="G3815" t="s">
        <v>8643</v>
      </c>
      <c r="H3815" t="s">
        <v>3408</v>
      </c>
      <c r="I3815">
        <v>5405</v>
      </c>
      <c r="J3815" s="3">
        <v>96</v>
      </c>
      <c r="K3815" s="3">
        <v>37.94</v>
      </c>
      <c r="L3815">
        <v>60.48</v>
      </c>
    </row>
    <row r="3816" spans="1:12">
      <c r="A3816" s="1">
        <v>46038</v>
      </c>
      <c r="B3816" t="s">
        <v>8642</v>
      </c>
      <c r="C3816">
        <v>14</v>
      </c>
      <c r="D3816" t="str">
        <f>VLOOKUP(Tabela26[[#This Row],[EMP]],[1]LOJA!$A:$B,2,0)</f>
        <v>S IA</v>
      </c>
      <c r="E3816">
        <v>54</v>
      </c>
      <c r="F3816" t="s">
        <v>3775</v>
      </c>
      <c r="G3816" t="s">
        <v>3774</v>
      </c>
      <c r="H3816" t="s">
        <v>3430</v>
      </c>
      <c r="I3816">
        <v>5102</v>
      </c>
      <c r="J3816" s="3">
        <v>317.87</v>
      </c>
      <c r="K3816" s="3">
        <v>153.25</v>
      </c>
      <c r="L3816">
        <v>51.79</v>
      </c>
    </row>
    <row r="3817" spans="1:12">
      <c r="A3817" s="1">
        <v>46038</v>
      </c>
      <c r="B3817" t="s">
        <v>8641</v>
      </c>
      <c r="C3817">
        <v>12</v>
      </c>
      <c r="D3817" t="str">
        <f>VLOOKUP(Tabela26[[#This Row],[EMP]],[1]LOJA!$A:$B,2,0)</f>
        <v>SOFNORTE</v>
      </c>
      <c r="E3817">
        <v>60</v>
      </c>
      <c r="F3817" t="s">
        <v>3403</v>
      </c>
      <c r="G3817" t="s">
        <v>3402</v>
      </c>
      <c r="H3817" t="s">
        <v>3401</v>
      </c>
      <c r="I3817">
        <v>5102</v>
      </c>
      <c r="J3817" s="3">
        <v>49</v>
      </c>
      <c r="K3817" s="3">
        <v>16.97</v>
      </c>
      <c r="L3817">
        <v>65.37</v>
      </c>
    </row>
    <row r="3818" spans="1:12">
      <c r="A3818" s="1">
        <v>46038</v>
      </c>
      <c r="B3818" t="s">
        <v>8640</v>
      </c>
      <c r="C3818">
        <v>12</v>
      </c>
      <c r="D3818" t="str">
        <f>VLOOKUP(Tabela26[[#This Row],[EMP]],[1]LOJA!$A:$B,2,0)</f>
        <v>SOFNORTE</v>
      </c>
      <c r="E3818">
        <v>60</v>
      </c>
      <c r="F3818" t="s">
        <v>3737</v>
      </c>
      <c r="G3818" t="s">
        <v>3736</v>
      </c>
      <c r="H3818" t="s">
        <v>3520</v>
      </c>
      <c r="I3818">
        <v>5102</v>
      </c>
      <c r="J3818" s="3">
        <v>45</v>
      </c>
      <c r="K3818" s="3">
        <v>22.9</v>
      </c>
      <c r="L3818">
        <v>49.11</v>
      </c>
    </row>
    <row r="3819" spans="1:12">
      <c r="A3819" s="1">
        <v>46038</v>
      </c>
      <c r="B3819" t="s">
        <v>8639</v>
      </c>
      <c r="C3819">
        <v>12</v>
      </c>
      <c r="D3819" t="str">
        <f>VLOOKUP(Tabela26[[#This Row],[EMP]],[1]LOJA!$A:$B,2,0)</f>
        <v>SOFNORTE</v>
      </c>
      <c r="E3819">
        <v>60</v>
      </c>
      <c r="F3819" t="s">
        <v>4446</v>
      </c>
      <c r="G3819" t="s">
        <v>4445</v>
      </c>
      <c r="H3819" t="s">
        <v>3401</v>
      </c>
      <c r="I3819">
        <v>5405</v>
      </c>
      <c r="J3819" s="3">
        <v>260</v>
      </c>
      <c r="K3819" s="3">
        <v>126.44</v>
      </c>
      <c r="L3819">
        <v>51.37</v>
      </c>
    </row>
    <row r="3820" spans="1:12">
      <c r="A3820" s="1">
        <v>46038</v>
      </c>
      <c r="B3820" t="s">
        <v>8638</v>
      </c>
      <c r="C3820">
        <v>12</v>
      </c>
      <c r="D3820" t="str">
        <f>VLOOKUP(Tabela26[[#This Row],[EMP]],[1]LOJA!$A:$B,2,0)</f>
        <v>SOFNORTE</v>
      </c>
      <c r="E3820">
        <v>239</v>
      </c>
      <c r="F3820" t="s">
        <v>3701</v>
      </c>
      <c r="G3820" t="s">
        <v>3700</v>
      </c>
      <c r="H3820" t="s">
        <v>3401</v>
      </c>
      <c r="I3820">
        <v>5102</v>
      </c>
      <c r="J3820" s="3">
        <v>18</v>
      </c>
      <c r="K3820" s="3">
        <v>9.17</v>
      </c>
      <c r="L3820">
        <v>49.06</v>
      </c>
    </row>
    <row r="3821" spans="1:12">
      <c r="A3821" s="1">
        <v>46038</v>
      </c>
      <c r="B3821" t="s">
        <v>8637</v>
      </c>
      <c r="C3821">
        <v>12</v>
      </c>
      <c r="D3821" t="str">
        <f>VLOOKUP(Tabela26[[#This Row],[EMP]],[1]LOJA!$A:$B,2,0)</f>
        <v>SOFNORTE</v>
      </c>
      <c r="E3821">
        <v>60</v>
      </c>
      <c r="F3821" t="s">
        <v>3694</v>
      </c>
      <c r="G3821" t="s">
        <v>3693</v>
      </c>
      <c r="H3821" t="s">
        <v>3520</v>
      </c>
      <c r="I3821">
        <v>5102</v>
      </c>
      <c r="J3821" s="3">
        <v>92</v>
      </c>
      <c r="K3821" s="3">
        <v>45.19</v>
      </c>
      <c r="L3821">
        <v>50.88</v>
      </c>
    </row>
    <row r="3822" spans="1:12">
      <c r="A3822" s="1">
        <v>46038</v>
      </c>
      <c r="B3822" t="s">
        <v>8636</v>
      </c>
      <c r="C3822">
        <v>12</v>
      </c>
      <c r="D3822" t="str">
        <f>VLOOKUP(Tabela26[[#This Row],[EMP]],[1]LOJA!$A:$B,2,0)</f>
        <v>SOFNORTE</v>
      </c>
      <c r="E3822">
        <v>60</v>
      </c>
      <c r="F3822" t="s">
        <v>3704</v>
      </c>
      <c r="G3822" t="s">
        <v>3703</v>
      </c>
      <c r="H3822" t="s">
        <v>3408</v>
      </c>
      <c r="I3822">
        <v>5405</v>
      </c>
      <c r="J3822" s="3">
        <v>112</v>
      </c>
      <c r="K3822" s="3">
        <v>52.6</v>
      </c>
      <c r="L3822">
        <v>53.04</v>
      </c>
    </row>
    <row r="3823" spans="1:12">
      <c r="A3823" s="1">
        <v>46038</v>
      </c>
      <c r="B3823" t="s">
        <v>8635</v>
      </c>
      <c r="C3823">
        <v>12</v>
      </c>
      <c r="D3823" t="str">
        <f>VLOOKUP(Tabela26[[#This Row],[EMP]],[1]LOJA!$A:$B,2,0)</f>
        <v>SOFNORTE</v>
      </c>
      <c r="E3823">
        <v>60</v>
      </c>
      <c r="F3823" t="s">
        <v>8634</v>
      </c>
      <c r="G3823" t="s">
        <v>3402</v>
      </c>
      <c r="H3823" t="s">
        <v>3401</v>
      </c>
      <c r="I3823">
        <v>5102</v>
      </c>
      <c r="J3823" s="3">
        <v>48</v>
      </c>
      <c r="K3823" s="3">
        <v>19.600000000000001</v>
      </c>
      <c r="L3823">
        <v>59.17</v>
      </c>
    </row>
    <row r="3824" spans="1:12">
      <c r="A3824" s="1">
        <v>46038</v>
      </c>
      <c r="B3824" t="s">
        <v>8633</v>
      </c>
      <c r="C3824">
        <v>12</v>
      </c>
      <c r="D3824" t="str">
        <f>VLOOKUP(Tabela26[[#This Row],[EMP]],[1]LOJA!$A:$B,2,0)</f>
        <v>SOFNORTE</v>
      </c>
      <c r="E3824">
        <v>60</v>
      </c>
      <c r="F3824" t="s">
        <v>3737</v>
      </c>
      <c r="G3824" t="s">
        <v>3736</v>
      </c>
      <c r="H3824" t="s">
        <v>3520</v>
      </c>
      <c r="I3824">
        <v>5405</v>
      </c>
      <c r="J3824" s="3">
        <v>111</v>
      </c>
      <c r="K3824" s="3">
        <v>52.95</v>
      </c>
      <c r="L3824">
        <v>52.3</v>
      </c>
    </row>
    <row r="3825" spans="1:12">
      <c r="A3825" s="1">
        <v>46038</v>
      </c>
      <c r="B3825" t="s">
        <v>8632</v>
      </c>
      <c r="C3825">
        <v>12</v>
      </c>
      <c r="D3825" t="str">
        <f>VLOOKUP(Tabela26[[#This Row],[EMP]],[1]LOJA!$A:$B,2,0)</f>
        <v>SOFNORTE</v>
      </c>
      <c r="E3825">
        <v>60</v>
      </c>
      <c r="F3825" t="s">
        <v>3715</v>
      </c>
      <c r="G3825" t="s">
        <v>3714</v>
      </c>
      <c r="H3825" t="s">
        <v>3408</v>
      </c>
      <c r="I3825">
        <v>5405</v>
      </c>
      <c r="J3825" s="3">
        <v>165</v>
      </c>
      <c r="K3825" s="3">
        <v>81.97</v>
      </c>
      <c r="L3825">
        <v>50.32</v>
      </c>
    </row>
    <row r="3826" spans="1:12">
      <c r="A3826" s="1">
        <v>46038</v>
      </c>
      <c r="B3826" t="s">
        <v>8631</v>
      </c>
      <c r="C3826">
        <v>12</v>
      </c>
      <c r="D3826" t="str">
        <f>VLOOKUP(Tabela26[[#This Row],[EMP]],[1]LOJA!$A:$B,2,0)</f>
        <v>SOFNORTE</v>
      </c>
      <c r="E3826">
        <v>60</v>
      </c>
      <c r="F3826" t="s">
        <v>3706</v>
      </c>
      <c r="G3826" t="s">
        <v>3402</v>
      </c>
      <c r="H3826" t="s">
        <v>3408</v>
      </c>
      <c r="I3826">
        <v>5405</v>
      </c>
      <c r="J3826" s="3">
        <v>146</v>
      </c>
      <c r="K3826" s="3">
        <v>72.150000000000006</v>
      </c>
      <c r="L3826">
        <v>50.58</v>
      </c>
    </row>
    <row r="3827" spans="1:12">
      <c r="A3827" s="1">
        <v>46038</v>
      </c>
      <c r="B3827" t="s">
        <v>8630</v>
      </c>
      <c r="C3827">
        <v>12</v>
      </c>
      <c r="D3827" t="str">
        <f>VLOOKUP(Tabela26[[#This Row],[EMP]],[1]LOJA!$A:$B,2,0)</f>
        <v>SOFNORTE</v>
      </c>
      <c r="E3827">
        <v>60</v>
      </c>
      <c r="F3827" t="s">
        <v>3704</v>
      </c>
      <c r="G3827" t="s">
        <v>3703</v>
      </c>
      <c r="H3827" t="s">
        <v>3408</v>
      </c>
      <c r="I3827">
        <v>5102</v>
      </c>
      <c r="J3827" s="3">
        <v>83</v>
      </c>
      <c r="K3827" s="3">
        <v>47.38</v>
      </c>
      <c r="L3827">
        <v>42.92</v>
      </c>
    </row>
    <row r="3828" spans="1:12">
      <c r="A3828" s="1">
        <v>46038</v>
      </c>
      <c r="B3828" t="s">
        <v>8629</v>
      </c>
      <c r="C3828">
        <v>12</v>
      </c>
      <c r="D3828" t="str">
        <f>VLOOKUP(Tabela26[[#This Row],[EMP]],[1]LOJA!$A:$B,2,0)</f>
        <v>SOFNORTE</v>
      </c>
      <c r="E3828">
        <v>239</v>
      </c>
      <c r="F3828" t="s">
        <v>3403</v>
      </c>
      <c r="G3828" t="s">
        <v>3402</v>
      </c>
      <c r="H3828" t="s">
        <v>3401</v>
      </c>
      <c r="I3828">
        <v>5102</v>
      </c>
      <c r="J3828" s="3">
        <v>81</v>
      </c>
      <c r="K3828" s="3">
        <v>42.2</v>
      </c>
      <c r="L3828">
        <v>47.9</v>
      </c>
    </row>
    <row r="3829" spans="1:12">
      <c r="A3829" s="1">
        <v>46038</v>
      </c>
      <c r="B3829" t="s">
        <v>8628</v>
      </c>
      <c r="C3829">
        <v>12</v>
      </c>
      <c r="D3829" t="str">
        <f>VLOOKUP(Tabela26[[#This Row],[EMP]],[1]LOJA!$A:$B,2,0)</f>
        <v>SOFNORTE</v>
      </c>
      <c r="E3829">
        <v>60</v>
      </c>
      <c r="F3829" t="s">
        <v>3698</v>
      </c>
      <c r="G3829" t="s">
        <v>3697</v>
      </c>
      <c r="H3829" t="s">
        <v>3401</v>
      </c>
      <c r="I3829">
        <v>5405</v>
      </c>
      <c r="J3829" s="3">
        <v>148</v>
      </c>
      <c r="K3829" s="3">
        <v>68.19</v>
      </c>
      <c r="L3829">
        <v>53.93</v>
      </c>
    </row>
    <row r="3830" spans="1:12">
      <c r="A3830" s="1">
        <v>46038</v>
      </c>
      <c r="B3830" t="s">
        <v>8627</v>
      </c>
      <c r="C3830">
        <v>12</v>
      </c>
      <c r="D3830" t="str">
        <f>VLOOKUP(Tabela26[[#This Row],[EMP]],[1]LOJA!$A:$B,2,0)</f>
        <v>SOFNORTE</v>
      </c>
      <c r="E3830">
        <v>239</v>
      </c>
      <c r="F3830" t="s">
        <v>3715</v>
      </c>
      <c r="G3830" t="s">
        <v>3714</v>
      </c>
      <c r="H3830" t="s">
        <v>3401</v>
      </c>
      <c r="I3830">
        <v>5405</v>
      </c>
      <c r="J3830" s="3">
        <v>56</v>
      </c>
      <c r="K3830" s="3">
        <v>26.53</v>
      </c>
      <c r="L3830">
        <v>52.63</v>
      </c>
    </row>
    <row r="3831" spans="1:12">
      <c r="A3831" s="1">
        <v>46038</v>
      </c>
      <c r="B3831" t="s">
        <v>8626</v>
      </c>
      <c r="C3831">
        <v>14</v>
      </c>
      <c r="D3831" t="str">
        <f>VLOOKUP(Tabela26[[#This Row],[EMP]],[1]LOJA!$A:$B,2,0)</f>
        <v>S IA</v>
      </c>
      <c r="E3831">
        <v>54</v>
      </c>
      <c r="F3831" t="s">
        <v>8625</v>
      </c>
      <c r="G3831" t="s">
        <v>8624</v>
      </c>
      <c r="H3831" t="s">
        <v>3401</v>
      </c>
      <c r="I3831">
        <v>5405</v>
      </c>
      <c r="J3831" s="3">
        <v>102.67</v>
      </c>
      <c r="K3831" s="3">
        <v>57.83</v>
      </c>
      <c r="L3831">
        <v>43.67</v>
      </c>
    </row>
    <row r="3832" spans="1:12">
      <c r="A3832" s="1">
        <v>46038</v>
      </c>
      <c r="B3832" t="s">
        <v>8623</v>
      </c>
      <c r="C3832">
        <v>14</v>
      </c>
      <c r="D3832" t="str">
        <f>VLOOKUP(Tabela26[[#This Row],[EMP]],[1]LOJA!$A:$B,2,0)</f>
        <v>S IA</v>
      </c>
      <c r="E3832">
        <v>212</v>
      </c>
      <c r="F3832" t="s">
        <v>8622</v>
      </c>
      <c r="G3832" t="s">
        <v>3402</v>
      </c>
      <c r="H3832" t="s">
        <v>3408</v>
      </c>
      <c r="I3832">
        <v>5405</v>
      </c>
      <c r="J3832" s="3">
        <v>138.86000000000001</v>
      </c>
      <c r="K3832" s="3">
        <v>69.459999999999994</v>
      </c>
      <c r="L3832">
        <v>49.98</v>
      </c>
    </row>
    <row r="3833" spans="1:12">
      <c r="A3833" s="1">
        <v>46038</v>
      </c>
      <c r="B3833" t="s">
        <v>8621</v>
      </c>
      <c r="C3833">
        <v>14</v>
      </c>
      <c r="D3833" t="str">
        <f>VLOOKUP(Tabela26[[#This Row],[EMP]],[1]LOJA!$A:$B,2,0)</f>
        <v>S IA</v>
      </c>
      <c r="E3833">
        <v>54</v>
      </c>
      <c r="F3833" t="s">
        <v>5592</v>
      </c>
      <c r="G3833" t="s">
        <v>5591</v>
      </c>
      <c r="H3833" t="s">
        <v>3401</v>
      </c>
      <c r="I3833">
        <v>5102</v>
      </c>
      <c r="J3833" s="3">
        <v>9</v>
      </c>
      <c r="K3833" s="3">
        <v>4.16</v>
      </c>
      <c r="L3833">
        <v>53.78</v>
      </c>
    </row>
    <row r="3834" spans="1:12">
      <c r="A3834" s="1">
        <v>46038</v>
      </c>
      <c r="B3834" t="s">
        <v>8620</v>
      </c>
      <c r="C3834">
        <v>14</v>
      </c>
      <c r="D3834" t="str">
        <f>VLOOKUP(Tabela26[[#This Row],[EMP]],[1]LOJA!$A:$B,2,0)</f>
        <v>S IA</v>
      </c>
      <c r="E3834">
        <v>212</v>
      </c>
      <c r="F3834" t="s">
        <v>3403</v>
      </c>
      <c r="G3834" t="s">
        <v>3402</v>
      </c>
      <c r="H3834" t="s">
        <v>3401</v>
      </c>
      <c r="I3834">
        <v>5102</v>
      </c>
      <c r="J3834" s="3">
        <v>20</v>
      </c>
      <c r="K3834" s="3">
        <v>7.2</v>
      </c>
      <c r="L3834">
        <v>64</v>
      </c>
    </row>
    <row r="3835" spans="1:12">
      <c r="A3835" s="1">
        <v>46038</v>
      </c>
      <c r="B3835" t="s">
        <v>8619</v>
      </c>
      <c r="C3835">
        <v>14</v>
      </c>
      <c r="D3835" t="str">
        <f>VLOOKUP(Tabela26[[#This Row],[EMP]],[1]LOJA!$A:$B,2,0)</f>
        <v>S IA</v>
      </c>
      <c r="E3835">
        <v>212</v>
      </c>
      <c r="F3835" t="s">
        <v>3403</v>
      </c>
      <c r="G3835" t="s">
        <v>3402</v>
      </c>
      <c r="H3835" t="s">
        <v>3401</v>
      </c>
      <c r="I3835">
        <v>5102</v>
      </c>
      <c r="J3835" s="3">
        <v>40</v>
      </c>
      <c r="K3835" s="3">
        <v>23.18</v>
      </c>
      <c r="L3835">
        <v>42.05</v>
      </c>
    </row>
    <row r="3836" spans="1:12">
      <c r="A3836" s="1">
        <v>46038</v>
      </c>
      <c r="B3836" t="s">
        <v>8618</v>
      </c>
      <c r="C3836">
        <v>14</v>
      </c>
      <c r="D3836" t="str">
        <f>VLOOKUP(Tabela26[[#This Row],[EMP]],[1]LOJA!$A:$B,2,0)</f>
        <v>S IA</v>
      </c>
      <c r="E3836">
        <v>212</v>
      </c>
      <c r="F3836" t="s">
        <v>3403</v>
      </c>
      <c r="G3836" t="s">
        <v>3402</v>
      </c>
      <c r="H3836" t="s">
        <v>3401</v>
      </c>
      <c r="I3836">
        <v>5405</v>
      </c>
      <c r="J3836" s="3">
        <v>80</v>
      </c>
      <c r="K3836" s="3">
        <v>31.66</v>
      </c>
      <c r="L3836">
        <v>60.43</v>
      </c>
    </row>
    <row r="3837" spans="1:12">
      <c r="A3837" s="1">
        <v>46038</v>
      </c>
      <c r="B3837" t="s">
        <v>8617</v>
      </c>
      <c r="C3837">
        <v>14</v>
      </c>
      <c r="D3837" t="str">
        <f>VLOOKUP(Tabela26[[#This Row],[EMP]],[1]LOJA!$A:$B,2,0)</f>
        <v>S IA</v>
      </c>
      <c r="E3837">
        <v>212</v>
      </c>
      <c r="F3837" t="s">
        <v>3403</v>
      </c>
      <c r="G3837" t="s">
        <v>3402</v>
      </c>
      <c r="H3837" t="s">
        <v>3401</v>
      </c>
      <c r="I3837">
        <v>5102</v>
      </c>
      <c r="J3837" s="3">
        <v>18</v>
      </c>
      <c r="K3837" s="3">
        <v>8.32</v>
      </c>
      <c r="L3837">
        <v>53.78</v>
      </c>
    </row>
    <row r="3838" spans="1:12">
      <c r="A3838" s="1">
        <v>46038</v>
      </c>
      <c r="B3838" t="s">
        <v>8616</v>
      </c>
      <c r="C3838">
        <v>14</v>
      </c>
      <c r="D3838" t="str">
        <f>VLOOKUP(Tabela26[[#This Row],[EMP]],[1]LOJA!$A:$B,2,0)</f>
        <v>S IA</v>
      </c>
      <c r="E3838">
        <v>54</v>
      </c>
      <c r="F3838" t="s">
        <v>3403</v>
      </c>
      <c r="G3838" t="s">
        <v>3402</v>
      </c>
      <c r="H3838" t="s">
        <v>3401</v>
      </c>
      <c r="I3838">
        <v>5405</v>
      </c>
      <c r="J3838" s="3">
        <v>243</v>
      </c>
      <c r="K3838" s="3">
        <v>117.01</v>
      </c>
      <c r="L3838">
        <v>51.85</v>
      </c>
    </row>
    <row r="3839" spans="1:12">
      <c r="A3839" s="1">
        <v>46038</v>
      </c>
      <c r="B3839" t="s">
        <v>8615</v>
      </c>
      <c r="C3839">
        <v>14</v>
      </c>
      <c r="D3839" t="str">
        <f>VLOOKUP(Tabela26[[#This Row],[EMP]],[1]LOJA!$A:$B,2,0)</f>
        <v>S IA</v>
      </c>
      <c r="E3839">
        <v>212</v>
      </c>
      <c r="F3839" t="s">
        <v>3403</v>
      </c>
      <c r="G3839" t="s">
        <v>3402</v>
      </c>
      <c r="H3839" t="s">
        <v>3401</v>
      </c>
      <c r="I3839">
        <v>5102</v>
      </c>
      <c r="J3839" s="3">
        <v>29</v>
      </c>
      <c r="K3839" s="3">
        <v>12.87</v>
      </c>
      <c r="L3839">
        <v>55.62</v>
      </c>
    </row>
    <row r="3840" spans="1:12">
      <c r="A3840" s="1">
        <v>46038</v>
      </c>
      <c r="B3840" t="s">
        <v>8614</v>
      </c>
      <c r="C3840">
        <v>14</v>
      </c>
      <c r="D3840" t="str">
        <f>VLOOKUP(Tabela26[[#This Row],[EMP]],[1]LOJA!$A:$B,2,0)</f>
        <v>S IA</v>
      </c>
      <c r="E3840">
        <v>212</v>
      </c>
      <c r="F3840" t="s">
        <v>3403</v>
      </c>
      <c r="G3840" t="s">
        <v>3402</v>
      </c>
      <c r="H3840" t="s">
        <v>3401</v>
      </c>
      <c r="I3840">
        <v>5102</v>
      </c>
      <c r="J3840" s="3">
        <v>72</v>
      </c>
      <c r="K3840" s="3">
        <v>33.25</v>
      </c>
      <c r="L3840">
        <v>53.82</v>
      </c>
    </row>
    <row r="3841" spans="1:12">
      <c r="A3841" s="1">
        <v>46038</v>
      </c>
      <c r="B3841" t="s">
        <v>8613</v>
      </c>
      <c r="C3841">
        <v>14</v>
      </c>
      <c r="D3841" t="str">
        <f>VLOOKUP(Tabela26[[#This Row],[EMP]],[1]LOJA!$A:$B,2,0)</f>
        <v>S IA</v>
      </c>
      <c r="E3841">
        <v>54</v>
      </c>
      <c r="F3841" t="s">
        <v>3403</v>
      </c>
      <c r="G3841" t="s">
        <v>3402</v>
      </c>
      <c r="H3841" t="s">
        <v>3401</v>
      </c>
      <c r="I3841">
        <v>5102</v>
      </c>
      <c r="J3841" s="3">
        <v>135</v>
      </c>
      <c r="K3841" s="3">
        <v>68.959999999999994</v>
      </c>
      <c r="L3841">
        <v>48.92</v>
      </c>
    </row>
    <row r="3842" spans="1:12">
      <c r="A3842" s="1">
        <v>46038</v>
      </c>
      <c r="B3842" t="s">
        <v>8612</v>
      </c>
      <c r="C3842">
        <v>14</v>
      </c>
      <c r="D3842" t="str">
        <f>VLOOKUP(Tabela26[[#This Row],[EMP]],[1]LOJA!$A:$B,2,0)</f>
        <v>S IA</v>
      </c>
      <c r="E3842">
        <v>54</v>
      </c>
      <c r="F3842" t="s">
        <v>5251</v>
      </c>
      <c r="G3842" t="s">
        <v>5250</v>
      </c>
      <c r="H3842" t="s">
        <v>3401</v>
      </c>
      <c r="I3842">
        <v>5405</v>
      </c>
      <c r="J3842" s="3">
        <v>40</v>
      </c>
      <c r="K3842" s="3">
        <v>19.45</v>
      </c>
      <c r="L3842">
        <v>51.38</v>
      </c>
    </row>
    <row r="3843" spans="1:12">
      <c r="A3843" s="1">
        <v>46038</v>
      </c>
      <c r="B3843" t="s">
        <v>8611</v>
      </c>
      <c r="C3843">
        <v>14</v>
      </c>
      <c r="D3843" t="str">
        <f>VLOOKUP(Tabela26[[#This Row],[EMP]],[1]LOJA!$A:$B,2,0)</f>
        <v>S IA</v>
      </c>
      <c r="E3843">
        <v>212</v>
      </c>
      <c r="F3843" t="s">
        <v>8605</v>
      </c>
      <c r="G3843" t="s">
        <v>3402</v>
      </c>
      <c r="H3843" t="s">
        <v>3408</v>
      </c>
      <c r="I3843">
        <v>5405</v>
      </c>
      <c r="J3843" s="3">
        <v>150</v>
      </c>
      <c r="K3843" s="3">
        <v>79.73</v>
      </c>
      <c r="L3843">
        <v>46.85</v>
      </c>
    </row>
    <row r="3844" spans="1:12">
      <c r="A3844" s="1">
        <v>46038</v>
      </c>
      <c r="B3844" t="s">
        <v>8610</v>
      </c>
      <c r="C3844">
        <v>14</v>
      </c>
      <c r="D3844" t="str">
        <f>VLOOKUP(Tabela26[[#This Row],[EMP]],[1]LOJA!$A:$B,2,0)</f>
        <v>S IA</v>
      </c>
      <c r="E3844">
        <v>54</v>
      </c>
      <c r="F3844" t="s">
        <v>3403</v>
      </c>
      <c r="G3844" t="s">
        <v>3402</v>
      </c>
      <c r="H3844" t="s">
        <v>3401</v>
      </c>
      <c r="I3844">
        <v>5102</v>
      </c>
      <c r="J3844" s="3">
        <v>28.9</v>
      </c>
      <c r="K3844" s="3">
        <v>13.86</v>
      </c>
      <c r="L3844">
        <v>52.04</v>
      </c>
    </row>
    <row r="3845" spans="1:12">
      <c r="A3845" s="1">
        <v>46038</v>
      </c>
      <c r="B3845" t="s">
        <v>8609</v>
      </c>
      <c r="C3845">
        <v>14</v>
      </c>
      <c r="D3845" t="str">
        <f>VLOOKUP(Tabela26[[#This Row],[EMP]],[1]LOJA!$A:$B,2,0)</f>
        <v>S IA</v>
      </c>
      <c r="E3845">
        <v>54</v>
      </c>
      <c r="F3845" t="s">
        <v>3403</v>
      </c>
      <c r="G3845" t="s">
        <v>3402</v>
      </c>
      <c r="H3845" t="s">
        <v>3401</v>
      </c>
      <c r="I3845">
        <v>5102</v>
      </c>
      <c r="J3845" s="3">
        <v>44.4</v>
      </c>
      <c r="K3845" s="3">
        <v>18.28</v>
      </c>
      <c r="L3845">
        <v>58.83</v>
      </c>
    </row>
    <row r="3846" spans="1:12">
      <c r="A3846" s="1">
        <v>46038</v>
      </c>
      <c r="B3846" t="s">
        <v>8608</v>
      </c>
      <c r="C3846">
        <v>14</v>
      </c>
      <c r="D3846" t="str">
        <f>VLOOKUP(Tabela26[[#This Row],[EMP]],[1]LOJA!$A:$B,2,0)</f>
        <v>S IA</v>
      </c>
      <c r="E3846">
        <v>54</v>
      </c>
      <c r="F3846" t="s">
        <v>5592</v>
      </c>
      <c r="G3846" t="s">
        <v>5591</v>
      </c>
      <c r="H3846" t="s">
        <v>3401</v>
      </c>
      <c r="I3846">
        <v>5405</v>
      </c>
      <c r="J3846" s="3">
        <v>58</v>
      </c>
      <c r="K3846" s="3">
        <v>30.26</v>
      </c>
      <c r="L3846">
        <v>47.83</v>
      </c>
    </row>
    <row r="3847" spans="1:12">
      <c r="A3847" s="1">
        <v>46038</v>
      </c>
      <c r="B3847" t="s">
        <v>8607</v>
      </c>
      <c r="C3847">
        <v>14</v>
      </c>
      <c r="D3847" t="str">
        <f>VLOOKUP(Tabela26[[#This Row],[EMP]],[1]LOJA!$A:$B,2,0)</f>
        <v>S IA</v>
      </c>
      <c r="E3847">
        <v>212</v>
      </c>
      <c r="F3847" t="s">
        <v>3403</v>
      </c>
      <c r="G3847" t="s">
        <v>3402</v>
      </c>
      <c r="H3847" t="s">
        <v>3408</v>
      </c>
      <c r="I3847">
        <v>5405</v>
      </c>
      <c r="J3847" s="3">
        <v>26</v>
      </c>
      <c r="K3847" s="3">
        <v>11.37</v>
      </c>
      <c r="L3847">
        <v>56.27</v>
      </c>
    </row>
    <row r="3848" spans="1:12">
      <c r="A3848" s="1">
        <v>46038</v>
      </c>
      <c r="B3848" t="s">
        <v>8606</v>
      </c>
      <c r="C3848">
        <v>14</v>
      </c>
      <c r="D3848" t="str">
        <f>VLOOKUP(Tabela26[[#This Row],[EMP]],[1]LOJA!$A:$B,2,0)</f>
        <v>S IA</v>
      </c>
      <c r="E3848">
        <v>212</v>
      </c>
      <c r="F3848" t="s">
        <v>8605</v>
      </c>
      <c r="G3848" t="s">
        <v>3402</v>
      </c>
      <c r="H3848" t="s">
        <v>3401</v>
      </c>
      <c r="I3848">
        <v>5102</v>
      </c>
      <c r="J3848" s="3">
        <v>69.400000000000006</v>
      </c>
      <c r="K3848" s="3">
        <v>34.69</v>
      </c>
      <c r="L3848">
        <v>50.01</v>
      </c>
    </row>
    <row r="3849" spans="1:12">
      <c r="A3849" s="1">
        <v>46038</v>
      </c>
      <c r="B3849" t="s">
        <v>8604</v>
      </c>
      <c r="C3849">
        <v>14</v>
      </c>
      <c r="D3849" t="str">
        <f>VLOOKUP(Tabela26[[#This Row],[EMP]],[1]LOJA!$A:$B,2,0)</f>
        <v>S IA</v>
      </c>
      <c r="E3849">
        <v>54</v>
      </c>
      <c r="F3849" t="s">
        <v>8603</v>
      </c>
      <c r="G3849" t="s">
        <v>8602</v>
      </c>
      <c r="H3849" t="s">
        <v>3401</v>
      </c>
      <c r="I3849">
        <v>5405</v>
      </c>
      <c r="J3849" s="3">
        <v>29.9</v>
      </c>
      <c r="K3849" s="3">
        <v>12.87</v>
      </c>
      <c r="L3849">
        <v>56.96</v>
      </c>
    </row>
    <row r="3850" spans="1:12">
      <c r="A3850" s="1">
        <v>46038</v>
      </c>
      <c r="B3850" t="s">
        <v>8601</v>
      </c>
      <c r="C3850">
        <v>4</v>
      </c>
      <c r="D3850" t="str">
        <f>VLOOKUP(Tabela26[[#This Row],[EMP]],[1]LOJA!$A:$B,2,0)</f>
        <v>ADE</v>
      </c>
      <c r="E3850">
        <v>132</v>
      </c>
      <c r="F3850" t="s">
        <v>3677</v>
      </c>
      <c r="G3850" t="s">
        <v>3676</v>
      </c>
      <c r="H3850" t="s">
        <v>4249</v>
      </c>
      <c r="I3850">
        <v>5405</v>
      </c>
      <c r="J3850" s="3">
        <v>555.9</v>
      </c>
      <c r="K3850" s="3">
        <v>305.7</v>
      </c>
      <c r="L3850">
        <v>45.01</v>
      </c>
    </row>
    <row r="3851" spans="1:12">
      <c r="A3851" s="1">
        <v>46038</v>
      </c>
      <c r="B3851" t="s">
        <v>8600</v>
      </c>
      <c r="C3851">
        <v>4</v>
      </c>
      <c r="D3851" t="str">
        <f>VLOOKUP(Tabela26[[#This Row],[EMP]],[1]LOJA!$A:$B,2,0)</f>
        <v>ADE</v>
      </c>
      <c r="E3851">
        <v>132</v>
      </c>
      <c r="F3851" t="s">
        <v>3677</v>
      </c>
      <c r="G3851" t="s">
        <v>3676</v>
      </c>
      <c r="H3851" t="s">
        <v>3679</v>
      </c>
      <c r="I3851">
        <v>5405</v>
      </c>
      <c r="J3851" s="3">
        <v>2096.15</v>
      </c>
      <c r="K3851" s="3">
        <v>897.6</v>
      </c>
      <c r="L3851">
        <v>57.18</v>
      </c>
    </row>
    <row r="3852" spans="1:12">
      <c r="A3852" s="1">
        <v>46038</v>
      </c>
      <c r="B3852" t="s">
        <v>8599</v>
      </c>
      <c r="C3852">
        <v>4</v>
      </c>
      <c r="D3852" t="str">
        <f>VLOOKUP(Tabela26[[#This Row],[EMP]],[1]LOJA!$A:$B,2,0)</f>
        <v>ADE</v>
      </c>
      <c r="E3852">
        <v>132</v>
      </c>
      <c r="F3852" t="s">
        <v>3667</v>
      </c>
      <c r="G3852" t="s">
        <v>3666</v>
      </c>
      <c r="H3852" t="s">
        <v>3430</v>
      </c>
      <c r="I3852">
        <v>5102</v>
      </c>
      <c r="J3852" s="3">
        <v>65</v>
      </c>
      <c r="K3852" s="3">
        <v>28.52</v>
      </c>
      <c r="L3852">
        <v>56.12</v>
      </c>
    </row>
    <row r="3853" spans="1:12">
      <c r="A3853" s="1">
        <v>46038</v>
      </c>
      <c r="B3853" t="s">
        <v>8598</v>
      </c>
      <c r="C3853">
        <v>4</v>
      </c>
      <c r="D3853" t="str">
        <f>VLOOKUP(Tabela26[[#This Row],[EMP]],[1]LOJA!$A:$B,2,0)</f>
        <v>ADE</v>
      </c>
      <c r="E3853">
        <v>132</v>
      </c>
      <c r="F3853" t="s">
        <v>3670</v>
      </c>
      <c r="G3853" t="s">
        <v>3669</v>
      </c>
      <c r="H3853" t="s">
        <v>4249</v>
      </c>
      <c r="I3853">
        <v>5102</v>
      </c>
      <c r="J3853" s="3">
        <v>530</v>
      </c>
      <c r="K3853" s="3">
        <v>349.71</v>
      </c>
      <c r="L3853">
        <v>34.020000000000003</v>
      </c>
    </row>
    <row r="3854" spans="1:12">
      <c r="A3854" s="1">
        <v>46038</v>
      </c>
      <c r="B3854" t="s">
        <v>8597</v>
      </c>
      <c r="C3854">
        <v>13</v>
      </c>
      <c r="D3854" t="str">
        <f>VLOOKUP(Tabela26[[#This Row],[EMP]],[1]LOJA!$A:$B,2,0)</f>
        <v>CEILÂNDIA</v>
      </c>
      <c r="E3854">
        <v>33</v>
      </c>
      <c r="F3854" t="s">
        <v>3403</v>
      </c>
      <c r="G3854" t="s">
        <v>3402</v>
      </c>
      <c r="H3854" t="s">
        <v>3401</v>
      </c>
      <c r="I3854">
        <v>5102</v>
      </c>
      <c r="J3854" s="3">
        <v>9.5</v>
      </c>
      <c r="K3854" s="3">
        <v>4.16</v>
      </c>
      <c r="L3854">
        <v>56.21</v>
      </c>
    </row>
    <row r="3855" spans="1:12">
      <c r="A3855" s="1">
        <v>46038</v>
      </c>
      <c r="B3855" t="s">
        <v>8596</v>
      </c>
      <c r="C3855">
        <v>13</v>
      </c>
      <c r="D3855" t="str">
        <f>VLOOKUP(Tabela26[[#This Row],[EMP]],[1]LOJA!$A:$B,2,0)</f>
        <v>CEILÂNDIA</v>
      </c>
      <c r="E3855">
        <v>86</v>
      </c>
      <c r="F3855" t="s">
        <v>3403</v>
      </c>
      <c r="G3855" t="s">
        <v>3402</v>
      </c>
      <c r="H3855" t="s">
        <v>3401</v>
      </c>
      <c r="I3855">
        <v>5102</v>
      </c>
      <c r="J3855" s="3">
        <v>20</v>
      </c>
      <c r="K3855" s="3">
        <v>9.75</v>
      </c>
      <c r="L3855">
        <v>51.25</v>
      </c>
    </row>
    <row r="3856" spans="1:12">
      <c r="A3856" s="1">
        <v>46038</v>
      </c>
      <c r="B3856" t="s">
        <v>8595</v>
      </c>
      <c r="C3856">
        <v>13</v>
      </c>
      <c r="D3856" t="str">
        <f>VLOOKUP(Tabela26[[#This Row],[EMP]],[1]LOJA!$A:$B,2,0)</f>
        <v>CEILÂNDIA</v>
      </c>
      <c r="E3856">
        <v>86</v>
      </c>
      <c r="F3856" t="s">
        <v>6625</v>
      </c>
      <c r="G3856" t="s">
        <v>6624</v>
      </c>
      <c r="H3856" t="s">
        <v>8570</v>
      </c>
      <c r="I3856">
        <v>5102</v>
      </c>
      <c r="J3856" s="3">
        <v>20</v>
      </c>
      <c r="K3856" s="3">
        <v>13.32</v>
      </c>
      <c r="L3856">
        <v>33.4</v>
      </c>
    </row>
    <row r="3857" spans="1:12">
      <c r="A3857" s="1">
        <v>46038</v>
      </c>
      <c r="B3857" t="s">
        <v>8594</v>
      </c>
      <c r="C3857">
        <v>13</v>
      </c>
      <c r="D3857" t="str">
        <f>VLOOKUP(Tabela26[[#This Row],[EMP]],[1]LOJA!$A:$B,2,0)</f>
        <v>CEILÂNDIA</v>
      </c>
      <c r="E3857">
        <v>86</v>
      </c>
      <c r="F3857" t="s">
        <v>3631</v>
      </c>
      <c r="G3857" t="s">
        <v>3402</v>
      </c>
      <c r="H3857" t="s">
        <v>3408</v>
      </c>
      <c r="I3857">
        <v>5102</v>
      </c>
      <c r="J3857" s="3">
        <v>180</v>
      </c>
      <c r="K3857" s="3">
        <v>123.2</v>
      </c>
      <c r="L3857">
        <v>31.56</v>
      </c>
    </row>
    <row r="3858" spans="1:12">
      <c r="A3858" s="1">
        <v>46038</v>
      </c>
      <c r="B3858" t="s">
        <v>8593</v>
      </c>
      <c r="C3858">
        <v>13</v>
      </c>
      <c r="D3858" t="str">
        <f>VLOOKUP(Tabela26[[#This Row],[EMP]],[1]LOJA!$A:$B,2,0)</f>
        <v>CEILÂNDIA</v>
      </c>
      <c r="E3858">
        <v>86</v>
      </c>
      <c r="F3858" t="s">
        <v>3624</v>
      </c>
      <c r="G3858" t="s">
        <v>3402</v>
      </c>
      <c r="H3858" t="s">
        <v>3408</v>
      </c>
      <c r="I3858">
        <v>5102</v>
      </c>
      <c r="J3858" s="3">
        <v>90</v>
      </c>
      <c r="K3858" s="3">
        <v>50.86</v>
      </c>
      <c r="L3858">
        <v>43.49</v>
      </c>
    </row>
    <row r="3859" spans="1:12">
      <c r="A3859" s="1">
        <v>46038</v>
      </c>
      <c r="B3859" t="s">
        <v>8592</v>
      </c>
      <c r="C3859">
        <v>13</v>
      </c>
      <c r="D3859" t="str">
        <f>VLOOKUP(Tabela26[[#This Row],[EMP]],[1]LOJA!$A:$B,2,0)</f>
        <v>CEILÂNDIA</v>
      </c>
      <c r="E3859">
        <v>86</v>
      </c>
      <c r="F3859" t="s">
        <v>3406</v>
      </c>
      <c r="G3859" t="s">
        <v>3405</v>
      </c>
      <c r="H3859" t="s">
        <v>3408</v>
      </c>
      <c r="I3859">
        <v>5102</v>
      </c>
      <c r="J3859" s="3">
        <v>30</v>
      </c>
      <c r="K3859" s="3">
        <v>18.48</v>
      </c>
      <c r="L3859">
        <v>38.4</v>
      </c>
    </row>
    <row r="3860" spans="1:12">
      <c r="A3860" s="1">
        <v>46038</v>
      </c>
      <c r="B3860" t="s">
        <v>8591</v>
      </c>
      <c r="C3860">
        <v>13</v>
      </c>
      <c r="D3860" t="str">
        <f>VLOOKUP(Tabela26[[#This Row],[EMP]],[1]LOJA!$A:$B,2,0)</f>
        <v>CEILÂNDIA</v>
      </c>
      <c r="E3860">
        <v>86</v>
      </c>
      <c r="F3860" t="s">
        <v>5565</v>
      </c>
      <c r="G3860" t="s">
        <v>5564</v>
      </c>
      <c r="H3860" t="s">
        <v>8570</v>
      </c>
      <c r="I3860">
        <v>5405</v>
      </c>
      <c r="J3860" s="3">
        <v>178.22</v>
      </c>
      <c r="K3860" s="3">
        <v>93.23</v>
      </c>
      <c r="L3860">
        <v>47.69</v>
      </c>
    </row>
    <row r="3861" spans="1:12">
      <c r="A3861" s="1">
        <v>46038</v>
      </c>
      <c r="B3861" t="s">
        <v>8590</v>
      </c>
      <c r="C3861">
        <v>13</v>
      </c>
      <c r="D3861" t="str">
        <f>VLOOKUP(Tabela26[[#This Row],[EMP]],[1]LOJA!$A:$B,2,0)</f>
        <v>CEILÂNDIA</v>
      </c>
      <c r="E3861">
        <v>86</v>
      </c>
      <c r="F3861" t="s">
        <v>3406</v>
      </c>
      <c r="G3861" t="s">
        <v>3405</v>
      </c>
      <c r="H3861" t="s">
        <v>3408</v>
      </c>
      <c r="I3861">
        <v>5102</v>
      </c>
      <c r="J3861" s="3">
        <v>130</v>
      </c>
      <c r="K3861" s="3">
        <v>74.47</v>
      </c>
      <c r="L3861">
        <v>42.72</v>
      </c>
    </row>
    <row r="3862" spans="1:12">
      <c r="A3862" s="1">
        <v>46038</v>
      </c>
      <c r="B3862" t="s">
        <v>8589</v>
      </c>
      <c r="C3862">
        <v>13</v>
      </c>
      <c r="D3862" t="str">
        <f>VLOOKUP(Tabela26[[#This Row],[EMP]],[1]LOJA!$A:$B,2,0)</f>
        <v>CEILÂNDIA</v>
      </c>
      <c r="E3862">
        <v>86</v>
      </c>
      <c r="F3862" t="s">
        <v>3403</v>
      </c>
      <c r="G3862" t="s">
        <v>3402</v>
      </c>
      <c r="H3862" t="s">
        <v>3401</v>
      </c>
      <c r="I3862">
        <v>5102</v>
      </c>
      <c r="J3862" s="3">
        <v>12</v>
      </c>
      <c r="K3862" s="3">
        <v>6.72</v>
      </c>
      <c r="L3862">
        <v>44</v>
      </c>
    </row>
    <row r="3863" spans="1:12">
      <c r="A3863" s="1">
        <v>46038</v>
      </c>
      <c r="B3863" t="s">
        <v>8588</v>
      </c>
      <c r="C3863">
        <v>13</v>
      </c>
      <c r="D3863" t="str">
        <f>VLOOKUP(Tabela26[[#This Row],[EMP]],[1]LOJA!$A:$B,2,0)</f>
        <v>CEILÂNDIA</v>
      </c>
      <c r="E3863">
        <v>86</v>
      </c>
      <c r="F3863" t="s">
        <v>7947</v>
      </c>
      <c r="G3863" t="s">
        <v>7946</v>
      </c>
      <c r="H3863" t="s">
        <v>3408</v>
      </c>
      <c r="I3863">
        <v>5405</v>
      </c>
      <c r="J3863" s="3">
        <v>55</v>
      </c>
      <c r="K3863" s="3">
        <v>24.88</v>
      </c>
      <c r="L3863">
        <v>54.76</v>
      </c>
    </row>
    <row r="3864" spans="1:12">
      <c r="A3864" s="1">
        <v>46038</v>
      </c>
      <c r="B3864" t="s">
        <v>8587</v>
      </c>
      <c r="C3864">
        <v>13</v>
      </c>
      <c r="D3864" t="str">
        <f>VLOOKUP(Tabela26[[#This Row],[EMP]],[1]LOJA!$A:$B,2,0)</f>
        <v>CEILÂNDIA</v>
      </c>
      <c r="E3864">
        <v>86</v>
      </c>
      <c r="F3864" t="s">
        <v>5544</v>
      </c>
      <c r="G3864" t="s">
        <v>3402</v>
      </c>
      <c r="H3864" t="s">
        <v>3408</v>
      </c>
      <c r="I3864">
        <v>5102</v>
      </c>
      <c r="J3864" s="3">
        <v>154</v>
      </c>
      <c r="K3864" s="3">
        <v>100.4</v>
      </c>
      <c r="L3864">
        <v>34.81</v>
      </c>
    </row>
    <row r="3865" spans="1:12">
      <c r="A3865" s="1">
        <v>46038</v>
      </c>
      <c r="B3865" t="s">
        <v>8586</v>
      </c>
      <c r="C3865">
        <v>13</v>
      </c>
      <c r="D3865" t="str">
        <f>VLOOKUP(Tabela26[[#This Row],[EMP]],[1]LOJA!$A:$B,2,0)</f>
        <v>CEILÂNDIA</v>
      </c>
      <c r="E3865">
        <v>86</v>
      </c>
      <c r="F3865" t="s">
        <v>3403</v>
      </c>
      <c r="G3865" t="s">
        <v>3402</v>
      </c>
      <c r="H3865" t="s">
        <v>3401</v>
      </c>
      <c r="I3865">
        <v>5405</v>
      </c>
      <c r="J3865" s="3">
        <v>29.9</v>
      </c>
      <c r="K3865" s="3">
        <v>12.63</v>
      </c>
      <c r="L3865">
        <v>57.76</v>
      </c>
    </row>
    <row r="3866" spans="1:12">
      <c r="A3866" s="1">
        <v>46038</v>
      </c>
      <c r="B3866" t="s">
        <v>8585</v>
      </c>
      <c r="C3866">
        <v>13</v>
      </c>
      <c r="D3866" t="str">
        <f>VLOOKUP(Tabela26[[#This Row],[EMP]],[1]LOJA!$A:$B,2,0)</f>
        <v>CEILÂNDIA</v>
      </c>
      <c r="E3866">
        <v>86</v>
      </c>
      <c r="F3866" t="s">
        <v>3609</v>
      </c>
      <c r="G3866" t="s">
        <v>3608</v>
      </c>
      <c r="H3866" t="s">
        <v>3408</v>
      </c>
      <c r="I3866">
        <v>5102</v>
      </c>
      <c r="J3866" s="3">
        <v>36.9</v>
      </c>
      <c r="K3866" s="3">
        <v>21.74</v>
      </c>
      <c r="L3866">
        <v>41.08</v>
      </c>
    </row>
    <row r="3867" spans="1:12">
      <c r="A3867" s="1">
        <v>46038</v>
      </c>
      <c r="B3867" t="s">
        <v>8584</v>
      </c>
      <c r="C3867">
        <v>13</v>
      </c>
      <c r="D3867" t="str">
        <f>VLOOKUP(Tabela26[[#This Row],[EMP]],[1]LOJA!$A:$B,2,0)</f>
        <v>CEILÂNDIA</v>
      </c>
      <c r="E3867">
        <v>33</v>
      </c>
      <c r="F3867" t="s">
        <v>8583</v>
      </c>
      <c r="G3867" t="s">
        <v>8582</v>
      </c>
      <c r="H3867" t="s">
        <v>3408</v>
      </c>
      <c r="I3867">
        <v>5102</v>
      </c>
      <c r="J3867" s="3">
        <v>45</v>
      </c>
      <c r="K3867" s="3">
        <v>26.96</v>
      </c>
      <c r="L3867">
        <v>40.090000000000003</v>
      </c>
    </row>
    <row r="3868" spans="1:12">
      <c r="A3868" s="1">
        <v>46038</v>
      </c>
      <c r="B3868" t="s">
        <v>8581</v>
      </c>
      <c r="C3868">
        <v>13</v>
      </c>
      <c r="D3868" t="str">
        <f>VLOOKUP(Tabela26[[#This Row],[EMP]],[1]LOJA!$A:$B,2,0)</f>
        <v>CEILÂNDIA</v>
      </c>
      <c r="E3868">
        <v>86</v>
      </c>
      <c r="F3868" t="s">
        <v>6625</v>
      </c>
      <c r="G3868" t="s">
        <v>6624</v>
      </c>
      <c r="H3868" t="s">
        <v>8570</v>
      </c>
      <c r="I3868">
        <v>5102</v>
      </c>
      <c r="J3868" s="3">
        <v>55.9</v>
      </c>
      <c r="K3868" s="3">
        <v>31.15</v>
      </c>
      <c r="L3868">
        <v>44.28</v>
      </c>
    </row>
    <row r="3869" spans="1:12">
      <c r="A3869" s="1">
        <v>46038</v>
      </c>
      <c r="B3869" t="s">
        <v>8580</v>
      </c>
      <c r="C3869">
        <v>13</v>
      </c>
      <c r="D3869" t="str">
        <f>VLOOKUP(Tabela26[[#This Row],[EMP]],[1]LOJA!$A:$B,2,0)</f>
        <v>CEILÂNDIA</v>
      </c>
      <c r="E3869">
        <v>86</v>
      </c>
      <c r="F3869" t="s">
        <v>3403</v>
      </c>
      <c r="G3869" t="s">
        <v>3402</v>
      </c>
      <c r="H3869" t="s">
        <v>3401</v>
      </c>
      <c r="I3869">
        <v>5102</v>
      </c>
      <c r="J3869" s="3">
        <v>20</v>
      </c>
      <c r="K3869" s="3">
        <v>12.51</v>
      </c>
      <c r="L3869">
        <v>37.450000000000003</v>
      </c>
    </row>
    <row r="3870" spans="1:12">
      <c r="A3870" s="1">
        <v>46038</v>
      </c>
      <c r="B3870" t="s">
        <v>8579</v>
      </c>
      <c r="C3870">
        <v>13</v>
      </c>
      <c r="D3870" t="str">
        <f>VLOOKUP(Tabela26[[#This Row],[EMP]],[1]LOJA!$A:$B,2,0)</f>
        <v>CEILÂNDIA</v>
      </c>
      <c r="E3870">
        <v>86</v>
      </c>
      <c r="F3870" t="s">
        <v>8578</v>
      </c>
      <c r="G3870" t="s">
        <v>3402</v>
      </c>
      <c r="H3870" t="s">
        <v>3401</v>
      </c>
      <c r="I3870">
        <v>5405</v>
      </c>
      <c r="J3870" s="3">
        <v>50</v>
      </c>
      <c r="K3870" s="3">
        <v>20.41</v>
      </c>
      <c r="L3870">
        <v>59.18</v>
      </c>
    </row>
    <row r="3871" spans="1:12">
      <c r="A3871" s="1">
        <v>46038</v>
      </c>
      <c r="B3871" t="s">
        <v>8577</v>
      </c>
      <c r="C3871">
        <v>13</v>
      </c>
      <c r="D3871" t="str">
        <f>VLOOKUP(Tabela26[[#This Row],[EMP]],[1]LOJA!$A:$B,2,0)</f>
        <v>CEILÂNDIA</v>
      </c>
      <c r="E3871">
        <v>86</v>
      </c>
      <c r="F3871" t="s">
        <v>3403</v>
      </c>
      <c r="G3871" t="s">
        <v>3402</v>
      </c>
      <c r="H3871" t="s">
        <v>3401</v>
      </c>
      <c r="I3871">
        <v>5405</v>
      </c>
      <c r="J3871" s="3">
        <v>300</v>
      </c>
      <c r="K3871" s="3">
        <v>145.1</v>
      </c>
      <c r="L3871">
        <v>51.63</v>
      </c>
    </row>
    <row r="3872" spans="1:12">
      <c r="A3872" s="1">
        <v>46038</v>
      </c>
      <c r="B3872" t="s">
        <v>8576</v>
      </c>
      <c r="C3872">
        <v>13</v>
      </c>
      <c r="D3872" t="str">
        <f>VLOOKUP(Tabela26[[#This Row],[EMP]],[1]LOJA!$A:$B,2,0)</f>
        <v>CEILÂNDIA</v>
      </c>
      <c r="E3872">
        <v>33</v>
      </c>
      <c r="F3872" t="s">
        <v>3403</v>
      </c>
      <c r="G3872" t="s">
        <v>3402</v>
      </c>
      <c r="H3872" t="s">
        <v>3401</v>
      </c>
      <c r="I3872">
        <v>5102</v>
      </c>
      <c r="J3872" s="3">
        <v>430</v>
      </c>
      <c r="K3872" s="3">
        <v>225.31</v>
      </c>
      <c r="L3872">
        <v>47.6</v>
      </c>
    </row>
    <row r="3873" spans="1:12">
      <c r="A3873" s="1">
        <v>46038</v>
      </c>
      <c r="B3873" t="s">
        <v>8575</v>
      </c>
      <c r="C3873">
        <v>13</v>
      </c>
      <c r="D3873" t="str">
        <f>VLOOKUP(Tabela26[[#This Row],[EMP]],[1]LOJA!$A:$B,2,0)</f>
        <v>CEILÂNDIA</v>
      </c>
      <c r="E3873">
        <v>86</v>
      </c>
      <c r="F3873" t="s">
        <v>3403</v>
      </c>
      <c r="G3873" t="s">
        <v>3402</v>
      </c>
      <c r="H3873" t="s">
        <v>3401</v>
      </c>
      <c r="I3873">
        <v>5102</v>
      </c>
      <c r="J3873" s="3">
        <v>45</v>
      </c>
      <c r="K3873" s="3">
        <v>27.74</v>
      </c>
      <c r="L3873">
        <v>38.36</v>
      </c>
    </row>
    <row r="3874" spans="1:12">
      <c r="A3874" s="1">
        <v>46038</v>
      </c>
      <c r="B3874" t="s">
        <v>8574</v>
      </c>
      <c r="C3874">
        <v>13</v>
      </c>
      <c r="D3874" t="str">
        <f>VLOOKUP(Tabela26[[#This Row],[EMP]],[1]LOJA!$A:$B,2,0)</f>
        <v>CEILÂNDIA</v>
      </c>
      <c r="E3874">
        <v>86</v>
      </c>
      <c r="F3874" t="s">
        <v>3403</v>
      </c>
      <c r="G3874" t="s">
        <v>3402</v>
      </c>
      <c r="H3874" t="s">
        <v>3401</v>
      </c>
      <c r="I3874">
        <v>5405</v>
      </c>
      <c r="J3874" s="3">
        <v>395</v>
      </c>
      <c r="K3874" s="3">
        <v>206.69</v>
      </c>
      <c r="L3874">
        <v>47.67</v>
      </c>
    </row>
    <row r="3875" spans="1:12">
      <c r="A3875" s="1">
        <v>46038</v>
      </c>
      <c r="B3875" t="s">
        <v>8573</v>
      </c>
      <c r="C3875">
        <v>13</v>
      </c>
      <c r="D3875" t="str">
        <f>VLOOKUP(Tabela26[[#This Row],[EMP]],[1]LOJA!$A:$B,2,0)</f>
        <v>CEILÂNDIA</v>
      </c>
      <c r="E3875">
        <v>86</v>
      </c>
      <c r="F3875" t="s">
        <v>3403</v>
      </c>
      <c r="G3875" t="s">
        <v>3402</v>
      </c>
      <c r="H3875" t="s">
        <v>3401</v>
      </c>
      <c r="I3875">
        <v>5405</v>
      </c>
      <c r="J3875" s="3">
        <v>114.9</v>
      </c>
      <c r="K3875" s="3">
        <v>52.78</v>
      </c>
      <c r="L3875">
        <v>54.06</v>
      </c>
    </row>
    <row r="3876" spans="1:12">
      <c r="A3876" s="1">
        <v>46038</v>
      </c>
      <c r="B3876" t="s">
        <v>8572</v>
      </c>
      <c r="C3876">
        <v>13</v>
      </c>
      <c r="D3876" t="str">
        <f>VLOOKUP(Tabela26[[#This Row],[EMP]],[1]LOJA!$A:$B,2,0)</f>
        <v>CEILÂNDIA</v>
      </c>
      <c r="E3876">
        <v>86</v>
      </c>
      <c r="F3876" t="s">
        <v>3622</v>
      </c>
      <c r="G3876" t="s">
        <v>3402</v>
      </c>
      <c r="H3876" t="s">
        <v>3408</v>
      </c>
      <c r="I3876">
        <v>5405</v>
      </c>
      <c r="J3876" s="3">
        <v>65</v>
      </c>
      <c r="K3876" s="3">
        <v>34.67</v>
      </c>
      <c r="L3876">
        <v>46.66</v>
      </c>
    </row>
    <row r="3877" spans="1:12">
      <c r="A3877" s="1">
        <v>46038</v>
      </c>
      <c r="B3877" t="s">
        <v>8571</v>
      </c>
      <c r="C3877">
        <v>13</v>
      </c>
      <c r="D3877" t="str">
        <f>VLOOKUP(Tabela26[[#This Row],[EMP]],[1]LOJA!$A:$B,2,0)</f>
        <v>CEILÂNDIA</v>
      </c>
      <c r="E3877">
        <v>86</v>
      </c>
      <c r="F3877" t="s">
        <v>5565</v>
      </c>
      <c r="G3877" t="s">
        <v>5564</v>
      </c>
      <c r="H3877" t="s">
        <v>8570</v>
      </c>
      <c r="I3877">
        <v>5102</v>
      </c>
      <c r="J3877" s="3">
        <v>79.900000000000006</v>
      </c>
      <c r="K3877" s="3">
        <v>51.7</v>
      </c>
      <c r="L3877">
        <v>35.29</v>
      </c>
    </row>
    <row r="3878" spans="1:12">
      <c r="A3878" s="1">
        <v>46038</v>
      </c>
      <c r="B3878" t="s">
        <v>8569</v>
      </c>
      <c r="C3878">
        <v>13</v>
      </c>
      <c r="D3878" t="str">
        <f>VLOOKUP(Tabela26[[#This Row],[EMP]],[1]LOJA!$A:$B,2,0)</f>
        <v>CEILÂNDIA</v>
      </c>
      <c r="E3878">
        <v>86</v>
      </c>
      <c r="F3878" t="s">
        <v>3403</v>
      </c>
      <c r="G3878" t="s">
        <v>3402</v>
      </c>
      <c r="H3878" t="s">
        <v>3401</v>
      </c>
      <c r="I3878">
        <v>5405</v>
      </c>
      <c r="J3878" s="3">
        <v>35</v>
      </c>
      <c r="K3878" s="3">
        <v>15.14</v>
      </c>
      <c r="L3878">
        <v>56.74</v>
      </c>
    </row>
    <row r="3879" spans="1:12">
      <c r="A3879" s="1">
        <v>46038</v>
      </c>
      <c r="B3879" t="s">
        <v>8568</v>
      </c>
      <c r="C3879">
        <v>13</v>
      </c>
      <c r="D3879" t="str">
        <f>VLOOKUP(Tabela26[[#This Row],[EMP]],[1]LOJA!$A:$B,2,0)</f>
        <v>CEILÂNDIA</v>
      </c>
      <c r="E3879">
        <v>86</v>
      </c>
      <c r="F3879" t="s">
        <v>6633</v>
      </c>
      <c r="G3879" t="s">
        <v>3402</v>
      </c>
      <c r="H3879" t="s">
        <v>3408</v>
      </c>
      <c r="I3879">
        <v>5102</v>
      </c>
      <c r="J3879" s="3">
        <v>70</v>
      </c>
      <c r="K3879" s="3">
        <v>47.38</v>
      </c>
      <c r="L3879">
        <v>32.31</v>
      </c>
    </row>
    <row r="3880" spans="1:12">
      <c r="A3880" s="1">
        <v>46038</v>
      </c>
      <c r="B3880" t="s">
        <v>8567</v>
      </c>
      <c r="C3880">
        <v>13</v>
      </c>
      <c r="D3880" t="str">
        <f>VLOOKUP(Tabela26[[#This Row],[EMP]],[1]LOJA!$A:$B,2,0)</f>
        <v>CEILÂNDIA</v>
      </c>
      <c r="E3880">
        <v>86</v>
      </c>
      <c r="F3880" t="s">
        <v>7947</v>
      </c>
      <c r="G3880" t="s">
        <v>7946</v>
      </c>
      <c r="H3880" t="s">
        <v>3408</v>
      </c>
      <c r="I3880">
        <v>5405</v>
      </c>
      <c r="J3880" s="3">
        <v>40</v>
      </c>
      <c r="K3880" s="3">
        <v>17.829999999999998</v>
      </c>
      <c r="L3880">
        <v>55.43</v>
      </c>
    </row>
    <row r="3881" spans="1:12">
      <c r="A3881" s="1">
        <v>46038</v>
      </c>
      <c r="B3881" t="s">
        <v>8566</v>
      </c>
      <c r="C3881">
        <v>13</v>
      </c>
      <c r="D3881" t="str">
        <f>VLOOKUP(Tabela26[[#This Row],[EMP]],[1]LOJA!$A:$B,2,0)</f>
        <v>CEILÂNDIA</v>
      </c>
      <c r="E3881">
        <v>86</v>
      </c>
      <c r="F3881" t="s">
        <v>4091</v>
      </c>
      <c r="G3881" t="s">
        <v>4090</v>
      </c>
      <c r="H3881" t="s">
        <v>3401</v>
      </c>
      <c r="I3881">
        <v>5405</v>
      </c>
      <c r="J3881" s="3">
        <v>245</v>
      </c>
      <c r="K3881" s="3">
        <v>128.94</v>
      </c>
      <c r="L3881">
        <v>47.37</v>
      </c>
    </row>
    <row r="3882" spans="1:12">
      <c r="A3882" s="1">
        <v>46038</v>
      </c>
      <c r="B3882" t="s">
        <v>8565</v>
      </c>
      <c r="C3882">
        <v>6</v>
      </c>
      <c r="D3882" t="str">
        <f>VLOOKUP(Tabela26[[#This Row],[EMP]],[1]LOJA!$A:$B,2,0)</f>
        <v>GAMA</v>
      </c>
      <c r="E3882">
        <v>245</v>
      </c>
      <c r="F3882" t="s">
        <v>3576</v>
      </c>
      <c r="G3882" t="s">
        <v>3402</v>
      </c>
      <c r="H3882" t="s">
        <v>3401</v>
      </c>
      <c r="I3882">
        <v>5405</v>
      </c>
      <c r="J3882" s="3">
        <v>129</v>
      </c>
      <c r="K3882" s="3">
        <v>66.03</v>
      </c>
      <c r="L3882">
        <v>48.81</v>
      </c>
    </row>
    <row r="3883" spans="1:12">
      <c r="A3883" s="1">
        <v>46038</v>
      </c>
      <c r="B3883" t="s">
        <v>8564</v>
      </c>
      <c r="C3883">
        <v>6</v>
      </c>
      <c r="D3883" t="str">
        <f>VLOOKUP(Tabela26[[#This Row],[EMP]],[1]LOJA!$A:$B,2,0)</f>
        <v>GAMA</v>
      </c>
      <c r="E3883">
        <v>245</v>
      </c>
      <c r="F3883" t="s">
        <v>3580</v>
      </c>
      <c r="G3883" t="s">
        <v>3579</v>
      </c>
      <c r="H3883" t="s">
        <v>3408</v>
      </c>
      <c r="I3883">
        <v>5405</v>
      </c>
      <c r="J3883" s="3">
        <v>174.9</v>
      </c>
      <c r="K3883" s="3">
        <v>86.27</v>
      </c>
      <c r="L3883">
        <v>50.67</v>
      </c>
    </row>
    <row r="3884" spans="1:12">
      <c r="A3884" s="1">
        <v>46038</v>
      </c>
      <c r="B3884" t="s">
        <v>8563</v>
      </c>
      <c r="C3884">
        <v>6</v>
      </c>
      <c r="D3884" t="str">
        <f>VLOOKUP(Tabela26[[#This Row],[EMP]],[1]LOJA!$A:$B,2,0)</f>
        <v>GAMA</v>
      </c>
      <c r="E3884">
        <v>245</v>
      </c>
      <c r="F3884" t="s">
        <v>3403</v>
      </c>
      <c r="G3884" t="s">
        <v>3402</v>
      </c>
      <c r="H3884" t="s">
        <v>3401</v>
      </c>
      <c r="I3884">
        <v>5405</v>
      </c>
      <c r="J3884" s="3">
        <v>15</v>
      </c>
      <c r="K3884" s="3">
        <v>6.92</v>
      </c>
      <c r="L3884">
        <v>53.87</v>
      </c>
    </row>
    <row r="3885" spans="1:12">
      <c r="A3885" s="1">
        <v>46038</v>
      </c>
      <c r="B3885" t="s">
        <v>8562</v>
      </c>
      <c r="C3885">
        <v>6</v>
      </c>
      <c r="D3885" t="str">
        <f>VLOOKUP(Tabela26[[#This Row],[EMP]],[1]LOJA!$A:$B,2,0)</f>
        <v>GAMA</v>
      </c>
      <c r="E3885">
        <v>245</v>
      </c>
      <c r="F3885" t="s">
        <v>8561</v>
      </c>
      <c r="G3885" t="s">
        <v>3402</v>
      </c>
      <c r="H3885" t="s">
        <v>3401</v>
      </c>
      <c r="I3885">
        <v>5405</v>
      </c>
      <c r="J3885" s="3">
        <v>56</v>
      </c>
      <c r="K3885" s="3">
        <v>22.28</v>
      </c>
      <c r="L3885">
        <v>60.21</v>
      </c>
    </row>
    <row r="3886" spans="1:12">
      <c r="A3886" s="1">
        <v>46038</v>
      </c>
      <c r="B3886" t="s">
        <v>8560</v>
      </c>
      <c r="C3886">
        <v>6</v>
      </c>
      <c r="D3886" t="str">
        <f>VLOOKUP(Tabela26[[#This Row],[EMP]],[1]LOJA!$A:$B,2,0)</f>
        <v>GAMA</v>
      </c>
      <c r="E3886">
        <v>226</v>
      </c>
      <c r="F3886" t="s">
        <v>3403</v>
      </c>
      <c r="G3886" t="s">
        <v>3402</v>
      </c>
      <c r="H3886" t="s">
        <v>3401</v>
      </c>
      <c r="I3886">
        <v>5102</v>
      </c>
      <c r="J3886" s="3">
        <v>33.6</v>
      </c>
      <c r="K3886" s="3">
        <v>16.36</v>
      </c>
      <c r="L3886">
        <v>51.31</v>
      </c>
    </row>
    <row r="3887" spans="1:12">
      <c r="A3887" s="1">
        <v>46038</v>
      </c>
      <c r="B3887" t="s">
        <v>8559</v>
      </c>
      <c r="C3887">
        <v>6</v>
      </c>
      <c r="D3887" t="str">
        <f>VLOOKUP(Tabela26[[#This Row],[EMP]],[1]LOJA!$A:$B,2,0)</f>
        <v>GAMA</v>
      </c>
      <c r="E3887">
        <v>245</v>
      </c>
      <c r="F3887" t="s">
        <v>3568</v>
      </c>
      <c r="G3887" t="s">
        <v>3567</v>
      </c>
      <c r="H3887" t="s">
        <v>3520</v>
      </c>
      <c r="I3887">
        <v>5102</v>
      </c>
      <c r="J3887" s="3">
        <v>61</v>
      </c>
      <c r="K3887" s="3">
        <v>33.64</v>
      </c>
      <c r="L3887">
        <v>44.85</v>
      </c>
    </row>
    <row r="3888" spans="1:12">
      <c r="A3888" s="1">
        <v>46038</v>
      </c>
      <c r="B3888" t="s">
        <v>8558</v>
      </c>
      <c r="C3888">
        <v>6</v>
      </c>
      <c r="D3888" t="str">
        <f>VLOOKUP(Tabela26[[#This Row],[EMP]],[1]LOJA!$A:$B,2,0)</f>
        <v>GAMA</v>
      </c>
      <c r="E3888">
        <v>245</v>
      </c>
      <c r="F3888" t="s">
        <v>3568</v>
      </c>
      <c r="G3888" t="s">
        <v>3567</v>
      </c>
      <c r="H3888" t="s">
        <v>3520</v>
      </c>
      <c r="I3888">
        <v>5405</v>
      </c>
      <c r="J3888" s="3">
        <v>164</v>
      </c>
      <c r="K3888" s="3">
        <v>85.41</v>
      </c>
      <c r="L3888">
        <v>47.92</v>
      </c>
    </row>
    <row r="3889" spans="1:12">
      <c r="A3889" s="1">
        <v>46038</v>
      </c>
      <c r="B3889" t="s">
        <v>8557</v>
      </c>
      <c r="C3889">
        <v>6</v>
      </c>
      <c r="D3889" t="str">
        <f>VLOOKUP(Tabela26[[#This Row],[EMP]],[1]LOJA!$A:$B,2,0)</f>
        <v>GAMA</v>
      </c>
      <c r="E3889">
        <v>245</v>
      </c>
      <c r="F3889" t="s">
        <v>3403</v>
      </c>
      <c r="G3889" t="s">
        <v>3402</v>
      </c>
      <c r="H3889" t="s">
        <v>3401</v>
      </c>
      <c r="I3889">
        <v>5102</v>
      </c>
      <c r="J3889" s="3">
        <v>37</v>
      </c>
      <c r="K3889" s="3">
        <v>17.73</v>
      </c>
      <c r="L3889">
        <v>52.08</v>
      </c>
    </row>
    <row r="3890" spans="1:12">
      <c r="A3890" s="1">
        <v>46038</v>
      </c>
      <c r="B3890" t="s">
        <v>8556</v>
      </c>
      <c r="C3890">
        <v>6</v>
      </c>
      <c r="D3890" t="str">
        <f>VLOOKUP(Tabela26[[#This Row],[EMP]],[1]LOJA!$A:$B,2,0)</f>
        <v>GAMA</v>
      </c>
      <c r="E3890">
        <v>245</v>
      </c>
      <c r="F3890" t="s">
        <v>3403</v>
      </c>
      <c r="G3890" t="s">
        <v>3402</v>
      </c>
      <c r="H3890" t="s">
        <v>3401</v>
      </c>
      <c r="I3890">
        <v>5102</v>
      </c>
      <c r="J3890" s="3">
        <v>22</v>
      </c>
      <c r="K3890" s="3">
        <v>11.72</v>
      </c>
      <c r="L3890">
        <v>46.73</v>
      </c>
    </row>
    <row r="3891" spans="1:12">
      <c r="A3891" s="1">
        <v>46038</v>
      </c>
      <c r="B3891" t="s">
        <v>8555</v>
      </c>
      <c r="C3891">
        <v>6</v>
      </c>
      <c r="D3891" t="str">
        <f>VLOOKUP(Tabela26[[#This Row],[EMP]],[1]LOJA!$A:$B,2,0)</f>
        <v>GAMA</v>
      </c>
      <c r="E3891">
        <v>245</v>
      </c>
      <c r="F3891" t="s">
        <v>3403</v>
      </c>
      <c r="G3891" t="s">
        <v>3402</v>
      </c>
      <c r="H3891" t="s">
        <v>3401</v>
      </c>
      <c r="I3891">
        <v>5102</v>
      </c>
      <c r="J3891" s="3">
        <v>43</v>
      </c>
      <c r="K3891" s="3">
        <v>22.53</v>
      </c>
      <c r="L3891">
        <v>47.6</v>
      </c>
    </row>
    <row r="3892" spans="1:12">
      <c r="A3892" s="1">
        <v>46038</v>
      </c>
      <c r="B3892" t="s">
        <v>8554</v>
      </c>
      <c r="C3892">
        <v>6</v>
      </c>
      <c r="D3892" t="str">
        <f>VLOOKUP(Tabela26[[#This Row],[EMP]],[1]LOJA!$A:$B,2,0)</f>
        <v>GAMA</v>
      </c>
      <c r="E3892">
        <v>245</v>
      </c>
      <c r="F3892" t="s">
        <v>3399</v>
      </c>
      <c r="G3892" t="s">
        <v>3398</v>
      </c>
      <c r="H3892" t="s">
        <v>3401</v>
      </c>
      <c r="I3892">
        <v>5405</v>
      </c>
      <c r="J3892" s="3">
        <v>128</v>
      </c>
      <c r="K3892" s="3">
        <v>70.7</v>
      </c>
      <c r="L3892">
        <v>44.77</v>
      </c>
    </row>
    <row r="3893" spans="1:12">
      <c r="A3893" s="1">
        <v>46038</v>
      </c>
      <c r="B3893" t="s">
        <v>8553</v>
      </c>
      <c r="C3893">
        <v>6</v>
      </c>
      <c r="D3893" t="str">
        <f>VLOOKUP(Tabela26[[#This Row],[EMP]],[1]LOJA!$A:$B,2,0)</f>
        <v>GAMA</v>
      </c>
      <c r="E3893">
        <v>245</v>
      </c>
      <c r="F3893" t="s">
        <v>3403</v>
      </c>
      <c r="G3893" t="s">
        <v>3402</v>
      </c>
      <c r="H3893" t="s">
        <v>3401</v>
      </c>
      <c r="I3893">
        <v>5405</v>
      </c>
      <c r="J3893" s="3">
        <v>70</v>
      </c>
      <c r="K3893" s="3">
        <v>30.25</v>
      </c>
      <c r="L3893">
        <v>56.79</v>
      </c>
    </row>
    <row r="3894" spans="1:12">
      <c r="A3894" s="1">
        <v>46038</v>
      </c>
      <c r="B3894" t="s">
        <v>8552</v>
      </c>
      <c r="C3894">
        <v>6</v>
      </c>
      <c r="D3894" t="str">
        <f>VLOOKUP(Tabela26[[#This Row],[EMP]],[1]LOJA!$A:$B,2,0)</f>
        <v>GAMA</v>
      </c>
      <c r="E3894">
        <v>226</v>
      </c>
      <c r="F3894" t="s">
        <v>3403</v>
      </c>
      <c r="G3894" t="s">
        <v>3402</v>
      </c>
      <c r="H3894" t="s">
        <v>3401</v>
      </c>
      <c r="I3894">
        <v>5405</v>
      </c>
      <c r="J3894" s="3">
        <v>92</v>
      </c>
      <c r="K3894" s="3">
        <v>38.85</v>
      </c>
      <c r="L3894">
        <v>57.77</v>
      </c>
    </row>
    <row r="3895" spans="1:12">
      <c r="A3895" s="1">
        <v>46038</v>
      </c>
      <c r="B3895" t="s">
        <v>8551</v>
      </c>
      <c r="C3895">
        <v>6</v>
      </c>
      <c r="D3895" t="str">
        <f>VLOOKUP(Tabela26[[#This Row],[EMP]],[1]LOJA!$A:$B,2,0)</f>
        <v>GAMA</v>
      </c>
      <c r="E3895">
        <v>226</v>
      </c>
      <c r="F3895" t="s">
        <v>6571</v>
      </c>
      <c r="G3895" t="s">
        <v>6570</v>
      </c>
      <c r="H3895" t="s">
        <v>3401</v>
      </c>
      <c r="I3895">
        <v>5405</v>
      </c>
      <c r="J3895" s="3">
        <v>62</v>
      </c>
      <c r="K3895" s="3">
        <v>32.94</v>
      </c>
      <c r="L3895">
        <v>46.87</v>
      </c>
    </row>
    <row r="3896" spans="1:12">
      <c r="A3896" s="1">
        <v>46038</v>
      </c>
      <c r="B3896" t="s">
        <v>8550</v>
      </c>
      <c r="C3896">
        <v>6</v>
      </c>
      <c r="D3896" t="str">
        <f>VLOOKUP(Tabela26[[#This Row],[EMP]],[1]LOJA!$A:$B,2,0)</f>
        <v>GAMA</v>
      </c>
      <c r="E3896">
        <v>245</v>
      </c>
      <c r="F3896" t="s">
        <v>3403</v>
      </c>
      <c r="G3896" t="s">
        <v>3402</v>
      </c>
      <c r="H3896" t="s">
        <v>3401</v>
      </c>
      <c r="I3896">
        <v>5405</v>
      </c>
      <c r="J3896" s="3">
        <v>210</v>
      </c>
      <c r="K3896" s="3">
        <v>110.51</v>
      </c>
      <c r="L3896">
        <v>47.38</v>
      </c>
    </row>
    <row r="3897" spans="1:12">
      <c r="A3897" s="1">
        <v>46038</v>
      </c>
      <c r="B3897" t="s">
        <v>8549</v>
      </c>
      <c r="C3897">
        <v>4</v>
      </c>
      <c r="D3897" t="str">
        <f>VLOOKUP(Tabela26[[#This Row],[EMP]],[1]LOJA!$A:$B,2,0)</f>
        <v>ADE</v>
      </c>
      <c r="E3897">
        <v>132</v>
      </c>
      <c r="F3897" t="s">
        <v>6565</v>
      </c>
      <c r="G3897" t="s">
        <v>6564</v>
      </c>
      <c r="H3897" t="s">
        <v>3430</v>
      </c>
      <c r="I3897">
        <v>5102</v>
      </c>
      <c r="J3897" s="3">
        <v>88.9</v>
      </c>
      <c r="K3897" s="3">
        <v>47.38</v>
      </c>
      <c r="L3897">
        <v>46.7</v>
      </c>
    </row>
    <row r="3898" spans="1:12">
      <c r="A3898" s="1">
        <v>46038</v>
      </c>
      <c r="B3898" t="s">
        <v>8548</v>
      </c>
      <c r="C3898">
        <v>6</v>
      </c>
      <c r="D3898" t="str">
        <f>VLOOKUP(Tabela26[[#This Row],[EMP]],[1]LOJA!$A:$B,2,0)</f>
        <v>GAMA</v>
      </c>
      <c r="E3898">
        <v>245</v>
      </c>
      <c r="F3898" t="s">
        <v>3555</v>
      </c>
      <c r="G3898" t="s">
        <v>3554</v>
      </c>
      <c r="H3898" t="s">
        <v>3401</v>
      </c>
      <c r="I3898">
        <v>2411</v>
      </c>
      <c r="J3898" s="3">
        <v>-135.32</v>
      </c>
      <c r="K3898" s="3">
        <v>-71.64</v>
      </c>
      <c r="L3898">
        <v>47.06</v>
      </c>
    </row>
    <row r="3899" spans="1:12">
      <c r="A3899" s="1">
        <v>46038</v>
      </c>
      <c r="B3899" t="s">
        <v>8547</v>
      </c>
      <c r="C3899">
        <v>6</v>
      </c>
      <c r="D3899" t="str">
        <f>VLOOKUP(Tabela26[[#This Row],[EMP]],[1]LOJA!$A:$B,2,0)</f>
        <v>GAMA</v>
      </c>
      <c r="E3899">
        <v>226</v>
      </c>
      <c r="F3899" t="s">
        <v>8546</v>
      </c>
      <c r="G3899" t="s">
        <v>8545</v>
      </c>
      <c r="H3899" t="s">
        <v>3430</v>
      </c>
      <c r="I3899">
        <v>6108</v>
      </c>
      <c r="J3899" s="3">
        <v>1391.49</v>
      </c>
      <c r="K3899" s="3">
        <v>564.58000000000004</v>
      </c>
      <c r="L3899">
        <v>59.43</v>
      </c>
    </row>
    <row r="3900" spans="1:12">
      <c r="A3900" s="1">
        <v>46038</v>
      </c>
      <c r="B3900" t="s">
        <v>8544</v>
      </c>
      <c r="C3900">
        <v>6</v>
      </c>
      <c r="D3900" t="str">
        <f>VLOOKUP(Tabela26[[#This Row],[EMP]],[1]LOJA!$A:$B,2,0)</f>
        <v>GAMA</v>
      </c>
      <c r="E3900">
        <v>245</v>
      </c>
      <c r="F3900" t="s">
        <v>3555</v>
      </c>
      <c r="G3900" t="s">
        <v>3554</v>
      </c>
      <c r="H3900" t="s">
        <v>3430</v>
      </c>
      <c r="I3900">
        <v>6403</v>
      </c>
      <c r="J3900" s="3">
        <v>135.32</v>
      </c>
      <c r="K3900" s="3">
        <v>71.64</v>
      </c>
      <c r="L3900">
        <v>47.06</v>
      </c>
    </row>
    <row r="3901" spans="1:12">
      <c r="A3901" s="1">
        <v>46038</v>
      </c>
      <c r="B3901" t="s">
        <v>8543</v>
      </c>
      <c r="C3901">
        <v>6</v>
      </c>
      <c r="D3901" t="str">
        <f>VLOOKUP(Tabela26[[#This Row],[EMP]],[1]LOJA!$A:$B,2,0)</f>
        <v>GAMA</v>
      </c>
      <c r="E3901">
        <v>226</v>
      </c>
      <c r="F3901" t="s">
        <v>7518</v>
      </c>
      <c r="G3901" t="s">
        <v>7517</v>
      </c>
      <c r="H3901" t="s">
        <v>3408</v>
      </c>
      <c r="I3901">
        <v>5405</v>
      </c>
      <c r="J3901" s="3">
        <v>158</v>
      </c>
      <c r="K3901" s="3">
        <v>78.42</v>
      </c>
      <c r="L3901">
        <v>50.37</v>
      </c>
    </row>
    <row r="3902" spans="1:12">
      <c r="A3902" s="1">
        <v>46039</v>
      </c>
      <c r="B3902" t="s">
        <v>8542</v>
      </c>
      <c r="C3902">
        <v>24</v>
      </c>
      <c r="D3902" t="str">
        <f>VLOOKUP(Tabela26[[#This Row],[EMP]],[1]LOJA!$A:$B,2,0)</f>
        <v>LUZIÂNIA</v>
      </c>
      <c r="E3902">
        <v>192</v>
      </c>
      <c r="F3902" t="s">
        <v>4949</v>
      </c>
      <c r="G3902" t="s">
        <v>4948</v>
      </c>
      <c r="H3902" t="s">
        <v>3430</v>
      </c>
      <c r="I3902">
        <v>5405</v>
      </c>
      <c r="J3902" s="3">
        <v>138.99</v>
      </c>
      <c r="K3902" s="3">
        <v>61.2</v>
      </c>
      <c r="L3902">
        <v>55.97</v>
      </c>
    </row>
    <row r="3903" spans="1:12">
      <c r="A3903" s="1">
        <v>46039</v>
      </c>
      <c r="B3903" t="s">
        <v>8541</v>
      </c>
      <c r="C3903">
        <v>16</v>
      </c>
      <c r="D3903" t="str">
        <f>VLOOKUP(Tabela26[[#This Row],[EMP]],[1]LOJA!$A:$B,2,0)</f>
        <v>AG LINDAS</v>
      </c>
      <c r="E3903">
        <v>107</v>
      </c>
      <c r="F3903" t="s">
        <v>4267</v>
      </c>
      <c r="G3903" t="s">
        <v>4266</v>
      </c>
      <c r="H3903" t="s">
        <v>3430</v>
      </c>
      <c r="I3903">
        <v>5102</v>
      </c>
      <c r="J3903" s="3">
        <v>117</v>
      </c>
      <c r="K3903" s="3">
        <v>64.099999999999994</v>
      </c>
      <c r="L3903">
        <v>45.21</v>
      </c>
    </row>
    <row r="3904" spans="1:12">
      <c r="A3904" s="1">
        <v>46039</v>
      </c>
      <c r="B3904" t="s">
        <v>8540</v>
      </c>
      <c r="C3904">
        <v>24</v>
      </c>
      <c r="D3904" t="str">
        <f>VLOOKUP(Tabela26[[#This Row],[EMP]],[1]LOJA!$A:$B,2,0)</f>
        <v>LUZIÂNIA</v>
      </c>
      <c r="E3904">
        <v>150</v>
      </c>
      <c r="F3904" t="s">
        <v>3527</v>
      </c>
      <c r="G3904" t="s">
        <v>3526</v>
      </c>
      <c r="H3904" t="s">
        <v>3401</v>
      </c>
      <c r="I3904">
        <v>5102</v>
      </c>
      <c r="J3904" s="3">
        <v>61</v>
      </c>
      <c r="K3904" s="3">
        <v>33.51</v>
      </c>
      <c r="L3904">
        <v>45.07</v>
      </c>
    </row>
    <row r="3905" spans="1:12">
      <c r="A3905" s="1">
        <v>46039</v>
      </c>
      <c r="B3905" t="s">
        <v>8539</v>
      </c>
      <c r="C3905">
        <v>24</v>
      </c>
      <c r="D3905" t="str">
        <f>VLOOKUP(Tabela26[[#This Row],[EMP]],[1]LOJA!$A:$B,2,0)</f>
        <v>LUZIÂNIA</v>
      </c>
      <c r="E3905">
        <v>150</v>
      </c>
      <c r="F3905" t="s">
        <v>3524</v>
      </c>
      <c r="G3905" t="s">
        <v>3402</v>
      </c>
      <c r="H3905" t="s">
        <v>3401</v>
      </c>
      <c r="I3905">
        <v>5102</v>
      </c>
      <c r="J3905" s="3">
        <v>28</v>
      </c>
      <c r="K3905" s="3">
        <v>14.11</v>
      </c>
      <c r="L3905">
        <v>49.61</v>
      </c>
    </row>
    <row r="3906" spans="1:12">
      <c r="A3906" s="1">
        <v>46039</v>
      </c>
      <c r="B3906" t="s">
        <v>8538</v>
      </c>
      <c r="C3906">
        <v>24</v>
      </c>
      <c r="D3906" t="str">
        <f>VLOOKUP(Tabela26[[#This Row],[EMP]],[1]LOJA!$A:$B,2,0)</f>
        <v>LUZIÂNIA</v>
      </c>
      <c r="E3906">
        <v>150</v>
      </c>
      <c r="F3906" t="s">
        <v>3524</v>
      </c>
      <c r="G3906" t="s">
        <v>3402</v>
      </c>
      <c r="H3906" t="s">
        <v>3401</v>
      </c>
      <c r="I3906">
        <v>5405</v>
      </c>
      <c r="J3906" s="3">
        <v>145</v>
      </c>
      <c r="K3906" s="3">
        <v>79.31</v>
      </c>
      <c r="L3906">
        <v>45.3</v>
      </c>
    </row>
    <row r="3907" spans="1:12">
      <c r="A3907" s="1">
        <v>46039</v>
      </c>
      <c r="B3907" t="s">
        <v>8537</v>
      </c>
      <c r="C3907">
        <v>24</v>
      </c>
      <c r="D3907" t="str">
        <f>VLOOKUP(Tabela26[[#This Row],[EMP]],[1]LOJA!$A:$B,2,0)</f>
        <v>LUZIÂNIA</v>
      </c>
      <c r="E3907">
        <v>150</v>
      </c>
      <c r="F3907" t="s">
        <v>5951</v>
      </c>
      <c r="G3907" t="s">
        <v>3402</v>
      </c>
      <c r="H3907" t="s">
        <v>3401</v>
      </c>
      <c r="I3907">
        <v>5102</v>
      </c>
      <c r="J3907" s="3">
        <v>96</v>
      </c>
      <c r="K3907" s="3">
        <v>48.6</v>
      </c>
      <c r="L3907">
        <v>49.38</v>
      </c>
    </row>
    <row r="3908" spans="1:12">
      <c r="A3908" s="1">
        <v>46039</v>
      </c>
      <c r="B3908" t="s">
        <v>8536</v>
      </c>
      <c r="C3908">
        <v>24</v>
      </c>
      <c r="D3908" t="str">
        <f>VLOOKUP(Tabela26[[#This Row],[EMP]],[1]LOJA!$A:$B,2,0)</f>
        <v>LUZIÂNIA</v>
      </c>
      <c r="E3908">
        <v>150</v>
      </c>
      <c r="F3908" t="s">
        <v>3527</v>
      </c>
      <c r="G3908" t="s">
        <v>3526</v>
      </c>
      <c r="H3908" t="s">
        <v>3401</v>
      </c>
      <c r="I3908">
        <v>5405</v>
      </c>
      <c r="J3908" s="3">
        <v>59</v>
      </c>
      <c r="K3908" s="3">
        <v>31.88</v>
      </c>
      <c r="L3908">
        <v>45.97</v>
      </c>
    </row>
    <row r="3909" spans="1:12">
      <c r="A3909" s="1">
        <v>46039</v>
      </c>
      <c r="B3909" t="s">
        <v>8535</v>
      </c>
      <c r="C3909">
        <v>24</v>
      </c>
      <c r="D3909" t="str">
        <f>VLOOKUP(Tabela26[[#This Row],[EMP]],[1]LOJA!$A:$B,2,0)</f>
        <v>LUZIÂNIA</v>
      </c>
      <c r="E3909">
        <v>150</v>
      </c>
      <c r="F3909" t="s">
        <v>3524</v>
      </c>
      <c r="G3909" t="s">
        <v>3402</v>
      </c>
      <c r="H3909" t="s">
        <v>3401</v>
      </c>
      <c r="I3909">
        <v>5102</v>
      </c>
      <c r="J3909" s="3">
        <v>8</v>
      </c>
      <c r="K3909" s="3">
        <v>3.91</v>
      </c>
      <c r="L3909">
        <v>51.13</v>
      </c>
    </row>
    <row r="3910" spans="1:12">
      <c r="A3910" s="1">
        <v>46039</v>
      </c>
      <c r="B3910" t="s">
        <v>8534</v>
      </c>
      <c r="C3910">
        <v>24</v>
      </c>
      <c r="D3910" t="str">
        <f>VLOOKUP(Tabela26[[#This Row],[EMP]],[1]LOJA!$A:$B,2,0)</f>
        <v>LUZIÂNIA</v>
      </c>
      <c r="E3910">
        <v>150</v>
      </c>
      <c r="F3910" t="s">
        <v>3524</v>
      </c>
      <c r="G3910" t="s">
        <v>3402</v>
      </c>
      <c r="H3910" t="s">
        <v>3401</v>
      </c>
      <c r="I3910">
        <v>5102</v>
      </c>
      <c r="J3910" s="3">
        <v>32</v>
      </c>
      <c r="K3910" s="3">
        <v>16.16</v>
      </c>
      <c r="L3910">
        <v>49.5</v>
      </c>
    </row>
    <row r="3911" spans="1:12">
      <c r="A3911" s="1">
        <v>46039</v>
      </c>
      <c r="B3911" t="s">
        <v>8533</v>
      </c>
      <c r="C3911">
        <v>24</v>
      </c>
      <c r="D3911" t="str">
        <f>VLOOKUP(Tabela26[[#This Row],[EMP]],[1]LOJA!$A:$B,2,0)</f>
        <v>LUZIÂNIA</v>
      </c>
      <c r="E3911">
        <v>150</v>
      </c>
      <c r="F3911" t="s">
        <v>8532</v>
      </c>
      <c r="G3911" t="s">
        <v>3402</v>
      </c>
      <c r="H3911" t="s">
        <v>3401</v>
      </c>
      <c r="I3911">
        <v>5405</v>
      </c>
      <c r="J3911" s="3">
        <v>55</v>
      </c>
      <c r="K3911" s="3">
        <v>26.67</v>
      </c>
      <c r="L3911">
        <v>51.51</v>
      </c>
    </row>
    <row r="3912" spans="1:12">
      <c r="A3912" s="1">
        <v>46039</v>
      </c>
      <c r="B3912" t="s">
        <v>8531</v>
      </c>
      <c r="C3912">
        <v>24</v>
      </c>
      <c r="D3912" t="str">
        <f>VLOOKUP(Tabela26[[#This Row],[EMP]],[1]LOJA!$A:$B,2,0)</f>
        <v>LUZIÂNIA</v>
      </c>
      <c r="E3912">
        <v>150</v>
      </c>
      <c r="F3912" t="s">
        <v>3527</v>
      </c>
      <c r="G3912" t="s">
        <v>3526</v>
      </c>
      <c r="H3912" t="s">
        <v>3401</v>
      </c>
      <c r="I3912">
        <v>5102</v>
      </c>
      <c r="J3912" s="3">
        <v>20</v>
      </c>
      <c r="K3912" s="3">
        <v>9.75</v>
      </c>
      <c r="L3912">
        <v>51.25</v>
      </c>
    </row>
    <row r="3913" spans="1:12">
      <c r="A3913" s="1">
        <v>46039</v>
      </c>
      <c r="B3913" t="s">
        <v>8530</v>
      </c>
      <c r="C3913">
        <v>24</v>
      </c>
      <c r="D3913" t="str">
        <f>VLOOKUP(Tabela26[[#This Row],[EMP]],[1]LOJA!$A:$B,2,0)</f>
        <v>LUZIÂNIA</v>
      </c>
      <c r="E3913">
        <v>150</v>
      </c>
      <c r="F3913" t="s">
        <v>3524</v>
      </c>
      <c r="G3913" t="s">
        <v>3402</v>
      </c>
      <c r="H3913" t="s">
        <v>3401</v>
      </c>
      <c r="I3913">
        <v>5405</v>
      </c>
      <c r="J3913" s="3">
        <v>65</v>
      </c>
      <c r="K3913" s="3">
        <v>32.94</v>
      </c>
      <c r="L3913">
        <v>49.32</v>
      </c>
    </row>
    <row r="3914" spans="1:12">
      <c r="A3914" s="1">
        <v>46039</v>
      </c>
      <c r="B3914" t="s">
        <v>8529</v>
      </c>
      <c r="C3914">
        <v>24</v>
      </c>
      <c r="D3914" t="str">
        <f>VLOOKUP(Tabela26[[#This Row],[EMP]],[1]LOJA!$A:$B,2,0)</f>
        <v>LUZIÂNIA</v>
      </c>
      <c r="E3914">
        <v>150</v>
      </c>
      <c r="F3914" t="s">
        <v>5111</v>
      </c>
      <c r="G3914" t="s">
        <v>3402</v>
      </c>
      <c r="H3914" t="s">
        <v>3408</v>
      </c>
      <c r="I3914">
        <v>5405</v>
      </c>
      <c r="J3914" s="3">
        <v>36</v>
      </c>
      <c r="K3914" s="3">
        <v>18.850000000000001</v>
      </c>
      <c r="L3914">
        <v>47.64</v>
      </c>
    </row>
    <row r="3915" spans="1:12">
      <c r="A3915" s="1">
        <v>46039</v>
      </c>
      <c r="B3915" t="s">
        <v>8528</v>
      </c>
      <c r="C3915">
        <v>24</v>
      </c>
      <c r="D3915" t="str">
        <f>VLOOKUP(Tabela26[[#This Row],[EMP]],[1]LOJA!$A:$B,2,0)</f>
        <v>LUZIÂNIA</v>
      </c>
      <c r="E3915">
        <v>150</v>
      </c>
      <c r="F3915" t="s">
        <v>3524</v>
      </c>
      <c r="G3915" t="s">
        <v>3402</v>
      </c>
      <c r="H3915" t="s">
        <v>3401</v>
      </c>
      <c r="I3915">
        <v>5405</v>
      </c>
      <c r="J3915" s="3">
        <v>130</v>
      </c>
      <c r="K3915" s="3">
        <v>72.78</v>
      </c>
      <c r="L3915">
        <v>44.02</v>
      </c>
    </row>
    <row r="3916" spans="1:12">
      <c r="A3916" s="1">
        <v>46039</v>
      </c>
      <c r="B3916" t="s">
        <v>8527</v>
      </c>
      <c r="C3916">
        <v>24</v>
      </c>
      <c r="D3916" t="str">
        <f>VLOOKUP(Tabela26[[#This Row],[EMP]],[1]LOJA!$A:$B,2,0)</f>
        <v>LUZIÂNIA</v>
      </c>
      <c r="E3916">
        <v>150</v>
      </c>
      <c r="F3916" t="s">
        <v>3524</v>
      </c>
      <c r="G3916" t="s">
        <v>3402</v>
      </c>
      <c r="H3916" t="s">
        <v>3401</v>
      </c>
      <c r="I3916">
        <v>5405</v>
      </c>
      <c r="J3916" s="3">
        <v>411.37</v>
      </c>
      <c r="K3916" s="3">
        <v>255.55</v>
      </c>
      <c r="L3916">
        <v>37.880000000000003</v>
      </c>
    </row>
    <row r="3917" spans="1:12">
      <c r="A3917" s="1">
        <v>46039</v>
      </c>
      <c r="B3917" t="s">
        <v>8526</v>
      </c>
      <c r="C3917">
        <v>24</v>
      </c>
      <c r="D3917" t="str">
        <f>VLOOKUP(Tabela26[[#This Row],[EMP]],[1]LOJA!$A:$B,2,0)</f>
        <v>LUZIÂNIA</v>
      </c>
      <c r="E3917">
        <v>150</v>
      </c>
      <c r="F3917" t="s">
        <v>3524</v>
      </c>
      <c r="G3917" t="s">
        <v>3402</v>
      </c>
      <c r="H3917" t="s">
        <v>3401</v>
      </c>
      <c r="I3917">
        <v>5102</v>
      </c>
      <c r="J3917" s="3">
        <v>179.6</v>
      </c>
      <c r="K3917" s="3">
        <v>111.33</v>
      </c>
      <c r="L3917">
        <v>38.01</v>
      </c>
    </row>
    <row r="3918" spans="1:12">
      <c r="A3918" s="1">
        <v>46039</v>
      </c>
      <c r="B3918" t="s">
        <v>8525</v>
      </c>
      <c r="C3918">
        <v>24</v>
      </c>
      <c r="D3918" t="str">
        <f>VLOOKUP(Tabela26[[#This Row],[EMP]],[1]LOJA!$A:$B,2,0)</f>
        <v>LUZIÂNIA</v>
      </c>
      <c r="E3918">
        <v>150</v>
      </c>
      <c r="F3918" t="s">
        <v>3524</v>
      </c>
      <c r="G3918" t="s">
        <v>3402</v>
      </c>
      <c r="H3918" t="s">
        <v>3401</v>
      </c>
      <c r="I3918">
        <v>5102</v>
      </c>
      <c r="J3918" s="3">
        <v>44.9</v>
      </c>
      <c r="K3918" s="3">
        <v>17.07</v>
      </c>
      <c r="L3918">
        <v>61.98</v>
      </c>
    </row>
    <row r="3919" spans="1:12">
      <c r="A3919" s="1">
        <v>46039</v>
      </c>
      <c r="B3919" t="s">
        <v>8524</v>
      </c>
      <c r="C3919">
        <v>24</v>
      </c>
      <c r="D3919" t="str">
        <f>VLOOKUP(Tabela26[[#This Row],[EMP]],[1]LOJA!$A:$B,2,0)</f>
        <v>LUZIÂNIA</v>
      </c>
      <c r="E3919">
        <v>150</v>
      </c>
      <c r="F3919" t="s">
        <v>3524</v>
      </c>
      <c r="G3919" t="s">
        <v>3402</v>
      </c>
      <c r="H3919" t="s">
        <v>3401</v>
      </c>
      <c r="I3919">
        <v>5405</v>
      </c>
      <c r="J3919" s="3">
        <v>65</v>
      </c>
      <c r="K3919" s="3">
        <v>31.61</v>
      </c>
      <c r="L3919">
        <v>51.37</v>
      </c>
    </row>
    <row r="3920" spans="1:12">
      <c r="A3920" s="1">
        <v>46039</v>
      </c>
      <c r="B3920" t="s">
        <v>8523</v>
      </c>
      <c r="C3920">
        <v>24</v>
      </c>
      <c r="D3920" t="str">
        <f>VLOOKUP(Tabela26[[#This Row],[EMP]],[1]LOJA!$A:$B,2,0)</f>
        <v>LUZIÂNIA</v>
      </c>
      <c r="E3920">
        <v>150</v>
      </c>
      <c r="F3920" t="s">
        <v>4898</v>
      </c>
      <c r="G3920" t="s">
        <v>4897</v>
      </c>
      <c r="H3920" t="s">
        <v>3401</v>
      </c>
      <c r="I3920">
        <v>5405</v>
      </c>
      <c r="J3920" s="3">
        <v>369</v>
      </c>
      <c r="K3920" s="3">
        <v>171.84</v>
      </c>
      <c r="L3920">
        <v>53.43</v>
      </c>
    </row>
    <row r="3921" spans="1:12">
      <c r="A3921" s="1">
        <v>46039</v>
      </c>
      <c r="B3921" t="s">
        <v>8522</v>
      </c>
      <c r="C3921">
        <v>24</v>
      </c>
      <c r="D3921" t="str">
        <f>VLOOKUP(Tabela26[[#This Row],[EMP]],[1]LOJA!$A:$B,2,0)</f>
        <v>LUZIÂNIA</v>
      </c>
      <c r="E3921">
        <v>150</v>
      </c>
      <c r="F3921" t="s">
        <v>5409</v>
      </c>
      <c r="G3921" t="s">
        <v>5408</v>
      </c>
      <c r="H3921" t="s">
        <v>3408</v>
      </c>
      <c r="I3921">
        <v>5405</v>
      </c>
      <c r="J3921" s="3">
        <v>77</v>
      </c>
      <c r="K3921" s="3">
        <v>37.880000000000003</v>
      </c>
      <c r="L3921">
        <v>50.81</v>
      </c>
    </row>
    <row r="3922" spans="1:12">
      <c r="A3922" s="1">
        <v>46039</v>
      </c>
      <c r="B3922" t="s">
        <v>8521</v>
      </c>
      <c r="C3922">
        <v>24</v>
      </c>
      <c r="D3922" t="str">
        <f>VLOOKUP(Tabela26[[#This Row],[EMP]],[1]LOJA!$A:$B,2,0)</f>
        <v>LUZIÂNIA</v>
      </c>
      <c r="E3922">
        <v>150</v>
      </c>
      <c r="F3922" t="s">
        <v>4898</v>
      </c>
      <c r="G3922" t="s">
        <v>4897</v>
      </c>
      <c r="H3922" t="s">
        <v>3401</v>
      </c>
      <c r="I3922">
        <v>5102</v>
      </c>
      <c r="J3922" s="3">
        <v>25</v>
      </c>
      <c r="K3922" s="3">
        <v>11.24</v>
      </c>
      <c r="L3922">
        <v>55.04</v>
      </c>
    </row>
    <row r="3923" spans="1:12">
      <c r="A3923" s="1">
        <v>46039</v>
      </c>
      <c r="B3923" t="s">
        <v>8520</v>
      </c>
      <c r="C3923">
        <v>24</v>
      </c>
      <c r="D3923" t="str">
        <f>VLOOKUP(Tabela26[[#This Row],[EMP]],[1]LOJA!$A:$B,2,0)</f>
        <v>LUZIÂNIA</v>
      </c>
      <c r="E3923">
        <v>150</v>
      </c>
      <c r="F3923" t="s">
        <v>3524</v>
      </c>
      <c r="G3923" t="s">
        <v>3402</v>
      </c>
      <c r="H3923" t="s">
        <v>3401</v>
      </c>
      <c r="I3923">
        <v>5405</v>
      </c>
      <c r="J3923" s="3">
        <v>220</v>
      </c>
      <c r="K3923" s="3">
        <v>109.76</v>
      </c>
      <c r="L3923">
        <v>50.11</v>
      </c>
    </row>
    <row r="3924" spans="1:12">
      <c r="A3924" s="1">
        <v>46039</v>
      </c>
      <c r="B3924" t="s">
        <v>8519</v>
      </c>
      <c r="C3924">
        <v>24</v>
      </c>
      <c r="D3924" t="str">
        <f>VLOOKUP(Tabela26[[#This Row],[EMP]],[1]LOJA!$A:$B,2,0)</f>
        <v>LUZIÂNIA</v>
      </c>
      <c r="E3924">
        <v>150</v>
      </c>
      <c r="F3924" t="s">
        <v>3524</v>
      </c>
      <c r="G3924" t="s">
        <v>3402</v>
      </c>
      <c r="H3924" t="s">
        <v>3401</v>
      </c>
      <c r="I3924">
        <v>5102</v>
      </c>
      <c r="J3924" s="3">
        <v>47</v>
      </c>
      <c r="K3924" s="3">
        <v>22.5</v>
      </c>
      <c r="L3924">
        <v>52.13</v>
      </c>
    </row>
    <row r="3925" spans="1:12">
      <c r="A3925" s="1">
        <v>46039</v>
      </c>
      <c r="B3925" t="s">
        <v>8518</v>
      </c>
      <c r="C3925">
        <v>24</v>
      </c>
      <c r="D3925" t="str">
        <f>VLOOKUP(Tabela26[[#This Row],[EMP]],[1]LOJA!$A:$B,2,0)</f>
        <v>LUZIÂNIA</v>
      </c>
      <c r="E3925">
        <v>242</v>
      </c>
      <c r="F3925" t="s">
        <v>3524</v>
      </c>
      <c r="G3925" t="s">
        <v>3402</v>
      </c>
      <c r="H3925" t="s">
        <v>3401</v>
      </c>
      <c r="I3925">
        <v>5405</v>
      </c>
      <c r="J3925" s="3">
        <v>210</v>
      </c>
      <c r="K3925" s="3">
        <v>136.29</v>
      </c>
      <c r="L3925">
        <v>35.1</v>
      </c>
    </row>
    <row r="3926" spans="1:12">
      <c r="A3926" s="1">
        <v>46039</v>
      </c>
      <c r="B3926" t="s">
        <v>8517</v>
      </c>
      <c r="C3926">
        <v>24</v>
      </c>
      <c r="D3926" t="str">
        <f>VLOOKUP(Tabela26[[#This Row],[EMP]],[1]LOJA!$A:$B,2,0)</f>
        <v>LUZIÂNIA</v>
      </c>
      <c r="E3926">
        <v>150</v>
      </c>
      <c r="F3926" t="s">
        <v>8516</v>
      </c>
      <c r="G3926" t="s">
        <v>3402</v>
      </c>
      <c r="H3926" t="s">
        <v>3401</v>
      </c>
      <c r="I3926">
        <v>5405</v>
      </c>
      <c r="J3926" s="3">
        <v>440</v>
      </c>
      <c r="K3926" s="3">
        <v>198.78</v>
      </c>
      <c r="L3926">
        <v>54.82</v>
      </c>
    </row>
    <row r="3927" spans="1:12">
      <c r="A3927" s="1">
        <v>46039</v>
      </c>
      <c r="B3927" t="s">
        <v>8515</v>
      </c>
      <c r="C3927">
        <v>24</v>
      </c>
      <c r="D3927" t="str">
        <f>VLOOKUP(Tabela26[[#This Row],[EMP]],[1]LOJA!$A:$B,2,0)</f>
        <v>LUZIÂNIA</v>
      </c>
      <c r="E3927">
        <v>150</v>
      </c>
      <c r="F3927" t="s">
        <v>3524</v>
      </c>
      <c r="G3927" t="s">
        <v>3402</v>
      </c>
      <c r="H3927" t="s">
        <v>3401</v>
      </c>
      <c r="I3927">
        <v>5405</v>
      </c>
      <c r="J3927" s="3">
        <v>98</v>
      </c>
      <c r="K3927" s="3">
        <v>39.549999999999997</v>
      </c>
      <c r="L3927">
        <v>59.64</v>
      </c>
    </row>
    <row r="3928" spans="1:12">
      <c r="A3928" s="1">
        <v>46039</v>
      </c>
      <c r="B3928" t="s">
        <v>8514</v>
      </c>
      <c r="C3928">
        <v>24</v>
      </c>
      <c r="D3928" t="str">
        <f>VLOOKUP(Tabela26[[#This Row],[EMP]],[1]LOJA!$A:$B,2,0)</f>
        <v>LUZIÂNIA</v>
      </c>
      <c r="E3928">
        <v>242</v>
      </c>
      <c r="F3928" t="s">
        <v>3524</v>
      </c>
      <c r="G3928" t="s">
        <v>3402</v>
      </c>
      <c r="H3928" t="s">
        <v>3401</v>
      </c>
      <c r="I3928">
        <v>5102</v>
      </c>
      <c r="J3928" s="3">
        <v>180</v>
      </c>
      <c r="K3928" s="3">
        <v>73.16</v>
      </c>
      <c r="L3928">
        <v>59.36</v>
      </c>
    </row>
    <row r="3929" spans="1:12">
      <c r="A3929" s="1">
        <v>46039</v>
      </c>
      <c r="B3929" t="s">
        <v>8513</v>
      </c>
      <c r="C3929">
        <v>24</v>
      </c>
      <c r="D3929" t="str">
        <f>VLOOKUP(Tabela26[[#This Row],[EMP]],[1]LOJA!$A:$B,2,0)</f>
        <v>LUZIÂNIA</v>
      </c>
      <c r="E3929">
        <v>150</v>
      </c>
      <c r="F3929" t="s">
        <v>3524</v>
      </c>
      <c r="G3929" t="s">
        <v>3402</v>
      </c>
      <c r="H3929" t="s">
        <v>3401</v>
      </c>
      <c r="I3929">
        <v>5102</v>
      </c>
      <c r="J3929" s="3">
        <v>185</v>
      </c>
      <c r="K3929" s="3">
        <v>103.48</v>
      </c>
      <c r="L3929">
        <v>44.06</v>
      </c>
    </row>
    <row r="3930" spans="1:12">
      <c r="A3930" s="1">
        <v>46039</v>
      </c>
      <c r="B3930" t="s">
        <v>8512</v>
      </c>
      <c r="C3930">
        <v>24</v>
      </c>
      <c r="D3930" t="str">
        <f>VLOOKUP(Tabela26[[#This Row],[EMP]],[1]LOJA!$A:$B,2,0)</f>
        <v>LUZIÂNIA</v>
      </c>
      <c r="E3930">
        <v>150</v>
      </c>
      <c r="F3930" t="s">
        <v>4871</v>
      </c>
      <c r="G3930" t="s">
        <v>4870</v>
      </c>
      <c r="H3930" t="s">
        <v>3401</v>
      </c>
      <c r="I3930">
        <v>5405</v>
      </c>
      <c r="J3930" s="3">
        <v>168</v>
      </c>
      <c r="K3930" s="3">
        <v>88.17</v>
      </c>
      <c r="L3930">
        <v>47.52</v>
      </c>
    </row>
    <row r="3931" spans="1:12">
      <c r="A3931" s="1">
        <v>46039</v>
      </c>
      <c r="B3931" t="s">
        <v>8511</v>
      </c>
      <c r="C3931">
        <v>12</v>
      </c>
      <c r="D3931" t="str">
        <f>VLOOKUP(Tabela26[[#This Row],[EMP]],[1]LOJA!$A:$B,2,0)</f>
        <v>SOFNORTE</v>
      </c>
      <c r="E3931">
        <v>60</v>
      </c>
      <c r="F3931" t="s">
        <v>3518</v>
      </c>
      <c r="G3931" t="s">
        <v>3517</v>
      </c>
      <c r="H3931" t="s">
        <v>3430</v>
      </c>
      <c r="I3931">
        <v>5405</v>
      </c>
      <c r="J3931" s="3">
        <v>133</v>
      </c>
      <c r="K3931" s="3">
        <v>60.17</v>
      </c>
      <c r="L3931">
        <v>54.76</v>
      </c>
    </row>
    <row r="3932" spans="1:12">
      <c r="A3932" s="1">
        <v>46039</v>
      </c>
      <c r="B3932" t="s">
        <v>8510</v>
      </c>
      <c r="C3932">
        <v>12</v>
      </c>
      <c r="D3932" t="str">
        <f>VLOOKUP(Tabela26[[#This Row],[EMP]],[1]LOJA!$A:$B,2,0)</f>
        <v>SOFNORTE</v>
      </c>
      <c r="E3932">
        <v>60</v>
      </c>
      <c r="F3932" t="s">
        <v>4156</v>
      </c>
      <c r="G3932" t="s">
        <v>4155</v>
      </c>
      <c r="H3932" t="s">
        <v>8388</v>
      </c>
      <c r="I3932">
        <v>5405</v>
      </c>
      <c r="J3932" s="3">
        <v>57</v>
      </c>
      <c r="K3932" s="3">
        <v>27.12</v>
      </c>
      <c r="L3932">
        <v>52.42</v>
      </c>
    </row>
    <row r="3933" spans="1:12">
      <c r="A3933" s="1">
        <v>46039</v>
      </c>
      <c r="B3933" t="s">
        <v>8509</v>
      </c>
      <c r="C3933">
        <v>12</v>
      </c>
      <c r="D3933" t="str">
        <f>VLOOKUP(Tabela26[[#This Row],[EMP]],[1]LOJA!$A:$B,2,0)</f>
        <v>SOFNORTE</v>
      </c>
      <c r="E3933">
        <v>60</v>
      </c>
      <c r="F3933" t="s">
        <v>4156</v>
      </c>
      <c r="G3933" t="s">
        <v>4155</v>
      </c>
      <c r="H3933" t="s">
        <v>8388</v>
      </c>
      <c r="I3933">
        <v>5102</v>
      </c>
      <c r="J3933" s="3">
        <v>58.7</v>
      </c>
      <c r="K3933" s="3">
        <v>30.8</v>
      </c>
      <c r="L3933">
        <v>47.53</v>
      </c>
    </row>
    <row r="3934" spans="1:12">
      <c r="A3934" s="1">
        <v>46039</v>
      </c>
      <c r="B3934" t="s">
        <v>8508</v>
      </c>
      <c r="C3934">
        <v>22</v>
      </c>
      <c r="D3934" t="str">
        <f>VLOOKUP(Tabela26[[#This Row],[EMP]],[1]LOJA!$A:$B,2,0)</f>
        <v>GUARÁ</v>
      </c>
      <c r="E3934">
        <v>93</v>
      </c>
      <c r="F3934" t="s">
        <v>4140</v>
      </c>
      <c r="G3934" t="s">
        <v>4139</v>
      </c>
      <c r="H3934" t="s">
        <v>3430</v>
      </c>
      <c r="I3934">
        <v>5102</v>
      </c>
      <c r="J3934" s="3">
        <v>239.28</v>
      </c>
      <c r="K3934" s="3">
        <v>150.21</v>
      </c>
      <c r="L3934">
        <v>37.22</v>
      </c>
    </row>
    <row r="3935" spans="1:12">
      <c r="A3935" s="1">
        <v>46039</v>
      </c>
      <c r="B3935" t="s">
        <v>8507</v>
      </c>
      <c r="C3935">
        <v>13</v>
      </c>
      <c r="D3935" t="str">
        <f>VLOOKUP(Tabela26[[#This Row],[EMP]],[1]LOJA!$A:$B,2,0)</f>
        <v>CEILÂNDIA</v>
      </c>
      <c r="E3935">
        <v>86</v>
      </c>
      <c r="F3935" t="s">
        <v>4122</v>
      </c>
      <c r="G3935" t="s">
        <v>4121</v>
      </c>
      <c r="H3935" t="s">
        <v>3430</v>
      </c>
      <c r="I3935">
        <v>5405</v>
      </c>
      <c r="J3935" s="3">
        <v>50</v>
      </c>
      <c r="K3935" s="3">
        <v>24.68</v>
      </c>
      <c r="L3935">
        <v>50.64</v>
      </c>
    </row>
    <row r="3936" spans="1:12">
      <c r="A3936" s="1">
        <v>46039</v>
      </c>
      <c r="B3936" t="s">
        <v>8506</v>
      </c>
      <c r="C3936">
        <v>13</v>
      </c>
      <c r="D3936" t="str">
        <f>VLOOKUP(Tabela26[[#This Row],[EMP]],[1]LOJA!$A:$B,2,0)</f>
        <v>CEILÂNDIA</v>
      </c>
      <c r="E3936">
        <v>86</v>
      </c>
      <c r="F3936" t="s">
        <v>4084</v>
      </c>
      <c r="G3936" t="s">
        <v>4083</v>
      </c>
      <c r="H3936" t="s">
        <v>3430</v>
      </c>
      <c r="I3936">
        <v>5102</v>
      </c>
      <c r="J3936" s="3">
        <v>70.8</v>
      </c>
      <c r="K3936" s="3">
        <v>38.729999999999997</v>
      </c>
      <c r="L3936">
        <v>45.3</v>
      </c>
    </row>
    <row r="3937" spans="1:12">
      <c r="A3937" s="1">
        <v>46039</v>
      </c>
      <c r="B3937" t="s">
        <v>8505</v>
      </c>
      <c r="C3937">
        <v>13</v>
      </c>
      <c r="D3937" t="str">
        <f>VLOOKUP(Tabela26[[#This Row],[EMP]],[1]LOJA!$A:$B,2,0)</f>
        <v>CEILÂNDIA</v>
      </c>
      <c r="E3937">
        <v>86</v>
      </c>
      <c r="F3937" t="s">
        <v>4115</v>
      </c>
      <c r="G3937" t="s">
        <v>4114</v>
      </c>
      <c r="H3937" t="s">
        <v>3430</v>
      </c>
      <c r="I3937">
        <v>5102</v>
      </c>
      <c r="J3937" s="3">
        <v>59.9</v>
      </c>
      <c r="K3937" s="3">
        <v>30.9</v>
      </c>
      <c r="L3937">
        <v>48.41</v>
      </c>
    </row>
    <row r="3938" spans="1:12">
      <c r="A3938" s="1">
        <v>46039</v>
      </c>
      <c r="B3938" t="s">
        <v>8504</v>
      </c>
      <c r="C3938">
        <v>13</v>
      </c>
      <c r="D3938" t="str">
        <f>VLOOKUP(Tabela26[[#This Row],[EMP]],[1]LOJA!$A:$B,2,0)</f>
        <v>CEILÂNDIA</v>
      </c>
      <c r="E3938">
        <v>86</v>
      </c>
      <c r="F3938" t="s">
        <v>3501</v>
      </c>
      <c r="G3938" t="s">
        <v>3500</v>
      </c>
      <c r="H3938" t="s">
        <v>3430</v>
      </c>
      <c r="I3938">
        <v>5102</v>
      </c>
      <c r="J3938" s="3">
        <v>59.9</v>
      </c>
      <c r="K3938" s="3">
        <v>30.9</v>
      </c>
      <c r="L3938">
        <v>48.41</v>
      </c>
    </row>
    <row r="3939" spans="1:12">
      <c r="A3939" s="1">
        <v>46039</v>
      </c>
      <c r="B3939" t="s">
        <v>8503</v>
      </c>
      <c r="C3939">
        <v>13</v>
      </c>
      <c r="D3939" t="str">
        <f>VLOOKUP(Tabela26[[#This Row],[EMP]],[1]LOJA!$A:$B,2,0)</f>
        <v>CEILÂNDIA</v>
      </c>
      <c r="E3939">
        <v>86</v>
      </c>
      <c r="F3939" t="s">
        <v>4112</v>
      </c>
      <c r="G3939" t="s">
        <v>4111</v>
      </c>
      <c r="H3939" t="s">
        <v>3430</v>
      </c>
      <c r="I3939">
        <v>5405</v>
      </c>
      <c r="J3939" s="3">
        <v>40</v>
      </c>
      <c r="K3939" s="3">
        <v>22.39</v>
      </c>
      <c r="L3939">
        <v>44.03</v>
      </c>
    </row>
    <row r="3940" spans="1:12">
      <c r="A3940" s="1">
        <v>46039</v>
      </c>
      <c r="B3940" t="s">
        <v>8502</v>
      </c>
      <c r="C3940">
        <v>13</v>
      </c>
      <c r="D3940" t="str">
        <f>VLOOKUP(Tabela26[[#This Row],[EMP]],[1]LOJA!$A:$B,2,0)</f>
        <v>CEILÂNDIA</v>
      </c>
      <c r="E3940">
        <v>86</v>
      </c>
      <c r="F3940" t="s">
        <v>5320</v>
      </c>
      <c r="G3940" t="s">
        <v>5319</v>
      </c>
      <c r="H3940" t="s">
        <v>3430</v>
      </c>
      <c r="I3940">
        <v>5405</v>
      </c>
      <c r="J3940" s="3">
        <v>317</v>
      </c>
      <c r="K3940" s="3">
        <v>172.95</v>
      </c>
      <c r="L3940">
        <v>45.44</v>
      </c>
    </row>
    <row r="3941" spans="1:12">
      <c r="A3941" s="1">
        <v>46039</v>
      </c>
      <c r="B3941" t="s">
        <v>8501</v>
      </c>
      <c r="C3941">
        <v>13</v>
      </c>
      <c r="D3941" t="str">
        <f>VLOOKUP(Tabela26[[#This Row],[EMP]],[1]LOJA!$A:$B,2,0)</f>
        <v>CEILÂNDIA</v>
      </c>
      <c r="E3941">
        <v>86</v>
      </c>
      <c r="F3941" t="s">
        <v>4084</v>
      </c>
      <c r="G3941" t="s">
        <v>4083</v>
      </c>
      <c r="H3941" t="s">
        <v>3430</v>
      </c>
      <c r="I3941">
        <v>5102</v>
      </c>
      <c r="J3941" s="3">
        <v>56.8</v>
      </c>
      <c r="K3941" s="3">
        <v>34.4</v>
      </c>
      <c r="L3941">
        <v>39.44</v>
      </c>
    </row>
    <row r="3942" spans="1:12">
      <c r="A3942" s="1">
        <v>46039</v>
      </c>
      <c r="B3942" t="s">
        <v>8500</v>
      </c>
      <c r="C3942">
        <v>15</v>
      </c>
      <c r="D3942" t="str">
        <f>VLOOKUP(Tabela26[[#This Row],[EMP]],[1]LOJA!$A:$B,2,0)</f>
        <v>UNAÍ</v>
      </c>
      <c r="E3942">
        <v>183</v>
      </c>
      <c r="F3942" t="s">
        <v>4655</v>
      </c>
      <c r="G3942" t="s">
        <v>4654</v>
      </c>
      <c r="H3942" t="s">
        <v>3401</v>
      </c>
      <c r="I3942">
        <v>5102</v>
      </c>
      <c r="J3942" s="3">
        <v>26</v>
      </c>
      <c r="K3942" s="3">
        <v>12.54</v>
      </c>
      <c r="L3942">
        <v>51.77</v>
      </c>
    </row>
    <row r="3943" spans="1:12">
      <c r="A3943" s="1">
        <v>46039</v>
      </c>
      <c r="B3943" t="s">
        <v>8499</v>
      </c>
      <c r="C3943">
        <v>15</v>
      </c>
      <c r="D3943" t="str">
        <f>VLOOKUP(Tabela26[[#This Row],[EMP]],[1]LOJA!$A:$B,2,0)</f>
        <v>UNAÍ</v>
      </c>
      <c r="E3943">
        <v>183</v>
      </c>
      <c r="F3943" t="s">
        <v>4740</v>
      </c>
      <c r="G3943" t="s">
        <v>4739</v>
      </c>
      <c r="H3943" t="s">
        <v>8348</v>
      </c>
      <c r="I3943">
        <v>5405</v>
      </c>
      <c r="J3943" s="3">
        <v>51</v>
      </c>
      <c r="K3943" s="3">
        <v>25.28</v>
      </c>
      <c r="L3943">
        <v>50.43</v>
      </c>
    </row>
    <row r="3944" spans="1:12">
      <c r="A3944" s="1">
        <v>46039</v>
      </c>
      <c r="B3944" t="s">
        <v>8498</v>
      </c>
      <c r="C3944">
        <v>15</v>
      </c>
      <c r="D3944" t="str">
        <f>VLOOKUP(Tabela26[[#This Row],[EMP]],[1]LOJA!$A:$B,2,0)</f>
        <v>UNAÍ</v>
      </c>
      <c r="E3944">
        <v>183</v>
      </c>
      <c r="F3944" t="s">
        <v>3485</v>
      </c>
      <c r="G3944" t="s">
        <v>3402</v>
      </c>
      <c r="H3944" t="s">
        <v>3401</v>
      </c>
      <c r="I3944">
        <v>5102</v>
      </c>
      <c r="J3944" s="3">
        <v>92.2</v>
      </c>
      <c r="K3944" s="3">
        <v>56.41</v>
      </c>
      <c r="L3944">
        <v>38.82</v>
      </c>
    </row>
    <row r="3945" spans="1:12">
      <c r="A3945" s="1">
        <v>46039</v>
      </c>
      <c r="B3945" t="s">
        <v>8497</v>
      </c>
      <c r="C3945">
        <v>15</v>
      </c>
      <c r="D3945" t="str">
        <f>VLOOKUP(Tabela26[[#This Row],[EMP]],[1]LOJA!$A:$B,2,0)</f>
        <v>UNAÍ</v>
      </c>
      <c r="E3945">
        <v>183</v>
      </c>
      <c r="F3945" t="s">
        <v>3485</v>
      </c>
      <c r="G3945" t="s">
        <v>3402</v>
      </c>
      <c r="H3945" t="s">
        <v>3401</v>
      </c>
      <c r="I3945">
        <v>5102</v>
      </c>
      <c r="J3945" s="3">
        <v>15</v>
      </c>
      <c r="K3945" s="3">
        <v>9.26</v>
      </c>
      <c r="L3945">
        <v>38.270000000000003</v>
      </c>
    </row>
    <row r="3946" spans="1:12">
      <c r="A3946" s="1">
        <v>46039</v>
      </c>
      <c r="B3946" t="s">
        <v>8496</v>
      </c>
      <c r="C3946">
        <v>15</v>
      </c>
      <c r="D3946" t="str">
        <f>VLOOKUP(Tabela26[[#This Row],[EMP]],[1]LOJA!$A:$B,2,0)</f>
        <v>UNAÍ</v>
      </c>
      <c r="E3946">
        <v>183</v>
      </c>
      <c r="F3946" t="s">
        <v>3485</v>
      </c>
      <c r="G3946" t="s">
        <v>3402</v>
      </c>
      <c r="H3946" t="s">
        <v>3401</v>
      </c>
      <c r="I3946">
        <v>5102</v>
      </c>
      <c r="J3946" s="3">
        <v>39</v>
      </c>
      <c r="K3946" s="3">
        <v>18.78</v>
      </c>
      <c r="L3946">
        <v>51.85</v>
      </c>
    </row>
    <row r="3947" spans="1:12">
      <c r="A3947" s="1">
        <v>46039</v>
      </c>
      <c r="B3947" t="s">
        <v>8495</v>
      </c>
      <c r="C3947">
        <v>15</v>
      </c>
      <c r="D3947" t="str">
        <f>VLOOKUP(Tabela26[[#This Row],[EMP]],[1]LOJA!$A:$B,2,0)</f>
        <v>UNAÍ</v>
      </c>
      <c r="E3947">
        <v>183</v>
      </c>
      <c r="F3947" t="s">
        <v>3485</v>
      </c>
      <c r="G3947" t="s">
        <v>3402</v>
      </c>
      <c r="H3947" t="s">
        <v>3401</v>
      </c>
      <c r="I3947">
        <v>5102</v>
      </c>
      <c r="J3947" s="3">
        <v>50</v>
      </c>
      <c r="K3947" s="3">
        <v>25.17</v>
      </c>
      <c r="L3947">
        <v>49.66</v>
      </c>
    </row>
    <row r="3948" spans="1:12">
      <c r="A3948" s="1">
        <v>46039</v>
      </c>
      <c r="B3948" t="s">
        <v>8494</v>
      </c>
      <c r="C3948">
        <v>15</v>
      </c>
      <c r="D3948" t="str">
        <f>VLOOKUP(Tabela26[[#This Row],[EMP]],[1]LOJA!$A:$B,2,0)</f>
        <v>UNAÍ</v>
      </c>
      <c r="E3948">
        <v>183</v>
      </c>
      <c r="F3948" t="s">
        <v>3485</v>
      </c>
      <c r="G3948" t="s">
        <v>3402</v>
      </c>
      <c r="H3948" t="s">
        <v>3401</v>
      </c>
      <c r="I3948">
        <v>5102</v>
      </c>
      <c r="J3948" s="3">
        <v>54</v>
      </c>
      <c r="K3948" s="3">
        <v>27.9</v>
      </c>
      <c r="L3948">
        <v>48.33</v>
      </c>
    </row>
    <row r="3949" spans="1:12">
      <c r="A3949" s="1">
        <v>46039</v>
      </c>
      <c r="B3949" t="s">
        <v>8493</v>
      </c>
      <c r="C3949">
        <v>15</v>
      </c>
      <c r="D3949" t="str">
        <f>VLOOKUP(Tabela26[[#This Row],[EMP]],[1]LOJA!$A:$B,2,0)</f>
        <v>UNAÍ</v>
      </c>
      <c r="E3949">
        <v>183</v>
      </c>
      <c r="F3949" t="s">
        <v>3485</v>
      </c>
      <c r="G3949" t="s">
        <v>3402</v>
      </c>
      <c r="H3949" t="s">
        <v>3401</v>
      </c>
      <c r="I3949">
        <v>5102</v>
      </c>
      <c r="J3949" s="3">
        <v>55</v>
      </c>
      <c r="K3949" s="3">
        <v>30.72</v>
      </c>
      <c r="L3949">
        <v>44.15</v>
      </c>
    </row>
    <row r="3950" spans="1:12">
      <c r="A3950" s="1">
        <v>46039</v>
      </c>
      <c r="B3950" t="s">
        <v>8492</v>
      </c>
      <c r="C3950">
        <v>15</v>
      </c>
      <c r="D3950" t="str">
        <f>VLOOKUP(Tabela26[[#This Row],[EMP]],[1]LOJA!$A:$B,2,0)</f>
        <v>UNAÍ</v>
      </c>
      <c r="E3950">
        <v>183</v>
      </c>
      <c r="F3950" t="s">
        <v>3485</v>
      </c>
      <c r="G3950" t="s">
        <v>3402</v>
      </c>
      <c r="H3950" t="s">
        <v>3401</v>
      </c>
      <c r="I3950">
        <v>5102</v>
      </c>
      <c r="J3950" s="3">
        <v>67.3</v>
      </c>
      <c r="K3950" s="3">
        <v>33.409999999999997</v>
      </c>
      <c r="L3950">
        <v>50.36</v>
      </c>
    </row>
    <row r="3951" spans="1:12">
      <c r="A3951" s="1">
        <v>46039</v>
      </c>
      <c r="B3951" t="s">
        <v>8491</v>
      </c>
      <c r="C3951">
        <v>15</v>
      </c>
      <c r="D3951" t="str">
        <f>VLOOKUP(Tabela26[[#This Row],[EMP]],[1]LOJA!$A:$B,2,0)</f>
        <v>UNAÍ</v>
      </c>
      <c r="E3951">
        <v>183</v>
      </c>
      <c r="F3951" t="s">
        <v>8490</v>
      </c>
      <c r="G3951" t="s">
        <v>3402</v>
      </c>
      <c r="H3951" t="s">
        <v>3401</v>
      </c>
      <c r="I3951">
        <v>5102</v>
      </c>
      <c r="J3951" s="3">
        <v>32</v>
      </c>
      <c r="K3951" s="3">
        <v>18.62</v>
      </c>
      <c r="L3951">
        <v>41.81</v>
      </c>
    </row>
    <row r="3952" spans="1:12">
      <c r="A3952" s="1">
        <v>46039</v>
      </c>
      <c r="B3952" t="s">
        <v>8489</v>
      </c>
      <c r="C3952">
        <v>15</v>
      </c>
      <c r="D3952" t="str">
        <f>VLOOKUP(Tabela26[[#This Row],[EMP]],[1]LOJA!$A:$B,2,0)</f>
        <v>UNAÍ</v>
      </c>
      <c r="E3952">
        <v>183</v>
      </c>
      <c r="F3952" t="s">
        <v>3485</v>
      </c>
      <c r="G3952" t="s">
        <v>3402</v>
      </c>
      <c r="H3952" t="s">
        <v>3401</v>
      </c>
      <c r="I3952">
        <v>5102</v>
      </c>
      <c r="J3952" s="3">
        <v>332</v>
      </c>
      <c r="K3952" s="3">
        <v>165.85</v>
      </c>
      <c r="L3952">
        <v>50.05</v>
      </c>
    </row>
    <row r="3953" spans="1:12">
      <c r="A3953" s="1">
        <v>46039</v>
      </c>
      <c r="B3953" t="s">
        <v>8488</v>
      </c>
      <c r="C3953">
        <v>15</v>
      </c>
      <c r="D3953" t="str">
        <f>VLOOKUP(Tabela26[[#This Row],[EMP]],[1]LOJA!$A:$B,2,0)</f>
        <v>UNAÍ</v>
      </c>
      <c r="E3953">
        <v>183</v>
      </c>
      <c r="F3953" t="s">
        <v>5831</v>
      </c>
      <c r="G3953" t="s">
        <v>5830</v>
      </c>
      <c r="H3953" t="s">
        <v>3401</v>
      </c>
      <c r="I3953">
        <v>5102</v>
      </c>
      <c r="J3953" s="3">
        <v>25</v>
      </c>
      <c r="K3953" s="3">
        <v>11.39</v>
      </c>
      <c r="L3953">
        <v>54.44</v>
      </c>
    </row>
    <row r="3954" spans="1:12">
      <c r="A3954" s="1">
        <v>46039</v>
      </c>
      <c r="B3954" t="s">
        <v>8487</v>
      </c>
      <c r="C3954">
        <v>15</v>
      </c>
      <c r="D3954" t="str">
        <f>VLOOKUP(Tabela26[[#This Row],[EMP]],[1]LOJA!$A:$B,2,0)</f>
        <v>UNAÍ</v>
      </c>
      <c r="E3954">
        <v>183</v>
      </c>
      <c r="F3954" t="s">
        <v>8486</v>
      </c>
      <c r="G3954" t="s">
        <v>3402</v>
      </c>
      <c r="H3954" t="s">
        <v>3401</v>
      </c>
      <c r="I3954">
        <v>5102</v>
      </c>
      <c r="J3954" s="3">
        <v>85</v>
      </c>
      <c r="K3954" s="3">
        <v>34.93</v>
      </c>
      <c r="L3954">
        <v>58.91</v>
      </c>
    </row>
    <row r="3955" spans="1:12">
      <c r="A3955" s="1">
        <v>46039</v>
      </c>
      <c r="B3955" t="s">
        <v>8485</v>
      </c>
      <c r="C3955">
        <v>15</v>
      </c>
      <c r="D3955" t="str">
        <f>VLOOKUP(Tabela26[[#This Row],[EMP]],[1]LOJA!$A:$B,2,0)</f>
        <v>UNAÍ</v>
      </c>
      <c r="E3955">
        <v>183</v>
      </c>
      <c r="F3955" t="s">
        <v>3485</v>
      </c>
      <c r="G3955" t="s">
        <v>3402</v>
      </c>
      <c r="H3955" t="s">
        <v>3401</v>
      </c>
      <c r="I3955">
        <v>5102</v>
      </c>
      <c r="J3955" s="3">
        <v>98</v>
      </c>
      <c r="K3955" s="3">
        <v>47.26</v>
      </c>
      <c r="L3955">
        <v>51.78</v>
      </c>
    </row>
    <row r="3956" spans="1:12">
      <c r="A3956" s="1">
        <v>46039</v>
      </c>
      <c r="B3956" t="s">
        <v>8484</v>
      </c>
      <c r="C3956">
        <v>15</v>
      </c>
      <c r="D3956" t="str">
        <f>VLOOKUP(Tabela26[[#This Row],[EMP]],[1]LOJA!$A:$B,2,0)</f>
        <v>UNAÍ</v>
      </c>
      <c r="E3956">
        <v>183</v>
      </c>
      <c r="F3956" t="s">
        <v>4029</v>
      </c>
      <c r="G3956" t="s">
        <v>4028</v>
      </c>
      <c r="H3956" t="s">
        <v>3401</v>
      </c>
      <c r="I3956">
        <v>5102</v>
      </c>
      <c r="J3956" s="3">
        <v>116</v>
      </c>
      <c r="K3956" s="3">
        <v>69.209999999999994</v>
      </c>
      <c r="L3956">
        <v>40.340000000000003</v>
      </c>
    </row>
    <row r="3957" spans="1:12">
      <c r="A3957" s="1">
        <v>46039</v>
      </c>
      <c r="B3957" t="s">
        <v>8483</v>
      </c>
      <c r="C3957">
        <v>15</v>
      </c>
      <c r="D3957" t="str">
        <f>VLOOKUP(Tabela26[[#This Row],[EMP]],[1]LOJA!$A:$B,2,0)</f>
        <v>UNAÍ</v>
      </c>
      <c r="E3957">
        <v>183</v>
      </c>
      <c r="F3957" t="s">
        <v>4016</v>
      </c>
      <c r="G3957" t="s">
        <v>4015</v>
      </c>
      <c r="H3957" t="s">
        <v>8348</v>
      </c>
      <c r="I3957">
        <v>5102</v>
      </c>
      <c r="J3957" s="3">
        <v>344.2</v>
      </c>
      <c r="K3957" s="3">
        <v>188.56</v>
      </c>
      <c r="L3957">
        <v>45.22</v>
      </c>
    </row>
    <row r="3958" spans="1:12">
      <c r="A3958" s="1">
        <v>46039</v>
      </c>
      <c r="B3958" t="s">
        <v>8482</v>
      </c>
      <c r="C3958">
        <v>6</v>
      </c>
      <c r="D3958" t="str">
        <f>VLOOKUP(Tabela26[[#This Row],[EMP]],[1]LOJA!$A:$B,2,0)</f>
        <v>GAMA</v>
      </c>
      <c r="E3958">
        <v>245</v>
      </c>
      <c r="F3958" t="s">
        <v>7521</v>
      </c>
      <c r="G3958" t="s">
        <v>7520</v>
      </c>
      <c r="H3958" t="s">
        <v>3430</v>
      </c>
      <c r="I3958">
        <v>5102</v>
      </c>
      <c r="J3958" s="3">
        <v>9</v>
      </c>
      <c r="K3958" s="3">
        <v>4.16</v>
      </c>
      <c r="L3958">
        <v>53.78</v>
      </c>
    </row>
    <row r="3959" spans="1:12">
      <c r="A3959" s="1">
        <v>46039</v>
      </c>
      <c r="B3959" t="s">
        <v>8481</v>
      </c>
      <c r="C3959">
        <v>6</v>
      </c>
      <c r="D3959" t="str">
        <f>VLOOKUP(Tabela26[[#This Row],[EMP]],[1]LOJA!$A:$B,2,0)</f>
        <v>GAMA</v>
      </c>
      <c r="E3959">
        <v>245</v>
      </c>
      <c r="F3959" t="s">
        <v>3403</v>
      </c>
      <c r="G3959" t="s">
        <v>8480</v>
      </c>
      <c r="H3959" t="s">
        <v>3401</v>
      </c>
      <c r="I3959">
        <v>5102</v>
      </c>
      <c r="J3959" s="3">
        <v>87</v>
      </c>
      <c r="K3959" s="3">
        <v>46.99</v>
      </c>
      <c r="L3959">
        <v>45.99</v>
      </c>
    </row>
    <row r="3960" spans="1:12">
      <c r="A3960" s="1">
        <v>46039</v>
      </c>
      <c r="B3960" t="s">
        <v>8479</v>
      </c>
      <c r="C3960">
        <v>14</v>
      </c>
      <c r="D3960" t="str">
        <f>VLOOKUP(Tabela26[[#This Row],[EMP]],[1]LOJA!$A:$B,2,0)</f>
        <v>S IA</v>
      </c>
      <c r="E3960">
        <v>54</v>
      </c>
      <c r="F3960" t="s">
        <v>3403</v>
      </c>
      <c r="G3960" t="s">
        <v>3402</v>
      </c>
      <c r="H3960" t="s">
        <v>3401</v>
      </c>
      <c r="I3960">
        <v>5405</v>
      </c>
      <c r="J3960" s="3">
        <v>29.9</v>
      </c>
      <c r="K3960" s="3">
        <v>12.63</v>
      </c>
      <c r="L3960">
        <v>57.76</v>
      </c>
    </row>
    <row r="3961" spans="1:12">
      <c r="A3961" s="1">
        <v>46039</v>
      </c>
      <c r="B3961" t="s">
        <v>8478</v>
      </c>
      <c r="C3961">
        <v>14</v>
      </c>
      <c r="D3961" t="str">
        <f>VLOOKUP(Tabela26[[#This Row],[EMP]],[1]LOJA!$A:$B,2,0)</f>
        <v>S IA</v>
      </c>
      <c r="E3961">
        <v>54</v>
      </c>
      <c r="F3961" t="s">
        <v>3403</v>
      </c>
      <c r="G3961" t="s">
        <v>3402</v>
      </c>
      <c r="H3961" t="s">
        <v>3401</v>
      </c>
      <c r="I3961">
        <v>5102</v>
      </c>
      <c r="J3961" s="3">
        <v>30</v>
      </c>
      <c r="K3961" s="3">
        <v>14.82</v>
      </c>
      <c r="L3961">
        <v>50.6</v>
      </c>
    </row>
    <row r="3962" spans="1:12">
      <c r="A3962" s="1">
        <v>46039</v>
      </c>
      <c r="B3962" t="s">
        <v>8477</v>
      </c>
      <c r="C3962">
        <v>14</v>
      </c>
      <c r="D3962" t="str">
        <f>VLOOKUP(Tabela26[[#This Row],[EMP]],[1]LOJA!$A:$B,2,0)</f>
        <v>S IA</v>
      </c>
      <c r="E3962">
        <v>54</v>
      </c>
      <c r="F3962" t="s">
        <v>3403</v>
      </c>
      <c r="G3962" t="s">
        <v>3402</v>
      </c>
      <c r="H3962" t="s">
        <v>3401</v>
      </c>
      <c r="I3962">
        <v>5102</v>
      </c>
      <c r="J3962" s="3">
        <v>126</v>
      </c>
      <c r="K3962" s="3">
        <v>57.8</v>
      </c>
      <c r="L3962">
        <v>54.13</v>
      </c>
    </row>
    <row r="3963" spans="1:12">
      <c r="A3963" s="1">
        <v>46039</v>
      </c>
      <c r="B3963" t="s">
        <v>8476</v>
      </c>
      <c r="C3963">
        <v>14</v>
      </c>
      <c r="D3963" t="str">
        <f>VLOOKUP(Tabela26[[#This Row],[EMP]],[1]LOJA!$A:$B,2,0)</f>
        <v>S IA</v>
      </c>
      <c r="E3963">
        <v>54</v>
      </c>
      <c r="F3963" t="s">
        <v>3403</v>
      </c>
      <c r="G3963" t="s">
        <v>3402</v>
      </c>
      <c r="H3963" t="s">
        <v>3401</v>
      </c>
      <c r="I3963">
        <v>5102</v>
      </c>
      <c r="J3963" s="3">
        <v>53.52</v>
      </c>
      <c r="K3963" s="3">
        <v>27.13</v>
      </c>
      <c r="L3963">
        <v>49.31</v>
      </c>
    </row>
    <row r="3964" spans="1:12">
      <c r="A3964" s="1">
        <v>46039</v>
      </c>
      <c r="B3964" t="s">
        <v>8475</v>
      </c>
      <c r="C3964">
        <v>14</v>
      </c>
      <c r="D3964" t="str">
        <f>VLOOKUP(Tabela26[[#This Row],[EMP]],[1]LOJA!$A:$B,2,0)</f>
        <v>S IA</v>
      </c>
      <c r="E3964">
        <v>54</v>
      </c>
      <c r="F3964" t="s">
        <v>3403</v>
      </c>
      <c r="G3964" t="s">
        <v>3402</v>
      </c>
      <c r="H3964" t="s">
        <v>3401</v>
      </c>
      <c r="I3964">
        <v>5102</v>
      </c>
      <c r="J3964" s="3">
        <v>84.25</v>
      </c>
      <c r="K3964" s="3">
        <v>39.35</v>
      </c>
      <c r="L3964">
        <v>53.29</v>
      </c>
    </row>
    <row r="3965" spans="1:12">
      <c r="A3965" s="1">
        <v>46039</v>
      </c>
      <c r="B3965" t="s">
        <v>8474</v>
      </c>
      <c r="C3965">
        <v>14</v>
      </c>
      <c r="D3965" t="str">
        <f>VLOOKUP(Tabela26[[#This Row],[EMP]],[1]LOJA!$A:$B,2,0)</f>
        <v>S IA</v>
      </c>
      <c r="E3965">
        <v>54</v>
      </c>
      <c r="F3965" t="s">
        <v>3403</v>
      </c>
      <c r="G3965" t="s">
        <v>3402</v>
      </c>
      <c r="H3965" t="s">
        <v>3401</v>
      </c>
      <c r="I3965">
        <v>5102</v>
      </c>
      <c r="J3965" s="3">
        <v>26.33</v>
      </c>
      <c r="K3965" s="3">
        <v>12.96</v>
      </c>
      <c r="L3965">
        <v>50.78</v>
      </c>
    </row>
    <row r="3966" spans="1:12">
      <c r="A3966" s="1">
        <v>46039</v>
      </c>
      <c r="B3966" t="s">
        <v>8473</v>
      </c>
      <c r="C3966">
        <v>14</v>
      </c>
      <c r="D3966" t="str">
        <f>VLOOKUP(Tabela26[[#This Row],[EMP]],[1]LOJA!$A:$B,2,0)</f>
        <v>S IA</v>
      </c>
      <c r="E3966">
        <v>54</v>
      </c>
      <c r="F3966" t="s">
        <v>8472</v>
      </c>
      <c r="G3966" t="s">
        <v>8471</v>
      </c>
      <c r="H3966" t="s">
        <v>3401</v>
      </c>
      <c r="I3966">
        <v>5405</v>
      </c>
      <c r="J3966" s="3">
        <v>350</v>
      </c>
      <c r="K3966" s="3">
        <v>189.27</v>
      </c>
      <c r="L3966">
        <v>45.92</v>
      </c>
    </row>
    <row r="3967" spans="1:12">
      <c r="A3967" s="1">
        <v>46039</v>
      </c>
      <c r="B3967" t="s">
        <v>8470</v>
      </c>
      <c r="C3967">
        <v>14</v>
      </c>
      <c r="D3967" t="str">
        <f>VLOOKUP(Tabela26[[#This Row],[EMP]],[1]LOJA!$A:$B,2,0)</f>
        <v>S IA</v>
      </c>
      <c r="E3967">
        <v>54</v>
      </c>
      <c r="F3967" t="s">
        <v>8469</v>
      </c>
      <c r="G3967" t="s">
        <v>8468</v>
      </c>
      <c r="H3967" t="s">
        <v>3401</v>
      </c>
      <c r="I3967">
        <v>5405</v>
      </c>
      <c r="J3967" s="3">
        <v>139.80000000000001</v>
      </c>
      <c r="K3967" s="3">
        <v>64.86</v>
      </c>
      <c r="L3967">
        <v>53.61</v>
      </c>
    </row>
    <row r="3968" spans="1:12">
      <c r="A3968" s="1">
        <v>46039</v>
      </c>
      <c r="B3968" t="s">
        <v>8467</v>
      </c>
      <c r="C3968">
        <v>14</v>
      </c>
      <c r="D3968" t="str">
        <f>VLOOKUP(Tabela26[[#This Row],[EMP]],[1]LOJA!$A:$B,2,0)</f>
        <v>S IA</v>
      </c>
      <c r="E3968">
        <v>54</v>
      </c>
      <c r="F3968" t="s">
        <v>3403</v>
      </c>
      <c r="G3968" t="s">
        <v>3402</v>
      </c>
      <c r="H3968" t="s">
        <v>3401</v>
      </c>
      <c r="I3968">
        <v>5102</v>
      </c>
      <c r="J3968" s="3">
        <v>3</v>
      </c>
      <c r="K3968" s="3">
        <v>1.35</v>
      </c>
      <c r="L3968">
        <v>55</v>
      </c>
    </row>
    <row r="3969" spans="1:12">
      <c r="A3969" s="1">
        <v>46039</v>
      </c>
      <c r="B3969" t="s">
        <v>8466</v>
      </c>
      <c r="C3969">
        <v>14</v>
      </c>
      <c r="D3969" t="str">
        <f>VLOOKUP(Tabela26[[#This Row],[EMP]],[1]LOJA!$A:$B,2,0)</f>
        <v>S IA</v>
      </c>
      <c r="E3969">
        <v>54</v>
      </c>
      <c r="F3969" t="s">
        <v>3403</v>
      </c>
      <c r="G3969" t="s">
        <v>3402</v>
      </c>
      <c r="H3969" t="s">
        <v>3401</v>
      </c>
      <c r="I3969">
        <v>5102</v>
      </c>
      <c r="J3969" s="3">
        <v>19</v>
      </c>
      <c r="K3969" s="3">
        <v>10.46</v>
      </c>
      <c r="L3969">
        <v>44.95</v>
      </c>
    </row>
    <row r="3970" spans="1:12">
      <c r="A3970" s="1">
        <v>46039</v>
      </c>
      <c r="B3970" t="s">
        <v>8465</v>
      </c>
      <c r="C3970">
        <v>15</v>
      </c>
      <c r="D3970" t="str">
        <f>VLOOKUP(Tabela26[[#This Row],[EMP]],[1]LOJA!$A:$B,2,0)</f>
        <v>UNAÍ</v>
      </c>
      <c r="E3970">
        <v>183</v>
      </c>
      <c r="F3970" t="s">
        <v>8464</v>
      </c>
      <c r="G3970" t="s">
        <v>8463</v>
      </c>
      <c r="H3970" t="s">
        <v>3401</v>
      </c>
      <c r="I3970">
        <v>5102</v>
      </c>
      <c r="J3970" s="3">
        <v>22</v>
      </c>
      <c r="K3970" s="3">
        <v>13.12</v>
      </c>
      <c r="L3970">
        <v>40.36</v>
      </c>
    </row>
    <row r="3971" spans="1:12">
      <c r="A3971" s="1">
        <v>46039</v>
      </c>
      <c r="B3971" t="s">
        <v>8462</v>
      </c>
      <c r="C3971">
        <v>15</v>
      </c>
      <c r="D3971" t="str">
        <f>VLOOKUP(Tabela26[[#This Row],[EMP]],[1]LOJA!$A:$B,2,0)</f>
        <v>UNAÍ</v>
      </c>
      <c r="E3971">
        <v>183</v>
      </c>
      <c r="F3971" t="s">
        <v>4751</v>
      </c>
      <c r="G3971" t="s">
        <v>4750</v>
      </c>
      <c r="H3971" t="s">
        <v>3401</v>
      </c>
      <c r="I3971">
        <v>5102</v>
      </c>
      <c r="J3971" s="3">
        <v>75.5</v>
      </c>
      <c r="K3971" s="3">
        <v>38.729999999999997</v>
      </c>
      <c r="L3971">
        <v>48.7</v>
      </c>
    </row>
    <row r="3972" spans="1:12">
      <c r="A3972" s="1">
        <v>46039</v>
      </c>
      <c r="B3972" t="s">
        <v>8461</v>
      </c>
      <c r="C3972">
        <v>15</v>
      </c>
      <c r="D3972" t="str">
        <f>VLOOKUP(Tabela26[[#This Row],[EMP]],[1]LOJA!$A:$B,2,0)</f>
        <v>UNAÍ</v>
      </c>
      <c r="E3972">
        <v>183</v>
      </c>
      <c r="F3972" t="s">
        <v>4655</v>
      </c>
      <c r="G3972" t="s">
        <v>4654</v>
      </c>
      <c r="H3972" t="s">
        <v>3401</v>
      </c>
      <c r="I3972">
        <v>5102</v>
      </c>
      <c r="J3972" s="3">
        <v>19</v>
      </c>
      <c r="K3972" s="3">
        <v>5.83</v>
      </c>
      <c r="L3972">
        <v>69.319999999999993</v>
      </c>
    </row>
    <row r="3973" spans="1:12">
      <c r="A3973" s="1">
        <v>46039</v>
      </c>
      <c r="B3973" t="s">
        <v>8460</v>
      </c>
      <c r="C3973">
        <v>15</v>
      </c>
      <c r="D3973" t="str">
        <f>VLOOKUP(Tabela26[[#This Row],[EMP]],[1]LOJA!$A:$B,2,0)</f>
        <v>UNAÍ</v>
      </c>
      <c r="E3973">
        <v>183</v>
      </c>
      <c r="F3973" t="s">
        <v>3957</v>
      </c>
      <c r="G3973" t="s">
        <v>3956</v>
      </c>
      <c r="H3973" t="s">
        <v>3401</v>
      </c>
      <c r="I3973">
        <v>5102</v>
      </c>
      <c r="J3973" s="3">
        <v>33.5</v>
      </c>
      <c r="K3973" s="3">
        <v>19.54</v>
      </c>
      <c r="L3973">
        <v>41.67</v>
      </c>
    </row>
    <row r="3974" spans="1:12">
      <c r="A3974" s="1">
        <v>46039</v>
      </c>
      <c r="B3974" t="s">
        <v>8459</v>
      </c>
      <c r="C3974">
        <v>12</v>
      </c>
      <c r="D3974" t="str">
        <f>VLOOKUP(Tabela26[[#This Row],[EMP]],[1]LOJA!$A:$B,2,0)</f>
        <v>SOFNORTE</v>
      </c>
      <c r="E3974">
        <v>60</v>
      </c>
      <c r="F3974" t="s">
        <v>5057</v>
      </c>
      <c r="G3974" t="s">
        <v>5056</v>
      </c>
      <c r="H3974" t="s">
        <v>3430</v>
      </c>
      <c r="I3974">
        <v>5405</v>
      </c>
      <c r="J3974" s="3">
        <v>67.41</v>
      </c>
      <c r="K3974" s="3">
        <v>32.869999999999997</v>
      </c>
      <c r="L3974">
        <v>51.24</v>
      </c>
    </row>
    <row r="3975" spans="1:12">
      <c r="A3975" s="1">
        <v>46039</v>
      </c>
      <c r="B3975" t="s">
        <v>8458</v>
      </c>
      <c r="C3975">
        <v>12</v>
      </c>
      <c r="D3975" t="str">
        <f>VLOOKUP(Tabela26[[#This Row],[EMP]],[1]LOJA!$A:$B,2,0)</f>
        <v>SOFNORTE</v>
      </c>
      <c r="E3975">
        <v>60</v>
      </c>
      <c r="F3975" t="s">
        <v>4817</v>
      </c>
      <c r="G3975" t="s">
        <v>4816</v>
      </c>
      <c r="H3975" t="s">
        <v>3430</v>
      </c>
      <c r="I3975">
        <v>5405</v>
      </c>
      <c r="J3975" s="3">
        <v>1222.02</v>
      </c>
      <c r="K3975" s="3">
        <v>607.32000000000005</v>
      </c>
      <c r="L3975">
        <v>50.3</v>
      </c>
    </row>
    <row r="3976" spans="1:12">
      <c r="A3976" s="1">
        <v>46039</v>
      </c>
      <c r="B3976" t="s">
        <v>8457</v>
      </c>
      <c r="C3976">
        <v>12</v>
      </c>
      <c r="D3976" t="str">
        <f>VLOOKUP(Tabela26[[#This Row],[EMP]],[1]LOJA!$A:$B,2,0)</f>
        <v>SOFNORTE</v>
      </c>
      <c r="E3976">
        <v>60</v>
      </c>
      <c r="F3976" t="s">
        <v>8456</v>
      </c>
      <c r="G3976" t="s">
        <v>8455</v>
      </c>
      <c r="H3976" t="s">
        <v>3430</v>
      </c>
      <c r="I3976">
        <v>5102</v>
      </c>
      <c r="J3976" s="3">
        <v>62.89</v>
      </c>
      <c r="K3976" s="3">
        <v>40.08</v>
      </c>
      <c r="L3976">
        <v>36.270000000000003</v>
      </c>
    </row>
    <row r="3977" spans="1:12">
      <c r="A3977" s="1">
        <v>46039</v>
      </c>
      <c r="B3977" t="s">
        <v>8454</v>
      </c>
      <c r="C3977">
        <v>12</v>
      </c>
      <c r="D3977" t="str">
        <f>VLOOKUP(Tabela26[[#This Row],[EMP]],[1]LOJA!$A:$B,2,0)</f>
        <v>SOFNORTE</v>
      </c>
      <c r="E3977">
        <v>60</v>
      </c>
      <c r="F3977" t="s">
        <v>3461</v>
      </c>
      <c r="G3977" t="s">
        <v>3460</v>
      </c>
      <c r="H3977" t="s">
        <v>3430</v>
      </c>
      <c r="I3977">
        <v>5405</v>
      </c>
      <c r="J3977" s="3">
        <v>82.7</v>
      </c>
      <c r="K3977" s="3">
        <v>41.82</v>
      </c>
      <c r="L3977">
        <v>49.43</v>
      </c>
    </row>
    <row r="3978" spans="1:12">
      <c r="A3978" s="1">
        <v>46039</v>
      </c>
      <c r="B3978" t="s">
        <v>8453</v>
      </c>
      <c r="C3978">
        <v>22</v>
      </c>
      <c r="D3978" t="str">
        <f>VLOOKUP(Tabela26[[#This Row],[EMP]],[1]LOJA!$A:$B,2,0)</f>
        <v>GUARÁ</v>
      </c>
      <c r="E3978">
        <v>93</v>
      </c>
      <c r="F3978" t="s">
        <v>3403</v>
      </c>
      <c r="G3978" t="s">
        <v>3402</v>
      </c>
      <c r="H3978" t="s">
        <v>3401</v>
      </c>
      <c r="I3978">
        <v>5102</v>
      </c>
      <c r="J3978" s="3">
        <v>7</v>
      </c>
      <c r="K3978" s="3">
        <v>3.93</v>
      </c>
      <c r="L3978">
        <v>43.86</v>
      </c>
    </row>
    <row r="3979" spans="1:12">
      <c r="A3979" s="1">
        <v>46039</v>
      </c>
      <c r="B3979" t="s">
        <v>8452</v>
      </c>
      <c r="C3979">
        <v>22</v>
      </c>
      <c r="D3979" t="str">
        <f>VLOOKUP(Tabela26[[#This Row],[EMP]],[1]LOJA!$A:$B,2,0)</f>
        <v>GUARÁ</v>
      </c>
      <c r="E3979">
        <v>93</v>
      </c>
      <c r="F3979" t="s">
        <v>3403</v>
      </c>
      <c r="G3979" t="s">
        <v>3402</v>
      </c>
      <c r="H3979" t="s">
        <v>3401</v>
      </c>
      <c r="I3979">
        <v>5405</v>
      </c>
      <c r="J3979" s="3">
        <v>63</v>
      </c>
      <c r="K3979" s="3">
        <v>31.91</v>
      </c>
      <c r="L3979">
        <v>49.35</v>
      </c>
    </row>
    <row r="3980" spans="1:12">
      <c r="A3980" s="1">
        <v>46039</v>
      </c>
      <c r="B3980" t="s">
        <v>8451</v>
      </c>
      <c r="C3980">
        <v>22</v>
      </c>
      <c r="D3980" t="str">
        <f>VLOOKUP(Tabela26[[#This Row],[EMP]],[1]LOJA!$A:$B,2,0)</f>
        <v>GUARÁ</v>
      </c>
      <c r="E3980">
        <v>93</v>
      </c>
      <c r="F3980" t="s">
        <v>3403</v>
      </c>
      <c r="G3980" t="s">
        <v>3402</v>
      </c>
      <c r="H3980" t="s">
        <v>3401</v>
      </c>
      <c r="I3980">
        <v>5102</v>
      </c>
      <c r="J3980" s="3">
        <v>12</v>
      </c>
      <c r="K3980" s="3">
        <v>6.16</v>
      </c>
      <c r="L3980">
        <v>48.67</v>
      </c>
    </row>
    <row r="3981" spans="1:12">
      <c r="A3981" s="1">
        <v>46039</v>
      </c>
      <c r="B3981" t="s">
        <v>8450</v>
      </c>
      <c r="C3981">
        <v>22</v>
      </c>
      <c r="D3981" t="str">
        <f>VLOOKUP(Tabela26[[#This Row],[EMP]],[1]LOJA!$A:$B,2,0)</f>
        <v>GUARÁ</v>
      </c>
      <c r="E3981">
        <v>93</v>
      </c>
      <c r="F3981" t="s">
        <v>8449</v>
      </c>
      <c r="G3981" t="s">
        <v>8448</v>
      </c>
      <c r="H3981" t="s">
        <v>3401</v>
      </c>
      <c r="I3981">
        <v>5405</v>
      </c>
      <c r="J3981" s="3">
        <v>208</v>
      </c>
      <c r="K3981" s="3">
        <v>107.74</v>
      </c>
      <c r="L3981">
        <v>48.2</v>
      </c>
    </row>
    <row r="3982" spans="1:12">
      <c r="A3982" s="1">
        <v>46039</v>
      </c>
      <c r="B3982" t="s">
        <v>8447</v>
      </c>
      <c r="C3982">
        <v>22</v>
      </c>
      <c r="D3982" t="str">
        <f>VLOOKUP(Tabela26[[#This Row],[EMP]],[1]LOJA!$A:$B,2,0)</f>
        <v>GUARÁ</v>
      </c>
      <c r="E3982">
        <v>93</v>
      </c>
      <c r="F3982" t="s">
        <v>3403</v>
      </c>
      <c r="G3982" t="s">
        <v>3402</v>
      </c>
      <c r="H3982" t="s">
        <v>3401</v>
      </c>
      <c r="I3982">
        <v>5102</v>
      </c>
      <c r="J3982" s="3">
        <v>32</v>
      </c>
      <c r="K3982" s="3">
        <v>16.579999999999998</v>
      </c>
      <c r="L3982">
        <v>48.19</v>
      </c>
    </row>
    <row r="3983" spans="1:12">
      <c r="A3983" s="1">
        <v>46039</v>
      </c>
      <c r="B3983" t="s">
        <v>8446</v>
      </c>
      <c r="C3983">
        <v>22</v>
      </c>
      <c r="D3983" t="str">
        <f>VLOOKUP(Tabela26[[#This Row],[EMP]],[1]LOJA!$A:$B,2,0)</f>
        <v>GUARÁ</v>
      </c>
      <c r="E3983">
        <v>93</v>
      </c>
      <c r="F3983" t="s">
        <v>3403</v>
      </c>
      <c r="G3983" t="s">
        <v>3402</v>
      </c>
      <c r="H3983" t="s">
        <v>3401</v>
      </c>
      <c r="I3983">
        <v>5102</v>
      </c>
      <c r="J3983" s="3">
        <v>85</v>
      </c>
      <c r="K3983" s="3">
        <v>42.4</v>
      </c>
      <c r="L3983">
        <v>50.12</v>
      </c>
    </row>
    <row r="3984" spans="1:12">
      <c r="A3984" s="1">
        <v>46039</v>
      </c>
      <c r="B3984" t="s">
        <v>8445</v>
      </c>
      <c r="C3984">
        <v>22</v>
      </c>
      <c r="D3984" t="str">
        <f>VLOOKUP(Tabela26[[#This Row],[EMP]],[1]LOJA!$A:$B,2,0)</f>
        <v>GUARÁ</v>
      </c>
      <c r="E3984">
        <v>93</v>
      </c>
      <c r="F3984" t="s">
        <v>3870</v>
      </c>
      <c r="G3984" t="s">
        <v>3869</v>
      </c>
      <c r="H3984" t="s">
        <v>3401</v>
      </c>
      <c r="I3984">
        <v>5102</v>
      </c>
      <c r="J3984" s="3">
        <v>30</v>
      </c>
      <c r="K3984" s="3">
        <v>9.82</v>
      </c>
      <c r="L3984">
        <v>67.27</v>
      </c>
    </row>
    <row r="3985" spans="1:12">
      <c r="A3985" s="1">
        <v>46039</v>
      </c>
      <c r="B3985" t="s">
        <v>8444</v>
      </c>
      <c r="C3985">
        <v>22</v>
      </c>
      <c r="D3985" t="str">
        <f>VLOOKUP(Tabela26[[#This Row],[EMP]],[1]LOJA!$A:$B,2,0)</f>
        <v>GUARÁ</v>
      </c>
      <c r="E3985">
        <v>93</v>
      </c>
      <c r="F3985" t="s">
        <v>3403</v>
      </c>
      <c r="G3985" t="s">
        <v>3402</v>
      </c>
      <c r="H3985" t="s">
        <v>3401</v>
      </c>
      <c r="I3985">
        <v>5102</v>
      </c>
      <c r="J3985" s="3">
        <v>70</v>
      </c>
      <c r="K3985" s="3">
        <v>30.35</v>
      </c>
      <c r="L3985">
        <v>56.64</v>
      </c>
    </row>
    <row r="3986" spans="1:12">
      <c r="A3986" s="1">
        <v>46039</v>
      </c>
      <c r="B3986" t="s">
        <v>8443</v>
      </c>
      <c r="C3986">
        <v>22</v>
      </c>
      <c r="D3986" t="str">
        <f>VLOOKUP(Tabela26[[#This Row],[EMP]],[1]LOJA!$A:$B,2,0)</f>
        <v>GUARÁ</v>
      </c>
      <c r="E3986">
        <v>93</v>
      </c>
      <c r="F3986" t="s">
        <v>4593</v>
      </c>
      <c r="G3986" t="s">
        <v>4592</v>
      </c>
      <c r="H3986" t="s">
        <v>3401</v>
      </c>
      <c r="I3986">
        <v>5102</v>
      </c>
      <c r="J3986" s="3">
        <v>110</v>
      </c>
      <c r="K3986" s="3">
        <v>61.41</v>
      </c>
      <c r="L3986">
        <v>44.17</v>
      </c>
    </row>
    <row r="3987" spans="1:12">
      <c r="A3987" s="1">
        <v>46039</v>
      </c>
      <c r="B3987" t="s">
        <v>8442</v>
      </c>
      <c r="C3987">
        <v>22</v>
      </c>
      <c r="D3987" t="str">
        <f>VLOOKUP(Tabela26[[#This Row],[EMP]],[1]LOJA!$A:$B,2,0)</f>
        <v>GUARÁ</v>
      </c>
      <c r="E3987">
        <v>93</v>
      </c>
      <c r="F3987" t="s">
        <v>3403</v>
      </c>
      <c r="G3987" t="s">
        <v>3402</v>
      </c>
      <c r="H3987" t="s">
        <v>3401</v>
      </c>
      <c r="I3987">
        <v>5405</v>
      </c>
      <c r="J3987" s="3">
        <v>78</v>
      </c>
      <c r="K3987" s="3">
        <v>41.82</v>
      </c>
      <c r="L3987">
        <v>46.38</v>
      </c>
    </row>
    <row r="3988" spans="1:12">
      <c r="A3988" s="1">
        <v>46039</v>
      </c>
      <c r="B3988" t="s">
        <v>8441</v>
      </c>
      <c r="C3988">
        <v>4</v>
      </c>
      <c r="D3988" t="str">
        <f>VLOOKUP(Tabela26[[#This Row],[EMP]],[1]LOJA!$A:$B,2,0)</f>
        <v>ADE</v>
      </c>
      <c r="E3988">
        <v>109</v>
      </c>
      <c r="F3988" t="s">
        <v>8440</v>
      </c>
      <c r="G3988" t="s">
        <v>3402</v>
      </c>
      <c r="H3988" t="s">
        <v>3401</v>
      </c>
      <c r="I3988">
        <v>5102</v>
      </c>
      <c r="J3988" s="3">
        <v>37</v>
      </c>
      <c r="K3988" s="3">
        <v>19.73</v>
      </c>
      <c r="L3988">
        <v>46.68</v>
      </c>
    </row>
    <row r="3989" spans="1:12">
      <c r="A3989" s="1">
        <v>46039</v>
      </c>
      <c r="B3989" t="s">
        <v>8439</v>
      </c>
      <c r="C3989">
        <v>4</v>
      </c>
      <c r="D3989" t="str">
        <f>VLOOKUP(Tabela26[[#This Row],[EMP]],[1]LOJA!$A:$B,2,0)</f>
        <v>ADE</v>
      </c>
      <c r="E3989">
        <v>109</v>
      </c>
      <c r="F3989" t="s">
        <v>8438</v>
      </c>
      <c r="G3989" t="s">
        <v>8437</v>
      </c>
      <c r="H3989" t="s">
        <v>3401</v>
      </c>
      <c r="I3989">
        <v>5102</v>
      </c>
      <c r="J3989" s="3">
        <v>130</v>
      </c>
      <c r="K3989" s="3">
        <v>55.6</v>
      </c>
      <c r="L3989">
        <v>57.23</v>
      </c>
    </row>
    <row r="3990" spans="1:12">
      <c r="A3990" s="1">
        <v>46039</v>
      </c>
      <c r="B3990" t="s">
        <v>8436</v>
      </c>
      <c r="C3990">
        <v>4</v>
      </c>
      <c r="D3990" t="str">
        <f>VLOOKUP(Tabela26[[#This Row],[EMP]],[1]LOJA!$A:$B,2,0)</f>
        <v>ADE</v>
      </c>
      <c r="E3990">
        <v>109</v>
      </c>
      <c r="F3990" t="s">
        <v>8435</v>
      </c>
      <c r="G3990" t="s">
        <v>3402</v>
      </c>
      <c r="H3990" t="s">
        <v>3401</v>
      </c>
      <c r="I3990">
        <v>5102</v>
      </c>
      <c r="J3990" s="3">
        <v>51</v>
      </c>
      <c r="K3990" s="3">
        <v>28.56</v>
      </c>
      <c r="L3990">
        <v>44</v>
      </c>
    </row>
    <row r="3991" spans="1:12">
      <c r="A3991" s="1">
        <v>46039</v>
      </c>
      <c r="B3991" t="s">
        <v>8434</v>
      </c>
      <c r="C3991">
        <v>4</v>
      </c>
      <c r="D3991" t="str">
        <f>VLOOKUP(Tabela26[[#This Row],[EMP]],[1]LOJA!$A:$B,2,0)</f>
        <v>ADE</v>
      </c>
      <c r="E3991">
        <v>109</v>
      </c>
      <c r="F3991" t="s">
        <v>6081</v>
      </c>
      <c r="G3991" t="s">
        <v>6080</v>
      </c>
      <c r="H3991" t="s">
        <v>3401</v>
      </c>
      <c r="I3991">
        <v>5102</v>
      </c>
      <c r="J3991" s="3">
        <v>94</v>
      </c>
      <c r="K3991" s="3">
        <v>46.8</v>
      </c>
      <c r="L3991">
        <v>50.21</v>
      </c>
    </row>
    <row r="3992" spans="1:12">
      <c r="A3992" s="1">
        <v>46039</v>
      </c>
      <c r="B3992" t="s">
        <v>8433</v>
      </c>
      <c r="C3992">
        <v>4</v>
      </c>
      <c r="D3992" t="str">
        <f>VLOOKUP(Tabela26[[#This Row],[EMP]],[1]LOJA!$A:$B,2,0)</f>
        <v>ADE</v>
      </c>
      <c r="E3992">
        <v>109</v>
      </c>
      <c r="F3992" t="s">
        <v>8432</v>
      </c>
      <c r="G3992" t="s">
        <v>3402</v>
      </c>
      <c r="H3992" t="s">
        <v>3401</v>
      </c>
      <c r="I3992">
        <v>5102</v>
      </c>
      <c r="J3992" s="3">
        <v>70</v>
      </c>
      <c r="K3992" s="3">
        <v>40.57</v>
      </c>
      <c r="L3992">
        <v>42.04</v>
      </c>
    </row>
    <row r="3993" spans="1:12">
      <c r="A3993" s="1">
        <v>46039</v>
      </c>
      <c r="B3993" t="s">
        <v>8431</v>
      </c>
      <c r="C3993">
        <v>16</v>
      </c>
      <c r="D3993" t="str">
        <f>VLOOKUP(Tabela26[[#This Row],[EMP]],[1]LOJA!$A:$B,2,0)</f>
        <v>AG LINDAS</v>
      </c>
      <c r="E3993">
        <v>240</v>
      </c>
      <c r="F3993" t="s">
        <v>8430</v>
      </c>
      <c r="G3993" t="s">
        <v>3437</v>
      </c>
      <c r="H3993" t="s">
        <v>3401</v>
      </c>
      <c r="I3993">
        <v>5405</v>
      </c>
      <c r="J3993" s="3">
        <v>120</v>
      </c>
      <c r="K3993" s="3">
        <v>65.989999999999995</v>
      </c>
      <c r="L3993">
        <v>45.01</v>
      </c>
    </row>
    <row r="3994" spans="1:12">
      <c r="A3994" s="1">
        <v>46039</v>
      </c>
      <c r="B3994" t="s">
        <v>8429</v>
      </c>
      <c r="C3994">
        <v>16</v>
      </c>
      <c r="D3994" t="str">
        <f>VLOOKUP(Tabela26[[#This Row],[EMP]],[1]LOJA!$A:$B,2,0)</f>
        <v>AG LINDAS</v>
      </c>
      <c r="E3994">
        <v>240</v>
      </c>
      <c r="F3994" t="s">
        <v>8428</v>
      </c>
      <c r="G3994" t="s">
        <v>3437</v>
      </c>
      <c r="H3994" t="s">
        <v>3401</v>
      </c>
      <c r="I3994">
        <v>5102</v>
      </c>
      <c r="J3994" s="3">
        <v>31</v>
      </c>
      <c r="K3994" s="3">
        <v>18.22</v>
      </c>
      <c r="L3994">
        <v>41.23</v>
      </c>
    </row>
    <row r="3995" spans="1:12">
      <c r="A3995" s="1">
        <v>46039</v>
      </c>
      <c r="B3995" t="s">
        <v>8427</v>
      </c>
      <c r="C3995">
        <v>16</v>
      </c>
      <c r="D3995" t="str">
        <f>VLOOKUP(Tabela26[[#This Row],[EMP]],[1]LOJA!$A:$B,2,0)</f>
        <v>AG LINDAS</v>
      </c>
      <c r="E3995">
        <v>240</v>
      </c>
      <c r="F3995" t="s">
        <v>3780</v>
      </c>
      <c r="G3995" t="s">
        <v>3437</v>
      </c>
      <c r="H3995" t="s">
        <v>3401</v>
      </c>
      <c r="I3995">
        <v>5102</v>
      </c>
      <c r="J3995" s="3">
        <v>56.9</v>
      </c>
      <c r="K3995" s="3">
        <v>24.06</v>
      </c>
      <c r="L3995">
        <v>57.72</v>
      </c>
    </row>
    <row r="3996" spans="1:12">
      <c r="A3996" s="1">
        <v>46039</v>
      </c>
      <c r="B3996" t="s">
        <v>8426</v>
      </c>
      <c r="C3996">
        <v>16</v>
      </c>
      <c r="D3996" t="str">
        <f>VLOOKUP(Tabela26[[#This Row],[EMP]],[1]LOJA!$A:$B,2,0)</f>
        <v>AG LINDAS</v>
      </c>
      <c r="E3996">
        <v>240</v>
      </c>
      <c r="F3996" t="s">
        <v>3808</v>
      </c>
      <c r="G3996" t="s">
        <v>3807</v>
      </c>
      <c r="H3996" t="s">
        <v>3408</v>
      </c>
      <c r="I3996">
        <v>5102</v>
      </c>
      <c r="J3996" s="3">
        <v>243.4</v>
      </c>
      <c r="K3996" s="3">
        <v>139.91</v>
      </c>
      <c r="L3996">
        <v>42.52</v>
      </c>
    </row>
    <row r="3997" spans="1:12">
      <c r="A3997" s="1">
        <v>46039</v>
      </c>
      <c r="B3997" t="s">
        <v>8425</v>
      </c>
      <c r="C3997">
        <v>16</v>
      </c>
      <c r="D3997" t="str">
        <f>VLOOKUP(Tabela26[[#This Row],[EMP]],[1]LOJA!$A:$B,2,0)</f>
        <v>AG LINDAS</v>
      </c>
      <c r="E3997">
        <v>240</v>
      </c>
      <c r="F3997" t="s">
        <v>3818</v>
      </c>
      <c r="G3997" t="s">
        <v>3817</v>
      </c>
      <c r="H3997" t="s">
        <v>3401</v>
      </c>
      <c r="I3997">
        <v>5102</v>
      </c>
      <c r="J3997" s="3">
        <v>19.899999999999999</v>
      </c>
      <c r="K3997" s="3">
        <v>12.36</v>
      </c>
      <c r="L3997">
        <v>37.89</v>
      </c>
    </row>
    <row r="3998" spans="1:12">
      <c r="A3998" s="1">
        <v>46039</v>
      </c>
      <c r="B3998" t="s">
        <v>8424</v>
      </c>
      <c r="C3998">
        <v>16</v>
      </c>
      <c r="D3998" t="str">
        <f>VLOOKUP(Tabela26[[#This Row],[EMP]],[1]LOJA!$A:$B,2,0)</f>
        <v>AG LINDAS</v>
      </c>
      <c r="E3998">
        <v>240</v>
      </c>
      <c r="F3998" t="s">
        <v>3799</v>
      </c>
      <c r="G3998" t="s">
        <v>3798</v>
      </c>
      <c r="H3998" t="s">
        <v>3401</v>
      </c>
      <c r="I3998">
        <v>5102</v>
      </c>
      <c r="J3998" s="3">
        <v>18</v>
      </c>
      <c r="K3998" s="3">
        <v>8.32</v>
      </c>
      <c r="L3998">
        <v>53.78</v>
      </c>
    </row>
    <row r="3999" spans="1:12">
      <c r="A3999" s="1">
        <v>46039</v>
      </c>
      <c r="B3999" t="s">
        <v>8423</v>
      </c>
      <c r="C3999">
        <v>16</v>
      </c>
      <c r="D3999" t="str">
        <f>VLOOKUP(Tabela26[[#This Row],[EMP]],[1]LOJA!$A:$B,2,0)</f>
        <v>AG LINDAS</v>
      </c>
      <c r="E3999">
        <v>240</v>
      </c>
      <c r="F3999" t="s">
        <v>7674</v>
      </c>
      <c r="G3999" t="s">
        <v>7673</v>
      </c>
      <c r="H3999" t="s">
        <v>3401</v>
      </c>
      <c r="I3999">
        <v>5405</v>
      </c>
      <c r="J3999" s="3">
        <v>67</v>
      </c>
      <c r="K3999" s="3">
        <v>37.07</v>
      </c>
      <c r="L3999">
        <v>44.67</v>
      </c>
    </row>
    <row r="4000" spans="1:12">
      <c r="A4000" s="1">
        <v>46039</v>
      </c>
      <c r="B4000" t="s">
        <v>8422</v>
      </c>
      <c r="C4000">
        <v>16</v>
      </c>
      <c r="D4000" t="str">
        <f>VLOOKUP(Tabela26[[#This Row],[EMP]],[1]LOJA!$A:$B,2,0)</f>
        <v>AG LINDAS</v>
      </c>
      <c r="E4000">
        <v>240</v>
      </c>
      <c r="F4000" t="s">
        <v>3780</v>
      </c>
      <c r="G4000" t="s">
        <v>3437</v>
      </c>
      <c r="H4000" t="s">
        <v>3401</v>
      </c>
      <c r="I4000">
        <v>5102</v>
      </c>
      <c r="J4000" s="3">
        <v>94</v>
      </c>
      <c r="K4000" s="3">
        <v>49.52</v>
      </c>
      <c r="L4000">
        <v>47.32</v>
      </c>
    </row>
    <row r="4001" spans="1:12">
      <c r="A4001" s="1">
        <v>46039</v>
      </c>
      <c r="B4001" t="s">
        <v>8421</v>
      </c>
      <c r="C4001">
        <v>16</v>
      </c>
      <c r="D4001" t="str">
        <f>VLOOKUP(Tabela26[[#This Row],[EMP]],[1]LOJA!$A:$B,2,0)</f>
        <v>AG LINDAS</v>
      </c>
      <c r="E4001">
        <v>240</v>
      </c>
      <c r="F4001" t="s">
        <v>3796</v>
      </c>
      <c r="G4001" t="s">
        <v>3795</v>
      </c>
      <c r="H4001" t="s">
        <v>3408</v>
      </c>
      <c r="I4001">
        <v>5405</v>
      </c>
      <c r="J4001" s="3">
        <v>180.6</v>
      </c>
      <c r="K4001" s="3">
        <v>94.6</v>
      </c>
      <c r="L4001">
        <v>47.62</v>
      </c>
    </row>
    <row r="4002" spans="1:12">
      <c r="A4002" s="1">
        <v>46039</v>
      </c>
      <c r="B4002" t="s">
        <v>8420</v>
      </c>
      <c r="C4002">
        <v>16</v>
      </c>
      <c r="D4002" t="str">
        <f>VLOOKUP(Tabela26[[#This Row],[EMP]],[1]LOJA!$A:$B,2,0)</f>
        <v>AG LINDAS</v>
      </c>
      <c r="E4002">
        <v>240</v>
      </c>
      <c r="F4002" t="s">
        <v>3808</v>
      </c>
      <c r="G4002" t="s">
        <v>3807</v>
      </c>
      <c r="H4002" t="s">
        <v>3401</v>
      </c>
      <c r="I4002">
        <v>5102</v>
      </c>
      <c r="J4002" s="3">
        <v>112.5</v>
      </c>
      <c r="K4002" s="3">
        <v>70.040000000000006</v>
      </c>
      <c r="L4002">
        <v>37.74</v>
      </c>
    </row>
    <row r="4003" spans="1:12">
      <c r="A4003" s="1">
        <v>46039</v>
      </c>
      <c r="B4003" t="s">
        <v>8419</v>
      </c>
      <c r="C4003">
        <v>16</v>
      </c>
      <c r="D4003" t="str">
        <f>VLOOKUP(Tabela26[[#This Row],[EMP]],[1]LOJA!$A:$B,2,0)</f>
        <v>AG LINDAS</v>
      </c>
      <c r="E4003">
        <v>240</v>
      </c>
      <c r="F4003" t="s">
        <v>7665</v>
      </c>
      <c r="G4003" t="s">
        <v>7664</v>
      </c>
      <c r="H4003" t="s">
        <v>3401</v>
      </c>
      <c r="I4003">
        <v>5102</v>
      </c>
      <c r="J4003" s="3">
        <v>19.5</v>
      </c>
      <c r="K4003" s="3">
        <v>11.53</v>
      </c>
      <c r="L4003">
        <v>40.869999999999997</v>
      </c>
    </row>
    <row r="4004" spans="1:12">
      <c r="A4004" s="1">
        <v>46039</v>
      </c>
      <c r="B4004" t="s">
        <v>8418</v>
      </c>
      <c r="C4004">
        <v>16</v>
      </c>
      <c r="D4004" t="str">
        <f>VLOOKUP(Tabela26[[#This Row],[EMP]],[1]LOJA!$A:$B,2,0)</f>
        <v>AG LINDAS</v>
      </c>
      <c r="E4004">
        <v>240</v>
      </c>
      <c r="F4004" t="s">
        <v>3780</v>
      </c>
      <c r="G4004" t="s">
        <v>3437</v>
      </c>
      <c r="H4004" t="s">
        <v>3401</v>
      </c>
      <c r="I4004">
        <v>5405</v>
      </c>
      <c r="J4004" s="3">
        <v>135</v>
      </c>
      <c r="K4004" s="3">
        <v>68.33</v>
      </c>
      <c r="L4004">
        <v>49.39</v>
      </c>
    </row>
    <row r="4005" spans="1:12">
      <c r="A4005" s="1">
        <v>46039</v>
      </c>
      <c r="B4005" t="s">
        <v>8417</v>
      </c>
      <c r="C4005">
        <v>16</v>
      </c>
      <c r="D4005" t="str">
        <f>VLOOKUP(Tabela26[[#This Row],[EMP]],[1]LOJA!$A:$B,2,0)</f>
        <v>AG LINDAS</v>
      </c>
      <c r="E4005">
        <v>240</v>
      </c>
      <c r="F4005" t="s">
        <v>7665</v>
      </c>
      <c r="G4005" t="s">
        <v>7664</v>
      </c>
      <c r="H4005" t="s">
        <v>3408</v>
      </c>
      <c r="I4005">
        <v>5102</v>
      </c>
      <c r="J4005" s="3">
        <v>35.5</v>
      </c>
      <c r="K4005" s="3">
        <v>17.47</v>
      </c>
      <c r="L4005">
        <v>50.79</v>
      </c>
    </row>
    <row r="4006" spans="1:12">
      <c r="A4006" s="1">
        <v>46039</v>
      </c>
      <c r="B4006" t="s">
        <v>8416</v>
      </c>
      <c r="C4006">
        <v>16</v>
      </c>
      <c r="D4006" t="str">
        <f>VLOOKUP(Tabela26[[#This Row],[EMP]],[1]LOJA!$A:$B,2,0)</f>
        <v>AG LINDAS</v>
      </c>
      <c r="E4006">
        <v>240</v>
      </c>
      <c r="F4006" t="s">
        <v>8415</v>
      </c>
      <c r="G4006" t="s">
        <v>3437</v>
      </c>
      <c r="H4006" t="s">
        <v>3401</v>
      </c>
      <c r="I4006">
        <v>5102</v>
      </c>
      <c r="J4006" s="3">
        <v>137.80000000000001</v>
      </c>
      <c r="K4006" s="3">
        <v>86.57</v>
      </c>
      <c r="L4006">
        <v>37.18</v>
      </c>
    </row>
    <row r="4007" spans="1:12">
      <c r="A4007" s="1">
        <v>46039</v>
      </c>
      <c r="B4007" t="s">
        <v>8414</v>
      </c>
      <c r="C4007">
        <v>16</v>
      </c>
      <c r="D4007" t="str">
        <f>VLOOKUP(Tabela26[[#This Row],[EMP]],[1]LOJA!$A:$B,2,0)</f>
        <v>AG LINDAS</v>
      </c>
      <c r="E4007">
        <v>240</v>
      </c>
      <c r="F4007" t="s">
        <v>8403</v>
      </c>
      <c r="G4007" t="s">
        <v>8402</v>
      </c>
      <c r="H4007" t="s">
        <v>3401</v>
      </c>
      <c r="I4007">
        <v>5405</v>
      </c>
      <c r="J4007" s="3">
        <v>86</v>
      </c>
      <c r="K4007" s="3">
        <v>39.229999999999997</v>
      </c>
      <c r="L4007">
        <v>54.38</v>
      </c>
    </row>
    <row r="4008" spans="1:12">
      <c r="A4008" s="1">
        <v>46039</v>
      </c>
      <c r="B4008" t="s">
        <v>8413</v>
      </c>
      <c r="C4008">
        <v>16</v>
      </c>
      <c r="D4008" t="str">
        <f>VLOOKUP(Tabela26[[#This Row],[EMP]],[1]LOJA!$A:$B,2,0)</f>
        <v>AG LINDAS</v>
      </c>
      <c r="E4008">
        <v>240</v>
      </c>
      <c r="F4008" t="s">
        <v>7678</v>
      </c>
      <c r="G4008" t="s">
        <v>7677</v>
      </c>
      <c r="H4008" t="s">
        <v>3401</v>
      </c>
      <c r="I4008">
        <v>5405</v>
      </c>
      <c r="J4008" s="3">
        <v>59.76</v>
      </c>
      <c r="K4008" s="3">
        <v>32.83</v>
      </c>
      <c r="L4008">
        <v>45.06</v>
      </c>
    </row>
    <row r="4009" spans="1:12">
      <c r="A4009" s="1">
        <v>46039</v>
      </c>
      <c r="B4009" t="s">
        <v>8412</v>
      </c>
      <c r="C4009">
        <v>16</v>
      </c>
      <c r="D4009" t="str">
        <f>VLOOKUP(Tabela26[[#This Row],[EMP]],[1]LOJA!$A:$B,2,0)</f>
        <v>AG LINDAS</v>
      </c>
      <c r="E4009">
        <v>240</v>
      </c>
      <c r="F4009" t="s">
        <v>3780</v>
      </c>
      <c r="G4009" t="s">
        <v>3437</v>
      </c>
      <c r="H4009" t="s">
        <v>3401</v>
      </c>
      <c r="I4009">
        <v>5102</v>
      </c>
      <c r="J4009" s="3">
        <v>67.8</v>
      </c>
      <c r="K4009" s="3">
        <v>28.96</v>
      </c>
      <c r="L4009">
        <v>57.29</v>
      </c>
    </row>
    <row r="4010" spans="1:12">
      <c r="A4010" s="1">
        <v>46039</v>
      </c>
      <c r="B4010" t="s">
        <v>8411</v>
      </c>
      <c r="C4010">
        <v>16</v>
      </c>
      <c r="D4010" t="str">
        <f>VLOOKUP(Tabela26[[#This Row],[EMP]],[1]LOJA!$A:$B,2,0)</f>
        <v>AG LINDAS</v>
      </c>
      <c r="E4010">
        <v>240</v>
      </c>
      <c r="F4010" t="s">
        <v>3780</v>
      </c>
      <c r="G4010" t="s">
        <v>3437</v>
      </c>
      <c r="H4010" t="s">
        <v>3401</v>
      </c>
      <c r="I4010">
        <v>5102</v>
      </c>
      <c r="J4010" s="3">
        <v>8</v>
      </c>
      <c r="K4010" s="3">
        <v>4.6399999999999997</v>
      </c>
      <c r="L4010">
        <v>42</v>
      </c>
    </row>
    <row r="4011" spans="1:12">
      <c r="A4011" s="1">
        <v>46039</v>
      </c>
      <c r="B4011" t="s">
        <v>8410</v>
      </c>
      <c r="C4011">
        <v>16</v>
      </c>
      <c r="D4011" t="str">
        <f>VLOOKUP(Tabela26[[#This Row],[EMP]],[1]LOJA!$A:$B,2,0)</f>
        <v>AG LINDAS</v>
      </c>
      <c r="E4011">
        <v>240</v>
      </c>
      <c r="F4011" t="s">
        <v>3780</v>
      </c>
      <c r="G4011" t="s">
        <v>3437</v>
      </c>
      <c r="H4011" t="s">
        <v>3401</v>
      </c>
      <c r="I4011">
        <v>5102</v>
      </c>
      <c r="J4011" s="3">
        <v>74.28</v>
      </c>
      <c r="K4011" s="3">
        <v>34.869999999999997</v>
      </c>
      <c r="L4011">
        <v>53.06</v>
      </c>
    </row>
    <row r="4012" spans="1:12">
      <c r="A4012" s="1">
        <v>46039</v>
      </c>
      <c r="B4012" t="s">
        <v>8409</v>
      </c>
      <c r="C4012">
        <v>16</v>
      </c>
      <c r="D4012" t="str">
        <f>VLOOKUP(Tabela26[[#This Row],[EMP]],[1]LOJA!$A:$B,2,0)</f>
        <v>AG LINDAS</v>
      </c>
      <c r="E4012">
        <v>240</v>
      </c>
      <c r="F4012" t="s">
        <v>8408</v>
      </c>
      <c r="G4012" t="s">
        <v>3437</v>
      </c>
      <c r="H4012" t="s">
        <v>3408</v>
      </c>
      <c r="I4012">
        <v>5405</v>
      </c>
      <c r="J4012" s="3">
        <v>471.7</v>
      </c>
      <c r="K4012" s="3">
        <v>282.44</v>
      </c>
      <c r="L4012">
        <v>40.119999999999997</v>
      </c>
    </row>
    <row r="4013" spans="1:12">
      <c r="A4013" s="1">
        <v>46039</v>
      </c>
      <c r="B4013" t="s">
        <v>8407</v>
      </c>
      <c r="C4013">
        <v>16</v>
      </c>
      <c r="D4013" t="str">
        <f>VLOOKUP(Tabela26[[#This Row],[EMP]],[1]LOJA!$A:$B,2,0)</f>
        <v>AG LINDAS</v>
      </c>
      <c r="E4013">
        <v>240</v>
      </c>
      <c r="F4013" t="s">
        <v>4516</v>
      </c>
      <c r="G4013" t="s">
        <v>4515</v>
      </c>
      <c r="H4013" t="s">
        <v>3401</v>
      </c>
      <c r="I4013">
        <v>5102</v>
      </c>
      <c r="J4013" s="3">
        <v>36</v>
      </c>
      <c r="K4013" s="3">
        <v>16.64</v>
      </c>
      <c r="L4013">
        <v>53.78</v>
      </c>
    </row>
    <row r="4014" spans="1:12">
      <c r="A4014" s="1">
        <v>46039</v>
      </c>
      <c r="B4014" t="s">
        <v>8406</v>
      </c>
      <c r="C4014">
        <v>16</v>
      </c>
      <c r="D4014" t="str">
        <f>VLOOKUP(Tabela26[[#This Row],[EMP]],[1]LOJA!$A:$B,2,0)</f>
        <v>AG LINDAS</v>
      </c>
      <c r="E4014">
        <v>240</v>
      </c>
      <c r="F4014" t="s">
        <v>4534</v>
      </c>
      <c r="G4014" t="s">
        <v>4533</v>
      </c>
      <c r="H4014" t="s">
        <v>3401</v>
      </c>
      <c r="I4014">
        <v>5102</v>
      </c>
      <c r="J4014" s="3">
        <v>128.9</v>
      </c>
      <c r="K4014" s="3">
        <v>70.34</v>
      </c>
      <c r="L4014">
        <v>45.43</v>
      </c>
    </row>
    <row r="4015" spans="1:12">
      <c r="A4015" s="1">
        <v>46039</v>
      </c>
      <c r="B4015" t="s">
        <v>8405</v>
      </c>
      <c r="C4015">
        <v>16</v>
      </c>
      <c r="D4015" t="str">
        <f>VLOOKUP(Tabela26[[#This Row],[EMP]],[1]LOJA!$A:$B,2,0)</f>
        <v>AG LINDAS</v>
      </c>
      <c r="E4015">
        <v>240</v>
      </c>
      <c r="F4015" t="s">
        <v>3780</v>
      </c>
      <c r="G4015" t="s">
        <v>3437</v>
      </c>
      <c r="H4015" t="s">
        <v>3408</v>
      </c>
      <c r="I4015">
        <v>5102</v>
      </c>
      <c r="J4015" s="3">
        <v>62</v>
      </c>
      <c r="K4015" s="3">
        <v>30.37</v>
      </c>
      <c r="L4015">
        <v>51.02</v>
      </c>
    </row>
    <row r="4016" spans="1:12">
      <c r="A4016" s="1">
        <v>46039</v>
      </c>
      <c r="B4016" t="s">
        <v>8404</v>
      </c>
      <c r="C4016">
        <v>16</v>
      </c>
      <c r="D4016" t="str">
        <f>VLOOKUP(Tabela26[[#This Row],[EMP]],[1]LOJA!$A:$B,2,0)</f>
        <v>AG LINDAS</v>
      </c>
      <c r="E4016">
        <v>240</v>
      </c>
      <c r="F4016" t="s">
        <v>8403</v>
      </c>
      <c r="G4016" t="s">
        <v>8402</v>
      </c>
      <c r="H4016" t="s">
        <v>3401</v>
      </c>
      <c r="I4016">
        <v>5405</v>
      </c>
      <c r="J4016" s="3">
        <v>35</v>
      </c>
      <c r="K4016" s="3">
        <v>16.47</v>
      </c>
      <c r="L4016">
        <v>52.94</v>
      </c>
    </row>
    <row r="4017" spans="1:12">
      <c r="A4017" s="1">
        <v>46039</v>
      </c>
      <c r="B4017" t="s">
        <v>8401</v>
      </c>
      <c r="C4017">
        <v>16</v>
      </c>
      <c r="D4017" t="str">
        <f>VLOOKUP(Tabela26[[#This Row],[EMP]],[1]LOJA!$A:$B,2,0)</f>
        <v>AG LINDAS</v>
      </c>
      <c r="E4017">
        <v>240</v>
      </c>
      <c r="F4017" t="s">
        <v>3780</v>
      </c>
      <c r="G4017" t="s">
        <v>3437</v>
      </c>
      <c r="H4017" t="s">
        <v>3401</v>
      </c>
      <c r="I4017">
        <v>5405</v>
      </c>
      <c r="J4017" s="3">
        <v>25</v>
      </c>
      <c r="K4017" s="3">
        <v>12.19</v>
      </c>
      <c r="L4017">
        <v>51.24</v>
      </c>
    </row>
    <row r="4018" spans="1:12">
      <c r="A4018" s="1">
        <v>46039</v>
      </c>
      <c r="B4018" t="s">
        <v>8400</v>
      </c>
      <c r="C4018">
        <v>14</v>
      </c>
      <c r="D4018" t="str">
        <f>VLOOKUP(Tabela26[[#This Row],[EMP]],[1]LOJA!$A:$B,2,0)</f>
        <v>S IA</v>
      </c>
      <c r="E4018">
        <v>54</v>
      </c>
      <c r="F4018" t="s">
        <v>5086</v>
      </c>
      <c r="G4018" t="s">
        <v>5085</v>
      </c>
      <c r="H4018" t="s">
        <v>4249</v>
      </c>
      <c r="I4018">
        <v>5405</v>
      </c>
      <c r="J4018" s="3">
        <v>1476.68</v>
      </c>
      <c r="K4018" s="3">
        <v>738.01</v>
      </c>
      <c r="L4018">
        <v>50.02</v>
      </c>
    </row>
    <row r="4019" spans="1:12">
      <c r="A4019" s="1">
        <v>46039</v>
      </c>
      <c r="B4019" t="s">
        <v>8399</v>
      </c>
      <c r="C4019">
        <v>14</v>
      </c>
      <c r="D4019" t="str">
        <f>VLOOKUP(Tabela26[[#This Row],[EMP]],[1]LOJA!$A:$B,2,0)</f>
        <v>S IA</v>
      </c>
      <c r="E4019">
        <v>54</v>
      </c>
      <c r="F4019" t="s">
        <v>8398</v>
      </c>
      <c r="G4019" t="s">
        <v>8397</v>
      </c>
      <c r="H4019" t="s">
        <v>3401</v>
      </c>
      <c r="I4019">
        <v>5405</v>
      </c>
      <c r="J4019" s="3">
        <v>881.7</v>
      </c>
      <c r="K4019" s="3">
        <v>515.47</v>
      </c>
      <c r="L4019">
        <v>41.54</v>
      </c>
    </row>
    <row r="4020" spans="1:12">
      <c r="A4020" s="1">
        <v>46039</v>
      </c>
      <c r="B4020" t="s">
        <v>8396</v>
      </c>
      <c r="C4020">
        <v>12</v>
      </c>
      <c r="D4020" t="str">
        <f>VLOOKUP(Tabela26[[#This Row],[EMP]],[1]LOJA!$A:$B,2,0)</f>
        <v>SOFNORTE</v>
      </c>
      <c r="E4020">
        <v>239</v>
      </c>
      <c r="F4020" t="s">
        <v>3722</v>
      </c>
      <c r="G4020" t="s">
        <v>3721</v>
      </c>
      <c r="H4020" t="s">
        <v>3401</v>
      </c>
      <c r="I4020">
        <v>5102</v>
      </c>
      <c r="J4020" s="3">
        <v>144</v>
      </c>
      <c r="K4020" s="3">
        <v>71.72</v>
      </c>
      <c r="L4020">
        <v>50.19</v>
      </c>
    </row>
    <row r="4021" spans="1:12">
      <c r="A4021" s="1">
        <v>46039</v>
      </c>
      <c r="B4021" t="s">
        <v>8395</v>
      </c>
      <c r="C4021">
        <v>12</v>
      </c>
      <c r="D4021" t="str">
        <f>VLOOKUP(Tabela26[[#This Row],[EMP]],[1]LOJA!$A:$B,2,0)</f>
        <v>SOFNORTE</v>
      </c>
      <c r="E4021">
        <v>60</v>
      </c>
      <c r="F4021" t="s">
        <v>3691</v>
      </c>
      <c r="G4021" t="s">
        <v>3690</v>
      </c>
      <c r="H4021" t="s">
        <v>8388</v>
      </c>
      <c r="I4021">
        <v>5405</v>
      </c>
      <c r="J4021" s="3">
        <v>90</v>
      </c>
      <c r="K4021" s="3">
        <v>44.42</v>
      </c>
      <c r="L4021">
        <v>50.64</v>
      </c>
    </row>
    <row r="4022" spans="1:12">
      <c r="A4022" s="1">
        <v>46039</v>
      </c>
      <c r="B4022" t="s">
        <v>8394</v>
      </c>
      <c r="C4022">
        <v>12</v>
      </c>
      <c r="D4022" t="str">
        <f>VLOOKUP(Tabela26[[#This Row],[EMP]],[1]LOJA!$A:$B,2,0)</f>
        <v>SOFNORTE</v>
      </c>
      <c r="E4022">
        <v>60</v>
      </c>
      <c r="F4022" t="s">
        <v>3704</v>
      </c>
      <c r="G4022" t="s">
        <v>3703</v>
      </c>
      <c r="H4022" t="s">
        <v>3408</v>
      </c>
      <c r="I4022">
        <v>5102</v>
      </c>
      <c r="J4022" s="3">
        <v>216</v>
      </c>
      <c r="K4022" s="3">
        <v>103.35</v>
      </c>
      <c r="L4022">
        <v>52.15</v>
      </c>
    </row>
    <row r="4023" spans="1:12">
      <c r="A4023" s="1">
        <v>46039</v>
      </c>
      <c r="B4023" t="s">
        <v>8393</v>
      </c>
      <c r="C4023">
        <v>12</v>
      </c>
      <c r="D4023" t="str">
        <f>VLOOKUP(Tabela26[[#This Row],[EMP]],[1]LOJA!$A:$B,2,0)</f>
        <v>SOFNORTE</v>
      </c>
      <c r="E4023">
        <v>60</v>
      </c>
      <c r="F4023" t="s">
        <v>3701</v>
      </c>
      <c r="G4023" t="s">
        <v>3700</v>
      </c>
      <c r="H4023" t="s">
        <v>3408</v>
      </c>
      <c r="I4023">
        <v>5102</v>
      </c>
      <c r="J4023" s="3">
        <v>16</v>
      </c>
      <c r="K4023" s="3">
        <v>7.24</v>
      </c>
      <c r="L4023">
        <v>54.75</v>
      </c>
    </row>
    <row r="4024" spans="1:12">
      <c r="A4024" s="1">
        <v>46039</v>
      </c>
      <c r="B4024" t="s">
        <v>8392</v>
      </c>
      <c r="C4024">
        <v>12</v>
      </c>
      <c r="D4024" t="str">
        <f>VLOOKUP(Tabela26[[#This Row],[EMP]],[1]LOJA!$A:$B,2,0)</f>
        <v>SOFNORTE</v>
      </c>
      <c r="E4024">
        <v>60</v>
      </c>
      <c r="F4024" t="s">
        <v>3403</v>
      </c>
      <c r="G4024" t="s">
        <v>3402</v>
      </c>
      <c r="H4024" t="s">
        <v>3401</v>
      </c>
      <c r="I4024">
        <v>5102</v>
      </c>
      <c r="J4024" s="3">
        <v>44</v>
      </c>
      <c r="K4024" s="3">
        <v>26.69</v>
      </c>
      <c r="L4024">
        <v>39.340000000000003</v>
      </c>
    </row>
    <row r="4025" spans="1:12">
      <c r="A4025" s="1">
        <v>46039</v>
      </c>
      <c r="B4025" t="s">
        <v>8391</v>
      </c>
      <c r="C4025">
        <v>12</v>
      </c>
      <c r="D4025" t="str">
        <f>VLOOKUP(Tabela26[[#This Row],[EMP]],[1]LOJA!$A:$B,2,0)</f>
        <v>SOFNORTE</v>
      </c>
      <c r="E4025">
        <v>60</v>
      </c>
      <c r="F4025" t="s">
        <v>3403</v>
      </c>
      <c r="G4025" t="s">
        <v>3402</v>
      </c>
      <c r="H4025" t="s">
        <v>3401</v>
      </c>
      <c r="I4025">
        <v>5102</v>
      </c>
      <c r="J4025" s="3">
        <v>84</v>
      </c>
      <c r="K4025" s="3">
        <v>47.38</v>
      </c>
      <c r="L4025">
        <v>43.6</v>
      </c>
    </row>
    <row r="4026" spans="1:12">
      <c r="A4026" s="1">
        <v>46039</v>
      </c>
      <c r="B4026" t="s">
        <v>8390</v>
      </c>
      <c r="C4026">
        <v>12</v>
      </c>
      <c r="D4026" t="str">
        <f>VLOOKUP(Tabela26[[#This Row],[EMP]],[1]LOJA!$A:$B,2,0)</f>
        <v>SOFNORTE</v>
      </c>
      <c r="E4026">
        <v>60</v>
      </c>
      <c r="F4026" t="s">
        <v>3704</v>
      </c>
      <c r="G4026" t="s">
        <v>3703</v>
      </c>
      <c r="H4026" t="s">
        <v>3408</v>
      </c>
      <c r="I4026">
        <v>5102</v>
      </c>
      <c r="J4026" s="3">
        <v>19</v>
      </c>
      <c r="K4026" s="3">
        <v>8.32</v>
      </c>
      <c r="L4026">
        <v>56.21</v>
      </c>
    </row>
    <row r="4027" spans="1:12">
      <c r="A4027" s="1">
        <v>46039</v>
      </c>
      <c r="B4027" t="s">
        <v>8389</v>
      </c>
      <c r="C4027">
        <v>12</v>
      </c>
      <c r="D4027" t="str">
        <f>VLOOKUP(Tabela26[[#This Row],[EMP]],[1]LOJA!$A:$B,2,0)</f>
        <v>SOFNORTE</v>
      </c>
      <c r="E4027">
        <v>60</v>
      </c>
      <c r="F4027" t="s">
        <v>3691</v>
      </c>
      <c r="G4027" t="s">
        <v>3690</v>
      </c>
      <c r="H4027" t="s">
        <v>8388</v>
      </c>
      <c r="I4027">
        <v>5102</v>
      </c>
      <c r="J4027" s="3">
        <v>127</v>
      </c>
      <c r="K4027" s="3">
        <v>63.12</v>
      </c>
      <c r="L4027">
        <v>50.3</v>
      </c>
    </row>
    <row r="4028" spans="1:12">
      <c r="A4028" s="1">
        <v>46039</v>
      </c>
      <c r="B4028" t="s">
        <v>8387</v>
      </c>
      <c r="C4028">
        <v>12</v>
      </c>
      <c r="D4028" t="str">
        <f>VLOOKUP(Tabela26[[#This Row],[EMP]],[1]LOJA!$A:$B,2,0)</f>
        <v>SOFNORTE</v>
      </c>
      <c r="E4028">
        <v>60</v>
      </c>
      <c r="F4028" t="s">
        <v>3722</v>
      </c>
      <c r="G4028" t="s">
        <v>3721</v>
      </c>
      <c r="H4028" t="s">
        <v>3408</v>
      </c>
      <c r="I4028">
        <v>5405</v>
      </c>
      <c r="J4028" s="3">
        <v>138</v>
      </c>
      <c r="K4028" s="3">
        <v>61.14</v>
      </c>
      <c r="L4028">
        <v>55.7</v>
      </c>
    </row>
    <row r="4029" spans="1:12">
      <c r="A4029" s="1">
        <v>46039</v>
      </c>
      <c r="B4029" t="s">
        <v>8386</v>
      </c>
      <c r="C4029">
        <v>12</v>
      </c>
      <c r="D4029" t="str">
        <f>VLOOKUP(Tabela26[[#This Row],[EMP]],[1]LOJA!$A:$B,2,0)</f>
        <v>SOFNORTE</v>
      </c>
      <c r="E4029">
        <v>60</v>
      </c>
      <c r="F4029" t="s">
        <v>6714</v>
      </c>
      <c r="G4029" t="s">
        <v>3402</v>
      </c>
      <c r="H4029" t="s">
        <v>3401</v>
      </c>
      <c r="I4029">
        <v>5405</v>
      </c>
      <c r="J4029" s="3">
        <v>152</v>
      </c>
      <c r="K4029" s="3">
        <v>69.38</v>
      </c>
      <c r="L4029">
        <v>54.36</v>
      </c>
    </row>
    <row r="4030" spans="1:12">
      <c r="A4030" s="1">
        <v>46039</v>
      </c>
      <c r="B4030" t="s">
        <v>8385</v>
      </c>
      <c r="C4030">
        <v>12</v>
      </c>
      <c r="D4030" t="str">
        <f>VLOOKUP(Tabela26[[#This Row],[EMP]],[1]LOJA!$A:$B,2,0)</f>
        <v>SOFNORTE</v>
      </c>
      <c r="E4030">
        <v>60</v>
      </c>
      <c r="F4030" t="s">
        <v>6714</v>
      </c>
      <c r="G4030" t="s">
        <v>3402</v>
      </c>
      <c r="H4030" t="s">
        <v>3401</v>
      </c>
      <c r="I4030">
        <v>5102</v>
      </c>
      <c r="J4030" s="3">
        <v>19</v>
      </c>
      <c r="K4030" s="3">
        <v>8.32</v>
      </c>
      <c r="L4030">
        <v>56.21</v>
      </c>
    </row>
    <row r="4031" spans="1:12">
      <c r="A4031" s="1">
        <v>46039</v>
      </c>
      <c r="B4031" t="s">
        <v>8384</v>
      </c>
      <c r="C4031">
        <v>12</v>
      </c>
      <c r="D4031" t="str">
        <f>VLOOKUP(Tabela26[[#This Row],[EMP]],[1]LOJA!$A:$B,2,0)</f>
        <v>SOFNORTE</v>
      </c>
      <c r="E4031">
        <v>60</v>
      </c>
      <c r="F4031" t="s">
        <v>3722</v>
      </c>
      <c r="G4031" t="s">
        <v>3721</v>
      </c>
      <c r="H4031" t="s">
        <v>3408</v>
      </c>
      <c r="I4031">
        <v>5102</v>
      </c>
      <c r="J4031" s="3">
        <v>245</v>
      </c>
      <c r="K4031" s="3">
        <v>116.59</v>
      </c>
      <c r="L4031">
        <v>52.41</v>
      </c>
    </row>
    <row r="4032" spans="1:12">
      <c r="A4032" s="1">
        <v>46039</v>
      </c>
      <c r="B4032" t="s">
        <v>8383</v>
      </c>
      <c r="C4032">
        <v>12</v>
      </c>
      <c r="D4032" t="str">
        <f>VLOOKUP(Tabela26[[#This Row],[EMP]],[1]LOJA!$A:$B,2,0)</f>
        <v>SOFNORTE</v>
      </c>
      <c r="E4032">
        <v>60</v>
      </c>
      <c r="F4032" t="s">
        <v>3403</v>
      </c>
      <c r="G4032" t="s">
        <v>3402</v>
      </c>
      <c r="H4032" t="s">
        <v>3401</v>
      </c>
      <c r="I4032">
        <v>5405</v>
      </c>
      <c r="J4032" s="3">
        <v>124</v>
      </c>
      <c r="K4032" s="3">
        <v>60.81</v>
      </c>
      <c r="L4032">
        <v>50.96</v>
      </c>
    </row>
    <row r="4033" spans="1:12">
      <c r="A4033" s="1">
        <v>46039</v>
      </c>
      <c r="B4033" t="s">
        <v>8382</v>
      </c>
      <c r="C4033">
        <v>12</v>
      </c>
      <c r="D4033" t="str">
        <f>VLOOKUP(Tabela26[[#This Row],[EMP]],[1]LOJA!$A:$B,2,0)</f>
        <v>SOFNORTE</v>
      </c>
      <c r="E4033">
        <v>60</v>
      </c>
      <c r="F4033" t="s">
        <v>3715</v>
      </c>
      <c r="G4033" t="s">
        <v>3714</v>
      </c>
      <c r="H4033" t="s">
        <v>3401</v>
      </c>
      <c r="I4033">
        <v>5405</v>
      </c>
      <c r="J4033" s="3">
        <v>130</v>
      </c>
      <c r="K4033" s="3">
        <v>63.22</v>
      </c>
      <c r="L4033">
        <v>51.37</v>
      </c>
    </row>
    <row r="4034" spans="1:12">
      <c r="A4034" s="1">
        <v>46039</v>
      </c>
      <c r="B4034" t="s">
        <v>8381</v>
      </c>
      <c r="C4034">
        <v>14</v>
      </c>
      <c r="D4034" t="str">
        <f>VLOOKUP(Tabela26[[#This Row],[EMP]],[1]LOJA!$A:$B,2,0)</f>
        <v>S IA</v>
      </c>
      <c r="E4034">
        <v>54</v>
      </c>
      <c r="F4034" t="s">
        <v>5592</v>
      </c>
      <c r="G4034" t="s">
        <v>5591</v>
      </c>
      <c r="H4034" t="s">
        <v>3401</v>
      </c>
      <c r="I4034">
        <v>5405</v>
      </c>
      <c r="J4034" s="3">
        <v>59</v>
      </c>
      <c r="K4034" s="3">
        <v>27.86</v>
      </c>
      <c r="L4034">
        <v>52.78</v>
      </c>
    </row>
    <row r="4035" spans="1:12">
      <c r="A4035" s="1">
        <v>46039</v>
      </c>
      <c r="B4035" t="s">
        <v>8380</v>
      </c>
      <c r="C4035">
        <v>14</v>
      </c>
      <c r="D4035" t="str">
        <f>VLOOKUP(Tabela26[[#This Row],[EMP]],[1]LOJA!$A:$B,2,0)</f>
        <v>S IA</v>
      </c>
      <c r="E4035">
        <v>54</v>
      </c>
      <c r="F4035" t="s">
        <v>8379</v>
      </c>
      <c r="G4035" t="s">
        <v>8378</v>
      </c>
      <c r="H4035" t="s">
        <v>3401</v>
      </c>
      <c r="I4035">
        <v>5102</v>
      </c>
      <c r="J4035" s="3">
        <v>25.65</v>
      </c>
      <c r="K4035" s="3">
        <v>25.15</v>
      </c>
      <c r="L4035">
        <v>1.95</v>
      </c>
    </row>
    <row r="4036" spans="1:12">
      <c r="A4036" s="1">
        <v>46039</v>
      </c>
      <c r="B4036" t="s">
        <v>8377</v>
      </c>
      <c r="C4036">
        <v>14</v>
      </c>
      <c r="D4036" t="str">
        <f>VLOOKUP(Tabela26[[#This Row],[EMP]],[1]LOJA!$A:$B,2,0)</f>
        <v>S IA</v>
      </c>
      <c r="E4036">
        <v>54</v>
      </c>
      <c r="F4036" t="s">
        <v>6339</v>
      </c>
      <c r="G4036" t="s">
        <v>3402</v>
      </c>
      <c r="H4036" t="s">
        <v>3401</v>
      </c>
      <c r="I4036">
        <v>5405</v>
      </c>
      <c r="J4036" s="3">
        <v>77</v>
      </c>
      <c r="K4036" s="3">
        <v>21.69</v>
      </c>
      <c r="L4036">
        <v>71.83</v>
      </c>
    </row>
    <row r="4037" spans="1:12">
      <c r="A4037" s="1">
        <v>46039</v>
      </c>
      <c r="B4037" t="s">
        <v>8376</v>
      </c>
      <c r="C4037">
        <v>13</v>
      </c>
      <c r="D4037" t="str">
        <f>VLOOKUP(Tabela26[[#This Row],[EMP]],[1]LOJA!$A:$B,2,0)</f>
        <v>CEILÂNDIA</v>
      </c>
      <c r="E4037">
        <v>86</v>
      </c>
      <c r="F4037" t="s">
        <v>3403</v>
      </c>
      <c r="G4037" t="s">
        <v>3402</v>
      </c>
      <c r="H4037" t="s">
        <v>3401</v>
      </c>
      <c r="I4037">
        <v>5102</v>
      </c>
      <c r="J4037" s="3">
        <v>26.9</v>
      </c>
      <c r="K4037" s="3">
        <v>13.96</v>
      </c>
      <c r="L4037">
        <v>48.1</v>
      </c>
    </row>
    <row r="4038" spans="1:12">
      <c r="A4038" s="1">
        <v>46039</v>
      </c>
      <c r="B4038" t="s">
        <v>8375</v>
      </c>
      <c r="C4038">
        <v>13</v>
      </c>
      <c r="D4038" t="str">
        <f>VLOOKUP(Tabela26[[#This Row],[EMP]],[1]LOJA!$A:$B,2,0)</f>
        <v>CEILÂNDIA</v>
      </c>
      <c r="E4038">
        <v>86</v>
      </c>
      <c r="F4038" t="s">
        <v>3643</v>
      </c>
      <c r="G4038" t="s">
        <v>3402</v>
      </c>
      <c r="H4038" t="s">
        <v>3408</v>
      </c>
      <c r="I4038">
        <v>5405</v>
      </c>
      <c r="J4038" s="3">
        <v>145</v>
      </c>
      <c r="K4038" s="3">
        <v>71.099999999999994</v>
      </c>
      <c r="L4038">
        <v>50.97</v>
      </c>
    </row>
    <row r="4039" spans="1:12">
      <c r="A4039" s="1">
        <v>46039</v>
      </c>
      <c r="B4039" t="s">
        <v>8374</v>
      </c>
      <c r="C4039">
        <v>13</v>
      </c>
      <c r="D4039" t="str">
        <f>VLOOKUP(Tabela26[[#This Row],[EMP]],[1]LOJA!$A:$B,2,0)</f>
        <v>CEILÂNDIA</v>
      </c>
      <c r="E4039">
        <v>86</v>
      </c>
      <c r="F4039" t="s">
        <v>3403</v>
      </c>
      <c r="G4039" t="s">
        <v>3402</v>
      </c>
      <c r="H4039" t="s">
        <v>3401</v>
      </c>
      <c r="I4039">
        <v>5102</v>
      </c>
      <c r="J4039" s="3">
        <v>100</v>
      </c>
      <c r="K4039" s="3">
        <v>62.27</v>
      </c>
      <c r="L4039">
        <v>37.729999999999997</v>
      </c>
    </row>
    <row r="4040" spans="1:12">
      <c r="A4040" s="1">
        <v>46039</v>
      </c>
      <c r="B4040" t="s">
        <v>8373</v>
      </c>
      <c r="C4040">
        <v>13</v>
      </c>
      <c r="D4040" t="str">
        <f>VLOOKUP(Tabela26[[#This Row],[EMP]],[1]LOJA!$A:$B,2,0)</f>
        <v>CEILÂNDIA</v>
      </c>
      <c r="E4040">
        <v>86</v>
      </c>
      <c r="F4040" t="s">
        <v>3593</v>
      </c>
      <c r="G4040" t="s">
        <v>3402</v>
      </c>
      <c r="H4040" t="s">
        <v>3408</v>
      </c>
      <c r="I4040">
        <v>5405</v>
      </c>
      <c r="J4040" s="3">
        <v>167</v>
      </c>
      <c r="K4040" s="3">
        <v>84.35</v>
      </c>
      <c r="L4040">
        <v>49.49</v>
      </c>
    </row>
    <row r="4041" spans="1:12">
      <c r="A4041" s="1">
        <v>46039</v>
      </c>
      <c r="B4041" t="s">
        <v>8372</v>
      </c>
      <c r="C4041">
        <v>13</v>
      </c>
      <c r="D4041" t="str">
        <f>VLOOKUP(Tabela26[[#This Row],[EMP]],[1]LOJA!$A:$B,2,0)</f>
        <v>CEILÂNDIA</v>
      </c>
      <c r="E4041">
        <v>86</v>
      </c>
      <c r="F4041" t="s">
        <v>3403</v>
      </c>
      <c r="G4041" t="s">
        <v>3402</v>
      </c>
      <c r="H4041" t="s">
        <v>3401</v>
      </c>
      <c r="I4041">
        <v>5405</v>
      </c>
      <c r="J4041" s="3">
        <v>60</v>
      </c>
      <c r="K4041" s="3">
        <v>31.61</v>
      </c>
      <c r="L4041">
        <v>47.32</v>
      </c>
    </row>
    <row r="4042" spans="1:12">
      <c r="A4042" s="1">
        <v>46039</v>
      </c>
      <c r="B4042" t="s">
        <v>8371</v>
      </c>
      <c r="C4042">
        <v>13</v>
      </c>
      <c r="D4042" t="str">
        <f>VLOOKUP(Tabela26[[#This Row],[EMP]],[1]LOJA!$A:$B,2,0)</f>
        <v>CEILÂNDIA</v>
      </c>
      <c r="E4042">
        <v>86</v>
      </c>
      <c r="F4042" t="s">
        <v>3403</v>
      </c>
      <c r="G4042" t="s">
        <v>3402</v>
      </c>
      <c r="H4042" t="s">
        <v>3401</v>
      </c>
      <c r="I4042">
        <v>5405</v>
      </c>
      <c r="J4042" s="3">
        <v>210</v>
      </c>
      <c r="K4042" s="3">
        <v>122.25</v>
      </c>
      <c r="L4042">
        <v>41.79</v>
      </c>
    </row>
    <row r="4043" spans="1:12">
      <c r="A4043" s="1">
        <v>46039</v>
      </c>
      <c r="B4043" t="s">
        <v>8370</v>
      </c>
      <c r="C4043">
        <v>13</v>
      </c>
      <c r="D4043" t="str">
        <f>VLOOKUP(Tabela26[[#This Row],[EMP]],[1]LOJA!$A:$B,2,0)</f>
        <v>CEILÂNDIA</v>
      </c>
      <c r="E4043">
        <v>86</v>
      </c>
      <c r="F4043" t="s">
        <v>3403</v>
      </c>
      <c r="G4043" t="s">
        <v>3402</v>
      </c>
      <c r="H4043" t="s">
        <v>3401</v>
      </c>
      <c r="I4043">
        <v>5405</v>
      </c>
      <c r="J4043" s="3">
        <v>170</v>
      </c>
      <c r="K4043" s="3">
        <v>76.91</v>
      </c>
      <c r="L4043">
        <v>54.76</v>
      </c>
    </row>
    <row r="4044" spans="1:12">
      <c r="A4044" s="1">
        <v>46039</v>
      </c>
      <c r="B4044" t="s">
        <v>8369</v>
      </c>
      <c r="C4044">
        <v>13</v>
      </c>
      <c r="D4044" t="str">
        <f>VLOOKUP(Tabela26[[#This Row],[EMP]],[1]LOJA!$A:$B,2,0)</f>
        <v>CEILÂNDIA</v>
      </c>
      <c r="E4044">
        <v>86</v>
      </c>
      <c r="F4044" t="s">
        <v>7947</v>
      </c>
      <c r="G4044" t="s">
        <v>7946</v>
      </c>
      <c r="H4044" t="s">
        <v>3408</v>
      </c>
      <c r="I4044">
        <v>5405</v>
      </c>
      <c r="J4044" s="3">
        <v>180</v>
      </c>
      <c r="K4044" s="3">
        <v>82.61</v>
      </c>
      <c r="L4044">
        <v>54.11</v>
      </c>
    </row>
    <row r="4045" spans="1:12">
      <c r="A4045" s="1">
        <v>46039</v>
      </c>
      <c r="B4045" t="s">
        <v>8368</v>
      </c>
      <c r="C4045">
        <v>13</v>
      </c>
      <c r="D4045" t="str">
        <f>VLOOKUP(Tabela26[[#This Row],[EMP]],[1]LOJA!$A:$B,2,0)</f>
        <v>CEILÂNDIA</v>
      </c>
      <c r="E4045">
        <v>86</v>
      </c>
      <c r="F4045" t="s">
        <v>6606</v>
      </c>
      <c r="G4045" t="s">
        <v>6605</v>
      </c>
      <c r="H4045" t="s">
        <v>3408</v>
      </c>
      <c r="I4045">
        <v>5102</v>
      </c>
      <c r="J4045" s="3">
        <v>25</v>
      </c>
      <c r="K4045" s="3">
        <v>15.4</v>
      </c>
      <c r="L4045">
        <v>38.4</v>
      </c>
    </row>
    <row r="4046" spans="1:12">
      <c r="A4046" s="1">
        <v>46039</v>
      </c>
      <c r="B4046" t="s">
        <v>8367</v>
      </c>
      <c r="C4046">
        <v>13</v>
      </c>
      <c r="D4046" t="str">
        <f>VLOOKUP(Tabela26[[#This Row],[EMP]],[1]LOJA!$A:$B,2,0)</f>
        <v>CEILÂNDIA</v>
      </c>
      <c r="E4046">
        <v>86</v>
      </c>
      <c r="F4046" t="s">
        <v>8366</v>
      </c>
      <c r="G4046" t="s">
        <v>3402</v>
      </c>
      <c r="H4046" t="s">
        <v>3408</v>
      </c>
      <c r="I4046">
        <v>5102</v>
      </c>
      <c r="J4046" s="3">
        <v>47</v>
      </c>
      <c r="K4046" s="3">
        <v>30.73</v>
      </c>
      <c r="L4046">
        <v>34.619999999999997</v>
      </c>
    </row>
    <row r="4047" spans="1:12">
      <c r="A4047" s="1">
        <v>46039</v>
      </c>
      <c r="B4047" t="s">
        <v>8365</v>
      </c>
      <c r="C4047">
        <v>13</v>
      </c>
      <c r="D4047" t="str">
        <f>VLOOKUP(Tabela26[[#This Row],[EMP]],[1]LOJA!$A:$B,2,0)</f>
        <v>CEILÂNDIA</v>
      </c>
      <c r="E4047">
        <v>86</v>
      </c>
      <c r="F4047" t="s">
        <v>3646</v>
      </c>
      <c r="G4047" t="s">
        <v>3402</v>
      </c>
      <c r="H4047" t="s">
        <v>3408</v>
      </c>
      <c r="I4047">
        <v>5102</v>
      </c>
      <c r="J4047" s="3">
        <v>150</v>
      </c>
      <c r="K4047" s="3">
        <v>100.4</v>
      </c>
      <c r="L4047">
        <v>33.07</v>
      </c>
    </row>
    <row r="4048" spans="1:12">
      <c r="A4048" s="1">
        <v>46039</v>
      </c>
      <c r="B4048" t="s">
        <v>8364</v>
      </c>
      <c r="C4048">
        <v>13</v>
      </c>
      <c r="D4048" t="str">
        <f>VLOOKUP(Tabela26[[#This Row],[EMP]],[1]LOJA!$A:$B,2,0)</f>
        <v>CEILÂNDIA</v>
      </c>
      <c r="E4048">
        <v>86</v>
      </c>
      <c r="F4048" t="s">
        <v>3403</v>
      </c>
      <c r="G4048" t="s">
        <v>3402</v>
      </c>
      <c r="H4048" t="s">
        <v>3401</v>
      </c>
      <c r="I4048">
        <v>5102</v>
      </c>
      <c r="J4048" s="3">
        <v>8</v>
      </c>
      <c r="K4048" s="3">
        <v>2.93</v>
      </c>
      <c r="L4048">
        <v>63.38</v>
      </c>
    </row>
    <row r="4049" spans="1:12">
      <c r="A4049" s="1">
        <v>46039</v>
      </c>
      <c r="B4049" t="s">
        <v>8363</v>
      </c>
      <c r="C4049">
        <v>13</v>
      </c>
      <c r="D4049" t="str">
        <f>VLOOKUP(Tabela26[[#This Row],[EMP]],[1]LOJA!$A:$B,2,0)</f>
        <v>CEILÂNDIA</v>
      </c>
      <c r="E4049">
        <v>86</v>
      </c>
      <c r="F4049" t="s">
        <v>3403</v>
      </c>
      <c r="G4049" t="s">
        <v>3402</v>
      </c>
      <c r="H4049" t="s">
        <v>3401</v>
      </c>
      <c r="I4049">
        <v>5405</v>
      </c>
      <c r="J4049" s="3">
        <v>110</v>
      </c>
      <c r="K4049" s="3">
        <v>57.44</v>
      </c>
      <c r="L4049">
        <v>47.78</v>
      </c>
    </row>
    <row r="4050" spans="1:12">
      <c r="A4050" s="1">
        <v>46039</v>
      </c>
      <c r="B4050" t="s">
        <v>8362</v>
      </c>
      <c r="C4050">
        <v>13</v>
      </c>
      <c r="D4050" t="str">
        <f>VLOOKUP(Tabela26[[#This Row],[EMP]],[1]LOJA!$A:$B,2,0)</f>
        <v>CEILÂNDIA</v>
      </c>
      <c r="E4050">
        <v>86</v>
      </c>
      <c r="F4050" t="s">
        <v>4342</v>
      </c>
      <c r="G4050" t="s">
        <v>4341</v>
      </c>
      <c r="H4050" t="s">
        <v>3408</v>
      </c>
      <c r="I4050">
        <v>5102</v>
      </c>
      <c r="J4050" s="3">
        <v>87.5</v>
      </c>
      <c r="K4050" s="3">
        <v>53.67</v>
      </c>
      <c r="L4050">
        <v>38.659999999999997</v>
      </c>
    </row>
    <row r="4051" spans="1:12">
      <c r="A4051" s="1">
        <v>46039</v>
      </c>
      <c r="B4051" t="s">
        <v>8361</v>
      </c>
      <c r="C4051">
        <v>13</v>
      </c>
      <c r="D4051" t="str">
        <f>VLOOKUP(Tabela26[[#This Row],[EMP]],[1]LOJA!$A:$B,2,0)</f>
        <v>CEILÂNDIA</v>
      </c>
      <c r="E4051">
        <v>86</v>
      </c>
      <c r="F4051" t="s">
        <v>8360</v>
      </c>
      <c r="G4051" t="s">
        <v>3402</v>
      </c>
      <c r="H4051" t="s">
        <v>3401</v>
      </c>
      <c r="I4051">
        <v>5405</v>
      </c>
      <c r="J4051" s="3">
        <v>270</v>
      </c>
      <c r="K4051" s="3">
        <v>127.35</v>
      </c>
      <c r="L4051">
        <v>52.83</v>
      </c>
    </row>
    <row r="4052" spans="1:12">
      <c r="A4052" s="1">
        <v>46039</v>
      </c>
      <c r="B4052" t="s">
        <v>8359</v>
      </c>
      <c r="C4052">
        <v>6</v>
      </c>
      <c r="D4052" t="str">
        <f>VLOOKUP(Tabela26[[#This Row],[EMP]],[1]LOJA!$A:$B,2,0)</f>
        <v>GAMA</v>
      </c>
      <c r="E4052">
        <v>226</v>
      </c>
      <c r="F4052" t="s">
        <v>3403</v>
      </c>
      <c r="G4052" t="s">
        <v>3402</v>
      </c>
      <c r="H4052" t="s">
        <v>3401</v>
      </c>
      <c r="I4052">
        <v>5102</v>
      </c>
      <c r="J4052" s="3">
        <v>47</v>
      </c>
      <c r="K4052" s="3">
        <v>28.37</v>
      </c>
      <c r="L4052">
        <v>39.64</v>
      </c>
    </row>
    <row r="4053" spans="1:12">
      <c r="A4053" s="1">
        <v>46039</v>
      </c>
      <c r="B4053" t="s">
        <v>8358</v>
      </c>
      <c r="C4053">
        <v>6</v>
      </c>
      <c r="D4053" t="str">
        <f>VLOOKUP(Tabela26[[#This Row],[EMP]],[1]LOJA!$A:$B,2,0)</f>
        <v>GAMA</v>
      </c>
      <c r="E4053">
        <v>245</v>
      </c>
      <c r="F4053" t="s">
        <v>3403</v>
      </c>
      <c r="G4053" t="s">
        <v>3402</v>
      </c>
      <c r="H4053" t="s">
        <v>3401</v>
      </c>
      <c r="I4053">
        <v>5102</v>
      </c>
      <c r="J4053" s="3">
        <v>19</v>
      </c>
      <c r="K4053" s="3">
        <v>8.9600000000000009</v>
      </c>
      <c r="L4053">
        <v>52.84</v>
      </c>
    </row>
    <row r="4054" spans="1:12">
      <c r="A4054" s="1">
        <v>46039</v>
      </c>
      <c r="B4054" t="s">
        <v>8357</v>
      </c>
      <c r="C4054">
        <v>6</v>
      </c>
      <c r="D4054" t="str">
        <f>VLOOKUP(Tabela26[[#This Row],[EMP]],[1]LOJA!$A:$B,2,0)</f>
        <v>GAMA</v>
      </c>
      <c r="E4054">
        <v>245</v>
      </c>
      <c r="F4054" t="s">
        <v>3403</v>
      </c>
      <c r="G4054" t="s">
        <v>3402</v>
      </c>
      <c r="H4054" t="s">
        <v>3408</v>
      </c>
      <c r="I4054">
        <v>5102</v>
      </c>
      <c r="J4054" s="3">
        <v>24.5</v>
      </c>
      <c r="K4054" s="3">
        <v>13.09</v>
      </c>
      <c r="L4054">
        <v>46.57</v>
      </c>
    </row>
    <row r="4055" spans="1:12">
      <c r="A4055" s="1">
        <v>46039</v>
      </c>
      <c r="B4055" t="s">
        <v>8356</v>
      </c>
      <c r="C4055">
        <v>6</v>
      </c>
      <c r="D4055" t="str">
        <f>VLOOKUP(Tabela26[[#This Row],[EMP]],[1]LOJA!$A:$B,2,0)</f>
        <v>GAMA</v>
      </c>
      <c r="E4055">
        <v>245</v>
      </c>
      <c r="F4055" t="s">
        <v>3403</v>
      </c>
      <c r="G4055" t="s">
        <v>3402</v>
      </c>
      <c r="H4055" t="s">
        <v>3401</v>
      </c>
      <c r="I4055">
        <v>5405</v>
      </c>
      <c r="J4055" s="3">
        <v>69</v>
      </c>
      <c r="K4055" s="3">
        <v>30.81</v>
      </c>
      <c r="L4055">
        <v>55.35</v>
      </c>
    </row>
    <row r="4056" spans="1:12">
      <c r="A4056" s="1">
        <v>46039</v>
      </c>
      <c r="B4056" t="s">
        <v>8355</v>
      </c>
      <c r="C4056">
        <v>6</v>
      </c>
      <c r="D4056" t="str">
        <f>VLOOKUP(Tabela26[[#This Row],[EMP]],[1]LOJA!$A:$B,2,0)</f>
        <v>GAMA</v>
      </c>
      <c r="E4056">
        <v>245</v>
      </c>
      <c r="F4056" t="s">
        <v>3403</v>
      </c>
      <c r="G4056" t="s">
        <v>3402</v>
      </c>
      <c r="H4056" t="s">
        <v>3401</v>
      </c>
      <c r="I4056">
        <v>5102</v>
      </c>
      <c r="J4056" s="3">
        <v>22</v>
      </c>
      <c r="K4056" s="3">
        <v>12.51</v>
      </c>
      <c r="L4056">
        <v>43.14</v>
      </c>
    </row>
    <row r="4057" spans="1:12">
      <c r="A4057" s="1">
        <v>46039</v>
      </c>
      <c r="B4057" t="s">
        <v>8354</v>
      </c>
      <c r="C4057">
        <v>6</v>
      </c>
      <c r="D4057" t="str">
        <f>VLOOKUP(Tabela26[[#This Row],[EMP]],[1]LOJA!$A:$B,2,0)</f>
        <v>GAMA</v>
      </c>
      <c r="E4057">
        <v>245</v>
      </c>
      <c r="F4057" t="s">
        <v>3403</v>
      </c>
      <c r="G4057" t="s">
        <v>3402</v>
      </c>
      <c r="H4057" t="s">
        <v>3401</v>
      </c>
      <c r="I4057">
        <v>5102</v>
      </c>
      <c r="J4057" s="3">
        <v>39</v>
      </c>
      <c r="K4057" s="3">
        <v>18.3</v>
      </c>
      <c r="L4057">
        <v>53.08</v>
      </c>
    </row>
    <row r="4058" spans="1:12">
      <c r="A4058" s="1">
        <v>46039</v>
      </c>
      <c r="B4058" t="s">
        <v>8353</v>
      </c>
      <c r="C4058">
        <v>6</v>
      </c>
      <c r="D4058" t="str">
        <f>VLOOKUP(Tabela26[[#This Row],[EMP]],[1]LOJA!$A:$B,2,0)</f>
        <v>GAMA</v>
      </c>
      <c r="E4058">
        <v>245</v>
      </c>
      <c r="F4058" t="s">
        <v>3403</v>
      </c>
      <c r="G4058" t="s">
        <v>3402</v>
      </c>
      <c r="H4058" t="s">
        <v>3401</v>
      </c>
      <c r="I4058">
        <v>5102</v>
      </c>
      <c r="J4058" s="3">
        <v>87</v>
      </c>
      <c r="K4058" s="3">
        <v>52.74</v>
      </c>
      <c r="L4058">
        <v>39.380000000000003</v>
      </c>
    </row>
    <row r="4059" spans="1:12">
      <c r="A4059" s="1">
        <v>46039</v>
      </c>
      <c r="B4059" t="s">
        <v>8352</v>
      </c>
      <c r="C4059">
        <v>6</v>
      </c>
      <c r="D4059" t="str">
        <f>VLOOKUP(Tabela26[[#This Row],[EMP]],[1]LOJA!$A:$B,2,0)</f>
        <v>GAMA</v>
      </c>
      <c r="E4059">
        <v>245</v>
      </c>
      <c r="F4059" t="s">
        <v>3403</v>
      </c>
      <c r="G4059" t="s">
        <v>3402</v>
      </c>
      <c r="H4059" t="s">
        <v>3401</v>
      </c>
      <c r="I4059">
        <v>5405</v>
      </c>
      <c r="J4059" s="3">
        <v>156</v>
      </c>
      <c r="K4059" s="3">
        <v>78.349999999999994</v>
      </c>
      <c r="L4059">
        <v>49.78</v>
      </c>
    </row>
    <row r="4060" spans="1:12">
      <c r="A4060" s="1">
        <v>46039</v>
      </c>
      <c r="B4060" t="s">
        <v>8351</v>
      </c>
      <c r="C4060">
        <v>6</v>
      </c>
      <c r="D4060" t="str">
        <f>VLOOKUP(Tabela26[[#This Row],[EMP]],[1]LOJA!$A:$B,2,0)</f>
        <v>GAMA</v>
      </c>
      <c r="E4060">
        <v>245</v>
      </c>
      <c r="F4060" t="s">
        <v>3565</v>
      </c>
      <c r="G4060" t="s">
        <v>3564</v>
      </c>
      <c r="H4060" t="s">
        <v>3401</v>
      </c>
      <c r="I4060">
        <v>5405</v>
      </c>
      <c r="J4060" s="3">
        <v>60</v>
      </c>
      <c r="K4060" s="3">
        <v>31.61</v>
      </c>
      <c r="L4060">
        <v>47.32</v>
      </c>
    </row>
    <row r="4061" spans="1:12">
      <c r="A4061" s="1">
        <v>46039</v>
      </c>
      <c r="B4061" t="s">
        <v>8350</v>
      </c>
      <c r="C4061">
        <v>6</v>
      </c>
      <c r="D4061" t="str">
        <f>VLOOKUP(Tabela26[[#This Row],[EMP]],[1]LOJA!$A:$B,2,0)</f>
        <v>GAMA</v>
      </c>
      <c r="E4061">
        <v>245</v>
      </c>
      <c r="F4061" t="s">
        <v>3403</v>
      </c>
      <c r="G4061" t="s">
        <v>3402</v>
      </c>
      <c r="H4061" t="s">
        <v>3401</v>
      </c>
      <c r="I4061">
        <v>5405</v>
      </c>
      <c r="J4061" s="3">
        <v>73</v>
      </c>
      <c r="K4061" s="3">
        <v>35.68</v>
      </c>
      <c r="L4061">
        <v>51.12</v>
      </c>
    </row>
    <row r="4062" spans="1:12">
      <c r="A4062" s="1">
        <v>46039</v>
      </c>
      <c r="B4062" t="s">
        <v>8349</v>
      </c>
      <c r="C4062">
        <v>4</v>
      </c>
      <c r="D4062" t="str">
        <f>VLOOKUP(Tabela26[[#This Row],[EMP]],[1]LOJA!$A:$B,2,0)</f>
        <v>ADE</v>
      </c>
      <c r="E4062">
        <v>109</v>
      </c>
      <c r="F4062" t="s">
        <v>4558</v>
      </c>
      <c r="G4062" t="s">
        <v>4557</v>
      </c>
      <c r="H4062" t="s">
        <v>8348</v>
      </c>
      <c r="I4062">
        <v>5102</v>
      </c>
      <c r="J4062" s="3">
        <v>110</v>
      </c>
      <c r="K4062" s="3">
        <v>56.27</v>
      </c>
      <c r="L4062">
        <v>48.85</v>
      </c>
    </row>
    <row r="4063" spans="1:12">
      <c r="A4063" s="1">
        <v>46041</v>
      </c>
      <c r="B4063" t="s">
        <v>8347</v>
      </c>
      <c r="C4063">
        <v>24</v>
      </c>
      <c r="D4063" t="str">
        <f>VLOOKUP(Tabela26[[#This Row],[EMP]],[1]LOJA!$A:$B,2,0)</f>
        <v>LUZIÂNIA</v>
      </c>
      <c r="E4063">
        <v>106</v>
      </c>
      <c r="F4063" t="s">
        <v>4007</v>
      </c>
      <c r="G4063" t="s">
        <v>4006</v>
      </c>
      <c r="H4063" t="s">
        <v>3430</v>
      </c>
      <c r="I4063">
        <v>5405</v>
      </c>
      <c r="J4063" s="3">
        <v>265.2</v>
      </c>
      <c r="K4063" s="3">
        <v>140.80000000000001</v>
      </c>
      <c r="L4063">
        <v>46.91</v>
      </c>
    </row>
    <row r="4064" spans="1:12">
      <c r="A4064" s="1">
        <v>46041</v>
      </c>
      <c r="B4064" t="s">
        <v>8346</v>
      </c>
      <c r="C4064">
        <v>24</v>
      </c>
      <c r="D4064" t="str">
        <f>VLOOKUP(Tabela26[[#This Row],[EMP]],[1]LOJA!$A:$B,2,0)</f>
        <v>LUZIÂNIA</v>
      </c>
      <c r="E4064">
        <v>242</v>
      </c>
      <c r="F4064" t="s">
        <v>8345</v>
      </c>
      <c r="G4064" t="s">
        <v>8344</v>
      </c>
      <c r="H4064" t="s">
        <v>3408</v>
      </c>
      <c r="I4064">
        <v>5102</v>
      </c>
      <c r="J4064" s="3">
        <v>540</v>
      </c>
      <c r="K4064" s="3">
        <v>374.67</v>
      </c>
      <c r="L4064">
        <v>30.62</v>
      </c>
    </row>
    <row r="4065" spans="1:12">
      <c r="A4065" s="1">
        <v>46041</v>
      </c>
      <c r="B4065" t="s">
        <v>8343</v>
      </c>
      <c r="C4065">
        <v>24</v>
      </c>
      <c r="D4065" t="str">
        <f>VLOOKUP(Tabela26[[#This Row],[EMP]],[1]LOJA!$A:$B,2,0)</f>
        <v>LUZIÂNIA</v>
      </c>
      <c r="E4065">
        <v>242</v>
      </c>
      <c r="F4065" t="s">
        <v>8342</v>
      </c>
      <c r="G4065" t="s">
        <v>8341</v>
      </c>
      <c r="H4065" t="s">
        <v>3408</v>
      </c>
      <c r="I4065">
        <v>5102</v>
      </c>
      <c r="J4065" s="3">
        <v>540</v>
      </c>
      <c r="K4065" s="3">
        <v>374.67</v>
      </c>
      <c r="L4065">
        <v>30.62</v>
      </c>
    </row>
    <row r="4066" spans="1:12">
      <c r="A4066" s="1">
        <v>46041</v>
      </c>
      <c r="B4066" t="s">
        <v>8340</v>
      </c>
      <c r="C4066">
        <v>24</v>
      </c>
      <c r="D4066" t="str">
        <f>VLOOKUP(Tabela26[[#This Row],[EMP]],[1]LOJA!$A:$B,2,0)</f>
        <v>LUZIÂNIA</v>
      </c>
      <c r="E4066">
        <v>192</v>
      </c>
      <c r="F4066" t="s">
        <v>4270</v>
      </c>
      <c r="G4066" t="s">
        <v>4269</v>
      </c>
      <c r="H4066" t="s">
        <v>3430</v>
      </c>
      <c r="I4066">
        <v>5102</v>
      </c>
      <c r="J4066" s="3">
        <v>379.6</v>
      </c>
      <c r="K4066" s="3">
        <v>244.64</v>
      </c>
      <c r="L4066">
        <v>35.549999999999997</v>
      </c>
    </row>
    <row r="4067" spans="1:12">
      <c r="A4067" s="1">
        <v>46041</v>
      </c>
      <c r="B4067" t="s">
        <v>8339</v>
      </c>
      <c r="C4067">
        <v>24</v>
      </c>
      <c r="D4067" t="str">
        <f>VLOOKUP(Tabela26[[#This Row],[EMP]],[1]LOJA!$A:$B,2,0)</f>
        <v>LUZIÂNIA</v>
      </c>
      <c r="E4067">
        <v>242</v>
      </c>
      <c r="F4067" t="s">
        <v>4848</v>
      </c>
      <c r="G4067" t="s">
        <v>4847</v>
      </c>
      <c r="H4067" t="s">
        <v>3401</v>
      </c>
      <c r="I4067">
        <v>5405</v>
      </c>
      <c r="J4067" s="3">
        <v>750</v>
      </c>
      <c r="K4067" s="3">
        <v>378.55</v>
      </c>
      <c r="L4067">
        <v>49.53</v>
      </c>
    </row>
    <row r="4068" spans="1:12">
      <c r="A4068" s="1">
        <v>46041</v>
      </c>
      <c r="B4068" t="s">
        <v>8338</v>
      </c>
      <c r="C4068">
        <v>24</v>
      </c>
      <c r="D4068" t="str">
        <f>VLOOKUP(Tabela26[[#This Row],[EMP]],[1]LOJA!$A:$B,2,0)</f>
        <v>LUZIÂNIA</v>
      </c>
      <c r="E4068">
        <v>150</v>
      </c>
      <c r="F4068" t="s">
        <v>4282</v>
      </c>
      <c r="G4068" t="s">
        <v>4281</v>
      </c>
      <c r="H4068" t="s">
        <v>3430</v>
      </c>
      <c r="I4068">
        <v>5405</v>
      </c>
      <c r="J4068" s="3">
        <v>411.25</v>
      </c>
      <c r="K4068" s="3">
        <v>208.33</v>
      </c>
      <c r="L4068">
        <v>49.34</v>
      </c>
    </row>
    <row r="4069" spans="1:12">
      <c r="A4069" s="1">
        <v>46041</v>
      </c>
      <c r="B4069" t="s">
        <v>8337</v>
      </c>
      <c r="C4069">
        <v>24</v>
      </c>
      <c r="D4069" t="str">
        <f>VLOOKUP(Tabela26[[#This Row],[EMP]],[1]LOJA!$A:$B,2,0)</f>
        <v>LUZIÂNIA</v>
      </c>
      <c r="E4069">
        <v>150</v>
      </c>
      <c r="F4069" t="s">
        <v>4857</v>
      </c>
      <c r="G4069" t="s">
        <v>4856</v>
      </c>
      <c r="H4069" t="s">
        <v>3430</v>
      </c>
      <c r="I4069">
        <v>5102</v>
      </c>
      <c r="J4069" s="3">
        <v>508.7</v>
      </c>
      <c r="K4069" s="3">
        <v>295.77999999999997</v>
      </c>
      <c r="L4069">
        <v>41.86</v>
      </c>
    </row>
    <row r="4070" spans="1:12">
      <c r="A4070" s="1">
        <v>46041</v>
      </c>
      <c r="B4070" t="s">
        <v>8336</v>
      </c>
      <c r="C4070">
        <v>24</v>
      </c>
      <c r="D4070" t="str">
        <f>VLOOKUP(Tabela26[[#This Row],[EMP]],[1]LOJA!$A:$B,2,0)</f>
        <v>LUZIÂNIA</v>
      </c>
      <c r="E4070">
        <v>150</v>
      </c>
      <c r="F4070" t="s">
        <v>5987</v>
      </c>
      <c r="G4070" t="s">
        <v>5986</v>
      </c>
      <c r="H4070" t="s">
        <v>7924</v>
      </c>
      <c r="I4070">
        <v>5405</v>
      </c>
      <c r="J4070" s="3">
        <v>240.57</v>
      </c>
      <c r="K4070" s="3">
        <v>122.69</v>
      </c>
      <c r="L4070">
        <v>49</v>
      </c>
    </row>
    <row r="4071" spans="1:12">
      <c r="A4071" s="1">
        <v>46041</v>
      </c>
      <c r="B4071" t="s">
        <v>8335</v>
      </c>
      <c r="C4071">
        <v>24</v>
      </c>
      <c r="D4071" t="str">
        <f>VLOOKUP(Tabela26[[#This Row],[EMP]],[1]LOJA!$A:$B,2,0)</f>
        <v>LUZIÂNIA</v>
      </c>
      <c r="E4071">
        <v>192</v>
      </c>
      <c r="F4071" t="s">
        <v>4270</v>
      </c>
      <c r="G4071" t="s">
        <v>4269</v>
      </c>
      <c r="H4071" t="s">
        <v>3430</v>
      </c>
      <c r="I4071">
        <v>5405</v>
      </c>
      <c r="J4071" s="3">
        <v>837</v>
      </c>
      <c r="K4071" s="3">
        <v>450.81</v>
      </c>
      <c r="L4071">
        <v>46.14</v>
      </c>
    </row>
    <row r="4072" spans="1:12">
      <c r="A4072" s="1">
        <v>46041</v>
      </c>
      <c r="B4072" t="s">
        <v>8334</v>
      </c>
      <c r="C4072">
        <v>16</v>
      </c>
      <c r="D4072" t="str">
        <f>VLOOKUP(Tabela26[[#This Row],[EMP]],[1]LOJA!$A:$B,2,0)</f>
        <v>AG LINDAS</v>
      </c>
      <c r="E4072">
        <v>240</v>
      </c>
      <c r="F4072" t="s">
        <v>6990</v>
      </c>
      <c r="G4072" t="s">
        <v>6989</v>
      </c>
      <c r="H4072" t="s">
        <v>3430</v>
      </c>
      <c r="I4072">
        <v>5102</v>
      </c>
      <c r="J4072" s="3">
        <v>33</v>
      </c>
      <c r="K4072" s="3">
        <v>18.66</v>
      </c>
      <c r="L4072">
        <v>43.45</v>
      </c>
    </row>
    <row r="4073" spans="1:12">
      <c r="A4073" s="1">
        <v>46041</v>
      </c>
      <c r="B4073" t="s">
        <v>8333</v>
      </c>
      <c r="C4073">
        <v>16</v>
      </c>
      <c r="D4073" t="str">
        <f>VLOOKUP(Tabela26[[#This Row],[EMP]],[1]LOJA!$A:$B,2,0)</f>
        <v>AG LINDAS</v>
      </c>
      <c r="E4073">
        <v>107</v>
      </c>
      <c r="F4073" t="s">
        <v>4267</v>
      </c>
      <c r="G4073" t="s">
        <v>4266</v>
      </c>
      <c r="H4073" t="s">
        <v>3430</v>
      </c>
      <c r="I4073">
        <v>5102</v>
      </c>
      <c r="J4073" s="3">
        <v>119.4</v>
      </c>
      <c r="K4073" s="3">
        <v>74.16</v>
      </c>
      <c r="L4073">
        <v>37.89</v>
      </c>
    </row>
    <row r="4074" spans="1:12">
      <c r="A4074" s="1">
        <v>46041</v>
      </c>
      <c r="B4074" t="s">
        <v>8332</v>
      </c>
      <c r="C4074">
        <v>16</v>
      </c>
      <c r="D4074" t="str">
        <f>VLOOKUP(Tabela26[[#This Row],[EMP]],[1]LOJA!$A:$B,2,0)</f>
        <v>AG LINDAS</v>
      </c>
      <c r="E4074">
        <v>107</v>
      </c>
      <c r="F4074" t="s">
        <v>4267</v>
      </c>
      <c r="G4074" t="s">
        <v>4266</v>
      </c>
      <c r="H4074" t="s">
        <v>3430</v>
      </c>
      <c r="I4074">
        <v>5102</v>
      </c>
      <c r="J4074" s="3">
        <v>45</v>
      </c>
      <c r="K4074" s="3">
        <v>30.8</v>
      </c>
      <c r="L4074">
        <v>31.56</v>
      </c>
    </row>
    <row r="4075" spans="1:12">
      <c r="A4075" s="1">
        <v>46041</v>
      </c>
      <c r="B4075" t="s">
        <v>8331</v>
      </c>
      <c r="C4075">
        <v>16</v>
      </c>
      <c r="D4075" t="str">
        <f>VLOOKUP(Tabela26[[#This Row],[EMP]],[1]LOJA!$A:$B,2,0)</f>
        <v>AG LINDAS</v>
      </c>
      <c r="E4075">
        <v>240</v>
      </c>
      <c r="F4075" t="s">
        <v>5129</v>
      </c>
      <c r="G4075" t="s">
        <v>5128</v>
      </c>
      <c r="H4075" t="s">
        <v>3401</v>
      </c>
      <c r="I4075">
        <v>1411</v>
      </c>
      <c r="J4075" s="3">
        <v>-84.8</v>
      </c>
      <c r="K4075" s="3">
        <v>-51.03</v>
      </c>
      <c r="L4075">
        <v>39.82</v>
      </c>
    </row>
    <row r="4076" spans="1:12">
      <c r="A4076" s="1">
        <v>46041</v>
      </c>
      <c r="B4076" t="s">
        <v>8330</v>
      </c>
      <c r="C4076">
        <v>15</v>
      </c>
      <c r="D4076" t="str">
        <f>VLOOKUP(Tabela26[[#This Row],[EMP]],[1]LOJA!$A:$B,2,0)</f>
        <v>UNAÍ</v>
      </c>
      <c r="E4076">
        <v>183</v>
      </c>
      <c r="F4076" t="s">
        <v>4701</v>
      </c>
      <c r="G4076" t="s">
        <v>4700</v>
      </c>
      <c r="H4076" t="s">
        <v>3401</v>
      </c>
      <c r="I4076">
        <v>5102</v>
      </c>
      <c r="J4076" s="3">
        <v>63</v>
      </c>
      <c r="K4076" s="3">
        <v>30.9</v>
      </c>
      <c r="L4076">
        <v>50.95</v>
      </c>
    </row>
    <row r="4077" spans="1:12">
      <c r="A4077" s="1">
        <v>46041</v>
      </c>
      <c r="B4077" t="s">
        <v>8329</v>
      </c>
      <c r="C4077">
        <v>22</v>
      </c>
      <c r="D4077" t="str">
        <f>VLOOKUP(Tabela26[[#This Row],[EMP]],[1]LOJA!$A:$B,2,0)</f>
        <v>GUARÁ</v>
      </c>
      <c r="E4077">
        <v>93</v>
      </c>
      <c r="F4077" t="s">
        <v>8328</v>
      </c>
      <c r="G4077" t="s">
        <v>8327</v>
      </c>
      <c r="H4077" t="s">
        <v>3430</v>
      </c>
      <c r="I4077">
        <v>5405</v>
      </c>
      <c r="J4077" s="3">
        <v>123.8</v>
      </c>
      <c r="K4077" s="3">
        <v>67.8</v>
      </c>
      <c r="L4077">
        <v>45.23</v>
      </c>
    </row>
    <row r="4078" spans="1:12">
      <c r="A4078" s="1">
        <v>46041</v>
      </c>
      <c r="B4078" t="s">
        <v>8326</v>
      </c>
      <c r="C4078">
        <v>22</v>
      </c>
      <c r="D4078" t="str">
        <f>VLOOKUP(Tabela26[[#This Row],[EMP]],[1]LOJA!$A:$B,2,0)</f>
        <v>GUARÁ</v>
      </c>
      <c r="E4078">
        <v>93</v>
      </c>
      <c r="F4078" t="s">
        <v>3542</v>
      </c>
      <c r="G4078" t="s">
        <v>3541</v>
      </c>
      <c r="H4078" t="s">
        <v>3745</v>
      </c>
      <c r="I4078">
        <v>5102</v>
      </c>
      <c r="J4078" s="3">
        <v>1487.08</v>
      </c>
      <c r="K4078" s="3">
        <v>873.42</v>
      </c>
      <c r="L4078">
        <v>41.27</v>
      </c>
    </row>
    <row r="4079" spans="1:12">
      <c r="A4079" s="1">
        <v>46041</v>
      </c>
      <c r="B4079" t="s">
        <v>8325</v>
      </c>
      <c r="C4079">
        <v>22</v>
      </c>
      <c r="D4079" t="str">
        <f>VLOOKUP(Tabela26[[#This Row],[EMP]],[1]LOJA!$A:$B,2,0)</f>
        <v>GUARÁ</v>
      </c>
      <c r="E4079">
        <v>93</v>
      </c>
      <c r="F4079" t="s">
        <v>4246</v>
      </c>
      <c r="G4079" t="s">
        <v>4245</v>
      </c>
      <c r="H4079" t="s">
        <v>3430</v>
      </c>
      <c r="I4079">
        <v>5405</v>
      </c>
      <c r="J4079" s="3">
        <v>44.85</v>
      </c>
      <c r="K4079" s="3">
        <v>23.39</v>
      </c>
      <c r="L4079">
        <v>47.85</v>
      </c>
    </row>
    <row r="4080" spans="1:12">
      <c r="A4080" s="1">
        <v>46041</v>
      </c>
      <c r="B4080" t="s">
        <v>8324</v>
      </c>
      <c r="C4080">
        <v>22</v>
      </c>
      <c r="D4080" t="str">
        <f>VLOOKUP(Tabela26[[#This Row],[EMP]],[1]LOJA!$A:$B,2,0)</f>
        <v>GUARÁ</v>
      </c>
      <c r="E4080">
        <v>93</v>
      </c>
      <c r="F4080" t="s">
        <v>4246</v>
      </c>
      <c r="G4080" t="s">
        <v>4245</v>
      </c>
      <c r="H4080" t="s">
        <v>3430</v>
      </c>
      <c r="I4080">
        <v>5405</v>
      </c>
      <c r="J4080" s="3">
        <v>59.89</v>
      </c>
      <c r="K4080" s="3">
        <v>30.68</v>
      </c>
      <c r="L4080">
        <v>48.77</v>
      </c>
    </row>
    <row r="4081" spans="1:12">
      <c r="A4081" s="1">
        <v>46041</v>
      </c>
      <c r="B4081" t="s">
        <v>8323</v>
      </c>
      <c r="C4081">
        <v>22</v>
      </c>
      <c r="D4081" t="str">
        <f>VLOOKUP(Tabela26[[#This Row],[EMP]],[1]LOJA!$A:$B,2,0)</f>
        <v>GUARÁ</v>
      </c>
      <c r="E4081">
        <v>93</v>
      </c>
      <c r="F4081" t="s">
        <v>3542</v>
      </c>
      <c r="G4081" t="s">
        <v>3541</v>
      </c>
      <c r="H4081" t="s">
        <v>3430</v>
      </c>
      <c r="I4081">
        <v>5405</v>
      </c>
      <c r="J4081" s="3">
        <v>443.98</v>
      </c>
      <c r="K4081" s="3">
        <v>256.02</v>
      </c>
      <c r="L4081">
        <v>42.34</v>
      </c>
    </row>
    <row r="4082" spans="1:12">
      <c r="A4082" s="1">
        <v>46041</v>
      </c>
      <c r="B4082" t="s">
        <v>8322</v>
      </c>
      <c r="C4082">
        <v>22</v>
      </c>
      <c r="D4082" t="str">
        <f>VLOOKUP(Tabela26[[#This Row],[EMP]],[1]LOJA!$A:$B,2,0)</f>
        <v>GUARÁ</v>
      </c>
      <c r="E4082">
        <v>93</v>
      </c>
      <c r="F4082" t="s">
        <v>3535</v>
      </c>
      <c r="G4082" t="s">
        <v>3534</v>
      </c>
      <c r="H4082" t="s">
        <v>3426</v>
      </c>
      <c r="I4082">
        <v>5405</v>
      </c>
      <c r="J4082" s="3">
        <v>207.84</v>
      </c>
      <c r="K4082" s="3">
        <v>106.71</v>
      </c>
      <c r="L4082">
        <v>48.66</v>
      </c>
    </row>
    <row r="4083" spans="1:12">
      <c r="A4083" s="1">
        <v>46041</v>
      </c>
      <c r="B4083" t="s">
        <v>8321</v>
      </c>
      <c r="C4083">
        <v>22</v>
      </c>
      <c r="D4083" t="str">
        <f>VLOOKUP(Tabela26[[#This Row],[EMP]],[1]LOJA!$A:$B,2,0)</f>
        <v>GUARÁ</v>
      </c>
      <c r="E4083">
        <v>93</v>
      </c>
      <c r="F4083" t="s">
        <v>5978</v>
      </c>
      <c r="G4083" t="s">
        <v>5977</v>
      </c>
      <c r="H4083" t="s">
        <v>3430</v>
      </c>
      <c r="I4083">
        <v>5102</v>
      </c>
      <c r="J4083" s="3">
        <v>1050</v>
      </c>
      <c r="K4083" s="3">
        <v>599.59</v>
      </c>
      <c r="L4083">
        <v>42.9</v>
      </c>
    </row>
    <row r="4084" spans="1:12">
      <c r="A4084" s="1">
        <v>46041</v>
      </c>
      <c r="B4084" t="s">
        <v>8320</v>
      </c>
      <c r="C4084">
        <v>22</v>
      </c>
      <c r="D4084" t="str">
        <f>VLOOKUP(Tabela26[[#This Row],[EMP]],[1]LOJA!$A:$B,2,0)</f>
        <v>GUARÁ</v>
      </c>
      <c r="E4084">
        <v>93</v>
      </c>
      <c r="F4084" t="s">
        <v>3542</v>
      </c>
      <c r="G4084" t="s">
        <v>3541</v>
      </c>
      <c r="H4084" t="s">
        <v>4249</v>
      </c>
      <c r="I4084">
        <v>5102</v>
      </c>
      <c r="J4084" s="3">
        <v>830</v>
      </c>
      <c r="K4084" s="3">
        <v>531.69000000000005</v>
      </c>
      <c r="L4084">
        <v>35.94</v>
      </c>
    </row>
    <row r="4085" spans="1:12">
      <c r="A4085" s="1">
        <v>46041</v>
      </c>
      <c r="B4085" t="s">
        <v>8319</v>
      </c>
      <c r="C4085">
        <v>24</v>
      </c>
      <c r="D4085" t="str">
        <f>VLOOKUP(Tabela26[[#This Row],[EMP]],[1]LOJA!$A:$B,2,0)</f>
        <v>LUZIÂNIA</v>
      </c>
      <c r="E4085">
        <v>150</v>
      </c>
      <c r="F4085" t="s">
        <v>3524</v>
      </c>
      <c r="G4085" t="s">
        <v>3402</v>
      </c>
      <c r="H4085" t="s">
        <v>3401</v>
      </c>
      <c r="I4085">
        <v>5405</v>
      </c>
      <c r="J4085" s="3">
        <v>20</v>
      </c>
      <c r="K4085" s="3">
        <v>6.92</v>
      </c>
      <c r="L4085">
        <v>65.400000000000006</v>
      </c>
    </row>
    <row r="4086" spans="1:12">
      <c r="A4086" s="1">
        <v>46041</v>
      </c>
      <c r="B4086" t="s">
        <v>8318</v>
      </c>
      <c r="C4086">
        <v>24</v>
      </c>
      <c r="D4086" t="str">
        <f>VLOOKUP(Tabela26[[#This Row],[EMP]],[1]LOJA!$A:$B,2,0)</f>
        <v>LUZIÂNIA</v>
      </c>
      <c r="E4086">
        <v>192</v>
      </c>
      <c r="F4086" t="s">
        <v>3524</v>
      </c>
      <c r="G4086" t="s">
        <v>3402</v>
      </c>
      <c r="H4086" t="s">
        <v>3401</v>
      </c>
      <c r="I4086">
        <v>5102</v>
      </c>
      <c r="J4086" s="3">
        <v>160</v>
      </c>
      <c r="K4086" s="3">
        <v>96.63</v>
      </c>
      <c r="L4086">
        <v>39.61</v>
      </c>
    </row>
    <row r="4087" spans="1:12">
      <c r="A4087" s="1">
        <v>46041</v>
      </c>
      <c r="B4087" t="s">
        <v>8317</v>
      </c>
      <c r="C4087">
        <v>24</v>
      </c>
      <c r="D4087" t="str">
        <f>VLOOKUP(Tabela26[[#This Row],[EMP]],[1]LOJA!$A:$B,2,0)</f>
        <v>LUZIÂNIA</v>
      </c>
      <c r="E4087">
        <v>150</v>
      </c>
      <c r="F4087" t="s">
        <v>4902</v>
      </c>
      <c r="G4087" t="s">
        <v>3402</v>
      </c>
      <c r="H4087" t="s">
        <v>3401</v>
      </c>
      <c r="I4087">
        <v>5102</v>
      </c>
      <c r="J4087" s="3">
        <v>229.9</v>
      </c>
      <c r="K4087" s="3">
        <v>114.51</v>
      </c>
      <c r="L4087">
        <v>50.19</v>
      </c>
    </row>
    <row r="4088" spans="1:12">
      <c r="A4088" s="1">
        <v>46041</v>
      </c>
      <c r="B4088" t="s">
        <v>8316</v>
      </c>
      <c r="C4088">
        <v>24</v>
      </c>
      <c r="D4088" t="str">
        <f>VLOOKUP(Tabela26[[#This Row],[EMP]],[1]LOJA!$A:$B,2,0)</f>
        <v>LUZIÂNIA</v>
      </c>
      <c r="E4088">
        <v>150</v>
      </c>
      <c r="F4088" t="s">
        <v>8315</v>
      </c>
      <c r="G4088" t="s">
        <v>3402</v>
      </c>
      <c r="H4088" t="s">
        <v>3408</v>
      </c>
      <c r="I4088">
        <v>5102</v>
      </c>
      <c r="J4088" s="3">
        <v>90</v>
      </c>
      <c r="K4088" s="3">
        <v>65.489999999999995</v>
      </c>
      <c r="L4088">
        <v>27.23</v>
      </c>
    </row>
    <row r="4089" spans="1:12">
      <c r="A4089" s="1">
        <v>46041</v>
      </c>
      <c r="B4089" t="s">
        <v>8314</v>
      </c>
      <c r="C4089">
        <v>24</v>
      </c>
      <c r="D4089" t="str">
        <f>VLOOKUP(Tabela26[[#This Row],[EMP]],[1]LOJA!$A:$B,2,0)</f>
        <v>LUZIÂNIA</v>
      </c>
      <c r="E4089">
        <v>192</v>
      </c>
      <c r="F4089" t="s">
        <v>6955</v>
      </c>
      <c r="G4089" t="s">
        <v>6954</v>
      </c>
      <c r="H4089" t="s">
        <v>3408</v>
      </c>
      <c r="I4089">
        <v>5102</v>
      </c>
      <c r="J4089" s="3">
        <v>273</v>
      </c>
      <c r="K4089" s="3">
        <v>155.72</v>
      </c>
      <c r="L4089">
        <v>42.96</v>
      </c>
    </row>
    <row r="4090" spans="1:12">
      <c r="A4090" s="1">
        <v>46041</v>
      </c>
      <c r="B4090" t="s">
        <v>8313</v>
      </c>
      <c r="C4090">
        <v>24</v>
      </c>
      <c r="D4090" t="str">
        <f>VLOOKUP(Tabela26[[#This Row],[EMP]],[1]LOJA!$A:$B,2,0)</f>
        <v>LUZIÂNIA</v>
      </c>
      <c r="E4090">
        <v>150</v>
      </c>
      <c r="F4090" t="s">
        <v>3524</v>
      </c>
      <c r="G4090" t="s">
        <v>3402</v>
      </c>
      <c r="H4090" t="s">
        <v>3401</v>
      </c>
      <c r="I4090">
        <v>5102</v>
      </c>
      <c r="J4090" s="3">
        <v>89.9</v>
      </c>
      <c r="K4090" s="3">
        <v>47.38</v>
      </c>
      <c r="L4090">
        <v>47.3</v>
      </c>
    </row>
    <row r="4091" spans="1:12">
      <c r="A4091" s="1">
        <v>46041</v>
      </c>
      <c r="B4091" t="s">
        <v>8312</v>
      </c>
      <c r="C4091">
        <v>24</v>
      </c>
      <c r="D4091" t="str">
        <f>VLOOKUP(Tabela26[[#This Row],[EMP]],[1]LOJA!$A:$B,2,0)</f>
        <v>LUZIÂNIA</v>
      </c>
      <c r="E4091">
        <v>192</v>
      </c>
      <c r="F4091" t="s">
        <v>3524</v>
      </c>
      <c r="G4091" t="s">
        <v>3402</v>
      </c>
      <c r="H4091" t="s">
        <v>3408</v>
      </c>
      <c r="I4091">
        <v>5102</v>
      </c>
      <c r="J4091" s="3">
        <v>100</v>
      </c>
      <c r="K4091" s="3">
        <v>51.87</v>
      </c>
      <c r="L4091">
        <v>48.13</v>
      </c>
    </row>
    <row r="4092" spans="1:12">
      <c r="A4092" s="1">
        <v>46041</v>
      </c>
      <c r="B4092" t="s">
        <v>8311</v>
      </c>
      <c r="C4092">
        <v>24</v>
      </c>
      <c r="D4092" t="str">
        <f>VLOOKUP(Tabela26[[#This Row],[EMP]],[1]LOJA!$A:$B,2,0)</f>
        <v>LUZIÂNIA</v>
      </c>
      <c r="E4092">
        <v>192</v>
      </c>
      <c r="F4092" t="s">
        <v>3524</v>
      </c>
      <c r="G4092" t="s">
        <v>3402</v>
      </c>
      <c r="H4092" t="s">
        <v>3401</v>
      </c>
      <c r="I4092">
        <v>5102</v>
      </c>
      <c r="J4092" s="3">
        <v>24</v>
      </c>
      <c r="K4092" s="3">
        <v>12.32</v>
      </c>
      <c r="L4092">
        <v>48.67</v>
      </c>
    </row>
    <row r="4093" spans="1:12">
      <c r="A4093" s="1">
        <v>46041</v>
      </c>
      <c r="B4093" t="s">
        <v>8310</v>
      </c>
      <c r="C4093">
        <v>24</v>
      </c>
      <c r="D4093" t="str">
        <f>VLOOKUP(Tabela26[[#This Row],[EMP]],[1]LOJA!$A:$B,2,0)</f>
        <v>LUZIÂNIA</v>
      </c>
      <c r="E4093">
        <v>192</v>
      </c>
      <c r="F4093" t="s">
        <v>3524</v>
      </c>
      <c r="G4093" t="s">
        <v>3402</v>
      </c>
      <c r="H4093" t="s">
        <v>3401</v>
      </c>
      <c r="I4093">
        <v>5405</v>
      </c>
      <c r="J4093" s="3">
        <v>32</v>
      </c>
      <c r="K4093" s="3">
        <v>14.73</v>
      </c>
      <c r="L4093">
        <v>53.97</v>
      </c>
    </row>
    <row r="4094" spans="1:12">
      <c r="A4094" s="1">
        <v>46041</v>
      </c>
      <c r="B4094" t="s">
        <v>8309</v>
      </c>
      <c r="C4094">
        <v>24</v>
      </c>
      <c r="D4094" t="str">
        <f>VLOOKUP(Tabela26[[#This Row],[EMP]],[1]LOJA!$A:$B,2,0)</f>
        <v>LUZIÂNIA</v>
      </c>
      <c r="E4094">
        <v>242</v>
      </c>
      <c r="F4094" t="s">
        <v>8308</v>
      </c>
      <c r="G4094" t="s">
        <v>3402</v>
      </c>
      <c r="H4094" t="s">
        <v>3408</v>
      </c>
      <c r="I4094">
        <v>5102</v>
      </c>
      <c r="J4094" s="3">
        <v>55</v>
      </c>
      <c r="K4094" s="3">
        <v>29.14</v>
      </c>
      <c r="L4094">
        <v>47.02</v>
      </c>
    </row>
    <row r="4095" spans="1:12">
      <c r="A4095" s="1">
        <v>46041</v>
      </c>
      <c r="B4095" t="s">
        <v>8307</v>
      </c>
      <c r="C4095">
        <v>24</v>
      </c>
      <c r="D4095" t="str">
        <f>VLOOKUP(Tabela26[[#This Row],[EMP]],[1]LOJA!$A:$B,2,0)</f>
        <v>LUZIÂNIA</v>
      </c>
      <c r="E4095">
        <v>192</v>
      </c>
      <c r="F4095" t="s">
        <v>8306</v>
      </c>
      <c r="G4095" t="s">
        <v>8305</v>
      </c>
      <c r="H4095" t="s">
        <v>3401</v>
      </c>
      <c r="I4095">
        <v>5102</v>
      </c>
      <c r="J4095" s="3">
        <v>80</v>
      </c>
      <c r="K4095" s="3">
        <v>42.29</v>
      </c>
      <c r="L4095">
        <v>47.14</v>
      </c>
    </row>
    <row r="4096" spans="1:12">
      <c r="A4096" s="1">
        <v>46041</v>
      </c>
      <c r="B4096" t="s">
        <v>8304</v>
      </c>
      <c r="C4096">
        <v>24</v>
      </c>
      <c r="D4096" t="str">
        <f>VLOOKUP(Tabela26[[#This Row],[EMP]],[1]LOJA!$A:$B,2,0)</f>
        <v>LUZIÂNIA</v>
      </c>
      <c r="E4096">
        <v>150</v>
      </c>
      <c r="F4096" t="s">
        <v>3524</v>
      </c>
      <c r="G4096" t="s">
        <v>3402</v>
      </c>
      <c r="H4096" t="s">
        <v>3401</v>
      </c>
      <c r="I4096">
        <v>5102</v>
      </c>
      <c r="J4096" s="3">
        <v>157.5</v>
      </c>
      <c r="K4096" s="3">
        <v>86.46</v>
      </c>
      <c r="L4096">
        <v>45.1</v>
      </c>
    </row>
    <row r="4097" spans="1:12">
      <c r="A4097" s="1">
        <v>46041</v>
      </c>
      <c r="B4097" t="s">
        <v>8303</v>
      </c>
      <c r="C4097">
        <v>24</v>
      </c>
      <c r="D4097" t="str">
        <f>VLOOKUP(Tabela26[[#This Row],[EMP]],[1]LOJA!$A:$B,2,0)</f>
        <v>LUZIÂNIA</v>
      </c>
      <c r="E4097">
        <v>150</v>
      </c>
      <c r="F4097" t="s">
        <v>3524</v>
      </c>
      <c r="G4097" t="s">
        <v>3402</v>
      </c>
      <c r="H4097" t="s">
        <v>3401</v>
      </c>
      <c r="I4097">
        <v>5102</v>
      </c>
      <c r="J4097" s="3">
        <v>22</v>
      </c>
      <c r="K4097" s="3">
        <v>11.33</v>
      </c>
      <c r="L4097">
        <v>48.5</v>
      </c>
    </row>
    <row r="4098" spans="1:12">
      <c r="A4098" s="1">
        <v>46041</v>
      </c>
      <c r="B4098" t="s">
        <v>8302</v>
      </c>
      <c r="C4098">
        <v>24</v>
      </c>
      <c r="D4098" t="str">
        <f>VLOOKUP(Tabela26[[#This Row],[EMP]],[1]LOJA!$A:$B,2,0)</f>
        <v>LUZIÂNIA</v>
      </c>
      <c r="E4098">
        <v>150</v>
      </c>
      <c r="F4098" t="s">
        <v>3524</v>
      </c>
      <c r="G4098" t="s">
        <v>3402</v>
      </c>
      <c r="H4098" t="s">
        <v>3401</v>
      </c>
      <c r="I4098">
        <v>5102</v>
      </c>
      <c r="J4098" s="3">
        <v>50</v>
      </c>
      <c r="K4098" s="3">
        <v>25.13</v>
      </c>
      <c r="L4098">
        <v>49.74</v>
      </c>
    </row>
    <row r="4099" spans="1:12">
      <c r="A4099" s="1">
        <v>46041</v>
      </c>
      <c r="B4099" t="s">
        <v>8301</v>
      </c>
      <c r="C4099">
        <v>24</v>
      </c>
      <c r="D4099" t="str">
        <f>VLOOKUP(Tabela26[[#This Row],[EMP]],[1]LOJA!$A:$B,2,0)</f>
        <v>LUZIÂNIA</v>
      </c>
      <c r="E4099">
        <v>150</v>
      </c>
      <c r="F4099" t="s">
        <v>3524</v>
      </c>
      <c r="G4099" t="s">
        <v>3402</v>
      </c>
      <c r="H4099" t="s">
        <v>3401</v>
      </c>
      <c r="I4099">
        <v>5102</v>
      </c>
      <c r="J4099" s="3">
        <v>190</v>
      </c>
      <c r="K4099" s="3">
        <v>101.52</v>
      </c>
      <c r="L4099">
        <v>46.57</v>
      </c>
    </row>
    <row r="4100" spans="1:12">
      <c r="A4100" s="1">
        <v>46041</v>
      </c>
      <c r="B4100" t="s">
        <v>8300</v>
      </c>
      <c r="C4100">
        <v>24</v>
      </c>
      <c r="D4100" t="str">
        <f>VLOOKUP(Tabela26[[#This Row],[EMP]],[1]LOJA!$A:$B,2,0)</f>
        <v>LUZIÂNIA</v>
      </c>
      <c r="E4100">
        <v>150</v>
      </c>
      <c r="F4100" t="s">
        <v>4892</v>
      </c>
      <c r="G4100" t="s">
        <v>4891</v>
      </c>
      <c r="H4100" t="s">
        <v>3401</v>
      </c>
      <c r="I4100">
        <v>5102</v>
      </c>
      <c r="J4100" s="3">
        <v>70</v>
      </c>
      <c r="K4100" s="3">
        <v>36.04</v>
      </c>
      <c r="L4100">
        <v>48.51</v>
      </c>
    </row>
    <row r="4101" spans="1:12">
      <c r="A4101" s="1">
        <v>46041</v>
      </c>
      <c r="B4101" t="s">
        <v>8299</v>
      </c>
      <c r="C4101">
        <v>24</v>
      </c>
      <c r="D4101" t="str">
        <f>VLOOKUP(Tabela26[[#This Row],[EMP]],[1]LOJA!$A:$B,2,0)</f>
        <v>LUZIÂNIA</v>
      </c>
      <c r="E4101">
        <v>192</v>
      </c>
      <c r="F4101" t="s">
        <v>3524</v>
      </c>
      <c r="G4101" t="s">
        <v>3402</v>
      </c>
      <c r="H4101" t="s">
        <v>3401</v>
      </c>
      <c r="I4101">
        <v>5102</v>
      </c>
      <c r="J4101" s="3">
        <v>20</v>
      </c>
      <c r="K4101" s="3">
        <v>10.27</v>
      </c>
      <c r="L4101">
        <v>48.65</v>
      </c>
    </row>
    <row r="4102" spans="1:12">
      <c r="A4102" s="1">
        <v>46041</v>
      </c>
      <c r="B4102" t="s">
        <v>8298</v>
      </c>
      <c r="C4102">
        <v>24</v>
      </c>
      <c r="D4102" t="str">
        <f>VLOOKUP(Tabela26[[#This Row],[EMP]],[1]LOJA!$A:$B,2,0)</f>
        <v>LUZIÂNIA</v>
      </c>
      <c r="E4102">
        <v>242</v>
      </c>
      <c r="F4102" t="s">
        <v>3524</v>
      </c>
      <c r="G4102" t="s">
        <v>3402</v>
      </c>
      <c r="H4102" t="s">
        <v>3401</v>
      </c>
      <c r="I4102">
        <v>5102</v>
      </c>
      <c r="J4102" s="3">
        <v>109</v>
      </c>
      <c r="K4102" s="3">
        <v>60.69</v>
      </c>
      <c r="L4102">
        <v>44.32</v>
      </c>
    </row>
    <row r="4103" spans="1:12">
      <c r="A4103" s="1">
        <v>46041</v>
      </c>
      <c r="B4103" t="s">
        <v>8297</v>
      </c>
      <c r="C4103">
        <v>24</v>
      </c>
      <c r="D4103" t="str">
        <f>VLOOKUP(Tabela26[[#This Row],[EMP]],[1]LOJA!$A:$B,2,0)</f>
        <v>LUZIÂNIA</v>
      </c>
      <c r="E4103">
        <v>192</v>
      </c>
      <c r="F4103" t="s">
        <v>6163</v>
      </c>
      <c r="G4103" t="s">
        <v>6162</v>
      </c>
      <c r="H4103" t="s">
        <v>3401</v>
      </c>
      <c r="I4103">
        <v>5102</v>
      </c>
      <c r="J4103" s="3">
        <v>58</v>
      </c>
      <c r="K4103" s="3">
        <v>29.04</v>
      </c>
      <c r="L4103">
        <v>49.93</v>
      </c>
    </row>
    <row r="4104" spans="1:12">
      <c r="A4104" s="1">
        <v>46041</v>
      </c>
      <c r="B4104" t="s">
        <v>8296</v>
      </c>
      <c r="C4104">
        <v>24</v>
      </c>
      <c r="D4104" t="str">
        <f>VLOOKUP(Tabela26[[#This Row],[EMP]],[1]LOJA!$A:$B,2,0)</f>
        <v>LUZIÂNIA</v>
      </c>
      <c r="E4104">
        <v>192</v>
      </c>
      <c r="F4104" t="s">
        <v>8295</v>
      </c>
      <c r="G4104" t="s">
        <v>8294</v>
      </c>
      <c r="H4104" t="s">
        <v>3401</v>
      </c>
      <c r="I4104">
        <v>5102</v>
      </c>
      <c r="J4104" s="3">
        <v>139</v>
      </c>
      <c r="K4104" s="3">
        <v>78.25</v>
      </c>
      <c r="L4104">
        <v>43.71</v>
      </c>
    </row>
    <row r="4105" spans="1:12">
      <c r="A4105" s="1">
        <v>46041</v>
      </c>
      <c r="B4105" t="s">
        <v>8293</v>
      </c>
      <c r="C4105">
        <v>24</v>
      </c>
      <c r="D4105" t="str">
        <f>VLOOKUP(Tabela26[[#This Row],[EMP]],[1]LOJA!$A:$B,2,0)</f>
        <v>LUZIÂNIA</v>
      </c>
      <c r="E4105">
        <v>242</v>
      </c>
      <c r="F4105" t="s">
        <v>3524</v>
      </c>
      <c r="G4105" t="s">
        <v>3402</v>
      </c>
      <c r="H4105" t="s">
        <v>3401</v>
      </c>
      <c r="I4105">
        <v>5405</v>
      </c>
      <c r="J4105" s="3">
        <v>128</v>
      </c>
      <c r="K4105" s="3">
        <v>59.24</v>
      </c>
      <c r="L4105">
        <v>53.72</v>
      </c>
    </row>
    <row r="4106" spans="1:12">
      <c r="A4106" s="1">
        <v>46041</v>
      </c>
      <c r="B4106" t="s">
        <v>8292</v>
      </c>
      <c r="C4106">
        <v>24</v>
      </c>
      <c r="D4106" t="str">
        <f>VLOOKUP(Tabela26[[#This Row],[EMP]],[1]LOJA!$A:$B,2,0)</f>
        <v>LUZIÂNIA</v>
      </c>
      <c r="E4106">
        <v>192</v>
      </c>
      <c r="F4106" t="s">
        <v>4843</v>
      </c>
      <c r="G4106" t="s">
        <v>4842</v>
      </c>
      <c r="H4106" t="s">
        <v>3401</v>
      </c>
      <c r="I4106">
        <v>5405</v>
      </c>
      <c r="J4106" s="3">
        <v>80</v>
      </c>
      <c r="K4106" s="3">
        <v>37.43</v>
      </c>
      <c r="L4106">
        <v>53.21</v>
      </c>
    </row>
    <row r="4107" spans="1:12">
      <c r="A4107" s="1">
        <v>46041</v>
      </c>
      <c r="B4107" t="s">
        <v>8291</v>
      </c>
      <c r="C4107">
        <v>24</v>
      </c>
      <c r="D4107" t="str">
        <f>VLOOKUP(Tabela26[[#This Row],[EMP]],[1]LOJA!$A:$B,2,0)</f>
        <v>LUZIÂNIA</v>
      </c>
      <c r="E4107">
        <v>192</v>
      </c>
      <c r="F4107" t="s">
        <v>4184</v>
      </c>
      <c r="G4107" t="s">
        <v>3402</v>
      </c>
      <c r="H4107" t="s">
        <v>3401</v>
      </c>
      <c r="I4107">
        <v>5102</v>
      </c>
      <c r="J4107" s="3">
        <v>80</v>
      </c>
      <c r="K4107" s="3">
        <v>45.7</v>
      </c>
      <c r="L4107">
        <v>42.88</v>
      </c>
    </row>
    <row r="4108" spans="1:12">
      <c r="A4108" s="1">
        <v>46041</v>
      </c>
      <c r="B4108" t="s">
        <v>8290</v>
      </c>
      <c r="C4108">
        <v>24</v>
      </c>
      <c r="D4108" t="str">
        <f>VLOOKUP(Tabela26[[#This Row],[EMP]],[1]LOJA!$A:$B,2,0)</f>
        <v>LUZIÂNIA</v>
      </c>
      <c r="E4108">
        <v>192</v>
      </c>
      <c r="F4108" t="s">
        <v>8289</v>
      </c>
      <c r="G4108" t="s">
        <v>3402</v>
      </c>
      <c r="H4108" t="s">
        <v>3401</v>
      </c>
      <c r="I4108">
        <v>5405</v>
      </c>
      <c r="J4108" s="3">
        <v>154</v>
      </c>
      <c r="K4108" s="3">
        <v>75.8</v>
      </c>
      <c r="L4108">
        <v>50.78</v>
      </c>
    </row>
    <row r="4109" spans="1:12">
      <c r="A4109" s="1">
        <v>46041</v>
      </c>
      <c r="B4109" t="s">
        <v>8288</v>
      </c>
      <c r="C4109">
        <v>24</v>
      </c>
      <c r="D4109" t="str">
        <f>VLOOKUP(Tabela26[[#This Row],[EMP]],[1]LOJA!$A:$B,2,0)</f>
        <v>LUZIÂNIA</v>
      </c>
      <c r="E4109">
        <v>150</v>
      </c>
      <c r="F4109" t="s">
        <v>3524</v>
      </c>
      <c r="G4109" t="s">
        <v>3402</v>
      </c>
      <c r="H4109" t="s">
        <v>3401</v>
      </c>
      <c r="I4109">
        <v>5102</v>
      </c>
      <c r="J4109" s="3">
        <v>27</v>
      </c>
      <c r="K4109" s="3">
        <v>12.48</v>
      </c>
      <c r="L4109">
        <v>53.78</v>
      </c>
    </row>
    <row r="4110" spans="1:12">
      <c r="A4110" s="1">
        <v>46041</v>
      </c>
      <c r="B4110" t="s">
        <v>8287</v>
      </c>
      <c r="C4110">
        <v>24</v>
      </c>
      <c r="D4110" t="str">
        <f>VLOOKUP(Tabela26[[#This Row],[EMP]],[1]LOJA!$A:$B,2,0)</f>
        <v>LUZIÂNIA</v>
      </c>
      <c r="E4110">
        <v>192</v>
      </c>
      <c r="F4110" t="s">
        <v>3524</v>
      </c>
      <c r="G4110" t="s">
        <v>3402</v>
      </c>
      <c r="H4110" t="s">
        <v>3401</v>
      </c>
      <c r="I4110">
        <v>5102</v>
      </c>
      <c r="J4110" s="3">
        <v>130</v>
      </c>
      <c r="K4110" s="3">
        <v>78.33</v>
      </c>
      <c r="L4110">
        <v>39.75</v>
      </c>
    </row>
    <row r="4111" spans="1:12">
      <c r="A4111" s="1">
        <v>46041</v>
      </c>
      <c r="B4111" t="s">
        <v>8286</v>
      </c>
      <c r="C4111">
        <v>24</v>
      </c>
      <c r="D4111" t="str">
        <f>VLOOKUP(Tabela26[[#This Row],[EMP]],[1]LOJA!$A:$B,2,0)</f>
        <v>LUZIÂNIA</v>
      </c>
      <c r="E4111">
        <v>192</v>
      </c>
      <c r="F4111" t="s">
        <v>3524</v>
      </c>
      <c r="G4111" t="s">
        <v>3402</v>
      </c>
      <c r="H4111" t="s">
        <v>3401</v>
      </c>
      <c r="I4111">
        <v>5102</v>
      </c>
      <c r="J4111" s="3">
        <v>18</v>
      </c>
      <c r="K4111" s="3">
        <v>8.69</v>
      </c>
      <c r="L4111">
        <v>51.72</v>
      </c>
    </row>
    <row r="4112" spans="1:12">
      <c r="A4112" s="1">
        <v>46041</v>
      </c>
      <c r="B4112" t="s">
        <v>8285</v>
      </c>
      <c r="C4112">
        <v>24</v>
      </c>
      <c r="D4112" t="str">
        <f>VLOOKUP(Tabela26[[#This Row],[EMP]],[1]LOJA!$A:$B,2,0)</f>
        <v>LUZIÂNIA</v>
      </c>
      <c r="E4112">
        <v>192</v>
      </c>
      <c r="F4112" t="s">
        <v>3524</v>
      </c>
      <c r="G4112" t="s">
        <v>3402</v>
      </c>
      <c r="H4112" t="s">
        <v>3408</v>
      </c>
      <c r="I4112">
        <v>5405</v>
      </c>
      <c r="J4112" s="3">
        <v>194</v>
      </c>
      <c r="K4112" s="3">
        <v>95.06</v>
      </c>
      <c r="L4112">
        <v>51</v>
      </c>
    </row>
    <row r="4113" spans="1:12">
      <c r="A4113" s="1">
        <v>46041</v>
      </c>
      <c r="B4113" t="s">
        <v>8284</v>
      </c>
      <c r="C4113">
        <v>24</v>
      </c>
      <c r="D4113" t="str">
        <f>VLOOKUP(Tabela26[[#This Row],[EMP]],[1]LOJA!$A:$B,2,0)</f>
        <v>LUZIÂNIA</v>
      </c>
      <c r="E4113">
        <v>150</v>
      </c>
      <c r="F4113" t="s">
        <v>4176</v>
      </c>
      <c r="G4113" t="s">
        <v>4175</v>
      </c>
      <c r="H4113" t="s">
        <v>3408</v>
      </c>
      <c r="I4113">
        <v>5405</v>
      </c>
      <c r="J4113" s="3">
        <v>469.9</v>
      </c>
      <c r="K4113" s="3">
        <v>253.76</v>
      </c>
      <c r="L4113">
        <v>46</v>
      </c>
    </row>
    <row r="4114" spans="1:12">
      <c r="A4114" s="1">
        <v>46041</v>
      </c>
      <c r="B4114" t="s">
        <v>8283</v>
      </c>
      <c r="C4114">
        <v>24</v>
      </c>
      <c r="D4114" t="str">
        <f>VLOOKUP(Tabela26[[#This Row],[EMP]],[1]LOJA!$A:$B,2,0)</f>
        <v>LUZIÂNIA</v>
      </c>
      <c r="E4114">
        <v>192</v>
      </c>
      <c r="F4114" t="s">
        <v>3524</v>
      </c>
      <c r="G4114" t="s">
        <v>3402</v>
      </c>
      <c r="H4114" t="s">
        <v>3401</v>
      </c>
      <c r="I4114">
        <v>5102</v>
      </c>
      <c r="J4114" s="3">
        <v>38</v>
      </c>
      <c r="K4114" s="3">
        <v>22.05</v>
      </c>
      <c r="L4114">
        <v>41.97</v>
      </c>
    </row>
    <row r="4115" spans="1:12">
      <c r="A4115" s="1">
        <v>46041</v>
      </c>
      <c r="B4115" t="s">
        <v>8282</v>
      </c>
      <c r="C4115">
        <v>24</v>
      </c>
      <c r="D4115" t="str">
        <f>VLOOKUP(Tabela26[[#This Row],[EMP]],[1]LOJA!$A:$B,2,0)</f>
        <v>LUZIÂNIA</v>
      </c>
      <c r="E4115">
        <v>192</v>
      </c>
      <c r="F4115" t="s">
        <v>3524</v>
      </c>
      <c r="G4115" t="s">
        <v>3402</v>
      </c>
      <c r="H4115" t="s">
        <v>3401</v>
      </c>
      <c r="I4115">
        <v>5405</v>
      </c>
      <c r="J4115" s="3">
        <v>28</v>
      </c>
      <c r="K4115" s="3">
        <v>11.99</v>
      </c>
      <c r="L4115">
        <v>57.18</v>
      </c>
    </row>
    <row r="4116" spans="1:12">
      <c r="A4116" s="1">
        <v>46041</v>
      </c>
      <c r="B4116" t="s">
        <v>8281</v>
      </c>
      <c r="C4116">
        <v>24</v>
      </c>
      <c r="D4116" t="str">
        <f>VLOOKUP(Tabela26[[#This Row],[EMP]],[1]LOJA!$A:$B,2,0)</f>
        <v>LUZIÂNIA</v>
      </c>
      <c r="E4116">
        <v>150</v>
      </c>
      <c r="F4116" t="s">
        <v>8280</v>
      </c>
      <c r="G4116" t="s">
        <v>8279</v>
      </c>
      <c r="H4116" t="s">
        <v>3401</v>
      </c>
      <c r="I4116">
        <v>5405</v>
      </c>
      <c r="J4116" s="3">
        <v>64</v>
      </c>
      <c r="K4116" s="3">
        <v>29.25</v>
      </c>
      <c r="L4116">
        <v>54.3</v>
      </c>
    </row>
    <row r="4117" spans="1:12">
      <c r="A4117" s="1">
        <v>46041</v>
      </c>
      <c r="B4117" t="s">
        <v>8278</v>
      </c>
      <c r="C4117">
        <v>24</v>
      </c>
      <c r="D4117" t="str">
        <f>VLOOKUP(Tabela26[[#This Row],[EMP]],[1]LOJA!$A:$B,2,0)</f>
        <v>LUZIÂNIA</v>
      </c>
      <c r="E4117">
        <v>242</v>
      </c>
      <c r="F4117" t="s">
        <v>3524</v>
      </c>
      <c r="G4117" t="s">
        <v>3402</v>
      </c>
      <c r="H4117" t="s">
        <v>3401</v>
      </c>
      <c r="I4117">
        <v>5102</v>
      </c>
      <c r="J4117" s="3">
        <v>20</v>
      </c>
      <c r="K4117" s="3">
        <v>10.59</v>
      </c>
      <c r="L4117">
        <v>47.05</v>
      </c>
    </row>
    <row r="4118" spans="1:12">
      <c r="A4118" s="1">
        <v>46041</v>
      </c>
      <c r="B4118" t="s">
        <v>8277</v>
      </c>
      <c r="C4118">
        <v>24</v>
      </c>
      <c r="D4118" t="str">
        <f>VLOOKUP(Tabela26[[#This Row],[EMP]],[1]LOJA!$A:$B,2,0)</f>
        <v>LUZIÂNIA</v>
      </c>
      <c r="E4118">
        <v>242</v>
      </c>
      <c r="F4118" t="s">
        <v>3524</v>
      </c>
      <c r="G4118" t="s">
        <v>3402</v>
      </c>
      <c r="H4118" t="s">
        <v>3401</v>
      </c>
      <c r="I4118">
        <v>5405</v>
      </c>
      <c r="J4118" s="3">
        <v>18</v>
      </c>
      <c r="K4118" s="3">
        <v>6.71</v>
      </c>
      <c r="L4118">
        <v>62.72</v>
      </c>
    </row>
    <row r="4119" spans="1:12">
      <c r="A4119" s="1">
        <v>46041</v>
      </c>
      <c r="B4119" t="s">
        <v>8276</v>
      </c>
      <c r="C4119">
        <v>24</v>
      </c>
      <c r="D4119" t="str">
        <f>VLOOKUP(Tabela26[[#This Row],[EMP]],[1]LOJA!$A:$B,2,0)</f>
        <v>LUZIÂNIA</v>
      </c>
      <c r="E4119">
        <v>150</v>
      </c>
      <c r="F4119" t="s">
        <v>4898</v>
      </c>
      <c r="G4119" t="s">
        <v>4897</v>
      </c>
      <c r="H4119" t="s">
        <v>3408</v>
      </c>
      <c r="I4119">
        <v>5405</v>
      </c>
      <c r="J4119" s="3">
        <v>526.79999999999995</v>
      </c>
      <c r="K4119" s="3">
        <v>271.55</v>
      </c>
      <c r="L4119">
        <v>48.45</v>
      </c>
    </row>
    <row r="4120" spans="1:12">
      <c r="A4120" s="1">
        <v>46041</v>
      </c>
      <c r="B4120" t="s">
        <v>8275</v>
      </c>
      <c r="C4120">
        <v>24</v>
      </c>
      <c r="D4120" t="str">
        <f>VLOOKUP(Tabela26[[#This Row],[EMP]],[1]LOJA!$A:$B,2,0)</f>
        <v>LUZIÂNIA</v>
      </c>
      <c r="E4120">
        <v>242</v>
      </c>
      <c r="F4120" t="s">
        <v>3524</v>
      </c>
      <c r="G4120" t="s">
        <v>3402</v>
      </c>
      <c r="H4120" t="s">
        <v>3401</v>
      </c>
      <c r="I4120">
        <v>5405</v>
      </c>
      <c r="J4120" s="3">
        <v>766</v>
      </c>
      <c r="K4120" s="3">
        <v>418.01</v>
      </c>
      <c r="L4120">
        <v>45.43</v>
      </c>
    </row>
    <row r="4121" spans="1:12">
      <c r="A4121" s="1">
        <v>46041</v>
      </c>
      <c r="B4121" t="s">
        <v>8274</v>
      </c>
      <c r="C4121">
        <v>24</v>
      </c>
      <c r="D4121" t="str">
        <f>VLOOKUP(Tabela26[[#This Row],[EMP]],[1]LOJA!$A:$B,2,0)</f>
        <v>LUZIÂNIA</v>
      </c>
      <c r="E4121">
        <v>192</v>
      </c>
      <c r="F4121" t="s">
        <v>3524</v>
      </c>
      <c r="G4121" t="s">
        <v>3402</v>
      </c>
      <c r="H4121" t="s">
        <v>3401</v>
      </c>
      <c r="I4121">
        <v>5405</v>
      </c>
      <c r="J4121" s="3">
        <v>65</v>
      </c>
      <c r="K4121" s="3">
        <v>33.200000000000003</v>
      </c>
      <c r="L4121">
        <v>48.92</v>
      </c>
    </row>
    <row r="4122" spans="1:12">
      <c r="A4122" s="1">
        <v>46041</v>
      </c>
      <c r="B4122" t="s">
        <v>8273</v>
      </c>
      <c r="C4122">
        <v>12</v>
      </c>
      <c r="D4122" t="str">
        <f>VLOOKUP(Tabela26[[#This Row],[EMP]],[1]LOJA!$A:$B,2,0)</f>
        <v>SOFNORTE</v>
      </c>
      <c r="E4122">
        <v>60</v>
      </c>
      <c r="F4122" t="s">
        <v>4813</v>
      </c>
      <c r="G4122" t="s">
        <v>4812</v>
      </c>
      <c r="H4122" t="s">
        <v>7916</v>
      </c>
      <c r="I4122">
        <v>5102</v>
      </c>
      <c r="J4122" s="3">
        <v>85</v>
      </c>
      <c r="K4122" s="3">
        <v>41.92</v>
      </c>
      <c r="L4122">
        <v>50.68</v>
      </c>
    </row>
    <row r="4123" spans="1:12">
      <c r="A4123" s="1">
        <v>46041</v>
      </c>
      <c r="B4123" t="s">
        <v>8272</v>
      </c>
      <c r="C4123">
        <v>22</v>
      </c>
      <c r="D4123" t="str">
        <f>VLOOKUP(Tabela26[[#This Row],[EMP]],[1]LOJA!$A:$B,2,0)</f>
        <v>GUARÁ</v>
      </c>
      <c r="E4123">
        <v>93</v>
      </c>
      <c r="F4123" t="s">
        <v>4805</v>
      </c>
      <c r="G4123" t="s">
        <v>4804</v>
      </c>
      <c r="H4123" t="s">
        <v>3430</v>
      </c>
      <c r="I4123">
        <v>5405</v>
      </c>
      <c r="J4123" s="3">
        <v>202</v>
      </c>
      <c r="K4123" s="3">
        <v>108.55</v>
      </c>
      <c r="L4123">
        <v>46.26</v>
      </c>
    </row>
    <row r="4124" spans="1:12">
      <c r="A4124" s="1">
        <v>46041</v>
      </c>
      <c r="B4124" t="s">
        <v>8271</v>
      </c>
      <c r="C4124">
        <v>22</v>
      </c>
      <c r="D4124" t="str">
        <f>VLOOKUP(Tabela26[[#This Row],[EMP]],[1]LOJA!$A:$B,2,0)</f>
        <v>GUARÁ</v>
      </c>
      <c r="E4124">
        <v>93</v>
      </c>
      <c r="F4124" t="s">
        <v>4136</v>
      </c>
      <c r="G4124" t="s">
        <v>4135</v>
      </c>
      <c r="H4124" t="s">
        <v>3430</v>
      </c>
      <c r="I4124">
        <v>5405</v>
      </c>
      <c r="J4124" s="3">
        <v>172.41</v>
      </c>
      <c r="K4124" s="3">
        <v>89.59</v>
      </c>
      <c r="L4124">
        <v>48.04</v>
      </c>
    </row>
    <row r="4125" spans="1:12">
      <c r="A4125" s="1">
        <v>46041</v>
      </c>
      <c r="B4125" t="s">
        <v>8270</v>
      </c>
      <c r="C4125">
        <v>22</v>
      </c>
      <c r="D4125" t="str">
        <f>VLOOKUP(Tabela26[[#This Row],[EMP]],[1]LOJA!$A:$B,2,0)</f>
        <v>GUARÁ</v>
      </c>
      <c r="E4125">
        <v>93</v>
      </c>
      <c r="F4125" t="s">
        <v>4151</v>
      </c>
      <c r="G4125" t="s">
        <v>4150</v>
      </c>
      <c r="H4125" t="s">
        <v>3430</v>
      </c>
      <c r="I4125">
        <v>5405</v>
      </c>
      <c r="J4125" s="3">
        <v>183.85</v>
      </c>
      <c r="K4125" s="3">
        <v>87.96</v>
      </c>
      <c r="L4125">
        <v>52.16</v>
      </c>
    </row>
    <row r="4126" spans="1:12">
      <c r="A4126" s="1">
        <v>46041</v>
      </c>
      <c r="B4126" t="s">
        <v>8269</v>
      </c>
      <c r="C4126">
        <v>22</v>
      </c>
      <c r="D4126" t="str">
        <f>VLOOKUP(Tabela26[[#This Row],[EMP]],[1]LOJA!$A:$B,2,0)</f>
        <v>GUARÁ</v>
      </c>
      <c r="E4126">
        <v>93</v>
      </c>
      <c r="F4126" t="s">
        <v>4151</v>
      </c>
      <c r="G4126" t="s">
        <v>4150</v>
      </c>
      <c r="H4126" t="s">
        <v>3430</v>
      </c>
      <c r="I4126">
        <v>5405</v>
      </c>
      <c r="J4126" s="3">
        <v>423.39</v>
      </c>
      <c r="K4126" s="3">
        <v>207.39</v>
      </c>
      <c r="L4126">
        <v>51.02</v>
      </c>
    </row>
    <row r="4127" spans="1:12">
      <c r="A4127" s="1">
        <v>46041</v>
      </c>
      <c r="B4127" t="s">
        <v>8268</v>
      </c>
      <c r="C4127">
        <v>22</v>
      </c>
      <c r="D4127" t="str">
        <f>VLOOKUP(Tabela26[[#This Row],[EMP]],[1]LOJA!$A:$B,2,0)</f>
        <v>GUARÁ</v>
      </c>
      <c r="E4127">
        <v>93</v>
      </c>
      <c r="F4127" t="s">
        <v>4151</v>
      </c>
      <c r="G4127" t="s">
        <v>4150</v>
      </c>
      <c r="H4127" t="s">
        <v>3430</v>
      </c>
      <c r="I4127">
        <v>5405</v>
      </c>
      <c r="J4127" s="3">
        <v>89.3</v>
      </c>
      <c r="K4127" s="3">
        <v>41.95</v>
      </c>
      <c r="L4127">
        <v>53.02</v>
      </c>
    </row>
    <row r="4128" spans="1:12">
      <c r="A4128" s="1">
        <v>46041</v>
      </c>
      <c r="B4128" t="s">
        <v>8267</v>
      </c>
      <c r="C4128">
        <v>22</v>
      </c>
      <c r="D4128" t="str">
        <f>VLOOKUP(Tabela26[[#This Row],[EMP]],[1]LOJA!$A:$B,2,0)</f>
        <v>GUARÁ</v>
      </c>
      <c r="E4128">
        <v>93</v>
      </c>
      <c r="F4128" t="s">
        <v>4136</v>
      </c>
      <c r="G4128" t="s">
        <v>4135</v>
      </c>
      <c r="H4128" t="s">
        <v>3430</v>
      </c>
      <c r="I4128">
        <v>5102</v>
      </c>
      <c r="J4128" s="3">
        <v>107.75</v>
      </c>
      <c r="K4128" s="3">
        <v>58.75</v>
      </c>
      <c r="L4128">
        <v>45.48</v>
      </c>
    </row>
    <row r="4129" spans="1:12">
      <c r="A4129" s="1">
        <v>46041</v>
      </c>
      <c r="B4129" t="s">
        <v>8266</v>
      </c>
      <c r="C4129">
        <v>22</v>
      </c>
      <c r="D4129" t="str">
        <f>VLOOKUP(Tabela26[[#This Row],[EMP]],[1]LOJA!$A:$B,2,0)</f>
        <v>GUARÁ</v>
      </c>
      <c r="E4129">
        <v>93</v>
      </c>
      <c r="F4129" t="s">
        <v>4136</v>
      </c>
      <c r="G4129" t="s">
        <v>4135</v>
      </c>
      <c r="H4129" t="s">
        <v>3430</v>
      </c>
      <c r="I4129">
        <v>5405</v>
      </c>
      <c r="J4129" s="3">
        <v>70.05</v>
      </c>
      <c r="K4129" s="3">
        <v>36.46</v>
      </c>
      <c r="L4129">
        <v>47.95</v>
      </c>
    </row>
    <row r="4130" spans="1:12">
      <c r="A4130" s="1">
        <v>46041</v>
      </c>
      <c r="B4130" t="s">
        <v>8265</v>
      </c>
      <c r="C4130">
        <v>22</v>
      </c>
      <c r="D4130" t="str">
        <f>VLOOKUP(Tabela26[[#This Row],[EMP]],[1]LOJA!$A:$B,2,0)</f>
        <v>GUARÁ</v>
      </c>
      <c r="E4130">
        <v>16</v>
      </c>
      <c r="F4130" t="s">
        <v>6897</v>
      </c>
      <c r="G4130" t="s">
        <v>6896</v>
      </c>
      <c r="H4130" t="s">
        <v>3430</v>
      </c>
      <c r="I4130">
        <v>5102</v>
      </c>
      <c r="J4130" s="3">
        <v>324.52999999999997</v>
      </c>
      <c r="K4130" s="3">
        <v>190.2</v>
      </c>
      <c r="L4130">
        <v>41.39</v>
      </c>
    </row>
    <row r="4131" spans="1:12">
      <c r="A4131" s="1">
        <v>46041</v>
      </c>
      <c r="B4131" t="s">
        <v>8264</v>
      </c>
      <c r="C4131">
        <v>22</v>
      </c>
      <c r="D4131" t="str">
        <f>VLOOKUP(Tabela26[[#This Row],[EMP]],[1]LOJA!$A:$B,2,0)</f>
        <v>GUARÁ</v>
      </c>
      <c r="E4131">
        <v>93</v>
      </c>
      <c r="F4131" t="s">
        <v>3508</v>
      </c>
      <c r="G4131" t="s">
        <v>3507</v>
      </c>
      <c r="H4131" t="s">
        <v>3430</v>
      </c>
      <c r="I4131">
        <v>5405</v>
      </c>
      <c r="J4131" s="3">
        <v>723.98</v>
      </c>
      <c r="K4131" s="3">
        <v>365.6</v>
      </c>
      <c r="L4131">
        <v>49.5</v>
      </c>
    </row>
    <row r="4132" spans="1:12">
      <c r="A4132" s="1">
        <v>46041</v>
      </c>
      <c r="B4132" t="s">
        <v>8263</v>
      </c>
      <c r="C4132">
        <v>22</v>
      </c>
      <c r="D4132" t="str">
        <f>VLOOKUP(Tabela26[[#This Row],[EMP]],[1]LOJA!$A:$B,2,0)</f>
        <v>GUARÁ</v>
      </c>
      <c r="E4132">
        <v>16</v>
      </c>
      <c r="F4132" t="s">
        <v>4140</v>
      </c>
      <c r="G4132" t="s">
        <v>4139</v>
      </c>
      <c r="H4132" t="s">
        <v>3430</v>
      </c>
      <c r="I4132">
        <v>5102</v>
      </c>
      <c r="J4132" s="3">
        <v>326.52</v>
      </c>
      <c r="K4132" s="3">
        <v>174.53</v>
      </c>
      <c r="L4132">
        <v>46.55</v>
      </c>
    </row>
    <row r="4133" spans="1:12">
      <c r="A4133" s="1">
        <v>46041</v>
      </c>
      <c r="B4133" t="s">
        <v>8262</v>
      </c>
      <c r="C4133">
        <v>13</v>
      </c>
      <c r="D4133" t="str">
        <f>VLOOKUP(Tabela26[[#This Row],[EMP]],[1]LOJA!$A:$B,2,0)</f>
        <v>CEILÂNDIA</v>
      </c>
      <c r="E4133">
        <v>86</v>
      </c>
      <c r="F4133" t="s">
        <v>4118</v>
      </c>
      <c r="G4133" t="s">
        <v>4117</v>
      </c>
      <c r="H4133" t="s">
        <v>3430</v>
      </c>
      <c r="I4133">
        <v>5102</v>
      </c>
      <c r="J4133" s="3">
        <v>152</v>
      </c>
      <c r="K4133" s="3">
        <v>94.23</v>
      </c>
      <c r="L4133">
        <v>38.01</v>
      </c>
    </row>
    <row r="4134" spans="1:12">
      <c r="A4134" s="1">
        <v>46041</v>
      </c>
      <c r="B4134" t="s">
        <v>8261</v>
      </c>
      <c r="C4134">
        <v>13</v>
      </c>
      <c r="D4134" t="str">
        <f>VLOOKUP(Tabela26[[#This Row],[EMP]],[1]LOJA!$A:$B,2,0)</f>
        <v>CEILÂNDIA</v>
      </c>
      <c r="E4134">
        <v>86</v>
      </c>
      <c r="F4134" t="s">
        <v>4118</v>
      </c>
      <c r="G4134" t="s">
        <v>4117</v>
      </c>
      <c r="H4134" t="s">
        <v>3430</v>
      </c>
      <c r="I4134">
        <v>5405</v>
      </c>
      <c r="J4134" s="3">
        <v>48.37</v>
      </c>
      <c r="K4134" s="3">
        <v>20.46</v>
      </c>
      <c r="L4134">
        <v>57.7</v>
      </c>
    </row>
    <row r="4135" spans="1:12">
      <c r="A4135" s="1">
        <v>46041</v>
      </c>
      <c r="B4135" t="s">
        <v>8260</v>
      </c>
      <c r="C4135">
        <v>13</v>
      </c>
      <c r="D4135" t="str">
        <f>VLOOKUP(Tabela26[[#This Row],[EMP]],[1]LOJA!$A:$B,2,0)</f>
        <v>CEILÂNDIA</v>
      </c>
      <c r="E4135">
        <v>86</v>
      </c>
      <c r="F4135" t="s">
        <v>5339</v>
      </c>
      <c r="G4135" t="s">
        <v>5338</v>
      </c>
      <c r="H4135" t="s">
        <v>3408</v>
      </c>
      <c r="I4135">
        <v>5102</v>
      </c>
      <c r="J4135" s="3">
        <v>99.9</v>
      </c>
      <c r="K4135" s="3">
        <v>69.62</v>
      </c>
      <c r="L4135">
        <v>30.31</v>
      </c>
    </row>
    <row r="4136" spans="1:12">
      <c r="A4136" s="1">
        <v>46041</v>
      </c>
      <c r="B4136" t="s">
        <v>8259</v>
      </c>
      <c r="C4136">
        <v>13</v>
      </c>
      <c r="D4136" t="str">
        <f>VLOOKUP(Tabela26[[#This Row],[EMP]],[1]LOJA!$A:$B,2,0)</f>
        <v>CEILÂNDIA</v>
      </c>
      <c r="E4136">
        <v>86</v>
      </c>
      <c r="F4136" t="s">
        <v>4118</v>
      </c>
      <c r="G4136" t="s">
        <v>4117</v>
      </c>
      <c r="H4136" t="s">
        <v>3430</v>
      </c>
      <c r="I4136">
        <v>5405</v>
      </c>
      <c r="J4136" s="3">
        <v>541.92999999999995</v>
      </c>
      <c r="K4136" s="3">
        <v>281.49</v>
      </c>
      <c r="L4136">
        <v>48.06</v>
      </c>
    </row>
    <row r="4137" spans="1:12">
      <c r="A4137" s="1">
        <v>46041</v>
      </c>
      <c r="B4137" t="s">
        <v>8258</v>
      </c>
      <c r="C4137">
        <v>13</v>
      </c>
      <c r="D4137" t="str">
        <f>VLOOKUP(Tabela26[[#This Row],[EMP]],[1]LOJA!$A:$B,2,0)</f>
        <v>CEILÂNDIA</v>
      </c>
      <c r="E4137">
        <v>86</v>
      </c>
      <c r="F4137" t="s">
        <v>4775</v>
      </c>
      <c r="G4137" t="s">
        <v>4774</v>
      </c>
      <c r="H4137" t="s">
        <v>3401</v>
      </c>
      <c r="I4137">
        <v>5910</v>
      </c>
      <c r="J4137" s="3">
        <v>0</v>
      </c>
      <c r="K4137" s="3">
        <v>3125.56</v>
      </c>
      <c r="L4137">
        <v>0</v>
      </c>
    </row>
    <row r="4138" spans="1:12">
      <c r="A4138" s="1">
        <v>46041</v>
      </c>
      <c r="B4138" t="s">
        <v>8257</v>
      </c>
      <c r="C4138">
        <v>13</v>
      </c>
      <c r="D4138" t="str">
        <f>VLOOKUP(Tabela26[[#This Row],[EMP]],[1]LOJA!$A:$B,2,0)</f>
        <v>CEILÂNDIA</v>
      </c>
      <c r="E4138">
        <v>86</v>
      </c>
      <c r="F4138" t="s">
        <v>4118</v>
      </c>
      <c r="G4138" t="s">
        <v>4117</v>
      </c>
      <c r="H4138" t="s">
        <v>3430</v>
      </c>
      <c r="I4138">
        <v>5102</v>
      </c>
      <c r="J4138" s="3">
        <v>21.06</v>
      </c>
      <c r="K4138" s="3">
        <v>13</v>
      </c>
      <c r="L4138">
        <v>38.270000000000003</v>
      </c>
    </row>
    <row r="4139" spans="1:12">
      <c r="A4139" s="1">
        <v>46041</v>
      </c>
      <c r="B4139" t="s">
        <v>8256</v>
      </c>
      <c r="C4139">
        <v>13</v>
      </c>
      <c r="D4139" t="str">
        <f>VLOOKUP(Tabela26[[#This Row],[EMP]],[1]LOJA!$A:$B,2,0)</f>
        <v>CEILÂNDIA</v>
      </c>
      <c r="E4139">
        <v>86</v>
      </c>
      <c r="F4139" t="s">
        <v>4767</v>
      </c>
      <c r="G4139" t="s">
        <v>4766</v>
      </c>
      <c r="H4139" t="s">
        <v>3401</v>
      </c>
      <c r="I4139">
        <v>1202</v>
      </c>
      <c r="J4139" s="3">
        <v>-223.9</v>
      </c>
      <c r="K4139" s="3">
        <v>-128.08000000000001</v>
      </c>
      <c r="L4139">
        <v>42.8</v>
      </c>
    </row>
    <row r="4140" spans="1:12">
      <c r="A4140" s="1">
        <v>46041</v>
      </c>
      <c r="B4140" t="s">
        <v>8255</v>
      </c>
      <c r="C4140">
        <v>13</v>
      </c>
      <c r="D4140" t="str">
        <f>VLOOKUP(Tabela26[[#This Row],[EMP]],[1]LOJA!$A:$B,2,0)</f>
        <v>CEILÂNDIA</v>
      </c>
      <c r="E4140">
        <v>86</v>
      </c>
      <c r="F4140" t="s">
        <v>4081</v>
      </c>
      <c r="G4140" t="s">
        <v>4080</v>
      </c>
      <c r="H4140" t="s">
        <v>8240</v>
      </c>
      <c r="I4140">
        <v>5102</v>
      </c>
      <c r="J4140" s="3">
        <v>43.04</v>
      </c>
      <c r="K4140" s="3">
        <v>21.84</v>
      </c>
      <c r="L4140">
        <v>49.26</v>
      </c>
    </row>
    <row r="4141" spans="1:12">
      <c r="A4141" s="1">
        <v>46041</v>
      </c>
      <c r="B4141" t="s">
        <v>8254</v>
      </c>
      <c r="C4141">
        <v>13</v>
      </c>
      <c r="D4141" t="str">
        <f>VLOOKUP(Tabela26[[#This Row],[EMP]],[1]LOJA!$A:$B,2,0)</f>
        <v>CEILÂNDIA</v>
      </c>
      <c r="E4141">
        <v>86</v>
      </c>
      <c r="F4141" t="s">
        <v>4084</v>
      </c>
      <c r="G4141" t="s">
        <v>4083</v>
      </c>
      <c r="H4141" t="s">
        <v>3430</v>
      </c>
      <c r="I4141">
        <v>5405</v>
      </c>
      <c r="J4141" s="3">
        <v>53.01</v>
      </c>
      <c r="K4141" s="3">
        <v>24.74</v>
      </c>
      <c r="L4141">
        <v>53.33</v>
      </c>
    </row>
    <row r="4142" spans="1:12">
      <c r="A4142" s="1">
        <v>46041</v>
      </c>
      <c r="B4142" t="s">
        <v>8253</v>
      </c>
      <c r="C4142">
        <v>13</v>
      </c>
      <c r="D4142" t="str">
        <f>VLOOKUP(Tabela26[[#This Row],[EMP]],[1]LOJA!$A:$B,2,0)</f>
        <v>CEILÂNDIA</v>
      </c>
      <c r="E4142">
        <v>86</v>
      </c>
      <c r="F4142" t="s">
        <v>4097</v>
      </c>
      <c r="G4142" t="s">
        <v>4096</v>
      </c>
      <c r="H4142" t="s">
        <v>3430</v>
      </c>
      <c r="I4142">
        <v>5405</v>
      </c>
      <c r="J4142" s="3">
        <v>820.32</v>
      </c>
      <c r="K4142" s="3">
        <v>445.63</v>
      </c>
      <c r="L4142">
        <v>45.68</v>
      </c>
    </row>
    <row r="4143" spans="1:12">
      <c r="A4143" s="1">
        <v>46041</v>
      </c>
      <c r="B4143" t="s">
        <v>8252</v>
      </c>
      <c r="C4143">
        <v>13</v>
      </c>
      <c r="D4143" t="str">
        <f>VLOOKUP(Tabela26[[#This Row],[EMP]],[1]LOJA!$A:$B,2,0)</f>
        <v>CEILÂNDIA</v>
      </c>
      <c r="E4143">
        <v>86</v>
      </c>
      <c r="F4143" t="s">
        <v>3501</v>
      </c>
      <c r="G4143" t="s">
        <v>3500</v>
      </c>
      <c r="H4143" t="s">
        <v>3430</v>
      </c>
      <c r="I4143">
        <v>5102</v>
      </c>
      <c r="J4143" s="3">
        <v>52.5</v>
      </c>
      <c r="K4143" s="3">
        <v>34.450000000000003</v>
      </c>
      <c r="L4143">
        <v>34.380000000000003</v>
      </c>
    </row>
    <row r="4144" spans="1:12">
      <c r="A4144" s="1">
        <v>46041</v>
      </c>
      <c r="B4144" t="s">
        <v>8251</v>
      </c>
      <c r="C4144">
        <v>13</v>
      </c>
      <c r="D4144" t="str">
        <f>VLOOKUP(Tabela26[[#This Row],[EMP]],[1]LOJA!$A:$B,2,0)</f>
        <v>CEILÂNDIA</v>
      </c>
      <c r="E4144">
        <v>33</v>
      </c>
      <c r="F4144" t="s">
        <v>3505</v>
      </c>
      <c r="G4144" t="s">
        <v>3504</v>
      </c>
      <c r="H4144" t="s">
        <v>3430</v>
      </c>
      <c r="I4144">
        <v>5102</v>
      </c>
      <c r="J4144" s="3">
        <v>1446.4</v>
      </c>
      <c r="K4144" s="3">
        <v>866.47</v>
      </c>
      <c r="L4144">
        <v>40.090000000000003</v>
      </c>
    </row>
    <row r="4145" spans="1:12">
      <c r="A4145" s="1">
        <v>46041</v>
      </c>
      <c r="B4145" t="s">
        <v>8250</v>
      </c>
      <c r="C4145">
        <v>13</v>
      </c>
      <c r="D4145" t="str">
        <f>VLOOKUP(Tabela26[[#This Row],[EMP]],[1]LOJA!$A:$B,2,0)</f>
        <v>CEILÂNDIA</v>
      </c>
      <c r="E4145">
        <v>86</v>
      </c>
      <c r="F4145" t="s">
        <v>4115</v>
      </c>
      <c r="G4145" t="s">
        <v>4114</v>
      </c>
      <c r="H4145" t="s">
        <v>3430</v>
      </c>
      <c r="I4145">
        <v>5405</v>
      </c>
      <c r="J4145" s="3">
        <v>53.17</v>
      </c>
      <c r="K4145" s="3">
        <v>27.32</v>
      </c>
      <c r="L4145">
        <v>48.62</v>
      </c>
    </row>
    <row r="4146" spans="1:12">
      <c r="A4146" s="1">
        <v>46041</v>
      </c>
      <c r="B4146" t="s">
        <v>8249</v>
      </c>
      <c r="C4146">
        <v>13</v>
      </c>
      <c r="D4146" t="str">
        <f>VLOOKUP(Tabela26[[#This Row],[EMP]],[1]LOJA!$A:$B,2,0)</f>
        <v>CEILÂNDIA</v>
      </c>
      <c r="E4146">
        <v>86</v>
      </c>
      <c r="F4146" t="s">
        <v>3501</v>
      </c>
      <c r="G4146" t="s">
        <v>3500</v>
      </c>
      <c r="H4146" t="s">
        <v>3430</v>
      </c>
      <c r="I4146">
        <v>5405</v>
      </c>
      <c r="J4146" s="3">
        <v>37</v>
      </c>
      <c r="K4146" s="3">
        <v>19.52</v>
      </c>
      <c r="L4146">
        <v>47.24</v>
      </c>
    </row>
    <row r="4147" spans="1:12">
      <c r="A4147" s="1">
        <v>46041</v>
      </c>
      <c r="B4147" t="s">
        <v>8248</v>
      </c>
      <c r="C4147">
        <v>13</v>
      </c>
      <c r="D4147" t="str">
        <f>VLOOKUP(Tabela26[[#This Row],[EMP]],[1]LOJA!$A:$B,2,0)</f>
        <v>CEILÂNDIA</v>
      </c>
      <c r="E4147">
        <v>33</v>
      </c>
      <c r="F4147" t="s">
        <v>3505</v>
      </c>
      <c r="G4147" t="s">
        <v>3504</v>
      </c>
      <c r="H4147" t="s">
        <v>3430</v>
      </c>
      <c r="I4147">
        <v>5405</v>
      </c>
      <c r="J4147" s="3">
        <v>111.62</v>
      </c>
      <c r="K4147" s="3">
        <v>58.15</v>
      </c>
      <c r="L4147">
        <v>47.9</v>
      </c>
    </row>
    <row r="4148" spans="1:12">
      <c r="A4148" s="1">
        <v>46041</v>
      </c>
      <c r="B4148" t="s">
        <v>8247</v>
      </c>
      <c r="C4148">
        <v>13</v>
      </c>
      <c r="D4148" t="str">
        <f>VLOOKUP(Tabela26[[#This Row],[EMP]],[1]LOJA!$A:$B,2,0)</f>
        <v>CEILÂNDIA</v>
      </c>
      <c r="E4148">
        <v>86</v>
      </c>
      <c r="F4148" t="s">
        <v>4097</v>
      </c>
      <c r="G4148" t="s">
        <v>4096</v>
      </c>
      <c r="H4148" t="s">
        <v>3430</v>
      </c>
      <c r="I4148">
        <v>5102</v>
      </c>
      <c r="J4148" s="3">
        <v>11.49</v>
      </c>
      <c r="K4148" s="3">
        <v>6.72</v>
      </c>
      <c r="L4148">
        <v>41.51</v>
      </c>
    </row>
    <row r="4149" spans="1:12">
      <c r="A4149" s="1">
        <v>46041</v>
      </c>
      <c r="B4149" t="s">
        <v>8246</v>
      </c>
      <c r="C4149">
        <v>13</v>
      </c>
      <c r="D4149" t="str">
        <f>VLOOKUP(Tabela26[[#This Row],[EMP]],[1]LOJA!$A:$B,2,0)</f>
        <v>CEILÂNDIA</v>
      </c>
      <c r="E4149">
        <v>33</v>
      </c>
      <c r="F4149" t="s">
        <v>3505</v>
      </c>
      <c r="G4149" t="s">
        <v>3504</v>
      </c>
      <c r="H4149" t="s">
        <v>3430</v>
      </c>
      <c r="I4149">
        <v>5405</v>
      </c>
      <c r="J4149" s="3">
        <v>50.92</v>
      </c>
      <c r="K4149" s="3">
        <v>26.64</v>
      </c>
      <c r="L4149">
        <v>47.68</v>
      </c>
    </row>
    <row r="4150" spans="1:12">
      <c r="A4150" s="1">
        <v>46041</v>
      </c>
      <c r="B4150" t="s">
        <v>8245</v>
      </c>
      <c r="C4150">
        <v>13</v>
      </c>
      <c r="D4150" t="str">
        <f>VLOOKUP(Tabela26[[#This Row],[EMP]],[1]LOJA!$A:$B,2,0)</f>
        <v>CEILÂNDIA</v>
      </c>
      <c r="E4150">
        <v>86</v>
      </c>
      <c r="F4150" t="s">
        <v>4081</v>
      </c>
      <c r="G4150" t="s">
        <v>4080</v>
      </c>
      <c r="H4150" t="s">
        <v>8240</v>
      </c>
      <c r="I4150">
        <v>5102</v>
      </c>
      <c r="J4150" s="3">
        <v>16.64</v>
      </c>
      <c r="K4150" s="3">
        <v>10.89</v>
      </c>
      <c r="L4150">
        <v>34.56</v>
      </c>
    </row>
    <row r="4151" spans="1:12">
      <c r="A4151" s="1">
        <v>46041</v>
      </c>
      <c r="B4151" t="s">
        <v>8244</v>
      </c>
      <c r="C4151">
        <v>13</v>
      </c>
      <c r="D4151" t="str">
        <f>VLOOKUP(Tabela26[[#This Row],[EMP]],[1]LOJA!$A:$B,2,0)</f>
        <v>CEILÂNDIA</v>
      </c>
      <c r="E4151">
        <v>86</v>
      </c>
      <c r="F4151" t="s">
        <v>4097</v>
      </c>
      <c r="G4151" t="s">
        <v>4096</v>
      </c>
      <c r="H4151" t="s">
        <v>3430</v>
      </c>
      <c r="I4151">
        <v>5405</v>
      </c>
      <c r="J4151" s="3">
        <v>113.7</v>
      </c>
      <c r="K4151" s="3">
        <v>58.02</v>
      </c>
      <c r="L4151">
        <v>48.97</v>
      </c>
    </row>
    <row r="4152" spans="1:12">
      <c r="A4152" s="1">
        <v>46041</v>
      </c>
      <c r="B4152" t="s">
        <v>8243</v>
      </c>
      <c r="C4152">
        <v>13</v>
      </c>
      <c r="D4152" t="str">
        <f>VLOOKUP(Tabela26[[#This Row],[EMP]],[1]LOJA!$A:$B,2,0)</f>
        <v>CEILÂNDIA</v>
      </c>
      <c r="E4152">
        <v>86</v>
      </c>
      <c r="F4152" t="s">
        <v>4781</v>
      </c>
      <c r="G4152" t="s">
        <v>4780</v>
      </c>
      <c r="H4152" t="s">
        <v>3430</v>
      </c>
      <c r="I4152">
        <v>5405</v>
      </c>
      <c r="J4152" s="3">
        <v>959.4</v>
      </c>
      <c r="K4152" s="3">
        <v>500.94</v>
      </c>
      <c r="L4152">
        <v>47.79</v>
      </c>
    </row>
    <row r="4153" spans="1:12">
      <c r="A4153" s="1">
        <v>46041</v>
      </c>
      <c r="B4153" t="s">
        <v>8242</v>
      </c>
      <c r="C4153">
        <v>13</v>
      </c>
      <c r="D4153" t="str">
        <f>VLOOKUP(Tabela26[[#This Row],[EMP]],[1]LOJA!$A:$B,2,0)</f>
        <v>CEILÂNDIA</v>
      </c>
      <c r="E4153">
        <v>86</v>
      </c>
      <c r="F4153" t="s">
        <v>4106</v>
      </c>
      <c r="G4153" t="s">
        <v>4105</v>
      </c>
      <c r="H4153" t="s">
        <v>3430</v>
      </c>
      <c r="I4153">
        <v>5405</v>
      </c>
      <c r="J4153" s="3">
        <v>371.67</v>
      </c>
      <c r="K4153" s="3">
        <v>209.36</v>
      </c>
      <c r="L4153">
        <v>43.67</v>
      </c>
    </row>
    <row r="4154" spans="1:12">
      <c r="A4154" s="1">
        <v>46041</v>
      </c>
      <c r="B4154" t="s">
        <v>8241</v>
      </c>
      <c r="C4154">
        <v>13</v>
      </c>
      <c r="D4154" t="str">
        <f>VLOOKUP(Tabela26[[#This Row],[EMP]],[1]LOJA!$A:$B,2,0)</f>
        <v>CEILÂNDIA</v>
      </c>
      <c r="E4154">
        <v>86</v>
      </c>
      <c r="F4154" t="s">
        <v>4775</v>
      </c>
      <c r="G4154" t="s">
        <v>4774</v>
      </c>
      <c r="H4154" t="s">
        <v>8240</v>
      </c>
      <c r="I4154">
        <v>5405</v>
      </c>
      <c r="J4154" s="3">
        <v>290</v>
      </c>
      <c r="K4154" s="3">
        <v>142.19999999999999</v>
      </c>
      <c r="L4154">
        <v>50.97</v>
      </c>
    </row>
    <row r="4155" spans="1:12">
      <c r="A4155" s="1">
        <v>46041</v>
      </c>
      <c r="B4155" t="s">
        <v>8239</v>
      </c>
      <c r="C4155">
        <v>13</v>
      </c>
      <c r="D4155" t="str">
        <f>VLOOKUP(Tabela26[[#This Row],[EMP]],[1]LOJA!$A:$B,2,0)</f>
        <v>CEILÂNDIA</v>
      </c>
      <c r="E4155">
        <v>86</v>
      </c>
      <c r="F4155" t="s">
        <v>4118</v>
      </c>
      <c r="G4155" t="s">
        <v>4117</v>
      </c>
      <c r="H4155" t="s">
        <v>3430</v>
      </c>
      <c r="I4155">
        <v>5102</v>
      </c>
      <c r="J4155" s="3">
        <v>71.12</v>
      </c>
      <c r="K4155" s="3">
        <v>43.93</v>
      </c>
      <c r="L4155">
        <v>38.229999999999997</v>
      </c>
    </row>
    <row r="4156" spans="1:12">
      <c r="A4156" s="1">
        <v>46041</v>
      </c>
      <c r="B4156" t="s">
        <v>8238</v>
      </c>
      <c r="C4156">
        <v>13</v>
      </c>
      <c r="D4156" t="str">
        <f>VLOOKUP(Tabela26[[#This Row],[EMP]],[1]LOJA!$A:$B,2,0)</f>
        <v>CEILÂNDIA</v>
      </c>
      <c r="E4156">
        <v>86</v>
      </c>
      <c r="F4156" t="s">
        <v>4094</v>
      </c>
      <c r="G4156" t="s">
        <v>4093</v>
      </c>
      <c r="H4156" t="s">
        <v>8237</v>
      </c>
      <c r="I4156">
        <v>5102</v>
      </c>
      <c r="J4156" s="3">
        <v>322.45</v>
      </c>
      <c r="K4156" s="3">
        <v>187.92</v>
      </c>
      <c r="L4156">
        <v>41.72</v>
      </c>
    </row>
    <row r="4157" spans="1:12">
      <c r="A4157" s="1">
        <v>46041</v>
      </c>
      <c r="B4157" t="s">
        <v>8236</v>
      </c>
      <c r="C4157">
        <v>13</v>
      </c>
      <c r="D4157" t="str">
        <f>VLOOKUP(Tabela26[[#This Row],[EMP]],[1]LOJA!$A:$B,2,0)</f>
        <v>CEILÂNDIA</v>
      </c>
      <c r="E4157">
        <v>33</v>
      </c>
      <c r="F4157" t="s">
        <v>3505</v>
      </c>
      <c r="G4157" t="s">
        <v>3504</v>
      </c>
      <c r="H4157" t="s">
        <v>3430</v>
      </c>
      <c r="I4157">
        <v>5102</v>
      </c>
      <c r="J4157" s="3">
        <v>720</v>
      </c>
      <c r="K4157" s="3">
        <v>530</v>
      </c>
      <c r="L4157">
        <v>26.39</v>
      </c>
    </row>
    <row r="4158" spans="1:12">
      <c r="A4158" s="1">
        <v>46041</v>
      </c>
      <c r="B4158" t="s">
        <v>8235</v>
      </c>
      <c r="C4158">
        <v>13</v>
      </c>
      <c r="D4158" t="str">
        <f>VLOOKUP(Tabela26[[#This Row],[EMP]],[1]LOJA!$A:$B,2,0)</f>
        <v>CEILÂNDIA</v>
      </c>
      <c r="E4158">
        <v>33</v>
      </c>
      <c r="F4158" t="s">
        <v>4767</v>
      </c>
      <c r="G4158" t="s">
        <v>4766</v>
      </c>
      <c r="H4158" t="s">
        <v>3430</v>
      </c>
      <c r="I4158">
        <v>5102</v>
      </c>
      <c r="J4158" s="3">
        <v>223.9</v>
      </c>
      <c r="K4158" s="3">
        <v>128.08000000000001</v>
      </c>
      <c r="L4158">
        <v>42.8</v>
      </c>
    </row>
    <row r="4159" spans="1:12">
      <c r="A4159" s="1">
        <v>46041</v>
      </c>
      <c r="B4159" t="s">
        <v>8234</v>
      </c>
      <c r="C4159">
        <v>15</v>
      </c>
      <c r="D4159" t="str">
        <f>VLOOKUP(Tabela26[[#This Row],[EMP]],[1]LOJA!$A:$B,2,0)</f>
        <v>UNAÍ</v>
      </c>
      <c r="E4159">
        <v>183</v>
      </c>
      <c r="F4159" t="s">
        <v>3485</v>
      </c>
      <c r="G4159" t="s">
        <v>3402</v>
      </c>
      <c r="H4159" t="s">
        <v>3401</v>
      </c>
      <c r="I4159">
        <v>5102</v>
      </c>
      <c r="J4159" s="3">
        <v>16.2</v>
      </c>
      <c r="K4159" s="3">
        <v>6.88</v>
      </c>
      <c r="L4159">
        <v>57.53</v>
      </c>
    </row>
    <row r="4160" spans="1:12">
      <c r="A4160" s="1">
        <v>46041</v>
      </c>
      <c r="B4160" t="s">
        <v>8233</v>
      </c>
      <c r="C4160">
        <v>15</v>
      </c>
      <c r="D4160" t="str">
        <f>VLOOKUP(Tabela26[[#This Row],[EMP]],[1]LOJA!$A:$B,2,0)</f>
        <v>UNAÍ</v>
      </c>
      <c r="E4160">
        <v>183</v>
      </c>
      <c r="F4160" t="s">
        <v>3485</v>
      </c>
      <c r="G4160" t="s">
        <v>3402</v>
      </c>
      <c r="H4160" t="s">
        <v>3401</v>
      </c>
      <c r="I4160">
        <v>5102</v>
      </c>
      <c r="J4160" s="3">
        <v>19</v>
      </c>
      <c r="K4160" s="3">
        <v>10.09</v>
      </c>
      <c r="L4160">
        <v>46.89</v>
      </c>
    </row>
    <row r="4161" spans="1:12">
      <c r="A4161" s="1">
        <v>46041</v>
      </c>
      <c r="B4161" t="s">
        <v>8232</v>
      </c>
      <c r="C4161">
        <v>15</v>
      </c>
      <c r="D4161" t="str">
        <f>VLOOKUP(Tabela26[[#This Row],[EMP]],[1]LOJA!$A:$B,2,0)</f>
        <v>UNAÍ</v>
      </c>
      <c r="E4161">
        <v>183</v>
      </c>
      <c r="F4161" t="s">
        <v>3485</v>
      </c>
      <c r="G4161" t="s">
        <v>3402</v>
      </c>
      <c r="H4161" t="s">
        <v>3401</v>
      </c>
      <c r="I4161">
        <v>5102</v>
      </c>
      <c r="J4161" s="3">
        <v>99.8</v>
      </c>
      <c r="K4161" s="3">
        <v>60.81</v>
      </c>
      <c r="L4161">
        <v>39.07</v>
      </c>
    </row>
    <row r="4162" spans="1:12">
      <c r="A4162" s="1">
        <v>46041</v>
      </c>
      <c r="B4162" t="s">
        <v>8231</v>
      </c>
      <c r="C4162">
        <v>15</v>
      </c>
      <c r="D4162" t="str">
        <f>VLOOKUP(Tabela26[[#This Row],[EMP]],[1]LOJA!$A:$B,2,0)</f>
        <v>UNAÍ</v>
      </c>
      <c r="E4162">
        <v>183</v>
      </c>
      <c r="F4162" t="s">
        <v>4032</v>
      </c>
      <c r="G4162" t="s">
        <v>4031</v>
      </c>
      <c r="H4162" t="s">
        <v>3401</v>
      </c>
      <c r="I4162">
        <v>5102</v>
      </c>
      <c r="J4162" s="3">
        <v>64</v>
      </c>
      <c r="K4162" s="3">
        <v>31.61</v>
      </c>
      <c r="L4162">
        <v>50.61</v>
      </c>
    </row>
    <row r="4163" spans="1:12">
      <c r="A4163" s="1">
        <v>46041</v>
      </c>
      <c r="B4163" t="s">
        <v>8230</v>
      </c>
      <c r="C4163">
        <v>15</v>
      </c>
      <c r="D4163" t="str">
        <f>VLOOKUP(Tabela26[[#This Row],[EMP]],[1]LOJA!$A:$B,2,0)</f>
        <v>UNAÍ</v>
      </c>
      <c r="E4163">
        <v>183</v>
      </c>
      <c r="F4163" t="s">
        <v>3485</v>
      </c>
      <c r="G4163" t="s">
        <v>3402</v>
      </c>
      <c r="H4163" t="s">
        <v>3401</v>
      </c>
      <c r="I4163">
        <v>5102</v>
      </c>
      <c r="J4163" s="3">
        <v>7.2</v>
      </c>
      <c r="K4163" s="3">
        <v>3.28</v>
      </c>
      <c r="L4163">
        <v>54.44</v>
      </c>
    </row>
    <row r="4164" spans="1:12">
      <c r="A4164" s="1">
        <v>46041</v>
      </c>
      <c r="B4164" t="s">
        <v>8229</v>
      </c>
      <c r="C4164">
        <v>15</v>
      </c>
      <c r="D4164" t="str">
        <f>VLOOKUP(Tabela26[[#This Row],[EMP]],[1]LOJA!$A:$B,2,0)</f>
        <v>UNAÍ</v>
      </c>
      <c r="E4164">
        <v>183</v>
      </c>
      <c r="F4164" t="s">
        <v>4057</v>
      </c>
      <c r="G4164" t="s">
        <v>4056</v>
      </c>
      <c r="H4164" t="s">
        <v>3408</v>
      </c>
      <c r="I4164">
        <v>5405</v>
      </c>
      <c r="J4164" s="3">
        <v>79.099999999999994</v>
      </c>
      <c r="K4164" s="3">
        <v>39.229999999999997</v>
      </c>
      <c r="L4164">
        <v>50.4</v>
      </c>
    </row>
    <row r="4165" spans="1:12">
      <c r="A4165" s="1">
        <v>46041</v>
      </c>
      <c r="B4165" t="s">
        <v>8228</v>
      </c>
      <c r="C4165">
        <v>15</v>
      </c>
      <c r="D4165" t="str">
        <f>VLOOKUP(Tabela26[[#This Row],[EMP]],[1]LOJA!$A:$B,2,0)</f>
        <v>UNAÍ</v>
      </c>
      <c r="E4165">
        <v>183</v>
      </c>
      <c r="F4165" t="s">
        <v>3488</v>
      </c>
      <c r="G4165" t="s">
        <v>3487</v>
      </c>
      <c r="H4165" t="s">
        <v>3430</v>
      </c>
      <c r="I4165">
        <v>5102</v>
      </c>
      <c r="J4165" s="3">
        <v>70.400000000000006</v>
      </c>
      <c r="K4165" s="3">
        <v>26.28</v>
      </c>
      <c r="L4165">
        <v>62.67</v>
      </c>
    </row>
    <row r="4166" spans="1:12">
      <c r="A4166" s="1">
        <v>46041</v>
      </c>
      <c r="B4166" t="s">
        <v>8227</v>
      </c>
      <c r="C4166">
        <v>15</v>
      </c>
      <c r="D4166" t="str">
        <f>VLOOKUP(Tabela26[[#This Row],[EMP]],[1]LOJA!$A:$B,2,0)</f>
        <v>UNAÍ</v>
      </c>
      <c r="E4166">
        <v>183</v>
      </c>
      <c r="F4166" t="s">
        <v>3485</v>
      </c>
      <c r="G4166" t="s">
        <v>3402</v>
      </c>
      <c r="H4166" t="s">
        <v>3401</v>
      </c>
      <c r="I4166">
        <v>5102</v>
      </c>
      <c r="J4166" s="3">
        <v>32.4</v>
      </c>
      <c r="K4166" s="3">
        <v>15.93</v>
      </c>
      <c r="L4166">
        <v>50.83</v>
      </c>
    </row>
    <row r="4167" spans="1:12">
      <c r="A4167" s="1">
        <v>46041</v>
      </c>
      <c r="B4167" t="s">
        <v>8226</v>
      </c>
      <c r="C4167">
        <v>15</v>
      </c>
      <c r="D4167" t="str">
        <f>VLOOKUP(Tabela26[[#This Row],[EMP]],[1]LOJA!$A:$B,2,0)</f>
        <v>UNAÍ</v>
      </c>
      <c r="E4167">
        <v>183</v>
      </c>
      <c r="F4167" t="s">
        <v>3485</v>
      </c>
      <c r="G4167" t="s">
        <v>3402</v>
      </c>
      <c r="H4167" t="s">
        <v>3401</v>
      </c>
      <c r="I4167">
        <v>5102</v>
      </c>
      <c r="J4167" s="3">
        <v>56.6</v>
      </c>
      <c r="K4167" s="3">
        <v>28.42</v>
      </c>
      <c r="L4167">
        <v>49.79</v>
      </c>
    </row>
    <row r="4168" spans="1:12">
      <c r="A4168" s="1">
        <v>46041</v>
      </c>
      <c r="B4168" t="s">
        <v>8225</v>
      </c>
      <c r="C4168">
        <v>15</v>
      </c>
      <c r="D4168" t="str">
        <f>VLOOKUP(Tabela26[[#This Row],[EMP]],[1]LOJA!$A:$B,2,0)</f>
        <v>UNAÍ</v>
      </c>
      <c r="E4168">
        <v>183</v>
      </c>
      <c r="F4168" t="s">
        <v>7738</v>
      </c>
      <c r="G4168" t="s">
        <v>3402</v>
      </c>
      <c r="H4168" t="s">
        <v>3408</v>
      </c>
      <c r="I4168">
        <v>5102</v>
      </c>
      <c r="J4168" s="3">
        <v>36</v>
      </c>
      <c r="K4168" s="3">
        <v>18.02</v>
      </c>
      <c r="L4168">
        <v>49.94</v>
      </c>
    </row>
    <row r="4169" spans="1:12">
      <c r="A4169" s="1">
        <v>46041</v>
      </c>
      <c r="B4169" t="s">
        <v>8224</v>
      </c>
      <c r="C4169">
        <v>15</v>
      </c>
      <c r="D4169" t="str">
        <f>VLOOKUP(Tabela26[[#This Row],[EMP]],[1]LOJA!$A:$B,2,0)</f>
        <v>UNAÍ</v>
      </c>
      <c r="E4169">
        <v>183</v>
      </c>
      <c r="F4169" t="s">
        <v>5766</v>
      </c>
      <c r="G4169" t="s">
        <v>5765</v>
      </c>
      <c r="H4169" t="s">
        <v>3401</v>
      </c>
      <c r="I4169">
        <v>5102</v>
      </c>
      <c r="J4169" s="3">
        <v>36</v>
      </c>
      <c r="K4169" s="3">
        <v>18.02</v>
      </c>
      <c r="L4169">
        <v>49.94</v>
      </c>
    </row>
    <row r="4170" spans="1:12">
      <c r="A4170" s="1">
        <v>46041</v>
      </c>
      <c r="B4170" t="s">
        <v>8223</v>
      </c>
      <c r="C4170">
        <v>15</v>
      </c>
      <c r="D4170" t="str">
        <f>VLOOKUP(Tabela26[[#This Row],[EMP]],[1]LOJA!$A:$B,2,0)</f>
        <v>UNAÍ</v>
      </c>
      <c r="E4170">
        <v>183</v>
      </c>
      <c r="F4170" t="s">
        <v>3485</v>
      </c>
      <c r="G4170" t="s">
        <v>3402</v>
      </c>
      <c r="H4170" t="s">
        <v>3401</v>
      </c>
      <c r="I4170">
        <v>5102</v>
      </c>
      <c r="J4170" s="3">
        <v>34</v>
      </c>
      <c r="K4170" s="3">
        <v>18.62</v>
      </c>
      <c r="L4170">
        <v>45.24</v>
      </c>
    </row>
    <row r="4171" spans="1:12">
      <c r="A4171" s="1">
        <v>46041</v>
      </c>
      <c r="B4171" t="s">
        <v>8222</v>
      </c>
      <c r="C4171">
        <v>15</v>
      </c>
      <c r="D4171" t="str">
        <f>VLOOKUP(Tabela26[[#This Row],[EMP]],[1]LOJA!$A:$B,2,0)</f>
        <v>UNAÍ</v>
      </c>
      <c r="E4171">
        <v>183</v>
      </c>
      <c r="F4171" t="s">
        <v>5244</v>
      </c>
      <c r="G4171" t="s">
        <v>5243</v>
      </c>
      <c r="H4171" t="s">
        <v>3401</v>
      </c>
      <c r="I4171">
        <v>5102</v>
      </c>
      <c r="J4171" s="3">
        <v>45</v>
      </c>
      <c r="K4171" s="3">
        <v>19.64</v>
      </c>
      <c r="L4171">
        <v>56.36</v>
      </c>
    </row>
    <row r="4172" spans="1:12">
      <c r="A4172" s="1">
        <v>46041</v>
      </c>
      <c r="B4172" t="s">
        <v>8221</v>
      </c>
      <c r="C4172">
        <v>15</v>
      </c>
      <c r="D4172" t="str">
        <f>VLOOKUP(Tabela26[[#This Row],[EMP]],[1]LOJA!$A:$B,2,0)</f>
        <v>UNAÍ</v>
      </c>
      <c r="E4172">
        <v>183</v>
      </c>
      <c r="F4172" t="s">
        <v>5763</v>
      </c>
      <c r="G4172" t="s">
        <v>5762</v>
      </c>
      <c r="H4172" t="s">
        <v>3401</v>
      </c>
      <c r="I4172">
        <v>5102</v>
      </c>
      <c r="J4172" s="3">
        <v>127</v>
      </c>
      <c r="K4172" s="3">
        <v>59.6</v>
      </c>
      <c r="L4172">
        <v>53.07</v>
      </c>
    </row>
    <row r="4173" spans="1:12">
      <c r="A4173" s="1">
        <v>46041</v>
      </c>
      <c r="B4173" t="s">
        <v>8220</v>
      </c>
      <c r="C4173">
        <v>15</v>
      </c>
      <c r="D4173" t="str">
        <f>VLOOKUP(Tabela26[[#This Row],[EMP]],[1]LOJA!$A:$B,2,0)</f>
        <v>UNAÍ</v>
      </c>
      <c r="E4173">
        <v>183</v>
      </c>
      <c r="F4173" t="s">
        <v>3485</v>
      </c>
      <c r="G4173" t="s">
        <v>3402</v>
      </c>
      <c r="H4173" t="s">
        <v>3401</v>
      </c>
      <c r="I4173">
        <v>5102</v>
      </c>
      <c r="J4173" s="3">
        <v>35</v>
      </c>
      <c r="K4173" s="3">
        <v>13.97</v>
      </c>
      <c r="L4173">
        <v>60.09</v>
      </c>
    </row>
    <row r="4174" spans="1:12">
      <c r="A4174" s="1">
        <v>46041</v>
      </c>
      <c r="B4174" t="s">
        <v>8219</v>
      </c>
      <c r="C4174">
        <v>15</v>
      </c>
      <c r="D4174" t="str">
        <f>VLOOKUP(Tabela26[[#This Row],[EMP]],[1]LOJA!$A:$B,2,0)</f>
        <v>UNAÍ</v>
      </c>
      <c r="E4174">
        <v>183</v>
      </c>
      <c r="F4174" t="s">
        <v>8218</v>
      </c>
      <c r="G4174" t="s">
        <v>3402</v>
      </c>
      <c r="H4174" t="s">
        <v>3408</v>
      </c>
      <c r="I4174">
        <v>5102</v>
      </c>
      <c r="J4174" s="3">
        <v>160</v>
      </c>
      <c r="K4174" s="3">
        <v>78.09</v>
      </c>
      <c r="L4174">
        <v>51.19</v>
      </c>
    </row>
    <row r="4175" spans="1:12">
      <c r="A4175" s="1">
        <v>46041</v>
      </c>
      <c r="B4175" t="s">
        <v>8217</v>
      </c>
      <c r="C4175">
        <v>15</v>
      </c>
      <c r="D4175" t="str">
        <f>VLOOKUP(Tabela26[[#This Row],[EMP]],[1]LOJA!$A:$B,2,0)</f>
        <v>UNAÍ</v>
      </c>
      <c r="E4175">
        <v>183</v>
      </c>
      <c r="F4175" t="s">
        <v>5302</v>
      </c>
      <c r="G4175" t="s">
        <v>5301</v>
      </c>
      <c r="H4175" t="s">
        <v>3430</v>
      </c>
      <c r="I4175">
        <v>5405</v>
      </c>
      <c r="J4175" s="3">
        <v>72</v>
      </c>
      <c r="K4175" s="3">
        <v>35.28</v>
      </c>
      <c r="L4175">
        <v>51</v>
      </c>
    </row>
    <row r="4176" spans="1:12">
      <c r="A4176" s="1">
        <v>46041</v>
      </c>
      <c r="B4176" t="s">
        <v>8216</v>
      </c>
      <c r="C4176">
        <v>15</v>
      </c>
      <c r="D4176" t="str">
        <f>VLOOKUP(Tabela26[[#This Row],[EMP]],[1]LOJA!$A:$B,2,0)</f>
        <v>UNAÍ</v>
      </c>
      <c r="E4176">
        <v>183</v>
      </c>
      <c r="F4176" t="s">
        <v>3497</v>
      </c>
      <c r="G4176" t="s">
        <v>3496</v>
      </c>
      <c r="H4176" t="s">
        <v>7924</v>
      </c>
      <c r="I4176">
        <v>5102</v>
      </c>
      <c r="J4176" s="3">
        <v>18</v>
      </c>
      <c r="K4176" s="3">
        <v>9.24</v>
      </c>
      <c r="L4176">
        <v>48.67</v>
      </c>
    </row>
    <row r="4177" spans="1:12">
      <c r="A4177" s="1">
        <v>46041</v>
      </c>
      <c r="B4177" t="s">
        <v>8215</v>
      </c>
      <c r="C4177">
        <v>15</v>
      </c>
      <c r="D4177" t="str">
        <f>VLOOKUP(Tabela26[[#This Row],[EMP]],[1]LOJA!$A:$B,2,0)</f>
        <v>UNAÍ</v>
      </c>
      <c r="E4177">
        <v>183</v>
      </c>
      <c r="F4177" t="s">
        <v>3969</v>
      </c>
      <c r="G4177" t="s">
        <v>3968</v>
      </c>
      <c r="H4177" t="s">
        <v>3401</v>
      </c>
      <c r="I4177">
        <v>5102</v>
      </c>
      <c r="J4177" s="3">
        <v>52.7</v>
      </c>
      <c r="K4177" s="3">
        <v>32.799999999999997</v>
      </c>
      <c r="L4177">
        <v>37.76</v>
      </c>
    </row>
    <row r="4178" spans="1:12">
      <c r="A4178" s="1">
        <v>46041</v>
      </c>
      <c r="B4178" t="s">
        <v>8214</v>
      </c>
      <c r="C4178">
        <v>15</v>
      </c>
      <c r="D4178" t="str">
        <f>VLOOKUP(Tabela26[[#This Row],[EMP]],[1]LOJA!$A:$B,2,0)</f>
        <v>UNAÍ</v>
      </c>
      <c r="E4178">
        <v>183</v>
      </c>
      <c r="F4178" t="s">
        <v>3485</v>
      </c>
      <c r="G4178" t="s">
        <v>3402</v>
      </c>
      <c r="H4178" t="s">
        <v>3401</v>
      </c>
      <c r="I4178">
        <v>5102</v>
      </c>
      <c r="J4178" s="3">
        <v>70</v>
      </c>
      <c r="K4178" s="3">
        <v>33.74</v>
      </c>
      <c r="L4178">
        <v>51.8</v>
      </c>
    </row>
    <row r="4179" spans="1:12">
      <c r="A4179" s="1">
        <v>46041</v>
      </c>
      <c r="B4179" t="s">
        <v>8213</v>
      </c>
      <c r="C4179">
        <v>15</v>
      </c>
      <c r="D4179" t="str">
        <f>VLOOKUP(Tabela26[[#This Row],[EMP]],[1]LOJA!$A:$B,2,0)</f>
        <v>UNAÍ</v>
      </c>
      <c r="E4179">
        <v>183</v>
      </c>
      <c r="F4179" t="s">
        <v>5763</v>
      </c>
      <c r="G4179" t="s">
        <v>5762</v>
      </c>
      <c r="H4179" t="s">
        <v>3401</v>
      </c>
      <c r="I4179">
        <v>5102</v>
      </c>
      <c r="J4179" s="3">
        <v>156.30000000000001</v>
      </c>
      <c r="K4179" s="3">
        <v>72.88</v>
      </c>
      <c r="L4179">
        <v>53.37</v>
      </c>
    </row>
    <row r="4180" spans="1:12">
      <c r="A4180" s="1">
        <v>46041</v>
      </c>
      <c r="B4180" t="s">
        <v>8212</v>
      </c>
      <c r="C4180">
        <v>15</v>
      </c>
      <c r="D4180" t="str">
        <f>VLOOKUP(Tabela26[[#This Row],[EMP]],[1]LOJA!$A:$B,2,0)</f>
        <v>UNAÍ</v>
      </c>
      <c r="E4180">
        <v>183</v>
      </c>
      <c r="F4180" t="s">
        <v>4029</v>
      </c>
      <c r="G4180" t="s">
        <v>4028</v>
      </c>
      <c r="H4180" t="s">
        <v>3401</v>
      </c>
      <c r="I4180">
        <v>5102</v>
      </c>
      <c r="J4180" s="3">
        <v>59</v>
      </c>
      <c r="K4180" s="3">
        <v>27.53</v>
      </c>
      <c r="L4180">
        <v>53.34</v>
      </c>
    </row>
    <row r="4181" spans="1:12">
      <c r="A4181" s="1">
        <v>46041</v>
      </c>
      <c r="B4181" t="s">
        <v>8211</v>
      </c>
      <c r="C4181">
        <v>15</v>
      </c>
      <c r="D4181" t="str">
        <f>VLOOKUP(Tabela26[[#This Row],[EMP]],[1]LOJA!$A:$B,2,0)</f>
        <v>UNAÍ</v>
      </c>
      <c r="E4181">
        <v>183</v>
      </c>
      <c r="F4181" t="s">
        <v>4029</v>
      </c>
      <c r="G4181" t="s">
        <v>4028</v>
      </c>
      <c r="H4181" t="s">
        <v>3401</v>
      </c>
      <c r="I4181">
        <v>5102</v>
      </c>
      <c r="J4181" s="3">
        <v>43.2</v>
      </c>
      <c r="K4181" s="3">
        <v>21.4</v>
      </c>
      <c r="L4181">
        <v>50.46</v>
      </c>
    </row>
    <row r="4182" spans="1:12">
      <c r="A4182" s="1">
        <v>46041</v>
      </c>
      <c r="B4182" t="s">
        <v>8210</v>
      </c>
      <c r="C4182">
        <v>15</v>
      </c>
      <c r="D4182" t="str">
        <f>VLOOKUP(Tabela26[[#This Row],[EMP]],[1]LOJA!$A:$B,2,0)</f>
        <v>UNAÍ</v>
      </c>
      <c r="E4182">
        <v>183</v>
      </c>
      <c r="F4182" t="s">
        <v>3485</v>
      </c>
      <c r="G4182" t="s">
        <v>3402</v>
      </c>
      <c r="H4182" t="s">
        <v>3401</v>
      </c>
      <c r="I4182">
        <v>5102</v>
      </c>
      <c r="J4182" s="3">
        <v>39.6</v>
      </c>
      <c r="K4182" s="3">
        <v>23.52</v>
      </c>
      <c r="L4182">
        <v>40.61</v>
      </c>
    </row>
    <row r="4183" spans="1:12">
      <c r="A4183" s="1">
        <v>46041</v>
      </c>
      <c r="B4183" t="s">
        <v>8209</v>
      </c>
      <c r="C4183">
        <v>15</v>
      </c>
      <c r="D4183" t="str">
        <f>VLOOKUP(Tabela26[[#This Row],[EMP]],[1]LOJA!$A:$B,2,0)</f>
        <v>UNAÍ</v>
      </c>
      <c r="E4183">
        <v>183</v>
      </c>
      <c r="F4183" t="s">
        <v>3485</v>
      </c>
      <c r="G4183" t="s">
        <v>3402</v>
      </c>
      <c r="H4183" t="s">
        <v>3401</v>
      </c>
      <c r="I4183">
        <v>5102</v>
      </c>
      <c r="J4183" s="3">
        <v>33</v>
      </c>
      <c r="K4183" s="3">
        <v>18.78</v>
      </c>
      <c r="L4183">
        <v>43.09</v>
      </c>
    </row>
    <row r="4184" spans="1:12">
      <c r="A4184" s="1">
        <v>46041</v>
      </c>
      <c r="B4184" t="s">
        <v>8208</v>
      </c>
      <c r="C4184">
        <v>15</v>
      </c>
      <c r="D4184" t="str">
        <f>VLOOKUP(Tabela26[[#This Row],[EMP]],[1]LOJA!$A:$B,2,0)</f>
        <v>UNAÍ</v>
      </c>
      <c r="E4184">
        <v>183</v>
      </c>
      <c r="F4184" t="s">
        <v>4040</v>
      </c>
      <c r="G4184" t="s">
        <v>4039</v>
      </c>
      <c r="H4184" t="s">
        <v>3408</v>
      </c>
      <c r="I4184">
        <v>5102</v>
      </c>
      <c r="J4184" s="3">
        <v>182</v>
      </c>
      <c r="K4184" s="3">
        <v>89.88</v>
      </c>
      <c r="L4184">
        <v>50.62</v>
      </c>
    </row>
    <row r="4185" spans="1:12">
      <c r="A4185" s="1">
        <v>46041</v>
      </c>
      <c r="B4185" t="s">
        <v>8207</v>
      </c>
      <c r="C4185">
        <v>15</v>
      </c>
      <c r="D4185" t="str">
        <f>VLOOKUP(Tabela26[[#This Row],[EMP]],[1]LOJA!$A:$B,2,0)</f>
        <v>UNAÍ</v>
      </c>
      <c r="E4185">
        <v>183</v>
      </c>
      <c r="F4185" t="s">
        <v>4025</v>
      </c>
      <c r="G4185" t="s">
        <v>4024</v>
      </c>
      <c r="H4185" t="s">
        <v>3408</v>
      </c>
      <c r="I4185">
        <v>5102</v>
      </c>
      <c r="J4185" s="3">
        <v>50</v>
      </c>
      <c r="K4185" s="3">
        <v>23.37</v>
      </c>
      <c r="L4185">
        <v>53.26</v>
      </c>
    </row>
    <row r="4186" spans="1:12">
      <c r="A4186" s="1">
        <v>46041</v>
      </c>
      <c r="B4186" t="s">
        <v>8206</v>
      </c>
      <c r="C4186">
        <v>15</v>
      </c>
      <c r="D4186" t="str">
        <f>VLOOKUP(Tabela26[[#This Row],[EMP]],[1]LOJA!$A:$B,2,0)</f>
        <v>UNAÍ</v>
      </c>
      <c r="E4186">
        <v>183</v>
      </c>
      <c r="F4186" t="s">
        <v>4704</v>
      </c>
      <c r="G4186" t="s">
        <v>4703</v>
      </c>
      <c r="H4186" t="s">
        <v>3401</v>
      </c>
      <c r="I4186">
        <v>5102</v>
      </c>
      <c r="J4186" s="3">
        <v>100</v>
      </c>
      <c r="K4186" s="3">
        <v>49.31</v>
      </c>
      <c r="L4186">
        <v>50.69</v>
      </c>
    </row>
    <row r="4187" spans="1:12">
      <c r="A4187" s="1">
        <v>46041</v>
      </c>
      <c r="B4187" t="s">
        <v>8205</v>
      </c>
      <c r="C4187">
        <v>15</v>
      </c>
      <c r="D4187" t="str">
        <f>VLOOKUP(Tabela26[[#This Row],[EMP]],[1]LOJA!$A:$B,2,0)</f>
        <v>UNAÍ</v>
      </c>
      <c r="E4187">
        <v>183</v>
      </c>
      <c r="F4187" t="s">
        <v>4068</v>
      </c>
      <c r="G4187" t="s">
        <v>4067</v>
      </c>
      <c r="H4187" t="s">
        <v>3520</v>
      </c>
      <c r="I4187">
        <v>5102</v>
      </c>
      <c r="J4187" s="3">
        <v>232.59</v>
      </c>
      <c r="K4187" s="3">
        <v>124.38</v>
      </c>
      <c r="L4187">
        <v>46.52</v>
      </c>
    </row>
    <row r="4188" spans="1:12">
      <c r="A4188" s="1">
        <v>46041</v>
      </c>
      <c r="B4188" t="s">
        <v>8204</v>
      </c>
      <c r="C4188">
        <v>15</v>
      </c>
      <c r="D4188" t="str">
        <f>VLOOKUP(Tabela26[[#This Row],[EMP]],[1]LOJA!$A:$B,2,0)</f>
        <v>UNAÍ</v>
      </c>
      <c r="E4188">
        <v>183</v>
      </c>
      <c r="F4188" t="s">
        <v>4019</v>
      </c>
      <c r="G4188" t="s">
        <v>4018</v>
      </c>
      <c r="H4188" t="s">
        <v>7916</v>
      </c>
      <c r="I4188">
        <v>5102</v>
      </c>
      <c r="J4188" s="3">
        <v>687.2</v>
      </c>
      <c r="K4188" s="3">
        <v>410.82</v>
      </c>
      <c r="L4188">
        <v>40.22</v>
      </c>
    </row>
    <row r="4189" spans="1:12">
      <c r="A4189" s="1">
        <v>46041</v>
      </c>
      <c r="B4189" t="s">
        <v>8203</v>
      </c>
      <c r="C4189">
        <v>15</v>
      </c>
      <c r="D4189" t="str">
        <f>VLOOKUP(Tabela26[[#This Row],[EMP]],[1]LOJA!$A:$B,2,0)</f>
        <v>UNAÍ</v>
      </c>
      <c r="E4189">
        <v>183</v>
      </c>
      <c r="F4189" t="s">
        <v>4048</v>
      </c>
      <c r="G4189" t="s">
        <v>4047</v>
      </c>
      <c r="H4189" t="s">
        <v>3520</v>
      </c>
      <c r="I4189">
        <v>5405</v>
      </c>
      <c r="J4189" s="3">
        <v>91</v>
      </c>
      <c r="K4189" s="3">
        <v>44.48</v>
      </c>
      <c r="L4189">
        <v>51.12</v>
      </c>
    </row>
    <row r="4190" spans="1:12">
      <c r="A4190" s="1">
        <v>46041</v>
      </c>
      <c r="B4190" t="s">
        <v>8202</v>
      </c>
      <c r="C4190">
        <v>15</v>
      </c>
      <c r="D4190" t="str">
        <f>VLOOKUP(Tabela26[[#This Row],[EMP]],[1]LOJA!$A:$B,2,0)</f>
        <v>UNAÍ</v>
      </c>
      <c r="E4190">
        <v>183</v>
      </c>
      <c r="F4190" t="s">
        <v>4016</v>
      </c>
      <c r="G4190" t="s">
        <v>4015</v>
      </c>
      <c r="H4190" t="s">
        <v>7924</v>
      </c>
      <c r="I4190">
        <v>5102</v>
      </c>
      <c r="J4190" s="3">
        <v>143.85</v>
      </c>
      <c r="K4190" s="3">
        <v>76.16</v>
      </c>
      <c r="L4190">
        <v>47.06</v>
      </c>
    </row>
    <row r="4191" spans="1:12">
      <c r="A4191" s="1">
        <v>46041</v>
      </c>
      <c r="B4191" t="s">
        <v>8201</v>
      </c>
      <c r="C4191">
        <v>15</v>
      </c>
      <c r="D4191" t="str">
        <f>VLOOKUP(Tabela26[[#This Row],[EMP]],[1]LOJA!$A:$B,2,0)</f>
        <v>UNAÍ</v>
      </c>
      <c r="E4191">
        <v>183</v>
      </c>
      <c r="F4191" t="s">
        <v>4681</v>
      </c>
      <c r="G4191" t="s">
        <v>4680</v>
      </c>
      <c r="H4191" t="s">
        <v>7916</v>
      </c>
      <c r="I4191">
        <v>5102</v>
      </c>
      <c r="J4191" s="3">
        <v>310</v>
      </c>
      <c r="K4191" s="3">
        <v>143.36000000000001</v>
      </c>
      <c r="L4191">
        <v>53.75</v>
      </c>
    </row>
    <row r="4192" spans="1:12">
      <c r="A4192" s="1">
        <v>46041</v>
      </c>
      <c r="B4192" t="s">
        <v>8200</v>
      </c>
      <c r="C4192">
        <v>15</v>
      </c>
      <c r="D4192" t="str">
        <f>VLOOKUP(Tabela26[[#This Row],[EMP]],[1]LOJA!$A:$B,2,0)</f>
        <v>UNAÍ</v>
      </c>
      <c r="E4192">
        <v>183</v>
      </c>
      <c r="F4192" t="s">
        <v>8199</v>
      </c>
      <c r="G4192" t="s">
        <v>3402</v>
      </c>
      <c r="H4192" t="s">
        <v>3408</v>
      </c>
      <c r="I4192">
        <v>5102</v>
      </c>
      <c r="J4192" s="3">
        <v>80</v>
      </c>
      <c r="K4192" s="3">
        <v>39.21</v>
      </c>
      <c r="L4192">
        <v>50.99</v>
      </c>
    </row>
    <row r="4193" spans="1:12">
      <c r="A4193" s="1">
        <v>46041</v>
      </c>
      <c r="B4193" t="s">
        <v>8198</v>
      </c>
      <c r="C4193">
        <v>15</v>
      </c>
      <c r="D4193" t="str">
        <f>VLOOKUP(Tabela26[[#This Row],[EMP]],[1]LOJA!$A:$B,2,0)</f>
        <v>UNAÍ</v>
      </c>
      <c r="E4193">
        <v>183</v>
      </c>
      <c r="F4193" t="s">
        <v>4689</v>
      </c>
      <c r="G4193" t="s">
        <v>4688</v>
      </c>
      <c r="H4193" t="s">
        <v>3430</v>
      </c>
      <c r="I4193">
        <v>5405</v>
      </c>
      <c r="J4193" s="3">
        <v>537.94000000000005</v>
      </c>
      <c r="K4193" s="3">
        <v>240.62</v>
      </c>
      <c r="L4193">
        <v>55.27</v>
      </c>
    </row>
    <row r="4194" spans="1:12">
      <c r="A4194" s="1">
        <v>46041</v>
      </c>
      <c r="B4194" t="s">
        <v>8197</v>
      </c>
      <c r="C4194">
        <v>6</v>
      </c>
      <c r="D4194" t="str">
        <f>VLOOKUP(Tabela26[[#This Row],[EMP]],[1]LOJA!$A:$B,2,0)</f>
        <v>GAMA</v>
      </c>
      <c r="E4194">
        <v>245</v>
      </c>
      <c r="F4194" t="s">
        <v>8196</v>
      </c>
      <c r="G4194" t="s">
        <v>8195</v>
      </c>
      <c r="H4194" t="s">
        <v>3401</v>
      </c>
      <c r="I4194">
        <v>5102</v>
      </c>
      <c r="J4194" s="3">
        <v>658.8</v>
      </c>
      <c r="K4194" s="3">
        <v>344.78</v>
      </c>
      <c r="L4194">
        <v>47.67</v>
      </c>
    </row>
    <row r="4195" spans="1:12">
      <c r="A4195" s="1">
        <v>46041</v>
      </c>
      <c r="B4195" t="s">
        <v>8194</v>
      </c>
      <c r="C4195">
        <v>6</v>
      </c>
      <c r="D4195" t="str">
        <f>VLOOKUP(Tabela26[[#This Row],[EMP]],[1]LOJA!$A:$B,2,0)</f>
        <v>GAMA</v>
      </c>
      <c r="E4195">
        <v>226</v>
      </c>
      <c r="F4195" t="s">
        <v>8193</v>
      </c>
      <c r="G4195" t="s">
        <v>8192</v>
      </c>
      <c r="H4195" t="s">
        <v>3408</v>
      </c>
      <c r="I4195">
        <v>5102</v>
      </c>
      <c r="J4195" s="3">
        <v>510</v>
      </c>
      <c r="K4195" s="3">
        <v>349.71</v>
      </c>
      <c r="L4195">
        <v>31.43</v>
      </c>
    </row>
    <row r="4196" spans="1:12">
      <c r="A4196" s="1">
        <v>46041</v>
      </c>
      <c r="B4196" t="s">
        <v>8191</v>
      </c>
      <c r="C4196">
        <v>6</v>
      </c>
      <c r="D4196" t="str">
        <f>VLOOKUP(Tabela26[[#This Row],[EMP]],[1]LOJA!$A:$B,2,0)</f>
        <v>GAMA</v>
      </c>
      <c r="E4196">
        <v>226</v>
      </c>
      <c r="F4196" t="s">
        <v>4007</v>
      </c>
      <c r="G4196" t="s">
        <v>4006</v>
      </c>
      <c r="H4196" t="s">
        <v>4249</v>
      </c>
      <c r="I4196">
        <v>6102</v>
      </c>
      <c r="J4196" s="3">
        <v>2341.58</v>
      </c>
      <c r="K4196" s="3">
        <v>1425.7</v>
      </c>
      <c r="L4196">
        <v>39.11</v>
      </c>
    </row>
    <row r="4197" spans="1:12">
      <c r="A4197" s="1">
        <v>46041</v>
      </c>
      <c r="B4197" t="s">
        <v>8190</v>
      </c>
      <c r="C4197">
        <v>14</v>
      </c>
      <c r="D4197" t="str">
        <f>VLOOKUP(Tabela26[[#This Row],[EMP]],[1]LOJA!$A:$B,2,0)</f>
        <v>S IA</v>
      </c>
      <c r="E4197">
        <v>212</v>
      </c>
      <c r="F4197" t="s">
        <v>3989</v>
      </c>
      <c r="G4197" t="s">
        <v>3988</v>
      </c>
      <c r="H4197" t="s">
        <v>3430</v>
      </c>
      <c r="I4197">
        <v>5102</v>
      </c>
      <c r="J4197" s="3">
        <v>311.60000000000002</v>
      </c>
      <c r="K4197" s="3">
        <v>188.46</v>
      </c>
      <c r="L4197">
        <v>39.520000000000003</v>
      </c>
    </row>
    <row r="4198" spans="1:12">
      <c r="A4198" s="1">
        <v>46041</v>
      </c>
      <c r="B4198" t="s">
        <v>8189</v>
      </c>
      <c r="C4198">
        <v>14</v>
      </c>
      <c r="D4198" t="str">
        <f>VLOOKUP(Tabela26[[#This Row],[EMP]],[1]LOJA!$A:$B,2,0)</f>
        <v>S IA</v>
      </c>
      <c r="E4198">
        <v>54</v>
      </c>
      <c r="F4198" t="s">
        <v>3403</v>
      </c>
      <c r="G4198" t="s">
        <v>3402</v>
      </c>
      <c r="H4198" t="s">
        <v>3401</v>
      </c>
      <c r="I4198">
        <v>5405</v>
      </c>
      <c r="J4198" s="3">
        <v>180</v>
      </c>
      <c r="K4198" s="3">
        <v>92</v>
      </c>
      <c r="L4198">
        <v>48.89</v>
      </c>
    </row>
    <row r="4199" spans="1:12">
      <c r="A4199" s="1">
        <v>46041</v>
      </c>
      <c r="B4199" t="s">
        <v>8188</v>
      </c>
      <c r="C4199">
        <v>14</v>
      </c>
      <c r="D4199" t="str">
        <f>VLOOKUP(Tabela26[[#This Row],[EMP]],[1]LOJA!$A:$B,2,0)</f>
        <v>S IA</v>
      </c>
      <c r="E4199">
        <v>54</v>
      </c>
      <c r="F4199" t="s">
        <v>6410</v>
      </c>
      <c r="G4199" t="s">
        <v>6409</v>
      </c>
      <c r="H4199" t="s">
        <v>3430</v>
      </c>
      <c r="I4199">
        <v>5405</v>
      </c>
      <c r="J4199" s="3">
        <v>38</v>
      </c>
      <c r="K4199" s="3">
        <v>13.35</v>
      </c>
      <c r="L4199">
        <v>64.87</v>
      </c>
    </row>
    <row r="4200" spans="1:12">
      <c r="A4200" s="1">
        <v>46041</v>
      </c>
      <c r="B4200" t="s">
        <v>8187</v>
      </c>
      <c r="C4200">
        <v>15</v>
      </c>
      <c r="D4200" t="str">
        <f>VLOOKUP(Tabela26[[#This Row],[EMP]],[1]LOJA!$A:$B,2,0)</f>
        <v>UNAÍ</v>
      </c>
      <c r="E4200">
        <v>183</v>
      </c>
      <c r="F4200" t="s">
        <v>4071</v>
      </c>
      <c r="G4200" t="s">
        <v>4070</v>
      </c>
      <c r="H4200" t="s">
        <v>3401</v>
      </c>
      <c r="I4200">
        <v>5102</v>
      </c>
      <c r="J4200" s="3">
        <v>237</v>
      </c>
      <c r="K4200" s="3">
        <v>117.79</v>
      </c>
      <c r="L4200">
        <v>50.3</v>
      </c>
    </row>
    <row r="4201" spans="1:12">
      <c r="A4201" s="1">
        <v>46041</v>
      </c>
      <c r="B4201" t="s">
        <v>8186</v>
      </c>
      <c r="C4201">
        <v>15</v>
      </c>
      <c r="D4201" t="str">
        <f>VLOOKUP(Tabela26[[#This Row],[EMP]],[1]LOJA!$A:$B,2,0)</f>
        <v>UNAÍ</v>
      </c>
      <c r="E4201">
        <v>183</v>
      </c>
      <c r="F4201" t="s">
        <v>5290</v>
      </c>
      <c r="G4201" t="s">
        <v>5289</v>
      </c>
      <c r="H4201" t="s">
        <v>3401</v>
      </c>
      <c r="I4201">
        <v>5405</v>
      </c>
      <c r="J4201" s="3">
        <v>114.5</v>
      </c>
      <c r="K4201" s="3">
        <v>57.72</v>
      </c>
      <c r="L4201">
        <v>49.59</v>
      </c>
    </row>
    <row r="4202" spans="1:12">
      <c r="A4202" s="1">
        <v>46041</v>
      </c>
      <c r="B4202" t="s">
        <v>8185</v>
      </c>
      <c r="C4202">
        <v>15</v>
      </c>
      <c r="D4202" t="str">
        <f>VLOOKUP(Tabela26[[#This Row],[EMP]],[1]LOJA!$A:$B,2,0)</f>
        <v>UNAÍ</v>
      </c>
      <c r="E4202">
        <v>183</v>
      </c>
      <c r="F4202" t="s">
        <v>7775</v>
      </c>
      <c r="G4202" t="s">
        <v>7774</v>
      </c>
      <c r="H4202" t="s">
        <v>3401</v>
      </c>
      <c r="I4202">
        <v>5102</v>
      </c>
      <c r="J4202" s="3">
        <v>81.8</v>
      </c>
      <c r="K4202" s="3">
        <v>50.2</v>
      </c>
      <c r="L4202">
        <v>38.630000000000003</v>
      </c>
    </row>
    <row r="4203" spans="1:12">
      <c r="A4203" s="1">
        <v>46041</v>
      </c>
      <c r="B4203" t="s">
        <v>8184</v>
      </c>
      <c r="C4203">
        <v>15</v>
      </c>
      <c r="D4203" t="str">
        <f>VLOOKUP(Tabela26[[#This Row],[EMP]],[1]LOJA!$A:$B,2,0)</f>
        <v>UNAÍ</v>
      </c>
      <c r="E4203">
        <v>183</v>
      </c>
      <c r="F4203" t="s">
        <v>5831</v>
      </c>
      <c r="G4203" t="s">
        <v>5830</v>
      </c>
      <c r="H4203" t="s">
        <v>3401</v>
      </c>
      <c r="I4203">
        <v>5102</v>
      </c>
      <c r="J4203" s="3">
        <v>31.6</v>
      </c>
      <c r="K4203" s="3">
        <v>15.36</v>
      </c>
      <c r="L4203">
        <v>51.39</v>
      </c>
    </row>
    <row r="4204" spans="1:12">
      <c r="A4204" s="1">
        <v>46041</v>
      </c>
      <c r="B4204" t="s">
        <v>8183</v>
      </c>
      <c r="C4204">
        <v>15</v>
      </c>
      <c r="D4204" t="str">
        <f>VLOOKUP(Tabela26[[#This Row],[EMP]],[1]LOJA!$A:$B,2,0)</f>
        <v>UNAÍ</v>
      </c>
      <c r="E4204">
        <v>183</v>
      </c>
      <c r="F4204" t="s">
        <v>5241</v>
      </c>
      <c r="G4204" t="s">
        <v>5240</v>
      </c>
      <c r="H4204" t="s">
        <v>3401</v>
      </c>
      <c r="I4204">
        <v>5102</v>
      </c>
      <c r="J4204" s="3">
        <v>52</v>
      </c>
      <c r="K4204" s="3">
        <v>26.14</v>
      </c>
      <c r="L4204">
        <v>49.73</v>
      </c>
    </row>
    <row r="4205" spans="1:12">
      <c r="A4205" s="1">
        <v>46041</v>
      </c>
      <c r="B4205" t="s">
        <v>8182</v>
      </c>
      <c r="C4205">
        <v>15</v>
      </c>
      <c r="D4205" t="str">
        <f>VLOOKUP(Tabela26[[#This Row],[EMP]],[1]LOJA!$A:$B,2,0)</f>
        <v>UNAÍ</v>
      </c>
      <c r="E4205">
        <v>183</v>
      </c>
      <c r="F4205" t="s">
        <v>4074</v>
      </c>
      <c r="G4205" t="s">
        <v>4073</v>
      </c>
      <c r="H4205" t="s">
        <v>3401</v>
      </c>
      <c r="I4205">
        <v>5102</v>
      </c>
      <c r="J4205" s="3">
        <v>117.8</v>
      </c>
      <c r="K4205" s="3">
        <v>53.48</v>
      </c>
      <c r="L4205">
        <v>54.6</v>
      </c>
    </row>
    <row r="4206" spans="1:12">
      <c r="A4206" s="1">
        <v>46041</v>
      </c>
      <c r="B4206" t="s">
        <v>8181</v>
      </c>
      <c r="C4206">
        <v>15</v>
      </c>
      <c r="D4206" t="str">
        <f>VLOOKUP(Tabela26[[#This Row],[EMP]],[1]LOJA!$A:$B,2,0)</f>
        <v>UNAÍ</v>
      </c>
      <c r="E4206">
        <v>183</v>
      </c>
      <c r="F4206" t="s">
        <v>3957</v>
      </c>
      <c r="G4206" t="s">
        <v>3956</v>
      </c>
      <c r="H4206" t="s">
        <v>3401</v>
      </c>
      <c r="I4206">
        <v>5102</v>
      </c>
      <c r="J4206" s="3">
        <v>7.2</v>
      </c>
      <c r="K4206" s="3">
        <v>3.05</v>
      </c>
      <c r="L4206">
        <v>57.64</v>
      </c>
    </row>
    <row r="4207" spans="1:12">
      <c r="A4207" s="1">
        <v>46041</v>
      </c>
      <c r="B4207" t="s">
        <v>8180</v>
      </c>
      <c r="C4207">
        <v>15</v>
      </c>
      <c r="D4207" t="str">
        <f>VLOOKUP(Tabela26[[#This Row],[EMP]],[1]LOJA!$A:$B,2,0)</f>
        <v>UNAÍ</v>
      </c>
      <c r="E4207">
        <v>183</v>
      </c>
      <c r="F4207" t="s">
        <v>4701</v>
      </c>
      <c r="G4207" t="s">
        <v>4700</v>
      </c>
      <c r="H4207" t="s">
        <v>3401</v>
      </c>
      <c r="I4207">
        <v>5102</v>
      </c>
      <c r="J4207" s="3">
        <v>71.8</v>
      </c>
      <c r="K4207" s="3">
        <v>32.43</v>
      </c>
      <c r="L4207">
        <v>54.83</v>
      </c>
    </row>
    <row r="4208" spans="1:12">
      <c r="A4208" s="1">
        <v>46041</v>
      </c>
      <c r="B4208" t="s">
        <v>8179</v>
      </c>
      <c r="C4208">
        <v>12</v>
      </c>
      <c r="D4208" t="str">
        <f>VLOOKUP(Tabela26[[#This Row],[EMP]],[1]LOJA!$A:$B,2,0)</f>
        <v>SOFNORTE</v>
      </c>
      <c r="E4208">
        <v>60</v>
      </c>
      <c r="F4208" t="s">
        <v>3948</v>
      </c>
      <c r="G4208" t="s">
        <v>3947</v>
      </c>
      <c r="H4208" t="s">
        <v>3430</v>
      </c>
      <c r="I4208">
        <v>5102</v>
      </c>
      <c r="J4208" s="3">
        <v>68.260000000000005</v>
      </c>
      <c r="K4208" s="3">
        <v>30.07</v>
      </c>
      <c r="L4208">
        <v>55.95</v>
      </c>
    </row>
    <row r="4209" spans="1:12">
      <c r="A4209" s="1">
        <v>46041</v>
      </c>
      <c r="B4209" t="s">
        <v>8178</v>
      </c>
      <c r="C4209">
        <v>12</v>
      </c>
      <c r="D4209" t="str">
        <f>VLOOKUP(Tabela26[[#This Row],[EMP]],[1]LOJA!$A:$B,2,0)</f>
        <v>SOFNORTE</v>
      </c>
      <c r="E4209">
        <v>60</v>
      </c>
      <c r="F4209" t="s">
        <v>3925</v>
      </c>
      <c r="G4209" t="s">
        <v>3924</v>
      </c>
      <c r="H4209" t="s">
        <v>3430</v>
      </c>
      <c r="I4209">
        <v>5102</v>
      </c>
      <c r="J4209" s="3">
        <v>96</v>
      </c>
      <c r="K4209" s="3">
        <v>45.19</v>
      </c>
      <c r="L4209">
        <v>52.93</v>
      </c>
    </row>
    <row r="4210" spans="1:12">
      <c r="A4210" s="1">
        <v>46041</v>
      </c>
      <c r="B4210" t="s">
        <v>8177</v>
      </c>
      <c r="C4210">
        <v>12</v>
      </c>
      <c r="D4210" t="str">
        <f>VLOOKUP(Tabela26[[#This Row],[EMP]],[1]LOJA!$A:$B,2,0)</f>
        <v>SOFNORTE</v>
      </c>
      <c r="E4210">
        <v>60</v>
      </c>
      <c r="F4210" t="s">
        <v>3948</v>
      </c>
      <c r="G4210" t="s">
        <v>3947</v>
      </c>
      <c r="H4210" t="s">
        <v>3430</v>
      </c>
      <c r="I4210">
        <v>5102</v>
      </c>
      <c r="J4210" s="3">
        <v>11.55</v>
      </c>
      <c r="K4210" s="3">
        <v>6.03</v>
      </c>
      <c r="L4210">
        <v>47.79</v>
      </c>
    </row>
    <row r="4211" spans="1:12">
      <c r="A4211" s="1">
        <v>46041</v>
      </c>
      <c r="B4211" t="s">
        <v>8176</v>
      </c>
      <c r="C4211">
        <v>12</v>
      </c>
      <c r="D4211" t="str">
        <f>VLOOKUP(Tabela26[[#This Row],[EMP]],[1]LOJA!$A:$B,2,0)</f>
        <v>SOFNORTE</v>
      </c>
      <c r="E4211">
        <v>60</v>
      </c>
      <c r="F4211" t="s">
        <v>7573</v>
      </c>
      <c r="G4211" t="s">
        <v>7572</v>
      </c>
      <c r="H4211" t="s">
        <v>3408</v>
      </c>
      <c r="I4211">
        <v>5102</v>
      </c>
      <c r="J4211" s="3">
        <v>295</v>
      </c>
      <c r="K4211" s="3">
        <v>150.19999999999999</v>
      </c>
      <c r="L4211">
        <v>49.08</v>
      </c>
    </row>
    <row r="4212" spans="1:12">
      <c r="A4212" s="1">
        <v>46041</v>
      </c>
      <c r="B4212" t="s">
        <v>8175</v>
      </c>
      <c r="C4212">
        <v>12</v>
      </c>
      <c r="D4212" t="str">
        <f>VLOOKUP(Tabela26[[#This Row],[EMP]],[1]LOJA!$A:$B,2,0)</f>
        <v>SOFNORTE</v>
      </c>
      <c r="E4212">
        <v>60</v>
      </c>
      <c r="F4212" t="s">
        <v>3948</v>
      </c>
      <c r="G4212" t="s">
        <v>3947</v>
      </c>
      <c r="H4212" t="s">
        <v>3430</v>
      </c>
      <c r="I4212">
        <v>5405</v>
      </c>
      <c r="J4212" s="3">
        <v>48.92</v>
      </c>
      <c r="K4212" s="3">
        <v>24.15</v>
      </c>
      <c r="L4212">
        <v>50.63</v>
      </c>
    </row>
    <row r="4213" spans="1:12">
      <c r="A4213" s="1">
        <v>46041</v>
      </c>
      <c r="B4213" t="s">
        <v>8174</v>
      </c>
      <c r="C4213">
        <v>12</v>
      </c>
      <c r="D4213" t="str">
        <f>VLOOKUP(Tabela26[[#This Row],[EMP]],[1]LOJA!$A:$B,2,0)</f>
        <v>SOFNORTE</v>
      </c>
      <c r="E4213">
        <v>60</v>
      </c>
      <c r="F4213" t="s">
        <v>4817</v>
      </c>
      <c r="G4213" t="s">
        <v>4816</v>
      </c>
      <c r="H4213" t="s">
        <v>3430</v>
      </c>
      <c r="I4213">
        <v>5102</v>
      </c>
      <c r="J4213" s="3">
        <v>295.92</v>
      </c>
      <c r="K4213" s="3">
        <v>168.98</v>
      </c>
      <c r="L4213">
        <v>42.9</v>
      </c>
    </row>
    <row r="4214" spans="1:12">
      <c r="A4214" s="1">
        <v>46041</v>
      </c>
      <c r="B4214" t="s">
        <v>8173</v>
      </c>
      <c r="C4214">
        <v>12</v>
      </c>
      <c r="D4214" t="str">
        <f>VLOOKUP(Tabela26[[#This Row],[EMP]],[1]LOJA!$A:$B,2,0)</f>
        <v>SOFNORTE</v>
      </c>
      <c r="E4214">
        <v>60</v>
      </c>
      <c r="F4214" t="s">
        <v>6397</v>
      </c>
      <c r="G4214" t="s">
        <v>6396</v>
      </c>
      <c r="H4214" t="s">
        <v>3401</v>
      </c>
      <c r="I4214">
        <v>1411</v>
      </c>
      <c r="J4214" s="3">
        <v>-59.9</v>
      </c>
      <c r="K4214" s="3">
        <v>-26.53</v>
      </c>
      <c r="L4214">
        <v>55.71</v>
      </c>
    </row>
    <row r="4215" spans="1:12">
      <c r="A4215" s="1">
        <v>46041</v>
      </c>
      <c r="B4215" t="s">
        <v>8172</v>
      </c>
      <c r="C4215">
        <v>12</v>
      </c>
      <c r="D4215" t="str">
        <f>VLOOKUP(Tabela26[[#This Row],[EMP]],[1]LOJA!$A:$B,2,0)</f>
        <v>SOFNORTE</v>
      </c>
      <c r="E4215">
        <v>60</v>
      </c>
      <c r="F4215" t="s">
        <v>3953</v>
      </c>
      <c r="G4215" t="s">
        <v>3952</v>
      </c>
      <c r="H4215" t="s">
        <v>3430</v>
      </c>
      <c r="I4215">
        <v>5405</v>
      </c>
      <c r="J4215" s="3">
        <v>177</v>
      </c>
      <c r="K4215" s="3">
        <v>83.15</v>
      </c>
      <c r="L4215">
        <v>53.02</v>
      </c>
    </row>
    <row r="4216" spans="1:12">
      <c r="A4216" s="1">
        <v>46041</v>
      </c>
      <c r="B4216" t="s">
        <v>8171</v>
      </c>
      <c r="C4216">
        <v>12</v>
      </c>
      <c r="D4216" t="str">
        <f>VLOOKUP(Tabela26[[#This Row],[EMP]],[1]LOJA!$A:$B,2,0)</f>
        <v>SOFNORTE</v>
      </c>
      <c r="E4216">
        <v>60</v>
      </c>
      <c r="F4216" t="s">
        <v>3461</v>
      </c>
      <c r="G4216" t="s">
        <v>3460</v>
      </c>
      <c r="H4216" t="s">
        <v>3430</v>
      </c>
      <c r="I4216">
        <v>5405</v>
      </c>
      <c r="J4216" s="3">
        <v>61.46</v>
      </c>
      <c r="K4216" s="3">
        <v>29.16</v>
      </c>
      <c r="L4216">
        <v>52.55</v>
      </c>
    </row>
    <row r="4217" spans="1:12">
      <c r="A4217" s="1">
        <v>46041</v>
      </c>
      <c r="B4217" t="s">
        <v>8170</v>
      </c>
      <c r="C4217">
        <v>12</v>
      </c>
      <c r="D4217" t="str">
        <f>VLOOKUP(Tabela26[[#This Row],[EMP]],[1]LOJA!$A:$B,2,0)</f>
        <v>SOFNORTE</v>
      </c>
      <c r="E4217">
        <v>60</v>
      </c>
      <c r="F4217" t="s">
        <v>5057</v>
      </c>
      <c r="G4217" t="s">
        <v>5056</v>
      </c>
      <c r="H4217" t="s">
        <v>3430</v>
      </c>
      <c r="I4217">
        <v>5405</v>
      </c>
      <c r="J4217" s="3">
        <v>42</v>
      </c>
      <c r="K4217" s="3">
        <v>18.96</v>
      </c>
      <c r="L4217">
        <v>54.86</v>
      </c>
    </row>
    <row r="4218" spans="1:12">
      <c r="A4218" s="1">
        <v>46041</v>
      </c>
      <c r="B4218" t="s">
        <v>8169</v>
      </c>
      <c r="C4218">
        <v>12</v>
      </c>
      <c r="D4218" t="str">
        <f>VLOOKUP(Tabela26[[#This Row],[EMP]],[1]LOJA!$A:$B,2,0)</f>
        <v>SOFNORTE</v>
      </c>
      <c r="E4218">
        <v>60</v>
      </c>
      <c r="F4218" t="s">
        <v>6117</v>
      </c>
      <c r="G4218" t="s">
        <v>6116</v>
      </c>
      <c r="H4218" t="s">
        <v>3430</v>
      </c>
      <c r="I4218">
        <v>5405</v>
      </c>
      <c r="J4218" s="3">
        <v>158.19999999999999</v>
      </c>
      <c r="K4218" s="3">
        <v>84.94</v>
      </c>
      <c r="L4218">
        <v>46.31</v>
      </c>
    </row>
    <row r="4219" spans="1:12">
      <c r="A4219" s="1">
        <v>46041</v>
      </c>
      <c r="B4219" t="s">
        <v>8168</v>
      </c>
      <c r="C4219">
        <v>12</v>
      </c>
      <c r="D4219" t="str">
        <f>VLOOKUP(Tabela26[[#This Row],[EMP]],[1]LOJA!$A:$B,2,0)</f>
        <v>SOFNORTE</v>
      </c>
      <c r="E4219">
        <v>60</v>
      </c>
      <c r="F4219" t="s">
        <v>3461</v>
      </c>
      <c r="G4219" t="s">
        <v>3460</v>
      </c>
      <c r="H4219" t="s">
        <v>3430</v>
      </c>
      <c r="I4219">
        <v>5405</v>
      </c>
      <c r="J4219" s="3">
        <v>84.64</v>
      </c>
      <c r="K4219" s="3">
        <v>39.520000000000003</v>
      </c>
      <c r="L4219">
        <v>53.31</v>
      </c>
    </row>
    <row r="4220" spans="1:12">
      <c r="A4220" s="1">
        <v>46041</v>
      </c>
      <c r="B4220" t="s">
        <v>8167</v>
      </c>
      <c r="C4220">
        <v>12</v>
      </c>
      <c r="D4220" t="str">
        <f>VLOOKUP(Tabela26[[#This Row],[EMP]],[1]LOJA!$A:$B,2,0)</f>
        <v>SOFNORTE</v>
      </c>
      <c r="E4220">
        <v>60</v>
      </c>
      <c r="F4220" t="s">
        <v>8166</v>
      </c>
      <c r="G4220" t="s">
        <v>8165</v>
      </c>
      <c r="H4220" t="s">
        <v>3430</v>
      </c>
      <c r="I4220">
        <v>5405</v>
      </c>
      <c r="J4220" s="3">
        <v>108</v>
      </c>
      <c r="K4220" s="3">
        <v>49.72</v>
      </c>
      <c r="L4220">
        <v>53.96</v>
      </c>
    </row>
    <row r="4221" spans="1:12">
      <c r="A4221" s="1">
        <v>46041</v>
      </c>
      <c r="B4221" t="s">
        <v>8164</v>
      </c>
      <c r="C4221">
        <v>12</v>
      </c>
      <c r="D4221" t="str">
        <f>VLOOKUP(Tabela26[[#This Row],[EMP]],[1]LOJA!$A:$B,2,0)</f>
        <v>SOFNORTE</v>
      </c>
      <c r="E4221">
        <v>60</v>
      </c>
      <c r="F4221" t="s">
        <v>3953</v>
      </c>
      <c r="G4221" t="s">
        <v>3952</v>
      </c>
      <c r="H4221" t="s">
        <v>3430</v>
      </c>
      <c r="I4221">
        <v>5102</v>
      </c>
      <c r="J4221" s="3">
        <v>23.9</v>
      </c>
      <c r="K4221" s="3">
        <v>11.63</v>
      </c>
      <c r="L4221">
        <v>51.34</v>
      </c>
    </row>
    <row r="4222" spans="1:12">
      <c r="A4222" s="1">
        <v>46041</v>
      </c>
      <c r="B4222" t="s">
        <v>8163</v>
      </c>
      <c r="C4222">
        <v>12</v>
      </c>
      <c r="D4222" t="str">
        <f>VLOOKUP(Tabela26[[#This Row],[EMP]],[1]LOJA!$A:$B,2,0)</f>
        <v>SOFNORTE</v>
      </c>
      <c r="E4222">
        <v>60</v>
      </c>
      <c r="F4222" t="s">
        <v>3925</v>
      </c>
      <c r="G4222" t="s">
        <v>3924</v>
      </c>
      <c r="H4222" t="s">
        <v>3430</v>
      </c>
      <c r="I4222">
        <v>5405</v>
      </c>
      <c r="J4222" s="3">
        <v>56</v>
      </c>
      <c r="K4222" s="3">
        <v>27.02</v>
      </c>
      <c r="L4222">
        <v>51.75</v>
      </c>
    </row>
    <row r="4223" spans="1:12">
      <c r="A4223" s="1">
        <v>46041</v>
      </c>
      <c r="B4223" t="s">
        <v>8162</v>
      </c>
      <c r="C4223">
        <v>22</v>
      </c>
      <c r="D4223" t="str">
        <f>VLOOKUP(Tabela26[[#This Row],[EMP]],[1]LOJA!$A:$B,2,0)</f>
        <v>GUARÁ</v>
      </c>
      <c r="E4223">
        <v>93</v>
      </c>
      <c r="F4223" t="s">
        <v>3403</v>
      </c>
      <c r="G4223" t="s">
        <v>3402</v>
      </c>
      <c r="H4223" t="s">
        <v>3401</v>
      </c>
      <c r="I4223">
        <v>5102</v>
      </c>
      <c r="J4223" s="3">
        <v>17</v>
      </c>
      <c r="K4223" s="3">
        <v>9.17</v>
      </c>
      <c r="L4223">
        <v>46.06</v>
      </c>
    </row>
    <row r="4224" spans="1:12">
      <c r="A4224" s="1">
        <v>46041</v>
      </c>
      <c r="B4224" t="s">
        <v>8161</v>
      </c>
      <c r="C4224">
        <v>22</v>
      </c>
      <c r="D4224" t="str">
        <f>VLOOKUP(Tabela26[[#This Row],[EMP]],[1]LOJA!$A:$B,2,0)</f>
        <v>GUARÁ</v>
      </c>
      <c r="E4224">
        <v>93</v>
      </c>
      <c r="F4224" t="s">
        <v>3403</v>
      </c>
      <c r="G4224" t="s">
        <v>3402</v>
      </c>
      <c r="H4224" t="s">
        <v>3401</v>
      </c>
      <c r="I4224">
        <v>5102</v>
      </c>
      <c r="J4224" s="3">
        <v>60</v>
      </c>
      <c r="K4224" s="3">
        <v>27.6</v>
      </c>
      <c r="L4224">
        <v>54</v>
      </c>
    </row>
    <row r="4225" spans="1:12">
      <c r="A4225" s="1">
        <v>46041</v>
      </c>
      <c r="B4225" t="s">
        <v>8160</v>
      </c>
      <c r="C4225">
        <v>22</v>
      </c>
      <c r="D4225" t="str">
        <f>VLOOKUP(Tabela26[[#This Row],[EMP]],[1]LOJA!$A:$B,2,0)</f>
        <v>GUARÁ</v>
      </c>
      <c r="E4225">
        <v>93</v>
      </c>
      <c r="F4225" t="s">
        <v>3894</v>
      </c>
      <c r="G4225" t="s">
        <v>3893</v>
      </c>
      <c r="H4225" t="s">
        <v>3408</v>
      </c>
      <c r="I4225">
        <v>5405</v>
      </c>
      <c r="J4225" s="3">
        <v>85</v>
      </c>
      <c r="K4225" s="3">
        <v>48.5</v>
      </c>
      <c r="L4225">
        <v>42.94</v>
      </c>
    </row>
    <row r="4226" spans="1:12">
      <c r="A4226" s="1">
        <v>46041</v>
      </c>
      <c r="B4226" t="s">
        <v>8159</v>
      </c>
      <c r="C4226">
        <v>22</v>
      </c>
      <c r="D4226" t="str">
        <f>VLOOKUP(Tabela26[[#This Row],[EMP]],[1]LOJA!$A:$B,2,0)</f>
        <v>GUARÁ</v>
      </c>
      <c r="E4226">
        <v>16</v>
      </c>
      <c r="F4226" t="s">
        <v>3403</v>
      </c>
      <c r="G4226" t="s">
        <v>3402</v>
      </c>
      <c r="H4226" t="s">
        <v>3401</v>
      </c>
      <c r="I4226">
        <v>5102</v>
      </c>
      <c r="J4226" s="3">
        <v>30</v>
      </c>
      <c r="K4226" s="3">
        <v>14.18</v>
      </c>
      <c r="L4226">
        <v>52.73</v>
      </c>
    </row>
    <row r="4227" spans="1:12">
      <c r="A4227" s="1">
        <v>46041</v>
      </c>
      <c r="B4227" t="s">
        <v>8158</v>
      </c>
      <c r="C4227">
        <v>22</v>
      </c>
      <c r="D4227" t="str">
        <f>VLOOKUP(Tabela26[[#This Row],[EMP]],[1]LOJA!$A:$B,2,0)</f>
        <v>GUARÁ</v>
      </c>
      <c r="E4227">
        <v>16</v>
      </c>
      <c r="F4227" t="s">
        <v>3403</v>
      </c>
      <c r="G4227" t="s">
        <v>3402</v>
      </c>
      <c r="H4227" t="s">
        <v>3401</v>
      </c>
      <c r="I4227">
        <v>5405</v>
      </c>
      <c r="J4227" s="3">
        <v>160</v>
      </c>
      <c r="K4227" s="3">
        <v>78.16</v>
      </c>
      <c r="L4227">
        <v>51.15</v>
      </c>
    </row>
    <row r="4228" spans="1:12">
      <c r="A4228" s="1">
        <v>46041</v>
      </c>
      <c r="B4228" t="s">
        <v>8157</v>
      </c>
      <c r="C4228">
        <v>22</v>
      </c>
      <c r="D4228" t="str">
        <f>VLOOKUP(Tabela26[[#This Row],[EMP]],[1]LOJA!$A:$B,2,0)</f>
        <v>GUARÁ</v>
      </c>
      <c r="E4228">
        <v>93</v>
      </c>
      <c r="F4228" t="s">
        <v>3403</v>
      </c>
      <c r="G4228" t="s">
        <v>3402</v>
      </c>
      <c r="H4228" t="s">
        <v>3401</v>
      </c>
      <c r="I4228">
        <v>5102</v>
      </c>
      <c r="J4228" s="3">
        <v>54</v>
      </c>
      <c r="K4228" s="3">
        <v>34.67</v>
      </c>
      <c r="L4228">
        <v>35.799999999999997</v>
      </c>
    </row>
    <row r="4229" spans="1:12">
      <c r="A4229" s="1">
        <v>46041</v>
      </c>
      <c r="B4229" t="s">
        <v>8156</v>
      </c>
      <c r="C4229">
        <v>22</v>
      </c>
      <c r="D4229" t="str">
        <f>VLOOKUP(Tabela26[[#This Row],[EMP]],[1]LOJA!$A:$B,2,0)</f>
        <v>GUARÁ</v>
      </c>
      <c r="E4229">
        <v>16</v>
      </c>
      <c r="F4229" t="s">
        <v>3403</v>
      </c>
      <c r="G4229" t="s">
        <v>3402</v>
      </c>
      <c r="H4229" t="s">
        <v>3401</v>
      </c>
      <c r="I4229">
        <v>5102</v>
      </c>
      <c r="J4229" s="3">
        <v>35.44</v>
      </c>
      <c r="K4229" s="3">
        <v>23.18</v>
      </c>
      <c r="L4229">
        <v>34.590000000000003</v>
      </c>
    </row>
    <row r="4230" spans="1:12">
      <c r="A4230" s="1">
        <v>46041</v>
      </c>
      <c r="B4230" t="s">
        <v>8155</v>
      </c>
      <c r="C4230">
        <v>22</v>
      </c>
      <c r="D4230" t="str">
        <f>VLOOKUP(Tabela26[[#This Row],[EMP]],[1]LOJA!$A:$B,2,0)</f>
        <v>GUARÁ</v>
      </c>
      <c r="E4230">
        <v>16</v>
      </c>
      <c r="F4230" t="s">
        <v>3403</v>
      </c>
      <c r="G4230" t="s">
        <v>3402</v>
      </c>
      <c r="H4230" t="s">
        <v>3401</v>
      </c>
      <c r="I4230">
        <v>5102</v>
      </c>
      <c r="J4230" s="3">
        <v>89</v>
      </c>
      <c r="K4230" s="3">
        <v>46.26</v>
      </c>
      <c r="L4230">
        <v>48.02</v>
      </c>
    </row>
    <row r="4231" spans="1:12">
      <c r="A4231" s="1">
        <v>46041</v>
      </c>
      <c r="B4231" t="s">
        <v>8154</v>
      </c>
      <c r="C4231">
        <v>22</v>
      </c>
      <c r="D4231" t="str">
        <f>VLOOKUP(Tabela26[[#This Row],[EMP]],[1]LOJA!$A:$B,2,0)</f>
        <v>GUARÁ</v>
      </c>
      <c r="E4231">
        <v>93</v>
      </c>
      <c r="F4231" t="s">
        <v>3403</v>
      </c>
      <c r="G4231" t="s">
        <v>3402</v>
      </c>
      <c r="H4231" t="s">
        <v>3401</v>
      </c>
      <c r="I4231">
        <v>5405</v>
      </c>
      <c r="J4231" s="3">
        <v>54</v>
      </c>
      <c r="K4231" s="3">
        <v>27.76</v>
      </c>
      <c r="L4231">
        <v>48.59</v>
      </c>
    </row>
    <row r="4232" spans="1:12">
      <c r="A4232" s="1">
        <v>46041</v>
      </c>
      <c r="B4232" t="s">
        <v>8153</v>
      </c>
      <c r="C4232">
        <v>22</v>
      </c>
      <c r="D4232" t="str">
        <f>VLOOKUP(Tabela26[[#This Row],[EMP]],[1]LOJA!$A:$B,2,0)</f>
        <v>GUARÁ</v>
      </c>
      <c r="E4232">
        <v>93</v>
      </c>
      <c r="F4232" t="s">
        <v>3870</v>
      </c>
      <c r="G4232" t="s">
        <v>3869</v>
      </c>
      <c r="H4232" t="s">
        <v>3401</v>
      </c>
      <c r="I4232">
        <v>5405</v>
      </c>
      <c r="J4232" s="3">
        <v>65</v>
      </c>
      <c r="K4232" s="3">
        <v>30.33</v>
      </c>
      <c r="L4232">
        <v>53.34</v>
      </c>
    </row>
    <row r="4233" spans="1:12">
      <c r="A4233" s="1">
        <v>46041</v>
      </c>
      <c r="B4233" t="s">
        <v>8152</v>
      </c>
      <c r="C4233">
        <v>22</v>
      </c>
      <c r="D4233" t="str">
        <f>VLOOKUP(Tabela26[[#This Row],[EMP]],[1]LOJA!$A:$B,2,0)</f>
        <v>GUARÁ</v>
      </c>
      <c r="E4233">
        <v>93</v>
      </c>
      <c r="F4233" t="s">
        <v>3899</v>
      </c>
      <c r="G4233" t="s">
        <v>3898</v>
      </c>
      <c r="H4233" t="s">
        <v>3520</v>
      </c>
      <c r="I4233">
        <v>5102</v>
      </c>
      <c r="J4233" s="3">
        <v>84.27</v>
      </c>
      <c r="K4233" s="3">
        <v>48.19</v>
      </c>
      <c r="L4233">
        <v>42.81</v>
      </c>
    </row>
    <row r="4234" spans="1:12">
      <c r="A4234" s="1">
        <v>46041</v>
      </c>
      <c r="B4234" t="s">
        <v>8151</v>
      </c>
      <c r="C4234">
        <v>22</v>
      </c>
      <c r="D4234" t="str">
        <f>VLOOKUP(Tabela26[[#This Row],[EMP]],[1]LOJA!$A:$B,2,0)</f>
        <v>GUARÁ</v>
      </c>
      <c r="E4234">
        <v>93</v>
      </c>
      <c r="F4234" t="s">
        <v>3899</v>
      </c>
      <c r="G4234" t="s">
        <v>3898</v>
      </c>
      <c r="H4234" t="s">
        <v>3520</v>
      </c>
      <c r="I4234">
        <v>5102</v>
      </c>
      <c r="J4234" s="3">
        <v>6.72</v>
      </c>
      <c r="K4234" s="3">
        <v>3.91</v>
      </c>
      <c r="L4234">
        <v>41.82</v>
      </c>
    </row>
    <row r="4235" spans="1:12">
      <c r="A4235" s="1">
        <v>46041</v>
      </c>
      <c r="B4235" t="s">
        <v>8150</v>
      </c>
      <c r="C4235">
        <v>22</v>
      </c>
      <c r="D4235" t="str">
        <f>VLOOKUP(Tabela26[[#This Row],[EMP]],[1]LOJA!$A:$B,2,0)</f>
        <v>GUARÁ</v>
      </c>
      <c r="E4235">
        <v>93</v>
      </c>
      <c r="F4235" t="s">
        <v>3856</v>
      </c>
      <c r="G4235" t="s">
        <v>3855</v>
      </c>
      <c r="H4235" t="s">
        <v>3520</v>
      </c>
      <c r="I4235">
        <v>5405</v>
      </c>
      <c r="J4235" s="3">
        <v>562.74</v>
      </c>
      <c r="K4235" s="3">
        <v>320.66000000000003</v>
      </c>
      <c r="L4235">
        <v>43.02</v>
      </c>
    </row>
    <row r="4236" spans="1:12">
      <c r="A4236" s="1">
        <v>46041</v>
      </c>
      <c r="B4236" t="s">
        <v>8149</v>
      </c>
      <c r="C4236">
        <v>22</v>
      </c>
      <c r="D4236" t="str">
        <f>VLOOKUP(Tabela26[[#This Row],[EMP]],[1]LOJA!$A:$B,2,0)</f>
        <v>GUARÁ</v>
      </c>
      <c r="E4236">
        <v>93</v>
      </c>
      <c r="F4236" t="s">
        <v>4629</v>
      </c>
      <c r="G4236" t="s">
        <v>4628</v>
      </c>
      <c r="H4236" t="s">
        <v>3401</v>
      </c>
      <c r="I4236">
        <v>5405</v>
      </c>
      <c r="J4236" s="3">
        <v>100</v>
      </c>
      <c r="K4236" s="3">
        <v>52.2</v>
      </c>
      <c r="L4236">
        <v>47.8</v>
      </c>
    </row>
    <row r="4237" spans="1:12">
      <c r="A4237" s="1">
        <v>46041</v>
      </c>
      <c r="B4237" t="s">
        <v>8148</v>
      </c>
      <c r="C4237">
        <v>22</v>
      </c>
      <c r="D4237" t="str">
        <f>VLOOKUP(Tabela26[[#This Row],[EMP]],[1]LOJA!$A:$B,2,0)</f>
        <v>GUARÁ</v>
      </c>
      <c r="E4237">
        <v>93</v>
      </c>
      <c r="F4237" t="s">
        <v>3403</v>
      </c>
      <c r="G4237" t="s">
        <v>3402</v>
      </c>
      <c r="H4237" t="s">
        <v>3401</v>
      </c>
      <c r="I4237">
        <v>5405</v>
      </c>
      <c r="J4237" s="3">
        <v>27</v>
      </c>
      <c r="K4237" s="3">
        <v>12.19</v>
      </c>
      <c r="L4237">
        <v>54.85</v>
      </c>
    </row>
    <row r="4238" spans="1:12">
      <c r="A4238" s="1">
        <v>46041</v>
      </c>
      <c r="B4238" t="s">
        <v>8147</v>
      </c>
      <c r="C4238">
        <v>22</v>
      </c>
      <c r="D4238" t="str">
        <f>VLOOKUP(Tabela26[[#This Row],[EMP]],[1]LOJA!$A:$B,2,0)</f>
        <v>GUARÁ</v>
      </c>
      <c r="E4238">
        <v>93</v>
      </c>
      <c r="F4238" t="s">
        <v>3403</v>
      </c>
      <c r="G4238" t="s">
        <v>3402</v>
      </c>
      <c r="H4238" t="s">
        <v>3401</v>
      </c>
      <c r="I4238">
        <v>5405</v>
      </c>
      <c r="J4238" s="3">
        <v>42</v>
      </c>
      <c r="K4238" s="3">
        <v>16.66</v>
      </c>
      <c r="L4238">
        <v>60.33</v>
      </c>
    </row>
    <row r="4239" spans="1:12">
      <c r="A4239" s="1">
        <v>46041</v>
      </c>
      <c r="B4239" t="s">
        <v>8146</v>
      </c>
      <c r="C4239">
        <v>22</v>
      </c>
      <c r="D4239" t="str">
        <f>VLOOKUP(Tabela26[[#This Row],[EMP]],[1]LOJA!$A:$B,2,0)</f>
        <v>GUARÁ</v>
      </c>
      <c r="E4239">
        <v>93</v>
      </c>
      <c r="F4239" t="s">
        <v>3403</v>
      </c>
      <c r="G4239" t="s">
        <v>3402</v>
      </c>
      <c r="H4239" t="s">
        <v>3401</v>
      </c>
      <c r="I4239">
        <v>5405</v>
      </c>
      <c r="J4239" s="3">
        <v>163.4</v>
      </c>
      <c r="K4239" s="3">
        <v>107.31</v>
      </c>
      <c r="L4239">
        <v>34.33</v>
      </c>
    </row>
    <row r="4240" spans="1:12">
      <c r="A4240" s="1">
        <v>46041</v>
      </c>
      <c r="B4240" t="s">
        <v>8145</v>
      </c>
      <c r="C4240">
        <v>22</v>
      </c>
      <c r="D4240" t="str">
        <f>VLOOKUP(Tabela26[[#This Row],[EMP]],[1]LOJA!$A:$B,2,0)</f>
        <v>GUARÁ</v>
      </c>
      <c r="E4240">
        <v>93</v>
      </c>
      <c r="F4240" t="s">
        <v>8144</v>
      </c>
      <c r="G4240" t="s">
        <v>3402</v>
      </c>
      <c r="H4240" t="s">
        <v>3408</v>
      </c>
      <c r="I4240">
        <v>5405</v>
      </c>
      <c r="J4240" s="3">
        <v>76</v>
      </c>
      <c r="K4240" s="3">
        <v>43.72</v>
      </c>
      <c r="L4240">
        <v>42.47</v>
      </c>
    </row>
    <row r="4241" spans="1:12">
      <c r="A4241" s="1">
        <v>46041</v>
      </c>
      <c r="B4241" t="s">
        <v>8143</v>
      </c>
      <c r="C4241">
        <v>22</v>
      </c>
      <c r="D4241" t="str">
        <f>VLOOKUP(Tabela26[[#This Row],[EMP]],[1]LOJA!$A:$B,2,0)</f>
        <v>GUARÁ</v>
      </c>
      <c r="E4241">
        <v>93</v>
      </c>
      <c r="F4241" t="s">
        <v>3403</v>
      </c>
      <c r="G4241" t="s">
        <v>3402</v>
      </c>
      <c r="H4241" t="s">
        <v>3401</v>
      </c>
      <c r="I4241">
        <v>5102</v>
      </c>
      <c r="J4241" s="3">
        <v>16</v>
      </c>
      <c r="K4241" s="3">
        <v>9.14</v>
      </c>
      <c r="L4241">
        <v>42.88</v>
      </c>
    </row>
    <row r="4242" spans="1:12">
      <c r="A4242" s="1">
        <v>46041</v>
      </c>
      <c r="B4242" t="s">
        <v>8142</v>
      </c>
      <c r="C4242">
        <v>22</v>
      </c>
      <c r="D4242" t="str">
        <f>VLOOKUP(Tabela26[[#This Row],[EMP]],[1]LOJA!$A:$B,2,0)</f>
        <v>GUARÁ</v>
      </c>
      <c r="E4242">
        <v>93</v>
      </c>
      <c r="F4242" t="s">
        <v>3403</v>
      </c>
      <c r="G4242" t="s">
        <v>3402</v>
      </c>
      <c r="H4242" t="s">
        <v>3401</v>
      </c>
      <c r="I4242">
        <v>5102</v>
      </c>
      <c r="J4242" s="3">
        <v>33</v>
      </c>
      <c r="K4242" s="3">
        <v>21.83</v>
      </c>
      <c r="L4242">
        <v>33.85</v>
      </c>
    </row>
    <row r="4243" spans="1:12">
      <c r="A4243" s="1">
        <v>46041</v>
      </c>
      <c r="B4243" t="s">
        <v>8141</v>
      </c>
      <c r="C4243">
        <v>22</v>
      </c>
      <c r="D4243" t="str">
        <f>VLOOKUP(Tabela26[[#This Row],[EMP]],[1]LOJA!$A:$B,2,0)</f>
        <v>GUARÁ</v>
      </c>
      <c r="E4243">
        <v>93</v>
      </c>
      <c r="F4243" t="s">
        <v>3403</v>
      </c>
      <c r="G4243" t="s">
        <v>3402</v>
      </c>
      <c r="H4243" t="s">
        <v>3401</v>
      </c>
      <c r="I4243">
        <v>5405</v>
      </c>
      <c r="J4243" s="3">
        <v>75</v>
      </c>
      <c r="K4243" s="3">
        <v>39.229999999999997</v>
      </c>
      <c r="L4243">
        <v>47.69</v>
      </c>
    </row>
    <row r="4244" spans="1:12">
      <c r="A4244" s="1">
        <v>46041</v>
      </c>
      <c r="B4244" t="s">
        <v>8140</v>
      </c>
      <c r="C4244">
        <v>22</v>
      </c>
      <c r="D4244" t="str">
        <f>VLOOKUP(Tabela26[[#This Row],[EMP]],[1]LOJA!$A:$B,2,0)</f>
        <v>GUARÁ</v>
      </c>
      <c r="E4244">
        <v>93</v>
      </c>
      <c r="F4244" t="s">
        <v>5729</v>
      </c>
      <c r="G4244" t="s">
        <v>5728</v>
      </c>
      <c r="H4244" t="s">
        <v>3401</v>
      </c>
      <c r="I4244">
        <v>5102</v>
      </c>
      <c r="J4244" s="3">
        <v>18</v>
      </c>
      <c r="K4244" s="3">
        <v>9.0299999999999994</v>
      </c>
      <c r="L4244">
        <v>49.83</v>
      </c>
    </row>
    <row r="4245" spans="1:12">
      <c r="A4245" s="1">
        <v>46041</v>
      </c>
      <c r="B4245" t="s">
        <v>8139</v>
      </c>
      <c r="C4245">
        <v>22</v>
      </c>
      <c r="D4245" t="str">
        <f>VLOOKUP(Tabela26[[#This Row],[EMP]],[1]LOJA!$A:$B,2,0)</f>
        <v>GUARÁ</v>
      </c>
      <c r="E4245">
        <v>93</v>
      </c>
      <c r="F4245" t="s">
        <v>6769</v>
      </c>
      <c r="G4245" t="s">
        <v>6768</v>
      </c>
      <c r="H4245" t="s">
        <v>3401</v>
      </c>
      <c r="I4245">
        <v>5102</v>
      </c>
      <c r="J4245" s="3">
        <v>115</v>
      </c>
      <c r="K4245" s="3">
        <v>67.2</v>
      </c>
      <c r="L4245">
        <v>41.57</v>
      </c>
    </row>
    <row r="4246" spans="1:12">
      <c r="A4246" s="1">
        <v>46041</v>
      </c>
      <c r="B4246" t="s">
        <v>8138</v>
      </c>
      <c r="C4246">
        <v>22</v>
      </c>
      <c r="D4246" t="str">
        <f>VLOOKUP(Tabela26[[#This Row],[EMP]],[1]LOJA!$A:$B,2,0)</f>
        <v>GUARÁ</v>
      </c>
      <c r="E4246">
        <v>93</v>
      </c>
      <c r="F4246" t="s">
        <v>8137</v>
      </c>
      <c r="G4246" t="s">
        <v>3402</v>
      </c>
      <c r="H4246" t="s">
        <v>3401</v>
      </c>
      <c r="I4246">
        <v>5405</v>
      </c>
      <c r="J4246" s="3">
        <v>103</v>
      </c>
      <c r="K4246" s="3">
        <v>54.77</v>
      </c>
      <c r="L4246">
        <v>46.83</v>
      </c>
    </row>
    <row r="4247" spans="1:12">
      <c r="A4247" s="1">
        <v>46041</v>
      </c>
      <c r="B4247" t="s">
        <v>8136</v>
      </c>
      <c r="C4247">
        <v>22</v>
      </c>
      <c r="D4247" t="str">
        <f>VLOOKUP(Tabela26[[#This Row],[EMP]],[1]LOJA!$A:$B,2,0)</f>
        <v>GUARÁ</v>
      </c>
      <c r="E4247">
        <v>93</v>
      </c>
      <c r="F4247" t="s">
        <v>3403</v>
      </c>
      <c r="G4247" t="s">
        <v>3402</v>
      </c>
      <c r="H4247" t="s">
        <v>3401</v>
      </c>
      <c r="I4247">
        <v>5102</v>
      </c>
      <c r="J4247" s="3">
        <v>9</v>
      </c>
      <c r="K4247" s="3">
        <v>4.16</v>
      </c>
      <c r="L4247">
        <v>53.78</v>
      </c>
    </row>
    <row r="4248" spans="1:12">
      <c r="A4248" s="1">
        <v>46041</v>
      </c>
      <c r="B4248" t="s">
        <v>8135</v>
      </c>
      <c r="C4248">
        <v>22</v>
      </c>
      <c r="D4248" t="str">
        <f>VLOOKUP(Tabela26[[#This Row],[EMP]],[1]LOJA!$A:$B,2,0)</f>
        <v>GUARÁ</v>
      </c>
      <c r="E4248">
        <v>93</v>
      </c>
      <c r="F4248" t="s">
        <v>3403</v>
      </c>
      <c r="G4248" t="s">
        <v>3402</v>
      </c>
      <c r="H4248" t="s">
        <v>3401</v>
      </c>
      <c r="I4248">
        <v>5102</v>
      </c>
      <c r="J4248" s="3">
        <v>17</v>
      </c>
      <c r="K4248" s="3">
        <v>10.46</v>
      </c>
      <c r="L4248">
        <v>38.47</v>
      </c>
    </row>
    <row r="4249" spans="1:12">
      <c r="A4249" s="1">
        <v>46041</v>
      </c>
      <c r="B4249" t="s">
        <v>8134</v>
      </c>
      <c r="C4249">
        <v>22</v>
      </c>
      <c r="D4249" t="str">
        <f>VLOOKUP(Tabela26[[#This Row],[EMP]],[1]LOJA!$A:$B,2,0)</f>
        <v>GUARÁ</v>
      </c>
      <c r="E4249">
        <v>93</v>
      </c>
      <c r="F4249" t="s">
        <v>3403</v>
      </c>
      <c r="G4249" t="s">
        <v>3402</v>
      </c>
      <c r="H4249" t="s">
        <v>3401</v>
      </c>
      <c r="I4249">
        <v>5102</v>
      </c>
      <c r="J4249" s="3">
        <v>17</v>
      </c>
      <c r="K4249" s="3">
        <v>9.17</v>
      </c>
      <c r="L4249">
        <v>46.06</v>
      </c>
    </row>
    <row r="4250" spans="1:12">
      <c r="A4250" s="1">
        <v>46041</v>
      </c>
      <c r="B4250" t="s">
        <v>8133</v>
      </c>
      <c r="C4250">
        <v>22</v>
      </c>
      <c r="D4250" t="str">
        <f>VLOOKUP(Tabela26[[#This Row],[EMP]],[1]LOJA!$A:$B,2,0)</f>
        <v>GUARÁ</v>
      </c>
      <c r="E4250">
        <v>93</v>
      </c>
      <c r="F4250" t="s">
        <v>8132</v>
      </c>
      <c r="G4250" t="s">
        <v>3402</v>
      </c>
      <c r="H4250" t="s">
        <v>3408</v>
      </c>
      <c r="I4250">
        <v>5405</v>
      </c>
      <c r="J4250" s="3">
        <v>264.77</v>
      </c>
      <c r="K4250" s="3">
        <v>137.77000000000001</v>
      </c>
      <c r="L4250">
        <v>47.97</v>
      </c>
    </row>
    <row r="4251" spans="1:12">
      <c r="A4251" s="1">
        <v>46041</v>
      </c>
      <c r="B4251" t="s">
        <v>8131</v>
      </c>
      <c r="C4251">
        <v>22</v>
      </c>
      <c r="D4251" t="str">
        <f>VLOOKUP(Tabela26[[#This Row],[EMP]],[1]LOJA!$A:$B,2,0)</f>
        <v>GUARÁ</v>
      </c>
      <c r="E4251">
        <v>93</v>
      </c>
      <c r="F4251" t="s">
        <v>3866</v>
      </c>
      <c r="G4251" t="s">
        <v>3865</v>
      </c>
      <c r="H4251" t="s">
        <v>3401</v>
      </c>
      <c r="I4251">
        <v>5405</v>
      </c>
      <c r="J4251" s="3">
        <v>79</v>
      </c>
      <c r="K4251" s="3">
        <v>41.25</v>
      </c>
      <c r="L4251">
        <v>47.78</v>
      </c>
    </row>
    <row r="4252" spans="1:12">
      <c r="A4252" s="1">
        <v>46041</v>
      </c>
      <c r="B4252" t="s">
        <v>8130</v>
      </c>
      <c r="C4252">
        <v>22</v>
      </c>
      <c r="D4252" t="str">
        <f>VLOOKUP(Tabela26[[#This Row],[EMP]],[1]LOJA!$A:$B,2,0)</f>
        <v>GUARÁ</v>
      </c>
      <c r="E4252">
        <v>16</v>
      </c>
      <c r="F4252" t="s">
        <v>3403</v>
      </c>
      <c r="G4252" t="s">
        <v>3402</v>
      </c>
      <c r="H4252" t="s">
        <v>3401</v>
      </c>
      <c r="I4252">
        <v>5102</v>
      </c>
      <c r="J4252" s="3">
        <v>50.91</v>
      </c>
      <c r="K4252" s="3">
        <v>27.05</v>
      </c>
      <c r="L4252">
        <v>46.87</v>
      </c>
    </row>
    <row r="4253" spans="1:12">
      <c r="A4253" s="1">
        <v>46041</v>
      </c>
      <c r="B4253" t="s">
        <v>8129</v>
      </c>
      <c r="C4253">
        <v>22</v>
      </c>
      <c r="D4253" t="str">
        <f>VLOOKUP(Tabela26[[#This Row],[EMP]],[1]LOJA!$A:$B,2,0)</f>
        <v>GUARÁ</v>
      </c>
      <c r="E4253">
        <v>93</v>
      </c>
      <c r="F4253" t="s">
        <v>3983</v>
      </c>
      <c r="G4253" t="s">
        <v>3982</v>
      </c>
      <c r="H4253" t="s">
        <v>3408</v>
      </c>
      <c r="I4253">
        <v>5405</v>
      </c>
      <c r="J4253" s="3">
        <v>625</v>
      </c>
      <c r="K4253" s="3">
        <v>349.42</v>
      </c>
      <c r="L4253">
        <v>44.09</v>
      </c>
    </row>
    <row r="4254" spans="1:12">
      <c r="A4254" s="1">
        <v>46041</v>
      </c>
      <c r="B4254" t="s">
        <v>8128</v>
      </c>
      <c r="C4254">
        <v>22</v>
      </c>
      <c r="D4254" t="str">
        <f>VLOOKUP(Tabela26[[#This Row],[EMP]],[1]LOJA!$A:$B,2,0)</f>
        <v>GUARÁ</v>
      </c>
      <c r="E4254">
        <v>16</v>
      </c>
      <c r="F4254" t="s">
        <v>3403</v>
      </c>
      <c r="G4254" t="s">
        <v>3402</v>
      </c>
      <c r="H4254" t="s">
        <v>3401</v>
      </c>
      <c r="I4254">
        <v>5102</v>
      </c>
      <c r="J4254" s="3">
        <v>22</v>
      </c>
      <c r="K4254" s="3">
        <v>11.63</v>
      </c>
      <c r="L4254">
        <v>47.14</v>
      </c>
    </row>
    <row r="4255" spans="1:12">
      <c r="A4255" s="1">
        <v>46041</v>
      </c>
      <c r="B4255" t="s">
        <v>8127</v>
      </c>
      <c r="C4255">
        <v>22</v>
      </c>
      <c r="D4255" t="str">
        <f>VLOOKUP(Tabela26[[#This Row],[EMP]],[1]LOJA!$A:$B,2,0)</f>
        <v>GUARÁ</v>
      </c>
      <c r="E4255">
        <v>16</v>
      </c>
      <c r="F4255" t="s">
        <v>3899</v>
      </c>
      <c r="G4255" t="s">
        <v>3898</v>
      </c>
      <c r="H4255" t="s">
        <v>3520</v>
      </c>
      <c r="I4255">
        <v>5405</v>
      </c>
      <c r="J4255" s="3">
        <v>200</v>
      </c>
      <c r="K4255" s="3">
        <v>102.8</v>
      </c>
      <c r="L4255">
        <v>48.6</v>
      </c>
    </row>
    <row r="4256" spans="1:12">
      <c r="A4256" s="1">
        <v>46041</v>
      </c>
      <c r="B4256" t="s">
        <v>8126</v>
      </c>
      <c r="C4256">
        <v>22</v>
      </c>
      <c r="D4256" t="str">
        <f>VLOOKUP(Tabela26[[#This Row],[EMP]],[1]LOJA!$A:$B,2,0)</f>
        <v>GUARÁ</v>
      </c>
      <c r="E4256">
        <v>16</v>
      </c>
      <c r="F4256" t="s">
        <v>3403</v>
      </c>
      <c r="G4256" t="s">
        <v>3402</v>
      </c>
      <c r="H4256" t="s">
        <v>3401</v>
      </c>
      <c r="I4256">
        <v>5102</v>
      </c>
      <c r="J4256" s="3">
        <v>26</v>
      </c>
      <c r="K4256" s="3">
        <v>15.42</v>
      </c>
      <c r="L4256">
        <v>40.69</v>
      </c>
    </row>
    <row r="4257" spans="1:12">
      <c r="A4257" s="1">
        <v>46041</v>
      </c>
      <c r="B4257" t="s">
        <v>8125</v>
      </c>
      <c r="C4257">
        <v>22</v>
      </c>
      <c r="D4257" t="str">
        <f>VLOOKUP(Tabela26[[#This Row],[EMP]],[1]LOJA!$A:$B,2,0)</f>
        <v>GUARÁ</v>
      </c>
      <c r="E4257">
        <v>16</v>
      </c>
      <c r="F4257" t="s">
        <v>3870</v>
      </c>
      <c r="G4257" t="s">
        <v>3869</v>
      </c>
      <c r="H4257" t="s">
        <v>3401</v>
      </c>
      <c r="I4257">
        <v>5405</v>
      </c>
      <c r="J4257" s="3">
        <v>62.9</v>
      </c>
      <c r="K4257" s="3">
        <v>32.619999999999997</v>
      </c>
      <c r="L4257">
        <v>48.14</v>
      </c>
    </row>
    <row r="4258" spans="1:12">
      <c r="A4258" s="1">
        <v>46041</v>
      </c>
      <c r="B4258" t="s">
        <v>8124</v>
      </c>
      <c r="C4258">
        <v>22</v>
      </c>
      <c r="D4258" t="str">
        <f>VLOOKUP(Tabela26[[#This Row],[EMP]],[1]LOJA!$A:$B,2,0)</f>
        <v>GUARÁ</v>
      </c>
      <c r="E4258">
        <v>16</v>
      </c>
      <c r="F4258" t="s">
        <v>3403</v>
      </c>
      <c r="G4258" t="s">
        <v>3402</v>
      </c>
      <c r="H4258" t="s">
        <v>3401</v>
      </c>
      <c r="I4258">
        <v>5102</v>
      </c>
      <c r="J4258" s="3">
        <v>43</v>
      </c>
      <c r="K4258" s="3">
        <v>22.9</v>
      </c>
      <c r="L4258">
        <v>46.74</v>
      </c>
    </row>
    <row r="4259" spans="1:12">
      <c r="A4259" s="1">
        <v>46041</v>
      </c>
      <c r="B4259" t="s">
        <v>8123</v>
      </c>
      <c r="C4259">
        <v>4</v>
      </c>
      <c r="D4259" t="str">
        <f>VLOOKUP(Tabela26[[#This Row],[EMP]],[1]LOJA!$A:$B,2,0)</f>
        <v>ADE</v>
      </c>
      <c r="E4259">
        <v>132</v>
      </c>
      <c r="F4259" t="s">
        <v>4565</v>
      </c>
      <c r="G4259" t="s">
        <v>4564</v>
      </c>
      <c r="H4259" t="s">
        <v>3408</v>
      </c>
      <c r="I4259">
        <v>5405</v>
      </c>
      <c r="J4259" s="3">
        <v>201</v>
      </c>
      <c r="K4259" s="3">
        <v>114.76</v>
      </c>
      <c r="L4259">
        <v>42.91</v>
      </c>
    </row>
    <row r="4260" spans="1:12">
      <c r="A4260" s="1">
        <v>46041</v>
      </c>
      <c r="B4260" t="s">
        <v>8122</v>
      </c>
      <c r="C4260">
        <v>4</v>
      </c>
      <c r="D4260" t="str">
        <f>VLOOKUP(Tabela26[[#This Row],[EMP]],[1]LOJA!$A:$B,2,0)</f>
        <v>ADE</v>
      </c>
      <c r="E4260">
        <v>109</v>
      </c>
      <c r="F4260" t="s">
        <v>3673</v>
      </c>
      <c r="G4260" t="s">
        <v>3672</v>
      </c>
      <c r="H4260" t="s">
        <v>3408</v>
      </c>
      <c r="I4260">
        <v>5102</v>
      </c>
      <c r="J4260" s="3">
        <v>95.2</v>
      </c>
      <c r="K4260" s="3">
        <v>64.260000000000005</v>
      </c>
      <c r="L4260">
        <v>32.5</v>
      </c>
    </row>
    <row r="4261" spans="1:12">
      <c r="A4261" s="1">
        <v>46041</v>
      </c>
      <c r="B4261" t="s">
        <v>8121</v>
      </c>
      <c r="C4261">
        <v>4</v>
      </c>
      <c r="D4261" t="str">
        <f>VLOOKUP(Tabela26[[#This Row],[EMP]],[1]LOJA!$A:$B,2,0)</f>
        <v>ADE</v>
      </c>
      <c r="E4261">
        <v>132</v>
      </c>
      <c r="F4261" t="s">
        <v>4558</v>
      </c>
      <c r="G4261" t="s">
        <v>4557</v>
      </c>
      <c r="H4261" t="s">
        <v>7924</v>
      </c>
      <c r="I4261">
        <v>5405</v>
      </c>
      <c r="J4261" s="3">
        <v>269.04000000000002</v>
      </c>
      <c r="K4261" s="3">
        <v>146.6</v>
      </c>
      <c r="L4261">
        <v>45.51</v>
      </c>
    </row>
    <row r="4262" spans="1:12">
      <c r="A4262" s="1">
        <v>46041</v>
      </c>
      <c r="B4262" t="s">
        <v>8120</v>
      </c>
      <c r="C4262">
        <v>4</v>
      </c>
      <c r="D4262" t="str">
        <f>VLOOKUP(Tabela26[[#This Row],[EMP]],[1]LOJA!$A:$B,2,0)</f>
        <v>ADE</v>
      </c>
      <c r="E4262">
        <v>132</v>
      </c>
      <c r="F4262" t="s">
        <v>4558</v>
      </c>
      <c r="G4262" t="s">
        <v>4557</v>
      </c>
      <c r="H4262" t="s">
        <v>7924</v>
      </c>
      <c r="I4262">
        <v>5405</v>
      </c>
      <c r="J4262" s="3">
        <v>518.25</v>
      </c>
      <c r="K4262" s="3">
        <v>309.52</v>
      </c>
      <c r="L4262">
        <v>40.28</v>
      </c>
    </row>
    <row r="4263" spans="1:12">
      <c r="A4263" s="1">
        <v>46041</v>
      </c>
      <c r="B4263" t="s">
        <v>8119</v>
      </c>
      <c r="C4263">
        <v>4</v>
      </c>
      <c r="D4263" t="str">
        <f>VLOOKUP(Tabela26[[#This Row],[EMP]],[1]LOJA!$A:$B,2,0)</f>
        <v>ADE</v>
      </c>
      <c r="E4263">
        <v>132</v>
      </c>
      <c r="F4263" t="s">
        <v>3403</v>
      </c>
      <c r="G4263" t="s">
        <v>3402</v>
      </c>
      <c r="H4263" t="s">
        <v>3401</v>
      </c>
      <c r="I4263">
        <v>5102</v>
      </c>
      <c r="J4263" s="3">
        <v>51.7</v>
      </c>
      <c r="K4263" s="3">
        <v>30.77</v>
      </c>
      <c r="L4263">
        <v>40.479999999999997</v>
      </c>
    </row>
    <row r="4264" spans="1:12">
      <c r="A4264" s="1">
        <v>46041</v>
      </c>
      <c r="B4264" t="s">
        <v>8118</v>
      </c>
      <c r="C4264">
        <v>4</v>
      </c>
      <c r="D4264" t="str">
        <f>VLOOKUP(Tabela26[[#This Row],[EMP]],[1]LOJA!$A:$B,2,0)</f>
        <v>ADE</v>
      </c>
      <c r="E4264">
        <v>132</v>
      </c>
      <c r="F4264" t="s">
        <v>3403</v>
      </c>
      <c r="G4264" t="s">
        <v>3402</v>
      </c>
      <c r="H4264" t="s">
        <v>3401</v>
      </c>
      <c r="I4264">
        <v>5102</v>
      </c>
      <c r="J4264" s="3">
        <v>10</v>
      </c>
      <c r="K4264" s="3">
        <v>3.9</v>
      </c>
      <c r="L4264">
        <v>61</v>
      </c>
    </row>
    <row r="4265" spans="1:12">
      <c r="A4265" s="1">
        <v>46041</v>
      </c>
      <c r="B4265" t="s">
        <v>8117</v>
      </c>
      <c r="C4265">
        <v>4</v>
      </c>
      <c r="D4265" t="str">
        <f>VLOOKUP(Tabela26[[#This Row],[EMP]],[1]LOJA!$A:$B,2,0)</f>
        <v>ADE</v>
      </c>
      <c r="E4265">
        <v>109</v>
      </c>
      <c r="F4265" t="s">
        <v>5691</v>
      </c>
      <c r="G4265" t="s">
        <v>3402</v>
      </c>
      <c r="H4265" t="s">
        <v>3408</v>
      </c>
      <c r="I4265">
        <v>5102</v>
      </c>
      <c r="J4265" s="3">
        <v>80</v>
      </c>
      <c r="K4265" s="3">
        <v>49.3</v>
      </c>
      <c r="L4265">
        <v>38.380000000000003</v>
      </c>
    </row>
    <row r="4266" spans="1:12">
      <c r="A4266" s="1">
        <v>46041</v>
      </c>
      <c r="B4266" t="s">
        <v>8116</v>
      </c>
      <c r="C4266">
        <v>4</v>
      </c>
      <c r="D4266" t="str">
        <f>VLOOKUP(Tabela26[[#This Row],[EMP]],[1]LOJA!$A:$B,2,0)</f>
        <v>ADE</v>
      </c>
      <c r="E4266">
        <v>132</v>
      </c>
      <c r="F4266" t="s">
        <v>5165</v>
      </c>
      <c r="G4266" t="s">
        <v>5164</v>
      </c>
      <c r="H4266" t="s">
        <v>3408</v>
      </c>
      <c r="I4266">
        <v>5405</v>
      </c>
      <c r="J4266" s="3">
        <v>204.04</v>
      </c>
      <c r="K4266" s="3">
        <v>110.58</v>
      </c>
      <c r="L4266">
        <v>45.8</v>
      </c>
    </row>
    <row r="4267" spans="1:12">
      <c r="A4267" s="1">
        <v>46041</v>
      </c>
      <c r="B4267" t="s">
        <v>8115</v>
      </c>
      <c r="C4267">
        <v>4</v>
      </c>
      <c r="D4267" t="str">
        <f>VLOOKUP(Tabela26[[#This Row],[EMP]],[1]LOJA!$A:$B,2,0)</f>
        <v>ADE</v>
      </c>
      <c r="E4267">
        <v>132</v>
      </c>
      <c r="F4267" t="s">
        <v>4558</v>
      </c>
      <c r="G4267" t="s">
        <v>4557</v>
      </c>
      <c r="H4267" t="s">
        <v>7924</v>
      </c>
      <c r="I4267">
        <v>5405</v>
      </c>
      <c r="J4267" s="3">
        <v>54.99</v>
      </c>
      <c r="K4267" s="3">
        <v>24.44</v>
      </c>
      <c r="L4267">
        <v>55.56</v>
      </c>
    </row>
    <row r="4268" spans="1:12">
      <c r="A4268" s="1">
        <v>46041</v>
      </c>
      <c r="B4268" t="s">
        <v>8114</v>
      </c>
      <c r="C4268">
        <v>4</v>
      </c>
      <c r="D4268" t="str">
        <f>VLOOKUP(Tabela26[[#This Row],[EMP]],[1]LOJA!$A:$B,2,0)</f>
        <v>ADE</v>
      </c>
      <c r="E4268">
        <v>132</v>
      </c>
      <c r="F4268" t="s">
        <v>4565</v>
      </c>
      <c r="G4268" t="s">
        <v>4564</v>
      </c>
      <c r="H4268" t="s">
        <v>3408</v>
      </c>
      <c r="I4268">
        <v>5102</v>
      </c>
      <c r="J4268" s="3">
        <v>21.9</v>
      </c>
      <c r="K4268" s="3">
        <v>12.51</v>
      </c>
      <c r="L4268">
        <v>42.88</v>
      </c>
    </row>
    <row r="4269" spans="1:12">
      <c r="A4269" s="1">
        <v>46041</v>
      </c>
      <c r="B4269" t="s">
        <v>8113</v>
      </c>
      <c r="C4269">
        <v>4</v>
      </c>
      <c r="D4269" t="str">
        <f>VLOOKUP(Tabela26[[#This Row],[EMP]],[1]LOJA!$A:$B,2,0)</f>
        <v>ADE</v>
      </c>
      <c r="E4269">
        <v>132</v>
      </c>
      <c r="F4269" t="s">
        <v>3403</v>
      </c>
      <c r="G4269" t="s">
        <v>3402</v>
      </c>
      <c r="H4269" t="s">
        <v>3401</v>
      </c>
      <c r="I4269">
        <v>5102</v>
      </c>
      <c r="J4269" s="3">
        <v>38</v>
      </c>
      <c r="K4269" s="3">
        <v>15.86</v>
      </c>
      <c r="L4269">
        <v>58.26</v>
      </c>
    </row>
    <row r="4270" spans="1:12">
      <c r="A4270" s="1">
        <v>46041</v>
      </c>
      <c r="B4270" t="s">
        <v>8112</v>
      </c>
      <c r="C4270">
        <v>4</v>
      </c>
      <c r="D4270" t="str">
        <f>VLOOKUP(Tabela26[[#This Row],[EMP]],[1]LOJA!$A:$B,2,0)</f>
        <v>ADE</v>
      </c>
      <c r="E4270">
        <v>132</v>
      </c>
      <c r="F4270" t="s">
        <v>6741</v>
      </c>
      <c r="G4270" t="s">
        <v>3402</v>
      </c>
      <c r="H4270" t="s">
        <v>3401</v>
      </c>
      <c r="I4270">
        <v>5102</v>
      </c>
      <c r="J4270" s="3">
        <v>15</v>
      </c>
      <c r="K4270" s="3">
        <v>7.32</v>
      </c>
      <c r="L4270">
        <v>51.2</v>
      </c>
    </row>
    <row r="4271" spans="1:12">
      <c r="A4271" s="1">
        <v>46041</v>
      </c>
      <c r="B4271" t="s">
        <v>8111</v>
      </c>
      <c r="C4271">
        <v>4</v>
      </c>
      <c r="D4271" t="str">
        <f>VLOOKUP(Tabela26[[#This Row],[EMP]],[1]LOJA!$A:$B,2,0)</f>
        <v>ADE</v>
      </c>
      <c r="E4271">
        <v>132</v>
      </c>
      <c r="F4271" t="s">
        <v>4558</v>
      </c>
      <c r="G4271" t="s">
        <v>4557</v>
      </c>
      <c r="H4271" t="s">
        <v>7924</v>
      </c>
      <c r="I4271">
        <v>5405</v>
      </c>
      <c r="J4271" s="3">
        <v>79.900000000000006</v>
      </c>
      <c r="K4271" s="3">
        <v>36.96</v>
      </c>
      <c r="L4271">
        <v>53.74</v>
      </c>
    </row>
    <row r="4272" spans="1:12">
      <c r="A4272" s="1">
        <v>46041</v>
      </c>
      <c r="B4272" t="s">
        <v>8110</v>
      </c>
      <c r="C4272">
        <v>4</v>
      </c>
      <c r="D4272" t="str">
        <f>VLOOKUP(Tabela26[[#This Row],[EMP]],[1]LOJA!$A:$B,2,0)</f>
        <v>ADE</v>
      </c>
      <c r="E4272">
        <v>132</v>
      </c>
      <c r="F4272" t="s">
        <v>4565</v>
      </c>
      <c r="G4272" t="s">
        <v>4564</v>
      </c>
      <c r="H4272" t="s">
        <v>3408</v>
      </c>
      <c r="I4272">
        <v>5405</v>
      </c>
      <c r="J4272" s="3">
        <v>149</v>
      </c>
      <c r="K4272" s="3">
        <v>80.33</v>
      </c>
      <c r="L4272">
        <v>46.09</v>
      </c>
    </row>
    <row r="4273" spans="1:12">
      <c r="A4273" s="1">
        <v>46041</v>
      </c>
      <c r="B4273" t="s">
        <v>8109</v>
      </c>
      <c r="C4273">
        <v>4</v>
      </c>
      <c r="D4273" t="str">
        <f>VLOOKUP(Tabela26[[#This Row],[EMP]],[1]LOJA!$A:$B,2,0)</f>
        <v>ADE</v>
      </c>
      <c r="E4273">
        <v>132</v>
      </c>
      <c r="F4273" t="s">
        <v>7697</v>
      </c>
      <c r="G4273" t="s">
        <v>7696</v>
      </c>
      <c r="H4273" t="s">
        <v>3408</v>
      </c>
      <c r="I4273">
        <v>5405</v>
      </c>
      <c r="J4273" s="3">
        <v>736.8</v>
      </c>
      <c r="K4273" s="3">
        <v>433.32</v>
      </c>
      <c r="L4273">
        <v>41.19</v>
      </c>
    </row>
    <row r="4274" spans="1:12">
      <c r="A4274" s="1">
        <v>46041</v>
      </c>
      <c r="B4274" t="s">
        <v>8108</v>
      </c>
      <c r="C4274">
        <v>16</v>
      </c>
      <c r="D4274" t="str">
        <f>VLOOKUP(Tabela26[[#This Row],[EMP]],[1]LOJA!$A:$B,2,0)</f>
        <v>AG LINDAS</v>
      </c>
      <c r="E4274">
        <v>240</v>
      </c>
      <c r="F4274" t="s">
        <v>8107</v>
      </c>
      <c r="G4274" t="s">
        <v>3437</v>
      </c>
      <c r="H4274" t="s">
        <v>3401</v>
      </c>
      <c r="I4274">
        <v>5102</v>
      </c>
      <c r="J4274" s="3">
        <v>205.7</v>
      </c>
      <c r="K4274" s="3">
        <v>118</v>
      </c>
      <c r="L4274">
        <v>42.63</v>
      </c>
    </row>
    <row r="4275" spans="1:12">
      <c r="A4275" s="1">
        <v>46041</v>
      </c>
      <c r="B4275" t="s">
        <v>8106</v>
      </c>
      <c r="C4275">
        <v>16</v>
      </c>
      <c r="D4275" t="str">
        <f>VLOOKUP(Tabela26[[#This Row],[EMP]],[1]LOJA!$A:$B,2,0)</f>
        <v>AG LINDAS</v>
      </c>
      <c r="E4275">
        <v>240</v>
      </c>
      <c r="F4275" t="s">
        <v>8105</v>
      </c>
      <c r="G4275" t="s">
        <v>3437</v>
      </c>
      <c r="H4275" t="s">
        <v>3401</v>
      </c>
      <c r="I4275">
        <v>5102</v>
      </c>
      <c r="J4275" s="3">
        <v>30</v>
      </c>
      <c r="K4275" s="3">
        <v>18.52</v>
      </c>
      <c r="L4275">
        <v>38.270000000000003</v>
      </c>
    </row>
    <row r="4276" spans="1:12">
      <c r="A4276" s="1">
        <v>46041</v>
      </c>
      <c r="B4276" t="s">
        <v>8104</v>
      </c>
      <c r="C4276">
        <v>16</v>
      </c>
      <c r="D4276" t="str">
        <f>VLOOKUP(Tabela26[[#This Row],[EMP]],[1]LOJA!$A:$B,2,0)</f>
        <v>AG LINDAS</v>
      </c>
      <c r="E4276">
        <v>240</v>
      </c>
      <c r="F4276" t="s">
        <v>4525</v>
      </c>
      <c r="G4276" t="s">
        <v>4524</v>
      </c>
      <c r="H4276" t="s">
        <v>3408</v>
      </c>
      <c r="I4276">
        <v>5102</v>
      </c>
      <c r="J4276" s="3">
        <v>47.8</v>
      </c>
      <c r="K4276" s="3">
        <v>18.12</v>
      </c>
      <c r="L4276">
        <v>62.09</v>
      </c>
    </row>
    <row r="4277" spans="1:12">
      <c r="A4277" s="1">
        <v>46041</v>
      </c>
      <c r="B4277" t="s">
        <v>8103</v>
      </c>
      <c r="C4277">
        <v>16</v>
      </c>
      <c r="D4277" t="str">
        <f>VLOOKUP(Tabela26[[#This Row],[EMP]],[1]LOJA!$A:$B,2,0)</f>
        <v>AG LINDAS</v>
      </c>
      <c r="E4277">
        <v>240</v>
      </c>
      <c r="F4277" t="s">
        <v>3780</v>
      </c>
      <c r="G4277" t="s">
        <v>3437</v>
      </c>
      <c r="H4277" t="s">
        <v>3401</v>
      </c>
      <c r="I4277">
        <v>5102</v>
      </c>
      <c r="J4277" s="3">
        <v>26.8</v>
      </c>
      <c r="K4277" s="3">
        <v>13.92</v>
      </c>
      <c r="L4277">
        <v>48.06</v>
      </c>
    </row>
    <row r="4278" spans="1:12">
      <c r="A4278" s="1">
        <v>46041</v>
      </c>
      <c r="B4278" t="s">
        <v>8102</v>
      </c>
      <c r="C4278">
        <v>16</v>
      </c>
      <c r="D4278" t="str">
        <f>VLOOKUP(Tabela26[[#This Row],[EMP]],[1]LOJA!$A:$B,2,0)</f>
        <v>AG LINDAS</v>
      </c>
      <c r="E4278">
        <v>240</v>
      </c>
      <c r="F4278" t="s">
        <v>8101</v>
      </c>
      <c r="G4278" t="s">
        <v>3437</v>
      </c>
      <c r="H4278" t="s">
        <v>3401</v>
      </c>
      <c r="I4278">
        <v>5102</v>
      </c>
      <c r="J4278" s="3">
        <v>31</v>
      </c>
      <c r="K4278" s="3">
        <v>18.22</v>
      </c>
      <c r="L4278">
        <v>41.23</v>
      </c>
    </row>
    <row r="4279" spans="1:12">
      <c r="A4279" s="1">
        <v>46041</v>
      </c>
      <c r="B4279" t="s">
        <v>8100</v>
      </c>
      <c r="C4279">
        <v>16</v>
      </c>
      <c r="D4279" t="str">
        <f>VLOOKUP(Tabela26[[#This Row],[EMP]],[1]LOJA!$A:$B,2,0)</f>
        <v>AG LINDAS</v>
      </c>
      <c r="E4279">
        <v>240</v>
      </c>
      <c r="F4279" t="s">
        <v>8099</v>
      </c>
      <c r="G4279" t="s">
        <v>8098</v>
      </c>
      <c r="H4279" t="s">
        <v>3401</v>
      </c>
      <c r="I4279">
        <v>5405</v>
      </c>
      <c r="J4279" s="3">
        <v>65</v>
      </c>
      <c r="K4279" s="3">
        <v>34.29</v>
      </c>
      <c r="L4279">
        <v>47.25</v>
      </c>
    </row>
    <row r="4280" spans="1:12">
      <c r="A4280" s="1">
        <v>46041</v>
      </c>
      <c r="B4280" t="s">
        <v>8097</v>
      </c>
      <c r="C4280">
        <v>16</v>
      </c>
      <c r="D4280" t="str">
        <f>VLOOKUP(Tabela26[[#This Row],[EMP]],[1]LOJA!$A:$B,2,0)</f>
        <v>AG LINDAS</v>
      </c>
      <c r="E4280">
        <v>240</v>
      </c>
      <c r="F4280" t="s">
        <v>8096</v>
      </c>
      <c r="G4280" t="s">
        <v>3437</v>
      </c>
      <c r="H4280" t="s">
        <v>3401</v>
      </c>
      <c r="I4280">
        <v>5405</v>
      </c>
      <c r="J4280" s="3">
        <v>214.5</v>
      </c>
      <c r="K4280" s="3">
        <v>112.01</v>
      </c>
      <c r="L4280">
        <v>47.78</v>
      </c>
    </row>
    <row r="4281" spans="1:12">
      <c r="A4281" s="1">
        <v>46041</v>
      </c>
      <c r="B4281" t="s">
        <v>8095</v>
      </c>
      <c r="C4281">
        <v>16</v>
      </c>
      <c r="D4281" t="str">
        <f>VLOOKUP(Tabela26[[#This Row],[EMP]],[1]LOJA!$A:$B,2,0)</f>
        <v>AG LINDAS</v>
      </c>
      <c r="E4281">
        <v>240</v>
      </c>
      <c r="F4281" t="s">
        <v>3780</v>
      </c>
      <c r="G4281" t="s">
        <v>3437</v>
      </c>
      <c r="H4281" t="s">
        <v>3401</v>
      </c>
      <c r="I4281">
        <v>5102</v>
      </c>
      <c r="J4281" s="3">
        <v>9</v>
      </c>
      <c r="K4281" s="3">
        <v>4.16</v>
      </c>
      <c r="L4281">
        <v>53.78</v>
      </c>
    </row>
    <row r="4282" spans="1:12">
      <c r="A4282" s="1">
        <v>46041</v>
      </c>
      <c r="B4282" t="s">
        <v>8094</v>
      </c>
      <c r="C4282">
        <v>16</v>
      </c>
      <c r="D4282" t="str">
        <f>VLOOKUP(Tabela26[[#This Row],[EMP]],[1]LOJA!$A:$B,2,0)</f>
        <v>AG LINDAS</v>
      </c>
      <c r="E4282">
        <v>240</v>
      </c>
      <c r="F4282" t="s">
        <v>4511</v>
      </c>
      <c r="G4282" t="s">
        <v>4510</v>
      </c>
      <c r="H4282" t="s">
        <v>3401</v>
      </c>
      <c r="I4282">
        <v>5102</v>
      </c>
      <c r="J4282" s="3">
        <v>59.9</v>
      </c>
      <c r="K4282" s="3">
        <v>23.58</v>
      </c>
      <c r="L4282">
        <v>60.63</v>
      </c>
    </row>
    <row r="4283" spans="1:12">
      <c r="A4283" s="1">
        <v>46041</v>
      </c>
      <c r="B4283" t="s">
        <v>8093</v>
      </c>
      <c r="C4283">
        <v>16</v>
      </c>
      <c r="D4283" t="str">
        <f>VLOOKUP(Tabela26[[#This Row],[EMP]],[1]LOJA!$A:$B,2,0)</f>
        <v>AG LINDAS</v>
      </c>
      <c r="E4283">
        <v>240</v>
      </c>
      <c r="F4283" t="s">
        <v>5124</v>
      </c>
      <c r="G4283" t="s">
        <v>5123</v>
      </c>
      <c r="H4283" t="s">
        <v>3401</v>
      </c>
      <c r="I4283">
        <v>5102</v>
      </c>
      <c r="J4283" s="3">
        <v>61.2</v>
      </c>
      <c r="K4283" s="3">
        <v>35.700000000000003</v>
      </c>
      <c r="L4283">
        <v>41.67</v>
      </c>
    </row>
    <row r="4284" spans="1:12">
      <c r="A4284" s="1">
        <v>46041</v>
      </c>
      <c r="B4284" t="s">
        <v>8092</v>
      </c>
      <c r="C4284">
        <v>16</v>
      </c>
      <c r="D4284" t="str">
        <f>VLOOKUP(Tabela26[[#This Row],[EMP]],[1]LOJA!$A:$B,2,0)</f>
        <v>AG LINDAS</v>
      </c>
      <c r="E4284">
        <v>240</v>
      </c>
      <c r="F4284" t="s">
        <v>8080</v>
      </c>
      <c r="G4284" t="s">
        <v>3437</v>
      </c>
      <c r="H4284" t="s">
        <v>3401</v>
      </c>
      <c r="I4284">
        <v>5405</v>
      </c>
      <c r="J4284" s="3">
        <v>325.98</v>
      </c>
      <c r="K4284" s="3">
        <v>176.23</v>
      </c>
      <c r="L4284">
        <v>45.94</v>
      </c>
    </row>
    <row r="4285" spans="1:12">
      <c r="A4285" s="1">
        <v>46041</v>
      </c>
      <c r="B4285" t="s">
        <v>8091</v>
      </c>
      <c r="C4285">
        <v>16</v>
      </c>
      <c r="D4285" t="str">
        <f>VLOOKUP(Tabela26[[#This Row],[EMP]],[1]LOJA!$A:$B,2,0)</f>
        <v>AG LINDAS</v>
      </c>
      <c r="E4285">
        <v>240</v>
      </c>
      <c r="F4285" t="s">
        <v>4508</v>
      </c>
      <c r="G4285" t="s">
        <v>3437</v>
      </c>
      <c r="H4285" t="s">
        <v>3401</v>
      </c>
      <c r="I4285">
        <v>5102</v>
      </c>
      <c r="J4285" s="3">
        <v>12.5</v>
      </c>
      <c r="K4285" s="3">
        <v>6.99</v>
      </c>
      <c r="L4285">
        <v>44.08</v>
      </c>
    </row>
    <row r="4286" spans="1:12">
      <c r="A4286" s="1">
        <v>46041</v>
      </c>
      <c r="B4286" t="s">
        <v>8090</v>
      </c>
      <c r="C4286">
        <v>16</v>
      </c>
      <c r="D4286" t="str">
        <f>VLOOKUP(Tabela26[[#This Row],[EMP]],[1]LOJA!$A:$B,2,0)</f>
        <v>AG LINDAS</v>
      </c>
      <c r="E4286">
        <v>240</v>
      </c>
      <c r="F4286" t="s">
        <v>8089</v>
      </c>
      <c r="G4286" t="s">
        <v>8088</v>
      </c>
      <c r="H4286" t="s">
        <v>3408</v>
      </c>
      <c r="I4286">
        <v>5102</v>
      </c>
      <c r="J4286" s="3">
        <v>56.9</v>
      </c>
      <c r="K4286" s="3">
        <v>29.04</v>
      </c>
      <c r="L4286">
        <v>48.96</v>
      </c>
    </row>
    <row r="4287" spans="1:12">
      <c r="A4287" s="1">
        <v>46041</v>
      </c>
      <c r="B4287" t="s">
        <v>8087</v>
      </c>
      <c r="C4287">
        <v>16</v>
      </c>
      <c r="D4287" t="str">
        <f>VLOOKUP(Tabela26[[#This Row],[EMP]],[1]LOJA!$A:$B,2,0)</f>
        <v>AG LINDAS</v>
      </c>
      <c r="E4287">
        <v>240</v>
      </c>
      <c r="F4287" t="s">
        <v>3808</v>
      </c>
      <c r="G4287" t="s">
        <v>3807</v>
      </c>
      <c r="H4287" t="s">
        <v>3408</v>
      </c>
      <c r="I4287">
        <v>5405</v>
      </c>
      <c r="J4287" s="3">
        <v>79.8</v>
      </c>
      <c r="K4287" s="3">
        <v>44.53</v>
      </c>
      <c r="L4287">
        <v>44.2</v>
      </c>
    </row>
    <row r="4288" spans="1:12">
      <c r="A4288" s="1">
        <v>46041</v>
      </c>
      <c r="B4288" t="s">
        <v>8086</v>
      </c>
      <c r="C4288">
        <v>16</v>
      </c>
      <c r="D4288" t="str">
        <f>VLOOKUP(Tabela26[[#This Row],[EMP]],[1]LOJA!$A:$B,2,0)</f>
        <v>AG LINDAS</v>
      </c>
      <c r="E4288">
        <v>240</v>
      </c>
      <c r="F4288" t="s">
        <v>3804</v>
      </c>
      <c r="G4288" t="s">
        <v>3803</v>
      </c>
      <c r="H4288" t="s">
        <v>3401</v>
      </c>
      <c r="I4288">
        <v>5102</v>
      </c>
      <c r="J4288" s="3">
        <v>65</v>
      </c>
      <c r="K4288" s="3">
        <v>37.01</v>
      </c>
      <c r="L4288">
        <v>43.06</v>
      </c>
    </row>
    <row r="4289" spans="1:12">
      <c r="A4289" s="1">
        <v>46041</v>
      </c>
      <c r="B4289" t="s">
        <v>8085</v>
      </c>
      <c r="C4289">
        <v>16</v>
      </c>
      <c r="D4289" t="str">
        <f>VLOOKUP(Tabela26[[#This Row],[EMP]],[1]LOJA!$A:$B,2,0)</f>
        <v>AG LINDAS</v>
      </c>
      <c r="E4289">
        <v>240</v>
      </c>
      <c r="F4289" t="s">
        <v>7674</v>
      </c>
      <c r="G4289" t="s">
        <v>7673</v>
      </c>
      <c r="H4289" t="s">
        <v>3401</v>
      </c>
      <c r="I4289">
        <v>5405</v>
      </c>
      <c r="J4289" s="3">
        <v>147.4</v>
      </c>
      <c r="K4289" s="3">
        <v>76.87</v>
      </c>
      <c r="L4289">
        <v>47.85</v>
      </c>
    </row>
    <row r="4290" spans="1:12">
      <c r="A4290" s="1">
        <v>46041</v>
      </c>
      <c r="B4290" t="s">
        <v>8084</v>
      </c>
      <c r="C4290">
        <v>16</v>
      </c>
      <c r="D4290" t="str">
        <f>VLOOKUP(Tabela26[[#This Row],[EMP]],[1]LOJA!$A:$B,2,0)</f>
        <v>AG LINDAS</v>
      </c>
      <c r="E4290">
        <v>240</v>
      </c>
      <c r="F4290" t="s">
        <v>8083</v>
      </c>
      <c r="G4290" t="s">
        <v>8082</v>
      </c>
      <c r="H4290" t="s">
        <v>3408</v>
      </c>
      <c r="I4290">
        <v>5405</v>
      </c>
      <c r="J4290" s="3">
        <v>417.7</v>
      </c>
      <c r="K4290" s="3">
        <v>239.32</v>
      </c>
      <c r="L4290">
        <v>42.71</v>
      </c>
    </row>
    <row r="4291" spans="1:12">
      <c r="A4291" s="1">
        <v>46041</v>
      </c>
      <c r="B4291" t="s">
        <v>8081</v>
      </c>
      <c r="C4291">
        <v>16</v>
      </c>
      <c r="D4291" t="str">
        <f>VLOOKUP(Tabela26[[#This Row],[EMP]],[1]LOJA!$A:$B,2,0)</f>
        <v>AG LINDAS</v>
      </c>
      <c r="E4291">
        <v>240</v>
      </c>
      <c r="F4291" t="s">
        <v>8080</v>
      </c>
      <c r="G4291" t="s">
        <v>3437</v>
      </c>
      <c r="H4291" t="s">
        <v>3401</v>
      </c>
      <c r="I4291">
        <v>5102</v>
      </c>
      <c r="J4291" s="3">
        <v>29.9</v>
      </c>
      <c r="K4291" s="3">
        <v>18</v>
      </c>
      <c r="L4291">
        <v>39.799999999999997</v>
      </c>
    </row>
    <row r="4292" spans="1:12">
      <c r="A4292" s="1">
        <v>46041</v>
      </c>
      <c r="B4292" t="s">
        <v>8079</v>
      </c>
      <c r="C4292">
        <v>16</v>
      </c>
      <c r="D4292" t="str">
        <f>VLOOKUP(Tabela26[[#This Row],[EMP]],[1]LOJA!$A:$B,2,0)</f>
        <v>AG LINDAS</v>
      </c>
      <c r="E4292">
        <v>240</v>
      </c>
      <c r="F4292" t="s">
        <v>3780</v>
      </c>
      <c r="G4292" t="s">
        <v>3437</v>
      </c>
      <c r="H4292" t="s">
        <v>3401</v>
      </c>
      <c r="I4292">
        <v>5102</v>
      </c>
      <c r="J4292" s="3">
        <v>62.6</v>
      </c>
      <c r="K4292" s="3">
        <v>38.65</v>
      </c>
      <c r="L4292">
        <v>38.26</v>
      </c>
    </row>
    <row r="4293" spans="1:12">
      <c r="A4293" s="1">
        <v>46041</v>
      </c>
      <c r="B4293" t="s">
        <v>8078</v>
      </c>
      <c r="C4293">
        <v>16</v>
      </c>
      <c r="D4293" t="str">
        <f>VLOOKUP(Tabela26[[#This Row],[EMP]],[1]LOJA!$A:$B,2,0)</f>
        <v>AG LINDAS</v>
      </c>
      <c r="E4293">
        <v>240</v>
      </c>
      <c r="F4293" t="s">
        <v>6331</v>
      </c>
      <c r="G4293" t="s">
        <v>6330</v>
      </c>
      <c r="H4293" t="s">
        <v>3401</v>
      </c>
      <c r="I4293">
        <v>5405</v>
      </c>
      <c r="J4293" s="3">
        <v>133.80000000000001</v>
      </c>
      <c r="K4293" s="3">
        <v>74.180000000000007</v>
      </c>
      <c r="L4293">
        <v>44.56</v>
      </c>
    </row>
    <row r="4294" spans="1:12">
      <c r="A4294" s="1">
        <v>46041</v>
      </c>
      <c r="B4294" t="s">
        <v>8077</v>
      </c>
      <c r="C4294">
        <v>16</v>
      </c>
      <c r="D4294" t="str">
        <f>VLOOKUP(Tabela26[[#This Row],[EMP]],[1]LOJA!$A:$B,2,0)</f>
        <v>AG LINDAS</v>
      </c>
      <c r="E4294">
        <v>240</v>
      </c>
      <c r="F4294" t="s">
        <v>7434</v>
      </c>
      <c r="G4294" t="s">
        <v>3437</v>
      </c>
      <c r="H4294" t="s">
        <v>3408</v>
      </c>
      <c r="I4294">
        <v>5102</v>
      </c>
      <c r="J4294" s="3">
        <v>77.900000000000006</v>
      </c>
      <c r="K4294" s="3">
        <v>47.06</v>
      </c>
      <c r="L4294">
        <v>39.590000000000003</v>
      </c>
    </row>
    <row r="4295" spans="1:12">
      <c r="A4295" s="1">
        <v>46041</v>
      </c>
      <c r="B4295" t="s">
        <v>8076</v>
      </c>
      <c r="C4295">
        <v>16</v>
      </c>
      <c r="D4295" t="str">
        <f>VLOOKUP(Tabela26[[#This Row],[EMP]],[1]LOJA!$A:$B,2,0)</f>
        <v>AG LINDAS</v>
      </c>
      <c r="E4295">
        <v>240</v>
      </c>
      <c r="F4295" t="s">
        <v>5129</v>
      </c>
      <c r="G4295" t="s">
        <v>5128</v>
      </c>
      <c r="H4295" t="s">
        <v>3408</v>
      </c>
      <c r="I4295">
        <v>5405</v>
      </c>
      <c r="J4295" s="3">
        <v>710</v>
      </c>
      <c r="K4295" s="3">
        <v>413.43</v>
      </c>
      <c r="L4295">
        <v>41.77</v>
      </c>
    </row>
    <row r="4296" spans="1:12">
      <c r="A4296" s="1">
        <v>46041</v>
      </c>
      <c r="B4296" t="s">
        <v>8075</v>
      </c>
      <c r="C4296">
        <v>16</v>
      </c>
      <c r="D4296" t="str">
        <f>VLOOKUP(Tabela26[[#This Row],[EMP]],[1]LOJA!$A:$B,2,0)</f>
        <v>AG LINDAS</v>
      </c>
      <c r="E4296">
        <v>240</v>
      </c>
      <c r="F4296" t="s">
        <v>3780</v>
      </c>
      <c r="G4296" t="s">
        <v>3437</v>
      </c>
      <c r="H4296" t="s">
        <v>3401</v>
      </c>
      <c r="I4296">
        <v>5102</v>
      </c>
      <c r="J4296" s="3">
        <v>45.3</v>
      </c>
      <c r="K4296" s="3">
        <v>26.31</v>
      </c>
      <c r="L4296">
        <v>41.92</v>
      </c>
    </row>
    <row r="4297" spans="1:12">
      <c r="A4297" s="1">
        <v>46041</v>
      </c>
      <c r="B4297" t="s">
        <v>8074</v>
      </c>
      <c r="C4297">
        <v>16</v>
      </c>
      <c r="D4297" t="str">
        <f>VLOOKUP(Tabela26[[#This Row],[EMP]],[1]LOJA!$A:$B,2,0)</f>
        <v>AG LINDAS</v>
      </c>
      <c r="E4297">
        <v>240</v>
      </c>
      <c r="F4297" t="s">
        <v>3808</v>
      </c>
      <c r="G4297" t="s">
        <v>3807</v>
      </c>
      <c r="H4297" t="s">
        <v>3408</v>
      </c>
      <c r="I4297">
        <v>5102</v>
      </c>
      <c r="J4297" s="3">
        <v>144.30000000000001</v>
      </c>
      <c r="K4297" s="3">
        <v>80.98</v>
      </c>
      <c r="L4297">
        <v>43.88</v>
      </c>
    </row>
    <row r="4298" spans="1:12">
      <c r="A4298" s="1">
        <v>46041</v>
      </c>
      <c r="B4298" t="s">
        <v>8073</v>
      </c>
      <c r="C4298">
        <v>16</v>
      </c>
      <c r="D4298" t="str">
        <f>VLOOKUP(Tabela26[[#This Row],[EMP]],[1]LOJA!$A:$B,2,0)</f>
        <v>AG LINDAS</v>
      </c>
      <c r="E4298">
        <v>240</v>
      </c>
      <c r="F4298" t="s">
        <v>3780</v>
      </c>
      <c r="G4298" t="s">
        <v>3437</v>
      </c>
      <c r="H4298" t="s">
        <v>3401</v>
      </c>
      <c r="I4298">
        <v>5102</v>
      </c>
      <c r="J4298" s="3">
        <v>27</v>
      </c>
      <c r="K4298" s="3">
        <v>15.68</v>
      </c>
      <c r="L4298">
        <v>41.93</v>
      </c>
    </row>
    <row r="4299" spans="1:12">
      <c r="A4299" s="1">
        <v>46041</v>
      </c>
      <c r="B4299" t="s">
        <v>8072</v>
      </c>
      <c r="C4299">
        <v>16</v>
      </c>
      <c r="D4299" t="str">
        <f>VLOOKUP(Tabela26[[#This Row],[EMP]],[1]LOJA!$A:$B,2,0)</f>
        <v>AG LINDAS</v>
      </c>
      <c r="E4299">
        <v>240</v>
      </c>
      <c r="F4299" t="s">
        <v>3786</v>
      </c>
      <c r="G4299" t="s">
        <v>3785</v>
      </c>
      <c r="H4299" t="s">
        <v>3401</v>
      </c>
      <c r="I4299">
        <v>5405</v>
      </c>
      <c r="J4299" s="3">
        <v>667.8</v>
      </c>
      <c r="K4299" s="3">
        <v>405.2</v>
      </c>
      <c r="L4299">
        <v>39.32</v>
      </c>
    </row>
    <row r="4300" spans="1:12">
      <c r="A4300" s="1">
        <v>46041</v>
      </c>
      <c r="B4300" t="s">
        <v>8071</v>
      </c>
      <c r="C4300">
        <v>16</v>
      </c>
      <c r="D4300" t="str">
        <f>VLOOKUP(Tabela26[[#This Row],[EMP]],[1]LOJA!$A:$B,2,0)</f>
        <v>AG LINDAS</v>
      </c>
      <c r="E4300">
        <v>240</v>
      </c>
      <c r="F4300" t="s">
        <v>5129</v>
      </c>
      <c r="G4300" t="s">
        <v>5128</v>
      </c>
      <c r="H4300" t="s">
        <v>3401</v>
      </c>
      <c r="I4300">
        <v>5405</v>
      </c>
      <c r="J4300" s="3">
        <v>62</v>
      </c>
      <c r="K4300" s="3">
        <v>30.51</v>
      </c>
      <c r="L4300">
        <v>50.79</v>
      </c>
    </row>
    <row r="4301" spans="1:12">
      <c r="A4301" s="1">
        <v>46041</v>
      </c>
      <c r="B4301" t="s">
        <v>8070</v>
      </c>
      <c r="C4301">
        <v>16</v>
      </c>
      <c r="D4301" t="str">
        <f>VLOOKUP(Tabela26[[#This Row],[EMP]],[1]LOJA!$A:$B,2,0)</f>
        <v>AG LINDAS</v>
      </c>
      <c r="E4301">
        <v>240</v>
      </c>
      <c r="F4301" t="s">
        <v>3780</v>
      </c>
      <c r="G4301" t="s">
        <v>3437</v>
      </c>
      <c r="H4301" t="s">
        <v>3401</v>
      </c>
      <c r="I4301">
        <v>5102</v>
      </c>
      <c r="J4301" s="3">
        <v>58.9</v>
      </c>
      <c r="K4301" s="3">
        <v>39.159999999999997</v>
      </c>
      <c r="L4301">
        <v>33.51</v>
      </c>
    </row>
    <row r="4302" spans="1:12">
      <c r="A4302" s="1">
        <v>46041</v>
      </c>
      <c r="B4302" t="s">
        <v>8069</v>
      </c>
      <c r="C4302">
        <v>16</v>
      </c>
      <c r="D4302" t="str">
        <f>VLOOKUP(Tabela26[[#This Row],[EMP]],[1]LOJA!$A:$B,2,0)</f>
        <v>AG LINDAS</v>
      </c>
      <c r="E4302">
        <v>240</v>
      </c>
      <c r="F4302" t="s">
        <v>7674</v>
      </c>
      <c r="G4302" t="s">
        <v>7673</v>
      </c>
      <c r="H4302" t="s">
        <v>3401</v>
      </c>
      <c r="I4302">
        <v>5405</v>
      </c>
      <c r="J4302" s="3">
        <v>35</v>
      </c>
      <c r="K4302" s="3">
        <v>15.13</v>
      </c>
      <c r="L4302">
        <v>56.77</v>
      </c>
    </row>
    <row r="4303" spans="1:12">
      <c r="A4303" s="1">
        <v>46041</v>
      </c>
      <c r="B4303" t="s">
        <v>8068</v>
      </c>
      <c r="C4303">
        <v>16</v>
      </c>
      <c r="D4303" t="str">
        <f>VLOOKUP(Tabela26[[#This Row],[EMP]],[1]LOJA!$A:$B,2,0)</f>
        <v>AG LINDAS</v>
      </c>
      <c r="E4303">
        <v>240</v>
      </c>
      <c r="F4303" t="s">
        <v>3780</v>
      </c>
      <c r="G4303" t="s">
        <v>3437</v>
      </c>
      <c r="H4303" t="s">
        <v>3401</v>
      </c>
      <c r="I4303">
        <v>5102</v>
      </c>
      <c r="J4303" s="3">
        <v>34.5</v>
      </c>
      <c r="K4303" s="3">
        <v>21.7</v>
      </c>
      <c r="L4303">
        <v>37.1</v>
      </c>
    </row>
    <row r="4304" spans="1:12">
      <c r="A4304" s="1">
        <v>46041</v>
      </c>
      <c r="B4304" t="s">
        <v>8067</v>
      </c>
      <c r="C4304">
        <v>16</v>
      </c>
      <c r="D4304" t="str">
        <f>VLOOKUP(Tabela26[[#This Row],[EMP]],[1]LOJA!$A:$B,2,0)</f>
        <v>AG LINDAS</v>
      </c>
      <c r="E4304">
        <v>240</v>
      </c>
      <c r="F4304" t="s">
        <v>3780</v>
      </c>
      <c r="G4304" t="s">
        <v>3437</v>
      </c>
      <c r="H4304" t="s">
        <v>3401</v>
      </c>
      <c r="I4304">
        <v>5102</v>
      </c>
      <c r="J4304" s="3">
        <v>5.8</v>
      </c>
      <c r="K4304" s="3">
        <v>2.7</v>
      </c>
      <c r="L4304">
        <v>53.45</v>
      </c>
    </row>
    <row r="4305" spans="1:12">
      <c r="A4305" s="1">
        <v>46041</v>
      </c>
      <c r="B4305" t="s">
        <v>8066</v>
      </c>
      <c r="C4305">
        <v>14</v>
      </c>
      <c r="D4305" t="str">
        <f>VLOOKUP(Tabela26[[#This Row],[EMP]],[1]LOJA!$A:$B,2,0)</f>
        <v>S IA</v>
      </c>
      <c r="E4305">
        <v>212</v>
      </c>
      <c r="F4305" t="s">
        <v>6306</v>
      </c>
      <c r="G4305" t="s">
        <v>6305</v>
      </c>
      <c r="H4305" t="s">
        <v>3401</v>
      </c>
      <c r="I4305">
        <v>5102</v>
      </c>
      <c r="J4305" s="3">
        <v>146.1</v>
      </c>
      <c r="K4305" s="3">
        <v>98.42</v>
      </c>
      <c r="L4305">
        <v>32.64</v>
      </c>
    </row>
    <row r="4306" spans="1:12">
      <c r="A4306" s="1">
        <v>46041</v>
      </c>
      <c r="B4306" t="s">
        <v>8065</v>
      </c>
      <c r="C4306">
        <v>14</v>
      </c>
      <c r="D4306" t="str">
        <f>VLOOKUP(Tabela26[[#This Row],[EMP]],[1]LOJA!$A:$B,2,0)</f>
        <v>S IA</v>
      </c>
      <c r="E4306">
        <v>212</v>
      </c>
      <c r="F4306" t="s">
        <v>3772</v>
      </c>
      <c r="G4306" t="s">
        <v>3771</v>
      </c>
      <c r="H4306" t="s">
        <v>3430</v>
      </c>
      <c r="I4306">
        <v>5405</v>
      </c>
      <c r="J4306" s="3">
        <v>159.80000000000001</v>
      </c>
      <c r="K4306" s="3">
        <v>82.97</v>
      </c>
      <c r="L4306">
        <v>48.08</v>
      </c>
    </row>
    <row r="4307" spans="1:12">
      <c r="A4307" s="1">
        <v>46041</v>
      </c>
      <c r="B4307" t="s">
        <v>8064</v>
      </c>
      <c r="C4307">
        <v>14</v>
      </c>
      <c r="D4307" t="str">
        <f>VLOOKUP(Tabela26[[#This Row],[EMP]],[1]LOJA!$A:$B,2,0)</f>
        <v>S IA</v>
      </c>
      <c r="E4307">
        <v>54</v>
      </c>
      <c r="F4307" t="s">
        <v>6442</v>
      </c>
      <c r="G4307" t="s">
        <v>6441</v>
      </c>
      <c r="H4307" t="s">
        <v>3408</v>
      </c>
      <c r="I4307">
        <v>5405</v>
      </c>
      <c r="J4307" s="3">
        <v>1217.5999999999999</v>
      </c>
      <c r="K4307" s="3">
        <v>695.45</v>
      </c>
      <c r="L4307">
        <v>42.88</v>
      </c>
    </row>
    <row r="4308" spans="1:12">
      <c r="A4308" s="1">
        <v>46041</v>
      </c>
      <c r="B4308" t="s">
        <v>8063</v>
      </c>
      <c r="C4308">
        <v>14</v>
      </c>
      <c r="D4308" t="str">
        <f>VLOOKUP(Tabela26[[#This Row],[EMP]],[1]LOJA!$A:$B,2,0)</f>
        <v>S IA</v>
      </c>
      <c r="E4308">
        <v>212</v>
      </c>
      <c r="F4308" t="s">
        <v>5080</v>
      </c>
      <c r="G4308" t="s">
        <v>5079</v>
      </c>
      <c r="H4308" t="s">
        <v>3430</v>
      </c>
      <c r="I4308">
        <v>5102</v>
      </c>
      <c r="J4308" s="3">
        <v>543.22</v>
      </c>
      <c r="K4308" s="3">
        <v>360.7</v>
      </c>
      <c r="L4308">
        <v>33.6</v>
      </c>
    </row>
    <row r="4309" spans="1:12">
      <c r="A4309" s="1">
        <v>46041</v>
      </c>
      <c r="B4309" t="s">
        <v>8062</v>
      </c>
      <c r="C4309">
        <v>14</v>
      </c>
      <c r="D4309" t="str">
        <f>VLOOKUP(Tabela26[[#This Row],[EMP]],[1]LOJA!$A:$B,2,0)</f>
        <v>S IA</v>
      </c>
      <c r="E4309">
        <v>212</v>
      </c>
      <c r="F4309" t="s">
        <v>8052</v>
      </c>
      <c r="G4309" t="s">
        <v>8051</v>
      </c>
      <c r="H4309" t="s">
        <v>3401</v>
      </c>
      <c r="I4309">
        <v>5102</v>
      </c>
      <c r="J4309" s="3">
        <v>27</v>
      </c>
      <c r="K4309" s="3">
        <v>15.02</v>
      </c>
      <c r="L4309">
        <v>44.37</v>
      </c>
    </row>
    <row r="4310" spans="1:12">
      <c r="A4310" s="1">
        <v>46041</v>
      </c>
      <c r="B4310" t="s">
        <v>8061</v>
      </c>
      <c r="C4310">
        <v>14</v>
      </c>
      <c r="D4310" t="str">
        <f>VLOOKUP(Tabela26[[#This Row],[EMP]],[1]LOJA!$A:$B,2,0)</f>
        <v>S IA</v>
      </c>
      <c r="E4310">
        <v>54</v>
      </c>
      <c r="F4310" t="s">
        <v>4470</v>
      </c>
      <c r="G4310" t="s">
        <v>4469</v>
      </c>
      <c r="H4310" t="s">
        <v>3430</v>
      </c>
      <c r="I4310">
        <v>5102</v>
      </c>
      <c r="J4310" s="3">
        <v>378.8</v>
      </c>
      <c r="K4310" s="3">
        <v>222.89</v>
      </c>
      <c r="L4310">
        <v>41.16</v>
      </c>
    </row>
    <row r="4311" spans="1:12">
      <c r="A4311" s="1">
        <v>46041</v>
      </c>
      <c r="B4311" t="s">
        <v>8060</v>
      </c>
      <c r="C4311">
        <v>14</v>
      </c>
      <c r="D4311" t="str">
        <f>VLOOKUP(Tabela26[[#This Row],[EMP]],[1]LOJA!$A:$B,2,0)</f>
        <v>S IA</v>
      </c>
      <c r="E4311">
        <v>54</v>
      </c>
      <c r="F4311" t="s">
        <v>5089</v>
      </c>
      <c r="G4311" t="s">
        <v>5088</v>
      </c>
      <c r="H4311" t="s">
        <v>3430</v>
      </c>
      <c r="I4311">
        <v>5405</v>
      </c>
      <c r="J4311" s="3">
        <v>164.05</v>
      </c>
      <c r="K4311" s="3">
        <v>72.75</v>
      </c>
      <c r="L4311">
        <v>55.65</v>
      </c>
    </row>
    <row r="4312" spans="1:12">
      <c r="A4312" s="1">
        <v>46041</v>
      </c>
      <c r="B4312" t="s">
        <v>8059</v>
      </c>
      <c r="C4312">
        <v>14</v>
      </c>
      <c r="D4312" t="str">
        <f>VLOOKUP(Tabela26[[#This Row],[EMP]],[1]LOJA!$A:$B,2,0)</f>
        <v>S IA</v>
      </c>
      <c r="E4312">
        <v>212</v>
      </c>
      <c r="F4312" t="s">
        <v>7585</v>
      </c>
      <c r="G4312" t="s">
        <v>7584</v>
      </c>
      <c r="H4312" t="s">
        <v>3401</v>
      </c>
      <c r="I4312">
        <v>5405</v>
      </c>
      <c r="J4312" s="3">
        <v>162</v>
      </c>
      <c r="K4312" s="3">
        <v>58.44</v>
      </c>
      <c r="L4312">
        <v>63.93</v>
      </c>
    </row>
    <row r="4313" spans="1:12">
      <c r="A4313" s="1">
        <v>46041</v>
      </c>
      <c r="B4313" t="s">
        <v>8058</v>
      </c>
      <c r="C4313">
        <v>14</v>
      </c>
      <c r="D4313" t="str">
        <f>VLOOKUP(Tabela26[[#This Row],[EMP]],[1]LOJA!$A:$B,2,0)</f>
        <v>S IA</v>
      </c>
      <c r="E4313">
        <v>212</v>
      </c>
      <c r="F4313" t="s">
        <v>4470</v>
      </c>
      <c r="G4313" t="s">
        <v>4469</v>
      </c>
      <c r="H4313" t="s">
        <v>3430</v>
      </c>
      <c r="I4313">
        <v>5102</v>
      </c>
      <c r="J4313" s="3">
        <v>101.4</v>
      </c>
      <c r="K4313" s="3">
        <v>66.3</v>
      </c>
      <c r="L4313">
        <v>34.619999999999997</v>
      </c>
    </row>
    <row r="4314" spans="1:12">
      <c r="A4314" s="1">
        <v>46041</v>
      </c>
      <c r="B4314" t="s">
        <v>8057</v>
      </c>
      <c r="C4314">
        <v>14</v>
      </c>
      <c r="D4314" t="str">
        <f>VLOOKUP(Tabela26[[#This Row],[EMP]],[1]LOJA!$A:$B,2,0)</f>
        <v>S IA</v>
      </c>
      <c r="E4314">
        <v>54</v>
      </c>
      <c r="F4314" t="s">
        <v>5089</v>
      </c>
      <c r="G4314" t="s">
        <v>5088</v>
      </c>
      <c r="H4314" t="s">
        <v>3430</v>
      </c>
      <c r="I4314">
        <v>5405</v>
      </c>
      <c r="J4314" s="3">
        <v>99.68</v>
      </c>
      <c r="K4314" s="3">
        <v>39.76</v>
      </c>
      <c r="L4314">
        <v>60.11</v>
      </c>
    </row>
    <row r="4315" spans="1:12">
      <c r="A4315" s="1">
        <v>46041</v>
      </c>
      <c r="B4315" t="s">
        <v>8056</v>
      </c>
      <c r="C4315">
        <v>14</v>
      </c>
      <c r="D4315" t="str">
        <f>VLOOKUP(Tabela26[[#This Row],[EMP]],[1]LOJA!$A:$B,2,0)</f>
        <v>S IA</v>
      </c>
      <c r="E4315">
        <v>212</v>
      </c>
      <c r="F4315" t="s">
        <v>3762</v>
      </c>
      <c r="G4315" t="s">
        <v>3761</v>
      </c>
      <c r="H4315" t="s">
        <v>3430</v>
      </c>
      <c r="I4315">
        <v>5405</v>
      </c>
      <c r="J4315" s="3">
        <v>959.5</v>
      </c>
      <c r="K4315" s="3">
        <v>505.68</v>
      </c>
      <c r="L4315">
        <v>47.3</v>
      </c>
    </row>
    <row r="4316" spans="1:12">
      <c r="A4316" s="1">
        <v>46041</v>
      </c>
      <c r="B4316" t="s">
        <v>8055</v>
      </c>
      <c r="C4316">
        <v>14</v>
      </c>
      <c r="D4316" t="str">
        <f>VLOOKUP(Tabela26[[#This Row],[EMP]],[1]LOJA!$A:$B,2,0)</f>
        <v>S IA</v>
      </c>
      <c r="E4316">
        <v>54</v>
      </c>
      <c r="F4316" t="s">
        <v>5089</v>
      </c>
      <c r="G4316" t="s">
        <v>5088</v>
      </c>
      <c r="H4316" t="s">
        <v>3430</v>
      </c>
      <c r="I4316">
        <v>5405</v>
      </c>
      <c r="J4316" s="3">
        <v>103.1</v>
      </c>
      <c r="K4316" s="3">
        <v>44.91</v>
      </c>
      <c r="L4316">
        <v>56.44</v>
      </c>
    </row>
    <row r="4317" spans="1:12">
      <c r="A4317" s="1">
        <v>46041</v>
      </c>
      <c r="B4317" t="s">
        <v>8054</v>
      </c>
      <c r="C4317">
        <v>14</v>
      </c>
      <c r="D4317" t="str">
        <f>VLOOKUP(Tabela26[[#This Row],[EMP]],[1]LOJA!$A:$B,2,0)</f>
        <v>S IA</v>
      </c>
      <c r="E4317">
        <v>54</v>
      </c>
      <c r="F4317" t="s">
        <v>7164</v>
      </c>
      <c r="G4317" t="s">
        <v>7163</v>
      </c>
      <c r="H4317" t="s">
        <v>3408</v>
      </c>
      <c r="I4317">
        <v>5102</v>
      </c>
      <c r="J4317" s="3">
        <v>42.69</v>
      </c>
      <c r="K4317" s="3">
        <v>24.36</v>
      </c>
      <c r="L4317">
        <v>42.94</v>
      </c>
    </row>
    <row r="4318" spans="1:12">
      <c r="A4318" s="1">
        <v>46041</v>
      </c>
      <c r="B4318" t="s">
        <v>8053</v>
      </c>
      <c r="C4318">
        <v>14</v>
      </c>
      <c r="D4318" t="str">
        <f>VLOOKUP(Tabela26[[#This Row],[EMP]],[1]LOJA!$A:$B,2,0)</f>
        <v>S IA</v>
      </c>
      <c r="E4318">
        <v>212</v>
      </c>
      <c r="F4318" t="s">
        <v>8052</v>
      </c>
      <c r="G4318" t="s">
        <v>8051</v>
      </c>
      <c r="H4318" t="s">
        <v>3401</v>
      </c>
      <c r="I4318">
        <v>5102</v>
      </c>
      <c r="J4318" s="3">
        <v>80</v>
      </c>
      <c r="K4318" s="3">
        <v>50.2</v>
      </c>
      <c r="L4318">
        <v>37.25</v>
      </c>
    </row>
    <row r="4319" spans="1:12">
      <c r="A4319" s="1">
        <v>46041</v>
      </c>
      <c r="B4319" t="s">
        <v>8050</v>
      </c>
      <c r="C4319">
        <v>14</v>
      </c>
      <c r="D4319" t="str">
        <f>VLOOKUP(Tabela26[[#This Row],[EMP]],[1]LOJA!$A:$B,2,0)</f>
        <v>S IA</v>
      </c>
      <c r="E4319">
        <v>54</v>
      </c>
      <c r="F4319" t="s">
        <v>3775</v>
      </c>
      <c r="G4319" t="s">
        <v>3774</v>
      </c>
      <c r="H4319" t="s">
        <v>3430</v>
      </c>
      <c r="I4319">
        <v>5405</v>
      </c>
      <c r="J4319" s="3">
        <v>106.9</v>
      </c>
      <c r="K4319" s="3">
        <v>48.62</v>
      </c>
      <c r="L4319">
        <v>54.52</v>
      </c>
    </row>
    <row r="4320" spans="1:12">
      <c r="A4320" s="1">
        <v>46041</v>
      </c>
      <c r="B4320" t="s">
        <v>8049</v>
      </c>
      <c r="C4320">
        <v>14</v>
      </c>
      <c r="D4320" t="str">
        <f>VLOOKUP(Tabela26[[#This Row],[EMP]],[1]LOJA!$A:$B,2,0)</f>
        <v>S IA</v>
      </c>
      <c r="E4320">
        <v>212</v>
      </c>
      <c r="F4320" t="s">
        <v>8048</v>
      </c>
      <c r="G4320" t="s">
        <v>8047</v>
      </c>
      <c r="H4320" t="s">
        <v>3401</v>
      </c>
      <c r="I4320">
        <v>5102</v>
      </c>
      <c r="J4320" s="3">
        <v>121</v>
      </c>
      <c r="K4320" s="3">
        <v>64.88</v>
      </c>
      <c r="L4320">
        <v>46.38</v>
      </c>
    </row>
    <row r="4321" spans="1:12">
      <c r="A4321" s="1">
        <v>46041</v>
      </c>
      <c r="B4321" t="s">
        <v>8046</v>
      </c>
      <c r="C4321">
        <v>14</v>
      </c>
      <c r="D4321" t="str">
        <f>VLOOKUP(Tabela26[[#This Row],[EMP]],[1]LOJA!$A:$B,2,0)</f>
        <v>S IA</v>
      </c>
      <c r="E4321">
        <v>54</v>
      </c>
      <c r="F4321" t="s">
        <v>4498</v>
      </c>
      <c r="G4321" t="s">
        <v>4497</v>
      </c>
      <c r="H4321" t="s">
        <v>4249</v>
      </c>
      <c r="I4321">
        <v>5405</v>
      </c>
      <c r="J4321" s="3">
        <v>486.1</v>
      </c>
      <c r="K4321" s="3">
        <v>195.45</v>
      </c>
      <c r="L4321">
        <v>59.79</v>
      </c>
    </row>
    <row r="4322" spans="1:12">
      <c r="A4322" s="1">
        <v>46041</v>
      </c>
      <c r="B4322" t="s">
        <v>8045</v>
      </c>
      <c r="C4322">
        <v>12</v>
      </c>
      <c r="D4322" t="str">
        <f>VLOOKUP(Tabela26[[#This Row],[EMP]],[1]LOJA!$A:$B,2,0)</f>
        <v>SOFNORTE</v>
      </c>
      <c r="E4322">
        <v>60</v>
      </c>
      <c r="F4322" t="s">
        <v>3709</v>
      </c>
      <c r="G4322" t="s">
        <v>3708</v>
      </c>
      <c r="H4322" t="s">
        <v>3401</v>
      </c>
      <c r="I4322">
        <v>5102</v>
      </c>
      <c r="J4322" s="3">
        <v>36</v>
      </c>
      <c r="K4322" s="3">
        <v>21.83</v>
      </c>
      <c r="L4322">
        <v>39.36</v>
      </c>
    </row>
    <row r="4323" spans="1:12">
      <c r="A4323" s="1">
        <v>46041</v>
      </c>
      <c r="B4323" t="s">
        <v>8044</v>
      </c>
      <c r="C4323">
        <v>12</v>
      </c>
      <c r="D4323" t="str">
        <f>VLOOKUP(Tabela26[[#This Row],[EMP]],[1]LOJA!$A:$B,2,0)</f>
        <v>SOFNORTE</v>
      </c>
      <c r="E4323">
        <v>239</v>
      </c>
      <c r="F4323" t="s">
        <v>3701</v>
      </c>
      <c r="G4323" t="s">
        <v>3700</v>
      </c>
      <c r="H4323" t="s">
        <v>3408</v>
      </c>
      <c r="I4323">
        <v>5102</v>
      </c>
      <c r="J4323" s="3">
        <v>40</v>
      </c>
      <c r="K4323" s="3">
        <v>22.09</v>
      </c>
      <c r="L4323">
        <v>44.78</v>
      </c>
    </row>
    <row r="4324" spans="1:12">
      <c r="A4324" s="1">
        <v>46041</v>
      </c>
      <c r="B4324" t="s">
        <v>8043</v>
      </c>
      <c r="C4324">
        <v>12</v>
      </c>
      <c r="D4324" t="str">
        <f>VLOOKUP(Tabela26[[#This Row],[EMP]],[1]LOJA!$A:$B,2,0)</f>
        <v>SOFNORTE</v>
      </c>
      <c r="E4324">
        <v>60</v>
      </c>
      <c r="F4324" t="s">
        <v>4458</v>
      </c>
      <c r="G4324" t="s">
        <v>4457</v>
      </c>
      <c r="H4324" t="s">
        <v>7916</v>
      </c>
      <c r="I4324">
        <v>5102</v>
      </c>
      <c r="J4324" s="3">
        <v>162</v>
      </c>
      <c r="K4324" s="3">
        <v>86.03</v>
      </c>
      <c r="L4324">
        <v>46.9</v>
      </c>
    </row>
    <row r="4325" spans="1:12">
      <c r="A4325" s="1">
        <v>46041</v>
      </c>
      <c r="B4325" t="s">
        <v>8042</v>
      </c>
      <c r="C4325">
        <v>12</v>
      </c>
      <c r="D4325" t="str">
        <f>VLOOKUP(Tabela26[[#This Row],[EMP]],[1]LOJA!$A:$B,2,0)</f>
        <v>SOFNORTE</v>
      </c>
      <c r="E4325">
        <v>60</v>
      </c>
      <c r="F4325" t="s">
        <v>3715</v>
      </c>
      <c r="G4325" t="s">
        <v>3714</v>
      </c>
      <c r="H4325" t="s">
        <v>3401</v>
      </c>
      <c r="I4325">
        <v>5405</v>
      </c>
      <c r="J4325" s="3">
        <v>112</v>
      </c>
      <c r="K4325" s="3">
        <v>53.06</v>
      </c>
      <c r="L4325">
        <v>52.63</v>
      </c>
    </row>
    <row r="4326" spans="1:12">
      <c r="A4326" s="1">
        <v>46041</v>
      </c>
      <c r="B4326" t="s">
        <v>8041</v>
      </c>
      <c r="C4326">
        <v>12</v>
      </c>
      <c r="D4326" t="str">
        <f>VLOOKUP(Tabela26[[#This Row],[EMP]],[1]LOJA!$A:$B,2,0)</f>
        <v>SOFNORTE</v>
      </c>
      <c r="E4326">
        <v>60</v>
      </c>
      <c r="F4326" t="s">
        <v>3691</v>
      </c>
      <c r="G4326" t="s">
        <v>3690</v>
      </c>
      <c r="H4326" t="s">
        <v>7916</v>
      </c>
      <c r="I4326">
        <v>5102</v>
      </c>
      <c r="J4326" s="3">
        <v>95</v>
      </c>
      <c r="K4326" s="3">
        <v>48.71</v>
      </c>
      <c r="L4326">
        <v>48.73</v>
      </c>
    </row>
    <row r="4327" spans="1:12">
      <c r="A4327" s="1">
        <v>46041</v>
      </c>
      <c r="B4327" t="s">
        <v>8040</v>
      </c>
      <c r="C4327">
        <v>12</v>
      </c>
      <c r="D4327" t="str">
        <f>VLOOKUP(Tabela26[[#This Row],[EMP]],[1]LOJA!$A:$B,2,0)</f>
        <v>SOFNORTE</v>
      </c>
      <c r="E4327">
        <v>60</v>
      </c>
      <c r="F4327" t="s">
        <v>5625</v>
      </c>
      <c r="G4327" t="s">
        <v>5624</v>
      </c>
      <c r="H4327" t="s">
        <v>3401</v>
      </c>
      <c r="I4327">
        <v>5405</v>
      </c>
      <c r="J4327" s="3">
        <v>134</v>
      </c>
      <c r="K4327" s="3">
        <v>59.56</v>
      </c>
      <c r="L4327">
        <v>55.55</v>
      </c>
    </row>
    <row r="4328" spans="1:12">
      <c r="A4328" s="1">
        <v>46041</v>
      </c>
      <c r="B4328" t="s">
        <v>8039</v>
      </c>
      <c r="C4328">
        <v>12</v>
      </c>
      <c r="D4328" t="str">
        <f>VLOOKUP(Tabela26[[#This Row],[EMP]],[1]LOJA!$A:$B,2,0)</f>
        <v>SOFNORTE</v>
      </c>
      <c r="E4328">
        <v>60</v>
      </c>
      <c r="F4328" t="s">
        <v>3403</v>
      </c>
      <c r="G4328" t="s">
        <v>3402</v>
      </c>
      <c r="H4328" t="s">
        <v>3401</v>
      </c>
      <c r="I4328">
        <v>5405</v>
      </c>
      <c r="J4328" s="3">
        <v>59.9</v>
      </c>
      <c r="K4328" s="3">
        <v>26.53</v>
      </c>
      <c r="L4328">
        <v>55.71</v>
      </c>
    </row>
    <row r="4329" spans="1:12">
      <c r="A4329" s="1">
        <v>46041</v>
      </c>
      <c r="B4329" t="s">
        <v>8038</v>
      </c>
      <c r="C4329">
        <v>12</v>
      </c>
      <c r="D4329" t="str">
        <f>VLOOKUP(Tabela26[[#This Row],[EMP]],[1]LOJA!$A:$B,2,0)</f>
        <v>SOFNORTE</v>
      </c>
      <c r="E4329">
        <v>60</v>
      </c>
      <c r="F4329" t="s">
        <v>3403</v>
      </c>
      <c r="G4329" t="s">
        <v>3402</v>
      </c>
      <c r="H4329" t="s">
        <v>3408</v>
      </c>
      <c r="I4329">
        <v>5405</v>
      </c>
      <c r="J4329" s="3">
        <v>105</v>
      </c>
      <c r="K4329" s="3">
        <v>51.46</v>
      </c>
      <c r="L4329">
        <v>50.99</v>
      </c>
    </row>
    <row r="4330" spans="1:12">
      <c r="A4330" s="1">
        <v>46041</v>
      </c>
      <c r="B4330" t="s">
        <v>8037</v>
      </c>
      <c r="C4330">
        <v>12</v>
      </c>
      <c r="D4330" t="str">
        <f>VLOOKUP(Tabela26[[#This Row],[EMP]],[1]LOJA!$A:$B,2,0)</f>
        <v>SOFNORTE</v>
      </c>
      <c r="E4330">
        <v>60</v>
      </c>
      <c r="F4330" t="s">
        <v>3737</v>
      </c>
      <c r="G4330" t="s">
        <v>3736</v>
      </c>
      <c r="H4330" t="s">
        <v>3520</v>
      </c>
      <c r="I4330">
        <v>5405</v>
      </c>
      <c r="J4330" s="3">
        <v>231</v>
      </c>
      <c r="K4330" s="3">
        <v>109.91</v>
      </c>
      <c r="L4330">
        <v>52.42</v>
      </c>
    </row>
    <row r="4331" spans="1:12">
      <c r="A4331" s="1">
        <v>46041</v>
      </c>
      <c r="B4331" t="s">
        <v>8036</v>
      </c>
      <c r="C4331">
        <v>12</v>
      </c>
      <c r="D4331" t="str">
        <f>VLOOKUP(Tabela26[[#This Row],[EMP]],[1]LOJA!$A:$B,2,0)</f>
        <v>SOFNORTE</v>
      </c>
      <c r="E4331">
        <v>239</v>
      </c>
      <c r="F4331" t="s">
        <v>3403</v>
      </c>
      <c r="G4331" t="s">
        <v>3402</v>
      </c>
      <c r="H4331" t="s">
        <v>3401</v>
      </c>
      <c r="I4331">
        <v>5102</v>
      </c>
      <c r="J4331" s="3">
        <v>13</v>
      </c>
      <c r="K4331" s="3">
        <v>7.36</v>
      </c>
      <c r="L4331">
        <v>43.38</v>
      </c>
    </row>
    <row r="4332" spans="1:12">
      <c r="A4332" s="1">
        <v>46041</v>
      </c>
      <c r="B4332" t="s">
        <v>8035</v>
      </c>
      <c r="C4332">
        <v>12</v>
      </c>
      <c r="D4332" t="str">
        <f>VLOOKUP(Tabela26[[#This Row],[EMP]],[1]LOJA!$A:$B,2,0)</f>
        <v>SOFNORTE</v>
      </c>
      <c r="E4332">
        <v>60</v>
      </c>
      <c r="F4332" t="s">
        <v>3709</v>
      </c>
      <c r="G4332" t="s">
        <v>3708</v>
      </c>
      <c r="H4332" t="s">
        <v>3401</v>
      </c>
      <c r="I4332">
        <v>5405</v>
      </c>
      <c r="J4332" s="3">
        <v>312</v>
      </c>
      <c r="K4332" s="3">
        <v>161.57</v>
      </c>
      <c r="L4332">
        <v>48.21</v>
      </c>
    </row>
    <row r="4333" spans="1:12">
      <c r="A4333" s="1">
        <v>46041</v>
      </c>
      <c r="B4333" t="s">
        <v>8034</v>
      </c>
      <c r="C4333">
        <v>12</v>
      </c>
      <c r="D4333" t="str">
        <f>VLOOKUP(Tabela26[[#This Row],[EMP]],[1]LOJA!$A:$B,2,0)</f>
        <v>SOFNORTE</v>
      </c>
      <c r="E4333">
        <v>60</v>
      </c>
      <c r="F4333" t="s">
        <v>3704</v>
      </c>
      <c r="G4333" t="s">
        <v>3703</v>
      </c>
      <c r="H4333" t="s">
        <v>3408</v>
      </c>
      <c r="I4333">
        <v>5405</v>
      </c>
      <c r="J4333" s="3">
        <v>110</v>
      </c>
      <c r="K4333" s="3">
        <v>44.29</v>
      </c>
      <c r="L4333">
        <v>59.74</v>
      </c>
    </row>
    <row r="4334" spans="1:12">
      <c r="A4334" s="1">
        <v>46041</v>
      </c>
      <c r="B4334" t="s">
        <v>8033</v>
      </c>
      <c r="C4334">
        <v>12</v>
      </c>
      <c r="D4334" t="str">
        <f>VLOOKUP(Tabela26[[#This Row],[EMP]],[1]LOJA!$A:$B,2,0)</f>
        <v>SOFNORTE</v>
      </c>
      <c r="E4334">
        <v>60</v>
      </c>
      <c r="F4334" t="s">
        <v>3704</v>
      </c>
      <c r="G4334" t="s">
        <v>3703</v>
      </c>
      <c r="H4334" t="s">
        <v>3408</v>
      </c>
      <c r="I4334">
        <v>5102</v>
      </c>
      <c r="J4334" s="3">
        <v>85</v>
      </c>
      <c r="K4334" s="3">
        <v>46.4</v>
      </c>
      <c r="L4334">
        <v>45.41</v>
      </c>
    </row>
    <row r="4335" spans="1:12">
      <c r="A4335" s="1">
        <v>46041</v>
      </c>
      <c r="B4335" t="s">
        <v>8032</v>
      </c>
      <c r="C4335">
        <v>12</v>
      </c>
      <c r="D4335" t="str">
        <f>VLOOKUP(Tabela26[[#This Row],[EMP]],[1]LOJA!$A:$B,2,0)</f>
        <v>SOFNORTE</v>
      </c>
      <c r="E4335">
        <v>60</v>
      </c>
      <c r="F4335" t="s">
        <v>3403</v>
      </c>
      <c r="G4335" t="s">
        <v>3402</v>
      </c>
      <c r="H4335" t="s">
        <v>3401</v>
      </c>
      <c r="I4335">
        <v>5405</v>
      </c>
      <c r="J4335" s="3">
        <v>148</v>
      </c>
      <c r="K4335" s="3">
        <v>75.260000000000005</v>
      </c>
      <c r="L4335">
        <v>49.15</v>
      </c>
    </row>
    <row r="4336" spans="1:12">
      <c r="A4336" s="1">
        <v>46041</v>
      </c>
      <c r="B4336" t="s">
        <v>8031</v>
      </c>
      <c r="C4336">
        <v>12</v>
      </c>
      <c r="D4336" t="str">
        <f>VLOOKUP(Tabela26[[#This Row],[EMP]],[1]LOJA!$A:$B,2,0)</f>
        <v>SOFNORTE</v>
      </c>
      <c r="E4336">
        <v>60</v>
      </c>
      <c r="F4336" t="s">
        <v>3403</v>
      </c>
      <c r="G4336" t="s">
        <v>3402</v>
      </c>
      <c r="H4336" t="s">
        <v>3401</v>
      </c>
      <c r="I4336">
        <v>5102</v>
      </c>
      <c r="J4336" s="3">
        <v>40</v>
      </c>
      <c r="K4336" s="3">
        <v>21.93</v>
      </c>
      <c r="L4336">
        <v>45.18</v>
      </c>
    </row>
    <row r="4337" spans="1:12">
      <c r="A4337" s="1">
        <v>46041</v>
      </c>
      <c r="B4337" t="s">
        <v>8030</v>
      </c>
      <c r="C4337">
        <v>12</v>
      </c>
      <c r="D4337" t="str">
        <f>VLOOKUP(Tabela26[[#This Row],[EMP]],[1]LOJA!$A:$B,2,0)</f>
        <v>SOFNORTE</v>
      </c>
      <c r="E4337">
        <v>60</v>
      </c>
      <c r="F4337" t="s">
        <v>3403</v>
      </c>
      <c r="G4337" t="s">
        <v>3402</v>
      </c>
      <c r="H4337" t="s">
        <v>3401</v>
      </c>
      <c r="I4337">
        <v>5405</v>
      </c>
      <c r="J4337" s="3">
        <v>59.9</v>
      </c>
      <c r="K4337" s="3">
        <v>26.53</v>
      </c>
      <c r="L4337">
        <v>55.71</v>
      </c>
    </row>
    <row r="4338" spans="1:12">
      <c r="A4338" s="1">
        <v>46041</v>
      </c>
      <c r="B4338" t="s">
        <v>8029</v>
      </c>
      <c r="C4338">
        <v>12</v>
      </c>
      <c r="D4338" t="str">
        <f>VLOOKUP(Tabela26[[#This Row],[EMP]],[1]LOJA!$A:$B,2,0)</f>
        <v>SOFNORTE</v>
      </c>
      <c r="E4338">
        <v>60</v>
      </c>
      <c r="F4338" t="s">
        <v>3715</v>
      </c>
      <c r="G4338" t="s">
        <v>3714</v>
      </c>
      <c r="H4338" t="s">
        <v>3401</v>
      </c>
      <c r="I4338">
        <v>5102</v>
      </c>
      <c r="J4338" s="3">
        <v>42</v>
      </c>
      <c r="K4338" s="3">
        <v>19.3</v>
      </c>
      <c r="L4338">
        <v>54.05</v>
      </c>
    </row>
    <row r="4339" spans="1:12">
      <c r="A4339" s="1">
        <v>46041</v>
      </c>
      <c r="B4339" t="s">
        <v>8028</v>
      </c>
      <c r="C4339">
        <v>12</v>
      </c>
      <c r="D4339" t="str">
        <f>VLOOKUP(Tabela26[[#This Row],[EMP]],[1]LOJA!$A:$B,2,0)</f>
        <v>SOFNORTE</v>
      </c>
      <c r="E4339">
        <v>60</v>
      </c>
      <c r="F4339" t="s">
        <v>3701</v>
      </c>
      <c r="G4339" t="s">
        <v>3700</v>
      </c>
      <c r="H4339" t="s">
        <v>3408</v>
      </c>
      <c r="I4339">
        <v>5405</v>
      </c>
      <c r="J4339" s="3">
        <v>33</v>
      </c>
      <c r="K4339" s="3">
        <v>14.78</v>
      </c>
      <c r="L4339">
        <v>55.21</v>
      </c>
    </row>
    <row r="4340" spans="1:12">
      <c r="A4340" s="1">
        <v>46041</v>
      </c>
      <c r="B4340" t="s">
        <v>8027</v>
      </c>
      <c r="C4340">
        <v>12</v>
      </c>
      <c r="D4340" t="str">
        <f>VLOOKUP(Tabela26[[#This Row],[EMP]],[1]LOJA!$A:$B,2,0)</f>
        <v>SOFNORTE</v>
      </c>
      <c r="E4340">
        <v>239</v>
      </c>
      <c r="F4340" t="s">
        <v>3403</v>
      </c>
      <c r="G4340" t="s">
        <v>3402</v>
      </c>
      <c r="H4340" t="s">
        <v>3401</v>
      </c>
      <c r="I4340">
        <v>5102</v>
      </c>
      <c r="J4340" s="3">
        <v>40</v>
      </c>
      <c r="K4340" s="3">
        <v>24.32</v>
      </c>
      <c r="L4340">
        <v>39.200000000000003</v>
      </c>
    </row>
    <row r="4341" spans="1:12">
      <c r="A4341" s="1">
        <v>46041</v>
      </c>
      <c r="B4341" t="s">
        <v>8026</v>
      </c>
      <c r="C4341">
        <v>12</v>
      </c>
      <c r="D4341" t="str">
        <f>VLOOKUP(Tabela26[[#This Row],[EMP]],[1]LOJA!$A:$B,2,0)</f>
        <v>SOFNORTE</v>
      </c>
      <c r="E4341">
        <v>239</v>
      </c>
      <c r="F4341" t="s">
        <v>3737</v>
      </c>
      <c r="G4341" t="s">
        <v>3736</v>
      </c>
      <c r="H4341" t="s">
        <v>3520</v>
      </c>
      <c r="I4341">
        <v>5405</v>
      </c>
      <c r="J4341" s="3">
        <v>153.86000000000001</v>
      </c>
      <c r="K4341" s="3">
        <v>73.58</v>
      </c>
      <c r="L4341">
        <v>52.18</v>
      </c>
    </row>
    <row r="4342" spans="1:12">
      <c r="A4342" s="1">
        <v>46041</v>
      </c>
      <c r="B4342" t="s">
        <v>8025</v>
      </c>
      <c r="C4342">
        <v>12</v>
      </c>
      <c r="D4342" t="str">
        <f>VLOOKUP(Tabela26[[#This Row],[EMP]],[1]LOJA!$A:$B,2,0)</f>
        <v>SOFNORTE</v>
      </c>
      <c r="E4342">
        <v>60</v>
      </c>
      <c r="F4342" t="s">
        <v>3709</v>
      </c>
      <c r="G4342" t="s">
        <v>3708</v>
      </c>
      <c r="H4342" t="s">
        <v>3401</v>
      </c>
      <c r="I4342">
        <v>5405</v>
      </c>
      <c r="J4342" s="3">
        <v>518.48</v>
      </c>
      <c r="K4342" s="3">
        <v>256.99</v>
      </c>
      <c r="L4342">
        <v>50.43</v>
      </c>
    </row>
    <row r="4343" spans="1:12">
      <c r="A4343" s="1">
        <v>46041</v>
      </c>
      <c r="B4343" t="s">
        <v>8024</v>
      </c>
      <c r="C4343">
        <v>12</v>
      </c>
      <c r="D4343" t="str">
        <f>VLOOKUP(Tabela26[[#This Row],[EMP]],[1]LOJA!$A:$B,2,0)</f>
        <v>SOFNORTE</v>
      </c>
      <c r="E4343">
        <v>239</v>
      </c>
      <c r="F4343" t="s">
        <v>3403</v>
      </c>
      <c r="G4343" t="s">
        <v>3402</v>
      </c>
      <c r="H4343" t="s">
        <v>3401</v>
      </c>
      <c r="I4343">
        <v>5102</v>
      </c>
      <c r="J4343" s="3">
        <v>49</v>
      </c>
      <c r="K4343" s="3">
        <v>23.37</v>
      </c>
      <c r="L4343">
        <v>52.31</v>
      </c>
    </row>
    <row r="4344" spans="1:12">
      <c r="A4344" s="1">
        <v>46041</v>
      </c>
      <c r="B4344" t="s">
        <v>8023</v>
      </c>
      <c r="C4344">
        <v>12</v>
      </c>
      <c r="D4344" t="str">
        <f>VLOOKUP(Tabela26[[#This Row],[EMP]],[1]LOJA!$A:$B,2,0)</f>
        <v>SOFNORTE</v>
      </c>
      <c r="E4344">
        <v>239</v>
      </c>
      <c r="F4344" t="s">
        <v>3722</v>
      </c>
      <c r="G4344" t="s">
        <v>3721</v>
      </c>
      <c r="H4344" t="s">
        <v>3401</v>
      </c>
      <c r="I4344">
        <v>5102</v>
      </c>
      <c r="J4344" s="3">
        <v>43</v>
      </c>
      <c r="K4344" s="3">
        <v>23.7</v>
      </c>
      <c r="L4344">
        <v>44.88</v>
      </c>
    </row>
    <row r="4345" spans="1:12">
      <c r="A4345" s="1">
        <v>46041</v>
      </c>
      <c r="B4345" t="s">
        <v>8022</v>
      </c>
      <c r="C4345">
        <v>14</v>
      </c>
      <c r="D4345" t="str">
        <f>VLOOKUP(Tabela26[[#This Row],[EMP]],[1]LOJA!$A:$B,2,0)</f>
        <v>S IA</v>
      </c>
      <c r="E4345">
        <v>54</v>
      </c>
      <c r="F4345" t="s">
        <v>8020</v>
      </c>
      <c r="G4345" t="s">
        <v>8019</v>
      </c>
      <c r="H4345" t="s">
        <v>3401</v>
      </c>
      <c r="I4345">
        <v>5405</v>
      </c>
      <c r="J4345" s="3">
        <v>254</v>
      </c>
      <c r="K4345" s="3">
        <v>109.22</v>
      </c>
      <c r="L4345">
        <v>57</v>
      </c>
    </row>
    <row r="4346" spans="1:12">
      <c r="A4346" s="1">
        <v>46041</v>
      </c>
      <c r="B4346" t="s">
        <v>8021</v>
      </c>
      <c r="C4346">
        <v>14</v>
      </c>
      <c r="D4346" t="str">
        <f>VLOOKUP(Tabela26[[#This Row],[EMP]],[1]LOJA!$A:$B,2,0)</f>
        <v>S IA</v>
      </c>
      <c r="E4346">
        <v>54</v>
      </c>
      <c r="F4346" t="s">
        <v>8020</v>
      </c>
      <c r="G4346" t="s">
        <v>8019</v>
      </c>
      <c r="H4346" t="s">
        <v>3401</v>
      </c>
      <c r="I4346">
        <v>5405</v>
      </c>
      <c r="J4346" s="3">
        <v>75</v>
      </c>
      <c r="K4346" s="3">
        <v>29.94</v>
      </c>
      <c r="L4346">
        <v>60.08</v>
      </c>
    </row>
    <row r="4347" spans="1:12">
      <c r="A4347" s="1">
        <v>46041</v>
      </c>
      <c r="B4347" t="s">
        <v>8018</v>
      </c>
      <c r="C4347">
        <v>14</v>
      </c>
      <c r="D4347" t="str">
        <f>VLOOKUP(Tabela26[[#This Row],[EMP]],[1]LOJA!$A:$B,2,0)</f>
        <v>S IA</v>
      </c>
      <c r="E4347">
        <v>212</v>
      </c>
      <c r="F4347" t="s">
        <v>3403</v>
      </c>
      <c r="G4347" t="s">
        <v>3402</v>
      </c>
      <c r="H4347" t="s">
        <v>3401</v>
      </c>
      <c r="I4347">
        <v>5102</v>
      </c>
      <c r="J4347" s="3">
        <v>80</v>
      </c>
      <c r="K4347" s="3">
        <v>41.93</v>
      </c>
      <c r="L4347">
        <v>47.59</v>
      </c>
    </row>
    <row r="4348" spans="1:12">
      <c r="A4348" s="1">
        <v>46041</v>
      </c>
      <c r="B4348" t="s">
        <v>8017</v>
      </c>
      <c r="C4348">
        <v>14</v>
      </c>
      <c r="D4348" t="str">
        <f>VLOOKUP(Tabela26[[#This Row],[EMP]],[1]LOJA!$A:$B,2,0)</f>
        <v>S IA</v>
      </c>
      <c r="E4348">
        <v>212</v>
      </c>
      <c r="F4348" t="s">
        <v>5589</v>
      </c>
      <c r="G4348" t="s">
        <v>3402</v>
      </c>
      <c r="H4348" t="s">
        <v>3408</v>
      </c>
      <c r="I4348">
        <v>5405</v>
      </c>
      <c r="J4348" s="3">
        <v>129.41999999999999</v>
      </c>
      <c r="K4348" s="3">
        <v>65.790000000000006</v>
      </c>
      <c r="L4348">
        <v>49.17</v>
      </c>
    </row>
    <row r="4349" spans="1:12">
      <c r="A4349" s="1">
        <v>46041</v>
      </c>
      <c r="B4349" t="s">
        <v>8016</v>
      </c>
      <c r="C4349">
        <v>14</v>
      </c>
      <c r="D4349" t="str">
        <f>VLOOKUP(Tabela26[[#This Row],[EMP]],[1]LOJA!$A:$B,2,0)</f>
        <v>S IA</v>
      </c>
      <c r="E4349">
        <v>212</v>
      </c>
      <c r="F4349" t="s">
        <v>3403</v>
      </c>
      <c r="G4349" t="s">
        <v>3402</v>
      </c>
      <c r="H4349" t="s">
        <v>3401</v>
      </c>
      <c r="I4349">
        <v>5102</v>
      </c>
      <c r="J4349" s="3">
        <v>310</v>
      </c>
      <c r="K4349" s="3">
        <v>147.9</v>
      </c>
      <c r="L4349">
        <v>52.29</v>
      </c>
    </row>
    <row r="4350" spans="1:12">
      <c r="A4350" s="1">
        <v>46041</v>
      </c>
      <c r="B4350" t="s">
        <v>8015</v>
      </c>
      <c r="C4350">
        <v>14</v>
      </c>
      <c r="D4350" t="str">
        <f>VLOOKUP(Tabela26[[#This Row],[EMP]],[1]LOJA!$A:$B,2,0)</f>
        <v>S IA</v>
      </c>
      <c r="E4350">
        <v>54</v>
      </c>
      <c r="F4350" t="s">
        <v>8014</v>
      </c>
      <c r="G4350" t="s">
        <v>8013</v>
      </c>
      <c r="H4350" t="s">
        <v>3401</v>
      </c>
      <c r="I4350">
        <v>5102</v>
      </c>
      <c r="J4350" s="3">
        <v>13.43</v>
      </c>
      <c r="K4350" s="3">
        <v>4.91</v>
      </c>
      <c r="L4350">
        <v>63.44</v>
      </c>
    </row>
    <row r="4351" spans="1:12">
      <c r="A4351" s="1">
        <v>46041</v>
      </c>
      <c r="B4351" t="s">
        <v>8012</v>
      </c>
      <c r="C4351">
        <v>14</v>
      </c>
      <c r="D4351" t="str">
        <f>VLOOKUP(Tabela26[[#This Row],[EMP]],[1]LOJA!$A:$B,2,0)</f>
        <v>S IA</v>
      </c>
      <c r="E4351">
        <v>212</v>
      </c>
      <c r="F4351" t="s">
        <v>3403</v>
      </c>
      <c r="G4351" t="s">
        <v>8011</v>
      </c>
      <c r="H4351" t="s">
        <v>3401</v>
      </c>
      <c r="I4351">
        <v>5405</v>
      </c>
      <c r="J4351" s="3">
        <v>49</v>
      </c>
      <c r="K4351" s="3">
        <v>17.36</v>
      </c>
      <c r="L4351">
        <v>64.569999999999993</v>
      </c>
    </row>
    <row r="4352" spans="1:12">
      <c r="A4352" s="1">
        <v>46041</v>
      </c>
      <c r="B4352" t="s">
        <v>8010</v>
      </c>
      <c r="C4352">
        <v>14</v>
      </c>
      <c r="D4352" t="str">
        <f>VLOOKUP(Tabela26[[#This Row],[EMP]],[1]LOJA!$A:$B,2,0)</f>
        <v>S IA</v>
      </c>
      <c r="E4352">
        <v>212</v>
      </c>
      <c r="F4352" t="s">
        <v>3403</v>
      </c>
      <c r="G4352" t="s">
        <v>3402</v>
      </c>
      <c r="H4352" t="s">
        <v>3401</v>
      </c>
      <c r="I4352">
        <v>5102</v>
      </c>
      <c r="J4352" s="3">
        <v>194</v>
      </c>
      <c r="K4352" s="3">
        <v>100.13</v>
      </c>
      <c r="L4352">
        <v>48.39</v>
      </c>
    </row>
    <row r="4353" spans="1:12">
      <c r="A4353" s="1">
        <v>46041</v>
      </c>
      <c r="B4353" t="s">
        <v>8009</v>
      </c>
      <c r="C4353">
        <v>14</v>
      </c>
      <c r="D4353" t="str">
        <f>VLOOKUP(Tabela26[[#This Row],[EMP]],[1]LOJA!$A:$B,2,0)</f>
        <v>S IA</v>
      </c>
      <c r="E4353">
        <v>212</v>
      </c>
      <c r="F4353" t="s">
        <v>3403</v>
      </c>
      <c r="G4353" t="s">
        <v>3402</v>
      </c>
      <c r="H4353" t="s">
        <v>3401</v>
      </c>
      <c r="I4353">
        <v>5102</v>
      </c>
      <c r="J4353" s="3">
        <v>100</v>
      </c>
      <c r="K4353" s="3">
        <v>57.15</v>
      </c>
      <c r="L4353">
        <v>42.85</v>
      </c>
    </row>
    <row r="4354" spans="1:12">
      <c r="A4354" s="1">
        <v>46041</v>
      </c>
      <c r="B4354" t="s">
        <v>8008</v>
      </c>
      <c r="C4354">
        <v>14</v>
      </c>
      <c r="D4354" t="str">
        <f>VLOOKUP(Tabela26[[#This Row],[EMP]],[1]LOJA!$A:$B,2,0)</f>
        <v>S IA</v>
      </c>
      <c r="E4354">
        <v>54</v>
      </c>
      <c r="F4354" t="s">
        <v>3403</v>
      </c>
      <c r="G4354" t="s">
        <v>3402</v>
      </c>
      <c r="H4354" t="s">
        <v>3401</v>
      </c>
      <c r="I4354">
        <v>5405</v>
      </c>
      <c r="J4354" s="3">
        <v>85</v>
      </c>
      <c r="K4354" s="3">
        <v>39.049999999999997</v>
      </c>
      <c r="L4354">
        <v>54.06</v>
      </c>
    </row>
    <row r="4355" spans="1:12">
      <c r="A4355" s="1">
        <v>46041</v>
      </c>
      <c r="B4355" t="s">
        <v>8007</v>
      </c>
      <c r="C4355">
        <v>14</v>
      </c>
      <c r="D4355" t="str">
        <f>VLOOKUP(Tabela26[[#This Row],[EMP]],[1]LOJA!$A:$B,2,0)</f>
        <v>S IA</v>
      </c>
      <c r="E4355">
        <v>54</v>
      </c>
      <c r="F4355" t="s">
        <v>3403</v>
      </c>
      <c r="G4355" t="s">
        <v>3402</v>
      </c>
      <c r="H4355" t="s">
        <v>3401</v>
      </c>
      <c r="I4355">
        <v>5102</v>
      </c>
      <c r="J4355" s="3">
        <v>138.75</v>
      </c>
      <c r="K4355" s="3">
        <v>72.819999999999993</v>
      </c>
      <c r="L4355">
        <v>47.52</v>
      </c>
    </row>
    <row r="4356" spans="1:12">
      <c r="A4356" s="1">
        <v>46041</v>
      </c>
      <c r="B4356" t="s">
        <v>8006</v>
      </c>
      <c r="C4356">
        <v>14</v>
      </c>
      <c r="D4356" t="str">
        <f>VLOOKUP(Tabela26[[#This Row],[EMP]],[1]LOJA!$A:$B,2,0)</f>
        <v>S IA</v>
      </c>
      <c r="E4356">
        <v>54</v>
      </c>
      <c r="F4356" t="s">
        <v>3403</v>
      </c>
      <c r="G4356" t="s">
        <v>3402</v>
      </c>
      <c r="H4356" t="s">
        <v>3401</v>
      </c>
      <c r="I4356">
        <v>5102</v>
      </c>
      <c r="J4356" s="3">
        <v>110</v>
      </c>
      <c r="K4356" s="3">
        <v>50.89</v>
      </c>
      <c r="L4356">
        <v>53.74</v>
      </c>
    </row>
    <row r="4357" spans="1:12">
      <c r="A4357" s="1">
        <v>46041</v>
      </c>
      <c r="B4357" t="s">
        <v>8005</v>
      </c>
      <c r="C4357">
        <v>14</v>
      </c>
      <c r="D4357" t="str">
        <f>VLOOKUP(Tabela26[[#This Row],[EMP]],[1]LOJA!$A:$B,2,0)</f>
        <v>S IA</v>
      </c>
      <c r="E4357">
        <v>54</v>
      </c>
      <c r="F4357" t="s">
        <v>8004</v>
      </c>
      <c r="G4357" t="s">
        <v>3402</v>
      </c>
      <c r="H4357" t="s">
        <v>3401</v>
      </c>
      <c r="I4357">
        <v>5405</v>
      </c>
      <c r="J4357" s="3">
        <v>51</v>
      </c>
      <c r="K4357" s="3">
        <v>17.989999999999998</v>
      </c>
      <c r="L4357">
        <v>64.73</v>
      </c>
    </row>
    <row r="4358" spans="1:12">
      <c r="A4358" s="1">
        <v>46041</v>
      </c>
      <c r="B4358" t="s">
        <v>8003</v>
      </c>
      <c r="C4358">
        <v>14</v>
      </c>
      <c r="D4358" t="str">
        <f>VLOOKUP(Tabela26[[#This Row],[EMP]],[1]LOJA!$A:$B,2,0)</f>
        <v>S IA</v>
      </c>
      <c r="E4358">
        <v>54</v>
      </c>
      <c r="F4358" t="s">
        <v>8002</v>
      </c>
      <c r="G4358" t="s">
        <v>8001</v>
      </c>
      <c r="H4358" t="s">
        <v>3401</v>
      </c>
      <c r="I4358">
        <v>5405</v>
      </c>
      <c r="J4358" s="3">
        <v>120</v>
      </c>
      <c r="K4358" s="3">
        <v>60.45</v>
      </c>
      <c r="L4358">
        <v>49.63</v>
      </c>
    </row>
    <row r="4359" spans="1:12">
      <c r="A4359" s="1">
        <v>46041</v>
      </c>
      <c r="B4359" t="s">
        <v>8000</v>
      </c>
      <c r="C4359">
        <v>14</v>
      </c>
      <c r="D4359" t="str">
        <f>VLOOKUP(Tabela26[[#This Row],[EMP]],[1]LOJA!$A:$B,2,0)</f>
        <v>S IA</v>
      </c>
      <c r="E4359">
        <v>54</v>
      </c>
      <c r="F4359" t="s">
        <v>3403</v>
      </c>
      <c r="G4359" t="s">
        <v>3402</v>
      </c>
      <c r="H4359" t="s">
        <v>3401</v>
      </c>
      <c r="I4359">
        <v>5405</v>
      </c>
      <c r="J4359" s="3">
        <v>108</v>
      </c>
      <c r="K4359" s="3">
        <v>48.13</v>
      </c>
      <c r="L4359">
        <v>55.44</v>
      </c>
    </row>
    <row r="4360" spans="1:12">
      <c r="A4360" s="1">
        <v>46041</v>
      </c>
      <c r="B4360" t="s">
        <v>7999</v>
      </c>
      <c r="C4360">
        <v>14</v>
      </c>
      <c r="D4360" t="str">
        <f>VLOOKUP(Tabela26[[#This Row],[EMP]],[1]LOJA!$A:$B,2,0)</f>
        <v>S IA</v>
      </c>
      <c r="E4360">
        <v>54</v>
      </c>
      <c r="F4360" t="s">
        <v>7998</v>
      </c>
      <c r="G4360" t="s">
        <v>3402</v>
      </c>
      <c r="H4360" t="s">
        <v>3401</v>
      </c>
      <c r="I4360">
        <v>5405</v>
      </c>
      <c r="J4360" s="3">
        <v>152</v>
      </c>
      <c r="K4360" s="3">
        <v>76.86</v>
      </c>
      <c r="L4360">
        <v>49.43</v>
      </c>
    </row>
    <row r="4361" spans="1:12">
      <c r="A4361" s="1">
        <v>46041</v>
      </c>
      <c r="B4361" t="s">
        <v>7997</v>
      </c>
      <c r="C4361">
        <v>14</v>
      </c>
      <c r="D4361" t="str">
        <f>VLOOKUP(Tabela26[[#This Row],[EMP]],[1]LOJA!$A:$B,2,0)</f>
        <v>S IA</v>
      </c>
      <c r="E4361">
        <v>54</v>
      </c>
      <c r="F4361" t="s">
        <v>7111</v>
      </c>
      <c r="G4361" t="s">
        <v>3402</v>
      </c>
      <c r="H4361" t="s">
        <v>3408</v>
      </c>
      <c r="I4361">
        <v>5405</v>
      </c>
      <c r="J4361" s="3">
        <v>55</v>
      </c>
      <c r="K4361" s="3">
        <v>26.53</v>
      </c>
      <c r="L4361">
        <v>51.76</v>
      </c>
    </row>
    <row r="4362" spans="1:12">
      <c r="A4362" s="1">
        <v>46041</v>
      </c>
      <c r="B4362" t="s">
        <v>7996</v>
      </c>
      <c r="C4362">
        <v>14</v>
      </c>
      <c r="D4362" t="str">
        <f>VLOOKUP(Tabela26[[#This Row],[EMP]],[1]LOJA!$A:$B,2,0)</f>
        <v>S IA</v>
      </c>
      <c r="E4362">
        <v>54</v>
      </c>
      <c r="F4362" t="s">
        <v>7995</v>
      </c>
      <c r="G4362" t="s">
        <v>7994</v>
      </c>
      <c r="H4362" t="s">
        <v>3401</v>
      </c>
      <c r="I4362">
        <v>5102</v>
      </c>
      <c r="J4362" s="3">
        <v>24</v>
      </c>
      <c r="K4362" s="3">
        <v>15.24</v>
      </c>
      <c r="L4362">
        <v>36.5</v>
      </c>
    </row>
    <row r="4363" spans="1:12">
      <c r="A4363" s="1">
        <v>46041</v>
      </c>
      <c r="B4363" t="s">
        <v>7993</v>
      </c>
      <c r="C4363">
        <v>14</v>
      </c>
      <c r="D4363" t="str">
        <f>VLOOKUP(Tabela26[[#This Row],[EMP]],[1]LOJA!$A:$B,2,0)</f>
        <v>S IA</v>
      </c>
      <c r="E4363">
        <v>54</v>
      </c>
      <c r="F4363" t="s">
        <v>3403</v>
      </c>
      <c r="G4363" t="s">
        <v>3402</v>
      </c>
      <c r="H4363" t="s">
        <v>3401</v>
      </c>
      <c r="I4363">
        <v>5405</v>
      </c>
      <c r="J4363" s="3">
        <v>57</v>
      </c>
      <c r="K4363" s="3">
        <v>23.83</v>
      </c>
      <c r="L4363">
        <v>58.19</v>
      </c>
    </row>
    <row r="4364" spans="1:12">
      <c r="A4364" s="1">
        <v>46041</v>
      </c>
      <c r="B4364" t="s">
        <v>7992</v>
      </c>
      <c r="C4364">
        <v>4</v>
      </c>
      <c r="D4364" t="str">
        <f>VLOOKUP(Tabela26[[#This Row],[EMP]],[1]LOJA!$A:$B,2,0)</f>
        <v>ADE</v>
      </c>
      <c r="E4364">
        <v>132</v>
      </c>
      <c r="F4364" t="s">
        <v>5027</v>
      </c>
      <c r="G4364" t="s">
        <v>5026</v>
      </c>
      <c r="H4364" t="s">
        <v>3430</v>
      </c>
      <c r="I4364">
        <v>5405</v>
      </c>
      <c r="J4364" s="3">
        <v>333.9</v>
      </c>
      <c r="K4364" s="3">
        <v>174.69</v>
      </c>
      <c r="L4364">
        <v>47.68</v>
      </c>
    </row>
    <row r="4365" spans="1:12">
      <c r="A4365" s="1">
        <v>46041</v>
      </c>
      <c r="B4365" t="s">
        <v>7991</v>
      </c>
      <c r="C4365">
        <v>4</v>
      </c>
      <c r="D4365" t="str">
        <f>VLOOKUP(Tabela26[[#This Row],[EMP]],[1]LOJA!$A:$B,2,0)</f>
        <v>ADE</v>
      </c>
      <c r="E4365">
        <v>132</v>
      </c>
      <c r="F4365" t="s">
        <v>3677</v>
      </c>
      <c r="G4365" t="s">
        <v>3676</v>
      </c>
      <c r="H4365" t="s">
        <v>3430</v>
      </c>
      <c r="I4365">
        <v>5102</v>
      </c>
      <c r="J4365" s="3">
        <v>172.9</v>
      </c>
      <c r="K4365" s="3">
        <v>122.35</v>
      </c>
      <c r="L4365">
        <v>29.24</v>
      </c>
    </row>
    <row r="4366" spans="1:12">
      <c r="A4366" s="1">
        <v>46041</v>
      </c>
      <c r="B4366" t="s">
        <v>7990</v>
      </c>
      <c r="C4366">
        <v>4</v>
      </c>
      <c r="D4366" t="str">
        <f>VLOOKUP(Tabela26[[#This Row],[EMP]],[1]LOJA!$A:$B,2,0)</f>
        <v>ADE</v>
      </c>
      <c r="E4366">
        <v>132</v>
      </c>
      <c r="F4366" t="s">
        <v>7989</v>
      </c>
      <c r="G4366" t="s">
        <v>7988</v>
      </c>
      <c r="H4366" t="s">
        <v>3408</v>
      </c>
      <c r="I4366">
        <v>5405</v>
      </c>
      <c r="J4366" s="3">
        <v>487</v>
      </c>
      <c r="K4366" s="3">
        <v>264.85000000000002</v>
      </c>
      <c r="L4366">
        <v>45.62</v>
      </c>
    </row>
    <row r="4367" spans="1:12">
      <c r="A4367" s="1">
        <v>46041</v>
      </c>
      <c r="B4367" t="s">
        <v>7987</v>
      </c>
      <c r="C4367">
        <v>4</v>
      </c>
      <c r="D4367" t="str">
        <f>VLOOKUP(Tabela26[[#This Row],[EMP]],[1]LOJA!$A:$B,2,0)</f>
        <v>ADE</v>
      </c>
      <c r="E4367">
        <v>132</v>
      </c>
      <c r="F4367" t="s">
        <v>3677</v>
      </c>
      <c r="G4367" t="s">
        <v>3676</v>
      </c>
      <c r="H4367" t="s">
        <v>3679</v>
      </c>
      <c r="I4367">
        <v>5405</v>
      </c>
      <c r="J4367" s="3">
        <v>2164.58</v>
      </c>
      <c r="K4367" s="3">
        <v>977.77</v>
      </c>
      <c r="L4367">
        <v>54.83</v>
      </c>
    </row>
    <row r="4368" spans="1:12">
      <c r="A4368" s="1">
        <v>46041</v>
      </c>
      <c r="B4368" t="s">
        <v>7986</v>
      </c>
      <c r="C4368">
        <v>4</v>
      </c>
      <c r="D4368" t="str">
        <f>VLOOKUP(Tabela26[[#This Row],[EMP]],[1]LOJA!$A:$B,2,0)</f>
        <v>ADE</v>
      </c>
      <c r="E4368">
        <v>132</v>
      </c>
      <c r="F4368" t="s">
        <v>3677</v>
      </c>
      <c r="G4368" t="s">
        <v>3676</v>
      </c>
      <c r="H4368" t="s">
        <v>3430</v>
      </c>
      <c r="I4368">
        <v>5102</v>
      </c>
      <c r="J4368" s="3">
        <v>128</v>
      </c>
      <c r="K4368" s="3">
        <v>54.32</v>
      </c>
      <c r="L4368">
        <v>57.56</v>
      </c>
    </row>
    <row r="4369" spans="1:12">
      <c r="A4369" s="1">
        <v>46041</v>
      </c>
      <c r="B4369" t="s">
        <v>7985</v>
      </c>
      <c r="C4369">
        <v>4</v>
      </c>
      <c r="D4369" t="str">
        <f>VLOOKUP(Tabela26[[#This Row],[EMP]],[1]LOJA!$A:$B,2,0)</f>
        <v>ADE</v>
      </c>
      <c r="E4369">
        <v>132</v>
      </c>
      <c r="F4369" t="s">
        <v>7984</v>
      </c>
      <c r="G4369" t="s">
        <v>7983</v>
      </c>
      <c r="H4369" t="s">
        <v>3430</v>
      </c>
      <c r="I4369">
        <v>5102</v>
      </c>
      <c r="J4369" s="3">
        <v>220.91</v>
      </c>
      <c r="K4369" s="3">
        <v>104.65</v>
      </c>
      <c r="L4369">
        <v>52.63</v>
      </c>
    </row>
    <row r="4370" spans="1:12">
      <c r="A4370" s="1">
        <v>46041</v>
      </c>
      <c r="B4370" t="s">
        <v>7982</v>
      </c>
      <c r="C4370">
        <v>4</v>
      </c>
      <c r="D4370" t="str">
        <f>VLOOKUP(Tabela26[[#This Row],[EMP]],[1]LOJA!$A:$B,2,0)</f>
        <v>ADE</v>
      </c>
      <c r="E4370">
        <v>132</v>
      </c>
      <c r="F4370" t="s">
        <v>3660</v>
      </c>
      <c r="G4370" t="s">
        <v>3659</v>
      </c>
      <c r="H4370" t="s">
        <v>3430</v>
      </c>
      <c r="I4370">
        <v>5405</v>
      </c>
      <c r="J4370" s="3">
        <v>371.16</v>
      </c>
      <c r="K4370" s="3">
        <v>181.15</v>
      </c>
      <c r="L4370">
        <v>51.19</v>
      </c>
    </row>
    <row r="4371" spans="1:12">
      <c r="A4371" s="1">
        <v>46041</v>
      </c>
      <c r="B4371" t="s">
        <v>7981</v>
      </c>
      <c r="C4371">
        <v>4</v>
      </c>
      <c r="D4371" t="str">
        <f>VLOOKUP(Tabela26[[#This Row],[EMP]],[1]LOJA!$A:$B,2,0)</f>
        <v>ADE</v>
      </c>
      <c r="E4371">
        <v>132</v>
      </c>
      <c r="F4371" t="s">
        <v>7980</v>
      </c>
      <c r="G4371" t="s">
        <v>7979</v>
      </c>
      <c r="H4371" t="s">
        <v>3401</v>
      </c>
      <c r="I4371">
        <v>1202</v>
      </c>
      <c r="J4371" s="3">
        <v>-17</v>
      </c>
      <c r="K4371" s="3">
        <v>-9.65</v>
      </c>
      <c r="L4371">
        <v>43.24</v>
      </c>
    </row>
    <row r="4372" spans="1:12">
      <c r="A4372" s="1">
        <v>46041</v>
      </c>
      <c r="B4372" t="s">
        <v>7978</v>
      </c>
      <c r="C4372">
        <v>4</v>
      </c>
      <c r="D4372" t="str">
        <f>VLOOKUP(Tabela26[[#This Row],[EMP]],[1]LOJA!$A:$B,2,0)</f>
        <v>ADE</v>
      </c>
      <c r="E4372">
        <v>132</v>
      </c>
      <c r="F4372" t="s">
        <v>5022</v>
      </c>
      <c r="G4372" t="s">
        <v>5021</v>
      </c>
      <c r="H4372" t="s">
        <v>3401</v>
      </c>
      <c r="I4372">
        <v>5405</v>
      </c>
      <c r="J4372" s="3">
        <v>1540</v>
      </c>
      <c r="K4372" s="3">
        <v>929.04</v>
      </c>
      <c r="L4372">
        <v>39.67</v>
      </c>
    </row>
    <row r="4373" spans="1:12">
      <c r="A4373" s="1">
        <v>46041</v>
      </c>
      <c r="B4373" t="s">
        <v>7977</v>
      </c>
      <c r="C4373">
        <v>4</v>
      </c>
      <c r="D4373" t="str">
        <f>VLOOKUP(Tabela26[[#This Row],[EMP]],[1]LOJA!$A:$B,2,0)</f>
        <v>ADE</v>
      </c>
      <c r="E4373">
        <v>132</v>
      </c>
      <c r="F4373" t="s">
        <v>3667</v>
      </c>
      <c r="G4373" t="s">
        <v>3666</v>
      </c>
      <c r="H4373" t="s">
        <v>3430</v>
      </c>
      <c r="I4373">
        <v>5405</v>
      </c>
      <c r="J4373" s="3">
        <v>96.3</v>
      </c>
      <c r="K4373" s="3">
        <v>47.16</v>
      </c>
      <c r="L4373">
        <v>51.03</v>
      </c>
    </row>
    <row r="4374" spans="1:12">
      <c r="A4374" s="1">
        <v>46041</v>
      </c>
      <c r="B4374" t="s">
        <v>7976</v>
      </c>
      <c r="C4374">
        <v>13</v>
      </c>
      <c r="D4374" t="str">
        <f>VLOOKUP(Tabela26[[#This Row],[EMP]],[1]LOJA!$A:$B,2,0)</f>
        <v>CEILÂNDIA</v>
      </c>
      <c r="E4374">
        <v>86</v>
      </c>
      <c r="F4374" t="s">
        <v>4346</v>
      </c>
      <c r="G4374" t="s">
        <v>4345</v>
      </c>
      <c r="H4374" t="s">
        <v>3408</v>
      </c>
      <c r="I4374">
        <v>5405</v>
      </c>
      <c r="J4374" s="3">
        <v>52</v>
      </c>
      <c r="K4374" s="3">
        <v>25.77</v>
      </c>
      <c r="L4374">
        <v>50.44</v>
      </c>
    </row>
    <row r="4375" spans="1:12">
      <c r="A4375" s="1">
        <v>46041</v>
      </c>
      <c r="B4375" t="s">
        <v>7975</v>
      </c>
      <c r="C4375">
        <v>13</v>
      </c>
      <c r="D4375" t="str">
        <f>VLOOKUP(Tabela26[[#This Row],[EMP]],[1]LOJA!$A:$B,2,0)</f>
        <v>CEILÂNDIA</v>
      </c>
      <c r="E4375">
        <v>86</v>
      </c>
      <c r="F4375" t="s">
        <v>6595</v>
      </c>
      <c r="G4375" t="s">
        <v>6594</v>
      </c>
      <c r="H4375" t="s">
        <v>3408</v>
      </c>
      <c r="I4375">
        <v>5102</v>
      </c>
      <c r="J4375" s="3">
        <v>50.5</v>
      </c>
      <c r="K4375" s="3">
        <v>27.88</v>
      </c>
      <c r="L4375">
        <v>44.79</v>
      </c>
    </row>
    <row r="4376" spans="1:12">
      <c r="A4376" s="1">
        <v>46041</v>
      </c>
      <c r="B4376" t="s">
        <v>7974</v>
      </c>
      <c r="C4376">
        <v>13</v>
      </c>
      <c r="D4376" t="str">
        <f>VLOOKUP(Tabela26[[#This Row],[EMP]],[1]LOJA!$A:$B,2,0)</f>
        <v>CEILÂNDIA</v>
      </c>
      <c r="E4376">
        <v>86</v>
      </c>
      <c r="F4376" t="s">
        <v>3403</v>
      </c>
      <c r="G4376" t="s">
        <v>3402</v>
      </c>
      <c r="H4376" t="s">
        <v>3401</v>
      </c>
      <c r="I4376">
        <v>5102</v>
      </c>
      <c r="J4376" s="3">
        <v>5</v>
      </c>
      <c r="K4376" s="3">
        <v>3.08</v>
      </c>
      <c r="L4376">
        <v>38.4</v>
      </c>
    </row>
    <row r="4377" spans="1:12">
      <c r="A4377" s="1">
        <v>46041</v>
      </c>
      <c r="B4377" t="s">
        <v>7973</v>
      </c>
      <c r="C4377">
        <v>13</v>
      </c>
      <c r="D4377" t="str">
        <f>VLOOKUP(Tabela26[[#This Row],[EMP]],[1]LOJA!$A:$B,2,0)</f>
        <v>CEILÂNDIA</v>
      </c>
      <c r="E4377">
        <v>86</v>
      </c>
      <c r="F4377" t="s">
        <v>3403</v>
      </c>
      <c r="G4377" t="s">
        <v>3402</v>
      </c>
      <c r="H4377" t="s">
        <v>3401</v>
      </c>
      <c r="I4377">
        <v>5102</v>
      </c>
      <c r="J4377" s="3">
        <v>66</v>
      </c>
      <c r="K4377" s="3">
        <v>39.409999999999997</v>
      </c>
      <c r="L4377">
        <v>40.29</v>
      </c>
    </row>
    <row r="4378" spans="1:12">
      <c r="A4378" s="1">
        <v>46041</v>
      </c>
      <c r="B4378" t="s">
        <v>7972</v>
      </c>
      <c r="C4378">
        <v>13</v>
      </c>
      <c r="D4378" t="str">
        <f>VLOOKUP(Tabela26[[#This Row],[EMP]],[1]LOJA!$A:$B,2,0)</f>
        <v>CEILÂNDIA</v>
      </c>
      <c r="E4378">
        <v>86</v>
      </c>
      <c r="F4378" t="s">
        <v>6207</v>
      </c>
      <c r="G4378" t="s">
        <v>6206</v>
      </c>
      <c r="H4378" t="s">
        <v>3408</v>
      </c>
      <c r="I4378">
        <v>5405</v>
      </c>
      <c r="J4378" s="3">
        <v>52</v>
      </c>
      <c r="K4378" s="3">
        <v>25.77</v>
      </c>
      <c r="L4378">
        <v>50.44</v>
      </c>
    </row>
    <row r="4379" spans="1:12">
      <c r="A4379" s="1">
        <v>46041</v>
      </c>
      <c r="B4379" t="s">
        <v>7971</v>
      </c>
      <c r="C4379">
        <v>13</v>
      </c>
      <c r="D4379" t="str">
        <f>VLOOKUP(Tabela26[[#This Row],[EMP]],[1]LOJA!$A:$B,2,0)</f>
        <v>CEILÂNDIA</v>
      </c>
      <c r="E4379">
        <v>86</v>
      </c>
      <c r="F4379" t="s">
        <v>3403</v>
      </c>
      <c r="G4379" t="s">
        <v>3402</v>
      </c>
      <c r="H4379" t="s">
        <v>3401</v>
      </c>
      <c r="I4379">
        <v>5102</v>
      </c>
      <c r="J4379" s="3">
        <v>53</v>
      </c>
      <c r="K4379" s="3">
        <v>29.14</v>
      </c>
      <c r="L4379">
        <v>45.02</v>
      </c>
    </row>
    <row r="4380" spans="1:12">
      <c r="A4380" s="1">
        <v>46041</v>
      </c>
      <c r="B4380" t="s">
        <v>7970</v>
      </c>
      <c r="C4380">
        <v>13</v>
      </c>
      <c r="D4380" t="str">
        <f>VLOOKUP(Tabela26[[#This Row],[EMP]],[1]LOJA!$A:$B,2,0)</f>
        <v>CEILÂNDIA</v>
      </c>
      <c r="E4380">
        <v>86</v>
      </c>
      <c r="F4380" t="s">
        <v>3403</v>
      </c>
      <c r="G4380" t="s">
        <v>3402</v>
      </c>
      <c r="H4380" t="s">
        <v>3401</v>
      </c>
      <c r="I4380">
        <v>5102</v>
      </c>
      <c r="J4380" s="3">
        <v>45</v>
      </c>
      <c r="K4380" s="3">
        <v>21.09</v>
      </c>
      <c r="L4380">
        <v>53.13</v>
      </c>
    </row>
    <row r="4381" spans="1:12">
      <c r="A4381" s="1">
        <v>46041</v>
      </c>
      <c r="B4381" t="s">
        <v>7969</v>
      </c>
      <c r="C4381">
        <v>13</v>
      </c>
      <c r="D4381" t="str">
        <f>VLOOKUP(Tabela26[[#This Row],[EMP]],[1]LOJA!$A:$B,2,0)</f>
        <v>CEILÂNDIA</v>
      </c>
      <c r="E4381">
        <v>86</v>
      </c>
      <c r="F4381" t="s">
        <v>3409</v>
      </c>
      <c r="G4381" t="s">
        <v>3402</v>
      </c>
      <c r="H4381" t="s">
        <v>3408</v>
      </c>
      <c r="I4381">
        <v>5102</v>
      </c>
      <c r="J4381" s="3">
        <v>38.5</v>
      </c>
      <c r="K4381" s="3">
        <v>22.78</v>
      </c>
      <c r="L4381">
        <v>40.83</v>
      </c>
    </row>
    <row r="4382" spans="1:12">
      <c r="A4382" s="1">
        <v>46041</v>
      </c>
      <c r="B4382" t="s">
        <v>7968</v>
      </c>
      <c r="C4382">
        <v>13</v>
      </c>
      <c r="D4382" t="str">
        <f>VLOOKUP(Tabela26[[#This Row],[EMP]],[1]LOJA!$A:$B,2,0)</f>
        <v>CEILÂNDIA</v>
      </c>
      <c r="E4382">
        <v>33</v>
      </c>
      <c r="F4382" t="s">
        <v>3403</v>
      </c>
      <c r="G4382" t="s">
        <v>3402</v>
      </c>
      <c r="H4382" t="s">
        <v>3401</v>
      </c>
      <c r="I4382">
        <v>5102</v>
      </c>
      <c r="J4382" s="3">
        <v>7</v>
      </c>
      <c r="K4382" s="3">
        <v>3.36</v>
      </c>
      <c r="L4382">
        <v>52</v>
      </c>
    </row>
    <row r="4383" spans="1:12">
      <c r="A4383" s="1">
        <v>46041</v>
      </c>
      <c r="B4383" t="s">
        <v>7967</v>
      </c>
      <c r="C4383">
        <v>13</v>
      </c>
      <c r="D4383" t="str">
        <f>VLOOKUP(Tabela26[[#This Row],[EMP]],[1]LOJA!$A:$B,2,0)</f>
        <v>CEILÂNDIA</v>
      </c>
      <c r="E4383">
        <v>86</v>
      </c>
      <c r="F4383" t="s">
        <v>7966</v>
      </c>
      <c r="G4383" t="s">
        <v>3402</v>
      </c>
      <c r="H4383" t="s">
        <v>3401</v>
      </c>
      <c r="I4383">
        <v>5405</v>
      </c>
      <c r="J4383" s="3">
        <v>113</v>
      </c>
      <c r="K4383" s="3">
        <v>64.650000000000006</v>
      </c>
      <c r="L4383">
        <v>42.79</v>
      </c>
    </row>
    <row r="4384" spans="1:12">
      <c r="A4384" s="1">
        <v>46041</v>
      </c>
      <c r="B4384" t="s">
        <v>7965</v>
      </c>
      <c r="C4384">
        <v>13</v>
      </c>
      <c r="D4384" t="str">
        <f>VLOOKUP(Tabela26[[#This Row],[EMP]],[1]LOJA!$A:$B,2,0)</f>
        <v>CEILÂNDIA</v>
      </c>
      <c r="E4384">
        <v>33</v>
      </c>
      <c r="F4384" t="s">
        <v>7964</v>
      </c>
      <c r="G4384" t="s">
        <v>3402</v>
      </c>
      <c r="H4384" t="s">
        <v>3401</v>
      </c>
      <c r="I4384">
        <v>5405</v>
      </c>
      <c r="J4384" s="3">
        <v>1189.9000000000001</v>
      </c>
      <c r="K4384" s="3">
        <v>673.82</v>
      </c>
      <c r="L4384">
        <v>43.37</v>
      </c>
    </row>
    <row r="4385" spans="1:12">
      <c r="A4385" s="1">
        <v>46041</v>
      </c>
      <c r="B4385" t="s">
        <v>7963</v>
      </c>
      <c r="C4385">
        <v>13</v>
      </c>
      <c r="D4385" t="str">
        <f>VLOOKUP(Tabela26[[#This Row],[EMP]],[1]LOJA!$A:$B,2,0)</f>
        <v>CEILÂNDIA</v>
      </c>
      <c r="E4385">
        <v>86</v>
      </c>
      <c r="F4385" t="s">
        <v>4346</v>
      </c>
      <c r="G4385" t="s">
        <v>4345</v>
      </c>
      <c r="H4385" t="s">
        <v>3408</v>
      </c>
      <c r="I4385">
        <v>5405</v>
      </c>
      <c r="J4385" s="3">
        <v>371.01</v>
      </c>
      <c r="K4385" s="3">
        <v>193.88</v>
      </c>
      <c r="L4385">
        <v>47.74</v>
      </c>
    </row>
    <row r="4386" spans="1:12">
      <c r="A4386" s="1">
        <v>46041</v>
      </c>
      <c r="B4386" t="s">
        <v>7962</v>
      </c>
      <c r="C4386">
        <v>13</v>
      </c>
      <c r="D4386" t="str">
        <f>VLOOKUP(Tabela26[[#This Row],[EMP]],[1]LOJA!$A:$B,2,0)</f>
        <v>CEILÂNDIA</v>
      </c>
      <c r="E4386">
        <v>86</v>
      </c>
      <c r="F4386" t="s">
        <v>3403</v>
      </c>
      <c r="G4386" t="s">
        <v>3402</v>
      </c>
      <c r="H4386" t="s">
        <v>3401</v>
      </c>
      <c r="I4386">
        <v>5405</v>
      </c>
      <c r="J4386" s="3">
        <v>65</v>
      </c>
      <c r="K4386" s="3">
        <v>30.26</v>
      </c>
      <c r="L4386">
        <v>53.45</v>
      </c>
    </row>
    <row r="4387" spans="1:12">
      <c r="A4387" s="1">
        <v>46041</v>
      </c>
      <c r="B4387" t="s">
        <v>7961</v>
      </c>
      <c r="C4387">
        <v>13</v>
      </c>
      <c r="D4387" t="str">
        <f>VLOOKUP(Tabela26[[#This Row],[EMP]],[1]LOJA!$A:$B,2,0)</f>
        <v>CEILÂNDIA</v>
      </c>
      <c r="E4387">
        <v>86</v>
      </c>
      <c r="F4387" t="s">
        <v>3624</v>
      </c>
      <c r="G4387" t="s">
        <v>3402</v>
      </c>
      <c r="H4387" t="s">
        <v>3408</v>
      </c>
      <c r="I4387">
        <v>5102</v>
      </c>
      <c r="J4387" s="3">
        <v>287</v>
      </c>
      <c r="K4387" s="3">
        <v>167.77</v>
      </c>
      <c r="L4387">
        <v>41.54</v>
      </c>
    </row>
    <row r="4388" spans="1:12">
      <c r="A4388" s="1">
        <v>46041</v>
      </c>
      <c r="B4388" t="s">
        <v>7960</v>
      </c>
      <c r="C4388">
        <v>13</v>
      </c>
      <c r="D4388" t="str">
        <f>VLOOKUP(Tabela26[[#This Row],[EMP]],[1]LOJA!$A:$B,2,0)</f>
        <v>CEILÂNDIA</v>
      </c>
      <c r="E4388">
        <v>86</v>
      </c>
      <c r="F4388" t="s">
        <v>7947</v>
      </c>
      <c r="G4388" t="s">
        <v>7946</v>
      </c>
      <c r="H4388" t="s">
        <v>3408</v>
      </c>
      <c r="I4388">
        <v>5102</v>
      </c>
      <c r="J4388" s="3">
        <v>44.9</v>
      </c>
      <c r="K4388" s="3">
        <v>21.23</v>
      </c>
      <c r="L4388">
        <v>52.72</v>
      </c>
    </row>
    <row r="4389" spans="1:12">
      <c r="A4389" s="1">
        <v>46041</v>
      </c>
      <c r="B4389" t="s">
        <v>7959</v>
      </c>
      <c r="C4389">
        <v>13</v>
      </c>
      <c r="D4389" t="str">
        <f>VLOOKUP(Tabela26[[#This Row],[EMP]],[1]LOJA!$A:$B,2,0)</f>
        <v>CEILÂNDIA</v>
      </c>
      <c r="E4389">
        <v>86</v>
      </c>
      <c r="F4389" t="s">
        <v>7947</v>
      </c>
      <c r="G4389" t="s">
        <v>7946</v>
      </c>
      <c r="H4389" t="s">
        <v>3408</v>
      </c>
      <c r="I4389">
        <v>5405</v>
      </c>
      <c r="J4389" s="3">
        <v>50</v>
      </c>
      <c r="K4389" s="3">
        <v>24.75</v>
      </c>
      <c r="L4389">
        <v>50.5</v>
      </c>
    </row>
    <row r="4390" spans="1:12">
      <c r="A4390" s="1">
        <v>46041</v>
      </c>
      <c r="B4390" t="s">
        <v>7958</v>
      </c>
      <c r="C4390">
        <v>13</v>
      </c>
      <c r="D4390" t="str">
        <f>VLOOKUP(Tabela26[[#This Row],[EMP]],[1]LOJA!$A:$B,2,0)</f>
        <v>CEILÂNDIA</v>
      </c>
      <c r="E4390">
        <v>86</v>
      </c>
      <c r="F4390" t="s">
        <v>3403</v>
      </c>
      <c r="G4390" t="s">
        <v>3402</v>
      </c>
      <c r="H4390" t="s">
        <v>3401</v>
      </c>
      <c r="I4390">
        <v>5405</v>
      </c>
      <c r="J4390" s="3">
        <v>98</v>
      </c>
      <c r="K4390" s="3">
        <v>48.27</v>
      </c>
      <c r="L4390">
        <v>50.74</v>
      </c>
    </row>
    <row r="4391" spans="1:12">
      <c r="A4391" s="1">
        <v>46041</v>
      </c>
      <c r="B4391" t="s">
        <v>7957</v>
      </c>
      <c r="C4391">
        <v>13</v>
      </c>
      <c r="D4391" t="str">
        <f>VLOOKUP(Tabela26[[#This Row],[EMP]],[1]LOJA!$A:$B,2,0)</f>
        <v>CEILÂNDIA</v>
      </c>
      <c r="E4391">
        <v>86</v>
      </c>
      <c r="F4391" t="s">
        <v>3593</v>
      </c>
      <c r="G4391" t="s">
        <v>3402</v>
      </c>
      <c r="H4391" t="s">
        <v>3408</v>
      </c>
      <c r="I4391">
        <v>5405</v>
      </c>
      <c r="J4391" s="3">
        <v>260</v>
      </c>
      <c r="K4391" s="3">
        <v>141.71</v>
      </c>
      <c r="L4391">
        <v>45.5</v>
      </c>
    </row>
    <row r="4392" spans="1:12">
      <c r="A4392" s="1">
        <v>46041</v>
      </c>
      <c r="B4392" t="s">
        <v>7956</v>
      </c>
      <c r="C4392">
        <v>13</v>
      </c>
      <c r="D4392" t="str">
        <f>VLOOKUP(Tabela26[[#This Row],[EMP]],[1]LOJA!$A:$B,2,0)</f>
        <v>CEILÂNDIA</v>
      </c>
      <c r="E4392">
        <v>33</v>
      </c>
      <c r="F4392" t="s">
        <v>3403</v>
      </c>
      <c r="G4392" t="s">
        <v>3402</v>
      </c>
      <c r="H4392" t="s">
        <v>3401</v>
      </c>
      <c r="I4392">
        <v>5102</v>
      </c>
      <c r="J4392" s="3">
        <v>15</v>
      </c>
      <c r="K4392" s="3">
        <v>7.32</v>
      </c>
      <c r="L4392">
        <v>51.2</v>
      </c>
    </row>
    <row r="4393" spans="1:12">
      <c r="A4393" s="1">
        <v>46041</v>
      </c>
      <c r="B4393" t="s">
        <v>7955</v>
      </c>
      <c r="C4393">
        <v>13</v>
      </c>
      <c r="D4393" t="str">
        <f>VLOOKUP(Tabela26[[#This Row],[EMP]],[1]LOJA!$A:$B,2,0)</f>
        <v>CEILÂNDIA</v>
      </c>
      <c r="E4393">
        <v>33</v>
      </c>
      <c r="F4393" t="s">
        <v>3403</v>
      </c>
      <c r="G4393" t="s">
        <v>3402</v>
      </c>
      <c r="H4393" t="s">
        <v>3401</v>
      </c>
      <c r="I4393">
        <v>5102</v>
      </c>
      <c r="J4393" s="3">
        <v>15</v>
      </c>
      <c r="K4393" s="3">
        <v>7.32</v>
      </c>
      <c r="L4393">
        <v>51.2</v>
      </c>
    </row>
    <row r="4394" spans="1:12">
      <c r="A4394" s="1">
        <v>46041</v>
      </c>
      <c r="B4394" t="s">
        <v>7954</v>
      </c>
      <c r="C4394">
        <v>13</v>
      </c>
      <c r="D4394" t="str">
        <f>VLOOKUP(Tabela26[[#This Row],[EMP]],[1]LOJA!$A:$B,2,0)</f>
        <v>CEILÂNDIA</v>
      </c>
      <c r="E4394">
        <v>86</v>
      </c>
      <c r="F4394" t="s">
        <v>3403</v>
      </c>
      <c r="G4394" t="s">
        <v>3402</v>
      </c>
      <c r="H4394" t="s">
        <v>3401</v>
      </c>
      <c r="I4394">
        <v>5405</v>
      </c>
      <c r="J4394" s="3">
        <v>700</v>
      </c>
      <c r="K4394" s="3">
        <v>330.48</v>
      </c>
      <c r="L4394">
        <v>52.79</v>
      </c>
    </row>
    <row r="4395" spans="1:12">
      <c r="A4395" s="1">
        <v>46041</v>
      </c>
      <c r="B4395" t="s">
        <v>7953</v>
      </c>
      <c r="C4395">
        <v>13</v>
      </c>
      <c r="D4395" t="str">
        <f>VLOOKUP(Tabela26[[#This Row],[EMP]],[1]LOJA!$A:$B,2,0)</f>
        <v>CEILÂNDIA</v>
      </c>
      <c r="E4395">
        <v>33</v>
      </c>
      <c r="F4395" t="s">
        <v>7952</v>
      </c>
      <c r="G4395" t="s">
        <v>7951</v>
      </c>
      <c r="H4395" t="s">
        <v>7924</v>
      </c>
      <c r="I4395">
        <v>5102</v>
      </c>
      <c r="J4395" s="3">
        <v>255.2</v>
      </c>
      <c r="K4395" s="3">
        <v>144.16</v>
      </c>
      <c r="L4395">
        <v>43.51</v>
      </c>
    </row>
    <row r="4396" spans="1:12">
      <c r="A4396" s="1">
        <v>46041</v>
      </c>
      <c r="B4396" t="s">
        <v>7950</v>
      </c>
      <c r="C4396">
        <v>13</v>
      </c>
      <c r="D4396" t="str">
        <f>VLOOKUP(Tabela26[[#This Row],[EMP]],[1]LOJA!$A:$B,2,0)</f>
        <v>CEILÂNDIA</v>
      </c>
      <c r="E4396">
        <v>86</v>
      </c>
      <c r="F4396" t="s">
        <v>3403</v>
      </c>
      <c r="G4396" t="s">
        <v>3402</v>
      </c>
      <c r="H4396" t="s">
        <v>3401</v>
      </c>
      <c r="I4396">
        <v>5102</v>
      </c>
      <c r="J4396" s="3">
        <v>45</v>
      </c>
      <c r="K4396" s="3">
        <v>28.68</v>
      </c>
      <c r="L4396">
        <v>36.270000000000003</v>
      </c>
    </row>
    <row r="4397" spans="1:12">
      <c r="A4397" s="1">
        <v>46041</v>
      </c>
      <c r="B4397" t="s">
        <v>7949</v>
      </c>
      <c r="C4397">
        <v>13</v>
      </c>
      <c r="D4397" t="str">
        <f>VLOOKUP(Tabela26[[#This Row],[EMP]],[1]LOJA!$A:$B,2,0)</f>
        <v>CEILÂNDIA</v>
      </c>
      <c r="E4397">
        <v>86</v>
      </c>
      <c r="F4397" t="s">
        <v>6625</v>
      </c>
      <c r="G4397" t="s">
        <v>6624</v>
      </c>
      <c r="H4397" t="s">
        <v>7924</v>
      </c>
      <c r="I4397">
        <v>5102</v>
      </c>
      <c r="J4397" s="3">
        <v>72.900000000000006</v>
      </c>
      <c r="K4397" s="3">
        <v>40.020000000000003</v>
      </c>
      <c r="L4397">
        <v>45.1</v>
      </c>
    </row>
    <row r="4398" spans="1:12">
      <c r="A4398" s="1">
        <v>46041</v>
      </c>
      <c r="B4398" t="s">
        <v>7948</v>
      </c>
      <c r="C4398">
        <v>13</v>
      </c>
      <c r="D4398" t="str">
        <f>VLOOKUP(Tabela26[[#This Row],[EMP]],[1]LOJA!$A:$B,2,0)</f>
        <v>CEILÂNDIA</v>
      </c>
      <c r="E4398">
        <v>86</v>
      </c>
      <c r="F4398" t="s">
        <v>7947</v>
      </c>
      <c r="G4398" t="s">
        <v>7946</v>
      </c>
      <c r="H4398" t="s">
        <v>3408</v>
      </c>
      <c r="I4398">
        <v>5102</v>
      </c>
      <c r="J4398" s="3">
        <v>27.9</v>
      </c>
      <c r="K4398" s="3">
        <v>13.96</v>
      </c>
      <c r="L4398">
        <v>49.96</v>
      </c>
    </row>
    <row r="4399" spans="1:12">
      <c r="A4399" s="1">
        <v>46041</v>
      </c>
      <c r="B4399" t="s">
        <v>7945</v>
      </c>
      <c r="C4399">
        <v>13</v>
      </c>
      <c r="D4399" t="str">
        <f>VLOOKUP(Tabela26[[#This Row],[EMP]],[1]LOJA!$A:$B,2,0)</f>
        <v>CEILÂNDIA</v>
      </c>
      <c r="E4399">
        <v>86</v>
      </c>
      <c r="F4399" t="s">
        <v>3403</v>
      </c>
      <c r="G4399" t="s">
        <v>3402</v>
      </c>
      <c r="H4399" t="s">
        <v>3401</v>
      </c>
      <c r="I4399">
        <v>5102</v>
      </c>
      <c r="J4399" s="3">
        <v>66</v>
      </c>
      <c r="K4399" s="3">
        <v>43.48</v>
      </c>
      <c r="L4399">
        <v>34.119999999999997</v>
      </c>
    </row>
    <row r="4400" spans="1:12">
      <c r="A4400" s="1">
        <v>46041</v>
      </c>
      <c r="B4400" t="s">
        <v>7944</v>
      </c>
      <c r="C4400">
        <v>13</v>
      </c>
      <c r="D4400" t="str">
        <f>VLOOKUP(Tabela26[[#This Row],[EMP]],[1]LOJA!$A:$B,2,0)</f>
        <v>CEILÂNDIA</v>
      </c>
      <c r="E4400">
        <v>86</v>
      </c>
      <c r="F4400" t="s">
        <v>3612</v>
      </c>
      <c r="G4400" t="s">
        <v>3611</v>
      </c>
      <c r="H4400" t="s">
        <v>3401</v>
      </c>
      <c r="I4400">
        <v>5405</v>
      </c>
      <c r="J4400" s="3">
        <v>220</v>
      </c>
      <c r="K4400" s="3">
        <v>122.58</v>
      </c>
      <c r="L4400">
        <v>44.28</v>
      </c>
    </row>
    <row r="4401" spans="1:12">
      <c r="A4401" s="1">
        <v>46041</v>
      </c>
      <c r="B4401" t="s">
        <v>7943</v>
      </c>
      <c r="C4401">
        <v>13</v>
      </c>
      <c r="D4401" t="str">
        <f>VLOOKUP(Tabela26[[#This Row],[EMP]],[1]LOJA!$A:$B,2,0)</f>
        <v>CEILÂNDIA</v>
      </c>
      <c r="E4401">
        <v>86</v>
      </c>
      <c r="F4401" t="s">
        <v>5565</v>
      </c>
      <c r="G4401" t="s">
        <v>5564</v>
      </c>
      <c r="H4401" t="s">
        <v>7924</v>
      </c>
      <c r="I4401">
        <v>5102</v>
      </c>
      <c r="J4401" s="3">
        <v>138.4</v>
      </c>
      <c r="K4401" s="3">
        <v>78.489999999999995</v>
      </c>
      <c r="L4401">
        <v>43.29</v>
      </c>
    </row>
    <row r="4402" spans="1:12">
      <c r="A4402" s="1">
        <v>46041</v>
      </c>
      <c r="B4402" t="s">
        <v>7942</v>
      </c>
      <c r="C4402">
        <v>13</v>
      </c>
      <c r="D4402" t="str">
        <f>VLOOKUP(Tabela26[[#This Row],[EMP]],[1]LOJA!$A:$B,2,0)</f>
        <v>CEILÂNDIA</v>
      </c>
      <c r="E4402">
        <v>86</v>
      </c>
      <c r="F4402" t="s">
        <v>5845</v>
      </c>
      <c r="G4402" t="s">
        <v>5844</v>
      </c>
      <c r="H4402" t="s">
        <v>3401</v>
      </c>
      <c r="I4402">
        <v>5102</v>
      </c>
      <c r="J4402" s="3">
        <v>138</v>
      </c>
      <c r="K4402" s="3">
        <v>58.98</v>
      </c>
      <c r="L4402">
        <v>57.26</v>
      </c>
    </row>
    <row r="4403" spans="1:12">
      <c r="A4403" s="1">
        <v>46041</v>
      </c>
      <c r="B4403" t="s">
        <v>7941</v>
      </c>
      <c r="C4403">
        <v>13</v>
      </c>
      <c r="D4403" t="str">
        <f>VLOOKUP(Tabela26[[#This Row],[EMP]],[1]LOJA!$A:$B,2,0)</f>
        <v>CEILÂNDIA</v>
      </c>
      <c r="E4403">
        <v>86</v>
      </c>
      <c r="F4403" t="s">
        <v>3587</v>
      </c>
      <c r="G4403" t="s">
        <v>3586</v>
      </c>
      <c r="H4403" t="s">
        <v>3401</v>
      </c>
      <c r="I4403">
        <v>5405</v>
      </c>
      <c r="J4403" s="3">
        <v>295</v>
      </c>
      <c r="K4403" s="3">
        <v>153.91999999999999</v>
      </c>
      <c r="L4403">
        <v>47.82</v>
      </c>
    </row>
    <row r="4404" spans="1:12">
      <c r="A4404" s="1">
        <v>46041</v>
      </c>
      <c r="B4404" t="s">
        <v>7940</v>
      </c>
      <c r="C4404">
        <v>13</v>
      </c>
      <c r="D4404" t="str">
        <f>VLOOKUP(Tabela26[[#This Row],[EMP]],[1]LOJA!$A:$B,2,0)</f>
        <v>CEILÂNDIA</v>
      </c>
      <c r="E4404">
        <v>86</v>
      </c>
      <c r="F4404" t="s">
        <v>3622</v>
      </c>
      <c r="G4404" t="s">
        <v>3402</v>
      </c>
      <c r="H4404" t="s">
        <v>3408</v>
      </c>
      <c r="I4404">
        <v>5405</v>
      </c>
      <c r="J4404" s="3">
        <v>60</v>
      </c>
      <c r="K4404" s="3">
        <v>32.94</v>
      </c>
      <c r="L4404">
        <v>45.1</v>
      </c>
    </row>
    <row r="4405" spans="1:12">
      <c r="A4405" s="1">
        <v>46041</v>
      </c>
      <c r="B4405" t="s">
        <v>7939</v>
      </c>
      <c r="C4405">
        <v>13</v>
      </c>
      <c r="D4405" t="str">
        <f>VLOOKUP(Tabela26[[#This Row],[EMP]],[1]LOJA!$A:$B,2,0)</f>
        <v>CEILÂNDIA</v>
      </c>
      <c r="E4405">
        <v>33</v>
      </c>
      <c r="F4405" t="s">
        <v>7938</v>
      </c>
      <c r="G4405" t="s">
        <v>3402</v>
      </c>
      <c r="H4405" t="s">
        <v>3408</v>
      </c>
      <c r="I4405">
        <v>5405</v>
      </c>
      <c r="J4405" s="3">
        <v>50</v>
      </c>
      <c r="K4405" s="3">
        <v>26.03</v>
      </c>
      <c r="L4405">
        <v>47.94</v>
      </c>
    </row>
    <row r="4406" spans="1:12">
      <c r="A4406" s="1">
        <v>46041</v>
      </c>
      <c r="B4406" t="s">
        <v>7937</v>
      </c>
      <c r="C4406">
        <v>13</v>
      </c>
      <c r="D4406" t="str">
        <f>VLOOKUP(Tabela26[[#This Row],[EMP]],[1]LOJA!$A:$B,2,0)</f>
        <v>CEILÂNDIA</v>
      </c>
      <c r="E4406">
        <v>86</v>
      </c>
      <c r="F4406" t="s">
        <v>4767</v>
      </c>
      <c r="G4406" t="s">
        <v>4766</v>
      </c>
      <c r="H4406" t="s">
        <v>3408</v>
      </c>
      <c r="I4406">
        <v>5102</v>
      </c>
      <c r="J4406" s="3">
        <v>223.9</v>
      </c>
      <c r="K4406" s="3">
        <v>128.08000000000001</v>
      </c>
      <c r="L4406">
        <v>42.8</v>
      </c>
    </row>
    <row r="4407" spans="1:12">
      <c r="A4407" s="1">
        <v>46041</v>
      </c>
      <c r="B4407" t="s">
        <v>7936</v>
      </c>
      <c r="C4407">
        <v>13</v>
      </c>
      <c r="D4407" t="str">
        <f>VLOOKUP(Tabela26[[#This Row],[EMP]],[1]LOJA!$A:$B,2,0)</f>
        <v>CEILÂNDIA</v>
      </c>
      <c r="E4407">
        <v>86</v>
      </c>
      <c r="F4407" t="s">
        <v>6625</v>
      </c>
      <c r="G4407" t="s">
        <v>6624</v>
      </c>
      <c r="H4407" t="s">
        <v>7924</v>
      </c>
      <c r="I4407">
        <v>5102</v>
      </c>
      <c r="J4407" s="3">
        <v>7</v>
      </c>
      <c r="K4407" s="3">
        <v>3.6</v>
      </c>
      <c r="L4407">
        <v>48.57</v>
      </c>
    </row>
    <row r="4408" spans="1:12">
      <c r="A4408" s="1">
        <v>46041</v>
      </c>
      <c r="B4408" t="s">
        <v>7935</v>
      </c>
      <c r="C4408">
        <v>13</v>
      </c>
      <c r="D4408" t="str">
        <f>VLOOKUP(Tabela26[[#This Row],[EMP]],[1]LOJA!$A:$B,2,0)</f>
        <v>CEILÂNDIA</v>
      </c>
      <c r="E4408">
        <v>86</v>
      </c>
      <c r="F4408" t="s">
        <v>3649</v>
      </c>
      <c r="G4408" t="s">
        <v>3648</v>
      </c>
      <c r="H4408" t="s">
        <v>3408</v>
      </c>
      <c r="I4408">
        <v>5102</v>
      </c>
      <c r="J4408" s="3">
        <v>83.2</v>
      </c>
      <c r="K4408" s="3">
        <v>45.33</v>
      </c>
      <c r="L4408">
        <v>45.52</v>
      </c>
    </row>
    <row r="4409" spans="1:12">
      <c r="A4409" s="1">
        <v>46041</v>
      </c>
      <c r="B4409" t="s">
        <v>7934</v>
      </c>
      <c r="C4409">
        <v>13</v>
      </c>
      <c r="D4409" t="str">
        <f>VLOOKUP(Tabela26[[#This Row],[EMP]],[1]LOJA!$A:$B,2,0)</f>
        <v>CEILÂNDIA</v>
      </c>
      <c r="E4409">
        <v>86</v>
      </c>
      <c r="F4409" t="s">
        <v>7933</v>
      </c>
      <c r="G4409" t="s">
        <v>7932</v>
      </c>
      <c r="H4409" t="s">
        <v>3520</v>
      </c>
      <c r="I4409">
        <v>5405</v>
      </c>
      <c r="J4409" s="3">
        <v>299.39999999999998</v>
      </c>
      <c r="K4409" s="3">
        <v>159.18</v>
      </c>
      <c r="L4409">
        <v>46.83</v>
      </c>
    </row>
    <row r="4410" spans="1:12">
      <c r="A4410" s="1">
        <v>46041</v>
      </c>
      <c r="B4410" t="s">
        <v>7931</v>
      </c>
      <c r="C4410">
        <v>13</v>
      </c>
      <c r="D4410" t="str">
        <f>VLOOKUP(Tabela26[[#This Row],[EMP]],[1]LOJA!$A:$B,2,0)</f>
        <v>CEILÂNDIA</v>
      </c>
      <c r="E4410">
        <v>86</v>
      </c>
      <c r="F4410" t="s">
        <v>3612</v>
      </c>
      <c r="G4410" t="s">
        <v>3611</v>
      </c>
      <c r="H4410" t="s">
        <v>3401</v>
      </c>
      <c r="I4410">
        <v>5102</v>
      </c>
      <c r="J4410" s="3">
        <v>7</v>
      </c>
      <c r="K4410" s="3">
        <v>3.38</v>
      </c>
      <c r="L4410">
        <v>51.71</v>
      </c>
    </row>
    <row r="4411" spans="1:12">
      <c r="A4411" s="1">
        <v>46041</v>
      </c>
      <c r="B4411" t="s">
        <v>7930</v>
      </c>
      <c r="C4411">
        <v>13</v>
      </c>
      <c r="D4411" t="str">
        <f>VLOOKUP(Tabela26[[#This Row],[EMP]],[1]LOJA!$A:$B,2,0)</f>
        <v>CEILÂNDIA</v>
      </c>
      <c r="E4411">
        <v>86</v>
      </c>
      <c r="F4411" t="s">
        <v>3406</v>
      </c>
      <c r="G4411" t="s">
        <v>3405</v>
      </c>
      <c r="H4411" t="s">
        <v>3408</v>
      </c>
      <c r="I4411">
        <v>5102</v>
      </c>
      <c r="J4411" s="3">
        <v>118</v>
      </c>
      <c r="K4411" s="3">
        <v>72.319999999999993</v>
      </c>
      <c r="L4411">
        <v>38.71</v>
      </c>
    </row>
    <row r="4412" spans="1:12">
      <c r="A4412" s="1">
        <v>46041</v>
      </c>
      <c r="B4412" t="s">
        <v>7929</v>
      </c>
      <c r="C4412">
        <v>13</v>
      </c>
      <c r="D4412" t="str">
        <f>VLOOKUP(Tabela26[[#This Row],[EMP]],[1]LOJA!$A:$B,2,0)</f>
        <v>CEILÂNDIA</v>
      </c>
      <c r="E4412">
        <v>86</v>
      </c>
      <c r="F4412" t="s">
        <v>3406</v>
      </c>
      <c r="G4412" t="s">
        <v>3405</v>
      </c>
      <c r="H4412" t="s">
        <v>3408</v>
      </c>
      <c r="I4412">
        <v>5102</v>
      </c>
      <c r="J4412" s="3">
        <v>40</v>
      </c>
      <c r="K4412" s="3">
        <v>23.37</v>
      </c>
      <c r="L4412">
        <v>41.58</v>
      </c>
    </row>
    <row r="4413" spans="1:12">
      <c r="A4413" s="1">
        <v>46041</v>
      </c>
      <c r="B4413" t="s">
        <v>7928</v>
      </c>
      <c r="C4413">
        <v>6</v>
      </c>
      <c r="D4413" t="str">
        <f>VLOOKUP(Tabela26[[#This Row],[EMP]],[1]LOJA!$A:$B,2,0)</f>
        <v>GAMA</v>
      </c>
      <c r="E4413">
        <v>245</v>
      </c>
      <c r="F4413" t="s">
        <v>3403</v>
      </c>
      <c r="G4413" t="s">
        <v>3402</v>
      </c>
      <c r="H4413" t="s">
        <v>3401</v>
      </c>
      <c r="I4413">
        <v>5102</v>
      </c>
      <c r="J4413" s="3">
        <v>23</v>
      </c>
      <c r="K4413" s="3">
        <v>10.97</v>
      </c>
      <c r="L4413">
        <v>52.3</v>
      </c>
    </row>
    <row r="4414" spans="1:12">
      <c r="A4414" s="1">
        <v>46041</v>
      </c>
      <c r="B4414" t="s">
        <v>7927</v>
      </c>
      <c r="C4414">
        <v>6</v>
      </c>
      <c r="D4414" t="str">
        <f>VLOOKUP(Tabela26[[#This Row],[EMP]],[1]LOJA!$A:$B,2,0)</f>
        <v>GAMA</v>
      </c>
      <c r="E4414">
        <v>245</v>
      </c>
      <c r="F4414" t="s">
        <v>7926</v>
      </c>
      <c r="G4414" t="s">
        <v>3402</v>
      </c>
      <c r="H4414" t="s">
        <v>3408</v>
      </c>
      <c r="I4414">
        <v>5405</v>
      </c>
      <c r="J4414" s="3">
        <v>145</v>
      </c>
      <c r="K4414" s="3">
        <v>67.62</v>
      </c>
      <c r="L4414">
        <v>53.37</v>
      </c>
    </row>
    <row r="4415" spans="1:12">
      <c r="A4415" s="1">
        <v>46041</v>
      </c>
      <c r="B4415" t="s">
        <v>7925</v>
      </c>
      <c r="C4415">
        <v>6</v>
      </c>
      <c r="D4415" t="str">
        <f>VLOOKUP(Tabela26[[#This Row],[EMP]],[1]LOJA!$A:$B,2,0)</f>
        <v>GAMA</v>
      </c>
      <c r="E4415">
        <v>245</v>
      </c>
      <c r="F4415" t="s">
        <v>5509</v>
      </c>
      <c r="G4415" t="s">
        <v>5508</v>
      </c>
      <c r="H4415" t="s">
        <v>7924</v>
      </c>
      <c r="I4415">
        <v>5102</v>
      </c>
      <c r="J4415" s="3">
        <v>518.79999999999995</v>
      </c>
      <c r="K4415" s="3">
        <v>312.62</v>
      </c>
      <c r="L4415">
        <v>39.74</v>
      </c>
    </row>
    <row r="4416" spans="1:12">
      <c r="A4416" s="1">
        <v>46041</v>
      </c>
      <c r="B4416" t="s">
        <v>7923</v>
      </c>
      <c r="C4416">
        <v>6</v>
      </c>
      <c r="D4416" t="str">
        <f>VLOOKUP(Tabela26[[#This Row],[EMP]],[1]LOJA!$A:$B,2,0)</f>
        <v>GAMA</v>
      </c>
      <c r="E4416">
        <v>226</v>
      </c>
      <c r="F4416" t="s">
        <v>3403</v>
      </c>
      <c r="G4416" t="s">
        <v>3402</v>
      </c>
      <c r="H4416" t="s">
        <v>3401</v>
      </c>
      <c r="I4416">
        <v>5405</v>
      </c>
      <c r="J4416" s="3">
        <v>45</v>
      </c>
      <c r="K4416" s="3">
        <v>22.86</v>
      </c>
      <c r="L4416">
        <v>49.2</v>
      </c>
    </row>
    <row r="4417" spans="1:12">
      <c r="A4417" s="1">
        <v>46041</v>
      </c>
      <c r="B4417" t="s">
        <v>7922</v>
      </c>
      <c r="C4417">
        <v>6</v>
      </c>
      <c r="D4417" t="str">
        <f>VLOOKUP(Tabela26[[#This Row],[EMP]],[1]LOJA!$A:$B,2,0)</f>
        <v>GAMA</v>
      </c>
      <c r="E4417">
        <v>245</v>
      </c>
      <c r="F4417" t="s">
        <v>3576</v>
      </c>
      <c r="G4417" t="s">
        <v>3402</v>
      </c>
      <c r="H4417" t="s">
        <v>3401</v>
      </c>
      <c r="I4417">
        <v>5405</v>
      </c>
      <c r="J4417" s="3">
        <v>388</v>
      </c>
      <c r="K4417" s="3">
        <v>192.08</v>
      </c>
      <c r="L4417">
        <v>50.49</v>
      </c>
    </row>
    <row r="4418" spans="1:12">
      <c r="A4418" s="1">
        <v>46041</v>
      </c>
      <c r="B4418" t="s">
        <v>7921</v>
      </c>
      <c r="C4418">
        <v>6</v>
      </c>
      <c r="D4418" t="str">
        <f>VLOOKUP(Tabela26[[#This Row],[EMP]],[1]LOJA!$A:$B,2,0)</f>
        <v>GAMA</v>
      </c>
      <c r="E4418">
        <v>245</v>
      </c>
      <c r="F4418" t="s">
        <v>3565</v>
      </c>
      <c r="G4418" t="s">
        <v>3564</v>
      </c>
      <c r="H4418" t="s">
        <v>3401</v>
      </c>
      <c r="I4418">
        <v>5405</v>
      </c>
      <c r="J4418" s="3">
        <v>189</v>
      </c>
      <c r="K4418" s="3">
        <v>97.45</v>
      </c>
      <c r="L4418">
        <v>48.44</v>
      </c>
    </row>
    <row r="4419" spans="1:12">
      <c r="A4419" s="1">
        <v>46041</v>
      </c>
      <c r="B4419" t="s">
        <v>7920</v>
      </c>
      <c r="C4419">
        <v>6</v>
      </c>
      <c r="D4419" t="str">
        <f>VLOOKUP(Tabela26[[#This Row],[EMP]],[1]LOJA!$A:$B,2,0)</f>
        <v>GAMA</v>
      </c>
      <c r="E4419">
        <v>245</v>
      </c>
      <c r="F4419" t="s">
        <v>3403</v>
      </c>
      <c r="G4419" t="s">
        <v>3402</v>
      </c>
      <c r="H4419" t="s">
        <v>3401</v>
      </c>
      <c r="I4419">
        <v>5102</v>
      </c>
      <c r="J4419" s="3">
        <v>39</v>
      </c>
      <c r="K4419" s="3">
        <v>21.09</v>
      </c>
      <c r="L4419">
        <v>45.92</v>
      </c>
    </row>
    <row r="4420" spans="1:12">
      <c r="A4420" s="1">
        <v>46041</v>
      </c>
      <c r="B4420" t="s">
        <v>7919</v>
      </c>
      <c r="C4420">
        <v>6</v>
      </c>
      <c r="D4420" t="str">
        <f>VLOOKUP(Tabela26[[#This Row],[EMP]],[1]LOJA!$A:$B,2,0)</f>
        <v>GAMA</v>
      </c>
      <c r="E4420">
        <v>245</v>
      </c>
      <c r="F4420" t="s">
        <v>3403</v>
      </c>
      <c r="G4420" t="s">
        <v>3402</v>
      </c>
      <c r="H4420" t="s">
        <v>3401</v>
      </c>
      <c r="I4420">
        <v>5102</v>
      </c>
      <c r="J4420" s="3">
        <v>100</v>
      </c>
      <c r="K4420" s="3">
        <v>44.04</v>
      </c>
      <c r="L4420">
        <v>55.96</v>
      </c>
    </row>
    <row r="4421" spans="1:12">
      <c r="A4421" s="1">
        <v>46041</v>
      </c>
      <c r="B4421" t="s">
        <v>7918</v>
      </c>
      <c r="C4421">
        <v>6</v>
      </c>
      <c r="D4421" t="str">
        <f>VLOOKUP(Tabela26[[#This Row],[EMP]],[1]LOJA!$A:$B,2,0)</f>
        <v>GAMA</v>
      </c>
      <c r="E4421">
        <v>245</v>
      </c>
      <c r="F4421" t="s">
        <v>6571</v>
      </c>
      <c r="G4421" t="s">
        <v>6570</v>
      </c>
      <c r="H4421" t="s">
        <v>3401</v>
      </c>
      <c r="I4421">
        <v>5405</v>
      </c>
      <c r="J4421" s="3">
        <v>259.85000000000002</v>
      </c>
      <c r="K4421" s="3">
        <v>136.25</v>
      </c>
      <c r="L4421">
        <v>47.57</v>
      </c>
    </row>
    <row r="4422" spans="1:12">
      <c r="A4422" s="1">
        <v>46041</v>
      </c>
      <c r="B4422" t="s">
        <v>7917</v>
      </c>
      <c r="C4422">
        <v>4</v>
      </c>
      <c r="D4422" t="str">
        <f>VLOOKUP(Tabela26[[#This Row],[EMP]],[1]LOJA!$A:$B,2,0)</f>
        <v>ADE</v>
      </c>
      <c r="E4422">
        <v>132</v>
      </c>
      <c r="F4422" t="s">
        <v>4299</v>
      </c>
      <c r="G4422" t="s">
        <v>4298</v>
      </c>
      <c r="H4422" t="s">
        <v>7916</v>
      </c>
      <c r="I4422">
        <v>5102</v>
      </c>
      <c r="J4422" s="3">
        <v>463.9</v>
      </c>
      <c r="K4422" s="3">
        <v>313.37</v>
      </c>
      <c r="L4422">
        <v>32.450000000000003</v>
      </c>
    </row>
    <row r="4423" spans="1:12">
      <c r="A4423" s="1">
        <v>46041</v>
      </c>
      <c r="B4423" t="s">
        <v>7915</v>
      </c>
      <c r="C4423">
        <v>6</v>
      </c>
      <c r="D4423" t="str">
        <f>VLOOKUP(Tabela26[[#This Row],[EMP]],[1]LOJA!$A:$B,2,0)</f>
        <v>GAMA</v>
      </c>
      <c r="E4423">
        <v>226</v>
      </c>
      <c r="F4423" t="s">
        <v>4204</v>
      </c>
      <c r="G4423" t="s">
        <v>4203</v>
      </c>
      <c r="H4423" t="s">
        <v>3408</v>
      </c>
      <c r="I4423">
        <v>6108</v>
      </c>
      <c r="J4423" s="3">
        <v>161.11000000000001</v>
      </c>
      <c r="K4423" s="3">
        <v>93.02</v>
      </c>
      <c r="L4423">
        <v>42.26</v>
      </c>
    </row>
    <row r="4424" spans="1:12">
      <c r="A4424" s="1">
        <v>46041</v>
      </c>
      <c r="B4424" t="s">
        <v>7914</v>
      </c>
      <c r="C4424">
        <v>6</v>
      </c>
      <c r="D4424" t="str">
        <f>VLOOKUP(Tabela26[[#This Row],[EMP]],[1]LOJA!$A:$B,2,0)</f>
        <v>GAMA</v>
      </c>
      <c r="E4424">
        <v>245</v>
      </c>
      <c r="F4424" t="s">
        <v>3555</v>
      </c>
      <c r="G4424" t="s">
        <v>3554</v>
      </c>
      <c r="H4424" t="s">
        <v>3430</v>
      </c>
      <c r="I4424">
        <v>6403</v>
      </c>
      <c r="J4424" s="3">
        <v>348.49</v>
      </c>
      <c r="K4424" s="3">
        <v>190.87</v>
      </c>
      <c r="L4424">
        <v>45.23</v>
      </c>
    </row>
    <row r="4425" spans="1:12">
      <c r="A4425" s="1">
        <v>46041</v>
      </c>
      <c r="B4425" t="s">
        <v>7913</v>
      </c>
      <c r="C4425">
        <v>6</v>
      </c>
      <c r="D4425" t="str">
        <f>VLOOKUP(Tabela26[[#This Row],[EMP]],[1]LOJA!$A:$B,2,0)</f>
        <v>GAMA</v>
      </c>
      <c r="E4425">
        <v>226</v>
      </c>
      <c r="F4425" t="s">
        <v>4204</v>
      </c>
      <c r="G4425" t="s">
        <v>4203</v>
      </c>
      <c r="H4425" t="s">
        <v>3408</v>
      </c>
      <c r="I4425">
        <v>6108</v>
      </c>
      <c r="J4425" s="3">
        <v>258.56</v>
      </c>
      <c r="K4425" s="3">
        <v>125.44</v>
      </c>
      <c r="L4425">
        <v>51.49</v>
      </c>
    </row>
    <row r="4426" spans="1:12">
      <c r="A4426" s="1">
        <v>46042</v>
      </c>
      <c r="B4426" t="s">
        <v>7912</v>
      </c>
      <c r="C4426">
        <v>24</v>
      </c>
      <c r="D4426" t="str">
        <f>VLOOKUP(Tabela26[[#This Row],[EMP]],[1]LOJA!$A:$B,2,0)</f>
        <v>LUZIÂNIA</v>
      </c>
      <c r="E4426">
        <v>150</v>
      </c>
      <c r="F4426" t="s">
        <v>7491</v>
      </c>
      <c r="G4426" t="s">
        <v>7490</v>
      </c>
      <c r="H4426" t="s">
        <v>3401</v>
      </c>
      <c r="I4426">
        <v>1411</v>
      </c>
      <c r="J4426" s="3">
        <v>-124</v>
      </c>
      <c r="K4426" s="3">
        <v>-65.739999999999995</v>
      </c>
      <c r="L4426">
        <v>46.98</v>
      </c>
    </row>
    <row r="4427" spans="1:12">
      <c r="A4427" s="1">
        <v>46042</v>
      </c>
      <c r="B4427" t="s">
        <v>7911</v>
      </c>
      <c r="C4427">
        <v>13</v>
      </c>
      <c r="D4427" t="str">
        <f>VLOOKUP(Tabela26[[#This Row],[EMP]],[1]LOJA!$A:$B,2,0)</f>
        <v>CEILÂNDIA</v>
      </c>
      <c r="E4427">
        <v>33</v>
      </c>
      <c r="F4427" t="s">
        <v>3505</v>
      </c>
      <c r="G4427" t="s">
        <v>3504</v>
      </c>
      <c r="H4427" t="s">
        <v>3401</v>
      </c>
      <c r="I4427">
        <v>1411</v>
      </c>
      <c r="J4427" s="3">
        <v>-63.67</v>
      </c>
      <c r="K4427" s="3">
        <v>-32.869999999999997</v>
      </c>
      <c r="L4427">
        <v>48.37</v>
      </c>
    </row>
    <row r="4428" spans="1:12">
      <c r="A4428" s="1">
        <v>46042</v>
      </c>
      <c r="B4428" t="s">
        <v>7910</v>
      </c>
      <c r="C4428">
        <v>13</v>
      </c>
      <c r="D4428" t="str">
        <f>VLOOKUP(Tabela26[[#This Row],[EMP]],[1]LOJA!$A:$B,2,0)</f>
        <v>CEILÂNDIA</v>
      </c>
      <c r="E4428">
        <v>33</v>
      </c>
      <c r="F4428" t="s">
        <v>3505</v>
      </c>
      <c r="G4428" t="s">
        <v>3504</v>
      </c>
      <c r="H4428" t="s">
        <v>3401</v>
      </c>
      <c r="I4428">
        <v>1411</v>
      </c>
      <c r="J4428" s="3">
        <v>-50.92</v>
      </c>
      <c r="K4428" s="3">
        <v>-26.64</v>
      </c>
      <c r="L4428">
        <v>47.68</v>
      </c>
    </row>
    <row r="4429" spans="1:12">
      <c r="A4429" s="1">
        <v>46042</v>
      </c>
      <c r="B4429" t="s">
        <v>7909</v>
      </c>
      <c r="C4429">
        <v>24</v>
      </c>
      <c r="D4429" t="str">
        <f>VLOOKUP(Tabela26[[#This Row],[EMP]],[1]LOJA!$A:$B,2,0)</f>
        <v>LUZIÂNIA</v>
      </c>
      <c r="E4429">
        <v>192</v>
      </c>
      <c r="F4429" t="s">
        <v>4286</v>
      </c>
      <c r="G4429" t="s">
        <v>4285</v>
      </c>
      <c r="H4429" t="s">
        <v>3430</v>
      </c>
      <c r="I4429">
        <v>5102</v>
      </c>
      <c r="J4429" s="3">
        <v>224.47</v>
      </c>
      <c r="K4429" s="3">
        <v>108.76</v>
      </c>
      <c r="L4429">
        <v>51.55</v>
      </c>
    </row>
    <row r="4430" spans="1:12">
      <c r="A4430" s="1">
        <v>46042</v>
      </c>
      <c r="B4430" t="s">
        <v>7908</v>
      </c>
      <c r="C4430">
        <v>24</v>
      </c>
      <c r="D4430" t="str">
        <f>VLOOKUP(Tabela26[[#This Row],[EMP]],[1]LOJA!$A:$B,2,0)</f>
        <v>LUZIÂNIA</v>
      </c>
      <c r="E4430">
        <v>150</v>
      </c>
      <c r="F4430" t="s">
        <v>4292</v>
      </c>
      <c r="G4430" t="s">
        <v>4291</v>
      </c>
      <c r="H4430" t="s">
        <v>3430</v>
      </c>
      <c r="I4430">
        <v>5405</v>
      </c>
      <c r="J4430" s="3">
        <v>522.91999999999996</v>
      </c>
      <c r="K4430" s="3">
        <v>278.35000000000002</v>
      </c>
      <c r="L4430">
        <v>46.77</v>
      </c>
    </row>
    <row r="4431" spans="1:12">
      <c r="A4431" s="1">
        <v>46042</v>
      </c>
      <c r="B4431" t="s">
        <v>7907</v>
      </c>
      <c r="C4431">
        <v>24</v>
      </c>
      <c r="D4431" t="str">
        <f>VLOOKUP(Tabela26[[#This Row],[EMP]],[1]LOJA!$A:$B,2,0)</f>
        <v>LUZIÂNIA</v>
      </c>
      <c r="E4431">
        <v>242</v>
      </c>
      <c r="F4431" t="s">
        <v>7906</v>
      </c>
      <c r="G4431" t="s">
        <v>7905</v>
      </c>
      <c r="H4431" t="s">
        <v>3401</v>
      </c>
      <c r="I4431">
        <v>5405</v>
      </c>
      <c r="J4431" s="3">
        <v>257</v>
      </c>
      <c r="K4431" s="3">
        <v>137.77000000000001</v>
      </c>
      <c r="L4431">
        <v>46.39</v>
      </c>
    </row>
    <row r="4432" spans="1:12">
      <c r="A4432" s="1">
        <v>46042</v>
      </c>
      <c r="B4432" t="s">
        <v>7904</v>
      </c>
      <c r="C4432">
        <v>24</v>
      </c>
      <c r="D4432" t="str">
        <f>VLOOKUP(Tabela26[[#This Row],[EMP]],[1]LOJA!$A:$B,2,0)</f>
        <v>LUZIÂNIA</v>
      </c>
      <c r="E4432">
        <v>192</v>
      </c>
      <c r="F4432" t="s">
        <v>7903</v>
      </c>
      <c r="G4432" t="s">
        <v>7902</v>
      </c>
      <c r="H4432" t="s">
        <v>3401</v>
      </c>
      <c r="I4432">
        <v>6403</v>
      </c>
      <c r="J4432" s="3">
        <v>550</v>
      </c>
      <c r="K4432" s="3">
        <v>316.48</v>
      </c>
      <c r="L4432">
        <v>42.46</v>
      </c>
    </row>
    <row r="4433" spans="1:12">
      <c r="A4433" s="1">
        <v>46042</v>
      </c>
      <c r="B4433" t="s">
        <v>7901</v>
      </c>
      <c r="C4433">
        <v>24</v>
      </c>
      <c r="D4433" t="str">
        <f>VLOOKUP(Tabela26[[#This Row],[EMP]],[1]LOJA!$A:$B,2,0)</f>
        <v>LUZIÂNIA</v>
      </c>
      <c r="E4433">
        <v>242</v>
      </c>
      <c r="F4433" t="s">
        <v>7900</v>
      </c>
      <c r="G4433" t="s">
        <v>7899</v>
      </c>
      <c r="H4433" t="s">
        <v>3401</v>
      </c>
      <c r="I4433">
        <v>5405</v>
      </c>
      <c r="J4433" s="3">
        <v>50</v>
      </c>
      <c r="K4433" s="3">
        <v>24.28</v>
      </c>
      <c r="L4433">
        <v>51.44</v>
      </c>
    </row>
    <row r="4434" spans="1:12">
      <c r="A4434" s="1">
        <v>46042</v>
      </c>
      <c r="B4434" t="s">
        <v>7898</v>
      </c>
      <c r="C4434">
        <v>24</v>
      </c>
      <c r="D4434" t="str">
        <f>VLOOKUP(Tabela26[[#This Row],[EMP]],[1]LOJA!$A:$B,2,0)</f>
        <v>LUZIÂNIA</v>
      </c>
      <c r="E4434">
        <v>150</v>
      </c>
      <c r="F4434" t="s">
        <v>7491</v>
      </c>
      <c r="G4434" t="s">
        <v>7490</v>
      </c>
      <c r="H4434" t="s">
        <v>3430</v>
      </c>
      <c r="I4434">
        <v>5405</v>
      </c>
      <c r="J4434" s="3">
        <v>124</v>
      </c>
      <c r="K4434" s="3">
        <v>65.739999999999995</v>
      </c>
      <c r="L4434">
        <v>46.98</v>
      </c>
    </row>
    <row r="4435" spans="1:12">
      <c r="A4435" s="1">
        <v>46042</v>
      </c>
      <c r="B4435" t="s">
        <v>7897</v>
      </c>
      <c r="C4435">
        <v>24</v>
      </c>
      <c r="D4435" t="str">
        <f>VLOOKUP(Tabela26[[#This Row],[EMP]],[1]LOJA!$A:$B,2,0)</f>
        <v>LUZIÂNIA</v>
      </c>
      <c r="E4435">
        <v>150</v>
      </c>
      <c r="F4435" t="s">
        <v>4279</v>
      </c>
      <c r="G4435" t="s">
        <v>4278</v>
      </c>
      <c r="H4435" t="s">
        <v>3430</v>
      </c>
      <c r="I4435">
        <v>5405</v>
      </c>
      <c r="J4435" s="3">
        <v>2024.07</v>
      </c>
      <c r="K4435" s="3">
        <v>1115.77</v>
      </c>
      <c r="L4435">
        <v>44.87</v>
      </c>
    </row>
    <row r="4436" spans="1:12">
      <c r="A4436" s="1">
        <v>46042</v>
      </c>
      <c r="B4436" t="s">
        <v>7896</v>
      </c>
      <c r="C4436">
        <v>24</v>
      </c>
      <c r="D4436" t="str">
        <f>VLOOKUP(Tabela26[[#This Row],[EMP]],[1]LOJA!$A:$B,2,0)</f>
        <v>LUZIÂNIA</v>
      </c>
      <c r="E4436">
        <v>192</v>
      </c>
      <c r="F4436" t="s">
        <v>4270</v>
      </c>
      <c r="G4436" t="s">
        <v>4269</v>
      </c>
      <c r="H4436" t="s">
        <v>3430</v>
      </c>
      <c r="I4436">
        <v>5405</v>
      </c>
      <c r="J4436" s="3">
        <v>73</v>
      </c>
      <c r="K4436" s="3">
        <v>37.119999999999997</v>
      </c>
      <c r="L4436">
        <v>49.15</v>
      </c>
    </row>
    <row r="4437" spans="1:12">
      <c r="A4437" s="1">
        <v>46042</v>
      </c>
      <c r="B4437" t="s">
        <v>7895</v>
      </c>
      <c r="C4437">
        <v>24</v>
      </c>
      <c r="D4437" t="str">
        <f>VLOOKUP(Tabela26[[#This Row],[EMP]],[1]LOJA!$A:$B,2,0)</f>
        <v>LUZIÂNIA</v>
      </c>
      <c r="E4437">
        <v>150</v>
      </c>
      <c r="F4437" t="s">
        <v>5987</v>
      </c>
      <c r="G4437" t="s">
        <v>5986</v>
      </c>
      <c r="H4437" t="s">
        <v>7400</v>
      </c>
      <c r="I4437">
        <v>5405</v>
      </c>
      <c r="J4437" s="3">
        <v>345.49</v>
      </c>
      <c r="K4437" s="3">
        <v>172.44</v>
      </c>
      <c r="L4437">
        <v>50.09</v>
      </c>
    </row>
    <row r="4438" spans="1:12">
      <c r="A4438" s="1">
        <v>46042</v>
      </c>
      <c r="B4438" t="s">
        <v>7894</v>
      </c>
      <c r="C4438">
        <v>24</v>
      </c>
      <c r="D4438" t="str">
        <f>VLOOKUP(Tabela26[[#This Row],[EMP]],[1]LOJA!$A:$B,2,0)</f>
        <v>LUZIÂNIA</v>
      </c>
      <c r="E4438">
        <v>150</v>
      </c>
      <c r="F4438" t="s">
        <v>4276</v>
      </c>
      <c r="G4438" t="s">
        <v>4275</v>
      </c>
      <c r="H4438" t="s">
        <v>3520</v>
      </c>
      <c r="I4438">
        <v>5405</v>
      </c>
      <c r="J4438" s="3">
        <v>250.7</v>
      </c>
      <c r="K4438" s="3">
        <v>134.74</v>
      </c>
      <c r="L4438">
        <v>46.25</v>
      </c>
    </row>
    <row r="4439" spans="1:12">
      <c r="A4439" s="1">
        <v>46042</v>
      </c>
      <c r="B4439" t="s">
        <v>7893</v>
      </c>
      <c r="C4439">
        <v>24</v>
      </c>
      <c r="D4439" t="str">
        <f>VLOOKUP(Tabela26[[#This Row],[EMP]],[1]LOJA!$A:$B,2,0)</f>
        <v>LUZIÂNIA</v>
      </c>
      <c r="E4439">
        <v>150</v>
      </c>
      <c r="F4439" t="s">
        <v>7491</v>
      </c>
      <c r="G4439" t="s">
        <v>7490</v>
      </c>
      <c r="H4439" t="s">
        <v>3430</v>
      </c>
      <c r="I4439">
        <v>5405</v>
      </c>
      <c r="J4439" s="3">
        <v>145.80000000000001</v>
      </c>
      <c r="K4439" s="3">
        <v>78.42</v>
      </c>
      <c r="L4439">
        <v>46.21</v>
      </c>
    </row>
    <row r="4440" spans="1:12">
      <c r="A4440" s="1">
        <v>46042</v>
      </c>
      <c r="B4440" t="s">
        <v>7892</v>
      </c>
      <c r="C4440">
        <v>24</v>
      </c>
      <c r="D4440" t="str">
        <f>VLOOKUP(Tabela26[[#This Row],[EMP]],[1]LOJA!$A:$B,2,0)</f>
        <v>LUZIÂNIA</v>
      </c>
      <c r="E4440">
        <v>192</v>
      </c>
      <c r="F4440" t="s">
        <v>4276</v>
      </c>
      <c r="G4440" t="s">
        <v>4275</v>
      </c>
      <c r="H4440" t="s">
        <v>3520</v>
      </c>
      <c r="I4440">
        <v>5405</v>
      </c>
      <c r="J4440" s="3">
        <v>127.81</v>
      </c>
      <c r="K4440" s="3">
        <v>71.67</v>
      </c>
      <c r="L4440">
        <v>43.92</v>
      </c>
    </row>
    <row r="4441" spans="1:12">
      <c r="A4441" s="1">
        <v>46042</v>
      </c>
      <c r="B4441" t="s">
        <v>7891</v>
      </c>
      <c r="C4441">
        <v>15</v>
      </c>
      <c r="D4441" t="str">
        <f>VLOOKUP(Tabela26[[#This Row],[EMP]],[1]LOJA!$A:$B,2,0)</f>
        <v>UNAÍ</v>
      </c>
      <c r="E4441">
        <v>183</v>
      </c>
      <c r="F4441" t="s">
        <v>3488</v>
      </c>
      <c r="G4441" t="s">
        <v>3487</v>
      </c>
      <c r="H4441" t="s">
        <v>3430</v>
      </c>
      <c r="I4441">
        <v>5102</v>
      </c>
      <c r="J4441" s="3">
        <v>529.9</v>
      </c>
      <c r="K4441" s="3">
        <v>328.02</v>
      </c>
      <c r="L4441">
        <v>38.1</v>
      </c>
    </row>
    <row r="4442" spans="1:12">
      <c r="A4442" s="1">
        <v>46042</v>
      </c>
      <c r="B4442" t="s">
        <v>7890</v>
      </c>
      <c r="C4442">
        <v>22</v>
      </c>
      <c r="D4442" t="str">
        <f>VLOOKUP(Tabela26[[#This Row],[EMP]],[1]LOJA!$A:$B,2,0)</f>
        <v>GUARÁ</v>
      </c>
      <c r="E4442">
        <v>93</v>
      </c>
      <c r="F4442" t="s">
        <v>4251</v>
      </c>
      <c r="G4442" t="s">
        <v>4250</v>
      </c>
      <c r="H4442" t="s">
        <v>3430</v>
      </c>
      <c r="I4442">
        <v>5102</v>
      </c>
      <c r="J4442" s="3">
        <v>453.03</v>
      </c>
      <c r="K4442" s="3">
        <v>255.03</v>
      </c>
      <c r="L4442">
        <v>43.71</v>
      </c>
    </row>
    <row r="4443" spans="1:12">
      <c r="A4443" s="1">
        <v>46042</v>
      </c>
      <c r="B4443" t="s">
        <v>7889</v>
      </c>
      <c r="C4443">
        <v>22</v>
      </c>
      <c r="D4443" t="str">
        <f>VLOOKUP(Tabela26[[#This Row],[EMP]],[1]LOJA!$A:$B,2,0)</f>
        <v>GUARÁ</v>
      </c>
      <c r="E4443">
        <v>93</v>
      </c>
      <c r="F4443" t="s">
        <v>4246</v>
      </c>
      <c r="G4443" t="s">
        <v>4245</v>
      </c>
      <c r="H4443" t="s">
        <v>3430</v>
      </c>
      <c r="I4443">
        <v>5405</v>
      </c>
      <c r="J4443" s="3">
        <v>72.25</v>
      </c>
      <c r="K4443" s="3">
        <v>38.049999999999997</v>
      </c>
      <c r="L4443">
        <v>47.34</v>
      </c>
    </row>
    <row r="4444" spans="1:12">
      <c r="A4444" s="1">
        <v>46042</v>
      </c>
      <c r="B4444" t="s">
        <v>7888</v>
      </c>
      <c r="C4444">
        <v>22</v>
      </c>
      <c r="D4444" t="str">
        <f>VLOOKUP(Tabela26[[#This Row],[EMP]],[1]LOJA!$A:$B,2,0)</f>
        <v>GUARÁ</v>
      </c>
      <c r="E4444">
        <v>93</v>
      </c>
      <c r="F4444" t="s">
        <v>4246</v>
      </c>
      <c r="G4444" t="s">
        <v>4245</v>
      </c>
      <c r="H4444" t="s">
        <v>3430</v>
      </c>
      <c r="I4444">
        <v>5405</v>
      </c>
      <c r="J4444" s="3">
        <v>41.71</v>
      </c>
      <c r="K4444" s="3">
        <v>21.09</v>
      </c>
      <c r="L4444">
        <v>49.44</v>
      </c>
    </row>
    <row r="4445" spans="1:12">
      <c r="A4445" s="1">
        <v>46042</v>
      </c>
      <c r="B4445" t="s">
        <v>7887</v>
      </c>
      <c r="C4445">
        <v>22</v>
      </c>
      <c r="D4445" t="str">
        <f>VLOOKUP(Tabela26[[#This Row],[EMP]],[1]LOJA!$A:$B,2,0)</f>
        <v>GUARÁ</v>
      </c>
      <c r="E4445">
        <v>93</v>
      </c>
      <c r="F4445" t="s">
        <v>3535</v>
      </c>
      <c r="G4445" t="s">
        <v>3534</v>
      </c>
      <c r="H4445" t="s">
        <v>5459</v>
      </c>
      <c r="I4445">
        <v>5405</v>
      </c>
      <c r="J4445" s="3">
        <v>709.67</v>
      </c>
      <c r="K4445" s="3">
        <v>322.5</v>
      </c>
      <c r="L4445">
        <v>54.56</v>
      </c>
    </row>
    <row r="4446" spans="1:12">
      <c r="A4446" s="1">
        <v>46042</v>
      </c>
      <c r="B4446" t="s">
        <v>7886</v>
      </c>
      <c r="C4446">
        <v>22</v>
      </c>
      <c r="D4446" t="str">
        <f>VLOOKUP(Tabela26[[#This Row],[EMP]],[1]LOJA!$A:$B,2,0)</f>
        <v>GUARÁ</v>
      </c>
      <c r="E4446">
        <v>93</v>
      </c>
      <c r="F4446" t="s">
        <v>4246</v>
      </c>
      <c r="G4446" t="s">
        <v>4245</v>
      </c>
      <c r="H4446" t="s">
        <v>3430</v>
      </c>
      <c r="I4446">
        <v>5102</v>
      </c>
      <c r="J4446" s="3">
        <v>229.8</v>
      </c>
      <c r="K4446" s="3">
        <v>137.69999999999999</v>
      </c>
      <c r="L4446">
        <v>40.08</v>
      </c>
    </row>
    <row r="4447" spans="1:12">
      <c r="A4447" s="1">
        <v>46042</v>
      </c>
      <c r="B4447" t="s">
        <v>7885</v>
      </c>
      <c r="C4447">
        <v>22</v>
      </c>
      <c r="D4447" t="str">
        <f>VLOOKUP(Tabela26[[#This Row],[EMP]],[1]LOJA!$A:$B,2,0)</f>
        <v>GUARÁ</v>
      </c>
      <c r="E4447">
        <v>93</v>
      </c>
      <c r="F4447" t="s">
        <v>3535</v>
      </c>
      <c r="G4447" t="s">
        <v>3534</v>
      </c>
      <c r="H4447" t="s">
        <v>5459</v>
      </c>
      <c r="I4447">
        <v>5405</v>
      </c>
      <c r="J4447" s="3">
        <v>149.91999999999999</v>
      </c>
      <c r="K4447" s="3">
        <v>89.68</v>
      </c>
      <c r="L4447">
        <v>40.18</v>
      </c>
    </row>
    <row r="4448" spans="1:12">
      <c r="A4448" s="1">
        <v>46042</v>
      </c>
      <c r="B4448" t="s">
        <v>7884</v>
      </c>
      <c r="C4448">
        <v>22</v>
      </c>
      <c r="D4448" t="str">
        <f>VLOOKUP(Tabela26[[#This Row],[EMP]],[1]LOJA!$A:$B,2,0)</f>
        <v>GUARÁ</v>
      </c>
      <c r="E4448">
        <v>93</v>
      </c>
      <c r="F4448" t="s">
        <v>4246</v>
      </c>
      <c r="G4448" t="s">
        <v>4245</v>
      </c>
      <c r="H4448" t="s">
        <v>3430</v>
      </c>
      <c r="I4448">
        <v>5405</v>
      </c>
      <c r="J4448" s="3">
        <v>411.25</v>
      </c>
      <c r="K4448" s="3">
        <v>231.74</v>
      </c>
      <c r="L4448">
        <v>43.65</v>
      </c>
    </row>
    <row r="4449" spans="1:12">
      <c r="A4449" s="1">
        <v>46042</v>
      </c>
      <c r="B4449" t="s">
        <v>7883</v>
      </c>
      <c r="C4449">
        <v>24</v>
      </c>
      <c r="D4449" t="str">
        <f>VLOOKUP(Tabela26[[#This Row],[EMP]],[1]LOJA!$A:$B,2,0)</f>
        <v>LUZIÂNIA</v>
      </c>
      <c r="E4449">
        <v>192</v>
      </c>
      <c r="F4449" t="s">
        <v>4197</v>
      </c>
      <c r="G4449" t="s">
        <v>4196</v>
      </c>
      <c r="H4449" t="s">
        <v>3401</v>
      </c>
      <c r="I4449">
        <v>5102</v>
      </c>
      <c r="J4449" s="3">
        <v>76</v>
      </c>
      <c r="K4449" s="3">
        <v>47.38</v>
      </c>
      <c r="L4449">
        <v>37.659999999999997</v>
      </c>
    </row>
    <row r="4450" spans="1:12">
      <c r="A4450" s="1">
        <v>46042</v>
      </c>
      <c r="B4450" t="s">
        <v>7882</v>
      </c>
      <c r="C4450">
        <v>24</v>
      </c>
      <c r="D4450" t="str">
        <f>VLOOKUP(Tabela26[[#This Row],[EMP]],[1]LOJA!$A:$B,2,0)</f>
        <v>LUZIÂNIA</v>
      </c>
      <c r="E4450">
        <v>192</v>
      </c>
      <c r="F4450" t="s">
        <v>3915</v>
      </c>
      <c r="G4450" t="s">
        <v>3402</v>
      </c>
      <c r="H4450" t="s">
        <v>3408</v>
      </c>
      <c r="I4450">
        <v>5102</v>
      </c>
      <c r="J4450" s="3">
        <v>289.89999999999998</v>
      </c>
      <c r="K4450" s="3">
        <v>153.97999999999999</v>
      </c>
      <c r="L4450">
        <v>46.89</v>
      </c>
    </row>
    <row r="4451" spans="1:12">
      <c r="A4451" s="1">
        <v>46042</v>
      </c>
      <c r="B4451" t="s">
        <v>7881</v>
      </c>
      <c r="C4451">
        <v>24</v>
      </c>
      <c r="D4451" t="str">
        <f>VLOOKUP(Tabela26[[#This Row],[EMP]],[1]LOJA!$A:$B,2,0)</f>
        <v>LUZIÂNIA</v>
      </c>
      <c r="E4451">
        <v>242</v>
      </c>
      <c r="F4451" t="s">
        <v>3524</v>
      </c>
      <c r="G4451" t="s">
        <v>3402</v>
      </c>
      <c r="H4451" t="s">
        <v>3401</v>
      </c>
      <c r="I4451">
        <v>5102</v>
      </c>
      <c r="J4451" s="3">
        <v>35</v>
      </c>
      <c r="K4451" s="3">
        <v>16.399999999999999</v>
      </c>
      <c r="L4451">
        <v>53.14</v>
      </c>
    </row>
    <row r="4452" spans="1:12">
      <c r="A4452" s="1">
        <v>46042</v>
      </c>
      <c r="B4452" t="s">
        <v>7880</v>
      </c>
      <c r="C4452">
        <v>24</v>
      </c>
      <c r="D4452" t="str">
        <f>VLOOKUP(Tabela26[[#This Row],[EMP]],[1]LOJA!$A:$B,2,0)</f>
        <v>LUZIÂNIA</v>
      </c>
      <c r="E4452">
        <v>192</v>
      </c>
      <c r="F4452" t="s">
        <v>3524</v>
      </c>
      <c r="G4452" t="s">
        <v>3402</v>
      </c>
      <c r="H4452" t="s">
        <v>3401</v>
      </c>
      <c r="I4452">
        <v>5102</v>
      </c>
      <c r="J4452" s="3">
        <v>22</v>
      </c>
      <c r="K4452" s="3">
        <v>12.36</v>
      </c>
      <c r="L4452">
        <v>43.82</v>
      </c>
    </row>
    <row r="4453" spans="1:12">
      <c r="A4453" s="1">
        <v>46042</v>
      </c>
      <c r="B4453" t="s">
        <v>7879</v>
      </c>
      <c r="C4453">
        <v>24</v>
      </c>
      <c r="D4453" t="str">
        <f>VLOOKUP(Tabela26[[#This Row],[EMP]],[1]LOJA!$A:$B,2,0)</f>
        <v>LUZIÂNIA</v>
      </c>
      <c r="E4453">
        <v>192</v>
      </c>
      <c r="F4453" t="s">
        <v>4892</v>
      </c>
      <c r="G4453" t="s">
        <v>4891</v>
      </c>
      <c r="H4453" t="s">
        <v>3408</v>
      </c>
      <c r="I4453">
        <v>5102</v>
      </c>
      <c r="J4453" s="3">
        <v>70</v>
      </c>
      <c r="K4453" s="3">
        <v>36.04</v>
      </c>
      <c r="L4453">
        <v>48.51</v>
      </c>
    </row>
    <row r="4454" spans="1:12">
      <c r="A4454" s="1">
        <v>46042</v>
      </c>
      <c r="B4454" t="s">
        <v>7878</v>
      </c>
      <c r="C4454">
        <v>24</v>
      </c>
      <c r="D4454" t="str">
        <f>VLOOKUP(Tabela26[[#This Row],[EMP]],[1]LOJA!$A:$B,2,0)</f>
        <v>LUZIÂNIA</v>
      </c>
      <c r="E4454">
        <v>192</v>
      </c>
      <c r="F4454" t="s">
        <v>7877</v>
      </c>
      <c r="G4454" t="s">
        <v>7876</v>
      </c>
      <c r="H4454" t="s">
        <v>3401</v>
      </c>
      <c r="I4454">
        <v>5102</v>
      </c>
      <c r="J4454" s="3">
        <v>380</v>
      </c>
      <c r="K4454" s="3">
        <v>197.32</v>
      </c>
      <c r="L4454">
        <v>48.07</v>
      </c>
    </row>
    <row r="4455" spans="1:12">
      <c r="A4455" s="1">
        <v>46042</v>
      </c>
      <c r="B4455" t="s">
        <v>7875</v>
      </c>
      <c r="C4455">
        <v>24</v>
      </c>
      <c r="D4455" t="str">
        <f>VLOOKUP(Tabela26[[#This Row],[EMP]],[1]LOJA!$A:$B,2,0)</f>
        <v>LUZIÂNIA</v>
      </c>
      <c r="E4455">
        <v>192</v>
      </c>
      <c r="F4455" t="s">
        <v>4837</v>
      </c>
      <c r="G4455" t="s">
        <v>4836</v>
      </c>
      <c r="H4455" t="s">
        <v>3401</v>
      </c>
      <c r="I4455">
        <v>5102</v>
      </c>
      <c r="J4455" s="3">
        <v>200</v>
      </c>
      <c r="K4455" s="3">
        <v>117.11</v>
      </c>
      <c r="L4455">
        <v>41.45</v>
      </c>
    </row>
    <row r="4456" spans="1:12">
      <c r="A4456" s="1">
        <v>46042</v>
      </c>
      <c r="B4456" t="s">
        <v>7874</v>
      </c>
      <c r="C4456">
        <v>24</v>
      </c>
      <c r="D4456" t="str">
        <f>VLOOKUP(Tabela26[[#This Row],[EMP]],[1]LOJA!$A:$B,2,0)</f>
        <v>LUZIÂNIA</v>
      </c>
      <c r="E4456">
        <v>192</v>
      </c>
      <c r="F4456" t="s">
        <v>3524</v>
      </c>
      <c r="G4456" t="s">
        <v>3402</v>
      </c>
      <c r="H4456" t="s">
        <v>3401</v>
      </c>
      <c r="I4456">
        <v>5405</v>
      </c>
      <c r="J4456" s="3">
        <v>7</v>
      </c>
      <c r="K4456" s="3">
        <v>3.45</v>
      </c>
      <c r="L4456">
        <v>50.71</v>
      </c>
    </row>
    <row r="4457" spans="1:12">
      <c r="A4457" s="1">
        <v>46042</v>
      </c>
      <c r="B4457" t="s">
        <v>7873</v>
      </c>
      <c r="C4457">
        <v>24</v>
      </c>
      <c r="D4457" t="str">
        <f>VLOOKUP(Tabela26[[#This Row],[EMP]],[1]LOJA!$A:$B,2,0)</f>
        <v>LUZIÂNIA</v>
      </c>
      <c r="E4457">
        <v>150</v>
      </c>
      <c r="F4457" t="s">
        <v>4176</v>
      </c>
      <c r="G4457" t="s">
        <v>4175</v>
      </c>
      <c r="H4457" t="s">
        <v>3408</v>
      </c>
      <c r="I4457">
        <v>5405</v>
      </c>
      <c r="J4457" s="3">
        <v>725.65</v>
      </c>
      <c r="K4457" s="3">
        <v>380.73</v>
      </c>
      <c r="L4457">
        <v>47.53</v>
      </c>
    </row>
    <row r="4458" spans="1:12">
      <c r="A4458" s="1">
        <v>46042</v>
      </c>
      <c r="B4458" t="s">
        <v>7872</v>
      </c>
      <c r="C4458">
        <v>24</v>
      </c>
      <c r="D4458" t="str">
        <f>VLOOKUP(Tabela26[[#This Row],[EMP]],[1]LOJA!$A:$B,2,0)</f>
        <v>LUZIÂNIA</v>
      </c>
      <c r="E4458">
        <v>150</v>
      </c>
      <c r="F4458" t="s">
        <v>5449</v>
      </c>
      <c r="G4458" t="s">
        <v>5448</v>
      </c>
      <c r="H4458" t="s">
        <v>3408</v>
      </c>
      <c r="I4458">
        <v>5102</v>
      </c>
      <c r="J4458" s="3">
        <v>176</v>
      </c>
      <c r="K4458" s="3">
        <v>92.35</v>
      </c>
      <c r="L4458">
        <v>47.53</v>
      </c>
    </row>
    <row r="4459" spans="1:12">
      <c r="A4459" s="1">
        <v>46042</v>
      </c>
      <c r="B4459" t="s">
        <v>7871</v>
      </c>
      <c r="C4459">
        <v>24</v>
      </c>
      <c r="D4459" t="str">
        <f>VLOOKUP(Tabela26[[#This Row],[EMP]],[1]LOJA!$A:$B,2,0)</f>
        <v>LUZIÂNIA</v>
      </c>
      <c r="E4459">
        <v>150</v>
      </c>
      <c r="F4459" t="s">
        <v>4176</v>
      </c>
      <c r="G4459" t="s">
        <v>4175</v>
      </c>
      <c r="H4459" t="s">
        <v>3408</v>
      </c>
      <c r="I4459">
        <v>5102</v>
      </c>
      <c r="J4459" s="3">
        <v>63.9</v>
      </c>
      <c r="K4459" s="3">
        <v>31.15</v>
      </c>
      <c r="L4459">
        <v>51.25</v>
      </c>
    </row>
    <row r="4460" spans="1:12">
      <c r="A4460" s="1">
        <v>46042</v>
      </c>
      <c r="B4460" t="s">
        <v>7870</v>
      </c>
      <c r="C4460">
        <v>24</v>
      </c>
      <c r="D4460" t="str">
        <f>VLOOKUP(Tabela26[[#This Row],[EMP]],[1]LOJA!$A:$B,2,0)</f>
        <v>LUZIÂNIA</v>
      </c>
      <c r="E4460">
        <v>150</v>
      </c>
      <c r="F4460" t="s">
        <v>3524</v>
      </c>
      <c r="G4460" t="s">
        <v>3402</v>
      </c>
      <c r="H4460" t="s">
        <v>3401</v>
      </c>
      <c r="I4460">
        <v>5405</v>
      </c>
      <c r="J4460" s="3">
        <v>260</v>
      </c>
      <c r="K4460" s="3">
        <v>138.59</v>
      </c>
      <c r="L4460">
        <v>46.7</v>
      </c>
    </row>
    <row r="4461" spans="1:12">
      <c r="A4461" s="1">
        <v>46042</v>
      </c>
      <c r="B4461" t="s">
        <v>7869</v>
      </c>
      <c r="C4461">
        <v>24</v>
      </c>
      <c r="D4461" t="str">
        <f>VLOOKUP(Tabela26[[#This Row],[EMP]],[1]LOJA!$A:$B,2,0)</f>
        <v>LUZIÂNIA</v>
      </c>
      <c r="E4461">
        <v>192</v>
      </c>
      <c r="F4461" t="s">
        <v>7868</v>
      </c>
      <c r="G4461" t="s">
        <v>7867</v>
      </c>
      <c r="H4461" t="s">
        <v>3401</v>
      </c>
      <c r="I4461">
        <v>5102</v>
      </c>
      <c r="J4461" s="3">
        <v>45</v>
      </c>
      <c r="K4461" s="3">
        <v>30.8</v>
      </c>
      <c r="L4461">
        <v>31.56</v>
      </c>
    </row>
    <row r="4462" spans="1:12">
      <c r="A4462" s="1">
        <v>46042</v>
      </c>
      <c r="B4462" t="s">
        <v>7866</v>
      </c>
      <c r="C4462">
        <v>24</v>
      </c>
      <c r="D4462" t="str">
        <f>VLOOKUP(Tabela26[[#This Row],[EMP]],[1]LOJA!$A:$B,2,0)</f>
        <v>LUZIÂNIA</v>
      </c>
      <c r="E4462">
        <v>192</v>
      </c>
      <c r="F4462" t="s">
        <v>3524</v>
      </c>
      <c r="G4462" t="s">
        <v>3402</v>
      </c>
      <c r="H4462" t="s">
        <v>3401</v>
      </c>
      <c r="I4462">
        <v>5102</v>
      </c>
      <c r="J4462" s="3">
        <v>4</v>
      </c>
      <c r="K4462" s="3">
        <v>1.35</v>
      </c>
      <c r="L4462">
        <v>66.25</v>
      </c>
    </row>
    <row r="4463" spans="1:12">
      <c r="A4463" s="1">
        <v>46042</v>
      </c>
      <c r="B4463" t="s">
        <v>7865</v>
      </c>
      <c r="C4463">
        <v>24</v>
      </c>
      <c r="D4463" t="str">
        <f>VLOOKUP(Tabela26[[#This Row],[EMP]],[1]LOJA!$A:$B,2,0)</f>
        <v>LUZIÂNIA</v>
      </c>
      <c r="E4463">
        <v>150</v>
      </c>
      <c r="F4463" t="s">
        <v>3524</v>
      </c>
      <c r="G4463" t="s">
        <v>3402</v>
      </c>
      <c r="H4463" t="s">
        <v>3401</v>
      </c>
      <c r="I4463">
        <v>5102</v>
      </c>
      <c r="J4463" s="3">
        <v>79</v>
      </c>
      <c r="K4463" s="3">
        <v>41.75</v>
      </c>
      <c r="L4463">
        <v>47.15</v>
      </c>
    </row>
    <row r="4464" spans="1:12">
      <c r="A4464" s="1">
        <v>46042</v>
      </c>
      <c r="B4464" t="s">
        <v>7864</v>
      </c>
      <c r="C4464">
        <v>24</v>
      </c>
      <c r="D4464" t="str">
        <f>VLOOKUP(Tabela26[[#This Row],[EMP]],[1]LOJA!$A:$B,2,0)</f>
        <v>LUZIÂNIA</v>
      </c>
      <c r="E4464">
        <v>150</v>
      </c>
      <c r="F4464" t="s">
        <v>4233</v>
      </c>
      <c r="G4464" t="s">
        <v>3437</v>
      </c>
      <c r="H4464" t="s">
        <v>3408</v>
      </c>
      <c r="I4464">
        <v>5405</v>
      </c>
      <c r="J4464" s="3">
        <v>180</v>
      </c>
      <c r="K4464" s="3">
        <v>99</v>
      </c>
      <c r="L4464">
        <v>45</v>
      </c>
    </row>
    <row r="4465" spans="1:12">
      <c r="A4465" s="1">
        <v>46042</v>
      </c>
      <c r="B4465" t="s">
        <v>7863</v>
      </c>
      <c r="C4465">
        <v>24</v>
      </c>
      <c r="D4465" t="str">
        <f>VLOOKUP(Tabela26[[#This Row],[EMP]],[1]LOJA!$A:$B,2,0)</f>
        <v>LUZIÂNIA</v>
      </c>
      <c r="E4465">
        <v>150</v>
      </c>
      <c r="F4465" t="s">
        <v>5406</v>
      </c>
      <c r="G4465" t="s">
        <v>3402</v>
      </c>
      <c r="H4465" t="s">
        <v>3408</v>
      </c>
      <c r="I4465">
        <v>5405</v>
      </c>
      <c r="J4465" s="3">
        <v>117</v>
      </c>
      <c r="K4465" s="3">
        <v>58.83</v>
      </c>
      <c r="L4465">
        <v>49.72</v>
      </c>
    </row>
    <row r="4466" spans="1:12">
      <c r="A4466" s="1">
        <v>46042</v>
      </c>
      <c r="B4466" t="s">
        <v>7862</v>
      </c>
      <c r="C4466">
        <v>24</v>
      </c>
      <c r="D4466" t="str">
        <f>VLOOKUP(Tabela26[[#This Row],[EMP]],[1]LOJA!$A:$B,2,0)</f>
        <v>LUZIÂNIA</v>
      </c>
      <c r="E4466">
        <v>242</v>
      </c>
      <c r="F4466" t="s">
        <v>7861</v>
      </c>
      <c r="G4466" t="s">
        <v>7860</v>
      </c>
      <c r="H4466" t="s">
        <v>3401</v>
      </c>
      <c r="I4466">
        <v>5102</v>
      </c>
      <c r="J4466" s="3">
        <v>67.5</v>
      </c>
      <c r="K4466" s="3">
        <v>33.74</v>
      </c>
      <c r="L4466">
        <v>50.01</v>
      </c>
    </row>
    <row r="4467" spans="1:12">
      <c r="A4467" s="1">
        <v>46042</v>
      </c>
      <c r="B4467" t="s">
        <v>7859</v>
      </c>
      <c r="C4467">
        <v>24</v>
      </c>
      <c r="D4467" t="str">
        <f>VLOOKUP(Tabela26[[#This Row],[EMP]],[1]LOJA!$A:$B,2,0)</f>
        <v>LUZIÂNIA</v>
      </c>
      <c r="E4467">
        <v>242</v>
      </c>
      <c r="F4467" t="s">
        <v>3524</v>
      </c>
      <c r="G4467" t="s">
        <v>3402</v>
      </c>
      <c r="H4467" t="s">
        <v>3401</v>
      </c>
      <c r="I4467">
        <v>5102</v>
      </c>
      <c r="J4467" s="3">
        <v>18</v>
      </c>
      <c r="K4467" s="3">
        <v>7.72</v>
      </c>
      <c r="L4467">
        <v>57.11</v>
      </c>
    </row>
    <row r="4468" spans="1:12">
      <c r="A4468" s="1">
        <v>46042</v>
      </c>
      <c r="B4468" t="s">
        <v>7858</v>
      </c>
      <c r="C4468">
        <v>24</v>
      </c>
      <c r="D4468" t="str">
        <f>VLOOKUP(Tabela26[[#This Row],[EMP]],[1]LOJA!$A:$B,2,0)</f>
        <v>LUZIÂNIA</v>
      </c>
      <c r="E4468">
        <v>192</v>
      </c>
      <c r="F4468" t="s">
        <v>7857</v>
      </c>
      <c r="G4468" t="s">
        <v>3402</v>
      </c>
      <c r="H4468" t="s">
        <v>3408</v>
      </c>
      <c r="I4468">
        <v>5405</v>
      </c>
      <c r="J4468" s="3">
        <v>120</v>
      </c>
      <c r="K4468" s="3">
        <v>59.13</v>
      </c>
      <c r="L4468">
        <v>50.73</v>
      </c>
    </row>
    <row r="4469" spans="1:12">
      <c r="A4469" s="1">
        <v>46042</v>
      </c>
      <c r="B4469" t="s">
        <v>7856</v>
      </c>
      <c r="C4469">
        <v>24</v>
      </c>
      <c r="D4469" t="str">
        <f>VLOOKUP(Tabela26[[#This Row],[EMP]],[1]LOJA!$A:$B,2,0)</f>
        <v>LUZIÂNIA</v>
      </c>
      <c r="E4469">
        <v>192</v>
      </c>
      <c r="F4469" t="s">
        <v>4895</v>
      </c>
      <c r="G4469" t="s">
        <v>3437</v>
      </c>
      <c r="H4469" t="s">
        <v>3408</v>
      </c>
      <c r="I4469">
        <v>5102</v>
      </c>
      <c r="J4469" s="3">
        <v>66</v>
      </c>
      <c r="K4469" s="3">
        <v>36.04</v>
      </c>
      <c r="L4469">
        <v>45.39</v>
      </c>
    </row>
    <row r="4470" spans="1:12">
      <c r="A4470" s="1">
        <v>46042</v>
      </c>
      <c r="B4470" t="s">
        <v>7855</v>
      </c>
      <c r="C4470">
        <v>24</v>
      </c>
      <c r="D4470" t="str">
        <f>VLOOKUP(Tabela26[[#This Row],[EMP]],[1]LOJA!$A:$B,2,0)</f>
        <v>LUZIÂNIA</v>
      </c>
      <c r="E4470">
        <v>192</v>
      </c>
      <c r="F4470" t="s">
        <v>3524</v>
      </c>
      <c r="G4470" t="s">
        <v>3402</v>
      </c>
      <c r="H4470" t="s">
        <v>3401</v>
      </c>
      <c r="I4470">
        <v>5102</v>
      </c>
      <c r="J4470" s="3">
        <v>278</v>
      </c>
      <c r="K4470" s="3">
        <v>138.22999999999999</v>
      </c>
      <c r="L4470">
        <v>50.28</v>
      </c>
    </row>
    <row r="4471" spans="1:12">
      <c r="A4471" s="1">
        <v>46042</v>
      </c>
      <c r="B4471" t="s">
        <v>7854</v>
      </c>
      <c r="C4471">
        <v>24</v>
      </c>
      <c r="D4471" t="str">
        <f>VLOOKUP(Tabela26[[#This Row],[EMP]],[1]LOJA!$A:$B,2,0)</f>
        <v>LUZIÂNIA</v>
      </c>
      <c r="E4471">
        <v>192</v>
      </c>
      <c r="F4471" t="s">
        <v>3524</v>
      </c>
      <c r="G4471" t="s">
        <v>3402</v>
      </c>
      <c r="H4471" t="s">
        <v>3401</v>
      </c>
      <c r="I4471">
        <v>5102</v>
      </c>
      <c r="J4471" s="3">
        <v>180</v>
      </c>
      <c r="K4471" s="3">
        <v>89.77</v>
      </c>
      <c r="L4471">
        <v>50.13</v>
      </c>
    </row>
    <row r="4472" spans="1:12">
      <c r="A4472" s="1">
        <v>46042</v>
      </c>
      <c r="B4472" t="s">
        <v>7853</v>
      </c>
      <c r="C4472">
        <v>24</v>
      </c>
      <c r="D4472" t="str">
        <f>VLOOKUP(Tabela26[[#This Row],[EMP]],[1]LOJA!$A:$B,2,0)</f>
        <v>LUZIÂNIA</v>
      </c>
      <c r="E4472">
        <v>192</v>
      </c>
      <c r="F4472" t="s">
        <v>3524</v>
      </c>
      <c r="G4472" t="s">
        <v>3402</v>
      </c>
      <c r="H4472" t="s">
        <v>3408</v>
      </c>
      <c r="I4472">
        <v>5405</v>
      </c>
      <c r="J4472" s="3">
        <v>80</v>
      </c>
      <c r="K4472" s="3">
        <v>32.81</v>
      </c>
      <c r="L4472">
        <v>58.99</v>
      </c>
    </row>
    <row r="4473" spans="1:12">
      <c r="A4473" s="1">
        <v>46042</v>
      </c>
      <c r="B4473" t="s">
        <v>7852</v>
      </c>
      <c r="C4473">
        <v>24</v>
      </c>
      <c r="D4473" t="str">
        <f>VLOOKUP(Tabela26[[#This Row],[EMP]],[1]LOJA!$A:$B,2,0)</f>
        <v>LUZIÂNIA</v>
      </c>
      <c r="E4473">
        <v>192</v>
      </c>
      <c r="F4473" t="s">
        <v>4169</v>
      </c>
      <c r="G4473" t="s">
        <v>4168</v>
      </c>
      <c r="H4473" t="s">
        <v>3401</v>
      </c>
      <c r="I4473">
        <v>5405</v>
      </c>
      <c r="J4473" s="3">
        <v>465.7</v>
      </c>
      <c r="K4473" s="3">
        <v>282.77999999999997</v>
      </c>
      <c r="L4473">
        <v>39.28</v>
      </c>
    </row>
    <row r="4474" spans="1:12">
      <c r="A4474" s="1">
        <v>46042</v>
      </c>
      <c r="B4474" t="s">
        <v>7851</v>
      </c>
      <c r="C4474">
        <v>24</v>
      </c>
      <c r="D4474" t="str">
        <f>VLOOKUP(Tabela26[[#This Row],[EMP]],[1]LOJA!$A:$B,2,0)</f>
        <v>LUZIÂNIA</v>
      </c>
      <c r="E4474">
        <v>192</v>
      </c>
      <c r="F4474" t="s">
        <v>3524</v>
      </c>
      <c r="G4474" t="s">
        <v>3402</v>
      </c>
      <c r="H4474" t="s">
        <v>3401</v>
      </c>
      <c r="I4474">
        <v>5102</v>
      </c>
      <c r="J4474" s="3">
        <v>72</v>
      </c>
      <c r="K4474" s="3">
        <v>36.549999999999997</v>
      </c>
      <c r="L4474">
        <v>49.24</v>
      </c>
    </row>
    <row r="4475" spans="1:12">
      <c r="A4475" s="1">
        <v>46042</v>
      </c>
      <c r="B4475" t="s">
        <v>7850</v>
      </c>
      <c r="C4475">
        <v>24</v>
      </c>
      <c r="D4475" t="str">
        <f>VLOOKUP(Tabela26[[#This Row],[EMP]],[1]LOJA!$A:$B,2,0)</f>
        <v>LUZIÂNIA</v>
      </c>
      <c r="E4475">
        <v>192</v>
      </c>
      <c r="F4475" t="s">
        <v>4883</v>
      </c>
      <c r="G4475" t="s">
        <v>4882</v>
      </c>
      <c r="H4475" t="s">
        <v>3408</v>
      </c>
      <c r="I4475">
        <v>5102</v>
      </c>
      <c r="J4475" s="3">
        <v>53.7</v>
      </c>
      <c r="K4475" s="3">
        <v>32.020000000000003</v>
      </c>
      <c r="L4475">
        <v>40.369999999999997</v>
      </c>
    </row>
    <row r="4476" spans="1:12">
      <c r="A4476" s="1">
        <v>46042</v>
      </c>
      <c r="B4476" t="s">
        <v>7849</v>
      </c>
      <c r="C4476">
        <v>24</v>
      </c>
      <c r="D4476" t="str">
        <f>VLOOKUP(Tabela26[[#This Row],[EMP]],[1]LOJA!$A:$B,2,0)</f>
        <v>LUZIÂNIA</v>
      </c>
      <c r="E4476">
        <v>192</v>
      </c>
      <c r="F4476" t="s">
        <v>3524</v>
      </c>
      <c r="G4476" t="s">
        <v>3402</v>
      </c>
      <c r="H4476" t="s">
        <v>3401</v>
      </c>
      <c r="I4476">
        <v>5102</v>
      </c>
      <c r="J4476" s="3">
        <v>124</v>
      </c>
      <c r="K4476" s="3">
        <v>57.01</v>
      </c>
      <c r="L4476">
        <v>54.02</v>
      </c>
    </row>
    <row r="4477" spans="1:12">
      <c r="A4477" s="1">
        <v>46042</v>
      </c>
      <c r="B4477" t="s">
        <v>7848</v>
      </c>
      <c r="C4477">
        <v>24</v>
      </c>
      <c r="D4477" t="str">
        <f>VLOOKUP(Tabela26[[#This Row],[EMP]],[1]LOJA!$A:$B,2,0)</f>
        <v>LUZIÂNIA</v>
      </c>
      <c r="E4477">
        <v>242</v>
      </c>
      <c r="F4477" t="s">
        <v>7847</v>
      </c>
      <c r="G4477" t="s">
        <v>3402</v>
      </c>
      <c r="H4477" t="s">
        <v>3408</v>
      </c>
      <c r="I4477">
        <v>5405</v>
      </c>
      <c r="J4477" s="3">
        <v>1185.29</v>
      </c>
      <c r="K4477" s="3">
        <v>685.19</v>
      </c>
      <c r="L4477">
        <v>42.19</v>
      </c>
    </row>
    <row r="4478" spans="1:12">
      <c r="A4478" s="1">
        <v>46042</v>
      </c>
      <c r="B4478" t="s">
        <v>7846</v>
      </c>
      <c r="C4478">
        <v>24</v>
      </c>
      <c r="D4478" t="str">
        <f>VLOOKUP(Tabela26[[#This Row],[EMP]],[1]LOJA!$A:$B,2,0)</f>
        <v>LUZIÂNIA</v>
      </c>
      <c r="E4478">
        <v>242</v>
      </c>
      <c r="F4478" t="s">
        <v>7845</v>
      </c>
      <c r="G4478" t="s">
        <v>3402</v>
      </c>
      <c r="H4478" t="s">
        <v>3408</v>
      </c>
      <c r="I4478">
        <v>5102</v>
      </c>
      <c r="J4478" s="3">
        <v>650</v>
      </c>
      <c r="K4478" s="3">
        <v>353.45</v>
      </c>
      <c r="L4478">
        <v>45.62</v>
      </c>
    </row>
    <row r="4479" spans="1:12">
      <c r="A4479" s="1">
        <v>46042</v>
      </c>
      <c r="B4479" t="s">
        <v>7844</v>
      </c>
      <c r="C4479">
        <v>24</v>
      </c>
      <c r="D4479" t="str">
        <f>VLOOKUP(Tabela26[[#This Row],[EMP]],[1]LOJA!$A:$B,2,0)</f>
        <v>LUZIÂNIA</v>
      </c>
      <c r="E4479">
        <v>192</v>
      </c>
      <c r="F4479" t="s">
        <v>3524</v>
      </c>
      <c r="G4479" t="s">
        <v>3402</v>
      </c>
      <c r="H4479" t="s">
        <v>3401</v>
      </c>
      <c r="I4479">
        <v>5102</v>
      </c>
      <c r="J4479" s="3">
        <v>12</v>
      </c>
      <c r="K4479" s="3">
        <v>6.16</v>
      </c>
      <c r="L4479">
        <v>48.67</v>
      </c>
    </row>
    <row r="4480" spans="1:12">
      <c r="A4480" s="1">
        <v>46042</v>
      </c>
      <c r="B4480" t="s">
        <v>7843</v>
      </c>
      <c r="C4480">
        <v>24</v>
      </c>
      <c r="D4480" t="str">
        <f>VLOOKUP(Tabela26[[#This Row],[EMP]],[1]LOJA!$A:$B,2,0)</f>
        <v>LUZIÂNIA</v>
      </c>
      <c r="E4480">
        <v>242</v>
      </c>
      <c r="F4480" t="s">
        <v>3524</v>
      </c>
      <c r="G4480" t="s">
        <v>3402</v>
      </c>
      <c r="H4480" t="s">
        <v>3401</v>
      </c>
      <c r="I4480">
        <v>5102</v>
      </c>
      <c r="J4480" s="3">
        <v>55</v>
      </c>
      <c r="K4480" s="3">
        <v>35.4</v>
      </c>
      <c r="L4480">
        <v>35.64</v>
      </c>
    </row>
    <row r="4481" spans="1:12">
      <c r="A4481" s="1">
        <v>46042</v>
      </c>
      <c r="B4481" t="s">
        <v>7842</v>
      </c>
      <c r="C4481">
        <v>12</v>
      </c>
      <c r="D4481" t="str">
        <f>VLOOKUP(Tabela26[[#This Row],[EMP]],[1]LOJA!$A:$B,2,0)</f>
        <v>SOFNORTE</v>
      </c>
      <c r="E4481">
        <v>60</v>
      </c>
      <c r="F4481" t="s">
        <v>3518</v>
      </c>
      <c r="G4481" t="s">
        <v>3517</v>
      </c>
      <c r="H4481" t="s">
        <v>3430</v>
      </c>
      <c r="I4481">
        <v>5405</v>
      </c>
      <c r="J4481" s="3">
        <v>39</v>
      </c>
      <c r="K4481" s="3">
        <v>17.850000000000001</v>
      </c>
      <c r="L4481">
        <v>54.23</v>
      </c>
    </row>
    <row r="4482" spans="1:12">
      <c r="A4482" s="1">
        <v>46042</v>
      </c>
      <c r="B4482" t="s">
        <v>7841</v>
      </c>
      <c r="C4482">
        <v>12</v>
      </c>
      <c r="D4482" t="str">
        <f>VLOOKUP(Tabela26[[#This Row],[EMP]],[1]LOJA!$A:$B,2,0)</f>
        <v>SOFNORTE</v>
      </c>
      <c r="E4482">
        <v>60</v>
      </c>
      <c r="F4482" t="s">
        <v>4813</v>
      </c>
      <c r="G4482" t="s">
        <v>4812</v>
      </c>
      <c r="H4482" t="s">
        <v>7609</v>
      </c>
      <c r="I4482">
        <v>5405</v>
      </c>
      <c r="J4482" s="3">
        <v>76</v>
      </c>
      <c r="K4482" s="3">
        <v>35.49</v>
      </c>
      <c r="L4482">
        <v>53.3</v>
      </c>
    </row>
    <row r="4483" spans="1:12">
      <c r="A4483" s="1">
        <v>46042</v>
      </c>
      <c r="B4483" t="s">
        <v>7840</v>
      </c>
      <c r="C4483">
        <v>12</v>
      </c>
      <c r="D4483" t="str">
        <f>VLOOKUP(Tabela26[[#This Row],[EMP]],[1]LOJA!$A:$B,2,0)</f>
        <v>SOFNORTE</v>
      </c>
      <c r="E4483">
        <v>60</v>
      </c>
      <c r="F4483" t="s">
        <v>4156</v>
      </c>
      <c r="G4483" t="s">
        <v>4155</v>
      </c>
      <c r="H4483" t="s">
        <v>7609</v>
      </c>
      <c r="I4483">
        <v>5102</v>
      </c>
      <c r="J4483" s="3">
        <v>176.1</v>
      </c>
      <c r="K4483" s="3">
        <v>92.4</v>
      </c>
      <c r="L4483">
        <v>47.53</v>
      </c>
    </row>
    <row r="4484" spans="1:12">
      <c r="A4484" s="1">
        <v>46042</v>
      </c>
      <c r="B4484" t="s">
        <v>7839</v>
      </c>
      <c r="C4484">
        <v>12</v>
      </c>
      <c r="D4484" t="str">
        <f>VLOOKUP(Tabela26[[#This Row],[EMP]],[1]LOJA!$A:$B,2,0)</f>
        <v>SOFNORTE</v>
      </c>
      <c r="E4484">
        <v>60</v>
      </c>
      <c r="F4484" t="s">
        <v>4156</v>
      </c>
      <c r="G4484" t="s">
        <v>4155</v>
      </c>
      <c r="H4484" t="s">
        <v>7609</v>
      </c>
      <c r="I4484">
        <v>5405</v>
      </c>
      <c r="J4484" s="3">
        <v>105</v>
      </c>
      <c r="K4484" s="3">
        <v>50.27</v>
      </c>
      <c r="L4484">
        <v>52.12</v>
      </c>
    </row>
    <row r="4485" spans="1:12">
      <c r="A4485" s="1">
        <v>46042</v>
      </c>
      <c r="B4485" t="s">
        <v>7838</v>
      </c>
      <c r="C4485">
        <v>22</v>
      </c>
      <c r="D4485" t="str">
        <f>VLOOKUP(Tabela26[[#This Row],[EMP]],[1]LOJA!$A:$B,2,0)</f>
        <v>GUARÁ</v>
      </c>
      <c r="E4485">
        <v>93</v>
      </c>
      <c r="F4485" t="s">
        <v>4808</v>
      </c>
      <c r="G4485" t="s">
        <v>4807</v>
      </c>
      <c r="H4485" t="s">
        <v>3430</v>
      </c>
      <c r="I4485">
        <v>5405</v>
      </c>
      <c r="J4485" s="3">
        <v>694.37</v>
      </c>
      <c r="K4485" s="3">
        <v>401.82</v>
      </c>
      <c r="L4485">
        <v>42.13</v>
      </c>
    </row>
    <row r="4486" spans="1:12">
      <c r="A4486" s="1">
        <v>46042</v>
      </c>
      <c r="B4486" t="s">
        <v>7837</v>
      </c>
      <c r="C4486">
        <v>22</v>
      </c>
      <c r="D4486" t="str">
        <f>VLOOKUP(Tabela26[[#This Row],[EMP]],[1]LOJA!$A:$B,2,0)</f>
        <v>GUARÁ</v>
      </c>
      <c r="E4486">
        <v>93</v>
      </c>
      <c r="F4486" t="s">
        <v>4140</v>
      </c>
      <c r="G4486" t="s">
        <v>4139</v>
      </c>
      <c r="H4486" t="s">
        <v>3430</v>
      </c>
      <c r="I4486">
        <v>5102</v>
      </c>
      <c r="J4486" s="3">
        <v>38.299999999999997</v>
      </c>
      <c r="K4486" s="3">
        <v>22.4</v>
      </c>
      <c r="L4486">
        <v>41.51</v>
      </c>
    </row>
    <row r="4487" spans="1:12">
      <c r="A4487" s="1">
        <v>46042</v>
      </c>
      <c r="B4487" t="s">
        <v>7836</v>
      </c>
      <c r="C4487">
        <v>22</v>
      </c>
      <c r="D4487" t="str">
        <f>VLOOKUP(Tabela26[[#This Row],[EMP]],[1]LOJA!$A:$B,2,0)</f>
        <v>GUARÁ</v>
      </c>
      <c r="E4487">
        <v>93</v>
      </c>
      <c r="F4487" t="s">
        <v>4808</v>
      </c>
      <c r="G4487" t="s">
        <v>4807</v>
      </c>
      <c r="H4487" t="s">
        <v>3430</v>
      </c>
      <c r="I4487">
        <v>5405</v>
      </c>
      <c r="J4487" s="3">
        <v>269</v>
      </c>
      <c r="K4487" s="3">
        <v>143.6</v>
      </c>
      <c r="L4487">
        <v>46.62</v>
      </c>
    </row>
    <row r="4488" spans="1:12">
      <c r="A4488" s="1">
        <v>46042</v>
      </c>
      <c r="B4488" t="s">
        <v>7835</v>
      </c>
      <c r="C4488">
        <v>22</v>
      </c>
      <c r="D4488" t="str">
        <f>VLOOKUP(Tabela26[[#This Row],[EMP]],[1]LOJA!$A:$B,2,0)</f>
        <v>GUARÁ</v>
      </c>
      <c r="E4488">
        <v>93</v>
      </c>
      <c r="F4488" t="s">
        <v>4140</v>
      </c>
      <c r="G4488" t="s">
        <v>4139</v>
      </c>
      <c r="H4488" t="s">
        <v>3430</v>
      </c>
      <c r="I4488">
        <v>5405</v>
      </c>
      <c r="J4488" s="3">
        <v>109.41</v>
      </c>
      <c r="K4488" s="3">
        <v>56.79</v>
      </c>
      <c r="L4488">
        <v>48.09</v>
      </c>
    </row>
    <row r="4489" spans="1:12">
      <c r="A4489" s="1">
        <v>46042</v>
      </c>
      <c r="B4489" t="s">
        <v>7834</v>
      </c>
      <c r="C4489">
        <v>22</v>
      </c>
      <c r="D4489" t="str">
        <f>VLOOKUP(Tabela26[[#This Row],[EMP]],[1]LOJA!$A:$B,2,0)</f>
        <v>GUARÁ</v>
      </c>
      <c r="E4489">
        <v>93</v>
      </c>
      <c r="F4489" t="s">
        <v>3514</v>
      </c>
      <c r="G4489" t="s">
        <v>3513</v>
      </c>
      <c r="H4489" t="s">
        <v>3430</v>
      </c>
      <c r="I4489">
        <v>5405</v>
      </c>
      <c r="J4489" s="3">
        <v>106.72</v>
      </c>
      <c r="K4489" s="3">
        <v>55.6</v>
      </c>
      <c r="L4489">
        <v>47.9</v>
      </c>
    </row>
    <row r="4490" spans="1:12">
      <c r="A4490" s="1">
        <v>46042</v>
      </c>
      <c r="B4490" t="s">
        <v>7833</v>
      </c>
      <c r="C4490">
        <v>22</v>
      </c>
      <c r="D4490" t="str">
        <f>VLOOKUP(Tabela26[[#This Row],[EMP]],[1]LOJA!$A:$B,2,0)</f>
        <v>GUARÁ</v>
      </c>
      <c r="E4490">
        <v>93</v>
      </c>
      <c r="F4490" t="s">
        <v>7832</v>
      </c>
      <c r="G4490" t="s">
        <v>7831</v>
      </c>
      <c r="H4490" t="s">
        <v>3520</v>
      </c>
      <c r="I4490">
        <v>5405</v>
      </c>
      <c r="J4490" s="3">
        <v>3045</v>
      </c>
      <c r="K4490" s="3">
        <v>1692.94</v>
      </c>
      <c r="L4490">
        <v>44.4</v>
      </c>
    </row>
    <row r="4491" spans="1:12">
      <c r="A4491" s="1">
        <v>46042</v>
      </c>
      <c r="B4491" t="s">
        <v>7830</v>
      </c>
      <c r="C4491">
        <v>22</v>
      </c>
      <c r="D4491" t="str">
        <f>VLOOKUP(Tabela26[[#This Row],[EMP]],[1]LOJA!$A:$B,2,0)</f>
        <v>GUARÁ</v>
      </c>
      <c r="E4491">
        <v>93</v>
      </c>
      <c r="F4491" t="s">
        <v>3511</v>
      </c>
      <c r="G4491" t="s">
        <v>3510</v>
      </c>
      <c r="H4491" t="s">
        <v>3430</v>
      </c>
      <c r="I4491">
        <v>5405</v>
      </c>
      <c r="J4491" s="3">
        <v>237.83</v>
      </c>
      <c r="K4491" s="3">
        <v>120.76</v>
      </c>
      <c r="L4491">
        <v>49.22</v>
      </c>
    </row>
    <row r="4492" spans="1:12">
      <c r="A4492" s="1">
        <v>46042</v>
      </c>
      <c r="B4492" t="s">
        <v>7829</v>
      </c>
      <c r="C4492">
        <v>22</v>
      </c>
      <c r="D4492" t="str">
        <f>VLOOKUP(Tabela26[[#This Row],[EMP]],[1]LOJA!$A:$B,2,0)</f>
        <v>GUARÁ</v>
      </c>
      <c r="E4492">
        <v>93</v>
      </c>
      <c r="F4492" t="s">
        <v>4151</v>
      </c>
      <c r="G4492" t="s">
        <v>4150</v>
      </c>
      <c r="H4492" t="s">
        <v>3430</v>
      </c>
      <c r="I4492">
        <v>5405</v>
      </c>
      <c r="J4492" s="3">
        <v>181.43</v>
      </c>
      <c r="K4492" s="3">
        <v>86.58</v>
      </c>
      <c r="L4492">
        <v>52.28</v>
      </c>
    </row>
    <row r="4493" spans="1:12">
      <c r="A4493" s="1">
        <v>46042</v>
      </c>
      <c r="B4493" t="s">
        <v>7828</v>
      </c>
      <c r="C4493">
        <v>13</v>
      </c>
      <c r="D4493" t="str">
        <f>VLOOKUP(Tabela26[[#This Row],[EMP]],[1]LOJA!$A:$B,2,0)</f>
        <v>CEILÂNDIA</v>
      </c>
      <c r="E4493">
        <v>86</v>
      </c>
      <c r="F4493" t="s">
        <v>4775</v>
      </c>
      <c r="G4493" t="s">
        <v>4774</v>
      </c>
      <c r="H4493" t="s">
        <v>3401</v>
      </c>
      <c r="I4493">
        <v>1202</v>
      </c>
      <c r="J4493" s="3">
        <v>-822.85</v>
      </c>
      <c r="K4493" s="3">
        <v>-433.48</v>
      </c>
      <c r="L4493">
        <v>47.32</v>
      </c>
    </row>
    <row r="4494" spans="1:12">
      <c r="A4494" s="1">
        <v>46042</v>
      </c>
      <c r="B4494" t="s">
        <v>7827</v>
      </c>
      <c r="C4494">
        <v>13</v>
      </c>
      <c r="D4494" t="str">
        <f>VLOOKUP(Tabela26[[#This Row],[EMP]],[1]LOJA!$A:$B,2,0)</f>
        <v>CEILÂNDIA</v>
      </c>
      <c r="E4494">
        <v>86</v>
      </c>
      <c r="F4494" t="s">
        <v>4118</v>
      </c>
      <c r="G4494" t="s">
        <v>4117</v>
      </c>
      <c r="H4494" t="s">
        <v>3430</v>
      </c>
      <c r="I4494">
        <v>5405</v>
      </c>
      <c r="J4494" s="3">
        <v>68.709999999999994</v>
      </c>
      <c r="K4494" s="3">
        <v>36.17</v>
      </c>
      <c r="L4494">
        <v>47.36</v>
      </c>
    </row>
    <row r="4495" spans="1:12">
      <c r="A4495" s="1">
        <v>46042</v>
      </c>
      <c r="B4495" t="s">
        <v>7826</v>
      </c>
      <c r="C4495">
        <v>13</v>
      </c>
      <c r="D4495" t="str">
        <f>VLOOKUP(Tabela26[[#This Row],[EMP]],[1]LOJA!$A:$B,2,0)</f>
        <v>CEILÂNDIA</v>
      </c>
      <c r="E4495">
        <v>33</v>
      </c>
      <c r="F4495" t="s">
        <v>4792</v>
      </c>
      <c r="G4495" t="s">
        <v>4791</v>
      </c>
      <c r="H4495" t="s">
        <v>7761</v>
      </c>
      <c r="I4495">
        <v>5405</v>
      </c>
      <c r="J4495" s="3">
        <v>186.99</v>
      </c>
      <c r="K4495" s="3">
        <v>92.91</v>
      </c>
      <c r="L4495">
        <v>50.31</v>
      </c>
    </row>
    <row r="4496" spans="1:12">
      <c r="A4496" s="1">
        <v>46042</v>
      </c>
      <c r="B4496" t="s">
        <v>7825</v>
      </c>
      <c r="C4496">
        <v>13</v>
      </c>
      <c r="D4496" t="str">
        <f>VLOOKUP(Tabela26[[#This Row],[EMP]],[1]LOJA!$A:$B,2,0)</f>
        <v>CEILÂNDIA</v>
      </c>
      <c r="E4496">
        <v>33</v>
      </c>
      <c r="F4496" t="s">
        <v>4792</v>
      </c>
      <c r="G4496" t="s">
        <v>4791</v>
      </c>
      <c r="H4496" t="s">
        <v>7761</v>
      </c>
      <c r="I4496">
        <v>5405</v>
      </c>
      <c r="J4496" s="3">
        <v>54</v>
      </c>
      <c r="K4496" s="3">
        <v>25.77</v>
      </c>
      <c r="L4496">
        <v>52.28</v>
      </c>
    </row>
    <row r="4497" spans="1:12">
      <c r="A4497" s="1">
        <v>46042</v>
      </c>
      <c r="B4497" t="s">
        <v>7824</v>
      </c>
      <c r="C4497">
        <v>13</v>
      </c>
      <c r="D4497" t="str">
        <f>VLOOKUP(Tabela26[[#This Row],[EMP]],[1]LOJA!$A:$B,2,0)</f>
        <v>CEILÂNDIA</v>
      </c>
      <c r="E4497">
        <v>86</v>
      </c>
      <c r="F4497" t="s">
        <v>4118</v>
      </c>
      <c r="G4497" t="s">
        <v>4117</v>
      </c>
      <c r="H4497" t="s">
        <v>3430</v>
      </c>
      <c r="I4497">
        <v>5405</v>
      </c>
      <c r="J4497" s="3">
        <v>57.07</v>
      </c>
      <c r="K4497" s="3">
        <v>27.15</v>
      </c>
      <c r="L4497">
        <v>52.43</v>
      </c>
    </row>
    <row r="4498" spans="1:12">
      <c r="A4498" s="1">
        <v>46042</v>
      </c>
      <c r="B4498" t="s">
        <v>7823</v>
      </c>
      <c r="C4498">
        <v>13</v>
      </c>
      <c r="D4498" t="str">
        <f>VLOOKUP(Tabela26[[#This Row],[EMP]],[1]LOJA!$A:$B,2,0)</f>
        <v>CEILÂNDIA</v>
      </c>
      <c r="E4498">
        <v>86</v>
      </c>
      <c r="F4498" t="s">
        <v>4118</v>
      </c>
      <c r="G4498" t="s">
        <v>4117</v>
      </c>
      <c r="H4498" t="s">
        <v>3430</v>
      </c>
      <c r="I4498">
        <v>5102</v>
      </c>
      <c r="J4498" s="3">
        <v>118.84</v>
      </c>
      <c r="K4498" s="3">
        <v>61.8</v>
      </c>
      <c r="L4498">
        <v>48</v>
      </c>
    </row>
    <row r="4499" spans="1:12">
      <c r="A4499" s="1">
        <v>46042</v>
      </c>
      <c r="B4499" t="s">
        <v>7822</v>
      </c>
      <c r="C4499">
        <v>13</v>
      </c>
      <c r="D4499" t="str">
        <f>VLOOKUP(Tabela26[[#This Row],[EMP]],[1]LOJA!$A:$B,2,0)</f>
        <v>CEILÂNDIA</v>
      </c>
      <c r="E4499">
        <v>86</v>
      </c>
      <c r="F4499" t="s">
        <v>4122</v>
      </c>
      <c r="G4499" t="s">
        <v>4121</v>
      </c>
      <c r="H4499" t="s">
        <v>3430</v>
      </c>
      <c r="I4499">
        <v>5102</v>
      </c>
      <c r="J4499" s="3">
        <v>386.81</v>
      </c>
      <c r="K4499" s="3">
        <v>200.36</v>
      </c>
      <c r="L4499">
        <v>48.2</v>
      </c>
    </row>
    <row r="4500" spans="1:12">
      <c r="A4500" s="1">
        <v>46042</v>
      </c>
      <c r="B4500" t="s">
        <v>7821</v>
      </c>
      <c r="C4500">
        <v>13</v>
      </c>
      <c r="D4500" t="str">
        <f>VLOOKUP(Tabela26[[#This Row],[EMP]],[1]LOJA!$A:$B,2,0)</f>
        <v>CEILÂNDIA</v>
      </c>
      <c r="E4500">
        <v>33</v>
      </c>
      <c r="F4500" t="s">
        <v>4792</v>
      </c>
      <c r="G4500" t="s">
        <v>4791</v>
      </c>
      <c r="H4500" t="s">
        <v>7761</v>
      </c>
      <c r="I4500">
        <v>5405</v>
      </c>
      <c r="J4500" s="3">
        <v>60</v>
      </c>
      <c r="K4500" s="3">
        <v>30.25</v>
      </c>
      <c r="L4500">
        <v>49.58</v>
      </c>
    </row>
    <row r="4501" spans="1:12">
      <c r="A4501" s="1">
        <v>46042</v>
      </c>
      <c r="B4501" t="s">
        <v>7820</v>
      </c>
      <c r="C4501">
        <v>13</v>
      </c>
      <c r="D4501" t="str">
        <f>VLOOKUP(Tabela26[[#This Row],[EMP]],[1]LOJA!$A:$B,2,0)</f>
        <v>CEILÂNDIA</v>
      </c>
      <c r="E4501">
        <v>86</v>
      </c>
      <c r="F4501" t="s">
        <v>4106</v>
      </c>
      <c r="G4501" t="s">
        <v>4105</v>
      </c>
      <c r="H4501" t="s">
        <v>3430</v>
      </c>
      <c r="I4501">
        <v>5405</v>
      </c>
      <c r="J4501" s="3">
        <v>32.090000000000003</v>
      </c>
      <c r="K4501" s="3">
        <v>15.52</v>
      </c>
      <c r="L4501">
        <v>51.64</v>
      </c>
    </row>
    <row r="4502" spans="1:12">
      <c r="A4502" s="1">
        <v>46042</v>
      </c>
      <c r="B4502" t="s">
        <v>7819</v>
      </c>
      <c r="C4502">
        <v>13</v>
      </c>
      <c r="D4502" t="str">
        <f>VLOOKUP(Tabela26[[#This Row],[EMP]],[1]LOJA!$A:$B,2,0)</f>
        <v>CEILÂNDIA</v>
      </c>
      <c r="E4502">
        <v>86</v>
      </c>
      <c r="F4502" t="s">
        <v>4112</v>
      </c>
      <c r="G4502" t="s">
        <v>4111</v>
      </c>
      <c r="H4502" t="s">
        <v>3430</v>
      </c>
      <c r="I4502">
        <v>5102</v>
      </c>
      <c r="J4502" s="3">
        <v>54.9</v>
      </c>
      <c r="K4502" s="3">
        <v>32.950000000000003</v>
      </c>
      <c r="L4502">
        <v>39.979999999999997</v>
      </c>
    </row>
    <row r="4503" spans="1:12">
      <c r="A4503" s="1">
        <v>46042</v>
      </c>
      <c r="B4503" t="s">
        <v>7818</v>
      </c>
      <c r="C4503">
        <v>13</v>
      </c>
      <c r="D4503" t="str">
        <f>VLOOKUP(Tabela26[[#This Row],[EMP]],[1]LOJA!$A:$B,2,0)</f>
        <v>CEILÂNDIA</v>
      </c>
      <c r="E4503">
        <v>86</v>
      </c>
      <c r="F4503" t="s">
        <v>3501</v>
      </c>
      <c r="G4503" t="s">
        <v>3500</v>
      </c>
      <c r="H4503" t="s">
        <v>3430</v>
      </c>
      <c r="I4503">
        <v>5405</v>
      </c>
      <c r="J4503" s="3">
        <v>52</v>
      </c>
      <c r="K4503" s="3">
        <v>27.18</v>
      </c>
      <c r="L4503">
        <v>47.73</v>
      </c>
    </row>
    <row r="4504" spans="1:12">
      <c r="A4504" s="1">
        <v>46042</v>
      </c>
      <c r="B4504" t="s">
        <v>7817</v>
      </c>
      <c r="C4504">
        <v>13</v>
      </c>
      <c r="D4504" t="str">
        <f>VLOOKUP(Tabela26[[#This Row],[EMP]],[1]LOJA!$A:$B,2,0)</f>
        <v>CEILÂNDIA</v>
      </c>
      <c r="E4504">
        <v>33</v>
      </c>
      <c r="F4504" t="s">
        <v>4767</v>
      </c>
      <c r="G4504" t="s">
        <v>4766</v>
      </c>
      <c r="H4504" t="s">
        <v>3430</v>
      </c>
      <c r="I4504">
        <v>5405</v>
      </c>
      <c r="J4504" s="3">
        <v>164</v>
      </c>
      <c r="K4504" s="3">
        <v>85.32</v>
      </c>
      <c r="L4504">
        <v>47.98</v>
      </c>
    </row>
    <row r="4505" spans="1:12">
      <c r="A4505" s="1">
        <v>46042</v>
      </c>
      <c r="B4505" t="s">
        <v>7816</v>
      </c>
      <c r="C4505">
        <v>13</v>
      </c>
      <c r="D4505" t="str">
        <f>VLOOKUP(Tabela26[[#This Row],[EMP]],[1]LOJA!$A:$B,2,0)</f>
        <v>CEILÂNDIA</v>
      </c>
      <c r="E4505">
        <v>33</v>
      </c>
      <c r="F4505" t="s">
        <v>4775</v>
      </c>
      <c r="G4505" t="s">
        <v>4774</v>
      </c>
      <c r="H4505" t="s">
        <v>7761</v>
      </c>
      <c r="I4505">
        <v>5102</v>
      </c>
      <c r="J4505" s="3">
        <v>878.05</v>
      </c>
      <c r="K4505" s="3">
        <v>496.9</v>
      </c>
      <c r="L4505">
        <v>43.41</v>
      </c>
    </row>
    <row r="4506" spans="1:12">
      <c r="A4506" s="1">
        <v>46042</v>
      </c>
      <c r="B4506" t="s">
        <v>7815</v>
      </c>
      <c r="C4506">
        <v>13</v>
      </c>
      <c r="D4506" t="str">
        <f>VLOOKUP(Tabela26[[#This Row],[EMP]],[1]LOJA!$A:$B,2,0)</f>
        <v>CEILÂNDIA</v>
      </c>
      <c r="E4506">
        <v>86</v>
      </c>
      <c r="F4506" t="s">
        <v>4084</v>
      </c>
      <c r="G4506" t="s">
        <v>4083</v>
      </c>
      <c r="H4506" t="s">
        <v>3430</v>
      </c>
      <c r="I4506">
        <v>5405</v>
      </c>
      <c r="J4506" s="3">
        <v>227.4</v>
      </c>
      <c r="K4506" s="3">
        <v>138.66</v>
      </c>
      <c r="L4506">
        <v>39.020000000000003</v>
      </c>
    </row>
    <row r="4507" spans="1:12">
      <c r="A4507" s="1">
        <v>46042</v>
      </c>
      <c r="B4507" t="s">
        <v>7814</v>
      </c>
      <c r="C4507">
        <v>13</v>
      </c>
      <c r="D4507" t="str">
        <f>VLOOKUP(Tabela26[[#This Row],[EMP]],[1]LOJA!$A:$B,2,0)</f>
        <v>CEILÂNDIA</v>
      </c>
      <c r="E4507">
        <v>86</v>
      </c>
      <c r="F4507" t="s">
        <v>4097</v>
      </c>
      <c r="G4507" t="s">
        <v>4096</v>
      </c>
      <c r="H4507" t="s">
        <v>3430</v>
      </c>
      <c r="I4507">
        <v>5405</v>
      </c>
      <c r="J4507" s="3">
        <v>232.24</v>
      </c>
      <c r="K4507" s="3">
        <v>117.18</v>
      </c>
      <c r="L4507">
        <v>49.54</v>
      </c>
    </row>
    <row r="4508" spans="1:12">
      <c r="A4508" s="1">
        <v>46042</v>
      </c>
      <c r="B4508" t="s">
        <v>7813</v>
      </c>
      <c r="C4508">
        <v>13</v>
      </c>
      <c r="D4508" t="str">
        <f>VLOOKUP(Tabela26[[#This Row],[EMP]],[1]LOJA!$A:$B,2,0)</f>
        <v>CEILÂNDIA</v>
      </c>
      <c r="E4508">
        <v>33</v>
      </c>
      <c r="F4508" t="s">
        <v>5845</v>
      </c>
      <c r="G4508" t="s">
        <v>5844</v>
      </c>
      <c r="H4508" t="s">
        <v>7761</v>
      </c>
      <c r="I4508">
        <v>5102</v>
      </c>
      <c r="J4508" s="3">
        <v>63.81</v>
      </c>
      <c r="K4508" s="3">
        <v>27.38</v>
      </c>
      <c r="L4508">
        <v>57.09</v>
      </c>
    </row>
    <row r="4509" spans="1:12">
      <c r="A4509" s="1">
        <v>46042</v>
      </c>
      <c r="B4509" t="s">
        <v>7812</v>
      </c>
      <c r="C4509">
        <v>15</v>
      </c>
      <c r="D4509" t="str">
        <f>VLOOKUP(Tabela26[[#This Row],[EMP]],[1]LOJA!$A:$B,2,0)</f>
        <v>UNAÍ</v>
      </c>
      <c r="E4509">
        <v>183</v>
      </c>
      <c r="F4509" t="s">
        <v>4758</v>
      </c>
      <c r="G4509" t="s">
        <v>4757</v>
      </c>
      <c r="H4509" t="s">
        <v>3430</v>
      </c>
      <c r="I4509">
        <v>5102</v>
      </c>
      <c r="J4509" s="3">
        <v>87.81</v>
      </c>
      <c r="K4509" s="3">
        <v>45.11</v>
      </c>
      <c r="L4509">
        <v>48.63</v>
      </c>
    </row>
    <row r="4510" spans="1:12">
      <c r="A4510" s="1">
        <v>46042</v>
      </c>
      <c r="B4510" t="s">
        <v>7811</v>
      </c>
      <c r="C4510">
        <v>15</v>
      </c>
      <c r="D4510" t="str">
        <f>VLOOKUP(Tabela26[[#This Row],[EMP]],[1]LOJA!$A:$B,2,0)</f>
        <v>UNAÍ</v>
      </c>
      <c r="E4510">
        <v>183</v>
      </c>
      <c r="F4510" t="s">
        <v>3488</v>
      </c>
      <c r="G4510" t="s">
        <v>3487</v>
      </c>
      <c r="H4510" t="s">
        <v>3430</v>
      </c>
      <c r="I4510">
        <v>5102</v>
      </c>
      <c r="J4510" s="3">
        <v>33</v>
      </c>
      <c r="K4510" s="3">
        <v>16.48</v>
      </c>
      <c r="L4510">
        <v>50.06</v>
      </c>
    </row>
    <row r="4511" spans="1:12">
      <c r="A4511" s="1">
        <v>46042</v>
      </c>
      <c r="B4511" t="s">
        <v>7810</v>
      </c>
      <c r="C4511">
        <v>15</v>
      </c>
      <c r="D4511" t="str">
        <f>VLOOKUP(Tabela26[[#This Row],[EMP]],[1]LOJA!$A:$B,2,0)</f>
        <v>UNAÍ</v>
      </c>
      <c r="E4511">
        <v>183</v>
      </c>
      <c r="F4511" t="s">
        <v>3485</v>
      </c>
      <c r="G4511" t="s">
        <v>3402</v>
      </c>
      <c r="H4511" t="s">
        <v>3401</v>
      </c>
      <c r="I4511">
        <v>5102</v>
      </c>
      <c r="J4511" s="3">
        <v>186.7</v>
      </c>
      <c r="K4511" s="3">
        <v>98.69</v>
      </c>
      <c r="L4511">
        <v>47.14</v>
      </c>
    </row>
    <row r="4512" spans="1:12">
      <c r="A4512" s="1">
        <v>46042</v>
      </c>
      <c r="B4512" t="s">
        <v>7809</v>
      </c>
      <c r="C4512">
        <v>15</v>
      </c>
      <c r="D4512" t="str">
        <f>VLOOKUP(Tabela26[[#This Row],[EMP]],[1]LOJA!$A:$B,2,0)</f>
        <v>UNAÍ</v>
      </c>
      <c r="E4512">
        <v>183</v>
      </c>
      <c r="F4512" t="s">
        <v>4029</v>
      </c>
      <c r="G4512" t="s">
        <v>4028</v>
      </c>
      <c r="H4512" t="s">
        <v>3401</v>
      </c>
      <c r="I4512">
        <v>5102</v>
      </c>
      <c r="J4512" s="3">
        <v>21.6</v>
      </c>
      <c r="K4512" s="3">
        <v>8.16</v>
      </c>
      <c r="L4512">
        <v>62.22</v>
      </c>
    </row>
    <row r="4513" spans="1:12">
      <c r="A4513" s="1">
        <v>46042</v>
      </c>
      <c r="B4513" t="s">
        <v>7808</v>
      </c>
      <c r="C4513">
        <v>15</v>
      </c>
      <c r="D4513" t="str">
        <f>VLOOKUP(Tabela26[[#This Row],[EMP]],[1]LOJA!$A:$B,2,0)</f>
        <v>UNAÍ</v>
      </c>
      <c r="E4513">
        <v>183</v>
      </c>
      <c r="F4513" t="s">
        <v>3485</v>
      </c>
      <c r="G4513" t="s">
        <v>3402</v>
      </c>
      <c r="H4513" t="s">
        <v>3401</v>
      </c>
      <c r="I4513">
        <v>5102</v>
      </c>
      <c r="J4513" s="3">
        <v>90.6</v>
      </c>
      <c r="K4513" s="3">
        <v>51.62</v>
      </c>
      <c r="L4513">
        <v>43.02</v>
      </c>
    </row>
    <row r="4514" spans="1:12">
      <c r="A4514" s="1">
        <v>46042</v>
      </c>
      <c r="B4514" t="s">
        <v>7807</v>
      </c>
      <c r="C4514">
        <v>15</v>
      </c>
      <c r="D4514" t="str">
        <f>VLOOKUP(Tabela26[[#This Row],[EMP]],[1]LOJA!$A:$B,2,0)</f>
        <v>UNAÍ</v>
      </c>
      <c r="E4514">
        <v>183</v>
      </c>
      <c r="F4514" t="s">
        <v>7806</v>
      </c>
      <c r="G4514" t="s">
        <v>7805</v>
      </c>
      <c r="H4514" t="s">
        <v>3408</v>
      </c>
      <c r="I4514">
        <v>5102</v>
      </c>
      <c r="J4514" s="3">
        <v>109</v>
      </c>
      <c r="K4514" s="3">
        <v>54.06</v>
      </c>
      <c r="L4514">
        <v>50.4</v>
      </c>
    </row>
    <row r="4515" spans="1:12">
      <c r="A4515" s="1">
        <v>46042</v>
      </c>
      <c r="B4515" t="s">
        <v>7804</v>
      </c>
      <c r="C4515">
        <v>15</v>
      </c>
      <c r="D4515" t="str">
        <f>VLOOKUP(Tabela26[[#This Row],[EMP]],[1]LOJA!$A:$B,2,0)</f>
        <v>UNAÍ</v>
      </c>
      <c r="E4515">
        <v>183</v>
      </c>
      <c r="F4515" t="s">
        <v>4740</v>
      </c>
      <c r="G4515" t="s">
        <v>4739</v>
      </c>
      <c r="H4515" t="s">
        <v>7400</v>
      </c>
      <c r="I4515">
        <v>5405</v>
      </c>
      <c r="J4515" s="3">
        <v>754.1</v>
      </c>
      <c r="K4515" s="3">
        <v>341.71</v>
      </c>
      <c r="L4515">
        <v>54.69</v>
      </c>
    </row>
    <row r="4516" spans="1:12">
      <c r="A4516" s="1">
        <v>46042</v>
      </c>
      <c r="B4516" t="s">
        <v>7803</v>
      </c>
      <c r="C4516">
        <v>15</v>
      </c>
      <c r="D4516" t="str">
        <f>VLOOKUP(Tabela26[[#This Row],[EMP]],[1]LOJA!$A:$B,2,0)</f>
        <v>UNAÍ</v>
      </c>
      <c r="E4516">
        <v>183</v>
      </c>
      <c r="F4516" t="s">
        <v>4032</v>
      </c>
      <c r="G4516" t="s">
        <v>4031</v>
      </c>
      <c r="H4516" t="s">
        <v>3401</v>
      </c>
      <c r="I4516">
        <v>5102</v>
      </c>
      <c r="J4516" s="3">
        <v>63</v>
      </c>
      <c r="K4516" s="3">
        <v>30.9</v>
      </c>
      <c r="L4516">
        <v>50.95</v>
      </c>
    </row>
    <row r="4517" spans="1:12">
      <c r="A4517" s="1">
        <v>46042</v>
      </c>
      <c r="B4517" t="s">
        <v>7802</v>
      </c>
      <c r="C4517">
        <v>15</v>
      </c>
      <c r="D4517" t="str">
        <f>VLOOKUP(Tabela26[[#This Row],[EMP]],[1]LOJA!$A:$B,2,0)</f>
        <v>UNAÍ</v>
      </c>
      <c r="E4517">
        <v>183</v>
      </c>
      <c r="F4517" t="s">
        <v>3485</v>
      </c>
      <c r="G4517" t="s">
        <v>3402</v>
      </c>
      <c r="H4517" t="s">
        <v>3401</v>
      </c>
      <c r="I4517">
        <v>5102</v>
      </c>
      <c r="J4517" s="3">
        <v>42</v>
      </c>
      <c r="K4517" s="3">
        <v>26.03</v>
      </c>
      <c r="L4517">
        <v>38.020000000000003</v>
      </c>
    </row>
    <row r="4518" spans="1:12">
      <c r="A4518" s="1">
        <v>46042</v>
      </c>
      <c r="B4518" t="s">
        <v>7801</v>
      </c>
      <c r="C4518">
        <v>15</v>
      </c>
      <c r="D4518" t="str">
        <f>VLOOKUP(Tabela26[[#This Row],[EMP]],[1]LOJA!$A:$B,2,0)</f>
        <v>UNAÍ</v>
      </c>
      <c r="E4518">
        <v>183</v>
      </c>
      <c r="F4518" t="s">
        <v>3485</v>
      </c>
      <c r="G4518" t="s">
        <v>3402</v>
      </c>
      <c r="H4518" t="s">
        <v>3401</v>
      </c>
      <c r="I4518">
        <v>5102</v>
      </c>
      <c r="J4518" s="3">
        <v>23.6</v>
      </c>
      <c r="K4518" s="3">
        <v>12</v>
      </c>
      <c r="L4518">
        <v>49.15</v>
      </c>
    </row>
    <row r="4519" spans="1:12">
      <c r="A4519" s="1">
        <v>46042</v>
      </c>
      <c r="B4519" t="s">
        <v>7800</v>
      </c>
      <c r="C4519">
        <v>15</v>
      </c>
      <c r="D4519" t="str">
        <f>VLOOKUP(Tabela26[[#This Row],[EMP]],[1]LOJA!$A:$B,2,0)</f>
        <v>UNAÍ</v>
      </c>
      <c r="E4519">
        <v>183</v>
      </c>
      <c r="F4519" t="s">
        <v>3485</v>
      </c>
      <c r="G4519" t="s">
        <v>3402</v>
      </c>
      <c r="H4519" t="s">
        <v>3401</v>
      </c>
      <c r="I4519">
        <v>5102</v>
      </c>
      <c r="J4519" s="3">
        <v>6</v>
      </c>
      <c r="K4519" s="3">
        <v>3.08</v>
      </c>
      <c r="L4519">
        <v>48.67</v>
      </c>
    </row>
    <row r="4520" spans="1:12">
      <c r="A4520" s="1">
        <v>46042</v>
      </c>
      <c r="B4520" t="s">
        <v>7799</v>
      </c>
      <c r="C4520">
        <v>15</v>
      </c>
      <c r="D4520" t="str">
        <f>VLOOKUP(Tabela26[[#This Row],[EMP]],[1]LOJA!$A:$B,2,0)</f>
        <v>UNAÍ</v>
      </c>
      <c r="E4520">
        <v>183</v>
      </c>
      <c r="F4520" t="s">
        <v>3485</v>
      </c>
      <c r="G4520" t="s">
        <v>3402</v>
      </c>
      <c r="H4520" t="s">
        <v>3401</v>
      </c>
      <c r="I4520">
        <v>5102</v>
      </c>
      <c r="J4520" s="3">
        <v>183.8</v>
      </c>
      <c r="K4520" s="3">
        <v>87.07</v>
      </c>
      <c r="L4520">
        <v>52.63</v>
      </c>
    </row>
    <row r="4521" spans="1:12">
      <c r="A4521" s="1">
        <v>46042</v>
      </c>
      <c r="B4521" t="s">
        <v>7798</v>
      </c>
      <c r="C4521">
        <v>15</v>
      </c>
      <c r="D4521" t="str">
        <f>VLOOKUP(Tabela26[[#This Row],[EMP]],[1]LOJA!$A:$B,2,0)</f>
        <v>UNAÍ</v>
      </c>
      <c r="E4521">
        <v>183</v>
      </c>
      <c r="F4521" t="s">
        <v>3485</v>
      </c>
      <c r="G4521" t="s">
        <v>3402</v>
      </c>
      <c r="H4521" t="s">
        <v>3401</v>
      </c>
      <c r="I4521">
        <v>5102</v>
      </c>
      <c r="J4521" s="3">
        <v>85</v>
      </c>
      <c r="K4521" s="3">
        <v>41.81</v>
      </c>
      <c r="L4521">
        <v>50.81</v>
      </c>
    </row>
    <row r="4522" spans="1:12">
      <c r="A4522" s="1">
        <v>46042</v>
      </c>
      <c r="B4522" t="s">
        <v>7797</v>
      </c>
      <c r="C4522">
        <v>15</v>
      </c>
      <c r="D4522" t="str">
        <f>VLOOKUP(Tabela26[[#This Row],[EMP]],[1]LOJA!$A:$B,2,0)</f>
        <v>UNAÍ</v>
      </c>
      <c r="E4522">
        <v>183</v>
      </c>
      <c r="F4522" t="s">
        <v>3485</v>
      </c>
      <c r="G4522" t="s">
        <v>3402</v>
      </c>
      <c r="H4522" t="s">
        <v>3401</v>
      </c>
      <c r="I4522">
        <v>5102</v>
      </c>
      <c r="J4522" s="3">
        <v>15</v>
      </c>
      <c r="K4522" s="3">
        <v>6.54</v>
      </c>
      <c r="L4522">
        <v>56.4</v>
      </c>
    </row>
    <row r="4523" spans="1:12">
      <c r="A4523" s="1">
        <v>46042</v>
      </c>
      <c r="B4523" t="s">
        <v>7796</v>
      </c>
      <c r="C4523">
        <v>15</v>
      </c>
      <c r="D4523" t="str">
        <f>VLOOKUP(Tabela26[[#This Row],[EMP]],[1]LOJA!$A:$B,2,0)</f>
        <v>UNAÍ</v>
      </c>
      <c r="E4523">
        <v>183</v>
      </c>
      <c r="F4523" t="s">
        <v>7795</v>
      </c>
      <c r="G4523" t="s">
        <v>3402</v>
      </c>
      <c r="H4523" t="s">
        <v>3408</v>
      </c>
      <c r="I4523">
        <v>5102</v>
      </c>
      <c r="J4523" s="3">
        <v>64.7</v>
      </c>
      <c r="K4523" s="3">
        <v>32.24</v>
      </c>
      <c r="L4523">
        <v>50.17</v>
      </c>
    </row>
    <row r="4524" spans="1:12">
      <c r="A4524" s="1">
        <v>46042</v>
      </c>
      <c r="B4524" t="s">
        <v>7794</v>
      </c>
      <c r="C4524">
        <v>15</v>
      </c>
      <c r="D4524" t="str">
        <f>VLOOKUP(Tabela26[[#This Row],[EMP]],[1]LOJA!$A:$B,2,0)</f>
        <v>UNAÍ</v>
      </c>
      <c r="E4524">
        <v>183</v>
      </c>
      <c r="F4524" t="s">
        <v>3485</v>
      </c>
      <c r="G4524" t="s">
        <v>3402</v>
      </c>
      <c r="H4524" t="s">
        <v>3401</v>
      </c>
      <c r="I4524">
        <v>5102</v>
      </c>
      <c r="J4524" s="3">
        <v>95</v>
      </c>
      <c r="K4524" s="3">
        <v>40.700000000000003</v>
      </c>
      <c r="L4524">
        <v>57.16</v>
      </c>
    </row>
    <row r="4525" spans="1:12">
      <c r="A4525" s="1">
        <v>46042</v>
      </c>
      <c r="B4525" t="s">
        <v>7793</v>
      </c>
      <c r="C4525">
        <v>15</v>
      </c>
      <c r="D4525" t="str">
        <f>VLOOKUP(Tabela26[[#This Row],[EMP]],[1]LOJA!$A:$B,2,0)</f>
        <v>UNAÍ</v>
      </c>
      <c r="E4525">
        <v>183</v>
      </c>
      <c r="F4525" t="s">
        <v>3485</v>
      </c>
      <c r="G4525" t="s">
        <v>3402</v>
      </c>
      <c r="H4525" t="s">
        <v>3401</v>
      </c>
      <c r="I4525">
        <v>5102</v>
      </c>
      <c r="J4525" s="3">
        <v>83.2</v>
      </c>
      <c r="K4525" s="3">
        <v>35.299999999999997</v>
      </c>
      <c r="L4525">
        <v>57.57</v>
      </c>
    </row>
    <row r="4526" spans="1:12">
      <c r="A4526" s="1">
        <v>46042</v>
      </c>
      <c r="B4526" t="s">
        <v>7792</v>
      </c>
      <c r="C4526">
        <v>15</v>
      </c>
      <c r="D4526" t="str">
        <f>VLOOKUP(Tabela26[[#This Row],[EMP]],[1]LOJA!$A:$B,2,0)</f>
        <v>UNAÍ</v>
      </c>
      <c r="E4526">
        <v>183</v>
      </c>
      <c r="F4526" t="s">
        <v>4025</v>
      </c>
      <c r="G4526" t="s">
        <v>4024</v>
      </c>
      <c r="H4526" t="s">
        <v>3401</v>
      </c>
      <c r="I4526">
        <v>5102</v>
      </c>
      <c r="J4526" s="3">
        <v>84.9</v>
      </c>
      <c r="K4526" s="3">
        <v>43.21</v>
      </c>
      <c r="L4526">
        <v>49.1</v>
      </c>
    </row>
    <row r="4527" spans="1:12">
      <c r="A4527" s="1">
        <v>46042</v>
      </c>
      <c r="B4527" t="s">
        <v>7791</v>
      </c>
      <c r="C4527">
        <v>15</v>
      </c>
      <c r="D4527" t="str">
        <f>VLOOKUP(Tabela26[[#This Row],[EMP]],[1]LOJA!$A:$B,2,0)</f>
        <v>UNAÍ</v>
      </c>
      <c r="E4527">
        <v>183</v>
      </c>
      <c r="F4527" t="s">
        <v>3485</v>
      </c>
      <c r="G4527" t="s">
        <v>3402</v>
      </c>
      <c r="H4527" t="s">
        <v>3401</v>
      </c>
      <c r="I4527">
        <v>5102</v>
      </c>
      <c r="J4527" s="3">
        <v>70</v>
      </c>
      <c r="K4527" s="3">
        <v>31.3</v>
      </c>
      <c r="L4527">
        <v>55.29</v>
      </c>
    </row>
    <row r="4528" spans="1:12">
      <c r="A4528" s="1">
        <v>46042</v>
      </c>
      <c r="B4528" t="s">
        <v>7790</v>
      </c>
      <c r="C4528">
        <v>15</v>
      </c>
      <c r="D4528" t="str">
        <f>VLOOKUP(Tabela26[[#This Row],[EMP]],[1]LOJA!$A:$B,2,0)</f>
        <v>UNAÍ</v>
      </c>
      <c r="E4528">
        <v>183</v>
      </c>
      <c r="F4528" t="s">
        <v>3485</v>
      </c>
      <c r="G4528" t="s">
        <v>3402</v>
      </c>
      <c r="H4528" t="s">
        <v>3401</v>
      </c>
      <c r="I4528">
        <v>5102</v>
      </c>
      <c r="J4528" s="3">
        <v>62</v>
      </c>
      <c r="K4528" s="3">
        <v>28.36</v>
      </c>
      <c r="L4528">
        <v>54.26</v>
      </c>
    </row>
    <row r="4529" spans="1:12">
      <c r="A4529" s="1">
        <v>46042</v>
      </c>
      <c r="B4529" t="s">
        <v>7789</v>
      </c>
      <c r="C4529">
        <v>15</v>
      </c>
      <c r="D4529" t="str">
        <f>VLOOKUP(Tabela26[[#This Row],[EMP]],[1]LOJA!$A:$B,2,0)</f>
        <v>UNAÍ</v>
      </c>
      <c r="E4529">
        <v>183</v>
      </c>
      <c r="F4529" t="s">
        <v>3485</v>
      </c>
      <c r="G4529" t="s">
        <v>3402</v>
      </c>
      <c r="H4529" t="s">
        <v>3401</v>
      </c>
      <c r="I4529">
        <v>5102</v>
      </c>
      <c r="J4529" s="3">
        <v>20</v>
      </c>
      <c r="K4529" s="3">
        <v>10.23</v>
      </c>
      <c r="L4529">
        <v>48.85</v>
      </c>
    </row>
    <row r="4530" spans="1:12">
      <c r="A4530" s="1">
        <v>46042</v>
      </c>
      <c r="B4530" t="s">
        <v>7788</v>
      </c>
      <c r="C4530">
        <v>15</v>
      </c>
      <c r="D4530" t="str">
        <f>VLOOKUP(Tabela26[[#This Row],[EMP]],[1]LOJA!$A:$B,2,0)</f>
        <v>UNAÍ</v>
      </c>
      <c r="E4530">
        <v>183</v>
      </c>
      <c r="F4530" t="s">
        <v>3485</v>
      </c>
      <c r="G4530" t="s">
        <v>3402</v>
      </c>
      <c r="H4530" t="s">
        <v>3408</v>
      </c>
      <c r="I4530">
        <v>5102</v>
      </c>
      <c r="J4530" s="3">
        <v>74.599999999999994</v>
      </c>
      <c r="K4530" s="3">
        <v>44.1</v>
      </c>
      <c r="L4530">
        <v>40.880000000000003</v>
      </c>
    </row>
    <row r="4531" spans="1:12">
      <c r="A4531" s="1">
        <v>46042</v>
      </c>
      <c r="B4531" t="s">
        <v>7787</v>
      </c>
      <c r="C4531">
        <v>15</v>
      </c>
      <c r="D4531" t="str">
        <f>VLOOKUP(Tabela26[[#This Row],[EMP]],[1]LOJA!$A:$B,2,0)</f>
        <v>UNAÍ</v>
      </c>
      <c r="E4531">
        <v>183</v>
      </c>
      <c r="F4531" t="s">
        <v>3485</v>
      </c>
      <c r="G4531" t="s">
        <v>3402</v>
      </c>
      <c r="H4531" t="s">
        <v>3401</v>
      </c>
      <c r="I4531">
        <v>5102</v>
      </c>
      <c r="J4531" s="3">
        <v>3.6</v>
      </c>
      <c r="K4531" s="3">
        <v>2.2000000000000002</v>
      </c>
      <c r="L4531">
        <v>38.89</v>
      </c>
    </row>
    <row r="4532" spans="1:12">
      <c r="A4532" s="1">
        <v>46042</v>
      </c>
      <c r="B4532" t="s">
        <v>7786</v>
      </c>
      <c r="C4532">
        <v>15</v>
      </c>
      <c r="D4532" t="str">
        <f>VLOOKUP(Tabela26[[#This Row],[EMP]],[1]LOJA!$A:$B,2,0)</f>
        <v>UNAÍ</v>
      </c>
      <c r="E4532">
        <v>183</v>
      </c>
      <c r="F4532" t="s">
        <v>4681</v>
      </c>
      <c r="G4532" t="s">
        <v>4680</v>
      </c>
      <c r="H4532" t="s">
        <v>7609</v>
      </c>
      <c r="I4532">
        <v>5102</v>
      </c>
      <c r="J4532" s="3">
        <v>30</v>
      </c>
      <c r="K4532" s="3">
        <v>17.489999999999998</v>
      </c>
      <c r="L4532">
        <v>41.7</v>
      </c>
    </row>
    <row r="4533" spans="1:12">
      <c r="A4533" s="1">
        <v>46042</v>
      </c>
      <c r="B4533" t="s">
        <v>7785</v>
      </c>
      <c r="C4533">
        <v>15</v>
      </c>
      <c r="D4533" t="str">
        <f>VLOOKUP(Tabela26[[#This Row],[EMP]],[1]LOJA!$A:$B,2,0)</f>
        <v>UNAÍ</v>
      </c>
      <c r="E4533">
        <v>183</v>
      </c>
      <c r="F4533" t="s">
        <v>4016</v>
      </c>
      <c r="G4533" t="s">
        <v>4015</v>
      </c>
      <c r="H4533" t="s">
        <v>7400</v>
      </c>
      <c r="I4533">
        <v>5102</v>
      </c>
      <c r="J4533" s="3">
        <v>76.599999999999994</v>
      </c>
      <c r="K4533" s="3">
        <v>37.93</v>
      </c>
      <c r="L4533">
        <v>50.48</v>
      </c>
    </row>
    <row r="4534" spans="1:12">
      <c r="A4534" s="1">
        <v>46042</v>
      </c>
      <c r="B4534" t="s">
        <v>7784</v>
      </c>
      <c r="C4534">
        <v>6</v>
      </c>
      <c r="D4534" t="str">
        <f>VLOOKUP(Tabela26[[#This Row],[EMP]],[1]LOJA!$A:$B,2,0)</f>
        <v>GAMA</v>
      </c>
      <c r="E4534">
        <v>245</v>
      </c>
      <c r="F4534" t="s">
        <v>7521</v>
      </c>
      <c r="G4534" t="s">
        <v>7520</v>
      </c>
      <c r="H4534" t="s">
        <v>3430</v>
      </c>
      <c r="I4534">
        <v>5102</v>
      </c>
      <c r="J4534" s="3">
        <v>22</v>
      </c>
      <c r="K4534" s="3">
        <v>11.42</v>
      </c>
      <c r="L4534">
        <v>48.09</v>
      </c>
    </row>
    <row r="4535" spans="1:12">
      <c r="A4535" s="1">
        <v>46042</v>
      </c>
      <c r="B4535" t="s">
        <v>7783</v>
      </c>
      <c r="C4535">
        <v>6</v>
      </c>
      <c r="D4535" t="str">
        <f>VLOOKUP(Tabela26[[#This Row],[EMP]],[1]LOJA!$A:$B,2,0)</f>
        <v>GAMA</v>
      </c>
      <c r="E4535">
        <v>226</v>
      </c>
      <c r="F4535" t="s">
        <v>4013</v>
      </c>
      <c r="G4535" t="s">
        <v>4012</v>
      </c>
      <c r="H4535" t="s">
        <v>3430</v>
      </c>
      <c r="I4535">
        <v>5102</v>
      </c>
      <c r="J4535" s="3">
        <v>112.64</v>
      </c>
      <c r="K4535" s="3">
        <v>61.56</v>
      </c>
      <c r="L4535">
        <v>45.35</v>
      </c>
    </row>
    <row r="4536" spans="1:12">
      <c r="A4536" s="1">
        <v>46042</v>
      </c>
      <c r="B4536" t="s">
        <v>7782</v>
      </c>
      <c r="C4536">
        <v>14</v>
      </c>
      <c r="D4536" t="str">
        <f>VLOOKUP(Tabela26[[#This Row],[EMP]],[1]LOJA!$A:$B,2,0)</f>
        <v>S IA</v>
      </c>
      <c r="E4536">
        <v>212</v>
      </c>
      <c r="F4536" t="s">
        <v>3992</v>
      </c>
      <c r="G4536" t="s">
        <v>3402</v>
      </c>
      <c r="H4536" t="s">
        <v>3408</v>
      </c>
      <c r="I4536">
        <v>5405</v>
      </c>
      <c r="J4536" s="3">
        <v>112.96</v>
      </c>
      <c r="K4536" s="3">
        <v>54.49</v>
      </c>
      <c r="L4536">
        <v>51.76</v>
      </c>
    </row>
    <row r="4537" spans="1:12">
      <c r="A4537" s="1">
        <v>46042</v>
      </c>
      <c r="B4537" t="s">
        <v>7781</v>
      </c>
      <c r="C4537">
        <v>14</v>
      </c>
      <c r="D4537" t="str">
        <f>VLOOKUP(Tabela26[[#This Row],[EMP]],[1]LOJA!$A:$B,2,0)</f>
        <v>S IA</v>
      </c>
      <c r="E4537">
        <v>54</v>
      </c>
      <c r="F4537" t="s">
        <v>6410</v>
      </c>
      <c r="G4537" t="s">
        <v>6409</v>
      </c>
      <c r="H4537" t="s">
        <v>3430</v>
      </c>
      <c r="I4537">
        <v>5405</v>
      </c>
      <c r="J4537" s="3">
        <v>120.9</v>
      </c>
      <c r="K4537" s="3">
        <v>53.18</v>
      </c>
      <c r="L4537">
        <v>56.01</v>
      </c>
    </row>
    <row r="4538" spans="1:12">
      <c r="A4538" s="1">
        <v>46042</v>
      </c>
      <c r="B4538" t="s">
        <v>7780</v>
      </c>
      <c r="C4538">
        <v>14</v>
      </c>
      <c r="D4538" t="str">
        <f>VLOOKUP(Tabela26[[#This Row],[EMP]],[1]LOJA!$A:$B,2,0)</f>
        <v>S IA</v>
      </c>
      <c r="E4538">
        <v>54</v>
      </c>
      <c r="F4538" t="s">
        <v>6410</v>
      </c>
      <c r="G4538" t="s">
        <v>6409</v>
      </c>
      <c r="H4538" t="s">
        <v>3430</v>
      </c>
      <c r="I4538">
        <v>5102</v>
      </c>
      <c r="J4538" s="3">
        <v>85.72</v>
      </c>
      <c r="K4538" s="3">
        <v>38.979999999999997</v>
      </c>
      <c r="L4538">
        <v>54.53</v>
      </c>
    </row>
    <row r="4539" spans="1:12">
      <c r="A4539" s="1">
        <v>46042</v>
      </c>
      <c r="B4539" t="s">
        <v>7779</v>
      </c>
      <c r="C4539">
        <v>14</v>
      </c>
      <c r="D4539" t="str">
        <f>VLOOKUP(Tabela26[[#This Row],[EMP]],[1]LOJA!$A:$B,2,0)</f>
        <v>S IA</v>
      </c>
      <c r="E4539">
        <v>54</v>
      </c>
      <c r="F4539" t="s">
        <v>6410</v>
      </c>
      <c r="G4539" t="s">
        <v>6409</v>
      </c>
      <c r="H4539" t="s">
        <v>3430</v>
      </c>
      <c r="I4539">
        <v>5102</v>
      </c>
      <c r="J4539" s="3">
        <v>80.010000000000005</v>
      </c>
      <c r="K4539" s="3">
        <v>47.38</v>
      </c>
      <c r="L4539">
        <v>40.78</v>
      </c>
    </row>
    <row r="4540" spans="1:12">
      <c r="A4540" s="1">
        <v>46042</v>
      </c>
      <c r="B4540" t="s">
        <v>7778</v>
      </c>
      <c r="C4540">
        <v>15</v>
      </c>
      <c r="D4540" t="str">
        <f>VLOOKUP(Tabela26[[#This Row],[EMP]],[1]LOJA!$A:$B,2,0)</f>
        <v>UNAÍ</v>
      </c>
      <c r="E4540">
        <v>183</v>
      </c>
      <c r="F4540" t="s">
        <v>5290</v>
      </c>
      <c r="G4540" t="s">
        <v>5289</v>
      </c>
      <c r="H4540" t="s">
        <v>3401</v>
      </c>
      <c r="I4540">
        <v>5102</v>
      </c>
      <c r="J4540" s="3">
        <v>46.1</v>
      </c>
      <c r="K4540" s="3">
        <v>25.79</v>
      </c>
      <c r="L4540">
        <v>44.06</v>
      </c>
    </row>
    <row r="4541" spans="1:12">
      <c r="A4541" s="1">
        <v>46042</v>
      </c>
      <c r="B4541" t="s">
        <v>7777</v>
      </c>
      <c r="C4541">
        <v>15</v>
      </c>
      <c r="D4541" t="str">
        <f>VLOOKUP(Tabela26[[#This Row],[EMP]],[1]LOJA!$A:$B,2,0)</f>
        <v>UNAÍ</v>
      </c>
      <c r="E4541">
        <v>183</v>
      </c>
      <c r="F4541" t="s">
        <v>3960</v>
      </c>
      <c r="G4541" t="s">
        <v>3959</v>
      </c>
      <c r="H4541" t="s">
        <v>3401</v>
      </c>
      <c r="I4541">
        <v>5102</v>
      </c>
      <c r="J4541" s="3">
        <v>7.2</v>
      </c>
      <c r="K4541" s="3">
        <v>3.7</v>
      </c>
      <c r="L4541">
        <v>48.61</v>
      </c>
    </row>
    <row r="4542" spans="1:12">
      <c r="A4542" s="1">
        <v>46042</v>
      </c>
      <c r="B4542" t="s">
        <v>7776</v>
      </c>
      <c r="C4542">
        <v>15</v>
      </c>
      <c r="D4542" t="str">
        <f>VLOOKUP(Tabela26[[#This Row],[EMP]],[1]LOJA!$A:$B,2,0)</f>
        <v>UNAÍ</v>
      </c>
      <c r="E4542">
        <v>183</v>
      </c>
      <c r="F4542" t="s">
        <v>7775</v>
      </c>
      <c r="G4542" t="s">
        <v>7774</v>
      </c>
      <c r="H4542" t="s">
        <v>3401</v>
      </c>
      <c r="I4542">
        <v>5102</v>
      </c>
      <c r="J4542" s="3">
        <v>29</v>
      </c>
      <c r="K4542" s="3">
        <v>13.17</v>
      </c>
      <c r="L4542">
        <v>54.59</v>
      </c>
    </row>
    <row r="4543" spans="1:12">
      <c r="A4543" s="1">
        <v>46042</v>
      </c>
      <c r="B4543" t="s">
        <v>7773</v>
      </c>
      <c r="C4543">
        <v>15</v>
      </c>
      <c r="D4543" t="str">
        <f>VLOOKUP(Tabela26[[#This Row],[EMP]],[1]LOJA!$A:$B,2,0)</f>
        <v>UNAÍ</v>
      </c>
      <c r="E4543">
        <v>183</v>
      </c>
      <c r="F4543" t="s">
        <v>4071</v>
      </c>
      <c r="G4543" t="s">
        <v>4070</v>
      </c>
      <c r="H4543" t="s">
        <v>3401</v>
      </c>
      <c r="I4543">
        <v>5102</v>
      </c>
      <c r="J4543" s="3">
        <v>90.5</v>
      </c>
      <c r="K4543" s="3">
        <v>39.979999999999997</v>
      </c>
      <c r="L4543">
        <v>55.82</v>
      </c>
    </row>
    <row r="4544" spans="1:12">
      <c r="A4544" s="1">
        <v>46042</v>
      </c>
      <c r="B4544" t="s">
        <v>7772</v>
      </c>
      <c r="C4544">
        <v>12</v>
      </c>
      <c r="D4544" t="str">
        <f>VLOOKUP(Tabela26[[#This Row],[EMP]],[1]LOJA!$A:$B,2,0)</f>
        <v>SOFNORTE</v>
      </c>
      <c r="E4544">
        <v>60</v>
      </c>
      <c r="F4544" t="s">
        <v>5057</v>
      </c>
      <c r="G4544" t="s">
        <v>5056</v>
      </c>
      <c r="H4544" t="s">
        <v>3430</v>
      </c>
      <c r="I4544">
        <v>5405</v>
      </c>
      <c r="J4544" s="3">
        <v>204</v>
      </c>
      <c r="K4544" s="3">
        <v>95.82</v>
      </c>
      <c r="L4544">
        <v>53.03</v>
      </c>
    </row>
    <row r="4545" spans="1:12">
      <c r="A4545" s="1">
        <v>46042</v>
      </c>
      <c r="B4545" t="s">
        <v>7771</v>
      </c>
      <c r="C4545">
        <v>12</v>
      </c>
      <c r="D4545" t="str">
        <f>VLOOKUP(Tabela26[[#This Row],[EMP]],[1]LOJA!$A:$B,2,0)</f>
        <v>SOFNORTE</v>
      </c>
      <c r="E4545">
        <v>60</v>
      </c>
      <c r="F4545" t="s">
        <v>3925</v>
      </c>
      <c r="G4545" t="s">
        <v>3924</v>
      </c>
      <c r="H4545" t="s">
        <v>3430</v>
      </c>
      <c r="I4545">
        <v>5405</v>
      </c>
      <c r="J4545" s="3">
        <v>223</v>
      </c>
      <c r="K4545" s="3">
        <v>100.72</v>
      </c>
      <c r="L4545">
        <v>54.83</v>
      </c>
    </row>
    <row r="4546" spans="1:12">
      <c r="A4546" s="1">
        <v>46042</v>
      </c>
      <c r="B4546" t="s">
        <v>7770</v>
      </c>
      <c r="C4546">
        <v>12</v>
      </c>
      <c r="D4546" t="str">
        <f>VLOOKUP(Tabela26[[#This Row],[EMP]],[1]LOJA!$A:$B,2,0)</f>
        <v>SOFNORTE</v>
      </c>
      <c r="E4546">
        <v>60</v>
      </c>
      <c r="F4546" t="s">
        <v>3928</v>
      </c>
      <c r="G4546" t="s">
        <v>3927</v>
      </c>
      <c r="H4546" t="s">
        <v>3430</v>
      </c>
      <c r="I4546">
        <v>5405</v>
      </c>
      <c r="J4546" s="3">
        <v>133</v>
      </c>
      <c r="K4546" s="3">
        <v>62.13</v>
      </c>
      <c r="L4546">
        <v>53.29</v>
      </c>
    </row>
    <row r="4547" spans="1:12">
      <c r="A4547" s="1">
        <v>46042</v>
      </c>
      <c r="B4547" t="s">
        <v>7769</v>
      </c>
      <c r="C4547">
        <v>12</v>
      </c>
      <c r="D4547" t="str">
        <f>VLOOKUP(Tabela26[[#This Row],[EMP]],[1]LOJA!$A:$B,2,0)</f>
        <v>SOFNORTE</v>
      </c>
      <c r="E4547">
        <v>60</v>
      </c>
      <c r="F4547" t="s">
        <v>3461</v>
      </c>
      <c r="G4547" t="s">
        <v>3460</v>
      </c>
      <c r="H4547" t="s">
        <v>3430</v>
      </c>
      <c r="I4547">
        <v>5405</v>
      </c>
      <c r="J4547" s="3">
        <v>53.01</v>
      </c>
      <c r="K4547" s="3">
        <v>26.13</v>
      </c>
      <c r="L4547">
        <v>50.71</v>
      </c>
    </row>
    <row r="4548" spans="1:12">
      <c r="A4548" s="1">
        <v>46042</v>
      </c>
      <c r="B4548" t="s">
        <v>7768</v>
      </c>
      <c r="C4548">
        <v>12</v>
      </c>
      <c r="D4548" t="str">
        <f>VLOOKUP(Tabela26[[#This Row],[EMP]],[1]LOJA!$A:$B,2,0)</f>
        <v>SOFNORTE</v>
      </c>
      <c r="E4548">
        <v>60</v>
      </c>
      <c r="F4548" t="s">
        <v>3928</v>
      </c>
      <c r="G4548" t="s">
        <v>3927</v>
      </c>
      <c r="H4548" t="s">
        <v>3430</v>
      </c>
      <c r="I4548">
        <v>5405</v>
      </c>
      <c r="J4548" s="3">
        <v>46</v>
      </c>
      <c r="K4548" s="3">
        <v>21.37</v>
      </c>
      <c r="L4548">
        <v>53.54</v>
      </c>
    </row>
    <row r="4549" spans="1:12">
      <c r="A4549" s="1">
        <v>46042</v>
      </c>
      <c r="B4549" t="s">
        <v>7767</v>
      </c>
      <c r="C4549">
        <v>12</v>
      </c>
      <c r="D4549" t="str">
        <f>VLOOKUP(Tabela26[[#This Row],[EMP]],[1]LOJA!$A:$B,2,0)</f>
        <v>SOFNORTE</v>
      </c>
      <c r="E4549">
        <v>239</v>
      </c>
      <c r="F4549" t="s">
        <v>3461</v>
      </c>
      <c r="G4549" t="s">
        <v>3460</v>
      </c>
      <c r="H4549" t="s">
        <v>3430</v>
      </c>
      <c r="I4549">
        <v>5102</v>
      </c>
      <c r="J4549" s="3">
        <v>43.49</v>
      </c>
      <c r="K4549" s="3">
        <v>22.9</v>
      </c>
      <c r="L4549">
        <v>47.34</v>
      </c>
    </row>
    <row r="4550" spans="1:12">
      <c r="A4550" s="1">
        <v>46042</v>
      </c>
      <c r="B4550" t="s">
        <v>7766</v>
      </c>
      <c r="C4550">
        <v>12</v>
      </c>
      <c r="D4550" t="str">
        <f>VLOOKUP(Tabela26[[#This Row],[EMP]],[1]LOJA!$A:$B,2,0)</f>
        <v>SOFNORTE</v>
      </c>
      <c r="E4550">
        <v>60</v>
      </c>
      <c r="F4550" t="s">
        <v>3461</v>
      </c>
      <c r="G4550" t="s">
        <v>3460</v>
      </c>
      <c r="H4550" t="s">
        <v>3430</v>
      </c>
      <c r="I4550">
        <v>5405</v>
      </c>
      <c r="J4550" s="3">
        <v>72.8</v>
      </c>
      <c r="K4550" s="3">
        <v>36.19</v>
      </c>
      <c r="L4550">
        <v>50.29</v>
      </c>
    </row>
    <row r="4551" spans="1:12">
      <c r="A4551" s="1">
        <v>46042</v>
      </c>
      <c r="B4551" t="s">
        <v>7765</v>
      </c>
      <c r="C4551">
        <v>12</v>
      </c>
      <c r="D4551" t="str">
        <f>VLOOKUP(Tabela26[[#This Row],[EMP]],[1]LOJA!$A:$B,2,0)</f>
        <v>SOFNORTE</v>
      </c>
      <c r="E4551">
        <v>60</v>
      </c>
      <c r="F4551" t="s">
        <v>3461</v>
      </c>
      <c r="G4551" t="s">
        <v>3460</v>
      </c>
      <c r="H4551" t="s">
        <v>3430</v>
      </c>
      <c r="I4551">
        <v>5405</v>
      </c>
      <c r="J4551" s="3">
        <v>44.47</v>
      </c>
      <c r="K4551" s="3">
        <v>21.89</v>
      </c>
      <c r="L4551">
        <v>50.78</v>
      </c>
    </row>
    <row r="4552" spans="1:12">
      <c r="A4552" s="1">
        <v>46042</v>
      </c>
      <c r="B4552" t="s">
        <v>7764</v>
      </c>
      <c r="C4552">
        <v>12</v>
      </c>
      <c r="D4552" t="str">
        <f>VLOOKUP(Tabela26[[#This Row],[EMP]],[1]LOJA!$A:$B,2,0)</f>
        <v>SOFNORTE</v>
      </c>
      <c r="E4552">
        <v>60</v>
      </c>
      <c r="F4552" t="s">
        <v>3953</v>
      </c>
      <c r="G4552" t="s">
        <v>3952</v>
      </c>
      <c r="H4552" t="s">
        <v>3430</v>
      </c>
      <c r="I4552">
        <v>5405</v>
      </c>
      <c r="J4552" s="3">
        <v>159</v>
      </c>
      <c r="K4552" s="3">
        <v>74.58</v>
      </c>
      <c r="L4552">
        <v>53.09</v>
      </c>
    </row>
    <row r="4553" spans="1:12">
      <c r="A4553" s="1">
        <v>46042</v>
      </c>
      <c r="B4553" t="s">
        <v>7763</v>
      </c>
      <c r="C4553">
        <v>12</v>
      </c>
      <c r="D4553" t="str">
        <f>VLOOKUP(Tabela26[[#This Row],[EMP]],[1]LOJA!$A:$B,2,0)</f>
        <v>SOFNORTE</v>
      </c>
      <c r="E4553">
        <v>60</v>
      </c>
      <c r="F4553" t="s">
        <v>3931</v>
      </c>
      <c r="G4553" t="s">
        <v>3930</v>
      </c>
      <c r="H4553" t="s">
        <v>7761</v>
      </c>
      <c r="I4553">
        <v>5405</v>
      </c>
      <c r="J4553" s="3">
        <v>281</v>
      </c>
      <c r="K4553" s="3">
        <v>132.72</v>
      </c>
      <c r="L4553">
        <v>52.77</v>
      </c>
    </row>
    <row r="4554" spans="1:12">
      <c r="A4554" s="1">
        <v>46042</v>
      </c>
      <c r="B4554" t="s">
        <v>7762</v>
      </c>
      <c r="C4554">
        <v>12</v>
      </c>
      <c r="D4554" t="str">
        <f>VLOOKUP(Tabela26[[#This Row],[EMP]],[1]LOJA!$A:$B,2,0)</f>
        <v>SOFNORTE</v>
      </c>
      <c r="E4554">
        <v>60</v>
      </c>
      <c r="F4554" t="s">
        <v>3931</v>
      </c>
      <c r="G4554" t="s">
        <v>3930</v>
      </c>
      <c r="H4554" t="s">
        <v>7761</v>
      </c>
      <c r="I4554">
        <v>5405</v>
      </c>
      <c r="J4554" s="3">
        <v>119</v>
      </c>
      <c r="K4554" s="3">
        <v>53.06</v>
      </c>
      <c r="L4554">
        <v>55.41</v>
      </c>
    </row>
    <row r="4555" spans="1:12">
      <c r="A4555" s="1">
        <v>46042</v>
      </c>
      <c r="B4555" t="s">
        <v>7760</v>
      </c>
      <c r="C4555">
        <v>12</v>
      </c>
      <c r="D4555" t="str">
        <f>VLOOKUP(Tabela26[[#This Row],[EMP]],[1]LOJA!$A:$B,2,0)</f>
        <v>SOFNORTE</v>
      </c>
      <c r="E4555">
        <v>60</v>
      </c>
      <c r="F4555" t="s">
        <v>3948</v>
      </c>
      <c r="G4555" t="s">
        <v>3947</v>
      </c>
      <c r="H4555" t="s">
        <v>3430</v>
      </c>
      <c r="I4555">
        <v>5405</v>
      </c>
      <c r="J4555" s="3">
        <v>127.22</v>
      </c>
      <c r="K4555" s="3">
        <v>62.31</v>
      </c>
      <c r="L4555">
        <v>51.02</v>
      </c>
    </row>
    <row r="4556" spans="1:12">
      <c r="A4556" s="1">
        <v>46042</v>
      </c>
      <c r="B4556" t="s">
        <v>7759</v>
      </c>
      <c r="C4556">
        <v>12</v>
      </c>
      <c r="D4556" t="str">
        <f>VLOOKUP(Tabela26[[#This Row],[EMP]],[1]LOJA!$A:$B,2,0)</f>
        <v>SOFNORTE</v>
      </c>
      <c r="E4556">
        <v>60</v>
      </c>
      <c r="F4556" t="s">
        <v>7758</v>
      </c>
      <c r="G4556" t="s">
        <v>7757</v>
      </c>
      <c r="H4556" t="s">
        <v>3430</v>
      </c>
      <c r="I4556">
        <v>5405</v>
      </c>
      <c r="J4556" s="3">
        <v>243.62</v>
      </c>
      <c r="K4556" s="3">
        <v>108.65</v>
      </c>
      <c r="L4556">
        <v>55.4</v>
      </c>
    </row>
    <row r="4557" spans="1:12">
      <c r="A4557" s="1">
        <v>46042</v>
      </c>
      <c r="B4557" t="s">
        <v>7756</v>
      </c>
      <c r="C4557">
        <v>12</v>
      </c>
      <c r="D4557" t="str">
        <f>VLOOKUP(Tabela26[[#This Row],[EMP]],[1]LOJA!$A:$B,2,0)</f>
        <v>SOFNORTE</v>
      </c>
      <c r="E4557">
        <v>60</v>
      </c>
      <c r="F4557" t="s">
        <v>3925</v>
      </c>
      <c r="G4557" t="s">
        <v>3924</v>
      </c>
      <c r="H4557" t="s">
        <v>3430</v>
      </c>
      <c r="I4557">
        <v>5102</v>
      </c>
      <c r="J4557" s="3">
        <v>33</v>
      </c>
      <c r="K4557" s="3">
        <v>16.149999999999999</v>
      </c>
      <c r="L4557">
        <v>51.06</v>
      </c>
    </row>
    <row r="4558" spans="1:12">
      <c r="A4558" s="1">
        <v>46042</v>
      </c>
      <c r="B4558" t="s">
        <v>7755</v>
      </c>
      <c r="C4558">
        <v>12</v>
      </c>
      <c r="D4558" t="str">
        <f>VLOOKUP(Tabela26[[#This Row],[EMP]],[1]LOJA!$A:$B,2,0)</f>
        <v>SOFNORTE</v>
      </c>
      <c r="E4558">
        <v>60</v>
      </c>
      <c r="F4558" t="s">
        <v>3939</v>
      </c>
      <c r="G4558" t="s">
        <v>3938</v>
      </c>
      <c r="H4558" t="s">
        <v>3430</v>
      </c>
      <c r="I4558">
        <v>5102</v>
      </c>
      <c r="J4558" s="3">
        <v>17.54</v>
      </c>
      <c r="K4558" s="3">
        <v>10.46</v>
      </c>
      <c r="L4558">
        <v>40.36</v>
      </c>
    </row>
    <row r="4559" spans="1:12">
      <c r="A4559" s="1">
        <v>46042</v>
      </c>
      <c r="B4559" t="s">
        <v>7754</v>
      </c>
      <c r="C4559">
        <v>12</v>
      </c>
      <c r="D4559" t="str">
        <f>VLOOKUP(Tabela26[[#This Row],[EMP]],[1]LOJA!$A:$B,2,0)</f>
        <v>SOFNORTE</v>
      </c>
      <c r="E4559">
        <v>239</v>
      </c>
      <c r="F4559" t="s">
        <v>3925</v>
      </c>
      <c r="G4559" t="s">
        <v>3924</v>
      </c>
      <c r="H4559" t="s">
        <v>3430</v>
      </c>
      <c r="I4559">
        <v>5102</v>
      </c>
      <c r="J4559" s="3">
        <v>18.579999999999998</v>
      </c>
      <c r="K4559" s="3">
        <v>10.89</v>
      </c>
      <c r="L4559">
        <v>41.39</v>
      </c>
    </row>
    <row r="4560" spans="1:12">
      <c r="A4560" s="1">
        <v>46042</v>
      </c>
      <c r="B4560" t="s">
        <v>7753</v>
      </c>
      <c r="C4560">
        <v>22</v>
      </c>
      <c r="D4560" t="str">
        <f>VLOOKUP(Tabela26[[#This Row],[EMP]],[1]LOJA!$A:$B,2,0)</f>
        <v>GUARÁ</v>
      </c>
      <c r="E4560">
        <v>16</v>
      </c>
      <c r="F4560" t="s">
        <v>3403</v>
      </c>
      <c r="G4560" t="s">
        <v>3402</v>
      </c>
      <c r="H4560" t="s">
        <v>3401</v>
      </c>
      <c r="I4560">
        <v>5102</v>
      </c>
      <c r="J4560" s="3">
        <v>22</v>
      </c>
      <c r="K4560" s="3">
        <v>12.51</v>
      </c>
      <c r="L4560">
        <v>43.14</v>
      </c>
    </row>
    <row r="4561" spans="1:12">
      <c r="A4561" s="1">
        <v>46042</v>
      </c>
      <c r="B4561" t="s">
        <v>7752</v>
      </c>
      <c r="C4561">
        <v>22</v>
      </c>
      <c r="D4561" t="str">
        <f>VLOOKUP(Tabela26[[#This Row],[EMP]],[1]LOJA!$A:$B,2,0)</f>
        <v>GUARÁ</v>
      </c>
      <c r="E4561">
        <v>93</v>
      </c>
      <c r="F4561" t="s">
        <v>7751</v>
      </c>
      <c r="G4561" t="s">
        <v>7750</v>
      </c>
      <c r="H4561" t="s">
        <v>3401</v>
      </c>
      <c r="I4561">
        <v>5102</v>
      </c>
      <c r="J4561" s="3">
        <v>80</v>
      </c>
      <c r="K4561" s="3">
        <v>43.45</v>
      </c>
      <c r="L4561">
        <v>45.69</v>
      </c>
    </row>
    <row r="4562" spans="1:12">
      <c r="A4562" s="1">
        <v>46042</v>
      </c>
      <c r="B4562" t="s">
        <v>7749</v>
      </c>
      <c r="C4562">
        <v>22</v>
      </c>
      <c r="D4562" t="str">
        <f>VLOOKUP(Tabela26[[#This Row],[EMP]],[1]LOJA!$A:$B,2,0)</f>
        <v>GUARÁ</v>
      </c>
      <c r="E4562">
        <v>93</v>
      </c>
      <c r="F4562" t="s">
        <v>7748</v>
      </c>
      <c r="G4562" t="s">
        <v>7747</v>
      </c>
      <c r="H4562" t="s">
        <v>3401</v>
      </c>
      <c r="I4562">
        <v>5102</v>
      </c>
      <c r="J4562" s="3">
        <v>29.5</v>
      </c>
      <c r="K4562" s="3">
        <v>16.11</v>
      </c>
      <c r="L4562">
        <v>45.39</v>
      </c>
    </row>
    <row r="4563" spans="1:12">
      <c r="A4563" s="1">
        <v>46042</v>
      </c>
      <c r="B4563" t="s">
        <v>7746</v>
      </c>
      <c r="C4563">
        <v>22</v>
      </c>
      <c r="D4563" t="str">
        <f>VLOOKUP(Tabela26[[#This Row],[EMP]],[1]LOJA!$A:$B,2,0)</f>
        <v>GUARÁ</v>
      </c>
      <c r="E4563">
        <v>93</v>
      </c>
      <c r="F4563" t="s">
        <v>5212</v>
      </c>
      <c r="G4563" t="s">
        <v>5211</v>
      </c>
      <c r="H4563" t="s">
        <v>3401</v>
      </c>
      <c r="I4563">
        <v>5102</v>
      </c>
      <c r="J4563" s="3">
        <v>24</v>
      </c>
      <c r="K4563" s="3">
        <v>13.16</v>
      </c>
      <c r="L4563">
        <v>45.17</v>
      </c>
    </row>
    <row r="4564" spans="1:12">
      <c r="A4564" s="1">
        <v>46042</v>
      </c>
      <c r="B4564" t="s">
        <v>7745</v>
      </c>
      <c r="C4564">
        <v>22</v>
      </c>
      <c r="D4564" t="str">
        <f>VLOOKUP(Tabela26[[#This Row],[EMP]],[1]LOJA!$A:$B,2,0)</f>
        <v>GUARÁ</v>
      </c>
      <c r="E4564">
        <v>93</v>
      </c>
      <c r="F4564" t="s">
        <v>7744</v>
      </c>
      <c r="G4564" t="s">
        <v>7743</v>
      </c>
      <c r="H4564" t="s">
        <v>3401</v>
      </c>
      <c r="I4564">
        <v>5102</v>
      </c>
      <c r="J4564" s="3">
        <v>559.20000000000005</v>
      </c>
      <c r="K4564" s="3">
        <v>379.04</v>
      </c>
      <c r="L4564">
        <v>32.22</v>
      </c>
    </row>
    <row r="4565" spans="1:12">
      <c r="A4565" s="1">
        <v>46042</v>
      </c>
      <c r="B4565" t="s">
        <v>7742</v>
      </c>
      <c r="C4565">
        <v>22</v>
      </c>
      <c r="D4565" t="str">
        <f>VLOOKUP(Tabela26[[#This Row],[EMP]],[1]LOJA!$A:$B,2,0)</f>
        <v>GUARÁ</v>
      </c>
      <c r="E4565">
        <v>93</v>
      </c>
      <c r="F4565" t="s">
        <v>3403</v>
      </c>
      <c r="G4565" t="s">
        <v>3402</v>
      </c>
      <c r="H4565" t="s">
        <v>3401</v>
      </c>
      <c r="I4565">
        <v>5102</v>
      </c>
      <c r="J4565" s="3">
        <v>37</v>
      </c>
      <c r="K4565" s="3">
        <v>21.46</v>
      </c>
      <c r="L4565">
        <v>42</v>
      </c>
    </row>
    <row r="4566" spans="1:12">
      <c r="A4566" s="1">
        <v>46042</v>
      </c>
      <c r="B4566" t="s">
        <v>7741</v>
      </c>
      <c r="C4566">
        <v>22</v>
      </c>
      <c r="D4566" t="str">
        <f>VLOOKUP(Tabela26[[#This Row],[EMP]],[1]LOJA!$A:$B,2,0)</f>
        <v>GUARÁ</v>
      </c>
      <c r="E4566">
        <v>93</v>
      </c>
      <c r="F4566" t="s">
        <v>5663</v>
      </c>
      <c r="G4566" t="s">
        <v>3402</v>
      </c>
      <c r="H4566" t="s">
        <v>3401</v>
      </c>
      <c r="I4566">
        <v>5102</v>
      </c>
      <c r="J4566" s="3">
        <v>44</v>
      </c>
      <c r="K4566" s="3">
        <v>26.13</v>
      </c>
      <c r="L4566">
        <v>40.61</v>
      </c>
    </row>
    <row r="4567" spans="1:12">
      <c r="A4567" s="1">
        <v>46042</v>
      </c>
      <c r="B4567" t="s">
        <v>7740</v>
      </c>
      <c r="C4567">
        <v>22</v>
      </c>
      <c r="D4567" t="str">
        <f>VLOOKUP(Tabela26[[#This Row],[EMP]],[1]LOJA!$A:$B,2,0)</f>
        <v>GUARÁ</v>
      </c>
      <c r="E4567">
        <v>93</v>
      </c>
      <c r="F4567" t="s">
        <v>3403</v>
      </c>
      <c r="G4567" t="s">
        <v>3402</v>
      </c>
      <c r="H4567" t="s">
        <v>3401</v>
      </c>
      <c r="I4567">
        <v>5102</v>
      </c>
      <c r="J4567" s="3">
        <v>20</v>
      </c>
      <c r="K4567" s="3">
        <v>13.55</v>
      </c>
      <c r="L4567">
        <v>32.25</v>
      </c>
    </row>
    <row r="4568" spans="1:12">
      <c r="A4568" s="1">
        <v>46042</v>
      </c>
      <c r="B4568" t="s">
        <v>7739</v>
      </c>
      <c r="C4568">
        <v>22</v>
      </c>
      <c r="D4568" t="str">
        <f>VLOOKUP(Tabela26[[#This Row],[EMP]],[1]LOJA!$A:$B,2,0)</f>
        <v>GUARÁ</v>
      </c>
      <c r="E4568">
        <v>93</v>
      </c>
      <c r="F4568" t="s">
        <v>7738</v>
      </c>
      <c r="G4568" t="s">
        <v>3402</v>
      </c>
      <c r="H4568" t="s">
        <v>3401</v>
      </c>
      <c r="I4568">
        <v>5405</v>
      </c>
      <c r="J4568" s="3">
        <v>50</v>
      </c>
      <c r="K4568" s="3">
        <v>26.65</v>
      </c>
      <c r="L4568">
        <v>46.7</v>
      </c>
    </row>
    <row r="4569" spans="1:12">
      <c r="A4569" s="1">
        <v>46042</v>
      </c>
      <c r="B4569" t="s">
        <v>7737</v>
      </c>
      <c r="C4569">
        <v>22</v>
      </c>
      <c r="D4569" t="str">
        <f>VLOOKUP(Tabela26[[#This Row],[EMP]],[1]LOJA!$A:$B,2,0)</f>
        <v>GUARÁ</v>
      </c>
      <c r="E4569">
        <v>93</v>
      </c>
      <c r="F4569" t="s">
        <v>5212</v>
      </c>
      <c r="G4569" t="s">
        <v>5211</v>
      </c>
      <c r="H4569" t="s">
        <v>3401</v>
      </c>
      <c r="I4569">
        <v>5102</v>
      </c>
      <c r="J4569" s="3">
        <v>24.9</v>
      </c>
      <c r="K4569" s="3">
        <v>16.84</v>
      </c>
      <c r="L4569">
        <v>32.369999999999997</v>
      </c>
    </row>
    <row r="4570" spans="1:12">
      <c r="A4570" s="1">
        <v>46042</v>
      </c>
      <c r="B4570" t="s">
        <v>7736</v>
      </c>
      <c r="C4570">
        <v>22</v>
      </c>
      <c r="D4570" t="str">
        <f>VLOOKUP(Tabela26[[#This Row],[EMP]],[1]LOJA!$A:$B,2,0)</f>
        <v>GUARÁ</v>
      </c>
      <c r="E4570">
        <v>93</v>
      </c>
      <c r="F4570" t="s">
        <v>4600</v>
      </c>
      <c r="G4570" t="s">
        <v>4599</v>
      </c>
      <c r="H4570" t="s">
        <v>3401</v>
      </c>
      <c r="I4570">
        <v>5102</v>
      </c>
      <c r="J4570" s="3">
        <v>21.5</v>
      </c>
      <c r="K4570" s="3">
        <v>11.63</v>
      </c>
      <c r="L4570">
        <v>45.91</v>
      </c>
    </row>
    <row r="4571" spans="1:12">
      <c r="A4571" s="1">
        <v>46042</v>
      </c>
      <c r="B4571" t="s">
        <v>7735</v>
      </c>
      <c r="C4571">
        <v>22</v>
      </c>
      <c r="D4571" t="str">
        <f>VLOOKUP(Tabela26[[#This Row],[EMP]],[1]LOJA!$A:$B,2,0)</f>
        <v>GUARÁ</v>
      </c>
      <c r="E4571">
        <v>93</v>
      </c>
      <c r="F4571" t="s">
        <v>5200</v>
      </c>
      <c r="G4571" t="s">
        <v>5199</v>
      </c>
      <c r="H4571" t="s">
        <v>3408</v>
      </c>
      <c r="I4571">
        <v>5405</v>
      </c>
      <c r="J4571" s="3">
        <v>100</v>
      </c>
      <c r="K4571" s="3">
        <v>49.69</v>
      </c>
      <c r="L4571">
        <v>50.31</v>
      </c>
    </row>
    <row r="4572" spans="1:12">
      <c r="A4572" s="1">
        <v>46042</v>
      </c>
      <c r="B4572" t="s">
        <v>7734</v>
      </c>
      <c r="C4572">
        <v>22</v>
      </c>
      <c r="D4572" t="str">
        <f>VLOOKUP(Tabela26[[#This Row],[EMP]],[1]LOJA!$A:$B,2,0)</f>
        <v>GUARÁ</v>
      </c>
      <c r="E4572">
        <v>93</v>
      </c>
      <c r="F4572" t="s">
        <v>5200</v>
      </c>
      <c r="G4572" t="s">
        <v>5199</v>
      </c>
      <c r="H4572" t="s">
        <v>3408</v>
      </c>
      <c r="I4572">
        <v>5102</v>
      </c>
      <c r="J4572" s="3">
        <v>39</v>
      </c>
      <c r="K4572" s="3">
        <v>24.18</v>
      </c>
      <c r="L4572">
        <v>38</v>
      </c>
    </row>
    <row r="4573" spans="1:12">
      <c r="A4573" s="1">
        <v>46042</v>
      </c>
      <c r="B4573" t="s">
        <v>7733</v>
      </c>
      <c r="C4573">
        <v>22</v>
      </c>
      <c r="D4573" t="str">
        <f>VLOOKUP(Tabela26[[#This Row],[EMP]],[1]LOJA!$A:$B,2,0)</f>
        <v>GUARÁ</v>
      </c>
      <c r="E4573">
        <v>93</v>
      </c>
      <c r="F4573" t="s">
        <v>3856</v>
      </c>
      <c r="G4573" t="s">
        <v>3855</v>
      </c>
      <c r="H4573" t="s">
        <v>3520</v>
      </c>
      <c r="I4573">
        <v>5405</v>
      </c>
      <c r="J4573" s="3">
        <v>89.63</v>
      </c>
      <c r="K4573" s="3">
        <v>45.34</v>
      </c>
      <c r="L4573">
        <v>49.41</v>
      </c>
    </row>
    <row r="4574" spans="1:12">
      <c r="A4574" s="1">
        <v>46042</v>
      </c>
      <c r="B4574" t="s">
        <v>7732</v>
      </c>
      <c r="C4574">
        <v>22</v>
      </c>
      <c r="D4574" t="str">
        <f>VLOOKUP(Tabela26[[#This Row],[EMP]],[1]LOJA!$A:$B,2,0)</f>
        <v>GUARÁ</v>
      </c>
      <c r="E4574">
        <v>93</v>
      </c>
      <c r="F4574" t="s">
        <v>4600</v>
      </c>
      <c r="G4574" t="s">
        <v>4599</v>
      </c>
      <c r="H4574" t="s">
        <v>3408</v>
      </c>
      <c r="I4574">
        <v>5405</v>
      </c>
      <c r="J4574" s="3">
        <v>62</v>
      </c>
      <c r="K4574" s="3">
        <v>34.020000000000003</v>
      </c>
      <c r="L4574">
        <v>45.13</v>
      </c>
    </row>
    <row r="4575" spans="1:12">
      <c r="A4575" s="1">
        <v>46042</v>
      </c>
      <c r="B4575" t="s">
        <v>7731</v>
      </c>
      <c r="C4575">
        <v>22</v>
      </c>
      <c r="D4575" t="str">
        <f>VLOOKUP(Tabela26[[#This Row],[EMP]],[1]LOJA!$A:$B,2,0)</f>
        <v>GUARÁ</v>
      </c>
      <c r="E4575">
        <v>93</v>
      </c>
      <c r="F4575" t="s">
        <v>3403</v>
      </c>
      <c r="G4575" t="s">
        <v>3402</v>
      </c>
      <c r="H4575" t="s">
        <v>3408</v>
      </c>
      <c r="I4575">
        <v>5102</v>
      </c>
      <c r="J4575" s="3">
        <v>43</v>
      </c>
      <c r="K4575" s="3">
        <v>25.76</v>
      </c>
      <c r="L4575">
        <v>40.090000000000003</v>
      </c>
    </row>
    <row r="4576" spans="1:12">
      <c r="A4576" s="1">
        <v>46042</v>
      </c>
      <c r="B4576" t="s">
        <v>7730</v>
      </c>
      <c r="C4576">
        <v>22</v>
      </c>
      <c r="D4576" t="str">
        <f>VLOOKUP(Tabela26[[#This Row],[EMP]],[1]LOJA!$A:$B,2,0)</f>
        <v>GUARÁ</v>
      </c>
      <c r="E4576">
        <v>93</v>
      </c>
      <c r="F4576" t="s">
        <v>3403</v>
      </c>
      <c r="G4576" t="s">
        <v>3402</v>
      </c>
      <c r="H4576" t="s">
        <v>3401</v>
      </c>
      <c r="I4576">
        <v>5102</v>
      </c>
      <c r="J4576" s="3">
        <v>23</v>
      </c>
      <c r="K4576" s="3">
        <v>12.25</v>
      </c>
      <c r="L4576">
        <v>46.74</v>
      </c>
    </row>
    <row r="4577" spans="1:12">
      <c r="A4577" s="1">
        <v>46042</v>
      </c>
      <c r="B4577" t="s">
        <v>7729</v>
      </c>
      <c r="C4577">
        <v>22</v>
      </c>
      <c r="D4577" t="str">
        <f>VLOOKUP(Tabela26[[#This Row],[EMP]],[1]LOJA!$A:$B,2,0)</f>
        <v>GUARÁ</v>
      </c>
      <c r="E4577">
        <v>93</v>
      </c>
      <c r="F4577" t="s">
        <v>3403</v>
      </c>
      <c r="G4577" t="s">
        <v>3402</v>
      </c>
      <c r="H4577" t="s">
        <v>3401</v>
      </c>
      <c r="I4577">
        <v>5102</v>
      </c>
      <c r="J4577" s="3">
        <v>9</v>
      </c>
      <c r="K4577" s="3">
        <v>4.16</v>
      </c>
      <c r="L4577">
        <v>53.78</v>
      </c>
    </row>
    <row r="4578" spans="1:12">
      <c r="A4578" s="1">
        <v>46042</v>
      </c>
      <c r="B4578" t="s">
        <v>7728</v>
      </c>
      <c r="C4578">
        <v>22</v>
      </c>
      <c r="D4578" t="str">
        <f>VLOOKUP(Tabela26[[#This Row],[EMP]],[1]LOJA!$A:$B,2,0)</f>
        <v>GUARÁ</v>
      </c>
      <c r="E4578">
        <v>93</v>
      </c>
      <c r="F4578" t="s">
        <v>3403</v>
      </c>
      <c r="G4578" t="s">
        <v>3402</v>
      </c>
      <c r="H4578" t="s">
        <v>3401</v>
      </c>
      <c r="I4578">
        <v>5102</v>
      </c>
      <c r="J4578" s="3">
        <v>20</v>
      </c>
      <c r="K4578" s="3">
        <v>11.44</v>
      </c>
      <c r="L4578">
        <v>42.8</v>
      </c>
    </row>
    <row r="4579" spans="1:12">
      <c r="A4579" s="1">
        <v>46042</v>
      </c>
      <c r="B4579" t="s">
        <v>7727</v>
      </c>
      <c r="C4579">
        <v>22</v>
      </c>
      <c r="D4579" t="str">
        <f>VLOOKUP(Tabela26[[#This Row],[EMP]],[1]LOJA!$A:$B,2,0)</f>
        <v>GUARÁ</v>
      </c>
      <c r="E4579">
        <v>93</v>
      </c>
      <c r="F4579" t="s">
        <v>3403</v>
      </c>
      <c r="G4579" t="s">
        <v>3402</v>
      </c>
      <c r="H4579" t="s">
        <v>3401</v>
      </c>
      <c r="I4579">
        <v>5405</v>
      </c>
      <c r="J4579" s="3">
        <v>105</v>
      </c>
      <c r="K4579" s="3">
        <v>49.16</v>
      </c>
      <c r="L4579">
        <v>53.18</v>
      </c>
    </row>
    <row r="4580" spans="1:12">
      <c r="A4580" s="1">
        <v>46042</v>
      </c>
      <c r="B4580" t="s">
        <v>7726</v>
      </c>
      <c r="C4580">
        <v>22</v>
      </c>
      <c r="D4580" t="str">
        <f>VLOOKUP(Tabela26[[#This Row],[EMP]],[1]LOJA!$A:$B,2,0)</f>
        <v>GUARÁ</v>
      </c>
      <c r="E4580">
        <v>16</v>
      </c>
      <c r="F4580" t="s">
        <v>3870</v>
      </c>
      <c r="G4580" t="s">
        <v>3869</v>
      </c>
      <c r="H4580" t="s">
        <v>3401</v>
      </c>
      <c r="I4580">
        <v>5405</v>
      </c>
      <c r="J4580" s="3">
        <v>140</v>
      </c>
      <c r="K4580" s="3">
        <v>72.78</v>
      </c>
      <c r="L4580">
        <v>48.01</v>
      </c>
    </row>
    <row r="4581" spans="1:12">
      <c r="A4581" s="1">
        <v>46042</v>
      </c>
      <c r="B4581" t="s">
        <v>7725</v>
      </c>
      <c r="C4581">
        <v>22</v>
      </c>
      <c r="D4581" t="str">
        <f>VLOOKUP(Tabela26[[#This Row],[EMP]],[1]LOJA!$A:$B,2,0)</f>
        <v>GUARÁ</v>
      </c>
      <c r="E4581">
        <v>93</v>
      </c>
      <c r="F4581" t="s">
        <v>3873</v>
      </c>
      <c r="G4581" t="s">
        <v>3872</v>
      </c>
      <c r="H4581" t="s">
        <v>3401</v>
      </c>
      <c r="I4581">
        <v>5102</v>
      </c>
      <c r="J4581" s="3">
        <v>6</v>
      </c>
      <c r="K4581" s="3">
        <v>2.6</v>
      </c>
      <c r="L4581">
        <v>56.67</v>
      </c>
    </row>
    <row r="4582" spans="1:12">
      <c r="A4582" s="1">
        <v>46042</v>
      </c>
      <c r="B4582" t="s">
        <v>7724</v>
      </c>
      <c r="C4582">
        <v>22</v>
      </c>
      <c r="D4582" t="str">
        <f>VLOOKUP(Tabela26[[#This Row],[EMP]],[1]LOJA!$A:$B,2,0)</f>
        <v>GUARÁ</v>
      </c>
      <c r="E4582">
        <v>93</v>
      </c>
      <c r="F4582" t="s">
        <v>3921</v>
      </c>
      <c r="G4582" t="s">
        <v>3920</v>
      </c>
      <c r="H4582" t="s">
        <v>3401</v>
      </c>
      <c r="I4582">
        <v>5102</v>
      </c>
      <c r="J4582" s="3">
        <v>34</v>
      </c>
      <c r="K4582" s="3">
        <v>21.83</v>
      </c>
      <c r="L4582">
        <v>35.79</v>
      </c>
    </row>
    <row r="4583" spans="1:12">
      <c r="A4583" s="1">
        <v>46042</v>
      </c>
      <c r="B4583" t="s">
        <v>7723</v>
      </c>
      <c r="C4583">
        <v>22</v>
      </c>
      <c r="D4583" t="str">
        <f>VLOOKUP(Tabela26[[#This Row],[EMP]],[1]LOJA!$A:$B,2,0)</f>
        <v>GUARÁ</v>
      </c>
      <c r="E4583">
        <v>93</v>
      </c>
      <c r="F4583" t="s">
        <v>6171</v>
      </c>
      <c r="G4583" t="s">
        <v>3402</v>
      </c>
      <c r="H4583" t="s">
        <v>3401</v>
      </c>
      <c r="I4583">
        <v>5405</v>
      </c>
      <c r="J4583" s="3">
        <v>45</v>
      </c>
      <c r="K4583" s="3">
        <v>21.44</v>
      </c>
      <c r="L4583">
        <v>52.36</v>
      </c>
    </row>
    <row r="4584" spans="1:12">
      <c r="A4584" s="1">
        <v>46042</v>
      </c>
      <c r="B4584" t="s">
        <v>7722</v>
      </c>
      <c r="C4584">
        <v>22</v>
      </c>
      <c r="D4584" t="str">
        <f>VLOOKUP(Tabela26[[#This Row],[EMP]],[1]LOJA!$A:$B,2,0)</f>
        <v>GUARÁ</v>
      </c>
      <c r="E4584">
        <v>16</v>
      </c>
      <c r="F4584" t="s">
        <v>7721</v>
      </c>
      <c r="G4584" t="s">
        <v>7720</v>
      </c>
      <c r="H4584" t="s">
        <v>3408</v>
      </c>
      <c r="I4584">
        <v>5102</v>
      </c>
      <c r="J4584" s="3">
        <v>114.57</v>
      </c>
      <c r="K4584" s="3">
        <v>69.23</v>
      </c>
      <c r="L4584">
        <v>39.57</v>
      </c>
    </row>
    <row r="4585" spans="1:12">
      <c r="A4585" s="1">
        <v>46042</v>
      </c>
      <c r="B4585" t="s">
        <v>7719</v>
      </c>
      <c r="C4585">
        <v>22</v>
      </c>
      <c r="D4585" t="str">
        <f>VLOOKUP(Tabela26[[#This Row],[EMP]],[1]LOJA!$A:$B,2,0)</f>
        <v>GUARÁ</v>
      </c>
      <c r="E4585">
        <v>16</v>
      </c>
      <c r="F4585" t="s">
        <v>7718</v>
      </c>
      <c r="G4585" t="s">
        <v>7717</v>
      </c>
      <c r="H4585" t="s">
        <v>3408</v>
      </c>
      <c r="I4585">
        <v>5405</v>
      </c>
      <c r="J4585" s="3">
        <v>135.66</v>
      </c>
      <c r="K4585" s="3">
        <v>68.260000000000005</v>
      </c>
      <c r="L4585">
        <v>49.68</v>
      </c>
    </row>
    <row r="4586" spans="1:12">
      <c r="A4586" s="1">
        <v>46042</v>
      </c>
      <c r="B4586" t="s">
        <v>7716</v>
      </c>
      <c r="C4586">
        <v>22</v>
      </c>
      <c r="D4586" t="str">
        <f>VLOOKUP(Tabela26[[#This Row],[EMP]],[1]LOJA!$A:$B,2,0)</f>
        <v>GUARÁ</v>
      </c>
      <c r="E4586">
        <v>16</v>
      </c>
      <c r="F4586" t="s">
        <v>3983</v>
      </c>
      <c r="G4586" t="s">
        <v>3982</v>
      </c>
      <c r="H4586" t="s">
        <v>3408</v>
      </c>
      <c r="I4586">
        <v>5405</v>
      </c>
      <c r="J4586" s="3">
        <v>180</v>
      </c>
      <c r="K4586" s="3">
        <v>94.51</v>
      </c>
      <c r="L4586">
        <v>47.49</v>
      </c>
    </row>
    <row r="4587" spans="1:12">
      <c r="A4587" s="1">
        <v>46042</v>
      </c>
      <c r="B4587" t="s">
        <v>7715</v>
      </c>
      <c r="C4587">
        <v>22</v>
      </c>
      <c r="D4587" t="str">
        <f>VLOOKUP(Tabela26[[#This Row],[EMP]],[1]LOJA!$A:$B,2,0)</f>
        <v>GUARÁ</v>
      </c>
      <c r="E4587">
        <v>93</v>
      </c>
      <c r="F4587" t="s">
        <v>3899</v>
      </c>
      <c r="G4587" t="s">
        <v>3898</v>
      </c>
      <c r="H4587" t="s">
        <v>3520</v>
      </c>
      <c r="I4587">
        <v>5102</v>
      </c>
      <c r="J4587" s="3">
        <v>60.97</v>
      </c>
      <c r="K4587" s="3">
        <v>34.590000000000003</v>
      </c>
      <c r="L4587">
        <v>43.27</v>
      </c>
    </row>
    <row r="4588" spans="1:12">
      <c r="A4588" s="1">
        <v>46042</v>
      </c>
      <c r="B4588" t="s">
        <v>7714</v>
      </c>
      <c r="C4588">
        <v>22</v>
      </c>
      <c r="D4588" t="str">
        <f>VLOOKUP(Tabela26[[#This Row],[EMP]],[1]LOJA!$A:$B,2,0)</f>
        <v>GUARÁ</v>
      </c>
      <c r="E4588">
        <v>16</v>
      </c>
      <c r="F4588" t="s">
        <v>3913</v>
      </c>
      <c r="G4588" t="s">
        <v>3912</v>
      </c>
      <c r="H4588" t="s">
        <v>3408</v>
      </c>
      <c r="I4588">
        <v>5405</v>
      </c>
      <c r="J4588" s="3">
        <v>73.34</v>
      </c>
      <c r="K4588" s="3">
        <v>37.96</v>
      </c>
      <c r="L4588">
        <v>48.24</v>
      </c>
    </row>
    <row r="4589" spans="1:12">
      <c r="A4589" s="1">
        <v>46042</v>
      </c>
      <c r="B4589" t="s">
        <v>7713</v>
      </c>
      <c r="C4589">
        <v>22</v>
      </c>
      <c r="D4589" t="str">
        <f>VLOOKUP(Tabela26[[#This Row],[EMP]],[1]LOJA!$A:$B,2,0)</f>
        <v>GUARÁ</v>
      </c>
      <c r="E4589">
        <v>93</v>
      </c>
      <c r="F4589" t="s">
        <v>3403</v>
      </c>
      <c r="G4589" t="s">
        <v>3402</v>
      </c>
      <c r="H4589" t="s">
        <v>3401</v>
      </c>
      <c r="I4589">
        <v>5102</v>
      </c>
      <c r="J4589" s="3">
        <v>48</v>
      </c>
      <c r="K4589" s="3">
        <v>30.72</v>
      </c>
      <c r="L4589">
        <v>36</v>
      </c>
    </row>
    <row r="4590" spans="1:12">
      <c r="A4590" s="1">
        <v>46042</v>
      </c>
      <c r="B4590" t="s">
        <v>7712</v>
      </c>
      <c r="C4590">
        <v>22</v>
      </c>
      <c r="D4590" t="str">
        <f>VLOOKUP(Tabela26[[#This Row],[EMP]],[1]LOJA!$A:$B,2,0)</f>
        <v>GUARÁ</v>
      </c>
      <c r="E4590">
        <v>93</v>
      </c>
      <c r="F4590" t="s">
        <v>3856</v>
      </c>
      <c r="G4590" t="s">
        <v>3855</v>
      </c>
      <c r="H4590" t="s">
        <v>3520</v>
      </c>
      <c r="I4590">
        <v>5405</v>
      </c>
      <c r="J4590" s="3">
        <v>53.47</v>
      </c>
      <c r="K4590" s="3">
        <v>27.86</v>
      </c>
      <c r="L4590">
        <v>47.9</v>
      </c>
    </row>
    <row r="4591" spans="1:12">
      <c r="A4591" s="1">
        <v>46042</v>
      </c>
      <c r="B4591" t="s">
        <v>7711</v>
      </c>
      <c r="C4591">
        <v>22</v>
      </c>
      <c r="D4591" t="str">
        <f>VLOOKUP(Tabela26[[#This Row],[EMP]],[1]LOJA!$A:$B,2,0)</f>
        <v>GUARÁ</v>
      </c>
      <c r="E4591">
        <v>93</v>
      </c>
      <c r="F4591" t="s">
        <v>3403</v>
      </c>
      <c r="G4591" t="s">
        <v>3402</v>
      </c>
      <c r="H4591" t="s">
        <v>3401</v>
      </c>
      <c r="I4591">
        <v>5102</v>
      </c>
      <c r="J4591" s="3">
        <v>8</v>
      </c>
      <c r="K4591" s="3">
        <v>3.91</v>
      </c>
      <c r="L4591">
        <v>51.13</v>
      </c>
    </row>
    <row r="4592" spans="1:12">
      <c r="A4592" s="1">
        <v>46042</v>
      </c>
      <c r="B4592" t="s">
        <v>7710</v>
      </c>
      <c r="C4592">
        <v>22</v>
      </c>
      <c r="D4592" t="str">
        <f>VLOOKUP(Tabela26[[#This Row],[EMP]],[1]LOJA!$A:$B,2,0)</f>
        <v>GUARÁ</v>
      </c>
      <c r="E4592">
        <v>93</v>
      </c>
      <c r="F4592" t="s">
        <v>3403</v>
      </c>
      <c r="G4592" t="s">
        <v>3402</v>
      </c>
      <c r="H4592" t="s">
        <v>3401</v>
      </c>
      <c r="I4592">
        <v>5102</v>
      </c>
      <c r="J4592" s="3">
        <v>10</v>
      </c>
      <c r="K4592" s="3">
        <v>3.6</v>
      </c>
      <c r="L4592">
        <v>64</v>
      </c>
    </row>
    <row r="4593" spans="1:12">
      <c r="A4593" s="1">
        <v>46042</v>
      </c>
      <c r="B4593" t="s">
        <v>7709</v>
      </c>
      <c r="C4593">
        <v>22</v>
      </c>
      <c r="D4593" t="str">
        <f>VLOOKUP(Tabela26[[#This Row],[EMP]],[1]LOJA!$A:$B,2,0)</f>
        <v>GUARÁ</v>
      </c>
      <c r="E4593">
        <v>93</v>
      </c>
      <c r="F4593" t="s">
        <v>3403</v>
      </c>
      <c r="G4593" t="s">
        <v>3402</v>
      </c>
      <c r="H4593" t="s">
        <v>3401</v>
      </c>
      <c r="I4593">
        <v>5102</v>
      </c>
      <c r="J4593" s="3">
        <v>8</v>
      </c>
      <c r="K4593" s="3">
        <v>3.91</v>
      </c>
      <c r="L4593">
        <v>51.13</v>
      </c>
    </row>
    <row r="4594" spans="1:12">
      <c r="A4594" s="1">
        <v>46042</v>
      </c>
      <c r="B4594" t="s">
        <v>7708</v>
      </c>
      <c r="C4594">
        <v>22</v>
      </c>
      <c r="D4594" t="str">
        <f>VLOOKUP(Tabela26[[#This Row],[EMP]],[1]LOJA!$A:$B,2,0)</f>
        <v>GUARÁ</v>
      </c>
      <c r="E4594">
        <v>93</v>
      </c>
      <c r="F4594" t="s">
        <v>3886</v>
      </c>
      <c r="G4594" t="s">
        <v>3402</v>
      </c>
      <c r="H4594" t="s">
        <v>3408</v>
      </c>
      <c r="I4594">
        <v>5405</v>
      </c>
      <c r="J4594" s="3">
        <v>177.41</v>
      </c>
      <c r="K4594" s="3">
        <v>91.25</v>
      </c>
      <c r="L4594">
        <v>48.57</v>
      </c>
    </row>
    <row r="4595" spans="1:12">
      <c r="A4595" s="1">
        <v>46042</v>
      </c>
      <c r="B4595" t="s">
        <v>7707</v>
      </c>
      <c r="C4595">
        <v>22</v>
      </c>
      <c r="D4595" t="str">
        <f>VLOOKUP(Tabela26[[#This Row],[EMP]],[1]LOJA!$A:$B,2,0)</f>
        <v>GUARÁ</v>
      </c>
      <c r="E4595">
        <v>93</v>
      </c>
      <c r="F4595" t="s">
        <v>3403</v>
      </c>
      <c r="G4595" t="s">
        <v>3402</v>
      </c>
      <c r="H4595" t="s">
        <v>3401</v>
      </c>
      <c r="I4595">
        <v>5102</v>
      </c>
      <c r="J4595" s="3">
        <v>17</v>
      </c>
      <c r="K4595" s="3">
        <v>9.0299999999999994</v>
      </c>
      <c r="L4595">
        <v>46.88</v>
      </c>
    </row>
    <row r="4596" spans="1:12">
      <c r="A4596" s="1">
        <v>46042</v>
      </c>
      <c r="B4596" t="s">
        <v>7706</v>
      </c>
      <c r="C4596">
        <v>22</v>
      </c>
      <c r="D4596" t="str">
        <f>VLOOKUP(Tabela26[[#This Row],[EMP]],[1]LOJA!$A:$B,2,0)</f>
        <v>GUARÁ</v>
      </c>
      <c r="E4596">
        <v>93</v>
      </c>
      <c r="F4596" t="s">
        <v>3403</v>
      </c>
      <c r="G4596" t="s">
        <v>3402</v>
      </c>
      <c r="H4596" t="s">
        <v>3401</v>
      </c>
      <c r="I4596">
        <v>5102</v>
      </c>
      <c r="J4596" s="3">
        <v>33</v>
      </c>
      <c r="K4596" s="3">
        <v>18.02</v>
      </c>
      <c r="L4596">
        <v>45.39</v>
      </c>
    </row>
    <row r="4597" spans="1:12">
      <c r="A4597" s="1">
        <v>46042</v>
      </c>
      <c r="B4597" t="s">
        <v>7705</v>
      </c>
      <c r="C4597">
        <v>22</v>
      </c>
      <c r="D4597" t="str">
        <f>VLOOKUP(Tabela26[[#This Row],[EMP]],[1]LOJA!$A:$B,2,0)</f>
        <v>GUARÁ</v>
      </c>
      <c r="E4597">
        <v>93</v>
      </c>
      <c r="F4597" t="s">
        <v>3403</v>
      </c>
      <c r="G4597" t="s">
        <v>3402</v>
      </c>
      <c r="H4597" t="s">
        <v>3401</v>
      </c>
      <c r="I4597">
        <v>5102</v>
      </c>
      <c r="J4597" s="3">
        <v>12</v>
      </c>
      <c r="K4597" s="3">
        <v>6.96</v>
      </c>
      <c r="L4597">
        <v>42</v>
      </c>
    </row>
    <row r="4598" spans="1:12">
      <c r="A4598" s="1">
        <v>46042</v>
      </c>
      <c r="B4598" t="s">
        <v>7704</v>
      </c>
      <c r="C4598">
        <v>22</v>
      </c>
      <c r="D4598" t="str">
        <f>VLOOKUP(Tabela26[[#This Row],[EMP]],[1]LOJA!$A:$B,2,0)</f>
        <v>GUARÁ</v>
      </c>
      <c r="E4598">
        <v>93</v>
      </c>
      <c r="F4598" t="s">
        <v>3403</v>
      </c>
      <c r="G4598" t="s">
        <v>3402</v>
      </c>
      <c r="H4598" t="s">
        <v>3401</v>
      </c>
      <c r="I4598">
        <v>5102</v>
      </c>
      <c r="J4598" s="3">
        <v>54</v>
      </c>
      <c r="K4598" s="3">
        <v>31.48</v>
      </c>
      <c r="L4598">
        <v>41.7</v>
      </c>
    </row>
    <row r="4599" spans="1:12">
      <c r="A4599" s="1">
        <v>46042</v>
      </c>
      <c r="B4599" t="s">
        <v>7703</v>
      </c>
      <c r="C4599">
        <v>22</v>
      </c>
      <c r="D4599" t="str">
        <f>VLOOKUP(Tabela26[[#This Row],[EMP]],[1]LOJA!$A:$B,2,0)</f>
        <v>GUARÁ</v>
      </c>
      <c r="E4599">
        <v>93</v>
      </c>
      <c r="F4599" t="s">
        <v>3403</v>
      </c>
      <c r="G4599" t="s">
        <v>3402</v>
      </c>
      <c r="H4599" t="s">
        <v>3401</v>
      </c>
      <c r="I4599">
        <v>5405</v>
      </c>
      <c r="J4599" s="3">
        <v>33</v>
      </c>
      <c r="K4599" s="3">
        <v>18.57</v>
      </c>
      <c r="L4599">
        <v>43.73</v>
      </c>
    </row>
    <row r="4600" spans="1:12">
      <c r="A4600" s="1">
        <v>46042</v>
      </c>
      <c r="B4600" t="s">
        <v>7702</v>
      </c>
      <c r="C4600">
        <v>22</v>
      </c>
      <c r="D4600" t="str">
        <f>VLOOKUP(Tabela26[[#This Row],[EMP]],[1]LOJA!$A:$B,2,0)</f>
        <v>GUARÁ</v>
      </c>
      <c r="E4600">
        <v>93</v>
      </c>
      <c r="F4600" t="s">
        <v>3873</v>
      </c>
      <c r="G4600" t="s">
        <v>3872</v>
      </c>
      <c r="H4600" t="s">
        <v>3401</v>
      </c>
      <c r="I4600">
        <v>5102</v>
      </c>
      <c r="J4600" s="3">
        <v>16.5</v>
      </c>
      <c r="K4600" s="3">
        <v>10.89</v>
      </c>
      <c r="L4600">
        <v>34</v>
      </c>
    </row>
    <row r="4601" spans="1:12">
      <c r="A4601" s="1">
        <v>46042</v>
      </c>
      <c r="B4601" t="s">
        <v>7701</v>
      </c>
      <c r="C4601">
        <v>22</v>
      </c>
      <c r="D4601" t="str">
        <f>VLOOKUP(Tabela26[[#This Row],[EMP]],[1]LOJA!$A:$B,2,0)</f>
        <v>GUARÁ</v>
      </c>
      <c r="E4601">
        <v>93</v>
      </c>
      <c r="F4601" t="s">
        <v>3873</v>
      </c>
      <c r="G4601" t="s">
        <v>3872</v>
      </c>
      <c r="H4601" t="s">
        <v>3401</v>
      </c>
      <c r="I4601">
        <v>5405</v>
      </c>
      <c r="J4601" s="3">
        <v>175</v>
      </c>
      <c r="K4601" s="3">
        <v>93.68</v>
      </c>
      <c r="L4601">
        <v>46.47</v>
      </c>
    </row>
    <row r="4602" spans="1:12">
      <c r="A4602" s="1">
        <v>46042</v>
      </c>
      <c r="B4602" t="s">
        <v>7700</v>
      </c>
      <c r="C4602">
        <v>22</v>
      </c>
      <c r="D4602" t="str">
        <f>VLOOKUP(Tabela26[[#This Row],[EMP]],[1]LOJA!$A:$B,2,0)</f>
        <v>GUARÁ</v>
      </c>
      <c r="E4602">
        <v>93</v>
      </c>
      <c r="F4602" t="s">
        <v>5353</v>
      </c>
      <c r="G4602" t="s">
        <v>5352</v>
      </c>
      <c r="H4602" t="s">
        <v>3520</v>
      </c>
      <c r="I4602">
        <v>5405</v>
      </c>
      <c r="J4602" s="3">
        <v>255.55</v>
      </c>
      <c r="K4602" s="3">
        <v>142.22999999999999</v>
      </c>
      <c r="L4602">
        <v>44.34</v>
      </c>
    </row>
    <row r="4603" spans="1:12">
      <c r="A4603" s="1">
        <v>46042</v>
      </c>
      <c r="B4603" t="s">
        <v>7699</v>
      </c>
      <c r="C4603">
        <v>22</v>
      </c>
      <c r="D4603" t="str">
        <f>VLOOKUP(Tabela26[[#This Row],[EMP]],[1]LOJA!$A:$B,2,0)</f>
        <v>GUARÁ</v>
      </c>
      <c r="E4603">
        <v>93</v>
      </c>
      <c r="F4603" t="s">
        <v>6769</v>
      </c>
      <c r="G4603" t="s">
        <v>6768</v>
      </c>
      <c r="H4603" t="s">
        <v>3401</v>
      </c>
      <c r="I4603">
        <v>5405</v>
      </c>
      <c r="J4603" s="3">
        <v>219</v>
      </c>
      <c r="K4603" s="3">
        <v>118.06</v>
      </c>
      <c r="L4603">
        <v>46.09</v>
      </c>
    </row>
    <row r="4604" spans="1:12">
      <c r="A4604" s="1">
        <v>46042</v>
      </c>
      <c r="B4604" t="s">
        <v>7698</v>
      </c>
      <c r="C4604">
        <v>4</v>
      </c>
      <c r="D4604" t="str">
        <f>VLOOKUP(Tabela26[[#This Row],[EMP]],[1]LOJA!$A:$B,2,0)</f>
        <v>ADE</v>
      </c>
      <c r="E4604">
        <v>132</v>
      </c>
      <c r="F4604" t="s">
        <v>7697</v>
      </c>
      <c r="G4604" t="s">
        <v>7696</v>
      </c>
      <c r="H4604" t="s">
        <v>3408</v>
      </c>
      <c r="I4604">
        <v>5405</v>
      </c>
      <c r="J4604" s="3">
        <v>733.6</v>
      </c>
      <c r="K4604" s="3">
        <v>429.46</v>
      </c>
      <c r="L4604">
        <v>41.46</v>
      </c>
    </row>
    <row r="4605" spans="1:12">
      <c r="A4605" s="1">
        <v>46042</v>
      </c>
      <c r="B4605" t="s">
        <v>7695</v>
      </c>
      <c r="C4605">
        <v>4</v>
      </c>
      <c r="D4605" t="str">
        <f>VLOOKUP(Tabela26[[#This Row],[EMP]],[1]LOJA!$A:$B,2,0)</f>
        <v>ADE</v>
      </c>
      <c r="E4605">
        <v>132</v>
      </c>
      <c r="F4605" t="s">
        <v>7694</v>
      </c>
      <c r="G4605" t="s">
        <v>3402</v>
      </c>
      <c r="H4605" t="s">
        <v>3408</v>
      </c>
      <c r="I4605">
        <v>5405</v>
      </c>
      <c r="J4605" s="3">
        <v>100</v>
      </c>
      <c r="K4605" s="3">
        <v>53.06</v>
      </c>
      <c r="L4605">
        <v>46.94</v>
      </c>
    </row>
    <row r="4606" spans="1:12">
      <c r="A4606" s="1">
        <v>46042</v>
      </c>
      <c r="B4606" t="s">
        <v>7693</v>
      </c>
      <c r="C4606">
        <v>4</v>
      </c>
      <c r="D4606" t="str">
        <f>VLOOKUP(Tabela26[[#This Row],[EMP]],[1]LOJA!$A:$B,2,0)</f>
        <v>ADE</v>
      </c>
      <c r="E4606">
        <v>132</v>
      </c>
      <c r="F4606" t="s">
        <v>4565</v>
      </c>
      <c r="G4606" t="s">
        <v>4564</v>
      </c>
      <c r="H4606" t="s">
        <v>3408</v>
      </c>
      <c r="I4606">
        <v>5405</v>
      </c>
      <c r="J4606" s="3">
        <v>154.80000000000001</v>
      </c>
      <c r="K4606" s="3">
        <v>86.72</v>
      </c>
      <c r="L4606">
        <v>43.98</v>
      </c>
    </row>
    <row r="4607" spans="1:12">
      <c r="A4607" s="1">
        <v>46042</v>
      </c>
      <c r="B4607" t="s">
        <v>7692</v>
      </c>
      <c r="C4607">
        <v>4</v>
      </c>
      <c r="D4607" t="str">
        <f>VLOOKUP(Tabela26[[#This Row],[EMP]],[1]LOJA!$A:$B,2,0)</f>
        <v>ADE</v>
      </c>
      <c r="E4607">
        <v>132</v>
      </c>
      <c r="F4607" t="s">
        <v>7691</v>
      </c>
      <c r="G4607" t="s">
        <v>3402</v>
      </c>
      <c r="H4607" t="s">
        <v>3408</v>
      </c>
      <c r="I4607">
        <v>5102</v>
      </c>
      <c r="J4607" s="3">
        <v>32</v>
      </c>
      <c r="K4607" s="3">
        <v>18.02</v>
      </c>
      <c r="L4607">
        <v>43.69</v>
      </c>
    </row>
    <row r="4608" spans="1:12">
      <c r="A4608" s="1">
        <v>46042</v>
      </c>
      <c r="B4608" t="s">
        <v>7690</v>
      </c>
      <c r="C4608">
        <v>4</v>
      </c>
      <c r="D4608" t="str">
        <f>VLOOKUP(Tabela26[[#This Row],[EMP]],[1]LOJA!$A:$B,2,0)</f>
        <v>ADE</v>
      </c>
      <c r="E4608">
        <v>132</v>
      </c>
      <c r="F4608" t="s">
        <v>6752</v>
      </c>
      <c r="G4608" t="s">
        <v>6751</v>
      </c>
      <c r="H4608" t="s">
        <v>3401</v>
      </c>
      <c r="I4608">
        <v>5102</v>
      </c>
      <c r="J4608" s="3">
        <v>210</v>
      </c>
      <c r="K4608" s="3">
        <v>115.98</v>
      </c>
      <c r="L4608">
        <v>44.77</v>
      </c>
    </row>
    <row r="4609" spans="1:12">
      <c r="A4609" s="1">
        <v>46042</v>
      </c>
      <c r="B4609" t="s">
        <v>7689</v>
      </c>
      <c r="C4609">
        <v>4</v>
      </c>
      <c r="D4609" t="str">
        <f>VLOOKUP(Tabela26[[#This Row],[EMP]],[1]LOJA!$A:$B,2,0)</f>
        <v>ADE</v>
      </c>
      <c r="E4609">
        <v>132</v>
      </c>
      <c r="F4609" t="s">
        <v>3403</v>
      </c>
      <c r="G4609" t="s">
        <v>3402</v>
      </c>
      <c r="H4609" t="s">
        <v>3401</v>
      </c>
      <c r="I4609">
        <v>5102</v>
      </c>
      <c r="J4609" s="3">
        <v>9</v>
      </c>
      <c r="K4609" s="3">
        <v>4.6399999999999997</v>
      </c>
      <c r="L4609">
        <v>48.44</v>
      </c>
    </row>
    <row r="4610" spans="1:12">
      <c r="A4610" s="1">
        <v>46042</v>
      </c>
      <c r="B4610" t="s">
        <v>7688</v>
      </c>
      <c r="C4610">
        <v>4</v>
      </c>
      <c r="D4610" t="str">
        <f>VLOOKUP(Tabela26[[#This Row],[EMP]],[1]LOJA!$A:$B,2,0)</f>
        <v>ADE</v>
      </c>
      <c r="E4610">
        <v>132</v>
      </c>
      <c r="F4610" t="s">
        <v>4568</v>
      </c>
      <c r="G4610" t="s">
        <v>4567</v>
      </c>
      <c r="H4610" t="s">
        <v>3408</v>
      </c>
      <c r="I4610">
        <v>5405</v>
      </c>
      <c r="J4610" s="3">
        <v>239.24</v>
      </c>
      <c r="K4610" s="3">
        <v>122.16</v>
      </c>
      <c r="L4610">
        <v>48.94</v>
      </c>
    </row>
    <row r="4611" spans="1:12">
      <c r="A4611" s="1">
        <v>46042</v>
      </c>
      <c r="B4611" t="s">
        <v>7687</v>
      </c>
      <c r="C4611">
        <v>4</v>
      </c>
      <c r="D4611" t="str">
        <f>VLOOKUP(Tabela26[[#This Row],[EMP]],[1]LOJA!$A:$B,2,0)</f>
        <v>ADE</v>
      </c>
      <c r="E4611">
        <v>132</v>
      </c>
      <c r="F4611" t="s">
        <v>3403</v>
      </c>
      <c r="G4611" t="s">
        <v>3402</v>
      </c>
      <c r="H4611" t="s">
        <v>3401</v>
      </c>
      <c r="I4611">
        <v>5102</v>
      </c>
      <c r="J4611" s="3">
        <v>24</v>
      </c>
      <c r="K4611" s="3">
        <v>11.62</v>
      </c>
      <c r="L4611">
        <v>51.58</v>
      </c>
    </row>
    <row r="4612" spans="1:12">
      <c r="A4612" s="1">
        <v>46042</v>
      </c>
      <c r="B4612" t="s">
        <v>7686</v>
      </c>
      <c r="C4612">
        <v>4</v>
      </c>
      <c r="D4612" t="str">
        <f>VLOOKUP(Tabela26[[#This Row],[EMP]],[1]LOJA!$A:$B,2,0)</f>
        <v>ADE</v>
      </c>
      <c r="E4612">
        <v>132</v>
      </c>
      <c r="F4612" t="s">
        <v>7685</v>
      </c>
      <c r="G4612" t="s">
        <v>3402</v>
      </c>
      <c r="H4612" t="s">
        <v>3408</v>
      </c>
      <c r="I4612">
        <v>5405</v>
      </c>
      <c r="J4612" s="3">
        <v>60</v>
      </c>
      <c r="K4612" s="3">
        <v>34.119999999999997</v>
      </c>
      <c r="L4612">
        <v>43.13</v>
      </c>
    </row>
    <row r="4613" spans="1:12">
      <c r="A4613" s="1">
        <v>46042</v>
      </c>
      <c r="B4613" t="s">
        <v>7684</v>
      </c>
      <c r="C4613">
        <v>4</v>
      </c>
      <c r="D4613" t="str">
        <f>VLOOKUP(Tabela26[[#This Row],[EMP]],[1]LOJA!$A:$B,2,0)</f>
        <v>ADE</v>
      </c>
      <c r="E4613">
        <v>109</v>
      </c>
      <c r="F4613" t="s">
        <v>3849</v>
      </c>
      <c r="G4613" t="s">
        <v>3402</v>
      </c>
      <c r="H4613" t="s">
        <v>3401</v>
      </c>
      <c r="I4613">
        <v>5405</v>
      </c>
      <c r="J4613" s="3">
        <v>266.61</v>
      </c>
      <c r="K4613" s="3">
        <v>109.45</v>
      </c>
      <c r="L4613">
        <v>58.95</v>
      </c>
    </row>
    <row r="4614" spans="1:12">
      <c r="A4614" s="1">
        <v>46042</v>
      </c>
      <c r="B4614" t="s">
        <v>7683</v>
      </c>
      <c r="C4614">
        <v>4</v>
      </c>
      <c r="D4614" t="str">
        <f>VLOOKUP(Tabela26[[#This Row],[EMP]],[1]LOJA!$A:$B,2,0)</f>
        <v>ADE</v>
      </c>
      <c r="E4614">
        <v>109</v>
      </c>
      <c r="F4614" t="s">
        <v>6032</v>
      </c>
      <c r="G4614" t="s">
        <v>3402</v>
      </c>
      <c r="H4614" t="s">
        <v>3401</v>
      </c>
      <c r="I4614">
        <v>5102</v>
      </c>
      <c r="J4614" s="3">
        <v>31.5</v>
      </c>
      <c r="K4614" s="3">
        <v>14.48</v>
      </c>
      <c r="L4614">
        <v>54.03</v>
      </c>
    </row>
    <row r="4615" spans="1:12">
      <c r="A4615" s="1">
        <v>46042</v>
      </c>
      <c r="B4615" t="s">
        <v>7682</v>
      </c>
      <c r="C4615">
        <v>16</v>
      </c>
      <c r="D4615" t="str">
        <f>VLOOKUP(Tabela26[[#This Row],[EMP]],[1]LOJA!$A:$B,2,0)</f>
        <v>AG LINDAS</v>
      </c>
      <c r="E4615">
        <v>240</v>
      </c>
      <c r="F4615" t="s">
        <v>6319</v>
      </c>
      <c r="G4615" t="s">
        <v>6318</v>
      </c>
      <c r="H4615" t="s">
        <v>3401</v>
      </c>
      <c r="I4615">
        <v>5102</v>
      </c>
      <c r="J4615" s="3">
        <v>134.5</v>
      </c>
      <c r="K4615" s="3">
        <v>80.099999999999994</v>
      </c>
      <c r="L4615">
        <v>40.450000000000003</v>
      </c>
    </row>
    <row r="4616" spans="1:12">
      <c r="A4616" s="1">
        <v>46042</v>
      </c>
      <c r="B4616" t="s">
        <v>7681</v>
      </c>
      <c r="C4616">
        <v>16</v>
      </c>
      <c r="D4616" t="str">
        <f>VLOOKUP(Tabela26[[#This Row],[EMP]],[1]LOJA!$A:$B,2,0)</f>
        <v>AG LINDAS</v>
      </c>
      <c r="E4616">
        <v>240</v>
      </c>
      <c r="F4616" t="s">
        <v>3780</v>
      </c>
      <c r="G4616" t="s">
        <v>3437</v>
      </c>
      <c r="H4616" t="s">
        <v>3401</v>
      </c>
      <c r="I4616">
        <v>5102</v>
      </c>
      <c r="J4616" s="3">
        <v>66</v>
      </c>
      <c r="K4616" s="3">
        <v>39.51</v>
      </c>
      <c r="L4616">
        <v>40.14</v>
      </c>
    </row>
    <row r="4617" spans="1:12">
      <c r="A4617" s="1">
        <v>46042</v>
      </c>
      <c r="B4617" t="s">
        <v>7680</v>
      </c>
      <c r="C4617">
        <v>16</v>
      </c>
      <c r="D4617" t="str">
        <f>VLOOKUP(Tabela26[[#This Row],[EMP]],[1]LOJA!$A:$B,2,0)</f>
        <v>AG LINDAS</v>
      </c>
      <c r="E4617">
        <v>240</v>
      </c>
      <c r="F4617" t="s">
        <v>3780</v>
      </c>
      <c r="G4617" t="s">
        <v>3437</v>
      </c>
      <c r="H4617" t="s">
        <v>3401</v>
      </c>
      <c r="I4617">
        <v>5102</v>
      </c>
      <c r="J4617" s="3">
        <v>7.24</v>
      </c>
      <c r="K4617" s="3">
        <v>3.5</v>
      </c>
      <c r="L4617">
        <v>51.66</v>
      </c>
    </row>
    <row r="4618" spans="1:12">
      <c r="A4618" s="1">
        <v>46042</v>
      </c>
      <c r="B4618" t="s">
        <v>7679</v>
      </c>
      <c r="C4618">
        <v>16</v>
      </c>
      <c r="D4618" t="str">
        <f>VLOOKUP(Tabela26[[#This Row],[EMP]],[1]LOJA!$A:$B,2,0)</f>
        <v>AG LINDAS</v>
      </c>
      <c r="E4618">
        <v>240</v>
      </c>
      <c r="F4618" t="s">
        <v>7678</v>
      </c>
      <c r="G4618" t="s">
        <v>7677</v>
      </c>
      <c r="H4618" t="s">
        <v>3401</v>
      </c>
      <c r="I4618">
        <v>5102</v>
      </c>
      <c r="J4618" s="3">
        <v>200.44</v>
      </c>
      <c r="K4618" s="3">
        <v>101.91</v>
      </c>
      <c r="L4618">
        <v>49.16</v>
      </c>
    </row>
    <row r="4619" spans="1:12">
      <c r="A4619" s="1">
        <v>46042</v>
      </c>
      <c r="B4619" t="s">
        <v>7676</v>
      </c>
      <c r="C4619">
        <v>16</v>
      </c>
      <c r="D4619" t="str">
        <f>VLOOKUP(Tabela26[[#This Row],[EMP]],[1]LOJA!$A:$B,2,0)</f>
        <v>AG LINDAS</v>
      </c>
      <c r="E4619">
        <v>240</v>
      </c>
      <c r="F4619" t="s">
        <v>3780</v>
      </c>
      <c r="G4619" t="s">
        <v>3437</v>
      </c>
      <c r="H4619" t="s">
        <v>3401</v>
      </c>
      <c r="I4619">
        <v>5102</v>
      </c>
      <c r="J4619" s="3">
        <v>73</v>
      </c>
      <c r="K4619" s="3">
        <v>37.03</v>
      </c>
      <c r="L4619">
        <v>49.27</v>
      </c>
    </row>
    <row r="4620" spans="1:12">
      <c r="A4620" s="1">
        <v>46042</v>
      </c>
      <c r="B4620" t="s">
        <v>7675</v>
      </c>
      <c r="C4620">
        <v>16</v>
      </c>
      <c r="D4620" t="str">
        <f>VLOOKUP(Tabela26[[#This Row],[EMP]],[1]LOJA!$A:$B,2,0)</f>
        <v>AG LINDAS</v>
      </c>
      <c r="E4620">
        <v>240</v>
      </c>
      <c r="F4620" t="s">
        <v>7674</v>
      </c>
      <c r="G4620" t="s">
        <v>7673</v>
      </c>
      <c r="H4620" t="s">
        <v>3401</v>
      </c>
      <c r="I4620">
        <v>5405</v>
      </c>
      <c r="J4620" s="3">
        <v>67</v>
      </c>
      <c r="K4620" s="3">
        <v>33.19</v>
      </c>
      <c r="L4620">
        <v>50.46</v>
      </c>
    </row>
    <row r="4621" spans="1:12">
      <c r="A4621" s="1">
        <v>46042</v>
      </c>
      <c r="B4621" t="s">
        <v>7672</v>
      </c>
      <c r="C4621">
        <v>16</v>
      </c>
      <c r="D4621" t="str">
        <f>VLOOKUP(Tabela26[[#This Row],[EMP]],[1]LOJA!$A:$B,2,0)</f>
        <v>AG LINDAS</v>
      </c>
      <c r="E4621">
        <v>240</v>
      </c>
      <c r="F4621" t="s">
        <v>3799</v>
      </c>
      <c r="G4621" t="s">
        <v>3798</v>
      </c>
      <c r="H4621" t="s">
        <v>3401</v>
      </c>
      <c r="I4621">
        <v>5102</v>
      </c>
      <c r="J4621" s="3">
        <v>52.5</v>
      </c>
      <c r="K4621" s="3">
        <v>29.36</v>
      </c>
      <c r="L4621">
        <v>44.08</v>
      </c>
    </row>
    <row r="4622" spans="1:12">
      <c r="A4622" s="1">
        <v>46042</v>
      </c>
      <c r="B4622" t="s">
        <v>7671</v>
      </c>
      <c r="C4622">
        <v>16</v>
      </c>
      <c r="D4622" t="str">
        <f>VLOOKUP(Tabela26[[#This Row],[EMP]],[1]LOJA!$A:$B,2,0)</f>
        <v>AG LINDAS</v>
      </c>
      <c r="E4622">
        <v>240</v>
      </c>
      <c r="F4622" t="s">
        <v>3780</v>
      </c>
      <c r="G4622" t="s">
        <v>3437</v>
      </c>
      <c r="H4622" t="s">
        <v>3401</v>
      </c>
      <c r="I4622">
        <v>5102</v>
      </c>
      <c r="J4622" s="3">
        <v>66.8</v>
      </c>
      <c r="K4622" s="3">
        <v>43.07</v>
      </c>
      <c r="L4622">
        <v>35.520000000000003</v>
      </c>
    </row>
    <row r="4623" spans="1:12">
      <c r="A4623" s="1">
        <v>46042</v>
      </c>
      <c r="B4623" t="s">
        <v>7670</v>
      </c>
      <c r="C4623">
        <v>16</v>
      </c>
      <c r="D4623" t="str">
        <f>VLOOKUP(Tabela26[[#This Row],[EMP]],[1]LOJA!$A:$B,2,0)</f>
        <v>AG LINDAS</v>
      </c>
      <c r="E4623">
        <v>240</v>
      </c>
      <c r="F4623" t="s">
        <v>3804</v>
      </c>
      <c r="G4623" t="s">
        <v>3803</v>
      </c>
      <c r="H4623" t="s">
        <v>3401</v>
      </c>
      <c r="I4623">
        <v>5102</v>
      </c>
      <c r="J4623" s="3">
        <v>51.8</v>
      </c>
      <c r="K4623" s="3">
        <v>31.2</v>
      </c>
      <c r="L4623">
        <v>39.770000000000003</v>
      </c>
    </row>
    <row r="4624" spans="1:12">
      <c r="A4624" s="1">
        <v>46042</v>
      </c>
      <c r="B4624" t="s">
        <v>7669</v>
      </c>
      <c r="C4624">
        <v>16</v>
      </c>
      <c r="D4624" t="str">
        <f>VLOOKUP(Tabela26[[#This Row],[EMP]],[1]LOJA!$A:$B,2,0)</f>
        <v>AG LINDAS</v>
      </c>
      <c r="E4624">
        <v>240</v>
      </c>
      <c r="F4624" t="s">
        <v>3780</v>
      </c>
      <c r="G4624" t="s">
        <v>3437</v>
      </c>
      <c r="H4624" t="s">
        <v>3401</v>
      </c>
      <c r="I4624">
        <v>5102</v>
      </c>
      <c r="J4624" s="3">
        <v>94.9</v>
      </c>
      <c r="K4624" s="3">
        <v>45.34</v>
      </c>
      <c r="L4624">
        <v>52.22</v>
      </c>
    </row>
    <row r="4625" spans="1:12">
      <c r="A4625" s="1">
        <v>46042</v>
      </c>
      <c r="B4625" t="s">
        <v>7668</v>
      </c>
      <c r="C4625">
        <v>16</v>
      </c>
      <c r="D4625" t="str">
        <f>VLOOKUP(Tabela26[[#This Row],[EMP]],[1]LOJA!$A:$B,2,0)</f>
        <v>AG LINDAS</v>
      </c>
      <c r="E4625">
        <v>240</v>
      </c>
      <c r="F4625" t="s">
        <v>3780</v>
      </c>
      <c r="G4625" t="s">
        <v>3437</v>
      </c>
      <c r="H4625" t="s">
        <v>3401</v>
      </c>
      <c r="I4625">
        <v>5405</v>
      </c>
      <c r="J4625" s="3">
        <v>24</v>
      </c>
      <c r="K4625" s="3">
        <v>12.07</v>
      </c>
      <c r="L4625">
        <v>49.71</v>
      </c>
    </row>
    <row r="4626" spans="1:12">
      <c r="A4626" s="1">
        <v>46042</v>
      </c>
      <c r="B4626" t="s">
        <v>7667</v>
      </c>
      <c r="C4626">
        <v>16</v>
      </c>
      <c r="D4626" t="str">
        <f>VLOOKUP(Tabela26[[#This Row],[EMP]],[1]LOJA!$A:$B,2,0)</f>
        <v>AG LINDAS</v>
      </c>
      <c r="E4626">
        <v>240</v>
      </c>
      <c r="F4626" t="s">
        <v>3780</v>
      </c>
      <c r="G4626" t="s">
        <v>3437</v>
      </c>
      <c r="H4626" t="s">
        <v>3401</v>
      </c>
      <c r="I4626">
        <v>5405</v>
      </c>
      <c r="J4626" s="3">
        <v>118</v>
      </c>
      <c r="K4626" s="3">
        <v>56.72</v>
      </c>
      <c r="L4626">
        <v>51.93</v>
      </c>
    </row>
    <row r="4627" spans="1:12">
      <c r="A4627" s="1">
        <v>46042</v>
      </c>
      <c r="B4627" t="s">
        <v>7666</v>
      </c>
      <c r="C4627">
        <v>16</v>
      </c>
      <c r="D4627" t="str">
        <f>VLOOKUP(Tabela26[[#This Row],[EMP]],[1]LOJA!$A:$B,2,0)</f>
        <v>AG LINDAS</v>
      </c>
      <c r="E4627">
        <v>240</v>
      </c>
      <c r="F4627" t="s">
        <v>7665</v>
      </c>
      <c r="G4627" t="s">
        <v>7664</v>
      </c>
      <c r="H4627" t="s">
        <v>3408</v>
      </c>
      <c r="I4627">
        <v>5102</v>
      </c>
      <c r="J4627" s="3">
        <v>87.6</v>
      </c>
      <c r="K4627" s="3">
        <v>48.47</v>
      </c>
      <c r="L4627">
        <v>44.67</v>
      </c>
    </row>
    <row r="4628" spans="1:12">
      <c r="A4628" s="1">
        <v>46042</v>
      </c>
      <c r="B4628" t="s">
        <v>7663</v>
      </c>
      <c r="C4628">
        <v>16</v>
      </c>
      <c r="D4628" t="str">
        <f>VLOOKUP(Tabela26[[#This Row],[EMP]],[1]LOJA!$A:$B,2,0)</f>
        <v>AG LINDAS</v>
      </c>
      <c r="E4628">
        <v>240</v>
      </c>
      <c r="F4628" t="s">
        <v>3796</v>
      </c>
      <c r="G4628" t="s">
        <v>3795</v>
      </c>
      <c r="H4628" t="s">
        <v>3408</v>
      </c>
      <c r="I4628">
        <v>5102</v>
      </c>
      <c r="J4628" s="3">
        <v>43.8</v>
      </c>
      <c r="K4628" s="3">
        <v>27.2</v>
      </c>
      <c r="L4628">
        <v>37.9</v>
      </c>
    </row>
    <row r="4629" spans="1:12">
      <c r="A4629" s="1">
        <v>46042</v>
      </c>
      <c r="B4629" t="s">
        <v>7662</v>
      </c>
      <c r="C4629">
        <v>16</v>
      </c>
      <c r="D4629" t="str">
        <f>VLOOKUP(Tabela26[[#This Row],[EMP]],[1]LOJA!$A:$B,2,0)</f>
        <v>AG LINDAS</v>
      </c>
      <c r="E4629">
        <v>240</v>
      </c>
      <c r="F4629" t="s">
        <v>7661</v>
      </c>
      <c r="G4629" t="s">
        <v>3437</v>
      </c>
      <c r="H4629" t="s">
        <v>3401</v>
      </c>
      <c r="I4629">
        <v>5405</v>
      </c>
      <c r="J4629" s="3">
        <v>120</v>
      </c>
      <c r="K4629" s="3">
        <v>62.13</v>
      </c>
      <c r="L4629">
        <v>48.23</v>
      </c>
    </row>
    <row r="4630" spans="1:12">
      <c r="A4630" s="1">
        <v>46042</v>
      </c>
      <c r="B4630" t="s">
        <v>7660</v>
      </c>
      <c r="C4630">
        <v>16</v>
      </c>
      <c r="D4630" t="str">
        <f>VLOOKUP(Tabela26[[#This Row],[EMP]],[1]LOJA!$A:$B,2,0)</f>
        <v>AG LINDAS</v>
      </c>
      <c r="E4630">
        <v>240</v>
      </c>
      <c r="F4630" t="s">
        <v>7659</v>
      </c>
      <c r="G4630" t="s">
        <v>3437</v>
      </c>
      <c r="H4630" t="s">
        <v>3401</v>
      </c>
      <c r="I4630">
        <v>5102</v>
      </c>
      <c r="J4630" s="3">
        <v>32</v>
      </c>
      <c r="K4630" s="3">
        <v>15.44</v>
      </c>
      <c r="L4630">
        <v>51.75</v>
      </c>
    </row>
    <row r="4631" spans="1:12">
      <c r="A4631" s="1">
        <v>46042</v>
      </c>
      <c r="B4631" t="s">
        <v>7658</v>
      </c>
      <c r="C4631">
        <v>16</v>
      </c>
      <c r="D4631" t="str">
        <f>VLOOKUP(Tabela26[[#This Row],[EMP]],[1]LOJA!$A:$B,2,0)</f>
        <v>AG LINDAS</v>
      </c>
      <c r="E4631">
        <v>240</v>
      </c>
      <c r="F4631" t="s">
        <v>5663</v>
      </c>
      <c r="G4631" t="s">
        <v>3437</v>
      </c>
      <c r="H4631" t="s">
        <v>3401</v>
      </c>
      <c r="I4631">
        <v>5102</v>
      </c>
      <c r="J4631" s="3">
        <v>47.8</v>
      </c>
      <c r="K4631" s="3">
        <v>30.24</v>
      </c>
      <c r="L4631">
        <v>36.74</v>
      </c>
    </row>
    <row r="4632" spans="1:12">
      <c r="A4632" s="1">
        <v>46042</v>
      </c>
      <c r="B4632" t="s">
        <v>7657</v>
      </c>
      <c r="C4632">
        <v>16</v>
      </c>
      <c r="D4632" t="str">
        <f>VLOOKUP(Tabela26[[#This Row],[EMP]],[1]LOJA!$A:$B,2,0)</f>
        <v>AG LINDAS</v>
      </c>
      <c r="E4632">
        <v>240</v>
      </c>
      <c r="F4632" t="s">
        <v>4516</v>
      </c>
      <c r="G4632" t="s">
        <v>4515</v>
      </c>
      <c r="H4632" t="s">
        <v>3401</v>
      </c>
      <c r="I4632">
        <v>5102</v>
      </c>
      <c r="J4632" s="3">
        <v>135.6</v>
      </c>
      <c r="K4632" s="3">
        <v>79.739999999999995</v>
      </c>
      <c r="L4632">
        <v>41.19</v>
      </c>
    </row>
    <row r="4633" spans="1:12">
      <c r="A4633" s="1">
        <v>46042</v>
      </c>
      <c r="B4633" t="s">
        <v>7656</v>
      </c>
      <c r="C4633">
        <v>16</v>
      </c>
      <c r="D4633" t="str">
        <f>VLOOKUP(Tabela26[[#This Row],[EMP]],[1]LOJA!$A:$B,2,0)</f>
        <v>AG LINDAS</v>
      </c>
      <c r="E4633">
        <v>240</v>
      </c>
      <c r="F4633" t="s">
        <v>5674</v>
      </c>
      <c r="G4633" t="s">
        <v>3437</v>
      </c>
      <c r="H4633" t="s">
        <v>3401</v>
      </c>
      <c r="I4633">
        <v>5102</v>
      </c>
      <c r="J4633" s="3">
        <v>156.80000000000001</v>
      </c>
      <c r="K4633" s="3">
        <v>89.64</v>
      </c>
      <c r="L4633">
        <v>42.83</v>
      </c>
    </row>
    <row r="4634" spans="1:12">
      <c r="A4634" s="1">
        <v>46042</v>
      </c>
      <c r="B4634" t="s">
        <v>7655</v>
      </c>
      <c r="C4634">
        <v>16</v>
      </c>
      <c r="D4634" t="str">
        <f>VLOOKUP(Tabela26[[#This Row],[EMP]],[1]LOJA!$A:$B,2,0)</f>
        <v>AG LINDAS</v>
      </c>
      <c r="E4634">
        <v>240</v>
      </c>
      <c r="F4634" t="s">
        <v>4503</v>
      </c>
      <c r="G4634" t="s">
        <v>3437</v>
      </c>
      <c r="H4634" t="s">
        <v>3401</v>
      </c>
      <c r="I4634">
        <v>5102</v>
      </c>
      <c r="J4634" s="3">
        <v>105.5</v>
      </c>
      <c r="K4634" s="3">
        <v>62.51</v>
      </c>
      <c r="L4634">
        <v>40.75</v>
      </c>
    </row>
    <row r="4635" spans="1:12">
      <c r="A4635" s="1">
        <v>46042</v>
      </c>
      <c r="B4635" t="s">
        <v>7654</v>
      </c>
      <c r="C4635">
        <v>16</v>
      </c>
      <c r="D4635" t="str">
        <f>VLOOKUP(Tabela26[[#This Row],[EMP]],[1]LOJA!$A:$B,2,0)</f>
        <v>AG LINDAS</v>
      </c>
      <c r="E4635">
        <v>240</v>
      </c>
      <c r="F4635" t="s">
        <v>3818</v>
      </c>
      <c r="G4635" t="s">
        <v>3817</v>
      </c>
      <c r="H4635" t="s">
        <v>3401</v>
      </c>
      <c r="I4635">
        <v>5102</v>
      </c>
      <c r="J4635" s="3">
        <v>39.799999999999997</v>
      </c>
      <c r="K4635" s="3">
        <v>25.76</v>
      </c>
      <c r="L4635">
        <v>35.28</v>
      </c>
    </row>
    <row r="4636" spans="1:12">
      <c r="A4636" s="1">
        <v>46042</v>
      </c>
      <c r="B4636" t="s">
        <v>7653</v>
      </c>
      <c r="C4636">
        <v>14</v>
      </c>
      <c r="D4636" t="str">
        <f>VLOOKUP(Tabela26[[#This Row],[EMP]],[1]LOJA!$A:$B,2,0)</f>
        <v>S IA</v>
      </c>
      <c r="E4636">
        <v>212</v>
      </c>
      <c r="F4636" t="s">
        <v>4488</v>
      </c>
      <c r="G4636" t="s">
        <v>4487</v>
      </c>
      <c r="H4636" t="s">
        <v>3408</v>
      </c>
      <c r="I4636">
        <v>5405</v>
      </c>
      <c r="J4636" s="3">
        <v>481</v>
      </c>
      <c r="K4636" s="3">
        <v>258.60000000000002</v>
      </c>
      <c r="L4636">
        <v>46.24</v>
      </c>
    </row>
    <row r="4637" spans="1:12">
      <c r="A4637" s="1">
        <v>46042</v>
      </c>
      <c r="B4637" t="s">
        <v>7652</v>
      </c>
      <c r="C4637">
        <v>14</v>
      </c>
      <c r="D4637" t="str">
        <f>VLOOKUP(Tabela26[[#This Row],[EMP]],[1]LOJA!$A:$B,2,0)</f>
        <v>S IA</v>
      </c>
      <c r="E4637">
        <v>212</v>
      </c>
      <c r="F4637" t="s">
        <v>6696</v>
      </c>
      <c r="G4637" t="s">
        <v>6695</v>
      </c>
      <c r="H4637" t="s">
        <v>3408</v>
      </c>
      <c r="I4637">
        <v>5102</v>
      </c>
      <c r="J4637" s="3">
        <v>214.4</v>
      </c>
      <c r="K4637" s="3">
        <v>118.9</v>
      </c>
      <c r="L4637">
        <v>44.54</v>
      </c>
    </row>
    <row r="4638" spans="1:12">
      <c r="A4638" s="1">
        <v>46042</v>
      </c>
      <c r="B4638" t="s">
        <v>7651</v>
      </c>
      <c r="C4638">
        <v>14</v>
      </c>
      <c r="D4638" t="str">
        <f>VLOOKUP(Tabela26[[#This Row],[EMP]],[1]LOJA!$A:$B,2,0)</f>
        <v>S IA</v>
      </c>
      <c r="E4638">
        <v>54</v>
      </c>
      <c r="F4638" t="s">
        <v>7646</v>
      </c>
      <c r="G4638" t="s">
        <v>7645</v>
      </c>
      <c r="H4638" t="s">
        <v>3401</v>
      </c>
      <c r="I4638">
        <v>5102</v>
      </c>
      <c r="J4638" s="3">
        <v>516</v>
      </c>
      <c r="K4638" s="3">
        <v>279.67</v>
      </c>
      <c r="L4638">
        <v>45.8</v>
      </c>
    </row>
    <row r="4639" spans="1:12">
      <c r="A4639" s="1">
        <v>46042</v>
      </c>
      <c r="B4639" t="s">
        <v>7650</v>
      </c>
      <c r="C4639">
        <v>14</v>
      </c>
      <c r="D4639" t="str">
        <f>VLOOKUP(Tabela26[[#This Row],[EMP]],[1]LOJA!$A:$B,2,0)</f>
        <v>S IA</v>
      </c>
      <c r="E4639">
        <v>212</v>
      </c>
      <c r="F4639" t="s">
        <v>7649</v>
      </c>
      <c r="G4639" t="s">
        <v>7648</v>
      </c>
      <c r="H4639" t="s">
        <v>3401</v>
      </c>
      <c r="I4639">
        <v>5405</v>
      </c>
      <c r="J4639" s="3">
        <v>45</v>
      </c>
      <c r="K4639" s="3">
        <v>22.14</v>
      </c>
      <c r="L4639">
        <v>50.8</v>
      </c>
    </row>
    <row r="4640" spans="1:12">
      <c r="A4640" s="1">
        <v>46042</v>
      </c>
      <c r="B4640" t="s">
        <v>7647</v>
      </c>
      <c r="C4640">
        <v>14</v>
      </c>
      <c r="D4640" t="str">
        <f>VLOOKUP(Tabela26[[#This Row],[EMP]],[1]LOJA!$A:$B,2,0)</f>
        <v>S IA</v>
      </c>
      <c r="E4640">
        <v>54</v>
      </c>
      <c r="F4640" t="s">
        <v>7646</v>
      </c>
      <c r="G4640" t="s">
        <v>7645</v>
      </c>
      <c r="H4640" t="s">
        <v>3401</v>
      </c>
      <c r="I4640">
        <v>5405</v>
      </c>
      <c r="J4640" s="3">
        <v>260</v>
      </c>
      <c r="K4640" s="3">
        <v>97.07</v>
      </c>
      <c r="L4640">
        <v>62.67</v>
      </c>
    </row>
    <row r="4641" spans="1:12">
      <c r="A4641" s="1">
        <v>46042</v>
      </c>
      <c r="B4641" t="s">
        <v>7644</v>
      </c>
      <c r="C4641">
        <v>14</v>
      </c>
      <c r="D4641" t="str">
        <f>VLOOKUP(Tabela26[[#This Row],[EMP]],[1]LOJA!$A:$B,2,0)</f>
        <v>S IA</v>
      </c>
      <c r="E4641">
        <v>212</v>
      </c>
      <c r="F4641" t="s">
        <v>7643</v>
      </c>
      <c r="G4641" t="s">
        <v>7642</v>
      </c>
      <c r="H4641" t="s">
        <v>3430</v>
      </c>
      <c r="I4641">
        <v>5102</v>
      </c>
      <c r="J4641" s="3">
        <v>212.1</v>
      </c>
      <c r="K4641" s="3">
        <v>88.26</v>
      </c>
      <c r="L4641">
        <v>58.39</v>
      </c>
    </row>
    <row r="4642" spans="1:12">
      <c r="A4642" s="1">
        <v>46042</v>
      </c>
      <c r="B4642" t="s">
        <v>7641</v>
      </c>
      <c r="C4642">
        <v>14</v>
      </c>
      <c r="D4642" t="str">
        <f>VLOOKUP(Tabela26[[#This Row],[EMP]],[1]LOJA!$A:$B,2,0)</f>
        <v>S IA</v>
      </c>
      <c r="E4642">
        <v>54</v>
      </c>
      <c r="F4642" t="s">
        <v>3775</v>
      </c>
      <c r="G4642" t="s">
        <v>3774</v>
      </c>
      <c r="H4642" t="s">
        <v>3430</v>
      </c>
      <c r="I4642">
        <v>5405</v>
      </c>
      <c r="J4642" s="3">
        <v>183</v>
      </c>
      <c r="K4642" s="3">
        <v>62.58</v>
      </c>
      <c r="L4642">
        <v>65.8</v>
      </c>
    </row>
    <row r="4643" spans="1:12">
      <c r="A4643" s="1">
        <v>46042</v>
      </c>
      <c r="B4643" t="s">
        <v>7640</v>
      </c>
      <c r="C4643">
        <v>14</v>
      </c>
      <c r="D4643" t="str">
        <f>VLOOKUP(Tabela26[[#This Row],[EMP]],[1]LOJA!$A:$B,2,0)</f>
        <v>S IA</v>
      </c>
      <c r="E4643">
        <v>212</v>
      </c>
      <c r="F4643" t="s">
        <v>7639</v>
      </c>
      <c r="G4643" t="s">
        <v>7638</v>
      </c>
      <c r="H4643" t="s">
        <v>3408</v>
      </c>
      <c r="I4643">
        <v>5405</v>
      </c>
      <c r="J4643" s="3">
        <v>1290.4000000000001</v>
      </c>
      <c r="K4643" s="3">
        <v>706.67</v>
      </c>
      <c r="L4643">
        <v>45.24</v>
      </c>
    </row>
    <row r="4644" spans="1:12">
      <c r="A4644" s="1">
        <v>46042</v>
      </c>
      <c r="B4644" t="s">
        <v>7637</v>
      </c>
      <c r="C4644">
        <v>14</v>
      </c>
      <c r="D4644" t="str">
        <f>VLOOKUP(Tabela26[[#This Row],[EMP]],[1]LOJA!$A:$B,2,0)</f>
        <v>S IA</v>
      </c>
      <c r="E4644">
        <v>212</v>
      </c>
      <c r="F4644" t="s">
        <v>7636</v>
      </c>
      <c r="G4644" t="s">
        <v>7635</v>
      </c>
      <c r="H4644" t="s">
        <v>3401</v>
      </c>
      <c r="I4644">
        <v>5102</v>
      </c>
      <c r="J4644" s="3">
        <v>80</v>
      </c>
      <c r="K4644" s="3">
        <v>47.38</v>
      </c>
      <c r="L4644">
        <v>40.78</v>
      </c>
    </row>
    <row r="4645" spans="1:12">
      <c r="A4645" s="1">
        <v>46042</v>
      </c>
      <c r="B4645" t="s">
        <v>7634</v>
      </c>
      <c r="C4645">
        <v>14</v>
      </c>
      <c r="D4645" t="str">
        <f>VLOOKUP(Tabela26[[#This Row],[EMP]],[1]LOJA!$A:$B,2,0)</f>
        <v>S IA</v>
      </c>
      <c r="E4645">
        <v>212</v>
      </c>
      <c r="F4645" t="s">
        <v>7633</v>
      </c>
      <c r="G4645" t="s">
        <v>7632</v>
      </c>
      <c r="H4645" t="s">
        <v>3401</v>
      </c>
      <c r="I4645">
        <v>5102</v>
      </c>
      <c r="J4645" s="3">
        <v>89</v>
      </c>
      <c r="K4645" s="3">
        <v>41.99</v>
      </c>
      <c r="L4645">
        <v>52.82</v>
      </c>
    </row>
    <row r="4646" spans="1:12">
      <c r="A4646" s="1">
        <v>46042</v>
      </c>
      <c r="B4646" t="s">
        <v>7631</v>
      </c>
      <c r="C4646">
        <v>14</v>
      </c>
      <c r="D4646" t="str">
        <f>VLOOKUP(Tabela26[[#This Row],[EMP]],[1]LOJA!$A:$B,2,0)</f>
        <v>S IA</v>
      </c>
      <c r="E4646">
        <v>54</v>
      </c>
      <c r="F4646" t="s">
        <v>7630</v>
      </c>
      <c r="G4646" t="s">
        <v>7629</v>
      </c>
      <c r="H4646" t="s">
        <v>3401</v>
      </c>
      <c r="I4646">
        <v>5405</v>
      </c>
      <c r="J4646" s="3">
        <v>99</v>
      </c>
      <c r="K4646" s="3">
        <v>44.88</v>
      </c>
      <c r="L4646">
        <v>54.67</v>
      </c>
    </row>
    <row r="4647" spans="1:12">
      <c r="A4647" s="1">
        <v>46042</v>
      </c>
      <c r="B4647" t="s">
        <v>7628</v>
      </c>
      <c r="C4647">
        <v>14</v>
      </c>
      <c r="D4647" t="str">
        <f>VLOOKUP(Tabela26[[#This Row],[EMP]],[1]LOJA!$A:$B,2,0)</f>
        <v>S IA</v>
      </c>
      <c r="E4647">
        <v>54</v>
      </c>
      <c r="F4647" t="s">
        <v>7627</v>
      </c>
      <c r="G4647" t="s">
        <v>7626</v>
      </c>
      <c r="H4647" t="s">
        <v>3401</v>
      </c>
      <c r="I4647">
        <v>5405</v>
      </c>
      <c r="J4647" s="3">
        <v>176.99</v>
      </c>
      <c r="K4647" s="3">
        <v>91.27</v>
      </c>
      <c r="L4647">
        <v>48.43</v>
      </c>
    </row>
    <row r="4648" spans="1:12">
      <c r="A4648" s="1">
        <v>46042</v>
      </c>
      <c r="B4648" t="s">
        <v>7625</v>
      </c>
      <c r="C4648">
        <v>14</v>
      </c>
      <c r="D4648" t="str">
        <f>VLOOKUP(Tabela26[[#This Row],[EMP]],[1]LOJA!$A:$B,2,0)</f>
        <v>S IA</v>
      </c>
      <c r="E4648">
        <v>54</v>
      </c>
      <c r="F4648" t="s">
        <v>7624</v>
      </c>
      <c r="G4648" t="s">
        <v>7623</v>
      </c>
      <c r="H4648" t="s">
        <v>4249</v>
      </c>
      <c r="I4648">
        <v>5405</v>
      </c>
      <c r="J4648" s="3">
        <v>499.97</v>
      </c>
      <c r="K4648" s="3">
        <v>256.67</v>
      </c>
      <c r="L4648">
        <v>48.66</v>
      </c>
    </row>
    <row r="4649" spans="1:12">
      <c r="A4649" s="1">
        <v>46042</v>
      </c>
      <c r="B4649" t="s">
        <v>7622</v>
      </c>
      <c r="C4649">
        <v>14</v>
      </c>
      <c r="D4649" t="str">
        <f>VLOOKUP(Tabela26[[#This Row],[EMP]],[1]LOJA!$A:$B,2,0)</f>
        <v>S IA</v>
      </c>
      <c r="E4649">
        <v>54</v>
      </c>
      <c r="F4649" t="s">
        <v>3772</v>
      </c>
      <c r="G4649" t="s">
        <v>3771</v>
      </c>
      <c r="H4649" t="s">
        <v>3430</v>
      </c>
      <c r="I4649">
        <v>5405</v>
      </c>
      <c r="J4649" s="3">
        <v>122.51</v>
      </c>
      <c r="K4649" s="3">
        <v>57.71</v>
      </c>
      <c r="L4649">
        <v>52.89</v>
      </c>
    </row>
    <row r="4650" spans="1:12">
      <c r="A4650" s="1">
        <v>46042</v>
      </c>
      <c r="B4650" t="s">
        <v>7621</v>
      </c>
      <c r="C4650">
        <v>14</v>
      </c>
      <c r="D4650" t="str">
        <f>VLOOKUP(Tabela26[[#This Row],[EMP]],[1]LOJA!$A:$B,2,0)</f>
        <v>S IA</v>
      </c>
      <c r="E4650">
        <v>212</v>
      </c>
      <c r="F4650" t="s">
        <v>7620</v>
      </c>
      <c r="G4650" t="s">
        <v>7619</v>
      </c>
      <c r="H4650" t="s">
        <v>3430</v>
      </c>
      <c r="I4650">
        <v>5102</v>
      </c>
      <c r="J4650" s="3">
        <v>107.82</v>
      </c>
      <c r="K4650" s="3">
        <v>54.84</v>
      </c>
      <c r="L4650">
        <v>49.14</v>
      </c>
    </row>
    <row r="4651" spans="1:12">
      <c r="A4651" s="1">
        <v>46042</v>
      </c>
      <c r="B4651" t="s">
        <v>7618</v>
      </c>
      <c r="C4651">
        <v>12</v>
      </c>
      <c r="D4651" t="str">
        <f>VLOOKUP(Tabela26[[#This Row],[EMP]],[1]LOJA!$A:$B,2,0)</f>
        <v>SOFNORTE</v>
      </c>
      <c r="E4651">
        <v>60</v>
      </c>
      <c r="F4651" t="s">
        <v>7617</v>
      </c>
      <c r="G4651" t="s">
        <v>3402</v>
      </c>
      <c r="H4651" t="s">
        <v>3401</v>
      </c>
      <c r="I4651">
        <v>5405</v>
      </c>
      <c r="J4651" s="3">
        <v>59</v>
      </c>
      <c r="K4651" s="3">
        <v>26.36</v>
      </c>
      <c r="L4651">
        <v>55.32</v>
      </c>
    </row>
    <row r="4652" spans="1:12">
      <c r="A4652" s="1">
        <v>46042</v>
      </c>
      <c r="B4652" t="s">
        <v>7616</v>
      </c>
      <c r="C4652">
        <v>12</v>
      </c>
      <c r="D4652" t="str">
        <f>VLOOKUP(Tabela26[[#This Row],[EMP]],[1]LOJA!$A:$B,2,0)</f>
        <v>SOFNORTE</v>
      </c>
      <c r="E4652">
        <v>60</v>
      </c>
      <c r="F4652" t="s">
        <v>3687</v>
      </c>
      <c r="G4652" t="s">
        <v>3686</v>
      </c>
      <c r="H4652" t="s">
        <v>3401</v>
      </c>
      <c r="I4652">
        <v>5102</v>
      </c>
      <c r="J4652" s="3">
        <v>198</v>
      </c>
      <c r="K4652" s="3">
        <v>102.38</v>
      </c>
      <c r="L4652">
        <v>48.29</v>
      </c>
    </row>
    <row r="4653" spans="1:12">
      <c r="A4653" s="1">
        <v>46042</v>
      </c>
      <c r="B4653" t="s">
        <v>7615</v>
      </c>
      <c r="C4653">
        <v>12</v>
      </c>
      <c r="D4653" t="str">
        <f>VLOOKUP(Tabela26[[#This Row],[EMP]],[1]LOJA!$A:$B,2,0)</f>
        <v>SOFNORTE</v>
      </c>
      <c r="E4653">
        <v>60</v>
      </c>
      <c r="F4653" t="s">
        <v>3737</v>
      </c>
      <c r="G4653" t="s">
        <v>3736</v>
      </c>
      <c r="H4653" t="s">
        <v>3520</v>
      </c>
      <c r="I4653">
        <v>5405</v>
      </c>
      <c r="J4653" s="3">
        <v>64</v>
      </c>
      <c r="K4653" s="3">
        <v>30.25</v>
      </c>
      <c r="L4653">
        <v>52.73</v>
      </c>
    </row>
    <row r="4654" spans="1:12">
      <c r="A4654" s="1">
        <v>46042</v>
      </c>
      <c r="B4654" t="s">
        <v>7614</v>
      </c>
      <c r="C4654">
        <v>12</v>
      </c>
      <c r="D4654" t="str">
        <f>VLOOKUP(Tabela26[[#This Row],[EMP]],[1]LOJA!$A:$B,2,0)</f>
        <v>SOFNORTE</v>
      </c>
      <c r="E4654">
        <v>239</v>
      </c>
      <c r="F4654" t="s">
        <v>7613</v>
      </c>
      <c r="G4654" t="s">
        <v>3402</v>
      </c>
      <c r="H4654" t="s">
        <v>3408</v>
      </c>
      <c r="I4654">
        <v>5405</v>
      </c>
      <c r="J4654" s="3">
        <v>520</v>
      </c>
      <c r="K4654" s="3">
        <v>233.76</v>
      </c>
      <c r="L4654">
        <v>55.05</v>
      </c>
    </row>
    <row r="4655" spans="1:12">
      <c r="A4655" s="1">
        <v>46042</v>
      </c>
      <c r="B4655" t="s">
        <v>7612</v>
      </c>
      <c r="C4655">
        <v>12</v>
      </c>
      <c r="D4655" t="str">
        <f>VLOOKUP(Tabela26[[#This Row],[EMP]],[1]LOJA!$A:$B,2,0)</f>
        <v>SOFNORTE</v>
      </c>
      <c r="E4655">
        <v>60</v>
      </c>
      <c r="F4655" t="s">
        <v>4458</v>
      </c>
      <c r="G4655" t="s">
        <v>4457</v>
      </c>
      <c r="H4655" t="s">
        <v>7609</v>
      </c>
      <c r="I4655">
        <v>5102</v>
      </c>
      <c r="J4655" s="3">
        <v>115</v>
      </c>
      <c r="K4655" s="3">
        <v>54.16</v>
      </c>
      <c r="L4655">
        <v>52.9</v>
      </c>
    </row>
    <row r="4656" spans="1:12">
      <c r="A4656" s="1">
        <v>46042</v>
      </c>
      <c r="B4656" t="s">
        <v>7611</v>
      </c>
      <c r="C4656">
        <v>12</v>
      </c>
      <c r="D4656" t="str">
        <f>VLOOKUP(Tabela26[[#This Row],[EMP]],[1]LOJA!$A:$B,2,0)</f>
        <v>SOFNORTE</v>
      </c>
      <c r="E4656">
        <v>60</v>
      </c>
      <c r="F4656" t="s">
        <v>5620</v>
      </c>
      <c r="G4656" t="s">
        <v>5619</v>
      </c>
      <c r="H4656" t="s">
        <v>3408</v>
      </c>
      <c r="I4656">
        <v>5405</v>
      </c>
      <c r="J4656" s="3">
        <v>565</v>
      </c>
      <c r="K4656" s="3">
        <v>297.7</v>
      </c>
      <c r="L4656">
        <v>47.31</v>
      </c>
    </row>
    <row r="4657" spans="1:12">
      <c r="A4657" s="1">
        <v>46042</v>
      </c>
      <c r="B4657" t="s">
        <v>7610</v>
      </c>
      <c r="C4657">
        <v>12</v>
      </c>
      <c r="D4657" t="str">
        <f>VLOOKUP(Tabela26[[#This Row],[EMP]],[1]LOJA!$A:$B,2,0)</f>
        <v>SOFNORTE</v>
      </c>
      <c r="E4657">
        <v>60</v>
      </c>
      <c r="F4657" t="s">
        <v>3691</v>
      </c>
      <c r="G4657" t="s">
        <v>3690</v>
      </c>
      <c r="H4657" t="s">
        <v>7609</v>
      </c>
      <c r="I4657">
        <v>5102</v>
      </c>
      <c r="J4657" s="3">
        <v>114</v>
      </c>
      <c r="K4657" s="3">
        <v>51.28</v>
      </c>
      <c r="L4657">
        <v>55.02</v>
      </c>
    </row>
    <row r="4658" spans="1:12">
      <c r="A4658" s="1">
        <v>46042</v>
      </c>
      <c r="B4658" t="s">
        <v>7608</v>
      </c>
      <c r="C4658">
        <v>12</v>
      </c>
      <c r="D4658" t="str">
        <f>VLOOKUP(Tabela26[[#This Row],[EMP]],[1]LOJA!$A:$B,2,0)</f>
        <v>SOFNORTE</v>
      </c>
      <c r="E4658">
        <v>239</v>
      </c>
      <c r="F4658" t="s">
        <v>3403</v>
      </c>
      <c r="G4658" t="s">
        <v>3402</v>
      </c>
      <c r="H4658" t="s">
        <v>3401</v>
      </c>
      <c r="I4658">
        <v>5102</v>
      </c>
      <c r="J4658" s="3">
        <v>24.9</v>
      </c>
      <c r="K4658" s="3">
        <v>11.24</v>
      </c>
      <c r="L4658">
        <v>54.86</v>
      </c>
    </row>
    <row r="4659" spans="1:12">
      <c r="A4659" s="1">
        <v>46042</v>
      </c>
      <c r="B4659" t="s">
        <v>7607</v>
      </c>
      <c r="C4659">
        <v>12</v>
      </c>
      <c r="D4659" t="str">
        <f>VLOOKUP(Tabela26[[#This Row],[EMP]],[1]LOJA!$A:$B,2,0)</f>
        <v>SOFNORTE</v>
      </c>
      <c r="E4659">
        <v>60</v>
      </c>
      <c r="F4659" t="s">
        <v>3704</v>
      </c>
      <c r="G4659" t="s">
        <v>3703</v>
      </c>
      <c r="H4659" t="s">
        <v>3408</v>
      </c>
      <c r="I4659">
        <v>5102</v>
      </c>
      <c r="J4659" s="3">
        <v>230</v>
      </c>
      <c r="K4659" s="3">
        <v>111.72</v>
      </c>
      <c r="L4659">
        <v>51.43</v>
      </c>
    </row>
    <row r="4660" spans="1:12">
      <c r="A4660" s="1">
        <v>46042</v>
      </c>
      <c r="B4660" t="s">
        <v>7606</v>
      </c>
      <c r="C4660">
        <v>12</v>
      </c>
      <c r="D4660" t="str">
        <f>VLOOKUP(Tabela26[[#This Row],[EMP]],[1]LOJA!$A:$B,2,0)</f>
        <v>SOFNORTE</v>
      </c>
      <c r="E4660">
        <v>60</v>
      </c>
      <c r="F4660" t="s">
        <v>4466</v>
      </c>
      <c r="G4660" t="s">
        <v>4465</v>
      </c>
      <c r="H4660" t="s">
        <v>3401</v>
      </c>
      <c r="I4660">
        <v>5102</v>
      </c>
      <c r="J4660" s="3">
        <v>6.5</v>
      </c>
      <c r="K4660" s="3">
        <v>3.08</v>
      </c>
      <c r="L4660">
        <v>52.62</v>
      </c>
    </row>
    <row r="4661" spans="1:12">
      <c r="A4661" s="1">
        <v>46042</v>
      </c>
      <c r="B4661" t="s">
        <v>7605</v>
      </c>
      <c r="C4661">
        <v>12</v>
      </c>
      <c r="D4661" t="str">
        <f>VLOOKUP(Tabela26[[#This Row],[EMP]],[1]LOJA!$A:$B,2,0)</f>
        <v>SOFNORTE</v>
      </c>
      <c r="E4661">
        <v>60</v>
      </c>
      <c r="F4661" t="s">
        <v>3709</v>
      </c>
      <c r="G4661" t="s">
        <v>3708</v>
      </c>
      <c r="H4661" t="s">
        <v>3401</v>
      </c>
      <c r="I4661">
        <v>5405</v>
      </c>
      <c r="J4661" s="3">
        <v>249</v>
      </c>
      <c r="K4661" s="3">
        <v>122.04</v>
      </c>
      <c r="L4661">
        <v>50.99</v>
      </c>
    </row>
    <row r="4662" spans="1:12">
      <c r="A4662" s="1">
        <v>46042</v>
      </c>
      <c r="B4662" t="s">
        <v>7604</v>
      </c>
      <c r="C4662">
        <v>12</v>
      </c>
      <c r="D4662" t="str">
        <f>VLOOKUP(Tabela26[[#This Row],[EMP]],[1]LOJA!$A:$B,2,0)</f>
        <v>SOFNORTE</v>
      </c>
      <c r="E4662">
        <v>60</v>
      </c>
      <c r="F4662" t="s">
        <v>5620</v>
      </c>
      <c r="G4662" t="s">
        <v>5619</v>
      </c>
      <c r="H4662" t="s">
        <v>3401</v>
      </c>
      <c r="I4662">
        <v>5102</v>
      </c>
      <c r="J4662" s="3">
        <v>42.9</v>
      </c>
      <c r="K4662" s="3">
        <v>25.8</v>
      </c>
      <c r="L4662">
        <v>39.86</v>
      </c>
    </row>
    <row r="4663" spans="1:12">
      <c r="A4663" s="1">
        <v>46042</v>
      </c>
      <c r="B4663" t="s">
        <v>7603</v>
      </c>
      <c r="C4663">
        <v>12</v>
      </c>
      <c r="D4663" t="str">
        <f>VLOOKUP(Tabela26[[#This Row],[EMP]],[1]LOJA!$A:$B,2,0)</f>
        <v>SOFNORTE</v>
      </c>
      <c r="E4663">
        <v>239</v>
      </c>
      <c r="F4663" t="s">
        <v>3722</v>
      </c>
      <c r="G4663" t="s">
        <v>3721</v>
      </c>
      <c r="H4663" t="s">
        <v>3401</v>
      </c>
      <c r="I4663">
        <v>5102</v>
      </c>
      <c r="J4663" s="3">
        <v>148</v>
      </c>
      <c r="K4663" s="3">
        <v>74.14</v>
      </c>
      <c r="L4663">
        <v>49.91</v>
      </c>
    </row>
    <row r="4664" spans="1:12">
      <c r="A4664" s="1">
        <v>46042</v>
      </c>
      <c r="B4664" t="s">
        <v>7602</v>
      </c>
      <c r="C4664">
        <v>12</v>
      </c>
      <c r="D4664" t="str">
        <f>VLOOKUP(Tabela26[[#This Row],[EMP]],[1]LOJA!$A:$B,2,0)</f>
        <v>SOFNORTE</v>
      </c>
      <c r="E4664">
        <v>60</v>
      </c>
      <c r="F4664" t="s">
        <v>3722</v>
      </c>
      <c r="G4664" t="s">
        <v>3721</v>
      </c>
      <c r="H4664" t="s">
        <v>3408</v>
      </c>
      <c r="I4664">
        <v>5405</v>
      </c>
      <c r="J4664" s="3">
        <v>33</v>
      </c>
      <c r="K4664" s="3">
        <v>15.38</v>
      </c>
      <c r="L4664">
        <v>53.39</v>
      </c>
    </row>
    <row r="4665" spans="1:12">
      <c r="A4665" s="1">
        <v>46042</v>
      </c>
      <c r="B4665" t="s">
        <v>7601</v>
      </c>
      <c r="C4665">
        <v>12</v>
      </c>
      <c r="D4665" t="str">
        <f>VLOOKUP(Tabela26[[#This Row],[EMP]],[1]LOJA!$A:$B,2,0)</f>
        <v>SOFNORTE</v>
      </c>
      <c r="E4665">
        <v>60</v>
      </c>
      <c r="F4665" t="s">
        <v>3704</v>
      </c>
      <c r="G4665" t="s">
        <v>3703</v>
      </c>
      <c r="H4665" t="s">
        <v>3408</v>
      </c>
      <c r="I4665">
        <v>5102</v>
      </c>
      <c r="J4665" s="3">
        <v>42</v>
      </c>
      <c r="K4665" s="3">
        <v>23.2</v>
      </c>
      <c r="L4665">
        <v>44.76</v>
      </c>
    </row>
    <row r="4666" spans="1:12">
      <c r="A4666" s="1">
        <v>46042</v>
      </c>
      <c r="B4666" t="s">
        <v>7600</v>
      </c>
      <c r="C4666">
        <v>12</v>
      </c>
      <c r="D4666" t="str">
        <f>VLOOKUP(Tabela26[[#This Row],[EMP]],[1]LOJA!$A:$B,2,0)</f>
        <v>SOFNORTE</v>
      </c>
      <c r="E4666">
        <v>60</v>
      </c>
      <c r="F4666" t="s">
        <v>3698</v>
      </c>
      <c r="G4666" t="s">
        <v>3697</v>
      </c>
      <c r="H4666" t="s">
        <v>3408</v>
      </c>
      <c r="I4666">
        <v>5102</v>
      </c>
      <c r="J4666" s="3">
        <v>226</v>
      </c>
      <c r="K4666" s="3">
        <v>120.68</v>
      </c>
      <c r="L4666">
        <v>46.6</v>
      </c>
    </row>
    <row r="4667" spans="1:12">
      <c r="A4667" s="1">
        <v>46042</v>
      </c>
      <c r="B4667" t="s">
        <v>7599</v>
      </c>
      <c r="C4667">
        <v>12</v>
      </c>
      <c r="D4667" t="str">
        <f>VLOOKUP(Tabela26[[#This Row],[EMP]],[1]LOJA!$A:$B,2,0)</f>
        <v>SOFNORTE</v>
      </c>
      <c r="E4667">
        <v>60</v>
      </c>
      <c r="F4667" t="s">
        <v>3701</v>
      </c>
      <c r="G4667" t="s">
        <v>3700</v>
      </c>
      <c r="H4667" t="s">
        <v>3408</v>
      </c>
      <c r="I4667">
        <v>5102</v>
      </c>
      <c r="J4667" s="3">
        <v>36</v>
      </c>
      <c r="K4667" s="3">
        <v>18</v>
      </c>
      <c r="L4667">
        <v>50</v>
      </c>
    </row>
    <row r="4668" spans="1:12">
      <c r="A4668" s="1">
        <v>46042</v>
      </c>
      <c r="B4668" t="s">
        <v>7598</v>
      </c>
      <c r="C4668">
        <v>12</v>
      </c>
      <c r="D4668" t="str">
        <f>VLOOKUP(Tabela26[[#This Row],[EMP]],[1]LOJA!$A:$B,2,0)</f>
        <v>SOFNORTE</v>
      </c>
      <c r="E4668">
        <v>239</v>
      </c>
      <c r="F4668" t="s">
        <v>3709</v>
      </c>
      <c r="G4668" t="s">
        <v>3708</v>
      </c>
      <c r="H4668" t="s">
        <v>3401</v>
      </c>
      <c r="I4668">
        <v>5102</v>
      </c>
      <c r="J4668" s="3">
        <v>80</v>
      </c>
      <c r="K4668" s="3">
        <v>47.38</v>
      </c>
      <c r="L4668">
        <v>40.78</v>
      </c>
    </row>
    <row r="4669" spans="1:12">
      <c r="A4669" s="1">
        <v>46042</v>
      </c>
      <c r="B4669" t="s">
        <v>7597</v>
      </c>
      <c r="C4669">
        <v>12</v>
      </c>
      <c r="D4669" t="str">
        <f>VLOOKUP(Tabela26[[#This Row],[EMP]],[1]LOJA!$A:$B,2,0)</f>
        <v>SOFNORTE</v>
      </c>
      <c r="E4669">
        <v>239</v>
      </c>
      <c r="F4669" t="s">
        <v>3722</v>
      </c>
      <c r="G4669" t="s">
        <v>3721</v>
      </c>
      <c r="H4669" t="s">
        <v>3408</v>
      </c>
      <c r="I4669">
        <v>5102</v>
      </c>
      <c r="J4669" s="3">
        <v>85</v>
      </c>
      <c r="K4669" s="3">
        <v>47.38</v>
      </c>
      <c r="L4669">
        <v>44.26</v>
      </c>
    </row>
    <row r="4670" spans="1:12">
      <c r="A4670" s="1">
        <v>46042</v>
      </c>
      <c r="B4670" t="s">
        <v>7596</v>
      </c>
      <c r="C4670">
        <v>12</v>
      </c>
      <c r="D4670" t="str">
        <f>VLOOKUP(Tabela26[[#This Row],[EMP]],[1]LOJA!$A:$B,2,0)</f>
        <v>SOFNORTE</v>
      </c>
      <c r="E4670">
        <v>239</v>
      </c>
      <c r="F4670" t="s">
        <v>3715</v>
      </c>
      <c r="G4670" t="s">
        <v>3714</v>
      </c>
      <c r="H4670" t="s">
        <v>3401</v>
      </c>
      <c r="I4670">
        <v>5102</v>
      </c>
      <c r="J4670" s="3">
        <v>22</v>
      </c>
      <c r="K4670" s="3">
        <v>11.2</v>
      </c>
      <c r="L4670">
        <v>49.09</v>
      </c>
    </row>
    <row r="4671" spans="1:12">
      <c r="A4671" s="1">
        <v>46042</v>
      </c>
      <c r="B4671" t="s">
        <v>7595</v>
      </c>
      <c r="C4671">
        <v>14</v>
      </c>
      <c r="D4671" t="str">
        <f>VLOOKUP(Tabela26[[#This Row],[EMP]],[1]LOJA!$A:$B,2,0)</f>
        <v>S IA</v>
      </c>
      <c r="E4671">
        <v>54</v>
      </c>
      <c r="F4671" t="s">
        <v>7111</v>
      </c>
      <c r="G4671" t="s">
        <v>3402</v>
      </c>
      <c r="H4671" t="s">
        <v>3408</v>
      </c>
      <c r="I4671">
        <v>5405</v>
      </c>
      <c r="J4671" s="3">
        <v>125</v>
      </c>
      <c r="K4671" s="3">
        <v>59.56</v>
      </c>
      <c r="L4671">
        <v>52.35</v>
      </c>
    </row>
    <row r="4672" spans="1:12">
      <c r="A4672" s="1">
        <v>46042</v>
      </c>
      <c r="B4672" t="s">
        <v>7594</v>
      </c>
      <c r="C4672">
        <v>14</v>
      </c>
      <c r="D4672" t="str">
        <f>VLOOKUP(Tabela26[[#This Row],[EMP]],[1]LOJA!$A:$B,2,0)</f>
        <v>S IA</v>
      </c>
      <c r="E4672">
        <v>54</v>
      </c>
      <c r="F4672" t="s">
        <v>4424</v>
      </c>
      <c r="G4672" t="s">
        <v>3402</v>
      </c>
      <c r="H4672" t="s">
        <v>3401</v>
      </c>
      <c r="I4672">
        <v>5102</v>
      </c>
      <c r="J4672" s="3">
        <v>579</v>
      </c>
      <c r="K4672" s="3">
        <v>282.39</v>
      </c>
      <c r="L4672">
        <v>51.23</v>
      </c>
    </row>
    <row r="4673" spans="1:12">
      <c r="A4673" s="1">
        <v>46042</v>
      </c>
      <c r="B4673" t="s">
        <v>7593</v>
      </c>
      <c r="C4673">
        <v>14</v>
      </c>
      <c r="D4673" t="str">
        <f>VLOOKUP(Tabela26[[#This Row],[EMP]],[1]LOJA!$A:$B,2,0)</f>
        <v>S IA</v>
      </c>
      <c r="E4673">
        <v>54</v>
      </c>
      <c r="F4673" t="s">
        <v>4424</v>
      </c>
      <c r="G4673" t="s">
        <v>3402</v>
      </c>
      <c r="H4673" t="s">
        <v>3408</v>
      </c>
      <c r="I4673">
        <v>5405</v>
      </c>
      <c r="J4673" s="3">
        <v>349</v>
      </c>
      <c r="K4673" s="3">
        <v>149.18</v>
      </c>
      <c r="L4673">
        <v>57.26</v>
      </c>
    </row>
    <row r="4674" spans="1:12">
      <c r="A4674" s="1">
        <v>46042</v>
      </c>
      <c r="B4674" t="s">
        <v>7592</v>
      </c>
      <c r="C4674">
        <v>14</v>
      </c>
      <c r="D4674" t="str">
        <f>VLOOKUP(Tabela26[[#This Row],[EMP]],[1]LOJA!$A:$B,2,0)</f>
        <v>S IA</v>
      </c>
      <c r="E4674">
        <v>54</v>
      </c>
      <c r="F4674" t="s">
        <v>7115</v>
      </c>
      <c r="G4674" t="s">
        <v>3402</v>
      </c>
      <c r="H4674" t="s">
        <v>3408</v>
      </c>
      <c r="I4674">
        <v>5102</v>
      </c>
      <c r="J4674" s="3">
        <v>9</v>
      </c>
      <c r="K4674" s="3">
        <v>4.16</v>
      </c>
      <c r="L4674">
        <v>53.78</v>
      </c>
    </row>
    <row r="4675" spans="1:12">
      <c r="A4675" s="1">
        <v>46042</v>
      </c>
      <c r="B4675" t="s">
        <v>7591</v>
      </c>
      <c r="C4675">
        <v>14</v>
      </c>
      <c r="D4675" t="str">
        <f>VLOOKUP(Tabela26[[#This Row],[EMP]],[1]LOJA!$A:$B,2,0)</f>
        <v>S IA</v>
      </c>
      <c r="E4675">
        <v>54</v>
      </c>
      <c r="F4675" t="s">
        <v>3403</v>
      </c>
      <c r="G4675" t="s">
        <v>3402</v>
      </c>
      <c r="H4675" t="s">
        <v>3401</v>
      </c>
      <c r="I4675">
        <v>5405</v>
      </c>
      <c r="J4675" s="3">
        <v>59</v>
      </c>
      <c r="K4675" s="3">
        <v>31.28</v>
      </c>
      <c r="L4675">
        <v>46.98</v>
      </c>
    </row>
    <row r="4676" spans="1:12">
      <c r="A4676" s="1">
        <v>46042</v>
      </c>
      <c r="B4676" t="s">
        <v>7590</v>
      </c>
      <c r="C4676">
        <v>14</v>
      </c>
      <c r="D4676" t="str">
        <f>VLOOKUP(Tabela26[[#This Row],[EMP]],[1]LOJA!$A:$B,2,0)</f>
        <v>S IA</v>
      </c>
      <c r="E4676">
        <v>212</v>
      </c>
      <c r="F4676" t="s">
        <v>3403</v>
      </c>
      <c r="G4676" t="s">
        <v>3402</v>
      </c>
      <c r="H4676" t="s">
        <v>3401</v>
      </c>
      <c r="I4676">
        <v>5405</v>
      </c>
      <c r="J4676" s="3">
        <v>50.6</v>
      </c>
      <c r="K4676" s="3">
        <v>20.57</v>
      </c>
      <c r="L4676">
        <v>59.35</v>
      </c>
    </row>
    <row r="4677" spans="1:12">
      <c r="A4677" s="1">
        <v>46042</v>
      </c>
      <c r="B4677" t="s">
        <v>7589</v>
      </c>
      <c r="C4677">
        <v>14</v>
      </c>
      <c r="D4677" t="str">
        <f>VLOOKUP(Tabela26[[#This Row],[EMP]],[1]LOJA!$A:$B,2,0)</f>
        <v>S IA</v>
      </c>
      <c r="E4677">
        <v>212</v>
      </c>
      <c r="F4677" t="s">
        <v>3403</v>
      </c>
      <c r="G4677" t="s">
        <v>3402</v>
      </c>
      <c r="H4677" t="s">
        <v>3401</v>
      </c>
      <c r="I4677">
        <v>5102</v>
      </c>
      <c r="J4677" s="3">
        <v>54</v>
      </c>
      <c r="K4677" s="3">
        <v>28.16</v>
      </c>
      <c r="L4677">
        <v>47.85</v>
      </c>
    </row>
    <row r="4678" spans="1:12">
      <c r="A4678" s="1">
        <v>46042</v>
      </c>
      <c r="B4678" t="s">
        <v>7588</v>
      </c>
      <c r="C4678">
        <v>14</v>
      </c>
      <c r="D4678" t="str">
        <f>VLOOKUP(Tabela26[[#This Row],[EMP]],[1]LOJA!$A:$B,2,0)</f>
        <v>S IA</v>
      </c>
      <c r="E4678">
        <v>54</v>
      </c>
      <c r="F4678" t="s">
        <v>5251</v>
      </c>
      <c r="G4678" t="s">
        <v>7587</v>
      </c>
      <c r="H4678" t="s">
        <v>3401</v>
      </c>
      <c r="I4678">
        <v>5102</v>
      </c>
      <c r="J4678" s="3">
        <v>9</v>
      </c>
      <c r="K4678" s="3">
        <v>4.16</v>
      </c>
      <c r="L4678">
        <v>53.78</v>
      </c>
    </row>
    <row r="4679" spans="1:12">
      <c r="A4679" s="1">
        <v>46042</v>
      </c>
      <c r="B4679" t="s">
        <v>7586</v>
      </c>
      <c r="C4679">
        <v>14</v>
      </c>
      <c r="D4679" t="str">
        <f>VLOOKUP(Tabela26[[#This Row],[EMP]],[1]LOJA!$A:$B,2,0)</f>
        <v>S IA</v>
      </c>
      <c r="E4679">
        <v>212</v>
      </c>
      <c r="F4679" t="s">
        <v>7585</v>
      </c>
      <c r="G4679" t="s">
        <v>7584</v>
      </c>
      <c r="H4679" t="s">
        <v>3401</v>
      </c>
      <c r="I4679">
        <v>5405</v>
      </c>
      <c r="J4679" s="3">
        <v>52</v>
      </c>
      <c r="K4679" s="3">
        <v>18.59</v>
      </c>
      <c r="L4679">
        <v>64.25</v>
      </c>
    </row>
    <row r="4680" spans="1:12">
      <c r="A4680" s="1">
        <v>46042</v>
      </c>
      <c r="B4680" t="s">
        <v>7583</v>
      </c>
      <c r="C4680">
        <v>14</v>
      </c>
      <c r="D4680" t="str">
        <f>VLOOKUP(Tabela26[[#This Row],[EMP]],[1]LOJA!$A:$B,2,0)</f>
        <v>S IA</v>
      </c>
      <c r="E4680">
        <v>54</v>
      </c>
      <c r="F4680" t="s">
        <v>3403</v>
      </c>
      <c r="G4680" t="s">
        <v>3402</v>
      </c>
      <c r="H4680" t="s">
        <v>3408</v>
      </c>
      <c r="I4680">
        <v>5405</v>
      </c>
      <c r="J4680" s="3">
        <v>90</v>
      </c>
      <c r="K4680" s="3">
        <v>42.08</v>
      </c>
      <c r="L4680">
        <v>53.24</v>
      </c>
    </row>
    <row r="4681" spans="1:12">
      <c r="A4681" s="1">
        <v>46042</v>
      </c>
      <c r="B4681" t="s">
        <v>7582</v>
      </c>
      <c r="C4681">
        <v>14</v>
      </c>
      <c r="D4681" t="str">
        <f>VLOOKUP(Tabela26[[#This Row],[EMP]],[1]LOJA!$A:$B,2,0)</f>
        <v>S IA</v>
      </c>
      <c r="E4681">
        <v>54</v>
      </c>
      <c r="F4681" t="s">
        <v>3403</v>
      </c>
      <c r="G4681" t="s">
        <v>7581</v>
      </c>
      <c r="H4681" t="s">
        <v>3408</v>
      </c>
      <c r="I4681">
        <v>5102</v>
      </c>
      <c r="J4681" s="3">
        <v>190</v>
      </c>
      <c r="K4681" s="3">
        <v>88.57</v>
      </c>
      <c r="L4681">
        <v>53.38</v>
      </c>
    </row>
    <row r="4682" spans="1:12">
      <c r="A4682" s="1">
        <v>46042</v>
      </c>
      <c r="B4682" t="s">
        <v>7580</v>
      </c>
      <c r="C4682">
        <v>14</v>
      </c>
      <c r="D4682" t="str">
        <f>VLOOKUP(Tabela26[[#This Row],[EMP]],[1]LOJA!$A:$B,2,0)</f>
        <v>S IA</v>
      </c>
      <c r="E4682">
        <v>54</v>
      </c>
      <c r="F4682" t="s">
        <v>3403</v>
      </c>
      <c r="G4682" t="s">
        <v>3402</v>
      </c>
      <c r="H4682" t="s">
        <v>3401</v>
      </c>
      <c r="I4682">
        <v>5102</v>
      </c>
      <c r="J4682" s="3">
        <v>250</v>
      </c>
      <c r="K4682" s="3">
        <v>119.84</v>
      </c>
      <c r="L4682">
        <v>52.06</v>
      </c>
    </row>
    <row r="4683" spans="1:12">
      <c r="A4683" s="1">
        <v>46042</v>
      </c>
      <c r="B4683" t="s">
        <v>7579</v>
      </c>
      <c r="C4683">
        <v>14</v>
      </c>
      <c r="D4683" t="str">
        <f>VLOOKUP(Tabela26[[#This Row],[EMP]],[1]LOJA!$A:$B,2,0)</f>
        <v>S IA</v>
      </c>
      <c r="E4683">
        <v>54</v>
      </c>
      <c r="F4683" t="s">
        <v>3403</v>
      </c>
      <c r="G4683" t="s">
        <v>3402</v>
      </c>
      <c r="H4683" t="s">
        <v>3401</v>
      </c>
      <c r="I4683">
        <v>5102</v>
      </c>
      <c r="J4683" s="3">
        <v>178</v>
      </c>
      <c r="K4683" s="3">
        <v>94.07</v>
      </c>
      <c r="L4683">
        <v>47.15</v>
      </c>
    </row>
    <row r="4684" spans="1:12">
      <c r="A4684" s="1">
        <v>46042</v>
      </c>
      <c r="B4684" t="s">
        <v>7578</v>
      </c>
      <c r="C4684">
        <v>14</v>
      </c>
      <c r="D4684" t="str">
        <f>VLOOKUP(Tabela26[[#This Row],[EMP]],[1]LOJA!$A:$B,2,0)</f>
        <v>S IA</v>
      </c>
      <c r="E4684">
        <v>212</v>
      </c>
      <c r="F4684" t="s">
        <v>7577</v>
      </c>
      <c r="G4684" t="s">
        <v>7576</v>
      </c>
      <c r="H4684" t="s">
        <v>3401</v>
      </c>
      <c r="I4684">
        <v>5102</v>
      </c>
      <c r="J4684" s="3">
        <v>63</v>
      </c>
      <c r="K4684" s="3">
        <v>37.619999999999997</v>
      </c>
      <c r="L4684">
        <v>40.29</v>
      </c>
    </row>
    <row r="4685" spans="1:12">
      <c r="A4685" s="1">
        <v>46042</v>
      </c>
      <c r="B4685" t="s">
        <v>7575</v>
      </c>
      <c r="C4685">
        <v>14</v>
      </c>
      <c r="D4685" t="str">
        <f>VLOOKUP(Tabela26[[#This Row],[EMP]],[1]LOJA!$A:$B,2,0)</f>
        <v>S IA</v>
      </c>
      <c r="E4685">
        <v>54</v>
      </c>
      <c r="F4685" t="s">
        <v>3769</v>
      </c>
      <c r="G4685" t="s">
        <v>3768</v>
      </c>
      <c r="H4685" t="s">
        <v>3401</v>
      </c>
      <c r="I4685">
        <v>5102</v>
      </c>
      <c r="J4685" s="3">
        <v>80</v>
      </c>
      <c r="K4685" s="3">
        <v>43.47</v>
      </c>
      <c r="L4685">
        <v>45.66</v>
      </c>
    </row>
    <row r="4686" spans="1:12">
      <c r="A4686" s="1">
        <v>46042</v>
      </c>
      <c r="B4686" t="s">
        <v>7574</v>
      </c>
      <c r="C4686">
        <v>14</v>
      </c>
      <c r="D4686" t="str">
        <f>VLOOKUP(Tabela26[[#This Row],[EMP]],[1]LOJA!$A:$B,2,0)</f>
        <v>S IA</v>
      </c>
      <c r="E4686">
        <v>54</v>
      </c>
      <c r="F4686" t="s">
        <v>7573</v>
      </c>
      <c r="G4686" t="s">
        <v>7572</v>
      </c>
      <c r="H4686" t="s">
        <v>3401</v>
      </c>
      <c r="I4686">
        <v>5102</v>
      </c>
      <c r="J4686" s="3">
        <v>178.27</v>
      </c>
      <c r="K4686" s="3">
        <v>98.26</v>
      </c>
      <c r="L4686">
        <v>44.88</v>
      </c>
    </row>
    <row r="4687" spans="1:12">
      <c r="A4687" s="1">
        <v>46042</v>
      </c>
      <c r="B4687" t="s">
        <v>7571</v>
      </c>
      <c r="C4687">
        <v>14</v>
      </c>
      <c r="D4687" t="str">
        <f>VLOOKUP(Tabela26[[#This Row],[EMP]],[1]LOJA!$A:$B,2,0)</f>
        <v>S IA</v>
      </c>
      <c r="E4687">
        <v>54</v>
      </c>
      <c r="F4687" t="s">
        <v>3403</v>
      </c>
      <c r="G4687" t="s">
        <v>3402</v>
      </c>
      <c r="H4687" t="s">
        <v>3401</v>
      </c>
      <c r="I4687">
        <v>5102</v>
      </c>
      <c r="J4687" s="3">
        <v>19.8</v>
      </c>
      <c r="K4687" s="3">
        <v>8.32</v>
      </c>
      <c r="L4687">
        <v>57.98</v>
      </c>
    </row>
    <row r="4688" spans="1:12">
      <c r="A4688" s="1">
        <v>46042</v>
      </c>
      <c r="B4688" t="s">
        <v>7570</v>
      </c>
      <c r="C4688">
        <v>4</v>
      </c>
      <c r="D4688" t="str">
        <f>VLOOKUP(Tabela26[[#This Row],[EMP]],[1]LOJA!$A:$B,2,0)</f>
        <v>ADE</v>
      </c>
      <c r="E4688">
        <v>132</v>
      </c>
      <c r="F4688" t="s">
        <v>3677</v>
      </c>
      <c r="G4688" t="s">
        <v>3676</v>
      </c>
      <c r="H4688" t="s">
        <v>3679</v>
      </c>
      <c r="I4688">
        <v>5405</v>
      </c>
      <c r="J4688" s="3">
        <v>1819.9</v>
      </c>
      <c r="K4688" s="3">
        <v>1179.1400000000001</v>
      </c>
      <c r="L4688">
        <v>35.21</v>
      </c>
    </row>
    <row r="4689" spans="1:12">
      <c r="A4689" s="1">
        <v>46042</v>
      </c>
      <c r="B4689" t="s">
        <v>7569</v>
      </c>
      <c r="C4689">
        <v>4</v>
      </c>
      <c r="D4689" t="str">
        <f>VLOOKUP(Tabela26[[#This Row],[EMP]],[1]LOJA!$A:$B,2,0)</f>
        <v>ADE</v>
      </c>
      <c r="E4689">
        <v>132</v>
      </c>
      <c r="F4689" t="s">
        <v>3677</v>
      </c>
      <c r="G4689" t="s">
        <v>3676</v>
      </c>
      <c r="H4689" t="s">
        <v>3537</v>
      </c>
      <c r="I4689">
        <v>5102</v>
      </c>
      <c r="J4689" s="3">
        <v>222.7</v>
      </c>
      <c r="K4689" s="3">
        <v>128.33000000000001</v>
      </c>
      <c r="L4689">
        <v>42.38</v>
      </c>
    </row>
    <row r="4690" spans="1:12">
      <c r="A4690" s="1">
        <v>46042</v>
      </c>
      <c r="B4690" t="s">
        <v>7568</v>
      </c>
      <c r="C4690">
        <v>4</v>
      </c>
      <c r="D4690" t="str">
        <f>VLOOKUP(Tabela26[[#This Row],[EMP]],[1]LOJA!$A:$B,2,0)</f>
        <v>ADE</v>
      </c>
      <c r="E4690">
        <v>132</v>
      </c>
      <c r="F4690" t="s">
        <v>3664</v>
      </c>
      <c r="G4690" t="s">
        <v>3663</v>
      </c>
      <c r="H4690" t="s">
        <v>3430</v>
      </c>
      <c r="I4690">
        <v>5405</v>
      </c>
      <c r="J4690" s="3">
        <v>963.7</v>
      </c>
      <c r="K4690" s="3">
        <v>456.34</v>
      </c>
      <c r="L4690">
        <v>52.65</v>
      </c>
    </row>
    <row r="4691" spans="1:12">
      <c r="A4691" s="1">
        <v>46042</v>
      </c>
      <c r="B4691" t="s">
        <v>7567</v>
      </c>
      <c r="C4691">
        <v>4</v>
      </c>
      <c r="D4691" t="str">
        <f>VLOOKUP(Tabela26[[#This Row],[EMP]],[1]LOJA!$A:$B,2,0)</f>
        <v>ADE</v>
      </c>
      <c r="E4691">
        <v>132</v>
      </c>
      <c r="F4691" t="s">
        <v>3664</v>
      </c>
      <c r="G4691" t="s">
        <v>3663</v>
      </c>
      <c r="H4691" t="s">
        <v>3430</v>
      </c>
      <c r="I4691">
        <v>5405</v>
      </c>
      <c r="J4691" s="3">
        <v>754.2</v>
      </c>
      <c r="K4691" s="3">
        <v>466.16</v>
      </c>
      <c r="L4691">
        <v>38.19</v>
      </c>
    </row>
    <row r="4692" spans="1:12">
      <c r="A4692" s="1">
        <v>46042</v>
      </c>
      <c r="B4692" t="s">
        <v>7566</v>
      </c>
      <c r="C4692">
        <v>4</v>
      </c>
      <c r="D4692" t="str">
        <f>VLOOKUP(Tabela26[[#This Row],[EMP]],[1]LOJA!$A:$B,2,0)</f>
        <v>ADE</v>
      </c>
      <c r="E4692">
        <v>132</v>
      </c>
      <c r="F4692" t="s">
        <v>3660</v>
      </c>
      <c r="G4692" t="s">
        <v>3659</v>
      </c>
      <c r="H4692" t="s">
        <v>3430</v>
      </c>
      <c r="I4692">
        <v>5405</v>
      </c>
      <c r="J4692" s="3">
        <v>423.3</v>
      </c>
      <c r="K4692" s="3">
        <v>208.94</v>
      </c>
      <c r="L4692">
        <v>50.64</v>
      </c>
    </row>
    <row r="4693" spans="1:12">
      <c r="A4693" s="1">
        <v>46042</v>
      </c>
      <c r="B4693" t="s">
        <v>7565</v>
      </c>
      <c r="C4693">
        <v>4</v>
      </c>
      <c r="D4693" t="str">
        <f>VLOOKUP(Tabela26[[#This Row],[EMP]],[1]LOJA!$A:$B,2,0)</f>
        <v>ADE</v>
      </c>
      <c r="E4693">
        <v>132</v>
      </c>
      <c r="F4693" t="s">
        <v>3660</v>
      </c>
      <c r="G4693" t="s">
        <v>3659</v>
      </c>
      <c r="H4693" t="s">
        <v>3430</v>
      </c>
      <c r="I4693">
        <v>5405</v>
      </c>
      <c r="J4693" s="3">
        <v>51.21</v>
      </c>
      <c r="K4693" s="3">
        <v>20.46</v>
      </c>
      <c r="L4693">
        <v>60.05</v>
      </c>
    </row>
    <row r="4694" spans="1:12">
      <c r="A4694" s="1">
        <v>46042</v>
      </c>
      <c r="B4694" t="s">
        <v>7564</v>
      </c>
      <c r="C4694">
        <v>4</v>
      </c>
      <c r="D4694" t="str">
        <f>VLOOKUP(Tabela26[[#This Row],[EMP]],[1]LOJA!$A:$B,2,0)</f>
        <v>ADE</v>
      </c>
      <c r="E4694">
        <v>132</v>
      </c>
      <c r="F4694" t="s">
        <v>7563</v>
      </c>
      <c r="G4694" t="s">
        <v>7562</v>
      </c>
      <c r="H4694" t="s">
        <v>3408</v>
      </c>
      <c r="I4694">
        <v>5102</v>
      </c>
      <c r="J4694" s="3">
        <v>456.5</v>
      </c>
      <c r="K4694" s="3">
        <v>291.52</v>
      </c>
      <c r="L4694">
        <v>36.14</v>
      </c>
    </row>
    <row r="4695" spans="1:12">
      <c r="A4695" s="1">
        <v>46042</v>
      </c>
      <c r="B4695" t="s">
        <v>7561</v>
      </c>
      <c r="C4695">
        <v>13</v>
      </c>
      <c r="D4695" t="str">
        <f>VLOOKUP(Tabela26[[#This Row],[EMP]],[1]LOJA!$A:$B,2,0)</f>
        <v>CEILÂNDIA</v>
      </c>
      <c r="E4695">
        <v>86</v>
      </c>
      <c r="F4695" t="s">
        <v>3403</v>
      </c>
      <c r="G4695" t="s">
        <v>3402</v>
      </c>
      <c r="H4695" t="s">
        <v>3401</v>
      </c>
      <c r="I4695">
        <v>5102</v>
      </c>
      <c r="J4695" s="3">
        <v>21</v>
      </c>
      <c r="K4695" s="3">
        <v>11.1</v>
      </c>
      <c r="L4695">
        <v>47.14</v>
      </c>
    </row>
    <row r="4696" spans="1:12">
      <c r="A4696" s="1">
        <v>46042</v>
      </c>
      <c r="B4696" t="s">
        <v>7560</v>
      </c>
      <c r="C4696">
        <v>13</v>
      </c>
      <c r="D4696" t="str">
        <f>VLOOKUP(Tabela26[[#This Row],[EMP]],[1]LOJA!$A:$B,2,0)</f>
        <v>CEILÂNDIA</v>
      </c>
      <c r="E4696">
        <v>33</v>
      </c>
      <c r="F4696" t="s">
        <v>3602</v>
      </c>
      <c r="G4696" t="s">
        <v>3601</v>
      </c>
      <c r="H4696" t="s">
        <v>3401</v>
      </c>
      <c r="I4696">
        <v>5405</v>
      </c>
      <c r="J4696" s="3">
        <v>139</v>
      </c>
      <c r="K4696" s="3">
        <v>70.430000000000007</v>
      </c>
      <c r="L4696">
        <v>49.33</v>
      </c>
    </row>
    <row r="4697" spans="1:12">
      <c r="A4697" s="1">
        <v>46042</v>
      </c>
      <c r="B4697" t="s">
        <v>7559</v>
      </c>
      <c r="C4697">
        <v>13</v>
      </c>
      <c r="D4697" t="str">
        <f>VLOOKUP(Tabela26[[#This Row],[EMP]],[1]LOJA!$A:$B,2,0)</f>
        <v>CEILÂNDIA</v>
      </c>
      <c r="E4697">
        <v>86</v>
      </c>
      <c r="F4697" t="s">
        <v>3403</v>
      </c>
      <c r="G4697" t="s">
        <v>3402</v>
      </c>
      <c r="H4697" t="s">
        <v>3401</v>
      </c>
      <c r="I4697">
        <v>5405</v>
      </c>
      <c r="J4697" s="3">
        <v>285</v>
      </c>
      <c r="K4697" s="3">
        <v>165.12</v>
      </c>
      <c r="L4697">
        <v>42.06</v>
      </c>
    </row>
    <row r="4698" spans="1:12">
      <c r="A4698" s="1">
        <v>46042</v>
      </c>
      <c r="B4698" t="s">
        <v>7558</v>
      </c>
      <c r="C4698">
        <v>13</v>
      </c>
      <c r="D4698" t="str">
        <f>VLOOKUP(Tabela26[[#This Row],[EMP]],[1]LOJA!$A:$B,2,0)</f>
        <v>CEILÂNDIA</v>
      </c>
      <c r="E4698">
        <v>86</v>
      </c>
      <c r="F4698" t="s">
        <v>3406</v>
      </c>
      <c r="G4698" t="s">
        <v>3405</v>
      </c>
      <c r="H4698" t="s">
        <v>3408</v>
      </c>
      <c r="I4698">
        <v>5102</v>
      </c>
      <c r="J4698" s="3">
        <v>19</v>
      </c>
      <c r="K4698" s="3">
        <v>11.2</v>
      </c>
      <c r="L4698">
        <v>41.05</v>
      </c>
    </row>
    <row r="4699" spans="1:12">
      <c r="A4699" s="1">
        <v>46042</v>
      </c>
      <c r="B4699" t="s">
        <v>7557</v>
      </c>
      <c r="C4699">
        <v>13</v>
      </c>
      <c r="D4699" t="str">
        <f>VLOOKUP(Tabela26[[#This Row],[EMP]],[1]LOJA!$A:$B,2,0)</f>
        <v>CEILÂNDIA</v>
      </c>
      <c r="E4699">
        <v>86</v>
      </c>
      <c r="F4699" t="s">
        <v>3406</v>
      </c>
      <c r="G4699" t="s">
        <v>3405</v>
      </c>
      <c r="H4699" t="s">
        <v>3408</v>
      </c>
      <c r="I4699">
        <v>5102</v>
      </c>
      <c r="J4699" s="3">
        <v>33.700000000000003</v>
      </c>
      <c r="K4699" s="3">
        <v>18.75</v>
      </c>
      <c r="L4699">
        <v>44.36</v>
      </c>
    </row>
    <row r="4700" spans="1:12">
      <c r="A4700" s="1">
        <v>46042</v>
      </c>
      <c r="B4700" t="s">
        <v>7556</v>
      </c>
      <c r="C4700">
        <v>13</v>
      </c>
      <c r="D4700" t="str">
        <f>VLOOKUP(Tabela26[[#This Row],[EMP]],[1]LOJA!$A:$B,2,0)</f>
        <v>CEILÂNDIA</v>
      </c>
      <c r="E4700">
        <v>33</v>
      </c>
      <c r="F4700" t="s">
        <v>3591</v>
      </c>
      <c r="G4700" t="s">
        <v>3590</v>
      </c>
      <c r="H4700" t="s">
        <v>3520</v>
      </c>
      <c r="I4700">
        <v>5405</v>
      </c>
      <c r="J4700" s="3">
        <v>53.9</v>
      </c>
      <c r="K4700" s="3">
        <v>29.25</v>
      </c>
      <c r="L4700">
        <v>45.73</v>
      </c>
    </row>
    <row r="4701" spans="1:12">
      <c r="A4701" s="1">
        <v>46042</v>
      </c>
      <c r="B4701" t="s">
        <v>7555</v>
      </c>
      <c r="C4701">
        <v>13</v>
      </c>
      <c r="D4701" t="str">
        <f>VLOOKUP(Tabela26[[#This Row],[EMP]],[1]LOJA!$A:$B,2,0)</f>
        <v>CEILÂNDIA</v>
      </c>
      <c r="E4701">
        <v>86</v>
      </c>
      <c r="F4701" t="s">
        <v>3403</v>
      </c>
      <c r="G4701" t="s">
        <v>3402</v>
      </c>
      <c r="H4701" t="s">
        <v>3401</v>
      </c>
      <c r="I4701">
        <v>5405</v>
      </c>
      <c r="J4701" s="3">
        <v>235</v>
      </c>
      <c r="K4701" s="3">
        <v>117.68</v>
      </c>
      <c r="L4701">
        <v>49.92</v>
      </c>
    </row>
    <row r="4702" spans="1:12">
      <c r="A4702" s="1">
        <v>46042</v>
      </c>
      <c r="B4702" t="s">
        <v>7554</v>
      </c>
      <c r="C4702">
        <v>13</v>
      </c>
      <c r="D4702" t="str">
        <f>VLOOKUP(Tabela26[[#This Row],[EMP]],[1]LOJA!$A:$B,2,0)</f>
        <v>CEILÂNDIA</v>
      </c>
      <c r="E4702">
        <v>86</v>
      </c>
      <c r="F4702" t="s">
        <v>6610</v>
      </c>
      <c r="G4702" t="s">
        <v>6609</v>
      </c>
      <c r="H4702" t="s">
        <v>3401</v>
      </c>
      <c r="I4702">
        <v>5102</v>
      </c>
      <c r="J4702" s="3">
        <v>143.5</v>
      </c>
      <c r="K4702" s="3">
        <v>82.31</v>
      </c>
      <c r="L4702">
        <v>42.64</v>
      </c>
    </row>
    <row r="4703" spans="1:12">
      <c r="A4703" s="1">
        <v>46042</v>
      </c>
      <c r="B4703" t="s">
        <v>7553</v>
      </c>
      <c r="C4703">
        <v>13</v>
      </c>
      <c r="D4703" t="str">
        <f>VLOOKUP(Tabela26[[#This Row],[EMP]],[1]LOJA!$A:$B,2,0)</f>
        <v>CEILÂNDIA</v>
      </c>
      <c r="E4703">
        <v>86</v>
      </c>
      <c r="F4703" t="s">
        <v>3597</v>
      </c>
      <c r="G4703" t="s">
        <v>3596</v>
      </c>
      <c r="H4703" t="s">
        <v>3408</v>
      </c>
      <c r="I4703">
        <v>5102</v>
      </c>
      <c r="J4703" s="3">
        <v>60</v>
      </c>
      <c r="K4703" s="3">
        <v>30.82</v>
      </c>
      <c r="L4703">
        <v>48.63</v>
      </c>
    </row>
    <row r="4704" spans="1:12">
      <c r="A4704" s="1">
        <v>46042</v>
      </c>
      <c r="B4704" t="s">
        <v>7552</v>
      </c>
      <c r="C4704">
        <v>13</v>
      </c>
      <c r="D4704" t="str">
        <f>VLOOKUP(Tabela26[[#This Row],[EMP]],[1]LOJA!$A:$B,2,0)</f>
        <v>CEILÂNDIA</v>
      </c>
      <c r="E4704">
        <v>86</v>
      </c>
      <c r="F4704" t="s">
        <v>3597</v>
      </c>
      <c r="G4704" t="s">
        <v>3596</v>
      </c>
      <c r="H4704" t="s">
        <v>3408</v>
      </c>
      <c r="I4704">
        <v>5405</v>
      </c>
      <c r="J4704" s="3">
        <v>77</v>
      </c>
      <c r="K4704" s="3">
        <v>38.68</v>
      </c>
      <c r="L4704">
        <v>49.77</v>
      </c>
    </row>
    <row r="4705" spans="1:12">
      <c r="A4705" s="1">
        <v>46042</v>
      </c>
      <c r="B4705" t="s">
        <v>7551</v>
      </c>
      <c r="C4705">
        <v>13</v>
      </c>
      <c r="D4705" t="str">
        <f>VLOOKUP(Tabela26[[#This Row],[EMP]],[1]LOJA!$A:$B,2,0)</f>
        <v>CEILÂNDIA</v>
      </c>
      <c r="E4705">
        <v>86</v>
      </c>
      <c r="F4705" t="s">
        <v>3412</v>
      </c>
      <c r="G4705" t="s">
        <v>3402</v>
      </c>
      <c r="H4705" t="s">
        <v>3408</v>
      </c>
      <c r="I4705">
        <v>5102</v>
      </c>
      <c r="J4705" s="3">
        <v>35</v>
      </c>
      <c r="K4705" s="3">
        <v>18.78</v>
      </c>
      <c r="L4705">
        <v>46.34</v>
      </c>
    </row>
    <row r="4706" spans="1:12">
      <c r="A4706" s="1">
        <v>46042</v>
      </c>
      <c r="B4706" t="s">
        <v>7550</v>
      </c>
      <c r="C4706">
        <v>13</v>
      </c>
      <c r="D4706" t="str">
        <f>VLOOKUP(Tabela26[[#This Row],[EMP]],[1]LOJA!$A:$B,2,0)</f>
        <v>CEILÂNDIA</v>
      </c>
      <c r="E4706">
        <v>86</v>
      </c>
      <c r="F4706" t="s">
        <v>7549</v>
      </c>
      <c r="G4706" t="s">
        <v>7548</v>
      </c>
      <c r="H4706" t="s">
        <v>3401</v>
      </c>
      <c r="I4706">
        <v>5102</v>
      </c>
      <c r="J4706" s="3">
        <v>880</v>
      </c>
      <c r="K4706" s="3">
        <v>533.5</v>
      </c>
      <c r="L4706">
        <v>39.380000000000003</v>
      </c>
    </row>
    <row r="4707" spans="1:12">
      <c r="A4707" s="1">
        <v>46042</v>
      </c>
      <c r="B4707" t="s">
        <v>7547</v>
      </c>
      <c r="C4707">
        <v>13</v>
      </c>
      <c r="D4707" t="str">
        <f>VLOOKUP(Tabela26[[#This Row],[EMP]],[1]LOJA!$A:$B,2,0)</f>
        <v>CEILÂNDIA</v>
      </c>
      <c r="E4707">
        <v>86</v>
      </c>
      <c r="F4707" t="s">
        <v>6610</v>
      </c>
      <c r="G4707" t="s">
        <v>6609</v>
      </c>
      <c r="H4707" t="s">
        <v>3408</v>
      </c>
      <c r="I4707">
        <v>5405</v>
      </c>
      <c r="J4707" s="3">
        <v>100</v>
      </c>
      <c r="K4707" s="3">
        <v>53.13</v>
      </c>
      <c r="L4707">
        <v>46.87</v>
      </c>
    </row>
    <row r="4708" spans="1:12">
      <c r="A4708" s="1">
        <v>46042</v>
      </c>
      <c r="B4708" t="s">
        <v>7546</v>
      </c>
      <c r="C4708">
        <v>13</v>
      </c>
      <c r="D4708" t="str">
        <f>VLOOKUP(Tabela26[[#This Row],[EMP]],[1]LOJA!$A:$B,2,0)</f>
        <v>CEILÂNDIA</v>
      </c>
      <c r="E4708">
        <v>86</v>
      </c>
      <c r="F4708" t="s">
        <v>3649</v>
      </c>
      <c r="G4708" t="s">
        <v>3648</v>
      </c>
      <c r="H4708" t="s">
        <v>3408</v>
      </c>
      <c r="I4708">
        <v>5405</v>
      </c>
      <c r="J4708" s="3">
        <v>108</v>
      </c>
      <c r="K4708" s="3">
        <v>55.82</v>
      </c>
      <c r="L4708">
        <v>48.31</v>
      </c>
    </row>
    <row r="4709" spans="1:12">
      <c r="A4709" s="1">
        <v>46042</v>
      </c>
      <c r="B4709" t="s">
        <v>7545</v>
      </c>
      <c r="C4709">
        <v>13</v>
      </c>
      <c r="D4709" t="str">
        <f>VLOOKUP(Tabela26[[#This Row],[EMP]],[1]LOJA!$A:$B,2,0)</f>
        <v>CEILÂNDIA</v>
      </c>
      <c r="E4709">
        <v>86</v>
      </c>
      <c r="F4709" t="s">
        <v>3403</v>
      </c>
      <c r="G4709" t="s">
        <v>3402</v>
      </c>
      <c r="H4709" t="s">
        <v>3401</v>
      </c>
      <c r="I4709">
        <v>5102</v>
      </c>
      <c r="J4709" s="3">
        <v>43.9</v>
      </c>
      <c r="K4709" s="3">
        <v>21.68</v>
      </c>
      <c r="L4709">
        <v>50.62</v>
      </c>
    </row>
    <row r="4710" spans="1:12">
      <c r="A4710" s="1">
        <v>46042</v>
      </c>
      <c r="B4710" t="s">
        <v>7544</v>
      </c>
      <c r="C4710">
        <v>13</v>
      </c>
      <c r="D4710" t="str">
        <f>VLOOKUP(Tabela26[[#This Row],[EMP]],[1]LOJA!$A:$B,2,0)</f>
        <v>CEILÂNDIA</v>
      </c>
      <c r="E4710">
        <v>86</v>
      </c>
      <c r="F4710" t="s">
        <v>3403</v>
      </c>
      <c r="G4710" t="s">
        <v>3402</v>
      </c>
      <c r="H4710" t="s">
        <v>3401</v>
      </c>
      <c r="I4710">
        <v>5102</v>
      </c>
      <c r="J4710" s="3">
        <v>75</v>
      </c>
      <c r="K4710" s="3">
        <v>47.38</v>
      </c>
      <c r="L4710">
        <v>36.83</v>
      </c>
    </row>
    <row r="4711" spans="1:12">
      <c r="A4711" s="1">
        <v>46042</v>
      </c>
      <c r="B4711" t="s">
        <v>7543</v>
      </c>
      <c r="C4711">
        <v>13</v>
      </c>
      <c r="D4711" t="str">
        <f>VLOOKUP(Tabela26[[#This Row],[EMP]],[1]LOJA!$A:$B,2,0)</f>
        <v>CEILÂNDIA</v>
      </c>
      <c r="E4711">
        <v>86</v>
      </c>
      <c r="F4711" t="s">
        <v>3403</v>
      </c>
      <c r="G4711" t="s">
        <v>3402</v>
      </c>
      <c r="H4711" t="s">
        <v>3408</v>
      </c>
      <c r="I4711">
        <v>5405</v>
      </c>
      <c r="J4711" s="3">
        <v>200</v>
      </c>
      <c r="K4711" s="3">
        <v>93.06</v>
      </c>
      <c r="L4711">
        <v>53.47</v>
      </c>
    </row>
    <row r="4712" spans="1:12">
      <c r="A4712" s="1">
        <v>46042</v>
      </c>
      <c r="B4712" t="s">
        <v>7542</v>
      </c>
      <c r="C4712">
        <v>13</v>
      </c>
      <c r="D4712" t="str">
        <f>VLOOKUP(Tabela26[[#This Row],[EMP]],[1]LOJA!$A:$B,2,0)</f>
        <v>CEILÂNDIA</v>
      </c>
      <c r="E4712">
        <v>86</v>
      </c>
      <c r="F4712" t="s">
        <v>3403</v>
      </c>
      <c r="G4712" t="s">
        <v>3402</v>
      </c>
      <c r="H4712" t="s">
        <v>3401</v>
      </c>
      <c r="I4712">
        <v>5102</v>
      </c>
      <c r="J4712" s="3">
        <v>35</v>
      </c>
      <c r="K4712" s="3">
        <v>18.66</v>
      </c>
      <c r="L4712">
        <v>46.69</v>
      </c>
    </row>
    <row r="4713" spans="1:12">
      <c r="A4713" s="1">
        <v>46042</v>
      </c>
      <c r="B4713" t="s">
        <v>7541</v>
      </c>
      <c r="C4713">
        <v>13</v>
      </c>
      <c r="D4713" t="str">
        <f>VLOOKUP(Tabela26[[#This Row],[EMP]],[1]LOJA!$A:$B,2,0)</f>
        <v>CEILÂNDIA</v>
      </c>
      <c r="E4713">
        <v>86</v>
      </c>
      <c r="F4713" t="s">
        <v>3403</v>
      </c>
      <c r="G4713" t="s">
        <v>3402</v>
      </c>
      <c r="H4713" t="s">
        <v>3401</v>
      </c>
      <c r="I4713">
        <v>5102</v>
      </c>
      <c r="J4713" s="3">
        <v>30</v>
      </c>
      <c r="K4713" s="3">
        <v>13.25</v>
      </c>
      <c r="L4713">
        <v>55.83</v>
      </c>
    </row>
    <row r="4714" spans="1:12">
      <c r="A4714" s="1">
        <v>46042</v>
      </c>
      <c r="B4714" t="s">
        <v>7540</v>
      </c>
      <c r="C4714">
        <v>13</v>
      </c>
      <c r="D4714" t="str">
        <f>VLOOKUP(Tabela26[[#This Row],[EMP]],[1]LOJA!$A:$B,2,0)</f>
        <v>CEILÂNDIA</v>
      </c>
      <c r="E4714">
        <v>86</v>
      </c>
      <c r="F4714" t="s">
        <v>3649</v>
      </c>
      <c r="G4714" t="s">
        <v>3648</v>
      </c>
      <c r="H4714" t="s">
        <v>3408</v>
      </c>
      <c r="I4714">
        <v>5102</v>
      </c>
      <c r="J4714" s="3">
        <v>117.9</v>
      </c>
      <c r="K4714" s="3">
        <v>73.2</v>
      </c>
      <c r="L4714">
        <v>37.909999999999997</v>
      </c>
    </row>
    <row r="4715" spans="1:12">
      <c r="A4715" s="1">
        <v>46042</v>
      </c>
      <c r="B4715" t="s">
        <v>7539</v>
      </c>
      <c r="C4715">
        <v>13</v>
      </c>
      <c r="D4715" t="str">
        <f>VLOOKUP(Tabela26[[#This Row],[EMP]],[1]LOJA!$A:$B,2,0)</f>
        <v>CEILÂNDIA</v>
      </c>
      <c r="E4715">
        <v>86</v>
      </c>
      <c r="F4715" t="s">
        <v>3622</v>
      </c>
      <c r="G4715" t="s">
        <v>3402</v>
      </c>
      <c r="H4715" t="s">
        <v>3408</v>
      </c>
      <c r="I4715">
        <v>5405</v>
      </c>
      <c r="J4715" s="3">
        <v>52</v>
      </c>
      <c r="K4715" s="3">
        <v>29.25</v>
      </c>
      <c r="L4715">
        <v>43.75</v>
      </c>
    </row>
    <row r="4716" spans="1:12">
      <c r="A4716" s="1">
        <v>46042</v>
      </c>
      <c r="B4716" t="s">
        <v>7538</v>
      </c>
      <c r="C4716">
        <v>13</v>
      </c>
      <c r="D4716" t="str">
        <f>VLOOKUP(Tabela26[[#This Row],[EMP]],[1]LOJA!$A:$B,2,0)</f>
        <v>CEILÂNDIA</v>
      </c>
      <c r="E4716">
        <v>86</v>
      </c>
      <c r="F4716" t="s">
        <v>3640</v>
      </c>
      <c r="G4716" t="s">
        <v>3639</v>
      </c>
      <c r="H4716" t="s">
        <v>3401</v>
      </c>
      <c r="I4716">
        <v>5102</v>
      </c>
      <c r="J4716" s="3">
        <v>150</v>
      </c>
      <c r="K4716" s="3">
        <v>98.07</v>
      </c>
      <c r="L4716">
        <v>34.619999999999997</v>
      </c>
    </row>
    <row r="4717" spans="1:12">
      <c r="A4717" s="1">
        <v>46042</v>
      </c>
      <c r="B4717" t="s">
        <v>7537</v>
      </c>
      <c r="C4717">
        <v>13</v>
      </c>
      <c r="D4717" t="str">
        <f>VLOOKUP(Tabela26[[#This Row],[EMP]],[1]LOJA!$A:$B,2,0)</f>
        <v>CEILÂNDIA</v>
      </c>
      <c r="E4717">
        <v>86</v>
      </c>
      <c r="F4717" t="s">
        <v>7536</v>
      </c>
      <c r="G4717" t="s">
        <v>3402</v>
      </c>
      <c r="H4717" t="s">
        <v>3408</v>
      </c>
      <c r="I4717">
        <v>5102</v>
      </c>
      <c r="J4717" s="3">
        <v>126</v>
      </c>
      <c r="K4717" s="3">
        <v>79.08</v>
      </c>
      <c r="L4717">
        <v>37.24</v>
      </c>
    </row>
    <row r="4718" spans="1:12">
      <c r="A4718" s="1">
        <v>46042</v>
      </c>
      <c r="B4718" t="s">
        <v>7535</v>
      </c>
      <c r="C4718">
        <v>13</v>
      </c>
      <c r="D4718" t="str">
        <f>VLOOKUP(Tabela26[[#This Row],[EMP]],[1]LOJA!$A:$B,2,0)</f>
        <v>CEILÂNDIA</v>
      </c>
      <c r="E4718">
        <v>86</v>
      </c>
      <c r="F4718" t="s">
        <v>3403</v>
      </c>
      <c r="G4718" t="s">
        <v>3402</v>
      </c>
      <c r="H4718" t="s">
        <v>3401</v>
      </c>
      <c r="I4718">
        <v>5102</v>
      </c>
      <c r="J4718" s="3">
        <v>21</v>
      </c>
      <c r="K4718" s="3">
        <v>9.01</v>
      </c>
      <c r="L4718">
        <v>57.1</v>
      </c>
    </row>
    <row r="4719" spans="1:12">
      <c r="A4719" s="1">
        <v>46042</v>
      </c>
      <c r="B4719" t="s">
        <v>7534</v>
      </c>
      <c r="C4719">
        <v>13</v>
      </c>
      <c r="D4719" t="str">
        <f>VLOOKUP(Tabela26[[#This Row],[EMP]],[1]LOJA!$A:$B,2,0)</f>
        <v>CEILÂNDIA</v>
      </c>
      <c r="E4719">
        <v>86</v>
      </c>
      <c r="F4719" t="s">
        <v>7533</v>
      </c>
      <c r="G4719" t="s">
        <v>3402</v>
      </c>
      <c r="H4719" t="s">
        <v>3408</v>
      </c>
      <c r="I4719">
        <v>5102</v>
      </c>
      <c r="J4719" s="3">
        <v>60</v>
      </c>
      <c r="K4719" s="3">
        <v>38.11</v>
      </c>
      <c r="L4719">
        <v>36.479999999999997</v>
      </c>
    </row>
    <row r="4720" spans="1:12">
      <c r="A4720" s="1">
        <v>46042</v>
      </c>
      <c r="B4720" t="s">
        <v>7532</v>
      </c>
      <c r="C4720">
        <v>13</v>
      </c>
      <c r="D4720" t="str">
        <f>VLOOKUP(Tabela26[[#This Row],[EMP]],[1]LOJA!$A:$B,2,0)</f>
        <v>CEILÂNDIA</v>
      </c>
      <c r="E4720">
        <v>33</v>
      </c>
      <c r="F4720" t="s">
        <v>3591</v>
      </c>
      <c r="G4720" t="s">
        <v>3590</v>
      </c>
      <c r="H4720" t="s">
        <v>3520</v>
      </c>
      <c r="I4720">
        <v>5405</v>
      </c>
      <c r="J4720" s="3">
        <v>55</v>
      </c>
      <c r="K4720" s="3">
        <v>25.77</v>
      </c>
      <c r="L4720">
        <v>53.15</v>
      </c>
    </row>
    <row r="4721" spans="1:12">
      <c r="A4721" s="1">
        <v>46042</v>
      </c>
      <c r="B4721" t="s">
        <v>7531</v>
      </c>
      <c r="C4721">
        <v>13</v>
      </c>
      <c r="D4721" t="str">
        <f>VLOOKUP(Tabela26[[#This Row],[EMP]],[1]LOJA!$A:$B,2,0)</f>
        <v>CEILÂNDIA</v>
      </c>
      <c r="E4721">
        <v>86</v>
      </c>
      <c r="F4721" t="s">
        <v>3403</v>
      </c>
      <c r="G4721" t="s">
        <v>3402</v>
      </c>
      <c r="H4721" t="s">
        <v>3401</v>
      </c>
      <c r="I4721">
        <v>5102</v>
      </c>
      <c r="J4721" s="3">
        <v>136</v>
      </c>
      <c r="K4721" s="3">
        <v>71.06</v>
      </c>
      <c r="L4721">
        <v>47.75</v>
      </c>
    </row>
    <row r="4722" spans="1:12">
      <c r="A4722" s="1">
        <v>46042</v>
      </c>
      <c r="B4722" t="s">
        <v>7530</v>
      </c>
      <c r="C4722">
        <v>13</v>
      </c>
      <c r="D4722" t="str">
        <f>VLOOKUP(Tabela26[[#This Row],[EMP]],[1]LOJA!$A:$B,2,0)</f>
        <v>CEILÂNDIA</v>
      </c>
      <c r="E4722">
        <v>86</v>
      </c>
      <c r="F4722" t="s">
        <v>3622</v>
      </c>
      <c r="G4722" t="s">
        <v>3402</v>
      </c>
      <c r="H4722" t="s">
        <v>3408</v>
      </c>
      <c r="I4722">
        <v>5405</v>
      </c>
      <c r="J4722" s="3">
        <v>240</v>
      </c>
      <c r="K4722" s="3">
        <v>135.16999999999999</v>
      </c>
      <c r="L4722">
        <v>43.68</v>
      </c>
    </row>
    <row r="4723" spans="1:12">
      <c r="A4723" s="1">
        <v>46042</v>
      </c>
      <c r="B4723" t="s">
        <v>7529</v>
      </c>
      <c r="C4723">
        <v>13</v>
      </c>
      <c r="D4723" t="str">
        <f>VLOOKUP(Tabela26[[#This Row],[EMP]],[1]LOJA!$A:$B,2,0)</f>
        <v>CEILÂNDIA</v>
      </c>
      <c r="E4723">
        <v>33</v>
      </c>
      <c r="F4723" t="s">
        <v>3403</v>
      </c>
      <c r="G4723" t="s">
        <v>3402</v>
      </c>
      <c r="H4723" t="s">
        <v>3401</v>
      </c>
      <c r="I4723">
        <v>5405</v>
      </c>
      <c r="J4723" s="3">
        <v>28</v>
      </c>
      <c r="K4723" s="3">
        <v>13.24</v>
      </c>
      <c r="L4723">
        <v>52.71</v>
      </c>
    </row>
    <row r="4724" spans="1:12">
      <c r="A4724" s="1">
        <v>46042</v>
      </c>
      <c r="B4724" t="s">
        <v>7528</v>
      </c>
      <c r="C4724">
        <v>13</v>
      </c>
      <c r="D4724" t="str">
        <f>VLOOKUP(Tabela26[[#This Row],[EMP]],[1]LOJA!$A:$B,2,0)</f>
        <v>CEILÂNDIA</v>
      </c>
      <c r="E4724">
        <v>86</v>
      </c>
      <c r="F4724" t="s">
        <v>3403</v>
      </c>
      <c r="G4724" t="s">
        <v>3402</v>
      </c>
      <c r="H4724" t="s">
        <v>3401</v>
      </c>
      <c r="I4724">
        <v>5102</v>
      </c>
      <c r="J4724" s="3">
        <v>150</v>
      </c>
      <c r="K4724" s="3">
        <v>81.900000000000006</v>
      </c>
      <c r="L4724">
        <v>45.4</v>
      </c>
    </row>
    <row r="4725" spans="1:12">
      <c r="A4725" s="1">
        <v>46042</v>
      </c>
      <c r="B4725" t="s">
        <v>7527</v>
      </c>
      <c r="C4725">
        <v>13</v>
      </c>
      <c r="D4725" t="str">
        <f>VLOOKUP(Tabela26[[#This Row],[EMP]],[1]LOJA!$A:$B,2,0)</f>
        <v>CEILÂNDIA</v>
      </c>
      <c r="E4725">
        <v>86</v>
      </c>
      <c r="F4725" t="s">
        <v>3609</v>
      </c>
      <c r="G4725" t="s">
        <v>3608</v>
      </c>
      <c r="H4725" t="s">
        <v>3408</v>
      </c>
      <c r="I4725">
        <v>5102</v>
      </c>
      <c r="J4725" s="3">
        <v>492.2</v>
      </c>
      <c r="K4725" s="3">
        <v>286.32</v>
      </c>
      <c r="L4725">
        <v>41.83</v>
      </c>
    </row>
    <row r="4726" spans="1:12">
      <c r="A4726" s="1">
        <v>46042</v>
      </c>
      <c r="B4726" t="s">
        <v>7526</v>
      </c>
      <c r="C4726">
        <v>13</v>
      </c>
      <c r="D4726" t="str">
        <f>VLOOKUP(Tabela26[[#This Row],[EMP]],[1]LOJA!$A:$B,2,0)</f>
        <v>CEILÂNDIA</v>
      </c>
      <c r="E4726">
        <v>86</v>
      </c>
      <c r="F4726" t="s">
        <v>3403</v>
      </c>
      <c r="G4726" t="s">
        <v>3402</v>
      </c>
      <c r="H4726" t="s">
        <v>3401</v>
      </c>
      <c r="I4726">
        <v>5102</v>
      </c>
      <c r="J4726" s="3">
        <v>62.5</v>
      </c>
      <c r="K4726" s="3">
        <v>34.21</v>
      </c>
      <c r="L4726">
        <v>45.26</v>
      </c>
    </row>
    <row r="4727" spans="1:12">
      <c r="A4727" s="1">
        <v>46042</v>
      </c>
      <c r="B4727" t="s">
        <v>7525</v>
      </c>
      <c r="C4727">
        <v>13</v>
      </c>
      <c r="D4727" t="str">
        <f>VLOOKUP(Tabela26[[#This Row],[EMP]],[1]LOJA!$A:$B,2,0)</f>
        <v>CEILÂNDIA</v>
      </c>
      <c r="E4727">
        <v>86</v>
      </c>
      <c r="F4727" t="s">
        <v>3403</v>
      </c>
      <c r="G4727" t="s">
        <v>3402</v>
      </c>
      <c r="H4727" t="s">
        <v>3401</v>
      </c>
      <c r="I4727">
        <v>5405</v>
      </c>
      <c r="J4727" s="3">
        <v>25</v>
      </c>
      <c r="K4727" s="3">
        <v>11.99</v>
      </c>
      <c r="L4727">
        <v>52.04</v>
      </c>
    </row>
    <row r="4728" spans="1:12">
      <c r="A4728" s="1">
        <v>46042</v>
      </c>
      <c r="B4728" t="s">
        <v>7524</v>
      </c>
      <c r="C4728">
        <v>13</v>
      </c>
      <c r="D4728" t="str">
        <f>VLOOKUP(Tabela26[[#This Row],[EMP]],[1]LOJA!$A:$B,2,0)</f>
        <v>CEILÂNDIA</v>
      </c>
      <c r="E4728">
        <v>86</v>
      </c>
      <c r="F4728" t="s">
        <v>3403</v>
      </c>
      <c r="G4728" t="s">
        <v>3402</v>
      </c>
      <c r="H4728" t="s">
        <v>3408</v>
      </c>
      <c r="I4728">
        <v>5405</v>
      </c>
      <c r="J4728" s="3">
        <v>50</v>
      </c>
      <c r="K4728" s="3">
        <v>23.25</v>
      </c>
      <c r="L4728">
        <v>53.5</v>
      </c>
    </row>
    <row r="4729" spans="1:12">
      <c r="A4729" s="1">
        <v>46042</v>
      </c>
      <c r="B4729" t="s">
        <v>7523</v>
      </c>
      <c r="C4729">
        <v>13</v>
      </c>
      <c r="D4729" t="str">
        <f>VLOOKUP(Tabela26[[#This Row],[EMP]],[1]LOJA!$A:$B,2,0)</f>
        <v>CEILÂNDIA</v>
      </c>
      <c r="E4729">
        <v>86</v>
      </c>
      <c r="F4729" t="s">
        <v>3403</v>
      </c>
      <c r="G4729" t="s">
        <v>3402</v>
      </c>
      <c r="H4729" t="s">
        <v>3401</v>
      </c>
      <c r="I4729">
        <v>5102</v>
      </c>
      <c r="J4729" s="3">
        <v>70</v>
      </c>
      <c r="K4729" s="3">
        <v>37.53</v>
      </c>
      <c r="L4729">
        <v>46.39</v>
      </c>
    </row>
    <row r="4730" spans="1:12">
      <c r="A4730" s="1">
        <v>46042</v>
      </c>
      <c r="B4730" t="s">
        <v>7522</v>
      </c>
      <c r="C4730">
        <v>6</v>
      </c>
      <c r="D4730" t="str">
        <f>VLOOKUP(Tabela26[[#This Row],[EMP]],[1]LOJA!$A:$B,2,0)</f>
        <v>GAMA</v>
      </c>
      <c r="E4730">
        <v>245</v>
      </c>
      <c r="F4730" t="s">
        <v>7521</v>
      </c>
      <c r="G4730" t="s">
        <v>7520</v>
      </c>
      <c r="H4730" t="s">
        <v>3401</v>
      </c>
      <c r="I4730">
        <v>5102</v>
      </c>
      <c r="J4730" s="3">
        <v>40</v>
      </c>
      <c r="K4730" s="3">
        <v>22.5</v>
      </c>
      <c r="L4730">
        <v>43.75</v>
      </c>
    </row>
    <row r="4731" spans="1:12">
      <c r="A4731" s="1">
        <v>46042</v>
      </c>
      <c r="B4731" t="s">
        <v>7519</v>
      </c>
      <c r="C4731">
        <v>6</v>
      </c>
      <c r="D4731" t="str">
        <f>VLOOKUP(Tabela26[[#This Row],[EMP]],[1]LOJA!$A:$B,2,0)</f>
        <v>GAMA</v>
      </c>
      <c r="E4731">
        <v>226</v>
      </c>
      <c r="F4731" t="s">
        <v>7518</v>
      </c>
      <c r="G4731" t="s">
        <v>7517</v>
      </c>
      <c r="H4731" t="s">
        <v>3401</v>
      </c>
      <c r="I4731">
        <v>5405</v>
      </c>
      <c r="J4731" s="3">
        <v>79</v>
      </c>
      <c r="K4731" s="3">
        <v>39.21</v>
      </c>
      <c r="L4731">
        <v>50.37</v>
      </c>
    </row>
    <row r="4732" spans="1:12">
      <c r="A4732" s="1">
        <v>46042</v>
      </c>
      <c r="B4732" t="s">
        <v>7516</v>
      </c>
      <c r="C4732">
        <v>6</v>
      </c>
      <c r="D4732" t="str">
        <f>VLOOKUP(Tabela26[[#This Row],[EMP]],[1]LOJA!$A:$B,2,0)</f>
        <v>GAMA</v>
      </c>
      <c r="E4732">
        <v>245</v>
      </c>
      <c r="F4732" t="s">
        <v>3568</v>
      </c>
      <c r="G4732" t="s">
        <v>3567</v>
      </c>
      <c r="H4732" t="s">
        <v>3520</v>
      </c>
      <c r="I4732">
        <v>5102</v>
      </c>
      <c r="J4732" s="3">
        <v>443</v>
      </c>
      <c r="K4732" s="3">
        <v>263.39999999999998</v>
      </c>
      <c r="L4732">
        <v>40.54</v>
      </c>
    </row>
    <row r="4733" spans="1:12">
      <c r="A4733" s="1">
        <v>46042</v>
      </c>
      <c r="B4733" t="s">
        <v>7515</v>
      </c>
      <c r="C4733">
        <v>6</v>
      </c>
      <c r="D4733" t="str">
        <f>VLOOKUP(Tabela26[[#This Row],[EMP]],[1]LOJA!$A:$B,2,0)</f>
        <v>GAMA</v>
      </c>
      <c r="E4733">
        <v>245</v>
      </c>
      <c r="F4733" t="s">
        <v>5509</v>
      </c>
      <c r="G4733" t="s">
        <v>5508</v>
      </c>
      <c r="H4733" t="s">
        <v>7400</v>
      </c>
      <c r="I4733">
        <v>5405</v>
      </c>
      <c r="J4733" s="3">
        <v>59</v>
      </c>
      <c r="K4733" s="3">
        <v>28.12</v>
      </c>
      <c r="L4733">
        <v>52.34</v>
      </c>
    </row>
    <row r="4734" spans="1:12">
      <c r="A4734" s="1">
        <v>46042</v>
      </c>
      <c r="B4734" t="s">
        <v>7514</v>
      </c>
      <c r="C4734">
        <v>6</v>
      </c>
      <c r="D4734" t="str">
        <f>VLOOKUP(Tabela26[[#This Row],[EMP]],[1]LOJA!$A:$B,2,0)</f>
        <v>GAMA</v>
      </c>
      <c r="E4734">
        <v>245</v>
      </c>
      <c r="F4734" t="s">
        <v>3555</v>
      </c>
      <c r="G4734" t="s">
        <v>3554</v>
      </c>
      <c r="H4734" t="s">
        <v>3430</v>
      </c>
      <c r="I4734">
        <v>6403</v>
      </c>
      <c r="J4734" s="3">
        <v>476.4</v>
      </c>
      <c r="K4734" s="3">
        <v>302.82</v>
      </c>
      <c r="L4734">
        <v>36.44</v>
      </c>
    </row>
    <row r="4735" spans="1:12">
      <c r="A4735" s="1">
        <v>46043</v>
      </c>
      <c r="B4735" t="s">
        <v>7513</v>
      </c>
      <c r="C4735">
        <v>24</v>
      </c>
      <c r="D4735" t="str">
        <f>VLOOKUP(Tabela26[[#This Row],[EMP]],[1]LOJA!$A:$B,2,0)</f>
        <v>LUZIÂNIA</v>
      </c>
      <c r="E4735">
        <v>242</v>
      </c>
      <c r="F4735" t="s">
        <v>7512</v>
      </c>
      <c r="G4735" t="s">
        <v>7511</v>
      </c>
      <c r="H4735" t="s">
        <v>3408</v>
      </c>
      <c r="I4735">
        <v>5405</v>
      </c>
      <c r="J4735" s="3">
        <v>332</v>
      </c>
      <c r="K4735" s="3">
        <v>196.8</v>
      </c>
      <c r="L4735">
        <v>40.72</v>
      </c>
    </row>
    <row r="4736" spans="1:12">
      <c r="A4736" s="1">
        <v>46043</v>
      </c>
      <c r="B4736" t="s">
        <v>7510</v>
      </c>
      <c r="C4736">
        <v>24</v>
      </c>
      <c r="D4736" t="str">
        <f>VLOOKUP(Tabela26[[#This Row],[EMP]],[1]LOJA!$A:$B,2,0)</f>
        <v>LUZIÂNIA</v>
      </c>
      <c r="E4736">
        <v>192</v>
      </c>
      <c r="F4736" t="s">
        <v>5422</v>
      </c>
      <c r="G4736" t="s">
        <v>5421</v>
      </c>
      <c r="H4736" t="s">
        <v>3430</v>
      </c>
      <c r="I4736">
        <v>5405</v>
      </c>
      <c r="J4736" s="3">
        <v>491</v>
      </c>
      <c r="K4736" s="3">
        <v>271.02999999999997</v>
      </c>
      <c r="L4736">
        <v>44.8</v>
      </c>
    </row>
    <row r="4737" spans="1:12">
      <c r="A4737" s="1">
        <v>46043</v>
      </c>
      <c r="B4737" t="s">
        <v>7509</v>
      </c>
      <c r="C4737">
        <v>24</v>
      </c>
      <c r="D4737" t="str">
        <f>VLOOKUP(Tabela26[[#This Row],[EMP]],[1]LOJA!$A:$B,2,0)</f>
        <v>LUZIÂNIA</v>
      </c>
      <c r="E4737">
        <v>150</v>
      </c>
      <c r="F4737" t="s">
        <v>4282</v>
      </c>
      <c r="G4737" t="s">
        <v>4281</v>
      </c>
      <c r="H4737" t="s">
        <v>3430</v>
      </c>
      <c r="I4737">
        <v>5102</v>
      </c>
      <c r="J4737" s="3">
        <v>91.8</v>
      </c>
      <c r="K4737" s="3">
        <v>50.28</v>
      </c>
      <c r="L4737">
        <v>45.23</v>
      </c>
    </row>
    <row r="4738" spans="1:12">
      <c r="A4738" s="1">
        <v>46043</v>
      </c>
      <c r="B4738" t="s">
        <v>7508</v>
      </c>
      <c r="C4738">
        <v>24</v>
      </c>
      <c r="D4738" t="str">
        <f>VLOOKUP(Tabela26[[#This Row],[EMP]],[1]LOJA!$A:$B,2,0)</f>
        <v>LUZIÂNIA</v>
      </c>
      <c r="E4738">
        <v>150</v>
      </c>
      <c r="F4738" t="s">
        <v>4952</v>
      </c>
      <c r="G4738" t="s">
        <v>4951</v>
      </c>
      <c r="H4738" t="s">
        <v>3430</v>
      </c>
      <c r="I4738">
        <v>5405</v>
      </c>
      <c r="J4738" s="3">
        <v>568.29</v>
      </c>
      <c r="K4738" s="3">
        <v>329.45</v>
      </c>
      <c r="L4738">
        <v>42.03</v>
      </c>
    </row>
    <row r="4739" spans="1:12">
      <c r="A4739" s="1">
        <v>46043</v>
      </c>
      <c r="B4739" t="s">
        <v>7507</v>
      </c>
      <c r="C4739">
        <v>24</v>
      </c>
      <c r="D4739" t="str">
        <f>VLOOKUP(Tabela26[[#This Row],[EMP]],[1]LOJA!$A:$B,2,0)</f>
        <v>LUZIÂNIA</v>
      </c>
      <c r="E4739">
        <v>192</v>
      </c>
      <c r="F4739" t="s">
        <v>7503</v>
      </c>
      <c r="G4739" t="s">
        <v>7502</v>
      </c>
      <c r="H4739" t="s">
        <v>3430</v>
      </c>
      <c r="I4739">
        <v>5405</v>
      </c>
      <c r="J4739" s="3">
        <v>237</v>
      </c>
      <c r="K4739" s="3">
        <v>107.06</v>
      </c>
      <c r="L4739">
        <v>54.83</v>
      </c>
    </row>
    <row r="4740" spans="1:12">
      <c r="A4740" s="1">
        <v>46043</v>
      </c>
      <c r="B4740" t="s">
        <v>7506</v>
      </c>
      <c r="C4740">
        <v>24</v>
      </c>
      <c r="D4740" t="str">
        <f>VLOOKUP(Tabela26[[#This Row],[EMP]],[1]LOJA!$A:$B,2,0)</f>
        <v>LUZIÂNIA</v>
      </c>
      <c r="E4740">
        <v>242</v>
      </c>
      <c r="F4740" t="s">
        <v>5993</v>
      </c>
      <c r="G4740" t="s">
        <v>5992</v>
      </c>
      <c r="H4740" t="s">
        <v>7505</v>
      </c>
      <c r="I4740">
        <v>5405</v>
      </c>
      <c r="J4740" s="3">
        <v>151.04</v>
      </c>
      <c r="K4740" s="3">
        <v>85.49</v>
      </c>
      <c r="L4740">
        <v>43.4</v>
      </c>
    </row>
    <row r="4741" spans="1:12">
      <c r="A4741" s="1">
        <v>46043</v>
      </c>
      <c r="B4741" t="s">
        <v>7504</v>
      </c>
      <c r="C4741">
        <v>24</v>
      </c>
      <c r="D4741" t="str">
        <f>VLOOKUP(Tabela26[[#This Row],[EMP]],[1]LOJA!$A:$B,2,0)</f>
        <v>LUZIÂNIA</v>
      </c>
      <c r="E4741">
        <v>192</v>
      </c>
      <c r="F4741" t="s">
        <v>7503</v>
      </c>
      <c r="G4741" t="s">
        <v>7502</v>
      </c>
      <c r="H4741" t="s">
        <v>5991</v>
      </c>
      <c r="I4741">
        <v>5405</v>
      </c>
      <c r="J4741" s="3">
        <v>794</v>
      </c>
      <c r="K4741" s="3">
        <v>376.79</v>
      </c>
      <c r="L4741">
        <v>52.55</v>
      </c>
    </row>
    <row r="4742" spans="1:12">
      <c r="A4742" s="1">
        <v>46043</v>
      </c>
      <c r="B4742" t="s">
        <v>7501</v>
      </c>
      <c r="C4742">
        <v>24</v>
      </c>
      <c r="D4742" t="str">
        <f>VLOOKUP(Tabela26[[#This Row],[EMP]],[1]LOJA!$A:$B,2,0)</f>
        <v>LUZIÂNIA</v>
      </c>
      <c r="E4742">
        <v>192</v>
      </c>
      <c r="F4742" t="s">
        <v>6557</v>
      </c>
      <c r="G4742" t="s">
        <v>6556</v>
      </c>
      <c r="H4742" t="s">
        <v>5991</v>
      </c>
      <c r="I4742">
        <v>5405</v>
      </c>
      <c r="J4742" s="3">
        <v>408</v>
      </c>
      <c r="K4742" s="3">
        <v>204.19</v>
      </c>
      <c r="L4742">
        <v>49.95</v>
      </c>
    </row>
    <row r="4743" spans="1:12">
      <c r="A4743" s="1">
        <v>46043</v>
      </c>
      <c r="B4743" t="s">
        <v>7500</v>
      </c>
      <c r="C4743">
        <v>24</v>
      </c>
      <c r="D4743" t="str">
        <f>VLOOKUP(Tabela26[[#This Row],[EMP]],[1]LOJA!$A:$B,2,0)</f>
        <v>LUZIÂNIA</v>
      </c>
      <c r="E4743">
        <v>150</v>
      </c>
      <c r="F4743" t="s">
        <v>4282</v>
      </c>
      <c r="G4743" t="s">
        <v>4281</v>
      </c>
      <c r="H4743" t="s">
        <v>3430</v>
      </c>
      <c r="I4743">
        <v>5405</v>
      </c>
      <c r="J4743" s="3">
        <v>59</v>
      </c>
      <c r="K4743" s="3">
        <v>27.8</v>
      </c>
      <c r="L4743">
        <v>52.88</v>
      </c>
    </row>
    <row r="4744" spans="1:12">
      <c r="A4744" s="1">
        <v>46043</v>
      </c>
      <c r="B4744" t="s">
        <v>7499</v>
      </c>
      <c r="C4744">
        <v>24</v>
      </c>
      <c r="D4744" t="str">
        <f>VLOOKUP(Tabela26[[#This Row],[EMP]],[1]LOJA!$A:$B,2,0)</f>
        <v>LUZIÂNIA</v>
      </c>
      <c r="E4744">
        <v>192</v>
      </c>
      <c r="F4744" t="s">
        <v>4943</v>
      </c>
      <c r="G4744" t="s">
        <v>4942</v>
      </c>
      <c r="H4744" t="s">
        <v>7043</v>
      </c>
      <c r="I4744">
        <v>5102</v>
      </c>
      <c r="J4744" s="3">
        <v>4020</v>
      </c>
      <c r="K4744" s="3">
        <v>3004.08</v>
      </c>
      <c r="L4744">
        <v>25.27</v>
      </c>
    </row>
    <row r="4745" spans="1:12">
      <c r="A4745" s="1">
        <v>46043</v>
      </c>
      <c r="B4745" t="s">
        <v>7498</v>
      </c>
      <c r="C4745">
        <v>24</v>
      </c>
      <c r="D4745" t="str">
        <f>VLOOKUP(Tabela26[[#This Row],[EMP]],[1]LOJA!$A:$B,2,0)</f>
        <v>LUZIÂNIA</v>
      </c>
      <c r="E4745">
        <v>150</v>
      </c>
      <c r="F4745" t="s">
        <v>7487</v>
      </c>
      <c r="G4745" t="s">
        <v>7486</v>
      </c>
      <c r="H4745" t="s">
        <v>3430</v>
      </c>
      <c r="I4745">
        <v>5405</v>
      </c>
      <c r="J4745" s="3">
        <v>195</v>
      </c>
      <c r="K4745" s="3">
        <v>98.45</v>
      </c>
      <c r="L4745">
        <v>49.51</v>
      </c>
    </row>
    <row r="4746" spans="1:12">
      <c r="A4746" s="1">
        <v>46043</v>
      </c>
      <c r="B4746" t="s">
        <v>7497</v>
      </c>
      <c r="C4746">
        <v>24</v>
      </c>
      <c r="D4746" t="str">
        <f>VLOOKUP(Tabela26[[#This Row],[EMP]],[1]LOJA!$A:$B,2,0)</f>
        <v>LUZIÂNIA</v>
      </c>
      <c r="E4746">
        <v>150</v>
      </c>
      <c r="F4746" t="s">
        <v>4182</v>
      </c>
      <c r="G4746" t="s">
        <v>4181</v>
      </c>
      <c r="H4746" t="s">
        <v>3430</v>
      </c>
      <c r="I4746">
        <v>5102</v>
      </c>
      <c r="J4746" s="3">
        <v>696.8</v>
      </c>
      <c r="K4746" s="3">
        <v>374.03</v>
      </c>
      <c r="L4746">
        <v>46.32</v>
      </c>
    </row>
    <row r="4747" spans="1:12">
      <c r="A4747" s="1">
        <v>46043</v>
      </c>
      <c r="B4747" t="s">
        <v>7496</v>
      </c>
      <c r="C4747">
        <v>24</v>
      </c>
      <c r="D4747" t="str">
        <f>VLOOKUP(Tabela26[[#This Row],[EMP]],[1]LOJA!$A:$B,2,0)</f>
        <v>LUZIÂNIA</v>
      </c>
      <c r="E4747">
        <v>150</v>
      </c>
      <c r="F4747" t="s">
        <v>4182</v>
      </c>
      <c r="G4747" t="s">
        <v>4181</v>
      </c>
      <c r="H4747" t="s">
        <v>3430</v>
      </c>
      <c r="I4747">
        <v>5102</v>
      </c>
      <c r="J4747" s="3">
        <v>62</v>
      </c>
      <c r="K4747" s="3">
        <v>37.04</v>
      </c>
      <c r="L4747">
        <v>40.26</v>
      </c>
    </row>
    <row r="4748" spans="1:12">
      <c r="A4748" s="1">
        <v>46043</v>
      </c>
      <c r="B4748" t="s">
        <v>7495</v>
      </c>
      <c r="C4748">
        <v>24</v>
      </c>
      <c r="D4748" t="str">
        <f>VLOOKUP(Tabela26[[#This Row],[EMP]],[1]LOJA!$A:$B,2,0)</f>
        <v>LUZIÂNIA</v>
      </c>
      <c r="E4748">
        <v>150</v>
      </c>
      <c r="F4748" t="s">
        <v>4273</v>
      </c>
      <c r="G4748" t="s">
        <v>4272</v>
      </c>
      <c r="H4748" t="s">
        <v>3520</v>
      </c>
      <c r="I4748">
        <v>5405</v>
      </c>
      <c r="J4748" s="3">
        <v>924</v>
      </c>
      <c r="K4748" s="3">
        <v>516.54</v>
      </c>
      <c r="L4748">
        <v>44.1</v>
      </c>
    </row>
    <row r="4749" spans="1:12">
      <c r="A4749" s="1">
        <v>46043</v>
      </c>
      <c r="B4749" t="s">
        <v>7494</v>
      </c>
      <c r="C4749">
        <v>24</v>
      </c>
      <c r="D4749" t="str">
        <f>VLOOKUP(Tabela26[[#This Row],[EMP]],[1]LOJA!$A:$B,2,0)</f>
        <v>LUZIÂNIA</v>
      </c>
      <c r="E4749">
        <v>192</v>
      </c>
      <c r="F4749" t="s">
        <v>4270</v>
      </c>
      <c r="G4749" t="s">
        <v>4269</v>
      </c>
      <c r="H4749" t="s">
        <v>3430</v>
      </c>
      <c r="I4749">
        <v>5405</v>
      </c>
      <c r="J4749" s="3">
        <v>162</v>
      </c>
      <c r="K4749" s="3">
        <v>81.099999999999994</v>
      </c>
      <c r="L4749">
        <v>49.94</v>
      </c>
    </row>
    <row r="4750" spans="1:12">
      <c r="A4750" s="1">
        <v>46043</v>
      </c>
      <c r="B4750" t="s">
        <v>7493</v>
      </c>
      <c r="C4750">
        <v>24</v>
      </c>
      <c r="D4750" t="str">
        <f>VLOOKUP(Tabela26[[#This Row],[EMP]],[1]LOJA!$A:$B,2,0)</f>
        <v>LUZIÂNIA</v>
      </c>
      <c r="E4750">
        <v>150</v>
      </c>
      <c r="F4750" t="s">
        <v>4276</v>
      </c>
      <c r="G4750" t="s">
        <v>4275</v>
      </c>
      <c r="H4750" t="s">
        <v>3520</v>
      </c>
      <c r="I4750">
        <v>5102</v>
      </c>
      <c r="J4750" s="3">
        <v>25</v>
      </c>
      <c r="K4750" s="3">
        <v>9.34</v>
      </c>
      <c r="L4750">
        <v>62.64</v>
      </c>
    </row>
    <row r="4751" spans="1:12">
      <c r="A4751" s="1">
        <v>46043</v>
      </c>
      <c r="B4751" t="s">
        <v>7492</v>
      </c>
      <c r="C4751">
        <v>24</v>
      </c>
      <c r="D4751" t="str">
        <f>VLOOKUP(Tabela26[[#This Row],[EMP]],[1]LOJA!$A:$B,2,0)</f>
        <v>LUZIÂNIA</v>
      </c>
      <c r="E4751">
        <v>150</v>
      </c>
      <c r="F4751" t="s">
        <v>7491</v>
      </c>
      <c r="G4751" t="s">
        <v>7490</v>
      </c>
      <c r="H4751" t="s">
        <v>3430</v>
      </c>
      <c r="I4751">
        <v>5405</v>
      </c>
      <c r="J4751" s="3">
        <v>1003.2</v>
      </c>
      <c r="K4751" s="3">
        <v>606.72</v>
      </c>
      <c r="L4751">
        <v>39.520000000000003</v>
      </c>
    </row>
    <row r="4752" spans="1:12">
      <c r="A4752" s="1">
        <v>46043</v>
      </c>
      <c r="B4752" t="s">
        <v>7489</v>
      </c>
      <c r="C4752">
        <v>24</v>
      </c>
      <c r="D4752" t="str">
        <f>VLOOKUP(Tabela26[[#This Row],[EMP]],[1]LOJA!$A:$B,2,0)</f>
        <v>LUZIÂNIA</v>
      </c>
      <c r="E4752">
        <v>150</v>
      </c>
      <c r="F4752" t="s">
        <v>4276</v>
      </c>
      <c r="G4752" t="s">
        <v>4275</v>
      </c>
      <c r="H4752" t="s">
        <v>3520</v>
      </c>
      <c r="I4752">
        <v>5405</v>
      </c>
      <c r="J4752" s="3">
        <v>439.53</v>
      </c>
      <c r="K4752" s="3">
        <v>220.53</v>
      </c>
      <c r="L4752">
        <v>49.83</v>
      </c>
    </row>
    <row r="4753" spans="1:12">
      <c r="A4753" s="1">
        <v>46043</v>
      </c>
      <c r="B4753" t="s">
        <v>7488</v>
      </c>
      <c r="C4753">
        <v>24</v>
      </c>
      <c r="D4753" t="str">
        <f>VLOOKUP(Tabela26[[#This Row],[EMP]],[1]LOJA!$A:$B,2,0)</f>
        <v>LUZIÂNIA</v>
      </c>
      <c r="E4753">
        <v>150</v>
      </c>
      <c r="F4753" t="s">
        <v>7487</v>
      </c>
      <c r="G4753" t="s">
        <v>7486</v>
      </c>
      <c r="H4753" t="s">
        <v>3430</v>
      </c>
      <c r="I4753">
        <v>5405</v>
      </c>
      <c r="J4753" s="3">
        <v>154</v>
      </c>
      <c r="K4753" s="3">
        <v>78.319999999999993</v>
      </c>
      <c r="L4753">
        <v>49.14</v>
      </c>
    </row>
    <row r="4754" spans="1:12">
      <c r="A4754" s="1">
        <v>46043</v>
      </c>
      <c r="B4754" t="s">
        <v>7485</v>
      </c>
      <c r="C4754">
        <v>24</v>
      </c>
      <c r="D4754" t="str">
        <f>VLOOKUP(Tabela26[[#This Row],[EMP]],[1]LOJA!$A:$B,2,0)</f>
        <v>LUZIÂNIA</v>
      </c>
      <c r="E4754">
        <v>150</v>
      </c>
      <c r="F4754" t="s">
        <v>5987</v>
      </c>
      <c r="G4754" t="s">
        <v>5986</v>
      </c>
      <c r="H4754" t="s">
        <v>7043</v>
      </c>
      <c r="I4754">
        <v>5405</v>
      </c>
      <c r="J4754" s="3">
        <v>426.84</v>
      </c>
      <c r="K4754" s="3">
        <v>212.43</v>
      </c>
      <c r="L4754">
        <v>50.23</v>
      </c>
    </row>
    <row r="4755" spans="1:12">
      <c r="A4755" s="1">
        <v>46043</v>
      </c>
      <c r="B4755" t="s">
        <v>7484</v>
      </c>
      <c r="C4755">
        <v>16</v>
      </c>
      <c r="D4755" t="str">
        <f>VLOOKUP(Tabela26[[#This Row],[EMP]],[1]LOJA!$A:$B,2,0)</f>
        <v>AG LINDAS</v>
      </c>
      <c r="E4755">
        <v>107</v>
      </c>
      <c r="F4755" t="s">
        <v>4267</v>
      </c>
      <c r="G4755" t="s">
        <v>4266</v>
      </c>
      <c r="H4755" t="s">
        <v>3430</v>
      </c>
      <c r="I4755">
        <v>5102</v>
      </c>
      <c r="J4755" s="3">
        <v>39</v>
      </c>
      <c r="K4755" s="3">
        <v>22.4</v>
      </c>
      <c r="L4755">
        <v>42.56</v>
      </c>
    </row>
    <row r="4756" spans="1:12">
      <c r="A4756" s="1">
        <v>46043</v>
      </c>
      <c r="B4756" t="s">
        <v>7483</v>
      </c>
      <c r="C4756">
        <v>20</v>
      </c>
      <c r="D4756" t="str">
        <f>VLOOKUP(Tabela26[[#This Row],[EMP]],[1]LOJA!$A:$B,2,0)</f>
        <v>DAUTO SERVIÇOS</v>
      </c>
      <c r="E4756">
        <v>232</v>
      </c>
      <c r="F4756" t="s">
        <v>5481</v>
      </c>
      <c r="G4756" t="s">
        <v>5480</v>
      </c>
      <c r="H4756" t="s">
        <v>3430</v>
      </c>
      <c r="I4756">
        <v>5933</v>
      </c>
      <c r="J4756" s="3">
        <v>693.82</v>
      </c>
      <c r="K4756" s="3">
        <v>0</v>
      </c>
      <c r="L4756">
        <v>100</v>
      </c>
    </row>
    <row r="4757" spans="1:12">
      <c r="A4757" s="1">
        <v>46043</v>
      </c>
      <c r="B4757" t="s">
        <v>7482</v>
      </c>
      <c r="C4757">
        <v>20</v>
      </c>
      <c r="D4757" t="str">
        <f>VLOOKUP(Tabela26[[#This Row],[EMP]],[1]LOJA!$A:$B,2,0)</f>
        <v>DAUTO SERVIÇOS</v>
      </c>
      <c r="E4757">
        <v>232</v>
      </c>
      <c r="F4757" t="s">
        <v>4260</v>
      </c>
      <c r="G4757" t="s">
        <v>5471</v>
      </c>
      <c r="H4757" t="s">
        <v>3430</v>
      </c>
      <c r="I4757">
        <v>5933</v>
      </c>
      <c r="J4757" s="3">
        <v>3014.83</v>
      </c>
      <c r="K4757" s="3">
        <v>0</v>
      </c>
      <c r="L4757">
        <v>100</v>
      </c>
    </row>
    <row r="4758" spans="1:12">
      <c r="A4758" s="1">
        <v>46043</v>
      </c>
      <c r="B4758" t="s">
        <v>7481</v>
      </c>
      <c r="C4758">
        <v>20</v>
      </c>
      <c r="D4758" t="str">
        <f>VLOOKUP(Tabela26[[#This Row],[EMP]],[1]LOJA!$A:$B,2,0)</f>
        <v>DAUTO SERVIÇOS</v>
      </c>
      <c r="E4758">
        <v>232</v>
      </c>
      <c r="F4758" t="s">
        <v>4260</v>
      </c>
      <c r="G4758" t="s">
        <v>5471</v>
      </c>
      <c r="H4758" t="s">
        <v>3430</v>
      </c>
      <c r="I4758">
        <v>5933</v>
      </c>
      <c r="J4758" s="3">
        <v>1513.7</v>
      </c>
      <c r="K4758" s="3">
        <v>0</v>
      </c>
      <c r="L4758">
        <v>100</v>
      </c>
    </row>
    <row r="4759" spans="1:12">
      <c r="A4759" s="1">
        <v>46043</v>
      </c>
      <c r="B4759" t="s">
        <v>7480</v>
      </c>
      <c r="C4759">
        <v>20</v>
      </c>
      <c r="D4759" t="str">
        <f>VLOOKUP(Tabela26[[#This Row],[EMP]],[1]LOJA!$A:$B,2,0)</f>
        <v>DAUTO SERVIÇOS</v>
      </c>
      <c r="E4759">
        <v>232</v>
      </c>
      <c r="F4759" t="s">
        <v>4260</v>
      </c>
      <c r="G4759" t="s">
        <v>5471</v>
      </c>
      <c r="H4759" t="s">
        <v>3430</v>
      </c>
      <c r="I4759">
        <v>5933</v>
      </c>
      <c r="J4759" s="3">
        <v>3501.56</v>
      </c>
      <c r="K4759" s="3">
        <v>0</v>
      </c>
      <c r="L4759">
        <v>100</v>
      </c>
    </row>
    <row r="4760" spans="1:12">
      <c r="A4760" s="1">
        <v>46043</v>
      </c>
      <c r="B4760" t="s">
        <v>7479</v>
      </c>
      <c r="C4760">
        <v>20</v>
      </c>
      <c r="D4760" t="str">
        <f>VLOOKUP(Tabela26[[#This Row],[EMP]],[1]LOJA!$A:$B,2,0)</f>
        <v>DAUTO SERVIÇOS</v>
      </c>
      <c r="E4760">
        <v>232</v>
      </c>
      <c r="F4760" t="s">
        <v>4260</v>
      </c>
      <c r="G4760" t="s">
        <v>5471</v>
      </c>
      <c r="H4760" t="s">
        <v>3430</v>
      </c>
      <c r="I4760">
        <v>5933</v>
      </c>
      <c r="J4760" s="3">
        <v>3964.44</v>
      </c>
      <c r="K4760" s="3">
        <v>0</v>
      </c>
      <c r="L4760">
        <v>100</v>
      </c>
    </row>
    <row r="4761" spans="1:12">
      <c r="A4761" s="1">
        <v>46043</v>
      </c>
      <c r="B4761" t="s">
        <v>7478</v>
      </c>
      <c r="C4761">
        <v>20</v>
      </c>
      <c r="D4761" t="str">
        <f>VLOOKUP(Tabela26[[#This Row],[EMP]],[1]LOJA!$A:$B,2,0)</f>
        <v>DAUTO SERVIÇOS</v>
      </c>
      <c r="E4761">
        <v>232</v>
      </c>
      <c r="F4761" t="s">
        <v>4260</v>
      </c>
      <c r="G4761" t="s">
        <v>5471</v>
      </c>
      <c r="H4761" t="s">
        <v>3430</v>
      </c>
      <c r="I4761">
        <v>5933</v>
      </c>
      <c r="J4761" s="3">
        <v>1893.75</v>
      </c>
      <c r="K4761" s="3">
        <v>0</v>
      </c>
      <c r="L4761">
        <v>100</v>
      </c>
    </row>
    <row r="4762" spans="1:12">
      <c r="A4762" s="1">
        <v>46043</v>
      </c>
      <c r="B4762" t="s">
        <v>7477</v>
      </c>
      <c r="C4762">
        <v>20</v>
      </c>
      <c r="D4762" t="str">
        <f>VLOOKUP(Tabela26[[#This Row],[EMP]],[1]LOJA!$A:$B,2,0)</f>
        <v>DAUTO SERVIÇOS</v>
      </c>
      <c r="E4762">
        <v>232</v>
      </c>
      <c r="F4762" t="s">
        <v>4260</v>
      </c>
      <c r="G4762" t="s">
        <v>5471</v>
      </c>
      <c r="H4762" t="s">
        <v>3430</v>
      </c>
      <c r="I4762">
        <v>5933</v>
      </c>
      <c r="J4762" s="3">
        <v>2658.12</v>
      </c>
      <c r="K4762" s="3">
        <v>0</v>
      </c>
      <c r="L4762">
        <v>100</v>
      </c>
    </row>
    <row r="4763" spans="1:12">
      <c r="A4763" s="1">
        <v>46043</v>
      </c>
      <c r="B4763" t="s">
        <v>7476</v>
      </c>
      <c r="C4763">
        <v>20</v>
      </c>
      <c r="D4763" t="str">
        <f>VLOOKUP(Tabela26[[#This Row],[EMP]],[1]LOJA!$A:$B,2,0)</f>
        <v>DAUTO SERVIÇOS</v>
      </c>
      <c r="E4763">
        <v>232</v>
      </c>
      <c r="F4763" t="s">
        <v>4260</v>
      </c>
      <c r="G4763" t="s">
        <v>5471</v>
      </c>
      <c r="H4763" t="s">
        <v>3430</v>
      </c>
      <c r="I4763">
        <v>5933</v>
      </c>
      <c r="J4763" s="3">
        <v>2720</v>
      </c>
      <c r="K4763" s="3">
        <v>0</v>
      </c>
      <c r="L4763">
        <v>100</v>
      </c>
    </row>
    <row r="4764" spans="1:12">
      <c r="A4764" s="1">
        <v>46043</v>
      </c>
      <c r="B4764" t="s">
        <v>7475</v>
      </c>
      <c r="C4764">
        <v>20</v>
      </c>
      <c r="D4764" t="str">
        <f>VLOOKUP(Tabela26[[#This Row],[EMP]],[1]LOJA!$A:$B,2,0)</f>
        <v>DAUTO SERVIÇOS</v>
      </c>
      <c r="E4764">
        <v>232</v>
      </c>
      <c r="F4764" t="s">
        <v>4260</v>
      </c>
      <c r="G4764" t="s">
        <v>5471</v>
      </c>
      <c r="H4764" t="s">
        <v>3430</v>
      </c>
      <c r="I4764">
        <v>5933</v>
      </c>
      <c r="J4764" s="3">
        <v>4470.53</v>
      </c>
      <c r="K4764" s="3">
        <v>0</v>
      </c>
      <c r="L4764">
        <v>100</v>
      </c>
    </row>
    <row r="4765" spans="1:12">
      <c r="A4765" s="1">
        <v>46043</v>
      </c>
      <c r="B4765" t="s">
        <v>7474</v>
      </c>
      <c r="C4765">
        <v>20</v>
      </c>
      <c r="D4765" t="str">
        <f>VLOOKUP(Tabela26[[#This Row],[EMP]],[1]LOJA!$A:$B,2,0)</f>
        <v>DAUTO SERVIÇOS</v>
      </c>
      <c r="E4765">
        <v>232</v>
      </c>
      <c r="F4765" t="s">
        <v>4260</v>
      </c>
      <c r="G4765" t="s">
        <v>5471</v>
      </c>
      <c r="H4765" t="s">
        <v>3430</v>
      </c>
      <c r="I4765">
        <v>5933</v>
      </c>
      <c r="J4765" s="3">
        <v>1828.93</v>
      </c>
      <c r="K4765" s="3">
        <v>0</v>
      </c>
      <c r="L4765">
        <v>100</v>
      </c>
    </row>
    <row r="4766" spans="1:12">
      <c r="A4766" s="1">
        <v>46043</v>
      </c>
      <c r="B4766" t="s">
        <v>7473</v>
      </c>
      <c r="C4766">
        <v>15</v>
      </c>
      <c r="D4766" t="str">
        <f>VLOOKUP(Tabela26[[#This Row],[EMP]],[1]LOJA!$A:$B,2,0)</f>
        <v>UNAÍ</v>
      </c>
      <c r="E4766">
        <v>183</v>
      </c>
      <c r="F4766" t="s">
        <v>4731</v>
      </c>
      <c r="G4766" t="s">
        <v>4730</v>
      </c>
      <c r="H4766" t="s">
        <v>3401</v>
      </c>
      <c r="I4766">
        <v>1202</v>
      </c>
      <c r="J4766" s="3">
        <v>-259.81</v>
      </c>
      <c r="K4766" s="3">
        <v>-142.16</v>
      </c>
      <c r="L4766">
        <v>45.28</v>
      </c>
    </row>
    <row r="4767" spans="1:12">
      <c r="A4767" s="1">
        <v>46043</v>
      </c>
      <c r="B4767" t="s">
        <v>7472</v>
      </c>
      <c r="C4767">
        <v>15</v>
      </c>
      <c r="D4767" t="str">
        <f>VLOOKUP(Tabela26[[#This Row],[EMP]],[1]LOJA!$A:$B,2,0)</f>
        <v>UNAÍ</v>
      </c>
      <c r="E4767">
        <v>183</v>
      </c>
      <c r="F4767" t="s">
        <v>4701</v>
      </c>
      <c r="G4767" t="s">
        <v>4700</v>
      </c>
      <c r="H4767" t="s">
        <v>3401</v>
      </c>
      <c r="I4767">
        <v>5102</v>
      </c>
      <c r="J4767" s="3">
        <v>129.4</v>
      </c>
      <c r="K4767" s="3">
        <v>69.45</v>
      </c>
      <c r="L4767">
        <v>46.33</v>
      </c>
    </row>
    <row r="4768" spans="1:12">
      <c r="A4768" s="1">
        <v>46043</v>
      </c>
      <c r="B4768" t="s">
        <v>7471</v>
      </c>
      <c r="C4768">
        <v>15</v>
      </c>
      <c r="D4768" t="str">
        <f>VLOOKUP(Tabela26[[#This Row],[EMP]],[1]LOJA!$A:$B,2,0)</f>
        <v>UNAÍ</v>
      </c>
      <c r="E4768">
        <v>183</v>
      </c>
      <c r="F4768" t="s">
        <v>4686</v>
      </c>
      <c r="G4768" t="s">
        <v>4685</v>
      </c>
      <c r="H4768" t="s">
        <v>3520</v>
      </c>
      <c r="I4768">
        <v>5102</v>
      </c>
      <c r="J4768" s="3">
        <v>220</v>
      </c>
      <c r="K4768" s="3">
        <v>100.71</v>
      </c>
      <c r="L4768">
        <v>54.22</v>
      </c>
    </row>
    <row r="4769" spans="1:12">
      <c r="A4769" s="1">
        <v>46043</v>
      </c>
      <c r="B4769" t="s">
        <v>7470</v>
      </c>
      <c r="C4769">
        <v>15</v>
      </c>
      <c r="D4769" t="str">
        <f>VLOOKUP(Tabela26[[#This Row],[EMP]],[1]LOJA!$A:$B,2,0)</f>
        <v>UNAÍ</v>
      </c>
      <c r="E4769">
        <v>183</v>
      </c>
      <c r="F4769" t="s">
        <v>7469</v>
      </c>
      <c r="G4769" t="s">
        <v>7468</v>
      </c>
      <c r="H4769" t="s">
        <v>3401</v>
      </c>
      <c r="I4769">
        <v>5102</v>
      </c>
      <c r="J4769" s="3">
        <v>126</v>
      </c>
      <c r="K4769" s="3">
        <v>77.28</v>
      </c>
      <c r="L4769">
        <v>38.67</v>
      </c>
    </row>
    <row r="4770" spans="1:12">
      <c r="A4770" s="1">
        <v>46043</v>
      </c>
      <c r="B4770" t="s">
        <v>7467</v>
      </c>
      <c r="C4770">
        <v>15</v>
      </c>
      <c r="D4770" t="str">
        <f>VLOOKUP(Tabela26[[#This Row],[EMP]],[1]LOJA!$A:$B,2,0)</f>
        <v>UNAÍ</v>
      </c>
      <c r="E4770">
        <v>183</v>
      </c>
      <c r="F4770" t="s">
        <v>4686</v>
      </c>
      <c r="G4770" t="s">
        <v>4685</v>
      </c>
      <c r="H4770" t="s">
        <v>3520</v>
      </c>
      <c r="I4770">
        <v>5405</v>
      </c>
      <c r="J4770" s="3">
        <v>140</v>
      </c>
      <c r="K4770" s="3">
        <v>67.930000000000007</v>
      </c>
      <c r="L4770">
        <v>51.48</v>
      </c>
    </row>
    <row r="4771" spans="1:12">
      <c r="A4771" s="1">
        <v>46043</v>
      </c>
      <c r="B4771" t="s">
        <v>7466</v>
      </c>
      <c r="C4771">
        <v>15</v>
      </c>
      <c r="D4771" t="str">
        <f>VLOOKUP(Tabela26[[#This Row],[EMP]],[1]LOJA!$A:$B,2,0)</f>
        <v>UNAÍ</v>
      </c>
      <c r="E4771">
        <v>183</v>
      </c>
      <c r="F4771" t="s">
        <v>7465</v>
      </c>
      <c r="G4771" t="s">
        <v>7464</v>
      </c>
      <c r="H4771" t="s">
        <v>3401</v>
      </c>
      <c r="I4771">
        <v>5405</v>
      </c>
      <c r="J4771" s="3">
        <v>15</v>
      </c>
      <c r="K4771" s="3">
        <v>6.92</v>
      </c>
      <c r="L4771">
        <v>53.87</v>
      </c>
    </row>
    <row r="4772" spans="1:12">
      <c r="A4772" s="1">
        <v>46043</v>
      </c>
      <c r="B4772" t="s">
        <v>7463</v>
      </c>
      <c r="C4772">
        <v>22</v>
      </c>
      <c r="D4772" t="str">
        <f>VLOOKUP(Tabela26[[#This Row],[EMP]],[1]LOJA!$A:$B,2,0)</f>
        <v>GUARÁ</v>
      </c>
      <c r="E4772">
        <v>93</v>
      </c>
      <c r="F4772" t="s">
        <v>3535</v>
      </c>
      <c r="G4772" t="s">
        <v>3534</v>
      </c>
      <c r="H4772" t="s">
        <v>5887</v>
      </c>
      <c r="I4772">
        <v>5405</v>
      </c>
      <c r="J4772" s="3">
        <v>384.35</v>
      </c>
      <c r="K4772" s="3">
        <v>208.1</v>
      </c>
      <c r="L4772">
        <v>45.86</v>
      </c>
    </row>
    <row r="4773" spans="1:12">
      <c r="A4773" s="1">
        <v>46043</v>
      </c>
      <c r="B4773" t="s">
        <v>7462</v>
      </c>
      <c r="C4773">
        <v>22</v>
      </c>
      <c r="D4773" t="str">
        <f>VLOOKUP(Tabela26[[#This Row],[EMP]],[1]LOJA!$A:$B,2,0)</f>
        <v>GUARÁ</v>
      </c>
      <c r="E4773">
        <v>93</v>
      </c>
      <c r="F4773" t="s">
        <v>4246</v>
      </c>
      <c r="G4773" t="s">
        <v>4245</v>
      </c>
      <c r="H4773" t="s">
        <v>3430</v>
      </c>
      <c r="I4773">
        <v>5405</v>
      </c>
      <c r="J4773" s="3">
        <v>763.75</v>
      </c>
      <c r="K4773" s="3">
        <v>393.48</v>
      </c>
      <c r="L4773">
        <v>48.48</v>
      </c>
    </row>
    <row r="4774" spans="1:12">
      <c r="A4774" s="1">
        <v>46043</v>
      </c>
      <c r="B4774" t="s">
        <v>7461</v>
      </c>
      <c r="C4774">
        <v>22</v>
      </c>
      <c r="D4774" t="str">
        <f>VLOOKUP(Tabela26[[#This Row],[EMP]],[1]LOJA!$A:$B,2,0)</f>
        <v>GUARÁ</v>
      </c>
      <c r="E4774">
        <v>93</v>
      </c>
      <c r="F4774" t="s">
        <v>7460</v>
      </c>
      <c r="G4774" t="s">
        <v>7459</v>
      </c>
      <c r="H4774" t="s">
        <v>3408</v>
      </c>
      <c r="I4774">
        <v>5405</v>
      </c>
      <c r="J4774" s="3">
        <v>148</v>
      </c>
      <c r="K4774" s="3">
        <v>91.63</v>
      </c>
      <c r="L4774">
        <v>38.090000000000003</v>
      </c>
    </row>
    <row r="4775" spans="1:12">
      <c r="A4775" s="1">
        <v>46043</v>
      </c>
      <c r="B4775" t="s">
        <v>7458</v>
      </c>
      <c r="C4775">
        <v>22</v>
      </c>
      <c r="D4775" t="str">
        <f>VLOOKUP(Tabela26[[#This Row],[EMP]],[1]LOJA!$A:$B,2,0)</f>
        <v>GUARÁ</v>
      </c>
      <c r="E4775">
        <v>93</v>
      </c>
      <c r="F4775" t="s">
        <v>3542</v>
      </c>
      <c r="G4775" t="s">
        <v>3541</v>
      </c>
      <c r="H4775" t="s">
        <v>3430</v>
      </c>
      <c r="I4775">
        <v>5405</v>
      </c>
      <c r="J4775" s="3">
        <v>140</v>
      </c>
      <c r="K4775" s="3">
        <v>65.47</v>
      </c>
      <c r="L4775">
        <v>53.24</v>
      </c>
    </row>
    <row r="4776" spans="1:12">
      <c r="A4776" s="1">
        <v>46043</v>
      </c>
      <c r="B4776" t="s">
        <v>7457</v>
      </c>
      <c r="C4776">
        <v>24</v>
      </c>
      <c r="D4776" t="str">
        <f>VLOOKUP(Tabela26[[#This Row],[EMP]],[1]LOJA!$A:$B,2,0)</f>
        <v>LUZIÂNIA</v>
      </c>
      <c r="E4776">
        <v>192</v>
      </c>
      <c r="F4776" t="s">
        <v>3524</v>
      </c>
      <c r="G4776" t="s">
        <v>3402</v>
      </c>
      <c r="H4776" t="s">
        <v>3401</v>
      </c>
      <c r="I4776">
        <v>5102</v>
      </c>
      <c r="J4776" s="3">
        <v>200</v>
      </c>
      <c r="K4776" s="3">
        <v>105.31</v>
      </c>
      <c r="L4776">
        <v>47.35</v>
      </c>
    </row>
    <row r="4777" spans="1:12">
      <c r="A4777" s="1">
        <v>46043</v>
      </c>
      <c r="B4777" t="s">
        <v>7456</v>
      </c>
      <c r="C4777">
        <v>24</v>
      </c>
      <c r="D4777" t="str">
        <f>VLOOKUP(Tabela26[[#This Row],[EMP]],[1]LOJA!$A:$B,2,0)</f>
        <v>LUZIÂNIA</v>
      </c>
      <c r="E4777">
        <v>192</v>
      </c>
      <c r="F4777" t="s">
        <v>3524</v>
      </c>
      <c r="G4777" t="s">
        <v>3402</v>
      </c>
      <c r="H4777" t="s">
        <v>3401</v>
      </c>
      <c r="I4777">
        <v>5102</v>
      </c>
      <c r="J4777" s="3">
        <v>14</v>
      </c>
      <c r="K4777" s="3">
        <v>6.36</v>
      </c>
      <c r="L4777">
        <v>54.57</v>
      </c>
    </row>
    <row r="4778" spans="1:12">
      <c r="A4778" s="1">
        <v>46043</v>
      </c>
      <c r="B4778" t="s">
        <v>7455</v>
      </c>
      <c r="C4778">
        <v>24</v>
      </c>
      <c r="D4778" t="str">
        <f>VLOOKUP(Tabela26[[#This Row],[EMP]],[1]LOJA!$A:$B,2,0)</f>
        <v>LUZIÂNIA</v>
      </c>
      <c r="E4778">
        <v>192</v>
      </c>
      <c r="F4778" t="s">
        <v>3524</v>
      </c>
      <c r="G4778" t="s">
        <v>3402</v>
      </c>
      <c r="H4778" t="s">
        <v>3401</v>
      </c>
      <c r="I4778">
        <v>5102</v>
      </c>
      <c r="J4778" s="3">
        <v>6</v>
      </c>
      <c r="K4778" s="3">
        <v>3.08</v>
      </c>
      <c r="L4778">
        <v>48.67</v>
      </c>
    </row>
    <row r="4779" spans="1:12">
      <c r="A4779" s="1">
        <v>46043</v>
      </c>
      <c r="B4779" t="s">
        <v>7454</v>
      </c>
      <c r="C4779">
        <v>24</v>
      </c>
      <c r="D4779" t="str">
        <f>VLOOKUP(Tabela26[[#This Row],[EMP]],[1]LOJA!$A:$B,2,0)</f>
        <v>LUZIÂNIA</v>
      </c>
      <c r="E4779">
        <v>192</v>
      </c>
      <c r="F4779" t="s">
        <v>3524</v>
      </c>
      <c r="G4779" t="s">
        <v>3402</v>
      </c>
      <c r="H4779" t="s">
        <v>3401</v>
      </c>
      <c r="I4779">
        <v>5102</v>
      </c>
      <c r="J4779" s="3">
        <v>18</v>
      </c>
      <c r="K4779" s="3">
        <v>8.32</v>
      </c>
      <c r="L4779">
        <v>53.78</v>
      </c>
    </row>
    <row r="4780" spans="1:12">
      <c r="A4780" s="1">
        <v>46043</v>
      </c>
      <c r="B4780" t="s">
        <v>7453</v>
      </c>
      <c r="C4780">
        <v>24</v>
      </c>
      <c r="D4780" t="str">
        <f>VLOOKUP(Tabela26[[#This Row],[EMP]],[1]LOJA!$A:$B,2,0)</f>
        <v>LUZIÂNIA</v>
      </c>
      <c r="E4780">
        <v>192</v>
      </c>
      <c r="F4780" t="s">
        <v>3524</v>
      </c>
      <c r="G4780" t="s">
        <v>3402</v>
      </c>
      <c r="H4780" t="s">
        <v>3401</v>
      </c>
      <c r="I4780">
        <v>5102</v>
      </c>
      <c r="J4780" s="3">
        <v>75</v>
      </c>
      <c r="K4780" s="3">
        <v>33.979999999999997</v>
      </c>
      <c r="L4780">
        <v>54.69</v>
      </c>
    </row>
    <row r="4781" spans="1:12">
      <c r="A4781" s="1">
        <v>46043</v>
      </c>
      <c r="B4781" t="s">
        <v>7452</v>
      </c>
      <c r="C4781">
        <v>24</v>
      </c>
      <c r="D4781" t="str">
        <f>VLOOKUP(Tabela26[[#This Row],[EMP]],[1]LOJA!$A:$B,2,0)</f>
        <v>LUZIÂNIA</v>
      </c>
      <c r="E4781">
        <v>192</v>
      </c>
      <c r="F4781" t="s">
        <v>3524</v>
      </c>
      <c r="G4781" t="s">
        <v>3402</v>
      </c>
      <c r="H4781" t="s">
        <v>3401</v>
      </c>
      <c r="I4781">
        <v>5102</v>
      </c>
      <c r="J4781" s="3">
        <v>16.899999999999999</v>
      </c>
      <c r="K4781" s="3">
        <v>9.65</v>
      </c>
      <c r="L4781">
        <v>42.9</v>
      </c>
    </row>
    <row r="4782" spans="1:12">
      <c r="A4782" s="1">
        <v>46043</v>
      </c>
      <c r="B4782" t="s">
        <v>7451</v>
      </c>
      <c r="C4782">
        <v>24</v>
      </c>
      <c r="D4782" t="str">
        <f>VLOOKUP(Tabela26[[#This Row],[EMP]],[1]LOJA!$A:$B,2,0)</f>
        <v>LUZIÂNIA</v>
      </c>
      <c r="E4782">
        <v>150</v>
      </c>
      <c r="F4782" t="s">
        <v>4201</v>
      </c>
      <c r="G4782" t="s">
        <v>4200</v>
      </c>
      <c r="H4782" t="s">
        <v>3408</v>
      </c>
      <c r="I4782">
        <v>5405</v>
      </c>
      <c r="J4782" s="3">
        <v>1087.4000000000001</v>
      </c>
      <c r="K4782" s="3">
        <v>620.86</v>
      </c>
      <c r="L4782">
        <v>42.9</v>
      </c>
    </row>
    <row r="4783" spans="1:12">
      <c r="A4783" s="1">
        <v>46043</v>
      </c>
      <c r="B4783" t="s">
        <v>7450</v>
      </c>
      <c r="C4783">
        <v>24</v>
      </c>
      <c r="D4783" t="str">
        <f>VLOOKUP(Tabela26[[#This Row],[EMP]],[1]LOJA!$A:$B,2,0)</f>
        <v>LUZIÂNIA</v>
      </c>
      <c r="E4783">
        <v>192</v>
      </c>
      <c r="F4783" t="s">
        <v>6968</v>
      </c>
      <c r="G4783" t="s">
        <v>6967</v>
      </c>
      <c r="H4783" t="s">
        <v>3408</v>
      </c>
      <c r="I4783">
        <v>5102</v>
      </c>
      <c r="J4783" s="3">
        <v>14</v>
      </c>
      <c r="K4783" s="3">
        <v>6.36</v>
      </c>
      <c r="L4783">
        <v>54.57</v>
      </c>
    </row>
    <row r="4784" spans="1:12">
      <c r="A4784" s="1">
        <v>46043</v>
      </c>
      <c r="B4784" t="s">
        <v>7449</v>
      </c>
      <c r="C4784">
        <v>24</v>
      </c>
      <c r="D4784" t="str">
        <f>VLOOKUP(Tabela26[[#This Row],[EMP]],[1]LOJA!$A:$B,2,0)</f>
        <v>LUZIÂNIA</v>
      </c>
      <c r="E4784">
        <v>150</v>
      </c>
      <c r="F4784" t="s">
        <v>4880</v>
      </c>
      <c r="G4784" t="s">
        <v>4879</v>
      </c>
      <c r="H4784" t="s">
        <v>3408</v>
      </c>
      <c r="I4784">
        <v>5405</v>
      </c>
      <c r="J4784" s="3">
        <v>70</v>
      </c>
      <c r="K4784" s="3">
        <v>31.55</v>
      </c>
      <c r="L4784">
        <v>54.93</v>
      </c>
    </row>
    <row r="4785" spans="1:12">
      <c r="A4785" s="1">
        <v>46043</v>
      </c>
      <c r="B4785" t="s">
        <v>7448</v>
      </c>
      <c r="C4785">
        <v>24</v>
      </c>
      <c r="D4785" t="str">
        <f>VLOOKUP(Tabela26[[#This Row],[EMP]],[1]LOJA!$A:$B,2,0)</f>
        <v>LUZIÂNIA</v>
      </c>
      <c r="E4785">
        <v>150</v>
      </c>
      <c r="F4785" t="s">
        <v>4880</v>
      </c>
      <c r="G4785" t="s">
        <v>4879</v>
      </c>
      <c r="H4785" t="s">
        <v>3408</v>
      </c>
      <c r="I4785">
        <v>5102</v>
      </c>
      <c r="J4785" s="3">
        <v>8</v>
      </c>
      <c r="K4785" s="3">
        <v>3.91</v>
      </c>
      <c r="L4785">
        <v>51.13</v>
      </c>
    </row>
    <row r="4786" spans="1:12">
      <c r="A4786" s="1">
        <v>46043</v>
      </c>
      <c r="B4786" t="s">
        <v>7447</v>
      </c>
      <c r="C4786">
        <v>24</v>
      </c>
      <c r="D4786" t="str">
        <f>VLOOKUP(Tabela26[[#This Row],[EMP]],[1]LOJA!$A:$B,2,0)</f>
        <v>LUZIÂNIA</v>
      </c>
      <c r="E4786">
        <v>192</v>
      </c>
      <c r="F4786" t="s">
        <v>3524</v>
      </c>
      <c r="G4786" t="s">
        <v>3402</v>
      </c>
      <c r="H4786" t="s">
        <v>3401</v>
      </c>
      <c r="I4786">
        <v>5102</v>
      </c>
      <c r="J4786" s="3">
        <v>15</v>
      </c>
      <c r="K4786" s="3">
        <v>7.82</v>
      </c>
      <c r="L4786">
        <v>47.87</v>
      </c>
    </row>
    <row r="4787" spans="1:12">
      <c r="A4787" s="1">
        <v>46043</v>
      </c>
      <c r="B4787" t="s">
        <v>7446</v>
      </c>
      <c r="C4787">
        <v>24</v>
      </c>
      <c r="D4787" t="str">
        <f>VLOOKUP(Tabela26[[#This Row],[EMP]],[1]LOJA!$A:$B,2,0)</f>
        <v>LUZIÂNIA</v>
      </c>
      <c r="E4787">
        <v>150</v>
      </c>
      <c r="F4787" t="s">
        <v>3524</v>
      </c>
      <c r="G4787" t="s">
        <v>3402</v>
      </c>
      <c r="H4787" t="s">
        <v>3401</v>
      </c>
      <c r="I4787">
        <v>5102</v>
      </c>
      <c r="J4787" s="3">
        <v>35</v>
      </c>
      <c r="K4787" s="3">
        <v>19.46</v>
      </c>
      <c r="L4787">
        <v>44.4</v>
      </c>
    </row>
    <row r="4788" spans="1:12">
      <c r="A4788" s="1">
        <v>46043</v>
      </c>
      <c r="B4788" t="s">
        <v>7445</v>
      </c>
      <c r="C4788">
        <v>24</v>
      </c>
      <c r="D4788" t="str">
        <f>VLOOKUP(Tabela26[[#This Row],[EMP]],[1]LOJA!$A:$B,2,0)</f>
        <v>LUZIÂNIA</v>
      </c>
      <c r="E4788">
        <v>192</v>
      </c>
      <c r="F4788" t="s">
        <v>4224</v>
      </c>
      <c r="G4788" t="s">
        <v>3402</v>
      </c>
      <c r="H4788" t="s">
        <v>3408</v>
      </c>
      <c r="I4788">
        <v>5405</v>
      </c>
      <c r="J4788" s="3">
        <v>199</v>
      </c>
      <c r="K4788" s="3">
        <v>98.96</v>
      </c>
      <c r="L4788">
        <v>50.27</v>
      </c>
    </row>
    <row r="4789" spans="1:12">
      <c r="A4789" s="1">
        <v>46043</v>
      </c>
      <c r="B4789" t="s">
        <v>7444</v>
      </c>
      <c r="C4789">
        <v>24</v>
      </c>
      <c r="D4789" t="str">
        <f>VLOOKUP(Tabela26[[#This Row],[EMP]],[1]LOJA!$A:$B,2,0)</f>
        <v>LUZIÂNIA</v>
      </c>
      <c r="E4789">
        <v>242</v>
      </c>
      <c r="F4789" t="s">
        <v>3524</v>
      </c>
      <c r="G4789" t="s">
        <v>3402</v>
      </c>
      <c r="H4789" t="s">
        <v>3401</v>
      </c>
      <c r="I4789">
        <v>5405</v>
      </c>
      <c r="J4789" s="3">
        <v>150</v>
      </c>
      <c r="K4789" s="3">
        <v>70.39</v>
      </c>
      <c r="L4789">
        <v>53.07</v>
      </c>
    </row>
    <row r="4790" spans="1:12">
      <c r="A4790" s="1">
        <v>46043</v>
      </c>
      <c r="B4790" t="s">
        <v>7443</v>
      </c>
      <c r="C4790">
        <v>24</v>
      </c>
      <c r="D4790" t="str">
        <f>VLOOKUP(Tabela26[[#This Row],[EMP]],[1]LOJA!$A:$B,2,0)</f>
        <v>LUZIÂNIA</v>
      </c>
      <c r="E4790">
        <v>192</v>
      </c>
      <c r="F4790" t="s">
        <v>3524</v>
      </c>
      <c r="G4790" t="s">
        <v>3402</v>
      </c>
      <c r="H4790" t="s">
        <v>3401</v>
      </c>
      <c r="I4790">
        <v>5102</v>
      </c>
      <c r="J4790" s="3">
        <v>22</v>
      </c>
      <c r="K4790" s="3">
        <v>12.51</v>
      </c>
      <c r="L4790">
        <v>43.14</v>
      </c>
    </row>
    <row r="4791" spans="1:12">
      <c r="A4791" s="1">
        <v>46043</v>
      </c>
      <c r="B4791" t="s">
        <v>7442</v>
      </c>
      <c r="C4791">
        <v>24</v>
      </c>
      <c r="D4791" t="str">
        <f>VLOOKUP(Tabela26[[#This Row],[EMP]],[1]LOJA!$A:$B,2,0)</f>
        <v>LUZIÂNIA</v>
      </c>
      <c r="E4791">
        <v>150</v>
      </c>
      <c r="F4791" t="s">
        <v>5922</v>
      </c>
      <c r="G4791" t="s">
        <v>5921</v>
      </c>
      <c r="H4791" t="s">
        <v>3401</v>
      </c>
      <c r="I4791">
        <v>5405</v>
      </c>
      <c r="J4791" s="3">
        <v>89.9</v>
      </c>
      <c r="K4791" s="3">
        <v>52</v>
      </c>
      <c r="L4791">
        <v>42.16</v>
      </c>
    </row>
    <row r="4792" spans="1:12">
      <c r="A4792" s="1">
        <v>46043</v>
      </c>
      <c r="B4792" t="s">
        <v>7441</v>
      </c>
      <c r="C4792">
        <v>24</v>
      </c>
      <c r="D4792" t="str">
        <f>VLOOKUP(Tabela26[[#This Row],[EMP]],[1]LOJA!$A:$B,2,0)</f>
        <v>LUZIÂNIA</v>
      </c>
      <c r="E4792">
        <v>192</v>
      </c>
      <c r="F4792" t="s">
        <v>3524</v>
      </c>
      <c r="G4792" t="s">
        <v>3402</v>
      </c>
      <c r="H4792" t="s">
        <v>3401</v>
      </c>
      <c r="I4792">
        <v>5405</v>
      </c>
      <c r="J4792" s="3">
        <v>137</v>
      </c>
      <c r="K4792" s="3">
        <v>63.72</v>
      </c>
      <c r="L4792">
        <v>53.49</v>
      </c>
    </row>
    <row r="4793" spans="1:12">
      <c r="A4793" s="1">
        <v>46043</v>
      </c>
      <c r="B4793" t="s">
        <v>7440</v>
      </c>
      <c r="C4793">
        <v>24</v>
      </c>
      <c r="D4793" t="str">
        <f>VLOOKUP(Tabela26[[#This Row],[EMP]],[1]LOJA!$A:$B,2,0)</f>
        <v>LUZIÂNIA</v>
      </c>
      <c r="E4793">
        <v>192</v>
      </c>
      <c r="F4793" t="s">
        <v>3524</v>
      </c>
      <c r="G4793" t="s">
        <v>3402</v>
      </c>
      <c r="H4793" t="s">
        <v>3401</v>
      </c>
      <c r="I4793">
        <v>5102</v>
      </c>
      <c r="J4793" s="3">
        <v>8</v>
      </c>
      <c r="K4793" s="3">
        <v>3.91</v>
      </c>
      <c r="L4793">
        <v>51.13</v>
      </c>
    </row>
    <row r="4794" spans="1:12">
      <c r="A4794" s="1">
        <v>46043</v>
      </c>
      <c r="B4794" t="s">
        <v>7439</v>
      </c>
      <c r="C4794">
        <v>24</v>
      </c>
      <c r="D4794" t="str">
        <f>VLOOKUP(Tabela26[[#This Row],[EMP]],[1]LOJA!$A:$B,2,0)</f>
        <v>LUZIÂNIA</v>
      </c>
      <c r="E4794">
        <v>192</v>
      </c>
      <c r="F4794" t="s">
        <v>3524</v>
      </c>
      <c r="G4794" t="s">
        <v>3402</v>
      </c>
      <c r="H4794" t="s">
        <v>3401</v>
      </c>
      <c r="I4794">
        <v>5102</v>
      </c>
      <c r="J4794" s="3">
        <v>86</v>
      </c>
      <c r="K4794" s="3">
        <v>52.56</v>
      </c>
      <c r="L4794">
        <v>38.880000000000003</v>
      </c>
    </row>
    <row r="4795" spans="1:12">
      <c r="A4795" s="1">
        <v>46043</v>
      </c>
      <c r="B4795" t="s">
        <v>7438</v>
      </c>
      <c r="C4795">
        <v>24</v>
      </c>
      <c r="D4795" t="str">
        <f>VLOOKUP(Tabela26[[#This Row],[EMP]],[1]LOJA!$A:$B,2,0)</f>
        <v>LUZIÂNIA</v>
      </c>
      <c r="E4795">
        <v>192</v>
      </c>
      <c r="F4795" t="s">
        <v>3524</v>
      </c>
      <c r="G4795" t="s">
        <v>3402</v>
      </c>
      <c r="H4795" t="s">
        <v>3401</v>
      </c>
      <c r="I4795">
        <v>5102</v>
      </c>
      <c r="J4795" s="3">
        <v>35</v>
      </c>
      <c r="K4795" s="3">
        <v>18.02</v>
      </c>
      <c r="L4795">
        <v>48.51</v>
      </c>
    </row>
    <row r="4796" spans="1:12">
      <c r="A4796" s="1">
        <v>46043</v>
      </c>
      <c r="B4796" t="s">
        <v>7437</v>
      </c>
      <c r="C4796">
        <v>24</v>
      </c>
      <c r="D4796" t="str">
        <f>VLOOKUP(Tabela26[[#This Row],[EMP]],[1]LOJA!$A:$B,2,0)</f>
        <v>LUZIÂNIA</v>
      </c>
      <c r="E4796">
        <v>192</v>
      </c>
      <c r="F4796" t="s">
        <v>3524</v>
      </c>
      <c r="G4796" t="s">
        <v>3402</v>
      </c>
      <c r="H4796" t="s">
        <v>3401</v>
      </c>
      <c r="I4796">
        <v>5102</v>
      </c>
      <c r="J4796" s="3">
        <v>12</v>
      </c>
      <c r="K4796" s="3">
        <v>6.16</v>
      </c>
      <c r="L4796">
        <v>48.67</v>
      </c>
    </row>
    <row r="4797" spans="1:12">
      <c r="A4797" s="1">
        <v>46043</v>
      </c>
      <c r="B4797" t="s">
        <v>7436</v>
      </c>
      <c r="C4797">
        <v>24</v>
      </c>
      <c r="D4797" t="str">
        <f>VLOOKUP(Tabela26[[#This Row],[EMP]],[1]LOJA!$A:$B,2,0)</f>
        <v>LUZIÂNIA</v>
      </c>
      <c r="E4797">
        <v>192</v>
      </c>
      <c r="F4797" t="s">
        <v>3524</v>
      </c>
      <c r="G4797" t="s">
        <v>3402</v>
      </c>
      <c r="H4797" t="s">
        <v>3401</v>
      </c>
      <c r="I4797">
        <v>5102</v>
      </c>
      <c r="J4797" s="3">
        <v>74</v>
      </c>
      <c r="K4797" s="3">
        <v>36.82</v>
      </c>
      <c r="L4797">
        <v>50.24</v>
      </c>
    </row>
    <row r="4798" spans="1:12">
      <c r="A4798" s="1">
        <v>46043</v>
      </c>
      <c r="B4798" t="s">
        <v>7435</v>
      </c>
      <c r="C4798">
        <v>24</v>
      </c>
      <c r="D4798" t="str">
        <f>VLOOKUP(Tabela26[[#This Row],[EMP]],[1]LOJA!$A:$B,2,0)</f>
        <v>LUZIÂNIA</v>
      </c>
      <c r="E4798">
        <v>192</v>
      </c>
      <c r="F4798" t="s">
        <v>7434</v>
      </c>
      <c r="G4798" t="s">
        <v>3402</v>
      </c>
      <c r="H4798" t="s">
        <v>3401</v>
      </c>
      <c r="I4798">
        <v>5102</v>
      </c>
      <c r="J4798" s="3">
        <v>468</v>
      </c>
      <c r="K4798" s="3">
        <v>244.54</v>
      </c>
      <c r="L4798">
        <v>47.75</v>
      </c>
    </row>
    <row r="4799" spans="1:12">
      <c r="A4799" s="1">
        <v>46043</v>
      </c>
      <c r="B4799" t="s">
        <v>7433</v>
      </c>
      <c r="C4799">
        <v>24</v>
      </c>
      <c r="D4799" t="str">
        <f>VLOOKUP(Tabela26[[#This Row],[EMP]],[1]LOJA!$A:$B,2,0)</f>
        <v>LUZIÂNIA</v>
      </c>
      <c r="E4799">
        <v>192</v>
      </c>
      <c r="F4799" t="s">
        <v>3524</v>
      </c>
      <c r="G4799" t="s">
        <v>3402</v>
      </c>
      <c r="H4799" t="s">
        <v>3401</v>
      </c>
      <c r="I4799">
        <v>5405</v>
      </c>
      <c r="J4799" s="3">
        <v>42</v>
      </c>
      <c r="K4799" s="3">
        <v>16.47</v>
      </c>
      <c r="L4799">
        <v>60.79</v>
      </c>
    </row>
    <row r="4800" spans="1:12">
      <c r="A4800" s="1">
        <v>46043</v>
      </c>
      <c r="B4800" t="s">
        <v>7432</v>
      </c>
      <c r="C4800">
        <v>24</v>
      </c>
      <c r="D4800" t="str">
        <f>VLOOKUP(Tabela26[[#This Row],[EMP]],[1]LOJA!$A:$B,2,0)</f>
        <v>LUZIÂNIA</v>
      </c>
      <c r="E4800">
        <v>192</v>
      </c>
      <c r="F4800" t="s">
        <v>3524</v>
      </c>
      <c r="G4800" t="s">
        <v>3402</v>
      </c>
      <c r="H4800" t="s">
        <v>3401</v>
      </c>
      <c r="I4800">
        <v>5102</v>
      </c>
      <c r="J4800" s="3">
        <v>29</v>
      </c>
      <c r="K4800" s="3">
        <v>14.32</v>
      </c>
      <c r="L4800">
        <v>50.62</v>
      </c>
    </row>
    <row r="4801" spans="1:12">
      <c r="A4801" s="1">
        <v>46043</v>
      </c>
      <c r="B4801" t="s">
        <v>7431</v>
      </c>
      <c r="C4801">
        <v>24</v>
      </c>
      <c r="D4801" t="str">
        <f>VLOOKUP(Tabela26[[#This Row],[EMP]],[1]LOJA!$A:$B,2,0)</f>
        <v>LUZIÂNIA</v>
      </c>
      <c r="E4801">
        <v>192</v>
      </c>
      <c r="F4801" t="s">
        <v>4854</v>
      </c>
      <c r="G4801" t="s">
        <v>3402</v>
      </c>
      <c r="H4801" t="s">
        <v>3408</v>
      </c>
      <c r="I4801">
        <v>5102</v>
      </c>
      <c r="J4801" s="3">
        <v>241.6</v>
      </c>
      <c r="K4801" s="3">
        <v>137.16</v>
      </c>
      <c r="L4801">
        <v>43.23</v>
      </c>
    </row>
    <row r="4802" spans="1:12">
      <c r="A4802" s="1">
        <v>46043</v>
      </c>
      <c r="B4802" t="s">
        <v>7430</v>
      </c>
      <c r="C4802">
        <v>24</v>
      </c>
      <c r="D4802" t="str">
        <f>VLOOKUP(Tabela26[[#This Row],[EMP]],[1]LOJA!$A:$B,2,0)</f>
        <v>LUZIÂNIA</v>
      </c>
      <c r="E4802">
        <v>242</v>
      </c>
      <c r="F4802" t="s">
        <v>3524</v>
      </c>
      <c r="G4802" t="s">
        <v>3402</v>
      </c>
      <c r="H4802" t="s">
        <v>3401</v>
      </c>
      <c r="I4802">
        <v>5102</v>
      </c>
      <c r="J4802" s="3">
        <v>18</v>
      </c>
      <c r="K4802" s="3">
        <v>9.17</v>
      </c>
      <c r="L4802">
        <v>49.06</v>
      </c>
    </row>
    <row r="4803" spans="1:12">
      <c r="A4803" s="1">
        <v>46043</v>
      </c>
      <c r="B4803" t="s">
        <v>7429</v>
      </c>
      <c r="C4803">
        <v>24</v>
      </c>
      <c r="D4803" t="str">
        <f>VLOOKUP(Tabela26[[#This Row],[EMP]],[1]LOJA!$A:$B,2,0)</f>
        <v>LUZIÂNIA</v>
      </c>
      <c r="E4803">
        <v>192</v>
      </c>
      <c r="F4803" t="s">
        <v>3524</v>
      </c>
      <c r="G4803" t="s">
        <v>3402</v>
      </c>
      <c r="H4803" t="s">
        <v>3401</v>
      </c>
      <c r="I4803">
        <v>5102</v>
      </c>
      <c r="J4803" s="3">
        <v>37</v>
      </c>
      <c r="K4803" s="3">
        <v>19.190000000000001</v>
      </c>
      <c r="L4803">
        <v>48.14</v>
      </c>
    </row>
    <row r="4804" spans="1:12">
      <c r="A4804" s="1">
        <v>46043</v>
      </c>
      <c r="B4804" t="s">
        <v>7428</v>
      </c>
      <c r="C4804">
        <v>24</v>
      </c>
      <c r="D4804" t="str">
        <f>VLOOKUP(Tabela26[[#This Row],[EMP]],[1]LOJA!$A:$B,2,0)</f>
        <v>LUZIÂNIA</v>
      </c>
      <c r="E4804">
        <v>192</v>
      </c>
      <c r="F4804" t="s">
        <v>3524</v>
      </c>
      <c r="G4804" t="s">
        <v>3402</v>
      </c>
      <c r="H4804" t="s">
        <v>3401</v>
      </c>
      <c r="I4804">
        <v>5102</v>
      </c>
      <c r="J4804" s="3">
        <v>20</v>
      </c>
      <c r="K4804" s="3">
        <v>10.8</v>
      </c>
      <c r="L4804">
        <v>46</v>
      </c>
    </row>
    <row r="4805" spans="1:12">
      <c r="A4805" s="1">
        <v>46043</v>
      </c>
      <c r="B4805" t="s">
        <v>7427</v>
      </c>
      <c r="C4805">
        <v>24</v>
      </c>
      <c r="D4805" t="str">
        <f>VLOOKUP(Tabela26[[#This Row],[EMP]],[1]LOJA!$A:$B,2,0)</f>
        <v>LUZIÂNIA</v>
      </c>
      <c r="E4805">
        <v>242</v>
      </c>
      <c r="F4805" t="s">
        <v>3524</v>
      </c>
      <c r="G4805" t="s">
        <v>3402</v>
      </c>
      <c r="H4805" t="s">
        <v>3401</v>
      </c>
      <c r="I4805">
        <v>5102</v>
      </c>
      <c r="J4805" s="3">
        <v>39</v>
      </c>
      <c r="K4805" s="3">
        <v>23.29</v>
      </c>
      <c r="L4805">
        <v>40.28</v>
      </c>
    </row>
    <row r="4806" spans="1:12">
      <c r="A4806" s="1">
        <v>46043</v>
      </c>
      <c r="B4806" t="s">
        <v>7426</v>
      </c>
      <c r="C4806">
        <v>24</v>
      </c>
      <c r="D4806" t="str">
        <f>VLOOKUP(Tabela26[[#This Row],[EMP]],[1]LOJA!$A:$B,2,0)</f>
        <v>LUZIÂNIA</v>
      </c>
      <c r="E4806">
        <v>242</v>
      </c>
      <c r="F4806" t="s">
        <v>3524</v>
      </c>
      <c r="G4806" t="s">
        <v>3402</v>
      </c>
      <c r="H4806" t="s">
        <v>3401</v>
      </c>
      <c r="I4806">
        <v>5102</v>
      </c>
      <c r="J4806" s="3">
        <v>18</v>
      </c>
      <c r="K4806" s="3">
        <v>8.32</v>
      </c>
      <c r="L4806">
        <v>53.78</v>
      </c>
    </row>
    <row r="4807" spans="1:12">
      <c r="A4807" s="1">
        <v>46043</v>
      </c>
      <c r="B4807" t="s">
        <v>7425</v>
      </c>
      <c r="C4807">
        <v>24</v>
      </c>
      <c r="D4807" t="str">
        <f>VLOOKUP(Tabela26[[#This Row],[EMP]],[1]LOJA!$A:$B,2,0)</f>
        <v>LUZIÂNIA</v>
      </c>
      <c r="E4807">
        <v>192</v>
      </c>
      <c r="F4807" t="s">
        <v>4189</v>
      </c>
      <c r="G4807" t="s">
        <v>4188</v>
      </c>
      <c r="H4807" t="s">
        <v>3401</v>
      </c>
      <c r="I4807">
        <v>5405</v>
      </c>
      <c r="J4807" s="3">
        <v>38</v>
      </c>
      <c r="K4807" s="3">
        <v>15.73</v>
      </c>
      <c r="L4807">
        <v>58.61</v>
      </c>
    </row>
    <row r="4808" spans="1:12">
      <c r="A4808" s="1">
        <v>46043</v>
      </c>
      <c r="B4808" t="s">
        <v>7424</v>
      </c>
      <c r="C4808">
        <v>24</v>
      </c>
      <c r="D4808" t="str">
        <f>VLOOKUP(Tabela26[[#This Row],[EMP]],[1]LOJA!$A:$B,2,0)</f>
        <v>LUZIÂNIA</v>
      </c>
      <c r="E4808">
        <v>192</v>
      </c>
      <c r="F4808" t="s">
        <v>3524</v>
      </c>
      <c r="G4808" t="s">
        <v>3402</v>
      </c>
      <c r="H4808" t="s">
        <v>3401</v>
      </c>
      <c r="I4808">
        <v>5102</v>
      </c>
      <c r="J4808" s="3">
        <v>45</v>
      </c>
      <c r="K4808" s="3">
        <v>22.9</v>
      </c>
      <c r="L4808">
        <v>49.11</v>
      </c>
    </row>
    <row r="4809" spans="1:12">
      <c r="A4809" s="1">
        <v>46043</v>
      </c>
      <c r="B4809" t="s">
        <v>7423</v>
      </c>
      <c r="C4809">
        <v>24</v>
      </c>
      <c r="D4809" t="str">
        <f>VLOOKUP(Tabela26[[#This Row],[EMP]],[1]LOJA!$A:$B,2,0)</f>
        <v>LUZIÂNIA</v>
      </c>
      <c r="E4809">
        <v>150</v>
      </c>
      <c r="F4809" t="s">
        <v>3524</v>
      </c>
      <c r="G4809" t="s">
        <v>3402</v>
      </c>
      <c r="H4809" t="s">
        <v>3401</v>
      </c>
      <c r="I4809">
        <v>5405</v>
      </c>
      <c r="J4809" s="3">
        <v>170</v>
      </c>
      <c r="K4809" s="3">
        <v>74.19</v>
      </c>
      <c r="L4809">
        <v>56.36</v>
      </c>
    </row>
    <row r="4810" spans="1:12">
      <c r="A4810" s="1">
        <v>46043</v>
      </c>
      <c r="B4810" t="s">
        <v>7422</v>
      </c>
      <c r="C4810">
        <v>24</v>
      </c>
      <c r="D4810" t="str">
        <f>VLOOKUP(Tabela26[[#This Row],[EMP]],[1]LOJA!$A:$B,2,0)</f>
        <v>LUZIÂNIA</v>
      </c>
      <c r="E4810">
        <v>150</v>
      </c>
      <c r="F4810" t="s">
        <v>4176</v>
      </c>
      <c r="G4810" t="s">
        <v>4175</v>
      </c>
      <c r="H4810" t="s">
        <v>3408</v>
      </c>
      <c r="I4810">
        <v>5405</v>
      </c>
      <c r="J4810" s="3">
        <v>618.9</v>
      </c>
      <c r="K4810" s="3">
        <v>301.3</v>
      </c>
      <c r="L4810">
        <v>51.32</v>
      </c>
    </row>
    <row r="4811" spans="1:12">
      <c r="A4811" s="1">
        <v>46043</v>
      </c>
      <c r="B4811" t="s">
        <v>7421</v>
      </c>
      <c r="C4811">
        <v>24</v>
      </c>
      <c r="D4811" t="str">
        <f>VLOOKUP(Tabela26[[#This Row],[EMP]],[1]LOJA!$A:$B,2,0)</f>
        <v>LUZIÂNIA</v>
      </c>
      <c r="E4811">
        <v>150</v>
      </c>
      <c r="F4811" t="s">
        <v>5409</v>
      </c>
      <c r="G4811" t="s">
        <v>5408</v>
      </c>
      <c r="H4811" t="s">
        <v>3408</v>
      </c>
      <c r="I4811">
        <v>5405</v>
      </c>
      <c r="J4811" s="3">
        <v>270</v>
      </c>
      <c r="K4811" s="3">
        <v>139.26</v>
      </c>
      <c r="L4811">
        <v>48.42</v>
      </c>
    </row>
    <row r="4812" spans="1:12">
      <c r="A4812" s="1">
        <v>46043</v>
      </c>
      <c r="B4812" t="s">
        <v>7420</v>
      </c>
      <c r="C4812">
        <v>24</v>
      </c>
      <c r="D4812" t="str">
        <f>VLOOKUP(Tabela26[[#This Row],[EMP]],[1]LOJA!$A:$B,2,0)</f>
        <v>LUZIÂNIA</v>
      </c>
      <c r="E4812">
        <v>192</v>
      </c>
      <c r="F4812" t="s">
        <v>4837</v>
      </c>
      <c r="G4812" t="s">
        <v>4836</v>
      </c>
      <c r="H4812" t="s">
        <v>3408</v>
      </c>
      <c r="I4812">
        <v>5102</v>
      </c>
      <c r="J4812" s="3">
        <v>70</v>
      </c>
      <c r="K4812" s="3">
        <v>36.6</v>
      </c>
      <c r="L4812">
        <v>47.71</v>
      </c>
    </row>
    <row r="4813" spans="1:12">
      <c r="A4813" s="1">
        <v>46043</v>
      </c>
      <c r="B4813" t="s">
        <v>7419</v>
      </c>
      <c r="C4813">
        <v>24</v>
      </c>
      <c r="D4813" t="str">
        <f>VLOOKUP(Tabela26[[#This Row],[EMP]],[1]LOJA!$A:$B,2,0)</f>
        <v>LUZIÂNIA</v>
      </c>
      <c r="E4813">
        <v>192</v>
      </c>
      <c r="F4813" t="s">
        <v>4207</v>
      </c>
      <c r="G4813" t="s">
        <v>4206</v>
      </c>
      <c r="H4813" t="s">
        <v>3408</v>
      </c>
      <c r="I4813">
        <v>5405</v>
      </c>
      <c r="J4813" s="3">
        <v>63</v>
      </c>
      <c r="K4813" s="3">
        <v>28.85</v>
      </c>
      <c r="L4813">
        <v>54.21</v>
      </c>
    </row>
    <row r="4814" spans="1:12">
      <c r="A4814" s="1">
        <v>46043</v>
      </c>
      <c r="B4814" t="s">
        <v>7418</v>
      </c>
      <c r="C4814">
        <v>24</v>
      </c>
      <c r="D4814" t="str">
        <f>VLOOKUP(Tabela26[[#This Row],[EMP]],[1]LOJA!$A:$B,2,0)</f>
        <v>LUZIÂNIA</v>
      </c>
      <c r="E4814">
        <v>150</v>
      </c>
      <c r="F4814" t="s">
        <v>4201</v>
      </c>
      <c r="G4814" t="s">
        <v>4200</v>
      </c>
      <c r="H4814" t="s">
        <v>3408</v>
      </c>
      <c r="I4814">
        <v>5102</v>
      </c>
      <c r="J4814" s="3">
        <v>2890</v>
      </c>
      <c r="K4814" s="3">
        <v>1786</v>
      </c>
      <c r="L4814">
        <v>38.200000000000003</v>
      </c>
    </row>
    <row r="4815" spans="1:12">
      <c r="A4815" s="1">
        <v>46043</v>
      </c>
      <c r="B4815" t="s">
        <v>7417</v>
      </c>
      <c r="C4815">
        <v>24</v>
      </c>
      <c r="D4815" t="str">
        <f>VLOOKUP(Tabela26[[#This Row],[EMP]],[1]LOJA!$A:$B,2,0)</f>
        <v>LUZIÂNIA</v>
      </c>
      <c r="E4815">
        <v>150</v>
      </c>
      <c r="F4815" t="s">
        <v>4201</v>
      </c>
      <c r="G4815" t="s">
        <v>4200</v>
      </c>
      <c r="H4815" t="s">
        <v>3408</v>
      </c>
      <c r="I4815">
        <v>5102</v>
      </c>
      <c r="J4815" s="3">
        <v>79.8</v>
      </c>
      <c r="K4815" s="3">
        <v>47.16</v>
      </c>
      <c r="L4815">
        <v>40.9</v>
      </c>
    </row>
    <row r="4816" spans="1:12">
      <c r="A4816" s="1">
        <v>46043</v>
      </c>
      <c r="B4816" t="s">
        <v>7416</v>
      </c>
      <c r="C4816">
        <v>24</v>
      </c>
      <c r="D4816" t="str">
        <f>VLOOKUP(Tabela26[[#This Row],[EMP]],[1]LOJA!$A:$B,2,0)</f>
        <v>LUZIÂNIA</v>
      </c>
      <c r="E4816">
        <v>242</v>
      </c>
      <c r="F4816" t="s">
        <v>3524</v>
      </c>
      <c r="G4816" t="s">
        <v>3402</v>
      </c>
      <c r="H4816" t="s">
        <v>3401</v>
      </c>
      <c r="I4816">
        <v>5102</v>
      </c>
      <c r="J4816" s="3">
        <v>54</v>
      </c>
      <c r="K4816" s="3">
        <v>27.84</v>
      </c>
      <c r="L4816">
        <v>48.44</v>
      </c>
    </row>
    <row r="4817" spans="1:12">
      <c r="A4817" s="1">
        <v>46043</v>
      </c>
      <c r="B4817" t="s">
        <v>7415</v>
      </c>
      <c r="C4817">
        <v>24</v>
      </c>
      <c r="D4817" t="str">
        <f>VLOOKUP(Tabela26[[#This Row],[EMP]],[1]LOJA!$A:$B,2,0)</f>
        <v>LUZIÂNIA</v>
      </c>
      <c r="E4817">
        <v>192</v>
      </c>
      <c r="F4817" t="s">
        <v>3524</v>
      </c>
      <c r="G4817" t="s">
        <v>3402</v>
      </c>
      <c r="H4817" t="s">
        <v>3401</v>
      </c>
      <c r="I4817">
        <v>5405</v>
      </c>
      <c r="J4817" s="3">
        <v>197</v>
      </c>
      <c r="K4817" s="3">
        <v>102.08</v>
      </c>
      <c r="L4817">
        <v>48.18</v>
      </c>
    </row>
    <row r="4818" spans="1:12">
      <c r="A4818" s="1">
        <v>46043</v>
      </c>
      <c r="B4818" t="s">
        <v>7414</v>
      </c>
      <c r="C4818">
        <v>24</v>
      </c>
      <c r="D4818" t="str">
        <f>VLOOKUP(Tabela26[[#This Row],[EMP]],[1]LOJA!$A:$B,2,0)</f>
        <v>LUZIÂNIA</v>
      </c>
      <c r="E4818">
        <v>150</v>
      </c>
      <c r="F4818" t="s">
        <v>4233</v>
      </c>
      <c r="G4818" t="s">
        <v>3437</v>
      </c>
      <c r="H4818" t="s">
        <v>3408</v>
      </c>
      <c r="I4818">
        <v>5405</v>
      </c>
      <c r="J4818" s="3">
        <v>390</v>
      </c>
      <c r="K4818" s="3">
        <v>203.82</v>
      </c>
      <c r="L4818">
        <v>47.74</v>
      </c>
    </row>
    <row r="4819" spans="1:12">
      <c r="A4819" s="1">
        <v>46043</v>
      </c>
      <c r="B4819" t="s">
        <v>7413</v>
      </c>
      <c r="C4819">
        <v>24</v>
      </c>
      <c r="D4819" t="str">
        <f>VLOOKUP(Tabela26[[#This Row],[EMP]],[1]LOJA!$A:$B,2,0)</f>
        <v>LUZIÂNIA</v>
      </c>
      <c r="E4819">
        <v>192</v>
      </c>
      <c r="F4819" t="s">
        <v>7412</v>
      </c>
      <c r="G4819" t="s">
        <v>7411</v>
      </c>
      <c r="H4819" t="s">
        <v>3401</v>
      </c>
      <c r="I4819">
        <v>5405</v>
      </c>
      <c r="J4819" s="3">
        <v>179</v>
      </c>
      <c r="K4819" s="3">
        <v>84.11</v>
      </c>
      <c r="L4819">
        <v>53.01</v>
      </c>
    </row>
    <row r="4820" spans="1:12">
      <c r="A4820" s="1">
        <v>46043</v>
      </c>
      <c r="B4820" t="s">
        <v>7410</v>
      </c>
      <c r="C4820">
        <v>24</v>
      </c>
      <c r="D4820" t="str">
        <f>VLOOKUP(Tabela26[[#This Row],[EMP]],[1]LOJA!$A:$B,2,0)</f>
        <v>LUZIÂNIA</v>
      </c>
      <c r="E4820">
        <v>192</v>
      </c>
      <c r="F4820" t="s">
        <v>4832</v>
      </c>
      <c r="G4820" t="s">
        <v>4831</v>
      </c>
      <c r="H4820" t="s">
        <v>3401</v>
      </c>
      <c r="I4820">
        <v>5405</v>
      </c>
      <c r="J4820" s="3">
        <v>130</v>
      </c>
      <c r="K4820" s="3">
        <v>58.92</v>
      </c>
      <c r="L4820">
        <v>54.68</v>
      </c>
    </row>
    <row r="4821" spans="1:12">
      <c r="A4821" s="1">
        <v>46043</v>
      </c>
      <c r="B4821" t="s">
        <v>7409</v>
      </c>
      <c r="C4821">
        <v>24</v>
      </c>
      <c r="D4821" t="str">
        <f>VLOOKUP(Tabela26[[#This Row],[EMP]],[1]LOJA!$A:$B,2,0)</f>
        <v>LUZIÂNIA</v>
      </c>
      <c r="E4821">
        <v>150</v>
      </c>
      <c r="F4821" t="s">
        <v>5449</v>
      </c>
      <c r="G4821" t="s">
        <v>5448</v>
      </c>
      <c r="H4821" t="s">
        <v>3401</v>
      </c>
      <c r="I4821">
        <v>5405</v>
      </c>
      <c r="J4821" s="3">
        <v>90</v>
      </c>
      <c r="K4821" s="3">
        <v>42.73</v>
      </c>
      <c r="L4821">
        <v>52.52</v>
      </c>
    </row>
    <row r="4822" spans="1:12">
      <c r="A4822" s="1">
        <v>46043</v>
      </c>
      <c r="B4822" t="s">
        <v>7408</v>
      </c>
      <c r="C4822">
        <v>24</v>
      </c>
      <c r="D4822" t="str">
        <f>VLOOKUP(Tabela26[[#This Row],[EMP]],[1]LOJA!$A:$B,2,0)</f>
        <v>LUZIÂNIA</v>
      </c>
      <c r="E4822">
        <v>192</v>
      </c>
      <c r="F4822" t="s">
        <v>4871</v>
      </c>
      <c r="G4822" t="s">
        <v>4870</v>
      </c>
      <c r="H4822" t="s">
        <v>3401</v>
      </c>
      <c r="I4822">
        <v>5405</v>
      </c>
      <c r="J4822" s="3">
        <v>567</v>
      </c>
      <c r="K4822" s="3">
        <v>327.29000000000002</v>
      </c>
      <c r="L4822">
        <v>42.28</v>
      </c>
    </row>
    <row r="4823" spans="1:12">
      <c r="A4823" s="1">
        <v>46043</v>
      </c>
      <c r="B4823" t="s">
        <v>7407</v>
      </c>
      <c r="C4823">
        <v>24</v>
      </c>
      <c r="D4823" t="str">
        <f>VLOOKUP(Tabela26[[#This Row],[EMP]],[1]LOJA!$A:$B,2,0)</f>
        <v>LUZIÂNIA</v>
      </c>
      <c r="E4823">
        <v>242</v>
      </c>
      <c r="F4823" t="s">
        <v>7404</v>
      </c>
      <c r="G4823" t="s">
        <v>3402</v>
      </c>
      <c r="H4823" t="s">
        <v>3408</v>
      </c>
      <c r="I4823">
        <v>5405</v>
      </c>
      <c r="J4823" s="3">
        <v>160</v>
      </c>
      <c r="K4823" s="3">
        <v>94.66</v>
      </c>
      <c r="L4823">
        <v>40.840000000000003</v>
      </c>
    </row>
    <row r="4824" spans="1:12">
      <c r="A4824" s="1">
        <v>46043</v>
      </c>
      <c r="B4824" t="s">
        <v>7406</v>
      </c>
      <c r="C4824">
        <v>24</v>
      </c>
      <c r="D4824" t="str">
        <f>VLOOKUP(Tabela26[[#This Row],[EMP]],[1]LOJA!$A:$B,2,0)</f>
        <v>LUZIÂNIA</v>
      </c>
      <c r="E4824">
        <v>192</v>
      </c>
      <c r="F4824" t="s">
        <v>4189</v>
      </c>
      <c r="G4824" t="s">
        <v>4188</v>
      </c>
      <c r="H4824" t="s">
        <v>3401</v>
      </c>
      <c r="I4824">
        <v>5102</v>
      </c>
      <c r="J4824" s="3">
        <v>322.39999999999998</v>
      </c>
      <c r="K4824" s="3">
        <v>215.61</v>
      </c>
      <c r="L4824">
        <v>33.119999999999997</v>
      </c>
    </row>
    <row r="4825" spans="1:12">
      <c r="A4825" s="1">
        <v>46043</v>
      </c>
      <c r="B4825" t="s">
        <v>7405</v>
      </c>
      <c r="C4825">
        <v>24</v>
      </c>
      <c r="D4825" t="str">
        <f>VLOOKUP(Tabela26[[#This Row],[EMP]],[1]LOJA!$A:$B,2,0)</f>
        <v>LUZIÂNIA</v>
      </c>
      <c r="E4825">
        <v>242</v>
      </c>
      <c r="F4825" t="s">
        <v>7404</v>
      </c>
      <c r="G4825" t="s">
        <v>3402</v>
      </c>
      <c r="H4825" t="s">
        <v>3401</v>
      </c>
      <c r="I4825">
        <v>5102</v>
      </c>
      <c r="J4825" s="3">
        <v>200</v>
      </c>
      <c r="K4825" s="3">
        <v>128.47</v>
      </c>
      <c r="L4825">
        <v>35.770000000000003</v>
      </c>
    </row>
    <row r="4826" spans="1:12">
      <c r="A4826" s="1">
        <v>46043</v>
      </c>
      <c r="B4826" t="s">
        <v>7403</v>
      </c>
      <c r="C4826">
        <v>12</v>
      </c>
      <c r="D4826" t="str">
        <f>VLOOKUP(Tabela26[[#This Row],[EMP]],[1]LOJA!$A:$B,2,0)</f>
        <v>SOFNORTE</v>
      </c>
      <c r="E4826">
        <v>60</v>
      </c>
      <c r="F4826" t="s">
        <v>4162</v>
      </c>
      <c r="G4826" t="s">
        <v>4161</v>
      </c>
      <c r="H4826" t="s">
        <v>3430</v>
      </c>
      <c r="I4826">
        <v>5405</v>
      </c>
      <c r="J4826" s="3">
        <v>87.24</v>
      </c>
      <c r="K4826" s="3">
        <v>43.48</v>
      </c>
      <c r="L4826">
        <v>50.16</v>
      </c>
    </row>
    <row r="4827" spans="1:12">
      <c r="A4827" s="1">
        <v>46043</v>
      </c>
      <c r="B4827" t="s">
        <v>7402</v>
      </c>
      <c r="C4827">
        <v>12</v>
      </c>
      <c r="D4827" t="str">
        <f>VLOOKUP(Tabela26[[#This Row],[EMP]],[1]LOJA!$A:$B,2,0)</f>
        <v>SOFNORTE</v>
      </c>
      <c r="E4827">
        <v>60</v>
      </c>
      <c r="F4827" t="s">
        <v>4162</v>
      </c>
      <c r="G4827" t="s">
        <v>4161</v>
      </c>
      <c r="H4827" t="s">
        <v>3430</v>
      </c>
      <c r="I4827">
        <v>5405</v>
      </c>
      <c r="J4827" s="3">
        <v>79.89</v>
      </c>
      <c r="K4827" s="3">
        <v>39.74</v>
      </c>
      <c r="L4827">
        <v>50.26</v>
      </c>
    </row>
    <row r="4828" spans="1:12">
      <c r="A4828" s="1">
        <v>46043</v>
      </c>
      <c r="B4828" t="s">
        <v>7401</v>
      </c>
      <c r="C4828">
        <v>22</v>
      </c>
      <c r="D4828" t="str">
        <f>VLOOKUP(Tabela26[[#This Row],[EMP]],[1]LOJA!$A:$B,2,0)</f>
        <v>GUARÁ</v>
      </c>
      <c r="E4828">
        <v>93</v>
      </c>
      <c r="F4828" t="s">
        <v>4144</v>
      </c>
      <c r="G4828" t="s">
        <v>4143</v>
      </c>
      <c r="H4828" t="s">
        <v>7400</v>
      </c>
      <c r="I4828">
        <v>5405</v>
      </c>
      <c r="J4828" s="3">
        <v>293.93</v>
      </c>
      <c r="K4828" s="3">
        <v>150.87</v>
      </c>
      <c r="L4828">
        <v>48.67</v>
      </c>
    </row>
    <row r="4829" spans="1:12">
      <c r="A4829" s="1">
        <v>46043</v>
      </c>
      <c r="B4829" t="s">
        <v>7399</v>
      </c>
      <c r="C4829">
        <v>22</v>
      </c>
      <c r="D4829" t="str">
        <f>VLOOKUP(Tabela26[[#This Row],[EMP]],[1]LOJA!$A:$B,2,0)</f>
        <v>GUARÁ</v>
      </c>
      <c r="E4829">
        <v>93</v>
      </c>
      <c r="F4829" t="s">
        <v>4151</v>
      </c>
      <c r="G4829" t="s">
        <v>4150</v>
      </c>
      <c r="H4829" t="s">
        <v>3430</v>
      </c>
      <c r="I4829">
        <v>5405</v>
      </c>
      <c r="J4829" s="3">
        <v>127.58</v>
      </c>
      <c r="K4829" s="3">
        <v>60.17</v>
      </c>
      <c r="L4829">
        <v>52.84</v>
      </c>
    </row>
    <row r="4830" spans="1:12">
      <c r="A4830" s="1">
        <v>46043</v>
      </c>
      <c r="B4830" t="s">
        <v>7398</v>
      </c>
      <c r="C4830">
        <v>22</v>
      </c>
      <c r="D4830" t="str">
        <f>VLOOKUP(Tabela26[[#This Row],[EMP]],[1]LOJA!$A:$B,2,0)</f>
        <v>GUARÁ</v>
      </c>
      <c r="E4830">
        <v>93</v>
      </c>
      <c r="F4830" t="s">
        <v>4805</v>
      </c>
      <c r="G4830" t="s">
        <v>4804</v>
      </c>
      <c r="H4830" t="s">
        <v>3430</v>
      </c>
      <c r="I4830">
        <v>5405</v>
      </c>
      <c r="J4830" s="3">
        <v>331.05</v>
      </c>
      <c r="K4830" s="3">
        <v>190.83</v>
      </c>
      <c r="L4830">
        <v>42.36</v>
      </c>
    </row>
    <row r="4831" spans="1:12">
      <c r="A4831" s="1">
        <v>46043</v>
      </c>
      <c r="B4831" t="s">
        <v>7397</v>
      </c>
      <c r="C4831">
        <v>22</v>
      </c>
      <c r="D4831" t="str">
        <f>VLOOKUP(Tabela26[[#This Row],[EMP]],[1]LOJA!$A:$B,2,0)</f>
        <v>GUARÁ</v>
      </c>
      <c r="E4831">
        <v>93</v>
      </c>
      <c r="F4831" t="s">
        <v>4136</v>
      </c>
      <c r="G4831" t="s">
        <v>4135</v>
      </c>
      <c r="H4831" t="s">
        <v>3430</v>
      </c>
      <c r="I4831">
        <v>5405</v>
      </c>
      <c r="J4831" s="3">
        <v>194.18</v>
      </c>
      <c r="K4831" s="3">
        <v>100.21</v>
      </c>
      <c r="L4831">
        <v>48.39</v>
      </c>
    </row>
    <row r="4832" spans="1:12">
      <c r="A4832" s="1">
        <v>46043</v>
      </c>
      <c r="B4832" t="s">
        <v>7396</v>
      </c>
      <c r="C4832">
        <v>22</v>
      </c>
      <c r="D4832" t="str">
        <f>VLOOKUP(Tabela26[[#This Row],[EMP]],[1]LOJA!$A:$B,2,0)</f>
        <v>GUARÁ</v>
      </c>
      <c r="E4832">
        <v>16</v>
      </c>
      <c r="F4832" t="s">
        <v>4140</v>
      </c>
      <c r="G4832" t="s">
        <v>4139</v>
      </c>
      <c r="H4832" t="s">
        <v>3430</v>
      </c>
      <c r="I4832">
        <v>5405</v>
      </c>
      <c r="J4832" s="3">
        <v>75.540000000000006</v>
      </c>
      <c r="K4832" s="3">
        <v>39.479999999999997</v>
      </c>
      <c r="L4832">
        <v>47.74</v>
      </c>
    </row>
    <row r="4833" spans="1:12">
      <c r="A4833" s="1">
        <v>46043</v>
      </c>
      <c r="B4833" t="s">
        <v>7395</v>
      </c>
      <c r="C4833">
        <v>22</v>
      </c>
      <c r="D4833" t="str">
        <f>VLOOKUP(Tabela26[[#This Row],[EMP]],[1]LOJA!$A:$B,2,0)</f>
        <v>GUARÁ</v>
      </c>
      <c r="E4833">
        <v>16</v>
      </c>
      <c r="F4833" t="s">
        <v>4136</v>
      </c>
      <c r="G4833" t="s">
        <v>4135</v>
      </c>
      <c r="H4833" t="s">
        <v>3430</v>
      </c>
      <c r="I4833">
        <v>5102</v>
      </c>
      <c r="J4833" s="3">
        <v>38.299999999999997</v>
      </c>
      <c r="K4833" s="3">
        <v>23.2</v>
      </c>
      <c r="L4833">
        <v>39.43</v>
      </c>
    </row>
    <row r="4834" spans="1:12">
      <c r="A4834" s="1">
        <v>46043</v>
      </c>
      <c r="B4834" t="s">
        <v>7394</v>
      </c>
      <c r="C4834">
        <v>22</v>
      </c>
      <c r="D4834" t="str">
        <f>VLOOKUP(Tabela26[[#This Row],[EMP]],[1]LOJA!$A:$B,2,0)</f>
        <v>GUARÁ</v>
      </c>
      <c r="E4834">
        <v>93</v>
      </c>
      <c r="F4834" t="s">
        <v>4805</v>
      </c>
      <c r="G4834" t="s">
        <v>4804</v>
      </c>
      <c r="H4834" t="s">
        <v>3430</v>
      </c>
      <c r="I4834">
        <v>5405</v>
      </c>
      <c r="J4834" s="3">
        <v>80.88</v>
      </c>
      <c r="K4834" s="3">
        <v>41.98</v>
      </c>
      <c r="L4834">
        <v>48.1</v>
      </c>
    </row>
    <row r="4835" spans="1:12">
      <c r="A4835" s="1">
        <v>46043</v>
      </c>
      <c r="B4835" t="s">
        <v>7393</v>
      </c>
      <c r="C4835">
        <v>22</v>
      </c>
      <c r="D4835" t="str">
        <f>VLOOKUP(Tabela26[[#This Row],[EMP]],[1]LOJA!$A:$B,2,0)</f>
        <v>GUARÁ</v>
      </c>
      <c r="E4835">
        <v>93</v>
      </c>
      <c r="F4835" t="s">
        <v>3514</v>
      </c>
      <c r="G4835" t="s">
        <v>3513</v>
      </c>
      <c r="H4835" t="s">
        <v>3430</v>
      </c>
      <c r="I4835">
        <v>5405</v>
      </c>
      <c r="J4835" s="3">
        <v>98.44</v>
      </c>
      <c r="K4835" s="3">
        <v>49.36</v>
      </c>
      <c r="L4835">
        <v>49.86</v>
      </c>
    </row>
    <row r="4836" spans="1:12">
      <c r="A4836" s="1">
        <v>46043</v>
      </c>
      <c r="B4836" t="s">
        <v>7392</v>
      </c>
      <c r="C4836">
        <v>22</v>
      </c>
      <c r="D4836" t="str">
        <f>VLOOKUP(Tabela26[[#This Row],[EMP]],[1]LOJA!$A:$B,2,0)</f>
        <v>GUARÁ</v>
      </c>
      <c r="E4836">
        <v>93</v>
      </c>
      <c r="F4836" t="s">
        <v>4808</v>
      </c>
      <c r="G4836" t="s">
        <v>4807</v>
      </c>
      <c r="H4836" t="s">
        <v>3430</v>
      </c>
      <c r="I4836">
        <v>5405</v>
      </c>
      <c r="J4836" s="3">
        <v>532.55999999999995</v>
      </c>
      <c r="K4836" s="3">
        <v>308.61</v>
      </c>
      <c r="L4836">
        <v>42.05</v>
      </c>
    </row>
    <row r="4837" spans="1:12">
      <c r="A4837" s="1">
        <v>46043</v>
      </c>
      <c r="B4837" t="s">
        <v>7391</v>
      </c>
      <c r="C4837">
        <v>13</v>
      </c>
      <c r="D4837" t="str">
        <f>VLOOKUP(Tabela26[[#This Row],[EMP]],[1]LOJA!$A:$B,2,0)</f>
        <v>CEILÂNDIA</v>
      </c>
      <c r="E4837">
        <v>86</v>
      </c>
      <c r="F4837" t="s">
        <v>4133</v>
      </c>
      <c r="G4837" t="s">
        <v>4132</v>
      </c>
      <c r="H4837" t="s">
        <v>3430</v>
      </c>
      <c r="I4837">
        <v>5102</v>
      </c>
      <c r="J4837" s="3">
        <v>221.65</v>
      </c>
      <c r="K4837" s="3">
        <v>134.99</v>
      </c>
      <c r="L4837">
        <v>39.1</v>
      </c>
    </row>
    <row r="4838" spans="1:12">
      <c r="A4838" s="1">
        <v>46043</v>
      </c>
      <c r="B4838" t="s">
        <v>7390</v>
      </c>
      <c r="C4838">
        <v>13</v>
      </c>
      <c r="D4838" t="str">
        <f>VLOOKUP(Tabela26[[#This Row],[EMP]],[1]LOJA!$A:$B,2,0)</f>
        <v>CEILÂNDIA</v>
      </c>
      <c r="E4838">
        <v>86</v>
      </c>
      <c r="F4838" t="s">
        <v>4133</v>
      </c>
      <c r="G4838" t="s">
        <v>4132</v>
      </c>
      <c r="H4838" t="s">
        <v>3430</v>
      </c>
      <c r="I4838">
        <v>5405</v>
      </c>
      <c r="J4838" s="3">
        <v>51.21</v>
      </c>
      <c r="K4838" s="3">
        <v>20.46</v>
      </c>
      <c r="L4838">
        <v>60.05</v>
      </c>
    </row>
    <row r="4839" spans="1:12">
      <c r="A4839" s="1">
        <v>46043</v>
      </c>
      <c r="B4839" t="s">
        <v>7389</v>
      </c>
      <c r="C4839">
        <v>13</v>
      </c>
      <c r="D4839" t="str">
        <f>VLOOKUP(Tabela26[[#This Row],[EMP]],[1]LOJA!$A:$B,2,0)</f>
        <v>CEILÂNDIA</v>
      </c>
      <c r="E4839">
        <v>33</v>
      </c>
      <c r="F4839" t="s">
        <v>4792</v>
      </c>
      <c r="G4839" t="s">
        <v>4791</v>
      </c>
      <c r="H4839" t="s">
        <v>7313</v>
      </c>
      <c r="I4839">
        <v>5405</v>
      </c>
      <c r="J4839" s="3">
        <v>314</v>
      </c>
      <c r="K4839" s="3">
        <v>185.74</v>
      </c>
      <c r="L4839">
        <v>40.85</v>
      </c>
    </row>
    <row r="4840" spans="1:12">
      <c r="A4840" s="1">
        <v>46043</v>
      </c>
      <c r="B4840" t="s">
        <v>7388</v>
      </c>
      <c r="C4840">
        <v>13</v>
      </c>
      <c r="D4840" t="str">
        <f>VLOOKUP(Tabela26[[#This Row],[EMP]],[1]LOJA!$A:$B,2,0)</f>
        <v>CEILÂNDIA</v>
      </c>
      <c r="E4840">
        <v>86</v>
      </c>
      <c r="F4840" t="s">
        <v>4118</v>
      </c>
      <c r="G4840" t="s">
        <v>4117</v>
      </c>
      <c r="H4840" t="s">
        <v>3430</v>
      </c>
      <c r="I4840">
        <v>5405</v>
      </c>
      <c r="J4840" s="3">
        <v>121.39</v>
      </c>
      <c r="K4840" s="3">
        <v>62.98</v>
      </c>
      <c r="L4840">
        <v>48.12</v>
      </c>
    </row>
    <row r="4841" spans="1:12">
      <c r="A4841" s="1">
        <v>46043</v>
      </c>
      <c r="B4841" t="s">
        <v>7387</v>
      </c>
      <c r="C4841">
        <v>13</v>
      </c>
      <c r="D4841" t="str">
        <f>VLOOKUP(Tabela26[[#This Row],[EMP]],[1]LOJA!$A:$B,2,0)</f>
        <v>CEILÂNDIA</v>
      </c>
      <c r="E4841">
        <v>86</v>
      </c>
      <c r="F4841" t="s">
        <v>4118</v>
      </c>
      <c r="G4841" t="s">
        <v>4117</v>
      </c>
      <c r="H4841" t="s">
        <v>3430</v>
      </c>
      <c r="I4841">
        <v>5102</v>
      </c>
      <c r="J4841" s="3">
        <v>152</v>
      </c>
      <c r="K4841" s="3">
        <v>94.23</v>
      </c>
      <c r="L4841">
        <v>38.01</v>
      </c>
    </row>
    <row r="4842" spans="1:12">
      <c r="A4842" s="1">
        <v>46043</v>
      </c>
      <c r="B4842" t="s">
        <v>7386</v>
      </c>
      <c r="C4842">
        <v>13</v>
      </c>
      <c r="D4842" t="str">
        <f>VLOOKUP(Tabela26[[#This Row],[EMP]],[1]LOJA!$A:$B,2,0)</f>
        <v>CEILÂNDIA</v>
      </c>
      <c r="E4842">
        <v>86</v>
      </c>
      <c r="F4842" t="s">
        <v>4118</v>
      </c>
      <c r="G4842" t="s">
        <v>4117</v>
      </c>
      <c r="H4842" t="s">
        <v>3430</v>
      </c>
      <c r="I4842">
        <v>5102</v>
      </c>
      <c r="J4842" s="3">
        <v>75.739999999999995</v>
      </c>
      <c r="K4842" s="3">
        <v>43.02</v>
      </c>
      <c r="L4842">
        <v>43.2</v>
      </c>
    </row>
    <row r="4843" spans="1:12">
      <c r="A4843" s="1">
        <v>46043</v>
      </c>
      <c r="B4843" t="s">
        <v>7385</v>
      </c>
      <c r="C4843">
        <v>13</v>
      </c>
      <c r="D4843" t="str">
        <f>VLOOKUP(Tabela26[[#This Row],[EMP]],[1]LOJA!$A:$B,2,0)</f>
        <v>CEILÂNDIA</v>
      </c>
      <c r="E4843">
        <v>33</v>
      </c>
      <c r="F4843" t="s">
        <v>3591</v>
      </c>
      <c r="G4843" t="s">
        <v>3590</v>
      </c>
      <c r="H4843" t="s">
        <v>3401</v>
      </c>
      <c r="I4843">
        <v>1411</v>
      </c>
      <c r="J4843" s="3">
        <v>-63.67</v>
      </c>
      <c r="K4843" s="3">
        <v>-32.6</v>
      </c>
      <c r="L4843">
        <v>48.8</v>
      </c>
    </row>
    <row r="4844" spans="1:12">
      <c r="A4844" s="1">
        <v>46043</v>
      </c>
      <c r="B4844" t="s">
        <v>7384</v>
      </c>
      <c r="C4844">
        <v>13</v>
      </c>
      <c r="D4844" t="str">
        <f>VLOOKUP(Tabela26[[#This Row],[EMP]],[1]LOJA!$A:$B,2,0)</f>
        <v>CEILÂNDIA</v>
      </c>
      <c r="E4844">
        <v>86</v>
      </c>
      <c r="F4844" t="s">
        <v>4118</v>
      </c>
      <c r="G4844" t="s">
        <v>4117</v>
      </c>
      <c r="H4844" t="s">
        <v>3430</v>
      </c>
      <c r="I4844">
        <v>5405</v>
      </c>
      <c r="J4844" s="3">
        <v>63.89</v>
      </c>
      <c r="K4844" s="3">
        <v>30.17</v>
      </c>
      <c r="L4844">
        <v>52.78</v>
      </c>
    </row>
    <row r="4845" spans="1:12">
      <c r="A4845" s="1">
        <v>46043</v>
      </c>
      <c r="B4845" t="s">
        <v>7383</v>
      </c>
      <c r="C4845">
        <v>13</v>
      </c>
      <c r="D4845" t="str">
        <f>VLOOKUP(Tabela26[[#This Row],[EMP]],[1]LOJA!$A:$B,2,0)</f>
        <v>CEILÂNDIA</v>
      </c>
      <c r="E4845">
        <v>86</v>
      </c>
      <c r="F4845" t="s">
        <v>4097</v>
      </c>
      <c r="G4845" t="s">
        <v>4096</v>
      </c>
      <c r="H4845" t="s">
        <v>3430</v>
      </c>
      <c r="I4845">
        <v>5405</v>
      </c>
      <c r="J4845" s="3">
        <v>463.56</v>
      </c>
      <c r="K4845" s="3">
        <v>252.36</v>
      </c>
      <c r="L4845">
        <v>45.56</v>
      </c>
    </row>
    <row r="4846" spans="1:12">
      <c r="A4846" s="1">
        <v>46043</v>
      </c>
      <c r="B4846" t="s">
        <v>7382</v>
      </c>
      <c r="C4846">
        <v>13</v>
      </c>
      <c r="D4846" t="str">
        <f>VLOOKUP(Tabela26[[#This Row],[EMP]],[1]LOJA!$A:$B,2,0)</f>
        <v>CEILÂNDIA</v>
      </c>
      <c r="E4846">
        <v>86</v>
      </c>
      <c r="F4846" t="s">
        <v>4097</v>
      </c>
      <c r="G4846" t="s">
        <v>4096</v>
      </c>
      <c r="H4846" t="s">
        <v>3430</v>
      </c>
      <c r="I4846">
        <v>5405</v>
      </c>
      <c r="J4846" s="3">
        <v>113.22</v>
      </c>
      <c r="K4846" s="3">
        <v>54.4</v>
      </c>
      <c r="L4846">
        <v>51.95</v>
      </c>
    </row>
    <row r="4847" spans="1:12">
      <c r="A4847" s="1">
        <v>46043</v>
      </c>
      <c r="B4847" t="s">
        <v>7381</v>
      </c>
      <c r="C4847">
        <v>13</v>
      </c>
      <c r="D4847" t="str">
        <f>VLOOKUP(Tabela26[[#This Row],[EMP]],[1]LOJA!$A:$B,2,0)</f>
        <v>CEILÂNDIA</v>
      </c>
      <c r="E4847">
        <v>86</v>
      </c>
      <c r="F4847" t="s">
        <v>4112</v>
      </c>
      <c r="G4847" t="s">
        <v>4111</v>
      </c>
      <c r="H4847" t="s">
        <v>3430</v>
      </c>
      <c r="I4847">
        <v>5102</v>
      </c>
      <c r="J4847" s="3">
        <v>49.05</v>
      </c>
      <c r="K4847" s="3">
        <v>29.02</v>
      </c>
      <c r="L4847">
        <v>40.840000000000003</v>
      </c>
    </row>
    <row r="4848" spans="1:12">
      <c r="A4848" s="1">
        <v>46043</v>
      </c>
      <c r="B4848" t="s">
        <v>7380</v>
      </c>
      <c r="C4848">
        <v>13</v>
      </c>
      <c r="D4848" t="str">
        <f>VLOOKUP(Tabela26[[#This Row],[EMP]],[1]LOJA!$A:$B,2,0)</f>
        <v>CEILÂNDIA</v>
      </c>
      <c r="E4848">
        <v>33</v>
      </c>
      <c r="F4848" t="s">
        <v>3505</v>
      </c>
      <c r="G4848" t="s">
        <v>3504</v>
      </c>
      <c r="H4848" t="s">
        <v>3430</v>
      </c>
      <c r="I4848">
        <v>5102</v>
      </c>
      <c r="J4848" s="3">
        <v>281.67</v>
      </c>
      <c r="K4848" s="3">
        <v>161.61000000000001</v>
      </c>
      <c r="L4848">
        <v>42.62</v>
      </c>
    </row>
    <row r="4849" spans="1:12">
      <c r="A4849" s="1">
        <v>46043</v>
      </c>
      <c r="B4849" t="s">
        <v>7379</v>
      </c>
      <c r="C4849">
        <v>13</v>
      </c>
      <c r="D4849" t="str">
        <f>VLOOKUP(Tabela26[[#This Row],[EMP]],[1]LOJA!$A:$B,2,0)</f>
        <v>CEILÂNDIA</v>
      </c>
      <c r="E4849">
        <v>33</v>
      </c>
      <c r="F4849" t="s">
        <v>3505</v>
      </c>
      <c r="G4849" t="s">
        <v>3504</v>
      </c>
      <c r="H4849" t="s">
        <v>3430</v>
      </c>
      <c r="I4849">
        <v>5102</v>
      </c>
      <c r="J4849" s="3">
        <v>454.21</v>
      </c>
      <c r="K4849" s="3">
        <v>244.89</v>
      </c>
      <c r="L4849">
        <v>46.08</v>
      </c>
    </row>
    <row r="4850" spans="1:12">
      <c r="A4850" s="1">
        <v>46043</v>
      </c>
      <c r="B4850" t="s">
        <v>7378</v>
      </c>
      <c r="C4850">
        <v>13</v>
      </c>
      <c r="D4850" t="str">
        <f>VLOOKUP(Tabela26[[#This Row],[EMP]],[1]LOJA!$A:$B,2,0)</f>
        <v>CEILÂNDIA</v>
      </c>
      <c r="E4850">
        <v>33</v>
      </c>
      <c r="F4850" t="s">
        <v>5845</v>
      </c>
      <c r="G4850" t="s">
        <v>5844</v>
      </c>
      <c r="H4850" t="s">
        <v>7313</v>
      </c>
      <c r="I4850">
        <v>5405</v>
      </c>
      <c r="J4850" s="3">
        <v>73</v>
      </c>
      <c r="K4850" s="3">
        <v>35.97</v>
      </c>
      <c r="L4850">
        <v>50.73</v>
      </c>
    </row>
    <row r="4851" spans="1:12">
      <c r="A4851" s="1">
        <v>46043</v>
      </c>
      <c r="B4851" t="s">
        <v>7377</v>
      </c>
      <c r="C4851">
        <v>13</v>
      </c>
      <c r="D4851" t="str">
        <f>VLOOKUP(Tabela26[[#This Row],[EMP]],[1]LOJA!$A:$B,2,0)</f>
        <v>CEILÂNDIA</v>
      </c>
      <c r="E4851">
        <v>86</v>
      </c>
      <c r="F4851" t="s">
        <v>4081</v>
      </c>
      <c r="G4851" t="s">
        <v>4080</v>
      </c>
      <c r="H4851" t="s">
        <v>7313</v>
      </c>
      <c r="I4851">
        <v>5102</v>
      </c>
      <c r="J4851" s="3">
        <v>67.8</v>
      </c>
      <c r="K4851" s="3">
        <v>48.54</v>
      </c>
      <c r="L4851">
        <v>28.41</v>
      </c>
    </row>
    <row r="4852" spans="1:12">
      <c r="A4852" s="1">
        <v>46043</v>
      </c>
      <c r="B4852" t="s">
        <v>7376</v>
      </c>
      <c r="C4852">
        <v>13</v>
      </c>
      <c r="D4852" t="str">
        <f>VLOOKUP(Tabela26[[#This Row],[EMP]],[1]LOJA!$A:$B,2,0)</f>
        <v>CEILÂNDIA</v>
      </c>
      <c r="E4852">
        <v>86</v>
      </c>
      <c r="F4852" t="s">
        <v>4775</v>
      </c>
      <c r="G4852" t="s">
        <v>4774</v>
      </c>
      <c r="H4852" t="s">
        <v>7313</v>
      </c>
      <c r="I4852">
        <v>5102</v>
      </c>
      <c r="J4852" s="3">
        <v>89.36</v>
      </c>
      <c r="K4852" s="3">
        <v>53.28</v>
      </c>
      <c r="L4852">
        <v>40.380000000000003</v>
      </c>
    </row>
    <row r="4853" spans="1:12">
      <c r="A4853" s="1">
        <v>46043</v>
      </c>
      <c r="B4853" t="s">
        <v>7375</v>
      </c>
      <c r="C4853">
        <v>13</v>
      </c>
      <c r="D4853" t="str">
        <f>VLOOKUP(Tabela26[[#This Row],[EMP]],[1]LOJA!$A:$B,2,0)</f>
        <v>CEILÂNDIA</v>
      </c>
      <c r="E4853">
        <v>33</v>
      </c>
      <c r="F4853" t="s">
        <v>4767</v>
      </c>
      <c r="G4853" t="s">
        <v>4766</v>
      </c>
      <c r="H4853" t="s">
        <v>3430</v>
      </c>
      <c r="I4853">
        <v>5102</v>
      </c>
      <c r="J4853" s="3">
        <v>167</v>
      </c>
      <c r="K4853" s="3">
        <v>109.37</v>
      </c>
      <c r="L4853">
        <v>34.51</v>
      </c>
    </row>
    <row r="4854" spans="1:12">
      <c r="A4854" s="1">
        <v>46043</v>
      </c>
      <c r="B4854" t="s">
        <v>7374</v>
      </c>
      <c r="C4854">
        <v>13</v>
      </c>
      <c r="D4854" t="str">
        <f>VLOOKUP(Tabela26[[#This Row],[EMP]],[1]LOJA!$A:$B,2,0)</f>
        <v>CEILÂNDIA</v>
      </c>
      <c r="E4854">
        <v>33</v>
      </c>
      <c r="F4854" t="s">
        <v>5845</v>
      </c>
      <c r="G4854" t="s">
        <v>5844</v>
      </c>
      <c r="H4854" t="s">
        <v>7313</v>
      </c>
      <c r="I4854">
        <v>5102</v>
      </c>
      <c r="J4854" s="3">
        <v>336</v>
      </c>
      <c r="K4854" s="3">
        <v>193.76</v>
      </c>
      <c r="L4854">
        <v>42.33</v>
      </c>
    </row>
    <row r="4855" spans="1:12">
      <c r="A4855" s="1">
        <v>46043</v>
      </c>
      <c r="B4855" t="s">
        <v>7373</v>
      </c>
      <c r="C4855">
        <v>13</v>
      </c>
      <c r="D4855" t="str">
        <f>VLOOKUP(Tabela26[[#This Row],[EMP]],[1]LOJA!$A:$B,2,0)</f>
        <v>CEILÂNDIA</v>
      </c>
      <c r="E4855">
        <v>33</v>
      </c>
      <c r="F4855" t="s">
        <v>4764</v>
      </c>
      <c r="G4855" t="s">
        <v>4763</v>
      </c>
      <c r="H4855" t="s">
        <v>3430</v>
      </c>
      <c r="I4855">
        <v>5405</v>
      </c>
      <c r="J4855" s="3">
        <v>165</v>
      </c>
      <c r="K4855" s="3">
        <v>74.22</v>
      </c>
      <c r="L4855">
        <v>55.02</v>
      </c>
    </row>
    <row r="4856" spans="1:12">
      <c r="A4856" s="1">
        <v>46043</v>
      </c>
      <c r="B4856" t="s">
        <v>7372</v>
      </c>
      <c r="C4856">
        <v>13</v>
      </c>
      <c r="D4856" t="str">
        <f>VLOOKUP(Tabela26[[#This Row],[EMP]],[1]LOJA!$A:$B,2,0)</f>
        <v>CEILÂNDIA</v>
      </c>
      <c r="E4856">
        <v>33</v>
      </c>
      <c r="F4856" t="s">
        <v>3505</v>
      </c>
      <c r="G4856" t="s">
        <v>3504</v>
      </c>
      <c r="H4856" t="s">
        <v>3430</v>
      </c>
      <c r="I4856">
        <v>5405</v>
      </c>
      <c r="J4856" s="3">
        <v>65</v>
      </c>
      <c r="K4856" s="3">
        <v>30.51</v>
      </c>
      <c r="L4856">
        <v>53.06</v>
      </c>
    </row>
    <row r="4857" spans="1:12">
      <c r="A4857" s="1">
        <v>46043</v>
      </c>
      <c r="B4857" t="s">
        <v>7371</v>
      </c>
      <c r="C4857">
        <v>13</v>
      </c>
      <c r="D4857" t="str">
        <f>VLOOKUP(Tabela26[[#This Row],[EMP]],[1]LOJA!$A:$B,2,0)</f>
        <v>CEILÂNDIA</v>
      </c>
      <c r="E4857">
        <v>86</v>
      </c>
      <c r="F4857" t="s">
        <v>4106</v>
      </c>
      <c r="G4857" t="s">
        <v>4105</v>
      </c>
      <c r="H4857" t="s">
        <v>3430</v>
      </c>
      <c r="I4857">
        <v>5405</v>
      </c>
      <c r="J4857" s="3">
        <v>59.42</v>
      </c>
      <c r="K4857" s="3">
        <v>30.25</v>
      </c>
      <c r="L4857">
        <v>49.09</v>
      </c>
    </row>
    <row r="4858" spans="1:12">
      <c r="A4858" s="1">
        <v>46043</v>
      </c>
      <c r="B4858" t="s">
        <v>7370</v>
      </c>
      <c r="C4858">
        <v>13</v>
      </c>
      <c r="D4858" t="str">
        <f>VLOOKUP(Tabela26[[#This Row],[EMP]],[1]LOJA!$A:$B,2,0)</f>
        <v>CEILÂNDIA</v>
      </c>
      <c r="E4858">
        <v>86</v>
      </c>
      <c r="F4858" t="s">
        <v>4088</v>
      </c>
      <c r="G4858" t="s">
        <v>4087</v>
      </c>
      <c r="H4858" t="s">
        <v>7313</v>
      </c>
      <c r="I4858">
        <v>5405</v>
      </c>
      <c r="J4858" s="3">
        <v>107.62</v>
      </c>
      <c r="K4858" s="3">
        <v>47.06</v>
      </c>
      <c r="L4858">
        <v>56.27</v>
      </c>
    </row>
    <row r="4859" spans="1:12">
      <c r="A4859" s="1">
        <v>46043</v>
      </c>
      <c r="B4859" t="s">
        <v>7369</v>
      </c>
      <c r="C4859">
        <v>13</v>
      </c>
      <c r="D4859" t="str">
        <f>VLOOKUP(Tabela26[[#This Row],[EMP]],[1]LOJA!$A:$B,2,0)</f>
        <v>CEILÂNDIA</v>
      </c>
      <c r="E4859">
        <v>86</v>
      </c>
      <c r="F4859" t="s">
        <v>4097</v>
      </c>
      <c r="G4859" t="s">
        <v>4096</v>
      </c>
      <c r="H4859" t="s">
        <v>3430</v>
      </c>
      <c r="I4859">
        <v>5405</v>
      </c>
      <c r="J4859" s="3">
        <v>146.66999999999999</v>
      </c>
      <c r="K4859" s="3">
        <v>81.69</v>
      </c>
      <c r="L4859">
        <v>44.3</v>
      </c>
    </row>
    <row r="4860" spans="1:12">
      <c r="A4860" s="1">
        <v>46043</v>
      </c>
      <c r="B4860" t="s">
        <v>7368</v>
      </c>
      <c r="C4860">
        <v>13</v>
      </c>
      <c r="D4860" t="str">
        <f>VLOOKUP(Tabela26[[#This Row],[EMP]],[1]LOJA!$A:$B,2,0)</f>
        <v>CEILÂNDIA</v>
      </c>
      <c r="E4860">
        <v>86</v>
      </c>
      <c r="F4860" t="s">
        <v>4081</v>
      </c>
      <c r="G4860" t="s">
        <v>4080</v>
      </c>
      <c r="H4860" t="s">
        <v>7313</v>
      </c>
      <c r="I4860">
        <v>5102</v>
      </c>
      <c r="J4860" s="3">
        <v>49.92</v>
      </c>
      <c r="K4860" s="3">
        <v>32.67</v>
      </c>
      <c r="L4860">
        <v>34.56</v>
      </c>
    </row>
    <row r="4861" spans="1:12">
      <c r="A4861" s="1">
        <v>46043</v>
      </c>
      <c r="B4861" t="s">
        <v>7367</v>
      </c>
      <c r="C4861">
        <v>15</v>
      </c>
      <c r="D4861" t="str">
        <f>VLOOKUP(Tabela26[[#This Row],[EMP]],[1]LOJA!$A:$B,2,0)</f>
        <v>UNAÍ</v>
      </c>
      <c r="E4861">
        <v>183</v>
      </c>
      <c r="F4861" t="s">
        <v>5835</v>
      </c>
      <c r="G4861" t="s">
        <v>5834</v>
      </c>
      <c r="H4861" t="s">
        <v>3408</v>
      </c>
      <c r="I4861">
        <v>5102</v>
      </c>
      <c r="J4861" s="3">
        <v>269</v>
      </c>
      <c r="K4861" s="3">
        <v>134.21</v>
      </c>
      <c r="L4861">
        <v>50.11</v>
      </c>
    </row>
    <row r="4862" spans="1:12">
      <c r="A4862" s="1">
        <v>46043</v>
      </c>
      <c r="B4862" t="s">
        <v>7366</v>
      </c>
      <c r="C4862">
        <v>15</v>
      </c>
      <c r="D4862" t="str">
        <f>VLOOKUP(Tabela26[[#This Row],[EMP]],[1]LOJA!$A:$B,2,0)</f>
        <v>UNAÍ</v>
      </c>
      <c r="E4862">
        <v>183</v>
      </c>
      <c r="F4862" t="s">
        <v>3485</v>
      </c>
      <c r="G4862" t="s">
        <v>3402</v>
      </c>
      <c r="H4862" t="s">
        <v>3408</v>
      </c>
      <c r="I4862">
        <v>5102</v>
      </c>
      <c r="J4862" s="3">
        <v>28</v>
      </c>
      <c r="K4862" s="3">
        <v>13.92</v>
      </c>
      <c r="L4862">
        <v>50.29</v>
      </c>
    </row>
    <row r="4863" spans="1:12">
      <c r="A4863" s="1">
        <v>46043</v>
      </c>
      <c r="B4863" t="s">
        <v>7365</v>
      </c>
      <c r="C4863">
        <v>15</v>
      </c>
      <c r="D4863" t="str">
        <f>VLOOKUP(Tabela26[[#This Row],[EMP]],[1]LOJA!$A:$B,2,0)</f>
        <v>UNAÍ</v>
      </c>
      <c r="E4863">
        <v>183</v>
      </c>
      <c r="F4863" t="s">
        <v>4731</v>
      </c>
      <c r="G4863" t="s">
        <v>4730</v>
      </c>
      <c r="H4863" t="s">
        <v>3401</v>
      </c>
      <c r="I4863">
        <v>5102</v>
      </c>
      <c r="J4863" s="3">
        <v>39.6</v>
      </c>
      <c r="K4863" s="3">
        <v>15.31</v>
      </c>
      <c r="L4863">
        <v>61.34</v>
      </c>
    </row>
    <row r="4864" spans="1:12">
      <c r="A4864" s="1">
        <v>46043</v>
      </c>
      <c r="B4864" t="s">
        <v>7364</v>
      </c>
      <c r="C4864">
        <v>15</v>
      </c>
      <c r="D4864" t="str">
        <f>VLOOKUP(Tabela26[[#This Row],[EMP]],[1]LOJA!$A:$B,2,0)</f>
        <v>UNAÍ</v>
      </c>
      <c r="E4864">
        <v>183</v>
      </c>
      <c r="F4864" t="s">
        <v>5763</v>
      </c>
      <c r="G4864" t="s">
        <v>5762</v>
      </c>
      <c r="H4864" t="s">
        <v>3401</v>
      </c>
      <c r="I4864">
        <v>5102</v>
      </c>
      <c r="J4864" s="3">
        <v>426.6</v>
      </c>
      <c r="K4864" s="3">
        <v>208.41</v>
      </c>
      <c r="L4864">
        <v>51.15</v>
      </c>
    </row>
    <row r="4865" spans="1:12">
      <c r="A4865" s="1">
        <v>46043</v>
      </c>
      <c r="B4865" t="s">
        <v>7363</v>
      </c>
      <c r="C4865">
        <v>15</v>
      </c>
      <c r="D4865" t="str">
        <f>VLOOKUP(Tabela26[[#This Row],[EMP]],[1]LOJA!$A:$B,2,0)</f>
        <v>UNAÍ</v>
      </c>
      <c r="E4865">
        <v>183</v>
      </c>
      <c r="F4865" t="s">
        <v>3485</v>
      </c>
      <c r="G4865" t="s">
        <v>3402</v>
      </c>
      <c r="H4865" t="s">
        <v>3401</v>
      </c>
      <c r="I4865">
        <v>5102</v>
      </c>
      <c r="J4865" s="3">
        <v>36</v>
      </c>
      <c r="K4865" s="3">
        <v>18.02</v>
      </c>
      <c r="L4865">
        <v>49.94</v>
      </c>
    </row>
    <row r="4866" spans="1:12">
      <c r="A4866" s="1">
        <v>46043</v>
      </c>
      <c r="B4866" t="s">
        <v>7362</v>
      </c>
      <c r="C4866">
        <v>15</v>
      </c>
      <c r="D4866" t="str">
        <f>VLOOKUP(Tabela26[[#This Row],[EMP]],[1]LOJA!$A:$B,2,0)</f>
        <v>UNAÍ</v>
      </c>
      <c r="E4866">
        <v>183</v>
      </c>
      <c r="F4866" t="s">
        <v>4758</v>
      </c>
      <c r="G4866" t="s">
        <v>4757</v>
      </c>
      <c r="H4866" t="s">
        <v>3430</v>
      </c>
      <c r="I4866">
        <v>5102</v>
      </c>
      <c r="J4866" s="3">
        <v>55.15</v>
      </c>
      <c r="K4866" s="3">
        <v>37</v>
      </c>
      <c r="L4866">
        <v>32.909999999999997</v>
      </c>
    </row>
    <row r="4867" spans="1:12">
      <c r="A4867" s="1">
        <v>46043</v>
      </c>
      <c r="B4867" t="s">
        <v>7361</v>
      </c>
      <c r="C4867">
        <v>15</v>
      </c>
      <c r="D4867" t="str">
        <f>VLOOKUP(Tabela26[[#This Row],[EMP]],[1]LOJA!$A:$B,2,0)</f>
        <v>UNAÍ</v>
      </c>
      <c r="E4867">
        <v>183</v>
      </c>
      <c r="F4867" t="s">
        <v>7360</v>
      </c>
      <c r="G4867" t="s">
        <v>7359</v>
      </c>
      <c r="H4867" t="s">
        <v>3401</v>
      </c>
      <c r="I4867">
        <v>5102</v>
      </c>
      <c r="J4867" s="3">
        <v>18</v>
      </c>
      <c r="K4867" s="3">
        <v>6.8</v>
      </c>
      <c r="L4867">
        <v>62.22</v>
      </c>
    </row>
    <row r="4868" spans="1:12">
      <c r="A4868" s="1">
        <v>46043</v>
      </c>
      <c r="B4868" t="s">
        <v>7358</v>
      </c>
      <c r="C4868">
        <v>15</v>
      </c>
      <c r="D4868" t="str">
        <f>VLOOKUP(Tabela26[[#This Row],[EMP]],[1]LOJA!$A:$B,2,0)</f>
        <v>UNAÍ</v>
      </c>
      <c r="E4868">
        <v>183</v>
      </c>
      <c r="F4868" t="s">
        <v>3485</v>
      </c>
      <c r="G4868" t="s">
        <v>3402</v>
      </c>
      <c r="H4868" t="s">
        <v>3401</v>
      </c>
      <c r="I4868">
        <v>5102</v>
      </c>
      <c r="J4868" s="3">
        <v>15</v>
      </c>
      <c r="K4868" s="3">
        <v>6.92</v>
      </c>
      <c r="L4868">
        <v>53.87</v>
      </c>
    </row>
    <row r="4869" spans="1:12">
      <c r="A4869" s="1">
        <v>46043</v>
      </c>
      <c r="B4869" t="s">
        <v>7357</v>
      </c>
      <c r="C4869">
        <v>15</v>
      </c>
      <c r="D4869" t="str">
        <f>VLOOKUP(Tabela26[[#This Row],[EMP]],[1]LOJA!$A:$B,2,0)</f>
        <v>UNAÍ</v>
      </c>
      <c r="E4869">
        <v>183</v>
      </c>
      <c r="F4869" t="s">
        <v>7356</v>
      </c>
      <c r="G4869" t="s">
        <v>3402</v>
      </c>
      <c r="H4869" t="s">
        <v>3401</v>
      </c>
      <c r="I4869">
        <v>5102</v>
      </c>
      <c r="J4869" s="3">
        <v>19.600000000000001</v>
      </c>
      <c r="K4869" s="3">
        <v>11.77</v>
      </c>
      <c r="L4869">
        <v>39.950000000000003</v>
      </c>
    </row>
    <row r="4870" spans="1:12">
      <c r="A4870" s="1">
        <v>46043</v>
      </c>
      <c r="B4870" t="s">
        <v>7355</v>
      </c>
      <c r="C4870">
        <v>15</v>
      </c>
      <c r="D4870" t="str">
        <f>VLOOKUP(Tabela26[[#This Row],[EMP]],[1]LOJA!$A:$B,2,0)</f>
        <v>UNAÍ</v>
      </c>
      <c r="E4870">
        <v>183</v>
      </c>
      <c r="F4870" t="s">
        <v>7354</v>
      </c>
      <c r="G4870" t="s">
        <v>3402</v>
      </c>
      <c r="H4870" t="s">
        <v>3408</v>
      </c>
      <c r="I4870">
        <v>5102</v>
      </c>
      <c r="J4870" s="3">
        <v>78</v>
      </c>
      <c r="K4870" s="3">
        <v>41.46</v>
      </c>
      <c r="L4870">
        <v>46.85</v>
      </c>
    </row>
    <row r="4871" spans="1:12">
      <c r="A4871" s="1">
        <v>46043</v>
      </c>
      <c r="B4871" t="s">
        <v>7353</v>
      </c>
      <c r="C4871">
        <v>15</v>
      </c>
      <c r="D4871" t="str">
        <f>VLOOKUP(Tabela26[[#This Row],[EMP]],[1]LOJA!$A:$B,2,0)</f>
        <v>UNAÍ</v>
      </c>
      <c r="E4871">
        <v>183</v>
      </c>
      <c r="F4871" t="s">
        <v>6126</v>
      </c>
      <c r="G4871" t="s">
        <v>6125</v>
      </c>
      <c r="H4871" t="s">
        <v>3408</v>
      </c>
      <c r="I4871">
        <v>5102</v>
      </c>
      <c r="J4871" s="3">
        <v>500</v>
      </c>
      <c r="K4871" s="3">
        <v>265.02999999999997</v>
      </c>
      <c r="L4871">
        <v>46.99</v>
      </c>
    </row>
    <row r="4872" spans="1:12">
      <c r="A4872" s="1">
        <v>46043</v>
      </c>
      <c r="B4872" t="s">
        <v>7352</v>
      </c>
      <c r="C4872">
        <v>15</v>
      </c>
      <c r="D4872" t="str">
        <f>VLOOKUP(Tabela26[[#This Row],[EMP]],[1]LOJA!$A:$B,2,0)</f>
        <v>UNAÍ</v>
      </c>
      <c r="E4872">
        <v>183</v>
      </c>
      <c r="F4872" t="s">
        <v>5822</v>
      </c>
      <c r="G4872" t="s">
        <v>5821</v>
      </c>
      <c r="H4872" t="s">
        <v>3520</v>
      </c>
      <c r="I4872">
        <v>5102</v>
      </c>
      <c r="J4872" s="3">
        <v>287.39999999999998</v>
      </c>
      <c r="K4872" s="3">
        <v>149.19</v>
      </c>
      <c r="L4872">
        <v>48.09</v>
      </c>
    </row>
    <row r="4873" spans="1:12">
      <c r="A4873" s="1">
        <v>46043</v>
      </c>
      <c r="B4873" t="s">
        <v>7351</v>
      </c>
      <c r="C4873">
        <v>15</v>
      </c>
      <c r="D4873" t="str">
        <f>VLOOKUP(Tabela26[[#This Row],[EMP]],[1]LOJA!$A:$B,2,0)</f>
        <v>UNAÍ</v>
      </c>
      <c r="E4873">
        <v>183</v>
      </c>
      <c r="F4873" t="s">
        <v>3488</v>
      </c>
      <c r="G4873" t="s">
        <v>3487</v>
      </c>
      <c r="H4873" t="s">
        <v>3430</v>
      </c>
      <c r="I4873">
        <v>5102</v>
      </c>
      <c r="J4873" s="3">
        <v>54</v>
      </c>
      <c r="K4873" s="3">
        <v>24.66</v>
      </c>
      <c r="L4873">
        <v>54.33</v>
      </c>
    </row>
    <row r="4874" spans="1:12">
      <c r="A4874" s="1">
        <v>46043</v>
      </c>
      <c r="B4874" t="s">
        <v>7350</v>
      </c>
      <c r="C4874">
        <v>15</v>
      </c>
      <c r="D4874" t="str">
        <f>VLOOKUP(Tabela26[[#This Row],[EMP]],[1]LOJA!$A:$B,2,0)</f>
        <v>UNAÍ</v>
      </c>
      <c r="E4874">
        <v>183</v>
      </c>
      <c r="F4874" t="s">
        <v>3485</v>
      </c>
      <c r="G4874" t="s">
        <v>3402</v>
      </c>
      <c r="H4874" t="s">
        <v>3408</v>
      </c>
      <c r="I4874">
        <v>5102</v>
      </c>
      <c r="J4874" s="3">
        <v>40</v>
      </c>
      <c r="K4874" s="3">
        <v>17.690000000000001</v>
      </c>
      <c r="L4874">
        <v>55.78</v>
      </c>
    </row>
    <row r="4875" spans="1:12">
      <c r="A4875" s="1">
        <v>46043</v>
      </c>
      <c r="B4875" t="s">
        <v>7349</v>
      </c>
      <c r="C4875">
        <v>15</v>
      </c>
      <c r="D4875" t="str">
        <f>VLOOKUP(Tabela26[[#This Row],[EMP]],[1]LOJA!$A:$B,2,0)</f>
        <v>UNAÍ</v>
      </c>
      <c r="E4875">
        <v>183</v>
      </c>
      <c r="F4875" t="s">
        <v>7348</v>
      </c>
      <c r="G4875" t="s">
        <v>7347</v>
      </c>
      <c r="H4875" t="s">
        <v>3401</v>
      </c>
      <c r="I4875">
        <v>5102</v>
      </c>
      <c r="J4875" s="3">
        <v>20</v>
      </c>
      <c r="K4875" s="3">
        <v>12.02</v>
      </c>
      <c r="L4875">
        <v>39.9</v>
      </c>
    </row>
    <row r="4876" spans="1:12">
      <c r="A4876" s="1">
        <v>46043</v>
      </c>
      <c r="B4876" t="s">
        <v>7346</v>
      </c>
      <c r="C4876">
        <v>15</v>
      </c>
      <c r="D4876" t="str">
        <f>VLOOKUP(Tabela26[[#This Row],[EMP]],[1]LOJA!$A:$B,2,0)</f>
        <v>UNAÍ</v>
      </c>
      <c r="E4876">
        <v>183</v>
      </c>
      <c r="F4876" t="s">
        <v>7345</v>
      </c>
      <c r="G4876" t="s">
        <v>7344</v>
      </c>
      <c r="H4876" t="s">
        <v>3401</v>
      </c>
      <c r="I4876">
        <v>5102</v>
      </c>
      <c r="J4876" s="3">
        <v>126</v>
      </c>
      <c r="K4876" s="3">
        <v>63.79</v>
      </c>
      <c r="L4876">
        <v>49.37</v>
      </c>
    </row>
    <row r="4877" spans="1:12">
      <c r="A4877" s="1">
        <v>46043</v>
      </c>
      <c r="B4877" t="s">
        <v>7343</v>
      </c>
      <c r="C4877">
        <v>15</v>
      </c>
      <c r="D4877" t="str">
        <f>VLOOKUP(Tabela26[[#This Row],[EMP]],[1]LOJA!$A:$B,2,0)</f>
        <v>UNAÍ</v>
      </c>
      <c r="E4877">
        <v>183</v>
      </c>
      <c r="F4877" t="s">
        <v>3485</v>
      </c>
      <c r="G4877" t="s">
        <v>3402</v>
      </c>
      <c r="H4877" t="s">
        <v>3401</v>
      </c>
      <c r="I4877">
        <v>5102</v>
      </c>
      <c r="J4877" s="3">
        <v>77.25</v>
      </c>
      <c r="K4877" s="3">
        <v>47.62</v>
      </c>
      <c r="L4877">
        <v>38.36</v>
      </c>
    </row>
    <row r="4878" spans="1:12">
      <c r="A4878" s="1">
        <v>46043</v>
      </c>
      <c r="B4878" t="s">
        <v>7342</v>
      </c>
      <c r="C4878">
        <v>15</v>
      </c>
      <c r="D4878" t="str">
        <f>VLOOKUP(Tabela26[[#This Row],[EMP]],[1]LOJA!$A:$B,2,0)</f>
        <v>UNAÍ</v>
      </c>
      <c r="E4878">
        <v>183</v>
      </c>
      <c r="F4878" t="s">
        <v>3485</v>
      </c>
      <c r="G4878" t="s">
        <v>3402</v>
      </c>
      <c r="H4878" t="s">
        <v>3401</v>
      </c>
      <c r="I4878">
        <v>5102</v>
      </c>
      <c r="J4878" s="3">
        <v>35</v>
      </c>
      <c r="K4878" s="3">
        <v>13.95</v>
      </c>
      <c r="L4878">
        <v>60.14</v>
      </c>
    </row>
    <row r="4879" spans="1:12">
      <c r="A4879" s="1">
        <v>46043</v>
      </c>
      <c r="B4879" t="s">
        <v>7341</v>
      </c>
      <c r="C4879">
        <v>15</v>
      </c>
      <c r="D4879" t="str">
        <f>VLOOKUP(Tabela26[[#This Row],[EMP]],[1]LOJA!$A:$B,2,0)</f>
        <v>UNAÍ</v>
      </c>
      <c r="E4879">
        <v>183</v>
      </c>
      <c r="F4879" t="s">
        <v>3485</v>
      </c>
      <c r="G4879" t="s">
        <v>3402</v>
      </c>
      <c r="H4879" t="s">
        <v>3401</v>
      </c>
      <c r="I4879">
        <v>5102</v>
      </c>
      <c r="J4879" s="3">
        <v>3.6</v>
      </c>
      <c r="K4879" s="3">
        <v>1.36</v>
      </c>
      <c r="L4879">
        <v>62.22</v>
      </c>
    </row>
    <row r="4880" spans="1:12">
      <c r="A4880" s="1">
        <v>46043</v>
      </c>
      <c r="B4880" t="s">
        <v>7340</v>
      </c>
      <c r="C4880">
        <v>15</v>
      </c>
      <c r="D4880" t="str">
        <f>VLOOKUP(Tabela26[[#This Row],[EMP]],[1]LOJA!$A:$B,2,0)</f>
        <v>UNAÍ</v>
      </c>
      <c r="E4880">
        <v>183</v>
      </c>
      <c r="F4880" t="s">
        <v>3485</v>
      </c>
      <c r="G4880" t="s">
        <v>3402</v>
      </c>
      <c r="H4880" t="s">
        <v>3401</v>
      </c>
      <c r="I4880">
        <v>5102</v>
      </c>
      <c r="J4880" s="3">
        <v>32.4</v>
      </c>
      <c r="K4880" s="3">
        <v>14.21</v>
      </c>
      <c r="L4880">
        <v>56.14</v>
      </c>
    </row>
    <row r="4881" spans="1:12">
      <c r="A4881" s="1">
        <v>46043</v>
      </c>
      <c r="B4881" t="s">
        <v>7339</v>
      </c>
      <c r="C4881">
        <v>15</v>
      </c>
      <c r="D4881" t="str">
        <f>VLOOKUP(Tabela26[[#This Row],[EMP]],[1]LOJA!$A:$B,2,0)</f>
        <v>UNAÍ</v>
      </c>
      <c r="E4881">
        <v>183</v>
      </c>
      <c r="F4881" t="s">
        <v>4701</v>
      </c>
      <c r="G4881" t="s">
        <v>4700</v>
      </c>
      <c r="H4881" t="s">
        <v>3520</v>
      </c>
      <c r="I4881">
        <v>5102</v>
      </c>
      <c r="J4881" s="3">
        <v>145.19999999999999</v>
      </c>
      <c r="K4881" s="3">
        <v>71.13</v>
      </c>
      <c r="L4881">
        <v>51.01</v>
      </c>
    </row>
    <row r="4882" spans="1:12">
      <c r="A4882" s="1">
        <v>46043</v>
      </c>
      <c r="B4882" t="s">
        <v>7338</v>
      </c>
      <c r="C4882">
        <v>15</v>
      </c>
      <c r="D4882" t="str">
        <f>VLOOKUP(Tabela26[[#This Row],[EMP]],[1]LOJA!$A:$B,2,0)</f>
        <v>UNAÍ</v>
      </c>
      <c r="E4882">
        <v>183</v>
      </c>
      <c r="F4882" t="s">
        <v>4708</v>
      </c>
      <c r="G4882" t="s">
        <v>4707</v>
      </c>
      <c r="H4882" t="s">
        <v>3520</v>
      </c>
      <c r="I4882">
        <v>5102</v>
      </c>
      <c r="J4882" s="3">
        <v>384</v>
      </c>
      <c r="K4882" s="3">
        <v>195.28</v>
      </c>
      <c r="L4882">
        <v>49.15</v>
      </c>
    </row>
    <row r="4883" spans="1:12">
      <c r="A4883" s="1">
        <v>46043</v>
      </c>
      <c r="B4883" t="s">
        <v>7337</v>
      </c>
      <c r="C4883">
        <v>15</v>
      </c>
      <c r="D4883" t="str">
        <f>VLOOKUP(Tabela26[[#This Row],[EMP]],[1]LOJA!$A:$B,2,0)</f>
        <v>UNAÍ</v>
      </c>
      <c r="E4883">
        <v>183</v>
      </c>
      <c r="F4883" t="s">
        <v>3485</v>
      </c>
      <c r="G4883" t="s">
        <v>3402</v>
      </c>
      <c r="H4883" t="s">
        <v>3401</v>
      </c>
      <c r="I4883">
        <v>5102</v>
      </c>
      <c r="J4883" s="3">
        <v>20.6</v>
      </c>
      <c r="K4883" s="3">
        <v>12.51</v>
      </c>
      <c r="L4883">
        <v>39.270000000000003</v>
      </c>
    </row>
    <row r="4884" spans="1:12">
      <c r="A4884" s="1">
        <v>46043</v>
      </c>
      <c r="B4884" t="s">
        <v>7336</v>
      </c>
      <c r="C4884">
        <v>15</v>
      </c>
      <c r="D4884" t="str">
        <f>VLOOKUP(Tabela26[[#This Row],[EMP]],[1]LOJA!$A:$B,2,0)</f>
        <v>UNAÍ</v>
      </c>
      <c r="E4884">
        <v>183</v>
      </c>
      <c r="F4884" t="s">
        <v>3485</v>
      </c>
      <c r="G4884" t="s">
        <v>3402</v>
      </c>
      <c r="H4884" t="s">
        <v>3401</v>
      </c>
      <c r="I4884">
        <v>5102</v>
      </c>
      <c r="J4884" s="3">
        <v>39.6</v>
      </c>
      <c r="K4884" s="3">
        <v>21.59</v>
      </c>
      <c r="L4884">
        <v>45.48</v>
      </c>
    </row>
    <row r="4885" spans="1:12">
      <c r="A4885" s="1">
        <v>46043</v>
      </c>
      <c r="B4885" t="s">
        <v>7335</v>
      </c>
      <c r="C4885">
        <v>15</v>
      </c>
      <c r="D4885" t="str">
        <f>VLOOKUP(Tabela26[[#This Row],[EMP]],[1]LOJA!$A:$B,2,0)</f>
        <v>UNAÍ</v>
      </c>
      <c r="E4885">
        <v>183</v>
      </c>
      <c r="F4885" t="s">
        <v>4029</v>
      </c>
      <c r="G4885" t="s">
        <v>4028</v>
      </c>
      <c r="H4885" t="s">
        <v>3401</v>
      </c>
      <c r="I4885">
        <v>5102</v>
      </c>
      <c r="J4885" s="3">
        <v>50</v>
      </c>
      <c r="K4885" s="3">
        <v>23.37</v>
      </c>
      <c r="L4885">
        <v>53.26</v>
      </c>
    </row>
    <row r="4886" spans="1:12">
      <c r="A4886" s="1">
        <v>46043</v>
      </c>
      <c r="B4886" t="s">
        <v>7334</v>
      </c>
      <c r="C4886">
        <v>15</v>
      </c>
      <c r="D4886" t="str">
        <f>VLOOKUP(Tabela26[[#This Row],[EMP]],[1]LOJA!$A:$B,2,0)</f>
        <v>UNAÍ</v>
      </c>
      <c r="E4886">
        <v>183</v>
      </c>
      <c r="F4886" t="s">
        <v>3485</v>
      </c>
      <c r="G4886" t="s">
        <v>3402</v>
      </c>
      <c r="H4886" t="s">
        <v>3408</v>
      </c>
      <c r="I4886">
        <v>5102</v>
      </c>
      <c r="J4886" s="3">
        <v>24</v>
      </c>
      <c r="K4886" s="3">
        <v>12.88</v>
      </c>
      <c r="L4886">
        <v>46.33</v>
      </c>
    </row>
    <row r="4887" spans="1:12">
      <c r="A4887" s="1">
        <v>46043</v>
      </c>
      <c r="B4887" t="s">
        <v>7333</v>
      </c>
      <c r="C4887">
        <v>15</v>
      </c>
      <c r="D4887" t="str">
        <f>VLOOKUP(Tabela26[[#This Row],[EMP]],[1]LOJA!$A:$B,2,0)</f>
        <v>UNAÍ</v>
      </c>
      <c r="E4887">
        <v>183</v>
      </c>
      <c r="F4887" t="s">
        <v>4689</v>
      </c>
      <c r="G4887" t="s">
        <v>4688</v>
      </c>
      <c r="H4887" t="s">
        <v>3430</v>
      </c>
      <c r="I4887">
        <v>5405</v>
      </c>
      <c r="J4887" s="3">
        <v>568.15</v>
      </c>
      <c r="K4887" s="3">
        <v>253.21</v>
      </c>
      <c r="L4887">
        <v>55.43</v>
      </c>
    </row>
    <row r="4888" spans="1:12">
      <c r="A4888" s="1">
        <v>46043</v>
      </c>
      <c r="B4888" t="s">
        <v>7332</v>
      </c>
      <c r="C4888">
        <v>15</v>
      </c>
      <c r="D4888" t="str">
        <f>VLOOKUP(Tabela26[[#This Row],[EMP]],[1]LOJA!$A:$B,2,0)</f>
        <v>UNAÍ</v>
      </c>
      <c r="E4888">
        <v>183</v>
      </c>
      <c r="F4888" t="s">
        <v>4078</v>
      </c>
      <c r="G4888" t="s">
        <v>4077</v>
      </c>
      <c r="H4888" t="s">
        <v>3520</v>
      </c>
      <c r="I4888">
        <v>5405</v>
      </c>
      <c r="J4888" s="3">
        <v>180</v>
      </c>
      <c r="K4888" s="3">
        <v>85.01</v>
      </c>
      <c r="L4888">
        <v>52.77</v>
      </c>
    </row>
    <row r="4889" spans="1:12">
      <c r="A4889" s="1">
        <v>46043</v>
      </c>
      <c r="B4889" t="s">
        <v>7331</v>
      </c>
      <c r="C4889">
        <v>15</v>
      </c>
      <c r="D4889" t="str">
        <f>VLOOKUP(Tabela26[[#This Row],[EMP]],[1]LOJA!$A:$B,2,0)</f>
        <v>UNAÍ</v>
      </c>
      <c r="E4889">
        <v>183</v>
      </c>
      <c r="F4889" t="s">
        <v>4720</v>
      </c>
      <c r="G4889" t="s">
        <v>4719</v>
      </c>
      <c r="H4889" t="s">
        <v>3520</v>
      </c>
      <c r="I4889">
        <v>5102</v>
      </c>
      <c r="J4889" s="3">
        <v>193</v>
      </c>
      <c r="K4889" s="3">
        <v>92.41</v>
      </c>
      <c r="L4889">
        <v>52.12</v>
      </c>
    </row>
    <row r="4890" spans="1:12">
      <c r="A4890" s="1">
        <v>46043</v>
      </c>
      <c r="B4890" t="s">
        <v>7330</v>
      </c>
      <c r="C4890">
        <v>15</v>
      </c>
      <c r="D4890" t="str">
        <f>VLOOKUP(Tabela26[[#This Row],[EMP]],[1]LOJA!$A:$B,2,0)</f>
        <v>UNAÍ</v>
      </c>
      <c r="E4890">
        <v>183</v>
      </c>
      <c r="F4890" t="s">
        <v>5296</v>
      </c>
      <c r="G4890" t="s">
        <v>5295</v>
      </c>
      <c r="H4890" t="s">
        <v>3520</v>
      </c>
      <c r="I4890">
        <v>5102</v>
      </c>
      <c r="J4890" s="3">
        <v>102</v>
      </c>
      <c r="K4890" s="3">
        <v>49.04</v>
      </c>
      <c r="L4890">
        <v>51.92</v>
      </c>
    </row>
    <row r="4891" spans="1:12">
      <c r="A4891" s="1">
        <v>46043</v>
      </c>
      <c r="B4891" t="s">
        <v>7329</v>
      </c>
      <c r="C4891">
        <v>15</v>
      </c>
      <c r="D4891" t="str">
        <f>VLOOKUP(Tabela26[[#This Row],[EMP]],[1]LOJA!$A:$B,2,0)</f>
        <v>UNAÍ</v>
      </c>
      <c r="E4891">
        <v>183</v>
      </c>
      <c r="F4891" t="s">
        <v>5799</v>
      </c>
      <c r="G4891" t="s">
        <v>5798</v>
      </c>
      <c r="H4891" t="s">
        <v>3408</v>
      </c>
      <c r="I4891">
        <v>5102</v>
      </c>
      <c r="J4891" s="3">
        <v>257</v>
      </c>
      <c r="K4891" s="3">
        <v>125.11</v>
      </c>
      <c r="L4891">
        <v>51.32</v>
      </c>
    </row>
    <row r="4892" spans="1:12">
      <c r="A4892" s="1">
        <v>46043</v>
      </c>
      <c r="B4892" t="s">
        <v>7328</v>
      </c>
      <c r="C4892">
        <v>15</v>
      </c>
      <c r="D4892" t="str">
        <f>VLOOKUP(Tabela26[[#This Row],[EMP]],[1]LOJA!$A:$B,2,0)</f>
        <v>UNAÍ</v>
      </c>
      <c r="E4892">
        <v>183</v>
      </c>
      <c r="F4892" t="s">
        <v>4016</v>
      </c>
      <c r="G4892" t="s">
        <v>4015</v>
      </c>
      <c r="H4892" t="s">
        <v>7043</v>
      </c>
      <c r="I4892">
        <v>5102</v>
      </c>
      <c r="J4892" s="3">
        <v>86</v>
      </c>
      <c r="K4892" s="3">
        <v>43.35</v>
      </c>
      <c r="L4892">
        <v>49.59</v>
      </c>
    </row>
    <row r="4893" spans="1:12">
      <c r="A4893" s="1">
        <v>46043</v>
      </c>
      <c r="B4893" t="s">
        <v>7327</v>
      </c>
      <c r="C4893">
        <v>15</v>
      </c>
      <c r="D4893" t="str">
        <f>VLOOKUP(Tabela26[[#This Row],[EMP]],[1]LOJA!$A:$B,2,0)</f>
        <v>UNAÍ</v>
      </c>
      <c r="E4893">
        <v>183</v>
      </c>
      <c r="F4893" t="s">
        <v>4681</v>
      </c>
      <c r="G4893" t="s">
        <v>4680</v>
      </c>
      <c r="H4893" t="s">
        <v>7018</v>
      </c>
      <c r="I4893">
        <v>5102</v>
      </c>
      <c r="J4893" s="3">
        <v>80</v>
      </c>
      <c r="K4893" s="3">
        <v>40.86</v>
      </c>
      <c r="L4893">
        <v>48.93</v>
      </c>
    </row>
    <row r="4894" spans="1:12">
      <c r="A4894" s="1">
        <v>46043</v>
      </c>
      <c r="B4894" t="s">
        <v>7326</v>
      </c>
      <c r="C4894">
        <v>14</v>
      </c>
      <c r="D4894" t="str">
        <f>VLOOKUP(Tabela26[[#This Row],[EMP]],[1]LOJA!$A:$B,2,0)</f>
        <v>S IA</v>
      </c>
      <c r="E4894">
        <v>54</v>
      </c>
      <c r="F4894" t="s">
        <v>4159</v>
      </c>
      <c r="G4894" t="s">
        <v>4158</v>
      </c>
      <c r="H4894" t="s">
        <v>3430</v>
      </c>
      <c r="I4894">
        <v>5405</v>
      </c>
      <c r="J4894" s="3">
        <v>268.75</v>
      </c>
      <c r="K4894" s="3">
        <v>138.07</v>
      </c>
      <c r="L4894">
        <v>48.63</v>
      </c>
    </row>
    <row r="4895" spans="1:12">
      <c r="A4895" s="1">
        <v>46043</v>
      </c>
      <c r="B4895" t="s">
        <v>7325</v>
      </c>
      <c r="C4895">
        <v>14</v>
      </c>
      <c r="D4895" t="str">
        <f>VLOOKUP(Tabela26[[#This Row],[EMP]],[1]LOJA!$A:$B,2,0)</f>
        <v>S IA</v>
      </c>
      <c r="E4895">
        <v>54</v>
      </c>
      <c r="F4895" t="s">
        <v>3974</v>
      </c>
      <c r="G4895" t="s">
        <v>3973</v>
      </c>
      <c r="H4895" t="s">
        <v>3430</v>
      </c>
      <c r="I4895">
        <v>5405</v>
      </c>
      <c r="J4895" s="3">
        <v>224.05</v>
      </c>
      <c r="K4895" s="3">
        <v>115.11</v>
      </c>
      <c r="L4895">
        <v>48.62</v>
      </c>
    </row>
    <row r="4896" spans="1:12">
      <c r="A4896" s="1">
        <v>46043</v>
      </c>
      <c r="B4896" t="s">
        <v>7324</v>
      </c>
      <c r="C4896">
        <v>14</v>
      </c>
      <c r="D4896" t="str">
        <f>VLOOKUP(Tabela26[[#This Row],[EMP]],[1]LOJA!$A:$B,2,0)</f>
        <v>S IA</v>
      </c>
      <c r="E4896">
        <v>212</v>
      </c>
      <c r="F4896" t="s">
        <v>7323</v>
      </c>
      <c r="G4896" t="s">
        <v>3402</v>
      </c>
      <c r="H4896" t="s">
        <v>3408</v>
      </c>
      <c r="I4896">
        <v>5405</v>
      </c>
      <c r="J4896" s="3">
        <v>60</v>
      </c>
      <c r="K4896" s="3">
        <v>28.79</v>
      </c>
      <c r="L4896">
        <v>52.02</v>
      </c>
    </row>
    <row r="4897" spans="1:12">
      <c r="A4897" s="1">
        <v>46043</v>
      </c>
      <c r="B4897" t="s">
        <v>7322</v>
      </c>
      <c r="C4897">
        <v>14</v>
      </c>
      <c r="D4897" t="str">
        <f>VLOOKUP(Tabela26[[#This Row],[EMP]],[1]LOJA!$A:$B,2,0)</f>
        <v>S IA</v>
      </c>
      <c r="E4897">
        <v>54</v>
      </c>
      <c r="F4897" t="s">
        <v>3974</v>
      </c>
      <c r="G4897" t="s">
        <v>3973</v>
      </c>
      <c r="H4897" t="s">
        <v>3430</v>
      </c>
      <c r="I4897">
        <v>5405</v>
      </c>
      <c r="J4897" s="3">
        <v>171.09</v>
      </c>
      <c r="K4897" s="3">
        <v>88.04</v>
      </c>
      <c r="L4897">
        <v>48.54</v>
      </c>
    </row>
    <row r="4898" spans="1:12">
      <c r="A4898" s="1">
        <v>46043</v>
      </c>
      <c r="B4898" t="s">
        <v>7321</v>
      </c>
      <c r="C4898">
        <v>14</v>
      </c>
      <c r="D4898" t="str">
        <f>VLOOKUP(Tabela26[[#This Row],[EMP]],[1]LOJA!$A:$B,2,0)</f>
        <v>S IA</v>
      </c>
      <c r="E4898">
        <v>54</v>
      </c>
      <c r="F4898" t="s">
        <v>7320</v>
      </c>
      <c r="G4898" t="s">
        <v>7319</v>
      </c>
      <c r="H4898" t="s">
        <v>3430</v>
      </c>
      <c r="I4898">
        <v>5405</v>
      </c>
      <c r="J4898" s="3">
        <v>233.4</v>
      </c>
      <c r="K4898" s="3">
        <v>138.66</v>
      </c>
      <c r="L4898">
        <v>40.590000000000003</v>
      </c>
    </row>
    <row r="4899" spans="1:12">
      <c r="A4899" s="1">
        <v>46043</v>
      </c>
      <c r="B4899" t="s">
        <v>7318</v>
      </c>
      <c r="C4899">
        <v>15</v>
      </c>
      <c r="D4899" t="str">
        <f>VLOOKUP(Tabela26[[#This Row],[EMP]],[1]LOJA!$A:$B,2,0)</f>
        <v>UNAÍ</v>
      </c>
      <c r="E4899">
        <v>183</v>
      </c>
      <c r="F4899" t="s">
        <v>3467</v>
      </c>
      <c r="G4899" t="s">
        <v>3466</v>
      </c>
      <c r="H4899" t="s">
        <v>3401</v>
      </c>
      <c r="I4899">
        <v>5102</v>
      </c>
      <c r="J4899" s="3">
        <v>45</v>
      </c>
      <c r="K4899" s="3">
        <v>21.51</v>
      </c>
      <c r="L4899">
        <v>52.2</v>
      </c>
    </row>
    <row r="4900" spans="1:12">
      <c r="A4900" s="1">
        <v>46043</v>
      </c>
      <c r="B4900" t="s">
        <v>7317</v>
      </c>
      <c r="C4900">
        <v>15</v>
      </c>
      <c r="D4900" t="str">
        <f>VLOOKUP(Tabela26[[#This Row],[EMP]],[1]LOJA!$A:$B,2,0)</f>
        <v>UNAÍ</v>
      </c>
      <c r="E4900">
        <v>183</v>
      </c>
      <c r="F4900" t="s">
        <v>3966</v>
      </c>
      <c r="G4900" t="s">
        <v>3965</v>
      </c>
      <c r="H4900" t="s">
        <v>3401</v>
      </c>
      <c r="I4900">
        <v>5102</v>
      </c>
      <c r="J4900" s="3">
        <v>240</v>
      </c>
      <c r="K4900" s="3">
        <v>122.56</v>
      </c>
      <c r="L4900">
        <v>48.93</v>
      </c>
    </row>
    <row r="4901" spans="1:12">
      <c r="A4901" s="1">
        <v>46043</v>
      </c>
      <c r="B4901" t="s">
        <v>7316</v>
      </c>
      <c r="C4901">
        <v>15</v>
      </c>
      <c r="D4901" t="str">
        <f>VLOOKUP(Tabela26[[#This Row],[EMP]],[1]LOJA!$A:$B,2,0)</f>
        <v>UNAÍ</v>
      </c>
      <c r="E4901">
        <v>183</v>
      </c>
      <c r="F4901" t="s">
        <v>5244</v>
      </c>
      <c r="G4901" t="s">
        <v>5243</v>
      </c>
      <c r="H4901" t="s">
        <v>3401</v>
      </c>
      <c r="I4901">
        <v>5102</v>
      </c>
      <c r="J4901" s="3">
        <v>91.4</v>
      </c>
      <c r="K4901" s="3">
        <v>53.94</v>
      </c>
      <c r="L4901">
        <v>40.98</v>
      </c>
    </row>
    <row r="4902" spans="1:12">
      <c r="A4902" s="1">
        <v>46043</v>
      </c>
      <c r="B4902" t="s">
        <v>7315</v>
      </c>
      <c r="C4902">
        <v>12</v>
      </c>
      <c r="D4902" t="str">
        <f>VLOOKUP(Tabela26[[#This Row],[EMP]],[1]LOJA!$A:$B,2,0)</f>
        <v>SOFNORTE</v>
      </c>
      <c r="E4902">
        <v>60</v>
      </c>
      <c r="F4902" t="s">
        <v>3461</v>
      </c>
      <c r="G4902" t="s">
        <v>3460</v>
      </c>
      <c r="H4902" t="s">
        <v>3430</v>
      </c>
      <c r="I4902">
        <v>5102</v>
      </c>
      <c r="J4902" s="3">
        <v>122.78</v>
      </c>
      <c r="K4902" s="3">
        <v>63.75</v>
      </c>
      <c r="L4902">
        <v>48.08</v>
      </c>
    </row>
    <row r="4903" spans="1:12">
      <c r="A4903" s="1">
        <v>46043</v>
      </c>
      <c r="B4903" t="s">
        <v>7314</v>
      </c>
      <c r="C4903">
        <v>12</v>
      </c>
      <c r="D4903" t="str">
        <f>VLOOKUP(Tabela26[[#This Row],[EMP]],[1]LOJA!$A:$B,2,0)</f>
        <v>SOFNORTE</v>
      </c>
      <c r="E4903">
        <v>60</v>
      </c>
      <c r="F4903" t="s">
        <v>3931</v>
      </c>
      <c r="G4903" t="s">
        <v>3930</v>
      </c>
      <c r="H4903" t="s">
        <v>7313</v>
      </c>
      <c r="I4903">
        <v>5405</v>
      </c>
      <c r="J4903" s="3">
        <v>138</v>
      </c>
      <c r="K4903" s="3">
        <v>65.739999999999995</v>
      </c>
      <c r="L4903">
        <v>52.36</v>
      </c>
    </row>
    <row r="4904" spans="1:12">
      <c r="A4904" s="1">
        <v>46043</v>
      </c>
      <c r="B4904" t="s">
        <v>7312</v>
      </c>
      <c r="C4904">
        <v>12</v>
      </c>
      <c r="D4904" t="str">
        <f>VLOOKUP(Tabela26[[#This Row],[EMP]],[1]LOJA!$A:$B,2,0)</f>
        <v>SOFNORTE</v>
      </c>
      <c r="E4904">
        <v>60</v>
      </c>
      <c r="F4904" t="s">
        <v>4817</v>
      </c>
      <c r="G4904" t="s">
        <v>4816</v>
      </c>
      <c r="H4904" t="s">
        <v>3430</v>
      </c>
      <c r="I4904">
        <v>5102</v>
      </c>
      <c r="J4904" s="3">
        <v>295.92</v>
      </c>
      <c r="K4904" s="3">
        <v>168.98</v>
      </c>
      <c r="L4904">
        <v>42.9</v>
      </c>
    </row>
    <row r="4905" spans="1:12">
      <c r="A4905" s="1">
        <v>46043</v>
      </c>
      <c r="B4905" t="s">
        <v>7311</v>
      </c>
      <c r="C4905">
        <v>12</v>
      </c>
      <c r="D4905" t="str">
        <f>VLOOKUP(Tabela26[[#This Row],[EMP]],[1]LOJA!$A:$B,2,0)</f>
        <v>SOFNORTE</v>
      </c>
      <c r="E4905">
        <v>60</v>
      </c>
      <c r="F4905" t="s">
        <v>3461</v>
      </c>
      <c r="G4905" t="s">
        <v>3460</v>
      </c>
      <c r="H4905" t="s">
        <v>3430</v>
      </c>
      <c r="I4905">
        <v>5405</v>
      </c>
      <c r="J4905" s="3">
        <v>79.08</v>
      </c>
      <c r="K4905" s="3">
        <v>39.36</v>
      </c>
      <c r="L4905">
        <v>50.23</v>
      </c>
    </row>
    <row r="4906" spans="1:12">
      <c r="A4906" s="1">
        <v>46043</v>
      </c>
      <c r="B4906" t="s">
        <v>7310</v>
      </c>
      <c r="C4906">
        <v>12</v>
      </c>
      <c r="D4906" t="str">
        <f>VLOOKUP(Tabela26[[#This Row],[EMP]],[1]LOJA!$A:$B,2,0)</f>
        <v>SOFNORTE</v>
      </c>
      <c r="E4906">
        <v>239</v>
      </c>
      <c r="F4906" t="s">
        <v>7309</v>
      </c>
      <c r="G4906" t="s">
        <v>7308</v>
      </c>
      <c r="H4906" t="s">
        <v>3408</v>
      </c>
      <c r="I4906">
        <v>5405</v>
      </c>
      <c r="J4906" s="3">
        <v>220</v>
      </c>
      <c r="K4906" s="3">
        <v>71.87</v>
      </c>
      <c r="L4906">
        <v>67.33</v>
      </c>
    </row>
    <row r="4907" spans="1:12">
      <c r="A4907" s="1">
        <v>46043</v>
      </c>
      <c r="B4907" t="s">
        <v>7307</v>
      </c>
      <c r="C4907">
        <v>12</v>
      </c>
      <c r="D4907" t="str">
        <f>VLOOKUP(Tabela26[[#This Row],[EMP]],[1]LOJA!$A:$B,2,0)</f>
        <v>SOFNORTE</v>
      </c>
      <c r="E4907">
        <v>239</v>
      </c>
      <c r="F4907" t="s">
        <v>7306</v>
      </c>
      <c r="G4907" t="s">
        <v>7305</v>
      </c>
      <c r="H4907" t="s">
        <v>3408</v>
      </c>
      <c r="I4907">
        <v>6108</v>
      </c>
      <c r="J4907" s="3">
        <v>317</v>
      </c>
      <c r="K4907" s="3">
        <v>162.16</v>
      </c>
      <c r="L4907">
        <v>48.85</v>
      </c>
    </row>
    <row r="4908" spans="1:12">
      <c r="A4908" s="1">
        <v>46043</v>
      </c>
      <c r="B4908" t="s">
        <v>7304</v>
      </c>
      <c r="C4908">
        <v>12</v>
      </c>
      <c r="D4908" t="str">
        <f>VLOOKUP(Tabela26[[#This Row],[EMP]],[1]LOJA!$A:$B,2,0)</f>
        <v>SOFNORTE</v>
      </c>
      <c r="E4908">
        <v>60</v>
      </c>
      <c r="F4908" t="s">
        <v>7303</v>
      </c>
      <c r="G4908" t="s">
        <v>7302</v>
      </c>
      <c r="H4908" t="s">
        <v>3430</v>
      </c>
      <c r="I4908">
        <v>5405</v>
      </c>
      <c r="J4908" s="3">
        <v>35</v>
      </c>
      <c r="K4908" s="3">
        <v>15.56</v>
      </c>
      <c r="L4908">
        <v>55.54</v>
      </c>
    </row>
    <row r="4909" spans="1:12">
      <c r="A4909" s="1">
        <v>46043</v>
      </c>
      <c r="B4909" t="s">
        <v>7301</v>
      </c>
      <c r="C4909">
        <v>12</v>
      </c>
      <c r="D4909" t="str">
        <f>VLOOKUP(Tabela26[[#This Row],[EMP]],[1]LOJA!$A:$B,2,0)</f>
        <v>SOFNORTE</v>
      </c>
      <c r="E4909">
        <v>60</v>
      </c>
      <c r="F4909" t="s">
        <v>5223</v>
      </c>
      <c r="G4909" t="s">
        <v>5222</v>
      </c>
      <c r="H4909" t="s">
        <v>3430</v>
      </c>
      <c r="I4909">
        <v>5405</v>
      </c>
      <c r="J4909" s="3">
        <v>84.6</v>
      </c>
      <c r="K4909" s="3">
        <v>41.2</v>
      </c>
      <c r="L4909">
        <v>51.3</v>
      </c>
    </row>
    <row r="4910" spans="1:12">
      <c r="A4910" s="1">
        <v>46043</v>
      </c>
      <c r="B4910" t="s">
        <v>7300</v>
      </c>
      <c r="C4910">
        <v>12</v>
      </c>
      <c r="D4910" t="str">
        <f>VLOOKUP(Tabela26[[#This Row],[EMP]],[1]LOJA!$A:$B,2,0)</f>
        <v>SOFNORTE</v>
      </c>
      <c r="E4910">
        <v>239</v>
      </c>
      <c r="F4910" t="s">
        <v>5223</v>
      </c>
      <c r="G4910" t="s">
        <v>5222</v>
      </c>
      <c r="H4910" t="s">
        <v>3430</v>
      </c>
      <c r="I4910">
        <v>5102</v>
      </c>
      <c r="J4910" s="3">
        <v>25.41</v>
      </c>
      <c r="K4910" s="3">
        <v>12.57</v>
      </c>
      <c r="L4910">
        <v>50.53</v>
      </c>
    </row>
    <row r="4911" spans="1:12">
      <c r="A4911" s="1">
        <v>46043</v>
      </c>
      <c r="B4911" t="s">
        <v>7299</v>
      </c>
      <c r="C4911">
        <v>12</v>
      </c>
      <c r="D4911" t="str">
        <f>VLOOKUP(Tabela26[[#This Row],[EMP]],[1]LOJA!$A:$B,2,0)</f>
        <v>SOFNORTE</v>
      </c>
      <c r="E4911">
        <v>60</v>
      </c>
      <c r="F4911" t="s">
        <v>5057</v>
      </c>
      <c r="G4911" t="s">
        <v>5056</v>
      </c>
      <c r="H4911" t="s">
        <v>3430</v>
      </c>
      <c r="I4911">
        <v>5102</v>
      </c>
      <c r="J4911" s="3">
        <v>144.80000000000001</v>
      </c>
      <c r="K4911" s="3">
        <v>78.87</v>
      </c>
      <c r="L4911">
        <v>45.53</v>
      </c>
    </row>
    <row r="4912" spans="1:12">
      <c r="A4912" s="1">
        <v>46043</v>
      </c>
      <c r="B4912" t="s">
        <v>7298</v>
      </c>
      <c r="C4912">
        <v>12</v>
      </c>
      <c r="D4912" t="str">
        <f>VLOOKUP(Tabela26[[#This Row],[EMP]],[1]LOJA!$A:$B,2,0)</f>
        <v>SOFNORTE</v>
      </c>
      <c r="E4912">
        <v>60</v>
      </c>
      <c r="F4912" t="s">
        <v>5057</v>
      </c>
      <c r="G4912" t="s">
        <v>5056</v>
      </c>
      <c r="H4912" t="s">
        <v>3430</v>
      </c>
      <c r="I4912">
        <v>5405</v>
      </c>
      <c r="J4912" s="3">
        <v>38.9</v>
      </c>
      <c r="K4912" s="3">
        <v>17.53</v>
      </c>
      <c r="L4912">
        <v>54.94</v>
      </c>
    </row>
    <row r="4913" spans="1:12">
      <c r="A4913" s="1">
        <v>46043</v>
      </c>
      <c r="B4913" t="s">
        <v>7297</v>
      </c>
      <c r="C4913">
        <v>12</v>
      </c>
      <c r="D4913" t="str">
        <f>VLOOKUP(Tabela26[[#This Row],[EMP]],[1]LOJA!$A:$B,2,0)</f>
        <v>SOFNORTE</v>
      </c>
      <c r="E4913">
        <v>60</v>
      </c>
      <c r="F4913" t="s">
        <v>4817</v>
      </c>
      <c r="G4913" t="s">
        <v>4816</v>
      </c>
      <c r="H4913" t="s">
        <v>3430</v>
      </c>
      <c r="I4913">
        <v>5405</v>
      </c>
      <c r="J4913" s="3">
        <v>728.78</v>
      </c>
      <c r="K4913" s="3">
        <v>341.72</v>
      </c>
      <c r="L4913">
        <v>53.11</v>
      </c>
    </row>
    <row r="4914" spans="1:12">
      <c r="A4914" s="1">
        <v>46043</v>
      </c>
      <c r="B4914" t="s">
        <v>7296</v>
      </c>
      <c r="C4914">
        <v>12</v>
      </c>
      <c r="D4914" t="str">
        <f>VLOOKUP(Tabela26[[#This Row],[EMP]],[1]LOJA!$A:$B,2,0)</f>
        <v>SOFNORTE</v>
      </c>
      <c r="E4914">
        <v>60</v>
      </c>
      <c r="F4914" t="s">
        <v>3461</v>
      </c>
      <c r="G4914" t="s">
        <v>3460</v>
      </c>
      <c r="H4914" t="s">
        <v>3430</v>
      </c>
      <c r="I4914">
        <v>5405</v>
      </c>
      <c r="J4914" s="3">
        <v>45.52</v>
      </c>
      <c r="K4914" s="3">
        <v>22.44</v>
      </c>
      <c r="L4914">
        <v>50.7</v>
      </c>
    </row>
    <row r="4915" spans="1:12">
      <c r="A4915" s="1">
        <v>46043</v>
      </c>
      <c r="B4915" t="s">
        <v>7295</v>
      </c>
      <c r="C4915">
        <v>12</v>
      </c>
      <c r="D4915" t="str">
        <f>VLOOKUP(Tabela26[[#This Row],[EMP]],[1]LOJA!$A:$B,2,0)</f>
        <v>SOFNORTE</v>
      </c>
      <c r="E4915">
        <v>60</v>
      </c>
      <c r="F4915" t="s">
        <v>3948</v>
      </c>
      <c r="G4915" t="s">
        <v>3947</v>
      </c>
      <c r="H4915" t="s">
        <v>3430</v>
      </c>
      <c r="I4915">
        <v>5102</v>
      </c>
      <c r="J4915" s="3">
        <v>138.94</v>
      </c>
      <c r="K4915" s="3">
        <v>69.42</v>
      </c>
      <c r="L4915">
        <v>50.04</v>
      </c>
    </row>
    <row r="4916" spans="1:12">
      <c r="A4916" s="1">
        <v>46043</v>
      </c>
      <c r="B4916" t="s">
        <v>7294</v>
      </c>
      <c r="C4916">
        <v>12</v>
      </c>
      <c r="D4916" t="str">
        <f>VLOOKUP(Tabela26[[#This Row],[EMP]],[1]LOJA!$A:$B,2,0)</f>
        <v>SOFNORTE</v>
      </c>
      <c r="E4916">
        <v>60</v>
      </c>
      <c r="F4916" t="s">
        <v>3461</v>
      </c>
      <c r="G4916" t="s">
        <v>3460</v>
      </c>
      <c r="H4916" t="s">
        <v>3430</v>
      </c>
      <c r="I4916">
        <v>5405</v>
      </c>
      <c r="J4916" s="3">
        <v>72.459999999999994</v>
      </c>
      <c r="K4916" s="3">
        <v>35.54</v>
      </c>
      <c r="L4916">
        <v>50.95</v>
      </c>
    </row>
    <row r="4917" spans="1:12">
      <c r="A4917" s="1">
        <v>46043</v>
      </c>
      <c r="B4917" t="s">
        <v>7293</v>
      </c>
      <c r="C4917">
        <v>12</v>
      </c>
      <c r="D4917" t="str">
        <f>VLOOKUP(Tabela26[[#This Row],[EMP]],[1]LOJA!$A:$B,2,0)</f>
        <v>SOFNORTE</v>
      </c>
      <c r="E4917">
        <v>60</v>
      </c>
      <c r="F4917" t="s">
        <v>3928</v>
      </c>
      <c r="G4917" t="s">
        <v>3927</v>
      </c>
      <c r="H4917" t="s">
        <v>3430</v>
      </c>
      <c r="I4917">
        <v>5405</v>
      </c>
      <c r="J4917" s="3">
        <v>86</v>
      </c>
      <c r="K4917" s="3">
        <v>40.25</v>
      </c>
      <c r="L4917">
        <v>53.2</v>
      </c>
    </row>
    <row r="4918" spans="1:12">
      <c r="A4918" s="1">
        <v>46043</v>
      </c>
      <c r="B4918" t="s">
        <v>7292</v>
      </c>
      <c r="C4918">
        <v>12</v>
      </c>
      <c r="D4918" t="str">
        <f>VLOOKUP(Tabela26[[#This Row],[EMP]],[1]LOJA!$A:$B,2,0)</f>
        <v>SOFNORTE</v>
      </c>
      <c r="E4918">
        <v>60</v>
      </c>
      <c r="F4918" t="s">
        <v>5057</v>
      </c>
      <c r="G4918" t="s">
        <v>5056</v>
      </c>
      <c r="H4918" t="s">
        <v>3430</v>
      </c>
      <c r="I4918">
        <v>5405</v>
      </c>
      <c r="J4918" s="3">
        <v>437</v>
      </c>
      <c r="K4918" s="3">
        <v>216.19</v>
      </c>
      <c r="L4918">
        <v>50.53</v>
      </c>
    </row>
    <row r="4919" spans="1:12">
      <c r="A4919" s="1">
        <v>46043</v>
      </c>
      <c r="B4919" t="s">
        <v>7291</v>
      </c>
      <c r="C4919">
        <v>12</v>
      </c>
      <c r="D4919" t="str">
        <f>VLOOKUP(Tabela26[[#This Row],[EMP]],[1]LOJA!$A:$B,2,0)</f>
        <v>SOFNORTE</v>
      </c>
      <c r="E4919">
        <v>60</v>
      </c>
      <c r="F4919" t="s">
        <v>3945</v>
      </c>
      <c r="G4919" t="s">
        <v>3944</v>
      </c>
      <c r="H4919" t="s">
        <v>3430</v>
      </c>
      <c r="I4919">
        <v>5102</v>
      </c>
      <c r="J4919" s="3">
        <v>739.28</v>
      </c>
      <c r="K4919" s="3">
        <v>439.07</v>
      </c>
      <c r="L4919">
        <v>40.61</v>
      </c>
    </row>
    <row r="4920" spans="1:12">
      <c r="A4920" s="1">
        <v>46043</v>
      </c>
      <c r="B4920" t="s">
        <v>7290</v>
      </c>
      <c r="C4920">
        <v>12</v>
      </c>
      <c r="D4920" t="str">
        <f>VLOOKUP(Tabela26[[#This Row],[EMP]],[1]LOJA!$A:$B,2,0)</f>
        <v>SOFNORTE</v>
      </c>
      <c r="E4920">
        <v>239</v>
      </c>
      <c r="F4920" t="s">
        <v>5750</v>
      </c>
      <c r="G4920" t="s">
        <v>5749</v>
      </c>
      <c r="H4920" t="s">
        <v>3430</v>
      </c>
      <c r="I4920">
        <v>5405</v>
      </c>
      <c r="J4920" s="3">
        <v>411.74</v>
      </c>
      <c r="K4920" s="3">
        <v>265.64</v>
      </c>
      <c r="L4920">
        <v>35.479999999999997</v>
      </c>
    </row>
    <row r="4921" spans="1:12">
      <c r="A4921" s="1">
        <v>46043</v>
      </c>
      <c r="B4921" t="s">
        <v>7289</v>
      </c>
      <c r="C4921">
        <v>12</v>
      </c>
      <c r="D4921" t="str">
        <f>VLOOKUP(Tabela26[[#This Row],[EMP]],[1]LOJA!$A:$B,2,0)</f>
        <v>SOFNORTE</v>
      </c>
      <c r="E4921">
        <v>239</v>
      </c>
      <c r="F4921" t="s">
        <v>5223</v>
      </c>
      <c r="G4921" t="s">
        <v>5222</v>
      </c>
      <c r="H4921" t="s">
        <v>3430</v>
      </c>
      <c r="I4921">
        <v>5102</v>
      </c>
      <c r="J4921" s="3">
        <v>98.2</v>
      </c>
      <c r="K4921" s="3">
        <v>50.69</v>
      </c>
      <c r="L4921">
        <v>48.38</v>
      </c>
    </row>
    <row r="4922" spans="1:12">
      <c r="A4922" s="1">
        <v>46043</v>
      </c>
      <c r="B4922" t="s">
        <v>7288</v>
      </c>
      <c r="C4922">
        <v>22</v>
      </c>
      <c r="D4922" t="str">
        <f>VLOOKUP(Tabela26[[#This Row],[EMP]],[1]LOJA!$A:$B,2,0)</f>
        <v>GUARÁ</v>
      </c>
      <c r="E4922">
        <v>93</v>
      </c>
      <c r="F4922" t="s">
        <v>3403</v>
      </c>
      <c r="G4922" t="s">
        <v>3402</v>
      </c>
      <c r="H4922" t="s">
        <v>3401</v>
      </c>
      <c r="I4922">
        <v>5102</v>
      </c>
      <c r="J4922" s="3">
        <v>8</v>
      </c>
      <c r="K4922" s="3">
        <v>4.4800000000000004</v>
      </c>
      <c r="L4922">
        <v>44</v>
      </c>
    </row>
    <row r="4923" spans="1:12">
      <c r="A4923" s="1">
        <v>46043</v>
      </c>
      <c r="B4923" t="s">
        <v>7287</v>
      </c>
      <c r="C4923">
        <v>22</v>
      </c>
      <c r="D4923" t="str">
        <f>VLOOKUP(Tabela26[[#This Row],[EMP]],[1]LOJA!$A:$B,2,0)</f>
        <v>GUARÁ</v>
      </c>
      <c r="E4923">
        <v>16</v>
      </c>
      <c r="F4923" t="s">
        <v>3403</v>
      </c>
      <c r="G4923" t="s">
        <v>3402</v>
      </c>
      <c r="H4923" t="s">
        <v>3401</v>
      </c>
      <c r="I4923">
        <v>5405</v>
      </c>
      <c r="J4923" s="3">
        <v>40</v>
      </c>
      <c r="K4923" s="3">
        <v>23.11</v>
      </c>
      <c r="L4923">
        <v>42.23</v>
      </c>
    </row>
    <row r="4924" spans="1:12">
      <c r="A4924" s="1">
        <v>46043</v>
      </c>
      <c r="B4924" t="s">
        <v>7286</v>
      </c>
      <c r="C4924">
        <v>22</v>
      </c>
      <c r="D4924" t="str">
        <f>VLOOKUP(Tabela26[[#This Row],[EMP]],[1]LOJA!$A:$B,2,0)</f>
        <v>GUARÁ</v>
      </c>
      <c r="E4924">
        <v>93</v>
      </c>
      <c r="F4924" t="s">
        <v>6360</v>
      </c>
      <c r="G4924" t="s">
        <v>6359</v>
      </c>
      <c r="H4924" t="s">
        <v>3408</v>
      </c>
      <c r="I4924">
        <v>5405</v>
      </c>
      <c r="J4924" s="3">
        <v>1472</v>
      </c>
      <c r="K4924" s="3">
        <v>764.34</v>
      </c>
      <c r="L4924">
        <v>48.07</v>
      </c>
    </row>
    <row r="4925" spans="1:12">
      <c r="A4925" s="1">
        <v>46043</v>
      </c>
      <c r="B4925" t="s">
        <v>7285</v>
      </c>
      <c r="C4925">
        <v>22</v>
      </c>
      <c r="D4925" t="str">
        <f>VLOOKUP(Tabela26[[#This Row],[EMP]],[1]LOJA!$A:$B,2,0)</f>
        <v>GUARÁ</v>
      </c>
      <c r="E4925">
        <v>93</v>
      </c>
      <c r="F4925" t="s">
        <v>4629</v>
      </c>
      <c r="G4925" t="s">
        <v>4628</v>
      </c>
      <c r="H4925" t="s">
        <v>3401</v>
      </c>
      <c r="I4925">
        <v>5102</v>
      </c>
      <c r="J4925" s="3">
        <v>40</v>
      </c>
      <c r="K4925" s="3">
        <v>23.09</v>
      </c>
      <c r="L4925">
        <v>42.28</v>
      </c>
    </row>
    <row r="4926" spans="1:12">
      <c r="A4926" s="1">
        <v>46043</v>
      </c>
      <c r="B4926" t="s">
        <v>7284</v>
      </c>
      <c r="C4926">
        <v>22</v>
      </c>
      <c r="D4926" t="str">
        <f>VLOOKUP(Tabela26[[#This Row],[EMP]],[1]LOJA!$A:$B,2,0)</f>
        <v>GUARÁ</v>
      </c>
      <c r="E4926">
        <v>93</v>
      </c>
      <c r="F4926" t="s">
        <v>3403</v>
      </c>
      <c r="G4926" t="s">
        <v>3402</v>
      </c>
      <c r="H4926" t="s">
        <v>3401</v>
      </c>
      <c r="I4926">
        <v>5102</v>
      </c>
      <c r="J4926" s="3">
        <v>24</v>
      </c>
      <c r="K4926" s="3">
        <v>13.78</v>
      </c>
      <c r="L4926">
        <v>42.58</v>
      </c>
    </row>
    <row r="4927" spans="1:12">
      <c r="A4927" s="1">
        <v>46043</v>
      </c>
      <c r="B4927" t="s">
        <v>7283</v>
      </c>
      <c r="C4927">
        <v>22</v>
      </c>
      <c r="D4927" t="str">
        <f>VLOOKUP(Tabela26[[#This Row],[EMP]],[1]LOJA!$A:$B,2,0)</f>
        <v>GUARÁ</v>
      </c>
      <c r="E4927">
        <v>93</v>
      </c>
      <c r="F4927" t="s">
        <v>4603</v>
      </c>
      <c r="G4927" t="s">
        <v>4602</v>
      </c>
      <c r="H4927" t="s">
        <v>3408</v>
      </c>
      <c r="I4927">
        <v>5405</v>
      </c>
      <c r="J4927" s="3">
        <v>50.07</v>
      </c>
      <c r="K4927" s="3">
        <v>26.13</v>
      </c>
      <c r="L4927">
        <v>47.81</v>
      </c>
    </row>
    <row r="4928" spans="1:12">
      <c r="A4928" s="1">
        <v>46043</v>
      </c>
      <c r="B4928" t="s">
        <v>7282</v>
      </c>
      <c r="C4928">
        <v>22</v>
      </c>
      <c r="D4928" t="str">
        <f>VLOOKUP(Tabela26[[#This Row],[EMP]],[1]LOJA!$A:$B,2,0)</f>
        <v>GUARÁ</v>
      </c>
      <c r="E4928">
        <v>93</v>
      </c>
      <c r="F4928" t="s">
        <v>3403</v>
      </c>
      <c r="G4928" t="s">
        <v>3402</v>
      </c>
      <c r="H4928" t="s">
        <v>3401</v>
      </c>
      <c r="I4928">
        <v>5102</v>
      </c>
      <c r="J4928" s="3">
        <v>62</v>
      </c>
      <c r="K4928" s="3">
        <v>30.56</v>
      </c>
      <c r="L4928">
        <v>50.71</v>
      </c>
    </row>
    <row r="4929" spans="1:12">
      <c r="A4929" s="1">
        <v>46043</v>
      </c>
      <c r="B4929" t="s">
        <v>7281</v>
      </c>
      <c r="C4929">
        <v>22</v>
      </c>
      <c r="D4929" t="str">
        <f>VLOOKUP(Tabela26[[#This Row],[EMP]],[1]LOJA!$A:$B,2,0)</f>
        <v>GUARÁ</v>
      </c>
      <c r="E4929">
        <v>93</v>
      </c>
      <c r="F4929" t="s">
        <v>7257</v>
      </c>
      <c r="G4929" t="s">
        <v>3402</v>
      </c>
      <c r="H4929" t="s">
        <v>3401</v>
      </c>
      <c r="I4929">
        <v>5102</v>
      </c>
      <c r="J4929" s="3">
        <v>39</v>
      </c>
      <c r="K4929" s="3">
        <v>23.45</v>
      </c>
      <c r="L4929">
        <v>39.869999999999997</v>
      </c>
    </row>
    <row r="4930" spans="1:12">
      <c r="A4930" s="1">
        <v>46043</v>
      </c>
      <c r="B4930" t="s">
        <v>7280</v>
      </c>
      <c r="C4930">
        <v>22</v>
      </c>
      <c r="D4930" t="str">
        <f>VLOOKUP(Tabela26[[#This Row],[EMP]],[1]LOJA!$A:$B,2,0)</f>
        <v>GUARÁ</v>
      </c>
      <c r="E4930">
        <v>93</v>
      </c>
      <c r="F4930" t="s">
        <v>3902</v>
      </c>
      <c r="G4930" t="s">
        <v>3901</v>
      </c>
      <c r="H4930" t="s">
        <v>7043</v>
      </c>
      <c r="I4930">
        <v>5405</v>
      </c>
      <c r="J4930" s="3">
        <v>79</v>
      </c>
      <c r="K4930" s="3">
        <v>42.47</v>
      </c>
      <c r="L4930">
        <v>46.24</v>
      </c>
    </row>
    <row r="4931" spans="1:12">
      <c r="A4931" s="1">
        <v>46043</v>
      </c>
      <c r="B4931" t="s">
        <v>7279</v>
      </c>
      <c r="C4931">
        <v>22</v>
      </c>
      <c r="D4931" t="str">
        <f>VLOOKUP(Tabela26[[#This Row],[EMP]],[1]LOJA!$A:$B,2,0)</f>
        <v>GUARÁ</v>
      </c>
      <c r="E4931">
        <v>93</v>
      </c>
      <c r="F4931" t="s">
        <v>3856</v>
      </c>
      <c r="G4931" t="s">
        <v>3855</v>
      </c>
      <c r="H4931" t="s">
        <v>3520</v>
      </c>
      <c r="I4931">
        <v>5102</v>
      </c>
      <c r="J4931" s="3">
        <v>85</v>
      </c>
      <c r="K4931" s="3">
        <v>45.19</v>
      </c>
      <c r="L4931">
        <v>46.84</v>
      </c>
    </row>
    <row r="4932" spans="1:12">
      <c r="A4932" s="1">
        <v>46043</v>
      </c>
      <c r="B4932" t="s">
        <v>7278</v>
      </c>
      <c r="C4932">
        <v>22</v>
      </c>
      <c r="D4932" t="str">
        <f>VLOOKUP(Tabela26[[#This Row],[EMP]],[1]LOJA!$A:$B,2,0)</f>
        <v>GUARÁ</v>
      </c>
      <c r="E4932">
        <v>93</v>
      </c>
      <c r="F4932" t="s">
        <v>6360</v>
      </c>
      <c r="G4932" t="s">
        <v>6359</v>
      </c>
      <c r="H4932" t="s">
        <v>3408</v>
      </c>
      <c r="I4932">
        <v>5405</v>
      </c>
      <c r="J4932" s="3">
        <v>46.61</v>
      </c>
      <c r="K4932" s="3">
        <v>23.91</v>
      </c>
      <c r="L4932">
        <v>48.7</v>
      </c>
    </row>
    <row r="4933" spans="1:12">
      <c r="A4933" s="1">
        <v>46043</v>
      </c>
      <c r="B4933" t="s">
        <v>7277</v>
      </c>
      <c r="C4933">
        <v>22</v>
      </c>
      <c r="D4933" t="str">
        <f>VLOOKUP(Tabela26[[#This Row],[EMP]],[1]LOJA!$A:$B,2,0)</f>
        <v>GUARÁ</v>
      </c>
      <c r="E4933">
        <v>93</v>
      </c>
      <c r="F4933" t="s">
        <v>7276</v>
      </c>
      <c r="G4933" t="s">
        <v>3402</v>
      </c>
      <c r="H4933" t="s">
        <v>3408</v>
      </c>
      <c r="I4933">
        <v>5405</v>
      </c>
      <c r="J4933" s="3">
        <v>460</v>
      </c>
      <c r="K4933" s="3">
        <v>240.38</v>
      </c>
      <c r="L4933">
        <v>47.74</v>
      </c>
    </row>
    <row r="4934" spans="1:12">
      <c r="A4934" s="1">
        <v>46043</v>
      </c>
      <c r="B4934" t="s">
        <v>7275</v>
      </c>
      <c r="C4934">
        <v>22</v>
      </c>
      <c r="D4934" t="str">
        <f>VLOOKUP(Tabela26[[#This Row],[EMP]],[1]LOJA!$A:$B,2,0)</f>
        <v>GUARÁ</v>
      </c>
      <c r="E4934">
        <v>93</v>
      </c>
      <c r="F4934" t="s">
        <v>3403</v>
      </c>
      <c r="G4934" t="s">
        <v>3402</v>
      </c>
      <c r="H4934" t="s">
        <v>3401</v>
      </c>
      <c r="I4934">
        <v>5405</v>
      </c>
      <c r="J4934" s="3">
        <v>35</v>
      </c>
      <c r="K4934" s="3">
        <v>17.22</v>
      </c>
      <c r="L4934">
        <v>50.8</v>
      </c>
    </row>
    <row r="4935" spans="1:12">
      <c r="A4935" s="1">
        <v>46043</v>
      </c>
      <c r="B4935" t="s">
        <v>7274</v>
      </c>
      <c r="C4935">
        <v>22</v>
      </c>
      <c r="D4935" t="str">
        <f>VLOOKUP(Tabela26[[#This Row],[EMP]],[1]LOJA!$A:$B,2,0)</f>
        <v>GUARÁ</v>
      </c>
      <c r="E4935">
        <v>93</v>
      </c>
      <c r="F4935" t="s">
        <v>3403</v>
      </c>
      <c r="G4935" t="s">
        <v>3402</v>
      </c>
      <c r="H4935" t="s">
        <v>3401</v>
      </c>
      <c r="I4935">
        <v>5102</v>
      </c>
      <c r="J4935" s="3">
        <v>15</v>
      </c>
      <c r="K4935" s="3">
        <v>8.14</v>
      </c>
      <c r="L4935">
        <v>45.73</v>
      </c>
    </row>
    <row r="4936" spans="1:12">
      <c r="A4936" s="1">
        <v>46043</v>
      </c>
      <c r="B4936" t="s">
        <v>7273</v>
      </c>
      <c r="C4936">
        <v>22</v>
      </c>
      <c r="D4936" t="str">
        <f>VLOOKUP(Tabela26[[#This Row],[EMP]],[1]LOJA!$A:$B,2,0)</f>
        <v>GUARÁ</v>
      </c>
      <c r="E4936">
        <v>93</v>
      </c>
      <c r="F4936" t="s">
        <v>4603</v>
      </c>
      <c r="G4936" t="s">
        <v>4602</v>
      </c>
      <c r="H4936" t="s">
        <v>3408</v>
      </c>
      <c r="I4936">
        <v>5102</v>
      </c>
      <c r="J4936" s="3">
        <v>21</v>
      </c>
      <c r="K4936" s="3">
        <v>11.6</v>
      </c>
      <c r="L4936">
        <v>44.76</v>
      </c>
    </row>
    <row r="4937" spans="1:12">
      <c r="A4937" s="1">
        <v>46043</v>
      </c>
      <c r="B4937" t="s">
        <v>7272</v>
      </c>
      <c r="C4937">
        <v>22</v>
      </c>
      <c r="D4937" t="str">
        <f>VLOOKUP(Tabela26[[#This Row],[EMP]],[1]LOJA!$A:$B,2,0)</f>
        <v>GUARÁ</v>
      </c>
      <c r="E4937">
        <v>16</v>
      </c>
      <c r="F4937" t="s">
        <v>7270</v>
      </c>
      <c r="G4937" t="s">
        <v>7269</v>
      </c>
      <c r="H4937" t="s">
        <v>7043</v>
      </c>
      <c r="I4937">
        <v>5405</v>
      </c>
      <c r="J4937" s="3">
        <v>321.85000000000002</v>
      </c>
      <c r="K4937" s="3">
        <v>181.39</v>
      </c>
      <c r="L4937">
        <v>43.64</v>
      </c>
    </row>
    <row r="4938" spans="1:12">
      <c r="A4938" s="1">
        <v>46043</v>
      </c>
      <c r="B4938" t="s">
        <v>7271</v>
      </c>
      <c r="C4938">
        <v>22</v>
      </c>
      <c r="D4938" t="str">
        <f>VLOOKUP(Tabela26[[#This Row],[EMP]],[1]LOJA!$A:$B,2,0)</f>
        <v>GUARÁ</v>
      </c>
      <c r="E4938">
        <v>93</v>
      </c>
      <c r="F4938" t="s">
        <v>7270</v>
      </c>
      <c r="G4938" t="s">
        <v>7269</v>
      </c>
      <c r="H4938" t="s">
        <v>7043</v>
      </c>
      <c r="I4938">
        <v>5405</v>
      </c>
      <c r="J4938" s="3">
        <v>1640.22</v>
      </c>
      <c r="K4938" s="3">
        <v>940.15</v>
      </c>
      <c r="L4938">
        <v>42.68</v>
      </c>
    </row>
    <row r="4939" spans="1:12">
      <c r="A4939" s="1">
        <v>46043</v>
      </c>
      <c r="B4939" t="s">
        <v>7268</v>
      </c>
      <c r="C4939">
        <v>22</v>
      </c>
      <c r="D4939" t="str">
        <f>VLOOKUP(Tabela26[[#This Row],[EMP]],[1]LOJA!$A:$B,2,0)</f>
        <v>GUARÁ</v>
      </c>
      <c r="E4939">
        <v>16</v>
      </c>
      <c r="F4939" t="s">
        <v>4603</v>
      </c>
      <c r="G4939" t="s">
        <v>4602</v>
      </c>
      <c r="H4939" t="s">
        <v>3401</v>
      </c>
      <c r="I4939">
        <v>5102</v>
      </c>
      <c r="J4939" s="3">
        <v>10</v>
      </c>
      <c r="K4939" s="3">
        <v>3.6</v>
      </c>
      <c r="L4939">
        <v>64</v>
      </c>
    </row>
    <row r="4940" spans="1:12">
      <c r="A4940" s="1">
        <v>46043</v>
      </c>
      <c r="B4940" t="s">
        <v>7267</v>
      </c>
      <c r="C4940">
        <v>22</v>
      </c>
      <c r="D4940" t="str">
        <f>VLOOKUP(Tabela26[[#This Row],[EMP]],[1]LOJA!$A:$B,2,0)</f>
        <v>GUARÁ</v>
      </c>
      <c r="E4940">
        <v>16</v>
      </c>
      <c r="F4940" t="s">
        <v>4603</v>
      </c>
      <c r="G4940" t="s">
        <v>4602</v>
      </c>
      <c r="H4940" t="s">
        <v>3401</v>
      </c>
      <c r="I4940">
        <v>5102</v>
      </c>
      <c r="J4940" s="3">
        <v>5</v>
      </c>
      <c r="K4940" s="3">
        <v>3.28</v>
      </c>
      <c r="L4940">
        <v>34.4</v>
      </c>
    </row>
    <row r="4941" spans="1:12">
      <c r="A4941" s="1">
        <v>46043</v>
      </c>
      <c r="B4941" t="s">
        <v>7266</v>
      </c>
      <c r="C4941">
        <v>22</v>
      </c>
      <c r="D4941" t="str">
        <f>VLOOKUP(Tabela26[[#This Row],[EMP]],[1]LOJA!$A:$B,2,0)</f>
        <v>GUARÁ</v>
      </c>
      <c r="E4941">
        <v>93</v>
      </c>
      <c r="F4941" t="s">
        <v>3889</v>
      </c>
      <c r="G4941" t="s">
        <v>3888</v>
      </c>
      <c r="H4941" t="s">
        <v>7018</v>
      </c>
      <c r="I4941">
        <v>5405</v>
      </c>
      <c r="J4941" s="3">
        <v>377.72</v>
      </c>
      <c r="K4941" s="3">
        <v>209.57</v>
      </c>
      <c r="L4941">
        <v>44.52</v>
      </c>
    </row>
    <row r="4942" spans="1:12">
      <c r="A4942" s="1">
        <v>46043</v>
      </c>
      <c r="B4942" t="s">
        <v>7265</v>
      </c>
      <c r="C4942">
        <v>22</v>
      </c>
      <c r="D4942" t="str">
        <f>VLOOKUP(Tabela26[[#This Row],[EMP]],[1]LOJA!$A:$B,2,0)</f>
        <v>GUARÁ</v>
      </c>
      <c r="E4942">
        <v>93</v>
      </c>
      <c r="F4942" t="s">
        <v>7264</v>
      </c>
      <c r="G4942" t="s">
        <v>7263</v>
      </c>
      <c r="H4942" t="s">
        <v>3408</v>
      </c>
      <c r="I4942">
        <v>5102</v>
      </c>
      <c r="J4942" s="3">
        <v>25.78</v>
      </c>
      <c r="K4942" s="3">
        <v>16.899999999999999</v>
      </c>
      <c r="L4942">
        <v>34.450000000000003</v>
      </c>
    </row>
    <row r="4943" spans="1:12">
      <c r="A4943" s="1">
        <v>46043</v>
      </c>
      <c r="B4943" t="s">
        <v>7262</v>
      </c>
      <c r="C4943">
        <v>22</v>
      </c>
      <c r="D4943" t="str">
        <f>VLOOKUP(Tabela26[[#This Row],[EMP]],[1]LOJA!$A:$B,2,0)</f>
        <v>GUARÁ</v>
      </c>
      <c r="E4943">
        <v>93</v>
      </c>
      <c r="F4943" t="s">
        <v>3921</v>
      </c>
      <c r="G4943" t="s">
        <v>3920</v>
      </c>
      <c r="H4943" t="s">
        <v>3401</v>
      </c>
      <c r="I4943">
        <v>5102</v>
      </c>
      <c r="J4943" s="3">
        <v>16</v>
      </c>
      <c r="K4943" s="3">
        <v>7.72</v>
      </c>
      <c r="L4943">
        <v>51.75</v>
      </c>
    </row>
    <row r="4944" spans="1:12">
      <c r="A4944" s="1">
        <v>46043</v>
      </c>
      <c r="B4944" t="s">
        <v>7261</v>
      </c>
      <c r="C4944">
        <v>22</v>
      </c>
      <c r="D4944" t="str">
        <f>VLOOKUP(Tabela26[[#This Row],[EMP]],[1]LOJA!$A:$B,2,0)</f>
        <v>GUARÁ</v>
      </c>
      <c r="E4944">
        <v>93</v>
      </c>
      <c r="F4944" t="s">
        <v>6769</v>
      </c>
      <c r="G4944" t="s">
        <v>6768</v>
      </c>
      <c r="H4944" t="s">
        <v>3401</v>
      </c>
      <c r="I4944">
        <v>5102</v>
      </c>
      <c r="J4944" s="3">
        <v>103</v>
      </c>
      <c r="K4944" s="3">
        <v>52.73</v>
      </c>
      <c r="L4944">
        <v>48.81</v>
      </c>
    </row>
    <row r="4945" spans="1:12">
      <c r="A4945" s="1">
        <v>46043</v>
      </c>
      <c r="B4945" t="s">
        <v>7260</v>
      </c>
      <c r="C4945">
        <v>22</v>
      </c>
      <c r="D4945" t="str">
        <f>VLOOKUP(Tabela26[[#This Row],[EMP]],[1]LOJA!$A:$B,2,0)</f>
        <v>GUARÁ</v>
      </c>
      <c r="E4945">
        <v>93</v>
      </c>
      <c r="F4945" t="s">
        <v>3576</v>
      </c>
      <c r="G4945" t="s">
        <v>3402</v>
      </c>
      <c r="H4945" t="s">
        <v>3401</v>
      </c>
      <c r="I4945">
        <v>5405</v>
      </c>
      <c r="J4945" s="3">
        <v>68</v>
      </c>
      <c r="K4945" s="3">
        <v>41.93</v>
      </c>
      <c r="L4945">
        <v>38.340000000000003</v>
      </c>
    </row>
    <row r="4946" spans="1:12">
      <c r="A4946" s="1">
        <v>46043</v>
      </c>
      <c r="B4946" t="s">
        <v>7259</v>
      </c>
      <c r="C4946">
        <v>22</v>
      </c>
      <c r="D4946" t="str">
        <f>VLOOKUP(Tabela26[[#This Row],[EMP]],[1]LOJA!$A:$B,2,0)</f>
        <v>GUARÁ</v>
      </c>
      <c r="E4946">
        <v>93</v>
      </c>
      <c r="F4946" t="s">
        <v>3403</v>
      </c>
      <c r="G4946" t="s">
        <v>3402</v>
      </c>
      <c r="H4946" t="s">
        <v>3401</v>
      </c>
      <c r="I4946">
        <v>5102</v>
      </c>
      <c r="J4946" s="3">
        <v>33</v>
      </c>
      <c r="K4946" s="3">
        <v>19.54</v>
      </c>
      <c r="L4946">
        <v>40.79</v>
      </c>
    </row>
    <row r="4947" spans="1:12">
      <c r="A4947" s="1">
        <v>46043</v>
      </c>
      <c r="B4947" t="s">
        <v>7258</v>
      </c>
      <c r="C4947">
        <v>22</v>
      </c>
      <c r="D4947" t="str">
        <f>VLOOKUP(Tabela26[[#This Row],[EMP]],[1]LOJA!$A:$B,2,0)</f>
        <v>GUARÁ</v>
      </c>
      <c r="E4947">
        <v>93</v>
      </c>
      <c r="F4947" t="s">
        <v>7257</v>
      </c>
      <c r="G4947" t="s">
        <v>3402</v>
      </c>
      <c r="H4947" t="s">
        <v>3401</v>
      </c>
      <c r="I4947">
        <v>5405</v>
      </c>
      <c r="J4947" s="3">
        <v>75</v>
      </c>
      <c r="K4947" s="3">
        <v>40.299999999999997</v>
      </c>
      <c r="L4947">
        <v>46.27</v>
      </c>
    </row>
    <row r="4948" spans="1:12">
      <c r="A4948" s="1">
        <v>46043</v>
      </c>
      <c r="B4948" t="s">
        <v>7256</v>
      </c>
      <c r="C4948">
        <v>22</v>
      </c>
      <c r="D4948" t="str">
        <f>VLOOKUP(Tabela26[[#This Row],[EMP]],[1]LOJA!$A:$B,2,0)</f>
        <v>GUARÁ</v>
      </c>
      <c r="E4948">
        <v>93</v>
      </c>
      <c r="F4948" t="s">
        <v>4629</v>
      </c>
      <c r="G4948" t="s">
        <v>4628</v>
      </c>
      <c r="H4948" t="s">
        <v>3401</v>
      </c>
      <c r="I4948">
        <v>5102</v>
      </c>
      <c r="J4948" s="3">
        <v>24</v>
      </c>
      <c r="K4948" s="3">
        <v>13.95</v>
      </c>
      <c r="L4948">
        <v>41.88</v>
      </c>
    </row>
    <row r="4949" spans="1:12">
      <c r="A4949" s="1">
        <v>46043</v>
      </c>
      <c r="B4949" t="s">
        <v>7255</v>
      </c>
      <c r="C4949">
        <v>22</v>
      </c>
      <c r="D4949" t="str">
        <f>VLOOKUP(Tabela26[[#This Row],[EMP]],[1]LOJA!$A:$B,2,0)</f>
        <v>GUARÁ</v>
      </c>
      <c r="E4949">
        <v>93</v>
      </c>
      <c r="F4949" t="s">
        <v>3403</v>
      </c>
      <c r="G4949" t="s">
        <v>3402</v>
      </c>
      <c r="H4949" t="s">
        <v>3401</v>
      </c>
      <c r="I4949">
        <v>5102</v>
      </c>
      <c r="J4949" s="3">
        <v>28</v>
      </c>
      <c r="K4949" s="3">
        <v>16.02</v>
      </c>
      <c r="L4949">
        <v>42.79</v>
      </c>
    </row>
    <row r="4950" spans="1:12">
      <c r="A4950" s="1">
        <v>46043</v>
      </c>
      <c r="B4950" t="s">
        <v>7254</v>
      </c>
      <c r="C4950">
        <v>22</v>
      </c>
      <c r="D4950" t="str">
        <f>VLOOKUP(Tabela26[[#This Row],[EMP]],[1]LOJA!$A:$B,2,0)</f>
        <v>GUARÁ</v>
      </c>
      <c r="E4950">
        <v>93</v>
      </c>
      <c r="F4950" t="s">
        <v>3403</v>
      </c>
      <c r="G4950" t="s">
        <v>3402</v>
      </c>
      <c r="H4950" t="s">
        <v>3401</v>
      </c>
      <c r="I4950">
        <v>5405</v>
      </c>
      <c r="J4950" s="3">
        <v>56</v>
      </c>
      <c r="K4950" s="3">
        <v>24.38</v>
      </c>
      <c r="L4950">
        <v>56.46</v>
      </c>
    </row>
    <row r="4951" spans="1:12">
      <c r="A4951" s="1">
        <v>46043</v>
      </c>
      <c r="B4951" t="s">
        <v>7253</v>
      </c>
      <c r="C4951">
        <v>22</v>
      </c>
      <c r="D4951" t="str">
        <f>VLOOKUP(Tabela26[[#This Row],[EMP]],[1]LOJA!$A:$B,2,0)</f>
        <v>GUARÁ</v>
      </c>
      <c r="E4951">
        <v>93</v>
      </c>
      <c r="F4951" t="s">
        <v>3403</v>
      </c>
      <c r="G4951" t="s">
        <v>3402</v>
      </c>
      <c r="H4951" t="s">
        <v>3401</v>
      </c>
      <c r="I4951">
        <v>5102</v>
      </c>
      <c r="J4951" s="3">
        <v>12</v>
      </c>
      <c r="K4951" s="3">
        <v>6.97</v>
      </c>
      <c r="L4951">
        <v>41.92</v>
      </c>
    </row>
    <row r="4952" spans="1:12">
      <c r="A4952" s="1">
        <v>46043</v>
      </c>
      <c r="B4952" t="s">
        <v>7252</v>
      </c>
      <c r="C4952">
        <v>22</v>
      </c>
      <c r="D4952" t="str">
        <f>VLOOKUP(Tabela26[[#This Row],[EMP]],[1]LOJA!$A:$B,2,0)</f>
        <v>GUARÁ</v>
      </c>
      <c r="E4952">
        <v>93</v>
      </c>
      <c r="F4952" t="s">
        <v>4603</v>
      </c>
      <c r="G4952" t="s">
        <v>4602</v>
      </c>
      <c r="H4952" t="s">
        <v>3408</v>
      </c>
      <c r="I4952">
        <v>5102</v>
      </c>
      <c r="J4952" s="3">
        <v>34</v>
      </c>
      <c r="K4952" s="3">
        <v>21.83</v>
      </c>
      <c r="L4952">
        <v>35.79</v>
      </c>
    </row>
    <row r="4953" spans="1:12">
      <c r="A4953" s="1">
        <v>46043</v>
      </c>
      <c r="B4953" t="s">
        <v>7251</v>
      </c>
      <c r="C4953">
        <v>22</v>
      </c>
      <c r="D4953" t="str">
        <f>VLOOKUP(Tabela26[[#This Row],[EMP]],[1]LOJA!$A:$B,2,0)</f>
        <v>GUARÁ</v>
      </c>
      <c r="E4953">
        <v>93</v>
      </c>
      <c r="F4953" t="s">
        <v>3403</v>
      </c>
      <c r="G4953" t="s">
        <v>3402</v>
      </c>
      <c r="H4953" t="s">
        <v>3401</v>
      </c>
      <c r="I4953">
        <v>5102</v>
      </c>
      <c r="J4953" s="3">
        <v>20</v>
      </c>
      <c r="K4953" s="3">
        <v>13.55</v>
      </c>
      <c r="L4953">
        <v>32.25</v>
      </c>
    </row>
    <row r="4954" spans="1:12">
      <c r="A4954" s="1">
        <v>46043</v>
      </c>
      <c r="B4954" t="s">
        <v>7250</v>
      </c>
      <c r="C4954">
        <v>22</v>
      </c>
      <c r="D4954" t="str">
        <f>VLOOKUP(Tabela26[[#This Row],[EMP]],[1]LOJA!$A:$B,2,0)</f>
        <v>GUARÁ</v>
      </c>
      <c r="E4954">
        <v>93</v>
      </c>
      <c r="F4954" t="s">
        <v>3403</v>
      </c>
      <c r="G4954" t="s">
        <v>3402</v>
      </c>
      <c r="H4954" t="s">
        <v>3401</v>
      </c>
      <c r="I4954">
        <v>5102</v>
      </c>
      <c r="J4954" s="3">
        <v>9</v>
      </c>
      <c r="K4954" s="3">
        <v>4.16</v>
      </c>
      <c r="L4954">
        <v>53.78</v>
      </c>
    </row>
    <row r="4955" spans="1:12">
      <c r="A4955" s="1">
        <v>46043</v>
      </c>
      <c r="B4955" t="s">
        <v>7249</v>
      </c>
      <c r="C4955">
        <v>22</v>
      </c>
      <c r="D4955" t="str">
        <f>VLOOKUP(Tabela26[[#This Row],[EMP]],[1]LOJA!$A:$B,2,0)</f>
        <v>GUARÁ</v>
      </c>
      <c r="E4955">
        <v>93</v>
      </c>
      <c r="F4955" t="s">
        <v>3403</v>
      </c>
      <c r="G4955" t="s">
        <v>3402</v>
      </c>
      <c r="H4955" t="s">
        <v>3401</v>
      </c>
      <c r="I4955">
        <v>5102</v>
      </c>
      <c r="J4955" s="3">
        <v>9</v>
      </c>
      <c r="K4955" s="3">
        <v>4.16</v>
      </c>
      <c r="L4955">
        <v>53.78</v>
      </c>
    </row>
    <row r="4956" spans="1:12">
      <c r="A4956" s="1">
        <v>46043</v>
      </c>
      <c r="B4956" t="s">
        <v>7248</v>
      </c>
      <c r="C4956">
        <v>22</v>
      </c>
      <c r="D4956" t="str">
        <f>VLOOKUP(Tabela26[[#This Row],[EMP]],[1]LOJA!$A:$B,2,0)</f>
        <v>GUARÁ</v>
      </c>
      <c r="E4956">
        <v>93</v>
      </c>
      <c r="F4956" t="s">
        <v>3403</v>
      </c>
      <c r="G4956" t="s">
        <v>3402</v>
      </c>
      <c r="H4956" t="s">
        <v>3401</v>
      </c>
      <c r="I4956">
        <v>5102</v>
      </c>
      <c r="J4956" s="3">
        <v>33</v>
      </c>
      <c r="K4956" s="3">
        <v>21.83</v>
      </c>
      <c r="L4956">
        <v>33.85</v>
      </c>
    </row>
    <row r="4957" spans="1:12">
      <c r="A4957" s="1">
        <v>46043</v>
      </c>
      <c r="B4957" t="s">
        <v>7247</v>
      </c>
      <c r="C4957">
        <v>22</v>
      </c>
      <c r="D4957" t="str">
        <f>VLOOKUP(Tabela26[[#This Row],[EMP]],[1]LOJA!$A:$B,2,0)</f>
        <v>GUARÁ</v>
      </c>
      <c r="E4957">
        <v>93</v>
      </c>
      <c r="F4957" t="s">
        <v>3403</v>
      </c>
      <c r="G4957" t="s">
        <v>3402</v>
      </c>
      <c r="H4957" t="s">
        <v>3401</v>
      </c>
      <c r="I4957">
        <v>5405</v>
      </c>
      <c r="J4957" s="3">
        <v>28</v>
      </c>
      <c r="K4957" s="3">
        <v>12.19</v>
      </c>
      <c r="L4957">
        <v>56.46</v>
      </c>
    </row>
    <row r="4958" spans="1:12">
      <c r="A4958" s="1">
        <v>46043</v>
      </c>
      <c r="B4958" t="s">
        <v>7246</v>
      </c>
      <c r="C4958">
        <v>22</v>
      </c>
      <c r="D4958" t="str">
        <f>VLOOKUP(Tabela26[[#This Row],[EMP]],[1]LOJA!$A:$B,2,0)</f>
        <v>GUARÁ</v>
      </c>
      <c r="E4958">
        <v>93</v>
      </c>
      <c r="F4958" t="s">
        <v>3403</v>
      </c>
      <c r="G4958" t="s">
        <v>3402</v>
      </c>
      <c r="H4958" t="s">
        <v>3401</v>
      </c>
      <c r="I4958">
        <v>5102</v>
      </c>
      <c r="J4958" s="3">
        <v>9</v>
      </c>
      <c r="K4958" s="3">
        <v>4.16</v>
      </c>
      <c r="L4958">
        <v>53.78</v>
      </c>
    </row>
    <row r="4959" spans="1:12">
      <c r="A4959" s="1">
        <v>46043</v>
      </c>
      <c r="B4959" t="s">
        <v>7245</v>
      </c>
      <c r="C4959">
        <v>22</v>
      </c>
      <c r="D4959" t="str">
        <f>VLOOKUP(Tabela26[[#This Row],[EMP]],[1]LOJA!$A:$B,2,0)</f>
        <v>GUARÁ</v>
      </c>
      <c r="E4959">
        <v>93</v>
      </c>
      <c r="F4959" t="s">
        <v>3403</v>
      </c>
      <c r="G4959" t="s">
        <v>3402</v>
      </c>
      <c r="H4959" t="s">
        <v>3401</v>
      </c>
      <c r="I4959">
        <v>5102</v>
      </c>
      <c r="J4959" s="3">
        <v>9</v>
      </c>
      <c r="K4959" s="3">
        <v>4.16</v>
      </c>
      <c r="L4959">
        <v>53.78</v>
      </c>
    </row>
    <row r="4960" spans="1:12">
      <c r="A4960" s="1">
        <v>46043</v>
      </c>
      <c r="B4960" t="s">
        <v>7244</v>
      </c>
      <c r="C4960">
        <v>22</v>
      </c>
      <c r="D4960" t="str">
        <f>VLOOKUP(Tabela26[[#This Row],[EMP]],[1]LOJA!$A:$B,2,0)</f>
        <v>GUARÁ</v>
      </c>
      <c r="E4960">
        <v>93</v>
      </c>
      <c r="F4960" t="s">
        <v>3403</v>
      </c>
      <c r="G4960" t="s">
        <v>3402</v>
      </c>
      <c r="H4960" t="s">
        <v>3408</v>
      </c>
      <c r="I4960">
        <v>5102</v>
      </c>
      <c r="J4960" s="3">
        <v>43</v>
      </c>
      <c r="K4960" s="3">
        <v>23.26</v>
      </c>
      <c r="L4960">
        <v>45.91</v>
      </c>
    </row>
    <row r="4961" spans="1:12">
      <c r="A4961" s="1">
        <v>46043</v>
      </c>
      <c r="B4961" t="s">
        <v>7243</v>
      </c>
      <c r="C4961">
        <v>22</v>
      </c>
      <c r="D4961" t="str">
        <f>VLOOKUP(Tabela26[[#This Row],[EMP]],[1]LOJA!$A:$B,2,0)</f>
        <v>GUARÁ</v>
      </c>
      <c r="E4961">
        <v>93</v>
      </c>
      <c r="F4961" t="s">
        <v>3452</v>
      </c>
      <c r="G4961" t="s">
        <v>3451</v>
      </c>
      <c r="H4961" t="s">
        <v>3408</v>
      </c>
      <c r="I4961">
        <v>5405</v>
      </c>
      <c r="J4961" s="3">
        <v>77</v>
      </c>
      <c r="K4961" s="3">
        <v>40.299999999999997</v>
      </c>
      <c r="L4961">
        <v>47.66</v>
      </c>
    </row>
    <row r="4962" spans="1:12">
      <c r="A4962" s="1">
        <v>46043</v>
      </c>
      <c r="B4962" t="s">
        <v>7242</v>
      </c>
      <c r="C4962">
        <v>22</v>
      </c>
      <c r="D4962" t="str">
        <f>VLOOKUP(Tabela26[[#This Row],[EMP]],[1]LOJA!$A:$B,2,0)</f>
        <v>GUARÁ</v>
      </c>
      <c r="E4962">
        <v>93</v>
      </c>
      <c r="F4962" t="s">
        <v>7241</v>
      </c>
      <c r="G4962" t="s">
        <v>7240</v>
      </c>
      <c r="H4962" t="s">
        <v>3401</v>
      </c>
      <c r="I4962">
        <v>5405</v>
      </c>
      <c r="J4962" s="3">
        <v>107</v>
      </c>
      <c r="K4962" s="3">
        <v>50.32</v>
      </c>
      <c r="L4962">
        <v>52.97</v>
      </c>
    </row>
    <row r="4963" spans="1:12">
      <c r="A4963" s="1">
        <v>46043</v>
      </c>
      <c r="B4963" t="s">
        <v>7239</v>
      </c>
      <c r="C4963">
        <v>22</v>
      </c>
      <c r="D4963" t="str">
        <f>VLOOKUP(Tabela26[[#This Row],[EMP]],[1]LOJA!$A:$B,2,0)</f>
        <v>GUARÁ</v>
      </c>
      <c r="E4963">
        <v>93</v>
      </c>
      <c r="F4963" t="s">
        <v>7238</v>
      </c>
      <c r="G4963" t="s">
        <v>3402</v>
      </c>
      <c r="H4963" t="s">
        <v>3401</v>
      </c>
      <c r="I4963">
        <v>5405</v>
      </c>
      <c r="J4963" s="3">
        <v>100</v>
      </c>
      <c r="K4963" s="3">
        <v>43.15</v>
      </c>
      <c r="L4963">
        <v>56.85</v>
      </c>
    </row>
    <row r="4964" spans="1:12">
      <c r="A4964" s="1">
        <v>46043</v>
      </c>
      <c r="B4964" t="s">
        <v>7237</v>
      </c>
      <c r="C4964">
        <v>22</v>
      </c>
      <c r="D4964" t="str">
        <f>VLOOKUP(Tabela26[[#This Row],[EMP]],[1]LOJA!$A:$B,2,0)</f>
        <v>GUARÁ</v>
      </c>
      <c r="E4964">
        <v>93</v>
      </c>
      <c r="F4964" t="s">
        <v>3403</v>
      </c>
      <c r="G4964" t="s">
        <v>3402</v>
      </c>
      <c r="H4964" t="s">
        <v>3401</v>
      </c>
      <c r="I4964">
        <v>5102</v>
      </c>
      <c r="J4964" s="3">
        <v>8</v>
      </c>
      <c r="K4964" s="3">
        <v>3.91</v>
      </c>
      <c r="L4964">
        <v>51.13</v>
      </c>
    </row>
    <row r="4965" spans="1:12">
      <c r="A4965" s="1">
        <v>46043</v>
      </c>
      <c r="B4965" t="s">
        <v>7236</v>
      </c>
      <c r="C4965">
        <v>22</v>
      </c>
      <c r="D4965" t="str">
        <f>VLOOKUP(Tabela26[[#This Row],[EMP]],[1]LOJA!$A:$B,2,0)</f>
        <v>GUARÁ</v>
      </c>
      <c r="E4965">
        <v>93</v>
      </c>
      <c r="F4965" t="s">
        <v>3870</v>
      </c>
      <c r="G4965" t="s">
        <v>3869</v>
      </c>
      <c r="H4965" t="s">
        <v>3401</v>
      </c>
      <c r="I4965">
        <v>5405</v>
      </c>
      <c r="J4965" s="3">
        <v>35</v>
      </c>
      <c r="K4965" s="3">
        <v>14.16</v>
      </c>
      <c r="L4965">
        <v>59.54</v>
      </c>
    </row>
    <row r="4966" spans="1:12">
      <c r="A4966" s="1">
        <v>46043</v>
      </c>
      <c r="B4966" t="s">
        <v>7235</v>
      </c>
      <c r="C4966">
        <v>22</v>
      </c>
      <c r="D4966" t="str">
        <f>VLOOKUP(Tabela26[[#This Row],[EMP]],[1]LOJA!$A:$B,2,0)</f>
        <v>GUARÁ</v>
      </c>
      <c r="E4966">
        <v>93</v>
      </c>
      <c r="F4966" t="s">
        <v>4593</v>
      </c>
      <c r="G4966" t="s">
        <v>4592</v>
      </c>
      <c r="H4966" t="s">
        <v>3401</v>
      </c>
      <c r="I4966">
        <v>5405</v>
      </c>
      <c r="J4966" s="3">
        <v>131</v>
      </c>
      <c r="K4966" s="3">
        <v>72.38</v>
      </c>
      <c r="L4966">
        <v>44.75</v>
      </c>
    </row>
    <row r="4967" spans="1:12">
      <c r="A4967" s="1">
        <v>46043</v>
      </c>
      <c r="B4967" t="s">
        <v>7234</v>
      </c>
      <c r="C4967">
        <v>4</v>
      </c>
      <c r="D4967" t="str">
        <f>VLOOKUP(Tabela26[[#This Row],[EMP]],[1]LOJA!$A:$B,2,0)</f>
        <v>ADE</v>
      </c>
      <c r="E4967">
        <v>109</v>
      </c>
      <c r="F4967" t="s">
        <v>4299</v>
      </c>
      <c r="G4967" t="s">
        <v>4298</v>
      </c>
      <c r="H4967" t="s">
        <v>7018</v>
      </c>
      <c r="I4967">
        <v>5102</v>
      </c>
      <c r="J4967" s="3">
        <v>23</v>
      </c>
      <c r="K4967" s="3">
        <v>12.57</v>
      </c>
      <c r="L4967">
        <v>45.35</v>
      </c>
    </row>
    <row r="4968" spans="1:12">
      <c r="A4968" s="1">
        <v>46043</v>
      </c>
      <c r="B4968" t="s">
        <v>7233</v>
      </c>
      <c r="C4968">
        <v>4</v>
      </c>
      <c r="D4968" t="str">
        <f>VLOOKUP(Tabela26[[#This Row],[EMP]],[1]LOJA!$A:$B,2,0)</f>
        <v>ADE</v>
      </c>
      <c r="E4968">
        <v>132</v>
      </c>
      <c r="F4968" t="s">
        <v>3403</v>
      </c>
      <c r="G4968" t="s">
        <v>3402</v>
      </c>
      <c r="H4968" t="s">
        <v>3401</v>
      </c>
      <c r="I4968">
        <v>5102</v>
      </c>
      <c r="J4968" s="3">
        <v>75</v>
      </c>
      <c r="K4968" s="3">
        <v>37.619999999999997</v>
      </c>
      <c r="L4968">
        <v>49.84</v>
      </c>
    </row>
    <row r="4969" spans="1:12">
      <c r="A4969" s="1">
        <v>46043</v>
      </c>
      <c r="B4969" t="s">
        <v>7232</v>
      </c>
      <c r="C4969">
        <v>4</v>
      </c>
      <c r="D4969" t="str">
        <f>VLOOKUP(Tabela26[[#This Row],[EMP]],[1]LOJA!$A:$B,2,0)</f>
        <v>ADE</v>
      </c>
      <c r="E4969">
        <v>132</v>
      </c>
      <c r="F4969" t="s">
        <v>3403</v>
      </c>
      <c r="G4969" t="s">
        <v>3402</v>
      </c>
      <c r="H4969" t="s">
        <v>3401</v>
      </c>
      <c r="I4969">
        <v>5102</v>
      </c>
      <c r="J4969" s="3">
        <v>81</v>
      </c>
      <c r="K4969" s="3">
        <v>41.59</v>
      </c>
      <c r="L4969">
        <v>48.65</v>
      </c>
    </row>
    <row r="4970" spans="1:12">
      <c r="A4970" s="1">
        <v>46043</v>
      </c>
      <c r="B4970" t="s">
        <v>7231</v>
      </c>
      <c r="C4970">
        <v>4</v>
      </c>
      <c r="D4970" t="str">
        <f>VLOOKUP(Tabela26[[#This Row],[EMP]],[1]LOJA!$A:$B,2,0)</f>
        <v>ADE</v>
      </c>
      <c r="E4970">
        <v>109</v>
      </c>
      <c r="F4970" t="s">
        <v>7230</v>
      </c>
      <c r="G4970" t="s">
        <v>3402</v>
      </c>
      <c r="H4970" t="s">
        <v>3401</v>
      </c>
      <c r="I4970">
        <v>5102</v>
      </c>
      <c r="J4970" s="3">
        <v>71</v>
      </c>
      <c r="K4970" s="3">
        <v>41.8</v>
      </c>
      <c r="L4970">
        <v>41.13</v>
      </c>
    </row>
    <row r="4971" spans="1:12">
      <c r="A4971" s="1">
        <v>46043</v>
      </c>
      <c r="B4971" t="s">
        <v>7229</v>
      </c>
      <c r="C4971">
        <v>4</v>
      </c>
      <c r="D4971" t="str">
        <f>VLOOKUP(Tabela26[[#This Row],[EMP]],[1]LOJA!$A:$B,2,0)</f>
        <v>ADE</v>
      </c>
      <c r="E4971">
        <v>132</v>
      </c>
      <c r="F4971" t="s">
        <v>4558</v>
      </c>
      <c r="G4971" t="s">
        <v>4557</v>
      </c>
      <c r="H4971" t="s">
        <v>7043</v>
      </c>
      <c r="I4971">
        <v>5405</v>
      </c>
      <c r="J4971" s="3">
        <v>171.74</v>
      </c>
      <c r="K4971" s="3">
        <v>98.26</v>
      </c>
      <c r="L4971">
        <v>42.79</v>
      </c>
    </row>
    <row r="4972" spans="1:12">
      <c r="A4972" s="1">
        <v>46043</v>
      </c>
      <c r="B4972" t="s">
        <v>7228</v>
      </c>
      <c r="C4972">
        <v>4</v>
      </c>
      <c r="D4972" t="str">
        <f>VLOOKUP(Tabela26[[#This Row],[EMP]],[1]LOJA!$A:$B,2,0)</f>
        <v>ADE</v>
      </c>
      <c r="E4972">
        <v>132</v>
      </c>
      <c r="F4972" t="s">
        <v>3403</v>
      </c>
      <c r="G4972" t="s">
        <v>3402</v>
      </c>
      <c r="H4972" t="s">
        <v>3401</v>
      </c>
      <c r="I4972">
        <v>5405</v>
      </c>
      <c r="J4972" s="3">
        <v>90</v>
      </c>
      <c r="K4972" s="3">
        <v>47.11</v>
      </c>
      <c r="L4972">
        <v>47.66</v>
      </c>
    </row>
    <row r="4973" spans="1:12">
      <c r="A4973" s="1">
        <v>46043</v>
      </c>
      <c r="B4973" t="s">
        <v>7227</v>
      </c>
      <c r="C4973">
        <v>4</v>
      </c>
      <c r="D4973" t="str">
        <f>VLOOKUP(Tabela26[[#This Row],[EMP]],[1]LOJA!$A:$B,2,0)</f>
        <v>ADE</v>
      </c>
      <c r="E4973">
        <v>132</v>
      </c>
      <c r="F4973" t="s">
        <v>3403</v>
      </c>
      <c r="G4973" t="s">
        <v>3402</v>
      </c>
      <c r="H4973" t="s">
        <v>3401</v>
      </c>
      <c r="I4973">
        <v>5102</v>
      </c>
      <c r="J4973" s="3">
        <v>47</v>
      </c>
      <c r="K4973" s="3">
        <v>26.06</v>
      </c>
      <c r="L4973">
        <v>44.55</v>
      </c>
    </row>
    <row r="4974" spans="1:12">
      <c r="A4974" s="1">
        <v>46043</v>
      </c>
      <c r="B4974" t="s">
        <v>7226</v>
      </c>
      <c r="C4974">
        <v>4</v>
      </c>
      <c r="D4974" t="str">
        <f>VLOOKUP(Tabela26[[#This Row],[EMP]],[1]LOJA!$A:$B,2,0)</f>
        <v>ADE</v>
      </c>
      <c r="E4974">
        <v>132</v>
      </c>
      <c r="F4974" t="s">
        <v>3403</v>
      </c>
      <c r="G4974" t="s">
        <v>3402</v>
      </c>
      <c r="H4974" t="s">
        <v>3401</v>
      </c>
      <c r="I4974">
        <v>5405</v>
      </c>
      <c r="J4974" s="3">
        <v>174</v>
      </c>
      <c r="K4974" s="3">
        <v>107.75</v>
      </c>
      <c r="L4974">
        <v>38.07</v>
      </c>
    </row>
    <row r="4975" spans="1:12">
      <c r="A4975" s="1">
        <v>46043</v>
      </c>
      <c r="B4975" t="s">
        <v>7225</v>
      </c>
      <c r="C4975">
        <v>4</v>
      </c>
      <c r="D4975" t="str">
        <f>VLOOKUP(Tabela26[[#This Row],[EMP]],[1]LOJA!$A:$B,2,0)</f>
        <v>ADE</v>
      </c>
      <c r="E4975">
        <v>132</v>
      </c>
      <c r="F4975" t="s">
        <v>3403</v>
      </c>
      <c r="G4975" t="s">
        <v>3402</v>
      </c>
      <c r="H4975" t="s">
        <v>3401</v>
      </c>
      <c r="I4975">
        <v>5102</v>
      </c>
      <c r="J4975" s="3">
        <v>100</v>
      </c>
      <c r="K4975" s="3">
        <v>69.16</v>
      </c>
      <c r="L4975">
        <v>30.84</v>
      </c>
    </row>
    <row r="4976" spans="1:12">
      <c r="A4976" s="1">
        <v>46043</v>
      </c>
      <c r="B4976" t="s">
        <v>7224</v>
      </c>
      <c r="C4976">
        <v>4</v>
      </c>
      <c r="D4976" t="str">
        <f>VLOOKUP(Tabela26[[#This Row],[EMP]],[1]LOJA!$A:$B,2,0)</f>
        <v>ADE</v>
      </c>
      <c r="E4976">
        <v>132</v>
      </c>
      <c r="F4976" t="s">
        <v>4561</v>
      </c>
      <c r="G4976" t="s">
        <v>4560</v>
      </c>
      <c r="H4976" t="s">
        <v>3401</v>
      </c>
      <c r="I4976">
        <v>5102</v>
      </c>
      <c r="J4976" s="3">
        <v>127</v>
      </c>
      <c r="K4976" s="3">
        <v>74.47</v>
      </c>
      <c r="L4976">
        <v>41.36</v>
      </c>
    </row>
    <row r="4977" spans="1:12">
      <c r="A4977" s="1">
        <v>46043</v>
      </c>
      <c r="B4977" t="s">
        <v>7223</v>
      </c>
      <c r="C4977">
        <v>4</v>
      </c>
      <c r="D4977" t="str">
        <f>VLOOKUP(Tabela26[[#This Row],[EMP]],[1]LOJA!$A:$B,2,0)</f>
        <v>ADE</v>
      </c>
      <c r="E4977">
        <v>109</v>
      </c>
      <c r="F4977" t="s">
        <v>5601</v>
      </c>
      <c r="G4977" t="s">
        <v>3402</v>
      </c>
      <c r="H4977" t="s">
        <v>3401</v>
      </c>
      <c r="I4977">
        <v>5102</v>
      </c>
      <c r="J4977" s="3">
        <v>166</v>
      </c>
      <c r="K4977" s="3">
        <v>87.98</v>
      </c>
      <c r="L4977">
        <v>47</v>
      </c>
    </row>
    <row r="4978" spans="1:12">
      <c r="A4978" s="1">
        <v>46043</v>
      </c>
      <c r="B4978" t="s">
        <v>7222</v>
      </c>
      <c r="C4978">
        <v>4</v>
      </c>
      <c r="D4978" t="str">
        <f>VLOOKUP(Tabela26[[#This Row],[EMP]],[1]LOJA!$A:$B,2,0)</f>
        <v>ADE</v>
      </c>
      <c r="E4978">
        <v>109</v>
      </c>
      <c r="F4978" t="s">
        <v>7221</v>
      </c>
      <c r="G4978" t="s">
        <v>3402</v>
      </c>
      <c r="H4978" t="s">
        <v>3401</v>
      </c>
      <c r="I4978">
        <v>5102</v>
      </c>
      <c r="J4978" s="3">
        <v>9</v>
      </c>
      <c r="K4978" s="3">
        <v>3.86</v>
      </c>
      <c r="L4978">
        <v>57.11</v>
      </c>
    </row>
    <row r="4979" spans="1:12">
      <c r="A4979" s="1">
        <v>46043</v>
      </c>
      <c r="B4979" t="s">
        <v>7220</v>
      </c>
      <c r="C4979">
        <v>4</v>
      </c>
      <c r="D4979" t="str">
        <f>VLOOKUP(Tabela26[[#This Row],[EMP]],[1]LOJA!$A:$B,2,0)</f>
        <v>ADE</v>
      </c>
      <c r="E4979">
        <v>132</v>
      </c>
      <c r="F4979" t="s">
        <v>3403</v>
      </c>
      <c r="G4979" t="s">
        <v>3402</v>
      </c>
      <c r="H4979" t="s">
        <v>3401</v>
      </c>
      <c r="I4979">
        <v>5405</v>
      </c>
      <c r="J4979" s="3">
        <v>35</v>
      </c>
      <c r="K4979" s="3">
        <v>14.08</v>
      </c>
      <c r="L4979">
        <v>59.77</v>
      </c>
    </row>
    <row r="4980" spans="1:12">
      <c r="A4980" s="1">
        <v>46043</v>
      </c>
      <c r="B4980" t="s">
        <v>7219</v>
      </c>
      <c r="C4980">
        <v>16</v>
      </c>
      <c r="D4980" t="str">
        <f>VLOOKUP(Tabela26[[#This Row],[EMP]],[1]LOJA!$A:$B,2,0)</f>
        <v>AG LINDAS</v>
      </c>
      <c r="E4980">
        <v>240</v>
      </c>
      <c r="F4980" t="s">
        <v>3780</v>
      </c>
      <c r="G4980" t="s">
        <v>3437</v>
      </c>
      <c r="H4980" t="s">
        <v>3401</v>
      </c>
      <c r="I4980">
        <v>5102</v>
      </c>
      <c r="J4980" s="3">
        <v>32</v>
      </c>
      <c r="K4980" s="3">
        <v>14.64</v>
      </c>
      <c r="L4980">
        <v>54.25</v>
      </c>
    </row>
    <row r="4981" spans="1:12">
      <c r="A4981" s="1">
        <v>46043</v>
      </c>
      <c r="B4981" t="s">
        <v>7218</v>
      </c>
      <c r="C4981">
        <v>16</v>
      </c>
      <c r="D4981" t="str">
        <f>VLOOKUP(Tabela26[[#This Row],[EMP]],[1]LOJA!$A:$B,2,0)</f>
        <v>AG LINDAS</v>
      </c>
      <c r="E4981">
        <v>240</v>
      </c>
      <c r="F4981" t="s">
        <v>5657</v>
      </c>
      <c r="G4981" t="s">
        <v>5656</v>
      </c>
      <c r="H4981" t="s">
        <v>3408</v>
      </c>
      <c r="I4981">
        <v>5102</v>
      </c>
      <c r="J4981" s="3">
        <v>57.8</v>
      </c>
      <c r="K4981" s="3">
        <v>34.979999999999997</v>
      </c>
      <c r="L4981">
        <v>39.479999999999997</v>
      </c>
    </row>
    <row r="4982" spans="1:12">
      <c r="A4982" s="1">
        <v>46043</v>
      </c>
      <c r="B4982" t="s">
        <v>7217</v>
      </c>
      <c r="C4982">
        <v>16</v>
      </c>
      <c r="D4982" t="str">
        <f>VLOOKUP(Tabela26[[#This Row],[EMP]],[1]LOJA!$A:$B,2,0)</f>
        <v>AG LINDAS</v>
      </c>
      <c r="E4982">
        <v>240</v>
      </c>
      <c r="F4982" t="s">
        <v>4511</v>
      </c>
      <c r="G4982" t="s">
        <v>4510</v>
      </c>
      <c r="H4982" t="s">
        <v>3401</v>
      </c>
      <c r="I4982">
        <v>5102</v>
      </c>
      <c r="J4982" s="3">
        <v>29.9</v>
      </c>
      <c r="K4982" s="3">
        <v>18.62</v>
      </c>
      <c r="L4982">
        <v>37.729999999999997</v>
      </c>
    </row>
    <row r="4983" spans="1:12">
      <c r="A4983" s="1">
        <v>46043</v>
      </c>
      <c r="B4983" t="s">
        <v>7216</v>
      </c>
      <c r="C4983">
        <v>16</v>
      </c>
      <c r="D4983" t="str">
        <f>VLOOKUP(Tabela26[[#This Row],[EMP]],[1]LOJA!$A:$B,2,0)</f>
        <v>AG LINDAS</v>
      </c>
      <c r="E4983">
        <v>240</v>
      </c>
      <c r="F4983" t="s">
        <v>3780</v>
      </c>
      <c r="G4983" t="s">
        <v>3437</v>
      </c>
      <c r="H4983" t="s">
        <v>3401</v>
      </c>
      <c r="I4983">
        <v>5102</v>
      </c>
      <c r="J4983" s="3">
        <v>19.899999999999999</v>
      </c>
      <c r="K4983" s="3">
        <v>5.83</v>
      </c>
      <c r="L4983">
        <v>70.7</v>
      </c>
    </row>
    <row r="4984" spans="1:12">
      <c r="A4984" s="1">
        <v>46043</v>
      </c>
      <c r="B4984" t="s">
        <v>7215</v>
      </c>
      <c r="C4984">
        <v>16</v>
      </c>
      <c r="D4984" t="str">
        <f>VLOOKUP(Tabela26[[#This Row],[EMP]],[1]LOJA!$A:$B,2,0)</f>
        <v>AG LINDAS</v>
      </c>
      <c r="E4984">
        <v>240</v>
      </c>
      <c r="F4984" t="s">
        <v>4508</v>
      </c>
      <c r="G4984" t="s">
        <v>3437</v>
      </c>
      <c r="H4984" t="s">
        <v>3401</v>
      </c>
      <c r="I4984">
        <v>5102</v>
      </c>
      <c r="J4984" s="3">
        <v>47.8</v>
      </c>
      <c r="K4984" s="3">
        <v>27.11</v>
      </c>
      <c r="L4984">
        <v>43.28</v>
      </c>
    </row>
    <row r="4985" spans="1:12">
      <c r="A4985" s="1">
        <v>46043</v>
      </c>
      <c r="B4985" t="s">
        <v>7214</v>
      </c>
      <c r="C4985">
        <v>16</v>
      </c>
      <c r="D4985" t="str">
        <f>VLOOKUP(Tabela26[[#This Row],[EMP]],[1]LOJA!$A:$B,2,0)</f>
        <v>AG LINDAS</v>
      </c>
      <c r="E4985">
        <v>240</v>
      </c>
      <c r="F4985" t="s">
        <v>3780</v>
      </c>
      <c r="G4985" t="s">
        <v>3437</v>
      </c>
      <c r="H4985" t="s">
        <v>3401</v>
      </c>
      <c r="I4985">
        <v>5102</v>
      </c>
      <c r="J4985" s="3">
        <v>43.4</v>
      </c>
      <c r="K4985" s="3">
        <v>18.309999999999999</v>
      </c>
      <c r="L4985">
        <v>57.81</v>
      </c>
    </row>
    <row r="4986" spans="1:12">
      <c r="A4986" s="1">
        <v>46043</v>
      </c>
      <c r="B4986" t="s">
        <v>7213</v>
      </c>
      <c r="C4986">
        <v>16</v>
      </c>
      <c r="D4986" t="str">
        <f>VLOOKUP(Tabela26[[#This Row],[EMP]],[1]LOJA!$A:$B,2,0)</f>
        <v>AG LINDAS</v>
      </c>
      <c r="E4986">
        <v>240</v>
      </c>
      <c r="F4986" t="s">
        <v>5659</v>
      </c>
      <c r="G4986" t="s">
        <v>3437</v>
      </c>
      <c r="H4986" t="s">
        <v>3401</v>
      </c>
      <c r="I4986">
        <v>5102</v>
      </c>
      <c r="J4986" s="3">
        <v>12</v>
      </c>
      <c r="K4986" s="3">
        <v>7.4</v>
      </c>
      <c r="L4986">
        <v>38.33</v>
      </c>
    </row>
    <row r="4987" spans="1:12">
      <c r="A4987" s="1">
        <v>46043</v>
      </c>
      <c r="B4987" t="s">
        <v>7212</v>
      </c>
      <c r="C4987">
        <v>16</v>
      </c>
      <c r="D4987" t="str">
        <f>VLOOKUP(Tabela26[[#This Row],[EMP]],[1]LOJA!$A:$B,2,0)</f>
        <v>AG LINDAS</v>
      </c>
      <c r="E4987">
        <v>240</v>
      </c>
      <c r="F4987" t="s">
        <v>7211</v>
      </c>
      <c r="G4987" t="s">
        <v>7210</v>
      </c>
      <c r="H4987" t="s">
        <v>3401</v>
      </c>
      <c r="I4987">
        <v>5102</v>
      </c>
      <c r="J4987" s="3">
        <v>141.15</v>
      </c>
      <c r="K4987" s="3">
        <v>76.209999999999994</v>
      </c>
      <c r="L4987">
        <v>46.01</v>
      </c>
    </row>
    <row r="4988" spans="1:12">
      <c r="A4988" s="1">
        <v>46043</v>
      </c>
      <c r="B4988" t="s">
        <v>7209</v>
      </c>
      <c r="C4988">
        <v>16</v>
      </c>
      <c r="D4988" t="str">
        <f>VLOOKUP(Tabela26[[#This Row],[EMP]],[1]LOJA!$A:$B,2,0)</f>
        <v>AG LINDAS</v>
      </c>
      <c r="E4988">
        <v>240</v>
      </c>
      <c r="F4988" t="s">
        <v>5657</v>
      </c>
      <c r="G4988" t="s">
        <v>5656</v>
      </c>
      <c r="H4988" t="s">
        <v>3401</v>
      </c>
      <c r="I4988">
        <v>5102</v>
      </c>
      <c r="J4988" s="3">
        <v>19.5</v>
      </c>
      <c r="K4988" s="3">
        <v>11.2</v>
      </c>
      <c r="L4988">
        <v>42.56</v>
      </c>
    </row>
    <row r="4989" spans="1:12">
      <c r="A4989" s="1">
        <v>46043</v>
      </c>
      <c r="B4989" t="s">
        <v>7208</v>
      </c>
      <c r="C4989">
        <v>16</v>
      </c>
      <c r="D4989" t="str">
        <f>VLOOKUP(Tabela26[[#This Row],[EMP]],[1]LOJA!$A:$B,2,0)</f>
        <v>AG LINDAS</v>
      </c>
      <c r="E4989">
        <v>240</v>
      </c>
      <c r="F4989" t="s">
        <v>3780</v>
      </c>
      <c r="G4989" t="s">
        <v>3437</v>
      </c>
      <c r="H4989" t="s">
        <v>3401</v>
      </c>
      <c r="I4989">
        <v>5405</v>
      </c>
      <c r="J4989" s="3">
        <v>50</v>
      </c>
      <c r="K4989" s="3">
        <v>25.71</v>
      </c>
      <c r="L4989">
        <v>48.58</v>
      </c>
    </row>
    <row r="4990" spans="1:12">
      <c r="A4990" s="1">
        <v>46043</v>
      </c>
      <c r="B4990" t="s">
        <v>7207</v>
      </c>
      <c r="C4990">
        <v>16</v>
      </c>
      <c r="D4990" t="str">
        <f>VLOOKUP(Tabela26[[#This Row],[EMP]],[1]LOJA!$A:$B,2,0)</f>
        <v>AG LINDAS</v>
      </c>
      <c r="E4990">
        <v>240</v>
      </c>
      <c r="F4990" t="s">
        <v>3804</v>
      </c>
      <c r="G4990" t="s">
        <v>3803</v>
      </c>
      <c r="H4990" t="s">
        <v>3401</v>
      </c>
      <c r="I4990">
        <v>5405</v>
      </c>
      <c r="J4990" s="3">
        <v>117</v>
      </c>
      <c r="K4990" s="3">
        <v>61.81</v>
      </c>
      <c r="L4990">
        <v>47.17</v>
      </c>
    </row>
    <row r="4991" spans="1:12">
      <c r="A4991" s="1">
        <v>46043</v>
      </c>
      <c r="B4991" t="s">
        <v>7206</v>
      </c>
      <c r="C4991">
        <v>16</v>
      </c>
      <c r="D4991" t="str">
        <f>VLOOKUP(Tabela26[[#This Row],[EMP]],[1]LOJA!$A:$B,2,0)</f>
        <v>AG LINDAS</v>
      </c>
      <c r="E4991">
        <v>240</v>
      </c>
      <c r="F4991" t="s">
        <v>4508</v>
      </c>
      <c r="G4991" t="s">
        <v>3437</v>
      </c>
      <c r="H4991" t="s">
        <v>3401</v>
      </c>
      <c r="I4991">
        <v>5405</v>
      </c>
      <c r="J4991" s="3">
        <v>31.95</v>
      </c>
      <c r="K4991" s="3">
        <v>14.06</v>
      </c>
      <c r="L4991">
        <v>55.99</v>
      </c>
    </row>
    <row r="4992" spans="1:12">
      <c r="A4992" s="1">
        <v>46043</v>
      </c>
      <c r="B4992" t="s">
        <v>7205</v>
      </c>
      <c r="C4992">
        <v>16</v>
      </c>
      <c r="D4992" t="str">
        <f>VLOOKUP(Tabela26[[#This Row],[EMP]],[1]LOJA!$A:$B,2,0)</f>
        <v>AG LINDAS</v>
      </c>
      <c r="E4992">
        <v>240</v>
      </c>
      <c r="F4992" t="s">
        <v>3796</v>
      </c>
      <c r="G4992" t="s">
        <v>3795</v>
      </c>
      <c r="H4992" t="s">
        <v>3408</v>
      </c>
      <c r="I4992">
        <v>5405</v>
      </c>
      <c r="J4992" s="3">
        <v>71.599999999999994</v>
      </c>
      <c r="K4992" s="3">
        <v>38.22</v>
      </c>
      <c r="L4992">
        <v>46.62</v>
      </c>
    </row>
    <row r="4993" spans="1:12">
      <c r="A4993" s="1">
        <v>46043</v>
      </c>
      <c r="B4993" t="s">
        <v>7204</v>
      </c>
      <c r="C4993">
        <v>16</v>
      </c>
      <c r="D4993" t="str">
        <f>VLOOKUP(Tabela26[[#This Row],[EMP]],[1]LOJA!$A:$B,2,0)</f>
        <v>AG LINDAS</v>
      </c>
      <c r="E4993">
        <v>240</v>
      </c>
      <c r="F4993" t="s">
        <v>5133</v>
      </c>
      <c r="G4993" t="s">
        <v>5132</v>
      </c>
      <c r="H4993" t="s">
        <v>3401</v>
      </c>
      <c r="I4993">
        <v>5405</v>
      </c>
      <c r="J4993" s="3">
        <v>725.5</v>
      </c>
      <c r="K4993" s="3">
        <v>432.61</v>
      </c>
      <c r="L4993">
        <v>40.369999999999997</v>
      </c>
    </row>
    <row r="4994" spans="1:12">
      <c r="A4994" s="1">
        <v>46043</v>
      </c>
      <c r="B4994" t="s">
        <v>7203</v>
      </c>
      <c r="C4994">
        <v>16</v>
      </c>
      <c r="D4994" t="str">
        <f>VLOOKUP(Tabela26[[#This Row],[EMP]],[1]LOJA!$A:$B,2,0)</f>
        <v>AG LINDAS</v>
      </c>
      <c r="E4994">
        <v>240</v>
      </c>
      <c r="F4994" t="s">
        <v>3796</v>
      </c>
      <c r="G4994" t="s">
        <v>3795</v>
      </c>
      <c r="H4994" t="s">
        <v>3408</v>
      </c>
      <c r="I4994">
        <v>5102</v>
      </c>
      <c r="J4994" s="3">
        <v>16</v>
      </c>
      <c r="K4994" s="3">
        <v>9.17</v>
      </c>
      <c r="L4994">
        <v>42.69</v>
      </c>
    </row>
    <row r="4995" spans="1:12">
      <c r="A4995" s="1">
        <v>46043</v>
      </c>
      <c r="B4995" t="s">
        <v>7202</v>
      </c>
      <c r="C4995">
        <v>16</v>
      </c>
      <c r="D4995" t="str">
        <f>VLOOKUP(Tabela26[[#This Row],[EMP]],[1]LOJA!$A:$B,2,0)</f>
        <v>AG LINDAS</v>
      </c>
      <c r="E4995">
        <v>107</v>
      </c>
      <c r="F4995" t="s">
        <v>4540</v>
      </c>
      <c r="G4995" t="s">
        <v>3437</v>
      </c>
      <c r="H4995" t="s">
        <v>3401</v>
      </c>
      <c r="I4995">
        <v>5405</v>
      </c>
      <c r="J4995" s="3">
        <v>370</v>
      </c>
      <c r="K4995" s="3">
        <v>211.56</v>
      </c>
      <c r="L4995">
        <v>42.82</v>
      </c>
    </row>
    <row r="4996" spans="1:12">
      <c r="A4996" s="1">
        <v>46043</v>
      </c>
      <c r="B4996" t="s">
        <v>7201</v>
      </c>
      <c r="C4996">
        <v>16</v>
      </c>
      <c r="D4996" t="str">
        <f>VLOOKUP(Tabela26[[#This Row],[EMP]],[1]LOJA!$A:$B,2,0)</f>
        <v>AG LINDAS</v>
      </c>
      <c r="E4996">
        <v>240</v>
      </c>
      <c r="F4996" t="s">
        <v>5117</v>
      </c>
      <c r="G4996" t="s">
        <v>3437</v>
      </c>
      <c r="H4996" t="s">
        <v>3401</v>
      </c>
      <c r="I4996">
        <v>5102</v>
      </c>
      <c r="J4996" s="3">
        <v>95.3</v>
      </c>
      <c r="K4996" s="3">
        <v>53.77</v>
      </c>
      <c r="L4996">
        <v>43.58</v>
      </c>
    </row>
    <row r="4997" spans="1:12">
      <c r="A4997" s="1">
        <v>46043</v>
      </c>
      <c r="B4997" t="s">
        <v>7200</v>
      </c>
      <c r="C4997">
        <v>16</v>
      </c>
      <c r="D4997" t="str">
        <f>VLOOKUP(Tabela26[[#This Row],[EMP]],[1]LOJA!$A:$B,2,0)</f>
        <v>AG LINDAS</v>
      </c>
      <c r="E4997">
        <v>240</v>
      </c>
      <c r="F4997" t="s">
        <v>4546</v>
      </c>
      <c r="G4997" t="s">
        <v>3437</v>
      </c>
      <c r="H4997" t="s">
        <v>3401</v>
      </c>
      <c r="I4997">
        <v>5102</v>
      </c>
      <c r="J4997" s="3">
        <v>144.19999999999999</v>
      </c>
      <c r="K4997" s="3">
        <v>90.69</v>
      </c>
      <c r="L4997">
        <v>37.11</v>
      </c>
    </row>
    <row r="4998" spans="1:12">
      <c r="A4998" s="1">
        <v>46043</v>
      </c>
      <c r="B4998" t="s">
        <v>7199</v>
      </c>
      <c r="C4998">
        <v>16</v>
      </c>
      <c r="D4998" t="str">
        <f>VLOOKUP(Tabela26[[#This Row],[EMP]],[1]LOJA!$A:$B,2,0)</f>
        <v>AG LINDAS</v>
      </c>
      <c r="E4998">
        <v>240</v>
      </c>
      <c r="F4998" t="s">
        <v>4544</v>
      </c>
      <c r="G4998" t="s">
        <v>3437</v>
      </c>
      <c r="H4998" t="s">
        <v>3401</v>
      </c>
      <c r="I4998">
        <v>5405</v>
      </c>
      <c r="J4998" s="3">
        <v>302.32</v>
      </c>
      <c r="K4998" s="3">
        <v>176.31</v>
      </c>
      <c r="L4998">
        <v>41.68</v>
      </c>
    </row>
    <row r="4999" spans="1:12">
      <c r="A4999" s="1">
        <v>46043</v>
      </c>
      <c r="B4999" t="s">
        <v>7198</v>
      </c>
      <c r="C4999">
        <v>16</v>
      </c>
      <c r="D4999" t="str">
        <f>VLOOKUP(Tabela26[[#This Row],[EMP]],[1]LOJA!$A:$B,2,0)</f>
        <v>AG LINDAS</v>
      </c>
      <c r="E4999">
        <v>240</v>
      </c>
      <c r="F4999" t="s">
        <v>3818</v>
      </c>
      <c r="G4999" t="s">
        <v>3817</v>
      </c>
      <c r="H4999" t="s">
        <v>3401</v>
      </c>
      <c r="I4999">
        <v>5102</v>
      </c>
      <c r="J4999" s="3">
        <v>106.8</v>
      </c>
      <c r="K4999" s="3">
        <v>65.08</v>
      </c>
      <c r="L4999">
        <v>39.06</v>
      </c>
    </row>
    <row r="5000" spans="1:12">
      <c r="A5000" s="1">
        <v>46043</v>
      </c>
      <c r="B5000" t="s">
        <v>7197</v>
      </c>
      <c r="C5000">
        <v>16</v>
      </c>
      <c r="D5000" t="str">
        <f>VLOOKUP(Tabela26[[#This Row],[EMP]],[1]LOJA!$A:$B,2,0)</f>
        <v>AG LINDAS</v>
      </c>
      <c r="E5000">
        <v>240</v>
      </c>
      <c r="F5000" t="s">
        <v>3811</v>
      </c>
      <c r="G5000" t="s">
        <v>3437</v>
      </c>
      <c r="H5000" t="s">
        <v>3401</v>
      </c>
      <c r="I5000">
        <v>5405</v>
      </c>
      <c r="J5000" s="3">
        <v>199.85</v>
      </c>
      <c r="K5000" s="3">
        <v>103.83</v>
      </c>
      <c r="L5000">
        <v>48.05</v>
      </c>
    </row>
    <row r="5001" spans="1:12">
      <c r="A5001" s="1">
        <v>46043</v>
      </c>
      <c r="B5001" t="s">
        <v>7196</v>
      </c>
      <c r="C5001">
        <v>16</v>
      </c>
      <c r="D5001" t="str">
        <f>VLOOKUP(Tabela26[[#This Row],[EMP]],[1]LOJA!$A:$B,2,0)</f>
        <v>AG LINDAS</v>
      </c>
      <c r="E5001">
        <v>240</v>
      </c>
      <c r="F5001" t="s">
        <v>3780</v>
      </c>
      <c r="G5001" t="s">
        <v>3437</v>
      </c>
      <c r="H5001" t="s">
        <v>3401</v>
      </c>
      <c r="I5001">
        <v>5102</v>
      </c>
      <c r="J5001" s="3">
        <v>35.79</v>
      </c>
      <c r="K5001" s="3">
        <v>16.48</v>
      </c>
      <c r="L5001">
        <v>53.95</v>
      </c>
    </row>
    <row r="5002" spans="1:12">
      <c r="A5002" s="1">
        <v>46043</v>
      </c>
      <c r="B5002" t="s">
        <v>7195</v>
      </c>
      <c r="C5002">
        <v>16</v>
      </c>
      <c r="D5002" t="str">
        <f>VLOOKUP(Tabela26[[#This Row],[EMP]],[1]LOJA!$A:$B,2,0)</f>
        <v>AG LINDAS</v>
      </c>
      <c r="E5002">
        <v>240</v>
      </c>
      <c r="F5002" t="s">
        <v>3786</v>
      </c>
      <c r="G5002" t="s">
        <v>3785</v>
      </c>
      <c r="H5002" t="s">
        <v>3401</v>
      </c>
      <c r="I5002">
        <v>5405</v>
      </c>
      <c r="J5002" s="3">
        <v>295.89999999999998</v>
      </c>
      <c r="K5002" s="3">
        <v>170.9</v>
      </c>
      <c r="L5002">
        <v>42.24</v>
      </c>
    </row>
    <row r="5003" spans="1:12">
      <c r="A5003" s="1">
        <v>46043</v>
      </c>
      <c r="B5003" t="s">
        <v>7194</v>
      </c>
      <c r="C5003">
        <v>16</v>
      </c>
      <c r="D5003" t="str">
        <f>VLOOKUP(Tabela26[[#This Row],[EMP]],[1]LOJA!$A:$B,2,0)</f>
        <v>AG LINDAS</v>
      </c>
      <c r="E5003">
        <v>240</v>
      </c>
      <c r="F5003" t="s">
        <v>3572</v>
      </c>
      <c r="G5003" t="s">
        <v>3437</v>
      </c>
      <c r="H5003" t="s">
        <v>3401</v>
      </c>
      <c r="I5003">
        <v>5102</v>
      </c>
      <c r="J5003" s="3">
        <v>174.4</v>
      </c>
      <c r="K5003" s="3">
        <v>100.37</v>
      </c>
      <c r="L5003">
        <v>42.45</v>
      </c>
    </row>
    <row r="5004" spans="1:12">
      <c r="A5004" s="1">
        <v>46043</v>
      </c>
      <c r="B5004" t="s">
        <v>7193</v>
      </c>
      <c r="C5004">
        <v>16</v>
      </c>
      <c r="D5004" t="str">
        <f>VLOOKUP(Tabela26[[#This Row],[EMP]],[1]LOJA!$A:$B,2,0)</f>
        <v>AG LINDAS</v>
      </c>
      <c r="E5004">
        <v>240</v>
      </c>
      <c r="F5004" t="s">
        <v>4519</v>
      </c>
      <c r="G5004" t="s">
        <v>3437</v>
      </c>
      <c r="H5004" t="s">
        <v>3401</v>
      </c>
      <c r="I5004">
        <v>5405</v>
      </c>
      <c r="J5004" s="3">
        <v>40.85</v>
      </c>
      <c r="K5004" s="3">
        <v>15.84</v>
      </c>
      <c r="L5004">
        <v>61.22</v>
      </c>
    </row>
    <row r="5005" spans="1:12">
      <c r="A5005" s="1">
        <v>46043</v>
      </c>
      <c r="B5005" t="s">
        <v>7192</v>
      </c>
      <c r="C5005">
        <v>14</v>
      </c>
      <c r="D5005" t="str">
        <f>VLOOKUP(Tabela26[[#This Row],[EMP]],[1]LOJA!$A:$B,2,0)</f>
        <v>S IA</v>
      </c>
      <c r="E5005">
        <v>54</v>
      </c>
      <c r="F5005" t="s">
        <v>7191</v>
      </c>
      <c r="G5005" t="s">
        <v>7190</v>
      </c>
      <c r="H5005" t="s">
        <v>3408</v>
      </c>
      <c r="I5005">
        <v>5405</v>
      </c>
      <c r="J5005" s="3">
        <v>588.07000000000005</v>
      </c>
      <c r="K5005" s="3">
        <v>271.11</v>
      </c>
      <c r="L5005">
        <v>53.9</v>
      </c>
    </row>
    <row r="5006" spans="1:12">
      <c r="A5006" s="1">
        <v>46043</v>
      </c>
      <c r="B5006" t="s">
        <v>7189</v>
      </c>
      <c r="C5006">
        <v>14</v>
      </c>
      <c r="D5006" t="str">
        <f>VLOOKUP(Tabela26[[#This Row],[EMP]],[1]LOJA!$A:$B,2,0)</f>
        <v>S IA</v>
      </c>
      <c r="E5006">
        <v>212</v>
      </c>
      <c r="F5006" t="s">
        <v>3775</v>
      </c>
      <c r="G5006" t="s">
        <v>3774</v>
      </c>
      <c r="H5006" t="s">
        <v>3430</v>
      </c>
      <c r="I5006">
        <v>5102</v>
      </c>
      <c r="J5006" s="3">
        <v>200</v>
      </c>
      <c r="K5006" s="3">
        <v>93.1</v>
      </c>
      <c r="L5006">
        <v>53.45</v>
      </c>
    </row>
    <row r="5007" spans="1:12">
      <c r="A5007" s="1">
        <v>46043</v>
      </c>
      <c r="B5007" t="s">
        <v>7188</v>
      </c>
      <c r="C5007">
        <v>14</v>
      </c>
      <c r="D5007" t="str">
        <f>VLOOKUP(Tabela26[[#This Row],[EMP]],[1]LOJA!$A:$B,2,0)</f>
        <v>S IA</v>
      </c>
      <c r="E5007">
        <v>212</v>
      </c>
      <c r="F5007" t="s">
        <v>3775</v>
      </c>
      <c r="G5007" t="s">
        <v>3774</v>
      </c>
      <c r="H5007" t="s">
        <v>3430</v>
      </c>
      <c r="I5007">
        <v>5102</v>
      </c>
      <c r="J5007" s="3">
        <v>210</v>
      </c>
      <c r="K5007" s="3">
        <v>119.89</v>
      </c>
      <c r="L5007">
        <v>42.91</v>
      </c>
    </row>
    <row r="5008" spans="1:12">
      <c r="A5008" s="1">
        <v>46043</v>
      </c>
      <c r="B5008" t="s">
        <v>7187</v>
      </c>
      <c r="C5008">
        <v>14</v>
      </c>
      <c r="D5008" t="str">
        <f>VLOOKUP(Tabela26[[#This Row],[EMP]],[1]LOJA!$A:$B,2,0)</f>
        <v>S IA</v>
      </c>
      <c r="E5008">
        <v>54</v>
      </c>
      <c r="F5008" t="s">
        <v>3762</v>
      </c>
      <c r="G5008" t="s">
        <v>3761</v>
      </c>
      <c r="H5008" t="s">
        <v>3430</v>
      </c>
      <c r="I5008">
        <v>5102</v>
      </c>
      <c r="J5008" s="3">
        <v>176.33</v>
      </c>
      <c r="K5008" s="3">
        <v>86.11</v>
      </c>
      <c r="L5008">
        <v>51.17</v>
      </c>
    </row>
    <row r="5009" spans="1:12">
      <c r="A5009" s="1">
        <v>46043</v>
      </c>
      <c r="B5009" t="s">
        <v>7186</v>
      </c>
      <c r="C5009">
        <v>14</v>
      </c>
      <c r="D5009" t="str">
        <f>VLOOKUP(Tabela26[[#This Row],[EMP]],[1]LOJA!$A:$B,2,0)</f>
        <v>S IA</v>
      </c>
      <c r="E5009">
        <v>54</v>
      </c>
      <c r="F5009" t="s">
        <v>7185</v>
      </c>
      <c r="G5009" t="s">
        <v>7184</v>
      </c>
      <c r="H5009" t="s">
        <v>3408</v>
      </c>
      <c r="I5009">
        <v>5405</v>
      </c>
      <c r="J5009" s="3">
        <v>159</v>
      </c>
      <c r="K5009" s="3">
        <v>53.56</v>
      </c>
      <c r="L5009">
        <v>66.31</v>
      </c>
    </row>
    <row r="5010" spans="1:12">
      <c r="A5010" s="1">
        <v>46043</v>
      </c>
      <c r="B5010" t="s">
        <v>7183</v>
      </c>
      <c r="C5010">
        <v>14</v>
      </c>
      <c r="D5010" t="str">
        <f>VLOOKUP(Tabela26[[#This Row],[EMP]],[1]LOJA!$A:$B,2,0)</f>
        <v>S IA</v>
      </c>
      <c r="E5010">
        <v>54</v>
      </c>
      <c r="F5010" t="s">
        <v>7182</v>
      </c>
      <c r="G5010" t="s">
        <v>7181</v>
      </c>
      <c r="H5010" t="s">
        <v>3401</v>
      </c>
      <c r="I5010">
        <v>5405</v>
      </c>
      <c r="J5010" s="3">
        <v>239</v>
      </c>
      <c r="K5010" s="3">
        <v>127.39</v>
      </c>
      <c r="L5010">
        <v>46.7</v>
      </c>
    </row>
    <row r="5011" spans="1:12">
      <c r="A5011" s="1">
        <v>46043</v>
      </c>
      <c r="B5011" t="s">
        <v>7180</v>
      </c>
      <c r="C5011">
        <v>14</v>
      </c>
      <c r="D5011" t="str">
        <f>VLOOKUP(Tabela26[[#This Row],[EMP]],[1]LOJA!$A:$B,2,0)</f>
        <v>S IA</v>
      </c>
      <c r="E5011">
        <v>212</v>
      </c>
      <c r="F5011" t="s">
        <v>3759</v>
      </c>
      <c r="G5011" t="s">
        <v>3758</v>
      </c>
      <c r="H5011" t="s">
        <v>3408</v>
      </c>
      <c r="I5011">
        <v>5405</v>
      </c>
      <c r="J5011" s="3">
        <v>360.3</v>
      </c>
      <c r="K5011" s="3">
        <v>223.77</v>
      </c>
      <c r="L5011">
        <v>37.89</v>
      </c>
    </row>
    <row r="5012" spans="1:12">
      <c r="A5012" s="1">
        <v>46043</v>
      </c>
      <c r="B5012" t="s">
        <v>7179</v>
      </c>
      <c r="C5012">
        <v>14</v>
      </c>
      <c r="D5012" t="str">
        <f>VLOOKUP(Tabela26[[#This Row],[EMP]],[1]LOJA!$A:$B,2,0)</f>
        <v>S IA</v>
      </c>
      <c r="E5012">
        <v>212</v>
      </c>
      <c r="F5012" t="s">
        <v>3759</v>
      </c>
      <c r="G5012" t="s">
        <v>3758</v>
      </c>
      <c r="H5012" t="s">
        <v>3408</v>
      </c>
      <c r="I5012">
        <v>5405</v>
      </c>
      <c r="J5012" s="3">
        <v>152.76</v>
      </c>
      <c r="K5012" s="3">
        <v>78.09</v>
      </c>
      <c r="L5012">
        <v>48.88</v>
      </c>
    </row>
    <row r="5013" spans="1:12">
      <c r="A5013" s="1">
        <v>46043</v>
      </c>
      <c r="B5013" t="s">
        <v>7178</v>
      </c>
      <c r="C5013">
        <v>14</v>
      </c>
      <c r="D5013" t="str">
        <f>VLOOKUP(Tabela26[[#This Row],[EMP]],[1]LOJA!$A:$B,2,0)</f>
        <v>S IA</v>
      </c>
      <c r="E5013">
        <v>54</v>
      </c>
      <c r="F5013" t="s">
        <v>5089</v>
      </c>
      <c r="G5013" t="s">
        <v>5088</v>
      </c>
      <c r="H5013" t="s">
        <v>3430</v>
      </c>
      <c r="I5013">
        <v>5405</v>
      </c>
      <c r="J5013" s="3">
        <v>74.31</v>
      </c>
      <c r="K5013" s="3">
        <v>36.409999999999997</v>
      </c>
      <c r="L5013">
        <v>51</v>
      </c>
    </row>
    <row r="5014" spans="1:12">
      <c r="A5014" s="1">
        <v>46043</v>
      </c>
      <c r="B5014" t="s">
        <v>7177</v>
      </c>
      <c r="C5014">
        <v>14</v>
      </c>
      <c r="D5014" t="str">
        <f>VLOOKUP(Tabela26[[#This Row],[EMP]],[1]LOJA!$A:$B,2,0)</f>
        <v>S IA</v>
      </c>
      <c r="E5014">
        <v>54</v>
      </c>
      <c r="F5014" t="s">
        <v>3762</v>
      </c>
      <c r="G5014" t="s">
        <v>3761</v>
      </c>
      <c r="H5014" t="s">
        <v>3430</v>
      </c>
      <c r="I5014">
        <v>5405</v>
      </c>
      <c r="J5014" s="3">
        <v>319.18</v>
      </c>
      <c r="K5014" s="3">
        <v>171.45</v>
      </c>
      <c r="L5014">
        <v>46.28</v>
      </c>
    </row>
    <row r="5015" spans="1:12">
      <c r="A5015" s="1">
        <v>46043</v>
      </c>
      <c r="B5015" t="s">
        <v>7176</v>
      </c>
      <c r="C5015">
        <v>14</v>
      </c>
      <c r="D5015" t="str">
        <f>VLOOKUP(Tabela26[[#This Row],[EMP]],[1]LOJA!$A:$B,2,0)</f>
        <v>S IA</v>
      </c>
      <c r="E5015">
        <v>212</v>
      </c>
      <c r="F5015" t="s">
        <v>3769</v>
      </c>
      <c r="G5015" t="s">
        <v>3768</v>
      </c>
      <c r="H5015" t="s">
        <v>3401</v>
      </c>
      <c r="I5015">
        <v>5405</v>
      </c>
      <c r="J5015" s="3">
        <v>555</v>
      </c>
      <c r="K5015" s="3">
        <v>281.83999999999997</v>
      </c>
      <c r="L5015">
        <v>49.22</v>
      </c>
    </row>
    <row r="5016" spans="1:12">
      <c r="A5016" s="1">
        <v>46043</v>
      </c>
      <c r="B5016" t="s">
        <v>7175</v>
      </c>
      <c r="C5016">
        <v>14</v>
      </c>
      <c r="D5016" t="str">
        <f>VLOOKUP(Tabela26[[#This Row],[EMP]],[1]LOJA!$A:$B,2,0)</f>
        <v>S IA</v>
      </c>
      <c r="E5016">
        <v>54</v>
      </c>
      <c r="F5016" t="s">
        <v>7174</v>
      </c>
      <c r="G5016" t="s">
        <v>7173</v>
      </c>
      <c r="H5016" t="s">
        <v>3401</v>
      </c>
      <c r="I5016">
        <v>5405</v>
      </c>
      <c r="J5016" s="3">
        <v>249</v>
      </c>
      <c r="K5016" s="3">
        <v>93.1</v>
      </c>
      <c r="L5016">
        <v>62.61</v>
      </c>
    </row>
    <row r="5017" spans="1:12">
      <c r="A5017" s="1">
        <v>46043</v>
      </c>
      <c r="B5017" t="s">
        <v>7172</v>
      </c>
      <c r="C5017">
        <v>14</v>
      </c>
      <c r="D5017" t="str">
        <f>VLOOKUP(Tabela26[[#This Row],[EMP]],[1]LOJA!$A:$B,2,0)</f>
        <v>S IA</v>
      </c>
      <c r="E5017">
        <v>212</v>
      </c>
      <c r="F5017" t="s">
        <v>4498</v>
      </c>
      <c r="G5017" t="s">
        <v>4497</v>
      </c>
      <c r="H5017" t="s">
        <v>4249</v>
      </c>
      <c r="I5017">
        <v>5405</v>
      </c>
      <c r="J5017" s="3">
        <v>2728.88</v>
      </c>
      <c r="K5017" s="3">
        <v>1091.8399999999999</v>
      </c>
      <c r="L5017">
        <v>59.99</v>
      </c>
    </row>
    <row r="5018" spans="1:12">
      <c r="A5018" s="1">
        <v>46043</v>
      </c>
      <c r="B5018" t="s">
        <v>7171</v>
      </c>
      <c r="C5018">
        <v>14</v>
      </c>
      <c r="D5018" t="str">
        <f>VLOOKUP(Tabela26[[#This Row],[EMP]],[1]LOJA!$A:$B,2,0)</f>
        <v>S IA</v>
      </c>
      <c r="E5018">
        <v>212</v>
      </c>
      <c r="F5018" t="s">
        <v>3435</v>
      </c>
      <c r="G5018" t="s">
        <v>3434</v>
      </c>
      <c r="H5018" t="s">
        <v>3537</v>
      </c>
      <c r="I5018">
        <v>5405</v>
      </c>
      <c r="J5018" s="3">
        <v>297</v>
      </c>
      <c r="K5018" s="3">
        <v>129.97</v>
      </c>
      <c r="L5018">
        <v>56.24</v>
      </c>
    </row>
    <row r="5019" spans="1:12">
      <c r="A5019" s="1">
        <v>46043</v>
      </c>
      <c r="B5019" t="s">
        <v>7170</v>
      </c>
      <c r="C5019">
        <v>14</v>
      </c>
      <c r="D5019" t="str">
        <f>VLOOKUP(Tabela26[[#This Row],[EMP]],[1]LOJA!$A:$B,2,0)</f>
        <v>S IA</v>
      </c>
      <c r="E5019">
        <v>212</v>
      </c>
      <c r="F5019" t="s">
        <v>3435</v>
      </c>
      <c r="G5019" t="s">
        <v>3434</v>
      </c>
      <c r="H5019" t="s">
        <v>3537</v>
      </c>
      <c r="I5019">
        <v>5405</v>
      </c>
      <c r="J5019" s="3">
        <v>262.64</v>
      </c>
      <c r="K5019" s="3">
        <v>120.52</v>
      </c>
      <c r="L5019">
        <v>54.11</v>
      </c>
    </row>
    <row r="5020" spans="1:12">
      <c r="A5020" s="1">
        <v>46043</v>
      </c>
      <c r="B5020" t="s">
        <v>7169</v>
      </c>
      <c r="C5020">
        <v>14</v>
      </c>
      <c r="D5020" t="str">
        <f>VLOOKUP(Tabela26[[#This Row],[EMP]],[1]LOJA!$A:$B,2,0)</f>
        <v>S IA</v>
      </c>
      <c r="E5020">
        <v>212</v>
      </c>
      <c r="F5020" t="s">
        <v>7168</v>
      </c>
      <c r="G5020" t="s">
        <v>7167</v>
      </c>
      <c r="H5020" t="s">
        <v>3401</v>
      </c>
      <c r="I5020">
        <v>5102</v>
      </c>
      <c r="J5020" s="3">
        <v>702</v>
      </c>
      <c r="K5020" s="3">
        <v>296.94</v>
      </c>
      <c r="L5020">
        <v>57.7</v>
      </c>
    </row>
    <row r="5021" spans="1:12">
      <c r="A5021" s="1">
        <v>46043</v>
      </c>
      <c r="B5021" t="s">
        <v>7166</v>
      </c>
      <c r="C5021">
        <v>14</v>
      </c>
      <c r="D5021" t="str">
        <f>VLOOKUP(Tabela26[[#This Row],[EMP]],[1]LOJA!$A:$B,2,0)</f>
        <v>S IA</v>
      </c>
      <c r="E5021">
        <v>212</v>
      </c>
      <c r="F5021" t="s">
        <v>3772</v>
      </c>
      <c r="G5021" t="s">
        <v>3771</v>
      </c>
      <c r="H5021" t="s">
        <v>3430</v>
      </c>
      <c r="I5021">
        <v>5405</v>
      </c>
      <c r="J5021" s="3">
        <v>89</v>
      </c>
      <c r="K5021" s="3">
        <v>36.65</v>
      </c>
      <c r="L5021">
        <v>58.82</v>
      </c>
    </row>
    <row r="5022" spans="1:12">
      <c r="A5022" s="1">
        <v>46043</v>
      </c>
      <c r="B5022" t="s">
        <v>7165</v>
      </c>
      <c r="C5022">
        <v>14</v>
      </c>
      <c r="D5022" t="str">
        <f>VLOOKUP(Tabela26[[#This Row],[EMP]],[1]LOJA!$A:$B,2,0)</f>
        <v>S IA</v>
      </c>
      <c r="E5022">
        <v>54</v>
      </c>
      <c r="F5022" t="s">
        <v>7164</v>
      </c>
      <c r="G5022" t="s">
        <v>7163</v>
      </c>
      <c r="H5022" t="s">
        <v>3401</v>
      </c>
      <c r="I5022">
        <v>5405</v>
      </c>
      <c r="J5022" s="3">
        <v>48.8</v>
      </c>
      <c r="K5022" s="3">
        <v>22.41</v>
      </c>
      <c r="L5022">
        <v>54.08</v>
      </c>
    </row>
    <row r="5023" spans="1:12">
      <c r="A5023" s="1">
        <v>46043</v>
      </c>
      <c r="B5023" t="s">
        <v>7162</v>
      </c>
      <c r="C5023">
        <v>14</v>
      </c>
      <c r="D5023" t="str">
        <f>VLOOKUP(Tabela26[[#This Row],[EMP]],[1]LOJA!$A:$B,2,0)</f>
        <v>S IA</v>
      </c>
      <c r="E5023">
        <v>54</v>
      </c>
      <c r="F5023" t="s">
        <v>7161</v>
      </c>
      <c r="G5023" t="s">
        <v>7160</v>
      </c>
      <c r="H5023" t="s">
        <v>3401</v>
      </c>
      <c r="I5023">
        <v>5102</v>
      </c>
      <c r="J5023" s="3">
        <v>176.65</v>
      </c>
      <c r="K5023" s="3">
        <v>74.959999999999994</v>
      </c>
      <c r="L5023">
        <v>57.57</v>
      </c>
    </row>
    <row r="5024" spans="1:12">
      <c r="A5024" s="1">
        <v>46043</v>
      </c>
      <c r="B5024" t="s">
        <v>7159</v>
      </c>
      <c r="C5024">
        <v>14</v>
      </c>
      <c r="D5024" t="str">
        <f>VLOOKUP(Tabela26[[#This Row],[EMP]],[1]LOJA!$A:$B,2,0)</f>
        <v>S IA</v>
      </c>
      <c r="E5024">
        <v>54</v>
      </c>
      <c r="F5024" t="s">
        <v>5108</v>
      </c>
      <c r="G5024" t="s">
        <v>5107</v>
      </c>
      <c r="H5024" t="s">
        <v>3537</v>
      </c>
      <c r="I5024">
        <v>5405</v>
      </c>
      <c r="J5024" s="3">
        <v>310.7</v>
      </c>
      <c r="K5024" s="3">
        <v>139.88</v>
      </c>
      <c r="L5024">
        <v>54.98</v>
      </c>
    </row>
    <row r="5025" spans="1:12">
      <c r="A5025" s="1">
        <v>46043</v>
      </c>
      <c r="B5025" t="s">
        <v>7158</v>
      </c>
      <c r="C5025">
        <v>14</v>
      </c>
      <c r="D5025" t="str">
        <f>VLOOKUP(Tabela26[[#This Row],[EMP]],[1]LOJA!$A:$B,2,0)</f>
        <v>S IA</v>
      </c>
      <c r="E5025">
        <v>54</v>
      </c>
      <c r="F5025" t="s">
        <v>7157</v>
      </c>
      <c r="G5025" t="s">
        <v>7156</v>
      </c>
      <c r="H5025" t="s">
        <v>3430</v>
      </c>
      <c r="I5025">
        <v>5405</v>
      </c>
      <c r="J5025" s="3">
        <v>125.5</v>
      </c>
      <c r="K5025" s="3">
        <v>46.62</v>
      </c>
      <c r="L5025">
        <v>62.85</v>
      </c>
    </row>
    <row r="5026" spans="1:12">
      <c r="A5026" s="1">
        <v>46043</v>
      </c>
      <c r="B5026" t="s">
        <v>7155</v>
      </c>
      <c r="C5026">
        <v>14</v>
      </c>
      <c r="D5026" t="str">
        <f>VLOOKUP(Tabela26[[#This Row],[EMP]],[1]LOJA!$A:$B,2,0)</f>
        <v>S IA</v>
      </c>
      <c r="E5026">
        <v>212</v>
      </c>
      <c r="F5026" t="s">
        <v>7154</v>
      </c>
      <c r="G5026" t="s">
        <v>7153</v>
      </c>
      <c r="H5026" t="s">
        <v>3408</v>
      </c>
      <c r="I5026">
        <v>5405</v>
      </c>
      <c r="J5026" s="3">
        <v>53</v>
      </c>
      <c r="K5026" s="3">
        <v>24.26</v>
      </c>
      <c r="L5026">
        <v>54.23</v>
      </c>
    </row>
    <row r="5027" spans="1:12">
      <c r="A5027" s="1">
        <v>46043</v>
      </c>
      <c r="B5027" t="s">
        <v>7152</v>
      </c>
      <c r="C5027">
        <v>12</v>
      </c>
      <c r="D5027" t="str">
        <f>VLOOKUP(Tabela26[[#This Row],[EMP]],[1]LOJA!$A:$B,2,0)</f>
        <v>SOFNORTE</v>
      </c>
      <c r="E5027">
        <v>60</v>
      </c>
      <c r="F5027" t="s">
        <v>3701</v>
      </c>
      <c r="G5027" t="s">
        <v>3700</v>
      </c>
      <c r="H5027" t="s">
        <v>3408</v>
      </c>
      <c r="I5027">
        <v>5405</v>
      </c>
      <c r="J5027" s="3">
        <v>85</v>
      </c>
      <c r="K5027" s="3">
        <v>40.659999999999997</v>
      </c>
      <c r="L5027">
        <v>52.16</v>
      </c>
    </row>
    <row r="5028" spans="1:12">
      <c r="A5028" s="1">
        <v>46043</v>
      </c>
      <c r="B5028" t="s">
        <v>7151</v>
      </c>
      <c r="C5028">
        <v>12</v>
      </c>
      <c r="D5028" t="str">
        <f>VLOOKUP(Tabela26[[#This Row],[EMP]],[1]LOJA!$A:$B,2,0)</f>
        <v>SOFNORTE</v>
      </c>
      <c r="E5028">
        <v>239</v>
      </c>
      <c r="F5028" t="s">
        <v>3691</v>
      </c>
      <c r="G5028" t="s">
        <v>3690</v>
      </c>
      <c r="H5028" t="s">
        <v>7018</v>
      </c>
      <c r="I5028">
        <v>5102</v>
      </c>
      <c r="J5028" s="3">
        <v>34.409999999999997</v>
      </c>
      <c r="K5028" s="3">
        <v>18.510000000000002</v>
      </c>
      <c r="L5028">
        <v>46.21</v>
      </c>
    </row>
    <row r="5029" spans="1:12">
      <c r="A5029" s="1">
        <v>46043</v>
      </c>
      <c r="B5029" t="s">
        <v>7150</v>
      </c>
      <c r="C5029">
        <v>12</v>
      </c>
      <c r="D5029" t="str">
        <f>VLOOKUP(Tabela26[[#This Row],[EMP]],[1]LOJA!$A:$B,2,0)</f>
        <v>SOFNORTE</v>
      </c>
      <c r="E5029">
        <v>239</v>
      </c>
      <c r="F5029" t="s">
        <v>3722</v>
      </c>
      <c r="G5029" t="s">
        <v>3721</v>
      </c>
      <c r="H5029" t="s">
        <v>3401</v>
      </c>
      <c r="I5029">
        <v>5102</v>
      </c>
      <c r="J5029" s="3">
        <v>22</v>
      </c>
      <c r="K5029" s="3">
        <v>12.51</v>
      </c>
      <c r="L5029">
        <v>43.14</v>
      </c>
    </row>
    <row r="5030" spans="1:12">
      <c r="A5030" s="1">
        <v>46043</v>
      </c>
      <c r="B5030" t="s">
        <v>7149</v>
      </c>
      <c r="C5030">
        <v>12</v>
      </c>
      <c r="D5030" t="str">
        <f>VLOOKUP(Tabela26[[#This Row],[EMP]],[1]LOJA!$A:$B,2,0)</f>
        <v>SOFNORTE</v>
      </c>
      <c r="E5030">
        <v>60</v>
      </c>
      <c r="F5030" t="s">
        <v>4441</v>
      </c>
      <c r="G5030" t="s">
        <v>3402</v>
      </c>
      <c r="H5030" t="s">
        <v>3401</v>
      </c>
      <c r="I5030">
        <v>5102</v>
      </c>
      <c r="J5030" s="3">
        <v>9</v>
      </c>
      <c r="K5030" s="3">
        <v>4.4800000000000004</v>
      </c>
      <c r="L5030">
        <v>50.22</v>
      </c>
    </row>
    <row r="5031" spans="1:12">
      <c r="A5031" s="1">
        <v>46043</v>
      </c>
      <c r="B5031" t="s">
        <v>7148</v>
      </c>
      <c r="C5031">
        <v>12</v>
      </c>
      <c r="D5031" t="str">
        <f>VLOOKUP(Tabela26[[#This Row],[EMP]],[1]LOJA!$A:$B,2,0)</f>
        <v>SOFNORTE</v>
      </c>
      <c r="E5031">
        <v>60</v>
      </c>
      <c r="F5031" t="s">
        <v>3709</v>
      </c>
      <c r="G5031" t="s">
        <v>3708</v>
      </c>
      <c r="H5031" t="s">
        <v>3401</v>
      </c>
      <c r="I5031">
        <v>5405</v>
      </c>
      <c r="J5031" s="3">
        <v>126</v>
      </c>
      <c r="K5031" s="3">
        <v>61.52</v>
      </c>
      <c r="L5031">
        <v>51.17</v>
      </c>
    </row>
    <row r="5032" spans="1:12">
      <c r="A5032" s="1">
        <v>46043</v>
      </c>
      <c r="B5032" t="s">
        <v>7147</v>
      </c>
      <c r="C5032">
        <v>12</v>
      </c>
      <c r="D5032" t="str">
        <f>VLOOKUP(Tabela26[[#This Row],[EMP]],[1]LOJA!$A:$B,2,0)</f>
        <v>SOFNORTE</v>
      </c>
      <c r="E5032">
        <v>60</v>
      </c>
      <c r="F5032" t="s">
        <v>3691</v>
      </c>
      <c r="G5032" t="s">
        <v>3690</v>
      </c>
      <c r="H5032" t="s">
        <v>7018</v>
      </c>
      <c r="I5032">
        <v>5405</v>
      </c>
      <c r="J5032" s="3">
        <v>159</v>
      </c>
      <c r="K5032" s="3">
        <v>70.13</v>
      </c>
      <c r="L5032">
        <v>55.89</v>
      </c>
    </row>
    <row r="5033" spans="1:12">
      <c r="A5033" s="1">
        <v>46043</v>
      </c>
      <c r="B5033" t="s">
        <v>7146</v>
      </c>
      <c r="C5033">
        <v>12</v>
      </c>
      <c r="D5033" t="str">
        <f>VLOOKUP(Tabela26[[#This Row],[EMP]],[1]LOJA!$A:$B,2,0)</f>
        <v>SOFNORTE</v>
      </c>
      <c r="E5033">
        <v>60</v>
      </c>
      <c r="F5033" t="s">
        <v>3737</v>
      </c>
      <c r="G5033" t="s">
        <v>3736</v>
      </c>
      <c r="H5033" t="s">
        <v>3520</v>
      </c>
      <c r="I5033">
        <v>5102</v>
      </c>
      <c r="J5033" s="3">
        <v>9</v>
      </c>
      <c r="K5033" s="3">
        <v>4.6399999999999997</v>
      </c>
      <c r="L5033">
        <v>48.44</v>
      </c>
    </row>
    <row r="5034" spans="1:12">
      <c r="A5034" s="1">
        <v>46043</v>
      </c>
      <c r="B5034" t="s">
        <v>7145</v>
      </c>
      <c r="C5034">
        <v>12</v>
      </c>
      <c r="D5034" t="str">
        <f>VLOOKUP(Tabela26[[#This Row],[EMP]],[1]LOJA!$A:$B,2,0)</f>
        <v>SOFNORTE</v>
      </c>
      <c r="E5034">
        <v>60</v>
      </c>
      <c r="F5034" t="s">
        <v>3706</v>
      </c>
      <c r="G5034" t="s">
        <v>3402</v>
      </c>
      <c r="H5034" t="s">
        <v>3401</v>
      </c>
      <c r="I5034">
        <v>5405</v>
      </c>
      <c r="J5034" s="3">
        <v>113</v>
      </c>
      <c r="K5034" s="3">
        <v>53.91</v>
      </c>
      <c r="L5034">
        <v>52.29</v>
      </c>
    </row>
    <row r="5035" spans="1:12">
      <c r="A5035" s="1">
        <v>46043</v>
      </c>
      <c r="B5035" t="s">
        <v>7144</v>
      </c>
      <c r="C5035">
        <v>12</v>
      </c>
      <c r="D5035" t="str">
        <f>VLOOKUP(Tabela26[[#This Row],[EMP]],[1]LOJA!$A:$B,2,0)</f>
        <v>SOFNORTE</v>
      </c>
      <c r="E5035">
        <v>60</v>
      </c>
      <c r="F5035" t="s">
        <v>3698</v>
      </c>
      <c r="G5035" t="s">
        <v>3697</v>
      </c>
      <c r="H5035" t="s">
        <v>3401</v>
      </c>
      <c r="I5035">
        <v>5405</v>
      </c>
      <c r="J5035" s="3">
        <v>548</v>
      </c>
      <c r="K5035" s="3">
        <v>267.26</v>
      </c>
      <c r="L5035">
        <v>51.23</v>
      </c>
    </row>
    <row r="5036" spans="1:12">
      <c r="A5036" s="1">
        <v>46043</v>
      </c>
      <c r="B5036" t="s">
        <v>7143</v>
      </c>
      <c r="C5036">
        <v>12</v>
      </c>
      <c r="D5036" t="str">
        <f>VLOOKUP(Tabela26[[#This Row],[EMP]],[1]LOJA!$A:$B,2,0)</f>
        <v>SOFNORTE</v>
      </c>
      <c r="E5036">
        <v>60</v>
      </c>
      <c r="F5036" t="s">
        <v>3701</v>
      </c>
      <c r="G5036" t="s">
        <v>3700</v>
      </c>
      <c r="H5036" t="s">
        <v>3408</v>
      </c>
      <c r="I5036">
        <v>5102</v>
      </c>
      <c r="J5036" s="3">
        <v>117</v>
      </c>
      <c r="K5036" s="3">
        <v>58.45</v>
      </c>
      <c r="L5036">
        <v>50.04</v>
      </c>
    </row>
    <row r="5037" spans="1:12">
      <c r="A5037" s="1">
        <v>46043</v>
      </c>
      <c r="B5037" t="s">
        <v>7142</v>
      </c>
      <c r="C5037">
        <v>12</v>
      </c>
      <c r="D5037" t="str">
        <f>VLOOKUP(Tabela26[[#This Row],[EMP]],[1]LOJA!$A:$B,2,0)</f>
        <v>SOFNORTE</v>
      </c>
      <c r="E5037">
        <v>60</v>
      </c>
      <c r="F5037" t="s">
        <v>3704</v>
      </c>
      <c r="G5037" t="s">
        <v>3703</v>
      </c>
      <c r="H5037" t="s">
        <v>3408</v>
      </c>
      <c r="I5037">
        <v>5102</v>
      </c>
      <c r="J5037" s="3">
        <v>22.5</v>
      </c>
      <c r="K5037" s="3">
        <v>11.6</v>
      </c>
      <c r="L5037">
        <v>48.44</v>
      </c>
    </row>
    <row r="5038" spans="1:12">
      <c r="A5038" s="1">
        <v>46043</v>
      </c>
      <c r="B5038" t="s">
        <v>7141</v>
      </c>
      <c r="C5038">
        <v>12</v>
      </c>
      <c r="D5038" t="str">
        <f>VLOOKUP(Tabela26[[#This Row],[EMP]],[1]LOJA!$A:$B,2,0)</f>
        <v>SOFNORTE</v>
      </c>
      <c r="E5038">
        <v>60</v>
      </c>
      <c r="F5038" t="s">
        <v>3698</v>
      </c>
      <c r="G5038" t="s">
        <v>3697</v>
      </c>
      <c r="H5038" t="s">
        <v>3401</v>
      </c>
      <c r="I5038">
        <v>5102</v>
      </c>
      <c r="J5038" s="3">
        <v>37</v>
      </c>
      <c r="K5038" s="3">
        <v>16.72</v>
      </c>
      <c r="L5038">
        <v>54.81</v>
      </c>
    </row>
    <row r="5039" spans="1:12">
      <c r="A5039" s="1">
        <v>46043</v>
      </c>
      <c r="B5039" t="s">
        <v>7140</v>
      </c>
      <c r="C5039">
        <v>12</v>
      </c>
      <c r="D5039" t="str">
        <f>VLOOKUP(Tabela26[[#This Row],[EMP]],[1]LOJA!$A:$B,2,0)</f>
        <v>SOFNORTE</v>
      </c>
      <c r="E5039">
        <v>60</v>
      </c>
      <c r="F5039" t="s">
        <v>3403</v>
      </c>
      <c r="G5039" t="s">
        <v>3402</v>
      </c>
      <c r="H5039" t="s">
        <v>3401</v>
      </c>
      <c r="I5039">
        <v>5102</v>
      </c>
      <c r="J5039" s="3">
        <v>36</v>
      </c>
      <c r="K5039" s="3">
        <v>18.28</v>
      </c>
      <c r="L5039">
        <v>49.22</v>
      </c>
    </row>
    <row r="5040" spans="1:12">
      <c r="A5040" s="1">
        <v>46043</v>
      </c>
      <c r="B5040" t="s">
        <v>7139</v>
      </c>
      <c r="C5040">
        <v>12</v>
      </c>
      <c r="D5040" t="str">
        <f>VLOOKUP(Tabela26[[#This Row],[EMP]],[1]LOJA!$A:$B,2,0)</f>
        <v>SOFNORTE</v>
      </c>
      <c r="E5040">
        <v>60</v>
      </c>
      <c r="F5040" t="s">
        <v>7138</v>
      </c>
      <c r="G5040" t="s">
        <v>3402</v>
      </c>
      <c r="H5040" t="s">
        <v>3401</v>
      </c>
      <c r="I5040">
        <v>5405</v>
      </c>
      <c r="J5040" s="3">
        <v>38</v>
      </c>
      <c r="K5040" s="3">
        <v>16.93</v>
      </c>
      <c r="L5040">
        <v>55.45</v>
      </c>
    </row>
    <row r="5041" spans="1:12">
      <c r="A5041" s="1">
        <v>46043</v>
      </c>
      <c r="B5041" t="s">
        <v>7137</v>
      </c>
      <c r="C5041">
        <v>12</v>
      </c>
      <c r="D5041" t="str">
        <f>VLOOKUP(Tabela26[[#This Row],[EMP]],[1]LOJA!$A:$B,2,0)</f>
        <v>SOFNORTE</v>
      </c>
      <c r="E5041">
        <v>239</v>
      </c>
      <c r="F5041" t="s">
        <v>3715</v>
      </c>
      <c r="G5041" t="s">
        <v>3714</v>
      </c>
      <c r="H5041" t="s">
        <v>3401</v>
      </c>
      <c r="I5041">
        <v>5102</v>
      </c>
      <c r="J5041" s="3">
        <v>59</v>
      </c>
      <c r="K5041" s="3">
        <v>30.8</v>
      </c>
      <c r="L5041">
        <v>47.8</v>
      </c>
    </row>
    <row r="5042" spans="1:12">
      <c r="A5042" s="1">
        <v>46043</v>
      </c>
      <c r="B5042" t="s">
        <v>7136</v>
      </c>
      <c r="C5042">
        <v>12</v>
      </c>
      <c r="D5042" t="str">
        <f>VLOOKUP(Tabela26[[#This Row],[EMP]],[1]LOJA!$A:$B,2,0)</f>
        <v>SOFNORTE</v>
      </c>
      <c r="E5042">
        <v>60</v>
      </c>
      <c r="F5042" t="s">
        <v>3726</v>
      </c>
      <c r="G5042" t="s">
        <v>3725</v>
      </c>
      <c r="H5042" t="s">
        <v>3408</v>
      </c>
      <c r="I5042">
        <v>5102</v>
      </c>
      <c r="J5042" s="3">
        <v>260</v>
      </c>
      <c r="K5042" s="3">
        <v>128.41999999999999</v>
      </c>
      <c r="L5042">
        <v>50.61</v>
      </c>
    </row>
    <row r="5043" spans="1:12">
      <c r="A5043" s="1">
        <v>46043</v>
      </c>
      <c r="B5043" t="s">
        <v>7135</v>
      </c>
      <c r="C5043">
        <v>12</v>
      </c>
      <c r="D5043" t="str">
        <f>VLOOKUP(Tabela26[[#This Row],[EMP]],[1]LOJA!$A:$B,2,0)</f>
        <v>SOFNORTE</v>
      </c>
      <c r="E5043">
        <v>60</v>
      </c>
      <c r="F5043" t="s">
        <v>3709</v>
      </c>
      <c r="G5043" t="s">
        <v>3708</v>
      </c>
      <c r="H5043" t="s">
        <v>3401</v>
      </c>
      <c r="I5043">
        <v>5405</v>
      </c>
      <c r="J5043" s="3">
        <v>72</v>
      </c>
      <c r="K5043" s="3">
        <v>36.159999999999997</v>
      </c>
      <c r="L5043">
        <v>49.78</v>
      </c>
    </row>
    <row r="5044" spans="1:12">
      <c r="A5044" s="1">
        <v>46043</v>
      </c>
      <c r="B5044" t="s">
        <v>7134</v>
      </c>
      <c r="C5044">
        <v>12</v>
      </c>
      <c r="D5044" t="str">
        <f>VLOOKUP(Tabela26[[#This Row],[EMP]],[1]LOJA!$A:$B,2,0)</f>
        <v>SOFNORTE</v>
      </c>
      <c r="E5044">
        <v>60</v>
      </c>
      <c r="F5044" t="s">
        <v>3709</v>
      </c>
      <c r="G5044" t="s">
        <v>3708</v>
      </c>
      <c r="H5044" t="s">
        <v>3401</v>
      </c>
      <c r="I5044">
        <v>5405</v>
      </c>
      <c r="J5044" s="3">
        <v>565</v>
      </c>
      <c r="K5044" s="3">
        <v>349.85</v>
      </c>
      <c r="L5044">
        <v>38.08</v>
      </c>
    </row>
    <row r="5045" spans="1:12">
      <c r="A5045" s="1">
        <v>46043</v>
      </c>
      <c r="B5045" t="s">
        <v>7133</v>
      </c>
      <c r="C5045">
        <v>12</v>
      </c>
      <c r="D5045" t="str">
        <f>VLOOKUP(Tabela26[[#This Row],[EMP]],[1]LOJA!$A:$B,2,0)</f>
        <v>SOFNORTE</v>
      </c>
      <c r="E5045">
        <v>60</v>
      </c>
      <c r="F5045" t="s">
        <v>3687</v>
      </c>
      <c r="G5045" t="s">
        <v>3686</v>
      </c>
      <c r="H5045" t="s">
        <v>7018</v>
      </c>
      <c r="I5045">
        <v>5405</v>
      </c>
      <c r="J5045" s="3">
        <v>166</v>
      </c>
      <c r="K5045" s="3">
        <v>79.22</v>
      </c>
      <c r="L5045">
        <v>52.28</v>
      </c>
    </row>
    <row r="5046" spans="1:12">
      <c r="A5046" s="1">
        <v>46043</v>
      </c>
      <c r="B5046" t="s">
        <v>7132</v>
      </c>
      <c r="C5046">
        <v>12</v>
      </c>
      <c r="D5046" t="str">
        <f>VLOOKUP(Tabela26[[#This Row],[EMP]],[1]LOJA!$A:$B,2,0)</f>
        <v>SOFNORTE</v>
      </c>
      <c r="E5046">
        <v>60</v>
      </c>
      <c r="F5046" t="s">
        <v>3691</v>
      </c>
      <c r="G5046" t="s">
        <v>3690</v>
      </c>
      <c r="H5046" t="s">
        <v>7018</v>
      </c>
      <c r="I5046">
        <v>5102</v>
      </c>
      <c r="J5046" s="3">
        <v>13.5</v>
      </c>
      <c r="K5046" s="3">
        <v>5.79</v>
      </c>
      <c r="L5046">
        <v>57.11</v>
      </c>
    </row>
    <row r="5047" spans="1:12">
      <c r="A5047" s="1">
        <v>46043</v>
      </c>
      <c r="B5047" t="s">
        <v>7131</v>
      </c>
      <c r="C5047">
        <v>12</v>
      </c>
      <c r="D5047" t="str">
        <f>VLOOKUP(Tabela26[[#This Row],[EMP]],[1]LOJA!$A:$B,2,0)</f>
        <v>SOFNORTE</v>
      </c>
      <c r="E5047">
        <v>60</v>
      </c>
      <c r="F5047" t="s">
        <v>3691</v>
      </c>
      <c r="G5047" t="s">
        <v>3690</v>
      </c>
      <c r="H5047" t="s">
        <v>7018</v>
      </c>
      <c r="I5047">
        <v>5102</v>
      </c>
      <c r="J5047" s="3">
        <v>13</v>
      </c>
      <c r="K5047" s="3">
        <v>6.16</v>
      </c>
      <c r="L5047">
        <v>52.62</v>
      </c>
    </row>
    <row r="5048" spans="1:12">
      <c r="A5048" s="1">
        <v>46043</v>
      </c>
      <c r="B5048" t="s">
        <v>7130</v>
      </c>
      <c r="C5048">
        <v>12</v>
      </c>
      <c r="D5048" t="str">
        <f>VLOOKUP(Tabela26[[#This Row],[EMP]],[1]LOJA!$A:$B,2,0)</f>
        <v>SOFNORTE</v>
      </c>
      <c r="E5048">
        <v>60</v>
      </c>
      <c r="F5048" t="s">
        <v>3698</v>
      </c>
      <c r="G5048" t="s">
        <v>3697</v>
      </c>
      <c r="H5048" t="s">
        <v>3408</v>
      </c>
      <c r="I5048">
        <v>5102</v>
      </c>
      <c r="J5048" s="3">
        <v>15</v>
      </c>
      <c r="K5048" s="3">
        <v>8.66</v>
      </c>
      <c r="L5048">
        <v>42.27</v>
      </c>
    </row>
    <row r="5049" spans="1:12">
      <c r="A5049" s="1">
        <v>46043</v>
      </c>
      <c r="B5049" t="s">
        <v>7129</v>
      </c>
      <c r="C5049">
        <v>12</v>
      </c>
      <c r="D5049" t="str">
        <f>VLOOKUP(Tabela26[[#This Row],[EMP]],[1]LOJA!$A:$B,2,0)</f>
        <v>SOFNORTE</v>
      </c>
      <c r="E5049">
        <v>60</v>
      </c>
      <c r="F5049" t="s">
        <v>3737</v>
      </c>
      <c r="G5049" t="s">
        <v>3736</v>
      </c>
      <c r="H5049" t="s">
        <v>3520</v>
      </c>
      <c r="I5049">
        <v>5102</v>
      </c>
      <c r="J5049" s="3">
        <v>9.5</v>
      </c>
      <c r="K5049" s="3">
        <v>4.16</v>
      </c>
      <c r="L5049">
        <v>56.21</v>
      </c>
    </row>
    <row r="5050" spans="1:12">
      <c r="A5050" s="1">
        <v>46043</v>
      </c>
      <c r="B5050" t="s">
        <v>7128</v>
      </c>
      <c r="C5050">
        <v>12</v>
      </c>
      <c r="D5050" t="str">
        <f>VLOOKUP(Tabela26[[#This Row],[EMP]],[1]LOJA!$A:$B,2,0)</f>
        <v>SOFNORTE</v>
      </c>
      <c r="E5050">
        <v>60</v>
      </c>
      <c r="F5050" t="s">
        <v>3715</v>
      </c>
      <c r="G5050" t="s">
        <v>3714</v>
      </c>
      <c r="H5050" t="s">
        <v>3401</v>
      </c>
      <c r="I5050">
        <v>5102</v>
      </c>
      <c r="J5050" s="3">
        <v>19</v>
      </c>
      <c r="K5050" s="3">
        <v>8.32</v>
      </c>
      <c r="L5050">
        <v>56.21</v>
      </c>
    </row>
    <row r="5051" spans="1:12">
      <c r="A5051" s="1">
        <v>46043</v>
      </c>
      <c r="B5051" t="s">
        <v>7127</v>
      </c>
      <c r="C5051">
        <v>12</v>
      </c>
      <c r="D5051" t="str">
        <f>VLOOKUP(Tabela26[[#This Row],[EMP]],[1]LOJA!$A:$B,2,0)</f>
        <v>SOFNORTE</v>
      </c>
      <c r="E5051">
        <v>60</v>
      </c>
      <c r="F5051" t="s">
        <v>3709</v>
      </c>
      <c r="G5051" t="s">
        <v>3708</v>
      </c>
      <c r="H5051" t="s">
        <v>3401</v>
      </c>
      <c r="I5051">
        <v>5405</v>
      </c>
      <c r="J5051" s="3">
        <v>42</v>
      </c>
      <c r="K5051" s="3">
        <v>19.3</v>
      </c>
      <c r="L5051">
        <v>54.05</v>
      </c>
    </row>
    <row r="5052" spans="1:12">
      <c r="A5052" s="1">
        <v>46043</v>
      </c>
      <c r="B5052" t="s">
        <v>7126</v>
      </c>
      <c r="C5052">
        <v>12</v>
      </c>
      <c r="D5052" t="str">
        <f>VLOOKUP(Tabela26[[#This Row],[EMP]],[1]LOJA!$A:$B,2,0)</f>
        <v>SOFNORTE</v>
      </c>
      <c r="E5052">
        <v>60</v>
      </c>
      <c r="F5052" t="s">
        <v>3403</v>
      </c>
      <c r="G5052" t="s">
        <v>3402</v>
      </c>
      <c r="H5052" t="s">
        <v>3401</v>
      </c>
      <c r="I5052">
        <v>5102</v>
      </c>
      <c r="J5052" s="3">
        <v>3</v>
      </c>
      <c r="K5052" s="3">
        <v>1.35</v>
      </c>
      <c r="L5052">
        <v>55</v>
      </c>
    </row>
    <row r="5053" spans="1:12">
      <c r="A5053" s="1">
        <v>46043</v>
      </c>
      <c r="B5053" t="s">
        <v>7125</v>
      </c>
      <c r="C5053">
        <v>12</v>
      </c>
      <c r="D5053" t="str">
        <f>VLOOKUP(Tabela26[[#This Row],[EMP]],[1]LOJA!$A:$B,2,0)</f>
        <v>SOFNORTE</v>
      </c>
      <c r="E5053">
        <v>239</v>
      </c>
      <c r="F5053" t="s">
        <v>3709</v>
      </c>
      <c r="G5053" t="s">
        <v>3708</v>
      </c>
      <c r="H5053" t="s">
        <v>3401</v>
      </c>
      <c r="I5053">
        <v>5405</v>
      </c>
      <c r="J5053" s="3">
        <v>70</v>
      </c>
      <c r="K5053" s="3">
        <v>34.119999999999997</v>
      </c>
      <c r="L5053">
        <v>51.26</v>
      </c>
    </row>
    <row r="5054" spans="1:12">
      <c r="A5054" s="1">
        <v>46043</v>
      </c>
      <c r="B5054" t="s">
        <v>7124</v>
      </c>
      <c r="C5054">
        <v>12</v>
      </c>
      <c r="D5054" t="str">
        <f>VLOOKUP(Tabela26[[#This Row],[EMP]],[1]LOJA!$A:$B,2,0)</f>
        <v>SOFNORTE</v>
      </c>
      <c r="E5054">
        <v>239</v>
      </c>
      <c r="F5054" t="s">
        <v>3403</v>
      </c>
      <c r="G5054" t="s">
        <v>3402</v>
      </c>
      <c r="H5054" t="s">
        <v>3401</v>
      </c>
      <c r="I5054">
        <v>5102</v>
      </c>
      <c r="J5054" s="3">
        <v>23</v>
      </c>
      <c r="K5054" s="3">
        <v>10.36</v>
      </c>
      <c r="L5054">
        <v>54.96</v>
      </c>
    </row>
    <row r="5055" spans="1:12">
      <c r="A5055" s="1">
        <v>46043</v>
      </c>
      <c r="B5055" t="s">
        <v>7123</v>
      </c>
      <c r="C5055">
        <v>14</v>
      </c>
      <c r="D5055" t="str">
        <f>VLOOKUP(Tabela26[[#This Row],[EMP]],[1]LOJA!$A:$B,2,0)</f>
        <v>S IA</v>
      </c>
      <c r="E5055">
        <v>54</v>
      </c>
      <c r="F5055" t="s">
        <v>3403</v>
      </c>
      <c r="G5055" t="s">
        <v>3402</v>
      </c>
      <c r="H5055" t="s">
        <v>3401</v>
      </c>
      <c r="I5055">
        <v>5102</v>
      </c>
      <c r="J5055" s="3">
        <v>75.64</v>
      </c>
      <c r="K5055" s="3">
        <v>36.299999999999997</v>
      </c>
      <c r="L5055">
        <v>52.01</v>
      </c>
    </row>
    <row r="5056" spans="1:12">
      <c r="A5056" s="1">
        <v>46043</v>
      </c>
      <c r="B5056" t="s">
        <v>7122</v>
      </c>
      <c r="C5056">
        <v>14</v>
      </c>
      <c r="D5056" t="str">
        <f>VLOOKUP(Tabela26[[#This Row],[EMP]],[1]LOJA!$A:$B,2,0)</f>
        <v>S IA</v>
      </c>
      <c r="E5056">
        <v>54</v>
      </c>
      <c r="F5056" t="s">
        <v>4413</v>
      </c>
      <c r="G5056" t="s">
        <v>4412</v>
      </c>
      <c r="H5056" t="s">
        <v>3401</v>
      </c>
      <c r="I5056">
        <v>5405</v>
      </c>
      <c r="J5056" s="3">
        <v>710.99</v>
      </c>
      <c r="K5056" s="3">
        <v>402.03</v>
      </c>
      <c r="L5056">
        <v>43.45</v>
      </c>
    </row>
    <row r="5057" spans="1:12">
      <c r="A5057" s="1">
        <v>46043</v>
      </c>
      <c r="B5057" t="s">
        <v>7121</v>
      </c>
      <c r="C5057">
        <v>14</v>
      </c>
      <c r="D5057" t="str">
        <f>VLOOKUP(Tabela26[[#This Row],[EMP]],[1]LOJA!$A:$B,2,0)</f>
        <v>S IA</v>
      </c>
      <c r="E5057">
        <v>212</v>
      </c>
      <c r="F5057" t="s">
        <v>3403</v>
      </c>
      <c r="G5057" t="s">
        <v>3402</v>
      </c>
      <c r="H5057" t="s">
        <v>3401</v>
      </c>
      <c r="I5057">
        <v>5405</v>
      </c>
      <c r="J5057" s="3">
        <v>26.9</v>
      </c>
      <c r="K5057" s="3">
        <v>12.07</v>
      </c>
      <c r="L5057">
        <v>55.13</v>
      </c>
    </row>
    <row r="5058" spans="1:12">
      <c r="A5058" s="1">
        <v>46043</v>
      </c>
      <c r="B5058" t="s">
        <v>7120</v>
      </c>
      <c r="C5058">
        <v>14</v>
      </c>
      <c r="D5058" t="str">
        <f>VLOOKUP(Tabela26[[#This Row],[EMP]],[1]LOJA!$A:$B,2,0)</f>
        <v>S IA</v>
      </c>
      <c r="E5058">
        <v>212</v>
      </c>
      <c r="F5058" t="s">
        <v>3403</v>
      </c>
      <c r="G5058" t="s">
        <v>3402</v>
      </c>
      <c r="H5058" t="s">
        <v>3401</v>
      </c>
      <c r="I5058">
        <v>5102</v>
      </c>
      <c r="J5058" s="3">
        <v>34</v>
      </c>
      <c r="K5058" s="3">
        <v>14.32</v>
      </c>
      <c r="L5058">
        <v>57.88</v>
      </c>
    </row>
    <row r="5059" spans="1:12">
      <c r="A5059" s="1">
        <v>46043</v>
      </c>
      <c r="B5059" t="s">
        <v>7119</v>
      </c>
      <c r="C5059">
        <v>14</v>
      </c>
      <c r="D5059" t="str">
        <f>VLOOKUP(Tabela26[[#This Row],[EMP]],[1]LOJA!$A:$B,2,0)</f>
        <v>S IA</v>
      </c>
      <c r="E5059">
        <v>212</v>
      </c>
      <c r="F5059" t="s">
        <v>5251</v>
      </c>
      <c r="G5059" t="s">
        <v>5250</v>
      </c>
      <c r="H5059" t="s">
        <v>3401</v>
      </c>
      <c r="I5059">
        <v>5102</v>
      </c>
      <c r="J5059" s="3">
        <v>119.9</v>
      </c>
      <c r="K5059" s="3">
        <v>55.26</v>
      </c>
      <c r="L5059">
        <v>53.91</v>
      </c>
    </row>
    <row r="5060" spans="1:12">
      <c r="A5060" s="1">
        <v>46043</v>
      </c>
      <c r="B5060" t="s">
        <v>7118</v>
      </c>
      <c r="C5060">
        <v>14</v>
      </c>
      <c r="D5060" t="str">
        <f>VLOOKUP(Tabela26[[#This Row],[EMP]],[1]LOJA!$A:$B,2,0)</f>
        <v>S IA</v>
      </c>
      <c r="E5060">
        <v>212</v>
      </c>
      <c r="F5060" t="s">
        <v>5599</v>
      </c>
      <c r="G5060" t="s">
        <v>5598</v>
      </c>
      <c r="H5060" t="s">
        <v>3408</v>
      </c>
      <c r="I5060">
        <v>5405</v>
      </c>
      <c r="J5060" s="3">
        <v>272</v>
      </c>
      <c r="K5060" s="3">
        <v>141.37</v>
      </c>
      <c r="L5060">
        <v>48.03</v>
      </c>
    </row>
    <row r="5061" spans="1:12">
      <c r="A5061" s="1">
        <v>46043</v>
      </c>
      <c r="B5061" t="s">
        <v>7117</v>
      </c>
      <c r="C5061">
        <v>14</v>
      </c>
      <c r="D5061" t="str">
        <f>VLOOKUP(Tabela26[[#This Row],[EMP]],[1]LOJA!$A:$B,2,0)</f>
        <v>S IA</v>
      </c>
      <c r="E5061">
        <v>212</v>
      </c>
      <c r="F5061" t="s">
        <v>3403</v>
      </c>
      <c r="G5061" t="s">
        <v>3402</v>
      </c>
      <c r="H5061" t="s">
        <v>3401</v>
      </c>
      <c r="I5061">
        <v>5102</v>
      </c>
      <c r="J5061" s="3">
        <v>25</v>
      </c>
      <c r="K5061" s="3">
        <v>15.02</v>
      </c>
      <c r="L5061">
        <v>39.92</v>
      </c>
    </row>
    <row r="5062" spans="1:12">
      <c r="A5062" s="1">
        <v>46043</v>
      </c>
      <c r="B5062" t="s">
        <v>7116</v>
      </c>
      <c r="C5062">
        <v>14</v>
      </c>
      <c r="D5062" t="str">
        <f>VLOOKUP(Tabela26[[#This Row],[EMP]],[1]LOJA!$A:$B,2,0)</f>
        <v>S IA</v>
      </c>
      <c r="E5062">
        <v>54</v>
      </c>
      <c r="F5062" t="s">
        <v>7115</v>
      </c>
      <c r="G5062" t="s">
        <v>3402</v>
      </c>
      <c r="H5062" t="s">
        <v>3408</v>
      </c>
      <c r="I5062">
        <v>5405</v>
      </c>
      <c r="J5062" s="3">
        <v>410</v>
      </c>
      <c r="K5062" s="3">
        <v>196.39</v>
      </c>
      <c r="L5062">
        <v>52.1</v>
      </c>
    </row>
    <row r="5063" spans="1:12">
      <c r="A5063" s="1">
        <v>46043</v>
      </c>
      <c r="B5063" t="s">
        <v>7114</v>
      </c>
      <c r="C5063">
        <v>14</v>
      </c>
      <c r="D5063" t="str">
        <f>VLOOKUP(Tabela26[[#This Row],[EMP]],[1]LOJA!$A:$B,2,0)</f>
        <v>S IA</v>
      </c>
      <c r="E5063">
        <v>212</v>
      </c>
      <c r="F5063" t="s">
        <v>3403</v>
      </c>
      <c r="G5063" t="s">
        <v>3402</v>
      </c>
      <c r="H5063" t="s">
        <v>3401</v>
      </c>
      <c r="I5063">
        <v>5405</v>
      </c>
      <c r="J5063" s="3">
        <v>85</v>
      </c>
      <c r="K5063" s="3">
        <v>40.01</v>
      </c>
      <c r="L5063">
        <v>52.93</v>
      </c>
    </row>
    <row r="5064" spans="1:12">
      <c r="A5064" s="1">
        <v>46043</v>
      </c>
      <c r="B5064" t="s">
        <v>7113</v>
      </c>
      <c r="C5064">
        <v>14</v>
      </c>
      <c r="D5064" t="str">
        <f>VLOOKUP(Tabela26[[#This Row],[EMP]],[1]LOJA!$A:$B,2,0)</f>
        <v>S IA</v>
      </c>
      <c r="E5064">
        <v>54</v>
      </c>
      <c r="F5064" t="s">
        <v>6649</v>
      </c>
      <c r="G5064" t="s">
        <v>6648</v>
      </c>
      <c r="H5064" t="s">
        <v>3401</v>
      </c>
      <c r="I5064">
        <v>5405</v>
      </c>
      <c r="J5064" s="3">
        <v>75.5</v>
      </c>
      <c r="K5064" s="3">
        <v>30.3</v>
      </c>
      <c r="L5064">
        <v>59.87</v>
      </c>
    </row>
    <row r="5065" spans="1:12">
      <c r="A5065" s="1">
        <v>46043</v>
      </c>
      <c r="B5065" t="s">
        <v>7112</v>
      </c>
      <c r="C5065">
        <v>14</v>
      </c>
      <c r="D5065" t="str">
        <f>VLOOKUP(Tabela26[[#This Row],[EMP]],[1]LOJA!$A:$B,2,0)</f>
        <v>S IA</v>
      </c>
      <c r="E5065">
        <v>54</v>
      </c>
      <c r="F5065" t="s">
        <v>7111</v>
      </c>
      <c r="G5065" t="s">
        <v>3402</v>
      </c>
      <c r="H5065" t="s">
        <v>3408</v>
      </c>
      <c r="I5065">
        <v>5405</v>
      </c>
      <c r="J5065" s="3">
        <v>112</v>
      </c>
      <c r="K5065" s="3">
        <v>52.65</v>
      </c>
      <c r="L5065">
        <v>52.99</v>
      </c>
    </row>
    <row r="5066" spans="1:12">
      <c r="A5066" s="1">
        <v>46043</v>
      </c>
      <c r="B5066" t="s">
        <v>7110</v>
      </c>
      <c r="C5066">
        <v>14</v>
      </c>
      <c r="D5066" t="str">
        <f>VLOOKUP(Tabela26[[#This Row],[EMP]],[1]LOJA!$A:$B,2,0)</f>
        <v>S IA</v>
      </c>
      <c r="E5066">
        <v>212</v>
      </c>
      <c r="F5066" t="s">
        <v>5603</v>
      </c>
      <c r="G5066" t="s">
        <v>3402</v>
      </c>
      <c r="H5066" t="s">
        <v>3408</v>
      </c>
      <c r="I5066">
        <v>5405</v>
      </c>
      <c r="J5066" s="3">
        <v>311.44</v>
      </c>
      <c r="K5066" s="3">
        <v>165.54</v>
      </c>
      <c r="L5066">
        <v>46.85</v>
      </c>
    </row>
    <row r="5067" spans="1:12">
      <c r="A5067" s="1">
        <v>46043</v>
      </c>
      <c r="B5067" t="s">
        <v>7109</v>
      </c>
      <c r="C5067">
        <v>14</v>
      </c>
      <c r="D5067" t="str">
        <f>VLOOKUP(Tabela26[[#This Row],[EMP]],[1]LOJA!$A:$B,2,0)</f>
        <v>S IA</v>
      </c>
      <c r="E5067">
        <v>54</v>
      </c>
      <c r="F5067" t="s">
        <v>3472</v>
      </c>
      <c r="G5067" t="s">
        <v>3471</v>
      </c>
      <c r="H5067" t="s">
        <v>3401</v>
      </c>
      <c r="I5067">
        <v>5102</v>
      </c>
      <c r="J5067" s="3">
        <v>100</v>
      </c>
      <c r="K5067" s="3">
        <v>53.15</v>
      </c>
      <c r="L5067">
        <v>46.85</v>
      </c>
    </row>
    <row r="5068" spans="1:12">
      <c r="A5068" s="1">
        <v>46043</v>
      </c>
      <c r="B5068" t="s">
        <v>7108</v>
      </c>
      <c r="C5068">
        <v>14</v>
      </c>
      <c r="D5068" t="str">
        <f>VLOOKUP(Tabela26[[#This Row],[EMP]],[1]LOJA!$A:$B,2,0)</f>
        <v>S IA</v>
      </c>
      <c r="E5068">
        <v>212</v>
      </c>
      <c r="F5068" t="s">
        <v>4488</v>
      </c>
      <c r="G5068" t="s">
        <v>4487</v>
      </c>
      <c r="H5068" t="s">
        <v>3401</v>
      </c>
      <c r="I5068">
        <v>5102</v>
      </c>
      <c r="J5068" s="3">
        <v>20</v>
      </c>
      <c r="K5068" s="3">
        <v>10.36</v>
      </c>
      <c r="L5068">
        <v>48.2</v>
      </c>
    </row>
    <row r="5069" spans="1:12">
      <c r="A5069" s="1">
        <v>46043</v>
      </c>
      <c r="B5069" t="s">
        <v>7107</v>
      </c>
      <c r="C5069">
        <v>14</v>
      </c>
      <c r="D5069" t="str">
        <f>VLOOKUP(Tabela26[[#This Row],[EMP]],[1]LOJA!$A:$B,2,0)</f>
        <v>S IA</v>
      </c>
      <c r="E5069">
        <v>54</v>
      </c>
      <c r="F5069" t="s">
        <v>3403</v>
      </c>
      <c r="G5069" t="s">
        <v>3402</v>
      </c>
      <c r="H5069" t="s">
        <v>3401</v>
      </c>
      <c r="I5069">
        <v>5102</v>
      </c>
      <c r="J5069" s="3">
        <v>15.5</v>
      </c>
      <c r="K5069" s="3">
        <v>7.32</v>
      </c>
      <c r="L5069">
        <v>52.77</v>
      </c>
    </row>
    <row r="5070" spans="1:12">
      <c r="A5070" s="1">
        <v>46043</v>
      </c>
      <c r="B5070" t="s">
        <v>7106</v>
      </c>
      <c r="C5070">
        <v>14</v>
      </c>
      <c r="D5070" t="str">
        <f>VLOOKUP(Tabela26[[#This Row],[EMP]],[1]LOJA!$A:$B,2,0)</f>
        <v>S IA</v>
      </c>
      <c r="E5070">
        <v>212</v>
      </c>
      <c r="F5070" t="s">
        <v>7105</v>
      </c>
      <c r="G5070" t="s">
        <v>7104</v>
      </c>
      <c r="H5070" t="s">
        <v>3401</v>
      </c>
      <c r="I5070">
        <v>5405</v>
      </c>
      <c r="J5070" s="3">
        <v>100</v>
      </c>
      <c r="K5070" s="3">
        <v>49.97</v>
      </c>
      <c r="L5070">
        <v>50.03</v>
      </c>
    </row>
    <row r="5071" spans="1:12">
      <c r="A5071" s="1">
        <v>46043</v>
      </c>
      <c r="B5071" t="s">
        <v>7103</v>
      </c>
      <c r="C5071">
        <v>14</v>
      </c>
      <c r="D5071" t="str">
        <f>VLOOKUP(Tabela26[[#This Row],[EMP]],[1]LOJA!$A:$B,2,0)</f>
        <v>S IA</v>
      </c>
      <c r="E5071">
        <v>212</v>
      </c>
      <c r="F5071" t="s">
        <v>3478</v>
      </c>
      <c r="G5071" t="s">
        <v>3477</v>
      </c>
      <c r="H5071" t="s">
        <v>3401</v>
      </c>
      <c r="I5071">
        <v>5102</v>
      </c>
      <c r="J5071" s="3">
        <v>20</v>
      </c>
      <c r="K5071" s="3">
        <v>11.2</v>
      </c>
      <c r="L5071">
        <v>44</v>
      </c>
    </row>
    <row r="5072" spans="1:12">
      <c r="A5072" s="1">
        <v>46043</v>
      </c>
      <c r="B5072" t="s">
        <v>7102</v>
      </c>
      <c r="C5072">
        <v>14</v>
      </c>
      <c r="D5072" t="str">
        <f>VLOOKUP(Tabela26[[#This Row],[EMP]],[1]LOJA!$A:$B,2,0)</f>
        <v>S IA</v>
      </c>
      <c r="E5072">
        <v>212</v>
      </c>
      <c r="F5072" t="s">
        <v>3403</v>
      </c>
      <c r="G5072" t="s">
        <v>3402</v>
      </c>
      <c r="H5072" t="s">
        <v>3401</v>
      </c>
      <c r="I5072">
        <v>5102</v>
      </c>
      <c r="J5072" s="3">
        <v>64</v>
      </c>
      <c r="K5072" s="3">
        <v>30.9</v>
      </c>
      <c r="L5072">
        <v>51.72</v>
      </c>
    </row>
    <row r="5073" spans="1:12">
      <c r="A5073" s="1">
        <v>46043</v>
      </c>
      <c r="B5073" t="s">
        <v>7101</v>
      </c>
      <c r="C5073">
        <v>14</v>
      </c>
      <c r="D5073" t="str">
        <f>VLOOKUP(Tabela26[[#This Row],[EMP]],[1]LOJA!$A:$B,2,0)</f>
        <v>S IA</v>
      </c>
      <c r="E5073">
        <v>212</v>
      </c>
      <c r="F5073" t="s">
        <v>3403</v>
      </c>
      <c r="G5073" t="s">
        <v>3402</v>
      </c>
      <c r="H5073" t="s">
        <v>3401</v>
      </c>
      <c r="I5073">
        <v>5405</v>
      </c>
      <c r="J5073" s="3">
        <v>43</v>
      </c>
      <c r="K5073" s="3">
        <v>17.97</v>
      </c>
      <c r="L5073">
        <v>58.21</v>
      </c>
    </row>
    <row r="5074" spans="1:12">
      <c r="A5074" s="1">
        <v>46043</v>
      </c>
      <c r="B5074" t="s">
        <v>7100</v>
      </c>
      <c r="C5074">
        <v>14</v>
      </c>
      <c r="D5074" t="str">
        <f>VLOOKUP(Tabela26[[#This Row],[EMP]],[1]LOJA!$A:$B,2,0)</f>
        <v>S IA</v>
      </c>
      <c r="E5074">
        <v>212</v>
      </c>
      <c r="F5074" t="s">
        <v>5603</v>
      </c>
      <c r="G5074" t="s">
        <v>3402</v>
      </c>
      <c r="H5074" t="s">
        <v>3408</v>
      </c>
      <c r="I5074">
        <v>5405</v>
      </c>
      <c r="J5074" s="3">
        <v>170</v>
      </c>
      <c r="K5074" s="3">
        <v>92.48</v>
      </c>
      <c r="L5074">
        <v>45.6</v>
      </c>
    </row>
    <row r="5075" spans="1:12">
      <c r="A5075" s="1">
        <v>46043</v>
      </c>
      <c r="B5075" t="s">
        <v>7099</v>
      </c>
      <c r="C5075">
        <v>14</v>
      </c>
      <c r="D5075" t="str">
        <f>VLOOKUP(Tabela26[[#This Row],[EMP]],[1]LOJA!$A:$B,2,0)</f>
        <v>S IA</v>
      </c>
      <c r="E5075">
        <v>212</v>
      </c>
      <c r="F5075" t="s">
        <v>3403</v>
      </c>
      <c r="G5075" t="s">
        <v>3402</v>
      </c>
      <c r="H5075" t="s">
        <v>3401</v>
      </c>
      <c r="I5075">
        <v>5102</v>
      </c>
      <c r="J5075" s="3">
        <v>16</v>
      </c>
      <c r="K5075" s="3">
        <v>8.77</v>
      </c>
      <c r="L5075">
        <v>45.19</v>
      </c>
    </row>
    <row r="5076" spans="1:12">
      <c r="A5076" s="1">
        <v>46043</v>
      </c>
      <c r="B5076" t="s">
        <v>7098</v>
      </c>
      <c r="C5076">
        <v>14</v>
      </c>
      <c r="D5076" t="str">
        <f>VLOOKUP(Tabela26[[#This Row],[EMP]],[1]LOJA!$A:$B,2,0)</f>
        <v>S IA</v>
      </c>
      <c r="E5076">
        <v>212</v>
      </c>
      <c r="F5076" t="s">
        <v>3478</v>
      </c>
      <c r="G5076" t="s">
        <v>3477</v>
      </c>
      <c r="H5076" t="s">
        <v>3408</v>
      </c>
      <c r="I5076">
        <v>5102</v>
      </c>
      <c r="J5076" s="3">
        <v>91</v>
      </c>
      <c r="K5076" s="3">
        <v>46.31</v>
      </c>
      <c r="L5076">
        <v>49.11</v>
      </c>
    </row>
    <row r="5077" spans="1:12">
      <c r="A5077" s="1">
        <v>46043</v>
      </c>
      <c r="B5077" t="s">
        <v>7097</v>
      </c>
      <c r="C5077">
        <v>14</v>
      </c>
      <c r="D5077" t="str">
        <f>VLOOKUP(Tabela26[[#This Row],[EMP]],[1]LOJA!$A:$B,2,0)</f>
        <v>S IA</v>
      </c>
      <c r="E5077">
        <v>54</v>
      </c>
      <c r="F5077" t="s">
        <v>3403</v>
      </c>
      <c r="G5077" t="s">
        <v>3402</v>
      </c>
      <c r="H5077" t="s">
        <v>3401</v>
      </c>
      <c r="I5077">
        <v>5102</v>
      </c>
      <c r="J5077" s="3">
        <v>118.61</v>
      </c>
      <c r="K5077" s="3">
        <v>69.36</v>
      </c>
      <c r="L5077">
        <v>41.52</v>
      </c>
    </row>
    <row r="5078" spans="1:12">
      <c r="A5078" s="1">
        <v>46043</v>
      </c>
      <c r="B5078" t="s">
        <v>7096</v>
      </c>
      <c r="C5078">
        <v>14</v>
      </c>
      <c r="D5078" t="str">
        <f>VLOOKUP(Tabela26[[#This Row],[EMP]],[1]LOJA!$A:$B,2,0)</f>
        <v>S IA</v>
      </c>
      <c r="E5078">
        <v>54</v>
      </c>
      <c r="F5078" t="s">
        <v>7095</v>
      </c>
      <c r="G5078" t="s">
        <v>3402</v>
      </c>
      <c r="H5078" t="s">
        <v>3401</v>
      </c>
      <c r="I5078">
        <v>5405</v>
      </c>
      <c r="J5078" s="3">
        <v>33</v>
      </c>
      <c r="K5078" s="3">
        <v>10.02</v>
      </c>
      <c r="L5078">
        <v>69.64</v>
      </c>
    </row>
    <row r="5079" spans="1:12">
      <c r="A5079" s="1">
        <v>46043</v>
      </c>
      <c r="B5079" t="s">
        <v>7094</v>
      </c>
      <c r="C5079">
        <v>14</v>
      </c>
      <c r="D5079" t="str">
        <f>VLOOKUP(Tabela26[[#This Row],[EMP]],[1]LOJA!$A:$B,2,0)</f>
        <v>S IA</v>
      </c>
      <c r="E5079">
        <v>212</v>
      </c>
      <c r="F5079" t="s">
        <v>3403</v>
      </c>
      <c r="G5079" t="s">
        <v>3402</v>
      </c>
      <c r="H5079" t="s">
        <v>3401</v>
      </c>
      <c r="I5079">
        <v>5102</v>
      </c>
      <c r="J5079" s="3">
        <v>98</v>
      </c>
      <c r="K5079" s="3">
        <v>48.85</v>
      </c>
      <c r="L5079">
        <v>50.15</v>
      </c>
    </row>
    <row r="5080" spans="1:12">
      <c r="A5080" s="1">
        <v>46043</v>
      </c>
      <c r="B5080" t="s">
        <v>7093</v>
      </c>
      <c r="C5080">
        <v>14</v>
      </c>
      <c r="D5080" t="str">
        <f>VLOOKUP(Tabela26[[#This Row],[EMP]],[1]LOJA!$A:$B,2,0)</f>
        <v>S IA</v>
      </c>
      <c r="E5080">
        <v>54</v>
      </c>
      <c r="F5080" t="s">
        <v>3403</v>
      </c>
      <c r="G5080" t="s">
        <v>3402</v>
      </c>
      <c r="H5080" t="s">
        <v>3401</v>
      </c>
      <c r="I5080">
        <v>5102</v>
      </c>
      <c r="J5080" s="3">
        <v>6</v>
      </c>
      <c r="K5080" s="3">
        <v>2.2000000000000002</v>
      </c>
      <c r="L5080">
        <v>63.33</v>
      </c>
    </row>
    <row r="5081" spans="1:12">
      <c r="A5081" s="1">
        <v>46043</v>
      </c>
      <c r="B5081" t="s">
        <v>7092</v>
      </c>
      <c r="C5081">
        <v>14</v>
      </c>
      <c r="D5081" t="str">
        <f>VLOOKUP(Tabela26[[#This Row],[EMP]],[1]LOJA!$A:$B,2,0)</f>
        <v>S IA</v>
      </c>
      <c r="E5081">
        <v>54</v>
      </c>
      <c r="F5081" t="s">
        <v>3403</v>
      </c>
      <c r="G5081" t="s">
        <v>3402</v>
      </c>
      <c r="H5081" t="s">
        <v>3401</v>
      </c>
      <c r="I5081">
        <v>5102</v>
      </c>
      <c r="J5081" s="3">
        <v>80</v>
      </c>
      <c r="K5081" s="3">
        <v>50.2</v>
      </c>
      <c r="L5081">
        <v>37.25</v>
      </c>
    </row>
    <row r="5082" spans="1:12">
      <c r="A5082" s="1">
        <v>46043</v>
      </c>
      <c r="B5082" t="s">
        <v>7091</v>
      </c>
      <c r="C5082">
        <v>14</v>
      </c>
      <c r="D5082" t="str">
        <f>VLOOKUP(Tabela26[[#This Row],[EMP]],[1]LOJA!$A:$B,2,0)</f>
        <v>S IA</v>
      </c>
      <c r="E5082">
        <v>54</v>
      </c>
      <c r="F5082" t="s">
        <v>3403</v>
      </c>
      <c r="G5082" t="s">
        <v>3402</v>
      </c>
      <c r="H5082" t="s">
        <v>3401</v>
      </c>
      <c r="I5082">
        <v>5102</v>
      </c>
      <c r="J5082" s="3">
        <v>41.37</v>
      </c>
      <c r="K5082" s="3">
        <v>22.66</v>
      </c>
      <c r="L5082">
        <v>45.23</v>
      </c>
    </row>
    <row r="5083" spans="1:12">
      <c r="A5083" s="1">
        <v>46043</v>
      </c>
      <c r="B5083" t="s">
        <v>7090</v>
      </c>
      <c r="C5083">
        <v>14</v>
      </c>
      <c r="D5083" t="str">
        <f>VLOOKUP(Tabela26[[#This Row],[EMP]],[1]LOJA!$A:$B,2,0)</f>
        <v>S IA</v>
      </c>
      <c r="E5083">
        <v>212</v>
      </c>
      <c r="F5083" t="s">
        <v>6372</v>
      </c>
      <c r="G5083" t="s">
        <v>6371</v>
      </c>
      <c r="H5083" t="s">
        <v>3401</v>
      </c>
      <c r="I5083">
        <v>5405</v>
      </c>
      <c r="J5083" s="3">
        <v>120</v>
      </c>
      <c r="K5083" s="3">
        <v>61.35</v>
      </c>
      <c r="L5083">
        <v>48.88</v>
      </c>
    </row>
    <row r="5084" spans="1:12">
      <c r="A5084" s="1">
        <v>46043</v>
      </c>
      <c r="B5084" t="s">
        <v>7089</v>
      </c>
      <c r="C5084">
        <v>14</v>
      </c>
      <c r="D5084" t="str">
        <f>VLOOKUP(Tabela26[[#This Row],[EMP]],[1]LOJA!$A:$B,2,0)</f>
        <v>S IA</v>
      </c>
      <c r="E5084">
        <v>212</v>
      </c>
      <c r="F5084" t="s">
        <v>3403</v>
      </c>
      <c r="G5084" t="s">
        <v>3402</v>
      </c>
      <c r="H5084" t="s">
        <v>3401</v>
      </c>
      <c r="I5084">
        <v>5405</v>
      </c>
      <c r="J5084" s="3">
        <v>85</v>
      </c>
      <c r="K5084" s="3">
        <v>37.32</v>
      </c>
      <c r="L5084">
        <v>56.09</v>
      </c>
    </row>
    <row r="5085" spans="1:12">
      <c r="A5085" s="1">
        <v>46043</v>
      </c>
      <c r="B5085" t="s">
        <v>7088</v>
      </c>
      <c r="C5085">
        <v>14</v>
      </c>
      <c r="D5085" t="str">
        <f>VLOOKUP(Tabela26[[#This Row],[EMP]],[1]LOJA!$A:$B,2,0)</f>
        <v>S IA</v>
      </c>
      <c r="E5085">
        <v>54</v>
      </c>
      <c r="F5085" t="s">
        <v>3769</v>
      </c>
      <c r="G5085" t="s">
        <v>3768</v>
      </c>
      <c r="H5085" t="s">
        <v>3401</v>
      </c>
      <c r="I5085">
        <v>5102</v>
      </c>
      <c r="J5085" s="3">
        <v>97.82</v>
      </c>
      <c r="K5085" s="3">
        <v>47.85</v>
      </c>
      <c r="L5085">
        <v>51.08</v>
      </c>
    </row>
    <row r="5086" spans="1:12">
      <c r="A5086" s="1">
        <v>46043</v>
      </c>
      <c r="B5086" t="s">
        <v>7087</v>
      </c>
      <c r="C5086">
        <v>14</v>
      </c>
      <c r="D5086" t="str">
        <f>VLOOKUP(Tabela26[[#This Row],[EMP]],[1]LOJA!$A:$B,2,0)</f>
        <v>S IA</v>
      </c>
      <c r="E5086">
        <v>212</v>
      </c>
      <c r="F5086" t="s">
        <v>3403</v>
      </c>
      <c r="G5086" t="s">
        <v>3402</v>
      </c>
      <c r="H5086" t="s">
        <v>3401</v>
      </c>
      <c r="I5086">
        <v>5102</v>
      </c>
      <c r="J5086" s="3">
        <v>38</v>
      </c>
      <c r="K5086" s="3">
        <v>21.78</v>
      </c>
      <c r="L5086">
        <v>42.68</v>
      </c>
    </row>
    <row r="5087" spans="1:12">
      <c r="A5087" s="1">
        <v>46043</v>
      </c>
      <c r="B5087" t="s">
        <v>7086</v>
      </c>
      <c r="C5087">
        <v>14</v>
      </c>
      <c r="D5087" t="str">
        <f>VLOOKUP(Tabela26[[#This Row],[EMP]],[1]LOJA!$A:$B,2,0)</f>
        <v>S IA</v>
      </c>
      <c r="E5087">
        <v>54</v>
      </c>
      <c r="F5087" t="s">
        <v>7085</v>
      </c>
      <c r="G5087" t="s">
        <v>3402</v>
      </c>
      <c r="H5087" t="s">
        <v>3401</v>
      </c>
      <c r="I5087">
        <v>5405</v>
      </c>
      <c r="J5087" s="3">
        <v>58</v>
      </c>
      <c r="K5087" s="3">
        <v>30.26</v>
      </c>
      <c r="L5087">
        <v>47.83</v>
      </c>
    </row>
    <row r="5088" spans="1:12">
      <c r="A5088" s="1">
        <v>46043</v>
      </c>
      <c r="B5088" t="s">
        <v>7084</v>
      </c>
      <c r="C5088">
        <v>14</v>
      </c>
      <c r="D5088" t="str">
        <f>VLOOKUP(Tabela26[[#This Row],[EMP]],[1]LOJA!$A:$B,2,0)</f>
        <v>S IA</v>
      </c>
      <c r="E5088">
        <v>212</v>
      </c>
      <c r="F5088" t="s">
        <v>3403</v>
      </c>
      <c r="G5088" t="s">
        <v>3402</v>
      </c>
      <c r="H5088" t="s">
        <v>3401</v>
      </c>
      <c r="I5088">
        <v>5102</v>
      </c>
      <c r="J5088" s="3">
        <v>6</v>
      </c>
      <c r="K5088" s="3">
        <v>3.08</v>
      </c>
      <c r="L5088">
        <v>48.67</v>
      </c>
    </row>
    <row r="5089" spans="1:12">
      <c r="A5089" s="1">
        <v>46043</v>
      </c>
      <c r="B5089" t="s">
        <v>7083</v>
      </c>
      <c r="C5089">
        <v>4</v>
      </c>
      <c r="D5089" t="str">
        <f>VLOOKUP(Tabela26[[#This Row],[EMP]],[1]LOJA!$A:$B,2,0)</f>
        <v>ADE</v>
      </c>
      <c r="E5089">
        <v>109</v>
      </c>
      <c r="F5089" t="s">
        <v>3664</v>
      </c>
      <c r="G5089" t="s">
        <v>3663</v>
      </c>
      <c r="H5089" t="s">
        <v>3430</v>
      </c>
      <c r="I5089">
        <v>5405</v>
      </c>
      <c r="J5089" s="3">
        <v>65</v>
      </c>
      <c r="K5089" s="3">
        <v>30.66</v>
      </c>
      <c r="L5089">
        <v>52.83</v>
      </c>
    </row>
    <row r="5090" spans="1:12">
      <c r="A5090" s="1">
        <v>46043</v>
      </c>
      <c r="B5090" t="s">
        <v>7082</v>
      </c>
      <c r="C5090">
        <v>4</v>
      </c>
      <c r="D5090" t="str">
        <f>VLOOKUP(Tabela26[[#This Row],[EMP]],[1]LOJA!$A:$B,2,0)</f>
        <v>ADE</v>
      </c>
      <c r="E5090">
        <v>132</v>
      </c>
      <c r="F5090" t="s">
        <v>3664</v>
      </c>
      <c r="G5090" t="s">
        <v>3663</v>
      </c>
      <c r="H5090" t="s">
        <v>3430</v>
      </c>
      <c r="I5090">
        <v>5405</v>
      </c>
      <c r="J5090" s="3">
        <v>212.84</v>
      </c>
      <c r="K5090" s="3">
        <v>102.72</v>
      </c>
      <c r="L5090">
        <v>51.74</v>
      </c>
    </row>
    <row r="5091" spans="1:12">
      <c r="A5091" s="1">
        <v>46043</v>
      </c>
      <c r="B5091" t="s">
        <v>7081</v>
      </c>
      <c r="C5091">
        <v>4</v>
      </c>
      <c r="D5091" t="str">
        <f>VLOOKUP(Tabela26[[#This Row],[EMP]],[1]LOJA!$A:$B,2,0)</f>
        <v>ADE</v>
      </c>
      <c r="E5091">
        <v>132</v>
      </c>
      <c r="F5091" t="s">
        <v>3664</v>
      </c>
      <c r="G5091" t="s">
        <v>3663</v>
      </c>
      <c r="H5091" t="s">
        <v>3430</v>
      </c>
      <c r="I5091">
        <v>5405</v>
      </c>
      <c r="J5091" s="3">
        <v>588.6</v>
      </c>
      <c r="K5091" s="3">
        <v>290.08</v>
      </c>
      <c r="L5091">
        <v>50.72</v>
      </c>
    </row>
    <row r="5092" spans="1:12">
      <c r="A5092" s="1">
        <v>46043</v>
      </c>
      <c r="B5092" t="s">
        <v>7080</v>
      </c>
      <c r="C5092">
        <v>4</v>
      </c>
      <c r="D5092" t="str">
        <f>VLOOKUP(Tabela26[[#This Row],[EMP]],[1]LOJA!$A:$B,2,0)</f>
        <v>ADE</v>
      </c>
      <c r="E5092">
        <v>132</v>
      </c>
      <c r="F5092" t="s">
        <v>3667</v>
      </c>
      <c r="G5092" t="s">
        <v>3666</v>
      </c>
      <c r="H5092" t="s">
        <v>3401</v>
      </c>
      <c r="I5092">
        <v>1411</v>
      </c>
      <c r="J5092" s="3">
        <v>-96.3</v>
      </c>
      <c r="K5092" s="3">
        <v>-47.16</v>
      </c>
      <c r="L5092">
        <v>51.03</v>
      </c>
    </row>
    <row r="5093" spans="1:12">
      <c r="A5093" s="1">
        <v>46043</v>
      </c>
      <c r="B5093" t="s">
        <v>7079</v>
      </c>
      <c r="C5093">
        <v>4</v>
      </c>
      <c r="D5093" t="str">
        <f>VLOOKUP(Tabela26[[#This Row],[EMP]],[1]LOJA!$A:$B,2,0)</f>
        <v>ADE</v>
      </c>
      <c r="E5093">
        <v>132</v>
      </c>
      <c r="F5093" t="s">
        <v>3667</v>
      </c>
      <c r="G5093" t="s">
        <v>3666</v>
      </c>
      <c r="H5093" t="s">
        <v>3430</v>
      </c>
      <c r="I5093">
        <v>5405</v>
      </c>
      <c r="J5093" s="3">
        <v>171.04</v>
      </c>
      <c r="K5093" s="3">
        <v>83.99</v>
      </c>
      <c r="L5093">
        <v>50.89</v>
      </c>
    </row>
    <row r="5094" spans="1:12">
      <c r="A5094" s="1">
        <v>46043</v>
      </c>
      <c r="B5094" t="s">
        <v>7078</v>
      </c>
      <c r="C5094">
        <v>4</v>
      </c>
      <c r="D5094" t="str">
        <f>VLOOKUP(Tabela26[[#This Row],[EMP]],[1]LOJA!$A:$B,2,0)</f>
        <v>ADE</v>
      </c>
      <c r="E5094">
        <v>132</v>
      </c>
      <c r="F5094" t="s">
        <v>3677</v>
      </c>
      <c r="G5094" t="s">
        <v>3676</v>
      </c>
      <c r="H5094" t="s">
        <v>3679</v>
      </c>
      <c r="I5094">
        <v>5405</v>
      </c>
      <c r="J5094" s="3">
        <v>1046.7</v>
      </c>
      <c r="K5094" s="3">
        <v>422.25</v>
      </c>
      <c r="L5094">
        <v>59.66</v>
      </c>
    </row>
    <row r="5095" spans="1:12">
      <c r="A5095" s="1">
        <v>46043</v>
      </c>
      <c r="B5095" t="s">
        <v>7077</v>
      </c>
      <c r="C5095">
        <v>4</v>
      </c>
      <c r="D5095" t="str">
        <f>VLOOKUP(Tabela26[[#This Row],[EMP]],[1]LOJA!$A:$B,2,0)</f>
        <v>ADE</v>
      </c>
      <c r="E5095">
        <v>132</v>
      </c>
      <c r="F5095" t="s">
        <v>3677</v>
      </c>
      <c r="G5095" t="s">
        <v>3676</v>
      </c>
      <c r="H5095" t="s">
        <v>4249</v>
      </c>
      <c r="I5095">
        <v>5102</v>
      </c>
      <c r="J5095" s="3">
        <v>343.5</v>
      </c>
      <c r="K5095" s="3">
        <v>206.68</v>
      </c>
      <c r="L5095">
        <v>39.83</v>
      </c>
    </row>
    <row r="5096" spans="1:12">
      <c r="A5096" s="1">
        <v>46043</v>
      </c>
      <c r="B5096" t="s">
        <v>7076</v>
      </c>
      <c r="C5096">
        <v>4</v>
      </c>
      <c r="D5096" t="str">
        <f>VLOOKUP(Tabela26[[#This Row],[EMP]],[1]LOJA!$A:$B,2,0)</f>
        <v>ADE</v>
      </c>
      <c r="E5096">
        <v>132</v>
      </c>
      <c r="F5096" t="s">
        <v>3843</v>
      </c>
      <c r="G5096" t="s">
        <v>3842</v>
      </c>
      <c r="H5096" t="s">
        <v>3401</v>
      </c>
      <c r="I5096">
        <v>5405</v>
      </c>
      <c r="J5096" s="3">
        <v>88</v>
      </c>
      <c r="K5096" s="3">
        <v>44.22</v>
      </c>
      <c r="L5096">
        <v>49.75</v>
      </c>
    </row>
    <row r="5097" spans="1:12">
      <c r="A5097" s="1">
        <v>46043</v>
      </c>
      <c r="B5097" t="s">
        <v>7075</v>
      </c>
      <c r="C5097">
        <v>4</v>
      </c>
      <c r="D5097" t="str">
        <f>VLOOKUP(Tabela26[[#This Row],[EMP]],[1]LOJA!$A:$B,2,0)</f>
        <v>ADE</v>
      </c>
      <c r="E5097">
        <v>132</v>
      </c>
      <c r="F5097" t="s">
        <v>5027</v>
      </c>
      <c r="G5097" t="s">
        <v>5026</v>
      </c>
      <c r="H5097" t="s">
        <v>3430</v>
      </c>
      <c r="I5097">
        <v>5405</v>
      </c>
      <c r="J5097" s="3">
        <v>379.84</v>
      </c>
      <c r="K5097" s="3">
        <v>188.49</v>
      </c>
      <c r="L5097">
        <v>50.38</v>
      </c>
    </row>
    <row r="5098" spans="1:12">
      <c r="A5098" s="1">
        <v>46043</v>
      </c>
      <c r="B5098" t="s">
        <v>7074</v>
      </c>
      <c r="C5098">
        <v>4</v>
      </c>
      <c r="D5098" t="str">
        <f>VLOOKUP(Tabela26[[#This Row],[EMP]],[1]LOJA!$A:$B,2,0)</f>
        <v>ADE</v>
      </c>
      <c r="E5098">
        <v>132</v>
      </c>
      <c r="F5098" t="s">
        <v>3660</v>
      </c>
      <c r="G5098" t="s">
        <v>3659</v>
      </c>
      <c r="H5098" t="s">
        <v>3430</v>
      </c>
      <c r="I5098">
        <v>5102</v>
      </c>
      <c r="J5098" s="3">
        <v>144</v>
      </c>
      <c r="K5098" s="3">
        <v>104.96</v>
      </c>
      <c r="L5098">
        <v>27.11</v>
      </c>
    </row>
    <row r="5099" spans="1:12">
      <c r="A5099" s="1">
        <v>46043</v>
      </c>
      <c r="B5099" t="s">
        <v>7073</v>
      </c>
      <c r="C5099">
        <v>13</v>
      </c>
      <c r="D5099" t="str">
        <f>VLOOKUP(Tabela26[[#This Row],[EMP]],[1]LOJA!$A:$B,2,0)</f>
        <v>CEILÂNDIA</v>
      </c>
      <c r="E5099">
        <v>86</v>
      </c>
      <c r="F5099" t="s">
        <v>7072</v>
      </c>
      <c r="G5099" t="s">
        <v>7071</v>
      </c>
      <c r="H5099" t="s">
        <v>3401</v>
      </c>
      <c r="I5099">
        <v>5405</v>
      </c>
      <c r="J5099" s="3">
        <v>200</v>
      </c>
      <c r="K5099" s="3">
        <v>123.12</v>
      </c>
      <c r="L5099">
        <v>38.44</v>
      </c>
    </row>
    <row r="5100" spans="1:12">
      <c r="A5100" s="1">
        <v>46043</v>
      </c>
      <c r="B5100" t="s">
        <v>7070</v>
      </c>
      <c r="C5100">
        <v>13</v>
      </c>
      <c r="D5100" t="str">
        <f>VLOOKUP(Tabela26[[#This Row],[EMP]],[1]LOJA!$A:$B,2,0)</f>
        <v>CEILÂNDIA</v>
      </c>
      <c r="E5100">
        <v>86</v>
      </c>
      <c r="F5100" t="s">
        <v>4358</v>
      </c>
      <c r="G5100" t="s">
        <v>4357</v>
      </c>
      <c r="H5100" t="s">
        <v>3401</v>
      </c>
      <c r="I5100">
        <v>5102</v>
      </c>
      <c r="J5100" s="3">
        <v>28</v>
      </c>
      <c r="K5100" s="3">
        <v>13.51</v>
      </c>
      <c r="L5100">
        <v>51.75</v>
      </c>
    </row>
    <row r="5101" spans="1:12">
      <c r="A5101" s="1">
        <v>46043</v>
      </c>
      <c r="B5101" t="s">
        <v>7069</v>
      </c>
      <c r="C5101">
        <v>13</v>
      </c>
      <c r="D5101" t="str">
        <f>VLOOKUP(Tabela26[[#This Row],[EMP]],[1]LOJA!$A:$B,2,0)</f>
        <v>CEILÂNDIA</v>
      </c>
      <c r="E5101">
        <v>86</v>
      </c>
      <c r="F5101" t="s">
        <v>3622</v>
      </c>
      <c r="G5101" t="s">
        <v>3402</v>
      </c>
      <c r="H5101" t="s">
        <v>3408</v>
      </c>
      <c r="I5101">
        <v>5405</v>
      </c>
      <c r="J5101" s="3">
        <v>42</v>
      </c>
      <c r="K5101" s="3">
        <v>20.71</v>
      </c>
      <c r="L5101">
        <v>50.69</v>
      </c>
    </row>
    <row r="5102" spans="1:12">
      <c r="A5102" s="1">
        <v>46043</v>
      </c>
      <c r="B5102" t="s">
        <v>7068</v>
      </c>
      <c r="C5102">
        <v>13</v>
      </c>
      <c r="D5102" t="str">
        <f>VLOOKUP(Tabela26[[#This Row],[EMP]],[1]LOJA!$A:$B,2,0)</f>
        <v>CEILÂNDIA</v>
      </c>
      <c r="E5102">
        <v>33</v>
      </c>
      <c r="F5102" t="s">
        <v>3403</v>
      </c>
      <c r="G5102" t="s">
        <v>3402</v>
      </c>
      <c r="H5102" t="s">
        <v>3401</v>
      </c>
      <c r="I5102">
        <v>5102</v>
      </c>
      <c r="J5102" s="3">
        <v>30</v>
      </c>
      <c r="K5102" s="3">
        <v>15.53</v>
      </c>
      <c r="L5102">
        <v>48.23</v>
      </c>
    </row>
    <row r="5103" spans="1:12">
      <c r="A5103" s="1">
        <v>46043</v>
      </c>
      <c r="B5103" t="s">
        <v>7067</v>
      </c>
      <c r="C5103">
        <v>13</v>
      </c>
      <c r="D5103" t="str">
        <f>VLOOKUP(Tabela26[[#This Row],[EMP]],[1]LOJA!$A:$B,2,0)</f>
        <v>CEILÂNDIA</v>
      </c>
      <c r="E5103">
        <v>86</v>
      </c>
      <c r="F5103" t="s">
        <v>3403</v>
      </c>
      <c r="G5103" t="s">
        <v>3402</v>
      </c>
      <c r="H5103" t="s">
        <v>3401</v>
      </c>
      <c r="I5103">
        <v>5102</v>
      </c>
      <c r="J5103" s="3">
        <v>15</v>
      </c>
      <c r="K5103" s="3">
        <v>9.26</v>
      </c>
      <c r="L5103">
        <v>38.270000000000003</v>
      </c>
    </row>
    <row r="5104" spans="1:12">
      <c r="A5104" s="1">
        <v>46043</v>
      </c>
      <c r="B5104" t="s">
        <v>7066</v>
      </c>
      <c r="C5104">
        <v>13</v>
      </c>
      <c r="D5104" t="str">
        <f>VLOOKUP(Tabela26[[#This Row],[EMP]],[1]LOJA!$A:$B,2,0)</f>
        <v>CEILÂNDIA</v>
      </c>
      <c r="E5104">
        <v>86</v>
      </c>
      <c r="F5104" t="s">
        <v>6606</v>
      </c>
      <c r="G5104" t="s">
        <v>6605</v>
      </c>
      <c r="H5104" t="s">
        <v>3408</v>
      </c>
      <c r="I5104">
        <v>5102</v>
      </c>
      <c r="J5104" s="3">
        <v>98</v>
      </c>
      <c r="K5104" s="3">
        <v>46.26</v>
      </c>
      <c r="L5104">
        <v>52.8</v>
      </c>
    </row>
    <row r="5105" spans="1:12">
      <c r="A5105" s="1">
        <v>46043</v>
      </c>
      <c r="B5105" t="s">
        <v>7065</v>
      </c>
      <c r="C5105">
        <v>13</v>
      </c>
      <c r="D5105" t="str">
        <f>VLOOKUP(Tabela26[[#This Row],[EMP]],[1]LOJA!$A:$B,2,0)</f>
        <v>CEILÂNDIA</v>
      </c>
      <c r="E5105">
        <v>86</v>
      </c>
      <c r="F5105" t="s">
        <v>3597</v>
      </c>
      <c r="G5105" t="s">
        <v>3596</v>
      </c>
      <c r="H5105" t="s">
        <v>3408</v>
      </c>
      <c r="I5105">
        <v>5102</v>
      </c>
      <c r="J5105" s="3">
        <v>30</v>
      </c>
      <c r="K5105" s="3">
        <v>13.4</v>
      </c>
      <c r="L5105">
        <v>55.33</v>
      </c>
    </row>
    <row r="5106" spans="1:12">
      <c r="A5106" s="1">
        <v>46043</v>
      </c>
      <c r="B5106" t="s">
        <v>7064</v>
      </c>
      <c r="C5106">
        <v>13</v>
      </c>
      <c r="D5106" t="str">
        <f>VLOOKUP(Tabela26[[#This Row],[EMP]],[1]LOJA!$A:$B,2,0)</f>
        <v>CEILÂNDIA</v>
      </c>
      <c r="E5106">
        <v>86</v>
      </c>
      <c r="F5106" t="s">
        <v>3622</v>
      </c>
      <c r="G5106" t="s">
        <v>3402</v>
      </c>
      <c r="H5106" t="s">
        <v>3408</v>
      </c>
      <c r="I5106">
        <v>5405</v>
      </c>
      <c r="J5106" s="3">
        <v>117</v>
      </c>
      <c r="K5106" s="3">
        <v>60.6</v>
      </c>
      <c r="L5106">
        <v>48.21</v>
      </c>
    </row>
    <row r="5107" spans="1:12">
      <c r="A5107" s="1">
        <v>46043</v>
      </c>
      <c r="B5107" t="s">
        <v>7063</v>
      </c>
      <c r="C5107">
        <v>13</v>
      </c>
      <c r="D5107" t="str">
        <f>VLOOKUP(Tabela26[[#This Row],[EMP]],[1]LOJA!$A:$B,2,0)</f>
        <v>CEILÂNDIA</v>
      </c>
      <c r="E5107">
        <v>86</v>
      </c>
      <c r="F5107" t="s">
        <v>4346</v>
      </c>
      <c r="G5107" t="s">
        <v>4345</v>
      </c>
      <c r="H5107" t="s">
        <v>3408</v>
      </c>
      <c r="I5107">
        <v>5405</v>
      </c>
      <c r="J5107" s="3">
        <v>124</v>
      </c>
      <c r="K5107" s="3">
        <v>65.489999999999995</v>
      </c>
      <c r="L5107">
        <v>47.19</v>
      </c>
    </row>
    <row r="5108" spans="1:12">
      <c r="A5108" s="1">
        <v>46043</v>
      </c>
      <c r="B5108" t="s">
        <v>7062</v>
      </c>
      <c r="C5108">
        <v>13</v>
      </c>
      <c r="D5108" t="str">
        <f>VLOOKUP(Tabela26[[#This Row],[EMP]],[1]LOJA!$A:$B,2,0)</f>
        <v>CEILÂNDIA</v>
      </c>
      <c r="E5108">
        <v>86</v>
      </c>
      <c r="F5108" t="s">
        <v>3403</v>
      </c>
      <c r="G5108" t="s">
        <v>3402</v>
      </c>
      <c r="H5108" t="s">
        <v>3408</v>
      </c>
      <c r="I5108">
        <v>5405</v>
      </c>
      <c r="J5108" s="3">
        <v>155</v>
      </c>
      <c r="K5108" s="3">
        <v>74.260000000000005</v>
      </c>
      <c r="L5108">
        <v>52.09</v>
      </c>
    </row>
    <row r="5109" spans="1:12">
      <c r="A5109" s="1">
        <v>46043</v>
      </c>
      <c r="B5109" t="s">
        <v>7061</v>
      </c>
      <c r="C5109">
        <v>13</v>
      </c>
      <c r="D5109" t="str">
        <f>VLOOKUP(Tabela26[[#This Row],[EMP]],[1]LOJA!$A:$B,2,0)</f>
        <v>CEILÂNDIA</v>
      </c>
      <c r="E5109">
        <v>86</v>
      </c>
      <c r="F5109" t="s">
        <v>5565</v>
      </c>
      <c r="G5109" t="s">
        <v>5564</v>
      </c>
      <c r="H5109" t="s">
        <v>7043</v>
      </c>
      <c r="I5109">
        <v>5405</v>
      </c>
      <c r="J5109" s="3">
        <v>74.72</v>
      </c>
      <c r="K5109" s="3">
        <v>36.92</v>
      </c>
      <c r="L5109">
        <v>50.59</v>
      </c>
    </row>
    <row r="5110" spans="1:12">
      <c r="A5110" s="1">
        <v>46043</v>
      </c>
      <c r="B5110" t="s">
        <v>7060</v>
      </c>
      <c r="C5110">
        <v>13</v>
      </c>
      <c r="D5110" t="str">
        <f>VLOOKUP(Tabela26[[#This Row],[EMP]],[1]LOJA!$A:$B,2,0)</f>
        <v>CEILÂNDIA</v>
      </c>
      <c r="E5110">
        <v>86</v>
      </c>
      <c r="F5110" t="s">
        <v>7059</v>
      </c>
      <c r="G5110" t="s">
        <v>3402</v>
      </c>
      <c r="H5110" t="s">
        <v>3408</v>
      </c>
      <c r="I5110">
        <v>5102</v>
      </c>
      <c r="J5110" s="3">
        <v>67.8</v>
      </c>
      <c r="K5110" s="3">
        <v>43.07</v>
      </c>
      <c r="L5110">
        <v>36.47</v>
      </c>
    </row>
    <row r="5111" spans="1:12">
      <c r="A5111" s="1">
        <v>46043</v>
      </c>
      <c r="B5111" t="s">
        <v>7058</v>
      </c>
      <c r="C5111">
        <v>13</v>
      </c>
      <c r="D5111" t="str">
        <f>VLOOKUP(Tabela26[[#This Row],[EMP]],[1]LOJA!$A:$B,2,0)</f>
        <v>CEILÂNDIA</v>
      </c>
      <c r="E5111">
        <v>33</v>
      </c>
      <c r="F5111" t="s">
        <v>7057</v>
      </c>
      <c r="G5111" t="s">
        <v>7056</v>
      </c>
      <c r="H5111" t="s">
        <v>3408</v>
      </c>
      <c r="I5111">
        <v>5102</v>
      </c>
      <c r="J5111" s="3">
        <v>610</v>
      </c>
      <c r="K5111" s="3">
        <v>309.54000000000002</v>
      </c>
      <c r="L5111">
        <v>49.26</v>
      </c>
    </row>
    <row r="5112" spans="1:12">
      <c r="A5112" s="1">
        <v>46043</v>
      </c>
      <c r="B5112" t="s">
        <v>7055</v>
      </c>
      <c r="C5112">
        <v>13</v>
      </c>
      <c r="D5112" t="str">
        <f>VLOOKUP(Tabela26[[#This Row],[EMP]],[1]LOJA!$A:$B,2,0)</f>
        <v>CEILÂNDIA</v>
      </c>
      <c r="E5112">
        <v>86</v>
      </c>
      <c r="F5112" t="s">
        <v>3403</v>
      </c>
      <c r="G5112" t="s">
        <v>3402</v>
      </c>
      <c r="H5112" t="s">
        <v>3408</v>
      </c>
      <c r="I5112">
        <v>5102</v>
      </c>
      <c r="J5112" s="3">
        <v>102</v>
      </c>
      <c r="K5112" s="3">
        <v>61.6</v>
      </c>
      <c r="L5112">
        <v>39.61</v>
      </c>
    </row>
    <row r="5113" spans="1:12">
      <c r="A5113" s="1">
        <v>46043</v>
      </c>
      <c r="B5113" t="s">
        <v>7054</v>
      </c>
      <c r="C5113">
        <v>13</v>
      </c>
      <c r="D5113" t="str">
        <f>VLOOKUP(Tabela26[[#This Row],[EMP]],[1]LOJA!$A:$B,2,0)</f>
        <v>CEILÂNDIA</v>
      </c>
      <c r="E5113">
        <v>86</v>
      </c>
      <c r="F5113" t="s">
        <v>3403</v>
      </c>
      <c r="G5113" t="s">
        <v>3402</v>
      </c>
      <c r="H5113" t="s">
        <v>3408</v>
      </c>
      <c r="I5113">
        <v>5405</v>
      </c>
      <c r="J5113" s="3">
        <v>92</v>
      </c>
      <c r="K5113" s="3">
        <v>44.96</v>
      </c>
      <c r="L5113">
        <v>51.13</v>
      </c>
    </row>
    <row r="5114" spans="1:12">
      <c r="A5114" s="1">
        <v>46043</v>
      </c>
      <c r="B5114" t="s">
        <v>7053</v>
      </c>
      <c r="C5114">
        <v>13</v>
      </c>
      <c r="D5114" t="str">
        <f>VLOOKUP(Tabela26[[#This Row],[EMP]],[1]LOJA!$A:$B,2,0)</f>
        <v>CEILÂNDIA</v>
      </c>
      <c r="E5114">
        <v>86</v>
      </c>
      <c r="F5114" t="s">
        <v>3403</v>
      </c>
      <c r="G5114" t="s">
        <v>3402</v>
      </c>
      <c r="H5114" t="s">
        <v>3401</v>
      </c>
      <c r="I5114">
        <v>5102</v>
      </c>
      <c r="J5114" s="3">
        <v>18</v>
      </c>
      <c r="K5114" s="3">
        <v>9.17</v>
      </c>
      <c r="L5114">
        <v>49.06</v>
      </c>
    </row>
    <row r="5115" spans="1:12">
      <c r="A5115" s="1">
        <v>46043</v>
      </c>
      <c r="B5115" t="s">
        <v>7052</v>
      </c>
      <c r="C5115">
        <v>13</v>
      </c>
      <c r="D5115" t="str">
        <f>VLOOKUP(Tabela26[[#This Row],[EMP]],[1]LOJA!$A:$B,2,0)</f>
        <v>CEILÂNDIA</v>
      </c>
      <c r="E5115">
        <v>86</v>
      </c>
      <c r="F5115" t="s">
        <v>3403</v>
      </c>
      <c r="G5115" t="s">
        <v>3402</v>
      </c>
      <c r="H5115" t="s">
        <v>3401</v>
      </c>
      <c r="I5115">
        <v>5405</v>
      </c>
      <c r="J5115" s="3">
        <v>27</v>
      </c>
      <c r="K5115" s="3">
        <v>12.63</v>
      </c>
      <c r="L5115">
        <v>53.22</v>
      </c>
    </row>
    <row r="5116" spans="1:12">
      <c r="A5116" s="1">
        <v>46043</v>
      </c>
      <c r="B5116" t="s">
        <v>7051</v>
      </c>
      <c r="C5116">
        <v>13</v>
      </c>
      <c r="D5116" t="str">
        <f>VLOOKUP(Tabela26[[#This Row],[EMP]],[1]LOJA!$A:$B,2,0)</f>
        <v>CEILÂNDIA</v>
      </c>
      <c r="E5116">
        <v>33</v>
      </c>
      <c r="F5116" t="s">
        <v>3403</v>
      </c>
      <c r="G5116" t="s">
        <v>3402</v>
      </c>
      <c r="H5116" t="s">
        <v>3401</v>
      </c>
      <c r="I5116">
        <v>5102</v>
      </c>
      <c r="J5116" s="3">
        <v>10</v>
      </c>
      <c r="K5116" s="3">
        <v>6.16</v>
      </c>
      <c r="L5116">
        <v>38.4</v>
      </c>
    </row>
    <row r="5117" spans="1:12">
      <c r="A5117" s="1">
        <v>46043</v>
      </c>
      <c r="B5117" t="s">
        <v>7050</v>
      </c>
      <c r="C5117">
        <v>13</v>
      </c>
      <c r="D5117" t="str">
        <f>VLOOKUP(Tabela26[[#This Row],[EMP]],[1]LOJA!$A:$B,2,0)</f>
        <v>CEILÂNDIA</v>
      </c>
      <c r="E5117">
        <v>86</v>
      </c>
      <c r="F5117" t="s">
        <v>3615</v>
      </c>
      <c r="G5117" t="s">
        <v>3614</v>
      </c>
      <c r="H5117" t="s">
        <v>7043</v>
      </c>
      <c r="I5117">
        <v>5405</v>
      </c>
      <c r="J5117" s="3">
        <v>265.8</v>
      </c>
      <c r="K5117" s="3">
        <v>157.44999999999999</v>
      </c>
      <c r="L5117">
        <v>40.76</v>
      </c>
    </row>
    <row r="5118" spans="1:12">
      <c r="A5118" s="1">
        <v>46043</v>
      </c>
      <c r="B5118" t="s">
        <v>7049</v>
      </c>
      <c r="C5118">
        <v>13</v>
      </c>
      <c r="D5118" t="str">
        <f>VLOOKUP(Tabela26[[#This Row],[EMP]],[1]LOJA!$A:$B,2,0)</f>
        <v>CEILÂNDIA</v>
      </c>
      <c r="E5118">
        <v>86</v>
      </c>
      <c r="F5118" t="s">
        <v>3654</v>
      </c>
      <c r="G5118" t="s">
        <v>3653</v>
      </c>
      <c r="H5118" t="s">
        <v>3408</v>
      </c>
      <c r="I5118">
        <v>5102</v>
      </c>
      <c r="J5118" s="3">
        <v>40</v>
      </c>
      <c r="K5118" s="3">
        <v>22.9</v>
      </c>
      <c r="L5118">
        <v>42.75</v>
      </c>
    </row>
    <row r="5119" spans="1:12">
      <c r="A5119" s="1">
        <v>46043</v>
      </c>
      <c r="B5119" t="s">
        <v>7048</v>
      </c>
      <c r="C5119">
        <v>13</v>
      </c>
      <c r="D5119" t="str">
        <f>VLOOKUP(Tabela26[[#This Row],[EMP]],[1]LOJA!$A:$B,2,0)</f>
        <v>CEILÂNDIA</v>
      </c>
      <c r="E5119">
        <v>86</v>
      </c>
      <c r="F5119" t="s">
        <v>3403</v>
      </c>
      <c r="G5119" t="s">
        <v>3402</v>
      </c>
      <c r="H5119" t="s">
        <v>3401</v>
      </c>
      <c r="I5119">
        <v>5102</v>
      </c>
      <c r="J5119" s="3">
        <v>52</v>
      </c>
      <c r="K5119" s="3">
        <v>30.09</v>
      </c>
      <c r="L5119">
        <v>42.13</v>
      </c>
    </row>
    <row r="5120" spans="1:12">
      <c r="A5120" s="1">
        <v>46043</v>
      </c>
      <c r="B5120" t="s">
        <v>7047</v>
      </c>
      <c r="C5120">
        <v>13</v>
      </c>
      <c r="D5120" t="str">
        <f>VLOOKUP(Tabela26[[#This Row],[EMP]],[1]LOJA!$A:$B,2,0)</f>
        <v>CEILÂNDIA</v>
      </c>
      <c r="E5120">
        <v>86</v>
      </c>
      <c r="F5120" t="s">
        <v>3624</v>
      </c>
      <c r="G5120" t="s">
        <v>3402</v>
      </c>
      <c r="H5120" t="s">
        <v>3408</v>
      </c>
      <c r="I5120">
        <v>5405</v>
      </c>
      <c r="J5120" s="3">
        <v>110</v>
      </c>
      <c r="K5120" s="3">
        <v>60.52</v>
      </c>
      <c r="L5120">
        <v>44.98</v>
      </c>
    </row>
    <row r="5121" spans="1:12">
      <c r="A5121" s="1">
        <v>46043</v>
      </c>
      <c r="B5121" t="s">
        <v>7046</v>
      </c>
      <c r="C5121">
        <v>13</v>
      </c>
      <c r="D5121" t="str">
        <f>VLOOKUP(Tabela26[[#This Row],[EMP]],[1]LOJA!$A:$B,2,0)</f>
        <v>CEILÂNDIA</v>
      </c>
      <c r="E5121">
        <v>86</v>
      </c>
      <c r="F5121" t="s">
        <v>3403</v>
      </c>
      <c r="G5121" t="s">
        <v>3402</v>
      </c>
      <c r="H5121" t="s">
        <v>3401</v>
      </c>
      <c r="I5121">
        <v>5102</v>
      </c>
      <c r="J5121" s="3">
        <v>40</v>
      </c>
      <c r="K5121" s="3">
        <v>18.28</v>
      </c>
      <c r="L5121">
        <v>54.3</v>
      </c>
    </row>
    <row r="5122" spans="1:12">
      <c r="A5122" s="1">
        <v>46043</v>
      </c>
      <c r="B5122" t="s">
        <v>7045</v>
      </c>
      <c r="C5122">
        <v>13</v>
      </c>
      <c r="D5122" t="str">
        <f>VLOOKUP(Tabela26[[#This Row],[EMP]],[1]LOJA!$A:$B,2,0)</f>
        <v>CEILÂNDIA</v>
      </c>
      <c r="E5122">
        <v>86</v>
      </c>
      <c r="F5122" t="s">
        <v>3406</v>
      </c>
      <c r="G5122" t="s">
        <v>3405</v>
      </c>
      <c r="H5122" t="s">
        <v>3408</v>
      </c>
      <c r="I5122">
        <v>5102</v>
      </c>
      <c r="J5122" s="3">
        <v>57</v>
      </c>
      <c r="K5122" s="3">
        <v>34.799999999999997</v>
      </c>
      <c r="L5122">
        <v>38.950000000000003</v>
      </c>
    </row>
    <row r="5123" spans="1:12">
      <c r="A5123" s="1">
        <v>46043</v>
      </c>
      <c r="B5123" t="s">
        <v>7044</v>
      </c>
      <c r="C5123">
        <v>13</v>
      </c>
      <c r="D5123" t="str">
        <f>VLOOKUP(Tabela26[[#This Row],[EMP]],[1]LOJA!$A:$B,2,0)</f>
        <v>CEILÂNDIA</v>
      </c>
      <c r="E5123">
        <v>86</v>
      </c>
      <c r="F5123" t="s">
        <v>3605</v>
      </c>
      <c r="G5123" t="s">
        <v>3604</v>
      </c>
      <c r="H5123" t="s">
        <v>7043</v>
      </c>
      <c r="I5123">
        <v>5102</v>
      </c>
      <c r="J5123" s="3">
        <v>17</v>
      </c>
      <c r="K5123" s="3">
        <v>8.32</v>
      </c>
      <c r="L5123">
        <v>51.06</v>
      </c>
    </row>
    <row r="5124" spans="1:12">
      <c r="A5124" s="1">
        <v>46043</v>
      </c>
      <c r="B5124" t="s">
        <v>7042</v>
      </c>
      <c r="C5124">
        <v>13</v>
      </c>
      <c r="D5124" t="str">
        <f>VLOOKUP(Tabela26[[#This Row],[EMP]],[1]LOJA!$A:$B,2,0)</f>
        <v>CEILÂNDIA</v>
      </c>
      <c r="E5124">
        <v>86</v>
      </c>
      <c r="F5124" t="s">
        <v>3403</v>
      </c>
      <c r="G5124" t="s">
        <v>3402</v>
      </c>
      <c r="H5124" t="s">
        <v>3401</v>
      </c>
      <c r="I5124">
        <v>5102</v>
      </c>
      <c r="J5124" s="3">
        <v>19.899999999999999</v>
      </c>
      <c r="K5124" s="3">
        <v>5.83</v>
      </c>
      <c r="L5124">
        <v>70.7</v>
      </c>
    </row>
    <row r="5125" spans="1:12">
      <c r="A5125" s="1">
        <v>46043</v>
      </c>
      <c r="B5125" t="s">
        <v>7041</v>
      </c>
      <c r="C5125">
        <v>13</v>
      </c>
      <c r="D5125" t="str">
        <f>VLOOKUP(Tabela26[[#This Row],[EMP]],[1]LOJA!$A:$B,2,0)</f>
        <v>CEILÂNDIA</v>
      </c>
      <c r="E5125">
        <v>86</v>
      </c>
      <c r="F5125" t="s">
        <v>7040</v>
      </c>
      <c r="G5125" t="s">
        <v>3402</v>
      </c>
      <c r="H5125" t="s">
        <v>3401</v>
      </c>
      <c r="I5125">
        <v>5405</v>
      </c>
      <c r="J5125" s="3">
        <v>190</v>
      </c>
      <c r="K5125" s="3">
        <v>86.2</v>
      </c>
      <c r="L5125">
        <v>54.63</v>
      </c>
    </row>
    <row r="5126" spans="1:12">
      <c r="A5126" s="1">
        <v>46043</v>
      </c>
      <c r="B5126" t="s">
        <v>7039</v>
      </c>
      <c r="C5126">
        <v>13</v>
      </c>
      <c r="D5126" t="str">
        <f>VLOOKUP(Tabela26[[#This Row],[EMP]],[1]LOJA!$A:$B,2,0)</f>
        <v>CEILÂNDIA</v>
      </c>
      <c r="E5126">
        <v>86</v>
      </c>
      <c r="F5126" t="s">
        <v>3629</v>
      </c>
      <c r="G5126" t="s">
        <v>3628</v>
      </c>
      <c r="H5126" t="s">
        <v>3401</v>
      </c>
      <c r="I5126">
        <v>5102</v>
      </c>
      <c r="J5126" s="3">
        <v>85</v>
      </c>
      <c r="K5126" s="3">
        <v>51.21</v>
      </c>
      <c r="L5126">
        <v>39.75</v>
      </c>
    </row>
    <row r="5127" spans="1:12">
      <c r="A5127" s="1">
        <v>46043</v>
      </c>
      <c r="B5127" t="s">
        <v>7038</v>
      </c>
      <c r="C5127">
        <v>13</v>
      </c>
      <c r="D5127" t="str">
        <f>VLOOKUP(Tabela26[[#This Row],[EMP]],[1]LOJA!$A:$B,2,0)</f>
        <v>CEILÂNDIA</v>
      </c>
      <c r="E5127">
        <v>86</v>
      </c>
      <c r="F5127" t="s">
        <v>3602</v>
      </c>
      <c r="G5127" t="s">
        <v>3601</v>
      </c>
      <c r="H5127" t="s">
        <v>3401</v>
      </c>
      <c r="I5127">
        <v>5405</v>
      </c>
      <c r="J5127" s="3">
        <v>125</v>
      </c>
      <c r="K5127" s="3">
        <v>67.09</v>
      </c>
      <c r="L5127">
        <v>46.33</v>
      </c>
    </row>
    <row r="5128" spans="1:12">
      <c r="A5128" s="1">
        <v>46043</v>
      </c>
      <c r="B5128" t="s">
        <v>7037</v>
      </c>
      <c r="C5128">
        <v>13</v>
      </c>
      <c r="D5128" t="str">
        <f>VLOOKUP(Tabela26[[#This Row],[EMP]],[1]LOJA!$A:$B,2,0)</f>
        <v>CEILÂNDIA</v>
      </c>
      <c r="E5128">
        <v>86</v>
      </c>
      <c r="F5128" t="s">
        <v>3406</v>
      </c>
      <c r="G5128" t="s">
        <v>3405</v>
      </c>
      <c r="H5128" t="s">
        <v>3408</v>
      </c>
      <c r="I5128">
        <v>5102</v>
      </c>
      <c r="J5128" s="3">
        <v>105</v>
      </c>
      <c r="K5128" s="3">
        <v>62.14</v>
      </c>
      <c r="L5128">
        <v>40.82</v>
      </c>
    </row>
    <row r="5129" spans="1:12">
      <c r="A5129" s="1">
        <v>46043</v>
      </c>
      <c r="B5129" t="s">
        <v>7036</v>
      </c>
      <c r="C5129">
        <v>6</v>
      </c>
      <c r="D5129" t="str">
        <f>VLOOKUP(Tabela26[[#This Row],[EMP]],[1]LOJA!$A:$B,2,0)</f>
        <v>GAMA</v>
      </c>
      <c r="E5129">
        <v>245</v>
      </c>
      <c r="F5129" t="s">
        <v>3403</v>
      </c>
      <c r="G5129" t="s">
        <v>3402</v>
      </c>
      <c r="H5129" t="s">
        <v>3401</v>
      </c>
      <c r="I5129">
        <v>5405</v>
      </c>
      <c r="J5129" s="3">
        <v>70</v>
      </c>
      <c r="K5129" s="3">
        <v>32.6</v>
      </c>
      <c r="L5129">
        <v>53.43</v>
      </c>
    </row>
    <row r="5130" spans="1:12">
      <c r="A5130" s="1">
        <v>46043</v>
      </c>
      <c r="B5130" t="s">
        <v>7035</v>
      </c>
      <c r="C5130">
        <v>6</v>
      </c>
      <c r="D5130" t="str">
        <f>VLOOKUP(Tabela26[[#This Row],[EMP]],[1]LOJA!$A:$B,2,0)</f>
        <v>GAMA</v>
      </c>
      <c r="E5130">
        <v>245</v>
      </c>
      <c r="F5130" t="s">
        <v>3403</v>
      </c>
      <c r="G5130" t="s">
        <v>3402</v>
      </c>
      <c r="H5130" t="s">
        <v>3401</v>
      </c>
      <c r="I5130">
        <v>5102</v>
      </c>
      <c r="J5130" s="3">
        <v>30</v>
      </c>
      <c r="K5130" s="3">
        <v>9.82</v>
      </c>
      <c r="L5130">
        <v>67.27</v>
      </c>
    </row>
    <row r="5131" spans="1:12">
      <c r="A5131" s="1">
        <v>46043</v>
      </c>
      <c r="B5131" t="s">
        <v>7034</v>
      </c>
      <c r="C5131">
        <v>6</v>
      </c>
      <c r="D5131" t="str">
        <f>VLOOKUP(Tabela26[[#This Row],[EMP]],[1]LOJA!$A:$B,2,0)</f>
        <v>GAMA</v>
      </c>
      <c r="E5131">
        <v>245</v>
      </c>
      <c r="F5131" t="s">
        <v>3403</v>
      </c>
      <c r="G5131" t="s">
        <v>3402</v>
      </c>
      <c r="H5131" t="s">
        <v>3401</v>
      </c>
      <c r="I5131">
        <v>5102</v>
      </c>
      <c r="J5131" s="3">
        <v>17</v>
      </c>
      <c r="K5131" s="3">
        <v>10.89</v>
      </c>
      <c r="L5131">
        <v>35.94</v>
      </c>
    </row>
    <row r="5132" spans="1:12">
      <c r="A5132" s="1">
        <v>46043</v>
      </c>
      <c r="B5132" t="s">
        <v>7033</v>
      </c>
      <c r="C5132">
        <v>6</v>
      </c>
      <c r="D5132" t="str">
        <f>VLOOKUP(Tabela26[[#This Row],[EMP]],[1]LOJA!$A:$B,2,0)</f>
        <v>GAMA</v>
      </c>
      <c r="E5132">
        <v>245</v>
      </c>
      <c r="F5132" t="s">
        <v>6571</v>
      </c>
      <c r="G5132" t="s">
        <v>6570</v>
      </c>
      <c r="H5132" t="s">
        <v>3401</v>
      </c>
      <c r="I5132">
        <v>5102</v>
      </c>
      <c r="J5132" s="3">
        <v>115.8</v>
      </c>
      <c r="K5132" s="3">
        <v>59.79</v>
      </c>
      <c r="L5132">
        <v>48.37</v>
      </c>
    </row>
    <row r="5133" spans="1:12">
      <c r="A5133" s="1">
        <v>46043</v>
      </c>
      <c r="B5133" t="s">
        <v>7032</v>
      </c>
      <c r="C5133">
        <v>6</v>
      </c>
      <c r="D5133" t="str">
        <f>VLOOKUP(Tabela26[[#This Row],[EMP]],[1]LOJA!$A:$B,2,0)</f>
        <v>GAMA</v>
      </c>
      <c r="E5133">
        <v>245</v>
      </c>
      <c r="F5133" t="s">
        <v>6766</v>
      </c>
      <c r="G5133" t="s">
        <v>3402</v>
      </c>
      <c r="H5133" t="s">
        <v>3401</v>
      </c>
      <c r="I5133">
        <v>5405</v>
      </c>
      <c r="J5133" s="3">
        <v>249.9</v>
      </c>
      <c r="K5133" s="3">
        <v>106.45</v>
      </c>
      <c r="L5133">
        <v>57.4</v>
      </c>
    </row>
    <row r="5134" spans="1:12">
      <c r="A5134" s="1">
        <v>46043</v>
      </c>
      <c r="B5134" t="s">
        <v>7031</v>
      </c>
      <c r="C5134">
        <v>6</v>
      </c>
      <c r="D5134" t="str">
        <f>VLOOKUP(Tabela26[[#This Row],[EMP]],[1]LOJA!$A:$B,2,0)</f>
        <v>GAMA</v>
      </c>
      <c r="E5134">
        <v>245</v>
      </c>
      <c r="F5134" t="s">
        <v>3403</v>
      </c>
      <c r="G5134" t="s">
        <v>3402</v>
      </c>
      <c r="H5134" t="s">
        <v>3401</v>
      </c>
      <c r="I5134">
        <v>5405</v>
      </c>
      <c r="J5134" s="3">
        <v>114</v>
      </c>
      <c r="K5134" s="3">
        <v>53.5</v>
      </c>
      <c r="L5134">
        <v>53.07</v>
      </c>
    </row>
    <row r="5135" spans="1:12">
      <c r="A5135" s="1">
        <v>46043</v>
      </c>
      <c r="B5135" t="s">
        <v>7030</v>
      </c>
      <c r="C5135">
        <v>6</v>
      </c>
      <c r="D5135" t="str">
        <f>VLOOKUP(Tabela26[[#This Row],[EMP]],[1]LOJA!$A:$B,2,0)</f>
        <v>GAMA</v>
      </c>
      <c r="E5135">
        <v>245</v>
      </c>
      <c r="F5135" t="s">
        <v>4966</v>
      </c>
      <c r="G5135" t="s">
        <v>4965</v>
      </c>
      <c r="H5135" t="s">
        <v>3408</v>
      </c>
      <c r="I5135">
        <v>5405</v>
      </c>
      <c r="J5135" s="3">
        <v>95</v>
      </c>
      <c r="K5135" s="3">
        <v>39.9</v>
      </c>
      <c r="L5135">
        <v>58</v>
      </c>
    </row>
    <row r="5136" spans="1:12">
      <c r="A5136" s="1">
        <v>46043</v>
      </c>
      <c r="B5136" t="s">
        <v>7029</v>
      </c>
      <c r="C5136">
        <v>6</v>
      </c>
      <c r="D5136" t="str">
        <f>VLOOKUP(Tabela26[[#This Row],[EMP]],[1]LOJA!$A:$B,2,0)</f>
        <v>GAMA</v>
      </c>
      <c r="E5136">
        <v>226</v>
      </c>
      <c r="F5136" t="s">
        <v>3403</v>
      </c>
      <c r="G5136" t="s">
        <v>3402</v>
      </c>
      <c r="H5136" t="s">
        <v>3401</v>
      </c>
      <c r="I5136">
        <v>5405</v>
      </c>
      <c r="J5136" s="3">
        <v>60</v>
      </c>
      <c r="K5136" s="3">
        <v>30.18</v>
      </c>
      <c r="L5136">
        <v>49.7</v>
      </c>
    </row>
    <row r="5137" spans="1:12">
      <c r="A5137" s="1">
        <v>46043</v>
      </c>
      <c r="B5137" t="s">
        <v>7028</v>
      </c>
      <c r="C5137">
        <v>6</v>
      </c>
      <c r="D5137" t="str">
        <f>VLOOKUP(Tabela26[[#This Row],[EMP]],[1]LOJA!$A:$B,2,0)</f>
        <v>GAMA</v>
      </c>
      <c r="E5137">
        <v>245</v>
      </c>
      <c r="F5137" t="s">
        <v>5501</v>
      </c>
      <c r="G5137" t="s">
        <v>5500</v>
      </c>
      <c r="H5137" t="s">
        <v>3401</v>
      </c>
      <c r="I5137">
        <v>5405</v>
      </c>
      <c r="J5137" s="3">
        <v>34</v>
      </c>
      <c r="K5137" s="3">
        <v>14.79</v>
      </c>
      <c r="L5137">
        <v>56.5</v>
      </c>
    </row>
    <row r="5138" spans="1:12">
      <c r="A5138" s="1">
        <v>46043</v>
      </c>
      <c r="B5138" t="s">
        <v>7027</v>
      </c>
      <c r="C5138">
        <v>6</v>
      </c>
      <c r="D5138" t="str">
        <f>VLOOKUP(Tabela26[[#This Row],[EMP]],[1]LOJA!$A:$B,2,0)</f>
        <v>GAMA</v>
      </c>
      <c r="E5138">
        <v>245</v>
      </c>
      <c r="F5138" t="s">
        <v>7026</v>
      </c>
      <c r="G5138" t="s">
        <v>3402</v>
      </c>
      <c r="H5138" t="s">
        <v>3401</v>
      </c>
      <c r="I5138">
        <v>5405</v>
      </c>
      <c r="J5138" s="3">
        <v>130</v>
      </c>
      <c r="K5138" s="3">
        <v>64.56</v>
      </c>
      <c r="L5138">
        <v>50.34</v>
      </c>
    </row>
    <row r="5139" spans="1:12">
      <c r="A5139" s="1">
        <v>46043</v>
      </c>
      <c r="B5139" t="s">
        <v>7025</v>
      </c>
      <c r="C5139">
        <v>4</v>
      </c>
      <c r="D5139" t="str">
        <f>VLOOKUP(Tabela26[[#This Row],[EMP]],[1]LOJA!$A:$B,2,0)</f>
        <v>ADE</v>
      </c>
      <c r="E5139">
        <v>132</v>
      </c>
      <c r="F5139" t="s">
        <v>7024</v>
      </c>
      <c r="G5139" t="s">
        <v>7023</v>
      </c>
      <c r="H5139" t="s">
        <v>3408</v>
      </c>
      <c r="I5139">
        <v>5405</v>
      </c>
      <c r="J5139" s="3">
        <v>420</v>
      </c>
      <c r="K5139" s="3">
        <v>212.34</v>
      </c>
      <c r="L5139">
        <v>49.44</v>
      </c>
    </row>
    <row r="5140" spans="1:12">
      <c r="A5140" s="1">
        <v>46043</v>
      </c>
      <c r="B5140" t="s">
        <v>7022</v>
      </c>
      <c r="C5140">
        <v>4</v>
      </c>
      <c r="D5140" t="str">
        <f>VLOOKUP(Tabela26[[#This Row],[EMP]],[1]LOJA!$A:$B,2,0)</f>
        <v>ADE</v>
      </c>
      <c r="E5140">
        <v>132</v>
      </c>
      <c r="F5140" t="s">
        <v>7021</v>
      </c>
      <c r="G5140" t="s">
        <v>7020</v>
      </c>
      <c r="H5140" t="s">
        <v>3430</v>
      </c>
      <c r="I5140">
        <v>5405</v>
      </c>
      <c r="J5140" s="3">
        <v>339.6</v>
      </c>
      <c r="K5140" s="3">
        <v>217.12</v>
      </c>
      <c r="L5140">
        <v>36.07</v>
      </c>
    </row>
    <row r="5141" spans="1:12">
      <c r="A5141" s="1">
        <v>46043</v>
      </c>
      <c r="B5141" t="s">
        <v>7019</v>
      </c>
      <c r="C5141">
        <v>4</v>
      </c>
      <c r="D5141" t="str">
        <f>VLOOKUP(Tabela26[[#This Row],[EMP]],[1]LOJA!$A:$B,2,0)</f>
        <v>ADE</v>
      </c>
      <c r="E5141">
        <v>132</v>
      </c>
      <c r="F5141" t="s">
        <v>4299</v>
      </c>
      <c r="G5141" t="s">
        <v>4298</v>
      </c>
      <c r="H5141" t="s">
        <v>7018</v>
      </c>
      <c r="I5141">
        <v>5102</v>
      </c>
      <c r="J5141" s="3">
        <v>378.7</v>
      </c>
      <c r="K5141" s="3">
        <v>229.9</v>
      </c>
      <c r="L5141">
        <v>39.29</v>
      </c>
    </row>
    <row r="5142" spans="1:12">
      <c r="A5142" s="1">
        <v>46043</v>
      </c>
      <c r="B5142" t="s">
        <v>7017</v>
      </c>
      <c r="C5142">
        <v>6</v>
      </c>
      <c r="D5142" t="str">
        <f>VLOOKUP(Tabela26[[#This Row],[EMP]],[1]LOJA!$A:$B,2,0)</f>
        <v>GAMA</v>
      </c>
      <c r="E5142">
        <v>245</v>
      </c>
      <c r="F5142" t="s">
        <v>3555</v>
      </c>
      <c r="G5142" t="s">
        <v>3554</v>
      </c>
      <c r="H5142" t="s">
        <v>3430</v>
      </c>
      <c r="I5142">
        <v>6403</v>
      </c>
      <c r="J5142" s="3">
        <v>452.65</v>
      </c>
      <c r="K5142" s="3">
        <v>268.02</v>
      </c>
      <c r="L5142">
        <v>40.79</v>
      </c>
    </row>
    <row r="5143" spans="1:12">
      <c r="A5143" s="1">
        <v>46043</v>
      </c>
      <c r="B5143" t="s">
        <v>7016</v>
      </c>
      <c r="C5143">
        <v>6</v>
      </c>
      <c r="D5143" t="str">
        <f>VLOOKUP(Tabela26[[#This Row],[EMP]],[1]LOJA!$A:$B,2,0)</f>
        <v>GAMA</v>
      </c>
      <c r="E5143">
        <v>226</v>
      </c>
      <c r="F5143" t="s">
        <v>4204</v>
      </c>
      <c r="G5143" t="s">
        <v>4203</v>
      </c>
      <c r="H5143" t="s">
        <v>3408</v>
      </c>
      <c r="I5143">
        <v>6108</v>
      </c>
      <c r="J5143" s="3">
        <v>78.069999999999993</v>
      </c>
      <c r="K5143" s="3">
        <v>44.6</v>
      </c>
      <c r="L5143">
        <v>42.87</v>
      </c>
    </row>
    <row r="5144" spans="1:12">
      <c r="A5144" s="1">
        <v>46044</v>
      </c>
      <c r="B5144" t="s">
        <v>7015</v>
      </c>
      <c r="C5144">
        <v>16</v>
      </c>
      <c r="D5144" t="str">
        <f>VLOOKUP(Tabela26[[#This Row],[EMP]],[1]LOJA!$A:$B,2,0)</f>
        <v>AG LINDAS</v>
      </c>
      <c r="E5144">
        <v>107</v>
      </c>
      <c r="F5144" t="s">
        <v>4267</v>
      </c>
      <c r="G5144" t="s">
        <v>4266</v>
      </c>
      <c r="H5144" t="s">
        <v>3401</v>
      </c>
      <c r="I5144">
        <v>1411</v>
      </c>
      <c r="J5144" s="3">
        <v>-74</v>
      </c>
      <c r="K5144" s="3">
        <v>-36.92</v>
      </c>
      <c r="L5144">
        <v>50.11</v>
      </c>
    </row>
    <row r="5145" spans="1:12">
      <c r="A5145" s="1">
        <v>46044</v>
      </c>
      <c r="B5145" t="s">
        <v>7014</v>
      </c>
      <c r="C5145">
        <v>15</v>
      </c>
      <c r="D5145" t="str">
        <f>VLOOKUP(Tabela26[[#This Row],[EMP]],[1]LOJA!$A:$B,2,0)</f>
        <v>UNAÍ</v>
      </c>
      <c r="E5145">
        <v>183</v>
      </c>
      <c r="F5145" t="s">
        <v>4681</v>
      </c>
      <c r="G5145" t="s">
        <v>4680</v>
      </c>
      <c r="H5145" t="s">
        <v>3401</v>
      </c>
      <c r="I5145">
        <v>1202</v>
      </c>
      <c r="J5145" s="3">
        <v>-89.5</v>
      </c>
      <c r="K5145" s="3">
        <v>-43.78</v>
      </c>
      <c r="L5145">
        <v>51.08</v>
      </c>
    </row>
    <row r="5146" spans="1:12">
      <c r="A5146" s="1">
        <v>46044</v>
      </c>
      <c r="B5146" t="s">
        <v>7013</v>
      </c>
      <c r="C5146">
        <v>13</v>
      </c>
      <c r="D5146" t="str">
        <f>VLOOKUP(Tabela26[[#This Row],[EMP]],[1]LOJA!$A:$B,2,0)</f>
        <v>CEILÂNDIA</v>
      </c>
      <c r="E5146">
        <v>86</v>
      </c>
      <c r="F5146" t="s">
        <v>4097</v>
      </c>
      <c r="G5146" t="s">
        <v>4096</v>
      </c>
      <c r="H5146" t="s">
        <v>3401</v>
      </c>
      <c r="I5146">
        <v>1411</v>
      </c>
      <c r="J5146" s="3">
        <v>-113.22</v>
      </c>
      <c r="K5146" s="3">
        <v>-54.4</v>
      </c>
      <c r="L5146">
        <v>51.95</v>
      </c>
    </row>
    <row r="5147" spans="1:12">
      <c r="A5147" s="1">
        <v>46044</v>
      </c>
      <c r="B5147" t="s">
        <v>7012</v>
      </c>
      <c r="C5147">
        <v>24</v>
      </c>
      <c r="D5147" t="str">
        <f>VLOOKUP(Tabela26[[#This Row],[EMP]],[1]LOJA!$A:$B,2,0)</f>
        <v>LUZIÂNIA</v>
      </c>
      <c r="E5147">
        <v>192</v>
      </c>
      <c r="F5147" t="s">
        <v>4949</v>
      </c>
      <c r="G5147" t="s">
        <v>4948</v>
      </c>
      <c r="H5147" t="s">
        <v>3430</v>
      </c>
      <c r="I5147">
        <v>5405</v>
      </c>
      <c r="J5147" s="3">
        <v>114.72</v>
      </c>
      <c r="K5147" s="3">
        <v>56.72</v>
      </c>
      <c r="L5147">
        <v>50.56</v>
      </c>
    </row>
    <row r="5148" spans="1:12">
      <c r="A5148" s="1">
        <v>46044</v>
      </c>
      <c r="B5148" t="s">
        <v>7011</v>
      </c>
      <c r="C5148">
        <v>24</v>
      </c>
      <c r="D5148" t="str">
        <f>VLOOKUP(Tabela26[[#This Row],[EMP]],[1]LOJA!$A:$B,2,0)</f>
        <v>LUZIÂNIA</v>
      </c>
      <c r="E5148">
        <v>150</v>
      </c>
      <c r="F5148" t="s">
        <v>4292</v>
      </c>
      <c r="G5148" t="s">
        <v>4291</v>
      </c>
      <c r="H5148" t="s">
        <v>3430</v>
      </c>
      <c r="I5148">
        <v>5405</v>
      </c>
      <c r="J5148" s="3">
        <v>202.63</v>
      </c>
      <c r="K5148" s="3">
        <v>98.36</v>
      </c>
      <c r="L5148">
        <v>51.46</v>
      </c>
    </row>
    <row r="5149" spans="1:12">
      <c r="A5149" s="1">
        <v>46044</v>
      </c>
      <c r="B5149" t="s">
        <v>7010</v>
      </c>
      <c r="C5149">
        <v>24</v>
      </c>
      <c r="D5149" t="str">
        <f>VLOOKUP(Tabela26[[#This Row],[EMP]],[1]LOJA!$A:$B,2,0)</f>
        <v>LUZIÂNIA</v>
      </c>
      <c r="E5149">
        <v>192</v>
      </c>
      <c r="F5149" t="s">
        <v>7009</v>
      </c>
      <c r="G5149" t="s">
        <v>7008</v>
      </c>
      <c r="H5149" t="s">
        <v>3430</v>
      </c>
      <c r="I5149">
        <v>5405</v>
      </c>
      <c r="J5149" s="3">
        <v>25</v>
      </c>
      <c r="K5149" s="3">
        <v>6.92</v>
      </c>
      <c r="L5149">
        <v>72.319999999999993</v>
      </c>
    </row>
    <row r="5150" spans="1:12">
      <c r="A5150" s="1">
        <v>46044</v>
      </c>
      <c r="B5150" t="s">
        <v>7007</v>
      </c>
      <c r="C5150">
        <v>24</v>
      </c>
      <c r="D5150" t="str">
        <f>VLOOKUP(Tabela26[[#This Row],[EMP]],[1]LOJA!$A:$B,2,0)</f>
        <v>LUZIÂNIA</v>
      </c>
      <c r="E5150">
        <v>150</v>
      </c>
      <c r="F5150" t="s">
        <v>4952</v>
      </c>
      <c r="G5150" t="s">
        <v>4951</v>
      </c>
      <c r="H5150" t="s">
        <v>3430</v>
      </c>
      <c r="I5150">
        <v>5405</v>
      </c>
      <c r="J5150" s="3">
        <v>122.6</v>
      </c>
      <c r="K5150" s="3">
        <v>58.8</v>
      </c>
      <c r="L5150">
        <v>52.04</v>
      </c>
    </row>
    <row r="5151" spans="1:12">
      <c r="A5151" s="1">
        <v>46044</v>
      </c>
      <c r="B5151" t="s">
        <v>7006</v>
      </c>
      <c r="C5151">
        <v>24</v>
      </c>
      <c r="D5151" t="str">
        <f>VLOOKUP(Tabela26[[#This Row],[EMP]],[1]LOJA!$A:$B,2,0)</f>
        <v>LUZIÂNIA</v>
      </c>
      <c r="E5151">
        <v>192</v>
      </c>
      <c r="F5151" t="s">
        <v>4286</v>
      </c>
      <c r="G5151" t="s">
        <v>4285</v>
      </c>
      <c r="H5151" t="s">
        <v>3430</v>
      </c>
      <c r="I5151">
        <v>5102</v>
      </c>
      <c r="J5151" s="3">
        <v>160</v>
      </c>
      <c r="K5151" s="3">
        <v>85.39</v>
      </c>
      <c r="L5151">
        <v>46.63</v>
      </c>
    </row>
    <row r="5152" spans="1:12">
      <c r="A5152" s="1">
        <v>46044</v>
      </c>
      <c r="B5152" t="s">
        <v>7005</v>
      </c>
      <c r="C5152">
        <v>24</v>
      </c>
      <c r="D5152" t="str">
        <f>VLOOKUP(Tabela26[[#This Row],[EMP]],[1]LOJA!$A:$B,2,0)</f>
        <v>LUZIÂNIA</v>
      </c>
      <c r="E5152">
        <v>150</v>
      </c>
      <c r="F5152" t="s">
        <v>7004</v>
      </c>
      <c r="G5152" t="s">
        <v>7003</v>
      </c>
      <c r="H5152" t="s">
        <v>3430</v>
      </c>
      <c r="I5152">
        <v>6108</v>
      </c>
      <c r="J5152" s="3">
        <v>32.74</v>
      </c>
      <c r="K5152" s="3">
        <v>18.04</v>
      </c>
      <c r="L5152">
        <v>44.9</v>
      </c>
    </row>
    <row r="5153" spans="1:12">
      <c r="A5153" s="1">
        <v>46044</v>
      </c>
      <c r="B5153" t="s">
        <v>7002</v>
      </c>
      <c r="C5153">
        <v>24</v>
      </c>
      <c r="D5153" t="str">
        <f>VLOOKUP(Tabela26[[#This Row],[EMP]],[1]LOJA!$A:$B,2,0)</f>
        <v>LUZIÂNIA</v>
      </c>
      <c r="E5153">
        <v>192</v>
      </c>
      <c r="F5153" t="s">
        <v>4946</v>
      </c>
      <c r="G5153" t="s">
        <v>4945</v>
      </c>
      <c r="H5153" t="s">
        <v>3430</v>
      </c>
      <c r="I5153">
        <v>5102</v>
      </c>
      <c r="J5153" s="3">
        <v>65</v>
      </c>
      <c r="K5153" s="3">
        <v>37.64</v>
      </c>
      <c r="L5153">
        <v>42.09</v>
      </c>
    </row>
    <row r="5154" spans="1:12">
      <c r="A5154" s="1">
        <v>46044</v>
      </c>
      <c r="B5154" t="s">
        <v>7001</v>
      </c>
      <c r="C5154">
        <v>24</v>
      </c>
      <c r="D5154" t="str">
        <f>VLOOKUP(Tabela26[[#This Row],[EMP]],[1]LOJA!$A:$B,2,0)</f>
        <v>LUZIÂNIA</v>
      </c>
      <c r="E5154">
        <v>150</v>
      </c>
      <c r="F5154" t="s">
        <v>4279</v>
      </c>
      <c r="G5154" t="s">
        <v>4278</v>
      </c>
      <c r="H5154" t="s">
        <v>3430</v>
      </c>
      <c r="I5154">
        <v>5405</v>
      </c>
      <c r="J5154" s="3">
        <v>57.9</v>
      </c>
      <c r="K5154" s="3">
        <v>28.22</v>
      </c>
      <c r="L5154">
        <v>51.26</v>
      </c>
    </row>
    <row r="5155" spans="1:12">
      <c r="A5155" s="1">
        <v>46044</v>
      </c>
      <c r="B5155" t="s">
        <v>7000</v>
      </c>
      <c r="C5155">
        <v>24</v>
      </c>
      <c r="D5155" t="str">
        <f>VLOOKUP(Tabela26[[#This Row],[EMP]],[1]LOJA!$A:$B,2,0)</f>
        <v>LUZIÂNIA</v>
      </c>
      <c r="E5155">
        <v>192</v>
      </c>
      <c r="F5155" t="s">
        <v>4270</v>
      </c>
      <c r="G5155" t="s">
        <v>4269</v>
      </c>
      <c r="H5155" t="s">
        <v>3430</v>
      </c>
      <c r="I5155">
        <v>5405</v>
      </c>
      <c r="J5155" s="3">
        <v>486</v>
      </c>
      <c r="K5155" s="3">
        <v>243.3</v>
      </c>
      <c r="L5155">
        <v>49.94</v>
      </c>
    </row>
    <row r="5156" spans="1:12">
      <c r="A5156" s="1">
        <v>46044</v>
      </c>
      <c r="B5156" t="s">
        <v>6999</v>
      </c>
      <c r="C5156">
        <v>24</v>
      </c>
      <c r="D5156" t="str">
        <f>VLOOKUP(Tabela26[[#This Row],[EMP]],[1]LOJA!$A:$B,2,0)</f>
        <v>LUZIÂNIA</v>
      </c>
      <c r="E5156">
        <v>150</v>
      </c>
      <c r="F5156" t="s">
        <v>4182</v>
      </c>
      <c r="G5156" t="s">
        <v>4181</v>
      </c>
      <c r="H5156" t="s">
        <v>3430</v>
      </c>
      <c r="I5156">
        <v>5405</v>
      </c>
      <c r="J5156" s="3">
        <v>211</v>
      </c>
      <c r="K5156" s="3">
        <v>125.1</v>
      </c>
      <c r="L5156">
        <v>40.71</v>
      </c>
    </row>
    <row r="5157" spans="1:12">
      <c r="A5157" s="1">
        <v>46044</v>
      </c>
      <c r="B5157" t="s">
        <v>6998</v>
      </c>
      <c r="C5157">
        <v>24</v>
      </c>
      <c r="D5157" t="str">
        <f>VLOOKUP(Tabela26[[#This Row],[EMP]],[1]LOJA!$A:$B,2,0)</f>
        <v>LUZIÂNIA</v>
      </c>
      <c r="E5157">
        <v>192</v>
      </c>
      <c r="F5157" t="s">
        <v>4270</v>
      </c>
      <c r="G5157" t="s">
        <v>4269</v>
      </c>
      <c r="H5157" t="s">
        <v>3430</v>
      </c>
      <c r="I5157">
        <v>5102</v>
      </c>
      <c r="J5157" s="3">
        <v>124</v>
      </c>
      <c r="K5157" s="3">
        <v>81.180000000000007</v>
      </c>
      <c r="L5157">
        <v>34.53</v>
      </c>
    </row>
    <row r="5158" spans="1:12">
      <c r="A5158" s="1">
        <v>46044</v>
      </c>
      <c r="B5158" t="s">
        <v>6997</v>
      </c>
      <c r="C5158">
        <v>24</v>
      </c>
      <c r="D5158" t="str">
        <f>VLOOKUP(Tabela26[[#This Row],[EMP]],[1]LOJA!$A:$B,2,0)</f>
        <v>LUZIÂNIA</v>
      </c>
      <c r="E5158">
        <v>192</v>
      </c>
      <c r="F5158" t="s">
        <v>3549</v>
      </c>
      <c r="G5158" t="s">
        <v>3548</v>
      </c>
      <c r="H5158" t="s">
        <v>6798</v>
      </c>
      <c r="I5158">
        <v>5405</v>
      </c>
      <c r="J5158" s="3">
        <v>2975.99</v>
      </c>
      <c r="K5158" s="3">
        <v>1601.51</v>
      </c>
      <c r="L5158">
        <v>46.19</v>
      </c>
    </row>
    <row r="5159" spans="1:12">
      <c r="A5159" s="1">
        <v>46044</v>
      </c>
      <c r="B5159" t="s">
        <v>6996</v>
      </c>
      <c r="C5159">
        <v>24</v>
      </c>
      <c r="D5159" t="str">
        <f>VLOOKUP(Tabela26[[#This Row],[EMP]],[1]LOJA!$A:$B,2,0)</f>
        <v>LUZIÂNIA</v>
      </c>
      <c r="E5159">
        <v>192</v>
      </c>
      <c r="F5159" t="s">
        <v>4946</v>
      </c>
      <c r="G5159" t="s">
        <v>4945</v>
      </c>
      <c r="H5159" t="s">
        <v>3430</v>
      </c>
      <c r="I5159">
        <v>5102</v>
      </c>
      <c r="J5159" s="3">
        <v>76</v>
      </c>
      <c r="K5159" s="3">
        <v>47.38</v>
      </c>
      <c r="L5159">
        <v>37.659999999999997</v>
      </c>
    </row>
    <row r="5160" spans="1:12">
      <c r="A5160" s="1">
        <v>46044</v>
      </c>
      <c r="B5160" t="s">
        <v>6995</v>
      </c>
      <c r="C5160">
        <v>24</v>
      </c>
      <c r="D5160" t="str">
        <f>VLOOKUP(Tabela26[[#This Row],[EMP]],[1]LOJA!$A:$B,2,0)</f>
        <v>LUZIÂNIA</v>
      </c>
      <c r="E5160">
        <v>192</v>
      </c>
      <c r="F5160" t="s">
        <v>4946</v>
      </c>
      <c r="G5160" t="s">
        <v>4945</v>
      </c>
      <c r="H5160" t="s">
        <v>3430</v>
      </c>
      <c r="I5160">
        <v>5405</v>
      </c>
      <c r="J5160" s="3">
        <v>186.8</v>
      </c>
      <c r="K5160" s="3">
        <v>82.84</v>
      </c>
      <c r="L5160">
        <v>55.65</v>
      </c>
    </row>
    <row r="5161" spans="1:12">
      <c r="A5161" s="1">
        <v>46044</v>
      </c>
      <c r="B5161" t="s">
        <v>6994</v>
      </c>
      <c r="C5161">
        <v>24</v>
      </c>
      <c r="D5161" t="str">
        <f>VLOOKUP(Tabela26[[#This Row],[EMP]],[1]LOJA!$A:$B,2,0)</f>
        <v>LUZIÂNIA</v>
      </c>
      <c r="E5161">
        <v>192</v>
      </c>
      <c r="F5161" t="s">
        <v>4946</v>
      </c>
      <c r="G5161" t="s">
        <v>4945</v>
      </c>
      <c r="H5161" t="s">
        <v>3430</v>
      </c>
      <c r="I5161">
        <v>5405</v>
      </c>
      <c r="J5161" s="3">
        <v>96</v>
      </c>
      <c r="K5161" s="3">
        <v>27.68</v>
      </c>
      <c r="L5161">
        <v>71.17</v>
      </c>
    </row>
    <row r="5162" spans="1:12">
      <c r="A5162" s="1">
        <v>46044</v>
      </c>
      <c r="B5162" t="s">
        <v>6993</v>
      </c>
      <c r="C5162">
        <v>24</v>
      </c>
      <c r="D5162" t="str">
        <f>VLOOKUP(Tabela26[[#This Row],[EMP]],[1]LOJA!$A:$B,2,0)</f>
        <v>LUZIÂNIA</v>
      </c>
      <c r="E5162">
        <v>192</v>
      </c>
      <c r="F5162" t="s">
        <v>4940</v>
      </c>
      <c r="G5162" t="s">
        <v>4939</v>
      </c>
      <c r="H5162" t="s">
        <v>3430</v>
      </c>
      <c r="I5162">
        <v>5405</v>
      </c>
      <c r="J5162" s="3">
        <v>165</v>
      </c>
      <c r="K5162" s="3">
        <v>79.59</v>
      </c>
      <c r="L5162">
        <v>51.76</v>
      </c>
    </row>
    <row r="5163" spans="1:12">
      <c r="A5163" s="1">
        <v>46044</v>
      </c>
      <c r="B5163" t="s">
        <v>6992</v>
      </c>
      <c r="C5163">
        <v>16</v>
      </c>
      <c r="D5163" t="str">
        <f>VLOOKUP(Tabela26[[#This Row],[EMP]],[1]LOJA!$A:$B,2,0)</f>
        <v>AG LINDAS</v>
      </c>
      <c r="E5163">
        <v>240</v>
      </c>
      <c r="F5163" t="s">
        <v>4267</v>
      </c>
      <c r="G5163" t="s">
        <v>4266</v>
      </c>
      <c r="H5163" t="s">
        <v>3430</v>
      </c>
      <c r="I5163">
        <v>5405</v>
      </c>
      <c r="J5163" s="3">
        <v>234.6</v>
      </c>
      <c r="K5163" s="3">
        <v>140.09</v>
      </c>
      <c r="L5163">
        <v>40.29</v>
      </c>
    </row>
    <row r="5164" spans="1:12">
      <c r="A5164" s="1">
        <v>46044</v>
      </c>
      <c r="B5164" t="s">
        <v>6991</v>
      </c>
      <c r="C5164">
        <v>16</v>
      </c>
      <c r="D5164" t="str">
        <f>VLOOKUP(Tabela26[[#This Row],[EMP]],[1]LOJA!$A:$B,2,0)</f>
        <v>AG LINDAS</v>
      </c>
      <c r="E5164">
        <v>240</v>
      </c>
      <c r="F5164" t="s">
        <v>6990</v>
      </c>
      <c r="G5164" t="s">
        <v>6989</v>
      </c>
      <c r="H5164" t="s">
        <v>3430</v>
      </c>
      <c r="I5164">
        <v>5102</v>
      </c>
      <c r="J5164" s="3">
        <v>69.900000000000006</v>
      </c>
      <c r="K5164" s="3">
        <v>42.56</v>
      </c>
      <c r="L5164">
        <v>39.11</v>
      </c>
    </row>
    <row r="5165" spans="1:12">
      <c r="A5165" s="1">
        <v>46044</v>
      </c>
      <c r="B5165" t="s">
        <v>6988</v>
      </c>
      <c r="C5165">
        <v>16</v>
      </c>
      <c r="D5165" t="str">
        <f>VLOOKUP(Tabela26[[#This Row],[EMP]],[1]LOJA!$A:$B,2,0)</f>
        <v>AG LINDAS</v>
      </c>
      <c r="E5165">
        <v>240</v>
      </c>
      <c r="F5165" t="s">
        <v>6987</v>
      </c>
      <c r="G5165" t="s">
        <v>6986</v>
      </c>
      <c r="H5165" t="s">
        <v>3408</v>
      </c>
      <c r="I5165">
        <v>5405</v>
      </c>
      <c r="J5165" s="3">
        <v>3122.11</v>
      </c>
      <c r="K5165" s="3">
        <v>1821.15</v>
      </c>
      <c r="L5165">
        <v>41.67</v>
      </c>
    </row>
    <row r="5166" spans="1:12">
      <c r="A5166" s="1">
        <v>46044</v>
      </c>
      <c r="B5166" t="s">
        <v>6985</v>
      </c>
      <c r="C5166">
        <v>20</v>
      </c>
      <c r="D5166" t="str">
        <f>VLOOKUP(Tabela26[[#This Row],[EMP]],[1]LOJA!$A:$B,2,0)</f>
        <v>DAUTO SERVIÇOS</v>
      </c>
      <c r="E5166">
        <v>232</v>
      </c>
      <c r="F5166" t="s">
        <v>4260</v>
      </c>
      <c r="G5166" t="s">
        <v>4259</v>
      </c>
      <c r="H5166" t="s">
        <v>3430</v>
      </c>
      <c r="I5166">
        <v>5933</v>
      </c>
      <c r="J5166" s="3">
        <v>697.32</v>
      </c>
      <c r="K5166" s="3">
        <v>0</v>
      </c>
      <c r="L5166">
        <v>100</v>
      </c>
    </row>
    <row r="5167" spans="1:12">
      <c r="A5167" s="1">
        <v>46044</v>
      </c>
      <c r="B5167" t="s">
        <v>6984</v>
      </c>
      <c r="C5167">
        <v>20</v>
      </c>
      <c r="D5167" t="str">
        <f>VLOOKUP(Tabela26[[#This Row],[EMP]],[1]LOJA!$A:$B,2,0)</f>
        <v>DAUTO SERVIÇOS</v>
      </c>
      <c r="E5167">
        <v>232</v>
      </c>
      <c r="F5167" t="s">
        <v>4260</v>
      </c>
      <c r="G5167" t="s">
        <v>4259</v>
      </c>
      <c r="H5167" t="s">
        <v>3430</v>
      </c>
      <c r="I5167">
        <v>5933</v>
      </c>
      <c r="J5167" s="3">
        <v>189.84</v>
      </c>
      <c r="K5167" s="3">
        <v>0</v>
      </c>
      <c r="L5167">
        <v>100</v>
      </c>
    </row>
    <row r="5168" spans="1:12">
      <c r="A5168" s="1">
        <v>46044</v>
      </c>
      <c r="B5168" t="s">
        <v>6983</v>
      </c>
      <c r="C5168">
        <v>20</v>
      </c>
      <c r="D5168" t="str">
        <f>VLOOKUP(Tabela26[[#This Row],[EMP]],[1]LOJA!$A:$B,2,0)</f>
        <v>DAUTO SERVIÇOS</v>
      </c>
      <c r="E5168">
        <v>232</v>
      </c>
      <c r="F5168" t="s">
        <v>4260</v>
      </c>
      <c r="G5168" t="s">
        <v>4259</v>
      </c>
      <c r="H5168" t="s">
        <v>3430</v>
      </c>
      <c r="I5168">
        <v>5933</v>
      </c>
      <c r="J5168" s="3">
        <v>184.81</v>
      </c>
      <c r="K5168" s="3">
        <v>0</v>
      </c>
      <c r="L5168">
        <v>100</v>
      </c>
    </row>
    <row r="5169" spans="1:12">
      <c r="A5169" s="1">
        <v>46044</v>
      </c>
      <c r="B5169" t="s">
        <v>6982</v>
      </c>
      <c r="C5169">
        <v>20</v>
      </c>
      <c r="D5169" t="str">
        <f>VLOOKUP(Tabela26[[#This Row],[EMP]],[1]LOJA!$A:$B,2,0)</f>
        <v>DAUTO SERVIÇOS</v>
      </c>
      <c r="E5169">
        <v>232</v>
      </c>
      <c r="F5169" t="s">
        <v>4260</v>
      </c>
      <c r="G5169" t="s">
        <v>4259</v>
      </c>
      <c r="H5169" t="s">
        <v>3430</v>
      </c>
      <c r="I5169">
        <v>5933</v>
      </c>
      <c r="J5169" s="3">
        <v>5141.12</v>
      </c>
      <c r="K5169" s="3">
        <v>0</v>
      </c>
      <c r="L5169">
        <v>100</v>
      </c>
    </row>
    <row r="5170" spans="1:12">
      <c r="A5170" s="1">
        <v>46044</v>
      </c>
      <c r="B5170" t="s">
        <v>6981</v>
      </c>
      <c r="C5170">
        <v>20</v>
      </c>
      <c r="D5170" t="str">
        <f>VLOOKUP(Tabela26[[#This Row],[EMP]],[1]LOJA!$A:$B,2,0)</f>
        <v>DAUTO SERVIÇOS</v>
      </c>
      <c r="E5170">
        <v>232</v>
      </c>
      <c r="F5170" t="s">
        <v>4260</v>
      </c>
      <c r="G5170" t="s">
        <v>4259</v>
      </c>
      <c r="H5170" t="s">
        <v>3430</v>
      </c>
      <c r="I5170">
        <v>5933</v>
      </c>
      <c r="J5170" s="3">
        <v>288.60000000000002</v>
      </c>
      <c r="K5170" s="3">
        <v>0</v>
      </c>
      <c r="L5170">
        <v>100</v>
      </c>
    </row>
    <row r="5171" spans="1:12">
      <c r="A5171" s="1">
        <v>46044</v>
      </c>
      <c r="B5171" t="s">
        <v>6980</v>
      </c>
      <c r="C5171">
        <v>20</v>
      </c>
      <c r="D5171" t="str">
        <f>VLOOKUP(Tabela26[[#This Row],[EMP]],[1]LOJA!$A:$B,2,0)</f>
        <v>DAUTO SERVIÇOS</v>
      </c>
      <c r="E5171">
        <v>232</v>
      </c>
      <c r="F5171" t="s">
        <v>4260</v>
      </c>
      <c r="G5171" t="s">
        <v>4259</v>
      </c>
      <c r="H5171" t="s">
        <v>3430</v>
      </c>
      <c r="I5171">
        <v>5933</v>
      </c>
      <c r="J5171" s="3">
        <v>179.36</v>
      </c>
      <c r="K5171" s="3">
        <v>0</v>
      </c>
      <c r="L5171">
        <v>100</v>
      </c>
    </row>
    <row r="5172" spans="1:12">
      <c r="A5172" s="1">
        <v>46044</v>
      </c>
      <c r="B5172" t="s">
        <v>6979</v>
      </c>
      <c r="C5172">
        <v>20</v>
      </c>
      <c r="D5172" t="str">
        <f>VLOOKUP(Tabela26[[#This Row],[EMP]],[1]LOJA!$A:$B,2,0)</f>
        <v>DAUTO SERVIÇOS</v>
      </c>
      <c r="E5172">
        <v>232</v>
      </c>
      <c r="F5172" t="s">
        <v>4260</v>
      </c>
      <c r="G5172" t="s">
        <v>4259</v>
      </c>
      <c r="H5172" t="s">
        <v>3430</v>
      </c>
      <c r="I5172">
        <v>5933</v>
      </c>
      <c r="J5172" s="3">
        <v>1784.85</v>
      </c>
      <c r="K5172" s="3">
        <v>0</v>
      </c>
      <c r="L5172">
        <v>100</v>
      </c>
    </row>
    <row r="5173" spans="1:12">
      <c r="A5173" s="1">
        <v>46044</v>
      </c>
      <c r="B5173" t="s">
        <v>6978</v>
      </c>
      <c r="C5173">
        <v>22</v>
      </c>
      <c r="D5173" t="str">
        <f>VLOOKUP(Tabela26[[#This Row],[EMP]],[1]LOJA!$A:$B,2,0)</f>
        <v>GUARÁ</v>
      </c>
      <c r="E5173">
        <v>93</v>
      </c>
      <c r="F5173" t="s">
        <v>4246</v>
      </c>
      <c r="G5173" t="s">
        <v>4245</v>
      </c>
      <c r="H5173" t="s">
        <v>3430</v>
      </c>
      <c r="I5173">
        <v>5102</v>
      </c>
      <c r="J5173" s="3">
        <v>1271.43</v>
      </c>
      <c r="K5173" s="3">
        <v>719.22</v>
      </c>
      <c r="L5173">
        <v>43.43</v>
      </c>
    </row>
    <row r="5174" spans="1:12">
      <c r="A5174" s="1">
        <v>46044</v>
      </c>
      <c r="B5174" t="s">
        <v>6977</v>
      </c>
      <c r="C5174">
        <v>22</v>
      </c>
      <c r="D5174" t="str">
        <f>VLOOKUP(Tabela26[[#This Row],[EMP]],[1]LOJA!$A:$B,2,0)</f>
        <v>GUARÁ</v>
      </c>
      <c r="E5174">
        <v>93</v>
      </c>
      <c r="F5174" t="s">
        <v>5456</v>
      </c>
      <c r="G5174" t="s">
        <v>5455</v>
      </c>
      <c r="H5174" t="s">
        <v>3745</v>
      </c>
      <c r="I5174">
        <v>5405</v>
      </c>
      <c r="J5174" s="3">
        <v>1657.9</v>
      </c>
      <c r="K5174" s="3">
        <v>808.74</v>
      </c>
      <c r="L5174">
        <v>51.22</v>
      </c>
    </row>
    <row r="5175" spans="1:12">
      <c r="A5175" s="1">
        <v>46044</v>
      </c>
      <c r="B5175" t="s">
        <v>6976</v>
      </c>
      <c r="C5175">
        <v>22</v>
      </c>
      <c r="D5175" t="str">
        <f>VLOOKUP(Tabela26[[#This Row],[EMP]],[1]LOJA!$A:$B,2,0)</f>
        <v>GUARÁ</v>
      </c>
      <c r="E5175">
        <v>93</v>
      </c>
      <c r="F5175" t="s">
        <v>4246</v>
      </c>
      <c r="G5175" t="s">
        <v>4245</v>
      </c>
      <c r="H5175" t="s">
        <v>3430</v>
      </c>
      <c r="I5175">
        <v>5405</v>
      </c>
      <c r="J5175" s="3">
        <v>144.5</v>
      </c>
      <c r="K5175" s="3">
        <v>70.75</v>
      </c>
      <c r="L5175">
        <v>51.04</v>
      </c>
    </row>
    <row r="5176" spans="1:12">
      <c r="A5176" s="1">
        <v>46044</v>
      </c>
      <c r="B5176" t="s">
        <v>6975</v>
      </c>
      <c r="C5176">
        <v>22</v>
      </c>
      <c r="D5176" t="str">
        <f>VLOOKUP(Tabela26[[#This Row],[EMP]],[1]LOJA!$A:$B,2,0)</f>
        <v>GUARÁ</v>
      </c>
      <c r="E5176">
        <v>93</v>
      </c>
      <c r="F5176" t="s">
        <v>3535</v>
      </c>
      <c r="G5176" t="s">
        <v>3534</v>
      </c>
      <c r="H5176" t="s">
        <v>4243</v>
      </c>
      <c r="I5176">
        <v>5405</v>
      </c>
      <c r="J5176" s="3">
        <v>137.47</v>
      </c>
      <c r="K5176" s="3">
        <v>71.47</v>
      </c>
      <c r="L5176">
        <v>48.01</v>
      </c>
    </row>
    <row r="5177" spans="1:12">
      <c r="A5177" s="1">
        <v>46044</v>
      </c>
      <c r="B5177" t="s">
        <v>6974</v>
      </c>
      <c r="C5177">
        <v>22</v>
      </c>
      <c r="D5177" t="str">
        <f>VLOOKUP(Tabela26[[#This Row],[EMP]],[1]LOJA!$A:$B,2,0)</f>
        <v>GUARÁ</v>
      </c>
      <c r="E5177">
        <v>93</v>
      </c>
      <c r="F5177" t="s">
        <v>3542</v>
      </c>
      <c r="G5177" t="s">
        <v>3541</v>
      </c>
      <c r="H5177" t="s">
        <v>3537</v>
      </c>
      <c r="I5177">
        <v>5102</v>
      </c>
      <c r="J5177" s="3">
        <v>419.42</v>
      </c>
      <c r="K5177" s="3">
        <v>277.3</v>
      </c>
      <c r="L5177">
        <v>33.880000000000003</v>
      </c>
    </row>
    <row r="5178" spans="1:12">
      <c r="A5178" s="1">
        <v>46044</v>
      </c>
      <c r="B5178" t="s">
        <v>6973</v>
      </c>
      <c r="C5178">
        <v>24</v>
      </c>
      <c r="D5178" t="str">
        <f>VLOOKUP(Tabela26[[#This Row],[EMP]],[1]LOJA!$A:$B,2,0)</f>
        <v>LUZIÂNIA</v>
      </c>
      <c r="E5178">
        <v>150</v>
      </c>
      <c r="F5178" t="s">
        <v>3524</v>
      </c>
      <c r="G5178" t="s">
        <v>3402</v>
      </c>
      <c r="H5178" t="s">
        <v>3401</v>
      </c>
      <c r="I5178">
        <v>5405</v>
      </c>
      <c r="J5178" s="3">
        <v>160</v>
      </c>
      <c r="K5178" s="3">
        <v>75.72</v>
      </c>
      <c r="L5178">
        <v>52.68</v>
      </c>
    </row>
    <row r="5179" spans="1:12">
      <c r="A5179" s="1">
        <v>46044</v>
      </c>
      <c r="B5179" t="s">
        <v>6972</v>
      </c>
      <c r="C5179">
        <v>24</v>
      </c>
      <c r="D5179" t="str">
        <f>VLOOKUP(Tabela26[[#This Row],[EMP]],[1]LOJA!$A:$B,2,0)</f>
        <v>LUZIÂNIA</v>
      </c>
      <c r="E5179">
        <v>192</v>
      </c>
      <c r="F5179" t="s">
        <v>3524</v>
      </c>
      <c r="G5179" t="s">
        <v>3402</v>
      </c>
      <c r="H5179" t="s">
        <v>3401</v>
      </c>
      <c r="I5179">
        <v>5405</v>
      </c>
      <c r="J5179" s="3">
        <v>25</v>
      </c>
      <c r="K5179" s="3">
        <v>6.92</v>
      </c>
      <c r="L5179">
        <v>72.319999999999993</v>
      </c>
    </row>
    <row r="5180" spans="1:12">
      <c r="A5180" s="1">
        <v>46044</v>
      </c>
      <c r="B5180" t="s">
        <v>6971</v>
      </c>
      <c r="C5180">
        <v>24</v>
      </c>
      <c r="D5180" t="str">
        <f>VLOOKUP(Tabela26[[#This Row],[EMP]],[1]LOJA!$A:$B,2,0)</f>
        <v>LUZIÂNIA</v>
      </c>
      <c r="E5180">
        <v>150</v>
      </c>
      <c r="F5180" t="s">
        <v>6970</v>
      </c>
      <c r="G5180" t="s">
        <v>3402</v>
      </c>
      <c r="H5180" t="s">
        <v>3408</v>
      </c>
      <c r="I5180">
        <v>5102</v>
      </c>
      <c r="J5180" s="3">
        <v>18</v>
      </c>
      <c r="K5180" s="3">
        <v>8.32</v>
      </c>
      <c r="L5180">
        <v>53.78</v>
      </c>
    </row>
    <row r="5181" spans="1:12">
      <c r="A5181" s="1">
        <v>46044</v>
      </c>
      <c r="B5181" t="s">
        <v>6969</v>
      </c>
      <c r="C5181">
        <v>24</v>
      </c>
      <c r="D5181" t="str">
        <f>VLOOKUP(Tabela26[[#This Row],[EMP]],[1]LOJA!$A:$B,2,0)</f>
        <v>LUZIÂNIA</v>
      </c>
      <c r="E5181">
        <v>192</v>
      </c>
      <c r="F5181" t="s">
        <v>6968</v>
      </c>
      <c r="G5181" t="s">
        <v>6967</v>
      </c>
      <c r="H5181" t="s">
        <v>3401</v>
      </c>
      <c r="I5181">
        <v>5102</v>
      </c>
      <c r="J5181" s="3">
        <v>33</v>
      </c>
      <c r="K5181" s="3">
        <v>18.62</v>
      </c>
      <c r="L5181">
        <v>43.58</v>
      </c>
    </row>
    <row r="5182" spans="1:12">
      <c r="A5182" s="1">
        <v>46044</v>
      </c>
      <c r="B5182" t="s">
        <v>6966</v>
      </c>
      <c r="C5182">
        <v>24</v>
      </c>
      <c r="D5182" t="str">
        <f>VLOOKUP(Tabela26[[#This Row],[EMP]],[1]LOJA!$A:$B,2,0)</f>
        <v>LUZIÂNIA</v>
      </c>
      <c r="E5182">
        <v>192</v>
      </c>
      <c r="F5182" t="s">
        <v>6955</v>
      </c>
      <c r="G5182" t="s">
        <v>6954</v>
      </c>
      <c r="H5182" t="s">
        <v>3401</v>
      </c>
      <c r="I5182">
        <v>5405</v>
      </c>
      <c r="J5182" s="3">
        <v>61</v>
      </c>
      <c r="K5182" s="3">
        <v>30.65</v>
      </c>
      <c r="L5182">
        <v>49.75</v>
      </c>
    </row>
    <row r="5183" spans="1:12">
      <c r="A5183" s="1">
        <v>46044</v>
      </c>
      <c r="B5183" t="s">
        <v>6965</v>
      </c>
      <c r="C5183">
        <v>24</v>
      </c>
      <c r="D5183" t="str">
        <f>VLOOKUP(Tabela26[[#This Row],[EMP]],[1]LOJA!$A:$B,2,0)</f>
        <v>LUZIÂNIA</v>
      </c>
      <c r="E5183">
        <v>150</v>
      </c>
      <c r="F5183" t="s">
        <v>4857</v>
      </c>
      <c r="G5183" t="s">
        <v>4856</v>
      </c>
      <c r="H5183" t="s">
        <v>3401</v>
      </c>
      <c r="I5183">
        <v>5102</v>
      </c>
      <c r="J5183" s="3">
        <v>101.4</v>
      </c>
      <c r="K5183" s="3">
        <v>69.25</v>
      </c>
      <c r="L5183">
        <v>31.71</v>
      </c>
    </row>
    <row r="5184" spans="1:12">
      <c r="A5184" s="1">
        <v>46044</v>
      </c>
      <c r="B5184" t="s">
        <v>6964</v>
      </c>
      <c r="C5184">
        <v>24</v>
      </c>
      <c r="D5184" t="str">
        <f>VLOOKUP(Tabela26[[#This Row],[EMP]],[1]LOJA!$A:$B,2,0)</f>
        <v>LUZIÂNIA</v>
      </c>
      <c r="E5184">
        <v>192</v>
      </c>
      <c r="F5184" t="s">
        <v>4194</v>
      </c>
      <c r="G5184" t="s">
        <v>4193</v>
      </c>
      <c r="H5184" t="s">
        <v>3401</v>
      </c>
      <c r="I5184">
        <v>5102</v>
      </c>
      <c r="J5184" s="3">
        <v>99.46</v>
      </c>
      <c r="K5184" s="3">
        <v>65.34</v>
      </c>
      <c r="L5184">
        <v>34.31</v>
      </c>
    </row>
    <row r="5185" spans="1:12">
      <c r="A5185" s="1">
        <v>46044</v>
      </c>
      <c r="B5185" t="s">
        <v>6963</v>
      </c>
      <c r="C5185">
        <v>24</v>
      </c>
      <c r="D5185" t="str">
        <f>VLOOKUP(Tabela26[[#This Row],[EMP]],[1]LOJA!$A:$B,2,0)</f>
        <v>LUZIÂNIA</v>
      </c>
      <c r="E5185">
        <v>150</v>
      </c>
      <c r="F5185" t="s">
        <v>6962</v>
      </c>
      <c r="G5185" t="s">
        <v>6961</v>
      </c>
      <c r="H5185" t="s">
        <v>3401</v>
      </c>
      <c r="I5185">
        <v>5405</v>
      </c>
      <c r="J5185" s="3">
        <v>445</v>
      </c>
      <c r="K5185" s="3">
        <v>253.4</v>
      </c>
      <c r="L5185">
        <v>43.06</v>
      </c>
    </row>
    <row r="5186" spans="1:12">
      <c r="A5186" s="1">
        <v>46044</v>
      </c>
      <c r="B5186" t="s">
        <v>6960</v>
      </c>
      <c r="C5186">
        <v>24</v>
      </c>
      <c r="D5186" t="str">
        <f>VLOOKUP(Tabela26[[#This Row],[EMP]],[1]LOJA!$A:$B,2,0)</f>
        <v>LUZIÂNIA</v>
      </c>
      <c r="E5186">
        <v>192</v>
      </c>
      <c r="F5186" t="s">
        <v>4169</v>
      </c>
      <c r="G5186" t="s">
        <v>4168</v>
      </c>
      <c r="H5186" t="s">
        <v>3401</v>
      </c>
      <c r="I5186">
        <v>5102</v>
      </c>
      <c r="J5186" s="3">
        <v>292.82</v>
      </c>
      <c r="K5186" s="3">
        <v>172.32</v>
      </c>
      <c r="L5186">
        <v>41.15</v>
      </c>
    </row>
    <row r="5187" spans="1:12">
      <c r="A5187" s="1">
        <v>46044</v>
      </c>
      <c r="B5187" t="s">
        <v>6959</v>
      </c>
      <c r="C5187">
        <v>24</v>
      </c>
      <c r="D5187" t="str">
        <f>VLOOKUP(Tabela26[[#This Row],[EMP]],[1]LOJA!$A:$B,2,0)</f>
        <v>LUZIÂNIA</v>
      </c>
      <c r="E5187">
        <v>150</v>
      </c>
      <c r="F5187" t="s">
        <v>3524</v>
      </c>
      <c r="G5187" t="s">
        <v>3402</v>
      </c>
      <c r="H5187" t="s">
        <v>3401</v>
      </c>
      <c r="I5187">
        <v>5405</v>
      </c>
      <c r="J5187" s="3">
        <v>230</v>
      </c>
      <c r="K5187" s="3">
        <v>136.29</v>
      </c>
      <c r="L5187">
        <v>40.74</v>
      </c>
    </row>
    <row r="5188" spans="1:12">
      <c r="A5188" s="1">
        <v>46044</v>
      </c>
      <c r="B5188" t="s">
        <v>6958</v>
      </c>
      <c r="C5188">
        <v>24</v>
      </c>
      <c r="D5188" t="str">
        <f>VLOOKUP(Tabela26[[#This Row],[EMP]],[1]LOJA!$A:$B,2,0)</f>
        <v>LUZIÂNIA</v>
      </c>
      <c r="E5188">
        <v>192</v>
      </c>
      <c r="F5188" t="s">
        <v>4189</v>
      </c>
      <c r="G5188" t="s">
        <v>4188</v>
      </c>
      <c r="H5188" t="s">
        <v>3401</v>
      </c>
      <c r="I5188">
        <v>5102</v>
      </c>
      <c r="J5188" s="3">
        <v>231.6</v>
      </c>
      <c r="K5188" s="3">
        <v>156.63999999999999</v>
      </c>
      <c r="L5188">
        <v>32.369999999999997</v>
      </c>
    </row>
    <row r="5189" spans="1:12">
      <c r="A5189" s="1">
        <v>46044</v>
      </c>
      <c r="B5189" t="s">
        <v>6957</v>
      </c>
      <c r="C5189">
        <v>24</v>
      </c>
      <c r="D5189" t="str">
        <f>VLOOKUP(Tabela26[[#This Row],[EMP]],[1]LOJA!$A:$B,2,0)</f>
        <v>LUZIÂNIA</v>
      </c>
      <c r="E5189">
        <v>192</v>
      </c>
      <c r="F5189" t="s">
        <v>3527</v>
      </c>
      <c r="G5189" t="s">
        <v>3526</v>
      </c>
      <c r="H5189" t="s">
        <v>3408</v>
      </c>
      <c r="I5189">
        <v>5405</v>
      </c>
      <c r="J5189" s="3">
        <v>309.3</v>
      </c>
      <c r="K5189" s="3">
        <v>168.05</v>
      </c>
      <c r="L5189">
        <v>45.67</v>
      </c>
    </row>
    <row r="5190" spans="1:12">
      <c r="A5190" s="1">
        <v>46044</v>
      </c>
      <c r="B5190" t="s">
        <v>6956</v>
      </c>
      <c r="C5190">
        <v>24</v>
      </c>
      <c r="D5190" t="str">
        <f>VLOOKUP(Tabela26[[#This Row],[EMP]],[1]LOJA!$A:$B,2,0)</f>
        <v>LUZIÂNIA</v>
      </c>
      <c r="E5190">
        <v>192</v>
      </c>
      <c r="F5190" t="s">
        <v>6955</v>
      </c>
      <c r="G5190" t="s">
        <v>6954</v>
      </c>
      <c r="H5190" t="s">
        <v>3408</v>
      </c>
      <c r="I5190">
        <v>5102</v>
      </c>
      <c r="J5190" s="3">
        <v>66</v>
      </c>
      <c r="K5190" s="3">
        <v>37.53</v>
      </c>
      <c r="L5190">
        <v>43.14</v>
      </c>
    </row>
    <row r="5191" spans="1:12">
      <c r="A5191" s="1">
        <v>46044</v>
      </c>
      <c r="B5191" t="s">
        <v>6953</v>
      </c>
      <c r="C5191">
        <v>24</v>
      </c>
      <c r="D5191" t="str">
        <f>VLOOKUP(Tabela26[[#This Row],[EMP]],[1]LOJA!$A:$B,2,0)</f>
        <v>LUZIÂNIA</v>
      </c>
      <c r="E5191">
        <v>192</v>
      </c>
      <c r="F5191" t="s">
        <v>3915</v>
      </c>
      <c r="G5191" t="s">
        <v>6952</v>
      </c>
      <c r="H5191" t="s">
        <v>3408</v>
      </c>
      <c r="I5191">
        <v>5405</v>
      </c>
      <c r="J5191" s="3">
        <v>55</v>
      </c>
      <c r="K5191" s="3">
        <v>26.53</v>
      </c>
      <c r="L5191">
        <v>51.76</v>
      </c>
    </row>
    <row r="5192" spans="1:12">
      <c r="A5192" s="1">
        <v>46044</v>
      </c>
      <c r="B5192" t="s">
        <v>6951</v>
      </c>
      <c r="C5192">
        <v>24</v>
      </c>
      <c r="D5192" t="str">
        <f>VLOOKUP(Tabela26[[#This Row],[EMP]],[1]LOJA!$A:$B,2,0)</f>
        <v>LUZIÂNIA</v>
      </c>
      <c r="E5192">
        <v>192</v>
      </c>
      <c r="F5192" t="s">
        <v>4880</v>
      </c>
      <c r="G5192" t="s">
        <v>4879</v>
      </c>
      <c r="H5192" t="s">
        <v>3408</v>
      </c>
      <c r="I5192">
        <v>5405</v>
      </c>
      <c r="J5192" s="3">
        <v>52.9</v>
      </c>
      <c r="K5192" s="3">
        <v>26.53</v>
      </c>
      <c r="L5192">
        <v>49.85</v>
      </c>
    </row>
    <row r="5193" spans="1:12">
      <c r="A5193" s="1">
        <v>46044</v>
      </c>
      <c r="B5193" t="s">
        <v>6950</v>
      </c>
      <c r="C5193">
        <v>24</v>
      </c>
      <c r="D5193" t="str">
        <f>VLOOKUP(Tabela26[[#This Row],[EMP]],[1]LOJA!$A:$B,2,0)</f>
        <v>LUZIÂNIA</v>
      </c>
      <c r="E5193">
        <v>192</v>
      </c>
      <c r="F5193" t="s">
        <v>4843</v>
      </c>
      <c r="G5193" t="s">
        <v>4842</v>
      </c>
      <c r="H5193" t="s">
        <v>3401</v>
      </c>
      <c r="I5193">
        <v>5102</v>
      </c>
      <c r="J5193" s="3">
        <v>157</v>
      </c>
      <c r="K5193" s="3">
        <v>89.44</v>
      </c>
      <c r="L5193">
        <v>43.03</v>
      </c>
    </row>
    <row r="5194" spans="1:12">
      <c r="A5194" s="1">
        <v>46044</v>
      </c>
      <c r="B5194" t="s">
        <v>6949</v>
      </c>
      <c r="C5194">
        <v>24</v>
      </c>
      <c r="D5194" t="str">
        <f>VLOOKUP(Tabela26[[#This Row],[EMP]],[1]LOJA!$A:$B,2,0)</f>
        <v>LUZIÂNIA</v>
      </c>
      <c r="E5194">
        <v>150</v>
      </c>
      <c r="F5194" t="s">
        <v>5445</v>
      </c>
      <c r="G5194" t="s">
        <v>5444</v>
      </c>
      <c r="H5194" t="s">
        <v>3408</v>
      </c>
      <c r="I5194">
        <v>5102</v>
      </c>
      <c r="J5194" s="3">
        <v>140</v>
      </c>
      <c r="K5194" s="3">
        <v>84.66</v>
      </c>
      <c r="L5194">
        <v>39.53</v>
      </c>
    </row>
    <row r="5195" spans="1:12">
      <c r="A5195" s="1">
        <v>46044</v>
      </c>
      <c r="B5195" t="s">
        <v>6948</v>
      </c>
      <c r="C5195">
        <v>24</v>
      </c>
      <c r="D5195" t="str">
        <f>VLOOKUP(Tabela26[[#This Row],[EMP]],[1]LOJA!$A:$B,2,0)</f>
        <v>LUZIÂNIA</v>
      </c>
      <c r="E5195">
        <v>150</v>
      </c>
      <c r="F5195" t="s">
        <v>5404</v>
      </c>
      <c r="G5195" t="s">
        <v>5403</v>
      </c>
      <c r="H5195" t="s">
        <v>3408</v>
      </c>
      <c r="I5195">
        <v>5405</v>
      </c>
      <c r="J5195" s="3">
        <v>125</v>
      </c>
      <c r="K5195" s="3">
        <v>54.75</v>
      </c>
      <c r="L5195">
        <v>56.2</v>
      </c>
    </row>
    <row r="5196" spans="1:12">
      <c r="A5196" s="1">
        <v>46044</v>
      </c>
      <c r="B5196" t="s">
        <v>6947</v>
      </c>
      <c r="C5196">
        <v>24</v>
      </c>
      <c r="D5196" t="str">
        <f>VLOOKUP(Tabela26[[#This Row],[EMP]],[1]LOJA!$A:$B,2,0)</f>
        <v>LUZIÂNIA</v>
      </c>
      <c r="E5196">
        <v>150</v>
      </c>
      <c r="F5196" t="s">
        <v>4235</v>
      </c>
      <c r="G5196" t="s">
        <v>3402</v>
      </c>
      <c r="H5196" t="s">
        <v>3408</v>
      </c>
      <c r="I5196">
        <v>5405</v>
      </c>
      <c r="J5196" s="3">
        <v>110</v>
      </c>
      <c r="K5196" s="3">
        <v>53.79</v>
      </c>
      <c r="L5196">
        <v>51.1</v>
      </c>
    </row>
    <row r="5197" spans="1:12">
      <c r="A5197" s="1">
        <v>46044</v>
      </c>
      <c r="B5197" t="s">
        <v>6946</v>
      </c>
      <c r="C5197">
        <v>24</v>
      </c>
      <c r="D5197" t="str">
        <f>VLOOKUP(Tabela26[[#This Row],[EMP]],[1]LOJA!$A:$B,2,0)</f>
        <v>LUZIÂNIA</v>
      </c>
      <c r="E5197">
        <v>242</v>
      </c>
      <c r="F5197" t="s">
        <v>6945</v>
      </c>
      <c r="G5197" t="s">
        <v>6944</v>
      </c>
      <c r="H5197" t="s">
        <v>3401</v>
      </c>
      <c r="I5197">
        <v>5102</v>
      </c>
      <c r="J5197" s="3">
        <v>132</v>
      </c>
      <c r="K5197" s="3">
        <v>61.04</v>
      </c>
      <c r="L5197">
        <v>53.76</v>
      </c>
    </row>
    <row r="5198" spans="1:12">
      <c r="A5198" s="1">
        <v>46044</v>
      </c>
      <c r="B5198" t="s">
        <v>6943</v>
      </c>
      <c r="C5198">
        <v>24</v>
      </c>
      <c r="D5198" t="str">
        <f>VLOOKUP(Tabela26[[#This Row],[EMP]],[1]LOJA!$A:$B,2,0)</f>
        <v>LUZIÂNIA</v>
      </c>
      <c r="E5198">
        <v>242</v>
      </c>
      <c r="F5198" t="s">
        <v>3524</v>
      </c>
      <c r="G5198" t="s">
        <v>3402</v>
      </c>
      <c r="H5198" t="s">
        <v>3401</v>
      </c>
      <c r="I5198">
        <v>5102</v>
      </c>
      <c r="J5198" s="3">
        <v>9</v>
      </c>
      <c r="K5198" s="3">
        <v>4.16</v>
      </c>
      <c r="L5198">
        <v>53.78</v>
      </c>
    </row>
    <row r="5199" spans="1:12">
      <c r="A5199" s="1">
        <v>46044</v>
      </c>
      <c r="B5199" t="s">
        <v>6942</v>
      </c>
      <c r="C5199">
        <v>24</v>
      </c>
      <c r="D5199" t="str">
        <f>VLOOKUP(Tabela26[[#This Row],[EMP]],[1]LOJA!$A:$B,2,0)</f>
        <v>LUZIÂNIA</v>
      </c>
      <c r="E5199">
        <v>192</v>
      </c>
      <c r="F5199" t="s">
        <v>3524</v>
      </c>
      <c r="G5199" t="s">
        <v>3402</v>
      </c>
      <c r="H5199" t="s">
        <v>3401</v>
      </c>
      <c r="I5199">
        <v>5102</v>
      </c>
      <c r="J5199" s="3">
        <v>36</v>
      </c>
      <c r="K5199" s="3">
        <v>17.38</v>
      </c>
      <c r="L5199">
        <v>51.72</v>
      </c>
    </row>
    <row r="5200" spans="1:12">
      <c r="A5200" s="1">
        <v>46044</v>
      </c>
      <c r="B5200" t="s">
        <v>6941</v>
      </c>
      <c r="C5200">
        <v>24</v>
      </c>
      <c r="D5200" t="str">
        <f>VLOOKUP(Tabela26[[#This Row],[EMP]],[1]LOJA!$A:$B,2,0)</f>
        <v>LUZIÂNIA</v>
      </c>
      <c r="E5200">
        <v>192</v>
      </c>
      <c r="F5200" t="s">
        <v>3524</v>
      </c>
      <c r="G5200" t="s">
        <v>3402</v>
      </c>
      <c r="H5200" t="s">
        <v>3401</v>
      </c>
      <c r="I5200">
        <v>5102</v>
      </c>
      <c r="J5200" s="3">
        <v>36</v>
      </c>
      <c r="K5200" s="3">
        <v>11.66</v>
      </c>
      <c r="L5200">
        <v>67.61</v>
      </c>
    </row>
    <row r="5201" spans="1:12">
      <c r="A5201" s="1">
        <v>46044</v>
      </c>
      <c r="B5201" t="s">
        <v>6940</v>
      </c>
      <c r="C5201">
        <v>24</v>
      </c>
      <c r="D5201" t="str">
        <f>VLOOKUP(Tabela26[[#This Row],[EMP]],[1]LOJA!$A:$B,2,0)</f>
        <v>LUZIÂNIA</v>
      </c>
      <c r="E5201">
        <v>192</v>
      </c>
      <c r="F5201" t="s">
        <v>5372</v>
      </c>
      <c r="G5201" t="s">
        <v>5371</v>
      </c>
      <c r="H5201" t="s">
        <v>3401</v>
      </c>
      <c r="I5201">
        <v>5102</v>
      </c>
      <c r="J5201" s="3">
        <v>38</v>
      </c>
      <c r="K5201" s="3">
        <v>21.97</v>
      </c>
      <c r="L5201">
        <v>42.18</v>
      </c>
    </row>
    <row r="5202" spans="1:12">
      <c r="A5202" s="1">
        <v>46044</v>
      </c>
      <c r="B5202" t="s">
        <v>6939</v>
      </c>
      <c r="C5202">
        <v>24</v>
      </c>
      <c r="D5202" t="str">
        <f>VLOOKUP(Tabela26[[#This Row],[EMP]],[1]LOJA!$A:$B,2,0)</f>
        <v>LUZIÂNIA</v>
      </c>
      <c r="E5202">
        <v>192</v>
      </c>
      <c r="F5202" t="s">
        <v>3524</v>
      </c>
      <c r="G5202" t="s">
        <v>3402</v>
      </c>
      <c r="H5202" t="s">
        <v>3401</v>
      </c>
      <c r="I5202">
        <v>5405</v>
      </c>
      <c r="J5202" s="3">
        <v>145</v>
      </c>
      <c r="K5202" s="3">
        <v>94.66</v>
      </c>
      <c r="L5202">
        <v>34.72</v>
      </c>
    </row>
    <row r="5203" spans="1:12">
      <c r="A5203" s="1">
        <v>46044</v>
      </c>
      <c r="B5203" t="s">
        <v>6938</v>
      </c>
      <c r="C5203">
        <v>24</v>
      </c>
      <c r="D5203" t="str">
        <f>VLOOKUP(Tabela26[[#This Row],[EMP]],[1]LOJA!$A:$B,2,0)</f>
        <v>LUZIÂNIA</v>
      </c>
      <c r="E5203">
        <v>192</v>
      </c>
      <c r="F5203" t="s">
        <v>3524</v>
      </c>
      <c r="G5203" t="s">
        <v>3402</v>
      </c>
      <c r="H5203" t="s">
        <v>3401</v>
      </c>
      <c r="I5203">
        <v>5102</v>
      </c>
      <c r="J5203" s="3">
        <v>66</v>
      </c>
      <c r="K5203" s="3">
        <v>38.049999999999997</v>
      </c>
      <c r="L5203">
        <v>42.35</v>
      </c>
    </row>
    <row r="5204" spans="1:12">
      <c r="A5204" s="1">
        <v>46044</v>
      </c>
      <c r="B5204" t="s">
        <v>6937</v>
      </c>
      <c r="C5204">
        <v>24</v>
      </c>
      <c r="D5204" t="str">
        <f>VLOOKUP(Tabela26[[#This Row],[EMP]],[1]LOJA!$A:$B,2,0)</f>
        <v>LUZIÂNIA</v>
      </c>
      <c r="E5204">
        <v>192</v>
      </c>
      <c r="F5204" t="s">
        <v>6936</v>
      </c>
      <c r="G5204" t="s">
        <v>6935</v>
      </c>
      <c r="H5204" t="s">
        <v>3401</v>
      </c>
      <c r="I5204">
        <v>5102</v>
      </c>
      <c r="J5204" s="3">
        <v>135</v>
      </c>
      <c r="K5204" s="3">
        <v>73.36</v>
      </c>
      <c r="L5204">
        <v>45.66</v>
      </c>
    </row>
    <row r="5205" spans="1:12">
      <c r="A5205" s="1">
        <v>46044</v>
      </c>
      <c r="B5205" t="s">
        <v>6934</v>
      </c>
      <c r="C5205">
        <v>24</v>
      </c>
      <c r="D5205" t="str">
        <f>VLOOKUP(Tabela26[[#This Row],[EMP]],[1]LOJA!$A:$B,2,0)</f>
        <v>LUZIÂNIA</v>
      </c>
      <c r="E5205">
        <v>192</v>
      </c>
      <c r="F5205" t="s">
        <v>4843</v>
      </c>
      <c r="G5205" t="s">
        <v>4842</v>
      </c>
      <c r="H5205" t="s">
        <v>3408</v>
      </c>
      <c r="I5205">
        <v>5405</v>
      </c>
      <c r="J5205" s="3">
        <v>46</v>
      </c>
      <c r="K5205" s="3">
        <v>20.39</v>
      </c>
      <c r="L5205">
        <v>55.67</v>
      </c>
    </row>
    <row r="5206" spans="1:12">
      <c r="A5206" s="1">
        <v>46044</v>
      </c>
      <c r="B5206" t="s">
        <v>6933</v>
      </c>
      <c r="C5206">
        <v>24</v>
      </c>
      <c r="D5206" t="str">
        <f>VLOOKUP(Tabela26[[#This Row],[EMP]],[1]LOJA!$A:$B,2,0)</f>
        <v>LUZIÂNIA</v>
      </c>
      <c r="E5206">
        <v>192</v>
      </c>
      <c r="F5206" t="s">
        <v>4837</v>
      </c>
      <c r="G5206" t="s">
        <v>4836</v>
      </c>
      <c r="H5206" t="s">
        <v>3408</v>
      </c>
      <c r="I5206">
        <v>5405</v>
      </c>
      <c r="J5206" s="3">
        <v>165</v>
      </c>
      <c r="K5206" s="3">
        <v>69.44</v>
      </c>
      <c r="L5206">
        <v>57.92</v>
      </c>
    </row>
    <row r="5207" spans="1:12">
      <c r="A5207" s="1">
        <v>46044</v>
      </c>
      <c r="B5207" t="s">
        <v>6932</v>
      </c>
      <c r="C5207">
        <v>24</v>
      </c>
      <c r="D5207" t="str">
        <f>VLOOKUP(Tabela26[[#This Row],[EMP]],[1]LOJA!$A:$B,2,0)</f>
        <v>LUZIÂNIA</v>
      </c>
      <c r="E5207">
        <v>192</v>
      </c>
      <c r="F5207" t="s">
        <v>4224</v>
      </c>
      <c r="G5207" t="s">
        <v>3402</v>
      </c>
      <c r="H5207" t="s">
        <v>3408</v>
      </c>
      <c r="I5207">
        <v>5405</v>
      </c>
      <c r="J5207" s="3">
        <v>203</v>
      </c>
      <c r="K5207" s="3">
        <v>91.89</v>
      </c>
      <c r="L5207">
        <v>54.73</v>
      </c>
    </row>
    <row r="5208" spans="1:12">
      <c r="A5208" s="1">
        <v>46044</v>
      </c>
      <c r="B5208" t="s">
        <v>6931</v>
      </c>
      <c r="C5208">
        <v>24</v>
      </c>
      <c r="D5208" t="str">
        <f>VLOOKUP(Tabela26[[#This Row],[EMP]],[1]LOJA!$A:$B,2,0)</f>
        <v>LUZIÂNIA</v>
      </c>
      <c r="E5208">
        <v>192</v>
      </c>
      <c r="F5208" t="s">
        <v>3524</v>
      </c>
      <c r="G5208" t="s">
        <v>3402</v>
      </c>
      <c r="H5208" t="s">
        <v>3401</v>
      </c>
      <c r="I5208">
        <v>5405</v>
      </c>
      <c r="J5208" s="3">
        <v>130</v>
      </c>
      <c r="K5208" s="3">
        <v>66.239999999999995</v>
      </c>
      <c r="L5208">
        <v>49.05</v>
      </c>
    </row>
    <row r="5209" spans="1:12">
      <c r="A5209" s="1">
        <v>46044</v>
      </c>
      <c r="B5209" t="s">
        <v>6930</v>
      </c>
      <c r="C5209">
        <v>24</v>
      </c>
      <c r="D5209" t="str">
        <f>VLOOKUP(Tabela26[[#This Row],[EMP]],[1]LOJA!$A:$B,2,0)</f>
        <v>LUZIÂNIA</v>
      </c>
      <c r="E5209">
        <v>150</v>
      </c>
      <c r="F5209" t="s">
        <v>6929</v>
      </c>
      <c r="G5209" t="s">
        <v>3402</v>
      </c>
      <c r="H5209" t="s">
        <v>3408</v>
      </c>
      <c r="I5209">
        <v>5405</v>
      </c>
      <c r="J5209" s="3">
        <v>63</v>
      </c>
      <c r="K5209" s="3">
        <v>30.1</v>
      </c>
      <c r="L5209">
        <v>52.22</v>
      </c>
    </row>
    <row r="5210" spans="1:12">
      <c r="A5210" s="1">
        <v>46044</v>
      </c>
      <c r="B5210" t="s">
        <v>6928</v>
      </c>
      <c r="C5210">
        <v>24</v>
      </c>
      <c r="D5210" t="str">
        <f>VLOOKUP(Tabela26[[#This Row],[EMP]],[1]LOJA!$A:$B,2,0)</f>
        <v>LUZIÂNIA</v>
      </c>
      <c r="E5210">
        <v>192</v>
      </c>
      <c r="F5210" t="s">
        <v>3524</v>
      </c>
      <c r="G5210" t="s">
        <v>3402</v>
      </c>
      <c r="H5210" t="s">
        <v>3401</v>
      </c>
      <c r="I5210">
        <v>5102</v>
      </c>
      <c r="J5210" s="3">
        <v>24</v>
      </c>
      <c r="K5210" s="3">
        <v>13.5</v>
      </c>
      <c r="L5210">
        <v>43.75</v>
      </c>
    </row>
    <row r="5211" spans="1:12">
      <c r="A5211" s="1">
        <v>46044</v>
      </c>
      <c r="B5211" t="s">
        <v>6927</v>
      </c>
      <c r="C5211">
        <v>24</v>
      </c>
      <c r="D5211" t="str">
        <f>VLOOKUP(Tabela26[[#This Row],[EMP]],[1]LOJA!$A:$B,2,0)</f>
        <v>LUZIÂNIA</v>
      </c>
      <c r="E5211">
        <v>150</v>
      </c>
      <c r="F5211" t="s">
        <v>4176</v>
      </c>
      <c r="G5211" t="s">
        <v>4175</v>
      </c>
      <c r="H5211" t="s">
        <v>3408</v>
      </c>
      <c r="I5211">
        <v>5405</v>
      </c>
      <c r="J5211" s="3">
        <v>165</v>
      </c>
      <c r="K5211" s="3">
        <v>77.569999999999993</v>
      </c>
      <c r="L5211">
        <v>52.99</v>
      </c>
    </row>
    <row r="5212" spans="1:12">
      <c r="A5212" s="1">
        <v>46044</v>
      </c>
      <c r="B5212" t="s">
        <v>6926</v>
      </c>
      <c r="C5212">
        <v>24</v>
      </c>
      <c r="D5212" t="str">
        <f>VLOOKUP(Tabela26[[#This Row],[EMP]],[1]LOJA!$A:$B,2,0)</f>
        <v>LUZIÂNIA</v>
      </c>
      <c r="E5212">
        <v>150</v>
      </c>
      <c r="F5212" t="s">
        <v>5449</v>
      </c>
      <c r="G5212" t="s">
        <v>5448</v>
      </c>
      <c r="H5212" t="s">
        <v>3408</v>
      </c>
      <c r="I5212">
        <v>5102</v>
      </c>
      <c r="J5212" s="3">
        <v>140</v>
      </c>
      <c r="K5212" s="3">
        <v>74.739999999999995</v>
      </c>
      <c r="L5212">
        <v>46.61</v>
      </c>
    </row>
    <row r="5213" spans="1:12">
      <c r="A5213" s="1">
        <v>46044</v>
      </c>
      <c r="B5213" t="s">
        <v>6925</v>
      </c>
      <c r="C5213">
        <v>24</v>
      </c>
      <c r="D5213" t="str">
        <f>VLOOKUP(Tabela26[[#This Row],[EMP]],[1]LOJA!$A:$B,2,0)</f>
        <v>LUZIÂNIA</v>
      </c>
      <c r="E5213">
        <v>192</v>
      </c>
      <c r="F5213" t="s">
        <v>4184</v>
      </c>
      <c r="G5213" t="s">
        <v>3402</v>
      </c>
      <c r="H5213" t="s">
        <v>3408</v>
      </c>
      <c r="I5213">
        <v>5102</v>
      </c>
      <c r="J5213" s="3">
        <v>54</v>
      </c>
      <c r="K5213" s="3">
        <v>25.46</v>
      </c>
      <c r="L5213">
        <v>52.85</v>
      </c>
    </row>
    <row r="5214" spans="1:12">
      <c r="A5214" s="1">
        <v>46044</v>
      </c>
      <c r="B5214" t="s">
        <v>6924</v>
      </c>
      <c r="C5214">
        <v>24</v>
      </c>
      <c r="D5214" t="str">
        <f>VLOOKUP(Tabela26[[#This Row],[EMP]],[1]LOJA!$A:$B,2,0)</f>
        <v>LUZIÂNIA</v>
      </c>
      <c r="E5214">
        <v>192</v>
      </c>
      <c r="F5214" t="s">
        <v>4169</v>
      </c>
      <c r="G5214" t="s">
        <v>4168</v>
      </c>
      <c r="H5214" t="s">
        <v>3401</v>
      </c>
      <c r="I5214">
        <v>5405</v>
      </c>
      <c r="J5214" s="3">
        <v>294</v>
      </c>
      <c r="K5214" s="3">
        <v>140.16999999999999</v>
      </c>
      <c r="L5214">
        <v>52.32</v>
      </c>
    </row>
    <row r="5215" spans="1:12">
      <c r="A5215" s="1">
        <v>46044</v>
      </c>
      <c r="B5215" t="s">
        <v>6923</v>
      </c>
      <c r="C5215">
        <v>24</v>
      </c>
      <c r="D5215" t="str">
        <f>VLOOKUP(Tabela26[[#This Row],[EMP]],[1]LOJA!$A:$B,2,0)</f>
        <v>LUZIÂNIA</v>
      </c>
      <c r="E5215">
        <v>192</v>
      </c>
      <c r="F5215" t="s">
        <v>4883</v>
      </c>
      <c r="G5215" t="s">
        <v>4882</v>
      </c>
      <c r="H5215" t="s">
        <v>3401</v>
      </c>
      <c r="I5215">
        <v>5405</v>
      </c>
      <c r="J5215" s="3">
        <v>44</v>
      </c>
      <c r="K5215" s="3">
        <v>21.89</v>
      </c>
      <c r="L5215">
        <v>50.25</v>
      </c>
    </row>
    <row r="5216" spans="1:12">
      <c r="A5216" s="1">
        <v>46044</v>
      </c>
      <c r="B5216" t="s">
        <v>6922</v>
      </c>
      <c r="C5216">
        <v>24</v>
      </c>
      <c r="D5216" t="str">
        <f>VLOOKUP(Tabela26[[#This Row],[EMP]],[1]LOJA!$A:$B,2,0)</f>
        <v>LUZIÂNIA</v>
      </c>
      <c r="E5216">
        <v>192</v>
      </c>
      <c r="F5216" t="s">
        <v>3524</v>
      </c>
      <c r="G5216" t="s">
        <v>3402</v>
      </c>
      <c r="H5216" t="s">
        <v>3401</v>
      </c>
      <c r="I5216">
        <v>5102</v>
      </c>
      <c r="J5216" s="3">
        <v>70</v>
      </c>
      <c r="K5216" s="3">
        <v>41.7</v>
      </c>
      <c r="L5216">
        <v>40.43</v>
      </c>
    </row>
    <row r="5217" spans="1:12">
      <c r="A5217" s="1">
        <v>46044</v>
      </c>
      <c r="B5217" t="s">
        <v>6921</v>
      </c>
      <c r="C5217">
        <v>24</v>
      </c>
      <c r="D5217" t="str">
        <f>VLOOKUP(Tabela26[[#This Row],[EMP]],[1]LOJA!$A:$B,2,0)</f>
        <v>LUZIÂNIA</v>
      </c>
      <c r="E5217">
        <v>150</v>
      </c>
      <c r="F5217" t="s">
        <v>5409</v>
      </c>
      <c r="G5217" t="s">
        <v>5408</v>
      </c>
      <c r="H5217" t="s">
        <v>3401</v>
      </c>
      <c r="I5217">
        <v>5405</v>
      </c>
      <c r="J5217" s="3">
        <v>120</v>
      </c>
      <c r="K5217" s="3">
        <v>61.29</v>
      </c>
      <c r="L5217">
        <v>48.93</v>
      </c>
    </row>
    <row r="5218" spans="1:12">
      <c r="A5218" s="1">
        <v>46044</v>
      </c>
      <c r="B5218" t="s">
        <v>6920</v>
      </c>
      <c r="C5218">
        <v>24</v>
      </c>
      <c r="D5218" t="str">
        <f>VLOOKUP(Tabela26[[#This Row],[EMP]],[1]LOJA!$A:$B,2,0)</f>
        <v>LUZIÂNIA</v>
      </c>
      <c r="E5218">
        <v>192</v>
      </c>
      <c r="F5218" t="s">
        <v>3524</v>
      </c>
      <c r="G5218" t="s">
        <v>3402</v>
      </c>
      <c r="H5218" t="s">
        <v>3401</v>
      </c>
      <c r="I5218">
        <v>5102</v>
      </c>
      <c r="J5218" s="3">
        <v>61</v>
      </c>
      <c r="K5218" s="3">
        <v>31.3</v>
      </c>
      <c r="L5218">
        <v>48.69</v>
      </c>
    </row>
    <row r="5219" spans="1:12">
      <c r="A5219" s="1">
        <v>46044</v>
      </c>
      <c r="B5219" t="s">
        <v>6919</v>
      </c>
      <c r="C5219">
        <v>24</v>
      </c>
      <c r="D5219" t="str">
        <f>VLOOKUP(Tabela26[[#This Row],[EMP]],[1]LOJA!$A:$B,2,0)</f>
        <v>LUZIÂNIA</v>
      </c>
      <c r="E5219">
        <v>192</v>
      </c>
      <c r="F5219" t="s">
        <v>4892</v>
      </c>
      <c r="G5219" t="s">
        <v>4891</v>
      </c>
      <c r="H5219" t="s">
        <v>3401</v>
      </c>
      <c r="I5219">
        <v>5405</v>
      </c>
      <c r="J5219" s="3">
        <v>89</v>
      </c>
      <c r="K5219" s="3">
        <v>41.4</v>
      </c>
      <c r="L5219">
        <v>53.48</v>
      </c>
    </row>
    <row r="5220" spans="1:12">
      <c r="A5220" s="1">
        <v>46044</v>
      </c>
      <c r="B5220" t="s">
        <v>6918</v>
      </c>
      <c r="C5220">
        <v>24</v>
      </c>
      <c r="D5220" t="str">
        <f>VLOOKUP(Tabela26[[#This Row],[EMP]],[1]LOJA!$A:$B,2,0)</f>
        <v>LUZIÂNIA</v>
      </c>
      <c r="E5220">
        <v>192</v>
      </c>
      <c r="F5220" t="s">
        <v>4857</v>
      </c>
      <c r="G5220" t="s">
        <v>4856</v>
      </c>
      <c r="H5220" t="s">
        <v>3401</v>
      </c>
      <c r="I5220">
        <v>5405</v>
      </c>
      <c r="J5220" s="3">
        <v>44</v>
      </c>
      <c r="K5220" s="3">
        <v>19.45</v>
      </c>
      <c r="L5220">
        <v>55.8</v>
      </c>
    </row>
    <row r="5221" spans="1:12">
      <c r="A5221" s="1">
        <v>46044</v>
      </c>
      <c r="B5221" t="s">
        <v>6917</v>
      </c>
      <c r="C5221">
        <v>24</v>
      </c>
      <c r="D5221" t="str">
        <f>VLOOKUP(Tabela26[[#This Row],[EMP]],[1]LOJA!$A:$B,2,0)</f>
        <v>LUZIÂNIA</v>
      </c>
      <c r="E5221">
        <v>192</v>
      </c>
      <c r="F5221" t="s">
        <v>3524</v>
      </c>
      <c r="G5221" t="s">
        <v>3402</v>
      </c>
      <c r="H5221" t="s">
        <v>3401</v>
      </c>
      <c r="I5221">
        <v>5102</v>
      </c>
      <c r="J5221" s="3">
        <v>22</v>
      </c>
      <c r="K5221" s="3">
        <v>12.51</v>
      </c>
      <c r="L5221">
        <v>43.14</v>
      </c>
    </row>
    <row r="5222" spans="1:12">
      <c r="A5222" s="1">
        <v>46044</v>
      </c>
      <c r="B5222" t="s">
        <v>6916</v>
      </c>
      <c r="C5222">
        <v>24</v>
      </c>
      <c r="D5222" t="str">
        <f>VLOOKUP(Tabela26[[#This Row],[EMP]],[1]LOJA!$A:$B,2,0)</f>
        <v>LUZIÂNIA</v>
      </c>
      <c r="E5222">
        <v>192</v>
      </c>
      <c r="F5222" t="s">
        <v>3524</v>
      </c>
      <c r="G5222" t="s">
        <v>3402</v>
      </c>
      <c r="H5222" t="s">
        <v>3401</v>
      </c>
      <c r="I5222">
        <v>5102</v>
      </c>
      <c r="J5222" s="3">
        <v>5</v>
      </c>
      <c r="K5222" s="3">
        <v>3.28</v>
      </c>
      <c r="L5222">
        <v>34.4</v>
      </c>
    </row>
    <row r="5223" spans="1:12">
      <c r="A5223" s="1">
        <v>46044</v>
      </c>
      <c r="B5223" t="s">
        <v>6915</v>
      </c>
      <c r="C5223">
        <v>24</v>
      </c>
      <c r="D5223" t="str">
        <f>VLOOKUP(Tabela26[[#This Row],[EMP]],[1]LOJA!$A:$B,2,0)</f>
        <v>LUZIÂNIA</v>
      </c>
      <c r="E5223">
        <v>150</v>
      </c>
      <c r="F5223" t="s">
        <v>3524</v>
      </c>
      <c r="G5223" t="s">
        <v>3402</v>
      </c>
      <c r="H5223" t="s">
        <v>3401</v>
      </c>
      <c r="I5223">
        <v>5102</v>
      </c>
      <c r="J5223" s="3">
        <v>75</v>
      </c>
      <c r="K5223" s="3">
        <v>30.35</v>
      </c>
      <c r="L5223">
        <v>59.53</v>
      </c>
    </row>
    <row r="5224" spans="1:12">
      <c r="A5224" s="1">
        <v>46044</v>
      </c>
      <c r="B5224" t="s">
        <v>6914</v>
      </c>
      <c r="C5224">
        <v>24</v>
      </c>
      <c r="D5224" t="str">
        <f>VLOOKUP(Tabela26[[#This Row],[EMP]],[1]LOJA!$A:$B,2,0)</f>
        <v>LUZIÂNIA</v>
      </c>
      <c r="E5224">
        <v>192</v>
      </c>
      <c r="F5224" t="s">
        <v>3524</v>
      </c>
      <c r="G5224" t="s">
        <v>3402</v>
      </c>
      <c r="H5224" t="s">
        <v>3401</v>
      </c>
      <c r="I5224">
        <v>5405</v>
      </c>
      <c r="J5224" s="3">
        <v>215</v>
      </c>
      <c r="K5224" s="3">
        <v>125.72</v>
      </c>
      <c r="L5224">
        <v>41.53</v>
      </c>
    </row>
    <row r="5225" spans="1:12">
      <c r="A5225" s="1">
        <v>46044</v>
      </c>
      <c r="B5225" t="s">
        <v>6913</v>
      </c>
      <c r="C5225">
        <v>24</v>
      </c>
      <c r="D5225" t="str">
        <f>VLOOKUP(Tabela26[[#This Row],[EMP]],[1]LOJA!$A:$B,2,0)</f>
        <v>LUZIÂNIA</v>
      </c>
      <c r="E5225">
        <v>150</v>
      </c>
      <c r="F5225" t="s">
        <v>6159</v>
      </c>
      <c r="G5225" t="s">
        <v>4181</v>
      </c>
      <c r="H5225" t="s">
        <v>3401</v>
      </c>
      <c r="I5225">
        <v>5405</v>
      </c>
      <c r="J5225" s="3">
        <v>310</v>
      </c>
      <c r="K5225" s="3">
        <v>156.68</v>
      </c>
      <c r="L5225">
        <v>49.46</v>
      </c>
    </row>
    <row r="5226" spans="1:12">
      <c r="A5226" s="1">
        <v>46044</v>
      </c>
      <c r="B5226" t="s">
        <v>6912</v>
      </c>
      <c r="C5226">
        <v>24</v>
      </c>
      <c r="D5226" t="str">
        <f>VLOOKUP(Tabela26[[#This Row],[EMP]],[1]LOJA!$A:$B,2,0)</f>
        <v>LUZIÂNIA</v>
      </c>
      <c r="E5226">
        <v>192</v>
      </c>
      <c r="F5226" t="s">
        <v>3524</v>
      </c>
      <c r="G5226" t="s">
        <v>3402</v>
      </c>
      <c r="H5226" t="s">
        <v>3401</v>
      </c>
      <c r="I5226">
        <v>5102</v>
      </c>
      <c r="J5226" s="3">
        <v>23</v>
      </c>
      <c r="K5226" s="3">
        <v>12.49</v>
      </c>
      <c r="L5226">
        <v>45.7</v>
      </c>
    </row>
    <row r="5227" spans="1:12">
      <c r="A5227" s="1">
        <v>46044</v>
      </c>
      <c r="B5227" t="s">
        <v>6911</v>
      </c>
      <c r="C5227">
        <v>12</v>
      </c>
      <c r="D5227" t="str">
        <f>VLOOKUP(Tabela26[[#This Row],[EMP]],[1]LOJA!$A:$B,2,0)</f>
        <v>SOFNORTE</v>
      </c>
      <c r="E5227">
        <v>60</v>
      </c>
      <c r="F5227" t="s">
        <v>3518</v>
      </c>
      <c r="G5227" t="s">
        <v>3517</v>
      </c>
      <c r="H5227" t="s">
        <v>3430</v>
      </c>
      <c r="I5227">
        <v>5405</v>
      </c>
      <c r="J5227" s="3">
        <v>86</v>
      </c>
      <c r="K5227" s="3">
        <v>41.11</v>
      </c>
      <c r="L5227">
        <v>52.2</v>
      </c>
    </row>
    <row r="5228" spans="1:12">
      <c r="A5228" s="1">
        <v>46044</v>
      </c>
      <c r="B5228" t="s">
        <v>6910</v>
      </c>
      <c r="C5228">
        <v>12</v>
      </c>
      <c r="D5228" t="str">
        <f>VLOOKUP(Tabela26[[#This Row],[EMP]],[1]LOJA!$A:$B,2,0)</f>
        <v>SOFNORTE</v>
      </c>
      <c r="E5228">
        <v>60</v>
      </c>
      <c r="F5228" t="s">
        <v>4159</v>
      </c>
      <c r="G5228" t="s">
        <v>4158</v>
      </c>
      <c r="H5228" t="s">
        <v>3430</v>
      </c>
      <c r="I5228">
        <v>5405</v>
      </c>
      <c r="J5228" s="3">
        <v>318.51</v>
      </c>
      <c r="K5228" s="3">
        <v>200.37</v>
      </c>
      <c r="L5228">
        <v>37.090000000000003</v>
      </c>
    </row>
    <row r="5229" spans="1:12">
      <c r="A5229" s="1">
        <v>46044</v>
      </c>
      <c r="B5229" t="s">
        <v>6909</v>
      </c>
      <c r="C5229">
        <v>12</v>
      </c>
      <c r="D5229" t="str">
        <f>VLOOKUP(Tabela26[[#This Row],[EMP]],[1]LOJA!$A:$B,2,0)</f>
        <v>SOFNORTE</v>
      </c>
      <c r="E5229">
        <v>60</v>
      </c>
      <c r="F5229" t="s">
        <v>4156</v>
      </c>
      <c r="G5229" t="s">
        <v>4155</v>
      </c>
      <c r="H5229" t="s">
        <v>6563</v>
      </c>
      <c r="I5229">
        <v>5405</v>
      </c>
      <c r="J5229" s="3">
        <v>80</v>
      </c>
      <c r="K5229" s="3">
        <v>36.92</v>
      </c>
      <c r="L5229">
        <v>53.85</v>
      </c>
    </row>
    <row r="5230" spans="1:12">
      <c r="A5230" s="1">
        <v>46044</v>
      </c>
      <c r="B5230" t="s">
        <v>6908</v>
      </c>
      <c r="C5230">
        <v>12</v>
      </c>
      <c r="D5230" t="str">
        <f>VLOOKUP(Tabela26[[#This Row],[EMP]],[1]LOJA!$A:$B,2,0)</f>
        <v>SOFNORTE</v>
      </c>
      <c r="E5230">
        <v>239</v>
      </c>
      <c r="F5230" t="s">
        <v>4156</v>
      </c>
      <c r="G5230" t="s">
        <v>4155</v>
      </c>
      <c r="H5230" t="s">
        <v>6563</v>
      </c>
      <c r="I5230">
        <v>5102</v>
      </c>
      <c r="J5230" s="3">
        <v>25.57</v>
      </c>
      <c r="K5230" s="3">
        <v>12.57</v>
      </c>
      <c r="L5230">
        <v>50.84</v>
      </c>
    </row>
    <row r="5231" spans="1:12">
      <c r="A5231" s="1">
        <v>46044</v>
      </c>
      <c r="B5231" t="s">
        <v>6907</v>
      </c>
      <c r="C5231">
        <v>22</v>
      </c>
      <c r="D5231" t="str">
        <f>VLOOKUP(Tabela26[[#This Row],[EMP]],[1]LOJA!$A:$B,2,0)</f>
        <v>GUARÁ</v>
      </c>
      <c r="E5231">
        <v>93</v>
      </c>
      <c r="F5231" t="s">
        <v>4151</v>
      </c>
      <c r="G5231" t="s">
        <v>4150</v>
      </c>
      <c r="H5231" t="s">
        <v>3430</v>
      </c>
      <c r="I5231">
        <v>5405</v>
      </c>
      <c r="J5231" s="3">
        <v>1082.58</v>
      </c>
      <c r="K5231" s="3">
        <v>568.17999999999995</v>
      </c>
      <c r="L5231">
        <v>47.52</v>
      </c>
    </row>
    <row r="5232" spans="1:12">
      <c r="A5232" s="1">
        <v>46044</v>
      </c>
      <c r="B5232" t="s">
        <v>6906</v>
      </c>
      <c r="C5232">
        <v>22</v>
      </c>
      <c r="D5232" t="str">
        <f>VLOOKUP(Tabela26[[#This Row],[EMP]],[1]LOJA!$A:$B,2,0)</f>
        <v>GUARÁ</v>
      </c>
      <c r="E5232">
        <v>93</v>
      </c>
      <c r="F5232" t="s">
        <v>3403</v>
      </c>
      <c r="G5232" t="s">
        <v>3402</v>
      </c>
      <c r="H5232" t="s">
        <v>3401</v>
      </c>
      <c r="I5232">
        <v>5405</v>
      </c>
      <c r="J5232" s="3">
        <v>46</v>
      </c>
      <c r="K5232" s="3">
        <v>25.21</v>
      </c>
      <c r="L5232">
        <v>45.2</v>
      </c>
    </row>
    <row r="5233" spans="1:12">
      <c r="A5233" s="1">
        <v>46044</v>
      </c>
      <c r="B5233" t="s">
        <v>6905</v>
      </c>
      <c r="C5233">
        <v>22</v>
      </c>
      <c r="D5233" t="str">
        <f>VLOOKUP(Tabela26[[#This Row],[EMP]],[1]LOJA!$A:$B,2,0)</f>
        <v>GUARÁ</v>
      </c>
      <c r="E5233">
        <v>16</v>
      </c>
      <c r="F5233" t="s">
        <v>3856</v>
      </c>
      <c r="G5233" t="s">
        <v>3855</v>
      </c>
      <c r="H5233" t="s">
        <v>3520</v>
      </c>
      <c r="I5233">
        <v>5405</v>
      </c>
      <c r="J5233" s="3">
        <v>48.68</v>
      </c>
      <c r="K5233" s="3">
        <v>25.47</v>
      </c>
      <c r="L5233">
        <v>47.68</v>
      </c>
    </row>
    <row r="5234" spans="1:12">
      <c r="A5234" s="1">
        <v>46044</v>
      </c>
      <c r="B5234" t="s">
        <v>6904</v>
      </c>
      <c r="C5234">
        <v>22</v>
      </c>
      <c r="D5234" t="str">
        <f>VLOOKUP(Tabela26[[#This Row],[EMP]],[1]LOJA!$A:$B,2,0)</f>
        <v>GUARÁ</v>
      </c>
      <c r="E5234">
        <v>16</v>
      </c>
      <c r="F5234" t="s">
        <v>3889</v>
      </c>
      <c r="G5234" t="s">
        <v>3888</v>
      </c>
      <c r="H5234" t="s">
        <v>6563</v>
      </c>
      <c r="I5234">
        <v>5102</v>
      </c>
      <c r="J5234" s="3">
        <v>82.22</v>
      </c>
      <c r="K5234" s="3">
        <v>46.71</v>
      </c>
      <c r="L5234">
        <v>43.19</v>
      </c>
    </row>
    <row r="5235" spans="1:12">
      <c r="A5235" s="1">
        <v>46044</v>
      </c>
      <c r="B5235" t="s">
        <v>6903</v>
      </c>
      <c r="C5235">
        <v>22</v>
      </c>
      <c r="D5235" t="str">
        <f>VLOOKUP(Tabela26[[#This Row],[EMP]],[1]LOJA!$A:$B,2,0)</f>
        <v>GUARÁ</v>
      </c>
      <c r="E5235">
        <v>93</v>
      </c>
      <c r="F5235" t="s">
        <v>6902</v>
      </c>
      <c r="G5235" t="s">
        <v>6901</v>
      </c>
      <c r="H5235" t="s">
        <v>3520</v>
      </c>
      <c r="I5235">
        <v>5405</v>
      </c>
      <c r="J5235" s="3">
        <v>1452</v>
      </c>
      <c r="K5235" s="3">
        <v>778.92</v>
      </c>
      <c r="L5235">
        <v>46.36</v>
      </c>
    </row>
    <row r="5236" spans="1:12">
      <c r="A5236" s="1">
        <v>46044</v>
      </c>
      <c r="B5236" t="s">
        <v>6900</v>
      </c>
      <c r="C5236">
        <v>22</v>
      </c>
      <c r="D5236" t="str">
        <f>VLOOKUP(Tabela26[[#This Row],[EMP]],[1]LOJA!$A:$B,2,0)</f>
        <v>GUARÁ</v>
      </c>
      <c r="E5236">
        <v>93</v>
      </c>
      <c r="F5236" t="s">
        <v>3508</v>
      </c>
      <c r="G5236" t="s">
        <v>3507</v>
      </c>
      <c r="H5236" t="s">
        <v>3430</v>
      </c>
      <c r="I5236">
        <v>5405</v>
      </c>
      <c r="J5236" s="3">
        <v>409.37</v>
      </c>
      <c r="K5236" s="3">
        <v>216.19</v>
      </c>
      <c r="L5236">
        <v>47.19</v>
      </c>
    </row>
    <row r="5237" spans="1:12">
      <c r="A5237" s="1">
        <v>46044</v>
      </c>
      <c r="B5237" t="s">
        <v>6899</v>
      </c>
      <c r="C5237">
        <v>22</v>
      </c>
      <c r="D5237" t="str">
        <f>VLOOKUP(Tabela26[[#This Row],[EMP]],[1]LOJA!$A:$B,2,0)</f>
        <v>GUARÁ</v>
      </c>
      <c r="E5237">
        <v>93</v>
      </c>
      <c r="F5237" t="s">
        <v>6493</v>
      </c>
      <c r="G5237" t="s">
        <v>6492</v>
      </c>
      <c r="H5237" t="s">
        <v>3430</v>
      </c>
      <c r="I5237">
        <v>5405</v>
      </c>
      <c r="J5237" s="3">
        <v>35</v>
      </c>
      <c r="K5237" s="3">
        <v>18.05</v>
      </c>
      <c r="L5237">
        <v>48.43</v>
      </c>
    </row>
    <row r="5238" spans="1:12">
      <c r="A5238" s="1">
        <v>46044</v>
      </c>
      <c r="B5238" t="s">
        <v>6898</v>
      </c>
      <c r="C5238">
        <v>22</v>
      </c>
      <c r="D5238" t="str">
        <f>VLOOKUP(Tabela26[[#This Row],[EMP]],[1]LOJA!$A:$B,2,0)</f>
        <v>GUARÁ</v>
      </c>
      <c r="E5238">
        <v>93</v>
      </c>
      <c r="F5238" t="s">
        <v>6897</v>
      </c>
      <c r="G5238" t="s">
        <v>6896</v>
      </c>
      <c r="H5238" t="s">
        <v>3430</v>
      </c>
      <c r="I5238">
        <v>5102</v>
      </c>
      <c r="J5238" s="3">
        <v>208.77</v>
      </c>
      <c r="K5238" s="3">
        <v>119.49</v>
      </c>
      <c r="L5238">
        <v>42.76</v>
      </c>
    </row>
    <row r="5239" spans="1:12">
      <c r="A5239" s="1">
        <v>46044</v>
      </c>
      <c r="B5239" t="s">
        <v>6895</v>
      </c>
      <c r="C5239">
        <v>22</v>
      </c>
      <c r="D5239" t="str">
        <f>VLOOKUP(Tabela26[[#This Row],[EMP]],[1]LOJA!$A:$B,2,0)</f>
        <v>GUARÁ</v>
      </c>
      <c r="E5239">
        <v>93</v>
      </c>
      <c r="F5239" t="s">
        <v>4151</v>
      </c>
      <c r="G5239" t="s">
        <v>4150</v>
      </c>
      <c r="H5239" t="s">
        <v>3430</v>
      </c>
      <c r="I5239">
        <v>5405</v>
      </c>
      <c r="J5239" s="3">
        <v>153.53</v>
      </c>
      <c r="K5239" s="3">
        <v>73.92</v>
      </c>
      <c r="L5239">
        <v>51.85</v>
      </c>
    </row>
    <row r="5240" spans="1:12">
      <c r="A5240" s="1">
        <v>46044</v>
      </c>
      <c r="B5240" t="s">
        <v>6894</v>
      </c>
      <c r="C5240">
        <v>13</v>
      </c>
      <c r="D5240" t="str">
        <f>VLOOKUP(Tabela26[[#This Row],[EMP]],[1]LOJA!$A:$B,2,0)</f>
        <v>CEILÂNDIA</v>
      </c>
      <c r="E5240">
        <v>86</v>
      </c>
      <c r="F5240" t="s">
        <v>4798</v>
      </c>
      <c r="G5240" t="s">
        <v>4797</v>
      </c>
      <c r="H5240" t="s">
        <v>3401</v>
      </c>
      <c r="I5240">
        <v>1411</v>
      </c>
      <c r="J5240" s="3">
        <v>-329</v>
      </c>
      <c r="K5240" s="3">
        <v>-130.4</v>
      </c>
      <c r="L5240">
        <v>60.36</v>
      </c>
    </row>
    <row r="5241" spans="1:12">
      <c r="A5241" s="1">
        <v>46044</v>
      </c>
      <c r="B5241" t="s">
        <v>6893</v>
      </c>
      <c r="C5241">
        <v>13</v>
      </c>
      <c r="D5241" t="str">
        <f>VLOOKUP(Tabela26[[#This Row],[EMP]],[1]LOJA!$A:$B,2,0)</f>
        <v>CEILÂNDIA</v>
      </c>
      <c r="E5241">
        <v>86</v>
      </c>
      <c r="F5241" t="s">
        <v>4118</v>
      </c>
      <c r="G5241" t="s">
        <v>4117</v>
      </c>
      <c r="H5241" t="s">
        <v>3430</v>
      </c>
      <c r="I5241">
        <v>5405</v>
      </c>
      <c r="J5241" s="3">
        <v>402.18</v>
      </c>
      <c r="K5241" s="3">
        <v>210.5</v>
      </c>
      <c r="L5241">
        <v>47.66</v>
      </c>
    </row>
    <row r="5242" spans="1:12">
      <c r="A5242" s="1">
        <v>46044</v>
      </c>
      <c r="B5242" t="s">
        <v>6892</v>
      </c>
      <c r="C5242">
        <v>13</v>
      </c>
      <c r="D5242" t="str">
        <f>VLOOKUP(Tabela26[[#This Row],[EMP]],[1]LOJA!$A:$B,2,0)</f>
        <v>CEILÂNDIA</v>
      </c>
      <c r="E5242">
        <v>86</v>
      </c>
      <c r="F5242" t="s">
        <v>5339</v>
      </c>
      <c r="G5242" t="s">
        <v>5338</v>
      </c>
      <c r="H5242" t="s">
        <v>3408</v>
      </c>
      <c r="I5242">
        <v>5405</v>
      </c>
      <c r="J5242" s="3">
        <v>45</v>
      </c>
      <c r="K5242" s="3">
        <v>20.71</v>
      </c>
      <c r="L5242">
        <v>53.98</v>
      </c>
    </row>
    <row r="5243" spans="1:12">
      <c r="A5243" s="1">
        <v>46044</v>
      </c>
      <c r="B5243" t="s">
        <v>6891</v>
      </c>
      <c r="C5243">
        <v>13</v>
      </c>
      <c r="D5243" t="str">
        <f>VLOOKUP(Tabela26[[#This Row],[EMP]],[1]LOJA!$A:$B,2,0)</f>
        <v>CEILÂNDIA</v>
      </c>
      <c r="E5243">
        <v>86</v>
      </c>
      <c r="F5243" t="s">
        <v>4118</v>
      </c>
      <c r="G5243" t="s">
        <v>4117</v>
      </c>
      <c r="H5243" t="s">
        <v>3430</v>
      </c>
      <c r="I5243">
        <v>5405</v>
      </c>
      <c r="J5243" s="3">
        <v>1840.34</v>
      </c>
      <c r="K5243" s="3">
        <v>1004.63</v>
      </c>
      <c r="L5243">
        <v>45.41</v>
      </c>
    </row>
    <row r="5244" spans="1:12">
      <c r="A5244" s="1">
        <v>46044</v>
      </c>
      <c r="B5244" t="s">
        <v>6890</v>
      </c>
      <c r="C5244">
        <v>13</v>
      </c>
      <c r="D5244" t="str">
        <f>VLOOKUP(Tabela26[[#This Row],[EMP]],[1]LOJA!$A:$B,2,0)</f>
        <v>CEILÂNDIA</v>
      </c>
      <c r="E5244">
        <v>86</v>
      </c>
      <c r="F5244" t="s">
        <v>6889</v>
      </c>
      <c r="G5244" t="s">
        <v>6888</v>
      </c>
      <c r="H5244" t="s">
        <v>3401</v>
      </c>
      <c r="I5244">
        <v>5102</v>
      </c>
      <c r="J5244" s="3">
        <v>70</v>
      </c>
      <c r="K5244" s="3">
        <v>47.38</v>
      </c>
      <c r="L5244">
        <v>32.31</v>
      </c>
    </row>
    <row r="5245" spans="1:12">
      <c r="A5245" s="1">
        <v>46044</v>
      </c>
      <c r="B5245" t="s">
        <v>6887</v>
      </c>
      <c r="C5245">
        <v>13</v>
      </c>
      <c r="D5245" t="str">
        <f>VLOOKUP(Tabela26[[#This Row],[EMP]],[1]LOJA!$A:$B,2,0)</f>
        <v>CEILÂNDIA</v>
      </c>
      <c r="E5245">
        <v>33</v>
      </c>
      <c r="F5245" t="s">
        <v>4122</v>
      </c>
      <c r="G5245" t="s">
        <v>4121</v>
      </c>
      <c r="H5245" t="s">
        <v>3430</v>
      </c>
      <c r="I5245">
        <v>5102</v>
      </c>
      <c r="J5245" s="3">
        <v>140.27000000000001</v>
      </c>
      <c r="K5245" s="3">
        <v>83.98</v>
      </c>
      <c r="L5245">
        <v>40.130000000000003</v>
      </c>
    </row>
    <row r="5246" spans="1:12">
      <c r="A5246" s="1">
        <v>46044</v>
      </c>
      <c r="B5246" t="s">
        <v>6886</v>
      </c>
      <c r="C5246">
        <v>13</v>
      </c>
      <c r="D5246" t="str">
        <f>VLOOKUP(Tabela26[[#This Row],[EMP]],[1]LOJA!$A:$B,2,0)</f>
        <v>CEILÂNDIA</v>
      </c>
      <c r="E5246">
        <v>33</v>
      </c>
      <c r="F5246" t="s">
        <v>3505</v>
      </c>
      <c r="G5246" t="s">
        <v>3504</v>
      </c>
      <c r="H5246" t="s">
        <v>3401</v>
      </c>
      <c r="I5246">
        <v>5910</v>
      </c>
      <c r="J5246" s="3">
        <v>0</v>
      </c>
      <c r="K5246" s="3">
        <v>16.84</v>
      </c>
      <c r="L5246">
        <v>0</v>
      </c>
    </row>
    <row r="5247" spans="1:12">
      <c r="A5247" s="1">
        <v>46044</v>
      </c>
      <c r="B5247" t="s">
        <v>6885</v>
      </c>
      <c r="C5247">
        <v>13</v>
      </c>
      <c r="D5247" t="str">
        <f>VLOOKUP(Tabela26[[#This Row],[EMP]],[1]LOJA!$A:$B,2,0)</f>
        <v>CEILÂNDIA</v>
      </c>
      <c r="E5247">
        <v>86</v>
      </c>
      <c r="F5247" t="s">
        <v>6884</v>
      </c>
      <c r="G5247" t="s">
        <v>6883</v>
      </c>
      <c r="H5247" t="s">
        <v>3430</v>
      </c>
      <c r="I5247">
        <v>5405</v>
      </c>
      <c r="J5247" s="3">
        <v>157.51</v>
      </c>
      <c r="K5247" s="3">
        <v>82.48</v>
      </c>
      <c r="L5247">
        <v>47.64</v>
      </c>
    </row>
    <row r="5248" spans="1:12">
      <c r="A5248" s="1">
        <v>46044</v>
      </c>
      <c r="B5248" t="s">
        <v>6882</v>
      </c>
      <c r="C5248">
        <v>13</v>
      </c>
      <c r="D5248" t="str">
        <f>VLOOKUP(Tabela26[[#This Row],[EMP]],[1]LOJA!$A:$B,2,0)</f>
        <v>CEILÂNDIA</v>
      </c>
      <c r="E5248">
        <v>33</v>
      </c>
      <c r="F5248" t="s">
        <v>3505</v>
      </c>
      <c r="G5248" t="s">
        <v>3504</v>
      </c>
      <c r="H5248" t="s">
        <v>3430</v>
      </c>
      <c r="I5248">
        <v>5102</v>
      </c>
      <c r="J5248" s="3">
        <v>60.27</v>
      </c>
      <c r="K5248" s="3">
        <v>27.38</v>
      </c>
      <c r="L5248">
        <v>54.57</v>
      </c>
    </row>
    <row r="5249" spans="1:12">
      <c r="A5249" s="1">
        <v>46044</v>
      </c>
      <c r="B5249" t="s">
        <v>6881</v>
      </c>
      <c r="C5249">
        <v>13</v>
      </c>
      <c r="D5249" t="str">
        <f>VLOOKUP(Tabela26[[#This Row],[EMP]],[1]LOJA!$A:$B,2,0)</f>
        <v>CEILÂNDIA</v>
      </c>
      <c r="E5249">
        <v>33</v>
      </c>
      <c r="F5249" t="s">
        <v>3505</v>
      </c>
      <c r="G5249" t="s">
        <v>3504</v>
      </c>
      <c r="H5249" t="s">
        <v>3430</v>
      </c>
      <c r="I5249">
        <v>5405</v>
      </c>
      <c r="J5249" s="3">
        <v>14.9</v>
      </c>
      <c r="K5249" s="3">
        <v>6.92</v>
      </c>
      <c r="L5249">
        <v>53.56</v>
      </c>
    </row>
    <row r="5250" spans="1:12">
      <c r="A5250" s="1">
        <v>46044</v>
      </c>
      <c r="B5250" t="s">
        <v>6880</v>
      </c>
      <c r="C5250">
        <v>13</v>
      </c>
      <c r="D5250" t="str">
        <f>VLOOKUP(Tabela26[[#This Row],[EMP]],[1]LOJA!$A:$B,2,0)</f>
        <v>CEILÂNDIA</v>
      </c>
      <c r="E5250">
        <v>86</v>
      </c>
      <c r="F5250" t="s">
        <v>4097</v>
      </c>
      <c r="G5250" t="s">
        <v>4096</v>
      </c>
      <c r="H5250" t="s">
        <v>3430</v>
      </c>
      <c r="I5250">
        <v>5405</v>
      </c>
      <c r="J5250" s="3">
        <v>273.77</v>
      </c>
      <c r="K5250" s="3">
        <v>147.79</v>
      </c>
      <c r="L5250">
        <v>46.02</v>
      </c>
    </row>
    <row r="5251" spans="1:12">
      <c r="A5251" s="1">
        <v>46044</v>
      </c>
      <c r="B5251" t="s">
        <v>6879</v>
      </c>
      <c r="C5251">
        <v>13</v>
      </c>
      <c r="D5251" t="str">
        <f>VLOOKUP(Tabela26[[#This Row],[EMP]],[1]LOJA!$A:$B,2,0)</f>
        <v>CEILÂNDIA</v>
      </c>
      <c r="E5251">
        <v>86</v>
      </c>
      <c r="F5251" t="s">
        <v>4097</v>
      </c>
      <c r="G5251" t="s">
        <v>4096</v>
      </c>
      <c r="H5251" t="s">
        <v>3430</v>
      </c>
      <c r="I5251">
        <v>5102</v>
      </c>
      <c r="J5251" s="3">
        <v>70.260000000000005</v>
      </c>
      <c r="K5251" s="3">
        <v>43.66</v>
      </c>
      <c r="L5251">
        <v>37.86</v>
      </c>
    </row>
    <row r="5252" spans="1:12">
      <c r="A5252" s="1">
        <v>46044</v>
      </c>
      <c r="B5252" t="s">
        <v>6878</v>
      </c>
      <c r="C5252">
        <v>13</v>
      </c>
      <c r="D5252" t="str">
        <f>VLOOKUP(Tabela26[[#This Row],[EMP]],[1]LOJA!$A:$B,2,0)</f>
        <v>CEILÂNDIA</v>
      </c>
      <c r="E5252">
        <v>33</v>
      </c>
      <c r="F5252" t="s">
        <v>3505</v>
      </c>
      <c r="G5252" t="s">
        <v>3504</v>
      </c>
      <c r="H5252" t="s">
        <v>3430</v>
      </c>
      <c r="I5252">
        <v>5102</v>
      </c>
      <c r="J5252" s="3">
        <v>538</v>
      </c>
      <c r="K5252" s="3">
        <v>276.3</v>
      </c>
      <c r="L5252">
        <v>48.64</v>
      </c>
    </row>
    <row r="5253" spans="1:12">
      <c r="A5253" s="1">
        <v>46044</v>
      </c>
      <c r="B5253" t="s">
        <v>6877</v>
      </c>
      <c r="C5253">
        <v>13</v>
      </c>
      <c r="D5253" t="str">
        <f>VLOOKUP(Tabela26[[#This Row],[EMP]],[1]LOJA!$A:$B,2,0)</f>
        <v>CEILÂNDIA</v>
      </c>
      <c r="E5253">
        <v>86</v>
      </c>
      <c r="F5253" t="s">
        <v>4112</v>
      </c>
      <c r="G5253" t="s">
        <v>4111</v>
      </c>
      <c r="H5253" t="s">
        <v>3430</v>
      </c>
      <c r="I5253">
        <v>5405</v>
      </c>
      <c r="J5253" s="3">
        <v>167.16</v>
      </c>
      <c r="K5253" s="3">
        <v>87.51</v>
      </c>
      <c r="L5253">
        <v>47.65</v>
      </c>
    </row>
    <row r="5254" spans="1:12">
      <c r="A5254" s="1">
        <v>46044</v>
      </c>
      <c r="B5254" t="s">
        <v>6876</v>
      </c>
      <c r="C5254">
        <v>13</v>
      </c>
      <c r="D5254" t="str">
        <f>VLOOKUP(Tabela26[[#This Row],[EMP]],[1]LOJA!$A:$B,2,0)</f>
        <v>CEILÂNDIA</v>
      </c>
      <c r="E5254">
        <v>86</v>
      </c>
      <c r="F5254" t="s">
        <v>4084</v>
      </c>
      <c r="G5254" t="s">
        <v>4083</v>
      </c>
      <c r="H5254" t="s">
        <v>3430</v>
      </c>
      <c r="I5254">
        <v>5102</v>
      </c>
      <c r="J5254" s="3">
        <v>48.43</v>
      </c>
      <c r="K5254" s="3">
        <v>27.3</v>
      </c>
      <c r="L5254">
        <v>43.63</v>
      </c>
    </row>
    <row r="5255" spans="1:12">
      <c r="A5255" s="1">
        <v>46044</v>
      </c>
      <c r="B5255" t="s">
        <v>6875</v>
      </c>
      <c r="C5255">
        <v>13</v>
      </c>
      <c r="D5255" t="str">
        <f>VLOOKUP(Tabela26[[#This Row],[EMP]],[1]LOJA!$A:$B,2,0)</f>
        <v>CEILÂNDIA</v>
      </c>
      <c r="E5255">
        <v>86</v>
      </c>
      <c r="F5255" t="s">
        <v>4097</v>
      </c>
      <c r="G5255" t="s">
        <v>4096</v>
      </c>
      <c r="H5255" t="s">
        <v>3430</v>
      </c>
      <c r="I5255">
        <v>5405</v>
      </c>
      <c r="J5255" s="3">
        <v>162.22999999999999</v>
      </c>
      <c r="K5255" s="3">
        <v>82.77</v>
      </c>
      <c r="L5255">
        <v>48.98</v>
      </c>
    </row>
    <row r="5256" spans="1:12">
      <c r="A5256" s="1">
        <v>46044</v>
      </c>
      <c r="B5256" t="s">
        <v>6874</v>
      </c>
      <c r="C5256">
        <v>13</v>
      </c>
      <c r="D5256" t="str">
        <f>VLOOKUP(Tabela26[[#This Row],[EMP]],[1]LOJA!$A:$B,2,0)</f>
        <v>CEILÂNDIA</v>
      </c>
      <c r="E5256">
        <v>86</v>
      </c>
      <c r="F5256" t="s">
        <v>4767</v>
      </c>
      <c r="G5256" t="s">
        <v>4766</v>
      </c>
      <c r="H5256" t="s">
        <v>3430</v>
      </c>
      <c r="I5256">
        <v>5405</v>
      </c>
      <c r="J5256" s="3">
        <v>60</v>
      </c>
      <c r="K5256" s="3">
        <v>33.26</v>
      </c>
      <c r="L5256">
        <v>44.57</v>
      </c>
    </row>
    <row r="5257" spans="1:12">
      <c r="A5257" s="1">
        <v>46044</v>
      </c>
      <c r="B5257" t="s">
        <v>6873</v>
      </c>
      <c r="C5257">
        <v>13</v>
      </c>
      <c r="D5257" t="str">
        <f>VLOOKUP(Tabela26[[#This Row],[EMP]],[1]LOJA!$A:$B,2,0)</f>
        <v>CEILÂNDIA</v>
      </c>
      <c r="E5257">
        <v>86</v>
      </c>
      <c r="F5257" t="s">
        <v>4781</v>
      </c>
      <c r="G5257" t="s">
        <v>4780</v>
      </c>
      <c r="H5257" t="s">
        <v>3430</v>
      </c>
      <c r="I5257">
        <v>5102</v>
      </c>
      <c r="J5257" s="3">
        <v>255</v>
      </c>
      <c r="K5257" s="3">
        <v>150.85</v>
      </c>
      <c r="L5257">
        <v>40.840000000000003</v>
      </c>
    </row>
    <row r="5258" spans="1:12">
      <c r="A5258" s="1">
        <v>46044</v>
      </c>
      <c r="B5258" t="s">
        <v>6872</v>
      </c>
      <c r="C5258">
        <v>13</v>
      </c>
      <c r="D5258" t="str">
        <f>VLOOKUP(Tabela26[[#This Row],[EMP]],[1]LOJA!$A:$B,2,0)</f>
        <v>CEILÂNDIA</v>
      </c>
      <c r="E5258">
        <v>86</v>
      </c>
      <c r="F5258" t="s">
        <v>3505</v>
      </c>
      <c r="G5258" t="s">
        <v>3504</v>
      </c>
      <c r="H5258" t="s">
        <v>3430</v>
      </c>
      <c r="I5258">
        <v>5102</v>
      </c>
      <c r="J5258" s="3">
        <v>146.44</v>
      </c>
      <c r="K5258" s="3">
        <v>82.92</v>
      </c>
      <c r="L5258">
        <v>43.38</v>
      </c>
    </row>
    <row r="5259" spans="1:12">
      <c r="A5259" s="1">
        <v>46044</v>
      </c>
      <c r="B5259" t="s">
        <v>6871</v>
      </c>
      <c r="C5259">
        <v>13</v>
      </c>
      <c r="D5259" t="str">
        <f>VLOOKUP(Tabela26[[#This Row],[EMP]],[1]LOJA!$A:$B,2,0)</f>
        <v>CEILÂNDIA</v>
      </c>
      <c r="E5259">
        <v>33</v>
      </c>
      <c r="F5259" t="s">
        <v>4767</v>
      </c>
      <c r="G5259" t="s">
        <v>4766</v>
      </c>
      <c r="H5259" t="s">
        <v>3430</v>
      </c>
      <c r="I5259">
        <v>5102</v>
      </c>
      <c r="J5259" s="3">
        <v>173.8</v>
      </c>
      <c r="K5259" s="3">
        <v>86.3</v>
      </c>
      <c r="L5259">
        <v>50.35</v>
      </c>
    </row>
    <row r="5260" spans="1:12">
      <c r="A5260" s="1">
        <v>46044</v>
      </c>
      <c r="B5260" t="s">
        <v>6870</v>
      </c>
      <c r="C5260">
        <v>13</v>
      </c>
      <c r="D5260" t="str">
        <f>VLOOKUP(Tabela26[[#This Row],[EMP]],[1]LOJA!$A:$B,2,0)</f>
        <v>CEILÂNDIA</v>
      </c>
      <c r="E5260">
        <v>33</v>
      </c>
      <c r="F5260" t="s">
        <v>3505</v>
      </c>
      <c r="G5260" t="s">
        <v>3504</v>
      </c>
      <c r="H5260" t="s">
        <v>3430</v>
      </c>
      <c r="I5260">
        <v>5405</v>
      </c>
      <c r="J5260" s="3">
        <v>64.52</v>
      </c>
      <c r="K5260" s="3">
        <v>33.26</v>
      </c>
      <c r="L5260">
        <v>48.45</v>
      </c>
    </row>
    <row r="5261" spans="1:12">
      <c r="A5261" s="1">
        <v>46044</v>
      </c>
      <c r="B5261" t="s">
        <v>6869</v>
      </c>
      <c r="C5261">
        <v>13</v>
      </c>
      <c r="D5261" t="str">
        <f>VLOOKUP(Tabela26[[#This Row],[EMP]],[1]LOJA!$A:$B,2,0)</f>
        <v>CEILÂNDIA</v>
      </c>
      <c r="E5261">
        <v>86</v>
      </c>
      <c r="F5261" t="s">
        <v>5857</v>
      </c>
      <c r="G5261" t="s">
        <v>5856</v>
      </c>
      <c r="H5261" t="s">
        <v>3430</v>
      </c>
      <c r="I5261">
        <v>5405</v>
      </c>
      <c r="J5261" s="3">
        <v>65</v>
      </c>
      <c r="K5261" s="3">
        <v>36.17</v>
      </c>
      <c r="L5261">
        <v>44.35</v>
      </c>
    </row>
    <row r="5262" spans="1:12">
      <c r="A5262" s="1">
        <v>46044</v>
      </c>
      <c r="B5262" t="s">
        <v>6868</v>
      </c>
      <c r="C5262">
        <v>13</v>
      </c>
      <c r="D5262" t="str">
        <f>VLOOKUP(Tabela26[[#This Row],[EMP]],[1]LOJA!$A:$B,2,0)</f>
        <v>CEILÂNDIA</v>
      </c>
      <c r="E5262">
        <v>86</v>
      </c>
      <c r="F5262" t="s">
        <v>3505</v>
      </c>
      <c r="G5262" t="s">
        <v>3504</v>
      </c>
      <c r="H5262" t="s">
        <v>3430</v>
      </c>
      <c r="I5262">
        <v>5405</v>
      </c>
      <c r="J5262" s="3">
        <v>63.67</v>
      </c>
      <c r="K5262" s="3">
        <v>32.869999999999997</v>
      </c>
      <c r="L5262">
        <v>48.37</v>
      </c>
    </row>
    <row r="5263" spans="1:12">
      <c r="A5263" s="1">
        <v>46044</v>
      </c>
      <c r="B5263" t="s">
        <v>6867</v>
      </c>
      <c r="C5263">
        <v>13</v>
      </c>
      <c r="D5263" t="str">
        <f>VLOOKUP(Tabela26[[#This Row],[EMP]],[1]LOJA!$A:$B,2,0)</f>
        <v>CEILÂNDIA</v>
      </c>
      <c r="E5263">
        <v>86</v>
      </c>
      <c r="F5263" t="s">
        <v>4084</v>
      </c>
      <c r="G5263" t="s">
        <v>4083</v>
      </c>
      <c r="H5263" t="s">
        <v>3430</v>
      </c>
      <c r="I5263">
        <v>5102</v>
      </c>
      <c r="J5263" s="3">
        <v>45</v>
      </c>
      <c r="K5263" s="3">
        <v>30.8</v>
      </c>
      <c r="L5263">
        <v>31.56</v>
      </c>
    </row>
    <row r="5264" spans="1:12">
      <c r="A5264" s="1">
        <v>46044</v>
      </c>
      <c r="B5264" t="s">
        <v>6866</v>
      </c>
      <c r="C5264">
        <v>15</v>
      </c>
      <c r="D5264" t="str">
        <f>VLOOKUP(Tabela26[[#This Row],[EMP]],[1]LOJA!$A:$B,2,0)</f>
        <v>UNAÍ</v>
      </c>
      <c r="E5264">
        <v>183</v>
      </c>
      <c r="F5264" t="s">
        <v>6865</v>
      </c>
      <c r="G5264" t="s">
        <v>6864</v>
      </c>
      <c r="H5264" t="s">
        <v>3408</v>
      </c>
      <c r="I5264">
        <v>5102</v>
      </c>
      <c r="J5264" s="3">
        <v>131</v>
      </c>
      <c r="K5264" s="3">
        <v>75.14</v>
      </c>
      <c r="L5264">
        <v>42.64</v>
      </c>
    </row>
    <row r="5265" spans="1:12">
      <c r="A5265" s="1">
        <v>46044</v>
      </c>
      <c r="B5265" t="s">
        <v>6863</v>
      </c>
      <c r="C5265">
        <v>15</v>
      </c>
      <c r="D5265" t="str">
        <f>VLOOKUP(Tabela26[[#This Row],[EMP]],[1]LOJA!$A:$B,2,0)</f>
        <v>UNAÍ</v>
      </c>
      <c r="E5265">
        <v>183</v>
      </c>
      <c r="F5265" t="s">
        <v>6862</v>
      </c>
      <c r="G5265" t="s">
        <v>3402</v>
      </c>
      <c r="H5265" t="s">
        <v>3401</v>
      </c>
      <c r="I5265">
        <v>5102</v>
      </c>
      <c r="J5265" s="3">
        <v>64</v>
      </c>
      <c r="K5265" s="3">
        <v>31.61</v>
      </c>
      <c r="L5265">
        <v>50.61</v>
      </c>
    </row>
    <row r="5266" spans="1:12">
      <c r="A5266" s="1">
        <v>46044</v>
      </c>
      <c r="B5266" t="s">
        <v>6861</v>
      </c>
      <c r="C5266">
        <v>15</v>
      </c>
      <c r="D5266" t="str">
        <f>VLOOKUP(Tabela26[[#This Row],[EMP]],[1]LOJA!$A:$B,2,0)</f>
        <v>UNAÍ</v>
      </c>
      <c r="E5266">
        <v>183</v>
      </c>
      <c r="F5266" t="s">
        <v>3485</v>
      </c>
      <c r="G5266" t="s">
        <v>3402</v>
      </c>
      <c r="H5266" t="s">
        <v>3401</v>
      </c>
      <c r="I5266">
        <v>5102</v>
      </c>
      <c r="J5266" s="3">
        <v>14</v>
      </c>
      <c r="K5266" s="3">
        <v>6.36</v>
      </c>
      <c r="L5266">
        <v>54.57</v>
      </c>
    </row>
    <row r="5267" spans="1:12">
      <c r="A5267" s="1">
        <v>46044</v>
      </c>
      <c r="B5267" t="s">
        <v>6860</v>
      </c>
      <c r="C5267">
        <v>15</v>
      </c>
      <c r="D5267" t="str">
        <f>VLOOKUP(Tabela26[[#This Row],[EMP]],[1]LOJA!$A:$B,2,0)</f>
        <v>UNAÍ</v>
      </c>
      <c r="E5267">
        <v>183</v>
      </c>
      <c r="F5267" t="s">
        <v>4074</v>
      </c>
      <c r="G5267" t="s">
        <v>4073</v>
      </c>
      <c r="H5267" t="s">
        <v>3401</v>
      </c>
      <c r="I5267">
        <v>5102</v>
      </c>
      <c r="J5267" s="3">
        <v>144.85</v>
      </c>
      <c r="K5267" s="3">
        <v>69.67</v>
      </c>
      <c r="L5267">
        <v>51.9</v>
      </c>
    </row>
    <row r="5268" spans="1:12">
      <c r="A5268" s="1">
        <v>46044</v>
      </c>
      <c r="B5268" t="s">
        <v>6859</v>
      </c>
      <c r="C5268">
        <v>15</v>
      </c>
      <c r="D5268" t="str">
        <f>VLOOKUP(Tabela26[[#This Row],[EMP]],[1]LOJA!$A:$B,2,0)</f>
        <v>UNAÍ</v>
      </c>
      <c r="E5268">
        <v>183</v>
      </c>
      <c r="F5268" t="s">
        <v>3485</v>
      </c>
      <c r="G5268" t="s">
        <v>3402</v>
      </c>
      <c r="H5268" t="s">
        <v>3401</v>
      </c>
      <c r="I5268">
        <v>5102</v>
      </c>
      <c r="J5268" s="3">
        <v>50</v>
      </c>
      <c r="K5268" s="3">
        <v>25.13</v>
      </c>
      <c r="L5268">
        <v>49.74</v>
      </c>
    </row>
    <row r="5269" spans="1:12">
      <c r="A5269" s="1">
        <v>46044</v>
      </c>
      <c r="B5269" t="s">
        <v>6858</v>
      </c>
      <c r="C5269">
        <v>15</v>
      </c>
      <c r="D5269" t="str">
        <f>VLOOKUP(Tabela26[[#This Row],[EMP]],[1]LOJA!$A:$B,2,0)</f>
        <v>UNAÍ</v>
      </c>
      <c r="E5269">
        <v>183</v>
      </c>
      <c r="F5269" t="s">
        <v>3485</v>
      </c>
      <c r="G5269" t="s">
        <v>3402</v>
      </c>
      <c r="H5269" t="s">
        <v>3401</v>
      </c>
      <c r="I5269">
        <v>5102</v>
      </c>
      <c r="J5269" s="3">
        <v>20</v>
      </c>
      <c r="K5269" s="3">
        <v>9.23</v>
      </c>
      <c r="L5269">
        <v>53.85</v>
      </c>
    </row>
    <row r="5270" spans="1:12">
      <c r="A5270" s="1">
        <v>46044</v>
      </c>
      <c r="B5270" t="s">
        <v>6857</v>
      </c>
      <c r="C5270">
        <v>15</v>
      </c>
      <c r="D5270" t="str">
        <f>VLOOKUP(Tabela26[[#This Row],[EMP]],[1]LOJA!$A:$B,2,0)</f>
        <v>UNAÍ</v>
      </c>
      <c r="E5270">
        <v>183</v>
      </c>
      <c r="F5270" t="s">
        <v>3485</v>
      </c>
      <c r="G5270" t="s">
        <v>3402</v>
      </c>
      <c r="H5270" t="s">
        <v>3408</v>
      </c>
      <c r="I5270">
        <v>5102</v>
      </c>
      <c r="J5270" s="3">
        <v>50</v>
      </c>
      <c r="K5270" s="3">
        <v>25.13</v>
      </c>
      <c r="L5270">
        <v>49.74</v>
      </c>
    </row>
    <row r="5271" spans="1:12">
      <c r="A5271" s="1">
        <v>46044</v>
      </c>
      <c r="B5271" t="s">
        <v>6856</v>
      </c>
      <c r="C5271">
        <v>15</v>
      </c>
      <c r="D5271" t="str">
        <f>VLOOKUP(Tabela26[[#This Row],[EMP]],[1]LOJA!$A:$B,2,0)</f>
        <v>UNAÍ</v>
      </c>
      <c r="E5271">
        <v>183</v>
      </c>
      <c r="F5271" t="s">
        <v>3485</v>
      </c>
      <c r="G5271" t="s">
        <v>3402</v>
      </c>
      <c r="H5271" t="s">
        <v>3401</v>
      </c>
      <c r="I5271">
        <v>5102</v>
      </c>
      <c r="J5271" s="3">
        <v>21.5</v>
      </c>
      <c r="K5271" s="3">
        <v>10.68</v>
      </c>
      <c r="L5271">
        <v>50.33</v>
      </c>
    </row>
    <row r="5272" spans="1:12">
      <c r="A5272" s="1">
        <v>46044</v>
      </c>
      <c r="B5272" t="s">
        <v>6855</v>
      </c>
      <c r="C5272">
        <v>15</v>
      </c>
      <c r="D5272" t="str">
        <f>VLOOKUP(Tabela26[[#This Row],[EMP]],[1]LOJA!$A:$B,2,0)</f>
        <v>UNAÍ</v>
      </c>
      <c r="E5272">
        <v>183</v>
      </c>
      <c r="F5272" t="s">
        <v>3485</v>
      </c>
      <c r="G5272" t="s">
        <v>3402</v>
      </c>
      <c r="H5272" t="s">
        <v>3401</v>
      </c>
      <c r="I5272">
        <v>5102</v>
      </c>
      <c r="J5272" s="3">
        <v>300</v>
      </c>
      <c r="K5272" s="3">
        <v>148.32</v>
      </c>
      <c r="L5272">
        <v>50.56</v>
      </c>
    </row>
    <row r="5273" spans="1:12">
      <c r="A5273" s="1">
        <v>46044</v>
      </c>
      <c r="B5273" t="s">
        <v>6854</v>
      </c>
      <c r="C5273">
        <v>15</v>
      </c>
      <c r="D5273" t="str">
        <f>VLOOKUP(Tabela26[[#This Row],[EMP]],[1]LOJA!$A:$B,2,0)</f>
        <v>UNAÍ</v>
      </c>
      <c r="E5273">
        <v>183</v>
      </c>
      <c r="F5273" t="s">
        <v>4711</v>
      </c>
      <c r="G5273" t="s">
        <v>4710</v>
      </c>
      <c r="H5273" t="s">
        <v>3401</v>
      </c>
      <c r="I5273">
        <v>5102</v>
      </c>
      <c r="J5273" s="3">
        <v>36</v>
      </c>
      <c r="K5273" s="3">
        <v>13.6</v>
      </c>
      <c r="L5273">
        <v>62.22</v>
      </c>
    </row>
    <row r="5274" spans="1:12">
      <c r="A5274" s="1">
        <v>46044</v>
      </c>
      <c r="B5274" t="s">
        <v>6853</v>
      </c>
      <c r="C5274">
        <v>15</v>
      </c>
      <c r="D5274" t="str">
        <f>VLOOKUP(Tabela26[[#This Row],[EMP]],[1]LOJA!$A:$B,2,0)</f>
        <v>UNAÍ</v>
      </c>
      <c r="E5274">
        <v>183</v>
      </c>
      <c r="F5274" t="s">
        <v>3485</v>
      </c>
      <c r="G5274" t="s">
        <v>3402</v>
      </c>
      <c r="H5274" t="s">
        <v>3401</v>
      </c>
      <c r="I5274">
        <v>5102</v>
      </c>
      <c r="J5274" s="3">
        <v>18</v>
      </c>
      <c r="K5274" s="3">
        <v>10.46</v>
      </c>
      <c r="L5274">
        <v>41.89</v>
      </c>
    </row>
    <row r="5275" spans="1:12">
      <c r="A5275" s="1">
        <v>46044</v>
      </c>
      <c r="B5275" t="s">
        <v>6852</v>
      </c>
      <c r="C5275">
        <v>15</v>
      </c>
      <c r="D5275" t="str">
        <f>VLOOKUP(Tabela26[[#This Row],[EMP]],[1]LOJA!$A:$B,2,0)</f>
        <v>UNAÍ</v>
      </c>
      <c r="E5275">
        <v>183</v>
      </c>
      <c r="F5275" t="s">
        <v>3570</v>
      </c>
      <c r="G5275" t="s">
        <v>3402</v>
      </c>
      <c r="H5275" t="s">
        <v>3408</v>
      </c>
      <c r="I5275">
        <v>5102</v>
      </c>
      <c r="J5275" s="3">
        <v>192</v>
      </c>
      <c r="K5275" s="3">
        <v>94.13</v>
      </c>
      <c r="L5275">
        <v>50.97</v>
      </c>
    </row>
    <row r="5276" spans="1:12">
      <c r="A5276" s="1">
        <v>46044</v>
      </c>
      <c r="B5276" t="s">
        <v>6851</v>
      </c>
      <c r="C5276">
        <v>15</v>
      </c>
      <c r="D5276" t="str">
        <f>VLOOKUP(Tabela26[[#This Row],[EMP]],[1]LOJA!$A:$B,2,0)</f>
        <v>UNAÍ</v>
      </c>
      <c r="E5276">
        <v>183</v>
      </c>
      <c r="F5276" t="s">
        <v>4032</v>
      </c>
      <c r="G5276" t="s">
        <v>4031</v>
      </c>
      <c r="H5276" t="s">
        <v>6563</v>
      </c>
      <c r="I5276">
        <v>5102</v>
      </c>
      <c r="J5276" s="3">
        <v>82</v>
      </c>
      <c r="K5276" s="3">
        <v>40.78</v>
      </c>
      <c r="L5276">
        <v>50.27</v>
      </c>
    </row>
    <row r="5277" spans="1:12">
      <c r="A5277" s="1">
        <v>46044</v>
      </c>
      <c r="B5277" t="s">
        <v>6850</v>
      </c>
      <c r="C5277">
        <v>15</v>
      </c>
      <c r="D5277" t="str">
        <f>VLOOKUP(Tabela26[[#This Row],[EMP]],[1]LOJA!$A:$B,2,0)</f>
        <v>UNAÍ</v>
      </c>
      <c r="E5277">
        <v>183</v>
      </c>
      <c r="F5277" t="s">
        <v>3485</v>
      </c>
      <c r="G5277" t="s">
        <v>3402</v>
      </c>
      <c r="H5277" t="s">
        <v>3401</v>
      </c>
      <c r="I5277">
        <v>5102</v>
      </c>
      <c r="J5277" s="3">
        <v>22.6</v>
      </c>
      <c r="K5277" s="3">
        <v>12.29</v>
      </c>
      <c r="L5277">
        <v>45.62</v>
      </c>
    </row>
    <row r="5278" spans="1:12">
      <c r="A5278" s="1">
        <v>46044</v>
      </c>
      <c r="B5278" t="s">
        <v>6849</v>
      </c>
      <c r="C5278">
        <v>15</v>
      </c>
      <c r="D5278" t="str">
        <f>VLOOKUP(Tabela26[[#This Row],[EMP]],[1]LOJA!$A:$B,2,0)</f>
        <v>UNAÍ</v>
      </c>
      <c r="E5278">
        <v>183</v>
      </c>
      <c r="F5278" t="s">
        <v>3485</v>
      </c>
      <c r="G5278" t="s">
        <v>3402</v>
      </c>
      <c r="H5278" t="s">
        <v>3401</v>
      </c>
      <c r="I5278">
        <v>5102</v>
      </c>
      <c r="J5278" s="3">
        <v>22.05</v>
      </c>
      <c r="K5278" s="3">
        <v>11.49</v>
      </c>
      <c r="L5278">
        <v>47.89</v>
      </c>
    </row>
    <row r="5279" spans="1:12">
      <c r="A5279" s="1">
        <v>46044</v>
      </c>
      <c r="B5279" t="s">
        <v>6848</v>
      </c>
      <c r="C5279">
        <v>15</v>
      </c>
      <c r="D5279" t="str">
        <f>VLOOKUP(Tabela26[[#This Row],[EMP]],[1]LOJA!$A:$B,2,0)</f>
        <v>UNAÍ</v>
      </c>
      <c r="E5279">
        <v>183</v>
      </c>
      <c r="F5279" t="s">
        <v>4711</v>
      </c>
      <c r="G5279" t="s">
        <v>4710</v>
      </c>
      <c r="H5279" t="s">
        <v>3401</v>
      </c>
      <c r="I5279">
        <v>5102</v>
      </c>
      <c r="J5279" s="3">
        <v>219</v>
      </c>
      <c r="K5279" s="3">
        <v>101.9</v>
      </c>
      <c r="L5279">
        <v>53.47</v>
      </c>
    </row>
    <row r="5280" spans="1:12">
      <c r="A5280" s="1">
        <v>46044</v>
      </c>
      <c r="B5280" t="s">
        <v>6847</v>
      </c>
      <c r="C5280">
        <v>15</v>
      </c>
      <c r="D5280" t="str">
        <f>VLOOKUP(Tabela26[[#This Row],[EMP]],[1]LOJA!$A:$B,2,0)</f>
        <v>UNAÍ</v>
      </c>
      <c r="E5280">
        <v>183</v>
      </c>
      <c r="F5280" t="s">
        <v>3485</v>
      </c>
      <c r="G5280" t="s">
        <v>3402</v>
      </c>
      <c r="H5280" t="s">
        <v>3401</v>
      </c>
      <c r="I5280">
        <v>5102</v>
      </c>
      <c r="J5280" s="3">
        <v>16</v>
      </c>
      <c r="K5280" s="3">
        <v>8.14</v>
      </c>
      <c r="L5280">
        <v>49.13</v>
      </c>
    </row>
    <row r="5281" spans="1:12">
      <c r="A5281" s="1">
        <v>46044</v>
      </c>
      <c r="B5281" t="s">
        <v>6846</v>
      </c>
      <c r="C5281">
        <v>15</v>
      </c>
      <c r="D5281" t="str">
        <f>VLOOKUP(Tabela26[[#This Row],[EMP]],[1]LOJA!$A:$B,2,0)</f>
        <v>UNAÍ</v>
      </c>
      <c r="E5281">
        <v>183</v>
      </c>
      <c r="F5281" t="s">
        <v>3485</v>
      </c>
      <c r="G5281" t="s">
        <v>3402</v>
      </c>
      <c r="H5281" t="s">
        <v>3401</v>
      </c>
      <c r="I5281">
        <v>5102</v>
      </c>
      <c r="J5281" s="3">
        <v>33.6</v>
      </c>
      <c r="K5281" s="3">
        <v>19.18</v>
      </c>
      <c r="L5281">
        <v>42.92</v>
      </c>
    </row>
    <row r="5282" spans="1:12">
      <c r="A5282" s="1">
        <v>46044</v>
      </c>
      <c r="B5282" t="s">
        <v>6845</v>
      </c>
      <c r="C5282">
        <v>15</v>
      </c>
      <c r="D5282" t="str">
        <f>VLOOKUP(Tabela26[[#This Row],[EMP]],[1]LOJA!$A:$B,2,0)</f>
        <v>UNAÍ</v>
      </c>
      <c r="E5282">
        <v>183</v>
      </c>
      <c r="F5282" t="s">
        <v>3485</v>
      </c>
      <c r="G5282" t="s">
        <v>3402</v>
      </c>
      <c r="H5282" t="s">
        <v>3401</v>
      </c>
      <c r="I5282">
        <v>5102</v>
      </c>
      <c r="J5282" s="3">
        <v>21.6</v>
      </c>
      <c r="K5282" s="3">
        <v>12.51</v>
      </c>
      <c r="L5282">
        <v>42.08</v>
      </c>
    </row>
    <row r="5283" spans="1:12">
      <c r="A5283" s="1">
        <v>46044</v>
      </c>
      <c r="B5283" t="s">
        <v>6844</v>
      </c>
      <c r="C5283">
        <v>15</v>
      </c>
      <c r="D5283" t="str">
        <f>VLOOKUP(Tabela26[[#This Row],[EMP]],[1]LOJA!$A:$B,2,0)</f>
        <v>UNAÍ</v>
      </c>
      <c r="E5283">
        <v>183</v>
      </c>
      <c r="F5283" t="s">
        <v>4054</v>
      </c>
      <c r="G5283" t="s">
        <v>3402</v>
      </c>
      <c r="H5283" t="s">
        <v>3408</v>
      </c>
      <c r="I5283">
        <v>5102</v>
      </c>
      <c r="J5283" s="3">
        <v>268</v>
      </c>
      <c r="K5283" s="3">
        <v>121.76</v>
      </c>
      <c r="L5283">
        <v>54.57</v>
      </c>
    </row>
    <row r="5284" spans="1:12">
      <c r="A5284" s="1">
        <v>46044</v>
      </c>
      <c r="B5284" t="s">
        <v>6843</v>
      </c>
      <c r="C5284">
        <v>15</v>
      </c>
      <c r="D5284" t="str">
        <f>VLOOKUP(Tabela26[[#This Row],[EMP]],[1]LOJA!$A:$B,2,0)</f>
        <v>UNAÍ</v>
      </c>
      <c r="E5284">
        <v>183</v>
      </c>
      <c r="F5284" t="s">
        <v>3485</v>
      </c>
      <c r="G5284" t="s">
        <v>3402</v>
      </c>
      <c r="H5284" t="s">
        <v>3401</v>
      </c>
      <c r="I5284">
        <v>5102</v>
      </c>
      <c r="J5284" s="3">
        <v>41</v>
      </c>
      <c r="K5284" s="3">
        <v>23.96</v>
      </c>
      <c r="L5284">
        <v>41.56</v>
      </c>
    </row>
    <row r="5285" spans="1:12">
      <c r="A5285" s="1">
        <v>46044</v>
      </c>
      <c r="B5285" t="s">
        <v>6842</v>
      </c>
      <c r="C5285">
        <v>15</v>
      </c>
      <c r="D5285" t="str">
        <f>VLOOKUP(Tabela26[[#This Row],[EMP]],[1]LOJA!$A:$B,2,0)</f>
        <v>UNAÍ</v>
      </c>
      <c r="E5285">
        <v>183</v>
      </c>
      <c r="F5285" t="s">
        <v>3485</v>
      </c>
      <c r="G5285" t="s">
        <v>3402</v>
      </c>
      <c r="H5285" t="s">
        <v>3401</v>
      </c>
      <c r="I5285">
        <v>5102</v>
      </c>
      <c r="J5285" s="3">
        <v>19</v>
      </c>
      <c r="K5285" s="3">
        <v>10.46</v>
      </c>
      <c r="L5285">
        <v>44.95</v>
      </c>
    </row>
    <row r="5286" spans="1:12">
      <c r="A5286" s="1">
        <v>46044</v>
      </c>
      <c r="B5286" t="s">
        <v>6841</v>
      </c>
      <c r="C5286">
        <v>15</v>
      </c>
      <c r="D5286" t="str">
        <f>VLOOKUP(Tabela26[[#This Row],[EMP]],[1]LOJA!$A:$B,2,0)</f>
        <v>UNAÍ</v>
      </c>
      <c r="E5286">
        <v>183</v>
      </c>
      <c r="F5286" t="s">
        <v>3485</v>
      </c>
      <c r="G5286" t="s">
        <v>3402</v>
      </c>
      <c r="H5286" t="s">
        <v>3401</v>
      </c>
      <c r="I5286">
        <v>5102</v>
      </c>
      <c r="J5286" s="3">
        <v>2</v>
      </c>
      <c r="K5286" s="3">
        <v>0.72</v>
      </c>
      <c r="L5286">
        <v>64</v>
      </c>
    </row>
    <row r="5287" spans="1:12">
      <c r="A5287" s="1">
        <v>46044</v>
      </c>
      <c r="B5287" t="s">
        <v>6840</v>
      </c>
      <c r="C5287">
        <v>15</v>
      </c>
      <c r="D5287" t="str">
        <f>VLOOKUP(Tabela26[[#This Row],[EMP]],[1]LOJA!$A:$B,2,0)</f>
        <v>UNAÍ</v>
      </c>
      <c r="E5287">
        <v>183</v>
      </c>
      <c r="F5287" t="s">
        <v>6839</v>
      </c>
      <c r="G5287" t="s">
        <v>6838</v>
      </c>
      <c r="H5287" t="s">
        <v>3401</v>
      </c>
      <c r="I5287">
        <v>5102</v>
      </c>
      <c r="J5287" s="3">
        <v>175.8</v>
      </c>
      <c r="K5287" s="3">
        <v>97.68</v>
      </c>
      <c r="L5287">
        <v>44.44</v>
      </c>
    </row>
    <row r="5288" spans="1:12">
      <c r="A5288" s="1">
        <v>46044</v>
      </c>
      <c r="B5288" t="s">
        <v>6837</v>
      </c>
      <c r="C5288">
        <v>15</v>
      </c>
      <c r="D5288" t="str">
        <f>VLOOKUP(Tabela26[[#This Row],[EMP]],[1]LOJA!$A:$B,2,0)</f>
        <v>UNAÍ</v>
      </c>
      <c r="E5288">
        <v>183</v>
      </c>
      <c r="F5288" t="s">
        <v>3485</v>
      </c>
      <c r="G5288" t="s">
        <v>3402</v>
      </c>
      <c r="H5288" t="s">
        <v>3401</v>
      </c>
      <c r="I5288">
        <v>5102</v>
      </c>
      <c r="J5288" s="3">
        <v>18</v>
      </c>
      <c r="K5288" s="3">
        <v>9.17</v>
      </c>
      <c r="L5288">
        <v>49.06</v>
      </c>
    </row>
    <row r="5289" spans="1:12">
      <c r="A5289" s="1">
        <v>46044</v>
      </c>
      <c r="B5289" t="s">
        <v>6836</v>
      </c>
      <c r="C5289">
        <v>15</v>
      </c>
      <c r="D5289" t="str">
        <f>VLOOKUP(Tabela26[[#This Row],[EMP]],[1]LOJA!$A:$B,2,0)</f>
        <v>UNAÍ</v>
      </c>
      <c r="E5289">
        <v>183</v>
      </c>
      <c r="F5289" t="s">
        <v>3485</v>
      </c>
      <c r="G5289" t="s">
        <v>3402</v>
      </c>
      <c r="H5289" t="s">
        <v>3401</v>
      </c>
      <c r="I5289">
        <v>5102</v>
      </c>
      <c r="J5289" s="3">
        <v>148</v>
      </c>
      <c r="K5289" s="3">
        <v>79.040000000000006</v>
      </c>
      <c r="L5289">
        <v>46.59</v>
      </c>
    </row>
    <row r="5290" spans="1:12">
      <c r="A5290" s="1">
        <v>46044</v>
      </c>
      <c r="B5290" t="s">
        <v>6835</v>
      </c>
      <c r="C5290">
        <v>15</v>
      </c>
      <c r="D5290" t="str">
        <f>VLOOKUP(Tabela26[[#This Row],[EMP]],[1]LOJA!$A:$B,2,0)</f>
        <v>UNAÍ</v>
      </c>
      <c r="E5290">
        <v>183</v>
      </c>
      <c r="F5290" t="s">
        <v>4681</v>
      </c>
      <c r="G5290" t="s">
        <v>4680</v>
      </c>
      <c r="H5290" t="s">
        <v>6563</v>
      </c>
      <c r="I5290">
        <v>5102</v>
      </c>
      <c r="J5290" s="3">
        <v>120</v>
      </c>
      <c r="K5290" s="3">
        <v>69.959999999999994</v>
      </c>
      <c r="L5290">
        <v>41.7</v>
      </c>
    </row>
    <row r="5291" spans="1:12">
      <c r="A5291" s="1">
        <v>46044</v>
      </c>
      <c r="B5291" t="s">
        <v>6834</v>
      </c>
      <c r="C5291">
        <v>15</v>
      </c>
      <c r="D5291" t="str">
        <f>VLOOKUP(Tabela26[[#This Row],[EMP]],[1]LOJA!$A:$B,2,0)</f>
        <v>UNAÍ</v>
      </c>
      <c r="E5291">
        <v>183</v>
      </c>
      <c r="F5291" t="s">
        <v>3485</v>
      </c>
      <c r="G5291" t="s">
        <v>3402</v>
      </c>
      <c r="H5291" t="s">
        <v>3401</v>
      </c>
      <c r="I5291">
        <v>5102</v>
      </c>
      <c r="J5291" s="3">
        <v>2</v>
      </c>
      <c r="K5291" s="3">
        <v>0.72</v>
      </c>
      <c r="L5291">
        <v>64</v>
      </c>
    </row>
    <row r="5292" spans="1:12">
      <c r="A5292" s="1">
        <v>46044</v>
      </c>
      <c r="B5292" t="s">
        <v>6833</v>
      </c>
      <c r="C5292">
        <v>6</v>
      </c>
      <c r="D5292" t="str">
        <f>VLOOKUP(Tabela26[[#This Row],[EMP]],[1]LOJA!$A:$B,2,0)</f>
        <v>GAMA</v>
      </c>
      <c r="E5292">
        <v>226</v>
      </c>
      <c r="F5292" t="s">
        <v>4007</v>
      </c>
      <c r="G5292" t="s">
        <v>4006</v>
      </c>
      <c r="H5292" t="s">
        <v>3430</v>
      </c>
      <c r="I5292">
        <v>6102</v>
      </c>
      <c r="J5292" s="3">
        <v>344.06</v>
      </c>
      <c r="K5292" s="3">
        <v>204.1</v>
      </c>
      <c r="L5292">
        <v>40.68</v>
      </c>
    </row>
    <row r="5293" spans="1:12">
      <c r="A5293" s="1">
        <v>46044</v>
      </c>
      <c r="B5293" t="s">
        <v>6832</v>
      </c>
      <c r="C5293">
        <v>6</v>
      </c>
      <c r="D5293" t="str">
        <f>VLOOKUP(Tabela26[[#This Row],[EMP]],[1]LOJA!$A:$B,2,0)</f>
        <v>GAMA</v>
      </c>
      <c r="E5293">
        <v>245</v>
      </c>
      <c r="F5293" t="s">
        <v>6831</v>
      </c>
      <c r="G5293" t="s">
        <v>6830</v>
      </c>
      <c r="H5293" t="s">
        <v>3408</v>
      </c>
      <c r="I5293">
        <v>6108</v>
      </c>
      <c r="J5293" s="3">
        <v>856.62</v>
      </c>
      <c r="K5293" s="3">
        <v>461.7</v>
      </c>
      <c r="L5293">
        <v>46.1</v>
      </c>
    </row>
    <row r="5294" spans="1:12">
      <c r="A5294" s="1">
        <v>46044</v>
      </c>
      <c r="B5294" t="s">
        <v>6829</v>
      </c>
      <c r="C5294">
        <v>6</v>
      </c>
      <c r="D5294" t="str">
        <f>VLOOKUP(Tabela26[[#This Row],[EMP]],[1]LOJA!$A:$B,2,0)</f>
        <v>GAMA</v>
      </c>
      <c r="E5294">
        <v>245</v>
      </c>
      <c r="F5294" t="s">
        <v>4004</v>
      </c>
      <c r="G5294" t="s">
        <v>4003</v>
      </c>
      <c r="H5294" t="s">
        <v>3430</v>
      </c>
      <c r="I5294">
        <v>5405</v>
      </c>
      <c r="J5294" s="3">
        <v>253.62</v>
      </c>
      <c r="K5294" s="3">
        <v>124.89</v>
      </c>
      <c r="L5294">
        <v>50.76</v>
      </c>
    </row>
    <row r="5295" spans="1:12">
      <c r="A5295" s="1">
        <v>46044</v>
      </c>
      <c r="B5295" t="s">
        <v>6828</v>
      </c>
      <c r="C5295">
        <v>6</v>
      </c>
      <c r="D5295" t="str">
        <f>VLOOKUP(Tabela26[[#This Row],[EMP]],[1]LOJA!$A:$B,2,0)</f>
        <v>GAMA</v>
      </c>
      <c r="E5295">
        <v>226</v>
      </c>
      <c r="F5295" t="s">
        <v>6827</v>
      </c>
      <c r="G5295" t="s">
        <v>6826</v>
      </c>
      <c r="H5295" t="s">
        <v>3430</v>
      </c>
      <c r="I5295">
        <v>5405</v>
      </c>
      <c r="J5295" s="3">
        <v>35.36</v>
      </c>
      <c r="K5295" s="3">
        <v>17.04</v>
      </c>
      <c r="L5295">
        <v>51.81</v>
      </c>
    </row>
    <row r="5296" spans="1:12">
      <c r="A5296" s="1">
        <v>46044</v>
      </c>
      <c r="B5296" t="s">
        <v>6825</v>
      </c>
      <c r="C5296">
        <v>14</v>
      </c>
      <c r="D5296" t="str">
        <f>VLOOKUP(Tabela26[[#This Row],[EMP]],[1]LOJA!$A:$B,2,0)</f>
        <v>S IA</v>
      </c>
      <c r="E5296">
        <v>54</v>
      </c>
      <c r="F5296" t="s">
        <v>4659</v>
      </c>
      <c r="G5296" t="s">
        <v>4658</v>
      </c>
      <c r="H5296" t="s">
        <v>3430</v>
      </c>
      <c r="I5296">
        <v>5102</v>
      </c>
      <c r="J5296" s="3">
        <v>1156.21</v>
      </c>
      <c r="K5296" s="3">
        <v>738.71</v>
      </c>
      <c r="L5296">
        <v>36.11</v>
      </c>
    </row>
    <row r="5297" spans="1:12">
      <c r="A5297" s="1">
        <v>46044</v>
      </c>
      <c r="B5297" t="s">
        <v>6824</v>
      </c>
      <c r="C5297">
        <v>14</v>
      </c>
      <c r="D5297" t="str">
        <f>VLOOKUP(Tabela26[[#This Row],[EMP]],[1]LOJA!$A:$B,2,0)</f>
        <v>S IA</v>
      </c>
      <c r="E5297">
        <v>54</v>
      </c>
      <c r="F5297" t="s">
        <v>5779</v>
      </c>
      <c r="G5297" t="s">
        <v>5778</v>
      </c>
      <c r="H5297" t="s">
        <v>3430</v>
      </c>
      <c r="I5297">
        <v>5405</v>
      </c>
      <c r="J5297" s="3">
        <v>135.4</v>
      </c>
      <c r="K5297" s="3">
        <v>68.489999999999995</v>
      </c>
      <c r="L5297">
        <v>49.42</v>
      </c>
    </row>
    <row r="5298" spans="1:12">
      <c r="A5298" s="1">
        <v>46044</v>
      </c>
      <c r="B5298" t="s">
        <v>6823</v>
      </c>
      <c r="C5298">
        <v>14</v>
      </c>
      <c r="D5298" t="str">
        <f>VLOOKUP(Tabela26[[#This Row],[EMP]],[1]LOJA!$A:$B,2,0)</f>
        <v>S IA</v>
      </c>
      <c r="E5298">
        <v>54</v>
      </c>
      <c r="F5298" t="s">
        <v>6822</v>
      </c>
      <c r="G5298" t="s">
        <v>6821</v>
      </c>
      <c r="H5298" t="s">
        <v>3401</v>
      </c>
      <c r="I5298">
        <v>5102</v>
      </c>
      <c r="J5298" s="3">
        <v>90</v>
      </c>
      <c r="K5298" s="3">
        <v>53.94</v>
      </c>
      <c r="L5298">
        <v>40.07</v>
      </c>
    </row>
    <row r="5299" spans="1:12">
      <c r="A5299" s="1">
        <v>46044</v>
      </c>
      <c r="B5299" t="s">
        <v>6820</v>
      </c>
      <c r="C5299">
        <v>14</v>
      </c>
      <c r="D5299" t="str">
        <f>VLOOKUP(Tabela26[[#This Row],[EMP]],[1]LOJA!$A:$B,2,0)</f>
        <v>S IA</v>
      </c>
      <c r="E5299">
        <v>212</v>
      </c>
      <c r="F5299" t="s">
        <v>3403</v>
      </c>
      <c r="G5299" t="s">
        <v>3402</v>
      </c>
      <c r="H5299" t="s">
        <v>3401</v>
      </c>
      <c r="I5299">
        <v>5102</v>
      </c>
      <c r="J5299" s="3">
        <v>90</v>
      </c>
      <c r="K5299" s="3">
        <v>51.3</v>
      </c>
      <c r="L5299">
        <v>43</v>
      </c>
    </row>
    <row r="5300" spans="1:12">
      <c r="A5300" s="1">
        <v>46044</v>
      </c>
      <c r="B5300" t="s">
        <v>6819</v>
      </c>
      <c r="C5300">
        <v>14</v>
      </c>
      <c r="D5300" t="str">
        <f>VLOOKUP(Tabela26[[#This Row],[EMP]],[1]LOJA!$A:$B,2,0)</f>
        <v>S IA</v>
      </c>
      <c r="E5300">
        <v>212</v>
      </c>
      <c r="F5300" t="s">
        <v>3403</v>
      </c>
      <c r="G5300" t="s">
        <v>3402</v>
      </c>
      <c r="H5300" t="s">
        <v>3401</v>
      </c>
      <c r="I5300">
        <v>5102</v>
      </c>
      <c r="J5300" s="3">
        <v>4.5</v>
      </c>
      <c r="K5300" s="3">
        <v>2.2400000000000002</v>
      </c>
      <c r="L5300">
        <v>50.22</v>
      </c>
    </row>
    <row r="5301" spans="1:12">
      <c r="A5301" s="1">
        <v>46044</v>
      </c>
      <c r="B5301" t="s">
        <v>6818</v>
      </c>
      <c r="C5301">
        <v>14</v>
      </c>
      <c r="D5301" t="str">
        <f>VLOOKUP(Tabela26[[#This Row],[EMP]],[1]LOJA!$A:$B,2,0)</f>
        <v>S IA</v>
      </c>
      <c r="E5301">
        <v>54</v>
      </c>
      <c r="F5301" t="s">
        <v>3403</v>
      </c>
      <c r="G5301" t="s">
        <v>3402</v>
      </c>
      <c r="H5301" t="s">
        <v>3401</v>
      </c>
      <c r="I5301">
        <v>5102</v>
      </c>
      <c r="J5301" s="3">
        <v>88.35</v>
      </c>
      <c r="K5301" s="3">
        <v>41.49</v>
      </c>
      <c r="L5301">
        <v>53.04</v>
      </c>
    </row>
    <row r="5302" spans="1:12">
      <c r="A5302" s="1">
        <v>46044</v>
      </c>
      <c r="B5302" t="s">
        <v>6817</v>
      </c>
      <c r="C5302">
        <v>14</v>
      </c>
      <c r="D5302" t="str">
        <f>VLOOKUP(Tabela26[[#This Row],[EMP]],[1]LOJA!$A:$B,2,0)</f>
        <v>S IA</v>
      </c>
      <c r="E5302">
        <v>212</v>
      </c>
      <c r="F5302" t="s">
        <v>5589</v>
      </c>
      <c r="G5302" t="s">
        <v>3402</v>
      </c>
      <c r="H5302" t="s">
        <v>3408</v>
      </c>
      <c r="I5302">
        <v>5102</v>
      </c>
      <c r="J5302" s="3">
        <v>96</v>
      </c>
      <c r="K5302" s="3">
        <v>50.55</v>
      </c>
      <c r="L5302">
        <v>47.34</v>
      </c>
    </row>
    <row r="5303" spans="1:12">
      <c r="A5303" s="1">
        <v>46044</v>
      </c>
      <c r="B5303" t="s">
        <v>6816</v>
      </c>
      <c r="C5303">
        <v>14</v>
      </c>
      <c r="D5303" t="str">
        <f>VLOOKUP(Tabela26[[#This Row],[EMP]],[1]LOJA!$A:$B,2,0)</f>
        <v>S IA</v>
      </c>
      <c r="E5303">
        <v>212</v>
      </c>
      <c r="F5303" t="s">
        <v>3989</v>
      </c>
      <c r="G5303" t="s">
        <v>3988</v>
      </c>
      <c r="H5303" t="s">
        <v>3430</v>
      </c>
      <c r="I5303">
        <v>5405</v>
      </c>
      <c r="J5303" s="3">
        <v>233.4</v>
      </c>
      <c r="K5303" s="3">
        <v>131.34</v>
      </c>
      <c r="L5303">
        <v>43.73</v>
      </c>
    </row>
    <row r="5304" spans="1:12">
      <c r="A5304" s="1">
        <v>46044</v>
      </c>
      <c r="B5304" t="s">
        <v>6815</v>
      </c>
      <c r="C5304">
        <v>14</v>
      </c>
      <c r="D5304" t="str">
        <f>VLOOKUP(Tabela26[[#This Row],[EMP]],[1]LOJA!$A:$B,2,0)</f>
        <v>S IA</v>
      </c>
      <c r="E5304">
        <v>212</v>
      </c>
      <c r="F5304" t="s">
        <v>3989</v>
      </c>
      <c r="G5304" t="s">
        <v>3988</v>
      </c>
      <c r="H5304" t="s">
        <v>3430</v>
      </c>
      <c r="I5304">
        <v>5405</v>
      </c>
      <c r="J5304" s="3">
        <v>222.68</v>
      </c>
      <c r="K5304" s="3">
        <v>120.78</v>
      </c>
      <c r="L5304">
        <v>45.76</v>
      </c>
    </row>
    <row r="5305" spans="1:12">
      <c r="A5305" s="1">
        <v>46044</v>
      </c>
      <c r="B5305" t="s">
        <v>6814</v>
      </c>
      <c r="C5305">
        <v>14</v>
      </c>
      <c r="D5305" t="str">
        <f>VLOOKUP(Tabela26[[#This Row],[EMP]],[1]LOJA!$A:$B,2,0)</f>
        <v>S IA</v>
      </c>
      <c r="E5305">
        <v>212</v>
      </c>
      <c r="F5305" t="s">
        <v>3403</v>
      </c>
      <c r="G5305" t="s">
        <v>3402</v>
      </c>
      <c r="H5305" t="s">
        <v>3401</v>
      </c>
      <c r="I5305">
        <v>5405</v>
      </c>
      <c r="J5305" s="3">
        <v>205</v>
      </c>
      <c r="K5305" s="3">
        <v>74.91</v>
      </c>
      <c r="L5305">
        <v>63.46</v>
      </c>
    </row>
    <row r="5306" spans="1:12">
      <c r="A5306" s="1">
        <v>46044</v>
      </c>
      <c r="B5306" t="s">
        <v>6813</v>
      </c>
      <c r="C5306">
        <v>14</v>
      </c>
      <c r="D5306" t="str">
        <f>VLOOKUP(Tabela26[[#This Row],[EMP]],[1]LOJA!$A:$B,2,0)</f>
        <v>S IA</v>
      </c>
      <c r="E5306">
        <v>212</v>
      </c>
      <c r="F5306" t="s">
        <v>3403</v>
      </c>
      <c r="G5306" t="s">
        <v>3402</v>
      </c>
      <c r="H5306" t="s">
        <v>3401</v>
      </c>
      <c r="I5306">
        <v>5405</v>
      </c>
      <c r="J5306" s="3">
        <v>26.9</v>
      </c>
      <c r="K5306" s="3">
        <v>13.24</v>
      </c>
      <c r="L5306">
        <v>50.78</v>
      </c>
    </row>
    <row r="5307" spans="1:12">
      <c r="A5307" s="1">
        <v>46044</v>
      </c>
      <c r="B5307" t="s">
        <v>6812</v>
      </c>
      <c r="C5307">
        <v>14</v>
      </c>
      <c r="D5307" t="str">
        <f>VLOOKUP(Tabela26[[#This Row],[EMP]],[1]LOJA!$A:$B,2,0)</f>
        <v>S IA</v>
      </c>
      <c r="E5307">
        <v>212</v>
      </c>
      <c r="F5307" t="s">
        <v>3403</v>
      </c>
      <c r="G5307" t="s">
        <v>3402</v>
      </c>
      <c r="H5307" t="s">
        <v>3401</v>
      </c>
      <c r="I5307">
        <v>5102</v>
      </c>
      <c r="J5307" s="3">
        <v>9.5</v>
      </c>
      <c r="K5307" s="3">
        <v>4.16</v>
      </c>
      <c r="L5307">
        <v>56.21</v>
      </c>
    </row>
    <row r="5308" spans="1:12">
      <c r="A5308" s="1">
        <v>46044</v>
      </c>
      <c r="B5308" t="s">
        <v>6811</v>
      </c>
      <c r="C5308">
        <v>14</v>
      </c>
      <c r="D5308" t="str">
        <f>VLOOKUP(Tabela26[[#This Row],[EMP]],[1]LOJA!$A:$B,2,0)</f>
        <v>S IA</v>
      </c>
      <c r="E5308">
        <v>54</v>
      </c>
      <c r="F5308" t="s">
        <v>6410</v>
      </c>
      <c r="G5308" t="s">
        <v>6409</v>
      </c>
      <c r="H5308" t="s">
        <v>3430</v>
      </c>
      <c r="I5308">
        <v>5102</v>
      </c>
      <c r="J5308" s="3">
        <v>31.41</v>
      </c>
      <c r="K5308" s="3">
        <v>18.62</v>
      </c>
      <c r="L5308">
        <v>40.72</v>
      </c>
    </row>
    <row r="5309" spans="1:12">
      <c r="A5309" s="1">
        <v>46044</v>
      </c>
      <c r="B5309" t="s">
        <v>6810</v>
      </c>
      <c r="C5309">
        <v>14</v>
      </c>
      <c r="D5309" t="str">
        <f>VLOOKUP(Tabela26[[#This Row],[EMP]],[1]LOJA!$A:$B,2,0)</f>
        <v>S IA</v>
      </c>
      <c r="E5309">
        <v>54</v>
      </c>
      <c r="F5309" t="s">
        <v>3403</v>
      </c>
      <c r="G5309" t="s">
        <v>3402</v>
      </c>
      <c r="H5309" t="s">
        <v>3401</v>
      </c>
      <c r="I5309">
        <v>5102</v>
      </c>
      <c r="J5309" s="3">
        <v>6</v>
      </c>
      <c r="K5309" s="3">
        <v>3.28</v>
      </c>
      <c r="L5309">
        <v>45.33</v>
      </c>
    </row>
    <row r="5310" spans="1:12">
      <c r="A5310" s="1">
        <v>46044</v>
      </c>
      <c r="B5310" t="s">
        <v>6809</v>
      </c>
      <c r="C5310">
        <v>14</v>
      </c>
      <c r="D5310" t="str">
        <f>VLOOKUP(Tabela26[[#This Row],[EMP]],[1]LOJA!$A:$B,2,0)</f>
        <v>S IA</v>
      </c>
      <c r="E5310">
        <v>54</v>
      </c>
      <c r="F5310" t="s">
        <v>3403</v>
      </c>
      <c r="G5310" t="s">
        <v>3402</v>
      </c>
      <c r="H5310" t="s">
        <v>3401</v>
      </c>
      <c r="I5310">
        <v>5405</v>
      </c>
      <c r="J5310" s="3">
        <v>50</v>
      </c>
      <c r="K5310" s="3">
        <v>23.98</v>
      </c>
      <c r="L5310">
        <v>52.04</v>
      </c>
    </row>
    <row r="5311" spans="1:12">
      <c r="A5311" s="1">
        <v>46044</v>
      </c>
      <c r="B5311" t="s">
        <v>6808</v>
      </c>
      <c r="C5311">
        <v>14</v>
      </c>
      <c r="D5311" t="str">
        <f>VLOOKUP(Tabela26[[#This Row],[EMP]],[1]LOJA!$A:$B,2,0)</f>
        <v>S IA</v>
      </c>
      <c r="E5311">
        <v>212</v>
      </c>
      <c r="F5311" t="s">
        <v>3403</v>
      </c>
      <c r="G5311" t="s">
        <v>3402</v>
      </c>
      <c r="H5311" t="s">
        <v>3401</v>
      </c>
      <c r="I5311">
        <v>5102</v>
      </c>
      <c r="J5311" s="3">
        <v>44</v>
      </c>
      <c r="K5311" s="3">
        <v>20.399999999999999</v>
      </c>
      <c r="L5311">
        <v>53.64</v>
      </c>
    </row>
    <row r="5312" spans="1:12">
      <c r="A5312" s="1">
        <v>46044</v>
      </c>
      <c r="B5312" t="s">
        <v>6807</v>
      </c>
      <c r="C5312">
        <v>15</v>
      </c>
      <c r="D5312" t="str">
        <f>VLOOKUP(Tabela26[[#This Row],[EMP]],[1]LOJA!$A:$B,2,0)</f>
        <v>UNAÍ</v>
      </c>
      <c r="E5312">
        <v>183</v>
      </c>
      <c r="F5312" t="s">
        <v>4701</v>
      </c>
      <c r="G5312" t="s">
        <v>4700</v>
      </c>
      <c r="H5312" t="s">
        <v>3401</v>
      </c>
      <c r="I5312">
        <v>5102</v>
      </c>
      <c r="J5312" s="3">
        <v>24.4</v>
      </c>
      <c r="K5312" s="3">
        <v>11.28</v>
      </c>
      <c r="L5312">
        <v>53.77</v>
      </c>
    </row>
    <row r="5313" spans="1:12">
      <c r="A5313" s="1">
        <v>46044</v>
      </c>
      <c r="B5313" t="s">
        <v>6806</v>
      </c>
      <c r="C5313">
        <v>15</v>
      </c>
      <c r="D5313" t="str">
        <f>VLOOKUP(Tabela26[[#This Row],[EMP]],[1]LOJA!$A:$B,2,0)</f>
        <v>UNAÍ</v>
      </c>
      <c r="E5313">
        <v>183</v>
      </c>
      <c r="F5313" t="s">
        <v>5308</v>
      </c>
      <c r="G5313" t="s">
        <v>5307</v>
      </c>
      <c r="H5313" t="s">
        <v>3401</v>
      </c>
      <c r="I5313">
        <v>5102</v>
      </c>
      <c r="J5313" s="3">
        <v>87.85</v>
      </c>
      <c r="K5313" s="3">
        <v>46.35</v>
      </c>
      <c r="L5313">
        <v>47.24</v>
      </c>
    </row>
    <row r="5314" spans="1:12">
      <c r="A5314" s="1">
        <v>46044</v>
      </c>
      <c r="B5314" t="s">
        <v>6805</v>
      </c>
      <c r="C5314">
        <v>15</v>
      </c>
      <c r="D5314" t="str">
        <f>VLOOKUP(Tabela26[[#This Row],[EMP]],[1]LOJA!$A:$B,2,0)</f>
        <v>UNAÍ</v>
      </c>
      <c r="E5314">
        <v>183</v>
      </c>
      <c r="F5314" t="s">
        <v>3960</v>
      </c>
      <c r="G5314" t="s">
        <v>3959</v>
      </c>
      <c r="H5314" t="s">
        <v>3401</v>
      </c>
      <c r="I5314">
        <v>5102</v>
      </c>
      <c r="J5314" s="3">
        <v>7.2</v>
      </c>
      <c r="K5314" s="3">
        <v>3.54</v>
      </c>
      <c r="L5314">
        <v>50.83</v>
      </c>
    </row>
    <row r="5315" spans="1:12">
      <c r="A5315" s="1">
        <v>46044</v>
      </c>
      <c r="B5315" t="s">
        <v>6804</v>
      </c>
      <c r="C5315">
        <v>15</v>
      </c>
      <c r="D5315" t="str">
        <f>VLOOKUP(Tabela26[[#This Row],[EMP]],[1]LOJA!$A:$B,2,0)</f>
        <v>UNAÍ</v>
      </c>
      <c r="E5315">
        <v>183</v>
      </c>
      <c r="F5315" t="s">
        <v>3960</v>
      </c>
      <c r="G5315" t="s">
        <v>3959</v>
      </c>
      <c r="H5315" t="s">
        <v>3401</v>
      </c>
      <c r="I5315">
        <v>5405</v>
      </c>
      <c r="J5315" s="3">
        <v>90</v>
      </c>
      <c r="K5315" s="3">
        <v>44.55</v>
      </c>
      <c r="L5315">
        <v>50.5</v>
      </c>
    </row>
    <row r="5316" spans="1:12">
      <c r="A5316" s="1">
        <v>46044</v>
      </c>
      <c r="B5316" t="s">
        <v>6803</v>
      </c>
      <c r="C5316">
        <v>15</v>
      </c>
      <c r="D5316" t="str">
        <f>VLOOKUP(Tabela26[[#This Row],[EMP]],[1]LOJA!$A:$B,2,0)</f>
        <v>UNAÍ</v>
      </c>
      <c r="E5316">
        <v>183</v>
      </c>
      <c r="F5316" t="s">
        <v>5244</v>
      </c>
      <c r="G5316" t="s">
        <v>5243</v>
      </c>
      <c r="H5316" t="s">
        <v>3401</v>
      </c>
      <c r="I5316">
        <v>5102</v>
      </c>
      <c r="J5316" s="3">
        <v>155</v>
      </c>
      <c r="K5316" s="3">
        <v>82.89</v>
      </c>
      <c r="L5316">
        <v>46.52</v>
      </c>
    </row>
    <row r="5317" spans="1:12">
      <c r="A5317" s="1">
        <v>46044</v>
      </c>
      <c r="B5317" t="s">
        <v>6802</v>
      </c>
      <c r="C5317">
        <v>12</v>
      </c>
      <c r="D5317" t="str">
        <f>VLOOKUP(Tabela26[[#This Row],[EMP]],[1]LOJA!$A:$B,2,0)</f>
        <v>SOFNORTE</v>
      </c>
      <c r="E5317">
        <v>239</v>
      </c>
      <c r="F5317" t="s">
        <v>3925</v>
      </c>
      <c r="G5317" t="s">
        <v>3924</v>
      </c>
      <c r="H5317" t="s">
        <v>3430</v>
      </c>
      <c r="I5317">
        <v>5102</v>
      </c>
      <c r="J5317" s="3">
        <v>177.75</v>
      </c>
      <c r="K5317" s="3">
        <v>92.52</v>
      </c>
      <c r="L5317">
        <v>47.95</v>
      </c>
    </row>
    <row r="5318" spans="1:12">
      <c r="A5318" s="1">
        <v>46044</v>
      </c>
      <c r="B5318" t="s">
        <v>6801</v>
      </c>
      <c r="C5318">
        <v>12</v>
      </c>
      <c r="D5318" t="str">
        <f>VLOOKUP(Tabela26[[#This Row],[EMP]],[1]LOJA!$A:$B,2,0)</f>
        <v>SOFNORTE</v>
      </c>
      <c r="E5318">
        <v>60</v>
      </c>
      <c r="F5318" t="s">
        <v>3461</v>
      </c>
      <c r="G5318" t="s">
        <v>3460</v>
      </c>
      <c r="H5318" t="s">
        <v>3430</v>
      </c>
      <c r="I5318">
        <v>5405</v>
      </c>
      <c r="J5318" s="3">
        <v>160.91</v>
      </c>
      <c r="K5318" s="3">
        <v>80.150000000000006</v>
      </c>
      <c r="L5318">
        <v>50.19</v>
      </c>
    </row>
    <row r="5319" spans="1:12">
      <c r="A5319" s="1">
        <v>46044</v>
      </c>
      <c r="B5319" t="s">
        <v>6800</v>
      </c>
      <c r="C5319">
        <v>12</v>
      </c>
      <c r="D5319" t="str">
        <f>VLOOKUP(Tabela26[[#This Row],[EMP]],[1]LOJA!$A:$B,2,0)</f>
        <v>SOFNORTE</v>
      </c>
      <c r="E5319">
        <v>239</v>
      </c>
      <c r="F5319" t="s">
        <v>5750</v>
      </c>
      <c r="G5319" t="s">
        <v>5749</v>
      </c>
      <c r="H5319" t="s">
        <v>3430</v>
      </c>
      <c r="I5319">
        <v>5102</v>
      </c>
      <c r="J5319" s="3">
        <v>13.44</v>
      </c>
      <c r="K5319" s="3">
        <v>8.67</v>
      </c>
      <c r="L5319">
        <v>35.49</v>
      </c>
    </row>
    <row r="5320" spans="1:12">
      <c r="A5320" s="1">
        <v>46044</v>
      </c>
      <c r="B5320" t="s">
        <v>6799</v>
      </c>
      <c r="C5320">
        <v>12</v>
      </c>
      <c r="D5320" t="str">
        <f>VLOOKUP(Tabela26[[#This Row],[EMP]],[1]LOJA!$A:$B,2,0)</f>
        <v>SOFNORTE</v>
      </c>
      <c r="E5320">
        <v>60</v>
      </c>
      <c r="F5320" t="s">
        <v>3931</v>
      </c>
      <c r="G5320" t="s">
        <v>3930</v>
      </c>
      <c r="H5320" t="s">
        <v>6798</v>
      </c>
      <c r="I5320">
        <v>5405</v>
      </c>
      <c r="J5320" s="3">
        <v>189</v>
      </c>
      <c r="K5320" s="3">
        <v>88.09</v>
      </c>
      <c r="L5320">
        <v>53.39</v>
      </c>
    </row>
    <row r="5321" spans="1:12">
      <c r="A5321" s="1">
        <v>46044</v>
      </c>
      <c r="B5321" t="s">
        <v>6797</v>
      </c>
      <c r="C5321">
        <v>12</v>
      </c>
      <c r="D5321" t="str">
        <f>VLOOKUP(Tabela26[[#This Row],[EMP]],[1]LOJA!$A:$B,2,0)</f>
        <v>SOFNORTE</v>
      </c>
      <c r="E5321">
        <v>60</v>
      </c>
      <c r="F5321" t="s">
        <v>3948</v>
      </c>
      <c r="G5321" t="s">
        <v>3947</v>
      </c>
      <c r="H5321" t="s">
        <v>3430</v>
      </c>
      <c r="I5321">
        <v>5405</v>
      </c>
      <c r="J5321" s="3">
        <v>47</v>
      </c>
      <c r="K5321" s="3">
        <v>23.55</v>
      </c>
      <c r="L5321">
        <v>49.89</v>
      </c>
    </row>
    <row r="5322" spans="1:12">
      <c r="A5322" s="1">
        <v>46044</v>
      </c>
      <c r="B5322" t="s">
        <v>6796</v>
      </c>
      <c r="C5322">
        <v>12</v>
      </c>
      <c r="D5322" t="str">
        <f>VLOOKUP(Tabela26[[#This Row],[EMP]],[1]LOJA!$A:$B,2,0)</f>
        <v>SOFNORTE</v>
      </c>
      <c r="E5322">
        <v>60</v>
      </c>
      <c r="F5322" t="s">
        <v>3925</v>
      </c>
      <c r="G5322" t="s">
        <v>3924</v>
      </c>
      <c r="H5322" t="s">
        <v>3430</v>
      </c>
      <c r="I5322">
        <v>5405</v>
      </c>
      <c r="J5322" s="3">
        <v>273</v>
      </c>
      <c r="K5322" s="3">
        <v>128.43</v>
      </c>
      <c r="L5322">
        <v>52.96</v>
      </c>
    </row>
    <row r="5323" spans="1:12">
      <c r="A5323" s="1">
        <v>46044</v>
      </c>
      <c r="B5323" t="s">
        <v>6795</v>
      </c>
      <c r="C5323">
        <v>12</v>
      </c>
      <c r="D5323" t="str">
        <f>VLOOKUP(Tabela26[[#This Row],[EMP]],[1]LOJA!$A:$B,2,0)</f>
        <v>SOFNORTE</v>
      </c>
      <c r="E5323">
        <v>60</v>
      </c>
      <c r="F5323" t="s">
        <v>5057</v>
      </c>
      <c r="G5323" t="s">
        <v>5056</v>
      </c>
      <c r="H5323" t="s">
        <v>3430</v>
      </c>
      <c r="I5323">
        <v>5405</v>
      </c>
      <c r="J5323" s="3">
        <v>124</v>
      </c>
      <c r="K5323" s="3">
        <v>58.5</v>
      </c>
      <c r="L5323">
        <v>52.82</v>
      </c>
    </row>
    <row r="5324" spans="1:12">
      <c r="A5324" s="1">
        <v>46044</v>
      </c>
      <c r="B5324" t="s">
        <v>6794</v>
      </c>
      <c r="C5324">
        <v>12</v>
      </c>
      <c r="D5324" t="str">
        <f>VLOOKUP(Tabela26[[#This Row],[EMP]],[1]LOJA!$A:$B,2,0)</f>
        <v>SOFNORTE</v>
      </c>
      <c r="E5324">
        <v>60</v>
      </c>
      <c r="F5324" t="s">
        <v>3461</v>
      </c>
      <c r="G5324" t="s">
        <v>3460</v>
      </c>
      <c r="H5324" t="s">
        <v>3430</v>
      </c>
      <c r="I5324">
        <v>5405</v>
      </c>
      <c r="J5324" s="3">
        <v>87.48</v>
      </c>
      <c r="K5324" s="3">
        <v>43.54</v>
      </c>
      <c r="L5324">
        <v>50.23</v>
      </c>
    </row>
    <row r="5325" spans="1:12">
      <c r="A5325" s="1">
        <v>46044</v>
      </c>
      <c r="B5325" t="s">
        <v>6793</v>
      </c>
      <c r="C5325">
        <v>12</v>
      </c>
      <c r="D5325" t="str">
        <f>VLOOKUP(Tabela26[[#This Row],[EMP]],[1]LOJA!$A:$B,2,0)</f>
        <v>SOFNORTE</v>
      </c>
      <c r="E5325">
        <v>60</v>
      </c>
      <c r="F5325" t="s">
        <v>6393</v>
      </c>
      <c r="G5325" t="s">
        <v>6392</v>
      </c>
      <c r="H5325" t="s">
        <v>3430</v>
      </c>
      <c r="I5325">
        <v>5102</v>
      </c>
      <c r="J5325" s="3">
        <v>94</v>
      </c>
      <c r="K5325" s="3">
        <v>48.54</v>
      </c>
      <c r="L5325">
        <v>48.36</v>
      </c>
    </row>
    <row r="5326" spans="1:12">
      <c r="A5326" s="1">
        <v>46044</v>
      </c>
      <c r="B5326" t="s">
        <v>6792</v>
      </c>
      <c r="C5326">
        <v>12</v>
      </c>
      <c r="D5326" t="str">
        <f>VLOOKUP(Tabela26[[#This Row],[EMP]],[1]LOJA!$A:$B,2,0)</f>
        <v>SOFNORTE</v>
      </c>
      <c r="E5326">
        <v>60</v>
      </c>
      <c r="F5326" t="s">
        <v>3945</v>
      </c>
      <c r="G5326" t="s">
        <v>3944</v>
      </c>
      <c r="H5326" t="s">
        <v>3430</v>
      </c>
      <c r="I5326">
        <v>5102</v>
      </c>
      <c r="J5326" s="3">
        <v>1007.51</v>
      </c>
      <c r="K5326" s="3">
        <v>527.36</v>
      </c>
      <c r="L5326">
        <v>47.66</v>
      </c>
    </row>
    <row r="5327" spans="1:12">
      <c r="A5327" s="1">
        <v>46044</v>
      </c>
      <c r="B5327" t="s">
        <v>6791</v>
      </c>
      <c r="C5327">
        <v>12</v>
      </c>
      <c r="D5327" t="str">
        <f>VLOOKUP(Tabela26[[#This Row],[EMP]],[1]LOJA!$A:$B,2,0)</f>
        <v>SOFNORTE</v>
      </c>
      <c r="E5327">
        <v>239</v>
      </c>
      <c r="F5327" t="s">
        <v>5057</v>
      </c>
      <c r="G5327" t="s">
        <v>5056</v>
      </c>
      <c r="H5327" t="s">
        <v>3430</v>
      </c>
      <c r="I5327">
        <v>5102</v>
      </c>
      <c r="J5327" s="3">
        <v>81.36</v>
      </c>
      <c r="K5327" s="3">
        <v>41.76</v>
      </c>
      <c r="L5327">
        <v>48.67</v>
      </c>
    </row>
    <row r="5328" spans="1:12">
      <c r="A5328" s="1">
        <v>46044</v>
      </c>
      <c r="B5328" t="s">
        <v>6790</v>
      </c>
      <c r="C5328">
        <v>12</v>
      </c>
      <c r="D5328" t="str">
        <f>VLOOKUP(Tabela26[[#This Row],[EMP]],[1]LOJA!$A:$B,2,0)</f>
        <v>SOFNORTE</v>
      </c>
      <c r="E5328">
        <v>60</v>
      </c>
      <c r="F5328" t="s">
        <v>3461</v>
      </c>
      <c r="G5328" t="s">
        <v>3460</v>
      </c>
      <c r="H5328" t="s">
        <v>3430</v>
      </c>
      <c r="I5328">
        <v>5405</v>
      </c>
      <c r="J5328" s="3">
        <v>28.51</v>
      </c>
      <c r="K5328" s="3">
        <v>13.84</v>
      </c>
      <c r="L5328">
        <v>51.46</v>
      </c>
    </row>
    <row r="5329" spans="1:12">
      <c r="A5329" s="1">
        <v>46044</v>
      </c>
      <c r="B5329" t="s">
        <v>6789</v>
      </c>
      <c r="C5329">
        <v>12</v>
      </c>
      <c r="D5329" t="str">
        <f>VLOOKUP(Tabela26[[#This Row],[EMP]],[1]LOJA!$A:$B,2,0)</f>
        <v>SOFNORTE</v>
      </c>
      <c r="E5329">
        <v>60</v>
      </c>
      <c r="F5329" t="s">
        <v>3461</v>
      </c>
      <c r="G5329" t="s">
        <v>3460</v>
      </c>
      <c r="H5329" t="s">
        <v>3430</v>
      </c>
      <c r="I5329">
        <v>5102</v>
      </c>
      <c r="J5329" s="3">
        <v>17.54</v>
      </c>
      <c r="K5329" s="3">
        <v>10.46</v>
      </c>
      <c r="L5329">
        <v>40.36</v>
      </c>
    </row>
    <row r="5330" spans="1:12">
      <c r="A5330" s="1">
        <v>46044</v>
      </c>
      <c r="B5330" t="s">
        <v>6788</v>
      </c>
      <c r="C5330">
        <v>22</v>
      </c>
      <c r="D5330" t="str">
        <f>VLOOKUP(Tabela26[[#This Row],[EMP]],[1]LOJA!$A:$B,2,0)</f>
        <v>GUARÁ</v>
      </c>
      <c r="E5330">
        <v>93</v>
      </c>
      <c r="F5330" t="s">
        <v>6787</v>
      </c>
      <c r="G5330" t="s">
        <v>6786</v>
      </c>
      <c r="H5330" t="s">
        <v>3408</v>
      </c>
      <c r="I5330">
        <v>5405</v>
      </c>
      <c r="J5330" s="3">
        <v>65.849999999999994</v>
      </c>
      <c r="K5330" s="3">
        <v>31.05</v>
      </c>
      <c r="L5330">
        <v>52.85</v>
      </c>
    </row>
    <row r="5331" spans="1:12">
      <c r="A5331" s="1">
        <v>46044</v>
      </c>
      <c r="B5331" t="s">
        <v>6785</v>
      </c>
      <c r="C5331">
        <v>22</v>
      </c>
      <c r="D5331" t="str">
        <f>VLOOKUP(Tabela26[[#This Row],[EMP]],[1]LOJA!$A:$B,2,0)</f>
        <v>GUARÁ</v>
      </c>
      <c r="E5331">
        <v>16</v>
      </c>
      <c r="F5331" t="s">
        <v>3403</v>
      </c>
      <c r="G5331" t="s">
        <v>3402</v>
      </c>
      <c r="H5331" t="s">
        <v>3401</v>
      </c>
      <c r="I5331">
        <v>5405</v>
      </c>
      <c r="J5331" s="3">
        <v>29</v>
      </c>
      <c r="K5331" s="3">
        <v>10.25</v>
      </c>
      <c r="L5331">
        <v>64.66</v>
      </c>
    </row>
    <row r="5332" spans="1:12">
      <c r="A5332" s="1">
        <v>46044</v>
      </c>
      <c r="B5332" t="s">
        <v>6784</v>
      </c>
      <c r="C5332">
        <v>22</v>
      </c>
      <c r="D5332" t="str">
        <f>VLOOKUP(Tabela26[[#This Row],[EMP]],[1]LOJA!$A:$B,2,0)</f>
        <v>GUARÁ</v>
      </c>
      <c r="E5332">
        <v>93</v>
      </c>
      <c r="F5332" t="s">
        <v>3899</v>
      </c>
      <c r="G5332" t="s">
        <v>3898</v>
      </c>
      <c r="H5332" t="s">
        <v>3520</v>
      </c>
      <c r="I5332">
        <v>5405</v>
      </c>
      <c r="J5332" s="3">
        <v>262.95999999999998</v>
      </c>
      <c r="K5332" s="3">
        <v>145.78</v>
      </c>
      <c r="L5332">
        <v>44.56</v>
      </c>
    </row>
    <row r="5333" spans="1:12">
      <c r="A5333" s="1">
        <v>46044</v>
      </c>
      <c r="B5333" t="s">
        <v>6783</v>
      </c>
      <c r="C5333">
        <v>22</v>
      </c>
      <c r="D5333" t="str">
        <f>VLOOKUP(Tabela26[[#This Row],[EMP]],[1]LOJA!$A:$B,2,0)</f>
        <v>GUARÁ</v>
      </c>
      <c r="E5333">
        <v>93</v>
      </c>
      <c r="F5333" t="s">
        <v>3449</v>
      </c>
      <c r="G5333" t="s">
        <v>3448</v>
      </c>
      <c r="H5333" t="s">
        <v>3401</v>
      </c>
      <c r="I5333">
        <v>5102</v>
      </c>
      <c r="J5333" s="3">
        <v>22</v>
      </c>
      <c r="K5333" s="3">
        <v>12.51</v>
      </c>
      <c r="L5333">
        <v>43.14</v>
      </c>
    </row>
    <row r="5334" spans="1:12">
      <c r="A5334" s="1">
        <v>46044</v>
      </c>
      <c r="B5334" t="s">
        <v>6782</v>
      </c>
      <c r="C5334">
        <v>22</v>
      </c>
      <c r="D5334" t="str">
        <f>VLOOKUP(Tabela26[[#This Row],[EMP]],[1]LOJA!$A:$B,2,0)</f>
        <v>GUARÁ</v>
      </c>
      <c r="E5334">
        <v>93</v>
      </c>
      <c r="F5334" t="s">
        <v>3899</v>
      </c>
      <c r="G5334" t="s">
        <v>3898</v>
      </c>
      <c r="H5334" t="s">
        <v>3520</v>
      </c>
      <c r="I5334">
        <v>5405</v>
      </c>
      <c r="J5334" s="3">
        <v>77.37</v>
      </c>
      <c r="K5334" s="3">
        <v>40.82</v>
      </c>
      <c r="L5334">
        <v>47.24</v>
      </c>
    </row>
    <row r="5335" spans="1:12">
      <c r="A5335" s="1">
        <v>46044</v>
      </c>
      <c r="B5335" t="s">
        <v>6781</v>
      </c>
      <c r="C5335">
        <v>22</v>
      </c>
      <c r="D5335" t="str">
        <f>VLOOKUP(Tabela26[[#This Row],[EMP]],[1]LOJA!$A:$B,2,0)</f>
        <v>GUARÁ</v>
      </c>
      <c r="E5335">
        <v>16</v>
      </c>
      <c r="F5335" t="s">
        <v>3856</v>
      </c>
      <c r="G5335" t="s">
        <v>3855</v>
      </c>
      <c r="H5335" t="s">
        <v>3520</v>
      </c>
      <c r="I5335">
        <v>5405</v>
      </c>
      <c r="J5335" s="3">
        <v>39.700000000000003</v>
      </c>
      <c r="K5335" s="3">
        <v>20.71</v>
      </c>
      <c r="L5335">
        <v>47.83</v>
      </c>
    </row>
    <row r="5336" spans="1:12">
      <c r="A5336" s="1">
        <v>46044</v>
      </c>
      <c r="B5336" t="s">
        <v>6780</v>
      </c>
      <c r="C5336">
        <v>22</v>
      </c>
      <c r="D5336" t="str">
        <f>VLOOKUP(Tabela26[[#This Row],[EMP]],[1]LOJA!$A:$B,2,0)</f>
        <v>GUARÁ</v>
      </c>
      <c r="E5336">
        <v>93</v>
      </c>
      <c r="F5336" t="s">
        <v>3403</v>
      </c>
      <c r="G5336" t="s">
        <v>3402</v>
      </c>
      <c r="H5336" t="s">
        <v>3401</v>
      </c>
      <c r="I5336">
        <v>5102</v>
      </c>
      <c r="J5336" s="3">
        <v>70</v>
      </c>
      <c r="K5336" s="3">
        <v>45.83</v>
      </c>
      <c r="L5336">
        <v>34.53</v>
      </c>
    </row>
    <row r="5337" spans="1:12">
      <c r="A5337" s="1">
        <v>46044</v>
      </c>
      <c r="B5337" t="s">
        <v>6779</v>
      </c>
      <c r="C5337">
        <v>22</v>
      </c>
      <c r="D5337" t="str">
        <f>VLOOKUP(Tabela26[[#This Row],[EMP]],[1]LOJA!$A:$B,2,0)</f>
        <v>GUARÁ</v>
      </c>
      <c r="E5337">
        <v>93</v>
      </c>
      <c r="F5337" t="s">
        <v>3921</v>
      </c>
      <c r="G5337" t="s">
        <v>3920</v>
      </c>
      <c r="H5337" t="s">
        <v>3401</v>
      </c>
      <c r="I5337">
        <v>5405</v>
      </c>
      <c r="J5337" s="3">
        <v>140</v>
      </c>
      <c r="K5337" s="3">
        <v>73.52</v>
      </c>
      <c r="L5337">
        <v>47.49</v>
      </c>
    </row>
    <row r="5338" spans="1:12">
      <c r="A5338" s="1">
        <v>46044</v>
      </c>
      <c r="B5338" t="s">
        <v>6778</v>
      </c>
      <c r="C5338">
        <v>22</v>
      </c>
      <c r="D5338" t="str">
        <f>VLOOKUP(Tabela26[[#This Row],[EMP]],[1]LOJA!$A:$B,2,0)</f>
        <v>GUARÁ</v>
      </c>
      <c r="E5338">
        <v>93</v>
      </c>
      <c r="F5338" t="s">
        <v>4597</v>
      </c>
      <c r="G5338" t="s">
        <v>4596</v>
      </c>
      <c r="H5338" t="s">
        <v>3408</v>
      </c>
      <c r="I5338">
        <v>5405</v>
      </c>
      <c r="J5338" s="3">
        <v>83.51</v>
      </c>
      <c r="K5338" s="3">
        <v>43.73</v>
      </c>
      <c r="L5338">
        <v>47.64</v>
      </c>
    </row>
    <row r="5339" spans="1:12">
      <c r="A5339" s="1">
        <v>46044</v>
      </c>
      <c r="B5339" t="s">
        <v>6777</v>
      </c>
      <c r="C5339">
        <v>22</v>
      </c>
      <c r="D5339" t="str">
        <f>VLOOKUP(Tabela26[[#This Row],[EMP]],[1]LOJA!$A:$B,2,0)</f>
        <v>GUARÁ</v>
      </c>
      <c r="E5339">
        <v>16</v>
      </c>
      <c r="F5339" t="s">
        <v>3403</v>
      </c>
      <c r="G5339" t="s">
        <v>3402</v>
      </c>
      <c r="H5339" t="s">
        <v>3401</v>
      </c>
      <c r="I5339">
        <v>5102</v>
      </c>
      <c r="J5339" s="3">
        <v>142.78</v>
      </c>
      <c r="K5339" s="3">
        <v>74.349999999999994</v>
      </c>
      <c r="L5339">
        <v>47.93</v>
      </c>
    </row>
    <row r="5340" spans="1:12">
      <c r="A5340" s="1">
        <v>46044</v>
      </c>
      <c r="B5340" t="s">
        <v>6776</v>
      </c>
      <c r="C5340">
        <v>22</v>
      </c>
      <c r="D5340" t="str">
        <f>VLOOKUP(Tabela26[[#This Row],[EMP]],[1]LOJA!$A:$B,2,0)</f>
        <v>GUARÁ</v>
      </c>
      <c r="E5340">
        <v>16</v>
      </c>
      <c r="F5340" t="s">
        <v>3403</v>
      </c>
      <c r="G5340" t="s">
        <v>3402</v>
      </c>
      <c r="H5340" t="s">
        <v>3401</v>
      </c>
      <c r="I5340">
        <v>5405</v>
      </c>
      <c r="J5340" s="3">
        <v>90</v>
      </c>
      <c r="K5340" s="3">
        <v>43.12</v>
      </c>
      <c r="L5340">
        <v>52.09</v>
      </c>
    </row>
    <row r="5341" spans="1:12">
      <c r="A5341" s="1">
        <v>46044</v>
      </c>
      <c r="B5341" t="s">
        <v>6775</v>
      </c>
      <c r="C5341">
        <v>22</v>
      </c>
      <c r="D5341" t="str">
        <f>VLOOKUP(Tabela26[[#This Row],[EMP]],[1]LOJA!$A:$B,2,0)</f>
        <v>GUARÁ</v>
      </c>
      <c r="E5341">
        <v>93</v>
      </c>
      <c r="F5341" t="s">
        <v>5212</v>
      </c>
      <c r="G5341" t="s">
        <v>5211</v>
      </c>
      <c r="H5341" t="s">
        <v>3401</v>
      </c>
      <c r="I5341">
        <v>5102</v>
      </c>
      <c r="J5341" s="3">
        <v>20</v>
      </c>
      <c r="K5341" s="3">
        <v>10.36</v>
      </c>
      <c r="L5341">
        <v>48.2</v>
      </c>
    </row>
    <row r="5342" spans="1:12">
      <c r="A5342" s="1">
        <v>46044</v>
      </c>
      <c r="B5342" t="s">
        <v>6774</v>
      </c>
      <c r="C5342">
        <v>22</v>
      </c>
      <c r="D5342" t="str">
        <f>VLOOKUP(Tabela26[[#This Row],[EMP]],[1]LOJA!$A:$B,2,0)</f>
        <v>GUARÁ</v>
      </c>
      <c r="E5342">
        <v>93</v>
      </c>
      <c r="F5342" t="s">
        <v>5353</v>
      </c>
      <c r="G5342" t="s">
        <v>5352</v>
      </c>
      <c r="H5342" t="s">
        <v>3520</v>
      </c>
      <c r="I5342">
        <v>5405</v>
      </c>
      <c r="J5342" s="3">
        <v>109.72</v>
      </c>
      <c r="K5342" s="3">
        <v>56.32</v>
      </c>
      <c r="L5342">
        <v>48.67</v>
      </c>
    </row>
    <row r="5343" spans="1:12">
      <c r="A5343" s="1">
        <v>46044</v>
      </c>
      <c r="B5343" t="s">
        <v>6773</v>
      </c>
      <c r="C5343">
        <v>22</v>
      </c>
      <c r="D5343" t="str">
        <f>VLOOKUP(Tabela26[[#This Row],[EMP]],[1]LOJA!$A:$B,2,0)</f>
        <v>GUARÁ</v>
      </c>
      <c r="E5343">
        <v>93</v>
      </c>
      <c r="F5343" t="s">
        <v>3403</v>
      </c>
      <c r="G5343" t="s">
        <v>3402</v>
      </c>
      <c r="H5343" t="s">
        <v>3401</v>
      </c>
      <c r="I5343">
        <v>5102</v>
      </c>
      <c r="J5343" s="3">
        <v>79</v>
      </c>
      <c r="K5343" s="3">
        <v>49</v>
      </c>
      <c r="L5343">
        <v>37.97</v>
      </c>
    </row>
    <row r="5344" spans="1:12">
      <c r="A5344" s="1">
        <v>46044</v>
      </c>
      <c r="B5344" t="s">
        <v>6772</v>
      </c>
      <c r="C5344">
        <v>22</v>
      </c>
      <c r="D5344" t="str">
        <f>VLOOKUP(Tabela26[[#This Row],[EMP]],[1]LOJA!$A:$B,2,0)</f>
        <v>GUARÁ</v>
      </c>
      <c r="E5344">
        <v>93</v>
      </c>
      <c r="F5344" t="s">
        <v>3873</v>
      </c>
      <c r="G5344" t="s">
        <v>3872</v>
      </c>
      <c r="H5344" t="s">
        <v>3401</v>
      </c>
      <c r="I5344">
        <v>5102</v>
      </c>
      <c r="J5344" s="3">
        <v>55</v>
      </c>
      <c r="K5344" s="3">
        <v>26.8</v>
      </c>
      <c r="L5344">
        <v>51.27</v>
      </c>
    </row>
    <row r="5345" spans="1:12">
      <c r="A5345" s="1">
        <v>46044</v>
      </c>
      <c r="B5345" t="s">
        <v>6771</v>
      </c>
      <c r="C5345">
        <v>22</v>
      </c>
      <c r="D5345" t="str">
        <f>VLOOKUP(Tabela26[[#This Row],[EMP]],[1]LOJA!$A:$B,2,0)</f>
        <v>GUARÁ</v>
      </c>
      <c r="E5345">
        <v>93</v>
      </c>
      <c r="F5345" t="s">
        <v>3403</v>
      </c>
      <c r="G5345" t="s">
        <v>3402</v>
      </c>
      <c r="H5345" t="s">
        <v>3401</v>
      </c>
      <c r="I5345">
        <v>5102</v>
      </c>
      <c r="J5345" s="3">
        <v>109</v>
      </c>
      <c r="K5345" s="3">
        <v>58.49</v>
      </c>
      <c r="L5345">
        <v>46.34</v>
      </c>
    </row>
    <row r="5346" spans="1:12">
      <c r="A5346" s="1">
        <v>46044</v>
      </c>
      <c r="B5346" t="s">
        <v>6770</v>
      </c>
      <c r="C5346">
        <v>22</v>
      </c>
      <c r="D5346" t="str">
        <f>VLOOKUP(Tabela26[[#This Row],[EMP]],[1]LOJA!$A:$B,2,0)</f>
        <v>GUARÁ</v>
      </c>
      <c r="E5346">
        <v>93</v>
      </c>
      <c r="F5346" t="s">
        <v>6769</v>
      </c>
      <c r="G5346" t="s">
        <v>6768</v>
      </c>
      <c r="H5346" t="s">
        <v>3401</v>
      </c>
      <c r="I5346">
        <v>5405</v>
      </c>
      <c r="J5346" s="3">
        <v>160</v>
      </c>
      <c r="K5346" s="3">
        <v>92.61</v>
      </c>
      <c r="L5346">
        <v>42.12</v>
      </c>
    </row>
    <row r="5347" spans="1:12">
      <c r="A5347" s="1">
        <v>46044</v>
      </c>
      <c r="B5347" t="s">
        <v>6767</v>
      </c>
      <c r="C5347">
        <v>22</v>
      </c>
      <c r="D5347" t="str">
        <f>VLOOKUP(Tabela26[[#This Row],[EMP]],[1]LOJA!$A:$B,2,0)</f>
        <v>GUARÁ</v>
      </c>
      <c r="E5347">
        <v>93</v>
      </c>
      <c r="F5347" t="s">
        <v>6766</v>
      </c>
      <c r="G5347" t="s">
        <v>3402</v>
      </c>
      <c r="H5347" t="s">
        <v>3401</v>
      </c>
      <c r="I5347">
        <v>5405</v>
      </c>
      <c r="J5347" s="3">
        <v>50</v>
      </c>
      <c r="K5347" s="3">
        <v>25.45</v>
      </c>
      <c r="L5347">
        <v>49.1</v>
      </c>
    </row>
    <row r="5348" spans="1:12">
      <c r="A5348" s="1">
        <v>46044</v>
      </c>
      <c r="B5348" t="s">
        <v>6765</v>
      </c>
      <c r="C5348">
        <v>22</v>
      </c>
      <c r="D5348" t="str">
        <f>VLOOKUP(Tabela26[[#This Row],[EMP]],[1]LOJA!$A:$B,2,0)</f>
        <v>GUARÁ</v>
      </c>
      <c r="E5348">
        <v>93</v>
      </c>
      <c r="F5348" t="s">
        <v>4629</v>
      </c>
      <c r="G5348" t="s">
        <v>4628</v>
      </c>
      <c r="H5348" t="s">
        <v>3401</v>
      </c>
      <c r="I5348">
        <v>5405</v>
      </c>
      <c r="J5348" s="3">
        <v>80</v>
      </c>
      <c r="K5348" s="3">
        <v>39.1</v>
      </c>
      <c r="L5348">
        <v>51.13</v>
      </c>
    </row>
    <row r="5349" spans="1:12">
      <c r="A5349" s="1">
        <v>46044</v>
      </c>
      <c r="B5349" t="s">
        <v>6764</v>
      </c>
      <c r="C5349">
        <v>22</v>
      </c>
      <c r="D5349" t="str">
        <f>VLOOKUP(Tabela26[[#This Row],[EMP]],[1]LOJA!$A:$B,2,0)</f>
        <v>GUARÁ</v>
      </c>
      <c r="E5349">
        <v>93</v>
      </c>
      <c r="F5349" t="s">
        <v>3403</v>
      </c>
      <c r="G5349" t="s">
        <v>3402</v>
      </c>
      <c r="H5349" t="s">
        <v>3401</v>
      </c>
      <c r="I5349">
        <v>5102</v>
      </c>
      <c r="J5349" s="3">
        <v>20</v>
      </c>
      <c r="K5349" s="3">
        <v>13.12</v>
      </c>
      <c r="L5349">
        <v>34.4</v>
      </c>
    </row>
    <row r="5350" spans="1:12">
      <c r="A5350" s="1">
        <v>46044</v>
      </c>
      <c r="B5350" t="s">
        <v>6763</v>
      </c>
      <c r="C5350">
        <v>22</v>
      </c>
      <c r="D5350" t="str">
        <f>VLOOKUP(Tabela26[[#This Row],[EMP]],[1]LOJA!$A:$B,2,0)</f>
        <v>GUARÁ</v>
      </c>
      <c r="E5350">
        <v>93</v>
      </c>
      <c r="F5350" t="s">
        <v>3403</v>
      </c>
      <c r="G5350" t="s">
        <v>3402</v>
      </c>
      <c r="H5350" t="s">
        <v>3401</v>
      </c>
      <c r="I5350">
        <v>5405</v>
      </c>
      <c r="J5350" s="3">
        <v>58</v>
      </c>
      <c r="K5350" s="3">
        <v>30.06</v>
      </c>
      <c r="L5350">
        <v>48.17</v>
      </c>
    </row>
    <row r="5351" spans="1:12">
      <c r="A5351" s="1">
        <v>46044</v>
      </c>
      <c r="B5351" t="s">
        <v>6762</v>
      </c>
      <c r="C5351">
        <v>22</v>
      </c>
      <c r="D5351" t="str">
        <f>VLOOKUP(Tabela26[[#This Row],[EMP]],[1]LOJA!$A:$B,2,0)</f>
        <v>GUARÁ</v>
      </c>
      <c r="E5351">
        <v>93</v>
      </c>
      <c r="F5351" t="s">
        <v>3403</v>
      </c>
      <c r="G5351" t="s">
        <v>3402</v>
      </c>
      <c r="H5351" t="s">
        <v>3401</v>
      </c>
      <c r="I5351">
        <v>5102</v>
      </c>
      <c r="J5351" s="3">
        <v>16.5</v>
      </c>
      <c r="K5351" s="3">
        <v>9.26</v>
      </c>
      <c r="L5351">
        <v>43.88</v>
      </c>
    </row>
    <row r="5352" spans="1:12">
      <c r="A5352" s="1">
        <v>46044</v>
      </c>
      <c r="B5352" t="s">
        <v>6761</v>
      </c>
      <c r="C5352">
        <v>22</v>
      </c>
      <c r="D5352" t="str">
        <f>VLOOKUP(Tabela26[[#This Row],[EMP]],[1]LOJA!$A:$B,2,0)</f>
        <v>GUARÁ</v>
      </c>
      <c r="E5352">
        <v>93</v>
      </c>
      <c r="F5352" t="s">
        <v>3403</v>
      </c>
      <c r="G5352" t="s">
        <v>3402</v>
      </c>
      <c r="H5352" t="s">
        <v>3401</v>
      </c>
      <c r="I5352">
        <v>5102</v>
      </c>
      <c r="J5352" s="3">
        <v>14</v>
      </c>
      <c r="K5352" s="3">
        <v>7.82</v>
      </c>
      <c r="L5352">
        <v>44.14</v>
      </c>
    </row>
    <row r="5353" spans="1:12">
      <c r="A5353" s="1">
        <v>46044</v>
      </c>
      <c r="B5353" t="s">
        <v>6760</v>
      </c>
      <c r="C5353">
        <v>22</v>
      </c>
      <c r="D5353" t="str">
        <f>VLOOKUP(Tabela26[[#This Row],[EMP]],[1]LOJA!$A:$B,2,0)</f>
        <v>GUARÁ</v>
      </c>
      <c r="E5353">
        <v>93</v>
      </c>
      <c r="F5353" t="s">
        <v>3403</v>
      </c>
      <c r="G5353" t="s">
        <v>3402</v>
      </c>
      <c r="H5353" t="s">
        <v>3401</v>
      </c>
      <c r="I5353">
        <v>5102</v>
      </c>
      <c r="J5353" s="3">
        <v>11</v>
      </c>
      <c r="K5353" s="3">
        <v>6.23</v>
      </c>
      <c r="L5353">
        <v>43.36</v>
      </c>
    </row>
    <row r="5354" spans="1:12">
      <c r="A5354" s="1">
        <v>46044</v>
      </c>
      <c r="B5354" t="s">
        <v>6759</v>
      </c>
      <c r="C5354">
        <v>22</v>
      </c>
      <c r="D5354" t="str">
        <f>VLOOKUP(Tabela26[[#This Row],[EMP]],[1]LOJA!$A:$B,2,0)</f>
        <v>GUARÁ</v>
      </c>
      <c r="E5354">
        <v>93</v>
      </c>
      <c r="F5354" t="s">
        <v>3403</v>
      </c>
      <c r="G5354" t="s">
        <v>3402</v>
      </c>
      <c r="H5354" t="s">
        <v>3401</v>
      </c>
      <c r="I5354">
        <v>5102</v>
      </c>
      <c r="J5354" s="3">
        <v>179</v>
      </c>
      <c r="K5354" s="3">
        <v>99.85</v>
      </c>
      <c r="L5354">
        <v>44.22</v>
      </c>
    </row>
    <row r="5355" spans="1:12">
      <c r="A5355" s="1">
        <v>46044</v>
      </c>
      <c r="B5355" t="s">
        <v>6758</v>
      </c>
      <c r="C5355">
        <v>22</v>
      </c>
      <c r="D5355" t="str">
        <f>VLOOKUP(Tabela26[[#This Row],[EMP]],[1]LOJA!$A:$B,2,0)</f>
        <v>GUARÁ</v>
      </c>
      <c r="E5355">
        <v>93</v>
      </c>
      <c r="F5355" t="s">
        <v>6171</v>
      </c>
      <c r="G5355" t="s">
        <v>3402</v>
      </c>
      <c r="H5355" t="s">
        <v>3401</v>
      </c>
      <c r="I5355">
        <v>5102</v>
      </c>
      <c r="J5355" s="3">
        <v>36</v>
      </c>
      <c r="K5355" s="3">
        <v>16.64</v>
      </c>
      <c r="L5355">
        <v>53.78</v>
      </c>
    </row>
    <row r="5356" spans="1:12">
      <c r="A5356" s="1">
        <v>46044</v>
      </c>
      <c r="B5356" t="s">
        <v>6757</v>
      </c>
      <c r="C5356">
        <v>22</v>
      </c>
      <c r="D5356" t="str">
        <f>VLOOKUP(Tabela26[[#This Row],[EMP]],[1]LOJA!$A:$B,2,0)</f>
        <v>GUARÁ</v>
      </c>
      <c r="E5356">
        <v>93</v>
      </c>
      <c r="F5356" t="s">
        <v>3894</v>
      </c>
      <c r="G5356" t="s">
        <v>3893</v>
      </c>
      <c r="H5356" t="s">
        <v>3408</v>
      </c>
      <c r="I5356">
        <v>5405</v>
      </c>
      <c r="J5356" s="3">
        <v>349.72</v>
      </c>
      <c r="K5356" s="3">
        <v>182.36</v>
      </c>
      <c r="L5356">
        <v>47.86</v>
      </c>
    </row>
    <row r="5357" spans="1:12">
      <c r="A5357" s="1">
        <v>46044</v>
      </c>
      <c r="B5357" t="s">
        <v>6756</v>
      </c>
      <c r="C5357">
        <v>22</v>
      </c>
      <c r="D5357" t="str">
        <f>VLOOKUP(Tabela26[[#This Row],[EMP]],[1]LOJA!$A:$B,2,0)</f>
        <v>GUARÁ</v>
      </c>
      <c r="E5357">
        <v>93</v>
      </c>
      <c r="F5357" t="s">
        <v>3403</v>
      </c>
      <c r="G5357" t="s">
        <v>3402</v>
      </c>
      <c r="H5357" t="s">
        <v>3401</v>
      </c>
      <c r="I5357">
        <v>5405</v>
      </c>
      <c r="J5357" s="3">
        <v>58</v>
      </c>
      <c r="K5357" s="3">
        <v>30.06</v>
      </c>
      <c r="L5357">
        <v>48.17</v>
      </c>
    </row>
    <row r="5358" spans="1:12">
      <c r="A5358" s="1">
        <v>46044</v>
      </c>
      <c r="B5358" t="s">
        <v>6755</v>
      </c>
      <c r="C5358">
        <v>4</v>
      </c>
      <c r="D5358" t="str">
        <f>VLOOKUP(Tabela26[[#This Row],[EMP]],[1]LOJA!$A:$B,2,0)</f>
        <v>ADE</v>
      </c>
      <c r="E5358">
        <v>132</v>
      </c>
      <c r="F5358" t="s">
        <v>6754</v>
      </c>
      <c r="G5358" t="s">
        <v>3402</v>
      </c>
      <c r="H5358" t="s">
        <v>3408</v>
      </c>
      <c r="I5358">
        <v>5102</v>
      </c>
      <c r="J5358" s="3">
        <v>31.2</v>
      </c>
      <c r="K5358" s="3">
        <v>14.94</v>
      </c>
      <c r="L5358">
        <v>52.12</v>
      </c>
    </row>
    <row r="5359" spans="1:12">
      <c r="A5359" s="1">
        <v>46044</v>
      </c>
      <c r="B5359" t="s">
        <v>6753</v>
      </c>
      <c r="C5359">
        <v>4</v>
      </c>
      <c r="D5359" t="str">
        <f>VLOOKUP(Tabela26[[#This Row],[EMP]],[1]LOJA!$A:$B,2,0)</f>
        <v>ADE</v>
      </c>
      <c r="E5359">
        <v>132</v>
      </c>
      <c r="F5359" t="s">
        <v>6752</v>
      </c>
      <c r="G5359" t="s">
        <v>6751</v>
      </c>
      <c r="H5359" t="s">
        <v>3401</v>
      </c>
      <c r="I5359">
        <v>5102</v>
      </c>
      <c r="J5359" s="3">
        <v>480.44</v>
      </c>
      <c r="K5359" s="3">
        <v>276.55</v>
      </c>
      <c r="L5359">
        <v>42.44</v>
      </c>
    </row>
    <row r="5360" spans="1:12">
      <c r="A5360" s="1">
        <v>46044</v>
      </c>
      <c r="B5360" t="s">
        <v>6750</v>
      </c>
      <c r="C5360">
        <v>4</v>
      </c>
      <c r="D5360" t="str">
        <f>VLOOKUP(Tabela26[[#This Row],[EMP]],[1]LOJA!$A:$B,2,0)</f>
        <v>ADE</v>
      </c>
      <c r="E5360">
        <v>109</v>
      </c>
      <c r="F5360" t="s">
        <v>6749</v>
      </c>
      <c r="G5360" t="s">
        <v>3402</v>
      </c>
      <c r="H5360" t="s">
        <v>3401</v>
      </c>
      <c r="I5360">
        <v>5102</v>
      </c>
      <c r="J5360" s="3">
        <v>231</v>
      </c>
      <c r="K5360" s="3">
        <v>111.04</v>
      </c>
      <c r="L5360">
        <v>51.93</v>
      </c>
    </row>
    <row r="5361" spans="1:12">
      <c r="A5361" s="1">
        <v>46044</v>
      </c>
      <c r="B5361" t="s">
        <v>6748</v>
      </c>
      <c r="C5361">
        <v>4</v>
      </c>
      <c r="D5361" t="str">
        <f>VLOOKUP(Tabela26[[#This Row],[EMP]],[1]LOJA!$A:$B,2,0)</f>
        <v>ADE</v>
      </c>
      <c r="E5361">
        <v>132</v>
      </c>
      <c r="F5361" t="s">
        <v>3403</v>
      </c>
      <c r="G5361" t="s">
        <v>3402</v>
      </c>
      <c r="H5361" t="s">
        <v>3401</v>
      </c>
      <c r="I5361">
        <v>5102</v>
      </c>
      <c r="J5361" s="3">
        <v>8.9</v>
      </c>
      <c r="K5361" s="3">
        <v>4.16</v>
      </c>
      <c r="L5361">
        <v>53.26</v>
      </c>
    </row>
    <row r="5362" spans="1:12">
      <c r="A5362" s="1">
        <v>46044</v>
      </c>
      <c r="B5362" t="s">
        <v>6747</v>
      </c>
      <c r="C5362">
        <v>4</v>
      </c>
      <c r="D5362" t="str">
        <f>VLOOKUP(Tabela26[[#This Row],[EMP]],[1]LOJA!$A:$B,2,0)</f>
        <v>ADE</v>
      </c>
      <c r="E5362">
        <v>132</v>
      </c>
      <c r="F5362" t="s">
        <v>4568</v>
      </c>
      <c r="G5362" t="s">
        <v>4567</v>
      </c>
      <c r="H5362" t="s">
        <v>3408</v>
      </c>
      <c r="I5362">
        <v>5405</v>
      </c>
      <c r="J5362" s="3">
        <v>120</v>
      </c>
      <c r="K5362" s="3">
        <v>64.260000000000005</v>
      </c>
      <c r="L5362">
        <v>46.45</v>
      </c>
    </row>
    <row r="5363" spans="1:12">
      <c r="A5363" s="1">
        <v>46044</v>
      </c>
      <c r="B5363" t="s">
        <v>6746</v>
      </c>
      <c r="C5363">
        <v>4</v>
      </c>
      <c r="D5363" t="str">
        <f>VLOOKUP(Tabela26[[#This Row],[EMP]],[1]LOJA!$A:$B,2,0)</f>
        <v>ADE</v>
      </c>
      <c r="E5363">
        <v>132</v>
      </c>
      <c r="F5363" t="s">
        <v>5678</v>
      </c>
      <c r="G5363" t="s">
        <v>5677</v>
      </c>
      <c r="H5363" t="s">
        <v>3408</v>
      </c>
      <c r="I5363">
        <v>5405</v>
      </c>
      <c r="J5363" s="3">
        <v>89</v>
      </c>
      <c r="K5363" s="3">
        <v>42.33</v>
      </c>
      <c r="L5363">
        <v>52.44</v>
      </c>
    </row>
    <row r="5364" spans="1:12">
      <c r="A5364" s="1">
        <v>46044</v>
      </c>
      <c r="B5364" t="s">
        <v>6745</v>
      </c>
      <c r="C5364">
        <v>4</v>
      </c>
      <c r="D5364" t="str">
        <f>VLOOKUP(Tabela26[[#This Row],[EMP]],[1]LOJA!$A:$B,2,0)</f>
        <v>ADE</v>
      </c>
      <c r="E5364">
        <v>132</v>
      </c>
      <c r="F5364" t="s">
        <v>3403</v>
      </c>
      <c r="G5364" t="s">
        <v>3402</v>
      </c>
      <c r="H5364" t="s">
        <v>3401</v>
      </c>
      <c r="I5364">
        <v>5405</v>
      </c>
      <c r="J5364" s="3">
        <v>170</v>
      </c>
      <c r="K5364" s="3">
        <v>82.74</v>
      </c>
      <c r="L5364">
        <v>51.33</v>
      </c>
    </row>
    <row r="5365" spans="1:12">
      <c r="A5365" s="1">
        <v>46044</v>
      </c>
      <c r="B5365" t="s">
        <v>6744</v>
      </c>
      <c r="C5365">
        <v>4</v>
      </c>
      <c r="D5365" t="str">
        <f>VLOOKUP(Tabela26[[#This Row],[EMP]],[1]LOJA!$A:$B,2,0)</f>
        <v>ADE</v>
      </c>
      <c r="E5365">
        <v>132</v>
      </c>
      <c r="F5365" t="s">
        <v>3403</v>
      </c>
      <c r="G5365" t="s">
        <v>3402</v>
      </c>
      <c r="H5365" t="s">
        <v>3401</v>
      </c>
      <c r="I5365">
        <v>5405</v>
      </c>
      <c r="J5365" s="3">
        <v>32</v>
      </c>
      <c r="K5365" s="3">
        <v>14.08</v>
      </c>
      <c r="L5365">
        <v>56</v>
      </c>
    </row>
    <row r="5366" spans="1:12">
      <c r="A5366" s="1">
        <v>46044</v>
      </c>
      <c r="B5366" t="s">
        <v>6743</v>
      </c>
      <c r="C5366">
        <v>4</v>
      </c>
      <c r="D5366" t="str">
        <f>VLOOKUP(Tabela26[[#This Row],[EMP]],[1]LOJA!$A:$B,2,0)</f>
        <v>ADE</v>
      </c>
      <c r="E5366">
        <v>132</v>
      </c>
      <c r="F5366" t="s">
        <v>4558</v>
      </c>
      <c r="G5366" t="s">
        <v>4557</v>
      </c>
      <c r="H5366" t="s">
        <v>6497</v>
      </c>
      <c r="I5366">
        <v>5102</v>
      </c>
      <c r="J5366" s="3">
        <v>80.900000000000006</v>
      </c>
      <c r="K5366" s="3">
        <v>51.13</v>
      </c>
      <c r="L5366">
        <v>36.799999999999997</v>
      </c>
    </row>
    <row r="5367" spans="1:12">
      <c r="A5367" s="1">
        <v>46044</v>
      </c>
      <c r="B5367" t="s">
        <v>6742</v>
      </c>
      <c r="C5367">
        <v>4</v>
      </c>
      <c r="D5367" t="str">
        <f>VLOOKUP(Tabela26[[#This Row],[EMP]],[1]LOJA!$A:$B,2,0)</f>
        <v>ADE</v>
      </c>
      <c r="E5367">
        <v>109</v>
      </c>
      <c r="F5367" t="s">
        <v>6741</v>
      </c>
      <c r="G5367" t="s">
        <v>3402</v>
      </c>
      <c r="H5367" t="s">
        <v>3401</v>
      </c>
      <c r="I5367">
        <v>5102</v>
      </c>
      <c r="J5367" s="3">
        <v>28</v>
      </c>
      <c r="K5367" s="3">
        <v>13.45</v>
      </c>
      <c r="L5367">
        <v>51.96</v>
      </c>
    </row>
    <row r="5368" spans="1:12">
      <c r="A5368" s="1">
        <v>46044</v>
      </c>
      <c r="B5368" t="s">
        <v>6740</v>
      </c>
      <c r="C5368">
        <v>4</v>
      </c>
      <c r="D5368" t="str">
        <f>VLOOKUP(Tabela26[[#This Row],[EMP]],[1]LOJA!$A:$B,2,0)</f>
        <v>ADE</v>
      </c>
      <c r="E5368">
        <v>109</v>
      </c>
      <c r="F5368" t="s">
        <v>4565</v>
      </c>
      <c r="G5368" t="s">
        <v>4564</v>
      </c>
      <c r="H5368" t="s">
        <v>3408</v>
      </c>
      <c r="I5368">
        <v>5102</v>
      </c>
      <c r="J5368" s="3">
        <v>164.3</v>
      </c>
      <c r="K5368" s="3">
        <v>97.27</v>
      </c>
      <c r="L5368">
        <v>40.799999999999997</v>
      </c>
    </row>
    <row r="5369" spans="1:12">
      <c r="A5369" s="1">
        <v>46044</v>
      </c>
      <c r="B5369" t="s">
        <v>6739</v>
      </c>
      <c r="C5369">
        <v>4</v>
      </c>
      <c r="D5369" t="str">
        <f>VLOOKUP(Tabela26[[#This Row],[EMP]],[1]LOJA!$A:$B,2,0)</f>
        <v>ADE</v>
      </c>
      <c r="E5369">
        <v>109</v>
      </c>
      <c r="F5369" t="s">
        <v>4565</v>
      </c>
      <c r="G5369" t="s">
        <v>4564</v>
      </c>
      <c r="H5369" t="s">
        <v>3408</v>
      </c>
      <c r="I5369">
        <v>5405</v>
      </c>
      <c r="J5369" s="3">
        <v>42.9</v>
      </c>
      <c r="K5369" s="3">
        <v>20.71</v>
      </c>
      <c r="L5369">
        <v>51.72</v>
      </c>
    </row>
    <row r="5370" spans="1:12">
      <c r="A5370" s="1">
        <v>46044</v>
      </c>
      <c r="B5370" t="s">
        <v>6738</v>
      </c>
      <c r="C5370">
        <v>16</v>
      </c>
      <c r="D5370" t="str">
        <f>VLOOKUP(Tabela26[[#This Row],[EMP]],[1]LOJA!$A:$B,2,0)</f>
        <v>AG LINDAS</v>
      </c>
      <c r="E5370">
        <v>240</v>
      </c>
      <c r="F5370" t="s">
        <v>3808</v>
      </c>
      <c r="G5370" t="s">
        <v>3807</v>
      </c>
      <c r="H5370" t="s">
        <v>3408</v>
      </c>
      <c r="I5370">
        <v>5102</v>
      </c>
      <c r="J5370" s="3">
        <v>157.9</v>
      </c>
      <c r="K5370" s="3">
        <v>90.37</v>
      </c>
      <c r="L5370">
        <v>42.77</v>
      </c>
    </row>
    <row r="5371" spans="1:12">
      <c r="A5371" s="1">
        <v>46044</v>
      </c>
      <c r="B5371" t="s">
        <v>6737</v>
      </c>
      <c r="C5371">
        <v>16</v>
      </c>
      <c r="D5371" t="str">
        <f>VLOOKUP(Tabela26[[#This Row],[EMP]],[1]LOJA!$A:$B,2,0)</f>
        <v>AG LINDAS</v>
      </c>
      <c r="E5371">
        <v>240</v>
      </c>
      <c r="F5371" t="s">
        <v>3780</v>
      </c>
      <c r="G5371" t="s">
        <v>3437</v>
      </c>
      <c r="H5371" t="s">
        <v>3401</v>
      </c>
      <c r="I5371">
        <v>5102</v>
      </c>
      <c r="J5371" s="3">
        <v>20</v>
      </c>
      <c r="K5371" s="3">
        <v>12.51</v>
      </c>
      <c r="L5371">
        <v>37.450000000000003</v>
      </c>
    </row>
    <row r="5372" spans="1:12">
      <c r="A5372" s="1">
        <v>46044</v>
      </c>
      <c r="B5372" t="s">
        <v>6736</v>
      </c>
      <c r="C5372">
        <v>16</v>
      </c>
      <c r="D5372" t="str">
        <f>VLOOKUP(Tabela26[[#This Row],[EMP]],[1]LOJA!$A:$B,2,0)</f>
        <v>AG LINDAS</v>
      </c>
      <c r="E5372">
        <v>240</v>
      </c>
      <c r="F5372" t="s">
        <v>3818</v>
      </c>
      <c r="G5372" t="s">
        <v>3817</v>
      </c>
      <c r="H5372" t="s">
        <v>3401</v>
      </c>
      <c r="I5372">
        <v>5102</v>
      </c>
      <c r="J5372" s="3">
        <v>94</v>
      </c>
      <c r="K5372" s="3">
        <v>60.04</v>
      </c>
      <c r="L5372">
        <v>36.130000000000003</v>
      </c>
    </row>
    <row r="5373" spans="1:12">
      <c r="A5373" s="1">
        <v>46044</v>
      </c>
      <c r="B5373" t="s">
        <v>6735</v>
      </c>
      <c r="C5373">
        <v>16</v>
      </c>
      <c r="D5373" t="str">
        <f>VLOOKUP(Tabela26[[#This Row],[EMP]],[1]LOJA!$A:$B,2,0)</f>
        <v>AG LINDAS</v>
      </c>
      <c r="E5373">
        <v>240</v>
      </c>
      <c r="F5373" t="s">
        <v>3438</v>
      </c>
      <c r="G5373" t="s">
        <v>3437</v>
      </c>
      <c r="H5373" t="s">
        <v>3401</v>
      </c>
      <c r="I5373">
        <v>5405</v>
      </c>
      <c r="J5373" s="3">
        <v>100</v>
      </c>
      <c r="K5373" s="3">
        <v>47.33</v>
      </c>
      <c r="L5373">
        <v>52.67</v>
      </c>
    </row>
    <row r="5374" spans="1:12">
      <c r="A5374" s="1">
        <v>46044</v>
      </c>
      <c r="B5374" t="s">
        <v>6734</v>
      </c>
      <c r="C5374">
        <v>16</v>
      </c>
      <c r="D5374" t="str">
        <f>VLOOKUP(Tabela26[[#This Row],[EMP]],[1]LOJA!$A:$B,2,0)</f>
        <v>AG LINDAS</v>
      </c>
      <c r="E5374">
        <v>240</v>
      </c>
      <c r="F5374" t="s">
        <v>6315</v>
      </c>
      <c r="G5374" t="s">
        <v>3437</v>
      </c>
      <c r="H5374" t="s">
        <v>3401</v>
      </c>
      <c r="I5374">
        <v>5102</v>
      </c>
      <c r="J5374" s="3">
        <v>167.3</v>
      </c>
      <c r="K5374" s="3">
        <v>104.03</v>
      </c>
      <c r="L5374">
        <v>37.82</v>
      </c>
    </row>
    <row r="5375" spans="1:12">
      <c r="A5375" s="1">
        <v>46044</v>
      </c>
      <c r="B5375" t="s">
        <v>6733</v>
      </c>
      <c r="C5375">
        <v>16</v>
      </c>
      <c r="D5375" t="str">
        <f>VLOOKUP(Tabela26[[#This Row],[EMP]],[1]LOJA!$A:$B,2,0)</f>
        <v>AG LINDAS</v>
      </c>
      <c r="E5375">
        <v>240</v>
      </c>
      <c r="F5375" t="s">
        <v>3780</v>
      </c>
      <c r="G5375" t="s">
        <v>3437</v>
      </c>
      <c r="H5375" t="s">
        <v>3401</v>
      </c>
      <c r="I5375">
        <v>5102</v>
      </c>
      <c r="J5375" s="3">
        <v>50</v>
      </c>
      <c r="K5375" s="3">
        <v>28.23</v>
      </c>
      <c r="L5375">
        <v>43.54</v>
      </c>
    </row>
    <row r="5376" spans="1:12">
      <c r="A5376" s="1">
        <v>46044</v>
      </c>
      <c r="B5376" t="s">
        <v>6732</v>
      </c>
      <c r="C5376">
        <v>16</v>
      </c>
      <c r="D5376" t="str">
        <f>VLOOKUP(Tabela26[[#This Row],[EMP]],[1]LOJA!$A:$B,2,0)</f>
        <v>AG LINDAS</v>
      </c>
      <c r="E5376">
        <v>240</v>
      </c>
      <c r="F5376" t="s">
        <v>4540</v>
      </c>
      <c r="G5376" t="s">
        <v>3437</v>
      </c>
      <c r="H5376" t="s">
        <v>3401</v>
      </c>
      <c r="I5376">
        <v>5102</v>
      </c>
      <c r="J5376" s="3">
        <v>58.9</v>
      </c>
      <c r="K5376" s="3">
        <v>39.159999999999997</v>
      </c>
      <c r="L5376">
        <v>33.51</v>
      </c>
    </row>
    <row r="5377" spans="1:12">
      <c r="A5377" s="1">
        <v>46044</v>
      </c>
      <c r="B5377" t="s">
        <v>6731</v>
      </c>
      <c r="C5377">
        <v>16</v>
      </c>
      <c r="D5377" t="str">
        <f>VLOOKUP(Tabela26[[#This Row],[EMP]],[1]LOJA!$A:$B,2,0)</f>
        <v>AG LINDAS</v>
      </c>
      <c r="E5377">
        <v>240</v>
      </c>
      <c r="F5377" t="s">
        <v>4528</v>
      </c>
      <c r="G5377" t="s">
        <v>3437</v>
      </c>
      <c r="H5377" t="s">
        <v>3401</v>
      </c>
      <c r="I5377">
        <v>5405</v>
      </c>
      <c r="J5377" s="3">
        <v>40</v>
      </c>
      <c r="K5377" s="3">
        <v>20.71</v>
      </c>
      <c r="L5377">
        <v>48.23</v>
      </c>
    </row>
    <row r="5378" spans="1:12">
      <c r="A5378" s="1">
        <v>46044</v>
      </c>
      <c r="B5378" t="s">
        <v>6730</v>
      </c>
      <c r="C5378">
        <v>16</v>
      </c>
      <c r="D5378" t="str">
        <f>VLOOKUP(Tabela26[[#This Row],[EMP]],[1]LOJA!$A:$B,2,0)</f>
        <v>AG LINDAS</v>
      </c>
      <c r="E5378">
        <v>240</v>
      </c>
      <c r="F5378" t="s">
        <v>6729</v>
      </c>
      <c r="G5378" t="s">
        <v>3437</v>
      </c>
      <c r="H5378" t="s">
        <v>3401</v>
      </c>
      <c r="I5378">
        <v>5405</v>
      </c>
      <c r="J5378" s="3">
        <v>117.9</v>
      </c>
      <c r="K5378" s="3">
        <v>60.67</v>
      </c>
      <c r="L5378">
        <v>48.54</v>
      </c>
    </row>
    <row r="5379" spans="1:12">
      <c r="A5379" s="1">
        <v>46044</v>
      </c>
      <c r="B5379" t="s">
        <v>6728</v>
      </c>
      <c r="C5379">
        <v>16</v>
      </c>
      <c r="D5379" t="str">
        <f>VLOOKUP(Tabela26[[#This Row],[EMP]],[1]LOJA!$A:$B,2,0)</f>
        <v>AG LINDAS</v>
      </c>
      <c r="E5379">
        <v>240</v>
      </c>
      <c r="F5379" t="s">
        <v>6727</v>
      </c>
      <c r="G5379" t="s">
        <v>3437</v>
      </c>
      <c r="H5379" t="s">
        <v>3401</v>
      </c>
      <c r="I5379">
        <v>5102</v>
      </c>
      <c r="J5379" s="3">
        <v>171</v>
      </c>
      <c r="K5379" s="3">
        <v>99.52</v>
      </c>
      <c r="L5379">
        <v>41.8</v>
      </c>
    </row>
    <row r="5380" spans="1:12">
      <c r="A5380" s="1">
        <v>46044</v>
      </c>
      <c r="B5380" t="s">
        <v>6726</v>
      </c>
      <c r="C5380">
        <v>16</v>
      </c>
      <c r="D5380" t="str">
        <f>VLOOKUP(Tabela26[[#This Row],[EMP]],[1]LOJA!$A:$B,2,0)</f>
        <v>AG LINDAS</v>
      </c>
      <c r="E5380">
        <v>240</v>
      </c>
      <c r="F5380" t="s">
        <v>3796</v>
      </c>
      <c r="G5380" t="s">
        <v>3795</v>
      </c>
      <c r="H5380" t="s">
        <v>3408</v>
      </c>
      <c r="I5380">
        <v>5405</v>
      </c>
      <c r="J5380" s="3">
        <v>283.39999999999998</v>
      </c>
      <c r="K5380" s="3">
        <v>146.63999999999999</v>
      </c>
      <c r="L5380">
        <v>48.26</v>
      </c>
    </row>
    <row r="5381" spans="1:12">
      <c r="A5381" s="1">
        <v>46044</v>
      </c>
      <c r="B5381" t="s">
        <v>6725</v>
      </c>
      <c r="C5381">
        <v>16</v>
      </c>
      <c r="D5381" t="str">
        <f>VLOOKUP(Tabela26[[#This Row],[EMP]],[1]LOJA!$A:$B,2,0)</f>
        <v>AG LINDAS</v>
      </c>
      <c r="E5381">
        <v>240</v>
      </c>
      <c r="F5381" t="s">
        <v>3780</v>
      </c>
      <c r="G5381" t="s">
        <v>3437</v>
      </c>
      <c r="H5381" t="s">
        <v>3401</v>
      </c>
      <c r="I5381">
        <v>5102</v>
      </c>
      <c r="J5381" s="3">
        <v>70</v>
      </c>
      <c r="K5381" s="3">
        <v>39.299999999999997</v>
      </c>
      <c r="L5381">
        <v>43.86</v>
      </c>
    </row>
    <row r="5382" spans="1:12">
      <c r="A5382" s="1">
        <v>46044</v>
      </c>
      <c r="B5382" t="s">
        <v>6724</v>
      </c>
      <c r="C5382">
        <v>16</v>
      </c>
      <c r="D5382" t="str">
        <f>VLOOKUP(Tabela26[[#This Row],[EMP]],[1]LOJA!$A:$B,2,0)</f>
        <v>AG LINDAS</v>
      </c>
      <c r="E5382">
        <v>240</v>
      </c>
      <c r="F5382" t="s">
        <v>4534</v>
      </c>
      <c r="G5382" t="s">
        <v>4533</v>
      </c>
      <c r="H5382" t="s">
        <v>3401</v>
      </c>
      <c r="I5382">
        <v>5102</v>
      </c>
      <c r="J5382" s="3">
        <v>118.4</v>
      </c>
      <c r="K5382" s="3">
        <v>66.02</v>
      </c>
      <c r="L5382">
        <v>44.24</v>
      </c>
    </row>
    <row r="5383" spans="1:12">
      <c r="A5383" s="1">
        <v>46044</v>
      </c>
      <c r="B5383" t="s">
        <v>6723</v>
      </c>
      <c r="C5383">
        <v>16</v>
      </c>
      <c r="D5383" t="str">
        <f>VLOOKUP(Tabela26[[#This Row],[EMP]],[1]LOJA!$A:$B,2,0)</f>
        <v>AG LINDAS</v>
      </c>
      <c r="E5383">
        <v>240</v>
      </c>
      <c r="F5383" t="s">
        <v>6722</v>
      </c>
      <c r="G5383" t="s">
        <v>3437</v>
      </c>
      <c r="H5383" t="s">
        <v>3401</v>
      </c>
      <c r="I5383">
        <v>5102</v>
      </c>
      <c r="J5383" s="3">
        <v>37.6</v>
      </c>
      <c r="K5383" s="3">
        <v>22.38</v>
      </c>
      <c r="L5383">
        <v>40.479999999999997</v>
      </c>
    </row>
    <row r="5384" spans="1:12">
      <c r="A5384" s="1">
        <v>46044</v>
      </c>
      <c r="B5384" t="s">
        <v>6721</v>
      </c>
      <c r="C5384">
        <v>16</v>
      </c>
      <c r="D5384" t="str">
        <f>VLOOKUP(Tabela26[[#This Row],[EMP]],[1]LOJA!$A:$B,2,0)</f>
        <v>AG LINDAS</v>
      </c>
      <c r="E5384">
        <v>240</v>
      </c>
      <c r="F5384" t="s">
        <v>3780</v>
      </c>
      <c r="G5384" t="s">
        <v>3437</v>
      </c>
      <c r="H5384" t="s">
        <v>3401</v>
      </c>
      <c r="I5384">
        <v>5405</v>
      </c>
      <c r="J5384" s="3">
        <v>29.9</v>
      </c>
      <c r="K5384" s="3">
        <v>12.36</v>
      </c>
      <c r="L5384">
        <v>58.66</v>
      </c>
    </row>
    <row r="5385" spans="1:12">
      <c r="A5385" s="1">
        <v>46044</v>
      </c>
      <c r="B5385" t="s">
        <v>6720</v>
      </c>
      <c r="C5385">
        <v>16</v>
      </c>
      <c r="D5385" t="str">
        <f>VLOOKUP(Tabela26[[#This Row],[EMP]],[1]LOJA!$A:$B,2,0)</f>
        <v>AG LINDAS</v>
      </c>
      <c r="E5385">
        <v>240</v>
      </c>
      <c r="F5385" t="s">
        <v>3799</v>
      </c>
      <c r="G5385" t="s">
        <v>3798</v>
      </c>
      <c r="H5385" t="s">
        <v>3401</v>
      </c>
      <c r="I5385">
        <v>5405</v>
      </c>
      <c r="J5385" s="3">
        <v>146.9</v>
      </c>
      <c r="K5385" s="3">
        <v>83.08</v>
      </c>
      <c r="L5385">
        <v>43.44</v>
      </c>
    </row>
    <row r="5386" spans="1:12">
      <c r="A5386" s="1">
        <v>46044</v>
      </c>
      <c r="B5386" t="s">
        <v>6719</v>
      </c>
      <c r="C5386">
        <v>16</v>
      </c>
      <c r="D5386" t="str">
        <f>VLOOKUP(Tabela26[[#This Row],[EMP]],[1]LOJA!$A:$B,2,0)</f>
        <v>AG LINDAS</v>
      </c>
      <c r="E5386">
        <v>240</v>
      </c>
      <c r="F5386" t="s">
        <v>3780</v>
      </c>
      <c r="G5386" t="s">
        <v>3437</v>
      </c>
      <c r="H5386" t="s">
        <v>3401</v>
      </c>
      <c r="I5386">
        <v>5405</v>
      </c>
      <c r="J5386" s="3">
        <v>1351.1</v>
      </c>
      <c r="K5386" s="3">
        <v>793.24</v>
      </c>
      <c r="L5386">
        <v>41.29</v>
      </c>
    </row>
    <row r="5387" spans="1:12">
      <c r="A5387" s="1">
        <v>46044</v>
      </c>
      <c r="B5387" t="s">
        <v>6718</v>
      </c>
      <c r="C5387">
        <v>16</v>
      </c>
      <c r="D5387" t="str">
        <f>VLOOKUP(Tabela26[[#This Row],[EMP]],[1]LOJA!$A:$B,2,0)</f>
        <v>AG LINDAS</v>
      </c>
      <c r="E5387">
        <v>240</v>
      </c>
      <c r="F5387" t="s">
        <v>4516</v>
      </c>
      <c r="G5387" t="s">
        <v>4515</v>
      </c>
      <c r="H5387" t="s">
        <v>3401</v>
      </c>
      <c r="I5387">
        <v>5405</v>
      </c>
      <c r="J5387" s="3">
        <v>217.5</v>
      </c>
      <c r="K5387" s="3">
        <v>113.13</v>
      </c>
      <c r="L5387">
        <v>47.99</v>
      </c>
    </row>
    <row r="5388" spans="1:12">
      <c r="A5388" s="1">
        <v>46044</v>
      </c>
      <c r="B5388" t="s">
        <v>6717</v>
      </c>
      <c r="C5388">
        <v>16</v>
      </c>
      <c r="D5388" t="str">
        <f>VLOOKUP(Tabela26[[#This Row],[EMP]],[1]LOJA!$A:$B,2,0)</f>
        <v>AG LINDAS</v>
      </c>
      <c r="E5388">
        <v>240</v>
      </c>
      <c r="F5388" t="s">
        <v>6716</v>
      </c>
      <c r="G5388" t="s">
        <v>3437</v>
      </c>
      <c r="H5388" t="s">
        <v>3401</v>
      </c>
      <c r="I5388">
        <v>5102</v>
      </c>
      <c r="J5388" s="3">
        <v>39.5</v>
      </c>
      <c r="K5388" s="3">
        <v>23.98</v>
      </c>
      <c r="L5388">
        <v>39.29</v>
      </c>
    </row>
    <row r="5389" spans="1:12">
      <c r="A5389" s="1">
        <v>46044</v>
      </c>
      <c r="B5389" t="s">
        <v>6715</v>
      </c>
      <c r="C5389">
        <v>16</v>
      </c>
      <c r="D5389" t="str">
        <f>VLOOKUP(Tabela26[[#This Row],[EMP]],[1]LOJA!$A:$B,2,0)</f>
        <v>AG LINDAS</v>
      </c>
      <c r="E5389">
        <v>240</v>
      </c>
      <c r="F5389" t="s">
        <v>6714</v>
      </c>
      <c r="G5389" t="s">
        <v>3437</v>
      </c>
      <c r="H5389" t="s">
        <v>3401</v>
      </c>
      <c r="I5389">
        <v>5102</v>
      </c>
      <c r="J5389" s="3">
        <v>124.9</v>
      </c>
      <c r="K5389" s="3">
        <v>69.86</v>
      </c>
      <c r="L5389">
        <v>44.07</v>
      </c>
    </row>
    <row r="5390" spans="1:12">
      <c r="A5390" s="1">
        <v>46044</v>
      </c>
      <c r="B5390" t="s">
        <v>6713</v>
      </c>
      <c r="C5390">
        <v>16</v>
      </c>
      <c r="D5390" t="str">
        <f>VLOOKUP(Tabela26[[#This Row],[EMP]],[1]LOJA!$A:$B,2,0)</f>
        <v>AG LINDAS</v>
      </c>
      <c r="E5390">
        <v>240</v>
      </c>
      <c r="F5390" t="s">
        <v>6712</v>
      </c>
      <c r="G5390" t="s">
        <v>3437</v>
      </c>
      <c r="H5390" t="s">
        <v>3401</v>
      </c>
      <c r="I5390">
        <v>5102</v>
      </c>
      <c r="J5390" s="3">
        <v>1240</v>
      </c>
      <c r="K5390" s="3">
        <v>680.91</v>
      </c>
      <c r="L5390">
        <v>45.09</v>
      </c>
    </row>
    <row r="5391" spans="1:12">
      <c r="A5391" s="1">
        <v>46044</v>
      </c>
      <c r="B5391" t="s">
        <v>6711</v>
      </c>
      <c r="C5391">
        <v>14</v>
      </c>
      <c r="D5391" t="str">
        <f>VLOOKUP(Tabela26[[#This Row],[EMP]],[1]LOJA!$A:$B,2,0)</f>
        <v>S IA</v>
      </c>
      <c r="E5391">
        <v>54</v>
      </c>
      <c r="F5391" t="s">
        <v>6710</v>
      </c>
      <c r="G5391" t="s">
        <v>6709</v>
      </c>
      <c r="H5391" t="s">
        <v>3430</v>
      </c>
      <c r="I5391">
        <v>5405</v>
      </c>
      <c r="J5391" s="3">
        <v>144</v>
      </c>
      <c r="K5391" s="3">
        <v>50.92</v>
      </c>
      <c r="L5391">
        <v>64.64</v>
      </c>
    </row>
    <row r="5392" spans="1:12">
      <c r="A5392" s="1">
        <v>46044</v>
      </c>
      <c r="B5392" t="s">
        <v>6708</v>
      </c>
      <c r="C5392">
        <v>14</v>
      </c>
      <c r="D5392" t="str">
        <f>VLOOKUP(Tabela26[[#This Row],[EMP]],[1]LOJA!$A:$B,2,0)</f>
        <v>S IA</v>
      </c>
      <c r="E5392">
        <v>54</v>
      </c>
      <c r="F5392" t="s">
        <v>3762</v>
      </c>
      <c r="G5392" t="s">
        <v>3761</v>
      </c>
      <c r="H5392" t="s">
        <v>3430</v>
      </c>
      <c r="I5392">
        <v>5405</v>
      </c>
      <c r="J5392" s="3">
        <v>110.52</v>
      </c>
      <c r="K5392" s="3">
        <v>53.84</v>
      </c>
      <c r="L5392">
        <v>51.28</v>
      </c>
    </row>
    <row r="5393" spans="1:12">
      <c r="A5393" s="1">
        <v>46044</v>
      </c>
      <c r="B5393" t="s">
        <v>6707</v>
      </c>
      <c r="C5393">
        <v>14</v>
      </c>
      <c r="D5393" t="str">
        <f>VLOOKUP(Tabela26[[#This Row],[EMP]],[1]LOJA!$A:$B,2,0)</f>
        <v>S IA</v>
      </c>
      <c r="E5393">
        <v>54</v>
      </c>
      <c r="F5393" t="s">
        <v>3983</v>
      </c>
      <c r="G5393" t="s">
        <v>3982</v>
      </c>
      <c r="H5393" t="s">
        <v>3408</v>
      </c>
      <c r="I5393">
        <v>5405</v>
      </c>
      <c r="J5393" s="3">
        <v>1300</v>
      </c>
      <c r="K5393" s="3">
        <v>648.23</v>
      </c>
      <c r="L5393">
        <v>50.14</v>
      </c>
    </row>
    <row r="5394" spans="1:12">
      <c r="A5394" s="1">
        <v>46044</v>
      </c>
      <c r="B5394" t="s">
        <v>6706</v>
      </c>
      <c r="C5394">
        <v>14</v>
      </c>
      <c r="D5394" t="str">
        <f>VLOOKUP(Tabela26[[#This Row],[EMP]],[1]LOJA!$A:$B,2,0)</f>
        <v>S IA</v>
      </c>
      <c r="E5394">
        <v>212</v>
      </c>
      <c r="F5394" t="s">
        <v>6442</v>
      </c>
      <c r="G5394" t="s">
        <v>6441</v>
      </c>
      <c r="H5394" t="s">
        <v>3401</v>
      </c>
      <c r="I5394">
        <v>5405</v>
      </c>
      <c r="J5394" s="3">
        <v>1217.5999999999999</v>
      </c>
      <c r="K5394" s="3">
        <v>695.45</v>
      </c>
      <c r="L5394">
        <v>42.88</v>
      </c>
    </row>
    <row r="5395" spans="1:12">
      <c r="A5395" s="1">
        <v>46044</v>
      </c>
      <c r="B5395" t="s">
        <v>6705</v>
      </c>
      <c r="C5395">
        <v>14</v>
      </c>
      <c r="D5395" t="str">
        <f>VLOOKUP(Tabela26[[#This Row],[EMP]],[1]LOJA!$A:$B,2,0)</f>
        <v>S IA</v>
      </c>
      <c r="E5395">
        <v>108</v>
      </c>
      <c r="F5395" t="s">
        <v>5089</v>
      </c>
      <c r="G5395" t="s">
        <v>5088</v>
      </c>
      <c r="H5395" t="s">
        <v>3401</v>
      </c>
      <c r="I5395">
        <v>5910</v>
      </c>
      <c r="J5395" s="3">
        <v>0</v>
      </c>
      <c r="K5395" s="3">
        <v>63.22</v>
      </c>
      <c r="L5395">
        <v>0</v>
      </c>
    </row>
    <row r="5396" spans="1:12">
      <c r="A5396" s="1">
        <v>46044</v>
      </c>
      <c r="B5396" t="s">
        <v>6704</v>
      </c>
      <c r="C5396">
        <v>14</v>
      </c>
      <c r="D5396" t="str">
        <f>VLOOKUP(Tabela26[[#This Row],[EMP]],[1]LOJA!$A:$B,2,0)</f>
        <v>S IA</v>
      </c>
      <c r="E5396">
        <v>54</v>
      </c>
      <c r="F5396" t="s">
        <v>5089</v>
      </c>
      <c r="G5396" t="s">
        <v>5088</v>
      </c>
      <c r="H5396" t="s">
        <v>3430</v>
      </c>
      <c r="I5396">
        <v>5102</v>
      </c>
      <c r="J5396" s="3">
        <v>86.1</v>
      </c>
      <c r="K5396" s="3">
        <v>54.45</v>
      </c>
      <c r="L5396">
        <v>36.76</v>
      </c>
    </row>
    <row r="5397" spans="1:12">
      <c r="A5397" s="1">
        <v>46044</v>
      </c>
      <c r="B5397" t="s">
        <v>6703</v>
      </c>
      <c r="C5397">
        <v>14</v>
      </c>
      <c r="D5397" t="str">
        <f>VLOOKUP(Tabela26[[#This Row],[EMP]],[1]LOJA!$A:$B,2,0)</f>
        <v>S IA</v>
      </c>
      <c r="E5397">
        <v>212</v>
      </c>
      <c r="F5397" t="s">
        <v>3472</v>
      </c>
      <c r="G5397" t="s">
        <v>3471</v>
      </c>
      <c r="H5397" t="s">
        <v>3408</v>
      </c>
      <c r="I5397">
        <v>5405</v>
      </c>
      <c r="J5397" s="3">
        <v>57</v>
      </c>
      <c r="K5397" s="3">
        <v>21.51</v>
      </c>
      <c r="L5397">
        <v>62.26</v>
      </c>
    </row>
    <row r="5398" spans="1:12">
      <c r="A5398" s="1">
        <v>46044</v>
      </c>
      <c r="B5398" t="s">
        <v>6702</v>
      </c>
      <c r="C5398">
        <v>14</v>
      </c>
      <c r="D5398" t="str">
        <f>VLOOKUP(Tabela26[[#This Row],[EMP]],[1]LOJA!$A:$B,2,0)</f>
        <v>S IA</v>
      </c>
      <c r="E5398">
        <v>54</v>
      </c>
      <c r="F5398" t="s">
        <v>3432</v>
      </c>
      <c r="G5398" t="s">
        <v>3431</v>
      </c>
      <c r="H5398" t="s">
        <v>3430</v>
      </c>
      <c r="I5398">
        <v>5405</v>
      </c>
      <c r="J5398" s="3">
        <v>262.24</v>
      </c>
      <c r="K5398" s="3">
        <v>117.75</v>
      </c>
      <c r="L5398">
        <v>55.1</v>
      </c>
    </row>
    <row r="5399" spans="1:12">
      <c r="A5399" s="1">
        <v>46044</v>
      </c>
      <c r="B5399" t="s">
        <v>6701</v>
      </c>
      <c r="C5399">
        <v>14</v>
      </c>
      <c r="D5399" t="str">
        <f>VLOOKUP(Tabela26[[#This Row],[EMP]],[1]LOJA!$A:$B,2,0)</f>
        <v>S IA</v>
      </c>
      <c r="E5399">
        <v>212</v>
      </c>
      <c r="F5399" t="s">
        <v>3432</v>
      </c>
      <c r="G5399" t="s">
        <v>3431</v>
      </c>
      <c r="H5399" t="s">
        <v>3430</v>
      </c>
      <c r="I5399">
        <v>5102</v>
      </c>
      <c r="J5399" s="3">
        <v>76</v>
      </c>
      <c r="K5399" s="3">
        <v>29.81</v>
      </c>
      <c r="L5399">
        <v>60.78</v>
      </c>
    </row>
    <row r="5400" spans="1:12">
      <c r="A5400" s="1">
        <v>46044</v>
      </c>
      <c r="B5400" t="s">
        <v>6700</v>
      </c>
      <c r="C5400">
        <v>14</v>
      </c>
      <c r="D5400" t="str">
        <f>VLOOKUP(Tabela26[[#This Row],[EMP]],[1]LOJA!$A:$B,2,0)</f>
        <v>S IA</v>
      </c>
      <c r="E5400">
        <v>54</v>
      </c>
      <c r="F5400" t="s">
        <v>3759</v>
      </c>
      <c r="G5400" t="s">
        <v>3758</v>
      </c>
      <c r="H5400" t="s">
        <v>3408</v>
      </c>
      <c r="I5400">
        <v>5405</v>
      </c>
      <c r="J5400" s="3">
        <v>181.67</v>
      </c>
      <c r="K5400" s="3">
        <v>93.67</v>
      </c>
      <c r="L5400">
        <v>48.44</v>
      </c>
    </row>
    <row r="5401" spans="1:12">
      <c r="A5401" s="1">
        <v>46044</v>
      </c>
      <c r="B5401" t="s">
        <v>6699</v>
      </c>
      <c r="C5401">
        <v>14</v>
      </c>
      <c r="D5401" t="str">
        <f>VLOOKUP(Tabela26[[#This Row],[EMP]],[1]LOJA!$A:$B,2,0)</f>
        <v>S IA</v>
      </c>
      <c r="E5401">
        <v>54</v>
      </c>
      <c r="F5401" t="s">
        <v>5089</v>
      </c>
      <c r="G5401" t="s">
        <v>5088</v>
      </c>
      <c r="H5401" t="s">
        <v>3430</v>
      </c>
      <c r="I5401">
        <v>5405</v>
      </c>
      <c r="J5401" s="3">
        <v>699.8</v>
      </c>
      <c r="K5401" s="3">
        <v>314.41000000000003</v>
      </c>
      <c r="L5401">
        <v>55.07</v>
      </c>
    </row>
    <row r="5402" spans="1:12">
      <c r="A5402" s="1">
        <v>46044</v>
      </c>
      <c r="B5402" t="s">
        <v>6698</v>
      </c>
      <c r="C5402">
        <v>14</v>
      </c>
      <c r="D5402" t="str">
        <f>VLOOKUP(Tabela26[[#This Row],[EMP]],[1]LOJA!$A:$B,2,0)</f>
        <v>S IA</v>
      </c>
      <c r="E5402">
        <v>54</v>
      </c>
      <c r="F5402" t="s">
        <v>3759</v>
      </c>
      <c r="G5402" t="s">
        <v>3758</v>
      </c>
      <c r="H5402" t="s">
        <v>3408</v>
      </c>
      <c r="I5402">
        <v>5405</v>
      </c>
      <c r="J5402" s="3">
        <v>208</v>
      </c>
      <c r="K5402" s="3">
        <v>77.48</v>
      </c>
      <c r="L5402">
        <v>62.75</v>
      </c>
    </row>
    <row r="5403" spans="1:12">
      <c r="A5403" s="1">
        <v>46044</v>
      </c>
      <c r="B5403" t="s">
        <v>6697</v>
      </c>
      <c r="C5403">
        <v>14</v>
      </c>
      <c r="D5403" t="str">
        <f>VLOOKUP(Tabela26[[#This Row],[EMP]],[1]LOJA!$A:$B,2,0)</f>
        <v>S IA</v>
      </c>
      <c r="E5403">
        <v>212</v>
      </c>
      <c r="F5403" t="s">
        <v>6696</v>
      </c>
      <c r="G5403" t="s">
        <v>6695</v>
      </c>
      <c r="H5403" t="s">
        <v>3401</v>
      </c>
      <c r="I5403">
        <v>5102</v>
      </c>
      <c r="J5403" s="3">
        <v>80</v>
      </c>
      <c r="K5403" s="3">
        <v>47.38</v>
      </c>
      <c r="L5403">
        <v>40.78</v>
      </c>
    </row>
    <row r="5404" spans="1:12">
      <c r="A5404" s="1">
        <v>46044</v>
      </c>
      <c r="B5404" t="s">
        <v>6694</v>
      </c>
      <c r="C5404">
        <v>14</v>
      </c>
      <c r="D5404" t="str">
        <f>VLOOKUP(Tabela26[[#This Row],[EMP]],[1]LOJA!$A:$B,2,0)</f>
        <v>S IA</v>
      </c>
      <c r="E5404">
        <v>54</v>
      </c>
      <c r="F5404" t="s">
        <v>3775</v>
      </c>
      <c r="G5404" t="s">
        <v>3774</v>
      </c>
      <c r="H5404" t="s">
        <v>3430</v>
      </c>
      <c r="I5404">
        <v>5102</v>
      </c>
      <c r="J5404" s="3">
        <v>71.09</v>
      </c>
      <c r="K5404" s="3">
        <v>32.950000000000003</v>
      </c>
      <c r="L5404">
        <v>53.65</v>
      </c>
    </row>
    <row r="5405" spans="1:12">
      <c r="A5405" s="1">
        <v>46044</v>
      </c>
      <c r="B5405" t="s">
        <v>6693</v>
      </c>
      <c r="C5405">
        <v>14</v>
      </c>
      <c r="D5405" t="str">
        <f>VLOOKUP(Tabela26[[#This Row],[EMP]],[1]LOJA!$A:$B,2,0)</f>
        <v>S IA</v>
      </c>
      <c r="E5405">
        <v>212</v>
      </c>
      <c r="F5405" t="s">
        <v>6692</v>
      </c>
      <c r="G5405" t="s">
        <v>6691</v>
      </c>
      <c r="H5405" t="s">
        <v>3408</v>
      </c>
      <c r="I5405">
        <v>5102</v>
      </c>
      <c r="J5405" s="3">
        <v>152.74</v>
      </c>
      <c r="K5405" s="3">
        <v>71.72</v>
      </c>
      <c r="L5405">
        <v>53.04</v>
      </c>
    </row>
    <row r="5406" spans="1:12">
      <c r="A5406" s="1">
        <v>46044</v>
      </c>
      <c r="B5406" t="s">
        <v>6690</v>
      </c>
      <c r="C5406">
        <v>14</v>
      </c>
      <c r="D5406" t="str">
        <f>VLOOKUP(Tabela26[[#This Row],[EMP]],[1]LOJA!$A:$B,2,0)</f>
        <v>S IA</v>
      </c>
      <c r="E5406">
        <v>54</v>
      </c>
      <c r="F5406" t="s">
        <v>3759</v>
      </c>
      <c r="G5406" t="s">
        <v>3758</v>
      </c>
      <c r="H5406" t="s">
        <v>3408</v>
      </c>
      <c r="I5406">
        <v>5405</v>
      </c>
      <c r="J5406" s="3">
        <v>440.7</v>
      </c>
      <c r="K5406" s="3">
        <v>233.57</v>
      </c>
      <c r="L5406">
        <v>47</v>
      </c>
    </row>
    <row r="5407" spans="1:12">
      <c r="A5407" s="1">
        <v>46044</v>
      </c>
      <c r="B5407" t="s">
        <v>6689</v>
      </c>
      <c r="C5407">
        <v>12</v>
      </c>
      <c r="D5407" t="str">
        <f>VLOOKUP(Tabela26[[#This Row],[EMP]],[1]LOJA!$A:$B,2,0)</f>
        <v>SOFNORTE</v>
      </c>
      <c r="E5407">
        <v>60</v>
      </c>
      <c r="F5407" t="s">
        <v>4466</v>
      </c>
      <c r="G5407" t="s">
        <v>4465</v>
      </c>
      <c r="H5407" t="s">
        <v>3401</v>
      </c>
      <c r="I5407">
        <v>5405</v>
      </c>
      <c r="J5407" s="3">
        <v>130</v>
      </c>
      <c r="K5407" s="3">
        <v>63.43</v>
      </c>
      <c r="L5407">
        <v>51.21</v>
      </c>
    </row>
    <row r="5408" spans="1:12">
      <c r="A5408" s="1">
        <v>46044</v>
      </c>
      <c r="B5408" t="s">
        <v>6688</v>
      </c>
      <c r="C5408">
        <v>12</v>
      </c>
      <c r="D5408" t="str">
        <f>VLOOKUP(Tabela26[[#This Row],[EMP]],[1]LOJA!$A:$B,2,0)</f>
        <v>SOFNORTE</v>
      </c>
      <c r="E5408">
        <v>60</v>
      </c>
      <c r="F5408" t="s">
        <v>3694</v>
      </c>
      <c r="G5408" t="s">
        <v>3693</v>
      </c>
      <c r="H5408" t="s">
        <v>3520</v>
      </c>
      <c r="I5408">
        <v>5405</v>
      </c>
      <c r="J5408" s="3">
        <v>543</v>
      </c>
      <c r="K5408" s="3">
        <v>287.60000000000002</v>
      </c>
      <c r="L5408">
        <v>47.03</v>
      </c>
    </row>
    <row r="5409" spans="1:12">
      <c r="A5409" s="1">
        <v>46044</v>
      </c>
      <c r="B5409" t="s">
        <v>6687</v>
      </c>
      <c r="C5409">
        <v>12</v>
      </c>
      <c r="D5409" t="str">
        <f>VLOOKUP(Tabela26[[#This Row],[EMP]],[1]LOJA!$A:$B,2,0)</f>
        <v>SOFNORTE</v>
      </c>
      <c r="E5409">
        <v>60</v>
      </c>
      <c r="F5409" t="s">
        <v>6686</v>
      </c>
      <c r="G5409" t="s">
        <v>3402</v>
      </c>
      <c r="H5409" t="s">
        <v>3408</v>
      </c>
      <c r="I5409">
        <v>5102</v>
      </c>
      <c r="J5409" s="3">
        <v>18</v>
      </c>
      <c r="K5409" s="3">
        <v>9.17</v>
      </c>
      <c r="L5409">
        <v>49.06</v>
      </c>
    </row>
    <row r="5410" spans="1:12">
      <c r="A5410" s="1">
        <v>46044</v>
      </c>
      <c r="B5410" t="s">
        <v>6685</v>
      </c>
      <c r="C5410">
        <v>12</v>
      </c>
      <c r="D5410" t="str">
        <f>VLOOKUP(Tabela26[[#This Row],[EMP]],[1]LOJA!$A:$B,2,0)</f>
        <v>SOFNORTE</v>
      </c>
      <c r="E5410">
        <v>60</v>
      </c>
      <c r="F5410" t="s">
        <v>3691</v>
      </c>
      <c r="G5410" t="s">
        <v>3690</v>
      </c>
      <c r="H5410" t="s">
        <v>6563</v>
      </c>
      <c r="I5410">
        <v>5405</v>
      </c>
      <c r="J5410" s="3">
        <v>56</v>
      </c>
      <c r="K5410" s="3">
        <v>26.36</v>
      </c>
      <c r="L5410">
        <v>52.93</v>
      </c>
    </row>
    <row r="5411" spans="1:12">
      <c r="A5411" s="1">
        <v>46044</v>
      </c>
      <c r="B5411" t="s">
        <v>6684</v>
      </c>
      <c r="C5411">
        <v>12</v>
      </c>
      <c r="D5411" t="str">
        <f>VLOOKUP(Tabela26[[#This Row],[EMP]],[1]LOJA!$A:$B,2,0)</f>
        <v>SOFNORTE</v>
      </c>
      <c r="E5411">
        <v>239</v>
      </c>
      <c r="F5411" t="s">
        <v>3403</v>
      </c>
      <c r="G5411" t="s">
        <v>3402</v>
      </c>
      <c r="H5411" t="s">
        <v>3401</v>
      </c>
      <c r="I5411">
        <v>5102</v>
      </c>
      <c r="J5411" s="3">
        <v>60</v>
      </c>
      <c r="K5411" s="3">
        <v>32.5</v>
      </c>
      <c r="L5411">
        <v>45.83</v>
      </c>
    </row>
    <row r="5412" spans="1:12">
      <c r="A5412" s="1">
        <v>46044</v>
      </c>
      <c r="B5412" t="s">
        <v>6683</v>
      </c>
      <c r="C5412">
        <v>12</v>
      </c>
      <c r="D5412" t="str">
        <f>VLOOKUP(Tabela26[[#This Row],[EMP]],[1]LOJA!$A:$B,2,0)</f>
        <v>SOFNORTE</v>
      </c>
      <c r="E5412">
        <v>60</v>
      </c>
      <c r="F5412" t="s">
        <v>3722</v>
      </c>
      <c r="G5412" t="s">
        <v>3721</v>
      </c>
      <c r="H5412" t="s">
        <v>3401</v>
      </c>
      <c r="I5412">
        <v>5102</v>
      </c>
      <c r="J5412" s="3">
        <v>23.9</v>
      </c>
      <c r="K5412" s="3">
        <v>12.51</v>
      </c>
      <c r="L5412">
        <v>47.66</v>
      </c>
    </row>
    <row r="5413" spans="1:12">
      <c r="A5413" s="1">
        <v>46044</v>
      </c>
      <c r="B5413" t="s">
        <v>6682</v>
      </c>
      <c r="C5413">
        <v>12</v>
      </c>
      <c r="D5413" t="str">
        <f>VLOOKUP(Tabela26[[#This Row],[EMP]],[1]LOJA!$A:$B,2,0)</f>
        <v>SOFNORTE</v>
      </c>
      <c r="E5413">
        <v>239</v>
      </c>
      <c r="F5413" t="s">
        <v>3403</v>
      </c>
      <c r="G5413" t="s">
        <v>3402</v>
      </c>
      <c r="H5413" t="s">
        <v>3401</v>
      </c>
      <c r="I5413">
        <v>5405</v>
      </c>
      <c r="J5413" s="3">
        <v>146</v>
      </c>
      <c r="K5413" s="3">
        <v>68.260000000000005</v>
      </c>
      <c r="L5413">
        <v>53.25</v>
      </c>
    </row>
    <row r="5414" spans="1:12">
      <c r="A5414" s="1">
        <v>46044</v>
      </c>
      <c r="B5414" t="s">
        <v>6681</v>
      </c>
      <c r="C5414">
        <v>12</v>
      </c>
      <c r="D5414" t="str">
        <f>VLOOKUP(Tabela26[[#This Row],[EMP]],[1]LOJA!$A:$B,2,0)</f>
        <v>SOFNORTE</v>
      </c>
      <c r="E5414">
        <v>60</v>
      </c>
      <c r="F5414" t="s">
        <v>3709</v>
      </c>
      <c r="G5414" t="s">
        <v>3708</v>
      </c>
      <c r="H5414" t="s">
        <v>3401</v>
      </c>
      <c r="I5414">
        <v>5405</v>
      </c>
      <c r="J5414" s="3">
        <v>88</v>
      </c>
      <c r="K5414" s="3">
        <v>44.88</v>
      </c>
      <c r="L5414">
        <v>49</v>
      </c>
    </row>
    <row r="5415" spans="1:12">
      <c r="A5415" s="1">
        <v>46044</v>
      </c>
      <c r="B5415" t="s">
        <v>6680</v>
      </c>
      <c r="C5415">
        <v>12</v>
      </c>
      <c r="D5415" t="str">
        <f>VLOOKUP(Tabela26[[#This Row],[EMP]],[1]LOJA!$A:$B,2,0)</f>
        <v>SOFNORTE</v>
      </c>
      <c r="E5415">
        <v>60</v>
      </c>
      <c r="F5415" t="s">
        <v>3691</v>
      </c>
      <c r="G5415" t="s">
        <v>3690</v>
      </c>
      <c r="H5415" t="s">
        <v>6563</v>
      </c>
      <c r="I5415">
        <v>5102</v>
      </c>
      <c r="J5415" s="3">
        <v>119</v>
      </c>
      <c r="K5415" s="3">
        <v>58.46</v>
      </c>
      <c r="L5415">
        <v>50.87</v>
      </c>
    </row>
    <row r="5416" spans="1:12">
      <c r="A5416" s="1">
        <v>46044</v>
      </c>
      <c r="B5416" t="s">
        <v>6679</v>
      </c>
      <c r="C5416">
        <v>12</v>
      </c>
      <c r="D5416" t="str">
        <f>VLOOKUP(Tabela26[[#This Row],[EMP]],[1]LOJA!$A:$B,2,0)</f>
        <v>SOFNORTE</v>
      </c>
      <c r="E5416">
        <v>60</v>
      </c>
      <c r="F5416" t="s">
        <v>3706</v>
      </c>
      <c r="G5416" t="s">
        <v>3402</v>
      </c>
      <c r="H5416" t="s">
        <v>3408</v>
      </c>
      <c r="I5416">
        <v>5405</v>
      </c>
      <c r="J5416" s="3">
        <v>30</v>
      </c>
      <c r="K5416" s="3">
        <v>14.23</v>
      </c>
      <c r="L5416">
        <v>52.57</v>
      </c>
    </row>
    <row r="5417" spans="1:12">
      <c r="A5417" s="1">
        <v>46044</v>
      </c>
      <c r="B5417" t="s">
        <v>6678</v>
      </c>
      <c r="C5417">
        <v>12</v>
      </c>
      <c r="D5417" t="str">
        <f>VLOOKUP(Tabela26[[#This Row],[EMP]],[1]LOJA!$A:$B,2,0)</f>
        <v>SOFNORTE</v>
      </c>
      <c r="E5417">
        <v>60</v>
      </c>
      <c r="F5417" t="s">
        <v>3421</v>
      </c>
      <c r="G5417" t="s">
        <v>3402</v>
      </c>
      <c r="H5417" t="s">
        <v>3408</v>
      </c>
      <c r="I5417">
        <v>5405</v>
      </c>
      <c r="J5417" s="3">
        <v>245</v>
      </c>
      <c r="K5417" s="3">
        <v>120.41</v>
      </c>
      <c r="L5417">
        <v>50.85</v>
      </c>
    </row>
    <row r="5418" spans="1:12">
      <c r="A5418" s="1">
        <v>46044</v>
      </c>
      <c r="B5418" t="s">
        <v>6677</v>
      </c>
      <c r="C5418">
        <v>12</v>
      </c>
      <c r="D5418" t="str">
        <f>VLOOKUP(Tabela26[[#This Row],[EMP]],[1]LOJA!$A:$B,2,0)</f>
        <v>SOFNORTE</v>
      </c>
      <c r="E5418">
        <v>60</v>
      </c>
      <c r="F5418" t="s">
        <v>3722</v>
      </c>
      <c r="G5418" t="s">
        <v>3721</v>
      </c>
      <c r="H5418" t="s">
        <v>3401</v>
      </c>
      <c r="I5418">
        <v>5102</v>
      </c>
      <c r="J5418" s="3">
        <v>19</v>
      </c>
      <c r="K5418" s="3">
        <v>8.32</v>
      </c>
      <c r="L5418">
        <v>56.21</v>
      </c>
    </row>
    <row r="5419" spans="1:12">
      <c r="A5419" s="1">
        <v>46044</v>
      </c>
      <c r="B5419" t="s">
        <v>6676</v>
      </c>
      <c r="C5419">
        <v>12</v>
      </c>
      <c r="D5419" t="str">
        <f>VLOOKUP(Tabela26[[#This Row],[EMP]],[1]LOJA!$A:$B,2,0)</f>
        <v>SOFNORTE</v>
      </c>
      <c r="E5419">
        <v>239</v>
      </c>
      <c r="F5419" t="s">
        <v>3403</v>
      </c>
      <c r="G5419" t="s">
        <v>3402</v>
      </c>
      <c r="H5419" t="s">
        <v>3401</v>
      </c>
      <c r="I5419">
        <v>5102</v>
      </c>
      <c r="J5419" s="3">
        <v>15</v>
      </c>
      <c r="K5419" s="3">
        <v>6.6</v>
      </c>
      <c r="L5419">
        <v>56</v>
      </c>
    </row>
    <row r="5420" spans="1:12">
      <c r="A5420" s="1">
        <v>46044</v>
      </c>
      <c r="B5420" t="s">
        <v>6675</v>
      </c>
      <c r="C5420">
        <v>12</v>
      </c>
      <c r="D5420" t="str">
        <f>VLOOKUP(Tabela26[[#This Row],[EMP]],[1]LOJA!$A:$B,2,0)</f>
        <v>SOFNORTE</v>
      </c>
      <c r="E5420">
        <v>60</v>
      </c>
      <c r="F5420" t="s">
        <v>3403</v>
      </c>
      <c r="G5420" t="s">
        <v>3402</v>
      </c>
      <c r="H5420" t="s">
        <v>3408</v>
      </c>
      <c r="I5420">
        <v>5102</v>
      </c>
      <c r="J5420" s="3">
        <v>167.11</v>
      </c>
      <c r="K5420" s="3">
        <v>82.29</v>
      </c>
      <c r="L5420">
        <v>50.76</v>
      </c>
    </row>
    <row r="5421" spans="1:12">
      <c r="A5421" s="1">
        <v>46044</v>
      </c>
      <c r="B5421" t="s">
        <v>6674</v>
      </c>
      <c r="C5421">
        <v>12</v>
      </c>
      <c r="D5421" t="str">
        <f>VLOOKUP(Tabela26[[#This Row],[EMP]],[1]LOJA!$A:$B,2,0)</f>
        <v>SOFNORTE</v>
      </c>
      <c r="E5421">
        <v>60</v>
      </c>
      <c r="F5421" t="s">
        <v>3709</v>
      </c>
      <c r="G5421" t="s">
        <v>3708</v>
      </c>
      <c r="H5421" t="s">
        <v>3401</v>
      </c>
      <c r="I5421">
        <v>5405</v>
      </c>
      <c r="J5421" s="3">
        <v>67</v>
      </c>
      <c r="K5421" s="3">
        <v>33.18</v>
      </c>
      <c r="L5421">
        <v>50.48</v>
      </c>
    </row>
    <row r="5422" spans="1:12">
      <c r="A5422" s="1">
        <v>46044</v>
      </c>
      <c r="B5422" t="s">
        <v>6673</v>
      </c>
      <c r="C5422">
        <v>12</v>
      </c>
      <c r="D5422" t="str">
        <f>VLOOKUP(Tabela26[[#This Row],[EMP]],[1]LOJA!$A:$B,2,0)</f>
        <v>SOFNORTE</v>
      </c>
      <c r="E5422">
        <v>239</v>
      </c>
      <c r="F5422" t="s">
        <v>3709</v>
      </c>
      <c r="G5422" t="s">
        <v>3708</v>
      </c>
      <c r="H5422" t="s">
        <v>3401</v>
      </c>
      <c r="I5422">
        <v>5102</v>
      </c>
      <c r="J5422" s="3">
        <v>36</v>
      </c>
      <c r="K5422" s="3">
        <v>22.22</v>
      </c>
      <c r="L5422">
        <v>38.28</v>
      </c>
    </row>
    <row r="5423" spans="1:12">
      <c r="A5423" s="1">
        <v>46044</v>
      </c>
      <c r="B5423" t="s">
        <v>6672</v>
      </c>
      <c r="C5423">
        <v>12</v>
      </c>
      <c r="D5423" t="str">
        <f>VLOOKUP(Tabela26[[#This Row],[EMP]],[1]LOJA!$A:$B,2,0)</f>
        <v>SOFNORTE</v>
      </c>
      <c r="E5423">
        <v>60</v>
      </c>
      <c r="F5423" t="s">
        <v>3722</v>
      </c>
      <c r="G5423" t="s">
        <v>3721</v>
      </c>
      <c r="H5423" t="s">
        <v>3401</v>
      </c>
      <c r="I5423">
        <v>5102</v>
      </c>
      <c r="J5423" s="3">
        <v>23.9</v>
      </c>
      <c r="K5423" s="3">
        <v>12.51</v>
      </c>
      <c r="L5423">
        <v>47.66</v>
      </c>
    </row>
    <row r="5424" spans="1:12">
      <c r="A5424" s="1">
        <v>46044</v>
      </c>
      <c r="B5424" t="s">
        <v>6671</v>
      </c>
      <c r="C5424">
        <v>12</v>
      </c>
      <c r="D5424" t="str">
        <f>VLOOKUP(Tabela26[[#This Row],[EMP]],[1]LOJA!$A:$B,2,0)</f>
        <v>SOFNORTE</v>
      </c>
      <c r="E5424">
        <v>60</v>
      </c>
      <c r="F5424" t="s">
        <v>5057</v>
      </c>
      <c r="G5424" t="s">
        <v>5056</v>
      </c>
      <c r="H5424" t="s">
        <v>3401</v>
      </c>
      <c r="I5424">
        <v>5405</v>
      </c>
      <c r="J5424" s="3">
        <v>59</v>
      </c>
      <c r="K5424" s="3">
        <v>26.7</v>
      </c>
      <c r="L5424">
        <v>54.75</v>
      </c>
    </row>
    <row r="5425" spans="1:12">
      <c r="A5425" s="1">
        <v>46044</v>
      </c>
      <c r="B5425" t="s">
        <v>6670</v>
      </c>
      <c r="C5425">
        <v>12</v>
      </c>
      <c r="D5425" t="str">
        <f>VLOOKUP(Tabela26[[#This Row],[EMP]],[1]LOJA!$A:$B,2,0)</f>
        <v>SOFNORTE</v>
      </c>
      <c r="E5425">
        <v>60</v>
      </c>
      <c r="F5425" t="s">
        <v>3709</v>
      </c>
      <c r="G5425" t="s">
        <v>3708</v>
      </c>
      <c r="H5425" t="s">
        <v>3401</v>
      </c>
      <c r="I5425">
        <v>5405</v>
      </c>
      <c r="J5425" s="3">
        <v>98</v>
      </c>
      <c r="K5425" s="3">
        <v>47.74</v>
      </c>
      <c r="L5425">
        <v>51.29</v>
      </c>
    </row>
    <row r="5426" spans="1:12">
      <c r="A5426" s="1">
        <v>46044</v>
      </c>
      <c r="B5426" t="s">
        <v>6669</v>
      </c>
      <c r="C5426">
        <v>12</v>
      </c>
      <c r="D5426" t="str">
        <f>VLOOKUP(Tabela26[[#This Row],[EMP]],[1]LOJA!$A:$B,2,0)</f>
        <v>SOFNORTE</v>
      </c>
      <c r="E5426">
        <v>60</v>
      </c>
      <c r="F5426" t="s">
        <v>5057</v>
      </c>
      <c r="G5426" t="s">
        <v>5056</v>
      </c>
      <c r="H5426" t="s">
        <v>3401</v>
      </c>
      <c r="I5426">
        <v>5102</v>
      </c>
      <c r="J5426" s="3">
        <v>9.5</v>
      </c>
      <c r="K5426" s="3">
        <v>4.16</v>
      </c>
      <c r="L5426">
        <v>56.21</v>
      </c>
    </row>
    <row r="5427" spans="1:12">
      <c r="A5427" s="1">
        <v>46044</v>
      </c>
      <c r="B5427" t="s">
        <v>6668</v>
      </c>
      <c r="C5427">
        <v>12</v>
      </c>
      <c r="D5427" t="str">
        <f>VLOOKUP(Tabela26[[#This Row],[EMP]],[1]LOJA!$A:$B,2,0)</f>
        <v>SOFNORTE</v>
      </c>
      <c r="E5427">
        <v>60</v>
      </c>
      <c r="F5427" t="s">
        <v>3687</v>
      </c>
      <c r="G5427" t="s">
        <v>3686</v>
      </c>
      <c r="H5427" t="s">
        <v>3401</v>
      </c>
      <c r="I5427">
        <v>5405</v>
      </c>
      <c r="J5427" s="3">
        <v>62</v>
      </c>
      <c r="K5427" s="3">
        <v>30.26</v>
      </c>
      <c r="L5427">
        <v>51.19</v>
      </c>
    </row>
    <row r="5428" spans="1:12">
      <c r="A5428" s="1">
        <v>46044</v>
      </c>
      <c r="B5428" t="s">
        <v>6667</v>
      </c>
      <c r="C5428">
        <v>12</v>
      </c>
      <c r="D5428" t="str">
        <f>VLOOKUP(Tabela26[[#This Row],[EMP]],[1]LOJA!$A:$B,2,0)</f>
        <v>SOFNORTE</v>
      </c>
      <c r="E5428">
        <v>60</v>
      </c>
      <c r="F5428" t="s">
        <v>3706</v>
      </c>
      <c r="G5428" t="s">
        <v>3402</v>
      </c>
      <c r="H5428" t="s">
        <v>3408</v>
      </c>
      <c r="I5428">
        <v>5405</v>
      </c>
      <c r="J5428" s="3">
        <v>117</v>
      </c>
      <c r="K5428" s="3">
        <v>55.2</v>
      </c>
      <c r="L5428">
        <v>52.82</v>
      </c>
    </row>
    <row r="5429" spans="1:12">
      <c r="A5429" s="1">
        <v>46044</v>
      </c>
      <c r="B5429" t="s">
        <v>6666</v>
      </c>
      <c r="C5429">
        <v>12</v>
      </c>
      <c r="D5429" t="str">
        <f>VLOOKUP(Tabela26[[#This Row],[EMP]],[1]LOJA!$A:$B,2,0)</f>
        <v>SOFNORTE</v>
      </c>
      <c r="E5429">
        <v>60</v>
      </c>
      <c r="F5429" t="s">
        <v>3698</v>
      </c>
      <c r="G5429" t="s">
        <v>3697</v>
      </c>
      <c r="H5429" t="s">
        <v>3401</v>
      </c>
      <c r="I5429">
        <v>5405</v>
      </c>
      <c r="J5429" s="3">
        <v>47</v>
      </c>
      <c r="K5429" s="3">
        <v>21.03</v>
      </c>
      <c r="L5429">
        <v>55.26</v>
      </c>
    </row>
    <row r="5430" spans="1:12">
      <c r="A5430" s="1">
        <v>46044</v>
      </c>
      <c r="B5430" t="s">
        <v>6665</v>
      </c>
      <c r="C5430">
        <v>12</v>
      </c>
      <c r="D5430" t="str">
        <f>VLOOKUP(Tabela26[[#This Row],[EMP]],[1]LOJA!$A:$B,2,0)</f>
        <v>SOFNORTE</v>
      </c>
      <c r="E5430">
        <v>60</v>
      </c>
      <c r="F5430" t="s">
        <v>4458</v>
      </c>
      <c r="G5430" t="s">
        <v>4457</v>
      </c>
      <c r="H5430" t="s">
        <v>6563</v>
      </c>
      <c r="I5430">
        <v>5405</v>
      </c>
      <c r="J5430" s="3">
        <v>65</v>
      </c>
      <c r="K5430" s="3">
        <v>30.79</v>
      </c>
      <c r="L5430">
        <v>52.63</v>
      </c>
    </row>
    <row r="5431" spans="1:12">
      <c r="A5431" s="1">
        <v>46044</v>
      </c>
      <c r="B5431" t="s">
        <v>6664</v>
      </c>
      <c r="C5431">
        <v>12</v>
      </c>
      <c r="D5431" t="str">
        <f>VLOOKUP(Tabela26[[#This Row],[EMP]],[1]LOJA!$A:$B,2,0)</f>
        <v>SOFNORTE</v>
      </c>
      <c r="E5431">
        <v>60</v>
      </c>
      <c r="F5431" t="s">
        <v>3706</v>
      </c>
      <c r="G5431" t="s">
        <v>3402</v>
      </c>
      <c r="H5431" t="s">
        <v>3408</v>
      </c>
      <c r="I5431">
        <v>5405</v>
      </c>
      <c r="J5431" s="3">
        <v>65</v>
      </c>
      <c r="K5431" s="3">
        <v>31.61</v>
      </c>
      <c r="L5431">
        <v>51.37</v>
      </c>
    </row>
    <row r="5432" spans="1:12">
      <c r="A5432" s="1">
        <v>46044</v>
      </c>
      <c r="B5432" t="s">
        <v>6663</v>
      </c>
      <c r="C5432">
        <v>12</v>
      </c>
      <c r="D5432" t="str">
        <f>VLOOKUP(Tabela26[[#This Row],[EMP]],[1]LOJA!$A:$B,2,0)</f>
        <v>SOFNORTE</v>
      </c>
      <c r="E5432">
        <v>60</v>
      </c>
      <c r="F5432" t="s">
        <v>3709</v>
      </c>
      <c r="G5432" t="s">
        <v>3708</v>
      </c>
      <c r="H5432" t="s">
        <v>3401</v>
      </c>
      <c r="I5432">
        <v>5102</v>
      </c>
      <c r="J5432" s="3">
        <v>99</v>
      </c>
      <c r="K5432" s="3">
        <v>54.33</v>
      </c>
      <c r="L5432">
        <v>45.12</v>
      </c>
    </row>
    <row r="5433" spans="1:12">
      <c r="A5433" s="1">
        <v>46044</v>
      </c>
      <c r="B5433" t="s">
        <v>6662</v>
      </c>
      <c r="C5433">
        <v>12</v>
      </c>
      <c r="D5433" t="str">
        <f>VLOOKUP(Tabela26[[#This Row],[EMP]],[1]LOJA!$A:$B,2,0)</f>
        <v>SOFNORTE</v>
      </c>
      <c r="E5433">
        <v>239</v>
      </c>
      <c r="F5433" t="s">
        <v>3698</v>
      </c>
      <c r="G5433" t="s">
        <v>3697</v>
      </c>
      <c r="H5433" t="s">
        <v>3408</v>
      </c>
      <c r="I5433">
        <v>5102</v>
      </c>
      <c r="J5433" s="3">
        <v>40</v>
      </c>
      <c r="K5433" s="3">
        <v>14.4</v>
      </c>
      <c r="L5433">
        <v>64</v>
      </c>
    </row>
    <row r="5434" spans="1:12">
      <c r="A5434" s="1">
        <v>46044</v>
      </c>
      <c r="B5434" t="s">
        <v>6661</v>
      </c>
      <c r="C5434">
        <v>12</v>
      </c>
      <c r="D5434" t="str">
        <f>VLOOKUP(Tabela26[[#This Row],[EMP]],[1]LOJA!$A:$B,2,0)</f>
        <v>SOFNORTE</v>
      </c>
      <c r="E5434">
        <v>60</v>
      </c>
      <c r="F5434" t="s">
        <v>3691</v>
      </c>
      <c r="G5434" t="s">
        <v>3690</v>
      </c>
      <c r="H5434" t="s">
        <v>6563</v>
      </c>
      <c r="I5434">
        <v>5102</v>
      </c>
      <c r="J5434" s="3">
        <v>37.4</v>
      </c>
      <c r="K5434" s="3">
        <v>18.440000000000001</v>
      </c>
      <c r="L5434">
        <v>50.7</v>
      </c>
    </row>
    <row r="5435" spans="1:12">
      <c r="A5435" s="1">
        <v>46044</v>
      </c>
      <c r="B5435" t="s">
        <v>6660</v>
      </c>
      <c r="C5435">
        <v>12</v>
      </c>
      <c r="D5435" t="str">
        <f>VLOOKUP(Tabela26[[#This Row],[EMP]],[1]LOJA!$A:$B,2,0)</f>
        <v>SOFNORTE</v>
      </c>
      <c r="E5435">
        <v>239</v>
      </c>
      <c r="F5435" t="s">
        <v>3715</v>
      </c>
      <c r="G5435" t="s">
        <v>3714</v>
      </c>
      <c r="H5435" t="s">
        <v>3401</v>
      </c>
      <c r="I5435">
        <v>5405</v>
      </c>
      <c r="J5435" s="3">
        <v>112</v>
      </c>
      <c r="K5435" s="3">
        <v>53.06</v>
      </c>
      <c r="L5435">
        <v>52.63</v>
      </c>
    </row>
    <row r="5436" spans="1:12">
      <c r="A5436" s="1">
        <v>46044</v>
      </c>
      <c r="B5436" t="s">
        <v>6659</v>
      </c>
      <c r="C5436">
        <v>12</v>
      </c>
      <c r="D5436" t="str">
        <f>VLOOKUP(Tabela26[[#This Row],[EMP]],[1]LOJA!$A:$B,2,0)</f>
        <v>SOFNORTE</v>
      </c>
      <c r="E5436">
        <v>239</v>
      </c>
      <c r="F5436" t="s">
        <v>3722</v>
      </c>
      <c r="G5436" t="s">
        <v>3721</v>
      </c>
      <c r="H5436" t="s">
        <v>3401</v>
      </c>
      <c r="I5436">
        <v>5102</v>
      </c>
      <c r="J5436" s="3">
        <v>178</v>
      </c>
      <c r="K5436" s="3">
        <v>88.73</v>
      </c>
      <c r="L5436">
        <v>50.15</v>
      </c>
    </row>
    <row r="5437" spans="1:12">
      <c r="A5437" s="1">
        <v>46044</v>
      </c>
      <c r="B5437" t="s">
        <v>6658</v>
      </c>
      <c r="C5437">
        <v>14</v>
      </c>
      <c r="D5437" t="str">
        <f>VLOOKUP(Tabela26[[#This Row],[EMP]],[1]LOJA!$A:$B,2,0)</f>
        <v>S IA</v>
      </c>
      <c r="E5437">
        <v>54</v>
      </c>
      <c r="F5437" t="s">
        <v>6657</v>
      </c>
      <c r="G5437" t="s">
        <v>6656</v>
      </c>
      <c r="H5437" t="s">
        <v>3408</v>
      </c>
      <c r="I5437">
        <v>5405</v>
      </c>
      <c r="J5437" s="3">
        <v>50</v>
      </c>
      <c r="K5437" s="3">
        <v>25.52</v>
      </c>
      <c r="L5437">
        <v>48.96</v>
      </c>
    </row>
    <row r="5438" spans="1:12">
      <c r="A5438" s="1">
        <v>46044</v>
      </c>
      <c r="B5438" t="s">
        <v>6655</v>
      </c>
      <c r="C5438">
        <v>14</v>
      </c>
      <c r="D5438" t="str">
        <f>VLOOKUP(Tabela26[[#This Row],[EMP]],[1]LOJA!$A:$B,2,0)</f>
        <v>S IA</v>
      </c>
      <c r="E5438">
        <v>212</v>
      </c>
      <c r="F5438" t="s">
        <v>6654</v>
      </c>
      <c r="G5438" t="s">
        <v>6653</v>
      </c>
      <c r="H5438" t="s">
        <v>3401</v>
      </c>
      <c r="I5438">
        <v>5102</v>
      </c>
      <c r="J5438" s="3">
        <v>172.8</v>
      </c>
      <c r="K5438" s="3">
        <v>112.78</v>
      </c>
      <c r="L5438">
        <v>34.729999999999997</v>
      </c>
    </row>
    <row r="5439" spans="1:12">
      <c r="A5439" s="1">
        <v>46044</v>
      </c>
      <c r="B5439" t="s">
        <v>6652</v>
      </c>
      <c r="C5439">
        <v>14</v>
      </c>
      <c r="D5439" t="str">
        <f>VLOOKUP(Tabela26[[#This Row],[EMP]],[1]LOJA!$A:$B,2,0)</f>
        <v>S IA</v>
      </c>
      <c r="E5439">
        <v>212</v>
      </c>
      <c r="F5439" t="s">
        <v>5642</v>
      </c>
      <c r="G5439" t="s">
        <v>5641</v>
      </c>
      <c r="H5439" t="s">
        <v>3401</v>
      </c>
      <c r="I5439">
        <v>5405</v>
      </c>
      <c r="J5439" s="3">
        <v>152</v>
      </c>
      <c r="K5439" s="3">
        <v>74.36</v>
      </c>
      <c r="L5439">
        <v>51.08</v>
      </c>
    </row>
    <row r="5440" spans="1:12">
      <c r="A5440" s="1">
        <v>46044</v>
      </c>
      <c r="B5440" t="s">
        <v>6651</v>
      </c>
      <c r="C5440">
        <v>14</v>
      </c>
      <c r="D5440" t="str">
        <f>VLOOKUP(Tabela26[[#This Row],[EMP]],[1]LOJA!$A:$B,2,0)</f>
        <v>S IA</v>
      </c>
      <c r="E5440">
        <v>54</v>
      </c>
      <c r="F5440" t="s">
        <v>3403</v>
      </c>
      <c r="G5440" t="s">
        <v>3402</v>
      </c>
      <c r="H5440" t="s">
        <v>3401</v>
      </c>
      <c r="I5440">
        <v>5102</v>
      </c>
      <c r="J5440" s="3">
        <v>325.89999999999998</v>
      </c>
      <c r="K5440" s="3">
        <v>158.27000000000001</v>
      </c>
      <c r="L5440">
        <v>51.44</v>
      </c>
    </row>
    <row r="5441" spans="1:12">
      <c r="A5441" s="1">
        <v>46044</v>
      </c>
      <c r="B5441" t="s">
        <v>6650</v>
      </c>
      <c r="C5441">
        <v>14</v>
      </c>
      <c r="D5441" t="str">
        <f>VLOOKUP(Tabela26[[#This Row],[EMP]],[1]LOJA!$A:$B,2,0)</f>
        <v>S IA</v>
      </c>
      <c r="E5441">
        <v>54</v>
      </c>
      <c r="F5441" t="s">
        <v>6649</v>
      </c>
      <c r="G5441" t="s">
        <v>6648</v>
      </c>
      <c r="H5441" t="s">
        <v>3401</v>
      </c>
      <c r="I5441">
        <v>5102</v>
      </c>
      <c r="J5441" s="3">
        <v>19</v>
      </c>
      <c r="K5441" s="3">
        <v>10.46</v>
      </c>
      <c r="L5441">
        <v>44.95</v>
      </c>
    </row>
    <row r="5442" spans="1:12">
      <c r="A5442" s="1">
        <v>46044</v>
      </c>
      <c r="B5442" t="s">
        <v>6647</v>
      </c>
      <c r="C5442">
        <v>14</v>
      </c>
      <c r="D5442" t="str">
        <f>VLOOKUP(Tabela26[[#This Row],[EMP]],[1]LOJA!$A:$B,2,0)</f>
        <v>S IA</v>
      </c>
      <c r="E5442">
        <v>212</v>
      </c>
      <c r="F5442" t="s">
        <v>3403</v>
      </c>
      <c r="G5442" t="s">
        <v>3402</v>
      </c>
      <c r="H5442" t="s">
        <v>3401</v>
      </c>
      <c r="I5442">
        <v>5405</v>
      </c>
      <c r="J5442" s="3">
        <v>45</v>
      </c>
      <c r="K5442" s="3">
        <v>17.2</v>
      </c>
      <c r="L5442">
        <v>61.78</v>
      </c>
    </row>
    <row r="5443" spans="1:12">
      <c r="A5443" s="1">
        <v>46044</v>
      </c>
      <c r="B5443" t="s">
        <v>6646</v>
      </c>
      <c r="C5443">
        <v>14</v>
      </c>
      <c r="D5443" t="str">
        <f>VLOOKUP(Tabela26[[#This Row],[EMP]],[1]LOJA!$A:$B,2,0)</f>
        <v>S IA</v>
      </c>
      <c r="E5443">
        <v>54</v>
      </c>
      <c r="F5443" t="s">
        <v>6645</v>
      </c>
      <c r="G5443" t="s">
        <v>3402</v>
      </c>
      <c r="H5443" t="s">
        <v>3401</v>
      </c>
      <c r="I5443">
        <v>5102</v>
      </c>
      <c r="J5443" s="3">
        <v>70</v>
      </c>
      <c r="K5443" s="3">
        <v>33.92</v>
      </c>
      <c r="L5443">
        <v>51.54</v>
      </c>
    </row>
    <row r="5444" spans="1:12">
      <c r="A5444" s="1">
        <v>46044</v>
      </c>
      <c r="B5444" t="s">
        <v>6644</v>
      </c>
      <c r="C5444">
        <v>14</v>
      </c>
      <c r="D5444" t="str">
        <f>VLOOKUP(Tabela26[[#This Row],[EMP]],[1]LOJA!$A:$B,2,0)</f>
        <v>S IA</v>
      </c>
      <c r="E5444">
        <v>212</v>
      </c>
      <c r="F5444" t="s">
        <v>3992</v>
      </c>
      <c r="G5444" t="s">
        <v>3402</v>
      </c>
      <c r="H5444" t="s">
        <v>3408</v>
      </c>
      <c r="I5444">
        <v>5405</v>
      </c>
      <c r="J5444" s="3">
        <v>50</v>
      </c>
      <c r="K5444" s="3">
        <v>26.36</v>
      </c>
      <c r="L5444">
        <v>47.28</v>
      </c>
    </row>
    <row r="5445" spans="1:12">
      <c r="A5445" s="1">
        <v>46044</v>
      </c>
      <c r="B5445" t="s">
        <v>6643</v>
      </c>
      <c r="C5445">
        <v>14</v>
      </c>
      <c r="D5445" t="str">
        <f>VLOOKUP(Tabela26[[#This Row],[EMP]],[1]LOJA!$A:$B,2,0)</f>
        <v>S IA</v>
      </c>
      <c r="E5445">
        <v>212</v>
      </c>
      <c r="F5445" t="s">
        <v>3403</v>
      </c>
      <c r="G5445" t="s">
        <v>3402</v>
      </c>
      <c r="H5445" t="s">
        <v>3401</v>
      </c>
      <c r="I5445">
        <v>5405</v>
      </c>
      <c r="J5445" s="3">
        <v>42</v>
      </c>
      <c r="K5445" s="3">
        <v>20.71</v>
      </c>
      <c r="L5445">
        <v>50.69</v>
      </c>
    </row>
    <row r="5446" spans="1:12">
      <c r="A5446" s="1">
        <v>46044</v>
      </c>
      <c r="B5446" t="s">
        <v>6642</v>
      </c>
      <c r="C5446">
        <v>14</v>
      </c>
      <c r="D5446" t="str">
        <f>VLOOKUP(Tabela26[[#This Row],[EMP]],[1]LOJA!$A:$B,2,0)</f>
        <v>S IA</v>
      </c>
      <c r="E5446">
        <v>212</v>
      </c>
      <c r="F5446" t="s">
        <v>3403</v>
      </c>
      <c r="G5446" t="s">
        <v>3402</v>
      </c>
      <c r="H5446" t="s">
        <v>3401</v>
      </c>
      <c r="I5446">
        <v>5405</v>
      </c>
      <c r="J5446" s="3">
        <v>230</v>
      </c>
      <c r="K5446" s="3">
        <v>121.32</v>
      </c>
      <c r="L5446">
        <v>47.25</v>
      </c>
    </row>
    <row r="5447" spans="1:12">
      <c r="A5447" s="1">
        <v>46044</v>
      </c>
      <c r="B5447" t="s">
        <v>6641</v>
      </c>
      <c r="C5447">
        <v>4</v>
      </c>
      <c r="D5447" t="str">
        <f>VLOOKUP(Tabela26[[#This Row],[EMP]],[1]LOJA!$A:$B,2,0)</f>
        <v>ADE</v>
      </c>
      <c r="E5447">
        <v>132</v>
      </c>
      <c r="F5447" t="s">
        <v>3677</v>
      </c>
      <c r="G5447" t="s">
        <v>3676</v>
      </c>
      <c r="H5447" t="s">
        <v>4249</v>
      </c>
      <c r="I5447">
        <v>5405</v>
      </c>
      <c r="J5447" s="3">
        <v>534.5</v>
      </c>
      <c r="K5447" s="3">
        <v>272.33</v>
      </c>
      <c r="L5447">
        <v>49.05</v>
      </c>
    </row>
    <row r="5448" spans="1:12">
      <c r="A5448" s="1">
        <v>46044</v>
      </c>
      <c r="B5448" t="s">
        <v>6640</v>
      </c>
      <c r="C5448">
        <v>4</v>
      </c>
      <c r="D5448" t="str">
        <f>VLOOKUP(Tabela26[[#This Row],[EMP]],[1]LOJA!$A:$B,2,0)</f>
        <v>ADE</v>
      </c>
      <c r="E5448">
        <v>132</v>
      </c>
      <c r="F5448" t="s">
        <v>3677</v>
      </c>
      <c r="G5448" t="s">
        <v>3676</v>
      </c>
      <c r="H5448" t="s">
        <v>4249</v>
      </c>
      <c r="I5448">
        <v>5102</v>
      </c>
      <c r="J5448" s="3">
        <v>828.8</v>
      </c>
      <c r="K5448" s="3">
        <v>499.57</v>
      </c>
      <c r="L5448">
        <v>39.72</v>
      </c>
    </row>
    <row r="5449" spans="1:12">
      <c r="A5449" s="1">
        <v>46044</v>
      </c>
      <c r="B5449" t="s">
        <v>6639</v>
      </c>
      <c r="C5449">
        <v>4</v>
      </c>
      <c r="D5449" t="str">
        <f>VLOOKUP(Tabela26[[#This Row],[EMP]],[1]LOJA!$A:$B,2,0)</f>
        <v>ADE</v>
      </c>
      <c r="E5449">
        <v>132</v>
      </c>
      <c r="F5449" t="s">
        <v>3657</v>
      </c>
      <c r="G5449" t="s">
        <v>3656</v>
      </c>
      <c r="H5449" t="s">
        <v>3430</v>
      </c>
      <c r="I5449">
        <v>5102</v>
      </c>
      <c r="J5449" s="3">
        <v>138</v>
      </c>
      <c r="K5449" s="3">
        <v>83.2</v>
      </c>
      <c r="L5449">
        <v>39.71</v>
      </c>
    </row>
    <row r="5450" spans="1:12">
      <c r="A5450" s="1">
        <v>46044</v>
      </c>
      <c r="B5450" t="s">
        <v>6638</v>
      </c>
      <c r="C5450">
        <v>4</v>
      </c>
      <c r="D5450" t="str">
        <f>VLOOKUP(Tabela26[[#This Row],[EMP]],[1]LOJA!$A:$B,2,0)</f>
        <v>ADE</v>
      </c>
      <c r="E5450">
        <v>132</v>
      </c>
      <c r="F5450" t="s">
        <v>3660</v>
      </c>
      <c r="G5450" t="s">
        <v>3659</v>
      </c>
      <c r="H5450" t="s">
        <v>3430</v>
      </c>
      <c r="I5450">
        <v>5405</v>
      </c>
      <c r="J5450" s="3">
        <v>56.7</v>
      </c>
      <c r="K5450" s="3">
        <v>24.31</v>
      </c>
      <c r="L5450">
        <v>57.13</v>
      </c>
    </row>
    <row r="5451" spans="1:12">
      <c r="A5451" s="1">
        <v>46044</v>
      </c>
      <c r="B5451" t="s">
        <v>6637</v>
      </c>
      <c r="C5451">
        <v>4</v>
      </c>
      <c r="D5451" t="str">
        <f>VLOOKUP(Tabela26[[#This Row],[EMP]],[1]LOJA!$A:$B,2,0)</f>
        <v>ADE</v>
      </c>
      <c r="E5451">
        <v>132</v>
      </c>
      <c r="F5451" t="s">
        <v>3664</v>
      </c>
      <c r="G5451" t="s">
        <v>3663</v>
      </c>
      <c r="H5451" t="s">
        <v>3430</v>
      </c>
      <c r="I5451">
        <v>5405</v>
      </c>
      <c r="J5451" s="3">
        <v>95</v>
      </c>
      <c r="K5451" s="3">
        <v>43.7</v>
      </c>
      <c r="L5451">
        <v>54</v>
      </c>
    </row>
    <row r="5452" spans="1:12">
      <c r="A5452" s="1">
        <v>46044</v>
      </c>
      <c r="B5452" t="s">
        <v>6636</v>
      </c>
      <c r="C5452">
        <v>13</v>
      </c>
      <c r="D5452" t="str">
        <f>VLOOKUP(Tabela26[[#This Row],[EMP]],[1]LOJA!$A:$B,2,0)</f>
        <v>CEILÂNDIA</v>
      </c>
      <c r="E5452">
        <v>86</v>
      </c>
      <c r="F5452" t="s">
        <v>3403</v>
      </c>
      <c r="G5452" t="s">
        <v>3402</v>
      </c>
      <c r="H5452" t="s">
        <v>3401</v>
      </c>
      <c r="I5452">
        <v>5102</v>
      </c>
      <c r="J5452" s="3">
        <v>30</v>
      </c>
      <c r="K5452" s="3">
        <v>13.76</v>
      </c>
      <c r="L5452">
        <v>54.13</v>
      </c>
    </row>
    <row r="5453" spans="1:12">
      <c r="A5453" s="1">
        <v>46044</v>
      </c>
      <c r="B5453" t="s">
        <v>6635</v>
      </c>
      <c r="C5453">
        <v>13</v>
      </c>
      <c r="D5453" t="str">
        <f>VLOOKUP(Tabela26[[#This Row],[EMP]],[1]LOJA!$A:$B,2,0)</f>
        <v>CEILÂNDIA</v>
      </c>
      <c r="E5453">
        <v>33</v>
      </c>
      <c r="F5453" t="s">
        <v>3403</v>
      </c>
      <c r="G5453" t="s">
        <v>3402</v>
      </c>
      <c r="H5453" t="s">
        <v>3401</v>
      </c>
      <c r="I5453">
        <v>5102</v>
      </c>
      <c r="J5453" s="3">
        <v>15</v>
      </c>
      <c r="K5453" s="3">
        <v>9.26</v>
      </c>
      <c r="L5453">
        <v>38.270000000000003</v>
      </c>
    </row>
    <row r="5454" spans="1:12">
      <c r="A5454" s="1">
        <v>46044</v>
      </c>
      <c r="B5454" t="s">
        <v>6634</v>
      </c>
      <c r="C5454">
        <v>13</v>
      </c>
      <c r="D5454" t="str">
        <f>VLOOKUP(Tabela26[[#This Row],[EMP]],[1]LOJA!$A:$B,2,0)</f>
        <v>CEILÂNDIA</v>
      </c>
      <c r="E5454">
        <v>86</v>
      </c>
      <c r="F5454" t="s">
        <v>6633</v>
      </c>
      <c r="G5454" t="s">
        <v>3402</v>
      </c>
      <c r="H5454" t="s">
        <v>3401</v>
      </c>
      <c r="I5454">
        <v>5405</v>
      </c>
      <c r="J5454" s="3">
        <v>300</v>
      </c>
      <c r="K5454" s="3">
        <v>123.06</v>
      </c>
      <c r="L5454">
        <v>58.98</v>
      </c>
    </row>
    <row r="5455" spans="1:12">
      <c r="A5455" s="1">
        <v>46044</v>
      </c>
      <c r="B5455" t="s">
        <v>6632</v>
      </c>
      <c r="C5455">
        <v>13</v>
      </c>
      <c r="D5455" t="str">
        <f>VLOOKUP(Tabela26[[#This Row],[EMP]],[1]LOJA!$A:$B,2,0)</f>
        <v>CEILÂNDIA</v>
      </c>
      <c r="E5455">
        <v>86</v>
      </c>
      <c r="F5455" t="s">
        <v>3605</v>
      </c>
      <c r="G5455" t="s">
        <v>3604</v>
      </c>
      <c r="H5455" t="s">
        <v>6497</v>
      </c>
      <c r="I5455">
        <v>5405</v>
      </c>
      <c r="J5455" s="3">
        <v>62</v>
      </c>
      <c r="K5455" s="3">
        <v>34.36</v>
      </c>
      <c r="L5455">
        <v>44.58</v>
      </c>
    </row>
    <row r="5456" spans="1:12">
      <c r="A5456" s="1">
        <v>46044</v>
      </c>
      <c r="B5456" t="s">
        <v>6631</v>
      </c>
      <c r="C5456">
        <v>13</v>
      </c>
      <c r="D5456" t="str">
        <f>VLOOKUP(Tabela26[[#This Row],[EMP]],[1]LOJA!$A:$B,2,0)</f>
        <v>CEILÂNDIA</v>
      </c>
      <c r="E5456">
        <v>86</v>
      </c>
      <c r="F5456" t="s">
        <v>3605</v>
      </c>
      <c r="G5456" t="s">
        <v>3604</v>
      </c>
      <c r="H5456" t="s">
        <v>6497</v>
      </c>
      <c r="I5456">
        <v>5102</v>
      </c>
      <c r="J5456" s="3">
        <v>36</v>
      </c>
      <c r="K5456" s="3">
        <v>17.77</v>
      </c>
      <c r="L5456">
        <v>50.64</v>
      </c>
    </row>
    <row r="5457" spans="1:12">
      <c r="A5457" s="1">
        <v>46044</v>
      </c>
      <c r="B5457" t="s">
        <v>6630</v>
      </c>
      <c r="C5457">
        <v>13</v>
      </c>
      <c r="D5457" t="str">
        <f>VLOOKUP(Tabela26[[#This Row],[EMP]],[1]LOJA!$A:$B,2,0)</f>
        <v>CEILÂNDIA</v>
      </c>
      <c r="E5457">
        <v>33</v>
      </c>
      <c r="F5457" t="s">
        <v>3602</v>
      </c>
      <c r="G5457" t="s">
        <v>3601</v>
      </c>
      <c r="H5457" t="s">
        <v>3408</v>
      </c>
      <c r="I5457">
        <v>5405</v>
      </c>
      <c r="J5457" s="3">
        <v>276</v>
      </c>
      <c r="K5457" s="3">
        <v>110.93</v>
      </c>
      <c r="L5457">
        <v>59.81</v>
      </c>
    </row>
    <row r="5458" spans="1:12">
      <c r="A5458" s="1">
        <v>46044</v>
      </c>
      <c r="B5458" t="s">
        <v>6629</v>
      </c>
      <c r="C5458">
        <v>13</v>
      </c>
      <c r="D5458" t="str">
        <f>VLOOKUP(Tabela26[[#This Row],[EMP]],[1]LOJA!$A:$B,2,0)</f>
        <v>CEILÂNDIA</v>
      </c>
      <c r="E5458">
        <v>86</v>
      </c>
      <c r="F5458" t="s">
        <v>4346</v>
      </c>
      <c r="G5458" t="s">
        <v>4345</v>
      </c>
      <c r="H5458" t="s">
        <v>3408</v>
      </c>
      <c r="I5458">
        <v>5405</v>
      </c>
      <c r="J5458" s="3">
        <v>210</v>
      </c>
      <c r="K5458" s="3">
        <v>120.27</v>
      </c>
      <c r="L5458">
        <v>42.73</v>
      </c>
    </row>
    <row r="5459" spans="1:12">
      <c r="A5459" s="1">
        <v>46044</v>
      </c>
      <c r="B5459" t="s">
        <v>6628</v>
      </c>
      <c r="C5459">
        <v>13</v>
      </c>
      <c r="D5459" t="str">
        <f>VLOOKUP(Tabela26[[#This Row],[EMP]],[1]LOJA!$A:$B,2,0)</f>
        <v>CEILÂNDIA</v>
      </c>
      <c r="E5459">
        <v>86</v>
      </c>
      <c r="F5459" t="s">
        <v>3403</v>
      </c>
      <c r="G5459" t="s">
        <v>3402</v>
      </c>
      <c r="H5459" t="s">
        <v>3401</v>
      </c>
      <c r="I5459">
        <v>5102</v>
      </c>
      <c r="J5459" s="3">
        <v>100</v>
      </c>
      <c r="K5459" s="3">
        <v>51.68</v>
      </c>
      <c r="L5459">
        <v>48.32</v>
      </c>
    </row>
    <row r="5460" spans="1:12">
      <c r="A5460" s="1">
        <v>46044</v>
      </c>
      <c r="B5460" t="s">
        <v>6627</v>
      </c>
      <c r="C5460">
        <v>13</v>
      </c>
      <c r="D5460" t="str">
        <f>VLOOKUP(Tabela26[[#This Row],[EMP]],[1]LOJA!$A:$B,2,0)</f>
        <v>CEILÂNDIA</v>
      </c>
      <c r="E5460">
        <v>86</v>
      </c>
      <c r="F5460" t="s">
        <v>4346</v>
      </c>
      <c r="G5460" t="s">
        <v>4345</v>
      </c>
      <c r="H5460" t="s">
        <v>3408</v>
      </c>
      <c r="I5460">
        <v>5405</v>
      </c>
      <c r="J5460" s="3">
        <v>209.8</v>
      </c>
      <c r="K5460" s="3">
        <v>123.12</v>
      </c>
      <c r="L5460">
        <v>41.32</v>
      </c>
    </row>
    <row r="5461" spans="1:12">
      <c r="A5461" s="1">
        <v>46044</v>
      </c>
      <c r="B5461" t="s">
        <v>6626</v>
      </c>
      <c r="C5461">
        <v>13</v>
      </c>
      <c r="D5461" t="str">
        <f>VLOOKUP(Tabela26[[#This Row],[EMP]],[1]LOJA!$A:$B,2,0)</f>
        <v>CEILÂNDIA</v>
      </c>
      <c r="E5461">
        <v>86</v>
      </c>
      <c r="F5461" t="s">
        <v>6625</v>
      </c>
      <c r="G5461" t="s">
        <v>6624</v>
      </c>
      <c r="H5461" t="s">
        <v>6497</v>
      </c>
      <c r="I5461">
        <v>5102</v>
      </c>
      <c r="J5461" s="3">
        <v>15</v>
      </c>
      <c r="K5461" s="3">
        <v>8.14</v>
      </c>
      <c r="L5461">
        <v>45.73</v>
      </c>
    </row>
    <row r="5462" spans="1:12">
      <c r="A5462" s="1">
        <v>46044</v>
      </c>
      <c r="B5462" t="s">
        <v>6623</v>
      </c>
      <c r="C5462">
        <v>13</v>
      </c>
      <c r="D5462" t="str">
        <f>VLOOKUP(Tabela26[[#This Row],[EMP]],[1]LOJA!$A:$B,2,0)</f>
        <v>CEILÂNDIA</v>
      </c>
      <c r="E5462">
        <v>86</v>
      </c>
      <c r="F5462" t="s">
        <v>3640</v>
      </c>
      <c r="G5462" t="s">
        <v>3639</v>
      </c>
      <c r="H5462" t="s">
        <v>3401</v>
      </c>
      <c r="I5462">
        <v>5102</v>
      </c>
      <c r="J5462" s="3">
        <v>100</v>
      </c>
      <c r="K5462" s="3">
        <v>65.38</v>
      </c>
      <c r="L5462">
        <v>34.619999999999997</v>
      </c>
    </row>
    <row r="5463" spans="1:12">
      <c r="A5463" s="1">
        <v>46044</v>
      </c>
      <c r="B5463" t="s">
        <v>6622</v>
      </c>
      <c r="C5463">
        <v>13</v>
      </c>
      <c r="D5463" t="str">
        <f>VLOOKUP(Tabela26[[#This Row],[EMP]],[1]LOJA!$A:$B,2,0)</f>
        <v>CEILÂNDIA</v>
      </c>
      <c r="E5463">
        <v>86</v>
      </c>
      <c r="F5463" t="s">
        <v>3406</v>
      </c>
      <c r="G5463" t="s">
        <v>3405</v>
      </c>
      <c r="H5463" t="s">
        <v>3408</v>
      </c>
      <c r="I5463">
        <v>5405</v>
      </c>
      <c r="J5463" s="3">
        <v>240</v>
      </c>
      <c r="K5463" s="3">
        <v>123.56</v>
      </c>
      <c r="L5463">
        <v>48.52</v>
      </c>
    </row>
    <row r="5464" spans="1:12">
      <c r="A5464" s="1">
        <v>46044</v>
      </c>
      <c r="B5464" t="s">
        <v>6621</v>
      </c>
      <c r="C5464">
        <v>13</v>
      </c>
      <c r="D5464" t="str">
        <f>VLOOKUP(Tabela26[[#This Row],[EMP]],[1]LOJA!$A:$B,2,0)</f>
        <v>CEILÂNDIA</v>
      </c>
      <c r="E5464">
        <v>86</v>
      </c>
      <c r="F5464" t="s">
        <v>3403</v>
      </c>
      <c r="G5464" t="s">
        <v>3402</v>
      </c>
      <c r="H5464" t="s">
        <v>3401</v>
      </c>
      <c r="I5464">
        <v>5102</v>
      </c>
      <c r="J5464" s="3">
        <v>69.900000000000006</v>
      </c>
      <c r="K5464" s="3">
        <v>23.58</v>
      </c>
      <c r="L5464">
        <v>66.27</v>
      </c>
    </row>
    <row r="5465" spans="1:12">
      <c r="A5465" s="1">
        <v>46044</v>
      </c>
      <c r="B5465" t="s">
        <v>6620</v>
      </c>
      <c r="C5465">
        <v>13</v>
      </c>
      <c r="D5465" t="str">
        <f>VLOOKUP(Tabela26[[#This Row],[EMP]],[1]LOJA!$A:$B,2,0)</f>
        <v>CEILÂNDIA</v>
      </c>
      <c r="E5465">
        <v>86</v>
      </c>
      <c r="F5465" t="s">
        <v>3615</v>
      </c>
      <c r="G5465" t="s">
        <v>3614</v>
      </c>
      <c r="H5465" t="s">
        <v>6497</v>
      </c>
      <c r="I5465">
        <v>5102</v>
      </c>
      <c r="J5465" s="3">
        <v>22.5</v>
      </c>
      <c r="K5465" s="3">
        <v>15.4</v>
      </c>
      <c r="L5465">
        <v>31.56</v>
      </c>
    </row>
    <row r="5466" spans="1:12">
      <c r="A5466" s="1">
        <v>46044</v>
      </c>
      <c r="B5466" t="s">
        <v>6619</v>
      </c>
      <c r="C5466">
        <v>13</v>
      </c>
      <c r="D5466" t="str">
        <f>VLOOKUP(Tabela26[[#This Row],[EMP]],[1]LOJA!$A:$B,2,0)</f>
        <v>CEILÂNDIA</v>
      </c>
      <c r="E5466">
        <v>86</v>
      </c>
      <c r="F5466" t="s">
        <v>6618</v>
      </c>
      <c r="G5466" t="s">
        <v>3402</v>
      </c>
      <c r="H5466" t="s">
        <v>3408</v>
      </c>
      <c r="I5466">
        <v>5405</v>
      </c>
      <c r="J5466" s="3">
        <v>65</v>
      </c>
      <c r="K5466" s="3">
        <v>33.880000000000003</v>
      </c>
      <c r="L5466">
        <v>47.88</v>
      </c>
    </row>
    <row r="5467" spans="1:12">
      <c r="A5467" s="1">
        <v>46044</v>
      </c>
      <c r="B5467" t="s">
        <v>6617</v>
      </c>
      <c r="C5467">
        <v>13</v>
      </c>
      <c r="D5467" t="str">
        <f>VLOOKUP(Tabela26[[#This Row],[EMP]],[1]LOJA!$A:$B,2,0)</f>
        <v>CEILÂNDIA</v>
      </c>
      <c r="E5467">
        <v>86</v>
      </c>
      <c r="F5467" t="s">
        <v>3403</v>
      </c>
      <c r="G5467" t="s">
        <v>3402</v>
      </c>
      <c r="H5467" t="s">
        <v>3401</v>
      </c>
      <c r="I5467">
        <v>5102</v>
      </c>
      <c r="J5467" s="3">
        <v>34.9</v>
      </c>
      <c r="K5467" s="3">
        <v>18.62</v>
      </c>
      <c r="L5467">
        <v>46.65</v>
      </c>
    </row>
    <row r="5468" spans="1:12">
      <c r="A5468" s="1">
        <v>46044</v>
      </c>
      <c r="B5468" t="s">
        <v>6616</v>
      </c>
      <c r="C5468">
        <v>13</v>
      </c>
      <c r="D5468" t="str">
        <f>VLOOKUP(Tabela26[[#This Row],[EMP]],[1]LOJA!$A:$B,2,0)</f>
        <v>CEILÂNDIA</v>
      </c>
      <c r="E5468">
        <v>86</v>
      </c>
      <c r="F5468" t="s">
        <v>3640</v>
      </c>
      <c r="G5468" t="s">
        <v>3639</v>
      </c>
      <c r="H5468" t="s">
        <v>3408</v>
      </c>
      <c r="I5468">
        <v>5102</v>
      </c>
      <c r="J5468" s="3">
        <v>59</v>
      </c>
      <c r="K5468" s="3">
        <v>27.64</v>
      </c>
      <c r="L5468">
        <v>53.15</v>
      </c>
    </row>
    <row r="5469" spans="1:12">
      <c r="A5469" s="1">
        <v>46044</v>
      </c>
      <c r="B5469" t="s">
        <v>6615</v>
      </c>
      <c r="C5469">
        <v>13</v>
      </c>
      <c r="D5469" t="str">
        <f>VLOOKUP(Tabela26[[#This Row],[EMP]],[1]LOJA!$A:$B,2,0)</f>
        <v>CEILÂNDIA</v>
      </c>
      <c r="E5469">
        <v>86</v>
      </c>
      <c r="F5469" t="s">
        <v>6614</v>
      </c>
      <c r="G5469" t="s">
        <v>3402</v>
      </c>
      <c r="H5469" t="s">
        <v>3408</v>
      </c>
      <c r="I5469">
        <v>5405</v>
      </c>
      <c r="J5469" s="3">
        <v>230</v>
      </c>
      <c r="K5469" s="3">
        <v>116.76</v>
      </c>
      <c r="L5469">
        <v>49.23</v>
      </c>
    </row>
    <row r="5470" spans="1:12">
      <c r="A5470" s="1">
        <v>46044</v>
      </c>
      <c r="B5470" t="s">
        <v>6613</v>
      </c>
      <c r="C5470">
        <v>13</v>
      </c>
      <c r="D5470" t="str">
        <f>VLOOKUP(Tabela26[[#This Row],[EMP]],[1]LOJA!$A:$B,2,0)</f>
        <v>CEILÂNDIA</v>
      </c>
      <c r="E5470">
        <v>86</v>
      </c>
      <c r="F5470" t="s">
        <v>3403</v>
      </c>
      <c r="G5470" t="s">
        <v>3402</v>
      </c>
      <c r="H5470" t="s">
        <v>3401</v>
      </c>
      <c r="I5470">
        <v>5405</v>
      </c>
      <c r="J5470" s="3">
        <v>29.9</v>
      </c>
      <c r="K5470" s="3">
        <v>12.19</v>
      </c>
      <c r="L5470">
        <v>59.23</v>
      </c>
    </row>
    <row r="5471" spans="1:12">
      <c r="A5471" s="1">
        <v>46044</v>
      </c>
      <c r="B5471" t="s">
        <v>6612</v>
      </c>
      <c r="C5471">
        <v>13</v>
      </c>
      <c r="D5471" t="str">
        <f>VLOOKUP(Tabela26[[#This Row],[EMP]],[1]LOJA!$A:$B,2,0)</f>
        <v>CEILÂNDIA</v>
      </c>
      <c r="E5471">
        <v>86</v>
      </c>
      <c r="F5471" t="s">
        <v>3622</v>
      </c>
      <c r="G5471" t="s">
        <v>3402</v>
      </c>
      <c r="H5471" t="s">
        <v>3408</v>
      </c>
      <c r="I5471">
        <v>5102</v>
      </c>
      <c r="J5471" s="3">
        <v>96</v>
      </c>
      <c r="K5471" s="3">
        <v>54.06</v>
      </c>
      <c r="L5471">
        <v>43.69</v>
      </c>
    </row>
    <row r="5472" spans="1:12">
      <c r="A5472" s="1">
        <v>46044</v>
      </c>
      <c r="B5472" t="s">
        <v>6611</v>
      </c>
      <c r="C5472">
        <v>13</v>
      </c>
      <c r="D5472" t="str">
        <f>VLOOKUP(Tabela26[[#This Row],[EMP]],[1]LOJA!$A:$B,2,0)</f>
        <v>CEILÂNDIA</v>
      </c>
      <c r="E5472">
        <v>86</v>
      </c>
      <c r="F5472" t="s">
        <v>6610</v>
      </c>
      <c r="G5472" t="s">
        <v>6609</v>
      </c>
      <c r="H5472" t="s">
        <v>3408</v>
      </c>
      <c r="I5472">
        <v>5405</v>
      </c>
      <c r="J5472" s="3">
        <v>35</v>
      </c>
      <c r="K5472" s="3">
        <v>18.559999999999999</v>
      </c>
      <c r="L5472">
        <v>46.97</v>
      </c>
    </row>
    <row r="5473" spans="1:12">
      <c r="A5473" s="1">
        <v>46044</v>
      </c>
      <c r="B5473" t="s">
        <v>6608</v>
      </c>
      <c r="C5473">
        <v>13</v>
      </c>
      <c r="D5473" t="str">
        <f>VLOOKUP(Tabela26[[#This Row],[EMP]],[1]LOJA!$A:$B,2,0)</f>
        <v>CEILÂNDIA</v>
      </c>
      <c r="E5473">
        <v>86</v>
      </c>
      <c r="F5473" t="s">
        <v>3605</v>
      </c>
      <c r="G5473" t="s">
        <v>3604</v>
      </c>
      <c r="H5473" t="s">
        <v>6497</v>
      </c>
      <c r="I5473">
        <v>5102</v>
      </c>
      <c r="J5473" s="3">
        <v>69.900000000000006</v>
      </c>
      <c r="K5473" s="3">
        <v>40.24</v>
      </c>
      <c r="L5473">
        <v>42.43</v>
      </c>
    </row>
    <row r="5474" spans="1:12">
      <c r="A5474" s="1">
        <v>46044</v>
      </c>
      <c r="B5474" t="s">
        <v>6607</v>
      </c>
      <c r="C5474">
        <v>13</v>
      </c>
      <c r="D5474" t="str">
        <f>VLOOKUP(Tabela26[[#This Row],[EMP]],[1]LOJA!$A:$B,2,0)</f>
        <v>CEILÂNDIA</v>
      </c>
      <c r="E5474">
        <v>33</v>
      </c>
      <c r="F5474" t="s">
        <v>6606</v>
      </c>
      <c r="G5474" t="s">
        <v>6605</v>
      </c>
      <c r="H5474" t="s">
        <v>3408</v>
      </c>
      <c r="I5474">
        <v>5102</v>
      </c>
      <c r="J5474" s="3">
        <v>34</v>
      </c>
      <c r="K5474" s="3">
        <v>16.64</v>
      </c>
      <c r="L5474">
        <v>51.06</v>
      </c>
    </row>
    <row r="5475" spans="1:12">
      <c r="A5475" s="1">
        <v>46044</v>
      </c>
      <c r="B5475" t="s">
        <v>6604</v>
      </c>
      <c r="C5475">
        <v>13</v>
      </c>
      <c r="D5475" t="str">
        <f>VLOOKUP(Tabela26[[#This Row],[EMP]],[1]LOJA!$A:$B,2,0)</f>
        <v>CEILÂNDIA</v>
      </c>
      <c r="E5475">
        <v>86</v>
      </c>
      <c r="F5475" t="s">
        <v>3602</v>
      </c>
      <c r="G5475" t="s">
        <v>3601</v>
      </c>
      <c r="H5475" t="s">
        <v>3401</v>
      </c>
      <c r="I5475">
        <v>5405</v>
      </c>
      <c r="J5475" s="3">
        <v>85</v>
      </c>
      <c r="K5475" s="3">
        <v>45.09</v>
      </c>
      <c r="L5475">
        <v>46.95</v>
      </c>
    </row>
    <row r="5476" spans="1:12">
      <c r="A5476" s="1">
        <v>46044</v>
      </c>
      <c r="B5476" t="s">
        <v>6603</v>
      </c>
      <c r="C5476">
        <v>13</v>
      </c>
      <c r="D5476" t="str">
        <f>VLOOKUP(Tabela26[[#This Row],[EMP]],[1]LOJA!$A:$B,2,0)</f>
        <v>CEILÂNDIA</v>
      </c>
      <c r="E5476">
        <v>86</v>
      </c>
      <c r="F5476" t="s">
        <v>3403</v>
      </c>
      <c r="G5476" t="s">
        <v>3402</v>
      </c>
      <c r="H5476" t="s">
        <v>3408</v>
      </c>
      <c r="I5476">
        <v>5405</v>
      </c>
      <c r="J5476" s="3">
        <v>35</v>
      </c>
      <c r="K5476" s="3">
        <v>18.21</v>
      </c>
      <c r="L5476">
        <v>47.97</v>
      </c>
    </row>
    <row r="5477" spans="1:12">
      <c r="A5477" s="1">
        <v>46044</v>
      </c>
      <c r="B5477" t="s">
        <v>6602</v>
      </c>
      <c r="C5477">
        <v>13</v>
      </c>
      <c r="D5477" t="str">
        <f>VLOOKUP(Tabela26[[#This Row],[EMP]],[1]LOJA!$A:$B,2,0)</f>
        <v>CEILÂNDIA</v>
      </c>
      <c r="E5477">
        <v>86</v>
      </c>
      <c r="F5477" t="s">
        <v>6601</v>
      </c>
      <c r="G5477" t="s">
        <v>3402</v>
      </c>
      <c r="H5477" t="s">
        <v>3401</v>
      </c>
      <c r="I5477">
        <v>5102</v>
      </c>
      <c r="J5477" s="3">
        <v>37</v>
      </c>
      <c r="K5477" s="3">
        <v>22.34</v>
      </c>
      <c r="L5477">
        <v>39.619999999999997</v>
      </c>
    </row>
    <row r="5478" spans="1:12">
      <c r="A5478" s="1">
        <v>46044</v>
      </c>
      <c r="B5478" t="s">
        <v>6600</v>
      </c>
      <c r="C5478">
        <v>13</v>
      </c>
      <c r="D5478" t="str">
        <f>VLOOKUP(Tabela26[[#This Row],[EMP]],[1]LOJA!$A:$B,2,0)</f>
        <v>CEILÂNDIA</v>
      </c>
      <c r="E5478">
        <v>86</v>
      </c>
      <c r="F5478" t="s">
        <v>6207</v>
      </c>
      <c r="G5478" t="s">
        <v>6206</v>
      </c>
      <c r="H5478" t="s">
        <v>3408</v>
      </c>
      <c r="I5478">
        <v>5405</v>
      </c>
      <c r="J5478" s="3">
        <v>100</v>
      </c>
      <c r="K5478" s="3">
        <v>54.85</v>
      </c>
      <c r="L5478">
        <v>45.15</v>
      </c>
    </row>
    <row r="5479" spans="1:12">
      <c r="A5479" s="1">
        <v>46044</v>
      </c>
      <c r="B5479" t="s">
        <v>6599</v>
      </c>
      <c r="C5479">
        <v>13</v>
      </c>
      <c r="D5479" t="str">
        <f>VLOOKUP(Tabela26[[#This Row],[EMP]],[1]LOJA!$A:$B,2,0)</f>
        <v>CEILÂNDIA</v>
      </c>
      <c r="E5479">
        <v>86</v>
      </c>
      <c r="F5479" t="s">
        <v>3609</v>
      </c>
      <c r="G5479" t="s">
        <v>3608</v>
      </c>
      <c r="H5479" t="s">
        <v>3408</v>
      </c>
      <c r="I5479">
        <v>5405</v>
      </c>
      <c r="J5479" s="3">
        <v>264.39999999999998</v>
      </c>
      <c r="K5479" s="3">
        <v>141.13</v>
      </c>
      <c r="L5479">
        <v>46.62</v>
      </c>
    </row>
    <row r="5480" spans="1:12">
      <c r="A5480" s="1">
        <v>46044</v>
      </c>
      <c r="B5480" t="s">
        <v>6598</v>
      </c>
      <c r="C5480">
        <v>13</v>
      </c>
      <c r="D5480" t="str">
        <f>VLOOKUP(Tabela26[[#This Row],[EMP]],[1]LOJA!$A:$B,2,0)</f>
        <v>CEILÂNDIA</v>
      </c>
      <c r="E5480">
        <v>86</v>
      </c>
      <c r="F5480" t="s">
        <v>3403</v>
      </c>
      <c r="G5480" t="s">
        <v>3402</v>
      </c>
      <c r="H5480" t="s">
        <v>3401</v>
      </c>
      <c r="I5480">
        <v>5102</v>
      </c>
      <c r="J5480" s="3">
        <v>25</v>
      </c>
      <c r="K5480" s="3">
        <v>13.55</v>
      </c>
      <c r="L5480">
        <v>45.8</v>
      </c>
    </row>
    <row r="5481" spans="1:12">
      <c r="A5481" s="1">
        <v>46044</v>
      </c>
      <c r="B5481" t="s">
        <v>6597</v>
      </c>
      <c r="C5481">
        <v>13</v>
      </c>
      <c r="D5481" t="str">
        <f>VLOOKUP(Tabela26[[#This Row],[EMP]],[1]LOJA!$A:$B,2,0)</f>
        <v>CEILÂNDIA</v>
      </c>
      <c r="E5481">
        <v>86</v>
      </c>
      <c r="F5481" t="s">
        <v>5565</v>
      </c>
      <c r="G5481" t="s">
        <v>5564</v>
      </c>
      <c r="H5481" t="s">
        <v>6497</v>
      </c>
      <c r="I5481">
        <v>5405</v>
      </c>
      <c r="J5481" s="3">
        <v>254.9</v>
      </c>
      <c r="K5481" s="3">
        <v>143.94</v>
      </c>
      <c r="L5481">
        <v>43.53</v>
      </c>
    </row>
    <row r="5482" spans="1:12">
      <c r="A5482" s="1">
        <v>46044</v>
      </c>
      <c r="B5482" t="s">
        <v>6596</v>
      </c>
      <c r="C5482">
        <v>13</v>
      </c>
      <c r="D5482" t="str">
        <f>VLOOKUP(Tabela26[[#This Row],[EMP]],[1]LOJA!$A:$B,2,0)</f>
        <v>CEILÂNDIA</v>
      </c>
      <c r="E5482">
        <v>86</v>
      </c>
      <c r="F5482" t="s">
        <v>6595</v>
      </c>
      <c r="G5482" t="s">
        <v>6594</v>
      </c>
      <c r="H5482" t="s">
        <v>3408</v>
      </c>
      <c r="I5482">
        <v>5102</v>
      </c>
      <c r="J5482" s="3">
        <v>34</v>
      </c>
      <c r="K5482" s="3">
        <v>11.66</v>
      </c>
      <c r="L5482">
        <v>65.709999999999994</v>
      </c>
    </row>
    <row r="5483" spans="1:12">
      <c r="A5483" s="1">
        <v>46044</v>
      </c>
      <c r="B5483" t="s">
        <v>6593</v>
      </c>
      <c r="C5483">
        <v>13</v>
      </c>
      <c r="D5483" t="str">
        <f>VLOOKUP(Tabela26[[#This Row],[EMP]],[1]LOJA!$A:$B,2,0)</f>
        <v>CEILÂNDIA</v>
      </c>
      <c r="E5483">
        <v>86</v>
      </c>
      <c r="F5483" t="s">
        <v>3403</v>
      </c>
      <c r="G5483" t="s">
        <v>3402</v>
      </c>
      <c r="H5483" t="s">
        <v>3401</v>
      </c>
      <c r="I5483">
        <v>5102</v>
      </c>
      <c r="J5483" s="3">
        <v>45</v>
      </c>
      <c r="K5483" s="3">
        <v>28.1</v>
      </c>
      <c r="L5483">
        <v>37.56</v>
      </c>
    </row>
    <row r="5484" spans="1:12">
      <c r="A5484" s="1">
        <v>46044</v>
      </c>
      <c r="B5484" t="s">
        <v>6592</v>
      </c>
      <c r="C5484">
        <v>13</v>
      </c>
      <c r="D5484" t="str">
        <f>VLOOKUP(Tabela26[[#This Row],[EMP]],[1]LOJA!$A:$B,2,0)</f>
        <v>CEILÂNDIA</v>
      </c>
      <c r="E5484">
        <v>86</v>
      </c>
      <c r="F5484" t="s">
        <v>3403</v>
      </c>
      <c r="G5484" t="s">
        <v>3402</v>
      </c>
      <c r="H5484" t="s">
        <v>3408</v>
      </c>
      <c r="I5484">
        <v>5405</v>
      </c>
      <c r="J5484" s="3">
        <v>50</v>
      </c>
      <c r="K5484" s="3">
        <v>20.309999999999999</v>
      </c>
      <c r="L5484">
        <v>59.38</v>
      </c>
    </row>
    <row r="5485" spans="1:12">
      <c r="A5485" s="1">
        <v>46044</v>
      </c>
      <c r="B5485" t="s">
        <v>6591</v>
      </c>
      <c r="C5485">
        <v>13</v>
      </c>
      <c r="D5485" t="str">
        <f>VLOOKUP(Tabela26[[#This Row],[EMP]],[1]LOJA!$A:$B,2,0)</f>
        <v>CEILÂNDIA</v>
      </c>
      <c r="E5485">
        <v>86</v>
      </c>
      <c r="F5485" t="s">
        <v>3403</v>
      </c>
      <c r="G5485" t="s">
        <v>3402</v>
      </c>
      <c r="H5485" t="s">
        <v>3401</v>
      </c>
      <c r="I5485">
        <v>5102</v>
      </c>
      <c r="J5485" s="3">
        <v>29</v>
      </c>
      <c r="K5485" s="3">
        <v>15.48</v>
      </c>
      <c r="L5485">
        <v>46.62</v>
      </c>
    </row>
    <row r="5486" spans="1:12">
      <c r="A5486" s="1">
        <v>46044</v>
      </c>
      <c r="B5486" t="s">
        <v>6590</v>
      </c>
      <c r="C5486">
        <v>13</v>
      </c>
      <c r="D5486" t="str">
        <f>VLOOKUP(Tabela26[[#This Row],[EMP]],[1]LOJA!$A:$B,2,0)</f>
        <v>CEILÂNDIA</v>
      </c>
      <c r="E5486">
        <v>86</v>
      </c>
      <c r="F5486" t="s">
        <v>3406</v>
      </c>
      <c r="G5486" t="s">
        <v>3405</v>
      </c>
      <c r="H5486" t="s">
        <v>3401</v>
      </c>
      <c r="I5486">
        <v>5102</v>
      </c>
      <c r="J5486" s="3">
        <v>100</v>
      </c>
      <c r="K5486" s="3">
        <v>69.209999999999994</v>
      </c>
      <c r="L5486">
        <v>30.79</v>
      </c>
    </row>
    <row r="5487" spans="1:12">
      <c r="A5487" s="1">
        <v>46044</v>
      </c>
      <c r="B5487" t="s">
        <v>6589</v>
      </c>
      <c r="C5487">
        <v>13</v>
      </c>
      <c r="D5487" t="str">
        <f>VLOOKUP(Tabela26[[#This Row],[EMP]],[1]LOJA!$A:$B,2,0)</f>
        <v>CEILÂNDIA</v>
      </c>
      <c r="E5487">
        <v>86</v>
      </c>
      <c r="F5487" t="s">
        <v>3403</v>
      </c>
      <c r="G5487" t="s">
        <v>3402</v>
      </c>
      <c r="H5487" t="s">
        <v>3401</v>
      </c>
      <c r="I5487">
        <v>5102</v>
      </c>
      <c r="J5487" s="3">
        <v>48</v>
      </c>
      <c r="K5487" s="3">
        <v>28.35</v>
      </c>
      <c r="L5487">
        <v>40.94</v>
      </c>
    </row>
    <row r="5488" spans="1:12">
      <c r="A5488" s="1">
        <v>46044</v>
      </c>
      <c r="B5488" t="s">
        <v>6588</v>
      </c>
      <c r="C5488">
        <v>13</v>
      </c>
      <c r="D5488" t="str">
        <f>VLOOKUP(Tabela26[[#This Row],[EMP]],[1]LOJA!$A:$B,2,0)</f>
        <v>CEILÂNDIA</v>
      </c>
      <c r="E5488">
        <v>86</v>
      </c>
      <c r="F5488" t="s">
        <v>3403</v>
      </c>
      <c r="G5488" t="s">
        <v>3402</v>
      </c>
      <c r="H5488" t="s">
        <v>3401</v>
      </c>
      <c r="I5488">
        <v>5102</v>
      </c>
      <c r="J5488" s="3">
        <v>20</v>
      </c>
      <c r="K5488" s="3">
        <v>12.88</v>
      </c>
      <c r="L5488">
        <v>35.6</v>
      </c>
    </row>
    <row r="5489" spans="1:12">
      <c r="A5489" s="1">
        <v>46044</v>
      </c>
      <c r="B5489" t="s">
        <v>6587</v>
      </c>
      <c r="C5489">
        <v>6</v>
      </c>
      <c r="D5489" t="str">
        <f>VLOOKUP(Tabela26[[#This Row],[EMP]],[1]LOJA!$A:$B,2,0)</f>
        <v>GAMA</v>
      </c>
      <c r="E5489">
        <v>245</v>
      </c>
      <c r="F5489" t="s">
        <v>6586</v>
      </c>
      <c r="G5489" t="s">
        <v>3402</v>
      </c>
      <c r="H5489" t="s">
        <v>3401</v>
      </c>
      <c r="I5489">
        <v>5102</v>
      </c>
      <c r="J5489" s="3">
        <v>66</v>
      </c>
      <c r="K5489" s="3">
        <v>33.770000000000003</v>
      </c>
      <c r="L5489">
        <v>48.83</v>
      </c>
    </row>
    <row r="5490" spans="1:12">
      <c r="A5490" s="1">
        <v>46044</v>
      </c>
      <c r="B5490" t="s">
        <v>6585</v>
      </c>
      <c r="C5490">
        <v>6</v>
      </c>
      <c r="D5490" t="str">
        <f>VLOOKUP(Tabela26[[#This Row],[EMP]],[1]LOJA!$A:$B,2,0)</f>
        <v>GAMA</v>
      </c>
      <c r="E5490">
        <v>245</v>
      </c>
      <c r="F5490" t="s">
        <v>3568</v>
      </c>
      <c r="G5490" t="s">
        <v>3567</v>
      </c>
      <c r="H5490" t="s">
        <v>3520</v>
      </c>
      <c r="I5490">
        <v>5102</v>
      </c>
      <c r="J5490" s="3">
        <v>28</v>
      </c>
      <c r="K5490" s="3">
        <v>13.52</v>
      </c>
      <c r="L5490">
        <v>51.71</v>
      </c>
    </row>
    <row r="5491" spans="1:12">
      <c r="A5491" s="1">
        <v>46044</v>
      </c>
      <c r="B5491" t="s">
        <v>6584</v>
      </c>
      <c r="C5491">
        <v>6</v>
      </c>
      <c r="D5491" t="str">
        <f>VLOOKUP(Tabela26[[#This Row],[EMP]],[1]LOJA!$A:$B,2,0)</f>
        <v>GAMA</v>
      </c>
      <c r="E5491">
        <v>245</v>
      </c>
      <c r="F5491" t="s">
        <v>5509</v>
      </c>
      <c r="G5491" t="s">
        <v>5508</v>
      </c>
      <c r="H5491" t="s">
        <v>6497</v>
      </c>
      <c r="I5491">
        <v>5405</v>
      </c>
      <c r="J5491" s="3">
        <v>43</v>
      </c>
      <c r="K5491" s="3">
        <v>21.48</v>
      </c>
      <c r="L5491">
        <v>50.05</v>
      </c>
    </row>
    <row r="5492" spans="1:12">
      <c r="A5492" s="1">
        <v>46044</v>
      </c>
      <c r="B5492" t="s">
        <v>6583</v>
      </c>
      <c r="C5492">
        <v>6</v>
      </c>
      <c r="D5492" t="str">
        <f>VLOOKUP(Tabela26[[#This Row],[EMP]],[1]LOJA!$A:$B,2,0)</f>
        <v>GAMA</v>
      </c>
      <c r="E5492">
        <v>226</v>
      </c>
      <c r="F5492" t="s">
        <v>3403</v>
      </c>
      <c r="G5492" t="s">
        <v>3402</v>
      </c>
      <c r="H5492" t="s">
        <v>3401</v>
      </c>
      <c r="I5492">
        <v>5102</v>
      </c>
      <c r="J5492" s="3">
        <v>99</v>
      </c>
      <c r="K5492" s="3">
        <v>48.38</v>
      </c>
      <c r="L5492">
        <v>51.13</v>
      </c>
    </row>
    <row r="5493" spans="1:12">
      <c r="A5493" s="1">
        <v>46044</v>
      </c>
      <c r="B5493" t="s">
        <v>6582</v>
      </c>
      <c r="C5493">
        <v>6</v>
      </c>
      <c r="D5493" t="str">
        <f>VLOOKUP(Tabela26[[#This Row],[EMP]],[1]LOJA!$A:$B,2,0)</f>
        <v>GAMA</v>
      </c>
      <c r="E5493">
        <v>245</v>
      </c>
      <c r="F5493" t="s">
        <v>3403</v>
      </c>
      <c r="G5493" t="s">
        <v>3402</v>
      </c>
      <c r="H5493" t="s">
        <v>3401</v>
      </c>
      <c r="I5493">
        <v>5102</v>
      </c>
      <c r="J5493" s="3">
        <v>36</v>
      </c>
      <c r="K5493" s="3">
        <v>22.66</v>
      </c>
      <c r="L5493">
        <v>37.06</v>
      </c>
    </row>
    <row r="5494" spans="1:12">
      <c r="A5494" s="1">
        <v>46044</v>
      </c>
      <c r="B5494" t="s">
        <v>6581</v>
      </c>
      <c r="C5494">
        <v>6</v>
      </c>
      <c r="D5494" t="str">
        <f>VLOOKUP(Tabela26[[#This Row],[EMP]],[1]LOJA!$A:$B,2,0)</f>
        <v>GAMA</v>
      </c>
      <c r="E5494">
        <v>245</v>
      </c>
      <c r="F5494" t="s">
        <v>3403</v>
      </c>
      <c r="G5494" t="s">
        <v>3402</v>
      </c>
      <c r="H5494" t="s">
        <v>3401</v>
      </c>
      <c r="I5494">
        <v>5102</v>
      </c>
      <c r="J5494" s="3">
        <v>35</v>
      </c>
      <c r="K5494" s="3">
        <v>15.77</v>
      </c>
      <c r="L5494">
        <v>54.94</v>
      </c>
    </row>
    <row r="5495" spans="1:12">
      <c r="A5495" s="1">
        <v>46044</v>
      </c>
      <c r="B5495" t="s">
        <v>6580</v>
      </c>
      <c r="C5495">
        <v>6</v>
      </c>
      <c r="D5495" t="str">
        <f>VLOOKUP(Tabela26[[#This Row],[EMP]],[1]LOJA!$A:$B,2,0)</f>
        <v>GAMA</v>
      </c>
      <c r="E5495">
        <v>226</v>
      </c>
      <c r="F5495" t="s">
        <v>3403</v>
      </c>
      <c r="G5495" t="s">
        <v>3402</v>
      </c>
      <c r="H5495" t="s">
        <v>3401</v>
      </c>
      <c r="I5495">
        <v>5405</v>
      </c>
      <c r="J5495" s="3">
        <v>24.35</v>
      </c>
      <c r="K5495" s="3">
        <v>11.59</v>
      </c>
      <c r="L5495">
        <v>52.4</v>
      </c>
    </row>
    <row r="5496" spans="1:12">
      <c r="A5496" s="1">
        <v>46044</v>
      </c>
      <c r="B5496" t="s">
        <v>6579</v>
      </c>
      <c r="C5496">
        <v>6</v>
      </c>
      <c r="D5496" t="str">
        <f>VLOOKUP(Tabela26[[#This Row],[EMP]],[1]LOJA!$A:$B,2,0)</f>
        <v>GAMA</v>
      </c>
      <c r="E5496">
        <v>245</v>
      </c>
      <c r="F5496" t="s">
        <v>6578</v>
      </c>
      <c r="G5496" t="s">
        <v>3402</v>
      </c>
      <c r="H5496" t="s">
        <v>3401</v>
      </c>
      <c r="I5496">
        <v>5405</v>
      </c>
      <c r="J5496" s="3">
        <v>34</v>
      </c>
      <c r="K5496" s="3">
        <v>14.44</v>
      </c>
      <c r="L5496">
        <v>57.53</v>
      </c>
    </row>
    <row r="5497" spans="1:12">
      <c r="A5497" s="1">
        <v>46044</v>
      </c>
      <c r="B5497" t="s">
        <v>6577</v>
      </c>
      <c r="C5497">
        <v>6</v>
      </c>
      <c r="D5497" t="str">
        <f>VLOOKUP(Tabela26[[#This Row],[EMP]],[1]LOJA!$A:$B,2,0)</f>
        <v>GAMA</v>
      </c>
      <c r="E5497">
        <v>245</v>
      </c>
      <c r="F5497" t="s">
        <v>5509</v>
      </c>
      <c r="G5497" t="s">
        <v>5508</v>
      </c>
      <c r="H5497" t="s">
        <v>6497</v>
      </c>
      <c r="I5497">
        <v>5405</v>
      </c>
      <c r="J5497" s="3">
        <v>639</v>
      </c>
      <c r="K5497" s="3">
        <v>358.53</v>
      </c>
      <c r="L5497">
        <v>43.89</v>
      </c>
    </row>
    <row r="5498" spans="1:12">
      <c r="A5498" s="1">
        <v>46044</v>
      </c>
      <c r="B5498" t="s">
        <v>6576</v>
      </c>
      <c r="C5498">
        <v>6</v>
      </c>
      <c r="D5498" t="str">
        <f>VLOOKUP(Tabela26[[#This Row],[EMP]],[1]LOJA!$A:$B,2,0)</f>
        <v>GAMA</v>
      </c>
      <c r="E5498">
        <v>245</v>
      </c>
      <c r="F5498" t="s">
        <v>3580</v>
      </c>
      <c r="G5498" t="s">
        <v>3579</v>
      </c>
      <c r="H5498" t="s">
        <v>3401</v>
      </c>
      <c r="I5498">
        <v>5405</v>
      </c>
      <c r="J5498" s="3">
        <v>253.03</v>
      </c>
      <c r="K5498" s="3">
        <v>128.11000000000001</v>
      </c>
      <c r="L5498">
        <v>49.37</v>
      </c>
    </row>
    <row r="5499" spans="1:12">
      <c r="A5499" s="1">
        <v>46044</v>
      </c>
      <c r="B5499" t="s">
        <v>6575</v>
      </c>
      <c r="C5499">
        <v>6</v>
      </c>
      <c r="D5499" t="str">
        <f>VLOOKUP(Tabela26[[#This Row],[EMP]],[1]LOJA!$A:$B,2,0)</f>
        <v>GAMA</v>
      </c>
      <c r="E5499">
        <v>226</v>
      </c>
      <c r="F5499" t="s">
        <v>3403</v>
      </c>
      <c r="G5499" t="s">
        <v>3402</v>
      </c>
      <c r="H5499" t="s">
        <v>3401</v>
      </c>
      <c r="I5499">
        <v>5102</v>
      </c>
      <c r="J5499" s="3">
        <v>32</v>
      </c>
      <c r="K5499" s="3">
        <v>10.74</v>
      </c>
      <c r="L5499">
        <v>66.44</v>
      </c>
    </row>
    <row r="5500" spans="1:12">
      <c r="A5500" s="1">
        <v>46044</v>
      </c>
      <c r="B5500" t="s">
        <v>6574</v>
      </c>
      <c r="C5500">
        <v>6</v>
      </c>
      <c r="D5500" t="str">
        <f>VLOOKUP(Tabela26[[#This Row],[EMP]],[1]LOJA!$A:$B,2,0)</f>
        <v>GAMA</v>
      </c>
      <c r="E5500">
        <v>245</v>
      </c>
      <c r="F5500" t="s">
        <v>3568</v>
      </c>
      <c r="G5500" t="s">
        <v>3567</v>
      </c>
      <c r="H5500" t="s">
        <v>3520</v>
      </c>
      <c r="I5500">
        <v>5405</v>
      </c>
      <c r="J5500" s="3">
        <v>340</v>
      </c>
      <c r="K5500" s="3">
        <v>193.43</v>
      </c>
      <c r="L5500">
        <v>43.11</v>
      </c>
    </row>
    <row r="5501" spans="1:12">
      <c r="A5501" s="1">
        <v>46044</v>
      </c>
      <c r="B5501" t="s">
        <v>6573</v>
      </c>
      <c r="C5501">
        <v>6</v>
      </c>
      <c r="D5501" t="str">
        <f>VLOOKUP(Tabela26[[#This Row],[EMP]],[1]LOJA!$A:$B,2,0)</f>
        <v>GAMA</v>
      </c>
      <c r="E5501">
        <v>245</v>
      </c>
      <c r="F5501" t="s">
        <v>5509</v>
      </c>
      <c r="G5501" t="s">
        <v>5508</v>
      </c>
      <c r="H5501" t="s">
        <v>6497</v>
      </c>
      <c r="I5501">
        <v>5405</v>
      </c>
      <c r="J5501" s="3">
        <v>40.51</v>
      </c>
      <c r="K5501" s="3">
        <v>20.11</v>
      </c>
      <c r="L5501">
        <v>50.36</v>
      </c>
    </row>
    <row r="5502" spans="1:12">
      <c r="A5502" s="1">
        <v>46044</v>
      </c>
      <c r="B5502" t="s">
        <v>6572</v>
      </c>
      <c r="C5502">
        <v>6</v>
      </c>
      <c r="D5502" t="str">
        <f>VLOOKUP(Tabela26[[#This Row],[EMP]],[1]LOJA!$A:$B,2,0)</f>
        <v>GAMA</v>
      </c>
      <c r="E5502">
        <v>245</v>
      </c>
      <c r="F5502" t="s">
        <v>6571</v>
      </c>
      <c r="G5502" t="s">
        <v>6570</v>
      </c>
      <c r="H5502" t="s">
        <v>3401</v>
      </c>
      <c r="I5502">
        <v>5405</v>
      </c>
      <c r="J5502" s="3">
        <v>209.4</v>
      </c>
      <c r="K5502" s="3">
        <v>105.4</v>
      </c>
      <c r="L5502">
        <v>49.67</v>
      </c>
    </row>
    <row r="5503" spans="1:12">
      <c r="A5503" s="1">
        <v>46044</v>
      </c>
      <c r="B5503" t="s">
        <v>6569</v>
      </c>
      <c r="C5503">
        <v>4</v>
      </c>
      <c r="D5503" t="str">
        <f>VLOOKUP(Tabela26[[#This Row],[EMP]],[1]LOJA!$A:$B,2,0)</f>
        <v>ADE</v>
      </c>
      <c r="E5503">
        <v>132</v>
      </c>
      <c r="F5503" t="s">
        <v>4574</v>
      </c>
      <c r="G5503" t="s">
        <v>4573</v>
      </c>
      <c r="H5503" t="s">
        <v>3408</v>
      </c>
      <c r="I5503">
        <v>5405</v>
      </c>
      <c r="J5503" s="3">
        <v>1400</v>
      </c>
      <c r="K5503" s="3">
        <v>559.84</v>
      </c>
      <c r="L5503">
        <v>60.01</v>
      </c>
    </row>
    <row r="5504" spans="1:12">
      <c r="A5504" s="1">
        <v>46044</v>
      </c>
      <c r="B5504" t="s">
        <v>6568</v>
      </c>
      <c r="C5504">
        <v>4</v>
      </c>
      <c r="D5504" t="str">
        <f>VLOOKUP(Tabela26[[#This Row],[EMP]],[1]LOJA!$A:$B,2,0)</f>
        <v>ADE</v>
      </c>
      <c r="E5504">
        <v>132</v>
      </c>
      <c r="F5504" t="s">
        <v>4299</v>
      </c>
      <c r="G5504" t="s">
        <v>4298</v>
      </c>
      <c r="H5504" t="s">
        <v>6563</v>
      </c>
      <c r="I5504">
        <v>5102</v>
      </c>
      <c r="J5504" s="3">
        <v>108.9</v>
      </c>
      <c r="K5504" s="3">
        <v>60.2</v>
      </c>
      <c r="L5504">
        <v>44.72</v>
      </c>
    </row>
    <row r="5505" spans="1:12">
      <c r="A5505" s="1">
        <v>46044</v>
      </c>
      <c r="B5505" t="s">
        <v>6567</v>
      </c>
      <c r="C5505">
        <v>4</v>
      </c>
      <c r="D5505" t="str">
        <f>VLOOKUP(Tabela26[[#This Row],[EMP]],[1]LOJA!$A:$B,2,0)</f>
        <v>ADE</v>
      </c>
      <c r="E5505">
        <v>132</v>
      </c>
      <c r="F5505" t="s">
        <v>6565</v>
      </c>
      <c r="G5505" t="s">
        <v>6564</v>
      </c>
      <c r="H5505" t="s">
        <v>6563</v>
      </c>
      <c r="I5505">
        <v>5102</v>
      </c>
      <c r="J5505" s="3">
        <v>349.77</v>
      </c>
      <c r="K5505" s="3">
        <v>185.7</v>
      </c>
      <c r="L5505">
        <v>46.91</v>
      </c>
    </row>
    <row r="5506" spans="1:12">
      <c r="A5506" s="1">
        <v>46044</v>
      </c>
      <c r="B5506" t="s">
        <v>6566</v>
      </c>
      <c r="C5506">
        <v>4</v>
      </c>
      <c r="D5506" t="str">
        <f>VLOOKUP(Tabela26[[#This Row],[EMP]],[1]LOJA!$A:$B,2,0)</f>
        <v>ADE</v>
      </c>
      <c r="E5506">
        <v>132</v>
      </c>
      <c r="F5506" t="s">
        <v>6565</v>
      </c>
      <c r="G5506" t="s">
        <v>6564</v>
      </c>
      <c r="H5506" t="s">
        <v>6563</v>
      </c>
      <c r="I5506">
        <v>5102</v>
      </c>
      <c r="J5506" s="3">
        <v>18.899999999999999</v>
      </c>
      <c r="K5506" s="3">
        <v>9.17</v>
      </c>
      <c r="L5506">
        <v>51.48</v>
      </c>
    </row>
    <row r="5507" spans="1:12">
      <c r="A5507" s="1">
        <v>46044</v>
      </c>
      <c r="B5507" t="s">
        <v>6562</v>
      </c>
      <c r="C5507">
        <v>6</v>
      </c>
      <c r="D5507" t="str">
        <f>VLOOKUP(Tabela26[[#This Row],[EMP]],[1]LOJA!$A:$B,2,0)</f>
        <v>GAMA</v>
      </c>
      <c r="E5507">
        <v>226</v>
      </c>
      <c r="F5507" t="s">
        <v>4204</v>
      </c>
      <c r="G5507" t="s">
        <v>4203</v>
      </c>
      <c r="H5507" t="s">
        <v>3408</v>
      </c>
      <c r="I5507">
        <v>6108</v>
      </c>
      <c r="J5507" s="3">
        <v>60</v>
      </c>
      <c r="K5507" s="3">
        <v>38.11</v>
      </c>
      <c r="L5507">
        <v>36.479999999999997</v>
      </c>
    </row>
    <row r="5508" spans="1:12">
      <c r="A5508" s="1">
        <v>46045</v>
      </c>
      <c r="B5508" t="s">
        <v>6561</v>
      </c>
      <c r="C5508">
        <v>15</v>
      </c>
      <c r="D5508" t="str">
        <f>VLOOKUP(Tabela26[[#This Row],[EMP]],[1]LOJA!$A:$B,2,0)</f>
        <v>UNAÍ</v>
      </c>
      <c r="E5508">
        <v>183</v>
      </c>
      <c r="F5508" t="s">
        <v>5799</v>
      </c>
      <c r="G5508" t="s">
        <v>5798</v>
      </c>
      <c r="H5508" t="s">
        <v>3401</v>
      </c>
      <c r="I5508">
        <v>1202</v>
      </c>
      <c r="J5508" s="3">
        <v>-189</v>
      </c>
      <c r="K5508" s="3">
        <v>-94.83</v>
      </c>
      <c r="L5508">
        <v>49.83</v>
      </c>
    </row>
    <row r="5509" spans="1:12">
      <c r="A5509" s="1">
        <v>46045</v>
      </c>
      <c r="B5509" t="s">
        <v>6560</v>
      </c>
      <c r="C5509">
        <v>15</v>
      </c>
      <c r="D5509" t="str">
        <f>VLOOKUP(Tabela26[[#This Row],[EMP]],[1]LOJA!$A:$B,2,0)</f>
        <v>UNAÍ</v>
      </c>
      <c r="E5509">
        <v>183</v>
      </c>
      <c r="F5509" t="s">
        <v>3485</v>
      </c>
      <c r="G5509" t="s">
        <v>3402</v>
      </c>
      <c r="H5509" t="s">
        <v>3401</v>
      </c>
      <c r="I5509">
        <v>1202</v>
      </c>
      <c r="J5509" s="3">
        <v>-80</v>
      </c>
      <c r="K5509" s="3">
        <v>-39.21</v>
      </c>
      <c r="L5509">
        <v>50.99</v>
      </c>
    </row>
    <row r="5510" spans="1:12">
      <c r="A5510" s="1">
        <v>46045</v>
      </c>
      <c r="B5510" t="s">
        <v>6559</v>
      </c>
      <c r="C5510">
        <v>24</v>
      </c>
      <c r="D5510" t="str">
        <f>VLOOKUP(Tabela26[[#This Row],[EMP]],[1]LOJA!$A:$B,2,0)</f>
        <v>LUZIÂNIA</v>
      </c>
      <c r="E5510">
        <v>192</v>
      </c>
      <c r="F5510" t="s">
        <v>6557</v>
      </c>
      <c r="G5510" t="s">
        <v>6556</v>
      </c>
      <c r="H5510" t="s">
        <v>3430</v>
      </c>
      <c r="I5510">
        <v>5405</v>
      </c>
      <c r="J5510" s="3">
        <v>487</v>
      </c>
      <c r="K5510" s="3">
        <v>240.48</v>
      </c>
      <c r="L5510">
        <v>50.62</v>
      </c>
    </row>
    <row r="5511" spans="1:12">
      <c r="A5511" s="1">
        <v>46045</v>
      </c>
      <c r="B5511" t="s">
        <v>6558</v>
      </c>
      <c r="C5511">
        <v>24</v>
      </c>
      <c r="D5511" t="str">
        <f>VLOOKUP(Tabela26[[#This Row],[EMP]],[1]LOJA!$A:$B,2,0)</f>
        <v>LUZIÂNIA</v>
      </c>
      <c r="E5511">
        <v>192</v>
      </c>
      <c r="F5511" t="s">
        <v>6557</v>
      </c>
      <c r="G5511" t="s">
        <v>6556</v>
      </c>
      <c r="H5511" t="s">
        <v>5991</v>
      </c>
      <c r="I5511">
        <v>5102</v>
      </c>
      <c r="J5511" s="3">
        <v>140</v>
      </c>
      <c r="K5511" s="3">
        <v>83.49</v>
      </c>
      <c r="L5511">
        <v>40.36</v>
      </c>
    </row>
    <row r="5512" spans="1:12">
      <c r="A5512" s="1">
        <v>46045</v>
      </c>
      <c r="B5512" t="s">
        <v>6555</v>
      </c>
      <c r="C5512">
        <v>24</v>
      </c>
      <c r="D5512" t="str">
        <f>VLOOKUP(Tabela26[[#This Row],[EMP]],[1]LOJA!$A:$B,2,0)</f>
        <v>LUZIÂNIA</v>
      </c>
      <c r="E5512">
        <v>192</v>
      </c>
      <c r="F5512" t="s">
        <v>4286</v>
      </c>
      <c r="G5512" t="s">
        <v>4285</v>
      </c>
      <c r="H5512" t="s">
        <v>3430</v>
      </c>
      <c r="I5512">
        <v>5405</v>
      </c>
      <c r="J5512" s="3">
        <v>489</v>
      </c>
      <c r="K5512" s="3">
        <v>269.63</v>
      </c>
      <c r="L5512">
        <v>44.86</v>
      </c>
    </row>
    <row r="5513" spans="1:12">
      <c r="A5513" s="1">
        <v>46045</v>
      </c>
      <c r="B5513" t="s">
        <v>6554</v>
      </c>
      <c r="C5513">
        <v>24</v>
      </c>
      <c r="D5513" t="str">
        <f>VLOOKUP(Tabela26[[#This Row],[EMP]],[1]LOJA!$A:$B,2,0)</f>
        <v>LUZIÂNIA</v>
      </c>
      <c r="E5513">
        <v>150</v>
      </c>
      <c r="F5513" t="s">
        <v>4276</v>
      </c>
      <c r="G5513" t="s">
        <v>4275</v>
      </c>
      <c r="H5513" t="s">
        <v>3520</v>
      </c>
      <c r="I5513">
        <v>5102</v>
      </c>
      <c r="J5513" s="3">
        <v>2890</v>
      </c>
      <c r="K5513" s="3">
        <v>1668</v>
      </c>
      <c r="L5513">
        <v>42.28</v>
      </c>
    </row>
    <row r="5514" spans="1:12">
      <c r="A5514" s="1">
        <v>46045</v>
      </c>
      <c r="B5514" t="s">
        <v>6553</v>
      </c>
      <c r="C5514">
        <v>24</v>
      </c>
      <c r="D5514" t="str">
        <f>VLOOKUP(Tabela26[[#This Row],[EMP]],[1]LOJA!$A:$B,2,0)</f>
        <v>LUZIÂNIA</v>
      </c>
      <c r="E5514">
        <v>192</v>
      </c>
      <c r="F5514" t="s">
        <v>4286</v>
      </c>
      <c r="G5514" t="s">
        <v>4285</v>
      </c>
      <c r="H5514" t="s">
        <v>3430</v>
      </c>
      <c r="I5514">
        <v>5102</v>
      </c>
      <c r="J5514" s="3">
        <v>88</v>
      </c>
      <c r="K5514" s="3">
        <v>46.42</v>
      </c>
      <c r="L5514">
        <v>47.25</v>
      </c>
    </row>
    <row r="5515" spans="1:12">
      <c r="A5515" s="1">
        <v>46045</v>
      </c>
      <c r="B5515" t="s">
        <v>6552</v>
      </c>
      <c r="C5515">
        <v>24</v>
      </c>
      <c r="D5515" t="str">
        <f>VLOOKUP(Tabela26[[#This Row],[EMP]],[1]LOJA!$A:$B,2,0)</f>
        <v>LUZIÂNIA</v>
      </c>
      <c r="E5515">
        <v>150</v>
      </c>
      <c r="F5515" t="s">
        <v>6551</v>
      </c>
      <c r="G5515" t="s">
        <v>6550</v>
      </c>
      <c r="H5515" t="s">
        <v>4249</v>
      </c>
      <c r="I5515">
        <v>5102</v>
      </c>
      <c r="J5515" s="3">
        <v>2250</v>
      </c>
      <c r="K5515" s="3">
        <v>1240.3399999999999</v>
      </c>
      <c r="L5515">
        <v>44.87</v>
      </c>
    </row>
    <row r="5516" spans="1:12">
      <c r="A5516" s="1">
        <v>46045</v>
      </c>
      <c r="B5516" t="s">
        <v>6549</v>
      </c>
      <c r="C5516">
        <v>24</v>
      </c>
      <c r="D5516" t="str">
        <f>VLOOKUP(Tabela26[[#This Row],[EMP]],[1]LOJA!$A:$B,2,0)</f>
        <v>LUZIÂNIA</v>
      </c>
      <c r="E5516">
        <v>150</v>
      </c>
      <c r="F5516" t="s">
        <v>4273</v>
      </c>
      <c r="G5516" t="s">
        <v>4272</v>
      </c>
      <c r="H5516" t="s">
        <v>3520</v>
      </c>
      <c r="I5516">
        <v>5102</v>
      </c>
      <c r="J5516" s="3">
        <v>493</v>
      </c>
      <c r="K5516" s="3">
        <v>349.71</v>
      </c>
      <c r="L5516">
        <v>29.06</v>
      </c>
    </row>
    <row r="5517" spans="1:12">
      <c r="A5517" s="1">
        <v>46045</v>
      </c>
      <c r="B5517" t="s">
        <v>6548</v>
      </c>
      <c r="C5517">
        <v>24</v>
      </c>
      <c r="D5517" t="str">
        <f>VLOOKUP(Tabela26[[#This Row],[EMP]],[1]LOJA!$A:$B,2,0)</f>
        <v>LUZIÂNIA</v>
      </c>
      <c r="E5517">
        <v>150</v>
      </c>
      <c r="F5517" t="s">
        <v>5987</v>
      </c>
      <c r="G5517" t="s">
        <v>5986</v>
      </c>
      <c r="H5517" t="s">
        <v>3426</v>
      </c>
      <c r="I5517">
        <v>5405</v>
      </c>
      <c r="J5517" s="3">
        <v>228.56</v>
      </c>
      <c r="K5517" s="3">
        <v>115.75</v>
      </c>
      <c r="L5517">
        <v>49.36</v>
      </c>
    </row>
    <row r="5518" spans="1:12">
      <c r="A5518" s="1">
        <v>46045</v>
      </c>
      <c r="B5518" t="s">
        <v>6547</v>
      </c>
      <c r="C5518">
        <v>24</v>
      </c>
      <c r="D5518" t="str">
        <f>VLOOKUP(Tabela26[[#This Row],[EMP]],[1]LOJA!$A:$B,2,0)</f>
        <v>LUZIÂNIA</v>
      </c>
      <c r="E5518">
        <v>192</v>
      </c>
      <c r="F5518" t="s">
        <v>4940</v>
      </c>
      <c r="G5518" t="s">
        <v>4939</v>
      </c>
      <c r="H5518" t="s">
        <v>3430</v>
      </c>
      <c r="I5518">
        <v>5405</v>
      </c>
      <c r="J5518" s="3">
        <v>43</v>
      </c>
      <c r="K5518" s="3">
        <v>17.190000000000001</v>
      </c>
      <c r="L5518">
        <v>60.02</v>
      </c>
    </row>
    <row r="5519" spans="1:12">
      <c r="A5519" s="1">
        <v>46045</v>
      </c>
      <c r="B5519" t="s">
        <v>6546</v>
      </c>
      <c r="C5519">
        <v>24</v>
      </c>
      <c r="D5519" t="str">
        <f>VLOOKUP(Tabela26[[#This Row],[EMP]],[1]LOJA!$A:$B,2,0)</f>
        <v>LUZIÂNIA</v>
      </c>
      <c r="E5519">
        <v>150</v>
      </c>
      <c r="F5519" t="s">
        <v>4182</v>
      </c>
      <c r="G5519" t="s">
        <v>4181</v>
      </c>
      <c r="H5519" t="s">
        <v>3430</v>
      </c>
      <c r="I5519">
        <v>5102</v>
      </c>
      <c r="J5519" s="3">
        <v>346.8</v>
      </c>
      <c r="K5519" s="3">
        <v>223.92</v>
      </c>
      <c r="L5519">
        <v>35.43</v>
      </c>
    </row>
    <row r="5520" spans="1:12">
      <c r="A5520" s="1">
        <v>46045</v>
      </c>
      <c r="B5520" t="s">
        <v>6545</v>
      </c>
      <c r="C5520">
        <v>24</v>
      </c>
      <c r="D5520" t="str">
        <f>VLOOKUP(Tabela26[[#This Row],[EMP]],[1]LOJA!$A:$B,2,0)</f>
        <v>LUZIÂNIA</v>
      </c>
      <c r="E5520">
        <v>150</v>
      </c>
      <c r="F5520" t="s">
        <v>4276</v>
      </c>
      <c r="G5520" t="s">
        <v>4275</v>
      </c>
      <c r="H5520" t="s">
        <v>3520</v>
      </c>
      <c r="I5520">
        <v>5405</v>
      </c>
      <c r="J5520" s="3">
        <v>49.5</v>
      </c>
      <c r="K5520" s="3">
        <v>25.28</v>
      </c>
      <c r="L5520">
        <v>48.93</v>
      </c>
    </row>
    <row r="5521" spans="1:12">
      <c r="A5521" s="1">
        <v>46045</v>
      </c>
      <c r="B5521" t="s">
        <v>6544</v>
      </c>
      <c r="C5521">
        <v>24</v>
      </c>
      <c r="D5521" t="str">
        <f>VLOOKUP(Tabela26[[#This Row],[EMP]],[1]LOJA!$A:$B,2,0)</f>
        <v>LUZIÂNIA</v>
      </c>
      <c r="E5521">
        <v>192</v>
      </c>
      <c r="F5521" t="s">
        <v>4940</v>
      </c>
      <c r="G5521" t="s">
        <v>4939</v>
      </c>
      <c r="H5521" t="s">
        <v>3430</v>
      </c>
      <c r="I5521">
        <v>5405</v>
      </c>
      <c r="J5521" s="3">
        <v>149</v>
      </c>
      <c r="K5521" s="3">
        <v>89.61</v>
      </c>
      <c r="L5521">
        <v>39.86</v>
      </c>
    </row>
    <row r="5522" spans="1:12">
      <c r="A5522" s="1">
        <v>46045</v>
      </c>
      <c r="B5522" t="s">
        <v>6543</v>
      </c>
      <c r="C5522">
        <v>24</v>
      </c>
      <c r="D5522" t="str">
        <f>VLOOKUP(Tabela26[[#This Row],[EMP]],[1]LOJA!$A:$B,2,0)</f>
        <v>LUZIÂNIA</v>
      </c>
      <c r="E5522">
        <v>192</v>
      </c>
      <c r="F5522" t="s">
        <v>3549</v>
      </c>
      <c r="G5522" t="s">
        <v>3548</v>
      </c>
      <c r="H5522" t="s">
        <v>6467</v>
      </c>
      <c r="I5522">
        <v>5405</v>
      </c>
      <c r="J5522" s="3">
        <v>1217.68</v>
      </c>
      <c r="K5522" s="3">
        <v>746.82</v>
      </c>
      <c r="L5522">
        <v>38.67</v>
      </c>
    </row>
    <row r="5523" spans="1:12">
      <c r="A5523" s="1">
        <v>46045</v>
      </c>
      <c r="B5523" t="s">
        <v>6542</v>
      </c>
      <c r="C5523">
        <v>15</v>
      </c>
      <c r="D5523" t="str">
        <f>VLOOKUP(Tabela26[[#This Row],[EMP]],[1]LOJA!$A:$B,2,0)</f>
        <v>UNAÍ</v>
      </c>
      <c r="E5523">
        <v>183</v>
      </c>
      <c r="F5523" t="s">
        <v>4701</v>
      </c>
      <c r="G5523" t="s">
        <v>4700</v>
      </c>
      <c r="H5523" t="s">
        <v>3401</v>
      </c>
      <c r="I5523">
        <v>5405</v>
      </c>
      <c r="J5523" s="3">
        <v>43.55</v>
      </c>
      <c r="K5523" s="3">
        <v>19.34</v>
      </c>
      <c r="L5523">
        <v>55.59</v>
      </c>
    </row>
    <row r="5524" spans="1:12">
      <c r="A5524" s="1">
        <v>46045</v>
      </c>
      <c r="B5524" t="s">
        <v>6541</v>
      </c>
      <c r="C5524">
        <v>22</v>
      </c>
      <c r="D5524" t="str">
        <f>VLOOKUP(Tabela26[[#This Row],[EMP]],[1]LOJA!$A:$B,2,0)</f>
        <v>GUARÁ</v>
      </c>
      <c r="E5524">
        <v>93</v>
      </c>
      <c r="F5524" t="s">
        <v>6537</v>
      </c>
      <c r="G5524" t="s">
        <v>6536</v>
      </c>
      <c r="H5524" t="s">
        <v>4249</v>
      </c>
      <c r="I5524">
        <v>5405</v>
      </c>
      <c r="J5524" s="3">
        <v>640.28</v>
      </c>
      <c r="K5524" s="3">
        <v>345.15</v>
      </c>
      <c r="L5524">
        <v>46.09</v>
      </c>
    </row>
    <row r="5525" spans="1:12">
      <c r="A5525" s="1">
        <v>46045</v>
      </c>
      <c r="B5525" t="s">
        <v>6540</v>
      </c>
      <c r="C5525">
        <v>22</v>
      </c>
      <c r="D5525" t="str">
        <f>VLOOKUP(Tabela26[[#This Row],[EMP]],[1]LOJA!$A:$B,2,0)</f>
        <v>GUARÁ</v>
      </c>
      <c r="E5525">
        <v>93</v>
      </c>
      <c r="F5525" t="s">
        <v>3542</v>
      </c>
      <c r="G5525" t="s">
        <v>3541</v>
      </c>
      <c r="H5525" t="s">
        <v>3430</v>
      </c>
      <c r="I5525">
        <v>5102</v>
      </c>
      <c r="J5525" s="3">
        <v>101.8</v>
      </c>
      <c r="K5525" s="3">
        <v>62.62</v>
      </c>
      <c r="L5525">
        <v>38.49</v>
      </c>
    </row>
    <row r="5526" spans="1:12">
      <c r="A5526" s="1">
        <v>46045</v>
      </c>
      <c r="B5526" t="s">
        <v>6539</v>
      </c>
      <c r="C5526">
        <v>22</v>
      </c>
      <c r="D5526" t="str">
        <f>VLOOKUP(Tabela26[[#This Row],[EMP]],[1]LOJA!$A:$B,2,0)</f>
        <v>GUARÁ</v>
      </c>
      <c r="E5526">
        <v>93</v>
      </c>
      <c r="F5526" t="s">
        <v>3535</v>
      </c>
      <c r="G5526" t="s">
        <v>3534</v>
      </c>
      <c r="H5526" t="s">
        <v>3533</v>
      </c>
      <c r="I5526">
        <v>5102</v>
      </c>
      <c r="J5526" s="3">
        <v>259.89999999999998</v>
      </c>
      <c r="K5526" s="3">
        <v>145.55000000000001</v>
      </c>
      <c r="L5526">
        <v>44</v>
      </c>
    </row>
    <row r="5527" spans="1:12">
      <c r="A5527" s="1">
        <v>46045</v>
      </c>
      <c r="B5527" t="s">
        <v>6538</v>
      </c>
      <c r="C5527">
        <v>22</v>
      </c>
      <c r="D5527" t="str">
        <f>VLOOKUP(Tabela26[[#This Row],[EMP]],[1]LOJA!$A:$B,2,0)</f>
        <v>GUARÁ</v>
      </c>
      <c r="E5527">
        <v>93</v>
      </c>
      <c r="F5527" t="s">
        <v>6537</v>
      </c>
      <c r="G5527" t="s">
        <v>6536</v>
      </c>
      <c r="H5527" t="s">
        <v>3430</v>
      </c>
      <c r="I5527">
        <v>5102</v>
      </c>
      <c r="J5527" s="3">
        <v>209.7</v>
      </c>
      <c r="K5527" s="3">
        <v>142.13999999999999</v>
      </c>
      <c r="L5527">
        <v>32.22</v>
      </c>
    </row>
    <row r="5528" spans="1:12">
      <c r="A5528" s="1">
        <v>46045</v>
      </c>
      <c r="B5528" t="s">
        <v>6535</v>
      </c>
      <c r="C5528">
        <v>22</v>
      </c>
      <c r="D5528" t="str">
        <f>VLOOKUP(Tabela26[[#This Row],[EMP]],[1]LOJA!$A:$B,2,0)</f>
        <v>GUARÁ</v>
      </c>
      <c r="E5528">
        <v>93</v>
      </c>
      <c r="F5528" t="s">
        <v>4246</v>
      </c>
      <c r="G5528" t="s">
        <v>4245</v>
      </c>
      <c r="H5528" t="s">
        <v>3430</v>
      </c>
      <c r="I5528">
        <v>5405</v>
      </c>
      <c r="J5528" s="3">
        <v>207.41</v>
      </c>
      <c r="K5528" s="3">
        <v>117.62</v>
      </c>
      <c r="L5528">
        <v>43.29</v>
      </c>
    </row>
    <row r="5529" spans="1:12">
      <c r="A5529" s="1">
        <v>46045</v>
      </c>
      <c r="B5529" t="s">
        <v>6534</v>
      </c>
      <c r="C5529">
        <v>22</v>
      </c>
      <c r="D5529" t="str">
        <f>VLOOKUP(Tabela26[[#This Row],[EMP]],[1]LOJA!$A:$B,2,0)</f>
        <v>GUARÁ</v>
      </c>
      <c r="E5529">
        <v>93</v>
      </c>
      <c r="F5529" t="s">
        <v>3535</v>
      </c>
      <c r="G5529" t="s">
        <v>3534</v>
      </c>
      <c r="H5529" t="s">
        <v>3533</v>
      </c>
      <c r="I5529">
        <v>5102</v>
      </c>
      <c r="J5529" s="3">
        <v>259.8</v>
      </c>
      <c r="K5529" s="3">
        <v>149.52000000000001</v>
      </c>
      <c r="L5529">
        <v>42.45</v>
      </c>
    </row>
    <row r="5530" spans="1:12">
      <c r="A5530" s="1">
        <v>46045</v>
      </c>
      <c r="B5530" t="s">
        <v>6533</v>
      </c>
      <c r="C5530">
        <v>22</v>
      </c>
      <c r="D5530" t="str">
        <f>VLOOKUP(Tabela26[[#This Row],[EMP]],[1]LOJA!$A:$B,2,0)</f>
        <v>GUARÁ</v>
      </c>
      <c r="E5530">
        <v>93</v>
      </c>
      <c r="F5530" t="s">
        <v>4246</v>
      </c>
      <c r="G5530" t="s">
        <v>4245</v>
      </c>
      <c r="H5530" t="s">
        <v>3430</v>
      </c>
      <c r="I5530">
        <v>5405</v>
      </c>
      <c r="J5530" s="3">
        <v>64.52</v>
      </c>
      <c r="K5530" s="3">
        <v>33.26</v>
      </c>
      <c r="L5530">
        <v>48.45</v>
      </c>
    </row>
    <row r="5531" spans="1:12">
      <c r="A5531" s="1">
        <v>46045</v>
      </c>
      <c r="B5531" t="s">
        <v>6532</v>
      </c>
      <c r="C5531">
        <v>24</v>
      </c>
      <c r="D5531" t="str">
        <f>VLOOKUP(Tabela26[[#This Row],[EMP]],[1]LOJA!$A:$B,2,0)</f>
        <v>LUZIÂNIA</v>
      </c>
      <c r="E5531">
        <v>192</v>
      </c>
      <c r="F5531" t="s">
        <v>3524</v>
      </c>
      <c r="G5531" t="s">
        <v>3402</v>
      </c>
      <c r="H5531" t="s">
        <v>3401</v>
      </c>
      <c r="I5531">
        <v>5102</v>
      </c>
      <c r="J5531" s="3">
        <v>65</v>
      </c>
      <c r="K5531" s="3">
        <v>30.9</v>
      </c>
      <c r="L5531">
        <v>52.46</v>
      </c>
    </row>
    <row r="5532" spans="1:12">
      <c r="A5532" s="1">
        <v>46045</v>
      </c>
      <c r="B5532" t="s">
        <v>6531</v>
      </c>
      <c r="C5532">
        <v>24</v>
      </c>
      <c r="D5532" t="str">
        <f>VLOOKUP(Tabela26[[#This Row],[EMP]],[1]LOJA!$A:$B,2,0)</f>
        <v>LUZIÂNIA</v>
      </c>
      <c r="E5532">
        <v>192</v>
      </c>
      <c r="F5532" t="s">
        <v>3527</v>
      </c>
      <c r="G5532" t="s">
        <v>3526</v>
      </c>
      <c r="H5532" t="s">
        <v>3401</v>
      </c>
      <c r="I5532">
        <v>5102</v>
      </c>
      <c r="J5532" s="3">
        <v>43</v>
      </c>
      <c r="K5532" s="3">
        <v>20.82</v>
      </c>
      <c r="L5532">
        <v>51.58</v>
      </c>
    </row>
    <row r="5533" spans="1:12">
      <c r="A5533" s="1">
        <v>46045</v>
      </c>
      <c r="B5533" t="s">
        <v>6530</v>
      </c>
      <c r="C5533">
        <v>24</v>
      </c>
      <c r="D5533" t="str">
        <f>VLOOKUP(Tabela26[[#This Row],[EMP]],[1]LOJA!$A:$B,2,0)</f>
        <v>LUZIÂNIA</v>
      </c>
      <c r="E5533">
        <v>242</v>
      </c>
      <c r="F5533" t="s">
        <v>3524</v>
      </c>
      <c r="G5533" t="s">
        <v>3402</v>
      </c>
      <c r="H5533" t="s">
        <v>3401</v>
      </c>
      <c r="I5533">
        <v>5102</v>
      </c>
      <c r="J5533" s="3">
        <v>70</v>
      </c>
      <c r="K5533" s="3">
        <v>30.27</v>
      </c>
      <c r="L5533">
        <v>56.76</v>
      </c>
    </row>
    <row r="5534" spans="1:12">
      <c r="A5534" s="1">
        <v>46045</v>
      </c>
      <c r="B5534" t="s">
        <v>6529</v>
      </c>
      <c r="C5534">
        <v>24</v>
      </c>
      <c r="D5534" t="str">
        <f>VLOOKUP(Tabela26[[#This Row],[EMP]],[1]LOJA!$A:$B,2,0)</f>
        <v>LUZIÂNIA</v>
      </c>
      <c r="E5534">
        <v>150</v>
      </c>
      <c r="F5534" t="s">
        <v>4176</v>
      </c>
      <c r="G5534" t="s">
        <v>4175</v>
      </c>
      <c r="H5534" t="s">
        <v>3408</v>
      </c>
      <c r="I5534">
        <v>5102</v>
      </c>
      <c r="J5534" s="3">
        <v>139.9</v>
      </c>
      <c r="K5534" s="3">
        <v>63.6</v>
      </c>
      <c r="L5534">
        <v>54.54</v>
      </c>
    </row>
    <row r="5535" spans="1:12">
      <c r="A5535" s="1">
        <v>46045</v>
      </c>
      <c r="B5535" t="s">
        <v>6528</v>
      </c>
      <c r="C5535">
        <v>24</v>
      </c>
      <c r="D5535" t="str">
        <f>VLOOKUP(Tabela26[[#This Row],[EMP]],[1]LOJA!$A:$B,2,0)</f>
        <v>LUZIÂNIA</v>
      </c>
      <c r="E5535">
        <v>192</v>
      </c>
      <c r="F5535" t="s">
        <v>3524</v>
      </c>
      <c r="G5535" t="s">
        <v>3402</v>
      </c>
      <c r="H5535" t="s">
        <v>3401</v>
      </c>
      <c r="I5535">
        <v>5102</v>
      </c>
      <c r="J5535" s="3">
        <v>30</v>
      </c>
      <c r="K5535" s="3">
        <v>15.03</v>
      </c>
      <c r="L5535">
        <v>49.9</v>
      </c>
    </row>
    <row r="5536" spans="1:12">
      <c r="A5536" s="1">
        <v>46045</v>
      </c>
      <c r="B5536" t="s">
        <v>6527</v>
      </c>
      <c r="C5536">
        <v>24</v>
      </c>
      <c r="D5536" t="str">
        <f>VLOOKUP(Tabela26[[#This Row],[EMP]],[1]LOJA!$A:$B,2,0)</f>
        <v>LUZIÂNIA</v>
      </c>
      <c r="E5536">
        <v>192</v>
      </c>
      <c r="F5536" t="s">
        <v>3524</v>
      </c>
      <c r="G5536" t="s">
        <v>3402</v>
      </c>
      <c r="H5536" t="s">
        <v>3401</v>
      </c>
      <c r="I5536">
        <v>5102</v>
      </c>
      <c r="J5536" s="3">
        <v>24</v>
      </c>
      <c r="K5536" s="3">
        <v>13.92</v>
      </c>
      <c r="L5536">
        <v>42</v>
      </c>
    </row>
    <row r="5537" spans="1:12">
      <c r="A5537" s="1">
        <v>46045</v>
      </c>
      <c r="B5537" t="s">
        <v>6526</v>
      </c>
      <c r="C5537">
        <v>24</v>
      </c>
      <c r="D5537" t="str">
        <f>VLOOKUP(Tabela26[[#This Row],[EMP]],[1]LOJA!$A:$B,2,0)</f>
        <v>LUZIÂNIA</v>
      </c>
      <c r="E5537">
        <v>192</v>
      </c>
      <c r="F5537" t="s">
        <v>4895</v>
      </c>
      <c r="G5537" t="s">
        <v>3437</v>
      </c>
      <c r="H5537" t="s">
        <v>3408</v>
      </c>
      <c r="I5537">
        <v>5102</v>
      </c>
      <c r="J5537" s="3">
        <v>130</v>
      </c>
      <c r="K5537" s="3">
        <v>67.02</v>
      </c>
      <c r="L5537">
        <v>48.45</v>
      </c>
    </row>
    <row r="5538" spans="1:12">
      <c r="A5538" s="1">
        <v>46045</v>
      </c>
      <c r="B5538" t="s">
        <v>6525</v>
      </c>
      <c r="C5538">
        <v>24</v>
      </c>
      <c r="D5538" t="str">
        <f>VLOOKUP(Tabela26[[#This Row],[EMP]],[1]LOJA!$A:$B,2,0)</f>
        <v>LUZIÂNIA</v>
      </c>
      <c r="E5538">
        <v>192</v>
      </c>
      <c r="F5538" t="s">
        <v>4832</v>
      </c>
      <c r="G5538" t="s">
        <v>4831</v>
      </c>
      <c r="H5538" t="s">
        <v>3401</v>
      </c>
      <c r="I5538">
        <v>5405</v>
      </c>
      <c r="J5538" s="3">
        <v>52</v>
      </c>
      <c r="K5538" s="3">
        <v>22.55</v>
      </c>
      <c r="L5538">
        <v>56.63</v>
      </c>
    </row>
    <row r="5539" spans="1:12">
      <c r="A5539" s="1">
        <v>46045</v>
      </c>
      <c r="B5539" t="s">
        <v>6524</v>
      </c>
      <c r="C5539">
        <v>24</v>
      </c>
      <c r="D5539" t="str">
        <f>VLOOKUP(Tabela26[[#This Row],[EMP]],[1]LOJA!$A:$B,2,0)</f>
        <v>LUZIÂNIA</v>
      </c>
      <c r="E5539">
        <v>150</v>
      </c>
      <c r="F5539" t="s">
        <v>3524</v>
      </c>
      <c r="G5539" t="s">
        <v>3402</v>
      </c>
      <c r="H5539" t="s">
        <v>3401</v>
      </c>
      <c r="I5539">
        <v>5102</v>
      </c>
      <c r="J5539" s="3">
        <v>10</v>
      </c>
      <c r="K5539" s="3">
        <v>4.4000000000000004</v>
      </c>
      <c r="L5539">
        <v>56</v>
      </c>
    </row>
    <row r="5540" spans="1:12">
      <c r="A5540" s="1">
        <v>46045</v>
      </c>
      <c r="B5540" t="s">
        <v>6523</v>
      </c>
      <c r="C5540">
        <v>24</v>
      </c>
      <c r="D5540" t="str">
        <f>VLOOKUP(Tabela26[[#This Row],[EMP]],[1]LOJA!$A:$B,2,0)</f>
        <v>LUZIÂNIA</v>
      </c>
      <c r="E5540">
        <v>150</v>
      </c>
      <c r="F5540" t="s">
        <v>3524</v>
      </c>
      <c r="G5540" t="s">
        <v>3402</v>
      </c>
      <c r="H5540" t="s">
        <v>3401</v>
      </c>
      <c r="I5540">
        <v>5405</v>
      </c>
      <c r="J5540" s="3">
        <v>65</v>
      </c>
      <c r="K5540" s="3">
        <v>29.74</v>
      </c>
      <c r="L5540">
        <v>54.25</v>
      </c>
    </row>
    <row r="5541" spans="1:12">
      <c r="A5541" s="1">
        <v>46045</v>
      </c>
      <c r="B5541" t="s">
        <v>6522</v>
      </c>
      <c r="C5541">
        <v>24</v>
      </c>
      <c r="D5541" t="str">
        <f>VLOOKUP(Tabela26[[#This Row],[EMP]],[1]LOJA!$A:$B,2,0)</f>
        <v>LUZIÂNIA</v>
      </c>
      <c r="E5541">
        <v>150</v>
      </c>
      <c r="F5541" t="s">
        <v>6521</v>
      </c>
      <c r="G5541" t="s">
        <v>6520</v>
      </c>
      <c r="H5541" t="s">
        <v>3401</v>
      </c>
      <c r="I5541">
        <v>5405</v>
      </c>
      <c r="J5541" s="3">
        <v>145</v>
      </c>
      <c r="K5541" s="3">
        <v>63.04</v>
      </c>
      <c r="L5541">
        <v>56.52</v>
      </c>
    </row>
    <row r="5542" spans="1:12">
      <c r="A5542" s="1">
        <v>46045</v>
      </c>
      <c r="B5542" t="s">
        <v>6519</v>
      </c>
      <c r="C5542">
        <v>24</v>
      </c>
      <c r="D5542" t="str">
        <f>VLOOKUP(Tabela26[[#This Row],[EMP]],[1]LOJA!$A:$B,2,0)</f>
        <v>LUZIÂNIA</v>
      </c>
      <c r="E5542">
        <v>150</v>
      </c>
      <c r="F5542" t="s">
        <v>5426</v>
      </c>
      <c r="G5542" t="s">
        <v>5425</v>
      </c>
      <c r="H5542" t="s">
        <v>3401</v>
      </c>
      <c r="I5542">
        <v>5102</v>
      </c>
      <c r="J5542" s="3">
        <v>46</v>
      </c>
      <c r="K5542" s="3">
        <v>24.04</v>
      </c>
      <c r="L5542">
        <v>47.74</v>
      </c>
    </row>
    <row r="5543" spans="1:12">
      <c r="A5543" s="1">
        <v>46045</v>
      </c>
      <c r="B5543" t="s">
        <v>6518</v>
      </c>
      <c r="C5543">
        <v>24</v>
      </c>
      <c r="D5543" t="str">
        <f>VLOOKUP(Tabela26[[#This Row],[EMP]],[1]LOJA!$A:$B,2,0)</f>
        <v>LUZIÂNIA</v>
      </c>
      <c r="E5543">
        <v>150</v>
      </c>
      <c r="F5543" t="s">
        <v>5951</v>
      </c>
      <c r="G5543" t="s">
        <v>3402</v>
      </c>
      <c r="H5543" t="s">
        <v>3401</v>
      </c>
      <c r="I5543">
        <v>5102</v>
      </c>
      <c r="J5543" s="3">
        <v>20</v>
      </c>
      <c r="K5543" s="3">
        <v>10.14</v>
      </c>
      <c r="L5543">
        <v>49.3</v>
      </c>
    </row>
    <row r="5544" spans="1:12">
      <c r="A5544" s="1">
        <v>46045</v>
      </c>
      <c r="B5544" t="s">
        <v>6517</v>
      </c>
      <c r="C5544">
        <v>24</v>
      </c>
      <c r="D5544" t="str">
        <f>VLOOKUP(Tabela26[[#This Row],[EMP]],[1]LOJA!$A:$B,2,0)</f>
        <v>LUZIÂNIA</v>
      </c>
      <c r="E5544">
        <v>242</v>
      </c>
      <c r="F5544" t="s">
        <v>3524</v>
      </c>
      <c r="G5544" t="s">
        <v>3402</v>
      </c>
      <c r="H5544" t="s">
        <v>3401</v>
      </c>
      <c r="I5544">
        <v>5102</v>
      </c>
      <c r="J5544" s="3">
        <v>2</v>
      </c>
      <c r="K5544" s="3">
        <v>0.73</v>
      </c>
      <c r="L5544">
        <v>63.5</v>
      </c>
    </row>
    <row r="5545" spans="1:12">
      <c r="A5545" s="1">
        <v>46045</v>
      </c>
      <c r="B5545" t="s">
        <v>6516</v>
      </c>
      <c r="C5545">
        <v>24</v>
      </c>
      <c r="D5545" t="str">
        <f>VLOOKUP(Tabela26[[#This Row],[EMP]],[1]LOJA!$A:$B,2,0)</f>
        <v>LUZIÂNIA</v>
      </c>
      <c r="E5545">
        <v>150</v>
      </c>
      <c r="F5545" t="s">
        <v>3524</v>
      </c>
      <c r="G5545" t="s">
        <v>3402</v>
      </c>
      <c r="H5545" t="s">
        <v>3401</v>
      </c>
      <c r="I5545">
        <v>5102</v>
      </c>
      <c r="J5545" s="3">
        <v>25</v>
      </c>
      <c r="K5545" s="3">
        <v>11.24</v>
      </c>
      <c r="L5545">
        <v>55.04</v>
      </c>
    </row>
    <row r="5546" spans="1:12">
      <c r="A5546" s="1">
        <v>46045</v>
      </c>
      <c r="B5546" t="s">
        <v>6515</v>
      </c>
      <c r="C5546">
        <v>24</v>
      </c>
      <c r="D5546" t="str">
        <f>VLOOKUP(Tabela26[[#This Row],[EMP]],[1]LOJA!$A:$B,2,0)</f>
        <v>LUZIÂNIA</v>
      </c>
      <c r="E5546">
        <v>192</v>
      </c>
      <c r="F5546" t="s">
        <v>3524</v>
      </c>
      <c r="G5546" t="s">
        <v>3402</v>
      </c>
      <c r="H5546" t="s">
        <v>3401</v>
      </c>
      <c r="I5546">
        <v>5405</v>
      </c>
      <c r="J5546" s="3">
        <v>30</v>
      </c>
      <c r="K5546" s="3">
        <v>14.08</v>
      </c>
      <c r="L5546">
        <v>53.07</v>
      </c>
    </row>
    <row r="5547" spans="1:12">
      <c r="A5547" s="1">
        <v>46045</v>
      </c>
      <c r="B5547" t="s">
        <v>6514</v>
      </c>
      <c r="C5547">
        <v>24</v>
      </c>
      <c r="D5547" t="str">
        <f>VLOOKUP(Tabela26[[#This Row],[EMP]],[1]LOJA!$A:$B,2,0)</f>
        <v>LUZIÂNIA</v>
      </c>
      <c r="E5547">
        <v>150</v>
      </c>
      <c r="F5547" t="s">
        <v>6513</v>
      </c>
      <c r="G5547" t="s">
        <v>3402</v>
      </c>
      <c r="H5547" t="s">
        <v>3401</v>
      </c>
      <c r="I5547">
        <v>5405</v>
      </c>
      <c r="J5547" s="3">
        <v>400</v>
      </c>
      <c r="K5547" s="3">
        <v>202.37</v>
      </c>
      <c r="L5547">
        <v>49.41</v>
      </c>
    </row>
    <row r="5548" spans="1:12">
      <c r="A5548" s="1">
        <v>46045</v>
      </c>
      <c r="B5548" t="s">
        <v>6512</v>
      </c>
      <c r="C5548">
        <v>24</v>
      </c>
      <c r="D5548" t="str">
        <f>VLOOKUP(Tabela26[[#This Row],[EMP]],[1]LOJA!$A:$B,2,0)</f>
        <v>LUZIÂNIA</v>
      </c>
      <c r="E5548">
        <v>242</v>
      </c>
      <c r="F5548" t="s">
        <v>3524</v>
      </c>
      <c r="G5548" t="s">
        <v>3402</v>
      </c>
      <c r="H5548" t="s">
        <v>3401</v>
      </c>
      <c r="I5548">
        <v>5405</v>
      </c>
      <c r="J5548" s="3">
        <v>90</v>
      </c>
      <c r="K5548" s="3">
        <v>52</v>
      </c>
      <c r="L5548">
        <v>42.22</v>
      </c>
    </row>
    <row r="5549" spans="1:12">
      <c r="A5549" s="1">
        <v>46045</v>
      </c>
      <c r="B5549" t="s">
        <v>6511</v>
      </c>
      <c r="C5549">
        <v>24</v>
      </c>
      <c r="D5549" t="str">
        <f>VLOOKUP(Tabela26[[#This Row],[EMP]],[1]LOJA!$A:$B,2,0)</f>
        <v>LUZIÂNIA</v>
      </c>
      <c r="E5549">
        <v>242</v>
      </c>
      <c r="F5549" t="s">
        <v>3524</v>
      </c>
      <c r="G5549" t="s">
        <v>3402</v>
      </c>
      <c r="H5549" t="s">
        <v>3401</v>
      </c>
      <c r="I5549">
        <v>5102</v>
      </c>
      <c r="J5549" s="3">
        <v>14</v>
      </c>
      <c r="K5549" s="3">
        <v>5.75</v>
      </c>
      <c r="L5549">
        <v>58.93</v>
      </c>
    </row>
    <row r="5550" spans="1:12">
      <c r="A5550" s="1">
        <v>46045</v>
      </c>
      <c r="B5550" t="s">
        <v>6510</v>
      </c>
      <c r="C5550">
        <v>24</v>
      </c>
      <c r="D5550" t="str">
        <f>VLOOKUP(Tabela26[[#This Row],[EMP]],[1]LOJA!$A:$B,2,0)</f>
        <v>LUZIÂNIA</v>
      </c>
      <c r="E5550">
        <v>192</v>
      </c>
      <c r="F5550" t="s">
        <v>3524</v>
      </c>
      <c r="G5550" t="s">
        <v>3402</v>
      </c>
      <c r="H5550" t="s">
        <v>3401</v>
      </c>
      <c r="I5550">
        <v>5405</v>
      </c>
      <c r="J5550" s="3">
        <v>24</v>
      </c>
      <c r="K5550" s="3">
        <v>6.92</v>
      </c>
      <c r="L5550">
        <v>71.17</v>
      </c>
    </row>
    <row r="5551" spans="1:12">
      <c r="A5551" s="1">
        <v>46045</v>
      </c>
      <c r="B5551" t="s">
        <v>6509</v>
      </c>
      <c r="C5551">
        <v>24</v>
      </c>
      <c r="D5551" t="str">
        <f>VLOOKUP(Tabela26[[#This Row],[EMP]],[1]LOJA!$A:$B,2,0)</f>
        <v>LUZIÂNIA</v>
      </c>
      <c r="E5551">
        <v>150</v>
      </c>
      <c r="F5551" t="s">
        <v>4880</v>
      </c>
      <c r="G5551" t="s">
        <v>4879</v>
      </c>
      <c r="H5551" t="s">
        <v>3408</v>
      </c>
      <c r="I5551">
        <v>5102</v>
      </c>
      <c r="J5551" s="3">
        <v>27</v>
      </c>
      <c r="K5551" s="3">
        <v>12.48</v>
      </c>
      <c r="L5551">
        <v>53.78</v>
      </c>
    </row>
    <row r="5552" spans="1:12">
      <c r="A5552" s="1">
        <v>46045</v>
      </c>
      <c r="B5552" t="s">
        <v>6508</v>
      </c>
      <c r="C5552">
        <v>24</v>
      </c>
      <c r="D5552" t="str">
        <f>VLOOKUP(Tabela26[[#This Row],[EMP]],[1]LOJA!$A:$B,2,0)</f>
        <v>LUZIÂNIA</v>
      </c>
      <c r="E5552">
        <v>192</v>
      </c>
      <c r="F5552" t="s">
        <v>4169</v>
      </c>
      <c r="G5552" t="s">
        <v>4168</v>
      </c>
      <c r="H5552" t="s">
        <v>3401</v>
      </c>
      <c r="I5552">
        <v>5102</v>
      </c>
      <c r="J5552" s="3">
        <v>398.52</v>
      </c>
      <c r="K5552" s="3">
        <v>252.72</v>
      </c>
      <c r="L5552">
        <v>36.590000000000003</v>
      </c>
    </row>
    <row r="5553" spans="1:12">
      <c r="A5553" s="1">
        <v>46045</v>
      </c>
      <c r="B5553" t="s">
        <v>6507</v>
      </c>
      <c r="C5553">
        <v>24</v>
      </c>
      <c r="D5553" t="str">
        <f>VLOOKUP(Tabela26[[#This Row],[EMP]],[1]LOJA!$A:$B,2,0)</f>
        <v>LUZIÂNIA</v>
      </c>
      <c r="E5553">
        <v>150</v>
      </c>
      <c r="F5553" t="s">
        <v>5943</v>
      </c>
      <c r="G5553" t="s">
        <v>5942</v>
      </c>
      <c r="H5553" t="s">
        <v>3401</v>
      </c>
      <c r="I5553">
        <v>5405</v>
      </c>
      <c r="J5553" s="3">
        <v>265</v>
      </c>
      <c r="K5553" s="3">
        <v>117.25</v>
      </c>
      <c r="L5553">
        <v>55.75</v>
      </c>
    </row>
    <row r="5554" spans="1:12">
      <c r="A5554" s="1">
        <v>46045</v>
      </c>
      <c r="B5554" t="s">
        <v>6506</v>
      </c>
      <c r="C5554">
        <v>24</v>
      </c>
      <c r="D5554" t="str">
        <f>VLOOKUP(Tabela26[[#This Row],[EMP]],[1]LOJA!$A:$B,2,0)</f>
        <v>LUZIÂNIA</v>
      </c>
      <c r="E5554">
        <v>192</v>
      </c>
      <c r="F5554" t="s">
        <v>3524</v>
      </c>
      <c r="G5554" t="s">
        <v>3402</v>
      </c>
      <c r="H5554" t="s">
        <v>3401</v>
      </c>
      <c r="I5554">
        <v>5102</v>
      </c>
      <c r="J5554" s="3">
        <v>146</v>
      </c>
      <c r="K5554" s="3">
        <v>69.930000000000007</v>
      </c>
      <c r="L5554">
        <v>52.1</v>
      </c>
    </row>
    <row r="5555" spans="1:12">
      <c r="A5555" s="1">
        <v>46045</v>
      </c>
      <c r="B5555" t="s">
        <v>6505</v>
      </c>
      <c r="C5555">
        <v>24</v>
      </c>
      <c r="D5555" t="str">
        <f>VLOOKUP(Tabela26[[#This Row],[EMP]],[1]LOJA!$A:$B,2,0)</f>
        <v>LUZIÂNIA</v>
      </c>
      <c r="E5555">
        <v>150</v>
      </c>
      <c r="F5555" t="s">
        <v>4182</v>
      </c>
      <c r="G5555" t="s">
        <v>4181</v>
      </c>
      <c r="H5555" t="s">
        <v>3401</v>
      </c>
      <c r="I5555">
        <v>5102</v>
      </c>
      <c r="J5555" s="3">
        <v>37</v>
      </c>
      <c r="K5555" s="3">
        <v>17.77</v>
      </c>
      <c r="L5555">
        <v>51.97</v>
      </c>
    </row>
    <row r="5556" spans="1:12">
      <c r="A5556" s="1">
        <v>46045</v>
      </c>
      <c r="B5556" t="s">
        <v>6504</v>
      </c>
      <c r="C5556">
        <v>24</v>
      </c>
      <c r="D5556" t="str">
        <f>VLOOKUP(Tabela26[[#This Row],[EMP]],[1]LOJA!$A:$B,2,0)</f>
        <v>LUZIÂNIA</v>
      </c>
      <c r="E5556">
        <v>150</v>
      </c>
      <c r="F5556" t="s">
        <v>3524</v>
      </c>
      <c r="G5556" t="s">
        <v>3402</v>
      </c>
      <c r="H5556" t="s">
        <v>3401</v>
      </c>
      <c r="I5556">
        <v>5102</v>
      </c>
      <c r="J5556" s="3">
        <v>27</v>
      </c>
      <c r="K5556" s="3">
        <v>12.48</v>
      </c>
      <c r="L5556">
        <v>53.78</v>
      </c>
    </row>
    <row r="5557" spans="1:12">
      <c r="A5557" s="1">
        <v>46045</v>
      </c>
      <c r="B5557" t="s">
        <v>6503</v>
      </c>
      <c r="C5557">
        <v>12</v>
      </c>
      <c r="D5557" t="str">
        <f>VLOOKUP(Tabela26[[#This Row],[EMP]],[1]LOJA!$A:$B,2,0)</f>
        <v>SOFNORTE</v>
      </c>
      <c r="E5557">
        <v>60</v>
      </c>
      <c r="F5557" t="s">
        <v>4813</v>
      </c>
      <c r="G5557" t="s">
        <v>4812</v>
      </c>
      <c r="H5557" t="s">
        <v>6243</v>
      </c>
      <c r="I5557">
        <v>5102</v>
      </c>
      <c r="J5557" s="3">
        <v>23</v>
      </c>
      <c r="K5557" s="3">
        <v>10.52</v>
      </c>
      <c r="L5557">
        <v>54.26</v>
      </c>
    </row>
    <row r="5558" spans="1:12">
      <c r="A5558" s="1">
        <v>46045</v>
      </c>
      <c r="B5558" t="s">
        <v>6502</v>
      </c>
      <c r="C5558">
        <v>12</v>
      </c>
      <c r="D5558" t="str">
        <f>VLOOKUP(Tabela26[[#This Row],[EMP]],[1]LOJA!$A:$B,2,0)</f>
        <v>SOFNORTE</v>
      </c>
      <c r="E5558">
        <v>60</v>
      </c>
      <c r="F5558" t="s">
        <v>4162</v>
      </c>
      <c r="G5558" t="s">
        <v>4161</v>
      </c>
      <c r="H5558" t="s">
        <v>3430</v>
      </c>
      <c r="I5558">
        <v>5405</v>
      </c>
      <c r="J5558" s="3">
        <v>90.38</v>
      </c>
      <c r="K5558" s="3">
        <v>44.6</v>
      </c>
      <c r="L5558">
        <v>50.65</v>
      </c>
    </row>
    <row r="5559" spans="1:12">
      <c r="A5559" s="1">
        <v>46045</v>
      </c>
      <c r="B5559" t="s">
        <v>6501</v>
      </c>
      <c r="C5559">
        <v>12</v>
      </c>
      <c r="D5559" t="str">
        <f>VLOOKUP(Tabela26[[#This Row],[EMP]],[1]LOJA!$A:$B,2,0)</f>
        <v>SOFNORTE</v>
      </c>
      <c r="E5559">
        <v>60</v>
      </c>
      <c r="F5559" t="s">
        <v>4813</v>
      </c>
      <c r="G5559" t="s">
        <v>4812</v>
      </c>
      <c r="H5559" t="s">
        <v>6243</v>
      </c>
      <c r="I5559">
        <v>5405</v>
      </c>
      <c r="J5559" s="3">
        <v>38</v>
      </c>
      <c r="K5559" s="3">
        <v>16.760000000000002</v>
      </c>
      <c r="L5559">
        <v>55.89</v>
      </c>
    </row>
    <row r="5560" spans="1:12">
      <c r="A5560" s="1">
        <v>46045</v>
      </c>
      <c r="B5560" t="s">
        <v>6500</v>
      </c>
      <c r="C5560">
        <v>12</v>
      </c>
      <c r="D5560" t="str">
        <f>VLOOKUP(Tabela26[[#This Row],[EMP]],[1]LOJA!$A:$B,2,0)</f>
        <v>SOFNORTE</v>
      </c>
      <c r="E5560">
        <v>60</v>
      </c>
      <c r="F5560" t="s">
        <v>4156</v>
      </c>
      <c r="G5560" t="s">
        <v>4155</v>
      </c>
      <c r="H5560" t="s">
        <v>6243</v>
      </c>
      <c r="I5560">
        <v>5405</v>
      </c>
      <c r="J5560" s="3">
        <v>87.9</v>
      </c>
      <c r="K5560" s="3">
        <v>36.92</v>
      </c>
      <c r="L5560">
        <v>58</v>
      </c>
    </row>
    <row r="5561" spans="1:12">
      <c r="A5561" s="1">
        <v>46045</v>
      </c>
      <c r="B5561" t="s">
        <v>6499</v>
      </c>
      <c r="C5561">
        <v>22</v>
      </c>
      <c r="D5561" t="str">
        <f>VLOOKUP(Tabela26[[#This Row],[EMP]],[1]LOJA!$A:$B,2,0)</f>
        <v>GUARÁ</v>
      </c>
      <c r="E5561">
        <v>93</v>
      </c>
      <c r="F5561" t="s">
        <v>4136</v>
      </c>
      <c r="G5561" t="s">
        <v>4135</v>
      </c>
      <c r="H5561" t="s">
        <v>3430</v>
      </c>
      <c r="I5561">
        <v>5405</v>
      </c>
      <c r="J5561" s="3">
        <v>151.05000000000001</v>
      </c>
      <c r="K5561" s="3">
        <v>77.52</v>
      </c>
      <c r="L5561">
        <v>48.68</v>
      </c>
    </row>
    <row r="5562" spans="1:12">
      <c r="A5562" s="1">
        <v>46045</v>
      </c>
      <c r="B5562" t="s">
        <v>6498</v>
      </c>
      <c r="C5562">
        <v>22</v>
      </c>
      <c r="D5562" t="str">
        <f>VLOOKUP(Tabela26[[#This Row],[EMP]],[1]LOJA!$A:$B,2,0)</f>
        <v>GUARÁ</v>
      </c>
      <c r="E5562">
        <v>93</v>
      </c>
      <c r="F5562" t="s">
        <v>4144</v>
      </c>
      <c r="G5562" t="s">
        <v>4143</v>
      </c>
      <c r="H5562" t="s">
        <v>6497</v>
      </c>
      <c r="I5562">
        <v>5405</v>
      </c>
      <c r="J5562" s="3">
        <v>173.13</v>
      </c>
      <c r="K5562" s="3">
        <v>90.36</v>
      </c>
      <c r="L5562">
        <v>47.81</v>
      </c>
    </row>
    <row r="5563" spans="1:12">
      <c r="A5563" s="1">
        <v>46045</v>
      </c>
      <c r="B5563" t="s">
        <v>6496</v>
      </c>
      <c r="C5563">
        <v>22</v>
      </c>
      <c r="D5563" t="str">
        <f>VLOOKUP(Tabela26[[#This Row],[EMP]],[1]LOJA!$A:$B,2,0)</f>
        <v>GUARÁ</v>
      </c>
      <c r="E5563">
        <v>93</v>
      </c>
      <c r="F5563" t="s">
        <v>3514</v>
      </c>
      <c r="G5563" t="s">
        <v>3513</v>
      </c>
      <c r="H5563" t="s">
        <v>3430</v>
      </c>
      <c r="I5563">
        <v>5405</v>
      </c>
      <c r="J5563" s="3">
        <v>237.2</v>
      </c>
      <c r="K5563" s="3">
        <v>123.12</v>
      </c>
      <c r="L5563">
        <v>48.09</v>
      </c>
    </row>
    <row r="5564" spans="1:12">
      <c r="A5564" s="1">
        <v>46045</v>
      </c>
      <c r="B5564" t="s">
        <v>6495</v>
      </c>
      <c r="C5564">
        <v>22</v>
      </c>
      <c r="D5564" t="str">
        <f>VLOOKUP(Tabela26[[#This Row],[EMP]],[1]LOJA!$A:$B,2,0)</f>
        <v>GUARÁ</v>
      </c>
      <c r="E5564">
        <v>93</v>
      </c>
      <c r="F5564" t="s">
        <v>4808</v>
      </c>
      <c r="G5564" t="s">
        <v>4807</v>
      </c>
      <c r="H5564" t="s">
        <v>3430</v>
      </c>
      <c r="I5564">
        <v>5405</v>
      </c>
      <c r="J5564" s="3">
        <v>1338.3</v>
      </c>
      <c r="K5564" s="3">
        <v>703.02</v>
      </c>
      <c r="L5564">
        <v>47.47</v>
      </c>
    </row>
    <row r="5565" spans="1:12">
      <c r="A5565" s="1">
        <v>46045</v>
      </c>
      <c r="B5565" t="s">
        <v>6494</v>
      </c>
      <c r="C5565">
        <v>22</v>
      </c>
      <c r="D5565" t="str">
        <f>VLOOKUP(Tabela26[[#This Row],[EMP]],[1]LOJA!$A:$B,2,0)</f>
        <v>GUARÁ</v>
      </c>
      <c r="E5565">
        <v>93</v>
      </c>
      <c r="F5565" t="s">
        <v>6493</v>
      </c>
      <c r="G5565" t="s">
        <v>6492</v>
      </c>
      <c r="H5565" t="s">
        <v>3430</v>
      </c>
      <c r="I5565">
        <v>5405</v>
      </c>
      <c r="J5565" s="3">
        <v>67.13</v>
      </c>
      <c r="K5565" s="3">
        <v>33.86</v>
      </c>
      <c r="L5565">
        <v>49.56</v>
      </c>
    </row>
    <row r="5566" spans="1:12">
      <c r="A5566" s="1">
        <v>46045</v>
      </c>
      <c r="B5566" t="s">
        <v>6491</v>
      </c>
      <c r="C5566">
        <v>22</v>
      </c>
      <c r="D5566" t="str">
        <f>VLOOKUP(Tabela26[[#This Row],[EMP]],[1]LOJA!$A:$B,2,0)</f>
        <v>GUARÁ</v>
      </c>
      <c r="E5566">
        <v>93</v>
      </c>
      <c r="F5566" t="s">
        <v>4147</v>
      </c>
      <c r="G5566" t="s">
        <v>4146</v>
      </c>
      <c r="H5566" t="s">
        <v>3430</v>
      </c>
      <c r="I5566">
        <v>5405</v>
      </c>
      <c r="J5566" s="3">
        <v>240.33</v>
      </c>
      <c r="K5566" s="3">
        <v>130.71</v>
      </c>
      <c r="L5566">
        <v>45.61</v>
      </c>
    </row>
    <row r="5567" spans="1:12">
      <c r="A5567" s="1">
        <v>46045</v>
      </c>
      <c r="B5567" t="s">
        <v>6490</v>
      </c>
      <c r="C5567">
        <v>22</v>
      </c>
      <c r="D5567" t="str">
        <f>VLOOKUP(Tabela26[[#This Row],[EMP]],[1]LOJA!$A:$B,2,0)</f>
        <v>GUARÁ</v>
      </c>
      <c r="E5567">
        <v>93</v>
      </c>
      <c r="F5567" t="s">
        <v>3514</v>
      </c>
      <c r="G5567" t="s">
        <v>3513</v>
      </c>
      <c r="H5567" t="s">
        <v>3430</v>
      </c>
      <c r="I5567">
        <v>5405</v>
      </c>
      <c r="J5567" s="3">
        <v>72.14</v>
      </c>
      <c r="K5567" s="3">
        <v>33.94</v>
      </c>
      <c r="L5567">
        <v>52.95</v>
      </c>
    </row>
    <row r="5568" spans="1:12">
      <c r="A5568" s="1">
        <v>46045</v>
      </c>
      <c r="B5568" t="s">
        <v>6489</v>
      </c>
      <c r="C5568">
        <v>22</v>
      </c>
      <c r="D5568" t="str">
        <f>VLOOKUP(Tabela26[[#This Row],[EMP]],[1]LOJA!$A:$B,2,0)</f>
        <v>GUARÁ</v>
      </c>
      <c r="E5568">
        <v>93</v>
      </c>
      <c r="F5568" t="s">
        <v>3508</v>
      </c>
      <c r="G5568" t="s">
        <v>3507</v>
      </c>
      <c r="H5568" t="s">
        <v>3430</v>
      </c>
      <c r="I5568">
        <v>5102</v>
      </c>
      <c r="J5568" s="3">
        <v>139.80000000000001</v>
      </c>
      <c r="K5568" s="3">
        <v>94.76</v>
      </c>
      <c r="L5568">
        <v>32.22</v>
      </c>
    </row>
    <row r="5569" spans="1:12">
      <c r="A5569" s="1">
        <v>46045</v>
      </c>
      <c r="B5569" t="s">
        <v>6488</v>
      </c>
      <c r="C5569">
        <v>22</v>
      </c>
      <c r="D5569" t="str">
        <f>VLOOKUP(Tabela26[[#This Row],[EMP]],[1]LOJA!$A:$B,2,0)</f>
        <v>GUARÁ</v>
      </c>
      <c r="E5569">
        <v>93</v>
      </c>
      <c r="F5569" t="s">
        <v>4805</v>
      </c>
      <c r="G5569" t="s">
        <v>4804</v>
      </c>
      <c r="H5569" t="s">
        <v>3430</v>
      </c>
      <c r="I5569">
        <v>5102</v>
      </c>
      <c r="J5569" s="3">
        <v>102.9</v>
      </c>
      <c r="K5569" s="3">
        <v>69.209999999999994</v>
      </c>
      <c r="L5569">
        <v>32.74</v>
      </c>
    </row>
    <row r="5570" spans="1:12">
      <c r="A5570" s="1">
        <v>46045</v>
      </c>
      <c r="B5570" t="s">
        <v>6487</v>
      </c>
      <c r="C5570">
        <v>22</v>
      </c>
      <c r="D5570" t="str">
        <f>VLOOKUP(Tabela26[[#This Row],[EMP]],[1]LOJA!$A:$B,2,0)</f>
        <v>GUARÁ</v>
      </c>
      <c r="E5570">
        <v>93</v>
      </c>
      <c r="F5570" t="s">
        <v>4151</v>
      </c>
      <c r="G5570" t="s">
        <v>4150</v>
      </c>
      <c r="H5570" t="s">
        <v>3430</v>
      </c>
      <c r="I5570">
        <v>5405</v>
      </c>
      <c r="J5570" s="3">
        <v>177.62</v>
      </c>
      <c r="K5570" s="3">
        <v>87.57</v>
      </c>
      <c r="L5570">
        <v>50.7</v>
      </c>
    </row>
    <row r="5571" spans="1:12">
      <c r="A5571" s="1">
        <v>46045</v>
      </c>
      <c r="B5571" t="s">
        <v>6486</v>
      </c>
      <c r="C5571">
        <v>22</v>
      </c>
      <c r="D5571" t="str">
        <f>VLOOKUP(Tabela26[[#This Row],[EMP]],[1]LOJA!$A:$B,2,0)</f>
        <v>GUARÁ</v>
      </c>
      <c r="E5571">
        <v>93</v>
      </c>
      <c r="F5571" t="s">
        <v>4805</v>
      </c>
      <c r="G5571" t="s">
        <v>4804</v>
      </c>
      <c r="H5571" t="s">
        <v>3430</v>
      </c>
      <c r="I5571">
        <v>5102</v>
      </c>
      <c r="J5571" s="3">
        <v>293.51</v>
      </c>
      <c r="K5571" s="3">
        <v>165.33</v>
      </c>
      <c r="L5571">
        <v>43.67</v>
      </c>
    </row>
    <row r="5572" spans="1:12">
      <c r="A5572" s="1">
        <v>46045</v>
      </c>
      <c r="B5572" t="s">
        <v>6485</v>
      </c>
      <c r="C5572">
        <v>13</v>
      </c>
      <c r="D5572" t="str">
        <f>VLOOKUP(Tabela26[[#This Row],[EMP]],[1]LOJA!$A:$B,2,0)</f>
        <v>CEILÂNDIA</v>
      </c>
      <c r="E5572">
        <v>33</v>
      </c>
      <c r="F5572" t="s">
        <v>4792</v>
      </c>
      <c r="G5572" t="s">
        <v>4791</v>
      </c>
      <c r="H5572" t="s">
        <v>6467</v>
      </c>
      <c r="I5572">
        <v>5405</v>
      </c>
      <c r="J5572" s="3">
        <v>529.9</v>
      </c>
      <c r="K5572" s="3">
        <v>328.02</v>
      </c>
      <c r="L5572">
        <v>38.1</v>
      </c>
    </row>
    <row r="5573" spans="1:12">
      <c r="A5573" s="1">
        <v>46045</v>
      </c>
      <c r="B5573" t="s">
        <v>6484</v>
      </c>
      <c r="C5573">
        <v>13</v>
      </c>
      <c r="D5573" t="str">
        <f>VLOOKUP(Tabela26[[#This Row],[EMP]],[1]LOJA!$A:$B,2,0)</f>
        <v>CEILÂNDIA</v>
      </c>
      <c r="E5573">
        <v>33</v>
      </c>
      <c r="F5573" t="s">
        <v>4792</v>
      </c>
      <c r="G5573" t="s">
        <v>4791</v>
      </c>
      <c r="H5573" t="s">
        <v>6467</v>
      </c>
      <c r="I5573">
        <v>5102</v>
      </c>
      <c r="J5573" s="3">
        <v>2980</v>
      </c>
      <c r="K5573" s="3">
        <v>1720.5</v>
      </c>
      <c r="L5573">
        <v>42.27</v>
      </c>
    </row>
    <row r="5574" spans="1:12">
      <c r="A5574" s="1">
        <v>46045</v>
      </c>
      <c r="B5574" t="s">
        <v>6483</v>
      </c>
      <c r="C5574">
        <v>13</v>
      </c>
      <c r="D5574" t="str">
        <f>VLOOKUP(Tabela26[[#This Row],[EMP]],[1]LOJA!$A:$B,2,0)</f>
        <v>CEILÂNDIA</v>
      </c>
      <c r="E5574">
        <v>33</v>
      </c>
      <c r="F5574" t="s">
        <v>4792</v>
      </c>
      <c r="G5574" t="s">
        <v>4791</v>
      </c>
      <c r="H5574" t="s">
        <v>3401</v>
      </c>
      <c r="I5574">
        <v>5910</v>
      </c>
      <c r="J5574" s="3">
        <v>0</v>
      </c>
      <c r="K5574" s="3">
        <v>893.88</v>
      </c>
      <c r="L5574">
        <v>0</v>
      </c>
    </row>
    <row r="5575" spans="1:12">
      <c r="A5575" s="1">
        <v>46045</v>
      </c>
      <c r="B5575" t="s">
        <v>6482</v>
      </c>
      <c r="C5575">
        <v>13</v>
      </c>
      <c r="D5575" t="str">
        <f>VLOOKUP(Tabela26[[#This Row],[EMP]],[1]LOJA!$A:$B,2,0)</f>
        <v>CEILÂNDIA</v>
      </c>
      <c r="E5575">
        <v>86</v>
      </c>
      <c r="F5575" t="s">
        <v>4118</v>
      </c>
      <c r="G5575" t="s">
        <v>4117</v>
      </c>
      <c r="H5575" t="s">
        <v>3430</v>
      </c>
      <c r="I5575">
        <v>5405</v>
      </c>
      <c r="J5575" s="3">
        <v>57.31</v>
      </c>
      <c r="K5575" s="3">
        <v>31.32</v>
      </c>
      <c r="L5575">
        <v>45.35</v>
      </c>
    </row>
    <row r="5576" spans="1:12">
      <c r="A5576" s="1">
        <v>46045</v>
      </c>
      <c r="B5576" t="s">
        <v>6481</v>
      </c>
      <c r="C5576">
        <v>13</v>
      </c>
      <c r="D5576" t="str">
        <f>VLOOKUP(Tabela26[[#This Row],[EMP]],[1]LOJA!$A:$B,2,0)</f>
        <v>CEILÂNDIA</v>
      </c>
      <c r="E5576">
        <v>86</v>
      </c>
      <c r="F5576" t="s">
        <v>5873</v>
      </c>
      <c r="G5576" t="s">
        <v>5872</v>
      </c>
      <c r="H5576" t="s">
        <v>3401</v>
      </c>
      <c r="I5576">
        <v>5405</v>
      </c>
      <c r="J5576" s="3">
        <v>399.9</v>
      </c>
      <c r="K5576" s="3">
        <v>220.81</v>
      </c>
      <c r="L5576">
        <v>44.78</v>
      </c>
    </row>
    <row r="5577" spans="1:12">
      <c r="A5577" s="1">
        <v>46045</v>
      </c>
      <c r="B5577" t="s">
        <v>6480</v>
      </c>
      <c r="C5577">
        <v>13</v>
      </c>
      <c r="D5577" t="str">
        <f>VLOOKUP(Tabela26[[#This Row],[EMP]],[1]LOJA!$A:$B,2,0)</f>
        <v>CEILÂNDIA</v>
      </c>
      <c r="E5577">
        <v>33</v>
      </c>
      <c r="F5577" t="s">
        <v>5845</v>
      </c>
      <c r="G5577" t="s">
        <v>5844</v>
      </c>
      <c r="H5577" t="s">
        <v>6467</v>
      </c>
      <c r="I5577">
        <v>5405</v>
      </c>
      <c r="J5577" s="3">
        <v>1650.94</v>
      </c>
      <c r="K5577" s="3">
        <v>698.6</v>
      </c>
      <c r="L5577">
        <v>57.68</v>
      </c>
    </row>
    <row r="5578" spans="1:12">
      <c r="A5578" s="1">
        <v>46045</v>
      </c>
      <c r="B5578" t="s">
        <v>6479</v>
      </c>
      <c r="C5578">
        <v>13</v>
      </c>
      <c r="D5578" t="str">
        <f>VLOOKUP(Tabela26[[#This Row],[EMP]],[1]LOJA!$A:$B,2,0)</f>
        <v>CEILÂNDIA</v>
      </c>
      <c r="E5578">
        <v>86</v>
      </c>
      <c r="F5578" t="s">
        <v>4097</v>
      </c>
      <c r="G5578" t="s">
        <v>4096</v>
      </c>
      <c r="H5578" t="s">
        <v>3430</v>
      </c>
      <c r="I5578">
        <v>5102</v>
      </c>
      <c r="J5578" s="3">
        <v>62.91</v>
      </c>
      <c r="K5578" s="3">
        <v>30.9</v>
      </c>
      <c r="L5578">
        <v>50.88</v>
      </c>
    </row>
    <row r="5579" spans="1:12">
      <c r="A5579" s="1">
        <v>46045</v>
      </c>
      <c r="B5579" t="s">
        <v>6478</v>
      </c>
      <c r="C5579">
        <v>13</v>
      </c>
      <c r="D5579" t="str">
        <f>VLOOKUP(Tabela26[[#This Row],[EMP]],[1]LOJA!$A:$B,2,0)</f>
        <v>CEILÂNDIA</v>
      </c>
      <c r="E5579">
        <v>33</v>
      </c>
      <c r="F5579" t="s">
        <v>3505</v>
      </c>
      <c r="G5579" t="s">
        <v>3504</v>
      </c>
      <c r="H5579" t="s">
        <v>3430</v>
      </c>
      <c r="I5579">
        <v>5405</v>
      </c>
      <c r="J5579" s="3">
        <v>96.74</v>
      </c>
      <c r="K5579" s="3">
        <v>40.92</v>
      </c>
      <c r="L5579">
        <v>57.7</v>
      </c>
    </row>
    <row r="5580" spans="1:12">
      <c r="A5580" s="1">
        <v>46045</v>
      </c>
      <c r="B5580" t="s">
        <v>6477</v>
      </c>
      <c r="C5580">
        <v>13</v>
      </c>
      <c r="D5580" t="str">
        <f>VLOOKUP(Tabela26[[#This Row],[EMP]],[1]LOJA!$A:$B,2,0)</f>
        <v>CEILÂNDIA</v>
      </c>
      <c r="E5580">
        <v>86</v>
      </c>
      <c r="F5580" t="s">
        <v>3501</v>
      </c>
      <c r="G5580" t="s">
        <v>3500</v>
      </c>
      <c r="H5580" t="s">
        <v>3430</v>
      </c>
      <c r="I5580">
        <v>5102</v>
      </c>
      <c r="J5580" s="3">
        <v>17</v>
      </c>
      <c r="K5580" s="3">
        <v>8.32</v>
      </c>
      <c r="L5580">
        <v>51.06</v>
      </c>
    </row>
    <row r="5581" spans="1:12">
      <c r="A5581" s="1">
        <v>46045</v>
      </c>
      <c r="B5581" t="s">
        <v>6476</v>
      </c>
      <c r="C5581">
        <v>13</v>
      </c>
      <c r="D5581" t="str">
        <f>VLOOKUP(Tabela26[[#This Row],[EMP]],[1]LOJA!$A:$B,2,0)</f>
        <v>CEILÂNDIA</v>
      </c>
      <c r="E5581">
        <v>33</v>
      </c>
      <c r="F5581" t="s">
        <v>5320</v>
      </c>
      <c r="G5581" t="s">
        <v>5319</v>
      </c>
      <c r="H5581" t="s">
        <v>3430</v>
      </c>
      <c r="I5581">
        <v>5405</v>
      </c>
      <c r="J5581" s="3">
        <v>55</v>
      </c>
      <c r="K5581" s="3">
        <v>26.13</v>
      </c>
      <c r="L5581">
        <v>52.49</v>
      </c>
    </row>
    <row r="5582" spans="1:12">
      <c r="A5582" s="1">
        <v>46045</v>
      </c>
      <c r="B5582" t="s">
        <v>6475</v>
      </c>
      <c r="C5582">
        <v>13</v>
      </c>
      <c r="D5582" t="str">
        <f>VLOOKUP(Tabela26[[#This Row],[EMP]],[1]LOJA!$A:$B,2,0)</f>
        <v>CEILÂNDIA</v>
      </c>
      <c r="E5582">
        <v>33</v>
      </c>
      <c r="F5582" t="s">
        <v>3505</v>
      </c>
      <c r="G5582" t="s">
        <v>3504</v>
      </c>
      <c r="H5582" t="s">
        <v>3430</v>
      </c>
      <c r="I5582">
        <v>5405</v>
      </c>
      <c r="J5582" s="3">
        <v>159.57</v>
      </c>
      <c r="K5582" s="3">
        <v>83.43</v>
      </c>
      <c r="L5582">
        <v>47.72</v>
      </c>
    </row>
    <row r="5583" spans="1:12">
      <c r="A5583" s="1">
        <v>46045</v>
      </c>
      <c r="B5583" t="s">
        <v>6474</v>
      </c>
      <c r="C5583">
        <v>13</v>
      </c>
      <c r="D5583" t="str">
        <f>VLOOKUP(Tabela26[[#This Row],[EMP]],[1]LOJA!$A:$B,2,0)</f>
        <v>CEILÂNDIA</v>
      </c>
      <c r="E5583">
        <v>86</v>
      </c>
      <c r="F5583" t="s">
        <v>4081</v>
      </c>
      <c r="G5583" t="s">
        <v>4080</v>
      </c>
      <c r="H5583" t="s">
        <v>6467</v>
      </c>
      <c r="I5583">
        <v>5102</v>
      </c>
      <c r="J5583" s="3">
        <v>29.67</v>
      </c>
      <c r="K5583" s="3">
        <v>18.62</v>
      </c>
      <c r="L5583">
        <v>37.24</v>
      </c>
    </row>
    <row r="5584" spans="1:12">
      <c r="A5584" s="1">
        <v>46045</v>
      </c>
      <c r="B5584" t="s">
        <v>6473</v>
      </c>
      <c r="C5584">
        <v>13</v>
      </c>
      <c r="D5584" t="str">
        <f>VLOOKUP(Tabela26[[#This Row],[EMP]],[1]LOJA!$A:$B,2,0)</f>
        <v>CEILÂNDIA</v>
      </c>
      <c r="E5584">
        <v>86</v>
      </c>
      <c r="F5584" t="s">
        <v>4115</v>
      </c>
      <c r="G5584" t="s">
        <v>4114</v>
      </c>
      <c r="H5584" t="s">
        <v>3430</v>
      </c>
      <c r="I5584">
        <v>5405</v>
      </c>
      <c r="J5584" s="3">
        <v>98.52</v>
      </c>
      <c r="K5584" s="3">
        <v>52.26</v>
      </c>
      <c r="L5584">
        <v>46.95</v>
      </c>
    </row>
    <row r="5585" spans="1:12">
      <c r="A5585" s="1">
        <v>46045</v>
      </c>
      <c r="B5585" t="s">
        <v>6472</v>
      </c>
      <c r="C5585">
        <v>13</v>
      </c>
      <c r="D5585" t="str">
        <f>VLOOKUP(Tabela26[[#This Row],[EMP]],[1]LOJA!$A:$B,2,0)</f>
        <v>CEILÂNDIA</v>
      </c>
      <c r="E5585">
        <v>86</v>
      </c>
      <c r="F5585" t="s">
        <v>4088</v>
      </c>
      <c r="G5585" t="s">
        <v>4087</v>
      </c>
      <c r="H5585" t="s">
        <v>6467</v>
      </c>
      <c r="I5585">
        <v>5405</v>
      </c>
      <c r="J5585" s="3">
        <v>1699</v>
      </c>
      <c r="K5585" s="3">
        <v>1179.1400000000001</v>
      </c>
      <c r="L5585">
        <v>30.6</v>
      </c>
    </row>
    <row r="5586" spans="1:12">
      <c r="A5586" s="1">
        <v>46045</v>
      </c>
      <c r="B5586" t="s">
        <v>6471</v>
      </c>
      <c r="C5586">
        <v>13</v>
      </c>
      <c r="D5586" t="str">
        <f>VLOOKUP(Tabela26[[#This Row],[EMP]],[1]LOJA!$A:$B,2,0)</f>
        <v>CEILÂNDIA</v>
      </c>
      <c r="E5586">
        <v>86</v>
      </c>
      <c r="F5586" t="s">
        <v>5320</v>
      </c>
      <c r="G5586" t="s">
        <v>5319</v>
      </c>
      <c r="H5586" t="s">
        <v>3430</v>
      </c>
      <c r="I5586">
        <v>5102</v>
      </c>
      <c r="J5586" s="3">
        <v>60</v>
      </c>
      <c r="K5586" s="3">
        <v>37.619999999999997</v>
      </c>
      <c r="L5586">
        <v>37.299999999999997</v>
      </c>
    </row>
    <row r="5587" spans="1:12">
      <c r="A5587" s="1">
        <v>46045</v>
      </c>
      <c r="B5587" t="s">
        <v>6470</v>
      </c>
      <c r="C5587">
        <v>13</v>
      </c>
      <c r="D5587" t="str">
        <f>VLOOKUP(Tabela26[[#This Row],[EMP]],[1]LOJA!$A:$B,2,0)</f>
        <v>CEILÂNDIA</v>
      </c>
      <c r="E5587">
        <v>86</v>
      </c>
      <c r="F5587" t="s">
        <v>4081</v>
      </c>
      <c r="G5587" t="s">
        <v>4080</v>
      </c>
      <c r="H5587" t="s">
        <v>6467</v>
      </c>
      <c r="I5587">
        <v>5405</v>
      </c>
      <c r="J5587" s="3">
        <v>227.4</v>
      </c>
      <c r="K5587" s="3">
        <v>138.66</v>
      </c>
      <c r="L5587">
        <v>39.020000000000003</v>
      </c>
    </row>
    <row r="5588" spans="1:12">
      <c r="A5588" s="1">
        <v>46045</v>
      </c>
      <c r="B5588" t="s">
        <v>6469</v>
      </c>
      <c r="C5588">
        <v>13</v>
      </c>
      <c r="D5588" t="str">
        <f>VLOOKUP(Tabela26[[#This Row],[EMP]],[1]LOJA!$A:$B,2,0)</f>
        <v>CEILÂNDIA</v>
      </c>
      <c r="E5588">
        <v>86</v>
      </c>
      <c r="F5588" t="s">
        <v>4081</v>
      </c>
      <c r="G5588" t="s">
        <v>4080</v>
      </c>
      <c r="H5588" t="s">
        <v>6467</v>
      </c>
      <c r="I5588">
        <v>5102</v>
      </c>
      <c r="J5588" s="3">
        <v>179.4</v>
      </c>
      <c r="K5588" s="3">
        <v>130.97999999999999</v>
      </c>
      <c r="L5588">
        <v>26.99</v>
      </c>
    </row>
    <row r="5589" spans="1:12">
      <c r="A5589" s="1">
        <v>46045</v>
      </c>
      <c r="B5589" t="s">
        <v>6468</v>
      </c>
      <c r="C5589">
        <v>13</v>
      </c>
      <c r="D5589" t="str">
        <f>VLOOKUP(Tabela26[[#This Row],[EMP]],[1]LOJA!$A:$B,2,0)</f>
        <v>CEILÂNDIA</v>
      </c>
      <c r="E5589">
        <v>86</v>
      </c>
      <c r="F5589" t="s">
        <v>4775</v>
      </c>
      <c r="G5589" t="s">
        <v>4774</v>
      </c>
      <c r="H5589" t="s">
        <v>6467</v>
      </c>
      <c r="I5589">
        <v>5405</v>
      </c>
      <c r="J5589" s="3">
        <v>435</v>
      </c>
      <c r="K5589" s="3">
        <v>201.65</v>
      </c>
      <c r="L5589">
        <v>53.64</v>
      </c>
    </row>
    <row r="5590" spans="1:12">
      <c r="A5590" s="1">
        <v>46045</v>
      </c>
      <c r="B5590" t="s">
        <v>6466</v>
      </c>
      <c r="C5590">
        <v>13</v>
      </c>
      <c r="D5590" t="str">
        <f>VLOOKUP(Tabela26[[#This Row],[EMP]],[1]LOJA!$A:$B,2,0)</f>
        <v>CEILÂNDIA</v>
      </c>
      <c r="E5590">
        <v>86</v>
      </c>
      <c r="F5590" t="s">
        <v>3505</v>
      </c>
      <c r="G5590" t="s">
        <v>3504</v>
      </c>
      <c r="H5590" t="s">
        <v>3430</v>
      </c>
      <c r="I5590">
        <v>5405</v>
      </c>
      <c r="J5590" s="3">
        <v>1699</v>
      </c>
      <c r="K5590" s="3">
        <v>1179.1400000000001</v>
      </c>
      <c r="L5590">
        <v>30.6</v>
      </c>
    </row>
    <row r="5591" spans="1:12">
      <c r="A5591" s="1">
        <v>46045</v>
      </c>
      <c r="B5591" t="s">
        <v>6465</v>
      </c>
      <c r="C5591">
        <v>15</v>
      </c>
      <c r="D5591" t="str">
        <f>VLOOKUP(Tabela26[[#This Row],[EMP]],[1]LOJA!$A:$B,2,0)</f>
        <v>UNAÍ</v>
      </c>
      <c r="E5591">
        <v>183</v>
      </c>
      <c r="F5591" t="s">
        <v>5763</v>
      </c>
      <c r="G5591" t="s">
        <v>5762</v>
      </c>
      <c r="H5591" t="s">
        <v>3401</v>
      </c>
      <c r="I5591">
        <v>5102</v>
      </c>
      <c r="J5591" s="3">
        <v>49.5</v>
      </c>
      <c r="K5591" s="3">
        <v>26.94</v>
      </c>
      <c r="L5591">
        <v>45.58</v>
      </c>
    </row>
    <row r="5592" spans="1:12">
      <c r="A5592" s="1">
        <v>46045</v>
      </c>
      <c r="B5592" t="s">
        <v>6464</v>
      </c>
      <c r="C5592">
        <v>15</v>
      </c>
      <c r="D5592" t="str">
        <f>VLOOKUP(Tabela26[[#This Row],[EMP]],[1]LOJA!$A:$B,2,0)</f>
        <v>UNAÍ</v>
      </c>
      <c r="E5592">
        <v>183</v>
      </c>
      <c r="F5592" t="s">
        <v>3494</v>
      </c>
      <c r="G5592" t="s">
        <v>3493</v>
      </c>
      <c r="H5592" t="s">
        <v>3401</v>
      </c>
      <c r="I5592">
        <v>5102</v>
      </c>
      <c r="J5592" s="3">
        <v>235.6</v>
      </c>
      <c r="K5592" s="3">
        <v>114.37</v>
      </c>
      <c r="L5592">
        <v>51.46</v>
      </c>
    </row>
    <row r="5593" spans="1:12">
      <c r="A5593" s="1">
        <v>46045</v>
      </c>
      <c r="B5593" t="s">
        <v>6463</v>
      </c>
      <c r="C5593">
        <v>15</v>
      </c>
      <c r="D5593" t="str">
        <f>VLOOKUP(Tabela26[[#This Row],[EMP]],[1]LOJA!$A:$B,2,0)</f>
        <v>UNAÍ</v>
      </c>
      <c r="E5593">
        <v>183</v>
      </c>
      <c r="F5593" t="s">
        <v>6126</v>
      </c>
      <c r="G5593" t="s">
        <v>6125</v>
      </c>
      <c r="H5593" t="s">
        <v>3408</v>
      </c>
      <c r="I5593">
        <v>5102</v>
      </c>
      <c r="J5593" s="3">
        <v>112.6</v>
      </c>
      <c r="K5593" s="3">
        <v>56.37</v>
      </c>
      <c r="L5593">
        <v>49.94</v>
      </c>
    </row>
    <row r="5594" spans="1:12">
      <c r="A5594" s="1">
        <v>46045</v>
      </c>
      <c r="B5594" t="s">
        <v>6462</v>
      </c>
      <c r="C5594">
        <v>15</v>
      </c>
      <c r="D5594" t="str">
        <f>VLOOKUP(Tabela26[[#This Row],[EMP]],[1]LOJA!$A:$B,2,0)</f>
        <v>UNAÍ</v>
      </c>
      <c r="E5594">
        <v>183</v>
      </c>
      <c r="F5594" t="s">
        <v>4032</v>
      </c>
      <c r="G5594" t="s">
        <v>4031</v>
      </c>
      <c r="H5594" t="s">
        <v>6243</v>
      </c>
      <c r="I5594">
        <v>5102</v>
      </c>
      <c r="J5594" s="3">
        <v>40</v>
      </c>
      <c r="K5594" s="3">
        <v>19.62</v>
      </c>
      <c r="L5594">
        <v>50.95</v>
      </c>
    </row>
    <row r="5595" spans="1:12">
      <c r="A5595" s="1">
        <v>46045</v>
      </c>
      <c r="B5595" t="s">
        <v>6461</v>
      </c>
      <c r="C5595">
        <v>15</v>
      </c>
      <c r="D5595" t="str">
        <f>VLOOKUP(Tabela26[[#This Row],[EMP]],[1]LOJA!$A:$B,2,0)</f>
        <v>UNAÍ</v>
      </c>
      <c r="E5595">
        <v>183</v>
      </c>
      <c r="F5595" t="s">
        <v>3485</v>
      </c>
      <c r="G5595" t="s">
        <v>3402</v>
      </c>
      <c r="H5595" t="s">
        <v>3401</v>
      </c>
      <c r="I5595">
        <v>5102</v>
      </c>
      <c r="J5595" s="3">
        <v>21.6</v>
      </c>
      <c r="K5595" s="3">
        <v>12.88</v>
      </c>
      <c r="L5595">
        <v>40.369999999999997</v>
      </c>
    </row>
    <row r="5596" spans="1:12">
      <c r="A5596" s="1">
        <v>46045</v>
      </c>
      <c r="B5596" t="s">
        <v>6460</v>
      </c>
      <c r="C5596">
        <v>15</v>
      </c>
      <c r="D5596" t="str">
        <f>VLOOKUP(Tabela26[[#This Row],[EMP]],[1]LOJA!$A:$B,2,0)</f>
        <v>UNAÍ</v>
      </c>
      <c r="E5596">
        <v>183</v>
      </c>
      <c r="F5596" t="s">
        <v>3485</v>
      </c>
      <c r="G5596" t="s">
        <v>3402</v>
      </c>
      <c r="H5596" t="s">
        <v>3401</v>
      </c>
      <c r="I5596">
        <v>5102</v>
      </c>
      <c r="J5596" s="3">
        <v>2.9</v>
      </c>
      <c r="K5596" s="3">
        <v>1.35</v>
      </c>
      <c r="L5596">
        <v>53.45</v>
      </c>
    </row>
    <row r="5597" spans="1:12">
      <c r="A5597" s="1">
        <v>46045</v>
      </c>
      <c r="B5597" t="s">
        <v>6459</v>
      </c>
      <c r="C5597">
        <v>15</v>
      </c>
      <c r="D5597" t="str">
        <f>VLOOKUP(Tabela26[[#This Row],[EMP]],[1]LOJA!$A:$B,2,0)</f>
        <v>UNAÍ</v>
      </c>
      <c r="E5597">
        <v>183</v>
      </c>
      <c r="F5597" t="s">
        <v>3485</v>
      </c>
      <c r="G5597" t="s">
        <v>3402</v>
      </c>
      <c r="H5597" t="s">
        <v>3401</v>
      </c>
      <c r="I5597">
        <v>5102</v>
      </c>
      <c r="J5597" s="3">
        <v>18</v>
      </c>
      <c r="K5597" s="3">
        <v>8.18</v>
      </c>
      <c r="L5597">
        <v>54.56</v>
      </c>
    </row>
    <row r="5598" spans="1:12">
      <c r="A5598" s="1">
        <v>46045</v>
      </c>
      <c r="B5598" t="s">
        <v>6458</v>
      </c>
      <c r="C5598">
        <v>15</v>
      </c>
      <c r="D5598" t="str">
        <f>VLOOKUP(Tabela26[[#This Row],[EMP]],[1]LOJA!$A:$B,2,0)</f>
        <v>UNAÍ</v>
      </c>
      <c r="E5598">
        <v>183</v>
      </c>
      <c r="F5598" t="s">
        <v>4040</v>
      </c>
      <c r="G5598" t="s">
        <v>4039</v>
      </c>
      <c r="H5598" t="s">
        <v>3408</v>
      </c>
      <c r="I5598">
        <v>5102</v>
      </c>
      <c r="J5598" s="3">
        <v>172</v>
      </c>
      <c r="K5598" s="3">
        <v>84.47</v>
      </c>
      <c r="L5598">
        <v>50.89</v>
      </c>
    </row>
    <row r="5599" spans="1:12">
      <c r="A5599" s="1">
        <v>46045</v>
      </c>
      <c r="B5599" t="s">
        <v>6457</v>
      </c>
      <c r="C5599">
        <v>15</v>
      </c>
      <c r="D5599" t="str">
        <f>VLOOKUP(Tabela26[[#This Row],[EMP]],[1]LOJA!$A:$B,2,0)</f>
        <v>UNAÍ</v>
      </c>
      <c r="E5599">
        <v>183</v>
      </c>
      <c r="F5599" t="s">
        <v>5831</v>
      </c>
      <c r="G5599" t="s">
        <v>5830</v>
      </c>
      <c r="H5599" t="s">
        <v>3401</v>
      </c>
      <c r="I5599">
        <v>5102</v>
      </c>
      <c r="J5599" s="3">
        <v>34</v>
      </c>
      <c r="K5599" s="3">
        <v>16.809999999999999</v>
      </c>
      <c r="L5599">
        <v>50.56</v>
      </c>
    </row>
    <row r="5600" spans="1:12">
      <c r="A5600" s="1">
        <v>46045</v>
      </c>
      <c r="B5600" t="s">
        <v>6456</v>
      </c>
      <c r="C5600">
        <v>15</v>
      </c>
      <c r="D5600" t="str">
        <f>VLOOKUP(Tabela26[[#This Row],[EMP]],[1]LOJA!$A:$B,2,0)</f>
        <v>UNAÍ</v>
      </c>
      <c r="E5600">
        <v>183</v>
      </c>
      <c r="F5600" t="s">
        <v>3497</v>
      </c>
      <c r="G5600" t="s">
        <v>3496</v>
      </c>
      <c r="H5600" t="s">
        <v>3426</v>
      </c>
      <c r="I5600">
        <v>5102</v>
      </c>
      <c r="J5600" s="3">
        <v>56.61</v>
      </c>
      <c r="K5600" s="3">
        <v>27.86</v>
      </c>
      <c r="L5600">
        <v>50.79</v>
      </c>
    </row>
    <row r="5601" spans="1:12">
      <c r="A5601" s="1">
        <v>46045</v>
      </c>
      <c r="B5601" t="s">
        <v>6455</v>
      </c>
      <c r="C5601">
        <v>15</v>
      </c>
      <c r="D5601" t="str">
        <f>VLOOKUP(Tabela26[[#This Row],[EMP]],[1]LOJA!$A:$B,2,0)</f>
        <v>UNAÍ</v>
      </c>
      <c r="E5601">
        <v>183</v>
      </c>
      <c r="F5601" t="s">
        <v>4068</v>
      </c>
      <c r="G5601" t="s">
        <v>4067</v>
      </c>
      <c r="H5601" t="s">
        <v>3520</v>
      </c>
      <c r="I5601">
        <v>5102</v>
      </c>
      <c r="J5601" s="3">
        <v>11</v>
      </c>
      <c r="K5601" s="3">
        <v>5.17</v>
      </c>
      <c r="L5601">
        <v>53</v>
      </c>
    </row>
    <row r="5602" spans="1:12">
      <c r="A5602" s="1">
        <v>46045</v>
      </c>
      <c r="B5602" t="s">
        <v>6454</v>
      </c>
      <c r="C5602">
        <v>15</v>
      </c>
      <c r="D5602" t="str">
        <f>VLOOKUP(Tabela26[[#This Row],[EMP]],[1]LOJA!$A:$B,2,0)</f>
        <v>UNAÍ</v>
      </c>
      <c r="E5602">
        <v>183</v>
      </c>
      <c r="F5602" t="s">
        <v>3485</v>
      </c>
      <c r="G5602" t="s">
        <v>3402</v>
      </c>
      <c r="H5602" t="s">
        <v>3401</v>
      </c>
      <c r="I5602">
        <v>5102</v>
      </c>
      <c r="J5602" s="3">
        <v>145.5</v>
      </c>
      <c r="K5602" s="3">
        <v>74.47</v>
      </c>
      <c r="L5602">
        <v>48.82</v>
      </c>
    </row>
    <row r="5603" spans="1:12">
      <c r="A5603" s="1">
        <v>46045</v>
      </c>
      <c r="B5603" t="s">
        <v>6453</v>
      </c>
      <c r="C5603">
        <v>15</v>
      </c>
      <c r="D5603" t="str">
        <f>VLOOKUP(Tabela26[[#This Row],[EMP]],[1]LOJA!$A:$B,2,0)</f>
        <v>UNAÍ</v>
      </c>
      <c r="E5603">
        <v>183</v>
      </c>
      <c r="F5603" t="s">
        <v>3485</v>
      </c>
      <c r="G5603" t="s">
        <v>3402</v>
      </c>
      <c r="H5603" t="s">
        <v>3401</v>
      </c>
      <c r="I5603">
        <v>5102</v>
      </c>
      <c r="J5603" s="3">
        <v>14.4</v>
      </c>
      <c r="K5603" s="3">
        <v>5.77</v>
      </c>
      <c r="L5603">
        <v>59.93</v>
      </c>
    </row>
    <row r="5604" spans="1:12">
      <c r="A5604" s="1">
        <v>46045</v>
      </c>
      <c r="B5604" t="s">
        <v>6452</v>
      </c>
      <c r="C5604">
        <v>15</v>
      </c>
      <c r="D5604" t="str">
        <f>VLOOKUP(Tabela26[[#This Row],[EMP]],[1]LOJA!$A:$B,2,0)</f>
        <v>UNAÍ</v>
      </c>
      <c r="E5604">
        <v>183</v>
      </c>
      <c r="F5604" t="s">
        <v>3963</v>
      </c>
      <c r="G5604" t="s">
        <v>3962</v>
      </c>
      <c r="H5604" t="s">
        <v>3408</v>
      </c>
      <c r="I5604">
        <v>5102</v>
      </c>
      <c r="J5604" s="3">
        <v>53</v>
      </c>
      <c r="K5604" s="3">
        <v>30.49</v>
      </c>
      <c r="L5604">
        <v>42.47</v>
      </c>
    </row>
    <row r="5605" spans="1:12">
      <c r="A5605" s="1">
        <v>46045</v>
      </c>
      <c r="B5605" t="s">
        <v>6451</v>
      </c>
      <c r="C5605">
        <v>15</v>
      </c>
      <c r="D5605" t="str">
        <f>VLOOKUP(Tabela26[[#This Row],[EMP]],[1]LOJA!$A:$B,2,0)</f>
        <v>UNAÍ</v>
      </c>
      <c r="E5605">
        <v>183</v>
      </c>
      <c r="F5605" t="s">
        <v>3963</v>
      </c>
      <c r="G5605" t="s">
        <v>3962</v>
      </c>
      <c r="H5605" t="s">
        <v>3408</v>
      </c>
      <c r="I5605">
        <v>5102</v>
      </c>
      <c r="J5605" s="3">
        <v>30.6</v>
      </c>
      <c r="K5605" s="3">
        <v>17.04</v>
      </c>
      <c r="L5605">
        <v>44.31</v>
      </c>
    </row>
    <row r="5606" spans="1:12">
      <c r="A5606" s="1">
        <v>46045</v>
      </c>
      <c r="B5606" t="s">
        <v>6450</v>
      </c>
      <c r="C5606">
        <v>15</v>
      </c>
      <c r="D5606" t="str">
        <f>VLOOKUP(Tabela26[[#This Row],[EMP]],[1]LOJA!$A:$B,2,0)</f>
        <v>UNAÍ</v>
      </c>
      <c r="E5606">
        <v>183</v>
      </c>
      <c r="F5606" t="s">
        <v>4696</v>
      </c>
      <c r="G5606" t="s">
        <v>4695</v>
      </c>
      <c r="H5606" t="s">
        <v>3430</v>
      </c>
      <c r="I5606">
        <v>5405</v>
      </c>
      <c r="J5606" s="3">
        <v>615.41999999999996</v>
      </c>
      <c r="K5606" s="3">
        <v>330.43</v>
      </c>
      <c r="L5606">
        <v>46.31</v>
      </c>
    </row>
    <row r="5607" spans="1:12">
      <c r="A5607" s="1">
        <v>46045</v>
      </c>
      <c r="B5607" t="s">
        <v>6449</v>
      </c>
      <c r="C5607">
        <v>15</v>
      </c>
      <c r="D5607" t="str">
        <f>VLOOKUP(Tabela26[[#This Row],[EMP]],[1]LOJA!$A:$B,2,0)</f>
        <v>UNAÍ</v>
      </c>
      <c r="E5607">
        <v>183</v>
      </c>
      <c r="F5607" t="s">
        <v>4701</v>
      </c>
      <c r="G5607" t="s">
        <v>4700</v>
      </c>
      <c r="H5607" t="s">
        <v>3520</v>
      </c>
      <c r="I5607">
        <v>5102</v>
      </c>
      <c r="J5607" s="3">
        <v>22.8</v>
      </c>
      <c r="K5607" s="3">
        <v>12.28</v>
      </c>
      <c r="L5607">
        <v>46.14</v>
      </c>
    </row>
    <row r="5608" spans="1:12">
      <c r="A5608" s="1">
        <v>46045</v>
      </c>
      <c r="B5608" t="s">
        <v>6448</v>
      </c>
      <c r="C5608">
        <v>15</v>
      </c>
      <c r="D5608" t="str">
        <f>VLOOKUP(Tabela26[[#This Row],[EMP]],[1]LOJA!$A:$B,2,0)</f>
        <v>UNAÍ</v>
      </c>
      <c r="E5608">
        <v>183</v>
      </c>
      <c r="F5608" t="s">
        <v>4740</v>
      </c>
      <c r="G5608" t="s">
        <v>4739</v>
      </c>
      <c r="H5608" t="s">
        <v>3426</v>
      </c>
      <c r="I5608">
        <v>5102</v>
      </c>
      <c r="J5608" s="3">
        <v>80</v>
      </c>
      <c r="K5608" s="3">
        <v>47.38</v>
      </c>
      <c r="L5608">
        <v>40.78</v>
      </c>
    </row>
    <row r="5609" spans="1:12">
      <c r="A5609" s="1">
        <v>46045</v>
      </c>
      <c r="B5609" t="s">
        <v>6447</v>
      </c>
      <c r="C5609">
        <v>15</v>
      </c>
      <c r="D5609" t="str">
        <f>VLOOKUP(Tabela26[[#This Row],[EMP]],[1]LOJA!$A:$B,2,0)</f>
        <v>UNAÍ</v>
      </c>
      <c r="E5609">
        <v>183</v>
      </c>
      <c r="F5609" t="s">
        <v>4029</v>
      </c>
      <c r="G5609" t="s">
        <v>4028</v>
      </c>
      <c r="H5609" t="s">
        <v>3401</v>
      </c>
      <c r="I5609">
        <v>5102</v>
      </c>
      <c r="J5609" s="3">
        <v>112</v>
      </c>
      <c r="K5609" s="3">
        <v>61.17</v>
      </c>
      <c r="L5609">
        <v>45.38</v>
      </c>
    </row>
    <row r="5610" spans="1:12">
      <c r="A5610" s="1">
        <v>46045</v>
      </c>
      <c r="B5610" t="s">
        <v>6446</v>
      </c>
      <c r="C5610">
        <v>15</v>
      </c>
      <c r="D5610" t="str">
        <f>VLOOKUP(Tabela26[[#This Row],[EMP]],[1]LOJA!$A:$B,2,0)</f>
        <v>UNAÍ</v>
      </c>
      <c r="E5610">
        <v>183</v>
      </c>
      <c r="F5610" t="s">
        <v>4025</v>
      </c>
      <c r="G5610" t="s">
        <v>4024</v>
      </c>
      <c r="H5610" t="s">
        <v>3401</v>
      </c>
      <c r="I5610">
        <v>5102</v>
      </c>
      <c r="J5610" s="3">
        <v>47.6</v>
      </c>
      <c r="K5610" s="3">
        <v>24.43</v>
      </c>
      <c r="L5610">
        <v>48.68</v>
      </c>
    </row>
    <row r="5611" spans="1:12">
      <c r="A5611" s="1">
        <v>46045</v>
      </c>
      <c r="B5611" t="s">
        <v>6445</v>
      </c>
      <c r="C5611">
        <v>15</v>
      </c>
      <c r="D5611" t="str">
        <f>VLOOKUP(Tabela26[[#This Row],[EMP]],[1]LOJA!$A:$B,2,0)</f>
        <v>UNAÍ</v>
      </c>
      <c r="E5611">
        <v>183</v>
      </c>
      <c r="F5611" t="s">
        <v>4681</v>
      </c>
      <c r="G5611" t="s">
        <v>4680</v>
      </c>
      <c r="H5611" t="s">
        <v>6243</v>
      </c>
      <c r="I5611">
        <v>5102</v>
      </c>
      <c r="J5611" s="3">
        <v>59</v>
      </c>
      <c r="K5611" s="3">
        <v>28.76</v>
      </c>
      <c r="L5611">
        <v>51.25</v>
      </c>
    </row>
    <row r="5612" spans="1:12">
      <c r="A5612" s="1">
        <v>46045</v>
      </c>
      <c r="B5612" t="s">
        <v>6444</v>
      </c>
      <c r="C5612">
        <v>15</v>
      </c>
      <c r="D5612" t="str">
        <f>VLOOKUP(Tabela26[[#This Row],[EMP]],[1]LOJA!$A:$B,2,0)</f>
        <v>UNAÍ</v>
      </c>
      <c r="E5612">
        <v>183</v>
      </c>
      <c r="F5612" t="s">
        <v>4016</v>
      </c>
      <c r="G5612" t="s">
        <v>4015</v>
      </c>
      <c r="H5612" t="s">
        <v>3426</v>
      </c>
      <c r="I5612">
        <v>5102</v>
      </c>
      <c r="J5612" s="3">
        <v>143.6</v>
      </c>
      <c r="K5612" s="3">
        <v>75.06</v>
      </c>
      <c r="L5612">
        <v>47.73</v>
      </c>
    </row>
    <row r="5613" spans="1:12">
      <c r="A5613" s="1">
        <v>46045</v>
      </c>
      <c r="B5613" t="s">
        <v>6443</v>
      </c>
      <c r="C5613">
        <v>6</v>
      </c>
      <c r="D5613" t="str">
        <f>VLOOKUP(Tabela26[[#This Row],[EMP]],[1]LOJA!$A:$B,2,0)</f>
        <v>GAMA</v>
      </c>
      <c r="E5613">
        <v>245</v>
      </c>
      <c r="F5613" t="s">
        <v>6442</v>
      </c>
      <c r="G5613" t="s">
        <v>6441</v>
      </c>
      <c r="H5613" t="s">
        <v>3401</v>
      </c>
      <c r="I5613">
        <v>5405</v>
      </c>
      <c r="J5613" s="3">
        <v>459</v>
      </c>
      <c r="K5613" s="3">
        <v>252.97</v>
      </c>
      <c r="L5613">
        <v>44.89</v>
      </c>
    </row>
    <row r="5614" spans="1:12">
      <c r="A5614" s="1">
        <v>46045</v>
      </c>
      <c r="B5614" t="s">
        <v>6440</v>
      </c>
      <c r="C5614">
        <v>6</v>
      </c>
      <c r="D5614" t="str">
        <f>VLOOKUP(Tabela26[[#This Row],[EMP]],[1]LOJA!$A:$B,2,0)</f>
        <v>GAMA</v>
      </c>
      <c r="E5614">
        <v>226</v>
      </c>
      <c r="F5614" t="s">
        <v>6439</v>
      </c>
      <c r="G5614" t="s">
        <v>6438</v>
      </c>
      <c r="H5614" t="s">
        <v>3401</v>
      </c>
      <c r="I5614">
        <v>5405</v>
      </c>
      <c r="J5614" s="3">
        <v>130.35</v>
      </c>
      <c r="K5614" s="3">
        <v>66.47</v>
      </c>
      <c r="L5614">
        <v>49.01</v>
      </c>
    </row>
    <row r="5615" spans="1:12">
      <c r="A5615" s="1">
        <v>46045</v>
      </c>
      <c r="B5615" t="s">
        <v>6437</v>
      </c>
      <c r="C5615">
        <v>6</v>
      </c>
      <c r="D5615" t="str">
        <f>VLOOKUP(Tabela26[[#This Row],[EMP]],[1]LOJA!$A:$B,2,0)</f>
        <v>GAMA</v>
      </c>
      <c r="E5615">
        <v>245</v>
      </c>
      <c r="F5615" t="s">
        <v>4004</v>
      </c>
      <c r="G5615" t="s">
        <v>4003</v>
      </c>
      <c r="H5615" t="s">
        <v>3430</v>
      </c>
      <c r="I5615">
        <v>5405</v>
      </c>
      <c r="J5615" s="3">
        <v>409.48</v>
      </c>
      <c r="K5615" s="3">
        <v>192.7</v>
      </c>
      <c r="L5615">
        <v>52.94</v>
      </c>
    </row>
    <row r="5616" spans="1:12">
      <c r="A5616" s="1">
        <v>46045</v>
      </c>
      <c r="B5616" t="s">
        <v>6436</v>
      </c>
      <c r="C5616">
        <v>6</v>
      </c>
      <c r="D5616" t="str">
        <f>VLOOKUP(Tabela26[[#This Row],[EMP]],[1]LOJA!$A:$B,2,0)</f>
        <v>GAMA</v>
      </c>
      <c r="E5616">
        <v>226</v>
      </c>
      <c r="F5616" t="s">
        <v>3403</v>
      </c>
      <c r="G5616" t="s">
        <v>6435</v>
      </c>
      <c r="H5616" t="s">
        <v>3401</v>
      </c>
      <c r="I5616">
        <v>5405</v>
      </c>
      <c r="J5616" s="3">
        <v>265.89999999999998</v>
      </c>
      <c r="K5616" s="3">
        <v>125.79</v>
      </c>
      <c r="L5616">
        <v>52.69</v>
      </c>
    </row>
    <row r="5617" spans="1:12">
      <c r="A5617" s="1">
        <v>46045</v>
      </c>
      <c r="B5617" t="s">
        <v>6434</v>
      </c>
      <c r="C5617">
        <v>14</v>
      </c>
      <c r="D5617" t="str">
        <f>VLOOKUP(Tabela26[[#This Row],[EMP]],[1]LOJA!$A:$B,2,0)</f>
        <v>S IA</v>
      </c>
      <c r="E5617">
        <v>212</v>
      </c>
      <c r="F5617" t="s">
        <v>3994</v>
      </c>
      <c r="G5617" t="s">
        <v>3402</v>
      </c>
      <c r="H5617" t="s">
        <v>3408</v>
      </c>
      <c r="I5617">
        <v>5102</v>
      </c>
      <c r="J5617" s="3">
        <v>228.79</v>
      </c>
      <c r="K5617" s="3">
        <v>122.35</v>
      </c>
      <c r="L5617">
        <v>46.52</v>
      </c>
    </row>
    <row r="5618" spans="1:12">
      <c r="A5618" s="1">
        <v>46045</v>
      </c>
      <c r="B5618" t="s">
        <v>6433</v>
      </c>
      <c r="C5618">
        <v>14</v>
      </c>
      <c r="D5618" t="str">
        <f>VLOOKUP(Tabela26[[#This Row],[EMP]],[1]LOJA!$A:$B,2,0)</f>
        <v>S IA</v>
      </c>
      <c r="E5618">
        <v>212</v>
      </c>
      <c r="F5618" t="s">
        <v>3994</v>
      </c>
      <c r="G5618" t="s">
        <v>3402</v>
      </c>
      <c r="H5618" t="s">
        <v>3408</v>
      </c>
      <c r="I5618">
        <v>5405</v>
      </c>
      <c r="J5618" s="3">
        <v>68.31</v>
      </c>
      <c r="K5618" s="3">
        <v>33.26</v>
      </c>
      <c r="L5618">
        <v>51.31</v>
      </c>
    </row>
    <row r="5619" spans="1:12">
      <c r="A5619" s="1">
        <v>46045</v>
      </c>
      <c r="B5619" t="s">
        <v>6432</v>
      </c>
      <c r="C5619">
        <v>14</v>
      </c>
      <c r="D5619" t="str">
        <f>VLOOKUP(Tabela26[[#This Row],[EMP]],[1]LOJA!$A:$B,2,0)</f>
        <v>S IA</v>
      </c>
      <c r="E5619">
        <v>54</v>
      </c>
      <c r="F5619" t="s">
        <v>4413</v>
      </c>
      <c r="G5619" t="s">
        <v>4412</v>
      </c>
      <c r="H5619" t="s">
        <v>3401</v>
      </c>
      <c r="I5619">
        <v>5102</v>
      </c>
      <c r="J5619" s="3">
        <v>147</v>
      </c>
      <c r="K5619" s="3">
        <v>76.62</v>
      </c>
      <c r="L5619">
        <v>47.88</v>
      </c>
    </row>
    <row r="5620" spans="1:12">
      <c r="A5620" s="1">
        <v>46045</v>
      </c>
      <c r="B5620" t="s">
        <v>6431</v>
      </c>
      <c r="C5620">
        <v>14</v>
      </c>
      <c r="D5620" t="str">
        <f>VLOOKUP(Tabela26[[#This Row],[EMP]],[1]LOJA!$A:$B,2,0)</f>
        <v>S IA</v>
      </c>
      <c r="E5620">
        <v>54</v>
      </c>
      <c r="F5620" t="s">
        <v>3403</v>
      </c>
      <c r="G5620" t="s">
        <v>3402</v>
      </c>
      <c r="H5620" t="s">
        <v>3401</v>
      </c>
      <c r="I5620">
        <v>5405</v>
      </c>
      <c r="J5620" s="3">
        <v>56.44</v>
      </c>
      <c r="K5620" s="3">
        <v>28.16</v>
      </c>
      <c r="L5620">
        <v>50.11</v>
      </c>
    </row>
    <row r="5621" spans="1:12">
      <c r="A5621" s="1">
        <v>46045</v>
      </c>
      <c r="B5621" t="s">
        <v>6430</v>
      </c>
      <c r="C5621">
        <v>14</v>
      </c>
      <c r="D5621" t="str">
        <f>VLOOKUP(Tabela26[[#This Row],[EMP]],[1]LOJA!$A:$B,2,0)</f>
        <v>S IA</v>
      </c>
      <c r="E5621">
        <v>54</v>
      </c>
      <c r="F5621" t="s">
        <v>6429</v>
      </c>
      <c r="G5621" t="s">
        <v>6428</v>
      </c>
      <c r="H5621" t="s">
        <v>3401</v>
      </c>
      <c r="I5621">
        <v>5405</v>
      </c>
      <c r="J5621" s="3">
        <v>45</v>
      </c>
      <c r="K5621" s="3">
        <v>16.98</v>
      </c>
      <c r="L5621">
        <v>62.27</v>
      </c>
    </row>
    <row r="5622" spans="1:12">
      <c r="A5622" s="1">
        <v>46045</v>
      </c>
      <c r="B5622" t="s">
        <v>6427</v>
      </c>
      <c r="C5622">
        <v>14</v>
      </c>
      <c r="D5622" t="str">
        <f>VLOOKUP(Tabela26[[#This Row],[EMP]],[1]LOJA!$A:$B,2,0)</f>
        <v>S IA</v>
      </c>
      <c r="E5622">
        <v>212</v>
      </c>
      <c r="F5622" t="s">
        <v>3403</v>
      </c>
      <c r="G5622" t="s">
        <v>3402</v>
      </c>
      <c r="H5622" t="s">
        <v>3401</v>
      </c>
      <c r="I5622">
        <v>5405</v>
      </c>
      <c r="J5622" s="3">
        <v>76.900000000000006</v>
      </c>
      <c r="K5622" s="3">
        <v>29.59</v>
      </c>
      <c r="L5622">
        <v>61.52</v>
      </c>
    </row>
    <row r="5623" spans="1:12">
      <c r="A5623" s="1">
        <v>46045</v>
      </c>
      <c r="B5623" t="s">
        <v>6426</v>
      </c>
      <c r="C5623">
        <v>14</v>
      </c>
      <c r="D5623" t="str">
        <f>VLOOKUP(Tabela26[[#This Row],[EMP]],[1]LOJA!$A:$B,2,0)</f>
        <v>S IA</v>
      </c>
      <c r="E5623">
        <v>54</v>
      </c>
      <c r="F5623" t="s">
        <v>6425</v>
      </c>
      <c r="G5623" t="s">
        <v>3402</v>
      </c>
      <c r="H5623" t="s">
        <v>3408</v>
      </c>
      <c r="I5623">
        <v>5102</v>
      </c>
      <c r="J5623" s="3">
        <v>535</v>
      </c>
      <c r="K5623" s="3">
        <v>299.63</v>
      </c>
      <c r="L5623">
        <v>43.99</v>
      </c>
    </row>
    <row r="5624" spans="1:12">
      <c r="A5624" s="1">
        <v>46045</v>
      </c>
      <c r="B5624" t="s">
        <v>6424</v>
      </c>
      <c r="C5624">
        <v>14</v>
      </c>
      <c r="D5624" t="str">
        <f>VLOOKUP(Tabela26[[#This Row],[EMP]],[1]LOJA!$A:$B,2,0)</f>
        <v>S IA</v>
      </c>
      <c r="E5624">
        <v>212</v>
      </c>
      <c r="F5624" t="s">
        <v>3403</v>
      </c>
      <c r="G5624" t="s">
        <v>3402</v>
      </c>
      <c r="H5624" t="s">
        <v>3401</v>
      </c>
      <c r="I5624">
        <v>5102</v>
      </c>
      <c r="J5624" s="3">
        <v>22</v>
      </c>
      <c r="K5624" s="3">
        <v>12.51</v>
      </c>
      <c r="L5624">
        <v>43.14</v>
      </c>
    </row>
    <row r="5625" spans="1:12">
      <c r="A5625" s="1">
        <v>46045</v>
      </c>
      <c r="B5625" t="s">
        <v>6423</v>
      </c>
      <c r="C5625">
        <v>14</v>
      </c>
      <c r="D5625" t="str">
        <f>VLOOKUP(Tabela26[[#This Row],[EMP]],[1]LOJA!$A:$B,2,0)</f>
        <v>S IA</v>
      </c>
      <c r="E5625">
        <v>207</v>
      </c>
      <c r="F5625" t="s">
        <v>3403</v>
      </c>
      <c r="G5625" t="s">
        <v>3402</v>
      </c>
      <c r="H5625" t="s">
        <v>3401</v>
      </c>
      <c r="I5625">
        <v>5102</v>
      </c>
      <c r="J5625" s="3">
        <v>31.04</v>
      </c>
      <c r="K5625" s="3">
        <v>13.27</v>
      </c>
      <c r="L5625">
        <v>57.25</v>
      </c>
    </row>
    <row r="5626" spans="1:12">
      <c r="A5626" s="1">
        <v>46045</v>
      </c>
      <c r="B5626" t="s">
        <v>6422</v>
      </c>
      <c r="C5626">
        <v>14</v>
      </c>
      <c r="D5626" t="str">
        <f>VLOOKUP(Tabela26[[#This Row],[EMP]],[1]LOJA!$A:$B,2,0)</f>
        <v>S IA</v>
      </c>
      <c r="E5626">
        <v>54</v>
      </c>
      <c r="F5626" t="s">
        <v>6421</v>
      </c>
      <c r="G5626" t="s">
        <v>6420</v>
      </c>
      <c r="H5626" t="s">
        <v>3430</v>
      </c>
      <c r="I5626">
        <v>5405</v>
      </c>
      <c r="J5626" s="3">
        <v>91.32</v>
      </c>
      <c r="K5626" s="3">
        <v>48.25</v>
      </c>
      <c r="L5626">
        <v>47.16</v>
      </c>
    </row>
    <row r="5627" spans="1:12">
      <c r="A5627" s="1">
        <v>46045</v>
      </c>
      <c r="B5627" t="s">
        <v>6419</v>
      </c>
      <c r="C5627">
        <v>14</v>
      </c>
      <c r="D5627" t="str">
        <f>VLOOKUP(Tabela26[[#This Row],[EMP]],[1]LOJA!$A:$B,2,0)</f>
        <v>S IA</v>
      </c>
      <c r="E5627">
        <v>212</v>
      </c>
      <c r="F5627" t="s">
        <v>3403</v>
      </c>
      <c r="G5627" t="s">
        <v>3402</v>
      </c>
      <c r="H5627" t="s">
        <v>3401</v>
      </c>
      <c r="I5627">
        <v>5102</v>
      </c>
      <c r="J5627" s="3">
        <v>72</v>
      </c>
      <c r="K5627" s="3">
        <v>37.619999999999997</v>
      </c>
      <c r="L5627">
        <v>47.75</v>
      </c>
    </row>
    <row r="5628" spans="1:12">
      <c r="A5628" s="1">
        <v>46045</v>
      </c>
      <c r="B5628" t="s">
        <v>6418</v>
      </c>
      <c r="C5628">
        <v>14</v>
      </c>
      <c r="D5628" t="str">
        <f>VLOOKUP(Tabela26[[#This Row],[EMP]],[1]LOJA!$A:$B,2,0)</f>
        <v>S IA</v>
      </c>
      <c r="E5628">
        <v>212</v>
      </c>
      <c r="F5628" t="s">
        <v>3403</v>
      </c>
      <c r="G5628" t="s">
        <v>3402</v>
      </c>
      <c r="H5628" t="s">
        <v>3401</v>
      </c>
      <c r="I5628">
        <v>5102</v>
      </c>
      <c r="J5628" s="3">
        <v>62</v>
      </c>
      <c r="K5628" s="3">
        <v>34.64</v>
      </c>
      <c r="L5628">
        <v>44.13</v>
      </c>
    </row>
    <row r="5629" spans="1:12">
      <c r="A5629" s="1">
        <v>46045</v>
      </c>
      <c r="B5629" t="s">
        <v>6417</v>
      </c>
      <c r="C5629">
        <v>14</v>
      </c>
      <c r="D5629" t="str">
        <f>VLOOKUP(Tabela26[[#This Row],[EMP]],[1]LOJA!$A:$B,2,0)</f>
        <v>S IA</v>
      </c>
      <c r="E5629">
        <v>54</v>
      </c>
      <c r="F5629" t="s">
        <v>4659</v>
      </c>
      <c r="G5629" t="s">
        <v>4658</v>
      </c>
      <c r="H5629" t="s">
        <v>3430</v>
      </c>
      <c r="I5629">
        <v>5102</v>
      </c>
      <c r="J5629" s="3">
        <v>644.44000000000005</v>
      </c>
      <c r="K5629" s="3">
        <v>354.69</v>
      </c>
      <c r="L5629">
        <v>44.96</v>
      </c>
    </row>
    <row r="5630" spans="1:12">
      <c r="A5630" s="1">
        <v>46045</v>
      </c>
      <c r="B5630" t="s">
        <v>6416</v>
      </c>
      <c r="C5630">
        <v>14</v>
      </c>
      <c r="D5630" t="str">
        <f>VLOOKUP(Tabela26[[#This Row],[EMP]],[1]LOJA!$A:$B,2,0)</f>
        <v>S IA</v>
      </c>
      <c r="E5630">
        <v>54</v>
      </c>
      <c r="F5630" t="s">
        <v>4659</v>
      </c>
      <c r="G5630" t="s">
        <v>4658</v>
      </c>
      <c r="H5630" t="s">
        <v>3430</v>
      </c>
      <c r="I5630">
        <v>5102</v>
      </c>
      <c r="J5630" s="3">
        <v>152.5</v>
      </c>
      <c r="K5630" s="3">
        <v>112</v>
      </c>
      <c r="L5630">
        <v>26.56</v>
      </c>
    </row>
    <row r="5631" spans="1:12">
      <c r="A5631" s="1">
        <v>46045</v>
      </c>
      <c r="B5631" t="s">
        <v>6415</v>
      </c>
      <c r="C5631">
        <v>14</v>
      </c>
      <c r="D5631" t="str">
        <f>VLOOKUP(Tabela26[[#This Row],[EMP]],[1]LOJA!$A:$B,2,0)</f>
        <v>S IA</v>
      </c>
      <c r="E5631">
        <v>54</v>
      </c>
      <c r="F5631" t="s">
        <v>3403</v>
      </c>
      <c r="G5631" t="s">
        <v>3402</v>
      </c>
      <c r="H5631" t="s">
        <v>3401</v>
      </c>
      <c r="I5631">
        <v>5102</v>
      </c>
      <c r="J5631" s="3">
        <v>80</v>
      </c>
      <c r="K5631" s="3">
        <v>38.92</v>
      </c>
      <c r="L5631">
        <v>51.35</v>
      </c>
    </row>
    <row r="5632" spans="1:12">
      <c r="A5632" s="1">
        <v>46045</v>
      </c>
      <c r="B5632" t="s">
        <v>6414</v>
      </c>
      <c r="C5632">
        <v>14</v>
      </c>
      <c r="D5632" t="str">
        <f>VLOOKUP(Tabela26[[#This Row],[EMP]],[1]LOJA!$A:$B,2,0)</f>
        <v>S IA</v>
      </c>
      <c r="E5632">
        <v>54</v>
      </c>
      <c r="F5632" t="s">
        <v>3974</v>
      </c>
      <c r="G5632" t="s">
        <v>3973</v>
      </c>
      <c r="H5632" t="s">
        <v>3430</v>
      </c>
      <c r="I5632">
        <v>5102</v>
      </c>
      <c r="J5632" s="3">
        <v>15.36</v>
      </c>
      <c r="K5632" s="3">
        <v>10.59</v>
      </c>
      <c r="L5632">
        <v>31.05</v>
      </c>
    </row>
    <row r="5633" spans="1:12">
      <c r="A5633" s="1">
        <v>46045</v>
      </c>
      <c r="B5633" t="s">
        <v>6413</v>
      </c>
      <c r="C5633">
        <v>14</v>
      </c>
      <c r="D5633" t="str">
        <f>VLOOKUP(Tabela26[[#This Row],[EMP]],[1]LOJA!$A:$B,2,0)</f>
        <v>S IA</v>
      </c>
      <c r="E5633">
        <v>212</v>
      </c>
      <c r="F5633" t="s">
        <v>3403</v>
      </c>
      <c r="G5633" t="s">
        <v>3402</v>
      </c>
      <c r="H5633" t="s">
        <v>3408</v>
      </c>
      <c r="I5633">
        <v>5405</v>
      </c>
      <c r="J5633" s="3">
        <v>26.9</v>
      </c>
      <c r="K5633" s="3">
        <v>12.63</v>
      </c>
      <c r="L5633">
        <v>53.05</v>
      </c>
    </row>
    <row r="5634" spans="1:12">
      <c r="A5634" s="1">
        <v>46045</v>
      </c>
      <c r="B5634" t="s">
        <v>6412</v>
      </c>
      <c r="C5634">
        <v>14</v>
      </c>
      <c r="D5634" t="str">
        <f>VLOOKUP(Tabela26[[#This Row],[EMP]],[1]LOJA!$A:$B,2,0)</f>
        <v>S IA</v>
      </c>
      <c r="E5634">
        <v>212</v>
      </c>
      <c r="F5634" t="s">
        <v>4666</v>
      </c>
      <c r="G5634" t="s">
        <v>4665</v>
      </c>
      <c r="H5634" t="s">
        <v>3401</v>
      </c>
      <c r="I5634">
        <v>5102</v>
      </c>
      <c r="J5634" s="3">
        <v>83</v>
      </c>
      <c r="K5634" s="3">
        <v>39.700000000000003</v>
      </c>
      <c r="L5634">
        <v>52.17</v>
      </c>
    </row>
    <row r="5635" spans="1:12">
      <c r="A5635" s="1">
        <v>46045</v>
      </c>
      <c r="B5635" t="s">
        <v>6411</v>
      </c>
      <c r="C5635">
        <v>14</v>
      </c>
      <c r="D5635" t="str">
        <f>VLOOKUP(Tabela26[[#This Row],[EMP]],[1]LOJA!$A:$B,2,0)</f>
        <v>S IA</v>
      </c>
      <c r="E5635">
        <v>54</v>
      </c>
      <c r="F5635" t="s">
        <v>6410</v>
      </c>
      <c r="G5635" t="s">
        <v>6409</v>
      </c>
      <c r="H5635" t="s">
        <v>3430</v>
      </c>
      <c r="I5635">
        <v>5102</v>
      </c>
      <c r="J5635" s="3">
        <v>125.64</v>
      </c>
      <c r="K5635" s="3">
        <v>69.260000000000005</v>
      </c>
      <c r="L5635">
        <v>44.87</v>
      </c>
    </row>
    <row r="5636" spans="1:12">
      <c r="A5636" s="1">
        <v>46045</v>
      </c>
      <c r="B5636" t="s">
        <v>6408</v>
      </c>
      <c r="C5636">
        <v>15</v>
      </c>
      <c r="D5636" t="str">
        <f>VLOOKUP(Tabela26[[#This Row],[EMP]],[1]LOJA!$A:$B,2,0)</f>
        <v>UNAÍ</v>
      </c>
      <c r="E5636">
        <v>183</v>
      </c>
      <c r="F5636" t="s">
        <v>4074</v>
      </c>
      <c r="G5636" t="s">
        <v>4073</v>
      </c>
      <c r="H5636" t="s">
        <v>3401</v>
      </c>
      <c r="I5636">
        <v>5102</v>
      </c>
      <c r="J5636" s="3">
        <v>86.99</v>
      </c>
      <c r="K5636" s="3">
        <v>46.95</v>
      </c>
      <c r="L5636">
        <v>46.03</v>
      </c>
    </row>
    <row r="5637" spans="1:12">
      <c r="A5637" s="1">
        <v>46045</v>
      </c>
      <c r="B5637" t="s">
        <v>6407</v>
      </c>
      <c r="C5637">
        <v>15</v>
      </c>
      <c r="D5637" t="str">
        <f>VLOOKUP(Tabela26[[#This Row],[EMP]],[1]LOJA!$A:$B,2,0)</f>
        <v>UNAÍ</v>
      </c>
      <c r="E5637">
        <v>183</v>
      </c>
      <c r="F5637" t="s">
        <v>3467</v>
      </c>
      <c r="G5637" t="s">
        <v>3466</v>
      </c>
      <c r="H5637" t="s">
        <v>3401</v>
      </c>
      <c r="I5637">
        <v>5102</v>
      </c>
      <c r="J5637" s="3">
        <v>45</v>
      </c>
      <c r="K5637" s="3">
        <v>24.38</v>
      </c>
      <c r="L5637">
        <v>45.82</v>
      </c>
    </row>
    <row r="5638" spans="1:12">
      <c r="A5638" s="1">
        <v>46045</v>
      </c>
      <c r="B5638" t="s">
        <v>6406</v>
      </c>
      <c r="C5638">
        <v>15</v>
      </c>
      <c r="D5638" t="str">
        <f>VLOOKUP(Tabela26[[#This Row],[EMP]],[1]LOJA!$A:$B,2,0)</f>
        <v>UNAÍ</v>
      </c>
      <c r="E5638">
        <v>183</v>
      </c>
      <c r="F5638" t="s">
        <v>4652</v>
      </c>
      <c r="G5638" t="s">
        <v>4651</v>
      </c>
      <c r="H5638" t="s">
        <v>3401</v>
      </c>
      <c r="I5638">
        <v>5102</v>
      </c>
      <c r="J5638" s="3">
        <v>49</v>
      </c>
      <c r="K5638" s="3">
        <v>25.21</v>
      </c>
      <c r="L5638">
        <v>48.55</v>
      </c>
    </row>
    <row r="5639" spans="1:12">
      <c r="A5639" s="1">
        <v>46045</v>
      </c>
      <c r="B5639" t="s">
        <v>6405</v>
      </c>
      <c r="C5639">
        <v>15</v>
      </c>
      <c r="D5639" t="str">
        <f>VLOOKUP(Tabela26[[#This Row],[EMP]],[1]LOJA!$A:$B,2,0)</f>
        <v>UNAÍ</v>
      </c>
      <c r="E5639">
        <v>183</v>
      </c>
      <c r="F5639" t="s">
        <v>5244</v>
      </c>
      <c r="G5639" t="s">
        <v>5243</v>
      </c>
      <c r="H5639" t="s">
        <v>3401</v>
      </c>
      <c r="I5639">
        <v>5102</v>
      </c>
      <c r="J5639" s="3">
        <v>271.8</v>
      </c>
      <c r="K5639" s="3">
        <v>133.32</v>
      </c>
      <c r="L5639">
        <v>50.95</v>
      </c>
    </row>
    <row r="5640" spans="1:12">
      <c r="A5640" s="1">
        <v>46045</v>
      </c>
      <c r="B5640" t="s">
        <v>6404</v>
      </c>
      <c r="C5640">
        <v>12</v>
      </c>
      <c r="D5640" t="str">
        <f>VLOOKUP(Tabela26[[#This Row],[EMP]],[1]LOJA!$A:$B,2,0)</f>
        <v>SOFNORTE</v>
      </c>
      <c r="E5640">
        <v>60</v>
      </c>
      <c r="F5640" t="s">
        <v>3925</v>
      </c>
      <c r="G5640" t="s">
        <v>3924</v>
      </c>
      <c r="H5640" t="s">
        <v>3430</v>
      </c>
      <c r="I5640">
        <v>5405</v>
      </c>
      <c r="J5640" s="3">
        <v>177</v>
      </c>
      <c r="K5640" s="3">
        <v>83.15</v>
      </c>
      <c r="L5640">
        <v>53.02</v>
      </c>
    </row>
    <row r="5641" spans="1:12">
      <c r="A5641" s="1">
        <v>46045</v>
      </c>
      <c r="B5641" t="s">
        <v>6403</v>
      </c>
      <c r="C5641">
        <v>12</v>
      </c>
      <c r="D5641" t="str">
        <f>VLOOKUP(Tabela26[[#This Row],[EMP]],[1]LOJA!$A:$B,2,0)</f>
        <v>SOFNORTE</v>
      </c>
      <c r="E5641">
        <v>60</v>
      </c>
      <c r="F5641" t="s">
        <v>3461</v>
      </c>
      <c r="G5641" t="s">
        <v>3460</v>
      </c>
      <c r="H5641" t="s">
        <v>3430</v>
      </c>
      <c r="I5641">
        <v>5405</v>
      </c>
      <c r="J5641" s="3">
        <v>93.06</v>
      </c>
      <c r="K5641" s="3">
        <v>44.7</v>
      </c>
      <c r="L5641">
        <v>51.97</v>
      </c>
    </row>
    <row r="5642" spans="1:12">
      <c r="A5642" s="1">
        <v>46045</v>
      </c>
      <c r="B5642" t="s">
        <v>6402</v>
      </c>
      <c r="C5642">
        <v>12</v>
      </c>
      <c r="D5642" t="str">
        <f>VLOOKUP(Tabela26[[#This Row],[EMP]],[1]LOJA!$A:$B,2,0)</f>
        <v>SOFNORTE</v>
      </c>
      <c r="E5642">
        <v>60</v>
      </c>
      <c r="F5642" t="s">
        <v>3925</v>
      </c>
      <c r="G5642" t="s">
        <v>3924</v>
      </c>
      <c r="H5642" t="s">
        <v>3430</v>
      </c>
      <c r="I5642">
        <v>5102</v>
      </c>
      <c r="J5642" s="3">
        <v>21.4</v>
      </c>
      <c r="K5642" s="3">
        <v>11.25</v>
      </c>
      <c r="L5642">
        <v>47.43</v>
      </c>
    </row>
    <row r="5643" spans="1:12">
      <c r="A5643" s="1">
        <v>46045</v>
      </c>
      <c r="B5643" t="s">
        <v>6401</v>
      </c>
      <c r="C5643">
        <v>12</v>
      </c>
      <c r="D5643" t="str">
        <f>VLOOKUP(Tabela26[[#This Row],[EMP]],[1]LOJA!$A:$B,2,0)</f>
        <v>SOFNORTE</v>
      </c>
      <c r="E5643">
        <v>60</v>
      </c>
      <c r="F5643" t="s">
        <v>3461</v>
      </c>
      <c r="G5643" t="s">
        <v>3460</v>
      </c>
      <c r="H5643" t="s">
        <v>3430</v>
      </c>
      <c r="I5643">
        <v>5102</v>
      </c>
      <c r="J5643" s="3">
        <v>70.95</v>
      </c>
      <c r="K5643" s="3">
        <v>43.03</v>
      </c>
      <c r="L5643">
        <v>39.35</v>
      </c>
    </row>
    <row r="5644" spans="1:12">
      <c r="A5644" s="1">
        <v>46045</v>
      </c>
      <c r="B5644" t="s">
        <v>6400</v>
      </c>
      <c r="C5644">
        <v>12</v>
      </c>
      <c r="D5644" t="str">
        <f>VLOOKUP(Tabela26[[#This Row],[EMP]],[1]LOJA!$A:$B,2,0)</f>
        <v>SOFNORTE</v>
      </c>
      <c r="E5644">
        <v>60</v>
      </c>
      <c r="F5644" t="s">
        <v>3928</v>
      </c>
      <c r="G5644" t="s">
        <v>3927</v>
      </c>
      <c r="H5644" t="s">
        <v>3430</v>
      </c>
      <c r="I5644">
        <v>5405</v>
      </c>
      <c r="J5644" s="3">
        <v>91</v>
      </c>
      <c r="K5644" s="3">
        <v>42.74</v>
      </c>
      <c r="L5644">
        <v>53.03</v>
      </c>
    </row>
    <row r="5645" spans="1:12">
      <c r="A5645" s="1">
        <v>46045</v>
      </c>
      <c r="B5645" t="s">
        <v>6399</v>
      </c>
      <c r="C5645">
        <v>12</v>
      </c>
      <c r="D5645" t="str">
        <f>VLOOKUP(Tabela26[[#This Row],[EMP]],[1]LOJA!$A:$B,2,0)</f>
        <v>SOFNORTE</v>
      </c>
      <c r="E5645">
        <v>60</v>
      </c>
      <c r="F5645" t="s">
        <v>3945</v>
      </c>
      <c r="G5645" t="s">
        <v>3944</v>
      </c>
      <c r="H5645" t="s">
        <v>3430</v>
      </c>
      <c r="I5645">
        <v>5102</v>
      </c>
      <c r="J5645" s="3">
        <v>230.95</v>
      </c>
      <c r="K5645" s="3">
        <v>142.93</v>
      </c>
      <c r="L5645">
        <v>38.11</v>
      </c>
    </row>
    <row r="5646" spans="1:12">
      <c r="A5646" s="1">
        <v>46045</v>
      </c>
      <c r="B5646" t="s">
        <v>6398</v>
      </c>
      <c r="C5646">
        <v>12</v>
      </c>
      <c r="D5646" t="str">
        <f>VLOOKUP(Tabela26[[#This Row],[EMP]],[1]LOJA!$A:$B,2,0)</f>
        <v>SOFNORTE</v>
      </c>
      <c r="E5646">
        <v>60</v>
      </c>
      <c r="F5646" t="s">
        <v>6397</v>
      </c>
      <c r="G5646" t="s">
        <v>6396</v>
      </c>
      <c r="H5646" t="s">
        <v>3401</v>
      </c>
      <c r="I5646">
        <v>1411</v>
      </c>
      <c r="J5646" s="3">
        <v>-209</v>
      </c>
      <c r="K5646" s="3">
        <v>-101.12</v>
      </c>
      <c r="L5646">
        <v>51.62</v>
      </c>
    </row>
    <row r="5647" spans="1:12">
      <c r="A5647" s="1">
        <v>46045</v>
      </c>
      <c r="B5647" t="s">
        <v>6395</v>
      </c>
      <c r="C5647">
        <v>12</v>
      </c>
      <c r="D5647" t="str">
        <f>VLOOKUP(Tabela26[[#This Row],[EMP]],[1]LOJA!$A:$B,2,0)</f>
        <v>SOFNORTE</v>
      </c>
      <c r="E5647">
        <v>60</v>
      </c>
      <c r="F5647" t="s">
        <v>3461</v>
      </c>
      <c r="G5647" t="s">
        <v>3460</v>
      </c>
      <c r="H5647" t="s">
        <v>3430</v>
      </c>
      <c r="I5647">
        <v>5102</v>
      </c>
      <c r="J5647" s="3">
        <v>20.25</v>
      </c>
      <c r="K5647" s="3">
        <v>11.2</v>
      </c>
      <c r="L5647">
        <v>44.69</v>
      </c>
    </row>
    <row r="5648" spans="1:12">
      <c r="A5648" s="1">
        <v>46045</v>
      </c>
      <c r="B5648" t="s">
        <v>6394</v>
      </c>
      <c r="C5648">
        <v>12</v>
      </c>
      <c r="D5648" t="str">
        <f>VLOOKUP(Tabela26[[#This Row],[EMP]],[1]LOJA!$A:$B,2,0)</f>
        <v>SOFNORTE</v>
      </c>
      <c r="E5648">
        <v>60</v>
      </c>
      <c r="F5648" t="s">
        <v>6393</v>
      </c>
      <c r="G5648" t="s">
        <v>6392</v>
      </c>
      <c r="H5648" t="s">
        <v>3430</v>
      </c>
      <c r="I5648">
        <v>5102</v>
      </c>
      <c r="J5648" s="3">
        <v>89</v>
      </c>
      <c r="K5648" s="3">
        <v>44.1</v>
      </c>
      <c r="L5648">
        <v>50.45</v>
      </c>
    </row>
    <row r="5649" spans="1:12">
      <c r="A5649" s="1">
        <v>46045</v>
      </c>
      <c r="B5649" t="s">
        <v>6391</v>
      </c>
      <c r="C5649">
        <v>12</v>
      </c>
      <c r="D5649" t="str">
        <f>VLOOKUP(Tabela26[[#This Row],[EMP]],[1]LOJA!$A:$B,2,0)</f>
        <v>SOFNORTE</v>
      </c>
      <c r="E5649">
        <v>60</v>
      </c>
      <c r="F5649" t="s">
        <v>6390</v>
      </c>
      <c r="G5649" t="s">
        <v>6389</v>
      </c>
      <c r="H5649" t="s">
        <v>3401</v>
      </c>
      <c r="I5649">
        <v>5405</v>
      </c>
      <c r="J5649" s="3">
        <v>282</v>
      </c>
      <c r="K5649" s="3">
        <v>164.03</v>
      </c>
      <c r="L5649">
        <v>41.83</v>
      </c>
    </row>
    <row r="5650" spans="1:12">
      <c r="A5650" s="1">
        <v>46045</v>
      </c>
      <c r="B5650" t="s">
        <v>6388</v>
      </c>
      <c r="C5650">
        <v>12</v>
      </c>
      <c r="D5650" t="str">
        <f>VLOOKUP(Tabela26[[#This Row],[EMP]],[1]LOJA!$A:$B,2,0)</f>
        <v>SOFNORTE</v>
      </c>
      <c r="E5650">
        <v>60</v>
      </c>
      <c r="F5650" t="s">
        <v>3461</v>
      </c>
      <c r="G5650" t="s">
        <v>3460</v>
      </c>
      <c r="H5650" t="s">
        <v>3430</v>
      </c>
      <c r="I5650">
        <v>5405</v>
      </c>
      <c r="J5650" s="3">
        <v>184.37</v>
      </c>
      <c r="K5650" s="3">
        <v>88.72</v>
      </c>
      <c r="L5650">
        <v>51.88</v>
      </c>
    </row>
    <row r="5651" spans="1:12">
      <c r="A5651" s="1">
        <v>46045</v>
      </c>
      <c r="B5651" t="s">
        <v>6387</v>
      </c>
      <c r="C5651">
        <v>12</v>
      </c>
      <c r="D5651" t="str">
        <f>VLOOKUP(Tabela26[[#This Row],[EMP]],[1]LOJA!$A:$B,2,0)</f>
        <v>SOFNORTE</v>
      </c>
      <c r="E5651">
        <v>60</v>
      </c>
      <c r="F5651" t="s">
        <v>3953</v>
      </c>
      <c r="G5651" t="s">
        <v>3952</v>
      </c>
      <c r="H5651" t="s">
        <v>3430</v>
      </c>
      <c r="I5651">
        <v>5102</v>
      </c>
      <c r="J5651" s="3">
        <v>75</v>
      </c>
      <c r="K5651" s="3">
        <v>35.770000000000003</v>
      </c>
      <c r="L5651">
        <v>52.31</v>
      </c>
    </row>
    <row r="5652" spans="1:12">
      <c r="A5652" s="1">
        <v>46045</v>
      </c>
      <c r="B5652" t="s">
        <v>6386</v>
      </c>
      <c r="C5652">
        <v>12</v>
      </c>
      <c r="D5652" t="str">
        <f>VLOOKUP(Tabela26[[#This Row],[EMP]],[1]LOJA!$A:$B,2,0)</f>
        <v>SOFNORTE</v>
      </c>
      <c r="E5652">
        <v>60</v>
      </c>
      <c r="F5652" t="s">
        <v>5739</v>
      </c>
      <c r="G5652" t="s">
        <v>5738</v>
      </c>
      <c r="H5652" t="s">
        <v>3430</v>
      </c>
      <c r="I5652">
        <v>5102</v>
      </c>
      <c r="J5652" s="3">
        <v>39.020000000000003</v>
      </c>
      <c r="K5652" s="3">
        <v>21.04</v>
      </c>
      <c r="L5652">
        <v>46.08</v>
      </c>
    </row>
    <row r="5653" spans="1:12">
      <c r="A5653" s="1">
        <v>46045</v>
      </c>
      <c r="B5653" t="s">
        <v>6385</v>
      </c>
      <c r="C5653">
        <v>12</v>
      </c>
      <c r="D5653" t="str">
        <f>VLOOKUP(Tabela26[[#This Row],[EMP]],[1]LOJA!$A:$B,2,0)</f>
        <v>SOFNORTE</v>
      </c>
      <c r="E5653">
        <v>60</v>
      </c>
      <c r="F5653" t="s">
        <v>6384</v>
      </c>
      <c r="G5653" t="s">
        <v>6383</v>
      </c>
      <c r="H5653" t="s">
        <v>3401</v>
      </c>
      <c r="I5653">
        <v>5102</v>
      </c>
      <c r="J5653" s="3">
        <v>557</v>
      </c>
      <c r="K5653" s="3">
        <v>309.75</v>
      </c>
      <c r="L5653">
        <v>44.39</v>
      </c>
    </row>
    <row r="5654" spans="1:12">
      <c r="A5654" s="1">
        <v>46045</v>
      </c>
      <c r="B5654" t="s">
        <v>6382</v>
      </c>
      <c r="C5654">
        <v>22</v>
      </c>
      <c r="D5654" t="str">
        <f>VLOOKUP(Tabela26[[#This Row],[EMP]],[1]LOJA!$A:$B,2,0)</f>
        <v>GUARÁ</v>
      </c>
      <c r="E5654">
        <v>93</v>
      </c>
      <c r="F5654" t="s">
        <v>3403</v>
      </c>
      <c r="G5654" t="s">
        <v>3402</v>
      </c>
      <c r="H5654" t="s">
        <v>3401</v>
      </c>
      <c r="I5654">
        <v>5102</v>
      </c>
      <c r="J5654" s="3">
        <v>22</v>
      </c>
      <c r="K5654" s="3">
        <v>13.03</v>
      </c>
      <c r="L5654">
        <v>40.770000000000003</v>
      </c>
    </row>
    <row r="5655" spans="1:12">
      <c r="A5655" s="1">
        <v>46045</v>
      </c>
      <c r="B5655" t="s">
        <v>6381</v>
      </c>
      <c r="C5655">
        <v>22</v>
      </c>
      <c r="D5655" t="str">
        <f>VLOOKUP(Tabela26[[#This Row],[EMP]],[1]LOJA!$A:$B,2,0)</f>
        <v>GUARÁ</v>
      </c>
      <c r="E5655">
        <v>93</v>
      </c>
      <c r="F5655" t="s">
        <v>3403</v>
      </c>
      <c r="G5655" t="s">
        <v>3402</v>
      </c>
      <c r="H5655" t="s">
        <v>3401</v>
      </c>
      <c r="I5655">
        <v>5102</v>
      </c>
      <c r="J5655" s="3">
        <v>16</v>
      </c>
      <c r="K5655" s="3">
        <v>8.14</v>
      </c>
      <c r="L5655">
        <v>49.13</v>
      </c>
    </row>
    <row r="5656" spans="1:12">
      <c r="A5656" s="1">
        <v>46045</v>
      </c>
      <c r="B5656" t="s">
        <v>6380</v>
      </c>
      <c r="C5656">
        <v>22</v>
      </c>
      <c r="D5656" t="str">
        <f>VLOOKUP(Tabela26[[#This Row],[EMP]],[1]LOJA!$A:$B,2,0)</f>
        <v>GUARÁ</v>
      </c>
      <c r="E5656">
        <v>93</v>
      </c>
      <c r="F5656" t="s">
        <v>3403</v>
      </c>
      <c r="G5656" t="s">
        <v>3402</v>
      </c>
      <c r="H5656" t="s">
        <v>3401</v>
      </c>
      <c r="I5656">
        <v>5102</v>
      </c>
      <c r="J5656" s="3">
        <v>21.5</v>
      </c>
      <c r="K5656" s="3">
        <v>11.63</v>
      </c>
      <c r="L5656">
        <v>45.91</v>
      </c>
    </row>
    <row r="5657" spans="1:12">
      <c r="A5657" s="1">
        <v>46045</v>
      </c>
      <c r="B5657" t="s">
        <v>6379</v>
      </c>
      <c r="C5657">
        <v>22</v>
      </c>
      <c r="D5657" t="str">
        <f>VLOOKUP(Tabela26[[#This Row],[EMP]],[1]LOJA!$A:$B,2,0)</f>
        <v>GUARÁ</v>
      </c>
      <c r="E5657">
        <v>93</v>
      </c>
      <c r="F5657" t="s">
        <v>3403</v>
      </c>
      <c r="G5657" t="s">
        <v>3402</v>
      </c>
      <c r="H5657" t="s">
        <v>3401</v>
      </c>
      <c r="I5657">
        <v>5102</v>
      </c>
      <c r="J5657" s="3">
        <v>39</v>
      </c>
      <c r="K5657" s="3">
        <v>25.11</v>
      </c>
      <c r="L5657">
        <v>35.619999999999997</v>
      </c>
    </row>
    <row r="5658" spans="1:12">
      <c r="A5658" s="1">
        <v>46045</v>
      </c>
      <c r="B5658" t="s">
        <v>6378</v>
      </c>
      <c r="C5658">
        <v>22</v>
      </c>
      <c r="D5658" t="str">
        <f>VLOOKUP(Tabela26[[#This Row],[EMP]],[1]LOJA!$A:$B,2,0)</f>
        <v>GUARÁ</v>
      </c>
      <c r="E5658">
        <v>93</v>
      </c>
      <c r="F5658" t="s">
        <v>3403</v>
      </c>
      <c r="G5658" t="s">
        <v>3402</v>
      </c>
      <c r="H5658" t="s">
        <v>3401</v>
      </c>
      <c r="I5658">
        <v>5102</v>
      </c>
      <c r="J5658" s="3">
        <v>14</v>
      </c>
      <c r="K5658" s="3">
        <v>7.44</v>
      </c>
      <c r="L5658">
        <v>46.86</v>
      </c>
    </row>
    <row r="5659" spans="1:12">
      <c r="A5659" s="1">
        <v>46045</v>
      </c>
      <c r="B5659" t="s">
        <v>6377</v>
      </c>
      <c r="C5659">
        <v>22</v>
      </c>
      <c r="D5659" t="str">
        <f>VLOOKUP(Tabela26[[#This Row],[EMP]],[1]LOJA!$A:$B,2,0)</f>
        <v>GUARÁ</v>
      </c>
      <c r="E5659">
        <v>16</v>
      </c>
      <c r="F5659" t="s">
        <v>3886</v>
      </c>
      <c r="G5659" t="s">
        <v>3402</v>
      </c>
      <c r="H5659" t="s">
        <v>3408</v>
      </c>
      <c r="I5659">
        <v>5405</v>
      </c>
      <c r="J5659" s="3">
        <v>226</v>
      </c>
      <c r="K5659" s="3">
        <v>119.39</v>
      </c>
      <c r="L5659">
        <v>47.17</v>
      </c>
    </row>
    <row r="5660" spans="1:12">
      <c r="A5660" s="1">
        <v>46045</v>
      </c>
      <c r="B5660" t="s">
        <v>6376</v>
      </c>
      <c r="C5660">
        <v>22</v>
      </c>
      <c r="D5660" t="str">
        <f>VLOOKUP(Tabela26[[#This Row],[EMP]],[1]LOJA!$A:$B,2,0)</f>
        <v>GUARÁ</v>
      </c>
      <c r="E5660">
        <v>93</v>
      </c>
      <c r="F5660" t="s">
        <v>3403</v>
      </c>
      <c r="G5660" t="s">
        <v>3402</v>
      </c>
      <c r="H5660" t="s">
        <v>3401</v>
      </c>
      <c r="I5660">
        <v>5102</v>
      </c>
      <c r="J5660" s="3">
        <v>9</v>
      </c>
      <c r="K5660" s="3">
        <v>3.6</v>
      </c>
      <c r="L5660">
        <v>60</v>
      </c>
    </row>
    <row r="5661" spans="1:12">
      <c r="A5661" s="1">
        <v>46045</v>
      </c>
      <c r="B5661" t="s">
        <v>6375</v>
      </c>
      <c r="C5661">
        <v>22</v>
      </c>
      <c r="D5661" t="str">
        <f>VLOOKUP(Tabela26[[#This Row],[EMP]],[1]LOJA!$A:$B,2,0)</f>
        <v>GUARÁ</v>
      </c>
      <c r="E5661">
        <v>93</v>
      </c>
      <c r="F5661" t="s">
        <v>3856</v>
      </c>
      <c r="G5661" t="s">
        <v>3855</v>
      </c>
      <c r="H5661" t="s">
        <v>3520</v>
      </c>
      <c r="I5661">
        <v>5405</v>
      </c>
      <c r="J5661" s="3">
        <v>82.47</v>
      </c>
      <c r="K5661" s="3">
        <v>43.44</v>
      </c>
      <c r="L5661">
        <v>47.33</v>
      </c>
    </row>
    <row r="5662" spans="1:12">
      <c r="A5662" s="1">
        <v>46045</v>
      </c>
      <c r="B5662" t="s">
        <v>6374</v>
      </c>
      <c r="C5662">
        <v>22</v>
      </c>
      <c r="D5662" t="str">
        <f>VLOOKUP(Tabela26[[#This Row],[EMP]],[1]LOJA!$A:$B,2,0)</f>
        <v>GUARÁ</v>
      </c>
      <c r="E5662">
        <v>93</v>
      </c>
      <c r="F5662" t="s">
        <v>3403</v>
      </c>
      <c r="G5662" t="s">
        <v>3402</v>
      </c>
      <c r="H5662" t="s">
        <v>3401</v>
      </c>
      <c r="I5662">
        <v>5102</v>
      </c>
      <c r="J5662" s="3">
        <v>16.5</v>
      </c>
      <c r="K5662" s="3">
        <v>10.89</v>
      </c>
      <c r="L5662">
        <v>34</v>
      </c>
    </row>
    <row r="5663" spans="1:12">
      <c r="A5663" s="1">
        <v>46045</v>
      </c>
      <c r="B5663" t="s">
        <v>6373</v>
      </c>
      <c r="C5663">
        <v>22</v>
      </c>
      <c r="D5663" t="str">
        <f>VLOOKUP(Tabela26[[#This Row],[EMP]],[1]LOJA!$A:$B,2,0)</f>
        <v>GUARÁ</v>
      </c>
      <c r="E5663">
        <v>16</v>
      </c>
      <c r="F5663" t="s">
        <v>6372</v>
      </c>
      <c r="G5663" t="s">
        <v>6371</v>
      </c>
      <c r="H5663" t="s">
        <v>3408</v>
      </c>
      <c r="I5663">
        <v>5405</v>
      </c>
      <c r="J5663" s="3">
        <v>220.74</v>
      </c>
      <c r="K5663" s="3">
        <v>115.98</v>
      </c>
      <c r="L5663">
        <v>47.46</v>
      </c>
    </row>
    <row r="5664" spans="1:12">
      <c r="A5664" s="1">
        <v>46045</v>
      </c>
      <c r="B5664" t="s">
        <v>6370</v>
      </c>
      <c r="C5664">
        <v>22</v>
      </c>
      <c r="D5664" t="str">
        <f>VLOOKUP(Tabela26[[#This Row],[EMP]],[1]LOJA!$A:$B,2,0)</f>
        <v>GUARÁ</v>
      </c>
      <c r="E5664">
        <v>93</v>
      </c>
      <c r="F5664" t="s">
        <v>3403</v>
      </c>
      <c r="G5664" t="s">
        <v>3402</v>
      </c>
      <c r="H5664" t="s">
        <v>3401</v>
      </c>
      <c r="I5664">
        <v>5102</v>
      </c>
      <c r="J5664" s="3">
        <v>24</v>
      </c>
      <c r="K5664" s="3">
        <v>13.78</v>
      </c>
      <c r="L5664">
        <v>42.58</v>
      </c>
    </row>
    <row r="5665" spans="1:12">
      <c r="A5665" s="1">
        <v>46045</v>
      </c>
      <c r="B5665" t="s">
        <v>6369</v>
      </c>
      <c r="C5665">
        <v>22</v>
      </c>
      <c r="D5665" t="str">
        <f>VLOOKUP(Tabela26[[#This Row],[EMP]],[1]LOJA!$A:$B,2,0)</f>
        <v>GUARÁ</v>
      </c>
      <c r="E5665">
        <v>16</v>
      </c>
      <c r="F5665" t="s">
        <v>6368</v>
      </c>
      <c r="G5665" t="s">
        <v>6367</v>
      </c>
      <c r="H5665" t="s">
        <v>3401</v>
      </c>
      <c r="I5665">
        <v>5405</v>
      </c>
      <c r="J5665" s="3">
        <v>65</v>
      </c>
      <c r="K5665" s="3">
        <v>28.27</v>
      </c>
      <c r="L5665">
        <v>56.51</v>
      </c>
    </row>
    <row r="5666" spans="1:12">
      <c r="A5666" s="1">
        <v>46045</v>
      </c>
      <c r="B5666" t="s">
        <v>6366</v>
      </c>
      <c r="C5666">
        <v>22</v>
      </c>
      <c r="D5666" t="str">
        <f>VLOOKUP(Tabela26[[#This Row],[EMP]],[1]LOJA!$A:$B,2,0)</f>
        <v>GUARÁ</v>
      </c>
      <c r="E5666">
        <v>93</v>
      </c>
      <c r="F5666" t="s">
        <v>6365</v>
      </c>
      <c r="G5666" t="s">
        <v>6364</v>
      </c>
      <c r="H5666" t="s">
        <v>3401</v>
      </c>
      <c r="I5666">
        <v>5405</v>
      </c>
      <c r="J5666" s="3">
        <v>520</v>
      </c>
      <c r="K5666" s="3">
        <v>282.66000000000003</v>
      </c>
      <c r="L5666">
        <v>45.64</v>
      </c>
    </row>
    <row r="5667" spans="1:12">
      <c r="A5667" s="1">
        <v>46045</v>
      </c>
      <c r="B5667" t="s">
        <v>6363</v>
      </c>
      <c r="C5667">
        <v>22</v>
      </c>
      <c r="D5667" t="str">
        <f>VLOOKUP(Tabela26[[#This Row],[EMP]],[1]LOJA!$A:$B,2,0)</f>
        <v>GUARÁ</v>
      </c>
      <c r="E5667">
        <v>93</v>
      </c>
      <c r="F5667" t="s">
        <v>3403</v>
      </c>
      <c r="G5667" t="s">
        <v>3402</v>
      </c>
      <c r="H5667" t="s">
        <v>3401</v>
      </c>
      <c r="I5667">
        <v>5102</v>
      </c>
      <c r="J5667" s="3">
        <v>30</v>
      </c>
      <c r="K5667" s="3">
        <v>16.11</v>
      </c>
      <c r="L5667">
        <v>46.3</v>
      </c>
    </row>
    <row r="5668" spans="1:12">
      <c r="A5668" s="1">
        <v>46045</v>
      </c>
      <c r="B5668" t="s">
        <v>6362</v>
      </c>
      <c r="C5668">
        <v>22</v>
      </c>
      <c r="D5668" t="str">
        <f>VLOOKUP(Tabela26[[#This Row],[EMP]],[1]LOJA!$A:$B,2,0)</f>
        <v>GUARÁ</v>
      </c>
      <c r="E5668">
        <v>93</v>
      </c>
      <c r="F5668" t="s">
        <v>3403</v>
      </c>
      <c r="G5668" t="s">
        <v>3402</v>
      </c>
      <c r="H5668" t="s">
        <v>3401</v>
      </c>
      <c r="I5668">
        <v>5102</v>
      </c>
      <c r="J5668" s="3">
        <v>17</v>
      </c>
      <c r="K5668" s="3">
        <v>9.0299999999999994</v>
      </c>
      <c r="L5668">
        <v>46.88</v>
      </c>
    </row>
    <row r="5669" spans="1:12">
      <c r="A5669" s="1">
        <v>46045</v>
      </c>
      <c r="B5669" t="s">
        <v>6361</v>
      </c>
      <c r="C5669">
        <v>22</v>
      </c>
      <c r="D5669" t="str">
        <f>VLOOKUP(Tabela26[[#This Row],[EMP]],[1]LOJA!$A:$B,2,0)</f>
        <v>GUARÁ</v>
      </c>
      <c r="E5669">
        <v>93</v>
      </c>
      <c r="F5669" t="s">
        <v>6360</v>
      </c>
      <c r="G5669" t="s">
        <v>6359</v>
      </c>
      <c r="H5669" t="s">
        <v>3408</v>
      </c>
      <c r="I5669">
        <v>5405</v>
      </c>
      <c r="J5669" s="3">
        <v>164</v>
      </c>
      <c r="K5669" s="3">
        <v>79.040000000000006</v>
      </c>
      <c r="L5669">
        <v>51.8</v>
      </c>
    </row>
    <row r="5670" spans="1:12">
      <c r="A5670" s="1">
        <v>46045</v>
      </c>
      <c r="B5670" t="s">
        <v>6358</v>
      </c>
      <c r="C5670">
        <v>22</v>
      </c>
      <c r="D5670" t="str">
        <f>VLOOKUP(Tabela26[[#This Row],[EMP]],[1]LOJA!$A:$B,2,0)</f>
        <v>GUARÁ</v>
      </c>
      <c r="E5670">
        <v>93</v>
      </c>
      <c r="F5670" t="s">
        <v>3403</v>
      </c>
      <c r="G5670" t="s">
        <v>3402</v>
      </c>
      <c r="H5670" t="s">
        <v>3401</v>
      </c>
      <c r="I5670">
        <v>5102</v>
      </c>
      <c r="J5670" s="3">
        <v>123</v>
      </c>
      <c r="K5670" s="3">
        <v>65.84</v>
      </c>
      <c r="L5670">
        <v>46.47</v>
      </c>
    </row>
    <row r="5671" spans="1:12">
      <c r="A5671" s="1">
        <v>46045</v>
      </c>
      <c r="B5671" t="s">
        <v>6357</v>
      </c>
      <c r="C5671">
        <v>22</v>
      </c>
      <c r="D5671" t="str">
        <f>VLOOKUP(Tabela26[[#This Row],[EMP]],[1]LOJA!$A:$B,2,0)</f>
        <v>GUARÁ</v>
      </c>
      <c r="E5671">
        <v>93</v>
      </c>
      <c r="F5671" t="s">
        <v>3403</v>
      </c>
      <c r="G5671" t="s">
        <v>3402</v>
      </c>
      <c r="H5671" t="s">
        <v>3401</v>
      </c>
      <c r="I5671">
        <v>5102</v>
      </c>
      <c r="J5671" s="3">
        <v>17</v>
      </c>
      <c r="K5671" s="3">
        <v>9.0299999999999994</v>
      </c>
      <c r="L5671">
        <v>46.88</v>
      </c>
    </row>
    <row r="5672" spans="1:12">
      <c r="A5672" s="1">
        <v>46045</v>
      </c>
      <c r="B5672" t="s">
        <v>6356</v>
      </c>
      <c r="C5672">
        <v>22</v>
      </c>
      <c r="D5672" t="str">
        <f>VLOOKUP(Tabela26[[#This Row],[EMP]],[1]LOJA!$A:$B,2,0)</f>
        <v>GUARÁ</v>
      </c>
      <c r="E5672">
        <v>93</v>
      </c>
      <c r="F5672" t="s">
        <v>3403</v>
      </c>
      <c r="G5672" t="s">
        <v>3402</v>
      </c>
      <c r="H5672" t="s">
        <v>3401</v>
      </c>
      <c r="I5672">
        <v>5102</v>
      </c>
      <c r="J5672" s="3">
        <v>14</v>
      </c>
      <c r="K5672" s="3">
        <v>8.99</v>
      </c>
      <c r="L5672">
        <v>35.79</v>
      </c>
    </row>
    <row r="5673" spans="1:12">
      <c r="A5673" s="1">
        <v>46045</v>
      </c>
      <c r="B5673" t="s">
        <v>6355</v>
      </c>
      <c r="C5673">
        <v>22</v>
      </c>
      <c r="D5673" t="str">
        <f>VLOOKUP(Tabela26[[#This Row],[EMP]],[1]LOJA!$A:$B,2,0)</f>
        <v>GUARÁ</v>
      </c>
      <c r="E5673">
        <v>93</v>
      </c>
      <c r="F5673" t="s">
        <v>3403</v>
      </c>
      <c r="G5673" t="s">
        <v>3402</v>
      </c>
      <c r="H5673" t="s">
        <v>3401</v>
      </c>
      <c r="I5673">
        <v>5405</v>
      </c>
      <c r="J5673" s="3">
        <v>39</v>
      </c>
      <c r="K5673" s="3">
        <v>20.81</v>
      </c>
      <c r="L5673">
        <v>46.64</v>
      </c>
    </row>
    <row r="5674" spans="1:12">
      <c r="A5674" s="1">
        <v>46045</v>
      </c>
      <c r="B5674" t="s">
        <v>6354</v>
      </c>
      <c r="C5674">
        <v>22</v>
      </c>
      <c r="D5674" t="str">
        <f>VLOOKUP(Tabela26[[#This Row],[EMP]],[1]LOJA!$A:$B,2,0)</f>
        <v>GUARÁ</v>
      </c>
      <c r="E5674">
        <v>93</v>
      </c>
      <c r="F5674" t="s">
        <v>3921</v>
      </c>
      <c r="G5674" t="s">
        <v>3920</v>
      </c>
      <c r="H5674" t="s">
        <v>3401</v>
      </c>
      <c r="I5674">
        <v>5102</v>
      </c>
      <c r="J5674" s="3">
        <v>52.6</v>
      </c>
      <c r="K5674" s="3">
        <v>28.48</v>
      </c>
      <c r="L5674">
        <v>45.86</v>
      </c>
    </row>
    <row r="5675" spans="1:12">
      <c r="A5675" s="1">
        <v>46045</v>
      </c>
      <c r="B5675" t="s">
        <v>6353</v>
      </c>
      <c r="C5675">
        <v>22</v>
      </c>
      <c r="D5675" t="str">
        <f>VLOOKUP(Tabela26[[#This Row],[EMP]],[1]LOJA!$A:$B,2,0)</f>
        <v>GUARÁ</v>
      </c>
      <c r="E5675">
        <v>16</v>
      </c>
      <c r="F5675" t="s">
        <v>3403</v>
      </c>
      <c r="G5675" t="s">
        <v>3402</v>
      </c>
      <c r="H5675" t="s">
        <v>3401</v>
      </c>
      <c r="I5675">
        <v>5405</v>
      </c>
      <c r="J5675" s="3">
        <v>30</v>
      </c>
      <c r="K5675" s="3">
        <v>13.63</v>
      </c>
      <c r="L5675">
        <v>54.57</v>
      </c>
    </row>
    <row r="5676" spans="1:12">
      <c r="A5676" s="1">
        <v>46045</v>
      </c>
      <c r="B5676" t="s">
        <v>6352</v>
      </c>
      <c r="C5676">
        <v>22</v>
      </c>
      <c r="D5676" t="str">
        <f>VLOOKUP(Tabela26[[#This Row],[EMP]],[1]LOJA!$A:$B,2,0)</f>
        <v>GUARÁ</v>
      </c>
      <c r="E5676">
        <v>93</v>
      </c>
      <c r="F5676" t="s">
        <v>3921</v>
      </c>
      <c r="G5676" t="s">
        <v>3920</v>
      </c>
      <c r="H5676" t="s">
        <v>3401</v>
      </c>
      <c r="I5676">
        <v>5405</v>
      </c>
      <c r="J5676" s="3">
        <v>45</v>
      </c>
      <c r="K5676" s="3">
        <v>23.98</v>
      </c>
      <c r="L5676">
        <v>46.71</v>
      </c>
    </row>
    <row r="5677" spans="1:12">
      <c r="A5677" s="1">
        <v>46045</v>
      </c>
      <c r="B5677" t="s">
        <v>6351</v>
      </c>
      <c r="C5677">
        <v>22</v>
      </c>
      <c r="D5677" t="str">
        <f>VLOOKUP(Tabela26[[#This Row],[EMP]],[1]LOJA!$A:$B,2,0)</f>
        <v>GUARÁ</v>
      </c>
      <c r="E5677">
        <v>93</v>
      </c>
      <c r="F5677" t="s">
        <v>3403</v>
      </c>
      <c r="G5677" t="s">
        <v>3402</v>
      </c>
      <c r="H5677" t="s">
        <v>3401</v>
      </c>
      <c r="I5677">
        <v>5405</v>
      </c>
      <c r="J5677" s="3">
        <v>28</v>
      </c>
      <c r="K5677" s="3">
        <v>12.19</v>
      </c>
      <c r="L5677">
        <v>56.46</v>
      </c>
    </row>
    <row r="5678" spans="1:12">
      <c r="A5678" s="1">
        <v>46045</v>
      </c>
      <c r="B5678" t="s">
        <v>6350</v>
      </c>
      <c r="C5678">
        <v>22</v>
      </c>
      <c r="D5678" t="str">
        <f>VLOOKUP(Tabela26[[#This Row],[EMP]],[1]LOJA!$A:$B,2,0)</f>
        <v>GUARÁ</v>
      </c>
      <c r="E5678">
        <v>93</v>
      </c>
      <c r="F5678" t="s">
        <v>3983</v>
      </c>
      <c r="G5678" t="s">
        <v>3982</v>
      </c>
      <c r="H5678" t="s">
        <v>3408</v>
      </c>
      <c r="I5678">
        <v>5405</v>
      </c>
      <c r="J5678" s="3">
        <v>1006</v>
      </c>
      <c r="K5678" s="3">
        <v>563.45000000000005</v>
      </c>
      <c r="L5678">
        <v>43.99</v>
      </c>
    </row>
    <row r="5679" spans="1:12">
      <c r="A5679" s="1">
        <v>46045</v>
      </c>
      <c r="B5679" t="s">
        <v>6349</v>
      </c>
      <c r="C5679">
        <v>22</v>
      </c>
      <c r="D5679" t="str">
        <f>VLOOKUP(Tabela26[[#This Row],[EMP]],[1]LOJA!$A:$B,2,0)</f>
        <v>GUARÁ</v>
      </c>
      <c r="E5679">
        <v>93</v>
      </c>
      <c r="F5679" t="s">
        <v>3403</v>
      </c>
      <c r="G5679" t="s">
        <v>3402</v>
      </c>
      <c r="H5679" t="s">
        <v>3401</v>
      </c>
      <c r="I5679">
        <v>5102</v>
      </c>
      <c r="J5679" s="3">
        <v>137</v>
      </c>
      <c r="K5679" s="3">
        <v>77.510000000000005</v>
      </c>
      <c r="L5679">
        <v>43.42</v>
      </c>
    </row>
    <row r="5680" spans="1:12">
      <c r="A5680" s="1">
        <v>46045</v>
      </c>
      <c r="B5680" t="s">
        <v>6348</v>
      </c>
      <c r="C5680">
        <v>22</v>
      </c>
      <c r="D5680" t="str">
        <f>VLOOKUP(Tabela26[[#This Row],[EMP]],[1]LOJA!$A:$B,2,0)</f>
        <v>GUARÁ</v>
      </c>
      <c r="E5680">
        <v>93</v>
      </c>
      <c r="F5680" t="s">
        <v>3403</v>
      </c>
      <c r="G5680" t="s">
        <v>3402</v>
      </c>
      <c r="H5680" t="s">
        <v>3401</v>
      </c>
      <c r="I5680">
        <v>5405</v>
      </c>
      <c r="J5680" s="3">
        <v>76</v>
      </c>
      <c r="K5680" s="3">
        <v>35.32</v>
      </c>
      <c r="L5680">
        <v>53.53</v>
      </c>
    </row>
    <row r="5681" spans="1:12">
      <c r="A5681" s="1">
        <v>46045</v>
      </c>
      <c r="B5681" t="s">
        <v>6347</v>
      </c>
      <c r="C5681">
        <v>22</v>
      </c>
      <c r="D5681" t="str">
        <f>VLOOKUP(Tabela26[[#This Row],[EMP]],[1]LOJA!$A:$B,2,0)</f>
        <v>GUARÁ</v>
      </c>
      <c r="E5681">
        <v>93</v>
      </c>
      <c r="F5681" t="s">
        <v>4597</v>
      </c>
      <c r="G5681" t="s">
        <v>4596</v>
      </c>
      <c r="H5681" t="s">
        <v>3401</v>
      </c>
      <c r="I5681">
        <v>5102</v>
      </c>
      <c r="J5681" s="3">
        <v>60</v>
      </c>
      <c r="K5681" s="3">
        <v>27.38</v>
      </c>
      <c r="L5681">
        <v>54.37</v>
      </c>
    </row>
    <row r="5682" spans="1:12">
      <c r="A5682" s="1">
        <v>46045</v>
      </c>
      <c r="B5682" t="s">
        <v>6346</v>
      </c>
      <c r="C5682">
        <v>22</v>
      </c>
      <c r="D5682" t="str">
        <f>VLOOKUP(Tabela26[[#This Row],[EMP]],[1]LOJA!$A:$B,2,0)</f>
        <v>GUARÁ</v>
      </c>
      <c r="E5682">
        <v>93</v>
      </c>
      <c r="F5682" t="s">
        <v>3403</v>
      </c>
      <c r="G5682" t="s">
        <v>3402</v>
      </c>
      <c r="H5682" t="s">
        <v>3401</v>
      </c>
      <c r="I5682">
        <v>5405</v>
      </c>
      <c r="J5682" s="3">
        <v>22.5</v>
      </c>
      <c r="K5682" s="3">
        <v>11.99</v>
      </c>
      <c r="L5682">
        <v>46.71</v>
      </c>
    </row>
    <row r="5683" spans="1:12">
      <c r="A5683" s="1">
        <v>46045</v>
      </c>
      <c r="B5683" t="s">
        <v>6345</v>
      </c>
      <c r="C5683">
        <v>22</v>
      </c>
      <c r="D5683" t="str">
        <f>VLOOKUP(Tabela26[[#This Row],[EMP]],[1]LOJA!$A:$B,2,0)</f>
        <v>GUARÁ</v>
      </c>
      <c r="E5683">
        <v>93</v>
      </c>
      <c r="F5683" t="s">
        <v>5212</v>
      </c>
      <c r="G5683" t="s">
        <v>5211</v>
      </c>
      <c r="H5683" t="s">
        <v>3401</v>
      </c>
      <c r="I5683">
        <v>5405</v>
      </c>
      <c r="J5683" s="3">
        <v>35</v>
      </c>
      <c r="K5683" s="3">
        <v>17.07</v>
      </c>
      <c r="L5683">
        <v>51.23</v>
      </c>
    </row>
    <row r="5684" spans="1:12">
      <c r="A5684" s="1">
        <v>46045</v>
      </c>
      <c r="B5684" t="s">
        <v>6344</v>
      </c>
      <c r="C5684">
        <v>4</v>
      </c>
      <c r="D5684" t="str">
        <f>VLOOKUP(Tabela26[[#This Row],[EMP]],[1]LOJA!$A:$B,2,0)</f>
        <v>ADE</v>
      </c>
      <c r="E5684">
        <v>109</v>
      </c>
      <c r="F5684" t="s">
        <v>4558</v>
      </c>
      <c r="G5684" t="s">
        <v>4557</v>
      </c>
      <c r="H5684" t="s">
        <v>3426</v>
      </c>
      <c r="I5684">
        <v>5102</v>
      </c>
      <c r="J5684" s="3">
        <v>30</v>
      </c>
      <c r="K5684" s="3">
        <v>18</v>
      </c>
      <c r="L5684">
        <v>40</v>
      </c>
    </row>
    <row r="5685" spans="1:12">
      <c r="A5685" s="1">
        <v>46045</v>
      </c>
      <c r="B5685" t="s">
        <v>6343</v>
      </c>
      <c r="C5685">
        <v>4</v>
      </c>
      <c r="D5685" t="str">
        <f>VLOOKUP(Tabela26[[#This Row],[EMP]],[1]LOJA!$A:$B,2,0)</f>
        <v>ADE</v>
      </c>
      <c r="E5685">
        <v>132</v>
      </c>
      <c r="F5685" t="s">
        <v>3843</v>
      </c>
      <c r="G5685" t="s">
        <v>3842</v>
      </c>
      <c r="H5685" t="s">
        <v>3401</v>
      </c>
      <c r="I5685">
        <v>5405</v>
      </c>
      <c r="J5685" s="3">
        <v>47.4</v>
      </c>
      <c r="K5685" s="3">
        <v>25.72</v>
      </c>
      <c r="L5685">
        <v>45.74</v>
      </c>
    </row>
    <row r="5686" spans="1:12">
      <c r="A5686" s="1">
        <v>46045</v>
      </c>
      <c r="B5686" t="s">
        <v>6342</v>
      </c>
      <c r="C5686">
        <v>4</v>
      </c>
      <c r="D5686" t="str">
        <f>VLOOKUP(Tabela26[[#This Row],[EMP]],[1]LOJA!$A:$B,2,0)</f>
        <v>ADE</v>
      </c>
      <c r="E5686">
        <v>132</v>
      </c>
      <c r="F5686" t="s">
        <v>3403</v>
      </c>
      <c r="G5686" t="s">
        <v>3402</v>
      </c>
      <c r="H5686" t="s">
        <v>3401</v>
      </c>
      <c r="I5686">
        <v>5102</v>
      </c>
      <c r="J5686" s="3">
        <v>27</v>
      </c>
      <c r="K5686" s="3">
        <v>15.69</v>
      </c>
      <c r="L5686">
        <v>41.89</v>
      </c>
    </row>
    <row r="5687" spans="1:12">
      <c r="A5687" s="1">
        <v>46045</v>
      </c>
      <c r="B5687" t="s">
        <v>6341</v>
      </c>
      <c r="C5687">
        <v>4</v>
      </c>
      <c r="D5687" t="str">
        <f>VLOOKUP(Tabela26[[#This Row],[EMP]],[1]LOJA!$A:$B,2,0)</f>
        <v>ADE</v>
      </c>
      <c r="E5687">
        <v>132</v>
      </c>
      <c r="F5687" t="s">
        <v>5691</v>
      </c>
      <c r="G5687" t="s">
        <v>3402</v>
      </c>
      <c r="H5687" t="s">
        <v>3408</v>
      </c>
      <c r="I5687">
        <v>5102</v>
      </c>
      <c r="J5687" s="3">
        <v>45</v>
      </c>
      <c r="K5687" s="3">
        <v>30.8</v>
      </c>
      <c r="L5687">
        <v>31.56</v>
      </c>
    </row>
    <row r="5688" spans="1:12">
      <c r="A5688" s="1">
        <v>46045</v>
      </c>
      <c r="B5688" t="s">
        <v>6340</v>
      </c>
      <c r="C5688">
        <v>4</v>
      </c>
      <c r="D5688" t="str">
        <f>VLOOKUP(Tabela26[[#This Row],[EMP]],[1]LOJA!$A:$B,2,0)</f>
        <v>ADE</v>
      </c>
      <c r="E5688">
        <v>132</v>
      </c>
      <c r="F5688" t="s">
        <v>6339</v>
      </c>
      <c r="G5688" t="s">
        <v>3402</v>
      </c>
      <c r="H5688" t="s">
        <v>3408</v>
      </c>
      <c r="I5688">
        <v>5102</v>
      </c>
      <c r="J5688" s="3">
        <v>125</v>
      </c>
      <c r="K5688" s="3">
        <v>78.3</v>
      </c>
      <c r="L5688">
        <v>37.36</v>
      </c>
    </row>
    <row r="5689" spans="1:12">
      <c r="A5689" s="1">
        <v>46045</v>
      </c>
      <c r="B5689" t="s">
        <v>6338</v>
      </c>
      <c r="C5689">
        <v>4</v>
      </c>
      <c r="D5689" t="str">
        <f>VLOOKUP(Tabela26[[#This Row],[EMP]],[1]LOJA!$A:$B,2,0)</f>
        <v>ADE</v>
      </c>
      <c r="E5689">
        <v>132</v>
      </c>
      <c r="F5689" t="s">
        <v>4558</v>
      </c>
      <c r="G5689" t="s">
        <v>4557</v>
      </c>
      <c r="H5689" t="s">
        <v>3426</v>
      </c>
      <c r="I5689">
        <v>5405</v>
      </c>
      <c r="J5689" s="3">
        <v>144.74</v>
      </c>
      <c r="K5689" s="3">
        <v>69.36</v>
      </c>
      <c r="L5689">
        <v>52.08</v>
      </c>
    </row>
    <row r="5690" spans="1:12">
      <c r="A5690" s="1">
        <v>46045</v>
      </c>
      <c r="B5690" t="s">
        <v>6337</v>
      </c>
      <c r="C5690">
        <v>4</v>
      </c>
      <c r="D5690" t="str">
        <f>VLOOKUP(Tabela26[[#This Row],[EMP]],[1]LOJA!$A:$B,2,0)</f>
        <v>ADE</v>
      </c>
      <c r="E5690">
        <v>132</v>
      </c>
      <c r="F5690" t="s">
        <v>4558</v>
      </c>
      <c r="G5690" t="s">
        <v>4557</v>
      </c>
      <c r="H5690" t="s">
        <v>3426</v>
      </c>
      <c r="I5690">
        <v>5102</v>
      </c>
      <c r="J5690" s="3">
        <v>22.5</v>
      </c>
      <c r="K5690" s="3">
        <v>15.4</v>
      </c>
      <c r="L5690">
        <v>31.56</v>
      </c>
    </row>
    <row r="5691" spans="1:12">
      <c r="A5691" s="1">
        <v>46045</v>
      </c>
      <c r="B5691" t="s">
        <v>6336</v>
      </c>
      <c r="C5691">
        <v>4</v>
      </c>
      <c r="D5691" t="str">
        <f>VLOOKUP(Tabela26[[#This Row],[EMP]],[1]LOJA!$A:$B,2,0)</f>
        <v>ADE</v>
      </c>
      <c r="E5691">
        <v>132</v>
      </c>
      <c r="F5691" t="s">
        <v>3403</v>
      </c>
      <c r="G5691" t="s">
        <v>3402</v>
      </c>
      <c r="H5691" t="s">
        <v>3401</v>
      </c>
      <c r="I5691">
        <v>5102</v>
      </c>
      <c r="J5691" s="3">
        <v>8</v>
      </c>
      <c r="K5691" s="3">
        <v>3.91</v>
      </c>
      <c r="L5691">
        <v>51.13</v>
      </c>
    </row>
    <row r="5692" spans="1:12">
      <c r="A5692" s="1">
        <v>46045</v>
      </c>
      <c r="B5692" t="s">
        <v>6335</v>
      </c>
      <c r="C5692">
        <v>4</v>
      </c>
      <c r="D5692" t="str">
        <f>VLOOKUP(Tabela26[[#This Row],[EMP]],[1]LOJA!$A:$B,2,0)</f>
        <v>ADE</v>
      </c>
      <c r="E5692">
        <v>132</v>
      </c>
      <c r="F5692" t="s">
        <v>4565</v>
      </c>
      <c r="G5692" t="s">
        <v>4564</v>
      </c>
      <c r="H5692" t="s">
        <v>3408</v>
      </c>
      <c r="I5692">
        <v>5102</v>
      </c>
      <c r="J5692" s="3">
        <v>187.2</v>
      </c>
      <c r="K5692" s="3">
        <v>104.12</v>
      </c>
      <c r="L5692">
        <v>44.38</v>
      </c>
    </row>
    <row r="5693" spans="1:12">
      <c r="A5693" s="1">
        <v>46045</v>
      </c>
      <c r="B5693" t="s">
        <v>6334</v>
      </c>
      <c r="C5693">
        <v>4</v>
      </c>
      <c r="D5693" t="str">
        <f>VLOOKUP(Tabela26[[#This Row],[EMP]],[1]LOJA!$A:$B,2,0)</f>
        <v>ADE</v>
      </c>
      <c r="E5693">
        <v>132</v>
      </c>
      <c r="F5693" t="s">
        <v>3403</v>
      </c>
      <c r="G5693" t="s">
        <v>3402</v>
      </c>
      <c r="H5693" t="s">
        <v>3401</v>
      </c>
      <c r="I5693">
        <v>5102</v>
      </c>
      <c r="J5693" s="3">
        <v>40</v>
      </c>
      <c r="K5693" s="3">
        <v>18.149999999999999</v>
      </c>
      <c r="L5693">
        <v>54.63</v>
      </c>
    </row>
    <row r="5694" spans="1:12">
      <c r="A5694" s="1">
        <v>46045</v>
      </c>
      <c r="B5694" t="s">
        <v>6333</v>
      </c>
      <c r="C5694">
        <v>16</v>
      </c>
      <c r="D5694" t="str">
        <f>VLOOKUP(Tabela26[[#This Row],[EMP]],[1]LOJA!$A:$B,2,0)</f>
        <v>AG LINDAS</v>
      </c>
      <c r="E5694">
        <v>240</v>
      </c>
      <c r="F5694" t="s">
        <v>3832</v>
      </c>
      <c r="G5694" t="s">
        <v>3831</v>
      </c>
      <c r="H5694" t="s">
        <v>3401</v>
      </c>
      <c r="I5694">
        <v>5102</v>
      </c>
      <c r="J5694" s="3">
        <v>286</v>
      </c>
      <c r="K5694" s="3">
        <v>168.13</v>
      </c>
      <c r="L5694">
        <v>41.21</v>
      </c>
    </row>
    <row r="5695" spans="1:12">
      <c r="A5695" s="1">
        <v>46045</v>
      </c>
      <c r="B5695" t="s">
        <v>6332</v>
      </c>
      <c r="C5695">
        <v>16</v>
      </c>
      <c r="D5695" t="str">
        <f>VLOOKUP(Tabela26[[#This Row],[EMP]],[1]LOJA!$A:$B,2,0)</f>
        <v>AG LINDAS</v>
      </c>
      <c r="E5695">
        <v>240</v>
      </c>
      <c r="F5695" t="s">
        <v>6331</v>
      </c>
      <c r="G5695" t="s">
        <v>6330</v>
      </c>
      <c r="H5695" t="s">
        <v>3401</v>
      </c>
      <c r="I5695">
        <v>5102</v>
      </c>
      <c r="J5695" s="3">
        <v>19.5</v>
      </c>
      <c r="K5695" s="3">
        <v>9.75</v>
      </c>
      <c r="L5695">
        <v>50</v>
      </c>
    </row>
    <row r="5696" spans="1:12">
      <c r="A5696" s="1">
        <v>46045</v>
      </c>
      <c r="B5696" t="s">
        <v>6329</v>
      </c>
      <c r="C5696">
        <v>16</v>
      </c>
      <c r="D5696" t="str">
        <f>VLOOKUP(Tabela26[[#This Row],[EMP]],[1]LOJA!$A:$B,2,0)</f>
        <v>AG LINDAS</v>
      </c>
      <c r="E5696">
        <v>240</v>
      </c>
      <c r="F5696" t="s">
        <v>4552</v>
      </c>
      <c r="G5696" t="s">
        <v>3437</v>
      </c>
      <c r="H5696" t="s">
        <v>3408</v>
      </c>
      <c r="I5696">
        <v>5405</v>
      </c>
      <c r="J5696" s="3">
        <v>66.8</v>
      </c>
      <c r="K5696" s="3">
        <v>26.54</v>
      </c>
      <c r="L5696">
        <v>60.27</v>
      </c>
    </row>
    <row r="5697" spans="1:12">
      <c r="A5697" s="1">
        <v>46045</v>
      </c>
      <c r="B5697" t="s">
        <v>6328</v>
      </c>
      <c r="C5697">
        <v>16</v>
      </c>
      <c r="D5697" t="str">
        <f>VLOOKUP(Tabela26[[#This Row],[EMP]],[1]LOJA!$A:$B,2,0)</f>
        <v>AG LINDAS</v>
      </c>
      <c r="E5697">
        <v>240</v>
      </c>
      <c r="F5697" t="s">
        <v>3796</v>
      </c>
      <c r="G5697" t="s">
        <v>3795</v>
      </c>
      <c r="H5697" t="s">
        <v>3408</v>
      </c>
      <c r="I5697">
        <v>5405</v>
      </c>
      <c r="J5697" s="3">
        <v>131.65</v>
      </c>
      <c r="K5697" s="3">
        <v>68.209999999999994</v>
      </c>
      <c r="L5697">
        <v>48.19</v>
      </c>
    </row>
    <row r="5698" spans="1:12">
      <c r="A5698" s="1">
        <v>46045</v>
      </c>
      <c r="B5698" t="s">
        <v>6327</v>
      </c>
      <c r="C5698">
        <v>16</v>
      </c>
      <c r="D5698" t="str">
        <f>VLOOKUP(Tabela26[[#This Row],[EMP]],[1]LOJA!$A:$B,2,0)</f>
        <v>AG LINDAS</v>
      </c>
      <c r="E5698">
        <v>240</v>
      </c>
      <c r="F5698" t="s">
        <v>3780</v>
      </c>
      <c r="G5698" t="s">
        <v>3437</v>
      </c>
      <c r="H5698" t="s">
        <v>3401</v>
      </c>
      <c r="I5698">
        <v>5102</v>
      </c>
      <c r="J5698" s="3">
        <v>70</v>
      </c>
      <c r="K5698" s="3">
        <v>37.619999999999997</v>
      </c>
      <c r="L5698">
        <v>46.26</v>
      </c>
    </row>
    <row r="5699" spans="1:12">
      <c r="A5699" s="1">
        <v>46045</v>
      </c>
      <c r="B5699" t="s">
        <v>6326</v>
      </c>
      <c r="C5699">
        <v>16</v>
      </c>
      <c r="D5699" t="str">
        <f>VLOOKUP(Tabela26[[#This Row],[EMP]],[1]LOJA!$A:$B,2,0)</f>
        <v>AG LINDAS</v>
      </c>
      <c r="E5699">
        <v>240</v>
      </c>
      <c r="F5699" t="s">
        <v>6325</v>
      </c>
      <c r="G5699" t="s">
        <v>3437</v>
      </c>
      <c r="H5699" t="s">
        <v>3401</v>
      </c>
      <c r="I5699">
        <v>5405</v>
      </c>
      <c r="J5699" s="3">
        <v>27.5</v>
      </c>
      <c r="K5699" s="3">
        <v>12.34</v>
      </c>
      <c r="L5699">
        <v>55.13</v>
      </c>
    </row>
    <row r="5700" spans="1:12">
      <c r="A5700" s="1">
        <v>46045</v>
      </c>
      <c r="B5700" t="s">
        <v>6324</v>
      </c>
      <c r="C5700">
        <v>16</v>
      </c>
      <c r="D5700" t="str">
        <f>VLOOKUP(Tabela26[[#This Row],[EMP]],[1]LOJA!$A:$B,2,0)</f>
        <v>AG LINDAS</v>
      </c>
      <c r="E5700">
        <v>240</v>
      </c>
      <c r="F5700" t="s">
        <v>3780</v>
      </c>
      <c r="G5700" t="s">
        <v>3437</v>
      </c>
      <c r="H5700" t="s">
        <v>3401</v>
      </c>
      <c r="I5700">
        <v>5405</v>
      </c>
      <c r="J5700" s="3">
        <v>131.80000000000001</v>
      </c>
      <c r="K5700" s="3">
        <v>63.89</v>
      </c>
      <c r="L5700">
        <v>51.53</v>
      </c>
    </row>
    <row r="5701" spans="1:12">
      <c r="A5701" s="1">
        <v>46045</v>
      </c>
      <c r="B5701" t="s">
        <v>6323</v>
      </c>
      <c r="C5701">
        <v>16</v>
      </c>
      <c r="D5701" t="str">
        <f>VLOOKUP(Tabela26[[#This Row],[EMP]],[1]LOJA!$A:$B,2,0)</f>
        <v>AG LINDAS</v>
      </c>
      <c r="E5701">
        <v>240</v>
      </c>
      <c r="F5701" t="s">
        <v>5137</v>
      </c>
      <c r="G5701" t="s">
        <v>3437</v>
      </c>
      <c r="H5701" t="s">
        <v>3401</v>
      </c>
      <c r="I5701">
        <v>5102</v>
      </c>
      <c r="J5701" s="3">
        <v>846.2</v>
      </c>
      <c r="K5701" s="3">
        <v>472.55</v>
      </c>
      <c r="L5701">
        <v>44.16</v>
      </c>
    </row>
    <row r="5702" spans="1:12">
      <c r="A5702" s="1">
        <v>46045</v>
      </c>
      <c r="B5702" t="s">
        <v>6322</v>
      </c>
      <c r="C5702">
        <v>16</v>
      </c>
      <c r="D5702" t="str">
        <f>VLOOKUP(Tabela26[[#This Row],[EMP]],[1]LOJA!$A:$B,2,0)</f>
        <v>AG LINDAS</v>
      </c>
      <c r="E5702">
        <v>240</v>
      </c>
      <c r="F5702" t="s">
        <v>3780</v>
      </c>
      <c r="G5702" t="s">
        <v>3437</v>
      </c>
      <c r="H5702" t="s">
        <v>3401</v>
      </c>
      <c r="I5702">
        <v>5102</v>
      </c>
      <c r="J5702" s="3">
        <v>15.8</v>
      </c>
      <c r="K5702" s="3">
        <v>7.77</v>
      </c>
      <c r="L5702">
        <v>50.82</v>
      </c>
    </row>
    <row r="5703" spans="1:12">
      <c r="A5703" s="1">
        <v>46045</v>
      </c>
      <c r="B5703" t="s">
        <v>6321</v>
      </c>
      <c r="C5703">
        <v>16</v>
      </c>
      <c r="D5703" t="str">
        <f>VLOOKUP(Tabela26[[#This Row],[EMP]],[1]LOJA!$A:$B,2,0)</f>
        <v>AG LINDAS</v>
      </c>
      <c r="E5703">
        <v>240</v>
      </c>
      <c r="F5703" t="s">
        <v>3780</v>
      </c>
      <c r="G5703" t="s">
        <v>3437</v>
      </c>
      <c r="H5703" t="s">
        <v>3401</v>
      </c>
      <c r="I5703">
        <v>5102</v>
      </c>
      <c r="J5703" s="3">
        <v>30</v>
      </c>
      <c r="K5703" s="3">
        <v>9.82</v>
      </c>
      <c r="L5703">
        <v>67.27</v>
      </c>
    </row>
    <row r="5704" spans="1:12">
      <c r="A5704" s="1">
        <v>46045</v>
      </c>
      <c r="B5704" t="s">
        <v>6320</v>
      </c>
      <c r="C5704">
        <v>16</v>
      </c>
      <c r="D5704" t="str">
        <f>VLOOKUP(Tabela26[[#This Row],[EMP]],[1]LOJA!$A:$B,2,0)</f>
        <v>AG LINDAS</v>
      </c>
      <c r="E5704">
        <v>240</v>
      </c>
      <c r="F5704" t="s">
        <v>6319</v>
      </c>
      <c r="G5704" t="s">
        <v>6318</v>
      </c>
      <c r="H5704" t="s">
        <v>3401</v>
      </c>
      <c r="I5704">
        <v>5405</v>
      </c>
      <c r="J5704" s="3">
        <v>39.9</v>
      </c>
      <c r="K5704" s="3">
        <v>19.47</v>
      </c>
      <c r="L5704">
        <v>51.2</v>
      </c>
    </row>
    <row r="5705" spans="1:12">
      <c r="A5705" s="1">
        <v>46045</v>
      </c>
      <c r="B5705" t="s">
        <v>6317</v>
      </c>
      <c r="C5705">
        <v>16</v>
      </c>
      <c r="D5705" t="str">
        <f>VLOOKUP(Tabela26[[#This Row],[EMP]],[1]LOJA!$A:$B,2,0)</f>
        <v>AG LINDAS</v>
      </c>
      <c r="E5705">
        <v>240</v>
      </c>
      <c r="F5705" t="s">
        <v>3780</v>
      </c>
      <c r="G5705" t="s">
        <v>3437</v>
      </c>
      <c r="H5705" t="s">
        <v>3401</v>
      </c>
      <c r="I5705">
        <v>5405</v>
      </c>
      <c r="J5705" s="3">
        <v>66</v>
      </c>
      <c r="K5705" s="3">
        <v>34.64</v>
      </c>
      <c r="L5705">
        <v>47.52</v>
      </c>
    </row>
    <row r="5706" spans="1:12">
      <c r="A5706" s="1">
        <v>46045</v>
      </c>
      <c r="B5706" t="s">
        <v>6316</v>
      </c>
      <c r="C5706">
        <v>16</v>
      </c>
      <c r="D5706" t="str">
        <f>VLOOKUP(Tabela26[[#This Row],[EMP]],[1]LOJA!$A:$B,2,0)</f>
        <v>AG LINDAS</v>
      </c>
      <c r="E5706">
        <v>240</v>
      </c>
      <c r="F5706" t="s">
        <v>6315</v>
      </c>
      <c r="G5706" t="s">
        <v>3437</v>
      </c>
      <c r="H5706" t="s">
        <v>3401</v>
      </c>
      <c r="I5706">
        <v>5102</v>
      </c>
      <c r="J5706" s="3">
        <v>19.899999999999999</v>
      </c>
      <c r="K5706" s="3">
        <v>10.36</v>
      </c>
      <c r="L5706">
        <v>47.94</v>
      </c>
    </row>
    <row r="5707" spans="1:12">
      <c r="A5707" s="1">
        <v>46045</v>
      </c>
      <c r="B5707" t="s">
        <v>6314</v>
      </c>
      <c r="C5707">
        <v>16</v>
      </c>
      <c r="D5707" t="str">
        <f>VLOOKUP(Tabela26[[#This Row],[EMP]],[1]LOJA!$A:$B,2,0)</f>
        <v>AG LINDAS</v>
      </c>
      <c r="E5707">
        <v>240</v>
      </c>
      <c r="F5707" t="s">
        <v>3786</v>
      </c>
      <c r="G5707" t="s">
        <v>3785</v>
      </c>
      <c r="H5707" t="s">
        <v>3401</v>
      </c>
      <c r="I5707">
        <v>5102</v>
      </c>
      <c r="J5707" s="3">
        <v>8</v>
      </c>
      <c r="K5707" s="3">
        <v>3.91</v>
      </c>
      <c r="L5707">
        <v>51.13</v>
      </c>
    </row>
    <row r="5708" spans="1:12">
      <c r="A5708" s="1">
        <v>46045</v>
      </c>
      <c r="B5708" t="s">
        <v>6313</v>
      </c>
      <c r="C5708">
        <v>16</v>
      </c>
      <c r="D5708" t="str">
        <f>VLOOKUP(Tabela26[[#This Row],[EMP]],[1]LOJA!$A:$B,2,0)</f>
        <v>AG LINDAS</v>
      </c>
      <c r="E5708">
        <v>240</v>
      </c>
      <c r="F5708" t="s">
        <v>6312</v>
      </c>
      <c r="G5708" t="s">
        <v>3437</v>
      </c>
      <c r="H5708" t="s">
        <v>3401</v>
      </c>
      <c r="I5708">
        <v>5102</v>
      </c>
      <c r="J5708" s="3">
        <v>199</v>
      </c>
      <c r="K5708" s="3">
        <v>123.6</v>
      </c>
      <c r="L5708">
        <v>37.89</v>
      </c>
    </row>
    <row r="5709" spans="1:12">
      <c r="A5709" s="1">
        <v>46045</v>
      </c>
      <c r="B5709" t="s">
        <v>6311</v>
      </c>
      <c r="C5709">
        <v>16</v>
      </c>
      <c r="D5709" t="str">
        <f>VLOOKUP(Tabela26[[#This Row],[EMP]],[1]LOJA!$A:$B,2,0)</f>
        <v>AG LINDAS</v>
      </c>
      <c r="E5709">
        <v>240</v>
      </c>
      <c r="F5709" t="s">
        <v>3796</v>
      </c>
      <c r="G5709" t="s">
        <v>3795</v>
      </c>
      <c r="H5709" t="s">
        <v>3408</v>
      </c>
      <c r="I5709">
        <v>5405</v>
      </c>
      <c r="J5709" s="3">
        <v>65.900000000000006</v>
      </c>
      <c r="K5709" s="3">
        <v>35.74</v>
      </c>
      <c r="L5709">
        <v>45.77</v>
      </c>
    </row>
    <row r="5710" spans="1:12">
      <c r="A5710" s="1">
        <v>46045</v>
      </c>
      <c r="B5710" t="s">
        <v>6310</v>
      </c>
      <c r="C5710">
        <v>16</v>
      </c>
      <c r="D5710" t="str">
        <f>VLOOKUP(Tabela26[[#This Row],[EMP]],[1]LOJA!$A:$B,2,0)</f>
        <v>AG LINDAS</v>
      </c>
      <c r="E5710">
        <v>240</v>
      </c>
      <c r="F5710" t="s">
        <v>6309</v>
      </c>
      <c r="G5710" t="s">
        <v>3437</v>
      </c>
      <c r="H5710" t="s">
        <v>3401</v>
      </c>
      <c r="I5710">
        <v>5405</v>
      </c>
      <c r="J5710" s="3">
        <v>366.7</v>
      </c>
      <c r="K5710" s="3">
        <v>201.12</v>
      </c>
      <c r="L5710">
        <v>45.15</v>
      </c>
    </row>
    <row r="5711" spans="1:12">
      <c r="A5711" s="1">
        <v>46045</v>
      </c>
      <c r="B5711" t="s">
        <v>6308</v>
      </c>
      <c r="C5711">
        <v>14</v>
      </c>
      <c r="D5711" t="str">
        <f>VLOOKUP(Tabela26[[#This Row],[EMP]],[1]LOJA!$A:$B,2,0)</f>
        <v>S IA</v>
      </c>
      <c r="E5711">
        <v>54</v>
      </c>
      <c r="F5711" t="s">
        <v>3775</v>
      </c>
      <c r="G5711" t="s">
        <v>3774</v>
      </c>
      <c r="H5711" t="s">
        <v>3430</v>
      </c>
      <c r="I5711">
        <v>5102</v>
      </c>
      <c r="J5711" s="3">
        <v>247.43</v>
      </c>
      <c r="K5711" s="3">
        <v>145.35</v>
      </c>
      <c r="L5711">
        <v>41.26</v>
      </c>
    </row>
    <row r="5712" spans="1:12">
      <c r="A5712" s="1">
        <v>46045</v>
      </c>
      <c r="B5712" t="s">
        <v>6307</v>
      </c>
      <c r="C5712">
        <v>14</v>
      </c>
      <c r="D5712" t="str">
        <f>VLOOKUP(Tabela26[[#This Row],[EMP]],[1]LOJA!$A:$B,2,0)</f>
        <v>S IA</v>
      </c>
      <c r="E5712">
        <v>54</v>
      </c>
      <c r="F5712" t="s">
        <v>6306</v>
      </c>
      <c r="G5712" t="s">
        <v>6305</v>
      </c>
      <c r="H5712" t="s">
        <v>3401</v>
      </c>
      <c r="I5712">
        <v>5102</v>
      </c>
      <c r="J5712" s="3">
        <v>23.9</v>
      </c>
      <c r="K5712" s="3">
        <v>11.63</v>
      </c>
      <c r="L5712">
        <v>51.34</v>
      </c>
    </row>
    <row r="5713" spans="1:12">
      <c r="A5713" s="1">
        <v>46045</v>
      </c>
      <c r="B5713" t="s">
        <v>6304</v>
      </c>
      <c r="C5713">
        <v>14</v>
      </c>
      <c r="D5713" t="str">
        <f>VLOOKUP(Tabela26[[#This Row],[EMP]],[1]LOJA!$A:$B,2,0)</f>
        <v>S IA</v>
      </c>
      <c r="E5713">
        <v>212</v>
      </c>
      <c r="F5713" t="s">
        <v>5080</v>
      </c>
      <c r="G5713" t="s">
        <v>5079</v>
      </c>
      <c r="H5713" t="s">
        <v>3430</v>
      </c>
      <c r="I5713">
        <v>5102</v>
      </c>
      <c r="J5713" s="3">
        <v>2890</v>
      </c>
      <c r="K5713" s="3">
        <v>1850</v>
      </c>
      <c r="L5713">
        <v>35.99</v>
      </c>
    </row>
    <row r="5714" spans="1:12">
      <c r="A5714" s="1">
        <v>46045</v>
      </c>
      <c r="B5714" t="s">
        <v>6303</v>
      </c>
      <c r="C5714">
        <v>14</v>
      </c>
      <c r="D5714" t="str">
        <f>VLOOKUP(Tabela26[[#This Row],[EMP]],[1]LOJA!$A:$B,2,0)</f>
        <v>S IA</v>
      </c>
      <c r="E5714">
        <v>212</v>
      </c>
      <c r="F5714" t="s">
        <v>4470</v>
      </c>
      <c r="G5714" t="s">
        <v>4469</v>
      </c>
      <c r="H5714" t="s">
        <v>3430</v>
      </c>
      <c r="I5714">
        <v>5405</v>
      </c>
      <c r="J5714" s="3">
        <v>233.4</v>
      </c>
      <c r="K5714" s="3">
        <v>124.26</v>
      </c>
      <c r="L5714">
        <v>46.76</v>
      </c>
    </row>
    <row r="5715" spans="1:12">
      <c r="A5715" s="1">
        <v>46045</v>
      </c>
      <c r="B5715" t="s">
        <v>6302</v>
      </c>
      <c r="C5715">
        <v>14</v>
      </c>
      <c r="D5715" t="str">
        <f>VLOOKUP(Tabela26[[#This Row],[EMP]],[1]LOJA!$A:$B,2,0)</f>
        <v>S IA</v>
      </c>
      <c r="E5715">
        <v>212</v>
      </c>
      <c r="F5715" t="s">
        <v>6301</v>
      </c>
      <c r="G5715" t="s">
        <v>6300</v>
      </c>
      <c r="H5715" t="s">
        <v>3401</v>
      </c>
      <c r="I5715">
        <v>5102</v>
      </c>
      <c r="J5715" s="3">
        <v>27</v>
      </c>
      <c r="K5715" s="3">
        <v>12.57</v>
      </c>
      <c r="L5715">
        <v>53.44</v>
      </c>
    </row>
    <row r="5716" spans="1:12">
      <c r="A5716" s="1">
        <v>46045</v>
      </c>
      <c r="B5716" t="s">
        <v>6299</v>
      </c>
      <c r="C5716">
        <v>14</v>
      </c>
      <c r="D5716" t="str">
        <f>VLOOKUP(Tabela26[[#This Row],[EMP]],[1]LOJA!$A:$B,2,0)</f>
        <v>S IA</v>
      </c>
      <c r="E5716">
        <v>212</v>
      </c>
      <c r="F5716" t="s">
        <v>6298</v>
      </c>
      <c r="G5716" t="s">
        <v>6297</v>
      </c>
      <c r="H5716" t="s">
        <v>3408</v>
      </c>
      <c r="I5716">
        <v>5405</v>
      </c>
      <c r="J5716" s="3">
        <v>450</v>
      </c>
      <c r="K5716" s="3">
        <v>161.41</v>
      </c>
      <c r="L5716">
        <v>64.13</v>
      </c>
    </row>
    <row r="5717" spans="1:12">
      <c r="A5717" s="1">
        <v>46045</v>
      </c>
      <c r="B5717" t="s">
        <v>6296</v>
      </c>
      <c r="C5717">
        <v>14</v>
      </c>
      <c r="D5717" t="str">
        <f>VLOOKUP(Tabela26[[#This Row],[EMP]],[1]LOJA!$A:$B,2,0)</f>
        <v>S IA</v>
      </c>
      <c r="E5717">
        <v>212</v>
      </c>
      <c r="F5717" t="s">
        <v>6295</v>
      </c>
      <c r="G5717" t="s">
        <v>6294</v>
      </c>
      <c r="H5717" t="s">
        <v>3430</v>
      </c>
      <c r="I5717">
        <v>5102</v>
      </c>
      <c r="J5717" s="3">
        <v>330</v>
      </c>
      <c r="K5717" s="3">
        <v>178.09</v>
      </c>
      <c r="L5717">
        <v>46.03</v>
      </c>
    </row>
    <row r="5718" spans="1:12">
      <c r="A5718" s="1">
        <v>46045</v>
      </c>
      <c r="B5718" t="s">
        <v>6293</v>
      </c>
      <c r="C5718">
        <v>14</v>
      </c>
      <c r="D5718" t="str">
        <f>VLOOKUP(Tabela26[[#This Row],[EMP]],[1]LOJA!$A:$B,2,0)</f>
        <v>S IA</v>
      </c>
      <c r="E5718">
        <v>54</v>
      </c>
      <c r="F5718" t="s">
        <v>6292</v>
      </c>
      <c r="G5718" t="s">
        <v>6291</v>
      </c>
      <c r="H5718" t="s">
        <v>3401</v>
      </c>
      <c r="I5718">
        <v>5405</v>
      </c>
      <c r="J5718" s="3">
        <v>79</v>
      </c>
      <c r="K5718" s="3">
        <v>36.159999999999997</v>
      </c>
      <c r="L5718">
        <v>54.23</v>
      </c>
    </row>
    <row r="5719" spans="1:12">
      <c r="A5719" s="1">
        <v>46045</v>
      </c>
      <c r="B5719" t="s">
        <v>6290</v>
      </c>
      <c r="C5719">
        <v>14</v>
      </c>
      <c r="D5719" t="str">
        <f>VLOOKUP(Tabela26[[#This Row],[EMP]],[1]LOJA!$A:$B,2,0)</f>
        <v>S IA</v>
      </c>
      <c r="E5719">
        <v>54</v>
      </c>
      <c r="F5719" t="s">
        <v>3769</v>
      </c>
      <c r="G5719" t="s">
        <v>3768</v>
      </c>
      <c r="H5719" t="s">
        <v>3401</v>
      </c>
      <c r="I5719">
        <v>5405</v>
      </c>
      <c r="J5719" s="3">
        <v>59.9</v>
      </c>
      <c r="K5719" s="3">
        <v>26.03</v>
      </c>
      <c r="L5719">
        <v>56.54</v>
      </c>
    </row>
    <row r="5720" spans="1:12">
      <c r="A5720" s="1">
        <v>46045</v>
      </c>
      <c r="B5720" t="s">
        <v>6289</v>
      </c>
      <c r="C5720">
        <v>14</v>
      </c>
      <c r="D5720" t="str">
        <f>VLOOKUP(Tabela26[[#This Row],[EMP]],[1]LOJA!$A:$B,2,0)</f>
        <v>S IA</v>
      </c>
      <c r="E5720">
        <v>54</v>
      </c>
      <c r="F5720" t="s">
        <v>6288</v>
      </c>
      <c r="G5720" t="s">
        <v>6287</v>
      </c>
      <c r="H5720" t="s">
        <v>3408</v>
      </c>
      <c r="I5720">
        <v>5405</v>
      </c>
      <c r="J5720" s="3">
        <v>69</v>
      </c>
      <c r="K5720" s="3">
        <v>25.79</v>
      </c>
      <c r="L5720">
        <v>62.62</v>
      </c>
    </row>
    <row r="5721" spans="1:12">
      <c r="A5721" s="1">
        <v>46045</v>
      </c>
      <c r="B5721" t="s">
        <v>6286</v>
      </c>
      <c r="C5721">
        <v>14</v>
      </c>
      <c r="D5721" t="str">
        <f>VLOOKUP(Tabela26[[#This Row],[EMP]],[1]LOJA!$A:$B,2,0)</f>
        <v>S IA</v>
      </c>
      <c r="E5721">
        <v>54</v>
      </c>
      <c r="F5721" t="s">
        <v>6285</v>
      </c>
      <c r="G5721" t="s">
        <v>6284</v>
      </c>
      <c r="H5721" t="s">
        <v>3401</v>
      </c>
      <c r="I5721">
        <v>5405</v>
      </c>
      <c r="J5721" s="3">
        <v>1260</v>
      </c>
      <c r="K5721" s="3">
        <v>582.11</v>
      </c>
      <c r="L5721">
        <v>53.8</v>
      </c>
    </row>
    <row r="5722" spans="1:12">
      <c r="A5722" s="1">
        <v>46045</v>
      </c>
      <c r="B5722" t="s">
        <v>6283</v>
      </c>
      <c r="C5722">
        <v>14</v>
      </c>
      <c r="D5722" t="str">
        <f>VLOOKUP(Tabela26[[#This Row],[EMP]],[1]LOJA!$A:$B,2,0)</f>
        <v>S IA</v>
      </c>
      <c r="E5722">
        <v>54</v>
      </c>
      <c r="F5722" t="s">
        <v>4495</v>
      </c>
      <c r="G5722" t="s">
        <v>4494</v>
      </c>
      <c r="H5722" t="s">
        <v>3408</v>
      </c>
      <c r="I5722">
        <v>5405</v>
      </c>
      <c r="J5722" s="3">
        <v>2511</v>
      </c>
      <c r="K5722" s="3">
        <v>1214.21</v>
      </c>
      <c r="L5722">
        <v>51.64</v>
      </c>
    </row>
    <row r="5723" spans="1:12">
      <c r="A5723" s="1">
        <v>46045</v>
      </c>
      <c r="B5723" t="s">
        <v>6282</v>
      </c>
      <c r="C5723">
        <v>14</v>
      </c>
      <c r="D5723" t="str">
        <f>VLOOKUP(Tabela26[[#This Row],[EMP]],[1]LOJA!$A:$B,2,0)</f>
        <v>S IA</v>
      </c>
      <c r="E5723">
        <v>212</v>
      </c>
      <c r="F5723" t="s">
        <v>3769</v>
      </c>
      <c r="G5723" t="s">
        <v>3768</v>
      </c>
      <c r="H5723" t="s">
        <v>3408</v>
      </c>
      <c r="I5723">
        <v>5405</v>
      </c>
      <c r="J5723" s="3">
        <v>490</v>
      </c>
      <c r="K5723" s="3">
        <v>243.91</v>
      </c>
      <c r="L5723">
        <v>50.22</v>
      </c>
    </row>
    <row r="5724" spans="1:12">
      <c r="A5724" s="1">
        <v>46045</v>
      </c>
      <c r="B5724" t="s">
        <v>6281</v>
      </c>
      <c r="C5724">
        <v>14</v>
      </c>
      <c r="D5724" t="str">
        <f>VLOOKUP(Tabela26[[#This Row],[EMP]],[1]LOJA!$A:$B,2,0)</f>
        <v>S IA</v>
      </c>
      <c r="E5724">
        <v>212</v>
      </c>
      <c r="F5724" t="s">
        <v>3759</v>
      </c>
      <c r="G5724" t="s">
        <v>3758</v>
      </c>
      <c r="H5724" t="s">
        <v>3408</v>
      </c>
      <c r="I5724">
        <v>5405</v>
      </c>
      <c r="J5724" s="3">
        <v>135.33000000000001</v>
      </c>
      <c r="K5724" s="3">
        <v>56.74</v>
      </c>
      <c r="L5724">
        <v>58.07</v>
      </c>
    </row>
    <row r="5725" spans="1:12">
      <c r="A5725" s="1">
        <v>46045</v>
      </c>
      <c r="B5725" t="s">
        <v>6280</v>
      </c>
      <c r="C5725">
        <v>14</v>
      </c>
      <c r="D5725" t="str">
        <f>VLOOKUP(Tabela26[[#This Row],[EMP]],[1]LOJA!$A:$B,2,0)</f>
        <v>S IA</v>
      </c>
      <c r="E5725">
        <v>54</v>
      </c>
      <c r="F5725" t="s">
        <v>6278</v>
      </c>
      <c r="G5725" t="s">
        <v>6277</v>
      </c>
      <c r="H5725" t="s">
        <v>3408</v>
      </c>
      <c r="I5725">
        <v>5405</v>
      </c>
      <c r="J5725" s="3">
        <v>597</v>
      </c>
      <c r="K5725" s="3">
        <v>345.73</v>
      </c>
      <c r="L5725">
        <v>42.09</v>
      </c>
    </row>
    <row r="5726" spans="1:12">
      <c r="A5726" s="1">
        <v>46045</v>
      </c>
      <c r="B5726" t="s">
        <v>6279</v>
      </c>
      <c r="C5726">
        <v>14</v>
      </c>
      <c r="D5726" t="str">
        <f>VLOOKUP(Tabela26[[#This Row],[EMP]],[1]LOJA!$A:$B,2,0)</f>
        <v>S IA</v>
      </c>
      <c r="E5726">
        <v>54</v>
      </c>
      <c r="F5726" t="s">
        <v>6278</v>
      </c>
      <c r="G5726" t="s">
        <v>6277</v>
      </c>
      <c r="H5726" t="s">
        <v>3408</v>
      </c>
      <c r="I5726">
        <v>5102</v>
      </c>
      <c r="J5726" s="3">
        <v>3224.11</v>
      </c>
      <c r="K5726" s="3">
        <v>1600.24</v>
      </c>
      <c r="L5726">
        <v>50.37</v>
      </c>
    </row>
    <row r="5727" spans="1:12">
      <c r="A5727" s="1">
        <v>46045</v>
      </c>
      <c r="B5727" t="s">
        <v>6276</v>
      </c>
      <c r="C5727">
        <v>14</v>
      </c>
      <c r="D5727" t="str">
        <f>VLOOKUP(Tabela26[[#This Row],[EMP]],[1]LOJA!$A:$B,2,0)</f>
        <v>S IA</v>
      </c>
      <c r="E5727">
        <v>54</v>
      </c>
      <c r="F5727" t="s">
        <v>6275</v>
      </c>
      <c r="G5727" t="s">
        <v>6274</v>
      </c>
      <c r="H5727" t="s">
        <v>3401</v>
      </c>
      <c r="I5727">
        <v>5405</v>
      </c>
      <c r="J5727" s="3">
        <v>292</v>
      </c>
      <c r="K5727" s="3">
        <v>142.13999999999999</v>
      </c>
      <c r="L5727">
        <v>51.32</v>
      </c>
    </row>
    <row r="5728" spans="1:12">
      <c r="A5728" s="1">
        <v>46045</v>
      </c>
      <c r="B5728" t="s">
        <v>6273</v>
      </c>
      <c r="C5728">
        <v>12</v>
      </c>
      <c r="D5728" t="str">
        <f>VLOOKUP(Tabela26[[#This Row],[EMP]],[1]LOJA!$A:$B,2,0)</f>
        <v>SOFNORTE</v>
      </c>
      <c r="E5728">
        <v>60</v>
      </c>
      <c r="F5728" t="s">
        <v>3722</v>
      </c>
      <c r="G5728" t="s">
        <v>3721</v>
      </c>
      <c r="H5728" t="s">
        <v>3401</v>
      </c>
      <c r="I5728">
        <v>5405</v>
      </c>
      <c r="J5728" s="3">
        <v>60</v>
      </c>
      <c r="K5728" s="3">
        <v>27.94</v>
      </c>
      <c r="L5728">
        <v>53.43</v>
      </c>
    </row>
    <row r="5729" spans="1:12">
      <c r="A5729" s="1">
        <v>46045</v>
      </c>
      <c r="B5729" t="s">
        <v>6272</v>
      </c>
      <c r="C5729">
        <v>12</v>
      </c>
      <c r="D5729" t="str">
        <f>VLOOKUP(Tabela26[[#This Row],[EMP]],[1]LOJA!$A:$B,2,0)</f>
        <v>SOFNORTE</v>
      </c>
      <c r="E5729">
        <v>60</v>
      </c>
      <c r="F5729" t="s">
        <v>3403</v>
      </c>
      <c r="G5729" t="s">
        <v>3402</v>
      </c>
      <c r="H5729" t="s">
        <v>3401</v>
      </c>
      <c r="I5729">
        <v>5405</v>
      </c>
      <c r="J5729" s="3">
        <v>209</v>
      </c>
      <c r="K5729" s="3">
        <v>101.12</v>
      </c>
      <c r="L5729">
        <v>51.62</v>
      </c>
    </row>
    <row r="5730" spans="1:12">
      <c r="A5730" s="1">
        <v>46045</v>
      </c>
      <c r="B5730" t="s">
        <v>6271</v>
      </c>
      <c r="C5730">
        <v>12</v>
      </c>
      <c r="D5730" t="str">
        <f>VLOOKUP(Tabela26[[#This Row],[EMP]],[1]LOJA!$A:$B,2,0)</f>
        <v>SOFNORTE</v>
      </c>
      <c r="E5730">
        <v>60</v>
      </c>
      <c r="F5730" t="s">
        <v>3403</v>
      </c>
      <c r="G5730" t="s">
        <v>3402</v>
      </c>
      <c r="H5730" t="s">
        <v>3401</v>
      </c>
      <c r="I5730">
        <v>5405</v>
      </c>
      <c r="J5730" s="3">
        <v>158</v>
      </c>
      <c r="K5730" s="3">
        <v>75.84</v>
      </c>
      <c r="L5730">
        <v>52</v>
      </c>
    </row>
    <row r="5731" spans="1:12">
      <c r="A5731" s="1">
        <v>46045</v>
      </c>
      <c r="B5731" t="s">
        <v>6270</v>
      </c>
      <c r="C5731">
        <v>12</v>
      </c>
      <c r="D5731" t="str">
        <f>VLOOKUP(Tabela26[[#This Row],[EMP]],[1]LOJA!$A:$B,2,0)</f>
        <v>SOFNORTE</v>
      </c>
      <c r="E5731">
        <v>60</v>
      </c>
      <c r="F5731" t="s">
        <v>3715</v>
      </c>
      <c r="G5731" t="s">
        <v>3714</v>
      </c>
      <c r="H5731" t="s">
        <v>3401</v>
      </c>
      <c r="I5731">
        <v>5102</v>
      </c>
      <c r="J5731" s="3">
        <v>12</v>
      </c>
      <c r="K5731" s="3">
        <v>6.77</v>
      </c>
      <c r="L5731">
        <v>43.58</v>
      </c>
    </row>
    <row r="5732" spans="1:12">
      <c r="A5732" s="1">
        <v>46045</v>
      </c>
      <c r="B5732" t="s">
        <v>6269</v>
      </c>
      <c r="C5732">
        <v>12</v>
      </c>
      <c r="D5732" t="str">
        <f>VLOOKUP(Tabela26[[#This Row],[EMP]],[1]LOJA!$A:$B,2,0)</f>
        <v>SOFNORTE</v>
      </c>
      <c r="E5732">
        <v>60</v>
      </c>
      <c r="F5732" t="s">
        <v>3403</v>
      </c>
      <c r="G5732" t="s">
        <v>3402</v>
      </c>
      <c r="H5732" t="s">
        <v>3401</v>
      </c>
      <c r="I5732">
        <v>5405</v>
      </c>
      <c r="J5732" s="3">
        <v>135</v>
      </c>
      <c r="K5732" s="3">
        <v>63.22</v>
      </c>
      <c r="L5732">
        <v>53.17</v>
      </c>
    </row>
    <row r="5733" spans="1:12">
      <c r="A5733" s="1">
        <v>46045</v>
      </c>
      <c r="B5733" t="s">
        <v>6268</v>
      </c>
      <c r="C5733">
        <v>12</v>
      </c>
      <c r="D5733" t="str">
        <f>VLOOKUP(Tabela26[[#This Row],[EMP]],[1]LOJA!$A:$B,2,0)</f>
        <v>SOFNORTE</v>
      </c>
      <c r="E5733">
        <v>60</v>
      </c>
      <c r="F5733" t="s">
        <v>4088</v>
      </c>
      <c r="G5733" t="s">
        <v>4087</v>
      </c>
      <c r="H5733" t="s">
        <v>3426</v>
      </c>
      <c r="I5733">
        <v>5405</v>
      </c>
      <c r="J5733" s="3">
        <v>101.66</v>
      </c>
      <c r="K5733" s="3">
        <v>54.69</v>
      </c>
      <c r="L5733">
        <v>46.2</v>
      </c>
    </row>
    <row r="5734" spans="1:12">
      <c r="A5734" s="1">
        <v>46045</v>
      </c>
      <c r="B5734" t="s">
        <v>6267</v>
      </c>
      <c r="C5734">
        <v>12</v>
      </c>
      <c r="D5734" t="str">
        <f>VLOOKUP(Tabela26[[#This Row],[EMP]],[1]LOJA!$A:$B,2,0)</f>
        <v>SOFNORTE</v>
      </c>
      <c r="E5734">
        <v>60</v>
      </c>
      <c r="F5734" t="s">
        <v>3709</v>
      </c>
      <c r="G5734" t="s">
        <v>3708</v>
      </c>
      <c r="H5734" t="s">
        <v>3401</v>
      </c>
      <c r="I5734">
        <v>5102</v>
      </c>
      <c r="J5734" s="3">
        <v>114</v>
      </c>
      <c r="K5734" s="3">
        <v>62.65</v>
      </c>
      <c r="L5734">
        <v>45.04</v>
      </c>
    </row>
    <row r="5735" spans="1:12">
      <c r="A5735" s="1">
        <v>46045</v>
      </c>
      <c r="B5735" t="s">
        <v>6266</v>
      </c>
      <c r="C5735">
        <v>12</v>
      </c>
      <c r="D5735" t="str">
        <f>VLOOKUP(Tabela26[[#This Row],[EMP]],[1]LOJA!$A:$B,2,0)</f>
        <v>SOFNORTE</v>
      </c>
      <c r="E5735">
        <v>60</v>
      </c>
      <c r="F5735" t="s">
        <v>6265</v>
      </c>
      <c r="G5735" t="s">
        <v>3402</v>
      </c>
      <c r="H5735" t="s">
        <v>3401</v>
      </c>
      <c r="I5735">
        <v>5405</v>
      </c>
      <c r="J5735" s="3">
        <v>64</v>
      </c>
      <c r="K5735" s="3">
        <v>28.52</v>
      </c>
      <c r="L5735">
        <v>55.44</v>
      </c>
    </row>
    <row r="5736" spans="1:12">
      <c r="A5736" s="1">
        <v>46045</v>
      </c>
      <c r="B5736" t="s">
        <v>6264</v>
      </c>
      <c r="C5736">
        <v>12</v>
      </c>
      <c r="D5736" t="str">
        <f>VLOOKUP(Tabela26[[#This Row],[EMP]],[1]LOJA!$A:$B,2,0)</f>
        <v>SOFNORTE</v>
      </c>
      <c r="E5736">
        <v>60</v>
      </c>
      <c r="F5736" t="s">
        <v>3715</v>
      </c>
      <c r="G5736" t="s">
        <v>3714</v>
      </c>
      <c r="H5736" t="s">
        <v>3401</v>
      </c>
      <c r="I5736">
        <v>5102</v>
      </c>
      <c r="J5736" s="3">
        <v>77</v>
      </c>
      <c r="K5736" s="3">
        <v>42.74</v>
      </c>
      <c r="L5736">
        <v>44.49</v>
      </c>
    </row>
    <row r="5737" spans="1:12">
      <c r="A5737" s="1">
        <v>46045</v>
      </c>
      <c r="B5737" t="s">
        <v>6263</v>
      </c>
      <c r="C5737">
        <v>12</v>
      </c>
      <c r="D5737" t="str">
        <f>VLOOKUP(Tabela26[[#This Row],[EMP]],[1]LOJA!$A:$B,2,0)</f>
        <v>SOFNORTE</v>
      </c>
      <c r="E5737">
        <v>60</v>
      </c>
      <c r="F5737" t="s">
        <v>6262</v>
      </c>
      <c r="G5737" t="s">
        <v>3402</v>
      </c>
      <c r="H5737" t="s">
        <v>3408</v>
      </c>
      <c r="I5737">
        <v>5405</v>
      </c>
      <c r="J5737" s="3">
        <v>2348</v>
      </c>
      <c r="K5737" s="3">
        <v>1113.79</v>
      </c>
      <c r="L5737">
        <v>52.56</v>
      </c>
    </row>
    <row r="5738" spans="1:12">
      <c r="A5738" s="1">
        <v>46045</v>
      </c>
      <c r="B5738" t="s">
        <v>6261</v>
      </c>
      <c r="C5738">
        <v>12</v>
      </c>
      <c r="D5738" t="str">
        <f>VLOOKUP(Tabela26[[#This Row],[EMP]],[1]LOJA!$A:$B,2,0)</f>
        <v>SOFNORTE</v>
      </c>
      <c r="E5738">
        <v>60</v>
      </c>
      <c r="F5738" t="s">
        <v>3701</v>
      </c>
      <c r="G5738" t="s">
        <v>3700</v>
      </c>
      <c r="H5738" t="s">
        <v>3408</v>
      </c>
      <c r="I5738">
        <v>5102</v>
      </c>
      <c r="J5738" s="3">
        <v>170</v>
      </c>
      <c r="K5738" s="3">
        <v>82.15</v>
      </c>
      <c r="L5738">
        <v>51.68</v>
      </c>
    </row>
    <row r="5739" spans="1:12">
      <c r="A5739" s="1">
        <v>46045</v>
      </c>
      <c r="B5739" t="s">
        <v>6260</v>
      </c>
      <c r="C5739">
        <v>12</v>
      </c>
      <c r="D5739" t="str">
        <f>VLOOKUP(Tabela26[[#This Row],[EMP]],[1]LOJA!$A:$B,2,0)</f>
        <v>SOFNORTE</v>
      </c>
      <c r="E5739">
        <v>60</v>
      </c>
      <c r="F5739" t="s">
        <v>3687</v>
      </c>
      <c r="G5739" t="s">
        <v>3686</v>
      </c>
      <c r="H5739" t="s">
        <v>3401</v>
      </c>
      <c r="I5739">
        <v>5405</v>
      </c>
      <c r="J5739" s="3">
        <v>94</v>
      </c>
      <c r="K5739" s="3">
        <v>45.3</v>
      </c>
      <c r="L5739">
        <v>51.81</v>
      </c>
    </row>
    <row r="5740" spans="1:12">
      <c r="A5740" s="1">
        <v>46045</v>
      </c>
      <c r="B5740" t="s">
        <v>6259</v>
      </c>
      <c r="C5740">
        <v>12</v>
      </c>
      <c r="D5740" t="str">
        <f>VLOOKUP(Tabela26[[#This Row],[EMP]],[1]LOJA!$A:$B,2,0)</f>
        <v>SOFNORTE</v>
      </c>
      <c r="E5740">
        <v>60</v>
      </c>
      <c r="F5740" t="s">
        <v>3715</v>
      </c>
      <c r="G5740" t="s">
        <v>3714</v>
      </c>
      <c r="H5740" t="s">
        <v>3401</v>
      </c>
      <c r="I5740">
        <v>5102</v>
      </c>
      <c r="J5740" s="3">
        <v>9</v>
      </c>
      <c r="K5740" s="3">
        <v>4.4800000000000004</v>
      </c>
      <c r="L5740">
        <v>50.22</v>
      </c>
    </row>
    <row r="5741" spans="1:12">
      <c r="A5741" s="1">
        <v>46045</v>
      </c>
      <c r="B5741" t="s">
        <v>6258</v>
      </c>
      <c r="C5741">
        <v>12</v>
      </c>
      <c r="D5741" t="str">
        <f>VLOOKUP(Tabela26[[#This Row],[EMP]],[1]LOJA!$A:$B,2,0)</f>
        <v>SOFNORTE</v>
      </c>
      <c r="E5741">
        <v>60</v>
      </c>
      <c r="F5741" t="s">
        <v>3403</v>
      </c>
      <c r="G5741" t="s">
        <v>3402</v>
      </c>
      <c r="H5741" t="s">
        <v>3401</v>
      </c>
      <c r="I5741">
        <v>5102</v>
      </c>
      <c r="J5741" s="3">
        <v>18</v>
      </c>
      <c r="K5741" s="3">
        <v>7.9</v>
      </c>
      <c r="L5741">
        <v>56.11</v>
      </c>
    </row>
    <row r="5742" spans="1:12">
      <c r="A5742" s="1">
        <v>46045</v>
      </c>
      <c r="B5742" t="s">
        <v>6257</v>
      </c>
      <c r="C5742">
        <v>12</v>
      </c>
      <c r="D5742" t="str">
        <f>VLOOKUP(Tabela26[[#This Row],[EMP]],[1]LOJA!$A:$B,2,0)</f>
        <v>SOFNORTE</v>
      </c>
      <c r="E5742">
        <v>60</v>
      </c>
      <c r="F5742" t="s">
        <v>3687</v>
      </c>
      <c r="G5742" t="s">
        <v>3686</v>
      </c>
      <c r="H5742" t="s">
        <v>3401</v>
      </c>
      <c r="I5742">
        <v>5102</v>
      </c>
      <c r="J5742" s="3">
        <v>7.9</v>
      </c>
      <c r="K5742" s="3">
        <v>3.91</v>
      </c>
      <c r="L5742">
        <v>50.51</v>
      </c>
    </row>
    <row r="5743" spans="1:12">
      <c r="A5743" s="1">
        <v>46045</v>
      </c>
      <c r="B5743" t="s">
        <v>6256</v>
      </c>
      <c r="C5743">
        <v>12</v>
      </c>
      <c r="D5743" t="str">
        <f>VLOOKUP(Tabela26[[#This Row],[EMP]],[1]LOJA!$A:$B,2,0)</f>
        <v>SOFNORTE</v>
      </c>
      <c r="E5743">
        <v>60</v>
      </c>
      <c r="F5743" t="s">
        <v>3403</v>
      </c>
      <c r="G5743" t="s">
        <v>3402</v>
      </c>
      <c r="H5743" t="s">
        <v>3401</v>
      </c>
      <c r="I5743">
        <v>5102</v>
      </c>
      <c r="J5743" s="3">
        <v>19</v>
      </c>
      <c r="K5743" s="3">
        <v>10.46</v>
      </c>
      <c r="L5743">
        <v>44.95</v>
      </c>
    </row>
    <row r="5744" spans="1:12">
      <c r="A5744" s="1">
        <v>46045</v>
      </c>
      <c r="B5744" t="s">
        <v>6255</v>
      </c>
      <c r="C5744">
        <v>12</v>
      </c>
      <c r="D5744" t="str">
        <f>VLOOKUP(Tabela26[[#This Row],[EMP]],[1]LOJA!$A:$B,2,0)</f>
        <v>SOFNORTE</v>
      </c>
      <c r="E5744">
        <v>60</v>
      </c>
      <c r="F5744" t="s">
        <v>5057</v>
      </c>
      <c r="G5744" t="s">
        <v>5056</v>
      </c>
      <c r="H5744" t="s">
        <v>3401</v>
      </c>
      <c r="I5744">
        <v>5405</v>
      </c>
      <c r="J5744" s="3">
        <v>46</v>
      </c>
      <c r="K5744" s="3">
        <v>20.71</v>
      </c>
      <c r="L5744">
        <v>54.98</v>
      </c>
    </row>
    <row r="5745" spans="1:12">
      <c r="A5745" s="1">
        <v>46045</v>
      </c>
      <c r="B5745" t="s">
        <v>6254</v>
      </c>
      <c r="C5745">
        <v>12</v>
      </c>
      <c r="D5745" t="str">
        <f>VLOOKUP(Tabela26[[#This Row],[EMP]],[1]LOJA!$A:$B,2,0)</f>
        <v>SOFNORTE</v>
      </c>
      <c r="E5745">
        <v>60</v>
      </c>
      <c r="F5745" t="s">
        <v>6253</v>
      </c>
      <c r="G5745" t="s">
        <v>6252</v>
      </c>
      <c r="H5745" t="s">
        <v>3401</v>
      </c>
      <c r="I5745">
        <v>5405</v>
      </c>
      <c r="J5745" s="3">
        <v>147</v>
      </c>
      <c r="K5745" s="3">
        <v>68.260000000000005</v>
      </c>
      <c r="L5745">
        <v>53.56</v>
      </c>
    </row>
    <row r="5746" spans="1:12">
      <c r="A5746" s="1">
        <v>46045</v>
      </c>
      <c r="B5746" t="s">
        <v>6251</v>
      </c>
      <c r="C5746">
        <v>12</v>
      </c>
      <c r="D5746" t="str">
        <f>VLOOKUP(Tabela26[[#This Row],[EMP]],[1]LOJA!$A:$B,2,0)</f>
        <v>SOFNORTE</v>
      </c>
      <c r="E5746">
        <v>60</v>
      </c>
      <c r="F5746" t="s">
        <v>6250</v>
      </c>
      <c r="G5746" t="s">
        <v>3402</v>
      </c>
      <c r="H5746" t="s">
        <v>3401</v>
      </c>
      <c r="I5746">
        <v>5405</v>
      </c>
      <c r="J5746" s="3">
        <v>29</v>
      </c>
      <c r="K5746" s="3">
        <v>12.35</v>
      </c>
      <c r="L5746">
        <v>57.41</v>
      </c>
    </row>
    <row r="5747" spans="1:12">
      <c r="A5747" s="1">
        <v>46045</v>
      </c>
      <c r="B5747" t="s">
        <v>6249</v>
      </c>
      <c r="C5747">
        <v>12</v>
      </c>
      <c r="D5747" t="str">
        <f>VLOOKUP(Tabela26[[#This Row],[EMP]],[1]LOJA!$A:$B,2,0)</f>
        <v>SOFNORTE</v>
      </c>
      <c r="E5747">
        <v>60</v>
      </c>
      <c r="F5747" t="s">
        <v>3694</v>
      </c>
      <c r="G5747" t="s">
        <v>3693</v>
      </c>
      <c r="H5747" t="s">
        <v>3520</v>
      </c>
      <c r="I5747">
        <v>5405</v>
      </c>
      <c r="J5747" s="3">
        <v>103</v>
      </c>
      <c r="K5747" s="3">
        <v>47.15</v>
      </c>
      <c r="L5747">
        <v>54.22</v>
      </c>
    </row>
    <row r="5748" spans="1:12">
      <c r="A5748" s="1">
        <v>46045</v>
      </c>
      <c r="B5748" t="s">
        <v>6248</v>
      </c>
      <c r="C5748">
        <v>12</v>
      </c>
      <c r="D5748" t="str">
        <f>VLOOKUP(Tabela26[[#This Row],[EMP]],[1]LOJA!$A:$B,2,0)</f>
        <v>SOFNORTE</v>
      </c>
      <c r="E5748">
        <v>60</v>
      </c>
      <c r="F5748" t="s">
        <v>3709</v>
      </c>
      <c r="G5748" t="s">
        <v>3708</v>
      </c>
      <c r="H5748" t="s">
        <v>3401</v>
      </c>
      <c r="I5748">
        <v>5102</v>
      </c>
      <c r="J5748" s="3">
        <v>227</v>
      </c>
      <c r="K5748" s="3">
        <v>114.06</v>
      </c>
      <c r="L5748">
        <v>49.75</v>
      </c>
    </row>
    <row r="5749" spans="1:12">
      <c r="A5749" s="1">
        <v>46045</v>
      </c>
      <c r="B5749" t="s">
        <v>6247</v>
      </c>
      <c r="C5749">
        <v>12</v>
      </c>
      <c r="D5749" t="str">
        <f>VLOOKUP(Tabela26[[#This Row],[EMP]],[1]LOJA!$A:$B,2,0)</f>
        <v>SOFNORTE</v>
      </c>
      <c r="E5749">
        <v>60</v>
      </c>
      <c r="F5749" t="s">
        <v>3694</v>
      </c>
      <c r="G5749" t="s">
        <v>3693</v>
      </c>
      <c r="H5749" t="s">
        <v>3520</v>
      </c>
      <c r="I5749">
        <v>5102</v>
      </c>
      <c r="J5749" s="3">
        <v>10</v>
      </c>
      <c r="K5749" s="3">
        <v>3.6</v>
      </c>
      <c r="L5749">
        <v>64</v>
      </c>
    </row>
    <row r="5750" spans="1:12">
      <c r="A5750" s="1">
        <v>46045</v>
      </c>
      <c r="B5750" t="s">
        <v>6246</v>
      </c>
      <c r="C5750">
        <v>12</v>
      </c>
      <c r="D5750" t="str">
        <f>VLOOKUP(Tabela26[[#This Row],[EMP]],[1]LOJA!$A:$B,2,0)</f>
        <v>SOFNORTE</v>
      </c>
      <c r="E5750">
        <v>60</v>
      </c>
      <c r="F5750" t="s">
        <v>5625</v>
      </c>
      <c r="G5750" t="s">
        <v>5624</v>
      </c>
      <c r="H5750" t="s">
        <v>3401</v>
      </c>
      <c r="I5750">
        <v>5405</v>
      </c>
      <c r="J5750" s="3">
        <v>110</v>
      </c>
      <c r="K5750" s="3">
        <v>54.79</v>
      </c>
      <c r="L5750">
        <v>50.19</v>
      </c>
    </row>
    <row r="5751" spans="1:12">
      <c r="A5751" s="1">
        <v>46045</v>
      </c>
      <c r="B5751" t="s">
        <v>6245</v>
      </c>
      <c r="C5751">
        <v>12</v>
      </c>
      <c r="D5751" t="str">
        <f>VLOOKUP(Tabela26[[#This Row],[EMP]],[1]LOJA!$A:$B,2,0)</f>
        <v>SOFNORTE</v>
      </c>
      <c r="E5751">
        <v>60</v>
      </c>
      <c r="F5751" t="s">
        <v>3931</v>
      </c>
      <c r="G5751" t="s">
        <v>3930</v>
      </c>
      <c r="H5751" t="s">
        <v>3401</v>
      </c>
      <c r="I5751">
        <v>5405</v>
      </c>
      <c r="J5751" s="3">
        <v>55.71</v>
      </c>
      <c r="K5751" s="3">
        <v>26.53</v>
      </c>
      <c r="L5751">
        <v>52.38</v>
      </c>
    </row>
    <row r="5752" spans="1:12">
      <c r="A5752" s="1">
        <v>46045</v>
      </c>
      <c r="B5752" t="s">
        <v>6244</v>
      </c>
      <c r="C5752">
        <v>12</v>
      </c>
      <c r="D5752" t="str">
        <f>VLOOKUP(Tabela26[[#This Row],[EMP]],[1]LOJA!$A:$B,2,0)</f>
        <v>SOFNORTE</v>
      </c>
      <c r="E5752">
        <v>60</v>
      </c>
      <c r="F5752" t="s">
        <v>3691</v>
      </c>
      <c r="G5752" t="s">
        <v>3690</v>
      </c>
      <c r="H5752" t="s">
        <v>6243</v>
      </c>
      <c r="I5752">
        <v>5102</v>
      </c>
      <c r="J5752" s="3">
        <v>78.59</v>
      </c>
      <c r="K5752" s="3">
        <v>37.56</v>
      </c>
      <c r="L5752">
        <v>52.21</v>
      </c>
    </row>
    <row r="5753" spans="1:12">
      <c r="A5753" s="1">
        <v>46045</v>
      </c>
      <c r="B5753" t="s">
        <v>6242</v>
      </c>
      <c r="C5753">
        <v>14</v>
      </c>
      <c r="D5753" t="str">
        <f>VLOOKUP(Tabela26[[#This Row],[EMP]],[1]LOJA!$A:$B,2,0)</f>
        <v>S IA</v>
      </c>
      <c r="E5753">
        <v>54</v>
      </c>
      <c r="F5753" t="s">
        <v>6241</v>
      </c>
      <c r="G5753" t="s">
        <v>3402</v>
      </c>
      <c r="H5753" t="s">
        <v>3408</v>
      </c>
      <c r="I5753">
        <v>5102</v>
      </c>
      <c r="J5753" s="3">
        <v>160</v>
      </c>
      <c r="K5753" s="3">
        <v>94.76</v>
      </c>
      <c r="L5753">
        <v>40.78</v>
      </c>
    </row>
    <row r="5754" spans="1:12">
      <c r="A5754" s="1">
        <v>46045</v>
      </c>
      <c r="B5754" t="s">
        <v>6240</v>
      </c>
      <c r="C5754">
        <v>14</v>
      </c>
      <c r="D5754" t="str">
        <f>VLOOKUP(Tabela26[[#This Row],[EMP]],[1]LOJA!$A:$B,2,0)</f>
        <v>S IA</v>
      </c>
      <c r="E5754">
        <v>54</v>
      </c>
      <c r="F5754" t="s">
        <v>3403</v>
      </c>
      <c r="G5754" t="s">
        <v>3402</v>
      </c>
      <c r="H5754" t="s">
        <v>3401</v>
      </c>
      <c r="I5754">
        <v>5102</v>
      </c>
      <c r="J5754" s="3">
        <v>18</v>
      </c>
      <c r="K5754" s="3">
        <v>5.83</v>
      </c>
      <c r="L5754">
        <v>67.61</v>
      </c>
    </row>
    <row r="5755" spans="1:12">
      <c r="A5755" s="1">
        <v>46045</v>
      </c>
      <c r="B5755" t="s">
        <v>6239</v>
      </c>
      <c r="C5755">
        <v>14</v>
      </c>
      <c r="D5755" t="str">
        <f>VLOOKUP(Tabela26[[#This Row],[EMP]],[1]LOJA!$A:$B,2,0)</f>
        <v>S IA</v>
      </c>
      <c r="E5755">
        <v>54</v>
      </c>
      <c r="F5755" t="s">
        <v>6238</v>
      </c>
      <c r="G5755" t="s">
        <v>6237</v>
      </c>
      <c r="H5755" t="s">
        <v>3401</v>
      </c>
      <c r="I5755">
        <v>5102</v>
      </c>
      <c r="J5755" s="3">
        <v>38</v>
      </c>
      <c r="K5755" s="3">
        <v>23.18</v>
      </c>
      <c r="L5755">
        <v>39</v>
      </c>
    </row>
    <row r="5756" spans="1:12">
      <c r="A5756" s="1">
        <v>46045</v>
      </c>
      <c r="B5756" t="s">
        <v>6236</v>
      </c>
      <c r="C5756">
        <v>14</v>
      </c>
      <c r="D5756" t="str">
        <f>VLOOKUP(Tabela26[[#This Row],[EMP]],[1]LOJA!$A:$B,2,0)</f>
        <v>S IA</v>
      </c>
      <c r="E5756">
        <v>54</v>
      </c>
      <c r="F5756" t="s">
        <v>6235</v>
      </c>
      <c r="G5756" t="s">
        <v>3402</v>
      </c>
      <c r="H5756" t="s">
        <v>3401</v>
      </c>
      <c r="I5756">
        <v>5405</v>
      </c>
      <c r="J5756" s="3">
        <v>75</v>
      </c>
      <c r="K5756" s="3">
        <v>32.880000000000003</v>
      </c>
      <c r="L5756">
        <v>56.16</v>
      </c>
    </row>
    <row r="5757" spans="1:12">
      <c r="A5757" s="1">
        <v>46045</v>
      </c>
      <c r="B5757" t="s">
        <v>6234</v>
      </c>
      <c r="C5757">
        <v>14</v>
      </c>
      <c r="D5757" t="str">
        <f>VLOOKUP(Tabela26[[#This Row],[EMP]],[1]LOJA!$A:$B,2,0)</f>
        <v>S IA</v>
      </c>
      <c r="E5757">
        <v>54</v>
      </c>
      <c r="F5757" t="s">
        <v>3403</v>
      </c>
      <c r="G5757" t="s">
        <v>3402</v>
      </c>
      <c r="H5757" t="s">
        <v>3401</v>
      </c>
      <c r="I5757">
        <v>5405</v>
      </c>
      <c r="J5757" s="3">
        <v>216</v>
      </c>
      <c r="K5757" s="3">
        <v>96.47</v>
      </c>
      <c r="L5757">
        <v>55.34</v>
      </c>
    </row>
    <row r="5758" spans="1:12">
      <c r="A5758" s="1">
        <v>46045</v>
      </c>
      <c r="B5758" t="s">
        <v>6233</v>
      </c>
      <c r="C5758">
        <v>14</v>
      </c>
      <c r="D5758" t="str">
        <f>VLOOKUP(Tabela26[[#This Row],[EMP]],[1]LOJA!$A:$B,2,0)</f>
        <v>S IA</v>
      </c>
      <c r="E5758">
        <v>54</v>
      </c>
      <c r="F5758" t="s">
        <v>3403</v>
      </c>
      <c r="G5758" t="s">
        <v>3402</v>
      </c>
      <c r="H5758" t="s">
        <v>3401</v>
      </c>
      <c r="I5758">
        <v>5102</v>
      </c>
      <c r="J5758" s="3">
        <v>42</v>
      </c>
      <c r="K5758" s="3">
        <v>21.05</v>
      </c>
      <c r="L5758">
        <v>49.88</v>
      </c>
    </row>
    <row r="5759" spans="1:12">
      <c r="A5759" s="1">
        <v>46045</v>
      </c>
      <c r="B5759" t="s">
        <v>6232</v>
      </c>
      <c r="C5759">
        <v>14</v>
      </c>
      <c r="D5759" t="str">
        <f>VLOOKUP(Tabela26[[#This Row],[EMP]],[1]LOJA!$A:$B,2,0)</f>
        <v>S IA</v>
      </c>
      <c r="E5759">
        <v>212</v>
      </c>
      <c r="F5759" t="s">
        <v>3403</v>
      </c>
      <c r="G5759" t="s">
        <v>3402</v>
      </c>
      <c r="H5759" t="s">
        <v>3401</v>
      </c>
      <c r="I5759">
        <v>5102</v>
      </c>
      <c r="J5759" s="3">
        <v>33</v>
      </c>
      <c r="K5759" s="3">
        <v>17.77</v>
      </c>
      <c r="L5759">
        <v>46.15</v>
      </c>
    </row>
    <row r="5760" spans="1:12">
      <c r="A5760" s="1">
        <v>46045</v>
      </c>
      <c r="B5760" t="s">
        <v>6231</v>
      </c>
      <c r="C5760">
        <v>14</v>
      </c>
      <c r="D5760" t="str">
        <f>VLOOKUP(Tabela26[[#This Row],[EMP]],[1]LOJA!$A:$B,2,0)</f>
        <v>S IA</v>
      </c>
      <c r="E5760">
        <v>212</v>
      </c>
      <c r="F5760" t="s">
        <v>4393</v>
      </c>
      <c r="G5760" t="s">
        <v>3402</v>
      </c>
      <c r="H5760" t="s">
        <v>3408</v>
      </c>
      <c r="I5760">
        <v>5405</v>
      </c>
      <c r="J5760" s="3">
        <v>290</v>
      </c>
      <c r="K5760" s="3">
        <v>129.4</v>
      </c>
      <c r="L5760">
        <v>55.38</v>
      </c>
    </row>
    <row r="5761" spans="1:12">
      <c r="A5761" s="1">
        <v>46045</v>
      </c>
      <c r="B5761" t="s">
        <v>6230</v>
      </c>
      <c r="C5761">
        <v>14</v>
      </c>
      <c r="D5761" t="str">
        <f>VLOOKUP(Tabela26[[#This Row],[EMP]],[1]LOJA!$A:$B,2,0)</f>
        <v>S IA</v>
      </c>
      <c r="E5761">
        <v>54</v>
      </c>
      <c r="F5761" t="s">
        <v>6229</v>
      </c>
      <c r="G5761" t="s">
        <v>6228</v>
      </c>
      <c r="H5761" t="s">
        <v>3401</v>
      </c>
      <c r="I5761">
        <v>5102</v>
      </c>
      <c r="J5761" s="3">
        <v>174.8</v>
      </c>
      <c r="K5761" s="3">
        <v>91.05</v>
      </c>
      <c r="L5761">
        <v>47.91</v>
      </c>
    </row>
    <row r="5762" spans="1:12">
      <c r="A5762" s="1">
        <v>46045</v>
      </c>
      <c r="B5762" t="s">
        <v>6227</v>
      </c>
      <c r="C5762">
        <v>14</v>
      </c>
      <c r="D5762" t="str">
        <f>VLOOKUP(Tabela26[[#This Row],[EMP]],[1]LOJA!$A:$B,2,0)</f>
        <v>S IA</v>
      </c>
      <c r="E5762">
        <v>212</v>
      </c>
      <c r="F5762" t="s">
        <v>3403</v>
      </c>
      <c r="G5762" t="s">
        <v>3402</v>
      </c>
      <c r="H5762" t="s">
        <v>3408</v>
      </c>
      <c r="I5762">
        <v>5405</v>
      </c>
      <c r="J5762" s="3">
        <v>120</v>
      </c>
      <c r="K5762" s="3">
        <v>36.32</v>
      </c>
      <c r="L5762">
        <v>69.73</v>
      </c>
    </row>
    <row r="5763" spans="1:12">
      <c r="A5763" s="1">
        <v>46045</v>
      </c>
      <c r="B5763" t="s">
        <v>6226</v>
      </c>
      <c r="C5763">
        <v>14</v>
      </c>
      <c r="D5763" t="str">
        <f>VLOOKUP(Tabela26[[#This Row],[EMP]],[1]LOJA!$A:$B,2,0)</f>
        <v>S IA</v>
      </c>
      <c r="E5763">
        <v>212</v>
      </c>
      <c r="F5763" t="s">
        <v>3403</v>
      </c>
      <c r="G5763" t="s">
        <v>3402</v>
      </c>
      <c r="H5763" t="s">
        <v>3408</v>
      </c>
      <c r="I5763">
        <v>5405</v>
      </c>
      <c r="J5763" s="3">
        <v>59</v>
      </c>
      <c r="K5763" s="3">
        <v>17.670000000000002</v>
      </c>
      <c r="L5763">
        <v>70.05</v>
      </c>
    </row>
    <row r="5764" spans="1:12">
      <c r="A5764" s="1">
        <v>46045</v>
      </c>
      <c r="B5764" t="s">
        <v>6225</v>
      </c>
      <c r="C5764">
        <v>14</v>
      </c>
      <c r="D5764" t="str">
        <f>VLOOKUP(Tabela26[[#This Row],[EMP]],[1]LOJA!$A:$B,2,0)</f>
        <v>S IA</v>
      </c>
      <c r="E5764">
        <v>212</v>
      </c>
      <c r="F5764" t="s">
        <v>3403</v>
      </c>
      <c r="G5764" t="s">
        <v>6224</v>
      </c>
      <c r="H5764" t="s">
        <v>3401</v>
      </c>
      <c r="I5764">
        <v>5405</v>
      </c>
      <c r="J5764" s="3">
        <v>306.89999999999998</v>
      </c>
      <c r="K5764" s="3">
        <v>145.19999999999999</v>
      </c>
      <c r="L5764">
        <v>52.69</v>
      </c>
    </row>
    <row r="5765" spans="1:12">
      <c r="A5765" s="1">
        <v>46045</v>
      </c>
      <c r="B5765" t="s">
        <v>6223</v>
      </c>
      <c r="C5765">
        <v>4</v>
      </c>
      <c r="D5765" t="str">
        <f>VLOOKUP(Tabela26[[#This Row],[EMP]],[1]LOJA!$A:$B,2,0)</f>
        <v>ADE</v>
      </c>
      <c r="E5765">
        <v>132</v>
      </c>
      <c r="F5765" t="s">
        <v>3670</v>
      </c>
      <c r="G5765" t="s">
        <v>3669</v>
      </c>
      <c r="H5765" t="s">
        <v>4249</v>
      </c>
      <c r="I5765">
        <v>5102</v>
      </c>
      <c r="J5765" s="3">
        <v>1203.5999999999999</v>
      </c>
      <c r="K5765" s="3">
        <v>721.86</v>
      </c>
      <c r="L5765">
        <v>40.020000000000003</v>
      </c>
    </row>
    <row r="5766" spans="1:12">
      <c r="A5766" s="1">
        <v>46045</v>
      </c>
      <c r="B5766" t="s">
        <v>6222</v>
      </c>
      <c r="C5766">
        <v>4</v>
      </c>
      <c r="D5766" t="str">
        <f>VLOOKUP(Tabela26[[#This Row],[EMP]],[1]LOJA!$A:$B,2,0)</f>
        <v>ADE</v>
      </c>
      <c r="E5766">
        <v>132</v>
      </c>
      <c r="F5766" t="s">
        <v>3664</v>
      </c>
      <c r="G5766" t="s">
        <v>3663</v>
      </c>
      <c r="H5766" t="s">
        <v>3430</v>
      </c>
      <c r="I5766">
        <v>5405</v>
      </c>
      <c r="J5766" s="3">
        <v>311.24</v>
      </c>
      <c r="K5766" s="3">
        <v>153.71</v>
      </c>
      <c r="L5766">
        <v>50.61</v>
      </c>
    </row>
    <row r="5767" spans="1:12">
      <c r="A5767" s="1">
        <v>46045</v>
      </c>
      <c r="B5767" t="s">
        <v>6221</v>
      </c>
      <c r="C5767">
        <v>4</v>
      </c>
      <c r="D5767" t="str">
        <f>VLOOKUP(Tabela26[[#This Row],[EMP]],[1]LOJA!$A:$B,2,0)</f>
        <v>ADE</v>
      </c>
      <c r="E5767">
        <v>132</v>
      </c>
      <c r="F5767" t="s">
        <v>6220</v>
      </c>
      <c r="G5767" t="s">
        <v>6219</v>
      </c>
      <c r="H5767" t="s">
        <v>3537</v>
      </c>
      <c r="I5767">
        <v>5102</v>
      </c>
      <c r="J5767" s="3">
        <v>392</v>
      </c>
      <c r="K5767" s="3">
        <v>217.12</v>
      </c>
      <c r="L5767">
        <v>44.61</v>
      </c>
    </row>
    <row r="5768" spans="1:12">
      <c r="A5768" s="1">
        <v>46045</v>
      </c>
      <c r="B5768" t="s">
        <v>6218</v>
      </c>
      <c r="C5768">
        <v>4</v>
      </c>
      <c r="D5768" t="str">
        <f>VLOOKUP(Tabela26[[#This Row],[EMP]],[1]LOJA!$A:$B,2,0)</f>
        <v>ADE</v>
      </c>
      <c r="E5768">
        <v>132</v>
      </c>
      <c r="F5768" t="s">
        <v>3664</v>
      </c>
      <c r="G5768" t="s">
        <v>3663</v>
      </c>
      <c r="H5768" t="s">
        <v>3430</v>
      </c>
      <c r="I5768">
        <v>5102</v>
      </c>
      <c r="J5768" s="3">
        <v>139.80000000000001</v>
      </c>
      <c r="K5768" s="3">
        <v>94.76</v>
      </c>
      <c r="L5768">
        <v>32.22</v>
      </c>
    </row>
    <row r="5769" spans="1:12">
      <c r="A5769" s="1">
        <v>46045</v>
      </c>
      <c r="B5769" t="s">
        <v>6217</v>
      </c>
      <c r="C5769">
        <v>4</v>
      </c>
      <c r="D5769" t="str">
        <f>VLOOKUP(Tabela26[[#This Row],[EMP]],[1]LOJA!$A:$B,2,0)</f>
        <v>ADE</v>
      </c>
      <c r="E5769">
        <v>132</v>
      </c>
      <c r="F5769" t="s">
        <v>3677</v>
      </c>
      <c r="G5769" t="s">
        <v>3676</v>
      </c>
      <c r="H5769" t="s">
        <v>3679</v>
      </c>
      <c r="I5769">
        <v>5405</v>
      </c>
      <c r="J5769" s="3">
        <v>7570.11</v>
      </c>
      <c r="K5769" s="3">
        <v>1983.01</v>
      </c>
      <c r="L5769">
        <v>73.8</v>
      </c>
    </row>
    <row r="5770" spans="1:12">
      <c r="A5770" s="1">
        <v>46045</v>
      </c>
      <c r="B5770" t="s">
        <v>6216</v>
      </c>
      <c r="C5770">
        <v>4</v>
      </c>
      <c r="D5770" t="str">
        <f>VLOOKUP(Tabela26[[#This Row],[EMP]],[1]LOJA!$A:$B,2,0)</f>
        <v>ADE</v>
      </c>
      <c r="E5770">
        <v>132</v>
      </c>
      <c r="F5770" t="s">
        <v>5027</v>
      </c>
      <c r="G5770" t="s">
        <v>5026</v>
      </c>
      <c r="H5770" t="s">
        <v>3430</v>
      </c>
      <c r="I5770">
        <v>5102</v>
      </c>
      <c r="J5770" s="3">
        <v>289.89999999999998</v>
      </c>
      <c r="K5770" s="3">
        <v>149.86000000000001</v>
      </c>
      <c r="L5770">
        <v>48.31</v>
      </c>
    </row>
    <row r="5771" spans="1:12">
      <c r="A5771" s="1">
        <v>46045</v>
      </c>
      <c r="B5771" t="s">
        <v>6215</v>
      </c>
      <c r="C5771">
        <v>4</v>
      </c>
      <c r="D5771" t="str">
        <f>VLOOKUP(Tabela26[[#This Row],[EMP]],[1]LOJA!$A:$B,2,0)</f>
        <v>ADE</v>
      </c>
      <c r="E5771">
        <v>132</v>
      </c>
      <c r="F5771" t="s">
        <v>3667</v>
      </c>
      <c r="G5771" t="s">
        <v>3666</v>
      </c>
      <c r="H5771" t="s">
        <v>3430</v>
      </c>
      <c r="I5771">
        <v>5405</v>
      </c>
      <c r="J5771" s="3">
        <v>87.14</v>
      </c>
      <c r="K5771" s="3">
        <v>43.45</v>
      </c>
      <c r="L5771">
        <v>50.14</v>
      </c>
    </row>
    <row r="5772" spans="1:12">
      <c r="A5772" s="1">
        <v>46045</v>
      </c>
      <c r="B5772" t="s">
        <v>6214</v>
      </c>
      <c r="C5772">
        <v>4</v>
      </c>
      <c r="D5772" t="str">
        <f>VLOOKUP(Tabela26[[#This Row],[EMP]],[1]LOJA!$A:$B,2,0)</f>
        <v>ADE</v>
      </c>
      <c r="E5772">
        <v>132</v>
      </c>
      <c r="F5772" t="s">
        <v>6213</v>
      </c>
      <c r="G5772" t="s">
        <v>6212</v>
      </c>
      <c r="H5772" t="s">
        <v>3430</v>
      </c>
      <c r="I5772">
        <v>5102</v>
      </c>
      <c r="J5772" s="3">
        <v>293.8</v>
      </c>
      <c r="K5772" s="3">
        <v>163.54</v>
      </c>
      <c r="L5772">
        <v>44.34</v>
      </c>
    </row>
    <row r="5773" spans="1:12">
      <c r="A5773" s="1">
        <v>46045</v>
      </c>
      <c r="B5773" t="s">
        <v>6211</v>
      </c>
      <c r="C5773">
        <v>4</v>
      </c>
      <c r="D5773" t="str">
        <f>VLOOKUP(Tabela26[[#This Row],[EMP]],[1]LOJA!$A:$B,2,0)</f>
        <v>ADE</v>
      </c>
      <c r="E5773">
        <v>132</v>
      </c>
      <c r="F5773" t="s">
        <v>6210</v>
      </c>
      <c r="G5773" t="s">
        <v>6209</v>
      </c>
      <c r="H5773" t="s">
        <v>3401</v>
      </c>
      <c r="I5773">
        <v>5102</v>
      </c>
      <c r="J5773" s="3">
        <v>76</v>
      </c>
      <c r="K5773" s="3">
        <v>42.07</v>
      </c>
      <c r="L5773">
        <v>44.64</v>
      </c>
    </row>
    <row r="5774" spans="1:12">
      <c r="A5774" s="1">
        <v>46045</v>
      </c>
      <c r="B5774" t="s">
        <v>6208</v>
      </c>
      <c r="C5774">
        <v>13</v>
      </c>
      <c r="D5774" t="str">
        <f>VLOOKUP(Tabela26[[#This Row],[EMP]],[1]LOJA!$A:$B,2,0)</f>
        <v>CEILÂNDIA</v>
      </c>
      <c r="E5774">
        <v>86</v>
      </c>
      <c r="F5774" t="s">
        <v>6207</v>
      </c>
      <c r="G5774" t="s">
        <v>6206</v>
      </c>
      <c r="H5774" t="s">
        <v>3408</v>
      </c>
      <c r="I5774">
        <v>5102</v>
      </c>
      <c r="J5774" s="3">
        <v>509</v>
      </c>
      <c r="K5774" s="3">
        <v>291.88</v>
      </c>
      <c r="L5774">
        <v>42.66</v>
      </c>
    </row>
    <row r="5775" spans="1:12">
      <c r="A5775" s="1">
        <v>46045</v>
      </c>
      <c r="B5775" t="s">
        <v>6205</v>
      </c>
      <c r="C5775">
        <v>13</v>
      </c>
      <c r="D5775" t="str">
        <f>VLOOKUP(Tabela26[[#This Row],[EMP]],[1]LOJA!$A:$B,2,0)</f>
        <v>CEILÂNDIA</v>
      </c>
      <c r="E5775">
        <v>86</v>
      </c>
      <c r="F5775" t="s">
        <v>3605</v>
      </c>
      <c r="G5775" t="s">
        <v>3604</v>
      </c>
      <c r="H5775" t="s">
        <v>3401</v>
      </c>
      <c r="I5775">
        <v>5102</v>
      </c>
      <c r="J5775" s="3">
        <v>80</v>
      </c>
      <c r="K5775" s="3">
        <v>51.17</v>
      </c>
      <c r="L5775">
        <v>36.04</v>
      </c>
    </row>
    <row r="5776" spans="1:12">
      <c r="A5776" s="1">
        <v>46045</v>
      </c>
      <c r="B5776" t="s">
        <v>6204</v>
      </c>
      <c r="C5776">
        <v>13</v>
      </c>
      <c r="D5776" t="str">
        <f>VLOOKUP(Tabela26[[#This Row],[EMP]],[1]LOJA!$A:$B,2,0)</f>
        <v>CEILÂNDIA</v>
      </c>
      <c r="E5776">
        <v>86</v>
      </c>
      <c r="F5776" t="s">
        <v>6203</v>
      </c>
      <c r="G5776" t="s">
        <v>3402</v>
      </c>
      <c r="H5776" t="s">
        <v>3408</v>
      </c>
      <c r="I5776">
        <v>5102</v>
      </c>
      <c r="J5776" s="3">
        <v>60</v>
      </c>
      <c r="K5776" s="3">
        <v>37.24</v>
      </c>
      <c r="L5776">
        <v>37.93</v>
      </c>
    </row>
    <row r="5777" spans="1:12">
      <c r="A5777" s="1">
        <v>46045</v>
      </c>
      <c r="B5777" t="s">
        <v>6202</v>
      </c>
      <c r="C5777">
        <v>13</v>
      </c>
      <c r="D5777" t="str">
        <f>VLOOKUP(Tabela26[[#This Row],[EMP]],[1]LOJA!$A:$B,2,0)</f>
        <v>CEILÂNDIA</v>
      </c>
      <c r="E5777">
        <v>86</v>
      </c>
      <c r="F5777" t="s">
        <v>3403</v>
      </c>
      <c r="G5777" t="s">
        <v>3402</v>
      </c>
      <c r="H5777" t="s">
        <v>3408</v>
      </c>
      <c r="I5777">
        <v>5405</v>
      </c>
      <c r="J5777" s="3">
        <v>74</v>
      </c>
      <c r="K5777" s="3">
        <v>35.36</v>
      </c>
      <c r="L5777">
        <v>52.22</v>
      </c>
    </row>
    <row r="5778" spans="1:12">
      <c r="A5778" s="1">
        <v>46045</v>
      </c>
      <c r="B5778" t="s">
        <v>6201</v>
      </c>
      <c r="C5778">
        <v>13</v>
      </c>
      <c r="D5778" t="str">
        <f>VLOOKUP(Tabela26[[#This Row],[EMP]],[1]LOJA!$A:$B,2,0)</f>
        <v>CEILÂNDIA</v>
      </c>
      <c r="E5778">
        <v>86</v>
      </c>
      <c r="F5778" t="s">
        <v>3414</v>
      </c>
      <c r="G5778" t="s">
        <v>3402</v>
      </c>
      <c r="H5778" t="s">
        <v>3408</v>
      </c>
      <c r="I5778">
        <v>5405</v>
      </c>
      <c r="J5778" s="3">
        <v>49.9</v>
      </c>
      <c r="K5778" s="3">
        <v>20.52</v>
      </c>
      <c r="L5778">
        <v>58.88</v>
      </c>
    </row>
    <row r="5779" spans="1:12">
      <c r="A5779" s="1">
        <v>46045</v>
      </c>
      <c r="B5779" t="s">
        <v>6200</v>
      </c>
      <c r="C5779">
        <v>13</v>
      </c>
      <c r="D5779" t="str">
        <f>VLOOKUP(Tabela26[[#This Row],[EMP]],[1]LOJA!$A:$B,2,0)</f>
        <v>CEILÂNDIA</v>
      </c>
      <c r="E5779">
        <v>86</v>
      </c>
      <c r="F5779" t="s">
        <v>3624</v>
      </c>
      <c r="G5779" t="s">
        <v>3402</v>
      </c>
      <c r="H5779" t="s">
        <v>3408</v>
      </c>
      <c r="I5779">
        <v>5405</v>
      </c>
      <c r="J5779" s="3">
        <v>110</v>
      </c>
      <c r="K5779" s="3">
        <v>60.52</v>
      </c>
      <c r="L5779">
        <v>44.98</v>
      </c>
    </row>
    <row r="5780" spans="1:12">
      <c r="A5780" s="1">
        <v>46045</v>
      </c>
      <c r="B5780" t="s">
        <v>6199</v>
      </c>
      <c r="C5780">
        <v>13</v>
      </c>
      <c r="D5780" t="str">
        <f>VLOOKUP(Tabela26[[#This Row],[EMP]],[1]LOJA!$A:$B,2,0)</f>
        <v>CEILÂNDIA</v>
      </c>
      <c r="E5780">
        <v>86</v>
      </c>
      <c r="F5780" t="s">
        <v>3629</v>
      </c>
      <c r="G5780" t="s">
        <v>3628</v>
      </c>
      <c r="H5780" t="s">
        <v>3408</v>
      </c>
      <c r="I5780">
        <v>5102</v>
      </c>
      <c r="J5780" s="3">
        <v>60</v>
      </c>
      <c r="K5780" s="3">
        <v>34.69</v>
      </c>
      <c r="L5780">
        <v>42.18</v>
      </c>
    </row>
    <row r="5781" spans="1:12">
      <c r="A5781" s="1">
        <v>46045</v>
      </c>
      <c r="B5781" t="s">
        <v>6198</v>
      </c>
      <c r="C5781">
        <v>13</v>
      </c>
      <c r="D5781" t="str">
        <f>VLOOKUP(Tabela26[[#This Row],[EMP]],[1]LOJA!$A:$B,2,0)</f>
        <v>CEILÂNDIA</v>
      </c>
      <c r="E5781">
        <v>33</v>
      </c>
      <c r="F5781" t="s">
        <v>3403</v>
      </c>
      <c r="G5781" t="s">
        <v>3402</v>
      </c>
      <c r="H5781" t="s">
        <v>3401</v>
      </c>
      <c r="I5781">
        <v>5405</v>
      </c>
      <c r="J5781" s="3">
        <v>128</v>
      </c>
      <c r="K5781" s="3">
        <v>61.84</v>
      </c>
      <c r="L5781">
        <v>51.69</v>
      </c>
    </row>
    <row r="5782" spans="1:12">
      <c r="A5782" s="1">
        <v>46045</v>
      </c>
      <c r="B5782" t="s">
        <v>6197</v>
      </c>
      <c r="C5782">
        <v>13</v>
      </c>
      <c r="D5782" t="str">
        <f>VLOOKUP(Tabela26[[#This Row],[EMP]],[1]LOJA!$A:$B,2,0)</f>
        <v>CEILÂNDIA</v>
      </c>
      <c r="E5782">
        <v>86</v>
      </c>
      <c r="F5782" t="s">
        <v>3403</v>
      </c>
      <c r="G5782" t="s">
        <v>3402</v>
      </c>
      <c r="H5782" t="s">
        <v>3401</v>
      </c>
      <c r="I5782">
        <v>5102</v>
      </c>
      <c r="J5782" s="3">
        <v>32.6</v>
      </c>
      <c r="K5782" s="3">
        <v>16.64</v>
      </c>
      <c r="L5782">
        <v>48.96</v>
      </c>
    </row>
    <row r="5783" spans="1:12">
      <c r="A5783" s="1">
        <v>46045</v>
      </c>
      <c r="B5783" t="s">
        <v>6196</v>
      </c>
      <c r="C5783">
        <v>13</v>
      </c>
      <c r="D5783" t="str">
        <f>VLOOKUP(Tabela26[[#This Row],[EMP]],[1]LOJA!$A:$B,2,0)</f>
        <v>CEILÂNDIA</v>
      </c>
      <c r="E5783">
        <v>86</v>
      </c>
      <c r="F5783" t="s">
        <v>3403</v>
      </c>
      <c r="G5783" t="s">
        <v>3402</v>
      </c>
      <c r="H5783" t="s">
        <v>3408</v>
      </c>
      <c r="I5783">
        <v>5405</v>
      </c>
      <c r="J5783" s="3">
        <v>40</v>
      </c>
      <c r="K5783" s="3">
        <v>18.12</v>
      </c>
      <c r="L5783">
        <v>54.7</v>
      </c>
    </row>
    <row r="5784" spans="1:12">
      <c r="A5784" s="1">
        <v>46045</v>
      </c>
      <c r="B5784" t="s">
        <v>6195</v>
      </c>
      <c r="C5784">
        <v>13</v>
      </c>
      <c r="D5784" t="str">
        <f>VLOOKUP(Tabela26[[#This Row],[EMP]],[1]LOJA!$A:$B,2,0)</f>
        <v>CEILÂNDIA</v>
      </c>
      <c r="E5784">
        <v>86</v>
      </c>
      <c r="F5784" t="s">
        <v>3403</v>
      </c>
      <c r="G5784" t="s">
        <v>3402</v>
      </c>
      <c r="H5784" t="s">
        <v>3401</v>
      </c>
      <c r="I5784">
        <v>5405</v>
      </c>
      <c r="J5784" s="3">
        <v>20</v>
      </c>
      <c r="K5784" s="3">
        <v>9.69</v>
      </c>
      <c r="L5784">
        <v>51.55</v>
      </c>
    </row>
    <row r="5785" spans="1:12">
      <c r="A5785" s="1">
        <v>46045</v>
      </c>
      <c r="B5785" t="s">
        <v>6194</v>
      </c>
      <c r="C5785">
        <v>13</v>
      </c>
      <c r="D5785" t="str">
        <f>VLOOKUP(Tabela26[[#This Row],[EMP]],[1]LOJA!$A:$B,2,0)</f>
        <v>CEILÂNDIA</v>
      </c>
      <c r="E5785">
        <v>86</v>
      </c>
      <c r="F5785" t="s">
        <v>3406</v>
      </c>
      <c r="G5785" t="s">
        <v>3405</v>
      </c>
      <c r="H5785" t="s">
        <v>3408</v>
      </c>
      <c r="I5785">
        <v>5405</v>
      </c>
      <c r="J5785" s="3">
        <v>78</v>
      </c>
      <c r="K5785" s="3">
        <v>45.12</v>
      </c>
      <c r="L5785">
        <v>42.15</v>
      </c>
    </row>
    <row r="5786" spans="1:12">
      <c r="A5786" s="1">
        <v>46045</v>
      </c>
      <c r="B5786" t="s">
        <v>6193</v>
      </c>
      <c r="C5786">
        <v>13</v>
      </c>
      <c r="D5786" t="str">
        <f>VLOOKUP(Tabela26[[#This Row],[EMP]],[1]LOJA!$A:$B,2,0)</f>
        <v>CEILÂNDIA</v>
      </c>
      <c r="E5786">
        <v>86</v>
      </c>
      <c r="F5786" t="s">
        <v>3403</v>
      </c>
      <c r="G5786" t="s">
        <v>3402</v>
      </c>
      <c r="H5786" t="s">
        <v>3408</v>
      </c>
      <c r="I5786">
        <v>5102</v>
      </c>
      <c r="J5786" s="3">
        <v>45</v>
      </c>
      <c r="K5786" s="3">
        <v>30.8</v>
      </c>
      <c r="L5786">
        <v>31.56</v>
      </c>
    </row>
    <row r="5787" spans="1:12">
      <c r="A5787" s="1">
        <v>46045</v>
      </c>
      <c r="B5787" t="s">
        <v>6192</v>
      </c>
      <c r="C5787">
        <v>13</v>
      </c>
      <c r="D5787" t="str">
        <f>VLOOKUP(Tabela26[[#This Row],[EMP]],[1]LOJA!$A:$B,2,0)</f>
        <v>CEILÂNDIA</v>
      </c>
      <c r="E5787">
        <v>86</v>
      </c>
      <c r="F5787" t="s">
        <v>3403</v>
      </c>
      <c r="G5787" t="s">
        <v>3402</v>
      </c>
      <c r="H5787" t="s">
        <v>3408</v>
      </c>
      <c r="I5787">
        <v>5405</v>
      </c>
      <c r="J5787" s="3">
        <v>240</v>
      </c>
      <c r="K5787" s="3">
        <v>105.73</v>
      </c>
      <c r="L5787">
        <v>55.95</v>
      </c>
    </row>
    <row r="5788" spans="1:12">
      <c r="A5788" s="1">
        <v>46045</v>
      </c>
      <c r="B5788" t="s">
        <v>6191</v>
      </c>
      <c r="C5788">
        <v>13</v>
      </c>
      <c r="D5788" t="str">
        <f>VLOOKUP(Tabela26[[#This Row],[EMP]],[1]LOJA!$A:$B,2,0)</f>
        <v>CEILÂNDIA</v>
      </c>
      <c r="E5788">
        <v>86</v>
      </c>
      <c r="F5788" t="s">
        <v>3403</v>
      </c>
      <c r="G5788" t="s">
        <v>3402</v>
      </c>
      <c r="H5788" t="s">
        <v>3408</v>
      </c>
      <c r="I5788">
        <v>5102</v>
      </c>
      <c r="J5788" s="3">
        <v>45</v>
      </c>
      <c r="K5788" s="3">
        <v>30.8</v>
      </c>
      <c r="L5788">
        <v>31.56</v>
      </c>
    </row>
    <row r="5789" spans="1:12">
      <c r="A5789" s="1">
        <v>46045</v>
      </c>
      <c r="B5789" t="s">
        <v>6190</v>
      </c>
      <c r="C5789">
        <v>13</v>
      </c>
      <c r="D5789" t="str">
        <f>VLOOKUP(Tabela26[[#This Row],[EMP]],[1]LOJA!$A:$B,2,0)</f>
        <v>CEILÂNDIA</v>
      </c>
      <c r="E5789">
        <v>86</v>
      </c>
      <c r="F5789" t="s">
        <v>3403</v>
      </c>
      <c r="G5789" t="s">
        <v>3402</v>
      </c>
      <c r="H5789" t="s">
        <v>3401</v>
      </c>
      <c r="I5789">
        <v>5102</v>
      </c>
      <c r="J5789" s="3">
        <v>40</v>
      </c>
      <c r="K5789" s="3">
        <v>25.02</v>
      </c>
      <c r="L5789">
        <v>37.450000000000003</v>
      </c>
    </row>
    <row r="5790" spans="1:12">
      <c r="A5790" s="1">
        <v>46045</v>
      </c>
      <c r="B5790" t="s">
        <v>6189</v>
      </c>
      <c r="C5790">
        <v>13</v>
      </c>
      <c r="D5790" t="str">
        <f>VLOOKUP(Tabela26[[#This Row],[EMP]],[1]LOJA!$A:$B,2,0)</f>
        <v>CEILÂNDIA</v>
      </c>
      <c r="E5790">
        <v>86</v>
      </c>
      <c r="F5790" t="s">
        <v>3403</v>
      </c>
      <c r="G5790" t="s">
        <v>3402</v>
      </c>
      <c r="H5790" t="s">
        <v>3408</v>
      </c>
      <c r="I5790">
        <v>5405</v>
      </c>
      <c r="J5790" s="3">
        <v>125</v>
      </c>
      <c r="K5790" s="3">
        <v>73.33</v>
      </c>
      <c r="L5790">
        <v>41.34</v>
      </c>
    </row>
    <row r="5791" spans="1:12">
      <c r="A5791" s="1">
        <v>46045</v>
      </c>
      <c r="B5791" t="s">
        <v>6188</v>
      </c>
      <c r="C5791">
        <v>13</v>
      </c>
      <c r="D5791" t="str">
        <f>VLOOKUP(Tabela26[[#This Row],[EMP]],[1]LOJA!$A:$B,2,0)</f>
        <v>CEILÂNDIA</v>
      </c>
      <c r="E5791">
        <v>86</v>
      </c>
      <c r="F5791" t="s">
        <v>3403</v>
      </c>
      <c r="G5791" t="s">
        <v>3402</v>
      </c>
      <c r="H5791" t="s">
        <v>3401</v>
      </c>
      <c r="I5791">
        <v>5102</v>
      </c>
      <c r="J5791" s="3">
        <v>200</v>
      </c>
      <c r="K5791" s="3">
        <v>99.55</v>
      </c>
      <c r="L5791">
        <v>50.23</v>
      </c>
    </row>
    <row r="5792" spans="1:12">
      <c r="A5792" s="1">
        <v>46045</v>
      </c>
      <c r="B5792" t="s">
        <v>6187</v>
      </c>
      <c r="C5792">
        <v>13</v>
      </c>
      <c r="D5792" t="str">
        <f>VLOOKUP(Tabela26[[#This Row],[EMP]],[1]LOJA!$A:$B,2,0)</f>
        <v>CEILÂNDIA</v>
      </c>
      <c r="E5792">
        <v>86</v>
      </c>
      <c r="F5792" t="s">
        <v>6186</v>
      </c>
      <c r="G5792" t="s">
        <v>3402</v>
      </c>
      <c r="H5792" t="s">
        <v>3408</v>
      </c>
      <c r="I5792">
        <v>5102</v>
      </c>
      <c r="J5792" s="3">
        <v>17</v>
      </c>
      <c r="K5792" s="3">
        <v>8.32</v>
      </c>
      <c r="L5792">
        <v>51.06</v>
      </c>
    </row>
    <row r="5793" spans="1:12">
      <c r="A5793" s="1">
        <v>46045</v>
      </c>
      <c r="B5793" t="s">
        <v>6185</v>
      </c>
      <c r="C5793">
        <v>13</v>
      </c>
      <c r="D5793" t="str">
        <f>VLOOKUP(Tabela26[[#This Row],[EMP]],[1]LOJA!$A:$B,2,0)</f>
        <v>CEILÂNDIA</v>
      </c>
      <c r="E5793">
        <v>86</v>
      </c>
      <c r="F5793" t="s">
        <v>3622</v>
      </c>
      <c r="G5793" t="s">
        <v>3402</v>
      </c>
      <c r="H5793" t="s">
        <v>3408</v>
      </c>
      <c r="I5793">
        <v>5405</v>
      </c>
      <c r="J5793" s="3">
        <v>60</v>
      </c>
      <c r="K5793" s="3">
        <v>26.13</v>
      </c>
      <c r="L5793">
        <v>56.45</v>
      </c>
    </row>
    <row r="5794" spans="1:12">
      <c r="A5794" s="1">
        <v>46045</v>
      </c>
      <c r="B5794" t="s">
        <v>6184</v>
      </c>
      <c r="C5794">
        <v>13</v>
      </c>
      <c r="D5794" t="str">
        <f>VLOOKUP(Tabela26[[#This Row],[EMP]],[1]LOJA!$A:$B,2,0)</f>
        <v>CEILÂNDIA</v>
      </c>
      <c r="E5794">
        <v>86</v>
      </c>
      <c r="F5794" t="s">
        <v>3403</v>
      </c>
      <c r="G5794" t="s">
        <v>3402</v>
      </c>
      <c r="H5794" t="s">
        <v>3401</v>
      </c>
      <c r="I5794">
        <v>5102</v>
      </c>
      <c r="J5794" s="3">
        <v>44</v>
      </c>
      <c r="K5794" s="3">
        <v>24.29</v>
      </c>
      <c r="L5794">
        <v>44.8</v>
      </c>
    </row>
    <row r="5795" spans="1:12">
      <c r="A5795" s="1">
        <v>46045</v>
      </c>
      <c r="B5795" t="s">
        <v>6183</v>
      </c>
      <c r="C5795">
        <v>13</v>
      </c>
      <c r="D5795" t="str">
        <f>VLOOKUP(Tabela26[[#This Row],[EMP]],[1]LOJA!$A:$B,2,0)</f>
        <v>CEILÂNDIA</v>
      </c>
      <c r="E5795">
        <v>86</v>
      </c>
      <c r="F5795" t="s">
        <v>4091</v>
      </c>
      <c r="G5795" t="s">
        <v>4090</v>
      </c>
      <c r="H5795" t="s">
        <v>3426</v>
      </c>
      <c r="I5795">
        <v>5405</v>
      </c>
      <c r="J5795" s="3">
        <v>126</v>
      </c>
      <c r="K5795" s="3">
        <v>58.6</v>
      </c>
      <c r="L5795">
        <v>53.49</v>
      </c>
    </row>
    <row r="5796" spans="1:12">
      <c r="A5796" s="1">
        <v>46045</v>
      </c>
      <c r="B5796" t="s">
        <v>6182</v>
      </c>
      <c r="C5796">
        <v>13</v>
      </c>
      <c r="D5796" t="str">
        <f>VLOOKUP(Tabela26[[#This Row],[EMP]],[1]LOJA!$A:$B,2,0)</f>
        <v>CEILÂNDIA</v>
      </c>
      <c r="E5796">
        <v>86</v>
      </c>
      <c r="F5796" t="s">
        <v>3403</v>
      </c>
      <c r="G5796" t="s">
        <v>3402</v>
      </c>
      <c r="H5796" t="s">
        <v>3401</v>
      </c>
      <c r="I5796">
        <v>5102</v>
      </c>
      <c r="J5796" s="3">
        <v>5</v>
      </c>
      <c r="K5796" s="3">
        <v>2.67</v>
      </c>
      <c r="L5796">
        <v>46.6</v>
      </c>
    </row>
    <row r="5797" spans="1:12">
      <c r="A5797" s="1">
        <v>46045</v>
      </c>
      <c r="B5797" t="s">
        <v>6181</v>
      </c>
      <c r="C5797">
        <v>13</v>
      </c>
      <c r="D5797" t="str">
        <f>VLOOKUP(Tabela26[[#This Row],[EMP]],[1]LOJA!$A:$B,2,0)</f>
        <v>CEILÂNDIA</v>
      </c>
      <c r="E5797">
        <v>86</v>
      </c>
      <c r="F5797" t="s">
        <v>3403</v>
      </c>
      <c r="G5797" t="s">
        <v>3402</v>
      </c>
      <c r="H5797" t="s">
        <v>3401</v>
      </c>
      <c r="I5797">
        <v>5102</v>
      </c>
      <c r="J5797" s="3">
        <v>30</v>
      </c>
      <c r="K5797" s="3">
        <v>18.62</v>
      </c>
      <c r="L5797">
        <v>37.93</v>
      </c>
    </row>
    <row r="5798" spans="1:12">
      <c r="A5798" s="1">
        <v>46045</v>
      </c>
      <c r="B5798" t="s">
        <v>6180</v>
      </c>
      <c r="C5798">
        <v>13</v>
      </c>
      <c r="D5798" t="str">
        <f>VLOOKUP(Tabela26[[#This Row],[EMP]],[1]LOJA!$A:$B,2,0)</f>
        <v>CEILÂNDIA</v>
      </c>
      <c r="E5798">
        <v>86</v>
      </c>
      <c r="F5798" t="s">
        <v>3403</v>
      </c>
      <c r="G5798" t="s">
        <v>3402</v>
      </c>
      <c r="H5798" t="s">
        <v>3408</v>
      </c>
      <c r="I5798">
        <v>5405</v>
      </c>
      <c r="J5798" s="3">
        <v>180</v>
      </c>
      <c r="K5798" s="3">
        <v>86.04</v>
      </c>
      <c r="L5798">
        <v>52.2</v>
      </c>
    </row>
    <row r="5799" spans="1:12">
      <c r="A5799" s="1">
        <v>46045</v>
      </c>
      <c r="B5799" t="s">
        <v>6179</v>
      </c>
      <c r="C5799">
        <v>13</v>
      </c>
      <c r="D5799" t="str">
        <f>VLOOKUP(Tabela26[[#This Row],[EMP]],[1]LOJA!$A:$B,2,0)</f>
        <v>CEILÂNDIA</v>
      </c>
      <c r="E5799">
        <v>86</v>
      </c>
      <c r="F5799" t="s">
        <v>4091</v>
      </c>
      <c r="G5799" t="s">
        <v>4090</v>
      </c>
      <c r="H5799" t="s">
        <v>3426</v>
      </c>
      <c r="I5799">
        <v>5405</v>
      </c>
      <c r="J5799" s="3">
        <v>75</v>
      </c>
      <c r="K5799" s="3">
        <v>39.11</v>
      </c>
      <c r="L5799">
        <v>47.85</v>
      </c>
    </row>
    <row r="5800" spans="1:12">
      <c r="A5800" s="1">
        <v>46045</v>
      </c>
      <c r="B5800" t="s">
        <v>6178</v>
      </c>
      <c r="C5800">
        <v>6</v>
      </c>
      <c r="D5800" t="str">
        <f>VLOOKUP(Tabela26[[#This Row],[EMP]],[1]LOJA!$A:$B,2,0)</f>
        <v>GAMA</v>
      </c>
      <c r="E5800">
        <v>245</v>
      </c>
      <c r="F5800" t="s">
        <v>6177</v>
      </c>
      <c r="G5800" t="s">
        <v>6176</v>
      </c>
      <c r="H5800" t="s">
        <v>3408</v>
      </c>
      <c r="I5800">
        <v>5102</v>
      </c>
      <c r="J5800" s="3">
        <v>579.29999999999995</v>
      </c>
      <c r="K5800" s="3">
        <v>322.04000000000002</v>
      </c>
      <c r="L5800">
        <v>44.41</v>
      </c>
    </row>
    <row r="5801" spans="1:12">
      <c r="A5801" s="1">
        <v>46045</v>
      </c>
      <c r="B5801" t="s">
        <v>6175</v>
      </c>
      <c r="C5801">
        <v>6</v>
      </c>
      <c r="D5801" t="str">
        <f>VLOOKUP(Tabela26[[#This Row],[EMP]],[1]LOJA!$A:$B,2,0)</f>
        <v>GAMA</v>
      </c>
      <c r="E5801">
        <v>226</v>
      </c>
      <c r="F5801" t="s">
        <v>3399</v>
      </c>
      <c r="G5801" t="s">
        <v>3398</v>
      </c>
      <c r="H5801" t="s">
        <v>3401</v>
      </c>
      <c r="I5801">
        <v>5405</v>
      </c>
      <c r="J5801" s="3">
        <v>131.25</v>
      </c>
      <c r="K5801" s="3">
        <v>62.35</v>
      </c>
      <c r="L5801">
        <v>52.5</v>
      </c>
    </row>
    <row r="5802" spans="1:12">
      <c r="A5802" s="1">
        <v>46045</v>
      </c>
      <c r="B5802" t="s">
        <v>6174</v>
      </c>
      <c r="C5802">
        <v>6</v>
      </c>
      <c r="D5802" t="str">
        <f>VLOOKUP(Tabela26[[#This Row],[EMP]],[1]LOJA!$A:$B,2,0)</f>
        <v>GAMA</v>
      </c>
      <c r="E5802">
        <v>245</v>
      </c>
      <c r="F5802" t="s">
        <v>3580</v>
      </c>
      <c r="G5802" t="s">
        <v>3579</v>
      </c>
      <c r="H5802" t="s">
        <v>3408</v>
      </c>
      <c r="I5802">
        <v>5405</v>
      </c>
      <c r="J5802" s="3">
        <v>185.9</v>
      </c>
      <c r="K5802" s="3">
        <v>86.9</v>
      </c>
      <c r="L5802">
        <v>53.25</v>
      </c>
    </row>
    <row r="5803" spans="1:12">
      <c r="A5803" s="1">
        <v>46045</v>
      </c>
      <c r="B5803" t="s">
        <v>6173</v>
      </c>
      <c r="C5803">
        <v>6</v>
      </c>
      <c r="D5803" t="str">
        <f>VLOOKUP(Tabela26[[#This Row],[EMP]],[1]LOJA!$A:$B,2,0)</f>
        <v>GAMA</v>
      </c>
      <c r="E5803">
        <v>226</v>
      </c>
      <c r="F5803" t="s">
        <v>3576</v>
      </c>
      <c r="G5803" t="s">
        <v>3402</v>
      </c>
      <c r="H5803" t="s">
        <v>3401</v>
      </c>
      <c r="I5803">
        <v>5405</v>
      </c>
      <c r="J5803" s="3">
        <v>119</v>
      </c>
      <c r="K5803" s="3">
        <v>58.67</v>
      </c>
      <c r="L5803">
        <v>50.7</v>
      </c>
    </row>
    <row r="5804" spans="1:12">
      <c r="A5804" s="1">
        <v>46045</v>
      </c>
      <c r="B5804" t="s">
        <v>6172</v>
      </c>
      <c r="C5804">
        <v>6</v>
      </c>
      <c r="D5804" t="str">
        <f>VLOOKUP(Tabela26[[#This Row],[EMP]],[1]LOJA!$A:$B,2,0)</f>
        <v>GAMA</v>
      </c>
      <c r="E5804">
        <v>245</v>
      </c>
      <c r="F5804" t="s">
        <v>6171</v>
      </c>
      <c r="G5804" t="s">
        <v>3402</v>
      </c>
      <c r="H5804" t="s">
        <v>3401</v>
      </c>
      <c r="I5804">
        <v>5405</v>
      </c>
      <c r="J5804" s="3">
        <v>79.02</v>
      </c>
      <c r="K5804" s="3">
        <v>39.69</v>
      </c>
      <c r="L5804">
        <v>49.77</v>
      </c>
    </row>
    <row r="5805" spans="1:12">
      <c r="A5805" s="1">
        <v>46046</v>
      </c>
      <c r="B5805" t="s">
        <v>6170</v>
      </c>
      <c r="C5805">
        <v>24</v>
      </c>
      <c r="D5805" t="str">
        <f>VLOOKUP(Tabela26[[#This Row],[EMP]],[1]LOJA!$A:$B,2,0)</f>
        <v>LUZIÂNIA</v>
      </c>
      <c r="E5805">
        <v>192</v>
      </c>
      <c r="F5805" t="s">
        <v>4286</v>
      </c>
      <c r="G5805" t="s">
        <v>4285</v>
      </c>
      <c r="H5805" t="s">
        <v>3430</v>
      </c>
      <c r="I5805">
        <v>5405</v>
      </c>
      <c r="J5805" s="3">
        <v>108</v>
      </c>
      <c r="K5805" s="3">
        <v>26.84</v>
      </c>
      <c r="L5805">
        <v>75.150000000000006</v>
      </c>
    </row>
    <row r="5806" spans="1:12">
      <c r="A5806" s="1">
        <v>46046</v>
      </c>
      <c r="B5806" t="s">
        <v>6169</v>
      </c>
      <c r="C5806">
        <v>24</v>
      </c>
      <c r="D5806" t="str">
        <f>VLOOKUP(Tabela26[[#This Row],[EMP]],[1]LOJA!$A:$B,2,0)</f>
        <v>LUZIÂNIA</v>
      </c>
      <c r="E5806">
        <v>192</v>
      </c>
      <c r="F5806" t="s">
        <v>4270</v>
      </c>
      <c r="G5806" t="s">
        <v>4269</v>
      </c>
      <c r="H5806" t="s">
        <v>3430</v>
      </c>
      <c r="I5806">
        <v>5405</v>
      </c>
      <c r="J5806" s="3">
        <v>248</v>
      </c>
      <c r="K5806" s="3">
        <v>122.52</v>
      </c>
      <c r="L5806">
        <v>50.6</v>
      </c>
    </row>
    <row r="5807" spans="1:12">
      <c r="A5807" s="1">
        <v>46046</v>
      </c>
      <c r="B5807" t="s">
        <v>6168</v>
      </c>
      <c r="C5807">
        <v>22</v>
      </c>
      <c r="D5807" t="str">
        <f>VLOOKUP(Tabela26[[#This Row],[EMP]],[1]LOJA!$A:$B,2,0)</f>
        <v>GUARÁ</v>
      </c>
      <c r="E5807">
        <v>93</v>
      </c>
      <c r="F5807" t="s">
        <v>3535</v>
      </c>
      <c r="G5807" t="s">
        <v>3534</v>
      </c>
      <c r="H5807" t="s">
        <v>4142</v>
      </c>
      <c r="I5807">
        <v>5405</v>
      </c>
      <c r="J5807" s="3">
        <v>303.82</v>
      </c>
      <c r="K5807" s="3">
        <v>161.87</v>
      </c>
      <c r="L5807">
        <v>46.72</v>
      </c>
    </row>
    <row r="5808" spans="1:12">
      <c r="A5808" s="1">
        <v>46046</v>
      </c>
      <c r="B5808" t="s">
        <v>6167</v>
      </c>
      <c r="C5808">
        <v>22</v>
      </c>
      <c r="D5808" t="str">
        <f>VLOOKUP(Tabela26[[#This Row],[EMP]],[1]LOJA!$A:$B,2,0)</f>
        <v>GUARÁ</v>
      </c>
      <c r="E5808">
        <v>16</v>
      </c>
      <c r="F5808" t="s">
        <v>4917</v>
      </c>
      <c r="G5808" t="s">
        <v>4916</v>
      </c>
      <c r="H5808" t="s">
        <v>3430</v>
      </c>
      <c r="I5808">
        <v>5405</v>
      </c>
      <c r="J5808" s="3">
        <v>189.4</v>
      </c>
      <c r="K5808" s="3">
        <v>86.96</v>
      </c>
      <c r="L5808">
        <v>54.09</v>
      </c>
    </row>
    <row r="5809" spans="1:12">
      <c r="A5809" s="1">
        <v>46046</v>
      </c>
      <c r="B5809" t="s">
        <v>6166</v>
      </c>
      <c r="C5809">
        <v>24</v>
      </c>
      <c r="D5809" t="str">
        <f>VLOOKUP(Tabela26[[#This Row],[EMP]],[1]LOJA!$A:$B,2,0)</f>
        <v>LUZIÂNIA</v>
      </c>
      <c r="E5809">
        <v>192</v>
      </c>
      <c r="F5809" t="s">
        <v>5957</v>
      </c>
      <c r="G5809" t="s">
        <v>3402</v>
      </c>
      <c r="H5809" t="s">
        <v>3401</v>
      </c>
      <c r="I5809">
        <v>5102</v>
      </c>
      <c r="J5809" s="3">
        <v>40</v>
      </c>
      <c r="K5809" s="3">
        <v>21.5</v>
      </c>
      <c r="L5809">
        <v>46.25</v>
      </c>
    </row>
    <row r="5810" spans="1:12">
      <c r="A5810" s="1">
        <v>46046</v>
      </c>
      <c r="B5810" t="s">
        <v>6165</v>
      </c>
      <c r="C5810">
        <v>24</v>
      </c>
      <c r="D5810" t="str">
        <f>VLOOKUP(Tabela26[[#This Row],[EMP]],[1]LOJA!$A:$B,2,0)</f>
        <v>LUZIÂNIA</v>
      </c>
      <c r="E5810">
        <v>242</v>
      </c>
      <c r="F5810" t="s">
        <v>3524</v>
      </c>
      <c r="G5810" t="s">
        <v>3402</v>
      </c>
      <c r="H5810" t="s">
        <v>3401</v>
      </c>
      <c r="I5810">
        <v>5102</v>
      </c>
      <c r="J5810" s="3">
        <v>198</v>
      </c>
      <c r="K5810" s="3">
        <v>98.46</v>
      </c>
      <c r="L5810">
        <v>50.27</v>
      </c>
    </row>
    <row r="5811" spans="1:12">
      <c r="A5811" s="1">
        <v>46046</v>
      </c>
      <c r="B5811" t="s">
        <v>6164</v>
      </c>
      <c r="C5811">
        <v>24</v>
      </c>
      <c r="D5811" t="str">
        <f>VLOOKUP(Tabela26[[#This Row],[EMP]],[1]LOJA!$A:$B,2,0)</f>
        <v>LUZIÂNIA</v>
      </c>
      <c r="E5811">
        <v>192</v>
      </c>
      <c r="F5811" t="s">
        <v>6163</v>
      </c>
      <c r="G5811" t="s">
        <v>6162</v>
      </c>
      <c r="H5811" t="s">
        <v>3401</v>
      </c>
      <c r="I5811">
        <v>5102</v>
      </c>
      <c r="J5811" s="3">
        <v>117.5</v>
      </c>
      <c r="K5811" s="3">
        <v>61.51</v>
      </c>
      <c r="L5811">
        <v>47.65</v>
      </c>
    </row>
    <row r="5812" spans="1:12">
      <c r="A5812" s="1">
        <v>46046</v>
      </c>
      <c r="B5812" t="s">
        <v>6161</v>
      </c>
      <c r="C5812">
        <v>24</v>
      </c>
      <c r="D5812" t="str">
        <f>VLOOKUP(Tabela26[[#This Row],[EMP]],[1]LOJA!$A:$B,2,0)</f>
        <v>LUZIÂNIA</v>
      </c>
      <c r="E5812">
        <v>192</v>
      </c>
      <c r="F5812" t="s">
        <v>6159</v>
      </c>
      <c r="G5812" t="s">
        <v>4181</v>
      </c>
      <c r="H5812" t="s">
        <v>3401</v>
      </c>
      <c r="I5812">
        <v>5405</v>
      </c>
      <c r="J5812" s="3">
        <v>203</v>
      </c>
      <c r="K5812" s="3">
        <v>100.9</v>
      </c>
      <c r="L5812">
        <v>50.3</v>
      </c>
    </row>
    <row r="5813" spans="1:12">
      <c r="A5813" s="1">
        <v>46046</v>
      </c>
      <c r="B5813" t="s">
        <v>6160</v>
      </c>
      <c r="C5813">
        <v>24</v>
      </c>
      <c r="D5813" t="str">
        <f>VLOOKUP(Tabela26[[#This Row],[EMP]],[1]LOJA!$A:$B,2,0)</f>
        <v>LUZIÂNIA</v>
      </c>
      <c r="E5813">
        <v>150</v>
      </c>
      <c r="F5813" t="s">
        <v>6159</v>
      </c>
      <c r="G5813" t="s">
        <v>4181</v>
      </c>
      <c r="H5813" t="s">
        <v>3401</v>
      </c>
      <c r="I5813">
        <v>5405</v>
      </c>
      <c r="J5813" s="3">
        <v>35</v>
      </c>
      <c r="K5813" s="3">
        <v>17.2</v>
      </c>
      <c r="L5813">
        <v>50.86</v>
      </c>
    </row>
    <row r="5814" spans="1:12">
      <c r="A5814" s="1">
        <v>46046</v>
      </c>
      <c r="B5814" t="s">
        <v>6158</v>
      </c>
      <c r="C5814">
        <v>24</v>
      </c>
      <c r="D5814" t="str">
        <f>VLOOKUP(Tabela26[[#This Row],[EMP]],[1]LOJA!$A:$B,2,0)</f>
        <v>LUZIÂNIA</v>
      </c>
      <c r="E5814">
        <v>192</v>
      </c>
      <c r="F5814" t="s">
        <v>3524</v>
      </c>
      <c r="G5814" t="s">
        <v>3402</v>
      </c>
      <c r="H5814" t="s">
        <v>3401</v>
      </c>
      <c r="I5814">
        <v>5102</v>
      </c>
      <c r="J5814" s="3">
        <v>130</v>
      </c>
      <c r="K5814" s="3">
        <v>66.069999999999993</v>
      </c>
      <c r="L5814">
        <v>49.18</v>
      </c>
    </row>
    <row r="5815" spans="1:12">
      <c r="A5815" s="1">
        <v>46046</v>
      </c>
      <c r="B5815" t="s">
        <v>6157</v>
      </c>
      <c r="C5815">
        <v>24</v>
      </c>
      <c r="D5815" t="str">
        <f>VLOOKUP(Tabela26[[#This Row],[EMP]],[1]LOJA!$A:$B,2,0)</f>
        <v>LUZIÂNIA</v>
      </c>
      <c r="E5815">
        <v>192</v>
      </c>
      <c r="F5815" t="s">
        <v>3524</v>
      </c>
      <c r="G5815" t="s">
        <v>3402</v>
      </c>
      <c r="H5815" t="s">
        <v>3401</v>
      </c>
      <c r="I5815">
        <v>5102</v>
      </c>
      <c r="J5815" s="3">
        <v>22</v>
      </c>
      <c r="K5815" s="3">
        <v>10.56</v>
      </c>
      <c r="L5815">
        <v>52</v>
      </c>
    </row>
    <row r="5816" spans="1:12">
      <c r="A5816" s="1">
        <v>46046</v>
      </c>
      <c r="B5816" t="s">
        <v>6156</v>
      </c>
      <c r="C5816">
        <v>24</v>
      </c>
      <c r="D5816" t="str">
        <f>VLOOKUP(Tabela26[[#This Row],[EMP]],[1]LOJA!$A:$B,2,0)</f>
        <v>LUZIÂNIA</v>
      </c>
      <c r="E5816">
        <v>192</v>
      </c>
      <c r="F5816" t="s">
        <v>3524</v>
      </c>
      <c r="G5816" t="s">
        <v>3402</v>
      </c>
      <c r="H5816" t="s">
        <v>3401</v>
      </c>
      <c r="I5816">
        <v>5102</v>
      </c>
      <c r="J5816" s="3">
        <v>30</v>
      </c>
      <c r="K5816" s="3">
        <v>16.670000000000002</v>
      </c>
      <c r="L5816">
        <v>44.43</v>
      </c>
    </row>
    <row r="5817" spans="1:12">
      <c r="A5817" s="1">
        <v>46046</v>
      </c>
      <c r="B5817" t="s">
        <v>6155</v>
      </c>
      <c r="C5817">
        <v>24</v>
      </c>
      <c r="D5817" t="str">
        <f>VLOOKUP(Tabela26[[#This Row],[EMP]],[1]LOJA!$A:$B,2,0)</f>
        <v>LUZIÂNIA</v>
      </c>
      <c r="E5817">
        <v>192</v>
      </c>
      <c r="F5817" t="s">
        <v>3524</v>
      </c>
      <c r="G5817" t="s">
        <v>3402</v>
      </c>
      <c r="H5817" t="s">
        <v>3401</v>
      </c>
      <c r="I5817">
        <v>5405</v>
      </c>
      <c r="J5817" s="3">
        <v>43</v>
      </c>
      <c r="K5817" s="3">
        <v>21.89</v>
      </c>
      <c r="L5817">
        <v>49.09</v>
      </c>
    </row>
    <row r="5818" spans="1:12">
      <c r="A5818" s="1">
        <v>46046</v>
      </c>
      <c r="B5818" t="s">
        <v>6154</v>
      </c>
      <c r="C5818">
        <v>24</v>
      </c>
      <c r="D5818" t="str">
        <f>VLOOKUP(Tabela26[[#This Row],[EMP]],[1]LOJA!$A:$B,2,0)</f>
        <v>LUZIÂNIA</v>
      </c>
      <c r="E5818">
        <v>192</v>
      </c>
      <c r="F5818" t="s">
        <v>3524</v>
      </c>
      <c r="G5818" t="s">
        <v>3402</v>
      </c>
      <c r="H5818" t="s">
        <v>3401</v>
      </c>
      <c r="I5818">
        <v>5102</v>
      </c>
      <c r="J5818" s="3">
        <v>55</v>
      </c>
      <c r="K5818" s="3">
        <v>23.58</v>
      </c>
      <c r="L5818">
        <v>57.13</v>
      </c>
    </row>
    <row r="5819" spans="1:12">
      <c r="A5819" s="1">
        <v>46046</v>
      </c>
      <c r="B5819" t="s">
        <v>6153</v>
      </c>
      <c r="C5819">
        <v>24</v>
      </c>
      <c r="D5819" t="str">
        <f>VLOOKUP(Tabela26[[#This Row],[EMP]],[1]LOJA!$A:$B,2,0)</f>
        <v>LUZIÂNIA</v>
      </c>
      <c r="E5819">
        <v>192</v>
      </c>
      <c r="F5819" t="s">
        <v>3524</v>
      </c>
      <c r="G5819" t="s">
        <v>3402</v>
      </c>
      <c r="H5819" t="s">
        <v>3401</v>
      </c>
      <c r="I5819">
        <v>5102</v>
      </c>
      <c r="J5819" s="3">
        <v>33</v>
      </c>
      <c r="K5819" s="3">
        <v>18.78</v>
      </c>
      <c r="L5819">
        <v>43.09</v>
      </c>
    </row>
    <row r="5820" spans="1:12">
      <c r="A5820" s="1">
        <v>46046</v>
      </c>
      <c r="B5820" t="s">
        <v>6152</v>
      </c>
      <c r="C5820">
        <v>24</v>
      </c>
      <c r="D5820" t="str">
        <f>VLOOKUP(Tabela26[[#This Row],[EMP]],[1]LOJA!$A:$B,2,0)</f>
        <v>LUZIÂNIA</v>
      </c>
      <c r="E5820">
        <v>192</v>
      </c>
      <c r="F5820" t="s">
        <v>3524</v>
      </c>
      <c r="G5820" t="s">
        <v>3402</v>
      </c>
      <c r="H5820" t="s">
        <v>3401</v>
      </c>
      <c r="I5820">
        <v>5405</v>
      </c>
      <c r="J5820" s="3">
        <v>200</v>
      </c>
      <c r="K5820" s="3">
        <v>97.41</v>
      </c>
      <c r="L5820">
        <v>51.3</v>
      </c>
    </row>
    <row r="5821" spans="1:12">
      <c r="A5821" s="1">
        <v>46046</v>
      </c>
      <c r="B5821" t="s">
        <v>6151</v>
      </c>
      <c r="C5821">
        <v>24</v>
      </c>
      <c r="D5821" t="str">
        <f>VLOOKUP(Tabela26[[#This Row],[EMP]],[1]LOJA!$A:$B,2,0)</f>
        <v>LUZIÂNIA</v>
      </c>
      <c r="E5821">
        <v>242</v>
      </c>
      <c r="F5821" t="s">
        <v>3524</v>
      </c>
      <c r="G5821" t="s">
        <v>3402</v>
      </c>
      <c r="H5821" t="s">
        <v>3401</v>
      </c>
      <c r="I5821">
        <v>5102</v>
      </c>
      <c r="J5821" s="3">
        <v>58</v>
      </c>
      <c r="K5821" s="3">
        <v>26.43</v>
      </c>
      <c r="L5821">
        <v>54.43</v>
      </c>
    </row>
    <row r="5822" spans="1:12">
      <c r="A5822" s="1">
        <v>46046</v>
      </c>
      <c r="B5822" t="s">
        <v>6150</v>
      </c>
      <c r="C5822">
        <v>24</v>
      </c>
      <c r="D5822" t="str">
        <f>VLOOKUP(Tabela26[[#This Row],[EMP]],[1]LOJA!$A:$B,2,0)</f>
        <v>LUZIÂNIA</v>
      </c>
      <c r="E5822">
        <v>242</v>
      </c>
      <c r="F5822" t="s">
        <v>3524</v>
      </c>
      <c r="G5822" t="s">
        <v>3402</v>
      </c>
      <c r="H5822" t="s">
        <v>3401</v>
      </c>
      <c r="I5822">
        <v>5405</v>
      </c>
      <c r="J5822" s="3">
        <v>300</v>
      </c>
      <c r="K5822" s="3">
        <v>130.49</v>
      </c>
      <c r="L5822">
        <v>56.5</v>
      </c>
    </row>
    <row r="5823" spans="1:12">
      <c r="A5823" s="1">
        <v>46046</v>
      </c>
      <c r="B5823" t="s">
        <v>6149</v>
      </c>
      <c r="C5823">
        <v>24</v>
      </c>
      <c r="D5823" t="str">
        <f>VLOOKUP(Tabela26[[#This Row],[EMP]],[1]LOJA!$A:$B,2,0)</f>
        <v>LUZIÂNIA</v>
      </c>
      <c r="E5823">
        <v>150</v>
      </c>
      <c r="F5823" t="s">
        <v>3524</v>
      </c>
      <c r="G5823" t="s">
        <v>3402</v>
      </c>
      <c r="H5823" t="s">
        <v>3401</v>
      </c>
      <c r="I5823">
        <v>5102</v>
      </c>
      <c r="J5823" s="3">
        <v>68</v>
      </c>
      <c r="K5823" s="3">
        <v>41.78</v>
      </c>
      <c r="L5823">
        <v>38.56</v>
      </c>
    </row>
    <row r="5824" spans="1:12">
      <c r="A5824" s="1">
        <v>46046</v>
      </c>
      <c r="B5824" t="s">
        <v>6148</v>
      </c>
      <c r="C5824">
        <v>24</v>
      </c>
      <c r="D5824" t="str">
        <f>VLOOKUP(Tabela26[[#This Row],[EMP]],[1]LOJA!$A:$B,2,0)</f>
        <v>LUZIÂNIA</v>
      </c>
      <c r="E5824">
        <v>150</v>
      </c>
      <c r="F5824" t="s">
        <v>4898</v>
      </c>
      <c r="G5824" t="s">
        <v>4897</v>
      </c>
      <c r="H5824" t="s">
        <v>3401</v>
      </c>
      <c r="I5824">
        <v>5405</v>
      </c>
      <c r="J5824" s="3">
        <v>349.85</v>
      </c>
      <c r="K5824" s="3">
        <v>195.08</v>
      </c>
      <c r="L5824">
        <v>44.24</v>
      </c>
    </row>
    <row r="5825" spans="1:12">
      <c r="A5825" s="1">
        <v>46046</v>
      </c>
      <c r="B5825" t="s">
        <v>6147</v>
      </c>
      <c r="C5825">
        <v>24</v>
      </c>
      <c r="D5825" t="str">
        <f>VLOOKUP(Tabela26[[#This Row],[EMP]],[1]LOJA!$A:$B,2,0)</f>
        <v>LUZIÂNIA</v>
      </c>
      <c r="E5825">
        <v>242</v>
      </c>
      <c r="F5825" t="s">
        <v>3524</v>
      </c>
      <c r="G5825" t="s">
        <v>3402</v>
      </c>
      <c r="H5825" t="s">
        <v>3401</v>
      </c>
      <c r="I5825">
        <v>5102</v>
      </c>
      <c r="J5825" s="3">
        <v>1000</v>
      </c>
      <c r="K5825" s="3">
        <v>516.59</v>
      </c>
      <c r="L5825">
        <v>48.34</v>
      </c>
    </row>
    <row r="5826" spans="1:12">
      <c r="A5826" s="1">
        <v>46046</v>
      </c>
      <c r="B5826" t="s">
        <v>6146</v>
      </c>
      <c r="C5826">
        <v>13</v>
      </c>
      <c r="D5826" t="str">
        <f>VLOOKUP(Tabela26[[#This Row],[EMP]],[1]LOJA!$A:$B,2,0)</f>
        <v>CEILÂNDIA</v>
      </c>
      <c r="E5826">
        <v>33</v>
      </c>
      <c r="F5826" t="s">
        <v>5873</v>
      </c>
      <c r="G5826" t="s">
        <v>5872</v>
      </c>
      <c r="H5826" t="s">
        <v>3408</v>
      </c>
      <c r="I5826">
        <v>5102</v>
      </c>
      <c r="J5826" s="3">
        <v>104.5</v>
      </c>
      <c r="K5826" s="3">
        <v>50.51</v>
      </c>
      <c r="L5826">
        <v>51.67</v>
      </c>
    </row>
    <row r="5827" spans="1:12">
      <c r="A5827" s="1">
        <v>46046</v>
      </c>
      <c r="B5827" t="s">
        <v>6145</v>
      </c>
      <c r="C5827">
        <v>13</v>
      </c>
      <c r="D5827" t="str">
        <f>VLOOKUP(Tabela26[[#This Row],[EMP]],[1]LOJA!$A:$B,2,0)</f>
        <v>CEILÂNDIA</v>
      </c>
      <c r="E5827">
        <v>33</v>
      </c>
      <c r="F5827" t="s">
        <v>3505</v>
      </c>
      <c r="G5827" t="s">
        <v>3504</v>
      </c>
      <c r="H5827" t="s">
        <v>3430</v>
      </c>
      <c r="I5827">
        <v>5102</v>
      </c>
      <c r="J5827" s="3">
        <v>2890</v>
      </c>
      <c r="K5827" s="3">
        <v>1719</v>
      </c>
      <c r="L5827">
        <v>40.520000000000003</v>
      </c>
    </row>
    <row r="5828" spans="1:12">
      <c r="A5828" s="1">
        <v>46046</v>
      </c>
      <c r="B5828" t="s">
        <v>6144</v>
      </c>
      <c r="C5828">
        <v>13</v>
      </c>
      <c r="D5828" t="str">
        <f>VLOOKUP(Tabela26[[#This Row],[EMP]],[1]LOJA!$A:$B,2,0)</f>
        <v>CEILÂNDIA</v>
      </c>
      <c r="E5828">
        <v>33</v>
      </c>
      <c r="F5828" t="s">
        <v>3505</v>
      </c>
      <c r="G5828" t="s">
        <v>3504</v>
      </c>
      <c r="H5828" t="s">
        <v>3401</v>
      </c>
      <c r="I5828">
        <v>5910</v>
      </c>
      <c r="J5828" s="3">
        <v>0</v>
      </c>
      <c r="K5828" s="3">
        <v>893.88</v>
      </c>
      <c r="L5828">
        <v>0</v>
      </c>
    </row>
    <row r="5829" spans="1:12">
      <c r="A5829" s="1">
        <v>46046</v>
      </c>
      <c r="B5829" t="s">
        <v>6143</v>
      </c>
      <c r="C5829">
        <v>13</v>
      </c>
      <c r="D5829" t="str">
        <f>VLOOKUP(Tabela26[[#This Row],[EMP]],[1]LOJA!$A:$B,2,0)</f>
        <v>CEILÂNDIA</v>
      </c>
      <c r="E5829">
        <v>86</v>
      </c>
      <c r="F5829" t="s">
        <v>4091</v>
      </c>
      <c r="G5829" t="s">
        <v>4090</v>
      </c>
      <c r="H5829" t="s">
        <v>6012</v>
      </c>
      <c r="I5829">
        <v>5405</v>
      </c>
      <c r="J5829" s="3">
        <v>82</v>
      </c>
      <c r="K5829" s="3">
        <v>43.16</v>
      </c>
      <c r="L5829">
        <v>47.37</v>
      </c>
    </row>
    <row r="5830" spans="1:12">
      <c r="A5830" s="1">
        <v>46046</v>
      </c>
      <c r="B5830" t="s">
        <v>6142</v>
      </c>
      <c r="C5830">
        <v>13</v>
      </c>
      <c r="D5830" t="str">
        <f>VLOOKUP(Tabela26[[#This Row],[EMP]],[1]LOJA!$A:$B,2,0)</f>
        <v>CEILÂNDIA</v>
      </c>
      <c r="E5830">
        <v>86</v>
      </c>
      <c r="F5830" t="s">
        <v>4081</v>
      </c>
      <c r="G5830" t="s">
        <v>4080</v>
      </c>
      <c r="H5830" t="s">
        <v>6012</v>
      </c>
      <c r="I5830">
        <v>5405</v>
      </c>
      <c r="J5830" s="3">
        <v>126.97</v>
      </c>
      <c r="K5830" s="3">
        <v>71.89</v>
      </c>
      <c r="L5830">
        <v>43.38</v>
      </c>
    </row>
    <row r="5831" spans="1:12">
      <c r="A5831" s="1">
        <v>46046</v>
      </c>
      <c r="B5831" t="s">
        <v>6141</v>
      </c>
      <c r="C5831">
        <v>13</v>
      </c>
      <c r="D5831" t="str">
        <f>VLOOKUP(Tabela26[[#This Row],[EMP]],[1]LOJA!$A:$B,2,0)</f>
        <v>CEILÂNDIA</v>
      </c>
      <c r="E5831">
        <v>33</v>
      </c>
      <c r="F5831" t="s">
        <v>4081</v>
      </c>
      <c r="G5831" t="s">
        <v>4080</v>
      </c>
      <c r="H5831" t="s">
        <v>6012</v>
      </c>
      <c r="I5831">
        <v>5102</v>
      </c>
      <c r="J5831" s="3">
        <v>160.19</v>
      </c>
      <c r="K5831" s="3">
        <v>108.53</v>
      </c>
      <c r="L5831">
        <v>32.25</v>
      </c>
    </row>
    <row r="5832" spans="1:12">
      <c r="A5832" s="1">
        <v>46046</v>
      </c>
      <c r="B5832" t="s">
        <v>6140</v>
      </c>
      <c r="C5832">
        <v>15</v>
      </c>
      <c r="D5832" t="str">
        <f>VLOOKUP(Tabela26[[#This Row],[EMP]],[1]LOJA!$A:$B,2,0)</f>
        <v>UNAÍ</v>
      </c>
      <c r="E5832">
        <v>183</v>
      </c>
      <c r="F5832" t="s">
        <v>4740</v>
      </c>
      <c r="G5832" t="s">
        <v>4739</v>
      </c>
      <c r="H5832" t="s">
        <v>5459</v>
      </c>
      <c r="I5832">
        <v>5102</v>
      </c>
      <c r="J5832" s="3">
        <v>72</v>
      </c>
      <c r="K5832" s="3">
        <v>36.04</v>
      </c>
      <c r="L5832">
        <v>49.94</v>
      </c>
    </row>
    <row r="5833" spans="1:12">
      <c r="A5833" s="1">
        <v>46046</v>
      </c>
      <c r="B5833" t="s">
        <v>6139</v>
      </c>
      <c r="C5833">
        <v>15</v>
      </c>
      <c r="D5833" t="str">
        <f>VLOOKUP(Tabela26[[#This Row],[EMP]],[1]LOJA!$A:$B,2,0)</f>
        <v>UNAÍ</v>
      </c>
      <c r="E5833">
        <v>183</v>
      </c>
      <c r="F5833" t="s">
        <v>4714</v>
      </c>
      <c r="G5833" t="s">
        <v>4713</v>
      </c>
      <c r="H5833" t="s">
        <v>3408</v>
      </c>
      <c r="I5833">
        <v>5102</v>
      </c>
      <c r="J5833" s="3">
        <v>354.4</v>
      </c>
      <c r="K5833" s="3">
        <v>179.09</v>
      </c>
      <c r="L5833">
        <v>49.47</v>
      </c>
    </row>
    <row r="5834" spans="1:12">
      <c r="A5834" s="1">
        <v>46046</v>
      </c>
      <c r="B5834" t="s">
        <v>6138</v>
      </c>
      <c r="C5834">
        <v>15</v>
      </c>
      <c r="D5834" t="str">
        <f>VLOOKUP(Tabela26[[#This Row],[EMP]],[1]LOJA!$A:$B,2,0)</f>
        <v>UNAÍ</v>
      </c>
      <c r="E5834">
        <v>183</v>
      </c>
      <c r="F5834" t="s">
        <v>5817</v>
      </c>
      <c r="G5834" t="s">
        <v>5816</v>
      </c>
      <c r="H5834" t="s">
        <v>3408</v>
      </c>
      <c r="I5834">
        <v>5102</v>
      </c>
      <c r="J5834" s="3">
        <v>41</v>
      </c>
      <c r="K5834" s="3">
        <v>19.78</v>
      </c>
      <c r="L5834">
        <v>51.76</v>
      </c>
    </row>
    <row r="5835" spans="1:12">
      <c r="A5835" s="1">
        <v>46046</v>
      </c>
      <c r="B5835" t="s">
        <v>6137</v>
      </c>
      <c r="C5835">
        <v>15</v>
      </c>
      <c r="D5835" t="str">
        <f>VLOOKUP(Tabela26[[#This Row],[EMP]],[1]LOJA!$A:$B,2,0)</f>
        <v>UNAÍ</v>
      </c>
      <c r="E5835">
        <v>183</v>
      </c>
      <c r="F5835" t="s">
        <v>4019</v>
      </c>
      <c r="G5835" t="s">
        <v>4018</v>
      </c>
      <c r="H5835" t="s">
        <v>6057</v>
      </c>
      <c r="I5835">
        <v>5102</v>
      </c>
      <c r="J5835" s="3">
        <v>344</v>
      </c>
      <c r="K5835" s="3">
        <v>175.43</v>
      </c>
      <c r="L5835">
        <v>49</v>
      </c>
    </row>
    <row r="5836" spans="1:12">
      <c r="A5836" s="1">
        <v>46046</v>
      </c>
      <c r="B5836" t="s">
        <v>6136</v>
      </c>
      <c r="C5836">
        <v>15</v>
      </c>
      <c r="D5836" t="str">
        <f>VLOOKUP(Tabela26[[#This Row],[EMP]],[1]LOJA!$A:$B,2,0)</f>
        <v>UNAÍ</v>
      </c>
      <c r="E5836">
        <v>183</v>
      </c>
      <c r="F5836" t="s">
        <v>3485</v>
      </c>
      <c r="G5836" t="s">
        <v>3402</v>
      </c>
      <c r="H5836" t="s">
        <v>3408</v>
      </c>
      <c r="I5836">
        <v>5102</v>
      </c>
      <c r="J5836" s="3">
        <v>25</v>
      </c>
      <c r="K5836" s="3">
        <v>12.07</v>
      </c>
      <c r="L5836">
        <v>51.72</v>
      </c>
    </row>
    <row r="5837" spans="1:12">
      <c r="A5837" s="1">
        <v>46046</v>
      </c>
      <c r="B5837" t="s">
        <v>6135</v>
      </c>
      <c r="C5837">
        <v>15</v>
      </c>
      <c r="D5837" t="str">
        <f>VLOOKUP(Tabela26[[#This Row],[EMP]],[1]LOJA!$A:$B,2,0)</f>
        <v>UNAÍ</v>
      </c>
      <c r="E5837">
        <v>183</v>
      </c>
      <c r="F5837" t="s">
        <v>3485</v>
      </c>
      <c r="G5837" t="s">
        <v>3402</v>
      </c>
      <c r="H5837" t="s">
        <v>3401</v>
      </c>
      <c r="I5837">
        <v>5102</v>
      </c>
      <c r="J5837" s="3">
        <v>62.4</v>
      </c>
      <c r="K5837" s="3">
        <v>37.68</v>
      </c>
      <c r="L5837">
        <v>39.619999999999997</v>
      </c>
    </row>
    <row r="5838" spans="1:12">
      <c r="A5838" s="1">
        <v>46046</v>
      </c>
      <c r="B5838" t="s">
        <v>6134</v>
      </c>
      <c r="C5838">
        <v>15</v>
      </c>
      <c r="D5838" t="str">
        <f>VLOOKUP(Tabela26[[#This Row],[EMP]],[1]LOJA!$A:$B,2,0)</f>
        <v>UNAÍ</v>
      </c>
      <c r="E5838">
        <v>183</v>
      </c>
      <c r="F5838" t="s">
        <v>3485</v>
      </c>
      <c r="G5838" t="s">
        <v>3402</v>
      </c>
      <c r="H5838" t="s">
        <v>3401</v>
      </c>
      <c r="I5838">
        <v>5102</v>
      </c>
      <c r="J5838" s="3">
        <v>7.2</v>
      </c>
      <c r="K5838" s="3">
        <v>2.58</v>
      </c>
      <c r="L5838">
        <v>64.17</v>
      </c>
    </row>
    <row r="5839" spans="1:12">
      <c r="A5839" s="1">
        <v>46046</v>
      </c>
      <c r="B5839" t="s">
        <v>6133</v>
      </c>
      <c r="C5839">
        <v>15</v>
      </c>
      <c r="D5839" t="str">
        <f>VLOOKUP(Tabela26[[#This Row],[EMP]],[1]LOJA!$A:$B,2,0)</f>
        <v>UNAÍ</v>
      </c>
      <c r="E5839">
        <v>183</v>
      </c>
      <c r="F5839" t="s">
        <v>4655</v>
      </c>
      <c r="G5839" t="s">
        <v>4654</v>
      </c>
      <c r="H5839" t="s">
        <v>3408</v>
      </c>
      <c r="I5839">
        <v>5102</v>
      </c>
      <c r="J5839" s="3">
        <v>39.700000000000003</v>
      </c>
      <c r="K5839" s="3">
        <v>24.08</v>
      </c>
      <c r="L5839">
        <v>39.35</v>
      </c>
    </row>
    <row r="5840" spans="1:12">
      <c r="A5840" s="1">
        <v>46046</v>
      </c>
      <c r="B5840" t="s">
        <v>6132</v>
      </c>
      <c r="C5840">
        <v>15</v>
      </c>
      <c r="D5840" t="str">
        <f>VLOOKUP(Tabela26[[#This Row],[EMP]],[1]LOJA!$A:$B,2,0)</f>
        <v>UNAÍ</v>
      </c>
      <c r="E5840">
        <v>183</v>
      </c>
      <c r="F5840" t="s">
        <v>5773</v>
      </c>
      <c r="G5840" t="s">
        <v>3402</v>
      </c>
      <c r="H5840" t="s">
        <v>3401</v>
      </c>
      <c r="I5840">
        <v>5102</v>
      </c>
      <c r="J5840" s="3">
        <v>100</v>
      </c>
      <c r="K5840" s="3">
        <v>46.27</v>
      </c>
      <c r="L5840">
        <v>53.73</v>
      </c>
    </row>
    <row r="5841" spans="1:12">
      <c r="A5841" s="1">
        <v>46046</v>
      </c>
      <c r="B5841" t="s">
        <v>6131</v>
      </c>
      <c r="C5841">
        <v>15</v>
      </c>
      <c r="D5841" t="str">
        <f>VLOOKUP(Tabela26[[#This Row],[EMP]],[1]LOJA!$A:$B,2,0)</f>
        <v>UNAÍ</v>
      </c>
      <c r="E5841">
        <v>183</v>
      </c>
      <c r="F5841" t="s">
        <v>3969</v>
      </c>
      <c r="G5841" t="s">
        <v>3968</v>
      </c>
      <c r="H5841" t="s">
        <v>3401</v>
      </c>
      <c r="I5841">
        <v>5102</v>
      </c>
      <c r="J5841" s="3">
        <v>78</v>
      </c>
      <c r="K5841" s="3">
        <v>39.159999999999997</v>
      </c>
      <c r="L5841">
        <v>49.79</v>
      </c>
    </row>
    <row r="5842" spans="1:12">
      <c r="A5842" s="1">
        <v>46046</v>
      </c>
      <c r="B5842" t="s">
        <v>6130</v>
      </c>
      <c r="C5842">
        <v>15</v>
      </c>
      <c r="D5842" t="str">
        <f>VLOOKUP(Tabela26[[#This Row],[EMP]],[1]LOJA!$A:$B,2,0)</f>
        <v>UNAÍ</v>
      </c>
      <c r="E5842">
        <v>183</v>
      </c>
      <c r="F5842" t="s">
        <v>6129</v>
      </c>
      <c r="G5842" t="s">
        <v>6128</v>
      </c>
      <c r="H5842" t="s">
        <v>3401</v>
      </c>
      <c r="I5842">
        <v>5102</v>
      </c>
      <c r="J5842" s="3">
        <v>128.25</v>
      </c>
      <c r="K5842" s="3">
        <v>67.540000000000006</v>
      </c>
      <c r="L5842">
        <v>47.34</v>
      </c>
    </row>
    <row r="5843" spans="1:12">
      <c r="A5843" s="1">
        <v>46046</v>
      </c>
      <c r="B5843" t="s">
        <v>6127</v>
      </c>
      <c r="C5843">
        <v>15</v>
      </c>
      <c r="D5843" t="str">
        <f>VLOOKUP(Tabela26[[#This Row],[EMP]],[1]LOJA!$A:$B,2,0)</f>
        <v>UNAÍ</v>
      </c>
      <c r="E5843">
        <v>183</v>
      </c>
      <c r="F5843" t="s">
        <v>6126</v>
      </c>
      <c r="G5843" t="s">
        <v>6125</v>
      </c>
      <c r="H5843" t="s">
        <v>3408</v>
      </c>
      <c r="I5843">
        <v>5102</v>
      </c>
      <c r="J5843" s="3">
        <v>48</v>
      </c>
      <c r="K5843" s="3">
        <v>25.73</v>
      </c>
      <c r="L5843">
        <v>46.4</v>
      </c>
    </row>
    <row r="5844" spans="1:12">
      <c r="A5844" s="1">
        <v>46046</v>
      </c>
      <c r="B5844" t="s">
        <v>6124</v>
      </c>
      <c r="C5844">
        <v>15</v>
      </c>
      <c r="D5844" t="str">
        <f>VLOOKUP(Tabela26[[#This Row],[EMP]],[1]LOJA!$A:$B,2,0)</f>
        <v>UNAÍ</v>
      </c>
      <c r="E5844">
        <v>183</v>
      </c>
      <c r="F5844" t="s">
        <v>3485</v>
      </c>
      <c r="G5844" t="s">
        <v>3402</v>
      </c>
      <c r="H5844" t="s">
        <v>3401</v>
      </c>
      <c r="I5844">
        <v>5102</v>
      </c>
      <c r="J5844" s="3">
        <v>30.4</v>
      </c>
      <c r="K5844" s="3">
        <v>14.1</v>
      </c>
      <c r="L5844">
        <v>53.62</v>
      </c>
    </row>
    <row r="5845" spans="1:12">
      <c r="A5845" s="1">
        <v>46046</v>
      </c>
      <c r="B5845" t="s">
        <v>6123</v>
      </c>
      <c r="C5845">
        <v>15</v>
      </c>
      <c r="D5845" t="str">
        <f>VLOOKUP(Tabela26[[#This Row],[EMP]],[1]LOJA!$A:$B,2,0)</f>
        <v>UNAÍ</v>
      </c>
      <c r="E5845">
        <v>183</v>
      </c>
      <c r="F5845" t="s">
        <v>4060</v>
      </c>
      <c r="G5845" t="s">
        <v>3402</v>
      </c>
      <c r="H5845" t="s">
        <v>3401</v>
      </c>
      <c r="I5845">
        <v>5102</v>
      </c>
      <c r="J5845" s="3">
        <v>100</v>
      </c>
      <c r="K5845" s="3">
        <v>49.3</v>
      </c>
      <c r="L5845">
        <v>50.7</v>
      </c>
    </row>
    <row r="5846" spans="1:12">
      <c r="A5846" s="1">
        <v>46046</v>
      </c>
      <c r="B5846" t="s">
        <v>6122</v>
      </c>
      <c r="C5846">
        <v>15</v>
      </c>
      <c r="D5846" t="str">
        <f>VLOOKUP(Tabela26[[#This Row],[EMP]],[1]LOJA!$A:$B,2,0)</f>
        <v>UNAÍ</v>
      </c>
      <c r="E5846">
        <v>183</v>
      </c>
      <c r="F5846" t="s">
        <v>3485</v>
      </c>
      <c r="G5846" t="s">
        <v>3402</v>
      </c>
      <c r="H5846" t="s">
        <v>3401</v>
      </c>
      <c r="I5846">
        <v>5102</v>
      </c>
      <c r="J5846" s="3">
        <v>31.5</v>
      </c>
      <c r="K5846" s="3">
        <v>15.88</v>
      </c>
      <c r="L5846">
        <v>49.59</v>
      </c>
    </row>
    <row r="5847" spans="1:12">
      <c r="A5847" s="1">
        <v>46046</v>
      </c>
      <c r="B5847" t="s">
        <v>6121</v>
      </c>
      <c r="C5847">
        <v>15</v>
      </c>
      <c r="D5847" t="str">
        <f>VLOOKUP(Tabela26[[#This Row],[EMP]],[1]LOJA!$A:$B,2,0)</f>
        <v>UNAÍ</v>
      </c>
      <c r="E5847">
        <v>183</v>
      </c>
      <c r="F5847" t="s">
        <v>4032</v>
      </c>
      <c r="G5847" t="s">
        <v>4031</v>
      </c>
      <c r="H5847" t="s">
        <v>3401</v>
      </c>
      <c r="I5847">
        <v>5102</v>
      </c>
      <c r="J5847" s="3">
        <v>36</v>
      </c>
      <c r="K5847" s="3">
        <v>18.34</v>
      </c>
      <c r="L5847">
        <v>49.06</v>
      </c>
    </row>
    <row r="5848" spans="1:12">
      <c r="A5848" s="1">
        <v>46046</v>
      </c>
      <c r="B5848" t="s">
        <v>6120</v>
      </c>
      <c r="C5848">
        <v>12</v>
      </c>
      <c r="D5848" t="str">
        <f>VLOOKUP(Tabela26[[#This Row],[EMP]],[1]LOJA!$A:$B,2,0)</f>
        <v>SOFNORTE</v>
      </c>
      <c r="E5848">
        <v>239</v>
      </c>
      <c r="F5848" t="s">
        <v>3461</v>
      </c>
      <c r="G5848" t="s">
        <v>3460</v>
      </c>
      <c r="H5848" t="s">
        <v>3430</v>
      </c>
      <c r="I5848">
        <v>5405</v>
      </c>
      <c r="J5848" s="3">
        <v>80</v>
      </c>
      <c r="K5848" s="3">
        <v>36.92</v>
      </c>
      <c r="L5848">
        <v>53.85</v>
      </c>
    </row>
    <row r="5849" spans="1:12">
      <c r="A5849" s="1">
        <v>46046</v>
      </c>
      <c r="B5849" t="s">
        <v>6119</v>
      </c>
      <c r="C5849">
        <v>12</v>
      </c>
      <c r="D5849" t="str">
        <f>VLOOKUP(Tabela26[[#This Row],[EMP]],[1]LOJA!$A:$B,2,0)</f>
        <v>SOFNORTE</v>
      </c>
      <c r="E5849">
        <v>239</v>
      </c>
      <c r="F5849" t="s">
        <v>3953</v>
      </c>
      <c r="G5849" t="s">
        <v>3952</v>
      </c>
      <c r="H5849" t="s">
        <v>3430</v>
      </c>
      <c r="I5849">
        <v>5102</v>
      </c>
      <c r="J5849" s="3">
        <v>23.9</v>
      </c>
      <c r="K5849" s="3">
        <v>11.63</v>
      </c>
      <c r="L5849">
        <v>51.34</v>
      </c>
    </row>
    <row r="5850" spans="1:12">
      <c r="A5850" s="1">
        <v>46046</v>
      </c>
      <c r="B5850" t="s">
        <v>6118</v>
      </c>
      <c r="C5850">
        <v>12</v>
      </c>
      <c r="D5850" t="str">
        <f>VLOOKUP(Tabela26[[#This Row],[EMP]],[1]LOJA!$A:$B,2,0)</f>
        <v>SOFNORTE</v>
      </c>
      <c r="E5850">
        <v>239</v>
      </c>
      <c r="F5850" t="s">
        <v>6117</v>
      </c>
      <c r="G5850" t="s">
        <v>6116</v>
      </c>
      <c r="H5850" t="s">
        <v>3430</v>
      </c>
      <c r="I5850">
        <v>5102</v>
      </c>
      <c r="J5850" s="3">
        <v>29.86</v>
      </c>
      <c r="K5850" s="3">
        <v>11.66</v>
      </c>
      <c r="L5850">
        <v>60.95</v>
      </c>
    </row>
    <row r="5851" spans="1:12">
      <c r="A5851" s="1">
        <v>46046</v>
      </c>
      <c r="B5851" t="s">
        <v>6115</v>
      </c>
      <c r="C5851">
        <v>22</v>
      </c>
      <c r="D5851" t="str">
        <f>VLOOKUP(Tabela26[[#This Row],[EMP]],[1]LOJA!$A:$B,2,0)</f>
        <v>GUARÁ</v>
      </c>
      <c r="E5851">
        <v>16</v>
      </c>
      <c r="F5851" t="s">
        <v>3403</v>
      </c>
      <c r="G5851" t="s">
        <v>3402</v>
      </c>
      <c r="H5851" t="s">
        <v>3401</v>
      </c>
      <c r="I5851">
        <v>5102</v>
      </c>
      <c r="J5851" s="3">
        <v>30.52</v>
      </c>
      <c r="K5851" s="3">
        <v>19.46</v>
      </c>
      <c r="L5851">
        <v>36.24</v>
      </c>
    </row>
    <row r="5852" spans="1:12">
      <c r="A5852" s="1">
        <v>46046</v>
      </c>
      <c r="B5852" t="s">
        <v>6114</v>
      </c>
      <c r="C5852">
        <v>22</v>
      </c>
      <c r="D5852" t="str">
        <f>VLOOKUP(Tabela26[[#This Row],[EMP]],[1]LOJA!$A:$B,2,0)</f>
        <v>GUARÁ</v>
      </c>
      <c r="E5852">
        <v>16</v>
      </c>
      <c r="F5852" t="s">
        <v>3403</v>
      </c>
      <c r="G5852" t="s">
        <v>3402</v>
      </c>
      <c r="H5852" t="s">
        <v>3401</v>
      </c>
      <c r="I5852">
        <v>5102</v>
      </c>
      <c r="J5852" s="3">
        <v>70</v>
      </c>
      <c r="K5852" s="3">
        <v>40.700000000000003</v>
      </c>
      <c r="L5852">
        <v>41.86</v>
      </c>
    </row>
    <row r="5853" spans="1:12">
      <c r="A5853" s="1">
        <v>46046</v>
      </c>
      <c r="B5853" t="s">
        <v>6113</v>
      </c>
      <c r="C5853">
        <v>22</v>
      </c>
      <c r="D5853" t="str">
        <f>VLOOKUP(Tabela26[[#This Row],[EMP]],[1]LOJA!$A:$B,2,0)</f>
        <v>GUARÁ</v>
      </c>
      <c r="E5853">
        <v>16</v>
      </c>
      <c r="F5853" t="s">
        <v>3921</v>
      </c>
      <c r="G5853" t="s">
        <v>3920</v>
      </c>
      <c r="H5853" t="s">
        <v>3401</v>
      </c>
      <c r="I5853">
        <v>5102</v>
      </c>
      <c r="J5853" s="3">
        <v>26.5</v>
      </c>
      <c r="K5853" s="3">
        <v>13.92</v>
      </c>
      <c r="L5853">
        <v>47.47</v>
      </c>
    </row>
    <row r="5854" spans="1:12">
      <c r="A5854" s="1">
        <v>46046</v>
      </c>
      <c r="B5854" t="s">
        <v>6112</v>
      </c>
      <c r="C5854">
        <v>22</v>
      </c>
      <c r="D5854" t="str">
        <f>VLOOKUP(Tabela26[[#This Row],[EMP]],[1]LOJA!$A:$B,2,0)</f>
        <v>GUARÁ</v>
      </c>
      <c r="E5854">
        <v>16</v>
      </c>
      <c r="F5854" t="s">
        <v>3403</v>
      </c>
      <c r="G5854" t="s">
        <v>6110</v>
      </c>
      <c r="H5854" t="s">
        <v>3401</v>
      </c>
      <c r="I5854">
        <v>5405</v>
      </c>
      <c r="J5854" s="3">
        <v>65</v>
      </c>
      <c r="K5854" s="3">
        <v>31.09</v>
      </c>
      <c r="L5854">
        <v>52.17</v>
      </c>
    </row>
    <row r="5855" spans="1:12">
      <c r="A5855" s="1">
        <v>46046</v>
      </c>
      <c r="B5855" t="s">
        <v>6111</v>
      </c>
      <c r="C5855">
        <v>22</v>
      </c>
      <c r="D5855" t="str">
        <f>VLOOKUP(Tabela26[[#This Row],[EMP]],[1]LOJA!$A:$B,2,0)</f>
        <v>GUARÁ</v>
      </c>
      <c r="E5855">
        <v>16</v>
      </c>
      <c r="F5855" t="s">
        <v>3403</v>
      </c>
      <c r="G5855" t="s">
        <v>6110</v>
      </c>
      <c r="H5855" t="s">
        <v>3401</v>
      </c>
      <c r="I5855">
        <v>5102</v>
      </c>
      <c r="J5855" s="3">
        <v>97.99</v>
      </c>
      <c r="K5855" s="3">
        <v>59.44</v>
      </c>
      <c r="L5855">
        <v>39.340000000000003</v>
      </c>
    </row>
    <row r="5856" spans="1:12">
      <c r="A5856" s="1">
        <v>46046</v>
      </c>
      <c r="B5856" t="s">
        <v>6109</v>
      </c>
      <c r="C5856">
        <v>22</v>
      </c>
      <c r="D5856" t="str">
        <f>VLOOKUP(Tabela26[[#This Row],[EMP]],[1]LOJA!$A:$B,2,0)</f>
        <v>GUARÁ</v>
      </c>
      <c r="E5856">
        <v>16</v>
      </c>
      <c r="F5856" t="s">
        <v>6108</v>
      </c>
      <c r="G5856" t="s">
        <v>3402</v>
      </c>
      <c r="H5856" t="s">
        <v>3408</v>
      </c>
      <c r="I5856">
        <v>5405</v>
      </c>
      <c r="J5856" s="3">
        <v>153</v>
      </c>
      <c r="K5856" s="3">
        <v>84.56</v>
      </c>
      <c r="L5856">
        <v>44.73</v>
      </c>
    </row>
    <row r="5857" spans="1:12">
      <c r="A5857" s="1">
        <v>46046</v>
      </c>
      <c r="B5857" t="s">
        <v>6107</v>
      </c>
      <c r="C5857">
        <v>22</v>
      </c>
      <c r="D5857" t="str">
        <f>VLOOKUP(Tabela26[[#This Row],[EMP]],[1]LOJA!$A:$B,2,0)</f>
        <v>GUARÁ</v>
      </c>
      <c r="E5857">
        <v>16</v>
      </c>
      <c r="F5857" t="s">
        <v>3403</v>
      </c>
      <c r="G5857" t="s">
        <v>3402</v>
      </c>
      <c r="H5857" t="s">
        <v>3401</v>
      </c>
      <c r="I5857">
        <v>5405</v>
      </c>
      <c r="J5857" s="3">
        <v>100</v>
      </c>
      <c r="K5857" s="3">
        <v>48.52</v>
      </c>
      <c r="L5857">
        <v>51.48</v>
      </c>
    </row>
    <row r="5858" spans="1:12">
      <c r="A5858" s="1">
        <v>46046</v>
      </c>
      <c r="B5858" t="s">
        <v>6106</v>
      </c>
      <c r="C5858">
        <v>22</v>
      </c>
      <c r="D5858" t="str">
        <f>VLOOKUP(Tabela26[[#This Row],[EMP]],[1]LOJA!$A:$B,2,0)</f>
        <v>GUARÁ</v>
      </c>
      <c r="E5858">
        <v>16</v>
      </c>
      <c r="F5858" t="s">
        <v>3403</v>
      </c>
      <c r="G5858" t="s">
        <v>3402</v>
      </c>
      <c r="H5858" t="s">
        <v>3401</v>
      </c>
      <c r="I5858">
        <v>5102</v>
      </c>
      <c r="J5858" s="3">
        <v>50.54</v>
      </c>
      <c r="K5858" s="3">
        <v>28.48</v>
      </c>
      <c r="L5858">
        <v>43.65</v>
      </c>
    </row>
    <row r="5859" spans="1:12">
      <c r="A5859" s="1">
        <v>46046</v>
      </c>
      <c r="B5859" t="s">
        <v>6105</v>
      </c>
      <c r="C5859">
        <v>22</v>
      </c>
      <c r="D5859" t="str">
        <f>VLOOKUP(Tabela26[[#This Row],[EMP]],[1]LOJA!$A:$B,2,0)</f>
        <v>GUARÁ</v>
      </c>
      <c r="E5859">
        <v>238</v>
      </c>
      <c r="F5859" t="s">
        <v>3403</v>
      </c>
      <c r="G5859" t="s">
        <v>3402</v>
      </c>
      <c r="H5859" t="s">
        <v>3401</v>
      </c>
      <c r="I5859">
        <v>5102</v>
      </c>
      <c r="J5859" s="3">
        <v>4</v>
      </c>
      <c r="K5859" s="3">
        <v>2.36</v>
      </c>
      <c r="L5859">
        <v>41</v>
      </c>
    </row>
    <row r="5860" spans="1:12">
      <c r="A5860" s="1">
        <v>46046</v>
      </c>
      <c r="B5860" t="s">
        <v>6104</v>
      </c>
      <c r="C5860">
        <v>22</v>
      </c>
      <c r="D5860" t="str">
        <f>VLOOKUP(Tabela26[[#This Row],[EMP]],[1]LOJA!$A:$B,2,0)</f>
        <v>GUARÁ</v>
      </c>
      <c r="E5860">
        <v>16</v>
      </c>
      <c r="F5860" t="s">
        <v>3403</v>
      </c>
      <c r="G5860" t="s">
        <v>3402</v>
      </c>
      <c r="H5860" t="s">
        <v>3401</v>
      </c>
      <c r="I5860">
        <v>5102</v>
      </c>
      <c r="J5860" s="3">
        <v>9</v>
      </c>
      <c r="K5860" s="3">
        <v>4.16</v>
      </c>
      <c r="L5860">
        <v>53.78</v>
      </c>
    </row>
    <row r="5861" spans="1:12">
      <c r="A5861" s="1">
        <v>46046</v>
      </c>
      <c r="B5861" t="s">
        <v>6103</v>
      </c>
      <c r="C5861">
        <v>22</v>
      </c>
      <c r="D5861" t="str">
        <f>VLOOKUP(Tabela26[[#This Row],[EMP]],[1]LOJA!$A:$B,2,0)</f>
        <v>GUARÁ</v>
      </c>
      <c r="E5861">
        <v>16</v>
      </c>
      <c r="F5861" t="s">
        <v>3403</v>
      </c>
      <c r="G5861" t="s">
        <v>3402</v>
      </c>
      <c r="H5861" t="s">
        <v>3401</v>
      </c>
      <c r="I5861">
        <v>5102</v>
      </c>
      <c r="J5861" s="3">
        <v>5</v>
      </c>
      <c r="K5861" s="3">
        <v>2.7</v>
      </c>
      <c r="L5861">
        <v>46</v>
      </c>
    </row>
    <row r="5862" spans="1:12">
      <c r="A5862" s="1">
        <v>46046</v>
      </c>
      <c r="B5862" t="s">
        <v>6102</v>
      </c>
      <c r="C5862">
        <v>22</v>
      </c>
      <c r="D5862" t="str">
        <f>VLOOKUP(Tabela26[[#This Row],[EMP]],[1]LOJA!$A:$B,2,0)</f>
        <v>GUARÁ</v>
      </c>
      <c r="E5862">
        <v>16</v>
      </c>
      <c r="F5862" t="s">
        <v>3403</v>
      </c>
      <c r="G5862" t="s">
        <v>3402</v>
      </c>
      <c r="H5862" t="s">
        <v>3408</v>
      </c>
      <c r="I5862">
        <v>5102</v>
      </c>
      <c r="J5862" s="3">
        <v>41</v>
      </c>
      <c r="K5862" s="3">
        <v>26.31</v>
      </c>
      <c r="L5862">
        <v>35.83</v>
      </c>
    </row>
    <row r="5863" spans="1:12">
      <c r="A5863" s="1">
        <v>46046</v>
      </c>
      <c r="B5863" t="s">
        <v>6101</v>
      </c>
      <c r="C5863">
        <v>22</v>
      </c>
      <c r="D5863" t="str">
        <f>VLOOKUP(Tabela26[[#This Row],[EMP]],[1]LOJA!$A:$B,2,0)</f>
        <v>GUARÁ</v>
      </c>
      <c r="E5863">
        <v>16</v>
      </c>
      <c r="F5863" t="s">
        <v>3403</v>
      </c>
      <c r="G5863" t="s">
        <v>3402</v>
      </c>
      <c r="H5863" t="s">
        <v>3401</v>
      </c>
      <c r="I5863">
        <v>5405</v>
      </c>
      <c r="J5863" s="3">
        <v>84.58</v>
      </c>
      <c r="K5863" s="3">
        <v>43.23</v>
      </c>
      <c r="L5863">
        <v>48.89</v>
      </c>
    </row>
    <row r="5864" spans="1:12">
      <c r="A5864" s="1">
        <v>46046</v>
      </c>
      <c r="B5864" t="s">
        <v>6100</v>
      </c>
      <c r="C5864">
        <v>22</v>
      </c>
      <c r="D5864" t="str">
        <f>VLOOKUP(Tabela26[[#This Row],[EMP]],[1]LOJA!$A:$B,2,0)</f>
        <v>GUARÁ</v>
      </c>
      <c r="E5864">
        <v>93</v>
      </c>
      <c r="F5864" t="s">
        <v>6099</v>
      </c>
      <c r="G5864" t="s">
        <v>3402</v>
      </c>
      <c r="H5864" t="s">
        <v>3401</v>
      </c>
      <c r="I5864">
        <v>5405</v>
      </c>
      <c r="J5864" s="3">
        <v>50</v>
      </c>
      <c r="K5864" s="3">
        <v>21.9</v>
      </c>
      <c r="L5864">
        <v>56.2</v>
      </c>
    </row>
    <row r="5865" spans="1:12">
      <c r="A5865" s="1">
        <v>46046</v>
      </c>
      <c r="B5865" t="s">
        <v>6098</v>
      </c>
      <c r="C5865">
        <v>22</v>
      </c>
      <c r="D5865" t="str">
        <f>VLOOKUP(Tabela26[[#This Row],[EMP]],[1]LOJA!$A:$B,2,0)</f>
        <v>GUARÁ</v>
      </c>
      <c r="E5865">
        <v>16</v>
      </c>
      <c r="F5865" t="s">
        <v>3403</v>
      </c>
      <c r="G5865" t="s">
        <v>3402</v>
      </c>
      <c r="H5865" t="s">
        <v>3401</v>
      </c>
      <c r="I5865">
        <v>5102</v>
      </c>
      <c r="J5865" s="3">
        <v>33</v>
      </c>
      <c r="K5865" s="3">
        <v>21.83</v>
      </c>
      <c r="L5865">
        <v>33.85</v>
      </c>
    </row>
    <row r="5866" spans="1:12">
      <c r="A5866" s="1">
        <v>46046</v>
      </c>
      <c r="B5866" t="s">
        <v>6097</v>
      </c>
      <c r="C5866">
        <v>22</v>
      </c>
      <c r="D5866" t="str">
        <f>VLOOKUP(Tabela26[[#This Row],[EMP]],[1]LOJA!$A:$B,2,0)</f>
        <v>GUARÁ</v>
      </c>
      <c r="E5866">
        <v>16</v>
      </c>
      <c r="F5866" t="s">
        <v>3403</v>
      </c>
      <c r="G5866" t="s">
        <v>3402</v>
      </c>
      <c r="H5866" t="s">
        <v>3401</v>
      </c>
      <c r="I5866">
        <v>5405</v>
      </c>
      <c r="J5866" s="3">
        <v>63</v>
      </c>
      <c r="K5866" s="3">
        <v>30.76</v>
      </c>
      <c r="L5866">
        <v>51.17</v>
      </c>
    </row>
    <row r="5867" spans="1:12">
      <c r="A5867" s="1">
        <v>46046</v>
      </c>
      <c r="B5867" t="s">
        <v>6096</v>
      </c>
      <c r="C5867">
        <v>22</v>
      </c>
      <c r="D5867" t="str">
        <f>VLOOKUP(Tabela26[[#This Row],[EMP]],[1]LOJA!$A:$B,2,0)</f>
        <v>GUARÁ</v>
      </c>
      <c r="E5867">
        <v>16</v>
      </c>
      <c r="F5867" t="s">
        <v>3403</v>
      </c>
      <c r="G5867" t="s">
        <v>3402</v>
      </c>
      <c r="H5867" t="s">
        <v>3401</v>
      </c>
      <c r="I5867">
        <v>5102</v>
      </c>
      <c r="J5867" s="3">
        <v>30</v>
      </c>
      <c r="K5867" s="3">
        <v>9.82</v>
      </c>
      <c r="L5867">
        <v>67.27</v>
      </c>
    </row>
    <row r="5868" spans="1:12">
      <c r="A5868" s="1">
        <v>46046</v>
      </c>
      <c r="B5868" t="s">
        <v>6095</v>
      </c>
      <c r="C5868">
        <v>22</v>
      </c>
      <c r="D5868" t="str">
        <f>VLOOKUP(Tabela26[[#This Row],[EMP]],[1]LOJA!$A:$B,2,0)</f>
        <v>GUARÁ</v>
      </c>
      <c r="E5868">
        <v>16</v>
      </c>
      <c r="F5868" t="s">
        <v>3403</v>
      </c>
      <c r="G5868" t="s">
        <v>3402</v>
      </c>
      <c r="H5868" t="s">
        <v>3401</v>
      </c>
      <c r="I5868">
        <v>5102</v>
      </c>
      <c r="J5868" s="3">
        <v>20</v>
      </c>
      <c r="K5868" s="3">
        <v>10.62</v>
      </c>
      <c r="L5868">
        <v>46.9</v>
      </c>
    </row>
    <row r="5869" spans="1:12">
      <c r="A5869" s="1">
        <v>46046</v>
      </c>
      <c r="B5869" t="s">
        <v>6094</v>
      </c>
      <c r="C5869">
        <v>22</v>
      </c>
      <c r="D5869" t="str">
        <f>VLOOKUP(Tabela26[[#This Row],[EMP]],[1]LOJA!$A:$B,2,0)</f>
        <v>GUARÁ</v>
      </c>
      <c r="E5869">
        <v>16</v>
      </c>
      <c r="F5869" t="s">
        <v>3403</v>
      </c>
      <c r="G5869" t="s">
        <v>3402</v>
      </c>
      <c r="H5869" t="s">
        <v>3401</v>
      </c>
      <c r="I5869">
        <v>5102</v>
      </c>
      <c r="J5869" s="3">
        <v>45</v>
      </c>
      <c r="K5869" s="3">
        <v>23.37</v>
      </c>
      <c r="L5869">
        <v>48.07</v>
      </c>
    </row>
    <row r="5870" spans="1:12">
      <c r="A5870" s="1">
        <v>46046</v>
      </c>
      <c r="B5870" t="s">
        <v>6093</v>
      </c>
      <c r="C5870">
        <v>22</v>
      </c>
      <c r="D5870" t="str">
        <f>VLOOKUP(Tabela26[[#This Row],[EMP]],[1]LOJA!$A:$B,2,0)</f>
        <v>GUARÁ</v>
      </c>
      <c r="E5870">
        <v>16</v>
      </c>
      <c r="F5870" t="s">
        <v>3403</v>
      </c>
      <c r="G5870" t="s">
        <v>3402</v>
      </c>
      <c r="H5870" t="s">
        <v>3401</v>
      </c>
      <c r="I5870">
        <v>5102</v>
      </c>
      <c r="J5870" s="3">
        <v>10</v>
      </c>
      <c r="K5870" s="3">
        <v>3.6</v>
      </c>
      <c r="L5870">
        <v>64</v>
      </c>
    </row>
    <row r="5871" spans="1:12">
      <c r="A5871" s="1">
        <v>46046</v>
      </c>
      <c r="B5871" t="s">
        <v>6092</v>
      </c>
      <c r="C5871">
        <v>22</v>
      </c>
      <c r="D5871" t="str">
        <f>VLOOKUP(Tabela26[[#This Row],[EMP]],[1]LOJA!$A:$B,2,0)</f>
        <v>GUARÁ</v>
      </c>
      <c r="E5871">
        <v>16</v>
      </c>
      <c r="F5871" t="s">
        <v>3403</v>
      </c>
      <c r="G5871" t="s">
        <v>3402</v>
      </c>
      <c r="H5871" t="s">
        <v>3401</v>
      </c>
      <c r="I5871">
        <v>5102</v>
      </c>
      <c r="J5871" s="3">
        <v>45</v>
      </c>
      <c r="K5871" s="3">
        <v>23.37</v>
      </c>
      <c r="L5871">
        <v>48.07</v>
      </c>
    </row>
    <row r="5872" spans="1:12">
      <c r="A5872" s="1">
        <v>46046</v>
      </c>
      <c r="B5872" t="s">
        <v>6091</v>
      </c>
      <c r="C5872">
        <v>22</v>
      </c>
      <c r="D5872" t="str">
        <f>VLOOKUP(Tabela26[[#This Row],[EMP]],[1]LOJA!$A:$B,2,0)</f>
        <v>GUARÁ</v>
      </c>
      <c r="E5872">
        <v>16</v>
      </c>
      <c r="F5872" t="s">
        <v>3403</v>
      </c>
      <c r="G5872" t="s">
        <v>3402</v>
      </c>
      <c r="H5872" t="s">
        <v>3401</v>
      </c>
      <c r="I5872">
        <v>5102</v>
      </c>
      <c r="J5872" s="3">
        <v>17</v>
      </c>
      <c r="K5872" s="3">
        <v>5.83</v>
      </c>
      <c r="L5872">
        <v>65.709999999999994</v>
      </c>
    </row>
    <row r="5873" spans="1:12">
      <c r="A5873" s="1">
        <v>46046</v>
      </c>
      <c r="B5873" t="s">
        <v>6090</v>
      </c>
      <c r="C5873">
        <v>4</v>
      </c>
      <c r="D5873" t="str">
        <f>VLOOKUP(Tabela26[[#This Row],[EMP]],[1]LOJA!$A:$B,2,0)</f>
        <v>ADE</v>
      </c>
      <c r="E5873">
        <v>109</v>
      </c>
      <c r="F5873" t="s">
        <v>6089</v>
      </c>
      <c r="G5873" t="s">
        <v>6088</v>
      </c>
      <c r="H5873" t="s">
        <v>3401</v>
      </c>
      <c r="I5873">
        <v>5405</v>
      </c>
      <c r="J5873" s="3">
        <v>319.8</v>
      </c>
      <c r="K5873" s="3">
        <v>163.96</v>
      </c>
      <c r="L5873">
        <v>48.73</v>
      </c>
    </row>
    <row r="5874" spans="1:12">
      <c r="A5874" s="1">
        <v>46046</v>
      </c>
      <c r="B5874" t="s">
        <v>6087</v>
      </c>
      <c r="C5874">
        <v>4</v>
      </c>
      <c r="D5874" t="str">
        <f>VLOOKUP(Tabela26[[#This Row],[EMP]],[1]LOJA!$A:$B,2,0)</f>
        <v>ADE</v>
      </c>
      <c r="E5874">
        <v>109</v>
      </c>
      <c r="F5874" t="s">
        <v>4230</v>
      </c>
      <c r="G5874" t="s">
        <v>6086</v>
      </c>
      <c r="H5874" t="s">
        <v>3401</v>
      </c>
      <c r="I5874">
        <v>5405</v>
      </c>
      <c r="J5874" s="3">
        <v>202</v>
      </c>
      <c r="K5874" s="3">
        <v>85.03</v>
      </c>
      <c r="L5874">
        <v>57.91</v>
      </c>
    </row>
    <row r="5875" spans="1:12">
      <c r="A5875" s="1">
        <v>46046</v>
      </c>
      <c r="B5875" t="s">
        <v>6085</v>
      </c>
      <c r="C5875">
        <v>4</v>
      </c>
      <c r="D5875" t="str">
        <f>VLOOKUP(Tabela26[[#This Row],[EMP]],[1]LOJA!$A:$B,2,0)</f>
        <v>ADE</v>
      </c>
      <c r="E5875">
        <v>109</v>
      </c>
      <c r="F5875" t="s">
        <v>5432</v>
      </c>
      <c r="G5875" t="s">
        <v>3402</v>
      </c>
      <c r="H5875" t="s">
        <v>3401</v>
      </c>
      <c r="I5875">
        <v>5102</v>
      </c>
      <c r="J5875" s="3">
        <v>13.5</v>
      </c>
      <c r="K5875" s="3">
        <v>9.24</v>
      </c>
      <c r="L5875">
        <v>31.56</v>
      </c>
    </row>
    <row r="5876" spans="1:12">
      <c r="A5876" s="1">
        <v>46046</v>
      </c>
      <c r="B5876" t="s">
        <v>6084</v>
      </c>
      <c r="C5876">
        <v>4</v>
      </c>
      <c r="D5876" t="str">
        <f>VLOOKUP(Tabela26[[#This Row],[EMP]],[1]LOJA!$A:$B,2,0)</f>
        <v>ADE</v>
      </c>
      <c r="E5876">
        <v>109</v>
      </c>
      <c r="F5876" t="s">
        <v>3843</v>
      </c>
      <c r="G5876" t="s">
        <v>3842</v>
      </c>
      <c r="H5876" t="s">
        <v>3401</v>
      </c>
      <c r="I5876">
        <v>5102</v>
      </c>
      <c r="J5876" s="3">
        <v>35</v>
      </c>
      <c r="K5876" s="3">
        <v>15.86</v>
      </c>
      <c r="L5876">
        <v>54.69</v>
      </c>
    </row>
    <row r="5877" spans="1:12">
      <c r="A5877" s="1">
        <v>46046</v>
      </c>
      <c r="B5877" t="s">
        <v>6083</v>
      </c>
      <c r="C5877">
        <v>4</v>
      </c>
      <c r="D5877" t="str">
        <f>VLOOKUP(Tabela26[[#This Row],[EMP]],[1]LOJA!$A:$B,2,0)</f>
        <v>ADE</v>
      </c>
      <c r="E5877">
        <v>109</v>
      </c>
      <c r="F5877" t="s">
        <v>3570</v>
      </c>
      <c r="G5877" t="s">
        <v>3402</v>
      </c>
      <c r="H5877" t="s">
        <v>3401</v>
      </c>
      <c r="I5877">
        <v>5405</v>
      </c>
      <c r="J5877" s="3">
        <v>595.9</v>
      </c>
      <c r="K5877" s="3">
        <v>360.33</v>
      </c>
      <c r="L5877">
        <v>39.53</v>
      </c>
    </row>
    <row r="5878" spans="1:12">
      <c r="A5878" s="1">
        <v>46046</v>
      </c>
      <c r="B5878" t="s">
        <v>6082</v>
      </c>
      <c r="C5878">
        <v>4</v>
      </c>
      <c r="D5878" t="str">
        <f>VLOOKUP(Tabela26[[#This Row],[EMP]],[1]LOJA!$A:$B,2,0)</f>
        <v>ADE</v>
      </c>
      <c r="E5878">
        <v>109</v>
      </c>
      <c r="F5878" t="s">
        <v>6081</v>
      </c>
      <c r="G5878" t="s">
        <v>6080</v>
      </c>
      <c r="H5878" t="s">
        <v>3401</v>
      </c>
      <c r="I5878">
        <v>5102</v>
      </c>
      <c r="J5878" s="3">
        <v>9</v>
      </c>
      <c r="K5878" s="3">
        <v>4.16</v>
      </c>
      <c r="L5878">
        <v>53.78</v>
      </c>
    </row>
    <row r="5879" spans="1:12">
      <c r="A5879" s="1">
        <v>46046</v>
      </c>
      <c r="B5879" t="s">
        <v>6079</v>
      </c>
      <c r="C5879">
        <v>4</v>
      </c>
      <c r="D5879" t="str">
        <f>VLOOKUP(Tabela26[[#This Row],[EMP]],[1]LOJA!$A:$B,2,0)</f>
        <v>ADE</v>
      </c>
      <c r="E5879">
        <v>109</v>
      </c>
      <c r="F5879" t="s">
        <v>6078</v>
      </c>
      <c r="G5879" t="s">
        <v>3402</v>
      </c>
      <c r="H5879" t="s">
        <v>3401</v>
      </c>
      <c r="I5879">
        <v>5102</v>
      </c>
      <c r="J5879" s="3">
        <v>143.5</v>
      </c>
      <c r="K5879" s="3">
        <v>88.91</v>
      </c>
      <c r="L5879">
        <v>38.04</v>
      </c>
    </row>
    <row r="5880" spans="1:12">
      <c r="A5880" s="1">
        <v>46046</v>
      </c>
      <c r="B5880" t="s">
        <v>6077</v>
      </c>
      <c r="C5880">
        <v>16</v>
      </c>
      <c r="D5880" t="str">
        <f>VLOOKUP(Tabela26[[#This Row],[EMP]],[1]LOJA!$A:$B,2,0)</f>
        <v>AG LINDAS</v>
      </c>
      <c r="E5880">
        <v>240</v>
      </c>
      <c r="F5880" t="s">
        <v>3780</v>
      </c>
      <c r="G5880" t="s">
        <v>3437</v>
      </c>
      <c r="H5880" t="s">
        <v>3401</v>
      </c>
      <c r="I5880">
        <v>5405</v>
      </c>
      <c r="J5880" s="3">
        <v>100</v>
      </c>
      <c r="K5880" s="3">
        <v>53.38</v>
      </c>
      <c r="L5880">
        <v>46.62</v>
      </c>
    </row>
    <row r="5881" spans="1:12">
      <c r="A5881" s="1">
        <v>46046</v>
      </c>
      <c r="B5881" t="s">
        <v>6076</v>
      </c>
      <c r="C5881">
        <v>16</v>
      </c>
      <c r="D5881" t="str">
        <f>VLOOKUP(Tabela26[[#This Row],[EMP]],[1]LOJA!$A:$B,2,0)</f>
        <v>AG LINDAS</v>
      </c>
      <c r="E5881">
        <v>240</v>
      </c>
      <c r="F5881" t="s">
        <v>3780</v>
      </c>
      <c r="G5881" t="s">
        <v>3437</v>
      </c>
      <c r="H5881" t="s">
        <v>3401</v>
      </c>
      <c r="I5881">
        <v>5102</v>
      </c>
      <c r="J5881" s="3">
        <v>134.1</v>
      </c>
      <c r="K5881" s="3">
        <v>84.44</v>
      </c>
      <c r="L5881">
        <v>37.03</v>
      </c>
    </row>
    <row r="5882" spans="1:12">
      <c r="A5882" s="1">
        <v>46046</v>
      </c>
      <c r="B5882" t="s">
        <v>6075</v>
      </c>
      <c r="C5882">
        <v>16</v>
      </c>
      <c r="D5882" t="str">
        <f>VLOOKUP(Tabela26[[#This Row],[EMP]],[1]LOJA!$A:$B,2,0)</f>
        <v>AG LINDAS</v>
      </c>
      <c r="E5882">
        <v>240</v>
      </c>
      <c r="F5882" t="s">
        <v>3780</v>
      </c>
      <c r="G5882" t="s">
        <v>3437</v>
      </c>
      <c r="H5882" t="s">
        <v>3401</v>
      </c>
      <c r="I5882">
        <v>5102</v>
      </c>
      <c r="J5882" s="3">
        <v>3.8</v>
      </c>
      <c r="K5882" s="3">
        <v>1.93</v>
      </c>
      <c r="L5882">
        <v>49.21</v>
      </c>
    </row>
    <row r="5883" spans="1:12">
      <c r="A5883" s="1">
        <v>46046</v>
      </c>
      <c r="B5883" t="s">
        <v>6074</v>
      </c>
      <c r="C5883">
        <v>16</v>
      </c>
      <c r="D5883" t="str">
        <f>VLOOKUP(Tabela26[[#This Row],[EMP]],[1]LOJA!$A:$B,2,0)</f>
        <v>AG LINDAS</v>
      </c>
      <c r="E5883">
        <v>240</v>
      </c>
      <c r="F5883" t="s">
        <v>5117</v>
      </c>
      <c r="G5883" t="s">
        <v>3437</v>
      </c>
      <c r="H5883" t="s">
        <v>3401</v>
      </c>
      <c r="I5883">
        <v>5405</v>
      </c>
      <c r="J5883" s="3">
        <v>200</v>
      </c>
      <c r="K5883" s="3">
        <v>106.46</v>
      </c>
      <c r="L5883">
        <v>46.77</v>
      </c>
    </row>
    <row r="5884" spans="1:12">
      <c r="A5884" s="1">
        <v>46046</v>
      </c>
      <c r="B5884" t="s">
        <v>6073</v>
      </c>
      <c r="C5884">
        <v>16</v>
      </c>
      <c r="D5884" t="str">
        <f>VLOOKUP(Tabela26[[#This Row],[EMP]],[1]LOJA!$A:$B,2,0)</f>
        <v>AG LINDAS</v>
      </c>
      <c r="E5884">
        <v>240</v>
      </c>
      <c r="F5884" t="s">
        <v>3818</v>
      </c>
      <c r="G5884" t="s">
        <v>3817</v>
      </c>
      <c r="H5884" t="s">
        <v>3408</v>
      </c>
      <c r="I5884">
        <v>5102</v>
      </c>
      <c r="J5884" s="3">
        <v>91.8</v>
      </c>
      <c r="K5884" s="3">
        <v>56.3</v>
      </c>
      <c r="L5884">
        <v>38.67</v>
      </c>
    </row>
    <row r="5885" spans="1:12">
      <c r="A5885" s="1">
        <v>46046</v>
      </c>
      <c r="B5885" t="s">
        <v>6072</v>
      </c>
      <c r="C5885">
        <v>16</v>
      </c>
      <c r="D5885" t="str">
        <f>VLOOKUP(Tabela26[[#This Row],[EMP]],[1]LOJA!$A:$B,2,0)</f>
        <v>AG LINDAS</v>
      </c>
      <c r="E5885">
        <v>240</v>
      </c>
      <c r="F5885" t="s">
        <v>3780</v>
      </c>
      <c r="G5885" t="s">
        <v>3437</v>
      </c>
      <c r="H5885" t="s">
        <v>3401</v>
      </c>
      <c r="I5885">
        <v>5405</v>
      </c>
      <c r="J5885" s="3">
        <v>116.9</v>
      </c>
      <c r="K5885" s="3">
        <v>52.38</v>
      </c>
      <c r="L5885">
        <v>55.19</v>
      </c>
    </row>
    <row r="5886" spans="1:12">
      <c r="A5886" s="1">
        <v>46046</v>
      </c>
      <c r="B5886" t="s">
        <v>6071</v>
      </c>
      <c r="C5886">
        <v>16</v>
      </c>
      <c r="D5886" t="str">
        <f>VLOOKUP(Tabela26[[#This Row],[EMP]],[1]LOJA!$A:$B,2,0)</f>
        <v>AG LINDAS</v>
      </c>
      <c r="E5886">
        <v>240</v>
      </c>
      <c r="F5886" t="s">
        <v>3780</v>
      </c>
      <c r="G5886" t="s">
        <v>3437</v>
      </c>
      <c r="H5886" t="s">
        <v>3401</v>
      </c>
      <c r="I5886">
        <v>5102</v>
      </c>
      <c r="J5886" s="3">
        <v>75.099999999999994</v>
      </c>
      <c r="K5886" s="3">
        <v>42.05</v>
      </c>
      <c r="L5886">
        <v>44.01</v>
      </c>
    </row>
    <row r="5887" spans="1:12">
      <c r="A5887" s="1">
        <v>46046</v>
      </c>
      <c r="B5887" t="s">
        <v>6070</v>
      </c>
      <c r="C5887">
        <v>16</v>
      </c>
      <c r="D5887" t="str">
        <f>VLOOKUP(Tabela26[[#This Row],[EMP]],[1]LOJA!$A:$B,2,0)</f>
        <v>AG LINDAS</v>
      </c>
      <c r="E5887">
        <v>240</v>
      </c>
      <c r="F5887" t="s">
        <v>3780</v>
      </c>
      <c r="G5887" t="s">
        <v>3437</v>
      </c>
      <c r="H5887" t="s">
        <v>3401</v>
      </c>
      <c r="I5887">
        <v>5405</v>
      </c>
      <c r="J5887" s="3">
        <v>76</v>
      </c>
      <c r="K5887" s="3">
        <v>37.33</v>
      </c>
      <c r="L5887">
        <v>50.88</v>
      </c>
    </row>
    <row r="5888" spans="1:12">
      <c r="A5888" s="1">
        <v>46046</v>
      </c>
      <c r="B5888" t="s">
        <v>6069</v>
      </c>
      <c r="C5888">
        <v>16</v>
      </c>
      <c r="D5888" t="str">
        <f>VLOOKUP(Tabela26[[#This Row],[EMP]],[1]LOJA!$A:$B,2,0)</f>
        <v>AG LINDAS</v>
      </c>
      <c r="E5888">
        <v>240</v>
      </c>
      <c r="F5888" t="s">
        <v>3780</v>
      </c>
      <c r="G5888" t="s">
        <v>3437</v>
      </c>
      <c r="H5888" t="s">
        <v>3401</v>
      </c>
      <c r="I5888">
        <v>5102</v>
      </c>
      <c r="J5888" s="3">
        <v>33.9</v>
      </c>
      <c r="K5888" s="3">
        <v>20.86</v>
      </c>
      <c r="L5888">
        <v>38.47</v>
      </c>
    </row>
    <row r="5889" spans="1:12">
      <c r="A5889" s="1">
        <v>46046</v>
      </c>
      <c r="B5889" t="s">
        <v>6068</v>
      </c>
      <c r="C5889">
        <v>14</v>
      </c>
      <c r="D5889" t="str">
        <f>VLOOKUP(Tabela26[[#This Row],[EMP]],[1]LOJA!$A:$B,2,0)</f>
        <v>S IA</v>
      </c>
      <c r="E5889">
        <v>54</v>
      </c>
      <c r="F5889" t="s">
        <v>6067</v>
      </c>
      <c r="G5889" t="s">
        <v>6066</v>
      </c>
      <c r="H5889" t="s">
        <v>3401</v>
      </c>
      <c r="I5889">
        <v>5102</v>
      </c>
      <c r="J5889" s="3">
        <v>18</v>
      </c>
      <c r="K5889" s="3">
        <v>9.17</v>
      </c>
      <c r="L5889">
        <v>49.06</v>
      </c>
    </row>
    <row r="5890" spans="1:12">
      <c r="A5890" s="1">
        <v>46046</v>
      </c>
      <c r="B5890" t="s">
        <v>6065</v>
      </c>
      <c r="C5890">
        <v>14</v>
      </c>
      <c r="D5890" t="str">
        <f>VLOOKUP(Tabela26[[#This Row],[EMP]],[1]LOJA!$A:$B,2,0)</f>
        <v>S IA</v>
      </c>
      <c r="E5890">
        <v>54</v>
      </c>
      <c r="F5890" t="s">
        <v>6064</v>
      </c>
      <c r="G5890" t="s">
        <v>6063</v>
      </c>
      <c r="H5890" t="s">
        <v>3408</v>
      </c>
      <c r="I5890">
        <v>6102</v>
      </c>
      <c r="J5890" s="3">
        <v>630</v>
      </c>
      <c r="K5890" s="3">
        <v>377.98</v>
      </c>
      <c r="L5890">
        <v>40</v>
      </c>
    </row>
    <row r="5891" spans="1:12">
      <c r="A5891" s="1">
        <v>46046</v>
      </c>
      <c r="B5891" t="s">
        <v>6062</v>
      </c>
      <c r="C5891">
        <v>12</v>
      </c>
      <c r="D5891" t="str">
        <f>VLOOKUP(Tabela26[[#This Row],[EMP]],[1]LOJA!$A:$B,2,0)</f>
        <v>SOFNORTE</v>
      </c>
      <c r="E5891">
        <v>239</v>
      </c>
      <c r="F5891" t="s">
        <v>3403</v>
      </c>
      <c r="G5891" t="s">
        <v>3402</v>
      </c>
      <c r="H5891" t="s">
        <v>3401</v>
      </c>
      <c r="I5891">
        <v>5405</v>
      </c>
      <c r="J5891" s="3">
        <v>163</v>
      </c>
      <c r="K5891" s="3">
        <v>77.25</v>
      </c>
      <c r="L5891">
        <v>52.61</v>
      </c>
    </row>
    <row r="5892" spans="1:12">
      <c r="A5892" s="1">
        <v>46046</v>
      </c>
      <c r="B5892" t="s">
        <v>6061</v>
      </c>
      <c r="C5892">
        <v>12</v>
      </c>
      <c r="D5892" t="str">
        <f>VLOOKUP(Tabela26[[#This Row],[EMP]],[1]LOJA!$A:$B,2,0)</f>
        <v>SOFNORTE</v>
      </c>
      <c r="E5892">
        <v>239</v>
      </c>
      <c r="F5892" t="s">
        <v>5065</v>
      </c>
      <c r="G5892" t="s">
        <v>3402</v>
      </c>
      <c r="H5892" t="s">
        <v>3408</v>
      </c>
      <c r="I5892">
        <v>5405</v>
      </c>
      <c r="J5892" s="3">
        <v>88.57</v>
      </c>
      <c r="K5892" s="3">
        <v>39.619999999999997</v>
      </c>
      <c r="L5892">
        <v>55.27</v>
      </c>
    </row>
    <row r="5893" spans="1:12">
      <c r="A5893" s="1">
        <v>46046</v>
      </c>
      <c r="B5893" t="s">
        <v>6060</v>
      </c>
      <c r="C5893">
        <v>12</v>
      </c>
      <c r="D5893" t="str">
        <f>VLOOKUP(Tabela26[[#This Row],[EMP]],[1]LOJA!$A:$B,2,0)</f>
        <v>SOFNORTE</v>
      </c>
      <c r="E5893">
        <v>239</v>
      </c>
      <c r="F5893" t="s">
        <v>4813</v>
      </c>
      <c r="G5893" t="s">
        <v>4812</v>
      </c>
      <c r="H5893" t="s">
        <v>6057</v>
      </c>
      <c r="I5893">
        <v>5102</v>
      </c>
      <c r="J5893" s="3">
        <v>109</v>
      </c>
      <c r="K5893" s="3">
        <v>55.02</v>
      </c>
      <c r="L5893">
        <v>49.52</v>
      </c>
    </row>
    <row r="5894" spans="1:12">
      <c r="A5894" s="1">
        <v>46046</v>
      </c>
      <c r="B5894" t="s">
        <v>6059</v>
      </c>
      <c r="C5894">
        <v>12</v>
      </c>
      <c r="D5894" t="str">
        <f>VLOOKUP(Tabela26[[#This Row],[EMP]],[1]LOJA!$A:$B,2,0)</f>
        <v>SOFNORTE</v>
      </c>
      <c r="E5894">
        <v>239</v>
      </c>
      <c r="F5894" t="s">
        <v>3687</v>
      </c>
      <c r="G5894" t="s">
        <v>3686</v>
      </c>
      <c r="H5894" t="s">
        <v>6057</v>
      </c>
      <c r="I5894">
        <v>5405</v>
      </c>
      <c r="J5894" s="3">
        <v>132</v>
      </c>
      <c r="K5894" s="3">
        <v>63.13</v>
      </c>
      <c r="L5894">
        <v>52.17</v>
      </c>
    </row>
    <row r="5895" spans="1:12">
      <c r="A5895" s="1">
        <v>46046</v>
      </c>
      <c r="B5895" t="s">
        <v>6058</v>
      </c>
      <c r="C5895">
        <v>12</v>
      </c>
      <c r="D5895" t="str">
        <f>VLOOKUP(Tabela26[[#This Row],[EMP]],[1]LOJA!$A:$B,2,0)</f>
        <v>SOFNORTE</v>
      </c>
      <c r="E5895">
        <v>239</v>
      </c>
      <c r="F5895" t="s">
        <v>3691</v>
      </c>
      <c r="G5895" t="s">
        <v>3690</v>
      </c>
      <c r="H5895" t="s">
        <v>6057</v>
      </c>
      <c r="I5895">
        <v>5102</v>
      </c>
      <c r="J5895" s="3">
        <v>26.28</v>
      </c>
      <c r="K5895" s="3">
        <v>13.41</v>
      </c>
      <c r="L5895">
        <v>48.97</v>
      </c>
    </row>
    <row r="5896" spans="1:12">
      <c r="A5896" s="1">
        <v>46046</v>
      </c>
      <c r="B5896" t="s">
        <v>6056</v>
      </c>
      <c r="C5896">
        <v>12</v>
      </c>
      <c r="D5896" t="str">
        <f>VLOOKUP(Tabela26[[#This Row],[EMP]],[1]LOJA!$A:$B,2,0)</f>
        <v>SOFNORTE</v>
      </c>
      <c r="E5896">
        <v>239</v>
      </c>
      <c r="F5896" t="s">
        <v>3403</v>
      </c>
      <c r="G5896" t="s">
        <v>3402</v>
      </c>
      <c r="H5896" t="s">
        <v>3401</v>
      </c>
      <c r="I5896">
        <v>5102</v>
      </c>
      <c r="J5896" s="3">
        <v>24</v>
      </c>
      <c r="K5896" s="3">
        <v>9.6999999999999993</v>
      </c>
      <c r="L5896">
        <v>59.58</v>
      </c>
    </row>
    <row r="5897" spans="1:12">
      <c r="A5897" s="1">
        <v>46046</v>
      </c>
      <c r="B5897" t="s">
        <v>6055</v>
      </c>
      <c r="C5897">
        <v>12</v>
      </c>
      <c r="D5897" t="str">
        <f>VLOOKUP(Tabela26[[#This Row],[EMP]],[1]LOJA!$A:$B,2,0)</f>
        <v>SOFNORTE</v>
      </c>
      <c r="E5897">
        <v>239</v>
      </c>
      <c r="F5897" t="s">
        <v>3403</v>
      </c>
      <c r="G5897" t="s">
        <v>3402</v>
      </c>
      <c r="H5897" t="s">
        <v>3401</v>
      </c>
      <c r="I5897">
        <v>5102</v>
      </c>
      <c r="J5897" s="3">
        <v>20</v>
      </c>
      <c r="K5897" s="3">
        <v>10.23</v>
      </c>
      <c r="L5897">
        <v>48.85</v>
      </c>
    </row>
    <row r="5898" spans="1:12">
      <c r="A5898" s="1">
        <v>46046</v>
      </c>
      <c r="B5898" t="s">
        <v>6054</v>
      </c>
      <c r="C5898">
        <v>12</v>
      </c>
      <c r="D5898" t="str">
        <f>VLOOKUP(Tabela26[[#This Row],[EMP]],[1]LOJA!$A:$B,2,0)</f>
        <v>SOFNORTE</v>
      </c>
      <c r="E5898">
        <v>239</v>
      </c>
      <c r="F5898" t="s">
        <v>3704</v>
      </c>
      <c r="G5898" t="s">
        <v>3703</v>
      </c>
      <c r="H5898" t="s">
        <v>3408</v>
      </c>
      <c r="I5898">
        <v>5102</v>
      </c>
      <c r="J5898" s="3">
        <v>83</v>
      </c>
      <c r="K5898" s="3">
        <v>47.38</v>
      </c>
      <c r="L5898">
        <v>42.92</v>
      </c>
    </row>
    <row r="5899" spans="1:12">
      <c r="A5899" s="1">
        <v>46046</v>
      </c>
      <c r="B5899" t="s">
        <v>6053</v>
      </c>
      <c r="C5899">
        <v>12</v>
      </c>
      <c r="D5899" t="str">
        <f>VLOOKUP(Tabela26[[#This Row],[EMP]],[1]LOJA!$A:$B,2,0)</f>
        <v>SOFNORTE</v>
      </c>
      <c r="E5899">
        <v>239</v>
      </c>
      <c r="F5899" t="s">
        <v>6052</v>
      </c>
      <c r="G5899" t="s">
        <v>3402</v>
      </c>
      <c r="H5899" t="s">
        <v>3408</v>
      </c>
      <c r="I5899">
        <v>5405</v>
      </c>
      <c r="J5899" s="3">
        <v>145</v>
      </c>
      <c r="K5899" s="3">
        <v>80.72</v>
      </c>
      <c r="L5899">
        <v>44.33</v>
      </c>
    </row>
    <row r="5900" spans="1:12">
      <c r="A5900" s="1">
        <v>46046</v>
      </c>
      <c r="B5900" t="s">
        <v>6051</v>
      </c>
      <c r="C5900">
        <v>12</v>
      </c>
      <c r="D5900" t="str">
        <f>VLOOKUP(Tabela26[[#This Row],[EMP]],[1]LOJA!$A:$B,2,0)</f>
        <v>SOFNORTE</v>
      </c>
      <c r="E5900">
        <v>239</v>
      </c>
      <c r="F5900" t="s">
        <v>3403</v>
      </c>
      <c r="G5900" t="s">
        <v>3402</v>
      </c>
      <c r="H5900" t="s">
        <v>3401</v>
      </c>
      <c r="I5900">
        <v>5102</v>
      </c>
      <c r="J5900" s="3">
        <v>40</v>
      </c>
      <c r="K5900" s="3">
        <v>23.2</v>
      </c>
      <c r="L5900">
        <v>42</v>
      </c>
    </row>
    <row r="5901" spans="1:12">
      <c r="A5901" s="1">
        <v>46046</v>
      </c>
      <c r="B5901" t="s">
        <v>6050</v>
      </c>
      <c r="C5901">
        <v>12</v>
      </c>
      <c r="D5901" t="str">
        <f>VLOOKUP(Tabela26[[#This Row],[EMP]],[1]LOJA!$A:$B,2,0)</f>
        <v>SOFNORTE</v>
      </c>
      <c r="E5901">
        <v>239</v>
      </c>
      <c r="F5901" t="s">
        <v>3403</v>
      </c>
      <c r="G5901" t="s">
        <v>3402</v>
      </c>
      <c r="H5901" t="s">
        <v>3401</v>
      </c>
      <c r="I5901">
        <v>5102</v>
      </c>
      <c r="J5901" s="3">
        <v>50</v>
      </c>
      <c r="K5901" s="3">
        <v>27.07</v>
      </c>
      <c r="L5901">
        <v>45.86</v>
      </c>
    </row>
    <row r="5902" spans="1:12">
      <c r="A5902" s="1">
        <v>46046</v>
      </c>
      <c r="B5902" t="s">
        <v>6049</v>
      </c>
      <c r="C5902">
        <v>12</v>
      </c>
      <c r="D5902" t="str">
        <f>VLOOKUP(Tabela26[[#This Row],[EMP]],[1]LOJA!$A:$B,2,0)</f>
        <v>SOFNORTE</v>
      </c>
      <c r="E5902">
        <v>239</v>
      </c>
      <c r="F5902" t="s">
        <v>3403</v>
      </c>
      <c r="G5902" t="s">
        <v>3402</v>
      </c>
      <c r="H5902" t="s">
        <v>3401</v>
      </c>
      <c r="I5902">
        <v>5102</v>
      </c>
      <c r="J5902" s="3">
        <v>78</v>
      </c>
      <c r="K5902" s="3">
        <v>35.39</v>
      </c>
      <c r="L5902">
        <v>54.63</v>
      </c>
    </row>
    <row r="5903" spans="1:12">
      <c r="A5903" s="1">
        <v>46046</v>
      </c>
      <c r="B5903" t="s">
        <v>6048</v>
      </c>
      <c r="C5903">
        <v>12</v>
      </c>
      <c r="D5903" t="str">
        <f>VLOOKUP(Tabela26[[#This Row],[EMP]],[1]LOJA!$A:$B,2,0)</f>
        <v>SOFNORTE</v>
      </c>
      <c r="E5903">
        <v>239</v>
      </c>
      <c r="F5903" t="s">
        <v>3722</v>
      </c>
      <c r="G5903" t="s">
        <v>3721</v>
      </c>
      <c r="H5903" t="s">
        <v>3401</v>
      </c>
      <c r="I5903">
        <v>5102</v>
      </c>
      <c r="J5903" s="3">
        <v>60</v>
      </c>
      <c r="K5903" s="3">
        <v>30.8</v>
      </c>
      <c r="L5903">
        <v>48.67</v>
      </c>
    </row>
    <row r="5904" spans="1:12">
      <c r="A5904" s="1">
        <v>46046</v>
      </c>
      <c r="B5904" t="s">
        <v>6047</v>
      </c>
      <c r="C5904">
        <v>12</v>
      </c>
      <c r="D5904" t="str">
        <f>VLOOKUP(Tabela26[[#This Row],[EMP]],[1]LOJA!$A:$B,2,0)</f>
        <v>SOFNORTE</v>
      </c>
      <c r="E5904">
        <v>239</v>
      </c>
      <c r="F5904" t="s">
        <v>3722</v>
      </c>
      <c r="G5904" t="s">
        <v>3721</v>
      </c>
      <c r="H5904" t="s">
        <v>3401</v>
      </c>
      <c r="I5904">
        <v>5405</v>
      </c>
      <c r="J5904" s="3">
        <v>54</v>
      </c>
      <c r="K5904" s="3">
        <v>26.53</v>
      </c>
      <c r="L5904">
        <v>50.87</v>
      </c>
    </row>
    <row r="5905" spans="1:12">
      <c r="A5905" s="1">
        <v>46046</v>
      </c>
      <c r="B5905" t="s">
        <v>6046</v>
      </c>
      <c r="C5905">
        <v>14</v>
      </c>
      <c r="D5905" t="str">
        <f>VLOOKUP(Tabela26[[#This Row],[EMP]],[1]LOJA!$A:$B,2,0)</f>
        <v>S IA</v>
      </c>
      <c r="E5905">
        <v>54</v>
      </c>
      <c r="F5905" t="s">
        <v>6045</v>
      </c>
      <c r="G5905" t="s">
        <v>3402</v>
      </c>
      <c r="H5905" t="s">
        <v>3401</v>
      </c>
      <c r="I5905">
        <v>5102</v>
      </c>
      <c r="J5905" s="3">
        <v>32.6</v>
      </c>
      <c r="K5905" s="3">
        <v>19.260000000000002</v>
      </c>
      <c r="L5905">
        <v>40.92</v>
      </c>
    </row>
    <row r="5906" spans="1:12">
      <c r="A5906" s="1">
        <v>46046</v>
      </c>
      <c r="B5906" t="s">
        <v>6044</v>
      </c>
      <c r="C5906">
        <v>14</v>
      </c>
      <c r="D5906" t="str">
        <f>VLOOKUP(Tabela26[[#This Row],[EMP]],[1]LOJA!$A:$B,2,0)</f>
        <v>S IA</v>
      </c>
      <c r="E5906">
        <v>54</v>
      </c>
      <c r="F5906" t="s">
        <v>6040</v>
      </c>
      <c r="G5906" t="s">
        <v>6039</v>
      </c>
      <c r="H5906" t="s">
        <v>3401</v>
      </c>
      <c r="I5906">
        <v>5405</v>
      </c>
      <c r="J5906" s="3">
        <v>79</v>
      </c>
      <c r="K5906" s="3">
        <v>35.61</v>
      </c>
      <c r="L5906">
        <v>54.92</v>
      </c>
    </row>
    <row r="5907" spans="1:12">
      <c r="A5907" s="1">
        <v>46046</v>
      </c>
      <c r="B5907" t="s">
        <v>6043</v>
      </c>
      <c r="C5907">
        <v>14</v>
      </c>
      <c r="D5907" t="str">
        <f>VLOOKUP(Tabela26[[#This Row],[EMP]],[1]LOJA!$A:$B,2,0)</f>
        <v>S IA</v>
      </c>
      <c r="E5907">
        <v>54</v>
      </c>
      <c r="F5907" t="s">
        <v>5603</v>
      </c>
      <c r="G5907" t="s">
        <v>3402</v>
      </c>
      <c r="H5907" t="s">
        <v>3408</v>
      </c>
      <c r="I5907">
        <v>5405</v>
      </c>
      <c r="J5907" s="3">
        <v>105.15</v>
      </c>
      <c r="K5907" s="3">
        <v>50.66</v>
      </c>
      <c r="L5907">
        <v>51.82</v>
      </c>
    </row>
    <row r="5908" spans="1:12">
      <c r="A5908" s="1">
        <v>46046</v>
      </c>
      <c r="B5908" t="s">
        <v>6042</v>
      </c>
      <c r="C5908">
        <v>14</v>
      </c>
      <c r="D5908" t="str">
        <f>VLOOKUP(Tabela26[[#This Row],[EMP]],[1]LOJA!$A:$B,2,0)</f>
        <v>S IA</v>
      </c>
      <c r="E5908">
        <v>54</v>
      </c>
      <c r="F5908" t="s">
        <v>3403</v>
      </c>
      <c r="G5908" t="s">
        <v>3402</v>
      </c>
      <c r="H5908" t="s">
        <v>3401</v>
      </c>
      <c r="I5908">
        <v>5102</v>
      </c>
      <c r="J5908" s="3">
        <v>58</v>
      </c>
      <c r="K5908" s="3">
        <v>26.06</v>
      </c>
      <c r="L5908">
        <v>55.07</v>
      </c>
    </row>
    <row r="5909" spans="1:12">
      <c r="A5909" s="1">
        <v>46046</v>
      </c>
      <c r="B5909" t="s">
        <v>6041</v>
      </c>
      <c r="C5909">
        <v>14</v>
      </c>
      <c r="D5909" t="str">
        <f>VLOOKUP(Tabela26[[#This Row],[EMP]],[1]LOJA!$A:$B,2,0)</f>
        <v>S IA</v>
      </c>
      <c r="E5909">
        <v>54</v>
      </c>
      <c r="F5909" t="s">
        <v>6040</v>
      </c>
      <c r="G5909" t="s">
        <v>6039</v>
      </c>
      <c r="H5909" t="s">
        <v>3401</v>
      </c>
      <c r="I5909">
        <v>5102</v>
      </c>
      <c r="J5909" s="3">
        <v>27.9</v>
      </c>
      <c r="K5909" s="3">
        <v>13.03</v>
      </c>
      <c r="L5909">
        <v>53.3</v>
      </c>
    </row>
    <row r="5910" spans="1:12">
      <c r="A5910" s="1">
        <v>46046</v>
      </c>
      <c r="B5910" t="s">
        <v>6038</v>
      </c>
      <c r="C5910">
        <v>14</v>
      </c>
      <c r="D5910" t="str">
        <f>VLOOKUP(Tabela26[[#This Row],[EMP]],[1]LOJA!$A:$B,2,0)</f>
        <v>S IA</v>
      </c>
      <c r="E5910">
        <v>54</v>
      </c>
      <c r="F5910" t="s">
        <v>6037</v>
      </c>
      <c r="G5910" t="s">
        <v>6036</v>
      </c>
      <c r="H5910" t="s">
        <v>3401</v>
      </c>
      <c r="I5910">
        <v>5102</v>
      </c>
      <c r="J5910" s="3">
        <v>21</v>
      </c>
      <c r="K5910" s="3">
        <v>10.93</v>
      </c>
      <c r="L5910">
        <v>47.95</v>
      </c>
    </row>
    <row r="5911" spans="1:12">
      <c r="A5911" s="1">
        <v>46046</v>
      </c>
      <c r="B5911" t="s">
        <v>6035</v>
      </c>
      <c r="C5911">
        <v>14</v>
      </c>
      <c r="D5911" t="str">
        <f>VLOOKUP(Tabela26[[#This Row],[EMP]],[1]LOJA!$A:$B,2,0)</f>
        <v>S IA</v>
      </c>
      <c r="E5911">
        <v>54</v>
      </c>
      <c r="F5911" t="s">
        <v>6034</v>
      </c>
      <c r="G5911" t="s">
        <v>3402</v>
      </c>
      <c r="H5911" t="s">
        <v>3401</v>
      </c>
      <c r="I5911">
        <v>5405</v>
      </c>
      <c r="J5911" s="3">
        <v>39.9</v>
      </c>
      <c r="K5911" s="3">
        <v>18.079999999999998</v>
      </c>
      <c r="L5911">
        <v>54.69</v>
      </c>
    </row>
    <row r="5912" spans="1:12">
      <c r="A5912" s="1">
        <v>46046</v>
      </c>
      <c r="B5912" t="s">
        <v>6033</v>
      </c>
      <c r="C5912">
        <v>14</v>
      </c>
      <c r="D5912" t="str">
        <f>VLOOKUP(Tabela26[[#This Row],[EMP]],[1]LOJA!$A:$B,2,0)</f>
        <v>S IA</v>
      </c>
      <c r="E5912">
        <v>54</v>
      </c>
      <c r="F5912" t="s">
        <v>6032</v>
      </c>
      <c r="G5912" t="s">
        <v>3402</v>
      </c>
      <c r="H5912" t="s">
        <v>3408</v>
      </c>
      <c r="I5912">
        <v>5405</v>
      </c>
      <c r="J5912" s="3">
        <v>73</v>
      </c>
      <c r="K5912" s="3">
        <v>33.74</v>
      </c>
      <c r="L5912">
        <v>53.78</v>
      </c>
    </row>
    <row r="5913" spans="1:12">
      <c r="A5913" s="1">
        <v>46046</v>
      </c>
      <c r="B5913" t="s">
        <v>6031</v>
      </c>
      <c r="C5913">
        <v>14</v>
      </c>
      <c r="D5913" t="str">
        <f>VLOOKUP(Tabela26[[#This Row],[EMP]],[1]LOJA!$A:$B,2,0)</f>
        <v>S IA</v>
      </c>
      <c r="E5913">
        <v>212</v>
      </c>
      <c r="F5913" t="s">
        <v>5603</v>
      </c>
      <c r="G5913" t="s">
        <v>3402</v>
      </c>
      <c r="H5913" t="s">
        <v>3408</v>
      </c>
      <c r="I5913">
        <v>5405</v>
      </c>
      <c r="J5913" s="3">
        <v>44</v>
      </c>
      <c r="K5913" s="3">
        <v>17.73</v>
      </c>
      <c r="L5913">
        <v>59.7</v>
      </c>
    </row>
    <row r="5914" spans="1:12">
      <c r="A5914" s="1">
        <v>46046</v>
      </c>
      <c r="B5914" t="s">
        <v>6030</v>
      </c>
      <c r="C5914">
        <v>14</v>
      </c>
      <c r="D5914" t="str">
        <f>VLOOKUP(Tabela26[[#This Row],[EMP]],[1]LOJA!$A:$B,2,0)</f>
        <v>S IA</v>
      </c>
      <c r="E5914">
        <v>54</v>
      </c>
      <c r="F5914" t="s">
        <v>3403</v>
      </c>
      <c r="G5914" t="s">
        <v>3402</v>
      </c>
      <c r="H5914" t="s">
        <v>3401</v>
      </c>
      <c r="I5914">
        <v>5102</v>
      </c>
      <c r="J5914" s="3">
        <v>140</v>
      </c>
      <c r="K5914" s="3">
        <v>66.42</v>
      </c>
      <c r="L5914">
        <v>52.56</v>
      </c>
    </row>
    <row r="5915" spans="1:12">
      <c r="A5915" s="1">
        <v>46046</v>
      </c>
      <c r="B5915" t="s">
        <v>6029</v>
      </c>
      <c r="C5915">
        <v>14</v>
      </c>
      <c r="D5915" t="str">
        <f>VLOOKUP(Tabela26[[#This Row],[EMP]],[1]LOJA!$A:$B,2,0)</f>
        <v>S IA</v>
      </c>
      <c r="E5915">
        <v>54</v>
      </c>
      <c r="F5915" t="s">
        <v>6028</v>
      </c>
      <c r="G5915" t="s">
        <v>3402</v>
      </c>
      <c r="H5915" t="s">
        <v>3401</v>
      </c>
      <c r="I5915">
        <v>5102</v>
      </c>
      <c r="J5915" s="3">
        <v>29.8</v>
      </c>
      <c r="K5915" s="3">
        <v>16.260000000000002</v>
      </c>
      <c r="L5915">
        <v>45.44</v>
      </c>
    </row>
    <row r="5916" spans="1:12">
      <c r="A5916" s="1">
        <v>46046</v>
      </c>
      <c r="B5916" t="s">
        <v>6027</v>
      </c>
      <c r="C5916">
        <v>14</v>
      </c>
      <c r="D5916" t="str">
        <f>VLOOKUP(Tabela26[[#This Row],[EMP]],[1]LOJA!$A:$B,2,0)</f>
        <v>S IA</v>
      </c>
      <c r="E5916">
        <v>54</v>
      </c>
      <c r="F5916" t="s">
        <v>5251</v>
      </c>
      <c r="G5916" t="s">
        <v>5250</v>
      </c>
      <c r="H5916" t="s">
        <v>3401</v>
      </c>
      <c r="I5916">
        <v>5405</v>
      </c>
      <c r="J5916" s="3">
        <v>109</v>
      </c>
      <c r="K5916" s="3">
        <v>55.24</v>
      </c>
      <c r="L5916">
        <v>49.32</v>
      </c>
    </row>
    <row r="5917" spans="1:12">
      <c r="A5917" s="1">
        <v>46046</v>
      </c>
      <c r="B5917" t="s">
        <v>6026</v>
      </c>
      <c r="C5917">
        <v>14</v>
      </c>
      <c r="D5917" t="str">
        <f>VLOOKUP(Tabela26[[#This Row],[EMP]],[1]LOJA!$A:$B,2,0)</f>
        <v>S IA</v>
      </c>
      <c r="E5917">
        <v>54</v>
      </c>
      <c r="F5917" t="s">
        <v>5592</v>
      </c>
      <c r="G5917" t="s">
        <v>5591</v>
      </c>
      <c r="H5917" t="s">
        <v>3401</v>
      </c>
      <c r="I5917">
        <v>5102</v>
      </c>
      <c r="J5917" s="3">
        <v>81</v>
      </c>
      <c r="K5917" s="3">
        <v>41.86</v>
      </c>
      <c r="L5917">
        <v>48.32</v>
      </c>
    </row>
    <row r="5918" spans="1:12">
      <c r="A5918" s="1">
        <v>46046</v>
      </c>
      <c r="B5918" t="s">
        <v>6025</v>
      </c>
      <c r="C5918">
        <v>13</v>
      </c>
      <c r="D5918" t="str">
        <f>VLOOKUP(Tabela26[[#This Row],[EMP]],[1]LOJA!$A:$B,2,0)</f>
        <v>CEILÂNDIA</v>
      </c>
      <c r="E5918">
        <v>33</v>
      </c>
      <c r="F5918" t="s">
        <v>3403</v>
      </c>
      <c r="G5918" t="s">
        <v>3402</v>
      </c>
      <c r="H5918" t="s">
        <v>3401</v>
      </c>
      <c r="I5918">
        <v>5405</v>
      </c>
      <c r="J5918" s="3">
        <v>220</v>
      </c>
      <c r="K5918" s="3">
        <v>112.88</v>
      </c>
      <c r="L5918">
        <v>48.69</v>
      </c>
    </row>
    <row r="5919" spans="1:12">
      <c r="A5919" s="1">
        <v>46046</v>
      </c>
      <c r="B5919" t="s">
        <v>6024</v>
      </c>
      <c r="C5919">
        <v>13</v>
      </c>
      <c r="D5919" t="str">
        <f>VLOOKUP(Tabela26[[#This Row],[EMP]],[1]LOJA!$A:$B,2,0)</f>
        <v>CEILÂNDIA</v>
      </c>
      <c r="E5919">
        <v>33</v>
      </c>
      <c r="F5919" t="s">
        <v>6023</v>
      </c>
      <c r="G5919" t="s">
        <v>6022</v>
      </c>
      <c r="H5919" t="s">
        <v>3401</v>
      </c>
      <c r="I5919">
        <v>5405</v>
      </c>
      <c r="J5919" s="3">
        <v>640</v>
      </c>
      <c r="K5919" s="3">
        <v>291.48</v>
      </c>
      <c r="L5919">
        <v>54.46</v>
      </c>
    </row>
    <row r="5920" spans="1:12">
      <c r="A5920" s="1">
        <v>46046</v>
      </c>
      <c r="B5920" t="s">
        <v>6021</v>
      </c>
      <c r="C5920">
        <v>13</v>
      </c>
      <c r="D5920" t="str">
        <f>VLOOKUP(Tabela26[[#This Row],[EMP]],[1]LOJA!$A:$B,2,0)</f>
        <v>CEILÂNDIA</v>
      </c>
      <c r="E5920">
        <v>33</v>
      </c>
      <c r="F5920" t="s">
        <v>3403</v>
      </c>
      <c r="G5920" t="s">
        <v>3402</v>
      </c>
      <c r="H5920" t="s">
        <v>3401</v>
      </c>
      <c r="I5920">
        <v>5405</v>
      </c>
      <c r="J5920" s="3">
        <v>134</v>
      </c>
      <c r="K5920" s="3">
        <v>69.56</v>
      </c>
      <c r="L5920">
        <v>48.09</v>
      </c>
    </row>
    <row r="5921" spans="1:12">
      <c r="A5921" s="1">
        <v>46046</v>
      </c>
      <c r="B5921" t="s">
        <v>6020</v>
      </c>
      <c r="C5921">
        <v>13</v>
      </c>
      <c r="D5921" t="str">
        <f>VLOOKUP(Tabela26[[#This Row],[EMP]],[1]LOJA!$A:$B,2,0)</f>
        <v>CEILÂNDIA</v>
      </c>
      <c r="E5921">
        <v>33</v>
      </c>
      <c r="F5921" t="s">
        <v>6019</v>
      </c>
      <c r="G5921" t="s">
        <v>6018</v>
      </c>
      <c r="H5921" t="s">
        <v>3401</v>
      </c>
      <c r="I5921">
        <v>5405</v>
      </c>
      <c r="J5921" s="3">
        <v>275</v>
      </c>
      <c r="K5921" s="3">
        <v>135.29</v>
      </c>
      <c r="L5921">
        <v>50.8</v>
      </c>
    </row>
    <row r="5922" spans="1:12">
      <c r="A5922" s="1">
        <v>46046</v>
      </c>
      <c r="B5922" t="s">
        <v>6017</v>
      </c>
      <c r="C5922">
        <v>13</v>
      </c>
      <c r="D5922" t="str">
        <f>VLOOKUP(Tabela26[[#This Row],[EMP]],[1]LOJA!$A:$B,2,0)</f>
        <v>CEILÂNDIA</v>
      </c>
      <c r="E5922">
        <v>33</v>
      </c>
      <c r="F5922" t="s">
        <v>3403</v>
      </c>
      <c r="G5922" t="s">
        <v>3402</v>
      </c>
      <c r="H5922" t="s">
        <v>3401</v>
      </c>
      <c r="I5922">
        <v>5102</v>
      </c>
      <c r="J5922" s="3">
        <v>123</v>
      </c>
      <c r="K5922" s="3">
        <v>44.61</v>
      </c>
      <c r="L5922">
        <v>63.73</v>
      </c>
    </row>
    <row r="5923" spans="1:12">
      <c r="A5923" s="1">
        <v>46046</v>
      </c>
      <c r="B5923" t="s">
        <v>6016</v>
      </c>
      <c r="C5923">
        <v>13</v>
      </c>
      <c r="D5923" t="str">
        <f>VLOOKUP(Tabela26[[#This Row],[EMP]],[1]LOJA!$A:$B,2,0)</f>
        <v>CEILÂNDIA</v>
      </c>
      <c r="E5923">
        <v>33</v>
      </c>
      <c r="F5923" t="s">
        <v>3403</v>
      </c>
      <c r="G5923" t="s">
        <v>3402</v>
      </c>
      <c r="H5923" t="s">
        <v>3401</v>
      </c>
      <c r="I5923">
        <v>5102</v>
      </c>
      <c r="J5923" s="3">
        <v>11.7</v>
      </c>
      <c r="K5923" s="3">
        <v>5.55</v>
      </c>
      <c r="L5923">
        <v>52.56</v>
      </c>
    </row>
    <row r="5924" spans="1:12">
      <c r="A5924" s="1">
        <v>46046</v>
      </c>
      <c r="B5924" t="s">
        <v>6015</v>
      </c>
      <c r="C5924">
        <v>13</v>
      </c>
      <c r="D5924" t="str">
        <f>VLOOKUP(Tabela26[[#This Row],[EMP]],[1]LOJA!$A:$B,2,0)</f>
        <v>CEILÂNDIA</v>
      </c>
      <c r="E5924">
        <v>33</v>
      </c>
      <c r="F5924" t="s">
        <v>3403</v>
      </c>
      <c r="G5924" t="s">
        <v>3402</v>
      </c>
      <c r="H5924" t="s">
        <v>3401</v>
      </c>
      <c r="I5924">
        <v>5102</v>
      </c>
      <c r="J5924" s="3">
        <v>66</v>
      </c>
      <c r="K5924" s="3">
        <v>31.43</v>
      </c>
      <c r="L5924">
        <v>52.38</v>
      </c>
    </row>
    <row r="5925" spans="1:12">
      <c r="A5925" s="1">
        <v>46046</v>
      </c>
      <c r="B5925" t="s">
        <v>6014</v>
      </c>
      <c r="C5925">
        <v>13</v>
      </c>
      <c r="D5925" t="str">
        <f>VLOOKUP(Tabela26[[#This Row],[EMP]],[1]LOJA!$A:$B,2,0)</f>
        <v>CEILÂNDIA</v>
      </c>
      <c r="E5925">
        <v>33</v>
      </c>
      <c r="F5925" t="s">
        <v>3403</v>
      </c>
      <c r="G5925" t="s">
        <v>3402</v>
      </c>
      <c r="H5925" t="s">
        <v>3401</v>
      </c>
      <c r="I5925">
        <v>5102</v>
      </c>
      <c r="J5925" s="3">
        <v>145.80000000000001</v>
      </c>
      <c r="K5925" s="3">
        <v>94.76</v>
      </c>
      <c r="L5925">
        <v>35.01</v>
      </c>
    </row>
    <row r="5926" spans="1:12">
      <c r="A5926" s="1">
        <v>46046</v>
      </c>
      <c r="B5926" t="s">
        <v>6013</v>
      </c>
      <c r="C5926">
        <v>13</v>
      </c>
      <c r="D5926" t="str">
        <f>VLOOKUP(Tabela26[[#This Row],[EMP]],[1]LOJA!$A:$B,2,0)</f>
        <v>CEILÂNDIA</v>
      </c>
      <c r="E5926">
        <v>86</v>
      </c>
      <c r="F5926" t="s">
        <v>4091</v>
      </c>
      <c r="G5926" t="s">
        <v>4090</v>
      </c>
      <c r="H5926" t="s">
        <v>6012</v>
      </c>
      <c r="I5926">
        <v>5102</v>
      </c>
      <c r="J5926" s="3">
        <v>148</v>
      </c>
      <c r="K5926" s="3">
        <v>78.819999999999993</v>
      </c>
      <c r="L5926">
        <v>46.74</v>
      </c>
    </row>
    <row r="5927" spans="1:12">
      <c r="A5927" s="1">
        <v>46046</v>
      </c>
      <c r="B5927" t="s">
        <v>6011</v>
      </c>
      <c r="C5927">
        <v>6</v>
      </c>
      <c r="D5927" t="str">
        <f>VLOOKUP(Tabela26[[#This Row],[EMP]],[1]LOJA!$A:$B,2,0)</f>
        <v>GAMA</v>
      </c>
      <c r="E5927">
        <v>226</v>
      </c>
      <c r="F5927" t="s">
        <v>3403</v>
      </c>
      <c r="G5927" t="s">
        <v>3402</v>
      </c>
      <c r="H5927" t="s">
        <v>3401</v>
      </c>
      <c r="I5927">
        <v>5405</v>
      </c>
      <c r="J5927" s="3">
        <v>47</v>
      </c>
      <c r="K5927" s="3">
        <v>20.46</v>
      </c>
      <c r="L5927">
        <v>56.47</v>
      </c>
    </row>
    <row r="5928" spans="1:12">
      <c r="A5928" s="1">
        <v>46046</v>
      </c>
      <c r="B5928" t="s">
        <v>6010</v>
      </c>
      <c r="C5928">
        <v>6</v>
      </c>
      <c r="D5928" t="str">
        <f>VLOOKUP(Tabela26[[#This Row],[EMP]],[1]LOJA!$A:$B,2,0)</f>
        <v>GAMA</v>
      </c>
      <c r="E5928">
        <v>226</v>
      </c>
      <c r="F5928" t="s">
        <v>3403</v>
      </c>
      <c r="G5928" t="s">
        <v>3402</v>
      </c>
      <c r="H5928" t="s">
        <v>3401</v>
      </c>
      <c r="I5928">
        <v>5405</v>
      </c>
      <c r="J5928" s="3">
        <v>152</v>
      </c>
      <c r="K5928" s="3">
        <v>69.63</v>
      </c>
      <c r="L5928">
        <v>54.19</v>
      </c>
    </row>
    <row r="5929" spans="1:12">
      <c r="A5929" s="1">
        <v>46046</v>
      </c>
      <c r="B5929" t="s">
        <v>6009</v>
      </c>
      <c r="C5929">
        <v>6</v>
      </c>
      <c r="D5929" t="str">
        <f>VLOOKUP(Tabela26[[#This Row],[EMP]],[1]LOJA!$A:$B,2,0)</f>
        <v>GAMA</v>
      </c>
      <c r="E5929">
        <v>226</v>
      </c>
      <c r="F5929" t="s">
        <v>3403</v>
      </c>
      <c r="G5929" t="s">
        <v>3402</v>
      </c>
      <c r="H5929" t="s">
        <v>3401</v>
      </c>
      <c r="I5929">
        <v>5102</v>
      </c>
      <c r="J5929" s="3">
        <v>39</v>
      </c>
      <c r="K5929" s="3">
        <v>17.77</v>
      </c>
      <c r="L5929">
        <v>54.44</v>
      </c>
    </row>
    <row r="5930" spans="1:12">
      <c r="A5930" s="1">
        <v>46046</v>
      </c>
      <c r="B5930" t="s">
        <v>6008</v>
      </c>
      <c r="C5930">
        <v>6</v>
      </c>
      <c r="D5930" t="str">
        <f>VLOOKUP(Tabela26[[#This Row],[EMP]],[1]LOJA!$A:$B,2,0)</f>
        <v>GAMA</v>
      </c>
      <c r="E5930">
        <v>226</v>
      </c>
      <c r="F5930" t="s">
        <v>3403</v>
      </c>
      <c r="G5930" t="s">
        <v>3402</v>
      </c>
      <c r="H5930" t="s">
        <v>3401</v>
      </c>
      <c r="I5930">
        <v>5102</v>
      </c>
      <c r="J5930" s="3">
        <v>32</v>
      </c>
      <c r="K5930" s="3">
        <v>13.96</v>
      </c>
      <c r="L5930">
        <v>56.38</v>
      </c>
    </row>
    <row r="5931" spans="1:12">
      <c r="A5931" s="1">
        <v>46046</v>
      </c>
      <c r="B5931" t="s">
        <v>6007</v>
      </c>
      <c r="C5931">
        <v>6</v>
      </c>
      <c r="D5931" t="str">
        <f>VLOOKUP(Tabela26[[#This Row],[EMP]],[1]LOJA!$A:$B,2,0)</f>
        <v>GAMA</v>
      </c>
      <c r="E5931">
        <v>226</v>
      </c>
      <c r="F5931" t="s">
        <v>6006</v>
      </c>
      <c r="G5931" t="s">
        <v>3402</v>
      </c>
      <c r="H5931" t="s">
        <v>3401</v>
      </c>
      <c r="I5931">
        <v>5405</v>
      </c>
      <c r="J5931" s="3">
        <v>60</v>
      </c>
      <c r="K5931" s="3">
        <v>31.61</v>
      </c>
      <c r="L5931">
        <v>47.32</v>
      </c>
    </row>
    <row r="5932" spans="1:12">
      <c r="A5932" s="1">
        <v>46046</v>
      </c>
      <c r="B5932" t="s">
        <v>6005</v>
      </c>
      <c r="C5932">
        <v>6</v>
      </c>
      <c r="D5932" t="str">
        <f>VLOOKUP(Tabela26[[#This Row],[EMP]],[1]LOJA!$A:$B,2,0)</f>
        <v>GAMA</v>
      </c>
      <c r="E5932">
        <v>226</v>
      </c>
      <c r="F5932" t="s">
        <v>3403</v>
      </c>
      <c r="G5932" t="s">
        <v>3402</v>
      </c>
      <c r="H5932" t="s">
        <v>3401</v>
      </c>
      <c r="I5932">
        <v>5102</v>
      </c>
      <c r="J5932" s="3">
        <v>48.4</v>
      </c>
      <c r="K5932" s="3">
        <v>26.18</v>
      </c>
      <c r="L5932">
        <v>45.91</v>
      </c>
    </row>
    <row r="5933" spans="1:12">
      <c r="A5933" s="1">
        <v>46046</v>
      </c>
      <c r="B5933" t="s">
        <v>6004</v>
      </c>
      <c r="C5933">
        <v>6</v>
      </c>
      <c r="D5933" t="str">
        <f>VLOOKUP(Tabela26[[#This Row],[EMP]],[1]LOJA!$A:$B,2,0)</f>
        <v>GAMA</v>
      </c>
      <c r="E5933">
        <v>226</v>
      </c>
      <c r="F5933" t="s">
        <v>3403</v>
      </c>
      <c r="G5933" t="s">
        <v>3402</v>
      </c>
      <c r="H5933" t="s">
        <v>3401</v>
      </c>
      <c r="I5933">
        <v>5102</v>
      </c>
      <c r="J5933" s="3">
        <v>48.9</v>
      </c>
      <c r="K5933" s="3">
        <v>26.66</v>
      </c>
      <c r="L5933">
        <v>45.48</v>
      </c>
    </row>
    <row r="5934" spans="1:12">
      <c r="A5934" s="1">
        <v>46048</v>
      </c>
      <c r="B5934" t="s">
        <v>6003</v>
      </c>
      <c r="C5934">
        <v>24</v>
      </c>
      <c r="D5934" t="str">
        <f>VLOOKUP(Tabela26[[#This Row],[EMP]],[1]LOJA!$A:$B,2,0)</f>
        <v>LUZIÂNIA</v>
      </c>
      <c r="E5934">
        <v>192</v>
      </c>
      <c r="F5934" t="s">
        <v>4286</v>
      </c>
      <c r="G5934" t="s">
        <v>4285</v>
      </c>
      <c r="H5934" t="s">
        <v>3430</v>
      </c>
      <c r="I5934">
        <v>5102</v>
      </c>
      <c r="J5934" s="3">
        <v>41.69</v>
      </c>
      <c r="K5934" s="3">
        <v>23.18</v>
      </c>
      <c r="L5934">
        <v>44.4</v>
      </c>
    </row>
    <row r="5935" spans="1:12">
      <c r="A5935" s="1">
        <v>46048</v>
      </c>
      <c r="B5935" t="s">
        <v>6002</v>
      </c>
      <c r="C5935">
        <v>24</v>
      </c>
      <c r="D5935" t="str">
        <f>VLOOKUP(Tabela26[[#This Row],[EMP]],[1]LOJA!$A:$B,2,0)</f>
        <v>LUZIÂNIA</v>
      </c>
      <c r="E5935">
        <v>150</v>
      </c>
      <c r="F5935" t="s">
        <v>4282</v>
      </c>
      <c r="G5935" t="s">
        <v>4281</v>
      </c>
      <c r="H5935" t="s">
        <v>3430</v>
      </c>
      <c r="I5935">
        <v>5405</v>
      </c>
      <c r="J5935" s="3">
        <v>452.63</v>
      </c>
      <c r="K5935" s="3">
        <v>233.96</v>
      </c>
      <c r="L5935">
        <v>48.31</v>
      </c>
    </row>
    <row r="5936" spans="1:12">
      <c r="A5936" s="1">
        <v>46048</v>
      </c>
      <c r="B5936" t="s">
        <v>6001</v>
      </c>
      <c r="C5936">
        <v>24</v>
      </c>
      <c r="D5936" t="str">
        <f>VLOOKUP(Tabela26[[#This Row],[EMP]],[1]LOJA!$A:$B,2,0)</f>
        <v>LUZIÂNIA</v>
      </c>
      <c r="E5936">
        <v>150</v>
      </c>
      <c r="F5936" t="s">
        <v>5996</v>
      </c>
      <c r="G5936" t="s">
        <v>5995</v>
      </c>
      <c r="H5936" t="s">
        <v>3401</v>
      </c>
      <c r="I5936">
        <v>1411</v>
      </c>
      <c r="J5936" s="3">
        <v>-149.53</v>
      </c>
      <c r="K5936" s="3">
        <v>-69.66</v>
      </c>
      <c r="L5936">
        <v>53.41</v>
      </c>
    </row>
    <row r="5937" spans="1:12">
      <c r="A5937" s="1">
        <v>46048</v>
      </c>
      <c r="B5937" t="s">
        <v>6000</v>
      </c>
      <c r="C5937">
        <v>24</v>
      </c>
      <c r="D5937" t="str">
        <f>VLOOKUP(Tabela26[[#This Row],[EMP]],[1]LOJA!$A:$B,2,0)</f>
        <v>LUZIÂNIA</v>
      </c>
      <c r="E5937">
        <v>192</v>
      </c>
      <c r="F5937" t="s">
        <v>5999</v>
      </c>
      <c r="G5937" t="s">
        <v>5998</v>
      </c>
      <c r="H5937" t="s">
        <v>3401</v>
      </c>
      <c r="I5937">
        <v>1411</v>
      </c>
      <c r="J5937" s="3">
        <v>-138.12</v>
      </c>
      <c r="K5937" s="3">
        <v>-62.21</v>
      </c>
      <c r="L5937">
        <v>54.96</v>
      </c>
    </row>
    <row r="5938" spans="1:12">
      <c r="A5938" s="1">
        <v>46048</v>
      </c>
      <c r="B5938" t="s">
        <v>5997</v>
      </c>
      <c r="C5938">
        <v>24</v>
      </c>
      <c r="D5938" t="str">
        <f>VLOOKUP(Tabela26[[#This Row],[EMP]],[1]LOJA!$A:$B,2,0)</f>
        <v>LUZIÂNIA</v>
      </c>
      <c r="E5938">
        <v>150</v>
      </c>
      <c r="F5938" t="s">
        <v>5996</v>
      </c>
      <c r="G5938" t="s">
        <v>5995</v>
      </c>
      <c r="H5938" t="s">
        <v>3401</v>
      </c>
      <c r="I5938">
        <v>5405</v>
      </c>
      <c r="J5938" s="3">
        <v>620</v>
      </c>
      <c r="K5938" s="3">
        <v>287.62</v>
      </c>
      <c r="L5938">
        <v>53.61</v>
      </c>
    </row>
    <row r="5939" spans="1:12">
      <c r="A5939" s="1">
        <v>46048</v>
      </c>
      <c r="B5939" t="s">
        <v>5994</v>
      </c>
      <c r="C5939">
        <v>24</v>
      </c>
      <c r="D5939" t="str">
        <f>VLOOKUP(Tabela26[[#This Row],[EMP]],[1]LOJA!$A:$B,2,0)</f>
        <v>LUZIÂNIA</v>
      </c>
      <c r="E5939">
        <v>242</v>
      </c>
      <c r="F5939" t="s">
        <v>5993</v>
      </c>
      <c r="G5939" t="s">
        <v>5992</v>
      </c>
      <c r="H5939" t="s">
        <v>5991</v>
      </c>
      <c r="I5939">
        <v>5405</v>
      </c>
      <c r="J5939" s="3">
        <v>159.80000000000001</v>
      </c>
      <c r="K5939" s="3">
        <v>98.4</v>
      </c>
      <c r="L5939">
        <v>38.42</v>
      </c>
    </row>
    <row r="5940" spans="1:12">
      <c r="A5940" s="1">
        <v>46048</v>
      </c>
      <c r="B5940" t="s">
        <v>5990</v>
      </c>
      <c r="C5940">
        <v>24</v>
      </c>
      <c r="D5940" t="str">
        <f>VLOOKUP(Tabela26[[#This Row],[EMP]],[1]LOJA!$A:$B,2,0)</f>
        <v>LUZIÂNIA</v>
      </c>
      <c r="E5940">
        <v>150</v>
      </c>
      <c r="F5940" t="s">
        <v>4282</v>
      </c>
      <c r="G5940" t="s">
        <v>4281</v>
      </c>
      <c r="H5940" t="s">
        <v>3430</v>
      </c>
      <c r="I5940">
        <v>5405</v>
      </c>
      <c r="J5940" s="3">
        <v>1670.55</v>
      </c>
      <c r="K5940" s="3">
        <v>995.26</v>
      </c>
      <c r="L5940">
        <v>40.42</v>
      </c>
    </row>
    <row r="5941" spans="1:12">
      <c r="A5941" s="1">
        <v>46048</v>
      </c>
      <c r="B5941" t="s">
        <v>5989</v>
      </c>
      <c r="C5941">
        <v>24</v>
      </c>
      <c r="D5941" t="str">
        <f>VLOOKUP(Tabela26[[#This Row],[EMP]],[1]LOJA!$A:$B,2,0)</f>
        <v>LUZIÂNIA</v>
      </c>
      <c r="E5941">
        <v>192</v>
      </c>
      <c r="F5941" t="s">
        <v>5422</v>
      </c>
      <c r="G5941" t="s">
        <v>5421</v>
      </c>
      <c r="H5941" t="s">
        <v>3430</v>
      </c>
      <c r="I5941">
        <v>5405</v>
      </c>
      <c r="J5941" s="3">
        <v>365</v>
      </c>
      <c r="K5941" s="3">
        <v>179.03</v>
      </c>
      <c r="L5941">
        <v>50.95</v>
      </c>
    </row>
    <row r="5942" spans="1:12">
      <c r="A5942" s="1">
        <v>46048</v>
      </c>
      <c r="B5942" t="s">
        <v>5988</v>
      </c>
      <c r="C5942">
        <v>24</v>
      </c>
      <c r="D5942" t="str">
        <f>VLOOKUP(Tabela26[[#This Row],[EMP]],[1]LOJA!$A:$B,2,0)</f>
        <v>LUZIÂNIA</v>
      </c>
      <c r="E5942">
        <v>150</v>
      </c>
      <c r="F5942" t="s">
        <v>5987</v>
      </c>
      <c r="G5942" t="s">
        <v>5986</v>
      </c>
      <c r="H5942" t="s">
        <v>4243</v>
      </c>
      <c r="I5942">
        <v>5405</v>
      </c>
      <c r="J5942" s="3">
        <v>205.26</v>
      </c>
      <c r="K5942" s="3">
        <v>93.71</v>
      </c>
      <c r="L5942">
        <v>54.35</v>
      </c>
    </row>
    <row r="5943" spans="1:12">
      <c r="A5943" s="1">
        <v>46048</v>
      </c>
      <c r="B5943" t="s">
        <v>5985</v>
      </c>
      <c r="C5943">
        <v>24</v>
      </c>
      <c r="D5943" t="str">
        <f>VLOOKUP(Tabela26[[#This Row],[EMP]],[1]LOJA!$A:$B,2,0)</f>
        <v>LUZIÂNIA</v>
      </c>
      <c r="E5943">
        <v>150</v>
      </c>
      <c r="F5943" t="s">
        <v>4182</v>
      </c>
      <c r="G5943" t="s">
        <v>4181</v>
      </c>
      <c r="H5943" t="s">
        <v>3430</v>
      </c>
      <c r="I5943">
        <v>5102</v>
      </c>
      <c r="J5943" s="3">
        <v>43</v>
      </c>
      <c r="K5943" s="3">
        <v>17.329999999999998</v>
      </c>
      <c r="L5943">
        <v>59.7</v>
      </c>
    </row>
    <row r="5944" spans="1:12">
      <c r="A5944" s="1">
        <v>46048</v>
      </c>
      <c r="B5944" t="s">
        <v>5984</v>
      </c>
      <c r="C5944">
        <v>24</v>
      </c>
      <c r="D5944" t="str">
        <f>VLOOKUP(Tabela26[[#This Row],[EMP]],[1]LOJA!$A:$B,2,0)</f>
        <v>LUZIÂNIA</v>
      </c>
      <c r="E5944">
        <v>192</v>
      </c>
      <c r="F5944" t="s">
        <v>4946</v>
      </c>
      <c r="G5944" t="s">
        <v>4945</v>
      </c>
      <c r="H5944" t="s">
        <v>3430</v>
      </c>
      <c r="I5944">
        <v>5102</v>
      </c>
      <c r="J5944" s="3">
        <v>59.9</v>
      </c>
      <c r="K5944" s="3">
        <v>41.63</v>
      </c>
      <c r="L5944">
        <v>30.5</v>
      </c>
    </row>
    <row r="5945" spans="1:12">
      <c r="A5945" s="1">
        <v>46048</v>
      </c>
      <c r="B5945" t="s">
        <v>5983</v>
      </c>
      <c r="C5945">
        <v>16</v>
      </c>
      <c r="D5945" t="str">
        <f>VLOOKUP(Tabela26[[#This Row],[EMP]],[1]LOJA!$A:$B,2,0)</f>
        <v>AG LINDAS</v>
      </c>
      <c r="E5945">
        <v>240</v>
      </c>
      <c r="F5945" t="s">
        <v>4267</v>
      </c>
      <c r="G5945" t="s">
        <v>4266</v>
      </c>
      <c r="H5945" t="s">
        <v>3430</v>
      </c>
      <c r="I5945">
        <v>5405</v>
      </c>
      <c r="J5945" s="3">
        <v>164</v>
      </c>
      <c r="K5945" s="3">
        <v>92.38</v>
      </c>
      <c r="L5945">
        <v>43.67</v>
      </c>
    </row>
    <row r="5946" spans="1:12">
      <c r="A5946" s="1">
        <v>46048</v>
      </c>
      <c r="B5946" t="s">
        <v>5982</v>
      </c>
      <c r="C5946">
        <v>16</v>
      </c>
      <c r="D5946" t="str">
        <f>VLOOKUP(Tabela26[[#This Row],[EMP]],[1]LOJA!$A:$B,2,0)</f>
        <v>AG LINDAS</v>
      </c>
      <c r="E5946">
        <v>240</v>
      </c>
      <c r="F5946" t="s">
        <v>4267</v>
      </c>
      <c r="G5946" t="s">
        <v>4266</v>
      </c>
      <c r="H5946" t="s">
        <v>3430</v>
      </c>
      <c r="I5946">
        <v>5405</v>
      </c>
      <c r="J5946" s="3">
        <v>58.9</v>
      </c>
      <c r="K5946" s="3">
        <v>31.61</v>
      </c>
      <c r="L5946">
        <v>46.33</v>
      </c>
    </row>
    <row r="5947" spans="1:12">
      <c r="A5947" s="1">
        <v>46048</v>
      </c>
      <c r="B5947" t="s">
        <v>5981</v>
      </c>
      <c r="C5947">
        <v>15</v>
      </c>
      <c r="D5947" t="str">
        <f>VLOOKUP(Tabela26[[#This Row],[EMP]],[1]LOJA!$A:$B,2,0)</f>
        <v>UNAÍ</v>
      </c>
      <c r="E5947">
        <v>183</v>
      </c>
      <c r="F5947" t="s">
        <v>5469</v>
      </c>
      <c r="G5947" t="s">
        <v>5468</v>
      </c>
      <c r="H5947" t="s">
        <v>3408</v>
      </c>
      <c r="I5947">
        <v>5405</v>
      </c>
      <c r="J5947" s="3">
        <v>230</v>
      </c>
      <c r="K5947" s="3">
        <v>116.88</v>
      </c>
      <c r="L5947">
        <v>49.18</v>
      </c>
    </row>
    <row r="5948" spans="1:12">
      <c r="A5948" s="1">
        <v>46048</v>
      </c>
      <c r="B5948" t="s">
        <v>5980</v>
      </c>
      <c r="C5948">
        <v>15</v>
      </c>
      <c r="D5948" t="str">
        <f>VLOOKUP(Tabela26[[#This Row],[EMP]],[1]LOJA!$A:$B,2,0)</f>
        <v>UNAÍ</v>
      </c>
      <c r="E5948">
        <v>183</v>
      </c>
      <c r="F5948" t="s">
        <v>4686</v>
      </c>
      <c r="G5948" t="s">
        <v>4685</v>
      </c>
      <c r="H5948" t="s">
        <v>3520</v>
      </c>
      <c r="I5948">
        <v>5405</v>
      </c>
      <c r="J5948" s="3">
        <v>242</v>
      </c>
      <c r="K5948" s="3">
        <v>116.56</v>
      </c>
      <c r="L5948">
        <v>51.83</v>
      </c>
    </row>
    <row r="5949" spans="1:12">
      <c r="A5949" s="1">
        <v>46048</v>
      </c>
      <c r="B5949" t="s">
        <v>5979</v>
      </c>
      <c r="C5949">
        <v>22</v>
      </c>
      <c r="D5949" t="str">
        <f>VLOOKUP(Tabela26[[#This Row],[EMP]],[1]LOJA!$A:$B,2,0)</f>
        <v>GUARÁ</v>
      </c>
      <c r="E5949">
        <v>93</v>
      </c>
      <c r="F5949" t="s">
        <v>5978</v>
      </c>
      <c r="G5949" t="s">
        <v>5977</v>
      </c>
      <c r="H5949" t="s">
        <v>3430</v>
      </c>
      <c r="I5949">
        <v>5405</v>
      </c>
      <c r="J5949" s="3">
        <v>1724.96</v>
      </c>
      <c r="K5949" s="3">
        <v>992.93</v>
      </c>
      <c r="L5949">
        <v>42.44</v>
      </c>
    </row>
    <row r="5950" spans="1:12">
      <c r="A5950" s="1">
        <v>46048</v>
      </c>
      <c r="B5950" t="s">
        <v>5976</v>
      </c>
      <c r="C5950">
        <v>22</v>
      </c>
      <c r="D5950" t="str">
        <f>VLOOKUP(Tabela26[[#This Row],[EMP]],[1]LOJA!$A:$B,2,0)</f>
        <v>GUARÁ</v>
      </c>
      <c r="E5950">
        <v>93</v>
      </c>
      <c r="F5950" t="s">
        <v>4246</v>
      </c>
      <c r="G5950" t="s">
        <v>4245</v>
      </c>
      <c r="H5950" t="s">
        <v>3430</v>
      </c>
      <c r="I5950">
        <v>5405</v>
      </c>
      <c r="J5950" s="3">
        <v>800.26</v>
      </c>
      <c r="K5950" s="3">
        <v>467.83</v>
      </c>
      <c r="L5950">
        <v>41.54</v>
      </c>
    </row>
    <row r="5951" spans="1:12">
      <c r="A5951" s="1">
        <v>46048</v>
      </c>
      <c r="B5951" t="s">
        <v>5975</v>
      </c>
      <c r="C5951">
        <v>22</v>
      </c>
      <c r="D5951" t="str">
        <f>VLOOKUP(Tabela26[[#This Row],[EMP]],[1]LOJA!$A:$B,2,0)</f>
        <v>GUARÁ</v>
      </c>
      <c r="E5951">
        <v>93</v>
      </c>
      <c r="F5951" t="s">
        <v>3535</v>
      </c>
      <c r="G5951" t="s">
        <v>3534</v>
      </c>
      <c r="H5951" t="s">
        <v>3426</v>
      </c>
      <c r="I5951">
        <v>5405</v>
      </c>
      <c r="J5951" s="3">
        <v>595.98</v>
      </c>
      <c r="K5951" s="3">
        <v>316.95999999999998</v>
      </c>
      <c r="L5951">
        <v>46.82</v>
      </c>
    </row>
    <row r="5952" spans="1:12">
      <c r="A5952" s="1">
        <v>46048</v>
      </c>
      <c r="B5952" t="s">
        <v>5974</v>
      </c>
      <c r="C5952">
        <v>22</v>
      </c>
      <c r="D5952" t="str">
        <f>VLOOKUP(Tabela26[[#This Row],[EMP]],[1]LOJA!$A:$B,2,0)</f>
        <v>GUARÁ</v>
      </c>
      <c r="E5952">
        <v>93</v>
      </c>
      <c r="F5952" t="s">
        <v>4246</v>
      </c>
      <c r="G5952" t="s">
        <v>4245</v>
      </c>
      <c r="H5952" t="s">
        <v>3430</v>
      </c>
      <c r="I5952">
        <v>5102</v>
      </c>
      <c r="J5952" s="3">
        <v>13.44</v>
      </c>
      <c r="K5952" s="3">
        <v>7.82</v>
      </c>
      <c r="L5952">
        <v>41.82</v>
      </c>
    </row>
    <row r="5953" spans="1:12">
      <c r="A5953" s="1">
        <v>46048</v>
      </c>
      <c r="B5953" t="s">
        <v>5973</v>
      </c>
      <c r="C5953">
        <v>22</v>
      </c>
      <c r="D5953" t="str">
        <f>VLOOKUP(Tabela26[[#This Row],[EMP]],[1]LOJA!$A:$B,2,0)</f>
        <v>GUARÁ</v>
      </c>
      <c r="E5953">
        <v>16</v>
      </c>
      <c r="F5953" t="s">
        <v>5972</v>
      </c>
      <c r="G5953" t="s">
        <v>5971</v>
      </c>
      <c r="H5953" t="s">
        <v>3430</v>
      </c>
      <c r="I5953">
        <v>5102</v>
      </c>
      <c r="J5953" s="3">
        <v>944</v>
      </c>
      <c r="K5953" s="3">
        <v>536.20000000000005</v>
      </c>
      <c r="L5953">
        <v>43.2</v>
      </c>
    </row>
    <row r="5954" spans="1:12">
      <c r="A5954" s="1">
        <v>46048</v>
      </c>
      <c r="B5954" t="s">
        <v>5970</v>
      </c>
      <c r="C5954">
        <v>22</v>
      </c>
      <c r="D5954" t="str">
        <f>VLOOKUP(Tabela26[[#This Row],[EMP]],[1]LOJA!$A:$B,2,0)</f>
        <v>GUARÁ</v>
      </c>
      <c r="E5954">
        <v>93</v>
      </c>
      <c r="F5954" t="s">
        <v>3535</v>
      </c>
      <c r="G5954" t="s">
        <v>3534</v>
      </c>
      <c r="H5954" t="s">
        <v>3426</v>
      </c>
      <c r="I5954">
        <v>5102</v>
      </c>
      <c r="J5954" s="3">
        <v>877.49</v>
      </c>
      <c r="K5954" s="3">
        <v>555.9</v>
      </c>
      <c r="L5954">
        <v>36.65</v>
      </c>
    </row>
    <row r="5955" spans="1:12">
      <c r="A5955" s="1">
        <v>46048</v>
      </c>
      <c r="B5955" t="s">
        <v>5969</v>
      </c>
      <c r="C5955">
        <v>22</v>
      </c>
      <c r="D5955" t="str">
        <f>VLOOKUP(Tabela26[[#This Row],[EMP]],[1]LOJA!$A:$B,2,0)</f>
        <v>GUARÁ</v>
      </c>
      <c r="E5955">
        <v>16</v>
      </c>
      <c r="F5955" t="s">
        <v>4251</v>
      </c>
      <c r="G5955" t="s">
        <v>4250</v>
      </c>
      <c r="H5955" t="s">
        <v>3430</v>
      </c>
      <c r="I5955">
        <v>5102</v>
      </c>
      <c r="J5955" s="3">
        <v>122</v>
      </c>
      <c r="K5955" s="3">
        <v>77.849999999999994</v>
      </c>
      <c r="L5955">
        <v>36.19</v>
      </c>
    </row>
    <row r="5956" spans="1:12">
      <c r="A5956" s="1">
        <v>46048</v>
      </c>
      <c r="B5956" t="s">
        <v>5968</v>
      </c>
      <c r="C5956">
        <v>22</v>
      </c>
      <c r="D5956" t="str">
        <f>VLOOKUP(Tabela26[[#This Row],[EMP]],[1]LOJA!$A:$B,2,0)</f>
        <v>GUARÁ</v>
      </c>
      <c r="E5956">
        <v>93</v>
      </c>
      <c r="F5956" t="s">
        <v>3535</v>
      </c>
      <c r="G5956" t="s">
        <v>3534</v>
      </c>
      <c r="H5956" t="s">
        <v>3426</v>
      </c>
      <c r="I5956">
        <v>5102</v>
      </c>
      <c r="J5956" s="3">
        <v>417.3</v>
      </c>
      <c r="K5956" s="3">
        <v>198.72</v>
      </c>
      <c r="L5956">
        <v>52.38</v>
      </c>
    </row>
    <row r="5957" spans="1:12">
      <c r="A5957" s="1">
        <v>46048</v>
      </c>
      <c r="B5957" t="s">
        <v>5967</v>
      </c>
      <c r="C5957">
        <v>22</v>
      </c>
      <c r="D5957" t="str">
        <f>VLOOKUP(Tabela26[[#This Row],[EMP]],[1]LOJA!$A:$B,2,0)</f>
        <v>GUARÁ</v>
      </c>
      <c r="E5957">
        <v>93</v>
      </c>
      <c r="F5957" t="s">
        <v>3542</v>
      </c>
      <c r="G5957" t="s">
        <v>3541</v>
      </c>
      <c r="H5957" t="s">
        <v>3745</v>
      </c>
      <c r="I5957">
        <v>5102</v>
      </c>
      <c r="J5957" s="3">
        <v>1483</v>
      </c>
      <c r="K5957" s="3">
        <v>948.39</v>
      </c>
      <c r="L5957">
        <v>36.049999999999997</v>
      </c>
    </row>
    <row r="5958" spans="1:12">
      <c r="A5958" s="1">
        <v>46048</v>
      </c>
      <c r="B5958" t="s">
        <v>5966</v>
      </c>
      <c r="C5958">
        <v>22</v>
      </c>
      <c r="D5958" t="str">
        <f>VLOOKUP(Tabela26[[#This Row],[EMP]],[1]LOJA!$A:$B,2,0)</f>
        <v>GUARÁ</v>
      </c>
      <c r="E5958">
        <v>93</v>
      </c>
      <c r="F5958" t="s">
        <v>4246</v>
      </c>
      <c r="G5958" t="s">
        <v>4245</v>
      </c>
      <c r="H5958" t="s">
        <v>3430</v>
      </c>
      <c r="I5958">
        <v>5405</v>
      </c>
      <c r="J5958" s="3">
        <v>448.64</v>
      </c>
      <c r="K5958" s="3">
        <v>237</v>
      </c>
      <c r="L5958">
        <v>47.17</v>
      </c>
    </row>
    <row r="5959" spans="1:12">
      <c r="A5959" s="1">
        <v>46048</v>
      </c>
      <c r="B5959" t="s">
        <v>5965</v>
      </c>
      <c r="C5959">
        <v>24</v>
      </c>
      <c r="D5959" t="str">
        <f>VLOOKUP(Tabela26[[#This Row],[EMP]],[1]LOJA!$A:$B,2,0)</f>
        <v>LUZIÂNIA</v>
      </c>
      <c r="E5959">
        <v>242</v>
      </c>
      <c r="F5959" t="s">
        <v>3524</v>
      </c>
      <c r="G5959" t="s">
        <v>3402</v>
      </c>
      <c r="H5959" t="s">
        <v>3401</v>
      </c>
      <c r="I5959">
        <v>5405</v>
      </c>
      <c r="J5959" s="3">
        <v>165</v>
      </c>
      <c r="K5959" s="3">
        <v>82.16</v>
      </c>
      <c r="L5959">
        <v>50.21</v>
      </c>
    </row>
    <row r="5960" spans="1:12">
      <c r="A5960" s="1">
        <v>46048</v>
      </c>
      <c r="B5960" t="s">
        <v>5964</v>
      </c>
      <c r="C5960">
        <v>24</v>
      </c>
      <c r="D5960" t="str">
        <f>VLOOKUP(Tabela26[[#This Row],[EMP]],[1]LOJA!$A:$B,2,0)</f>
        <v>LUZIÂNIA</v>
      </c>
      <c r="E5960">
        <v>150</v>
      </c>
      <c r="F5960" t="s">
        <v>4857</v>
      </c>
      <c r="G5960" t="s">
        <v>4856</v>
      </c>
      <c r="H5960" t="s">
        <v>3401</v>
      </c>
      <c r="I5960">
        <v>5102</v>
      </c>
      <c r="J5960" s="3">
        <v>188</v>
      </c>
      <c r="K5960" s="3">
        <v>115.73</v>
      </c>
      <c r="L5960">
        <v>38.44</v>
      </c>
    </row>
    <row r="5961" spans="1:12">
      <c r="A5961" s="1">
        <v>46048</v>
      </c>
      <c r="B5961" t="s">
        <v>5963</v>
      </c>
      <c r="C5961">
        <v>24</v>
      </c>
      <c r="D5961" t="str">
        <f>VLOOKUP(Tabela26[[#This Row],[EMP]],[1]LOJA!$A:$B,2,0)</f>
        <v>LUZIÂNIA</v>
      </c>
      <c r="E5961">
        <v>192</v>
      </c>
      <c r="F5961" t="s">
        <v>5962</v>
      </c>
      <c r="G5961" t="s">
        <v>5961</v>
      </c>
      <c r="H5961" t="s">
        <v>3408</v>
      </c>
      <c r="I5961">
        <v>5102</v>
      </c>
      <c r="J5961" s="3">
        <v>311</v>
      </c>
      <c r="K5961" s="3">
        <v>165.18</v>
      </c>
      <c r="L5961">
        <v>46.89</v>
      </c>
    </row>
    <row r="5962" spans="1:12">
      <c r="A5962" s="1">
        <v>46048</v>
      </c>
      <c r="B5962" t="s">
        <v>5960</v>
      </c>
      <c r="C5962">
        <v>24</v>
      </c>
      <c r="D5962" t="str">
        <f>VLOOKUP(Tabela26[[#This Row],[EMP]],[1]LOJA!$A:$B,2,0)</f>
        <v>LUZIÂNIA</v>
      </c>
      <c r="E5962">
        <v>192</v>
      </c>
      <c r="F5962" t="s">
        <v>3524</v>
      </c>
      <c r="G5962" t="s">
        <v>3402</v>
      </c>
      <c r="H5962" t="s">
        <v>3401</v>
      </c>
      <c r="I5962">
        <v>5102</v>
      </c>
      <c r="J5962" s="3">
        <v>18</v>
      </c>
      <c r="K5962" s="3">
        <v>8.32</v>
      </c>
      <c r="L5962">
        <v>53.78</v>
      </c>
    </row>
    <row r="5963" spans="1:12">
      <c r="A5963" s="1">
        <v>46048</v>
      </c>
      <c r="B5963" t="s">
        <v>5959</v>
      </c>
      <c r="C5963">
        <v>24</v>
      </c>
      <c r="D5963" t="str">
        <f>VLOOKUP(Tabela26[[#This Row],[EMP]],[1]LOJA!$A:$B,2,0)</f>
        <v>LUZIÂNIA</v>
      </c>
      <c r="E5963">
        <v>192</v>
      </c>
      <c r="F5963" t="s">
        <v>4883</v>
      </c>
      <c r="G5963" t="s">
        <v>4882</v>
      </c>
      <c r="H5963" t="s">
        <v>3401</v>
      </c>
      <c r="I5963">
        <v>5102</v>
      </c>
      <c r="J5963" s="3">
        <v>184</v>
      </c>
      <c r="K5963" s="3">
        <v>105.89</v>
      </c>
      <c r="L5963">
        <v>42.45</v>
      </c>
    </row>
    <row r="5964" spans="1:12">
      <c r="A5964" s="1">
        <v>46048</v>
      </c>
      <c r="B5964" t="s">
        <v>5958</v>
      </c>
      <c r="C5964">
        <v>24</v>
      </c>
      <c r="D5964" t="str">
        <f>VLOOKUP(Tabela26[[#This Row],[EMP]],[1]LOJA!$A:$B,2,0)</f>
        <v>LUZIÂNIA</v>
      </c>
      <c r="E5964">
        <v>192</v>
      </c>
      <c r="F5964" t="s">
        <v>5957</v>
      </c>
      <c r="G5964" t="s">
        <v>3402</v>
      </c>
      <c r="H5964" t="s">
        <v>3401</v>
      </c>
      <c r="I5964">
        <v>5405</v>
      </c>
      <c r="J5964" s="3">
        <v>300</v>
      </c>
      <c r="K5964" s="3">
        <v>146.87</v>
      </c>
      <c r="L5964">
        <v>51.04</v>
      </c>
    </row>
    <row r="5965" spans="1:12">
      <c r="A5965" s="1">
        <v>46048</v>
      </c>
      <c r="B5965" t="s">
        <v>5956</v>
      </c>
      <c r="C5965">
        <v>24</v>
      </c>
      <c r="D5965" t="str">
        <f>VLOOKUP(Tabela26[[#This Row],[EMP]],[1]LOJA!$A:$B,2,0)</f>
        <v>LUZIÂNIA</v>
      </c>
      <c r="E5965">
        <v>150</v>
      </c>
      <c r="F5965" t="s">
        <v>5409</v>
      </c>
      <c r="G5965" t="s">
        <v>5408</v>
      </c>
      <c r="H5965" t="s">
        <v>3401</v>
      </c>
      <c r="I5965">
        <v>5405</v>
      </c>
      <c r="J5965" s="3">
        <v>59</v>
      </c>
      <c r="K5965" s="3">
        <v>28.82</v>
      </c>
      <c r="L5965">
        <v>51.15</v>
      </c>
    </row>
    <row r="5966" spans="1:12">
      <c r="A5966" s="1">
        <v>46048</v>
      </c>
      <c r="B5966" t="s">
        <v>5955</v>
      </c>
      <c r="C5966">
        <v>24</v>
      </c>
      <c r="D5966" t="str">
        <f>VLOOKUP(Tabela26[[#This Row],[EMP]],[1]LOJA!$A:$B,2,0)</f>
        <v>LUZIÂNIA</v>
      </c>
      <c r="E5966">
        <v>192</v>
      </c>
      <c r="F5966" t="s">
        <v>3524</v>
      </c>
      <c r="G5966" t="s">
        <v>3402</v>
      </c>
      <c r="H5966" t="s">
        <v>3401</v>
      </c>
      <c r="I5966">
        <v>5102</v>
      </c>
      <c r="J5966" s="3">
        <v>35</v>
      </c>
      <c r="K5966" s="3">
        <v>18.5</v>
      </c>
      <c r="L5966">
        <v>47.14</v>
      </c>
    </row>
    <row r="5967" spans="1:12">
      <c r="A5967" s="1">
        <v>46048</v>
      </c>
      <c r="B5967" t="s">
        <v>5954</v>
      </c>
      <c r="C5967">
        <v>24</v>
      </c>
      <c r="D5967" t="str">
        <f>VLOOKUP(Tabela26[[#This Row],[EMP]],[1]LOJA!$A:$B,2,0)</f>
        <v>LUZIÂNIA</v>
      </c>
      <c r="E5967">
        <v>192</v>
      </c>
      <c r="F5967" t="s">
        <v>4832</v>
      </c>
      <c r="G5967" t="s">
        <v>4831</v>
      </c>
      <c r="H5967" t="s">
        <v>3401</v>
      </c>
      <c r="I5967">
        <v>5102</v>
      </c>
      <c r="J5967" s="3">
        <v>89.7</v>
      </c>
      <c r="K5967" s="3">
        <v>58.62</v>
      </c>
      <c r="L5967">
        <v>34.65</v>
      </c>
    </row>
    <row r="5968" spans="1:12">
      <c r="A5968" s="1">
        <v>46048</v>
      </c>
      <c r="B5968" t="s">
        <v>5953</v>
      </c>
      <c r="C5968">
        <v>24</v>
      </c>
      <c r="D5968" t="str">
        <f>VLOOKUP(Tabela26[[#This Row],[EMP]],[1]LOJA!$A:$B,2,0)</f>
        <v>LUZIÂNIA</v>
      </c>
      <c r="E5968">
        <v>192</v>
      </c>
      <c r="F5968" t="s">
        <v>3524</v>
      </c>
      <c r="G5968" t="s">
        <v>3402</v>
      </c>
      <c r="H5968" t="s">
        <v>3401</v>
      </c>
      <c r="I5968">
        <v>5102</v>
      </c>
      <c r="J5968" s="3">
        <v>29</v>
      </c>
      <c r="K5968" s="3">
        <v>13.19</v>
      </c>
      <c r="L5968">
        <v>54.52</v>
      </c>
    </row>
    <row r="5969" spans="1:12">
      <c r="A5969" s="1">
        <v>46048</v>
      </c>
      <c r="B5969" t="s">
        <v>5952</v>
      </c>
      <c r="C5969">
        <v>24</v>
      </c>
      <c r="D5969" t="str">
        <f>VLOOKUP(Tabela26[[#This Row],[EMP]],[1]LOJA!$A:$B,2,0)</f>
        <v>LUZIÂNIA</v>
      </c>
      <c r="E5969">
        <v>192</v>
      </c>
      <c r="F5969" t="s">
        <v>5951</v>
      </c>
      <c r="G5969" t="s">
        <v>3402</v>
      </c>
      <c r="H5969" t="s">
        <v>3401</v>
      </c>
      <c r="I5969">
        <v>5405</v>
      </c>
      <c r="J5969" s="3">
        <v>139.91999999999999</v>
      </c>
      <c r="K5969" s="3">
        <v>72.98</v>
      </c>
      <c r="L5969">
        <v>47.84</v>
      </c>
    </row>
    <row r="5970" spans="1:12">
      <c r="A5970" s="1">
        <v>46048</v>
      </c>
      <c r="B5970" t="s">
        <v>5950</v>
      </c>
      <c r="C5970">
        <v>24</v>
      </c>
      <c r="D5970" t="str">
        <f>VLOOKUP(Tabela26[[#This Row],[EMP]],[1]LOJA!$A:$B,2,0)</f>
        <v>LUZIÂNIA</v>
      </c>
      <c r="E5970">
        <v>192</v>
      </c>
      <c r="F5970" t="s">
        <v>3524</v>
      </c>
      <c r="G5970" t="s">
        <v>3402</v>
      </c>
      <c r="H5970" t="s">
        <v>3401</v>
      </c>
      <c r="I5970">
        <v>5102</v>
      </c>
      <c r="J5970" s="3">
        <v>5</v>
      </c>
      <c r="K5970" s="3">
        <v>2.2000000000000002</v>
      </c>
      <c r="L5970">
        <v>56</v>
      </c>
    </row>
    <row r="5971" spans="1:12">
      <c r="A5971" s="1">
        <v>46048</v>
      </c>
      <c r="B5971" t="s">
        <v>5949</v>
      </c>
      <c r="C5971">
        <v>24</v>
      </c>
      <c r="D5971" t="str">
        <f>VLOOKUP(Tabela26[[#This Row],[EMP]],[1]LOJA!$A:$B,2,0)</f>
        <v>LUZIÂNIA</v>
      </c>
      <c r="E5971">
        <v>192</v>
      </c>
      <c r="F5971" t="s">
        <v>4867</v>
      </c>
      <c r="G5971" t="s">
        <v>4866</v>
      </c>
      <c r="H5971" t="s">
        <v>3401</v>
      </c>
      <c r="I5971">
        <v>5102</v>
      </c>
      <c r="J5971" s="3">
        <v>44</v>
      </c>
      <c r="K5971" s="3">
        <v>24.72</v>
      </c>
      <c r="L5971">
        <v>43.82</v>
      </c>
    </row>
    <row r="5972" spans="1:12">
      <c r="A5972" s="1">
        <v>46048</v>
      </c>
      <c r="B5972" t="s">
        <v>5948</v>
      </c>
      <c r="C5972">
        <v>24</v>
      </c>
      <c r="D5972" t="str">
        <f>VLOOKUP(Tabela26[[#This Row],[EMP]],[1]LOJA!$A:$B,2,0)</f>
        <v>LUZIÂNIA</v>
      </c>
      <c r="E5972">
        <v>150</v>
      </c>
      <c r="F5972" t="s">
        <v>3524</v>
      </c>
      <c r="G5972" t="s">
        <v>3402</v>
      </c>
      <c r="H5972" t="s">
        <v>3401</v>
      </c>
      <c r="I5972">
        <v>5102</v>
      </c>
      <c r="J5972" s="3">
        <v>3.5</v>
      </c>
      <c r="K5972" s="3">
        <v>2.19</v>
      </c>
      <c r="L5972">
        <v>37.43</v>
      </c>
    </row>
    <row r="5973" spans="1:12">
      <c r="A5973" s="1">
        <v>46048</v>
      </c>
      <c r="B5973" t="s">
        <v>5947</v>
      </c>
      <c r="C5973">
        <v>24</v>
      </c>
      <c r="D5973" t="str">
        <f>VLOOKUP(Tabela26[[#This Row],[EMP]],[1]LOJA!$A:$B,2,0)</f>
        <v>LUZIÂNIA</v>
      </c>
      <c r="E5973">
        <v>150</v>
      </c>
      <c r="F5973" t="s">
        <v>4898</v>
      </c>
      <c r="G5973" t="s">
        <v>4897</v>
      </c>
      <c r="H5973" t="s">
        <v>3401</v>
      </c>
      <c r="I5973">
        <v>5102</v>
      </c>
      <c r="J5973" s="3">
        <v>108</v>
      </c>
      <c r="K5973" s="3">
        <v>61.44</v>
      </c>
      <c r="L5973">
        <v>43.11</v>
      </c>
    </row>
    <row r="5974" spans="1:12">
      <c r="A5974" s="1">
        <v>46048</v>
      </c>
      <c r="B5974" t="s">
        <v>5946</v>
      </c>
      <c r="C5974">
        <v>24</v>
      </c>
      <c r="D5974" t="str">
        <f>VLOOKUP(Tabela26[[#This Row],[EMP]],[1]LOJA!$A:$B,2,0)</f>
        <v>LUZIÂNIA</v>
      </c>
      <c r="E5974">
        <v>150</v>
      </c>
      <c r="F5974" t="s">
        <v>4898</v>
      </c>
      <c r="G5974" t="s">
        <v>4897</v>
      </c>
      <c r="H5974" t="s">
        <v>3401</v>
      </c>
      <c r="I5974">
        <v>5405</v>
      </c>
      <c r="J5974" s="3">
        <v>208</v>
      </c>
      <c r="K5974" s="3">
        <v>105.65</v>
      </c>
      <c r="L5974">
        <v>49.21</v>
      </c>
    </row>
    <row r="5975" spans="1:12">
      <c r="A5975" s="1">
        <v>46048</v>
      </c>
      <c r="B5975" t="s">
        <v>5945</v>
      </c>
      <c r="C5975">
        <v>24</v>
      </c>
      <c r="D5975" t="str">
        <f>VLOOKUP(Tabela26[[#This Row],[EMP]],[1]LOJA!$A:$B,2,0)</f>
        <v>LUZIÂNIA</v>
      </c>
      <c r="E5975">
        <v>192</v>
      </c>
      <c r="F5975" t="s">
        <v>4216</v>
      </c>
      <c r="G5975" t="s">
        <v>4215</v>
      </c>
      <c r="H5975" t="s">
        <v>3401</v>
      </c>
      <c r="I5975">
        <v>5102</v>
      </c>
      <c r="J5975" s="3">
        <v>439</v>
      </c>
      <c r="K5975" s="3">
        <v>262.7</v>
      </c>
      <c r="L5975">
        <v>40.159999999999997</v>
      </c>
    </row>
    <row r="5976" spans="1:12">
      <c r="A5976" s="1">
        <v>46048</v>
      </c>
      <c r="B5976" t="s">
        <v>5944</v>
      </c>
      <c r="C5976">
        <v>24</v>
      </c>
      <c r="D5976" t="str">
        <f>VLOOKUP(Tabela26[[#This Row],[EMP]],[1]LOJA!$A:$B,2,0)</f>
        <v>LUZIÂNIA</v>
      </c>
      <c r="E5976">
        <v>150</v>
      </c>
      <c r="F5976" t="s">
        <v>5943</v>
      </c>
      <c r="G5976" t="s">
        <v>5942</v>
      </c>
      <c r="H5976" t="s">
        <v>3408</v>
      </c>
      <c r="I5976">
        <v>5102</v>
      </c>
      <c r="J5976" s="3">
        <v>137</v>
      </c>
      <c r="K5976" s="3">
        <v>74.52</v>
      </c>
      <c r="L5976">
        <v>45.61</v>
      </c>
    </row>
    <row r="5977" spans="1:12">
      <c r="A5977" s="1">
        <v>46048</v>
      </c>
      <c r="B5977" t="s">
        <v>5941</v>
      </c>
      <c r="C5977">
        <v>24</v>
      </c>
      <c r="D5977" t="str">
        <f>VLOOKUP(Tabela26[[#This Row],[EMP]],[1]LOJA!$A:$B,2,0)</f>
        <v>LUZIÂNIA</v>
      </c>
      <c r="E5977">
        <v>192</v>
      </c>
      <c r="F5977" t="s">
        <v>4883</v>
      </c>
      <c r="G5977" t="s">
        <v>4882</v>
      </c>
      <c r="H5977" t="s">
        <v>3408</v>
      </c>
      <c r="I5977">
        <v>5405</v>
      </c>
      <c r="J5977" s="3">
        <v>50</v>
      </c>
      <c r="K5977" s="3">
        <v>25.21</v>
      </c>
      <c r="L5977">
        <v>49.58</v>
      </c>
    </row>
    <row r="5978" spans="1:12">
      <c r="A5978" s="1">
        <v>46048</v>
      </c>
      <c r="B5978" t="s">
        <v>5940</v>
      </c>
      <c r="C5978">
        <v>24</v>
      </c>
      <c r="D5978" t="str">
        <f>VLOOKUP(Tabela26[[#This Row],[EMP]],[1]LOJA!$A:$B,2,0)</f>
        <v>LUZIÂNIA</v>
      </c>
      <c r="E5978">
        <v>192</v>
      </c>
      <c r="F5978" t="s">
        <v>3524</v>
      </c>
      <c r="G5978" t="s">
        <v>3402</v>
      </c>
      <c r="H5978" t="s">
        <v>3401</v>
      </c>
      <c r="I5978">
        <v>5405</v>
      </c>
      <c r="J5978" s="3">
        <v>107.9</v>
      </c>
      <c r="K5978" s="3">
        <v>57.3</v>
      </c>
      <c r="L5978">
        <v>46.9</v>
      </c>
    </row>
    <row r="5979" spans="1:12">
      <c r="A5979" s="1">
        <v>46048</v>
      </c>
      <c r="B5979" t="s">
        <v>5939</v>
      </c>
      <c r="C5979">
        <v>24</v>
      </c>
      <c r="D5979" t="str">
        <f>VLOOKUP(Tabela26[[#This Row],[EMP]],[1]LOJA!$A:$B,2,0)</f>
        <v>LUZIÂNIA</v>
      </c>
      <c r="E5979">
        <v>192</v>
      </c>
      <c r="F5979" t="s">
        <v>3524</v>
      </c>
      <c r="G5979" t="s">
        <v>3402</v>
      </c>
      <c r="H5979" t="s">
        <v>3401</v>
      </c>
      <c r="I5979">
        <v>5102</v>
      </c>
      <c r="J5979" s="3">
        <v>22</v>
      </c>
      <c r="K5979" s="3">
        <v>10.36</v>
      </c>
      <c r="L5979">
        <v>52.91</v>
      </c>
    </row>
    <row r="5980" spans="1:12">
      <c r="A5980" s="1">
        <v>46048</v>
      </c>
      <c r="B5980" t="s">
        <v>5938</v>
      </c>
      <c r="C5980">
        <v>24</v>
      </c>
      <c r="D5980" t="str">
        <f>VLOOKUP(Tabela26[[#This Row],[EMP]],[1]LOJA!$A:$B,2,0)</f>
        <v>LUZIÂNIA</v>
      </c>
      <c r="E5980">
        <v>192</v>
      </c>
      <c r="F5980" t="s">
        <v>4189</v>
      </c>
      <c r="G5980" t="s">
        <v>4188</v>
      </c>
      <c r="H5980" t="s">
        <v>3401</v>
      </c>
      <c r="I5980">
        <v>5405</v>
      </c>
      <c r="J5980" s="3">
        <v>168.5</v>
      </c>
      <c r="K5980" s="3">
        <v>93.04</v>
      </c>
      <c r="L5980">
        <v>44.78</v>
      </c>
    </row>
    <row r="5981" spans="1:12">
      <c r="A5981" s="1">
        <v>46048</v>
      </c>
      <c r="B5981" t="s">
        <v>5937</v>
      </c>
      <c r="C5981">
        <v>24</v>
      </c>
      <c r="D5981" t="str">
        <f>VLOOKUP(Tabela26[[#This Row],[EMP]],[1]LOJA!$A:$B,2,0)</f>
        <v>LUZIÂNIA</v>
      </c>
      <c r="E5981">
        <v>242</v>
      </c>
      <c r="F5981" t="s">
        <v>3524</v>
      </c>
      <c r="G5981" t="s">
        <v>3402</v>
      </c>
      <c r="H5981" t="s">
        <v>3401</v>
      </c>
      <c r="I5981">
        <v>5405</v>
      </c>
      <c r="J5981" s="3">
        <v>200</v>
      </c>
      <c r="K5981" s="3">
        <v>94.15</v>
      </c>
      <c r="L5981">
        <v>52.93</v>
      </c>
    </row>
    <row r="5982" spans="1:12">
      <c r="A5982" s="1">
        <v>46048</v>
      </c>
      <c r="B5982" t="s">
        <v>5936</v>
      </c>
      <c r="C5982">
        <v>24</v>
      </c>
      <c r="D5982" t="str">
        <f>VLOOKUP(Tabela26[[#This Row],[EMP]],[1]LOJA!$A:$B,2,0)</f>
        <v>LUZIÂNIA</v>
      </c>
      <c r="E5982">
        <v>192</v>
      </c>
      <c r="F5982" t="s">
        <v>4871</v>
      </c>
      <c r="G5982" t="s">
        <v>4870</v>
      </c>
      <c r="H5982" t="s">
        <v>3401</v>
      </c>
      <c r="I5982">
        <v>5102</v>
      </c>
      <c r="J5982" s="3">
        <v>286</v>
      </c>
      <c r="K5982" s="3">
        <v>162.96</v>
      </c>
      <c r="L5982">
        <v>43.02</v>
      </c>
    </row>
    <row r="5983" spans="1:12">
      <c r="A5983" s="1">
        <v>46048</v>
      </c>
      <c r="B5983" t="s">
        <v>5935</v>
      </c>
      <c r="C5983">
        <v>24</v>
      </c>
      <c r="D5983" t="str">
        <f>VLOOKUP(Tabela26[[#This Row],[EMP]],[1]LOJA!$A:$B,2,0)</f>
        <v>LUZIÂNIA</v>
      </c>
      <c r="E5983">
        <v>192</v>
      </c>
      <c r="F5983" t="s">
        <v>5934</v>
      </c>
      <c r="G5983" t="s">
        <v>3402</v>
      </c>
      <c r="H5983" t="s">
        <v>3401</v>
      </c>
      <c r="I5983">
        <v>5405</v>
      </c>
      <c r="J5983" s="3">
        <v>80</v>
      </c>
      <c r="K5983" s="3">
        <v>33.07</v>
      </c>
      <c r="L5983">
        <v>58.66</v>
      </c>
    </row>
    <row r="5984" spans="1:12">
      <c r="A5984" s="1">
        <v>46048</v>
      </c>
      <c r="B5984" t="s">
        <v>5933</v>
      </c>
      <c r="C5984">
        <v>24</v>
      </c>
      <c r="D5984" t="str">
        <f>VLOOKUP(Tabela26[[#This Row],[EMP]],[1]LOJA!$A:$B,2,0)</f>
        <v>LUZIÂNIA</v>
      </c>
      <c r="E5984">
        <v>192</v>
      </c>
      <c r="F5984" t="s">
        <v>3524</v>
      </c>
      <c r="G5984" t="s">
        <v>3402</v>
      </c>
      <c r="H5984" t="s">
        <v>3401</v>
      </c>
      <c r="I5984">
        <v>5405</v>
      </c>
      <c r="J5984" s="3">
        <v>361.35</v>
      </c>
      <c r="K5984" s="3">
        <v>203.76</v>
      </c>
      <c r="L5984">
        <v>43.61</v>
      </c>
    </row>
    <row r="5985" spans="1:12">
      <c r="A5985" s="1">
        <v>46048</v>
      </c>
      <c r="B5985" t="s">
        <v>5932</v>
      </c>
      <c r="C5985">
        <v>24</v>
      </c>
      <c r="D5985" t="str">
        <f>VLOOKUP(Tabela26[[#This Row],[EMP]],[1]LOJA!$A:$B,2,0)</f>
        <v>LUZIÂNIA</v>
      </c>
      <c r="E5985">
        <v>192</v>
      </c>
      <c r="F5985" t="s">
        <v>4169</v>
      </c>
      <c r="G5985" t="s">
        <v>4168</v>
      </c>
      <c r="H5985" t="s">
        <v>3401</v>
      </c>
      <c r="I5985">
        <v>5405</v>
      </c>
      <c r="J5985" s="3">
        <v>405.76</v>
      </c>
      <c r="K5985" s="3">
        <v>239.27</v>
      </c>
      <c r="L5985">
        <v>41.03</v>
      </c>
    </row>
    <row r="5986" spans="1:12">
      <c r="A5986" s="1">
        <v>46048</v>
      </c>
      <c r="B5986" t="s">
        <v>5931</v>
      </c>
      <c r="C5986">
        <v>24</v>
      </c>
      <c r="D5986" t="str">
        <f>VLOOKUP(Tabela26[[#This Row],[EMP]],[1]LOJA!$A:$B,2,0)</f>
        <v>LUZIÂNIA</v>
      </c>
      <c r="E5986">
        <v>192</v>
      </c>
      <c r="F5986" t="s">
        <v>4827</v>
      </c>
      <c r="G5986" t="s">
        <v>4826</v>
      </c>
      <c r="H5986" t="s">
        <v>3401</v>
      </c>
      <c r="I5986">
        <v>5405</v>
      </c>
      <c r="J5986" s="3">
        <v>260</v>
      </c>
      <c r="K5986" s="3">
        <v>125.72</v>
      </c>
      <c r="L5986">
        <v>51.65</v>
      </c>
    </row>
    <row r="5987" spans="1:12">
      <c r="A5987" s="1">
        <v>46048</v>
      </c>
      <c r="B5987" t="s">
        <v>5930</v>
      </c>
      <c r="C5987">
        <v>24</v>
      </c>
      <c r="D5987" t="str">
        <f>VLOOKUP(Tabela26[[#This Row],[EMP]],[1]LOJA!$A:$B,2,0)</f>
        <v>LUZIÂNIA</v>
      </c>
      <c r="E5987">
        <v>192</v>
      </c>
      <c r="F5987" t="s">
        <v>4864</v>
      </c>
      <c r="G5987" t="s">
        <v>3402</v>
      </c>
      <c r="H5987" t="s">
        <v>3401</v>
      </c>
      <c r="I5987">
        <v>5102</v>
      </c>
      <c r="J5987" s="3">
        <v>214.6</v>
      </c>
      <c r="K5987" s="3">
        <v>148.19999999999999</v>
      </c>
      <c r="L5987">
        <v>30.94</v>
      </c>
    </row>
    <row r="5988" spans="1:12">
      <c r="A5988" s="1">
        <v>46048</v>
      </c>
      <c r="B5988" t="s">
        <v>5929</v>
      </c>
      <c r="C5988">
        <v>24</v>
      </c>
      <c r="D5988" t="str">
        <f>VLOOKUP(Tabela26[[#This Row],[EMP]],[1]LOJA!$A:$B,2,0)</f>
        <v>LUZIÂNIA</v>
      </c>
      <c r="E5988">
        <v>242</v>
      </c>
      <c r="F5988" t="s">
        <v>3524</v>
      </c>
      <c r="G5988" t="s">
        <v>3402</v>
      </c>
      <c r="H5988" t="s">
        <v>3401</v>
      </c>
      <c r="I5988">
        <v>5102</v>
      </c>
      <c r="J5988" s="3">
        <v>76</v>
      </c>
      <c r="K5988" s="3">
        <v>37.32</v>
      </c>
      <c r="L5988">
        <v>50.89</v>
      </c>
    </row>
    <row r="5989" spans="1:12">
      <c r="A5989" s="1">
        <v>46048</v>
      </c>
      <c r="B5989" t="s">
        <v>5928</v>
      </c>
      <c r="C5989">
        <v>24</v>
      </c>
      <c r="D5989" t="str">
        <f>VLOOKUP(Tabela26[[#This Row],[EMP]],[1]LOJA!$A:$B,2,0)</f>
        <v>LUZIÂNIA</v>
      </c>
      <c r="E5989">
        <v>242</v>
      </c>
      <c r="F5989" t="s">
        <v>4179</v>
      </c>
      <c r="G5989" t="s">
        <v>4178</v>
      </c>
      <c r="H5989" t="s">
        <v>3401</v>
      </c>
      <c r="I5989">
        <v>5405</v>
      </c>
      <c r="J5989" s="3">
        <v>760</v>
      </c>
      <c r="K5989" s="3">
        <v>404.81</v>
      </c>
      <c r="L5989">
        <v>46.74</v>
      </c>
    </row>
    <row r="5990" spans="1:12">
      <c r="A5990" s="1">
        <v>46048</v>
      </c>
      <c r="B5990" t="s">
        <v>5927</v>
      </c>
      <c r="C5990">
        <v>24</v>
      </c>
      <c r="D5990" t="str">
        <f>VLOOKUP(Tabela26[[#This Row],[EMP]],[1]LOJA!$A:$B,2,0)</f>
        <v>LUZIÂNIA</v>
      </c>
      <c r="E5990">
        <v>150</v>
      </c>
      <c r="F5990" t="s">
        <v>4201</v>
      </c>
      <c r="G5990" t="s">
        <v>4200</v>
      </c>
      <c r="H5990" t="s">
        <v>3408</v>
      </c>
      <c r="I5990">
        <v>5405</v>
      </c>
      <c r="J5990" s="3">
        <v>359.4</v>
      </c>
      <c r="K5990" s="3">
        <v>206.76</v>
      </c>
      <c r="L5990">
        <v>42.47</v>
      </c>
    </row>
    <row r="5991" spans="1:12">
      <c r="A5991" s="1">
        <v>46048</v>
      </c>
      <c r="B5991" t="s">
        <v>5926</v>
      </c>
      <c r="C5991">
        <v>24</v>
      </c>
      <c r="D5991" t="str">
        <f>VLOOKUP(Tabela26[[#This Row],[EMP]],[1]LOJA!$A:$B,2,0)</f>
        <v>LUZIÂNIA</v>
      </c>
      <c r="E5991">
        <v>242</v>
      </c>
      <c r="F5991" t="s">
        <v>3524</v>
      </c>
      <c r="G5991" t="s">
        <v>3402</v>
      </c>
      <c r="H5991" t="s">
        <v>3401</v>
      </c>
      <c r="I5991">
        <v>5405</v>
      </c>
      <c r="J5991" s="3">
        <v>150</v>
      </c>
      <c r="K5991" s="3">
        <v>94.66</v>
      </c>
      <c r="L5991">
        <v>36.89</v>
      </c>
    </row>
    <row r="5992" spans="1:12">
      <c r="A5992" s="1">
        <v>46048</v>
      </c>
      <c r="B5992" t="s">
        <v>5925</v>
      </c>
      <c r="C5992">
        <v>24</v>
      </c>
      <c r="D5992" t="str">
        <f>VLOOKUP(Tabela26[[#This Row],[EMP]],[1]LOJA!$A:$B,2,0)</f>
        <v>LUZIÂNIA</v>
      </c>
      <c r="E5992">
        <v>192</v>
      </c>
      <c r="F5992" t="s">
        <v>3524</v>
      </c>
      <c r="G5992" t="s">
        <v>3402</v>
      </c>
      <c r="H5992" t="s">
        <v>3401</v>
      </c>
      <c r="I5992">
        <v>5102</v>
      </c>
      <c r="J5992" s="3">
        <v>19.899999999999999</v>
      </c>
      <c r="K5992" s="3">
        <v>10.89</v>
      </c>
      <c r="L5992">
        <v>45.28</v>
      </c>
    </row>
    <row r="5993" spans="1:12">
      <c r="A5993" s="1">
        <v>46048</v>
      </c>
      <c r="B5993" t="s">
        <v>5924</v>
      </c>
      <c r="C5993">
        <v>24</v>
      </c>
      <c r="D5993" t="str">
        <f>VLOOKUP(Tabela26[[#This Row],[EMP]],[1]LOJA!$A:$B,2,0)</f>
        <v>LUZIÂNIA</v>
      </c>
      <c r="E5993">
        <v>192</v>
      </c>
      <c r="F5993" t="s">
        <v>3524</v>
      </c>
      <c r="G5993" t="s">
        <v>3402</v>
      </c>
      <c r="H5993" t="s">
        <v>3401</v>
      </c>
      <c r="I5993">
        <v>5405</v>
      </c>
      <c r="J5993" s="3">
        <v>90</v>
      </c>
      <c r="K5993" s="3">
        <v>37.53</v>
      </c>
      <c r="L5993">
        <v>58.3</v>
      </c>
    </row>
    <row r="5994" spans="1:12">
      <c r="A5994" s="1">
        <v>46048</v>
      </c>
      <c r="B5994" t="s">
        <v>5923</v>
      </c>
      <c r="C5994">
        <v>24</v>
      </c>
      <c r="D5994" t="str">
        <f>VLOOKUP(Tabela26[[#This Row],[EMP]],[1]LOJA!$A:$B,2,0)</f>
        <v>LUZIÂNIA</v>
      </c>
      <c r="E5994">
        <v>150</v>
      </c>
      <c r="F5994" t="s">
        <v>5922</v>
      </c>
      <c r="G5994" t="s">
        <v>5921</v>
      </c>
      <c r="H5994" t="s">
        <v>3408</v>
      </c>
      <c r="I5994">
        <v>5102</v>
      </c>
      <c r="J5994" s="3">
        <v>640</v>
      </c>
      <c r="K5994" s="3">
        <v>402.8</v>
      </c>
      <c r="L5994">
        <v>37.06</v>
      </c>
    </row>
    <row r="5995" spans="1:12">
      <c r="A5995" s="1">
        <v>46048</v>
      </c>
      <c r="B5995" t="s">
        <v>5920</v>
      </c>
      <c r="C5995">
        <v>24</v>
      </c>
      <c r="D5995" t="str">
        <f>VLOOKUP(Tabela26[[#This Row],[EMP]],[1]LOJA!$A:$B,2,0)</f>
        <v>LUZIÂNIA</v>
      </c>
      <c r="E5995">
        <v>192</v>
      </c>
      <c r="F5995" t="s">
        <v>3524</v>
      </c>
      <c r="G5995" t="s">
        <v>3402</v>
      </c>
      <c r="H5995" t="s">
        <v>3401</v>
      </c>
      <c r="I5995">
        <v>5102</v>
      </c>
      <c r="J5995" s="3">
        <v>115.4</v>
      </c>
      <c r="K5995" s="3">
        <v>62.2</v>
      </c>
      <c r="L5995">
        <v>46.1</v>
      </c>
    </row>
    <row r="5996" spans="1:12">
      <c r="A5996" s="1">
        <v>46048</v>
      </c>
      <c r="B5996" t="s">
        <v>5919</v>
      </c>
      <c r="C5996">
        <v>24</v>
      </c>
      <c r="D5996" t="str">
        <f>VLOOKUP(Tabela26[[#This Row],[EMP]],[1]LOJA!$A:$B,2,0)</f>
        <v>LUZIÂNIA</v>
      </c>
      <c r="E5996">
        <v>242</v>
      </c>
      <c r="F5996" t="s">
        <v>3524</v>
      </c>
      <c r="G5996" t="s">
        <v>3402</v>
      </c>
      <c r="H5996" t="s">
        <v>3401</v>
      </c>
      <c r="I5996">
        <v>5102</v>
      </c>
      <c r="J5996" s="3">
        <v>35</v>
      </c>
      <c r="K5996" s="3">
        <v>18.28</v>
      </c>
      <c r="L5996">
        <v>47.77</v>
      </c>
    </row>
    <row r="5997" spans="1:12">
      <c r="A5997" s="1">
        <v>46048</v>
      </c>
      <c r="B5997" t="s">
        <v>5918</v>
      </c>
      <c r="C5997">
        <v>24</v>
      </c>
      <c r="D5997" t="str">
        <f>VLOOKUP(Tabela26[[#This Row],[EMP]],[1]LOJA!$A:$B,2,0)</f>
        <v>LUZIÂNIA</v>
      </c>
      <c r="E5997">
        <v>192</v>
      </c>
      <c r="F5997" t="s">
        <v>5917</v>
      </c>
      <c r="G5997" t="s">
        <v>5916</v>
      </c>
      <c r="H5997" t="s">
        <v>3401</v>
      </c>
      <c r="I5997">
        <v>5405</v>
      </c>
      <c r="J5997" s="3">
        <v>214</v>
      </c>
      <c r="K5997" s="3">
        <v>123.55</v>
      </c>
      <c r="L5997">
        <v>42.27</v>
      </c>
    </row>
    <row r="5998" spans="1:12">
      <c r="A5998" s="1">
        <v>46048</v>
      </c>
      <c r="B5998" t="s">
        <v>5915</v>
      </c>
      <c r="C5998">
        <v>24</v>
      </c>
      <c r="D5998" t="str">
        <f>VLOOKUP(Tabela26[[#This Row],[EMP]],[1]LOJA!$A:$B,2,0)</f>
        <v>LUZIÂNIA</v>
      </c>
      <c r="E5998">
        <v>242</v>
      </c>
      <c r="F5998" t="s">
        <v>3524</v>
      </c>
      <c r="G5998" t="s">
        <v>3402</v>
      </c>
      <c r="H5998" t="s">
        <v>3401</v>
      </c>
      <c r="I5998">
        <v>5102</v>
      </c>
      <c r="J5998" s="3">
        <v>15</v>
      </c>
      <c r="K5998" s="3">
        <v>8.73</v>
      </c>
      <c r="L5998">
        <v>41.8</v>
      </c>
    </row>
    <row r="5999" spans="1:12">
      <c r="A5999" s="1">
        <v>46048</v>
      </c>
      <c r="B5999" t="s">
        <v>5914</v>
      </c>
      <c r="C5999">
        <v>24</v>
      </c>
      <c r="D5999" t="str">
        <f>VLOOKUP(Tabela26[[#This Row],[EMP]],[1]LOJA!$A:$B,2,0)</f>
        <v>LUZIÂNIA</v>
      </c>
      <c r="E5999">
        <v>192</v>
      </c>
      <c r="F5999" t="s">
        <v>5913</v>
      </c>
      <c r="G5999" t="s">
        <v>5912</v>
      </c>
      <c r="H5999" t="s">
        <v>3401</v>
      </c>
      <c r="I5999">
        <v>5405</v>
      </c>
      <c r="J5999" s="3">
        <v>770</v>
      </c>
      <c r="K5999" s="3">
        <v>385.11</v>
      </c>
      <c r="L5999">
        <v>49.99</v>
      </c>
    </row>
    <row r="6000" spans="1:12">
      <c r="A6000" s="1">
        <v>46048</v>
      </c>
      <c r="B6000" t="s">
        <v>5911</v>
      </c>
      <c r="C6000">
        <v>24</v>
      </c>
      <c r="D6000" t="str">
        <f>VLOOKUP(Tabela26[[#This Row],[EMP]],[1]LOJA!$A:$B,2,0)</f>
        <v>LUZIÂNIA</v>
      </c>
      <c r="E6000">
        <v>192</v>
      </c>
      <c r="F6000" t="s">
        <v>3524</v>
      </c>
      <c r="G6000" t="s">
        <v>3402</v>
      </c>
      <c r="H6000" t="s">
        <v>3401</v>
      </c>
      <c r="I6000">
        <v>5102</v>
      </c>
      <c r="J6000" s="3">
        <v>29</v>
      </c>
      <c r="K6000" s="3">
        <v>14.64</v>
      </c>
      <c r="L6000">
        <v>49.52</v>
      </c>
    </row>
    <row r="6001" spans="1:12">
      <c r="A6001" s="1">
        <v>46048</v>
      </c>
      <c r="B6001" t="s">
        <v>5910</v>
      </c>
      <c r="C6001">
        <v>24</v>
      </c>
      <c r="D6001" t="str">
        <f>VLOOKUP(Tabela26[[#This Row],[EMP]],[1]LOJA!$A:$B,2,0)</f>
        <v>LUZIÂNIA</v>
      </c>
      <c r="E6001">
        <v>192</v>
      </c>
      <c r="F6001" t="s">
        <v>4207</v>
      </c>
      <c r="G6001" t="s">
        <v>4206</v>
      </c>
      <c r="H6001" t="s">
        <v>3408</v>
      </c>
      <c r="I6001">
        <v>5405</v>
      </c>
      <c r="J6001" s="3">
        <v>150</v>
      </c>
      <c r="K6001" s="3">
        <v>68.7</v>
      </c>
      <c r="L6001">
        <v>54.2</v>
      </c>
    </row>
    <row r="6002" spans="1:12">
      <c r="A6002" s="1">
        <v>46048</v>
      </c>
      <c r="B6002" t="s">
        <v>5909</v>
      </c>
      <c r="C6002">
        <v>24</v>
      </c>
      <c r="D6002" t="str">
        <f>VLOOKUP(Tabela26[[#This Row],[EMP]],[1]LOJA!$A:$B,2,0)</f>
        <v>LUZIÂNIA</v>
      </c>
      <c r="E6002">
        <v>242</v>
      </c>
      <c r="F6002" t="s">
        <v>3524</v>
      </c>
      <c r="G6002" t="s">
        <v>3402</v>
      </c>
      <c r="H6002" t="s">
        <v>3401</v>
      </c>
      <c r="I6002">
        <v>5102</v>
      </c>
      <c r="J6002" s="3">
        <v>45</v>
      </c>
      <c r="K6002" s="3">
        <v>25.02</v>
      </c>
      <c r="L6002">
        <v>44.4</v>
      </c>
    </row>
    <row r="6003" spans="1:12">
      <c r="A6003" s="1">
        <v>46048</v>
      </c>
      <c r="B6003" t="s">
        <v>5908</v>
      </c>
      <c r="C6003">
        <v>24</v>
      </c>
      <c r="D6003" t="str">
        <f>VLOOKUP(Tabela26[[#This Row],[EMP]],[1]LOJA!$A:$B,2,0)</f>
        <v>LUZIÂNIA</v>
      </c>
      <c r="E6003">
        <v>192</v>
      </c>
      <c r="F6003" t="s">
        <v>4184</v>
      </c>
      <c r="G6003" t="s">
        <v>3402</v>
      </c>
      <c r="H6003" t="s">
        <v>3408</v>
      </c>
      <c r="I6003">
        <v>5102</v>
      </c>
      <c r="J6003" s="3">
        <v>40</v>
      </c>
      <c r="K6003" s="3">
        <v>30.8</v>
      </c>
      <c r="L6003">
        <v>23</v>
      </c>
    </row>
    <row r="6004" spans="1:12">
      <c r="A6004" s="1">
        <v>46048</v>
      </c>
      <c r="B6004" t="s">
        <v>5907</v>
      </c>
      <c r="C6004">
        <v>24</v>
      </c>
      <c r="D6004" t="str">
        <f>VLOOKUP(Tabela26[[#This Row],[EMP]],[1]LOJA!$A:$B,2,0)</f>
        <v>LUZIÂNIA</v>
      </c>
      <c r="E6004">
        <v>150</v>
      </c>
      <c r="F6004" t="s">
        <v>4201</v>
      </c>
      <c r="G6004" t="s">
        <v>4200</v>
      </c>
      <c r="H6004" t="s">
        <v>3408</v>
      </c>
      <c r="I6004">
        <v>5102</v>
      </c>
      <c r="J6004" s="3">
        <v>219.6</v>
      </c>
      <c r="K6004" s="3">
        <v>156.63999999999999</v>
      </c>
      <c r="L6004">
        <v>28.67</v>
      </c>
    </row>
    <row r="6005" spans="1:12">
      <c r="A6005" s="1">
        <v>46048</v>
      </c>
      <c r="B6005" t="s">
        <v>5906</v>
      </c>
      <c r="C6005">
        <v>24</v>
      </c>
      <c r="D6005" t="str">
        <f>VLOOKUP(Tabela26[[#This Row],[EMP]],[1]LOJA!$A:$B,2,0)</f>
        <v>LUZIÂNIA</v>
      </c>
      <c r="E6005">
        <v>192</v>
      </c>
      <c r="F6005" t="s">
        <v>4867</v>
      </c>
      <c r="G6005" t="s">
        <v>4866</v>
      </c>
      <c r="H6005" t="s">
        <v>3401</v>
      </c>
      <c r="I6005">
        <v>5405</v>
      </c>
      <c r="J6005" s="3">
        <v>35</v>
      </c>
      <c r="K6005" s="3">
        <v>15.56</v>
      </c>
      <c r="L6005">
        <v>55.54</v>
      </c>
    </row>
    <row r="6006" spans="1:12">
      <c r="A6006" s="1">
        <v>46048</v>
      </c>
      <c r="B6006" t="s">
        <v>5905</v>
      </c>
      <c r="C6006">
        <v>24</v>
      </c>
      <c r="D6006" t="str">
        <f>VLOOKUP(Tabela26[[#This Row],[EMP]],[1]LOJA!$A:$B,2,0)</f>
        <v>LUZIÂNIA</v>
      </c>
      <c r="E6006">
        <v>150</v>
      </c>
      <c r="F6006" t="s">
        <v>5449</v>
      </c>
      <c r="G6006" t="s">
        <v>5448</v>
      </c>
      <c r="H6006" t="s">
        <v>3401</v>
      </c>
      <c r="I6006">
        <v>5102</v>
      </c>
      <c r="J6006" s="3">
        <v>40</v>
      </c>
      <c r="K6006" s="3">
        <v>21.3</v>
      </c>
      <c r="L6006">
        <v>46.75</v>
      </c>
    </row>
    <row r="6007" spans="1:12">
      <c r="A6007" s="1">
        <v>46048</v>
      </c>
      <c r="B6007" t="s">
        <v>5904</v>
      </c>
      <c r="C6007">
        <v>24</v>
      </c>
      <c r="D6007" t="str">
        <f>VLOOKUP(Tabela26[[#This Row],[EMP]],[1]LOJA!$A:$B,2,0)</f>
        <v>LUZIÂNIA</v>
      </c>
      <c r="E6007">
        <v>242</v>
      </c>
      <c r="F6007" t="s">
        <v>3524</v>
      </c>
      <c r="G6007" t="s">
        <v>3402</v>
      </c>
      <c r="H6007" t="s">
        <v>3401</v>
      </c>
      <c r="I6007">
        <v>5102</v>
      </c>
      <c r="J6007" s="3">
        <v>55</v>
      </c>
      <c r="K6007" s="3">
        <v>23.73</v>
      </c>
      <c r="L6007">
        <v>56.85</v>
      </c>
    </row>
    <row r="6008" spans="1:12">
      <c r="A6008" s="1">
        <v>46048</v>
      </c>
      <c r="B6008" t="s">
        <v>5903</v>
      </c>
      <c r="C6008">
        <v>24</v>
      </c>
      <c r="D6008" t="str">
        <f>VLOOKUP(Tabela26[[#This Row],[EMP]],[1]LOJA!$A:$B,2,0)</f>
        <v>LUZIÂNIA</v>
      </c>
      <c r="E6008">
        <v>192</v>
      </c>
      <c r="F6008" t="s">
        <v>5902</v>
      </c>
      <c r="G6008" t="s">
        <v>5901</v>
      </c>
      <c r="H6008" t="s">
        <v>3408</v>
      </c>
      <c r="I6008">
        <v>5405</v>
      </c>
      <c r="J6008" s="3">
        <v>55</v>
      </c>
      <c r="K6008" s="3">
        <v>18.309999999999999</v>
      </c>
      <c r="L6008">
        <v>66.709999999999994</v>
      </c>
    </row>
    <row r="6009" spans="1:12">
      <c r="A6009" s="1">
        <v>46048</v>
      </c>
      <c r="B6009" t="s">
        <v>5900</v>
      </c>
      <c r="C6009">
        <v>24</v>
      </c>
      <c r="D6009" t="str">
        <f>VLOOKUP(Tabela26[[#This Row],[EMP]],[1]LOJA!$A:$B,2,0)</f>
        <v>LUZIÂNIA</v>
      </c>
      <c r="E6009">
        <v>192</v>
      </c>
      <c r="F6009" t="s">
        <v>4895</v>
      </c>
      <c r="G6009" t="s">
        <v>3437</v>
      </c>
      <c r="H6009" t="s">
        <v>3408</v>
      </c>
      <c r="I6009">
        <v>5102</v>
      </c>
      <c r="J6009" s="3">
        <v>33</v>
      </c>
      <c r="K6009" s="3">
        <v>18.02</v>
      </c>
      <c r="L6009">
        <v>45.39</v>
      </c>
    </row>
    <row r="6010" spans="1:12">
      <c r="A6010" s="1">
        <v>46048</v>
      </c>
      <c r="B6010" t="s">
        <v>5899</v>
      </c>
      <c r="C6010">
        <v>24</v>
      </c>
      <c r="D6010" t="str">
        <f>VLOOKUP(Tabela26[[#This Row],[EMP]],[1]LOJA!$A:$B,2,0)</f>
        <v>LUZIÂNIA</v>
      </c>
      <c r="E6010">
        <v>192</v>
      </c>
      <c r="F6010" t="s">
        <v>4837</v>
      </c>
      <c r="G6010" t="s">
        <v>4836</v>
      </c>
      <c r="H6010" t="s">
        <v>3408</v>
      </c>
      <c r="I6010">
        <v>5102</v>
      </c>
      <c r="J6010" s="3">
        <v>87</v>
      </c>
      <c r="K6010" s="3">
        <v>46.43</v>
      </c>
      <c r="L6010">
        <v>46.63</v>
      </c>
    </row>
    <row r="6011" spans="1:12">
      <c r="A6011" s="1">
        <v>46048</v>
      </c>
      <c r="B6011" t="s">
        <v>5898</v>
      </c>
      <c r="C6011">
        <v>24</v>
      </c>
      <c r="D6011" t="str">
        <f>VLOOKUP(Tabela26[[#This Row],[EMP]],[1]LOJA!$A:$B,2,0)</f>
        <v>LUZIÂNIA</v>
      </c>
      <c r="E6011">
        <v>192</v>
      </c>
      <c r="F6011" t="s">
        <v>3524</v>
      </c>
      <c r="G6011" t="s">
        <v>3402</v>
      </c>
      <c r="H6011" t="s">
        <v>3401</v>
      </c>
      <c r="I6011">
        <v>5102</v>
      </c>
      <c r="J6011" s="3">
        <v>36.56</v>
      </c>
      <c r="K6011" s="3">
        <v>20.25</v>
      </c>
      <c r="L6011">
        <v>44.61</v>
      </c>
    </row>
    <row r="6012" spans="1:12">
      <c r="A6012" s="1">
        <v>46048</v>
      </c>
      <c r="B6012" t="s">
        <v>5897</v>
      </c>
      <c r="C6012">
        <v>24</v>
      </c>
      <c r="D6012" t="str">
        <f>VLOOKUP(Tabela26[[#This Row],[EMP]],[1]LOJA!$A:$B,2,0)</f>
        <v>LUZIÂNIA</v>
      </c>
      <c r="E6012">
        <v>192</v>
      </c>
      <c r="F6012" t="s">
        <v>4827</v>
      </c>
      <c r="G6012" t="s">
        <v>4826</v>
      </c>
      <c r="H6012" t="s">
        <v>3401</v>
      </c>
      <c r="I6012">
        <v>5102</v>
      </c>
      <c r="J6012" s="3">
        <v>53</v>
      </c>
      <c r="K6012" s="3">
        <v>27.19</v>
      </c>
      <c r="L6012">
        <v>48.7</v>
      </c>
    </row>
    <row r="6013" spans="1:12">
      <c r="A6013" s="1">
        <v>46048</v>
      </c>
      <c r="B6013" t="s">
        <v>5896</v>
      </c>
      <c r="C6013">
        <v>24</v>
      </c>
      <c r="D6013" t="str">
        <f>VLOOKUP(Tabela26[[#This Row],[EMP]],[1]LOJA!$A:$B,2,0)</f>
        <v>LUZIÂNIA</v>
      </c>
      <c r="E6013">
        <v>192</v>
      </c>
      <c r="F6013" t="s">
        <v>4194</v>
      </c>
      <c r="G6013" t="s">
        <v>4193</v>
      </c>
      <c r="H6013" t="s">
        <v>3401</v>
      </c>
      <c r="I6013">
        <v>5102</v>
      </c>
      <c r="J6013" s="3">
        <v>176.5</v>
      </c>
      <c r="K6013" s="3">
        <v>110.16</v>
      </c>
      <c r="L6013">
        <v>37.590000000000003</v>
      </c>
    </row>
    <row r="6014" spans="1:12">
      <c r="A6014" s="1">
        <v>46048</v>
      </c>
      <c r="B6014" t="s">
        <v>5895</v>
      </c>
      <c r="C6014">
        <v>24</v>
      </c>
      <c r="D6014" t="str">
        <f>VLOOKUP(Tabela26[[#This Row],[EMP]],[1]LOJA!$A:$B,2,0)</f>
        <v>LUZIÂNIA</v>
      </c>
      <c r="E6014">
        <v>192</v>
      </c>
      <c r="F6014" t="s">
        <v>3524</v>
      </c>
      <c r="G6014" t="s">
        <v>3402</v>
      </c>
      <c r="H6014" t="s">
        <v>3401</v>
      </c>
      <c r="I6014">
        <v>5102</v>
      </c>
      <c r="J6014" s="3">
        <v>24</v>
      </c>
      <c r="K6014" s="3">
        <v>13.14</v>
      </c>
      <c r="L6014">
        <v>45.25</v>
      </c>
    </row>
    <row r="6015" spans="1:12">
      <c r="A6015" s="1">
        <v>46048</v>
      </c>
      <c r="B6015" t="s">
        <v>5894</v>
      </c>
      <c r="C6015">
        <v>24</v>
      </c>
      <c r="D6015" t="str">
        <f>VLOOKUP(Tabela26[[#This Row],[EMP]],[1]LOJA!$A:$B,2,0)</f>
        <v>LUZIÂNIA</v>
      </c>
      <c r="E6015">
        <v>192</v>
      </c>
      <c r="F6015" t="s">
        <v>4189</v>
      </c>
      <c r="G6015" t="s">
        <v>4188</v>
      </c>
      <c r="H6015" t="s">
        <v>3401</v>
      </c>
      <c r="I6015">
        <v>5405</v>
      </c>
      <c r="J6015" s="3">
        <v>165</v>
      </c>
      <c r="K6015" s="3">
        <v>84.16</v>
      </c>
      <c r="L6015">
        <v>48.99</v>
      </c>
    </row>
    <row r="6016" spans="1:12">
      <c r="A6016" s="1">
        <v>46048</v>
      </c>
      <c r="B6016" t="s">
        <v>5893</v>
      </c>
      <c r="C6016">
        <v>12</v>
      </c>
      <c r="D6016" t="str">
        <f>VLOOKUP(Tabela26[[#This Row],[EMP]],[1]LOJA!$A:$B,2,0)</f>
        <v>SOFNORTE</v>
      </c>
      <c r="E6016">
        <v>239</v>
      </c>
      <c r="F6016" t="s">
        <v>4813</v>
      </c>
      <c r="G6016" t="s">
        <v>4812</v>
      </c>
      <c r="H6016" t="s">
        <v>5582</v>
      </c>
      <c r="I6016">
        <v>5102</v>
      </c>
      <c r="J6016" s="3">
        <v>24.84</v>
      </c>
      <c r="K6016" s="3">
        <v>11.58</v>
      </c>
      <c r="L6016">
        <v>53.38</v>
      </c>
    </row>
    <row r="6017" spans="1:12">
      <c r="A6017" s="1">
        <v>46048</v>
      </c>
      <c r="B6017" t="s">
        <v>5892</v>
      </c>
      <c r="C6017">
        <v>12</v>
      </c>
      <c r="D6017" t="str">
        <f>VLOOKUP(Tabela26[[#This Row],[EMP]],[1]LOJA!$A:$B,2,0)</f>
        <v>SOFNORTE</v>
      </c>
      <c r="E6017">
        <v>60</v>
      </c>
      <c r="F6017" t="s">
        <v>3518</v>
      </c>
      <c r="G6017" t="s">
        <v>3517</v>
      </c>
      <c r="H6017" t="s">
        <v>3430</v>
      </c>
      <c r="I6017">
        <v>5102</v>
      </c>
      <c r="J6017" s="3">
        <v>74</v>
      </c>
      <c r="K6017" s="3">
        <v>40.549999999999997</v>
      </c>
      <c r="L6017">
        <v>45.2</v>
      </c>
    </row>
    <row r="6018" spans="1:12">
      <c r="A6018" s="1">
        <v>46048</v>
      </c>
      <c r="B6018" t="s">
        <v>5891</v>
      </c>
      <c r="C6018">
        <v>12</v>
      </c>
      <c r="D6018" t="str">
        <f>VLOOKUP(Tabela26[[#This Row],[EMP]],[1]LOJA!$A:$B,2,0)</f>
        <v>SOFNORTE</v>
      </c>
      <c r="E6018">
        <v>60</v>
      </c>
      <c r="F6018" t="s">
        <v>4817</v>
      </c>
      <c r="G6018" t="s">
        <v>4816</v>
      </c>
      <c r="H6018" t="s">
        <v>3430</v>
      </c>
      <c r="I6018">
        <v>5102</v>
      </c>
      <c r="J6018" s="3">
        <v>727.42</v>
      </c>
      <c r="K6018" s="3">
        <v>411.73</v>
      </c>
      <c r="L6018">
        <v>43.4</v>
      </c>
    </row>
    <row r="6019" spans="1:12">
      <c r="A6019" s="1">
        <v>46048</v>
      </c>
      <c r="B6019" t="s">
        <v>5890</v>
      </c>
      <c r="C6019">
        <v>12</v>
      </c>
      <c r="D6019" t="str">
        <f>VLOOKUP(Tabela26[[#This Row],[EMP]],[1]LOJA!$A:$B,2,0)</f>
        <v>SOFNORTE</v>
      </c>
      <c r="E6019">
        <v>60</v>
      </c>
      <c r="F6019" t="s">
        <v>4813</v>
      </c>
      <c r="G6019" t="s">
        <v>4812</v>
      </c>
      <c r="H6019" t="s">
        <v>5582</v>
      </c>
      <c r="I6019">
        <v>5102</v>
      </c>
      <c r="J6019" s="3">
        <v>17</v>
      </c>
      <c r="K6019" s="3">
        <v>9.52</v>
      </c>
      <c r="L6019">
        <v>44</v>
      </c>
    </row>
    <row r="6020" spans="1:12">
      <c r="A6020" s="1">
        <v>46048</v>
      </c>
      <c r="B6020" t="s">
        <v>5889</v>
      </c>
      <c r="C6020">
        <v>12</v>
      </c>
      <c r="D6020" t="str">
        <f>VLOOKUP(Tabela26[[#This Row],[EMP]],[1]LOJA!$A:$B,2,0)</f>
        <v>SOFNORTE</v>
      </c>
      <c r="E6020">
        <v>60</v>
      </c>
      <c r="F6020" t="s">
        <v>3518</v>
      </c>
      <c r="G6020" t="s">
        <v>3517</v>
      </c>
      <c r="H6020" t="s">
        <v>3430</v>
      </c>
      <c r="I6020">
        <v>5102</v>
      </c>
      <c r="J6020" s="3">
        <v>23.97</v>
      </c>
      <c r="K6020" s="3">
        <v>12.51</v>
      </c>
      <c r="L6020">
        <v>47.81</v>
      </c>
    </row>
    <row r="6021" spans="1:12">
      <c r="A6021" s="1">
        <v>46048</v>
      </c>
      <c r="B6021" t="s">
        <v>5888</v>
      </c>
      <c r="C6021">
        <v>22</v>
      </c>
      <c r="D6021" t="str">
        <f>VLOOKUP(Tabela26[[#This Row],[EMP]],[1]LOJA!$A:$B,2,0)</f>
        <v>GUARÁ</v>
      </c>
      <c r="E6021">
        <v>93</v>
      </c>
      <c r="F6021" t="s">
        <v>4144</v>
      </c>
      <c r="G6021" t="s">
        <v>4143</v>
      </c>
      <c r="H6021" t="s">
        <v>5887</v>
      </c>
      <c r="I6021">
        <v>5405</v>
      </c>
      <c r="J6021" s="3">
        <v>284.51</v>
      </c>
      <c r="K6021" s="3">
        <v>148.91999999999999</v>
      </c>
      <c r="L6021">
        <v>47.66</v>
      </c>
    </row>
    <row r="6022" spans="1:12">
      <c r="A6022" s="1">
        <v>46048</v>
      </c>
      <c r="B6022" t="s">
        <v>5886</v>
      </c>
      <c r="C6022">
        <v>22</v>
      </c>
      <c r="D6022" t="str">
        <f>VLOOKUP(Tabela26[[#This Row],[EMP]],[1]LOJA!$A:$B,2,0)</f>
        <v>GUARÁ</v>
      </c>
      <c r="E6022">
        <v>93</v>
      </c>
      <c r="F6022" t="s">
        <v>4151</v>
      </c>
      <c r="G6022" t="s">
        <v>4150</v>
      </c>
      <c r="H6022" t="s">
        <v>3430</v>
      </c>
      <c r="I6022">
        <v>5405</v>
      </c>
      <c r="J6022" s="3">
        <v>162.05000000000001</v>
      </c>
      <c r="K6022" s="3">
        <v>84.5</v>
      </c>
      <c r="L6022">
        <v>47.86</v>
      </c>
    </row>
    <row r="6023" spans="1:12">
      <c r="A6023" s="1">
        <v>46048</v>
      </c>
      <c r="B6023" t="s">
        <v>5885</v>
      </c>
      <c r="C6023">
        <v>22</v>
      </c>
      <c r="D6023" t="str">
        <f>VLOOKUP(Tabela26[[#This Row],[EMP]],[1]LOJA!$A:$B,2,0)</f>
        <v>GUARÁ</v>
      </c>
      <c r="E6023">
        <v>93</v>
      </c>
      <c r="F6023" t="s">
        <v>3514</v>
      </c>
      <c r="G6023" t="s">
        <v>3513</v>
      </c>
      <c r="H6023" t="s">
        <v>3430</v>
      </c>
      <c r="I6023">
        <v>5405</v>
      </c>
      <c r="J6023" s="3">
        <v>57.36</v>
      </c>
      <c r="K6023" s="3">
        <v>29.73</v>
      </c>
      <c r="L6023">
        <v>48.17</v>
      </c>
    </row>
    <row r="6024" spans="1:12">
      <c r="A6024" s="1">
        <v>46048</v>
      </c>
      <c r="B6024" t="s">
        <v>5884</v>
      </c>
      <c r="C6024">
        <v>22</v>
      </c>
      <c r="D6024" t="str">
        <f>VLOOKUP(Tabela26[[#This Row],[EMP]],[1]LOJA!$A:$B,2,0)</f>
        <v>GUARÁ</v>
      </c>
      <c r="E6024">
        <v>93</v>
      </c>
      <c r="F6024" t="s">
        <v>3508</v>
      </c>
      <c r="G6024" t="s">
        <v>3507</v>
      </c>
      <c r="H6024" t="s">
        <v>3430</v>
      </c>
      <c r="I6024">
        <v>5405</v>
      </c>
      <c r="J6024" s="3">
        <v>956.7</v>
      </c>
      <c r="K6024" s="3">
        <v>518.42999999999995</v>
      </c>
      <c r="L6024">
        <v>45.81</v>
      </c>
    </row>
    <row r="6025" spans="1:12">
      <c r="A6025" s="1">
        <v>46048</v>
      </c>
      <c r="B6025" t="s">
        <v>5883</v>
      </c>
      <c r="C6025">
        <v>22</v>
      </c>
      <c r="D6025" t="str">
        <f>VLOOKUP(Tabela26[[#This Row],[EMP]],[1]LOJA!$A:$B,2,0)</f>
        <v>GUARÁ</v>
      </c>
      <c r="E6025">
        <v>93</v>
      </c>
      <c r="F6025" t="s">
        <v>3514</v>
      </c>
      <c r="G6025" t="s">
        <v>3513</v>
      </c>
      <c r="H6025" t="s">
        <v>3430</v>
      </c>
      <c r="I6025">
        <v>5405</v>
      </c>
      <c r="J6025" s="3">
        <v>629.59</v>
      </c>
      <c r="K6025" s="3">
        <v>345.88</v>
      </c>
      <c r="L6025">
        <v>45.06</v>
      </c>
    </row>
    <row r="6026" spans="1:12">
      <c r="A6026" s="1">
        <v>46048</v>
      </c>
      <c r="B6026" t="s">
        <v>5882</v>
      </c>
      <c r="C6026">
        <v>22</v>
      </c>
      <c r="D6026" t="str">
        <f>VLOOKUP(Tabela26[[#This Row],[EMP]],[1]LOJA!$A:$B,2,0)</f>
        <v>GUARÁ</v>
      </c>
      <c r="E6026">
        <v>93</v>
      </c>
      <c r="F6026" t="s">
        <v>4136</v>
      </c>
      <c r="G6026" t="s">
        <v>4135</v>
      </c>
      <c r="H6026" t="s">
        <v>3430</v>
      </c>
      <c r="I6026">
        <v>5405</v>
      </c>
      <c r="J6026" s="3">
        <v>283</v>
      </c>
      <c r="K6026" s="3">
        <v>144.51</v>
      </c>
      <c r="L6026">
        <v>48.94</v>
      </c>
    </row>
    <row r="6027" spans="1:12">
      <c r="A6027" s="1">
        <v>46048</v>
      </c>
      <c r="B6027" t="s">
        <v>5881</v>
      </c>
      <c r="C6027">
        <v>22</v>
      </c>
      <c r="D6027" t="str">
        <f>VLOOKUP(Tabela26[[#This Row],[EMP]],[1]LOJA!$A:$B,2,0)</f>
        <v>GUARÁ</v>
      </c>
      <c r="E6027">
        <v>93</v>
      </c>
      <c r="F6027" t="s">
        <v>4136</v>
      </c>
      <c r="G6027" t="s">
        <v>4135</v>
      </c>
      <c r="H6027" t="s">
        <v>3430</v>
      </c>
      <c r="I6027">
        <v>5102</v>
      </c>
      <c r="J6027" s="3">
        <v>100.79</v>
      </c>
      <c r="K6027" s="3">
        <v>60.86</v>
      </c>
      <c r="L6027">
        <v>39.619999999999997</v>
      </c>
    </row>
    <row r="6028" spans="1:12">
      <c r="A6028" s="1">
        <v>46048</v>
      </c>
      <c r="B6028" t="s">
        <v>5880</v>
      </c>
      <c r="C6028">
        <v>22</v>
      </c>
      <c r="D6028" t="str">
        <f>VLOOKUP(Tabela26[[#This Row],[EMP]],[1]LOJA!$A:$B,2,0)</f>
        <v>GUARÁ</v>
      </c>
      <c r="E6028">
        <v>93</v>
      </c>
      <c r="F6028" t="s">
        <v>4805</v>
      </c>
      <c r="G6028" t="s">
        <v>4804</v>
      </c>
      <c r="H6028" t="s">
        <v>3430</v>
      </c>
      <c r="I6028">
        <v>5102</v>
      </c>
      <c r="J6028" s="3">
        <v>392.77</v>
      </c>
      <c r="K6028" s="3">
        <v>239.93</v>
      </c>
      <c r="L6028">
        <v>38.909999999999997</v>
      </c>
    </row>
    <row r="6029" spans="1:12">
      <c r="A6029" s="1">
        <v>46048</v>
      </c>
      <c r="B6029" t="s">
        <v>5879</v>
      </c>
      <c r="C6029">
        <v>22</v>
      </c>
      <c r="D6029" t="str">
        <f>VLOOKUP(Tabela26[[#This Row],[EMP]],[1]LOJA!$A:$B,2,0)</f>
        <v>GUARÁ</v>
      </c>
      <c r="E6029">
        <v>93</v>
      </c>
      <c r="F6029" t="s">
        <v>3514</v>
      </c>
      <c r="G6029" t="s">
        <v>3513</v>
      </c>
      <c r="H6029" t="s">
        <v>3430</v>
      </c>
      <c r="I6029">
        <v>5405</v>
      </c>
      <c r="J6029" s="3">
        <v>135.41999999999999</v>
      </c>
      <c r="K6029" s="3">
        <v>64.55</v>
      </c>
      <c r="L6029">
        <v>52.33</v>
      </c>
    </row>
    <row r="6030" spans="1:12">
      <c r="A6030" s="1">
        <v>46048</v>
      </c>
      <c r="B6030" t="s">
        <v>5878</v>
      </c>
      <c r="C6030">
        <v>13</v>
      </c>
      <c r="D6030" t="str">
        <f>VLOOKUP(Tabela26[[#This Row],[EMP]],[1]LOJA!$A:$B,2,0)</f>
        <v>CEILÂNDIA</v>
      </c>
      <c r="E6030">
        <v>33</v>
      </c>
      <c r="F6030" t="s">
        <v>5877</v>
      </c>
      <c r="G6030" t="s">
        <v>5876</v>
      </c>
      <c r="H6030" t="s">
        <v>3401</v>
      </c>
      <c r="I6030">
        <v>5405</v>
      </c>
      <c r="J6030" s="3">
        <v>165</v>
      </c>
      <c r="K6030" s="3">
        <v>75.680000000000007</v>
      </c>
      <c r="L6030">
        <v>54.13</v>
      </c>
    </row>
    <row r="6031" spans="1:12">
      <c r="A6031" s="1">
        <v>46048</v>
      </c>
      <c r="B6031" t="s">
        <v>5875</v>
      </c>
      <c r="C6031">
        <v>13</v>
      </c>
      <c r="D6031" t="str">
        <f>VLOOKUP(Tabela26[[#This Row],[EMP]],[1]LOJA!$A:$B,2,0)</f>
        <v>CEILÂNDIA</v>
      </c>
      <c r="E6031">
        <v>86</v>
      </c>
      <c r="F6031" t="s">
        <v>4118</v>
      </c>
      <c r="G6031" t="s">
        <v>4117</v>
      </c>
      <c r="H6031" t="s">
        <v>3430</v>
      </c>
      <c r="I6031">
        <v>5102</v>
      </c>
      <c r="J6031" s="3">
        <v>576</v>
      </c>
      <c r="K6031" s="3">
        <v>366.36</v>
      </c>
      <c r="L6031">
        <v>36.4</v>
      </c>
    </row>
    <row r="6032" spans="1:12">
      <c r="A6032" s="1">
        <v>46048</v>
      </c>
      <c r="B6032" t="s">
        <v>5874</v>
      </c>
      <c r="C6032">
        <v>13</v>
      </c>
      <c r="D6032" t="str">
        <f>VLOOKUP(Tabela26[[#This Row],[EMP]],[1]LOJA!$A:$B,2,0)</f>
        <v>CEILÂNDIA</v>
      </c>
      <c r="E6032">
        <v>86</v>
      </c>
      <c r="F6032" t="s">
        <v>5873</v>
      </c>
      <c r="G6032" t="s">
        <v>5872</v>
      </c>
      <c r="H6032" t="s">
        <v>3401</v>
      </c>
      <c r="I6032">
        <v>5405</v>
      </c>
      <c r="J6032" s="3">
        <v>170</v>
      </c>
      <c r="K6032" s="3">
        <v>85.59</v>
      </c>
      <c r="L6032">
        <v>49.65</v>
      </c>
    </row>
    <row r="6033" spans="1:12">
      <c r="A6033" s="1">
        <v>46048</v>
      </c>
      <c r="B6033" t="s">
        <v>5871</v>
      </c>
      <c r="C6033">
        <v>13</v>
      </c>
      <c r="D6033" t="str">
        <f>VLOOKUP(Tabela26[[#This Row],[EMP]],[1]LOJA!$A:$B,2,0)</f>
        <v>CEILÂNDIA</v>
      </c>
      <c r="E6033">
        <v>86</v>
      </c>
      <c r="F6033" t="s">
        <v>4118</v>
      </c>
      <c r="G6033" t="s">
        <v>4117</v>
      </c>
      <c r="H6033" t="s">
        <v>3430</v>
      </c>
      <c r="I6033">
        <v>5405</v>
      </c>
      <c r="J6033" s="3">
        <v>140.81</v>
      </c>
      <c r="K6033" s="3">
        <v>69.34</v>
      </c>
      <c r="L6033">
        <v>50.76</v>
      </c>
    </row>
    <row r="6034" spans="1:12">
      <c r="A6034" s="1">
        <v>46048</v>
      </c>
      <c r="B6034" t="s">
        <v>5870</v>
      </c>
      <c r="C6034">
        <v>13</v>
      </c>
      <c r="D6034" t="str">
        <f>VLOOKUP(Tabela26[[#This Row],[EMP]],[1]LOJA!$A:$B,2,0)</f>
        <v>CEILÂNDIA</v>
      </c>
      <c r="E6034">
        <v>86</v>
      </c>
      <c r="F6034" t="s">
        <v>4133</v>
      </c>
      <c r="G6034" t="s">
        <v>4132</v>
      </c>
      <c r="H6034" t="s">
        <v>3430</v>
      </c>
      <c r="I6034">
        <v>5102</v>
      </c>
      <c r="J6034" s="3">
        <v>179.4</v>
      </c>
      <c r="K6034" s="3">
        <v>130.97999999999999</v>
      </c>
      <c r="L6034">
        <v>26.99</v>
      </c>
    </row>
    <row r="6035" spans="1:12">
      <c r="A6035" s="1">
        <v>46048</v>
      </c>
      <c r="B6035" t="s">
        <v>5869</v>
      </c>
      <c r="C6035">
        <v>13</v>
      </c>
      <c r="D6035" t="str">
        <f>VLOOKUP(Tabela26[[#This Row],[EMP]],[1]LOJA!$A:$B,2,0)</f>
        <v>CEILÂNDIA</v>
      </c>
      <c r="E6035">
        <v>86</v>
      </c>
      <c r="F6035" t="s">
        <v>4133</v>
      </c>
      <c r="G6035" t="s">
        <v>4132</v>
      </c>
      <c r="H6035" t="s">
        <v>3430</v>
      </c>
      <c r="I6035">
        <v>5102</v>
      </c>
      <c r="J6035" s="3">
        <v>54.32</v>
      </c>
      <c r="K6035" s="3">
        <v>31.15</v>
      </c>
      <c r="L6035">
        <v>42.65</v>
      </c>
    </row>
    <row r="6036" spans="1:12">
      <c r="A6036" s="1">
        <v>46048</v>
      </c>
      <c r="B6036" t="s">
        <v>5868</v>
      </c>
      <c r="C6036">
        <v>13</v>
      </c>
      <c r="D6036" t="str">
        <f>VLOOKUP(Tabela26[[#This Row],[EMP]],[1]LOJA!$A:$B,2,0)</f>
        <v>CEILÂNDIA</v>
      </c>
      <c r="E6036">
        <v>86</v>
      </c>
      <c r="F6036" t="s">
        <v>4133</v>
      </c>
      <c r="G6036" t="s">
        <v>4132</v>
      </c>
      <c r="H6036" t="s">
        <v>3430</v>
      </c>
      <c r="I6036">
        <v>5405</v>
      </c>
      <c r="J6036" s="3">
        <v>300</v>
      </c>
      <c r="K6036" s="3">
        <v>163</v>
      </c>
      <c r="L6036">
        <v>45.67</v>
      </c>
    </row>
    <row r="6037" spans="1:12">
      <c r="A6037" s="1">
        <v>46048</v>
      </c>
      <c r="B6037" t="s">
        <v>5867</v>
      </c>
      <c r="C6037">
        <v>13</v>
      </c>
      <c r="D6037" t="str">
        <f>VLOOKUP(Tabela26[[#This Row],[EMP]],[1]LOJA!$A:$B,2,0)</f>
        <v>CEILÂNDIA</v>
      </c>
      <c r="E6037">
        <v>86</v>
      </c>
      <c r="F6037" t="s">
        <v>4118</v>
      </c>
      <c r="G6037" t="s">
        <v>4117</v>
      </c>
      <c r="H6037" t="s">
        <v>3430</v>
      </c>
      <c r="I6037">
        <v>5405</v>
      </c>
      <c r="J6037" s="3">
        <v>53.47</v>
      </c>
      <c r="K6037" s="3">
        <v>27.2</v>
      </c>
      <c r="L6037">
        <v>49.13</v>
      </c>
    </row>
    <row r="6038" spans="1:12">
      <c r="A6038" s="1">
        <v>46048</v>
      </c>
      <c r="B6038" t="s">
        <v>5866</v>
      </c>
      <c r="C6038">
        <v>13</v>
      </c>
      <c r="D6038" t="str">
        <f>VLOOKUP(Tabela26[[#This Row],[EMP]],[1]LOJA!$A:$B,2,0)</f>
        <v>CEILÂNDIA</v>
      </c>
      <c r="E6038">
        <v>86</v>
      </c>
      <c r="F6038" t="s">
        <v>4798</v>
      </c>
      <c r="G6038" t="s">
        <v>4797</v>
      </c>
      <c r="H6038" t="s">
        <v>3401</v>
      </c>
      <c r="I6038">
        <v>1202</v>
      </c>
      <c r="J6038" s="3">
        <v>-23</v>
      </c>
      <c r="K6038" s="3">
        <v>-11.63</v>
      </c>
      <c r="L6038">
        <v>49.43</v>
      </c>
    </row>
    <row r="6039" spans="1:12">
      <c r="A6039" s="1">
        <v>46048</v>
      </c>
      <c r="B6039" t="s">
        <v>5865</v>
      </c>
      <c r="C6039">
        <v>13</v>
      </c>
      <c r="D6039" t="str">
        <f>VLOOKUP(Tabela26[[#This Row],[EMP]],[1]LOJA!$A:$B,2,0)</f>
        <v>CEILÂNDIA</v>
      </c>
      <c r="E6039">
        <v>86</v>
      </c>
      <c r="F6039" t="s">
        <v>4798</v>
      </c>
      <c r="G6039" t="s">
        <v>4797</v>
      </c>
      <c r="H6039" t="s">
        <v>3401</v>
      </c>
      <c r="I6039">
        <v>1202</v>
      </c>
      <c r="J6039" s="3">
        <v>-60</v>
      </c>
      <c r="K6039" s="3">
        <v>-38.64</v>
      </c>
      <c r="L6039">
        <v>35.6</v>
      </c>
    </row>
    <row r="6040" spans="1:12">
      <c r="A6040" s="1">
        <v>46048</v>
      </c>
      <c r="B6040" t="s">
        <v>5864</v>
      </c>
      <c r="C6040">
        <v>13</v>
      </c>
      <c r="D6040" t="str">
        <f>VLOOKUP(Tabela26[[#This Row],[EMP]],[1]LOJA!$A:$B,2,0)</f>
        <v>CEILÂNDIA</v>
      </c>
      <c r="E6040">
        <v>33</v>
      </c>
      <c r="F6040" t="s">
        <v>5863</v>
      </c>
      <c r="G6040" t="s">
        <v>5862</v>
      </c>
      <c r="H6040" t="s">
        <v>3430</v>
      </c>
      <c r="I6040">
        <v>5405</v>
      </c>
      <c r="J6040" s="3">
        <v>344.2</v>
      </c>
      <c r="K6040" s="3">
        <v>197.32</v>
      </c>
      <c r="L6040">
        <v>42.67</v>
      </c>
    </row>
    <row r="6041" spans="1:12">
      <c r="A6041" s="1">
        <v>46048</v>
      </c>
      <c r="B6041" t="s">
        <v>5861</v>
      </c>
      <c r="C6041">
        <v>13</v>
      </c>
      <c r="D6041" t="str">
        <f>VLOOKUP(Tabela26[[#This Row],[EMP]],[1]LOJA!$A:$B,2,0)</f>
        <v>CEILÂNDIA</v>
      </c>
      <c r="E6041">
        <v>86</v>
      </c>
      <c r="F6041" t="s">
        <v>3501</v>
      </c>
      <c r="G6041" t="s">
        <v>3500</v>
      </c>
      <c r="H6041" t="s">
        <v>3430</v>
      </c>
      <c r="I6041">
        <v>5405</v>
      </c>
      <c r="J6041" s="3">
        <v>574.79999999999995</v>
      </c>
      <c r="K6041" s="3">
        <v>367.18</v>
      </c>
      <c r="L6041">
        <v>36.119999999999997</v>
      </c>
    </row>
    <row r="6042" spans="1:12">
      <c r="A6042" s="1">
        <v>46048</v>
      </c>
      <c r="B6042" t="s">
        <v>5860</v>
      </c>
      <c r="C6042">
        <v>13</v>
      </c>
      <c r="D6042" t="str">
        <f>VLOOKUP(Tabela26[[#This Row],[EMP]],[1]LOJA!$A:$B,2,0)</f>
        <v>CEILÂNDIA</v>
      </c>
      <c r="E6042">
        <v>86</v>
      </c>
      <c r="F6042" t="s">
        <v>4084</v>
      </c>
      <c r="G6042" t="s">
        <v>4083</v>
      </c>
      <c r="H6042" t="s">
        <v>3430</v>
      </c>
      <c r="I6042">
        <v>5405</v>
      </c>
      <c r="J6042" s="3">
        <v>41.86</v>
      </c>
      <c r="K6042" s="3">
        <v>21.89</v>
      </c>
      <c r="L6042">
        <v>47.71</v>
      </c>
    </row>
    <row r="6043" spans="1:12">
      <c r="A6043" s="1">
        <v>46048</v>
      </c>
      <c r="B6043" t="s">
        <v>5859</v>
      </c>
      <c r="C6043">
        <v>13</v>
      </c>
      <c r="D6043" t="str">
        <f>VLOOKUP(Tabela26[[#This Row],[EMP]],[1]LOJA!$A:$B,2,0)</f>
        <v>CEILÂNDIA</v>
      </c>
      <c r="E6043">
        <v>86</v>
      </c>
      <c r="F6043" t="s">
        <v>4106</v>
      </c>
      <c r="G6043" t="s">
        <v>4105</v>
      </c>
      <c r="H6043" t="s">
        <v>3430</v>
      </c>
      <c r="I6043">
        <v>5405</v>
      </c>
      <c r="J6043" s="3">
        <v>62.82</v>
      </c>
      <c r="K6043" s="3">
        <v>32.47</v>
      </c>
      <c r="L6043">
        <v>48.31</v>
      </c>
    </row>
    <row r="6044" spans="1:12">
      <c r="A6044" s="1">
        <v>46048</v>
      </c>
      <c r="B6044" t="s">
        <v>5858</v>
      </c>
      <c r="C6044">
        <v>13</v>
      </c>
      <c r="D6044" t="str">
        <f>VLOOKUP(Tabela26[[#This Row],[EMP]],[1]LOJA!$A:$B,2,0)</f>
        <v>CEILÂNDIA</v>
      </c>
      <c r="E6044">
        <v>86</v>
      </c>
      <c r="F6044" t="s">
        <v>5857</v>
      </c>
      <c r="G6044" t="s">
        <v>5856</v>
      </c>
      <c r="H6044" t="s">
        <v>3430</v>
      </c>
      <c r="I6044">
        <v>5405</v>
      </c>
      <c r="J6044" s="3">
        <v>300</v>
      </c>
      <c r="K6044" s="3">
        <v>166.72</v>
      </c>
      <c r="L6044">
        <v>44.43</v>
      </c>
    </row>
    <row r="6045" spans="1:12">
      <c r="A6045" s="1">
        <v>46048</v>
      </c>
      <c r="B6045" t="s">
        <v>5855</v>
      </c>
      <c r="C6045">
        <v>13</v>
      </c>
      <c r="D6045" t="str">
        <f>VLOOKUP(Tabela26[[#This Row],[EMP]],[1]LOJA!$A:$B,2,0)</f>
        <v>CEILÂNDIA</v>
      </c>
      <c r="E6045">
        <v>33</v>
      </c>
      <c r="F6045" t="s">
        <v>3505</v>
      </c>
      <c r="G6045" t="s">
        <v>3504</v>
      </c>
      <c r="H6045" t="s">
        <v>3430</v>
      </c>
      <c r="I6045">
        <v>5102</v>
      </c>
      <c r="J6045" s="3">
        <v>14.56</v>
      </c>
      <c r="K6045" s="3">
        <v>9.52</v>
      </c>
      <c r="L6045">
        <v>34.619999999999997</v>
      </c>
    </row>
    <row r="6046" spans="1:12">
      <c r="A6046" s="1">
        <v>46048</v>
      </c>
      <c r="B6046" t="s">
        <v>5854</v>
      </c>
      <c r="C6046">
        <v>13</v>
      </c>
      <c r="D6046" t="str">
        <f>VLOOKUP(Tabela26[[#This Row],[EMP]],[1]LOJA!$A:$B,2,0)</f>
        <v>CEILÂNDIA</v>
      </c>
      <c r="E6046">
        <v>86</v>
      </c>
      <c r="F6046" t="s">
        <v>4084</v>
      </c>
      <c r="G6046" t="s">
        <v>4083</v>
      </c>
      <c r="H6046" t="s">
        <v>3430</v>
      </c>
      <c r="I6046">
        <v>5405</v>
      </c>
      <c r="J6046" s="3">
        <v>86.75</v>
      </c>
      <c r="K6046" s="3">
        <v>44.58</v>
      </c>
      <c r="L6046">
        <v>48.61</v>
      </c>
    </row>
    <row r="6047" spans="1:12">
      <c r="A6047" s="1">
        <v>46048</v>
      </c>
      <c r="B6047" t="s">
        <v>5853</v>
      </c>
      <c r="C6047">
        <v>13</v>
      </c>
      <c r="D6047" t="str">
        <f>VLOOKUP(Tabela26[[#This Row],[EMP]],[1]LOJA!$A:$B,2,0)</f>
        <v>CEILÂNDIA</v>
      </c>
      <c r="E6047">
        <v>86</v>
      </c>
      <c r="F6047" t="s">
        <v>4112</v>
      </c>
      <c r="G6047" t="s">
        <v>4111</v>
      </c>
      <c r="H6047" t="s">
        <v>3430</v>
      </c>
      <c r="I6047">
        <v>5405</v>
      </c>
      <c r="J6047" s="3">
        <v>79.900000000000006</v>
      </c>
      <c r="K6047" s="3">
        <v>45.5</v>
      </c>
      <c r="L6047">
        <v>43.05</v>
      </c>
    </row>
    <row r="6048" spans="1:12">
      <c r="A6048" s="1">
        <v>46048</v>
      </c>
      <c r="B6048" t="s">
        <v>5852</v>
      </c>
      <c r="C6048">
        <v>13</v>
      </c>
      <c r="D6048" t="str">
        <f>VLOOKUP(Tabela26[[#This Row],[EMP]],[1]LOJA!$A:$B,2,0)</f>
        <v>CEILÂNDIA</v>
      </c>
      <c r="E6048">
        <v>86</v>
      </c>
      <c r="F6048" t="s">
        <v>3629</v>
      </c>
      <c r="G6048" t="s">
        <v>3628</v>
      </c>
      <c r="H6048" t="s">
        <v>3430</v>
      </c>
      <c r="I6048">
        <v>5102</v>
      </c>
      <c r="J6048" s="3">
        <v>119</v>
      </c>
      <c r="K6048" s="3">
        <v>66.94</v>
      </c>
      <c r="L6048">
        <v>43.75</v>
      </c>
    </row>
    <row r="6049" spans="1:12">
      <c r="A6049" s="1">
        <v>46048</v>
      </c>
      <c r="B6049" t="s">
        <v>5851</v>
      </c>
      <c r="C6049">
        <v>13</v>
      </c>
      <c r="D6049" t="str">
        <f>VLOOKUP(Tabela26[[#This Row],[EMP]],[1]LOJA!$A:$B,2,0)</f>
        <v>CEILÂNDIA</v>
      </c>
      <c r="E6049">
        <v>86</v>
      </c>
      <c r="F6049" t="s">
        <v>4767</v>
      </c>
      <c r="G6049" t="s">
        <v>4766</v>
      </c>
      <c r="H6049" t="s">
        <v>3430</v>
      </c>
      <c r="I6049">
        <v>5405</v>
      </c>
      <c r="J6049" s="3">
        <v>280</v>
      </c>
      <c r="K6049" s="3">
        <v>141.9</v>
      </c>
      <c r="L6049">
        <v>49.32</v>
      </c>
    </row>
    <row r="6050" spans="1:12">
      <c r="A6050" s="1">
        <v>46048</v>
      </c>
      <c r="B6050" t="s">
        <v>5850</v>
      </c>
      <c r="C6050">
        <v>13</v>
      </c>
      <c r="D6050" t="str">
        <f>VLOOKUP(Tabela26[[#This Row],[EMP]],[1]LOJA!$A:$B,2,0)</f>
        <v>CEILÂNDIA</v>
      </c>
      <c r="E6050">
        <v>86</v>
      </c>
      <c r="F6050" t="s">
        <v>4081</v>
      </c>
      <c r="G6050" t="s">
        <v>4080</v>
      </c>
      <c r="H6050" t="s">
        <v>5498</v>
      </c>
      <c r="I6050">
        <v>5102</v>
      </c>
      <c r="J6050" s="3">
        <v>64.48</v>
      </c>
      <c r="K6050" s="3">
        <v>33.92</v>
      </c>
      <c r="L6050">
        <v>47.39</v>
      </c>
    </row>
    <row r="6051" spans="1:12">
      <c r="A6051" s="1">
        <v>46048</v>
      </c>
      <c r="B6051" t="s">
        <v>5849</v>
      </c>
      <c r="C6051">
        <v>13</v>
      </c>
      <c r="D6051" t="str">
        <f>VLOOKUP(Tabela26[[#This Row],[EMP]],[1]LOJA!$A:$B,2,0)</f>
        <v>CEILÂNDIA</v>
      </c>
      <c r="E6051">
        <v>86</v>
      </c>
      <c r="F6051" t="s">
        <v>3501</v>
      </c>
      <c r="G6051" t="s">
        <v>3500</v>
      </c>
      <c r="H6051" t="s">
        <v>3430</v>
      </c>
      <c r="I6051">
        <v>5405</v>
      </c>
      <c r="J6051" s="3">
        <v>50</v>
      </c>
      <c r="K6051" s="3">
        <v>26.64</v>
      </c>
      <c r="L6051">
        <v>46.72</v>
      </c>
    </row>
    <row r="6052" spans="1:12">
      <c r="A6052" s="1">
        <v>46048</v>
      </c>
      <c r="B6052" t="s">
        <v>5848</v>
      </c>
      <c r="C6052">
        <v>13</v>
      </c>
      <c r="D6052" t="str">
        <f>VLOOKUP(Tabela26[[#This Row],[EMP]],[1]LOJA!$A:$B,2,0)</f>
        <v>CEILÂNDIA</v>
      </c>
      <c r="E6052">
        <v>86</v>
      </c>
      <c r="F6052" t="s">
        <v>4081</v>
      </c>
      <c r="G6052" t="s">
        <v>4080</v>
      </c>
      <c r="H6052" t="s">
        <v>5498</v>
      </c>
      <c r="I6052">
        <v>5102</v>
      </c>
      <c r="J6052" s="3">
        <v>193.62</v>
      </c>
      <c r="K6052" s="3">
        <v>115.95</v>
      </c>
      <c r="L6052">
        <v>40.11</v>
      </c>
    </row>
    <row r="6053" spans="1:12">
      <c r="A6053" s="1">
        <v>46048</v>
      </c>
      <c r="B6053" t="s">
        <v>5847</v>
      </c>
      <c r="C6053">
        <v>13</v>
      </c>
      <c r="D6053" t="str">
        <f>VLOOKUP(Tabela26[[#This Row],[EMP]],[1]LOJA!$A:$B,2,0)</f>
        <v>CEILÂNDIA</v>
      </c>
      <c r="E6053">
        <v>86</v>
      </c>
      <c r="F6053" t="s">
        <v>4081</v>
      </c>
      <c r="G6053" t="s">
        <v>4080</v>
      </c>
      <c r="H6053" t="s">
        <v>5498</v>
      </c>
      <c r="I6053">
        <v>5405</v>
      </c>
      <c r="J6053" s="3">
        <v>118.37</v>
      </c>
      <c r="K6053" s="3">
        <v>67.84</v>
      </c>
      <c r="L6053">
        <v>42.69</v>
      </c>
    </row>
    <row r="6054" spans="1:12">
      <c r="A6054" s="1">
        <v>46048</v>
      </c>
      <c r="B6054" t="s">
        <v>5846</v>
      </c>
      <c r="C6054">
        <v>13</v>
      </c>
      <c r="D6054" t="str">
        <f>VLOOKUP(Tabela26[[#This Row],[EMP]],[1]LOJA!$A:$B,2,0)</f>
        <v>CEILÂNDIA</v>
      </c>
      <c r="E6054">
        <v>86</v>
      </c>
      <c r="F6054" t="s">
        <v>5845</v>
      </c>
      <c r="G6054" t="s">
        <v>5844</v>
      </c>
      <c r="H6054" t="s">
        <v>5498</v>
      </c>
      <c r="I6054">
        <v>5102</v>
      </c>
      <c r="J6054" s="3">
        <v>29.84</v>
      </c>
      <c r="K6054" s="3">
        <v>16.170000000000002</v>
      </c>
      <c r="L6054">
        <v>45.81</v>
      </c>
    </row>
    <row r="6055" spans="1:12">
      <c r="A6055" s="1">
        <v>46048</v>
      </c>
      <c r="B6055" t="s">
        <v>5843</v>
      </c>
      <c r="C6055">
        <v>13</v>
      </c>
      <c r="D6055" t="str">
        <f>VLOOKUP(Tabela26[[#This Row],[EMP]],[1]LOJA!$A:$B,2,0)</f>
        <v>CEILÂNDIA</v>
      </c>
      <c r="E6055">
        <v>86</v>
      </c>
      <c r="F6055" t="s">
        <v>3629</v>
      </c>
      <c r="G6055" t="s">
        <v>3628</v>
      </c>
      <c r="H6055" t="s">
        <v>3430</v>
      </c>
      <c r="I6055">
        <v>5405</v>
      </c>
      <c r="J6055" s="3">
        <v>38</v>
      </c>
      <c r="K6055" s="3">
        <v>19.52</v>
      </c>
      <c r="L6055">
        <v>48.63</v>
      </c>
    </row>
    <row r="6056" spans="1:12">
      <c r="A6056" s="1">
        <v>46048</v>
      </c>
      <c r="B6056" t="s">
        <v>5842</v>
      </c>
      <c r="C6056">
        <v>13</v>
      </c>
      <c r="D6056" t="str">
        <f>VLOOKUP(Tabela26[[#This Row],[EMP]],[1]LOJA!$A:$B,2,0)</f>
        <v>CEILÂNDIA</v>
      </c>
      <c r="E6056">
        <v>86</v>
      </c>
      <c r="F6056" t="s">
        <v>4081</v>
      </c>
      <c r="G6056" t="s">
        <v>4080</v>
      </c>
      <c r="H6056" t="s">
        <v>5498</v>
      </c>
      <c r="I6056">
        <v>5405</v>
      </c>
      <c r="J6056" s="3">
        <v>58.57</v>
      </c>
      <c r="K6056" s="3">
        <v>30.51</v>
      </c>
      <c r="L6056">
        <v>47.91</v>
      </c>
    </row>
    <row r="6057" spans="1:12">
      <c r="A6057" s="1">
        <v>46048</v>
      </c>
      <c r="B6057" t="s">
        <v>5841</v>
      </c>
      <c r="C6057">
        <v>13</v>
      </c>
      <c r="D6057" t="str">
        <f>VLOOKUP(Tabela26[[#This Row],[EMP]],[1]LOJA!$A:$B,2,0)</f>
        <v>CEILÂNDIA</v>
      </c>
      <c r="E6057">
        <v>33</v>
      </c>
      <c r="F6057" t="s">
        <v>3505</v>
      </c>
      <c r="G6057" t="s">
        <v>3504</v>
      </c>
      <c r="H6057" t="s">
        <v>3430</v>
      </c>
      <c r="I6057">
        <v>5102</v>
      </c>
      <c r="J6057" s="3">
        <v>217</v>
      </c>
      <c r="K6057" s="3">
        <v>110</v>
      </c>
      <c r="L6057">
        <v>49.31</v>
      </c>
    </row>
    <row r="6058" spans="1:12">
      <c r="A6058" s="1">
        <v>46048</v>
      </c>
      <c r="B6058" t="s">
        <v>5840</v>
      </c>
      <c r="C6058">
        <v>13</v>
      </c>
      <c r="D6058" t="str">
        <f>VLOOKUP(Tabela26[[#This Row],[EMP]],[1]LOJA!$A:$B,2,0)</f>
        <v>CEILÂNDIA</v>
      </c>
      <c r="E6058">
        <v>33</v>
      </c>
      <c r="F6058" t="s">
        <v>4109</v>
      </c>
      <c r="G6058" t="s">
        <v>4108</v>
      </c>
      <c r="H6058" t="s">
        <v>5498</v>
      </c>
      <c r="I6058">
        <v>5102</v>
      </c>
      <c r="J6058" s="3">
        <v>326.5</v>
      </c>
      <c r="K6058" s="3">
        <v>196.42</v>
      </c>
      <c r="L6058">
        <v>39.840000000000003</v>
      </c>
    </row>
    <row r="6059" spans="1:12">
      <c r="A6059" s="1">
        <v>46048</v>
      </c>
      <c r="B6059" t="s">
        <v>5839</v>
      </c>
      <c r="C6059">
        <v>15</v>
      </c>
      <c r="D6059" t="str">
        <f>VLOOKUP(Tabela26[[#This Row],[EMP]],[1]LOJA!$A:$B,2,0)</f>
        <v>UNAÍ</v>
      </c>
      <c r="E6059">
        <v>183</v>
      </c>
      <c r="F6059" t="s">
        <v>4029</v>
      </c>
      <c r="G6059" t="s">
        <v>4028</v>
      </c>
      <c r="H6059" t="s">
        <v>3401</v>
      </c>
      <c r="I6059">
        <v>5102</v>
      </c>
      <c r="J6059" s="3">
        <v>96.2</v>
      </c>
      <c r="K6059" s="3">
        <v>50.26</v>
      </c>
      <c r="L6059">
        <v>47.75</v>
      </c>
    </row>
    <row r="6060" spans="1:12">
      <c r="A6060" s="1">
        <v>46048</v>
      </c>
      <c r="B6060" t="s">
        <v>5838</v>
      </c>
      <c r="C6060">
        <v>15</v>
      </c>
      <c r="D6060" t="str">
        <f>VLOOKUP(Tabela26[[#This Row],[EMP]],[1]LOJA!$A:$B,2,0)</f>
        <v>UNAÍ</v>
      </c>
      <c r="E6060">
        <v>183</v>
      </c>
      <c r="F6060" t="s">
        <v>3488</v>
      </c>
      <c r="G6060" t="s">
        <v>3487</v>
      </c>
      <c r="H6060" t="s">
        <v>3430</v>
      </c>
      <c r="I6060">
        <v>5102</v>
      </c>
      <c r="J6060" s="3">
        <v>79.95</v>
      </c>
      <c r="K6060" s="3">
        <v>46.51</v>
      </c>
      <c r="L6060">
        <v>41.83</v>
      </c>
    </row>
    <row r="6061" spans="1:12">
      <c r="A6061" s="1">
        <v>46048</v>
      </c>
      <c r="B6061" t="s">
        <v>5837</v>
      </c>
      <c r="C6061">
        <v>15</v>
      </c>
      <c r="D6061" t="str">
        <f>VLOOKUP(Tabela26[[#This Row],[EMP]],[1]LOJA!$A:$B,2,0)</f>
        <v>UNAÍ</v>
      </c>
      <c r="E6061">
        <v>183</v>
      </c>
      <c r="F6061" t="s">
        <v>5241</v>
      </c>
      <c r="G6061" t="s">
        <v>5240</v>
      </c>
      <c r="H6061" t="s">
        <v>3401</v>
      </c>
      <c r="I6061">
        <v>5102</v>
      </c>
      <c r="J6061" s="3">
        <v>17.2</v>
      </c>
      <c r="K6061" s="3">
        <v>8.3000000000000007</v>
      </c>
      <c r="L6061">
        <v>51.74</v>
      </c>
    </row>
    <row r="6062" spans="1:12">
      <c r="A6062" s="1">
        <v>46048</v>
      </c>
      <c r="B6062" t="s">
        <v>5836</v>
      </c>
      <c r="C6062">
        <v>15</v>
      </c>
      <c r="D6062" t="str">
        <f>VLOOKUP(Tabela26[[#This Row],[EMP]],[1]LOJA!$A:$B,2,0)</f>
        <v>UNAÍ</v>
      </c>
      <c r="E6062">
        <v>183</v>
      </c>
      <c r="F6062" t="s">
        <v>5835</v>
      </c>
      <c r="G6062" t="s">
        <v>5834</v>
      </c>
      <c r="H6062" t="s">
        <v>3408</v>
      </c>
      <c r="I6062">
        <v>5102</v>
      </c>
      <c r="J6062" s="3">
        <v>456.21</v>
      </c>
      <c r="K6062" s="3">
        <v>268.86</v>
      </c>
      <c r="L6062">
        <v>41.07</v>
      </c>
    </row>
    <row r="6063" spans="1:12">
      <c r="A6063" s="1">
        <v>46048</v>
      </c>
      <c r="B6063" t="s">
        <v>5833</v>
      </c>
      <c r="C6063">
        <v>15</v>
      </c>
      <c r="D6063" t="str">
        <f>VLOOKUP(Tabela26[[#This Row],[EMP]],[1]LOJA!$A:$B,2,0)</f>
        <v>UNAÍ</v>
      </c>
      <c r="E6063">
        <v>183</v>
      </c>
      <c r="F6063" t="s">
        <v>5822</v>
      </c>
      <c r="G6063" t="s">
        <v>5821</v>
      </c>
      <c r="H6063" t="s">
        <v>3520</v>
      </c>
      <c r="I6063">
        <v>5102</v>
      </c>
      <c r="J6063" s="3">
        <v>220.05</v>
      </c>
      <c r="K6063" s="3">
        <v>142.63999999999999</v>
      </c>
      <c r="L6063">
        <v>35.18</v>
      </c>
    </row>
    <row r="6064" spans="1:12">
      <c r="A6064" s="1">
        <v>46048</v>
      </c>
      <c r="B6064" t="s">
        <v>5832</v>
      </c>
      <c r="C6064">
        <v>15</v>
      </c>
      <c r="D6064" t="str">
        <f>VLOOKUP(Tabela26[[#This Row],[EMP]],[1]LOJA!$A:$B,2,0)</f>
        <v>UNAÍ</v>
      </c>
      <c r="E6064">
        <v>183</v>
      </c>
      <c r="F6064" t="s">
        <v>5831</v>
      </c>
      <c r="G6064" t="s">
        <v>5830</v>
      </c>
      <c r="H6064" t="s">
        <v>3401</v>
      </c>
      <c r="I6064">
        <v>5102</v>
      </c>
      <c r="J6064" s="3">
        <v>11</v>
      </c>
      <c r="K6064" s="3">
        <v>7.61</v>
      </c>
      <c r="L6064">
        <v>30.82</v>
      </c>
    </row>
    <row r="6065" spans="1:12">
      <c r="A6065" s="1">
        <v>46048</v>
      </c>
      <c r="B6065" t="s">
        <v>5829</v>
      </c>
      <c r="C6065">
        <v>15</v>
      </c>
      <c r="D6065" t="str">
        <f>VLOOKUP(Tabela26[[#This Row],[EMP]],[1]LOJA!$A:$B,2,0)</f>
        <v>UNAÍ</v>
      </c>
      <c r="E6065">
        <v>183</v>
      </c>
      <c r="F6065" t="s">
        <v>3485</v>
      </c>
      <c r="G6065" t="s">
        <v>3402</v>
      </c>
      <c r="H6065" t="s">
        <v>3401</v>
      </c>
      <c r="I6065">
        <v>5102</v>
      </c>
      <c r="J6065" s="3">
        <v>23.6</v>
      </c>
      <c r="K6065" s="3">
        <v>14.23</v>
      </c>
      <c r="L6065">
        <v>39.700000000000003</v>
      </c>
    </row>
    <row r="6066" spans="1:12">
      <c r="A6066" s="1">
        <v>46048</v>
      </c>
      <c r="B6066" t="s">
        <v>5828</v>
      </c>
      <c r="C6066">
        <v>15</v>
      </c>
      <c r="D6066" t="str">
        <f>VLOOKUP(Tabela26[[#This Row],[EMP]],[1]LOJA!$A:$B,2,0)</f>
        <v>UNAÍ</v>
      </c>
      <c r="E6066">
        <v>183</v>
      </c>
      <c r="F6066" t="s">
        <v>3488</v>
      </c>
      <c r="G6066" t="s">
        <v>3487</v>
      </c>
      <c r="H6066" t="s">
        <v>3430</v>
      </c>
      <c r="I6066">
        <v>5102</v>
      </c>
      <c r="J6066" s="3">
        <v>90.9</v>
      </c>
      <c r="K6066" s="3">
        <v>57.16</v>
      </c>
      <c r="L6066">
        <v>37.119999999999997</v>
      </c>
    </row>
    <row r="6067" spans="1:12">
      <c r="A6067" s="1">
        <v>46048</v>
      </c>
      <c r="B6067" t="s">
        <v>5827</v>
      </c>
      <c r="C6067">
        <v>15</v>
      </c>
      <c r="D6067" t="str">
        <f>VLOOKUP(Tabela26[[#This Row],[EMP]],[1]LOJA!$A:$B,2,0)</f>
        <v>UNAÍ</v>
      </c>
      <c r="E6067">
        <v>183</v>
      </c>
      <c r="F6067" t="s">
        <v>4048</v>
      </c>
      <c r="G6067" t="s">
        <v>4047</v>
      </c>
      <c r="H6067" t="s">
        <v>3520</v>
      </c>
      <c r="I6067">
        <v>5405</v>
      </c>
      <c r="J6067" s="3">
        <v>1368</v>
      </c>
      <c r="K6067" s="3">
        <v>687.76</v>
      </c>
      <c r="L6067">
        <v>49.73</v>
      </c>
    </row>
    <row r="6068" spans="1:12">
      <c r="A6068" s="1">
        <v>46048</v>
      </c>
      <c r="B6068" t="s">
        <v>5826</v>
      </c>
      <c r="C6068">
        <v>15</v>
      </c>
      <c r="D6068" t="str">
        <f>VLOOKUP(Tabela26[[#This Row],[EMP]],[1]LOJA!$A:$B,2,0)</f>
        <v>UNAÍ</v>
      </c>
      <c r="E6068">
        <v>183</v>
      </c>
      <c r="F6068" t="s">
        <v>3485</v>
      </c>
      <c r="G6068" t="s">
        <v>3402</v>
      </c>
      <c r="H6068" t="s">
        <v>3401</v>
      </c>
      <c r="I6068">
        <v>5102</v>
      </c>
      <c r="J6068" s="3">
        <v>16.5</v>
      </c>
      <c r="K6068" s="3">
        <v>8.77</v>
      </c>
      <c r="L6068">
        <v>46.85</v>
      </c>
    </row>
    <row r="6069" spans="1:12">
      <c r="A6069" s="1">
        <v>46048</v>
      </c>
      <c r="B6069" t="s">
        <v>5825</v>
      </c>
      <c r="C6069">
        <v>15</v>
      </c>
      <c r="D6069" t="str">
        <f>VLOOKUP(Tabela26[[#This Row],[EMP]],[1]LOJA!$A:$B,2,0)</f>
        <v>UNAÍ</v>
      </c>
      <c r="E6069">
        <v>183</v>
      </c>
      <c r="F6069" t="s">
        <v>5308</v>
      </c>
      <c r="G6069" t="s">
        <v>5307</v>
      </c>
      <c r="H6069" t="s">
        <v>3401</v>
      </c>
      <c r="I6069">
        <v>5102</v>
      </c>
      <c r="J6069" s="3">
        <v>54</v>
      </c>
      <c r="K6069" s="3">
        <v>24.41</v>
      </c>
      <c r="L6069">
        <v>54.8</v>
      </c>
    </row>
    <row r="6070" spans="1:12">
      <c r="A6070" s="1">
        <v>46048</v>
      </c>
      <c r="B6070" t="s">
        <v>5824</v>
      </c>
      <c r="C6070">
        <v>15</v>
      </c>
      <c r="D6070" t="str">
        <f>VLOOKUP(Tabela26[[#This Row],[EMP]],[1]LOJA!$A:$B,2,0)</f>
        <v>UNAÍ</v>
      </c>
      <c r="E6070">
        <v>183</v>
      </c>
      <c r="F6070" t="s">
        <v>3485</v>
      </c>
      <c r="G6070" t="s">
        <v>3402</v>
      </c>
      <c r="H6070" t="s">
        <v>3401</v>
      </c>
      <c r="I6070">
        <v>5102</v>
      </c>
      <c r="J6070" s="3">
        <v>12</v>
      </c>
      <c r="K6070" s="3">
        <v>5.16</v>
      </c>
      <c r="L6070">
        <v>57</v>
      </c>
    </row>
    <row r="6071" spans="1:12">
      <c r="A6071" s="1">
        <v>46048</v>
      </c>
      <c r="B6071" t="s">
        <v>5823</v>
      </c>
      <c r="C6071">
        <v>15</v>
      </c>
      <c r="D6071" t="str">
        <f>VLOOKUP(Tabela26[[#This Row],[EMP]],[1]LOJA!$A:$B,2,0)</f>
        <v>UNAÍ</v>
      </c>
      <c r="E6071">
        <v>183</v>
      </c>
      <c r="F6071" t="s">
        <v>5822</v>
      </c>
      <c r="G6071" t="s">
        <v>5821</v>
      </c>
      <c r="H6071" t="s">
        <v>3520</v>
      </c>
      <c r="I6071">
        <v>5102</v>
      </c>
      <c r="J6071" s="3">
        <v>2.6</v>
      </c>
      <c r="K6071" s="3">
        <v>1.35</v>
      </c>
      <c r="L6071">
        <v>48.08</v>
      </c>
    </row>
    <row r="6072" spans="1:12">
      <c r="A6072" s="1">
        <v>46048</v>
      </c>
      <c r="B6072" t="s">
        <v>5820</v>
      </c>
      <c r="C6072">
        <v>15</v>
      </c>
      <c r="D6072" t="str">
        <f>VLOOKUP(Tabela26[[#This Row],[EMP]],[1]LOJA!$A:$B,2,0)</f>
        <v>UNAÍ</v>
      </c>
      <c r="E6072">
        <v>183</v>
      </c>
      <c r="F6072" t="s">
        <v>4037</v>
      </c>
      <c r="G6072" t="s">
        <v>4036</v>
      </c>
      <c r="H6072" t="s">
        <v>4243</v>
      </c>
      <c r="I6072">
        <v>5102</v>
      </c>
      <c r="J6072" s="3">
        <v>205.05</v>
      </c>
      <c r="K6072" s="3">
        <v>125.6</v>
      </c>
      <c r="L6072">
        <v>38.75</v>
      </c>
    </row>
    <row r="6073" spans="1:12">
      <c r="A6073" s="1">
        <v>46048</v>
      </c>
      <c r="B6073" t="s">
        <v>5819</v>
      </c>
      <c r="C6073">
        <v>15</v>
      </c>
      <c r="D6073" t="str">
        <f>VLOOKUP(Tabela26[[#This Row],[EMP]],[1]LOJA!$A:$B,2,0)</f>
        <v>UNAÍ</v>
      </c>
      <c r="E6073">
        <v>183</v>
      </c>
      <c r="F6073" t="s">
        <v>3488</v>
      </c>
      <c r="G6073" t="s">
        <v>3487</v>
      </c>
      <c r="H6073" t="s">
        <v>3430</v>
      </c>
      <c r="I6073">
        <v>5102</v>
      </c>
      <c r="J6073" s="3">
        <v>73</v>
      </c>
      <c r="K6073" s="3">
        <v>44.78</v>
      </c>
      <c r="L6073">
        <v>38.659999999999997</v>
      </c>
    </row>
    <row r="6074" spans="1:12">
      <c r="A6074" s="1">
        <v>46048</v>
      </c>
      <c r="B6074" t="s">
        <v>5818</v>
      </c>
      <c r="C6074">
        <v>15</v>
      </c>
      <c r="D6074" t="str">
        <f>VLOOKUP(Tabela26[[#This Row],[EMP]],[1]LOJA!$A:$B,2,0)</f>
        <v>UNAÍ</v>
      </c>
      <c r="E6074">
        <v>183</v>
      </c>
      <c r="F6074" t="s">
        <v>5817</v>
      </c>
      <c r="G6074" t="s">
        <v>5816</v>
      </c>
      <c r="H6074" t="s">
        <v>3520</v>
      </c>
      <c r="I6074">
        <v>5102</v>
      </c>
      <c r="J6074" s="3">
        <v>470</v>
      </c>
      <c r="K6074" s="3">
        <v>237.09</v>
      </c>
      <c r="L6074">
        <v>49.56</v>
      </c>
    </row>
    <row r="6075" spans="1:12">
      <c r="A6075" s="1">
        <v>46048</v>
      </c>
      <c r="B6075" t="s">
        <v>5815</v>
      </c>
      <c r="C6075">
        <v>15</v>
      </c>
      <c r="D6075" t="str">
        <f>VLOOKUP(Tabela26[[#This Row],[EMP]],[1]LOJA!$A:$B,2,0)</f>
        <v>UNAÍ</v>
      </c>
      <c r="E6075">
        <v>183</v>
      </c>
      <c r="F6075" t="s">
        <v>3485</v>
      </c>
      <c r="G6075" t="s">
        <v>3402</v>
      </c>
      <c r="H6075" t="s">
        <v>3401</v>
      </c>
      <c r="I6075">
        <v>5102</v>
      </c>
      <c r="J6075" s="3">
        <v>19</v>
      </c>
      <c r="K6075" s="3">
        <v>10.09</v>
      </c>
      <c r="L6075">
        <v>46.89</v>
      </c>
    </row>
    <row r="6076" spans="1:12">
      <c r="A6076" s="1">
        <v>46048</v>
      </c>
      <c r="B6076" t="s">
        <v>5814</v>
      </c>
      <c r="C6076">
        <v>15</v>
      </c>
      <c r="D6076" t="str">
        <f>VLOOKUP(Tabela26[[#This Row],[EMP]],[1]LOJA!$A:$B,2,0)</f>
        <v>UNAÍ</v>
      </c>
      <c r="E6076">
        <v>183</v>
      </c>
      <c r="F6076" t="s">
        <v>3485</v>
      </c>
      <c r="G6076" t="s">
        <v>3402</v>
      </c>
      <c r="H6076" t="s">
        <v>3401</v>
      </c>
      <c r="I6076">
        <v>5102</v>
      </c>
      <c r="J6076" s="3">
        <v>36</v>
      </c>
      <c r="K6076" s="3">
        <v>21.9</v>
      </c>
      <c r="L6076">
        <v>39.17</v>
      </c>
    </row>
    <row r="6077" spans="1:12">
      <c r="A6077" s="1">
        <v>46048</v>
      </c>
      <c r="B6077" t="s">
        <v>5813</v>
      </c>
      <c r="C6077">
        <v>15</v>
      </c>
      <c r="D6077" t="str">
        <f>VLOOKUP(Tabela26[[#This Row],[EMP]],[1]LOJA!$A:$B,2,0)</f>
        <v>UNAÍ</v>
      </c>
      <c r="E6077">
        <v>183</v>
      </c>
      <c r="F6077" t="s">
        <v>3485</v>
      </c>
      <c r="G6077" t="s">
        <v>3402</v>
      </c>
      <c r="H6077" t="s">
        <v>3401</v>
      </c>
      <c r="I6077">
        <v>5102</v>
      </c>
      <c r="J6077" s="3">
        <v>4.3499999999999996</v>
      </c>
      <c r="K6077" s="3">
        <v>1.78</v>
      </c>
      <c r="L6077">
        <v>59.08</v>
      </c>
    </row>
    <row r="6078" spans="1:12">
      <c r="A6078" s="1">
        <v>46048</v>
      </c>
      <c r="B6078" t="s">
        <v>5812</v>
      </c>
      <c r="C6078">
        <v>15</v>
      </c>
      <c r="D6078" t="str">
        <f>VLOOKUP(Tabela26[[#This Row],[EMP]],[1]LOJA!$A:$B,2,0)</f>
        <v>UNAÍ</v>
      </c>
      <c r="E6078">
        <v>183</v>
      </c>
      <c r="F6078" t="s">
        <v>3485</v>
      </c>
      <c r="G6078" t="s">
        <v>3402</v>
      </c>
      <c r="H6078" t="s">
        <v>3401</v>
      </c>
      <c r="I6078">
        <v>5102</v>
      </c>
      <c r="J6078" s="3">
        <v>20</v>
      </c>
      <c r="K6078" s="3">
        <v>9.81</v>
      </c>
      <c r="L6078">
        <v>50.95</v>
      </c>
    </row>
    <row r="6079" spans="1:12">
      <c r="A6079" s="1">
        <v>46048</v>
      </c>
      <c r="B6079" t="s">
        <v>5811</v>
      </c>
      <c r="C6079">
        <v>15</v>
      </c>
      <c r="D6079" t="str">
        <f>VLOOKUP(Tabela26[[#This Row],[EMP]],[1]LOJA!$A:$B,2,0)</f>
        <v>UNAÍ</v>
      </c>
      <c r="E6079">
        <v>183</v>
      </c>
      <c r="F6079" t="s">
        <v>3485</v>
      </c>
      <c r="G6079" t="s">
        <v>3402</v>
      </c>
      <c r="H6079" t="s">
        <v>3401</v>
      </c>
      <c r="I6079">
        <v>5102</v>
      </c>
      <c r="J6079" s="3">
        <v>67.5</v>
      </c>
      <c r="K6079" s="3">
        <v>34.25</v>
      </c>
      <c r="L6079">
        <v>49.26</v>
      </c>
    </row>
    <row r="6080" spans="1:12">
      <c r="A6080" s="1">
        <v>46048</v>
      </c>
      <c r="B6080" t="s">
        <v>5810</v>
      </c>
      <c r="C6080">
        <v>15</v>
      </c>
      <c r="D6080" t="str">
        <f>VLOOKUP(Tabela26[[#This Row],[EMP]],[1]LOJA!$A:$B,2,0)</f>
        <v>UNAÍ</v>
      </c>
      <c r="E6080">
        <v>183</v>
      </c>
      <c r="F6080" t="s">
        <v>3485</v>
      </c>
      <c r="G6080" t="s">
        <v>3402</v>
      </c>
      <c r="H6080" t="s">
        <v>3401</v>
      </c>
      <c r="I6080">
        <v>5102</v>
      </c>
      <c r="J6080" s="3">
        <v>108</v>
      </c>
      <c r="K6080" s="3">
        <v>58.99</v>
      </c>
      <c r="L6080">
        <v>45.38</v>
      </c>
    </row>
    <row r="6081" spans="1:12">
      <c r="A6081" s="1">
        <v>46048</v>
      </c>
      <c r="B6081" t="s">
        <v>5809</v>
      </c>
      <c r="C6081">
        <v>15</v>
      </c>
      <c r="D6081" t="str">
        <f>VLOOKUP(Tabela26[[#This Row],[EMP]],[1]LOJA!$A:$B,2,0)</f>
        <v>UNAÍ</v>
      </c>
      <c r="E6081">
        <v>183</v>
      </c>
      <c r="F6081" t="s">
        <v>3464</v>
      </c>
      <c r="G6081" t="s">
        <v>3463</v>
      </c>
      <c r="H6081" t="s">
        <v>3401</v>
      </c>
      <c r="I6081">
        <v>5102</v>
      </c>
      <c r="J6081" s="3">
        <v>20</v>
      </c>
      <c r="K6081" s="3">
        <v>9.75</v>
      </c>
      <c r="L6081">
        <v>51.25</v>
      </c>
    </row>
    <row r="6082" spans="1:12">
      <c r="A6082" s="1">
        <v>46048</v>
      </c>
      <c r="B6082" t="s">
        <v>5808</v>
      </c>
      <c r="C6082">
        <v>15</v>
      </c>
      <c r="D6082" t="str">
        <f>VLOOKUP(Tabela26[[#This Row],[EMP]],[1]LOJA!$A:$B,2,0)</f>
        <v>UNAÍ</v>
      </c>
      <c r="E6082">
        <v>183</v>
      </c>
      <c r="F6082" t="s">
        <v>3485</v>
      </c>
      <c r="G6082" t="s">
        <v>3402</v>
      </c>
      <c r="H6082" t="s">
        <v>3401</v>
      </c>
      <c r="I6082">
        <v>5102</v>
      </c>
      <c r="J6082" s="3">
        <v>26.2</v>
      </c>
      <c r="K6082" s="3">
        <v>12.34</v>
      </c>
      <c r="L6082">
        <v>52.9</v>
      </c>
    </row>
    <row r="6083" spans="1:12">
      <c r="A6083" s="1">
        <v>46048</v>
      </c>
      <c r="B6083" t="s">
        <v>5807</v>
      </c>
      <c r="C6083">
        <v>15</v>
      </c>
      <c r="D6083" t="str">
        <f>VLOOKUP(Tabela26[[#This Row],[EMP]],[1]LOJA!$A:$B,2,0)</f>
        <v>UNAÍ</v>
      </c>
      <c r="E6083">
        <v>183</v>
      </c>
      <c r="F6083" t="s">
        <v>4025</v>
      </c>
      <c r="G6083" t="s">
        <v>4024</v>
      </c>
      <c r="H6083" t="s">
        <v>3401</v>
      </c>
      <c r="I6083">
        <v>5102</v>
      </c>
      <c r="J6083" s="3">
        <v>64.45</v>
      </c>
      <c r="K6083" s="3">
        <v>31.64</v>
      </c>
      <c r="L6083">
        <v>50.91</v>
      </c>
    </row>
    <row r="6084" spans="1:12">
      <c r="A6084" s="1">
        <v>46048</v>
      </c>
      <c r="B6084" t="s">
        <v>5806</v>
      </c>
      <c r="C6084">
        <v>15</v>
      </c>
      <c r="D6084" t="str">
        <f>VLOOKUP(Tabela26[[#This Row],[EMP]],[1]LOJA!$A:$B,2,0)</f>
        <v>UNAÍ</v>
      </c>
      <c r="E6084">
        <v>183</v>
      </c>
      <c r="F6084" t="s">
        <v>3485</v>
      </c>
      <c r="G6084" t="s">
        <v>3402</v>
      </c>
      <c r="H6084" t="s">
        <v>3401</v>
      </c>
      <c r="I6084">
        <v>5102</v>
      </c>
      <c r="J6084" s="3">
        <v>372.2</v>
      </c>
      <c r="K6084" s="3">
        <v>125.27</v>
      </c>
      <c r="L6084">
        <v>66.34</v>
      </c>
    </row>
    <row r="6085" spans="1:12">
      <c r="A6085" s="1">
        <v>46048</v>
      </c>
      <c r="B6085" t="s">
        <v>5805</v>
      </c>
      <c r="C6085">
        <v>15</v>
      </c>
      <c r="D6085" t="str">
        <f>VLOOKUP(Tabela26[[#This Row],[EMP]],[1]LOJA!$A:$B,2,0)</f>
        <v>UNAÍ</v>
      </c>
      <c r="E6085">
        <v>183</v>
      </c>
      <c r="F6085" t="s">
        <v>5804</v>
      </c>
      <c r="G6085" t="s">
        <v>3402</v>
      </c>
      <c r="H6085" t="s">
        <v>3401</v>
      </c>
      <c r="I6085">
        <v>5102</v>
      </c>
      <c r="J6085" s="3">
        <v>118</v>
      </c>
      <c r="K6085" s="3">
        <v>63.62</v>
      </c>
      <c r="L6085">
        <v>46.08</v>
      </c>
    </row>
    <row r="6086" spans="1:12">
      <c r="A6086" s="1">
        <v>46048</v>
      </c>
      <c r="B6086" t="s">
        <v>5803</v>
      </c>
      <c r="C6086">
        <v>15</v>
      </c>
      <c r="D6086" t="str">
        <f>VLOOKUP(Tabela26[[#This Row],[EMP]],[1]LOJA!$A:$B,2,0)</f>
        <v>UNAÍ</v>
      </c>
      <c r="E6086">
        <v>183</v>
      </c>
      <c r="F6086" t="s">
        <v>4708</v>
      </c>
      <c r="G6086" t="s">
        <v>4707</v>
      </c>
      <c r="H6086" t="s">
        <v>3520</v>
      </c>
      <c r="I6086">
        <v>5102</v>
      </c>
      <c r="J6086" s="3">
        <v>771</v>
      </c>
      <c r="K6086" s="3">
        <v>372</v>
      </c>
      <c r="L6086">
        <v>51.75</v>
      </c>
    </row>
    <row r="6087" spans="1:12">
      <c r="A6087" s="1">
        <v>46048</v>
      </c>
      <c r="B6087" t="s">
        <v>5802</v>
      </c>
      <c r="C6087">
        <v>15</v>
      </c>
      <c r="D6087" t="str">
        <f>VLOOKUP(Tabela26[[#This Row],[EMP]],[1]LOJA!$A:$B,2,0)</f>
        <v>UNAÍ</v>
      </c>
      <c r="E6087">
        <v>183</v>
      </c>
      <c r="F6087" t="s">
        <v>4701</v>
      </c>
      <c r="G6087" t="s">
        <v>4700</v>
      </c>
      <c r="H6087" t="s">
        <v>3520</v>
      </c>
      <c r="I6087">
        <v>5405</v>
      </c>
      <c r="J6087" s="3">
        <v>58</v>
      </c>
      <c r="K6087" s="3">
        <v>28.22</v>
      </c>
      <c r="L6087">
        <v>51.34</v>
      </c>
    </row>
    <row r="6088" spans="1:12">
      <c r="A6088" s="1">
        <v>46048</v>
      </c>
      <c r="B6088" t="s">
        <v>5801</v>
      </c>
      <c r="C6088">
        <v>15</v>
      </c>
      <c r="D6088" t="str">
        <f>VLOOKUP(Tabela26[[#This Row],[EMP]],[1]LOJA!$A:$B,2,0)</f>
        <v>UNAÍ</v>
      </c>
      <c r="E6088">
        <v>183</v>
      </c>
      <c r="F6088" t="s">
        <v>3485</v>
      </c>
      <c r="G6088" t="s">
        <v>3402</v>
      </c>
      <c r="H6088" t="s">
        <v>3401</v>
      </c>
      <c r="I6088">
        <v>5102</v>
      </c>
      <c r="J6088" s="3">
        <v>95.5</v>
      </c>
      <c r="K6088" s="3">
        <v>43.91</v>
      </c>
      <c r="L6088">
        <v>54.02</v>
      </c>
    </row>
    <row r="6089" spans="1:12">
      <c r="A6089" s="1">
        <v>46048</v>
      </c>
      <c r="B6089" t="s">
        <v>5800</v>
      </c>
      <c r="C6089">
        <v>15</v>
      </c>
      <c r="D6089" t="str">
        <f>VLOOKUP(Tabela26[[#This Row],[EMP]],[1]LOJA!$A:$B,2,0)</f>
        <v>UNAÍ</v>
      </c>
      <c r="E6089">
        <v>183</v>
      </c>
      <c r="F6089" t="s">
        <v>5799</v>
      </c>
      <c r="G6089" t="s">
        <v>5798</v>
      </c>
      <c r="H6089" t="s">
        <v>3408</v>
      </c>
      <c r="I6089">
        <v>5102</v>
      </c>
      <c r="J6089" s="3">
        <v>281</v>
      </c>
      <c r="K6089" s="3">
        <v>150.29</v>
      </c>
      <c r="L6089">
        <v>46.52</v>
      </c>
    </row>
    <row r="6090" spans="1:12">
      <c r="A6090" s="1">
        <v>46048</v>
      </c>
      <c r="B6090" t="s">
        <v>5797</v>
      </c>
      <c r="C6090">
        <v>15</v>
      </c>
      <c r="D6090" t="str">
        <f>VLOOKUP(Tabela26[[#This Row],[EMP]],[1]LOJA!$A:$B,2,0)</f>
        <v>UNAÍ</v>
      </c>
      <c r="E6090">
        <v>183</v>
      </c>
      <c r="F6090" t="s">
        <v>4016</v>
      </c>
      <c r="G6090" t="s">
        <v>4015</v>
      </c>
      <c r="H6090" t="s">
        <v>4243</v>
      </c>
      <c r="I6090">
        <v>5102</v>
      </c>
      <c r="J6090" s="3">
        <v>64.83</v>
      </c>
      <c r="K6090" s="3">
        <v>39.090000000000003</v>
      </c>
      <c r="L6090">
        <v>39.700000000000003</v>
      </c>
    </row>
    <row r="6091" spans="1:12">
      <c r="A6091" s="1">
        <v>46048</v>
      </c>
      <c r="B6091" t="s">
        <v>5796</v>
      </c>
      <c r="C6091">
        <v>15</v>
      </c>
      <c r="D6091" t="str">
        <f>VLOOKUP(Tabela26[[#This Row],[EMP]],[1]LOJA!$A:$B,2,0)</f>
        <v>UNAÍ</v>
      </c>
      <c r="E6091">
        <v>183</v>
      </c>
      <c r="F6091" t="s">
        <v>4681</v>
      </c>
      <c r="G6091" t="s">
        <v>4680</v>
      </c>
      <c r="H6091" t="s">
        <v>5582</v>
      </c>
      <c r="I6091">
        <v>5102</v>
      </c>
      <c r="J6091" s="3">
        <v>59.55</v>
      </c>
      <c r="K6091" s="3">
        <v>29.31</v>
      </c>
      <c r="L6091">
        <v>50.78</v>
      </c>
    </row>
    <row r="6092" spans="1:12">
      <c r="A6092" s="1">
        <v>46048</v>
      </c>
      <c r="B6092" t="s">
        <v>5795</v>
      </c>
      <c r="C6092">
        <v>6</v>
      </c>
      <c r="D6092" t="str">
        <f>VLOOKUP(Tabela26[[#This Row],[EMP]],[1]LOJA!$A:$B,2,0)</f>
        <v>GAMA</v>
      </c>
      <c r="E6092">
        <v>245</v>
      </c>
      <c r="F6092" t="s">
        <v>4004</v>
      </c>
      <c r="G6092" t="s">
        <v>4003</v>
      </c>
      <c r="H6092" t="s">
        <v>3430</v>
      </c>
      <c r="I6092">
        <v>5102</v>
      </c>
      <c r="J6092" s="3">
        <v>1459.4</v>
      </c>
      <c r="K6092" s="3">
        <v>768.86</v>
      </c>
      <c r="L6092">
        <v>47.32</v>
      </c>
    </row>
    <row r="6093" spans="1:12">
      <c r="A6093" s="1">
        <v>46048</v>
      </c>
      <c r="B6093" t="s">
        <v>5794</v>
      </c>
      <c r="C6093">
        <v>6</v>
      </c>
      <c r="D6093" t="str">
        <f>VLOOKUP(Tabela26[[#This Row],[EMP]],[1]LOJA!$A:$B,2,0)</f>
        <v>GAMA</v>
      </c>
      <c r="E6093">
        <v>245</v>
      </c>
      <c r="F6093" t="s">
        <v>5501</v>
      </c>
      <c r="G6093" t="s">
        <v>5500</v>
      </c>
      <c r="H6093" t="s">
        <v>3401</v>
      </c>
      <c r="I6093">
        <v>1202</v>
      </c>
      <c r="J6093" s="3">
        <v>-74.8</v>
      </c>
      <c r="K6093" s="3">
        <v>-39.159999999999997</v>
      </c>
      <c r="L6093">
        <v>47.65</v>
      </c>
    </row>
    <row r="6094" spans="1:12">
      <c r="A6094" s="1">
        <v>46048</v>
      </c>
      <c r="B6094" t="s">
        <v>5793</v>
      </c>
      <c r="C6094">
        <v>14</v>
      </c>
      <c r="D6094" t="str">
        <f>VLOOKUP(Tabela26[[#This Row],[EMP]],[1]LOJA!$A:$B,2,0)</f>
        <v>S IA</v>
      </c>
      <c r="E6094">
        <v>212</v>
      </c>
      <c r="F6094" t="s">
        <v>3403</v>
      </c>
      <c r="G6094" t="s">
        <v>3402</v>
      </c>
      <c r="H6094" t="s">
        <v>3401</v>
      </c>
      <c r="I6094">
        <v>5405</v>
      </c>
      <c r="J6094" s="3">
        <v>128</v>
      </c>
      <c r="K6094" s="3">
        <v>65.5</v>
      </c>
      <c r="L6094">
        <v>48.83</v>
      </c>
    </row>
    <row r="6095" spans="1:12">
      <c r="A6095" s="1">
        <v>46048</v>
      </c>
      <c r="B6095" t="s">
        <v>5792</v>
      </c>
      <c r="C6095">
        <v>14</v>
      </c>
      <c r="D6095" t="str">
        <f>VLOOKUP(Tabela26[[#This Row],[EMP]],[1]LOJA!$A:$B,2,0)</f>
        <v>S IA</v>
      </c>
      <c r="E6095">
        <v>212</v>
      </c>
      <c r="F6095" t="s">
        <v>3403</v>
      </c>
      <c r="G6095" t="s">
        <v>3402</v>
      </c>
      <c r="H6095" t="s">
        <v>3401</v>
      </c>
      <c r="I6095">
        <v>5102</v>
      </c>
      <c r="J6095" s="3">
        <v>9.6</v>
      </c>
      <c r="K6095" s="3">
        <v>4.16</v>
      </c>
      <c r="L6095">
        <v>56.67</v>
      </c>
    </row>
    <row r="6096" spans="1:12">
      <c r="A6096" s="1">
        <v>46048</v>
      </c>
      <c r="B6096" t="s">
        <v>5791</v>
      </c>
      <c r="C6096">
        <v>14</v>
      </c>
      <c r="D6096" t="str">
        <f>VLOOKUP(Tabela26[[#This Row],[EMP]],[1]LOJA!$A:$B,2,0)</f>
        <v>S IA</v>
      </c>
      <c r="E6096">
        <v>54</v>
      </c>
      <c r="F6096" t="s">
        <v>3403</v>
      </c>
      <c r="G6096" t="s">
        <v>3402</v>
      </c>
      <c r="H6096" t="s">
        <v>3401</v>
      </c>
      <c r="I6096">
        <v>5405</v>
      </c>
      <c r="J6096" s="3">
        <v>59.9</v>
      </c>
      <c r="K6096" s="3">
        <v>26.53</v>
      </c>
      <c r="L6096">
        <v>55.71</v>
      </c>
    </row>
    <row r="6097" spans="1:12">
      <c r="A6097" s="1">
        <v>46048</v>
      </c>
      <c r="B6097" t="s">
        <v>5790</v>
      </c>
      <c r="C6097">
        <v>14</v>
      </c>
      <c r="D6097" t="str">
        <f>VLOOKUP(Tabela26[[#This Row],[EMP]],[1]LOJA!$A:$B,2,0)</f>
        <v>S IA</v>
      </c>
      <c r="E6097">
        <v>54</v>
      </c>
      <c r="F6097" t="s">
        <v>5789</v>
      </c>
      <c r="G6097" t="s">
        <v>5788</v>
      </c>
      <c r="H6097" t="s">
        <v>3401</v>
      </c>
      <c r="I6097">
        <v>5102</v>
      </c>
      <c r="J6097" s="3">
        <v>18</v>
      </c>
      <c r="K6097" s="3">
        <v>8.34</v>
      </c>
      <c r="L6097">
        <v>53.67</v>
      </c>
    </row>
    <row r="6098" spans="1:12">
      <c r="A6098" s="1">
        <v>46048</v>
      </c>
      <c r="B6098" t="s">
        <v>5787</v>
      </c>
      <c r="C6098">
        <v>14</v>
      </c>
      <c r="D6098" t="str">
        <f>VLOOKUP(Tabela26[[#This Row],[EMP]],[1]LOJA!$A:$B,2,0)</f>
        <v>S IA</v>
      </c>
      <c r="E6098">
        <v>54</v>
      </c>
      <c r="F6098" t="s">
        <v>3403</v>
      </c>
      <c r="G6098" t="s">
        <v>3402</v>
      </c>
      <c r="H6098" t="s">
        <v>3401</v>
      </c>
      <c r="I6098">
        <v>5102</v>
      </c>
      <c r="J6098" s="3">
        <v>8</v>
      </c>
      <c r="K6098" s="3">
        <v>3.59</v>
      </c>
      <c r="L6098">
        <v>55.13</v>
      </c>
    </row>
    <row r="6099" spans="1:12">
      <c r="A6099" s="1">
        <v>46048</v>
      </c>
      <c r="B6099" t="s">
        <v>5786</v>
      </c>
      <c r="C6099">
        <v>14</v>
      </c>
      <c r="D6099" t="str">
        <f>VLOOKUP(Tabela26[[#This Row],[EMP]],[1]LOJA!$A:$B,2,0)</f>
        <v>S IA</v>
      </c>
      <c r="E6099">
        <v>54</v>
      </c>
      <c r="F6099" t="s">
        <v>4659</v>
      </c>
      <c r="G6099" t="s">
        <v>4658</v>
      </c>
      <c r="H6099" t="s">
        <v>3430</v>
      </c>
      <c r="I6099">
        <v>5405</v>
      </c>
      <c r="J6099" s="3">
        <v>1077.3</v>
      </c>
      <c r="K6099" s="3">
        <v>604.53</v>
      </c>
      <c r="L6099">
        <v>43.88</v>
      </c>
    </row>
    <row r="6100" spans="1:12">
      <c r="A6100" s="1">
        <v>46048</v>
      </c>
      <c r="B6100" t="s">
        <v>5785</v>
      </c>
      <c r="C6100">
        <v>14</v>
      </c>
      <c r="D6100" t="str">
        <f>VLOOKUP(Tabela26[[#This Row],[EMP]],[1]LOJA!$A:$B,2,0)</f>
        <v>S IA</v>
      </c>
      <c r="E6100">
        <v>212</v>
      </c>
      <c r="F6100" t="s">
        <v>3403</v>
      </c>
      <c r="G6100" t="s">
        <v>3402</v>
      </c>
      <c r="H6100" t="s">
        <v>3401</v>
      </c>
      <c r="I6100">
        <v>5405</v>
      </c>
      <c r="J6100" s="3">
        <v>53.8</v>
      </c>
      <c r="K6100" s="3">
        <v>24.38</v>
      </c>
      <c r="L6100">
        <v>54.68</v>
      </c>
    </row>
    <row r="6101" spans="1:12">
      <c r="A6101" s="1">
        <v>46048</v>
      </c>
      <c r="B6101" t="s">
        <v>5784</v>
      </c>
      <c r="C6101">
        <v>14</v>
      </c>
      <c r="D6101" t="str">
        <f>VLOOKUP(Tabela26[[#This Row],[EMP]],[1]LOJA!$A:$B,2,0)</f>
        <v>S IA</v>
      </c>
      <c r="E6101">
        <v>54</v>
      </c>
      <c r="F6101" t="s">
        <v>3403</v>
      </c>
      <c r="G6101" t="s">
        <v>3402</v>
      </c>
      <c r="H6101" t="s">
        <v>3401</v>
      </c>
      <c r="I6101">
        <v>5102</v>
      </c>
      <c r="J6101" s="3">
        <v>75.8</v>
      </c>
      <c r="K6101" s="3">
        <v>30.73</v>
      </c>
      <c r="L6101">
        <v>59.46</v>
      </c>
    </row>
    <row r="6102" spans="1:12">
      <c r="A6102" s="1">
        <v>46048</v>
      </c>
      <c r="B6102" t="s">
        <v>5783</v>
      </c>
      <c r="C6102">
        <v>14</v>
      </c>
      <c r="D6102" t="str">
        <f>VLOOKUP(Tabela26[[#This Row],[EMP]],[1]LOJA!$A:$B,2,0)</f>
        <v>S IA</v>
      </c>
      <c r="E6102">
        <v>54</v>
      </c>
      <c r="F6102" t="s">
        <v>3403</v>
      </c>
      <c r="G6102" t="s">
        <v>3402</v>
      </c>
      <c r="H6102" t="s">
        <v>3401</v>
      </c>
      <c r="I6102">
        <v>5405</v>
      </c>
      <c r="J6102" s="3">
        <v>29.9</v>
      </c>
      <c r="K6102" s="3">
        <v>12.63</v>
      </c>
      <c r="L6102">
        <v>57.76</v>
      </c>
    </row>
    <row r="6103" spans="1:12">
      <c r="A6103" s="1">
        <v>46048</v>
      </c>
      <c r="B6103" t="s">
        <v>5782</v>
      </c>
      <c r="C6103">
        <v>14</v>
      </c>
      <c r="D6103" t="str">
        <f>VLOOKUP(Tabela26[[#This Row],[EMP]],[1]LOJA!$A:$B,2,0)</f>
        <v>S IA</v>
      </c>
      <c r="E6103">
        <v>212</v>
      </c>
      <c r="F6103" t="s">
        <v>3403</v>
      </c>
      <c r="G6103" t="s">
        <v>3402</v>
      </c>
      <c r="H6103" t="s">
        <v>3401</v>
      </c>
      <c r="I6103">
        <v>5102</v>
      </c>
      <c r="J6103" s="3">
        <v>146</v>
      </c>
      <c r="K6103" s="3">
        <v>79.63</v>
      </c>
      <c r="L6103">
        <v>45.46</v>
      </c>
    </row>
    <row r="6104" spans="1:12">
      <c r="A6104" s="1">
        <v>46048</v>
      </c>
      <c r="B6104" t="s">
        <v>5781</v>
      </c>
      <c r="C6104">
        <v>14</v>
      </c>
      <c r="D6104" t="str">
        <f>VLOOKUP(Tabela26[[#This Row],[EMP]],[1]LOJA!$A:$B,2,0)</f>
        <v>S IA</v>
      </c>
      <c r="E6104">
        <v>54</v>
      </c>
      <c r="F6104" t="s">
        <v>3478</v>
      </c>
      <c r="G6104" t="s">
        <v>3477</v>
      </c>
      <c r="H6104" t="s">
        <v>3408</v>
      </c>
      <c r="I6104">
        <v>5405</v>
      </c>
      <c r="J6104" s="3">
        <v>70</v>
      </c>
      <c r="K6104" s="3">
        <v>32.869999999999997</v>
      </c>
      <c r="L6104">
        <v>53.04</v>
      </c>
    </row>
    <row r="6105" spans="1:12">
      <c r="A6105" s="1">
        <v>46048</v>
      </c>
      <c r="B6105" t="s">
        <v>5780</v>
      </c>
      <c r="C6105">
        <v>14</v>
      </c>
      <c r="D6105" t="str">
        <f>VLOOKUP(Tabela26[[#This Row],[EMP]],[1]LOJA!$A:$B,2,0)</f>
        <v>S IA</v>
      </c>
      <c r="E6105">
        <v>54</v>
      </c>
      <c r="F6105" t="s">
        <v>5779</v>
      </c>
      <c r="G6105" t="s">
        <v>5778</v>
      </c>
      <c r="H6105" t="s">
        <v>3430</v>
      </c>
      <c r="I6105">
        <v>5102</v>
      </c>
      <c r="J6105" s="3">
        <v>42.33</v>
      </c>
      <c r="K6105" s="3">
        <v>30.34</v>
      </c>
      <c r="L6105">
        <v>28.33</v>
      </c>
    </row>
    <row r="6106" spans="1:12">
      <c r="A6106" s="1">
        <v>46048</v>
      </c>
      <c r="B6106" t="s">
        <v>5777</v>
      </c>
      <c r="C6106">
        <v>14</v>
      </c>
      <c r="D6106" t="str">
        <f>VLOOKUP(Tabela26[[#This Row],[EMP]],[1]LOJA!$A:$B,2,0)</f>
        <v>S IA</v>
      </c>
      <c r="E6106">
        <v>54</v>
      </c>
      <c r="F6106" t="s">
        <v>3403</v>
      </c>
      <c r="G6106" t="s">
        <v>3402</v>
      </c>
      <c r="H6106" t="s">
        <v>3401</v>
      </c>
      <c r="I6106">
        <v>5405</v>
      </c>
      <c r="J6106" s="3">
        <v>52</v>
      </c>
      <c r="K6106" s="3">
        <v>19.25</v>
      </c>
      <c r="L6106">
        <v>62.98</v>
      </c>
    </row>
    <row r="6107" spans="1:12">
      <c r="A6107" s="1">
        <v>46048</v>
      </c>
      <c r="B6107" t="s">
        <v>5776</v>
      </c>
      <c r="C6107">
        <v>14</v>
      </c>
      <c r="D6107" t="str">
        <f>VLOOKUP(Tabela26[[#This Row],[EMP]],[1]LOJA!$A:$B,2,0)</f>
        <v>S IA</v>
      </c>
      <c r="E6107">
        <v>54</v>
      </c>
      <c r="F6107" t="s">
        <v>3403</v>
      </c>
      <c r="G6107" t="s">
        <v>3402</v>
      </c>
      <c r="H6107" t="s">
        <v>3401</v>
      </c>
      <c r="I6107">
        <v>5102</v>
      </c>
      <c r="J6107" s="3">
        <v>10</v>
      </c>
      <c r="K6107" s="3">
        <v>6.16</v>
      </c>
      <c r="L6107">
        <v>38.4</v>
      </c>
    </row>
    <row r="6108" spans="1:12">
      <c r="A6108" s="1">
        <v>46048</v>
      </c>
      <c r="B6108" t="s">
        <v>5775</v>
      </c>
      <c r="C6108">
        <v>14</v>
      </c>
      <c r="D6108" t="str">
        <f>VLOOKUP(Tabela26[[#This Row],[EMP]],[1]LOJA!$A:$B,2,0)</f>
        <v>S IA</v>
      </c>
      <c r="E6108">
        <v>54</v>
      </c>
      <c r="F6108" t="s">
        <v>3974</v>
      </c>
      <c r="G6108" t="s">
        <v>3973</v>
      </c>
      <c r="H6108" t="s">
        <v>3430</v>
      </c>
      <c r="I6108">
        <v>5405</v>
      </c>
      <c r="J6108" s="3">
        <v>81.16</v>
      </c>
      <c r="K6108" s="3">
        <v>52.36</v>
      </c>
      <c r="L6108">
        <v>35.49</v>
      </c>
    </row>
    <row r="6109" spans="1:12">
      <c r="A6109" s="1">
        <v>46048</v>
      </c>
      <c r="B6109" t="s">
        <v>5774</v>
      </c>
      <c r="C6109">
        <v>14</v>
      </c>
      <c r="D6109" t="str">
        <f>VLOOKUP(Tabela26[[#This Row],[EMP]],[1]LOJA!$A:$B,2,0)</f>
        <v>S IA</v>
      </c>
      <c r="E6109">
        <v>54</v>
      </c>
      <c r="F6109" t="s">
        <v>5773</v>
      </c>
      <c r="G6109" t="s">
        <v>3402</v>
      </c>
      <c r="H6109" t="s">
        <v>3401</v>
      </c>
      <c r="I6109">
        <v>5102</v>
      </c>
      <c r="J6109" s="3">
        <v>47.8</v>
      </c>
      <c r="K6109" s="3">
        <v>23.26</v>
      </c>
      <c r="L6109">
        <v>51.34</v>
      </c>
    </row>
    <row r="6110" spans="1:12">
      <c r="A6110" s="1">
        <v>46048</v>
      </c>
      <c r="B6110" t="s">
        <v>5772</v>
      </c>
      <c r="C6110">
        <v>14</v>
      </c>
      <c r="D6110" t="str">
        <f>VLOOKUP(Tabela26[[#This Row],[EMP]],[1]LOJA!$A:$B,2,0)</f>
        <v>S IA</v>
      </c>
      <c r="E6110">
        <v>54</v>
      </c>
      <c r="F6110" t="s">
        <v>4495</v>
      </c>
      <c r="G6110" t="s">
        <v>4494</v>
      </c>
      <c r="H6110" t="s">
        <v>3401</v>
      </c>
      <c r="I6110">
        <v>5405</v>
      </c>
      <c r="J6110" s="3">
        <v>136</v>
      </c>
      <c r="K6110" s="3">
        <v>67.48</v>
      </c>
      <c r="L6110">
        <v>50.38</v>
      </c>
    </row>
    <row r="6111" spans="1:12">
      <c r="A6111" s="1">
        <v>46048</v>
      </c>
      <c r="B6111" t="s">
        <v>5771</v>
      </c>
      <c r="C6111">
        <v>14</v>
      </c>
      <c r="D6111" t="str">
        <f>VLOOKUP(Tabela26[[#This Row],[EMP]],[1]LOJA!$A:$B,2,0)</f>
        <v>S IA</v>
      </c>
      <c r="E6111">
        <v>212</v>
      </c>
      <c r="F6111" t="s">
        <v>3403</v>
      </c>
      <c r="G6111" t="s">
        <v>3402</v>
      </c>
      <c r="H6111" t="s">
        <v>3401</v>
      </c>
      <c r="I6111">
        <v>5102</v>
      </c>
      <c r="J6111" s="3">
        <v>7</v>
      </c>
      <c r="K6111" s="3">
        <v>3.93</v>
      </c>
      <c r="L6111">
        <v>43.86</v>
      </c>
    </row>
    <row r="6112" spans="1:12">
      <c r="A6112" s="1">
        <v>46048</v>
      </c>
      <c r="B6112" t="s">
        <v>5770</v>
      </c>
      <c r="C6112">
        <v>14</v>
      </c>
      <c r="D6112" t="str">
        <f>VLOOKUP(Tabela26[[#This Row],[EMP]],[1]LOJA!$A:$B,2,0)</f>
        <v>S IA</v>
      </c>
      <c r="E6112">
        <v>212</v>
      </c>
      <c r="F6112" t="s">
        <v>3769</v>
      </c>
      <c r="G6112" t="s">
        <v>3768</v>
      </c>
      <c r="H6112" t="s">
        <v>3401</v>
      </c>
      <c r="I6112">
        <v>5405</v>
      </c>
      <c r="J6112" s="3">
        <v>79</v>
      </c>
      <c r="K6112" s="3">
        <v>36.92</v>
      </c>
      <c r="L6112">
        <v>53.27</v>
      </c>
    </row>
    <row r="6113" spans="1:12">
      <c r="A6113" s="1">
        <v>46048</v>
      </c>
      <c r="B6113" t="s">
        <v>5769</v>
      </c>
      <c r="C6113">
        <v>14</v>
      </c>
      <c r="D6113" t="str">
        <f>VLOOKUP(Tabela26[[#This Row],[EMP]],[1]LOJA!$A:$B,2,0)</f>
        <v>S IA</v>
      </c>
      <c r="E6113">
        <v>212</v>
      </c>
      <c r="F6113" t="s">
        <v>3403</v>
      </c>
      <c r="G6113" t="s">
        <v>3402</v>
      </c>
      <c r="H6113" t="s">
        <v>3401</v>
      </c>
      <c r="I6113">
        <v>5102</v>
      </c>
      <c r="J6113" s="3">
        <v>65</v>
      </c>
      <c r="K6113" s="3">
        <v>33.92</v>
      </c>
      <c r="L6113">
        <v>47.82</v>
      </c>
    </row>
    <row r="6114" spans="1:12">
      <c r="A6114" s="1">
        <v>46048</v>
      </c>
      <c r="B6114" t="s">
        <v>5768</v>
      </c>
      <c r="C6114">
        <v>15</v>
      </c>
      <c r="D6114" t="str">
        <f>VLOOKUP(Tabela26[[#This Row],[EMP]],[1]LOJA!$A:$B,2,0)</f>
        <v>UNAÍ</v>
      </c>
      <c r="E6114">
        <v>183</v>
      </c>
      <c r="F6114" t="s">
        <v>5237</v>
      </c>
      <c r="G6114" t="s">
        <v>5236</v>
      </c>
      <c r="H6114" t="s">
        <v>3401</v>
      </c>
      <c r="I6114">
        <v>5102</v>
      </c>
      <c r="J6114" s="3">
        <v>31.4</v>
      </c>
      <c r="K6114" s="3">
        <v>11.64</v>
      </c>
      <c r="L6114">
        <v>62.93</v>
      </c>
    </row>
    <row r="6115" spans="1:12">
      <c r="A6115" s="1">
        <v>46048</v>
      </c>
      <c r="B6115" t="s">
        <v>5767</v>
      </c>
      <c r="C6115">
        <v>15</v>
      </c>
      <c r="D6115" t="str">
        <f>VLOOKUP(Tabela26[[#This Row],[EMP]],[1]LOJA!$A:$B,2,0)</f>
        <v>UNAÍ</v>
      </c>
      <c r="E6115">
        <v>183</v>
      </c>
      <c r="F6115" t="s">
        <v>5766</v>
      </c>
      <c r="G6115" t="s">
        <v>5765</v>
      </c>
      <c r="H6115" t="s">
        <v>3401</v>
      </c>
      <c r="I6115">
        <v>5102</v>
      </c>
      <c r="J6115" s="3">
        <v>97</v>
      </c>
      <c r="K6115" s="3">
        <v>48.61</v>
      </c>
      <c r="L6115">
        <v>49.89</v>
      </c>
    </row>
    <row r="6116" spans="1:12">
      <c r="A6116" s="1">
        <v>46048</v>
      </c>
      <c r="B6116" t="s">
        <v>5764</v>
      </c>
      <c r="C6116">
        <v>15</v>
      </c>
      <c r="D6116" t="str">
        <f>VLOOKUP(Tabela26[[#This Row],[EMP]],[1]LOJA!$A:$B,2,0)</f>
        <v>UNAÍ</v>
      </c>
      <c r="E6116">
        <v>183</v>
      </c>
      <c r="F6116" t="s">
        <v>5763</v>
      </c>
      <c r="G6116" t="s">
        <v>5762</v>
      </c>
      <c r="H6116" t="s">
        <v>3401</v>
      </c>
      <c r="I6116">
        <v>5102</v>
      </c>
      <c r="J6116" s="3">
        <v>14</v>
      </c>
      <c r="K6116" s="3">
        <v>6.96</v>
      </c>
      <c r="L6116">
        <v>50.29</v>
      </c>
    </row>
    <row r="6117" spans="1:12">
      <c r="A6117" s="1">
        <v>46048</v>
      </c>
      <c r="B6117" t="s">
        <v>5761</v>
      </c>
      <c r="C6117">
        <v>15</v>
      </c>
      <c r="D6117" t="str">
        <f>VLOOKUP(Tabela26[[#This Row],[EMP]],[1]LOJA!$A:$B,2,0)</f>
        <v>UNAÍ</v>
      </c>
      <c r="E6117">
        <v>183</v>
      </c>
      <c r="F6117" t="s">
        <v>5760</v>
      </c>
      <c r="G6117" t="s">
        <v>5759</v>
      </c>
      <c r="H6117" t="s">
        <v>3401</v>
      </c>
      <c r="I6117">
        <v>5102</v>
      </c>
      <c r="J6117" s="3">
        <v>122.25</v>
      </c>
      <c r="K6117" s="3">
        <v>74.709999999999994</v>
      </c>
      <c r="L6117">
        <v>38.89</v>
      </c>
    </row>
    <row r="6118" spans="1:12">
      <c r="A6118" s="1">
        <v>46048</v>
      </c>
      <c r="B6118" t="s">
        <v>5758</v>
      </c>
      <c r="C6118">
        <v>12</v>
      </c>
      <c r="D6118" t="str">
        <f>VLOOKUP(Tabela26[[#This Row],[EMP]],[1]LOJA!$A:$B,2,0)</f>
        <v>SOFNORTE</v>
      </c>
      <c r="E6118">
        <v>60</v>
      </c>
      <c r="F6118" t="s">
        <v>3925</v>
      </c>
      <c r="G6118" t="s">
        <v>3924</v>
      </c>
      <c r="H6118" t="s">
        <v>3430</v>
      </c>
      <c r="I6118">
        <v>5405</v>
      </c>
      <c r="J6118" s="3">
        <v>31</v>
      </c>
      <c r="K6118" s="3">
        <v>13.69</v>
      </c>
      <c r="L6118">
        <v>55.84</v>
      </c>
    </row>
    <row r="6119" spans="1:12">
      <c r="A6119" s="1">
        <v>46048</v>
      </c>
      <c r="B6119" t="s">
        <v>5757</v>
      </c>
      <c r="C6119">
        <v>12</v>
      </c>
      <c r="D6119" t="str">
        <f>VLOOKUP(Tabela26[[#This Row],[EMP]],[1]LOJA!$A:$B,2,0)</f>
        <v>SOFNORTE</v>
      </c>
      <c r="E6119">
        <v>239</v>
      </c>
      <c r="F6119" t="s">
        <v>5756</v>
      </c>
      <c r="G6119" t="s">
        <v>5755</v>
      </c>
      <c r="H6119" t="s">
        <v>4243</v>
      </c>
      <c r="I6119">
        <v>6108</v>
      </c>
      <c r="J6119" s="3">
        <v>172</v>
      </c>
      <c r="K6119" s="3">
        <v>108.9</v>
      </c>
      <c r="L6119">
        <v>36.69</v>
      </c>
    </row>
    <row r="6120" spans="1:12">
      <c r="A6120" s="1">
        <v>46048</v>
      </c>
      <c r="B6120" t="s">
        <v>5754</v>
      </c>
      <c r="C6120">
        <v>12</v>
      </c>
      <c r="D6120" t="str">
        <f>VLOOKUP(Tabela26[[#This Row],[EMP]],[1]LOJA!$A:$B,2,0)</f>
        <v>SOFNORTE</v>
      </c>
      <c r="E6120">
        <v>60</v>
      </c>
      <c r="F6120" t="s">
        <v>5753</v>
      </c>
      <c r="G6120" t="s">
        <v>5752</v>
      </c>
      <c r="H6120" t="s">
        <v>3430</v>
      </c>
      <c r="I6120">
        <v>5102</v>
      </c>
      <c r="J6120" s="3">
        <v>43.72</v>
      </c>
      <c r="K6120" s="3">
        <v>30.73</v>
      </c>
      <c r="L6120">
        <v>29.71</v>
      </c>
    </row>
    <row r="6121" spans="1:12">
      <c r="A6121" s="1">
        <v>46048</v>
      </c>
      <c r="B6121" t="s">
        <v>5751</v>
      </c>
      <c r="C6121">
        <v>12</v>
      </c>
      <c r="D6121" t="str">
        <f>VLOOKUP(Tabela26[[#This Row],[EMP]],[1]LOJA!$A:$B,2,0)</f>
        <v>SOFNORTE</v>
      </c>
      <c r="E6121">
        <v>239</v>
      </c>
      <c r="F6121" t="s">
        <v>5750</v>
      </c>
      <c r="G6121" t="s">
        <v>5749</v>
      </c>
      <c r="H6121" t="s">
        <v>3430</v>
      </c>
      <c r="I6121">
        <v>5405</v>
      </c>
      <c r="J6121" s="3">
        <v>411.74</v>
      </c>
      <c r="K6121" s="3">
        <v>265.64</v>
      </c>
      <c r="L6121">
        <v>35.479999999999997</v>
      </c>
    </row>
    <row r="6122" spans="1:12">
      <c r="A6122" s="1">
        <v>46048</v>
      </c>
      <c r="B6122" t="s">
        <v>5748</v>
      </c>
      <c r="C6122">
        <v>12</v>
      </c>
      <c r="D6122" t="str">
        <f>VLOOKUP(Tabela26[[#This Row],[EMP]],[1]LOJA!$A:$B,2,0)</f>
        <v>SOFNORTE</v>
      </c>
      <c r="E6122">
        <v>60</v>
      </c>
      <c r="F6122" t="s">
        <v>5223</v>
      </c>
      <c r="G6122" t="s">
        <v>5222</v>
      </c>
      <c r="H6122" t="s">
        <v>3430</v>
      </c>
      <c r="I6122">
        <v>5102</v>
      </c>
      <c r="J6122" s="3">
        <v>53.75</v>
      </c>
      <c r="K6122" s="3">
        <v>29.76</v>
      </c>
      <c r="L6122">
        <v>44.63</v>
      </c>
    </row>
    <row r="6123" spans="1:12">
      <c r="A6123" s="1">
        <v>46048</v>
      </c>
      <c r="B6123" t="s">
        <v>5747</v>
      </c>
      <c r="C6123">
        <v>12</v>
      </c>
      <c r="D6123" t="str">
        <f>VLOOKUP(Tabela26[[#This Row],[EMP]],[1]LOJA!$A:$B,2,0)</f>
        <v>SOFNORTE</v>
      </c>
      <c r="E6123">
        <v>60</v>
      </c>
      <c r="F6123" t="s">
        <v>3948</v>
      </c>
      <c r="G6123" t="s">
        <v>3947</v>
      </c>
      <c r="H6123" t="s">
        <v>3430</v>
      </c>
      <c r="I6123">
        <v>5405</v>
      </c>
      <c r="J6123" s="3">
        <v>79.11</v>
      </c>
      <c r="K6123" s="3">
        <v>39.21</v>
      </c>
      <c r="L6123">
        <v>50.44</v>
      </c>
    </row>
    <row r="6124" spans="1:12">
      <c r="A6124" s="1">
        <v>46048</v>
      </c>
      <c r="B6124" t="s">
        <v>5746</v>
      </c>
      <c r="C6124">
        <v>12</v>
      </c>
      <c r="D6124" t="str">
        <f>VLOOKUP(Tabela26[[#This Row],[EMP]],[1]LOJA!$A:$B,2,0)</f>
        <v>SOFNORTE</v>
      </c>
      <c r="E6124">
        <v>60</v>
      </c>
      <c r="F6124" t="s">
        <v>3925</v>
      </c>
      <c r="G6124" t="s">
        <v>3924</v>
      </c>
      <c r="H6124" t="s">
        <v>3430</v>
      </c>
      <c r="I6124">
        <v>5102</v>
      </c>
      <c r="J6124" s="3">
        <v>85</v>
      </c>
      <c r="K6124" s="3">
        <v>46.05</v>
      </c>
      <c r="L6124">
        <v>45.82</v>
      </c>
    </row>
    <row r="6125" spans="1:12">
      <c r="A6125" s="1">
        <v>46048</v>
      </c>
      <c r="B6125" t="s">
        <v>5745</v>
      </c>
      <c r="C6125">
        <v>12</v>
      </c>
      <c r="D6125" t="str">
        <f>VLOOKUP(Tabela26[[#This Row],[EMP]],[1]LOJA!$A:$B,2,0)</f>
        <v>SOFNORTE</v>
      </c>
      <c r="E6125">
        <v>60</v>
      </c>
      <c r="F6125" t="s">
        <v>3948</v>
      </c>
      <c r="G6125" t="s">
        <v>3947</v>
      </c>
      <c r="H6125" t="s">
        <v>3430</v>
      </c>
      <c r="I6125">
        <v>5405</v>
      </c>
      <c r="J6125" s="3">
        <v>594</v>
      </c>
      <c r="K6125" s="3">
        <v>311.29000000000002</v>
      </c>
      <c r="L6125">
        <v>47.59</v>
      </c>
    </row>
    <row r="6126" spans="1:12">
      <c r="A6126" s="1">
        <v>46048</v>
      </c>
      <c r="B6126" t="s">
        <v>5744</v>
      </c>
      <c r="C6126">
        <v>12</v>
      </c>
      <c r="D6126" t="str">
        <f>VLOOKUP(Tabela26[[#This Row],[EMP]],[1]LOJA!$A:$B,2,0)</f>
        <v>SOFNORTE</v>
      </c>
      <c r="E6126">
        <v>60</v>
      </c>
      <c r="F6126" t="s">
        <v>5742</v>
      </c>
      <c r="G6126" t="s">
        <v>5741</v>
      </c>
      <c r="H6126" t="s">
        <v>3401</v>
      </c>
      <c r="I6126">
        <v>6403</v>
      </c>
      <c r="J6126" s="3">
        <v>569</v>
      </c>
      <c r="K6126" s="3">
        <v>256.36</v>
      </c>
      <c r="L6126">
        <v>54.95</v>
      </c>
    </row>
    <row r="6127" spans="1:12">
      <c r="A6127" s="1">
        <v>46048</v>
      </c>
      <c r="B6127" t="s">
        <v>5743</v>
      </c>
      <c r="C6127">
        <v>12</v>
      </c>
      <c r="D6127" t="str">
        <f>VLOOKUP(Tabela26[[#This Row],[EMP]],[1]LOJA!$A:$B,2,0)</f>
        <v>SOFNORTE</v>
      </c>
      <c r="E6127">
        <v>60</v>
      </c>
      <c r="F6127" t="s">
        <v>5742</v>
      </c>
      <c r="G6127" t="s">
        <v>5741</v>
      </c>
      <c r="H6127" t="s">
        <v>3401</v>
      </c>
      <c r="I6127">
        <v>6102</v>
      </c>
      <c r="J6127" s="3">
        <v>29.9</v>
      </c>
      <c r="K6127" s="3">
        <v>21.83</v>
      </c>
      <c r="L6127">
        <v>26.99</v>
      </c>
    </row>
    <row r="6128" spans="1:12">
      <c r="A6128" s="1">
        <v>46048</v>
      </c>
      <c r="B6128" t="s">
        <v>5740</v>
      </c>
      <c r="C6128">
        <v>12</v>
      </c>
      <c r="D6128" t="str">
        <f>VLOOKUP(Tabela26[[#This Row],[EMP]],[1]LOJA!$A:$B,2,0)</f>
        <v>SOFNORTE</v>
      </c>
      <c r="E6128">
        <v>239</v>
      </c>
      <c r="F6128" t="s">
        <v>5739</v>
      </c>
      <c r="G6128" t="s">
        <v>5738</v>
      </c>
      <c r="H6128" t="s">
        <v>3430</v>
      </c>
      <c r="I6128">
        <v>5102</v>
      </c>
      <c r="J6128" s="3">
        <v>83.52</v>
      </c>
      <c r="K6128" s="3">
        <v>50.67</v>
      </c>
      <c r="L6128">
        <v>39.33</v>
      </c>
    </row>
    <row r="6129" spans="1:12">
      <c r="A6129" s="1">
        <v>46048</v>
      </c>
      <c r="B6129" t="s">
        <v>5737</v>
      </c>
      <c r="C6129">
        <v>12</v>
      </c>
      <c r="D6129" t="str">
        <f>VLOOKUP(Tabela26[[#This Row],[EMP]],[1]LOJA!$A:$B,2,0)</f>
        <v>SOFNORTE</v>
      </c>
      <c r="E6129">
        <v>239</v>
      </c>
      <c r="F6129" t="s">
        <v>3939</v>
      </c>
      <c r="G6129" t="s">
        <v>3938</v>
      </c>
      <c r="H6129" t="s">
        <v>3430</v>
      </c>
      <c r="I6129">
        <v>5102</v>
      </c>
      <c r="J6129" s="3">
        <v>741.17</v>
      </c>
      <c r="K6129" s="3">
        <v>381.38</v>
      </c>
      <c r="L6129">
        <v>48.54</v>
      </c>
    </row>
    <row r="6130" spans="1:12">
      <c r="A6130" s="1">
        <v>46048</v>
      </c>
      <c r="B6130" t="s">
        <v>5736</v>
      </c>
      <c r="C6130">
        <v>22</v>
      </c>
      <c r="D6130" t="str">
        <f>VLOOKUP(Tabela26[[#This Row],[EMP]],[1]LOJA!$A:$B,2,0)</f>
        <v>GUARÁ</v>
      </c>
      <c r="E6130">
        <v>93</v>
      </c>
      <c r="F6130" t="s">
        <v>3403</v>
      </c>
      <c r="G6130" t="s">
        <v>3402</v>
      </c>
      <c r="H6130" t="s">
        <v>3401</v>
      </c>
      <c r="I6130">
        <v>5102</v>
      </c>
      <c r="J6130" s="3">
        <v>76</v>
      </c>
      <c r="K6130" s="3">
        <v>43.45</v>
      </c>
      <c r="L6130">
        <v>42.83</v>
      </c>
    </row>
    <row r="6131" spans="1:12">
      <c r="A6131" s="1">
        <v>46048</v>
      </c>
      <c r="B6131" t="s">
        <v>5735</v>
      </c>
      <c r="C6131">
        <v>22</v>
      </c>
      <c r="D6131" t="str">
        <f>VLOOKUP(Tabela26[[#This Row],[EMP]],[1]LOJA!$A:$B,2,0)</f>
        <v>GUARÁ</v>
      </c>
      <c r="E6131">
        <v>16</v>
      </c>
      <c r="F6131" t="s">
        <v>3886</v>
      </c>
      <c r="G6131" t="s">
        <v>3402</v>
      </c>
      <c r="H6131" t="s">
        <v>3408</v>
      </c>
      <c r="I6131">
        <v>5405</v>
      </c>
      <c r="J6131" s="3">
        <v>99.8</v>
      </c>
      <c r="K6131" s="3">
        <v>53.06</v>
      </c>
      <c r="L6131">
        <v>46.83</v>
      </c>
    </row>
    <row r="6132" spans="1:12">
      <c r="A6132" s="1">
        <v>46048</v>
      </c>
      <c r="B6132" t="s">
        <v>5734</v>
      </c>
      <c r="C6132">
        <v>22</v>
      </c>
      <c r="D6132" t="str">
        <f>VLOOKUP(Tabela26[[#This Row],[EMP]],[1]LOJA!$A:$B,2,0)</f>
        <v>GUARÁ</v>
      </c>
      <c r="E6132">
        <v>93</v>
      </c>
      <c r="F6132" t="s">
        <v>5733</v>
      </c>
      <c r="G6132" t="s">
        <v>3402</v>
      </c>
      <c r="H6132" t="s">
        <v>3408</v>
      </c>
      <c r="I6132">
        <v>5405</v>
      </c>
      <c r="J6132" s="3">
        <v>44</v>
      </c>
      <c r="K6132" s="3">
        <v>20.71</v>
      </c>
      <c r="L6132">
        <v>52.93</v>
      </c>
    </row>
    <row r="6133" spans="1:12">
      <c r="A6133" s="1">
        <v>46048</v>
      </c>
      <c r="B6133" t="s">
        <v>5732</v>
      </c>
      <c r="C6133">
        <v>22</v>
      </c>
      <c r="D6133" t="str">
        <f>VLOOKUP(Tabela26[[#This Row],[EMP]],[1]LOJA!$A:$B,2,0)</f>
        <v>GUARÁ</v>
      </c>
      <c r="E6133">
        <v>16</v>
      </c>
      <c r="F6133" t="s">
        <v>3403</v>
      </c>
      <c r="G6133" t="s">
        <v>3402</v>
      </c>
      <c r="H6133" t="s">
        <v>3401</v>
      </c>
      <c r="I6133">
        <v>5405</v>
      </c>
      <c r="J6133" s="3">
        <v>30</v>
      </c>
      <c r="K6133" s="3">
        <v>13.98</v>
      </c>
      <c r="L6133">
        <v>53.4</v>
      </c>
    </row>
    <row r="6134" spans="1:12">
      <c r="A6134" s="1">
        <v>46048</v>
      </c>
      <c r="B6134" t="s">
        <v>5731</v>
      </c>
      <c r="C6134">
        <v>22</v>
      </c>
      <c r="D6134" t="str">
        <f>VLOOKUP(Tabela26[[#This Row],[EMP]],[1]LOJA!$A:$B,2,0)</f>
        <v>GUARÁ</v>
      </c>
      <c r="E6134">
        <v>93</v>
      </c>
      <c r="F6134" t="s">
        <v>3870</v>
      </c>
      <c r="G6134" t="s">
        <v>3869</v>
      </c>
      <c r="H6134" t="s">
        <v>3401</v>
      </c>
      <c r="I6134">
        <v>5405</v>
      </c>
      <c r="J6134" s="3">
        <v>52</v>
      </c>
      <c r="K6134" s="3">
        <v>27.27</v>
      </c>
      <c r="L6134">
        <v>47.56</v>
      </c>
    </row>
    <row r="6135" spans="1:12">
      <c r="A6135" s="1">
        <v>46048</v>
      </c>
      <c r="B6135" t="s">
        <v>5730</v>
      </c>
      <c r="C6135">
        <v>22</v>
      </c>
      <c r="D6135" t="str">
        <f>VLOOKUP(Tabela26[[#This Row],[EMP]],[1]LOJA!$A:$B,2,0)</f>
        <v>GUARÁ</v>
      </c>
      <c r="E6135">
        <v>16</v>
      </c>
      <c r="F6135" t="s">
        <v>5729</v>
      </c>
      <c r="G6135" t="s">
        <v>5728</v>
      </c>
      <c r="H6135" t="s">
        <v>3408</v>
      </c>
      <c r="I6135">
        <v>5102</v>
      </c>
      <c r="J6135" s="3">
        <v>27</v>
      </c>
      <c r="K6135" s="3">
        <v>12.48</v>
      </c>
      <c r="L6135">
        <v>53.78</v>
      </c>
    </row>
    <row r="6136" spans="1:12">
      <c r="A6136" s="1">
        <v>46048</v>
      </c>
      <c r="B6136" t="s">
        <v>5727</v>
      </c>
      <c r="C6136">
        <v>22</v>
      </c>
      <c r="D6136" t="str">
        <f>VLOOKUP(Tabela26[[#This Row],[EMP]],[1]LOJA!$A:$B,2,0)</f>
        <v>GUARÁ</v>
      </c>
      <c r="E6136">
        <v>16</v>
      </c>
      <c r="F6136" t="s">
        <v>3403</v>
      </c>
      <c r="G6136" t="s">
        <v>3402</v>
      </c>
      <c r="H6136" t="s">
        <v>3401</v>
      </c>
      <c r="I6136">
        <v>5405</v>
      </c>
      <c r="J6136" s="3">
        <v>177.69</v>
      </c>
      <c r="K6136" s="3">
        <v>87.54</v>
      </c>
      <c r="L6136">
        <v>50.73</v>
      </c>
    </row>
    <row r="6137" spans="1:12">
      <c r="A6137" s="1">
        <v>46048</v>
      </c>
      <c r="B6137" t="s">
        <v>5726</v>
      </c>
      <c r="C6137">
        <v>22</v>
      </c>
      <c r="D6137" t="str">
        <f>VLOOKUP(Tabela26[[#This Row],[EMP]],[1]LOJA!$A:$B,2,0)</f>
        <v>GUARÁ</v>
      </c>
      <c r="E6137">
        <v>93</v>
      </c>
      <c r="F6137" t="s">
        <v>3403</v>
      </c>
      <c r="G6137" t="s">
        <v>3402</v>
      </c>
      <c r="H6137" t="s">
        <v>3401</v>
      </c>
      <c r="I6137">
        <v>5102</v>
      </c>
      <c r="J6137" s="3">
        <v>5</v>
      </c>
      <c r="K6137" s="3">
        <v>2.5</v>
      </c>
      <c r="L6137">
        <v>50</v>
      </c>
    </row>
    <row r="6138" spans="1:12">
      <c r="A6138" s="1">
        <v>46048</v>
      </c>
      <c r="B6138" t="s">
        <v>5725</v>
      </c>
      <c r="C6138">
        <v>22</v>
      </c>
      <c r="D6138" t="str">
        <f>VLOOKUP(Tabela26[[#This Row],[EMP]],[1]LOJA!$A:$B,2,0)</f>
        <v>GUARÁ</v>
      </c>
      <c r="E6138">
        <v>16</v>
      </c>
      <c r="F6138" t="s">
        <v>3403</v>
      </c>
      <c r="G6138" t="s">
        <v>3402</v>
      </c>
      <c r="H6138" t="s">
        <v>3401</v>
      </c>
      <c r="I6138">
        <v>5102</v>
      </c>
      <c r="J6138" s="3">
        <v>33</v>
      </c>
      <c r="K6138" s="3">
        <v>21.83</v>
      </c>
      <c r="L6138">
        <v>33.85</v>
      </c>
    </row>
    <row r="6139" spans="1:12">
      <c r="A6139" s="1">
        <v>46048</v>
      </c>
      <c r="B6139" t="s">
        <v>5724</v>
      </c>
      <c r="C6139">
        <v>22</v>
      </c>
      <c r="D6139" t="str">
        <f>VLOOKUP(Tabela26[[#This Row],[EMP]],[1]LOJA!$A:$B,2,0)</f>
        <v>GUARÁ</v>
      </c>
      <c r="E6139">
        <v>16</v>
      </c>
      <c r="F6139" t="s">
        <v>3403</v>
      </c>
      <c r="G6139" t="s">
        <v>3402</v>
      </c>
      <c r="H6139" t="s">
        <v>3401</v>
      </c>
      <c r="I6139">
        <v>5405</v>
      </c>
      <c r="J6139" s="3">
        <v>27</v>
      </c>
      <c r="K6139" s="3">
        <v>12.19</v>
      </c>
      <c r="L6139">
        <v>54.85</v>
      </c>
    </row>
    <row r="6140" spans="1:12">
      <c r="A6140" s="1">
        <v>46048</v>
      </c>
      <c r="B6140" t="s">
        <v>5723</v>
      </c>
      <c r="C6140">
        <v>22</v>
      </c>
      <c r="D6140" t="str">
        <f>VLOOKUP(Tabela26[[#This Row],[EMP]],[1]LOJA!$A:$B,2,0)</f>
        <v>GUARÁ</v>
      </c>
      <c r="E6140">
        <v>16</v>
      </c>
      <c r="F6140" t="s">
        <v>4593</v>
      </c>
      <c r="G6140" t="s">
        <v>4592</v>
      </c>
      <c r="H6140" t="s">
        <v>3401</v>
      </c>
      <c r="I6140">
        <v>5102</v>
      </c>
      <c r="J6140" s="3">
        <v>17</v>
      </c>
      <c r="K6140" s="3">
        <v>9.0299999999999994</v>
      </c>
      <c r="L6140">
        <v>46.88</v>
      </c>
    </row>
    <row r="6141" spans="1:12">
      <c r="A6141" s="1">
        <v>46048</v>
      </c>
      <c r="B6141" t="s">
        <v>5722</v>
      </c>
      <c r="C6141">
        <v>22</v>
      </c>
      <c r="D6141" t="str">
        <f>VLOOKUP(Tabela26[[#This Row],[EMP]],[1]LOJA!$A:$B,2,0)</f>
        <v>GUARÁ</v>
      </c>
      <c r="E6141">
        <v>93</v>
      </c>
      <c r="F6141" t="s">
        <v>3870</v>
      </c>
      <c r="G6141" t="s">
        <v>3869</v>
      </c>
      <c r="H6141" t="s">
        <v>3401</v>
      </c>
      <c r="I6141">
        <v>5102</v>
      </c>
      <c r="J6141" s="3">
        <v>21.5</v>
      </c>
      <c r="K6141" s="3">
        <v>11.63</v>
      </c>
      <c r="L6141">
        <v>45.91</v>
      </c>
    </row>
    <row r="6142" spans="1:12">
      <c r="A6142" s="1">
        <v>46048</v>
      </c>
      <c r="B6142" t="s">
        <v>5721</v>
      </c>
      <c r="C6142">
        <v>22</v>
      </c>
      <c r="D6142" t="str">
        <f>VLOOKUP(Tabela26[[#This Row],[EMP]],[1]LOJA!$A:$B,2,0)</f>
        <v>GUARÁ</v>
      </c>
      <c r="E6142">
        <v>16</v>
      </c>
      <c r="F6142" t="s">
        <v>3403</v>
      </c>
      <c r="G6142" t="s">
        <v>3402</v>
      </c>
      <c r="H6142" t="s">
        <v>3401</v>
      </c>
      <c r="I6142">
        <v>5405</v>
      </c>
      <c r="J6142" s="3">
        <v>27</v>
      </c>
      <c r="K6142" s="3">
        <v>12.63</v>
      </c>
      <c r="L6142">
        <v>53.22</v>
      </c>
    </row>
    <row r="6143" spans="1:12">
      <c r="A6143" s="1">
        <v>46048</v>
      </c>
      <c r="B6143" t="s">
        <v>5720</v>
      </c>
      <c r="C6143">
        <v>22</v>
      </c>
      <c r="D6143" t="str">
        <f>VLOOKUP(Tabela26[[#This Row],[EMP]],[1]LOJA!$A:$B,2,0)</f>
        <v>GUARÁ</v>
      </c>
      <c r="E6143">
        <v>93</v>
      </c>
      <c r="F6143" t="s">
        <v>4603</v>
      </c>
      <c r="G6143" t="s">
        <v>4602</v>
      </c>
      <c r="H6143" t="s">
        <v>3401</v>
      </c>
      <c r="I6143">
        <v>5405</v>
      </c>
      <c r="J6143" s="3">
        <v>82</v>
      </c>
      <c r="K6143" s="3">
        <v>43.02</v>
      </c>
      <c r="L6143">
        <v>47.54</v>
      </c>
    </row>
    <row r="6144" spans="1:12">
      <c r="A6144" s="1">
        <v>46048</v>
      </c>
      <c r="B6144" t="s">
        <v>5719</v>
      </c>
      <c r="C6144">
        <v>22</v>
      </c>
      <c r="D6144" t="str">
        <f>VLOOKUP(Tabela26[[#This Row],[EMP]],[1]LOJA!$A:$B,2,0)</f>
        <v>GUARÁ</v>
      </c>
      <c r="E6144">
        <v>16</v>
      </c>
      <c r="F6144" t="s">
        <v>4603</v>
      </c>
      <c r="G6144" t="s">
        <v>4602</v>
      </c>
      <c r="H6144" t="s">
        <v>3401</v>
      </c>
      <c r="I6144">
        <v>5102</v>
      </c>
      <c r="J6144" s="3">
        <v>43</v>
      </c>
      <c r="K6144" s="3">
        <v>21.62</v>
      </c>
      <c r="L6144">
        <v>49.72</v>
      </c>
    </row>
    <row r="6145" spans="1:12">
      <c r="A6145" s="1">
        <v>46048</v>
      </c>
      <c r="B6145" t="s">
        <v>5718</v>
      </c>
      <c r="C6145">
        <v>22</v>
      </c>
      <c r="D6145" t="str">
        <f>VLOOKUP(Tabela26[[#This Row],[EMP]],[1]LOJA!$A:$B,2,0)</f>
        <v>GUARÁ</v>
      </c>
      <c r="E6145">
        <v>93</v>
      </c>
      <c r="F6145" t="s">
        <v>3403</v>
      </c>
      <c r="G6145" t="s">
        <v>3402</v>
      </c>
      <c r="H6145" t="s">
        <v>3401</v>
      </c>
      <c r="I6145">
        <v>5102</v>
      </c>
      <c r="J6145" s="3">
        <v>25.38</v>
      </c>
      <c r="K6145" s="3">
        <v>11.88</v>
      </c>
      <c r="L6145">
        <v>53.19</v>
      </c>
    </row>
    <row r="6146" spans="1:12">
      <c r="A6146" s="1">
        <v>46048</v>
      </c>
      <c r="B6146" t="s">
        <v>5717</v>
      </c>
      <c r="C6146">
        <v>22</v>
      </c>
      <c r="D6146" t="str">
        <f>VLOOKUP(Tabela26[[#This Row],[EMP]],[1]LOJA!$A:$B,2,0)</f>
        <v>GUARÁ</v>
      </c>
      <c r="E6146">
        <v>93</v>
      </c>
      <c r="F6146" t="s">
        <v>3403</v>
      </c>
      <c r="G6146" t="s">
        <v>3402</v>
      </c>
      <c r="H6146" t="s">
        <v>3401</v>
      </c>
      <c r="I6146">
        <v>5102</v>
      </c>
      <c r="J6146" s="3">
        <v>8</v>
      </c>
      <c r="K6146" s="3">
        <v>4.5199999999999996</v>
      </c>
      <c r="L6146">
        <v>43.5</v>
      </c>
    </row>
    <row r="6147" spans="1:12">
      <c r="A6147" s="1">
        <v>46048</v>
      </c>
      <c r="B6147" t="s">
        <v>5716</v>
      </c>
      <c r="C6147">
        <v>22</v>
      </c>
      <c r="D6147" t="str">
        <f>VLOOKUP(Tabela26[[#This Row],[EMP]],[1]LOJA!$A:$B,2,0)</f>
        <v>GUARÁ</v>
      </c>
      <c r="E6147">
        <v>93</v>
      </c>
      <c r="F6147" t="s">
        <v>3403</v>
      </c>
      <c r="G6147" t="s">
        <v>3402</v>
      </c>
      <c r="H6147" t="s">
        <v>3401</v>
      </c>
      <c r="I6147">
        <v>5102</v>
      </c>
      <c r="J6147" s="3">
        <v>17</v>
      </c>
      <c r="K6147" s="3">
        <v>8.18</v>
      </c>
      <c r="L6147">
        <v>51.88</v>
      </c>
    </row>
    <row r="6148" spans="1:12">
      <c r="A6148" s="1">
        <v>46048</v>
      </c>
      <c r="B6148" t="s">
        <v>5715</v>
      </c>
      <c r="C6148">
        <v>22</v>
      </c>
      <c r="D6148" t="str">
        <f>VLOOKUP(Tabela26[[#This Row],[EMP]],[1]LOJA!$A:$B,2,0)</f>
        <v>GUARÁ</v>
      </c>
      <c r="E6148">
        <v>93</v>
      </c>
      <c r="F6148" t="s">
        <v>3449</v>
      </c>
      <c r="G6148" t="s">
        <v>3448</v>
      </c>
      <c r="H6148" t="s">
        <v>3401</v>
      </c>
      <c r="I6148">
        <v>5405</v>
      </c>
      <c r="J6148" s="3">
        <v>40</v>
      </c>
      <c r="K6148" s="3">
        <v>20.13</v>
      </c>
      <c r="L6148">
        <v>49.68</v>
      </c>
    </row>
    <row r="6149" spans="1:12">
      <c r="A6149" s="1">
        <v>46048</v>
      </c>
      <c r="B6149" t="s">
        <v>5714</v>
      </c>
      <c r="C6149">
        <v>22</v>
      </c>
      <c r="D6149" t="str">
        <f>VLOOKUP(Tabela26[[#This Row],[EMP]],[1]LOJA!$A:$B,2,0)</f>
        <v>GUARÁ</v>
      </c>
      <c r="E6149">
        <v>93</v>
      </c>
      <c r="F6149" t="s">
        <v>3862</v>
      </c>
      <c r="G6149" t="s">
        <v>3402</v>
      </c>
      <c r="H6149" t="s">
        <v>3408</v>
      </c>
      <c r="I6149">
        <v>5102</v>
      </c>
      <c r="J6149" s="3">
        <v>116.8</v>
      </c>
      <c r="K6149" s="3">
        <v>82.23</v>
      </c>
      <c r="L6149">
        <v>29.6</v>
      </c>
    </row>
    <row r="6150" spans="1:12">
      <c r="A6150" s="1">
        <v>46048</v>
      </c>
      <c r="B6150" t="s">
        <v>5713</v>
      </c>
      <c r="C6150">
        <v>22</v>
      </c>
      <c r="D6150" t="str">
        <f>VLOOKUP(Tabela26[[#This Row],[EMP]],[1]LOJA!$A:$B,2,0)</f>
        <v>GUARÁ</v>
      </c>
      <c r="E6150">
        <v>93</v>
      </c>
      <c r="F6150" t="s">
        <v>3403</v>
      </c>
      <c r="G6150" t="s">
        <v>3402</v>
      </c>
      <c r="H6150" t="s">
        <v>3401</v>
      </c>
      <c r="I6150">
        <v>5405</v>
      </c>
      <c r="J6150" s="3">
        <v>40</v>
      </c>
      <c r="K6150" s="3">
        <v>19.57</v>
      </c>
      <c r="L6150">
        <v>51.08</v>
      </c>
    </row>
    <row r="6151" spans="1:12">
      <c r="A6151" s="1">
        <v>46048</v>
      </c>
      <c r="B6151" t="s">
        <v>5712</v>
      </c>
      <c r="C6151">
        <v>22</v>
      </c>
      <c r="D6151" t="str">
        <f>VLOOKUP(Tabela26[[#This Row],[EMP]],[1]LOJA!$A:$B,2,0)</f>
        <v>GUARÁ</v>
      </c>
      <c r="E6151">
        <v>93</v>
      </c>
      <c r="F6151" t="s">
        <v>3403</v>
      </c>
      <c r="G6151" t="s">
        <v>3402</v>
      </c>
      <c r="H6151" t="s">
        <v>3401</v>
      </c>
      <c r="I6151">
        <v>5102</v>
      </c>
      <c r="J6151" s="3">
        <v>16.5</v>
      </c>
      <c r="K6151" s="3">
        <v>9.0399999999999991</v>
      </c>
      <c r="L6151">
        <v>45.21</v>
      </c>
    </row>
    <row r="6152" spans="1:12">
      <c r="A6152" s="1">
        <v>46048</v>
      </c>
      <c r="B6152" t="s">
        <v>5711</v>
      </c>
      <c r="C6152">
        <v>22</v>
      </c>
      <c r="D6152" t="str">
        <f>VLOOKUP(Tabela26[[#This Row],[EMP]],[1]LOJA!$A:$B,2,0)</f>
        <v>GUARÁ</v>
      </c>
      <c r="E6152">
        <v>238</v>
      </c>
      <c r="F6152" t="s">
        <v>3403</v>
      </c>
      <c r="G6152" t="s">
        <v>3402</v>
      </c>
      <c r="H6152" t="s">
        <v>3401</v>
      </c>
      <c r="I6152">
        <v>5102</v>
      </c>
      <c r="J6152" s="3">
        <v>32</v>
      </c>
      <c r="K6152" s="3">
        <v>16.059999999999999</v>
      </c>
      <c r="L6152">
        <v>49.81</v>
      </c>
    </row>
    <row r="6153" spans="1:12">
      <c r="A6153" s="1">
        <v>46048</v>
      </c>
      <c r="B6153" t="s">
        <v>5710</v>
      </c>
      <c r="C6153">
        <v>22</v>
      </c>
      <c r="D6153" t="str">
        <f>VLOOKUP(Tabela26[[#This Row],[EMP]],[1]LOJA!$A:$B,2,0)</f>
        <v>GUARÁ</v>
      </c>
      <c r="E6153">
        <v>93</v>
      </c>
      <c r="F6153" t="s">
        <v>3403</v>
      </c>
      <c r="G6153" t="s">
        <v>3402</v>
      </c>
      <c r="H6153" t="s">
        <v>3401</v>
      </c>
      <c r="I6153">
        <v>5102</v>
      </c>
      <c r="J6153" s="3">
        <v>45</v>
      </c>
      <c r="K6153" s="3">
        <v>24.74</v>
      </c>
      <c r="L6153">
        <v>45.02</v>
      </c>
    </row>
    <row r="6154" spans="1:12">
      <c r="A6154" s="1">
        <v>46048</v>
      </c>
      <c r="B6154" t="s">
        <v>5709</v>
      </c>
      <c r="C6154">
        <v>22</v>
      </c>
      <c r="D6154" t="str">
        <f>VLOOKUP(Tabela26[[#This Row],[EMP]],[1]LOJA!$A:$B,2,0)</f>
        <v>GUARÁ</v>
      </c>
      <c r="E6154">
        <v>93</v>
      </c>
      <c r="F6154" t="s">
        <v>3403</v>
      </c>
      <c r="G6154" t="s">
        <v>3402</v>
      </c>
      <c r="H6154" t="s">
        <v>3401</v>
      </c>
      <c r="I6154">
        <v>5102</v>
      </c>
      <c r="J6154" s="3">
        <v>21.5</v>
      </c>
      <c r="K6154" s="3">
        <v>11.63</v>
      </c>
      <c r="L6154">
        <v>45.91</v>
      </c>
    </row>
    <row r="6155" spans="1:12">
      <c r="A6155" s="1">
        <v>46048</v>
      </c>
      <c r="B6155" t="s">
        <v>5708</v>
      </c>
      <c r="C6155">
        <v>22</v>
      </c>
      <c r="D6155" t="str">
        <f>VLOOKUP(Tabela26[[#This Row],[EMP]],[1]LOJA!$A:$B,2,0)</f>
        <v>GUARÁ</v>
      </c>
      <c r="E6155">
        <v>93</v>
      </c>
      <c r="F6155" t="s">
        <v>3983</v>
      </c>
      <c r="G6155" t="s">
        <v>3982</v>
      </c>
      <c r="H6155" t="s">
        <v>3408</v>
      </c>
      <c r="I6155">
        <v>5405</v>
      </c>
      <c r="J6155" s="3">
        <v>1150</v>
      </c>
      <c r="K6155" s="3">
        <v>635.32000000000005</v>
      </c>
      <c r="L6155">
        <v>44.75</v>
      </c>
    </row>
    <row r="6156" spans="1:12">
      <c r="A6156" s="1">
        <v>46048</v>
      </c>
      <c r="B6156" t="s">
        <v>5707</v>
      </c>
      <c r="C6156">
        <v>22</v>
      </c>
      <c r="D6156" t="str">
        <f>VLOOKUP(Tabela26[[#This Row],[EMP]],[1]LOJA!$A:$B,2,0)</f>
        <v>GUARÁ</v>
      </c>
      <c r="E6156">
        <v>93</v>
      </c>
      <c r="F6156" t="s">
        <v>3403</v>
      </c>
      <c r="G6156" t="s">
        <v>3402</v>
      </c>
      <c r="H6156" t="s">
        <v>3401</v>
      </c>
      <c r="I6156">
        <v>5102</v>
      </c>
      <c r="J6156" s="3">
        <v>10</v>
      </c>
      <c r="K6156" s="3">
        <v>6.56</v>
      </c>
      <c r="L6156">
        <v>34.4</v>
      </c>
    </row>
    <row r="6157" spans="1:12">
      <c r="A6157" s="1">
        <v>46048</v>
      </c>
      <c r="B6157" t="s">
        <v>5706</v>
      </c>
      <c r="C6157">
        <v>22</v>
      </c>
      <c r="D6157" t="str">
        <f>VLOOKUP(Tabela26[[#This Row],[EMP]],[1]LOJA!$A:$B,2,0)</f>
        <v>GUARÁ</v>
      </c>
      <c r="E6157">
        <v>93</v>
      </c>
      <c r="F6157" t="s">
        <v>3403</v>
      </c>
      <c r="G6157" t="s">
        <v>3402</v>
      </c>
      <c r="H6157" t="s">
        <v>3401</v>
      </c>
      <c r="I6157">
        <v>5102</v>
      </c>
      <c r="J6157" s="3">
        <v>45</v>
      </c>
      <c r="K6157" s="3">
        <v>23.37</v>
      </c>
      <c r="L6157">
        <v>48.07</v>
      </c>
    </row>
    <row r="6158" spans="1:12">
      <c r="A6158" s="1">
        <v>46048</v>
      </c>
      <c r="B6158" t="s">
        <v>5705</v>
      </c>
      <c r="C6158">
        <v>22</v>
      </c>
      <c r="D6158" t="str">
        <f>VLOOKUP(Tabela26[[#This Row],[EMP]],[1]LOJA!$A:$B,2,0)</f>
        <v>GUARÁ</v>
      </c>
      <c r="E6158">
        <v>93</v>
      </c>
      <c r="F6158" t="s">
        <v>3873</v>
      </c>
      <c r="G6158" t="s">
        <v>3872</v>
      </c>
      <c r="H6158" t="s">
        <v>3401</v>
      </c>
      <c r="I6158">
        <v>5405</v>
      </c>
      <c r="J6158" s="3">
        <v>65</v>
      </c>
      <c r="K6158" s="3">
        <v>34.18</v>
      </c>
      <c r="L6158">
        <v>47.42</v>
      </c>
    </row>
    <row r="6159" spans="1:12">
      <c r="A6159" s="1">
        <v>46048</v>
      </c>
      <c r="B6159" t="s">
        <v>5704</v>
      </c>
      <c r="C6159">
        <v>4</v>
      </c>
      <c r="D6159" t="str">
        <f>VLOOKUP(Tabela26[[#This Row],[EMP]],[1]LOJA!$A:$B,2,0)</f>
        <v>ADE</v>
      </c>
      <c r="E6159">
        <v>132</v>
      </c>
      <c r="F6159" t="s">
        <v>3403</v>
      </c>
      <c r="G6159" t="s">
        <v>3402</v>
      </c>
      <c r="H6159" t="s">
        <v>3401</v>
      </c>
      <c r="I6159">
        <v>5102</v>
      </c>
      <c r="J6159" s="3">
        <v>22.5</v>
      </c>
      <c r="K6159" s="3">
        <v>9.65</v>
      </c>
      <c r="L6159">
        <v>57.11</v>
      </c>
    </row>
    <row r="6160" spans="1:12">
      <c r="A6160" s="1">
        <v>46048</v>
      </c>
      <c r="B6160" t="s">
        <v>5703</v>
      </c>
      <c r="C6160">
        <v>4</v>
      </c>
      <c r="D6160" t="str">
        <f>VLOOKUP(Tabela26[[#This Row],[EMP]],[1]LOJA!$A:$B,2,0)</f>
        <v>ADE</v>
      </c>
      <c r="E6160">
        <v>132</v>
      </c>
      <c r="F6160" t="s">
        <v>3403</v>
      </c>
      <c r="G6160" t="s">
        <v>3402</v>
      </c>
      <c r="H6160" t="s">
        <v>3401</v>
      </c>
      <c r="I6160">
        <v>5102</v>
      </c>
      <c r="J6160" s="3">
        <v>4</v>
      </c>
      <c r="K6160" s="3">
        <v>1.38</v>
      </c>
      <c r="L6160">
        <v>65.5</v>
      </c>
    </row>
    <row r="6161" spans="1:12">
      <c r="A6161" s="1">
        <v>46048</v>
      </c>
      <c r="B6161" t="s">
        <v>5702</v>
      </c>
      <c r="C6161">
        <v>4</v>
      </c>
      <c r="D6161" t="str">
        <f>VLOOKUP(Tabela26[[#This Row],[EMP]],[1]LOJA!$A:$B,2,0)</f>
        <v>ADE</v>
      </c>
      <c r="E6161">
        <v>132</v>
      </c>
      <c r="F6161" t="s">
        <v>3403</v>
      </c>
      <c r="G6161" t="s">
        <v>5701</v>
      </c>
      <c r="H6161" t="s">
        <v>3401</v>
      </c>
      <c r="I6161">
        <v>5102</v>
      </c>
      <c r="J6161" s="3">
        <v>432.7</v>
      </c>
      <c r="K6161" s="3">
        <v>217.17</v>
      </c>
      <c r="L6161">
        <v>49.81</v>
      </c>
    </row>
    <row r="6162" spans="1:12">
      <c r="A6162" s="1">
        <v>46048</v>
      </c>
      <c r="B6162" t="s">
        <v>5700</v>
      </c>
      <c r="C6162">
        <v>4</v>
      </c>
      <c r="D6162" t="str">
        <f>VLOOKUP(Tabela26[[#This Row],[EMP]],[1]LOJA!$A:$B,2,0)</f>
        <v>ADE</v>
      </c>
      <c r="E6162">
        <v>132</v>
      </c>
      <c r="F6162" t="s">
        <v>3403</v>
      </c>
      <c r="G6162" t="s">
        <v>3402</v>
      </c>
      <c r="H6162" t="s">
        <v>3401</v>
      </c>
      <c r="I6162">
        <v>5102</v>
      </c>
      <c r="J6162" s="3">
        <v>111.8</v>
      </c>
      <c r="K6162" s="3">
        <v>48.97</v>
      </c>
      <c r="L6162">
        <v>56.2</v>
      </c>
    </row>
    <row r="6163" spans="1:12">
      <c r="A6163" s="1">
        <v>46048</v>
      </c>
      <c r="B6163" t="s">
        <v>5699</v>
      </c>
      <c r="C6163">
        <v>4</v>
      </c>
      <c r="D6163" t="str">
        <f>VLOOKUP(Tabela26[[#This Row],[EMP]],[1]LOJA!$A:$B,2,0)</f>
        <v>ADE</v>
      </c>
      <c r="E6163">
        <v>132</v>
      </c>
      <c r="F6163" t="s">
        <v>4558</v>
      </c>
      <c r="G6163" t="s">
        <v>4557</v>
      </c>
      <c r="H6163" t="s">
        <v>4243</v>
      </c>
      <c r="I6163">
        <v>5405</v>
      </c>
      <c r="J6163" s="3">
        <v>132.13999999999999</v>
      </c>
      <c r="K6163" s="3">
        <v>71.53</v>
      </c>
      <c r="L6163">
        <v>45.87</v>
      </c>
    </row>
    <row r="6164" spans="1:12">
      <c r="A6164" s="1">
        <v>46048</v>
      </c>
      <c r="B6164" t="s">
        <v>5698</v>
      </c>
      <c r="C6164">
        <v>4</v>
      </c>
      <c r="D6164" t="str">
        <f>VLOOKUP(Tabela26[[#This Row],[EMP]],[1]LOJA!$A:$B,2,0)</f>
        <v>ADE</v>
      </c>
      <c r="E6164">
        <v>132</v>
      </c>
      <c r="F6164" t="s">
        <v>4561</v>
      </c>
      <c r="G6164" t="s">
        <v>4560</v>
      </c>
      <c r="H6164" t="s">
        <v>3401</v>
      </c>
      <c r="I6164">
        <v>5102</v>
      </c>
      <c r="J6164" s="3">
        <v>54</v>
      </c>
      <c r="K6164" s="3">
        <v>30.57</v>
      </c>
      <c r="L6164">
        <v>43.39</v>
      </c>
    </row>
    <row r="6165" spans="1:12">
      <c r="A6165" s="1">
        <v>46048</v>
      </c>
      <c r="B6165" t="s">
        <v>5697</v>
      </c>
      <c r="C6165">
        <v>4</v>
      </c>
      <c r="D6165" t="str">
        <f>VLOOKUP(Tabela26[[#This Row],[EMP]],[1]LOJA!$A:$B,2,0)</f>
        <v>ADE</v>
      </c>
      <c r="E6165">
        <v>132</v>
      </c>
      <c r="F6165" t="s">
        <v>4558</v>
      </c>
      <c r="G6165" t="s">
        <v>4557</v>
      </c>
      <c r="H6165" t="s">
        <v>4243</v>
      </c>
      <c r="I6165">
        <v>5405</v>
      </c>
      <c r="J6165" s="3">
        <v>455.99</v>
      </c>
      <c r="K6165" s="3">
        <v>256.89</v>
      </c>
      <c r="L6165">
        <v>43.66</v>
      </c>
    </row>
    <row r="6166" spans="1:12">
      <c r="A6166" s="1">
        <v>46048</v>
      </c>
      <c r="B6166" t="s">
        <v>5696</v>
      </c>
      <c r="C6166">
        <v>4</v>
      </c>
      <c r="D6166" t="str">
        <f>VLOOKUP(Tabela26[[#This Row],[EMP]],[1]LOJA!$A:$B,2,0)</f>
        <v>ADE</v>
      </c>
      <c r="E6166">
        <v>191</v>
      </c>
      <c r="F6166" t="s">
        <v>5159</v>
      </c>
      <c r="G6166" t="s">
        <v>5158</v>
      </c>
      <c r="H6166" t="s">
        <v>3408</v>
      </c>
      <c r="I6166">
        <v>5102</v>
      </c>
      <c r="J6166" s="3">
        <v>41.25</v>
      </c>
      <c r="K6166" s="3">
        <v>27.75</v>
      </c>
      <c r="L6166">
        <v>32.729999999999997</v>
      </c>
    </row>
    <row r="6167" spans="1:12">
      <c r="A6167" s="1">
        <v>46048</v>
      </c>
      <c r="B6167" t="s">
        <v>5695</v>
      </c>
      <c r="C6167">
        <v>4</v>
      </c>
      <c r="D6167" t="str">
        <f>VLOOKUP(Tabela26[[#This Row],[EMP]],[1]LOJA!$A:$B,2,0)</f>
        <v>ADE</v>
      </c>
      <c r="E6167">
        <v>191</v>
      </c>
      <c r="F6167" t="s">
        <v>5694</v>
      </c>
      <c r="G6167" t="s">
        <v>3402</v>
      </c>
      <c r="H6167" t="s">
        <v>3401</v>
      </c>
      <c r="I6167">
        <v>5405</v>
      </c>
      <c r="J6167" s="3">
        <v>64</v>
      </c>
      <c r="K6167" s="3">
        <v>32.56</v>
      </c>
      <c r="L6167">
        <v>49.13</v>
      </c>
    </row>
    <row r="6168" spans="1:12">
      <c r="A6168" s="1">
        <v>46048</v>
      </c>
      <c r="B6168" t="s">
        <v>5693</v>
      </c>
      <c r="C6168">
        <v>4</v>
      </c>
      <c r="D6168" t="str">
        <f>VLOOKUP(Tabela26[[#This Row],[EMP]],[1]LOJA!$A:$B,2,0)</f>
        <v>ADE</v>
      </c>
      <c r="E6168">
        <v>132</v>
      </c>
      <c r="F6168" t="s">
        <v>3403</v>
      </c>
      <c r="G6168" t="s">
        <v>3402</v>
      </c>
      <c r="H6168" t="s">
        <v>3401</v>
      </c>
      <c r="I6168">
        <v>5102</v>
      </c>
      <c r="J6168" s="3">
        <v>30</v>
      </c>
      <c r="K6168" s="3">
        <v>18.62</v>
      </c>
      <c r="L6168">
        <v>37.93</v>
      </c>
    </row>
    <row r="6169" spans="1:12">
      <c r="A6169" s="1">
        <v>46048</v>
      </c>
      <c r="B6169" t="s">
        <v>5692</v>
      </c>
      <c r="C6169">
        <v>4</v>
      </c>
      <c r="D6169" t="str">
        <f>VLOOKUP(Tabela26[[#This Row],[EMP]],[1]LOJA!$A:$B,2,0)</f>
        <v>ADE</v>
      </c>
      <c r="E6169">
        <v>132</v>
      </c>
      <c r="F6169" t="s">
        <v>5691</v>
      </c>
      <c r="G6169" t="s">
        <v>3402</v>
      </c>
      <c r="H6169" t="s">
        <v>3408</v>
      </c>
      <c r="I6169">
        <v>5102</v>
      </c>
      <c r="J6169" s="3">
        <v>40</v>
      </c>
      <c r="K6169" s="3">
        <v>30.8</v>
      </c>
      <c r="L6169">
        <v>23</v>
      </c>
    </row>
    <row r="6170" spans="1:12">
      <c r="A6170" s="1">
        <v>46048</v>
      </c>
      <c r="B6170" t="s">
        <v>5690</v>
      </c>
      <c r="C6170">
        <v>4</v>
      </c>
      <c r="D6170" t="str">
        <f>VLOOKUP(Tabela26[[#This Row],[EMP]],[1]LOJA!$A:$B,2,0)</f>
        <v>ADE</v>
      </c>
      <c r="E6170">
        <v>132</v>
      </c>
      <c r="F6170" t="s">
        <v>4565</v>
      </c>
      <c r="G6170" t="s">
        <v>4564</v>
      </c>
      <c r="H6170" t="s">
        <v>3408</v>
      </c>
      <c r="I6170">
        <v>5405</v>
      </c>
      <c r="J6170" s="3">
        <v>251.9</v>
      </c>
      <c r="K6170" s="3">
        <v>136.02000000000001</v>
      </c>
      <c r="L6170">
        <v>46</v>
      </c>
    </row>
    <row r="6171" spans="1:12">
      <c r="A6171" s="1">
        <v>46048</v>
      </c>
      <c r="B6171" t="s">
        <v>5689</v>
      </c>
      <c r="C6171">
        <v>4</v>
      </c>
      <c r="D6171" t="str">
        <f>VLOOKUP(Tabela26[[#This Row],[EMP]],[1]LOJA!$A:$B,2,0)</f>
        <v>ADE</v>
      </c>
      <c r="E6171">
        <v>132</v>
      </c>
      <c r="F6171" t="s">
        <v>5688</v>
      </c>
      <c r="G6171" t="s">
        <v>5687</v>
      </c>
      <c r="H6171" t="s">
        <v>3401</v>
      </c>
      <c r="I6171">
        <v>5102</v>
      </c>
      <c r="J6171" s="3">
        <v>54</v>
      </c>
      <c r="K6171" s="3">
        <v>23.65</v>
      </c>
      <c r="L6171">
        <v>56.2</v>
      </c>
    </row>
    <row r="6172" spans="1:12">
      <c r="A6172" s="1">
        <v>46048</v>
      </c>
      <c r="B6172" t="s">
        <v>5686</v>
      </c>
      <c r="C6172">
        <v>4</v>
      </c>
      <c r="D6172" t="str">
        <f>VLOOKUP(Tabela26[[#This Row],[EMP]],[1]LOJA!$A:$B,2,0)</f>
        <v>ADE</v>
      </c>
      <c r="E6172">
        <v>132</v>
      </c>
      <c r="F6172" t="s">
        <v>3403</v>
      </c>
      <c r="G6172" t="s">
        <v>3402</v>
      </c>
      <c r="H6172" t="s">
        <v>3401</v>
      </c>
      <c r="I6172">
        <v>5405</v>
      </c>
      <c r="J6172" s="3">
        <v>490</v>
      </c>
      <c r="K6172" s="3">
        <v>211.7</v>
      </c>
      <c r="L6172">
        <v>56.8</v>
      </c>
    </row>
    <row r="6173" spans="1:12">
      <c r="A6173" s="1">
        <v>46048</v>
      </c>
      <c r="B6173" t="s">
        <v>5685</v>
      </c>
      <c r="C6173">
        <v>4</v>
      </c>
      <c r="D6173" t="str">
        <f>VLOOKUP(Tabela26[[#This Row],[EMP]],[1]LOJA!$A:$B,2,0)</f>
        <v>ADE</v>
      </c>
      <c r="E6173">
        <v>132</v>
      </c>
      <c r="F6173" t="s">
        <v>4568</v>
      </c>
      <c r="G6173" t="s">
        <v>4567</v>
      </c>
      <c r="H6173" t="s">
        <v>3408</v>
      </c>
      <c r="I6173">
        <v>5405</v>
      </c>
      <c r="J6173" s="3">
        <v>361.33</v>
      </c>
      <c r="K6173" s="3">
        <v>199.32</v>
      </c>
      <c r="L6173">
        <v>44.84</v>
      </c>
    </row>
    <row r="6174" spans="1:12">
      <c r="A6174" s="1">
        <v>46048</v>
      </c>
      <c r="B6174" t="s">
        <v>5684</v>
      </c>
      <c r="C6174">
        <v>4</v>
      </c>
      <c r="D6174" t="str">
        <f>VLOOKUP(Tabela26[[#This Row],[EMP]],[1]LOJA!$A:$B,2,0)</f>
        <v>ADE</v>
      </c>
      <c r="E6174">
        <v>132</v>
      </c>
      <c r="F6174" t="s">
        <v>4574</v>
      </c>
      <c r="G6174" t="s">
        <v>4573</v>
      </c>
      <c r="H6174" t="s">
        <v>3408</v>
      </c>
      <c r="I6174">
        <v>5405</v>
      </c>
      <c r="J6174" s="3">
        <v>201</v>
      </c>
      <c r="K6174" s="3">
        <v>94.06</v>
      </c>
      <c r="L6174">
        <v>53.2</v>
      </c>
    </row>
    <row r="6175" spans="1:12">
      <c r="A6175" s="1">
        <v>46048</v>
      </c>
      <c r="B6175" t="s">
        <v>5683</v>
      </c>
      <c r="C6175">
        <v>4</v>
      </c>
      <c r="D6175" t="str">
        <f>VLOOKUP(Tabela26[[#This Row],[EMP]],[1]LOJA!$A:$B,2,0)</f>
        <v>ADE</v>
      </c>
      <c r="E6175">
        <v>132</v>
      </c>
      <c r="F6175" t="s">
        <v>5678</v>
      </c>
      <c r="G6175" t="s">
        <v>5677</v>
      </c>
      <c r="H6175" t="s">
        <v>3408</v>
      </c>
      <c r="I6175">
        <v>5405</v>
      </c>
      <c r="J6175" s="3">
        <v>120</v>
      </c>
      <c r="K6175" s="3">
        <v>65.88</v>
      </c>
      <c r="L6175">
        <v>45.1</v>
      </c>
    </row>
    <row r="6176" spans="1:12">
      <c r="A6176" s="1">
        <v>46048</v>
      </c>
      <c r="B6176" t="s">
        <v>5682</v>
      </c>
      <c r="C6176">
        <v>4</v>
      </c>
      <c r="D6176" t="str">
        <f>VLOOKUP(Tabela26[[#This Row],[EMP]],[1]LOJA!$A:$B,2,0)</f>
        <v>ADE</v>
      </c>
      <c r="E6176">
        <v>132</v>
      </c>
      <c r="F6176" t="s">
        <v>4558</v>
      </c>
      <c r="G6176" t="s">
        <v>4557</v>
      </c>
      <c r="H6176" t="s">
        <v>4243</v>
      </c>
      <c r="I6176">
        <v>5405</v>
      </c>
      <c r="J6176" s="3">
        <v>310.39</v>
      </c>
      <c r="K6176" s="3">
        <v>169.19</v>
      </c>
      <c r="L6176">
        <v>45.49</v>
      </c>
    </row>
    <row r="6177" spans="1:12">
      <c r="A6177" s="1">
        <v>46048</v>
      </c>
      <c r="B6177" t="s">
        <v>5681</v>
      </c>
      <c r="C6177">
        <v>4</v>
      </c>
      <c r="D6177" t="str">
        <f>VLOOKUP(Tabela26[[#This Row],[EMP]],[1]LOJA!$A:$B,2,0)</f>
        <v>ADE</v>
      </c>
      <c r="E6177">
        <v>132</v>
      </c>
      <c r="F6177" t="s">
        <v>4568</v>
      </c>
      <c r="G6177" t="s">
        <v>4567</v>
      </c>
      <c r="H6177" t="s">
        <v>3408</v>
      </c>
      <c r="I6177">
        <v>5405</v>
      </c>
      <c r="J6177" s="3">
        <v>38</v>
      </c>
      <c r="K6177" s="3">
        <v>18.309999999999999</v>
      </c>
      <c r="L6177">
        <v>51.82</v>
      </c>
    </row>
    <row r="6178" spans="1:12">
      <c r="A6178" s="1">
        <v>46048</v>
      </c>
      <c r="B6178" t="s">
        <v>5680</v>
      </c>
      <c r="C6178">
        <v>4</v>
      </c>
      <c r="D6178" t="str">
        <f>VLOOKUP(Tabela26[[#This Row],[EMP]],[1]LOJA!$A:$B,2,0)</f>
        <v>ADE</v>
      </c>
      <c r="E6178">
        <v>132</v>
      </c>
      <c r="F6178" t="s">
        <v>3403</v>
      </c>
      <c r="G6178" t="s">
        <v>3402</v>
      </c>
      <c r="H6178" t="s">
        <v>3401</v>
      </c>
      <c r="I6178">
        <v>5102</v>
      </c>
      <c r="J6178" s="3">
        <v>15</v>
      </c>
      <c r="K6178" s="3">
        <v>9.84</v>
      </c>
      <c r="L6178">
        <v>34.4</v>
      </c>
    </row>
    <row r="6179" spans="1:12">
      <c r="A6179" s="1">
        <v>46048</v>
      </c>
      <c r="B6179" t="s">
        <v>5679</v>
      </c>
      <c r="C6179">
        <v>4</v>
      </c>
      <c r="D6179" t="str">
        <f>VLOOKUP(Tabela26[[#This Row],[EMP]],[1]LOJA!$A:$B,2,0)</f>
        <v>ADE</v>
      </c>
      <c r="E6179">
        <v>132</v>
      </c>
      <c r="F6179" t="s">
        <v>5678</v>
      </c>
      <c r="G6179" t="s">
        <v>5677</v>
      </c>
      <c r="H6179" t="s">
        <v>3408</v>
      </c>
      <c r="I6179">
        <v>5405</v>
      </c>
      <c r="J6179" s="3">
        <v>80</v>
      </c>
      <c r="K6179" s="3">
        <v>41.15</v>
      </c>
      <c r="L6179">
        <v>48.56</v>
      </c>
    </row>
    <row r="6180" spans="1:12">
      <c r="A6180" s="1">
        <v>46048</v>
      </c>
      <c r="B6180" t="s">
        <v>5676</v>
      </c>
      <c r="C6180">
        <v>16</v>
      </c>
      <c r="D6180" t="str">
        <f>VLOOKUP(Tabela26[[#This Row],[EMP]],[1]LOJA!$A:$B,2,0)</f>
        <v>AG LINDAS</v>
      </c>
      <c r="E6180">
        <v>240</v>
      </c>
      <c r="F6180" t="s">
        <v>3808</v>
      </c>
      <c r="G6180" t="s">
        <v>3807</v>
      </c>
      <c r="H6180" t="s">
        <v>3408</v>
      </c>
      <c r="I6180">
        <v>5405</v>
      </c>
      <c r="J6180" s="3">
        <v>65.63</v>
      </c>
      <c r="K6180" s="3">
        <v>30.91</v>
      </c>
      <c r="L6180">
        <v>52.9</v>
      </c>
    </row>
    <row r="6181" spans="1:12">
      <c r="A6181" s="1">
        <v>46048</v>
      </c>
      <c r="B6181" t="s">
        <v>5675</v>
      </c>
      <c r="C6181">
        <v>16</v>
      </c>
      <c r="D6181" t="str">
        <f>VLOOKUP(Tabela26[[#This Row],[EMP]],[1]LOJA!$A:$B,2,0)</f>
        <v>AG LINDAS</v>
      </c>
      <c r="E6181">
        <v>240</v>
      </c>
      <c r="F6181" t="s">
        <v>5674</v>
      </c>
      <c r="G6181" t="s">
        <v>3437</v>
      </c>
      <c r="H6181" t="s">
        <v>3401</v>
      </c>
      <c r="I6181">
        <v>5405</v>
      </c>
      <c r="J6181" s="3">
        <v>65</v>
      </c>
      <c r="K6181" s="3">
        <v>34.04</v>
      </c>
      <c r="L6181">
        <v>47.63</v>
      </c>
    </row>
    <row r="6182" spans="1:12">
      <c r="A6182" s="1">
        <v>46048</v>
      </c>
      <c r="B6182" t="s">
        <v>5673</v>
      </c>
      <c r="C6182">
        <v>16</v>
      </c>
      <c r="D6182" t="str">
        <f>VLOOKUP(Tabela26[[#This Row],[EMP]],[1]LOJA!$A:$B,2,0)</f>
        <v>AG LINDAS</v>
      </c>
      <c r="E6182">
        <v>240</v>
      </c>
      <c r="F6182" t="s">
        <v>3799</v>
      </c>
      <c r="G6182" t="s">
        <v>3798</v>
      </c>
      <c r="H6182" t="s">
        <v>3401</v>
      </c>
      <c r="I6182">
        <v>5405</v>
      </c>
      <c r="J6182" s="3">
        <v>182.65</v>
      </c>
      <c r="K6182" s="3">
        <v>117.62</v>
      </c>
      <c r="L6182">
        <v>35.6</v>
      </c>
    </row>
    <row r="6183" spans="1:12">
      <c r="A6183" s="1">
        <v>46048</v>
      </c>
      <c r="B6183" t="s">
        <v>5672</v>
      </c>
      <c r="C6183">
        <v>16</v>
      </c>
      <c r="D6183" t="str">
        <f>VLOOKUP(Tabela26[[#This Row],[EMP]],[1]LOJA!$A:$B,2,0)</f>
        <v>AG LINDAS</v>
      </c>
      <c r="E6183">
        <v>240</v>
      </c>
      <c r="F6183" t="s">
        <v>3780</v>
      </c>
      <c r="G6183" t="s">
        <v>3437</v>
      </c>
      <c r="H6183" t="s">
        <v>3401</v>
      </c>
      <c r="I6183">
        <v>5405</v>
      </c>
      <c r="J6183" s="3">
        <v>98.75</v>
      </c>
      <c r="K6183" s="3">
        <v>49.79</v>
      </c>
      <c r="L6183">
        <v>49.58</v>
      </c>
    </row>
    <row r="6184" spans="1:12">
      <c r="A6184" s="1">
        <v>46048</v>
      </c>
      <c r="B6184" t="s">
        <v>5671</v>
      </c>
      <c r="C6184">
        <v>16</v>
      </c>
      <c r="D6184" t="str">
        <f>VLOOKUP(Tabela26[[#This Row],[EMP]],[1]LOJA!$A:$B,2,0)</f>
        <v>AG LINDAS</v>
      </c>
      <c r="E6184">
        <v>240</v>
      </c>
      <c r="F6184" t="s">
        <v>3780</v>
      </c>
      <c r="G6184" t="s">
        <v>3437</v>
      </c>
      <c r="H6184" t="s">
        <v>3401</v>
      </c>
      <c r="I6184">
        <v>5102</v>
      </c>
      <c r="J6184" s="3">
        <v>79.599999999999994</v>
      </c>
      <c r="K6184" s="3">
        <v>49.44</v>
      </c>
      <c r="L6184">
        <v>37.89</v>
      </c>
    </row>
    <row r="6185" spans="1:12">
      <c r="A6185" s="1">
        <v>46048</v>
      </c>
      <c r="B6185" t="s">
        <v>5670</v>
      </c>
      <c r="C6185">
        <v>16</v>
      </c>
      <c r="D6185" t="str">
        <f>VLOOKUP(Tabela26[[#This Row],[EMP]],[1]LOJA!$A:$B,2,0)</f>
        <v>AG LINDAS</v>
      </c>
      <c r="E6185">
        <v>240</v>
      </c>
      <c r="F6185" t="s">
        <v>4552</v>
      </c>
      <c r="G6185" t="s">
        <v>3437</v>
      </c>
      <c r="H6185" t="s">
        <v>3408</v>
      </c>
      <c r="I6185">
        <v>5405</v>
      </c>
      <c r="J6185" s="3">
        <v>35</v>
      </c>
      <c r="K6185" s="3">
        <v>13.95</v>
      </c>
      <c r="L6185">
        <v>60.14</v>
      </c>
    </row>
    <row r="6186" spans="1:12">
      <c r="A6186" s="1">
        <v>46048</v>
      </c>
      <c r="B6186" t="s">
        <v>5669</v>
      </c>
      <c r="C6186">
        <v>16</v>
      </c>
      <c r="D6186" t="str">
        <f>VLOOKUP(Tabela26[[#This Row],[EMP]],[1]LOJA!$A:$B,2,0)</f>
        <v>AG LINDAS</v>
      </c>
      <c r="E6186">
        <v>240</v>
      </c>
      <c r="F6186" t="s">
        <v>5668</v>
      </c>
      <c r="G6186" t="s">
        <v>5667</v>
      </c>
      <c r="H6186" t="s">
        <v>3408</v>
      </c>
      <c r="I6186">
        <v>5405</v>
      </c>
      <c r="J6186" s="3">
        <v>65.900000000000006</v>
      </c>
      <c r="K6186" s="3">
        <v>39.19</v>
      </c>
      <c r="L6186">
        <v>40.53</v>
      </c>
    </row>
    <row r="6187" spans="1:12">
      <c r="A6187" s="1">
        <v>46048</v>
      </c>
      <c r="B6187" t="s">
        <v>5666</v>
      </c>
      <c r="C6187">
        <v>16</v>
      </c>
      <c r="D6187" t="str">
        <f>VLOOKUP(Tabela26[[#This Row],[EMP]],[1]LOJA!$A:$B,2,0)</f>
        <v>AG LINDAS</v>
      </c>
      <c r="E6187">
        <v>240</v>
      </c>
      <c r="F6187" t="s">
        <v>3786</v>
      </c>
      <c r="G6187" t="s">
        <v>3785</v>
      </c>
      <c r="H6187" t="s">
        <v>3401</v>
      </c>
      <c r="I6187">
        <v>5405</v>
      </c>
      <c r="J6187" s="3">
        <v>88</v>
      </c>
      <c r="K6187" s="3">
        <v>46.13</v>
      </c>
      <c r="L6187">
        <v>47.58</v>
      </c>
    </row>
    <row r="6188" spans="1:12">
      <c r="A6188" s="1">
        <v>46048</v>
      </c>
      <c r="B6188" t="s">
        <v>5665</v>
      </c>
      <c r="C6188">
        <v>16</v>
      </c>
      <c r="D6188" t="str">
        <f>VLOOKUP(Tabela26[[#This Row],[EMP]],[1]LOJA!$A:$B,2,0)</f>
        <v>AG LINDAS</v>
      </c>
      <c r="E6188">
        <v>240</v>
      </c>
      <c r="F6188" t="s">
        <v>3811</v>
      </c>
      <c r="G6188" t="s">
        <v>3437</v>
      </c>
      <c r="H6188" t="s">
        <v>3401</v>
      </c>
      <c r="I6188">
        <v>5102</v>
      </c>
      <c r="J6188" s="3">
        <v>86.4</v>
      </c>
      <c r="K6188" s="3">
        <v>48.35</v>
      </c>
      <c r="L6188">
        <v>44.04</v>
      </c>
    </row>
    <row r="6189" spans="1:12">
      <c r="A6189" s="1">
        <v>46048</v>
      </c>
      <c r="B6189" t="s">
        <v>5664</v>
      </c>
      <c r="C6189">
        <v>16</v>
      </c>
      <c r="D6189" t="str">
        <f>VLOOKUP(Tabela26[[#This Row],[EMP]],[1]LOJA!$A:$B,2,0)</f>
        <v>AG LINDAS</v>
      </c>
      <c r="E6189">
        <v>240</v>
      </c>
      <c r="F6189" t="s">
        <v>5663</v>
      </c>
      <c r="G6189" t="s">
        <v>3437</v>
      </c>
      <c r="H6189" t="s">
        <v>3401</v>
      </c>
      <c r="I6189">
        <v>5405</v>
      </c>
      <c r="J6189" s="3">
        <v>94.04</v>
      </c>
      <c r="K6189" s="3">
        <v>52</v>
      </c>
      <c r="L6189">
        <v>44.7</v>
      </c>
    </row>
    <row r="6190" spans="1:12">
      <c r="A6190" s="1">
        <v>46048</v>
      </c>
      <c r="B6190" t="s">
        <v>5662</v>
      </c>
      <c r="C6190">
        <v>16</v>
      </c>
      <c r="D6190" t="str">
        <f>VLOOKUP(Tabela26[[#This Row],[EMP]],[1]LOJA!$A:$B,2,0)</f>
        <v>AG LINDAS</v>
      </c>
      <c r="E6190">
        <v>240</v>
      </c>
      <c r="F6190" t="s">
        <v>4516</v>
      </c>
      <c r="G6190" t="s">
        <v>4515</v>
      </c>
      <c r="H6190" t="s">
        <v>3401</v>
      </c>
      <c r="I6190">
        <v>5405</v>
      </c>
      <c r="J6190" s="3">
        <v>219</v>
      </c>
      <c r="K6190" s="3">
        <v>117.61</v>
      </c>
      <c r="L6190">
        <v>46.3</v>
      </c>
    </row>
    <row r="6191" spans="1:12">
      <c r="A6191" s="1">
        <v>46048</v>
      </c>
      <c r="B6191" t="s">
        <v>5661</v>
      </c>
      <c r="C6191">
        <v>16</v>
      </c>
      <c r="D6191" t="str">
        <f>VLOOKUP(Tabela26[[#This Row],[EMP]],[1]LOJA!$A:$B,2,0)</f>
        <v>AG LINDAS</v>
      </c>
      <c r="E6191">
        <v>240</v>
      </c>
      <c r="F6191" t="s">
        <v>3780</v>
      </c>
      <c r="G6191" t="s">
        <v>3437</v>
      </c>
      <c r="H6191" t="s">
        <v>3401</v>
      </c>
      <c r="I6191">
        <v>5102</v>
      </c>
      <c r="J6191" s="3">
        <v>23.4</v>
      </c>
      <c r="K6191" s="3">
        <v>13.78</v>
      </c>
      <c r="L6191">
        <v>41.11</v>
      </c>
    </row>
    <row r="6192" spans="1:12">
      <c r="A6192" s="1">
        <v>46048</v>
      </c>
      <c r="B6192" t="s">
        <v>5660</v>
      </c>
      <c r="C6192">
        <v>16</v>
      </c>
      <c r="D6192" t="str">
        <f>VLOOKUP(Tabela26[[#This Row],[EMP]],[1]LOJA!$A:$B,2,0)</f>
        <v>AG LINDAS</v>
      </c>
      <c r="E6192">
        <v>240</v>
      </c>
      <c r="F6192" t="s">
        <v>5659</v>
      </c>
      <c r="G6192" t="s">
        <v>3437</v>
      </c>
      <c r="H6192" t="s">
        <v>3401</v>
      </c>
      <c r="I6192">
        <v>5102</v>
      </c>
      <c r="J6192" s="3">
        <v>24.9</v>
      </c>
      <c r="K6192" s="3">
        <v>16.84</v>
      </c>
      <c r="L6192">
        <v>32.369999999999997</v>
      </c>
    </row>
    <row r="6193" spans="1:12">
      <c r="A6193" s="1">
        <v>46048</v>
      </c>
      <c r="B6193" t="s">
        <v>5658</v>
      </c>
      <c r="C6193">
        <v>16</v>
      </c>
      <c r="D6193" t="str">
        <f>VLOOKUP(Tabela26[[#This Row],[EMP]],[1]LOJA!$A:$B,2,0)</f>
        <v>AG LINDAS</v>
      </c>
      <c r="E6193">
        <v>240</v>
      </c>
      <c r="F6193" t="s">
        <v>5657</v>
      </c>
      <c r="G6193" t="s">
        <v>5656</v>
      </c>
      <c r="H6193" t="s">
        <v>3401</v>
      </c>
      <c r="I6193">
        <v>5102</v>
      </c>
      <c r="J6193" s="3">
        <v>62.8</v>
      </c>
      <c r="K6193" s="3">
        <v>37.07</v>
      </c>
      <c r="L6193">
        <v>40.97</v>
      </c>
    </row>
    <row r="6194" spans="1:12">
      <c r="A6194" s="1">
        <v>46048</v>
      </c>
      <c r="B6194" t="s">
        <v>5655</v>
      </c>
      <c r="C6194">
        <v>16</v>
      </c>
      <c r="D6194" t="str">
        <f>VLOOKUP(Tabela26[[#This Row],[EMP]],[1]LOJA!$A:$B,2,0)</f>
        <v>AG LINDAS</v>
      </c>
      <c r="E6194">
        <v>240</v>
      </c>
      <c r="F6194" t="s">
        <v>3780</v>
      </c>
      <c r="G6194" t="s">
        <v>3437</v>
      </c>
      <c r="H6194" t="s">
        <v>3401</v>
      </c>
      <c r="I6194">
        <v>5405</v>
      </c>
      <c r="J6194" s="3">
        <v>35.799999999999997</v>
      </c>
      <c r="K6194" s="3">
        <v>17.02</v>
      </c>
      <c r="L6194">
        <v>52.46</v>
      </c>
    </row>
    <row r="6195" spans="1:12">
      <c r="A6195" s="1">
        <v>46048</v>
      </c>
      <c r="B6195" t="s">
        <v>5654</v>
      </c>
      <c r="C6195">
        <v>16</v>
      </c>
      <c r="D6195" t="str">
        <f>VLOOKUP(Tabela26[[#This Row],[EMP]],[1]LOJA!$A:$B,2,0)</f>
        <v>AG LINDAS</v>
      </c>
      <c r="E6195">
        <v>240</v>
      </c>
      <c r="F6195" t="s">
        <v>3780</v>
      </c>
      <c r="G6195" t="s">
        <v>3437</v>
      </c>
      <c r="H6195" t="s">
        <v>3401</v>
      </c>
      <c r="I6195">
        <v>5405</v>
      </c>
      <c r="J6195" s="3">
        <v>53</v>
      </c>
      <c r="K6195" s="3">
        <v>24.73</v>
      </c>
      <c r="L6195">
        <v>53.34</v>
      </c>
    </row>
    <row r="6196" spans="1:12">
      <c r="A6196" s="1">
        <v>46048</v>
      </c>
      <c r="B6196" t="s">
        <v>5653</v>
      </c>
      <c r="C6196">
        <v>16</v>
      </c>
      <c r="D6196" t="str">
        <f>VLOOKUP(Tabela26[[#This Row],[EMP]],[1]LOJA!$A:$B,2,0)</f>
        <v>AG LINDAS</v>
      </c>
      <c r="E6196">
        <v>240</v>
      </c>
      <c r="F6196" t="s">
        <v>3786</v>
      </c>
      <c r="G6196" t="s">
        <v>3785</v>
      </c>
      <c r="H6196" t="s">
        <v>3401</v>
      </c>
      <c r="I6196">
        <v>5405</v>
      </c>
      <c r="J6196" s="3">
        <v>91.75</v>
      </c>
      <c r="K6196" s="3">
        <v>46.18</v>
      </c>
      <c r="L6196">
        <v>49.67</v>
      </c>
    </row>
    <row r="6197" spans="1:12">
      <c r="A6197" s="1">
        <v>46048</v>
      </c>
      <c r="B6197" t="s">
        <v>5652</v>
      </c>
      <c r="C6197">
        <v>14</v>
      </c>
      <c r="D6197" t="str">
        <f>VLOOKUP(Tabela26[[#This Row],[EMP]],[1]LOJA!$A:$B,2,0)</f>
        <v>S IA</v>
      </c>
      <c r="E6197">
        <v>54</v>
      </c>
      <c r="F6197" t="s">
        <v>3772</v>
      </c>
      <c r="G6197" t="s">
        <v>3771</v>
      </c>
      <c r="H6197" t="s">
        <v>3430</v>
      </c>
      <c r="I6197">
        <v>5405</v>
      </c>
      <c r="J6197" s="3">
        <v>229.32</v>
      </c>
      <c r="K6197" s="3">
        <v>120.71</v>
      </c>
      <c r="L6197">
        <v>47.36</v>
      </c>
    </row>
    <row r="6198" spans="1:12">
      <c r="A6198" s="1">
        <v>46048</v>
      </c>
      <c r="B6198" t="s">
        <v>5651</v>
      </c>
      <c r="C6198">
        <v>14</v>
      </c>
      <c r="D6198" t="str">
        <f>VLOOKUP(Tabela26[[#This Row],[EMP]],[1]LOJA!$A:$B,2,0)</f>
        <v>S IA</v>
      </c>
      <c r="E6198">
        <v>54</v>
      </c>
      <c r="F6198" t="s">
        <v>5650</v>
      </c>
      <c r="G6198" t="s">
        <v>5649</v>
      </c>
      <c r="H6198" t="s">
        <v>3430</v>
      </c>
      <c r="I6198">
        <v>5102</v>
      </c>
      <c r="J6198" s="3">
        <v>61.21</v>
      </c>
      <c r="K6198" s="3">
        <v>29.06</v>
      </c>
      <c r="L6198">
        <v>52.52</v>
      </c>
    </row>
    <row r="6199" spans="1:12">
      <c r="A6199" s="1">
        <v>46048</v>
      </c>
      <c r="B6199" t="s">
        <v>5648</v>
      </c>
      <c r="C6199">
        <v>14</v>
      </c>
      <c r="D6199" t="str">
        <f>VLOOKUP(Tabela26[[#This Row],[EMP]],[1]LOJA!$A:$B,2,0)</f>
        <v>S IA</v>
      </c>
      <c r="E6199">
        <v>54</v>
      </c>
      <c r="F6199" t="s">
        <v>3772</v>
      </c>
      <c r="G6199" t="s">
        <v>3771</v>
      </c>
      <c r="H6199" t="s">
        <v>3430</v>
      </c>
      <c r="I6199">
        <v>5405</v>
      </c>
      <c r="J6199" s="3">
        <v>25</v>
      </c>
      <c r="K6199" s="3">
        <v>9.2100000000000009</v>
      </c>
      <c r="L6199">
        <v>63.16</v>
      </c>
    </row>
    <row r="6200" spans="1:12">
      <c r="A6200" s="1">
        <v>46048</v>
      </c>
      <c r="B6200" t="s">
        <v>5647</v>
      </c>
      <c r="C6200">
        <v>14</v>
      </c>
      <c r="D6200" t="str">
        <f>VLOOKUP(Tabela26[[#This Row],[EMP]],[1]LOJA!$A:$B,2,0)</f>
        <v>S IA</v>
      </c>
      <c r="E6200">
        <v>54</v>
      </c>
      <c r="F6200" t="s">
        <v>5089</v>
      </c>
      <c r="G6200" t="s">
        <v>5088</v>
      </c>
      <c r="H6200" t="s">
        <v>3430</v>
      </c>
      <c r="I6200">
        <v>5405</v>
      </c>
      <c r="J6200" s="3">
        <v>63.9</v>
      </c>
      <c r="K6200" s="3">
        <v>28.22</v>
      </c>
      <c r="L6200">
        <v>55.84</v>
      </c>
    </row>
    <row r="6201" spans="1:12">
      <c r="A6201" s="1">
        <v>46048</v>
      </c>
      <c r="B6201" t="s">
        <v>5646</v>
      </c>
      <c r="C6201">
        <v>14</v>
      </c>
      <c r="D6201" t="str">
        <f>VLOOKUP(Tabela26[[#This Row],[EMP]],[1]LOJA!$A:$B,2,0)</f>
        <v>S IA</v>
      </c>
      <c r="E6201">
        <v>54</v>
      </c>
      <c r="F6201" t="s">
        <v>5645</v>
      </c>
      <c r="G6201" t="s">
        <v>5644</v>
      </c>
      <c r="H6201" t="s">
        <v>3401</v>
      </c>
      <c r="I6201">
        <v>6102</v>
      </c>
      <c r="J6201" s="3">
        <v>132</v>
      </c>
      <c r="K6201" s="3">
        <v>55.35</v>
      </c>
      <c r="L6201">
        <v>58.07</v>
      </c>
    </row>
    <row r="6202" spans="1:12">
      <c r="A6202" s="1">
        <v>46048</v>
      </c>
      <c r="B6202" t="s">
        <v>5643</v>
      </c>
      <c r="C6202">
        <v>14</v>
      </c>
      <c r="D6202" t="str">
        <f>VLOOKUP(Tabela26[[#This Row],[EMP]],[1]LOJA!$A:$B,2,0)</f>
        <v>S IA</v>
      </c>
      <c r="E6202">
        <v>54</v>
      </c>
      <c r="F6202" t="s">
        <v>5642</v>
      </c>
      <c r="G6202" t="s">
        <v>5641</v>
      </c>
      <c r="H6202" t="s">
        <v>3401</v>
      </c>
      <c r="I6202">
        <v>5405</v>
      </c>
      <c r="J6202" s="3">
        <v>133</v>
      </c>
      <c r="K6202" s="3">
        <v>73.91</v>
      </c>
      <c r="L6202">
        <v>44.43</v>
      </c>
    </row>
    <row r="6203" spans="1:12">
      <c r="A6203" s="1">
        <v>46048</v>
      </c>
      <c r="B6203" t="s">
        <v>5640</v>
      </c>
      <c r="C6203">
        <v>14</v>
      </c>
      <c r="D6203" t="str">
        <f>VLOOKUP(Tabela26[[#This Row],[EMP]],[1]LOJA!$A:$B,2,0)</f>
        <v>S IA</v>
      </c>
      <c r="E6203">
        <v>54</v>
      </c>
      <c r="F6203" t="s">
        <v>5089</v>
      </c>
      <c r="G6203" t="s">
        <v>5088</v>
      </c>
      <c r="H6203" t="s">
        <v>3430</v>
      </c>
      <c r="I6203">
        <v>5405</v>
      </c>
      <c r="J6203" s="3">
        <v>74.900000000000006</v>
      </c>
      <c r="K6203" s="3">
        <v>32.869999999999997</v>
      </c>
      <c r="L6203">
        <v>56.11</v>
      </c>
    </row>
    <row r="6204" spans="1:12">
      <c r="A6204" s="1">
        <v>46048</v>
      </c>
      <c r="B6204" t="s">
        <v>5639</v>
      </c>
      <c r="C6204">
        <v>14</v>
      </c>
      <c r="D6204" t="str">
        <f>VLOOKUP(Tabela26[[#This Row],[EMP]],[1]LOJA!$A:$B,2,0)</f>
        <v>S IA</v>
      </c>
      <c r="E6204">
        <v>212</v>
      </c>
      <c r="F6204" t="s">
        <v>5638</v>
      </c>
      <c r="G6204" t="s">
        <v>5637</v>
      </c>
      <c r="H6204" t="s">
        <v>3401</v>
      </c>
      <c r="I6204">
        <v>5102</v>
      </c>
      <c r="J6204" s="3">
        <v>220</v>
      </c>
      <c r="K6204" s="3">
        <v>119.29</v>
      </c>
      <c r="L6204">
        <v>45.78</v>
      </c>
    </row>
    <row r="6205" spans="1:12">
      <c r="A6205" s="1">
        <v>46048</v>
      </c>
      <c r="B6205" t="s">
        <v>5636</v>
      </c>
      <c r="C6205">
        <v>14</v>
      </c>
      <c r="D6205" t="str">
        <f>VLOOKUP(Tabela26[[#This Row],[EMP]],[1]LOJA!$A:$B,2,0)</f>
        <v>S IA</v>
      </c>
      <c r="E6205">
        <v>212</v>
      </c>
      <c r="F6205" t="s">
        <v>5635</v>
      </c>
      <c r="G6205" t="s">
        <v>5634</v>
      </c>
      <c r="H6205" t="s">
        <v>3401</v>
      </c>
      <c r="I6205">
        <v>5405</v>
      </c>
      <c r="J6205" s="3">
        <v>450</v>
      </c>
      <c r="K6205" s="3">
        <v>167.32</v>
      </c>
      <c r="L6205">
        <v>62.82</v>
      </c>
    </row>
    <row r="6206" spans="1:12">
      <c r="A6206" s="1">
        <v>46048</v>
      </c>
      <c r="B6206" t="s">
        <v>5633</v>
      </c>
      <c r="C6206">
        <v>14</v>
      </c>
      <c r="D6206" t="str">
        <f>VLOOKUP(Tabela26[[#This Row],[EMP]],[1]LOJA!$A:$B,2,0)</f>
        <v>S IA</v>
      </c>
      <c r="E6206">
        <v>212</v>
      </c>
      <c r="F6206" t="s">
        <v>3772</v>
      </c>
      <c r="G6206" t="s">
        <v>3771</v>
      </c>
      <c r="H6206" t="s">
        <v>3430</v>
      </c>
      <c r="I6206">
        <v>5102</v>
      </c>
      <c r="J6206" s="3">
        <v>70</v>
      </c>
      <c r="K6206" s="3">
        <v>30.35</v>
      </c>
      <c r="L6206">
        <v>56.64</v>
      </c>
    </row>
    <row r="6207" spans="1:12">
      <c r="A6207" s="1">
        <v>46048</v>
      </c>
      <c r="B6207" t="s">
        <v>5632</v>
      </c>
      <c r="C6207">
        <v>14</v>
      </c>
      <c r="D6207" t="str">
        <f>VLOOKUP(Tabela26[[#This Row],[EMP]],[1]LOJA!$A:$B,2,0)</f>
        <v>S IA</v>
      </c>
      <c r="E6207">
        <v>212</v>
      </c>
      <c r="F6207" t="s">
        <v>4498</v>
      </c>
      <c r="G6207" t="s">
        <v>4497</v>
      </c>
      <c r="H6207" t="s">
        <v>4249</v>
      </c>
      <c r="I6207">
        <v>5405</v>
      </c>
      <c r="J6207" s="3">
        <v>1879.02</v>
      </c>
      <c r="K6207" s="3">
        <v>772.77</v>
      </c>
      <c r="L6207">
        <v>58.87</v>
      </c>
    </row>
    <row r="6208" spans="1:12">
      <c r="A6208" s="1">
        <v>46048</v>
      </c>
      <c r="B6208" t="s">
        <v>5631</v>
      </c>
      <c r="C6208">
        <v>12</v>
      </c>
      <c r="D6208" t="str">
        <f>VLOOKUP(Tabela26[[#This Row],[EMP]],[1]LOJA!$A:$B,2,0)</f>
        <v>SOFNORTE</v>
      </c>
      <c r="E6208">
        <v>60</v>
      </c>
      <c r="F6208" t="s">
        <v>3701</v>
      </c>
      <c r="G6208" t="s">
        <v>3700</v>
      </c>
      <c r="H6208" t="s">
        <v>3401</v>
      </c>
      <c r="I6208">
        <v>5102</v>
      </c>
      <c r="J6208" s="3">
        <v>19</v>
      </c>
      <c r="K6208" s="3">
        <v>8.32</v>
      </c>
      <c r="L6208">
        <v>56.21</v>
      </c>
    </row>
    <row r="6209" spans="1:12">
      <c r="A6209" s="1">
        <v>46048</v>
      </c>
      <c r="B6209" t="s">
        <v>5630</v>
      </c>
      <c r="C6209">
        <v>12</v>
      </c>
      <c r="D6209" t="str">
        <f>VLOOKUP(Tabela26[[#This Row],[EMP]],[1]LOJA!$A:$B,2,0)</f>
        <v>SOFNORTE</v>
      </c>
      <c r="E6209">
        <v>239</v>
      </c>
      <c r="F6209" t="s">
        <v>3691</v>
      </c>
      <c r="G6209" t="s">
        <v>3690</v>
      </c>
      <c r="H6209" t="s">
        <v>5582</v>
      </c>
      <c r="I6209">
        <v>5102</v>
      </c>
      <c r="J6209" s="3">
        <v>27.59</v>
      </c>
      <c r="K6209" s="3">
        <v>13.37</v>
      </c>
      <c r="L6209">
        <v>51.54</v>
      </c>
    </row>
    <row r="6210" spans="1:12">
      <c r="A6210" s="1">
        <v>46048</v>
      </c>
      <c r="B6210" t="s">
        <v>5629</v>
      </c>
      <c r="C6210">
        <v>12</v>
      </c>
      <c r="D6210" t="str">
        <f>VLOOKUP(Tabela26[[#This Row],[EMP]],[1]LOJA!$A:$B,2,0)</f>
        <v>SOFNORTE</v>
      </c>
      <c r="E6210">
        <v>60</v>
      </c>
      <c r="F6210" t="s">
        <v>3715</v>
      </c>
      <c r="G6210" t="s">
        <v>3714</v>
      </c>
      <c r="H6210" t="s">
        <v>3401</v>
      </c>
      <c r="I6210">
        <v>5102</v>
      </c>
      <c r="J6210" s="3">
        <v>36</v>
      </c>
      <c r="K6210" s="3">
        <v>19.54</v>
      </c>
      <c r="L6210">
        <v>45.72</v>
      </c>
    </row>
    <row r="6211" spans="1:12">
      <c r="A6211" s="1">
        <v>46048</v>
      </c>
      <c r="B6211" t="s">
        <v>5628</v>
      </c>
      <c r="C6211">
        <v>12</v>
      </c>
      <c r="D6211" t="str">
        <f>VLOOKUP(Tabela26[[#This Row],[EMP]],[1]LOJA!$A:$B,2,0)</f>
        <v>SOFNORTE</v>
      </c>
      <c r="E6211">
        <v>60</v>
      </c>
      <c r="F6211" t="s">
        <v>3698</v>
      </c>
      <c r="G6211" t="s">
        <v>3697</v>
      </c>
      <c r="H6211" t="s">
        <v>3408</v>
      </c>
      <c r="I6211">
        <v>5405</v>
      </c>
      <c r="J6211" s="3">
        <v>168</v>
      </c>
      <c r="K6211" s="3">
        <v>79.59</v>
      </c>
      <c r="L6211">
        <v>52.63</v>
      </c>
    </row>
    <row r="6212" spans="1:12">
      <c r="A6212" s="1">
        <v>46048</v>
      </c>
      <c r="B6212" t="s">
        <v>5627</v>
      </c>
      <c r="C6212">
        <v>12</v>
      </c>
      <c r="D6212" t="str">
        <f>VLOOKUP(Tabela26[[#This Row],[EMP]],[1]LOJA!$A:$B,2,0)</f>
        <v>SOFNORTE</v>
      </c>
      <c r="E6212">
        <v>60</v>
      </c>
      <c r="F6212" t="s">
        <v>3403</v>
      </c>
      <c r="G6212" t="s">
        <v>3402</v>
      </c>
      <c r="H6212" t="s">
        <v>3401</v>
      </c>
      <c r="I6212">
        <v>5405</v>
      </c>
      <c r="J6212" s="3">
        <v>64.900000000000006</v>
      </c>
      <c r="K6212" s="3">
        <v>24.87</v>
      </c>
      <c r="L6212">
        <v>61.68</v>
      </c>
    </row>
    <row r="6213" spans="1:12">
      <c r="A6213" s="1">
        <v>46048</v>
      </c>
      <c r="B6213" t="s">
        <v>5626</v>
      </c>
      <c r="C6213">
        <v>12</v>
      </c>
      <c r="D6213" t="str">
        <f>VLOOKUP(Tabela26[[#This Row],[EMP]],[1]LOJA!$A:$B,2,0)</f>
        <v>SOFNORTE</v>
      </c>
      <c r="E6213">
        <v>60</v>
      </c>
      <c r="F6213" t="s">
        <v>5625</v>
      </c>
      <c r="G6213" t="s">
        <v>5624</v>
      </c>
      <c r="H6213" t="s">
        <v>3401</v>
      </c>
      <c r="I6213">
        <v>5405</v>
      </c>
      <c r="J6213" s="3">
        <v>65</v>
      </c>
      <c r="K6213" s="3">
        <v>31.61</v>
      </c>
      <c r="L6213">
        <v>51.37</v>
      </c>
    </row>
    <row r="6214" spans="1:12">
      <c r="A6214" s="1">
        <v>46048</v>
      </c>
      <c r="B6214" t="s">
        <v>5623</v>
      </c>
      <c r="C6214">
        <v>12</v>
      </c>
      <c r="D6214" t="str">
        <f>VLOOKUP(Tabela26[[#This Row],[EMP]],[1]LOJA!$A:$B,2,0)</f>
        <v>SOFNORTE</v>
      </c>
      <c r="E6214">
        <v>60</v>
      </c>
      <c r="F6214" t="s">
        <v>3709</v>
      </c>
      <c r="G6214" t="s">
        <v>3708</v>
      </c>
      <c r="H6214" t="s">
        <v>3401</v>
      </c>
      <c r="I6214">
        <v>5102</v>
      </c>
      <c r="J6214" s="3">
        <v>292</v>
      </c>
      <c r="K6214" s="3">
        <v>164.95</v>
      </c>
      <c r="L6214">
        <v>43.51</v>
      </c>
    </row>
    <row r="6215" spans="1:12">
      <c r="A6215" s="1">
        <v>46048</v>
      </c>
      <c r="B6215" t="s">
        <v>5622</v>
      </c>
      <c r="C6215">
        <v>12</v>
      </c>
      <c r="D6215" t="str">
        <f>VLOOKUP(Tabela26[[#This Row],[EMP]],[1]LOJA!$A:$B,2,0)</f>
        <v>SOFNORTE</v>
      </c>
      <c r="E6215">
        <v>60</v>
      </c>
      <c r="F6215" t="s">
        <v>3403</v>
      </c>
      <c r="G6215" t="s">
        <v>3402</v>
      </c>
      <c r="H6215" t="s">
        <v>3401</v>
      </c>
      <c r="I6215">
        <v>5102</v>
      </c>
      <c r="J6215" s="3">
        <v>9.5</v>
      </c>
      <c r="K6215" s="3">
        <v>4.16</v>
      </c>
      <c r="L6215">
        <v>56.21</v>
      </c>
    </row>
    <row r="6216" spans="1:12">
      <c r="A6216" s="1">
        <v>46048</v>
      </c>
      <c r="B6216" t="s">
        <v>5621</v>
      </c>
      <c r="C6216">
        <v>12</v>
      </c>
      <c r="D6216" t="str">
        <f>VLOOKUP(Tabela26[[#This Row],[EMP]],[1]LOJA!$A:$B,2,0)</f>
        <v>SOFNORTE</v>
      </c>
      <c r="E6216">
        <v>60</v>
      </c>
      <c r="F6216" t="s">
        <v>5620</v>
      </c>
      <c r="G6216" t="s">
        <v>5619</v>
      </c>
      <c r="H6216" t="s">
        <v>3401</v>
      </c>
      <c r="I6216">
        <v>5405</v>
      </c>
      <c r="J6216" s="3">
        <v>44</v>
      </c>
      <c r="K6216" s="3">
        <v>21.71</v>
      </c>
      <c r="L6216">
        <v>50.66</v>
      </c>
    </row>
    <row r="6217" spans="1:12">
      <c r="A6217" s="1">
        <v>46048</v>
      </c>
      <c r="B6217" t="s">
        <v>5618</v>
      </c>
      <c r="C6217">
        <v>12</v>
      </c>
      <c r="D6217" t="str">
        <f>VLOOKUP(Tabela26[[#This Row],[EMP]],[1]LOJA!$A:$B,2,0)</f>
        <v>SOFNORTE</v>
      </c>
      <c r="E6217">
        <v>239</v>
      </c>
      <c r="F6217" t="s">
        <v>3403</v>
      </c>
      <c r="G6217" t="s">
        <v>3402</v>
      </c>
      <c r="H6217" t="s">
        <v>3401</v>
      </c>
      <c r="I6217">
        <v>5102</v>
      </c>
      <c r="J6217" s="3">
        <v>5</v>
      </c>
      <c r="K6217" s="3">
        <v>3.28</v>
      </c>
      <c r="L6217">
        <v>34.4</v>
      </c>
    </row>
    <row r="6218" spans="1:12">
      <c r="A6218" s="1">
        <v>46048</v>
      </c>
      <c r="B6218" t="s">
        <v>5617</v>
      </c>
      <c r="C6218">
        <v>12</v>
      </c>
      <c r="D6218" t="str">
        <f>VLOOKUP(Tabela26[[#This Row],[EMP]],[1]LOJA!$A:$B,2,0)</f>
        <v>SOFNORTE</v>
      </c>
      <c r="E6218">
        <v>60</v>
      </c>
      <c r="F6218" t="s">
        <v>3691</v>
      </c>
      <c r="G6218" t="s">
        <v>3690</v>
      </c>
      <c r="H6218" t="s">
        <v>5582</v>
      </c>
      <c r="I6218">
        <v>5102</v>
      </c>
      <c r="J6218" s="3">
        <v>101</v>
      </c>
      <c r="K6218" s="3">
        <v>51.46</v>
      </c>
      <c r="L6218">
        <v>49.05</v>
      </c>
    </row>
    <row r="6219" spans="1:12">
      <c r="A6219" s="1">
        <v>46048</v>
      </c>
      <c r="B6219" t="s">
        <v>5616</v>
      </c>
      <c r="C6219">
        <v>12</v>
      </c>
      <c r="D6219" t="str">
        <f>VLOOKUP(Tabela26[[#This Row],[EMP]],[1]LOJA!$A:$B,2,0)</f>
        <v>SOFNORTE</v>
      </c>
      <c r="E6219">
        <v>60</v>
      </c>
      <c r="F6219" t="s">
        <v>3403</v>
      </c>
      <c r="G6219" t="s">
        <v>3402</v>
      </c>
      <c r="H6219" t="s">
        <v>3401</v>
      </c>
      <c r="I6219">
        <v>5102</v>
      </c>
      <c r="J6219" s="3">
        <v>12</v>
      </c>
      <c r="K6219" s="3">
        <v>5.75</v>
      </c>
      <c r="L6219">
        <v>52.08</v>
      </c>
    </row>
    <row r="6220" spans="1:12">
      <c r="A6220" s="1">
        <v>46048</v>
      </c>
      <c r="B6220" t="s">
        <v>5615</v>
      </c>
      <c r="C6220">
        <v>12</v>
      </c>
      <c r="D6220" t="str">
        <f>VLOOKUP(Tabela26[[#This Row],[EMP]],[1]LOJA!$A:$B,2,0)</f>
        <v>SOFNORTE</v>
      </c>
      <c r="E6220">
        <v>60</v>
      </c>
      <c r="F6220" t="s">
        <v>3403</v>
      </c>
      <c r="G6220" t="s">
        <v>3402</v>
      </c>
      <c r="H6220" t="s">
        <v>3401</v>
      </c>
      <c r="I6220">
        <v>5102</v>
      </c>
      <c r="J6220" s="3">
        <v>65</v>
      </c>
      <c r="K6220" s="3">
        <v>37.64</v>
      </c>
      <c r="L6220">
        <v>42.09</v>
      </c>
    </row>
    <row r="6221" spans="1:12">
      <c r="A6221" s="1">
        <v>46048</v>
      </c>
      <c r="B6221" t="s">
        <v>5614</v>
      </c>
      <c r="C6221">
        <v>12</v>
      </c>
      <c r="D6221" t="str">
        <f>VLOOKUP(Tabela26[[#This Row],[EMP]],[1]LOJA!$A:$B,2,0)</f>
        <v>SOFNORTE</v>
      </c>
      <c r="E6221">
        <v>239</v>
      </c>
      <c r="F6221" t="s">
        <v>3691</v>
      </c>
      <c r="G6221" t="s">
        <v>3690</v>
      </c>
      <c r="H6221" t="s">
        <v>5582</v>
      </c>
      <c r="I6221">
        <v>5102</v>
      </c>
      <c r="J6221" s="3">
        <v>97.13</v>
      </c>
      <c r="K6221" s="3">
        <v>47.89</v>
      </c>
      <c r="L6221">
        <v>50.69</v>
      </c>
    </row>
    <row r="6222" spans="1:12">
      <c r="A6222" s="1">
        <v>46048</v>
      </c>
      <c r="B6222" t="s">
        <v>5613</v>
      </c>
      <c r="C6222">
        <v>12</v>
      </c>
      <c r="D6222" t="str">
        <f>VLOOKUP(Tabela26[[#This Row],[EMP]],[1]LOJA!$A:$B,2,0)</f>
        <v>SOFNORTE</v>
      </c>
      <c r="E6222">
        <v>239</v>
      </c>
      <c r="F6222" t="s">
        <v>3715</v>
      </c>
      <c r="G6222" t="s">
        <v>3714</v>
      </c>
      <c r="H6222" t="s">
        <v>3401</v>
      </c>
      <c r="I6222">
        <v>5405</v>
      </c>
      <c r="J6222" s="3">
        <v>65</v>
      </c>
      <c r="K6222" s="3">
        <v>31.61</v>
      </c>
      <c r="L6222">
        <v>51.37</v>
      </c>
    </row>
    <row r="6223" spans="1:12">
      <c r="A6223" s="1">
        <v>46048</v>
      </c>
      <c r="B6223" t="s">
        <v>5612</v>
      </c>
      <c r="C6223">
        <v>12</v>
      </c>
      <c r="D6223" t="str">
        <f>VLOOKUP(Tabela26[[#This Row],[EMP]],[1]LOJA!$A:$B,2,0)</f>
        <v>SOFNORTE</v>
      </c>
      <c r="E6223">
        <v>239</v>
      </c>
      <c r="F6223" t="s">
        <v>4446</v>
      </c>
      <c r="G6223" t="s">
        <v>4445</v>
      </c>
      <c r="H6223" t="s">
        <v>3401</v>
      </c>
      <c r="I6223">
        <v>5102</v>
      </c>
      <c r="J6223" s="3">
        <v>22</v>
      </c>
      <c r="K6223" s="3">
        <v>11.24</v>
      </c>
      <c r="L6223">
        <v>48.91</v>
      </c>
    </row>
    <row r="6224" spans="1:12">
      <c r="A6224" s="1">
        <v>46048</v>
      </c>
      <c r="B6224" t="s">
        <v>5611</v>
      </c>
      <c r="C6224">
        <v>12</v>
      </c>
      <c r="D6224" t="str">
        <f>VLOOKUP(Tabela26[[#This Row],[EMP]],[1]LOJA!$A:$B,2,0)</f>
        <v>SOFNORTE</v>
      </c>
      <c r="E6224">
        <v>239</v>
      </c>
      <c r="F6224" t="s">
        <v>3691</v>
      </c>
      <c r="G6224" t="s">
        <v>3690</v>
      </c>
      <c r="H6224" t="s">
        <v>5582</v>
      </c>
      <c r="I6224">
        <v>5102</v>
      </c>
      <c r="J6224" s="3">
        <v>42.01</v>
      </c>
      <c r="K6224" s="3">
        <v>23.21</v>
      </c>
      <c r="L6224">
        <v>44.75</v>
      </c>
    </row>
    <row r="6225" spans="1:12">
      <c r="A6225" s="1">
        <v>46048</v>
      </c>
      <c r="B6225" t="s">
        <v>5610</v>
      </c>
      <c r="C6225">
        <v>14</v>
      </c>
      <c r="D6225" t="str">
        <f>VLOOKUP(Tabela26[[#This Row],[EMP]],[1]LOJA!$A:$B,2,0)</f>
        <v>S IA</v>
      </c>
      <c r="E6225">
        <v>54</v>
      </c>
      <c r="F6225" t="s">
        <v>3478</v>
      </c>
      <c r="G6225" t="s">
        <v>3477</v>
      </c>
      <c r="H6225" t="s">
        <v>3408</v>
      </c>
      <c r="I6225">
        <v>5405</v>
      </c>
      <c r="J6225" s="3">
        <v>226.5</v>
      </c>
      <c r="K6225" s="3">
        <v>111.8</v>
      </c>
      <c r="L6225">
        <v>50.64</v>
      </c>
    </row>
    <row r="6226" spans="1:12">
      <c r="A6226" s="1">
        <v>46048</v>
      </c>
      <c r="B6226" t="s">
        <v>5609</v>
      </c>
      <c r="C6226">
        <v>14</v>
      </c>
      <c r="D6226" t="str">
        <f>VLOOKUP(Tabela26[[#This Row],[EMP]],[1]LOJA!$A:$B,2,0)</f>
        <v>S IA</v>
      </c>
      <c r="E6226">
        <v>212</v>
      </c>
      <c r="F6226" t="s">
        <v>5608</v>
      </c>
      <c r="G6226" t="s">
        <v>5607</v>
      </c>
      <c r="H6226" t="s">
        <v>3401</v>
      </c>
      <c r="I6226">
        <v>5405</v>
      </c>
      <c r="J6226" s="3">
        <v>250</v>
      </c>
      <c r="K6226" s="3">
        <v>136.68</v>
      </c>
      <c r="L6226">
        <v>45.33</v>
      </c>
    </row>
    <row r="6227" spans="1:12">
      <c r="A6227" s="1">
        <v>46048</v>
      </c>
      <c r="B6227" t="s">
        <v>5606</v>
      </c>
      <c r="C6227">
        <v>14</v>
      </c>
      <c r="D6227" t="str">
        <f>VLOOKUP(Tabela26[[#This Row],[EMP]],[1]LOJA!$A:$B,2,0)</f>
        <v>S IA</v>
      </c>
      <c r="E6227">
        <v>212</v>
      </c>
      <c r="F6227" t="s">
        <v>3403</v>
      </c>
      <c r="G6227" t="s">
        <v>3402</v>
      </c>
      <c r="H6227" t="s">
        <v>3401</v>
      </c>
      <c r="I6227">
        <v>5102</v>
      </c>
      <c r="J6227" s="3">
        <v>233</v>
      </c>
      <c r="K6227" s="3">
        <v>117.5</v>
      </c>
      <c r="L6227">
        <v>49.57</v>
      </c>
    </row>
    <row r="6228" spans="1:12">
      <c r="A6228" s="1">
        <v>46048</v>
      </c>
      <c r="B6228" t="s">
        <v>5605</v>
      </c>
      <c r="C6228">
        <v>14</v>
      </c>
      <c r="D6228" t="str">
        <f>VLOOKUP(Tabela26[[#This Row],[EMP]],[1]LOJA!$A:$B,2,0)</f>
        <v>S IA</v>
      </c>
      <c r="E6228">
        <v>212</v>
      </c>
      <c r="F6228" t="s">
        <v>3403</v>
      </c>
      <c r="G6228" t="s">
        <v>3402</v>
      </c>
      <c r="H6228" t="s">
        <v>3401</v>
      </c>
      <c r="I6228">
        <v>5102</v>
      </c>
      <c r="J6228" s="3">
        <v>54</v>
      </c>
      <c r="K6228" s="3">
        <v>27.6</v>
      </c>
      <c r="L6228">
        <v>48.89</v>
      </c>
    </row>
    <row r="6229" spans="1:12">
      <c r="A6229" s="1">
        <v>46048</v>
      </c>
      <c r="B6229" t="s">
        <v>5604</v>
      </c>
      <c r="C6229">
        <v>14</v>
      </c>
      <c r="D6229" t="str">
        <f>VLOOKUP(Tabela26[[#This Row],[EMP]],[1]LOJA!$A:$B,2,0)</f>
        <v>S IA</v>
      </c>
      <c r="E6229">
        <v>212</v>
      </c>
      <c r="F6229" t="s">
        <v>5603</v>
      </c>
      <c r="G6229" t="s">
        <v>3402</v>
      </c>
      <c r="H6229" t="s">
        <v>3408</v>
      </c>
      <c r="I6229">
        <v>5405</v>
      </c>
      <c r="J6229" s="3">
        <v>124</v>
      </c>
      <c r="K6229" s="3">
        <v>60.19</v>
      </c>
      <c r="L6229">
        <v>51.46</v>
      </c>
    </row>
    <row r="6230" spans="1:12">
      <c r="A6230" s="1">
        <v>46048</v>
      </c>
      <c r="B6230" t="s">
        <v>5602</v>
      </c>
      <c r="C6230">
        <v>14</v>
      </c>
      <c r="D6230" t="str">
        <f>VLOOKUP(Tabela26[[#This Row],[EMP]],[1]LOJA!$A:$B,2,0)</f>
        <v>S IA</v>
      </c>
      <c r="E6230">
        <v>54</v>
      </c>
      <c r="F6230" t="s">
        <v>5601</v>
      </c>
      <c r="G6230" t="s">
        <v>3402</v>
      </c>
      <c r="H6230" t="s">
        <v>3401</v>
      </c>
      <c r="I6230">
        <v>5405</v>
      </c>
      <c r="J6230" s="3">
        <v>51.39</v>
      </c>
      <c r="K6230" s="3">
        <v>23.36</v>
      </c>
      <c r="L6230">
        <v>54.54</v>
      </c>
    </row>
    <row r="6231" spans="1:12">
      <c r="A6231" s="1">
        <v>46048</v>
      </c>
      <c r="B6231" t="s">
        <v>5600</v>
      </c>
      <c r="C6231">
        <v>14</v>
      </c>
      <c r="D6231" t="str">
        <f>VLOOKUP(Tabela26[[#This Row],[EMP]],[1]LOJA!$A:$B,2,0)</f>
        <v>S IA</v>
      </c>
      <c r="E6231">
        <v>54</v>
      </c>
      <c r="F6231" t="s">
        <v>5599</v>
      </c>
      <c r="G6231" t="s">
        <v>5598</v>
      </c>
      <c r="H6231" t="s">
        <v>3408</v>
      </c>
      <c r="I6231">
        <v>5102</v>
      </c>
      <c r="J6231" s="3">
        <v>165</v>
      </c>
      <c r="K6231" s="3">
        <v>106.5</v>
      </c>
      <c r="L6231">
        <v>35.450000000000003</v>
      </c>
    </row>
    <row r="6232" spans="1:12">
      <c r="A6232" s="1">
        <v>46048</v>
      </c>
      <c r="B6232" t="s">
        <v>5597</v>
      </c>
      <c r="C6232">
        <v>14</v>
      </c>
      <c r="D6232" t="str">
        <f>VLOOKUP(Tabela26[[#This Row],[EMP]],[1]LOJA!$A:$B,2,0)</f>
        <v>S IA</v>
      </c>
      <c r="E6232">
        <v>54</v>
      </c>
      <c r="F6232" t="s">
        <v>3769</v>
      </c>
      <c r="G6232" t="s">
        <v>3768</v>
      </c>
      <c r="H6232" t="s">
        <v>3401</v>
      </c>
      <c r="I6232">
        <v>5405</v>
      </c>
      <c r="J6232" s="3">
        <v>239</v>
      </c>
      <c r="K6232" s="3">
        <v>127.44</v>
      </c>
      <c r="L6232">
        <v>46.68</v>
      </c>
    </row>
    <row r="6233" spans="1:12">
      <c r="A6233" s="1">
        <v>46048</v>
      </c>
      <c r="B6233" t="s">
        <v>5596</v>
      </c>
      <c r="C6233">
        <v>14</v>
      </c>
      <c r="D6233" t="str">
        <f>VLOOKUP(Tabela26[[#This Row],[EMP]],[1]LOJA!$A:$B,2,0)</f>
        <v>S IA</v>
      </c>
      <c r="E6233">
        <v>212</v>
      </c>
      <c r="F6233" t="s">
        <v>5105</v>
      </c>
      <c r="G6233" t="s">
        <v>5104</v>
      </c>
      <c r="H6233" t="s">
        <v>3401</v>
      </c>
      <c r="I6233">
        <v>5405</v>
      </c>
      <c r="J6233" s="3">
        <v>140</v>
      </c>
      <c r="K6233" s="3">
        <v>75.67</v>
      </c>
      <c r="L6233">
        <v>45.95</v>
      </c>
    </row>
    <row r="6234" spans="1:12">
      <c r="A6234" s="1">
        <v>46048</v>
      </c>
      <c r="B6234" t="s">
        <v>5595</v>
      </c>
      <c r="C6234">
        <v>14</v>
      </c>
      <c r="D6234" t="str">
        <f>VLOOKUP(Tabela26[[#This Row],[EMP]],[1]LOJA!$A:$B,2,0)</f>
        <v>S IA</v>
      </c>
      <c r="E6234">
        <v>212</v>
      </c>
      <c r="F6234" t="s">
        <v>3403</v>
      </c>
      <c r="G6234" t="s">
        <v>5594</v>
      </c>
      <c r="H6234" t="s">
        <v>3401</v>
      </c>
      <c r="I6234">
        <v>5405</v>
      </c>
      <c r="J6234" s="3">
        <v>120</v>
      </c>
      <c r="K6234" s="3">
        <v>56.28</v>
      </c>
      <c r="L6234">
        <v>53.1</v>
      </c>
    </row>
    <row r="6235" spans="1:12">
      <c r="A6235" s="1">
        <v>46048</v>
      </c>
      <c r="B6235" t="s">
        <v>5593</v>
      </c>
      <c r="C6235">
        <v>14</v>
      </c>
      <c r="D6235" t="str">
        <f>VLOOKUP(Tabela26[[#This Row],[EMP]],[1]LOJA!$A:$B,2,0)</f>
        <v>S IA</v>
      </c>
      <c r="E6235">
        <v>212</v>
      </c>
      <c r="F6235" t="s">
        <v>5592</v>
      </c>
      <c r="G6235" t="s">
        <v>5591</v>
      </c>
      <c r="H6235" t="s">
        <v>3408</v>
      </c>
      <c r="I6235">
        <v>5405</v>
      </c>
      <c r="J6235" s="3">
        <v>58</v>
      </c>
      <c r="K6235" s="3">
        <v>30.26</v>
      </c>
      <c r="L6235">
        <v>47.83</v>
      </c>
    </row>
    <row r="6236" spans="1:12">
      <c r="A6236" s="1">
        <v>46048</v>
      </c>
      <c r="B6236" t="s">
        <v>5590</v>
      </c>
      <c r="C6236">
        <v>14</v>
      </c>
      <c r="D6236" t="str">
        <f>VLOOKUP(Tabela26[[#This Row],[EMP]],[1]LOJA!$A:$B,2,0)</f>
        <v>S IA</v>
      </c>
      <c r="E6236">
        <v>212</v>
      </c>
      <c r="F6236" t="s">
        <v>5589</v>
      </c>
      <c r="G6236" t="s">
        <v>3402</v>
      </c>
      <c r="H6236" t="s">
        <v>3408</v>
      </c>
      <c r="I6236">
        <v>5405</v>
      </c>
      <c r="J6236" s="3">
        <v>40</v>
      </c>
      <c r="K6236" s="3">
        <v>20.45</v>
      </c>
      <c r="L6236">
        <v>48.88</v>
      </c>
    </row>
    <row r="6237" spans="1:12">
      <c r="A6237" s="1">
        <v>46048</v>
      </c>
      <c r="B6237" t="s">
        <v>5588</v>
      </c>
      <c r="C6237">
        <v>4</v>
      </c>
      <c r="D6237" t="str">
        <f>VLOOKUP(Tabela26[[#This Row],[EMP]],[1]LOJA!$A:$B,2,0)</f>
        <v>ADE</v>
      </c>
      <c r="E6237">
        <v>132</v>
      </c>
      <c r="F6237" t="s">
        <v>3677</v>
      </c>
      <c r="G6237" t="s">
        <v>3676</v>
      </c>
      <c r="H6237" t="s">
        <v>3430</v>
      </c>
      <c r="I6237">
        <v>5405</v>
      </c>
      <c r="J6237" s="3">
        <v>185.7</v>
      </c>
      <c r="K6237" s="3">
        <v>98.61</v>
      </c>
      <c r="L6237">
        <v>46.9</v>
      </c>
    </row>
    <row r="6238" spans="1:12">
      <c r="A6238" s="1">
        <v>46048</v>
      </c>
      <c r="B6238" t="s">
        <v>5587</v>
      </c>
      <c r="C6238">
        <v>4</v>
      </c>
      <c r="D6238" t="str">
        <f>VLOOKUP(Tabela26[[#This Row],[EMP]],[1]LOJA!$A:$B,2,0)</f>
        <v>ADE</v>
      </c>
      <c r="E6238">
        <v>132</v>
      </c>
      <c r="F6238" t="s">
        <v>5027</v>
      </c>
      <c r="G6238" t="s">
        <v>5026</v>
      </c>
      <c r="H6238" t="s">
        <v>3430</v>
      </c>
      <c r="I6238">
        <v>5405</v>
      </c>
      <c r="J6238" s="3">
        <v>169.69</v>
      </c>
      <c r="K6238" s="3">
        <v>83.24</v>
      </c>
      <c r="L6238">
        <v>50.95</v>
      </c>
    </row>
    <row r="6239" spans="1:12">
      <c r="A6239" s="1">
        <v>46048</v>
      </c>
      <c r="B6239" t="s">
        <v>5586</v>
      </c>
      <c r="C6239">
        <v>4</v>
      </c>
      <c r="D6239" t="str">
        <f>VLOOKUP(Tabela26[[#This Row],[EMP]],[1]LOJA!$A:$B,2,0)</f>
        <v>ADE</v>
      </c>
      <c r="E6239">
        <v>132</v>
      </c>
      <c r="F6239" t="s">
        <v>3677</v>
      </c>
      <c r="G6239" t="s">
        <v>3676</v>
      </c>
      <c r="H6239" t="s">
        <v>4249</v>
      </c>
      <c r="I6239">
        <v>5405</v>
      </c>
      <c r="J6239" s="3">
        <v>923.9</v>
      </c>
      <c r="K6239" s="3">
        <v>431.68</v>
      </c>
      <c r="L6239">
        <v>53.28</v>
      </c>
    </row>
    <row r="6240" spans="1:12">
      <c r="A6240" s="1">
        <v>46048</v>
      </c>
      <c r="B6240" t="s">
        <v>5585</v>
      </c>
      <c r="C6240">
        <v>4</v>
      </c>
      <c r="D6240" t="str">
        <f>VLOOKUP(Tabela26[[#This Row],[EMP]],[1]LOJA!$A:$B,2,0)</f>
        <v>ADE</v>
      </c>
      <c r="E6240">
        <v>132</v>
      </c>
      <c r="F6240" t="s">
        <v>3670</v>
      </c>
      <c r="G6240" t="s">
        <v>3669</v>
      </c>
      <c r="H6240" t="s">
        <v>3430</v>
      </c>
      <c r="I6240">
        <v>5102</v>
      </c>
      <c r="J6240" s="3">
        <v>70.22</v>
      </c>
      <c r="K6240" s="3">
        <v>26.06</v>
      </c>
      <c r="L6240">
        <v>62.89</v>
      </c>
    </row>
    <row r="6241" spans="1:12">
      <c r="A6241" s="1">
        <v>46048</v>
      </c>
      <c r="B6241" t="s">
        <v>5584</v>
      </c>
      <c r="C6241">
        <v>4</v>
      </c>
      <c r="D6241" t="str">
        <f>VLOOKUP(Tabela26[[#This Row],[EMP]],[1]LOJA!$A:$B,2,0)</f>
        <v>ADE</v>
      </c>
      <c r="E6241">
        <v>191</v>
      </c>
      <c r="F6241" t="s">
        <v>3664</v>
      </c>
      <c r="G6241" t="s">
        <v>3663</v>
      </c>
      <c r="H6241" t="s">
        <v>3430</v>
      </c>
      <c r="I6241">
        <v>5405</v>
      </c>
      <c r="J6241" s="3">
        <v>317.61</v>
      </c>
      <c r="K6241" s="3">
        <v>136.86000000000001</v>
      </c>
      <c r="L6241">
        <v>56.91</v>
      </c>
    </row>
    <row r="6242" spans="1:12">
      <c r="A6242" s="1">
        <v>46048</v>
      </c>
      <c r="B6242" t="s">
        <v>5583</v>
      </c>
      <c r="C6242">
        <v>4</v>
      </c>
      <c r="D6242" t="str">
        <f>VLOOKUP(Tabela26[[#This Row],[EMP]],[1]LOJA!$A:$B,2,0)</f>
        <v>ADE</v>
      </c>
      <c r="E6242">
        <v>132</v>
      </c>
      <c r="F6242" t="s">
        <v>4299</v>
      </c>
      <c r="G6242" t="s">
        <v>4298</v>
      </c>
      <c r="H6242" t="s">
        <v>5582</v>
      </c>
      <c r="I6242">
        <v>5102</v>
      </c>
      <c r="J6242" s="3">
        <v>389.9</v>
      </c>
      <c r="K6242" s="3">
        <v>272.25</v>
      </c>
      <c r="L6242">
        <v>30.17</v>
      </c>
    </row>
    <row r="6243" spans="1:12">
      <c r="A6243" s="1">
        <v>46048</v>
      </c>
      <c r="B6243" t="s">
        <v>5581</v>
      </c>
      <c r="C6243">
        <v>4</v>
      </c>
      <c r="D6243" t="str">
        <f>VLOOKUP(Tabela26[[#This Row],[EMP]],[1]LOJA!$A:$B,2,0)</f>
        <v>ADE</v>
      </c>
      <c r="E6243">
        <v>132</v>
      </c>
      <c r="F6243" t="s">
        <v>5580</v>
      </c>
      <c r="G6243" t="s">
        <v>5579</v>
      </c>
      <c r="H6243" t="s">
        <v>3408</v>
      </c>
      <c r="I6243">
        <v>5405</v>
      </c>
      <c r="J6243" s="3">
        <v>537</v>
      </c>
      <c r="K6243" s="3">
        <v>235.04</v>
      </c>
      <c r="L6243">
        <v>56.23</v>
      </c>
    </row>
    <row r="6244" spans="1:12">
      <c r="A6244" s="1">
        <v>46048</v>
      </c>
      <c r="B6244" t="s">
        <v>5578</v>
      </c>
      <c r="C6244">
        <v>4</v>
      </c>
      <c r="D6244" t="str">
        <f>VLOOKUP(Tabela26[[#This Row],[EMP]],[1]LOJA!$A:$B,2,0)</f>
        <v>ADE</v>
      </c>
      <c r="E6244">
        <v>132</v>
      </c>
      <c r="F6244" t="s">
        <v>3670</v>
      </c>
      <c r="G6244" t="s">
        <v>3669</v>
      </c>
      <c r="H6244" t="s">
        <v>3430</v>
      </c>
      <c r="I6244">
        <v>5102</v>
      </c>
      <c r="J6244" s="3">
        <v>198</v>
      </c>
      <c r="K6244" s="3">
        <v>122.35</v>
      </c>
      <c r="L6244">
        <v>38.21</v>
      </c>
    </row>
    <row r="6245" spans="1:12">
      <c r="A6245" s="1">
        <v>46048</v>
      </c>
      <c r="B6245" t="s">
        <v>5577</v>
      </c>
      <c r="C6245">
        <v>4</v>
      </c>
      <c r="D6245" t="str">
        <f>VLOOKUP(Tabela26[[#This Row],[EMP]],[1]LOJA!$A:$B,2,0)</f>
        <v>ADE</v>
      </c>
      <c r="E6245">
        <v>132</v>
      </c>
      <c r="F6245" t="s">
        <v>3677</v>
      </c>
      <c r="G6245" t="s">
        <v>3676</v>
      </c>
      <c r="H6245" t="s">
        <v>3401</v>
      </c>
      <c r="I6245">
        <v>1411</v>
      </c>
      <c r="J6245" s="3">
        <v>-7570.11</v>
      </c>
      <c r="K6245" s="3">
        <v>-1983.01</v>
      </c>
      <c r="L6245">
        <v>73.8</v>
      </c>
    </row>
    <row r="6246" spans="1:12">
      <c r="A6246" s="1">
        <v>46048</v>
      </c>
      <c r="B6246" t="s">
        <v>5576</v>
      </c>
      <c r="C6246">
        <v>4</v>
      </c>
      <c r="D6246" t="str">
        <f>VLOOKUP(Tabela26[[#This Row],[EMP]],[1]LOJA!$A:$B,2,0)</f>
        <v>ADE</v>
      </c>
      <c r="E6246">
        <v>132</v>
      </c>
      <c r="F6246" t="s">
        <v>3677</v>
      </c>
      <c r="G6246" t="s">
        <v>3676</v>
      </c>
      <c r="H6246" t="s">
        <v>3679</v>
      </c>
      <c r="I6246">
        <v>5405</v>
      </c>
      <c r="J6246" s="3">
        <v>4570.1099999999997</v>
      </c>
      <c r="K6246" s="3">
        <v>1983.01</v>
      </c>
      <c r="L6246">
        <v>56.61</v>
      </c>
    </row>
    <row r="6247" spans="1:12">
      <c r="A6247" s="1">
        <v>46048</v>
      </c>
      <c r="B6247" t="s">
        <v>5575</v>
      </c>
      <c r="C6247">
        <v>4</v>
      </c>
      <c r="D6247" t="str">
        <f>VLOOKUP(Tabela26[[#This Row],[EMP]],[1]LOJA!$A:$B,2,0)</f>
        <v>ADE</v>
      </c>
      <c r="E6247">
        <v>132</v>
      </c>
      <c r="F6247" t="s">
        <v>3670</v>
      </c>
      <c r="G6247" t="s">
        <v>3669</v>
      </c>
      <c r="H6247" t="s">
        <v>3401</v>
      </c>
      <c r="I6247">
        <v>1202</v>
      </c>
      <c r="J6247" s="3">
        <v>-70.22</v>
      </c>
      <c r="K6247" s="3">
        <v>-26.06</v>
      </c>
      <c r="L6247">
        <v>62.89</v>
      </c>
    </row>
    <row r="6248" spans="1:12">
      <c r="A6248" s="1">
        <v>46048</v>
      </c>
      <c r="B6248" t="s">
        <v>5574</v>
      </c>
      <c r="C6248">
        <v>4</v>
      </c>
      <c r="D6248" t="str">
        <f>VLOOKUP(Tabela26[[#This Row],[EMP]],[1]LOJA!$A:$B,2,0)</f>
        <v>ADE</v>
      </c>
      <c r="E6248">
        <v>191</v>
      </c>
      <c r="F6248" t="s">
        <v>5159</v>
      </c>
      <c r="G6248" t="s">
        <v>5158</v>
      </c>
      <c r="H6248" t="s">
        <v>3401</v>
      </c>
      <c r="I6248">
        <v>1202</v>
      </c>
      <c r="J6248" s="3">
        <v>-41.25</v>
      </c>
      <c r="K6248" s="3">
        <v>-27.75</v>
      </c>
      <c r="L6248">
        <v>32.729999999999997</v>
      </c>
    </row>
    <row r="6249" spans="1:12">
      <c r="A6249" s="1">
        <v>46048</v>
      </c>
      <c r="B6249" t="s">
        <v>5573</v>
      </c>
      <c r="C6249">
        <v>13</v>
      </c>
      <c r="D6249" t="str">
        <f>VLOOKUP(Tabela26[[#This Row],[EMP]],[1]LOJA!$A:$B,2,0)</f>
        <v>CEILÂNDIA</v>
      </c>
      <c r="E6249">
        <v>33</v>
      </c>
      <c r="F6249" t="s">
        <v>3403</v>
      </c>
      <c r="G6249" t="s">
        <v>3402</v>
      </c>
      <c r="H6249" t="s">
        <v>3401</v>
      </c>
      <c r="I6249">
        <v>5405</v>
      </c>
      <c r="J6249" s="3">
        <v>36</v>
      </c>
      <c r="K6249" s="3">
        <v>12.36</v>
      </c>
      <c r="L6249">
        <v>65.67</v>
      </c>
    </row>
    <row r="6250" spans="1:12">
      <c r="A6250" s="1">
        <v>46048</v>
      </c>
      <c r="B6250" t="s">
        <v>5572</v>
      </c>
      <c r="C6250">
        <v>13</v>
      </c>
      <c r="D6250" t="str">
        <f>VLOOKUP(Tabela26[[#This Row],[EMP]],[1]LOJA!$A:$B,2,0)</f>
        <v>CEILÂNDIA</v>
      </c>
      <c r="E6250">
        <v>33</v>
      </c>
      <c r="F6250" t="s">
        <v>3403</v>
      </c>
      <c r="G6250" t="s">
        <v>3402</v>
      </c>
      <c r="H6250" t="s">
        <v>3401</v>
      </c>
      <c r="I6250">
        <v>5102</v>
      </c>
      <c r="J6250" s="3">
        <v>58</v>
      </c>
      <c r="K6250" s="3">
        <v>32</v>
      </c>
      <c r="L6250">
        <v>44.83</v>
      </c>
    </row>
    <row r="6251" spans="1:12">
      <c r="A6251" s="1">
        <v>46048</v>
      </c>
      <c r="B6251" t="s">
        <v>5571</v>
      </c>
      <c r="C6251">
        <v>13</v>
      </c>
      <c r="D6251" t="str">
        <f>VLOOKUP(Tabela26[[#This Row],[EMP]],[1]LOJA!$A:$B,2,0)</f>
        <v>CEILÂNDIA</v>
      </c>
      <c r="E6251">
        <v>86</v>
      </c>
      <c r="F6251" t="s">
        <v>4346</v>
      </c>
      <c r="G6251" t="s">
        <v>4345</v>
      </c>
      <c r="H6251" t="s">
        <v>3408</v>
      </c>
      <c r="I6251">
        <v>5102</v>
      </c>
      <c r="J6251" s="3">
        <v>96</v>
      </c>
      <c r="K6251" s="3">
        <v>54.06</v>
      </c>
      <c r="L6251">
        <v>43.69</v>
      </c>
    </row>
    <row r="6252" spans="1:12">
      <c r="A6252" s="1">
        <v>46048</v>
      </c>
      <c r="B6252" t="s">
        <v>5570</v>
      </c>
      <c r="C6252">
        <v>13</v>
      </c>
      <c r="D6252" t="str">
        <f>VLOOKUP(Tabela26[[#This Row],[EMP]],[1]LOJA!$A:$B,2,0)</f>
        <v>CEILÂNDIA</v>
      </c>
      <c r="E6252">
        <v>86</v>
      </c>
      <c r="F6252" t="s">
        <v>5565</v>
      </c>
      <c r="G6252" t="s">
        <v>5564</v>
      </c>
      <c r="H6252" t="s">
        <v>4243</v>
      </c>
      <c r="I6252">
        <v>5102</v>
      </c>
      <c r="J6252" s="3">
        <v>34</v>
      </c>
      <c r="K6252" s="3">
        <v>16.64</v>
      </c>
      <c r="L6252">
        <v>51.06</v>
      </c>
    </row>
    <row r="6253" spans="1:12">
      <c r="A6253" s="1">
        <v>46048</v>
      </c>
      <c r="B6253" t="s">
        <v>5569</v>
      </c>
      <c r="C6253">
        <v>13</v>
      </c>
      <c r="D6253" t="str">
        <f>VLOOKUP(Tabela26[[#This Row],[EMP]],[1]LOJA!$A:$B,2,0)</f>
        <v>CEILÂNDIA</v>
      </c>
      <c r="E6253">
        <v>86</v>
      </c>
      <c r="F6253" t="s">
        <v>5568</v>
      </c>
      <c r="G6253" t="s">
        <v>5567</v>
      </c>
      <c r="H6253" t="s">
        <v>3408</v>
      </c>
      <c r="I6253">
        <v>5102</v>
      </c>
      <c r="J6253" s="3">
        <v>34</v>
      </c>
      <c r="K6253" s="3">
        <v>16.64</v>
      </c>
      <c r="L6253">
        <v>51.06</v>
      </c>
    </row>
    <row r="6254" spans="1:12">
      <c r="A6254" s="1">
        <v>46048</v>
      </c>
      <c r="B6254" t="s">
        <v>5566</v>
      </c>
      <c r="C6254">
        <v>13</v>
      </c>
      <c r="D6254" t="str">
        <f>VLOOKUP(Tabela26[[#This Row],[EMP]],[1]LOJA!$A:$B,2,0)</f>
        <v>CEILÂNDIA</v>
      </c>
      <c r="E6254">
        <v>86</v>
      </c>
      <c r="F6254" t="s">
        <v>5565</v>
      </c>
      <c r="G6254" t="s">
        <v>5564</v>
      </c>
      <c r="H6254" t="s">
        <v>4243</v>
      </c>
      <c r="I6254">
        <v>5102</v>
      </c>
      <c r="J6254" s="3">
        <v>17</v>
      </c>
      <c r="K6254" s="3">
        <v>8.32</v>
      </c>
      <c r="L6254">
        <v>51.06</v>
      </c>
    </row>
    <row r="6255" spans="1:12">
      <c r="A6255" s="1">
        <v>46048</v>
      </c>
      <c r="B6255" t="s">
        <v>5563</v>
      </c>
      <c r="C6255">
        <v>13</v>
      </c>
      <c r="D6255" t="str">
        <f>VLOOKUP(Tabela26[[#This Row],[EMP]],[1]LOJA!$A:$B,2,0)</f>
        <v>CEILÂNDIA</v>
      </c>
      <c r="E6255">
        <v>86</v>
      </c>
      <c r="F6255" t="s">
        <v>3403</v>
      </c>
      <c r="G6255" t="s">
        <v>3402</v>
      </c>
      <c r="H6255" t="s">
        <v>3401</v>
      </c>
      <c r="I6255">
        <v>5405</v>
      </c>
      <c r="J6255" s="3">
        <v>120</v>
      </c>
      <c r="K6255" s="3">
        <v>65.45</v>
      </c>
      <c r="L6255">
        <v>45.46</v>
      </c>
    </row>
    <row r="6256" spans="1:12">
      <c r="A6256" s="1">
        <v>46048</v>
      </c>
      <c r="B6256" t="s">
        <v>5562</v>
      </c>
      <c r="C6256">
        <v>13</v>
      </c>
      <c r="D6256" t="str">
        <f>VLOOKUP(Tabela26[[#This Row],[EMP]],[1]LOJA!$A:$B,2,0)</f>
        <v>CEILÂNDIA</v>
      </c>
      <c r="E6256">
        <v>86</v>
      </c>
      <c r="F6256" t="s">
        <v>3403</v>
      </c>
      <c r="G6256" t="s">
        <v>3402</v>
      </c>
      <c r="H6256" t="s">
        <v>3401</v>
      </c>
      <c r="I6256">
        <v>5102</v>
      </c>
      <c r="J6256" s="3">
        <v>20</v>
      </c>
      <c r="K6256" s="3">
        <v>12.49</v>
      </c>
      <c r="L6256">
        <v>37.549999999999997</v>
      </c>
    </row>
    <row r="6257" spans="1:12">
      <c r="A6257" s="1">
        <v>46048</v>
      </c>
      <c r="B6257" t="s">
        <v>5561</v>
      </c>
      <c r="C6257">
        <v>13</v>
      </c>
      <c r="D6257" t="str">
        <f>VLOOKUP(Tabela26[[#This Row],[EMP]],[1]LOJA!$A:$B,2,0)</f>
        <v>CEILÂNDIA</v>
      </c>
      <c r="E6257">
        <v>86</v>
      </c>
      <c r="F6257" t="s">
        <v>3615</v>
      </c>
      <c r="G6257" t="s">
        <v>3614</v>
      </c>
      <c r="H6257" t="s">
        <v>4243</v>
      </c>
      <c r="I6257">
        <v>5102</v>
      </c>
      <c r="J6257" s="3">
        <v>240.4</v>
      </c>
      <c r="K6257" s="3">
        <v>141.94</v>
      </c>
      <c r="L6257">
        <v>40.96</v>
      </c>
    </row>
    <row r="6258" spans="1:12">
      <c r="A6258" s="1">
        <v>46048</v>
      </c>
      <c r="B6258" t="s">
        <v>5560</v>
      </c>
      <c r="C6258">
        <v>13</v>
      </c>
      <c r="D6258" t="str">
        <f>VLOOKUP(Tabela26[[#This Row],[EMP]],[1]LOJA!$A:$B,2,0)</f>
        <v>CEILÂNDIA</v>
      </c>
      <c r="E6258">
        <v>86</v>
      </c>
      <c r="F6258" t="s">
        <v>3591</v>
      </c>
      <c r="G6258" t="s">
        <v>3590</v>
      </c>
      <c r="H6258" t="s">
        <v>3520</v>
      </c>
      <c r="I6258">
        <v>5405</v>
      </c>
      <c r="J6258" s="3">
        <v>759.38</v>
      </c>
      <c r="K6258" s="3">
        <v>412.88</v>
      </c>
      <c r="L6258">
        <v>45.63</v>
      </c>
    </row>
    <row r="6259" spans="1:12">
      <c r="A6259" s="1">
        <v>46048</v>
      </c>
      <c r="B6259" t="s">
        <v>5559</v>
      </c>
      <c r="C6259">
        <v>13</v>
      </c>
      <c r="D6259" t="str">
        <f>VLOOKUP(Tabela26[[#This Row],[EMP]],[1]LOJA!$A:$B,2,0)</f>
        <v>CEILÂNDIA</v>
      </c>
      <c r="E6259">
        <v>86</v>
      </c>
      <c r="F6259" t="s">
        <v>5558</v>
      </c>
      <c r="G6259" t="s">
        <v>3402</v>
      </c>
      <c r="H6259" t="s">
        <v>3408</v>
      </c>
      <c r="I6259">
        <v>5102</v>
      </c>
      <c r="J6259" s="3">
        <v>60</v>
      </c>
      <c r="K6259" s="3">
        <v>38.64</v>
      </c>
      <c r="L6259">
        <v>35.6</v>
      </c>
    </row>
    <row r="6260" spans="1:12">
      <c r="A6260" s="1">
        <v>46048</v>
      </c>
      <c r="B6260" t="s">
        <v>5557</v>
      </c>
      <c r="C6260">
        <v>13</v>
      </c>
      <c r="D6260" t="str">
        <f>VLOOKUP(Tabela26[[#This Row],[EMP]],[1]LOJA!$A:$B,2,0)</f>
        <v>CEILÂNDIA</v>
      </c>
      <c r="E6260">
        <v>86</v>
      </c>
      <c r="F6260" t="s">
        <v>3605</v>
      </c>
      <c r="G6260" t="s">
        <v>3604</v>
      </c>
      <c r="H6260" t="s">
        <v>4243</v>
      </c>
      <c r="I6260">
        <v>5405</v>
      </c>
      <c r="J6260" s="3">
        <v>120</v>
      </c>
      <c r="K6260" s="3">
        <v>61.38</v>
      </c>
      <c r="L6260">
        <v>48.85</v>
      </c>
    </row>
    <row r="6261" spans="1:12">
      <c r="A6261" s="1">
        <v>46048</v>
      </c>
      <c r="B6261" t="s">
        <v>5556</v>
      </c>
      <c r="C6261">
        <v>13</v>
      </c>
      <c r="D6261" t="str">
        <f>VLOOKUP(Tabela26[[#This Row],[EMP]],[1]LOJA!$A:$B,2,0)</f>
        <v>CEILÂNDIA</v>
      </c>
      <c r="E6261">
        <v>86</v>
      </c>
      <c r="F6261" t="s">
        <v>3406</v>
      </c>
      <c r="G6261" t="s">
        <v>3405</v>
      </c>
      <c r="H6261" t="s">
        <v>3408</v>
      </c>
      <c r="I6261">
        <v>5102</v>
      </c>
      <c r="J6261" s="3">
        <v>38</v>
      </c>
      <c r="K6261" s="3">
        <v>23.1</v>
      </c>
      <c r="L6261">
        <v>39.21</v>
      </c>
    </row>
    <row r="6262" spans="1:12">
      <c r="A6262" s="1">
        <v>46048</v>
      </c>
      <c r="B6262" t="s">
        <v>5555</v>
      </c>
      <c r="C6262">
        <v>13</v>
      </c>
      <c r="D6262" t="str">
        <f>VLOOKUP(Tabela26[[#This Row],[EMP]],[1]LOJA!$A:$B,2,0)</f>
        <v>CEILÂNDIA</v>
      </c>
      <c r="E6262">
        <v>86</v>
      </c>
      <c r="F6262" t="s">
        <v>3615</v>
      </c>
      <c r="G6262" t="s">
        <v>3614</v>
      </c>
      <c r="H6262" t="s">
        <v>4243</v>
      </c>
      <c r="I6262">
        <v>5102</v>
      </c>
      <c r="J6262" s="3">
        <v>6.9</v>
      </c>
      <c r="K6262" s="3">
        <v>3.81</v>
      </c>
      <c r="L6262">
        <v>44.78</v>
      </c>
    </row>
    <row r="6263" spans="1:12">
      <c r="A6263" s="1">
        <v>46048</v>
      </c>
      <c r="B6263" t="s">
        <v>5554</v>
      </c>
      <c r="C6263">
        <v>13</v>
      </c>
      <c r="D6263" t="str">
        <f>VLOOKUP(Tabela26[[#This Row],[EMP]],[1]LOJA!$A:$B,2,0)</f>
        <v>CEILÂNDIA</v>
      </c>
      <c r="E6263">
        <v>86</v>
      </c>
      <c r="F6263" t="s">
        <v>3622</v>
      </c>
      <c r="G6263" t="s">
        <v>3402</v>
      </c>
      <c r="H6263" t="s">
        <v>3408</v>
      </c>
      <c r="I6263">
        <v>5405</v>
      </c>
      <c r="J6263" s="3">
        <v>100</v>
      </c>
      <c r="K6263" s="3">
        <v>63.67</v>
      </c>
      <c r="L6263">
        <v>36.33</v>
      </c>
    </row>
    <row r="6264" spans="1:12">
      <c r="A6264" s="1">
        <v>46048</v>
      </c>
      <c r="B6264" t="s">
        <v>5553</v>
      </c>
      <c r="C6264">
        <v>13</v>
      </c>
      <c r="D6264" t="str">
        <f>VLOOKUP(Tabela26[[#This Row],[EMP]],[1]LOJA!$A:$B,2,0)</f>
        <v>CEILÂNDIA</v>
      </c>
      <c r="E6264">
        <v>86</v>
      </c>
      <c r="F6264" t="s">
        <v>3615</v>
      </c>
      <c r="G6264" t="s">
        <v>3614</v>
      </c>
      <c r="H6264" t="s">
        <v>4243</v>
      </c>
      <c r="I6264">
        <v>5405</v>
      </c>
      <c r="J6264" s="3">
        <v>205</v>
      </c>
      <c r="K6264" s="3">
        <v>111.4</v>
      </c>
      <c r="L6264">
        <v>45.66</v>
      </c>
    </row>
    <row r="6265" spans="1:12">
      <c r="A6265" s="1">
        <v>46048</v>
      </c>
      <c r="B6265" t="s">
        <v>5552</v>
      </c>
      <c r="C6265">
        <v>13</v>
      </c>
      <c r="D6265" t="str">
        <f>VLOOKUP(Tabela26[[#This Row],[EMP]],[1]LOJA!$A:$B,2,0)</f>
        <v>CEILÂNDIA</v>
      </c>
      <c r="E6265">
        <v>86</v>
      </c>
      <c r="F6265" t="s">
        <v>3622</v>
      </c>
      <c r="G6265" t="s">
        <v>3402</v>
      </c>
      <c r="H6265" t="s">
        <v>3408</v>
      </c>
      <c r="I6265">
        <v>5102</v>
      </c>
      <c r="J6265" s="3">
        <v>34</v>
      </c>
      <c r="K6265" s="3">
        <v>16.64</v>
      </c>
      <c r="L6265">
        <v>51.06</v>
      </c>
    </row>
    <row r="6266" spans="1:12">
      <c r="A6266" s="1">
        <v>46048</v>
      </c>
      <c r="B6266" t="s">
        <v>5551</v>
      </c>
      <c r="C6266">
        <v>13</v>
      </c>
      <c r="D6266" t="str">
        <f>VLOOKUP(Tabela26[[#This Row],[EMP]],[1]LOJA!$A:$B,2,0)</f>
        <v>CEILÂNDIA</v>
      </c>
      <c r="E6266">
        <v>86</v>
      </c>
      <c r="F6266" t="s">
        <v>3605</v>
      </c>
      <c r="G6266" t="s">
        <v>3604</v>
      </c>
      <c r="H6266" t="s">
        <v>4243</v>
      </c>
      <c r="I6266">
        <v>5102</v>
      </c>
      <c r="J6266" s="3">
        <v>16.5</v>
      </c>
      <c r="K6266" s="3">
        <v>11.31</v>
      </c>
      <c r="L6266">
        <v>31.45</v>
      </c>
    </row>
    <row r="6267" spans="1:12">
      <c r="A6267" s="1">
        <v>46048</v>
      </c>
      <c r="B6267" t="s">
        <v>5550</v>
      </c>
      <c r="C6267">
        <v>13</v>
      </c>
      <c r="D6267" t="str">
        <f>VLOOKUP(Tabela26[[#This Row],[EMP]],[1]LOJA!$A:$B,2,0)</f>
        <v>CEILÂNDIA</v>
      </c>
      <c r="E6267">
        <v>86</v>
      </c>
      <c r="F6267" t="s">
        <v>3403</v>
      </c>
      <c r="G6267" t="s">
        <v>3402</v>
      </c>
      <c r="H6267" t="s">
        <v>3401</v>
      </c>
      <c r="I6267">
        <v>5405</v>
      </c>
      <c r="J6267" s="3">
        <v>55</v>
      </c>
      <c r="K6267" s="3">
        <v>29.25</v>
      </c>
      <c r="L6267">
        <v>46.82</v>
      </c>
    </row>
    <row r="6268" spans="1:12">
      <c r="A6268" s="1">
        <v>46048</v>
      </c>
      <c r="B6268" t="s">
        <v>5549</v>
      </c>
      <c r="C6268">
        <v>13</v>
      </c>
      <c r="D6268" t="str">
        <f>VLOOKUP(Tabela26[[#This Row],[EMP]],[1]LOJA!$A:$B,2,0)</f>
        <v>CEILÂNDIA</v>
      </c>
      <c r="E6268">
        <v>86</v>
      </c>
      <c r="F6268" t="s">
        <v>3403</v>
      </c>
      <c r="G6268" t="s">
        <v>3402</v>
      </c>
      <c r="H6268" t="s">
        <v>3401</v>
      </c>
      <c r="I6268">
        <v>5102</v>
      </c>
      <c r="J6268" s="3">
        <v>70</v>
      </c>
      <c r="K6268" s="3">
        <v>47.38</v>
      </c>
      <c r="L6268">
        <v>32.31</v>
      </c>
    </row>
    <row r="6269" spans="1:12">
      <c r="A6269" s="1">
        <v>46048</v>
      </c>
      <c r="B6269" t="s">
        <v>5548</v>
      </c>
      <c r="C6269">
        <v>13</v>
      </c>
      <c r="D6269" t="str">
        <f>VLOOKUP(Tabela26[[#This Row],[EMP]],[1]LOJA!$A:$B,2,0)</f>
        <v>CEILÂNDIA</v>
      </c>
      <c r="E6269">
        <v>86</v>
      </c>
      <c r="F6269" t="s">
        <v>3403</v>
      </c>
      <c r="G6269" t="s">
        <v>3402</v>
      </c>
      <c r="H6269" t="s">
        <v>3401</v>
      </c>
      <c r="I6269">
        <v>5102</v>
      </c>
      <c r="J6269" s="3">
        <v>40</v>
      </c>
      <c r="K6269" s="3">
        <v>24.11</v>
      </c>
      <c r="L6269">
        <v>39.729999999999997</v>
      </c>
    </row>
    <row r="6270" spans="1:12">
      <c r="A6270" s="1">
        <v>46048</v>
      </c>
      <c r="B6270" t="s">
        <v>5547</v>
      </c>
      <c r="C6270">
        <v>13</v>
      </c>
      <c r="D6270" t="str">
        <f>VLOOKUP(Tabela26[[#This Row],[EMP]],[1]LOJA!$A:$B,2,0)</f>
        <v>CEILÂNDIA</v>
      </c>
      <c r="E6270">
        <v>86</v>
      </c>
      <c r="F6270" t="s">
        <v>3403</v>
      </c>
      <c r="G6270" t="s">
        <v>3402</v>
      </c>
      <c r="H6270" t="s">
        <v>3401</v>
      </c>
      <c r="I6270">
        <v>5405</v>
      </c>
      <c r="J6270" s="3">
        <v>45</v>
      </c>
      <c r="K6270" s="3">
        <v>23.24</v>
      </c>
      <c r="L6270">
        <v>48.36</v>
      </c>
    </row>
    <row r="6271" spans="1:12">
      <c r="A6271" s="1">
        <v>46048</v>
      </c>
      <c r="B6271" t="s">
        <v>5546</v>
      </c>
      <c r="C6271">
        <v>13</v>
      </c>
      <c r="D6271" t="str">
        <f>VLOOKUP(Tabela26[[#This Row],[EMP]],[1]LOJA!$A:$B,2,0)</f>
        <v>CEILÂNDIA</v>
      </c>
      <c r="E6271">
        <v>86</v>
      </c>
      <c r="F6271" t="s">
        <v>4346</v>
      </c>
      <c r="G6271" t="s">
        <v>4345</v>
      </c>
      <c r="H6271" t="s">
        <v>3408</v>
      </c>
      <c r="I6271">
        <v>5405</v>
      </c>
      <c r="J6271" s="3">
        <v>209.9</v>
      </c>
      <c r="K6271" s="3">
        <v>118.44</v>
      </c>
      <c r="L6271">
        <v>43.57</v>
      </c>
    </row>
    <row r="6272" spans="1:12">
      <c r="A6272" s="1">
        <v>46048</v>
      </c>
      <c r="B6272" t="s">
        <v>5545</v>
      </c>
      <c r="C6272">
        <v>13</v>
      </c>
      <c r="D6272" t="str">
        <f>VLOOKUP(Tabela26[[#This Row],[EMP]],[1]LOJA!$A:$B,2,0)</f>
        <v>CEILÂNDIA</v>
      </c>
      <c r="E6272">
        <v>86</v>
      </c>
      <c r="F6272" t="s">
        <v>5544</v>
      </c>
      <c r="G6272" t="s">
        <v>3402</v>
      </c>
      <c r="H6272" t="s">
        <v>3408</v>
      </c>
      <c r="I6272">
        <v>5102</v>
      </c>
      <c r="J6272" s="3">
        <v>165</v>
      </c>
      <c r="K6272" s="3">
        <v>104.23</v>
      </c>
      <c r="L6272">
        <v>36.83</v>
      </c>
    </row>
    <row r="6273" spans="1:12">
      <c r="A6273" s="1">
        <v>46048</v>
      </c>
      <c r="B6273" t="s">
        <v>5543</v>
      </c>
      <c r="C6273">
        <v>13</v>
      </c>
      <c r="D6273" t="str">
        <f>VLOOKUP(Tabela26[[#This Row],[EMP]],[1]LOJA!$A:$B,2,0)</f>
        <v>CEILÂNDIA</v>
      </c>
      <c r="E6273">
        <v>86</v>
      </c>
      <c r="F6273" t="s">
        <v>3605</v>
      </c>
      <c r="G6273" t="s">
        <v>3604</v>
      </c>
      <c r="H6273" t="s">
        <v>4243</v>
      </c>
      <c r="I6273">
        <v>5102</v>
      </c>
      <c r="J6273" s="3">
        <v>54.9</v>
      </c>
      <c r="K6273" s="3">
        <v>39.159999999999997</v>
      </c>
      <c r="L6273">
        <v>28.67</v>
      </c>
    </row>
    <row r="6274" spans="1:12">
      <c r="A6274" s="1">
        <v>46048</v>
      </c>
      <c r="B6274" t="s">
        <v>5542</v>
      </c>
      <c r="C6274">
        <v>13</v>
      </c>
      <c r="D6274" t="str">
        <f>VLOOKUP(Tabela26[[#This Row],[EMP]],[1]LOJA!$A:$B,2,0)</f>
        <v>CEILÂNDIA</v>
      </c>
      <c r="E6274">
        <v>86</v>
      </c>
      <c r="F6274" t="s">
        <v>3624</v>
      </c>
      <c r="G6274" t="s">
        <v>3402</v>
      </c>
      <c r="H6274" t="s">
        <v>3408</v>
      </c>
      <c r="I6274">
        <v>5102</v>
      </c>
      <c r="J6274" s="3">
        <v>38</v>
      </c>
      <c r="K6274" s="3">
        <v>22.8</v>
      </c>
      <c r="L6274">
        <v>40</v>
      </c>
    </row>
    <row r="6275" spans="1:12">
      <c r="A6275" s="1">
        <v>46048</v>
      </c>
      <c r="B6275" t="s">
        <v>5541</v>
      </c>
      <c r="C6275">
        <v>13</v>
      </c>
      <c r="D6275" t="str">
        <f>VLOOKUP(Tabela26[[#This Row],[EMP]],[1]LOJA!$A:$B,2,0)</f>
        <v>CEILÂNDIA</v>
      </c>
      <c r="E6275">
        <v>86</v>
      </c>
      <c r="F6275" t="s">
        <v>3403</v>
      </c>
      <c r="G6275" t="s">
        <v>3402</v>
      </c>
      <c r="H6275" t="s">
        <v>3401</v>
      </c>
      <c r="I6275">
        <v>5102</v>
      </c>
      <c r="J6275" s="3">
        <v>23</v>
      </c>
      <c r="K6275" s="3">
        <v>11.63</v>
      </c>
      <c r="L6275">
        <v>49.43</v>
      </c>
    </row>
    <row r="6276" spans="1:12">
      <c r="A6276" s="1">
        <v>46048</v>
      </c>
      <c r="B6276" t="s">
        <v>5540</v>
      </c>
      <c r="C6276">
        <v>13</v>
      </c>
      <c r="D6276" t="str">
        <f>VLOOKUP(Tabela26[[#This Row],[EMP]],[1]LOJA!$A:$B,2,0)</f>
        <v>CEILÂNDIA</v>
      </c>
      <c r="E6276">
        <v>86</v>
      </c>
      <c r="F6276" t="s">
        <v>3605</v>
      </c>
      <c r="G6276" t="s">
        <v>3604</v>
      </c>
      <c r="H6276" t="s">
        <v>3401</v>
      </c>
      <c r="I6276">
        <v>5102</v>
      </c>
      <c r="J6276" s="3">
        <v>27.5</v>
      </c>
      <c r="K6276" s="3">
        <v>15.25</v>
      </c>
      <c r="L6276">
        <v>44.55</v>
      </c>
    </row>
    <row r="6277" spans="1:12">
      <c r="A6277" s="1">
        <v>46048</v>
      </c>
      <c r="B6277" t="s">
        <v>5539</v>
      </c>
      <c r="C6277">
        <v>13</v>
      </c>
      <c r="D6277" t="str">
        <f>VLOOKUP(Tabela26[[#This Row],[EMP]],[1]LOJA!$A:$B,2,0)</f>
        <v>CEILÂNDIA</v>
      </c>
      <c r="E6277">
        <v>86</v>
      </c>
      <c r="F6277" t="s">
        <v>3624</v>
      </c>
      <c r="G6277" t="s">
        <v>3402</v>
      </c>
      <c r="H6277" t="s">
        <v>3408</v>
      </c>
      <c r="I6277">
        <v>5102</v>
      </c>
      <c r="J6277" s="3">
        <v>16</v>
      </c>
      <c r="K6277" s="3">
        <v>8.9600000000000009</v>
      </c>
      <c r="L6277">
        <v>44</v>
      </c>
    </row>
    <row r="6278" spans="1:12">
      <c r="A6278" s="1">
        <v>46048</v>
      </c>
      <c r="B6278" t="s">
        <v>5538</v>
      </c>
      <c r="C6278">
        <v>13</v>
      </c>
      <c r="D6278" t="str">
        <f>VLOOKUP(Tabela26[[#This Row],[EMP]],[1]LOJA!$A:$B,2,0)</f>
        <v>CEILÂNDIA</v>
      </c>
      <c r="E6278">
        <v>86</v>
      </c>
      <c r="F6278" t="s">
        <v>3403</v>
      </c>
      <c r="G6278" t="s">
        <v>3402</v>
      </c>
      <c r="H6278" t="s">
        <v>3401</v>
      </c>
      <c r="I6278">
        <v>5102</v>
      </c>
      <c r="J6278" s="3">
        <v>46</v>
      </c>
      <c r="K6278" s="3">
        <v>23.92</v>
      </c>
      <c r="L6278">
        <v>48</v>
      </c>
    </row>
    <row r="6279" spans="1:12">
      <c r="A6279" s="1">
        <v>46048</v>
      </c>
      <c r="B6279" t="s">
        <v>5537</v>
      </c>
      <c r="C6279">
        <v>13</v>
      </c>
      <c r="D6279" t="str">
        <f>VLOOKUP(Tabela26[[#This Row],[EMP]],[1]LOJA!$A:$B,2,0)</f>
        <v>CEILÂNDIA</v>
      </c>
      <c r="E6279">
        <v>86</v>
      </c>
      <c r="F6279" t="s">
        <v>3640</v>
      </c>
      <c r="G6279" t="s">
        <v>3639</v>
      </c>
      <c r="H6279" t="s">
        <v>3408</v>
      </c>
      <c r="I6279">
        <v>5405</v>
      </c>
      <c r="J6279" s="3">
        <v>329.4</v>
      </c>
      <c r="K6279" s="3">
        <v>189.66</v>
      </c>
      <c r="L6279">
        <v>42.42</v>
      </c>
    </row>
    <row r="6280" spans="1:12">
      <c r="A6280" s="1">
        <v>46048</v>
      </c>
      <c r="B6280" t="s">
        <v>5536</v>
      </c>
      <c r="C6280">
        <v>13</v>
      </c>
      <c r="D6280" t="str">
        <f>VLOOKUP(Tabela26[[#This Row],[EMP]],[1]LOJA!$A:$B,2,0)</f>
        <v>CEILÂNDIA</v>
      </c>
      <c r="E6280">
        <v>86</v>
      </c>
      <c r="F6280" t="s">
        <v>3403</v>
      </c>
      <c r="G6280" t="s">
        <v>3402</v>
      </c>
      <c r="H6280" t="s">
        <v>3401</v>
      </c>
      <c r="I6280">
        <v>5405</v>
      </c>
      <c r="J6280" s="3">
        <v>35</v>
      </c>
      <c r="K6280" s="3">
        <v>16.28</v>
      </c>
      <c r="L6280">
        <v>53.49</v>
      </c>
    </row>
    <row r="6281" spans="1:12">
      <c r="A6281" s="1">
        <v>46048</v>
      </c>
      <c r="B6281" t="s">
        <v>5535</v>
      </c>
      <c r="C6281">
        <v>13</v>
      </c>
      <c r="D6281" t="str">
        <f>VLOOKUP(Tabela26[[#This Row],[EMP]],[1]LOJA!$A:$B,2,0)</f>
        <v>CEILÂNDIA</v>
      </c>
      <c r="E6281">
        <v>86</v>
      </c>
      <c r="F6281" t="s">
        <v>3403</v>
      </c>
      <c r="G6281" t="s">
        <v>3402</v>
      </c>
      <c r="H6281" t="s">
        <v>3401</v>
      </c>
      <c r="I6281">
        <v>5102</v>
      </c>
      <c r="J6281" s="3">
        <v>80</v>
      </c>
      <c r="K6281" s="3">
        <v>46.9</v>
      </c>
      <c r="L6281">
        <v>41.38</v>
      </c>
    </row>
    <row r="6282" spans="1:12">
      <c r="A6282" s="1">
        <v>46048</v>
      </c>
      <c r="B6282" t="s">
        <v>5534</v>
      </c>
      <c r="C6282">
        <v>13</v>
      </c>
      <c r="D6282" t="str">
        <f>VLOOKUP(Tabela26[[#This Row],[EMP]],[1]LOJA!$A:$B,2,0)</f>
        <v>CEILÂNDIA</v>
      </c>
      <c r="E6282">
        <v>86</v>
      </c>
      <c r="F6282" t="s">
        <v>3403</v>
      </c>
      <c r="G6282" t="s">
        <v>3402</v>
      </c>
      <c r="H6282" t="s">
        <v>3401</v>
      </c>
      <c r="I6282">
        <v>5102</v>
      </c>
      <c r="J6282" s="3">
        <v>95</v>
      </c>
      <c r="K6282" s="3">
        <v>56.16</v>
      </c>
      <c r="L6282">
        <v>40.880000000000003</v>
      </c>
    </row>
    <row r="6283" spans="1:12">
      <c r="A6283" s="1">
        <v>46048</v>
      </c>
      <c r="B6283" t="s">
        <v>5533</v>
      </c>
      <c r="C6283">
        <v>13</v>
      </c>
      <c r="D6283" t="str">
        <f>VLOOKUP(Tabela26[[#This Row],[EMP]],[1]LOJA!$A:$B,2,0)</f>
        <v>CEILÂNDIA</v>
      </c>
      <c r="E6283">
        <v>86</v>
      </c>
      <c r="F6283" t="s">
        <v>3414</v>
      </c>
      <c r="G6283" t="s">
        <v>3402</v>
      </c>
      <c r="H6283" t="s">
        <v>3408</v>
      </c>
      <c r="I6283">
        <v>5102</v>
      </c>
      <c r="J6283" s="3">
        <v>15</v>
      </c>
      <c r="K6283" s="3">
        <v>8.14</v>
      </c>
      <c r="L6283">
        <v>45.73</v>
      </c>
    </row>
    <row r="6284" spans="1:12">
      <c r="A6284" s="1">
        <v>46048</v>
      </c>
      <c r="B6284" t="s">
        <v>5532</v>
      </c>
      <c r="C6284">
        <v>13</v>
      </c>
      <c r="D6284" t="str">
        <f>VLOOKUP(Tabela26[[#This Row],[EMP]],[1]LOJA!$A:$B,2,0)</f>
        <v>CEILÂNDIA</v>
      </c>
      <c r="E6284">
        <v>86</v>
      </c>
      <c r="F6284" t="s">
        <v>3406</v>
      </c>
      <c r="G6284" t="s">
        <v>3405</v>
      </c>
      <c r="H6284" t="s">
        <v>3408</v>
      </c>
      <c r="I6284">
        <v>5102</v>
      </c>
      <c r="J6284" s="3">
        <v>228</v>
      </c>
      <c r="K6284" s="3">
        <v>137.78</v>
      </c>
      <c r="L6284">
        <v>39.57</v>
      </c>
    </row>
    <row r="6285" spans="1:12">
      <c r="A6285" s="1">
        <v>46048</v>
      </c>
      <c r="B6285" t="s">
        <v>5531</v>
      </c>
      <c r="C6285">
        <v>13</v>
      </c>
      <c r="D6285" t="str">
        <f>VLOOKUP(Tabela26[[#This Row],[EMP]],[1]LOJA!$A:$B,2,0)</f>
        <v>CEILÂNDIA</v>
      </c>
      <c r="E6285">
        <v>33</v>
      </c>
      <c r="F6285" t="s">
        <v>3403</v>
      </c>
      <c r="G6285" t="s">
        <v>3402</v>
      </c>
      <c r="H6285" t="s">
        <v>3401</v>
      </c>
      <c r="I6285">
        <v>5102</v>
      </c>
      <c r="J6285" s="3">
        <v>240</v>
      </c>
      <c r="K6285" s="3">
        <v>141.24</v>
      </c>
      <c r="L6285">
        <v>41.15</v>
      </c>
    </row>
    <row r="6286" spans="1:12">
      <c r="A6286" s="1">
        <v>46048</v>
      </c>
      <c r="B6286" t="s">
        <v>5530</v>
      </c>
      <c r="C6286">
        <v>13</v>
      </c>
      <c r="D6286" t="str">
        <f>VLOOKUP(Tabela26[[#This Row],[EMP]],[1]LOJA!$A:$B,2,0)</f>
        <v>CEILÂNDIA</v>
      </c>
      <c r="E6286">
        <v>33</v>
      </c>
      <c r="F6286" t="s">
        <v>3403</v>
      </c>
      <c r="G6286" t="s">
        <v>3402</v>
      </c>
      <c r="H6286" t="s">
        <v>3401</v>
      </c>
      <c r="I6286">
        <v>5405</v>
      </c>
      <c r="J6286" s="3">
        <v>260</v>
      </c>
      <c r="K6286" s="3">
        <v>122.69</v>
      </c>
      <c r="L6286">
        <v>52.81</v>
      </c>
    </row>
    <row r="6287" spans="1:12">
      <c r="A6287" s="1">
        <v>46048</v>
      </c>
      <c r="B6287" t="s">
        <v>5529</v>
      </c>
      <c r="C6287">
        <v>13</v>
      </c>
      <c r="D6287" t="str">
        <f>VLOOKUP(Tabela26[[#This Row],[EMP]],[1]LOJA!$A:$B,2,0)</f>
        <v>CEILÂNDIA</v>
      </c>
      <c r="E6287">
        <v>86</v>
      </c>
      <c r="F6287" t="s">
        <v>3403</v>
      </c>
      <c r="G6287" t="s">
        <v>3402</v>
      </c>
      <c r="H6287" t="s">
        <v>3401</v>
      </c>
      <c r="I6287">
        <v>5102</v>
      </c>
      <c r="J6287" s="3">
        <v>66</v>
      </c>
      <c r="K6287" s="3">
        <v>31</v>
      </c>
      <c r="L6287">
        <v>53.03</v>
      </c>
    </row>
    <row r="6288" spans="1:12">
      <c r="A6288" s="1">
        <v>46048</v>
      </c>
      <c r="B6288" t="s">
        <v>5528</v>
      </c>
      <c r="C6288">
        <v>13</v>
      </c>
      <c r="D6288" t="str">
        <f>VLOOKUP(Tabela26[[#This Row],[EMP]],[1]LOJA!$A:$B,2,0)</f>
        <v>CEILÂNDIA</v>
      </c>
      <c r="E6288">
        <v>86</v>
      </c>
      <c r="F6288" t="s">
        <v>3403</v>
      </c>
      <c r="G6288" t="s">
        <v>3402</v>
      </c>
      <c r="H6288" t="s">
        <v>3401</v>
      </c>
      <c r="I6288">
        <v>5102</v>
      </c>
      <c r="J6288" s="3">
        <v>97</v>
      </c>
      <c r="K6288" s="3">
        <v>58.07</v>
      </c>
      <c r="L6288">
        <v>40.130000000000003</v>
      </c>
    </row>
    <row r="6289" spans="1:12">
      <c r="A6289" s="1">
        <v>46048</v>
      </c>
      <c r="B6289" t="s">
        <v>5527</v>
      </c>
      <c r="C6289">
        <v>13</v>
      </c>
      <c r="D6289" t="str">
        <f>VLOOKUP(Tabela26[[#This Row],[EMP]],[1]LOJA!$A:$B,2,0)</f>
        <v>CEILÂNDIA</v>
      </c>
      <c r="E6289">
        <v>86</v>
      </c>
      <c r="F6289" t="s">
        <v>3605</v>
      </c>
      <c r="G6289" t="s">
        <v>3604</v>
      </c>
      <c r="H6289" t="s">
        <v>3401</v>
      </c>
      <c r="I6289">
        <v>5102</v>
      </c>
      <c r="J6289" s="3">
        <v>23.9</v>
      </c>
      <c r="K6289" s="3">
        <v>13.96</v>
      </c>
      <c r="L6289">
        <v>41.59</v>
      </c>
    </row>
    <row r="6290" spans="1:12">
      <c r="A6290" s="1">
        <v>46048</v>
      </c>
      <c r="B6290" t="s">
        <v>5526</v>
      </c>
      <c r="C6290">
        <v>13</v>
      </c>
      <c r="D6290" t="str">
        <f>VLOOKUP(Tabela26[[#This Row],[EMP]],[1]LOJA!$A:$B,2,0)</f>
        <v>CEILÂNDIA</v>
      </c>
      <c r="E6290">
        <v>33</v>
      </c>
      <c r="F6290" t="s">
        <v>5525</v>
      </c>
      <c r="G6290" t="s">
        <v>5524</v>
      </c>
      <c r="H6290" t="s">
        <v>3401</v>
      </c>
      <c r="I6290">
        <v>5102</v>
      </c>
      <c r="J6290" s="3">
        <v>100</v>
      </c>
      <c r="K6290" s="3">
        <v>46.46</v>
      </c>
      <c r="L6290">
        <v>53.54</v>
      </c>
    </row>
    <row r="6291" spans="1:12">
      <c r="A6291" s="1">
        <v>46048</v>
      </c>
      <c r="B6291" t="s">
        <v>5523</v>
      </c>
      <c r="C6291">
        <v>13</v>
      </c>
      <c r="D6291" t="str">
        <f>VLOOKUP(Tabela26[[#This Row],[EMP]],[1]LOJA!$A:$B,2,0)</f>
        <v>CEILÂNDIA</v>
      </c>
      <c r="E6291">
        <v>86</v>
      </c>
      <c r="F6291" t="s">
        <v>3646</v>
      </c>
      <c r="G6291" t="s">
        <v>3402</v>
      </c>
      <c r="H6291" t="s">
        <v>3408</v>
      </c>
      <c r="I6291">
        <v>5102</v>
      </c>
      <c r="J6291" s="3">
        <v>50</v>
      </c>
      <c r="K6291" s="3">
        <v>32.47</v>
      </c>
      <c r="L6291">
        <v>35.06</v>
      </c>
    </row>
    <row r="6292" spans="1:12">
      <c r="A6292" s="1">
        <v>46048</v>
      </c>
      <c r="B6292" t="s">
        <v>5522</v>
      </c>
      <c r="C6292">
        <v>13</v>
      </c>
      <c r="D6292" t="str">
        <f>VLOOKUP(Tabela26[[#This Row],[EMP]],[1]LOJA!$A:$B,2,0)</f>
        <v>CEILÂNDIA</v>
      </c>
      <c r="E6292">
        <v>86</v>
      </c>
      <c r="F6292" t="s">
        <v>3403</v>
      </c>
      <c r="G6292" t="s">
        <v>3402</v>
      </c>
      <c r="H6292" t="s">
        <v>3401</v>
      </c>
      <c r="I6292">
        <v>5102</v>
      </c>
      <c r="J6292" s="3">
        <v>40</v>
      </c>
      <c r="K6292" s="3">
        <v>21.09</v>
      </c>
      <c r="L6292">
        <v>47.28</v>
      </c>
    </row>
    <row r="6293" spans="1:12">
      <c r="A6293" s="1">
        <v>46048</v>
      </c>
      <c r="B6293" t="s">
        <v>5521</v>
      </c>
      <c r="C6293">
        <v>13</v>
      </c>
      <c r="D6293" t="str">
        <f>VLOOKUP(Tabela26[[#This Row],[EMP]],[1]LOJA!$A:$B,2,0)</f>
        <v>CEILÂNDIA</v>
      </c>
      <c r="E6293">
        <v>86</v>
      </c>
      <c r="F6293" t="s">
        <v>4992</v>
      </c>
      <c r="G6293" t="s">
        <v>4991</v>
      </c>
      <c r="H6293" t="s">
        <v>3520</v>
      </c>
      <c r="I6293">
        <v>5405</v>
      </c>
      <c r="J6293" s="3">
        <v>234</v>
      </c>
      <c r="K6293" s="3">
        <v>132.99</v>
      </c>
      <c r="L6293">
        <v>43.17</v>
      </c>
    </row>
    <row r="6294" spans="1:12">
      <c r="A6294" s="1">
        <v>46048</v>
      </c>
      <c r="B6294" t="s">
        <v>5520</v>
      </c>
      <c r="C6294">
        <v>13</v>
      </c>
      <c r="D6294" t="str">
        <f>VLOOKUP(Tabela26[[#This Row],[EMP]],[1]LOJA!$A:$B,2,0)</f>
        <v>CEILÂNDIA</v>
      </c>
      <c r="E6294">
        <v>86</v>
      </c>
      <c r="F6294" t="s">
        <v>3403</v>
      </c>
      <c r="G6294" t="s">
        <v>3402</v>
      </c>
      <c r="H6294" t="s">
        <v>3401</v>
      </c>
      <c r="I6294">
        <v>5102</v>
      </c>
      <c r="J6294" s="3">
        <v>38</v>
      </c>
      <c r="K6294" s="3">
        <v>21.97</v>
      </c>
      <c r="L6294">
        <v>42.18</v>
      </c>
    </row>
    <row r="6295" spans="1:12">
      <c r="A6295" s="1">
        <v>46048</v>
      </c>
      <c r="B6295" t="s">
        <v>5519</v>
      </c>
      <c r="C6295">
        <v>13</v>
      </c>
      <c r="D6295" t="str">
        <f>VLOOKUP(Tabela26[[#This Row],[EMP]],[1]LOJA!$A:$B,2,0)</f>
        <v>CEILÂNDIA</v>
      </c>
      <c r="E6295">
        <v>86</v>
      </c>
      <c r="F6295" t="s">
        <v>3403</v>
      </c>
      <c r="G6295" t="s">
        <v>3402</v>
      </c>
      <c r="H6295" t="s">
        <v>3401</v>
      </c>
      <c r="I6295">
        <v>5405</v>
      </c>
      <c r="J6295" s="3">
        <v>73</v>
      </c>
      <c r="K6295" s="3">
        <v>40.909999999999997</v>
      </c>
      <c r="L6295">
        <v>43.96</v>
      </c>
    </row>
    <row r="6296" spans="1:12">
      <c r="A6296" s="1">
        <v>46048</v>
      </c>
      <c r="B6296" t="s">
        <v>5518</v>
      </c>
      <c r="C6296">
        <v>13</v>
      </c>
      <c r="D6296" t="str">
        <f>VLOOKUP(Tabela26[[#This Row],[EMP]],[1]LOJA!$A:$B,2,0)</f>
        <v>CEILÂNDIA</v>
      </c>
      <c r="E6296">
        <v>86</v>
      </c>
      <c r="F6296" t="s">
        <v>3624</v>
      </c>
      <c r="G6296" t="s">
        <v>3402</v>
      </c>
      <c r="H6296" t="s">
        <v>3408</v>
      </c>
      <c r="I6296">
        <v>5102</v>
      </c>
      <c r="J6296" s="3">
        <v>60</v>
      </c>
      <c r="K6296" s="3">
        <v>38.64</v>
      </c>
      <c r="L6296">
        <v>35.6</v>
      </c>
    </row>
    <row r="6297" spans="1:12">
      <c r="A6297" s="1">
        <v>46048</v>
      </c>
      <c r="B6297" t="s">
        <v>5517</v>
      </c>
      <c r="C6297">
        <v>13</v>
      </c>
      <c r="D6297" t="str">
        <f>VLOOKUP(Tabela26[[#This Row],[EMP]],[1]LOJA!$A:$B,2,0)</f>
        <v>CEILÂNDIA</v>
      </c>
      <c r="E6297">
        <v>86</v>
      </c>
      <c r="F6297" t="s">
        <v>3403</v>
      </c>
      <c r="G6297" t="s">
        <v>3402</v>
      </c>
      <c r="H6297" t="s">
        <v>3401</v>
      </c>
      <c r="I6297">
        <v>5102</v>
      </c>
      <c r="J6297" s="3">
        <v>30</v>
      </c>
      <c r="K6297" s="3">
        <v>17.489999999999998</v>
      </c>
      <c r="L6297">
        <v>41.7</v>
      </c>
    </row>
    <row r="6298" spans="1:12">
      <c r="A6298" s="1">
        <v>46048</v>
      </c>
      <c r="B6298" t="s">
        <v>5516</v>
      </c>
      <c r="C6298">
        <v>13</v>
      </c>
      <c r="D6298" t="str">
        <f>VLOOKUP(Tabela26[[#This Row],[EMP]],[1]LOJA!$A:$B,2,0)</f>
        <v>CEILÂNDIA</v>
      </c>
      <c r="E6298">
        <v>86</v>
      </c>
      <c r="F6298" t="s">
        <v>3403</v>
      </c>
      <c r="G6298" t="s">
        <v>3402</v>
      </c>
      <c r="H6298" t="s">
        <v>3401</v>
      </c>
      <c r="I6298">
        <v>5102</v>
      </c>
      <c r="J6298" s="3">
        <v>24</v>
      </c>
      <c r="K6298" s="3">
        <v>11.58</v>
      </c>
      <c r="L6298">
        <v>51.75</v>
      </c>
    </row>
    <row r="6299" spans="1:12">
      <c r="A6299" s="1">
        <v>46048</v>
      </c>
      <c r="B6299" t="s">
        <v>5515</v>
      </c>
      <c r="C6299">
        <v>6</v>
      </c>
      <c r="D6299" t="str">
        <f>VLOOKUP(Tabela26[[#This Row],[EMP]],[1]LOJA!$A:$B,2,0)</f>
        <v>GAMA</v>
      </c>
      <c r="E6299">
        <v>226</v>
      </c>
      <c r="F6299" t="s">
        <v>3403</v>
      </c>
      <c r="G6299" t="s">
        <v>3402</v>
      </c>
      <c r="H6299" t="s">
        <v>3401</v>
      </c>
      <c r="I6299">
        <v>5405</v>
      </c>
      <c r="J6299" s="3">
        <v>67</v>
      </c>
      <c r="K6299" s="3">
        <v>29.44</v>
      </c>
      <c r="L6299">
        <v>56.06</v>
      </c>
    </row>
    <row r="6300" spans="1:12">
      <c r="A6300" s="1">
        <v>46048</v>
      </c>
      <c r="B6300" t="s">
        <v>5514</v>
      </c>
      <c r="C6300">
        <v>6</v>
      </c>
      <c r="D6300" t="str">
        <f>VLOOKUP(Tabela26[[#This Row],[EMP]],[1]LOJA!$A:$B,2,0)</f>
        <v>GAMA</v>
      </c>
      <c r="E6300">
        <v>245</v>
      </c>
      <c r="F6300" t="s">
        <v>3403</v>
      </c>
      <c r="G6300" t="s">
        <v>3402</v>
      </c>
      <c r="H6300" t="s">
        <v>3401</v>
      </c>
      <c r="I6300">
        <v>5102</v>
      </c>
      <c r="J6300" s="3">
        <v>20</v>
      </c>
      <c r="K6300" s="3">
        <v>15.4</v>
      </c>
      <c r="L6300">
        <v>23</v>
      </c>
    </row>
    <row r="6301" spans="1:12">
      <c r="A6301" s="1">
        <v>46048</v>
      </c>
      <c r="B6301" t="s">
        <v>5513</v>
      </c>
      <c r="C6301">
        <v>6</v>
      </c>
      <c r="D6301" t="str">
        <f>VLOOKUP(Tabela26[[#This Row],[EMP]],[1]LOJA!$A:$B,2,0)</f>
        <v>GAMA</v>
      </c>
      <c r="E6301">
        <v>226</v>
      </c>
      <c r="F6301" t="s">
        <v>5512</v>
      </c>
      <c r="G6301" t="s">
        <v>3402</v>
      </c>
      <c r="H6301" t="s">
        <v>3408</v>
      </c>
      <c r="I6301">
        <v>5102</v>
      </c>
      <c r="J6301" s="3">
        <v>79.8</v>
      </c>
      <c r="K6301" s="3">
        <v>43.5</v>
      </c>
      <c r="L6301">
        <v>45.49</v>
      </c>
    </row>
    <row r="6302" spans="1:12">
      <c r="A6302" s="1">
        <v>46048</v>
      </c>
      <c r="B6302" t="s">
        <v>5511</v>
      </c>
      <c r="C6302">
        <v>6</v>
      </c>
      <c r="D6302" t="str">
        <f>VLOOKUP(Tabela26[[#This Row],[EMP]],[1]LOJA!$A:$B,2,0)</f>
        <v>GAMA</v>
      </c>
      <c r="E6302">
        <v>226</v>
      </c>
      <c r="F6302" t="s">
        <v>3403</v>
      </c>
      <c r="G6302" t="s">
        <v>3402</v>
      </c>
      <c r="H6302" t="s">
        <v>3408</v>
      </c>
      <c r="I6302">
        <v>5405</v>
      </c>
      <c r="J6302" s="3">
        <v>352.86</v>
      </c>
      <c r="K6302" s="3">
        <v>174.27</v>
      </c>
      <c r="L6302">
        <v>50.61</v>
      </c>
    </row>
    <row r="6303" spans="1:12">
      <c r="A6303" s="1">
        <v>46048</v>
      </c>
      <c r="B6303" t="s">
        <v>5510</v>
      </c>
      <c r="C6303">
        <v>6</v>
      </c>
      <c r="D6303" t="str">
        <f>VLOOKUP(Tabela26[[#This Row],[EMP]],[1]LOJA!$A:$B,2,0)</f>
        <v>GAMA</v>
      </c>
      <c r="E6303">
        <v>245</v>
      </c>
      <c r="F6303" t="s">
        <v>5509</v>
      </c>
      <c r="G6303" t="s">
        <v>5508</v>
      </c>
      <c r="H6303" t="s">
        <v>4243</v>
      </c>
      <c r="I6303">
        <v>5102</v>
      </c>
      <c r="J6303" s="3">
        <v>67.599999999999994</v>
      </c>
      <c r="K6303" s="3">
        <v>40.15</v>
      </c>
      <c r="L6303">
        <v>40.61</v>
      </c>
    </row>
    <row r="6304" spans="1:12">
      <c r="A6304" s="1">
        <v>46048</v>
      </c>
      <c r="B6304" t="s">
        <v>5507</v>
      </c>
      <c r="C6304">
        <v>6</v>
      </c>
      <c r="D6304" t="str">
        <f>VLOOKUP(Tabela26[[#This Row],[EMP]],[1]LOJA!$A:$B,2,0)</f>
        <v>GAMA</v>
      </c>
      <c r="E6304">
        <v>226</v>
      </c>
      <c r="F6304" t="s">
        <v>3403</v>
      </c>
      <c r="G6304" t="s">
        <v>3402</v>
      </c>
      <c r="H6304" t="s">
        <v>3401</v>
      </c>
      <c r="I6304">
        <v>5102</v>
      </c>
      <c r="J6304" s="3">
        <v>30</v>
      </c>
      <c r="K6304" s="3">
        <v>18.62</v>
      </c>
      <c r="L6304">
        <v>37.93</v>
      </c>
    </row>
    <row r="6305" spans="1:12">
      <c r="A6305" s="1">
        <v>46048</v>
      </c>
      <c r="B6305" t="s">
        <v>5506</v>
      </c>
      <c r="C6305">
        <v>6</v>
      </c>
      <c r="D6305" t="str">
        <f>VLOOKUP(Tabela26[[#This Row],[EMP]],[1]LOJA!$A:$B,2,0)</f>
        <v>GAMA</v>
      </c>
      <c r="E6305">
        <v>226</v>
      </c>
      <c r="F6305" t="s">
        <v>3403</v>
      </c>
      <c r="G6305" t="s">
        <v>3402</v>
      </c>
      <c r="H6305" t="s">
        <v>3401</v>
      </c>
      <c r="I6305">
        <v>5102</v>
      </c>
      <c r="J6305" s="3">
        <v>80.72</v>
      </c>
      <c r="K6305" s="3">
        <v>30.8</v>
      </c>
      <c r="L6305">
        <v>61.84</v>
      </c>
    </row>
    <row r="6306" spans="1:12">
      <c r="A6306" s="1">
        <v>46048</v>
      </c>
      <c r="B6306" t="s">
        <v>5505</v>
      </c>
      <c r="C6306">
        <v>6</v>
      </c>
      <c r="D6306" t="str">
        <f>VLOOKUP(Tabela26[[#This Row],[EMP]],[1]LOJA!$A:$B,2,0)</f>
        <v>GAMA</v>
      </c>
      <c r="E6306">
        <v>226</v>
      </c>
      <c r="F6306" t="s">
        <v>5504</v>
      </c>
      <c r="G6306" t="s">
        <v>3402</v>
      </c>
      <c r="H6306" t="s">
        <v>3401</v>
      </c>
      <c r="I6306">
        <v>5102</v>
      </c>
      <c r="J6306" s="3">
        <v>130</v>
      </c>
      <c r="K6306" s="3">
        <v>82.3</v>
      </c>
      <c r="L6306">
        <v>36.69</v>
      </c>
    </row>
    <row r="6307" spans="1:12">
      <c r="A6307" s="1">
        <v>46048</v>
      </c>
      <c r="B6307" t="s">
        <v>5503</v>
      </c>
      <c r="C6307">
        <v>6</v>
      </c>
      <c r="D6307" t="str">
        <f>VLOOKUP(Tabela26[[#This Row],[EMP]],[1]LOJA!$A:$B,2,0)</f>
        <v>GAMA</v>
      </c>
      <c r="E6307">
        <v>245</v>
      </c>
      <c r="F6307" t="s">
        <v>4184</v>
      </c>
      <c r="G6307" t="s">
        <v>3402</v>
      </c>
      <c r="H6307" t="s">
        <v>3401</v>
      </c>
      <c r="I6307">
        <v>5405</v>
      </c>
      <c r="J6307" s="3">
        <v>235.9</v>
      </c>
      <c r="K6307" s="3">
        <v>129.47</v>
      </c>
      <c r="L6307">
        <v>45.12</v>
      </c>
    </row>
    <row r="6308" spans="1:12">
      <c r="A6308" s="1">
        <v>46048</v>
      </c>
      <c r="B6308" t="s">
        <v>5502</v>
      </c>
      <c r="C6308">
        <v>6</v>
      </c>
      <c r="D6308" t="str">
        <f>VLOOKUP(Tabela26[[#This Row],[EMP]],[1]LOJA!$A:$B,2,0)</f>
        <v>GAMA</v>
      </c>
      <c r="E6308">
        <v>226</v>
      </c>
      <c r="F6308" t="s">
        <v>5501</v>
      </c>
      <c r="G6308" t="s">
        <v>5500</v>
      </c>
      <c r="H6308" t="s">
        <v>3408</v>
      </c>
      <c r="I6308">
        <v>5102</v>
      </c>
      <c r="J6308" s="3">
        <v>128.9</v>
      </c>
      <c r="K6308" s="3">
        <v>78.180000000000007</v>
      </c>
      <c r="L6308">
        <v>39.35</v>
      </c>
    </row>
    <row r="6309" spans="1:12">
      <c r="A6309" s="1">
        <v>46048</v>
      </c>
      <c r="B6309" t="s">
        <v>5499</v>
      </c>
      <c r="C6309">
        <v>6</v>
      </c>
      <c r="D6309" t="str">
        <f>VLOOKUP(Tabela26[[#This Row],[EMP]],[1]LOJA!$A:$B,2,0)</f>
        <v>GAMA</v>
      </c>
      <c r="E6309">
        <v>245</v>
      </c>
      <c r="F6309" t="s">
        <v>3559</v>
      </c>
      <c r="G6309" t="s">
        <v>3558</v>
      </c>
      <c r="H6309" t="s">
        <v>5498</v>
      </c>
      <c r="I6309">
        <v>5405</v>
      </c>
      <c r="J6309" s="3">
        <v>480</v>
      </c>
      <c r="K6309" s="3">
        <v>253.85</v>
      </c>
      <c r="L6309">
        <v>47.11</v>
      </c>
    </row>
    <row r="6310" spans="1:12">
      <c r="A6310" s="1">
        <v>46049</v>
      </c>
      <c r="B6310" t="s">
        <v>5497</v>
      </c>
      <c r="C6310">
        <v>15</v>
      </c>
      <c r="D6310" t="str">
        <f>VLOOKUP(Tabela26[[#This Row],[EMP]],[1]LOJA!$A:$B,2,0)</f>
        <v>UNAÍ</v>
      </c>
      <c r="E6310">
        <v>183</v>
      </c>
      <c r="F6310" t="s">
        <v>5496</v>
      </c>
      <c r="G6310" t="s">
        <v>5495</v>
      </c>
      <c r="H6310" t="s">
        <v>3401</v>
      </c>
      <c r="I6310">
        <v>1202</v>
      </c>
      <c r="J6310" s="3">
        <v>-117.4</v>
      </c>
      <c r="K6310" s="3">
        <v>-62.21</v>
      </c>
      <c r="L6310">
        <v>47.01</v>
      </c>
    </row>
    <row r="6311" spans="1:12">
      <c r="A6311" s="1">
        <v>46049</v>
      </c>
      <c r="B6311" t="s">
        <v>5494</v>
      </c>
      <c r="C6311">
        <v>24</v>
      </c>
      <c r="D6311" t="str">
        <f>VLOOKUP(Tabela26[[#This Row],[EMP]],[1]LOJA!$A:$B,2,0)</f>
        <v>LUZIÂNIA</v>
      </c>
      <c r="E6311">
        <v>150</v>
      </c>
      <c r="F6311" t="s">
        <v>5493</v>
      </c>
      <c r="G6311" t="s">
        <v>5492</v>
      </c>
      <c r="H6311" t="s">
        <v>3401</v>
      </c>
      <c r="I6311">
        <v>5102</v>
      </c>
      <c r="J6311" s="3">
        <v>300</v>
      </c>
      <c r="K6311" s="3">
        <v>138.15</v>
      </c>
      <c r="L6311">
        <v>53.95</v>
      </c>
    </row>
    <row r="6312" spans="1:12">
      <c r="A6312" s="1">
        <v>46049</v>
      </c>
      <c r="B6312" t="s">
        <v>5491</v>
      </c>
      <c r="C6312">
        <v>24</v>
      </c>
      <c r="D6312" t="str">
        <f>VLOOKUP(Tabela26[[#This Row],[EMP]],[1]LOJA!$A:$B,2,0)</f>
        <v>LUZIÂNIA</v>
      </c>
      <c r="E6312">
        <v>150</v>
      </c>
      <c r="F6312" t="s">
        <v>4952</v>
      </c>
      <c r="G6312" t="s">
        <v>4951</v>
      </c>
      <c r="H6312" t="s">
        <v>3430</v>
      </c>
      <c r="I6312">
        <v>5405</v>
      </c>
      <c r="J6312" s="3">
        <v>125.57</v>
      </c>
      <c r="K6312" s="3">
        <v>64.209999999999994</v>
      </c>
      <c r="L6312">
        <v>48.87</v>
      </c>
    </row>
    <row r="6313" spans="1:12">
      <c r="A6313" s="1">
        <v>46049</v>
      </c>
      <c r="B6313" t="s">
        <v>5490</v>
      </c>
      <c r="C6313">
        <v>24</v>
      </c>
      <c r="D6313" t="str">
        <f>VLOOKUP(Tabela26[[#This Row],[EMP]],[1]LOJA!$A:$B,2,0)</f>
        <v>LUZIÂNIA</v>
      </c>
      <c r="E6313">
        <v>150</v>
      </c>
      <c r="F6313" t="s">
        <v>4292</v>
      </c>
      <c r="G6313" t="s">
        <v>4291</v>
      </c>
      <c r="H6313" t="s">
        <v>3430</v>
      </c>
      <c r="I6313">
        <v>5405</v>
      </c>
      <c r="J6313" s="3">
        <v>1150.69</v>
      </c>
      <c r="K6313" s="3">
        <v>653.94000000000005</v>
      </c>
      <c r="L6313">
        <v>43.17</v>
      </c>
    </row>
    <row r="6314" spans="1:12">
      <c r="A6314" s="1">
        <v>46049</v>
      </c>
      <c r="B6314" t="s">
        <v>5489</v>
      </c>
      <c r="C6314">
        <v>24</v>
      </c>
      <c r="D6314" t="str">
        <f>VLOOKUP(Tabela26[[#This Row],[EMP]],[1]LOJA!$A:$B,2,0)</f>
        <v>LUZIÂNIA</v>
      </c>
      <c r="E6314">
        <v>150</v>
      </c>
      <c r="F6314" t="s">
        <v>4952</v>
      </c>
      <c r="G6314" t="s">
        <v>4951</v>
      </c>
      <c r="H6314" t="s">
        <v>3430</v>
      </c>
      <c r="I6314">
        <v>5405</v>
      </c>
      <c r="J6314" s="3">
        <v>440.1</v>
      </c>
      <c r="K6314" s="3">
        <v>263.25</v>
      </c>
      <c r="L6314">
        <v>40.18</v>
      </c>
    </row>
    <row r="6315" spans="1:12">
      <c r="A6315" s="1">
        <v>46049</v>
      </c>
      <c r="B6315" t="s">
        <v>5488</v>
      </c>
      <c r="C6315">
        <v>24</v>
      </c>
      <c r="D6315" t="str">
        <f>VLOOKUP(Tabela26[[#This Row],[EMP]],[1]LOJA!$A:$B,2,0)</f>
        <v>LUZIÂNIA</v>
      </c>
      <c r="E6315">
        <v>242</v>
      </c>
      <c r="F6315" t="s">
        <v>4886</v>
      </c>
      <c r="G6315" t="s">
        <v>4885</v>
      </c>
      <c r="H6315" t="s">
        <v>3401</v>
      </c>
      <c r="I6315">
        <v>1411</v>
      </c>
      <c r="J6315" s="3">
        <v>-29.76</v>
      </c>
      <c r="K6315" s="3">
        <v>-14.08</v>
      </c>
      <c r="L6315">
        <v>52.69</v>
      </c>
    </row>
    <row r="6316" spans="1:12">
      <c r="A6316" s="1">
        <v>46049</v>
      </c>
      <c r="B6316" t="s">
        <v>5487</v>
      </c>
      <c r="C6316">
        <v>24</v>
      </c>
      <c r="D6316" t="str">
        <f>VLOOKUP(Tabela26[[#This Row],[EMP]],[1]LOJA!$A:$B,2,0)</f>
        <v>LUZIÂNIA</v>
      </c>
      <c r="E6316">
        <v>242</v>
      </c>
      <c r="F6316" t="s">
        <v>4886</v>
      </c>
      <c r="G6316" t="s">
        <v>4885</v>
      </c>
      <c r="H6316" t="s">
        <v>3401</v>
      </c>
      <c r="I6316">
        <v>1411</v>
      </c>
      <c r="J6316" s="3">
        <v>-29.76</v>
      </c>
      <c r="K6316" s="3">
        <v>-14.08</v>
      </c>
      <c r="L6316">
        <v>52.69</v>
      </c>
    </row>
    <row r="6317" spans="1:12">
      <c r="A6317" s="1">
        <v>46049</v>
      </c>
      <c r="B6317" t="s">
        <v>5486</v>
      </c>
      <c r="C6317">
        <v>24</v>
      </c>
      <c r="D6317" t="str">
        <f>VLOOKUP(Tabela26[[#This Row],[EMP]],[1]LOJA!$A:$B,2,0)</f>
        <v>LUZIÂNIA</v>
      </c>
      <c r="E6317">
        <v>192</v>
      </c>
      <c r="F6317" t="s">
        <v>4270</v>
      </c>
      <c r="G6317" t="s">
        <v>4269</v>
      </c>
      <c r="H6317" t="s">
        <v>3430</v>
      </c>
      <c r="I6317">
        <v>5102</v>
      </c>
      <c r="J6317" s="3">
        <v>299</v>
      </c>
      <c r="K6317" s="3">
        <v>174.98</v>
      </c>
      <c r="L6317">
        <v>41.48</v>
      </c>
    </row>
    <row r="6318" spans="1:12">
      <c r="A6318" s="1">
        <v>46049</v>
      </c>
      <c r="B6318" t="s">
        <v>5485</v>
      </c>
      <c r="C6318">
        <v>24</v>
      </c>
      <c r="D6318" t="str">
        <f>VLOOKUP(Tabela26[[#This Row],[EMP]],[1]LOJA!$A:$B,2,0)</f>
        <v>LUZIÂNIA</v>
      </c>
      <c r="E6318">
        <v>150</v>
      </c>
      <c r="F6318" t="s">
        <v>4279</v>
      </c>
      <c r="G6318" t="s">
        <v>4278</v>
      </c>
      <c r="H6318" t="s">
        <v>3430</v>
      </c>
      <c r="I6318">
        <v>5405</v>
      </c>
      <c r="J6318" s="3">
        <v>436.63</v>
      </c>
      <c r="K6318" s="3">
        <v>248.78</v>
      </c>
      <c r="L6318">
        <v>43.02</v>
      </c>
    </row>
    <row r="6319" spans="1:12">
      <c r="A6319" s="1">
        <v>46049</v>
      </c>
      <c r="B6319" t="s">
        <v>5484</v>
      </c>
      <c r="C6319">
        <v>24</v>
      </c>
      <c r="D6319" t="str">
        <f>VLOOKUP(Tabela26[[#This Row],[EMP]],[1]LOJA!$A:$B,2,0)</f>
        <v>LUZIÂNIA</v>
      </c>
      <c r="E6319">
        <v>192</v>
      </c>
      <c r="F6319" t="s">
        <v>4270</v>
      </c>
      <c r="G6319" t="s">
        <v>4269</v>
      </c>
      <c r="H6319" t="s">
        <v>3430</v>
      </c>
      <c r="I6319">
        <v>5405</v>
      </c>
      <c r="J6319" s="3">
        <v>1314.9</v>
      </c>
      <c r="K6319" s="3">
        <v>829.24</v>
      </c>
      <c r="L6319">
        <v>36.94</v>
      </c>
    </row>
    <row r="6320" spans="1:12">
      <c r="A6320" s="1">
        <v>46049</v>
      </c>
      <c r="B6320" t="s">
        <v>5483</v>
      </c>
      <c r="C6320">
        <v>24</v>
      </c>
      <c r="D6320" t="str">
        <f>VLOOKUP(Tabela26[[#This Row],[EMP]],[1]LOJA!$A:$B,2,0)</f>
        <v>LUZIÂNIA</v>
      </c>
      <c r="E6320">
        <v>192</v>
      </c>
      <c r="F6320" t="s">
        <v>4270</v>
      </c>
      <c r="G6320" t="s">
        <v>4269</v>
      </c>
      <c r="H6320" t="s">
        <v>3430</v>
      </c>
      <c r="I6320">
        <v>5102</v>
      </c>
      <c r="J6320" s="3">
        <v>358.8</v>
      </c>
      <c r="K6320" s="3">
        <v>223.92</v>
      </c>
      <c r="L6320">
        <v>37.590000000000003</v>
      </c>
    </row>
    <row r="6321" spans="1:12">
      <c r="A6321" s="1">
        <v>46049</v>
      </c>
      <c r="B6321" t="s">
        <v>5482</v>
      </c>
      <c r="C6321">
        <v>20</v>
      </c>
      <c r="D6321" t="str">
        <f>VLOOKUP(Tabela26[[#This Row],[EMP]],[1]LOJA!$A:$B,2,0)</f>
        <v>DAUTO SERVIÇOS</v>
      </c>
      <c r="E6321">
        <v>232</v>
      </c>
      <c r="F6321" t="s">
        <v>5481</v>
      </c>
      <c r="G6321" t="s">
        <v>5480</v>
      </c>
      <c r="H6321" t="s">
        <v>3430</v>
      </c>
      <c r="I6321">
        <v>5933</v>
      </c>
      <c r="J6321" s="3">
        <v>3275.24</v>
      </c>
      <c r="K6321" s="3">
        <v>0</v>
      </c>
      <c r="L6321">
        <v>100</v>
      </c>
    </row>
    <row r="6322" spans="1:12">
      <c r="A6322" s="1">
        <v>46049</v>
      </c>
      <c r="B6322" t="s">
        <v>5479</v>
      </c>
      <c r="C6322">
        <v>20</v>
      </c>
      <c r="D6322" t="str">
        <f>VLOOKUP(Tabela26[[#This Row],[EMP]],[1]LOJA!$A:$B,2,0)</f>
        <v>DAUTO SERVIÇOS</v>
      </c>
      <c r="E6322">
        <v>232</v>
      </c>
      <c r="F6322" t="s">
        <v>4260</v>
      </c>
      <c r="G6322" t="s">
        <v>5471</v>
      </c>
      <c r="H6322" t="s">
        <v>3430</v>
      </c>
      <c r="I6322">
        <v>5933</v>
      </c>
      <c r="J6322" s="3">
        <v>2495.6</v>
      </c>
      <c r="K6322" s="3">
        <v>0</v>
      </c>
      <c r="L6322">
        <v>100</v>
      </c>
    </row>
    <row r="6323" spans="1:12">
      <c r="A6323" s="1">
        <v>46049</v>
      </c>
      <c r="B6323" t="s">
        <v>5478</v>
      </c>
      <c r="C6323">
        <v>20</v>
      </c>
      <c r="D6323" t="str">
        <f>VLOOKUP(Tabela26[[#This Row],[EMP]],[1]LOJA!$A:$B,2,0)</f>
        <v>DAUTO SERVIÇOS</v>
      </c>
      <c r="E6323">
        <v>232</v>
      </c>
      <c r="F6323" t="s">
        <v>4260</v>
      </c>
      <c r="G6323" t="s">
        <v>5471</v>
      </c>
      <c r="H6323" t="s">
        <v>3430</v>
      </c>
      <c r="I6323">
        <v>5933</v>
      </c>
      <c r="J6323" s="3">
        <v>6588.8</v>
      </c>
      <c r="K6323" s="3">
        <v>0</v>
      </c>
      <c r="L6323">
        <v>100</v>
      </c>
    </row>
    <row r="6324" spans="1:12">
      <c r="A6324" s="1">
        <v>46049</v>
      </c>
      <c r="B6324" t="s">
        <v>5477</v>
      </c>
      <c r="C6324">
        <v>20</v>
      </c>
      <c r="D6324" t="str">
        <f>VLOOKUP(Tabela26[[#This Row],[EMP]],[1]LOJA!$A:$B,2,0)</f>
        <v>DAUTO SERVIÇOS</v>
      </c>
      <c r="E6324">
        <v>232</v>
      </c>
      <c r="F6324" t="s">
        <v>4260</v>
      </c>
      <c r="G6324" t="s">
        <v>5471</v>
      </c>
      <c r="H6324" t="s">
        <v>3430</v>
      </c>
      <c r="I6324">
        <v>5933</v>
      </c>
      <c r="J6324" s="3">
        <v>971.67</v>
      </c>
      <c r="K6324" s="3">
        <v>0</v>
      </c>
      <c r="L6324">
        <v>100</v>
      </c>
    </row>
    <row r="6325" spans="1:12">
      <c r="A6325" s="1">
        <v>46049</v>
      </c>
      <c r="B6325" t="s">
        <v>5476</v>
      </c>
      <c r="C6325">
        <v>20</v>
      </c>
      <c r="D6325" t="str">
        <f>VLOOKUP(Tabela26[[#This Row],[EMP]],[1]LOJA!$A:$B,2,0)</f>
        <v>DAUTO SERVIÇOS</v>
      </c>
      <c r="E6325">
        <v>232</v>
      </c>
      <c r="F6325" t="s">
        <v>4260</v>
      </c>
      <c r="G6325" t="s">
        <v>5471</v>
      </c>
      <c r="H6325" t="s">
        <v>3430</v>
      </c>
      <c r="I6325">
        <v>5933</v>
      </c>
      <c r="J6325" s="3">
        <v>108.29</v>
      </c>
      <c r="K6325" s="3">
        <v>0</v>
      </c>
      <c r="L6325">
        <v>100</v>
      </c>
    </row>
    <row r="6326" spans="1:12">
      <c r="A6326" s="1">
        <v>46049</v>
      </c>
      <c r="B6326" t="s">
        <v>5475</v>
      </c>
      <c r="C6326">
        <v>20</v>
      </c>
      <c r="D6326" t="str">
        <f>VLOOKUP(Tabela26[[#This Row],[EMP]],[1]LOJA!$A:$B,2,0)</f>
        <v>DAUTO SERVIÇOS</v>
      </c>
      <c r="E6326">
        <v>232</v>
      </c>
      <c r="F6326" t="s">
        <v>4260</v>
      </c>
      <c r="G6326" t="s">
        <v>5471</v>
      </c>
      <c r="H6326" t="s">
        <v>3430</v>
      </c>
      <c r="I6326">
        <v>5933</v>
      </c>
      <c r="J6326" s="3">
        <v>205.99</v>
      </c>
      <c r="K6326" s="3">
        <v>0</v>
      </c>
      <c r="L6326">
        <v>100</v>
      </c>
    </row>
    <row r="6327" spans="1:12">
      <c r="A6327" s="1">
        <v>46049</v>
      </c>
      <c r="B6327" t="s">
        <v>5474</v>
      </c>
      <c r="C6327">
        <v>20</v>
      </c>
      <c r="D6327" t="str">
        <f>VLOOKUP(Tabela26[[#This Row],[EMP]],[1]LOJA!$A:$B,2,0)</f>
        <v>DAUTO SERVIÇOS</v>
      </c>
      <c r="E6327">
        <v>232</v>
      </c>
      <c r="F6327" t="s">
        <v>4260</v>
      </c>
      <c r="G6327" t="s">
        <v>5471</v>
      </c>
      <c r="H6327" t="s">
        <v>3430</v>
      </c>
      <c r="I6327">
        <v>5933</v>
      </c>
      <c r="J6327" s="3">
        <v>3611.17</v>
      </c>
      <c r="K6327" s="3">
        <v>0</v>
      </c>
      <c r="L6327">
        <v>100</v>
      </c>
    </row>
    <row r="6328" spans="1:12">
      <c r="A6328" s="1">
        <v>46049</v>
      </c>
      <c r="B6328" t="s">
        <v>5473</v>
      </c>
      <c r="C6328">
        <v>20</v>
      </c>
      <c r="D6328" t="str">
        <f>VLOOKUP(Tabela26[[#This Row],[EMP]],[1]LOJA!$A:$B,2,0)</f>
        <v>DAUTO SERVIÇOS</v>
      </c>
      <c r="E6328">
        <v>232</v>
      </c>
      <c r="F6328" t="s">
        <v>4260</v>
      </c>
      <c r="G6328" t="s">
        <v>5471</v>
      </c>
      <c r="H6328" t="s">
        <v>3430</v>
      </c>
      <c r="I6328">
        <v>5933</v>
      </c>
      <c r="J6328" s="3">
        <v>1100</v>
      </c>
      <c r="K6328" s="3">
        <v>0</v>
      </c>
      <c r="L6328">
        <v>100</v>
      </c>
    </row>
    <row r="6329" spans="1:12">
      <c r="A6329" s="1">
        <v>46049</v>
      </c>
      <c r="B6329" t="s">
        <v>5472</v>
      </c>
      <c r="C6329">
        <v>20</v>
      </c>
      <c r="D6329" t="str">
        <f>VLOOKUP(Tabela26[[#This Row],[EMP]],[1]LOJA!$A:$B,2,0)</f>
        <v>DAUTO SERVIÇOS</v>
      </c>
      <c r="E6329">
        <v>232</v>
      </c>
      <c r="F6329" t="s">
        <v>4260</v>
      </c>
      <c r="G6329" t="s">
        <v>5471</v>
      </c>
      <c r="H6329" t="s">
        <v>3430</v>
      </c>
      <c r="I6329">
        <v>5933</v>
      </c>
      <c r="J6329" s="3">
        <v>2044.4</v>
      </c>
      <c r="K6329" s="3">
        <v>0</v>
      </c>
      <c r="L6329">
        <v>100</v>
      </c>
    </row>
    <row r="6330" spans="1:12">
      <c r="A6330" s="1">
        <v>46049</v>
      </c>
      <c r="B6330" t="s">
        <v>5470</v>
      </c>
      <c r="C6330">
        <v>15</v>
      </c>
      <c r="D6330" t="str">
        <f>VLOOKUP(Tabela26[[#This Row],[EMP]],[1]LOJA!$A:$B,2,0)</f>
        <v>UNAÍ</v>
      </c>
      <c r="E6330">
        <v>183</v>
      </c>
      <c r="F6330" t="s">
        <v>5469</v>
      </c>
      <c r="G6330" t="s">
        <v>5468</v>
      </c>
      <c r="H6330" t="s">
        <v>3408</v>
      </c>
      <c r="I6330">
        <v>5405</v>
      </c>
      <c r="J6330" s="3">
        <v>506</v>
      </c>
      <c r="K6330" s="3">
        <v>225.51</v>
      </c>
      <c r="L6330">
        <v>55.43</v>
      </c>
    </row>
    <row r="6331" spans="1:12">
      <c r="A6331" s="1">
        <v>46049</v>
      </c>
      <c r="B6331" t="s">
        <v>5467</v>
      </c>
      <c r="C6331">
        <v>22</v>
      </c>
      <c r="D6331" t="str">
        <f>VLOOKUP(Tabela26[[#This Row],[EMP]],[1]LOJA!$A:$B,2,0)</f>
        <v>GUARÁ</v>
      </c>
      <c r="E6331">
        <v>93</v>
      </c>
      <c r="F6331" t="s">
        <v>3542</v>
      </c>
      <c r="G6331" t="s">
        <v>3541</v>
      </c>
      <c r="H6331" t="s">
        <v>3430</v>
      </c>
      <c r="I6331">
        <v>5405</v>
      </c>
      <c r="J6331" s="3">
        <v>113.16</v>
      </c>
      <c r="K6331" s="3">
        <v>54.35</v>
      </c>
      <c r="L6331">
        <v>51.97</v>
      </c>
    </row>
    <row r="6332" spans="1:12">
      <c r="A6332" s="1">
        <v>46049</v>
      </c>
      <c r="B6332" t="s">
        <v>5466</v>
      </c>
      <c r="C6332">
        <v>22</v>
      </c>
      <c r="D6332" t="str">
        <f>VLOOKUP(Tabela26[[#This Row],[EMP]],[1]LOJA!$A:$B,2,0)</f>
        <v>GUARÁ</v>
      </c>
      <c r="E6332">
        <v>93</v>
      </c>
      <c r="F6332" t="s">
        <v>3535</v>
      </c>
      <c r="G6332" t="s">
        <v>3534</v>
      </c>
      <c r="H6332" t="s">
        <v>5459</v>
      </c>
      <c r="I6332">
        <v>5102</v>
      </c>
      <c r="J6332" s="3">
        <v>296.2</v>
      </c>
      <c r="K6332" s="3">
        <v>176.84</v>
      </c>
      <c r="L6332">
        <v>40.299999999999997</v>
      </c>
    </row>
    <row r="6333" spans="1:12">
      <c r="A6333" s="1">
        <v>46049</v>
      </c>
      <c r="B6333" t="s">
        <v>5465</v>
      </c>
      <c r="C6333">
        <v>22</v>
      </c>
      <c r="D6333" t="str">
        <f>VLOOKUP(Tabela26[[#This Row],[EMP]],[1]LOJA!$A:$B,2,0)</f>
        <v>GUARÁ</v>
      </c>
      <c r="E6333">
        <v>93</v>
      </c>
      <c r="F6333" t="s">
        <v>5464</v>
      </c>
      <c r="G6333" t="s">
        <v>5463</v>
      </c>
      <c r="H6333" t="s">
        <v>3401</v>
      </c>
      <c r="I6333">
        <v>5102</v>
      </c>
      <c r="J6333" s="3">
        <v>97.5</v>
      </c>
      <c r="K6333" s="3">
        <v>62.55</v>
      </c>
      <c r="L6333">
        <v>35.85</v>
      </c>
    </row>
    <row r="6334" spans="1:12">
      <c r="A6334" s="1">
        <v>46049</v>
      </c>
      <c r="B6334" t="s">
        <v>5462</v>
      </c>
      <c r="C6334">
        <v>22</v>
      </c>
      <c r="D6334" t="str">
        <f>VLOOKUP(Tabela26[[#This Row],[EMP]],[1]LOJA!$A:$B,2,0)</f>
        <v>GUARÁ</v>
      </c>
      <c r="E6334">
        <v>93</v>
      </c>
      <c r="F6334" t="s">
        <v>4251</v>
      </c>
      <c r="G6334" t="s">
        <v>4250</v>
      </c>
      <c r="H6334" t="s">
        <v>3537</v>
      </c>
      <c r="I6334">
        <v>5405</v>
      </c>
      <c r="J6334" s="3">
        <v>1030.52</v>
      </c>
      <c r="K6334" s="3">
        <v>521.25</v>
      </c>
      <c r="L6334">
        <v>49.42</v>
      </c>
    </row>
    <row r="6335" spans="1:12">
      <c r="A6335" s="1">
        <v>46049</v>
      </c>
      <c r="B6335" t="s">
        <v>5461</v>
      </c>
      <c r="C6335">
        <v>22</v>
      </c>
      <c r="D6335" t="str">
        <f>VLOOKUP(Tabela26[[#This Row],[EMP]],[1]LOJA!$A:$B,2,0)</f>
        <v>GUARÁ</v>
      </c>
      <c r="E6335">
        <v>93</v>
      </c>
      <c r="F6335" t="s">
        <v>4251</v>
      </c>
      <c r="G6335" t="s">
        <v>4250</v>
      </c>
      <c r="H6335" t="s">
        <v>3430</v>
      </c>
      <c r="I6335">
        <v>5102</v>
      </c>
      <c r="J6335" s="3">
        <v>166.4</v>
      </c>
      <c r="K6335" s="3">
        <v>108.9</v>
      </c>
      <c r="L6335">
        <v>34.56</v>
      </c>
    </row>
    <row r="6336" spans="1:12">
      <c r="A6336" s="1">
        <v>46049</v>
      </c>
      <c r="B6336" t="s">
        <v>5460</v>
      </c>
      <c r="C6336">
        <v>22</v>
      </c>
      <c r="D6336" t="str">
        <f>VLOOKUP(Tabela26[[#This Row],[EMP]],[1]LOJA!$A:$B,2,0)</f>
        <v>GUARÁ</v>
      </c>
      <c r="E6336">
        <v>93</v>
      </c>
      <c r="F6336" t="s">
        <v>3535</v>
      </c>
      <c r="G6336" t="s">
        <v>3534</v>
      </c>
      <c r="H6336" t="s">
        <v>5459</v>
      </c>
      <c r="I6336">
        <v>5405</v>
      </c>
      <c r="J6336" s="3">
        <v>377.79</v>
      </c>
      <c r="K6336" s="3">
        <v>198.5</v>
      </c>
      <c r="L6336">
        <v>47.46</v>
      </c>
    </row>
    <row r="6337" spans="1:12">
      <c r="A6337" s="1">
        <v>46049</v>
      </c>
      <c r="B6337" t="s">
        <v>5458</v>
      </c>
      <c r="C6337">
        <v>22</v>
      </c>
      <c r="D6337" t="str">
        <f>VLOOKUP(Tabela26[[#This Row],[EMP]],[1]LOJA!$A:$B,2,0)</f>
        <v>GUARÁ</v>
      </c>
      <c r="E6337">
        <v>16</v>
      </c>
      <c r="F6337" t="s">
        <v>3889</v>
      </c>
      <c r="G6337" t="s">
        <v>3888</v>
      </c>
      <c r="H6337" t="s">
        <v>3401</v>
      </c>
      <c r="I6337">
        <v>1202</v>
      </c>
      <c r="J6337" s="3">
        <v>-16.57</v>
      </c>
      <c r="K6337" s="3">
        <v>-10.46</v>
      </c>
      <c r="L6337">
        <v>36.869999999999997</v>
      </c>
    </row>
    <row r="6338" spans="1:12">
      <c r="A6338" s="1">
        <v>46049</v>
      </c>
      <c r="B6338" t="s">
        <v>5457</v>
      </c>
      <c r="C6338">
        <v>22</v>
      </c>
      <c r="D6338" t="str">
        <f>VLOOKUP(Tabela26[[#This Row],[EMP]],[1]LOJA!$A:$B,2,0)</f>
        <v>GUARÁ</v>
      </c>
      <c r="E6338">
        <v>93</v>
      </c>
      <c r="F6338" t="s">
        <v>5456</v>
      </c>
      <c r="G6338" t="s">
        <v>5455</v>
      </c>
      <c r="H6338" t="s">
        <v>3430</v>
      </c>
      <c r="I6338">
        <v>5405</v>
      </c>
      <c r="J6338" s="3">
        <v>343.71</v>
      </c>
      <c r="K6338" s="3">
        <v>161.75</v>
      </c>
      <c r="L6338">
        <v>52.94</v>
      </c>
    </row>
    <row r="6339" spans="1:12">
      <c r="A6339" s="1">
        <v>46049</v>
      </c>
      <c r="B6339" t="s">
        <v>5454</v>
      </c>
      <c r="C6339">
        <v>24</v>
      </c>
      <c r="D6339" t="str">
        <f>VLOOKUP(Tabela26[[#This Row],[EMP]],[1]LOJA!$A:$B,2,0)</f>
        <v>LUZIÂNIA</v>
      </c>
      <c r="E6339">
        <v>150</v>
      </c>
      <c r="F6339" t="s">
        <v>3524</v>
      </c>
      <c r="G6339" t="s">
        <v>3402</v>
      </c>
      <c r="H6339" t="s">
        <v>3401</v>
      </c>
      <c r="I6339">
        <v>5102</v>
      </c>
      <c r="J6339" s="3">
        <v>105</v>
      </c>
      <c r="K6339" s="3">
        <v>54.54</v>
      </c>
      <c r="L6339">
        <v>48.06</v>
      </c>
    </row>
    <row r="6340" spans="1:12">
      <c r="A6340" s="1">
        <v>46049</v>
      </c>
      <c r="B6340" t="s">
        <v>5453</v>
      </c>
      <c r="C6340">
        <v>24</v>
      </c>
      <c r="D6340" t="str">
        <f>VLOOKUP(Tabela26[[#This Row],[EMP]],[1]LOJA!$A:$B,2,0)</f>
        <v>LUZIÂNIA</v>
      </c>
      <c r="E6340">
        <v>242</v>
      </c>
      <c r="F6340" t="s">
        <v>3524</v>
      </c>
      <c r="G6340" t="s">
        <v>3402</v>
      </c>
      <c r="H6340" t="s">
        <v>3401</v>
      </c>
      <c r="I6340">
        <v>5405</v>
      </c>
      <c r="J6340" s="3">
        <v>129</v>
      </c>
      <c r="K6340" s="3">
        <v>66.05</v>
      </c>
      <c r="L6340">
        <v>48.8</v>
      </c>
    </row>
    <row r="6341" spans="1:12">
      <c r="A6341" s="1">
        <v>46049</v>
      </c>
      <c r="B6341" t="s">
        <v>5452</v>
      </c>
      <c r="C6341">
        <v>24</v>
      </c>
      <c r="D6341" t="str">
        <f>VLOOKUP(Tabela26[[#This Row],[EMP]],[1]LOJA!$A:$B,2,0)</f>
        <v>LUZIÂNIA</v>
      </c>
      <c r="E6341">
        <v>192</v>
      </c>
      <c r="F6341" t="s">
        <v>3524</v>
      </c>
      <c r="G6341" t="s">
        <v>3402</v>
      </c>
      <c r="H6341" t="s">
        <v>3401</v>
      </c>
      <c r="I6341">
        <v>5102</v>
      </c>
      <c r="J6341" s="3">
        <v>23.12</v>
      </c>
      <c r="K6341" s="3">
        <v>13.36</v>
      </c>
      <c r="L6341">
        <v>42.21</v>
      </c>
    </row>
    <row r="6342" spans="1:12">
      <c r="A6342" s="1">
        <v>46049</v>
      </c>
      <c r="B6342" t="s">
        <v>5451</v>
      </c>
      <c r="C6342">
        <v>24</v>
      </c>
      <c r="D6342" t="str">
        <f>VLOOKUP(Tabela26[[#This Row],[EMP]],[1]LOJA!$A:$B,2,0)</f>
        <v>LUZIÂNIA</v>
      </c>
      <c r="E6342">
        <v>150</v>
      </c>
      <c r="F6342" t="s">
        <v>5426</v>
      </c>
      <c r="G6342" t="s">
        <v>5425</v>
      </c>
      <c r="H6342" t="s">
        <v>3401</v>
      </c>
      <c r="I6342">
        <v>5102</v>
      </c>
      <c r="J6342" s="3">
        <v>61</v>
      </c>
      <c r="K6342" s="3">
        <v>29.61</v>
      </c>
      <c r="L6342">
        <v>51.46</v>
      </c>
    </row>
    <row r="6343" spans="1:12">
      <c r="A6343" s="1">
        <v>46049</v>
      </c>
      <c r="B6343" t="s">
        <v>5450</v>
      </c>
      <c r="C6343">
        <v>24</v>
      </c>
      <c r="D6343" t="str">
        <f>VLOOKUP(Tabela26[[#This Row],[EMP]],[1]LOJA!$A:$B,2,0)</f>
        <v>LUZIÂNIA</v>
      </c>
      <c r="E6343">
        <v>150</v>
      </c>
      <c r="F6343" t="s">
        <v>5449</v>
      </c>
      <c r="G6343" t="s">
        <v>5448</v>
      </c>
      <c r="H6343" t="s">
        <v>3401</v>
      </c>
      <c r="I6343">
        <v>5405</v>
      </c>
      <c r="J6343" s="3">
        <v>126</v>
      </c>
      <c r="K6343" s="3">
        <v>56.87</v>
      </c>
      <c r="L6343">
        <v>54.87</v>
      </c>
    </row>
    <row r="6344" spans="1:12">
      <c r="A6344" s="1">
        <v>46049</v>
      </c>
      <c r="B6344" t="s">
        <v>5447</v>
      </c>
      <c r="C6344">
        <v>24</v>
      </c>
      <c r="D6344" t="str">
        <f>VLOOKUP(Tabela26[[#This Row],[EMP]],[1]LOJA!$A:$B,2,0)</f>
        <v>LUZIÂNIA</v>
      </c>
      <c r="E6344">
        <v>192</v>
      </c>
      <c r="F6344" t="s">
        <v>4207</v>
      </c>
      <c r="G6344" t="s">
        <v>4206</v>
      </c>
      <c r="H6344" t="s">
        <v>3408</v>
      </c>
      <c r="I6344">
        <v>5102</v>
      </c>
      <c r="J6344" s="3">
        <v>29.9</v>
      </c>
      <c r="K6344" s="3">
        <v>20.96</v>
      </c>
      <c r="L6344">
        <v>29.9</v>
      </c>
    </row>
    <row r="6345" spans="1:12">
      <c r="A6345" s="1">
        <v>46049</v>
      </c>
      <c r="B6345" t="s">
        <v>5446</v>
      </c>
      <c r="C6345">
        <v>24</v>
      </c>
      <c r="D6345" t="str">
        <f>VLOOKUP(Tabela26[[#This Row],[EMP]],[1]LOJA!$A:$B,2,0)</f>
        <v>LUZIÂNIA</v>
      </c>
      <c r="E6345">
        <v>150</v>
      </c>
      <c r="F6345" t="s">
        <v>5445</v>
      </c>
      <c r="G6345" t="s">
        <v>5444</v>
      </c>
      <c r="H6345" t="s">
        <v>3408</v>
      </c>
      <c r="I6345">
        <v>5102</v>
      </c>
      <c r="J6345" s="3">
        <v>270</v>
      </c>
      <c r="K6345" s="3">
        <v>154.05000000000001</v>
      </c>
      <c r="L6345">
        <v>42.94</v>
      </c>
    </row>
    <row r="6346" spans="1:12">
      <c r="A6346" s="1">
        <v>46049</v>
      </c>
      <c r="B6346" t="s">
        <v>5443</v>
      </c>
      <c r="C6346">
        <v>24</v>
      </c>
      <c r="D6346" t="str">
        <f>VLOOKUP(Tabela26[[#This Row],[EMP]],[1]LOJA!$A:$B,2,0)</f>
        <v>LUZIÂNIA</v>
      </c>
      <c r="E6346">
        <v>150</v>
      </c>
      <c r="F6346" t="s">
        <v>5442</v>
      </c>
      <c r="G6346" t="s">
        <v>3402</v>
      </c>
      <c r="H6346" t="s">
        <v>3408</v>
      </c>
      <c r="I6346">
        <v>5405</v>
      </c>
      <c r="J6346" s="3">
        <v>250</v>
      </c>
      <c r="K6346" s="3">
        <v>127.26</v>
      </c>
      <c r="L6346">
        <v>49.1</v>
      </c>
    </row>
    <row r="6347" spans="1:12">
      <c r="A6347" s="1">
        <v>46049</v>
      </c>
      <c r="B6347" t="s">
        <v>5441</v>
      </c>
      <c r="C6347">
        <v>24</v>
      </c>
      <c r="D6347" t="str">
        <f>VLOOKUP(Tabela26[[#This Row],[EMP]],[1]LOJA!$A:$B,2,0)</f>
        <v>LUZIÂNIA</v>
      </c>
      <c r="E6347">
        <v>150</v>
      </c>
      <c r="F6347" t="s">
        <v>5440</v>
      </c>
      <c r="G6347" t="s">
        <v>5439</v>
      </c>
      <c r="H6347" t="s">
        <v>3408</v>
      </c>
      <c r="I6347">
        <v>5102</v>
      </c>
      <c r="J6347" s="3">
        <v>95</v>
      </c>
      <c r="K6347" s="3">
        <v>46.3</v>
      </c>
      <c r="L6347">
        <v>51.26</v>
      </c>
    </row>
    <row r="6348" spans="1:12">
      <c r="A6348" s="1">
        <v>46049</v>
      </c>
      <c r="B6348" t="s">
        <v>5438</v>
      </c>
      <c r="C6348">
        <v>24</v>
      </c>
      <c r="D6348" t="str">
        <f>VLOOKUP(Tabela26[[#This Row],[EMP]],[1]LOJA!$A:$B,2,0)</f>
        <v>LUZIÂNIA</v>
      </c>
      <c r="E6348">
        <v>242</v>
      </c>
      <c r="F6348" t="s">
        <v>3524</v>
      </c>
      <c r="G6348" t="s">
        <v>3402</v>
      </c>
      <c r="H6348" t="s">
        <v>3401</v>
      </c>
      <c r="I6348">
        <v>5405</v>
      </c>
      <c r="J6348" s="3">
        <v>123</v>
      </c>
      <c r="K6348" s="3">
        <v>68.03</v>
      </c>
      <c r="L6348">
        <v>44.69</v>
      </c>
    </row>
    <row r="6349" spans="1:12">
      <c r="A6349" s="1">
        <v>46049</v>
      </c>
      <c r="B6349" t="s">
        <v>5437</v>
      </c>
      <c r="C6349">
        <v>24</v>
      </c>
      <c r="D6349" t="str">
        <f>VLOOKUP(Tabela26[[#This Row],[EMP]],[1]LOJA!$A:$B,2,0)</f>
        <v>LUZIÂNIA</v>
      </c>
      <c r="E6349">
        <v>150</v>
      </c>
      <c r="F6349" t="s">
        <v>3524</v>
      </c>
      <c r="G6349" t="s">
        <v>3402</v>
      </c>
      <c r="H6349" t="s">
        <v>3401</v>
      </c>
      <c r="I6349">
        <v>5102</v>
      </c>
      <c r="J6349" s="3">
        <v>6</v>
      </c>
      <c r="K6349" s="3">
        <v>2.65</v>
      </c>
      <c r="L6349">
        <v>55.83</v>
      </c>
    </row>
    <row r="6350" spans="1:12">
      <c r="A6350" s="1">
        <v>46049</v>
      </c>
      <c r="B6350" t="s">
        <v>5436</v>
      </c>
      <c r="C6350">
        <v>24</v>
      </c>
      <c r="D6350" t="str">
        <f>VLOOKUP(Tabela26[[#This Row],[EMP]],[1]LOJA!$A:$B,2,0)</f>
        <v>LUZIÂNIA</v>
      </c>
      <c r="E6350">
        <v>150</v>
      </c>
      <c r="F6350" t="s">
        <v>4201</v>
      </c>
      <c r="G6350" t="s">
        <v>4200</v>
      </c>
      <c r="H6350" t="s">
        <v>3408</v>
      </c>
      <c r="I6350">
        <v>5405</v>
      </c>
      <c r="J6350" s="3">
        <v>349.8</v>
      </c>
      <c r="K6350" s="3">
        <v>169.2</v>
      </c>
      <c r="L6350">
        <v>51.63</v>
      </c>
    </row>
    <row r="6351" spans="1:12">
      <c r="A6351" s="1">
        <v>46049</v>
      </c>
      <c r="B6351" t="s">
        <v>5435</v>
      </c>
      <c r="C6351">
        <v>24</v>
      </c>
      <c r="D6351" t="str">
        <f>VLOOKUP(Tabela26[[#This Row],[EMP]],[1]LOJA!$A:$B,2,0)</f>
        <v>LUZIÂNIA</v>
      </c>
      <c r="E6351">
        <v>150</v>
      </c>
      <c r="F6351" t="s">
        <v>5426</v>
      </c>
      <c r="G6351" t="s">
        <v>5425</v>
      </c>
      <c r="H6351" t="s">
        <v>3401</v>
      </c>
      <c r="I6351">
        <v>5102</v>
      </c>
      <c r="J6351" s="3">
        <v>98</v>
      </c>
      <c r="K6351" s="3">
        <v>48.09</v>
      </c>
      <c r="L6351">
        <v>50.93</v>
      </c>
    </row>
    <row r="6352" spans="1:12">
      <c r="A6352" s="1">
        <v>46049</v>
      </c>
      <c r="B6352" t="s">
        <v>5434</v>
      </c>
      <c r="C6352">
        <v>24</v>
      </c>
      <c r="D6352" t="str">
        <f>VLOOKUP(Tabela26[[#This Row],[EMP]],[1]LOJA!$A:$B,2,0)</f>
        <v>LUZIÂNIA</v>
      </c>
      <c r="E6352">
        <v>242</v>
      </c>
      <c r="F6352" t="s">
        <v>3524</v>
      </c>
      <c r="G6352" t="s">
        <v>3402</v>
      </c>
      <c r="H6352" t="s">
        <v>3401</v>
      </c>
      <c r="I6352">
        <v>5102</v>
      </c>
      <c r="J6352" s="3">
        <v>38.6</v>
      </c>
      <c r="K6352" s="3">
        <v>20.98</v>
      </c>
      <c r="L6352">
        <v>45.65</v>
      </c>
    </row>
    <row r="6353" spans="1:12">
      <c r="A6353" s="1">
        <v>46049</v>
      </c>
      <c r="B6353" t="s">
        <v>5433</v>
      </c>
      <c r="C6353">
        <v>24</v>
      </c>
      <c r="D6353" t="str">
        <f>VLOOKUP(Tabela26[[#This Row],[EMP]],[1]LOJA!$A:$B,2,0)</f>
        <v>LUZIÂNIA</v>
      </c>
      <c r="E6353">
        <v>150</v>
      </c>
      <c r="F6353" t="s">
        <v>5432</v>
      </c>
      <c r="G6353" t="s">
        <v>3402</v>
      </c>
      <c r="H6353" t="s">
        <v>3401</v>
      </c>
      <c r="I6353">
        <v>5102</v>
      </c>
      <c r="J6353" s="3">
        <v>55</v>
      </c>
      <c r="K6353" s="3">
        <v>32.479999999999997</v>
      </c>
      <c r="L6353">
        <v>40.950000000000003</v>
      </c>
    </row>
    <row r="6354" spans="1:12">
      <c r="A6354" s="1">
        <v>46049</v>
      </c>
      <c r="B6354" t="s">
        <v>5431</v>
      </c>
      <c r="C6354">
        <v>24</v>
      </c>
      <c r="D6354" t="str">
        <f>VLOOKUP(Tabela26[[#This Row],[EMP]],[1]LOJA!$A:$B,2,0)</f>
        <v>LUZIÂNIA</v>
      </c>
      <c r="E6354">
        <v>150</v>
      </c>
      <c r="F6354" t="s">
        <v>3524</v>
      </c>
      <c r="G6354" t="s">
        <v>3402</v>
      </c>
      <c r="H6354" t="s">
        <v>3401</v>
      </c>
      <c r="I6354">
        <v>5405</v>
      </c>
      <c r="J6354" s="3">
        <v>64</v>
      </c>
      <c r="K6354" s="3">
        <v>30.71</v>
      </c>
      <c r="L6354">
        <v>52.02</v>
      </c>
    </row>
    <row r="6355" spans="1:12">
      <c r="A6355" s="1">
        <v>46049</v>
      </c>
      <c r="B6355" t="s">
        <v>5430</v>
      </c>
      <c r="C6355">
        <v>24</v>
      </c>
      <c r="D6355" t="str">
        <f>VLOOKUP(Tabela26[[#This Row],[EMP]],[1]LOJA!$A:$B,2,0)</f>
        <v>LUZIÂNIA</v>
      </c>
      <c r="E6355">
        <v>150</v>
      </c>
      <c r="F6355" t="s">
        <v>5429</v>
      </c>
      <c r="G6355" t="s">
        <v>5428</v>
      </c>
      <c r="H6355" t="s">
        <v>3401</v>
      </c>
      <c r="I6355">
        <v>5102</v>
      </c>
      <c r="J6355" s="3">
        <v>75.14</v>
      </c>
      <c r="K6355" s="3">
        <v>39.94</v>
      </c>
      <c r="L6355">
        <v>46.85</v>
      </c>
    </row>
    <row r="6356" spans="1:12">
      <c r="A6356" s="1">
        <v>46049</v>
      </c>
      <c r="B6356" t="s">
        <v>5427</v>
      </c>
      <c r="C6356">
        <v>24</v>
      </c>
      <c r="D6356" t="str">
        <f>VLOOKUP(Tabela26[[#This Row],[EMP]],[1]LOJA!$A:$B,2,0)</f>
        <v>LUZIÂNIA</v>
      </c>
      <c r="E6356">
        <v>150</v>
      </c>
      <c r="F6356" t="s">
        <v>5426</v>
      </c>
      <c r="G6356" t="s">
        <v>5425</v>
      </c>
      <c r="H6356" t="s">
        <v>3401</v>
      </c>
      <c r="I6356">
        <v>5102</v>
      </c>
      <c r="J6356" s="3">
        <v>56</v>
      </c>
      <c r="K6356" s="3">
        <v>30.09</v>
      </c>
      <c r="L6356">
        <v>46.27</v>
      </c>
    </row>
    <row r="6357" spans="1:12">
      <c r="A6357" s="1">
        <v>46049</v>
      </c>
      <c r="B6357" t="s">
        <v>5424</v>
      </c>
      <c r="C6357">
        <v>24</v>
      </c>
      <c r="D6357" t="str">
        <f>VLOOKUP(Tabela26[[#This Row],[EMP]],[1]LOJA!$A:$B,2,0)</f>
        <v>LUZIÂNIA</v>
      </c>
      <c r="E6357">
        <v>150</v>
      </c>
      <c r="F6357" t="s">
        <v>4902</v>
      </c>
      <c r="G6357" t="s">
        <v>3402</v>
      </c>
      <c r="H6357" t="s">
        <v>3408</v>
      </c>
      <c r="I6357">
        <v>5102</v>
      </c>
      <c r="J6357" s="3">
        <v>928.4</v>
      </c>
      <c r="K6357" s="3">
        <v>535.91999999999996</v>
      </c>
      <c r="L6357">
        <v>42.27</v>
      </c>
    </row>
    <row r="6358" spans="1:12">
      <c r="A6358" s="1">
        <v>46049</v>
      </c>
      <c r="B6358" t="s">
        <v>5423</v>
      </c>
      <c r="C6358">
        <v>24</v>
      </c>
      <c r="D6358" t="str">
        <f>VLOOKUP(Tabela26[[#This Row],[EMP]],[1]LOJA!$A:$B,2,0)</f>
        <v>LUZIÂNIA</v>
      </c>
      <c r="E6358">
        <v>192</v>
      </c>
      <c r="F6358" t="s">
        <v>5422</v>
      </c>
      <c r="G6358" t="s">
        <v>5421</v>
      </c>
      <c r="H6358" t="s">
        <v>3401</v>
      </c>
      <c r="I6358">
        <v>5405</v>
      </c>
      <c r="J6358" s="3">
        <v>194.5</v>
      </c>
      <c r="K6358" s="3">
        <v>115.42</v>
      </c>
      <c r="L6358">
        <v>40.659999999999997</v>
      </c>
    </row>
    <row r="6359" spans="1:12">
      <c r="A6359" s="1">
        <v>46049</v>
      </c>
      <c r="B6359" t="s">
        <v>5420</v>
      </c>
      <c r="C6359">
        <v>24</v>
      </c>
      <c r="D6359" t="str">
        <f>VLOOKUP(Tabela26[[#This Row],[EMP]],[1]LOJA!$A:$B,2,0)</f>
        <v>LUZIÂNIA</v>
      </c>
      <c r="E6359">
        <v>150</v>
      </c>
      <c r="F6359" t="s">
        <v>4902</v>
      </c>
      <c r="G6359" t="s">
        <v>3402</v>
      </c>
      <c r="H6359" t="s">
        <v>3408</v>
      </c>
      <c r="I6359">
        <v>5102</v>
      </c>
      <c r="J6359" s="3">
        <v>8</v>
      </c>
      <c r="K6359" s="3">
        <v>3.91</v>
      </c>
      <c r="L6359">
        <v>51.13</v>
      </c>
    </row>
    <row r="6360" spans="1:12">
      <c r="A6360" s="1">
        <v>46049</v>
      </c>
      <c r="B6360" t="s">
        <v>5419</v>
      </c>
      <c r="C6360">
        <v>24</v>
      </c>
      <c r="D6360" t="str">
        <f>VLOOKUP(Tabela26[[#This Row],[EMP]],[1]LOJA!$A:$B,2,0)</f>
        <v>LUZIÂNIA</v>
      </c>
      <c r="E6360">
        <v>150</v>
      </c>
      <c r="F6360" t="s">
        <v>3524</v>
      </c>
      <c r="G6360" t="s">
        <v>3402</v>
      </c>
      <c r="H6360" t="s">
        <v>3401</v>
      </c>
      <c r="I6360">
        <v>5405</v>
      </c>
      <c r="J6360" s="3">
        <v>35</v>
      </c>
      <c r="K6360" s="3">
        <v>12.75</v>
      </c>
      <c r="L6360">
        <v>63.57</v>
      </c>
    </row>
    <row r="6361" spans="1:12">
      <c r="A6361" s="1">
        <v>46049</v>
      </c>
      <c r="B6361" t="s">
        <v>5418</v>
      </c>
      <c r="C6361">
        <v>24</v>
      </c>
      <c r="D6361" t="str">
        <f>VLOOKUP(Tabela26[[#This Row],[EMP]],[1]LOJA!$A:$B,2,0)</f>
        <v>LUZIÂNIA</v>
      </c>
      <c r="E6361">
        <v>150</v>
      </c>
      <c r="F6361" t="s">
        <v>5417</v>
      </c>
      <c r="G6361" t="s">
        <v>5416</v>
      </c>
      <c r="H6361" t="s">
        <v>3401</v>
      </c>
      <c r="I6361">
        <v>5405</v>
      </c>
      <c r="J6361" s="3">
        <v>130</v>
      </c>
      <c r="K6361" s="3">
        <v>74.36</v>
      </c>
      <c r="L6361">
        <v>42.8</v>
      </c>
    </row>
    <row r="6362" spans="1:12">
      <c r="A6362" s="1">
        <v>46049</v>
      </c>
      <c r="B6362" t="s">
        <v>5415</v>
      </c>
      <c r="C6362">
        <v>24</v>
      </c>
      <c r="D6362" t="str">
        <f>VLOOKUP(Tabela26[[#This Row],[EMP]],[1]LOJA!$A:$B,2,0)</f>
        <v>LUZIÂNIA</v>
      </c>
      <c r="E6362">
        <v>150</v>
      </c>
      <c r="F6362" t="s">
        <v>5409</v>
      </c>
      <c r="G6362" t="s">
        <v>5408</v>
      </c>
      <c r="H6362" t="s">
        <v>3408</v>
      </c>
      <c r="I6362">
        <v>5405</v>
      </c>
      <c r="J6362" s="3">
        <v>107</v>
      </c>
      <c r="K6362" s="3">
        <v>58.7</v>
      </c>
      <c r="L6362">
        <v>45.14</v>
      </c>
    </row>
    <row r="6363" spans="1:12">
      <c r="A6363" s="1">
        <v>46049</v>
      </c>
      <c r="B6363" t="s">
        <v>5414</v>
      </c>
      <c r="C6363">
        <v>24</v>
      </c>
      <c r="D6363" t="str">
        <f>VLOOKUP(Tabela26[[#This Row],[EMP]],[1]LOJA!$A:$B,2,0)</f>
        <v>LUZIÂNIA</v>
      </c>
      <c r="E6363">
        <v>192</v>
      </c>
      <c r="F6363" t="s">
        <v>3524</v>
      </c>
      <c r="G6363" t="s">
        <v>3402</v>
      </c>
      <c r="H6363" t="s">
        <v>3408</v>
      </c>
      <c r="I6363">
        <v>5102</v>
      </c>
      <c r="J6363" s="3">
        <v>75</v>
      </c>
      <c r="K6363" s="3">
        <v>38.729999999999997</v>
      </c>
      <c r="L6363">
        <v>48.36</v>
      </c>
    </row>
    <row r="6364" spans="1:12">
      <c r="A6364" s="1">
        <v>46049</v>
      </c>
      <c r="B6364" t="s">
        <v>5413</v>
      </c>
      <c r="C6364">
        <v>24</v>
      </c>
      <c r="D6364" t="str">
        <f>VLOOKUP(Tabela26[[#This Row],[EMP]],[1]LOJA!$A:$B,2,0)</f>
        <v>LUZIÂNIA</v>
      </c>
      <c r="E6364">
        <v>150</v>
      </c>
      <c r="F6364" t="s">
        <v>3524</v>
      </c>
      <c r="G6364" t="s">
        <v>3402</v>
      </c>
      <c r="H6364" t="s">
        <v>3401</v>
      </c>
      <c r="I6364">
        <v>5102</v>
      </c>
      <c r="J6364" s="3">
        <v>57.9</v>
      </c>
      <c r="K6364" s="3">
        <v>27.51</v>
      </c>
      <c r="L6364">
        <v>52.49</v>
      </c>
    </row>
    <row r="6365" spans="1:12">
      <c r="A6365" s="1">
        <v>46049</v>
      </c>
      <c r="B6365" t="s">
        <v>5412</v>
      </c>
      <c r="C6365">
        <v>24</v>
      </c>
      <c r="D6365" t="str">
        <f>VLOOKUP(Tabela26[[#This Row],[EMP]],[1]LOJA!$A:$B,2,0)</f>
        <v>LUZIÂNIA</v>
      </c>
      <c r="E6365">
        <v>242</v>
      </c>
      <c r="F6365" t="s">
        <v>3524</v>
      </c>
      <c r="G6365" t="s">
        <v>3402</v>
      </c>
      <c r="H6365" t="s">
        <v>3401</v>
      </c>
      <c r="I6365">
        <v>5102</v>
      </c>
      <c r="J6365" s="3">
        <v>27</v>
      </c>
      <c r="K6365" s="3">
        <v>13.68</v>
      </c>
      <c r="L6365">
        <v>49.33</v>
      </c>
    </row>
    <row r="6366" spans="1:12">
      <c r="A6366" s="1">
        <v>46049</v>
      </c>
      <c r="B6366" t="s">
        <v>5411</v>
      </c>
      <c r="C6366">
        <v>24</v>
      </c>
      <c r="D6366" t="str">
        <f>VLOOKUP(Tabela26[[#This Row],[EMP]],[1]LOJA!$A:$B,2,0)</f>
        <v>LUZIÂNIA</v>
      </c>
      <c r="E6366">
        <v>192</v>
      </c>
      <c r="F6366" t="s">
        <v>3524</v>
      </c>
      <c r="G6366" t="s">
        <v>3402</v>
      </c>
      <c r="H6366" t="s">
        <v>3401</v>
      </c>
      <c r="I6366">
        <v>5102</v>
      </c>
      <c r="J6366" s="3">
        <v>35</v>
      </c>
      <c r="K6366" s="3">
        <v>20.8</v>
      </c>
      <c r="L6366">
        <v>40.57</v>
      </c>
    </row>
    <row r="6367" spans="1:12">
      <c r="A6367" s="1">
        <v>46049</v>
      </c>
      <c r="B6367" t="s">
        <v>5410</v>
      </c>
      <c r="C6367">
        <v>24</v>
      </c>
      <c r="D6367" t="str">
        <f>VLOOKUP(Tabela26[[#This Row],[EMP]],[1]LOJA!$A:$B,2,0)</f>
        <v>LUZIÂNIA</v>
      </c>
      <c r="E6367">
        <v>150</v>
      </c>
      <c r="F6367" t="s">
        <v>5409</v>
      </c>
      <c r="G6367" t="s">
        <v>5408</v>
      </c>
      <c r="H6367" t="s">
        <v>3408</v>
      </c>
      <c r="I6367">
        <v>5102</v>
      </c>
      <c r="J6367" s="3">
        <v>8</v>
      </c>
      <c r="K6367" s="3">
        <v>3.91</v>
      </c>
      <c r="L6367">
        <v>51.13</v>
      </c>
    </row>
    <row r="6368" spans="1:12">
      <c r="A6368" s="1">
        <v>46049</v>
      </c>
      <c r="B6368" t="s">
        <v>5407</v>
      </c>
      <c r="C6368">
        <v>24</v>
      </c>
      <c r="D6368" t="str">
        <f>VLOOKUP(Tabela26[[#This Row],[EMP]],[1]LOJA!$A:$B,2,0)</f>
        <v>LUZIÂNIA</v>
      </c>
      <c r="E6368">
        <v>150</v>
      </c>
      <c r="F6368" t="s">
        <v>5406</v>
      </c>
      <c r="G6368" t="s">
        <v>3402</v>
      </c>
      <c r="H6368" t="s">
        <v>3408</v>
      </c>
      <c r="I6368">
        <v>5405</v>
      </c>
      <c r="J6368" s="3">
        <v>60</v>
      </c>
      <c r="K6368" s="3">
        <v>30.51</v>
      </c>
      <c r="L6368">
        <v>49.15</v>
      </c>
    </row>
    <row r="6369" spans="1:12">
      <c r="A6369" s="1">
        <v>46049</v>
      </c>
      <c r="B6369" t="s">
        <v>5405</v>
      </c>
      <c r="C6369">
        <v>24</v>
      </c>
      <c r="D6369" t="str">
        <f>VLOOKUP(Tabela26[[#This Row],[EMP]],[1]LOJA!$A:$B,2,0)</f>
        <v>LUZIÂNIA</v>
      </c>
      <c r="E6369">
        <v>150</v>
      </c>
      <c r="F6369" t="s">
        <v>5404</v>
      </c>
      <c r="G6369" t="s">
        <v>5403</v>
      </c>
      <c r="H6369" t="s">
        <v>3408</v>
      </c>
      <c r="I6369">
        <v>5405</v>
      </c>
      <c r="J6369" s="3">
        <v>259.8</v>
      </c>
      <c r="K6369" s="3">
        <v>110.08</v>
      </c>
      <c r="L6369">
        <v>57.63</v>
      </c>
    </row>
    <row r="6370" spans="1:12">
      <c r="A6370" s="1">
        <v>46049</v>
      </c>
      <c r="B6370" t="s">
        <v>5402</v>
      </c>
      <c r="C6370">
        <v>24</v>
      </c>
      <c r="D6370" t="str">
        <f>VLOOKUP(Tabela26[[#This Row],[EMP]],[1]LOJA!$A:$B,2,0)</f>
        <v>LUZIÂNIA</v>
      </c>
      <c r="E6370">
        <v>192</v>
      </c>
      <c r="F6370" t="s">
        <v>3524</v>
      </c>
      <c r="G6370" t="s">
        <v>3402</v>
      </c>
      <c r="H6370" t="s">
        <v>3401</v>
      </c>
      <c r="I6370">
        <v>5405</v>
      </c>
      <c r="J6370" s="3">
        <v>60</v>
      </c>
      <c r="K6370" s="3">
        <v>29.26</v>
      </c>
      <c r="L6370">
        <v>51.23</v>
      </c>
    </row>
    <row r="6371" spans="1:12">
      <c r="A6371" s="1">
        <v>46049</v>
      </c>
      <c r="B6371" t="s">
        <v>5401</v>
      </c>
      <c r="C6371">
        <v>24</v>
      </c>
      <c r="D6371" t="str">
        <f>VLOOKUP(Tabela26[[#This Row],[EMP]],[1]LOJA!$A:$B,2,0)</f>
        <v>LUZIÂNIA</v>
      </c>
      <c r="E6371">
        <v>192</v>
      </c>
      <c r="F6371" t="s">
        <v>4197</v>
      </c>
      <c r="G6371" t="s">
        <v>4196</v>
      </c>
      <c r="H6371" t="s">
        <v>3408</v>
      </c>
      <c r="I6371">
        <v>5405</v>
      </c>
      <c r="J6371" s="3">
        <v>218</v>
      </c>
      <c r="K6371" s="3">
        <v>104.07</v>
      </c>
      <c r="L6371">
        <v>52.26</v>
      </c>
    </row>
    <row r="6372" spans="1:12">
      <c r="A6372" s="1">
        <v>46049</v>
      </c>
      <c r="B6372" t="s">
        <v>5400</v>
      </c>
      <c r="C6372">
        <v>24</v>
      </c>
      <c r="D6372" t="str">
        <f>VLOOKUP(Tabela26[[#This Row],[EMP]],[1]LOJA!$A:$B,2,0)</f>
        <v>LUZIÂNIA</v>
      </c>
      <c r="E6372">
        <v>150</v>
      </c>
      <c r="F6372" t="s">
        <v>3524</v>
      </c>
      <c r="G6372" t="s">
        <v>3402</v>
      </c>
      <c r="H6372" t="s">
        <v>3401</v>
      </c>
      <c r="I6372">
        <v>5405</v>
      </c>
      <c r="J6372" s="3">
        <v>110</v>
      </c>
      <c r="K6372" s="3">
        <v>50.55</v>
      </c>
      <c r="L6372">
        <v>54.05</v>
      </c>
    </row>
    <row r="6373" spans="1:12">
      <c r="A6373" s="1">
        <v>46049</v>
      </c>
      <c r="B6373" t="s">
        <v>5399</v>
      </c>
      <c r="C6373">
        <v>24</v>
      </c>
      <c r="D6373" t="str">
        <f>VLOOKUP(Tabela26[[#This Row],[EMP]],[1]LOJA!$A:$B,2,0)</f>
        <v>LUZIÂNIA</v>
      </c>
      <c r="E6373">
        <v>150</v>
      </c>
      <c r="F6373" t="s">
        <v>3524</v>
      </c>
      <c r="G6373" t="s">
        <v>3402</v>
      </c>
      <c r="H6373" t="s">
        <v>3401</v>
      </c>
      <c r="I6373">
        <v>5405</v>
      </c>
      <c r="J6373" s="3">
        <v>60</v>
      </c>
      <c r="K6373" s="3">
        <v>13.84</v>
      </c>
      <c r="L6373">
        <v>76.930000000000007</v>
      </c>
    </row>
    <row r="6374" spans="1:12">
      <c r="A6374" s="1">
        <v>46049</v>
      </c>
      <c r="B6374" t="s">
        <v>5398</v>
      </c>
      <c r="C6374">
        <v>24</v>
      </c>
      <c r="D6374" t="str">
        <f>VLOOKUP(Tabela26[[#This Row],[EMP]],[1]LOJA!$A:$B,2,0)</f>
        <v>LUZIÂNIA</v>
      </c>
      <c r="E6374">
        <v>150</v>
      </c>
      <c r="F6374" t="s">
        <v>3524</v>
      </c>
      <c r="G6374" t="s">
        <v>3402</v>
      </c>
      <c r="H6374" t="s">
        <v>3401</v>
      </c>
      <c r="I6374">
        <v>5102</v>
      </c>
      <c r="J6374" s="3">
        <v>9</v>
      </c>
      <c r="K6374" s="3">
        <v>4.16</v>
      </c>
      <c r="L6374">
        <v>53.78</v>
      </c>
    </row>
    <row r="6375" spans="1:12">
      <c r="A6375" s="1">
        <v>46049</v>
      </c>
      <c r="B6375" t="s">
        <v>5397</v>
      </c>
      <c r="C6375">
        <v>24</v>
      </c>
      <c r="D6375" t="str">
        <f>VLOOKUP(Tabela26[[#This Row],[EMP]],[1]LOJA!$A:$B,2,0)</f>
        <v>LUZIÂNIA</v>
      </c>
      <c r="E6375">
        <v>192</v>
      </c>
      <c r="F6375" t="s">
        <v>3524</v>
      </c>
      <c r="G6375" t="s">
        <v>3402</v>
      </c>
      <c r="H6375" t="s">
        <v>3408</v>
      </c>
      <c r="I6375">
        <v>5102</v>
      </c>
      <c r="J6375" s="3">
        <v>35</v>
      </c>
      <c r="K6375" s="3">
        <v>20.8</v>
      </c>
      <c r="L6375">
        <v>40.57</v>
      </c>
    </row>
    <row r="6376" spans="1:12">
      <c r="A6376" s="1">
        <v>46049</v>
      </c>
      <c r="B6376" t="s">
        <v>5396</v>
      </c>
      <c r="C6376">
        <v>24</v>
      </c>
      <c r="D6376" t="str">
        <f>VLOOKUP(Tabela26[[#This Row],[EMP]],[1]LOJA!$A:$B,2,0)</f>
        <v>LUZIÂNIA</v>
      </c>
      <c r="E6376">
        <v>192</v>
      </c>
      <c r="F6376" t="s">
        <v>3524</v>
      </c>
      <c r="G6376" t="s">
        <v>3402</v>
      </c>
      <c r="H6376" t="s">
        <v>3401</v>
      </c>
      <c r="I6376">
        <v>5102</v>
      </c>
      <c r="J6376" s="3">
        <v>6</v>
      </c>
      <c r="K6376" s="3">
        <v>3.08</v>
      </c>
      <c r="L6376">
        <v>48.67</v>
      </c>
    </row>
    <row r="6377" spans="1:12">
      <c r="A6377" s="1">
        <v>46049</v>
      </c>
      <c r="B6377" t="s">
        <v>5395</v>
      </c>
      <c r="C6377">
        <v>24</v>
      </c>
      <c r="D6377" t="str">
        <f>VLOOKUP(Tabela26[[#This Row],[EMP]],[1]LOJA!$A:$B,2,0)</f>
        <v>LUZIÂNIA</v>
      </c>
      <c r="E6377">
        <v>192</v>
      </c>
      <c r="F6377" t="s">
        <v>3524</v>
      </c>
      <c r="G6377" t="s">
        <v>3402</v>
      </c>
      <c r="H6377" t="s">
        <v>3401</v>
      </c>
      <c r="I6377">
        <v>5405</v>
      </c>
      <c r="J6377" s="3">
        <v>84</v>
      </c>
      <c r="K6377" s="3">
        <v>48.34</v>
      </c>
      <c r="L6377">
        <v>42.45</v>
      </c>
    </row>
    <row r="6378" spans="1:12">
      <c r="A6378" s="1">
        <v>46049</v>
      </c>
      <c r="B6378" t="s">
        <v>5394</v>
      </c>
      <c r="C6378">
        <v>24</v>
      </c>
      <c r="D6378" t="str">
        <f>VLOOKUP(Tabela26[[#This Row],[EMP]],[1]LOJA!$A:$B,2,0)</f>
        <v>LUZIÂNIA</v>
      </c>
      <c r="E6378">
        <v>150</v>
      </c>
      <c r="F6378" t="s">
        <v>5393</v>
      </c>
      <c r="G6378" t="s">
        <v>3402</v>
      </c>
      <c r="H6378" t="s">
        <v>3401</v>
      </c>
      <c r="I6378">
        <v>5405</v>
      </c>
      <c r="J6378" s="3">
        <v>299.39999999999998</v>
      </c>
      <c r="K6378" s="3">
        <v>159.18</v>
      </c>
      <c r="L6378">
        <v>46.83</v>
      </c>
    </row>
    <row r="6379" spans="1:12">
      <c r="A6379" s="1">
        <v>46049</v>
      </c>
      <c r="B6379" t="s">
        <v>5392</v>
      </c>
      <c r="C6379">
        <v>24</v>
      </c>
      <c r="D6379" t="str">
        <f>VLOOKUP(Tabela26[[#This Row],[EMP]],[1]LOJA!$A:$B,2,0)</f>
        <v>LUZIÂNIA</v>
      </c>
      <c r="E6379">
        <v>192</v>
      </c>
      <c r="F6379" t="s">
        <v>5391</v>
      </c>
      <c r="G6379" t="s">
        <v>3402</v>
      </c>
      <c r="H6379" t="s">
        <v>3401</v>
      </c>
      <c r="I6379">
        <v>5405</v>
      </c>
      <c r="J6379" s="3">
        <v>180</v>
      </c>
      <c r="K6379" s="3">
        <v>76.28</v>
      </c>
      <c r="L6379">
        <v>57.62</v>
      </c>
    </row>
    <row r="6380" spans="1:12">
      <c r="A6380" s="1">
        <v>46049</v>
      </c>
      <c r="B6380" t="s">
        <v>5390</v>
      </c>
      <c r="C6380">
        <v>24</v>
      </c>
      <c r="D6380" t="str">
        <f>VLOOKUP(Tabela26[[#This Row],[EMP]],[1]LOJA!$A:$B,2,0)</f>
        <v>LUZIÂNIA</v>
      </c>
      <c r="E6380">
        <v>242</v>
      </c>
      <c r="F6380" t="s">
        <v>3524</v>
      </c>
      <c r="G6380" t="s">
        <v>3402</v>
      </c>
      <c r="H6380" t="s">
        <v>3401</v>
      </c>
      <c r="I6380">
        <v>5405</v>
      </c>
      <c r="J6380" s="3">
        <v>235</v>
      </c>
      <c r="K6380" s="3">
        <v>127.52</v>
      </c>
      <c r="L6380">
        <v>45.74</v>
      </c>
    </row>
    <row r="6381" spans="1:12">
      <c r="A6381" s="1">
        <v>46049</v>
      </c>
      <c r="B6381" t="s">
        <v>5389</v>
      </c>
      <c r="C6381">
        <v>24</v>
      </c>
      <c r="D6381" t="str">
        <f>VLOOKUP(Tabela26[[#This Row],[EMP]],[1]LOJA!$A:$B,2,0)</f>
        <v>LUZIÂNIA</v>
      </c>
      <c r="E6381">
        <v>150</v>
      </c>
      <c r="F6381" t="s">
        <v>3524</v>
      </c>
      <c r="G6381" t="s">
        <v>3402</v>
      </c>
      <c r="H6381" t="s">
        <v>3401</v>
      </c>
      <c r="I6381">
        <v>5102</v>
      </c>
      <c r="J6381" s="3">
        <v>16</v>
      </c>
      <c r="K6381" s="3">
        <v>7.72</v>
      </c>
      <c r="L6381">
        <v>51.75</v>
      </c>
    </row>
    <row r="6382" spans="1:12">
      <c r="A6382" s="1">
        <v>46049</v>
      </c>
      <c r="B6382" t="s">
        <v>5388</v>
      </c>
      <c r="C6382">
        <v>24</v>
      </c>
      <c r="D6382" t="str">
        <f>VLOOKUP(Tabela26[[#This Row],[EMP]],[1]LOJA!$A:$B,2,0)</f>
        <v>LUZIÂNIA</v>
      </c>
      <c r="E6382">
        <v>150</v>
      </c>
      <c r="F6382" t="s">
        <v>3524</v>
      </c>
      <c r="G6382" t="s">
        <v>3402</v>
      </c>
      <c r="H6382" t="s">
        <v>3401</v>
      </c>
      <c r="I6382">
        <v>5102</v>
      </c>
      <c r="J6382" s="3">
        <v>2.89</v>
      </c>
      <c r="K6382" s="3">
        <v>1.69</v>
      </c>
      <c r="L6382">
        <v>41.52</v>
      </c>
    </row>
    <row r="6383" spans="1:12">
      <c r="A6383" s="1">
        <v>46049</v>
      </c>
      <c r="B6383" t="s">
        <v>5387</v>
      </c>
      <c r="C6383">
        <v>24</v>
      </c>
      <c r="D6383" t="str">
        <f>VLOOKUP(Tabela26[[#This Row],[EMP]],[1]LOJA!$A:$B,2,0)</f>
        <v>LUZIÂNIA</v>
      </c>
      <c r="E6383">
        <v>150</v>
      </c>
      <c r="F6383" t="s">
        <v>4176</v>
      </c>
      <c r="G6383" t="s">
        <v>4175</v>
      </c>
      <c r="H6383" t="s">
        <v>3408</v>
      </c>
      <c r="I6383">
        <v>5405</v>
      </c>
      <c r="J6383" s="3">
        <v>563</v>
      </c>
      <c r="K6383" s="3">
        <v>278.32</v>
      </c>
      <c r="L6383">
        <v>50.56</v>
      </c>
    </row>
    <row r="6384" spans="1:12">
      <c r="A6384" s="1">
        <v>46049</v>
      </c>
      <c r="B6384" t="s">
        <v>5386</v>
      </c>
      <c r="C6384">
        <v>24</v>
      </c>
      <c r="D6384" t="str">
        <f>VLOOKUP(Tabela26[[#This Row],[EMP]],[1]LOJA!$A:$B,2,0)</f>
        <v>LUZIÂNIA</v>
      </c>
      <c r="E6384">
        <v>192</v>
      </c>
      <c r="F6384" t="s">
        <v>5385</v>
      </c>
      <c r="G6384" t="s">
        <v>3402</v>
      </c>
      <c r="H6384" t="s">
        <v>3408</v>
      </c>
      <c r="I6384">
        <v>5405</v>
      </c>
      <c r="J6384" s="3">
        <v>55</v>
      </c>
      <c r="K6384" s="3">
        <v>26.53</v>
      </c>
      <c r="L6384">
        <v>51.76</v>
      </c>
    </row>
    <row r="6385" spans="1:12">
      <c r="A6385" s="1">
        <v>46049</v>
      </c>
      <c r="B6385" t="s">
        <v>5384</v>
      </c>
      <c r="C6385">
        <v>24</v>
      </c>
      <c r="D6385" t="str">
        <f>VLOOKUP(Tabela26[[#This Row],[EMP]],[1]LOJA!$A:$B,2,0)</f>
        <v>LUZIÂNIA</v>
      </c>
      <c r="E6385">
        <v>192</v>
      </c>
      <c r="F6385" t="s">
        <v>3524</v>
      </c>
      <c r="G6385" t="s">
        <v>3402</v>
      </c>
      <c r="H6385" t="s">
        <v>3401</v>
      </c>
      <c r="I6385">
        <v>5102</v>
      </c>
      <c r="J6385" s="3">
        <v>20</v>
      </c>
      <c r="K6385" s="3">
        <v>11.2</v>
      </c>
      <c r="L6385">
        <v>44</v>
      </c>
    </row>
    <row r="6386" spans="1:12">
      <c r="A6386" s="1">
        <v>46049</v>
      </c>
      <c r="B6386" t="s">
        <v>5383</v>
      </c>
      <c r="C6386">
        <v>24</v>
      </c>
      <c r="D6386" t="str">
        <f>VLOOKUP(Tabela26[[#This Row],[EMP]],[1]LOJA!$A:$B,2,0)</f>
        <v>LUZIÂNIA</v>
      </c>
      <c r="E6386">
        <v>192</v>
      </c>
      <c r="F6386" t="s">
        <v>4216</v>
      </c>
      <c r="G6386" t="s">
        <v>4215</v>
      </c>
      <c r="H6386" t="s">
        <v>3401</v>
      </c>
      <c r="I6386">
        <v>5102</v>
      </c>
      <c r="J6386" s="3">
        <v>95.7</v>
      </c>
      <c r="K6386" s="3">
        <v>55.98</v>
      </c>
      <c r="L6386">
        <v>41.5</v>
      </c>
    </row>
    <row r="6387" spans="1:12">
      <c r="A6387" s="1">
        <v>46049</v>
      </c>
      <c r="B6387" t="s">
        <v>5382</v>
      </c>
      <c r="C6387">
        <v>24</v>
      </c>
      <c r="D6387" t="str">
        <f>VLOOKUP(Tabela26[[#This Row],[EMP]],[1]LOJA!$A:$B,2,0)</f>
        <v>LUZIÂNIA</v>
      </c>
      <c r="E6387">
        <v>192</v>
      </c>
      <c r="F6387" t="s">
        <v>3524</v>
      </c>
      <c r="G6387" t="s">
        <v>3402</v>
      </c>
      <c r="H6387" t="s">
        <v>3408</v>
      </c>
      <c r="I6387">
        <v>5405</v>
      </c>
      <c r="J6387" s="3">
        <v>148</v>
      </c>
      <c r="K6387" s="3">
        <v>71.87</v>
      </c>
      <c r="L6387">
        <v>51.44</v>
      </c>
    </row>
    <row r="6388" spans="1:12">
      <c r="A6388" s="1">
        <v>46049</v>
      </c>
      <c r="B6388" t="s">
        <v>5381</v>
      </c>
      <c r="C6388">
        <v>24</v>
      </c>
      <c r="D6388" t="str">
        <f>VLOOKUP(Tabela26[[#This Row],[EMP]],[1]LOJA!$A:$B,2,0)</f>
        <v>LUZIÂNIA</v>
      </c>
      <c r="E6388">
        <v>192</v>
      </c>
      <c r="F6388" t="s">
        <v>3524</v>
      </c>
      <c r="G6388" t="s">
        <v>3402</v>
      </c>
      <c r="H6388" t="s">
        <v>3401</v>
      </c>
      <c r="I6388">
        <v>5102</v>
      </c>
      <c r="J6388" s="3">
        <v>13.5</v>
      </c>
      <c r="K6388" s="3">
        <v>6.57</v>
      </c>
      <c r="L6388">
        <v>51.33</v>
      </c>
    </row>
    <row r="6389" spans="1:12">
      <c r="A6389" s="1">
        <v>46049</v>
      </c>
      <c r="B6389" t="s">
        <v>5380</v>
      </c>
      <c r="C6389">
        <v>24</v>
      </c>
      <c r="D6389" t="str">
        <f>VLOOKUP(Tabela26[[#This Row],[EMP]],[1]LOJA!$A:$B,2,0)</f>
        <v>LUZIÂNIA</v>
      </c>
      <c r="E6389">
        <v>192</v>
      </c>
      <c r="F6389" t="s">
        <v>4895</v>
      </c>
      <c r="G6389" t="s">
        <v>3437</v>
      </c>
      <c r="H6389" t="s">
        <v>3408</v>
      </c>
      <c r="I6389">
        <v>5405</v>
      </c>
      <c r="J6389" s="3">
        <v>177.5</v>
      </c>
      <c r="K6389" s="3">
        <v>96.16</v>
      </c>
      <c r="L6389">
        <v>45.83</v>
      </c>
    </row>
    <row r="6390" spans="1:12">
      <c r="A6390" s="1">
        <v>46049</v>
      </c>
      <c r="B6390" t="s">
        <v>5379</v>
      </c>
      <c r="C6390">
        <v>24</v>
      </c>
      <c r="D6390" t="str">
        <f>VLOOKUP(Tabela26[[#This Row],[EMP]],[1]LOJA!$A:$B,2,0)</f>
        <v>LUZIÂNIA</v>
      </c>
      <c r="E6390">
        <v>150</v>
      </c>
      <c r="F6390" t="s">
        <v>4902</v>
      </c>
      <c r="G6390" t="s">
        <v>3402</v>
      </c>
      <c r="H6390" t="s">
        <v>3408</v>
      </c>
      <c r="I6390">
        <v>5405</v>
      </c>
      <c r="J6390" s="3">
        <v>110</v>
      </c>
      <c r="K6390" s="3">
        <v>55.84</v>
      </c>
      <c r="L6390">
        <v>49.24</v>
      </c>
    </row>
    <row r="6391" spans="1:12">
      <c r="A6391" s="1">
        <v>46049</v>
      </c>
      <c r="B6391" t="s">
        <v>5378</v>
      </c>
      <c r="C6391">
        <v>24</v>
      </c>
      <c r="D6391" t="str">
        <f>VLOOKUP(Tabela26[[#This Row],[EMP]],[1]LOJA!$A:$B,2,0)</f>
        <v>LUZIÂNIA</v>
      </c>
      <c r="E6391">
        <v>192</v>
      </c>
      <c r="F6391" t="s">
        <v>3524</v>
      </c>
      <c r="G6391" t="s">
        <v>3402</v>
      </c>
      <c r="H6391" t="s">
        <v>3401</v>
      </c>
      <c r="I6391">
        <v>5405</v>
      </c>
      <c r="J6391" s="3">
        <v>112</v>
      </c>
      <c r="K6391" s="3">
        <v>50.41</v>
      </c>
      <c r="L6391">
        <v>54.99</v>
      </c>
    </row>
    <row r="6392" spans="1:12">
      <c r="A6392" s="1">
        <v>46049</v>
      </c>
      <c r="B6392" t="s">
        <v>5377</v>
      </c>
      <c r="C6392">
        <v>24</v>
      </c>
      <c r="D6392" t="str">
        <f>VLOOKUP(Tabela26[[#This Row],[EMP]],[1]LOJA!$A:$B,2,0)</f>
        <v>LUZIÂNIA</v>
      </c>
      <c r="E6392">
        <v>150</v>
      </c>
      <c r="F6392" t="s">
        <v>5111</v>
      </c>
      <c r="G6392" t="s">
        <v>3402</v>
      </c>
      <c r="H6392" t="s">
        <v>3408</v>
      </c>
      <c r="I6392">
        <v>5102</v>
      </c>
      <c r="J6392" s="3">
        <v>208</v>
      </c>
      <c r="K6392" s="3">
        <v>122.7</v>
      </c>
      <c r="L6392">
        <v>41.01</v>
      </c>
    </row>
    <row r="6393" spans="1:12">
      <c r="A6393" s="1">
        <v>46049</v>
      </c>
      <c r="B6393" t="s">
        <v>5376</v>
      </c>
      <c r="C6393">
        <v>24</v>
      </c>
      <c r="D6393" t="str">
        <f>VLOOKUP(Tabela26[[#This Row],[EMP]],[1]LOJA!$A:$B,2,0)</f>
        <v>LUZIÂNIA</v>
      </c>
      <c r="E6393">
        <v>150</v>
      </c>
      <c r="F6393" t="s">
        <v>4176</v>
      </c>
      <c r="G6393" t="s">
        <v>4175</v>
      </c>
      <c r="H6393" t="s">
        <v>3408</v>
      </c>
      <c r="I6393">
        <v>5405</v>
      </c>
      <c r="J6393" s="3">
        <v>85</v>
      </c>
      <c r="K6393" s="3">
        <v>40.94</v>
      </c>
      <c r="L6393">
        <v>51.84</v>
      </c>
    </row>
    <row r="6394" spans="1:12">
      <c r="A6394" s="1">
        <v>46049</v>
      </c>
      <c r="B6394" t="s">
        <v>5375</v>
      </c>
      <c r="C6394">
        <v>24</v>
      </c>
      <c r="D6394" t="str">
        <f>VLOOKUP(Tabela26[[#This Row],[EMP]],[1]LOJA!$A:$B,2,0)</f>
        <v>LUZIÂNIA</v>
      </c>
      <c r="E6394">
        <v>192</v>
      </c>
      <c r="F6394" t="s">
        <v>3524</v>
      </c>
      <c r="G6394" t="s">
        <v>3402</v>
      </c>
      <c r="H6394" t="s">
        <v>3401</v>
      </c>
      <c r="I6394">
        <v>5102</v>
      </c>
      <c r="J6394" s="3">
        <v>97</v>
      </c>
      <c r="K6394" s="3">
        <v>50.15</v>
      </c>
      <c r="L6394">
        <v>48.3</v>
      </c>
    </row>
    <row r="6395" spans="1:12">
      <c r="A6395" s="1">
        <v>46049</v>
      </c>
      <c r="B6395" t="s">
        <v>5374</v>
      </c>
      <c r="C6395">
        <v>24</v>
      </c>
      <c r="D6395" t="str">
        <f>VLOOKUP(Tabela26[[#This Row],[EMP]],[1]LOJA!$A:$B,2,0)</f>
        <v>LUZIÂNIA</v>
      </c>
      <c r="E6395">
        <v>242</v>
      </c>
      <c r="F6395" t="s">
        <v>3524</v>
      </c>
      <c r="G6395" t="s">
        <v>3402</v>
      </c>
      <c r="H6395" t="s">
        <v>3401</v>
      </c>
      <c r="I6395">
        <v>5102</v>
      </c>
      <c r="J6395" s="3">
        <v>49</v>
      </c>
      <c r="K6395" s="3">
        <v>28.84</v>
      </c>
      <c r="L6395">
        <v>41.14</v>
      </c>
    </row>
    <row r="6396" spans="1:12">
      <c r="A6396" s="1">
        <v>46049</v>
      </c>
      <c r="B6396" t="s">
        <v>5373</v>
      </c>
      <c r="C6396">
        <v>24</v>
      </c>
      <c r="D6396" t="str">
        <f>VLOOKUP(Tabela26[[#This Row],[EMP]],[1]LOJA!$A:$B,2,0)</f>
        <v>LUZIÂNIA</v>
      </c>
      <c r="E6396">
        <v>192</v>
      </c>
      <c r="F6396" t="s">
        <v>5372</v>
      </c>
      <c r="G6396" t="s">
        <v>5371</v>
      </c>
      <c r="H6396" t="s">
        <v>3401</v>
      </c>
      <c r="I6396">
        <v>5102</v>
      </c>
      <c r="J6396" s="3">
        <v>190</v>
      </c>
      <c r="K6396" s="3">
        <v>94.15</v>
      </c>
      <c r="L6396">
        <v>50.45</v>
      </c>
    </row>
    <row r="6397" spans="1:12">
      <c r="A6397" s="1">
        <v>46049</v>
      </c>
      <c r="B6397" t="s">
        <v>5370</v>
      </c>
      <c r="C6397">
        <v>24</v>
      </c>
      <c r="D6397" t="str">
        <f>VLOOKUP(Tabela26[[#This Row],[EMP]],[1]LOJA!$A:$B,2,0)</f>
        <v>LUZIÂNIA</v>
      </c>
      <c r="E6397">
        <v>192</v>
      </c>
      <c r="F6397" t="s">
        <v>3524</v>
      </c>
      <c r="G6397" t="s">
        <v>3402</v>
      </c>
      <c r="H6397" t="s">
        <v>3401</v>
      </c>
      <c r="I6397">
        <v>5102</v>
      </c>
      <c r="J6397" s="3">
        <v>124.9</v>
      </c>
      <c r="K6397" s="3">
        <v>77.430000000000007</v>
      </c>
      <c r="L6397">
        <v>38.01</v>
      </c>
    </row>
    <row r="6398" spans="1:12">
      <c r="A6398" s="1">
        <v>46049</v>
      </c>
      <c r="B6398" t="s">
        <v>5369</v>
      </c>
      <c r="C6398">
        <v>24</v>
      </c>
      <c r="D6398" t="str">
        <f>VLOOKUP(Tabela26[[#This Row],[EMP]],[1]LOJA!$A:$B,2,0)</f>
        <v>LUZIÂNIA</v>
      </c>
      <c r="E6398">
        <v>192</v>
      </c>
      <c r="F6398" t="s">
        <v>4194</v>
      </c>
      <c r="G6398" t="s">
        <v>4193</v>
      </c>
      <c r="H6398" t="s">
        <v>3401</v>
      </c>
      <c r="I6398">
        <v>5102</v>
      </c>
      <c r="J6398" s="3">
        <v>199.4</v>
      </c>
      <c r="K6398" s="3">
        <v>131.66</v>
      </c>
      <c r="L6398">
        <v>33.97</v>
      </c>
    </row>
    <row r="6399" spans="1:12">
      <c r="A6399" s="1">
        <v>46049</v>
      </c>
      <c r="B6399" t="s">
        <v>5368</v>
      </c>
      <c r="C6399">
        <v>24</v>
      </c>
      <c r="D6399" t="str">
        <f>VLOOKUP(Tabela26[[#This Row],[EMP]],[1]LOJA!$A:$B,2,0)</f>
        <v>LUZIÂNIA</v>
      </c>
      <c r="E6399">
        <v>150</v>
      </c>
      <c r="F6399" t="s">
        <v>5367</v>
      </c>
      <c r="G6399" t="s">
        <v>3402</v>
      </c>
      <c r="H6399" t="s">
        <v>3408</v>
      </c>
      <c r="I6399">
        <v>5102</v>
      </c>
      <c r="J6399" s="3">
        <v>49.8</v>
      </c>
      <c r="K6399" s="3">
        <v>33.68</v>
      </c>
      <c r="L6399">
        <v>32.369999999999997</v>
      </c>
    </row>
    <row r="6400" spans="1:12">
      <c r="A6400" s="1">
        <v>46049</v>
      </c>
      <c r="B6400" t="s">
        <v>5366</v>
      </c>
      <c r="C6400">
        <v>12</v>
      </c>
      <c r="D6400" t="str">
        <f>VLOOKUP(Tabela26[[#This Row],[EMP]],[1]LOJA!$A:$B,2,0)</f>
        <v>SOFNORTE</v>
      </c>
      <c r="E6400">
        <v>60</v>
      </c>
      <c r="F6400" t="s">
        <v>4162</v>
      </c>
      <c r="G6400" t="s">
        <v>4161</v>
      </c>
      <c r="H6400" t="s">
        <v>3430</v>
      </c>
      <c r="I6400">
        <v>5405</v>
      </c>
      <c r="J6400" s="3">
        <v>69.95</v>
      </c>
      <c r="K6400" s="3">
        <v>31.09</v>
      </c>
      <c r="L6400">
        <v>55.55</v>
      </c>
    </row>
    <row r="6401" spans="1:12">
      <c r="A6401" s="1">
        <v>46049</v>
      </c>
      <c r="B6401" t="s">
        <v>5365</v>
      </c>
      <c r="C6401">
        <v>12</v>
      </c>
      <c r="D6401" t="str">
        <f>VLOOKUP(Tabela26[[#This Row],[EMP]],[1]LOJA!$A:$B,2,0)</f>
        <v>SOFNORTE</v>
      </c>
      <c r="E6401">
        <v>60</v>
      </c>
      <c r="F6401" t="s">
        <v>4813</v>
      </c>
      <c r="G6401" t="s">
        <v>4812</v>
      </c>
      <c r="H6401" t="s">
        <v>5043</v>
      </c>
      <c r="I6401">
        <v>5405</v>
      </c>
      <c r="J6401" s="3">
        <v>34</v>
      </c>
      <c r="K6401" s="3">
        <v>15.08</v>
      </c>
      <c r="L6401">
        <v>55.65</v>
      </c>
    </row>
    <row r="6402" spans="1:12">
      <c r="A6402" s="1">
        <v>46049</v>
      </c>
      <c r="B6402" t="s">
        <v>5364</v>
      </c>
      <c r="C6402">
        <v>12</v>
      </c>
      <c r="D6402" t="str">
        <f>VLOOKUP(Tabela26[[#This Row],[EMP]],[1]LOJA!$A:$B,2,0)</f>
        <v>SOFNORTE</v>
      </c>
      <c r="E6402">
        <v>60</v>
      </c>
      <c r="F6402" t="s">
        <v>4159</v>
      </c>
      <c r="G6402" t="s">
        <v>4158</v>
      </c>
      <c r="H6402" t="s">
        <v>3430</v>
      </c>
      <c r="I6402">
        <v>5405</v>
      </c>
      <c r="J6402" s="3">
        <v>571.62</v>
      </c>
      <c r="K6402" s="3">
        <v>250.06</v>
      </c>
      <c r="L6402">
        <v>56.25</v>
      </c>
    </row>
    <row r="6403" spans="1:12">
      <c r="A6403" s="1">
        <v>46049</v>
      </c>
      <c r="B6403" t="s">
        <v>5363</v>
      </c>
      <c r="C6403">
        <v>12</v>
      </c>
      <c r="D6403" t="str">
        <f>VLOOKUP(Tabela26[[#This Row],[EMP]],[1]LOJA!$A:$B,2,0)</f>
        <v>SOFNORTE</v>
      </c>
      <c r="E6403">
        <v>60</v>
      </c>
      <c r="F6403" t="s">
        <v>4156</v>
      </c>
      <c r="G6403" t="s">
        <v>4155</v>
      </c>
      <c r="H6403" t="s">
        <v>5043</v>
      </c>
      <c r="I6403">
        <v>5102</v>
      </c>
      <c r="J6403" s="3">
        <v>120</v>
      </c>
      <c r="K6403" s="3">
        <v>92.4</v>
      </c>
      <c r="L6403">
        <v>23</v>
      </c>
    </row>
    <row r="6404" spans="1:12">
      <c r="A6404" s="1">
        <v>46049</v>
      </c>
      <c r="B6404" t="s">
        <v>5362</v>
      </c>
      <c r="C6404">
        <v>12</v>
      </c>
      <c r="D6404" t="str">
        <f>VLOOKUP(Tabela26[[#This Row],[EMP]],[1]LOJA!$A:$B,2,0)</f>
        <v>SOFNORTE</v>
      </c>
      <c r="E6404">
        <v>60</v>
      </c>
      <c r="F6404" t="s">
        <v>4156</v>
      </c>
      <c r="G6404" t="s">
        <v>4155</v>
      </c>
      <c r="H6404" t="s">
        <v>5043</v>
      </c>
      <c r="I6404">
        <v>5102</v>
      </c>
      <c r="J6404" s="3">
        <v>480</v>
      </c>
      <c r="K6404" s="3">
        <v>320.24</v>
      </c>
      <c r="L6404">
        <v>33.28</v>
      </c>
    </row>
    <row r="6405" spans="1:12">
      <c r="A6405" s="1">
        <v>46049</v>
      </c>
      <c r="B6405" t="s">
        <v>5361</v>
      </c>
      <c r="C6405">
        <v>22</v>
      </c>
      <c r="D6405" t="str">
        <f>VLOOKUP(Tabela26[[#This Row],[EMP]],[1]LOJA!$A:$B,2,0)</f>
        <v>GUARÁ</v>
      </c>
      <c r="E6405">
        <v>93</v>
      </c>
      <c r="F6405" t="s">
        <v>4136</v>
      </c>
      <c r="G6405" t="s">
        <v>4135</v>
      </c>
      <c r="H6405" t="s">
        <v>3430</v>
      </c>
      <c r="I6405">
        <v>5405</v>
      </c>
      <c r="J6405" s="3">
        <v>189.6</v>
      </c>
      <c r="K6405" s="3">
        <v>96.49</v>
      </c>
      <c r="L6405">
        <v>49.11</v>
      </c>
    </row>
    <row r="6406" spans="1:12">
      <c r="A6406" s="1">
        <v>46049</v>
      </c>
      <c r="B6406" t="s">
        <v>5360</v>
      </c>
      <c r="C6406">
        <v>22</v>
      </c>
      <c r="D6406" t="str">
        <f>VLOOKUP(Tabela26[[#This Row],[EMP]],[1]LOJA!$A:$B,2,0)</f>
        <v>GUARÁ</v>
      </c>
      <c r="E6406">
        <v>93</v>
      </c>
      <c r="F6406" t="s">
        <v>4808</v>
      </c>
      <c r="G6406" t="s">
        <v>4807</v>
      </c>
      <c r="H6406" t="s">
        <v>3430</v>
      </c>
      <c r="I6406">
        <v>5405</v>
      </c>
      <c r="J6406" s="3">
        <v>139.08000000000001</v>
      </c>
      <c r="K6406" s="3">
        <v>74.78</v>
      </c>
      <c r="L6406">
        <v>46.23</v>
      </c>
    </row>
    <row r="6407" spans="1:12">
      <c r="A6407" s="1">
        <v>46049</v>
      </c>
      <c r="B6407" t="s">
        <v>5359</v>
      </c>
      <c r="C6407">
        <v>22</v>
      </c>
      <c r="D6407" t="str">
        <f>VLOOKUP(Tabela26[[#This Row],[EMP]],[1]LOJA!$A:$B,2,0)</f>
        <v>GUARÁ</v>
      </c>
      <c r="E6407">
        <v>93</v>
      </c>
      <c r="F6407" t="s">
        <v>4151</v>
      </c>
      <c r="G6407" t="s">
        <v>4150</v>
      </c>
      <c r="H6407" t="s">
        <v>3430</v>
      </c>
      <c r="I6407">
        <v>5405</v>
      </c>
      <c r="J6407" s="3">
        <v>206.62</v>
      </c>
      <c r="K6407" s="3">
        <v>99.49</v>
      </c>
      <c r="L6407">
        <v>51.85</v>
      </c>
    </row>
    <row r="6408" spans="1:12">
      <c r="A6408" s="1">
        <v>46049</v>
      </c>
      <c r="B6408" t="s">
        <v>5358</v>
      </c>
      <c r="C6408">
        <v>22</v>
      </c>
      <c r="D6408" t="str">
        <f>VLOOKUP(Tabela26[[#This Row],[EMP]],[1]LOJA!$A:$B,2,0)</f>
        <v>GUARÁ</v>
      </c>
      <c r="E6408">
        <v>93</v>
      </c>
      <c r="F6408" t="s">
        <v>4140</v>
      </c>
      <c r="G6408" t="s">
        <v>4139</v>
      </c>
      <c r="H6408" t="s">
        <v>3430</v>
      </c>
      <c r="I6408">
        <v>5102</v>
      </c>
      <c r="J6408" s="3">
        <v>1186</v>
      </c>
      <c r="K6408" s="3">
        <v>717.36</v>
      </c>
      <c r="L6408">
        <v>39.51</v>
      </c>
    </row>
    <row r="6409" spans="1:12">
      <c r="A6409" s="1">
        <v>46049</v>
      </c>
      <c r="B6409" t="s">
        <v>5357</v>
      </c>
      <c r="C6409">
        <v>22</v>
      </c>
      <c r="D6409" t="str">
        <f>VLOOKUP(Tabela26[[#This Row],[EMP]],[1]LOJA!$A:$B,2,0)</f>
        <v>GUARÁ</v>
      </c>
      <c r="E6409">
        <v>93</v>
      </c>
      <c r="F6409" t="s">
        <v>4147</v>
      </c>
      <c r="G6409" t="s">
        <v>4146</v>
      </c>
      <c r="H6409" t="s">
        <v>3430</v>
      </c>
      <c r="I6409">
        <v>5405</v>
      </c>
      <c r="J6409" s="3">
        <v>143.44999999999999</v>
      </c>
      <c r="K6409" s="3">
        <v>73.489999999999995</v>
      </c>
      <c r="L6409">
        <v>48.77</v>
      </c>
    </row>
    <row r="6410" spans="1:12">
      <c r="A6410" s="1">
        <v>46049</v>
      </c>
      <c r="B6410" t="s">
        <v>5356</v>
      </c>
      <c r="C6410">
        <v>22</v>
      </c>
      <c r="D6410" t="str">
        <f>VLOOKUP(Tabela26[[#This Row],[EMP]],[1]LOJA!$A:$B,2,0)</f>
        <v>GUARÁ</v>
      </c>
      <c r="E6410">
        <v>93</v>
      </c>
      <c r="F6410" t="s">
        <v>4147</v>
      </c>
      <c r="G6410" t="s">
        <v>4146</v>
      </c>
      <c r="H6410" t="s">
        <v>3430</v>
      </c>
      <c r="I6410">
        <v>5102</v>
      </c>
      <c r="J6410" s="3">
        <v>1460.4</v>
      </c>
      <c r="K6410" s="3">
        <v>905.74</v>
      </c>
      <c r="L6410">
        <v>37.979999999999997</v>
      </c>
    </row>
    <row r="6411" spans="1:12">
      <c r="A6411" s="1">
        <v>46049</v>
      </c>
      <c r="B6411" t="s">
        <v>5355</v>
      </c>
      <c r="C6411">
        <v>22</v>
      </c>
      <c r="D6411" t="str">
        <f>VLOOKUP(Tabela26[[#This Row],[EMP]],[1]LOJA!$A:$B,2,0)</f>
        <v>GUARÁ</v>
      </c>
      <c r="E6411">
        <v>93</v>
      </c>
      <c r="F6411" t="s">
        <v>4151</v>
      </c>
      <c r="G6411" t="s">
        <v>4150</v>
      </c>
      <c r="H6411" t="s">
        <v>3430</v>
      </c>
      <c r="I6411">
        <v>5405</v>
      </c>
      <c r="J6411" s="3">
        <v>376.9</v>
      </c>
      <c r="K6411" s="3">
        <v>239.69</v>
      </c>
      <c r="L6411">
        <v>36.4</v>
      </c>
    </row>
    <row r="6412" spans="1:12">
      <c r="A6412" s="1">
        <v>46049</v>
      </c>
      <c r="B6412" t="s">
        <v>5354</v>
      </c>
      <c r="C6412">
        <v>22</v>
      </c>
      <c r="D6412" t="str">
        <f>VLOOKUP(Tabela26[[#This Row],[EMP]],[1]LOJA!$A:$B,2,0)</f>
        <v>GUARÁ</v>
      </c>
      <c r="E6412">
        <v>16</v>
      </c>
      <c r="F6412" t="s">
        <v>5353</v>
      </c>
      <c r="G6412" t="s">
        <v>5352</v>
      </c>
      <c r="H6412" t="s">
        <v>3520</v>
      </c>
      <c r="I6412">
        <v>5405</v>
      </c>
      <c r="J6412" s="3">
        <v>120.38</v>
      </c>
      <c r="K6412" s="3">
        <v>67.39</v>
      </c>
      <c r="L6412">
        <v>44.02</v>
      </c>
    </row>
    <row r="6413" spans="1:12">
      <c r="A6413" s="1">
        <v>46049</v>
      </c>
      <c r="B6413" t="s">
        <v>5351</v>
      </c>
      <c r="C6413">
        <v>22</v>
      </c>
      <c r="D6413" t="str">
        <f>VLOOKUP(Tabela26[[#This Row],[EMP]],[1]LOJA!$A:$B,2,0)</f>
        <v>GUARÁ</v>
      </c>
      <c r="E6413">
        <v>93</v>
      </c>
      <c r="F6413" t="s">
        <v>3514</v>
      </c>
      <c r="G6413" t="s">
        <v>3513</v>
      </c>
      <c r="H6413" t="s">
        <v>3430</v>
      </c>
      <c r="I6413">
        <v>5102</v>
      </c>
      <c r="J6413" s="3">
        <v>51.75</v>
      </c>
      <c r="K6413" s="3">
        <v>33.85</v>
      </c>
      <c r="L6413">
        <v>34.590000000000003</v>
      </c>
    </row>
    <row r="6414" spans="1:12">
      <c r="A6414" s="1">
        <v>46049</v>
      </c>
      <c r="B6414" t="s">
        <v>5350</v>
      </c>
      <c r="C6414">
        <v>22</v>
      </c>
      <c r="D6414" t="str">
        <f>VLOOKUP(Tabela26[[#This Row],[EMP]],[1]LOJA!$A:$B,2,0)</f>
        <v>GUARÁ</v>
      </c>
      <c r="E6414">
        <v>93</v>
      </c>
      <c r="F6414" t="s">
        <v>4151</v>
      </c>
      <c r="G6414" t="s">
        <v>4150</v>
      </c>
      <c r="H6414" t="s">
        <v>3430</v>
      </c>
      <c r="I6414">
        <v>5102</v>
      </c>
      <c r="J6414" s="3">
        <v>21.05</v>
      </c>
      <c r="K6414" s="3">
        <v>12.6</v>
      </c>
      <c r="L6414">
        <v>40.14</v>
      </c>
    </row>
    <row r="6415" spans="1:12">
      <c r="A6415" s="1">
        <v>46049</v>
      </c>
      <c r="B6415" t="s">
        <v>5349</v>
      </c>
      <c r="C6415">
        <v>22</v>
      </c>
      <c r="D6415" t="str">
        <f>VLOOKUP(Tabela26[[#This Row],[EMP]],[1]LOJA!$A:$B,2,0)</f>
        <v>GUARÁ</v>
      </c>
      <c r="E6415">
        <v>93</v>
      </c>
      <c r="F6415" t="s">
        <v>4147</v>
      </c>
      <c r="G6415" t="s">
        <v>4146</v>
      </c>
      <c r="H6415" t="s">
        <v>3430</v>
      </c>
      <c r="I6415">
        <v>5405</v>
      </c>
      <c r="J6415" s="3">
        <v>122.95</v>
      </c>
      <c r="K6415" s="3">
        <v>64.64</v>
      </c>
      <c r="L6415">
        <v>47.43</v>
      </c>
    </row>
    <row r="6416" spans="1:12">
      <c r="A6416" s="1">
        <v>46049</v>
      </c>
      <c r="B6416" t="s">
        <v>5348</v>
      </c>
      <c r="C6416">
        <v>22</v>
      </c>
      <c r="D6416" t="str">
        <f>VLOOKUP(Tabela26[[#This Row],[EMP]],[1]LOJA!$A:$B,2,0)</f>
        <v>GUARÁ</v>
      </c>
      <c r="E6416">
        <v>93</v>
      </c>
      <c r="F6416" t="s">
        <v>4136</v>
      </c>
      <c r="G6416" t="s">
        <v>4135</v>
      </c>
      <c r="H6416" t="s">
        <v>3430</v>
      </c>
      <c r="I6416">
        <v>5405</v>
      </c>
      <c r="J6416" s="3">
        <v>363.67</v>
      </c>
      <c r="K6416" s="3">
        <v>198.7</v>
      </c>
      <c r="L6416">
        <v>45.36</v>
      </c>
    </row>
    <row r="6417" spans="1:12">
      <c r="A6417" s="1">
        <v>46049</v>
      </c>
      <c r="B6417" t="s">
        <v>5347</v>
      </c>
      <c r="C6417">
        <v>13</v>
      </c>
      <c r="D6417" t="str">
        <f>VLOOKUP(Tabela26[[#This Row],[EMP]],[1]LOJA!$A:$B,2,0)</f>
        <v>CEILÂNDIA</v>
      </c>
      <c r="E6417">
        <v>86</v>
      </c>
      <c r="F6417" t="s">
        <v>4792</v>
      </c>
      <c r="G6417" t="s">
        <v>4791</v>
      </c>
      <c r="H6417" t="s">
        <v>5226</v>
      </c>
      <c r="I6417">
        <v>5405</v>
      </c>
      <c r="J6417" s="3">
        <v>232</v>
      </c>
      <c r="K6417" s="3">
        <v>134.16</v>
      </c>
      <c r="L6417">
        <v>42.17</v>
      </c>
    </row>
    <row r="6418" spans="1:12">
      <c r="A6418" s="1">
        <v>46049</v>
      </c>
      <c r="B6418" t="s">
        <v>5346</v>
      </c>
      <c r="C6418">
        <v>13</v>
      </c>
      <c r="D6418" t="str">
        <f>VLOOKUP(Tabela26[[#This Row],[EMP]],[1]LOJA!$A:$B,2,0)</f>
        <v>CEILÂNDIA</v>
      </c>
      <c r="E6418">
        <v>86</v>
      </c>
      <c r="F6418" t="s">
        <v>4122</v>
      </c>
      <c r="G6418" t="s">
        <v>4121</v>
      </c>
      <c r="H6418" t="s">
        <v>3430</v>
      </c>
      <c r="I6418">
        <v>5405</v>
      </c>
      <c r="J6418" s="3">
        <v>315.68</v>
      </c>
      <c r="K6418" s="3">
        <v>170.3</v>
      </c>
      <c r="L6418">
        <v>46.05</v>
      </c>
    </row>
    <row r="6419" spans="1:12">
      <c r="A6419" s="1">
        <v>46049</v>
      </c>
      <c r="B6419" t="s">
        <v>5345</v>
      </c>
      <c r="C6419">
        <v>13</v>
      </c>
      <c r="D6419" t="str">
        <f>VLOOKUP(Tabela26[[#This Row],[EMP]],[1]LOJA!$A:$B,2,0)</f>
        <v>CEILÂNDIA</v>
      </c>
      <c r="E6419">
        <v>86</v>
      </c>
      <c r="F6419" t="s">
        <v>4792</v>
      </c>
      <c r="G6419" t="s">
        <v>4791</v>
      </c>
      <c r="H6419" t="s">
        <v>5226</v>
      </c>
      <c r="I6419">
        <v>5405</v>
      </c>
      <c r="J6419" s="3">
        <v>364.72</v>
      </c>
      <c r="K6419" s="3">
        <v>190.26</v>
      </c>
      <c r="L6419">
        <v>47.83</v>
      </c>
    </row>
    <row r="6420" spans="1:12">
      <c r="A6420" s="1">
        <v>46049</v>
      </c>
      <c r="B6420" t="s">
        <v>5344</v>
      </c>
      <c r="C6420">
        <v>13</v>
      </c>
      <c r="D6420" t="str">
        <f>VLOOKUP(Tabela26[[#This Row],[EMP]],[1]LOJA!$A:$B,2,0)</f>
        <v>CEILÂNDIA</v>
      </c>
      <c r="E6420">
        <v>86</v>
      </c>
      <c r="F6420" t="s">
        <v>5343</v>
      </c>
      <c r="G6420" t="s">
        <v>5342</v>
      </c>
      <c r="H6420" t="s">
        <v>3408</v>
      </c>
      <c r="I6420">
        <v>5405</v>
      </c>
      <c r="J6420" s="3">
        <v>576.9</v>
      </c>
      <c r="K6420" s="3">
        <v>362.16</v>
      </c>
      <c r="L6420">
        <v>37.22</v>
      </c>
    </row>
    <row r="6421" spans="1:12">
      <c r="A6421" s="1">
        <v>46049</v>
      </c>
      <c r="B6421" t="s">
        <v>5341</v>
      </c>
      <c r="C6421">
        <v>13</v>
      </c>
      <c r="D6421" t="str">
        <f>VLOOKUP(Tabela26[[#This Row],[EMP]],[1]LOJA!$A:$B,2,0)</f>
        <v>CEILÂNDIA</v>
      </c>
      <c r="E6421">
        <v>86</v>
      </c>
      <c r="F6421" t="s">
        <v>4122</v>
      </c>
      <c r="G6421" t="s">
        <v>4121</v>
      </c>
      <c r="H6421" t="s">
        <v>3430</v>
      </c>
      <c r="I6421">
        <v>5405</v>
      </c>
      <c r="J6421" s="3">
        <v>110.35</v>
      </c>
      <c r="K6421" s="3">
        <v>57.9</v>
      </c>
      <c r="L6421">
        <v>47.53</v>
      </c>
    </row>
    <row r="6422" spans="1:12">
      <c r="A6422" s="1">
        <v>46049</v>
      </c>
      <c r="B6422" t="s">
        <v>5340</v>
      </c>
      <c r="C6422">
        <v>13</v>
      </c>
      <c r="D6422" t="str">
        <f>VLOOKUP(Tabela26[[#This Row],[EMP]],[1]LOJA!$A:$B,2,0)</f>
        <v>CEILÂNDIA</v>
      </c>
      <c r="E6422">
        <v>86</v>
      </c>
      <c r="F6422" t="s">
        <v>5339</v>
      </c>
      <c r="G6422" t="s">
        <v>5338</v>
      </c>
      <c r="H6422" t="s">
        <v>3408</v>
      </c>
      <c r="I6422">
        <v>5405</v>
      </c>
      <c r="J6422" s="3">
        <v>744.67</v>
      </c>
      <c r="K6422" s="3">
        <v>469.26</v>
      </c>
      <c r="L6422">
        <v>36.979999999999997</v>
      </c>
    </row>
    <row r="6423" spans="1:12">
      <c r="A6423" s="1">
        <v>46049</v>
      </c>
      <c r="B6423" t="s">
        <v>5337</v>
      </c>
      <c r="C6423">
        <v>13</v>
      </c>
      <c r="D6423" t="str">
        <f>VLOOKUP(Tabela26[[#This Row],[EMP]],[1]LOJA!$A:$B,2,0)</f>
        <v>CEILÂNDIA</v>
      </c>
      <c r="E6423">
        <v>86</v>
      </c>
      <c r="F6423" t="s">
        <v>4081</v>
      </c>
      <c r="G6423" t="s">
        <v>4080</v>
      </c>
      <c r="H6423" t="s">
        <v>5226</v>
      </c>
      <c r="I6423">
        <v>5405</v>
      </c>
      <c r="J6423" s="3">
        <v>12</v>
      </c>
      <c r="K6423" s="3">
        <v>6.1</v>
      </c>
      <c r="L6423">
        <v>49.17</v>
      </c>
    </row>
    <row r="6424" spans="1:12">
      <c r="A6424" s="1">
        <v>46049</v>
      </c>
      <c r="B6424" t="s">
        <v>5336</v>
      </c>
      <c r="C6424">
        <v>13</v>
      </c>
      <c r="D6424" t="str">
        <f>VLOOKUP(Tabela26[[#This Row],[EMP]],[1]LOJA!$A:$B,2,0)</f>
        <v>CEILÂNDIA</v>
      </c>
      <c r="E6424">
        <v>33</v>
      </c>
      <c r="F6424" t="s">
        <v>4109</v>
      </c>
      <c r="G6424" t="s">
        <v>4108</v>
      </c>
      <c r="H6424" t="s">
        <v>5226</v>
      </c>
      <c r="I6424">
        <v>5102</v>
      </c>
      <c r="J6424" s="3">
        <v>87.3</v>
      </c>
      <c r="K6424" s="3">
        <v>54.54</v>
      </c>
      <c r="L6424">
        <v>37.53</v>
      </c>
    </row>
    <row r="6425" spans="1:12">
      <c r="A6425" s="1">
        <v>46049</v>
      </c>
      <c r="B6425" t="s">
        <v>5335</v>
      </c>
      <c r="C6425">
        <v>13</v>
      </c>
      <c r="D6425" t="str">
        <f>VLOOKUP(Tabela26[[#This Row],[EMP]],[1]LOJA!$A:$B,2,0)</f>
        <v>CEILÂNDIA</v>
      </c>
      <c r="E6425">
        <v>33</v>
      </c>
      <c r="F6425" t="s">
        <v>3505</v>
      </c>
      <c r="G6425" t="s">
        <v>3504</v>
      </c>
      <c r="H6425" t="s">
        <v>3430</v>
      </c>
      <c r="I6425">
        <v>5102</v>
      </c>
      <c r="J6425" s="3">
        <v>58.24</v>
      </c>
      <c r="K6425" s="3">
        <v>38.08</v>
      </c>
      <c r="L6425">
        <v>34.619999999999997</v>
      </c>
    </row>
    <row r="6426" spans="1:12">
      <c r="A6426" s="1">
        <v>46049</v>
      </c>
      <c r="B6426" t="s">
        <v>5334</v>
      </c>
      <c r="C6426">
        <v>13</v>
      </c>
      <c r="D6426" t="str">
        <f>VLOOKUP(Tabela26[[#This Row],[EMP]],[1]LOJA!$A:$B,2,0)</f>
        <v>CEILÂNDIA</v>
      </c>
      <c r="E6426">
        <v>33</v>
      </c>
      <c r="F6426" t="s">
        <v>4767</v>
      </c>
      <c r="G6426" t="s">
        <v>4766</v>
      </c>
      <c r="H6426" t="s">
        <v>3430</v>
      </c>
      <c r="I6426">
        <v>5405</v>
      </c>
      <c r="J6426" s="3">
        <v>165.04</v>
      </c>
      <c r="K6426" s="3">
        <v>84.8</v>
      </c>
      <c r="L6426">
        <v>48.62</v>
      </c>
    </row>
    <row r="6427" spans="1:12">
      <c r="A6427" s="1">
        <v>46049</v>
      </c>
      <c r="B6427" t="s">
        <v>5333</v>
      </c>
      <c r="C6427">
        <v>13</v>
      </c>
      <c r="D6427" t="str">
        <f>VLOOKUP(Tabela26[[#This Row],[EMP]],[1]LOJA!$A:$B,2,0)</f>
        <v>CEILÂNDIA</v>
      </c>
      <c r="E6427">
        <v>86</v>
      </c>
      <c r="F6427" t="s">
        <v>3505</v>
      </c>
      <c r="G6427" t="s">
        <v>3504</v>
      </c>
      <c r="H6427" t="s">
        <v>3430</v>
      </c>
      <c r="I6427">
        <v>5405</v>
      </c>
      <c r="J6427" s="3">
        <v>312.39999999999998</v>
      </c>
      <c r="K6427" s="3">
        <v>157.6</v>
      </c>
      <c r="L6427">
        <v>49.55</v>
      </c>
    </row>
    <row r="6428" spans="1:12">
      <c r="A6428" s="1">
        <v>46049</v>
      </c>
      <c r="B6428" t="s">
        <v>5332</v>
      </c>
      <c r="C6428">
        <v>13</v>
      </c>
      <c r="D6428" t="str">
        <f>VLOOKUP(Tabela26[[#This Row],[EMP]],[1]LOJA!$A:$B,2,0)</f>
        <v>CEILÂNDIA</v>
      </c>
      <c r="E6428">
        <v>86</v>
      </c>
      <c r="F6428" t="s">
        <v>3505</v>
      </c>
      <c r="G6428" t="s">
        <v>3504</v>
      </c>
      <c r="H6428" t="s">
        <v>3430</v>
      </c>
      <c r="I6428">
        <v>5102</v>
      </c>
      <c r="J6428" s="3">
        <v>253.32</v>
      </c>
      <c r="K6428" s="3">
        <v>152.9</v>
      </c>
      <c r="L6428">
        <v>39.64</v>
      </c>
    </row>
    <row r="6429" spans="1:12">
      <c r="A6429" s="1">
        <v>46049</v>
      </c>
      <c r="B6429" t="s">
        <v>5331</v>
      </c>
      <c r="C6429">
        <v>13</v>
      </c>
      <c r="D6429" t="str">
        <f>VLOOKUP(Tabela26[[#This Row],[EMP]],[1]LOJA!$A:$B,2,0)</f>
        <v>CEILÂNDIA</v>
      </c>
      <c r="E6429">
        <v>86</v>
      </c>
      <c r="F6429" t="s">
        <v>3505</v>
      </c>
      <c r="G6429" t="s">
        <v>3504</v>
      </c>
      <c r="H6429" t="s">
        <v>3430</v>
      </c>
      <c r="I6429">
        <v>5102</v>
      </c>
      <c r="J6429" s="3">
        <v>290.42</v>
      </c>
      <c r="K6429" s="3">
        <v>185.92</v>
      </c>
      <c r="L6429">
        <v>35.979999999999997</v>
      </c>
    </row>
    <row r="6430" spans="1:12">
      <c r="A6430" s="1">
        <v>46049</v>
      </c>
      <c r="B6430" t="s">
        <v>5330</v>
      </c>
      <c r="C6430">
        <v>13</v>
      </c>
      <c r="D6430" t="str">
        <f>VLOOKUP(Tabela26[[#This Row],[EMP]],[1]LOJA!$A:$B,2,0)</f>
        <v>CEILÂNDIA</v>
      </c>
      <c r="E6430">
        <v>86</v>
      </c>
      <c r="F6430" t="s">
        <v>4781</v>
      </c>
      <c r="G6430" t="s">
        <v>4780</v>
      </c>
      <c r="H6430" t="s">
        <v>3430</v>
      </c>
      <c r="I6430">
        <v>5102</v>
      </c>
      <c r="J6430" s="3">
        <v>460.6</v>
      </c>
      <c r="K6430" s="3">
        <v>308.64999999999998</v>
      </c>
      <c r="L6430">
        <v>32.99</v>
      </c>
    </row>
    <row r="6431" spans="1:12">
      <c r="A6431" s="1">
        <v>46049</v>
      </c>
      <c r="B6431" t="s">
        <v>5329</v>
      </c>
      <c r="C6431">
        <v>13</v>
      </c>
      <c r="D6431" t="str">
        <f>VLOOKUP(Tabela26[[#This Row],[EMP]],[1]LOJA!$A:$B,2,0)</f>
        <v>CEILÂNDIA</v>
      </c>
      <c r="E6431">
        <v>86</v>
      </c>
      <c r="F6431" t="s">
        <v>4097</v>
      </c>
      <c r="G6431" t="s">
        <v>4096</v>
      </c>
      <c r="H6431" t="s">
        <v>3430</v>
      </c>
      <c r="I6431">
        <v>5405</v>
      </c>
      <c r="J6431" s="3">
        <v>262.33999999999997</v>
      </c>
      <c r="K6431" s="3">
        <v>147.76</v>
      </c>
      <c r="L6431">
        <v>43.68</v>
      </c>
    </row>
    <row r="6432" spans="1:12">
      <c r="A6432" s="1">
        <v>46049</v>
      </c>
      <c r="B6432" t="s">
        <v>5328</v>
      </c>
      <c r="C6432">
        <v>13</v>
      </c>
      <c r="D6432" t="str">
        <f>VLOOKUP(Tabela26[[#This Row],[EMP]],[1]LOJA!$A:$B,2,0)</f>
        <v>CEILÂNDIA</v>
      </c>
      <c r="E6432">
        <v>86</v>
      </c>
      <c r="F6432" t="s">
        <v>3505</v>
      </c>
      <c r="G6432" t="s">
        <v>3504</v>
      </c>
      <c r="H6432" t="s">
        <v>3430</v>
      </c>
      <c r="I6432">
        <v>5405</v>
      </c>
      <c r="J6432" s="3">
        <v>64.52</v>
      </c>
      <c r="K6432" s="3">
        <v>33.26</v>
      </c>
      <c r="L6432">
        <v>48.45</v>
      </c>
    </row>
    <row r="6433" spans="1:12">
      <c r="A6433" s="1">
        <v>46049</v>
      </c>
      <c r="B6433" t="s">
        <v>5327</v>
      </c>
      <c r="C6433">
        <v>13</v>
      </c>
      <c r="D6433" t="str">
        <f>VLOOKUP(Tabela26[[#This Row],[EMP]],[1]LOJA!$A:$B,2,0)</f>
        <v>CEILÂNDIA</v>
      </c>
      <c r="E6433">
        <v>86</v>
      </c>
      <c r="F6433" t="s">
        <v>4764</v>
      </c>
      <c r="G6433" t="s">
        <v>4763</v>
      </c>
      <c r="H6433" t="s">
        <v>3430</v>
      </c>
      <c r="I6433">
        <v>5405</v>
      </c>
      <c r="J6433" s="3">
        <v>157.80000000000001</v>
      </c>
      <c r="K6433" s="3">
        <v>80.56</v>
      </c>
      <c r="L6433">
        <v>48.95</v>
      </c>
    </row>
    <row r="6434" spans="1:12">
      <c r="A6434" s="1">
        <v>46049</v>
      </c>
      <c r="B6434" t="s">
        <v>5326</v>
      </c>
      <c r="C6434">
        <v>13</v>
      </c>
      <c r="D6434" t="str">
        <f>VLOOKUP(Tabela26[[#This Row],[EMP]],[1]LOJA!$A:$B,2,0)</f>
        <v>CEILÂNDIA</v>
      </c>
      <c r="E6434">
        <v>86</v>
      </c>
      <c r="F6434" t="s">
        <v>3505</v>
      </c>
      <c r="G6434" t="s">
        <v>3504</v>
      </c>
      <c r="H6434" t="s">
        <v>3430</v>
      </c>
      <c r="I6434">
        <v>5405</v>
      </c>
      <c r="J6434" s="3">
        <v>69.45</v>
      </c>
      <c r="K6434" s="3">
        <v>31.68</v>
      </c>
      <c r="L6434">
        <v>54.38</v>
      </c>
    </row>
    <row r="6435" spans="1:12">
      <c r="A6435" s="1">
        <v>46049</v>
      </c>
      <c r="B6435" t="s">
        <v>5325</v>
      </c>
      <c r="C6435">
        <v>13</v>
      </c>
      <c r="D6435" t="str">
        <f>VLOOKUP(Tabela26[[#This Row],[EMP]],[1]LOJA!$A:$B,2,0)</f>
        <v>CEILÂNDIA</v>
      </c>
      <c r="E6435">
        <v>86</v>
      </c>
      <c r="F6435" t="s">
        <v>4097</v>
      </c>
      <c r="G6435" t="s">
        <v>4096</v>
      </c>
      <c r="H6435" t="s">
        <v>3430</v>
      </c>
      <c r="I6435">
        <v>5405</v>
      </c>
      <c r="J6435" s="3">
        <v>53.9</v>
      </c>
      <c r="K6435" s="3">
        <v>26.53</v>
      </c>
      <c r="L6435">
        <v>50.78</v>
      </c>
    </row>
    <row r="6436" spans="1:12">
      <c r="A6436" s="1">
        <v>46049</v>
      </c>
      <c r="B6436" t="s">
        <v>5324</v>
      </c>
      <c r="C6436">
        <v>13</v>
      </c>
      <c r="D6436" t="str">
        <f>VLOOKUP(Tabela26[[#This Row],[EMP]],[1]LOJA!$A:$B,2,0)</f>
        <v>CEILÂNDIA</v>
      </c>
      <c r="E6436">
        <v>86</v>
      </c>
      <c r="F6436" t="s">
        <v>4767</v>
      </c>
      <c r="G6436" t="s">
        <v>4766</v>
      </c>
      <c r="H6436" t="s">
        <v>3430</v>
      </c>
      <c r="I6436">
        <v>5102</v>
      </c>
      <c r="J6436" s="3">
        <v>198.9</v>
      </c>
      <c r="K6436" s="3">
        <v>121.94</v>
      </c>
      <c r="L6436">
        <v>38.69</v>
      </c>
    </row>
    <row r="6437" spans="1:12">
      <c r="A6437" s="1">
        <v>46049</v>
      </c>
      <c r="B6437" t="s">
        <v>5323</v>
      </c>
      <c r="C6437">
        <v>13</v>
      </c>
      <c r="D6437" t="str">
        <f>VLOOKUP(Tabela26[[#This Row],[EMP]],[1]LOJA!$A:$B,2,0)</f>
        <v>CEILÂNDIA</v>
      </c>
      <c r="E6437">
        <v>86</v>
      </c>
      <c r="F6437" t="s">
        <v>4781</v>
      </c>
      <c r="G6437" t="s">
        <v>4780</v>
      </c>
      <c r="H6437" t="s">
        <v>3430</v>
      </c>
      <c r="I6437">
        <v>5102</v>
      </c>
      <c r="J6437" s="3">
        <v>494.92</v>
      </c>
      <c r="K6437" s="3">
        <v>349.71</v>
      </c>
      <c r="L6437">
        <v>29.34</v>
      </c>
    </row>
    <row r="6438" spans="1:12">
      <c r="A6438" s="1">
        <v>46049</v>
      </c>
      <c r="B6438" t="s">
        <v>5322</v>
      </c>
      <c r="C6438">
        <v>13</v>
      </c>
      <c r="D6438" t="str">
        <f>VLOOKUP(Tabela26[[#This Row],[EMP]],[1]LOJA!$A:$B,2,0)</f>
        <v>CEILÂNDIA</v>
      </c>
      <c r="E6438">
        <v>86</v>
      </c>
      <c r="F6438" t="s">
        <v>4112</v>
      </c>
      <c r="G6438" t="s">
        <v>4111</v>
      </c>
      <c r="H6438" t="s">
        <v>3430</v>
      </c>
      <c r="I6438">
        <v>5102</v>
      </c>
      <c r="J6438" s="3">
        <v>77.900000000000006</v>
      </c>
      <c r="K6438" s="3">
        <v>47.01</v>
      </c>
      <c r="L6438">
        <v>39.65</v>
      </c>
    </row>
    <row r="6439" spans="1:12">
      <c r="A6439" s="1">
        <v>46049</v>
      </c>
      <c r="B6439" t="s">
        <v>5321</v>
      </c>
      <c r="C6439">
        <v>13</v>
      </c>
      <c r="D6439" t="str">
        <f>VLOOKUP(Tabela26[[#This Row],[EMP]],[1]LOJA!$A:$B,2,0)</f>
        <v>CEILÂNDIA</v>
      </c>
      <c r="E6439">
        <v>86</v>
      </c>
      <c r="F6439" t="s">
        <v>5320</v>
      </c>
      <c r="G6439" t="s">
        <v>5319</v>
      </c>
      <c r="H6439" t="s">
        <v>3430</v>
      </c>
      <c r="I6439">
        <v>5405</v>
      </c>
      <c r="J6439" s="3">
        <v>49</v>
      </c>
      <c r="K6439" s="3">
        <v>21.98</v>
      </c>
      <c r="L6439">
        <v>55.14</v>
      </c>
    </row>
    <row r="6440" spans="1:12">
      <c r="A6440" s="1">
        <v>46049</v>
      </c>
      <c r="B6440" t="s">
        <v>5318</v>
      </c>
      <c r="C6440">
        <v>13</v>
      </c>
      <c r="D6440" t="str">
        <f>VLOOKUP(Tabela26[[#This Row],[EMP]],[1]LOJA!$A:$B,2,0)</f>
        <v>CEILÂNDIA</v>
      </c>
      <c r="E6440">
        <v>86</v>
      </c>
      <c r="F6440" t="s">
        <v>3505</v>
      </c>
      <c r="G6440" t="s">
        <v>3504</v>
      </c>
      <c r="H6440" t="s">
        <v>3430</v>
      </c>
      <c r="I6440">
        <v>5102</v>
      </c>
      <c r="J6440" s="3">
        <v>129.9</v>
      </c>
      <c r="K6440" s="3">
        <v>86.52</v>
      </c>
      <c r="L6440">
        <v>33.39</v>
      </c>
    </row>
    <row r="6441" spans="1:12">
      <c r="A6441" s="1">
        <v>46049</v>
      </c>
      <c r="B6441" t="s">
        <v>5317</v>
      </c>
      <c r="C6441">
        <v>13</v>
      </c>
      <c r="D6441" t="str">
        <f>VLOOKUP(Tabela26[[#This Row],[EMP]],[1]LOJA!$A:$B,2,0)</f>
        <v>CEILÂNDIA</v>
      </c>
      <c r="E6441">
        <v>86</v>
      </c>
      <c r="F6441" t="s">
        <v>4106</v>
      </c>
      <c r="G6441" t="s">
        <v>4105</v>
      </c>
      <c r="H6441" t="s">
        <v>3430</v>
      </c>
      <c r="I6441">
        <v>5405</v>
      </c>
      <c r="J6441" s="3">
        <v>64.52</v>
      </c>
      <c r="K6441" s="3">
        <v>33.26</v>
      </c>
      <c r="L6441">
        <v>48.45</v>
      </c>
    </row>
    <row r="6442" spans="1:12">
      <c r="A6442" s="1">
        <v>46049</v>
      </c>
      <c r="B6442" t="s">
        <v>5316</v>
      </c>
      <c r="C6442">
        <v>15</v>
      </c>
      <c r="D6442" t="str">
        <f>VLOOKUP(Tabela26[[#This Row],[EMP]],[1]LOJA!$A:$B,2,0)</f>
        <v>UNAÍ</v>
      </c>
      <c r="E6442">
        <v>183</v>
      </c>
      <c r="F6442" t="s">
        <v>5315</v>
      </c>
      <c r="G6442" t="s">
        <v>3402</v>
      </c>
      <c r="H6442" t="s">
        <v>3408</v>
      </c>
      <c r="I6442">
        <v>5102</v>
      </c>
      <c r="J6442" s="3">
        <v>361.45</v>
      </c>
      <c r="K6442" s="3">
        <v>193.59</v>
      </c>
      <c r="L6442">
        <v>46.44</v>
      </c>
    </row>
    <row r="6443" spans="1:12">
      <c r="A6443" s="1">
        <v>46049</v>
      </c>
      <c r="B6443" t="s">
        <v>5314</v>
      </c>
      <c r="C6443">
        <v>15</v>
      </c>
      <c r="D6443" t="str">
        <f>VLOOKUP(Tabela26[[#This Row],[EMP]],[1]LOJA!$A:$B,2,0)</f>
        <v>UNAÍ</v>
      </c>
      <c r="E6443">
        <v>183</v>
      </c>
      <c r="F6443" t="s">
        <v>3485</v>
      </c>
      <c r="G6443" t="s">
        <v>3402</v>
      </c>
      <c r="H6443" t="s">
        <v>3401</v>
      </c>
      <c r="I6443">
        <v>5102</v>
      </c>
      <c r="J6443" s="3">
        <v>47.5</v>
      </c>
      <c r="K6443" s="3">
        <v>28.08</v>
      </c>
      <c r="L6443">
        <v>40.880000000000003</v>
      </c>
    </row>
    <row r="6444" spans="1:12">
      <c r="A6444" s="1">
        <v>46049</v>
      </c>
      <c r="B6444" t="s">
        <v>5313</v>
      </c>
      <c r="C6444">
        <v>15</v>
      </c>
      <c r="D6444" t="str">
        <f>VLOOKUP(Tabela26[[#This Row],[EMP]],[1]LOJA!$A:$B,2,0)</f>
        <v>UNAÍ</v>
      </c>
      <c r="E6444">
        <v>183</v>
      </c>
      <c r="F6444" t="s">
        <v>4029</v>
      </c>
      <c r="G6444" t="s">
        <v>4028</v>
      </c>
      <c r="H6444" t="s">
        <v>3401</v>
      </c>
      <c r="I6444">
        <v>5102</v>
      </c>
      <c r="J6444" s="3">
        <v>76.2</v>
      </c>
      <c r="K6444" s="3">
        <v>46.4</v>
      </c>
      <c r="L6444">
        <v>39.11</v>
      </c>
    </row>
    <row r="6445" spans="1:12">
      <c r="A6445" s="1">
        <v>46049</v>
      </c>
      <c r="B6445" t="s">
        <v>5312</v>
      </c>
      <c r="C6445">
        <v>15</v>
      </c>
      <c r="D6445" t="str">
        <f>VLOOKUP(Tabela26[[#This Row],[EMP]],[1]LOJA!$A:$B,2,0)</f>
        <v>UNAÍ</v>
      </c>
      <c r="E6445">
        <v>183</v>
      </c>
      <c r="F6445" t="s">
        <v>4029</v>
      </c>
      <c r="G6445" t="s">
        <v>4028</v>
      </c>
      <c r="H6445" t="s">
        <v>3401</v>
      </c>
      <c r="I6445">
        <v>5102</v>
      </c>
      <c r="J6445" s="3">
        <v>124.9</v>
      </c>
      <c r="K6445" s="3">
        <v>80.760000000000005</v>
      </c>
      <c r="L6445">
        <v>35.340000000000003</v>
      </c>
    </row>
    <row r="6446" spans="1:12">
      <c r="A6446" s="1">
        <v>46049</v>
      </c>
      <c r="B6446" t="s">
        <v>5311</v>
      </c>
      <c r="C6446">
        <v>15</v>
      </c>
      <c r="D6446" t="str">
        <f>VLOOKUP(Tabela26[[#This Row],[EMP]],[1]LOJA!$A:$B,2,0)</f>
        <v>UNAÍ</v>
      </c>
      <c r="E6446">
        <v>183</v>
      </c>
      <c r="F6446" t="s">
        <v>3497</v>
      </c>
      <c r="G6446" t="s">
        <v>3496</v>
      </c>
      <c r="H6446" t="s">
        <v>3533</v>
      </c>
      <c r="I6446">
        <v>5102</v>
      </c>
      <c r="J6446" s="3">
        <v>28.9</v>
      </c>
      <c r="K6446" s="3">
        <v>16.899999999999999</v>
      </c>
      <c r="L6446">
        <v>41.52</v>
      </c>
    </row>
    <row r="6447" spans="1:12">
      <c r="A6447" s="1">
        <v>46049</v>
      </c>
      <c r="B6447" t="s">
        <v>5310</v>
      </c>
      <c r="C6447">
        <v>15</v>
      </c>
      <c r="D6447" t="str">
        <f>VLOOKUP(Tabela26[[#This Row],[EMP]],[1]LOJA!$A:$B,2,0)</f>
        <v>UNAÍ</v>
      </c>
      <c r="E6447">
        <v>183</v>
      </c>
      <c r="F6447" t="s">
        <v>3485</v>
      </c>
      <c r="G6447" t="s">
        <v>3402</v>
      </c>
      <c r="H6447" t="s">
        <v>3401</v>
      </c>
      <c r="I6447">
        <v>5102</v>
      </c>
      <c r="J6447" s="3">
        <v>5.78</v>
      </c>
      <c r="K6447" s="3">
        <v>2.72</v>
      </c>
      <c r="L6447">
        <v>52.94</v>
      </c>
    </row>
    <row r="6448" spans="1:12">
      <c r="A6448" s="1">
        <v>46049</v>
      </c>
      <c r="B6448" t="s">
        <v>5309</v>
      </c>
      <c r="C6448">
        <v>15</v>
      </c>
      <c r="D6448" t="str">
        <f>VLOOKUP(Tabela26[[#This Row],[EMP]],[1]LOJA!$A:$B,2,0)</f>
        <v>UNAÍ</v>
      </c>
      <c r="E6448">
        <v>183</v>
      </c>
      <c r="F6448" t="s">
        <v>5308</v>
      </c>
      <c r="G6448" t="s">
        <v>5307</v>
      </c>
      <c r="H6448" t="s">
        <v>3401</v>
      </c>
      <c r="I6448">
        <v>5102</v>
      </c>
      <c r="J6448" s="3">
        <v>71</v>
      </c>
      <c r="K6448" s="3">
        <v>33.81</v>
      </c>
      <c r="L6448">
        <v>52.38</v>
      </c>
    </row>
    <row r="6449" spans="1:12">
      <c r="A6449" s="1">
        <v>46049</v>
      </c>
      <c r="B6449" t="s">
        <v>5306</v>
      </c>
      <c r="C6449">
        <v>15</v>
      </c>
      <c r="D6449" t="str">
        <f>VLOOKUP(Tabela26[[#This Row],[EMP]],[1]LOJA!$A:$B,2,0)</f>
        <v>UNAÍ</v>
      </c>
      <c r="E6449">
        <v>183</v>
      </c>
      <c r="F6449" t="s">
        <v>4714</v>
      </c>
      <c r="G6449" t="s">
        <v>4713</v>
      </c>
      <c r="H6449" t="s">
        <v>3401</v>
      </c>
      <c r="I6449">
        <v>5102</v>
      </c>
      <c r="J6449" s="3">
        <v>148</v>
      </c>
      <c r="K6449" s="3">
        <v>80.47</v>
      </c>
      <c r="L6449">
        <v>45.63</v>
      </c>
    </row>
    <row r="6450" spans="1:12">
      <c r="A6450" s="1">
        <v>46049</v>
      </c>
      <c r="B6450" t="s">
        <v>5305</v>
      </c>
      <c r="C6450">
        <v>15</v>
      </c>
      <c r="D6450" t="str">
        <f>VLOOKUP(Tabela26[[#This Row],[EMP]],[1]LOJA!$A:$B,2,0)</f>
        <v>UNAÍ</v>
      </c>
      <c r="E6450">
        <v>183</v>
      </c>
      <c r="F6450" t="s">
        <v>3485</v>
      </c>
      <c r="G6450" t="s">
        <v>3402</v>
      </c>
      <c r="H6450" t="s">
        <v>3401</v>
      </c>
      <c r="I6450">
        <v>5102</v>
      </c>
      <c r="J6450" s="3">
        <v>168.64</v>
      </c>
      <c r="K6450" s="3">
        <v>104.96</v>
      </c>
      <c r="L6450">
        <v>37.76</v>
      </c>
    </row>
    <row r="6451" spans="1:12">
      <c r="A6451" s="1">
        <v>46049</v>
      </c>
      <c r="B6451" t="s">
        <v>5304</v>
      </c>
      <c r="C6451">
        <v>15</v>
      </c>
      <c r="D6451" t="str">
        <f>VLOOKUP(Tabela26[[#This Row],[EMP]],[1]LOJA!$A:$B,2,0)</f>
        <v>UNAÍ</v>
      </c>
      <c r="E6451">
        <v>183</v>
      </c>
      <c r="F6451" t="s">
        <v>4701</v>
      </c>
      <c r="G6451" t="s">
        <v>4700</v>
      </c>
      <c r="H6451" t="s">
        <v>3520</v>
      </c>
      <c r="I6451">
        <v>5405</v>
      </c>
      <c r="J6451" s="3">
        <v>43.74</v>
      </c>
      <c r="K6451" s="3">
        <v>23.21</v>
      </c>
      <c r="L6451">
        <v>46.94</v>
      </c>
    </row>
    <row r="6452" spans="1:12">
      <c r="A6452" s="1">
        <v>46049</v>
      </c>
      <c r="B6452" t="s">
        <v>5303</v>
      </c>
      <c r="C6452">
        <v>15</v>
      </c>
      <c r="D6452" t="str">
        <f>VLOOKUP(Tabela26[[#This Row],[EMP]],[1]LOJA!$A:$B,2,0)</f>
        <v>UNAÍ</v>
      </c>
      <c r="E6452">
        <v>183</v>
      </c>
      <c r="F6452" t="s">
        <v>5302</v>
      </c>
      <c r="G6452" t="s">
        <v>5301</v>
      </c>
      <c r="H6452" t="s">
        <v>3430</v>
      </c>
      <c r="I6452">
        <v>5405</v>
      </c>
      <c r="J6452" s="3">
        <v>80.67</v>
      </c>
      <c r="K6452" s="3">
        <v>39.76</v>
      </c>
      <c r="L6452">
        <v>50.71</v>
      </c>
    </row>
    <row r="6453" spans="1:12">
      <c r="A6453" s="1">
        <v>46049</v>
      </c>
      <c r="B6453" t="s">
        <v>5300</v>
      </c>
      <c r="C6453">
        <v>15</v>
      </c>
      <c r="D6453" t="str">
        <f>VLOOKUP(Tabela26[[#This Row],[EMP]],[1]LOJA!$A:$B,2,0)</f>
        <v>UNAÍ</v>
      </c>
      <c r="E6453">
        <v>183</v>
      </c>
      <c r="F6453" t="s">
        <v>3969</v>
      </c>
      <c r="G6453" t="s">
        <v>3968</v>
      </c>
      <c r="H6453" t="s">
        <v>3401</v>
      </c>
      <c r="I6453">
        <v>5102</v>
      </c>
      <c r="J6453" s="3">
        <v>20.23</v>
      </c>
      <c r="K6453" s="3">
        <v>13.16</v>
      </c>
      <c r="L6453">
        <v>34.950000000000003</v>
      </c>
    </row>
    <row r="6454" spans="1:12">
      <c r="A6454" s="1">
        <v>46049</v>
      </c>
      <c r="B6454" t="s">
        <v>5299</v>
      </c>
      <c r="C6454">
        <v>15</v>
      </c>
      <c r="D6454" t="str">
        <f>VLOOKUP(Tabela26[[#This Row],[EMP]],[1]LOJA!$A:$B,2,0)</f>
        <v>UNAÍ</v>
      </c>
      <c r="E6454">
        <v>183</v>
      </c>
      <c r="F6454" t="s">
        <v>5296</v>
      </c>
      <c r="G6454" t="s">
        <v>5295</v>
      </c>
      <c r="H6454" t="s">
        <v>3520</v>
      </c>
      <c r="I6454">
        <v>5102</v>
      </c>
      <c r="J6454" s="3">
        <v>52</v>
      </c>
      <c r="K6454" s="3">
        <v>23.37</v>
      </c>
      <c r="L6454">
        <v>55.06</v>
      </c>
    </row>
    <row r="6455" spans="1:12">
      <c r="A6455" s="1">
        <v>46049</v>
      </c>
      <c r="B6455" t="s">
        <v>5298</v>
      </c>
      <c r="C6455">
        <v>15</v>
      </c>
      <c r="D6455" t="str">
        <f>VLOOKUP(Tabela26[[#This Row],[EMP]],[1]LOJA!$A:$B,2,0)</f>
        <v>UNAÍ</v>
      </c>
      <c r="E6455">
        <v>183</v>
      </c>
      <c r="F6455" t="s">
        <v>4029</v>
      </c>
      <c r="G6455" t="s">
        <v>4028</v>
      </c>
      <c r="H6455" t="s">
        <v>3401</v>
      </c>
      <c r="I6455">
        <v>5102</v>
      </c>
      <c r="J6455" s="3">
        <v>63</v>
      </c>
      <c r="K6455" s="3">
        <v>23.58</v>
      </c>
      <c r="L6455">
        <v>62.57</v>
      </c>
    </row>
    <row r="6456" spans="1:12">
      <c r="A6456" s="1">
        <v>46049</v>
      </c>
      <c r="B6456" t="s">
        <v>5297</v>
      </c>
      <c r="C6456">
        <v>15</v>
      </c>
      <c r="D6456" t="str">
        <f>VLOOKUP(Tabela26[[#This Row],[EMP]],[1]LOJA!$A:$B,2,0)</f>
        <v>UNAÍ</v>
      </c>
      <c r="E6456">
        <v>183</v>
      </c>
      <c r="F6456" t="s">
        <v>5296</v>
      </c>
      <c r="G6456" t="s">
        <v>5295</v>
      </c>
      <c r="H6456" t="s">
        <v>3520</v>
      </c>
      <c r="I6456">
        <v>5102</v>
      </c>
      <c r="J6456" s="3">
        <v>170.8</v>
      </c>
      <c r="K6456" s="3">
        <v>101.15</v>
      </c>
      <c r="L6456">
        <v>40.78</v>
      </c>
    </row>
    <row r="6457" spans="1:12">
      <c r="A6457" s="1">
        <v>46049</v>
      </c>
      <c r="B6457" t="s">
        <v>5294</v>
      </c>
      <c r="C6457">
        <v>15</v>
      </c>
      <c r="D6457" t="str">
        <f>VLOOKUP(Tabela26[[#This Row],[EMP]],[1]LOJA!$A:$B,2,0)</f>
        <v>UNAÍ</v>
      </c>
      <c r="E6457">
        <v>183</v>
      </c>
      <c r="F6457" t="s">
        <v>3485</v>
      </c>
      <c r="G6457" t="s">
        <v>3402</v>
      </c>
      <c r="H6457" t="s">
        <v>3401</v>
      </c>
      <c r="I6457">
        <v>5102</v>
      </c>
      <c r="J6457" s="3">
        <v>19</v>
      </c>
      <c r="K6457" s="3">
        <v>10.09</v>
      </c>
      <c r="L6457">
        <v>46.89</v>
      </c>
    </row>
    <row r="6458" spans="1:12">
      <c r="A6458" s="1">
        <v>46049</v>
      </c>
      <c r="B6458" t="s">
        <v>5293</v>
      </c>
      <c r="C6458">
        <v>15</v>
      </c>
      <c r="D6458" t="str">
        <f>VLOOKUP(Tabela26[[#This Row],[EMP]],[1]LOJA!$A:$B,2,0)</f>
        <v>UNAÍ</v>
      </c>
      <c r="E6458">
        <v>183</v>
      </c>
      <c r="F6458" t="s">
        <v>3485</v>
      </c>
      <c r="G6458" t="s">
        <v>3402</v>
      </c>
      <c r="H6458" t="s">
        <v>3401</v>
      </c>
      <c r="I6458">
        <v>5102</v>
      </c>
      <c r="J6458" s="3">
        <v>70</v>
      </c>
      <c r="K6458" s="3">
        <v>38.43</v>
      </c>
      <c r="L6458">
        <v>45.1</v>
      </c>
    </row>
    <row r="6459" spans="1:12">
      <c r="A6459" s="1">
        <v>46049</v>
      </c>
      <c r="B6459" t="s">
        <v>5292</v>
      </c>
      <c r="C6459">
        <v>15</v>
      </c>
      <c r="D6459" t="str">
        <f>VLOOKUP(Tabela26[[#This Row],[EMP]],[1]LOJA!$A:$B,2,0)</f>
        <v>UNAÍ</v>
      </c>
      <c r="E6459">
        <v>183</v>
      </c>
      <c r="F6459" t="s">
        <v>3485</v>
      </c>
      <c r="G6459" t="s">
        <v>3402</v>
      </c>
      <c r="H6459" t="s">
        <v>3401</v>
      </c>
      <c r="I6459">
        <v>5102</v>
      </c>
      <c r="J6459" s="3">
        <v>16</v>
      </c>
      <c r="K6459" s="3">
        <v>6.92</v>
      </c>
      <c r="L6459">
        <v>56.75</v>
      </c>
    </row>
    <row r="6460" spans="1:12">
      <c r="A6460" s="1">
        <v>46049</v>
      </c>
      <c r="B6460" t="s">
        <v>5291</v>
      </c>
      <c r="C6460">
        <v>15</v>
      </c>
      <c r="D6460" t="str">
        <f>VLOOKUP(Tabela26[[#This Row],[EMP]],[1]LOJA!$A:$B,2,0)</f>
        <v>UNAÍ</v>
      </c>
      <c r="E6460">
        <v>183</v>
      </c>
      <c r="F6460" t="s">
        <v>5290</v>
      </c>
      <c r="G6460" t="s">
        <v>5289</v>
      </c>
      <c r="H6460" t="s">
        <v>3401</v>
      </c>
      <c r="I6460">
        <v>5102</v>
      </c>
      <c r="J6460" s="3">
        <v>214.7</v>
      </c>
      <c r="K6460" s="3">
        <v>113.39</v>
      </c>
      <c r="L6460">
        <v>47.19</v>
      </c>
    </row>
    <row r="6461" spans="1:12">
      <c r="A6461" s="1">
        <v>46049</v>
      </c>
      <c r="B6461" t="s">
        <v>5288</v>
      </c>
      <c r="C6461">
        <v>15</v>
      </c>
      <c r="D6461" t="str">
        <f>VLOOKUP(Tabela26[[#This Row],[EMP]],[1]LOJA!$A:$B,2,0)</f>
        <v>UNAÍ</v>
      </c>
      <c r="E6461">
        <v>183</v>
      </c>
      <c r="F6461" t="s">
        <v>4025</v>
      </c>
      <c r="G6461" t="s">
        <v>4024</v>
      </c>
      <c r="H6461" t="s">
        <v>3401</v>
      </c>
      <c r="I6461">
        <v>5102</v>
      </c>
      <c r="J6461" s="3">
        <v>36</v>
      </c>
      <c r="K6461" s="3">
        <v>18</v>
      </c>
      <c r="L6461">
        <v>50</v>
      </c>
    </row>
    <row r="6462" spans="1:12">
      <c r="A6462" s="1">
        <v>46049</v>
      </c>
      <c r="B6462" t="s">
        <v>5287</v>
      </c>
      <c r="C6462">
        <v>15</v>
      </c>
      <c r="D6462" t="str">
        <f>VLOOKUP(Tabela26[[#This Row],[EMP]],[1]LOJA!$A:$B,2,0)</f>
        <v>UNAÍ</v>
      </c>
      <c r="E6462">
        <v>183</v>
      </c>
      <c r="F6462" t="s">
        <v>3485</v>
      </c>
      <c r="G6462" t="s">
        <v>3402</v>
      </c>
      <c r="H6462" t="s">
        <v>3401</v>
      </c>
      <c r="I6462">
        <v>5102</v>
      </c>
      <c r="J6462" s="3">
        <v>18</v>
      </c>
      <c r="K6462" s="3">
        <v>9.17</v>
      </c>
      <c r="L6462">
        <v>49.06</v>
      </c>
    </row>
    <row r="6463" spans="1:12">
      <c r="A6463" s="1">
        <v>46049</v>
      </c>
      <c r="B6463" t="s">
        <v>5286</v>
      </c>
      <c r="C6463">
        <v>15</v>
      </c>
      <c r="D6463" t="str">
        <f>VLOOKUP(Tabela26[[#This Row],[EMP]],[1]LOJA!$A:$B,2,0)</f>
        <v>UNAÍ</v>
      </c>
      <c r="E6463">
        <v>183</v>
      </c>
      <c r="F6463" t="s">
        <v>4681</v>
      </c>
      <c r="G6463" t="s">
        <v>4680</v>
      </c>
      <c r="H6463" t="s">
        <v>5043</v>
      </c>
      <c r="I6463">
        <v>5102</v>
      </c>
      <c r="J6463" s="3">
        <v>60</v>
      </c>
      <c r="K6463" s="3">
        <v>34.979999999999997</v>
      </c>
      <c r="L6463">
        <v>41.7</v>
      </c>
    </row>
    <row r="6464" spans="1:12">
      <c r="A6464" s="1">
        <v>46049</v>
      </c>
      <c r="B6464" t="s">
        <v>5285</v>
      </c>
      <c r="C6464">
        <v>15</v>
      </c>
      <c r="D6464" t="str">
        <f>VLOOKUP(Tabela26[[#This Row],[EMP]],[1]LOJA!$A:$B,2,0)</f>
        <v>UNAÍ</v>
      </c>
      <c r="E6464">
        <v>183</v>
      </c>
      <c r="F6464" t="s">
        <v>4689</v>
      </c>
      <c r="G6464" t="s">
        <v>4688</v>
      </c>
      <c r="H6464" t="s">
        <v>3430</v>
      </c>
      <c r="I6464">
        <v>5405</v>
      </c>
      <c r="J6464" s="3">
        <v>1587</v>
      </c>
      <c r="K6464" s="3">
        <v>698.49</v>
      </c>
      <c r="L6464">
        <v>55.99</v>
      </c>
    </row>
    <row r="6465" spans="1:12">
      <c r="A6465" s="1">
        <v>46049</v>
      </c>
      <c r="B6465" t="s">
        <v>5284</v>
      </c>
      <c r="C6465">
        <v>15</v>
      </c>
      <c r="D6465" t="str">
        <f>VLOOKUP(Tabela26[[#This Row],[EMP]],[1]LOJA!$A:$B,2,0)</f>
        <v>UNAÍ</v>
      </c>
      <c r="E6465">
        <v>183</v>
      </c>
      <c r="F6465" t="s">
        <v>5283</v>
      </c>
      <c r="G6465" t="s">
        <v>5282</v>
      </c>
      <c r="H6465" t="s">
        <v>3520</v>
      </c>
      <c r="I6465">
        <v>5102</v>
      </c>
      <c r="J6465" s="3">
        <v>431.4</v>
      </c>
      <c r="K6465" s="3">
        <v>262.27999999999997</v>
      </c>
      <c r="L6465">
        <v>39.200000000000003</v>
      </c>
    </row>
    <row r="6466" spans="1:12">
      <c r="A6466" s="1">
        <v>46049</v>
      </c>
      <c r="B6466" t="s">
        <v>5281</v>
      </c>
      <c r="C6466">
        <v>15</v>
      </c>
      <c r="D6466" t="str">
        <f>VLOOKUP(Tabela26[[#This Row],[EMP]],[1]LOJA!$A:$B,2,0)</f>
        <v>UNAÍ</v>
      </c>
      <c r="E6466">
        <v>183</v>
      </c>
      <c r="F6466" t="s">
        <v>3485</v>
      </c>
      <c r="G6466" t="s">
        <v>3402</v>
      </c>
      <c r="H6466" t="s">
        <v>3401</v>
      </c>
      <c r="I6466">
        <v>5102</v>
      </c>
      <c r="J6466" s="3">
        <v>122</v>
      </c>
      <c r="K6466" s="3">
        <v>65.84</v>
      </c>
      <c r="L6466">
        <v>46.03</v>
      </c>
    </row>
    <row r="6467" spans="1:12">
      <c r="A6467" s="1">
        <v>46049</v>
      </c>
      <c r="B6467" t="s">
        <v>5280</v>
      </c>
      <c r="C6467">
        <v>6</v>
      </c>
      <c r="D6467" t="str">
        <f>VLOOKUP(Tabela26[[#This Row],[EMP]],[1]LOJA!$A:$B,2,0)</f>
        <v>GAMA</v>
      </c>
      <c r="E6467">
        <v>245</v>
      </c>
      <c r="F6467" t="s">
        <v>4004</v>
      </c>
      <c r="G6467" t="s">
        <v>4003</v>
      </c>
      <c r="H6467" t="s">
        <v>3430</v>
      </c>
      <c r="I6467">
        <v>5405</v>
      </c>
      <c r="J6467" s="3">
        <v>413.98</v>
      </c>
      <c r="K6467" s="3">
        <v>198.67</v>
      </c>
      <c r="L6467">
        <v>52.01</v>
      </c>
    </row>
    <row r="6468" spans="1:12">
      <c r="A6468" s="1">
        <v>46049</v>
      </c>
      <c r="B6468" t="s">
        <v>5279</v>
      </c>
      <c r="C6468">
        <v>6</v>
      </c>
      <c r="D6468" t="str">
        <f>VLOOKUP(Tabela26[[#This Row],[EMP]],[1]LOJA!$A:$B,2,0)</f>
        <v>GAMA</v>
      </c>
      <c r="E6468">
        <v>245</v>
      </c>
      <c r="F6468" t="s">
        <v>5278</v>
      </c>
      <c r="G6468" t="s">
        <v>5277</v>
      </c>
      <c r="H6468" t="s">
        <v>4249</v>
      </c>
      <c r="I6468">
        <v>5102</v>
      </c>
      <c r="J6468" s="3">
        <v>719.9</v>
      </c>
      <c r="K6468" s="3">
        <v>403.37</v>
      </c>
      <c r="L6468">
        <v>43.97</v>
      </c>
    </row>
    <row r="6469" spans="1:12">
      <c r="A6469" s="1">
        <v>46049</v>
      </c>
      <c r="B6469" t="s">
        <v>5276</v>
      </c>
      <c r="C6469">
        <v>6</v>
      </c>
      <c r="D6469" t="str">
        <f>VLOOKUP(Tabela26[[#This Row],[EMP]],[1]LOJA!$A:$B,2,0)</f>
        <v>GAMA</v>
      </c>
      <c r="E6469">
        <v>245</v>
      </c>
      <c r="F6469" t="s">
        <v>4004</v>
      </c>
      <c r="G6469" t="s">
        <v>4003</v>
      </c>
      <c r="H6469" t="s">
        <v>3430</v>
      </c>
      <c r="I6469">
        <v>5102</v>
      </c>
      <c r="J6469" s="3">
        <v>118</v>
      </c>
      <c r="K6469" s="3">
        <v>63.73</v>
      </c>
      <c r="L6469">
        <v>45.99</v>
      </c>
    </row>
    <row r="6470" spans="1:12">
      <c r="A6470" s="1">
        <v>46049</v>
      </c>
      <c r="B6470" t="s">
        <v>5275</v>
      </c>
      <c r="C6470">
        <v>14</v>
      </c>
      <c r="D6470" t="str">
        <f>VLOOKUP(Tabela26[[#This Row],[EMP]],[1]LOJA!$A:$B,2,0)</f>
        <v>S IA</v>
      </c>
      <c r="E6470">
        <v>212</v>
      </c>
      <c r="F6470" t="s">
        <v>3478</v>
      </c>
      <c r="G6470" t="s">
        <v>3477</v>
      </c>
      <c r="H6470" t="s">
        <v>3408</v>
      </c>
      <c r="I6470">
        <v>5405</v>
      </c>
      <c r="J6470" s="3">
        <v>305.29000000000002</v>
      </c>
      <c r="K6470" s="3">
        <v>170.59</v>
      </c>
      <c r="L6470">
        <v>44.12</v>
      </c>
    </row>
    <row r="6471" spans="1:12">
      <c r="A6471" s="1">
        <v>46049</v>
      </c>
      <c r="B6471" t="s">
        <v>5274</v>
      </c>
      <c r="C6471">
        <v>14</v>
      </c>
      <c r="D6471" t="str">
        <f>VLOOKUP(Tabela26[[#This Row],[EMP]],[1]LOJA!$A:$B,2,0)</f>
        <v>S IA</v>
      </c>
      <c r="E6471">
        <v>212</v>
      </c>
      <c r="F6471" t="s">
        <v>3403</v>
      </c>
      <c r="G6471" t="s">
        <v>3402</v>
      </c>
      <c r="H6471" t="s">
        <v>3401</v>
      </c>
      <c r="I6471">
        <v>5405</v>
      </c>
      <c r="J6471" s="3">
        <v>185</v>
      </c>
      <c r="K6471" s="3">
        <v>98.48</v>
      </c>
      <c r="L6471">
        <v>46.77</v>
      </c>
    </row>
    <row r="6472" spans="1:12">
      <c r="A6472" s="1">
        <v>46049</v>
      </c>
      <c r="B6472" t="s">
        <v>5273</v>
      </c>
      <c r="C6472">
        <v>14</v>
      </c>
      <c r="D6472" t="str">
        <f>VLOOKUP(Tabela26[[#This Row],[EMP]],[1]LOJA!$A:$B,2,0)</f>
        <v>S IA</v>
      </c>
      <c r="E6472">
        <v>212</v>
      </c>
      <c r="F6472" t="s">
        <v>3403</v>
      </c>
      <c r="G6472" t="s">
        <v>3402</v>
      </c>
      <c r="H6472" t="s">
        <v>3401</v>
      </c>
      <c r="I6472">
        <v>5102</v>
      </c>
      <c r="J6472" s="3">
        <v>56</v>
      </c>
      <c r="K6472" s="3">
        <v>20.27</v>
      </c>
      <c r="L6472">
        <v>63.8</v>
      </c>
    </row>
    <row r="6473" spans="1:12">
      <c r="A6473" s="1">
        <v>46049</v>
      </c>
      <c r="B6473" t="s">
        <v>5272</v>
      </c>
      <c r="C6473">
        <v>14</v>
      </c>
      <c r="D6473" t="str">
        <f>VLOOKUP(Tabela26[[#This Row],[EMP]],[1]LOJA!$A:$B,2,0)</f>
        <v>S IA</v>
      </c>
      <c r="E6473">
        <v>54</v>
      </c>
      <c r="F6473" t="s">
        <v>4659</v>
      </c>
      <c r="G6473" t="s">
        <v>4658</v>
      </c>
      <c r="H6473" t="s">
        <v>3430</v>
      </c>
      <c r="I6473">
        <v>5102</v>
      </c>
      <c r="J6473" s="3">
        <v>664.41</v>
      </c>
      <c r="K6473" s="3">
        <v>323.36</v>
      </c>
      <c r="L6473">
        <v>51.33</v>
      </c>
    </row>
    <row r="6474" spans="1:12">
      <c r="A6474" s="1">
        <v>46049</v>
      </c>
      <c r="B6474" t="s">
        <v>5271</v>
      </c>
      <c r="C6474">
        <v>14</v>
      </c>
      <c r="D6474" t="str">
        <f>VLOOKUP(Tabela26[[#This Row],[EMP]],[1]LOJA!$A:$B,2,0)</f>
        <v>S IA</v>
      </c>
      <c r="E6474">
        <v>212</v>
      </c>
      <c r="F6474" t="s">
        <v>3994</v>
      </c>
      <c r="G6474" t="s">
        <v>3402</v>
      </c>
      <c r="H6474" t="s">
        <v>3408</v>
      </c>
      <c r="I6474">
        <v>5405</v>
      </c>
      <c r="J6474" s="3">
        <v>63.67</v>
      </c>
      <c r="K6474" s="3">
        <v>32.869999999999997</v>
      </c>
      <c r="L6474">
        <v>48.37</v>
      </c>
    </row>
    <row r="6475" spans="1:12">
      <c r="A6475" s="1">
        <v>46049</v>
      </c>
      <c r="B6475" t="s">
        <v>5270</v>
      </c>
      <c r="C6475">
        <v>14</v>
      </c>
      <c r="D6475" t="str">
        <f>VLOOKUP(Tabela26[[#This Row],[EMP]],[1]LOJA!$A:$B,2,0)</f>
        <v>S IA</v>
      </c>
      <c r="E6475">
        <v>212</v>
      </c>
      <c r="F6475" t="s">
        <v>3992</v>
      </c>
      <c r="G6475" t="s">
        <v>3402</v>
      </c>
      <c r="H6475" t="s">
        <v>3408</v>
      </c>
      <c r="I6475">
        <v>5405</v>
      </c>
      <c r="J6475" s="3">
        <v>572</v>
      </c>
      <c r="K6475" s="3">
        <v>322.85000000000002</v>
      </c>
      <c r="L6475">
        <v>43.56</v>
      </c>
    </row>
    <row r="6476" spans="1:12">
      <c r="A6476" s="1">
        <v>46049</v>
      </c>
      <c r="B6476" t="s">
        <v>5269</v>
      </c>
      <c r="C6476">
        <v>14</v>
      </c>
      <c r="D6476" t="str">
        <f>VLOOKUP(Tabela26[[#This Row],[EMP]],[1]LOJA!$A:$B,2,0)</f>
        <v>S IA</v>
      </c>
      <c r="E6476">
        <v>54</v>
      </c>
      <c r="F6476" t="s">
        <v>4659</v>
      </c>
      <c r="G6476" t="s">
        <v>4658</v>
      </c>
      <c r="H6476" t="s">
        <v>3430</v>
      </c>
      <c r="I6476">
        <v>5405</v>
      </c>
      <c r="J6476" s="3">
        <v>172.38</v>
      </c>
      <c r="K6476" s="3">
        <v>87.61</v>
      </c>
      <c r="L6476">
        <v>49.18</v>
      </c>
    </row>
    <row r="6477" spans="1:12">
      <c r="A6477" s="1">
        <v>46049</v>
      </c>
      <c r="B6477" t="s">
        <v>5268</v>
      </c>
      <c r="C6477">
        <v>14</v>
      </c>
      <c r="D6477" t="str">
        <f>VLOOKUP(Tabela26[[#This Row],[EMP]],[1]LOJA!$A:$B,2,0)</f>
        <v>S IA</v>
      </c>
      <c r="E6477">
        <v>212</v>
      </c>
      <c r="F6477" t="s">
        <v>3403</v>
      </c>
      <c r="G6477" t="s">
        <v>3402</v>
      </c>
      <c r="H6477" t="s">
        <v>3401</v>
      </c>
      <c r="I6477">
        <v>5102</v>
      </c>
      <c r="J6477" s="3">
        <v>19.899999999999999</v>
      </c>
      <c r="K6477" s="3">
        <v>5.83</v>
      </c>
      <c r="L6477">
        <v>70.7</v>
      </c>
    </row>
    <row r="6478" spans="1:12">
      <c r="A6478" s="1">
        <v>46049</v>
      </c>
      <c r="B6478" t="s">
        <v>5267</v>
      </c>
      <c r="C6478">
        <v>14</v>
      </c>
      <c r="D6478" t="str">
        <f>VLOOKUP(Tabela26[[#This Row],[EMP]],[1]LOJA!$A:$B,2,0)</f>
        <v>S IA</v>
      </c>
      <c r="E6478">
        <v>54</v>
      </c>
      <c r="F6478" t="s">
        <v>3403</v>
      </c>
      <c r="G6478" t="s">
        <v>3402</v>
      </c>
      <c r="H6478" t="s">
        <v>3401</v>
      </c>
      <c r="I6478">
        <v>5102</v>
      </c>
      <c r="J6478" s="3">
        <v>40</v>
      </c>
      <c r="K6478" s="3">
        <v>23.18</v>
      </c>
      <c r="L6478">
        <v>42.05</v>
      </c>
    </row>
    <row r="6479" spans="1:12">
      <c r="A6479" s="1">
        <v>46049</v>
      </c>
      <c r="B6479" t="s">
        <v>5266</v>
      </c>
      <c r="C6479">
        <v>14</v>
      </c>
      <c r="D6479" t="str">
        <f>VLOOKUP(Tabela26[[#This Row],[EMP]],[1]LOJA!$A:$B,2,0)</f>
        <v>S IA</v>
      </c>
      <c r="E6479">
        <v>54</v>
      </c>
      <c r="F6479" t="s">
        <v>3974</v>
      </c>
      <c r="G6479" t="s">
        <v>3973</v>
      </c>
      <c r="H6479" t="s">
        <v>3430</v>
      </c>
      <c r="I6479">
        <v>5405</v>
      </c>
      <c r="J6479" s="3">
        <v>108.67</v>
      </c>
      <c r="K6479" s="3">
        <v>53.78</v>
      </c>
      <c r="L6479">
        <v>50.51</v>
      </c>
    </row>
    <row r="6480" spans="1:12">
      <c r="A6480" s="1">
        <v>46049</v>
      </c>
      <c r="B6480" t="s">
        <v>5265</v>
      </c>
      <c r="C6480">
        <v>14</v>
      </c>
      <c r="D6480" t="str">
        <f>VLOOKUP(Tabela26[[#This Row],[EMP]],[1]LOJA!$A:$B,2,0)</f>
        <v>S IA</v>
      </c>
      <c r="E6480">
        <v>212</v>
      </c>
      <c r="F6480" t="s">
        <v>3403</v>
      </c>
      <c r="G6480" t="s">
        <v>3402</v>
      </c>
      <c r="H6480" t="s">
        <v>3401</v>
      </c>
      <c r="I6480">
        <v>5405</v>
      </c>
      <c r="J6480" s="3">
        <v>112</v>
      </c>
      <c r="K6480" s="3">
        <v>52.68</v>
      </c>
      <c r="L6480">
        <v>52.96</v>
      </c>
    </row>
    <row r="6481" spans="1:12">
      <c r="A6481" s="1">
        <v>46049</v>
      </c>
      <c r="B6481" t="s">
        <v>5264</v>
      </c>
      <c r="C6481">
        <v>14</v>
      </c>
      <c r="D6481" t="str">
        <f>VLOOKUP(Tabela26[[#This Row],[EMP]],[1]LOJA!$A:$B,2,0)</f>
        <v>S IA</v>
      </c>
      <c r="E6481">
        <v>54</v>
      </c>
      <c r="F6481" t="s">
        <v>3974</v>
      </c>
      <c r="G6481" t="s">
        <v>3973</v>
      </c>
      <c r="H6481" t="s">
        <v>3430</v>
      </c>
      <c r="I6481">
        <v>5405</v>
      </c>
      <c r="J6481" s="3">
        <v>99.82</v>
      </c>
      <c r="K6481" s="3">
        <v>49.3</v>
      </c>
      <c r="L6481">
        <v>50.61</v>
      </c>
    </row>
    <row r="6482" spans="1:12">
      <c r="A6482" s="1">
        <v>46049</v>
      </c>
      <c r="B6482" t="s">
        <v>5263</v>
      </c>
      <c r="C6482">
        <v>14</v>
      </c>
      <c r="D6482" t="str">
        <f>VLOOKUP(Tabela26[[#This Row],[EMP]],[1]LOJA!$A:$B,2,0)</f>
        <v>S IA</v>
      </c>
      <c r="E6482">
        <v>212</v>
      </c>
      <c r="F6482" t="s">
        <v>3403</v>
      </c>
      <c r="G6482" t="s">
        <v>3402</v>
      </c>
      <c r="H6482" t="s">
        <v>3401</v>
      </c>
      <c r="I6482">
        <v>5102</v>
      </c>
      <c r="J6482" s="3">
        <v>20</v>
      </c>
      <c r="K6482" s="3">
        <v>12.49</v>
      </c>
      <c r="L6482">
        <v>37.549999999999997</v>
      </c>
    </row>
    <row r="6483" spans="1:12">
      <c r="A6483" s="1">
        <v>46049</v>
      </c>
      <c r="B6483" t="s">
        <v>5262</v>
      </c>
      <c r="C6483">
        <v>14</v>
      </c>
      <c r="D6483" t="str">
        <f>VLOOKUP(Tabela26[[#This Row],[EMP]],[1]LOJA!$A:$B,2,0)</f>
        <v>S IA</v>
      </c>
      <c r="E6483">
        <v>212</v>
      </c>
      <c r="F6483" t="s">
        <v>3403</v>
      </c>
      <c r="G6483" t="s">
        <v>3402</v>
      </c>
      <c r="H6483" t="s">
        <v>3401</v>
      </c>
      <c r="I6483">
        <v>5102</v>
      </c>
      <c r="J6483" s="3">
        <v>146.80000000000001</v>
      </c>
      <c r="K6483" s="3">
        <v>76.819999999999993</v>
      </c>
      <c r="L6483">
        <v>47.67</v>
      </c>
    </row>
    <row r="6484" spans="1:12">
      <c r="A6484" s="1">
        <v>46049</v>
      </c>
      <c r="B6484" t="s">
        <v>5261</v>
      </c>
      <c r="C6484">
        <v>14</v>
      </c>
      <c r="D6484" t="str">
        <f>VLOOKUP(Tabela26[[#This Row],[EMP]],[1]LOJA!$A:$B,2,0)</f>
        <v>S IA</v>
      </c>
      <c r="E6484">
        <v>212</v>
      </c>
      <c r="F6484" t="s">
        <v>3403</v>
      </c>
      <c r="G6484" t="s">
        <v>3402</v>
      </c>
      <c r="H6484" t="s">
        <v>3401</v>
      </c>
      <c r="I6484">
        <v>5102</v>
      </c>
      <c r="J6484" s="3">
        <v>97</v>
      </c>
      <c r="K6484" s="3">
        <v>50.97</v>
      </c>
      <c r="L6484">
        <v>47.45</v>
      </c>
    </row>
    <row r="6485" spans="1:12">
      <c r="A6485" s="1">
        <v>46049</v>
      </c>
      <c r="B6485" t="s">
        <v>5260</v>
      </c>
      <c r="C6485">
        <v>14</v>
      </c>
      <c r="D6485" t="str">
        <f>VLOOKUP(Tabela26[[#This Row],[EMP]],[1]LOJA!$A:$B,2,0)</f>
        <v>S IA</v>
      </c>
      <c r="E6485">
        <v>212</v>
      </c>
      <c r="F6485" t="s">
        <v>5251</v>
      </c>
      <c r="G6485" t="s">
        <v>5250</v>
      </c>
      <c r="H6485" t="s">
        <v>3401</v>
      </c>
      <c r="I6485">
        <v>5102</v>
      </c>
      <c r="J6485" s="3">
        <v>10</v>
      </c>
      <c r="K6485" s="3">
        <v>6.56</v>
      </c>
      <c r="L6485">
        <v>34.4</v>
      </c>
    </row>
    <row r="6486" spans="1:12">
      <c r="A6486" s="1">
        <v>46049</v>
      </c>
      <c r="B6486" t="s">
        <v>5259</v>
      </c>
      <c r="C6486">
        <v>14</v>
      </c>
      <c r="D6486" t="str">
        <f>VLOOKUP(Tabela26[[#This Row],[EMP]],[1]LOJA!$A:$B,2,0)</f>
        <v>S IA</v>
      </c>
      <c r="E6486">
        <v>54</v>
      </c>
      <c r="F6486" t="s">
        <v>4659</v>
      </c>
      <c r="G6486" t="s">
        <v>4658</v>
      </c>
      <c r="H6486" t="s">
        <v>3430</v>
      </c>
      <c r="I6486">
        <v>5102</v>
      </c>
      <c r="J6486" s="3">
        <v>135.55000000000001</v>
      </c>
      <c r="K6486" s="3">
        <v>60.47</v>
      </c>
      <c r="L6486">
        <v>55.39</v>
      </c>
    </row>
    <row r="6487" spans="1:12">
      <c r="A6487" s="1">
        <v>46049</v>
      </c>
      <c r="B6487" t="s">
        <v>5258</v>
      </c>
      <c r="C6487">
        <v>14</v>
      </c>
      <c r="D6487" t="str">
        <f>VLOOKUP(Tabela26[[#This Row],[EMP]],[1]LOJA!$A:$B,2,0)</f>
        <v>S IA</v>
      </c>
      <c r="E6487">
        <v>212</v>
      </c>
      <c r="F6487" t="s">
        <v>3994</v>
      </c>
      <c r="G6487" t="s">
        <v>3402</v>
      </c>
      <c r="H6487" t="s">
        <v>3408</v>
      </c>
      <c r="I6487">
        <v>5102</v>
      </c>
      <c r="J6487" s="3">
        <v>167</v>
      </c>
      <c r="K6487" s="3">
        <v>112.44</v>
      </c>
      <c r="L6487">
        <v>32.67</v>
      </c>
    </row>
    <row r="6488" spans="1:12">
      <c r="A6488" s="1">
        <v>46049</v>
      </c>
      <c r="B6488" t="s">
        <v>5257</v>
      </c>
      <c r="C6488">
        <v>14</v>
      </c>
      <c r="D6488" t="str">
        <f>VLOOKUP(Tabela26[[#This Row],[EMP]],[1]LOJA!$A:$B,2,0)</f>
        <v>S IA</v>
      </c>
      <c r="E6488">
        <v>212</v>
      </c>
      <c r="F6488" t="s">
        <v>3403</v>
      </c>
      <c r="G6488" t="s">
        <v>3402</v>
      </c>
      <c r="H6488" t="s">
        <v>3401</v>
      </c>
      <c r="I6488">
        <v>5102</v>
      </c>
      <c r="J6488" s="3">
        <v>47.9</v>
      </c>
      <c r="K6488" s="3">
        <v>17.329999999999998</v>
      </c>
      <c r="L6488">
        <v>63.82</v>
      </c>
    </row>
    <row r="6489" spans="1:12">
      <c r="A6489" s="1">
        <v>46049</v>
      </c>
      <c r="B6489" t="s">
        <v>5256</v>
      </c>
      <c r="C6489">
        <v>14</v>
      </c>
      <c r="D6489" t="str">
        <f>VLOOKUP(Tabela26[[#This Row],[EMP]],[1]LOJA!$A:$B,2,0)</f>
        <v>S IA</v>
      </c>
      <c r="E6489">
        <v>54</v>
      </c>
      <c r="F6489" t="s">
        <v>3403</v>
      </c>
      <c r="G6489" t="s">
        <v>3402</v>
      </c>
      <c r="H6489" t="s">
        <v>3401</v>
      </c>
      <c r="I6489">
        <v>5405</v>
      </c>
      <c r="J6489" s="3">
        <v>39.9</v>
      </c>
      <c r="K6489" s="3">
        <v>17.22</v>
      </c>
      <c r="L6489">
        <v>56.84</v>
      </c>
    </row>
    <row r="6490" spans="1:12">
      <c r="A6490" s="1">
        <v>46049</v>
      </c>
      <c r="B6490" t="s">
        <v>5255</v>
      </c>
      <c r="C6490">
        <v>14</v>
      </c>
      <c r="D6490" t="str">
        <f>VLOOKUP(Tabela26[[#This Row],[EMP]],[1]LOJA!$A:$B,2,0)</f>
        <v>S IA</v>
      </c>
      <c r="E6490">
        <v>54</v>
      </c>
      <c r="F6490" t="s">
        <v>5254</v>
      </c>
      <c r="G6490" t="s">
        <v>5253</v>
      </c>
      <c r="H6490" t="s">
        <v>3401</v>
      </c>
      <c r="I6490">
        <v>5102</v>
      </c>
      <c r="J6490" s="3">
        <v>130.16</v>
      </c>
      <c r="K6490" s="3">
        <v>77.44</v>
      </c>
      <c r="L6490">
        <v>40.5</v>
      </c>
    </row>
    <row r="6491" spans="1:12">
      <c r="A6491" s="1">
        <v>46049</v>
      </c>
      <c r="B6491" t="s">
        <v>5252</v>
      </c>
      <c r="C6491">
        <v>14</v>
      </c>
      <c r="D6491" t="str">
        <f>VLOOKUP(Tabela26[[#This Row],[EMP]],[1]LOJA!$A:$B,2,0)</f>
        <v>S IA</v>
      </c>
      <c r="E6491">
        <v>212</v>
      </c>
      <c r="F6491" t="s">
        <v>5251</v>
      </c>
      <c r="G6491" t="s">
        <v>5250</v>
      </c>
      <c r="H6491" t="s">
        <v>3401</v>
      </c>
      <c r="I6491">
        <v>5405</v>
      </c>
      <c r="J6491" s="3">
        <v>48</v>
      </c>
      <c r="K6491" s="3">
        <v>23.15</v>
      </c>
      <c r="L6491">
        <v>51.77</v>
      </c>
    </row>
    <row r="6492" spans="1:12">
      <c r="A6492" s="1">
        <v>46049</v>
      </c>
      <c r="B6492" t="s">
        <v>5249</v>
      </c>
      <c r="C6492">
        <v>14</v>
      </c>
      <c r="D6492" t="str">
        <f>VLOOKUP(Tabela26[[#This Row],[EMP]],[1]LOJA!$A:$B,2,0)</f>
        <v>S IA</v>
      </c>
      <c r="E6492">
        <v>212</v>
      </c>
      <c r="F6492" t="s">
        <v>3403</v>
      </c>
      <c r="G6492" t="s">
        <v>3402</v>
      </c>
      <c r="H6492" t="s">
        <v>3401</v>
      </c>
      <c r="I6492">
        <v>5102</v>
      </c>
      <c r="J6492" s="3">
        <v>54.68</v>
      </c>
      <c r="K6492" s="3">
        <v>27.26</v>
      </c>
      <c r="L6492">
        <v>50.15</v>
      </c>
    </row>
    <row r="6493" spans="1:12">
      <c r="A6493" s="1">
        <v>46049</v>
      </c>
      <c r="B6493" t="s">
        <v>5248</v>
      </c>
      <c r="C6493">
        <v>15</v>
      </c>
      <c r="D6493" t="str">
        <f>VLOOKUP(Tabela26[[#This Row],[EMP]],[1]LOJA!$A:$B,2,0)</f>
        <v>UNAÍ</v>
      </c>
      <c r="E6493">
        <v>183</v>
      </c>
      <c r="F6493" t="s">
        <v>3960</v>
      </c>
      <c r="G6493" t="s">
        <v>3959</v>
      </c>
      <c r="H6493" t="s">
        <v>3408</v>
      </c>
      <c r="I6493">
        <v>5102</v>
      </c>
      <c r="J6493" s="3">
        <v>38.56</v>
      </c>
      <c r="K6493" s="3">
        <v>17.399999999999999</v>
      </c>
      <c r="L6493">
        <v>54.88</v>
      </c>
    </row>
    <row r="6494" spans="1:12">
      <c r="A6494" s="1">
        <v>46049</v>
      </c>
      <c r="B6494" t="s">
        <v>5247</v>
      </c>
      <c r="C6494">
        <v>15</v>
      </c>
      <c r="D6494" t="str">
        <f>VLOOKUP(Tabela26[[#This Row],[EMP]],[1]LOJA!$A:$B,2,0)</f>
        <v>UNAÍ</v>
      </c>
      <c r="E6494">
        <v>183</v>
      </c>
      <c r="F6494" t="s">
        <v>4071</v>
      </c>
      <c r="G6494" t="s">
        <v>4070</v>
      </c>
      <c r="H6494" t="s">
        <v>3401</v>
      </c>
      <c r="I6494">
        <v>5102</v>
      </c>
      <c r="J6494" s="3">
        <v>126.49</v>
      </c>
      <c r="K6494" s="3">
        <v>65.75</v>
      </c>
      <c r="L6494">
        <v>48.02</v>
      </c>
    </row>
    <row r="6495" spans="1:12">
      <c r="A6495" s="1">
        <v>46049</v>
      </c>
      <c r="B6495" t="s">
        <v>5246</v>
      </c>
      <c r="C6495">
        <v>15</v>
      </c>
      <c r="D6495" t="str">
        <f>VLOOKUP(Tabela26[[#This Row],[EMP]],[1]LOJA!$A:$B,2,0)</f>
        <v>UNAÍ</v>
      </c>
      <c r="E6495">
        <v>183</v>
      </c>
      <c r="F6495" t="s">
        <v>4022</v>
      </c>
      <c r="G6495" t="s">
        <v>4021</v>
      </c>
      <c r="H6495" t="s">
        <v>3401</v>
      </c>
      <c r="I6495">
        <v>5102</v>
      </c>
      <c r="J6495" s="3">
        <v>133.24</v>
      </c>
      <c r="K6495" s="3">
        <v>86.28</v>
      </c>
      <c r="L6495">
        <v>35.24</v>
      </c>
    </row>
    <row r="6496" spans="1:12">
      <c r="A6496" s="1">
        <v>46049</v>
      </c>
      <c r="B6496" t="s">
        <v>5245</v>
      </c>
      <c r="C6496">
        <v>15</v>
      </c>
      <c r="D6496" t="str">
        <f>VLOOKUP(Tabela26[[#This Row],[EMP]],[1]LOJA!$A:$B,2,0)</f>
        <v>UNAÍ</v>
      </c>
      <c r="E6496">
        <v>183</v>
      </c>
      <c r="F6496" t="s">
        <v>5244</v>
      </c>
      <c r="G6496" t="s">
        <v>5243</v>
      </c>
      <c r="H6496" t="s">
        <v>3401</v>
      </c>
      <c r="I6496">
        <v>5102</v>
      </c>
      <c r="J6496" s="3">
        <v>219.9</v>
      </c>
      <c r="K6496" s="3">
        <v>126.39</v>
      </c>
      <c r="L6496">
        <v>42.52</v>
      </c>
    </row>
    <row r="6497" spans="1:12">
      <c r="A6497" s="1">
        <v>46049</v>
      </c>
      <c r="B6497" t="s">
        <v>5242</v>
      </c>
      <c r="C6497">
        <v>15</v>
      </c>
      <c r="D6497" t="str">
        <f>VLOOKUP(Tabela26[[#This Row],[EMP]],[1]LOJA!$A:$B,2,0)</f>
        <v>UNAÍ</v>
      </c>
      <c r="E6497">
        <v>183</v>
      </c>
      <c r="F6497" t="s">
        <v>5241</v>
      </c>
      <c r="G6497" t="s">
        <v>5240</v>
      </c>
      <c r="H6497" t="s">
        <v>3401</v>
      </c>
      <c r="I6497">
        <v>5102</v>
      </c>
      <c r="J6497" s="3">
        <v>16</v>
      </c>
      <c r="K6497" s="3">
        <v>7</v>
      </c>
      <c r="L6497">
        <v>56.25</v>
      </c>
    </row>
    <row r="6498" spans="1:12">
      <c r="A6498" s="1">
        <v>46049</v>
      </c>
      <c r="B6498" t="s">
        <v>5239</v>
      </c>
      <c r="C6498">
        <v>15</v>
      </c>
      <c r="D6498" t="str">
        <f>VLOOKUP(Tabela26[[#This Row],[EMP]],[1]LOJA!$A:$B,2,0)</f>
        <v>UNAÍ</v>
      </c>
      <c r="E6498">
        <v>183</v>
      </c>
      <c r="F6498" t="s">
        <v>4655</v>
      </c>
      <c r="G6498" t="s">
        <v>4654</v>
      </c>
      <c r="H6498" t="s">
        <v>3401</v>
      </c>
      <c r="I6498">
        <v>5102</v>
      </c>
      <c r="J6498" s="3">
        <v>5.78</v>
      </c>
      <c r="K6498" s="3">
        <v>2.98</v>
      </c>
      <c r="L6498">
        <v>48.44</v>
      </c>
    </row>
    <row r="6499" spans="1:12">
      <c r="A6499" s="1">
        <v>46049</v>
      </c>
      <c r="B6499" t="s">
        <v>5238</v>
      </c>
      <c r="C6499">
        <v>15</v>
      </c>
      <c r="D6499" t="str">
        <f>VLOOKUP(Tabela26[[#This Row],[EMP]],[1]LOJA!$A:$B,2,0)</f>
        <v>UNAÍ</v>
      </c>
      <c r="E6499">
        <v>183</v>
      </c>
      <c r="F6499" t="s">
        <v>5237</v>
      </c>
      <c r="G6499" t="s">
        <v>5236</v>
      </c>
      <c r="H6499" t="s">
        <v>3401</v>
      </c>
      <c r="I6499">
        <v>5102</v>
      </c>
      <c r="J6499" s="3">
        <v>80</v>
      </c>
      <c r="K6499" s="3">
        <v>47.38</v>
      </c>
      <c r="L6499">
        <v>40.78</v>
      </c>
    </row>
    <row r="6500" spans="1:12">
      <c r="A6500" s="1">
        <v>46049</v>
      </c>
      <c r="B6500" t="s">
        <v>5235</v>
      </c>
      <c r="C6500">
        <v>15</v>
      </c>
      <c r="D6500" t="str">
        <f>VLOOKUP(Tabela26[[#This Row],[EMP]],[1]LOJA!$A:$B,2,0)</f>
        <v>UNAÍ</v>
      </c>
      <c r="E6500">
        <v>183</v>
      </c>
      <c r="F6500" t="s">
        <v>5234</v>
      </c>
      <c r="G6500" t="s">
        <v>5233</v>
      </c>
      <c r="H6500" t="s">
        <v>3401</v>
      </c>
      <c r="I6500">
        <v>5102</v>
      </c>
      <c r="J6500" s="3">
        <v>37.700000000000003</v>
      </c>
      <c r="K6500" s="3">
        <v>23.18</v>
      </c>
      <c r="L6500">
        <v>38.51</v>
      </c>
    </row>
    <row r="6501" spans="1:12">
      <c r="A6501" s="1">
        <v>46049</v>
      </c>
      <c r="B6501" t="s">
        <v>5232</v>
      </c>
      <c r="C6501">
        <v>15</v>
      </c>
      <c r="D6501" t="str">
        <f>VLOOKUP(Tabela26[[#This Row],[EMP]],[1]LOJA!$A:$B,2,0)</f>
        <v>UNAÍ</v>
      </c>
      <c r="E6501">
        <v>183</v>
      </c>
      <c r="F6501" t="s">
        <v>4678</v>
      </c>
      <c r="G6501" t="s">
        <v>4677</v>
      </c>
      <c r="H6501" t="s">
        <v>3401</v>
      </c>
      <c r="I6501">
        <v>5102</v>
      </c>
      <c r="J6501" s="3">
        <v>29</v>
      </c>
      <c r="K6501" s="3">
        <v>15.26</v>
      </c>
      <c r="L6501">
        <v>47.38</v>
      </c>
    </row>
    <row r="6502" spans="1:12">
      <c r="A6502" s="1">
        <v>46049</v>
      </c>
      <c r="B6502" t="s">
        <v>5231</v>
      </c>
      <c r="C6502">
        <v>15</v>
      </c>
      <c r="D6502" t="str">
        <f>VLOOKUP(Tabela26[[#This Row],[EMP]],[1]LOJA!$A:$B,2,0)</f>
        <v>UNAÍ</v>
      </c>
      <c r="E6502">
        <v>183</v>
      </c>
      <c r="F6502" t="s">
        <v>4074</v>
      </c>
      <c r="G6502" t="s">
        <v>4073</v>
      </c>
      <c r="H6502" t="s">
        <v>3401</v>
      </c>
      <c r="I6502">
        <v>5102</v>
      </c>
      <c r="J6502" s="3">
        <v>84.9</v>
      </c>
      <c r="K6502" s="3">
        <v>57.68</v>
      </c>
      <c r="L6502">
        <v>32.06</v>
      </c>
    </row>
    <row r="6503" spans="1:12">
      <c r="A6503" s="1">
        <v>46049</v>
      </c>
      <c r="B6503" t="s">
        <v>5230</v>
      </c>
      <c r="C6503">
        <v>15</v>
      </c>
      <c r="D6503" t="str">
        <f>VLOOKUP(Tabela26[[#This Row],[EMP]],[1]LOJA!$A:$B,2,0)</f>
        <v>UNAÍ</v>
      </c>
      <c r="E6503">
        <v>183</v>
      </c>
      <c r="F6503" t="s">
        <v>4074</v>
      </c>
      <c r="G6503" t="s">
        <v>4073</v>
      </c>
      <c r="H6503" t="s">
        <v>3401</v>
      </c>
      <c r="I6503">
        <v>5102</v>
      </c>
      <c r="J6503" s="3">
        <v>64</v>
      </c>
      <c r="K6503" s="3">
        <v>37.24</v>
      </c>
      <c r="L6503">
        <v>41.81</v>
      </c>
    </row>
    <row r="6504" spans="1:12">
      <c r="A6504" s="1">
        <v>46049</v>
      </c>
      <c r="B6504" t="s">
        <v>5229</v>
      </c>
      <c r="C6504">
        <v>15</v>
      </c>
      <c r="D6504" t="str">
        <f>VLOOKUP(Tabela26[[#This Row],[EMP]],[1]LOJA!$A:$B,2,0)</f>
        <v>UNAÍ</v>
      </c>
      <c r="E6504">
        <v>183</v>
      </c>
      <c r="F6504" t="s">
        <v>3957</v>
      </c>
      <c r="G6504" t="s">
        <v>3956</v>
      </c>
      <c r="H6504" t="s">
        <v>3401</v>
      </c>
      <c r="I6504">
        <v>5102</v>
      </c>
      <c r="J6504" s="3">
        <v>50</v>
      </c>
      <c r="K6504" s="3">
        <v>23.37</v>
      </c>
      <c r="L6504">
        <v>53.26</v>
      </c>
    </row>
    <row r="6505" spans="1:12">
      <c r="A6505" s="1">
        <v>46049</v>
      </c>
      <c r="B6505" t="s">
        <v>5228</v>
      </c>
      <c r="C6505">
        <v>12</v>
      </c>
      <c r="D6505" t="str">
        <f>VLOOKUP(Tabela26[[#This Row],[EMP]],[1]LOJA!$A:$B,2,0)</f>
        <v>SOFNORTE</v>
      </c>
      <c r="E6505">
        <v>60</v>
      </c>
      <c r="F6505" t="s">
        <v>3925</v>
      </c>
      <c r="G6505" t="s">
        <v>3924</v>
      </c>
      <c r="H6505" t="s">
        <v>3430</v>
      </c>
      <c r="I6505">
        <v>5405</v>
      </c>
      <c r="J6505" s="3">
        <v>109</v>
      </c>
      <c r="K6505" s="3">
        <v>52.73</v>
      </c>
      <c r="L6505">
        <v>51.62</v>
      </c>
    </row>
    <row r="6506" spans="1:12">
      <c r="A6506" s="1">
        <v>46049</v>
      </c>
      <c r="B6506" t="s">
        <v>5227</v>
      </c>
      <c r="C6506">
        <v>12</v>
      </c>
      <c r="D6506" t="str">
        <f>VLOOKUP(Tabela26[[#This Row],[EMP]],[1]LOJA!$A:$B,2,0)</f>
        <v>SOFNORTE</v>
      </c>
      <c r="E6506">
        <v>60</v>
      </c>
      <c r="F6506" t="s">
        <v>3931</v>
      </c>
      <c r="G6506" t="s">
        <v>3930</v>
      </c>
      <c r="H6506" t="s">
        <v>5226</v>
      </c>
      <c r="I6506">
        <v>5405</v>
      </c>
      <c r="J6506" s="3">
        <v>576</v>
      </c>
      <c r="K6506" s="3">
        <v>276.77</v>
      </c>
      <c r="L6506">
        <v>51.95</v>
      </c>
    </row>
    <row r="6507" spans="1:12">
      <c r="A6507" s="1">
        <v>46049</v>
      </c>
      <c r="B6507" t="s">
        <v>5225</v>
      </c>
      <c r="C6507">
        <v>12</v>
      </c>
      <c r="D6507" t="str">
        <f>VLOOKUP(Tabela26[[#This Row],[EMP]],[1]LOJA!$A:$B,2,0)</f>
        <v>SOFNORTE</v>
      </c>
      <c r="E6507">
        <v>60</v>
      </c>
      <c r="F6507" t="s">
        <v>3953</v>
      </c>
      <c r="G6507" t="s">
        <v>3952</v>
      </c>
      <c r="H6507" t="s">
        <v>3430</v>
      </c>
      <c r="I6507">
        <v>5102</v>
      </c>
      <c r="J6507" s="3">
        <v>39.83</v>
      </c>
      <c r="K6507" s="3">
        <v>20.59</v>
      </c>
      <c r="L6507">
        <v>48.31</v>
      </c>
    </row>
    <row r="6508" spans="1:12">
      <c r="A6508" s="1">
        <v>46049</v>
      </c>
      <c r="B6508" t="s">
        <v>5224</v>
      </c>
      <c r="C6508">
        <v>12</v>
      </c>
      <c r="D6508" t="str">
        <f>VLOOKUP(Tabela26[[#This Row],[EMP]],[1]LOJA!$A:$B,2,0)</f>
        <v>SOFNORTE</v>
      </c>
      <c r="E6508">
        <v>60</v>
      </c>
      <c r="F6508" t="s">
        <v>5223</v>
      </c>
      <c r="G6508" t="s">
        <v>5222</v>
      </c>
      <c r="H6508" t="s">
        <v>3430</v>
      </c>
      <c r="I6508">
        <v>5102</v>
      </c>
      <c r="J6508" s="3">
        <v>31.19</v>
      </c>
      <c r="K6508" s="3">
        <v>17.53</v>
      </c>
      <c r="L6508">
        <v>43.8</v>
      </c>
    </row>
    <row r="6509" spans="1:12">
      <c r="A6509" s="1">
        <v>46049</v>
      </c>
      <c r="B6509" t="s">
        <v>5221</v>
      </c>
      <c r="C6509">
        <v>12</v>
      </c>
      <c r="D6509" t="str">
        <f>VLOOKUP(Tabela26[[#This Row],[EMP]],[1]LOJA!$A:$B,2,0)</f>
        <v>SOFNORTE</v>
      </c>
      <c r="E6509">
        <v>60</v>
      </c>
      <c r="F6509" t="s">
        <v>3945</v>
      </c>
      <c r="G6509" t="s">
        <v>3944</v>
      </c>
      <c r="H6509" t="s">
        <v>3430</v>
      </c>
      <c r="I6509">
        <v>5405</v>
      </c>
      <c r="J6509" s="3">
        <v>2413.2800000000002</v>
      </c>
      <c r="K6509" s="3">
        <v>1396.89</v>
      </c>
      <c r="L6509">
        <v>42.12</v>
      </c>
    </row>
    <row r="6510" spans="1:12">
      <c r="A6510" s="1">
        <v>46049</v>
      </c>
      <c r="B6510" t="s">
        <v>5220</v>
      </c>
      <c r="C6510">
        <v>12</v>
      </c>
      <c r="D6510" t="str">
        <f>VLOOKUP(Tabela26[[#This Row],[EMP]],[1]LOJA!$A:$B,2,0)</f>
        <v>SOFNORTE</v>
      </c>
      <c r="E6510">
        <v>60</v>
      </c>
      <c r="F6510" t="s">
        <v>3461</v>
      </c>
      <c r="G6510" t="s">
        <v>3460</v>
      </c>
      <c r="H6510" t="s">
        <v>3430</v>
      </c>
      <c r="I6510">
        <v>5405</v>
      </c>
      <c r="J6510" s="3">
        <v>72.05</v>
      </c>
      <c r="K6510" s="3">
        <v>35.83</v>
      </c>
      <c r="L6510">
        <v>50.27</v>
      </c>
    </row>
    <row r="6511" spans="1:12">
      <c r="A6511" s="1">
        <v>46049</v>
      </c>
      <c r="B6511" t="s">
        <v>5219</v>
      </c>
      <c r="C6511">
        <v>12</v>
      </c>
      <c r="D6511" t="str">
        <f>VLOOKUP(Tabela26[[#This Row],[EMP]],[1]LOJA!$A:$B,2,0)</f>
        <v>SOFNORTE</v>
      </c>
      <c r="E6511">
        <v>60</v>
      </c>
      <c r="F6511" t="s">
        <v>3925</v>
      </c>
      <c r="G6511" t="s">
        <v>3924</v>
      </c>
      <c r="H6511" t="s">
        <v>3430</v>
      </c>
      <c r="I6511">
        <v>5102</v>
      </c>
      <c r="J6511" s="3">
        <v>228</v>
      </c>
      <c r="K6511" s="3">
        <v>121.34</v>
      </c>
      <c r="L6511">
        <v>46.78</v>
      </c>
    </row>
    <row r="6512" spans="1:12">
      <c r="A6512" s="1">
        <v>46049</v>
      </c>
      <c r="B6512" t="s">
        <v>5218</v>
      </c>
      <c r="C6512">
        <v>12</v>
      </c>
      <c r="D6512" t="str">
        <f>VLOOKUP(Tabela26[[#This Row],[EMP]],[1]LOJA!$A:$B,2,0)</f>
        <v>SOFNORTE</v>
      </c>
      <c r="E6512">
        <v>60</v>
      </c>
      <c r="F6512" t="s">
        <v>3461</v>
      </c>
      <c r="G6512" t="s">
        <v>3460</v>
      </c>
      <c r="H6512" t="s">
        <v>3430</v>
      </c>
      <c r="I6512">
        <v>5405</v>
      </c>
      <c r="J6512" s="3">
        <v>265.85000000000002</v>
      </c>
      <c r="K6512" s="3">
        <v>132.13999999999999</v>
      </c>
      <c r="L6512">
        <v>50.3</v>
      </c>
    </row>
    <row r="6513" spans="1:12">
      <c r="A6513" s="1">
        <v>46049</v>
      </c>
      <c r="B6513" t="s">
        <v>5217</v>
      </c>
      <c r="C6513">
        <v>12</v>
      </c>
      <c r="D6513" t="str">
        <f>VLOOKUP(Tabela26[[#This Row],[EMP]],[1]LOJA!$A:$B,2,0)</f>
        <v>SOFNORTE</v>
      </c>
      <c r="E6513">
        <v>60</v>
      </c>
      <c r="F6513" t="s">
        <v>3948</v>
      </c>
      <c r="G6513" t="s">
        <v>3947</v>
      </c>
      <c r="H6513" t="s">
        <v>3430</v>
      </c>
      <c r="I6513">
        <v>5102</v>
      </c>
      <c r="J6513" s="3">
        <v>86.22</v>
      </c>
      <c r="K6513" s="3">
        <v>40.83</v>
      </c>
      <c r="L6513">
        <v>52.64</v>
      </c>
    </row>
    <row r="6514" spans="1:12">
      <c r="A6514" s="1">
        <v>46049</v>
      </c>
      <c r="B6514" t="s">
        <v>5216</v>
      </c>
      <c r="C6514">
        <v>12</v>
      </c>
      <c r="D6514" t="str">
        <f>VLOOKUP(Tabela26[[#This Row],[EMP]],[1]LOJA!$A:$B,2,0)</f>
        <v>SOFNORTE</v>
      </c>
      <c r="E6514">
        <v>60</v>
      </c>
      <c r="F6514" t="s">
        <v>3458</v>
      </c>
      <c r="G6514" t="s">
        <v>3457</v>
      </c>
      <c r="H6514" t="s">
        <v>3430</v>
      </c>
      <c r="I6514">
        <v>5405</v>
      </c>
      <c r="J6514" s="3">
        <v>1107</v>
      </c>
      <c r="K6514" s="3">
        <v>510.19</v>
      </c>
      <c r="L6514">
        <v>53.91</v>
      </c>
    </row>
    <row r="6515" spans="1:12">
      <c r="A6515" s="1">
        <v>46049</v>
      </c>
      <c r="B6515" t="s">
        <v>5215</v>
      </c>
      <c r="C6515">
        <v>12</v>
      </c>
      <c r="D6515" t="str">
        <f>VLOOKUP(Tabela26[[#This Row],[EMP]],[1]LOJA!$A:$B,2,0)</f>
        <v>SOFNORTE</v>
      </c>
      <c r="E6515">
        <v>60</v>
      </c>
      <c r="F6515" t="s">
        <v>3925</v>
      </c>
      <c r="G6515" t="s">
        <v>3924</v>
      </c>
      <c r="H6515" t="s">
        <v>3430</v>
      </c>
      <c r="I6515">
        <v>5405</v>
      </c>
      <c r="J6515" s="3">
        <v>119.83</v>
      </c>
      <c r="K6515" s="3">
        <v>55.56</v>
      </c>
      <c r="L6515">
        <v>53.63</v>
      </c>
    </row>
    <row r="6516" spans="1:12">
      <c r="A6516" s="1">
        <v>46049</v>
      </c>
      <c r="B6516" t="s">
        <v>5214</v>
      </c>
      <c r="C6516">
        <v>22</v>
      </c>
      <c r="D6516" t="str">
        <f>VLOOKUP(Tabela26[[#This Row],[EMP]],[1]LOJA!$A:$B,2,0)</f>
        <v>GUARÁ</v>
      </c>
      <c r="E6516">
        <v>93</v>
      </c>
      <c r="F6516" t="s">
        <v>3873</v>
      </c>
      <c r="G6516" t="s">
        <v>3872</v>
      </c>
      <c r="H6516" t="s">
        <v>3401</v>
      </c>
      <c r="I6516">
        <v>5102</v>
      </c>
      <c r="J6516" s="3">
        <v>16.5</v>
      </c>
      <c r="K6516" s="3">
        <v>10.89</v>
      </c>
      <c r="L6516">
        <v>34</v>
      </c>
    </row>
    <row r="6517" spans="1:12">
      <c r="A6517" s="1">
        <v>46049</v>
      </c>
      <c r="B6517" t="s">
        <v>5213</v>
      </c>
      <c r="C6517">
        <v>22</v>
      </c>
      <c r="D6517" t="str">
        <f>VLOOKUP(Tabela26[[#This Row],[EMP]],[1]LOJA!$A:$B,2,0)</f>
        <v>GUARÁ</v>
      </c>
      <c r="E6517">
        <v>93</v>
      </c>
      <c r="F6517" t="s">
        <v>5212</v>
      </c>
      <c r="G6517" t="s">
        <v>5211</v>
      </c>
      <c r="H6517" t="s">
        <v>3401</v>
      </c>
      <c r="I6517">
        <v>5102</v>
      </c>
      <c r="J6517" s="3">
        <v>35</v>
      </c>
      <c r="K6517" s="3">
        <v>20.8</v>
      </c>
      <c r="L6517">
        <v>40.57</v>
      </c>
    </row>
    <row r="6518" spans="1:12">
      <c r="A6518" s="1">
        <v>46049</v>
      </c>
      <c r="B6518" t="s">
        <v>5210</v>
      </c>
      <c r="C6518">
        <v>22</v>
      </c>
      <c r="D6518" t="str">
        <f>VLOOKUP(Tabela26[[#This Row],[EMP]],[1]LOJA!$A:$B,2,0)</f>
        <v>GUARÁ</v>
      </c>
      <c r="E6518">
        <v>93</v>
      </c>
      <c r="F6518" t="s">
        <v>3881</v>
      </c>
      <c r="G6518" t="s">
        <v>3402</v>
      </c>
      <c r="H6518" t="s">
        <v>3401</v>
      </c>
      <c r="I6518">
        <v>5405</v>
      </c>
      <c r="J6518" s="3">
        <v>224.9</v>
      </c>
      <c r="K6518" s="3">
        <v>132.93</v>
      </c>
      <c r="L6518">
        <v>40.89</v>
      </c>
    </row>
    <row r="6519" spans="1:12">
      <c r="A6519" s="1">
        <v>46049</v>
      </c>
      <c r="B6519" t="s">
        <v>5209</v>
      </c>
      <c r="C6519">
        <v>22</v>
      </c>
      <c r="D6519" t="str">
        <f>VLOOKUP(Tabela26[[#This Row],[EMP]],[1]LOJA!$A:$B,2,0)</f>
        <v>GUARÁ</v>
      </c>
      <c r="E6519">
        <v>93</v>
      </c>
      <c r="F6519" t="s">
        <v>3856</v>
      </c>
      <c r="G6519" t="s">
        <v>3855</v>
      </c>
      <c r="H6519" t="s">
        <v>3520</v>
      </c>
      <c r="I6519">
        <v>5102</v>
      </c>
      <c r="J6519" s="3">
        <v>834.47</v>
      </c>
      <c r="K6519" s="3">
        <v>459.98</v>
      </c>
      <c r="L6519">
        <v>44.88</v>
      </c>
    </row>
    <row r="6520" spans="1:12">
      <c r="A6520" s="1">
        <v>46049</v>
      </c>
      <c r="B6520" t="s">
        <v>5208</v>
      </c>
      <c r="C6520">
        <v>22</v>
      </c>
      <c r="D6520" t="str">
        <f>VLOOKUP(Tabela26[[#This Row],[EMP]],[1]LOJA!$A:$B,2,0)</f>
        <v>GUARÁ</v>
      </c>
      <c r="E6520">
        <v>93</v>
      </c>
      <c r="F6520" t="s">
        <v>3403</v>
      </c>
      <c r="G6520" t="s">
        <v>3402</v>
      </c>
      <c r="H6520" t="s">
        <v>3401</v>
      </c>
      <c r="I6520">
        <v>5405</v>
      </c>
      <c r="J6520" s="3">
        <v>44</v>
      </c>
      <c r="K6520" s="3">
        <v>25.73</v>
      </c>
      <c r="L6520">
        <v>41.52</v>
      </c>
    </row>
    <row r="6521" spans="1:12">
      <c r="A6521" s="1">
        <v>46049</v>
      </c>
      <c r="B6521" t="s">
        <v>5207</v>
      </c>
      <c r="C6521">
        <v>22</v>
      </c>
      <c r="D6521" t="str">
        <f>VLOOKUP(Tabela26[[#This Row],[EMP]],[1]LOJA!$A:$B,2,0)</f>
        <v>GUARÁ</v>
      </c>
      <c r="E6521">
        <v>93</v>
      </c>
      <c r="F6521" t="s">
        <v>3870</v>
      </c>
      <c r="G6521" t="s">
        <v>3869</v>
      </c>
      <c r="H6521" t="s">
        <v>3401</v>
      </c>
      <c r="I6521">
        <v>5102</v>
      </c>
      <c r="J6521" s="3">
        <v>12</v>
      </c>
      <c r="K6521" s="3">
        <v>6.48</v>
      </c>
      <c r="L6521">
        <v>46</v>
      </c>
    </row>
    <row r="6522" spans="1:12">
      <c r="A6522" s="1">
        <v>46049</v>
      </c>
      <c r="B6522" t="s">
        <v>5206</v>
      </c>
      <c r="C6522">
        <v>22</v>
      </c>
      <c r="D6522" t="str">
        <f>VLOOKUP(Tabela26[[#This Row],[EMP]],[1]LOJA!$A:$B,2,0)</f>
        <v>GUARÁ</v>
      </c>
      <c r="E6522">
        <v>93</v>
      </c>
      <c r="F6522" t="s">
        <v>3403</v>
      </c>
      <c r="G6522" t="s">
        <v>3402</v>
      </c>
      <c r="H6522" t="s">
        <v>3401</v>
      </c>
      <c r="I6522">
        <v>5102</v>
      </c>
      <c r="J6522" s="3">
        <v>59</v>
      </c>
      <c r="K6522" s="3">
        <v>23.58</v>
      </c>
      <c r="L6522">
        <v>60.03</v>
      </c>
    </row>
    <row r="6523" spans="1:12">
      <c r="A6523" s="1">
        <v>46049</v>
      </c>
      <c r="B6523" t="s">
        <v>5205</v>
      </c>
      <c r="C6523">
        <v>22</v>
      </c>
      <c r="D6523" t="str">
        <f>VLOOKUP(Tabela26[[#This Row],[EMP]],[1]LOJA!$A:$B,2,0)</f>
        <v>GUARÁ</v>
      </c>
      <c r="E6523">
        <v>93</v>
      </c>
      <c r="F6523" t="s">
        <v>3921</v>
      </c>
      <c r="G6523" t="s">
        <v>3920</v>
      </c>
      <c r="H6523" t="s">
        <v>3401</v>
      </c>
      <c r="I6523">
        <v>5102</v>
      </c>
      <c r="J6523" s="3">
        <v>16</v>
      </c>
      <c r="K6523" s="3">
        <v>7.72</v>
      </c>
      <c r="L6523">
        <v>51.75</v>
      </c>
    </row>
    <row r="6524" spans="1:12">
      <c r="A6524" s="1">
        <v>46049</v>
      </c>
      <c r="B6524" t="s">
        <v>5204</v>
      </c>
      <c r="C6524">
        <v>22</v>
      </c>
      <c r="D6524" t="str">
        <f>VLOOKUP(Tabela26[[#This Row],[EMP]],[1]LOJA!$A:$B,2,0)</f>
        <v>GUARÁ</v>
      </c>
      <c r="E6524">
        <v>93</v>
      </c>
      <c r="F6524" t="s">
        <v>5203</v>
      </c>
      <c r="G6524" t="s">
        <v>5202</v>
      </c>
      <c r="H6524" t="s">
        <v>3408</v>
      </c>
      <c r="I6524">
        <v>5405</v>
      </c>
      <c r="J6524" s="3">
        <v>960</v>
      </c>
      <c r="K6524" s="3">
        <v>544.80999999999995</v>
      </c>
      <c r="L6524">
        <v>43.25</v>
      </c>
    </row>
    <row r="6525" spans="1:12">
      <c r="A6525" s="1">
        <v>46049</v>
      </c>
      <c r="B6525" t="s">
        <v>5201</v>
      </c>
      <c r="C6525">
        <v>22</v>
      </c>
      <c r="D6525" t="str">
        <f>VLOOKUP(Tabela26[[#This Row],[EMP]],[1]LOJA!$A:$B,2,0)</f>
        <v>GUARÁ</v>
      </c>
      <c r="E6525">
        <v>93</v>
      </c>
      <c r="F6525" t="s">
        <v>5200</v>
      </c>
      <c r="G6525" t="s">
        <v>5199</v>
      </c>
      <c r="H6525" t="s">
        <v>3408</v>
      </c>
      <c r="I6525">
        <v>5405</v>
      </c>
      <c r="J6525" s="3">
        <v>272</v>
      </c>
      <c r="K6525" s="3">
        <v>144.5</v>
      </c>
      <c r="L6525">
        <v>46.88</v>
      </c>
    </row>
    <row r="6526" spans="1:12">
      <c r="A6526" s="1">
        <v>46049</v>
      </c>
      <c r="B6526" t="s">
        <v>5198</v>
      </c>
      <c r="C6526">
        <v>22</v>
      </c>
      <c r="D6526" t="str">
        <f>VLOOKUP(Tabela26[[#This Row],[EMP]],[1]LOJA!$A:$B,2,0)</f>
        <v>GUARÁ</v>
      </c>
      <c r="E6526">
        <v>16</v>
      </c>
      <c r="F6526" t="s">
        <v>3889</v>
      </c>
      <c r="G6526" t="s">
        <v>3888</v>
      </c>
      <c r="H6526" t="s">
        <v>5043</v>
      </c>
      <c r="I6526">
        <v>5405</v>
      </c>
      <c r="J6526" s="3">
        <v>323.49</v>
      </c>
      <c r="K6526" s="3">
        <v>168.91</v>
      </c>
      <c r="L6526">
        <v>47.79</v>
      </c>
    </row>
    <row r="6527" spans="1:12">
      <c r="A6527" s="1">
        <v>46049</v>
      </c>
      <c r="B6527" t="s">
        <v>5197</v>
      </c>
      <c r="C6527">
        <v>22</v>
      </c>
      <c r="D6527" t="str">
        <f>VLOOKUP(Tabela26[[#This Row],[EMP]],[1]LOJA!$A:$B,2,0)</f>
        <v>GUARÁ</v>
      </c>
      <c r="E6527">
        <v>93</v>
      </c>
      <c r="F6527" t="s">
        <v>4603</v>
      </c>
      <c r="G6527" t="s">
        <v>4602</v>
      </c>
      <c r="H6527" t="s">
        <v>3401</v>
      </c>
      <c r="I6527">
        <v>5102</v>
      </c>
      <c r="J6527" s="3">
        <v>7</v>
      </c>
      <c r="K6527" s="3">
        <v>4.09</v>
      </c>
      <c r="L6527">
        <v>41.57</v>
      </c>
    </row>
    <row r="6528" spans="1:12">
      <c r="A6528" s="1">
        <v>46049</v>
      </c>
      <c r="B6528" t="s">
        <v>5196</v>
      </c>
      <c r="C6528">
        <v>22</v>
      </c>
      <c r="D6528" t="str">
        <f>VLOOKUP(Tabela26[[#This Row],[EMP]],[1]LOJA!$A:$B,2,0)</f>
        <v>GUARÁ</v>
      </c>
      <c r="E6528">
        <v>16</v>
      </c>
      <c r="F6528" t="s">
        <v>5195</v>
      </c>
      <c r="G6528" t="s">
        <v>3402</v>
      </c>
      <c r="H6528" t="s">
        <v>3408</v>
      </c>
      <c r="I6528">
        <v>5405</v>
      </c>
      <c r="J6528" s="3">
        <v>48</v>
      </c>
      <c r="K6528" s="3">
        <v>23.45</v>
      </c>
      <c r="L6528">
        <v>51.15</v>
      </c>
    </row>
    <row r="6529" spans="1:12">
      <c r="A6529" s="1">
        <v>46049</v>
      </c>
      <c r="B6529" t="s">
        <v>5194</v>
      </c>
      <c r="C6529">
        <v>22</v>
      </c>
      <c r="D6529" t="str">
        <f>VLOOKUP(Tabela26[[#This Row],[EMP]],[1]LOJA!$A:$B,2,0)</f>
        <v>GUARÁ</v>
      </c>
      <c r="E6529">
        <v>16</v>
      </c>
      <c r="F6529" t="s">
        <v>5193</v>
      </c>
      <c r="G6529" t="s">
        <v>5192</v>
      </c>
      <c r="H6529" t="s">
        <v>3520</v>
      </c>
      <c r="I6529">
        <v>5405</v>
      </c>
      <c r="J6529" s="3">
        <v>363.58</v>
      </c>
      <c r="K6529" s="3">
        <v>207.19</v>
      </c>
      <c r="L6529">
        <v>43.01</v>
      </c>
    </row>
    <row r="6530" spans="1:12">
      <c r="A6530" s="1">
        <v>46049</v>
      </c>
      <c r="B6530" t="s">
        <v>5191</v>
      </c>
      <c r="C6530">
        <v>22</v>
      </c>
      <c r="D6530" t="str">
        <f>VLOOKUP(Tabela26[[#This Row],[EMP]],[1]LOJA!$A:$B,2,0)</f>
        <v>GUARÁ</v>
      </c>
      <c r="E6530">
        <v>16</v>
      </c>
      <c r="F6530" t="s">
        <v>3899</v>
      </c>
      <c r="G6530" t="s">
        <v>3898</v>
      </c>
      <c r="H6530" t="s">
        <v>3520</v>
      </c>
      <c r="I6530">
        <v>5102</v>
      </c>
      <c r="J6530" s="3">
        <v>6.72</v>
      </c>
      <c r="K6530" s="3">
        <v>3.91</v>
      </c>
      <c r="L6530">
        <v>41.82</v>
      </c>
    </row>
    <row r="6531" spans="1:12">
      <c r="A6531" s="1">
        <v>46049</v>
      </c>
      <c r="B6531" t="s">
        <v>5190</v>
      </c>
      <c r="C6531">
        <v>22</v>
      </c>
      <c r="D6531" t="str">
        <f>VLOOKUP(Tabela26[[#This Row],[EMP]],[1]LOJA!$A:$B,2,0)</f>
        <v>GUARÁ</v>
      </c>
      <c r="E6531">
        <v>93</v>
      </c>
      <c r="F6531" t="s">
        <v>3403</v>
      </c>
      <c r="G6531" t="s">
        <v>3402</v>
      </c>
      <c r="H6531" t="s">
        <v>3401</v>
      </c>
      <c r="I6531">
        <v>5405</v>
      </c>
      <c r="J6531" s="3">
        <v>35</v>
      </c>
      <c r="K6531" s="3">
        <v>16.440000000000001</v>
      </c>
      <c r="L6531">
        <v>53.03</v>
      </c>
    </row>
    <row r="6532" spans="1:12">
      <c r="A6532" s="1">
        <v>46049</v>
      </c>
      <c r="B6532" t="s">
        <v>5189</v>
      </c>
      <c r="C6532">
        <v>22</v>
      </c>
      <c r="D6532" t="str">
        <f>VLOOKUP(Tabela26[[#This Row],[EMP]],[1]LOJA!$A:$B,2,0)</f>
        <v>GUARÁ</v>
      </c>
      <c r="E6532">
        <v>16</v>
      </c>
      <c r="F6532" t="s">
        <v>3403</v>
      </c>
      <c r="G6532" t="s">
        <v>3402</v>
      </c>
      <c r="H6532" t="s">
        <v>3401</v>
      </c>
      <c r="I6532">
        <v>5102</v>
      </c>
      <c r="J6532" s="3">
        <v>38</v>
      </c>
      <c r="K6532" s="3">
        <v>18.2</v>
      </c>
      <c r="L6532">
        <v>52.11</v>
      </c>
    </row>
    <row r="6533" spans="1:12">
      <c r="A6533" s="1">
        <v>46049</v>
      </c>
      <c r="B6533" t="s">
        <v>5188</v>
      </c>
      <c r="C6533">
        <v>22</v>
      </c>
      <c r="D6533" t="str">
        <f>VLOOKUP(Tabela26[[#This Row],[EMP]],[1]LOJA!$A:$B,2,0)</f>
        <v>GUARÁ</v>
      </c>
      <c r="E6533">
        <v>93</v>
      </c>
      <c r="F6533" t="s">
        <v>4629</v>
      </c>
      <c r="G6533" t="s">
        <v>4628</v>
      </c>
      <c r="H6533" t="s">
        <v>3401</v>
      </c>
      <c r="I6533">
        <v>5405</v>
      </c>
      <c r="J6533" s="3">
        <v>92</v>
      </c>
      <c r="K6533" s="3">
        <v>49.96</v>
      </c>
      <c r="L6533">
        <v>45.7</v>
      </c>
    </row>
    <row r="6534" spans="1:12">
      <c r="A6534" s="1">
        <v>46049</v>
      </c>
      <c r="B6534" t="s">
        <v>5187</v>
      </c>
      <c r="C6534">
        <v>22</v>
      </c>
      <c r="D6534" t="str">
        <f>VLOOKUP(Tabela26[[#This Row],[EMP]],[1]LOJA!$A:$B,2,0)</f>
        <v>GUARÁ</v>
      </c>
      <c r="E6534">
        <v>16</v>
      </c>
      <c r="F6534" t="s">
        <v>3403</v>
      </c>
      <c r="G6534" t="s">
        <v>3402</v>
      </c>
      <c r="H6534" t="s">
        <v>3401</v>
      </c>
      <c r="I6534">
        <v>5102</v>
      </c>
      <c r="J6534" s="3">
        <v>22</v>
      </c>
      <c r="K6534" s="3">
        <v>12.36</v>
      </c>
      <c r="L6534">
        <v>43.82</v>
      </c>
    </row>
    <row r="6535" spans="1:12">
      <c r="A6535" s="1">
        <v>46049</v>
      </c>
      <c r="B6535" t="s">
        <v>5186</v>
      </c>
      <c r="C6535">
        <v>22</v>
      </c>
      <c r="D6535" t="str">
        <f>VLOOKUP(Tabela26[[#This Row],[EMP]],[1]LOJA!$A:$B,2,0)</f>
        <v>GUARÁ</v>
      </c>
      <c r="E6535">
        <v>93</v>
      </c>
      <c r="F6535" t="s">
        <v>3403</v>
      </c>
      <c r="G6535" t="s">
        <v>3402</v>
      </c>
      <c r="H6535" t="s">
        <v>3401</v>
      </c>
      <c r="I6535">
        <v>5102</v>
      </c>
      <c r="J6535" s="3">
        <v>89.7</v>
      </c>
      <c r="K6535" s="3">
        <v>62.88</v>
      </c>
      <c r="L6535">
        <v>29.9</v>
      </c>
    </row>
    <row r="6536" spans="1:12">
      <c r="A6536" s="1">
        <v>46049</v>
      </c>
      <c r="B6536" t="s">
        <v>5185</v>
      </c>
      <c r="C6536">
        <v>22</v>
      </c>
      <c r="D6536" t="str">
        <f>VLOOKUP(Tabela26[[#This Row],[EMP]],[1]LOJA!$A:$B,2,0)</f>
        <v>GUARÁ</v>
      </c>
      <c r="E6536">
        <v>93</v>
      </c>
      <c r="F6536" t="s">
        <v>3856</v>
      </c>
      <c r="G6536" t="s">
        <v>3855</v>
      </c>
      <c r="H6536" t="s">
        <v>3520</v>
      </c>
      <c r="I6536">
        <v>5405</v>
      </c>
      <c r="J6536" s="3">
        <v>220</v>
      </c>
      <c r="K6536" s="3">
        <v>114.73</v>
      </c>
      <c r="L6536">
        <v>47.85</v>
      </c>
    </row>
    <row r="6537" spans="1:12">
      <c r="A6537" s="1">
        <v>46049</v>
      </c>
      <c r="B6537" t="s">
        <v>5184</v>
      </c>
      <c r="C6537">
        <v>22</v>
      </c>
      <c r="D6537" t="str">
        <f>VLOOKUP(Tabela26[[#This Row],[EMP]],[1]LOJA!$A:$B,2,0)</f>
        <v>GUARÁ</v>
      </c>
      <c r="E6537">
        <v>93</v>
      </c>
      <c r="F6537" t="s">
        <v>3403</v>
      </c>
      <c r="G6537" t="s">
        <v>3402</v>
      </c>
      <c r="H6537" t="s">
        <v>3401</v>
      </c>
      <c r="I6537">
        <v>5102</v>
      </c>
      <c r="J6537" s="3">
        <v>12</v>
      </c>
      <c r="K6537" s="3">
        <v>6.95</v>
      </c>
      <c r="L6537">
        <v>42.08</v>
      </c>
    </row>
    <row r="6538" spans="1:12">
      <c r="A6538" s="1">
        <v>46049</v>
      </c>
      <c r="B6538" t="s">
        <v>5183</v>
      </c>
      <c r="C6538">
        <v>22</v>
      </c>
      <c r="D6538" t="str">
        <f>VLOOKUP(Tabela26[[#This Row],[EMP]],[1]LOJA!$A:$B,2,0)</f>
        <v>GUARÁ</v>
      </c>
      <c r="E6538">
        <v>93</v>
      </c>
      <c r="F6538" t="s">
        <v>3866</v>
      </c>
      <c r="G6538" t="s">
        <v>3865</v>
      </c>
      <c r="H6538" t="s">
        <v>3401</v>
      </c>
      <c r="I6538">
        <v>5405</v>
      </c>
      <c r="J6538" s="3">
        <v>100</v>
      </c>
      <c r="K6538" s="3">
        <v>52.36</v>
      </c>
      <c r="L6538">
        <v>47.64</v>
      </c>
    </row>
    <row r="6539" spans="1:12">
      <c r="A6539" s="1">
        <v>46049</v>
      </c>
      <c r="B6539" t="s">
        <v>5182</v>
      </c>
      <c r="C6539">
        <v>22</v>
      </c>
      <c r="D6539" t="str">
        <f>VLOOKUP(Tabela26[[#This Row],[EMP]],[1]LOJA!$A:$B,2,0)</f>
        <v>GUARÁ</v>
      </c>
      <c r="E6539">
        <v>93</v>
      </c>
      <c r="F6539" t="s">
        <v>3403</v>
      </c>
      <c r="G6539" t="s">
        <v>3402</v>
      </c>
      <c r="H6539" t="s">
        <v>3401</v>
      </c>
      <c r="I6539">
        <v>5102</v>
      </c>
      <c r="J6539" s="3">
        <v>54.9</v>
      </c>
      <c r="K6539" s="3">
        <v>39.159999999999997</v>
      </c>
      <c r="L6539">
        <v>28.67</v>
      </c>
    </row>
    <row r="6540" spans="1:12">
      <c r="A6540" s="1">
        <v>46049</v>
      </c>
      <c r="B6540" t="s">
        <v>5181</v>
      </c>
      <c r="C6540">
        <v>22</v>
      </c>
      <c r="D6540" t="str">
        <f>VLOOKUP(Tabela26[[#This Row],[EMP]],[1]LOJA!$A:$B,2,0)</f>
        <v>GUARÁ</v>
      </c>
      <c r="E6540">
        <v>93</v>
      </c>
      <c r="F6540" t="s">
        <v>3403</v>
      </c>
      <c r="G6540" t="s">
        <v>3402</v>
      </c>
      <c r="H6540" t="s">
        <v>3401</v>
      </c>
      <c r="I6540">
        <v>5405</v>
      </c>
      <c r="J6540" s="3">
        <v>100</v>
      </c>
      <c r="K6540" s="3">
        <v>49.16</v>
      </c>
      <c r="L6540">
        <v>50.84</v>
      </c>
    </row>
    <row r="6541" spans="1:12">
      <c r="A6541" s="1">
        <v>46049</v>
      </c>
      <c r="B6541" t="s">
        <v>5180</v>
      </c>
      <c r="C6541">
        <v>22</v>
      </c>
      <c r="D6541" t="str">
        <f>VLOOKUP(Tabela26[[#This Row],[EMP]],[1]LOJA!$A:$B,2,0)</f>
        <v>GUARÁ</v>
      </c>
      <c r="E6541">
        <v>93</v>
      </c>
      <c r="F6541" t="s">
        <v>3403</v>
      </c>
      <c r="G6541" t="s">
        <v>3402</v>
      </c>
      <c r="H6541" t="s">
        <v>3401</v>
      </c>
      <c r="I6541">
        <v>5102</v>
      </c>
      <c r="J6541" s="3">
        <v>120</v>
      </c>
      <c r="K6541" s="3">
        <v>63.4</v>
      </c>
      <c r="L6541">
        <v>47.17</v>
      </c>
    </row>
    <row r="6542" spans="1:12">
      <c r="A6542" s="1">
        <v>46049</v>
      </c>
      <c r="B6542" t="s">
        <v>5179</v>
      </c>
      <c r="C6542">
        <v>22</v>
      </c>
      <c r="D6542" t="str">
        <f>VLOOKUP(Tabela26[[#This Row],[EMP]],[1]LOJA!$A:$B,2,0)</f>
        <v>GUARÁ</v>
      </c>
      <c r="E6542">
        <v>93</v>
      </c>
      <c r="F6542" t="s">
        <v>3403</v>
      </c>
      <c r="G6542" t="s">
        <v>3402</v>
      </c>
      <c r="H6542" t="s">
        <v>3401</v>
      </c>
      <c r="I6542">
        <v>5405</v>
      </c>
      <c r="J6542" s="3">
        <v>42.5</v>
      </c>
      <c r="K6542" s="3">
        <v>20.079999999999998</v>
      </c>
      <c r="L6542">
        <v>52.75</v>
      </c>
    </row>
    <row r="6543" spans="1:12">
      <c r="A6543" s="1">
        <v>46049</v>
      </c>
      <c r="B6543" t="s">
        <v>5178</v>
      </c>
      <c r="C6543">
        <v>22</v>
      </c>
      <c r="D6543" t="str">
        <f>VLOOKUP(Tabela26[[#This Row],[EMP]],[1]LOJA!$A:$B,2,0)</f>
        <v>GUARÁ</v>
      </c>
      <c r="E6543">
        <v>16</v>
      </c>
      <c r="F6543" t="s">
        <v>3403</v>
      </c>
      <c r="G6543" t="s">
        <v>3402</v>
      </c>
      <c r="H6543" t="s">
        <v>3401</v>
      </c>
      <c r="I6543">
        <v>5102</v>
      </c>
      <c r="J6543" s="3">
        <v>22</v>
      </c>
      <c r="K6543" s="3">
        <v>9.7200000000000006</v>
      </c>
      <c r="L6543">
        <v>55.82</v>
      </c>
    </row>
    <row r="6544" spans="1:12">
      <c r="A6544" s="1">
        <v>46049</v>
      </c>
      <c r="B6544" t="s">
        <v>5177</v>
      </c>
      <c r="C6544">
        <v>22</v>
      </c>
      <c r="D6544" t="str">
        <f>VLOOKUP(Tabela26[[#This Row],[EMP]],[1]LOJA!$A:$B,2,0)</f>
        <v>GUARÁ</v>
      </c>
      <c r="E6544">
        <v>93</v>
      </c>
      <c r="F6544" t="s">
        <v>3403</v>
      </c>
      <c r="G6544" t="s">
        <v>3402</v>
      </c>
      <c r="H6544" t="s">
        <v>3401</v>
      </c>
      <c r="I6544">
        <v>5405</v>
      </c>
      <c r="J6544" s="3">
        <v>89.9</v>
      </c>
      <c r="K6544" s="3">
        <v>52.57</v>
      </c>
      <c r="L6544">
        <v>41.52</v>
      </c>
    </row>
    <row r="6545" spans="1:12">
      <c r="A6545" s="1">
        <v>46049</v>
      </c>
      <c r="B6545" t="s">
        <v>5176</v>
      </c>
      <c r="C6545">
        <v>22</v>
      </c>
      <c r="D6545" t="str">
        <f>VLOOKUP(Tabela26[[#This Row],[EMP]],[1]LOJA!$A:$B,2,0)</f>
        <v>GUARÁ</v>
      </c>
      <c r="E6545">
        <v>93</v>
      </c>
      <c r="F6545" t="s">
        <v>3403</v>
      </c>
      <c r="G6545" t="s">
        <v>3402</v>
      </c>
      <c r="H6545" t="s">
        <v>3401</v>
      </c>
      <c r="I6545">
        <v>5102</v>
      </c>
      <c r="J6545" s="3">
        <v>10</v>
      </c>
      <c r="K6545" s="3">
        <v>6.56</v>
      </c>
      <c r="L6545">
        <v>34.4</v>
      </c>
    </row>
    <row r="6546" spans="1:12">
      <c r="A6546" s="1">
        <v>46049</v>
      </c>
      <c r="B6546" t="s">
        <v>5175</v>
      </c>
      <c r="C6546">
        <v>22</v>
      </c>
      <c r="D6546" t="str">
        <f>VLOOKUP(Tabela26[[#This Row],[EMP]],[1]LOJA!$A:$B,2,0)</f>
        <v>GUARÁ</v>
      </c>
      <c r="E6546">
        <v>93</v>
      </c>
      <c r="F6546" t="s">
        <v>3403</v>
      </c>
      <c r="G6546" t="s">
        <v>3402</v>
      </c>
      <c r="H6546" t="s">
        <v>3401</v>
      </c>
      <c r="I6546">
        <v>5102</v>
      </c>
      <c r="J6546" s="3">
        <v>7</v>
      </c>
      <c r="K6546" s="3">
        <v>3.91</v>
      </c>
      <c r="L6546">
        <v>44.14</v>
      </c>
    </row>
    <row r="6547" spans="1:12">
      <c r="A6547" s="1">
        <v>46049</v>
      </c>
      <c r="B6547" t="s">
        <v>5174</v>
      </c>
      <c r="C6547">
        <v>22</v>
      </c>
      <c r="D6547" t="str">
        <f>VLOOKUP(Tabela26[[#This Row],[EMP]],[1]LOJA!$A:$B,2,0)</f>
        <v>GUARÁ</v>
      </c>
      <c r="E6547">
        <v>93</v>
      </c>
      <c r="F6547" t="s">
        <v>3403</v>
      </c>
      <c r="G6547" t="s">
        <v>3402</v>
      </c>
      <c r="H6547" t="s">
        <v>3401</v>
      </c>
      <c r="I6547">
        <v>5102</v>
      </c>
      <c r="J6547" s="3">
        <v>20</v>
      </c>
      <c r="K6547" s="3">
        <v>12.54</v>
      </c>
      <c r="L6547">
        <v>37.299999999999997</v>
      </c>
    </row>
    <row r="6548" spans="1:12">
      <c r="A6548" s="1">
        <v>46049</v>
      </c>
      <c r="B6548" t="s">
        <v>5173</v>
      </c>
      <c r="C6548">
        <v>22</v>
      </c>
      <c r="D6548" t="str">
        <f>VLOOKUP(Tabela26[[#This Row],[EMP]],[1]LOJA!$A:$B,2,0)</f>
        <v>GUARÁ</v>
      </c>
      <c r="E6548">
        <v>93</v>
      </c>
      <c r="F6548" t="s">
        <v>3403</v>
      </c>
      <c r="G6548" t="s">
        <v>3402</v>
      </c>
      <c r="H6548" t="s">
        <v>3401</v>
      </c>
      <c r="I6548">
        <v>5102</v>
      </c>
      <c r="J6548" s="3">
        <v>8</v>
      </c>
      <c r="K6548" s="3">
        <v>4.6399999999999997</v>
      </c>
      <c r="L6548">
        <v>42</v>
      </c>
    </row>
    <row r="6549" spans="1:12">
      <c r="A6549" s="1">
        <v>46049</v>
      </c>
      <c r="B6549" t="s">
        <v>5172</v>
      </c>
      <c r="C6549">
        <v>22</v>
      </c>
      <c r="D6549" t="str">
        <f>VLOOKUP(Tabela26[[#This Row],[EMP]],[1]LOJA!$A:$B,2,0)</f>
        <v>GUARÁ</v>
      </c>
      <c r="E6549">
        <v>93</v>
      </c>
      <c r="F6549" t="s">
        <v>5171</v>
      </c>
      <c r="G6549" t="s">
        <v>3402</v>
      </c>
      <c r="H6549" t="s">
        <v>3401</v>
      </c>
      <c r="I6549">
        <v>5405</v>
      </c>
      <c r="J6549" s="3">
        <v>122.72</v>
      </c>
      <c r="K6549" s="3">
        <v>69.260000000000005</v>
      </c>
      <c r="L6549">
        <v>43.56</v>
      </c>
    </row>
    <row r="6550" spans="1:12">
      <c r="A6550" s="1">
        <v>46049</v>
      </c>
      <c r="B6550" t="s">
        <v>5170</v>
      </c>
      <c r="C6550">
        <v>22</v>
      </c>
      <c r="D6550" t="str">
        <f>VLOOKUP(Tabela26[[#This Row],[EMP]],[1]LOJA!$A:$B,2,0)</f>
        <v>GUARÁ</v>
      </c>
      <c r="E6550">
        <v>93</v>
      </c>
      <c r="F6550" t="s">
        <v>3403</v>
      </c>
      <c r="G6550" t="s">
        <v>3402</v>
      </c>
      <c r="H6550" t="s">
        <v>3401</v>
      </c>
      <c r="I6550">
        <v>5102</v>
      </c>
      <c r="J6550" s="3">
        <v>39.9</v>
      </c>
      <c r="K6550" s="3">
        <v>24.56</v>
      </c>
      <c r="L6550">
        <v>38.450000000000003</v>
      </c>
    </row>
    <row r="6551" spans="1:12">
      <c r="A6551" s="1">
        <v>46049</v>
      </c>
      <c r="B6551" t="s">
        <v>5169</v>
      </c>
      <c r="C6551">
        <v>22</v>
      </c>
      <c r="D6551" t="str">
        <f>VLOOKUP(Tabela26[[#This Row],[EMP]],[1]LOJA!$A:$B,2,0)</f>
        <v>GUARÁ</v>
      </c>
      <c r="E6551">
        <v>93</v>
      </c>
      <c r="F6551" t="s">
        <v>3403</v>
      </c>
      <c r="G6551" t="s">
        <v>3402</v>
      </c>
      <c r="H6551" t="s">
        <v>3401</v>
      </c>
      <c r="I6551">
        <v>5102</v>
      </c>
      <c r="J6551" s="3">
        <v>17</v>
      </c>
      <c r="K6551" s="3">
        <v>9.17</v>
      </c>
      <c r="L6551">
        <v>46.06</v>
      </c>
    </row>
    <row r="6552" spans="1:12">
      <c r="A6552" s="1">
        <v>46049</v>
      </c>
      <c r="B6552" t="s">
        <v>5168</v>
      </c>
      <c r="C6552">
        <v>22</v>
      </c>
      <c r="D6552" t="str">
        <f>VLOOKUP(Tabela26[[#This Row],[EMP]],[1]LOJA!$A:$B,2,0)</f>
        <v>GUARÁ</v>
      </c>
      <c r="E6552">
        <v>93</v>
      </c>
      <c r="F6552" t="s">
        <v>3403</v>
      </c>
      <c r="G6552" t="s">
        <v>3402</v>
      </c>
      <c r="H6552" t="s">
        <v>3401</v>
      </c>
      <c r="I6552">
        <v>5102</v>
      </c>
      <c r="J6552" s="3">
        <v>215</v>
      </c>
      <c r="K6552" s="3">
        <v>121.3</v>
      </c>
      <c r="L6552">
        <v>43.58</v>
      </c>
    </row>
    <row r="6553" spans="1:12">
      <c r="A6553" s="1">
        <v>46049</v>
      </c>
      <c r="B6553" t="s">
        <v>5167</v>
      </c>
      <c r="C6553">
        <v>22</v>
      </c>
      <c r="D6553" t="str">
        <f>VLOOKUP(Tabela26[[#This Row],[EMP]],[1]LOJA!$A:$B,2,0)</f>
        <v>GUARÁ</v>
      </c>
      <c r="E6553">
        <v>16</v>
      </c>
      <c r="F6553" t="s">
        <v>3894</v>
      </c>
      <c r="G6553" t="s">
        <v>3893</v>
      </c>
      <c r="H6553" t="s">
        <v>3401</v>
      </c>
      <c r="I6553">
        <v>5102</v>
      </c>
      <c r="J6553" s="3">
        <v>52.55</v>
      </c>
      <c r="K6553" s="3">
        <v>31.77</v>
      </c>
      <c r="L6553">
        <v>39.54</v>
      </c>
    </row>
    <row r="6554" spans="1:12">
      <c r="A6554" s="1">
        <v>46049</v>
      </c>
      <c r="B6554" t="s">
        <v>5166</v>
      </c>
      <c r="C6554">
        <v>4</v>
      </c>
      <c r="D6554" t="str">
        <f>VLOOKUP(Tabela26[[#This Row],[EMP]],[1]LOJA!$A:$B,2,0)</f>
        <v>ADE</v>
      </c>
      <c r="E6554">
        <v>109</v>
      </c>
      <c r="F6554" t="s">
        <v>5165</v>
      </c>
      <c r="G6554" t="s">
        <v>5164</v>
      </c>
      <c r="H6554" t="s">
        <v>3408</v>
      </c>
      <c r="I6554">
        <v>5405</v>
      </c>
      <c r="J6554" s="3">
        <v>323</v>
      </c>
      <c r="K6554" s="3">
        <v>158.44</v>
      </c>
      <c r="L6554">
        <v>50.95</v>
      </c>
    </row>
    <row r="6555" spans="1:12">
      <c r="A6555" s="1">
        <v>46049</v>
      </c>
      <c r="B6555" t="s">
        <v>5163</v>
      </c>
      <c r="C6555">
        <v>4</v>
      </c>
      <c r="D6555" t="str">
        <f>VLOOKUP(Tabela26[[#This Row],[EMP]],[1]LOJA!$A:$B,2,0)</f>
        <v>ADE</v>
      </c>
      <c r="E6555">
        <v>109</v>
      </c>
      <c r="F6555" t="s">
        <v>4568</v>
      </c>
      <c r="G6555" t="s">
        <v>4567</v>
      </c>
      <c r="H6555" t="s">
        <v>3408</v>
      </c>
      <c r="I6555">
        <v>5405</v>
      </c>
      <c r="J6555" s="3">
        <v>38</v>
      </c>
      <c r="K6555" s="3">
        <v>18.309999999999999</v>
      </c>
      <c r="L6555">
        <v>51.82</v>
      </c>
    </row>
    <row r="6556" spans="1:12">
      <c r="A6556" s="1">
        <v>46049</v>
      </c>
      <c r="B6556" t="s">
        <v>5162</v>
      </c>
      <c r="C6556">
        <v>4</v>
      </c>
      <c r="D6556" t="str">
        <f>VLOOKUP(Tabela26[[#This Row],[EMP]],[1]LOJA!$A:$B,2,0)</f>
        <v>ADE</v>
      </c>
      <c r="E6556">
        <v>132</v>
      </c>
      <c r="F6556" t="s">
        <v>3403</v>
      </c>
      <c r="G6556" t="s">
        <v>3402</v>
      </c>
      <c r="H6556" t="s">
        <v>3401</v>
      </c>
      <c r="I6556">
        <v>5102</v>
      </c>
      <c r="J6556" s="3">
        <v>128</v>
      </c>
      <c r="K6556" s="3">
        <v>64.98</v>
      </c>
      <c r="L6556">
        <v>49.23</v>
      </c>
    </row>
    <row r="6557" spans="1:12">
      <c r="A6557" s="1">
        <v>46049</v>
      </c>
      <c r="B6557" t="s">
        <v>5161</v>
      </c>
      <c r="C6557">
        <v>4</v>
      </c>
      <c r="D6557" t="str">
        <f>VLOOKUP(Tabela26[[#This Row],[EMP]],[1]LOJA!$A:$B,2,0)</f>
        <v>ADE</v>
      </c>
      <c r="E6557">
        <v>132</v>
      </c>
      <c r="F6557" t="s">
        <v>4561</v>
      </c>
      <c r="G6557" t="s">
        <v>4560</v>
      </c>
      <c r="H6557" t="s">
        <v>3401</v>
      </c>
      <c r="I6557">
        <v>5102</v>
      </c>
      <c r="J6557" s="3">
        <v>45.8</v>
      </c>
      <c r="K6557" s="3">
        <v>26.44</v>
      </c>
      <c r="L6557">
        <v>42.27</v>
      </c>
    </row>
    <row r="6558" spans="1:12">
      <c r="A6558" s="1">
        <v>46049</v>
      </c>
      <c r="B6558" t="s">
        <v>5160</v>
      </c>
      <c r="C6558">
        <v>4</v>
      </c>
      <c r="D6558" t="str">
        <f>VLOOKUP(Tabela26[[#This Row],[EMP]],[1]LOJA!$A:$B,2,0)</f>
        <v>ADE</v>
      </c>
      <c r="E6558">
        <v>132</v>
      </c>
      <c r="F6558" t="s">
        <v>5159</v>
      </c>
      <c r="G6558" t="s">
        <v>5158</v>
      </c>
      <c r="H6558" t="s">
        <v>3408</v>
      </c>
      <c r="I6558">
        <v>5102</v>
      </c>
      <c r="J6558" s="3">
        <v>41.25</v>
      </c>
      <c r="K6558" s="3">
        <v>25.35</v>
      </c>
      <c r="L6558">
        <v>38.549999999999997</v>
      </c>
    </row>
    <row r="6559" spans="1:12">
      <c r="A6559" s="1">
        <v>46049</v>
      </c>
      <c r="B6559" t="s">
        <v>5157</v>
      </c>
      <c r="C6559">
        <v>4</v>
      </c>
      <c r="D6559" t="str">
        <f>VLOOKUP(Tabela26[[#This Row],[EMP]],[1]LOJA!$A:$B,2,0)</f>
        <v>ADE</v>
      </c>
      <c r="E6559">
        <v>132</v>
      </c>
      <c r="F6559" t="s">
        <v>4565</v>
      </c>
      <c r="G6559" t="s">
        <v>4564</v>
      </c>
      <c r="H6559" t="s">
        <v>3408</v>
      </c>
      <c r="I6559">
        <v>5102</v>
      </c>
      <c r="J6559" s="3">
        <v>179.01</v>
      </c>
      <c r="K6559" s="3">
        <v>118.15</v>
      </c>
      <c r="L6559">
        <v>34</v>
      </c>
    </row>
    <row r="6560" spans="1:12">
      <c r="A6560" s="1">
        <v>46049</v>
      </c>
      <c r="B6560" t="s">
        <v>5156</v>
      </c>
      <c r="C6560">
        <v>4</v>
      </c>
      <c r="D6560" t="str">
        <f>VLOOKUP(Tabela26[[#This Row],[EMP]],[1]LOJA!$A:$B,2,0)</f>
        <v>ADE</v>
      </c>
      <c r="E6560">
        <v>132</v>
      </c>
      <c r="F6560" t="s">
        <v>4574</v>
      </c>
      <c r="G6560" t="s">
        <v>4573</v>
      </c>
      <c r="H6560" t="s">
        <v>3408</v>
      </c>
      <c r="I6560">
        <v>5102</v>
      </c>
      <c r="J6560" s="3">
        <v>135</v>
      </c>
      <c r="K6560" s="3">
        <v>70.97</v>
      </c>
      <c r="L6560">
        <v>47.43</v>
      </c>
    </row>
    <row r="6561" spans="1:12">
      <c r="A6561" s="1">
        <v>46049</v>
      </c>
      <c r="B6561" t="s">
        <v>5155</v>
      </c>
      <c r="C6561">
        <v>4</v>
      </c>
      <c r="D6561" t="str">
        <f>VLOOKUP(Tabela26[[#This Row],[EMP]],[1]LOJA!$A:$B,2,0)</f>
        <v>ADE</v>
      </c>
      <c r="E6561">
        <v>132</v>
      </c>
      <c r="F6561" t="s">
        <v>4565</v>
      </c>
      <c r="G6561" t="s">
        <v>4564</v>
      </c>
      <c r="H6561" t="s">
        <v>3408</v>
      </c>
      <c r="I6561">
        <v>5102</v>
      </c>
      <c r="J6561" s="3">
        <v>70</v>
      </c>
      <c r="K6561" s="3">
        <v>47.38</v>
      </c>
      <c r="L6561">
        <v>32.31</v>
      </c>
    </row>
    <row r="6562" spans="1:12">
      <c r="A6562" s="1">
        <v>46049</v>
      </c>
      <c r="B6562" t="s">
        <v>5154</v>
      </c>
      <c r="C6562">
        <v>4</v>
      </c>
      <c r="D6562" t="str">
        <f>VLOOKUP(Tabela26[[#This Row],[EMP]],[1]LOJA!$A:$B,2,0)</f>
        <v>ADE</v>
      </c>
      <c r="E6562">
        <v>109</v>
      </c>
      <c r="F6562" t="s">
        <v>3403</v>
      </c>
      <c r="G6562" t="s">
        <v>3402</v>
      </c>
      <c r="H6562" t="s">
        <v>3401</v>
      </c>
      <c r="I6562">
        <v>5405</v>
      </c>
      <c r="J6562" s="3">
        <v>85</v>
      </c>
      <c r="K6562" s="3">
        <v>49.24</v>
      </c>
      <c r="L6562">
        <v>42.07</v>
      </c>
    </row>
    <row r="6563" spans="1:12">
      <c r="A6563" s="1">
        <v>46049</v>
      </c>
      <c r="B6563" t="s">
        <v>5153</v>
      </c>
      <c r="C6563">
        <v>4</v>
      </c>
      <c r="D6563" t="str">
        <f>VLOOKUP(Tabela26[[#This Row],[EMP]],[1]LOJA!$A:$B,2,0)</f>
        <v>ADE</v>
      </c>
      <c r="E6563">
        <v>132</v>
      </c>
      <c r="F6563" t="s">
        <v>3403</v>
      </c>
      <c r="G6563" t="s">
        <v>3402</v>
      </c>
      <c r="H6563" t="s">
        <v>3401</v>
      </c>
      <c r="I6563">
        <v>5405</v>
      </c>
      <c r="J6563" s="3">
        <v>90</v>
      </c>
      <c r="K6563" s="3">
        <v>33.270000000000003</v>
      </c>
      <c r="L6563">
        <v>63.03</v>
      </c>
    </row>
    <row r="6564" spans="1:12">
      <c r="A6564" s="1">
        <v>46049</v>
      </c>
      <c r="B6564" t="s">
        <v>5152</v>
      </c>
      <c r="C6564">
        <v>4</v>
      </c>
      <c r="D6564" t="str">
        <f>VLOOKUP(Tabela26[[#This Row],[EMP]],[1]LOJA!$A:$B,2,0)</f>
        <v>ADE</v>
      </c>
      <c r="E6564">
        <v>132</v>
      </c>
      <c r="F6564" t="s">
        <v>4568</v>
      </c>
      <c r="G6564" t="s">
        <v>4567</v>
      </c>
      <c r="H6564" t="s">
        <v>3408</v>
      </c>
      <c r="I6564">
        <v>5405</v>
      </c>
      <c r="J6564" s="3">
        <v>255.78</v>
      </c>
      <c r="K6564" s="3">
        <v>131.18</v>
      </c>
      <c r="L6564">
        <v>48.71</v>
      </c>
    </row>
    <row r="6565" spans="1:12">
      <c r="A6565" s="1">
        <v>46049</v>
      </c>
      <c r="B6565" t="s">
        <v>5151</v>
      </c>
      <c r="C6565">
        <v>4</v>
      </c>
      <c r="D6565" t="str">
        <f>VLOOKUP(Tabela26[[#This Row],[EMP]],[1]LOJA!$A:$B,2,0)</f>
        <v>ADE</v>
      </c>
      <c r="E6565">
        <v>132</v>
      </c>
      <c r="F6565" t="s">
        <v>3403</v>
      </c>
      <c r="G6565" t="s">
        <v>3402</v>
      </c>
      <c r="H6565" t="s">
        <v>3401</v>
      </c>
      <c r="I6565">
        <v>5102</v>
      </c>
      <c r="J6565" s="3">
        <v>283</v>
      </c>
      <c r="K6565" s="3">
        <v>138.38999999999999</v>
      </c>
      <c r="L6565">
        <v>51.1</v>
      </c>
    </row>
    <row r="6566" spans="1:12">
      <c r="A6566" s="1">
        <v>46049</v>
      </c>
      <c r="B6566" t="s">
        <v>5150</v>
      </c>
      <c r="C6566">
        <v>4</v>
      </c>
      <c r="D6566" t="str">
        <f>VLOOKUP(Tabela26[[#This Row],[EMP]],[1]LOJA!$A:$B,2,0)</f>
        <v>ADE</v>
      </c>
      <c r="E6566">
        <v>132</v>
      </c>
      <c r="F6566" t="s">
        <v>3403</v>
      </c>
      <c r="G6566" t="s">
        <v>3402</v>
      </c>
      <c r="H6566" t="s">
        <v>3401</v>
      </c>
      <c r="I6566">
        <v>5102</v>
      </c>
      <c r="J6566" s="3">
        <v>4</v>
      </c>
      <c r="K6566" s="3">
        <v>2.2400000000000002</v>
      </c>
      <c r="L6566">
        <v>44</v>
      </c>
    </row>
    <row r="6567" spans="1:12">
      <c r="A6567" s="1">
        <v>46049</v>
      </c>
      <c r="B6567" t="s">
        <v>5149</v>
      </c>
      <c r="C6567">
        <v>4</v>
      </c>
      <c r="D6567" t="str">
        <f>VLOOKUP(Tabela26[[#This Row],[EMP]],[1]LOJA!$A:$B,2,0)</f>
        <v>ADE</v>
      </c>
      <c r="E6567">
        <v>132</v>
      </c>
      <c r="F6567" t="s">
        <v>3403</v>
      </c>
      <c r="G6567" t="s">
        <v>3402</v>
      </c>
      <c r="H6567" t="s">
        <v>3401</v>
      </c>
      <c r="I6567">
        <v>5102</v>
      </c>
      <c r="J6567" s="3">
        <v>108.75</v>
      </c>
      <c r="K6567" s="3">
        <v>68.31</v>
      </c>
      <c r="L6567">
        <v>37.19</v>
      </c>
    </row>
    <row r="6568" spans="1:12">
      <c r="A6568" s="1">
        <v>46049</v>
      </c>
      <c r="B6568" t="s">
        <v>5148</v>
      </c>
      <c r="C6568">
        <v>16</v>
      </c>
      <c r="D6568" t="str">
        <f>VLOOKUP(Tabela26[[#This Row],[EMP]],[1]LOJA!$A:$B,2,0)</f>
        <v>AG LINDAS</v>
      </c>
      <c r="E6568">
        <v>240</v>
      </c>
      <c r="F6568" t="s">
        <v>3780</v>
      </c>
      <c r="G6568" t="s">
        <v>3437</v>
      </c>
      <c r="H6568" t="s">
        <v>3401</v>
      </c>
      <c r="I6568">
        <v>5102</v>
      </c>
      <c r="J6568" s="3">
        <v>48</v>
      </c>
      <c r="K6568" s="3">
        <v>26.94</v>
      </c>
      <c r="L6568">
        <v>43.88</v>
      </c>
    </row>
    <row r="6569" spans="1:12">
      <c r="A6569" s="1">
        <v>46049</v>
      </c>
      <c r="B6569" t="s">
        <v>5147</v>
      </c>
      <c r="C6569">
        <v>16</v>
      </c>
      <c r="D6569" t="str">
        <f>VLOOKUP(Tabela26[[#This Row],[EMP]],[1]LOJA!$A:$B,2,0)</f>
        <v>AG LINDAS</v>
      </c>
      <c r="E6569">
        <v>240</v>
      </c>
      <c r="F6569" t="s">
        <v>3786</v>
      </c>
      <c r="G6569" t="s">
        <v>3785</v>
      </c>
      <c r="H6569" t="s">
        <v>3401</v>
      </c>
      <c r="I6569">
        <v>5102</v>
      </c>
      <c r="J6569" s="3">
        <v>683</v>
      </c>
      <c r="K6569" s="3">
        <v>410.48</v>
      </c>
      <c r="L6569">
        <v>39.9</v>
      </c>
    </row>
    <row r="6570" spans="1:12">
      <c r="A6570" s="1">
        <v>46049</v>
      </c>
      <c r="B6570" t="s">
        <v>5146</v>
      </c>
      <c r="C6570">
        <v>16</v>
      </c>
      <c r="D6570" t="str">
        <f>VLOOKUP(Tabela26[[#This Row],[EMP]],[1]LOJA!$A:$B,2,0)</f>
        <v>AG LINDAS</v>
      </c>
      <c r="E6570">
        <v>240</v>
      </c>
      <c r="F6570" t="s">
        <v>4508</v>
      </c>
      <c r="G6570" t="s">
        <v>3437</v>
      </c>
      <c r="H6570" t="s">
        <v>3401</v>
      </c>
      <c r="I6570">
        <v>5102</v>
      </c>
      <c r="J6570" s="3">
        <v>39</v>
      </c>
      <c r="K6570" s="3">
        <v>22.78</v>
      </c>
      <c r="L6570">
        <v>41.59</v>
      </c>
    </row>
    <row r="6571" spans="1:12">
      <c r="A6571" s="1">
        <v>46049</v>
      </c>
      <c r="B6571" t="s">
        <v>5145</v>
      </c>
      <c r="C6571">
        <v>16</v>
      </c>
      <c r="D6571" t="str">
        <f>VLOOKUP(Tabela26[[#This Row],[EMP]],[1]LOJA!$A:$B,2,0)</f>
        <v>AG LINDAS</v>
      </c>
      <c r="E6571">
        <v>240</v>
      </c>
      <c r="F6571" t="s">
        <v>4503</v>
      </c>
      <c r="G6571" t="s">
        <v>3437</v>
      </c>
      <c r="H6571" t="s">
        <v>3401</v>
      </c>
      <c r="I6571">
        <v>5405</v>
      </c>
      <c r="J6571" s="3">
        <v>68.3</v>
      </c>
      <c r="K6571" s="3">
        <v>34.9</v>
      </c>
      <c r="L6571">
        <v>48.9</v>
      </c>
    </row>
    <row r="6572" spans="1:12">
      <c r="A6572" s="1">
        <v>46049</v>
      </c>
      <c r="B6572" t="s">
        <v>5144</v>
      </c>
      <c r="C6572">
        <v>16</v>
      </c>
      <c r="D6572" t="str">
        <f>VLOOKUP(Tabela26[[#This Row],[EMP]],[1]LOJA!$A:$B,2,0)</f>
        <v>AG LINDAS</v>
      </c>
      <c r="E6572">
        <v>240</v>
      </c>
      <c r="F6572" t="s">
        <v>4516</v>
      </c>
      <c r="G6572" t="s">
        <v>4515</v>
      </c>
      <c r="H6572" t="s">
        <v>3401</v>
      </c>
      <c r="I6572">
        <v>5102</v>
      </c>
      <c r="J6572" s="3">
        <v>57.51</v>
      </c>
      <c r="K6572" s="3">
        <v>31.15</v>
      </c>
      <c r="L6572">
        <v>45.84</v>
      </c>
    </row>
    <row r="6573" spans="1:12">
      <c r="A6573" s="1">
        <v>46049</v>
      </c>
      <c r="B6573" t="s">
        <v>5143</v>
      </c>
      <c r="C6573">
        <v>16</v>
      </c>
      <c r="D6573" t="str">
        <f>VLOOKUP(Tabela26[[#This Row],[EMP]],[1]LOJA!$A:$B,2,0)</f>
        <v>AG LINDAS</v>
      </c>
      <c r="E6573">
        <v>240</v>
      </c>
      <c r="F6573" t="s">
        <v>3832</v>
      </c>
      <c r="G6573" t="s">
        <v>3831</v>
      </c>
      <c r="H6573" t="s">
        <v>3401</v>
      </c>
      <c r="I6573">
        <v>5405</v>
      </c>
      <c r="J6573" s="3">
        <v>650</v>
      </c>
      <c r="K6573" s="3">
        <v>376.39</v>
      </c>
      <c r="L6573">
        <v>42.09</v>
      </c>
    </row>
    <row r="6574" spans="1:12">
      <c r="A6574" s="1">
        <v>46049</v>
      </c>
      <c r="B6574" t="s">
        <v>5142</v>
      </c>
      <c r="C6574">
        <v>16</v>
      </c>
      <c r="D6574" t="str">
        <f>VLOOKUP(Tabela26[[#This Row],[EMP]],[1]LOJA!$A:$B,2,0)</f>
        <v>AG LINDAS</v>
      </c>
      <c r="E6574">
        <v>240</v>
      </c>
      <c r="F6574" t="s">
        <v>3796</v>
      </c>
      <c r="G6574" t="s">
        <v>3795</v>
      </c>
      <c r="H6574" t="s">
        <v>3408</v>
      </c>
      <c r="I6574">
        <v>5405</v>
      </c>
      <c r="J6574" s="3">
        <v>333.3</v>
      </c>
      <c r="K6574" s="3">
        <v>184.01</v>
      </c>
      <c r="L6574">
        <v>44.79</v>
      </c>
    </row>
    <row r="6575" spans="1:12">
      <c r="A6575" s="1">
        <v>46049</v>
      </c>
      <c r="B6575" t="s">
        <v>5141</v>
      </c>
      <c r="C6575">
        <v>16</v>
      </c>
      <c r="D6575" t="str">
        <f>VLOOKUP(Tabela26[[#This Row],[EMP]],[1]LOJA!$A:$B,2,0)</f>
        <v>AG LINDAS</v>
      </c>
      <c r="E6575">
        <v>240</v>
      </c>
      <c r="F6575" t="s">
        <v>5140</v>
      </c>
      <c r="G6575" t="s">
        <v>3437</v>
      </c>
      <c r="H6575" t="s">
        <v>3401</v>
      </c>
      <c r="I6575">
        <v>5405</v>
      </c>
      <c r="J6575" s="3">
        <v>50</v>
      </c>
      <c r="K6575" s="3">
        <v>22.98</v>
      </c>
      <c r="L6575">
        <v>54.04</v>
      </c>
    </row>
    <row r="6576" spans="1:12">
      <c r="A6576" s="1">
        <v>46049</v>
      </c>
      <c r="B6576" t="s">
        <v>5139</v>
      </c>
      <c r="C6576">
        <v>16</v>
      </c>
      <c r="D6576" t="str">
        <f>VLOOKUP(Tabela26[[#This Row],[EMP]],[1]LOJA!$A:$B,2,0)</f>
        <v>AG LINDAS</v>
      </c>
      <c r="E6576">
        <v>240</v>
      </c>
      <c r="F6576" t="s">
        <v>3804</v>
      </c>
      <c r="G6576" t="s">
        <v>3803</v>
      </c>
      <c r="H6576" t="s">
        <v>3401</v>
      </c>
      <c r="I6576">
        <v>5102</v>
      </c>
      <c r="J6576" s="3">
        <v>30</v>
      </c>
      <c r="K6576" s="3">
        <v>14.64</v>
      </c>
      <c r="L6576">
        <v>51.2</v>
      </c>
    </row>
    <row r="6577" spans="1:12">
      <c r="A6577" s="1">
        <v>46049</v>
      </c>
      <c r="B6577" t="s">
        <v>5138</v>
      </c>
      <c r="C6577">
        <v>16</v>
      </c>
      <c r="D6577" t="str">
        <f>VLOOKUP(Tabela26[[#This Row],[EMP]],[1]LOJA!$A:$B,2,0)</f>
        <v>AG LINDAS</v>
      </c>
      <c r="E6577">
        <v>240</v>
      </c>
      <c r="F6577" t="s">
        <v>5137</v>
      </c>
      <c r="G6577" t="s">
        <v>3437</v>
      </c>
      <c r="H6577" t="s">
        <v>3401</v>
      </c>
      <c r="I6577">
        <v>5102</v>
      </c>
      <c r="J6577" s="3">
        <v>212.9</v>
      </c>
      <c r="K6577" s="3">
        <v>135.28</v>
      </c>
      <c r="L6577">
        <v>36.46</v>
      </c>
    </row>
    <row r="6578" spans="1:12">
      <c r="A6578" s="1">
        <v>46049</v>
      </c>
      <c r="B6578" t="s">
        <v>5136</v>
      </c>
      <c r="C6578">
        <v>16</v>
      </c>
      <c r="D6578" t="str">
        <f>VLOOKUP(Tabela26[[#This Row],[EMP]],[1]LOJA!$A:$B,2,0)</f>
        <v>AG LINDAS</v>
      </c>
      <c r="E6578">
        <v>240</v>
      </c>
      <c r="F6578" t="s">
        <v>4503</v>
      </c>
      <c r="G6578" t="s">
        <v>3437</v>
      </c>
      <c r="H6578" t="s">
        <v>3401</v>
      </c>
      <c r="I6578">
        <v>5102</v>
      </c>
      <c r="J6578" s="3">
        <v>54.9</v>
      </c>
      <c r="K6578" s="3">
        <v>32.69</v>
      </c>
      <c r="L6578">
        <v>40.46</v>
      </c>
    </row>
    <row r="6579" spans="1:12">
      <c r="A6579" s="1">
        <v>46049</v>
      </c>
      <c r="B6579" t="s">
        <v>5135</v>
      </c>
      <c r="C6579">
        <v>16</v>
      </c>
      <c r="D6579" t="str">
        <f>VLOOKUP(Tabela26[[#This Row],[EMP]],[1]LOJA!$A:$B,2,0)</f>
        <v>AG LINDAS</v>
      </c>
      <c r="E6579">
        <v>240</v>
      </c>
      <c r="F6579" t="s">
        <v>5133</v>
      </c>
      <c r="G6579" t="s">
        <v>5132</v>
      </c>
      <c r="H6579" t="s">
        <v>3401</v>
      </c>
      <c r="I6579">
        <v>5405</v>
      </c>
      <c r="J6579" s="3">
        <v>120</v>
      </c>
      <c r="K6579" s="3">
        <v>67.48</v>
      </c>
      <c r="L6579">
        <v>43.77</v>
      </c>
    </row>
    <row r="6580" spans="1:12">
      <c r="A6580" s="1">
        <v>46049</v>
      </c>
      <c r="B6580" t="s">
        <v>5134</v>
      </c>
      <c r="C6580">
        <v>16</v>
      </c>
      <c r="D6580" t="str">
        <f>VLOOKUP(Tabela26[[#This Row],[EMP]],[1]LOJA!$A:$B,2,0)</f>
        <v>AG LINDAS</v>
      </c>
      <c r="E6580">
        <v>240</v>
      </c>
      <c r="F6580" t="s">
        <v>5133</v>
      </c>
      <c r="G6580" t="s">
        <v>5132</v>
      </c>
      <c r="H6580" t="s">
        <v>3401</v>
      </c>
      <c r="I6580">
        <v>5405</v>
      </c>
      <c r="J6580" s="3">
        <v>1200</v>
      </c>
      <c r="K6580" s="3">
        <v>738.79</v>
      </c>
      <c r="L6580">
        <v>38.43</v>
      </c>
    </row>
    <row r="6581" spans="1:12">
      <c r="A6581" s="1">
        <v>46049</v>
      </c>
      <c r="B6581" t="s">
        <v>5131</v>
      </c>
      <c r="C6581">
        <v>16</v>
      </c>
      <c r="D6581" t="str">
        <f>VLOOKUP(Tabela26[[#This Row],[EMP]],[1]LOJA!$A:$B,2,0)</f>
        <v>AG LINDAS</v>
      </c>
      <c r="E6581">
        <v>240</v>
      </c>
      <c r="F6581" t="s">
        <v>3780</v>
      </c>
      <c r="G6581" t="s">
        <v>3437</v>
      </c>
      <c r="H6581" t="s">
        <v>3401</v>
      </c>
      <c r="I6581">
        <v>5102</v>
      </c>
      <c r="J6581" s="3">
        <v>35.1</v>
      </c>
      <c r="K6581" s="3">
        <v>19.32</v>
      </c>
      <c r="L6581">
        <v>44.96</v>
      </c>
    </row>
    <row r="6582" spans="1:12">
      <c r="A6582" s="1">
        <v>46049</v>
      </c>
      <c r="B6582" t="s">
        <v>5130</v>
      </c>
      <c r="C6582">
        <v>16</v>
      </c>
      <c r="D6582" t="str">
        <f>VLOOKUP(Tabela26[[#This Row],[EMP]],[1]LOJA!$A:$B,2,0)</f>
        <v>AG LINDAS</v>
      </c>
      <c r="E6582">
        <v>240</v>
      </c>
      <c r="F6582" t="s">
        <v>5129</v>
      </c>
      <c r="G6582" t="s">
        <v>5128</v>
      </c>
      <c r="H6582" t="s">
        <v>3401</v>
      </c>
      <c r="I6582">
        <v>5102</v>
      </c>
      <c r="J6582" s="3">
        <v>92.81</v>
      </c>
      <c r="K6582" s="3">
        <v>40.21</v>
      </c>
      <c r="L6582">
        <v>56.67</v>
      </c>
    </row>
    <row r="6583" spans="1:12">
      <c r="A6583" s="1">
        <v>46049</v>
      </c>
      <c r="B6583" t="s">
        <v>5127</v>
      </c>
      <c r="C6583">
        <v>16</v>
      </c>
      <c r="D6583" t="str">
        <f>VLOOKUP(Tabela26[[#This Row],[EMP]],[1]LOJA!$A:$B,2,0)</f>
        <v>AG LINDAS</v>
      </c>
      <c r="E6583">
        <v>240</v>
      </c>
      <c r="F6583" t="s">
        <v>5126</v>
      </c>
      <c r="G6583" t="s">
        <v>3437</v>
      </c>
      <c r="H6583" t="s">
        <v>3401</v>
      </c>
      <c r="I6583">
        <v>5102</v>
      </c>
      <c r="J6583" s="3">
        <v>119.1</v>
      </c>
      <c r="K6583" s="3">
        <v>65.66</v>
      </c>
      <c r="L6583">
        <v>44.87</v>
      </c>
    </row>
    <row r="6584" spans="1:12">
      <c r="A6584" s="1">
        <v>46049</v>
      </c>
      <c r="B6584" t="s">
        <v>5125</v>
      </c>
      <c r="C6584">
        <v>16</v>
      </c>
      <c r="D6584" t="str">
        <f>VLOOKUP(Tabela26[[#This Row],[EMP]],[1]LOJA!$A:$B,2,0)</f>
        <v>AG LINDAS</v>
      </c>
      <c r="E6584">
        <v>240</v>
      </c>
      <c r="F6584" t="s">
        <v>5124</v>
      </c>
      <c r="G6584" t="s">
        <v>5123</v>
      </c>
      <c r="H6584" t="s">
        <v>3401</v>
      </c>
      <c r="I6584">
        <v>5102</v>
      </c>
      <c r="J6584" s="3">
        <v>31</v>
      </c>
      <c r="K6584" s="3">
        <v>18.02</v>
      </c>
      <c r="L6584">
        <v>41.87</v>
      </c>
    </row>
    <row r="6585" spans="1:12">
      <c r="A6585" s="1">
        <v>46049</v>
      </c>
      <c r="B6585" t="s">
        <v>5122</v>
      </c>
      <c r="C6585">
        <v>16</v>
      </c>
      <c r="D6585" t="str">
        <f>VLOOKUP(Tabela26[[#This Row],[EMP]],[1]LOJA!$A:$B,2,0)</f>
        <v>AG LINDAS</v>
      </c>
      <c r="E6585">
        <v>240</v>
      </c>
      <c r="F6585" t="s">
        <v>3572</v>
      </c>
      <c r="G6585" t="s">
        <v>3437</v>
      </c>
      <c r="H6585" t="s">
        <v>3401</v>
      </c>
      <c r="I6585">
        <v>5405</v>
      </c>
      <c r="J6585" s="3">
        <v>149.69999999999999</v>
      </c>
      <c r="K6585" s="3">
        <v>75.239999999999995</v>
      </c>
      <c r="L6585">
        <v>49.74</v>
      </c>
    </row>
    <row r="6586" spans="1:12">
      <c r="A6586" s="1">
        <v>46049</v>
      </c>
      <c r="B6586" t="s">
        <v>5121</v>
      </c>
      <c r="C6586">
        <v>16</v>
      </c>
      <c r="D6586" t="str">
        <f>VLOOKUP(Tabela26[[#This Row],[EMP]],[1]LOJA!$A:$B,2,0)</f>
        <v>AG LINDAS</v>
      </c>
      <c r="E6586">
        <v>240</v>
      </c>
      <c r="F6586" t="s">
        <v>5120</v>
      </c>
      <c r="G6586" t="s">
        <v>3437</v>
      </c>
      <c r="H6586" t="s">
        <v>3408</v>
      </c>
      <c r="I6586">
        <v>5102</v>
      </c>
      <c r="J6586" s="3">
        <v>50</v>
      </c>
      <c r="K6586" s="3">
        <v>25.59</v>
      </c>
      <c r="L6586">
        <v>48.82</v>
      </c>
    </row>
    <row r="6587" spans="1:12">
      <c r="A6587" s="1">
        <v>46049</v>
      </c>
      <c r="B6587" t="s">
        <v>5119</v>
      </c>
      <c r="C6587">
        <v>16</v>
      </c>
      <c r="D6587" t="str">
        <f>VLOOKUP(Tabela26[[#This Row],[EMP]],[1]LOJA!$A:$B,2,0)</f>
        <v>AG LINDAS</v>
      </c>
      <c r="E6587">
        <v>240</v>
      </c>
      <c r="F6587" t="s">
        <v>3780</v>
      </c>
      <c r="G6587" t="s">
        <v>3437</v>
      </c>
      <c r="H6587" t="s">
        <v>3401</v>
      </c>
      <c r="I6587">
        <v>5102</v>
      </c>
      <c r="J6587" s="3">
        <v>16.899999999999999</v>
      </c>
      <c r="K6587" s="3">
        <v>9.26</v>
      </c>
      <c r="L6587">
        <v>45.21</v>
      </c>
    </row>
    <row r="6588" spans="1:12">
      <c r="A6588" s="1">
        <v>46049</v>
      </c>
      <c r="B6588" t="s">
        <v>5118</v>
      </c>
      <c r="C6588">
        <v>16</v>
      </c>
      <c r="D6588" t="str">
        <f>VLOOKUP(Tabela26[[#This Row],[EMP]],[1]LOJA!$A:$B,2,0)</f>
        <v>AG LINDAS</v>
      </c>
      <c r="E6588">
        <v>240</v>
      </c>
      <c r="F6588" t="s">
        <v>5117</v>
      </c>
      <c r="G6588" t="s">
        <v>3437</v>
      </c>
      <c r="H6588" t="s">
        <v>3401</v>
      </c>
      <c r="I6588">
        <v>5405</v>
      </c>
      <c r="J6588" s="3">
        <v>140</v>
      </c>
      <c r="K6588" s="3">
        <v>77.52</v>
      </c>
      <c r="L6588">
        <v>44.63</v>
      </c>
    </row>
    <row r="6589" spans="1:12">
      <c r="A6589" s="1">
        <v>46049</v>
      </c>
      <c r="B6589" t="s">
        <v>5116</v>
      </c>
      <c r="C6589">
        <v>16</v>
      </c>
      <c r="D6589" t="str">
        <f>VLOOKUP(Tabela26[[#This Row],[EMP]],[1]LOJA!$A:$B,2,0)</f>
        <v>AG LINDAS</v>
      </c>
      <c r="E6589">
        <v>240</v>
      </c>
      <c r="F6589" t="s">
        <v>4516</v>
      </c>
      <c r="G6589" t="s">
        <v>4515</v>
      </c>
      <c r="H6589" t="s">
        <v>3408</v>
      </c>
      <c r="I6589">
        <v>5405</v>
      </c>
      <c r="J6589" s="3">
        <v>179.9</v>
      </c>
      <c r="K6589" s="3">
        <v>89.46</v>
      </c>
      <c r="L6589">
        <v>50.27</v>
      </c>
    </row>
    <row r="6590" spans="1:12">
      <c r="A6590" s="1">
        <v>46049</v>
      </c>
      <c r="B6590" t="s">
        <v>5115</v>
      </c>
      <c r="C6590">
        <v>16</v>
      </c>
      <c r="D6590" t="str">
        <f>VLOOKUP(Tabela26[[#This Row],[EMP]],[1]LOJA!$A:$B,2,0)</f>
        <v>AG LINDAS</v>
      </c>
      <c r="E6590">
        <v>240</v>
      </c>
      <c r="F6590" t="s">
        <v>5114</v>
      </c>
      <c r="G6590" t="s">
        <v>5113</v>
      </c>
      <c r="H6590" t="s">
        <v>3401</v>
      </c>
      <c r="I6590">
        <v>5405</v>
      </c>
      <c r="J6590" s="3">
        <v>74.599999999999994</v>
      </c>
      <c r="K6590" s="3">
        <v>40.5</v>
      </c>
      <c r="L6590">
        <v>45.71</v>
      </c>
    </row>
    <row r="6591" spans="1:12">
      <c r="A6591" s="1">
        <v>46049</v>
      </c>
      <c r="B6591" t="s">
        <v>5112</v>
      </c>
      <c r="C6591">
        <v>16</v>
      </c>
      <c r="D6591" t="str">
        <f>VLOOKUP(Tabela26[[#This Row],[EMP]],[1]LOJA!$A:$B,2,0)</f>
        <v>AG LINDAS</v>
      </c>
      <c r="E6591">
        <v>240</v>
      </c>
      <c r="F6591" t="s">
        <v>5111</v>
      </c>
      <c r="G6591" t="s">
        <v>3437</v>
      </c>
      <c r="H6591" t="s">
        <v>3401</v>
      </c>
      <c r="I6591">
        <v>5405</v>
      </c>
      <c r="J6591" s="3">
        <v>80</v>
      </c>
      <c r="K6591" s="3">
        <v>41.42</v>
      </c>
      <c r="L6591">
        <v>48.23</v>
      </c>
    </row>
    <row r="6592" spans="1:12">
      <c r="A6592" s="1">
        <v>46049</v>
      </c>
      <c r="B6592" t="s">
        <v>5110</v>
      </c>
      <c r="C6592">
        <v>14</v>
      </c>
      <c r="D6592" t="str">
        <f>VLOOKUP(Tabela26[[#This Row],[EMP]],[1]LOJA!$A:$B,2,0)</f>
        <v>S IA</v>
      </c>
      <c r="E6592">
        <v>54</v>
      </c>
      <c r="F6592" t="s">
        <v>3766</v>
      </c>
      <c r="G6592" t="s">
        <v>3765</v>
      </c>
      <c r="H6592" t="s">
        <v>3401</v>
      </c>
      <c r="I6592">
        <v>5405</v>
      </c>
      <c r="J6592" s="3">
        <v>194.75</v>
      </c>
      <c r="K6592" s="3">
        <v>107.8</v>
      </c>
      <c r="L6592">
        <v>44.65</v>
      </c>
    </row>
    <row r="6593" spans="1:12">
      <c r="A6593" s="1">
        <v>46049</v>
      </c>
      <c r="B6593" t="s">
        <v>5109</v>
      </c>
      <c r="C6593">
        <v>14</v>
      </c>
      <c r="D6593" t="str">
        <f>VLOOKUP(Tabela26[[#This Row],[EMP]],[1]LOJA!$A:$B,2,0)</f>
        <v>S IA</v>
      </c>
      <c r="E6593">
        <v>212</v>
      </c>
      <c r="F6593" t="s">
        <v>5108</v>
      </c>
      <c r="G6593" t="s">
        <v>5107</v>
      </c>
      <c r="H6593" t="s">
        <v>3430</v>
      </c>
      <c r="I6593">
        <v>5405</v>
      </c>
      <c r="J6593" s="3">
        <v>100.67</v>
      </c>
      <c r="K6593" s="3">
        <v>45.86</v>
      </c>
      <c r="L6593">
        <v>54.45</v>
      </c>
    </row>
    <row r="6594" spans="1:12">
      <c r="A6594" s="1">
        <v>46049</v>
      </c>
      <c r="B6594" t="s">
        <v>5106</v>
      </c>
      <c r="C6594">
        <v>14</v>
      </c>
      <c r="D6594" t="str">
        <f>VLOOKUP(Tabela26[[#This Row],[EMP]],[1]LOJA!$A:$B,2,0)</f>
        <v>S IA</v>
      </c>
      <c r="E6594">
        <v>54</v>
      </c>
      <c r="F6594" t="s">
        <v>5105</v>
      </c>
      <c r="G6594" t="s">
        <v>5104</v>
      </c>
      <c r="H6594" t="s">
        <v>3408</v>
      </c>
      <c r="I6594">
        <v>5405</v>
      </c>
      <c r="J6594" s="3">
        <v>158.4</v>
      </c>
      <c r="K6594" s="3">
        <v>81.97</v>
      </c>
      <c r="L6594">
        <v>48.25</v>
      </c>
    </row>
    <row r="6595" spans="1:12">
      <c r="A6595" s="1">
        <v>46049</v>
      </c>
      <c r="B6595" t="s">
        <v>5103</v>
      </c>
      <c r="C6595">
        <v>14</v>
      </c>
      <c r="D6595" t="str">
        <f>VLOOKUP(Tabela26[[#This Row],[EMP]],[1]LOJA!$A:$B,2,0)</f>
        <v>S IA</v>
      </c>
      <c r="E6595">
        <v>54</v>
      </c>
      <c r="F6595" t="s">
        <v>3762</v>
      </c>
      <c r="G6595" t="s">
        <v>3761</v>
      </c>
      <c r="H6595" t="s">
        <v>3430</v>
      </c>
      <c r="I6595">
        <v>5405</v>
      </c>
      <c r="J6595" s="3">
        <v>439.55</v>
      </c>
      <c r="K6595" s="3">
        <v>223.49</v>
      </c>
      <c r="L6595">
        <v>49.15</v>
      </c>
    </row>
    <row r="6596" spans="1:12">
      <c r="A6596" s="1">
        <v>46049</v>
      </c>
      <c r="B6596" t="s">
        <v>5102</v>
      </c>
      <c r="C6596">
        <v>14</v>
      </c>
      <c r="D6596" t="str">
        <f>VLOOKUP(Tabela26[[#This Row],[EMP]],[1]LOJA!$A:$B,2,0)</f>
        <v>S IA</v>
      </c>
      <c r="E6596">
        <v>54</v>
      </c>
      <c r="F6596" t="s">
        <v>3762</v>
      </c>
      <c r="G6596" t="s">
        <v>3761</v>
      </c>
      <c r="H6596" t="s">
        <v>3430</v>
      </c>
      <c r="I6596">
        <v>5102</v>
      </c>
      <c r="J6596" s="3">
        <v>1203.98</v>
      </c>
      <c r="K6596" s="3">
        <v>732.78</v>
      </c>
      <c r="L6596">
        <v>39.14</v>
      </c>
    </row>
    <row r="6597" spans="1:12">
      <c r="A6597" s="1">
        <v>46049</v>
      </c>
      <c r="B6597" t="s">
        <v>5101</v>
      </c>
      <c r="C6597">
        <v>14</v>
      </c>
      <c r="D6597" t="str">
        <f>VLOOKUP(Tabela26[[#This Row],[EMP]],[1]LOJA!$A:$B,2,0)</f>
        <v>S IA</v>
      </c>
      <c r="E6597">
        <v>212</v>
      </c>
      <c r="F6597" t="s">
        <v>5100</v>
      </c>
      <c r="G6597" t="s">
        <v>5099</v>
      </c>
      <c r="H6597" t="s">
        <v>3401</v>
      </c>
      <c r="I6597">
        <v>1202</v>
      </c>
      <c r="J6597" s="3">
        <v>-8.99</v>
      </c>
      <c r="K6597" s="3">
        <v>-4.68</v>
      </c>
      <c r="L6597">
        <v>47.94</v>
      </c>
    </row>
    <row r="6598" spans="1:12">
      <c r="A6598" s="1">
        <v>46049</v>
      </c>
      <c r="B6598" t="s">
        <v>5098</v>
      </c>
      <c r="C6598">
        <v>14</v>
      </c>
      <c r="D6598" t="str">
        <f>VLOOKUP(Tabela26[[#This Row],[EMP]],[1]LOJA!$A:$B,2,0)</f>
        <v>S IA</v>
      </c>
      <c r="E6598">
        <v>212</v>
      </c>
      <c r="F6598" t="s">
        <v>3478</v>
      </c>
      <c r="G6598" t="s">
        <v>3477</v>
      </c>
      <c r="H6598" t="s">
        <v>3401</v>
      </c>
      <c r="I6598">
        <v>5405</v>
      </c>
      <c r="J6598" s="3">
        <v>52</v>
      </c>
      <c r="K6598" s="3">
        <v>23.18</v>
      </c>
      <c r="L6598">
        <v>55.42</v>
      </c>
    </row>
    <row r="6599" spans="1:12">
      <c r="A6599" s="1">
        <v>46049</v>
      </c>
      <c r="B6599" t="s">
        <v>5097</v>
      </c>
      <c r="C6599">
        <v>14</v>
      </c>
      <c r="D6599" t="str">
        <f>VLOOKUP(Tabela26[[#This Row],[EMP]],[1]LOJA!$A:$B,2,0)</f>
        <v>S IA</v>
      </c>
      <c r="E6599">
        <v>212</v>
      </c>
      <c r="F6599" t="s">
        <v>5096</v>
      </c>
      <c r="G6599" t="s">
        <v>5095</v>
      </c>
      <c r="H6599" t="s">
        <v>3537</v>
      </c>
      <c r="I6599">
        <v>5405</v>
      </c>
      <c r="J6599" s="3">
        <v>261.63</v>
      </c>
      <c r="K6599" s="3">
        <v>177.35</v>
      </c>
      <c r="L6599">
        <v>32.21</v>
      </c>
    </row>
    <row r="6600" spans="1:12">
      <c r="A6600" s="1">
        <v>46049</v>
      </c>
      <c r="B6600" t="s">
        <v>5094</v>
      </c>
      <c r="C6600">
        <v>14</v>
      </c>
      <c r="D6600" t="str">
        <f>VLOOKUP(Tabela26[[#This Row],[EMP]],[1]LOJA!$A:$B,2,0)</f>
        <v>S IA</v>
      </c>
      <c r="E6600">
        <v>212</v>
      </c>
      <c r="F6600" t="s">
        <v>4498</v>
      </c>
      <c r="G6600" t="s">
        <v>4497</v>
      </c>
      <c r="H6600" t="s">
        <v>4249</v>
      </c>
      <c r="I6600">
        <v>5405</v>
      </c>
      <c r="J6600" s="3">
        <v>422.1</v>
      </c>
      <c r="K6600" s="3">
        <v>168.97</v>
      </c>
      <c r="L6600">
        <v>59.97</v>
      </c>
    </row>
    <row r="6601" spans="1:12">
      <c r="A6601" s="1">
        <v>46049</v>
      </c>
      <c r="B6601" t="s">
        <v>5093</v>
      </c>
      <c r="C6601">
        <v>14</v>
      </c>
      <c r="D6601" t="str">
        <f>VLOOKUP(Tabela26[[#This Row],[EMP]],[1]LOJA!$A:$B,2,0)</f>
        <v>S IA</v>
      </c>
      <c r="E6601">
        <v>54</v>
      </c>
      <c r="F6601" t="s">
        <v>5092</v>
      </c>
      <c r="G6601" t="s">
        <v>5091</v>
      </c>
      <c r="H6601" t="s">
        <v>3401</v>
      </c>
      <c r="I6601">
        <v>5405</v>
      </c>
      <c r="J6601" s="3">
        <v>165</v>
      </c>
      <c r="K6601" s="3">
        <v>97.34</v>
      </c>
      <c r="L6601">
        <v>41.01</v>
      </c>
    </row>
    <row r="6602" spans="1:12">
      <c r="A6602" s="1">
        <v>46049</v>
      </c>
      <c r="B6602" t="s">
        <v>5090</v>
      </c>
      <c r="C6602">
        <v>14</v>
      </c>
      <c r="D6602" t="str">
        <f>VLOOKUP(Tabela26[[#This Row],[EMP]],[1]LOJA!$A:$B,2,0)</f>
        <v>S IA</v>
      </c>
      <c r="E6602">
        <v>54</v>
      </c>
      <c r="F6602" t="s">
        <v>5089</v>
      </c>
      <c r="G6602" t="s">
        <v>5088</v>
      </c>
      <c r="H6602" t="s">
        <v>3430</v>
      </c>
      <c r="I6602">
        <v>5405</v>
      </c>
      <c r="J6602" s="3">
        <v>96.85</v>
      </c>
      <c r="K6602" s="3">
        <v>43.46</v>
      </c>
      <c r="L6602">
        <v>55.13</v>
      </c>
    </row>
    <row r="6603" spans="1:12">
      <c r="A6603" s="1">
        <v>46049</v>
      </c>
      <c r="B6603" t="s">
        <v>5087</v>
      </c>
      <c r="C6603">
        <v>14</v>
      </c>
      <c r="D6603" t="str">
        <f>VLOOKUP(Tabela26[[#This Row],[EMP]],[1]LOJA!$A:$B,2,0)</f>
        <v>S IA</v>
      </c>
      <c r="E6603">
        <v>54</v>
      </c>
      <c r="F6603" t="s">
        <v>5086</v>
      </c>
      <c r="G6603" t="s">
        <v>5085</v>
      </c>
      <c r="H6603" t="s">
        <v>3430</v>
      </c>
      <c r="I6603">
        <v>5102</v>
      </c>
      <c r="J6603" s="3">
        <v>100</v>
      </c>
      <c r="K6603" s="3">
        <v>51.52</v>
      </c>
      <c r="L6603">
        <v>48.48</v>
      </c>
    </row>
    <row r="6604" spans="1:12">
      <c r="A6604" s="1">
        <v>46049</v>
      </c>
      <c r="B6604" t="s">
        <v>5084</v>
      </c>
      <c r="C6604">
        <v>14</v>
      </c>
      <c r="D6604" t="str">
        <f>VLOOKUP(Tabela26[[#This Row],[EMP]],[1]LOJA!$A:$B,2,0)</f>
        <v>S IA</v>
      </c>
      <c r="E6604">
        <v>212</v>
      </c>
      <c r="F6604" t="s">
        <v>5083</v>
      </c>
      <c r="G6604" t="s">
        <v>5082</v>
      </c>
      <c r="H6604" t="s">
        <v>3401</v>
      </c>
      <c r="I6604">
        <v>5405</v>
      </c>
      <c r="J6604" s="3">
        <v>330</v>
      </c>
      <c r="K6604" s="3">
        <v>131.97</v>
      </c>
      <c r="L6604">
        <v>60.01</v>
      </c>
    </row>
    <row r="6605" spans="1:12">
      <c r="A6605" s="1">
        <v>46049</v>
      </c>
      <c r="B6605" t="s">
        <v>5081</v>
      </c>
      <c r="C6605">
        <v>14</v>
      </c>
      <c r="D6605" t="str">
        <f>VLOOKUP(Tabela26[[#This Row],[EMP]],[1]LOJA!$A:$B,2,0)</f>
        <v>S IA</v>
      </c>
      <c r="E6605">
        <v>54</v>
      </c>
      <c r="F6605" t="s">
        <v>5080</v>
      </c>
      <c r="G6605" t="s">
        <v>5079</v>
      </c>
      <c r="H6605" t="s">
        <v>3430</v>
      </c>
      <c r="I6605">
        <v>5102</v>
      </c>
      <c r="J6605" s="3">
        <v>1671.56</v>
      </c>
      <c r="K6605" s="3">
        <v>893.88</v>
      </c>
      <c r="L6605">
        <v>46.52</v>
      </c>
    </row>
    <row r="6606" spans="1:12">
      <c r="A6606" s="1">
        <v>46049</v>
      </c>
      <c r="B6606" t="s">
        <v>5078</v>
      </c>
      <c r="C6606">
        <v>14</v>
      </c>
      <c r="D6606" t="str">
        <f>VLOOKUP(Tabela26[[#This Row],[EMP]],[1]LOJA!$A:$B,2,0)</f>
        <v>S IA</v>
      </c>
      <c r="E6606">
        <v>212</v>
      </c>
      <c r="F6606" t="s">
        <v>3759</v>
      </c>
      <c r="G6606" t="s">
        <v>3758</v>
      </c>
      <c r="H6606" t="s">
        <v>3408</v>
      </c>
      <c r="I6606">
        <v>5405</v>
      </c>
      <c r="J6606" s="3">
        <v>445.8</v>
      </c>
      <c r="K6606" s="3">
        <v>260.13</v>
      </c>
      <c r="L6606">
        <v>41.65</v>
      </c>
    </row>
    <row r="6607" spans="1:12">
      <c r="A6607" s="1">
        <v>46049</v>
      </c>
      <c r="B6607" t="s">
        <v>5077</v>
      </c>
      <c r="C6607">
        <v>14</v>
      </c>
      <c r="D6607" t="str">
        <f>VLOOKUP(Tabela26[[#This Row],[EMP]],[1]LOJA!$A:$B,2,0)</f>
        <v>S IA</v>
      </c>
      <c r="E6607">
        <v>54</v>
      </c>
      <c r="F6607" t="s">
        <v>5076</v>
      </c>
      <c r="G6607" t="s">
        <v>5075</v>
      </c>
      <c r="H6607" t="s">
        <v>3408</v>
      </c>
      <c r="I6607">
        <v>5405</v>
      </c>
      <c r="J6607" s="3">
        <v>68</v>
      </c>
      <c r="K6607" s="3">
        <v>30.73</v>
      </c>
      <c r="L6607">
        <v>54.81</v>
      </c>
    </row>
    <row r="6608" spans="1:12">
      <c r="A6608" s="1">
        <v>46049</v>
      </c>
      <c r="B6608" t="s">
        <v>5074</v>
      </c>
      <c r="C6608">
        <v>12</v>
      </c>
      <c r="D6608" t="str">
        <f>VLOOKUP(Tabela26[[#This Row],[EMP]],[1]LOJA!$A:$B,2,0)</f>
        <v>SOFNORTE</v>
      </c>
      <c r="E6608">
        <v>60</v>
      </c>
      <c r="F6608" t="s">
        <v>3687</v>
      </c>
      <c r="G6608" t="s">
        <v>3686</v>
      </c>
      <c r="H6608" t="s">
        <v>3401</v>
      </c>
      <c r="I6608">
        <v>5405</v>
      </c>
      <c r="J6608" s="3">
        <v>279</v>
      </c>
      <c r="K6608" s="3">
        <v>144.36000000000001</v>
      </c>
      <c r="L6608">
        <v>48.26</v>
      </c>
    </row>
    <row r="6609" spans="1:12">
      <c r="A6609" s="1">
        <v>46049</v>
      </c>
      <c r="B6609" t="s">
        <v>5073</v>
      </c>
      <c r="C6609">
        <v>12</v>
      </c>
      <c r="D6609" t="str">
        <f>VLOOKUP(Tabela26[[#This Row],[EMP]],[1]LOJA!$A:$B,2,0)</f>
        <v>SOFNORTE</v>
      </c>
      <c r="E6609">
        <v>60</v>
      </c>
      <c r="F6609" t="s">
        <v>3737</v>
      </c>
      <c r="G6609" t="s">
        <v>3736</v>
      </c>
      <c r="H6609" t="s">
        <v>3520</v>
      </c>
      <c r="I6609">
        <v>5405</v>
      </c>
      <c r="J6609" s="3">
        <v>462</v>
      </c>
      <c r="K6609" s="3">
        <v>231.88</v>
      </c>
      <c r="L6609">
        <v>49.81</v>
      </c>
    </row>
    <row r="6610" spans="1:12">
      <c r="A6610" s="1">
        <v>46049</v>
      </c>
      <c r="B6610" t="s">
        <v>5072</v>
      </c>
      <c r="C6610">
        <v>12</v>
      </c>
      <c r="D6610" t="str">
        <f>VLOOKUP(Tabela26[[#This Row],[EMP]],[1]LOJA!$A:$B,2,0)</f>
        <v>SOFNORTE</v>
      </c>
      <c r="E6610">
        <v>60</v>
      </c>
      <c r="F6610" t="s">
        <v>5071</v>
      </c>
      <c r="G6610" t="s">
        <v>3402</v>
      </c>
      <c r="H6610" t="s">
        <v>3408</v>
      </c>
      <c r="I6610">
        <v>5102</v>
      </c>
      <c r="J6610" s="3">
        <v>70</v>
      </c>
      <c r="K6610" s="3">
        <v>35.9</v>
      </c>
      <c r="L6610">
        <v>48.71</v>
      </c>
    </row>
    <row r="6611" spans="1:12">
      <c r="A6611" s="1">
        <v>46049</v>
      </c>
      <c r="B6611" t="s">
        <v>5070</v>
      </c>
      <c r="C6611">
        <v>12</v>
      </c>
      <c r="D6611" t="str">
        <f>VLOOKUP(Tabela26[[#This Row],[EMP]],[1]LOJA!$A:$B,2,0)</f>
        <v>SOFNORTE</v>
      </c>
      <c r="E6611">
        <v>60</v>
      </c>
      <c r="F6611" t="s">
        <v>3709</v>
      </c>
      <c r="G6611" t="s">
        <v>3708</v>
      </c>
      <c r="H6611" t="s">
        <v>3401</v>
      </c>
      <c r="I6611">
        <v>5405</v>
      </c>
      <c r="J6611" s="3">
        <v>205</v>
      </c>
      <c r="K6611" s="3">
        <v>115.21</v>
      </c>
      <c r="L6611">
        <v>43.8</v>
      </c>
    </row>
    <row r="6612" spans="1:12">
      <c r="A6612" s="1">
        <v>46049</v>
      </c>
      <c r="B6612" t="s">
        <v>5069</v>
      </c>
      <c r="C6612">
        <v>12</v>
      </c>
      <c r="D6612" t="str">
        <f>VLOOKUP(Tabela26[[#This Row],[EMP]],[1]LOJA!$A:$B,2,0)</f>
        <v>SOFNORTE</v>
      </c>
      <c r="E6612">
        <v>60</v>
      </c>
      <c r="F6612" t="s">
        <v>3403</v>
      </c>
      <c r="G6612" t="s">
        <v>3402</v>
      </c>
      <c r="H6612" t="s">
        <v>3401</v>
      </c>
      <c r="I6612">
        <v>5405</v>
      </c>
      <c r="J6612" s="3">
        <v>77.900000000000006</v>
      </c>
      <c r="K6612" s="3">
        <v>34.119999999999997</v>
      </c>
      <c r="L6612">
        <v>56.2</v>
      </c>
    </row>
    <row r="6613" spans="1:12">
      <c r="A6613" s="1">
        <v>46049</v>
      </c>
      <c r="B6613" t="s">
        <v>5068</v>
      </c>
      <c r="C6613">
        <v>12</v>
      </c>
      <c r="D6613" t="str">
        <f>VLOOKUP(Tabela26[[#This Row],[EMP]],[1]LOJA!$A:$B,2,0)</f>
        <v>SOFNORTE</v>
      </c>
      <c r="E6613">
        <v>239</v>
      </c>
      <c r="F6613" t="s">
        <v>3403</v>
      </c>
      <c r="G6613" t="s">
        <v>3402</v>
      </c>
      <c r="H6613" t="s">
        <v>3401</v>
      </c>
      <c r="I6613">
        <v>5102</v>
      </c>
      <c r="J6613" s="3">
        <v>60</v>
      </c>
      <c r="K6613" s="3">
        <v>33.549999999999997</v>
      </c>
      <c r="L6613">
        <v>44.08</v>
      </c>
    </row>
    <row r="6614" spans="1:12">
      <c r="A6614" s="1">
        <v>46049</v>
      </c>
      <c r="B6614" t="s">
        <v>5067</v>
      </c>
      <c r="C6614">
        <v>12</v>
      </c>
      <c r="D6614" t="str">
        <f>VLOOKUP(Tabela26[[#This Row],[EMP]],[1]LOJA!$A:$B,2,0)</f>
        <v>SOFNORTE</v>
      </c>
      <c r="E6614">
        <v>60</v>
      </c>
      <c r="F6614" t="s">
        <v>3698</v>
      </c>
      <c r="G6614" t="s">
        <v>3697</v>
      </c>
      <c r="H6614" t="s">
        <v>3408</v>
      </c>
      <c r="I6614">
        <v>5102</v>
      </c>
      <c r="J6614" s="3">
        <v>162</v>
      </c>
      <c r="K6614" s="3">
        <v>80.44</v>
      </c>
      <c r="L6614">
        <v>50.35</v>
      </c>
    </row>
    <row r="6615" spans="1:12">
      <c r="A6615" s="1">
        <v>46049</v>
      </c>
      <c r="B6615" t="s">
        <v>5066</v>
      </c>
      <c r="C6615">
        <v>12</v>
      </c>
      <c r="D6615" t="str">
        <f>VLOOKUP(Tabela26[[#This Row],[EMP]],[1]LOJA!$A:$B,2,0)</f>
        <v>SOFNORTE</v>
      </c>
      <c r="E6615">
        <v>60</v>
      </c>
      <c r="F6615" t="s">
        <v>5065</v>
      </c>
      <c r="G6615" t="s">
        <v>3402</v>
      </c>
      <c r="H6615" t="s">
        <v>3408</v>
      </c>
      <c r="I6615">
        <v>5405</v>
      </c>
      <c r="J6615" s="3">
        <v>372</v>
      </c>
      <c r="K6615" s="3">
        <v>182.54</v>
      </c>
      <c r="L6615">
        <v>50.93</v>
      </c>
    </row>
    <row r="6616" spans="1:12">
      <c r="A6616" s="1">
        <v>46049</v>
      </c>
      <c r="B6616" t="s">
        <v>5064</v>
      </c>
      <c r="C6616">
        <v>12</v>
      </c>
      <c r="D6616" t="str">
        <f>VLOOKUP(Tabela26[[#This Row],[EMP]],[1]LOJA!$A:$B,2,0)</f>
        <v>SOFNORTE</v>
      </c>
      <c r="E6616">
        <v>60</v>
      </c>
      <c r="F6616" t="s">
        <v>5057</v>
      </c>
      <c r="G6616" t="s">
        <v>5056</v>
      </c>
      <c r="H6616" t="s">
        <v>3401</v>
      </c>
      <c r="I6616">
        <v>5102</v>
      </c>
      <c r="J6616" s="3">
        <v>28.5</v>
      </c>
      <c r="K6616" s="3">
        <v>12.48</v>
      </c>
      <c r="L6616">
        <v>56.21</v>
      </c>
    </row>
    <row r="6617" spans="1:12">
      <c r="A6617" s="1">
        <v>46049</v>
      </c>
      <c r="B6617" t="s">
        <v>5063</v>
      </c>
      <c r="C6617">
        <v>12</v>
      </c>
      <c r="D6617" t="str">
        <f>VLOOKUP(Tabela26[[#This Row],[EMP]],[1]LOJA!$A:$B,2,0)</f>
        <v>SOFNORTE</v>
      </c>
      <c r="E6617">
        <v>60</v>
      </c>
      <c r="F6617" t="s">
        <v>3737</v>
      </c>
      <c r="G6617" t="s">
        <v>3736</v>
      </c>
      <c r="H6617" t="s">
        <v>3520</v>
      </c>
      <c r="I6617">
        <v>5405</v>
      </c>
      <c r="J6617" s="3">
        <v>80</v>
      </c>
      <c r="K6617" s="3">
        <v>38.619999999999997</v>
      </c>
      <c r="L6617">
        <v>51.73</v>
      </c>
    </row>
    <row r="6618" spans="1:12">
      <c r="A6618" s="1">
        <v>46049</v>
      </c>
      <c r="B6618" t="s">
        <v>5062</v>
      </c>
      <c r="C6618">
        <v>12</v>
      </c>
      <c r="D6618" t="str">
        <f>VLOOKUP(Tabela26[[#This Row],[EMP]],[1]LOJA!$A:$B,2,0)</f>
        <v>SOFNORTE</v>
      </c>
      <c r="E6618">
        <v>60</v>
      </c>
      <c r="F6618" t="s">
        <v>5061</v>
      </c>
      <c r="G6618" t="s">
        <v>5060</v>
      </c>
      <c r="H6618" t="s">
        <v>3401</v>
      </c>
      <c r="I6618">
        <v>5102</v>
      </c>
      <c r="J6618" s="3">
        <v>308</v>
      </c>
      <c r="K6618" s="3">
        <v>188.84</v>
      </c>
      <c r="L6618">
        <v>38.69</v>
      </c>
    </row>
    <row r="6619" spans="1:12">
      <c r="A6619" s="1">
        <v>46049</v>
      </c>
      <c r="B6619" t="s">
        <v>5059</v>
      </c>
      <c r="C6619">
        <v>12</v>
      </c>
      <c r="D6619" t="str">
        <f>VLOOKUP(Tabela26[[#This Row],[EMP]],[1]LOJA!$A:$B,2,0)</f>
        <v>SOFNORTE</v>
      </c>
      <c r="E6619">
        <v>60</v>
      </c>
      <c r="F6619" t="s">
        <v>3715</v>
      </c>
      <c r="G6619" t="s">
        <v>3714</v>
      </c>
      <c r="H6619" t="s">
        <v>3401</v>
      </c>
      <c r="I6619">
        <v>5405</v>
      </c>
      <c r="J6619" s="3">
        <v>59</v>
      </c>
      <c r="K6619" s="3">
        <v>25.88</v>
      </c>
      <c r="L6619">
        <v>56.14</v>
      </c>
    </row>
    <row r="6620" spans="1:12">
      <c r="A6620" s="1">
        <v>46049</v>
      </c>
      <c r="B6620" t="s">
        <v>5058</v>
      </c>
      <c r="C6620">
        <v>12</v>
      </c>
      <c r="D6620" t="str">
        <f>VLOOKUP(Tabela26[[#This Row],[EMP]],[1]LOJA!$A:$B,2,0)</f>
        <v>SOFNORTE</v>
      </c>
      <c r="E6620">
        <v>60</v>
      </c>
      <c r="F6620" t="s">
        <v>5057</v>
      </c>
      <c r="G6620" t="s">
        <v>5056</v>
      </c>
      <c r="H6620" t="s">
        <v>3408</v>
      </c>
      <c r="I6620">
        <v>5405</v>
      </c>
      <c r="J6620" s="3">
        <v>266</v>
      </c>
      <c r="K6620" s="3">
        <v>132.12</v>
      </c>
      <c r="L6620">
        <v>50.33</v>
      </c>
    </row>
    <row r="6621" spans="1:12">
      <c r="A6621" s="1">
        <v>46049</v>
      </c>
      <c r="B6621" t="s">
        <v>5055</v>
      </c>
      <c r="C6621">
        <v>12</v>
      </c>
      <c r="D6621" t="str">
        <f>VLOOKUP(Tabela26[[#This Row],[EMP]],[1]LOJA!$A:$B,2,0)</f>
        <v>SOFNORTE</v>
      </c>
      <c r="E6621">
        <v>60</v>
      </c>
      <c r="F6621" t="s">
        <v>4088</v>
      </c>
      <c r="G6621" t="s">
        <v>4087</v>
      </c>
      <c r="H6621" t="s">
        <v>3533</v>
      </c>
      <c r="I6621">
        <v>5102</v>
      </c>
      <c r="J6621" s="3">
        <v>23.7</v>
      </c>
      <c r="K6621" s="3">
        <v>11.73</v>
      </c>
      <c r="L6621">
        <v>50.51</v>
      </c>
    </row>
    <row r="6622" spans="1:12">
      <c r="A6622" s="1">
        <v>46049</v>
      </c>
      <c r="B6622" t="s">
        <v>5054</v>
      </c>
      <c r="C6622">
        <v>12</v>
      </c>
      <c r="D6622" t="str">
        <f>VLOOKUP(Tabela26[[#This Row],[EMP]],[1]LOJA!$A:$B,2,0)</f>
        <v>SOFNORTE</v>
      </c>
      <c r="E6622">
        <v>60</v>
      </c>
      <c r="F6622" t="s">
        <v>3737</v>
      </c>
      <c r="G6622" t="s">
        <v>3736</v>
      </c>
      <c r="H6622" t="s">
        <v>3520</v>
      </c>
      <c r="I6622">
        <v>5102</v>
      </c>
      <c r="J6622" s="3">
        <v>31</v>
      </c>
      <c r="K6622" s="3">
        <v>17.489999999999998</v>
      </c>
      <c r="L6622">
        <v>43.58</v>
      </c>
    </row>
    <row r="6623" spans="1:12">
      <c r="A6623" s="1">
        <v>46049</v>
      </c>
      <c r="B6623" t="s">
        <v>5053</v>
      </c>
      <c r="C6623">
        <v>12</v>
      </c>
      <c r="D6623" t="str">
        <f>VLOOKUP(Tabela26[[#This Row],[EMP]],[1]LOJA!$A:$B,2,0)</f>
        <v>SOFNORTE</v>
      </c>
      <c r="E6623">
        <v>60</v>
      </c>
      <c r="F6623" t="s">
        <v>3701</v>
      </c>
      <c r="G6623" t="s">
        <v>3700</v>
      </c>
      <c r="H6623" t="s">
        <v>3401</v>
      </c>
      <c r="I6623">
        <v>5102</v>
      </c>
      <c r="J6623" s="3">
        <v>74</v>
      </c>
      <c r="K6623" s="3">
        <v>37.06</v>
      </c>
      <c r="L6623">
        <v>49.92</v>
      </c>
    </row>
    <row r="6624" spans="1:12">
      <c r="A6624" s="1">
        <v>46049</v>
      </c>
      <c r="B6624" t="s">
        <v>5052</v>
      </c>
      <c r="C6624">
        <v>12</v>
      </c>
      <c r="D6624" t="str">
        <f>VLOOKUP(Tabela26[[#This Row],[EMP]],[1]LOJA!$A:$B,2,0)</f>
        <v>SOFNORTE</v>
      </c>
      <c r="E6624">
        <v>60</v>
      </c>
      <c r="F6624" t="s">
        <v>3403</v>
      </c>
      <c r="G6624" t="s">
        <v>3402</v>
      </c>
      <c r="H6624" t="s">
        <v>3401</v>
      </c>
      <c r="I6624">
        <v>5405</v>
      </c>
      <c r="J6624" s="3">
        <v>561</v>
      </c>
      <c r="K6624" s="3">
        <v>290.95</v>
      </c>
      <c r="L6624">
        <v>48.14</v>
      </c>
    </row>
    <row r="6625" spans="1:12">
      <c r="A6625" s="1">
        <v>46049</v>
      </c>
      <c r="B6625" t="s">
        <v>5051</v>
      </c>
      <c r="C6625">
        <v>12</v>
      </c>
      <c r="D6625" t="str">
        <f>VLOOKUP(Tabela26[[#This Row],[EMP]],[1]LOJA!$A:$B,2,0)</f>
        <v>SOFNORTE</v>
      </c>
      <c r="E6625">
        <v>239</v>
      </c>
      <c r="F6625" t="s">
        <v>3709</v>
      </c>
      <c r="G6625" t="s">
        <v>3708</v>
      </c>
      <c r="H6625" t="s">
        <v>3401</v>
      </c>
      <c r="I6625">
        <v>5102</v>
      </c>
      <c r="J6625" s="3">
        <v>29</v>
      </c>
      <c r="K6625" s="3">
        <v>17.940000000000001</v>
      </c>
      <c r="L6625">
        <v>38.14</v>
      </c>
    </row>
    <row r="6626" spans="1:12">
      <c r="A6626" s="1">
        <v>46049</v>
      </c>
      <c r="B6626" t="s">
        <v>5050</v>
      </c>
      <c r="C6626">
        <v>12</v>
      </c>
      <c r="D6626" t="str">
        <f>VLOOKUP(Tabela26[[#This Row],[EMP]],[1]LOJA!$A:$B,2,0)</f>
        <v>SOFNORTE</v>
      </c>
      <c r="E6626">
        <v>60</v>
      </c>
      <c r="F6626" t="s">
        <v>3737</v>
      </c>
      <c r="G6626" t="s">
        <v>3736</v>
      </c>
      <c r="H6626" t="s">
        <v>3520</v>
      </c>
      <c r="I6626">
        <v>5405</v>
      </c>
      <c r="J6626" s="3">
        <v>62</v>
      </c>
      <c r="K6626" s="3">
        <v>26.77</v>
      </c>
      <c r="L6626">
        <v>56.82</v>
      </c>
    </row>
    <row r="6627" spans="1:12">
      <c r="A6627" s="1">
        <v>46049</v>
      </c>
      <c r="B6627" t="s">
        <v>5049</v>
      </c>
      <c r="C6627">
        <v>12</v>
      </c>
      <c r="D6627" t="str">
        <f>VLOOKUP(Tabela26[[#This Row],[EMP]],[1]LOJA!$A:$B,2,0)</f>
        <v>SOFNORTE</v>
      </c>
      <c r="E6627">
        <v>239</v>
      </c>
      <c r="F6627" t="s">
        <v>3709</v>
      </c>
      <c r="G6627" t="s">
        <v>3708</v>
      </c>
      <c r="H6627" t="s">
        <v>3401</v>
      </c>
      <c r="I6627">
        <v>5102</v>
      </c>
      <c r="J6627" s="3">
        <v>94</v>
      </c>
      <c r="K6627" s="3">
        <v>56.33</v>
      </c>
      <c r="L6627">
        <v>40.07</v>
      </c>
    </row>
    <row r="6628" spans="1:12">
      <c r="A6628" s="1">
        <v>46049</v>
      </c>
      <c r="B6628" t="s">
        <v>5048</v>
      </c>
      <c r="C6628">
        <v>12</v>
      </c>
      <c r="D6628" t="str">
        <f>VLOOKUP(Tabela26[[#This Row],[EMP]],[1]LOJA!$A:$B,2,0)</f>
        <v>SOFNORTE</v>
      </c>
      <c r="E6628">
        <v>60</v>
      </c>
      <c r="F6628" t="s">
        <v>3704</v>
      </c>
      <c r="G6628" t="s">
        <v>3703</v>
      </c>
      <c r="H6628" t="s">
        <v>3408</v>
      </c>
      <c r="I6628">
        <v>5102</v>
      </c>
      <c r="J6628" s="3">
        <v>183</v>
      </c>
      <c r="K6628" s="3">
        <v>86.93</v>
      </c>
      <c r="L6628">
        <v>52.5</v>
      </c>
    </row>
    <row r="6629" spans="1:12">
      <c r="A6629" s="1">
        <v>46049</v>
      </c>
      <c r="B6629" t="s">
        <v>5047</v>
      </c>
      <c r="C6629">
        <v>12</v>
      </c>
      <c r="D6629" t="str">
        <f>VLOOKUP(Tabela26[[#This Row],[EMP]],[1]LOJA!$A:$B,2,0)</f>
        <v>SOFNORTE</v>
      </c>
      <c r="E6629">
        <v>60</v>
      </c>
      <c r="F6629" t="s">
        <v>3730</v>
      </c>
      <c r="G6629" t="s">
        <v>3729</v>
      </c>
      <c r="H6629" t="s">
        <v>3408</v>
      </c>
      <c r="I6629">
        <v>5405</v>
      </c>
      <c r="J6629" s="3">
        <v>39</v>
      </c>
      <c r="K6629" s="3">
        <v>17.190000000000001</v>
      </c>
      <c r="L6629">
        <v>55.92</v>
      </c>
    </row>
    <row r="6630" spans="1:12">
      <c r="A6630" s="1">
        <v>46049</v>
      </c>
      <c r="B6630" t="s">
        <v>5046</v>
      </c>
      <c r="C6630">
        <v>12</v>
      </c>
      <c r="D6630" t="str">
        <f>VLOOKUP(Tabela26[[#This Row],[EMP]],[1]LOJA!$A:$B,2,0)</f>
        <v>SOFNORTE</v>
      </c>
      <c r="E6630">
        <v>60</v>
      </c>
      <c r="F6630" t="s">
        <v>3701</v>
      </c>
      <c r="G6630" t="s">
        <v>3700</v>
      </c>
      <c r="H6630" t="s">
        <v>3408</v>
      </c>
      <c r="I6630">
        <v>5102</v>
      </c>
      <c r="J6630" s="3">
        <v>22</v>
      </c>
      <c r="K6630" s="3">
        <v>11.63</v>
      </c>
      <c r="L6630">
        <v>47.14</v>
      </c>
    </row>
    <row r="6631" spans="1:12">
      <c r="A6631" s="1">
        <v>46049</v>
      </c>
      <c r="B6631" t="s">
        <v>5045</v>
      </c>
      <c r="C6631">
        <v>12</v>
      </c>
      <c r="D6631" t="str">
        <f>VLOOKUP(Tabela26[[#This Row],[EMP]],[1]LOJA!$A:$B,2,0)</f>
        <v>SOFNORTE</v>
      </c>
      <c r="E6631">
        <v>60</v>
      </c>
      <c r="F6631" t="s">
        <v>3403</v>
      </c>
      <c r="G6631" t="s">
        <v>3402</v>
      </c>
      <c r="H6631" t="s">
        <v>3408</v>
      </c>
      <c r="I6631">
        <v>5102</v>
      </c>
      <c r="J6631" s="3">
        <v>10</v>
      </c>
      <c r="K6631" s="3">
        <v>3.6</v>
      </c>
      <c r="L6631">
        <v>64</v>
      </c>
    </row>
    <row r="6632" spans="1:12">
      <c r="A6632" s="1">
        <v>46049</v>
      </c>
      <c r="B6632" t="s">
        <v>5044</v>
      </c>
      <c r="C6632">
        <v>12</v>
      </c>
      <c r="D6632" t="str">
        <f>VLOOKUP(Tabela26[[#This Row],[EMP]],[1]LOJA!$A:$B,2,0)</f>
        <v>SOFNORTE</v>
      </c>
      <c r="E6632">
        <v>239</v>
      </c>
      <c r="F6632" t="s">
        <v>3691</v>
      </c>
      <c r="G6632" t="s">
        <v>3690</v>
      </c>
      <c r="H6632" t="s">
        <v>5043</v>
      </c>
      <c r="I6632">
        <v>5102</v>
      </c>
      <c r="J6632" s="3">
        <v>61.9</v>
      </c>
      <c r="K6632" s="3">
        <v>33.76</v>
      </c>
      <c r="L6632">
        <v>45.46</v>
      </c>
    </row>
    <row r="6633" spans="1:12">
      <c r="A6633" s="1">
        <v>46049</v>
      </c>
      <c r="B6633" t="s">
        <v>5042</v>
      </c>
      <c r="C6633">
        <v>14</v>
      </c>
      <c r="D6633" t="str">
        <f>VLOOKUP(Tabela26[[#This Row],[EMP]],[1]LOJA!$A:$B,2,0)</f>
        <v>S IA</v>
      </c>
      <c r="E6633">
        <v>212</v>
      </c>
      <c r="F6633" t="s">
        <v>3403</v>
      </c>
      <c r="G6633" t="s">
        <v>3402</v>
      </c>
      <c r="H6633" t="s">
        <v>3408</v>
      </c>
      <c r="I6633">
        <v>5102</v>
      </c>
      <c r="J6633" s="3">
        <v>36</v>
      </c>
      <c r="K6633" s="3">
        <v>16.64</v>
      </c>
      <c r="L6633">
        <v>53.78</v>
      </c>
    </row>
    <row r="6634" spans="1:12">
      <c r="A6634" s="1">
        <v>46049</v>
      </c>
      <c r="B6634" t="s">
        <v>5041</v>
      </c>
      <c r="C6634">
        <v>14</v>
      </c>
      <c r="D6634" t="str">
        <f>VLOOKUP(Tabela26[[#This Row],[EMP]],[1]LOJA!$A:$B,2,0)</f>
        <v>S IA</v>
      </c>
      <c r="E6634">
        <v>212</v>
      </c>
      <c r="F6634" t="s">
        <v>3478</v>
      </c>
      <c r="G6634" t="s">
        <v>3477</v>
      </c>
      <c r="H6634" t="s">
        <v>3408</v>
      </c>
      <c r="I6634">
        <v>5405</v>
      </c>
      <c r="J6634" s="3">
        <v>98.55</v>
      </c>
      <c r="K6634" s="3">
        <v>46.42</v>
      </c>
      <c r="L6634">
        <v>52.9</v>
      </c>
    </row>
    <row r="6635" spans="1:12">
      <c r="A6635" s="1">
        <v>46049</v>
      </c>
      <c r="B6635" t="s">
        <v>5040</v>
      </c>
      <c r="C6635">
        <v>14</v>
      </c>
      <c r="D6635" t="str">
        <f>VLOOKUP(Tabela26[[#This Row],[EMP]],[1]LOJA!$A:$B,2,0)</f>
        <v>S IA</v>
      </c>
      <c r="E6635">
        <v>54</v>
      </c>
      <c r="F6635" t="s">
        <v>3403</v>
      </c>
      <c r="G6635" t="s">
        <v>3402</v>
      </c>
      <c r="H6635" t="s">
        <v>3401</v>
      </c>
      <c r="I6635">
        <v>5405</v>
      </c>
      <c r="J6635" s="3">
        <v>59.8</v>
      </c>
      <c r="K6635" s="3">
        <v>24.38</v>
      </c>
      <c r="L6635">
        <v>59.23</v>
      </c>
    </row>
    <row r="6636" spans="1:12">
      <c r="A6636" s="1">
        <v>46049</v>
      </c>
      <c r="B6636" t="s">
        <v>5039</v>
      </c>
      <c r="C6636">
        <v>14</v>
      </c>
      <c r="D6636" t="str">
        <f>VLOOKUP(Tabela26[[#This Row],[EMP]],[1]LOJA!$A:$B,2,0)</f>
        <v>S IA</v>
      </c>
      <c r="E6636">
        <v>212</v>
      </c>
      <c r="F6636" t="s">
        <v>3403</v>
      </c>
      <c r="G6636" t="s">
        <v>3402</v>
      </c>
      <c r="H6636" t="s">
        <v>3401</v>
      </c>
      <c r="I6636">
        <v>5405</v>
      </c>
      <c r="J6636" s="3">
        <v>34</v>
      </c>
      <c r="K6636" s="3">
        <v>15.8</v>
      </c>
      <c r="L6636">
        <v>53.53</v>
      </c>
    </row>
    <row r="6637" spans="1:12">
      <c r="A6637" s="1">
        <v>46049</v>
      </c>
      <c r="B6637" t="s">
        <v>5038</v>
      </c>
      <c r="C6637">
        <v>14</v>
      </c>
      <c r="D6637" t="str">
        <f>VLOOKUP(Tabela26[[#This Row],[EMP]],[1]LOJA!$A:$B,2,0)</f>
        <v>S IA</v>
      </c>
      <c r="E6637">
        <v>212</v>
      </c>
      <c r="F6637" t="s">
        <v>3403</v>
      </c>
      <c r="G6637" t="s">
        <v>3402</v>
      </c>
      <c r="H6637" t="s">
        <v>3401</v>
      </c>
      <c r="I6637">
        <v>5405</v>
      </c>
      <c r="J6637" s="3">
        <v>110</v>
      </c>
      <c r="K6637" s="3">
        <v>48.96</v>
      </c>
      <c r="L6637">
        <v>55.49</v>
      </c>
    </row>
    <row r="6638" spans="1:12">
      <c r="A6638" s="1">
        <v>46049</v>
      </c>
      <c r="B6638" t="s">
        <v>5037</v>
      </c>
      <c r="C6638">
        <v>14</v>
      </c>
      <c r="D6638" t="str">
        <f>VLOOKUP(Tabela26[[#This Row],[EMP]],[1]LOJA!$A:$B,2,0)</f>
        <v>S IA</v>
      </c>
      <c r="E6638">
        <v>54</v>
      </c>
      <c r="F6638" t="s">
        <v>3403</v>
      </c>
      <c r="G6638" t="s">
        <v>3402</v>
      </c>
      <c r="H6638" t="s">
        <v>3401</v>
      </c>
      <c r="I6638">
        <v>5102</v>
      </c>
      <c r="J6638" s="3">
        <v>173.4</v>
      </c>
      <c r="K6638" s="3">
        <v>69.790000000000006</v>
      </c>
      <c r="L6638">
        <v>59.75</v>
      </c>
    </row>
    <row r="6639" spans="1:12">
      <c r="A6639" s="1">
        <v>46049</v>
      </c>
      <c r="B6639" t="s">
        <v>5036</v>
      </c>
      <c r="C6639">
        <v>14</v>
      </c>
      <c r="D6639" t="str">
        <f>VLOOKUP(Tabela26[[#This Row],[EMP]],[1]LOJA!$A:$B,2,0)</f>
        <v>S IA</v>
      </c>
      <c r="E6639">
        <v>54</v>
      </c>
      <c r="F6639" t="s">
        <v>3403</v>
      </c>
      <c r="G6639" t="s">
        <v>3402</v>
      </c>
      <c r="H6639" t="s">
        <v>3401</v>
      </c>
      <c r="I6639">
        <v>5405</v>
      </c>
      <c r="J6639" s="3">
        <v>74.900000000000006</v>
      </c>
      <c r="K6639" s="3">
        <v>32.6</v>
      </c>
      <c r="L6639">
        <v>56.48</v>
      </c>
    </row>
    <row r="6640" spans="1:12">
      <c r="A6640" s="1">
        <v>46049</v>
      </c>
      <c r="B6640" t="s">
        <v>5035</v>
      </c>
      <c r="C6640">
        <v>14</v>
      </c>
      <c r="D6640" t="str">
        <f>VLOOKUP(Tabela26[[#This Row],[EMP]],[1]LOJA!$A:$B,2,0)</f>
        <v>S IA</v>
      </c>
      <c r="E6640">
        <v>54</v>
      </c>
      <c r="F6640" t="s">
        <v>3403</v>
      </c>
      <c r="G6640" t="s">
        <v>3402</v>
      </c>
      <c r="H6640" t="s">
        <v>3401</v>
      </c>
      <c r="I6640">
        <v>5102</v>
      </c>
      <c r="J6640" s="3">
        <v>20</v>
      </c>
      <c r="K6640" s="3">
        <v>15.4</v>
      </c>
      <c r="L6640">
        <v>23</v>
      </c>
    </row>
    <row r="6641" spans="1:12">
      <c r="A6641" s="1">
        <v>46049</v>
      </c>
      <c r="B6641" t="s">
        <v>5034</v>
      </c>
      <c r="C6641">
        <v>14</v>
      </c>
      <c r="D6641" t="str">
        <f>VLOOKUP(Tabela26[[#This Row],[EMP]],[1]LOJA!$A:$B,2,0)</f>
        <v>S IA</v>
      </c>
      <c r="E6641">
        <v>212</v>
      </c>
      <c r="F6641" t="s">
        <v>3403</v>
      </c>
      <c r="G6641" t="s">
        <v>3402</v>
      </c>
      <c r="H6641" t="s">
        <v>3401</v>
      </c>
      <c r="I6641">
        <v>5405</v>
      </c>
      <c r="J6641" s="3">
        <v>625</v>
      </c>
      <c r="K6641" s="3">
        <v>309.24</v>
      </c>
      <c r="L6641">
        <v>50.52</v>
      </c>
    </row>
    <row r="6642" spans="1:12">
      <c r="A6642" s="1">
        <v>46049</v>
      </c>
      <c r="B6642" t="s">
        <v>5033</v>
      </c>
      <c r="C6642">
        <v>14</v>
      </c>
      <c r="D6642" t="str">
        <f>VLOOKUP(Tabela26[[#This Row],[EMP]],[1]LOJA!$A:$B,2,0)</f>
        <v>S IA</v>
      </c>
      <c r="E6642">
        <v>212</v>
      </c>
      <c r="F6642" t="s">
        <v>3403</v>
      </c>
      <c r="G6642" t="s">
        <v>3402</v>
      </c>
      <c r="H6642" t="s">
        <v>3408</v>
      </c>
      <c r="I6642">
        <v>5405</v>
      </c>
      <c r="J6642" s="3">
        <v>50</v>
      </c>
      <c r="K6642" s="3">
        <v>17.91</v>
      </c>
      <c r="L6642">
        <v>64.180000000000007</v>
      </c>
    </row>
    <row r="6643" spans="1:12">
      <c r="A6643" s="1">
        <v>46049</v>
      </c>
      <c r="B6643" t="s">
        <v>5032</v>
      </c>
      <c r="C6643">
        <v>4</v>
      </c>
      <c r="D6643" t="str">
        <f>VLOOKUP(Tabela26[[#This Row],[EMP]],[1]LOJA!$A:$B,2,0)</f>
        <v>ADE</v>
      </c>
      <c r="E6643">
        <v>132</v>
      </c>
      <c r="F6643" t="s">
        <v>3677</v>
      </c>
      <c r="G6643" t="s">
        <v>3676</v>
      </c>
      <c r="H6643" t="s">
        <v>4249</v>
      </c>
      <c r="I6643">
        <v>5102</v>
      </c>
      <c r="J6643" s="3">
        <v>526.79999999999995</v>
      </c>
      <c r="K6643" s="3">
        <v>340.28</v>
      </c>
      <c r="L6643">
        <v>35.409999999999997</v>
      </c>
    </row>
    <row r="6644" spans="1:12">
      <c r="A6644" s="1">
        <v>46049</v>
      </c>
      <c r="B6644" t="s">
        <v>5031</v>
      </c>
      <c r="C6644">
        <v>4</v>
      </c>
      <c r="D6644" t="str">
        <f>VLOOKUP(Tabela26[[#This Row],[EMP]],[1]LOJA!$A:$B,2,0)</f>
        <v>ADE</v>
      </c>
      <c r="E6644">
        <v>109</v>
      </c>
      <c r="F6644" t="s">
        <v>3664</v>
      </c>
      <c r="G6644" t="s">
        <v>3663</v>
      </c>
      <c r="H6644" t="s">
        <v>3430</v>
      </c>
      <c r="I6644">
        <v>5405</v>
      </c>
      <c r="J6644" s="3">
        <v>286.10000000000002</v>
      </c>
      <c r="K6644" s="3">
        <v>137.12</v>
      </c>
      <c r="L6644">
        <v>52.07</v>
      </c>
    </row>
    <row r="6645" spans="1:12">
      <c r="A6645" s="1">
        <v>46049</v>
      </c>
      <c r="B6645" t="s">
        <v>5030</v>
      </c>
      <c r="C6645">
        <v>4</v>
      </c>
      <c r="D6645" t="str">
        <f>VLOOKUP(Tabela26[[#This Row],[EMP]],[1]LOJA!$A:$B,2,0)</f>
        <v>ADE</v>
      </c>
      <c r="E6645">
        <v>132</v>
      </c>
      <c r="F6645" t="s">
        <v>3843</v>
      </c>
      <c r="G6645" t="s">
        <v>3842</v>
      </c>
      <c r="H6645" t="s">
        <v>3401</v>
      </c>
      <c r="I6645">
        <v>5405</v>
      </c>
      <c r="J6645" s="3">
        <v>984.62</v>
      </c>
      <c r="K6645" s="3">
        <v>576.48</v>
      </c>
      <c r="L6645">
        <v>41.45</v>
      </c>
    </row>
    <row r="6646" spans="1:12">
      <c r="A6646" s="1">
        <v>46049</v>
      </c>
      <c r="B6646" t="s">
        <v>5029</v>
      </c>
      <c r="C6646">
        <v>4</v>
      </c>
      <c r="D6646" t="str">
        <f>VLOOKUP(Tabela26[[#This Row],[EMP]],[1]LOJA!$A:$B,2,0)</f>
        <v>ADE</v>
      </c>
      <c r="E6646">
        <v>132</v>
      </c>
      <c r="F6646" t="s">
        <v>3677</v>
      </c>
      <c r="G6646" t="s">
        <v>3676</v>
      </c>
      <c r="H6646" t="s">
        <v>3679</v>
      </c>
      <c r="I6646">
        <v>5405</v>
      </c>
      <c r="J6646" s="3">
        <v>1600.35</v>
      </c>
      <c r="K6646" s="3">
        <v>714.94</v>
      </c>
      <c r="L6646">
        <v>55.33</v>
      </c>
    </row>
    <row r="6647" spans="1:12">
      <c r="A6647" s="1">
        <v>46049</v>
      </c>
      <c r="B6647" t="s">
        <v>5028</v>
      </c>
      <c r="C6647">
        <v>4</v>
      </c>
      <c r="D6647" t="str">
        <f>VLOOKUP(Tabela26[[#This Row],[EMP]],[1]LOJA!$A:$B,2,0)</f>
        <v>ADE</v>
      </c>
      <c r="E6647">
        <v>109</v>
      </c>
      <c r="F6647" t="s">
        <v>5027</v>
      </c>
      <c r="G6647" t="s">
        <v>5026</v>
      </c>
      <c r="H6647" t="s">
        <v>3430</v>
      </c>
      <c r="I6647">
        <v>5405</v>
      </c>
      <c r="J6647" s="3">
        <v>1168.58</v>
      </c>
      <c r="K6647" s="3">
        <v>696</v>
      </c>
      <c r="L6647">
        <v>40.44</v>
      </c>
    </row>
    <row r="6648" spans="1:12">
      <c r="A6648" s="1">
        <v>46049</v>
      </c>
      <c r="B6648" t="s">
        <v>5025</v>
      </c>
      <c r="C6648">
        <v>4</v>
      </c>
      <c r="D6648" t="str">
        <f>VLOOKUP(Tabela26[[#This Row],[EMP]],[1]LOJA!$A:$B,2,0)</f>
        <v>ADE</v>
      </c>
      <c r="E6648">
        <v>132</v>
      </c>
      <c r="F6648" t="s">
        <v>3670</v>
      </c>
      <c r="G6648" t="s">
        <v>3669</v>
      </c>
      <c r="H6648" t="s">
        <v>3430</v>
      </c>
      <c r="I6648">
        <v>5102</v>
      </c>
      <c r="J6648" s="3">
        <v>56.9</v>
      </c>
      <c r="K6648" s="3">
        <v>25.46</v>
      </c>
      <c r="L6648">
        <v>55.25</v>
      </c>
    </row>
    <row r="6649" spans="1:12">
      <c r="A6649" s="1">
        <v>46049</v>
      </c>
      <c r="B6649" t="s">
        <v>5024</v>
      </c>
      <c r="C6649">
        <v>4</v>
      </c>
      <c r="D6649" t="str">
        <f>VLOOKUP(Tabela26[[#This Row],[EMP]],[1]LOJA!$A:$B,2,0)</f>
        <v>ADE</v>
      </c>
      <c r="E6649">
        <v>132</v>
      </c>
      <c r="F6649" t="s">
        <v>5022</v>
      </c>
      <c r="G6649" t="s">
        <v>5021</v>
      </c>
      <c r="H6649" t="s">
        <v>3401</v>
      </c>
      <c r="I6649">
        <v>1411</v>
      </c>
      <c r="J6649" s="3">
        <v>-104.42</v>
      </c>
      <c r="K6649" s="3">
        <v>-58.48</v>
      </c>
      <c r="L6649">
        <v>44</v>
      </c>
    </row>
    <row r="6650" spans="1:12">
      <c r="A6650" s="1">
        <v>46049</v>
      </c>
      <c r="B6650" t="s">
        <v>5023</v>
      </c>
      <c r="C6650">
        <v>4</v>
      </c>
      <c r="D6650" t="str">
        <f>VLOOKUP(Tabela26[[#This Row],[EMP]],[1]LOJA!$A:$B,2,0)</f>
        <v>ADE</v>
      </c>
      <c r="E6650">
        <v>132</v>
      </c>
      <c r="F6650" t="s">
        <v>5022</v>
      </c>
      <c r="G6650" t="s">
        <v>5021</v>
      </c>
      <c r="H6650" t="s">
        <v>3408</v>
      </c>
      <c r="I6650">
        <v>5405</v>
      </c>
      <c r="J6650" s="3">
        <v>193.42</v>
      </c>
      <c r="K6650" s="3">
        <v>107.01</v>
      </c>
      <c r="L6650">
        <v>44.67</v>
      </c>
    </row>
    <row r="6651" spans="1:12">
      <c r="A6651" s="1">
        <v>46049</v>
      </c>
      <c r="B6651" t="s">
        <v>5020</v>
      </c>
      <c r="C6651">
        <v>4</v>
      </c>
      <c r="D6651" t="str">
        <f>VLOOKUP(Tabela26[[#This Row],[EMP]],[1]LOJA!$A:$B,2,0)</f>
        <v>ADE</v>
      </c>
      <c r="E6651">
        <v>109</v>
      </c>
      <c r="F6651" t="s">
        <v>4374</v>
      </c>
      <c r="G6651" t="s">
        <v>4373</v>
      </c>
      <c r="H6651" t="s">
        <v>3408</v>
      </c>
      <c r="I6651">
        <v>5405</v>
      </c>
      <c r="J6651" s="3">
        <v>7104.2</v>
      </c>
      <c r="K6651" s="3">
        <v>2836.83</v>
      </c>
      <c r="L6651">
        <v>60.07</v>
      </c>
    </row>
    <row r="6652" spans="1:12">
      <c r="A6652" s="1">
        <v>46049</v>
      </c>
      <c r="B6652" t="s">
        <v>5019</v>
      </c>
      <c r="C6652">
        <v>4</v>
      </c>
      <c r="D6652" t="str">
        <f>VLOOKUP(Tabela26[[#This Row],[EMP]],[1]LOJA!$A:$B,2,0)</f>
        <v>ADE</v>
      </c>
      <c r="E6652">
        <v>132</v>
      </c>
      <c r="F6652" t="s">
        <v>4377</v>
      </c>
      <c r="G6652" t="s">
        <v>4376</v>
      </c>
      <c r="H6652" t="s">
        <v>3401</v>
      </c>
      <c r="I6652">
        <v>1411</v>
      </c>
      <c r="J6652" s="3">
        <v>-2670</v>
      </c>
      <c r="K6652" s="3">
        <v>-1909.45</v>
      </c>
      <c r="L6652">
        <v>28.49</v>
      </c>
    </row>
    <row r="6653" spans="1:12">
      <c r="A6653" s="1">
        <v>46049</v>
      </c>
      <c r="B6653" t="s">
        <v>5018</v>
      </c>
      <c r="C6653">
        <v>4</v>
      </c>
      <c r="D6653" t="str">
        <f>VLOOKUP(Tabela26[[#This Row],[EMP]],[1]LOJA!$A:$B,2,0)</f>
        <v>ADE</v>
      </c>
      <c r="E6653">
        <v>132</v>
      </c>
      <c r="F6653" t="s">
        <v>4374</v>
      </c>
      <c r="G6653" t="s">
        <v>4373</v>
      </c>
      <c r="H6653" t="s">
        <v>3408</v>
      </c>
      <c r="I6653">
        <v>5405</v>
      </c>
      <c r="J6653" s="3">
        <v>2670</v>
      </c>
      <c r="K6653" s="3">
        <v>1909.45</v>
      </c>
      <c r="L6653">
        <v>28.49</v>
      </c>
    </row>
    <row r="6654" spans="1:12">
      <c r="A6654" s="1">
        <v>46049</v>
      </c>
      <c r="B6654" t="s">
        <v>5017</v>
      </c>
      <c r="C6654">
        <v>13</v>
      </c>
      <c r="D6654" t="str">
        <f>VLOOKUP(Tabela26[[#This Row],[EMP]],[1]LOJA!$A:$B,2,0)</f>
        <v>CEILÂNDIA</v>
      </c>
      <c r="E6654">
        <v>86</v>
      </c>
      <c r="F6654" t="s">
        <v>3403</v>
      </c>
      <c r="G6654" t="s">
        <v>3402</v>
      </c>
      <c r="H6654" t="s">
        <v>3401</v>
      </c>
      <c r="I6654">
        <v>5102</v>
      </c>
      <c r="J6654" s="3">
        <v>58</v>
      </c>
      <c r="K6654" s="3">
        <v>34.549999999999997</v>
      </c>
      <c r="L6654">
        <v>40.43</v>
      </c>
    </row>
    <row r="6655" spans="1:12">
      <c r="A6655" s="1">
        <v>46049</v>
      </c>
      <c r="B6655" t="s">
        <v>5016</v>
      </c>
      <c r="C6655">
        <v>13</v>
      </c>
      <c r="D6655" t="str">
        <f>VLOOKUP(Tabela26[[#This Row],[EMP]],[1]LOJA!$A:$B,2,0)</f>
        <v>CEILÂNDIA</v>
      </c>
      <c r="E6655">
        <v>86</v>
      </c>
      <c r="F6655" t="s">
        <v>5015</v>
      </c>
      <c r="G6655" t="s">
        <v>3402</v>
      </c>
      <c r="H6655" t="s">
        <v>3408</v>
      </c>
      <c r="I6655">
        <v>5102</v>
      </c>
      <c r="J6655" s="3">
        <v>140</v>
      </c>
      <c r="K6655" s="3">
        <v>78.2</v>
      </c>
      <c r="L6655">
        <v>44.14</v>
      </c>
    </row>
    <row r="6656" spans="1:12">
      <c r="A6656" s="1">
        <v>46049</v>
      </c>
      <c r="B6656" t="s">
        <v>5014</v>
      </c>
      <c r="C6656">
        <v>13</v>
      </c>
      <c r="D6656" t="str">
        <f>VLOOKUP(Tabela26[[#This Row],[EMP]],[1]LOJA!$A:$B,2,0)</f>
        <v>CEILÂNDIA</v>
      </c>
      <c r="E6656">
        <v>86</v>
      </c>
      <c r="F6656" t="s">
        <v>3403</v>
      </c>
      <c r="G6656" t="s">
        <v>3402</v>
      </c>
      <c r="H6656" t="s">
        <v>3401</v>
      </c>
      <c r="I6656">
        <v>5102</v>
      </c>
      <c r="J6656" s="3">
        <v>88</v>
      </c>
      <c r="K6656" s="3">
        <v>40.49</v>
      </c>
      <c r="L6656">
        <v>53.99</v>
      </c>
    </row>
    <row r="6657" spans="1:12">
      <c r="A6657" s="1">
        <v>46049</v>
      </c>
      <c r="B6657" t="s">
        <v>5013</v>
      </c>
      <c r="C6657">
        <v>13</v>
      </c>
      <c r="D6657" t="str">
        <f>VLOOKUP(Tabela26[[#This Row],[EMP]],[1]LOJA!$A:$B,2,0)</f>
        <v>CEILÂNDIA</v>
      </c>
      <c r="E6657">
        <v>86</v>
      </c>
      <c r="F6657" t="s">
        <v>4322</v>
      </c>
      <c r="G6657" t="s">
        <v>3402</v>
      </c>
      <c r="H6657" t="s">
        <v>3401</v>
      </c>
      <c r="I6657">
        <v>5102</v>
      </c>
      <c r="J6657" s="3">
        <v>459</v>
      </c>
      <c r="K6657" s="3">
        <v>262.48</v>
      </c>
      <c r="L6657">
        <v>42.81</v>
      </c>
    </row>
    <row r="6658" spans="1:12">
      <c r="A6658" s="1">
        <v>46049</v>
      </c>
      <c r="B6658" t="s">
        <v>5012</v>
      </c>
      <c r="C6658">
        <v>13</v>
      </c>
      <c r="D6658" t="str">
        <f>VLOOKUP(Tabela26[[#This Row],[EMP]],[1]LOJA!$A:$B,2,0)</f>
        <v>CEILÂNDIA</v>
      </c>
      <c r="E6658">
        <v>86</v>
      </c>
      <c r="F6658" t="s">
        <v>3403</v>
      </c>
      <c r="G6658" t="s">
        <v>3402</v>
      </c>
      <c r="H6658" t="s">
        <v>3401</v>
      </c>
      <c r="I6658">
        <v>5102</v>
      </c>
      <c r="J6658" s="3">
        <v>75</v>
      </c>
      <c r="K6658" s="3">
        <v>37.619999999999997</v>
      </c>
      <c r="L6658">
        <v>49.84</v>
      </c>
    </row>
    <row r="6659" spans="1:12">
      <c r="A6659" s="1">
        <v>46049</v>
      </c>
      <c r="B6659" t="s">
        <v>5011</v>
      </c>
      <c r="C6659">
        <v>13</v>
      </c>
      <c r="D6659" t="str">
        <f>VLOOKUP(Tabela26[[#This Row],[EMP]],[1]LOJA!$A:$B,2,0)</f>
        <v>CEILÂNDIA</v>
      </c>
      <c r="E6659">
        <v>86</v>
      </c>
      <c r="F6659" t="s">
        <v>3605</v>
      </c>
      <c r="G6659" t="s">
        <v>3604</v>
      </c>
      <c r="H6659" t="s">
        <v>3401</v>
      </c>
      <c r="I6659">
        <v>5102</v>
      </c>
      <c r="J6659" s="3">
        <v>60</v>
      </c>
      <c r="K6659" s="3">
        <v>37.53</v>
      </c>
      <c r="L6659">
        <v>37.450000000000003</v>
      </c>
    </row>
    <row r="6660" spans="1:12">
      <c r="A6660" s="1">
        <v>46049</v>
      </c>
      <c r="B6660" t="s">
        <v>5010</v>
      </c>
      <c r="C6660">
        <v>13</v>
      </c>
      <c r="D6660" t="str">
        <f>VLOOKUP(Tabela26[[#This Row],[EMP]],[1]LOJA!$A:$B,2,0)</f>
        <v>CEILÂNDIA</v>
      </c>
      <c r="E6660">
        <v>86</v>
      </c>
      <c r="F6660" t="s">
        <v>3403</v>
      </c>
      <c r="G6660" t="s">
        <v>3402</v>
      </c>
      <c r="H6660" t="s">
        <v>3401</v>
      </c>
      <c r="I6660">
        <v>5102</v>
      </c>
      <c r="J6660" s="3">
        <v>40</v>
      </c>
      <c r="K6660" s="3">
        <v>25.76</v>
      </c>
      <c r="L6660">
        <v>35.6</v>
      </c>
    </row>
    <row r="6661" spans="1:12">
      <c r="A6661" s="1">
        <v>46049</v>
      </c>
      <c r="B6661" t="s">
        <v>5009</v>
      </c>
      <c r="C6661">
        <v>13</v>
      </c>
      <c r="D6661" t="str">
        <f>VLOOKUP(Tabela26[[#This Row],[EMP]],[1]LOJA!$A:$B,2,0)</f>
        <v>CEILÂNDIA</v>
      </c>
      <c r="E6661">
        <v>86</v>
      </c>
      <c r="F6661" t="s">
        <v>3597</v>
      </c>
      <c r="G6661" t="s">
        <v>3596</v>
      </c>
      <c r="H6661" t="s">
        <v>3408</v>
      </c>
      <c r="I6661">
        <v>5102</v>
      </c>
      <c r="J6661" s="3">
        <v>127</v>
      </c>
      <c r="K6661" s="3">
        <v>82.18</v>
      </c>
      <c r="L6661">
        <v>35.29</v>
      </c>
    </row>
    <row r="6662" spans="1:12">
      <c r="A6662" s="1">
        <v>46049</v>
      </c>
      <c r="B6662" t="s">
        <v>5008</v>
      </c>
      <c r="C6662">
        <v>13</v>
      </c>
      <c r="D6662" t="str">
        <f>VLOOKUP(Tabela26[[#This Row],[EMP]],[1]LOJA!$A:$B,2,0)</f>
        <v>CEILÂNDIA</v>
      </c>
      <c r="E6662">
        <v>86</v>
      </c>
      <c r="F6662" t="s">
        <v>4992</v>
      </c>
      <c r="G6662" t="s">
        <v>4991</v>
      </c>
      <c r="H6662" t="s">
        <v>3520</v>
      </c>
      <c r="I6662">
        <v>5405</v>
      </c>
      <c r="J6662" s="3">
        <v>109.8</v>
      </c>
      <c r="K6662" s="3">
        <v>63.2</v>
      </c>
      <c r="L6662">
        <v>42.44</v>
      </c>
    </row>
    <row r="6663" spans="1:12">
      <c r="A6663" s="1">
        <v>46049</v>
      </c>
      <c r="B6663" t="s">
        <v>5007</v>
      </c>
      <c r="C6663">
        <v>13</v>
      </c>
      <c r="D6663" t="str">
        <f>VLOOKUP(Tabela26[[#This Row],[EMP]],[1]LOJA!$A:$B,2,0)</f>
        <v>CEILÂNDIA</v>
      </c>
      <c r="E6663">
        <v>86</v>
      </c>
      <c r="F6663" t="s">
        <v>3403</v>
      </c>
      <c r="G6663" t="s">
        <v>3402</v>
      </c>
      <c r="H6663" t="s">
        <v>3401</v>
      </c>
      <c r="I6663">
        <v>5405</v>
      </c>
      <c r="J6663" s="3">
        <v>280</v>
      </c>
      <c r="K6663" s="3">
        <v>132.35</v>
      </c>
      <c r="L6663">
        <v>52.73</v>
      </c>
    </row>
    <row r="6664" spans="1:12">
      <c r="A6664" s="1">
        <v>46049</v>
      </c>
      <c r="B6664" t="s">
        <v>5006</v>
      </c>
      <c r="C6664">
        <v>13</v>
      </c>
      <c r="D6664" t="str">
        <f>VLOOKUP(Tabela26[[#This Row],[EMP]],[1]LOJA!$A:$B,2,0)</f>
        <v>CEILÂNDIA</v>
      </c>
      <c r="E6664">
        <v>86</v>
      </c>
      <c r="F6664" t="s">
        <v>4342</v>
      </c>
      <c r="G6664" t="s">
        <v>4341</v>
      </c>
      <c r="H6664" t="s">
        <v>3408</v>
      </c>
      <c r="I6664">
        <v>5102</v>
      </c>
      <c r="J6664" s="3">
        <v>67.5</v>
      </c>
      <c r="K6664" s="3">
        <v>49.58</v>
      </c>
      <c r="L6664">
        <v>26.55</v>
      </c>
    </row>
    <row r="6665" spans="1:12">
      <c r="A6665" s="1">
        <v>46049</v>
      </c>
      <c r="B6665" t="s">
        <v>5005</v>
      </c>
      <c r="C6665">
        <v>13</v>
      </c>
      <c r="D6665" t="str">
        <f>VLOOKUP(Tabela26[[#This Row],[EMP]],[1]LOJA!$A:$B,2,0)</f>
        <v>CEILÂNDIA</v>
      </c>
      <c r="E6665">
        <v>86</v>
      </c>
      <c r="F6665" t="s">
        <v>3403</v>
      </c>
      <c r="G6665" t="s">
        <v>3402</v>
      </c>
      <c r="H6665" t="s">
        <v>3401</v>
      </c>
      <c r="I6665">
        <v>5102</v>
      </c>
      <c r="J6665" s="3">
        <v>55</v>
      </c>
      <c r="K6665" s="3">
        <v>32.04</v>
      </c>
      <c r="L6665">
        <v>41.75</v>
      </c>
    </row>
    <row r="6666" spans="1:12">
      <c r="A6666" s="1">
        <v>46049</v>
      </c>
      <c r="B6666" t="s">
        <v>5004</v>
      </c>
      <c r="C6666">
        <v>13</v>
      </c>
      <c r="D6666" t="str">
        <f>VLOOKUP(Tabela26[[#This Row],[EMP]],[1]LOJA!$A:$B,2,0)</f>
        <v>CEILÂNDIA</v>
      </c>
      <c r="E6666">
        <v>86</v>
      </c>
      <c r="F6666" t="s">
        <v>3403</v>
      </c>
      <c r="G6666" t="s">
        <v>3402</v>
      </c>
      <c r="H6666" t="s">
        <v>3401</v>
      </c>
      <c r="I6666">
        <v>5405</v>
      </c>
      <c r="J6666" s="3">
        <v>50</v>
      </c>
      <c r="K6666" s="3">
        <v>24.55</v>
      </c>
      <c r="L6666">
        <v>50.9</v>
      </c>
    </row>
    <row r="6667" spans="1:12">
      <c r="A6667" s="1">
        <v>46049</v>
      </c>
      <c r="B6667" t="s">
        <v>5003</v>
      </c>
      <c r="C6667">
        <v>13</v>
      </c>
      <c r="D6667" t="str">
        <f>VLOOKUP(Tabela26[[#This Row],[EMP]],[1]LOJA!$A:$B,2,0)</f>
        <v>CEILÂNDIA</v>
      </c>
      <c r="E6667">
        <v>86</v>
      </c>
      <c r="F6667" t="s">
        <v>3605</v>
      </c>
      <c r="G6667" t="s">
        <v>3604</v>
      </c>
      <c r="H6667" t="s">
        <v>3401</v>
      </c>
      <c r="I6667">
        <v>5405</v>
      </c>
      <c r="J6667" s="3">
        <v>175.81</v>
      </c>
      <c r="K6667" s="3">
        <v>91.62</v>
      </c>
      <c r="L6667">
        <v>47.89</v>
      </c>
    </row>
    <row r="6668" spans="1:12">
      <c r="A6668" s="1">
        <v>46049</v>
      </c>
      <c r="B6668" t="s">
        <v>5002</v>
      </c>
      <c r="C6668">
        <v>13</v>
      </c>
      <c r="D6668" t="str">
        <f>VLOOKUP(Tabela26[[#This Row],[EMP]],[1]LOJA!$A:$B,2,0)</f>
        <v>CEILÂNDIA</v>
      </c>
      <c r="E6668">
        <v>86</v>
      </c>
      <c r="F6668" t="s">
        <v>3406</v>
      </c>
      <c r="G6668" t="s">
        <v>3405</v>
      </c>
      <c r="H6668" t="s">
        <v>3408</v>
      </c>
      <c r="I6668">
        <v>5405</v>
      </c>
      <c r="J6668" s="3">
        <v>316.89999999999998</v>
      </c>
      <c r="K6668" s="3">
        <v>175.83</v>
      </c>
      <c r="L6668">
        <v>44.52</v>
      </c>
    </row>
    <row r="6669" spans="1:12">
      <c r="A6669" s="1">
        <v>46049</v>
      </c>
      <c r="B6669" t="s">
        <v>5001</v>
      </c>
      <c r="C6669">
        <v>13</v>
      </c>
      <c r="D6669" t="str">
        <f>VLOOKUP(Tabela26[[#This Row],[EMP]],[1]LOJA!$A:$B,2,0)</f>
        <v>CEILÂNDIA</v>
      </c>
      <c r="E6669">
        <v>86</v>
      </c>
      <c r="F6669" t="s">
        <v>3643</v>
      </c>
      <c r="G6669" t="s">
        <v>3402</v>
      </c>
      <c r="H6669" t="s">
        <v>3408</v>
      </c>
      <c r="I6669">
        <v>5405</v>
      </c>
      <c r="J6669" s="3">
        <v>145</v>
      </c>
      <c r="K6669" s="3">
        <v>69.16</v>
      </c>
      <c r="L6669">
        <v>52.3</v>
      </c>
    </row>
    <row r="6670" spans="1:12">
      <c r="A6670" s="1">
        <v>46049</v>
      </c>
      <c r="B6670" t="s">
        <v>5000</v>
      </c>
      <c r="C6670">
        <v>13</v>
      </c>
      <c r="D6670" t="str">
        <f>VLOOKUP(Tabela26[[#This Row],[EMP]],[1]LOJA!$A:$B,2,0)</f>
        <v>CEILÂNDIA</v>
      </c>
      <c r="E6670">
        <v>86</v>
      </c>
      <c r="F6670" t="s">
        <v>3403</v>
      </c>
      <c r="G6670" t="s">
        <v>3402</v>
      </c>
      <c r="H6670" t="s">
        <v>3401</v>
      </c>
      <c r="I6670">
        <v>5102</v>
      </c>
      <c r="J6670" s="3">
        <v>172</v>
      </c>
      <c r="K6670" s="3">
        <v>108.72</v>
      </c>
      <c r="L6670">
        <v>36.79</v>
      </c>
    </row>
    <row r="6671" spans="1:12">
      <c r="A6671" s="1">
        <v>46049</v>
      </c>
      <c r="B6671" t="s">
        <v>4999</v>
      </c>
      <c r="C6671">
        <v>13</v>
      </c>
      <c r="D6671" t="str">
        <f>VLOOKUP(Tabela26[[#This Row],[EMP]],[1]LOJA!$A:$B,2,0)</f>
        <v>CEILÂNDIA</v>
      </c>
      <c r="E6671">
        <v>86</v>
      </c>
      <c r="F6671" t="s">
        <v>3615</v>
      </c>
      <c r="G6671" t="s">
        <v>3614</v>
      </c>
      <c r="H6671" t="s">
        <v>3533</v>
      </c>
      <c r="I6671">
        <v>5405</v>
      </c>
      <c r="J6671" s="3">
        <v>98.2</v>
      </c>
      <c r="K6671" s="3">
        <v>56.97</v>
      </c>
      <c r="L6671">
        <v>41.99</v>
      </c>
    </row>
    <row r="6672" spans="1:12">
      <c r="A6672" s="1">
        <v>46049</v>
      </c>
      <c r="B6672" t="s">
        <v>4998</v>
      </c>
      <c r="C6672">
        <v>13</v>
      </c>
      <c r="D6672" t="str">
        <f>VLOOKUP(Tabela26[[#This Row],[EMP]],[1]LOJA!$A:$B,2,0)</f>
        <v>CEILÂNDIA</v>
      </c>
      <c r="E6672">
        <v>86</v>
      </c>
      <c r="F6672" t="s">
        <v>3605</v>
      </c>
      <c r="G6672" t="s">
        <v>3604</v>
      </c>
      <c r="H6672" t="s">
        <v>3401</v>
      </c>
      <c r="I6672">
        <v>5102</v>
      </c>
      <c r="J6672" s="3">
        <v>35</v>
      </c>
      <c r="K6672" s="3">
        <v>20.8</v>
      </c>
      <c r="L6672">
        <v>40.57</v>
      </c>
    </row>
    <row r="6673" spans="1:12">
      <c r="A6673" s="1">
        <v>46049</v>
      </c>
      <c r="B6673" t="s">
        <v>4997</v>
      </c>
      <c r="C6673">
        <v>13</v>
      </c>
      <c r="D6673" t="str">
        <f>VLOOKUP(Tabela26[[#This Row],[EMP]],[1]LOJA!$A:$B,2,0)</f>
        <v>CEILÂNDIA</v>
      </c>
      <c r="E6673">
        <v>86</v>
      </c>
      <c r="F6673" t="s">
        <v>3605</v>
      </c>
      <c r="G6673" t="s">
        <v>3604</v>
      </c>
      <c r="H6673" t="s">
        <v>3401</v>
      </c>
      <c r="I6673">
        <v>5102</v>
      </c>
      <c r="J6673" s="3">
        <v>64.849999999999994</v>
      </c>
      <c r="K6673" s="3">
        <v>41.31</v>
      </c>
      <c r="L6673">
        <v>36.299999999999997</v>
      </c>
    </row>
    <row r="6674" spans="1:12">
      <c r="A6674" s="1">
        <v>46049</v>
      </c>
      <c r="B6674" t="s">
        <v>4996</v>
      </c>
      <c r="C6674">
        <v>13</v>
      </c>
      <c r="D6674" t="str">
        <f>VLOOKUP(Tabela26[[#This Row],[EMP]],[1]LOJA!$A:$B,2,0)</f>
        <v>CEILÂNDIA</v>
      </c>
      <c r="E6674">
        <v>86</v>
      </c>
      <c r="F6674" t="s">
        <v>4995</v>
      </c>
      <c r="G6674" t="s">
        <v>3402</v>
      </c>
      <c r="H6674" t="s">
        <v>3408</v>
      </c>
      <c r="I6674">
        <v>5405</v>
      </c>
      <c r="J6674" s="3">
        <v>75</v>
      </c>
      <c r="K6674" s="3">
        <v>36.92</v>
      </c>
      <c r="L6674">
        <v>50.77</v>
      </c>
    </row>
    <row r="6675" spans="1:12">
      <c r="A6675" s="1">
        <v>46049</v>
      </c>
      <c r="B6675" t="s">
        <v>4994</v>
      </c>
      <c r="C6675">
        <v>13</v>
      </c>
      <c r="D6675" t="str">
        <f>VLOOKUP(Tabela26[[#This Row],[EMP]],[1]LOJA!$A:$B,2,0)</f>
        <v>CEILÂNDIA</v>
      </c>
      <c r="E6675">
        <v>86</v>
      </c>
      <c r="F6675" t="s">
        <v>3615</v>
      </c>
      <c r="G6675" t="s">
        <v>3614</v>
      </c>
      <c r="H6675" t="s">
        <v>3533</v>
      </c>
      <c r="I6675">
        <v>5102</v>
      </c>
      <c r="J6675" s="3">
        <v>15.2</v>
      </c>
      <c r="K6675" s="3">
        <v>9.2799999999999994</v>
      </c>
      <c r="L6675">
        <v>38.950000000000003</v>
      </c>
    </row>
    <row r="6676" spans="1:12">
      <c r="A6676" s="1">
        <v>46049</v>
      </c>
      <c r="B6676" t="s">
        <v>4993</v>
      </c>
      <c r="C6676">
        <v>13</v>
      </c>
      <c r="D6676" t="str">
        <f>VLOOKUP(Tabela26[[#This Row],[EMP]],[1]LOJA!$A:$B,2,0)</f>
        <v>CEILÂNDIA</v>
      </c>
      <c r="E6676">
        <v>86</v>
      </c>
      <c r="F6676" t="s">
        <v>4992</v>
      </c>
      <c r="G6676" t="s">
        <v>4991</v>
      </c>
      <c r="H6676" t="s">
        <v>3520</v>
      </c>
      <c r="I6676">
        <v>5405</v>
      </c>
      <c r="J6676" s="3">
        <v>45</v>
      </c>
      <c r="K6676" s="3">
        <v>21.89</v>
      </c>
      <c r="L6676">
        <v>51.36</v>
      </c>
    </row>
    <row r="6677" spans="1:12">
      <c r="A6677" s="1">
        <v>46049</v>
      </c>
      <c r="B6677" t="s">
        <v>4990</v>
      </c>
      <c r="C6677">
        <v>13</v>
      </c>
      <c r="D6677" t="str">
        <f>VLOOKUP(Tabela26[[#This Row],[EMP]],[1]LOJA!$A:$B,2,0)</f>
        <v>CEILÂNDIA</v>
      </c>
      <c r="E6677">
        <v>86</v>
      </c>
      <c r="F6677" t="s">
        <v>3403</v>
      </c>
      <c r="G6677" t="s">
        <v>3402</v>
      </c>
      <c r="H6677" t="s">
        <v>3401</v>
      </c>
      <c r="I6677">
        <v>5102</v>
      </c>
      <c r="J6677" s="3">
        <v>30</v>
      </c>
      <c r="K6677" s="3">
        <v>17.489999999999998</v>
      </c>
      <c r="L6677">
        <v>41.7</v>
      </c>
    </row>
    <row r="6678" spans="1:12">
      <c r="A6678" s="1">
        <v>46049</v>
      </c>
      <c r="B6678" t="s">
        <v>4989</v>
      </c>
      <c r="C6678">
        <v>13</v>
      </c>
      <c r="D6678" t="str">
        <f>VLOOKUP(Tabela26[[#This Row],[EMP]],[1]LOJA!$A:$B,2,0)</f>
        <v>CEILÂNDIA</v>
      </c>
      <c r="E6678">
        <v>86</v>
      </c>
      <c r="F6678" t="s">
        <v>3403</v>
      </c>
      <c r="G6678" t="s">
        <v>3402</v>
      </c>
      <c r="H6678" t="s">
        <v>3401</v>
      </c>
      <c r="I6678">
        <v>5102</v>
      </c>
      <c r="J6678" s="3">
        <v>45</v>
      </c>
      <c r="K6678" s="3">
        <v>26.45</v>
      </c>
      <c r="L6678">
        <v>41.22</v>
      </c>
    </row>
    <row r="6679" spans="1:12">
      <c r="A6679" s="1">
        <v>46049</v>
      </c>
      <c r="B6679" t="s">
        <v>4988</v>
      </c>
      <c r="C6679">
        <v>13</v>
      </c>
      <c r="D6679" t="str">
        <f>VLOOKUP(Tabela26[[#This Row],[EMP]],[1]LOJA!$A:$B,2,0)</f>
        <v>CEILÂNDIA</v>
      </c>
      <c r="E6679">
        <v>86</v>
      </c>
      <c r="F6679" t="s">
        <v>3403</v>
      </c>
      <c r="G6679" t="s">
        <v>3402</v>
      </c>
      <c r="H6679" t="s">
        <v>3401</v>
      </c>
      <c r="I6679">
        <v>5405</v>
      </c>
      <c r="J6679" s="3">
        <v>110</v>
      </c>
      <c r="K6679" s="3">
        <v>56.44</v>
      </c>
      <c r="L6679">
        <v>48.69</v>
      </c>
    </row>
    <row r="6680" spans="1:12">
      <c r="A6680" s="1">
        <v>46049</v>
      </c>
      <c r="B6680" t="s">
        <v>4987</v>
      </c>
      <c r="C6680">
        <v>13</v>
      </c>
      <c r="D6680" t="str">
        <f>VLOOKUP(Tabela26[[#This Row],[EMP]],[1]LOJA!$A:$B,2,0)</f>
        <v>CEILÂNDIA</v>
      </c>
      <c r="E6680">
        <v>86</v>
      </c>
      <c r="F6680" t="s">
        <v>3615</v>
      </c>
      <c r="G6680" t="s">
        <v>3614</v>
      </c>
      <c r="H6680" t="s">
        <v>3533</v>
      </c>
      <c r="I6680">
        <v>5405</v>
      </c>
      <c r="J6680" s="3">
        <v>59</v>
      </c>
      <c r="K6680" s="3">
        <v>30.25</v>
      </c>
      <c r="L6680">
        <v>48.73</v>
      </c>
    </row>
    <row r="6681" spans="1:12">
      <c r="A6681" s="1">
        <v>46049</v>
      </c>
      <c r="B6681" t="s">
        <v>4986</v>
      </c>
      <c r="C6681">
        <v>13</v>
      </c>
      <c r="D6681" t="str">
        <f>VLOOKUP(Tabela26[[#This Row],[EMP]],[1]LOJA!$A:$B,2,0)</f>
        <v>CEILÂNDIA</v>
      </c>
      <c r="E6681">
        <v>86</v>
      </c>
      <c r="F6681" t="s">
        <v>4322</v>
      </c>
      <c r="G6681" t="s">
        <v>3402</v>
      </c>
      <c r="H6681" t="s">
        <v>3408</v>
      </c>
      <c r="I6681">
        <v>5102</v>
      </c>
      <c r="J6681" s="3">
        <v>77.8</v>
      </c>
      <c r="K6681" s="3">
        <v>43.02</v>
      </c>
      <c r="L6681">
        <v>44.7</v>
      </c>
    </row>
    <row r="6682" spans="1:12">
      <c r="A6682" s="1">
        <v>46049</v>
      </c>
      <c r="B6682" t="s">
        <v>4985</v>
      </c>
      <c r="C6682">
        <v>13</v>
      </c>
      <c r="D6682" t="str">
        <f>VLOOKUP(Tabela26[[#This Row],[EMP]],[1]LOJA!$A:$B,2,0)</f>
        <v>CEILÂNDIA</v>
      </c>
      <c r="E6682">
        <v>86</v>
      </c>
      <c r="F6682" t="s">
        <v>3605</v>
      </c>
      <c r="G6682" t="s">
        <v>3604</v>
      </c>
      <c r="H6682" t="s">
        <v>3401</v>
      </c>
      <c r="I6682">
        <v>5102</v>
      </c>
      <c r="J6682" s="3">
        <v>80</v>
      </c>
      <c r="K6682" s="3">
        <v>46.74</v>
      </c>
      <c r="L6682">
        <v>41.58</v>
      </c>
    </row>
    <row r="6683" spans="1:12">
      <c r="A6683" s="1">
        <v>46049</v>
      </c>
      <c r="B6683" t="s">
        <v>4984</v>
      </c>
      <c r="C6683">
        <v>13</v>
      </c>
      <c r="D6683" t="str">
        <f>VLOOKUP(Tabela26[[#This Row],[EMP]],[1]LOJA!$A:$B,2,0)</f>
        <v>CEILÂNDIA</v>
      </c>
      <c r="E6683">
        <v>86</v>
      </c>
      <c r="F6683" t="s">
        <v>3609</v>
      </c>
      <c r="G6683" t="s">
        <v>3608</v>
      </c>
      <c r="H6683" t="s">
        <v>3408</v>
      </c>
      <c r="I6683">
        <v>5102</v>
      </c>
      <c r="J6683" s="3">
        <v>50</v>
      </c>
      <c r="K6683" s="3">
        <v>25.46</v>
      </c>
      <c r="L6683">
        <v>49.08</v>
      </c>
    </row>
    <row r="6684" spans="1:12">
      <c r="A6684" s="1">
        <v>46049</v>
      </c>
      <c r="B6684" t="s">
        <v>4983</v>
      </c>
      <c r="C6684">
        <v>13</v>
      </c>
      <c r="D6684" t="str">
        <f>VLOOKUP(Tabela26[[#This Row],[EMP]],[1]LOJA!$A:$B,2,0)</f>
        <v>CEILÂNDIA</v>
      </c>
      <c r="E6684">
        <v>86</v>
      </c>
      <c r="F6684" t="s">
        <v>3403</v>
      </c>
      <c r="G6684" t="s">
        <v>3402</v>
      </c>
      <c r="H6684" t="s">
        <v>3401</v>
      </c>
      <c r="I6684">
        <v>5102</v>
      </c>
      <c r="J6684" s="3">
        <v>46</v>
      </c>
      <c r="K6684" s="3">
        <v>26.45</v>
      </c>
      <c r="L6684">
        <v>42.5</v>
      </c>
    </row>
    <row r="6685" spans="1:12">
      <c r="A6685" s="1">
        <v>46049</v>
      </c>
      <c r="B6685" t="s">
        <v>4982</v>
      </c>
      <c r="C6685">
        <v>13</v>
      </c>
      <c r="D6685" t="str">
        <f>VLOOKUP(Tabela26[[#This Row],[EMP]],[1]LOJA!$A:$B,2,0)</f>
        <v>CEILÂNDIA</v>
      </c>
      <c r="E6685">
        <v>86</v>
      </c>
      <c r="F6685" t="s">
        <v>3403</v>
      </c>
      <c r="G6685" t="s">
        <v>3402</v>
      </c>
      <c r="H6685" t="s">
        <v>3401</v>
      </c>
      <c r="I6685">
        <v>5102</v>
      </c>
      <c r="J6685" s="3">
        <v>65</v>
      </c>
      <c r="K6685" s="3">
        <v>31.91</v>
      </c>
      <c r="L6685">
        <v>50.91</v>
      </c>
    </row>
    <row r="6686" spans="1:12">
      <c r="A6686" s="1">
        <v>46049</v>
      </c>
      <c r="B6686" t="s">
        <v>4981</v>
      </c>
      <c r="C6686">
        <v>13</v>
      </c>
      <c r="D6686" t="str">
        <f>VLOOKUP(Tabela26[[#This Row],[EMP]],[1]LOJA!$A:$B,2,0)</f>
        <v>CEILÂNDIA</v>
      </c>
      <c r="E6686">
        <v>86</v>
      </c>
      <c r="F6686" t="s">
        <v>3403</v>
      </c>
      <c r="G6686" t="s">
        <v>3402</v>
      </c>
      <c r="H6686" t="s">
        <v>3401</v>
      </c>
      <c r="I6686">
        <v>5102</v>
      </c>
      <c r="J6686" s="3">
        <v>35.799999999999997</v>
      </c>
      <c r="K6686" s="3">
        <v>11.66</v>
      </c>
      <c r="L6686">
        <v>67.430000000000007</v>
      </c>
    </row>
    <row r="6687" spans="1:12">
      <c r="A6687" s="1">
        <v>46049</v>
      </c>
      <c r="B6687" t="s">
        <v>4980</v>
      </c>
      <c r="C6687">
        <v>13</v>
      </c>
      <c r="D6687" t="str">
        <f>VLOOKUP(Tabela26[[#This Row],[EMP]],[1]LOJA!$A:$B,2,0)</f>
        <v>CEILÂNDIA</v>
      </c>
      <c r="E6687">
        <v>86</v>
      </c>
      <c r="F6687" t="s">
        <v>3406</v>
      </c>
      <c r="G6687" t="s">
        <v>3405</v>
      </c>
      <c r="H6687" t="s">
        <v>3408</v>
      </c>
      <c r="I6687">
        <v>5102</v>
      </c>
      <c r="J6687" s="3">
        <v>100</v>
      </c>
      <c r="K6687" s="3">
        <v>62.14</v>
      </c>
      <c r="L6687">
        <v>37.86</v>
      </c>
    </row>
    <row r="6688" spans="1:12">
      <c r="A6688" s="1">
        <v>46049</v>
      </c>
      <c r="B6688" t="s">
        <v>4979</v>
      </c>
      <c r="C6688">
        <v>13</v>
      </c>
      <c r="D6688" t="str">
        <f>VLOOKUP(Tabela26[[#This Row],[EMP]],[1]LOJA!$A:$B,2,0)</f>
        <v>CEILÂNDIA</v>
      </c>
      <c r="E6688">
        <v>86</v>
      </c>
      <c r="F6688" t="s">
        <v>4322</v>
      </c>
      <c r="G6688" t="s">
        <v>3402</v>
      </c>
      <c r="H6688" t="s">
        <v>3408</v>
      </c>
      <c r="I6688">
        <v>5102</v>
      </c>
      <c r="J6688" s="3">
        <v>38.9</v>
      </c>
      <c r="K6688" s="3">
        <v>21.51</v>
      </c>
      <c r="L6688">
        <v>44.7</v>
      </c>
    </row>
    <row r="6689" spans="1:12">
      <c r="A6689" s="1">
        <v>46049</v>
      </c>
      <c r="B6689" t="s">
        <v>4978</v>
      </c>
      <c r="C6689">
        <v>6</v>
      </c>
      <c r="D6689" t="str">
        <f>VLOOKUP(Tabela26[[#This Row],[EMP]],[1]LOJA!$A:$B,2,0)</f>
        <v>GAMA</v>
      </c>
      <c r="E6689">
        <v>245</v>
      </c>
      <c r="F6689" t="s">
        <v>4977</v>
      </c>
      <c r="G6689" t="s">
        <v>3402</v>
      </c>
      <c r="H6689" t="s">
        <v>3401</v>
      </c>
      <c r="I6689">
        <v>5405</v>
      </c>
      <c r="J6689" s="3">
        <v>296.95</v>
      </c>
      <c r="K6689" s="3">
        <v>153.91999999999999</v>
      </c>
      <c r="L6689">
        <v>48.17</v>
      </c>
    </row>
    <row r="6690" spans="1:12">
      <c r="A6690" s="1">
        <v>46049</v>
      </c>
      <c r="B6690" t="s">
        <v>4976</v>
      </c>
      <c r="C6690">
        <v>6</v>
      </c>
      <c r="D6690" t="str">
        <f>VLOOKUP(Tabela26[[#This Row],[EMP]],[1]LOJA!$A:$B,2,0)</f>
        <v>GAMA</v>
      </c>
      <c r="E6690">
        <v>226</v>
      </c>
      <c r="F6690" t="s">
        <v>4973</v>
      </c>
      <c r="G6690" t="s">
        <v>3402</v>
      </c>
      <c r="H6690" t="s">
        <v>3408</v>
      </c>
      <c r="I6690">
        <v>5405</v>
      </c>
      <c r="J6690" s="3">
        <v>225</v>
      </c>
      <c r="K6690" s="3">
        <v>118.4</v>
      </c>
      <c r="L6690">
        <v>47.38</v>
      </c>
    </row>
    <row r="6691" spans="1:12">
      <c r="A6691" s="1">
        <v>46049</v>
      </c>
      <c r="B6691" t="s">
        <v>4975</v>
      </c>
      <c r="C6691">
        <v>6</v>
      </c>
      <c r="D6691" t="str">
        <f>VLOOKUP(Tabela26[[#This Row],[EMP]],[1]LOJA!$A:$B,2,0)</f>
        <v>GAMA</v>
      </c>
      <c r="E6691">
        <v>226</v>
      </c>
      <c r="F6691" t="s">
        <v>3403</v>
      </c>
      <c r="G6691" t="s">
        <v>3402</v>
      </c>
      <c r="H6691" t="s">
        <v>3401</v>
      </c>
      <c r="I6691">
        <v>5102</v>
      </c>
      <c r="J6691" s="3">
        <v>15</v>
      </c>
      <c r="K6691" s="3">
        <v>10.46</v>
      </c>
      <c r="L6691">
        <v>30.27</v>
      </c>
    </row>
    <row r="6692" spans="1:12">
      <c r="A6692" s="1">
        <v>46049</v>
      </c>
      <c r="B6692" t="s">
        <v>4974</v>
      </c>
      <c r="C6692">
        <v>6</v>
      </c>
      <c r="D6692" t="str">
        <f>VLOOKUP(Tabela26[[#This Row],[EMP]],[1]LOJA!$A:$B,2,0)</f>
        <v>GAMA</v>
      </c>
      <c r="E6692">
        <v>226</v>
      </c>
      <c r="F6692" t="s">
        <v>4973</v>
      </c>
      <c r="G6692" t="s">
        <v>3402</v>
      </c>
      <c r="H6692" t="s">
        <v>3401</v>
      </c>
      <c r="I6692">
        <v>5405</v>
      </c>
      <c r="J6692" s="3">
        <v>35</v>
      </c>
      <c r="K6692" s="3">
        <v>13.95</v>
      </c>
      <c r="L6692">
        <v>60.14</v>
      </c>
    </row>
    <row r="6693" spans="1:12">
      <c r="A6693" s="1">
        <v>46049</v>
      </c>
      <c r="B6693" t="s">
        <v>4972</v>
      </c>
      <c r="C6693">
        <v>6</v>
      </c>
      <c r="D6693" t="str">
        <f>VLOOKUP(Tabela26[[#This Row],[EMP]],[1]LOJA!$A:$B,2,0)</f>
        <v>GAMA</v>
      </c>
      <c r="E6693">
        <v>245</v>
      </c>
      <c r="F6693" t="s">
        <v>4971</v>
      </c>
      <c r="G6693" t="s">
        <v>3402</v>
      </c>
      <c r="H6693" t="s">
        <v>3401</v>
      </c>
      <c r="I6693">
        <v>5102</v>
      </c>
      <c r="J6693" s="3">
        <v>55</v>
      </c>
      <c r="K6693" s="3">
        <v>27.42</v>
      </c>
      <c r="L6693">
        <v>50.15</v>
      </c>
    </row>
    <row r="6694" spans="1:12">
      <c r="A6694" s="1">
        <v>46049</v>
      </c>
      <c r="B6694" t="s">
        <v>4970</v>
      </c>
      <c r="C6694">
        <v>6</v>
      </c>
      <c r="D6694" t="str">
        <f>VLOOKUP(Tabela26[[#This Row],[EMP]],[1]LOJA!$A:$B,2,0)</f>
        <v>GAMA</v>
      </c>
      <c r="E6694">
        <v>245</v>
      </c>
      <c r="F6694" t="s">
        <v>3403</v>
      </c>
      <c r="G6694" t="s">
        <v>3402</v>
      </c>
      <c r="H6694" t="s">
        <v>3401</v>
      </c>
      <c r="I6694">
        <v>5102</v>
      </c>
      <c r="J6694" s="3">
        <v>28</v>
      </c>
      <c r="K6694" s="3">
        <v>17.52</v>
      </c>
      <c r="L6694">
        <v>37.43</v>
      </c>
    </row>
    <row r="6695" spans="1:12">
      <c r="A6695" s="1">
        <v>46049</v>
      </c>
      <c r="B6695" t="s">
        <v>4969</v>
      </c>
      <c r="C6695">
        <v>6</v>
      </c>
      <c r="D6695" t="str">
        <f>VLOOKUP(Tabela26[[#This Row],[EMP]],[1]LOJA!$A:$B,2,0)</f>
        <v>GAMA</v>
      </c>
      <c r="E6695">
        <v>226</v>
      </c>
      <c r="F6695" t="s">
        <v>4968</v>
      </c>
      <c r="G6695" t="s">
        <v>3402</v>
      </c>
      <c r="H6695" t="s">
        <v>3401</v>
      </c>
      <c r="I6695">
        <v>5405</v>
      </c>
      <c r="J6695" s="3">
        <v>578</v>
      </c>
      <c r="K6695" s="3">
        <v>300.73</v>
      </c>
      <c r="L6695">
        <v>47.97</v>
      </c>
    </row>
    <row r="6696" spans="1:12">
      <c r="A6696" s="1">
        <v>46049</v>
      </c>
      <c r="B6696" t="s">
        <v>4967</v>
      </c>
      <c r="C6696">
        <v>6</v>
      </c>
      <c r="D6696" t="str">
        <f>VLOOKUP(Tabela26[[#This Row],[EMP]],[1]LOJA!$A:$B,2,0)</f>
        <v>GAMA</v>
      </c>
      <c r="E6696">
        <v>245</v>
      </c>
      <c r="F6696" t="s">
        <v>4966</v>
      </c>
      <c r="G6696" t="s">
        <v>4965</v>
      </c>
      <c r="H6696" t="s">
        <v>3401</v>
      </c>
      <c r="I6696">
        <v>5405</v>
      </c>
      <c r="J6696" s="3">
        <v>160</v>
      </c>
      <c r="K6696" s="3">
        <v>74.25</v>
      </c>
      <c r="L6696">
        <v>53.59</v>
      </c>
    </row>
    <row r="6697" spans="1:12">
      <c r="A6697" s="1">
        <v>46049</v>
      </c>
      <c r="B6697" t="s">
        <v>4964</v>
      </c>
      <c r="C6697">
        <v>6</v>
      </c>
      <c r="D6697" t="str">
        <f>VLOOKUP(Tabela26[[#This Row],[EMP]],[1]LOJA!$A:$B,2,0)</f>
        <v>GAMA</v>
      </c>
      <c r="E6697">
        <v>245</v>
      </c>
      <c r="F6697" t="s">
        <v>4184</v>
      </c>
      <c r="G6697" t="s">
        <v>3402</v>
      </c>
      <c r="H6697" t="s">
        <v>3401</v>
      </c>
      <c r="I6697">
        <v>5405</v>
      </c>
      <c r="J6697" s="3">
        <v>133</v>
      </c>
      <c r="K6697" s="3">
        <v>65.45</v>
      </c>
      <c r="L6697">
        <v>50.79</v>
      </c>
    </row>
    <row r="6698" spans="1:12">
      <c r="A6698" s="1">
        <v>46049</v>
      </c>
      <c r="B6698" t="s">
        <v>4963</v>
      </c>
      <c r="C6698">
        <v>6</v>
      </c>
      <c r="D6698" t="str">
        <f>VLOOKUP(Tabela26[[#This Row],[EMP]],[1]LOJA!$A:$B,2,0)</f>
        <v>GAMA</v>
      </c>
      <c r="E6698">
        <v>245</v>
      </c>
      <c r="F6698" t="s">
        <v>3403</v>
      </c>
      <c r="G6698" t="s">
        <v>3402</v>
      </c>
      <c r="H6698" t="s">
        <v>3401</v>
      </c>
      <c r="I6698">
        <v>5405</v>
      </c>
      <c r="J6698" s="3">
        <v>52</v>
      </c>
      <c r="K6698" s="3">
        <v>24.14</v>
      </c>
      <c r="L6698">
        <v>53.58</v>
      </c>
    </row>
    <row r="6699" spans="1:12">
      <c r="A6699" s="1">
        <v>46049</v>
      </c>
      <c r="B6699" t="s">
        <v>4962</v>
      </c>
      <c r="C6699">
        <v>6</v>
      </c>
      <c r="D6699" t="str">
        <f>VLOOKUP(Tabela26[[#This Row],[EMP]],[1]LOJA!$A:$B,2,0)</f>
        <v>GAMA</v>
      </c>
      <c r="E6699">
        <v>226</v>
      </c>
      <c r="F6699" t="s">
        <v>4961</v>
      </c>
      <c r="G6699" t="s">
        <v>3402</v>
      </c>
      <c r="H6699" t="s">
        <v>3408</v>
      </c>
      <c r="I6699">
        <v>5405</v>
      </c>
      <c r="J6699" s="3">
        <v>488.9</v>
      </c>
      <c r="K6699" s="3">
        <v>260.14</v>
      </c>
      <c r="L6699">
        <v>46.79</v>
      </c>
    </row>
    <row r="6700" spans="1:12">
      <c r="A6700" s="1">
        <v>46049</v>
      </c>
      <c r="B6700" t="s">
        <v>4960</v>
      </c>
      <c r="C6700">
        <v>6</v>
      </c>
      <c r="D6700" t="str">
        <f>VLOOKUP(Tabela26[[#This Row],[EMP]],[1]LOJA!$A:$B,2,0)</f>
        <v>GAMA</v>
      </c>
      <c r="E6700">
        <v>245</v>
      </c>
      <c r="F6700" t="s">
        <v>3403</v>
      </c>
      <c r="G6700" t="s">
        <v>3402</v>
      </c>
      <c r="H6700" t="s">
        <v>3401</v>
      </c>
      <c r="I6700">
        <v>5405</v>
      </c>
      <c r="J6700" s="3">
        <v>40</v>
      </c>
      <c r="K6700" s="3">
        <v>15.96</v>
      </c>
      <c r="L6700">
        <v>60.1</v>
      </c>
    </row>
    <row r="6701" spans="1:12">
      <c r="A6701" s="1">
        <v>46049</v>
      </c>
      <c r="B6701" t="s">
        <v>4959</v>
      </c>
      <c r="C6701">
        <v>6</v>
      </c>
      <c r="D6701" t="str">
        <f>VLOOKUP(Tabela26[[#This Row],[EMP]],[1]LOJA!$A:$B,2,0)</f>
        <v>GAMA</v>
      </c>
      <c r="E6701">
        <v>226</v>
      </c>
      <c r="F6701" t="s">
        <v>3399</v>
      </c>
      <c r="G6701" t="s">
        <v>3398</v>
      </c>
      <c r="H6701" t="s">
        <v>3401</v>
      </c>
      <c r="I6701">
        <v>5405</v>
      </c>
      <c r="J6701" s="3">
        <v>90</v>
      </c>
      <c r="K6701" s="3">
        <v>39.21</v>
      </c>
      <c r="L6701">
        <v>56.43</v>
      </c>
    </row>
    <row r="6702" spans="1:12">
      <c r="A6702" s="1">
        <v>46049</v>
      </c>
      <c r="B6702" t="s">
        <v>4958</v>
      </c>
      <c r="C6702">
        <v>6</v>
      </c>
      <c r="D6702" t="str">
        <f>VLOOKUP(Tabela26[[#This Row],[EMP]],[1]LOJA!$A:$B,2,0)</f>
        <v>GAMA</v>
      </c>
      <c r="E6702">
        <v>245</v>
      </c>
      <c r="F6702" t="s">
        <v>3555</v>
      </c>
      <c r="G6702" t="s">
        <v>3554</v>
      </c>
      <c r="H6702" t="s">
        <v>3430</v>
      </c>
      <c r="I6702">
        <v>6403</v>
      </c>
      <c r="J6702" s="3">
        <v>559.91999999999996</v>
      </c>
      <c r="K6702" s="3">
        <v>307.83999999999997</v>
      </c>
      <c r="L6702">
        <v>45.02</v>
      </c>
    </row>
    <row r="6703" spans="1:12">
      <c r="A6703" s="1">
        <v>46050</v>
      </c>
      <c r="B6703" t="s">
        <v>4957</v>
      </c>
      <c r="C6703">
        <v>13</v>
      </c>
      <c r="D6703" t="str">
        <f>VLOOKUP(Tabela26[[#This Row],[EMP]],[1]LOJA!$A:$B,2,0)</f>
        <v>CEILÂNDIA</v>
      </c>
      <c r="E6703">
        <v>33</v>
      </c>
      <c r="F6703" t="s">
        <v>3505</v>
      </c>
      <c r="G6703" t="s">
        <v>3504</v>
      </c>
      <c r="H6703" t="s">
        <v>3401</v>
      </c>
      <c r="I6703">
        <v>1411</v>
      </c>
      <c r="J6703" s="3">
        <v>-50.07</v>
      </c>
      <c r="K6703" s="3">
        <v>-26.13</v>
      </c>
      <c r="L6703">
        <v>47.81</v>
      </c>
    </row>
    <row r="6704" spans="1:12">
      <c r="A6704" s="1">
        <v>46050</v>
      </c>
      <c r="B6704" t="s">
        <v>4956</v>
      </c>
      <c r="C6704">
        <v>13</v>
      </c>
      <c r="D6704" t="str">
        <f>VLOOKUP(Tabela26[[#This Row],[EMP]],[1]LOJA!$A:$B,2,0)</f>
        <v>CEILÂNDIA</v>
      </c>
      <c r="E6704">
        <v>33</v>
      </c>
      <c r="F6704" t="s">
        <v>3505</v>
      </c>
      <c r="G6704" t="s">
        <v>3504</v>
      </c>
      <c r="H6704" t="s">
        <v>3401</v>
      </c>
      <c r="I6704">
        <v>1202</v>
      </c>
      <c r="J6704" s="3">
        <v>-59.9</v>
      </c>
      <c r="K6704" s="3">
        <v>-44.04</v>
      </c>
      <c r="L6704">
        <v>26.48</v>
      </c>
    </row>
    <row r="6705" spans="1:12">
      <c r="A6705" s="1">
        <v>46050</v>
      </c>
      <c r="B6705" t="s">
        <v>4955</v>
      </c>
      <c r="C6705">
        <v>24</v>
      </c>
      <c r="D6705" t="str">
        <f>VLOOKUP(Tabela26[[#This Row],[EMP]],[1]LOJA!$A:$B,2,0)</f>
        <v>LUZIÂNIA</v>
      </c>
      <c r="E6705">
        <v>106</v>
      </c>
      <c r="F6705" t="s">
        <v>4201</v>
      </c>
      <c r="G6705" t="s">
        <v>4200</v>
      </c>
      <c r="H6705" t="s">
        <v>3401</v>
      </c>
      <c r="I6705">
        <v>5910</v>
      </c>
      <c r="J6705" s="3">
        <v>0</v>
      </c>
      <c r="K6705" s="3">
        <v>893.88</v>
      </c>
      <c r="L6705">
        <v>0</v>
      </c>
    </row>
    <row r="6706" spans="1:12">
      <c r="A6706" s="1">
        <v>46050</v>
      </c>
      <c r="B6706" t="s">
        <v>4954</v>
      </c>
      <c r="C6706">
        <v>24</v>
      </c>
      <c r="D6706" t="str">
        <f>VLOOKUP(Tabela26[[#This Row],[EMP]],[1]LOJA!$A:$B,2,0)</f>
        <v>LUZIÂNIA</v>
      </c>
      <c r="E6706">
        <v>106</v>
      </c>
      <c r="F6706" t="s">
        <v>4270</v>
      </c>
      <c r="G6706" t="s">
        <v>4269</v>
      </c>
      <c r="H6706" t="s">
        <v>3401</v>
      </c>
      <c r="I6706">
        <v>5910</v>
      </c>
      <c r="J6706" s="3">
        <v>0</v>
      </c>
      <c r="K6706" s="3">
        <v>893.88</v>
      </c>
      <c r="L6706">
        <v>0</v>
      </c>
    </row>
    <row r="6707" spans="1:12">
      <c r="A6707" s="1">
        <v>46050</v>
      </c>
      <c r="B6707" t="s">
        <v>4953</v>
      </c>
      <c r="C6707">
        <v>24</v>
      </c>
      <c r="D6707" t="str">
        <f>VLOOKUP(Tabela26[[#This Row],[EMP]],[1]LOJA!$A:$B,2,0)</f>
        <v>LUZIÂNIA</v>
      </c>
      <c r="E6707">
        <v>150</v>
      </c>
      <c r="F6707" t="s">
        <v>4952</v>
      </c>
      <c r="G6707" t="s">
        <v>4951</v>
      </c>
      <c r="H6707" t="s">
        <v>3430</v>
      </c>
      <c r="I6707">
        <v>5405</v>
      </c>
      <c r="J6707" s="3">
        <v>118.67</v>
      </c>
      <c r="K6707" s="3">
        <v>61.16</v>
      </c>
      <c r="L6707">
        <v>48.46</v>
      </c>
    </row>
    <row r="6708" spans="1:12">
      <c r="A6708" s="1">
        <v>46050</v>
      </c>
      <c r="B6708" t="s">
        <v>4950</v>
      </c>
      <c r="C6708">
        <v>24</v>
      </c>
      <c r="D6708" t="str">
        <f>VLOOKUP(Tabela26[[#This Row],[EMP]],[1]LOJA!$A:$B,2,0)</f>
        <v>LUZIÂNIA</v>
      </c>
      <c r="E6708">
        <v>192</v>
      </c>
      <c r="F6708" t="s">
        <v>4949</v>
      </c>
      <c r="G6708" t="s">
        <v>4948</v>
      </c>
      <c r="H6708" t="s">
        <v>3430</v>
      </c>
      <c r="I6708">
        <v>5405</v>
      </c>
      <c r="J6708" s="3">
        <v>198.49</v>
      </c>
      <c r="K6708" s="3">
        <v>110.47</v>
      </c>
      <c r="L6708">
        <v>44.34</v>
      </c>
    </row>
    <row r="6709" spans="1:12">
      <c r="A6709" s="1">
        <v>46050</v>
      </c>
      <c r="B6709" t="s">
        <v>4947</v>
      </c>
      <c r="C6709">
        <v>24</v>
      </c>
      <c r="D6709" t="str">
        <f>VLOOKUP(Tabela26[[#This Row],[EMP]],[1]LOJA!$A:$B,2,0)</f>
        <v>LUZIÂNIA</v>
      </c>
      <c r="E6709">
        <v>192</v>
      </c>
      <c r="F6709" t="s">
        <v>4946</v>
      </c>
      <c r="G6709" t="s">
        <v>4945</v>
      </c>
      <c r="H6709" t="s">
        <v>3430</v>
      </c>
      <c r="I6709">
        <v>5405</v>
      </c>
      <c r="J6709" s="3">
        <v>285</v>
      </c>
      <c r="K6709" s="3">
        <v>149.29</v>
      </c>
      <c r="L6709">
        <v>47.62</v>
      </c>
    </row>
    <row r="6710" spans="1:12">
      <c r="A6710" s="1">
        <v>46050</v>
      </c>
      <c r="B6710" t="s">
        <v>4944</v>
      </c>
      <c r="C6710">
        <v>24</v>
      </c>
      <c r="D6710" t="str">
        <f>VLOOKUP(Tabela26[[#This Row],[EMP]],[1]LOJA!$A:$B,2,0)</f>
        <v>LUZIÂNIA</v>
      </c>
      <c r="E6710">
        <v>192</v>
      </c>
      <c r="F6710" t="s">
        <v>4943</v>
      </c>
      <c r="G6710" t="s">
        <v>4942</v>
      </c>
      <c r="H6710" t="s">
        <v>4142</v>
      </c>
      <c r="I6710">
        <v>5102</v>
      </c>
      <c r="J6710" s="3">
        <v>2909.1</v>
      </c>
      <c r="K6710" s="3">
        <v>1848.64</v>
      </c>
      <c r="L6710">
        <v>36.450000000000003</v>
      </c>
    </row>
    <row r="6711" spans="1:12">
      <c r="A6711" s="1">
        <v>46050</v>
      </c>
      <c r="B6711" t="s">
        <v>4941</v>
      </c>
      <c r="C6711">
        <v>24</v>
      </c>
      <c r="D6711" t="str">
        <f>VLOOKUP(Tabela26[[#This Row],[EMP]],[1]LOJA!$A:$B,2,0)</f>
        <v>LUZIÂNIA</v>
      </c>
      <c r="E6711">
        <v>192</v>
      </c>
      <c r="F6711" t="s">
        <v>4940</v>
      </c>
      <c r="G6711" t="s">
        <v>4939</v>
      </c>
      <c r="H6711" t="s">
        <v>3430</v>
      </c>
      <c r="I6711">
        <v>5405</v>
      </c>
      <c r="J6711" s="3">
        <v>185</v>
      </c>
      <c r="K6711" s="3">
        <v>95.4</v>
      </c>
      <c r="L6711">
        <v>48.43</v>
      </c>
    </row>
    <row r="6712" spans="1:12">
      <c r="A6712" s="1">
        <v>46050</v>
      </c>
      <c r="B6712" t="s">
        <v>4938</v>
      </c>
      <c r="C6712">
        <v>16</v>
      </c>
      <c r="D6712" t="str">
        <f>VLOOKUP(Tabela26[[#This Row],[EMP]],[1]LOJA!$A:$B,2,0)</f>
        <v>AG LINDAS</v>
      </c>
      <c r="E6712">
        <v>240</v>
      </c>
      <c r="F6712" t="s">
        <v>4525</v>
      </c>
      <c r="G6712" t="s">
        <v>4524</v>
      </c>
      <c r="H6712" t="s">
        <v>3408</v>
      </c>
      <c r="I6712">
        <v>5405</v>
      </c>
      <c r="J6712" s="3">
        <v>1068.25</v>
      </c>
      <c r="K6712" s="3">
        <v>639.27</v>
      </c>
      <c r="L6712">
        <v>40.159999999999997</v>
      </c>
    </row>
    <row r="6713" spans="1:12">
      <c r="A6713" s="1">
        <v>46050</v>
      </c>
      <c r="B6713" t="s">
        <v>4937</v>
      </c>
      <c r="C6713">
        <v>20</v>
      </c>
      <c r="D6713" t="str">
        <f>VLOOKUP(Tabela26[[#This Row],[EMP]],[1]LOJA!$A:$B,2,0)</f>
        <v>DAUTO SERVIÇOS</v>
      </c>
      <c r="E6713">
        <v>232</v>
      </c>
      <c r="F6713" t="s">
        <v>4260</v>
      </c>
      <c r="G6713" t="s">
        <v>4259</v>
      </c>
      <c r="H6713" t="s">
        <v>3430</v>
      </c>
      <c r="I6713">
        <v>5933</v>
      </c>
      <c r="J6713" s="3">
        <v>1684.2</v>
      </c>
      <c r="K6713" s="3">
        <v>0</v>
      </c>
      <c r="L6713">
        <v>100</v>
      </c>
    </row>
    <row r="6714" spans="1:12">
      <c r="A6714" s="1">
        <v>46050</v>
      </c>
      <c r="B6714" t="s">
        <v>4936</v>
      </c>
      <c r="C6714">
        <v>20</v>
      </c>
      <c r="D6714" t="str">
        <f>VLOOKUP(Tabela26[[#This Row],[EMP]],[1]LOJA!$A:$B,2,0)</f>
        <v>DAUTO SERVIÇOS</v>
      </c>
      <c r="E6714">
        <v>232</v>
      </c>
      <c r="F6714" t="s">
        <v>4260</v>
      </c>
      <c r="G6714" t="s">
        <v>4259</v>
      </c>
      <c r="H6714" t="s">
        <v>3430</v>
      </c>
      <c r="I6714">
        <v>5933</v>
      </c>
      <c r="J6714" s="3">
        <v>6197.67</v>
      </c>
      <c r="K6714" s="3">
        <v>0</v>
      </c>
      <c r="L6714">
        <v>100</v>
      </c>
    </row>
    <row r="6715" spans="1:12">
      <c r="A6715" s="1">
        <v>46050</v>
      </c>
      <c r="B6715" t="s">
        <v>4935</v>
      </c>
      <c r="C6715">
        <v>20</v>
      </c>
      <c r="D6715" t="str">
        <f>VLOOKUP(Tabela26[[#This Row],[EMP]],[1]LOJA!$A:$B,2,0)</f>
        <v>DAUTO SERVIÇOS</v>
      </c>
      <c r="E6715">
        <v>232</v>
      </c>
      <c r="F6715" t="s">
        <v>4260</v>
      </c>
      <c r="G6715" t="s">
        <v>4259</v>
      </c>
      <c r="H6715" t="s">
        <v>3430</v>
      </c>
      <c r="I6715">
        <v>5933</v>
      </c>
      <c r="J6715" s="3">
        <v>300.14999999999998</v>
      </c>
      <c r="K6715" s="3">
        <v>0</v>
      </c>
      <c r="L6715">
        <v>100</v>
      </c>
    </row>
    <row r="6716" spans="1:12">
      <c r="A6716" s="1">
        <v>46050</v>
      </c>
      <c r="B6716" t="s">
        <v>4934</v>
      </c>
      <c r="C6716">
        <v>20</v>
      </c>
      <c r="D6716" t="str">
        <f>VLOOKUP(Tabela26[[#This Row],[EMP]],[1]LOJA!$A:$B,2,0)</f>
        <v>DAUTO SERVIÇOS</v>
      </c>
      <c r="E6716">
        <v>232</v>
      </c>
      <c r="F6716" t="s">
        <v>4260</v>
      </c>
      <c r="G6716" t="s">
        <v>4259</v>
      </c>
      <c r="H6716" t="s">
        <v>3430</v>
      </c>
      <c r="I6716">
        <v>5933</v>
      </c>
      <c r="J6716" s="3">
        <v>650.25</v>
      </c>
      <c r="K6716" s="3">
        <v>0</v>
      </c>
      <c r="L6716">
        <v>100</v>
      </c>
    </row>
    <row r="6717" spans="1:12">
      <c r="A6717" s="1">
        <v>46050</v>
      </c>
      <c r="B6717" t="s">
        <v>4933</v>
      </c>
      <c r="C6717">
        <v>20</v>
      </c>
      <c r="D6717" t="str">
        <f>VLOOKUP(Tabela26[[#This Row],[EMP]],[1]LOJA!$A:$B,2,0)</f>
        <v>DAUTO SERVIÇOS</v>
      </c>
      <c r="E6717">
        <v>232</v>
      </c>
      <c r="F6717" t="s">
        <v>4260</v>
      </c>
      <c r="G6717" t="s">
        <v>4259</v>
      </c>
      <c r="H6717" t="s">
        <v>3430</v>
      </c>
      <c r="I6717">
        <v>5933</v>
      </c>
      <c r="J6717" s="3">
        <v>2770.68</v>
      </c>
      <c r="K6717" s="3">
        <v>0</v>
      </c>
      <c r="L6717">
        <v>100</v>
      </c>
    </row>
    <row r="6718" spans="1:12">
      <c r="A6718" s="1">
        <v>46050</v>
      </c>
      <c r="B6718" t="s">
        <v>4932</v>
      </c>
      <c r="C6718">
        <v>20</v>
      </c>
      <c r="D6718" t="str">
        <f>VLOOKUP(Tabela26[[#This Row],[EMP]],[1]LOJA!$A:$B,2,0)</f>
        <v>DAUTO SERVIÇOS</v>
      </c>
      <c r="E6718">
        <v>232</v>
      </c>
      <c r="F6718" t="s">
        <v>4260</v>
      </c>
      <c r="G6718" t="s">
        <v>4259</v>
      </c>
      <c r="H6718" t="s">
        <v>3430</v>
      </c>
      <c r="I6718">
        <v>5933</v>
      </c>
      <c r="J6718" s="3">
        <v>712.76</v>
      </c>
      <c r="K6718" s="3">
        <v>0</v>
      </c>
      <c r="L6718">
        <v>100</v>
      </c>
    </row>
    <row r="6719" spans="1:12">
      <c r="A6719" s="1">
        <v>46050</v>
      </c>
      <c r="B6719" t="s">
        <v>4931</v>
      </c>
      <c r="C6719">
        <v>20</v>
      </c>
      <c r="D6719" t="str">
        <f>VLOOKUP(Tabela26[[#This Row],[EMP]],[1]LOJA!$A:$B,2,0)</f>
        <v>DAUTO SERVIÇOS</v>
      </c>
      <c r="E6719">
        <v>232</v>
      </c>
      <c r="F6719" t="s">
        <v>4260</v>
      </c>
      <c r="G6719" t="s">
        <v>4259</v>
      </c>
      <c r="H6719" t="s">
        <v>3430</v>
      </c>
      <c r="I6719">
        <v>5933</v>
      </c>
      <c r="J6719" s="3">
        <v>816</v>
      </c>
      <c r="K6719" s="3">
        <v>0</v>
      </c>
      <c r="L6719">
        <v>100</v>
      </c>
    </row>
    <row r="6720" spans="1:12">
      <c r="A6720" s="1">
        <v>46050</v>
      </c>
      <c r="B6720" t="s">
        <v>4930</v>
      </c>
      <c r="C6720">
        <v>20</v>
      </c>
      <c r="D6720" t="str">
        <f>VLOOKUP(Tabela26[[#This Row],[EMP]],[1]LOJA!$A:$B,2,0)</f>
        <v>DAUTO SERVIÇOS</v>
      </c>
      <c r="E6720">
        <v>232</v>
      </c>
      <c r="F6720" t="s">
        <v>4260</v>
      </c>
      <c r="G6720" t="s">
        <v>4259</v>
      </c>
      <c r="H6720" t="s">
        <v>3430</v>
      </c>
      <c r="I6720">
        <v>5933</v>
      </c>
      <c r="J6720" s="3">
        <v>1794.12</v>
      </c>
      <c r="K6720" s="3">
        <v>0</v>
      </c>
      <c r="L6720">
        <v>100</v>
      </c>
    </row>
    <row r="6721" spans="1:12">
      <c r="A6721" s="1">
        <v>46050</v>
      </c>
      <c r="B6721" t="s">
        <v>4929</v>
      </c>
      <c r="C6721">
        <v>20</v>
      </c>
      <c r="D6721" t="str">
        <f>VLOOKUP(Tabela26[[#This Row],[EMP]],[1]LOJA!$A:$B,2,0)</f>
        <v>DAUTO SERVIÇOS</v>
      </c>
      <c r="E6721">
        <v>232</v>
      </c>
      <c r="F6721" t="s">
        <v>4260</v>
      </c>
      <c r="G6721" t="s">
        <v>4259</v>
      </c>
      <c r="H6721" t="s">
        <v>3430</v>
      </c>
      <c r="I6721">
        <v>5933</v>
      </c>
      <c r="J6721" s="3">
        <v>300.14999999999998</v>
      </c>
      <c r="K6721" s="3">
        <v>0</v>
      </c>
      <c r="L6721">
        <v>100</v>
      </c>
    </row>
    <row r="6722" spans="1:12">
      <c r="A6722" s="1">
        <v>46050</v>
      </c>
      <c r="B6722" t="s">
        <v>4928</v>
      </c>
      <c r="C6722">
        <v>20</v>
      </c>
      <c r="D6722" t="str">
        <f>VLOOKUP(Tabela26[[#This Row],[EMP]],[1]LOJA!$A:$B,2,0)</f>
        <v>DAUTO SERVIÇOS</v>
      </c>
      <c r="E6722">
        <v>232</v>
      </c>
      <c r="F6722" t="s">
        <v>4260</v>
      </c>
      <c r="G6722" t="s">
        <v>4259</v>
      </c>
      <c r="H6722" t="s">
        <v>3430</v>
      </c>
      <c r="I6722">
        <v>5933</v>
      </c>
      <c r="J6722" s="3">
        <v>2257.5700000000002</v>
      </c>
      <c r="K6722" s="3">
        <v>0</v>
      </c>
      <c r="L6722">
        <v>100</v>
      </c>
    </row>
    <row r="6723" spans="1:12">
      <c r="A6723" s="1">
        <v>46050</v>
      </c>
      <c r="B6723" t="s">
        <v>4927</v>
      </c>
      <c r="C6723">
        <v>20</v>
      </c>
      <c r="D6723" t="str">
        <f>VLOOKUP(Tabela26[[#This Row],[EMP]],[1]LOJA!$A:$B,2,0)</f>
        <v>DAUTO SERVIÇOS</v>
      </c>
      <c r="E6723">
        <v>232</v>
      </c>
      <c r="F6723" t="s">
        <v>4260</v>
      </c>
      <c r="G6723" t="s">
        <v>4259</v>
      </c>
      <c r="H6723" t="s">
        <v>3430</v>
      </c>
      <c r="I6723">
        <v>5933</v>
      </c>
      <c r="J6723" s="3">
        <v>1700.42</v>
      </c>
      <c r="K6723" s="3">
        <v>0</v>
      </c>
      <c r="L6723">
        <v>100</v>
      </c>
    </row>
    <row r="6724" spans="1:12">
      <c r="A6724" s="1">
        <v>46050</v>
      </c>
      <c r="B6724" t="s">
        <v>4926</v>
      </c>
      <c r="C6724">
        <v>15</v>
      </c>
      <c r="D6724" t="str">
        <f>VLOOKUP(Tabela26[[#This Row],[EMP]],[1]LOJA!$A:$B,2,0)</f>
        <v>UNAÍ</v>
      </c>
      <c r="E6724">
        <v>183</v>
      </c>
      <c r="F6724" t="s">
        <v>4925</v>
      </c>
      <c r="G6724" t="s">
        <v>4924</v>
      </c>
      <c r="H6724" t="s">
        <v>3401</v>
      </c>
      <c r="I6724">
        <v>5405</v>
      </c>
      <c r="J6724" s="3">
        <v>47.9</v>
      </c>
      <c r="K6724" s="3">
        <v>24.25</v>
      </c>
      <c r="L6724">
        <v>49.37</v>
      </c>
    </row>
    <row r="6725" spans="1:12">
      <c r="A6725" s="1">
        <v>46050</v>
      </c>
      <c r="B6725" t="s">
        <v>4923</v>
      </c>
      <c r="C6725">
        <v>15</v>
      </c>
      <c r="D6725" t="str">
        <f>VLOOKUP(Tabela26[[#This Row],[EMP]],[1]LOJA!$A:$B,2,0)</f>
        <v>UNAÍ</v>
      </c>
      <c r="E6725">
        <v>183</v>
      </c>
      <c r="F6725" t="s">
        <v>4731</v>
      </c>
      <c r="G6725" t="s">
        <v>4730</v>
      </c>
      <c r="H6725" t="s">
        <v>3401</v>
      </c>
      <c r="I6725">
        <v>5102</v>
      </c>
      <c r="J6725" s="3">
        <v>913.5</v>
      </c>
      <c r="K6725" s="3">
        <v>462.45</v>
      </c>
      <c r="L6725">
        <v>49.38</v>
      </c>
    </row>
    <row r="6726" spans="1:12">
      <c r="A6726" s="1">
        <v>46050</v>
      </c>
      <c r="B6726" t="s">
        <v>4922</v>
      </c>
      <c r="C6726">
        <v>22</v>
      </c>
      <c r="D6726" t="str">
        <f>VLOOKUP(Tabela26[[#This Row],[EMP]],[1]LOJA!$A:$B,2,0)</f>
        <v>GUARÁ</v>
      </c>
      <c r="E6726">
        <v>93</v>
      </c>
      <c r="F6726" t="s">
        <v>4246</v>
      </c>
      <c r="G6726" t="s">
        <v>4245</v>
      </c>
      <c r="H6726" t="s">
        <v>3430</v>
      </c>
      <c r="I6726">
        <v>5405</v>
      </c>
      <c r="J6726" s="3">
        <v>85.03</v>
      </c>
      <c r="K6726" s="3">
        <v>43.34</v>
      </c>
      <c r="L6726">
        <v>49.03</v>
      </c>
    </row>
    <row r="6727" spans="1:12">
      <c r="A6727" s="1">
        <v>46050</v>
      </c>
      <c r="B6727" t="s">
        <v>4921</v>
      </c>
      <c r="C6727">
        <v>22</v>
      </c>
      <c r="D6727" t="str">
        <f>VLOOKUP(Tabela26[[#This Row],[EMP]],[1]LOJA!$A:$B,2,0)</f>
        <v>GUARÁ</v>
      </c>
      <c r="E6727">
        <v>93</v>
      </c>
      <c r="F6727" t="s">
        <v>4920</v>
      </c>
      <c r="G6727" t="s">
        <v>4919</v>
      </c>
      <c r="H6727" t="s">
        <v>3430</v>
      </c>
      <c r="I6727">
        <v>5405</v>
      </c>
      <c r="J6727" s="3">
        <v>231.7</v>
      </c>
      <c r="K6727" s="3">
        <v>125.73</v>
      </c>
      <c r="L6727">
        <v>45.74</v>
      </c>
    </row>
    <row r="6728" spans="1:12">
      <c r="A6728" s="1">
        <v>46050</v>
      </c>
      <c r="B6728" t="s">
        <v>4918</v>
      </c>
      <c r="C6728">
        <v>22</v>
      </c>
      <c r="D6728" t="str">
        <f>VLOOKUP(Tabela26[[#This Row],[EMP]],[1]LOJA!$A:$B,2,0)</f>
        <v>GUARÁ</v>
      </c>
      <c r="E6728">
        <v>16</v>
      </c>
      <c r="F6728" t="s">
        <v>4917</v>
      </c>
      <c r="G6728" t="s">
        <v>4916</v>
      </c>
      <c r="H6728" t="s">
        <v>3430</v>
      </c>
      <c r="I6728">
        <v>5102</v>
      </c>
      <c r="J6728" s="3">
        <v>102</v>
      </c>
      <c r="K6728" s="3">
        <v>65.03</v>
      </c>
      <c r="L6728">
        <v>36.25</v>
      </c>
    </row>
    <row r="6729" spans="1:12">
      <c r="A6729" s="1">
        <v>46050</v>
      </c>
      <c r="B6729" t="s">
        <v>4915</v>
      </c>
      <c r="C6729">
        <v>22</v>
      </c>
      <c r="D6729" t="str">
        <f>VLOOKUP(Tabela26[[#This Row],[EMP]],[1]LOJA!$A:$B,2,0)</f>
        <v>GUARÁ</v>
      </c>
      <c r="E6729">
        <v>93</v>
      </c>
      <c r="F6729" t="s">
        <v>4914</v>
      </c>
      <c r="G6729" t="s">
        <v>4913</v>
      </c>
      <c r="H6729" t="s">
        <v>3408</v>
      </c>
      <c r="I6729">
        <v>5405</v>
      </c>
      <c r="J6729" s="3">
        <v>2352</v>
      </c>
      <c r="K6729" s="3">
        <v>1178.8800000000001</v>
      </c>
      <c r="L6729">
        <v>49.88</v>
      </c>
    </row>
    <row r="6730" spans="1:12">
      <c r="A6730" s="1">
        <v>46050</v>
      </c>
      <c r="B6730" t="s">
        <v>4912</v>
      </c>
      <c r="C6730">
        <v>24</v>
      </c>
      <c r="D6730" t="str">
        <f>VLOOKUP(Tabela26[[#This Row],[EMP]],[1]LOJA!$A:$B,2,0)</f>
        <v>LUZIÂNIA</v>
      </c>
      <c r="E6730">
        <v>192</v>
      </c>
      <c r="F6730" t="s">
        <v>4169</v>
      </c>
      <c r="G6730" t="s">
        <v>4168</v>
      </c>
      <c r="H6730" t="s">
        <v>3401</v>
      </c>
      <c r="I6730">
        <v>5405</v>
      </c>
      <c r="J6730" s="3">
        <v>529.05999999999995</v>
      </c>
      <c r="K6730" s="3">
        <v>335.31</v>
      </c>
      <c r="L6730">
        <v>36.619999999999997</v>
      </c>
    </row>
    <row r="6731" spans="1:12">
      <c r="A6731" s="1">
        <v>46050</v>
      </c>
      <c r="B6731" t="s">
        <v>4911</v>
      </c>
      <c r="C6731">
        <v>24</v>
      </c>
      <c r="D6731" t="str">
        <f>VLOOKUP(Tabela26[[#This Row],[EMP]],[1]LOJA!$A:$B,2,0)</f>
        <v>LUZIÂNIA</v>
      </c>
      <c r="E6731">
        <v>242</v>
      </c>
      <c r="F6731" t="s">
        <v>3524</v>
      </c>
      <c r="G6731" t="s">
        <v>3402</v>
      </c>
      <c r="H6731" t="s">
        <v>3401</v>
      </c>
      <c r="I6731">
        <v>5102</v>
      </c>
      <c r="J6731" s="3">
        <v>435</v>
      </c>
      <c r="K6731" s="3">
        <v>230.02</v>
      </c>
      <c r="L6731">
        <v>47.12</v>
      </c>
    </row>
    <row r="6732" spans="1:12">
      <c r="A6732" s="1">
        <v>46050</v>
      </c>
      <c r="B6732" t="s">
        <v>4910</v>
      </c>
      <c r="C6732">
        <v>24</v>
      </c>
      <c r="D6732" t="str">
        <f>VLOOKUP(Tabela26[[#This Row],[EMP]],[1]LOJA!$A:$B,2,0)</f>
        <v>LUZIÂNIA</v>
      </c>
      <c r="E6732">
        <v>150</v>
      </c>
      <c r="F6732" t="s">
        <v>3524</v>
      </c>
      <c r="G6732" t="s">
        <v>3402</v>
      </c>
      <c r="H6732" t="s">
        <v>3401</v>
      </c>
      <c r="I6732">
        <v>5102</v>
      </c>
      <c r="J6732" s="3">
        <v>148</v>
      </c>
      <c r="K6732" s="3">
        <v>81.39</v>
      </c>
      <c r="L6732">
        <v>45.01</v>
      </c>
    </row>
    <row r="6733" spans="1:12">
      <c r="A6733" s="1">
        <v>46050</v>
      </c>
      <c r="B6733" t="s">
        <v>4909</v>
      </c>
      <c r="C6733">
        <v>24</v>
      </c>
      <c r="D6733" t="str">
        <f>VLOOKUP(Tabela26[[#This Row],[EMP]],[1]LOJA!$A:$B,2,0)</f>
        <v>LUZIÂNIA</v>
      </c>
      <c r="E6733">
        <v>192</v>
      </c>
      <c r="F6733" t="s">
        <v>4194</v>
      </c>
      <c r="G6733" t="s">
        <v>4193</v>
      </c>
      <c r="H6733" t="s">
        <v>3401</v>
      </c>
      <c r="I6733">
        <v>5405</v>
      </c>
      <c r="J6733" s="3">
        <v>135.5</v>
      </c>
      <c r="K6733" s="3">
        <v>67.86</v>
      </c>
      <c r="L6733">
        <v>49.92</v>
      </c>
    </row>
    <row r="6734" spans="1:12">
      <c r="A6734" s="1">
        <v>46050</v>
      </c>
      <c r="B6734" t="s">
        <v>4908</v>
      </c>
      <c r="C6734">
        <v>24</v>
      </c>
      <c r="D6734" t="str">
        <f>VLOOKUP(Tabela26[[#This Row],[EMP]],[1]LOJA!$A:$B,2,0)</f>
        <v>LUZIÂNIA</v>
      </c>
      <c r="E6734">
        <v>242</v>
      </c>
      <c r="F6734" t="s">
        <v>3524</v>
      </c>
      <c r="G6734" t="s">
        <v>3402</v>
      </c>
      <c r="H6734" t="s">
        <v>3401</v>
      </c>
      <c r="I6734">
        <v>5405</v>
      </c>
      <c r="J6734" s="3">
        <v>42</v>
      </c>
      <c r="K6734" s="3">
        <v>23.35</v>
      </c>
      <c r="L6734">
        <v>44.4</v>
      </c>
    </row>
    <row r="6735" spans="1:12">
      <c r="A6735" s="1">
        <v>46050</v>
      </c>
      <c r="B6735" t="s">
        <v>4907</v>
      </c>
      <c r="C6735">
        <v>24</v>
      </c>
      <c r="D6735" t="str">
        <f>VLOOKUP(Tabela26[[#This Row],[EMP]],[1]LOJA!$A:$B,2,0)</f>
        <v>LUZIÂNIA</v>
      </c>
      <c r="E6735">
        <v>192</v>
      </c>
      <c r="F6735" t="s">
        <v>4906</v>
      </c>
      <c r="G6735" t="s">
        <v>3402</v>
      </c>
      <c r="H6735" t="s">
        <v>3401</v>
      </c>
      <c r="I6735">
        <v>5102</v>
      </c>
      <c r="J6735" s="3">
        <v>103.6</v>
      </c>
      <c r="K6735" s="3">
        <v>67.42</v>
      </c>
      <c r="L6735">
        <v>34.92</v>
      </c>
    </row>
    <row r="6736" spans="1:12">
      <c r="A6736" s="1">
        <v>46050</v>
      </c>
      <c r="B6736" t="s">
        <v>4905</v>
      </c>
      <c r="C6736">
        <v>24</v>
      </c>
      <c r="D6736" t="str">
        <f>VLOOKUP(Tabela26[[#This Row],[EMP]],[1]LOJA!$A:$B,2,0)</f>
        <v>LUZIÂNIA</v>
      </c>
      <c r="E6736">
        <v>192</v>
      </c>
      <c r="F6736" t="s">
        <v>3524</v>
      </c>
      <c r="G6736" t="s">
        <v>3402</v>
      </c>
      <c r="H6736" t="s">
        <v>3401</v>
      </c>
      <c r="I6736">
        <v>5102</v>
      </c>
      <c r="J6736" s="3">
        <v>36</v>
      </c>
      <c r="K6736" s="3">
        <v>18.66</v>
      </c>
      <c r="L6736">
        <v>48.17</v>
      </c>
    </row>
    <row r="6737" spans="1:12">
      <c r="A6737" s="1">
        <v>46050</v>
      </c>
      <c r="B6737" t="s">
        <v>4904</v>
      </c>
      <c r="C6737">
        <v>24</v>
      </c>
      <c r="D6737" t="str">
        <f>VLOOKUP(Tabela26[[#This Row],[EMP]],[1]LOJA!$A:$B,2,0)</f>
        <v>LUZIÂNIA</v>
      </c>
      <c r="E6737">
        <v>192</v>
      </c>
      <c r="F6737" t="s">
        <v>3524</v>
      </c>
      <c r="G6737" t="s">
        <v>3402</v>
      </c>
      <c r="H6737" t="s">
        <v>3401</v>
      </c>
      <c r="I6737">
        <v>5102</v>
      </c>
      <c r="J6737" s="3">
        <v>18.399999999999999</v>
      </c>
      <c r="K6737" s="3">
        <v>8.2799999999999994</v>
      </c>
      <c r="L6737">
        <v>55</v>
      </c>
    </row>
    <row r="6738" spans="1:12">
      <c r="A6738" s="1">
        <v>46050</v>
      </c>
      <c r="B6738" t="s">
        <v>4903</v>
      </c>
      <c r="C6738">
        <v>24</v>
      </c>
      <c r="D6738" t="str">
        <f>VLOOKUP(Tabela26[[#This Row],[EMP]],[1]LOJA!$A:$B,2,0)</f>
        <v>LUZIÂNIA</v>
      </c>
      <c r="E6738">
        <v>150</v>
      </c>
      <c r="F6738" t="s">
        <v>4902</v>
      </c>
      <c r="G6738" t="s">
        <v>3402</v>
      </c>
      <c r="H6738" t="s">
        <v>3408</v>
      </c>
      <c r="I6738">
        <v>5102</v>
      </c>
      <c r="J6738" s="3">
        <v>44</v>
      </c>
      <c r="K6738" s="3">
        <v>18.68</v>
      </c>
      <c r="L6738">
        <v>57.55</v>
      </c>
    </row>
    <row r="6739" spans="1:12">
      <c r="A6739" s="1">
        <v>46050</v>
      </c>
      <c r="B6739" t="s">
        <v>4901</v>
      </c>
      <c r="C6739">
        <v>24</v>
      </c>
      <c r="D6739" t="str">
        <f>VLOOKUP(Tabela26[[#This Row],[EMP]],[1]LOJA!$A:$B,2,0)</f>
        <v>LUZIÂNIA</v>
      </c>
      <c r="E6739">
        <v>150</v>
      </c>
      <c r="F6739" t="s">
        <v>4201</v>
      </c>
      <c r="G6739" t="s">
        <v>4200</v>
      </c>
      <c r="H6739" t="s">
        <v>3408</v>
      </c>
      <c r="I6739">
        <v>5405</v>
      </c>
      <c r="J6739" s="3">
        <v>359.4</v>
      </c>
      <c r="K6739" s="3">
        <v>206.76</v>
      </c>
      <c r="L6739">
        <v>42.47</v>
      </c>
    </row>
    <row r="6740" spans="1:12">
      <c r="A6740" s="1">
        <v>46050</v>
      </c>
      <c r="B6740" t="s">
        <v>4900</v>
      </c>
      <c r="C6740">
        <v>24</v>
      </c>
      <c r="D6740" t="str">
        <f>VLOOKUP(Tabela26[[#This Row],[EMP]],[1]LOJA!$A:$B,2,0)</f>
        <v>LUZIÂNIA</v>
      </c>
      <c r="E6740">
        <v>192</v>
      </c>
      <c r="F6740" t="s">
        <v>4832</v>
      </c>
      <c r="G6740" t="s">
        <v>4831</v>
      </c>
      <c r="H6740" t="s">
        <v>3401</v>
      </c>
      <c r="I6740">
        <v>5405</v>
      </c>
      <c r="J6740" s="3">
        <v>458</v>
      </c>
      <c r="K6740" s="3">
        <v>251.2</v>
      </c>
      <c r="L6740">
        <v>45.15</v>
      </c>
    </row>
    <row r="6741" spans="1:12">
      <c r="A6741" s="1">
        <v>46050</v>
      </c>
      <c r="B6741" t="s">
        <v>4899</v>
      </c>
      <c r="C6741">
        <v>24</v>
      </c>
      <c r="D6741" t="str">
        <f>VLOOKUP(Tabela26[[#This Row],[EMP]],[1]LOJA!$A:$B,2,0)</f>
        <v>LUZIÂNIA</v>
      </c>
      <c r="E6741">
        <v>150</v>
      </c>
      <c r="F6741" t="s">
        <v>4898</v>
      </c>
      <c r="G6741" t="s">
        <v>4897</v>
      </c>
      <c r="H6741" t="s">
        <v>3408</v>
      </c>
      <c r="I6741">
        <v>5405</v>
      </c>
      <c r="J6741" s="3">
        <v>205.9</v>
      </c>
      <c r="K6741" s="3">
        <v>110.82</v>
      </c>
      <c r="L6741">
        <v>46.18</v>
      </c>
    </row>
    <row r="6742" spans="1:12">
      <c r="A6742" s="1">
        <v>46050</v>
      </c>
      <c r="B6742" t="s">
        <v>4896</v>
      </c>
      <c r="C6742">
        <v>24</v>
      </c>
      <c r="D6742" t="str">
        <f>VLOOKUP(Tabela26[[#This Row],[EMP]],[1]LOJA!$A:$B,2,0)</f>
        <v>LUZIÂNIA</v>
      </c>
      <c r="E6742">
        <v>192</v>
      </c>
      <c r="F6742" t="s">
        <v>4895</v>
      </c>
      <c r="G6742" t="s">
        <v>3437</v>
      </c>
      <c r="H6742" t="s">
        <v>3408</v>
      </c>
      <c r="I6742">
        <v>5102</v>
      </c>
      <c r="J6742" s="3">
        <v>27.9</v>
      </c>
      <c r="K6742" s="3">
        <v>13.56</v>
      </c>
      <c r="L6742">
        <v>51.4</v>
      </c>
    </row>
    <row r="6743" spans="1:12">
      <c r="A6743" s="1">
        <v>46050</v>
      </c>
      <c r="B6743" t="s">
        <v>4894</v>
      </c>
      <c r="C6743">
        <v>24</v>
      </c>
      <c r="D6743" t="str">
        <f>VLOOKUP(Tabela26[[#This Row],[EMP]],[1]LOJA!$A:$B,2,0)</f>
        <v>LUZIÂNIA</v>
      </c>
      <c r="E6743">
        <v>242</v>
      </c>
      <c r="F6743" t="s">
        <v>4179</v>
      </c>
      <c r="G6743" t="s">
        <v>4178</v>
      </c>
      <c r="H6743" t="s">
        <v>3401</v>
      </c>
      <c r="I6743">
        <v>5405</v>
      </c>
      <c r="J6743" s="3">
        <v>94</v>
      </c>
      <c r="K6743" s="3">
        <v>56.37</v>
      </c>
      <c r="L6743">
        <v>40.03</v>
      </c>
    </row>
    <row r="6744" spans="1:12">
      <c r="A6744" s="1">
        <v>46050</v>
      </c>
      <c r="B6744" t="s">
        <v>4893</v>
      </c>
      <c r="C6744">
        <v>24</v>
      </c>
      <c r="D6744" t="str">
        <f>VLOOKUP(Tabela26[[#This Row],[EMP]],[1]LOJA!$A:$B,2,0)</f>
        <v>LUZIÂNIA</v>
      </c>
      <c r="E6744">
        <v>192</v>
      </c>
      <c r="F6744" t="s">
        <v>4892</v>
      </c>
      <c r="G6744" t="s">
        <v>4891</v>
      </c>
      <c r="H6744" t="s">
        <v>3401</v>
      </c>
      <c r="I6744">
        <v>5405</v>
      </c>
      <c r="J6744" s="3">
        <v>292.38</v>
      </c>
      <c r="K6744" s="3">
        <v>183.14</v>
      </c>
      <c r="L6744">
        <v>37.36</v>
      </c>
    </row>
    <row r="6745" spans="1:12">
      <c r="A6745" s="1">
        <v>46050</v>
      </c>
      <c r="B6745" t="s">
        <v>4890</v>
      </c>
      <c r="C6745">
        <v>24</v>
      </c>
      <c r="D6745" t="str">
        <f>VLOOKUP(Tabela26[[#This Row],[EMP]],[1]LOJA!$A:$B,2,0)</f>
        <v>LUZIÂNIA</v>
      </c>
      <c r="E6745">
        <v>150</v>
      </c>
      <c r="F6745" t="s">
        <v>4880</v>
      </c>
      <c r="G6745" t="s">
        <v>4879</v>
      </c>
      <c r="H6745" t="s">
        <v>3408</v>
      </c>
      <c r="I6745">
        <v>5405</v>
      </c>
      <c r="J6745" s="3">
        <v>148.38</v>
      </c>
      <c r="K6745" s="3">
        <v>78.98</v>
      </c>
      <c r="L6745">
        <v>46.77</v>
      </c>
    </row>
    <row r="6746" spans="1:12">
      <c r="A6746" s="1">
        <v>46050</v>
      </c>
      <c r="B6746" t="s">
        <v>4889</v>
      </c>
      <c r="C6746">
        <v>24</v>
      </c>
      <c r="D6746" t="str">
        <f>VLOOKUP(Tabela26[[#This Row],[EMP]],[1]LOJA!$A:$B,2,0)</f>
        <v>LUZIÂNIA</v>
      </c>
      <c r="E6746">
        <v>192</v>
      </c>
      <c r="F6746" t="s">
        <v>3524</v>
      </c>
      <c r="G6746" t="s">
        <v>3402</v>
      </c>
      <c r="H6746" t="s">
        <v>3401</v>
      </c>
      <c r="I6746">
        <v>5102</v>
      </c>
      <c r="J6746" s="3">
        <v>8</v>
      </c>
      <c r="K6746" s="3">
        <v>4.6399999999999997</v>
      </c>
      <c r="L6746">
        <v>42</v>
      </c>
    </row>
    <row r="6747" spans="1:12">
      <c r="A6747" s="1">
        <v>46050</v>
      </c>
      <c r="B6747" t="s">
        <v>4888</v>
      </c>
      <c r="C6747">
        <v>24</v>
      </c>
      <c r="D6747" t="str">
        <f>VLOOKUP(Tabela26[[#This Row],[EMP]],[1]LOJA!$A:$B,2,0)</f>
        <v>LUZIÂNIA</v>
      </c>
      <c r="E6747">
        <v>242</v>
      </c>
      <c r="F6747" t="s">
        <v>3524</v>
      </c>
      <c r="G6747" t="s">
        <v>3402</v>
      </c>
      <c r="H6747" t="s">
        <v>3401</v>
      </c>
      <c r="I6747">
        <v>5405</v>
      </c>
      <c r="J6747" s="3">
        <v>248</v>
      </c>
      <c r="K6747" s="3">
        <v>151.81</v>
      </c>
      <c r="L6747">
        <v>38.79</v>
      </c>
    </row>
    <row r="6748" spans="1:12">
      <c r="A6748" s="1">
        <v>46050</v>
      </c>
      <c r="B6748" t="s">
        <v>4887</v>
      </c>
      <c r="C6748">
        <v>24</v>
      </c>
      <c r="D6748" t="str">
        <f>VLOOKUP(Tabela26[[#This Row],[EMP]],[1]LOJA!$A:$B,2,0)</f>
        <v>LUZIÂNIA</v>
      </c>
      <c r="E6748">
        <v>242</v>
      </c>
      <c r="F6748" t="s">
        <v>4886</v>
      </c>
      <c r="G6748" t="s">
        <v>4885</v>
      </c>
      <c r="H6748" t="s">
        <v>3401</v>
      </c>
      <c r="I6748">
        <v>5405</v>
      </c>
      <c r="J6748" s="3">
        <v>75</v>
      </c>
      <c r="K6748" s="3">
        <v>33.29</v>
      </c>
      <c r="L6748">
        <v>55.61</v>
      </c>
    </row>
    <row r="6749" spans="1:12">
      <c r="A6749" s="1">
        <v>46050</v>
      </c>
      <c r="B6749" t="s">
        <v>4884</v>
      </c>
      <c r="C6749">
        <v>24</v>
      </c>
      <c r="D6749" t="str">
        <f>VLOOKUP(Tabela26[[#This Row],[EMP]],[1]LOJA!$A:$B,2,0)</f>
        <v>LUZIÂNIA</v>
      </c>
      <c r="E6749">
        <v>192</v>
      </c>
      <c r="F6749" t="s">
        <v>4883</v>
      </c>
      <c r="G6749" t="s">
        <v>4882</v>
      </c>
      <c r="H6749" t="s">
        <v>3408</v>
      </c>
      <c r="I6749">
        <v>5405</v>
      </c>
      <c r="J6749" s="3">
        <v>39</v>
      </c>
      <c r="K6749" s="3">
        <v>17.86</v>
      </c>
      <c r="L6749">
        <v>54.21</v>
      </c>
    </row>
    <row r="6750" spans="1:12">
      <c r="A6750" s="1">
        <v>46050</v>
      </c>
      <c r="B6750" t="s">
        <v>4881</v>
      </c>
      <c r="C6750">
        <v>24</v>
      </c>
      <c r="D6750" t="str">
        <f>VLOOKUP(Tabela26[[#This Row],[EMP]],[1]LOJA!$A:$B,2,0)</f>
        <v>LUZIÂNIA</v>
      </c>
      <c r="E6750">
        <v>150</v>
      </c>
      <c r="F6750" t="s">
        <v>4880</v>
      </c>
      <c r="G6750" t="s">
        <v>4879</v>
      </c>
      <c r="H6750" t="s">
        <v>3408</v>
      </c>
      <c r="I6750">
        <v>5102</v>
      </c>
      <c r="J6750" s="3">
        <v>35</v>
      </c>
      <c r="K6750" s="3">
        <v>18.02</v>
      </c>
      <c r="L6750">
        <v>48.51</v>
      </c>
    </row>
    <row r="6751" spans="1:12">
      <c r="A6751" s="1">
        <v>46050</v>
      </c>
      <c r="B6751" t="s">
        <v>4878</v>
      </c>
      <c r="C6751">
        <v>24</v>
      </c>
      <c r="D6751" t="str">
        <f>VLOOKUP(Tabela26[[#This Row],[EMP]],[1]LOJA!$A:$B,2,0)</f>
        <v>LUZIÂNIA</v>
      </c>
      <c r="E6751">
        <v>192</v>
      </c>
      <c r="F6751" t="s">
        <v>3524</v>
      </c>
      <c r="G6751" t="s">
        <v>3402</v>
      </c>
      <c r="H6751" t="s">
        <v>3401</v>
      </c>
      <c r="I6751">
        <v>5102</v>
      </c>
      <c r="J6751" s="3">
        <v>80</v>
      </c>
      <c r="K6751" s="3">
        <v>42.66</v>
      </c>
      <c r="L6751">
        <v>46.68</v>
      </c>
    </row>
    <row r="6752" spans="1:12">
      <c r="A6752" s="1">
        <v>46050</v>
      </c>
      <c r="B6752" t="s">
        <v>4877</v>
      </c>
      <c r="C6752">
        <v>24</v>
      </c>
      <c r="D6752" t="str">
        <f>VLOOKUP(Tabela26[[#This Row],[EMP]],[1]LOJA!$A:$B,2,0)</f>
        <v>LUZIÂNIA</v>
      </c>
      <c r="E6752">
        <v>192</v>
      </c>
      <c r="F6752" t="s">
        <v>3524</v>
      </c>
      <c r="G6752" t="s">
        <v>3402</v>
      </c>
      <c r="H6752" t="s">
        <v>3401</v>
      </c>
      <c r="I6752">
        <v>5405</v>
      </c>
      <c r="J6752" s="3">
        <v>63</v>
      </c>
      <c r="K6752" s="3">
        <v>30.65</v>
      </c>
      <c r="L6752">
        <v>51.35</v>
      </c>
    </row>
    <row r="6753" spans="1:12">
      <c r="A6753" s="1">
        <v>46050</v>
      </c>
      <c r="B6753" t="s">
        <v>4876</v>
      </c>
      <c r="C6753">
        <v>24</v>
      </c>
      <c r="D6753" t="str">
        <f>VLOOKUP(Tabela26[[#This Row],[EMP]],[1]LOJA!$A:$B,2,0)</f>
        <v>LUZIÂNIA</v>
      </c>
      <c r="E6753">
        <v>242</v>
      </c>
      <c r="F6753" t="s">
        <v>3524</v>
      </c>
      <c r="G6753" t="s">
        <v>3402</v>
      </c>
      <c r="H6753" t="s">
        <v>3401</v>
      </c>
      <c r="I6753">
        <v>5405</v>
      </c>
      <c r="J6753" s="3">
        <v>48</v>
      </c>
      <c r="K6753" s="3">
        <v>23.19</v>
      </c>
      <c r="L6753">
        <v>51.69</v>
      </c>
    </row>
    <row r="6754" spans="1:12">
      <c r="A6754" s="1">
        <v>46050</v>
      </c>
      <c r="B6754" t="s">
        <v>4875</v>
      </c>
      <c r="C6754">
        <v>24</v>
      </c>
      <c r="D6754" t="str">
        <f>VLOOKUP(Tabela26[[#This Row],[EMP]],[1]LOJA!$A:$B,2,0)</f>
        <v>LUZIÂNIA</v>
      </c>
      <c r="E6754">
        <v>192</v>
      </c>
      <c r="F6754" t="s">
        <v>4207</v>
      </c>
      <c r="G6754" t="s">
        <v>4206</v>
      </c>
      <c r="H6754" t="s">
        <v>3401</v>
      </c>
      <c r="I6754">
        <v>5405</v>
      </c>
      <c r="J6754" s="3">
        <v>50</v>
      </c>
      <c r="K6754" s="3">
        <v>22.17</v>
      </c>
      <c r="L6754">
        <v>55.66</v>
      </c>
    </row>
    <row r="6755" spans="1:12">
      <c r="A6755" s="1">
        <v>46050</v>
      </c>
      <c r="B6755" t="s">
        <v>4874</v>
      </c>
      <c r="C6755">
        <v>24</v>
      </c>
      <c r="D6755" t="str">
        <f>VLOOKUP(Tabela26[[#This Row],[EMP]],[1]LOJA!$A:$B,2,0)</f>
        <v>LUZIÂNIA</v>
      </c>
      <c r="E6755">
        <v>192</v>
      </c>
      <c r="F6755" t="s">
        <v>4864</v>
      </c>
      <c r="G6755" t="s">
        <v>3402</v>
      </c>
      <c r="H6755" t="s">
        <v>3401</v>
      </c>
      <c r="I6755">
        <v>5405</v>
      </c>
      <c r="J6755" s="3">
        <v>303</v>
      </c>
      <c r="K6755" s="3">
        <v>171.2</v>
      </c>
      <c r="L6755">
        <v>43.5</v>
      </c>
    </row>
    <row r="6756" spans="1:12">
      <c r="A6756" s="1">
        <v>46050</v>
      </c>
      <c r="B6756" t="s">
        <v>4873</v>
      </c>
      <c r="C6756">
        <v>24</v>
      </c>
      <c r="D6756" t="str">
        <f>VLOOKUP(Tabela26[[#This Row],[EMP]],[1]LOJA!$A:$B,2,0)</f>
        <v>LUZIÂNIA</v>
      </c>
      <c r="E6756">
        <v>192</v>
      </c>
      <c r="F6756" t="s">
        <v>3524</v>
      </c>
      <c r="G6756" t="s">
        <v>3402</v>
      </c>
      <c r="H6756" t="s">
        <v>3401</v>
      </c>
      <c r="I6756">
        <v>5102</v>
      </c>
      <c r="J6756" s="3">
        <v>22</v>
      </c>
      <c r="K6756" s="3">
        <v>14</v>
      </c>
      <c r="L6756">
        <v>36.36</v>
      </c>
    </row>
    <row r="6757" spans="1:12">
      <c r="A6757" s="1">
        <v>46050</v>
      </c>
      <c r="B6757" t="s">
        <v>4872</v>
      </c>
      <c r="C6757">
        <v>24</v>
      </c>
      <c r="D6757" t="str">
        <f>VLOOKUP(Tabela26[[#This Row],[EMP]],[1]LOJA!$A:$B,2,0)</f>
        <v>LUZIÂNIA</v>
      </c>
      <c r="E6757">
        <v>150</v>
      </c>
      <c r="F6757" t="s">
        <v>4871</v>
      </c>
      <c r="G6757" t="s">
        <v>4870</v>
      </c>
      <c r="H6757" t="s">
        <v>3401</v>
      </c>
      <c r="I6757">
        <v>5405</v>
      </c>
      <c r="J6757" s="3">
        <v>120</v>
      </c>
      <c r="K6757" s="3">
        <v>49.35</v>
      </c>
      <c r="L6757">
        <v>58.88</v>
      </c>
    </row>
    <row r="6758" spans="1:12">
      <c r="A6758" s="1">
        <v>46050</v>
      </c>
      <c r="B6758" t="s">
        <v>4869</v>
      </c>
      <c r="C6758">
        <v>24</v>
      </c>
      <c r="D6758" t="str">
        <f>VLOOKUP(Tabela26[[#This Row],[EMP]],[1]LOJA!$A:$B,2,0)</f>
        <v>LUZIÂNIA</v>
      </c>
      <c r="E6758">
        <v>150</v>
      </c>
      <c r="F6758" t="s">
        <v>3524</v>
      </c>
      <c r="G6758" t="s">
        <v>3402</v>
      </c>
      <c r="H6758" t="s">
        <v>3401</v>
      </c>
      <c r="I6758">
        <v>5405</v>
      </c>
      <c r="J6758" s="3">
        <v>300</v>
      </c>
      <c r="K6758" s="3">
        <v>156.78</v>
      </c>
      <c r="L6758">
        <v>47.74</v>
      </c>
    </row>
    <row r="6759" spans="1:12">
      <c r="A6759" s="1">
        <v>46050</v>
      </c>
      <c r="B6759" t="s">
        <v>4868</v>
      </c>
      <c r="C6759">
        <v>24</v>
      </c>
      <c r="D6759" t="str">
        <f>VLOOKUP(Tabela26[[#This Row],[EMP]],[1]LOJA!$A:$B,2,0)</f>
        <v>LUZIÂNIA</v>
      </c>
      <c r="E6759">
        <v>192</v>
      </c>
      <c r="F6759" t="s">
        <v>4867</v>
      </c>
      <c r="G6759" t="s">
        <v>4866</v>
      </c>
      <c r="H6759" t="s">
        <v>3408</v>
      </c>
      <c r="I6759">
        <v>5102</v>
      </c>
      <c r="J6759" s="3">
        <v>52</v>
      </c>
      <c r="K6759" s="3">
        <v>29.2</v>
      </c>
      <c r="L6759">
        <v>43.85</v>
      </c>
    </row>
    <row r="6760" spans="1:12">
      <c r="A6760" s="1">
        <v>46050</v>
      </c>
      <c r="B6760" t="s">
        <v>4865</v>
      </c>
      <c r="C6760">
        <v>24</v>
      </c>
      <c r="D6760" t="str">
        <f>VLOOKUP(Tabela26[[#This Row],[EMP]],[1]LOJA!$A:$B,2,0)</f>
        <v>LUZIÂNIA</v>
      </c>
      <c r="E6760">
        <v>192</v>
      </c>
      <c r="F6760" t="s">
        <v>4864</v>
      </c>
      <c r="G6760" t="s">
        <v>3402</v>
      </c>
      <c r="H6760" t="s">
        <v>3401</v>
      </c>
      <c r="I6760">
        <v>5405</v>
      </c>
      <c r="J6760" s="3">
        <v>52</v>
      </c>
      <c r="K6760" s="3">
        <v>24.03</v>
      </c>
      <c r="L6760">
        <v>53.79</v>
      </c>
    </row>
    <row r="6761" spans="1:12">
      <c r="A6761" s="1">
        <v>46050</v>
      </c>
      <c r="B6761" t="s">
        <v>4863</v>
      </c>
      <c r="C6761">
        <v>24</v>
      </c>
      <c r="D6761" t="str">
        <f>VLOOKUP(Tabela26[[#This Row],[EMP]],[1]LOJA!$A:$B,2,0)</f>
        <v>LUZIÂNIA</v>
      </c>
      <c r="E6761">
        <v>242</v>
      </c>
      <c r="F6761" t="s">
        <v>3524</v>
      </c>
      <c r="G6761" t="s">
        <v>3402</v>
      </c>
      <c r="H6761" t="s">
        <v>3401</v>
      </c>
      <c r="I6761">
        <v>5102</v>
      </c>
      <c r="J6761" s="3">
        <v>26</v>
      </c>
      <c r="K6761" s="3">
        <v>12.83</v>
      </c>
      <c r="L6761">
        <v>50.65</v>
      </c>
    </row>
    <row r="6762" spans="1:12">
      <c r="A6762" s="1">
        <v>46050</v>
      </c>
      <c r="B6762" t="s">
        <v>4862</v>
      </c>
      <c r="C6762">
        <v>24</v>
      </c>
      <c r="D6762" t="str">
        <f>VLOOKUP(Tabela26[[#This Row],[EMP]],[1]LOJA!$A:$B,2,0)</f>
        <v>LUZIÂNIA</v>
      </c>
      <c r="E6762">
        <v>192</v>
      </c>
      <c r="F6762" t="s">
        <v>3524</v>
      </c>
      <c r="G6762" t="s">
        <v>3402</v>
      </c>
      <c r="H6762" t="s">
        <v>3401</v>
      </c>
      <c r="I6762">
        <v>5102</v>
      </c>
      <c r="J6762" s="3">
        <v>18</v>
      </c>
      <c r="K6762" s="3">
        <v>9.17</v>
      </c>
      <c r="L6762">
        <v>49.06</v>
      </c>
    </row>
    <row r="6763" spans="1:12">
      <c r="A6763" s="1">
        <v>46050</v>
      </c>
      <c r="B6763" t="s">
        <v>4861</v>
      </c>
      <c r="C6763">
        <v>24</v>
      </c>
      <c r="D6763" t="str">
        <f>VLOOKUP(Tabela26[[#This Row],[EMP]],[1]LOJA!$A:$B,2,0)</f>
        <v>LUZIÂNIA</v>
      </c>
      <c r="E6763">
        <v>242</v>
      </c>
      <c r="F6763" t="s">
        <v>3524</v>
      </c>
      <c r="G6763" t="s">
        <v>3402</v>
      </c>
      <c r="H6763" t="s">
        <v>3401</v>
      </c>
      <c r="I6763">
        <v>5405</v>
      </c>
      <c r="J6763" s="3">
        <v>18</v>
      </c>
      <c r="K6763" s="3">
        <v>6.92</v>
      </c>
      <c r="L6763">
        <v>61.56</v>
      </c>
    </row>
    <row r="6764" spans="1:12">
      <c r="A6764" s="1">
        <v>46050</v>
      </c>
      <c r="B6764" t="s">
        <v>4860</v>
      </c>
      <c r="C6764">
        <v>24</v>
      </c>
      <c r="D6764" t="str">
        <f>VLOOKUP(Tabela26[[#This Row],[EMP]],[1]LOJA!$A:$B,2,0)</f>
        <v>LUZIÂNIA</v>
      </c>
      <c r="E6764">
        <v>242</v>
      </c>
      <c r="F6764" t="s">
        <v>4230</v>
      </c>
      <c r="G6764" t="s">
        <v>3402</v>
      </c>
      <c r="H6764" t="s">
        <v>3408</v>
      </c>
      <c r="I6764">
        <v>5405</v>
      </c>
      <c r="J6764" s="3">
        <v>674</v>
      </c>
      <c r="K6764" s="3">
        <v>420.4</v>
      </c>
      <c r="L6764">
        <v>37.630000000000003</v>
      </c>
    </row>
    <row r="6765" spans="1:12">
      <c r="A6765" s="1">
        <v>46050</v>
      </c>
      <c r="B6765" t="s">
        <v>4859</v>
      </c>
      <c r="C6765">
        <v>24</v>
      </c>
      <c r="D6765" t="str">
        <f>VLOOKUP(Tabela26[[#This Row],[EMP]],[1]LOJA!$A:$B,2,0)</f>
        <v>LUZIÂNIA</v>
      </c>
      <c r="E6765">
        <v>242</v>
      </c>
      <c r="F6765" t="s">
        <v>3524</v>
      </c>
      <c r="G6765" t="s">
        <v>3402</v>
      </c>
      <c r="H6765" t="s">
        <v>3401</v>
      </c>
      <c r="I6765">
        <v>5405</v>
      </c>
      <c r="J6765" s="3">
        <v>149.80000000000001</v>
      </c>
      <c r="K6765" s="3">
        <v>74.45</v>
      </c>
      <c r="L6765">
        <v>50.3</v>
      </c>
    </row>
    <row r="6766" spans="1:12">
      <c r="A6766" s="1">
        <v>46050</v>
      </c>
      <c r="B6766" t="s">
        <v>4858</v>
      </c>
      <c r="C6766">
        <v>24</v>
      </c>
      <c r="D6766" t="str">
        <f>VLOOKUP(Tabela26[[#This Row],[EMP]],[1]LOJA!$A:$B,2,0)</f>
        <v>LUZIÂNIA</v>
      </c>
      <c r="E6766">
        <v>242</v>
      </c>
      <c r="F6766" t="s">
        <v>4857</v>
      </c>
      <c r="G6766" t="s">
        <v>4856</v>
      </c>
      <c r="H6766" t="s">
        <v>3401</v>
      </c>
      <c r="I6766">
        <v>5102</v>
      </c>
      <c r="J6766" s="3">
        <v>80</v>
      </c>
      <c r="K6766" s="3">
        <v>41.8</v>
      </c>
      <c r="L6766">
        <v>47.75</v>
      </c>
    </row>
    <row r="6767" spans="1:12">
      <c r="A6767" s="1">
        <v>46050</v>
      </c>
      <c r="B6767" t="s">
        <v>4855</v>
      </c>
      <c r="C6767">
        <v>24</v>
      </c>
      <c r="D6767" t="str">
        <f>VLOOKUP(Tabela26[[#This Row],[EMP]],[1]LOJA!$A:$B,2,0)</f>
        <v>LUZIÂNIA</v>
      </c>
      <c r="E6767">
        <v>192</v>
      </c>
      <c r="F6767" t="s">
        <v>4854</v>
      </c>
      <c r="G6767" t="s">
        <v>3402</v>
      </c>
      <c r="H6767" t="s">
        <v>3401</v>
      </c>
      <c r="I6767">
        <v>5102</v>
      </c>
      <c r="J6767" s="3">
        <v>195.5</v>
      </c>
      <c r="K6767" s="3">
        <v>114.74</v>
      </c>
      <c r="L6767">
        <v>41.31</v>
      </c>
    </row>
    <row r="6768" spans="1:12">
      <c r="A6768" s="1">
        <v>46050</v>
      </c>
      <c r="B6768" t="s">
        <v>4853</v>
      </c>
      <c r="C6768">
        <v>24</v>
      </c>
      <c r="D6768" t="str">
        <f>VLOOKUP(Tabela26[[#This Row],[EMP]],[1]LOJA!$A:$B,2,0)</f>
        <v>LUZIÂNIA</v>
      </c>
      <c r="E6768">
        <v>150</v>
      </c>
      <c r="F6768" t="s">
        <v>4852</v>
      </c>
      <c r="G6768" t="s">
        <v>3402</v>
      </c>
      <c r="H6768" t="s">
        <v>3408</v>
      </c>
      <c r="I6768">
        <v>5405</v>
      </c>
      <c r="J6768" s="3">
        <v>342</v>
      </c>
      <c r="K6768" s="3">
        <v>192.68</v>
      </c>
      <c r="L6768">
        <v>43.66</v>
      </c>
    </row>
    <row r="6769" spans="1:12">
      <c r="A6769" s="1">
        <v>46050</v>
      </c>
      <c r="B6769" t="s">
        <v>4851</v>
      </c>
      <c r="C6769">
        <v>24</v>
      </c>
      <c r="D6769" t="str">
        <f>VLOOKUP(Tabela26[[#This Row],[EMP]],[1]LOJA!$A:$B,2,0)</f>
        <v>LUZIÂNIA</v>
      </c>
      <c r="E6769">
        <v>192</v>
      </c>
      <c r="F6769" t="s">
        <v>4224</v>
      </c>
      <c r="G6769" t="s">
        <v>3402</v>
      </c>
      <c r="H6769" t="s">
        <v>3408</v>
      </c>
      <c r="I6769">
        <v>5405</v>
      </c>
      <c r="J6769" s="3">
        <v>234.8</v>
      </c>
      <c r="K6769" s="3">
        <v>125.02</v>
      </c>
      <c r="L6769">
        <v>46.75</v>
      </c>
    </row>
    <row r="6770" spans="1:12">
      <c r="A6770" s="1">
        <v>46050</v>
      </c>
      <c r="B6770" t="s">
        <v>4850</v>
      </c>
      <c r="C6770">
        <v>24</v>
      </c>
      <c r="D6770" t="str">
        <f>VLOOKUP(Tabela26[[#This Row],[EMP]],[1]LOJA!$A:$B,2,0)</f>
        <v>LUZIÂNIA</v>
      </c>
      <c r="E6770">
        <v>242</v>
      </c>
      <c r="F6770" t="s">
        <v>3524</v>
      </c>
      <c r="G6770" t="s">
        <v>3402</v>
      </c>
      <c r="H6770" t="s">
        <v>3401</v>
      </c>
      <c r="I6770">
        <v>5102</v>
      </c>
      <c r="J6770" s="3">
        <v>98</v>
      </c>
      <c r="K6770" s="3">
        <v>50.8</v>
      </c>
      <c r="L6770">
        <v>48.16</v>
      </c>
    </row>
    <row r="6771" spans="1:12">
      <c r="A6771" s="1">
        <v>46050</v>
      </c>
      <c r="B6771" t="s">
        <v>4849</v>
      </c>
      <c r="C6771">
        <v>24</v>
      </c>
      <c r="D6771" t="str">
        <f>VLOOKUP(Tabela26[[#This Row],[EMP]],[1]LOJA!$A:$B,2,0)</f>
        <v>LUZIÂNIA</v>
      </c>
      <c r="E6771">
        <v>242</v>
      </c>
      <c r="F6771" t="s">
        <v>4848</v>
      </c>
      <c r="G6771" t="s">
        <v>4847</v>
      </c>
      <c r="H6771" t="s">
        <v>3408</v>
      </c>
      <c r="I6771">
        <v>5405</v>
      </c>
      <c r="J6771" s="3">
        <v>220</v>
      </c>
      <c r="K6771" s="3">
        <v>110.29</v>
      </c>
      <c r="L6771">
        <v>49.87</v>
      </c>
    </row>
    <row r="6772" spans="1:12">
      <c r="A6772" s="1">
        <v>46050</v>
      </c>
      <c r="B6772" t="s">
        <v>4846</v>
      </c>
      <c r="C6772">
        <v>24</v>
      </c>
      <c r="D6772" t="str">
        <f>VLOOKUP(Tabela26[[#This Row],[EMP]],[1]LOJA!$A:$B,2,0)</f>
        <v>LUZIÂNIA</v>
      </c>
      <c r="E6772">
        <v>192</v>
      </c>
      <c r="F6772" t="s">
        <v>4845</v>
      </c>
      <c r="G6772" t="s">
        <v>3402</v>
      </c>
      <c r="H6772" t="s">
        <v>3408</v>
      </c>
      <c r="I6772">
        <v>5405</v>
      </c>
      <c r="J6772" s="3">
        <v>74.900000000000006</v>
      </c>
      <c r="K6772" s="3">
        <v>41.52</v>
      </c>
      <c r="L6772">
        <v>44.57</v>
      </c>
    </row>
    <row r="6773" spans="1:12">
      <c r="A6773" s="1">
        <v>46050</v>
      </c>
      <c r="B6773" t="s">
        <v>4844</v>
      </c>
      <c r="C6773">
        <v>24</v>
      </c>
      <c r="D6773" t="str">
        <f>VLOOKUP(Tabela26[[#This Row],[EMP]],[1]LOJA!$A:$B,2,0)</f>
        <v>LUZIÂNIA</v>
      </c>
      <c r="E6773">
        <v>192</v>
      </c>
      <c r="F6773" t="s">
        <v>4843</v>
      </c>
      <c r="G6773" t="s">
        <v>4842</v>
      </c>
      <c r="H6773" t="s">
        <v>3408</v>
      </c>
      <c r="I6773">
        <v>5102</v>
      </c>
      <c r="J6773" s="3">
        <v>164.8</v>
      </c>
      <c r="K6773" s="3">
        <v>114.52</v>
      </c>
      <c r="L6773">
        <v>30.51</v>
      </c>
    </row>
    <row r="6774" spans="1:12">
      <c r="A6774" s="1">
        <v>46050</v>
      </c>
      <c r="B6774" t="s">
        <v>4841</v>
      </c>
      <c r="C6774">
        <v>24</v>
      </c>
      <c r="D6774" t="str">
        <f>VLOOKUP(Tabela26[[#This Row],[EMP]],[1]LOJA!$A:$B,2,0)</f>
        <v>LUZIÂNIA</v>
      </c>
      <c r="E6774">
        <v>150</v>
      </c>
      <c r="F6774" t="s">
        <v>3524</v>
      </c>
      <c r="G6774" t="s">
        <v>3402</v>
      </c>
      <c r="H6774" t="s">
        <v>3401</v>
      </c>
      <c r="I6774">
        <v>5102</v>
      </c>
      <c r="J6774" s="3">
        <v>6</v>
      </c>
      <c r="K6774" s="3">
        <v>2.99</v>
      </c>
      <c r="L6774">
        <v>50.17</v>
      </c>
    </row>
    <row r="6775" spans="1:12">
      <c r="A6775" s="1">
        <v>46050</v>
      </c>
      <c r="B6775" t="s">
        <v>4840</v>
      </c>
      <c r="C6775">
        <v>24</v>
      </c>
      <c r="D6775" t="str">
        <f>VLOOKUP(Tabela26[[#This Row],[EMP]],[1]LOJA!$A:$B,2,0)</f>
        <v>LUZIÂNIA</v>
      </c>
      <c r="E6775">
        <v>150</v>
      </c>
      <c r="F6775" t="s">
        <v>3524</v>
      </c>
      <c r="G6775" t="s">
        <v>3402</v>
      </c>
      <c r="H6775" t="s">
        <v>3401</v>
      </c>
      <c r="I6775">
        <v>5102</v>
      </c>
      <c r="J6775" s="3">
        <v>84</v>
      </c>
      <c r="K6775" s="3">
        <v>42.38</v>
      </c>
      <c r="L6775">
        <v>49.55</v>
      </c>
    </row>
    <row r="6776" spans="1:12">
      <c r="A6776" s="1">
        <v>46050</v>
      </c>
      <c r="B6776" t="s">
        <v>4839</v>
      </c>
      <c r="C6776">
        <v>24</v>
      </c>
      <c r="D6776" t="str">
        <f>VLOOKUP(Tabela26[[#This Row],[EMP]],[1]LOJA!$A:$B,2,0)</f>
        <v>LUZIÂNIA</v>
      </c>
      <c r="E6776">
        <v>150</v>
      </c>
      <c r="F6776" t="s">
        <v>3524</v>
      </c>
      <c r="G6776" t="s">
        <v>3402</v>
      </c>
      <c r="H6776" t="s">
        <v>3401</v>
      </c>
      <c r="I6776">
        <v>5102</v>
      </c>
      <c r="J6776" s="3">
        <v>14</v>
      </c>
      <c r="K6776" s="3">
        <v>7.38</v>
      </c>
      <c r="L6776">
        <v>47.29</v>
      </c>
    </row>
    <row r="6777" spans="1:12">
      <c r="A6777" s="1">
        <v>46050</v>
      </c>
      <c r="B6777" t="s">
        <v>4838</v>
      </c>
      <c r="C6777">
        <v>24</v>
      </c>
      <c r="D6777" t="str">
        <f>VLOOKUP(Tabela26[[#This Row],[EMP]],[1]LOJA!$A:$B,2,0)</f>
        <v>LUZIÂNIA</v>
      </c>
      <c r="E6777">
        <v>192</v>
      </c>
      <c r="F6777" t="s">
        <v>4837</v>
      </c>
      <c r="G6777" t="s">
        <v>4836</v>
      </c>
      <c r="H6777" t="s">
        <v>3408</v>
      </c>
      <c r="I6777">
        <v>5405</v>
      </c>
      <c r="J6777" s="3">
        <v>111</v>
      </c>
      <c r="K6777" s="3">
        <v>50.51</v>
      </c>
      <c r="L6777">
        <v>54.5</v>
      </c>
    </row>
    <row r="6778" spans="1:12">
      <c r="A6778" s="1">
        <v>46050</v>
      </c>
      <c r="B6778" t="s">
        <v>4835</v>
      </c>
      <c r="C6778">
        <v>24</v>
      </c>
      <c r="D6778" t="str">
        <f>VLOOKUP(Tabela26[[#This Row],[EMP]],[1]LOJA!$A:$B,2,0)</f>
        <v>LUZIÂNIA</v>
      </c>
      <c r="E6778">
        <v>242</v>
      </c>
      <c r="F6778" t="s">
        <v>3524</v>
      </c>
      <c r="G6778" t="s">
        <v>3402</v>
      </c>
      <c r="H6778" t="s">
        <v>3401</v>
      </c>
      <c r="I6778">
        <v>5405</v>
      </c>
      <c r="J6778" s="3">
        <v>89.9</v>
      </c>
      <c r="K6778" s="3">
        <v>48.44</v>
      </c>
      <c r="L6778">
        <v>46.12</v>
      </c>
    </row>
    <row r="6779" spans="1:12">
      <c r="A6779" s="1">
        <v>46050</v>
      </c>
      <c r="B6779" t="s">
        <v>4834</v>
      </c>
      <c r="C6779">
        <v>24</v>
      </c>
      <c r="D6779" t="str">
        <f>VLOOKUP(Tabela26[[#This Row],[EMP]],[1]LOJA!$A:$B,2,0)</f>
        <v>LUZIÂNIA</v>
      </c>
      <c r="E6779">
        <v>242</v>
      </c>
      <c r="F6779" t="s">
        <v>3524</v>
      </c>
      <c r="G6779" t="s">
        <v>3402</v>
      </c>
      <c r="H6779" t="s">
        <v>3401</v>
      </c>
      <c r="I6779">
        <v>5405</v>
      </c>
      <c r="J6779" s="3">
        <v>22</v>
      </c>
      <c r="K6779" s="3">
        <v>8.7899999999999991</v>
      </c>
      <c r="L6779">
        <v>60.05</v>
      </c>
    </row>
    <row r="6780" spans="1:12">
      <c r="A6780" s="1">
        <v>46050</v>
      </c>
      <c r="B6780" t="s">
        <v>4833</v>
      </c>
      <c r="C6780">
        <v>24</v>
      </c>
      <c r="D6780" t="str">
        <f>VLOOKUP(Tabela26[[#This Row],[EMP]],[1]LOJA!$A:$B,2,0)</f>
        <v>LUZIÂNIA</v>
      </c>
      <c r="E6780">
        <v>150</v>
      </c>
      <c r="F6780" t="s">
        <v>4832</v>
      </c>
      <c r="G6780" t="s">
        <v>4831</v>
      </c>
      <c r="H6780" t="s">
        <v>3401</v>
      </c>
      <c r="I6780">
        <v>5405</v>
      </c>
      <c r="J6780" s="3">
        <v>631.55999999999995</v>
      </c>
      <c r="K6780" s="3">
        <v>350.79</v>
      </c>
      <c r="L6780">
        <v>44.46</v>
      </c>
    </row>
    <row r="6781" spans="1:12">
      <c r="A6781" s="1">
        <v>46050</v>
      </c>
      <c r="B6781" t="s">
        <v>4830</v>
      </c>
      <c r="C6781">
        <v>24</v>
      </c>
      <c r="D6781" t="str">
        <f>VLOOKUP(Tabela26[[#This Row],[EMP]],[1]LOJA!$A:$B,2,0)</f>
        <v>LUZIÂNIA</v>
      </c>
      <c r="E6781">
        <v>150</v>
      </c>
      <c r="F6781" t="s">
        <v>3524</v>
      </c>
      <c r="G6781" t="s">
        <v>3402</v>
      </c>
      <c r="H6781" t="s">
        <v>3401</v>
      </c>
      <c r="I6781">
        <v>5405</v>
      </c>
      <c r="J6781" s="3">
        <v>85</v>
      </c>
      <c r="K6781" s="3">
        <v>40.36</v>
      </c>
      <c r="L6781">
        <v>52.52</v>
      </c>
    </row>
    <row r="6782" spans="1:12">
      <c r="A6782" s="1">
        <v>46050</v>
      </c>
      <c r="B6782" t="s">
        <v>4829</v>
      </c>
      <c r="C6782">
        <v>24</v>
      </c>
      <c r="D6782" t="str">
        <f>VLOOKUP(Tabela26[[#This Row],[EMP]],[1]LOJA!$A:$B,2,0)</f>
        <v>LUZIÂNIA</v>
      </c>
      <c r="E6782">
        <v>150</v>
      </c>
      <c r="F6782" t="s">
        <v>3524</v>
      </c>
      <c r="G6782" t="s">
        <v>3402</v>
      </c>
      <c r="H6782" t="s">
        <v>3401</v>
      </c>
      <c r="I6782">
        <v>5405</v>
      </c>
      <c r="J6782" s="3">
        <v>60</v>
      </c>
      <c r="K6782" s="3">
        <v>32.869999999999997</v>
      </c>
      <c r="L6782">
        <v>45.22</v>
      </c>
    </row>
    <row r="6783" spans="1:12">
      <c r="A6783" s="1">
        <v>46050</v>
      </c>
      <c r="B6783" t="s">
        <v>4828</v>
      </c>
      <c r="C6783">
        <v>24</v>
      </c>
      <c r="D6783" t="str">
        <f>VLOOKUP(Tabela26[[#This Row],[EMP]],[1]LOJA!$A:$B,2,0)</f>
        <v>LUZIÂNIA</v>
      </c>
      <c r="E6783">
        <v>192</v>
      </c>
      <c r="F6783" t="s">
        <v>4827</v>
      </c>
      <c r="G6783" t="s">
        <v>4826</v>
      </c>
      <c r="H6783" t="s">
        <v>3408</v>
      </c>
      <c r="I6783">
        <v>5405</v>
      </c>
      <c r="J6783" s="3">
        <v>312.3</v>
      </c>
      <c r="K6783" s="3">
        <v>185.17</v>
      </c>
      <c r="L6783">
        <v>40.71</v>
      </c>
    </row>
    <row r="6784" spans="1:12">
      <c r="A6784" s="1">
        <v>46050</v>
      </c>
      <c r="B6784" t="s">
        <v>4825</v>
      </c>
      <c r="C6784">
        <v>24</v>
      </c>
      <c r="D6784" t="str">
        <f>VLOOKUP(Tabela26[[#This Row],[EMP]],[1]LOJA!$A:$B,2,0)</f>
        <v>LUZIÂNIA</v>
      </c>
      <c r="E6784">
        <v>242</v>
      </c>
      <c r="F6784" t="s">
        <v>3524</v>
      </c>
      <c r="G6784" t="s">
        <v>3402</v>
      </c>
      <c r="H6784" t="s">
        <v>3401</v>
      </c>
      <c r="I6784">
        <v>5405</v>
      </c>
      <c r="J6784" s="3">
        <v>89.9</v>
      </c>
      <c r="K6784" s="3">
        <v>45.78</v>
      </c>
      <c r="L6784">
        <v>49.08</v>
      </c>
    </row>
    <row r="6785" spans="1:12">
      <c r="A6785" s="1">
        <v>46050</v>
      </c>
      <c r="B6785" t="s">
        <v>4824</v>
      </c>
      <c r="C6785">
        <v>24</v>
      </c>
      <c r="D6785" t="str">
        <f>VLOOKUP(Tabela26[[#This Row],[EMP]],[1]LOJA!$A:$B,2,0)</f>
        <v>LUZIÂNIA</v>
      </c>
      <c r="E6785">
        <v>150</v>
      </c>
      <c r="F6785" t="s">
        <v>4176</v>
      </c>
      <c r="G6785" t="s">
        <v>4175</v>
      </c>
      <c r="H6785" t="s">
        <v>3408</v>
      </c>
      <c r="I6785">
        <v>5405</v>
      </c>
      <c r="J6785" s="3">
        <v>1212.5999999999999</v>
      </c>
      <c r="K6785" s="3">
        <v>732.98</v>
      </c>
      <c r="L6785">
        <v>39.549999999999997</v>
      </c>
    </row>
    <row r="6786" spans="1:12">
      <c r="A6786" s="1">
        <v>46050</v>
      </c>
      <c r="B6786" t="s">
        <v>4823</v>
      </c>
      <c r="C6786">
        <v>24</v>
      </c>
      <c r="D6786" t="str">
        <f>VLOOKUP(Tabela26[[#This Row],[EMP]],[1]LOJA!$A:$B,2,0)</f>
        <v>LUZIÂNIA</v>
      </c>
      <c r="E6786">
        <v>242</v>
      </c>
      <c r="F6786" t="s">
        <v>3858</v>
      </c>
      <c r="G6786" t="s">
        <v>3402</v>
      </c>
      <c r="H6786" t="s">
        <v>3408</v>
      </c>
      <c r="I6786">
        <v>5102</v>
      </c>
      <c r="J6786" s="3">
        <v>100</v>
      </c>
      <c r="K6786" s="3">
        <v>42.11</v>
      </c>
      <c r="L6786">
        <v>57.89</v>
      </c>
    </row>
    <row r="6787" spans="1:12">
      <c r="A6787" s="1">
        <v>46050</v>
      </c>
      <c r="B6787" t="s">
        <v>4822</v>
      </c>
      <c r="C6787">
        <v>24</v>
      </c>
      <c r="D6787" t="str">
        <f>VLOOKUP(Tabela26[[#This Row],[EMP]],[1]LOJA!$A:$B,2,0)</f>
        <v>LUZIÂNIA</v>
      </c>
      <c r="E6787">
        <v>242</v>
      </c>
      <c r="F6787" t="s">
        <v>3858</v>
      </c>
      <c r="G6787" t="s">
        <v>3402</v>
      </c>
      <c r="H6787" t="s">
        <v>3408</v>
      </c>
      <c r="I6787">
        <v>5102</v>
      </c>
      <c r="J6787" s="3">
        <v>60</v>
      </c>
      <c r="K6787" s="3">
        <v>35.75</v>
      </c>
      <c r="L6787">
        <v>40.42</v>
      </c>
    </row>
    <row r="6788" spans="1:12">
      <c r="A6788" s="1">
        <v>46050</v>
      </c>
      <c r="B6788" t="s">
        <v>4821</v>
      </c>
      <c r="C6788">
        <v>24</v>
      </c>
      <c r="D6788" t="str">
        <f>VLOOKUP(Tabela26[[#This Row],[EMP]],[1]LOJA!$A:$B,2,0)</f>
        <v>LUZIÂNIA</v>
      </c>
      <c r="E6788">
        <v>192</v>
      </c>
      <c r="F6788" t="s">
        <v>4189</v>
      </c>
      <c r="G6788" t="s">
        <v>4188</v>
      </c>
      <c r="H6788" t="s">
        <v>3401</v>
      </c>
      <c r="I6788">
        <v>5405</v>
      </c>
      <c r="J6788" s="3">
        <v>133.63999999999999</v>
      </c>
      <c r="K6788" s="3">
        <v>59.36</v>
      </c>
      <c r="L6788">
        <v>55.58</v>
      </c>
    </row>
    <row r="6789" spans="1:12">
      <c r="A6789" s="1">
        <v>46050</v>
      </c>
      <c r="B6789" t="s">
        <v>4820</v>
      </c>
      <c r="C6789">
        <v>24</v>
      </c>
      <c r="D6789" t="str">
        <f>VLOOKUP(Tabela26[[#This Row],[EMP]],[1]LOJA!$A:$B,2,0)</f>
        <v>LUZIÂNIA</v>
      </c>
      <c r="E6789">
        <v>242</v>
      </c>
      <c r="F6789" t="s">
        <v>3524</v>
      </c>
      <c r="G6789" t="s">
        <v>3402</v>
      </c>
      <c r="H6789" t="s">
        <v>3401</v>
      </c>
      <c r="I6789">
        <v>5405</v>
      </c>
      <c r="J6789" s="3">
        <v>7</v>
      </c>
      <c r="K6789" s="3">
        <v>3.45</v>
      </c>
      <c r="L6789">
        <v>50.71</v>
      </c>
    </row>
    <row r="6790" spans="1:12">
      <c r="A6790" s="1">
        <v>46050</v>
      </c>
      <c r="B6790" t="s">
        <v>4819</v>
      </c>
      <c r="C6790">
        <v>12</v>
      </c>
      <c r="D6790" t="str">
        <f>VLOOKUP(Tabela26[[#This Row],[EMP]],[1]LOJA!$A:$B,2,0)</f>
        <v>SOFNORTE</v>
      </c>
      <c r="E6790">
        <v>60</v>
      </c>
      <c r="F6790" t="s">
        <v>4156</v>
      </c>
      <c r="G6790" t="s">
        <v>4155</v>
      </c>
      <c r="H6790" t="s">
        <v>4297</v>
      </c>
      <c r="I6790">
        <v>5102</v>
      </c>
      <c r="J6790" s="3">
        <v>247</v>
      </c>
      <c r="K6790" s="3">
        <v>137.5</v>
      </c>
      <c r="L6790">
        <v>44.33</v>
      </c>
    </row>
    <row r="6791" spans="1:12">
      <c r="A6791" s="1">
        <v>46050</v>
      </c>
      <c r="B6791" t="s">
        <v>4818</v>
      </c>
      <c r="C6791">
        <v>12</v>
      </c>
      <c r="D6791" t="str">
        <f>VLOOKUP(Tabela26[[#This Row],[EMP]],[1]LOJA!$A:$B,2,0)</f>
        <v>SOFNORTE</v>
      </c>
      <c r="E6791">
        <v>60</v>
      </c>
      <c r="F6791" t="s">
        <v>4817</v>
      </c>
      <c r="G6791" t="s">
        <v>4816</v>
      </c>
      <c r="H6791" t="s">
        <v>3430</v>
      </c>
      <c r="I6791">
        <v>5102</v>
      </c>
      <c r="J6791" s="3">
        <v>647.1</v>
      </c>
      <c r="K6791" s="3">
        <v>375.3</v>
      </c>
      <c r="L6791">
        <v>42</v>
      </c>
    </row>
    <row r="6792" spans="1:12">
      <c r="A6792" s="1">
        <v>46050</v>
      </c>
      <c r="B6792" t="s">
        <v>4815</v>
      </c>
      <c r="C6792">
        <v>12</v>
      </c>
      <c r="D6792" t="str">
        <f>VLOOKUP(Tabela26[[#This Row],[EMP]],[1]LOJA!$A:$B,2,0)</f>
        <v>SOFNORTE</v>
      </c>
      <c r="E6792">
        <v>60</v>
      </c>
      <c r="F6792" t="s">
        <v>4162</v>
      </c>
      <c r="G6792" t="s">
        <v>4161</v>
      </c>
      <c r="H6792" t="s">
        <v>3430</v>
      </c>
      <c r="I6792">
        <v>5405</v>
      </c>
      <c r="J6792" s="3">
        <v>184.37</v>
      </c>
      <c r="K6792" s="3">
        <v>88.72</v>
      </c>
      <c r="L6792">
        <v>51.88</v>
      </c>
    </row>
    <row r="6793" spans="1:12">
      <c r="A6793" s="1">
        <v>46050</v>
      </c>
      <c r="B6793" t="s">
        <v>4814</v>
      </c>
      <c r="C6793">
        <v>12</v>
      </c>
      <c r="D6793" t="str">
        <f>VLOOKUP(Tabela26[[#This Row],[EMP]],[1]LOJA!$A:$B,2,0)</f>
        <v>SOFNORTE</v>
      </c>
      <c r="E6793">
        <v>60</v>
      </c>
      <c r="F6793" t="s">
        <v>4813</v>
      </c>
      <c r="G6793" t="s">
        <v>4812</v>
      </c>
      <c r="H6793" t="s">
        <v>4297</v>
      </c>
      <c r="I6793">
        <v>5102</v>
      </c>
      <c r="J6793" s="3">
        <v>115</v>
      </c>
      <c r="K6793" s="3">
        <v>60.59</v>
      </c>
      <c r="L6793">
        <v>47.31</v>
      </c>
    </row>
    <row r="6794" spans="1:12">
      <c r="A6794" s="1">
        <v>46050</v>
      </c>
      <c r="B6794" t="s">
        <v>4811</v>
      </c>
      <c r="C6794">
        <v>22</v>
      </c>
      <c r="D6794" t="str">
        <f>VLOOKUP(Tabela26[[#This Row],[EMP]],[1]LOJA!$A:$B,2,0)</f>
        <v>GUARÁ</v>
      </c>
      <c r="E6794">
        <v>93</v>
      </c>
      <c r="F6794" t="s">
        <v>4151</v>
      </c>
      <c r="G6794" t="s">
        <v>4150</v>
      </c>
      <c r="H6794" t="s">
        <v>3430</v>
      </c>
      <c r="I6794">
        <v>5405</v>
      </c>
      <c r="J6794" s="3">
        <v>70.489999999999995</v>
      </c>
      <c r="K6794" s="3">
        <v>33.880000000000003</v>
      </c>
      <c r="L6794">
        <v>51.94</v>
      </c>
    </row>
    <row r="6795" spans="1:12">
      <c r="A6795" s="1">
        <v>46050</v>
      </c>
      <c r="B6795" t="s">
        <v>4810</v>
      </c>
      <c r="C6795">
        <v>22</v>
      </c>
      <c r="D6795" t="str">
        <f>VLOOKUP(Tabela26[[#This Row],[EMP]],[1]LOJA!$A:$B,2,0)</f>
        <v>GUARÁ</v>
      </c>
      <c r="E6795">
        <v>93</v>
      </c>
      <c r="F6795" t="s">
        <v>3514</v>
      </c>
      <c r="G6795" t="s">
        <v>3513</v>
      </c>
      <c r="H6795" t="s">
        <v>3430</v>
      </c>
      <c r="I6795">
        <v>5102</v>
      </c>
      <c r="J6795" s="3">
        <v>41.87</v>
      </c>
      <c r="K6795" s="3">
        <v>25.27</v>
      </c>
      <c r="L6795">
        <v>39.65</v>
      </c>
    </row>
    <row r="6796" spans="1:12">
      <c r="A6796" s="1">
        <v>46050</v>
      </c>
      <c r="B6796" t="s">
        <v>4809</v>
      </c>
      <c r="C6796">
        <v>22</v>
      </c>
      <c r="D6796" t="str">
        <f>VLOOKUP(Tabela26[[#This Row],[EMP]],[1]LOJA!$A:$B,2,0)</f>
        <v>GUARÁ</v>
      </c>
      <c r="E6796">
        <v>93</v>
      </c>
      <c r="F6796" t="s">
        <v>4808</v>
      </c>
      <c r="G6796" t="s">
        <v>4807</v>
      </c>
      <c r="H6796" t="s">
        <v>3430</v>
      </c>
      <c r="I6796">
        <v>5102</v>
      </c>
      <c r="J6796" s="3">
        <v>287.49</v>
      </c>
      <c r="K6796" s="3">
        <v>186.52</v>
      </c>
      <c r="L6796">
        <v>35.119999999999997</v>
      </c>
    </row>
    <row r="6797" spans="1:12">
      <c r="A6797" s="1">
        <v>46050</v>
      </c>
      <c r="B6797" t="s">
        <v>4806</v>
      </c>
      <c r="C6797">
        <v>22</v>
      </c>
      <c r="D6797" t="str">
        <f>VLOOKUP(Tabela26[[#This Row],[EMP]],[1]LOJA!$A:$B,2,0)</f>
        <v>GUARÁ</v>
      </c>
      <c r="E6797">
        <v>93</v>
      </c>
      <c r="F6797" t="s">
        <v>4805</v>
      </c>
      <c r="G6797" t="s">
        <v>4804</v>
      </c>
      <c r="H6797" t="s">
        <v>3430</v>
      </c>
      <c r="I6797">
        <v>5405</v>
      </c>
      <c r="J6797" s="3">
        <v>121.2</v>
      </c>
      <c r="K6797" s="3">
        <v>73.56</v>
      </c>
      <c r="L6797">
        <v>39.31</v>
      </c>
    </row>
    <row r="6798" spans="1:12">
      <c r="A6798" s="1">
        <v>46050</v>
      </c>
      <c r="B6798" t="s">
        <v>4803</v>
      </c>
      <c r="C6798">
        <v>22</v>
      </c>
      <c r="D6798" t="str">
        <f>VLOOKUP(Tabela26[[#This Row],[EMP]],[1]LOJA!$A:$B,2,0)</f>
        <v>GUARÁ</v>
      </c>
      <c r="E6798">
        <v>93</v>
      </c>
      <c r="F6798" t="s">
        <v>3508</v>
      </c>
      <c r="G6798" t="s">
        <v>3507</v>
      </c>
      <c r="H6798" t="s">
        <v>3430</v>
      </c>
      <c r="I6798">
        <v>5405</v>
      </c>
      <c r="J6798" s="3">
        <v>90.27</v>
      </c>
      <c r="K6798" s="3">
        <v>48.87</v>
      </c>
      <c r="L6798">
        <v>45.86</v>
      </c>
    </row>
    <row r="6799" spans="1:12">
      <c r="A6799" s="1">
        <v>46050</v>
      </c>
      <c r="B6799" t="s">
        <v>4802</v>
      </c>
      <c r="C6799">
        <v>22</v>
      </c>
      <c r="D6799" t="str">
        <f>VLOOKUP(Tabela26[[#This Row],[EMP]],[1]LOJA!$A:$B,2,0)</f>
        <v>GUARÁ</v>
      </c>
      <c r="E6799">
        <v>93</v>
      </c>
      <c r="F6799" t="s">
        <v>3514</v>
      </c>
      <c r="G6799" t="s">
        <v>3513</v>
      </c>
      <c r="H6799" t="s">
        <v>3430</v>
      </c>
      <c r="I6799">
        <v>5102</v>
      </c>
      <c r="J6799" s="3">
        <v>128.96</v>
      </c>
      <c r="K6799" s="3">
        <v>67.84</v>
      </c>
      <c r="L6799">
        <v>47.39</v>
      </c>
    </row>
    <row r="6800" spans="1:12">
      <c r="A6800" s="1">
        <v>46050</v>
      </c>
      <c r="B6800" t="s">
        <v>4801</v>
      </c>
      <c r="C6800">
        <v>22</v>
      </c>
      <c r="D6800" t="str">
        <f>VLOOKUP(Tabela26[[#This Row],[EMP]],[1]LOJA!$A:$B,2,0)</f>
        <v>GUARÁ</v>
      </c>
      <c r="E6800">
        <v>93</v>
      </c>
      <c r="F6800" t="s">
        <v>4147</v>
      </c>
      <c r="G6800" t="s">
        <v>4146</v>
      </c>
      <c r="H6800" t="s">
        <v>3430</v>
      </c>
      <c r="I6800">
        <v>5405</v>
      </c>
      <c r="J6800" s="3">
        <v>136.75</v>
      </c>
      <c r="K6800" s="3">
        <v>68.52</v>
      </c>
      <c r="L6800">
        <v>49.89</v>
      </c>
    </row>
    <row r="6801" spans="1:12">
      <c r="A6801" s="1">
        <v>46050</v>
      </c>
      <c r="B6801" t="s">
        <v>4800</v>
      </c>
      <c r="C6801">
        <v>13</v>
      </c>
      <c r="D6801" t="str">
        <f>VLOOKUP(Tabela26[[#This Row],[EMP]],[1]LOJA!$A:$B,2,0)</f>
        <v>CEILÂNDIA</v>
      </c>
      <c r="E6801">
        <v>33</v>
      </c>
      <c r="F6801" t="s">
        <v>4792</v>
      </c>
      <c r="G6801" t="s">
        <v>4791</v>
      </c>
      <c r="H6801" t="s">
        <v>4641</v>
      </c>
      <c r="I6801">
        <v>5405</v>
      </c>
      <c r="J6801" s="3">
        <v>112</v>
      </c>
      <c r="K6801" s="3">
        <v>57.76</v>
      </c>
      <c r="L6801">
        <v>48.43</v>
      </c>
    </row>
    <row r="6802" spans="1:12">
      <c r="A6802" s="1">
        <v>46050</v>
      </c>
      <c r="B6802" t="s">
        <v>4799</v>
      </c>
      <c r="C6802">
        <v>13</v>
      </c>
      <c r="D6802" t="str">
        <f>VLOOKUP(Tabela26[[#This Row],[EMP]],[1]LOJA!$A:$B,2,0)</f>
        <v>CEILÂNDIA</v>
      </c>
      <c r="E6802">
        <v>86</v>
      </c>
      <c r="F6802" t="s">
        <v>4798</v>
      </c>
      <c r="G6802" t="s">
        <v>4797</v>
      </c>
      <c r="H6802" t="s">
        <v>3401</v>
      </c>
      <c r="I6802">
        <v>1411</v>
      </c>
      <c r="J6802" s="3">
        <v>-60</v>
      </c>
      <c r="K6802" s="3">
        <v>-31.61</v>
      </c>
      <c r="L6802">
        <v>47.32</v>
      </c>
    </row>
    <row r="6803" spans="1:12">
      <c r="A6803" s="1">
        <v>46050</v>
      </c>
      <c r="B6803" t="s">
        <v>4796</v>
      </c>
      <c r="C6803">
        <v>13</v>
      </c>
      <c r="D6803" t="str">
        <f>VLOOKUP(Tabela26[[#This Row],[EMP]],[1]LOJA!$A:$B,2,0)</f>
        <v>CEILÂNDIA</v>
      </c>
      <c r="E6803">
        <v>86</v>
      </c>
      <c r="F6803" t="s">
        <v>4795</v>
      </c>
      <c r="G6803" t="s">
        <v>4794</v>
      </c>
      <c r="H6803" t="s">
        <v>3401</v>
      </c>
      <c r="I6803">
        <v>1202</v>
      </c>
      <c r="J6803" s="3">
        <v>-50</v>
      </c>
      <c r="K6803" s="3">
        <v>-25.14</v>
      </c>
      <c r="L6803">
        <v>49.72</v>
      </c>
    </row>
    <row r="6804" spans="1:12">
      <c r="A6804" s="1">
        <v>46050</v>
      </c>
      <c r="B6804" t="s">
        <v>4793</v>
      </c>
      <c r="C6804">
        <v>13</v>
      </c>
      <c r="D6804" t="str">
        <f>VLOOKUP(Tabela26[[#This Row],[EMP]],[1]LOJA!$A:$B,2,0)</f>
        <v>CEILÂNDIA</v>
      </c>
      <c r="E6804">
        <v>33</v>
      </c>
      <c r="F6804" t="s">
        <v>4792</v>
      </c>
      <c r="G6804" t="s">
        <v>4791</v>
      </c>
      <c r="H6804" t="s">
        <v>4641</v>
      </c>
      <c r="I6804">
        <v>5405</v>
      </c>
      <c r="J6804" s="3">
        <v>458.2</v>
      </c>
      <c r="K6804" s="3">
        <v>286.33999999999997</v>
      </c>
      <c r="L6804">
        <v>37.51</v>
      </c>
    </row>
    <row r="6805" spans="1:12">
      <c r="A6805" s="1">
        <v>46050</v>
      </c>
      <c r="B6805" t="s">
        <v>4790</v>
      </c>
      <c r="C6805">
        <v>13</v>
      </c>
      <c r="D6805" t="str">
        <f>VLOOKUP(Tabela26[[#This Row],[EMP]],[1]LOJA!$A:$B,2,0)</f>
        <v>CEILÂNDIA</v>
      </c>
      <c r="E6805">
        <v>86</v>
      </c>
      <c r="F6805" t="s">
        <v>4118</v>
      </c>
      <c r="G6805" t="s">
        <v>4117</v>
      </c>
      <c r="H6805" t="s">
        <v>3430</v>
      </c>
      <c r="I6805">
        <v>5405</v>
      </c>
      <c r="J6805" s="3">
        <v>672.9</v>
      </c>
      <c r="K6805" s="3">
        <v>473.22</v>
      </c>
      <c r="L6805">
        <v>29.67</v>
      </c>
    </row>
    <row r="6806" spans="1:12">
      <c r="A6806" s="1">
        <v>46050</v>
      </c>
      <c r="B6806" t="s">
        <v>4789</v>
      </c>
      <c r="C6806">
        <v>13</v>
      </c>
      <c r="D6806" t="str">
        <f>VLOOKUP(Tabela26[[#This Row],[EMP]],[1]LOJA!$A:$B,2,0)</f>
        <v>CEILÂNDIA</v>
      </c>
      <c r="E6806">
        <v>86</v>
      </c>
      <c r="F6806" t="s">
        <v>4118</v>
      </c>
      <c r="G6806" t="s">
        <v>4117</v>
      </c>
      <c r="H6806" t="s">
        <v>3430</v>
      </c>
      <c r="I6806">
        <v>5102</v>
      </c>
      <c r="J6806" s="3">
        <v>191.5</v>
      </c>
      <c r="K6806" s="3">
        <v>112</v>
      </c>
      <c r="L6806">
        <v>41.51</v>
      </c>
    </row>
    <row r="6807" spans="1:12">
      <c r="A6807" s="1">
        <v>46050</v>
      </c>
      <c r="B6807" t="s">
        <v>4788</v>
      </c>
      <c r="C6807">
        <v>13</v>
      </c>
      <c r="D6807" t="str">
        <f>VLOOKUP(Tabela26[[#This Row],[EMP]],[1]LOJA!$A:$B,2,0)</f>
        <v>CEILÂNDIA</v>
      </c>
      <c r="E6807">
        <v>33</v>
      </c>
      <c r="F6807" t="s">
        <v>4781</v>
      </c>
      <c r="G6807" t="s">
        <v>4780</v>
      </c>
      <c r="H6807" t="s">
        <v>3430</v>
      </c>
      <c r="I6807">
        <v>5405</v>
      </c>
      <c r="J6807" s="3">
        <v>697.65</v>
      </c>
      <c r="K6807" s="3">
        <v>396.87</v>
      </c>
      <c r="L6807">
        <v>43.11</v>
      </c>
    </row>
    <row r="6808" spans="1:12">
      <c r="A6808" s="1">
        <v>46050</v>
      </c>
      <c r="B6808" t="s">
        <v>4787</v>
      </c>
      <c r="C6808">
        <v>13</v>
      </c>
      <c r="D6808" t="str">
        <f>VLOOKUP(Tabela26[[#This Row],[EMP]],[1]LOJA!$A:$B,2,0)</f>
        <v>CEILÂNDIA</v>
      </c>
      <c r="E6808">
        <v>86</v>
      </c>
      <c r="F6808" t="s">
        <v>4097</v>
      </c>
      <c r="G6808" t="s">
        <v>4096</v>
      </c>
      <c r="H6808" t="s">
        <v>3430</v>
      </c>
      <c r="I6808">
        <v>5405</v>
      </c>
      <c r="J6808" s="3">
        <v>41.99</v>
      </c>
      <c r="K6808" s="3">
        <v>20.64</v>
      </c>
      <c r="L6808">
        <v>50.85</v>
      </c>
    </row>
    <row r="6809" spans="1:12">
      <c r="A6809" s="1">
        <v>46050</v>
      </c>
      <c r="B6809" t="s">
        <v>4786</v>
      </c>
      <c r="C6809">
        <v>13</v>
      </c>
      <c r="D6809" t="str">
        <f>VLOOKUP(Tabela26[[#This Row],[EMP]],[1]LOJA!$A:$B,2,0)</f>
        <v>CEILÂNDIA</v>
      </c>
      <c r="E6809">
        <v>33</v>
      </c>
      <c r="F6809" t="s">
        <v>4781</v>
      </c>
      <c r="G6809" t="s">
        <v>4780</v>
      </c>
      <c r="H6809" t="s">
        <v>3430</v>
      </c>
      <c r="I6809">
        <v>5405</v>
      </c>
      <c r="J6809" s="3">
        <v>299.7</v>
      </c>
      <c r="K6809" s="3">
        <v>161.82</v>
      </c>
      <c r="L6809">
        <v>46.01</v>
      </c>
    </row>
    <row r="6810" spans="1:12">
      <c r="A6810" s="1">
        <v>46050</v>
      </c>
      <c r="B6810" t="s">
        <v>4785</v>
      </c>
      <c r="C6810">
        <v>13</v>
      </c>
      <c r="D6810" t="str">
        <f>VLOOKUP(Tabela26[[#This Row],[EMP]],[1]LOJA!$A:$B,2,0)</f>
        <v>CEILÂNDIA</v>
      </c>
      <c r="E6810">
        <v>33</v>
      </c>
      <c r="F6810" t="s">
        <v>4764</v>
      </c>
      <c r="G6810" t="s">
        <v>4763</v>
      </c>
      <c r="H6810" t="s">
        <v>3430</v>
      </c>
      <c r="I6810">
        <v>5405</v>
      </c>
      <c r="J6810" s="3">
        <v>88</v>
      </c>
      <c r="K6810" s="3">
        <v>48.66</v>
      </c>
      <c r="L6810">
        <v>44.7</v>
      </c>
    </row>
    <row r="6811" spans="1:12">
      <c r="A6811" s="1">
        <v>46050</v>
      </c>
      <c r="B6811" t="s">
        <v>4784</v>
      </c>
      <c r="C6811">
        <v>13</v>
      </c>
      <c r="D6811" t="str">
        <f>VLOOKUP(Tabela26[[#This Row],[EMP]],[1]LOJA!$A:$B,2,0)</f>
        <v>CEILÂNDIA</v>
      </c>
      <c r="E6811">
        <v>86</v>
      </c>
      <c r="F6811" t="s">
        <v>3501</v>
      </c>
      <c r="G6811" t="s">
        <v>3500</v>
      </c>
      <c r="H6811" t="s">
        <v>3430</v>
      </c>
      <c r="I6811">
        <v>5102</v>
      </c>
      <c r="J6811" s="3">
        <v>155</v>
      </c>
      <c r="K6811" s="3">
        <v>113.2</v>
      </c>
      <c r="L6811">
        <v>26.97</v>
      </c>
    </row>
    <row r="6812" spans="1:12">
      <c r="A6812" s="1">
        <v>46050</v>
      </c>
      <c r="B6812" t="s">
        <v>4783</v>
      </c>
      <c r="C6812">
        <v>13</v>
      </c>
      <c r="D6812" t="str">
        <f>VLOOKUP(Tabela26[[#This Row],[EMP]],[1]LOJA!$A:$B,2,0)</f>
        <v>CEILÂNDIA</v>
      </c>
      <c r="E6812">
        <v>86</v>
      </c>
      <c r="F6812" t="s">
        <v>3501</v>
      </c>
      <c r="G6812" t="s">
        <v>3500</v>
      </c>
      <c r="H6812" t="s">
        <v>3430</v>
      </c>
      <c r="I6812">
        <v>5102</v>
      </c>
      <c r="J6812" s="3">
        <v>7</v>
      </c>
      <c r="K6812" s="3">
        <v>4.5</v>
      </c>
      <c r="L6812">
        <v>35.71</v>
      </c>
    </row>
    <row r="6813" spans="1:12">
      <c r="A6813" s="1">
        <v>46050</v>
      </c>
      <c r="B6813" t="s">
        <v>4782</v>
      </c>
      <c r="C6813">
        <v>13</v>
      </c>
      <c r="D6813" t="str">
        <f>VLOOKUP(Tabela26[[#This Row],[EMP]],[1]LOJA!$A:$B,2,0)</f>
        <v>CEILÂNDIA</v>
      </c>
      <c r="E6813">
        <v>33</v>
      </c>
      <c r="F6813" t="s">
        <v>4781</v>
      </c>
      <c r="G6813" t="s">
        <v>4780</v>
      </c>
      <c r="H6813" t="s">
        <v>3430</v>
      </c>
      <c r="I6813">
        <v>5405</v>
      </c>
      <c r="J6813" s="3">
        <v>58.54</v>
      </c>
      <c r="K6813" s="3">
        <v>35.32</v>
      </c>
      <c r="L6813">
        <v>39.67</v>
      </c>
    </row>
    <row r="6814" spans="1:12">
      <c r="A6814" s="1">
        <v>46050</v>
      </c>
      <c r="B6814" t="s">
        <v>4779</v>
      </c>
      <c r="C6814">
        <v>13</v>
      </c>
      <c r="D6814" t="str">
        <f>VLOOKUP(Tabela26[[#This Row],[EMP]],[1]LOJA!$A:$B,2,0)</f>
        <v>CEILÂNDIA</v>
      </c>
      <c r="E6814">
        <v>86</v>
      </c>
      <c r="F6814" t="s">
        <v>4081</v>
      </c>
      <c r="G6814" t="s">
        <v>4080</v>
      </c>
      <c r="H6814" t="s">
        <v>4641</v>
      </c>
      <c r="I6814">
        <v>5102</v>
      </c>
      <c r="J6814" s="3">
        <v>19.149999999999999</v>
      </c>
      <c r="K6814" s="3">
        <v>9.65</v>
      </c>
      <c r="L6814">
        <v>49.61</v>
      </c>
    </row>
    <row r="6815" spans="1:12">
      <c r="A6815" s="1">
        <v>46050</v>
      </c>
      <c r="B6815" t="s">
        <v>4778</v>
      </c>
      <c r="C6815">
        <v>13</v>
      </c>
      <c r="D6815" t="str">
        <f>VLOOKUP(Tabela26[[#This Row],[EMP]],[1]LOJA!$A:$B,2,0)</f>
        <v>CEILÂNDIA</v>
      </c>
      <c r="E6815">
        <v>33</v>
      </c>
      <c r="F6815" t="s">
        <v>4088</v>
      </c>
      <c r="G6815" t="s">
        <v>4087</v>
      </c>
      <c r="H6815" t="s">
        <v>4641</v>
      </c>
      <c r="I6815">
        <v>5405</v>
      </c>
      <c r="J6815" s="3">
        <v>625.62</v>
      </c>
      <c r="K6815" s="3">
        <v>313.02</v>
      </c>
      <c r="L6815">
        <v>49.97</v>
      </c>
    </row>
    <row r="6816" spans="1:12">
      <c r="A6816" s="1">
        <v>46050</v>
      </c>
      <c r="B6816" t="s">
        <v>4777</v>
      </c>
      <c r="C6816">
        <v>13</v>
      </c>
      <c r="D6816" t="str">
        <f>VLOOKUP(Tabela26[[#This Row],[EMP]],[1]LOJA!$A:$B,2,0)</f>
        <v>CEILÂNDIA</v>
      </c>
      <c r="E6816">
        <v>33</v>
      </c>
      <c r="F6816" t="s">
        <v>3505</v>
      </c>
      <c r="G6816" t="s">
        <v>3504</v>
      </c>
      <c r="H6816" t="s">
        <v>3430</v>
      </c>
      <c r="I6816">
        <v>5405</v>
      </c>
      <c r="J6816" s="3">
        <v>54.32</v>
      </c>
      <c r="K6816" s="3">
        <v>28.12</v>
      </c>
      <c r="L6816">
        <v>48.23</v>
      </c>
    </row>
    <row r="6817" spans="1:12">
      <c r="A6817" s="1">
        <v>46050</v>
      </c>
      <c r="B6817" t="s">
        <v>4776</v>
      </c>
      <c r="C6817">
        <v>13</v>
      </c>
      <c r="D6817" t="str">
        <f>VLOOKUP(Tabela26[[#This Row],[EMP]],[1]LOJA!$A:$B,2,0)</f>
        <v>CEILÂNDIA</v>
      </c>
      <c r="E6817">
        <v>86</v>
      </c>
      <c r="F6817" t="s">
        <v>4775</v>
      </c>
      <c r="G6817" t="s">
        <v>4774</v>
      </c>
      <c r="H6817" t="s">
        <v>4641</v>
      </c>
      <c r="I6817">
        <v>5405</v>
      </c>
      <c r="J6817" s="3">
        <v>58.15</v>
      </c>
      <c r="K6817" s="3">
        <v>25.7</v>
      </c>
      <c r="L6817">
        <v>55.8</v>
      </c>
    </row>
    <row r="6818" spans="1:12">
      <c r="A6818" s="1">
        <v>46050</v>
      </c>
      <c r="B6818" t="s">
        <v>4773</v>
      </c>
      <c r="C6818">
        <v>13</v>
      </c>
      <c r="D6818" t="str">
        <f>VLOOKUP(Tabela26[[#This Row],[EMP]],[1]LOJA!$A:$B,2,0)</f>
        <v>CEILÂNDIA</v>
      </c>
      <c r="E6818">
        <v>86</v>
      </c>
      <c r="F6818" t="s">
        <v>3501</v>
      </c>
      <c r="G6818" t="s">
        <v>3500</v>
      </c>
      <c r="H6818" t="s">
        <v>3430</v>
      </c>
      <c r="I6818">
        <v>5405</v>
      </c>
      <c r="J6818" s="3">
        <v>100</v>
      </c>
      <c r="K6818" s="3">
        <v>49.78</v>
      </c>
      <c r="L6818">
        <v>50.22</v>
      </c>
    </row>
    <row r="6819" spans="1:12">
      <c r="A6819" s="1">
        <v>46050</v>
      </c>
      <c r="B6819" t="s">
        <v>4772</v>
      </c>
      <c r="C6819">
        <v>13</v>
      </c>
      <c r="D6819" t="str">
        <f>VLOOKUP(Tabela26[[#This Row],[EMP]],[1]LOJA!$A:$B,2,0)</f>
        <v>CEILÂNDIA</v>
      </c>
      <c r="E6819">
        <v>86</v>
      </c>
      <c r="F6819" t="s">
        <v>4094</v>
      </c>
      <c r="G6819" t="s">
        <v>4093</v>
      </c>
      <c r="H6819" t="s">
        <v>4760</v>
      </c>
      <c r="I6819">
        <v>5405</v>
      </c>
      <c r="J6819" s="3">
        <v>127.89</v>
      </c>
      <c r="K6819" s="3">
        <v>70.8</v>
      </c>
      <c r="L6819">
        <v>44.64</v>
      </c>
    </row>
    <row r="6820" spans="1:12">
      <c r="A6820" s="1">
        <v>46050</v>
      </c>
      <c r="B6820" t="s">
        <v>4771</v>
      </c>
      <c r="C6820">
        <v>13</v>
      </c>
      <c r="D6820" t="str">
        <f>VLOOKUP(Tabela26[[#This Row],[EMP]],[1]LOJA!$A:$B,2,0)</f>
        <v>CEILÂNDIA</v>
      </c>
      <c r="E6820">
        <v>86</v>
      </c>
      <c r="F6820" t="s">
        <v>4106</v>
      </c>
      <c r="G6820" t="s">
        <v>4105</v>
      </c>
      <c r="H6820" t="s">
        <v>3430</v>
      </c>
      <c r="I6820">
        <v>5405</v>
      </c>
      <c r="J6820" s="3">
        <v>65.2</v>
      </c>
      <c r="K6820" s="3">
        <v>34.31</v>
      </c>
      <c r="L6820">
        <v>47.38</v>
      </c>
    </row>
    <row r="6821" spans="1:12">
      <c r="A6821" s="1">
        <v>46050</v>
      </c>
      <c r="B6821" t="s">
        <v>4770</v>
      </c>
      <c r="C6821">
        <v>13</v>
      </c>
      <c r="D6821" t="str">
        <f>VLOOKUP(Tabela26[[#This Row],[EMP]],[1]LOJA!$A:$B,2,0)</f>
        <v>CEILÂNDIA</v>
      </c>
      <c r="E6821">
        <v>33</v>
      </c>
      <c r="F6821" t="s">
        <v>4767</v>
      </c>
      <c r="G6821" t="s">
        <v>4766</v>
      </c>
      <c r="H6821" t="s">
        <v>3430</v>
      </c>
      <c r="I6821">
        <v>5405</v>
      </c>
      <c r="J6821" s="3">
        <v>65</v>
      </c>
      <c r="K6821" s="3">
        <v>30.51</v>
      </c>
      <c r="L6821">
        <v>53.06</v>
      </c>
    </row>
    <row r="6822" spans="1:12">
      <c r="A6822" s="1">
        <v>46050</v>
      </c>
      <c r="B6822" t="s">
        <v>4769</v>
      </c>
      <c r="C6822">
        <v>13</v>
      </c>
      <c r="D6822" t="str">
        <f>VLOOKUP(Tabela26[[#This Row],[EMP]],[1]LOJA!$A:$B,2,0)</f>
        <v>CEILÂNDIA</v>
      </c>
      <c r="E6822">
        <v>86</v>
      </c>
      <c r="F6822" t="s">
        <v>3505</v>
      </c>
      <c r="G6822" t="s">
        <v>3504</v>
      </c>
      <c r="H6822" t="s">
        <v>3430</v>
      </c>
      <c r="I6822">
        <v>5405</v>
      </c>
      <c r="J6822" s="3">
        <v>65.56</v>
      </c>
      <c r="K6822" s="3">
        <v>35.840000000000003</v>
      </c>
      <c r="L6822">
        <v>45.33</v>
      </c>
    </row>
    <row r="6823" spans="1:12">
      <c r="A6823" s="1">
        <v>46050</v>
      </c>
      <c r="B6823" t="s">
        <v>4768</v>
      </c>
      <c r="C6823">
        <v>13</v>
      </c>
      <c r="D6823" t="str">
        <f>VLOOKUP(Tabela26[[#This Row],[EMP]],[1]LOJA!$A:$B,2,0)</f>
        <v>CEILÂNDIA</v>
      </c>
      <c r="E6823">
        <v>33</v>
      </c>
      <c r="F6823" t="s">
        <v>4767</v>
      </c>
      <c r="G6823" t="s">
        <v>4766</v>
      </c>
      <c r="H6823" t="s">
        <v>3430</v>
      </c>
      <c r="I6823">
        <v>5102</v>
      </c>
      <c r="J6823" s="3">
        <v>29.67</v>
      </c>
      <c r="K6823" s="3">
        <v>18.62</v>
      </c>
      <c r="L6823">
        <v>37.24</v>
      </c>
    </row>
    <row r="6824" spans="1:12">
      <c r="A6824" s="1">
        <v>46050</v>
      </c>
      <c r="B6824" t="s">
        <v>4765</v>
      </c>
      <c r="C6824">
        <v>13</v>
      </c>
      <c r="D6824" t="str">
        <f>VLOOKUP(Tabela26[[#This Row],[EMP]],[1]LOJA!$A:$B,2,0)</f>
        <v>CEILÂNDIA</v>
      </c>
      <c r="E6824">
        <v>33</v>
      </c>
      <c r="F6824" t="s">
        <v>4764</v>
      </c>
      <c r="G6824" t="s">
        <v>4763</v>
      </c>
      <c r="H6824" t="s">
        <v>3430</v>
      </c>
      <c r="I6824">
        <v>5405</v>
      </c>
      <c r="J6824" s="3">
        <v>29</v>
      </c>
      <c r="K6824" s="3">
        <v>15.97</v>
      </c>
      <c r="L6824">
        <v>44.93</v>
      </c>
    </row>
    <row r="6825" spans="1:12">
      <c r="A6825" s="1">
        <v>46050</v>
      </c>
      <c r="B6825" t="s">
        <v>4762</v>
      </c>
      <c r="C6825">
        <v>13</v>
      </c>
      <c r="D6825" t="str">
        <f>VLOOKUP(Tabela26[[#This Row],[EMP]],[1]LOJA!$A:$B,2,0)</f>
        <v>CEILÂNDIA</v>
      </c>
      <c r="E6825">
        <v>86</v>
      </c>
      <c r="F6825" t="s">
        <v>3501</v>
      </c>
      <c r="G6825" t="s">
        <v>3500</v>
      </c>
      <c r="H6825" t="s">
        <v>3430</v>
      </c>
      <c r="I6825">
        <v>5102</v>
      </c>
      <c r="J6825" s="3">
        <v>75</v>
      </c>
      <c r="K6825" s="3">
        <v>48.7</v>
      </c>
      <c r="L6825">
        <v>35.07</v>
      </c>
    </row>
    <row r="6826" spans="1:12">
      <c r="A6826" s="1">
        <v>46050</v>
      </c>
      <c r="B6826" t="s">
        <v>4761</v>
      </c>
      <c r="C6826">
        <v>13</v>
      </c>
      <c r="D6826" t="str">
        <f>VLOOKUP(Tabela26[[#This Row],[EMP]],[1]LOJA!$A:$B,2,0)</f>
        <v>CEILÂNDIA</v>
      </c>
      <c r="E6826">
        <v>86</v>
      </c>
      <c r="F6826" t="s">
        <v>4094</v>
      </c>
      <c r="G6826" t="s">
        <v>4093</v>
      </c>
      <c r="H6826" t="s">
        <v>4760</v>
      </c>
      <c r="I6826">
        <v>5102</v>
      </c>
      <c r="J6826" s="3">
        <v>64.48</v>
      </c>
      <c r="K6826" s="3">
        <v>33.92</v>
      </c>
      <c r="L6826">
        <v>47.39</v>
      </c>
    </row>
    <row r="6827" spans="1:12">
      <c r="A6827" s="1">
        <v>46050</v>
      </c>
      <c r="B6827" t="s">
        <v>4759</v>
      </c>
      <c r="C6827">
        <v>15</v>
      </c>
      <c r="D6827" t="str">
        <f>VLOOKUP(Tabela26[[#This Row],[EMP]],[1]LOJA!$A:$B,2,0)</f>
        <v>UNAÍ</v>
      </c>
      <c r="E6827">
        <v>183</v>
      </c>
      <c r="F6827" t="s">
        <v>4758</v>
      </c>
      <c r="G6827" t="s">
        <v>4757</v>
      </c>
      <c r="H6827" t="s">
        <v>3430</v>
      </c>
      <c r="I6827">
        <v>5102</v>
      </c>
      <c r="J6827" s="3">
        <v>26</v>
      </c>
      <c r="K6827" s="3">
        <v>15.24</v>
      </c>
      <c r="L6827">
        <v>41.38</v>
      </c>
    </row>
    <row r="6828" spans="1:12">
      <c r="A6828" s="1">
        <v>46050</v>
      </c>
      <c r="B6828" t="s">
        <v>4756</v>
      </c>
      <c r="C6828">
        <v>15</v>
      </c>
      <c r="D6828" t="str">
        <f>VLOOKUP(Tabela26[[#This Row],[EMP]],[1]LOJA!$A:$B,2,0)</f>
        <v>UNAÍ</v>
      </c>
      <c r="E6828">
        <v>183</v>
      </c>
      <c r="F6828" t="s">
        <v>3485</v>
      </c>
      <c r="G6828" t="s">
        <v>3402</v>
      </c>
      <c r="H6828" t="s">
        <v>3401</v>
      </c>
      <c r="I6828">
        <v>5102</v>
      </c>
      <c r="J6828" s="3">
        <v>3.6</v>
      </c>
      <c r="K6828" s="3">
        <v>2.2000000000000002</v>
      </c>
      <c r="L6828">
        <v>38.89</v>
      </c>
    </row>
    <row r="6829" spans="1:12">
      <c r="A6829" s="1">
        <v>46050</v>
      </c>
      <c r="B6829" t="s">
        <v>4755</v>
      </c>
      <c r="C6829">
        <v>15</v>
      </c>
      <c r="D6829" t="str">
        <f>VLOOKUP(Tabela26[[#This Row],[EMP]],[1]LOJA!$A:$B,2,0)</f>
        <v>UNAÍ</v>
      </c>
      <c r="E6829">
        <v>183</v>
      </c>
      <c r="F6829" t="s">
        <v>3467</v>
      </c>
      <c r="G6829" t="s">
        <v>3466</v>
      </c>
      <c r="H6829" t="s">
        <v>3401</v>
      </c>
      <c r="I6829">
        <v>5102</v>
      </c>
      <c r="J6829" s="3">
        <v>5.78</v>
      </c>
      <c r="K6829" s="3">
        <v>2.65</v>
      </c>
      <c r="L6829">
        <v>54.15</v>
      </c>
    </row>
    <row r="6830" spans="1:12">
      <c r="A6830" s="1">
        <v>46050</v>
      </c>
      <c r="B6830" t="s">
        <v>4754</v>
      </c>
      <c r="C6830">
        <v>15</v>
      </c>
      <c r="D6830" t="str">
        <f>VLOOKUP(Tabela26[[#This Row],[EMP]],[1]LOJA!$A:$B,2,0)</f>
        <v>UNAÍ</v>
      </c>
      <c r="E6830">
        <v>183</v>
      </c>
      <c r="F6830" t="s">
        <v>4753</v>
      </c>
      <c r="G6830" t="s">
        <v>3402</v>
      </c>
      <c r="H6830" t="s">
        <v>3408</v>
      </c>
      <c r="I6830">
        <v>5102</v>
      </c>
      <c r="J6830" s="3">
        <v>209.8</v>
      </c>
      <c r="K6830" s="3">
        <v>141.1</v>
      </c>
      <c r="L6830">
        <v>32.75</v>
      </c>
    </row>
    <row r="6831" spans="1:12">
      <c r="A6831" s="1">
        <v>46050</v>
      </c>
      <c r="B6831" t="s">
        <v>4752</v>
      </c>
      <c r="C6831">
        <v>15</v>
      </c>
      <c r="D6831" t="str">
        <f>VLOOKUP(Tabela26[[#This Row],[EMP]],[1]LOJA!$A:$B,2,0)</f>
        <v>UNAÍ</v>
      </c>
      <c r="E6831">
        <v>183</v>
      </c>
      <c r="F6831" t="s">
        <v>4751</v>
      </c>
      <c r="G6831" t="s">
        <v>4750</v>
      </c>
      <c r="H6831" t="s">
        <v>3520</v>
      </c>
      <c r="I6831">
        <v>5102</v>
      </c>
      <c r="J6831" s="3">
        <v>619.15</v>
      </c>
      <c r="K6831" s="3">
        <v>359.81</v>
      </c>
      <c r="L6831">
        <v>41.89</v>
      </c>
    </row>
    <row r="6832" spans="1:12">
      <c r="A6832" s="1">
        <v>46050</v>
      </c>
      <c r="B6832" t="s">
        <v>4749</v>
      </c>
      <c r="C6832">
        <v>15</v>
      </c>
      <c r="D6832" t="str">
        <f>VLOOKUP(Tabela26[[#This Row],[EMP]],[1]LOJA!$A:$B,2,0)</f>
        <v>UNAÍ</v>
      </c>
      <c r="E6832">
        <v>183</v>
      </c>
      <c r="F6832" t="s">
        <v>4044</v>
      </c>
      <c r="G6832" t="s">
        <v>4043</v>
      </c>
      <c r="H6832" t="s">
        <v>3408</v>
      </c>
      <c r="I6832">
        <v>5102</v>
      </c>
      <c r="J6832" s="3">
        <v>386.7</v>
      </c>
      <c r="K6832" s="3">
        <v>217.57</v>
      </c>
      <c r="L6832">
        <v>43.74</v>
      </c>
    </row>
    <row r="6833" spans="1:12">
      <c r="A6833" s="1">
        <v>46050</v>
      </c>
      <c r="B6833" t="s">
        <v>4748</v>
      </c>
      <c r="C6833">
        <v>15</v>
      </c>
      <c r="D6833" t="str">
        <f>VLOOKUP(Tabela26[[#This Row],[EMP]],[1]LOJA!$A:$B,2,0)</f>
        <v>UNAÍ</v>
      </c>
      <c r="E6833">
        <v>183</v>
      </c>
      <c r="F6833" t="s">
        <v>4747</v>
      </c>
      <c r="G6833" t="s">
        <v>4746</v>
      </c>
      <c r="H6833" t="s">
        <v>3401</v>
      </c>
      <c r="I6833">
        <v>5102</v>
      </c>
      <c r="J6833" s="3">
        <v>20</v>
      </c>
      <c r="K6833" s="3">
        <v>7.2</v>
      </c>
      <c r="L6833">
        <v>64</v>
      </c>
    </row>
    <row r="6834" spans="1:12">
      <c r="A6834" s="1">
        <v>46050</v>
      </c>
      <c r="B6834" t="s">
        <v>4745</v>
      </c>
      <c r="C6834">
        <v>15</v>
      </c>
      <c r="D6834" t="str">
        <f>VLOOKUP(Tabela26[[#This Row],[EMP]],[1]LOJA!$A:$B,2,0)</f>
        <v>UNAÍ</v>
      </c>
      <c r="E6834">
        <v>183</v>
      </c>
      <c r="F6834" t="s">
        <v>4051</v>
      </c>
      <c r="G6834" t="s">
        <v>3402</v>
      </c>
      <c r="H6834" t="s">
        <v>3401</v>
      </c>
      <c r="I6834">
        <v>5102</v>
      </c>
      <c r="J6834" s="3">
        <v>40</v>
      </c>
      <c r="K6834" s="3">
        <v>30.8</v>
      </c>
      <c r="L6834">
        <v>23</v>
      </c>
    </row>
    <row r="6835" spans="1:12">
      <c r="A6835" s="1">
        <v>46050</v>
      </c>
      <c r="B6835" t="s">
        <v>4744</v>
      </c>
      <c r="C6835">
        <v>15</v>
      </c>
      <c r="D6835" t="str">
        <f>VLOOKUP(Tabela26[[#This Row],[EMP]],[1]LOJA!$A:$B,2,0)</f>
        <v>UNAÍ</v>
      </c>
      <c r="E6835">
        <v>183</v>
      </c>
      <c r="F6835" t="s">
        <v>3467</v>
      </c>
      <c r="G6835" t="s">
        <v>3466</v>
      </c>
      <c r="H6835" t="s">
        <v>3401</v>
      </c>
      <c r="I6835">
        <v>5102</v>
      </c>
      <c r="J6835" s="3">
        <v>8.67</v>
      </c>
      <c r="K6835" s="3">
        <v>4.01</v>
      </c>
      <c r="L6835">
        <v>53.75</v>
      </c>
    </row>
    <row r="6836" spans="1:12">
      <c r="A6836" s="1">
        <v>46050</v>
      </c>
      <c r="B6836" t="s">
        <v>4743</v>
      </c>
      <c r="C6836">
        <v>15</v>
      </c>
      <c r="D6836" t="str">
        <f>VLOOKUP(Tabela26[[#This Row],[EMP]],[1]LOJA!$A:$B,2,0)</f>
        <v>UNAÍ</v>
      </c>
      <c r="E6836">
        <v>183</v>
      </c>
      <c r="F6836" t="s">
        <v>3488</v>
      </c>
      <c r="G6836" t="s">
        <v>3487</v>
      </c>
      <c r="H6836" t="s">
        <v>3430</v>
      </c>
      <c r="I6836">
        <v>5102</v>
      </c>
      <c r="J6836" s="3">
        <v>70.290000000000006</v>
      </c>
      <c r="K6836" s="3">
        <v>38.33</v>
      </c>
      <c r="L6836">
        <v>45.47</v>
      </c>
    </row>
    <row r="6837" spans="1:12">
      <c r="A6837" s="1">
        <v>46050</v>
      </c>
      <c r="B6837" t="s">
        <v>4742</v>
      </c>
      <c r="C6837">
        <v>15</v>
      </c>
      <c r="D6837" t="str">
        <f>VLOOKUP(Tabela26[[#This Row],[EMP]],[1]LOJA!$A:$B,2,0)</f>
        <v>UNAÍ</v>
      </c>
      <c r="E6837">
        <v>183</v>
      </c>
      <c r="F6837" t="s">
        <v>4740</v>
      </c>
      <c r="G6837" t="s">
        <v>4739</v>
      </c>
      <c r="H6837" t="s">
        <v>4142</v>
      </c>
      <c r="I6837">
        <v>5102</v>
      </c>
      <c r="J6837" s="3">
        <v>75</v>
      </c>
      <c r="K6837" s="3">
        <v>46.3</v>
      </c>
      <c r="L6837">
        <v>38.270000000000003</v>
      </c>
    </row>
    <row r="6838" spans="1:12">
      <c r="A6838" s="1">
        <v>46050</v>
      </c>
      <c r="B6838" t="s">
        <v>4741</v>
      </c>
      <c r="C6838">
        <v>15</v>
      </c>
      <c r="D6838" t="str">
        <f>VLOOKUP(Tabela26[[#This Row],[EMP]],[1]LOJA!$A:$B,2,0)</f>
        <v>UNAÍ</v>
      </c>
      <c r="E6838">
        <v>183</v>
      </c>
      <c r="F6838" t="s">
        <v>4740</v>
      </c>
      <c r="G6838" t="s">
        <v>4739</v>
      </c>
      <c r="H6838" t="s">
        <v>4142</v>
      </c>
      <c r="I6838">
        <v>5102</v>
      </c>
      <c r="J6838" s="3">
        <v>80</v>
      </c>
      <c r="K6838" s="3">
        <v>47.38</v>
      </c>
      <c r="L6838">
        <v>40.78</v>
      </c>
    </row>
    <row r="6839" spans="1:12">
      <c r="A6839" s="1">
        <v>46050</v>
      </c>
      <c r="B6839" t="s">
        <v>4738</v>
      </c>
      <c r="C6839">
        <v>15</v>
      </c>
      <c r="D6839" t="str">
        <f>VLOOKUP(Tabela26[[#This Row],[EMP]],[1]LOJA!$A:$B,2,0)</f>
        <v>UNAÍ</v>
      </c>
      <c r="E6839">
        <v>183</v>
      </c>
      <c r="F6839" t="s">
        <v>4032</v>
      </c>
      <c r="G6839" t="s">
        <v>4031</v>
      </c>
      <c r="H6839" t="s">
        <v>3401</v>
      </c>
      <c r="I6839">
        <v>5102</v>
      </c>
      <c r="J6839" s="3">
        <v>60</v>
      </c>
      <c r="K6839" s="3">
        <v>34.35</v>
      </c>
      <c r="L6839">
        <v>42.75</v>
      </c>
    </row>
    <row r="6840" spans="1:12">
      <c r="A6840" s="1">
        <v>46050</v>
      </c>
      <c r="B6840" t="s">
        <v>4737</v>
      </c>
      <c r="C6840">
        <v>15</v>
      </c>
      <c r="D6840" t="str">
        <f>VLOOKUP(Tabela26[[#This Row],[EMP]],[1]LOJA!$A:$B,2,0)</f>
        <v>UNAÍ</v>
      </c>
      <c r="E6840">
        <v>183</v>
      </c>
      <c r="F6840" t="s">
        <v>4736</v>
      </c>
      <c r="G6840" t="s">
        <v>3402</v>
      </c>
      <c r="H6840" t="s">
        <v>3401</v>
      </c>
      <c r="I6840">
        <v>5102</v>
      </c>
      <c r="J6840" s="3">
        <v>100</v>
      </c>
      <c r="K6840" s="3">
        <v>61.3</v>
      </c>
      <c r="L6840">
        <v>38.700000000000003</v>
      </c>
    </row>
    <row r="6841" spans="1:12">
      <c r="A6841" s="1">
        <v>46050</v>
      </c>
      <c r="B6841" t="s">
        <v>4735</v>
      </c>
      <c r="C6841">
        <v>15</v>
      </c>
      <c r="D6841" t="str">
        <f>VLOOKUP(Tabela26[[#This Row],[EMP]],[1]LOJA!$A:$B,2,0)</f>
        <v>UNAÍ</v>
      </c>
      <c r="E6841">
        <v>183</v>
      </c>
      <c r="F6841" t="s">
        <v>3485</v>
      </c>
      <c r="G6841" t="s">
        <v>3402</v>
      </c>
      <c r="H6841" t="s">
        <v>3401</v>
      </c>
      <c r="I6841">
        <v>5102</v>
      </c>
      <c r="J6841" s="3">
        <v>5.5</v>
      </c>
      <c r="K6841" s="3">
        <v>3.28</v>
      </c>
      <c r="L6841">
        <v>40.36</v>
      </c>
    </row>
    <row r="6842" spans="1:12">
      <c r="A6842" s="1">
        <v>46050</v>
      </c>
      <c r="B6842" t="s">
        <v>4734</v>
      </c>
      <c r="C6842">
        <v>15</v>
      </c>
      <c r="D6842" t="str">
        <f>VLOOKUP(Tabela26[[#This Row],[EMP]],[1]LOJA!$A:$B,2,0)</f>
        <v>UNAÍ</v>
      </c>
      <c r="E6842">
        <v>183</v>
      </c>
      <c r="F6842" t="s">
        <v>4068</v>
      </c>
      <c r="G6842" t="s">
        <v>4067</v>
      </c>
      <c r="H6842" t="s">
        <v>3520</v>
      </c>
      <c r="I6842">
        <v>5102</v>
      </c>
      <c r="J6842" s="3">
        <v>64.45</v>
      </c>
      <c r="K6842" s="3">
        <v>32.89</v>
      </c>
      <c r="L6842">
        <v>48.97</v>
      </c>
    </row>
    <row r="6843" spans="1:12">
      <c r="A6843" s="1">
        <v>46050</v>
      </c>
      <c r="B6843" t="s">
        <v>4733</v>
      </c>
      <c r="C6843">
        <v>15</v>
      </c>
      <c r="D6843" t="str">
        <f>VLOOKUP(Tabela26[[#This Row],[EMP]],[1]LOJA!$A:$B,2,0)</f>
        <v>UNAÍ</v>
      </c>
      <c r="E6843">
        <v>183</v>
      </c>
      <c r="F6843" t="s">
        <v>4068</v>
      </c>
      <c r="G6843" t="s">
        <v>4067</v>
      </c>
      <c r="H6843" t="s">
        <v>3520</v>
      </c>
      <c r="I6843">
        <v>5102</v>
      </c>
      <c r="J6843" s="3">
        <v>20</v>
      </c>
      <c r="K6843" s="3">
        <v>12.02</v>
      </c>
      <c r="L6843">
        <v>39.9</v>
      </c>
    </row>
    <row r="6844" spans="1:12">
      <c r="A6844" s="1">
        <v>46050</v>
      </c>
      <c r="B6844" t="s">
        <v>4732</v>
      </c>
      <c r="C6844">
        <v>15</v>
      </c>
      <c r="D6844" t="str">
        <f>VLOOKUP(Tabela26[[#This Row],[EMP]],[1]LOJA!$A:$B,2,0)</f>
        <v>UNAÍ</v>
      </c>
      <c r="E6844">
        <v>183</v>
      </c>
      <c r="F6844" t="s">
        <v>4731</v>
      </c>
      <c r="G6844" t="s">
        <v>4730</v>
      </c>
      <c r="H6844" t="s">
        <v>3401</v>
      </c>
      <c r="I6844">
        <v>5102</v>
      </c>
      <c r="J6844" s="3">
        <v>138.9</v>
      </c>
      <c r="K6844" s="3">
        <v>82.12</v>
      </c>
      <c r="L6844">
        <v>40.880000000000003</v>
      </c>
    </row>
    <row r="6845" spans="1:12">
      <c r="A6845" s="1">
        <v>46050</v>
      </c>
      <c r="B6845" t="s">
        <v>4729</v>
      </c>
      <c r="C6845">
        <v>15</v>
      </c>
      <c r="D6845" t="str">
        <f>VLOOKUP(Tabela26[[#This Row],[EMP]],[1]LOJA!$A:$B,2,0)</f>
        <v>UNAÍ</v>
      </c>
      <c r="E6845">
        <v>183</v>
      </c>
      <c r="F6845" t="s">
        <v>4728</v>
      </c>
      <c r="G6845" t="s">
        <v>4727</v>
      </c>
      <c r="H6845" t="s">
        <v>3408</v>
      </c>
      <c r="I6845">
        <v>5102</v>
      </c>
      <c r="J6845" s="3">
        <v>48</v>
      </c>
      <c r="K6845" s="3">
        <v>21.51</v>
      </c>
      <c r="L6845">
        <v>55.19</v>
      </c>
    </row>
    <row r="6846" spans="1:12">
      <c r="A6846" s="1">
        <v>46050</v>
      </c>
      <c r="B6846" t="s">
        <v>4726</v>
      </c>
      <c r="C6846">
        <v>15</v>
      </c>
      <c r="D6846" t="str">
        <f>VLOOKUP(Tabela26[[#This Row],[EMP]],[1]LOJA!$A:$B,2,0)</f>
        <v>UNAÍ</v>
      </c>
      <c r="E6846">
        <v>183</v>
      </c>
      <c r="F6846" t="s">
        <v>4025</v>
      </c>
      <c r="G6846" t="s">
        <v>4024</v>
      </c>
      <c r="H6846" t="s">
        <v>3401</v>
      </c>
      <c r="I6846">
        <v>5102</v>
      </c>
      <c r="J6846" s="3">
        <v>159.9</v>
      </c>
      <c r="K6846" s="3">
        <v>94.91</v>
      </c>
      <c r="L6846">
        <v>40.64</v>
      </c>
    </row>
    <row r="6847" spans="1:12">
      <c r="A6847" s="1">
        <v>46050</v>
      </c>
      <c r="B6847" t="s">
        <v>4725</v>
      </c>
      <c r="C6847">
        <v>15</v>
      </c>
      <c r="D6847" t="str">
        <f>VLOOKUP(Tabela26[[#This Row],[EMP]],[1]LOJA!$A:$B,2,0)</f>
        <v>UNAÍ</v>
      </c>
      <c r="E6847">
        <v>183</v>
      </c>
      <c r="F6847" t="s">
        <v>3485</v>
      </c>
      <c r="G6847" t="s">
        <v>3402</v>
      </c>
      <c r="H6847" t="s">
        <v>3408</v>
      </c>
      <c r="I6847">
        <v>5102</v>
      </c>
      <c r="J6847" s="3">
        <v>34</v>
      </c>
      <c r="K6847" s="3">
        <v>15.64</v>
      </c>
      <c r="L6847">
        <v>54</v>
      </c>
    </row>
    <row r="6848" spans="1:12">
      <c r="A6848" s="1">
        <v>46050</v>
      </c>
      <c r="B6848" t="s">
        <v>4724</v>
      </c>
      <c r="C6848">
        <v>15</v>
      </c>
      <c r="D6848" t="str">
        <f>VLOOKUP(Tabela26[[#This Row],[EMP]],[1]LOJA!$A:$B,2,0)</f>
        <v>UNAÍ</v>
      </c>
      <c r="E6848">
        <v>183</v>
      </c>
      <c r="F6848" t="s">
        <v>4040</v>
      </c>
      <c r="G6848" t="s">
        <v>4039</v>
      </c>
      <c r="H6848" t="s">
        <v>3408</v>
      </c>
      <c r="I6848">
        <v>5102</v>
      </c>
      <c r="J6848" s="3">
        <v>285.89</v>
      </c>
      <c r="K6848" s="3">
        <v>148.08000000000001</v>
      </c>
      <c r="L6848">
        <v>48.2</v>
      </c>
    </row>
    <row r="6849" spans="1:12">
      <c r="A6849" s="1">
        <v>46050</v>
      </c>
      <c r="B6849" t="s">
        <v>4723</v>
      </c>
      <c r="C6849">
        <v>15</v>
      </c>
      <c r="D6849" t="str">
        <f>VLOOKUP(Tabela26[[#This Row],[EMP]],[1]LOJA!$A:$B,2,0)</f>
        <v>UNAÍ</v>
      </c>
      <c r="E6849">
        <v>183</v>
      </c>
      <c r="F6849" t="s">
        <v>3485</v>
      </c>
      <c r="G6849" t="s">
        <v>3402</v>
      </c>
      <c r="H6849" t="s">
        <v>3401</v>
      </c>
      <c r="I6849">
        <v>5102</v>
      </c>
      <c r="J6849" s="3">
        <v>45</v>
      </c>
      <c r="K6849" s="3">
        <v>22.73</v>
      </c>
      <c r="L6849">
        <v>49.49</v>
      </c>
    </row>
    <row r="6850" spans="1:12">
      <c r="A6850" s="1">
        <v>46050</v>
      </c>
      <c r="B6850" t="s">
        <v>4722</v>
      </c>
      <c r="C6850">
        <v>15</v>
      </c>
      <c r="D6850" t="str">
        <f>VLOOKUP(Tabela26[[#This Row],[EMP]],[1]LOJA!$A:$B,2,0)</f>
        <v>UNAÍ</v>
      </c>
      <c r="E6850">
        <v>183</v>
      </c>
      <c r="F6850" t="s">
        <v>4720</v>
      </c>
      <c r="G6850" t="s">
        <v>4719</v>
      </c>
      <c r="H6850" t="s">
        <v>3520</v>
      </c>
      <c r="I6850">
        <v>5102</v>
      </c>
      <c r="J6850" s="3">
        <v>409.7</v>
      </c>
      <c r="K6850" s="3">
        <v>239.44</v>
      </c>
      <c r="L6850">
        <v>41.56</v>
      </c>
    </row>
    <row r="6851" spans="1:12">
      <c r="A6851" s="1">
        <v>46050</v>
      </c>
      <c r="B6851" t="s">
        <v>4721</v>
      </c>
      <c r="C6851">
        <v>15</v>
      </c>
      <c r="D6851" t="str">
        <f>VLOOKUP(Tabela26[[#This Row],[EMP]],[1]LOJA!$A:$B,2,0)</f>
        <v>UNAÍ</v>
      </c>
      <c r="E6851">
        <v>183</v>
      </c>
      <c r="F6851" t="s">
        <v>4720</v>
      </c>
      <c r="G6851" t="s">
        <v>4719</v>
      </c>
      <c r="H6851" t="s">
        <v>3520</v>
      </c>
      <c r="I6851">
        <v>5102</v>
      </c>
      <c r="J6851" s="3">
        <v>98.7</v>
      </c>
      <c r="K6851" s="3">
        <v>51.87</v>
      </c>
      <c r="L6851">
        <v>47.45</v>
      </c>
    </row>
    <row r="6852" spans="1:12">
      <c r="A6852" s="1">
        <v>46050</v>
      </c>
      <c r="B6852" t="s">
        <v>4718</v>
      </c>
      <c r="C6852">
        <v>15</v>
      </c>
      <c r="D6852" t="str">
        <f>VLOOKUP(Tabela26[[#This Row],[EMP]],[1]LOJA!$A:$B,2,0)</f>
        <v>UNAÍ</v>
      </c>
      <c r="E6852">
        <v>183</v>
      </c>
      <c r="F6852" t="s">
        <v>4063</v>
      </c>
      <c r="G6852" t="s">
        <v>4062</v>
      </c>
      <c r="H6852" t="s">
        <v>3430</v>
      </c>
      <c r="I6852">
        <v>5102</v>
      </c>
      <c r="J6852" s="3">
        <v>65.78</v>
      </c>
      <c r="K6852" s="3">
        <v>37.68</v>
      </c>
      <c r="L6852">
        <v>42.72</v>
      </c>
    </row>
    <row r="6853" spans="1:12">
      <c r="A6853" s="1">
        <v>46050</v>
      </c>
      <c r="B6853" t="s">
        <v>4717</v>
      </c>
      <c r="C6853">
        <v>15</v>
      </c>
      <c r="D6853" t="str">
        <f>VLOOKUP(Tabela26[[#This Row],[EMP]],[1]LOJA!$A:$B,2,0)</f>
        <v>UNAÍ</v>
      </c>
      <c r="E6853">
        <v>183</v>
      </c>
      <c r="F6853" t="s">
        <v>3485</v>
      </c>
      <c r="G6853" t="s">
        <v>3402</v>
      </c>
      <c r="H6853" t="s">
        <v>3401</v>
      </c>
      <c r="I6853">
        <v>5102</v>
      </c>
      <c r="J6853" s="3">
        <v>216.5</v>
      </c>
      <c r="K6853" s="3">
        <v>125.41</v>
      </c>
      <c r="L6853">
        <v>42.07</v>
      </c>
    </row>
    <row r="6854" spans="1:12">
      <c r="A6854" s="1">
        <v>46050</v>
      </c>
      <c r="B6854" t="s">
        <v>4716</v>
      </c>
      <c r="C6854">
        <v>15</v>
      </c>
      <c r="D6854" t="str">
        <f>VLOOKUP(Tabela26[[#This Row],[EMP]],[1]LOJA!$A:$B,2,0)</f>
        <v>UNAÍ</v>
      </c>
      <c r="E6854">
        <v>183</v>
      </c>
      <c r="F6854" t="s">
        <v>3485</v>
      </c>
      <c r="G6854" t="s">
        <v>3402</v>
      </c>
      <c r="H6854" t="s">
        <v>3401</v>
      </c>
      <c r="I6854">
        <v>5102</v>
      </c>
      <c r="J6854" s="3">
        <v>54</v>
      </c>
      <c r="K6854" s="3">
        <v>26.53</v>
      </c>
      <c r="L6854">
        <v>50.87</v>
      </c>
    </row>
    <row r="6855" spans="1:12">
      <c r="A6855" s="1">
        <v>46050</v>
      </c>
      <c r="B6855" t="s">
        <v>4715</v>
      </c>
      <c r="C6855">
        <v>15</v>
      </c>
      <c r="D6855" t="str">
        <f>VLOOKUP(Tabela26[[#This Row],[EMP]],[1]LOJA!$A:$B,2,0)</f>
        <v>UNAÍ</v>
      </c>
      <c r="E6855">
        <v>183</v>
      </c>
      <c r="F6855" t="s">
        <v>4714</v>
      </c>
      <c r="G6855" t="s">
        <v>4713</v>
      </c>
      <c r="H6855" t="s">
        <v>3401</v>
      </c>
      <c r="I6855">
        <v>5102</v>
      </c>
      <c r="J6855" s="3">
        <v>294</v>
      </c>
      <c r="K6855" s="3">
        <v>146.72999999999999</v>
      </c>
      <c r="L6855">
        <v>50.09</v>
      </c>
    </row>
    <row r="6856" spans="1:12">
      <c r="A6856" s="1">
        <v>46050</v>
      </c>
      <c r="B6856" t="s">
        <v>4712</v>
      </c>
      <c r="C6856">
        <v>15</v>
      </c>
      <c r="D6856" t="str">
        <f>VLOOKUP(Tabela26[[#This Row],[EMP]],[1]LOJA!$A:$B,2,0)</f>
        <v>UNAÍ</v>
      </c>
      <c r="E6856">
        <v>183</v>
      </c>
      <c r="F6856" t="s">
        <v>4711</v>
      </c>
      <c r="G6856" t="s">
        <v>4710</v>
      </c>
      <c r="H6856" t="s">
        <v>3401</v>
      </c>
      <c r="I6856">
        <v>5102</v>
      </c>
      <c r="J6856" s="3">
        <v>677.4</v>
      </c>
      <c r="K6856" s="3">
        <v>452.65</v>
      </c>
      <c r="L6856">
        <v>33.18</v>
      </c>
    </row>
    <row r="6857" spans="1:12">
      <c r="A6857" s="1">
        <v>46050</v>
      </c>
      <c r="B6857" t="s">
        <v>4709</v>
      </c>
      <c r="C6857">
        <v>15</v>
      </c>
      <c r="D6857" t="str">
        <f>VLOOKUP(Tabela26[[#This Row],[EMP]],[1]LOJA!$A:$B,2,0)</f>
        <v>UNAÍ</v>
      </c>
      <c r="E6857">
        <v>183</v>
      </c>
      <c r="F6857" t="s">
        <v>4708</v>
      </c>
      <c r="G6857" t="s">
        <v>4707</v>
      </c>
      <c r="H6857" t="s">
        <v>3520</v>
      </c>
      <c r="I6857">
        <v>5102</v>
      </c>
      <c r="J6857" s="3">
        <v>653</v>
      </c>
      <c r="K6857" s="3">
        <v>388.86</v>
      </c>
      <c r="L6857">
        <v>40.450000000000003</v>
      </c>
    </row>
    <row r="6858" spans="1:12">
      <c r="A6858" s="1">
        <v>46050</v>
      </c>
      <c r="B6858" t="s">
        <v>4706</v>
      </c>
      <c r="C6858">
        <v>15</v>
      </c>
      <c r="D6858" t="str">
        <f>VLOOKUP(Tabela26[[#This Row],[EMP]],[1]LOJA!$A:$B,2,0)</f>
        <v>UNAÍ</v>
      </c>
      <c r="E6858">
        <v>183</v>
      </c>
      <c r="F6858" t="s">
        <v>3485</v>
      </c>
      <c r="G6858" t="s">
        <v>3402</v>
      </c>
      <c r="H6858" t="s">
        <v>3401</v>
      </c>
      <c r="I6858">
        <v>5102</v>
      </c>
      <c r="J6858" s="3">
        <v>75.78</v>
      </c>
      <c r="K6858" s="3">
        <v>37.700000000000003</v>
      </c>
      <c r="L6858">
        <v>50.25</v>
      </c>
    </row>
    <row r="6859" spans="1:12">
      <c r="A6859" s="1">
        <v>46050</v>
      </c>
      <c r="B6859" t="s">
        <v>4705</v>
      </c>
      <c r="C6859">
        <v>15</v>
      </c>
      <c r="D6859" t="str">
        <f>VLOOKUP(Tabela26[[#This Row],[EMP]],[1]LOJA!$A:$B,2,0)</f>
        <v>UNAÍ</v>
      </c>
      <c r="E6859">
        <v>183</v>
      </c>
      <c r="F6859" t="s">
        <v>4704</v>
      </c>
      <c r="G6859" t="s">
        <v>4703</v>
      </c>
      <c r="H6859" t="s">
        <v>3401</v>
      </c>
      <c r="I6859">
        <v>5102</v>
      </c>
      <c r="J6859" s="3">
        <v>8.67</v>
      </c>
      <c r="K6859" s="3">
        <v>5.55</v>
      </c>
      <c r="L6859">
        <v>35.99</v>
      </c>
    </row>
    <row r="6860" spans="1:12">
      <c r="A6860" s="1">
        <v>46050</v>
      </c>
      <c r="B6860" t="s">
        <v>4702</v>
      </c>
      <c r="C6860">
        <v>15</v>
      </c>
      <c r="D6860" t="str">
        <f>VLOOKUP(Tabela26[[#This Row],[EMP]],[1]LOJA!$A:$B,2,0)</f>
        <v>UNAÍ</v>
      </c>
      <c r="E6860">
        <v>183</v>
      </c>
      <c r="F6860" t="s">
        <v>4701</v>
      </c>
      <c r="G6860" t="s">
        <v>4700</v>
      </c>
      <c r="H6860" t="s">
        <v>3520</v>
      </c>
      <c r="I6860">
        <v>5102</v>
      </c>
      <c r="J6860" s="3">
        <v>17</v>
      </c>
      <c r="K6860" s="3">
        <v>4.91</v>
      </c>
      <c r="L6860">
        <v>71.12</v>
      </c>
    </row>
    <row r="6861" spans="1:12">
      <c r="A6861" s="1">
        <v>46050</v>
      </c>
      <c r="B6861" t="s">
        <v>4699</v>
      </c>
      <c r="C6861">
        <v>15</v>
      </c>
      <c r="D6861" t="str">
        <f>VLOOKUP(Tabela26[[#This Row],[EMP]],[1]LOJA!$A:$B,2,0)</f>
        <v>UNAÍ</v>
      </c>
      <c r="E6861">
        <v>183</v>
      </c>
      <c r="F6861" t="s">
        <v>3497</v>
      </c>
      <c r="G6861" t="s">
        <v>3496</v>
      </c>
      <c r="H6861" t="s">
        <v>4142</v>
      </c>
      <c r="I6861">
        <v>5102</v>
      </c>
      <c r="J6861" s="3">
        <v>23.74</v>
      </c>
      <c r="K6861" s="3">
        <v>11.99</v>
      </c>
      <c r="L6861">
        <v>49.49</v>
      </c>
    </row>
    <row r="6862" spans="1:12">
      <c r="A6862" s="1">
        <v>46050</v>
      </c>
      <c r="B6862" t="s">
        <v>4698</v>
      </c>
      <c r="C6862">
        <v>15</v>
      </c>
      <c r="D6862" t="str">
        <f>VLOOKUP(Tabela26[[#This Row],[EMP]],[1]LOJA!$A:$B,2,0)</f>
        <v>UNAÍ</v>
      </c>
      <c r="E6862">
        <v>183</v>
      </c>
      <c r="F6862" t="s">
        <v>4696</v>
      </c>
      <c r="G6862" t="s">
        <v>4695</v>
      </c>
      <c r="H6862" t="s">
        <v>3430</v>
      </c>
      <c r="I6862">
        <v>5102</v>
      </c>
      <c r="J6862" s="3">
        <v>81</v>
      </c>
      <c r="K6862" s="3">
        <v>43.97</v>
      </c>
      <c r="L6862">
        <v>45.72</v>
      </c>
    </row>
    <row r="6863" spans="1:12">
      <c r="A6863" s="1">
        <v>46050</v>
      </c>
      <c r="B6863" t="s">
        <v>4697</v>
      </c>
      <c r="C6863">
        <v>15</v>
      </c>
      <c r="D6863" t="str">
        <f>VLOOKUP(Tabela26[[#This Row],[EMP]],[1]LOJA!$A:$B,2,0)</f>
        <v>UNAÍ</v>
      </c>
      <c r="E6863">
        <v>183</v>
      </c>
      <c r="F6863" t="s">
        <v>4696</v>
      </c>
      <c r="G6863" t="s">
        <v>4695</v>
      </c>
      <c r="H6863" t="s">
        <v>3430</v>
      </c>
      <c r="I6863">
        <v>5102</v>
      </c>
      <c r="J6863" s="3">
        <v>81</v>
      </c>
      <c r="K6863" s="3">
        <v>43.97</v>
      </c>
      <c r="L6863">
        <v>45.72</v>
      </c>
    </row>
    <row r="6864" spans="1:12">
      <c r="A6864" s="1">
        <v>46050</v>
      </c>
      <c r="B6864" t="s">
        <v>4694</v>
      </c>
      <c r="C6864">
        <v>15</v>
      </c>
      <c r="D6864" t="str">
        <f>VLOOKUP(Tabela26[[#This Row],[EMP]],[1]LOJA!$A:$B,2,0)</f>
        <v>UNAÍ</v>
      </c>
      <c r="E6864">
        <v>183</v>
      </c>
      <c r="F6864" t="s">
        <v>4025</v>
      </c>
      <c r="G6864" t="s">
        <v>4024</v>
      </c>
      <c r="H6864" t="s">
        <v>3401</v>
      </c>
      <c r="I6864">
        <v>5102</v>
      </c>
      <c r="J6864" s="3">
        <v>27.3</v>
      </c>
      <c r="K6864" s="3">
        <v>15.89</v>
      </c>
      <c r="L6864">
        <v>41.79</v>
      </c>
    </row>
    <row r="6865" spans="1:12">
      <c r="A6865" s="1">
        <v>46050</v>
      </c>
      <c r="B6865" t="s">
        <v>4693</v>
      </c>
      <c r="C6865">
        <v>15</v>
      </c>
      <c r="D6865" t="str">
        <f>VLOOKUP(Tabela26[[#This Row],[EMP]],[1]LOJA!$A:$B,2,0)</f>
        <v>UNAÍ</v>
      </c>
      <c r="E6865">
        <v>183</v>
      </c>
      <c r="F6865" t="s">
        <v>4022</v>
      </c>
      <c r="G6865" t="s">
        <v>4021</v>
      </c>
      <c r="H6865" t="s">
        <v>3401</v>
      </c>
      <c r="I6865">
        <v>5102</v>
      </c>
      <c r="J6865" s="3">
        <v>139.80000000000001</v>
      </c>
      <c r="K6865" s="3">
        <v>71.33</v>
      </c>
      <c r="L6865">
        <v>48.98</v>
      </c>
    </row>
    <row r="6866" spans="1:12">
      <c r="A6866" s="1">
        <v>46050</v>
      </c>
      <c r="B6866" t="s">
        <v>4692</v>
      </c>
      <c r="C6866">
        <v>15</v>
      </c>
      <c r="D6866" t="str">
        <f>VLOOKUP(Tabela26[[#This Row],[EMP]],[1]LOJA!$A:$B,2,0)</f>
        <v>UNAÍ</v>
      </c>
      <c r="E6866">
        <v>183</v>
      </c>
      <c r="F6866" t="s">
        <v>3485</v>
      </c>
      <c r="G6866" t="s">
        <v>3402</v>
      </c>
      <c r="H6866" t="s">
        <v>3408</v>
      </c>
      <c r="I6866">
        <v>5102</v>
      </c>
      <c r="J6866" s="3">
        <v>351</v>
      </c>
      <c r="K6866" s="3">
        <v>190.37</v>
      </c>
      <c r="L6866">
        <v>45.76</v>
      </c>
    </row>
    <row r="6867" spans="1:12">
      <c r="A6867" s="1">
        <v>46050</v>
      </c>
      <c r="B6867" t="s">
        <v>4691</v>
      </c>
      <c r="C6867">
        <v>15</v>
      </c>
      <c r="D6867" t="str">
        <f>VLOOKUP(Tabela26[[#This Row],[EMP]],[1]LOJA!$A:$B,2,0)</f>
        <v>UNAÍ</v>
      </c>
      <c r="E6867">
        <v>183</v>
      </c>
      <c r="F6867" t="s">
        <v>4048</v>
      </c>
      <c r="G6867" t="s">
        <v>4047</v>
      </c>
      <c r="H6867" t="s">
        <v>4297</v>
      </c>
      <c r="I6867">
        <v>5405</v>
      </c>
      <c r="J6867" s="3">
        <v>198</v>
      </c>
      <c r="K6867" s="3">
        <v>97.76</v>
      </c>
      <c r="L6867">
        <v>50.63</v>
      </c>
    </row>
    <row r="6868" spans="1:12">
      <c r="A6868" s="1">
        <v>46050</v>
      </c>
      <c r="B6868" t="s">
        <v>4690</v>
      </c>
      <c r="C6868">
        <v>15</v>
      </c>
      <c r="D6868" t="str">
        <f>VLOOKUP(Tabela26[[#This Row],[EMP]],[1]LOJA!$A:$B,2,0)</f>
        <v>UNAÍ</v>
      </c>
      <c r="E6868">
        <v>183</v>
      </c>
      <c r="F6868" t="s">
        <v>4689</v>
      </c>
      <c r="G6868" t="s">
        <v>4688</v>
      </c>
      <c r="H6868" t="s">
        <v>3430</v>
      </c>
      <c r="I6868">
        <v>5405</v>
      </c>
      <c r="J6868" s="3">
        <v>149.80000000000001</v>
      </c>
      <c r="K6868" s="3">
        <v>65.2</v>
      </c>
      <c r="L6868">
        <v>56.48</v>
      </c>
    </row>
    <row r="6869" spans="1:12">
      <c r="A6869" s="1">
        <v>46050</v>
      </c>
      <c r="B6869" t="s">
        <v>4687</v>
      </c>
      <c r="C6869">
        <v>15</v>
      </c>
      <c r="D6869" t="str">
        <f>VLOOKUP(Tabela26[[#This Row],[EMP]],[1]LOJA!$A:$B,2,0)</f>
        <v>UNAÍ</v>
      </c>
      <c r="E6869">
        <v>183</v>
      </c>
      <c r="F6869" t="s">
        <v>4686</v>
      </c>
      <c r="G6869" t="s">
        <v>4685</v>
      </c>
      <c r="H6869" t="s">
        <v>3520</v>
      </c>
      <c r="I6869">
        <v>5405</v>
      </c>
      <c r="J6869" s="3">
        <v>66</v>
      </c>
      <c r="K6869" s="3">
        <v>31.64</v>
      </c>
      <c r="L6869">
        <v>52.06</v>
      </c>
    </row>
    <row r="6870" spans="1:12">
      <c r="A6870" s="1">
        <v>46050</v>
      </c>
      <c r="B6870" t="s">
        <v>4684</v>
      </c>
      <c r="C6870">
        <v>15</v>
      </c>
      <c r="D6870" t="str">
        <f>VLOOKUP(Tabela26[[#This Row],[EMP]],[1]LOJA!$A:$B,2,0)</f>
        <v>UNAÍ</v>
      </c>
      <c r="E6870">
        <v>183</v>
      </c>
      <c r="F6870" t="s">
        <v>3485</v>
      </c>
      <c r="G6870" t="s">
        <v>3402</v>
      </c>
      <c r="H6870" t="s">
        <v>3408</v>
      </c>
      <c r="I6870">
        <v>5102</v>
      </c>
      <c r="J6870" s="3">
        <v>62</v>
      </c>
      <c r="K6870" s="3">
        <v>37.64</v>
      </c>
      <c r="L6870">
        <v>39.29</v>
      </c>
    </row>
    <row r="6871" spans="1:12">
      <c r="A6871" s="1">
        <v>46050</v>
      </c>
      <c r="B6871" t="s">
        <v>4683</v>
      </c>
      <c r="C6871">
        <v>15</v>
      </c>
      <c r="D6871" t="str">
        <f>VLOOKUP(Tabela26[[#This Row],[EMP]],[1]LOJA!$A:$B,2,0)</f>
        <v>UNAÍ</v>
      </c>
      <c r="E6871">
        <v>183</v>
      </c>
      <c r="F6871" t="s">
        <v>4016</v>
      </c>
      <c r="G6871" t="s">
        <v>4015</v>
      </c>
      <c r="H6871" t="s">
        <v>4142</v>
      </c>
      <c r="I6871">
        <v>5102</v>
      </c>
      <c r="J6871" s="3">
        <v>11.29</v>
      </c>
      <c r="K6871" s="3">
        <v>7.19</v>
      </c>
      <c r="L6871">
        <v>36.32</v>
      </c>
    </row>
    <row r="6872" spans="1:12">
      <c r="A6872" s="1">
        <v>46050</v>
      </c>
      <c r="B6872" t="s">
        <v>4682</v>
      </c>
      <c r="C6872">
        <v>15</v>
      </c>
      <c r="D6872" t="str">
        <f>VLOOKUP(Tabela26[[#This Row],[EMP]],[1]LOJA!$A:$B,2,0)</f>
        <v>UNAÍ</v>
      </c>
      <c r="E6872">
        <v>183</v>
      </c>
      <c r="F6872" t="s">
        <v>4681</v>
      </c>
      <c r="G6872" t="s">
        <v>4680</v>
      </c>
      <c r="H6872" t="s">
        <v>4297</v>
      </c>
      <c r="I6872">
        <v>5102</v>
      </c>
      <c r="J6872" s="3">
        <v>145.78</v>
      </c>
      <c r="K6872" s="3">
        <v>79.61</v>
      </c>
      <c r="L6872">
        <v>45.39</v>
      </c>
    </row>
    <row r="6873" spans="1:12">
      <c r="A6873" s="1">
        <v>46050</v>
      </c>
      <c r="B6873" t="s">
        <v>4679</v>
      </c>
      <c r="C6873">
        <v>15</v>
      </c>
      <c r="D6873" t="str">
        <f>VLOOKUP(Tabela26[[#This Row],[EMP]],[1]LOJA!$A:$B,2,0)</f>
        <v>UNAÍ</v>
      </c>
      <c r="E6873">
        <v>183</v>
      </c>
      <c r="F6873" t="s">
        <v>4678</v>
      </c>
      <c r="G6873" t="s">
        <v>4677</v>
      </c>
      <c r="H6873" t="s">
        <v>3408</v>
      </c>
      <c r="I6873">
        <v>5102</v>
      </c>
      <c r="J6873" s="3">
        <v>11.56</v>
      </c>
      <c r="K6873" s="3">
        <v>7.47</v>
      </c>
      <c r="L6873">
        <v>35.380000000000003</v>
      </c>
    </row>
    <row r="6874" spans="1:12">
      <c r="A6874" s="1">
        <v>46050</v>
      </c>
      <c r="B6874" t="s">
        <v>4676</v>
      </c>
      <c r="C6874">
        <v>15</v>
      </c>
      <c r="D6874" t="str">
        <f>VLOOKUP(Tabela26[[#This Row],[EMP]],[1]LOJA!$A:$B,2,0)</f>
        <v>UNAÍ</v>
      </c>
      <c r="E6874">
        <v>183</v>
      </c>
      <c r="F6874" t="s">
        <v>4019</v>
      </c>
      <c r="G6874" t="s">
        <v>4018</v>
      </c>
      <c r="H6874" t="s">
        <v>4297</v>
      </c>
      <c r="I6874">
        <v>5102</v>
      </c>
      <c r="J6874" s="3">
        <v>214.59</v>
      </c>
      <c r="K6874" s="3">
        <v>132.34</v>
      </c>
      <c r="L6874">
        <v>38.33</v>
      </c>
    </row>
    <row r="6875" spans="1:12">
      <c r="A6875" s="1">
        <v>46050</v>
      </c>
      <c r="B6875" t="s">
        <v>4675</v>
      </c>
      <c r="C6875">
        <v>6</v>
      </c>
      <c r="D6875" t="str">
        <f>VLOOKUP(Tabela26[[#This Row],[EMP]],[1]LOJA!$A:$B,2,0)</f>
        <v>GAMA</v>
      </c>
      <c r="E6875">
        <v>245</v>
      </c>
      <c r="F6875" t="s">
        <v>4004</v>
      </c>
      <c r="G6875" t="s">
        <v>4003</v>
      </c>
      <c r="H6875" t="s">
        <v>3430</v>
      </c>
      <c r="I6875">
        <v>5405</v>
      </c>
      <c r="J6875" s="3">
        <v>232.9</v>
      </c>
      <c r="K6875" s="3">
        <v>118.18</v>
      </c>
      <c r="L6875">
        <v>49.26</v>
      </c>
    </row>
    <row r="6876" spans="1:12">
      <c r="A6876" s="1">
        <v>46050</v>
      </c>
      <c r="B6876" t="s">
        <v>4674</v>
      </c>
      <c r="C6876">
        <v>14</v>
      </c>
      <c r="D6876" t="str">
        <f>VLOOKUP(Tabela26[[#This Row],[EMP]],[1]LOJA!$A:$B,2,0)</f>
        <v>S IA</v>
      </c>
      <c r="E6876">
        <v>54</v>
      </c>
      <c r="F6876" t="s">
        <v>3478</v>
      </c>
      <c r="G6876" t="s">
        <v>3477</v>
      </c>
      <c r="H6876" t="s">
        <v>3401</v>
      </c>
      <c r="I6876">
        <v>5405</v>
      </c>
      <c r="J6876" s="3">
        <v>63</v>
      </c>
      <c r="K6876" s="3">
        <v>31.61</v>
      </c>
      <c r="L6876">
        <v>49.83</v>
      </c>
    </row>
    <row r="6877" spans="1:12">
      <c r="A6877" s="1">
        <v>46050</v>
      </c>
      <c r="B6877" t="s">
        <v>4673</v>
      </c>
      <c r="C6877">
        <v>14</v>
      </c>
      <c r="D6877" t="str">
        <f>VLOOKUP(Tabela26[[#This Row],[EMP]],[1]LOJA!$A:$B,2,0)</f>
        <v>S IA</v>
      </c>
      <c r="E6877">
        <v>54</v>
      </c>
      <c r="F6877" t="s">
        <v>4672</v>
      </c>
      <c r="G6877" t="s">
        <v>4671</v>
      </c>
      <c r="H6877" t="s">
        <v>3401</v>
      </c>
      <c r="I6877">
        <v>5102</v>
      </c>
      <c r="J6877" s="3">
        <v>93.7</v>
      </c>
      <c r="K6877" s="3">
        <v>61.41</v>
      </c>
      <c r="L6877">
        <v>34.46</v>
      </c>
    </row>
    <row r="6878" spans="1:12">
      <c r="A6878" s="1">
        <v>46050</v>
      </c>
      <c r="B6878" t="s">
        <v>4670</v>
      </c>
      <c r="C6878">
        <v>14</v>
      </c>
      <c r="D6878" t="str">
        <f>VLOOKUP(Tabela26[[#This Row],[EMP]],[1]LOJA!$A:$B,2,0)</f>
        <v>S IA</v>
      </c>
      <c r="E6878">
        <v>54</v>
      </c>
      <c r="F6878" t="s">
        <v>3403</v>
      </c>
      <c r="G6878" t="s">
        <v>3402</v>
      </c>
      <c r="H6878" t="s">
        <v>3401</v>
      </c>
      <c r="I6878">
        <v>5102</v>
      </c>
      <c r="J6878" s="3">
        <v>70</v>
      </c>
      <c r="K6878" s="3">
        <v>36.56</v>
      </c>
      <c r="L6878">
        <v>47.77</v>
      </c>
    </row>
    <row r="6879" spans="1:12">
      <c r="A6879" s="1">
        <v>46050</v>
      </c>
      <c r="B6879" t="s">
        <v>4669</v>
      </c>
      <c r="C6879">
        <v>14</v>
      </c>
      <c r="D6879" t="str">
        <f>VLOOKUP(Tabela26[[#This Row],[EMP]],[1]LOJA!$A:$B,2,0)</f>
        <v>S IA</v>
      </c>
      <c r="E6879">
        <v>54</v>
      </c>
      <c r="F6879" t="s">
        <v>3403</v>
      </c>
      <c r="G6879" t="s">
        <v>3402</v>
      </c>
      <c r="H6879" t="s">
        <v>3401</v>
      </c>
      <c r="I6879">
        <v>5102</v>
      </c>
      <c r="J6879" s="3">
        <v>24</v>
      </c>
      <c r="K6879" s="3">
        <v>13.68</v>
      </c>
      <c r="L6879">
        <v>43</v>
      </c>
    </row>
    <row r="6880" spans="1:12">
      <c r="A6880" s="1">
        <v>46050</v>
      </c>
      <c r="B6880" t="s">
        <v>4668</v>
      </c>
      <c r="C6880">
        <v>14</v>
      </c>
      <c r="D6880" t="str">
        <f>VLOOKUP(Tabela26[[#This Row],[EMP]],[1]LOJA!$A:$B,2,0)</f>
        <v>S IA</v>
      </c>
      <c r="E6880">
        <v>54</v>
      </c>
      <c r="F6880" t="s">
        <v>4159</v>
      </c>
      <c r="G6880" t="s">
        <v>4158</v>
      </c>
      <c r="H6880" t="s">
        <v>3430</v>
      </c>
      <c r="I6880">
        <v>5405</v>
      </c>
      <c r="J6880" s="3">
        <v>216.91</v>
      </c>
      <c r="K6880" s="3">
        <v>107.05</v>
      </c>
      <c r="L6880">
        <v>50.65</v>
      </c>
    </row>
    <row r="6881" spans="1:12">
      <c r="A6881" s="1">
        <v>46050</v>
      </c>
      <c r="B6881" t="s">
        <v>4667</v>
      </c>
      <c r="C6881">
        <v>14</v>
      </c>
      <c r="D6881" t="str">
        <f>VLOOKUP(Tabela26[[#This Row],[EMP]],[1]LOJA!$A:$B,2,0)</f>
        <v>S IA</v>
      </c>
      <c r="E6881">
        <v>54</v>
      </c>
      <c r="F6881" t="s">
        <v>4666</v>
      </c>
      <c r="G6881" t="s">
        <v>4665</v>
      </c>
      <c r="H6881" t="s">
        <v>3401</v>
      </c>
      <c r="I6881">
        <v>5405</v>
      </c>
      <c r="J6881" s="3">
        <v>172.9</v>
      </c>
      <c r="K6881" s="3">
        <v>94.06</v>
      </c>
      <c r="L6881">
        <v>45.6</v>
      </c>
    </row>
    <row r="6882" spans="1:12">
      <c r="A6882" s="1">
        <v>46050</v>
      </c>
      <c r="B6882" t="s">
        <v>4664</v>
      </c>
      <c r="C6882">
        <v>14</v>
      </c>
      <c r="D6882" t="str">
        <f>VLOOKUP(Tabela26[[#This Row],[EMP]],[1]LOJA!$A:$B,2,0)</f>
        <v>S IA</v>
      </c>
      <c r="E6882">
        <v>54</v>
      </c>
      <c r="F6882" t="s">
        <v>3403</v>
      </c>
      <c r="G6882" t="s">
        <v>3402</v>
      </c>
      <c r="H6882" t="s">
        <v>3401</v>
      </c>
      <c r="I6882">
        <v>5405</v>
      </c>
      <c r="J6882" s="3">
        <v>30</v>
      </c>
      <c r="K6882" s="3">
        <v>12.98</v>
      </c>
      <c r="L6882">
        <v>56.73</v>
      </c>
    </row>
    <row r="6883" spans="1:12">
      <c r="A6883" s="1">
        <v>46050</v>
      </c>
      <c r="B6883" t="s">
        <v>4663</v>
      </c>
      <c r="C6883">
        <v>14</v>
      </c>
      <c r="D6883" t="str">
        <f>VLOOKUP(Tabela26[[#This Row],[EMP]],[1]LOJA!$A:$B,2,0)</f>
        <v>S IA</v>
      </c>
      <c r="E6883">
        <v>54</v>
      </c>
      <c r="F6883" t="s">
        <v>4413</v>
      </c>
      <c r="G6883" t="s">
        <v>4412</v>
      </c>
      <c r="H6883" t="s">
        <v>3401</v>
      </c>
      <c r="I6883">
        <v>5405</v>
      </c>
      <c r="J6883" s="3">
        <v>240</v>
      </c>
      <c r="K6883" s="3">
        <v>119.81</v>
      </c>
      <c r="L6883">
        <v>50.08</v>
      </c>
    </row>
    <row r="6884" spans="1:12">
      <c r="A6884" s="1">
        <v>46050</v>
      </c>
      <c r="B6884" t="s">
        <v>4662</v>
      </c>
      <c r="C6884">
        <v>14</v>
      </c>
      <c r="D6884" t="str">
        <f>VLOOKUP(Tabela26[[#This Row],[EMP]],[1]LOJA!$A:$B,2,0)</f>
        <v>S IA</v>
      </c>
      <c r="E6884">
        <v>54</v>
      </c>
      <c r="F6884" t="s">
        <v>3403</v>
      </c>
      <c r="G6884" t="s">
        <v>3402</v>
      </c>
      <c r="H6884" t="s">
        <v>3401</v>
      </c>
      <c r="I6884">
        <v>5102</v>
      </c>
      <c r="J6884" s="3">
        <v>35</v>
      </c>
      <c r="K6884" s="3">
        <v>16.010000000000002</v>
      </c>
      <c r="L6884">
        <v>54.26</v>
      </c>
    </row>
    <row r="6885" spans="1:12">
      <c r="A6885" s="1">
        <v>46050</v>
      </c>
      <c r="B6885" t="s">
        <v>4661</v>
      </c>
      <c r="C6885">
        <v>14</v>
      </c>
      <c r="D6885" t="str">
        <f>VLOOKUP(Tabela26[[#This Row],[EMP]],[1]LOJA!$A:$B,2,0)</f>
        <v>S IA</v>
      </c>
      <c r="E6885">
        <v>54</v>
      </c>
      <c r="F6885" t="s">
        <v>3403</v>
      </c>
      <c r="G6885" t="s">
        <v>3402</v>
      </c>
      <c r="H6885" t="s">
        <v>3401</v>
      </c>
      <c r="I6885">
        <v>5102</v>
      </c>
      <c r="J6885" s="3">
        <v>63.76</v>
      </c>
      <c r="K6885" s="3">
        <v>30.6</v>
      </c>
      <c r="L6885">
        <v>52.01</v>
      </c>
    </row>
    <row r="6886" spans="1:12">
      <c r="A6886" s="1">
        <v>46050</v>
      </c>
      <c r="B6886" t="s">
        <v>4660</v>
      </c>
      <c r="C6886">
        <v>14</v>
      </c>
      <c r="D6886" t="str">
        <f>VLOOKUP(Tabela26[[#This Row],[EMP]],[1]LOJA!$A:$B,2,0)</f>
        <v>S IA</v>
      </c>
      <c r="E6886">
        <v>54</v>
      </c>
      <c r="F6886" t="s">
        <v>4659</v>
      </c>
      <c r="G6886" t="s">
        <v>4658</v>
      </c>
      <c r="H6886" t="s">
        <v>3430</v>
      </c>
      <c r="I6886">
        <v>5102</v>
      </c>
      <c r="J6886" s="3">
        <v>975.9</v>
      </c>
      <c r="K6886" s="3">
        <v>691.31</v>
      </c>
      <c r="L6886">
        <v>29.16</v>
      </c>
    </row>
    <row r="6887" spans="1:12">
      <c r="A6887" s="1">
        <v>46050</v>
      </c>
      <c r="B6887" t="s">
        <v>4657</v>
      </c>
      <c r="C6887">
        <v>15</v>
      </c>
      <c r="D6887" t="str">
        <f>VLOOKUP(Tabela26[[#This Row],[EMP]],[1]LOJA!$A:$B,2,0)</f>
        <v>UNAÍ</v>
      </c>
      <c r="E6887">
        <v>183</v>
      </c>
      <c r="F6887" t="s">
        <v>3969</v>
      </c>
      <c r="G6887" t="s">
        <v>3968</v>
      </c>
      <c r="H6887" t="s">
        <v>3401</v>
      </c>
      <c r="I6887">
        <v>5102</v>
      </c>
      <c r="J6887" s="3">
        <v>23</v>
      </c>
      <c r="K6887" s="3">
        <v>11.92</v>
      </c>
      <c r="L6887">
        <v>48.17</v>
      </c>
    </row>
    <row r="6888" spans="1:12">
      <c r="A6888" s="1">
        <v>46050</v>
      </c>
      <c r="B6888" t="s">
        <v>4656</v>
      </c>
      <c r="C6888">
        <v>15</v>
      </c>
      <c r="D6888" t="str">
        <f>VLOOKUP(Tabela26[[#This Row],[EMP]],[1]LOJA!$A:$B,2,0)</f>
        <v>UNAÍ</v>
      </c>
      <c r="E6888">
        <v>183</v>
      </c>
      <c r="F6888" t="s">
        <v>4655</v>
      </c>
      <c r="G6888" t="s">
        <v>4654</v>
      </c>
      <c r="H6888" t="s">
        <v>3401</v>
      </c>
      <c r="I6888">
        <v>5102</v>
      </c>
      <c r="J6888" s="3">
        <v>5.78</v>
      </c>
      <c r="K6888" s="3">
        <v>2.98</v>
      </c>
      <c r="L6888">
        <v>48.44</v>
      </c>
    </row>
    <row r="6889" spans="1:12">
      <c r="A6889" s="1">
        <v>46050</v>
      </c>
      <c r="B6889" t="s">
        <v>4653</v>
      </c>
      <c r="C6889">
        <v>15</v>
      </c>
      <c r="D6889" t="str">
        <f>VLOOKUP(Tabela26[[#This Row],[EMP]],[1]LOJA!$A:$B,2,0)</f>
        <v>UNAÍ</v>
      </c>
      <c r="E6889">
        <v>183</v>
      </c>
      <c r="F6889" t="s">
        <v>4652</v>
      </c>
      <c r="G6889" t="s">
        <v>4651</v>
      </c>
      <c r="H6889" t="s">
        <v>3401</v>
      </c>
      <c r="I6889">
        <v>5102</v>
      </c>
      <c r="J6889" s="3">
        <v>17.34</v>
      </c>
      <c r="K6889" s="3">
        <v>11.06</v>
      </c>
      <c r="L6889">
        <v>36.22</v>
      </c>
    </row>
    <row r="6890" spans="1:12">
      <c r="A6890" s="1">
        <v>46050</v>
      </c>
      <c r="B6890" t="s">
        <v>4650</v>
      </c>
      <c r="C6890">
        <v>15</v>
      </c>
      <c r="D6890" t="str">
        <f>VLOOKUP(Tabela26[[#This Row],[EMP]],[1]LOJA!$A:$B,2,0)</f>
        <v>UNAÍ</v>
      </c>
      <c r="E6890">
        <v>183</v>
      </c>
      <c r="F6890" t="s">
        <v>3969</v>
      </c>
      <c r="G6890" t="s">
        <v>3968</v>
      </c>
      <c r="H6890" t="s">
        <v>3401</v>
      </c>
      <c r="I6890">
        <v>5102</v>
      </c>
      <c r="J6890" s="3">
        <v>32</v>
      </c>
      <c r="K6890" s="3">
        <v>18.62</v>
      </c>
      <c r="L6890">
        <v>41.81</v>
      </c>
    </row>
    <row r="6891" spans="1:12">
      <c r="A6891" s="1">
        <v>46050</v>
      </c>
      <c r="B6891" t="s">
        <v>4649</v>
      </c>
      <c r="C6891">
        <v>15</v>
      </c>
      <c r="D6891" t="str">
        <f>VLOOKUP(Tabela26[[#This Row],[EMP]],[1]LOJA!$A:$B,2,0)</f>
        <v>UNAÍ</v>
      </c>
      <c r="E6891">
        <v>183</v>
      </c>
      <c r="F6891" t="s">
        <v>3957</v>
      </c>
      <c r="G6891" t="s">
        <v>3956</v>
      </c>
      <c r="H6891" t="s">
        <v>3401</v>
      </c>
      <c r="I6891">
        <v>5102</v>
      </c>
      <c r="J6891" s="3">
        <v>6</v>
      </c>
      <c r="K6891" s="3">
        <v>3.08</v>
      </c>
      <c r="L6891">
        <v>48.67</v>
      </c>
    </row>
    <row r="6892" spans="1:12">
      <c r="A6892" s="1">
        <v>46050</v>
      </c>
      <c r="B6892" t="s">
        <v>4648</v>
      </c>
      <c r="C6892">
        <v>12</v>
      </c>
      <c r="D6892" t="str">
        <f>VLOOKUP(Tabela26[[#This Row],[EMP]],[1]LOJA!$A:$B,2,0)</f>
        <v>SOFNORTE</v>
      </c>
      <c r="E6892">
        <v>60</v>
      </c>
      <c r="F6892" t="s">
        <v>3461</v>
      </c>
      <c r="G6892" t="s">
        <v>3460</v>
      </c>
      <c r="H6892" t="s">
        <v>3430</v>
      </c>
      <c r="I6892">
        <v>5405</v>
      </c>
      <c r="J6892" s="3">
        <v>53.91</v>
      </c>
      <c r="K6892" s="3">
        <v>25.47</v>
      </c>
      <c r="L6892">
        <v>52.75</v>
      </c>
    </row>
    <row r="6893" spans="1:12">
      <c r="A6893" s="1">
        <v>46050</v>
      </c>
      <c r="B6893" t="s">
        <v>4647</v>
      </c>
      <c r="C6893">
        <v>12</v>
      </c>
      <c r="D6893" t="str">
        <f>VLOOKUP(Tabela26[[#This Row],[EMP]],[1]LOJA!$A:$B,2,0)</f>
        <v>SOFNORTE</v>
      </c>
      <c r="E6893">
        <v>60</v>
      </c>
      <c r="F6893" t="s">
        <v>3925</v>
      </c>
      <c r="G6893" t="s">
        <v>3924</v>
      </c>
      <c r="H6893" t="s">
        <v>3430</v>
      </c>
      <c r="I6893">
        <v>5102</v>
      </c>
      <c r="J6893" s="3">
        <v>19</v>
      </c>
      <c r="K6893" s="3">
        <v>8.32</v>
      </c>
      <c r="L6893">
        <v>56.21</v>
      </c>
    </row>
    <row r="6894" spans="1:12">
      <c r="A6894" s="1">
        <v>46050</v>
      </c>
      <c r="B6894" t="s">
        <v>4646</v>
      </c>
      <c r="C6894">
        <v>12</v>
      </c>
      <c r="D6894" t="str">
        <f>VLOOKUP(Tabela26[[#This Row],[EMP]],[1]LOJA!$A:$B,2,0)</f>
        <v>SOFNORTE</v>
      </c>
      <c r="E6894">
        <v>60</v>
      </c>
      <c r="F6894" t="s">
        <v>3461</v>
      </c>
      <c r="G6894" t="s">
        <v>3460</v>
      </c>
      <c r="H6894" t="s">
        <v>3430</v>
      </c>
      <c r="I6894">
        <v>5405</v>
      </c>
      <c r="J6894" s="3">
        <v>87.58</v>
      </c>
      <c r="K6894" s="3">
        <v>41.59</v>
      </c>
      <c r="L6894">
        <v>52.51</v>
      </c>
    </row>
    <row r="6895" spans="1:12">
      <c r="A6895" s="1">
        <v>46050</v>
      </c>
      <c r="B6895" t="s">
        <v>4645</v>
      </c>
      <c r="C6895">
        <v>12</v>
      </c>
      <c r="D6895" t="str">
        <f>VLOOKUP(Tabela26[[#This Row],[EMP]],[1]LOJA!$A:$B,2,0)</f>
        <v>SOFNORTE</v>
      </c>
      <c r="E6895">
        <v>60</v>
      </c>
      <c r="F6895" t="s">
        <v>3953</v>
      </c>
      <c r="G6895" t="s">
        <v>3952</v>
      </c>
      <c r="H6895" t="s">
        <v>3430</v>
      </c>
      <c r="I6895">
        <v>5102</v>
      </c>
      <c r="J6895" s="3">
        <v>108</v>
      </c>
      <c r="K6895" s="3">
        <v>52.88</v>
      </c>
      <c r="L6895">
        <v>51.04</v>
      </c>
    </row>
    <row r="6896" spans="1:12">
      <c r="A6896" s="1">
        <v>46050</v>
      </c>
      <c r="B6896" t="s">
        <v>4644</v>
      </c>
      <c r="C6896">
        <v>12</v>
      </c>
      <c r="D6896" t="str">
        <f>VLOOKUP(Tabela26[[#This Row],[EMP]],[1]LOJA!$A:$B,2,0)</f>
        <v>SOFNORTE</v>
      </c>
      <c r="E6896">
        <v>239</v>
      </c>
      <c r="F6896" t="s">
        <v>3461</v>
      </c>
      <c r="G6896" t="s">
        <v>3460</v>
      </c>
      <c r="H6896" t="s">
        <v>3430</v>
      </c>
      <c r="I6896">
        <v>5102</v>
      </c>
      <c r="J6896" s="3">
        <v>20.61</v>
      </c>
      <c r="K6896" s="3">
        <v>12.51</v>
      </c>
      <c r="L6896">
        <v>39.299999999999997</v>
      </c>
    </row>
    <row r="6897" spans="1:12">
      <c r="A6897" s="1">
        <v>46050</v>
      </c>
      <c r="B6897" t="s">
        <v>4643</v>
      </c>
      <c r="C6897">
        <v>12</v>
      </c>
      <c r="D6897" t="str">
        <f>VLOOKUP(Tabela26[[#This Row],[EMP]],[1]LOJA!$A:$B,2,0)</f>
        <v>SOFNORTE</v>
      </c>
      <c r="E6897">
        <v>60</v>
      </c>
      <c r="F6897" t="s">
        <v>3925</v>
      </c>
      <c r="G6897" t="s">
        <v>3924</v>
      </c>
      <c r="H6897" t="s">
        <v>3430</v>
      </c>
      <c r="I6897">
        <v>5102</v>
      </c>
      <c r="J6897" s="3">
        <v>129</v>
      </c>
      <c r="K6897" s="3">
        <v>63.75</v>
      </c>
      <c r="L6897">
        <v>50.58</v>
      </c>
    </row>
    <row r="6898" spans="1:12">
      <c r="A6898" s="1">
        <v>46050</v>
      </c>
      <c r="B6898" t="s">
        <v>4642</v>
      </c>
      <c r="C6898">
        <v>12</v>
      </c>
      <c r="D6898" t="str">
        <f>VLOOKUP(Tabela26[[#This Row],[EMP]],[1]LOJA!$A:$B,2,0)</f>
        <v>SOFNORTE</v>
      </c>
      <c r="E6898">
        <v>60</v>
      </c>
      <c r="F6898" t="s">
        <v>3931</v>
      </c>
      <c r="G6898" t="s">
        <v>3930</v>
      </c>
      <c r="H6898" t="s">
        <v>4641</v>
      </c>
      <c r="I6898">
        <v>5405</v>
      </c>
      <c r="J6898" s="3">
        <v>308</v>
      </c>
      <c r="K6898" s="3">
        <v>142.75</v>
      </c>
      <c r="L6898">
        <v>53.65</v>
      </c>
    </row>
    <row r="6899" spans="1:12">
      <c r="A6899" s="1">
        <v>46050</v>
      </c>
      <c r="B6899" t="s">
        <v>4640</v>
      </c>
      <c r="C6899">
        <v>22</v>
      </c>
      <c r="D6899" t="str">
        <f>VLOOKUP(Tabela26[[#This Row],[EMP]],[1]LOJA!$A:$B,2,0)</f>
        <v>GUARÁ</v>
      </c>
      <c r="E6899">
        <v>93</v>
      </c>
      <c r="F6899" t="s">
        <v>3899</v>
      </c>
      <c r="G6899" t="s">
        <v>3898</v>
      </c>
      <c r="H6899" t="s">
        <v>3520</v>
      </c>
      <c r="I6899">
        <v>5405</v>
      </c>
      <c r="J6899" s="3">
        <v>90.3</v>
      </c>
      <c r="K6899" s="3">
        <v>42.5</v>
      </c>
      <c r="L6899">
        <v>52.93</v>
      </c>
    </row>
    <row r="6900" spans="1:12">
      <c r="A6900" s="1">
        <v>46050</v>
      </c>
      <c r="B6900" t="s">
        <v>4639</v>
      </c>
      <c r="C6900">
        <v>22</v>
      </c>
      <c r="D6900" t="str">
        <f>VLOOKUP(Tabela26[[#This Row],[EMP]],[1]LOJA!$A:$B,2,0)</f>
        <v>GUARÁ</v>
      </c>
      <c r="E6900">
        <v>93</v>
      </c>
      <c r="F6900" t="s">
        <v>4638</v>
      </c>
      <c r="G6900" t="s">
        <v>4637</v>
      </c>
      <c r="H6900" t="s">
        <v>3401</v>
      </c>
      <c r="I6900">
        <v>5102</v>
      </c>
      <c r="J6900" s="3">
        <v>48</v>
      </c>
      <c r="K6900" s="3">
        <v>25.46</v>
      </c>
      <c r="L6900">
        <v>46.96</v>
      </c>
    </row>
    <row r="6901" spans="1:12">
      <c r="A6901" s="1">
        <v>46050</v>
      </c>
      <c r="B6901" t="s">
        <v>4636</v>
      </c>
      <c r="C6901">
        <v>22</v>
      </c>
      <c r="D6901" t="str">
        <f>VLOOKUP(Tabela26[[#This Row],[EMP]],[1]LOJA!$A:$B,2,0)</f>
        <v>GUARÁ</v>
      </c>
      <c r="E6901">
        <v>93</v>
      </c>
      <c r="F6901" t="s">
        <v>3403</v>
      </c>
      <c r="G6901" t="s">
        <v>3402</v>
      </c>
      <c r="H6901" t="s">
        <v>3401</v>
      </c>
      <c r="I6901">
        <v>5405</v>
      </c>
      <c r="J6901" s="3">
        <v>65</v>
      </c>
      <c r="K6901" s="3">
        <v>32.94</v>
      </c>
      <c r="L6901">
        <v>49.32</v>
      </c>
    </row>
    <row r="6902" spans="1:12">
      <c r="A6902" s="1">
        <v>46050</v>
      </c>
      <c r="B6902" t="s">
        <v>4635</v>
      </c>
      <c r="C6902">
        <v>22</v>
      </c>
      <c r="D6902" t="str">
        <f>VLOOKUP(Tabela26[[#This Row],[EMP]],[1]LOJA!$A:$B,2,0)</f>
        <v>GUARÁ</v>
      </c>
      <c r="E6902">
        <v>93</v>
      </c>
      <c r="F6902" t="s">
        <v>3403</v>
      </c>
      <c r="G6902" t="s">
        <v>3402</v>
      </c>
      <c r="H6902" t="s">
        <v>3401</v>
      </c>
      <c r="I6902">
        <v>5405</v>
      </c>
      <c r="J6902" s="3">
        <v>106</v>
      </c>
      <c r="K6902" s="3">
        <v>58.5</v>
      </c>
      <c r="L6902">
        <v>44.81</v>
      </c>
    </row>
    <row r="6903" spans="1:12">
      <c r="A6903" s="1">
        <v>46050</v>
      </c>
      <c r="B6903" t="s">
        <v>4634</v>
      </c>
      <c r="C6903">
        <v>22</v>
      </c>
      <c r="D6903" t="str">
        <f>VLOOKUP(Tabela26[[#This Row],[EMP]],[1]LOJA!$A:$B,2,0)</f>
        <v>GUARÁ</v>
      </c>
      <c r="E6903">
        <v>93</v>
      </c>
      <c r="F6903" t="s">
        <v>3856</v>
      </c>
      <c r="G6903" t="s">
        <v>3855</v>
      </c>
      <c r="H6903" t="s">
        <v>3520</v>
      </c>
      <c r="I6903">
        <v>5405</v>
      </c>
      <c r="J6903" s="3">
        <v>344.78</v>
      </c>
      <c r="K6903" s="3">
        <v>179.89</v>
      </c>
      <c r="L6903">
        <v>47.82</v>
      </c>
    </row>
    <row r="6904" spans="1:12">
      <c r="A6904" s="1">
        <v>46050</v>
      </c>
      <c r="B6904" t="s">
        <v>4633</v>
      </c>
      <c r="C6904">
        <v>22</v>
      </c>
      <c r="D6904" t="str">
        <f>VLOOKUP(Tabela26[[#This Row],[EMP]],[1]LOJA!$A:$B,2,0)</f>
        <v>GUARÁ</v>
      </c>
      <c r="E6904">
        <v>16</v>
      </c>
      <c r="F6904" t="s">
        <v>3889</v>
      </c>
      <c r="G6904" t="s">
        <v>3888</v>
      </c>
      <c r="H6904" t="s">
        <v>4297</v>
      </c>
      <c r="I6904">
        <v>5102</v>
      </c>
      <c r="J6904" s="3">
        <v>69.900000000000006</v>
      </c>
      <c r="K6904" s="3">
        <v>47.38</v>
      </c>
      <c r="L6904">
        <v>32.22</v>
      </c>
    </row>
    <row r="6905" spans="1:12">
      <c r="A6905" s="1">
        <v>46050</v>
      </c>
      <c r="B6905" t="s">
        <v>4632</v>
      </c>
      <c r="C6905">
        <v>22</v>
      </c>
      <c r="D6905" t="str">
        <f>VLOOKUP(Tabela26[[#This Row],[EMP]],[1]LOJA!$A:$B,2,0)</f>
        <v>GUARÁ</v>
      </c>
      <c r="E6905">
        <v>16</v>
      </c>
      <c r="F6905" t="s">
        <v>3886</v>
      </c>
      <c r="G6905" t="s">
        <v>3402</v>
      </c>
      <c r="H6905" t="s">
        <v>3408</v>
      </c>
      <c r="I6905">
        <v>5405</v>
      </c>
      <c r="J6905" s="3">
        <v>290.38</v>
      </c>
      <c r="K6905" s="3">
        <v>154.38999999999999</v>
      </c>
      <c r="L6905">
        <v>46.83</v>
      </c>
    </row>
    <row r="6906" spans="1:12">
      <c r="A6906" s="1">
        <v>46050</v>
      </c>
      <c r="B6906" t="s">
        <v>4631</v>
      </c>
      <c r="C6906">
        <v>22</v>
      </c>
      <c r="D6906" t="str">
        <f>VLOOKUP(Tabela26[[#This Row],[EMP]],[1]LOJA!$A:$B,2,0)</f>
        <v>GUARÁ</v>
      </c>
      <c r="E6906">
        <v>93</v>
      </c>
      <c r="F6906" t="s">
        <v>3403</v>
      </c>
      <c r="G6906" t="s">
        <v>3402</v>
      </c>
      <c r="H6906" t="s">
        <v>3401</v>
      </c>
      <c r="I6906">
        <v>5102</v>
      </c>
      <c r="J6906" s="3">
        <v>29.9</v>
      </c>
      <c r="K6906" s="3">
        <v>20.96</v>
      </c>
      <c r="L6906">
        <v>29.9</v>
      </c>
    </row>
    <row r="6907" spans="1:12">
      <c r="A6907" s="1">
        <v>46050</v>
      </c>
      <c r="B6907" t="s">
        <v>4630</v>
      </c>
      <c r="C6907">
        <v>22</v>
      </c>
      <c r="D6907" t="str">
        <f>VLOOKUP(Tabela26[[#This Row],[EMP]],[1]LOJA!$A:$B,2,0)</f>
        <v>GUARÁ</v>
      </c>
      <c r="E6907">
        <v>93</v>
      </c>
      <c r="F6907" t="s">
        <v>4629</v>
      </c>
      <c r="G6907" t="s">
        <v>4628</v>
      </c>
      <c r="H6907" t="s">
        <v>3401</v>
      </c>
      <c r="I6907">
        <v>5102</v>
      </c>
      <c r="J6907" s="3">
        <v>8</v>
      </c>
      <c r="K6907" s="3">
        <v>3.86</v>
      </c>
      <c r="L6907">
        <v>51.75</v>
      </c>
    </row>
    <row r="6908" spans="1:12">
      <c r="A6908" s="1">
        <v>46050</v>
      </c>
      <c r="B6908" t="s">
        <v>4627</v>
      </c>
      <c r="C6908">
        <v>22</v>
      </c>
      <c r="D6908" t="str">
        <f>VLOOKUP(Tabela26[[#This Row],[EMP]],[1]LOJA!$A:$B,2,0)</f>
        <v>GUARÁ</v>
      </c>
      <c r="E6908">
        <v>93</v>
      </c>
      <c r="F6908" t="s">
        <v>3881</v>
      </c>
      <c r="G6908" t="s">
        <v>3402</v>
      </c>
      <c r="H6908" t="s">
        <v>3401</v>
      </c>
      <c r="I6908">
        <v>5405</v>
      </c>
      <c r="J6908" s="3">
        <v>471</v>
      </c>
      <c r="K6908" s="3">
        <v>250.55</v>
      </c>
      <c r="L6908">
        <v>46.8</v>
      </c>
    </row>
    <row r="6909" spans="1:12">
      <c r="A6909" s="1">
        <v>46050</v>
      </c>
      <c r="B6909" t="s">
        <v>4626</v>
      </c>
      <c r="C6909">
        <v>22</v>
      </c>
      <c r="D6909" t="str">
        <f>VLOOKUP(Tabela26[[#This Row],[EMP]],[1]LOJA!$A:$B,2,0)</f>
        <v>GUARÁ</v>
      </c>
      <c r="E6909">
        <v>93</v>
      </c>
      <c r="F6909" t="s">
        <v>3870</v>
      </c>
      <c r="G6909" t="s">
        <v>3869</v>
      </c>
      <c r="H6909" t="s">
        <v>3401</v>
      </c>
      <c r="I6909">
        <v>5102</v>
      </c>
      <c r="J6909" s="3">
        <v>20</v>
      </c>
      <c r="K6909" s="3">
        <v>15.4</v>
      </c>
      <c r="L6909">
        <v>23</v>
      </c>
    </row>
    <row r="6910" spans="1:12">
      <c r="A6910" s="1">
        <v>46050</v>
      </c>
      <c r="B6910" t="s">
        <v>4625</v>
      </c>
      <c r="C6910">
        <v>22</v>
      </c>
      <c r="D6910" t="str">
        <f>VLOOKUP(Tabela26[[#This Row],[EMP]],[1]LOJA!$A:$B,2,0)</f>
        <v>GUARÁ</v>
      </c>
      <c r="E6910">
        <v>93</v>
      </c>
      <c r="F6910" t="s">
        <v>3403</v>
      </c>
      <c r="G6910" t="s">
        <v>3402</v>
      </c>
      <c r="H6910" t="s">
        <v>3401</v>
      </c>
      <c r="I6910">
        <v>5405</v>
      </c>
      <c r="J6910" s="3">
        <v>79</v>
      </c>
      <c r="K6910" s="3">
        <v>36.85</v>
      </c>
      <c r="L6910">
        <v>53.35</v>
      </c>
    </row>
    <row r="6911" spans="1:12">
      <c r="A6911" s="1">
        <v>46050</v>
      </c>
      <c r="B6911" t="s">
        <v>4624</v>
      </c>
      <c r="C6911">
        <v>22</v>
      </c>
      <c r="D6911" t="str">
        <f>VLOOKUP(Tabela26[[#This Row],[EMP]],[1]LOJA!$A:$B,2,0)</f>
        <v>GUARÁ</v>
      </c>
      <c r="E6911">
        <v>93</v>
      </c>
      <c r="F6911" t="s">
        <v>3403</v>
      </c>
      <c r="G6911" t="s">
        <v>3402</v>
      </c>
      <c r="H6911" t="s">
        <v>3401</v>
      </c>
      <c r="I6911">
        <v>5405</v>
      </c>
      <c r="J6911" s="3">
        <v>28</v>
      </c>
      <c r="K6911" s="3">
        <v>12.19</v>
      </c>
      <c r="L6911">
        <v>56.46</v>
      </c>
    </row>
    <row r="6912" spans="1:12">
      <c r="A6912" s="1">
        <v>46050</v>
      </c>
      <c r="B6912" t="s">
        <v>4623</v>
      </c>
      <c r="C6912">
        <v>22</v>
      </c>
      <c r="D6912" t="str">
        <f>VLOOKUP(Tabela26[[#This Row],[EMP]],[1]LOJA!$A:$B,2,0)</f>
        <v>GUARÁ</v>
      </c>
      <c r="E6912">
        <v>93</v>
      </c>
      <c r="F6912" t="s">
        <v>4622</v>
      </c>
      <c r="G6912" t="s">
        <v>3402</v>
      </c>
      <c r="H6912" t="s">
        <v>3401</v>
      </c>
      <c r="I6912">
        <v>5405</v>
      </c>
      <c r="J6912" s="3">
        <v>95</v>
      </c>
      <c r="K6912" s="3">
        <v>49.49</v>
      </c>
      <c r="L6912">
        <v>47.91</v>
      </c>
    </row>
    <row r="6913" spans="1:12">
      <c r="A6913" s="1">
        <v>46050</v>
      </c>
      <c r="B6913" t="s">
        <v>4621</v>
      </c>
      <c r="C6913">
        <v>22</v>
      </c>
      <c r="D6913" t="str">
        <f>VLOOKUP(Tabela26[[#This Row],[EMP]],[1]LOJA!$A:$B,2,0)</f>
        <v>GUARÁ</v>
      </c>
      <c r="E6913">
        <v>93</v>
      </c>
      <c r="F6913" t="s">
        <v>4620</v>
      </c>
      <c r="G6913" t="s">
        <v>4619</v>
      </c>
      <c r="H6913" t="s">
        <v>3408</v>
      </c>
      <c r="I6913">
        <v>5102</v>
      </c>
      <c r="J6913" s="3">
        <v>136</v>
      </c>
      <c r="K6913" s="3">
        <v>80.989999999999995</v>
      </c>
      <c r="L6913">
        <v>40.450000000000003</v>
      </c>
    </row>
    <row r="6914" spans="1:12">
      <c r="A6914" s="1">
        <v>46050</v>
      </c>
      <c r="B6914" t="s">
        <v>4618</v>
      </c>
      <c r="C6914">
        <v>22</v>
      </c>
      <c r="D6914" t="str">
        <f>VLOOKUP(Tabela26[[#This Row],[EMP]],[1]LOJA!$A:$B,2,0)</f>
        <v>GUARÁ</v>
      </c>
      <c r="E6914">
        <v>16</v>
      </c>
      <c r="F6914" t="s">
        <v>3403</v>
      </c>
      <c r="G6914" t="s">
        <v>4617</v>
      </c>
      <c r="H6914" t="s">
        <v>3401</v>
      </c>
      <c r="I6914">
        <v>5102</v>
      </c>
      <c r="J6914" s="3">
        <v>129</v>
      </c>
      <c r="K6914" s="3">
        <v>65.78</v>
      </c>
      <c r="L6914">
        <v>49.01</v>
      </c>
    </row>
    <row r="6915" spans="1:12">
      <c r="A6915" s="1">
        <v>46050</v>
      </c>
      <c r="B6915" t="s">
        <v>4616</v>
      </c>
      <c r="C6915">
        <v>22</v>
      </c>
      <c r="D6915" t="str">
        <f>VLOOKUP(Tabela26[[#This Row],[EMP]],[1]LOJA!$A:$B,2,0)</f>
        <v>GUARÁ</v>
      </c>
      <c r="E6915">
        <v>16</v>
      </c>
      <c r="F6915" t="s">
        <v>4615</v>
      </c>
      <c r="G6915" t="s">
        <v>4614</v>
      </c>
      <c r="H6915" t="s">
        <v>3401</v>
      </c>
      <c r="I6915">
        <v>5102</v>
      </c>
      <c r="J6915" s="3">
        <v>63</v>
      </c>
      <c r="K6915" s="3">
        <v>35.43</v>
      </c>
      <c r="L6915">
        <v>43.76</v>
      </c>
    </row>
    <row r="6916" spans="1:12">
      <c r="A6916" s="1">
        <v>46050</v>
      </c>
      <c r="B6916" t="s">
        <v>4613</v>
      </c>
      <c r="C6916">
        <v>22</v>
      </c>
      <c r="D6916" t="str">
        <f>VLOOKUP(Tabela26[[#This Row],[EMP]],[1]LOJA!$A:$B,2,0)</f>
        <v>GUARÁ</v>
      </c>
      <c r="E6916">
        <v>93</v>
      </c>
      <c r="F6916" t="s">
        <v>3873</v>
      </c>
      <c r="G6916" t="s">
        <v>3872</v>
      </c>
      <c r="H6916" t="s">
        <v>3401</v>
      </c>
      <c r="I6916">
        <v>5102</v>
      </c>
      <c r="J6916" s="3">
        <v>37</v>
      </c>
      <c r="K6916" s="3">
        <v>17.39</v>
      </c>
      <c r="L6916">
        <v>53</v>
      </c>
    </row>
    <row r="6917" spans="1:12">
      <c r="A6917" s="1">
        <v>46050</v>
      </c>
      <c r="B6917" t="s">
        <v>4612</v>
      </c>
      <c r="C6917">
        <v>22</v>
      </c>
      <c r="D6917" t="str">
        <f>VLOOKUP(Tabela26[[#This Row],[EMP]],[1]LOJA!$A:$B,2,0)</f>
        <v>GUARÁ</v>
      </c>
      <c r="E6917">
        <v>93</v>
      </c>
      <c r="F6917" t="s">
        <v>3403</v>
      </c>
      <c r="G6917" t="s">
        <v>3402</v>
      </c>
      <c r="H6917" t="s">
        <v>3401</v>
      </c>
      <c r="I6917">
        <v>5405</v>
      </c>
      <c r="J6917" s="3">
        <v>75</v>
      </c>
      <c r="K6917" s="3">
        <v>36.92</v>
      </c>
      <c r="L6917">
        <v>50.77</v>
      </c>
    </row>
    <row r="6918" spans="1:12">
      <c r="A6918" s="1">
        <v>46050</v>
      </c>
      <c r="B6918" t="s">
        <v>4611</v>
      </c>
      <c r="C6918">
        <v>22</v>
      </c>
      <c r="D6918" t="str">
        <f>VLOOKUP(Tabela26[[#This Row],[EMP]],[1]LOJA!$A:$B,2,0)</f>
        <v>GUARÁ</v>
      </c>
      <c r="E6918">
        <v>93</v>
      </c>
      <c r="F6918" t="s">
        <v>3403</v>
      </c>
      <c r="G6918" t="s">
        <v>3402</v>
      </c>
      <c r="H6918" t="s">
        <v>3401</v>
      </c>
      <c r="I6918">
        <v>5102</v>
      </c>
      <c r="J6918" s="3">
        <v>8</v>
      </c>
      <c r="K6918" s="3">
        <v>5.09</v>
      </c>
      <c r="L6918">
        <v>36.380000000000003</v>
      </c>
    </row>
    <row r="6919" spans="1:12">
      <c r="A6919" s="1">
        <v>46050</v>
      </c>
      <c r="B6919" t="s">
        <v>4610</v>
      </c>
      <c r="C6919">
        <v>22</v>
      </c>
      <c r="D6919" t="str">
        <f>VLOOKUP(Tabela26[[#This Row],[EMP]],[1]LOJA!$A:$B,2,0)</f>
        <v>GUARÁ</v>
      </c>
      <c r="E6919">
        <v>93</v>
      </c>
      <c r="F6919" t="s">
        <v>4609</v>
      </c>
      <c r="G6919" t="s">
        <v>3402</v>
      </c>
      <c r="H6919" t="s">
        <v>3401</v>
      </c>
      <c r="I6919">
        <v>5405</v>
      </c>
      <c r="J6919" s="3">
        <v>35</v>
      </c>
      <c r="K6919" s="3">
        <v>17.29</v>
      </c>
      <c r="L6919">
        <v>50.6</v>
      </c>
    </row>
    <row r="6920" spans="1:12">
      <c r="A6920" s="1">
        <v>46050</v>
      </c>
      <c r="B6920" t="s">
        <v>4608</v>
      </c>
      <c r="C6920">
        <v>22</v>
      </c>
      <c r="D6920" t="str">
        <f>VLOOKUP(Tabela26[[#This Row],[EMP]],[1]LOJA!$A:$B,2,0)</f>
        <v>GUARÁ</v>
      </c>
      <c r="E6920">
        <v>93</v>
      </c>
      <c r="F6920" t="s">
        <v>4603</v>
      </c>
      <c r="G6920" t="s">
        <v>4602</v>
      </c>
      <c r="H6920" t="s">
        <v>3401</v>
      </c>
      <c r="I6920">
        <v>5102</v>
      </c>
      <c r="J6920" s="3">
        <v>29.9</v>
      </c>
      <c r="K6920" s="3">
        <v>20.96</v>
      </c>
      <c r="L6920">
        <v>29.9</v>
      </c>
    </row>
    <row r="6921" spans="1:12">
      <c r="A6921" s="1">
        <v>46050</v>
      </c>
      <c r="B6921" t="s">
        <v>4607</v>
      </c>
      <c r="C6921">
        <v>22</v>
      </c>
      <c r="D6921" t="str">
        <f>VLOOKUP(Tabela26[[#This Row],[EMP]],[1]LOJA!$A:$B,2,0)</f>
        <v>GUARÁ</v>
      </c>
      <c r="E6921">
        <v>93</v>
      </c>
      <c r="F6921" t="s">
        <v>3403</v>
      </c>
      <c r="G6921" t="s">
        <v>3402</v>
      </c>
      <c r="H6921" t="s">
        <v>3401</v>
      </c>
      <c r="I6921">
        <v>5405</v>
      </c>
      <c r="J6921" s="3">
        <v>62</v>
      </c>
      <c r="K6921" s="3">
        <v>29.16</v>
      </c>
      <c r="L6921">
        <v>52.97</v>
      </c>
    </row>
    <row r="6922" spans="1:12">
      <c r="A6922" s="1">
        <v>46050</v>
      </c>
      <c r="B6922" t="s">
        <v>4606</v>
      </c>
      <c r="C6922">
        <v>22</v>
      </c>
      <c r="D6922" t="str">
        <f>VLOOKUP(Tabela26[[#This Row],[EMP]],[1]LOJA!$A:$B,2,0)</f>
        <v>GUARÁ</v>
      </c>
      <c r="E6922">
        <v>93</v>
      </c>
      <c r="F6922" t="s">
        <v>4605</v>
      </c>
      <c r="G6922" t="s">
        <v>3402</v>
      </c>
      <c r="H6922" t="s">
        <v>3401</v>
      </c>
      <c r="I6922">
        <v>5405</v>
      </c>
      <c r="J6922" s="3">
        <v>133</v>
      </c>
      <c r="K6922" s="3">
        <v>70.08</v>
      </c>
      <c r="L6922">
        <v>47.31</v>
      </c>
    </row>
    <row r="6923" spans="1:12">
      <c r="A6923" s="1">
        <v>46050</v>
      </c>
      <c r="B6923" t="s">
        <v>4604</v>
      </c>
      <c r="C6923">
        <v>22</v>
      </c>
      <c r="D6923" t="str">
        <f>VLOOKUP(Tabela26[[#This Row],[EMP]],[1]LOJA!$A:$B,2,0)</f>
        <v>GUARÁ</v>
      </c>
      <c r="E6923">
        <v>93</v>
      </c>
      <c r="F6923" t="s">
        <v>4603</v>
      </c>
      <c r="G6923" t="s">
        <v>4602</v>
      </c>
      <c r="H6923" t="s">
        <v>3401</v>
      </c>
      <c r="I6923">
        <v>5102</v>
      </c>
      <c r="J6923" s="3">
        <v>8</v>
      </c>
      <c r="K6923" s="3">
        <v>4.88</v>
      </c>
      <c r="L6923">
        <v>39</v>
      </c>
    </row>
    <row r="6924" spans="1:12">
      <c r="A6924" s="1">
        <v>46050</v>
      </c>
      <c r="B6924" t="s">
        <v>4601</v>
      </c>
      <c r="C6924">
        <v>22</v>
      </c>
      <c r="D6924" t="str">
        <f>VLOOKUP(Tabela26[[#This Row],[EMP]],[1]LOJA!$A:$B,2,0)</f>
        <v>GUARÁ</v>
      </c>
      <c r="E6924">
        <v>16</v>
      </c>
      <c r="F6924" t="s">
        <v>4600</v>
      </c>
      <c r="G6924" t="s">
        <v>4599</v>
      </c>
      <c r="H6924" t="s">
        <v>3401</v>
      </c>
      <c r="I6924">
        <v>5405</v>
      </c>
      <c r="J6924" s="3">
        <v>85</v>
      </c>
      <c r="K6924" s="3">
        <v>39.65</v>
      </c>
      <c r="L6924">
        <v>53.35</v>
      </c>
    </row>
    <row r="6925" spans="1:12">
      <c r="A6925" s="1">
        <v>46050</v>
      </c>
      <c r="B6925" t="s">
        <v>4598</v>
      </c>
      <c r="C6925">
        <v>22</v>
      </c>
      <c r="D6925" t="str">
        <f>VLOOKUP(Tabela26[[#This Row],[EMP]],[1]LOJA!$A:$B,2,0)</f>
        <v>GUARÁ</v>
      </c>
      <c r="E6925">
        <v>93</v>
      </c>
      <c r="F6925" t="s">
        <v>4597</v>
      </c>
      <c r="G6925" t="s">
        <v>4596</v>
      </c>
      <c r="H6925" t="s">
        <v>3408</v>
      </c>
      <c r="I6925">
        <v>5405</v>
      </c>
      <c r="J6925" s="3">
        <v>83</v>
      </c>
      <c r="K6925" s="3">
        <v>44.08</v>
      </c>
      <c r="L6925">
        <v>46.89</v>
      </c>
    </row>
    <row r="6926" spans="1:12">
      <c r="A6926" s="1">
        <v>46050</v>
      </c>
      <c r="B6926" t="s">
        <v>4595</v>
      </c>
      <c r="C6926">
        <v>22</v>
      </c>
      <c r="D6926" t="str">
        <f>VLOOKUP(Tabela26[[#This Row],[EMP]],[1]LOJA!$A:$B,2,0)</f>
        <v>GUARÁ</v>
      </c>
      <c r="E6926">
        <v>16</v>
      </c>
      <c r="F6926" t="s">
        <v>3403</v>
      </c>
      <c r="G6926" t="s">
        <v>3402</v>
      </c>
      <c r="H6926" t="s">
        <v>3401</v>
      </c>
      <c r="I6926">
        <v>5102</v>
      </c>
      <c r="J6926" s="3">
        <v>5</v>
      </c>
      <c r="K6926" s="3">
        <v>3.28</v>
      </c>
      <c r="L6926">
        <v>34.4</v>
      </c>
    </row>
    <row r="6927" spans="1:12">
      <c r="A6927" s="1">
        <v>46050</v>
      </c>
      <c r="B6927" t="s">
        <v>4594</v>
      </c>
      <c r="C6927">
        <v>22</v>
      </c>
      <c r="D6927" t="str">
        <f>VLOOKUP(Tabela26[[#This Row],[EMP]],[1]LOJA!$A:$B,2,0)</f>
        <v>GUARÁ</v>
      </c>
      <c r="E6927">
        <v>16</v>
      </c>
      <c r="F6927" t="s">
        <v>4593</v>
      </c>
      <c r="G6927" t="s">
        <v>4592</v>
      </c>
      <c r="H6927" t="s">
        <v>3401</v>
      </c>
      <c r="I6927">
        <v>5405</v>
      </c>
      <c r="J6927" s="3">
        <v>60</v>
      </c>
      <c r="K6927" s="3">
        <v>31.61</v>
      </c>
      <c r="L6927">
        <v>47.32</v>
      </c>
    </row>
    <row r="6928" spans="1:12">
      <c r="A6928" s="1">
        <v>46050</v>
      </c>
      <c r="B6928" t="s">
        <v>4591</v>
      </c>
      <c r="C6928">
        <v>22</v>
      </c>
      <c r="D6928" t="str">
        <f>VLOOKUP(Tabela26[[#This Row],[EMP]],[1]LOJA!$A:$B,2,0)</f>
        <v>GUARÁ</v>
      </c>
      <c r="E6928">
        <v>16</v>
      </c>
      <c r="F6928" t="s">
        <v>3403</v>
      </c>
      <c r="G6928" t="s">
        <v>3402</v>
      </c>
      <c r="H6928" t="s">
        <v>3401</v>
      </c>
      <c r="I6928">
        <v>5405</v>
      </c>
      <c r="J6928" s="3">
        <v>27</v>
      </c>
      <c r="K6928" s="3">
        <v>12.39</v>
      </c>
      <c r="L6928">
        <v>54.11</v>
      </c>
    </row>
    <row r="6929" spans="1:12">
      <c r="A6929" s="1">
        <v>46050</v>
      </c>
      <c r="B6929" t="s">
        <v>4590</v>
      </c>
      <c r="C6929">
        <v>22</v>
      </c>
      <c r="D6929" t="str">
        <f>VLOOKUP(Tabela26[[#This Row],[EMP]],[1]LOJA!$A:$B,2,0)</f>
        <v>GUARÁ</v>
      </c>
      <c r="E6929">
        <v>16</v>
      </c>
      <c r="F6929" t="s">
        <v>3403</v>
      </c>
      <c r="G6929" t="s">
        <v>3402</v>
      </c>
      <c r="H6929" t="s">
        <v>3401</v>
      </c>
      <c r="I6929">
        <v>5102</v>
      </c>
      <c r="J6929" s="3">
        <v>10</v>
      </c>
      <c r="K6929" s="3">
        <v>3.6</v>
      </c>
      <c r="L6929">
        <v>64</v>
      </c>
    </row>
    <row r="6930" spans="1:12">
      <c r="A6930" s="1">
        <v>46050</v>
      </c>
      <c r="B6930" t="s">
        <v>4589</v>
      </c>
      <c r="C6930">
        <v>22</v>
      </c>
      <c r="D6930" t="str">
        <f>VLOOKUP(Tabela26[[#This Row],[EMP]],[1]LOJA!$A:$B,2,0)</f>
        <v>GUARÁ</v>
      </c>
      <c r="E6930">
        <v>93</v>
      </c>
      <c r="F6930" t="s">
        <v>4588</v>
      </c>
      <c r="G6930" t="s">
        <v>3402</v>
      </c>
      <c r="H6930" t="s">
        <v>3401</v>
      </c>
      <c r="I6930">
        <v>5405</v>
      </c>
      <c r="J6930" s="3">
        <v>35</v>
      </c>
      <c r="K6930" s="3">
        <v>16.100000000000001</v>
      </c>
      <c r="L6930">
        <v>54</v>
      </c>
    </row>
    <row r="6931" spans="1:12">
      <c r="A6931" s="1">
        <v>46050</v>
      </c>
      <c r="B6931" t="s">
        <v>4587</v>
      </c>
      <c r="C6931">
        <v>22</v>
      </c>
      <c r="D6931" t="str">
        <f>VLOOKUP(Tabela26[[#This Row],[EMP]],[1]LOJA!$A:$B,2,0)</f>
        <v>GUARÁ</v>
      </c>
      <c r="E6931">
        <v>16</v>
      </c>
      <c r="F6931" t="s">
        <v>3403</v>
      </c>
      <c r="G6931" t="s">
        <v>3402</v>
      </c>
      <c r="H6931" t="s">
        <v>3401</v>
      </c>
      <c r="I6931">
        <v>5405</v>
      </c>
      <c r="J6931" s="3">
        <v>27</v>
      </c>
      <c r="K6931" s="3">
        <v>12.19</v>
      </c>
      <c r="L6931">
        <v>54.85</v>
      </c>
    </row>
    <row r="6932" spans="1:12">
      <c r="A6932" s="1">
        <v>46050</v>
      </c>
      <c r="B6932" t="s">
        <v>4586</v>
      </c>
      <c r="C6932">
        <v>22</v>
      </c>
      <c r="D6932" t="str">
        <f>VLOOKUP(Tabela26[[#This Row],[EMP]],[1]LOJA!$A:$B,2,0)</f>
        <v>GUARÁ</v>
      </c>
      <c r="E6932">
        <v>16</v>
      </c>
      <c r="F6932" t="s">
        <v>3403</v>
      </c>
      <c r="G6932" t="s">
        <v>3402</v>
      </c>
      <c r="H6932" t="s">
        <v>3401</v>
      </c>
      <c r="I6932">
        <v>5102</v>
      </c>
      <c r="J6932" s="3">
        <v>7</v>
      </c>
      <c r="K6932" s="3">
        <v>2.52</v>
      </c>
      <c r="L6932">
        <v>64</v>
      </c>
    </row>
    <row r="6933" spans="1:12">
      <c r="A6933" s="1">
        <v>46050</v>
      </c>
      <c r="B6933" t="s">
        <v>4585</v>
      </c>
      <c r="C6933">
        <v>22</v>
      </c>
      <c r="D6933" t="str">
        <f>VLOOKUP(Tabela26[[#This Row],[EMP]],[1]LOJA!$A:$B,2,0)</f>
        <v>GUARÁ</v>
      </c>
      <c r="E6933">
        <v>16</v>
      </c>
      <c r="F6933" t="s">
        <v>3403</v>
      </c>
      <c r="G6933" t="s">
        <v>3402</v>
      </c>
      <c r="H6933" t="s">
        <v>3401</v>
      </c>
      <c r="I6933">
        <v>5102</v>
      </c>
      <c r="J6933" s="3">
        <v>3</v>
      </c>
      <c r="K6933" s="3">
        <v>1.35</v>
      </c>
      <c r="L6933">
        <v>55</v>
      </c>
    </row>
    <row r="6934" spans="1:12">
      <c r="A6934" s="1">
        <v>46050</v>
      </c>
      <c r="B6934" t="s">
        <v>4584</v>
      </c>
      <c r="C6934">
        <v>22</v>
      </c>
      <c r="D6934" t="str">
        <f>VLOOKUP(Tabela26[[#This Row],[EMP]],[1]LOJA!$A:$B,2,0)</f>
        <v>GUARÁ</v>
      </c>
      <c r="E6934">
        <v>16</v>
      </c>
      <c r="F6934" t="s">
        <v>3403</v>
      </c>
      <c r="G6934" t="s">
        <v>3402</v>
      </c>
      <c r="H6934" t="s">
        <v>3401</v>
      </c>
      <c r="I6934">
        <v>5102</v>
      </c>
      <c r="J6934" s="3">
        <v>6</v>
      </c>
      <c r="K6934" s="3">
        <v>3.08</v>
      </c>
      <c r="L6934">
        <v>48.67</v>
      </c>
    </row>
    <row r="6935" spans="1:12">
      <c r="A6935" s="1">
        <v>46050</v>
      </c>
      <c r="B6935" t="s">
        <v>4583</v>
      </c>
      <c r="C6935">
        <v>22</v>
      </c>
      <c r="D6935" t="str">
        <f>VLOOKUP(Tabela26[[#This Row],[EMP]],[1]LOJA!$A:$B,2,0)</f>
        <v>GUARÁ</v>
      </c>
      <c r="E6935">
        <v>16</v>
      </c>
      <c r="F6935" t="s">
        <v>3403</v>
      </c>
      <c r="G6935" t="s">
        <v>3402</v>
      </c>
      <c r="H6935" t="s">
        <v>3401</v>
      </c>
      <c r="I6935">
        <v>5102</v>
      </c>
      <c r="J6935" s="3">
        <v>33</v>
      </c>
      <c r="K6935" s="3">
        <v>18.02</v>
      </c>
      <c r="L6935">
        <v>45.39</v>
      </c>
    </row>
    <row r="6936" spans="1:12">
      <c r="A6936" s="1">
        <v>46050</v>
      </c>
      <c r="B6936" t="s">
        <v>4582</v>
      </c>
      <c r="C6936">
        <v>22</v>
      </c>
      <c r="D6936" t="str">
        <f>VLOOKUP(Tabela26[[#This Row],[EMP]],[1]LOJA!$A:$B,2,0)</f>
        <v>GUARÁ</v>
      </c>
      <c r="E6936">
        <v>16</v>
      </c>
      <c r="F6936" t="s">
        <v>3403</v>
      </c>
      <c r="G6936" t="s">
        <v>3402</v>
      </c>
      <c r="H6936" t="s">
        <v>3401</v>
      </c>
      <c r="I6936">
        <v>5102</v>
      </c>
      <c r="J6936" s="3">
        <v>5</v>
      </c>
      <c r="K6936" s="3">
        <v>3.28</v>
      </c>
      <c r="L6936">
        <v>34.4</v>
      </c>
    </row>
    <row r="6937" spans="1:12">
      <c r="A6937" s="1">
        <v>46050</v>
      </c>
      <c r="B6937" t="s">
        <v>4581</v>
      </c>
      <c r="C6937">
        <v>22</v>
      </c>
      <c r="D6937" t="str">
        <f>VLOOKUP(Tabela26[[#This Row],[EMP]],[1]LOJA!$A:$B,2,0)</f>
        <v>GUARÁ</v>
      </c>
      <c r="E6937">
        <v>16</v>
      </c>
      <c r="F6937" t="s">
        <v>3403</v>
      </c>
      <c r="G6937" t="s">
        <v>3402</v>
      </c>
      <c r="H6937" t="s">
        <v>3401</v>
      </c>
      <c r="I6937">
        <v>5102</v>
      </c>
      <c r="J6937" s="3">
        <v>14</v>
      </c>
      <c r="K6937" s="3">
        <v>7.82</v>
      </c>
      <c r="L6937">
        <v>44.14</v>
      </c>
    </row>
    <row r="6938" spans="1:12">
      <c r="A6938" s="1">
        <v>46050</v>
      </c>
      <c r="B6938" t="s">
        <v>4580</v>
      </c>
      <c r="C6938">
        <v>22</v>
      </c>
      <c r="D6938" t="str">
        <f>VLOOKUP(Tabela26[[#This Row],[EMP]],[1]LOJA!$A:$B,2,0)</f>
        <v>GUARÁ</v>
      </c>
      <c r="E6938">
        <v>16</v>
      </c>
      <c r="F6938" t="s">
        <v>3403</v>
      </c>
      <c r="G6938" t="s">
        <v>3402</v>
      </c>
      <c r="H6938" t="s">
        <v>3401</v>
      </c>
      <c r="I6938">
        <v>5102</v>
      </c>
      <c r="J6938" s="3">
        <v>15</v>
      </c>
      <c r="K6938" s="3">
        <v>9.26</v>
      </c>
      <c r="L6938">
        <v>38.270000000000003</v>
      </c>
    </row>
    <row r="6939" spans="1:12">
      <c r="A6939" s="1">
        <v>46050</v>
      </c>
      <c r="B6939" t="s">
        <v>4579</v>
      </c>
      <c r="C6939">
        <v>22</v>
      </c>
      <c r="D6939" t="str">
        <f>VLOOKUP(Tabela26[[#This Row],[EMP]],[1]LOJA!$A:$B,2,0)</f>
        <v>GUARÁ</v>
      </c>
      <c r="E6939">
        <v>16</v>
      </c>
      <c r="F6939" t="s">
        <v>3403</v>
      </c>
      <c r="G6939" t="s">
        <v>3402</v>
      </c>
      <c r="H6939" t="s">
        <v>3401</v>
      </c>
      <c r="I6939">
        <v>5405</v>
      </c>
      <c r="J6939" s="3">
        <v>50</v>
      </c>
      <c r="K6939" s="3">
        <v>21.42</v>
      </c>
      <c r="L6939">
        <v>57.16</v>
      </c>
    </row>
    <row r="6940" spans="1:12">
      <c r="A6940" s="1">
        <v>46050</v>
      </c>
      <c r="B6940" t="s">
        <v>4578</v>
      </c>
      <c r="C6940">
        <v>22</v>
      </c>
      <c r="D6940" t="str">
        <f>VLOOKUP(Tabela26[[#This Row],[EMP]],[1]LOJA!$A:$B,2,0)</f>
        <v>GUARÁ</v>
      </c>
      <c r="E6940">
        <v>93</v>
      </c>
      <c r="F6940" t="s">
        <v>3403</v>
      </c>
      <c r="G6940" t="s">
        <v>3402</v>
      </c>
      <c r="H6940" t="s">
        <v>3401</v>
      </c>
      <c r="I6940">
        <v>5405</v>
      </c>
      <c r="J6940" s="3">
        <v>65</v>
      </c>
      <c r="K6940" s="3">
        <v>33.26</v>
      </c>
      <c r="L6940">
        <v>48.83</v>
      </c>
    </row>
    <row r="6941" spans="1:12">
      <c r="A6941" s="1">
        <v>46050</v>
      </c>
      <c r="B6941" t="s">
        <v>4577</v>
      </c>
      <c r="C6941">
        <v>22</v>
      </c>
      <c r="D6941" t="str">
        <f>VLOOKUP(Tabela26[[#This Row],[EMP]],[1]LOJA!$A:$B,2,0)</f>
        <v>GUARÁ</v>
      </c>
      <c r="E6941">
        <v>16</v>
      </c>
      <c r="F6941" t="s">
        <v>3403</v>
      </c>
      <c r="G6941" t="s">
        <v>3402</v>
      </c>
      <c r="H6941" t="s">
        <v>3401</v>
      </c>
      <c r="I6941">
        <v>5102</v>
      </c>
      <c r="J6941" s="3">
        <v>47.4</v>
      </c>
      <c r="K6941" s="3">
        <v>24.51</v>
      </c>
      <c r="L6941">
        <v>48.29</v>
      </c>
    </row>
    <row r="6942" spans="1:12">
      <c r="A6942" s="1">
        <v>46050</v>
      </c>
      <c r="B6942" t="s">
        <v>4576</v>
      </c>
      <c r="C6942">
        <v>22</v>
      </c>
      <c r="D6942" t="str">
        <f>VLOOKUP(Tabela26[[#This Row],[EMP]],[1]LOJA!$A:$B,2,0)</f>
        <v>GUARÁ</v>
      </c>
      <c r="E6942">
        <v>16</v>
      </c>
      <c r="F6942" t="s">
        <v>3403</v>
      </c>
      <c r="G6942" t="s">
        <v>3402</v>
      </c>
      <c r="H6942" t="s">
        <v>3401</v>
      </c>
      <c r="I6942">
        <v>5102</v>
      </c>
      <c r="J6942" s="3">
        <v>34.9</v>
      </c>
      <c r="K6942" s="3">
        <v>15.86</v>
      </c>
      <c r="L6942">
        <v>54.56</v>
      </c>
    </row>
    <row r="6943" spans="1:12">
      <c r="A6943" s="1">
        <v>46050</v>
      </c>
      <c r="B6943" t="s">
        <v>4575</v>
      </c>
      <c r="C6943">
        <v>4</v>
      </c>
      <c r="D6943" t="str">
        <f>VLOOKUP(Tabela26[[#This Row],[EMP]],[1]LOJA!$A:$B,2,0)</f>
        <v>ADE</v>
      </c>
      <c r="E6943">
        <v>132</v>
      </c>
      <c r="F6943" t="s">
        <v>4574</v>
      </c>
      <c r="G6943" t="s">
        <v>4573</v>
      </c>
      <c r="H6943" t="s">
        <v>3408</v>
      </c>
      <c r="I6943">
        <v>5102</v>
      </c>
      <c r="J6943" s="3">
        <v>25</v>
      </c>
      <c r="K6943" s="3">
        <v>11</v>
      </c>
      <c r="L6943">
        <v>56</v>
      </c>
    </row>
    <row r="6944" spans="1:12">
      <c r="A6944" s="1">
        <v>46050</v>
      </c>
      <c r="B6944" t="s">
        <v>4572</v>
      </c>
      <c r="C6944">
        <v>4</v>
      </c>
      <c r="D6944" t="str">
        <f>VLOOKUP(Tabela26[[#This Row],[EMP]],[1]LOJA!$A:$B,2,0)</f>
        <v>ADE</v>
      </c>
      <c r="E6944">
        <v>132</v>
      </c>
      <c r="F6944" t="s">
        <v>3403</v>
      </c>
      <c r="G6944" t="s">
        <v>3402</v>
      </c>
      <c r="H6944" t="s">
        <v>3401</v>
      </c>
      <c r="I6944">
        <v>5102</v>
      </c>
      <c r="J6944" s="3">
        <v>3</v>
      </c>
      <c r="K6944" s="3">
        <v>1.43</v>
      </c>
      <c r="L6944">
        <v>52.33</v>
      </c>
    </row>
    <row r="6945" spans="1:12">
      <c r="A6945" s="1">
        <v>46050</v>
      </c>
      <c r="B6945" t="s">
        <v>4571</v>
      </c>
      <c r="C6945">
        <v>4</v>
      </c>
      <c r="D6945" t="str">
        <f>VLOOKUP(Tabela26[[#This Row],[EMP]],[1]LOJA!$A:$B,2,0)</f>
        <v>ADE</v>
      </c>
      <c r="E6945">
        <v>132</v>
      </c>
      <c r="F6945" t="s">
        <v>4565</v>
      </c>
      <c r="G6945" t="s">
        <v>4564</v>
      </c>
      <c r="H6945" t="s">
        <v>3408</v>
      </c>
      <c r="I6945">
        <v>5405</v>
      </c>
      <c r="J6945" s="3">
        <v>48.22</v>
      </c>
      <c r="K6945" s="3">
        <v>26.17</v>
      </c>
      <c r="L6945">
        <v>45.73</v>
      </c>
    </row>
    <row r="6946" spans="1:12">
      <c r="A6946" s="1">
        <v>46050</v>
      </c>
      <c r="B6946" t="s">
        <v>4570</v>
      </c>
      <c r="C6946">
        <v>4</v>
      </c>
      <c r="D6946" t="str">
        <f>VLOOKUP(Tabela26[[#This Row],[EMP]],[1]LOJA!$A:$B,2,0)</f>
        <v>ADE</v>
      </c>
      <c r="E6946">
        <v>132</v>
      </c>
      <c r="F6946" t="s">
        <v>3840</v>
      </c>
      <c r="G6946" t="s">
        <v>3839</v>
      </c>
      <c r="H6946" t="s">
        <v>3408</v>
      </c>
      <c r="I6946">
        <v>5102</v>
      </c>
      <c r="J6946" s="3">
        <v>70</v>
      </c>
      <c r="K6946" s="3">
        <v>41.6</v>
      </c>
      <c r="L6946">
        <v>40.57</v>
      </c>
    </row>
    <row r="6947" spans="1:12">
      <c r="A6947" s="1">
        <v>46050</v>
      </c>
      <c r="B6947" t="s">
        <v>4569</v>
      </c>
      <c r="C6947">
        <v>4</v>
      </c>
      <c r="D6947" t="str">
        <f>VLOOKUP(Tabela26[[#This Row],[EMP]],[1]LOJA!$A:$B,2,0)</f>
        <v>ADE</v>
      </c>
      <c r="E6947">
        <v>132</v>
      </c>
      <c r="F6947" t="s">
        <v>4568</v>
      </c>
      <c r="G6947" t="s">
        <v>4567</v>
      </c>
      <c r="H6947" t="s">
        <v>3408</v>
      </c>
      <c r="I6947">
        <v>5405</v>
      </c>
      <c r="J6947" s="3">
        <v>62</v>
      </c>
      <c r="K6947" s="3">
        <v>32.94</v>
      </c>
      <c r="L6947">
        <v>46.87</v>
      </c>
    </row>
    <row r="6948" spans="1:12">
      <c r="A6948" s="1">
        <v>46050</v>
      </c>
      <c r="B6948" t="s">
        <v>4566</v>
      </c>
      <c r="C6948">
        <v>4</v>
      </c>
      <c r="D6948" t="str">
        <f>VLOOKUP(Tabela26[[#This Row],[EMP]],[1]LOJA!$A:$B,2,0)</f>
        <v>ADE</v>
      </c>
      <c r="E6948">
        <v>132</v>
      </c>
      <c r="F6948" t="s">
        <v>4565</v>
      </c>
      <c r="G6948" t="s">
        <v>4564</v>
      </c>
      <c r="H6948" t="s">
        <v>3408</v>
      </c>
      <c r="I6948">
        <v>5405</v>
      </c>
      <c r="J6948" s="3">
        <v>58.9</v>
      </c>
      <c r="K6948" s="3">
        <v>33.090000000000003</v>
      </c>
      <c r="L6948">
        <v>43.82</v>
      </c>
    </row>
    <row r="6949" spans="1:12">
      <c r="A6949" s="1">
        <v>46050</v>
      </c>
      <c r="B6949" t="s">
        <v>4563</v>
      </c>
      <c r="C6949">
        <v>4</v>
      </c>
      <c r="D6949" t="str">
        <f>VLOOKUP(Tabela26[[#This Row],[EMP]],[1]LOJA!$A:$B,2,0)</f>
        <v>ADE</v>
      </c>
      <c r="E6949">
        <v>132</v>
      </c>
      <c r="F6949" t="s">
        <v>3403</v>
      </c>
      <c r="G6949" t="s">
        <v>3402</v>
      </c>
      <c r="H6949" t="s">
        <v>3401</v>
      </c>
      <c r="I6949">
        <v>5405</v>
      </c>
      <c r="J6949" s="3">
        <v>26.9</v>
      </c>
      <c r="K6949" s="3">
        <v>12.07</v>
      </c>
      <c r="L6949">
        <v>55.13</v>
      </c>
    </row>
    <row r="6950" spans="1:12">
      <c r="A6950" s="1">
        <v>46050</v>
      </c>
      <c r="B6950" t="s">
        <v>4562</v>
      </c>
      <c r="C6950">
        <v>4</v>
      </c>
      <c r="D6950" t="str">
        <f>VLOOKUP(Tabela26[[#This Row],[EMP]],[1]LOJA!$A:$B,2,0)</f>
        <v>ADE</v>
      </c>
      <c r="E6950">
        <v>132</v>
      </c>
      <c r="F6950" t="s">
        <v>4561</v>
      </c>
      <c r="G6950" t="s">
        <v>4560</v>
      </c>
      <c r="H6950" t="s">
        <v>3408</v>
      </c>
      <c r="I6950">
        <v>5102</v>
      </c>
      <c r="J6950" s="3">
        <v>127</v>
      </c>
      <c r="K6950" s="3">
        <v>74.47</v>
      </c>
      <c r="L6950">
        <v>41.36</v>
      </c>
    </row>
    <row r="6951" spans="1:12">
      <c r="A6951" s="1">
        <v>46050</v>
      </c>
      <c r="B6951" t="s">
        <v>4559</v>
      </c>
      <c r="C6951">
        <v>4</v>
      </c>
      <c r="D6951" t="str">
        <f>VLOOKUP(Tabela26[[#This Row],[EMP]],[1]LOJA!$A:$B,2,0)</f>
        <v>ADE</v>
      </c>
      <c r="E6951">
        <v>132</v>
      </c>
      <c r="F6951" t="s">
        <v>4558</v>
      </c>
      <c r="G6951" t="s">
        <v>4557</v>
      </c>
      <c r="H6951" t="s">
        <v>4142</v>
      </c>
      <c r="I6951">
        <v>5102</v>
      </c>
      <c r="J6951" s="3">
        <v>167</v>
      </c>
      <c r="K6951" s="3">
        <v>89.7</v>
      </c>
      <c r="L6951">
        <v>46.29</v>
      </c>
    </row>
    <row r="6952" spans="1:12">
      <c r="A6952" s="1">
        <v>46050</v>
      </c>
      <c r="B6952" t="s">
        <v>4556</v>
      </c>
      <c r="C6952">
        <v>4</v>
      </c>
      <c r="D6952" t="str">
        <f>VLOOKUP(Tabela26[[#This Row],[EMP]],[1]LOJA!$A:$B,2,0)</f>
        <v>ADE</v>
      </c>
      <c r="E6952">
        <v>109</v>
      </c>
      <c r="F6952" t="s">
        <v>3403</v>
      </c>
      <c r="G6952" t="s">
        <v>3402</v>
      </c>
      <c r="H6952" t="s">
        <v>3401</v>
      </c>
      <c r="I6952">
        <v>5102</v>
      </c>
      <c r="J6952" s="3">
        <v>78.900000000000006</v>
      </c>
      <c r="K6952" s="3">
        <v>43.57</v>
      </c>
      <c r="L6952">
        <v>44.78</v>
      </c>
    </row>
    <row r="6953" spans="1:12">
      <c r="A6953" s="1">
        <v>46050</v>
      </c>
      <c r="B6953" t="s">
        <v>4555</v>
      </c>
      <c r="C6953">
        <v>4</v>
      </c>
      <c r="D6953" t="str">
        <f>VLOOKUP(Tabela26[[#This Row],[EMP]],[1]LOJA!$A:$B,2,0)</f>
        <v>ADE</v>
      </c>
      <c r="E6953">
        <v>132</v>
      </c>
      <c r="F6953" t="s">
        <v>4554</v>
      </c>
      <c r="G6953" t="s">
        <v>3402</v>
      </c>
      <c r="H6953" t="s">
        <v>3401</v>
      </c>
      <c r="I6953">
        <v>5102</v>
      </c>
      <c r="J6953" s="3">
        <v>30</v>
      </c>
      <c r="K6953" s="3">
        <v>18</v>
      </c>
      <c r="L6953">
        <v>40</v>
      </c>
    </row>
    <row r="6954" spans="1:12">
      <c r="A6954" s="1">
        <v>46050</v>
      </c>
      <c r="B6954" t="s">
        <v>4553</v>
      </c>
      <c r="C6954">
        <v>16</v>
      </c>
      <c r="D6954" t="str">
        <f>VLOOKUP(Tabela26[[#This Row],[EMP]],[1]LOJA!$A:$B,2,0)</f>
        <v>AG LINDAS</v>
      </c>
      <c r="E6954">
        <v>240</v>
      </c>
      <c r="F6954" t="s">
        <v>4552</v>
      </c>
      <c r="G6954" t="s">
        <v>3437</v>
      </c>
      <c r="H6954" t="s">
        <v>3401</v>
      </c>
      <c r="I6954">
        <v>5102</v>
      </c>
      <c r="J6954" s="3">
        <v>50</v>
      </c>
      <c r="K6954" s="3">
        <v>26.94</v>
      </c>
      <c r="L6954">
        <v>46.12</v>
      </c>
    </row>
    <row r="6955" spans="1:12">
      <c r="A6955" s="1">
        <v>46050</v>
      </c>
      <c r="B6955" t="s">
        <v>4551</v>
      </c>
      <c r="C6955">
        <v>16</v>
      </c>
      <c r="D6955" t="str">
        <f>VLOOKUP(Tabela26[[#This Row],[EMP]],[1]LOJA!$A:$B,2,0)</f>
        <v>AG LINDAS</v>
      </c>
      <c r="E6955">
        <v>240</v>
      </c>
      <c r="F6955" t="s">
        <v>4534</v>
      </c>
      <c r="G6955" t="s">
        <v>4533</v>
      </c>
      <c r="H6955" t="s">
        <v>3401</v>
      </c>
      <c r="I6955">
        <v>5405</v>
      </c>
      <c r="J6955" s="3">
        <v>336.5</v>
      </c>
      <c r="K6955" s="3">
        <v>180.59</v>
      </c>
      <c r="L6955">
        <v>46.33</v>
      </c>
    </row>
    <row r="6956" spans="1:12">
      <c r="A6956" s="1">
        <v>46050</v>
      </c>
      <c r="B6956" t="s">
        <v>4550</v>
      </c>
      <c r="C6956">
        <v>16</v>
      </c>
      <c r="D6956" t="str">
        <f>VLOOKUP(Tabela26[[#This Row],[EMP]],[1]LOJA!$A:$B,2,0)</f>
        <v>AG LINDAS</v>
      </c>
      <c r="E6956">
        <v>240</v>
      </c>
      <c r="F6956" t="s">
        <v>3811</v>
      </c>
      <c r="G6956" t="s">
        <v>3437</v>
      </c>
      <c r="H6956" t="s">
        <v>3401</v>
      </c>
      <c r="I6956">
        <v>5405</v>
      </c>
      <c r="J6956" s="3">
        <v>83.95</v>
      </c>
      <c r="K6956" s="3">
        <v>43.37</v>
      </c>
      <c r="L6956">
        <v>48.34</v>
      </c>
    </row>
    <row r="6957" spans="1:12">
      <c r="A6957" s="1">
        <v>46050</v>
      </c>
      <c r="B6957" t="s">
        <v>4549</v>
      </c>
      <c r="C6957">
        <v>16</v>
      </c>
      <c r="D6957" t="str">
        <f>VLOOKUP(Tabela26[[#This Row],[EMP]],[1]LOJA!$A:$B,2,0)</f>
        <v>AG LINDAS</v>
      </c>
      <c r="E6957">
        <v>240</v>
      </c>
      <c r="F6957" t="s">
        <v>4548</v>
      </c>
      <c r="G6957" t="s">
        <v>3437</v>
      </c>
      <c r="H6957" t="s">
        <v>3401</v>
      </c>
      <c r="I6957">
        <v>5405</v>
      </c>
      <c r="J6957" s="3">
        <v>49.9</v>
      </c>
      <c r="K6957" s="3">
        <v>26.03</v>
      </c>
      <c r="L6957">
        <v>47.84</v>
      </c>
    </row>
    <row r="6958" spans="1:12">
      <c r="A6958" s="1">
        <v>46050</v>
      </c>
      <c r="B6958" t="s">
        <v>4547</v>
      </c>
      <c r="C6958">
        <v>16</v>
      </c>
      <c r="D6958" t="str">
        <f>VLOOKUP(Tabela26[[#This Row],[EMP]],[1]LOJA!$A:$B,2,0)</f>
        <v>AG LINDAS</v>
      </c>
      <c r="E6958">
        <v>240</v>
      </c>
      <c r="F6958" t="s">
        <v>4546</v>
      </c>
      <c r="G6958" t="s">
        <v>3437</v>
      </c>
      <c r="H6958" t="s">
        <v>3401</v>
      </c>
      <c r="I6958">
        <v>5405</v>
      </c>
      <c r="J6958" s="3">
        <v>388.9</v>
      </c>
      <c r="K6958" s="3">
        <v>228.66</v>
      </c>
      <c r="L6958">
        <v>41.2</v>
      </c>
    </row>
    <row r="6959" spans="1:12">
      <c r="A6959" s="1">
        <v>46050</v>
      </c>
      <c r="B6959" t="s">
        <v>4545</v>
      </c>
      <c r="C6959">
        <v>16</v>
      </c>
      <c r="D6959" t="str">
        <f>VLOOKUP(Tabela26[[#This Row],[EMP]],[1]LOJA!$A:$B,2,0)</f>
        <v>AG LINDAS</v>
      </c>
      <c r="E6959">
        <v>240</v>
      </c>
      <c r="F6959" t="s">
        <v>4544</v>
      </c>
      <c r="G6959" t="s">
        <v>3437</v>
      </c>
      <c r="H6959" t="s">
        <v>3401</v>
      </c>
      <c r="I6959">
        <v>5405</v>
      </c>
      <c r="J6959" s="3">
        <v>382.83</v>
      </c>
      <c r="K6959" s="3">
        <v>199.19</v>
      </c>
      <c r="L6959">
        <v>47.97</v>
      </c>
    </row>
    <row r="6960" spans="1:12">
      <c r="A6960" s="1">
        <v>46050</v>
      </c>
      <c r="B6960" t="s">
        <v>4543</v>
      </c>
      <c r="C6960">
        <v>16</v>
      </c>
      <c r="D6960" t="str">
        <f>VLOOKUP(Tabela26[[#This Row],[EMP]],[1]LOJA!$A:$B,2,0)</f>
        <v>AG LINDAS</v>
      </c>
      <c r="E6960">
        <v>240</v>
      </c>
      <c r="F6960" t="s">
        <v>4542</v>
      </c>
      <c r="G6960" t="s">
        <v>3437</v>
      </c>
      <c r="H6960" t="s">
        <v>3401</v>
      </c>
      <c r="I6960">
        <v>5102</v>
      </c>
      <c r="J6960" s="3">
        <v>333.2</v>
      </c>
      <c r="K6960" s="3">
        <v>227.86</v>
      </c>
      <c r="L6960">
        <v>31.61</v>
      </c>
    </row>
    <row r="6961" spans="1:12">
      <c r="A6961" s="1">
        <v>46050</v>
      </c>
      <c r="B6961" t="s">
        <v>4541</v>
      </c>
      <c r="C6961">
        <v>16</v>
      </c>
      <c r="D6961" t="str">
        <f>VLOOKUP(Tabela26[[#This Row],[EMP]],[1]LOJA!$A:$B,2,0)</f>
        <v>AG LINDAS</v>
      </c>
      <c r="E6961">
        <v>240</v>
      </c>
      <c r="F6961" t="s">
        <v>4540</v>
      </c>
      <c r="G6961" t="s">
        <v>3437</v>
      </c>
      <c r="H6961" t="s">
        <v>3401</v>
      </c>
      <c r="I6961">
        <v>5102</v>
      </c>
      <c r="J6961" s="3">
        <v>360</v>
      </c>
      <c r="K6961" s="3">
        <v>210.34</v>
      </c>
      <c r="L6961">
        <v>41.57</v>
      </c>
    </row>
    <row r="6962" spans="1:12">
      <c r="A6962" s="1">
        <v>46050</v>
      </c>
      <c r="B6962" t="s">
        <v>4539</v>
      </c>
      <c r="C6962">
        <v>16</v>
      </c>
      <c r="D6962" t="str">
        <f>VLOOKUP(Tabela26[[#This Row],[EMP]],[1]LOJA!$A:$B,2,0)</f>
        <v>AG LINDAS</v>
      </c>
      <c r="E6962">
        <v>240</v>
      </c>
      <c r="F6962" t="s">
        <v>3780</v>
      </c>
      <c r="G6962" t="s">
        <v>3437</v>
      </c>
      <c r="H6962" t="s">
        <v>3401</v>
      </c>
      <c r="I6962">
        <v>5102</v>
      </c>
      <c r="J6962" s="3">
        <v>22</v>
      </c>
      <c r="K6962" s="3">
        <v>12.03</v>
      </c>
      <c r="L6962">
        <v>45.32</v>
      </c>
    </row>
    <row r="6963" spans="1:12">
      <c r="A6963" s="1">
        <v>46050</v>
      </c>
      <c r="B6963" t="s">
        <v>4538</v>
      </c>
      <c r="C6963">
        <v>16</v>
      </c>
      <c r="D6963" t="str">
        <f>VLOOKUP(Tabela26[[#This Row],[EMP]],[1]LOJA!$A:$B,2,0)</f>
        <v>AG LINDAS</v>
      </c>
      <c r="E6963">
        <v>240</v>
      </c>
      <c r="F6963" t="s">
        <v>3799</v>
      </c>
      <c r="G6963" t="s">
        <v>3798</v>
      </c>
      <c r="H6963" t="s">
        <v>3401</v>
      </c>
      <c r="I6963">
        <v>5102</v>
      </c>
      <c r="J6963" s="3">
        <v>118.8</v>
      </c>
      <c r="K6963" s="3">
        <v>77.8</v>
      </c>
      <c r="L6963">
        <v>34.51</v>
      </c>
    </row>
    <row r="6964" spans="1:12">
      <c r="A6964" s="1">
        <v>46050</v>
      </c>
      <c r="B6964" t="s">
        <v>4537</v>
      </c>
      <c r="C6964">
        <v>16</v>
      </c>
      <c r="D6964" t="str">
        <f>VLOOKUP(Tabela26[[#This Row],[EMP]],[1]LOJA!$A:$B,2,0)</f>
        <v>AG LINDAS</v>
      </c>
      <c r="E6964">
        <v>240</v>
      </c>
      <c r="F6964" t="s">
        <v>4536</v>
      </c>
      <c r="G6964" t="s">
        <v>3437</v>
      </c>
      <c r="H6964" t="s">
        <v>3401</v>
      </c>
      <c r="I6964">
        <v>5405</v>
      </c>
      <c r="J6964" s="3">
        <v>132.44999999999999</v>
      </c>
      <c r="K6964" s="3">
        <v>67.37</v>
      </c>
      <c r="L6964">
        <v>49.14</v>
      </c>
    </row>
    <row r="6965" spans="1:12">
      <c r="A6965" s="1">
        <v>46050</v>
      </c>
      <c r="B6965" t="s">
        <v>4535</v>
      </c>
      <c r="C6965">
        <v>16</v>
      </c>
      <c r="D6965" t="str">
        <f>VLOOKUP(Tabela26[[#This Row],[EMP]],[1]LOJA!$A:$B,2,0)</f>
        <v>AG LINDAS</v>
      </c>
      <c r="E6965">
        <v>240</v>
      </c>
      <c r="F6965" t="s">
        <v>4534</v>
      </c>
      <c r="G6965" t="s">
        <v>4533</v>
      </c>
      <c r="H6965" t="s">
        <v>3401</v>
      </c>
      <c r="I6965">
        <v>5405</v>
      </c>
      <c r="J6965" s="3">
        <v>138.80000000000001</v>
      </c>
      <c r="K6965" s="3">
        <v>76.81</v>
      </c>
      <c r="L6965">
        <v>44.66</v>
      </c>
    </row>
    <row r="6966" spans="1:12">
      <c r="A6966" s="1">
        <v>46050</v>
      </c>
      <c r="B6966" t="s">
        <v>4532</v>
      </c>
      <c r="C6966">
        <v>16</v>
      </c>
      <c r="D6966" t="str">
        <f>VLOOKUP(Tabela26[[#This Row],[EMP]],[1]LOJA!$A:$B,2,0)</f>
        <v>AG LINDAS</v>
      </c>
      <c r="E6966">
        <v>240</v>
      </c>
      <c r="F6966" t="s">
        <v>4531</v>
      </c>
      <c r="G6966" t="s">
        <v>3437</v>
      </c>
      <c r="H6966" t="s">
        <v>3401</v>
      </c>
      <c r="I6966">
        <v>5405</v>
      </c>
      <c r="J6966" s="3">
        <v>60</v>
      </c>
      <c r="K6966" s="3">
        <v>32.950000000000003</v>
      </c>
      <c r="L6966">
        <v>45.08</v>
      </c>
    </row>
    <row r="6967" spans="1:12">
      <c r="A6967" s="1">
        <v>46050</v>
      </c>
      <c r="B6967" t="s">
        <v>4530</v>
      </c>
      <c r="C6967">
        <v>16</v>
      </c>
      <c r="D6967" t="str">
        <f>VLOOKUP(Tabela26[[#This Row],[EMP]],[1]LOJA!$A:$B,2,0)</f>
        <v>AG LINDAS</v>
      </c>
      <c r="E6967">
        <v>240</v>
      </c>
      <c r="F6967" t="s">
        <v>3780</v>
      </c>
      <c r="G6967" t="s">
        <v>3437</v>
      </c>
      <c r="H6967" t="s">
        <v>3401</v>
      </c>
      <c r="I6967">
        <v>5405</v>
      </c>
      <c r="J6967" s="3">
        <v>30</v>
      </c>
      <c r="K6967" s="3">
        <v>13.63</v>
      </c>
      <c r="L6967">
        <v>54.57</v>
      </c>
    </row>
    <row r="6968" spans="1:12">
      <c r="A6968" s="1">
        <v>46050</v>
      </c>
      <c r="B6968" t="s">
        <v>4529</v>
      </c>
      <c r="C6968">
        <v>16</v>
      </c>
      <c r="D6968" t="str">
        <f>VLOOKUP(Tabela26[[#This Row],[EMP]],[1]LOJA!$A:$B,2,0)</f>
        <v>AG LINDAS</v>
      </c>
      <c r="E6968">
        <v>240</v>
      </c>
      <c r="F6968" t="s">
        <v>4528</v>
      </c>
      <c r="G6968" t="s">
        <v>3437</v>
      </c>
      <c r="H6968" t="s">
        <v>3401</v>
      </c>
      <c r="I6968">
        <v>5405</v>
      </c>
      <c r="J6968" s="3">
        <v>40</v>
      </c>
      <c r="K6968" s="3">
        <v>20.71</v>
      </c>
      <c r="L6968">
        <v>48.23</v>
      </c>
    </row>
    <row r="6969" spans="1:12">
      <c r="A6969" s="1">
        <v>46050</v>
      </c>
      <c r="B6969" t="s">
        <v>4527</v>
      </c>
      <c r="C6969">
        <v>16</v>
      </c>
      <c r="D6969" t="str">
        <f>VLOOKUP(Tabela26[[#This Row],[EMP]],[1]LOJA!$A:$B,2,0)</f>
        <v>AG LINDAS</v>
      </c>
      <c r="E6969">
        <v>240</v>
      </c>
      <c r="F6969" t="s">
        <v>3858</v>
      </c>
      <c r="G6969" t="s">
        <v>3437</v>
      </c>
      <c r="H6969" t="s">
        <v>3401</v>
      </c>
      <c r="I6969">
        <v>5102</v>
      </c>
      <c r="J6969" s="3">
        <v>20</v>
      </c>
      <c r="K6969" s="3">
        <v>15.4</v>
      </c>
      <c r="L6969">
        <v>23</v>
      </c>
    </row>
    <row r="6970" spans="1:12">
      <c r="A6970" s="1">
        <v>46050</v>
      </c>
      <c r="B6970" t="s">
        <v>4526</v>
      </c>
      <c r="C6970">
        <v>16</v>
      </c>
      <c r="D6970" t="str">
        <f>VLOOKUP(Tabela26[[#This Row],[EMP]],[1]LOJA!$A:$B,2,0)</f>
        <v>AG LINDAS</v>
      </c>
      <c r="E6970">
        <v>240</v>
      </c>
      <c r="F6970" t="s">
        <v>4525</v>
      </c>
      <c r="G6970" t="s">
        <v>4524</v>
      </c>
      <c r="H6970" t="s">
        <v>3408</v>
      </c>
      <c r="I6970">
        <v>5405</v>
      </c>
      <c r="J6970" s="3">
        <v>1847.47</v>
      </c>
      <c r="K6970" s="3">
        <v>1099.99</v>
      </c>
      <c r="L6970">
        <v>40.46</v>
      </c>
    </row>
    <row r="6971" spans="1:12">
      <c r="A6971" s="1">
        <v>46050</v>
      </c>
      <c r="B6971" t="s">
        <v>4523</v>
      </c>
      <c r="C6971">
        <v>16</v>
      </c>
      <c r="D6971" t="str">
        <f>VLOOKUP(Tabela26[[#This Row],[EMP]],[1]LOJA!$A:$B,2,0)</f>
        <v>AG LINDAS</v>
      </c>
      <c r="E6971">
        <v>240</v>
      </c>
      <c r="F6971" t="s">
        <v>3438</v>
      </c>
      <c r="G6971" t="s">
        <v>3437</v>
      </c>
      <c r="H6971" t="s">
        <v>3401</v>
      </c>
      <c r="I6971">
        <v>5405</v>
      </c>
      <c r="J6971" s="3">
        <v>198.8</v>
      </c>
      <c r="K6971" s="3">
        <v>100.97</v>
      </c>
      <c r="L6971">
        <v>49.21</v>
      </c>
    </row>
    <row r="6972" spans="1:12">
      <c r="A6972" s="1">
        <v>46050</v>
      </c>
      <c r="B6972" t="s">
        <v>4522</v>
      </c>
      <c r="C6972">
        <v>16</v>
      </c>
      <c r="D6972" t="str">
        <f>VLOOKUP(Tabela26[[#This Row],[EMP]],[1]LOJA!$A:$B,2,0)</f>
        <v>AG LINDAS</v>
      </c>
      <c r="E6972">
        <v>240</v>
      </c>
      <c r="F6972" t="s">
        <v>4516</v>
      </c>
      <c r="G6972" t="s">
        <v>4515</v>
      </c>
      <c r="H6972" t="s">
        <v>3408</v>
      </c>
      <c r="I6972">
        <v>5102</v>
      </c>
      <c r="J6972" s="3">
        <v>39</v>
      </c>
      <c r="K6972" s="3">
        <v>23.2</v>
      </c>
      <c r="L6972">
        <v>40.51</v>
      </c>
    </row>
    <row r="6973" spans="1:12">
      <c r="A6973" s="1">
        <v>46050</v>
      </c>
      <c r="B6973" t="s">
        <v>4521</v>
      </c>
      <c r="C6973">
        <v>16</v>
      </c>
      <c r="D6973" t="str">
        <f>VLOOKUP(Tabela26[[#This Row],[EMP]],[1]LOJA!$A:$B,2,0)</f>
        <v>AG LINDAS</v>
      </c>
      <c r="E6973">
        <v>240</v>
      </c>
      <c r="F6973" t="s">
        <v>3780</v>
      </c>
      <c r="G6973" t="s">
        <v>3437</v>
      </c>
      <c r="H6973" t="s">
        <v>3401</v>
      </c>
      <c r="I6973">
        <v>5102</v>
      </c>
      <c r="J6973" s="3">
        <v>40</v>
      </c>
      <c r="K6973" s="3">
        <v>25.02</v>
      </c>
      <c r="L6973">
        <v>37.450000000000003</v>
      </c>
    </row>
    <row r="6974" spans="1:12">
      <c r="A6974" s="1">
        <v>46050</v>
      </c>
      <c r="B6974" t="s">
        <v>4520</v>
      </c>
      <c r="C6974">
        <v>16</v>
      </c>
      <c r="D6974" t="str">
        <f>VLOOKUP(Tabela26[[#This Row],[EMP]],[1]LOJA!$A:$B,2,0)</f>
        <v>AG LINDAS</v>
      </c>
      <c r="E6974">
        <v>240</v>
      </c>
      <c r="F6974" t="s">
        <v>4519</v>
      </c>
      <c r="G6974" t="s">
        <v>3437</v>
      </c>
      <c r="H6974" t="s">
        <v>3408</v>
      </c>
      <c r="I6974">
        <v>5102</v>
      </c>
      <c r="J6974" s="3">
        <v>142.4</v>
      </c>
      <c r="K6974" s="3">
        <v>90.53</v>
      </c>
      <c r="L6974">
        <v>36.43</v>
      </c>
    </row>
    <row r="6975" spans="1:12">
      <c r="A6975" s="1">
        <v>46050</v>
      </c>
      <c r="B6975" t="s">
        <v>4518</v>
      </c>
      <c r="C6975">
        <v>16</v>
      </c>
      <c r="D6975" t="str">
        <f>VLOOKUP(Tabela26[[#This Row],[EMP]],[1]LOJA!$A:$B,2,0)</f>
        <v>AG LINDAS</v>
      </c>
      <c r="E6975">
        <v>240</v>
      </c>
      <c r="F6975" t="s">
        <v>3780</v>
      </c>
      <c r="G6975" t="s">
        <v>3437</v>
      </c>
      <c r="H6975" t="s">
        <v>3401</v>
      </c>
      <c r="I6975">
        <v>5102</v>
      </c>
      <c r="J6975" s="3">
        <v>20</v>
      </c>
      <c r="K6975" s="3">
        <v>12.51</v>
      </c>
      <c r="L6975">
        <v>37.450000000000003</v>
      </c>
    </row>
    <row r="6976" spans="1:12">
      <c r="A6976" s="1">
        <v>46050</v>
      </c>
      <c r="B6976" t="s">
        <v>4517</v>
      </c>
      <c r="C6976">
        <v>16</v>
      </c>
      <c r="D6976" t="str">
        <f>VLOOKUP(Tabela26[[#This Row],[EMP]],[1]LOJA!$A:$B,2,0)</f>
        <v>AG LINDAS</v>
      </c>
      <c r="E6976">
        <v>240</v>
      </c>
      <c r="F6976" t="s">
        <v>4516</v>
      </c>
      <c r="G6976" t="s">
        <v>4515</v>
      </c>
      <c r="H6976" t="s">
        <v>3401</v>
      </c>
      <c r="I6976">
        <v>5102</v>
      </c>
      <c r="J6976" s="3">
        <v>30</v>
      </c>
      <c r="K6976" s="3">
        <v>18.62</v>
      </c>
      <c r="L6976">
        <v>37.93</v>
      </c>
    </row>
    <row r="6977" spans="1:12">
      <c r="A6977" s="1">
        <v>46050</v>
      </c>
      <c r="B6977" t="s">
        <v>4514</v>
      </c>
      <c r="C6977">
        <v>16</v>
      </c>
      <c r="D6977" t="str">
        <f>VLOOKUP(Tabela26[[#This Row],[EMP]],[1]LOJA!$A:$B,2,0)</f>
        <v>AG LINDAS</v>
      </c>
      <c r="E6977">
        <v>240</v>
      </c>
      <c r="F6977" t="s">
        <v>4513</v>
      </c>
      <c r="G6977" t="s">
        <v>3437</v>
      </c>
      <c r="H6977" t="s">
        <v>3408</v>
      </c>
      <c r="I6977">
        <v>5102</v>
      </c>
      <c r="J6977" s="3">
        <v>40</v>
      </c>
      <c r="K6977" s="3">
        <v>30.8</v>
      </c>
      <c r="L6977">
        <v>23</v>
      </c>
    </row>
    <row r="6978" spans="1:12">
      <c r="A6978" s="1">
        <v>46050</v>
      </c>
      <c r="B6978" t="s">
        <v>4512</v>
      </c>
      <c r="C6978">
        <v>16</v>
      </c>
      <c r="D6978" t="str">
        <f>VLOOKUP(Tabela26[[#This Row],[EMP]],[1]LOJA!$A:$B,2,0)</f>
        <v>AG LINDAS</v>
      </c>
      <c r="E6978">
        <v>240</v>
      </c>
      <c r="F6978" t="s">
        <v>4511</v>
      </c>
      <c r="G6978" t="s">
        <v>4510</v>
      </c>
      <c r="H6978" t="s">
        <v>3401</v>
      </c>
      <c r="I6978">
        <v>5102</v>
      </c>
      <c r="J6978" s="3">
        <v>74.900000000000006</v>
      </c>
      <c r="K6978" s="3">
        <v>54.56</v>
      </c>
      <c r="L6978">
        <v>27.16</v>
      </c>
    </row>
    <row r="6979" spans="1:12">
      <c r="A6979" s="1">
        <v>46050</v>
      </c>
      <c r="B6979" t="s">
        <v>4509</v>
      </c>
      <c r="C6979">
        <v>16</v>
      </c>
      <c r="D6979" t="str">
        <f>VLOOKUP(Tabela26[[#This Row],[EMP]],[1]LOJA!$A:$B,2,0)</f>
        <v>AG LINDAS</v>
      </c>
      <c r="E6979">
        <v>240</v>
      </c>
      <c r="F6979" t="s">
        <v>4508</v>
      </c>
      <c r="G6979" t="s">
        <v>3437</v>
      </c>
      <c r="H6979" t="s">
        <v>3401</v>
      </c>
      <c r="I6979">
        <v>5102</v>
      </c>
      <c r="J6979" s="3">
        <v>42</v>
      </c>
      <c r="K6979" s="3">
        <v>23.44</v>
      </c>
      <c r="L6979">
        <v>44.19</v>
      </c>
    </row>
    <row r="6980" spans="1:12">
      <c r="A6980" s="1">
        <v>46050</v>
      </c>
      <c r="B6980" t="s">
        <v>4507</v>
      </c>
      <c r="C6980">
        <v>16</v>
      </c>
      <c r="D6980" t="str">
        <f>VLOOKUP(Tabela26[[#This Row],[EMP]],[1]LOJA!$A:$B,2,0)</f>
        <v>AG LINDAS</v>
      </c>
      <c r="E6980">
        <v>240</v>
      </c>
      <c r="F6980" t="s">
        <v>4506</v>
      </c>
      <c r="G6980" t="s">
        <v>4505</v>
      </c>
      <c r="H6980" t="s">
        <v>3401</v>
      </c>
      <c r="I6980">
        <v>5102</v>
      </c>
      <c r="J6980" s="3">
        <v>49.9</v>
      </c>
      <c r="K6980" s="3">
        <v>24.43</v>
      </c>
      <c r="L6980">
        <v>51.04</v>
      </c>
    </row>
    <row r="6981" spans="1:12">
      <c r="A6981" s="1">
        <v>46050</v>
      </c>
      <c r="B6981" t="s">
        <v>4504</v>
      </c>
      <c r="C6981">
        <v>16</v>
      </c>
      <c r="D6981" t="str">
        <f>VLOOKUP(Tabela26[[#This Row],[EMP]],[1]LOJA!$A:$B,2,0)</f>
        <v>AG LINDAS</v>
      </c>
      <c r="E6981">
        <v>240</v>
      </c>
      <c r="F6981" t="s">
        <v>4503</v>
      </c>
      <c r="G6981" t="s">
        <v>3437</v>
      </c>
      <c r="H6981" t="s">
        <v>3401</v>
      </c>
      <c r="I6981">
        <v>5102</v>
      </c>
      <c r="J6981" s="3">
        <v>31</v>
      </c>
      <c r="K6981" s="3">
        <v>18.02</v>
      </c>
      <c r="L6981">
        <v>41.87</v>
      </c>
    </row>
    <row r="6982" spans="1:12">
      <c r="A6982" s="1">
        <v>46050</v>
      </c>
      <c r="B6982" t="s">
        <v>4502</v>
      </c>
      <c r="C6982">
        <v>16</v>
      </c>
      <c r="D6982" t="str">
        <f>VLOOKUP(Tabela26[[#This Row],[EMP]],[1]LOJA!$A:$B,2,0)</f>
        <v>AG LINDAS</v>
      </c>
      <c r="E6982">
        <v>240</v>
      </c>
      <c r="F6982" t="s">
        <v>4501</v>
      </c>
      <c r="G6982" t="s">
        <v>3437</v>
      </c>
      <c r="H6982" t="s">
        <v>3408</v>
      </c>
      <c r="I6982">
        <v>5102</v>
      </c>
      <c r="J6982" s="3">
        <v>101.8</v>
      </c>
      <c r="K6982" s="3">
        <v>65.38</v>
      </c>
      <c r="L6982">
        <v>35.78</v>
      </c>
    </row>
    <row r="6983" spans="1:12">
      <c r="A6983" s="1">
        <v>46050</v>
      </c>
      <c r="B6983" t="s">
        <v>4500</v>
      </c>
      <c r="C6983">
        <v>14</v>
      </c>
      <c r="D6983" t="str">
        <f>VLOOKUP(Tabela26[[#This Row],[EMP]],[1]LOJA!$A:$B,2,0)</f>
        <v>S IA</v>
      </c>
      <c r="E6983">
        <v>54</v>
      </c>
      <c r="F6983" t="s">
        <v>3772</v>
      </c>
      <c r="G6983" t="s">
        <v>3771</v>
      </c>
      <c r="H6983" t="s">
        <v>3430</v>
      </c>
      <c r="I6983">
        <v>5405</v>
      </c>
      <c r="J6983" s="3">
        <v>62.3</v>
      </c>
      <c r="K6983" s="3">
        <v>30.66</v>
      </c>
      <c r="L6983">
        <v>50.79</v>
      </c>
    </row>
    <row r="6984" spans="1:12">
      <c r="A6984" s="1">
        <v>46050</v>
      </c>
      <c r="B6984" t="s">
        <v>4499</v>
      </c>
      <c r="C6984">
        <v>14</v>
      </c>
      <c r="D6984" t="str">
        <f>VLOOKUP(Tabela26[[#This Row],[EMP]],[1]LOJA!$A:$B,2,0)</f>
        <v>S IA</v>
      </c>
      <c r="E6984">
        <v>54</v>
      </c>
      <c r="F6984" t="s">
        <v>4498</v>
      </c>
      <c r="G6984" t="s">
        <v>4497</v>
      </c>
      <c r="H6984" t="s">
        <v>3430</v>
      </c>
      <c r="I6984">
        <v>5405</v>
      </c>
      <c r="J6984" s="3">
        <v>972.18</v>
      </c>
      <c r="K6984" s="3">
        <v>390.89</v>
      </c>
      <c r="L6984">
        <v>59.79</v>
      </c>
    </row>
    <row r="6985" spans="1:12">
      <c r="A6985" s="1">
        <v>46050</v>
      </c>
      <c r="B6985" t="s">
        <v>4496</v>
      </c>
      <c r="C6985">
        <v>14</v>
      </c>
      <c r="D6985" t="str">
        <f>VLOOKUP(Tabela26[[#This Row],[EMP]],[1]LOJA!$A:$B,2,0)</f>
        <v>S IA</v>
      </c>
      <c r="E6985">
        <v>54</v>
      </c>
      <c r="F6985" t="s">
        <v>4495</v>
      </c>
      <c r="G6985" t="s">
        <v>4494</v>
      </c>
      <c r="H6985" t="s">
        <v>3408</v>
      </c>
      <c r="I6985">
        <v>5405</v>
      </c>
      <c r="J6985" s="3">
        <v>715</v>
      </c>
      <c r="K6985" s="3">
        <v>342.89</v>
      </c>
      <c r="L6985">
        <v>52.04</v>
      </c>
    </row>
    <row r="6986" spans="1:12">
      <c r="A6986" s="1">
        <v>46050</v>
      </c>
      <c r="B6986" t="s">
        <v>4493</v>
      </c>
      <c r="C6986">
        <v>14</v>
      </c>
      <c r="D6986" t="str">
        <f>VLOOKUP(Tabela26[[#This Row],[EMP]],[1]LOJA!$A:$B,2,0)</f>
        <v>S IA</v>
      </c>
      <c r="E6986">
        <v>54</v>
      </c>
      <c r="F6986" t="s">
        <v>3983</v>
      </c>
      <c r="G6986" t="s">
        <v>3982</v>
      </c>
      <c r="H6986" t="s">
        <v>3401</v>
      </c>
      <c r="I6986">
        <v>5102</v>
      </c>
      <c r="J6986" s="3">
        <v>180</v>
      </c>
      <c r="K6986" s="3">
        <v>103.68</v>
      </c>
      <c r="L6986">
        <v>42.4</v>
      </c>
    </row>
    <row r="6987" spans="1:12">
      <c r="A6987" s="1">
        <v>46050</v>
      </c>
      <c r="B6987" t="s">
        <v>4492</v>
      </c>
      <c r="C6987">
        <v>14</v>
      </c>
      <c r="D6987" t="str">
        <f>VLOOKUP(Tabela26[[#This Row],[EMP]],[1]LOJA!$A:$B,2,0)</f>
        <v>S IA</v>
      </c>
      <c r="E6987">
        <v>54</v>
      </c>
      <c r="F6987" t="s">
        <v>3772</v>
      </c>
      <c r="G6987" t="s">
        <v>3771</v>
      </c>
      <c r="H6987" t="s">
        <v>3430</v>
      </c>
      <c r="I6987">
        <v>5405</v>
      </c>
      <c r="J6987" s="3">
        <v>54.32</v>
      </c>
      <c r="K6987" s="3">
        <v>25.93</v>
      </c>
      <c r="L6987">
        <v>52.26</v>
      </c>
    </row>
    <row r="6988" spans="1:12">
      <c r="A6988" s="1">
        <v>46050</v>
      </c>
      <c r="B6988" t="s">
        <v>4491</v>
      </c>
      <c r="C6988">
        <v>14</v>
      </c>
      <c r="D6988" t="str">
        <f>VLOOKUP(Tabela26[[#This Row],[EMP]],[1]LOJA!$A:$B,2,0)</f>
        <v>S IA</v>
      </c>
      <c r="E6988">
        <v>54</v>
      </c>
      <c r="F6988" t="s">
        <v>3762</v>
      </c>
      <c r="G6988" t="s">
        <v>3761</v>
      </c>
      <c r="H6988" t="s">
        <v>3430</v>
      </c>
      <c r="I6988">
        <v>5405</v>
      </c>
      <c r="J6988" s="3">
        <v>301.57</v>
      </c>
      <c r="K6988" s="3">
        <v>142.41</v>
      </c>
      <c r="L6988">
        <v>52.78</v>
      </c>
    </row>
    <row r="6989" spans="1:12">
      <c r="A6989" s="1">
        <v>46050</v>
      </c>
      <c r="B6989" t="s">
        <v>4490</v>
      </c>
      <c r="C6989">
        <v>14</v>
      </c>
      <c r="D6989" t="str">
        <f>VLOOKUP(Tabela26[[#This Row],[EMP]],[1]LOJA!$A:$B,2,0)</f>
        <v>S IA</v>
      </c>
      <c r="E6989">
        <v>54</v>
      </c>
      <c r="F6989" t="s">
        <v>4404</v>
      </c>
      <c r="G6989" t="s">
        <v>4403</v>
      </c>
      <c r="H6989" t="s">
        <v>3408</v>
      </c>
      <c r="I6989">
        <v>5405</v>
      </c>
      <c r="J6989" s="3">
        <v>45</v>
      </c>
      <c r="K6989" s="3">
        <v>20.71</v>
      </c>
      <c r="L6989">
        <v>53.98</v>
      </c>
    </row>
    <row r="6990" spans="1:12">
      <c r="A6990" s="1">
        <v>46050</v>
      </c>
      <c r="B6990" t="s">
        <v>4489</v>
      </c>
      <c r="C6990">
        <v>14</v>
      </c>
      <c r="D6990" t="str">
        <f>VLOOKUP(Tabela26[[#This Row],[EMP]],[1]LOJA!$A:$B,2,0)</f>
        <v>S IA</v>
      </c>
      <c r="E6990">
        <v>54</v>
      </c>
      <c r="F6990" t="s">
        <v>4488</v>
      </c>
      <c r="G6990" t="s">
        <v>4487</v>
      </c>
      <c r="H6990" t="s">
        <v>3401</v>
      </c>
      <c r="I6990">
        <v>5405</v>
      </c>
      <c r="J6990" s="3">
        <v>530</v>
      </c>
      <c r="K6990" s="3">
        <v>312.69</v>
      </c>
      <c r="L6990">
        <v>41</v>
      </c>
    </row>
    <row r="6991" spans="1:12">
      <c r="A6991" s="1">
        <v>46050</v>
      </c>
      <c r="B6991" t="s">
        <v>4486</v>
      </c>
      <c r="C6991">
        <v>14</v>
      </c>
      <c r="D6991" t="str">
        <f>VLOOKUP(Tabela26[[#This Row],[EMP]],[1]LOJA!$A:$B,2,0)</f>
        <v>S IA</v>
      </c>
      <c r="E6991">
        <v>54</v>
      </c>
      <c r="F6991" t="s">
        <v>4485</v>
      </c>
      <c r="G6991" t="s">
        <v>4484</v>
      </c>
      <c r="H6991" t="s">
        <v>3401</v>
      </c>
      <c r="I6991">
        <v>5405</v>
      </c>
      <c r="J6991" s="3">
        <v>94.9</v>
      </c>
      <c r="K6991" s="3">
        <v>35.909999999999997</v>
      </c>
      <c r="L6991">
        <v>62.16</v>
      </c>
    </row>
    <row r="6992" spans="1:12">
      <c r="A6992" s="1">
        <v>46050</v>
      </c>
      <c r="B6992" t="s">
        <v>4483</v>
      </c>
      <c r="C6992">
        <v>14</v>
      </c>
      <c r="D6992" t="str">
        <f>VLOOKUP(Tabela26[[#This Row],[EMP]],[1]LOJA!$A:$B,2,0)</f>
        <v>S IA</v>
      </c>
      <c r="E6992">
        <v>54</v>
      </c>
      <c r="F6992" t="s">
        <v>4482</v>
      </c>
      <c r="G6992" t="s">
        <v>4481</v>
      </c>
      <c r="H6992" t="s">
        <v>3401</v>
      </c>
      <c r="I6992">
        <v>5405</v>
      </c>
      <c r="J6992" s="3">
        <v>560</v>
      </c>
      <c r="K6992" s="3">
        <v>322.48</v>
      </c>
      <c r="L6992">
        <v>42.41</v>
      </c>
    </row>
    <row r="6993" spans="1:12">
      <c r="A6993" s="1">
        <v>46050</v>
      </c>
      <c r="B6993" t="s">
        <v>4480</v>
      </c>
      <c r="C6993">
        <v>14</v>
      </c>
      <c r="D6993" t="str">
        <f>VLOOKUP(Tabela26[[#This Row],[EMP]],[1]LOJA!$A:$B,2,0)</f>
        <v>S IA</v>
      </c>
      <c r="E6993">
        <v>54</v>
      </c>
      <c r="F6993" t="s">
        <v>3769</v>
      </c>
      <c r="G6993" t="s">
        <v>3768</v>
      </c>
      <c r="H6993" t="s">
        <v>3408</v>
      </c>
      <c r="I6993">
        <v>5405</v>
      </c>
      <c r="J6993" s="3">
        <v>28</v>
      </c>
      <c r="K6993" s="3">
        <v>11.06</v>
      </c>
      <c r="L6993">
        <v>60.5</v>
      </c>
    </row>
    <row r="6994" spans="1:12">
      <c r="A6994" s="1">
        <v>46050</v>
      </c>
      <c r="B6994" t="s">
        <v>4479</v>
      </c>
      <c r="C6994">
        <v>14</v>
      </c>
      <c r="D6994" t="str">
        <f>VLOOKUP(Tabela26[[#This Row],[EMP]],[1]LOJA!$A:$B,2,0)</f>
        <v>S IA</v>
      </c>
      <c r="E6994">
        <v>54</v>
      </c>
      <c r="F6994" t="s">
        <v>4478</v>
      </c>
      <c r="G6994" t="s">
        <v>4477</v>
      </c>
      <c r="H6994" t="s">
        <v>3401</v>
      </c>
      <c r="I6994">
        <v>5102</v>
      </c>
      <c r="J6994" s="3">
        <v>12.4</v>
      </c>
      <c r="K6994" s="3">
        <v>5.3</v>
      </c>
      <c r="L6994">
        <v>57.26</v>
      </c>
    </row>
    <row r="6995" spans="1:12">
      <c r="A6995" s="1">
        <v>46050</v>
      </c>
      <c r="B6995" t="s">
        <v>4476</v>
      </c>
      <c r="C6995">
        <v>14</v>
      </c>
      <c r="D6995" t="str">
        <f>VLOOKUP(Tabela26[[#This Row],[EMP]],[1]LOJA!$A:$B,2,0)</f>
        <v>S IA</v>
      </c>
      <c r="E6995">
        <v>54</v>
      </c>
      <c r="F6995" t="s">
        <v>4475</v>
      </c>
      <c r="G6995" t="s">
        <v>4474</v>
      </c>
      <c r="H6995" t="s">
        <v>3401</v>
      </c>
      <c r="I6995">
        <v>5405</v>
      </c>
      <c r="J6995" s="3">
        <v>780</v>
      </c>
      <c r="K6995" s="3">
        <v>391.85</v>
      </c>
      <c r="L6995">
        <v>49.76</v>
      </c>
    </row>
    <row r="6996" spans="1:12">
      <c r="A6996" s="1">
        <v>46050</v>
      </c>
      <c r="B6996" t="s">
        <v>4473</v>
      </c>
      <c r="C6996">
        <v>14</v>
      </c>
      <c r="D6996" t="str">
        <f>VLOOKUP(Tabela26[[#This Row],[EMP]],[1]LOJA!$A:$B,2,0)</f>
        <v>S IA</v>
      </c>
      <c r="E6996">
        <v>54</v>
      </c>
      <c r="F6996" t="s">
        <v>3983</v>
      </c>
      <c r="G6996" t="s">
        <v>3982</v>
      </c>
      <c r="H6996" t="s">
        <v>3401</v>
      </c>
      <c r="I6996">
        <v>5102</v>
      </c>
      <c r="J6996" s="3">
        <v>39.9</v>
      </c>
      <c r="K6996" s="3">
        <v>17.77</v>
      </c>
      <c r="L6996">
        <v>55.46</v>
      </c>
    </row>
    <row r="6997" spans="1:12">
      <c r="A6997" s="1">
        <v>46050</v>
      </c>
      <c r="B6997" t="s">
        <v>4472</v>
      </c>
      <c r="C6997">
        <v>14</v>
      </c>
      <c r="D6997" t="str">
        <f>VLOOKUP(Tabela26[[#This Row],[EMP]],[1]LOJA!$A:$B,2,0)</f>
        <v>S IA</v>
      </c>
      <c r="E6997">
        <v>54</v>
      </c>
      <c r="F6997" t="s">
        <v>3769</v>
      </c>
      <c r="G6997" t="s">
        <v>3768</v>
      </c>
      <c r="H6997" t="s">
        <v>3408</v>
      </c>
      <c r="I6997">
        <v>5405</v>
      </c>
      <c r="J6997" s="3">
        <v>56</v>
      </c>
      <c r="K6997" s="3">
        <v>23.27</v>
      </c>
      <c r="L6997">
        <v>58.45</v>
      </c>
    </row>
    <row r="6998" spans="1:12">
      <c r="A6998" s="1">
        <v>46050</v>
      </c>
      <c r="B6998" t="s">
        <v>4471</v>
      </c>
      <c r="C6998">
        <v>14</v>
      </c>
      <c r="D6998" t="str">
        <f>VLOOKUP(Tabela26[[#This Row],[EMP]],[1]LOJA!$A:$B,2,0)</f>
        <v>S IA</v>
      </c>
      <c r="E6998">
        <v>54</v>
      </c>
      <c r="F6998" t="s">
        <v>4470</v>
      </c>
      <c r="G6998" t="s">
        <v>4469</v>
      </c>
      <c r="H6998" t="s">
        <v>3430</v>
      </c>
      <c r="I6998">
        <v>5102</v>
      </c>
      <c r="J6998" s="3">
        <v>135.4</v>
      </c>
      <c r="K6998" s="3">
        <v>79.36</v>
      </c>
      <c r="L6998">
        <v>41.39</v>
      </c>
    </row>
    <row r="6999" spans="1:12">
      <c r="A6999" s="1">
        <v>46050</v>
      </c>
      <c r="B6999" t="s">
        <v>4468</v>
      </c>
      <c r="C6999">
        <v>14</v>
      </c>
      <c r="D6999" t="str">
        <f>VLOOKUP(Tabela26[[#This Row],[EMP]],[1]LOJA!$A:$B,2,0)</f>
        <v>S IA</v>
      </c>
      <c r="E6999">
        <v>54</v>
      </c>
      <c r="F6999" t="s">
        <v>3778</v>
      </c>
      <c r="G6999" t="s">
        <v>3777</v>
      </c>
      <c r="H6999" t="s">
        <v>4249</v>
      </c>
      <c r="I6999">
        <v>5405</v>
      </c>
      <c r="J6999" s="3">
        <v>658.58</v>
      </c>
      <c r="K6999" s="3">
        <v>369.53</v>
      </c>
      <c r="L6999">
        <v>43.89</v>
      </c>
    </row>
    <row r="7000" spans="1:12">
      <c r="A7000" s="1">
        <v>46050</v>
      </c>
      <c r="B7000" t="s">
        <v>4467</v>
      </c>
      <c r="C7000">
        <v>12</v>
      </c>
      <c r="D7000" t="str">
        <f>VLOOKUP(Tabela26[[#This Row],[EMP]],[1]LOJA!$A:$B,2,0)</f>
        <v>SOFNORTE</v>
      </c>
      <c r="E7000">
        <v>60</v>
      </c>
      <c r="F7000" t="s">
        <v>4466</v>
      </c>
      <c r="G7000" t="s">
        <v>4465</v>
      </c>
      <c r="H7000" t="s">
        <v>3408</v>
      </c>
      <c r="I7000">
        <v>5405</v>
      </c>
      <c r="J7000" s="3">
        <v>177</v>
      </c>
      <c r="K7000" s="3">
        <v>81.099999999999994</v>
      </c>
      <c r="L7000">
        <v>54.18</v>
      </c>
    </row>
    <row r="7001" spans="1:12">
      <c r="A7001" s="1">
        <v>46050</v>
      </c>
      <c r="B7001" t="s">
        <v>4464</v>
      </c>
      <c r="C7001">
        <v>12</v>
      </c>
      <c r="D7001" t="str">
        <f>VLOOKUP(Tabela26[[#This Row],[EMP]],[1]LOJA!$A:$B,2,0)</f>
        <v>SOFNORTE</v>
      </c>
      <c r="E7001">
        <v>60</v>
      </c>
      <c r="F7001" t="s">
        <v>3691</v>
      </c>
      <c r="G7001" t="s">
        <v>3690</v>
      </c>
      <c r="H7001" t="s">
        <v>4297</v>
      </c>
      <c r="I7001">
        <v>5405</v>
      </c>
      <c r="J7001" s="3">
        <v>196</v>
      </c>
      <c r="K7001" s="3">
        <v>93.08</v>
      </c>
      <c r="L7001">
        <v>52.51</v>
      </c>
    </row>
    <row r="7002" spans="1:12">
      <c r="A7002" s="1">
        <v>46050</v>
      </c>
      <c r="B7002" t="s">
        <v>4463</v>
      </c>
      <c r="C7002">
        <v>12</v>
      </c>
      <c r="D7002" t="str">
        <f>VLOOKUP(Tabela26[[#This Row],[EMP]],[1]LOJA!$A:$B,2,0)</f>
        <v>SOFNORTE</v>
      </c>
      <c r="E7002">
        <v>239</v>
      </c>
      <c r="F7002" t="s">
        <v>3691</v>
      </c>
      <c r="G7002" t="s">
        <v>3690</v>
      </c>
      <c r="H7002" t="s">
        <v>4297</v>
      </c>
      <c r="I7002">
        <v>5405</v>
      </c>
      <c r="J7002" s="3">
        <v>56.79</v>
      </c>
      <c r="K7002" s="3">
        <v>26.53</v>
      </c>
      <c r="L7002">
        <v>53.28</v>
      </c>
    </row>
    <row r="7003" spans="1:12">
      <c r="A7003" s="1">
        <v>46050</v>
      </c>
      <c r="B7003" t="s">
        <v>4462</v>
      </c>
      <c r="C7003">
        <v>12</v>
      </c>
      <c r="D7003" t="str">
        <f>VLOOKUP(Tabela26[[#This Row],[EMP]],[1]LOJA!$A:$B,2,0)</f>
        <v>SOFNORTE</v>
      </c>
      <c r="E7003">
        <v>239</v>
      </c>
      <c r="F7003" t="s">
        <v>3691</v>
      </c>
      <c r="G7003" t="s">
        <v>3690</v>
      </c>
      <c r="H7003" t="s">
        <v>4297</v>
      </c>
      <c r="I7003">
        <v>5102</v>
      </c>
      <c r="J7003" s="3">
        <v>37.26</v>
      </c>
      <c r="K7003" s="3">
        <v>19.100000000000001</v>
      </c>
      <c r="L7003">
        <v>48.74</v>
      </c>
    </row>
    <row r="7004" spans="1:12">
      <c r="A7004" s="1">
        <v>46050</v>
      </c>
      <c r="B7004" t="s">
        <v>4461</v>
      </c>
      <c r="C7004">
        <v>12</v>
      </c>
      <c r="D7004" t="str">
        <f>VLOOKUP(Tabela26[[#This Row],[EMP]],[1]LOJA!$A:$B,2,0)</f>
        <v>SOFNORTE</v>
      </c>
      <c r="E7004">
        <v>60</v>
      </c>
      <c r="F7004" t="s">
        <v>3403</v>
      </c>
      <c r="G7004" t="s">
        <v>3402</v>
      </c>
      <c r="H7004" t="s">
        <v>3401</v>
      </c>
      <c r="I7004">
        <v>5102</v>
      </c>
      <c r="J7004" s="3">
        <v>20</v>
      </c>
      <c r="K7004" s="3">
        <v>8.32</v>
      </c>
      <c r="L7004">
        <v>58.4</v>
      </c>
    </row>
    <row r="7005" spans="1:12">
      <c r="A7005" s="1">
        <v>46050</v>
      </c>
      <c r="B7005" t="s">
        <v>4460</v>
      </c>
      <c r="C7005">
        <v>12</v>
      </c>
      <c r="D7005" t="str">
        <f>VLOOKUP(Tabela26[[#This Row],[EMP]],[1]LOJA!$A:$B,2,0)</f>
        <v>SOFNORTE</v>
      </c>
      <c r="E7005">
        <v>60</v>
      </c>
      <c r="F7005" t="s">
        <v>3704</v>
      </c>
      <c r="G7005" t="s">
        <v>3703</v>
      </c>
      <c r="H7005" t="s">
        <v>3408</v>
      </c>
      <c r="I7005">
        <v>5102</v>
      </c>
      <c r="J7005" s="3">
        <v>270</v>
      </c>
      <c r="K7005" s="3">
        <v>143.26</v>
      </c>
      <c r="L7005">
        <v>46.94</v>
      </c>
    </row>
    <row r="7006" spans="1:12">
      <c r="A7006" s="1">
        <v>46050</v>
      </c>
      <c r="B7006" t="s">
        <v>4459</v>
      </c>
      <c r="C7006">
        <v>12</v>
      </c>
      <c r="D7006" t="str">
        <f>VLOOKUP(Tabela26[[#This Row],[EMP]],[1]LOJA!$A:$B,2,0)</f>
        <v>SOFNORTE</v>
      </c>
      <c r="E7006">
        <v>60</v>
      </c>
      <c r="F7006" t="s">
        <v>4458</v>
      </c>
      <c r="G7006" t="s">
        <v>4457</v>
      </c>
      <c r="H7006" t="s">
        <v>4297</v>
      </c>
      <c r="I7006">
        <v>5102</v>
      </c>
      <c r="J7006" s="3">
        <v>123</v>
      </c>
      <c r="K7006" s="3">
        <v>63.23</v>
      </c>
      <c r="L7006">
        <v>48.59</v>
      </c>
    </row>
    <row r="7007" spans="1:12">
      <c r="A7007" s="1">
        <v>46050</v>
      </c>
      <c r="B7007" t="s">
        <v>4456</v>
      </c>
      <c r="C7007">
        <v>12</v>
      </c>
      <c r="D7007" t="str">
        <f>VLOOKUP(Tabela26[[#This Row],[EMP]],[1]LOJA!$A:$B,2,0)</f>
        <v>SOFNORTE</v>
      </c>
      <c r="E7007">
        <v>60</v>
      </c>
      <c r="F7007" t="s">
        <v>4455</v>
      </c>
      <c r="G7007" t="s">
        <v>3402</v>
      </c>
      <c r="H7007" t="s">
        <v>3408</v>
      </c>
      <c r="I7007">
        <v>5405</v>
      </c>
      <c r="J7007" s="3">
        <v>118</v>
      </c>
      <c r="K7007" s="3">
        <v>56.52</v>
      </c>
      <c r="L7007">
        <v>52.1</v>
      </c>
    </row>
    <row r="7008" spans="1:12">
      <c r="A7008" s="1">
        <v>46050</v>
      </c>
      <c r="B7008" t="s">
        <v>4454</v>
      </c>
      <c r="C7008">
        <v>12</v>
      </c>
      <c r="D7008" t="str">
        <f>VLOOKUP(Tabela26[[#This Row],[EMP]],[1]LOJA!$A:$B,2,0)</f>
        <v>SOFNORTE</v>
      </c>
      <c r="E7008">
        <v>60</v>
      </c>
      <c r="F7008" t="s">
        <v>3709</v>
      </c>
      <c r="G7008" t="s">
        <v>3708</v>
      </c>
      <c r="H7008" t="s">
        <v>3401</v>
      </c>
      <c r="I7008">
        <v>5405</v>
      </c>
      <c r="J7008" s="3">
        <v>933</v>
      </c>
      <c r="K7008" s="3">
        <v>531.29999999999995</v>
      </c>
      <c r="L7008">
        <v>43.05</v>
      </c>
    </row>
    <row r="7009" spans="1:12">
      <c r="A7009" s="1">
        <v>46050</v>
      </c>
      <c r="B7009" t="s">
        <v>4453</v>
      </c>
      <c r="C7009">
        <v>12</v>
      </c>
      <c r="D7009" t="str">
        <f>VLOOKUP(Tabela26[[#This Row],[EMP]],[1]LOJA!$A:$B,2,0)</f>
        <v>SOFNORTE</v>
      </c>
      <c r="E7009">
        <v>60</v>
      </c>
      <c r="F7009" t="s">
        <v>3421</v>
      </c>
      <c r="G7009" t="s">
        <v>3402</v>
      </c>
      <c r="H7009" t="s">
        <v>3408</v>
      </c>
      <c r="I7009">
        <v>5405</v>
      </c>
      <c r="J7009" s="3">
        <v>105</v>
      </c>
      <c r="K7009" s="3">
        <v>55.33</v>
      </c>
      <c r="L7009">
        <v>47.3</v>
      </c>
    </row>
    <row r="7010" spans="1:12">
      <c r="A7010" s="1">
        <v>46050</v>
      </c>
      <c r="B7010" t="s">
        <v>4452</v>
      </c>
      <c r="C7010">
        <v>12</v>
      </c>
      <c r="D7010" t="str">
        <f>VLOOKUP(Tabela26[[#This Row],[EMP]],[1]LOJA!$A:$B,2,0)</f>
        <v>SOFNORTE</v>
      </c>
      <c r="E7010">
        <v>60</v>
      </c>
      <c r="F7010" t="s">
        <v>3709</v>
      </c>
      <c r="G7010" t="s">
        <v>3708</v>
      </c>
      <c r="H7010" t="s">
        <v>3401</v>
      </c>
      <c r="I7010">
        <v>5102</v>
      </c>
      <c r="J7010" s="3">
        <v>415</v>
      </c>
      <c r="K7010" s="3">
        <v>216.43</v>
      </c>
      <c r="L7010">
        <v>47.85</v>
      </c>
    </row>
    <row r="7011" spans="1:12">
      <c r="A7011" s="1">
        <v>46050</v>
      </c>
      <c r="B7011" t="s">
        <v>4451</v>
      </c>
      <c r="C7011">
        <v>12</v>
      </c>
      <c r="D7011" t="str">
        <f>VLOOKUP(Tabela26[[#This Row],[EMP]],[1]LOJA!$A:$B,2,0)</f>
        <v>SOFNORTE</v>
      </c>
      <c r="E7011">
        <v>239</v>
      </c>
      <c r="F7011" t="s">
        <v>3687</v>
      </c>
      <c r="G7011" t="s">
        <v>3686</v>
      </c>
      <c r="H7011" t="s">
        <v>3401</v>
      </c>
      <c r="I7011">
        <v>5102</v>
      </c>
      <c r="J7011" s="3">
        <v>170</v>
      </c>
      <c r="K7011" s="3">
        <v>78.78</v>
      </c>
      <c r="L7011">
        <v>53.66</v>
      </c>
    </row>
    <row r="7012" spans="1:12">
      <c r="A7012" s="1">
        <v>46050</v>
      </c>
      <c r="B7012" t="s">
        <v>4450</v>
      </c>
      <c r="C7012">
        <v>12</v>
      </c>
      <c r="D7012" t="str">
        <f>VLOOKUP(Tabela26[[#This Row],[EMP]],[1]LOJA!$A:$B,2,0)</f>
        <v>SOFNORTE</v>
      </c>
      <c r="E7012">
        <v>60</v>
      </c>
      <c r="F7012" t="s">
        <v>3694</v>
      </c>
      <c r="G7012" t="s">
        <v>3693</v>
      </c>
      <c r="H7012" t="s">
        <v>3520</v>
      </c>
      <c r="I7012">
        <v>5405</v>
      </c>
      <c r="J7012" s="3">
        <v>38</v>
      </c>
      <c r="K7012" s="3">
        <v>17.04</v>
      </c>
      <c r="L7012">
        <v>55.16</v>
      </c>
    </row>
    <row r="7013" spans="1:12">
      <c r="A7013" s="1">
        <v>46050</v>
      </c>
      <c r="B7013" t="s">
        <v>4449</v>
      </c>
      <c r="C7013">
        <v>12</v>
      </c>
      <c r="D7013" t="str">
        <f>VLOOKUP(Tabela26[[#This Row],[EMP]],[1]LOJA!$A:$B,2,0)</f>
        <v>SOFNORTE</v>
      </c>
      <c r="E7013">
        <v>60</v>
      </c>
      <c r="F7013" t="s">
        <v>3701</v>
      </c>
      <c r="G7013" t="s">
        <v>3700</v>
      </c>
      <c r="H7013" t="s">
        <v>3408</v>
      </c>
      <c r="I7013">
        <v>5405</v>
      </c>
      <c r="J7013" s="3">
        <v>38</v>
      </c>
      <c r="K7013" s="3">
        <v>17.77</v>
      </c>
      <c r="L7013">
        <v>53.24</v>
      </c>
    </row>
    <row r="7014" spans="1:12">
      <c r="A7014" s="1">
        <v>46050</v>
      </c>
      <c r="B7014" t="s">
        <v>4448</v>
      </c>
      <c r="C7014">
        <v>12</v>
      </c>
      <c r="D7014" t="str">
        <f>VLOOKUP(Tabela26[[#This Row],[EMP]],[1]LOJA!$A:$B,2,0)</f>
        <v>SOFNORTE</v>
      </c>
      <c r="E7014">
        <v>60</v>
      </c>
      <c r="F7014" t="s">
        <v>3704</v>
      </c>
      <c r="G7014" t="s">
        <v>3703</v>
      </c>
      <c r="H7014" t="s">
        <v>3408</v>
      </c>
      <c r="I7014">
        <v>5102</v>
      </c>
      <c r="J7014" s="3">
        <v>235</v>
      </c>
      <c r="K7014" s="3">
        <v>115.31</v>
      </c>
      <c r="L7014">
        <v>50.93</v>
      </c>
    </row>
    <row r="7015" spans="1:12">
      <c r="A7015" s="1">
        <v>46050</v>
      </c>
      <c r="B7015" t="s">
        <v>4447</v>
      </c>
      <c r="C7015">
        <v>12</v>
      </c>
      <c r="D7015" t="str">
        <f>VLOOKUP(Tabela26[[#This Row],[EMP]],[1]LOJA!$A:$B,2,0)</f>
        <v>SOFNORTE</v>
      </c>
      <c r="E7015">
        <v>60</v>
      </c>
      <c r="F7015" t="s">
        <v>4446</v>
      </c>
      <c r="G7015" t="s">
        <v>4445</v>
      </c>
      <c r="H7015" t="s">
        <v>3401</v>
      </c>
      <c r="I7015">
        <v>5102</v>
      </c>
      <c r="J7015" s="3">
        <v>30</v>
      </c>
      <c r="K7015" s="3">
        <v>17.899999999999999</v>
      </c>
      <c r="L7015">
        <v>40.33</v>
      </c>
    </row>
    <row r="7016" spans="1:12">
      <c r="A7016" s="1">
        <v>46050</v>
      </c>
      <c r="B7016" t="s">
        <v>4444</v>
      </c>
      <c r="C7016">
        <v>12</v>
      </c>
      <c r="D7016" t="str">
        <f>VLOOKUP(Tabela26[[#This Row],[EMP]],[1]LOJA!$A:$B,2,0)</f>
        <v>SOFNORTE</v>
      </c>
      <c r="E7016">
        <v>60</v>
      </c>
      <c r="F7016" t="s">
        <v>3694</v>
      </c>
      <c r="G7016" t="s">
        <v>3693</v>
      </c>
      <c r="H7016" t="s">
        <v>3520</v>
      </c>
      <c r="I7016">
        <v>5102</v>
      </c>
      <c r="J7016" s="3">
        <v>29</v>
      </c>
      <c r="K7016" s="3">
        <v>17.37</v>
      </c>
      <c r="L7016">
        <v>40.1</v>
      </c>
    </row>
    <row r="7017" spans="1:12">
      <c r="A7017" s="1">
        <v>46050</v>
      </c>
      <c r="B7017" t="s">
        <v>4443</v>
      </c>
      <c r="C7017">
        <v>12</v>
      </c>
      <c r="D7017" t="str">
        <f>VLOOKUP(Tabela26[[#This Row],[EMP]],[1]LOJA!$A:$B,2,0)</f>
        <v>SOFNORTE</v>
      </c>
      <c r="E7017">
        <v>60</v>
      </c>
      <c r="F7017" t="s">
        <v>3691</v>
      </c>
      <c r="G7017" t="s">
        <v>3690</v>
      </c>
      <c r="H7017" t="s">
        <v>4297</v>
      </c>
      <c r="I7017">
        <v>5102</v>
      </c>
      <c r="J7017" s="3">
        <v>13</v>
      </c>
      <c r="K7017" s="3">
        <v>6.16</v>
      </c>
      <c r="L7017">
        <v>52.62</v>
      </c>
    </row>
    <row r="7018" spans="1:12">
      <c r="A7018" s="1">
        <v>46050</v>
      </c>
      <c r="B7018" t="s">
        <v>4442</v>
      </c>
      <c r="C7018">
        <v>12</v>
      </c>
      <c r="D7018" t="str">
        <f>VLOOKUP(Tabela26[[#This Row],[EMP]],[1]LOJA!$A:$B,2,0)</f>
        <v>SOFNORTE</v>
      </c>
      <c r="E7018">
        <v>60</v>
      </c>
      <c r="F7018" t="s">
        <v>4441</v>
      </c>
      <c r="G7018" t="s">
        <v>3402</v>
      </c>
      <c r="H7018" t="s">
        <v>3401</v>
      </c>
      <c r="I7018">
        <v>5102</v>
      </c>
      <c r="J7018" s="3">
        <v>39.25</v>
      </c>
      <c r="K7018" s="3">
        <v>21.1</v>
      </c>
      <c r="L7018">
        <v>46.24</v>
      </c>
    </row>
    <row r="7019" spans="1:12">
      <c r="A7019" s="1">
        <v>46050</v>
      </c>
      <c r="B7019" t="s">
        <v>4440</v>
      </c>
      <c r="C7019">
        <v>12</v>
      </c>
      <c r="D7019" t="str">
        <f>VLOOKUP(Tabela26[[#This Row],[EMP]],[1]LOJA!$A:$B,2,0)</f>
        <v>SOFNORTE</v>
      </c>
      <c r="E7019">
        <v>60</v>
      </c>
      <c r="F7019" t="s">
        <v>3698</v>
      </c>
      <c r="G7019" t="s">
        <v>3697</v>
      </c>
      <c r="H7019" t="s">
        <v>3408</v>
      </c>
      <c r="I7019">
        <v>5102</v>
      </c>
      <c r="J7019" s="3">
        <v>109</v>
      </c>
      <c r="K7019" s="3">
        <v>54.69</v>
      </c>
      <c r="L7019">
        <v>49.83</v>
      </c>
    </row>
    <row r="7020" spans="1:12">
      <c r="A7020" s="1">
        <v>46050</v>
      </c>
      <c r="B7020" t="s">
        <v>4439</v>
      </c>
      <c r="C7020">
        <v>12</v>
      </c>
      <c r="D7020" t="str">
        <f>VLOOKUP(Tabela26[[#This Row],[EMP]],[1]LOJA!$A:$B,2,0)</f>
        <v>SOFNORTE</v>
      </c>
      <c r="E7020">
        <v>60</v>
      </c>
      <c r="F7020" t="s">
        <v>3691</v>
      </c>
      <c r="G7020" t="s">
        <v>3690</v>
      </c>
      <c r="H7020" t="s">
        <v>4297</v>
      </c>
      <c r="I7020">
        <v>5405</v>
      </c>
      <c r="J7020" s="3">
        <v>141</v>
      </c>
      <c r="K7020" s="3">
        <v>61.57</v>
      </c>
      <c r="L7020">
        <v>56.33</v>
      </c>
    </row>
    <row r="7021" spans="1:12">
      <c r="A7021" s="1">
        <v>46050</v>
      </c>
      <c r="B7021" t="s">
        <v>4438</v>
      </c>
      <c r="C7021">
        <v>12</v>
      </c>
      <c r="D7021" t="str">
        <f>VLOOKUP(Tabela26[[#This Row],[EMP]],[1]LOJA!$A:$B,2,0)</f>
        <v>SOFNORTE</v>
      </c>
      <c r="E7021">
        <v>60</v>
      </c>
      <c r="F7021" t="s">
        <v>4437</v>
      </c>
      <c r="G7021" t="s">
        <v>3402</v>
      </c>
      <c r="H7021" t="s">
        <v>3401</v>
      </c>
      <c r="I7021">
        <v>5405</v>
      </c>
      <c r="J7021" s="3">
        <v>43</v>
      </c>
      <c r="K7021" s="3">
        <v>18.989999999999998</v>
      </c>
      <c r="L7021">
        <v>55.84</v>
      </c>
    </row>
    <row r="7022" spans="1:12">
      <c r="A7022" s="1">
        <v>46050</v>
      </c>
      <c r="B7022" t="s">
        <v>4436</v>
      </c>
      <c r="C7022">
        <v>12</v>
      </c>
      <c r="D7022" t="str">
        <f>VLOOKUP(Tabela26[[#This Row],[EMP]],[1]LOJA!$A:$B,2,0)</f>
        <v>SOFNORTE</v>
      </c>
      <c r="E7022">
        <v>239</v>
      </c>
      <c r="F7022" t="s">
        <v>3403</v>
      </c>
      <c r="G7022" t="s">
        <v>3402</v>
      </c>
      <c r="H7022" t="s">
        <v>3401</v>
      </c>
      <c r="I7022">
        <v>5102</v>
      </c>
      <c r="J7022" s="3">
        <v>47</v>
      </c>
      <c r="K7022" s="3">
        <v>23.22</v>
      </c>
      <c r="L7022">
        <v>50.6</v>
      </c>
    </row>
    <row r="7023" spans="1:12">
      <c r="A7023" s="1">
        <v>46050</v>
      </c>
      <c r="B7023" t="s">
        <v>4435</v>
      </c>
      <c r="C7023">
        <v>12</v>
      </c>
      <c r="D7023" t="str">
        <f>VLOOKUP(Tabela26[[#This Row],[EMP]],[1]LOJA!$A:$B,2,0)</f>
        <v>SOFNORTE</v>
      </c>
      <c r="E7023">
        <v>239</v>
      </c>
      <c r="F7023" t="s">
        <v>3403</v>
      </c>
      <c r="G7023" t="s">
        <v>3402</v>
      </c>
      <c r="H7023" t="s">
        <v>3401</v>
      </c>
      <c r="I7023">
        <v>5102</v>
      </c>
      <c r="J7023" s="3">
        <v>48</v>
      </c>
      <c r="K7023" s="3">
        <v>28.6</v>
      </c>
      <c r="L7023">
        <v>40.42</v>
      </c>
    </row>
    <row r="7024" spans="1:12">
      <c r="A7024" s="1">
        <v>46050</v>
      </c>
      <c r="B7024" t="s">
        <v>4434</v>
      </c>
      <c r="C7024">
        <v>12</v>
      </c>
      <c r="D7024" t="str">
        <f>VLOOKUP(Tabela26[[#This Row],[EMP]],[1]LOJA!$A:$B,2,0)</f>
        <v>SOFNORTE</v>
      </c>
      <c r="E7024">
        <v>239</v>
      </c>
      <c r="F7024" t="s">
        <v>3403</v>
      </c>
      <c r="G7024" t="s">
        <v>3402</v>
      </c>
      <c r="H7024" t="s">
        <v>3408</v>
      </c>
      <c r="I7024">
        <v>5102</v>
      </c>
      <c r="J7024" s="3">
        <v>29.9</v>
      </c>
      <c r="K7024" s="3">
        <v>20.96</v>
      </c>
      <c r="L7024">
        <v>29.9</v>
      </c>
    </row>
    <row r="7025" spans="1:12">
      <c r="A7025" s="1">
        <v>46050</v>
      </c>
      <c r="B7025" t="s">
        <v>4433</v>
      </c>
      <c r="C7025">
        <v>14</v>
      </c>
      <c r="D7025" t="str">
        <f>VLOOKUP(Tabela26[[#This Row],[EMP]],[1]LOJA!$A:$B,2,0)</f>
        <v>S IA</v>
      </c>
      <c r="E7025">
        <v>54</v>
      </c>
      <c r="F7025" t="s">
        <v>3403</v>
      </c>
      <c r="G7025" t="s">
        <v>3402</v>
      </c>
      <c r="H7025" t="s">
        <v>3408</v>
      </c>
      <c r="I7025">
        <v>5405</v>
      </c>
      <c r="J7025" s="3">
        <v>180</v>
      </c>
      <c r="K7025" s="3">
        <v>92.75</v>
      </c>
      <c r="L7025">
        <v>48.47</v>
      </c>
    </row>
    <row r="7026" spans="1:12">
      <c r="A7026" s="1">
        <v>46050</v>
      </c>
      <c r="B7026" t="s">
        <v>4432</v>
      </c>
      <c r="C7026">
        <v>14</v>
      </c>
      <c r="D7026" t="str">
        <f>VLOOKUP(Tabela26[[#This Row],[EMP]],[1]LOJA!$A:$B,2,0)</f>
        <v>S IA</v>
      </c>
      <c r="E7026">
        <v>54</v>
      </c>
      <c r="F7026" t="s">
        <v>4431</v>
      </c>
      <c r="G7026" t="s">
        <v>3402</v>
      </c>
      <c r="H7026" t="s">
        <v>3408</v>
      </c>
      <c r="I7026">
        <v>5405</v>
      </c>
      <c r="J7026" s="3">
        <v>120</v>
      </c>
      <c r="K7026" s="3">
        <v>59.22</v>
      </c>
      <c r="L7026">
        <v>50.65</v>
      </c>
    </row>
    <row r="7027" spans="1:12">
      <c r="A7027" s="1">
        <v>46050</v>
      </c>
      <c r="B7027" t="s">
        <v>4430</v>
      </c>
      <c r="C7027">
        <v>14</v>
      </c>
      <c r="D7027" t="str">
        <f>VLOOKUP(Tabela26[[#This Row],[EMP]],[1]LOJA!$A:$B,2,0)</f>
        <v>S IA</v>
      </c>
      <c r="E7027">
        <v>54</v>
      </c>
      <c r="F7027" t="s">
        <v>4429</v>
      </c>
      <c r="G7027" t="s">
        <v>3402</v>
      </c>
      <c r="H7027" t="s">
        <v>3408</v>
      </c>
      <c r="I7027">
        <v>5102</v>
      </c>
      <c r="J7027" s="3">
        <v>179.1</v>
      </c>
      <c r="K7027" s="3">
        <v>58.3</v>
      </c>
      <c r="L7027">
        <v>67.45</v>
      </c>
    </row>
    <row r="7028" spans="1:12">
      <c r="A7028" s="1">
        <v>46050</v>
      </c>
      <c r="B7028" t="s">
        <v>4428</v>
      </c>
      <c r="C7028">
        <v>14</v>
      </c>
      <c r="D7028" t="str">
        <f>VLOOKUP(Tabela26[[#This Row],[EMP]],[1]LOJA!$A:$B,2,0)</f>
        <v>S IA</v>
      </c>
      <c r="E7028">
        <v>54</v>
      </c>
      <c r="F7028" t="s">
        <v>4427</v>
      </c>
      <c r="G7028" t="s">
        <v>4426</v>
      </c>
      <c r="H7028" t="s">
        <v>3401</v>
      </c>
      <c r="I7028">
        <v>5102</v>
      </c>
      <c r="J7028" s="3">
        <v>38</v>
      </c>
      <c r="K7028" s="3">
        <v>18.55</v>
      </c>
      <c r="L7028">
        <v>51.18</v>
      </c>
    </row>
    <row r="7029" spans="1:12">
      <c r="A7029" s="1">
        <v>46050</v>
      </c>
      <c r="B7029" t="s">
        <v>4425</v>
      </c>
      <c r="C7029">
        <v>14</v>
      </c>
      <c r="D7029" t="str">
        <f>VLOOKUP(Tabela26[[#This Row],[EMP]],[1]LOJA!$A:$B,2,0)</f>
        <v>S IA</v>
      </c>
      <c r="E7029">
        <v>54</v>
      </c>
      <c r="F7029" t="s">
        <v>4424</v>
      </c>
      <c r="G7029" t="s">
        <v>3402</v>
      </c>
      <c r="H7029" t="s">
        <v>3408</v>
      </c>
      <c r="I7029">
        <v>5405</v>
      </c>
      <c r="J7029" s="3">
        <v>145</v>
      </c>
      <c r="K7029" s="3">
        <v>67.599999999999994</v>
      </c>
      <c r="L7029">
        <v>53.38</v>
      </c>
    </row>
    <row r="7030" spans="1:12">
      <c r="A7030" s="1">
        <v>46050</v>
      </c>
      <c r="B7030" t="s">
        <v>4423</v>
      </c>
      <c r="C7030">
        <v>14</v>
      </c>
      <c r="D7030" t="str">
        <f>VLOOKUP(Tabela26[[#This Row],[EMP]],[1]LOJA!$A:$B,2,0)</f>
        <v>S IA</v>
      </c>
      <c r="E7030">
        <v>54</v>
      </c>
      <c r="F7030" t="s">
        <v>3403</v>
      </c>
      <c r="G7030" t="s">
        <v>3402</v>
      </c>
      <c r="H7030" t="s">
        <v>3401</v>
      </c>
      <c r="I7030">
        <v>5102</v>
      </c>
      <c r="J7030" s="3">
        <v>638</v>
      </c>
      <c r="K7030" s="3">
        <v>317.23</v>
      </c>
      <c r="L7030">
        <v>50.28</v>
      </c>
    </row>
    <row r="7031" spans="1:12">
      <c r="A7031" s="1">
        <v>46050</v>
      </c>
      <c r="B7031" t="s">
        <v>4422</v>
      </c>
      <c r="C7031">
        <v>14</v>
      </c>
      <c r="D7031" t="str">
        <f>VLOOKUP(Tabela26[[#This Row],[EMP]],[1]LOJA!$A:$B,2,0)</f>
        <v>S IA</v>
      </c>
      <c r="E7031">
        <v>54</v>
      </c>
      <c r="F7031" t="s">
        <v>3570</v>
      </c>
      <c r="G7031" t="s">
        <v>4421</v>
      </c>
      <c r="H7031" t="s">
        <v>3401</v>
      </c>
      <c r="I7031">
        <v>5102</v>
      </c>
      <c r="J7031" s="3">
        <v>62</v>
      </c>
      <c r="K7031" s="3">
        <v>24.18</v>
      </c>
      <c r="L7031">
        <v>61</v>
      </c>
    </row>
    <row r="7032" spans="1:12">
      <c r="A7032" s="1">
        <v>46050</v>
      </c>
      <c r="B7032" t="s">
        <v>4420</v>
      </c>
      <c r="C7032">
        <v>14</v>
      </c>
      <c r="D7032" t="str">
        <f>VLOOKUP(Tabela26[[#This Row],[EMP]],[1]LOJA!$A:$B,2,0)</f>
        <v>S IA</v>
      </c>
      <c r="E7032">
        <v>54</v>
      </c>
      <c r="F7032" t="s">
        <v>3403</v>
      </c>
      <c r="G7032" t="s">
        <v>3402</v>
      </c>
      <c r="H7032" t="s">
        <v>3401</v>
      </c>
      <c r="I7032">
        <v>5102</v>
      </c>
      <c r="J7032" s="3">
        <v>67</v>
      </c>
      <c r="K7032" s="3">
        <v>37.64</v>
      </c>
      <c r="L7032">
        <v>43.82</v>
      </c>
    </row>
    <row r="7033" spans="1:12">
      <c r="A7033" s="1">
        <v>46050</v>
      </c>
      <c r="B7033" t="s">
        <v>4419</v>
      </c>
      <c r="C7033">
        <v>14</v>
      </c>
      <c r="D7033" t="str">
        <f>VLOOKUP(Tabela26[[#This Row],[EMP]],[1]LOJA!$A:$B,2,0)</f>
        <v>S IA</v>
      </c>
      <c r="E7033">
        <v>54</v>
      </c>
      <c r="F7033" t="s">
        <v>3403</v>
      </c>
      <c r="G7033" t="s">
        <v>3402</v>
      </c>
      <c r="H7033" t="s">
        <v>3401</v>
      </c>
      <c r="I7033">
        <v>5405</v>
      </c>
      <c r="J7033" s="3">
        <v>67</v>
      </c>
      <c r="K7033" s="3">
        <v>27.84</v>
      </c>
      <c r="L7033">
        <v>58.45</v>
      </c>
    </row>
    <row r="7034" spans="1:12">
      <c r="A7034" s="1">
        <v>46050</v>
      </c>
      <c r="B7034" t="s">
        <v>4418</v>
      </c>
      <c r="C7034">
        <v>14</v>
      </c>
      <c r="D7034" t="str">
        <f>VLOOKUP(Tabela26[[#This Row],[EMP]],[1]LOJA!$A:$B,2,0)</f>
        <v>S IA</v>
      </c>
      <c r="E7034">
        <v>54</v>
      </c>
      <c r="F7034" t="s">
        <v>4417</v>
      </c>
      <c r="G7034" t="s">
        <v>3402</v>
      </c>
      <c r="H7034" t="s">
        <v>3408</v>
      </c>
      <c r="I7034">
        <v>5102</v>
      </c>
      <c r="J7034" s="3">
        <v>50</v>
      </c>
      <c r="K7034" s="3">
        <v>25.13</v>
      </c>
      <c r="L7034">
        <v>49.74</v>
      </c>
    </row>
    <row r="7035" spans="1:12">
      <c r="A7035" s="1">
        <v>46050</v>
      </c>
      <c r="B7035" t="s">
        <v>4416</v>
      </c>
      <c r="C7035">
        <v>14</v>
      </c>
      <c r="D7035" t="str">
        <f>VLOOKUP(Tabela26[[#This Row],[EMP]],[1]LOJA!$A:$B,2,0)</f>
        <v>S IA</v>
      </c>
      <c r="E7035">
        <v>54</v>
      </c>
      <c r="F7035" t="s">
        <v>4415</v>
      </c>
      <c r="G7035" t="s">
        <v>3402</v>
      </c>
      <c r="H7035" t="s">
        <v>3408</v>
      </c>
      <c r="I7035">
        <v>5102</v>
      </c>
      <c r="J7035" s="3">
        <v>142</v>
      </c>
      <c r="K7035" s="3">
        <v>79.680000000000007</v>
      </c>
      <c r="L7035">
        <v>43.89</v>
      </c>
    </row>
    <row r="7036" spans="1:12">
      <c r="A7036" s="1">
        <v>46050</v>
      </c>
      <c r="B7036" t="s">
        <v>4414</v>
      </c>
      <c r="C7036">
        <v>14</v>
      </c>
      <c r="D7036" t="str">
        <f>VLOOKUP(Tabela26[[#This Row],[EMP]],[1]LOJA!$A:$B,2,0)</f>
        <v>S IA</v>
      </c>
      <c r="E7036">
        <v>54</v>
      </c>
      <c r="F7036" t="s">
        <v>4413</v>
      </c>
      <c r="G7036" t="s">
        <v>4412</v>
      </c>
      <c r="H7036" t="s">
        <v>3401</v>
      </c>
      <c r="I7036">
        <v>5102</v>
      </c>
      <c r="J7036" s="3">
        <v>120</v>
      </c>
      <c r="K7036" s="3">
        <v>75.28</v>
      </c>
      <c r="L7036">
        <v>37.270000000000003</v>
      </c>
    </row>
    <row r="7037" spans="1:12">
      <c r="A7037" s="1">
        <v>46050</v>
      </c>
      <c r="B7037" t="s">
        <v>4411</v>
      </c>
      <c r="C7037">
        <v>14</v>
      </c>
      <c r="D7037" t="str">
        <f>VLOOKUP(Tabela26[[#This Row],[EMP]],[1]LOJA!$A:$B,2,0)</f>
        <v>S IA</v>
      </c>
      <c r="E7037">
        <v>54</v>
      </c>
      <c r="F7037" t="s">
        <v>4410</v>
      </c>
      <c r="G7037" t="s">
        <v>4409</v>
      </c>
      <c r="H7037" t="s">
        <v>3401</v>
      </c>
      <c r="I7037">
        <v>5405</v>
      </c>
      <c r="J7037" s="3">
        <v>164.32</v>
      </c>
      <c r="K7037" s="3">
        <v>72.510000000000005</v>
      </c>
      <c r="L7037">
        <v>55.87</v>
      </c>
    </row>
    <row r="7038" spans="1:12">
      <c r="A7038" s="1">
        <v>46050</v>
      </c>
      <c r="B7038" t="s">
        <v>4408</v>
      </c>
      <c r="C7038">
        <v>14</v>
      </c>
      <c r="D7038" t="str">
        <f>VLOOKUP(Tabela26[[#This Row],[EMP]],[1]LOJA!$A:$B,2,0)</f>
        <v>S IA</v>
      </c>
      <c r="E7038">
        <v>54</v>
      </c>
      <c r="F7038" t="s">
        <v>3403</v>
      </c>
      <c r="G7038" t="s">
        <v>3402</v>
      </c>
      <c r="H7038" t="s">
        <v>3401</v>
      </c>
      <c r="I7038">
        <v>5405</v>
      </c>
      <c r="J7038" s="3">
        <v>122</v>
      </c>
      <c r="K7038" s="3">
        <v>62.45</v>
      </c>
      <c r="L7038">
        <v>48.81</v>
      </c>
    </row>
    <row r="7039" spans="1:12">
      <c r="A7039" s="1">
        <v>46050</v>
      </c>
      <c r="B7039" t="s">
        <v>4407</v>
      </c>
      <c r="C7039">
        <v>14</v>
      </c>
      <c r="D7039" t="str">
        <f>VLOOKUP(Tabela26[[#This Row],[EMP]],[1]LOJA!$A:$B,2,0)</f>
        <v>S IA</v>
      </c>
      <c r="E7039">
        <v>54</v>
      </c>
      <c r="F7039" t="s">
        <v>3472</v>
      </c>
      <c r="G7039" t="s">
        <v>3471</v>
      </c>
      <c r="H7039" t="s">
        <v>3401</v>
      </c>
      <c r="I7039">
        <v>5405</v>
      </c>
      <c r="J7039" s="3">
        <v>277.32</v>
      </c>
      <c r="K7039" s="3">
        <v>153.43</v>
      </c>
      <c r="L7039">
        <v>44.67</v>
      </c>
    </row>
    <row r="7040" spans="1:12">
      <c r="A7040" s="1">
        <v>46050</v>
      </c>
      <c r="B7040" t="s">
        <v>4406</v>
      </c>
      <c r="C7040">
        <v>14</v>
      </c>
      <c r="D7040" t="str">
        <f>VLOOKUP(Tabela26[[#This Row],[EMP]],[1]LOJA!$A:$B,2,0)</f>
        <v>S IA</v>
      </c>
      <c r="E7040">
        <v>212</v>
      </c>
      <c r="F7040" t="s">
        <v>3403</v>
      </c>
      <c r="G7040" t="s">
        <v>3402</v>
      </c>
      <c r="H7040" t="s">
        <v>3401</v>
      </c>
      <c r="I7040">
        <v>5102</v>
      </c>
      <c r="J7040" s="3">
        <v>40</v>
      </c>
      <c r="K7040" s="3">
        <v>22.82</v>
      </c>
      <c r="L7040">
        <v>42.95</v>
      </c>
    </row>
    <row r="7041" spans="1:12">
      <c r="A7041" s="1">
        <v>46050</v>
      </c>
      <c r="B7041" t="s">
        <v>4405</v>
      </c>
      <c r="C7041">
        <v>14</v>
      </c>
      <c r="D7041" t="str">
        <f>VLOOKUP(Tabela26[[#This Row],[EMP]],[1]LOJA!$A:$B,2,0)</f>
        <v>S IA</v>
      </c>
      <c r="E7041">
        <v>212</v>
      </c>
      <c r="F7041" t="s">
        <v>4404</v>
      </c>
      <c r="G7041" t="s">
        <v>4403</v>
      </c>
      <c r="H7041" t="s">
        <v>3408</v>
      </c>
      <c r="I7041">
        <v>5405</v>
      </c>
      <c r="J7041" s="3">
        <v>196.99</v>
      </c>
      <c r="K7041" s="3">
        <v>100.2</v>
      </c>
      <c r="L7041">
        <v>49.13</v>
      </c>
    </row>
    <row r="7042" spans="1:12">
      <c r="A7042" s="1">
        <v>46050</v>
      </c>
      <c r="B7042" t="s">
        <v>4402</v>
      </c>
      <c r="C7042">
        <v>14</v>
      </c>
      <c r="D7042" t="str">
        <f>VLOOKUP(Tabela26[[#This Row],[EMP]],[1]LOJA!$A:$B,2,0)</f>
        <v>S IA</v>
      </c>
      <c r="E7042">
        <v>54</v>
      </c>
      <c r="F7042" t="s">
        <v>4393</v>
      </c>
      <c r="G7042" t="s">
        <v>3402</v>
      </c>
      <c r="H7042" t="s">
        <v>3408</v>
      </c>
      <c r="I7042">
        <v>5102</v>
      </c>
      <c r="J7042" s="3">
        <v>74.900000000000006</v>
      </c>
      <c r="K7042" s="3">
        <v>54.56</v>
      </c>
      <c r="L7042">
        <v>27.16</v>
      </c>
    </row>
    <row r="7043" spans="1:12">
      <c r="A7043" s="1">
        <v>46050</v>
      </c>
      <c r="B7043" t="s">
        <v>4401</v>
      </c>
      <c r="C7043">
        <v>14</v>
      </c>
      <c r="D7043" t="str">
        <f>VLOOKUP(Tabela26[[#This Row],[EMP]],[1]LOJA!$A:$B,2,0)</f>
        <v>S IA</v>
      </c>
      <c r="E7043">
        <v>54</v>
      </c>
      <c r="F7043" t="s">
        <v>4400</v>
      </c>
      <c r="G7043" t="s">
        <v>4399</v>
      </c>
      <c r="H7043" t="s">
        <v>3401</v>
      </c>
      <c r="I7043">
        <v>5405</v>
      </c>
      <c r="J7043" s="3">
        <v>54</v>
      </c>
      <c r="K7043" s="3">
        <v>17.170000000000002</v>
      </c>
      <c r="L7043">
        <v>68.2</v>
      </c>
    </row>
    <row r="7044" spans="1:12">
      <c r="A7044" s="1">
        <v>46050</v>
      </c>
      <c r="B7044" t="s">
        <v>4398</v>
      </c>
      <c r="C7044">
        <v>14</v>
      </c>
      <c r="D7044" t="str">
        <f>VLOOKUP(Tabela26[[#This Row],[EMP]],[1]LOJA!$A:$B,2,0)</f>
        <v>S IA</v>
      </c>
      <c r="E7044">
        <v>54</v>
      </c>
      <c r="F7044" t="s">
        <v>4397</v>
      </c>
      <c r="G7044" t="s">
        <v>4396</v>
      </c>
      <c r="H7044" t="s">
        <v>3401</v>
      </c>
      <c r="I7044">
        <v>5405</v>
      </c>
      <c r="J7044" s="3">
        <v>50</v>
      </c>
      <c r="K7044" s="3">
        <v>23.26</v>
      </c>
      <c r="L7044">
        <v>53.48</v>
      </c>
    </row>
    <row r="7045" spans="1:12">
      <c r="A7045" s="1">
        <v>46050</v>
      </c>
      <c r="B7045" t="s">
        <v>4395</v>
      </c>
      <c r="C7045">
        <v>14</v>
      </c>
      <c r="D7045" t="str">
        <f>VLOOKUP(Tabela26[[#This Row],[EMP]],[1]LOJA!$A:$B,2,0)</f>
        <v>S IA</v>
      </c>
      <c r="E7045">
        <v>54</v>
      </c>
      <c r="F7045" t="s">
        <v>3403</v>
      </c>
      <c r="G7045" t="s">
        <v>3402</v>
      </c>
      <c r="H7045" t="s">
        <v>3401</v>
      </c>
      <c r="I7045">
        <v>5102</v>
      </c>
      <c r="J7045" s="3">
        <v>36.4</v>
      </c>
      <c r="K7045" s="3">
        <v>14.5</v>
      </c>
      <c r="L7045">
        <v>60.16</v>
      </c>
    </row>
    <row r="7046" spans="1:12">
      <c r="A7046" s="1">
        <v>46050</v>
      </c>
      <c r="B7046" t="s">
        <v>4394</v>
      </c>
      <c r="C7046">
        <v>14</v>
      </c>
      <c r="D7046" t="str">
        <f>VLOOKUP(Tabela26[[#This Row],[EMP]],[1]LOJA!$A:$B,2,0)</f>
        <v>S IA</v>
      </c>
      <c r="E7046">
        <v>54</v>
      </c>
      <c r="F7046" t="s">
        <v>4393</v>
      </c>
      <c r="G7046" t="s">
        <v>3402</v>
      </c>
      <c r="H7046" t="s">
        <v>3408</v>
      </c>
      <c r="I7046">
        <v>5405</v>
      </c>
      <c r="J7046" s="3">
        <v>69</v>
      </c>
      <c r="K7046" s="3">
        <v>32.869999999999997</v>
      </c>
      <c r="L7046">
        <v>52.36</v>
      </c>
    </row>
    <row r="7047" spans="1:12">
      <c r="A7047" s="1">
        <v>46050</v>
      </c>
      <c r="B7047" t="s">
        <v>4392</v>
      </c>
      <c r="C7047">
        <v>14</v>
      </c>
      <c r="D7047" t="str">
        <f>VLOOKUP(Tabela26[[#This Row],[EMP]],[1]LOJA!$A:$B,2,0)</f>
        <v>S IA</v>
      </c>
      <c r="E7047">
        <v>54</v>
      </c>
      <c r="F7047" t="s">
        <v>3403</v>
      </c>
      <c r="G7047" t="s">
        <v>3402</v>
      </c>
      <c r="H7047" t="s">
        <v>3401</v>
      </c>
      <c r="I7047">
        <v>5405</v>
      </c>
      <c r="J7047" s="3">
        <v>230</v>
      </c>
      <c r="K7047" s="3">
        <v>122.54</v>
      </c>
      <c r="L7047">
        <v>46.72</v>
      </c>
    </row>
    <row r="7048" spans="1:12">
      <c r="A7048" s="1">
        <v>46050</v>
      </c>
      <c r="B7048" t="s">
        <v>4391</v>
      </c>
      <c r="C7048">
        <v>14</v>
      </c>
      <c r="D7048" t="str">
        <f>VLOOKUP(Tabela26[[#This Row],[EMP]],[1]LOJA!$A:$B,2,0)</f>
        <v>S IA</v>
      </c>
      <c r="E7048">
        <v>54</v>
      </c>
      <c r="F7048" t="s">
        <v>4390</v>
      </c>
      <c r="G7048" t="s">
        <v>3402</v>
      </c>
      <c r="H7048" t="s">
        <v>3401</v>
      </c>
      <c r="I7048">
        <v>5102</v>
      </c>
      <c r="J7048" s="3">
        <v>106.33</v>
      </c>
      <c r="K7048" s="3">
        <v>50.83</v>
      </c>
      <c r="L7048">
        <v>52.2</v>
      </c>
    </row>
    <row r="7049" spans="1:12">
      <c r="A7049" s="1">
        <v>46050</v>
      </c>
      <c r="B7049" t="s">
        <v>4389</v>
      </c>
      <c r="C7049">
        <v>4</v>
      </c>
      <c r="D7049" t="str">
        <f>VLOOKUP(Tabela26[[#This Row],[EMP]],[1]LOJA!$A:$B,2,0)</f>
        <v>ADE</v>
      </c>
      <c r="E7049">
        <v>132</v>
      </c>
      <c r="F7049" t="s">
        <v>3660</v>
      </c>
      <c r="G7049" t="s">
        <v>3659</v>
      </c>
      <c r="H7049" t="s">
        <v>3430</v>
      </c>
      <c r="I7049">
        <v>5405</v>
      </c>
      <c r="J7049" s="3">
        <v>41.92</v>
      </c>
      <c r="K7049" s="3">
        <v>20.43</v>
      </c>
      <c r="L7049">
        <v>51.26</v>
      </c>
    </row>
    <row r="7050" spans="1:12">
      <c r="A7050" s="1">
        <v>46050</v>
      </c>
      <c r="B7050" t="s">
        <v>4388</v>
      </c>
      <c r="C7050">
        <v>4</v>
      </c>
      <c r="D7050" t="str">
        <f>VLOOKUP(Tabela26[[#This Row],[EMP]],[1]LOJA!$A:$B,2,0)</f>
        <v>ADE</v>
      </c>
      <c r="E7050">
        <v>109</v>
      </c>
      <c r="F7050" t="s">
        <v>3660</v>
      </c>
      <c r="G7050" t="s">
        <v>3659</v>
      </c>
      <c r="H7050" t="s">
        <v>3430</v>
      </c>
      <c r="I7050">
        <v>5405</v>
      </c>
      <c r="J7050" s="3">
        <v>107.19</v>
      </c>
      <c r="K7050" s="3">
        <v>53.23</v>
      </c>
      <c r="L7050">
        <v>50.34</v>
      </c>
    </row>
    <row r="7051" spans="1:12">
      <c r="A7051" s="1">
        <v>46050</v>
      </c>
      <c r="B7051" t="s">
        <v>4387</v>
      </c>
      <c r="C7051">
        <v>4</v>
      </c>
      <c r="D7051" t="str">
        <f>VLOOKUP(Tabela26[[#This Row],[EMP]],[1]LOJA!$A:$B,2,0)</f>
        <v>ADE</v>
      </c>
      <c r="E7051">
        <v>132</v>
      </c>
      <c r="F7051" t="s">
        <v>3664</v>
      </c>
      <c r="G7051" t="s">
        <v>3663</v>
      </c>
      <c r="H7051" t="s">
        <v>3430</v>
      </c>
      <c r="I7051">
        <v>5102</v>
      </c>
      <c r="J7051" s="3">
        <v>233.8</v>
      </c>
      <c r="K7051" s="3">
        <v>123.6</v>
      </c>
      <c r="L7051">
        <v>47.13</v>
      </c>
    </row>
    <row r="7052" spans="1:12">
      <c r="A7052" s="1">
        <v>46050</v>
      </c>
      <c r="B7052" t="s">
        <v>4386</v>
      </c>
      <c r="C7052">
        <v>4</v>
      </c>
      <c r="D7052" t="str">
        <f>VLOOKUP(Tabela26[[#This Row],[EMP]],[1]LOJA!$A:$B,2,0)</f>
        <v>ADE</v>
      </c>
      <c r="E7052">
        <v>109</v>
      </c>
      <c r="F7052" t="s">
        <v>3673</v>
      </c>
      <c r="G7052" t="s">
        <v>3672</v>
      </c>
      <c r="H7052" t="s">
        <v>3408</v>
      </c>
      <c r="I7052">
        <v>5102</v>
      </c>
      <c r="J7052" s="3">
        <v>45</v>
      </c>
      <c r="K7052" s="3">
        <v>17.77</v>
      </c>
      <c r="L7052">
        <v>60.51</v>
      </c>
    </row>
    <row r="7053" spans="1:12">
      <c r="A7053" s="1">
        <v>46050</v>
      </c>
      <c r="B7053" t="s">
        <v>4385</v>
      </c>
      <c r="C7053">
        <v>4</v>
      </c>
      <c r="D7053" t="str">
        <f>VLOOKUP(Tabela26[[#This Row],[EMP]],[1]LOJA!$A:$B,2,0)</f>
        <v>ADE</v>
      </c>
      <c r="E7053">
        <v>132</v>
      </c>
      <c r="F7053" t="s">
        <v>3673</v>
      </c>
      <c r="G7053" t="s">
        <v>3672</v>
      </c>
      <c r="H7053" t="s">
        <v>3408</v>
      </c>
      <c r="I7053">
        <v>5102</v>
      </c>
      <c r="J7053" s="3">
        <v>70</v>
      </c>
      <c r="K7053" s="3">
        <v>41.6</v>
      </c>
      <c r="L7053">
        <v>40.57</v>
      </c>
    </row>
    <row r="7054" spans="1:12">
      <c r="A7054" s="1">
        <v>46050</v>
      </c>
      <c r="B7054" t="s">
        <v>4384</v>
      </c>
      <c r="C7054">
        <v>4</v>
      </c>
      <c r="D7054" t="str">
        <f>VLOOKUP(Tabela26[[#This Row],[EMP]],[1]LOJA!$A:$B,2,0)</f>
        <v>ADE</v>
      </c>
      <c r="E7054">
        <v>132</v>
      </c>
      <c r="F7054" t="s">
        <v>4383</v>
      </c>
      <c r="G7054" t="s">
        <v>4382</v>
      </c>
      <c r="H7054" t="s">
        <v>3408</v>
      </c>
      <c r="I7054">
        <v>5405</v>
      </c>
      <c r="J7054" s="3">
        <v>290</v>
      </c>
      <c r="K7054" s="3">
        <v>146.38</v>
      </c>
      <c r="L7054">
        <v>49.52</v>
      </c>
    </row>
    <row r="7055" spans="1:12">
      <c r="A7055" s="1">
        <v>46050</v>
      </c>
      <c r="B7055" t="s">
        <v>4381</v>
      </c>
      <c r="C7055">
        <v>4</v>
      </c>
      <c r="D7055" t="str">
        <f>VLOOKUP(Tabela26[[#This Row],[EMP]],[1]LOJA!$A:$B,2,0)</f>
        <v>ADE</v>
      </c>
      <c r="E7055">
        <v>132</v>
      </c>
      <c r="F7055" t="s">
        <v>3677</v>
      </c>
      <c r="G7055" t="s">
        <v>3676</v>
      </c>
      <c r="H7055" t="s">
        <v>4249</v>
      </c>
      <c r="I7055">
        <v>5102</v>
      </c>
      <c r="J7055" s="3">
        <v>360.65</v>
      </c>
      <c r="K7055" s="3">
        <v>194.76</v>
      </c>
      <c r="L7055">
        <v>46</v>
      </c>
    </row>
    <row r="7056" spans="1:12">
      <c r="A7056" s="1">
        <v>46050</v>
      </c>
      <c r="B7056" t="s">
        <v>4380</v>
      </c>
      <c r="C7056">
        <v>4</v>
      </c>
      <c r="D7056" t="str">
        <f>VLOOKUP(Tabela26[[#This Row],[EMP]],[1]LOJA!$A:$B,2,0)</f>
        <v>ADE</v>
      </c>
      <c r="E7056">
        <v>132</v>
      </c>
      <c r="F7056" t="s">
        <v>3670</v>
      </c>
      <c r="G7056" t="s">
        <v>3669</v>
      </c>
      <c r="H7056" t="s">
        <v>3430</v>
      </c>
      <c r="I7056">
        <v>5102</v>
      </c>
      <c r="J7056" s="3">
        <v>148</v>
      </c>
      <c r="K7056" s="3">
        <v>88.43</v>
      </c>
      <c r="L7056">
        <v>40.25</v>
      </c>
    </row>
    <row r="7057" spans="1:12">
      <c r="A7057" s="1">
        <v>46050</v>
      </c>
      <c r="B7057" t="s">
        <v>4379</v>
      </c>
      <c r="C7057">
        <v>4</v>
      </c>
      <c r="D7057" t="str">
        <f>VLOOKUP(Tabela26[[#This Row],[EMP]],[1]LOJA!$A:$B,2,0)</f>
        <v>ADE</v>
      </c>
      <c r="E7057">
        <v>132</v>
      </c>
      <c r="F7057" t="s">
        <v>3673</v>
      </c>
      <c r="G7057" t="s">
        <v>3672</v>
      </c>
      <c r="H7057" t="s">
        <v>3408</v>
      </c>
      <c r="I7057">
        <v>5102</v>
      </c>
      <c r="J7057" s="3">
        <v>34</v>
      </c>
      <c r="K7057" s="3">
        <v>19.3</v>
      </c>
      <c r="L7057">
        <v>43.24</v>
      </c>
    </row>
    <row r="7058" spans="1:12">
      <c r="A7058" s="1">
        <v>46050</v>
      </c>
      <c r="B7058" t="s">
        <v>4378</v>
      </c>
      <c r="C7058">
        <v>4</v>
      </c>
      <c r="D7058" t="str">
        <f>VLOOKUP(Tabela26[[#This Row],[EMP]],[1]LOJA!$A:$B,2,0)</f>
        <v>ADE</v>
      </c>
      <c r="E7058">
        <v>132</v>
      </c>
      <c r="F7058" t="s">
        <v>4377</v>
      </c>
      <c r="G7058" t="s">
        <v>4376</v>
      </c>
      <c r="H7058" t="s">
        <v>3401</v>
      </c>
      <c r="I7058">
        <v>1411</v>
      </c>
      <c r="J7058" s="3">
        <v>-167.5</v>
      </c>
      <c r="K7058" s="3">
        <v>-91.27</v>
      </c>
      <c r="L7058">
        <v>45.51</v>
      </c>
    </row>
    <row r="7059" spans="1:12">
      <c r="A7059" s="1">
        <v>46050</v>
      </c>
      <c r="B7059" t="s">
        <v>4375</v>
      </c>
      <c r="C7059">
        <v>4</v>
      </c>
      <c r="D7059" t="str">
        <f>VLOOKUP(Tabela26[[#This Row],[EMP]],[1]LOJA!$A:$B,2,0)</f>
        <v>ADE</v>
      </c>
      <c r="E7059">
        <v>132</v>
      </c>
      <c r="F7059" t="s">
        <v>4374</v>
      </c>
      <c r="G7059" t="s">
        <v>4373</v>
      </c>
      <c r="H7059" t="s">
        <v>3408</v>
      </c>
      <c r="I7059">
        <v>5405</v>
      </c>
      <c r="J7059" s="3">
        <v>167.5</v>
      </c>
      <c r="K7059" s="3">
        <v>91.27</v>
      </c>
      <c r="L7059">
        <v>45.51</v>
      </c>
    </row>
    <row r="7060" spans="1:12">
      <c r="A7060" s="1">
        <v>46050</v>
      </c>
      <c r="B7060" t="s">
        <v>4372</v>
      </c>
      <c r="C7060">
        <v>4</v>
      </c>
      <c r="D7060" t="str">
        <f>VLOOKUP(Tabela26[[#This Row],[EMP]],[1]LOJA!$A:$B,2,0)</f>
        <v>ADE</v>
      </c>
      <c r="E7060">
        <v>109</v>
      </c>
      <c r="F7060" t="s">
        <v>3664</v>
      </c>
      <c r="G7060" t="s">
        <v>3663</v>
      </c>
      <c r="H7060" t="s">
        <v>3430</v>
      </c>
      <c r="I7060">
        <v>5405</v>
      </c>
      <c r="J7060" s="3">
        <v>2458.3000000000002</v>
      </c>
      <c r="K7060" s="3">
        <v>1741.05</v>
      </c>
      <c r="L7060">
        <v>29.18</v>
      </c>
    </row>
    <row r="7061" spans="1:12">
      <c r="A7061" s="1">
        <v>46050</v>
      </c>
      <c r="B7061" t="s">
        <v>4371</v>
      </c>
      <c r="C7061">
        <v>4</v>
      </c>
      <c r="D7061" t="str">
        <f>VLOOKUP(Tabela26[[#This Row],[EMP]],[1]LOJA!$A:$B,2,0)</f>
        <v>ADE</v>
      </c>
      <c r="E7061">
        <v>132</v>
      </c>
      <c r="F7061" t="s">
        <v>3667</v>
      </c>
      <c r="G7061" t="s">
        <v>3666</v>
      </c>
      <c r="H7061" t="s">
        <v>3430</v>
      </c>
      <c r="I7061">
        <v>5405</v>
      </c>
      <c r="J7061" s="3">
        <v>176.64</v>
      </c>
      <c r="K7061" s="3">
        <v>86.25</v>
      </c>
      <c r="L7061">
        <v>51.17</v>
      </c>
    </row>
    <row r="7062" spans="1:12">
      <c r="A7062" s="1">
        <v>46050</v>
      </c>
      <c r="B7062" t="s">
        <v>4370</v>
      </c>
      <c r="C7062">
        <v>13</v>
      </c>
      <c r="D7062" t="str">
        <f>VLOOKUP(Tabela26[[#This Row],[EMP]],[1]LOJA!$A:$B,2,0)</f>
        <v>CEILÂNDIA</v>
      </c>
      <c r="E7062">
        <v>86</v>
      </c>
      <c r="F7062" t="s">
        <v>3406</v>
      </c>
      <c r="G7062" t="s">
        <v>3405</v>
      </c>
      <c r="H7062" t="s">
        <v>3408</v>
      </c>
      <c r="I7062">
        <v>5102</v>
      </c>
      <c r="J7062" s="3">
        <v>45</v>
      </c>
      <c r="K7062" s="3">
        <v>23.1</v>
      </c>
      <c r="L7062">
        <v>48.67</v>
      </c>
    </row>
    <row r="7063" spans="1:12">
      <c r="A7063" s="1">
        <v>46050</v>
      </c>
      <c r="B7063" t="s">
        <v>4369</v>
      </c>
      <c r="C7063">
        <v>13</v>
      </c>
      <c r="D7063" t="str">
        <f>VLOOKUP(Tabela26[[#This Row],[EMP]],[1]LOJA!$A:$B,2,0)</f>
        <v>CEILÂNDIA</v>
      </c>
      <c r="E7063">
        <v>86</v>
      </c>
      <c r="F7063" t="s">
        <v>4368</v>
      </c>
      <c r="G7063" t="s">
        <v>3402</v>
      </c>
      <c r="H7063" t="s">
        <v>3408</v>
      </c>
      <c r="I7063">
        <v>5405</v>
      </c>
      <c r="J7063" s="3">
        <v>75</v>
      </c>
      <c r="K7063" s="3">
        <v>36.31</v>
      </c>
      <c r="L7063">
        <v>51.59</v>
      </c>
    </row>
    <row r="7064" spans="1:12">
      <c r="A7064" s="1">
        <v>46050</v>
      </c>
      <c r="B7064" t="s">
        <v>4367</v>
      </c>
      <c r="C7064">
        <v>13</v>
      </c>
      <c r="D7064" t="str">
        <f>VLOOKUP(Tabela26[[#This Row],[EMP]],[1]LOJA!$A:$B,2,0)</f>
        <v>CEILÂNDIA</v>
      </c>
      <c r="E7064">
        <v>86</v>
      </c>
      <c r="F7064" t="s">
        <v>3406</v>
      </c>
      <c r="G7064" t="s">
        <v>3405</v>
      </c>
      <c r="H7064" t="s">
        <v>3408</v>
      </c>
      <c r="I7064">
        <v>5102</v>
      </c>
      <c r="J7064" s="3">
        <v>127.3</v>
      </c>
      <c r="K7064" s="3">
        <v>71.34</v>
      </c>
      <c r="L7064">
        <v>43.96</v>
      </c>
    </row>
    <row r="7065" spans="1:12">
      <c r="A7065" s="1">
        <v>46050</v>
      </c>
      <c r="B7065" t="s">
        <v>4366</v>
      </c>
      <c r="C7065">
        <v>13</v>
      </c>
      <c r="D7065" t="str">
        <f>VLOOKUP(Tabela26[[#This Row],[EMP]],[1]LOJA!$A:$B,2,0)</f>
        <v>CEILÂNDIA</v>
      </c>
      <c r="E7065">
        <v>86</v>
      </c>
      <c r="F7065" t="s">
        <v>3629</v>
      </c>
      <c r="G7065" t="s">
        <v>3628</v>
      </c>
      <c r="H7065" t="s">
        <v>3401</v>
      </c>
      <c r="I7065">
        <v>5405</v>
      </c>
      <c r="J7065" s="3">
        <v>431.9</v>
      </c>
      <c r="K7065" s="3">
        <v>249.02</v>
      </c>
      <c r="L7065">
        <v>42.34</v>
      </c>
    </row>
    <row r="7066" spans="1:12">
      <c r="A7066" s="1">
        <v>46050</v>
      </c>
      <c r="B7066" t="s">
        <v>4365</v>
      </c>
      <c r="C7066">
        <v>13</v>
      </c>
      <c r="D7066" t="str">
        <f>VLOOKUP(Tabela26[[#This Row],[EMP]],[1]LOJA!$A:$B,2,0)</f>
        <v>CEILÂNDIA</v>
      </c>
      <c r="E7066">
        <v>86</v>
      </c>
      <c r="F7066" t="s">
        <v>4346</v>
      </c>
      <c r="G7066" t="s">
        <v>4345</v>
      </c>
      <c r="H7066" t="s">
        <v>3408</v>
      </c>
      <c r="I7066">
        <v>5405</v>
      </c>
      <c r="J7066" s="3">
        <v>200.86</v>
      </c>
      <c r="K7066" s="3">
        <v>105.71</v>
      </c>
      <c r="L7066">
        <v>47.37</v>
      </c>
    </row>
    <row r="7067" spans="1:12">
      <c r="A7067" s="1">
        <v>46050</v>
      </c>
      <c r="B7067" t="s">
        <v>4364</v>
      </c>
      <c r="C7067">
        <v>13</v>
      </c>
      <c r="D7067" t="str">
        <f>VLOOKUP(Tabela26[[#This Row],[EMP]],[1]LOJA!$A:$B,2,0)</f>
        <v>CEILÂNDIA</v>
      </c>
      <c r="E7067">
        <v>86</v>
      </c>
      <c r="F7067" t="s">
        <v>4363</v>
      </c>
      <c r="G7067" t="s">
        <v>3402</v>
      </c>
      <c r="H7067" t="s">
        <v>3401</v>
      </c>
      <c r="I7067">
        <v>5405</v>
      </c>
      <c r="J7067" s="3">
        <v>162</v>
      </c>
      <c r="K7067" s="3">
        <v>83.16</v>
      </c>
      <c r="L7067">
        <v>48.67</v>
      </c>
    </row>
    <row r="7068" spans="1:12">
      <c r="A7068" s="1">
        <v>46050</v>
      </c>
      <c r="B7068" t="s">
        <v>4362</v>
      </c>
      <c r="C7068">
        <v>13</v>
      </c>
      <c r="D7068" t="str">
        <f>VLOOKUP(Tabela26[[#This Row],[EMP]],[1]LOJA!$A:$B,2,0)</f>
        <v>CEILÂNDIA</v>
      </c>
      <c r="E7068">
        <v>86</v>
      </c>
      <c r="F7068" t="s">
        <v>4346</v>
      </c>
      <c r="G7068" t="s">
        <v>4345</v>
      </c>
      <c r="H7068" t="s">
        <v>3408</v>
      </c>
      <c r="I7068">
        <v>5405</v>
      </c>
      <c r="J7068" s="3">
        <v>149.9</v>
      </c>
      <c r="K7068" s="3">
        <v>84.18</v>
      </c>
      <c r="L7068">
        <v>43.84</v>
      </c>
    </row>
    <row r="7069" spans="1:12">
      <c r="A7069" s="1">
        <v>46050</v>
      </c>
      <c r="B7069" t="s">
        <v>4361</v>
      </c>
      <c r="C7069">
        <v>13</v>
      </c>
      <c r="D7069" t="str">
        <f>VLOOKUP(Tabela26[[#This Row],[EMP]],[1]LOJA!$A:$B,2,0)</f>
        <v>CEILÂNDIA</v>
      </c>
      <c r="E7069">
        <v>86</v>
      </c>
      <c r="F7069" t="s">
        <v>4336</v>
      </c>
      <c r="G7069" t="s">
        <v>4335</v>
      </c>
      <c r="H7069" t="s">
        <v>3408</v>
      </c>
      <c r="I7069">
        <v>5102</v>
      </c>
      <c r="J7069" s="3">
        <v>214</v>
      </c>
      <c r="K7069" s="3">
        <v>137.72</v>
      </c>
      <c r="L7069">
        <v>35.64</v>
      </c>
    </row>
    <row r="7070" spans="1:12">
      <c r="A7070" s="1">
        <v>46050</v>
      </c>
      <c r="B7070" t="s">
        <v>4360</v>
      </c>
      <c r="C7070">
        <v>13</v>
      </c>
      <c r="D7070" t="str">
        <f>VLOOKUP(Tabela26[[#This Row],[EMP]],[1]LOJA!$A:$B,2,0)</f>
        <v>CEILÂNDIA</v>
      </c>
      <c r="E7070">
        <v>86</v>
      </c>
      <c r="F7070" t="s">
        <v>3615</v>
      </c>
      <c r="G7070" t="s">
        <v>3614</v>
      </c>
      <c r="H7070" t="s">
        <v>4142</v>
      </c>
      <c r="I7070">
        <v>5102</v>
      </c>
      <c r="J7070" s="3">
        <v>86.4</v>
      </c>
      <c r="K7070" s="3">
        <v>54.56</v>
      </c>
      <c r="L7070">
        <v>36.85</v>
      </c>
    </row>
    <row r="7071" spans="1:12">
      <c r="A7071" s="1">
        <v>46050</v>
      </c>
      <c r="B7071" t="s">
        <v>4359</v>
      </c>
      <c r="C7071">
        <v>13</v>
      </c>
      <c r="D7071" t="str">
        <f>VLOOKUP(Tabela26[[#This Row],[EMP]],[1]LOJA!$A:$B,2,0)</f>
        <v>CEILÂNDIA</v>
      </c>
      <c r="E7071">
        <v>86</v>
      </c>
      <c r="F7071" t="s">
        <v>4358</v>
      </c>
      <c r="G7071" t="s">
        <v>4357</v>
      </c>
      <c r="H7071" t="s">
        <v>3408</v>
      </c>
      <c r="I7071">
        <v>5102</v>
      </c>
      <c r="J7071" s="3">
        <v>40</v>
      </c>
      <c r="K7071" s="3">
        <v>30.8</v>
      </c>
      <c r="L7071">
        <v>23</v>
      </c>
    </row>
    <row r="7072" spans="1:12">
      <c r="A7072" s="1">
        <v>46050</v>
      </c>
      <c r="B7072" t="s">
        <v>4356</v>
      </c>
      <c r="C7072">
        <v>13</v>
      </c>
      <c r="D7072" t="str">
        <f>VLOOKUP(Tabela26[[#This Row],[EMP]],[1]LOJA!$A:$B,2,0)</f>
        <v>CEILÂNDIA</v>
      </c>
      <c r="E7072">
        <v>86</v>
      </c>
      <c r="F7072" t="s">
        <v>4336</v>
      </c>
      <c r="G7072" t="s">
        <v>4335</v>
      </c>
      <c r="H7072" t="s">
        <v>3408</v>
      </c>
      <c r="I7072">
        <v>5102</v>
      </c>
      <c r="J7072" s="3">
        <v>561.5</v>
      </c>
      <c r="K7072" s="3">
        <v>339.38</v>
      </c>
      <c r="L7072">
        <v>39.56</v>
      </c>
    </row>
    <row r="7073" spans="1:12">
      <c r="A7073" s="1">
        <v>46050</v>
      </c>
      <c r="B7073" t="s">
        <v>4355</v>
      </c>
      <c r="C7073">
        <v>13</v>
      </c>
      <c r="D7073" t="str">
        <f>VLOOKUP(Tabela26[[#This Row],[EMP]],[1]LOJA!$A:$B,2,0)</f>
        <v>CEILÂNDIA</v>
      </c>
      <c r="E7073">
        <v>86</v>
      </c>
      <c r="F7073" t="s">
        <v>3649</v>
      </c>
      <c r="G7073" t="s">
        <v>3648</v>
      </c>
      <c r="H7073" t="s">
        <v>3408</v>
      </c>
      <c r="I7073">
        <v>5102</v>
      </c>
      <c r="J7073" s="3">
        <v>92.9</v>
      </c>
      <c r="K7073" s="3">
        <v>62.01</v>
      </c>
      <c r="L7073">
        <v>33.25</v>
      </c>
    </row>
    <row r="7074" spans="1:12">
      <c r="A7074" s="1">
        <v>46050</v>
      </c>
      <c r="B7074" t="s">
        <v>4354</v>
      </c>
      <c r="C7074">
        <v>13</v>
      </c>
      <c r="D7074" t="str">
        <f>VLOOKUP(Tabela26[[#This Row],[EMP]],[1]LOJA!$A:$B,2,0)</f>
        <v>CEILÂNDIA</v>
      </c>
      <c r="E7074">
        <v>86</v>
      </c>
      <c r="F7074" t="s">
        <v>3406</v>
      </c>
      <c r="G7074" t="s">
        <v>3405</v>
      </c>
      <c r="H7074" t="s">
        <v>3408</v>
      </c>
      <c r="I7074">
        <v>5405</v>
      </c>
      <c r="J7074" s="3">
        <v>334.1</v>
      </c>
      <c r="K7074" s="3">
        <v>178.63</v>
      </c>
      <c r="L7074">
        <v>46.53</v>
      </c>
    </row>
    <row r="7075" spans="1:12">
      <c r="A7075" s="1">
        <v>46050</v>
      </c>
      <c r="B7075" t="s">
        <v>4353</v>
      </c>
      <c r="C7075">
        <v>13</v>
      </c>
      <c r="D7075" t="str">
        <f>VLOOKUP(Tabela26[[#This Row],[EMP]],[1]LOJA!$A:$B,2,0)</f>
        <v>CEILÂNDIA</v>
      </c>
      <c r="E7075">
        <v>86</v>
      </c>
      <c r="F7075" t="s">
        <v>3640</v>
      </c>
      <c r="G7075" t="s">
        <v>3639</v>
      </c>
      <c r="H7075" t="s">
        <v>3401</v>
      </c>
      <c r="I7075">
        <v>5405</v>
      </c>
      <c r="J7075" s="3">
        <v>116</v>
      </c>
      <c r="K7075" s="3">
        <v>65.739999999999995</v>
      </c>
      <c r="L7075">
        <v>43.33</v>
      </c>
    </row>
    <row r="7076" spans="1:12">
      <c r="A7076" s="1">
        <v>46050</v>
      </c>
      <c r="B7076" t="s">
        <v>4352</v>
      </c>
      <c r="C7076">
        <v>13</v>
      </c>
      <c r="D7076" t="str">
        <f>VLOOKUP(Tabela26[[#This Row],[EMP]],[1]LOJA!$A:$B,2,0)</f>
        <v>CEILÂNDIA</v>
      </c>
      <c r="E7076">
        <v>86</v>
      </c>
      <c r="F7076" t="s">
        <v>3640</v>
      </c>
      <c r="G7076" t="s">
        <v>3639</v>
      </c>
      <c r="H7076" t="s">
        <v>3401</v>
      </c>
      <c r="I7076">
        <v>5102</v>
      </c>
      <c r="J7076" s="3">
        <v>72</v>
      </c>
      <c r="K7076" s="3">
        <v>38.159999999999997</v>
      </c>
      <c r="L7076">
        <v>47</v>
      </c>
    </row>
    <row r="7077" spans="1:12">
      <c r="A7077" s="1">
        <v>46050</v>
      </c>
      <c r="B7077" t="s">
        <v>4351</v>
      </c>
      <c r="C7077">
        <v>13</v>
      </c>
      <c r="D7077" t="str">
        <f>VLOOKUP(Tabela26[[#This Row],[EMP]],[1]LOJA!$A:$B,2,0)</f>
        <v>CEILÂNDIA</v>
      </c>
      <c r="E7077">
        <v>86</v>
      </c>
      <c r="F7077" t="s">
        <v>3622</v>
      </c>
      <c r="G7077" t="s">
        <v>3402</v>
      </c>
      <c r="H7077" t="s">
        <v>3408</v>
      </c>
      <c r="I7077">
        <v>5102</v>
      </c>
      <c r="J7077" s="3">
        <v>82.4</v>
      </c>
      <c r="K7077" s="3">
        <v>56.06</v>
      </c>
      <c r="L7077">
        <v>31.97</v>
      </c>
    </row>
    <row r="7078" spans="1:12">
      <c r="A7078" s="1">
        <v>46050</v>
      </c>
      <c r="B7078" t="s">
        <v>4350</v>
      </c>
      <c r="C7078">
        <v>13</v>
      </c>
      <c r="D7078" t="str">
        <f>VLOOKUP(Tabela26[[#This Row],[EMP]],[1]LOJA!$A:$B,2,0)</f>
        <v>CEILÂNDIA</v>
      </c>
      <c r="E7078">
        <v>86</v>
      </c>
      <c r="F7078" t="s">
        <v>3403</v>
      </c>
      <c r="G7078" t="s">
        <v>3402</v>
      </c>
      <c r="H7078" t="s">
        <v>3401</v>
      </c>
      <c r="I7078">
        <v>5102</v>
      </c>
      <c r="J7078" s="3">
        <v>55</v>
      </c>
      <c r="K7078" s="3">
        <v>21.14</v>
      </c>
      <c r="L7078">
        <v>61.56</v>
      </c>
    </row>
    <row r="7079" spans="1:12">
      <c r="A7079" s="1">
        <v>46050</v>
      </c>
      <c r="B7079" t="s">
        <v>4349</v>
      </c>
      <c r="C7079">
        <v>13</v>
      </c>
      <c r="D7079" t="str">
        <f>VLOOKUP(Tabela26[[#This Row],[EMP]],[1]LOJA!$A:$B,2,0)</f>
        <v>CEILÂNDIA</v>
      </c>
      <c r="E7079">
        <v>86</v>
      </c>
      <c r="F7079" t="s">
        <v>3414</v>
      </c>
      <c r="G7079" t="s">
        <v>3402</v>
      </c>
      <c r="H7079" t="s">
        <v>3408</v>
      </c>
      <c r="I7079">
        <v>5102</v>
      </c>
      <c r="J7079" s="3">
        <v>35</v>
      </c>
      <c r="K7079" s="3">
        <v>23.54</v>
      </c>
      <c r="L7079">
        <v>32.74</v>
      </c>
    </row>
    <row r="7080" spans="1:12">
      <c r="A7080" s="1">
        <v>46050</v>
      </c>
      <c r="B7080" t="s">
        <v>4348</v>
      </c>
      <c r="C7080">
        <v>13</v>
      </c>
      <c r="D7080" t="str">
        <f>VLOOKUP(Tabela26[[#This Row],[EMP]],[1]LOJA!$A:$B,2,0)</f>
        <v>CEILÂNDIA</v>
      </c>
      <c r="E7080">
        <v>86</v>
      </c>
      <c r="F7080" t="s">
        <v>3406</v>
      </c>
      <c r="G7080" t="s">
        <v>3405</v>
      </c>
      <c r="H7080" t="s">
        <v>3408</v>
      </c>
      <c r="I7080">
        <v>5405</v>
      </c>
      <c r="J7080" s="3">
        <v>120</v>
      </c>
      <c r="K7080" s="3">
        <v>73.41</v>
      </c>
      <c r="L7080">
        <v>38.83</v>
      </c>
    </row>
    <row r="7081" spans="1:12">
      <c r="A7081" s="1">
        <v>46050</v>
      </c>
      <c r="B7081" t="s">
        <v>4347</v>
      </c>
      <c r="C7081">
        <v>13</v>
      </c>
      <c r="D7081" t="str">
        <f>VLOOKUP(Tabela26[[#This Row],[EMP]],[1]LOJA!$A:$B,2,0)</f>
        <v>CEILÂNDIA</v>
      </c>
      <c r="E7081">
        <v>86</v>
      </c>
      <c r="F7081" t="s">
        <v>4346</v>
      </c>
      <c r="G7081" t="s">
        <v>4345</v>
      </c>
      <c r="H7081" t="s">
        <v>4142</v>
      </c>
      <c r="I7081">
        <v>5405</v>
      </c>
      <c r="J7081" s="3">
        <v>109</v>
      </c>
      <c r="K7081" s="3">
        <v>60.68</v>
      </c>
      <c r="L7081">
        <v>44.33</v>
      </c>
    </row>
    <row r="7082" spans="1:12">
      <c r="A7082" s="1">
        <v>46050</v>
      </c>
      <c r="B7082" t="s">
        <v>4344</v>
      </c>
      <c r="C7082">
        <v>13</v>
      </c>
      <c r="D7082" t="str">
        <f>VLOOKUP(Tabela26[[#This Row],[EMP]],[1]LOJA!$A:$B,2,0)</f>
        <v>CEILÂNDIA</v>
      </c>
      <c r="E7082">
        <v>86</v>
      </c>
      <c r="F7082" t="s">
        <v>3403</v>
      </c>
      <c r="G7082" t="s">
        <v>3402</v>
      </c>
      <c r="H7082" t="s">
        <v>3401</v>
      </c>
      <c r="I7082">
        <v>5102</v>
      </c>
      <c r="J7082" s="3">
        <v>65</v>
      </c>
      <c r="K7082" s="3">
        <v>30.82</v>
      </c>
      <c r="L7082">
        <v>52.58</v>
      </c>
    </row>
    <row r="7083" spans="1:12">
      <c r="A7083" s="1">
        <v>46050</v>
      </c>
      <c r="B7083" t="s">
        <v>4343</v>
      </c>
      <c r="C7083">
        <v>13</v>
      </c>
      <c r="D7083" t="str">
        <f>VLOOKUP(Tabela26[[#This Row],[EMP]],[1]LOJA!$A:$B,2,0)</f>
        <v>CEILÂNDIA</v>
      </c>
      <c r="E7083">
        <v>86</v>
      </c>
      <c r="F7083" t="s">
        <v>4342</v>
      </c>
      <c r="G7083" t="s">
        <v>4341</v>
      </c>
      <c r="H7083" t="s">
        <v>3408</v>
      </c>
      <c r="I7083">
        <v>5102</v>
      </c>
      <c r="J7083" s="3">
        <v>47</v>
      </c>
      <c r="K7083" s="3">
        <v>35.119999999999997</v>
      </c>
      <c r="L7083">
        <v>25.28</v>
      </c>
    </row>
    <row r="7084" spans="1:12">
      <c r="A7084" s="1">
        <v>46050</v>
      </c>
      <c r="B7084" t="s">
        <v>4340</v>
      </c>
      <c r="C7084">
        <v>13</v>
      </c>
      <c r="D7084" t="str">
        <f>VLOOKUP(Tabela26[[#This Row],[EMP]],[1]LOJA!$A:$B,2,0)</f>
        <v>CEILÂNDIA</v>
      </c>
      <c r="E7084">
        <v>86</v>
      </c>
      <c r="F7084" t="s">
        <v>3403</v>
      </c>
      <c r="G7084" t="s">
        <v>3402</v>
      </c>
      <c r="H7084" t="s">
        <v>3401</v>
      </c>
      <c r="I7084">
        <v>5102</v>
      </c>
      <c r="J7084" s="3">
        <v>238.5</v>
      </c>
      <c r="K7084" s="3">
        <v>145.04</v>
      </c>
      <c r="L7084">
        <v>39.19</v>
      </c>
    </row>
    <row r="7085" spans="1:12">
      <c r="A7085" s="1">
        <v>46050</v>
      </c>
      <c r="B7085" t="s">
        <v>4339</v>
      </c>
      <c r="C7085">
        <v>13</v>
      </c>
      <c r="D7085" t="str">
        <f>VLOOKUP(Tabela26[[#This Row],[EMP]],[1]LOJA!$A:$B,2,0)</f>
        <v>CEILÂNDIA</v>
      </c>
      <c r="E7085">
        <v>86</v>
      </c>
      <c r="F7085" t="s">
        <v>3403</v>
      </c>
      <c r="G7085" t="s">
        <v>3402</v>
      </c>
      <c r="H7085" t="s">
        <v>3401</v>
      </c>
      <c r="I7085">
        <v>5405</v>
      </c>
      <c r="J7085" s="3">
        <v>60</v>
      </c>
      <c r="K7085" s="3">
        <v>27.76</v>
      </c>
      <c r="L7085">
        <v>53.73</v>
      </c>
    </row>
    <row r="7086" spans="1:12">
      <c r="A7086" s="1">
        <v>46050</v>
      </c>
      <c r="B7086" t="s">
        <v>4338</v>
      </c>
      <c r="C7086">
        <v>13</v>
      </c>
      <c r="D7086" t="str">
        <f>VLOOKUP(Tabela26[[#This Row],[EMP]],[1]LOJA!$A:$B,2,0)</f>
        <v>CEILÂNDIA</v>
      </c>
      <c r="E7086">
        <v>86</v>
      </c>
      <c r="F7086" t="s">
        <v>3403</v>
      </c>
      <c r="G7086" t="s">
        <v>3402</v>
      </c>
      <c r="H7086" t="s">
        <v>3401</v>
      </c>
      <c r="I7086">
        <v>5102</v>
      </c>
      <c r="J7086" s="3">
        <v>125</v>
      </c>
      <c r="K7086" s="3">
        <v>61.51</v>
      </c>
      <c r="L7086">
        <v>50.79</v>
      </c>
    </row>
    <row r="7087" spans="1:12">
      <c r="A7087" s="1">
        <v>46050</v>
      </c>
      <c r="B7087" t="s">
        <v>4337</v>
      </c>
      <c r="C7087">
        <v>13</v>
      </c>
      <c r="D7087" t="str">
        <f>VLOOKUP(Tabela26[[#This Row],[EMP]],[1]LOJA!$A:$B,2,0)</f>
        <v>CEILÂNDIA</v>
      </c>
      <c r="E7087">
        <v>86</v>
      </c>
      <c r="F7087" t="s">
        <v>4336</v>
      </c>
      <c r="G7087" t="s">
        <v>4335</v>
      </c>
      <c r="H7087" t="s">
        <v>3408</v>
      </c>
      <c r="I7087">
        <v>5102</v>
      </c>
      <c r="J7087" s="3">
        <v>63</v>
      </c>
      <c r="K7087" s="3">
        <v>39.17</v>
      </c>
      <c r="L7087">
        <v>37.83</v>
      </c>
    </row>
    <row r="7088" spans="1:12">
      <c r="A7088" s="1">
        <v>46050</v>
      </c>
      <c r="B7088" t="s">
        <v>4334</v>
      </c>
      <c r="C7088">
        <v>13</v>
      </c>
      <c r="D7088" t="str">
        <f>VLOOKUP(Tabela26[[#This Row],[EMP]],[1]LOJA!$A:$B,2,0)</f>
        <v>CEILÂNDIA</v>
      </c>
      <c r="E7088">
        <v>86</v>
      </c>
      <c r="F7088" t="s">
        <v>3403</v>
      </c>
      <c r="G7088" t="s">
        <v>3402</v>
      </c>
      <c r="H7088" t="s">
        <v>3401</v>
      </c>
      <c r="I7088">
        <v>5102</v>
      </c>
      <c r="J7088" s="3">
        <v>17.899999999999999</v>
      </c>
      <c r="K7088" s="3">
        <v>5.83</v>
      </c>
      <c r="L7088">
        <v>67.430000000000007</v>
      </c>
    </row>
    <row r="7089" spans="1:12">
      <c r="A7089" s="1">
        <v>46050</v>
      </c>
      <c r="B7089" t="s">
        <v>4333</v>
      </c>
      <c r="C7089">
        <v>13</v>
      </c>
      <c r="D7089" t="str">
        <f>VLOOKUP(Tabela26[[#This Row],[EMP]],[1]LOJA!$A:$B,2,0)</f>
        <v>CEILÂNDIA</v>
      </c>
      <c r="E7089">
        <v>86</v>
      </c>
      <c r="F7089" t="s">
        <v>3403</v>
      </c>
      <c r="G7089" t="s">
        <v>3402</v>
      </c>
      <c r="H7089" t="s">
        <v>3401</v>
      </c>
      <c r="I7089">
        <v>5405</v>
      </c>
      <c r="J7089" s="3">
        <v>555</v>
      </c>
      <c r="K7089" s="3">
        <v>306.58</v>
      </c>
      <c r="L7089">
        <v>44.76</v>
      </c>
    </row>
    <row r="7090" spans="1:12">
      <c r="A7090" s="1">
        <v>46050</v>
      </c>
      <c r="B7090" t="s">
        <v>4332</v>
      </c>
      <c r="C7090">
        <v>13</v>
      </c>
      <c r="D7090" t="str">
        <f>VLOOKUP(Tabela26[[#This Row],[EMP]],[1]LOJA!$A:$B,2,0)</f>
        <v>CEILÂNDIA</v>
      </c>
      <c r="E7090">
        <v>86</v>
      </c>
      <c r="F7090" t="s">
        <v>3403</v>
      </c>
      <c r="G7090" t="s">
        <v>3402</v>
      </c>
      <c r="H7090" t="s">
        <v>3401</v>
      </c>
      <c r="I7090">
        <v>5102</v>
      </c>
      <c r="J7090" s="3">
        <v>25.9</v>
      </c>
      <c r="K7090" s="3">
        <v>14.91</v>
      </c>
      <c r="L7090">
        <v>42.43</v>
      </c>
    </row>
    <row r="7091" spans="1:12">
      <c r="A7091" s="1">
        <v>46050</v>
      </c>
      <c r="B7091" t="s">
        <v>4331</v>
      </c>
      <c r="C7091">
        <v>13</v>
      </c>
      <c r="D7091" t="str">
        <f>VLOOKUP(Tabela26[[#This Row],[EMP]],[1]LOJA!$A:$B,2,0)</f>
        <v>CEILÂNDIA</v>
      </c>
      <c r="E7091">
        <v>86</v>
      </c>
      <c r="F7091" t="s">
        <v>3403</v>
      </c>
      <c r="G7091" t="s">
        <v>3402</v>
      </c>
      <c r="H7091" t="s">
        <v>3408</v>
      </c>
      <c r="I7091">
        <v>5102</v>
      </c>
      <c r="J7091" s="3">
        <v>20</v>
      </c>
      <c r="K7091" s="3">
        <v>15.4</v>
      </c>
      <c r="L7091">
        <v>23</v>
      </c>
    </row>
    <row r="7092" spans="1:12">
      <c r="A7092" s="1">
        <v>46050</v>
      </c>
      <c r="B7092" t="s">
        <v>4330</v>
      </c>
      <c r="C7092">
        <v>13</v>
      </c>
      <c r="D7092" t="str">
        <f>VLOOKUP(Tabela26[[#This Row],[EMP]],[1]LOJA!$A:$B,2,0)</f>
        <v>CEILÂNDIA</v>
      </c>
      <c r="E7092">
        <v>86</v>
      </c>
      <c r="F7092" t="s">
        <v>3403</v>
      </c>
      <c r="G7092" t="s">
        <v>3402</v>
      </c>
      <c r="H7092" t="s">
        <v>3401</v>
      </c>
      <c r="I7092">
        <v>5102</v>
      </c>
      <c r="J7092" s="3">
        <v>280</v>
      </c>
      <c r="K7092" s="3">
        <v>139.09</v>
      </c>
      <c r="L7092">
        <v>50.33</v>
      </c>
    </row>
    <row r="7093" spans="1:12">
      <c r="A7093" s="1">
        <v>46050</v>
      </c>
      <c r="B7093" t="s">
        <v>4329</v>
      </c>
      <c r="C7093">
        <v>13</v>
      </c>
      <c r="D7093" t="str">
        <f>VLOOKUP(Tabela26[[#This Row],[EMP]],[1]LOJA!$A:$B,2,0)</f>
        <v>CEILÂNDIA</v>
      </c>
      <c r="E7093">
        <v>86</v>
      </c>
      <c r="F7093" t="s">
        <v>3597</v>
      </c>
      <c r="G7093" t="s">
        <v>3596</v>
      </c>
      <c r="H7093" t="s">
        <v>3408</v>
      </c>
      <c r="I7093">
        <v>5405</v>
      </c>
      <c r="J7093" s="3">
        <v>255</v>
      </c>
      <c r="K7093" s="3">
        <v>142.81</v>
      </c>
      <c r="L7093">
        <v>44</v>
      </c>
    </row>
    <row r="7094" spans="1:12">
      <c r="A7094" s="1">
        <v>46050</v>
      </c>
      <c r="B7094" t="s">
        <v>4328</v>
      </c>
      <c r="C7094">
        <v>13</v>
      </c>
      <c r="D7094" t="str">
        <f>VLOOKUP(Tabela26[[#This Row],[EMP]],[1]LOJA!$A:$B,2,0)</f>
        <v>CEILÂNDIA</v>
      </c>
      <c r="E7094">
        <v>86</v>
      </c>
      <c r="F7094" t="s">
        <v>3403</v>
      </c>
      <c r="G7094" t="s">
        <v>3402</v>
      </c>
      <c r="H7094" t="s">
        <v>3401</v>
      </c>
      <c r="I7094">
        <v>5405</v>
      </c>
      <c r="J7094" s="3">
        <v>165</v>
      </c>
      <c r="K7094" s="3">
        <v>103.15</v>
      </c>
      <c r="L7094">
        <v>37.479999999999997</v>
      </c>
    </row>
    <row r="7095" spans="1:12">
      <c r="A7095" s="1">
        <v>46050</v>
      </c>
      <c r="B7095" t="s">
        <v>4327</v>
      </c>
      <c r="C7095">
        <v>13</v>
      </c>
      <c r="D7095" t="str">
        <f>VLOOKUP(Tabela26[[#This Row],[EMP]],[1]LOJA!$A:$B,2,0)</f>
        <v>CEILÂNDIA</v>
      </c>
      <c r="E7095">
        <v>86</v>
      </c>
      <c r="F7095" t="s">
        <v>3649</v>
      </c>
      <c r="G7095" t="s">
        <v>3648</v>
      </c>
      <c r="H7095" t="s">
        <v>3408</v>
      </c>
      <c r="I7095">
        <v>5405</v>
      </c>
      <c r="J7095" s="3">
        <v>124</v>
      </c>
      <c r="K7095" s="3">
        <v>69.86</v>
      </c>
      <c r="L7095">
        <v>43.66</v>
      </c>
    </row>
    <row r="7096" spans="1:12">
      <c r="A7096" s="1">
        <v>46050</v>
      </c>
      <c r="B7096" t="s">
        <v>4326</v>
      </c>
      <c r="C7096">
        <v>13</v>
      </c>
      <c r="D7096" t="str">
        <f>VLOOKUP(Tabela26[[#This Row],[EMP]],[1]LOJA!$A:$B,2,0)</f>
        <v>CEILÂNDIA</v>
      </c>
      <c r="E7096">
        <v>86</v>
      </c>
      <c r="F7096" t="s">
        <v>3403</v>
      </c>
      <c r="G7096" t="s">
        <v>3402</v>
      </c>
      <c r="H7096" t="s">
        <v>3408</v>
      </c>
      <c r="I7096">
        <v>5102</v>
      </c>
      <c r="J7096" s="3">
        <v>68</v>
      </c>
      <c r="K7096" s="3">
        <v>36.619999999999997</v>
      </c>
      <c r="L7096">
        <v>46.15</v>
      </c>
    </row>
    <row r="7097" spans="1:12">
      <c r="A7097" s="1">
        <v>46050</v>
      </c>
      <c r="B7097" t="s">
        <v>4325</v>
      </c>
      <c r="C7097">
        <v>13</v>
      </c>
      <c r="D7097" t="str">
        <f>VLOOKUP(Tabela26[[#This Row],[EMP]],[1]LOJA!$A:$B,2,0)</f>
        <v>CEILÂNDIA</v>
      </c>
      <c r="E7097">
        <v>86</v>
      </c>
      <c r="F7097" t="s">
        <v>3605</v>
      </c>
      <c r="G7097" t="s">
        <v>3604</v>
      </c>
      <c r="H7097" t="s">
        <v>3401</v>
      </c>
      <c r="I7097">
        <v>5405</v>
      </c>
      <c r="J7097" s="3">
        <v>140</v>
      </c>
      <c r="K7097" s="3">
        <v>78.52</v>
      </c>
      <c r="L7097">
        <v>43.91</v>
      </c>
    </row>
    <row r="7098" spans="1:12">
      <c r="A7098" s="1">
        <v>46050</v>
      </c>
      <c r="B7098" t="s">
        <v>4324</v>
      </c>
      <c r="C7098">
        <v>13</v>
      </c>
      <c r="D7098" t="str">
        <f>VLOOKUP(Tabela26[[#This Row],[EMP]],[1]LOJA!$A:$B,2,0)</f>
        <v>CEILÂNDIA</v>
      </c>
      <c r="E7098">
        <v>86</v>
      </c>
      <c r="F7098" t="s">
        <v>3605</v>
      </c>
      <c r="G7098" t="s">
        <v>3604</v>
      </c>
      <c r="H7098" t="s">
        <v>3401</v>
      </c>
      <c r="I7098">
        <v>5405</v>
      </c>
      <c r="J7098" s="3">
        <v>63.67</v>
      </c>
      <c r="K7098" s="3">
        <v>32.869999999999997</v>
      </c>
      <c r="L7098">
        <v>48.37</v>
      </c>
    </row>
    <row r="7099" spans="1:12">
      <c r="A7099" s="1">
        <v>46050</v>
      </c>
      <c r="B7099" t="s">
        <v>4323</v>
      </c>
      <c r="C7099">
        <v>13</v>
      </c>
      <c r="D7099" t="str">
        <f>VLOOKUP(Tabela26[[#This Row],[EMP]],[1]LOJA!$A:$B,2,0)</f>
        <v>CEILÂNDIA</v>
      </c>
      <c r="E7099">
        <v>86</v>
      </c>
      <c r="F7099" t="s">
        <v>4322</v>
      </c>
      <c r="G7099" t="s">
        <v>3402</v>
      </c>
      <c r="H7099" t="s">
        <v>3408</v>
      </c>
      <c r="I7099">
        <v>5102</v>
      </c>
      <c r="J7099" s="3">
        <v>227.4</v>
      </c>
      <c r="K7099" s="3">
        <v>129.06</v>
      </c>
      <c r="L7099">
        <v>43.25</v>
      </c>
    </row>
    <row r="7100" spans="1:12">
      <c r="A7100" s="1">
        <v>46050</v>
      </c>
      <c r="B7100" t="s">
        <v>4321</v>
      </c>
      <c r="C7100">
        <v>13</v>
      </c>
      <c r="D7100" t="str">
        <f>VLOOKUP(Tabela26[[#This Row],[EMP]],[1]LOJA!$A:$B,2,0)</f>
        <v>CEILÂNDIA</v>
      </c>
      <c r="E7100">
        <v>86</v>
      </c>
      <c r="F7100" t="s">
        <v>3622</v>
      </c>
      <c r="G7100" t="s">
        <v>3402</v>
      </c>
      <c r="H7100" t="s">
        <v>3408</v>
      </c>
      <c r="I7100">
        <v>5102</v>
      </c>
      <c r="J7100" s="3">
        <v>64</v>
      </c>
      <c r="K7100" s="3">
        <v>36.04</v>
      </c>
      <c r="L7100">
        <v>43.69</v>
      </c>
    </row>
    <row r="7101" spans="1:12">
      <c r="A7101" s="1">
        <v>46050</v>
      </c>
      <c r="B7101" t="s">
        <v>4320</v>
      </c>
      <c r="C7101">
        <v>13</v>
      </c>
      <c r="D7101" t="str">
        <f>VLOOKUP(Tabela26[[#This Row],[EMP]],[1]LOJA!$A:$B,2,0)</f>
        <v>CEILÂNDIA</v>
      </c>
      <c r="E7101">
        <v>86</v>
      </c>
      <c r="F7101" t="s">
        <v>3634</v>
      </c>
      <c r="G7101" t="s">
        <v>3633</v>
      </c>
      <c r="H7101" t="s">
        <v>4142</v>
      </c>
      <c r="I7101">
        <v>5102</v>
      </c>
      <c r="J7101" s="3">
        <v>105</v>
      </c>
      <c r="K7101" s="3">
        <v>62.38</v>
      </c>
      <c r="L7101">
        <v>40.590000000000003</v>
      </c>
    </row>
    <row r="7102" spans="1:12">
      <c r="A7102" s="1">
        <v>46050</v>
      </c>
      <c r="B7102" t="s">
        <v>4319</v>
      </c>
      <c r="C7102">
        <v>13</v>
      </c>
      <c r="D7102" t="str">
        <f>VLOOKUP(Tabela26[[#This Row],[EMP]],[1]LOJA!$A:$B,2,0)</f>
        <v>CEILÂNDIA</v>
      </c>
      <c r="E7102">
        <v>86</v>
      </c>
      <c r="F7102" t="s">
        <v>4318</v>
      </c>
      <c r="G7102" t="s">
        <v>3402</v>
      </c>
      <c r="H7102" t="s">
        <v>3401</v>
      </c>
      <c r="I7102">
        <v>5405</v>
      </c>
      <c r="J7102" s="3">
        <v>272</v>
      </c>
      <c r="K7102" s="3">
        <v>148.38999999999999</v>
      </c>
      <c r="L7102">
        <v>45.44</v>
      </c>
    </row>
    <row r="7103" spans="1:12">
      <c r="A7103" s="1">
        <v>46050</v>
      </c>
      <c r="B7103" t="s">
        <v>4317</v>
      </c>
      <c r="C7103">
        <v>6</v>
      </c>
      <c r="D7103" t="str">
        <f>VLOOKUP(Tabela26[[#This Row],[EMP]],[1]LOJA!$A:$B,2,0)</f>
        <v>GAMA</v>
      </c>
      <c r="E7103">
        <v>245</v>
      </c>
      <c r="F7103" t="s">
        <v>3568</v>
      </c>
      <c r="G7103" t="s">
        <v>3567</v>
      </c>
      <c r="H7103" t="s">
        <v>3520</v>
      </c>
      <c r="I7103">
        <v>5102</v>
      </c>
      <c r="J7103" s="3">
        <v>50</v>
      </c>
      <c r="K7103" s="3">
        <v>30.04</v>
      </c>
      <c r="L7103">
        <v>39.92</v>
      </c>
    </row>
    <row r="7104" spans="1:12">
      <c r="A7104" s="1">
        <v>46050</v>
      </c>
      <c r="B7104" t="s">
        <v>4316</v>
      </c>
      <c r="C7104">
        <v>6</v>
      </c>
      <c r="D7104" t="str">
        <f>VLOOKUP(Tabela26[[#This Row],[EMP]],[1]LOJA!$A:$B,2,0)</f>
        <v>GAMA</v>
      </c>
      <c r="E7104">
        <v>245</v>
      </c>
      <c r="F7104" t="s">
        <v>3403</v>
      </c>
      <c r="G7104" t="s">
        <v>3402</v>
      </c>
      <c r="H7104" t="s">
        <v>3401</v>
      </c>
      <c r="I7104">
        <v>5102</v>
      </c>
      <c r="J7104" s="3">
        <v>52</v>
      </c>
      <c r="K7104" s="3">
        <v>28.25</v>
      </c>
      <c r="L7104">
        <v>45.67</v>
      </c>
    </row>
    <row r="7105" spans="1:12">
      <c r="A7105" s="1">
        <v>46050</v>
      </c>
      <c r="B7105" t="s">
        <v>4315</v>
      </c>
      <c r="C7105">
        <v>6</v>
      </c>
      <c r="D7105" t="str">
        <f>VLOOKUP(Tabela26[[#This Row],[EMP]],[1]LOJA!$A:$B,2,0)</f>
        <v>GAMA</v>
      </c>
      <c r="E7105">
        <v>245</v>
      </c>
      <c r="F7105" t="s">
        <v>4314</v>
      </c>
      <c r="G7105" t="s">
        <v>4313</v>
      </c>
      <c r="H7105" t="s">
        <v>3401</v>
      </c>
      <c r="I7105">
        <v>5102</v>
      </c>
      <c r="J7105" s="3">
        <v>54</v>
      </c>
      <c r="K7105" s="3">
        <v>32.659999999999997</v>
      </c>
      <c r="L7105">
        <v>39.520000000000003</v>
      </c>
    </row>
    <row r="7106" spans="1:12">
      <c r="A7106" s="1">
        <v>46050</v>
      </c>
      <c r="B7106" t="s">
        <v>4312</v>
      </c>
      <c r="C7106">
        <v>6</v>
      </c>
      <c r="D7106" t="str">
        <f>VLOOKUP(Tabela26[[#This Row],[EMP]],[1]LOJA!$A:$B,2,0)</f>
        <v>GAMA</v>
      </c>
      <c r="E7106">
        <v>245</v>
      </c>
      <c r="F7106" t="s">
        <v>3403</v>
      </c>
      <c r="G7106" t="s">
        <v>3402</v>
      </c>
      <c r="H7106" t="s">
        <v>3401</v>
      </c>
      <c r="I7106">
        <v>5405</v>
      </c>
      <c r="J7106" s="3">
        <v>89</v>
      </c>
      <c r="K7106" s="3">
        <v>45.47</v>
      </c>
      <c r="L7106">
        <v>48.91</v>
      </c>
    </row>
    <row r="7107" spans="1:12">
      <c r="A7107" s="1">
        <v>46050</v>
      </c>
      <c r="B7107" t="s">
        <v>4311</v>
      </c>
      <c r="C7107">
        <v>6</v>
      </c>
      <c r="D7107" t="str">
        <f>VLOOKUP(Tabela26[[#This Row],[EMP]],[1]LOJA!$A:$B,2,0)</f>
        <v>GAMA</v>
      </c>
      <c r="E7107">
        <v>245</v>
      </c>
      <c r="F7107" t="s">
        <v>3399</v>
      </c>
      <c r="G7107" t="s">
        <v>3398</v>
      </c>
      <c r="H7107" t="s">
        <v>3401</v>
      </c>
      <c r="I7107">
        <v>5102</v>
      </c>
      <c r="J7107" s="3">
        <v>50</v>
      </c>
      <c r="K7107" s="3">
        <v>28.46</v>
      </c>
      <c r="L7107">
        <v>43.08</v>
      </c>
    </row>
    <row r="7108" spans="1:12">
      <c r="A7108" s="1">
        <v>46050</v>
      </c>
      <c r="B7108" t="s">
        <v>4310</v>
      </c>
      <c r="C7108">
        <v>6</v>
      </c>
      <c r="D7108" t="str">
        <f>VLOOKUP(Tabela26[[#This Row],[EMP]],[1]LOJA!$A:$B,2,0)</f>
        <v>GAMA</v>
      </c>
      <c r="E7108">
        <v>245</v>
      </c>
      <c r="F7108" t="s">
        <v>3403</v>
      </c>
      <c r="G7108" t="s">
        <v>3402</v>
      </c>
      <c r="H7108" t="s">
        <v>3401</v>
      </c>
      <c r="I7108">
        <v>5102</v>
      </c>
      <c r="J7108" s="3">
        <v>22</v>
      </c>
      <c r="K7108" s="3">
        <v>9.6999999999999993</v>
      </c>
      <c r="L7108">
        <v>55.91</v>
      </c>
    </row>
    <row r="7109" spans="1:12">
      <c r="A7109" s="1">
        <v>46050</v>
      </c>
      <c r="B7109" t="s">
        <v>4309</v>
      </c>
      <c r="C7109">
        <v>6</v>
      </c>
      <c r="D7109" t="str">
        <f>VLOOKUP(Tabela26[[#This Row],[EMP]],[1]LOJA!$A:$B,2,0)</f>
        <v>GAMA</v>
      </c>
      <c r="E7109">
        <v>245</v>
      </c>
      <c r="F7109" t="s">
        <v>4184</v>
      </c>
      <c r="G7109" t="s">
        <v>3402</v>
      </c>
      <c r="H7109" t="s">
        <v>3401</v>
      </c>
      <c r="I7109">
        <v>5102</v>
      </c>
      <c r="J7109" s="3">
        <v>52</v>
      </c>
      <c r="K7109" s="3">
        <v>27.27</v>
      </c>
      <c r="L7109">
        <v>47.56</v>
      </c>
    </row>
    <row r="7110" spans="1:12">
      <c r="A7110" s="1">
        <v>46050</v>
      </c>
      <c r="B7110" t="s">
        <v>4308</v>
      </c>
      <c r="C7110">
        <v>6</v>
      </c>
      <c r="D7110" t="str">
        <f>VLOOKUP(Tabela26[[#This Row],[EMP]],[1]LOJA!$A:$B,2,0)</f>
        <v>GAMA</v>
      </c>
      <c r="E7110">
        <v>245</v>
      </c>
      <c r="F7110" t="s">
        <v>4307</v>
      </c>
      <c r="G7110" t="s">
        <v>4306</v>
      </c>
      <c r="H7110" t="s">
        <v>3408</v>
      </c>
      <c r="I7110">
        <v>5405</v>
      </c>
      <c r="J7110" s="3">
        <v>75</v>
      </c>
      <c r="K7110" s="3">
        <v>30.33</v>
      </c>
      <c r="L7110">
        <v>59.56</v>
      </c>
    </row>
    <row r="7111" spans="1:12">
      <c r="A7111" s="1">
        <v>46050</v>
      </c>
      <c r="B7111" t="s">
        <v>4305</v>
      </c>
      <c r="C7111">
        <v>6</v>
      </c>
      <c r="D7111" t="str">
        <f>VLOOKUP(Tabela26[[#This Row],[EMP]],[1]LOJA!$A:$B,2,0)</f>
        <v>GAMA</v>
      </c>
      <c r="E7111">
        <v>226</v>
      </c>
      <c r="F7111" t="s">
        <v>4304</v>
      </c>
      <c r="G7111" t="s">
        <v>4303</v>
      </c>
      <c r="H7111" t="s">
        <v>3401</v>
      </c>
      <c r="I7111">
        <v>5405</v>
      </c>
      <c r="J7111" s="3">
        <v>57</v>
      </c>
      <c r="K7111" s="3">
        <v>25.33</v>
      </c>
      <c r="L7111">
        <v>55.56</v>
      </c>
    </row>
    <row r="7112" spans="1:12">
      <c r="A7112" s="1">
        <v>46050</v>
      </c>
      <c r="B7112" t="s">
        <v>4302</v>
      </c>
      <c r="C7112">
        <v>6</v>
      </c>
      <c r="D7112" t="str">
        <f>VLOOKUP(Tabela26[[#This Row],[EMP]],[1]LOJA!$A:$B,2,0)</f>
        <v>GAMA</v>
      </c>
      <c r="E7112">
        <v>226</v>
      </c>
      <c r="F7112" t="s">
        <v>3565</v>
      </c>
      <c r="G7112" t="s">
        <v>3564</v>
      </c>
      <c r="H7112" t="s">
        <v>3401</v>
      </c>
      <c r="I7112">
        <v>5405</v>
      </c>
      <c r="J7112" s="3">
        <v>98.9</v>
      </c>
      <c r="K7112" s="3">
        <v>51.59</v>
      </c>
      <c r="L7112">
        <v>47.84</v>
      </c>
    </row>
    <row r="7113" spans="1:12">
      <c r="A7113" s="1">
        <v>46050</v>
      </c>
      <c r="B7113" t="s">
        <v>4301</v>
      </c>
      <c r="C7113">
        <v>4</v>
      </c>
      <c r="D7113" t="str">
        <f>VLOOKUP(Tabela26[[#This Row],[EMP]],[1]LOJA!$A:$B,2,0)</f>
        <v>ADE</v>
      </c>
      <c r="E7113">
        <v>132</v>
      </c>
      <c r="F7113" t="s">
        <v>3562</v>
      </c>
      <c r="G7113" t="s">
        <v>3561</v>
      </c>
      <c r="H7113" t="s">
        <v>4142</v>
      </c>
      <c r="I7113">
        <v>5405</v>
      </c>
      <c r="J7113" s="3">
        <v>1572.2</v>
      </c>
      <c r="K7113" s="3">
        <v>913.18</v>
      </c>
      <c r="L7113">
        <v>41.92</v>
      </c>
    </row>
    <row r="7114" spans="1:12">
      <c r="A7114" s="1">
        <v>46050</v>
      </c>
      <c r="B7114" t="s">
        <v>4300</v>
      </c>
      <c r="C7114">
        <v>4</v>
      </c>
      <c r="D7114" t="str">
        <f>VLOOKUP(Tabela26[[#This Row],[EMP]],[1]LOJA!$A:$B,2,0)</f>
        <v>ADE</v>
      </c>
      <c r="E7114">
        <v>132</v>
      </c>
      <c r="F7114" t="s">
        <v>4299</v>
      </c>
      <c r="G7114" t="s">
        <v>4298</v>
      </c>
      <c r="H7114" t="s">
        <v>4297</v>
      </c>
      <c r="I7114">
        <v>5102</v>
      </c>
      <c r="J7114" s="3">
        <v>111.8</v>
      </c>
      <c r="K7114" s="3">
        <v>64.94</v>
      </c>
      <c r="L7114">
        <v>41.91</v>
      </c>
    </row>
    <row r="7115" spans="1:12">
      <c r="A7115" s="1">
        <v>46050</v>
      </c>
      <c r="B7115" t="s">
        <v>4296</v>
      </c>
      <c r="C7115">
        <v>6</v>
      </c>
      <c r="D7115" t="str">
        <f>VLOOKUP(Tabela26[[#This Row],[EMP]],[1]LOJA!$A:$B,2,0)</f>
        <v>GAMA</v>
      </c>
      <c r="E7115">
        <v>226</v>
      </c>
      <c r="F7115" t="s">
        <v>4204</v>
      </c>
      <c r="G7115" t="s">
        <v>4203</v>
      </c>
      <c r="H7115" t="s">
        <v>3408</v>
      </c>
      <c r="I7115">
        <v>6108</v>
      </c>
      <c r="J7115" s="3">
        <v>176</v>
      </c>
      <c r="K7115" s="3">
        <v>94.43</v>
      </c>
      <c r="L7115">
        <v>46.35</v>
      </c>
    </row>
    <row r="7116" spans="1:12">
      <c r="A7116" s="1">
        <v>46050</v>
      </c>
      <c r="B7116" t="s">
        <v>4295</v>
      </c>
      <c r="C7116">
        <v>6</v>
      </c>
      <c r="D7116" t="str">
        <f>VLOOKUP(Tabela26[[#This Row],[EMP]],[1]LOJA!$A:$B,2,0)</f>
        <v>GAMA</v>
      </c>
      <c r="E7116">
        <v>245</v>
      </c>
      <c r="F7116" t="s">
        <v>3555</v>
      </c>
      <c r="G7116" t="s">
        <v>3554</v>
      </c>
      <c r="H7116" t="s">
        <v>3430</v>
      </c>
      <c r="I7116">
        <v>6403</v>
      </c>
      <c r="J7116" s="3">
        <v>755.13</v>
      </c>
      <c r="K7116" s="3">
        <v>389.81</v>
      </c>
      <c r="L7116">
        <v>48.38</v>
      </c>
    </row>
    <row r="7117" spans="1:12">
      <c r="A7117" s="1">
        <v>46050</v>
      </c>
      <c r="B7117" t="s">
        <v>4294</v>
      </c>
      <c r="C7117">
        <v>6</v>
      </c>
      <c r="D7117" t="str">
        <f>VLOOKUP(Tabela26[[#This Row],[EMP]],[1]LOJA!$A:$B,2,0)</f>
        <v>GAMA</v>
      </c>
      <c r="E7117">
        <v>226</v>
      </c>
      <c r="F7117" t="s">
        <v>4204</v>
      </c>
      <c r="G7117" t="s">
        <v>4203</v>
      </c>
      <c r="H7117" t="s">
        <v>3408</v>
      </c>
      <c r="I7117">
        <v>6108</v>
      </c>
      <c r="J7117" s="3">
        <v>49.8</v>
      </c>
      <c r="K7117" s="3">
        <v>33.68</v>
      </c>
      <c r="L7117">
        <v>32.369999999999997</v>
      </c>
    </row>
    <row r="7118" spans="1:12">
      <c r="A7118" s="1">
        <v>46051</v>
      </c>
      <c r="B7118" t="s">
        <v>4293</v>
      </c>
      <c r="C7118">
        <v>24</v>
      </c>
      <c r="D7118" t="str">
        <f>VLOOKUP(Tabela26[[#This Row],[EMP]],[1]LOJA!$A:$B,2,0)</f>
        <v>LUZIÂNIA</v>
      </c>
      <c r="E7118">
        <v>150</v>
      </c>
      <c r="F7118" t="s">
        <v>4292</v>
      </c>
      <c r="G7118" t="s">
        <v>4291</v>
      </c>
      <c r="H7118" t="s">
        <v>3430</v>
      </c>
      <c r="I7118">
        <v>5102</v>
      </c>
      <c r="J7118" s="3">
        <v>358.8</v>
      </c>
      <c r="K7118" s="3">
        <v>192.24</v>
      </c>
      <c r="L7118">
        <v>46.42</v>
      </c>
    </row>
    <row r="7119" spans="1:12">
      <c r="A7119" s="1">
        <v>46051</v>
      </c>
      <c r="B7119" t="s">
        <v>4290</v>
      </c>
      <c r="C7119">
        <v>24</v>
      </c>
      <c r="D7119" t="str">
        <f>VLOOKUP(Tabela26[[#This Row],[EMP]],[1]LOJA!$A:$B,2,0)</f>
        <v>LUZIÂNIA</v>
      </c>
      <c r="E7119">
        <v>192</v>
      </c>
      <c r="F7119" t="s">
        <v>4289</v>
      </c>
      <c r="G7119" t="s">
        <v>4288</v>
      </c>
      <c r="H7119" t="s">
        <v>3408</v>
      </c>
      <c r="I7119">
        <v>5102</v>
      </c>
      <c r="J7119" s="3">
        <v>72</v>
      </c>
      <c r="K7119" s="3">
        <v>47.38</v>
      </c>
      <c r="L7119">
        <v>34.19</v>
      </c>
    </row>
    <row r="7120" spans="1:12">
      <c r="A7120" s="1">
        <v>46051</v>
      </c>
      <c r="B7120" t="s">
        <v>4287</v>
      </c>
      <c r="C7120">
        <v>24</v>
      </c>
      <c r="D7120" t="str">
        <f>VLOOKUP(Tabela26[[#This Row],[EMP]],[1]LOJA!$A:$B,2,0)</f>
        <v>LUZIÂNIA</v>
      </c>
      <c r="E7120">
        <v>192</v>
      </c>
      <c r="F7120" t="s">
        <v>4286</v>
      </c>
      <c r="G7120" t="s">
        <v>4285</v>
      </c>
      <c r="H7120" t="s">
        <v>3430</v>
      </c>
      <c r="I7120">
        <v>5405</v>
      </c>
      <c r="J7120" s="3">
        <v>169.6</v>
      </c>
      <c r="K7120" s="3">
        <v>62.6</v>
      </c>
      <c r="L7120">
        <v>63.09</v>
      </c>
    </row>
    <row r="7121" spans="1:12">
      <c r="A7121" s="1">
        <v>46051</v>
      </c>
      <c r="B7121" t="s">
        <v>4284</v>
      </c>
      <c r="C7121">
        <v>24</v>
      </c>
      <c r="D7121" t="str">
        <f>VLOOKUP(Tabela26[[#This Row],[EMP]],[1]LOJA!$A:$B,2,0)</f>
        <v>LUZIÂNIA</v>
      </c>
      <c r="E7121">
        <v>242</v>
      </c>
      <c r="F7121" t="s">
        <v>3552</v>
      </c>
      <c r="G7121" t="s">
        <v>3551</v>
      </c>
      <c r="H7121" t="s">
        <v>3408</v>
      </c>
      <c r="I7121">
        <v>6102</v>
      </c>
      <c r="J7121" s="3">
        <v>966.99</v>
      </c>
      <c r="K7121" s="3">
        <v>542.64</v>
      </c>
      <c r="L7121">
        <v>43.88</v>
      </c>
    </row>
    <row r="7122" spans="1:12">
      <c r="A7122" s="1">
        <v>46051</v>
      </c>
      <c r="B7122" t="s">
        <v>4283</v>
      </c>
      <c r="C7122">
        <v>24</v>
      </c>
      <c r="D7122" t="str">
        <f>VLOOKUP(Tabela26[[#This Row],[EMP]],[1]LOJA!$A:$B,2,0)</f>
        <v>LUZIÂNIA</v>
      </c>
      <c r="E7122">
        <v>150</v>
      </c>
      <c r="F7122" t="s">
        <v>4282</v>
      </c>
      <c r="G7122" t="s">
        <v>4281</v>
      </c>
      <c r="H7122" t="s">
        <v>3430</v>
      </c>
      <c r="I7122">
        <v>5405</v>
      </c>
      <c r="J7122" s="3">
        <v>98.08</v>
      </c>
      <c r="K7122" s="3">
        <v>39.700000000000003</v>
      </c>
      <c r="L7122">
        <v>59.52</v>
      </c>
    </row>
    <row r="7123" spans="1:12">
      <c r="A7123" s="1">
        <v>46051</v>
      </c>
      <c r="B7123" t="s">
        <v>4280</v>
      </c>
      <c r="C7123">
        <v>24</v>
      </c>
      <c r="D7123" t="str">
        <f>VLOOKUP(Tabela26[[#This Row],[EMP]],[1]LOJA!$A:$B,2,0)</f>
        <v>LUZIÂNIA</v>
      </c>
      <c r="E7123">
        <v>150</v>
      </c>
      <c r="F7123" t="s">
        <v>4279</v>
      </c>
      <c r="G7123" t="s">
        <v>4278</v>
      </c>
      <c r="H7123" t="s">
        <v>3430</v>
      </c>
      <c r="I7123">
        <v>5102</v>
      </c>
      <c r="J7123" s="3">
        <v>356.8</v>
      </c>
      <c r="K7123" s="3">
        <v>222.8</v>
      </c>
      <c r="L7123">
        <v>37.56</v>
      </c>
    </row>
    <row r="7124" spans="1:12">
      <c r="A7124" s="1">
        <v>46051</v>
      </c>
      <c r="B7124" t="s">
        <v>4277</v>
      </c>
      <c r="C7124">
        <v>24</v>
      </c>
      <c r="D7124" t="str">
        <f>VLOOKUP(Tabela26[[#This Row],[EMP]],[1]LOJA!$A:$B,2,0)</f>
        <v>LUZIÂNIA</v>
      </c>
      <c r="E7124">
        <v>150</v>
      </c>
      <c r="F7124" t="s">
        <v>4276</v>
      </c>
      <c r="G7124" t="s">
        <v>4275</v>
      </c>
      <c r="H7124" t="s">
        <v>3520</v>
      </c>
      <c r="I7124">
        <v>5102</v>
      </c>
      <c r="J7124" s="3">
        <v>229.9</v>
      </c>
      <c r="K7124" s="3">
        <v>148.53</v>
      </c>
      <c r="L7124">
        <v>35.39</v>
      </c>
    </row>
    <row r="7125" spans="1:12">
      <c r="A7125" s="1">
        <v>46051</v>
      </c>
      <c r="B7125" t="s">
        <v>4274</v>
      </c>
      <c r="C7125">
        <v>24</v>
      </c>
      <c r="D7125" t="str">
        <f>VLOOKUP(Tabela26[[#This Row],[EMP]],[1]LOJA!$A:$B,2,0)</f>
        <v>LUZIÂNIA</v>
      </c>
      <c r="E7125">
        <v>150</v>
      </c>
      <c r="F7125" t="s">
        <v>4273</v>
      </c>
      <c r="G7125" t="s">
        <v>4272</v>
      </c>
      <c r="H7125" t="s">
        <v>3520</v>
      </c>
      <c r="I7125">
        <v>5102</v>
      </c>
      <c r="J7125" s="3">
        <v>424</v>
      </c>
      <c r="K7125" s="3">
        <v>270.83999999999997</v>
      </c>
      <c r="L7125">
        <v>36.119999999999997</v>
      </c>
    </row>
    <row r="7126" spans="1:12">
      <c r="A7126" s="1">
        <v>46051</v>
      </c>
      <c r="B7126" t="s">
        <v>4271</v>
      </c>
      <c r="C7126">
        <v>24</v>
      </c>
      <c r="D7126" t="str">
        <f>VLOOKUP(Tabela26[[#This Row],[EMP]],[1]LOJA!$A:$B,2,0)</f>
        <v>LUZIÂNIA</v>
      </c>
      <c r="E7126">
        <v>192</v>
      </c>
      <c r="F7126" t="s">
        <v>4270</v>
      </c>
      <c r="G7126" t="s">
        <v>4269</v>
      </c>
      <c r="H7126" t="s">
        <v>3430</v>
      </c>
      <c r="I7126">
        <v>5405</v>
      </c>
      <c r="J7126" s="3">
        <v>415</v>
      </c>
      <c r="K7126" s="3">
        <v>221.91</v>
      </c>
      <c r="L7126">
        <v>46.53</v>
      </c>
    </row>
    <row r="7127" spans="1:12">
      <c r="A7127" s="1">
        <v>46051</v>
      </c>
      <c r="B7127" t="s">
        <v>4268</v>
      </c>
      <c r="C7127">
        <v>16</v>
      </c>
      <c r="D7127" t="str">
        <f>VLOOKUP(Tabela26[[#This Row],[EMP]],[1]LOJA!$A:$B,2,0)</f>
        <v>AG LINDAS</v>
      </c>
      <c r="E7127">
        <v>240</v>
      </c>
      <c r="F7127" t="s">
        <v>4267</v>
      </c>
      <c r="G7127" t="s">
        <v>4266</v>
      </c>
      <c r="H7127" t="s">
        <v>3430</v>
      </c>
      <c r="I7127">
        <v>5405</v>
      </c>
      <c r="J7127" s="3">
        <v>49.17</v>
      </c>
      <c r="K7127" s="3">
        <v>24.56</v>
      </c>
      <c r="L7127">
        <v>50.05</v>
      </c>
    </row>
    <row r="7128" spans="1:12">
      <c r="A7128" s="1">
        <v>46051</v>
      </c>
      <c r="B7128" t="s">
        <v>4265</v>
      </c>
      <c r="C7128">
        <v>20</v>
      </c>
      <c r="D7128" t="str">
        <f>VLOOKUP(Tabela26[[#This Row],[EMP]],[1]LOJA!$A:$B,2,0)</f>
        <v>DAUTO SERVIÇOS</v>
      </c>
      <c r="E7128">
        <v>232</v>
      </c>
      <c r="F7128" t="s">
        <v>4260</v>
      </c>
      <c r="G7128" t="s">
        <v>4259</v>
      </c>
      <c r="H7128" t="s">
        <v>3430</v>
      </c>
      <c r="I7128">
        <v>5933</v>
      </c>
      <c r="J7128" s="3">
        <v>1567.14</v>
      </c>
      <c r="K7128" s="3">
        <v>0</v>
      </c>
      <c r="L7128">
        <v>100</v>
      </c>
    </row>
    <row r="7129" spans="1:12">
      <c r="A7129" s="1">
        <v>46051</v>
      </c>
      <c r="B7129" t="s">
        <v>4264</v>
      </c>
      <c r="C7129">
        <v>20</v>
      </c>
      <c r="D7129" t="str">
        <f>VLOOKUP(Tabela26[[#This Row],[EMP]],[1]LOJA!$A:$B,2,0)</f>
        <v>DAUTO SERVIÇOS</v>
      </c>
      <c r="E7129">
        <v>232</v>
      </c>
      <c r="F7129" t="s">
        <v>4260</v>
      </c>
      <c r="G7129" t="s">
        <v>4259</v>
      </c>
      <c r="H7129" t="s">
        <v>3430</v>
      </c>
      <c r="I7129">
        <v>5933</v>
      </c>
      <c r="J7129" s="3">
        <v>324.32</v>
      </c>
      <c r="K7129" s="3">
        <v>0</v>
      </c>
      <c r="L7129">
        <v>100</v>
      </c>
    </row>
    <row r="7130" spans="1:12">
      <c r="A7130" s="1">
        <v>46051</v>
      </c>
      <c r="B7130" t="s">
        <v>4263</v>
      </c>
      <c r="C7130">
        <v>20</v>
      </c>
      <c r="D7130" t="str">
        <f>VLOOKUP(Tabela26[[#This Row],[EMP]],[1]LOJA!$A:$B,2,0)</f>
        <v>DAUTO SERVIÇOS</v>
      </c>
      <c r="E7130">
        <v>232</v>
      </c>
      <c r="F7130" t="s">
        <v>4260</v>
      </c>
      <c r="G7130" t="s">
        <v>4259</v>
      </c>
      <c r="H7130" t="s">
        <v>3430</v>
      </c>
      <c r="I7130">
        <v>5933</v>
      </c>
      <c r="J7130" s="3">
        <v>651.99</v>
      </c>
      <c r="K7130" s="3">
        <v>0</v>
      </c>
      <c r="L7130">
        <v>100</v>
      </c>
    </row>
    <row r="7131" spans="1:12">
      <c r="A7131" s="1">
        <v>46051</v>
      </c>
      <c r="B7131" t="s">
        <v>4262</v>
      </c>
      <c r="C7131">
        <v>20</v>
      </c>
      <c r="D7131" t="str">
        <f>VLOOKUP(Tabela26[[#This Row],[EMP]],[1]LOJA!$A:$B,2,0)</f>
        <v>DAUTO SERVIÇOS</v>
      </c>
      <c r="E7131">
        <v>232</v>
      </c>
      <c r="F7131" t="s">
        <v>4260</v>
      </c>
      <c r="G7131" t="s">
        <v>4259</v>
      </c>
      <c r="H7131" t="s">
        <v>3430</v>
      </c>
      <c r="I7131">
        <v>5933</v>
      </c>
      <c r="J7131" s="3">
        <v>4691.1499999999996</v>
      </c>
      <c r="K7131" s="3">
        <v>0</v>
      </c>
      <c r="L7131">
        <v>100</v>
      </c>
    </row>
    <row r="7132" spans="1:12">
      <c r="A7132" s="1">
        <v>46051</v>
      </c>
      <c r="B7132" t="s">
        <v>4261</v>
      </c>
      <c r="C7132">
        <v>20</v>
      </c>
      <c r="D7132" t="str">
        <f>VLOOKUP(Tabela26[[#This Row],[EMP]],[1]LOJA!$A:$B,2,0)</f>
        <v>DAUTO SERVIÇOS</v>
      </c>
      <c r="E7132">
        <v>232</v>
      </c>
      <c r="F7132" t="s">
        <v>4260</v>
      </c>
      <c r="G7132" t="s">
        <v>4259</v>
      </c>
      <c r="H7132" t="s">
        <v>3430</v>
      </c>
      <c r="I7132">
        <v>5933</v>
      </c>
      <c r="J7132" s="3">
        <v>190.4</v>
      </c>
      <c r="K7132" s="3">
        <v>0</v>
      </c>
      <c r="L7132">
        <v>100</v>
      </c>
    </row>
    <row r="7133" spans="1:12">
      <c r="A7133" s="1">
        <v>46051</v>
      </c>
      <c r="B7133" t="s">
        <v>4258</v>
      </c>
      <c r="C7133">
        <v>15</v>
      </c>
      <c r="D7133" t="str">
        <f>VLOOKUP(Tabela26[[#This Row],[EMP]],[1]LOJA!$A:$B,2,0)</f>
        <v>UNAÍ</v>
      </c>
      <c r="E7133">
        <v>183</v>
      </c>
      <c r="F7133" t="s">
        <v>4257</v>
      </c>
      <c r="G7133" t="s">
        <v>4256</v>
      </c>
      <c r="H7133" t="s">
        <v>3408</v>
      </c>
      <c r="I7133">
        <v>5102</v>
      </c>
      <c r="J7133" s="3">
        <v>162.9</v>
      </c>
      <c r="K7133" s="3">
        <v>79.930000000000007</v>
      </c>
      <c r="L7133">
        <v>50.93</v>
      </c>
    </row>
    <row r="7134" spans="1:12">
      <c r="A7134" s="1">
        <v>46051</v>
      </c>
      <c r="B7134" t="s">
        <v>4255</v>
      </c>
      <c r="C7134">
        <v>22</v>
      </c>
      <c r="D7134" t="str">
        <f>VLOOKUP(Tabela26[[#This Row],[EMP]],[1]LOJA!$A:$B,2,0)</f>
        <v>GUARÁ</v>
      </c>
      <c r="E7134">
        <v>93</v>
      </c>
      <c r="F7134" t="s">
        <v>4246</v>
      </c>
      <c r="G7134" t="s">
        <v>4245</v>
      </c>
      <c r="H7134" t="s">
        <v>3430</v>
      </c>
      <c r="I7134">
        <v>5405</v>
      </c>
      <c r="J7134" s="3">
        <v>188.55</v>
      </c>
      <c r="K7134" s="3">
        <v>96.55</v>
      </c>
      <c r="L7134">
        <v>48.79</v>
      </c>
    </row>
    <row r="7135" spans="1:12">
      <c r="A7135" s="1">
        <v>46051</v>
      </c>
      <c r="B7135" t="s">
        <v>4254</v>
      </c>
      <c r="C7135">
        <v>22</v>
      </c>
      <c r="D7135" t="str">
        <f>VLOOKUP(Tabela26[[#This Row],[EMP]],[1]LOJA!$A:$B,2,0)</f>
        <v>GUARÁ</v>
      </c>
      <c r="E7135">
        <v>93</v>
      </c>
      <c r="F7135" t="s">
        <v>4151</v>
      </c>
      <c r="G7135" t="s">
        <v>4150</v>
      </c>
      <c r="H7135" t="s">
        <v>3401</v>
      </c>
      <c r="I7135">
        <v>5910</v>
      </c>
      <c r="J7135" s="3">
        <v>0</v>
      </c>
      <c r="K7135" s="3">
        <v>120.24</v>
      </c>
      <c r="L7135">
        <v>0</v>
      </c>
    </row>
    <row r="7136" spans="1:12">
      <c r="A7136" s="1">
        <v>46051</v>
      </c>
      <c r="B7136" t="s">
        <v>4253</v>
      </c>
      <c r="C7136">
        <v>22</v>
      </c>
      <c r="D7136" t="str">
        <f>VLOOKUP(Tabela26[[#This Row],[EMP]],[1]LOJA!$A:$B,2,0)</f>
        <v>GUARÁ</v>
      </c>
      <c r="E7136">
        <v>93</v>
      </c>
      <c r="F7136" t="s">
        <v>4251</v>
      </c>
      <c r="G7136" t="s">
        <v>4250</v>
      </c>
      <c r="H7136" t="s">
        <v>4249</v>
      </c>
      <c r="I7136">
        <v>5405</v>
      </c>
      <c r="J7136" s="3">
        <v>940.04</v>
      </c>
      <c r="K7136" s="3">
        <v>499.83</v>
      </c>
      <c r="L7136">
        <v>46.83</v>
      </c>
    </row>
    <row r="7137" spans="1:12">
      <c r="A7137" s="1">
        <v>46051</v>
      </c>
      <c r="B7137" t="s">
        <v>4252</v>
      </c>
      <c r="C7137">
        <v>22</v>
      </c>
      <c r="D7137" t="str">
        <f>VLOOKUP(Tabela26[[#This Row],[EMP]],[1]LOJA!$A:$B,2,0)</f>
        <v>GUARÁ</v>
      </c>
      <c r="E7137">
        <v>93</v>
      </c>
      <c r="F7137" t="s">
        <v>4251</v>
      </c>
      <c r="G7137" t="s">
        <v>4250</v>
      </c>
      <c r="H7137" t="s">
        <v>4249</v>
      </c>
      <c r="I7137">
        <v>5405</v>
      </c>
      <c r="J7137" s="3">
        <v>749.01</v>
      </c>
      <c r="K7137" s="3">
        <v>389.67</v>
      </c>
      <c r="L7137">
        <v>47.98</v>
      </c>
    </row>
    <row r="7138" spans="1:12">
      <c r="A7138" s="1">
        <v>46051</v>
      </c>
      <c r="B7138" t="s">
        <v>4248</v>
      </c>
      <c r="C7138">
        <v>22</v>
      </c>
      <c r="D7138" t="str">
        <f>VLOOKUP(Tabela26[[#This Row],[EMP]],[1]LOJA!$A:$B,2,0)</f>
        <v>GUARÁ</v>
      </c>
      <c r="E7138">
        <v>93</v>
      </c>
      <c r="F7138" t="s">
        <v>3535</v>
      </c>
      <c r="G7138" t="s">
        <v>3534</v>
      </c>
      <c r="H7138" t="s">
        <v>4243</v>
      </c>
      <c r="I7138">
        <v>5405</v>
      </c>
      <c r="J7138" s="3">
        <v>615</v>
      </c>
      <c r="K7138" s="3">
        <v>320.02</v>
      </c>
      <c r="L7138">
        <v>47.96</v>
      </c>
    </row>
    <row r="7139" spans="1:12">
      <c r="A7139" s="1">
        <v>46051</v>
      </c>
      <c r="B7139" t="s">
        <v>4247</v>
      </c>
      <c r="C7139">
        <v>22</v>
      </c>
      <c r="D7139" t="str">
        <f>VLOOKUP(Tabela26[[#This Row],[EMP]],[1]LOJA!$A:$B,2,0)</f>
        <v>GUARÁ</v>
      </c>
      <c r="E7139">
        <v>93</v>
      </c>
      <c r="F7139" t="s">
        <v>4246</v>
      </c>
      <c r="G7139" t="s">
        <v>4245</v>
      </c>
      <c r="H7139" t="s">
        <v>3430</v>
      </c>
      <c r="I7139">
        <v>5405</v>
      </c>
      <c r="J7139" s="3">
        <v>112.66</v>
      </c>
      <c r="K7139" s="3">
        <v>60.75</v>
      </c>
      <c r="L7139">
        <v>46.08</v>
      </c>
    </row>
    <row r="7140" spans="1:12">
      <c r="A7140" s="1">
        <v>46051</v>
      </c>
      <c r="B7140" t="s">
        <v>4244</v>
      </c>
      <c r="C7140">
        <v>22</v>
      </c>
      <c r="D7140" t="str">
        <f>VLOOKUP(Tabela26[[#This Row],[EMP]],[1]LOJA!$A:$B,2,0)</f>
        <v>GUARÁ</v>
      </c>
      <c r="E7140">
        <v>93</v>
      </c>
      <c r="F7140" t="s">
        <v>3535</v>
      </c>
      <c r="G7140" t="s">
        <v>3534</v>
      </c>
      <c r="H7140" t="s">
        <v>4243</v>
      </c>
      <c r="I7140">
        <v>5405</v>
      </c>
      <c r="J7140" s="3">
        <v>328.44</v>
      </c>
      <c r="K7140" s="3">
        <v>170.87</v>
      </c>
      <c r="L7140">
        <v>47.98</v>
      </c>
    </row>
    <row r="7141" spans="1:12">
      <c r="A7141" s="1">
        <v>46051</v>
      </c>
      <c r="B7141" t="s">
        <v>4242</v>
      </c>
      <c r="C7141">
        <v>22</v>
      </c>
      <c r="D7141" t="str">
        <f>VLOOKUP(Tabela26[[#This Row],[EMP]],[1]LOJA!$A:$B,2,0)</f>
        <v>GUARÁ</v>
      </c>
      <c r="E7141">
        <v>93</v>
      </c>
      <c r="F7141" t="s">
        <v>4241</v>
      </c>
      <c r="G7141" t="s">
        <v>4240</v>
      </c>
      <c r="H7141" t="s">
        <v>3401</v>
      </c>
      <c r="I7141">
        <v>1202</v>
      </c>
      <c r="J7141" s="3">
        <v>-21.5</v>
      </c>
      <c r="K7141" s="3">
        <v>-11.63</v>
      </c>
      <c r="L7141">
        <v>45.91</v>
      </c>
    </row>
    <row r="7142" spans="1:12">
      <c r="A7142" s="1">
        <v>46051</v>
      </c>
      <c r="B7142" t="s">
        <v>4239</v>
      </c>
      <c r="C7142">
        <v>24</v>
      </c>
      <c r="D7142" t="str">
        <f>VLOOKUP(Tabela26[[#This Row],[EMP]],[1]LOJA!$A:$B,2,0)</f>
        <v>LUZIÂNIA</v>
      </c>
      <c r="E7142">
        <v>150</v>
      </c>
      <c r="F7142" t="s">
        <v>4238</v>
      </c>
      <c r="G7142" t="s">
        <v>4237</v>
      </c>
      <c r="H7142" t="s">
        <v>3401</v>
      </c>
      <c r="I7142">
        <v>5405</v>
      </c>
      <c r="J7142" s="3">
        <v>105</v>
      </c>
      <c r="K7142" s="3">
        <v>54.72</v>
      </c>
      <c r="L7142">
        <v>47.89</v>
      </c>
    </row>
    <row r="7143" spans="1:12">
      <c r="A7143" s="1">
        <v>46051</v>
      </c>
      <c r="B7143" t="s">
        <v>4236</v>
      </c>
      <c r="C7143">
        <v>24</v>
      </c>
      <c r="D7143" t="str">
        <f>VLOOKUP(Tabela26[[#This Row],[EMP]],[1]LOJA!$A:$B,2,0)</f>
        <v>LUZIÂNIA</v>
      </c>
      <c r="E7143">
        <v>150</v>
      </c>
      <c r="F7143" t="s">
        <v>4235</v>
      </c>
      <c r="G7143" t="s">
        <v>3402</v>
      </c>
      <c r="H7143" t="s">
        <v>3408</v>
      </c>
      <c r="I7143">
        <v>5405</v>
      </c>
      <c r="J7143" s="3">
        <v>139.9</v>
      </c>
      <c r="K7143" s="3">
        <v>70.28</v>
      </c>
      <c r="L7143">
        <v>49.76</v>
      </c>
    </row>
    <row r="7144" spans="1:12">
      <c r="A7144" s="1">
        <v>46051</v>
      </c>
      <c r="B7144" t="s">
        <v>4234</v>
      </c>
      <c r="C7144">
        <v>24</v>
      </c>
      <c r="D7144" t="str">
        <f>VLOOKUP(Tabela26[[#This Row],[EMP]],[1]LOJA!$A:$B,2,0)</f>
        <v>LUZIÂNIA</v>
      </c>
      <c r="E7144">
        <v>150</v>
      </c>
      <c r="F7144" t="s">
        <v>4233</v>
      </c>
      <c r="G7144" t="s">
        <v>3437</v>
      </c>
      <c r="H7144" t="s">
        <v>3408</v>
      </c>
      <c r="I7144">
        <v>5405</v>
      </c>
      <c r="J7144" s="3">
        <v>167.7</v>
      </c>
      <c r="K7144" s="3">
        <v>88.88</v>
      </c>
      <c r="L7144">
        <v>47</v>
      </c>
    </row>
    <row r="7145" spans="1:12">
      <c r="A7145" s="1">
        <v>46051</v>
      </c>
      <c r="B7145" t="s">
        <v>4232</v>
      </c>
      <c r="C7145">
        <v>24</v>
      </c>
      <c r="D7145" t="str">
        <f>VLOOKUP(Tabela26[[#This Row],[EMP]],[1]LOJA!$A:$B,2,0)</f>
        <v>LUZIÂNIA</v>
      </c>
      <c r="E7145">
        <v>242</v>
      </c>
      <c r="F7145" t="s">
        <v>3524</v>
      </c>
      <c r="G7145" t="s">
        <v>3402</v>
      </c>
      <c r="H7145" t="s">
        <v>3401</v>
      </c>
      <c r="I7145">
        <v>5102</v>
      </c>
      <c r="J7145" s="3">
        <v>26.96</v>
      </c>
      <c r="K7145" s="3">
        <v>16.82</v>
      </c>
      <c r="L7145">
        <v>37.61</v>
      </c>
    </row>
    <row r="7146" spans="1:12">
      <c r="A7146" s="1">
        <v>46051</v>
      </c>
      <c r="B7146" t="s">
        <v>4231</v>
      </c>
      <c r="C7146">
        <v>24</v>
      </c>
      <c r="D7146" t="str">
        <f>VLOOKUP(Tabela26[[#This Row],[EMP]],[1]LOJA!$A:$B,2,0)</f>
        <v>LUZIÂNIA</v>
      </c>
      <c r="E7146">
        <v>242</v>
      </c>
      <c r="F7146" t="s">
        <v>4230</v>
      </c>
      <c r="G7146" t="s">
        <v>3402</v>
      </c>
      <c r="H7146" t="s">
        <v>3408</v>
      </c>
      <c r="I7146">
        <v>5405</v>
      </c>
      <c r="J7146" s="3">
        <v>219.9</v>
      </c>
      <c r="K7146" s="3">
        <v>137.61000000000001</v>
      </c>
      <c r="L7146">
        <v>37.42</v>
      </c>
    </row>
    <row r="7147" spans="1:12">
      <c r="A7147" s="1">
        <v>46051</v>
      </c>
      <c r="B7147" t="s">
        <v>4229</v>
      </c>
      <c r="C7147">
        <v>24</v>
      </c>
      <c r="D7147" t="str">
        <f>VLOOKUP(Tabela26[[#This Row],[EMP]],[1]LOJA!$A:$B,2,0)</f>
        <v>LUZIÂNIA</v>
      </c>
      <c r="E7147">
        <v>192</v>
      </c>
      <c r="F7147" t="s">
        <v>3524</v>
      </c>
      <c r="G7147" t="s">
        <v>3402</v>
      </c>
      <c r="H7147" t="s">
        <v>3401</v>
      </c>
      <c r="I7147">
        <v>5102</v>
      </c>
      <c r="J7147" s="3">
        <v>65</v>
      </c>
      <c r="K7147" s="3">
        <v>30.9</v>
      </c>
      <c r="L7147">
        <v>52.46</v>
      </c>
    </row>
    <row r="7148" spans="1:12">
      <c r="A7148" s="1">
        <v>46051</v>
      </c>
      <c r="B7148" t="s">
        <v>4228</v>
      </c>
      <c r="C7148">
        <v>24</v>
      </c>
      <c r="D7148" t="str">
        <f>VLOOKUP(Tabela26[[#This Row],[EMP]],[1]LOJA!$A:$B,2,0)</f>
        <v>LUZIÂNIA</v>
      </c>
      <c r="E7148">
        <v>192</v>
      </c>
      <c r="F7148" t="s">
        <v>4216</v>
      </c>
      <c r="G7148" t="s">
        <v>4215</v>
      </c>
      <c r="H7148" t="s">
        <v>3401</v>
      </c>
      <c r="I7148">
        <v>5102</v>
      </c>
      <c r="J7148" s="3">
        <v>191</v>
      </c>
      <c r="K7148" s="3">
        <v>96.42</v>
      </c>
      <c r="L7148">
        <v>49.52</v>
      </c>
    </row>
    <row r="7149" spans="1:12">
      <c r="A7149" s="1">
        <v>46051</v>
      </c>
      <c r="B7149" t="s">
        <v>4227</v>
      </c>
      <c r="C7149">
        <v>24</v>
      </c>
      <c r="D7149" t="str">
        <f>VLOOKUP(Tabela26[[#This Row],[EMP]],[1]LOJA!$A:$B,2,0)</f>
        <v>LUZIÂNIA</v>
      </c>
      <c r="E7149">
        <v>192</v>
      </c>
      <c r="F7149" t="s">
        <v>3524</v>
      </c>
      <c r="G7149" t="s">
        <v>3402</v>
      </c>
      <c r="H7149" t="s">
        <v>3401</v>
      </c>
      <c r="I7149">
        <v>5102</v>
      </c>
      <c r="J7149" s="3">
        <v>18</v>
      </c>
      <c r="K7149" s="3">
        <v>8.32</v>
      </c>
      <c r="L7149">
        <v>53.78</v>
      </c>
    </row>
    <row r="7150" spans="1:12">
      <c r="A7150" s="1">
        <v>46051</v>
      </c>
      <c r="B7150" t="s">
        <v>4226</v>
      </c>
      <c r="C7150">
        <v>24</v>
      </c>
      <c r="D7150" t="str">
        <f>VLOOKUP(Tabela26[[#This Row],[EMP]],[1]LOJA!$A:$B,2,0)</f>
        <v>LUZIÂNIA</v>
      </c>
      <c r="E7150">
        <v>242</v>
      </c>
      <c r="F7150" t="s">
        <v>3524</v>
      </c>
      <c r="G7150" t="s">
        <v>3402</v>
      </c>
      <c r="H7150" t="s">
        <v>3401</v>
      </c>
      <c r="I7150">
        <v>5102</v>
      </c>
      <c r="J7150" s="3">
        <v>16</v>
      </c>
      <c r="K7150" s="3">
        <v>9.1199999999999992</v>
      </c>
      <c r="L7150">
        <v>43</v>
      </c>
    </row>
    <row r="7151" spans="1:12">
      <c r="A7151" s="1">
        <v>46051</v>
      </c>
      <c r="B7151" t="s">
        <v>4225</v>
      </c>
      <c r="C7151">
        <v>24</v>
      </c>
      <c r="D7151" t="str">
        <f>VLOOKUP(Tabela26[[#This Row],[EMP]],[1]LOJA!$A:$B,2,0)</f>
        <v>LUZIÂNIA</v>
      </c>
      <c r="E7151">
        <v>192</v>
      </c>
      <c r="F7151" t="s">
        <v>4224</v>
      </c>
      <c r="G7151" t="s">
        <v>3402</v>
      </c>
      <c r="H7151" t="s">
        <v>3401</v>
      </c>
      <c r="I7151">
        <v>5102</v>
      </c>
      <c r="J7151" s="3">
        <v>173</v>
      </c>
      <c r="K7151" s="3">
        <v>80.81</v>
      </c>
      <c r="L7151">
        <v>53.29</v>
      </c>
    </row>
    <row r="7152" spans="1:12">
      <c r="A7152" s="1">
        <v>46051</v>
      </c>
      <c r="B7152" t="s">
        <v>4223</v>
      </c>
      <c r="C7152">
        <v>24</v>
      </c>
      <c r="D7152" t="str">
        <f>VLOOKUP(Tabela26[[#This Row],[EMP]],[1]LOJA!$A:$B,2,0)</f>
        <v>LUZIÂNIA</v>
      </c>
      <c r="E7152">
        <v>192</v>
      </c>
      <c r="F7152" t="s">
        <v>4222</v>
      </c>
      <c r="G7152" t="s">
        <v>4221</v>
      </c>
      <c r="H7152" t="s">
        <v>3408</v>
      </c>
      <c r="I7152">
        <v>5405</v>
      </c>
      <c r="J7152" s="3">
        <v>28</v>
      </c>
      <c r="K7152" s="3">
        <v>11.89</v>
      </c>
      <c r="L7152">
        <v>57.54</v>
      </c>
    </row>
    <row r="7153" spans="1:12">
      <c r="A7153" s="1">
        <v>46051</v>
      </c>
      <c r="B7153" t="s">
        <v>4220</v>
      </c>
      <c r="C7153">
        <v>24</v>
      </c>
      <c r="D7153" t="str">
        <f>VLOOKUP(Tabela26[[#This Row],[EMP]],[1]LOJA!$A:$B,2,0)</f>
        <v>LUZIÂNIA</v>
      </c>
      <c r="E7153">
        <v>192</v>
      </c>
      <c r="F7153" t="s">
        <v>3524</v>
      </c>
      <c r="G7153" t="s">
        <v>3402</v>
      </c>
      <c r="H7153" t="s">
        <v>3401</v>
      </c>
      <c r="I7153">
        <v>5102</v>
      </c>
      <c r="J7153" s="3">
        <v>9</v>
      </c>
      <c r="K7153" s="3">
        <v>4.16</v>
      </c>
      <c r="L7153">
        <v>53.78</v>
      </c>
    </row>
    <row r="7154" spans="1:12">
      <c r="A7154" s="1">
        <v>46051</v>
      </c>
      <c r="B7154" t="s">
        <v>4219</v>
      </c>
      <c r="C7154">
        <v>24</v>
      </c>
      <c r="D7154" t="str">
        <f>VLOOKUP(Tabela26[[#This Row],[EMP]],[1]LOJA!$A:$B,2,0)</f>
        <v>LUZIÂNIA</v>
      </c>
      <c r="E7154">
        <v>192</v>
      </c>
      <c r="F7154" t="s">
        <v>4216</v>
      </c>
      <c r="G7154" t="s">
        <v>4215</v>
      </c>
      <c r="H7154" t="s">
        <v>3401</v>
      </c>
      <c r="I7154">
        <v>5102</v>
      </c>
      <c r="J7154" s="3">
        <v>62</v>
      </c>
      <c r="K7154" s="3">
        <v>34.76</v>
      </c>
      <c r="L7154">
        <v>43.94</v>
      </c>
    </row>
    <row r="7155" spans="1:12">
      <c r="A7155" s="1">
        <v>46051</v>
      </c>
      <c r="B7155" t="s">
        <v>4218</v>
      </c>
      <c r="C7155">
        <v>24</v>
      </c>
      <c r="D7155" t="str">
        <f>VLOOKUP(Tabela26[[#This Row],[EMP]],[1]LOJA!$A:$B,2,0)</f>
        <v>LUZIÂNIA</v>
      </c>
      <c r="E7155">
        <v>192</v>
      </c>
      <c r="F7155" t="s">
        <v>3524</v>
      </c>
      <c r="G7155" t="s">
        <v>3402</v>
      </c>
      <c r="H7155" t="s">
        <v>3401</v>
      </c>
      <c r="I7155">
        <v>5102</v>
      </c>
      <c r="J7155" s="3">
        <v>22</v>
      </c>
      <c r="K7155" s="3">
        <v>10.36</v>
      </c>
      <c r="L7155">
        <v>52.91</v>
      </c>
    </row>
    <row r="7156" spans="1:12">
      <c r="A7156" s="1">
        <v>46051</v>
      </c>
      <c r="B7156" t="s">
        <v>4217</v>
      </c>
      <c r="C7156">
        <v>24</v>
      </c>
      <c r="D7156" t="str">
        <f>VLOOKUP(Tabela26[[#This Row],[EMP]],[1]LOJA!$A:$B,2,0)</f>
        <v>LUZIÂNIA</v>
      </c>
      <c r="E7156">
        <v>192</v>
      </c>
      <c r="F7156" t="s">
        <v>4216</v>
      </c>
      <c r="G7156" t="s">
        <v>4215</v>
      </c>
      <c r="H7156" t="s">
        <v>3401</v>
      </c>
      <c r="I7156">
        <v>5405</v>
      </c>
      <c r="J7156" s="3">
        <v>350</v>
      </c>
      <c r="K7156" s="3">
        <v>180.4</v>
      </c>
      <c r="L7156">
        <v>48.46</v>
      </c>
    </row>
    <row r="7157" spans="1:12">
      <c r="A7157" s="1">
        <v>46051</v>
      </c>
      <c r="B7157" t="s">
        <v>4214</v>
      </c>
      <c r="C7157">
        <v>24</v>
      </c>
      <c r="D7157" t="str">
        <f>VLOOKUP(Tabela26[[#This Row],[EMP]],[1]LOJA!$A:$B,2,0)</f>
        <v>LUZIÂNIA</v>
      </c>
      <c r="E7157">
        <v>192</v>
      </c>
      <c r="F7157" t="s">
        <v>3524</v>
      </c>
      <c r="G7157" t="s">
        <v>3402</v>
      </c>
      <c r="H7157" t="s">
        <v>3401</v>
      </c>
      <c r="I7157">
        <v>5102</v>
      </c>
      <c r="J7157" s="3">
        <v>32</v>
      </c>
      <c r="K7157" s="3">
        <v>21.91</v>
      </c>
      <c r="L7157">
        <v>31.53</v>
      </c>
    </row>
    <row r="7158" spans="1:12">
      <c r="A7158" s="1">
        <v>46051</v>
      </c>
      <c r="B7158" t="s">
        <v>4213</v>
      </c>
      <c r="C7158">
        <v>24</v>
      </c>
      <c r="D7158" t="str">
        <f>VLOOKUP(Tabela26[[#This Row],[EMP]],[1]LOJA!$A:$B,2,0)</f>
        <v>LUZIÂNIA</v>
      </c>
      <c r="E7158">
        <v>192</v>
      </c>
      <c r="F7158" t="s">
        <v>3524</v>
      </c>
      <c r="G7158" t="s">
        <v>3402</v>
      </c>
      <c r="H7158" t="s">
        <v>3401</v>
      </c>
      <c r="I7158">
        <v>5102</v>
      </c>
      <c r="J7158" s="3">
        <v>29</v>
      </c>
      <c r="K7158" s="3">
        <v>11.24</v>
      </c>
      <c r="L7158">
        <v>61.24</v>
      </c>
    </row>
    <row r="7159" spans="1:12">
      <c r="A7159" s="1">
        <v>46051</v>
      </c>
      <c r="B7159" t="s">
        <v>4212</v>
      </c>
      <c r="C7159">
        <v>24</v>
      </c>
      <c r="D7159" t="str">
        <f>VLOOKUP(Tabela26[[#This Row],[EMP]],[1]LOJA!$A:$B,2,0)</f>
        <v>LUZIÂNIA</v>
      </c>
      <c r="E7159">
        <v>192</v>
      </c>
      <c r="F7159" t="s">
        <v>3524</v>
      </c>
      <c r="G7159" t="s">
        <v>3402</v>
      </c>
      <c r="H7159" t="s">
        <v>3401</v>
      </c>
      <c r="I7159">
        <v>5102</v>
      </c>
      <c r="J7159" s="3">
        <v>177.9</v>
      </c>
      <c r="K7159" s="3">
        <v>101.58</v>
      </c>
      <c r="L7159">
        <v>42.9</v>
      </c>
    </row>
    <row r="7160" spans="1:12">
      <c r="A7160" s="1">
        <v>46051</v>
      </c>
      <c r="B7160" t="s">
        <v>4211</v>
      </c>
      <c r="C7160">
        <v>24</v>
      </c>
      <c r="D7160" t="str">
        <f>VLOOKUP(Tabela26[[#This Row],[EMP]],[1]LOJA!$A:$B,2,0)</f>
        <v>LUZIÂNIA</v>
      </c>
      <c r="E7160">
        <v>192</v>
      </c>
      <c r="F7160" t="s">
        <v>4210</v>
      </c>
      <c r="G7160" t="s">
        <v>4209</v>
      </c>
      <c r="H7160" t="s">
        <v>3401</v>
      </c>
      <c r="I7160">
        <v>5405</v>
      </c>
      <c r="J7160" s="3">
        <v>52</v>
      </c>
      <c r="K7160" s="3">
        <v>24</v>
      </c>
      <c r="L7160">
        <v>53.85</v>
      </c>
    </row>
    <row r="7161" spans="1:12">
      <c r="A7161" s="1">
        <v>46051</v>
      </c>
      <c r="B7161" t="s">
        <v>4208</v>
      </c>
      <c r="C7161">
        <v>24</v>
      </c>
      <c r="D7161" t="str">
        <f>VLOOKUP(Tabela26[[#This Row],[EMP]],[1]LOJA!$A:$B,2,0)</f>
        <v>LUZIÂNIA</v>
      </c>
      <c r="E7161">
        <v>192</v>
      </c>
      <c r="F7161" t="s">
        <v>4207</v>
      </c>
      <c r="G7161" t="s">
        <v>4206</v>
      </c>
      <c r="H7161" t="s">
        <v>3408</v>
      </c>
      <c r="I7161">
        <v>5405</v>
      </c>
      <c r="J7161" s="3">
        <v>26</v>
      </c>
      <c r="K7161" s="3">
        <v>11.79</v>
      </c>
      <c r="L7161">
        <v>54.65</v>
      </c>
    </row>
    <row r="7162" spans="1:12">
      <c r="A7162" s="1">
        <v>46051</v>
      </c>
      <c r="B7162" t="s">
        <v>4205</v>
      </c>
      <c r="C7162">
        <v>24</v>
      </c>
      <c r="D7162" t="str">
        <f>VLOOKUP(Tabela26[[#This Row],[EMP]],[1]LOJA!$A:$B,2,0)</f>
        <v>LUZIÂNIA</v>
      </c>
      <c r="E7162">
        <v>150</v>
      </c>
      <c r="F7162" t="s">
        <v>4204</v>
      </c>
      <c r="G7162" t="s">
        <v>4203</v>
      </c>
      <c r="H7162" t="s">
        <v>3408</v>
      </c>
      <c r="I7162">
        <v>5102</v>
      </c>
      <c r="J7162" s="3">
        <v>121.8</v>
      </c>
      <c r="K7162" s="3">
        <v>62.89</v>
      </c>
      <c r="L7162">
        <v>48.37</v>
      </c>
    </row>
    <row r="7163" spans="1:12">
      <c r="A7163" s="1">
        <v>46051</v>
      </c>
      <c r="B7163" t="s">
        <v>4202</v>
      </c>
      <c r="C7163">
        <v>24</v>
      </c>
      <c r="D7163" t="str">
        <f>VLOOKUP(Tabela26[[#This Row],[EMP]],[1]LOJA!$A:$B,2,0)</f>
        <v>LUZIÂNIA</v>
      </c>
      <c r="E7163">
        <v>150</v>
      </c>
      <c r="F7163" t="s">
        <v>4201</v>
      </c>
      <c r="G7163" t="s">
        <v>4200</v>
      </c>
      <c r="H7163" t="s">
        <v>3408</v>
      </c>
      <c r="I7163">
        <v>5102</v>
      </c>
      <c r="J7163" s="3">
        <v>88</v>
      </c>
      <c r="K7163" s="3">
        <v>50.04</v>
      </c>
      <c r="L7163">
        <v>43.14</v>
      </c>
    </row>
    <row r="7164" spans="1:12">
      <c r="A7164" s="1">
        <v>46051</v>
      </c>
      <c r="B7164" t="s">
        <v>4199</v>
      </c>
      <c r="C7164">
        <v>24</v>
      </c>
      <c r="D7164" t="str">
        <f>VLOOKUP(Tabela26[[#This Row],[EMP]],[1]LOJA!$A:$B,2,0)</f>
        <v>LUZIÂNIA</v>
      </c>
      <c r="E7164">
        <v>242</v>
      </c>
      <c r="F7164" t="s">
        <v>3524</v>
      </c>
      <c r="G7164" t="s">
        <v>3402</v>
      </c>
      <c r="H7164" t="s">
        <v>3401</v>
      </c>
      <c r="I7164">
        <v>5405</v>
      </c>
      <c r="J7164" s="3">
        <v>85</v>
      </c>
      <c r="K7164" s="3">
        <v>41.42</v>
      </c>
      <c r="L7164">
        <v>51.27</v>
      </c>
    </row>
    <row r="7165" spans="1:12">
      <c r="A7165" s="1">
        <v>46051</v>
      </c>
      <c r="B7165" t="s">
        <v>4198</v>
      </c>
      <c r="C7165">
        <v>24</v>
      </c>
      <c r="D7165" t="str">
        <f>VLOOKUP(Tabela26[[#This Row],[EMP]],[1]LOJA!$A:$B,2,0)</f>
        <v>LUZIÂNIA</v>
      </c>
      <c r="E7165">
        <v>192</v>
      </c>
      <c r="F7165" t="s">
        <v>4197</v>
      </c>
      <c r="G7165" t="s">
        <v>4196</v>
      </c>
      <c r="H7165" t="s">
        <v>3408</v>
      </c>
      <c r="I7165">
        <v>5405</v>
      </c>
      <c r="J7165" s="3">
        <v>59</v>
      </c>
      <c r="K7165" s="3">
        <v>28.22</v>
      </c>
      <c r="L7165">
        <v>52.17</v>
      </c>
    </row>
    <row r="7166" spans="1:12">
      <c r="A7166" s="1">
        <v>46051</v>
      </c>
      <c r="B7166" t="s">
        <v>4195</v>
      </c>
      <c r="C7166">
        <v>24</v>
      </c>
      <c r="D7166" t="str">
        <f>VLOOKUP(Tabela26[[#This Row],[EMP]],[1]LOJA!$A:$B,2,0)</f>
        <v>LUZIÂNIA</v>
      </c>
      <c r="E7166">
        <v>192</v>
      </c>
      <c r="F7166" t="s">
        <v>4194</v>
      </c>
      <c r="G7166" t="s">
        <v>4193</v>
      </c>
      <c r="H7166" t="s">
        <v>3401</v>
      </c>
      <c r="I7166">
        <v>5405</v>
      </c>
      <c r="J7166" s="3">
        <v>45</v>
      </c>
      <c r="K7166" s="3">
        <v>20.71</v>
      </c>
      <c r="L7166">
        <v>53.98</v>
      </c>
    </row>
    <row r="7167" spans="1:12">
      <c r="A7167" s="1">
        <v>46051</v>
      </c>
      <c r="B7167" t="s">
        <v>4192</v>
      </c>
      <c r="C7167">
        <v>24</v>
      </c>
      <c r="D7167" t="str">
        <f>VLOOKUP(Tabela26[[#This Row],[EMP]],[1]LOJA!$A:$B,2,0)</f>
        <v>LUZIÂNIA</v>
      </c>
      <c r="E7167">
        <v>242</v>
      </c>
      <c r="F7167" t="s">
        <v>3524</v>
      </c>
      <c r="G7167" t="s">
        <v>3402</v>
      </c>
      <c r="H7167" t="s">
        <v>3401</v>
      </c>
      <c r="I7167">
        <v>5102</v>
      </c>
      <c r="J7167" s="3">
        <v>30</v>
      </c>
      <c r="K7167" s="3">
        <v>16.84</v>
      </c>
      <c r="L7167">
        <v>43.87</v>
      </c>
    </row>
    <row r="7168" spans="1:12">
      <c r="A7168" s="1">
        <v>46051</v>
      </c>
      <c r="B7168" t="s">
        <v>4191</v>
      </c>
      <c r="C7168">
        <v>24</v>
      </c>
      <c r="D7168" t="str">
        <f>VLOOKUP(Tabela26[[#This Row],[EMP]],[1]LOJA!$A:$B,2,0)</f>
        <v>LUZIÂNIA</v>
      </c>
      <c r="E7168">
        <v>150</v>
      </c>
      <c r="F7168" t="s">
        <v>3524</v>
      </c>
      <c r="G7168" t="s">
        <v>3402</v>
      </c>
      <c r="H7168" t="s">
        <v>3401</v>
      </c>
      <c r="I7168">
        <v>5102</v>
      </c>
      <c r="J7168" s="3">
        <v>22</v>
      </c>
      <c r="K7168" s="3">
        <v>10.46</v>
      </c>
      <c r="L7168">
        <v>52.45</v>
      </c>
    </row>
    <row r="7169" spans="1:12">
      <c r="A7169" s="1">
        <v>46051</v>
      </c>
      <c r="B7169" t="s">
        <v>4190</v>
      </c>
      <c r="C7169">
        <v>24</v>
      </c>
      <c r="D7169" t="str">
        <f>VLOOKUP(Tabela26[[#This Row],[EMP]],[1]LOJA!$A:$B,2,0)</f>
        <v>LUZIÂNIA</v>
      </c>
      <c r="E7169">
        <v>192</v>
      </c>
      <c r="F7169" t="s">
        <v>4189</v>
      </c>
      <c r="G7169" t="s">
        <v>4188</v>
      </c>
      <c r="H7169" t="s">
        <v>3401</v>
      </c>
      <c r="I7169">
        <v>5405</v>
      </c>
      <c r="J7169" s="3">
        <v>124.9</v>
      </c>
      <c r="K7169" s="3">
        <v>59.58</v>
      </c>
      <c r="L7169">
        <v>52.3</v>
      </c>
    </row>
    <row r="7170" spans="1:12">
      <c r="A7170" s="1">
        <v>46051</v>
      </c>
      <c r="B7170" t="s">
        <v>4187</v>
      </c>
      <c r="C7170">
        <v>24</v>
      </c>
      <c r="D7170" t="str">
        <f>VLOOKUP(Tabela26[[#This Row],[EMP]],[1]LOJA!$A:$B,2,0)</f>
        <v>LUZIÂNIA</v>
      </c>
      <c r="E7170">
        <v>242</v>
      </c>
      <c r="F7170" t="s">
        <v>4186</v>
      </c>
      <c r="G7170" t="s">
        <v>3402</v>
      </c>
      <c r="H7170" t="s">
        <v>3401</v>
      </c>
      <c r="I7170">
        <v>5405</v>
      </c>
      <c r="J7170" s="3">
        <v>330</v>
      </c>
      <c r="K7170" s="3">
        <v>163.63</v>
      </c>
      <c r="L7170">
        <v>50.42</v>
      </c>
    </row>
    <row r="7171" spans="1:12">
      <c r="A7171" s="1">
        <v>46051</v>
      </c>
      <c r="B7171" t="s">
        <v>4185</v>
      </c>
      <c r="C7171">
        <v>24</v>
      </c>
      <c r="D7171" t="str">
        <f>VLOOKUP(Tabela26[[#This Row],[EMP]],[1]LOJA!$A:$B,2,0)</f>
        <v>LUZIÂNIA</v>
      </c>
      <c r="E7171">
        <v>192</v>
      </c>
      <c r="F7171" t="s">
        <v>4184</v>
      </c>
      <c r="G7171" t="s">
        <v>3402</v>
      </c>
      <c r="H7171" t="s">
        <v>3408</v>
      </c>
      <c r="I7171">
        <v>5405</v>
      </c>
      <c r="J7171" s="3">
        <v>130</v>
      </c>
      <c r="K7171" s="3">
        <v>63.22</v>
      </c>
      <c r="L7171">
        <v>51.37</v>
      </c>
    </row>
    <row r="7172" spans="1:12">
      <c r="A7172" s="1">
        <v>46051</v>
      </c>
      <c r="B7172" t="s">
        <v>4183</v>
      </c>
      <c r="C7172">
        <v>24</v>
      </c>
      <c r="D7172" t="str">
        <f>VLOOKUP(Tabela26[[#This Row],[EMP]],[1]LOJA!$A:$B,2,0)</f>
        <v>LUZIÂNIA</v>
      </c>
      <c r="E7172">
        <v>150</v>
      </c>
      <c r="F7172" t="s">
        <v>4182</v>
      </c>
      <c r="G7172" t="s">
        <v>4181</v>
      </c>
      <c r="H7172" t="s">
        <v>3408</v>
      </c>
      <c r="I7172">
        <v>5102</v>
      </c>
      <c r="J7172" s="3">
        <v>78</v>
      </c>
      <c r="K7172" s="3">
        <v>40.56</v>
      </c>
      <c r="L7172">
        <v>48</v>
      </c>
    </row>
    <row r="7173" spans="1:12">
      <c r="A7173" s="1">
        <v>46051</v>
      </c>
      <c r="B7173" t="s">
        <v>4180</v>
      </c>
      <c r="C7173">
        <v>24</v>
      </c>
      <c r="D7173" t="str">
        <f>VLOOKUP(Tabela26[[#This Row],[EMP]],[1]LOJA!$A:$B,2,0)</f>
        <v>LUZIÂNIA</v>
      </c>
      <c r="E7173">
        <v>242</v>
      </c>
      <c r="F7173" t="s">
        <v>4179</v>
      </c>
      <c r="G7173" t="s">
        <v>4178</v>
      </c>
      <c r="H7173" t="s">
        <v>3401</v>
      </c>
      <c r="I7173">
        <v>5102</v>
      </c>
      <c r="J7173" s="3">
        <v>206</v>
      </c>
      <c r="K7173" s="3">
        <v>104.54</v>
      </c>
      <c r="L7173">
        <v>49.25</v>
      </c>
    </row>
    <row r="7174" spans="1:12">
      <c r="A7174" s="1">
        <v>46051</v>
      </c>
      <c r="B7174" t="s">
        <v>4177</v>
      </c>
      <c r="C7174">
        <v>24</v>
      </c>
      <c r="D7174" t="str">
        <f>VLOOKUP(Tabela26[[#This Row],[EMP]],[1]LOJA!$A:$B,2,0)</f>
        <v>LUZIÂNIA</v>
      </c>
      <c r="E7174">
        <v>150</v>
      </c>
      <c r="F7174" t="s">
        <v>4176</v>
      </c>
      <c r="G7174" t="s">
        <v>4175</v>
      </c>
      <c r="H7174" t="s">
        <v>3408</v>
      </c>
      <c r="I7174">
        <v>5405</v>
      </c>
      <c r="J7174" s="3">
        <v>1274.78</v>
      </c>
      <c r="K7174" s="3">
        <v>523.73</v>
      </c>
      <c r="L7174">
        <v>58.92</v>
      </c>
    </row>
    <row r="7175" spans="1:12">
      <c r="A7175" s="1">
        <v>46051</v>
      </c>
      <c r="B7175" t="s">
        <v>4174</v>
      </c>
      <c r="C7175">
        <v>24</v>
      </c>
      <c r="D7175" t="str">
        <f>VLOOKUP(Tabela26[[#This Row],[EMP]],[1]LOJA!$A:$B,2,0)</f>
        <v>LUZIÂNIA</v>
      </c>
      <c r="E7175">
        <v>150</v>
      </c>
      <c r="F7175" t="s">
        <v>4173</v>
      </c>
      <c r="G7175" t="s">
        <v>3402</v>
      </c>
      <c r="H7175" t="s">
        <v>3408</v>
      </c>
      <c r="I7175">
        <v>5102</v>
      </c>
      <c r="J7175" s="3">
        <v>30</v>
      </c>
      <c r="K7175" s="3">
        <v>19.260000000000002</v>
      </c>
      <c r="L7175">
        <v>35.799999999999997</v>
      </c>
    </row>
    <row r="7176" spans="1:12">
      <c r="A7176" s="1">
        <v>46051</v>
      </c>
      <c r="B7176" t="s">
        <v>4172</v>
      </c>
      <c r="C7176">
        <v>24</v>
      </c>
      <c r="D7176" t="str">
        <f>VLOOKUP(Tabela26[[#This Row],[EMP]],[1]LOJA!$A:$B,2,0)</f>
        <v>LUZIÂNIA</v>
      </c>
      <c r="E7176">
        <v>192</v>
      </c>
      <c r="F7176" t="s">
        <v>3524</v>
      </c>
      <c r="G7176" t="s">
        <v>3402</v>
      </c>
      <c r="H7176" t="s">
        <v>3401</v>
      </c>
      <c r="I7176">
        <v>5102</v>
      </c>
      <c r="J7176" s="3">
        <v>14</v>
      </c>
      <c r="K7176" s="3">
        <v>9.36</v>
      </c>
      <c r="L7176">
        <v>33.14</v>
      </c>
    </row>
    <row r="7177" spans="1:12">
      <c r="A7177" s="1">
        <v>46051</v>
      </c>
      <c r="B7177" t="s">
        <v>4171</v>
      </c>
      <c r="C7177">
        <v>24</v>
      </c>
      <c r="D7177" t="str">
        <f>VLOOKUP(Tabela26[[#This Row],[EMP]],[1]LOJA!$A:$B,2,0)</f>
        <v>LUZIÂNIA</v>
      </c>
      <c r="E7177">
        <v>192</v>
      </c>
      <c r="F7177" t="s">
        <v>3527</v>
      </c>
      <c r="G7177" t="s">
        <v>3526</v>
      </c>
      <c r="H7177" t="s">
        <v>3401</v>
      </c>
      <c r="I7177">
        <v>5405</v>
      </c>
      <c r="J7177" s="3">
        <v>177</v>
      </c>
      <c r="K7177" s="3">
        <v>98.4</v>
      </c>
      <c r="L7177">
        <v>44.41</v>
      </c>
    </row>
    <row r="7178" spans="1:12">
      <c r="A7178" s="1">
        <v>46051</v>
      </c>
      <c r="B7178" t="s">
        <v>4170</v>
      </c>
      <c r="C7178">
        <v>24</v>
      </c>
      <c r="D7178" t="str">
        <f>VLOOKUP(Tabela26[[#This Row],[EMP]],[1]LOJA!$A:$B,2,0)</f>
        <v>LUZIÂNIA</v>
      </c>
      <c r="E7178">
        <v>192</v>
      </c>
      <c r="F7178" t="s">
        <v>4169</v>
      </c>
      <c r="G7178" t="s">
        <v>4168</v>
      </c>
      <c r="H7178" t="s">
        <v>3401</v>
      </c>
      <c r="I7178">
        <v>5405</v>
      </c>
      <c r="J7178" s="3">
        <v>498</v>
      </c>
      <c r="K7178" s="3">
        <v>262.88</v>
      </c>
      <c r="L7178">
        <v>47.21</v>
      </c>
    </row>
    <row r="7179" spans="1:12">
      <c r="A7179" s="1">
        <v>46051</v>
      </c>
      <c r="B7179" t="s">
        <v>4167</v>
      </c>
      <c r="C7179">
        <v>24</v>
      </c>
      <c r="D7179" t="str">
        <f>VLOOKUP(Tabela26[[#This Row],[EMP]],[1]LOJA!$A:$B,2,0)</f>
        <v>LUZIÂNIA</v>
      </c>
      <c r="E7179">
        <v>192</v>
      </c>
      <c r="F7179" t="s">
        <v>3524</v>
      </c>
      <c r="G7179" t="s">
        <v>3402</v>
      </c>
      <c r="H7179" t="s">
        <v>3408</v>
      </c>
      <c r="I7179">
        <v>5405</v>
      </c>
      <c r="J7179" s="3">
        <v>96</v>
      </c>
      <c r="K7179" s="3">
        <v>38.81</v>
      </c>
      <c r="L7179">
        <v>59.57</v>
      </c>
    </row>
    <row r="7180" spans="1:12">
      <c r="A7180" s="1">
        <v>46051</v>
      </c>
      <c r="B7180" t="s">
        <v>4166</v>
      </c>
      <c r="C7180">
        <v>24</v>
      </c>
      <c r="D7180" t="str">
        <f>VLOOKUP(Tabela26[[#This Row],[EMP]],[1]LOJA!$A:$B,2,0)</f>
        <v>LUZIÂNIA</v>
      </c>
      <c r="E7180">
        <v>192</v>
      </c>
      <c r="F7180" t="s">
        <v>3524</v>
      </c>
      <c r="G7180" t="s">
        <v>3402</v>
      </c>
      <c r="H7180" t="s">
        <v>3401</v>
      </c>
      <c r="I7180">
        <v>5102</v>
      </c>
      <c r="J7180" s="3">
        <v>9</v>
      </c>
      <c r="K7180" s="3">
        <v>4.16</v>
      </c>
      <c r="L7180">
        <v>53.78</v>
      </c>
    </row>
    <row r="7181" spans="1:12">
      <c r="A7181" s="1">
        <v>46051</v>
      </c>
      <c r="B7181" t="s">
        <v>4165</v>
      </c>
      <c r="C7181">
        <v>24</v>
      </c>
      <c r="D7181" t="str">
        <f>VLOOKUP(Tabela26[[#This Row],[EMP]],[1]LOJA!$A:$B,2,0)</f>
        <v>LUZIÂNIA</v>
      </c>
      <c r="E7181">
        <v>150</v>
      </c>
      <c r="F7181" t="s">
        <v>3524</v>
      </c>
      <c r="G7181" t="s">
        <v>3402</v>
      </c>
      <c r="H7181" t="s">
        <v>3401</v>
      </c>
      <c r="I7181">
        <v>5102</v>
      </c>
      <c r="J7181" s="3">
        <v>29</v>
      </c>
      <c r="K7181" s="3">
        <v>15.58</v>
      </c>
      <c r="L7181">
        <v>46.28</v>
      </c>
    </row>
    <row r="7182" spans="1:12">
      <c r="A7182" s="1">
        <v>46051</v>
      </c>
      <c r="B7182" t="s">
        <v>4164</v>
      </c>
      <c r="C7182">
        <v>24</v>
      </c>
      <c r="D7182" t="str">
        <f>VLOOKUP(Tabela26[[#This Row],[EMP]],[1]LOJA!$A:$B,2,0)</f>
        <v>LUZIÂNIA</v>
      </c>
      <c r="E7182">
        <v>192</v>
      </c>
      <c r="F7182" t="s">
        <v>3524</v>
      </c>
      <c r="G7182" t="s">
        <v>3402</v>
      </c>
      <c r="H7182" t="s">
        <v>3401</v>
      </c>
      <c r="I7182">
        <v>5102</v>
      </c>
      <c r="J7182" s="3">
        <v>20</v>
      </c>
      <c r="K7182" s="3">
        <v>15.4</v>
      </c>
      <c r="L7182">
        <v>23</v>
      </c>
    </row>
    <row r="7183" spans="1:12">
      <c r="A7183" s="1">
        <v>46051</v>
      </c>
      <c r="B7183" t="s">
        <v>4163</v>
      </c>
      <c r="C7183">
        <v>12</v>
      </c>
      <c r="D7183" t="str">
        <f>VLOOKUP(Tabela26[[#This Row],[EMP]],[1]LOJA!$A:$B,2,0)</f>
        <v>SOFNORTE</v>
      </c>
      <c r="E7183">
        <v>60</v>
      </c>
      <c r="F7183" t="s">
        <v>4162</v>
      </c>
      <c r="G7183" t="s">
        <v>4161</v>
      </c>
      <c r="H7183" t="s">
        <v>3430</v>
      </c>
      <c r="I7183">
        <v>5405</v>
      </c>
      <c r="J7183" s="3">
        <v>28.04</v>
      </c>
      <c r="K7183" s="3">
        <v>13.4</v>
      </c>
      <c r="L7183">
        <v>52.21</v>
      </c>
    </row>
    <row r="7184" spans="1:12">
      <c r="A7184" s="1">
        <v>46051</v>
      </c>
      <c r="B7184" t="s">
        <v>4160</v>
      </c>
      <c r="C7184">
        <v>12</v>
      </c>
      <c r="D7184" t="str">
        <f>VLOOKUP(Tabela26[[#This Row],[EMP]],[1]LOJA!$A:$B,2,0)</f>
        <v>SOFNORTE</v>
      </c>
      <c r="E7184">
        <v>60</v>
      </c>
      <c r="F7184" t="s">
        <v>4159</v>
      </c>
      <c r="G7184" t="s">
        <v>4158</v>
      </c>
      <c r="H7184" t="s">
        <v>3430</v>
      </c>
      <c r="I7184">
        <v>5405</v>
      </c>
      <c r="J7184" s="3">
        <v>52.04</v>
      </c>
      <c r="K7184" s="3">
        <v>24.33</v>
      </c>
      <c r="L7184">
        <v>53.25</v>
      </c>
    </row>
    <row r="7185" spans="1:12">
      <c r="A7185" s="1">
        <v>46051</v>
      </c>
      <c r="B7185" t="s">
        <v>4157</v>
      </c>
      <c r="C7185">
        <v>12</v>
      </c>
      <c r="D7185" t="str">
        <f>VLOOKUP(Tabela26[[#This Row],[EMP]],[1]LOJA!$A:$B,2,0)</f>
        <v>SOFNORTE</v>
      </c>
      <c r="E7185">
        <v>60</v>
      </c>
      <c r="F7185" t="s">
        <v>4156</v>
      </c>
      <c r="G7185" t="s">
        <v>4155</v>
      </c>
      <c r="H7185" t="s">
        <v>3689</v>
      </c>
      <c r="I7185">
        <v>5405</v>
      </c>
      <c r="J7185" s="3">
        <v>100</v>
      </c>
      <c r="K7185" s="3">
        <v>48.47</v>
      </c>
      <c r="L7185">
        <v>51.53</v>
      </c>
    </row>
    <row r="7186" spans="1:12">
      <c r="A7186" s="1">
        <v>46051</v>
      </c>
      <c r="B7186" t="s">
        <v>4154</v>
      </c>
      <c r="C7186">
        <v>12</v>
      </c>
      <c r="D7186" t="str">
        <f>VLOOKUP(Tabela26[[#This Row],[EMP]],[1]LOJA!$A:$B,2,0)</f>
        <v>SOFNORTE</v>
      </c>
      <c r="E7186">
        <v>60</v>
      </c>
      <c r="F7186" t="s">
        <v>3522</v>
      </c>
      <c r="G7186" t="s">
        <v>3521</v>
      </c>
      <c r="H7186" t="s">
        <v>3520</v>
      </c>
      <c r="I7186">
        <v>5405</v>
      </c>
      <c r="J7186" s="3">
        <v>221</v>
      </c>
      <c r="K7186" s="3">
        <v>108.18</v>
      </c>
      <c r="L7186">
        <v>51.05</v>
      </c>
    </row>
    <row r="7187" spans="1:12">
      <c r="A7187" s="1">
        <v>46051</v>
      </c>
      <c r="B7187" t="s">
        <v>4153</v>
      </c>
      <c r="C7187">
        <v>22</v>
      </c>
      <c r="D7187" t="str">
        <f>VLOOKUP(Tabela26[[#This Row],[EMP]],[1]LOJA!$A:$B,2,0)</f>
        <v>GUARÁ</v>
      </c>
      <c r="E7187">
        <v>93</v>
      </c>
      <c r="F7187" t="s">
        <v>4144</v>
      </c>
      <c r="G7187" t="s">
        <v>4143</v>
      </c>
      <c r="H7187" t="s">
        <v>4142</v>
      </c>
      <c r="I7187">
        <v>5102</v>
      </c>
      <c r="J7187" s="3">
        <v>47.25</v>
      </c>
      <c r="K7187" s="3">
        <v>28.15</v>
      </c>
      <c r="L7187">
        <v>40.42</v>
      </c>
    </row>
    <row r="7188" spans="1:12">
      <c r="A7188" s="1">
        <v>46051</v>
      </c>
      <c r="B7188" t="s">
        <v>4152</v>
      </c>
      <c r="C7188">
        <v>22</v>
      </c>
      <c r="D7188" t="str">
        <f>VLOOKUP(Tabela26[[#This Row],[EMP]],[1]LOJA!$A:$B,2,0)</f>
        <v>GUARÁ</v>
      </c>
      <c r="E7188">
        <v>93</v>
      </c>
      <c r="F7188" t="s">
        <v>4151</v>
      </c>
      <c r="G7188" t="s">
        <v>4150</v>
      </c>
      <c r="H7188" t="s">
        <v>3430</v>
      </c>
      <c r="I7188">
        <v>5405</v>
      </c>
      <c r="J7188" s="3">
        <v>1479.94</v>
      </c>
      <c r="K7188" s="3">
        <v>840.27</v>
      </c>
      <c r="L7188">
        <v>43.22</v>
      </c>
    </row>
    <row r="7189" spans="1:12">
      <c r="A7189" s="1">
        <v>46051</v>
      </c>
      <c r="B7189" t="s">
        <v>4149</v>
      </c>
      <c r="C7189">
        <v>22</v>
      </c>
      <c r="D7189" t="str">
        <f>VLOOKUP(Tabela26[[#This Row],[EMP]],[1]LOJA!$A:$B,2,0)</f>
        <v>GUARÁ</v>
      </c>
      <c r="E7189">
        <v>16</v>
      </c>
      <c r="F7189" t="s">
        <v>4136</v>
      </c>
      <c r="G7189" t="s">
        <v>4135</v>
      </c>
      <c r="H7189" t="s">
        <v>3430</v>
      </c>
      <c r="I7189">
        <v>5405</v>
      </c>
      <c r="J7189" s="3">
        <v>36</v>
      </c>
      <c r="K7189" s="3">
        <v>17.68</v>
      </c>
      <c r="L7189">
        <v>50.89</v>
      </c>
    </row>
    <row r="7190" spans="1:12">
      <c r="A7190" s="1">
        <v>46051</v>
      </c>
      <c r="B7190" t="s">
        <v>4148</v>
      </c>
      <c r="C7190">
        <v>22</v>
      </c>
      <c r="D7190" t="str">
        <f>VLOOKUP(Tabela26[[#This Row],[EMP]],[1]LOJA!$A:$B,2,0)</f>
        <v>GUARÁ</v>
      </c>
      <c r="E7190">
        <v>93</v>
      </c>
      <c r="F7190" t="s">
        <v>4147</v>
      </c>
      <c r="G7190" t="s">
        <v>4146</v>
      </c>
      <c r="H7190" t="s">
        <v>3430</v>
      </c>
      <c r="I7190">
        <v>5405</v>
      </c>
      <c r="J7190" s="3">
        <v>128.55000000000001</v>
      </c>
      <c r="K7190" s="3">
        <v>65.09</v>
      </c>
      <c r="L7190">
        <v>49.37</v>
      </c>
    </row>
    <row r="7191" spans="1:12">
      <c r="A7191" s="1">
        <v>46051</v>
      </c>
      <c r="B7191" t="s">
        <v>4145</v>
      </c>
      <c r="C7191">
        <v>22</v>
      </c>
      <c r="D7191" t="str">
        <f>VLOOKUP(Tabela26[[#This Row],[EMP]],[1]LOJA!$A:$B,2,0)</f>
        <v>GUARÁ</v>
      </c>
      <c r="E7191">
        <v>93</v>
      </c>
      <c r="F7191" t="s">
        <v>4144</v>
      </c>
      <c r="G7191" t="s">
        <v>4143</v>
      </c>
      <c r="H7191" t="s">
        <v>4142</v>
      </c>
      <c r="I7191">
        <v>5405</v>
      </c>
      <c r="J7191" s="3">
        <v>227.79</v>
      </c>
      <c r="K7191" s="3">
        <v>115.82</v>
      </c>
      <c r="L7191">
        <v>49.15</v>
      </c>
    </row>
    <row r="7192" spans="1:12">
      <c r="A7192" s="1">
        <v>46051</v>
      </c>
      <c r="B7192" t="s">
        <v>4141</v>
      </c>
      <c r="C7192">
        <v>22</v>
      </c>
      <c r="D7192" t="str">
        <f>VLOOKUP(Tabela26[[#This Row],[EMP]],[1]LOJA!$A:$B,2,0)</f>
        <v>GUARÁ</v>
      </c>
      <c r="E7192">
        <v>93</v>
      </c>
      <c r="F7192" t="s">
        <v>4140</v>
      </c>
      <c r="G7192" t="s">
        <v>4139</v>
      </c>
      <c r="H7192" t="s">
        <v>3430</v>
      </c>
      <c r="I7192">
        <v>5102</v>
      </c>
      <c r="J7192" s="3">
        <v>70.86</v>
      </c>
      <c r="K7192" s="3">
        <v>37.71</v>
      </c>
      <c r="L7192">
        <v>46.78</v>
      </c>
    </row>
    <row r="7193" spans="1:12">
      <c r="A7193" s="1">
        <v>46051</v>
      </c>
      <c r="B7193" t="s">
        <v>4138</v>
      </c>
      <c r="C7193">
        <v>22</v>
      </c>
      <c r="D7193" t="str">
        <f>VLOOKUP(Tabela26[[#This Row],[EMP]],[1]LOJA!$A:$B,2,0)</f>
        <v>GUARÁ</v>
      </c>
      <c r="E7193">
        <v>16</v>
      </c>
      <c r="F7193" t="s">
        <v>4136</v>
      </c>
      <c r="G7193" t="s">
        <v>4135</v>
      </c>
      <c r="H7193" t="s">
        <v>3430</v>
      </c>
      <c r="I7193">
        <v>5102</v>
      </c>
      <c r="J7193" s="3">
        <v>107.9</v>
      </c>
      <c r="K7193" s="3">
        <v>59.37</v>
      </c>
      <c r="L7193">
        <v>44.98</v>
      </c>
    </row>
    <row r="7194" spans="1:12">
      <c r="A7194" s="1">
        <v>46051</v>
      </c>
      <c r="B7194" t="s">
        <v>4137</v>
      </c>
      <c r="C7194">
        <v>22</v>
      </c>
      <c r="D7194" t="str">
        <f>VLOOKUP(Tabela26[[#This Row],[EMP]],[1]LOJA!$A:$B,2,0)</f>
        <v>GUARÁ</v>
      </c>
      <c r="E7194">
        <v>93</v>
      </c>
      <c r="F7194" t="s">
        <v>4136</v>
      </c>
      <c r="G7194" t="s">
        <v>4135</v>
      </c>
      <c r="H7194" t="s">
        <v>3408</v>
      </c>
      <c r="I7194">
        <v>5405</v>
      </c>
      <c r="J7194" s="3">
        <v>83.53</v>
      </c>
      <c r="K7194" s="3">
        <v>43.3</v>
      </c>
      <c r="L7194">
        <v>48.16</v>
      </c>
    </row>
    <row r="7195" spans="1:12">
      <c r="A7195" s="1">
        <v>46051</v>
      </c>
      <c r="B7195" t="s">
        <v>4134</v>
      </c>
      <c r="C7195">
        <v>13</v>
      </c>
      <c r="D7195" t="str">
        <f>VLOOKUP(Tabela26[[#This Row],[EMP]],[1]LOJA!$A:$B,2,0)</f>
        <v>CEILÂNDIA</v>
      </c>
      <c r="E7195">
        <v>86</v>
      </c>
      <c r="F7195" t="s">
        <v>4133</v>
      </c>
      <c r="G7195" t="s">
        <v>4132</v>
      </c>
      <c r="H7195" t="s">
        <v>3430</v>
      </c>
      <c r="I7195">
        <v>5102</v>
      </c>
      <c r="J7195" s="3">
        <v>70</v>
      </c>
      <c r="K7195" s="3">
        <v>41.6</v>
      </c>
      <c r="L7195">
        <v>40.57</v>
      </c>
    </row>
    <row r="7196" spans="1:12">
      <c r="A7196" s="1">
        <v>46051</v>
      </c>
      <c r="B7196" t="s">
        <v>4131</v>
      </c>
      <c r="C7196">
        <v>13</v>
      </c>
      <c r="D7196" t="str">
        <f>VLOOKUP(Tabela26[[#This Row],[EMP]],[1]LOJA!$A:$B,2,0)</f>
        <v>CEILÂNDIA</v>
      </c>
      <c r="E7196">
        <v>33</v>
      </c>
      <c r="F7196" t="s">
        <v>4122</v>
      </c>
      <c r="G7196" t="s">
        <v>4121</v>
      </c>
      <c r="H7196" t="s">
        <v>3430</v>
      </c>
      <c r="I7196">
        <v>5405</v>
      </c>
      <c r="J7196" s="3">
        <v>476.49</v>
      </c>
      <c r="K7196" s="3">
        <v>245.85</v>
      </c>
      <c r="L7196">
        <v>48.4</v>
      </c>
    </row>
    <row r="7197" spans="1:12">
      <c r="A7197" s="1">
        <v>46051</v>
      </c>
      <c r="B7197" t="s">
        <v>4130</v>
      </c>
      <c r="C7197">
        <v>13</v>
      </c>
      <c r="D7197" t="str">
        <f>VLOOKUP(Tabela26[[#This Row],[EMP]],[1]LOJA!$A:$B,2,0)</f>
        <v>CEILÂNDIA</v>
      </c>
      <c r="E7197">
        <v>33</v>
      </c>
      <c r="F7197" t="s">
        <v>4129</v>
      </c>
      <c r="G7197" t="s">
        <v>4128</v>
      </c>
      <c r="H7197" t="s">
        <v>3401</v>
      </c>
      <c r="I7197">
        <v>1411</v>
      </c>
      <c r="J7197" s="3">
        <v>-39</v>
      </c>
      <c r="K7197" s="3">
        <v>-17.22</v>
      </c>
      <c r="L7197">
        <v>55.85</v>
      </c>
    </row>
    <row r="7198" spans="1:12">
      <c r="A7198" s="1">
        <v>46051</v>
      </c>
      <c r="B7198" t="s">
        <v>4127</v>
      </c>
      <c r="C7198">
        <v>13</v>
      </c>
      <c r="D7198" t="str">
        <f>VLOOKUP(Tabela26[[#This Row],[EMP]],[1]LOJA!$A:$B,2,0)</f>
        <v>CEILÂNDIA</v>
      </c>
      <c r="E7198">
        <v>86</v>
      </c>
      <c r="F7198" t="s">
        <v>4126</v>
      </c>
      <c r="G7198" t="s">
        <v>4125</v>
      </c>
      <c r="H7198" t="s">
        <v>3408</v>
      </c>
      <c r="I7198">
        <v>5405</v>
      </c>
      <c r="J7198" s="3">
        <v>250</v>
      </c>
      <c r="K7198" s="3">
        <v>118.63</v>
      </c>
      <c r="L7198">
        <v>52.55</v>
      </c>
    </row>
    <row r="7199" spans="1:12">
      <c r="A7199" s="1">
        <v>46051</v>
      </c>
      <c r="B7199" t="s">
        <v>4124</v>
      </c>
      <c r="C7199">
        <v>13</v>
      </c>
      <c r="D7199" t="str">
        <f>VLOOKUP(Tabela26[[#This Row],[EMP]],[1]LOJA!$A:$B,2,0)</f>
        <v>CEILÂNDIA</v>
      </c>
      <c r="E7199">
        <v>86</v>
      </c>
      <c r="F7199" t="s">
        <v>3615</v>
      </c>
      <c r="G7199" t="s">
        <v>3614</v>
      </c>
      <c r="H7199" t="s">
        <v>3408</v>
      </c>
      <c r="I7199">
        <v>5102</v>
      </c>
      <c r="J7199" s="3">
        <v>1209.9000000000001</v>
      </c>
      <c r="K7199" s="3">
        <v>843.53</v>
      </c>
      <c r="L7199">
        <v>30.28</v>
      </c>
    </row>
    <row r="7200" spans="1:12">
      <c r="A7200" s="1">
        <v>46051</v>
      </c>
      <c r="B7200" t="s">
        <v>4123</v>
      </c>
      <c r="C7200">
        <v>13</v>
      </c>
      <c r="D7200" t="str">
        <f>VLOOKUP(Tabela26[[#This Row],[EMP]],[1]LOJA!$A:$B,2,0)</f>
        <v>CEILÂNDIA</v>
      </c>
      <c r="E7200">
        <v>33</v>
      </c>
      <c r="F7200" t="s">
        <v>4122</v>
      </c>
      <c r="G7200" t="s">
        <v>4121</v>
      </c>
      <c r="H7200" t="s">
        <v>3430</v>
      </c>
      <c r="I7200">
        <v>5405</v>
      </c>
      <c r="J7200" s="3">
        <v>42.03</v>
      </c>
      <c r="K7200" s="3">
        <v>20.71</v>
      </c>
      <c r="L7200">
        <v>50.73</v>
      </c>
    </row>
    <row r="7201" spans="1:12">
      <c r="A7201" s="1">
        <v>46051</v>
      </c>
      <c r="B7201" t="s">
        <v>4120</v>
      </c>
      <c r="C7201">
        <v>13</v>
      </c>
      <c r="D7201" t="str">
        <f>VLOOKUP(Tabela26[[#This Row],[EMP]],[1]LOJA!$A:$B,2,0)</f>
        <v>CEILÂNDIA</v>
      </c>
      <c r="E7201">
        <v>86</v>
      </c>
      <c r="F7201" t="s">
        <v>4118</v>
      </c>
      <c r="G7201" t="s">
        <v>4117</v>
      </c>
      <c r="H7201" t="s">
        <v>3430</v>
      </c>
      <c r="I7201">
        <v>5405</v>
      </c>
      <c r="J7201" s="3">
        <v>267.52</v>
      </c>
      <c r="K7201" s="3">
        <v>143.13999999999999</v>
      </c>
      <c r="L7201">
        <v>46.49</v>
      </c>
    </row>
    <row r="7202" spans="1:12">
      <c r="A7202" s="1">
        <v>46051</v>
      </c>
      <c r="B7202" t="s">
        <v>4119</v>
      </c>
      <c r="C7202">
        <v>13</v>
      </c>
      <c r="D7202" t="str">
        <f>VLOOKUP(Tabela26[[#This Row],[EMP]],[1]LOJA!$A:$B,2,0)</f>
        <v>CEILÂNDIA</v>
      </c>
      <c r="E7202">
        <v>86</v>
      </c>
      <c r="F7202" t="s">
        <v>4118</v>
      </c>
      <c r="G7202" t="s">
        <v>4117</v>
      </c>
      <c r="H7202" t="s">
        <v>3430</v>
      </c>
      <c r="I7202">
        <v>5102</v>
      </c>
      <c r="J7202" s="3">
        <v>59.42</v>
      </c>
      <c r="K7202" s="3">
        <v>23.58</v>
      </c>
      <c r="L7202">
        <v>60.32</v>
      </c>
    </row>
    <row r="7203" spans="1:12">
      <c r="A7203" s="1">
        <v>46051</v>
      </c>
      <c r="B7203" t="s">
        <v>4116</v>
      </c>
      <c r="C7203">
        <v>13</v>
      </c>
      <c r="D7203" t="str">
        <f>VLOOKUP(Tabela26[[#This Row],[EMP]],[1]LOJA!$A:$B,2,0)</f>
        <v>CEILÂNDIA</v>
      </c>
      <c r="E7203">
        <v>86</v>
      </c>
      <c r="F7203" t="s">
        <v>4115</v>
      </c>
      <c r="G7203" t="s">
        <v>4114</v>
      </c>
      <c r="H7203" t="s">
        <v>3430</v>
      </c>
      <c r="I7203">
        <v>5405</v>
      </c>
      <c r="J7203" s="3">
        <v>66.39</v>
      </c>
      <c r="K7203" s="3">
        <v>34.71</v>
      </c>
      <c r="L7203">
        <v>47.72</v>
      </c>
    </row>
    <row r="7204" spans="1:12">
      <c r="A7204" s="1">
        <v>46051</v>
      </c>
      <c r="B7204" t="s">
        <v>4113</v>
      </c>
      <c r="C7204">
        <v>13</v>
      </c>
      <c r="D7204" t="str">
        <f>VLOOKUP(Tabela26[[#This Row],[EMP]],[1]LOJA!$A:$B,2,0)</f>
        <v>CEILÂNDIA</v>
      </c>
      <c r="E7204">
        <v>86</v>
      </c>
      <c r="F7204" t="s">
        <v>4112</v>
      </c>
      <c r="G7204" t="s">
        <v>4111</v>
      </c>
      <c r="H7204" t="s">
        <v>3430</v>
      </c>
      <c r="I7204">
        <v>5102</v>
      </c>
      <c r="J7204" s="3">
        <v>80.05</v>
      </c>
      <c r="K7204" s="3">
        <v>51.21</v>
      </c>
      <c r="L7204">
        <v>36.03</v>
      </c>
    </row>
    <row r="7205" spans="1:12">
      <c r="A7205" s="1">
        <v>46051</v>
      </c>
      <c r="B7205" t="s">
        <v>4110</v>
      </c>
      <c r="C7205">
        <v>13</v>
      </c>
      <c r="D7205" t="str">
        <f>VLOOKUP(Tabela26[[#This Row],[EMP]],[1]LOJA!$A:$B,2,0)</f>
        <v>CEILÂNDIA</v>
      </c>
      <c r="E7205">
        <v>33</v>
      </c>
      <c r="F7205" t="s">
        <v>4109</v>
      </c>
      <c r="G7205" t="s">
        <v>4108</v>
      </c>
      <c r="H7205" t="s">
        <v>3557</v>
      </c>
      <c r="I7205">
        <v>5102</v>
      </c>
      <c r="J7205" s="3">
        <v>27.5</v>
      </c>
      <c r="K7205" s="3">
        <v>18.5</v>
      </c>
      <c r="L7205">
        <v>32.729999999999997</v>
      </c>
    </row>
    <row r="7206" spans="1:12">
      <c r="A7206" s="1">
        <v>46051</v>
      </c>
      <c r="B7206" t="s">
        <v>4107</v>
      </c>
      <c r="C7206">
        <v>13</v>
      </c>
      <c r="D7206" t="str">
        <f>VLOOKUP(Tabela26[[#This Row],[EMP]],[1]LOJA!$A:$B,2,0)</f>
        <v>CEILÂNDIA</v>
      </c>
      <c r="E7206">
        <v>86</v>
      </c>
      <c r="F7206" t="s">
        <v>4106</v>
      </c>
      <c r="G7206" t="s">
        <v>4105</v>
      </c>
      <c r="H7206" t="s">
        <v>3430</v>
      </c>
      <c r="I7206">
        <v>5405</v>
      </c>
      <c r="J7206" s="3">
        <v>54.32</v>
      </c>
      <c r="K7206" s="3">
        <v>28.12</v>
      </c>
      <c r="L7206">
        <v>48.23</v>
      </c>
    </row>
    <row r="7207" spans="1:12">
      <c r="A7207" s="1">
        <v>46051</v>
      </c>
      <c r="B7207" t="s">
        <v>4104</v>
      </c>
      <c r="C7207">
        <v>13</v>
      </c>
      <c r="D7207" t="str">
        <f>VLOOKUP(Tabela26[[#This Row],[EMP]],[1]LOJA!$A:$B,2,0)</f>
        <v>CEILÂNDIA</v>
      </c>
      <c r="E7207">
        <v>33</v>
      </c>
      <c r="F7207" t="s">
        <v>4103</v>
      </c>
      <c r="G7207" t="s">
        <v>4102</v>
      </c>
      <c r="H7207" t="s">
        <v>3430</v>
      </c>
      <c r="I7207">
        <v>5405</v>
      </c>
      <c r="J7207" s="3">
        <v>414.65</v>
      </c>
      <c r="K7207" s="3">
        <v>231.6</v>
      </c>
      <c r="L7207">
        <v>44.15</v>
      </c>
    </row>
    <row r="7208" spans="1:12">
      <c r="A7208" s="1">
        <v>46051</v>
      </c>
      <c r="B7208" t="s">
        <v>4101</v>
      </c>
      <c r="C7208">
        <v>13</v>
      </c>
      <c r="D7208" t="str">
        <f>VLOOKUP(Tabela26[[#This Row],[EMP]],[1]LOJA!$A:$B,2,0)</f>
        <v>CEILÂNDIA</v>
      </c>
      <c r="E7208">
        <v>33</v>
      </c>
      <c r="F7208" t="s">
        <v>4088</v>
      </c>
      <c r="G7208" t="s">
        <v>4087</v>
      </c>
      <c r="H7208" t="s">
        <v>3557</v>
      </c>
      <c r="I7208">
        <v>5405</v>
      </c>
      <c r="J7208" s="3">
        <v>159</v>
      </c>
      <c r="K7208" s="3">
        <v>73.63</v>
      </c>
      <c r="L7208">
        <v>53.69</v>
      </c>
    </row>
    <row r="7209" spans="1:12">
      <c r="A7209" s="1">
        <v>46051</v>
      </c>
      <c r="B7209" t="s">
        <v>4100</v>
      </c>
      <c r="C7209">
        <v>13</v>
      </c>
      <c r="D7209" t="str">
        <f>VLOOKUP(Tabela26[[#This Row],[EMP]],[1]LOJA!$A:$B,2,0)</f>
        <v>CEILÂNDIA</v>
      </c>
      <c r="E7209">
        <v>86</v>
      </c>
      <c r="F7209" t="s">
        <v>3501</v>
      </c>
      <c r="G7209" t="s">
        <v>3500</v>
      </c>
      <c r="H7209" t="s">
        <v>3430</v>
      </c>
      <c r="I7209">
        <v>5102</v>
      </c>
      <c r="J7209" s="3">
        <v>74.900000000000006</v>
      </c>
      <c r="K7209" s="3">
        <v>54.56</v>
      </c>
      <c r="L7209">
        <v>27.16</v>
      </c>
    </row>
    <row r="7210" spans="1:12">
      <c r="A7210" s="1">
        <v>46051</v>
      </c>
      <c r="B7210" t="s">
        <v>4099</v>
      </c>
      <c r="C7210">
        <v>13</v>
      </c>
      <c r="D7210" t="str">
        <f>VLOOKUP(Tabela26[[#This Row],[EMP]],[1]LOJA!$A:$B,2,0)</f>
        <v>CEILÂNDIA</v>
      </c>
      <c r="E7210">
        <v>86</v>
      </c>
      <c r="F7210" t="s">
        <v>3501</v>
      </c>
      <c r="G7210" t="s">
        <v>3500</v>
      </c>
      <c r="H7210" t="s">
        <v>3430</v>
      </c>
      <c r="I7210">
        <v>5102</v>
      </c>
      <c r="J7210" s="3">
        <v>52.5</v>
      </c>
      <c r="K7210" s="3">
        <v>34.450000000000003</v>
      </c>
      <c r="L7210">
        <v>34.380000000000003</v>
      </c>
    </row>
    <row r="7211" spans="1:12">
      <c r="A7211" s="1">
        <v>46051</v>
      </c>
      <c r="B7211" t="s">
        <v>4098</v>
      </c>
      <c r="C7211">
        <v>13</v>
      </c>
      <c r="D7211" t="str">
        <f>VLOOKUP(Tabela26[[#This Row],[EMP]],[1]LOJA!$A:$B,2,0)</f>
        <v>CEILÂNDIA</v>
      </c>
      <c r="E7211">
        <v>86</v>
      </c>
      <c r="F7211" t="s">
        <v>4097</v>
      </c>
      <c r="G7211" t="s">
        <v>4096</v>
      </c>
      <c r="H7211" t="s">
        <v>3430</v>
      </c>
      <c r="I7211">
        <v>5405</v>
      </c>
      <c r="J7211" s="3">
        <v>107.61</v>
      </c>
      <c r="K7211" s="3">
        <v>55.31</v>
      </c>
      <c r="L7211">
        <v>48.6</v>
      </c>
    </row>
    <row r="7212" spans="1:12">
      <c r="A7212" s="1">
        <v>46051</v>
      </c>
      <c r="B7212" t="s">
        <v>4095</v>
      </c>
      <c r="C7212">
        <v>13</v>
      </c>
      <c r="D7212" t="str">
        <f>VLOOKUP(Tabela26[[#This Row],[EMP]],[1]LOJA!$A:$B,2,0)</f>
        <v>CEILÂNDIA</v>
      </c>
      <c r="E7212">
        <v>86</v>
      </c>
      <c r="F7212" t="s">
        <v>4094</v>
      </c>
      <c r="G7212" t="s">
        <v>4093</v>
      </c>
      <c r="H7212" t="s">
        <v>3430</v>
      </c>
      <c r="I7212">
        <v>5405</v>
      </c>
      <c r="J7212" s="3">
        <v>77.349999999999994</v>
      </c>
      <c r="K7212" s="3">
        <v>39.21</v>
      </c>
      <c r="L7212">
        <v>49.31</v>
      </c>
    </row>
    <row r="7213" spans="1:12">
      <c r="A7213" s="1">
        <v>46051</v>
      </c>
      <c r="B7213" t="s">
        <v>4092</v>
      </c>
      <c r="C7213">
        <v>13</v>
      </c>
      <c r="D7213" t="str">
        <f>VLOOKUP(Tabela26[[#This Row],[EMP]],[1]LOJA!$A:$B,2,0)</f>
        <v>CEILÂNDIA</v>
      </c>
      <c r="E7213">
        <v>86</v>
      </c>
      <c r="F7213" t="s">
        <v>4091</v>
      </c>
      <c r="G7213" t="s">
        <v>4090</v>
      </c>
      <c r="H7213" t="s">
        <v>3557</v>
      </c>
      <c r="I7213">
        <v>5405</v>
      </c>
      <c r="J7213" s="3">
        <v>60</v>
      </c>
      <c r="K7213" s="3">
        <v>31.61</v>
      </c>
      <c r="L7213">
        <v>47.32</v>
      </c>
    </row>
    <row r="7214" spans="1:12">
      <c r="A7214" s="1">
        <v>46051</v>
      </c>
      <c r="B7214" t="s">
        <v>4089</v>
      </c>
      <c r="C7214">
        <v>13</v>
      </c>
      <c r="D7214" t="str">
        <f>VLOOKUP(Tabela26[[#This Row],[EMP]],[1]LOJA!$A:$B,2,0)</f>
        <v>CEILÂNDIA</v>
      </c>
      <c r="E7214">
        <v>86</v>
      </c>
      <c r="F7214" t="s">
        <v>4088</v>
      </c>
      <c r="G7214" t="s">
        <v>4087</v>
      </c>
      <c r="H7214" t="s">
        <v>3557</v>
      </c>
      <c r="I7214">
        <v>5102</v>
      </c>
      <c r="J7214" s="3">
        <v>23.62</v>
      </c>
      <c r="K7214" s="3">
        <v>12.57</v>
      </c>
      <c r="L7214">
        <v>46.78</v>
      </c>
    </row>
    <row r="7215" spans="1:12">
      <c r="A7215" s="1">
        <v>46051</v>
      </c>
      <c r="B7215" t="s">
        <v>4086</v>
      </c>
      <c r="C7215">
        <v>13</v>
      </c>
      <c r="D7215" t="str">
        <f>VLOOKUP(Tabela26[[#This Row],[EMP]],[1]LOJA!$A:$B,2,0)</f>
        <v>CEILÂNDIA</v>
      </c>
      <c r="E7215">
        <v>86</v>
      </c>
      <c r="F7215" t="s">
        <v>3501</v>
      </c>
      <c r="G7215" t="s">
        <v>3500</v>
      </c>
      <c r="H7215" t="s">
        <v>3430</v>
      </c>
      <c r="I7215">
        <v>5405</v>
      </c>
      <c r="J7215" s="3">
        <v>50</v>
      </c>
      <c r="K7215" s="3">
        <v>26.03</v>
      </c>
      <c r="L7215">
        <v>47.94</v>
      </c>
    </row>
    <row r="7216" spans="1:12">
      <c r="A7216" s="1">
        <v>46051</v>
      </c>
      <c r="B7216" t="s">
        <v>4085</v>
      </c>
      <c r="C7216">
        <v>13</v>
      </c>
      <c r="D7216" t="str">
        <f>VLOOKUP(Tabela26[[#This Row],[EMP]],[1]LOJA!$A:$B,2,0)</f>
        <v>CEILÂNDIA</v>
      </c>
      <c r="E7216">
        <v>86</v>
      </c>
      <c r="F7216" t="s">
        <v>4084</v>
      </c>
      <c r="G7216" t="s">
        <v>4083</v>
      </c>
      <c r="H7216" t="s">
        <v>3430</v>
      </c>
      <c r="I7216">
        <v>5102</v>
      </c>
      <c r="J7216" s="3">
        <v>49.8</v>
      </c>
      <c r="K7216" s="3">
        <v>33.68</v>
      </c>
      <c r="L7216">
        <v>32.369999999999997</v>
      </c>
    </row>
    <row r="7217" spans="1:12">
      <c r="A7217" s="1">
        <v>46051</v>
      </c>
      <c r="B7217" t="s">
        <v>4082</v>
      </c>
      <c r="C7217">
        <v>13</v>
      </c>
      <c r="D7217" t="str">
        <f>VLOOKUP(Tabela26[[#This Row],[EMP]],[1]LOJA!$A:$B,2,0)</f>
        <v>CEILÂNDIA</v>
      </c>
      <c r="E7217">
        <v>86</v>
      </c>
      <c r="F7217" t="s">
        <v>4081</v>
      </c>
      <c r="G7217" t="s">
        <v>4080</v>
      </c>
      <c r="H7217" t="s">
        <v>3557</v>
      </c>
      <c r="I7217">
        <v>5102</v>
      </c>
      <c r="J7217" s="3">
        <v>47.92</v>
      </c>
      <c r="K7217" s="3">
        <v>25.6</v>
      </c>
      <c r="L7217">
        <v>46.58</v>
      </c>
    </row>
    <row r="7218" spans="1:12">
      <c r="A7218" s="1">
        <v>46051</v>
      </c>
      <c r="B7218" t="s">
        <v>4079</v>
      </c>
      <c r="C7218">
        <v>15</v>
      </c>
      <c r="D7218" t="str">
        <f>VLOOKUP(Tabela26[[#This Row],[EMP]],[1]LOJA!$A:$B,2,0)</f>
        <v>UNAÍ</v>
      </c>
      <c r="E7218">
        <v>183</v>
      </c>
      <c r="F7218" t="s">
        <v>4078</v>
      </c>
      <c r="G7218" t="s">
        <v>4077</v>
      </c>
      <c r="H7218" t="s">
        <v>3520</v>
      </c>
      <c r="I7218">
        <v>5102</v>
      </c>
      <c r="J7218" s="3">
        <v>902.8</v>
      </c>
      <c r="K7218" s="3">
        <v>580.17999999999995</v>
      </c>
      <c r="L7218">
        <v>35.74</v>
      </c>
    </row>
    <row r="7219" spans="1:12">
      <c r="A7219" s="1">
        <v>46051</v>
      </c>
      <c r="B7219" t="s">
        <v>4076</v>
      </c>
      <c r="C7219">
        <v>15</v>
      </c>
      <c r="D7219" t="str">
        <f>VLOOKUP(Tabela26[[#This Row],[EMP]],[1]LOJA!$A:$B,2,0)</f>
        <v>UNAÍ</v>
      </c>
      <c r="E7219">
        <v>183</v>
      </c>
      <c r="F7219" t="s">
        <v>3485</v>
      </c>
      <c r="G7219" t="s">
        <v>3402</v>
      </c>
      <c r="H7219" t="s">
        <v>3401</v>
      </c>
      <c r="I7219">
        <v>5102</v>
      </c>
      <c r="J7219" s="3">
        <v>89.8</v>
      </c>
      <c r="K7219" s="3">
        <v>50.71</v>
      </c>
      <c r="L7219">
        <v>43.53</v>
      </c>
    </row>
    <row r="7220" spans="1:12">
      <c r="A7220" s="1">
        <v>46051</v>
      </c>
      <c r="B7220" t="s">
        <v>4075</v>
      </c>
      <c r="C7220">
        <v>15</v>
      </c>
      <c r="D7220" t="str">
        <f>VLOOKUP(Tabela26[[#This Row],[EMP]],[1]LOJA!$A:$B,2,0)</f>
        <v>UNAÍ</v>
      </c>
      <c r="E7220">
        <v>183</v>
      </c>
      <c r="F7220" t="s">
        <v>4074</v>
      </c>
      <c r="G7220" t="s">
        <v>4073</v>
      </c>
      <c r="H7220" t="s">
        <v>3401</v>
      </c>
      <c r="I7220">
        <v>5102</v>
      </c>
      <c r="J7220" s="3">
        <v>218.15</v>
      </c>
      <c r="K7220" s="3">
        <v>131.25</v>
      </c>
      <c r="L7220">
        <v>39.83</v>
      </c>
    </row>
    <row r="7221" spans="1:12">
      <c r="A7221" s="1">
        <v>46051</v>
      </c>
      <c r="B7221" t="s">
        <v>4072</v>
      </c>
      <c r="C7221">
        <v>15</v>
      </c>
      <c r="D7221" t="str">
        <f>VLOOKUP(Tabela26[[#This Row],[EMP]],[1]LOJA!$A:$B,2,0)</f>
        <v>UNAÍ</v>
      </c>
      <c r="E7221">
        <v>183</v>
      </c>
      <c r="F7221" t="s">
        <v>4071</v>
      </c>
      <c r="G7221" t="s">
        <v>4070</v>
      </c>
      <c r="H7221" t="s">
        <v>3401</v>
      </c>
      <c r="I7221">
        <v>5102</v>
      </c>
      <c r="J7221" s="3">
        <v>267.45</v>
      </c>
      <c r="K7221" s="3">
        <v>168.04</v>
      </c>
      <c r="L7221">
        <v>37.17</v>
      </c>
    </row>
    <row r="7222" spans="1:12">
      <c r="A7222" s="1">
        <v>46051</v>
      </c>
      <c r="B7222" t="s">
        <v>4069</v>
      </c>
      <c r="C7222">
        <v>15</v>
      </c>
      <c r="D7222" t="str">
        <f>VLOOKUP(Tabela26[[#This Row],[EMP]],[1]LOJA!$A:$B,2,0)</f>
        <v>UNAÍ</v>
      </c>
      <c r="E7222">
        <v>183</v>
      </c>
      <c r="F7222" t="s">
        <v>4068</v>
      </c>
      <c r="G7222" t="s">
        <v>4067</v>
      </c>
      <c r="H7222" t="s">
        <v>3520</v>
      </c>
      <c r="I7222">
        <v>5102</v>
      </c>
      <c r="J7222" s="3">
        <v>30.39</v>
      </c>
      <c r="K7222" s="3">
        <v>18.78</v>
      </c>
      <c r="L7222">
        <v>38.200000000000003</v>
      </c>
    </row>
    <row r="7223" spans="1:12">
      <c r="A7223" s="1">
        <v>46051</v>
      </c>
      <c r="B7223" t="s">
        <v>4066</v>
      </c>
      <c r="C7223">
        <v>15</v>
      </c>
      <c r="D7223" t="str">
        <f>VLOOKUP(Tabela26[[#This Row],[EMP]],[1]LOJA!$A:$B,2,0)</f>
        <v>UNAÍ</v>
      </c>
      <c r="E7223">
        <v>183</v>
      </c>
      <c r="F7223" t="s">
        <v>4065</v>
      </c>
      <c r="G7223" t="s">
        <v>3402</v>
      </c>
      <c r="H7223" t="s">
        <v>3408</v>
      </c>
      <c r="I7223">
        <v>5102</v>
      </c>
      <c r="J7223" s="3">
        <v>158.19999999999999</v>
      </c>
      <c r="K7223" s="3">
        <v>97.2</v>
      </c>
      <c r="L7223">
        <v>38.56</v>
      </c>
    </row>
    <row r="7224" spans="1:12">
      <c r="A7224" s="1">
        <v>46051</v>
      </c>
      <c r="B7224" t="s">
        <v>4064</v>
      </c>
      <c r="C7224">
        <v>15</v>
      </c>
      <c r="D7224" t="str">
        <f>VLOOKUP(Tabela26[[#This Row],[EMP]],[1]LOJA!$A:$B,2,0)</f>
        <v>UNAÍ</v>
      </c>
      <c r="E7224">
        <v>183</v>
      </c>
      <c r="F7224" t="s">
        <v>4063</v>
      </c>
      <c r="G7224" t="s">
        <v>4062</v>
      </c>
      <c r="H7224" t="s">
        <v>3430</v>
      </c>
      <c r="I7224">
        <v>5102</v>
      </c>
      <c r="J7224" s="3">
        <v>37.049999999999997</v>
      </c>
      <c r="K7224" s="3">
        <v>23.07</v>
      </c>
      <c r="L7224">
        <v>37.729999999999997</v>
      </c>
    </row>
    <row r="7225" spans="1:12">
      <c r="A7225" s="1">
        <v>46051</v>
      </c>
      <c r="B7225" t="s">
        <v>4061</v>
      </c>
      <c r="C7225">
        <v>15</v>
      </c>
      <c r="D7225" t="str">
        <f>VLOOKUP(Tabela26[[#This Row],[EMP]],[1]LOJA!$A:$B,2,0)</f>
        <v>UNAÍ</v>
      </c>
      <c r="E7225">
        <v>183</v>
      </c>
      <c r="F7225" t="s">
        <v>4060</v>
      </c>
      <c r="G7225" t="s">
        <v>3402</v>
      </c>
      <c r="H7225" t="s">
        <v>3408</v>
      </c>
      <c r="I7225">
        <v>5102</v>
      </c>
      <c r="J7225" s="3">
        <v>272.39999999999998</v>
      </c>
      <c r="K7225" s="3">
        <v>163.86</v>
      </c>
      <c r="L7225">
        <v>39.85</v>
      </c>
    </row>
    <row r="7226" spans="1:12">
      <c r="A7226" s="1">
        <v>46051</v>
      </c>
      <c r="B7226" t="s">
        <v>4059</v>
      </c>
      <c r="C7226">
        <v>15</v>
      </c>
      <c r="D7226" t="str">
        <f>VLOOKUP(Tabela26[[#This Row],[EMP]],[1]LOJA!$A:$B,2,0)</f>
        <v>UNAÍ</v>
      </c>
      <c r="E7226">
        <v>183</v>
      </c>
      <c r="F7226" t="s">
        <v>4057</v>
      </c>
      <c r="G7226" t="s">
        <v>4056</v>
      </c>
      <c r="H7226" t="s">
        <v>3401</v>
      </c>
      <c r="I7226">
        <v>5405</v>
      </c>
      <c r="J7226" s="3">
        <v>326</v>
      </c>
      <c r="K7226" s="3">
        <v>171.48</v>
      </c>
      <c r="L7226">
        <v>47.4</v>
      </c>
    </row>
    <row r="7227" spans="1:12">
      <c r="A7227" s="1">
        <v>46051</v>
      </c>
      <c r="B7227" t="s">
        <v>4058</v>
      </c>
      <c r="C7227">
        <v>15</v>
      </c>
      <c r="D7227" t="str">
        <f>VLOOKUP(Tabela26[[#This Row],[EMP]],[1]LOJA!$A:$B,2,0)</f>
        <v>UNAÍ</v>
      </c>
      <c r="E7227">
        <v>183</v>
      </c>
      <c r="F7227" t="s">
        <v>4057</v>
      </c>
      <c r="G7227" t="s">
        <v>4056</v>
      </c>
      <c r="H7227" t="s">
        <v>3401</v>
      </c>
      <c r="I7227">
        <v>5102</v>
      </c>
      <c r="J7227" s="3">
        <v>156</v>
      </c>
      <c r="K7227" s="3">
        <v>82</v>
      </c>
      <c r="L7227">
        <v>47.44</v>
      </c>
    </row>
    <row r="7228" spans="1:12">
      <c r="A7228" s="1">
        <v>46051</v>
      </c>
      <c r="B7228" t="s">
        <v>4055</v>
      </c>
      <c r="C7228">
        <v>15</v>
      </c>
      <c r="D7228" t="str">
        <f>VLOOKUP(Tabela26[[#This Row],[EMP]],[1]LOJA!$A:$B,2,0)</f>
        <v>UNAÍ</v>
      </c>
      <c r="E7228">
        <v>183</v>
      </c>
      <c r="F7228" t="s">
        <v>4054</v>
      </c>
      <c r="G7228" t="s">
        <v>3402</v>
      </c>
      <c r="H7228" t="s">
        <v>3408</v>
      </c>
      <c r="I7228">
        <v>5102</v>
      </c>
      <c r="J7228" s="3">
        <v>202.6</v>
      </c>
      <c r="K7228" s="3">
        <v>101.53</v>
      </c>
      <c r="L7228">
        <v>49.89</v>
      </c>
    </row>
    <row r="7229" spans="1:12">
      <c r="A7229" s="1">
        <v>46051</v>
      </c>
      <c r="B7229" t="s">
        <v>4053</v>
      </c>
      <c r="C7229">
        <v>15</v>
      </c>
      <c r="D7229" t="str">
        <f>VLOOKUP(Tabela26[[#This Row],[EMP]],[1]LOJA!$A:$B,2,0)</f>
        <v>UNAÍ</v>
      </c>
      <c r="E7229">
        <v>183</v>
      </c>
      <c r="F7229" t="s">
        <v>3485</v>
      </c>
      <c r="G7229" t="s">
        <v>3402</v>
      </c>
      <c r="H7229" t="s">
        <v>3401</v>
      </c>
      <c r="I7229">
        <v>5102</v>
      </c>
      <c r="J7229" s="3">
        <v>40.9</v>
      </c>
      <c r="K7229" s="3">
        <v>19.48</v>
      </c>
      <c r="L7229">
        <v>52.37</v>
      </c>
    </row>
    <row r="7230" spans="1:12">
      <c r="A7230" s="1">
        <v>46051</v>
      </c>
      <c r="B7230" t="s">
        <v>4052</v>
      </c>
      <c r="C7230">
        <v>15</v>
      </c>
      <c r="D7230" t="str">
        <f>VLOOKUP(Tabela26[[#This Row],[EMP]],[1]LOJA!$A:$B,2,0)</f>
        <v>UNAÍ</v>
      </c>
      <c r="E7230">
        <v>183</v>
      </c>
      <c r="F7230" t="s">
        <v>4051</v>
      </c>
      <c r="G7230" t="s">
        <v>3402</v>
      </c>
      <c r="H7230" t="s">
        <v>3401</v>
      </c>
      <c r="I7230">
        <v>5102</v>
      </c>
      <c r="J7230" s="3">
        <v>77.599999999999994</v>
      </c>
      <c r="K7230" s="3">
        <v>41.46</v>
      </c>
      <c r="L7230">
        <v>46.57</v>
      </c>
    </row>
    <row r="7231" spans="1:12">
      <c r="A7231" s="1">
        <v>46051</v>
      </c>
      <c r="B7231" t="s">
        <v>4050</v>
      </c>
      <c r="C7231">
        <v>15</v>
      </c>
      <c r="D7231" t="str">
        <f>VLOOKUP(Tabela26[[#This Row],[EMP]],[1]LOJA!$A:$B,2,0)</f>
        <v>UNAÍ</v>
      </c>
      <c r="E7231">
        <v>183</v>
      </c>
      <c r="F7231" t="s">
        <v>3485</v>
      </c>
      <c r="G7231" t="s">
        <v>3402</v>
      </c>
      <c r="H7231" t="s">
        <v>3401</v>
      </c>
      <c r="I7231">
        <v>5102</v>
      </c>
      <c r="J7231" s="3">
        <v>43.5</v>
      </c>
      <c r="K7231" s="3">
        <v>25.68</v>
      </c>
      <c r="L7231">
        <v>40.97</v>
      </c>
    </row>
    <row r="7232" spans="1:12">
      <c r="A7232" s="1">
        <v>46051</v>
      </c>
      <c r="B7232" t="s">
        <v>4049</v>
      </c>
      <c r="C7232">
        <v>15</v>
      </c>
      <c r="D7232" t="str">
        <f>VLOOKUP(Tabela26[[#This Row],[EMP]],[1]LOJA!$A:$B,2,0)</f>
        <v>UNAÍ</v>
      </c>
      <c r="E7232">
        <v>183</v>
      </c>
      <c r="F7232" t="s">
        <v>4048</v>
      </c>
      <c r="G7232" t="s">
        <v>4047</v>
      </c>
      <c r="H7232" t="s">
        <v>3689</v>
      </c>
      <c r="I7232">
        <v>5102</v>
      </c>
      <c r="J7232" s="3">
        <v>63.2</v>
      </c>
      <c r="K7232" s="3">
        <v>26.06</v>
      </c>
      <c r="L7232">
        <v>58.77</v>
      </c>
    </row>
    <row r="7233" spans="1:12">
      <c r="A7233" s="1">
        <v>46051</v>
      </c>
      <c r="B7233" t="s">
        <v>4046</v>
      </c>
      <c r="C7233">
        <v>15</v>
      </c>
      <c r="D7233" t="str">
        <f>VLOOKUP(Tabela26[[#This Row],[EMP]],[1]LOJA!$A:$B,2,0)</f>
        <v>UNAÍ</v>
      </c>
      <c r="E7233">
        <v>183</v>
      </c>
      <c r="F7233" t="s">
        <v>3485</v>
      </c>
      <c r="G7233" t="s">
        <v>3402</v>
      </c>
      <c r="H7233" t="s">
        <v>3401</v>
      </c>
      <c r="I7233">
        <v>5102</v>
      </c>
      <c r="J7233" s="3">
        <v>184</v>
      </c>
      <c r="K7233" s="3">
        <v>102</v>
      </c>
      <c r="L7233">
        <v>44.57</v>
      </c>
    </row>
    <row r="7234" spans="1:12">
      <c r="A7234" s="1">
        <v>46051</v>
      </c>
      <c r="B7234" t="s">
        <v>4045</v>
      </c>
      <c r="C7234">
        <v>15</v>
      </c>
      <c r="D7234" t="str">
        <f>VLOOKUP(Tabela26[[#This Row],[EMP]],[1]LOJA!$A:$B,2,0)</f>
        <v>UNAÍ</v>
      </c>
      <c r="E7234">
        <v>183</v>
      </c>
      <c r="F7234" t="s">
        <v>4044</v>
      </c>
      <c r="G7234" t="s">
        <v>4043</v>
      </c>
      <c r="H7234" t="s">
        <v>3408</v>
      </c>
      <c r="I7234">
        <v>5102</v>
      </c>
      <c r="J7234" s="3">
        <v>190</v>
      </c>
      <c r="K7234" s="3">
        <v>92.71</v>
      </c>
      <c r="L7234">
        <v>51.21</v>
      </c>
    </row>
    <row r="7235" spans="1:12">
      <c r="A7235" s="1">
        <v>46051</v>
      </c>
      <c r="B7235" t="s">
        <v>4042</v>
      </c>
      <c r="C7235">
        <v>15</v>
      </c>
      <c r="D7235" t="str">
        <f>VLOOKUP(Tabela26[[#This Row],[EMP]],[1]LOJA!$A:$B,2,0)</f>
        <v>UNAÍ</v>
      </c>
      <c r="E7235">
        <v>183</v>
      </c>
      <c r="F7235" t="s">
        <v>3485</v>
      </c>
      <c r="G7235" t="s">
        <v>3402</v>
      </c>
      <c r="H7235" t="s">
        <v>3401</v>
      </c>
      <c r="I7235">
        <v>5102</v>
      </c>
      <c r="J7235" s="3">
        <v>36.799999999999997</v>
      </c>
      <c r="K7235" s="3">
        <v>22.55</v>
      </c>
      <c r="L7235">
        <v>38.72</v>
      </c>
    </row>
    <row r="7236" spans="1:12">
      <c r="A7236" s="1">
        <v>46051</v>
      </c>
      <c r="B7236" t="s">
        <v>4041</v>
      </c>
      <c r="C7236">
        <v>15</v>
      </c>
      <c r="D7236" t="str">
        <f>VLOOKUP(Tabela26[[#This Row],[EMP]],[1]LOJA!$A:$B,2,0)</f>
        <v>UNAÍ</v>
      </c>
      <c r="E7236">
        <v>183</v>
      </c>
      <c r="F7236" t="s">
        <v>4040</v>
      </c>
      <c r="G7236" t="s">
        <v>4039</v>
      </c>
      <c r="H7236" t="s">
        <v>3408</v>
      </c>
      <c r="I7236">
        <v>5102</v>
      </c>
      <c r="J7236" s="3">
        <v>35</v>
      </c>
      <c r="K7236" s="3">
        <v>18.28</v>
      </c>
      <c r="L7236">
        <v>47.77</v>
      </c>
    </row>
    <row r="7237" spans="1:12">
      <c r="A7237" s="1">
        <v>46051</v>
      </c>
      <c r="B7237" t="s">
        <v>4038</v>
      </c>
      <c r="C7237">
        <v>15</v>
      </c>
      <c r="D7237" t="str">
        <f>VLOOKUP(Tabela26[[#This Row],[EMP]],[1]LOJA!$A:$B,2,0)</f>
        <v>UNAÍ</v>
      </c>
      <c r="E7237">
        <v>183</v>
      </c>
      <c r="F7237" t="s">
        <v>4037</v>
      </c>
      <c r="G7237" t="s">
        <v>4036</v>
      </c>
      <c r="H7237" t="s">
        <v>3408</v>
      </c>
      <c r="I7237">
        <v>5102</v>
      </c>
      <c r="J7237" s="3">
        <v>104.31</v>
      </c>
      <c r="K7237" s="3">
        <v>50.92</v>
      </c>
      <c r="L7237">
        <v>51.18</v>
      </c>
    </row>
    <row r="7238" spans="1:12">
      <c r="A7238" s="1">
        <v>46051</v>
      </c>
      <c r="B7238" t="s">
        <v>4035</v>
      </c>
      <c r="C7238">
        <v>15</v>
      </c>
      <c r="D7238" t="str">
        <f>VLOOKUP(Tabela26[[#This Row],[EMP]],[1]LOJA!$A:$B,2,0)</f>
        <v>UNAÍ</v>
      </c>
      <c r="E7238">
        <v>183</v>
      </c>
      <c r="F7238" t="s">
        <v>3485</v>
      </c>
      <c r="G7238" t="s">
        <v>3402</v>
      </c>
      <c r="H7238" t="s">
        <v>3401</v>
      </c>
      <c r="I7238">
        <v>5102</v>
      </c>
      <c r="J7238" s="3">
        <v>52</v>
      </c>
      <c r="K7238" s="3">
        <v>31.26</v>
      </c>
      <c r="L7238">
        <v>39.880000000000003</v>
      </c>
    </row>
    <row r="7239" spans="1:12">
      <c r="A7239" s="1">
        <v>46051</v>
      </c>
      <c r="B7239" t="s">
        <v>4034</v>
      </c>
      <c r="C7239">
        <v>15</v>
      </c>
      <c r="D7239" t="str">
        <f>VLOOKUP(Tabela26[[#This Row],[EMP]],[1]LOJA!$A:$B,2,0)</f>
        <v>UNAÍ</v>
      </c>
      <c r="E7239">
        <v>183</v>
      </c>
      <c r="F7239" t="s">
        <v>3485</v>
      </c>
      <c r="G7239" t="s">
        <v>3402</v>
      </c>
      <c r="H7239" t="s">
        <v>3401</v>
      </c>
      <c r="I7239">
        <v>5102</v>
      </c>
      <c r="J7239" s="3">
        <v>410</v>
      </c>
      <c r="K7239" s="3">
        <v>227.83</v>
      </c>
      <c r="L7239">
        <v>44.43</v>
      </c>
    </row>
    <row r="7240" spans="1:12">
      <c r="A7240" s="1">
        <v>46051</v>
      </c>
      <c r="B7240" t="s">
        <v>4033</v>
      </c>
      <c r="C7240">
        <v>15</v>
      </c>
      <c r="D7240" t="str">
        <f>VLOOKUP(Tabela26[[#This Row],[EMP]],[1]LOJA!$A:$B,2,0)</f>
        <v>UNAÍ</v>
      </c>
      <c r="E7240">
        <v>183</v>
      </c>
      <c r="F7240" t="s">
        <v>4032</v>
      </c>
      <c r="G7240" t="s">
        <v>4031</v>
      </c>
      <c r="H7240" t="s">
        <v>3401</v>
      </c>
      <c r="I7240">
        <v>5102</v>
      </c>
      <c r="J7240" s="3">
        <v>72</v>
      </c>
      <c r="K7240" s="3">
        <v>35.700000000000003</v>
      </c>
      <c r="L7240">
        <v>50.42</v>
      </c>
    </row>
    <row r="7241" spans="1:12">
      <c r="A7241" s="1">
        <v>46051</v>
      </c>
      <c r="B7241" t="s">
        <v>4030</v>
      </c>
      <c r="C7241">
        <v>15</v>
      </c>
      <c r="D7241" t="str">
        <f>VLOOKUP(Tabela26[[#This Row],[EMP]],[1]LOJA!$A:$B,2,0)</f>
        <v>UNAÍ</v>
      </c>
      <c r="E7241">
        <v>183</v>
      </c>
      <c r="F7241" t="s">
        <v>4029</v>
      </c>
      <c r="G7241" t="s">
        <v>4028</v>
      </c>
      <c r="H7241" t="s">
        <v>3401</v>
      </c>
      <c r="I7241">
        <v>5102</v>
      </c>
      <c r="J7241" s="3">
        <v>140</v>
      </c>
      <c r="K7241" s="3">
        <v>68.95</v>
      </c>
      <c r="L7241">
        <v>50.75</v>
      </c>
    </row>
    <row r="7242" spans="1:12">
      <c r="A7242" s="1">
        <v>46051</v>
      </c>
      <c r="B7242" t="s">
        <v>4027</v>
      </c>
      <c r="C7242">
        <v>15</v>
      </c>
      <c r="D7242" t="str">
        <f>VLOOKUP(Tabela26[[#This Row],[EMP]],[1]LOJA!$A:$B,2,0)</f>
        <v>UNAÍ</v>
      </c>
      <c r="E7242">
        <v>183</v>
      </c>
      <c r="F7242" t="s">
        <v>3467</v>
      </c>
      <c r="G7242" t="s">
        <v>3466</v>
      </c>
      <c r="H7242" t="s">
        <v>3401</v>
      </c>
      <c r="I7242">
        <v>5102</v>
      </c>
      <c r="J7242" s="3">
        <v>29.9</v>
      </c>
      <c r="K7242" s="3">
        <v>20.96</v>
      </c>
      <c r="L7242">
        <v>29.9</v>
      </c>
    </row>
    <row r="7243" spans="1:12">
      <c r="A7243" s="1">
        <v>46051</v>
      </c>
      <c r="B7243" t="s">
        <v>4026</v>
      </c>
      <c r="C7243">
        <v>15</v>
      </c>
      <c r="D7243" t="str">
        <f>VLOOKUP(Tabela26[[#This Row],[EMP]],[1]LOJA!$A:$B,2,0)</f>
        <v>UNAÍ</v>
      </c>
      <c r="E7243">
        <v>183</v>
      </c>
      <c r="F7243" t="s">
        <v>4025</v>
      </c>
      <c r="G7243" t="s">
        <v>4024</v>
      </c>
      <c r="H7243" t="s">
        <v>3401</v>
      </c>
      <c r="I7243">
        <v>5102</v>
      </c>
      <c r="J7243" s="3">
        <v>51.56</v>
      </c>
      <c r="K7243" s="3">
        <v>26.38</v>
      </c>
      <c r="L7243">
        <v>48.84</v>
      </c>
    </row>
    <row r="7244" spans="1:12">
      <c r="A7244" s="1">
        <v>46051</v>
      </c>
      <c r="B7244" t="s">
        <v>4023</v>
      </c>
      <c r="C7244">
        <v>15</v>
      </c>
      <c r="D7244" t="str">
        <f>VLOOKUP(Tabela26[[#This Row],[EMP]],[1]LOJA!$A:$B,2,0)</f>
        <v>UNAÍ</v>
      </c>
      <c r="E7244">
        <v>183</v>
      </c>
      <c r="F7244" t="s">
        <v>4022</v>
      </c>
      <c r="G7244" t="s">
        <v>4021</v>
      </c>
      <c r="H7244" t="s">
        <v>3401</v>
      </c>
      <c r="I7244">
        <v>5102</v>
      </c>
      <c r="J7244" s="3">
        <v>178.34</v>
      </c>
      <c r="K7244" s="3">
        <v>89.99</v>
      </c>
      <c r="L7244">
        <v>49.54</v>
      </c>
    </row>
    <row r="7245" spans="1:12">
      <c r="A7245" s="1">
        <v>46051</v>
      </c>
      <c r="B7245" t="s">
        <v>4020</v>
      </c>
      <c r="C7245">
        <v>15</v>
      </c>
      <c r="D7245" t="str">
        <f>VLOOKUP(Tabela26[[#This Row],[EMP]],[1]LOJA!$A:$B,2,0)</f>
        <v>UNAÍ</v>
      </c>
      <c r="E7245">
        <v>183</v>
      </c>
      <c r="F7245" t="s">
        <v>4019</v>
      </c>
      <c r="G7245" t="s">
        <v>4018</v>
      </c>
      <c r="H7245" t="s">
        <v>3689</v>
      </c>
      <c r="I7245">
        <v>5102</v>
      </c>
      <c r="J7245" s="3">
        <v>23.9</v>
      </c>
      <c r="K7245" s="3">
        <v>13.96</v>
      </c>
      <c r="L7245">
        <v>41.59</v>
      </c>
    </row>
    <row r="7246" spans="1:12">
      <c r="A7246" s="1">
        <v>46051</v>
      </c>
      <c r="B7246" t="s">
        <v>4017</v>
      </c>
      <c r="C7246">
        <v>15</v>
      </c>
      <c r="D7246" t="str">
        <f>VLOOKUP(Tabela26[[#This Row],[EMP]],[1]LOJA!$A:$B,2,0)</f>
        <v>UNAÍ</v>
      </c>
      <c r="E7246">
        <v>183</v>
      </c>
      <c r="F7246" t="s">
        <v>4016</v>
      </c>
      <c r="G7246" t="s">
        <v>4015</v>
      </c>
      <c r="H7246" t="s">
        <v>3408</v>
      </c>
      <c r="I7246">
        <v>5102</v>
      </c>
      <c r="J7246" s="3">
        <v>43.33</v>
      </c>
      <c r="K7246" s="3">
        <v>25.48</v>
      </c>
      <c r="L7246">
        <v>41.2</v>
      </c>
    </row>
    <row r="7247" spans="1:12">
      <c r="A7247" s="1">
        <v>46051</v>
      </c>
      <c r="B7247" t="s">
        <v>4014</v>
      </c>
      <c r="C7247">
        <v>6</v>
      </c>
      <c r="D7247" t="str">
        <f>VLOOKUP(Tabela26[[#This Row],[EMP]],[1]LOJA!$A:$B,2,0)</f>
        <v>GAMA</v>
      </c>
      <c r="E7247">
        <v>226</v>
      </c>
      <c r="F7247" t="s">
        <v>4013</v>
      </c>
      <c r="G7247" t="s">
        <v>4012</v>
      </c>
      <c r="H7247" t="s">
        <v>3430</v>
      </c>
      <c r="I7247">
        <v>5102</v>
      </c>
      <c r="J7247" s="3">
        <v>77.64</v>
      </c>
      <c r="K7247" s="3">
        <v>42.36</v>
      </c>
      <c r="L7247">
        <v>45.44</v>
      </c>
    </row>
    <row r="7248" spans="1:12">
      <c r="A7248" s="1">
        <v>46051</v>
      </c>
      <c r="B7248" t="s">
        <v>4011</v>
      </c>
      <c r="C7248">
        <v>6</v>
      </c>
      <c r="D7248" t="str">
        <f>VLOOKUP(Tabela26[[#This Row],[EMP]],[1]LOJA!$A:$B,2,0)</f>
        <v>GAMA</v>
      </c>
      <c r="E7248">
        <v>245</v>
      </c>
      <c r="F7248" t="s">
        <v>4010</v>
      </c>
      <c r="G7248" t="s">
        <v>4009</v>
      </c>
      <c r="H7248" t="s">
        <v>3401</v>
      </c>
      <c r="I7248">
        <v>5405</v>
      </c>
      <c r="J7248" s="3">
        <v>219</v>
      </c>
      <c r="K7248" s="3">
        <v>110.7</v>
      </c>
      <c r="L7248">
        <v>49.45</v>
      </c>
    </row>
    <row r="7249" spans="1:12">
      <c r="A7249" s="1">
        <v>46051</v>
      </c>
      <c r="B7249" t="s">
        <v>4008</v>
      </c>
      <c r="C7249">
        <v>6</v>
      </c>
      <c r="D7249" t="str">
        <f>VLOOKUP(Tabela26[[#This Row],[EMP]],[1]LOJA!$A:$B,2,0)</f>
        <v>GAMA</v>
      </c>
      <c r="E7249">
        <v>226</v>
      </c>
      <c r="F7249" t="s">
        <v>4007</v>
      </c>
      <c r="G7249" t="s">
        <v>4006</v>
      </c>
      <c r="H7249" t="s">
        <v>3430</v>
      </c>
      <c r="I7249">
        <v>6403</v>
      </c>
      <c r="J7249" s="3">
        <v>379.8</v>
      </c>
      <c r="K7249" s="3">
        <v>233.76</v>
      </c>
      <c r="L7249">
        <v>38.450000000000003</v>
      </c>
    </row>
    <row r="7250" spans="1:12">
      <c r="A7250" s="1">
        <v>46051</v>
      </c>
      <c r="B7250" t="s">
        <v>4005</v>
      </c>
      <c r="C7250">
        <v>6</v>
      </c>
      <c r="D7250" t="str">
        <f>VLOOKUP(Tabela26[[#This Row],[EMP]],[1]LOJA!$A:$B,2,0)</f>
        <v>GAMA</v>
      </c>
      <c r="E7250">
        <v>245</v>
      </c>
      <c r="F7250" t="s">
        <v>4004</v>
      </c>
      <c r="G7250" t="s">
        <v>4003</v>
      </c>
      <c r="H7250" t="s">
        <v>3430</v>
      </c>
      <c r="I7250">
        <v>5102</v>
      </c>
      <c r="J7250" s="3">
        <v>169</v>
      </c>
      <c r="K7250" s="3">
        <v>96.5</v>
      </c>
      <c r="L7250">
        <v>42.9</v>
      </c>
    </row>
    <row r="7251" spans="1:12">
      <c r="A7251" s="1">
        <v>46051</v>
      </c>
      <c r="B7251" t="s">
        <v>4002</v>
      </c>
      <c r="C7251">
        <v>6</v>
      </c>
      <c r="D7251" t="str">
        <f>VLOOKUP(Tabela26[[#This Row],[EMP]],[1]LOJA!$A:$B,2,0)</f>
        <v>GAMA</v>
      </c>
      <c r="E7251">
        <v>226</v>
      </c>
      <c r="F7251" t="s">
        <v>4001</v>
      </c>
      <c r="G7251" t="s">
        <v>4000</v>
      </c>
      <c r="H7251" t="s">
        <v>3408</v>
      </c>
      <c r="I7251">
        <v>6108</v>
      </c>
      <c r="J7251" s="3">
        <v>1893.71</v>
      </c>
      <c r="K7251" s="3">
        <v>873.81</v>
      </c>
      <c r="L7251">
        <v>53.86</v>
      </c>
    </row>
    <row r="7252" spans="1:12">
      <c r="A7252" s="1">
        <v>46051</v>
      </c>
      <c r="B7252" t="s">
        <v>3999</v>
      </c>
      <c r="C7252">
        <v>6</v>
      </c>
      <c r="D7252" t="str">
        <f>VLOOKUP(Tabela26[[#This Row],[EMP]],[1]LOJA!$A:$B,2,0)</f>
        <v>GAMA</v>
      </c>
      <c r="E7252">
        <v>245</v>
      </c>
      <c r="F7252" t="s">
        <v>3483</v>
      </c>
      <c r="G7252" t="s">
        <v>3482</v>
      </c>
      <c r="H7252" t="s">
        <v>3401</v>
      </c>
      <c r="I7252">
        <v>1411</v>
      </c>
      <c r="J7252" s="3">
        <v>-414</v>
      </c>
      <c r="K7252" s="3">
        <v>-220.78</v>
      </c>
      <c r="L7252">
        <v>46.67</v>
      </c>
    </row>
    <row r="7253" spans="1:12">
      <c r="A7253" s="1">
        <v>46051</v>
      </c>
      <c r="B7253" t="s">
        <v>3998</v>
      </c>
      <c r="C7253">
        <v>14</v>
      </c>
      <c r="D7253" t="str">
        <f>VLOOKUP(Tabela26[[#This Row],[EMP]],[1]LOJA!$A:$B,2,0)</f>
        <v>S IA</v>
      </c>
      <c r="E7253">
        <v>212</v>
      </c>
      <c r="F7253" t="s">
        <v>3403</v>
      </c>
      <c r="G7253" t="s">
        <v>3402</v>
      </c>
      <c r="H7253" t="s">
        <v>3401</v>
      </c>
      <c r="I7253">
        <v>5405</v>
      </c>
      <c r="J7253" s="3">
        <v>63.53</v>
      </c>
      <c r="K7253" s="3">
        <v>31.61</v>
      </c>
      <c r="L7253">
        <v>50.24</v>
      </c>
    </row>
    <row r="7254" spans="1:12">
      <c r="A7254" s="1">
        <v>46051</v>
      </c>
      <c r="B7254" t="s">
        <v>3997</v>
      </c>
      <c r="C7254">
        <v>14</v>
      </c>
      <c r="D7254" t="str">
        <f>VLOOKUP(Tabela26[[#This Row],[EMP]],[1]LOJA!$A:$B,2,0)</f>
        <v>S IA</v>
      </c>
      <c r="E7254">
        <v>212</v>
      </c>
      <c r="F7254" t="s">
        <v>3478</v>
      </c>
      <c r="G7254" t="s">
        <v>3477</v>
      </c>
      <c r="H7254" t="s">
        <v>3408</v>
      </c>
      <c r="I7254">
        <v>5405</v>
      </c>
      <c r="J7254" s="3">
        <v>430</v>
      </c>
      <c r="K7254" s="3">
        <v>215.83</v>
      </c>
      <c r="L7254">
        <v>49.81</v>
      </c>
    </row>
    <row r="7255" spans="1:12">
      <c r="A7255" s="1">
        <v>46051</v>
      </c>
      <c r="B7255" t="s">
        <v>3996</v>
      </c>
      <c r="C7255">
        <v>14</v>
      </c>
      <c r="D7255" t="str">
        <f>VLOOKUP(Tabela26[[#This Row],[EMP]],[1]LOJA!$A:$B,2,0)</f>
        <v>S IA</v>
      </c>
      <c r="E7255">
        <v>212</v>
      </c>
      <c r="F7255" t="s">
        <v>3403</v>
      </c>
      <c r="G7255" t="s">
        <v>3402</v>
      </c>
      <c r="H7255" t="s">
        <v>3401</v>
      </c>
      <c r="I7255">
        <v>5102</v>
      </c>
      <c r="J7255" s="3">
        <v>10</v>
      </c>
      <c r="K7255" s="3">
        <v>3.6</v>
      </c>
      <c r="L7255">
        <v>64</v>
      </c>
    </row>
    <row r="7256" spans="1:12">
      <c r="A7256" s="1">
        <v>46051</v>
      </c>
      <c r="B7256" t="s">
        <v>3995</v>
      </c>
      <c r="C7256">
        <v>14</v>
      </c>
      <c r="D7256" t="str">
        <f>VLOOKUP(Tabela26[[#This Row],[EMP]],[1]LOJA!$A:$B,2,0)</f>
        <v>S IA</v>
      </c>
      <c r="E7256">
        <v>54</v>
      </c>
      <c r="F7256" t="s">
        <v>3994</v>
      </c>
      <c r="G7256" t="s">
        <v>3402</v>
      </c>
      <c r="H7256" t="s">
        <v>3408</v>
      </c>
      <c r="I7256">
        <v>5405</v>
      </c>
      <c r="J7256" s="3">
        <v>400.04</v>
      </c>
      <c r="K7256" s="3">
        <v>205.09</v>
      </c>
      <c r="L7256">
        <v>48.73</v>
      </c>
    </row>
    <row r="7257" spans="1:12">
      <c r="A7257" s="1">
        <v>46051</v>
      </c>
      <c r="B7257" t="s">
        <v>3993</v>
      </c>
      <c r="C7257">
        <v>14</v>
      </c>
      <c r="D7257" t="str">
        <f>VLOOKUP(Tabela26[[#This Row],[EMP]],[1]LOJA!$A:$B,2,0)</f>
        <v>S IA</v>
      </c>
      <c r="E7257">
        <v>212</v>
      </c>
      <c r="F7257" t="s">
        <v>3992</v>
      </c>
      <c r="G7257" t="s">
        <v>3402</v>
      </c>
      <c r="H7257" t="s">
        <v>3408</v>
      </c>
      <c r="I7257">
        <v>5405</v>
      </c>
      <c r="J7257" s="3">
        <v>106.3</v>
      </c>
      <c r="K7257" s="3">
        <v>54.37</v>
      </c>
      <c r="L7257">
        <v>48.85</v>
      </c>
    </row>
    <row r="7258" spans="1:12">
      <c r="A7258" s="1">
        <v>46051</v>
      </c>
      <c r="B7258" t="s">
        <v>3991</v>
      </c>
      <c r="C7258">
        <v>14</v>
      </c>
      <c r="D7258" t="str">
        <f>VLOOKUP(Tabela26[[#This Row],[EMP]],[1]LOJA!$A:$B,2,0)</f>
        <v>S IA</v>
      </c>
      <c r="E7258">
        <v>54</v>
      </c>
      <c r="F7258" t="s">
        <v>3974</v>
      </c>
      <c r="G7258" t="s">
        <v>3973</v>
      </c>
      <c r="H7258" t="s">
        <v>3430</v>
      </c>
      <c r="I7258">
        <v>5405</v>
      </c>
      <c r="J7258" s="3">
        <v>211.19</v>
      </c>
      <c r="K7258" s="3">
        <v>96.34</v>
      </c>
      <c r="L7258">
        <v>54.38</v>
      </c>
    </row>
    <row r="7259" spans="1:12">
      <c r="A7259" s="1">
        <v>46051</v>
      </c>
      <c r="B7259" t="s">
        <v>3990</v>
      </c>
      <c r="C7259">
        <v>14</v>
      </c>
      <c r="D7259" t="str">
        <f>VLOOKUP(Tabela26[[#This Row],[EMP]],[1]LOJA!$A:$B,2,0)</f>
        <v>S IA</v>
      </c>
      <c r="E7259">
        <v>54</v>
      </c>
      <c r="F7259" t="s">
        <v>3989</v>
      </c>
      <c r="G7259" t="s">
        <v>3988</v>
      </c>
      <c r="H7259" t="s">
        <v>3430</v>
      </c>
      <c r="I7259">
        <v>5405</v>
      </c>
      <c r="J7259" s="3">
        <v>639.41999999999996</v>
      </c>
      <c r="K7259" s="3">
        <v>323.83999999999997</v>
      </c>
      <c r="L7259">
        <v>49.35</v>
      </c>
    </row>
    <row r="7260" spans="1:12">
      <c r="A7260" s="1">
        <v>46051</v>
      </c>
      <c r="B7260" t="s">
        <v>3987</v>
      </c>
      <c r="C7260">
        <v>14</v>
      </c>
      <c r="D7260" t="str">
        <f>VLOOKUP(Tabela26[[#This Row],[EMP]],[1]LOJA!$A:$B,2,0)</f>
        <v>S IA</v>
      </c>
      <c r="E7260">
        <v>212</v>
      </c>
      <c r="F7260" t="s">
        <v>3403</v>
      </c>
      <c r="G7260" t="s">
        <v>3402</v>
      </c>
      <c r="H7260" t="s">
        <v>3401</v>
      </c>
      <c r="I7260">
        <v>5102</v>
      </c>
      <c r="J7260" s="3">
        <v>140</v>
      </c>
      <c r="K7260" s="3">
        <v>77.010000000000005</v>
      </c>
      <c r="L7260">
        <v>44.99</v>
      </c>
    </row>
    <row r="7261" spans="1:12">
      <c r="A7261" s="1">
        <v>46051</v>
      </c>
      <c r="B7261" t="s">
        <v>3986</v>
      </c>
      <c r="C7261">
        <v>14</v>
      </c>
      <c r="D7261" t="str">
        <f>VLOOKUP(Tabela26[[#This Row],[EMP]],[1]LOJA!$A:$B,2,0)</f>
        <v>S IA</v>
      </c>
      <c r="E7261">
        <v>212</v>
      </c>
      <c r="F7261" t="s">
        <v>3403</v>
      </c>
      <c r="G7261" t="s">
        <v>3402</v>
      </c>
      <c r="H7261" t="s">
        <v>3401</v>
      </c>
      <c r="I7261">
        <v>5102</v>
      </c>
      <c r="J7261" s="3">
        <v>54</v>
      </c>
      <c r="K7261" s="3">
        <v>28.67</v>
      </c>
      <c r="L7261">
        <v>46.91</v>
      </c>
    </row>
    <row r="7262" spans="1:12">
      <c r="A7262" s="1">
        <v>46051</v>
      </c>
      <c r="B7262" t="s">
        <v>3985</v>
      </c>
      <c r="C7262">
        <v>14</v>
      </c>
      <c r="D7262" t="str">
        <f>VLOOKUP(Tabela26[[#This Row],[EMP]],[1]LOJA!$A:$B,2,0)</f>
        <v>S IA</v>
      </c>
      <c r="E7262">
        <v>212</v>
      </c>
      <c r="F7262" t="s">
        <v>3403</v>
      </c>
      <c r="G7262" t="s">
        <v>3402</v>
      </c>
      <c r="H7262" t="s">
        <v>3401</v>
      </c>
      <c r="I7262">
        <v>5102</v>
      </c>
      <c r="J7262" s="3">
        <v>66.98</v>
      </c>
      <c r="K7262" s="3">
        <v>34.9</v>
      </c>
      <c r="L7262">
        <v>47.89</v>
      </c>
    </row>
    <row r="7263" spans="1:12">
      <c r="A7263" s="1">
        <v>46051</v>
      </c>
      <c r="B7263" t="s">
        <v>3984</v>
      </c>
      <c r="C7263">
        <v>14</v>
      </c>
      <c r="D7263" t="str">
        <f>VLOOKUP(Tabela26[[#This Row],[EMP]],[1]LOJA!$A:$B,2,0)</f>
        <v>S IA</v>
      </c>
      <c r="E7263">
        <v>212</v>
      </c>
      <c r="F7263" t="s">
        <v>3983</v>
      </c>
      <c r="G7263" t="s">
        <v>3982</v>
      </c>
      <c r="H7263" t="s">
        <v>3401</v>
      </c>
      <c r="I7263">
        <v>5102</v>
      </c>
      <c r="J7263" s="3">
        <v>40</v>
      </c>
      <c r="K7263" s="3">
        <v>30.8</v>
      </c>
      <c r="L7263">
        <v>23</v>
      </c>
    </row>
    <row r="7264" spans="1:12">
      <c r="A7264" s="1">
        <v>46051</v>
      </c>
      <c r="B7264" t="s">
        <v>3981</v>
      </c>
      <c r="C7264">
        <v>14</v>
      </c>
      <c r="D7264" t="str">
        <f>VLOOKUP(Tabela26[[#This Row],[EMP]],[1]LOJA!$A:$B,2,0)</f>
        <v>S IA</v>
      </c>
      <c r="E7264">
        <v>212</v>
      </c>
      <c r="F7264" t="s">
        <v>3403</v>
      </c>
      <c r="G7264" t="s">
        <v>3402</v>
      </c>
      <c r="H7264" t="s">
        <v>3401</v>
      </c>
      <c r="I7264">
        <v>5102</v>
      </c>
      <c r="J7264" s="3">
        <v>79</v>
      </c>
      <c r="K7264" s="3">
        <v>53.96</v>
      </c>
      <c r="L7264">
        <v>31.7</v>
      </c>
    </row>
    <row r="7265" spans="1:12">
      <c r="A7265" s="1">
        <v>46051</v>
      </c>
      <c r="B7265" t="s">
        <v>3980</v>
      </c>
      <c r="C7265">
        <v>14</v>
      </c>
      <c r="D7265" t="str">
        <f>VLOOKUP(Tabela26[[#This Row],[EMP]],[1]LOJA!$A:$B,2,0)</f>
        <v>S IA</v>
      </c>
      <c r="E7265">
        <v>212</v>
      </c>
      <c r="F7265" t="s">
        <v>3979</v>
      </c>
      <c r="G7265" t="s">
        <v>3402</v>
      </c>
      <c r="H7265" t="s">
        <v>3408</v>
      </c>
      <c r="I7265">
        <v>5102</v>
      </c>
      <c r="J7265" s="3">
        <v>111.8</v>
      </c>
      <c r="K7265" s="3">
        <v>61.8</v>
      </c>
      <c r="L7265">
        <v>44.72</v>
      </c>
    </row>
    <row r="7266" spans="1:12">
      <c r="A7266" s="1">
        <v>46051</v>
      </c>
      <c r="B7266" t="s">
        <v>3978</v>
      </c>
      <c r="C7266">
        <v>14</v>
      </c>
      <c r="D7266" t="str">
        <f>VLOOKUP(Tabela26[[#This Row],[EMP]],[1]LOJA!$A:$B,2,0)</f>
        <v>S IA</v>
      </c>
      <c r="E7266">
        <v>212</v>
      </c>
      <c r="F7266" t="s">
        <v>3403</v>
      </c>
      <c r="G7266" t="s">
        <v>3402</v>
      </c>
      <c r="H7266" t="s">
        <v>3401</v>
      </c>
      <c r="I7266">
        <v>5102</v>
      </c>
      <c r="J7266" s="3">
        <v>27.5</v>
      </c>
      <c r="K7266" s="3">
        <v>18.850000000000001</v>
      </c>
      <c r="L7266">
        <v>31.45</v>
      </c>
    </row>
    <row r="7267" spans="1:12">
      <c r="A7267" s="1">
        <v>46051</v>
      </c>
      <c r="B7267" t="s">
        <v>3977</v>
      </c>
      <c r="C7267">
        <v>14</v>
      </c>
      <c r="D7267" t="str">
        <f>VLOOKUP(Tabela26[[#This Row],[EMP]],[1]LOJA!$A:$B,2,0)</f>
        <v>S IA</v>
      </c>
      <c r="E7267">
        <v>54</v>
      </c>
      <c r="F7267" t="s">
        <v>3976</v>
      </c>
      <c r="G7267" t="s">
        <v>3402</v>
      </c>
      <c r="H7267" t="s">
        <v>3401</v>
      </c>
      <c r="I7267">
        <v>5102</v>
      </c>
      <c r="J7267" s="3">
        <v>180</v>
      </c>
      <c r="K7267" s="3">
        <v>89.4</v>
      </c>
      <c r="L7267">
        <v>50.33</v>
      </c>
    </row>
    <row r="7268" spans="1:12">
      <c r="A7268" s="1">
        <v>46051</v>
      </c>
      <c r="B7268" t="s">
        <v>3975</v>
      </c>
      <c r="C7268">
        <v>14</v>
      </c>
      <c r="D7268" t="str">
        <f>VLOOKUP(Tabela26[[#This Row],[EMP]],[1]LOJA!$A:$B,2,0)</f>
        <v>S IA</v>
      </c>
      <c r="E7268">
        <v>54</v>
      </c>
      <c r="F7268" t="s">
        <v>3974</v>
      </c>
      <c r="G7268" t="s">
        <v>3973</v>
      </c>
      <c r="H7268" t="s">
        <v>3430</v>
      </c>
      <c r="I7268">
        <v>5405</v>
      </c>
      <c r="J7268" s="3">
        <v>70.84</v>
      </c>
      <c r="K7268" s="3">
        <v>33.549999999999997</v>
      </c>
      <c r="L7268">
        <v>52.64</v>
      </c>
    </row>
    <row r="7269" spans="1:12">
      <c r="A7269" s="1">
        <v>46051</v>
      </c>
      <c r="B7269" t="s">
        <v>3972</v>
      </c>
      <c r="C7269">
        <v>14</v>
      </c>
      <c r="D7269" t="str">
        <f>VLOOKUP(Tabela26[[#This Row],[EMP]],[1]LOJA!$A:$B,2,0)</f>
        <v>S IA</v>
      </c>
      <c r="E7269">
        <v>54</v>
      </c>
      <c r="F7269" t="s">
        <v>3478</v>
      </c>
      <c r="G7269" t="s">
        <v>3477</v>
      </c>
      <c r="H7269" t="s">
        <v>3408</v>
      </c>
      <c r="I7269">
        <v>5102</v>
      </c>
      <c r="J7269" s="3">
        <v>80</v>
      </c>
      <c r="K7269" s="3">
        <v>39.42</v>
      </c>
      <c r="L7269">
        <v>50.73</v>
      </c>
    </row>
    <row r="7270" spans="1:12">
      <c r="A7270" s="1">
        <v>46051</v>
      </c>
      <c r="B7270" t="s">
        <v>3971</v>
      </c>
      <c r="C7270">
        <v>14</v>
      </c>
      <c r="D7270" t="str">
        <f>VLOOKUP(Tabela26[[#This Row],[EMP]],[1]LOJA!$A:$B,2,0)</f>
        <v>S IA</v>
      </c>
      <c r="E7270">
        <v>212</v>
      </c>
      <c r="F7270" t="s">
        <v>3403</v>
      </c>
      <c r="G7270" t="s">
        <v>3402</v>
      </c>
      <c r="H7270" t="s">
        <v>3401</v>
      </c>
      <c r="I7270">
        <v>5102</v>
      </c>
      <c r="J7270" s="3">
        <v>21.9</v>
      </c>
      <c r="K7270" s="3">
        <v>11.63</v>
      </c>
      <c r="L7270">
        <v>46.89</v>
      </c>
    </row>
    <row r="7271" spans="1:12">
      <c r="A7271" s="1">
        <v>46051</v>
      </c>
      <c r="B7271" t="s">
        <v>3970</v>
      </c>
      <c r="C7271">
        <v>15</v>
      </c>
      <c r="D7271" t="str">
        <f>VLOOKUP(Tabela26[[#This Row],[EMP]],[1]LOJA!$A:$B,2,0)</f>
        <v>UNAÍ</v>
      </c>
      <c r="E7271">
        <v>183</v>
      </c>
      <c r="F7271" t="s">
        <v>3969</v>
      </c>
      <c r="G7271" t="s">
        <v>3968</v>
      </c>
      <c r="H7271" t="s">
        <v>3401</v>
      </c>
      <c r="I7271">
        <v>5102</v>
      </c>
      <c r="J7271" s="3">
        <v>15</v>
      </c>
      <c r="K7271" s="3">
        <v>9.26</v>
      </c>
      <c r="L7271">
        <v>38.270000000000003</v>
      </c>
    </row>
    <row r="7272" spans="1:12">
      <c r="A7272" s="1">
        <v>46051</v>
      </c>
      <c r="B7272" t="s">
        <v>3967</v>
      </c>
      <c r="C7272">
        <v>15</v>
      </c>
      <c r="D7272" t="str">
        <f>VLOOKUP(Tabela26[[#This Row],[EMP]],[1]LOJA!$A:$B,2,0)</f>
        <v>UNAÍ</v>
      </c>
      <c r="E7272">
        <v>183</v>
      </c>
      <c r="F7272" t="s">
        <v>3966</v>
      </c>
      <c r="G7272" t="s">
        <v>3965</v>
      </c>
      <c r="H7272" t="s">
        <v>3401</v>
      </c>
      <c r="I7272">
        <v>5102</v>
      </c>
      <c r="J7272" s="3">
        <v>22</v>
      </c>
      <c r="K7272" s="3">
        <v>12.36</v>
      </c>
      <c r="L7272">
        <v>43.82</v>
      </c>
    </row>
    <row r="7273" spans="1:12">
      <c r="A7273" s="1">
        <v>46051</v>
      </c>
      <c r="B7273" t="s">
        <v>3964</v>
      </c>
      <c r="C7273">
        <v>15</v>
      </c>
      <c r="D7273" t="str">
        <f>VLOOKUP(Tabela26[[#This Row],[EMP]],[1]LOJA!$A:$B,2,0)</f>
        <v>UNAÍ</v>
      </c>
      <c r="E7273">
        <v>183</v>
      </c>
      <c r="F7273" t="s">
        <v>3963</v>
      </c>
      <c r="G7273" t="s">
        <v>3962</v>
      </c>
      <c r="H7273" t="s">
        <v>3401</v>
      </c>
      <c r="I7273">
        <v>5102</v>
      </c>
      <c r="J7273" s="3">
        <v>126.45</v>
      </c>
      <c r="K7273" s="3">
        <v>65.88</v>
      </c>
      <c r="L7273">
        <v>47.9</v>
      </c>
    </row>
    <row r="7274" spans="1:12">
      <c r="A7274" s="1">
        <v>46051</v>
      </c>
      <c r="B7274" t="s">
        <v>3961</v>
      </c>
      <c r="C7274">
        <v>15</v>
      </c>
      <c r="D7274" t="str">
        <f>VLOOKUP(Tabela26[[#This Row],[EMP]],[1]LOJA!$A:$B,2,0)</f>
        <v>UNAÍ</v>
      </c>
      <c r="E7274">
        <v>183</v>
      </c>
      <c r="F7274" t="s">
        <v>3960</v>
      </c>
      <c r="G7274" t="s">
        <v>3959</v>
      </c>
      <c r="H7274" t="s">
        <v>3408</v>
      </c>
      <c r="I7274">
        <v>5102</v>
      </c>
      <c r="J7274" s="3">
        <v>110.5</v>
      </c>
      <c r="K7274" s="3">
        <v>54.59</v>
      </c>
      <c r="L7274">
        <v>50.6</v>
      </c>
    </row>
    <row r="7275" spans="1:12">
      <c r="A7275" s="1">
        <v>46051</v>
      </c>
      <c r="B7275" t="s">
        <v>3958</v>
      </c>
      <c r="C7275">
        <v>15</v>
      </c>
      <c r="D7275" t="str">
        <f>VLOOKUP(Tabela26[[#This Row],[EMP]],[1]LOJA!$A:$B,2,0)</f>
        <v>UNAÍ</v>
      </c>
      <c r="E7275">
        <v>183</v>
      </c>
      <c r="F7275" t="s">
        <v>3957</v>
      </c>
      <c r="G7275" t="s">
        <v>3956</v>
      </c>
      <c r="H7275" t="s">
        <v>3401</v>
      </c>
      <c r="I7275">
        <v>5102</v>
      </c>
      <c r="J7275" s="3">
        <v>16</v>
      </c>
      <c r="K7275" s="3">
        <v>8.14</v>
      </c>
      <c r="L7275">
        <v>49.13</v>
      </c>
    </row>
    <row r="7276" spans="1:12">
      <c r="A7276" s="1">
        <v>46051</v>
      </c>
      <c r="B7276" t="s">
        <v>3955</v>
      </c>
      <c r="C7276">
        <v>12</v>
      </c>
      <c r="D7276" t="str">
        <f>VLOOKUP(Tabela26[[#This Row],[EMP]],[1]LOJA!$A:$B,2,0)</f>
        <v>SOFNORTE</v>
      </c>
      <c r="E7276">
        <v>60</v>
      </c>
      <c r="F7276" t="s">
        <v>3461</v>
      </c>
      <c r="G7276" t="s">
        <v>3460</v>
      </c>
      <c r="H7276" t="s">
        <v>3430</v>
      </c>
      <c r="I7276">
        <v>5405</v>
      </c>
      <c r="J7276" s="3">
        <v>52.4</v>
      </c>
      <c r="K7276" s="3">
        <v>25.9</v>
      </c>
      <c r="L7276">
        <v>50.57</v>
      </c>
    </row>
    <row r="7277" spans="1:12">
      <c r="A7277" s="1">
        <v>46051</v>
      </c>
      <c r="B7277" t="s">
        <v>3954</v>
      </c>
      <c r="C7277">
        <v>12</v>
      </c>
      <c r="D7277" t="str">
        <f>VLOOKUP(Tabela26[[#This Row],[EMP]],[1]LOJA!$A:$B,2,0)</f>
        <v>SOFNORTE</v>
      </c>
      <c r="E7277">
        <v>60</v>
      </c>
      <c r="F7277" t="s">
        <v>3953</v>
      </c>
      <c r="G7277" t="s">
        <v>3952</v>
      </c>
      <c r="H7277" t="s">
        <v>3430</v>
      </c>
      <c r="I7277">
        <v>5405</v>
      </c>
      <c r="J7277" s="3">
        <v>220</v>
      </c>
      <c r="K7277" s="3">
        <v>100.16</v>
      </c>
      <c r="L7277">
        <v>54.47</v>
      </c>
    </row>
    <row r="7278" spans="1:12">
      <c r="A7278" s="1">
        <v>46051</v>
      </c>
      <c r="B7278" t="s">
        <v>3951</v>
      </c>
      <c r="C7278">
        <v>12</v>
      </c>
      <c r="D7278" t="str">
        <f>VLOOKUP(Tabela26[[#This Row],[EMP]],[1]LOJA!$A:$B,2,0)</f>
        <v>SOFNORTE</v>
      </c>
      <c r="E7278">
        <v>60</v>
      </c>
      <c r="F7278" t="s">
        <v>3939</v>
      </c>
      <c r="G7278" t="s">
        <v>3938</v>
      </c>
      <c r="H7278" t="s">
        <v>3430</v>
      </c>
      <c r="I7278">
        <v>5405</v>
      </c>
      <c r="J7278" s="3">
        <v>409.08</v>
      </c>
      <c r="K7278" s="3">
        <v>203.29</v>
      </c>
      <c r="L7278">
        <v>50.31</v>
      </c>
    </row>
    <row r="7279" spans="1:12">
      <c r="A7279" s="1">
        <v>46051</v>
      </c>
      <c r="B7279" t="s">
        <v>3950</v>
      </c>
      <c r="C7279">
        <v>12</v>
      </c>
      <c r="D7279" t="str">
        <f>VLOOKUP(Tabela26[[#This Row],[EMP]],[1]LOJA!$A:$B,2,0)</f>
        <v>SOFNORTE</v>
      </c>
      <c r="E7279">
        <v>60</v>
      </c>
      <c r="F7279" t="s">
        <v>3948</v>
      </c>
      <c r="G7279" t="s">
        <v>3947</v>
      </c>
      <c r="H7279" t="s">
        <v>3430</v>
      </c>
      <c r="I7279">
        <v>5405</v>
      </c>
      <c r="J7279" s="3">
        <v>88</v>
      </c>
      <c r="K7279" s="3">
        <v>42.79</v>
      </c>
      <c r="L7279">
        <v>51.38</v>
      </c>
    </row>
    <row r="7280" spans="1:12">
      <c r="A7280" s="1">
        <v>46051</v>
      </c>
      <c r="B7280" t="s">
        <v>3949</v>
      </c>
      <c r="C7280">
        <v>12</v>
      </c>
      <c r="D7280" t="str">
        <f>VLOOKUP(Tabela26[[#This Row],[EMP]],[1]LOJA!$A:$B,2,0)</f>
        <v>SOFNORTE</v>
      </c>
      <c r="E7280">
        <v>60</v>
      </c>
      <c r="F7280" t="s">
        <v>3948</v>
      </c>
      <c r="G7280" t="s">
        <v>3947</v>
      </c>
      <c r="H7280" t="s">
        <v>3430</v>
      </c>
      <c r="I7280">
        <v>5102</v>
      </c>
      <c r="J7280" s="3">
        <v>70.72</v>
      </c>
      <c r="K7280" s="3">
        <v>44.39</v>
      </c>
      <c r="L7280">
        <v>37.229999999999997</v>
      </c>
    </row>
    <row r="7281" spans="1:12">
      <c r="A7281" s="1">
        <v>46051</v>
      </c>
      <c r="B7281" t="s">
        <v>3946</v>
      </c>
      <c r="C7281">
        <v>12</v>
      </c>
      <c r="D7281" t="str">
        <f>VLOOKUP(Tabela26[[#This Row],[EMP]],[1]LOJA!$A:$B,2,0)</f>
        <v>SOFNORTE</v>
      </c>
      <c r="E7281">
        <v>60</v>
      </c>
      <c r="F7281" t="s">
        <v>3945</v>
      </c>
      <c r="G7281" t="s">
        <v>3944</v>
      </c>
      <c r="H7281" t="s">
        <v>3430</v>
      </c>
      <c r="I7281">
        <v>5102</v>
      </c>
      <c r="J7281" s="3">
        <v>2963.89</v>
      </c>
      <c r="K7281" s="3">
        <v>1444.2</v>
      </c>
      <c r="L7281">
        <v>51.27</v>
      </c>
    </row>
    <row r="7282" spans="1:12">
      <c r="A7282" s="1">
        <v>46051</v>
      </c>
      <c r="B7282" t="s">
        <v>3943</v>
      </c>
      <c r="C7282">
        <v>12</v>
      </c>
      <c r="D7282" t="str">
        <f>VLOOKUP(Tabela26[[#This Row],[EMP]],[1]LOJA!$A:$B,2,0)</f>
        <v>SOFNORTE</v>
      </c>
      <c r="E7282">
        <v>60</v>
      </c>
      <c r="F7282" t="s">
        <v>3925</v>
      </c>
      <c r="G7282" t="s">
        <v>3924</v>
      </c>
      <c r="H7282" t="s">
        <v>3430</v>
      </c>
      <c r="I7282">
        <v>5102</v>
      </c>
      <c r="J7282" s="3">
        <v>196</v>
      </c>
      <c r="K7282" s="3">
        <v>92.82</v>
      </c>
      <c r="L7282">
        <v>52.64</v>
      </c>
    </row>
    <row r="7283" spans="1:12">
      <c r="A7283" s="1">
        <v>46051</v>
      </c>
      <c r="B7283" t="s">
        <v>3942</v>
      </c>
      <c r="C7283">
        <v>12</v>
      </c>
      <c r="D7283" t="str">
        <f>VLOOKUP(Tabela26[[#This Row],[EMP]],[1]LOJA!$A:$B,2,0)</f>
        <v>SOFNORTE</v>
      </c>
      <c r="E7283">
        <v>60</v>
      </c>
      <c r="F7283" t="s">
        <v>3461</v>
      </c>
      <c r="G7283" t="s">
        <v>3460</v>
      </c>
      <c r="H7283" t="s">
        <v>3430</v>
      </c>
      <c r="I7283">
        <v>5405</v>
      </c>
      <c r="J7283" s="3">
        <v>131.97999999999999</v>
      </c>
      <c r="K7283" s="3">
        <v>64.55</v>
      </c>
      <c r="L7283">
        <v>51.09</v>
      </c>
    </row>
    <row r="7284" spans="1:12">
      <c r="A7284" s="1">
        <v>46051</v>
      </c>
      <c r="B7284" t="s">
        <v>3941</v>
      </c>
      <c r="C7284">
        <v>12</v>
      </c>
      <c r="D7284" t="str">
        <f>VLOOKUP(Tabela26[[#This Row],[EMP]],[1]LOJA!$A:$B,2,0)</f>
        <v>SOFNORTE</v>
      </c>
      <c r="E7284">
        <v>60</v>
      </c>
      <c r="F7284" t="s">
        <v>3458</v>
      </c>
      <c r="G7284" t="s">
        <v>3457</v>
      </c>
      <c r="H7284" t="s">
        <v>3430</v>
      </c>
      <c r="I7284">
        <v>5405</v>
      </c>
      <c r="J7284" s="3">
        <v>59.9</v>
      </c>
      <c r="K7284" s="3">
        <v>26.03</v>
      </c>
      <c r="L7284">
        <v>56.54</v>
      </c>
    </row>
    <row r="7285" spans="1:12">
      <c r="A7285" s="1">
        <v>46051</v>
      </c>
      <c r="B7285" t="s">
        <v>3940</v>
      </c>
      <c r="C7285">
        <v>12</v>
      </c>
      <c r="D7285" t="str">
        <f>VLOOKUP(Tabela26[[#This Row],[EMP]],[1]LOJA!$A:$B,2,0)</f>
        <v>SOFNORTE</v>
      </c>
      <c r="E7285">
        <v>60</v>
      </c>
      <c r="F7285" t="s">
        <v>3939</v>
      </c>
      <c r="G7285" t="s">
        <v>3938</v>
      </c>
      <c r="H7285" t="s">
        <v>3430</v>
      </c>
      <c r="I7285">
        <v>5405</v>
      </c>
      <c r="J7285" s="3">
        <v>1224.29</v>
      </c>
      <c r="K7285" s="3">
        <v>597.57000000000005</v>
      </c>
      <c r="L7285">
        <v>51.19</v>
      </c>
    </row>
    <row r="7286" spans="1:12">
      <c r="A7286" s="1">
        <v>46051</v>
      </c>
      <c r="B7286" t="s">
        <v>3937</v>
      </c>
      <c r="C7286">
        <v>12</v>
      </c>
      <c r="D7286" t="str">
        <f>VLOOKUP(Tabela26[[#This Row],[EMP]],[1]LOJA!$A:$B,2,0)</f>
        <v>SOFNORTE</v>
      </c>
      <c r="E7286">
        <v>60</v>
      </c>
      <c r="F7286" t="s">
        <v>3461</v>
      </c>
      <c r="G7286" t="s">
        <v>3460</v>
      </c>
      <c r="H7286" t="s">
        <v>3430</v>
      </c>
      <c r="I7286">
        <v>5405</v>
      </c>
      <c r="J7286" s="3">
        <v>87.48</v>
      </c>
      <c r="K7286" s="3">
        <v>43.54</v>
      </c>
      <c r="L7286">
        <v>50.23</v>
      </c>
    </row>
    <row r="7287" spans="1:12">
      <c r="A7287" s="1">
        <v>46051</v>
      </c>
      <c r="B7287" t="s">
        <v>3936</v>
      </c>
      <c r="C7287">
        <v>12</v>
      </c>
      <c r="D7287" t="str">
        <f>VLOOKUP(Tabela26[[#This Row],[EMP]],[1]LOJA!$A:$B,2,0)</f>
        <v>SOFNORTE</v>
      </c>
      <c r="E7287">
        <v>60</v>
      </c>
      <c r="F7287" t="s">
        <v>3935</v>
      </c>
      <c r="G7287" t="s">
        <v>3934</v>
      </c>
      <c r="H7287" t="s">
        <v>3408</v>
      </c>
      <c r="I7287">
        <v>5405</v>
      </c>
      <c r="J7287" s="3">
        <v>1200</v>
      </c>
      <c r="K7287" s="3">
        <v>594.96</v>
      </c>
      <c r="L7287">
        <v>50.42</v>
      </c>
    </row>
    <row r="7288" spans="1:12">
      <c r="A7288" s="1">
        <v>46051</v>
      </c>
      <c r="B7288" t="s">
        <v>3933</v>
      </c>
      <c r="C7288">
        <v>12</v>
      </c>
      <c r="D7288" t="str">
        <f>VLOOKUP(Tabela26[[#This Row],[EMP]],[1]LOJA!$A:$B,2,0)</f>
        <v>SOFNORTE</v>
      </c>
      <c r="E7288">
        <v>60</v>
      </c>
      <c r="F7288" t="s">
        <v>3461</v>
      </c>
      <c r="G7288" t="s">
        <v>3460</v>
      </c>
      <c r="H7288" t="s">
        <v>3430</v>
      </c>
      <c r="I7288">
        <v>5405</v>
      </c>
      <c r="J7288" s="3">
        <v>190.74</v>
      </c>
      <c r="K7288" s="3">
        <v>87.44</v>
      </c>
      <c r="L7288">
        <v>54.16</v>
      </c>
    </row>
    <row r="7289" spans="1:12">
      <c r="A7289" s="1">
        <v>46051</v>
      </c>
      <c r="B7289" t="s">
        <v>3932</v>
      </c>
      <c r="C7289">
        <v>12</v>
      </c>
      <c r="D7289" t="str">
        <f>VLOOKUP(Tabela26[[#This Row],[EMP]],[1]LOJA!$A:$B,2,0)</f>
        <v>SOFNORTE</v>
      </c>
      <c r="E7289">
        <v>60</v>
      </c>
      <c r="F7289" t="s">
        <v>3931</v>
      </c>
      <c r="G7289" t="s">
        <v>3930</v>
      </c>
      <c r="H7289" t="s">
        <v>3557</v>
      </c>
      <c r="I7289">
        <v>5405</v>
      </c>
      <c r="J7289" s="3">
        <v>112.37</v>
      </c>
      <c r="K7289" s="3">
        <v>53.58</v>
      </c>
      <c r="L7289">
        <v>52.32</v>
      </c>
    </row>
    <row r="7290" spans="1:12">
      <c r="A7290" s="1">
        <v>46051</v>
      </c>
      <c r="B7290" t="s">
        <v>3929</v>
      </c>
      <c r="C7290">
        <v>12</v>
      </c>
      <c r="D7290" t="str">
        <f>VLOOKUP(Tabela26[[#This Row],[EMP]],[1]LOJA!$A:$B,2,0)</f>
        <v>SOFNORTE</v>
      </c>
      <c r="E7290">
        <v>60</v>
      </c>
      <c r="F7290" t="s">
        <v>3928</v>
      </c>
      <c r="G7290" t="s">
        <v>3927</v>
      </c>
      <c r="H7290" t="s">
        <v>3430</v>
      </c>
      <c r="I7290">
        <v>5405</v>
      </c>
      <c r="J7290" s="3">
        <v>69</v>
      </c>
      <c r="K7290" s="3">
        <v>31.45</v>
      </c>
      <c r="L7290">
        <v>54.42</v>
      </c>
    </row>
    <row r="7291" spans="1:12">
      <c r="A7291" s="1">
        <v>46051</v>
      </c>
      <c r="B7291" t="s">
        <v>3926</v>
      </c>
      <c r="C7291">
        <v>12</v>
      </c>
      <c r="D7291" t="str">
        <f>VLOOKUP(Tabela26[[#This Row],[EMP]],[1]LOJA!$A:$B,2,0)</f>
        <v>SOFNORTE</v>
      </c>
      <c r="E7291">
        <v>239</v>
      </c>
      <c r="F7291" t="s">
        <v>3925</v>
      </c>
      <c r="G7291" t="s">
        <v>3924</v>
      </c>
      <c r="H7291" t="s">
        <v>3430</v>
      </c>
      <c r="I7291">
        <v>5102</v>
      </c>
      <c r="J7291" s="3">
        <v>21.99</v>
      </c>
      <c r="K7291" s="3">
        <v>11.63</v>
      </c>
      <c r="L7291">
        <v>47.11</v>
      </c>
    </row>
    <row r="7292" spans="1:12">
      <c r="A7292" s="1">
        <v>46051</v>
      </c>
      <c r="B7292" t="s">
        <v>3923</v>
      </c>
      <c r="C7292">
        <v>22</v>
      </c>
      <c r="D7292" t="str">
        <f>VLOOKUP(Tabela26[[#This Row],[EMP]],[1]LOJA!$A:$B,2,0)</f>
        <v>GUARÁ</v>
      </c>
      <c r="E7292">
        <v>16</v>
      </c>
      <c r="F7292" t="s">
        <v>3403</v>
      </c>
      <c r="G7292" t="s">
        <v>3402</v>
      </c>
      <c r="H7292" t="s">
        <v>3401</v>
      </c>
      <c r="I7292">
        <v>5405</v>
      </c>
      <c r="J7292" s="3">
        <v>300</v>
      </c>
      <c r="K7292" s="3">
        <v>179.22</v>
      </c>
      <c r="L7292">
        <v>40.26</v>
      </c>
    </row>
    <row r="7293" spans="1:12">
      <c r="A7293" s="1">
        <v>46051</v>
      </c>
      <c r="B7293" t="s">
        <v>3922</v>
      </c>
      <c r="C7293">
        <v>22</v>
      </c>
      <c r="D7293" t="str">
        <f>VLOOKUP(Tabela26[[#This Row],[EMP]],[1]LOJA!$A:$B,2,0)</f>
        <v>GUARÁ</v>
      </c>
      <c r="E7293">
        <v>93</v>
      </c>
      <c r="F7293" t="s">
        <v>3921</v>
      </c>
      <c r="G7293" t="s">
        <v>3920</v>
      </c>
      <c r="H7293" t="s">
        <v>3401</v>
      </c>
      <c r="I7293">
        <v>5102</v>
      </c>
      <c r="J7293" s="3">
        <v>6</v>
      </c>
      <c r="K7293" s="3">
        <v>2.6</v>
      </c>
      <c r="L7293">
        <v>56.67</v>
      </c>
    </row>
    <row r="7294" spans="1:12">
      <c r="A7294" s="1">
        <v>46051</v>
      </c>
      <c r="B7294" t="s">
        <v>3919</v>
      </c>
      <c r="C7294">
        <v>22</v>
      </c>
      <c r="D7294" t="str">
        <f>VLOOKUP(Tabela26[[#This Row],[EMP]],[1]LOJA!$A:$B,2,0)</f>
        <v>GUARÁ</v>
      </c>
      <c r="E7294">
        <v>93</v>
      </c>
      <c r="F7294" t="s">
        <v>3403</v>
      </c>
      <c r="G7294" t="s">
        <v>3402</v>
      </c>
      <c r="H7294" t="s">
        <v>3401</v>
      </c>
      <c r="I7294">
        <v>5102</v>
      </c>
      <c r="J7294" s="3">
        <v>119</v>
      </c>
      <c r="K7294" s="3">
        <v>70.77</v>
      </c>
      <c r="L7294">
        <v>40.53</v>
      </c>
    </row>
    <row r="7295" spans="1:12">
      <c r="A7295" s="1">
        <v>46051</v>
      </c>
      <c r="B7295" t="s">
        <v>3918</v>
      </c>
      <c r="C7295">
        <v>22</v>
      </c>
      <c r="D7295" t="str">
        <f>VLOOKUP(Tabela26[[#This Row],[EMP]],[1]LOJA!$A:$B,2,0)</f>
        <v>GUARÁ</v>
      </c>
      <c r="E7295">
        <v>16</v>
      </c>
      <c r="F7295" t="s">
        <v>3917</v>
      </c>
      <c r="G7295" t="s">
        <v>3402</v>
      </c>
      <c r="H7295" t="s">
        <v>3408</v>
      </c>
      <c r="I7295">
        <v>5102</v>
      </c>
      <c r="J7295" s="3">
        <v>300</v>
      </c>
      <c r="K7295" s="3">
        <v>138.15</v>
      </c>
      <c r="L7295">
        <v>53.95</v>
      </c>
    </row>
    <row r="7296" spans="1:12">
      <c r="A7296" s="1">
        <v>46051</v>
      </c>
      <c r="B7296" t="s">
        <v>3916</v>
      </c>
      <c r="C7296">
        <v>22</v>
      </c>
      <c r="D7296" t="str">
        <f>VLOOKUP(Tabela26[[#This Row],[EMP]],[1]LOJA!$A:$B,2,0)</f>
        <v>GUARÁ</v>
      </c>
      <c r="E7296">
        <v>93</v>
      </c>
      <c r="F7296" t="s">
        <v>3915</v>
      </c>
      <c r="G7296" t="s">
        <v>3402</v>
      </c>
      <c r="H7296" t="s">
        <v>3408</v>
      </c>
      <c r="I7296">
        <v>5102</v>
      </c>
      <c r="J7296" s="3">
        <v>910.33</v>
      </c>
      <c r="K7296" s="3">
        <v>598.9</v>
      </c>
      <c r="L7296">
        <v>34.21</v>
      </c>
    </row>
    <row r="7297" spans="1:12">
      <c r="A7297" s="1">
        <v>46051</v>
      </c>
      <c r="B7297" t="s">
        <v>3914</v>
      </c>
      <c r="C7297">
        <v>22</v>
      </c>
      <c r="D7297" t="str">
        <f>VLOOKUP(Tabela26[[#This Row],[EMP]],[1]LOJA!$A:$B,2,0)</f>
        <v>GUARÁ</v>
      </c>
      <c r="E7297">
        <v>93</v>
      </c>
      <c r="F7297" t="s">
        <v>3913</v>
      </c>
      <c r="G7297" t="s">
        <v>3912</v>
      </c>
      <c r="H7297" t="s">
        <v>3408</v>
      </c>
      <c r="I7297">
        <v>5405</v>
      </c>
      <c r="J7297" s="3">
        <v>43</v>
      </c>
      <c r="K7297" s="3">
        <v>20.57</v>
      </c>
      <c r="L7297">
        <v>52.16</v>
      </c>
    </row>
    <row r="7298" spans="1:12">
      <c r="A7298" s="1">
        <v>46051</v>
      </c>
      <c r="B7298" t="s">
        <v>3911</v>
      </c>
      <c r="C7298">
        <v>22</v>
      </c>
      <c r="D7298" t="str">
        <f>VLOOKUP(Tabela26[[#This Row],[EMP]],[1]LOJA!$A:$B,2,0)</f>
        <v>GUARÁ</v>
      </c>
      <c r="E7298">
        <v>93</v>
      </c>
      <c r="F7298" t="s">
        <v>3403</v>
      </c>
      <c r="G7298" t="s">
        <v>3402</v>
      </c>
      <c r="H7298" t="s">
        <v>3401</v>
      </c>
      <c r="I7298">
        <v>5102</v>
      </c>
      <c r="J7298" s="3">
        <v>20</v>
      </c>
      <c r="K7298" s="3">
        <v>12.51</v>
      </c>
      <c r="L7298">
        <v>37.450000000000003</v>
      </c>
    </row>
    <row r="7299" spans="1:12">
      <c r="A7299" s="1">
        <v>46051</v>
      </c>
      <c r="B7299" t="s">
        <v>3910</v>
      </c>
      <c r="C7299">
        <v>22</v>
      </c>
      <c r="D7299" t="str">
        <f>VLOOKUP(Tabela26[[#This Row],[EMP]],[1]LOJA!$A:$B,2,0)</f>
        <v>GUARÁ</v>
      </c>
      <c r="E7299">
        <v>16</v>
      </c>
      <c r="F7299" t="s">
        <v>3403</v>
      </c>
      <c r="G7299" t="s">
        <v>3402</v>
      </c>
      <c r="H7299" t="s">
        <v>3401</v>
      </c>
      <c r="I7299">
        <v>5102</v>
      </c>
      <c r="J7299" s="3">
        <v>27</v>
      </c>
      <c r="K7299" s="3">
        <v>10.83</v>
      </c>
      <c r="L7299">
        <v>59.89</v>
      </c>
    </row>
    <row r="7300" spans="1:12">
      <c r="A7300" s="1">
        <v>46051</v>
      </c>
      <c r="B7300" t="s">
        <v>3909</v>
      </c>
      <c r="C7300">
        <v>22</v>
      </c>
      <c r="D7300" t="str">
        <f>VLOOKUP(Tabela26[[#This Row],[EMP]],[1]LOJA!$A:$B,2,0)</f>
        <v>GUARÁ</v>
      </c>
      <c r="E7300">
        <v>16</v>
      </c>
      <c r="F7300" t="s">
        <v>3403</v>
      </c>
      <c r="G7300" t="s">
        <v>3402</v>
      </c>
      <c r="H7300" t="s">
        <v>3401</v>
      </c>
      <c r="I7300">
        <v>5405</v>
      </c>
      <c r="J7300" s="3">
        <v>63</v>
      </c>
      <c r="K7300" s="3">
        <v>31.67</v>
      </c>
      <c r="L7300">
        <v>49.73</v>
      </c>
    </row>
    <row r="7301" spans="1:12">
      <c r="A7301" s="1">
        <v>46051</v>
      </c>
      <c r="B7301" t="s">
        <v>3908</v>
      </c>
      <c r="C7301">
        <v>22</v>
      </c>
      <c r="D7301" t="str">
        <f>VLOOKUP(Tabela26[[#This Row],[EMP]],[1]LOJA!$A:$B,2,0)</f>
        <v>GUARÁ</v>
      </c>
      <c r="E7301">
        <v>16</v>
      </c>
      <c r="F7301" t="s">
        <v>3856</v>
      </c>
      <c r="G7301" t="s">
        <v>3855</v>
      </c>
      <c r="H7301" t="s">
        <v>3520</v>
      </c>
      <c r="I7301">
        <v>5102</v>
      </c>
      <c r="J7301" s="3">
        <v>79.87</v>
      </c>
      <c r="K7301" s="3">
        <v>41.63</v>
      </c>
      <c r="L7301">
        <v>47.88</v>
      </c>
    </row>
    <row r="7302" spans="1:12">
      <c r="A7302" s="1">
        <v>46051</v>
      </c>
      <c r="B7302" t="s">
        <v>3907</v>
      </c>
      <c r="C7302">
        <v>22</v>
      </c>
      <c r="D7302" t="str">
        <f>VLOOKUP(Tabela26[[#This Row],[EMP]],[1]LOJA!$A:$B,2,0)</f>
        <v>GUARÁ</v>
      </c>
      <c r="E7302">
        <v>93</v>
      </c>
      <c r="F7302" t="s">
        <v>3906</v>
      </c>
      <c r="G7302" t="s">
        <v>3905</v>
      </c>
      <c r="H7302" t="s">
        <v>3401</v>
      </c>
      <c r="I7302">
        <v>5102</v>
      </c>
      <c r="J7302" s="3">
        <v>60</v>
      </c>
      <c r="K7302" s="3">
        <v>27.84</v>
      </c>
      <c r="L7302">
        <v>53.6</v>
      </c>
    </row>
    <row r="7303" spans="1:12">
      <c r="A7303" s="1">
        <v>46051</v>
      </c>
      <c r="B7303" t="s">
        <v>3904</v>
      </c>
      <c r="C7303">
        <v>22</v>
      </c>
      <c r="D7303" t="str">
        <f>VLOOKUP(Tabela26[[#This Row],[EMP]],[1]LOJA!$A:$B,2,0)</f>
        <v>GUARÁ</v>
      </c>
      <c r="E7303">
        <v>93</v>
      </c>
      <c r="F7303" t="s">
        <v>3403</v>
      </c>
      <c r="G7303" t="s">
        <v>3402</v>
      </c>
      <c r="H7303" t="s">
        <v>3401</v>
      </c>
      <c r="I7303">
        <v>5405</v>
      </c>
      <c r="J7303" s="3">
        <v>26</v>
      </c>
      <c r="K7303" s="3">
        <v>12.07</v>
      </c>
      <c r="L7303">
        <v>53.58</v>
      </c>
    </row>
    <row r="7304" spans="1:12">
      <c r="A7304" s="1">
        <v>46051</v>
      </c>
      <c r="B7304" t="s">
        <v>3903</v>
      </c>
      <c r="C7304">
        <v>22</v>
      </c>
      <c r="D7304" t="str">
        <f>VLOOKUP(Tabela26[[#This Row],[EMP]],[1]LOJA!$A:$B,2,0)</f>
        <v>GUARÁ</v>
      </c>
      <c r="E7304">
        <v>93</v>
      </c>
      <c r="F7304" t="s">
        <v>3902</v>
      </c>
      <c r="G7304" t="s">
        <v>3901</v>
      </c>
      <c r="H7304" t="s">
        <v>3408</v>
      </c>
      <c r="I7304">
        <v>5405</v>
      </c>
      <c r="J7304" s="3">
        <v>277.23</v>
      </c>
      <c r="K7304" s="3">
        <v>166.19</v>
      </c>
      <c r="L7304">
        <v>40.049999999999997</v>
      </c>
    </row>
    <row r="7305" spans="1:12">
      <c r="A7305" s="1">
        <v>46051</v>
      </c>
      <c r="B7305" t="s">
        <v>3900</v>
      </c>
      <c r="C7305">
        <v>22</v>
      </c>
      <c r="D7305" t="str">
        <f>VLOOKUP(Tabela26[[#This Row],[EMP]],[1]LOJA!$A:$B,2,0)</f>
        <v>GUARÁ</v>
      </c>
      <c r="E7305">
        <v>93</v>
      </c>
      <c r="F7305" t="s">
        <v>3899</v>
      </c>
      <c r="G7305" t="s">
        <v>3898</v>
      </c>
      <c r="H7305" t="s">
        <v>3520</v>
      </c>
      <c r="I7305">
        <v>5405</v>
      </c>
      <c r="J7305" s="3">
        <v>211.92</v>
      </c>
      <c r="K7305" s="3">
        <v>120.14</v>
      </c>
      <c r="L7305">
        <v>43.31</v>
      </c>
    </row>
    <row r="7306" spans="1:12">
      <c r="A7306" s="1">
        <v>46051</v>
      </c>
      <c r="B7306" t="s">
        <v>3897</v>
      </c>
      <c r="C7306">
        <v>22</v>
      </c>
      <c r="D7306" t="str">
        <f>VLOOKUP(Tabela26[[#This Row],[EMP]],[1]LOJA!$A:$B,2,0)</f>
        <v>GUARÁ</v>
      </c>
      <c r="E7306">
        <v>93</v>
      </c>
      <c r="F7306" t="s">
        <v>3403</v>
      </c>
      <c r="G7306" t="s">
        <v>3402</v>
      </c>
      <c r="H7306" t="s">
        <v>3401</v>
      </c>
      <c r="I7306">
        <v>5102</v>
      </c>
      <c r="J7306" s="3">
        <v>292</v>
      </c>
      <c r="K7306" s="3">
        <v>189.41</v>
      </c>
      <c r="L7306">
        <v>35.130000000000003</v>
      </c>
    </row>
    <row r="7307" spans="1:12">
      <c r="A7307" s="1">
        <v>46051</v>
      </c>
      <c r="B7307" t="s">
        <v>3896</v>
      </c>
      <c r="C7307">
        <v>22</v>
      </c>
      <c r="D7307" t="str">
        <f>VLOOKUP(Tabela26[[#This Row],[EMP]],[1]LOJA!$A:$B,2,0)</f>
        <v>GUARÁ</v>
      </c>
      <c r="E7307">
        <v>93</v>
      </c>
      <c r="F7307" t="s">
        <v>3403</v>
      </c>
      <c r="G7307" t="s">
        <v>3402</v>
      </c>
      <c r="H7307" t="s">
        <v>3401</v>
      </c>
      <c r="I7307">
        <v>5102</v>
      </c>
      <c r="J7307" s="3">
        <v>5.5</v>
      </c>
      <c r="K7307" s="3">
        <v>3.38</v>
      </c>
      <c r="L7307">
        <v>38.549999999999997</v>
      </c>
    </row>
    <row r="7308" spans="1:12">
      <c r="A7308" s="1">
        <v>46051</v>
      </c>
      <c r="B7308" t="s">
        <v>3895</v>
      </c>
      <c r="C7308">
        <v>22</v>
      </c>
      <c r="D7308" t="str">
        <f>VLOOKUP(Tabela26[[#This Row],[EMP]],[1]LOJA!$A:$B,2,0)</f>
        <v>GUARÁ</v>
      </c>
      <c r="E7308">
        <v>93</v>
      </c>
      <c r="F7308" t="s">
        <v>3894</v>
      </c>
      <c r="G7308" t="s">
        <v>3893</v>
      </c>
      <c r="H7308" t="s">
        <v>3401</v>
      </c>
      <c r="I7308">
        <v>5405</v>
      </c>
      <c r="J7308" s="3">
        <v>176</v>
      </c>
      <c r="K7308" s="3">
        <v>95.39</v>
      </c>
      <c r="L7308">
        <v>45.8</v>
      </c>
    </row>
    <row r="7309" spans="1:12">
      <c r="A7309" s="1">
        <v>46051</v>
      </c>
      <c r="B7309" t="s">
        <v>3892</v>
      </c>
      <c r="C7309">
        <v>22</v>
      </c>
      <c r="D7309" t="str">
        <f>VLOOKUP(Tabela26[[#This Row],[EMP]],[1]LOJA!$A:$B,2,0)</f>
        <v>GUARÁ</v>
      </c>
      <c r="E7309">
        <v>16</v>
      </c>
      <c r="F7309" t="s">
        <v>3403</v>
      </c>
      <c r="G7309" t="s">
        <v>3402</v>
      </c>
      <c r="H7309" t="s">
        <v>3401</v>
      </c>
      <c r="I7309">
        <v>5102</v>
      </c>
      <c r="J7309" s="3">
        <v>18</v>
      </c>
      <c r="K7309" s="3">
        <v>9.24</v>
      </c>
      <c r="L7309">
        <v>48.67</v>
      </c>
    </row>
    <row r="7310" spans="1:12">
      <c r="A7310" s="1">
        <v>46051</v>
      </c>
      <c r="B7310" t="s">
        <v>3891</v>
      </c>
      <c r="C7310">
        <v>22</v>
      </c>
      <c r="D7310" t="str">
        <f>VLOOKUP(Tabela26[[#This Row],[EMP]],[1]LOJA!$A:$B,2,0)</f>
        <v>GUARÁ</v>
      </c>
      <c r="E7310">
        <v>16</v>
      </c>
      <c r="F7310" t="s">
        <v>3403</v>
      </c>
      <c r="G7310" t="s">
        <v>3402</v>
      </c>
      <c r="H7310" t="s">
        <v>3401</v>
      </c>
      <c r="I7310">
        <v>5405</v>
      </c>
      <c r="J7310" s="3">
        <v>60</v>
      </c>
      <c r="K7310" s="3">
        <v>31.61</v>
      </c>
      <c r="L7310">
        <v>47.32</v>
      </c>
    </row>
    <row r="7311" spans="1:12">
      <c r="A7311" s="1">
        <v>46051</v>
      </c>
      <c r="B7311" t="s">
        <v>3890</v>
      </c>
      <c r="C7311">
        <v>22</v>
      </c>
      <c r="D7311" t="str">
        <f>VLOOKUP(Tabela26[[#This Row],[EMP]],[1]LOJA!$A:$B,2,0)</f>
        <v>GUARÁ</v>
      </c>
      <c r="E7311">
        <v>16</v>
      </c>
      <c r="F7311" t="s">
        <v>3889</v>
      </c>
      <c r="G7311" t="s">
        <v>3888</v>
      </c>
      <c r="H7311" t="s">
        <v>3689</v>
      </c>
      <c r="I7311">
        <v>5405</v>
      </c>
      <c r="J7311" s="3">
        <v>1063</v>
      </c>
      <c r="K7311" s="3">
        <v>682.01</v>
      </c>
      <c r="L7311">
        <v>35.840000000000003</v>
      </c>
    </row>
    <row r="7312" spans="1:12">
      <c r="A7312" s="1">
        <v>46051</v>
      </c>
      <c r="B7312" t="s">
        <v>3887</v>
      </c>
      <c r="C7312">
        <v>22</v>
      </c>
      <c r="D7312" t="str">
        <f>VLOOKUP(Tabela26[[#This Row],[EMP]],[1]LOJA!$A:$B,2,0)</f>
        <v>GUARÁ</v>
      </c>
      <c r="E7312">
        <v>16</v>
      </c>
      <c r="F7312" t="s">
        <v>3886</v>
      </c>
      <c r="G7312" t="s">
        <v>3402</v>
      </c>
      <c r="H7312" t="s">
        <v>3408</v>
      </c>
      <c r="I7312">
        <v>5405</v>
      </c>
      <c r="J7312" s="3">
        <v>89</v>
      </c>
      <c r="K7312" s="3">
        <v>45.95</v>
      </c>
      <c r="L7312">
        <v>48.37</v>
      </c>
    </row>
    <row r="7313" spans="1:12">
      <c r="A7313" s="1">
        <v>46051</v>
      </c>
      <c r="B7313" t="s">
        <v>3885</v>
      </c>
      <c r="C7313">
        <v>22</v>
      </c>
      <c r="D7313" t="str">
        <f>VLOOKUP(Tabela26[[#This Row],[EMP]],[1]LOJA!$A:$B,2,0)</f>
        <v>GUARÁ</v>
      </c>
      <c r="E7313">
        <v>16</v>
      </c>
      <c r="F7313" t="s">
        <v>3403</v>
      </c>
      <c r="G7313" t="s">
        <v>3402</v>
      </c>
      <c r="H7313" t="s">
        <v>3401</v>
      </c>
      <c r="I7313">
        <v>5102</v>
      </c>
      <c r="J7313" s="3">
        <v>38</v>
      </c>
      <c r="K7313" s="3">
        <v>15.36</v>
      </c>
      <c r="L7313">
        <v>59.58</v>
      </c>
    </row>
    <row r="7314" spans="1:12">
      <c r="A7314" s="1">
        <v>46051</v>
      </c>
      <c r="B7314" t="s">
        <v>3884</v>
      </c>
      <c r="C7314">
        <v>22</v>
      </c>
      <c r="D7314" t="str">
        <f>VLOOKUP(Tabela26[[#This Row],[EMP]],[1]LOJA!$A:$B,2,0)</f>
        <v>GUARÁ</v>
      </c>
      <c r="E7314">
        <v>93</v>
      </c>
      <c r="F7314" t="s">
        <v>3883</v>
      </c>
      <c r="G7314" t="s">
        <v>3402</v>
      </c>
      <c r="H7314" t="s">
        <v>3401</v>
      </c>
      <c r="I7314">
        <v>5405</v>
      </c>
      <c r="J7314" s="3">
        <v>65</v>
      </c>
      <c r="K7314" s="3">
        <v>33.78</v>
      </c>
      <c r="L7314">
        <v>48.03</v>
      </c>
    </row>
    <row r="7315" spans="1:12">
      <c r="A7315" s="1">
        <v>46051</v>
      </c>
      <c r="B7315" t="s">
        <v>3882</v>
      </c>
      <c r="C7315">
        <v>22</v>
      </c>
      <c r="D7315" t="str">
        <f>VLOOKUP(Tabela26[[#This Row],[EMP]],[1]LOJA!$A:$B,2,0)</f>
        <v>GUARÁ</v>
      </c>
      <c r="E7315">
        <v>93</v>
      </c>
      <c r="F7315" t="s">
        <v>3881</v>
      </c>
      <c r="G7315" t="s">
        <v>3402</v>
      </c>
      <c r="H7315" t="s">
        <v>3401</v>
      </c>
      <c r="I7315">
        <v>5405</v>
      </c>
      <c r="J7315" s="3">
        <v>32</v>
      </c>
      <c r="K7315" s="3">
        <v>16.440000000000001</v>
      </c>
      <c r="L7315">
        <v>48.63</v>
      </c>
    </row>
    <row r="7316" spans="1:12">
      <c r="A7316" s="1">
        <v>46051</v>
      </c>
      <c r="B7316" t="s">
        <v>3880</v>
      </c>
      <c r="C7316">
        <v>22</v>
      </c>
      <c r="D7316" t="str">
        <f>VLOOKUP(Tabela26[[#This Row],[EMP]],[1]LOJA!$A:$B,2,0)</f>
        <v>GUARÁ</v>
      </c>
      <c r="E7316">
        <v>93</v>
      </c>
      <c r="F7316" t="s">
        <v>3403</v>
      </c>
      <c r="G7316" t="s">
        <v>3402</v>
      </c>
      <c r="H7316" t="s">
        <v>3401</v>
      </c>
      <c r="I7316">
        <v>5102</v>
      </c>
      <c r="J7316" s="3">
        <v>54</v>
      </c>
      <c r="K7316" s="3">
        <v>31.44</v>
      </c>
      <c r="L7316">
        <v>41.78</v>
      </c>
    </row>
    <row r="7317" spans="1:12">
      <c r="A7317" s="1">
        <v>46051</v>
      </c>
      <c r="B7317" t="s">
        <v>3879</v>
      </c>
      <c r="C7317">
        <v>22</v>
      </c>
      <c r="D7317" t="str">
        <f>VLOOKUP(Tabela26[[#This Row],[EMP]],[1]LOJA!$A:$B,2,0)</f>
        <v>GUARÁ</v>
      </c>
      <c r="E7317">
        <v>93</v>
      </c>
      <c r="F7317" t="s">
        <v>3403</v>
      </c>
      <c r="G7317" t="s">
        <v>3402</v>
      </c>
      <c r="H7317" t="s">
        <v>3401</v>
      </c>
      <c r="I7317">
        <v>5405</v>
      </c>
      <c r="J7317" s="3">
        <v>107</v>
      </c>
      <c r="K7317" s="3">
        <v>56.43</v>
      </c>
      <c r="L7317">
        <v>47.26</v>
      </c>
    </row>
    <row r="7318" spans="1:12">
      <c r="A7318" s="1">
        <v>46051</v>
      </c>
      <c r="B7318" t="s">
        <v>3878</v>
      </c>
      <c r="C7318">
        <v>22</v>
      </c>
      <c r="D7318" t="str">
        <f>VLOOKUP(Tabela26[[#This Row],[EMP]],[1]LOJA!$A:$B,2,0)</f>
        <v>GUARÁ</v>
      </c>
      <c r="E7318">
        <v>93</v>
      </c>
      <c r="F7318" t="s">
        <v>3877</v>
      </c>
      <c r="G7318" t="s">
        <v>3876</v>
      </c>
      <c r="H7318" t="s">
        <v>3401</v>
      </c>
      <c r="I7318">
        <v>5102</v>
      </c>
      <c r="J7318" s="3">
        <v>100</v>
      </c>
      <c r="K7318" s="3">
        <v>65.3</v>
      </c>
      <c r="L7318">
        <v>34.700000000000003</v>
      </c>
    </row>
    <row r="7319" spans="1:12">
      <c r="A7319" s="1">
        <v>46051</v>
      </c>
      <c r="B7319" t="s">
        <v>3875</v>
      </c>
      <c r="C7319">
        <v>22</v>
      </c>
      <c r="D7319" t="str">
        <f>VLOOKUP(Tabela26[[#This Row],[EMP]],[1]LOJA!$A:$B,2,0)</f>
        <v>GUARÁ</v>
      </c>
      <c r="E7319">
        <v>16</v>
      </c>
      <c r="F7319" t="s">
        <v>3403</v>
      </c>
      <c r="G7319" t="s">
        <v>3402</v>
      </c>
      <c r="H7319" t="s">
        <v>3401</v>
      </c>
      <c r="I7319">
        <v>5102</v>
      </c>
      <c r="J7319" s="3">
        <v>60</v>
      </c>
      <c r="K7319" s="3">
        <v>31.89</v>
      </c>
      <c r="L7319">
        <v>46.85</v>
      </c>
    </row>
    <row r="7320" spans="1:12">
      <c r="A7320" s="1">
        <v>46051</v>
      </c>
      <c r="B7320" t="s">
        <v>3874</v>
      </c>
      <c r="C7320">
        <v>22</v>
      </c>
      <c r="D7320" t="str">
        <f>VLOOKUP(Tabela26[[#This Row],[EMP]],[1]LOJA!$A:$B,2,0)</f>
        <v>GUARÁ</v>
      </c>
      <c r="E7320">
        <v>93</v>
      </c>
      <c r="F7320" t="s">
        <v>3873</v>
      </c>
      <c r="G7320" t="s">
        <v>3872</v>
      </c>
      <c r="H7320" t="s">
        <v>3401</v>
      </c>
      <c r="I7320">
        <v>5405</v>
      </c>
      <c r="J7320" s="3">
        <v>398</v>
      </c>
      <c r="K7320" s="3">
        <v>231.99</v>
      </c>
      <c r="L7320">
        <v>41.71</v>
      </c>
    </row>
    <row r="7321" spans="1:12">
      <c r="A7321" s="1">
        <v>46051</v>
      </c>
      <c r="B7321" t="s">
        <v>3871</v>
      </c>
      <c r="C7321">
        <v>22</v>
      </c>
      <c r="D7321" t="str">
        <f>VLOOKUP(Tabela26[[#This Row],[EMP]],[1]LOJA!$A:$B,2,0)</f>
        <v>GUARÁ</v>
      </c>
      <c r="E7321">
        <v>93</v>
      </c>
      <c r="F7321" t="s">
        <v>3870</v>
      </c>
      <c r="G7321" t="s">
        <v>3869</v>
      </c>
      <c r="H7321" t="s">
        <v>3401</v>
      </c>
      <c r="I7321">
        <v>5405</v>
      </c>
      <c r="J7321" s="3">
        <v>133.62</v>
      </c>
      <c r="K7321" s="3">
        <v>69.44</v>
      </c>
      <c r="L7321">
        <v>48.03</v>
      </c>
    </row>
    <row r="7322" spans="1:12">
      <c r="A7322" s="1">
        <v>46051</v>
      </c>
      <c r="B7322" t="s">
        <v>3868</v>
      </c>
      <c r="C7322">
        <v>22</v>
      </c>
      <c r="D7322" t="str">
        <f>VLOOKUP(Tabela26[[#This Row],[EMP]],[1]LOJA!$A:$B,2,0)</f>
        <v>GUARÁ</v>
      </c>
      <c r="E7322">
        <v>16</v>
      </c>
      <c r="F7322" t="s">
        <v>3403</v>
      </c>
      <c r="G7322" t="s">
        <v>3402</v>
      </c>
      <c r="H7322" t="s">
        <v>3401</v>
      </c>
      <c r="I7322">
        <v>5102</v>
      </c>
      <c r="J7322" s="3">
        <v>63</v>
      </c>
      <c r="K7322" s="3">
        <v>32.89</v>
      </c>
      <c r="L7322">
        <v>47.79</v>
      </c>
    </row>
    <row r="7323" spans="1:12">
      <c r="A7323" s="1">
        <v>46051</v>
      </c>
      <c r="B7323" t="s">
        <v>3867</v>
      </c>
      <c r="C7323">
        <v>22</v>
      </c>
      <c r="D7323" t="str">
        <f>VLOOKUP(Tabela26[[#This Row],[EMP]],[1]LOJA!$A:$B,2,0)</f>
        <v>GUARÁ</v>
      </c>
      <c r="E7323">
        <v>93</v>
      </c>
      <c r="F7323" t="s">
        <v>3866</v>
      </c>
      <c r="G7323" t="s">
        <v>3865</v>
      </c>
      <c r="H7323" t="s">
        <v>3401</v>
      </c>
      <c r="I7323">
        <v>5102</v>
      </c>
      <c r="J7323" s="3">
        <v>36</v>
      </c>
      <c r="K7323" s="3">
        <v>15.36</v>
      </c>
      <c r="L7323">
        <v>57.33</v>
      </c>
    </row>
    <row r="7324" spans="1:12">
      <c r="A7324" s="1">
        <v>46051</v>
      </c>
      <c r="B7324" t="s">
        <v>3864</v>
      </c>
      <c r="C7324">
        <v>22</v>
      </c>
      <c r="D7324" t="str">
        <f>VLOOKUP(Tabela26[[#This Row],[EMP]],[1]LOJA!$A:$B,2,0)</f>
        <v>GUARÁ</v>
      </c>
      <c r="E7324">
        <v>93</v>
      </c>
      <c r="F7324" t="s">
        <v>3403</v>
      </c>
      <c r="G7324" t="s">
        <v>3402</v>
      </c>
      <c r="H7324" t="s">
        <v>3401</v>
      </c>
      <c r="I7324">
        <v>5405</v>
      </c>
      <c r="J7324" s="3">
        <v>16</v>
      </c>
      <c r="K7324" s="3">
        <v>7.42</v>
      </c>
      <c r="L7324">
        <v>53.63</v>
      </c>
    </row>
    <row r="7325" spans="1:12">
      <c r="A7325" s="1">
        <v>46051</v>
      </c>
      <c r="B7325" t="s">
        <v>3863</v>
      </c>
      <c r="C7325">
        <v>22</v>
      </c>
      <c r="D7325" t="str">
        <f>VLOOKUP(Tabela26[[#This Row],[EMP]],[1]LOJA!$A:$B,2,0)</f>
        <v>GUARÁ</v>
      </c>
      <c r="E7325">
        <v>93</v>
      </c>
      <c r="F7325" t="s">
        <v>3862</v>
      </c>
      <c r="G7325" t="s">
        <v>3402</v>
      </c>
      <c r="H7325" t="s">
        <v>3408</v>
      </c>
      <c r="I7325">
        <v>5102</v>
      </c>
      <c r="J7325" s="3">
        <v>84</v>
      </c>
      <c r="K7325" s="3">
        <v>55.56</v>
      </c>
      <c r="L7325">
        <v>33.86</v>
      </c>
    </row>
    <row r="7326" spans="1:12">
      <c r="A7326" s="1">
        <v>46051</v>
      </c>
      <c r="B7326" t="s">
        <v>3861</v>
      </c>
      <c r="C7326">
        <v>22</v>
      </c>
      <c r="D7326" t="str">
        <f>VLOOKUP(Tabela26[[#This Row],[EMP]],[1]LOJA!$A:$B,2,0)</f>
        <v>GUARÁ</v>
      </c>
      <c r="E7326">
        <v>16</v>
      </c>
      <c r="F7326" t="s">
        <v>3403</v>
      </c>
      <c r="G7326" t="s">
        <v>3402</v>
      </c>
      <c r="H7326" t="s">
        <v>3401</v>
      </c>
      <c r="I7326">
        <v>5102</v>
      </c>
      <c r="J7326" s="3">
        <v>73</v>
      </c>
      <c r="K7326" s="3">
        <v>37.31</v>
      </c>
      <c r="L7326">
        <v>48.89</v>
      </c>
    </row>
    <row r="7327" spans="1:12">
      <c r="A7327" s="1">
        <v>46051</v>
      </c>
      <c r="B7327" t="s">
        <v>3860</v>
      </c>
      <c r="C7327">
        <v>22</v>
      </c>
      <c r="D7327" t="str">
        <f>VLOOKUP(Tabela26[[#This Row],[EMP]],[1]LOJA!$A:$B,2,0)</f>
        <v>GUARÁ</v>
      </c>
      <c r="E7327">
        <v>16</v>
      </c>
      <c r="F7327" t="s">
        <v>3403</v>
      </c>
      <c r="G7327" t="s">
        <v>3402</v>
      </c>
      <c r="H7327" t="s">
        <v>3401</v>
      </c>
      <c r="I7327">
        <v>5102</v>
      </c>
      <c r="J7327" s="3">
        <v>7.5</v>
      </c>
      <c r="K7327" s="3">
        <v>3.91</v>
      </c>
      <c r="L7327">
        <v>47.87</v>
      </c>
    </row>
    <row r="7328" spans="1:12">
      <c r="A7328" s="1">
        <v>46051</v>
      </c>
      <c r="B7328" t="s">
        <v>3859</v>
      </c>
      <c r="C7328">
        <v>22</v>
      </c>
      <c r="D7328" t="str">
        <f>VLOOKUP(Tabela26[[#This Row],[EMP]],[1]LOJA!$A:$B,2,0)</f>
        <v>GUARÁ</v>
      </c>
      <c r="E7328">
        <v>16</v>
      </c>
      <c r="F7328" t="s">
        <v>3858</v>
      </c>
      <c r="G7328" t="s">
        <v>3402</v>
      </c>
      <c r="H7328" t="s">
        <v>3401</v>
      </c>
      <c r="I7328">
        <v>5405</v>
      </c>
      <c r="J7328" s="3">
        <v>140</v>
      </c>
      <c r="K7328" s="3">
        <v>75.03</v>
      </c>
      <c r="L7328">
        <v>46.41</v>
      </c>
    </row>
    <row r="7329" spans="1:12">
      <c r="A7329" s="1">
        <v>46051</v>
      </c>
      <c r="B7329" t="s">
        <v>3857</v>
      </c>
      <c r="C7329">
        <v>22</v>
      </c>
      <c r="D7329" t="str">
        <f>VLOOKUP(Tabela26[[#This Row],[EMP]],[1]LOJA!$A:$B,2,0)</f>
        <v>GUARÁ</v>
      </c>
      <c r="E7329">
        <v>93</v>
      </c>
      <c r="F7329" t="s">
        <v>3856</v>
      </c>
      <c r="G7329" t="s">
        <v>3855</v>
      </c>
      <c r="H7329" t="s">
        <v>3520</v>
      </c>
      <c r="I7329">
        <v>5102</v>
      </c>
      <c r="J7329" s="3">
        <v>110</v>
      </c>
      <c r="K7329" s="3">
        <v>65.38</v>
      </c>
      <c r="L7329">
        <v>40.56</v>
      </c>
    </row>
    <row r="7330" spans="1:12">
      <c r="A7330" s="1">
        <v>46051</v>
      </c>
      <c r="B7330" t="s">
        <v>3854</v>
      </c>
      <c r="C7330">
        <v>22</v>
      </c>
      <c r="D7330" t="str">
        <f>VLOOKUP(Tabela26[[#This Row],[EMP]],[1]LOJA!$A:$B,2,0)</f>
        <v>GUARÁ</v>
      </c>
      <c r="E7330">
        <v>16</v>
      </c>
      <c r="F7330" t="s">
        <v>3403</v>
      </c>
      <c r="G7330" t="s">
        <v>3402</v>
      </c>
      <c r="H7330" t="s">
        <v>3401</v>
      </c>
      <c r="I7330">
        <v>5102</v>
      </c>
      <c r="J7330" s="3">
        <v>1</v>
      </c>
      <c r="K7330" s="3">
        <v>0.36</v>
      </c>
      <c r="L7330">
        <v>64</v>
      </c>
    </row>
    <row r="7331" spans="1:12">
      <c r="A7331" s="1">
        <v>46051</v>
      </c>
      <c r="B7331" t="s">
        <v>3853</v>
      </c>
      <c r="C7331">
        <v>4</v>
      </c>
      <c r="D7331" t="str">
        <f>VLOOKUP(Tabela26[[#This Row],[EMP]],[1]LOJA!$A:$B,2,0)</f>
        <v>ADE</v>
      </c>
      <c r="E7331">
        <v>109</v>
      </c>
      <c r="F7331" t="s">
        <v>3852</v>
      </c>
      <c r="G7331" t="s">
        <v>3851</v>
      </c>
      <c r="H7331" t="s">
        <v>3408</v>
      </c>
      <c r="I7331">
        <v>5405</v>
      </c>
      <c r="J7331" s="3">
        <v>221.52</v>
      </c>
      <c r="K7331" s="3">
        <v>100</v>
      </c>
      <c r="L7331">
        <v>54.86</v>
      </c>
    </row>
    <row r="7332" spans="1:12">
      <c r="A7332" s="1">
        <v>46051</v>
      </c>
      <c r="B7332" t="s">
        <v>3850</v>
      </c>
      <c r="C7332">
        <v>4</v>
      </c>
      <c r="D7332" t="str">
        <f>VLOOKUP(Tabela26[[#This Row],[EMP]],[1]LOJA!$A:$B,2,0)</f>
        <v>ADE</v>
      </c>
      <c r="E7332">
        <v>109</v>
      </c>
      <c r="F7332" t="s">
        <v>3849</v>
      </c>
      <c r="G7332" t="s">
        <v>3402</v>
      </c>
      <c r="H7332" t="s">
        <v>3408</v>
      </c>
      <c r="I7332">
        <v>5102</v>
      </c>
      <c r="J7332" s="3">
        <v>340</v>
      </c>
      <c r="K7332" s="3">
        <v>178.72</v>
      </c>
      <c r="L7332">
        <v>47.44</v>
      </c>
    </row>
    <row r="7333" spans="1:12">
      <c r="A7333" s="1">
        <v>46051</v>
      </c>
      <c r="B7333" t="s">
        <v>3848</v>
      </c>
      <c r="C7333">
        <v>4</v>
      </c>
      <c r="D7333" t="str">
        <f>VLOOKUP(Tabela26[[#This Row],[EMP]],[1]LOJA!$A:$B,2,0)</f>
        <v>ADE</v>
      </c>
      <c r="E7333">
        <v>132</v>
      </c>
      <c r="F7333" t="s">
        <v>3403</v>
      </c>
      <c r="G7333" t="s">
        <v>3402</v>
      </c>
      <c r="H7333" t="s">
        <v>3401</v>
      </c>
      <c r="I7333">
        <v>5102</v>
      </c>
      <c r="J7333" s="3">
        <v>80</v>
      </c>
      <c r="K7333" s="3">
        <v>30.62</v>
      </c>
      <c r="L7333">
        <v>61.73</v>
      </c>
    </row>
    <row r="7334" spans="1:12">
      <c r="A7334" s="1">
        <v>46051</v>
      </c>
      <c r="B7334" t="s">
        <v>3847</v>
      </c>
      <c r="C7334">
        <v>4</v>
      </c>
      <c r="D7334" t="str">
        <f>VLOOKUP(Tabela26[[#This Row],[EMP]],[1]LOJA!$A:$B,2,0)</f>
        <v>ADE</v>
      </c>
      <c r="E7334">
        <v>132</v>
      </c>
      <c r="F7334" t="s">
        <v>3846</v>
      </c>
      <c r="G7334" t="s">
        <v>3845</v>
      </c>
      <c r="H7334" t="s">
        <v>3401</v>
      </c>
      <c r="I7334">
        <v>5102</v>
      </c>
      <c r="J7334" s="3">
        <v>55</v>
      </c>
      <c r="K7334" s="3">
        <v>39.159999999999997</v>
      </c>
      <c r="L7334">
        <v>28.8</v>
      </c>
    </row>
    <row r="7335" spans="1:12">
      <c r="A7335" s="1">
        <v>46051</v>
      </c>
      <c r="B7335" t="s">
        <v>3844</v>
      </c>
      <c r="C7335">
        <v>4</v>
      </c>
      <c r="D7335" t="str">
        <f>VLOOKUP(Tabela26[[#This Row],[EMP]],[1]LOJA!$A:$B,2,0)</f>
        <v>ADE</v>
      </c>
      <c r="E7335">
        <v>132</v>
      </c>
      <c r="F7335" t="s">
        <v>3843</v>
      </c>
      <c r="G7335" t="s">
        <v>3842</v>
      </c>
      <c r="H7335" t="s">
        <v>3401</v>
      </c>
      <c r="I7335">
        <v>5102</v>
      </c>
      <c r="J7335" s="3">
        <v>13.75</v>
      </c>
      <c r="K7335" s="3">
        <v>9.25</v>
      </c>
      <c r="L7335">
        <v>32.729999999999997</v>
      </c>
    </row>
    <row r="7336" spans="1:12">
      <c r="A7336" s="1">
        <v>46051</v>
      </c>
      <c r="B7336" t="s">
        <v>3841</v>
      </c>
      <c r="C7336">
        <v>4</v>
      </c>
      <c r="D7336" t="str">
        <f>VLOOKUP(Tabela26[[#This Row],[EMP]],[1]LOJA!$A:$B,2,0)</f>
        <v>ADE</v>
      </c>
      <c r="E7336">
        <v>109</v>
      </c>
      <c r="F7336" t="s">
        <v>3840</v>
      </c>
      <c r="G7336" t="s">
        <v>3839</v>
      </c>
      <c r="H7336" t="s">
        <v>3408</v>
      </c>
      <c r="I7336">
        <v>5102</v>
      </c>
      <c r="J7336" s="3">
        <v>190.5</v>
      </c>
      <c r="K7336" s="3">
        <v>127.99</v>
      </c>
      <c r="L7336">
        <v>32.81</v>
      </c>
    </row>
    <row r="7337" spans="1:12">
      <c r="A7337" s="1">
        <v>46051</v>
      </c>
      <c r="B7337" t="s">
        <v>3838</v>
      </c>
      <c r="C7337">
        <v>4</v>
      </c>
      <c r="D7337" t="str">
        <f>VLOOKUP(Tabela26[[#This Row],[EMP]],[1]LOJA!$A:$B,2,0)</f>
        <v>ADE</v>
      </c>
      <c r="E7337">
        <v>109</v>
      </c>
      <c r="F7337" t="s">
        <v>3403</v>
      </c>
      <c r="G7337" t="s">
        <v>3402</v>
      </c>
      <c r="H7337" t="s">
        <v>3401</v>
      </c>
      <c r="I7337">
        <v>5102</v>
      </c>
      <c r="J7337" s="3">
        <v>10</v>
      </c>
      <c r="K7337" s="3">
        <v>4.16</v>
      </c>
      <c r="L7337">
        <v>58.4</v>
      </c>
    </row>
    <row r="7338" spans="1:12">
      <c r="A7338" s="1">
        <v>46051</v>
      </c>
      <c r="B7338" t="s">
        <v>3837</v>
      </c>
      <c r="C7338">
        <v>4</v>
      </c>
      <c r="D7338" t="str">
        <f>VLOOKUP(Tabela26[[#This Row],[EMP]],[1]LOJA!$A:$B,2,0)</f>
        <v>ADE</v>
      </c>
      <c r="E7338">
        <v>132</v>
      </c>
      <c r="F7338" t="s">
        <v>3836</v>
      </c>
      <c r="G7338" t="s">
        <v>3402</v>
      </c>
      <c r="H7338" t="s">
        <v>3401</v>
      </c>
      <c r="I7338">
        <v>5102</v>
      </c>
      <c r="J7338" s="3">
        <v>10</v>
      </c>
      <c r="K7338" s="3">
        <v>6.16</v>
      </c>
      <c r="L7338">
        <v>38.4</v>
      </c>
    </row>
    <row r="7339" spans="1:12">
      <c r="A7339" s="1">
        <v>46051</v>
      </c>
      <c r="B7339" t="s">
        <v>3835</v>
      </c>
      <c r="C7339">
        <v>4</v>
      </c>
      <c r="D7339" t="str">
        <f>VLOOKUP(Tabela26[[#This Row],[EMP]],[1]LOJA!$A:$B,2,0)</f>
        <v>ADE</v>
      </c>
      <c r="E7339">
        <v>109</v>
      </c>
      <c r="F7339" t="s">
        <v>3403</v>
      </c>
      <c r="G7339" t="s">
        <v>3402</v>
      </c>
      <c r="H7339" t="s">
        <v>3401</v>
      </c>
      <c r="I7339">
        <v>5102</v>
      </c>
      <c r="J7339" s="3">
        <v>69</v>
      </c>
      <c r="K7339" s="3">
        <v>35.479999999999997</v>
      </c>
      <c r="L7339">
        <v>48.58</v>
      </c>
    </row>
    <row r="7340" spans="1:12">
      <c r="A7340" s="1">
        <v>46051</v>
      </c>
      <c r="B7340" t="s">
        <v>3834</v>
      </c>
      <c r="C7340">
        <v>4</v>
      </c>
      <c r="D7340" t="str">
        <f>VLOOKUP(Tabela26[[#This Row],[EMP]],[1]LOJA!$A:$B,2,0)</f>
        <v>ADE</v>
      </c>
      <c r="E7340">
        <v>109</v>
      </c>
      <c r="F7340" t="s">
        <v>3570</v>
      </c>
      <c r="G7340" t="s">
        <v>3402</v>
      </c>
      <c r="H7340" t="s">
        <v>3401</v>
      </c>
      <c r="I7340">
        <v>5102</v>
      </c>
      <c r="J7340" s="3">
        <v>20</v>
      </c>
      <c r="K7340" s="3">
        <v>8.32</v>
      </c>
      <c r="L7340">
        <v>58.4</v>
      </c>
    </row>
    <row r="7341" spans="1:12">
      <c r="A7341" s="1">
        <v>46051</v>
      </c>
      <c r="B7341" t="s">
        <v>3833</v>
      </c>
      <c r="C7341">
        <v>16</v>
      </c>
      <c r="D7341" t="str">
        <f>VLOOKUP(Tabela26[[#This Row],[EMP]],[1]LOJA!$A:$B,2,0)</f>
        <v>AG LINDAS</v>
      </c>
      <c r="E7341">
        <v>240</v>
      </c>
      <c r="F7341" t="s">
        <v>3832</v>
      </c>
      <c r="G7341" t="s">
        <v>3831</v>
      </c>
      <c r="H7341" t="s">
        <v>3401</v>
      </c>
      <c r="I7341">
        <v>5405</v>
      </c>
      <c r="J7341" s="3">
        <v>43</v>
      </c>
      <c r="K7341" s="3">
        <v>19.11</v>
      </c>
      <c r="L7341">
        <v>55.56</v>
      </c>
    </row>
    <row r="7342" spans="1:12">
      <c r="A7342" s="1">
        <v>46051</v>
      </c>
      <c r="B7342" t="s">
        <v>3830</v>
      </c>
      <c r="C7342">
        <v>16</v>
      </c>
      <c r="D7342" t="str">
        <f>VLOOKUP(Tabela26[[#This Row],[EMP]],[1]LOJA!$A:$B,2,0)</f>
        <v>AG LINDAS</v>
      </c>
      <c r="E7342">
        <v>240</v>
      </c>
      <c r="F7342" t="s">
        <v>3829</v>
      </c>
      <c r="G7342" t="s">
        <v>3437</v>
      </c>
      <c r="H7342" t="s">
        <v>3401</v>
      </c>
      <c r="I7342">
        <v>5102</v>
      </c>
      <c r="J7342" s="3">
        <v>63</v>
      </c>
      <c r="K7342" s="3">
        <v>27.84</v>
      </c>
      <c r="L7342">
        <v>55.81</v>
      </c>
    </row>
    <row r="7343" spans="1:12">
      <c r="A7343" s="1">
        <v>46051</v>
      </c>
      <c r="B7343" t="s">
        <v>3828</v>
      </c>
      <c r="C7343">
        <v>16</v>
      </c>
      <c r="D7343" t="str">
        <f>VLOOKUP(Tabela26[[#This Row],[EMP]],[1]LOJA!$A:$B,2,0)</f>
        <v>AG LINDAS</v>
      </c>
      <c r="E7343">
        <v>240</v>
      </c>
      <c r="F7343" t="s">
        <v>3796</v>
      </c>
      <c r="G7343" t="s">
        <v>3795</v>
      </c>
      <c r="H7343" t="s">
        <v>3408</v>
      </c>
      <c r="I7343">
        <v>5405</v>
      </c>
      <c r="J7343" s="3">
        <v>55.9</v>
      </c>
      <c r="K7343" s="3">
        <v>30.26</v>
      </c>
      <c r="L7343">
        <v>45.87</v>
      </c>
    </row>
    <row r="7344" spans="1:12">
      <c r="A7344" s="1">
        <v>46051</v>
      </c>
      <c r="B7344" t="s">
        <v>3827</v>
      </c>
      <c r="C7344">
        <v>16</v>
      </c>
      <c r="D7344" t="str">
        <f>VLOOKUP(Tabela26[[#This Row],[EMP]],[1]LOJA!$A:$B,2,0)</f>
        <v>AG LINDAS</v>
      </c>
      <c r="E7344">
        <v>240</v>
      </c>
      <c r="F7344" t="s">
        <v>3826</v>
      </c>
      <c r="G7344" t="s">
        <v>3825</v>
      </c>
      <c r="H7344" t="s">
        <v>3401</v>
      </c>
      <c r="I7344">
        <v>5102</v>
      </c>
      <c r="J7344" s="3">
        <v>173.8</v>
      </c>
      <c r="K7344" s="3">
        <v>95.11</v>
      </c>
      <c r="L7344">
        <v>45.28</v>
      </c>
    </row>
    <row r="7345" spans="1:12">
      <c r="A7345" s="1">
        <v>46051</v>
      </c>
      <c r="B7345" t="s">
        <v>3824</v>
      </c>
      <c r="C7345">
        <v>16</v>
      </c>
      <c r="D7345" t="str">
        <f>VLOOKUP(Tabela26[[#This Row],[EMP]],[1]LOJA!$A:$B,2,0)</f>
        <v>AG LINDAS</v>
      </c>
      <c r="E7345">
        <v>240</v>
      </c>
      <c r="F7345" t="s">
        <v>3780</v>
      </c>
      <c r="G7345" t="s">
        <v>3437</v>
      </c>
      <c r="H7345" t="s">
        <v>3401</v>
      </c>
      <c r="I7345">
        <v>5102</v>
      </c>
      <c r="J7345" s="3">
        <v>30</v>
      </c>
      <c r="K7345" s="3">
        <v>18.52</v>
      </c>
      <c r="L7345">
        <v>38.270000000000003</v>
      </c>
    </row>
    <row r="7346" spans="1:12">
      <c r="A7346" s="1">
        <v>46051</v>
      </c>
      <c r="B7346" t="s">
        <v>3823</v>
      </c>
      <c r="C7346">
        <v>16</v>
      </c>
      <c r="D7346" t="str">
        <f>VLOOKUP(Tabela26[[#This Row],[EMP]],[1]LOJA!$A:$B,2,0)</f>
        <v>AG LINDAS</v>
      </c>
      <c r="E7346">
        <v>240</v>
      </c>
      <c r="F7346" t="s">
        <v>3780</v>
      </c>
      <c r="G7346" t="s">
        <v>3437</v>
      </c>
      <c r="H7346" t="s">
        <v>3401</v>
      </c>
      <c r="I7346">
        <v>5102</v>
      </c>
      <c r="J7346" s="3">
        <v>23.4</v>
      </c>
      <c r="K7346" s="3">
        <v>13.44</v>
      </c>
      <c r="L7346">
        <v>42.56</v>
      </c>
    </row>
    <row r="7347" spans="1:12">
      <c r="A7347" s="1">
        <v>46051</v>
      </c>
      <c r="B7347" t="s">
        <v>3822</v>
      </c>
      <c r="C7347">
        <v>16</v>
      </c>
      <c r="D7347" t="str">
        <f>VLOOKUP(Tabela26[[#This Row],[EMP]],[1]LOJA!$A:$B,2,0)</f>
        <v>AG LINDAS</v>
      </c>
      <c r="E7347">
        <v>240</v>
      </c>
      <c r="F7347" t="s">
        <v>3796</v>
      </c>
      <c r="G7347" t="s">
        <v>3795</v>
      </c>
      <c r="H7347" t="s">
        <v>3408</v>
      </c>
      <c r="I7347">
        <v>5405</v>
      </c>
      <c r="J7347" s="3">
        <v>29</v>
      </c>
      <c r="K7347" s="3">
        <v>13.32</v>
      </c>
      <c r="L7347">
        <v>54.07</v>
      </c>
    </row>
    <row r="7348" spans="1:12">
      <c r="A7348" s="1">
        <v>46051</v>
      </c>
      <c r="B7348" t="s">
        <v>3821</v>
      </c>
      <c r="C7348">
        <v>16</v>
      </c>
      <c r="D7348" t="str">
        <f>VLOOKUP(Tabela26[[#This Row],[EMP]],[1]LOJA!$A:$B,2,0)</f>
        <v>AG LINDAS</v>
      </c>
      <c r="E7348">
        <v>240</v>
      </c>
      <c r="F7348" t="s">
        <v>3796</v>
      </c>
      <c r="G7348" t="s">
        <v>3795</v>
      </c>
      <c r="H7348" t="s">
        <v>3408</v>
      </c>
      <c r="I7348">
        <v>5405</v>
      </c>
      <c r="J7348" s="3">
        <v>155.4</v>
      </c>
      <c r="K7348" s="3">
        <v>82.26</v>
      </c>
      <c r="L7348">
        <v>47.07</v>
      </c>
    </row>
    <row r="7349" spans="1:12">
      <c r="A7349" s="1">
        <v>46051</v>
      </c>
      <c r="B7349" t="s">
        <v>3820</v>
      </c>
      <c r="C7349">
        <v>16</v>
      </c>
      <c r="D7349" t="str">
        <f>VLOOKUP(Tabela26[[#This Row],[EMP]],[1]LOJA!$A:$B,2,0)</f>
        <v>AG LINDAS</v>
      </c>
      <c r="E7349">
        <v>240</v>
      </c>
      <c r="F7349" t="s">
        <v>3780</v>
      </c>
      <c r="G7349" t="s">
        <v>3437</v>
      </c>
      <c r="H7349" t="s">
        <v>3401</v>
      </c>
      <c r="I7349">
        <v>5102</v>
      </c>
      <c r="J7349" s="3">
        <v>47.8</v>
      </c>
      <c r="K7349" s="3">
        <v>28.07</v>
      </c>
      <c r="L7349">
        <v>41.28</v>
      </c>
    </row>
    <row r="7350" spans="1:12">
      <c r="A7350" s="1">
        <v>46051</v>
      </c>
      <c r="B7350" t="s">
        <v>3819</v>
      </c>
      <c r="C7350">
        <v>16</v>
      </c>
      <c r="D7350" t="str">
        <f>VLOOKUP(Tabela26[[#This Row],[EMP]],[1]LOJA!$A:$B,2,0)</f>
        <v>AG LINDAS</v>
      </c>
      <c r="E7350">
        <v>240</v>
      </c>
      <c r="F7350" t="s">
        <v>3818</v>
      </c>
      <c r="G7350" t="s">
        <v>3817</v>
      </c>
      <c r="H7350" t="s">
        <v>3401</v>
      </c>
      <c r="I7350">
        <v>5102</v>
      </c>
      <c r="J7350" s="3">
        <v>168.9</v>
      </c>
      <c r="K7350" s="3">
        <v>101.45</v>
      </c>
      <c r="L7350">
        <v>39.93</v>
      </c>
    </row>
    <row r="7351" spans="1:12">
      <c r="A7351" s="1">
        <v>46051</v>
      </c>
      <c r="B7351" t="s">
        <v>3816</v>
      </c>
      <c r="C7351">
        <v>16</v>
      </c>
      <c r="D7351" t="str">
        <f>VLOOKUP(Tabela26[[#This Row],[EMP]],[1]LOJA!$A:$B,2,0)</f>
        <v>AG LINDAS</v>
      </c>
      <c r="E7351">
        <v>240</v>
      </c>
      <c r="F7351" t="s">
        <v>3815</v>
      </c>
      <c r="G7351" t="s">
        <v>3814</v>
      </c>
      <c r="H7351" t="s">
        <v>3408</v>
      </c>
      <c r="I7351">
        <v>5102</v>
      </c>
      <c r="J7351" s="3">
        <v>20</v>
      </c>
      <c r="K7351" s="3">
        <v>12.51</v>
      </c>
      <c r="L7351">
        <v>37.450000000000003</v>
      </c>
    </row>
    <row r="7352" spans="1:12">
      <c r="A7352" s="1">
        <v>46051</v>
      </c>
      <c r="B7352" t="s">
        <v>3813</v>
      </c>
      <c r="C7352">
        <v>16</v>
      </c>
      <c r="D7352" t="str">
        <f>VLOOKUP(Tabela26[[#This Row],[EMP]],[1]LOJA!$A:$B,2,0)</f>
        <v>AG LINDAS</v>
      </c>
      <c r="E7352">
        <v>240</v>
      </c>
      <c r="F7352" t="s">
        <v>3780</v>
      </c>
      <c r="G7352" t="s">
        <v>3437</v>
      </c>
      <c r="H7352" t="s">
        <v>3401</v>
      </c>
      <c r="I7352">
        <v>5405</v>
      </c>
      <c r="J7352" s="3">
        <v>50.84</v>
      </c>
      <c r="K7352" s="3">
        <v>24.82</v>
      </c>
      <c r="L7352">
        <v>51.18</v>
      </c>
    </row>
    <row r="7353" spans="1:12">
      <c r="A7353" s="1">
        <v>46051</v>
      </c>
      <c r="B7353" t="s">
        <v>3812</v>
      </c>
      <c r="C7353">
        <v>16</v>
      </c>
      <c r="D7353" t="str">
        <f>VLOOKUP(Tabela26[[#This Row],[EMP]],[1]LOJA!$A:$B,2,0)</f>
        <v>AG LINDAS</v>
      </c>
      <c r="E7353">
        <v>240</v>
      </c>
      <c r="F7353" t="s">
        <v>3811</v>
      </c>
      <c r="G7353" t="s">
        <v>3437</v>
      </c>
      <c r="H7353" t="s">
        <v>3401</v>
      </c>
      <c r="I7353">
        <v>5405</v>
      </c>
      <c r="J7353" s="3">
        <v>40</v>
      </c>
      <c r="K7353" s="3">
        <v>21.48</v>
      </c>
      <c r="L7353">
        <v>46.3</v>
      </c>
    </row>
    <row r="7354" spans="1:12">
      <c r="A7354" s="1">
        <v>46051</v>
      </c>
      <c r="B7354" t="s">
        <v>3810</v>
      </c>
      <c r="C7354">
        <v>16</v>
      </c>
      <c r="D7354" t="str">
        <f>VLOOKUP(Tabela26[[#This Row],[EMP]],[1]LOJA!$A:$B,2,0)</f>
        <v>AG LINDAS</v>
      </c>
      <c r="E7354">
        <v>240</v>
      </c>
      <c r="F7354" t="s">
        <v>3780</v>
      </c>
      <c r="G7354" t="s">
        <v>3437</v>
      </c>
      <c r="H7354" t="s">
        <v>3401</v>
      </c>
      <c r="I7354">
        <v>5102</v>
      </c>
      <c r="J7354" s="3">
        <v>220.94</v>
      </c>
      <c r="K7354" s="3">
        <v>113.95</v>
      </c>
      <c r="L7354">
        <v>48.42</v>
      </c>
    </row>
    <row r="7355" spans="1:12">
      <c r="A7355" s="1">
        <v>46051</v>
      </c>
      <c r="B7355" t="s">
        <v>3809</v>
      </c>
      <c r="C7355">
        <v>16</v>
      </c>
      <c r="D7355" t="str">
        <f>VLOOKUP(Tabela26[[#This Row],[EMP]],[1]LOJA!$A:$B,2,0)</f>
        <v>AG LINDAS</v>
      </c>
      <c r="E7355">
        <v>240</v>
      </c>
      <c r="F7355" t="s">
        <v>3808</v>
      </c>
      <c r="G7355" t="s">
        <v>3807</v>
      </c>
      <c r="H7355" t="s">
        <v>3401</v>
      </c>
      <c r="I7355">
        <v>5102</v>
      </c>
      <c r="J7355" s="3">
        <v>100.4</v>
      </c>
      <c r="K7355" s="3">
        <v>64.83</v>
      </c>
      <c r="L7355">
        <v>35.43</v>
      </c>
    </row>
    <row r="7356" spans="1:12">
      <c r="A7356" s="1">
        <v>46051</v>
      </c>
      <c r="B7356" t="s">
        <v>3806</v>
      </c>
      <c r="C7356">
        <v>16</v>
      </c>
      <c r="D7356" t="str">
        <f>VLOOKUP(Tabela26[[#This Row],[EMP]],[1]LOJA!$A:$B,2,0)</f>
        <v>AG LINDAS</v>
      </c>
      <c r="E7356">
        <v>240</v>
      </c>
      <c r="F7356" t="s">
        <v>3780</v>
      </c>
      <c r="G7356" t="s">
        <v>3437</v>
      </c>
      <c r="H7356" t="s">
        <v>3401</v>
      </c>
      <c r="I7356">
        <v>5405</v>
      </c>
      <c r="J7356" s="3">
        <v>87</v>
      </c>
      <c r="K7356" s="3">
        <v>41.12</v>
      </c>
      <c r="L7356">
        <v>52.74</v>
      </c>
    </row>
    <row r="7357" spans="1:12">
      <c r="A7357" s="1">
        <v>46051</v>
      </c>
      <c r="B7357" t="s">
        <v>3805</v>
      </c>
      <c r="C7357">
        <v>16</v>
      </c>
      <c r="D7357" t="str">
        <f>VLOOKUP(Tabela26[[#This Row],[EMP]],[1]LOJA!$A:$B,2,0)</f>
        <v>AG LINDAS</v>
      </c>
      <c r="E7357">
        <v>240</v>
      </c>
      <c r="F7357" t="s">
        <v>3804</v>
      </c>
      <c r="G7357" t="s">
        <v>3803</v>
      </c>
      <c r="H7357" t="s">
        <v>3401</v>
      </c>
      <c r="I7357">
        <v>5102</v>
      </c>
      <c r="J7357" s="3">
        <v>123.2</v>
      </c>
      <c r="K7357" s="3">
        <v>71.349999999999994</v>
      </c>
      <c r="L7357">
        <v>42.09</v>
      </c>
    </row>
    <row r="7358" spans="1:12">
      <c r="A7358" s="1">
        <v>46051</v>
      </c>
      <c r="B7358" t="s">
        <v>3802</v>
      </c>
      <c r="C7358">
        <v>16</v>
      </c>
      <c r="D7358" t="str">
        <f>VLOOKUP(Tabela26[[#This Row],[EMP]],[1]LOJA!$A:$B,2,0)</f>
        <v>AG LINDAS</v>
      </c>
      <c r="E7358">
        <v>240</v>
      </c>
      <c r="F7358" t="s">
        <v>3801</v>
      </c>
      <c r="G7358" t="s">
        <v>3437</v>
      </c>
      <c r="H7358" t="s">
        <v>3401</v>
      </c>
      <c r="I7358">
        <v>5102</v>
      </c>
      <c r="J7358" s="3">
        <v>20</v>
      </c>
      <c r="K7358" s="3">
        <v>15.4</v>
      </c>
      <c r="L7358">
        <v>23</v>
      </c>
    </row>
    <row r="7359" spans="1:12">
      <c r="A7359" s="1">
        <v>46051</v>
      </c>
      <c r="B7359" t="s">
        <v>3800</v>
      </c>
      <c r="C7359">
        <v>16</v>
      </c>
      <c r="D7359" t="str">
        <f>VLOOKUP(Tabela26[[#This Row],[EMP]],[1]LOJA!$A:$B,2,0)</f>
        <v>AG LINDAS</v>
      </c>
      <c r="E7359">
        <v>240</v>
      </c>
      <c r="F7359" t="s">
        <v>3799</v>
      </c>
      <c r="G7359" t="s">
        <v>3798</v>
      </c>
      <c r="H7359" t="s">
        <v>3401</v>
      </c>
      <c r="I7359">
        <v>5102</v>
      </c>
      <c r="J7359" s="3">
        <v>43.9</v>
      </c>
      <c r="K7359" s="3">
        <v>22.32</v>
      </c>
      <c r="L7359">
        <v>49.16</v>
      </c>
    </row>
    <row r="7360" spans="1:12">
      <c r="A7360" s="1">
        <v>46051</v>
      </c>
      <c r="B7360" t="s">
        <v>3797</v>
      </c>
      <c r="C7360">
        <v>16</v>
      </c>
      <c r="D7360" t="str">
        <f>VLOOKUP(Tabela26[[#This Row],[EMP]],[1]LOJA!$A:$B,2,0)</f>
        <v>AG LINDAS</v>
      </c>
      <c r="E7360">
        <v>240</v>
      </c>
      <c r="F7360" t="s">
        <v>3796</v>
      </c>
      <c r="G7360" t="s">
        <v>3795</v>
      </c>
      <c r="H7360" t="s">
        <v>3408</v>
      </c>
      <c r="I7360">
        <v>5405</v>
      </c>
      <c r="J7360" s="3">
        <v>128</v>
      </c>
      <c r="K7360" s="3">
        <v>64.64</v>
      </c>
      <c r="L7360">
        <v>49.5</v>
      </c>
    </row>
    <row r="7361" spans="1:12">
      <c r="A7361" s="1">
        <v>46051</v>
      </c>
      <c r="B7361" t="s">
        <v>3794</v>
      </c>
      <c r="C7361">
        <v>16</v>
      </c>
      <c r="D7361" t="str">
        <f>VLOOKUP(Tabela26[[#This Row],[EMP]],[1]LOJA!$A:$B,2,0)</f>
        <v>AG LINDAS</v>
      </c>
      <c r="E7361">
        <v>240</v>
      </c>
      <c r="F7361" t="s">
        <v>3793</v>
      </c>
      <c r="G7361" t="s">
        <v>3437</v>
      </c>
      <c r="H7361" t="s">
        <v>3401</v>
      </c>
      <c r="I7361">
        <v>5102</v>
      </c>
      <c r="J7361" s="3">
        <v>111.9</v>
      </c>
      <c r="K7361" s="3">
        <v>55.86</v>
      </c>
      <c r="L7361">
        <v>50.08</v>
      </c>
    </row>
    <row r="7362" spans="1:12">
      <c r="A7362" s="1">
        <v>46051</v>
      </c>
      <c r="B7362" t="s">
        <v>3792</v>
      </c>
      <c r="C7362">
        <v>16</v>
      </c>
      <c r="D7362" t="str">
        <f>VLOOKUP(Tabela26[[#This Row],[EMP]],[1]LOJA!$A:$B,2,0)</f>
        <v>AG LINDAS</v>
      </c>
      <c r="E7362">
        <v>240</v>
      </c>
      <c r="F7362" t="s">
        <v>3786</v>
      </c>
      <c r="G7362" t="s">
        <v>3785</v>
      </c>
      <c r="H7362" t="s">
        <v>3401</v>
      </c>
      <c r="I7362">
        <v>5405</v>
      </c>
      <c r="J7362" s="3">
        <v>157</v>
      </c>
      <c r="K7362" s="3">
        <v>81.41</v>
      </c>
      <c r="L7362">
        <v>48.15</v>
      </c>
    </row>
    <row r="7363" spans="1:12">
      <c r="A7363" s="1">
        <v>46051</v>
      </c>
      <c r="B7363" t="s">
        <v>3791</v>
      </c>
      <c r="C7363">
        <v>16</v>
      </c>
      <c r="D7363" t="str">
        <f>VLOOKUP(Tabela26[[#This Row],[EMP]],[1]LOJA!$A:$B,2,0)</f>
        <v>AG LINDAS</v>
      </c>
      <c r="E7363">
        <v>240</v>
      </c>
      <c r="F7363" t="s">
        <v>3790</v>
      </c>
      <c r="G7363" t="s">
        <v>3437</v>
      </c>
      <c r="H7363" t="s">
        <v>3401</v>
      </c>
      <c r="I7363">
        <v>5102</v>
      </c>
      <c r="J7363" s="3">
        <v>47.9</v>
      </c>
      <c r="K7363" s="3">
        <v>26.02</v>
      </c>
      <c r="L7363">
        <v>45.68</v>
      </c>
    </row>
    <row r="7364" spans="1:12">
      <c r="A7364" s="1">
        <v>46051</v>
      </c>
      <c r="B7364" t="s">
        <v>3789</v>
      </c>
      <c r="C7364">
        <v>16</v>
      </c>
      <c r="D7364" t="str">
        <f>VLOOKUP(Tabela26[[#This Row],[EMP]],[1]LOJA!$A:$B,2,0)</f>
        <v>AG LINDAS</v>
      </c>
      <c r="E7364">
        <v>240</v>
      </c>
      <c r="F7364" t="s">
        <v>3780</v>
      </c>
      <c r="G7364" t="s">
        <v>3437</v>
      </c>
      <c r="H7364" t="s">
        <v>3401</v>
      </c>
      <c r="I7364">
        <v>5405</v>
      </c>
      <c r="J7364" s="3">
        <v>163.80000000000001</v>
      </c>
      <c r="K7364" s="3">
        <v>88.03</v>
      </c>
      <c r="L7364">
        <v>46.26</v>
      </c>
    </row>
    <row r="7365" spans="1:12">
      <c r="A7365" s="1">
        <v>46051</v>
      </c>
      <c r="B7365" t="s">
        <v>3788</v>
      </c>
      <c r="C7365">
        <v>16</v>
      </c>
      <c r="D7365" t="str">
        <f>VLOOKUP(Tabela26[[#This Row],[EMP]],[1]LOJA!$A:$B,2,0)</f>
        <v>AG LINDAS</v>
      </c>
      <c r="E7365">
        <v>240</v>
      </c>
      <c r="F7365" t="s">
        <v>3786</v>
      </c>
      <c r="G7365" t="s">
        <v>3785</v>
      </c>
      <c r="H7365" t="s">
        <v>3408</v>
      </c>
      <c r="I7365">
        <v>5102</v>
      </c>
      <c r="J7365" s="3">
        <v>302.8</v>
      </c>
      <c r="K7365" s="3">
        <v>171.88</v>
      </c>
      <c r="L7365">
        <v>43.24</v>
      </c>
    </row>
    <row r="7366" spans="1:12">
      <c r="A7366" s="1">
        <v>46051</v>
      </c>
      <c r="B7366" t="s">
        <v>3787</v>
      </c>
      <c r="C7366">
        <v>16</v>
      </c>
      <c r="D7366" t="str">
        <f>VLOOKUP(Tabela26[[#This Row],[EMP]],[1]LOJA!$A:$B,2,0)</f>
        <v>AG LINDAS</v>
      </c>
      <c r="E7366">
        <v>240</v>
      </c>
      <c r="F7366" t="s">
        <v>3786</v>
      </c>
      <c r="G7366" t="s">
        <v>3785</v>
      </c>
      <c r="H7366" t="s">
        <v>3408</v>
      </c>
      <c r="I7366">
        <v>5405</v>
      </c>
      <c r="J7366" s="3">
        <v>28</v>
      </c>
      <c r="K7366" s="3">
        <v>14.74</v>
      </c>
      <c r="L7366">
        <v>47.36</v>
      </c>
    </row>
    <row r="7367" spans="1:12">
      <c r="A7367" s="1">
        <v>46051</v>
      </c>
      <c r="B7367" t="s">
        <v>3784</v>
      </c>
      <c r="C7367">
        <v>16</v>
      </c>
      <c r="D7367" t="str">
        <f>VLOOKUP(Tabela26[[#This Row],[EMP]],[1]LOJA!$A:$B,2,0)</f>
        <v>AG LINDAS</v>
      </c>
      <c r="E7367">
        <v>240</v>
      </c>
      <c r="F7367" t="s">
        <v>3783</v>
      </c>
      <c r="G7367" t="s">
        <v>3437</v>
      </c>
      <c r="H7367" t="s">
        <v>3408</v>
      </c>
      <c r="I7367">
        <v>5405</v>
      </c>
      <c r="J7367" s="3">
        <v>421.1</v>
      </c>
      <c r="K7367" s="3">
        <v>245.35</v>
      </c>
      <c r="L7367">
        <v>41.74</v>
      </c>
    </row>
    <row r="7368" spans="1:12">
      <c r="A7368" s="1">
        <v>46051</v>
      </c>
      <c r="B7368" t="s">
        <v>3782</v>
      </c>
      <c r="C7368">
        <v>16</v>
      </c>
      <c r="D7368" t="str">
        <f>VLOOKUP(Tabela26[[#This Row],[EMP]],[1]LOJA!$A:$B,2,0)</f>
        <v>AG LINDAS</v>
      </c>
      <c r="E7368">
        <v>240</v>
      </c>
      <c r="F7368" t="s">
        <v>3780</v>
      </c>
      <c r="G7368" t="s">
        <v>3437</v>
      </c>
      <c r="H7368" t="s">
        <v>3401</v>
      </c>
      <c r="I7368">
        <v>5102</v>
      </c>
      <c r="J7368" s="3">
        <v>80</v>
      </c>
      <c r="K7368" s="3">
        <v>43.6</v>
      </c>
      <c r="L7368">
        <v>45.5</v>
      </c>
    </row>
    <row r="7369" spans="1:12">
      <c r="A7369" s="1">
        <v>46051</v>
      </c>
      <c r="B7369" t="s">
        <v>3781</v>
      </c>
      <c r="C7369">
        <v>16</v>
      </c>
      <c r="D7369" t="str">
        <f>VLOOKUP(Tabela26[[#This Row],[EMP]],[1]LOJA!$A:$B,2,0)</f>
        <v>AG LINDAS</v>
      </c>
      <c r="E7369">
        <v>240</v>
      </c>
      <c r="F7369" t="s">
        <v>3780</v>
      </c>
      <c r="G7369" t="s">
        <v>3437</v>
      </c>
      <c r="H7369" t="s">
        <v>3401</v>
      </c>
      <c r="I7369">
        <v>5102</v>
      </c>
      <c r="J7369" s="3">
        <v>81.37</v>
      </c>
      <c r="K7369" s="3">
        <v>52.63</v>
      </c>
      <c r="L7369">
        <v>35.32</v>
      </c>
    </row>
    <row r="7370" spans="1:12">
      <c r="A7370" s="1">
        <v>46051</v>
      </c>
      <c r="B7370" t="s">
        <v>3779</v>
      </c>
      <c r="C7370">
        <v>14</v>
      </c>
      <c r="D7370" t="str">
        <f>VLOOKUP(Tabela26[[#This Row],[EMP]],[1]LOJA!$A:$B,2,0)</f>
        <v>S IA</v>
      </c>
      <c r="E7370">
        <v>54</v>
      </c>
      <c r="F7370" t="s">
        <v>3778</v>
      </c>
      <c r="G7370" t="s">
        <v>3777</v>
      </c>
      <c r="H7370" t="s">
        <v>3430</v>
      </c>
      <c r="I7370">
        <v>5405</v>
      </c>
      <c r="J7370" s="3">
        <v>139.41</v>
      </c>
      <c r="K7370" s="3">
        <v>73.760000000000005</v>
      </c>
      <c r="L7370">
        <v>47.09</v>
      </c>
    </row>
    <row r="7371" spans="1:12">
      <c r="A7371" s="1">
        <v>46051</v>
      </c>
      <c r="B7371" t="s">
        <v>3776</v>
      </c>
      <c r="C7371">
        <v>14</v>
      </c>
      <c r="D7371" t="str">
        <f>VLOOKUP(Tabela26[[#This Row],[EMP]],[1]LOJA!$A:$B,2,0)</f>
        <v>S IA</v>
      </c>
      <c r="E7371">
        <v>212</v>
      </c>
      <c r="F7371" t="s">
        <v>3775</v>
      </c>
      <c r="G7371" t="s">
        <v>3774</v>
      </c>
      <c r="H7371" t="s">
        <v>3430</v>
      </c>
      <c r="I7371">
        <v>5102</v>
      </c>
      <c r="J7371" s="3">
        <v>31.6</v>
      </c>
      <c r="K7371" s="3">
        <v>15.64</v>
      </c>
      <c r="L7371">
        <v>50.51</v>
      </c>
    </row>
    <row r="7372" spans="1:12">
      <c r="A7372" s="1">
        <v>46051</v>
      </c>
      <c r="B7372" t="s">
        <v>3773</v>
      </c>
      <c r="C7372">
        <v>14</v>
      </c>
      <c r="D7372" t="str">
        <f>VLOOKUP(Tabela26[[#This Row],[EMP]],[1]LOJA!$A:$B,2,0)</f>
        <v>S IA</v>
      </c>
      <c r="E7372">
        <v>54</v>
      </c>
      <c r="F7372" t="s">
        <v>3772</v>
      </c>
      <c r="G7372" t="s">
        <v>3771</v>
      </c>
      <c r="H7372" t="s">
        <v>3430</v>
      </c>
      <c r="I7372">
        <v>5405</v>
      </c>
      <c r="J7372" s="3">
        <v>85.9</v>
      </c>
      <c r="K7372" s="3">
        <v>44.74</v>
      </c>
      <c r="L7372">
        <v>47.92</v>
      </c>
    </row>
    <row r="7373" spans="1:12">
      <c r="A7373" s="1">
        <v>46051</v>
      </c>
      <c r="B7373" t="s">
        <v>3770</v>
      </c>
      <c r="C7373">
        <v>14</v>
      </c>
      <c r="D7373" t="str">
        <f>VLOOKUP(Tabela26[[#This Row],[EMP]],[1]LOJA!$A:$B,2,0)</f>
        <v>S IA</v>
      </c>
      <c r="E7373">
        <v>212</v>
      </c>
      <c r="F7373" t="s">
        <v>3769</v>
      </c>
      <c r="G7373" t="s">
        <v>3768</v>
      </c>
      <c r="H7373" t="s">
        <v>3401</v>
      </c>
      <c r="I7373">
        <v>5102</v>
      </c>
      <c r="J7373" s="3">
        <v>86</v>
      </c>
      <c r="K7373" s="3">
        <v>43.39</v>
      </c>
      <c r="L7373">
        <v>49.55</v>
      </c>
    </row>
    <row r="7374" spans="1:12">
      <c r="A7374" s="1">
        <v>46051</v>
      </c>
      <c r="B7374" t="s">
        <v>3767</v>
      </c>
      <c r="C7374">
        <v>14</v>
      </c>
      <c r="D7374" t="str">
        <f>VLOOKUP(Tabela26[[#This Row],[EMP]],[1]LOJA!$A:$B,2,0)</f>
        <v>S IA</v>
      </c>
      <c r="E7374">
        <v>212</v>
      </c>
      <c r="F7374" t="s">
        <v>3766</v>
      </c>
      <c r="G7374" t="s">
        <v>3765</v>
      </c>
      <c r="H7374" t="s">
        <v>3408</v>
      </c>
      <c r="I7374">
        <v>5405</v>
      </c>
      <c r="J7374" s="3">
        <v>116</v>
      </c>
      <c r="K7374" s="3">
        <v>56.27</v>
      </c>
      <c r="L7374">
        <v>51.49</v>
      </c>
    </row>
    <row r="7375" spans="1:12">
      <c r="A7375" s="1">
        <v>46051</v>
      </c>
      <c r="B7375" t="s">
        <v>3764</v>
      </c>
      <c r="C7375">
        <v>14</v>
      </c>
      <c r="D7375" t="str">
        <f>VLOOKUP(Tabela26[[#This Row],[EMP]],[1]LOJA!$A:$B,2,0)</f>
        <v>S IA</v>
      </c>
      <c r="E7375">
        <v>212</v>
      </c>
      <c r="F7375" t="s">
        <v>3756</v>
      </c>
      <c r="G7375" t="s">
        <v>3755</v>
      </c>
      <c r="H7375" t="s">
        <v>3408</v>
      </c>
      <c r="I7375">
        <v>5102</v>
      </c>
      <c r="J7375" s="3">
        <v>54.41</v>
      </c>
      <c r="K7375" s="3">
        <v>34.700000000000003</v>
      </c>
      <c r="L7375">
        <v>36.22</v>
      </c>
    </row>
    <row r="7376" spans="1:12">
      <c r="A7376" s="1">
        <v>46051</v>
      </c>
      <c r="B7376" t="s">
        <v>3763</v>
      </c>
      <c r="C7376">
        <v>14</v>
      </c>
      <c r="D7376" t="str">
        <f>VLOOKUP(Tabela26[[#This Row],[EMP]],[1]LOJA!$A:$B,2,0)</f>
        <v>S IA</v>
      </c>
      <c r="E7376">
        <v>212</v>
      </c>
      <c r="F7376" t="s">
        <v>3762</v>
      </c>
      <c r="G7376" t="s">
        <v>3761</v>
      </c>
      <c r="H7376" t="s">
        <v>3430</v>
      </c>
      <c r="I7376">
        <v>5405</v>
      </c>
      <c r="J7376" s="3">
        <v>680</v>
      </c>
      <c r="K7376" s="3">
        <v>358.72</v>
      </c>
      <c r="L7376">
        <v>47.25</v>
      </c>
    </row>
    <row r="7377" spans="1:12">
      <c r="A7377" s="1">
        <v>46051</v>
      </c>
      <c r="B7377" t="s">
        <v>3760</v>
      </c>
      <c r="C7377">
        <v>14</v>
      </c>
      <c r="D7377" t="str">
        <f>VLOOKUP(Tabela26[[#This Row],[EMP]],[1]LOJA!$A:$B,2,0)</f>
        <v>S IA</v>
      </c>
      <c r="E7377">
        <v>54</v>
      </c>
      <c r="F7377" t="s">
        <v>3759</v>
      </c>
      <c r="G7377" t="s">
        <v>3758</v>
      </c>
      <c r="H7377" t="s">
        <v>3408</v>
      </c>
      <c r="I7377">
        <v>5102</v>
      </c>
      <c r="J7377" s="3">
        <v>341.55</v>
      </c>
      <c r="K7377" s="3">
        <v>207.83</v>
      </c>
      <c r="L7377">
        <v>39.15</v>
      </c>
    </row>
    <row r="7378" spans="1:12">
      <c r="A7378" s="1">
        <v>46051</v>
      </c>
      <c r="B7378" t="s">
        <v>3757</v>
      </c>
      <c r="C7378">
        <v>14</v>
      </c>
      <c r="D7378" t="str">
        <f>VLOOKUP(Tabela26[[#This Row],[EMP]],[1]LOJA!$A:$B,2,0)</f>
        <v>S IA</v>
      </c>
      <c r="E7378">
        <v>212</v>
      </c>
      <c r="F7378" t="s">
        <v>3756</v>
      </c>
      <c r="G7378" t="s">
        <v>3755</v>
      </c>
      <c r="H7378" t="s">
        <v>3408</v>
      </c>
      <c r="I7378">
        <v>5102</v>
      </c>
      <c r="J7378" s="3">
        <v>431.6</v>
      </c>
      <c r="K7378" s="3">
        <v>286.8</v>
      </c>
      <c r="L7378">
        <v>33.549999999999997</v>
      </c>
    </row>
    <row r="7379" spans="1:12">
      <c r="A7379" s="1">
        <v>46051</v>
      </c>
      <c r="B7379" t="s">
        <v>3754</v>
      </c>
      <c r="C7379">
        <v>14</v>
      </c>
      <c r="D7379" t="str">
        <f>VLOOKUP(Tabela26[[#This Row],[EMP]],[1]LOJA!$A:$B,2,0)</f>
        <v>S IA</v>
      </c>
      <c r="E7379">
        <v>212</v>
      </c>
      <c r="F7379" t="s">
        <v>3753</v>
      </c>
      <c r="G7379" t="s">
        <v>3752</v>
      </c>
      <c r="H7379" t="s">
        <v>3430</v>
      </c>
      <c r="I7379">
        <v>5405</v>
      </c>
      <c r="J7379" s="3">
        <v>3320</v>
      </c>
      <c r="K7379" s="3">
        <v>1487.13</v>
      </c>
      <c r="L7379">
        <v>55.21</v>
      </c>
    </row>
    <row r="7380" spans="1:12">
      <c r="A7380" s="1">
        <v>46051</v>
      </c>
      <c r="B7380" t="s">
        <v>3751</v>
      </c>
      <c r="C7380">
        <v>14</v>
      </c>
      <c r="D7380" t="str">
        <f>VLOOKUP(Tabela26[[#This Row],[EMP]],[1]LOJA!$A:$B,2,0)</f>
        <v>S IA</v>
      </c>
      <c r="E7380">
        <v>54</v>
      </c>
      <c r="F7380" t="s">
        <v>3750</v>
      </c>
      <c r="G7380" t="s">
        <v>3749</v>
      </c>
      <c r="H7380" t="s">
        <v>3408</v>
      </c>
      <c r="I7380">
        <v>5405</v>
      </c>
      <c r="J7380" s="3">
        <v>922.14</v>
      </c>
      <c r="K7380" s="3">
        <v>491.83</v>
      </c>
      <c r="L7380">
        <v>46.66</v>
      </c>
    </row>
    <row r="7381" spans="1:12">
      <c r="A7381" s="1">
        <v>46051</v>
      </c>
      <c r="B7381" t="s">
        <v>3748</v>
      </c>
      <c r="C7381">
        <v>14</v>
      </c>
      <c r="D7381" t="str">
        <f>VLOOKUP(Tabela26[[#This Row],[EMP]],[1]LOJA!$A:$B,2,0)</f>
        <v>S IA</v>
      </c>
      <c r="E7381">
        <v>212</v>
      </c>
      <c r="F7381" t="s">
        <v>3747</v>
      </c>
      <c r="G7381" t="s">
        <v>3746</v>
      </c>
      <c r="H7381" t="s">
        <v>3745</v>
      </c>
      <c r="I7381">
        <v>5405</v>
      </c>
      <c r="J7381" s="3">
        <v>4926.3</v>
      </c>
      <c r="K7381" s="3">
        <v>2745.95</v>
      </c>
      <c r="L7381">
        <v>44.26</v>
      </c>
    </row>
    <row r="7382" spans="1:12">
      <c r="A7382" s="1">
        <v>46051</v>
      </c>
      <c r="B7382" t="s">
        <v>3744</v>
      </c>
      <c r="C7382">
        <v>14</v>
      </c>
      <c r="D7382" t="str">
        <f>VLOOKUP(Tabela26[[#This Row],[EMP]],[1]LOJA!$A:$B,2,0)</f>
        <v>S IA</v>
      </c>
      <c r="E7382">
        <v>54</v>
      </c>
      <c r="F7382" t="s">
        <v>3743</v>
      </c>
      <c r="G7382" t="s">
        <v>3742</v>
      </c>
      <c r="H7382" t="s">
        <v>3401</v>
      </c>
      <c r="I7382">
        <v>5405</v>
      </c>
      <c r="J7382" s="3">
        <v>283</v>
      </c>
      <c r="K7382" s="3">
        <v>143.11000000000001</v>
      </c>
      <c r="L7382">
        <v>49.43</v>
      </c>
    </row>
    <row r="7383" spans="1:12">
      <c r="A7383" s="1">
        <v>46051</v>
      </c>
      <c r="B7383" t="s">
        <v>3741</v>
      </c>
      <c r="C7383">
        <v>14</v>
      </c>
      <c r="D7383" t="str">
        <f>VLOOKUP(Tabela26[[#This Row],[EMP]],[1]LOJA!$A:$B,2,0)</f>
        <v>S IA</v>
      </c>
      <c r="E7383">
        <v>54</v>
      </c>
      <c r="F7383" t="s">
        <v>3740</v>
      </c>
      <c r="G7383" t="s">
        <v>3739</v>
      </c>
      <c r="H7383" t="s">
        <v>3408</v>
      </c>
      <c r="I7383">
        <v>5405</v>
      </c>
      <c r="J7383" s="3">
        <v>260.76</v>
      </c>
      <c r="K7383" s="3">
        <v>121.94</v>
      </c>
      <c r="L7383">
        <v>53.24</v>
      </c>
    </row>
    <row r="7384" spans="1:12">
      <c r="A7384" s="1">
        <v>46051</v>
      </c>
      <c r="B7384" t="s">
        <v>3738</v>
      </c>
      <c r="C7384">
        <v>12</v>
      </c>
      <c r="D7384" t="str">
        <f>VLOOKUP(Tabela26[[#This Row],[EMP]],[1]LOJA!$A:$B,2,0)</f>
        <v>SOFNORTE</v>
      </c>
      <c r="E7384">
        <v>60</v>
      </c>
      <c r="F7384" t="s">
        <v>3737</v>
      </c>
      <c r="G7384" t="s">
        <v>3736</v>
      </c>
      <c r="H7384" t="s">
        <v>3520</v>
      </c>
      <c r="I7384">
        <v>5405</v>
      </c>
      <c r="J7384" s="3">
        <v>57.9</v>
      </c>
      <c r="K7384" s="3">
        <v>25.77</v>
      </c>
      <c r="L7384">
        <v>55.49</v>
      </c>
    </row>
    <row r="7385" spans="1:12">
      <c r="A7385" s="1">
        <v>46051</v>
      </c>
      <c r="B7385" t="s">
        <v>3735</v>
      </c>
      <c r="C7385">
        <v>12</v>
      </c>
      <c r="D7385" t="str">
        <f>VLOOKUP(Tabela26[[#This Row],[EMP]],[1]LOJA!$A:$B,2,0)</f>
        <v>SOFNORTE</v>
      </c>
      <c r="E7385">
        <v>239</v>
      </c>
      <c r="F7385" t="s">
        <v>3403</v>
      </c>
      <c r="G7385" t="s">
        <v>3402</v>
      </c>
      <c r="H7385" t="s">
        <v>3401</v>
      </c>
      <c r="I7385">
        <v>5405</v>
      </c>
      <c r="J7385" s="3">
        <v>149</v>
      </c>
      <c r="K7385" s="3">
        <v>75.7</v>
      </c>
      <c r="L7385">
        <v>49.19</v>
      </c>
    </row>
    <row r="7386" spans="1:12">
      <c r="A7386" s="1">
        <v>46051</v>
      </c>
      <c r="B7386" t="s">
        <v>3734</v>
      </c>
      <c r="C7386">
        <v>12</v>
      </c>
      <c r="D7386" t="str">
        <f>VLOOKUP(Tabela26[[#This Row],[EMP]],[1]LOJA!$A:$B,2,0)</f>
        <v>SOFNORTE</v>
      </c>
      <c r="E7386">
        <v>60</v>
      </c>
      <c r="F7386" t="s">
        <v>3704</v>
      </c>
      <c r="G7386" t="s">
        <v>3703</v>
      </c>
      <c r="H7386" t="s">
        <v>3408</v>
      </c>
      <c r="I7386">
        <v>5102</v>
      </c>
      <c r="J7386" s="3">
        <v>22.5</v>
      </c>
      <c r="K7386" s="3">
        <v>11.6</v>
      </c>
      <c r="L7386">
        <v>48.44</v>
      </c>
    </row>
    <row r="7387" spans="1:12">
      <c r="A7387" s="1">
        <v>46051</v>
      </c>
      <c r="B7387" t="s">
        <v>3733</v>
      </c>
      <c r="C7387">
        <v>12</v>
      </c>
      <c r="D7387" t="str">
        <f>VLOOKUP(Tabela26[[#This Row],[EMP]],[1]LOJA!$A:$B,2,0)</f>
        <v>SOFNORTE</v>
      </c>
      <c r="E7387">
        <v>60</v>
      </c>
      <c r="F7387" t="s">
        <v>3706</v>
      </c>
      <c r="G7387" t="s">
        <v>3402</v>
      </c>
      <c r="H7387" t="s">
        <v>3408</v>
      </c>
      <c r="I7387">
        <v>5405</v>
      </c>
      <c r="J7387" s="3">
        <v>91</v>
      </c>
      <c r="K7387" s="3">
        <v>44.55</v>
      </c>
      <c r="L7387">
        <v>51.04</v>
      </c>
    </row>
    <row r="7388" spans="1:12">
      <c r="A7388" s="1">
        <v>46051</v>
      </c>
      <c r="B7388" t="s">
        <v>3732</v>
      </c>
      <c r="C7388">
        <v>12</v>
      </c>
      <c r="D7388" t="str">
        <f>VLOOKUP(Tabela26[[#This Row],[EMP]],[1]LOJA!$A:$B,2,0)</f>
        <v>SOFNORTE</v>
      </c>
      <c r="E7388">
        <v>60</v>
      </c>
      <c r="F7388" t="s">
        <v>3701</v>
      </c>
      <c r="G7388" t="s">
        <v>3700</v>
      </c>
      <c r="H7388" t="s">
        <v>3401</v>
      </c>
      <c r="I7388">
        <v>5102</v>
      </c>
      <c r="J7388" s="3">
        <v>19</v>
      </c>
      <c r="K7388" s="3">
        <v>10.46</v>
      </c>
      <c r="L7388">
        <v>44.95</v>
      </c>
    </row>
    <row r="7389" spans="1:12">
      <c r="A7389" s="1">
        <v>46051</v>
      </c>
      <c r="B7389" t="s">
        <v>3731</v>
      </c>
      <c r="C7389">
        <v>12</v>
      </c>
      <c r="D7389" t="str">
        <f>VLOOKUP(Tabela26[[#This Row],[EMP]],[1]LOJA!$A:$B,2,0)</f>
        <v>SOFNORTE</v>
      </c>
      <c r="E7389">
        <v>60</v>
      </c>
      <c r="F7389" t="s">
        <v>3730</v>
      </c>
      <c r="G7389" t="s">
        <v>3729</v>
      </c>
      <c r="H7389" t="s">
        <v>3408</v>
      </c>
      <c r="I7389">
        <v>5102</v>
      </c>
      <c r="J7389" s="3">
        <v>43</v>
      </c>
      <c r="K7389" s="3">
        <v>23.42</v>
      </c>
      <c r="L7389">
        <v>45.53</v>
      </c>
    </row>
    <row r="7390" spans="1:12">
      <c r="A7390" s="1">
        <v>46051</v>
      </c>
      <c r="B7390" t="s">
        <v>3728</v>
      </c>
      <c r="C7390">
        <v>12</v>
      </c>
      <c r="D7390" t="str">
        <f>VLOOKUP(Tabela26[[#This Row],[EMP]],[1]LOJA!$A:$B,2,0)</f>
        <v>SOFNORTE</v>
      </c>
      <c r="E7390">
        <v>60</v>
      </c>
      <c r="F7390" t="s">
        <v>3701</v>
      </c>
      <c r="G7390" t="s">
        <v>3700</v>
      </c>
      <c r="H7390" t="s">
        <v>3408</v>
      </c>
      <c r="I7390">
        <v>5405</v>
      </c>
      <c r="J7390" s="3">
        <v>32</v>
      </c>
      <c r="K7390" s="3">
        <v>14.99</v>
      </c>
      <c r="L7390">
        <v>53.16</v>
      </c>
    </row>
    <row r="7391" spans="1:12">
      <c r="A7391" s="1">
        <v>46051</v>
      </c>
      <c r="B7391" t="s">
        <v>3727</v>
      </c>
      <c r="C7391">
        <v>12</v>
      </c>
      <c r="D7391" t="str">
        <f>VLOOKUP(Tabela26[[#This Row],[EMP]],[1]LOJA!$A:$B,2,0)</f>
        <v>SOFNORTE</v>
      </c>
      <c r="E7391">
        <v>60</v>
      </c>
      <c r="F7391" t="s">
        <v>3726</v>
      </c>
      <c r="G7391" t="s">
        <v>3725</v>
      </c>
      <c r="H7391" t="s">
        <v>3401</v>
      </c>
      <c r="I7391">
        <v>5405</v>
      </c>
      <c r="J7391" s="3">
        <v>222</v>
      </c>
      <c r="K7391" s="3">
        <v>109.4</v>
      </c>
      <c r="L7391">
        <v>50.72</v>
      </c>
    </row>
    <row r="7392" spans="1:12">
      <c r="A7392" s="1">
        <v>46051</v>
      </c>
      <c r="B7392" t="s">
        <v>3724</v>
      </c>
      <c r="C7392">
        <v>12</v>
      </c>
      <c r="D7392" t="str">
        <f>VLOOKUP(Tabela26[[#This Row],[EMP]],[1]LOJA!$A:$B,2,0)</f>
        <v>SOFNORTE</v>
      </c>
      <c r="E7392">
        <v>60</v>
      </c>
      <c r="F7392" t="s">
        <v>3691</v>
      </c>
      <c r="G7392" t="s">
        <v>3690</v>
      </c>
      <c r="H7392" t="s">
        <v>3689</v>
      </c>
      <c r="I7392">
        <v>5102</v>
      </c>
      <c r="J7392" s="3">
        <v>22.5</v>
      </c>
      <c r="K7392" s="3">
        <v>10.97</v>
      </c>
      <c r="L7392">
        <v>51.24</v>
      </c>
    </row>
    <row r="7393" spans="1:12">
      <c r="A7393" s="1">
        <v>46051</v>
      </c>
      <c r="B7393" t="s">
        <v>3723</v>
      </c>
      <c r="C7393">
        <v>12</v>
      </c>
      <c r="D7393" t="str">
        <f>VLOOKUP(Tabela26[[#This Row],[EMP]],[1]LOJA!$A:$B,2,0)</f>
        <v>SOFNORTE</v>
      </c>
      <c r="E7393">
        <v>60</v>
      </c>
      <c r="F7393" t="s">
        <v>3722</v>
      </c>
      <c r="G7393" t="s">
        <v>3721</v>
      </c>
      <c r="H7393" t="s">
        <v>3408</v>
      </c>
      <c r="I7393">
        <v>5102</v>
      </c>
      <c r="J7393" s="3">
        <v>337</v>
      </c>
      <c r="K7393" s="3">
        <v>184.35</v>
      </c>
      <c r="L7393">
        <v>45.3</v>
      </c>
    </row>
    <row r="7394" spans="1:12">
      <c r="A7394" s="1">
        <v>46051</v>
      </c>
      <c r="B7394" t="s">
        <v>3720</v>
      </c>
      <c r="C7394">
        <v>12</v>
      </c>
      <c r="D7394" t="str">
        <f>VLOOKUP(Tabela26[[#This Row],[EMP]],[1]LOJA!$A:$B,2,0)</f>
        <v>SOFNORTE</v>
      </c>
      <c r="E7394">
        <v>60</v>
      </c>
      <c r="F7394" t="s">
        <v>3403</v>
      </c>
      <c r="G7394" t="s">
        <v>3402</v>
      </c>
      <c r="H7394" t="s">
        <v>3401</v>
      </c>
      <c r="I7394">
        <v>5405</v>
      </c>
      <c r="J7394" s="3">
        <v>29.9</v>
      </c>
      <c r="K7394" s="3">
        <v>11.99</v>
      </c>
      <c r="L7394">
        <v>59.9</v>
      </c>
    </row>
    <row r="7395" spans="1:12">
      <c r="A7395" s="1">
        <v>46051</v>
      </c>
      <c r="B7395" t="s">
        <v>3719</v>
      </c>
      <c r="C7395">
        <v>12</v>
      </c>
      <c r="D7395" t="str">
        <f>VLOOKUP(Tabela26[[#This Row],[EMP]],[1]LOJA!$A:$B,2,0)</f>
        <v>SOFNORTE</v>
      </c>
      <c r="E7395">
        <v>60</v>
      </c>
      <c r="F7395" t="s">
        <v>3424</v>
      </c>
      <c r="G7395" t="s">
        <v>3423</v>
      </c>
      <c r="H7395" t="s">
        <v>3401</v>
      </c>
      <c r="I7395">
        <v>5102</v>
      </c>
      <c r="J7395" s="3">
        <v>89.9</v>
      </c>
      <c r="K7395" s="3">
        <v>42.26</v>
      </c>
      <c r="L7395">
        <v>52.99</v>
      </c>
    </row>
    <row r="7396" spans="1:12">
      <c r="A7396" s="1">
        <v>46051</v>
      </c>
      <c r="B7396" t="s">
        <v>3718</v>
      </c>
      <c r="C7396">
        <v>12</v>
      </c>
      <c r="D7396" t="str">
        <f>VLOOKUP(Tabela26[[#This Row],[EMP]],[1]LOJA!$A:$B,2,0)</f>
        <v>SOFNORTE</v>
      </c>
      <c r="E7396">
        <v>60</v>
      </c>
      <c r="F7396" t="s">
        <v>3403</v>
      </c>
      <c r="G7396" t="s">
        <v>3402</v>
      </c>
      <c r="H7396" t="s">
        <v>3401</v>
      </c>
      <c r="I7396">
        <v>5102</v>
      </c>
      <c r="J7396" s="3">
        <v>13</v>
      </c>
      <c r="K7396" s="3">
        <v>6.16</v>
      </c>
      <c r="L7396">
        <v>52.62</v>
      </c>
    </row>
    <row r="7397" spans="1:12">
      <c r="A7397" s="1">
        <v>46051</v>
      </c>
      <c r="B7397" t="s">
        <v>3717</v>
      </c>
      <c r="C7397">
        <v>12</v>
      </c>
      <c r="D7397" t="str">
        <f>VLOOKUP(Tabela26[[#This Row],[EMP]],[1]LOJA!$A:$B,2,0)</f>
        <v>SOFNORTE</v>
      </c>
      <c r="E7397">
        <v>60</v>
      </c>
      <c r="F7397" t="s">
        <v>3691</v>
      </c>
      <c r="G7397" t="s">
        <v>3690</v>
      </c>
      <c r="H7397" t="s">
        <v>3689</v>
      </c>
      <c r="I7397">
        <v>5102</v>
      </c>
      <c r="J7397" s="3">
        <v>35.799999999999997</v>
      </c>
      <c r="K7397" s="3">
        <v>18.77</v>
      </c>
      <c r="L7397">
        <v>47.57</v>
      </c>
    </row>
    <row r="7398" spans="1:12">
      <c r="A7398" s="1">
        <v>46051</v>
      </c>
      <c r="B7398" t="s">
        <v>3716</v>
      </c>
      <c r="C7398">
        <v>12</v>
      </c>
      <c r="D7398" t="str">
        <f>VLOOKUP(Tabela26[[#This Row],[EMP]],[1]LOJA!$A:$B,2,0)</f>
        <v>SOFNORTE</v>
      </c>
      <c r="E7398">
        <v>60</v>
      </c>
      <c r="F7398" t="s">
        <v>3715</v>
      </c>
      <c r="G7398" t="s">
        <v>3714</v>
      </c>
      <c r="H7398" t="s">
        <v>3401</v>
      </c>
      <c r="I7398">
        <v>5405</v>
      </c>
      <c r="J7398" s="3">
        <v>112</v>
      </c>
      <c r="K7398" s="3">
        <v>53.06</v>
      </c>
      <c r="L7398">
        <v>52.63</v>
      </c>
    </row>
    <row r="7399" spans="1:12">
      <c r="A7399" s="1">
        <v>46051</v>
      </c>
      <c r="B7399" t="s">
        <v>3713</v>
      </c>
      <c r="C7399">
        <v>12</v>
      </c>
      <c r="D7399" t="str">
        <f>VLOOKUP(Tabela26[[#This Row],[EMP]],[1]LOJA!$A:$B,2,0)</f>
        <v>SOFNORTE</v>
      </c>
      <c r="E7399">
        <v>60</v>
      </c>
      <c r="F7399" t="s">
        <v>3403</v>
      </c>
      <c r="G7399" t="s">
        <v>3402</v>
      </c>
      <c r="H7399" t="s">
        <v>3401</v>
      </c>
      <c r="I7399">
        <v>5102</v>
      </c>
      <c r="J7399" s="3">
        <v>98</v>
      </c>
      <c r="K7399" s="3">
        <v>50.2</v>
      </c>
      <c r="L7399">
        <v>48.78</v>
      </c>
    </row>
    <row r="7400" spans="1:12">
      <c r="A7400" s="1">
        <v>46051</v>
      </c>
      <c r="B7400" t="s">
        <v>3712</v>
      </c>
      <c r="C7400">
        <v>12</v>
      </c>
      <c r="D7400" t="str">
        <f>VLOOKUP(Tabela26[[#This Row],[EMP]],[1]LOJA!$A:$B,2,0)</f>
        <v>SOFNORTE</v>
      </c>
      <c r="E7400">
        <v>60</v>
      </c>
      <c r="F7400" t="s">
        <v>3709</v>
      </c>
      <c r="G7400" t="s">
        <v>3708</v>
      </c>
      <c r="H7400" t="s">
        <v>3408</v>
      </c>
      <c r="I7400">
        <v>5405</v>
      </c>
      <c r="J7400" s="3">
        <v>212</v>
      </c>
      <c r="K7400" s="3">
        <v>111.91</v>
      </c>
      <c r="L7400">
        <v>47.21</v>
      </c>
    </row>
    <row r="7401" spans="1:12">
      <c r="A7401" s="1">
        <v>46051</v>
      </c>
      <c r="B7401" t="s">
        <v>3711</v>
      </c>
      <c r="C7401">
        <v>12</v>
      </c>
      <c r="D7401" t="str">
        <f>VLOOKUP(Tabela26[[#This Row],[EMP]],[1]LOJA!$A:$B,2,0)</f>
        <v>SOFNORTE</v>
      </c>
      <c r="E7401">
        <v>239</v>
      </c>
      <c r="F7401" t="s">
        <v>3709</v>
      </c>
      <c r="G7401" t="s">
        <v>3708</v>
      </c>
      <c r="H7401" t="s">
        <v>3557</v>
      </c>
      <c r="I7401">
        <v>5405</v>
      </c>
      <c r="J7401" s="3">
        <v>42.03</v>
      </c>
      <c r="K7401" s="3">
        <v>20.71</v>
      </c>
      <c r="L7401">
        <v>50.73</v>
      </c>
    </row>
    <row r="7402" spans="1:12">
      <c r="A7402" s="1">
        <v>46051</v>
      </c>
      <c r="B7402" t="s">
        <v>3710</v>
      </c>
      <c r="C7402">
        <v>12</v>
      </c>
      <c r="D7402" t="str">
        <f>VLOOKUP(Tabela26[[#This Row],[EMP]],[1]LOJA!$A:$B,2,0)</f>
        <v>SOFNORTE</v>
      </c>
      <c r="E7402">
        <v>60</v>
      </c>
      <c r="F7402" t="s">
        <v>3709</v>
      </c>
      <c r="G7402" t="s">
        <v>3708</v>
      </c>
      <c r="H7402" t="s">
        <v>3401</v>
      </c>
      <c r="I7402">
        <v>5102</v>
      </c>
      <c r="J7402" s="3">
        <v>90</v>
      </c>
      <c r="K7402" s="3">
        <v>53.7</v>
      </c>
      <c r="L7402">
        <v>40.33</v>
      </c>
    </row>
    <row r="7403" spans="1:12">
      <c r="A7403" s="1">
        <v>46051</v>
      </c>
      <c r="B7403" t="s">
        <v>3707</v>
      </c>
      <c r="C7403">
        <v>12</v>
      </c>
      <c r="D7403" t="str">
        <f>VLOOKUP(Tabela26[[#This Row],[EMP]],[1]LOJA!$A:$B,2,0)</f>
        <v>SOFNORTE</v>
      </c>
      <c r="E7403">
        <v>60</v>
      </c>
      <c r="F7403" t="s">
        <v>3706</v>
      </c>
      <c r="G7403" t="s">
        <v>3402</v>
      </c>
      <c r="H7403" t="s">
        <v>3408</v>
      </c>
      <c r="I7403">
        <v>5405</v>
      </c>
      <c r="J7403" s="3">
        <v>56</v>
      </c>
      <c r="K7403" s="3">
        <v>27.71</v>
      </c>
      <c r="L7403">
        <v>50.52</v>
      </c>
    </row>
    <row r="7404" spans="1:12">
      <c r="A7404" s="1">
        <v>46051</v>
      </c>
      <c r="B7404" t="s">
        <v>3705</v>
      </c>
      <c r="C7404">
        <v>12</v>
      </c>
      <c r="D7404" t="str">
        <f>VLOOKUP(Tabela26[[#This Row],[EMP]],[1]LOJA!$A:$B,2,0)</f>
        <v>SOFNORTE</v>
      </c>
      <c r="E7404">
        <v>239</v>
      </c>
      <c r="F7404" t="s">
        <v>3704</v>
      </c>
      <c r="G7404" t="s">
        <v>3703</v>
      </c>
      <c r="H7404" t="s">
        <v>3401</v>
      </c>
      <c r="I7404">
        <v>5102</v>
      </c>
      <c r="J7404" s="3">
        <v>8.25</v>
      </c>
      <c r="K7404" s="3">
        <v>5.55</v>
      </c>
      <c r="L7404">
        <v>32.729999999999997</v>
      </c>
    </row>
    <row r="7405" spans="1:12">
      <c r="A7405" s="1">
        <v>46051</v>
      </c>
      <c r="B7405" t="s">
        <v>3702</v>
      </c>
      <c r="C7405">
        <v>12</v>
      </c>
      <c r="D7405" t="str">
        <f>VLOOKUP(Tabela26[[#This Row],[EMP]],[1]LOJA!$A:$B,2,0)</f>
        <v>SOFNORTE</v>
      </c>
      <c r="E7405">
        <v>239</v>
      </c>
      <c r="F7405" t="s">
        <v>3701</v>
      </c>
      <c r="G7405" t="s">
        <v>3700</v>
      </c>
      <c r="H7405" t="s">
        <v>3401</v>
      </c>
      <c r="I7405">
        <v>5102</v>
      </c>
      <c r="J7405" s="3">
        <v>13</v>
      </c>
      <c r="K7405" s="3">
        <v>6.16</v>
      </c>
      <c r="L7405">
        <v>52.62</v>
      </c>
    </row>
    <row r="7406" spans="1:12">
      <c r="A7406" s="1">
        <v>46051</v>
      </c>
      <c r="B7406" t="s">
        <v>3699</v>
      </c>
      <c r="C7406">
        <v>12</v>
      </c>
      <c r="D7406" t="str">
        <f>VLOOKUP(Tabela26[[#This Row],[EMP]],[1]LOJA!$A:$B,2,0)</f>
        <v>SOFNORTE</v>
      </c>
      <c r="E7406">
        <v>239</v>
      </c>
      <c r="F7406" t="s">
        <v>3698</v>
      </c>
      <c r="G7406" t="s">
        <v>3697</v>
      </c>
      <c r="H7406" t="s">
        <v>3408</v>
      </c>
      <c r="I7406">
        <v>5102</v>
      </c>
      <c r="J7406" s="3">
        <v>77.06</v>
      </c>
      <c r="K7406" s="3">
        <v>49.07</v>
      </c>
      <c r="L7406">
        <v>36.32</v>
      </c>
    </row>
    <row r="7407" spans="1:12">
      <c r="A7407" s="1">
        <v>46051</v>
      </c>
      <c r="B7407" t="s">
        <v>3696</v>
      </c>
      <c r="C7407">
        <v>12</v>
      </c>
      <c r="D7407" t="str">
        <f>VLOOKUP(Tabela26[[#This Row],[EMP]],[1]LOJA!$A:$B,2,0)</f>
        <v>SOFNORTE</v>
      </c>
      <c r="E7407">
        <v>239</v>
      </c>
      <c r="F7407" t="s">
        <v>3687</v>
      </c>
      <c r="G7407" t="s">
        <v>3686</v>
      </c>
      <c r="H7407" t="s">
        <v>3689</v>
      </c>
      <c r="I7407">
        <v>5102</v>
      </c>
      <c r="J7407" s="3">
        <v>55</v>
      </c>
      <c r="K7407" s="3">
        <v>33.53</v>
      </c>
      <c r="L7407">
        <v>39.04</v>
      </c>
    </row>
    <row r="7408" spans="1:12">
      <c r="A7408" s="1">
        <v>46051</v>
      </c>
      <c r="B7408" t="s">
        <v>3695</v>
      </c>
      <c r="C7408">
        <v>12</v>
      </c>
      <c r="D7408" t="str">
        <f>VLOOKUP(Tabela26[[#This Row],[EMP]],[1]LOJA!$A:$B,2,0)</f>
        <v>SOFNORTE</v>
      </c>
      <c r="E7408">
        <v>239</v>
      </c>
      <c r="F7408" t="s">
        <v>3694</v>
      </c>
      <c r="G7408" t="s">
        <v>3693</v>
      </c>
      <c r="H7408" t="s">
        <v>3520</v>
      </c>
      <c r="I7408">
        <v>5102</v>
      </c>
      <c r="J7408" s="3">
        <v>165</v>
      </c>
      <c r="K7408" s="3">
        <v>80.73</v>
      </c>
      <c r="L7408">
        <v>51.07</v>
      </c>
    </row>
    <row r="7409" spans="1:12">
      <c r="A7409" s="1">
        <v>46051</v>
      </c>
      <c r="B7409" t="s">
        <v>3692</v>
      </c>
      <c r="C7409">
        <v>12</v>
      </c>
      <c r="D7409" t="str">
        <f>VLOOKUP(Tabela26[[#This Row],[EMP]],[1]LOJA!$A:$B,2,0)</f>
        <v>SOFNORTE</v>
      </c>
      <c r="E7409">
        <v>239</v>
      </c>
      <c r="F7409" t="s">
        <v>3691</v>
      </c>
      <c r="G7409" t="s">
        <v>3690</v>
      </c>
      <c r="H7409" t="s">
        <v>3689</v>
      </c>
      <c r="I7409">
        <v>5102</v>
      </c>
      <c r="J7409" s="3">
        <v>57</v>
      </c>
      <c r="K7409" s="3">
        <v>36.61</v>
      </c>
      <c r="L7409">
        <v>35.770000000000003</v>
      </c>
    </row>
    <row r="7410" spans="1:12">
      <c r="A7410" s="1">
        <v>46051</v>
      </c>
      <c r="B7410" t="s">
        <v>3688</v>
      </c>
      <c r="C7410">
        <v>12</v>
      </c>
      <c r="D7410" t="str">
        <f>VLOOKUP(Tabela26[[#This Row],[EMP]],[1]LOJA!$A:$B,2,0)</f>
        <v>SOFNORTE</v>
      </c>
      <c r="E7410">
        <v>239</v>
      </c>
      <c r="F7410" t="s">
        <v>3687</v>
      </c>
      <c r="G7410" t="s">
        <v>3686</v>
      </c>
      <c r="H7410" t="s">
        <v>3401</v>
      </c>
      <c r="I7410">
        <v>5405</v>
      </c>
      <c r="J7410" s="3">
        <v>62</v>
      </c>
      <c r="K7410" s="3">
        <v>30.26</v>
      </c>
      <c r="L7410">
        <v>51.19</v>
      </c>
    </row>
    <row r="7411" spans="1:12">
      <c r="A7411" s="1">
        <v>46051</v>
      </c>
      <c r="B7411" t="s">
        <v>3685</v>
      </c>
      <c r="C7411">
        <v>14</v>
      </c>
      <c r="D7411" t="str">
        <f>VLOOKUP(Tabela26[[#This Row],[EMP]],[1]LOJA!$A:$B,2,0)</f>
        <v>S IA</v>
      </c>
      <c r="E7411">
        <v>212</v>
      </c>
      <c r="F7411" t="s">
        <v>3403</v>
      </c>
      <c r="G7411" t="s">
        <v>3402</v>
      </c>
      <c r="H7411" t="s">
        <v>3401</v>
      </c>
      <c r="I7411">
        <v>5102</v>
      </c>
      <c r="J7411" s="3">
        <v>22</v>
      </c>
      <c r="K7411" s="3">
        <v>12.88</v>
      </c>
      <c r="L7411">
        <v>41.45</v>
      </c>
    </row>
    <row r="7412" spans="1:12">
      <c r="A7412" s="1">
        <v>46051</v>
      </c>
      <c r="B7412" t="s">
        <v>3684</v>
      </c>
      <c r="C7412">
        <v>14</v>
      </c>
      <c r="D7412" t="str">
        <f>VLOOKUP(Tabela26[[#This Row],[EMP]],[1]LOJA!$A:$B,2,0)</f>
        <v>S IA</v>
      </c>
      <c r="E7412">
        <v>54</v>
      </c>
      <c r="F7412" t="s">
        <v>3683</v>
      </c>
      <c r="G7412" t="s">
        <v>3402</v>
      </c>
      <c r="H7412" t="s">
        <v>3408</v>
      </c>
      <c r="I7412">
        <v>5405</v>
      </c>
      <c r="J7412" s="3">
        <v>620</v>
      </c>
      <c r="K7412" s="3">
        <v>328</v>
      </c>
      <c r="L7412">
        <v>47.1</v>
      </c>
    </row>
    <row r="7413" spans="1:12">
      <c r="A7413" s="1">
        <v>46051</v>
      </c>
      <c r="B7413" t="s">
        <v>3682</v>
      </c>
      <c r="C7413">
        <v>14</v>
      </c>
      <c r="D7413" t="str">
        <f>VLOOKUP(Tabela26[[#This Row],[EMP]],[1]LOJA!$A:$B,2,0)</f>
        <v>S IA</v>
      </c>
      <c r="E7413">
        <v>54</v>
      </c>
      <c r="F7413" t="s">
        <v>3403</v>
      </c>
      <c r="G7413" t="s">
        <v>3402</v>
      </c>
      <c r="H7413" t="s">
        <v>3401</v>
      </c>
      <c r="I7413">
        <v>5405</v>
      </c>
      <c r="J7413" s="3">
        <v>106</v>
      </c>
      <c r="K7413" s="3">
        <v>45.7</v>
      </c>
      <c r="L7413">
        <v>56.89</v>
      </c>
    </row>
    <row r="7414" spans="1:12">
      <c r="A7414" s="1">
        <v>46051</v>
      </c>
      <c r="B7414" t="s">
        <v>3681</v>
      </c>
      <c r="C7414">
        <v>14</v>
      </c>
      <c r="D7414" t="str">
        <f>VLOOKUP(Tabela26[[#This Row],[EMP]],[1]LOJA!$A:$B,2,0)</f>
        <v>S IA</v>
      </c>
      <c r="E7414">
        <v>212</v>
      </c>
      <c r="F7414" t="s">
        <v>3403</v>
      </c>
      <c r="G7414" t="s">
        <v>3402</v>
      </c>
      <c r="H7414" t="s">
        <v>3401</v>
      </c>
      <c r="I7414">
        <v>5405</v>
      </c>
      <c r="J7414" s="3">
        <v>588</v>
      </c>
      <c r="K7414" s="3">
        <v>273.81</v>
      </c>
      <c r="L7414">
        <v>53.43</v>
      </c>
    </row>
    <row r="7415" spans="1:12">
      <c r="A7415" s="1">
        <v>46051</v>
      </c>
      <c r="B7415" t="s">
        <v>3680</v>
      </c>
      <c r="C7415">
        <v>4</v>
      </c>
      <c r="D7415" t="str">
        <f>VLOOKUP(Tabela26[[#This Row],[EMP]],[1]LOJA!$A:$B,2,0)</f>
        <v>ADE</v>
      </c>
      <c r="E7415">
        <v>132</v>
      </c>
      <c r="F7415" t="s">
        <v>3677</v>
      </c>
      <c r="G7415" t="s">
        <v>3676</v>
      </c>
      <c r="H7415" t="s">
        <v>3679</v>
      </c>
      <c r="I7415">
        <v>5405</v>
      </c>
      <c r="J7415" s="3">
        <v>2628.8</v>
      </c>
      <c r="K7415" s="3">
        <v>1539.58</v>
      </c>
      <c r="L7415">
        <v>41.43</v>
      </c>
    </row>
    <row r="7416" spans="1:12">
      <c r="A7416" s="1">
        <v>46051</v>
      </c>
      <c r="B7416" t="s">
        <v>3678</v>
      </c>
      <c r="C7416">
        <v>4</v>
      </c>
      <c r="D7416" t="str">
        <f>VLOOKUP(Tabela26[[#This Row],[EMP]],[1]LOJA!$A:$B,2,0)</f>
        <v>ADE</v>
      </c>
      <c r="E7416">
        <v>132</v>
      </c>
      <c r="F7416" t="s">
        <v>3677</v>
      </c>
      <c r="G7416" t="s">
        <v>3676</v>
      </c>
      <c r="H7416" t="s">
        <v>3537</v>
      </c>
      <c r="I7416">
        <v>5102</v>
      </c>
      <c r="J7416" s="3">
        <v>220.55</v>
      </c>
      <c r="K7416" s="3">
        <v>96.93</v>
      </c>
      <c r="L7416">
        <v>56.05</v>
      </c>
    </row>
    <row r="7417" spans="1:12">
      <c r="A7417" s="1">
        <v>46051</v>
      </c>
      <c r="B7417" t="s">
        <v>3675</v>
      </c>
      <c r="C7417">
        <v>4</v>
      </c>
      <c r="D7417" t="str">
        <f>VLOOKUP(Tabela26[[#This Row],[EMP]],[1]LOJA!$A:$B,2,0)</f>
        <v>ADE</v>
      </c>
      <c r="E7417">
        <v>132</v>
      </c>
      <c r="F7417" t="s">
        <v>3660</v>
      </c>
      <c r="G7417" t="s">
        <v>3659</v>
      </c>
      <c r="H7417" t="s">
        <v>3430</v>
      </c>
      <c r="I7417">
        <v>5405</v>
      </c>
      <c r="J7417" s="3">
        <v>321.14999999999998</v>
      </c>
      <c r="K7417" s="3">
        <v>164.87</v>
      </c>
      <c r="L7417">
        <v>48.66</v>
      </c>
    </row>
    <row r="7418" spans="1:12">
      <c r="A7418" s="1">
        <v>46051</v>
      </c>
      <c r="B7418" t="s">
        <v>3674</v>
      </c>
      <c r="C7418">
        <v>4</v>
      </c>
      <c r="D7418" t="str">
        <f>VLOOKUP(Tabela26[[#This Row],[EMP]],[1]LOJA!$A:$B,2,0)</f>
        <v>ADE</v>
      </c>
      <c r="E7418">
        <v>132</v>
      </c>
      <c r="F7418" t="s">
        <v>3673</v>
      </c>
      <c r="G7418" t="s">
        <v>3672</v>
      </c>
      <c r="H7418" t="s">
        <v>3408</v>
      </c>
      <c r="I7418">
        <v>5102</v>
      </c>
      <c r="J7418" s="3">
        <v>36.9</v>
      </c>
      <c r="K7418" s="3">
        <v>19.260000000000002</v>
      </c>
      <c r="L7418">
        <v>47.8</v>
      </c>
    </row>
    <row r="7419" spans="1:12">
      <c r="A7419" s="1">
        <v>46051</v>
      </c>
      <c r="B7419" t="s">
        <v>3671</v>
      </c>
      <c r="C7419">
        <v>4</v>
      </c>
      <c r="D7419" t="str">
        <f>VLOOKUP(Tabela26[[#This Row],[EMP]],[1]LOJA!$A:$B,2,0)</f>
        <v>ADE</v>
      </c>
      <c r="E7419">
        <v>132</v>
      </c>
      <c r="F7419" t="s">
        <v>3670</v>
      </c>
      <c r="G7419" t="s">
        <v>3669</v>
      </c>
      <c r="H7419" t="s">
        <v>3430</v>
      </c>
      <c r="I7419">
        <v>5102</v>
      </c>
      <c r="J7419" s="3">
        <v>117.8</v>
      </c>
      <c r="K7419" s="3">
        <v>67.84</v>
      </c>
      <c r="L7419">
        <v>42.41</v>
      </c>
    </row>
    <row r="7420" spans="1:12">
      <c r="A7420" s="1">
        <v>46051</v>
      </c>
      <c r="B7420" t="s">
        <v>3668</v>
      </c>
      <c r="C7420">
        <v>4</v>
      </c>
      <c r="D7420" t="str">
        <f>VLOOKUP(Tabela26[[#This Row],[EMP]],[1]LOJA!$A:$B,2,0)</f>
        <v>ADE</v>
      </c>
      <c r="E7420">
        <v>132</v>
      </c>
      <c r="F7420" t="s">
        <v>3667</v>
      </c>
      <c r="G7420" t="s">
        <v>3666</v>
      </c>
      <c r="H7420" t="s">
        <v>3430</v>
      </c>
      <c r="I7420">
        <v>5102</v>
      </c>
      <c r="J7420" s="3">
        <v>110</v>
      </c>
      <c r="K7420" s="3">
        <v>62</v>
      </c>
      <c r="L7420">
        <v>43.64</v>
      </c>
    </row>
    <row r="7421" spans="1:12">
      <c r="A7421" s="1">
        <v>46051</v>
      </c>
      <c r="B7421" t="s">
        <v>3665</v>
      </c>
      <c r="C7421">
        <v>4</v>
      </c>
      <c r="D7421" t="str">
        <f>VLOOKUP(Tabela26[[#This Row],[EMP]],[1]LOJA!$A:$B,2,0)</f>
        <v>ADE</v>
      </c>
      <c r="E7421">
        <v>109</v>
      </c>
      <c r="F7421" t="s">
        <v>3664</v>
      </c>
      <c r="G7421" t="s">
        <v>3663</v>
      </c>
      <c r="H7421" t="s">
        <v>3430</v>
      </c>
      <c r="I7421">
        <v>5405</v>
      </c>
      <c r="J7421" s="3">
        <v>58</v>
      </c>
      <c r="K7421" s="3">
        <v>24.63</v>
      </c>
      <c r="L7421">
        <v>57.53</v>
      </c>
    </row>
    <row r="7422" spans="1:12">
      <c r="A7422" s="1">
        <v>46051</v>
      </c>
      <c r="B7422" t="s">
        <v>3662</v>
      </c>
      <c r="C7422">
        <v>4</v>
      </c>
      <c r="D7422" t="str">
        <f>VLOOKUP(Tabela26[[#This Row],[EMP]],[1]LOJA!$A:$B,2,0)</f>
        <v>ADE</v>
      </c>
      <c r="E7422">
        <v>132</v>
      </c>
      <c r="F7422" t="s">
        <v>3660</v>
      </c>
      <c r="G7422" t="s">
        <v>3659</v>
      </c>
      <c r="H7422" t="s">
        <v>3430</v>
      </c>
      <c r="I7422">
        <v>5102</v>
      </c>
      <c r="J7422" s="3">
        <v>41.25</v>
      </c>
      <c r="K7422" s="3">
        <v>28.8</v>
      </c>
      <c r="L7422">
        <v>30.18</v>
      </c>
    </row>
    <row r="7423" spans="1:12">
      <c r="A7423" s="1">
        <v>46051</v>
      </c>
      <c r="B7423" t="s">
        <v>3661</v>
      </c>
      <c r="C7423">
        <v>4</v>
      </c>
      <c r="D7423" t="str">
        <f>VLOOKUP(Tabela26[[#This Row],[EMP]],[1]LOJA!$A:$B,2,0)</f>
        <v>ADE</v>
      </c>
      <c r="E7423">
        <v>132</v>
      </c>
      <c r="F7423" t="s">
        <v>3660</v>
      </c>
      <c r="G7423" t="s">
        <v>3659</v>
      </c>
      <c r="H7423" t="s">
        <v>3430</v>
      </c>
      <c r="I7423">
        <v>5102</v>
      </c>
      <c r="J7423" s="3">
        <v>69.900000000000006</v>
      </c>
      <c r="K7423" s="3">
        <v>30.9</v>
      </c>
      <c r="L7423">
        <v>55.79</v>
      </c>
    </row>
    <row r="7424" spans="1:12">
      <c r="A7424" s="1">
        <v>46051</v>
      </c>
      <c r="B7424" t="s">
        <v>3658</v>
      </c>
      <c r="C7424">
        <v>4</v>
      </c>
      <c r="D7424" t="str">
        <f>VLOOKUP(Tabela26[[#This Row],[EMP]],[1]LOJA!$A:$B,2,0)</f>
        <v>ADE</v>
      </c>
      <c r="E7424">
        <v>109</v>
      </c>
      <c r="F7424" t="s">
        <v>3657</v>
      </c>
      <c r="G7424" t="s">
        <v>3656</v>
      </c>
      <c r="H7424" t="s">
        <v>3430</v>
      </c>
      <c r="I7424">
        <v>5102</v>
      </c>
      <c r="J7424" s="3">
        <v>240</v>
      </c>
      <c r="K7424" s="3">
        <v>142.46</v>
      </c>
      <c r="L7424">
        <v>40.64</v>
      </c>
    </row>
    <row r="7425" spans="1:12">
      <c r="A7425" s="1">
        <v>46051</v>
      </c>
      <c r="B7425" t="s">
        <v>3655</v>
      </c>
      <c r="C7425">
        <v>13</v>
      </c>
      <c r="D7425" t="str">
        <f>VLOOKUP(Tabela26[[#This Row],[EMP]],[1]LOJA!$A:$B,2,0)</f>
        <v>CEILÂNDIA</v>
      </c>
      <c r="E7425">
        <v>86</v>
      </c>
      <c r="F7425" t="s">
        <v>3654</v>
      </c>
      <c r="G7425" t="s">
        <v>3653</v>
      </c>
      <c r="H7425" t="s">
        <v>3408</v>
      </c>
      <c r="I7425">
        <v>5102</v>
      </c>
      <c r="J7425" s="3">
        <v>258.75</v>
      </c>
      <c r="K7425" s="3">
        <v>179.7</v>
      </c>
      <c r="L7425">
        <v>30.55</v>
      </c>
    </row>
    <row r="7426" spans="1:12">
      <c r="A7426" s="1">
        <v>46051</v>
      </c>
      <c r="B7426" t="s">
        <v>3652</v>
      </c>
      <c r="C7426">
        <v>13</v>
      </c>
      <c r="D7426" t="str">
        <f>VLOOKUP(Tabela26[[#This Row],[EMP]],[1]LOJA!$A:$B,2,0)</f>
        <v>CEILÂNDIA</v>
      </c>
      <c r="E7426">
        <v>33</v>
      </c>
      <c r="F7426" t="s">
        <v>3591</v>
      </c>
      <c r="G7426" t="s">
        <v>3590</v>
      </c>
      <c r="H7426" t="s">
        <v>3520</v>
      </c>
      <c r="I7426">
        <v>5102</v>
      </c>
      <c r="J7426" s="3">
        <v>115.44</v>
      </c>
      <c r="K7426" s="3">
        <v>61.32</v>
      </c>
      <c r="L7426">
        <v>46.88</v>
      </c>
    </row>
    <row r="7427" spans="1:12">
      <c r="A7427" s="1">
        <v>46051</v>
      </c>
      <c r="B7427" t="s">
        <v>3651</v>
      </c>
      <c r="C7427">
        <v>13</v>
      </c>
      <c r="D7427" t="str">
        <f>VLOOKUP(Tabela26[[#This Row],[EMP]],[1]LOJA!$A:$B,2,0)</f>
        <v>CEILÂNDIA</v>
      </c>
      <c r="E7427">
        <v>86</v>
      </c>
      <c r="F7427" t="s">
        <v>3587</v>
      </c>
      <c r="G7427" t="s">
        <v>3586</v>
      </c>
      <c r="H7427" t="s">
        <v>3408</v>
      </c>
      <c r="I7427">
        <v>5405</v>
      </c>
      <c r="J7427" s="3">
        <v>568.79999999999995</v>
      </c>
      <c r="K7427" s="3">
        <v>323.99</v>
      </c>
      <c r="L7427">
        <v>43.04</v>
      </c>
    </row>
    <row r="7428" spans="1:12">
      <c r="A7428" s="1">
        <v>46051</v>
      </c>
      <c r="B7428" t="s">
        <v>3650</v>
      </c>
      <c r="C7428">
        <v>13</v>
      </c>
      <c r="D7428" t="str">
        <f>VLOOKUP(Tabela26[[#This Row],[EMP]],[1]LOJA!$A:$B,2,0)</f>
        <v>CEILÂNDIA</v>
      </c>
      <c r="E7428">
        <v>86</v>
      </c>
      <c r="F7428" t="s">
        <v>3649</v>
      </c>
      <c r="G7428" t="s">
        <v>3648</v>
      </c>
      <c r="H7428" t="s">
        <v>3408</v>
      </c>
      <c r="I7428">
        <v>5405</v>
      </c>
      <c r="J7428" s="3">
        <v>176.8</v>
      </c>
      <c r="K7428" s="3">
        <v>95.88</v>
      </c>
      <c r="L7428">
        <v>45.77</v>
      </c>
    </row>
    <row r="7429" spans="1:12">
      <c r="A7429" s="1">
        <v>46051</v>
      </c>
      <c r="B7429" t="s">
        <v>3647</v>
      </c>
      <c r="C7429">
        <v>13</v>
      </c>
      <c r="D7429" t="str">
        <f>VLOOKUP(Tabela26[[#This Row],[EMP]],[1]LOJA!$A:$B,2,0)</f>
        <v>CEILÂNDIA</v>
      </c>
      <c r="E7429">
        <v>86</v>
      </c>
      <c r="F7429" t="s">
        <v>3646</v>
      </c>
      <c r="G7429" t="s">
        <v>3402</v>
      </c>
      <c r="H7429" t="s">
        <v>3408</v>
      </c>
      <c r="I7429">
        <v>5102</v>
      </c>
      <c r="J7429" s="3">
        <v>68</v>
      </c>
      <c r="K7429" s="3">
        <v>30.35</v>
      </c>
      <c r="L7429">
        <v>55.37</v>
      </c>
    </row>
    <row r="7430" spans="1:12">
      <c r="A7430" s="1">
        <v>46051</v>
      </c>
      <c r="B7430" t="s">
        <v>3645</v>
      </c>
      <c r="C7430">
        <v>13</v>
      </c>
      <c r="D7430" t="str">
        <f>VLOOKUP(Tabela26[[#This Row],[EMP]],[1]LOJA!$A:$B,2,0)</f>
        <v>CEILÂNDIA</v>
      </c>
      <c r="E7430">
        <v>86</v>
      </c>
      <c r="F7430" t="s">
        <v>3622</v>
      </c>
      <c r="G7430" t="s">
        <v>3402</v>
      </c>
      <c r="H7430" t="s">
        <v>3408</v>
      </c>
      <c r="I7430">
        <v>5405</v>
      </c>
      <c r="J7430" s="3">
        <v>140</v>
      </c>
      <c r="K7430" s="3">
        <v>73.92</v>
      </c>
      <c r="L7430">
        <v>47.2</v>
      </c>
    </row>
    <row r="7431" spans="1:12">
      <c r="A7431" s="1">
        <v>46051</v>
      </c>
      <c r="B7431" t="s">
        <v>3644</v>
      </c>
      <c r="C7431">
        <v>13</v>
      </c>
      <c r="D7431" t="str">
        <f>VLOOKUP(Tabela26[[#This Row],[EMP]],[1]LOJA!$A:$B,2,0)</f>
        <v>CEILÂNDIA</v>
      </c>
      <c r="E7431">
        <v>86</v>
      </c>
      <c r="F7431" t="s">
        <v>3643</v>
      </c>
      <c r="G7431" t="s">
        <v>3402</v>
      </c>
      <c r="H7431" t="s">
        <v>3408</v>
      </c>
      <c r="I7431">
        <v>5102</v>
      </c>
      <c r="J7431" s="3">
        <v>145</v>
      </c>
      <c r="K7431" s="3">
        <v>66.03</v>
      </c>
      <c r="L7431">
        <v>54.46</v>
      </c>
    </row>
    <row r="7432" spans="1:12">
      <c r="A7432" s="1">
        <v>46051</v>
      </c>
      <c r="B7432" t="s">
        <v>3642</v>
      </c>
      <c r="C7432">
        <v>13</v>
      </c>
      <c r="D7432" t="str">
        <f>VLOOKUP(Tabela26[[#This Row],[EMP]],[1]LOJA!$A:$B,2,0)</f>
        <v>CEILÂNDIA</v>
      </c>
      <c r="E7432">
        <v>86</v>
      </c>
      <c r="F7432" t="s">
        <v>3406</v>
      </c>
      <c r="G7432" t="s">
        <v>3405</v>
      </c>
      <c r="H7432" t="s">
        <v>3408</v>
      </c>
      <c r="I7432">
        <v>5102</v>
      </c>
      <c r="J7432" s="3">
        <v>60</v>
      </c>
      <c r="K7432" s="3">
        <v>36</v>
      </c>
      <c r="L7432">
        <v>40</v>
      </c>
    </row>
    <row r="7433" spans="1:12">
      <c r="A7433" s="1">
        <v>46051</v>
      </c>
      <c r="B7433" t="s">
        <v>3641</v>
      </c>
      <c r="C7433">
        <v>13</v>
      </c>
      <c r="D7433" t="str">
        <f>VLOOKUP(Tabela26[[#This Row],[EMP]],[1]LOJA!$A:$B,2,0)</f>
        <v>CEILÂNDIA</v>
      </c>
      <c r="E7433">
        <v>86</v>
      </c>
      <c r="F7433" t="s">
        <v>3640</v>
      </c>
      <c r="G7433" t="s">
        <v>3639</v>
      </c>
      <c r="H7433" t="s">
        <v>3401</v>
      </c>
      <c r="I7433">
        <v>5405</v>
      </c>
      <c r="J7433" s="3">
        <v>80</v>
      </c>
      <c r="K7433" s="3">
        <v>48.31</v>
      </c>
      <c r="L7433">
        <v>39.61</v>
      </c>
    </row>
    <row r="7434" spans="1:12">
      <c r="A7434" s="1">
        <v>46051</v>
      </c>
      <c r="B7434" t="s">
        <v>3638</v>
      </c>
      <c r="C7434">
        <v>13</v>
      </c>
      <c r="D7434" t="str">
        <f>VLOOKUP(Tabela26[[#This Row],[EMP]],[1]LOJA!$A:$B,2,0)</f>
        <v>CEILÂNDIA</v>
      </c>
      <c r="E7434">
        <v>86</v>
      </c>
      <c r="F7434" t="s">
        <v>3403</v>
      </c>
      <c r="G7434" t="s">
        <v>3402</v>
      </c>
      <c r="H7434" t="s">
        <v>3401</v>
      </c>
      <c r="I7434">
        <v>5405</v>
      </c>
      <c r="J7434" s="3">
        <v>39.9</v>
      </c>
      <c r="K7434" s="3">
        <v>13.95</v>
      </c>
      <c r="L7434">
        <v>65.040000000000006</v>
      </c>
    </row>
    <row r="7435" spans="1:12">
      <c r="A7435" s="1">
        <v>46051</v>
      </c>
      <c r="B7435" t="s">
        <v>3637</v>
      </c>
      <c r="C7435">
        <v>13</v>
      </c>
      <c r="D7435" t="str">
        <f>VLOOKUP(Tabela26[[#This Row],[EMP]],[1]LOJA!$A:$B,2,0)</f>
        <v>CEILÂNDIA</v>
      </c>
      <c r="E7435">
        <v>86</v>
      </c>
      <c r="F7435" t="s">
        <v>3403</v>
      </c>
      <c r="G7435" t="s">
        <v>3402</v>
      </c>
      <c r="H7435" t="s">
        <v>3401</v>
      </c>
      <c r="I7435">
        <v>5102</v>
      </c>
      <c r="J7435" s="3">
        <v>20</v>
      </c>
      <c r="K7435" s="3">
        <v>10.36</v>
      </c>
      <c r="L7435">
        <v>48.2</v>
      </c>
    </row>
    <row r="7436" spans="1:12">
      <c r="A7436" s="1">
        <v>46051</v>
      </c>
      <c r="B7436" t="s">
        <v>3636</v>
      </c>
      <c r="C7436">
        <v>13</v>
      </c>
      <c r="D7436" t="str">
        <f>VLOOKUP(Tabela26[[#This Row],[EMP]],[1]LOJA!$A:$B,2,0)</f>
        <v>CEILÂNDIA</v>
      </c>
      <c r="E7436">
        <v>86</v>
      </c>
      <c r="F7436" t="s">
        <v>3403</v>
      </c>
      <c r="G7436" t="s">
        <v>3402</v>
      </c>
      <c r="H7436" t="s">
        <v>3401</v>
      </c>
      <c r="I7436">
        <v>5405</v>
      </c>
      <c r="J7436" s="3">
        <v>29.9</v>
      </c>
      <c r="K7436" s="3">
        <v>14.31</v>
      </c>
      <c r="L7436">
        <v>52.14</v>
      </c>
    </row>
    <row r="7437" spans="1:12">
      <c r="A7437" s="1">
        <v>46051</v>
      </c>
      <c r="B7437" t="s">
        <v>3635</v>
      </c>
      <c r="C7437">
        <v>13</v>
      </c>
      <c r="D7437" t="str">
        <f>VLOOKUP(Tabela26[[#This Row],[EMP]],[1]LOJA!$A:$B,2,0)</f>
        <v>CEILÂNDIA</v>
      </c>
      <c r="E7437">
        <v>86</v>
      </c>
      <c r="F7437" t="s">
        <v>3634</v>
      </c>
      <c r="G7437" t="s">
        <v>3633</v>
      </c>
      <c r="H7437" t="s">
        <v>3408</v>
      </c>
      <c r="I7437">
        <v>5102</v>
      </c>
      <c r="J7437" s="3">
        <v>30</v>
      </c>
      <c r="K7437" s="3">
        <v>12.49</v>
      </c>
      <c r="L7437">
        <v>58.37</v>
      </c>
    </row>
    <row r="7438" spans="1:12">
      <c r="A7438" s="1">
        <v>46051</v>
      </c>
      <c r="B7438" t="s">
        <v>3632</v>
      </c>
      <c r="C7438">
        <v>13</v>
      </c>
      <c r="D7438" t="str">
        <f>VLOOKUP(Tabela26[[#This Row],[EMP]],[1]LOJA!$A:$B,2,0)</f>
        <v>CEILÂNDIA</v>
      </c>
      <c r="E7438">
        <v>86</v>
      </c>
      <c r="F7438" t="s">
        <v>3631</v>
      </c>
      <c r="G7438" t="s">
        <v>3402</v>
      </c>
      <c r="H7438" t="s">
        <v>3408</v>
      </c>
      <c r="I7438">
        <v>5102</v>
      </c>
      <c r="J7438" s="3">
        <v>208</v>
      </c>
      <c r="K7438" s="3">
        <v>160.16</v>
      </c>
      <c r="L7438">
        <v>23</v>
      </c>
    </row>
    <row r="7439" spans="1:12">
      <c r="A7439" s="1">
        <v>46051</v>
      </c>
      <c r="B7439" t="s">
        <v>3630</v>
      </c>
      <c r="C7439">
        <v>13</v>
      </c>
      <c r="D7439" t="str">
        <f>VLOOKUP(Tabela26[[#This Row],[EMP]],[1]LOJA!$A:$B,2,0)</f>
        <v>CEILÂNDIA</v>
      </c>
      <c r="E7439">
        <v>86</v>
      </c>
      <c r="F7439" t="s">
        <v>3629</v>
      </c>
      <c r="G7439" t="s">
        <v>3628</v>
      </c>
      <c r="H7439" t="s">
        <v>3401</v>
      </c>
      <c r="I7439">
        <v>5102</v>
      </c>
      <c r="J7439" s="3">
        <v>60</v>
      </c>
      <c r="K7439" s="3">
        <v>33.729999999999997</v>
      </c>
      <c r="L7439">
        <v>43.78</v>
      </c>
    </row>
    <row r="7440" spans="1:12">
      <c r="A7440" s="1">
        <v>46051</v>
      </c>
      <c r="B7440" t="s">
        <v>3627</v>
      </c>
      <c r="C7440">
        <v>13</v>
      </c>
      <c r="D7440" t="str">
        <f>VLOOKUP(Tabela26[[#This Row],[EMP]],[1]LOJA!$A:$B,2,0)</f>
        <v>CEILÂNDIA</v>
      </c>
      <c r="E7440">
        <v>86</v>
      </c>
      <c r="F7440" t="s">
        <v>3624</v>
      </c>
      <c r="G7440" t="s">
        <v>3402</v>
      </c>
      <c r="H7440" t="s">
        <v>3408</v>
      </c>
      <c r="I7440">
        <v>5102</v>
      </c>
      <c r="J7440" s="3">
        <v>115</v>
      </c>
      <c r="K7440" s="3">
        <v>72.69</v>
      </c>
      <c r="L7440">
        <v>36.79</v>
      </c>
    </row>
    <row r="7441" spans="1:12">
      <c r="A7441" s="1">
        <v>46051</v>
      </c>
      <c r="B7441" t="s">
        <v>3626</v>
      </c>
      <c r="C7441">
        <v>13</v>
      </c>
      <c r="D7441" t="str">
        <f>VLOOKUP(Tabela26[[#This Row],[EMP]],[1]LOJA!$A:$B,2,0)</f>
        <v>CEILÂNDIA</v>
      </c>
      <c r="E7441">
        <v>86</v>
      </c>
      <c r="F7441" t="s">
        <v>3403</v>
      </c>
      <c r="G7441" t="s">
        <v>3402</v>
      </c>
      <c r="H7441" t="s">
        <v>3401</v>
      </c>
      <c r="I7441">
        <v>5102</v>
      </c>
      <c r="J7441" s="3">
        <v>23</v>
      </c>
      <c r="K7441" s="3">
        <v>11.4</v>
      </c>
      <c r="L7441">
        <v>50.43</v>
      </c>
    </row>
    <row r="7442" spans="1:12">
      <c r="A7442" s="1">
        <v>46051</v>
      </c>
      <c r="B7442" t="s">
        <v>3625</v>
      </c>
      <c r="C7442">
        <v>13</v>
      </c>
      <c r="D7442" t="str">
        <f>VLOOKUP(Tabela26[[#This Row],[EMP]],[1]LOJA!$A:$B,2,0)</f>
        <v>CEILÂNDIA</v>
      </c>
      <c r="E7442">
        <v>86</v>
      </c>
      <c r="F7442" t="s">
        <v>3624</v>
      </c>
      <c r="G7442" t="s">
        <v>3402</v>
      </c>
      <c r="H7442" t="s">
        <v>3408</v>
      </c>
      <c r="I7442">
        <v>5102</v>
      </c>
      <c r="J7442" s="3">
        <v>20</v>
      </c>
      <c r="K7442" s="3">
        <v>12.88</v>
      </c>
      <c r="L7442">
        <v>35.6</v>
      </c>
    </row>
    <row r="7443" spans="1:12">
      <c r="A7443" s="1">
        <v>46051</v>
      </c>
      <c r="B7443" t="s">
        <v>3623</v>
      </c>
      <c r="C7443">
        <v>13</v>
      </c>
      <c r="D7443" t="str">
        <f>VLOOKUP(Tabela26[[#This Row],[EMP]],[1]LOJA!$A:$B,2,0)</f>
        <v>CEILÂNDIA</v>
      </c>
      <c r="E7443">
        <v>86</v>
      </c>
      <c r="F7443" t="s">
        <v>3622</v>
      </c>
      <c r="G7443" t="s">
        <v>3402</v>
      </c>
      <c r="H7443" t="s">
        <v>3408</v>
      </c>
      <c r="I7443">
        <v>5405</v>
      </c>
      <c r="J7443" s="3">
        <v>50</v>
      </c>
      <c r="K7443" s="3">
        <v>25.77</v>
      </c>
      <c r="L7443">
        <v>48.46</v>
      </c>
    </row>
    <row r="7444" spans="1:12">
      <c r="A7444" s="1">
        <v>46051</v>
      </c>
      <c r="B7444" t="s">
        <v>3621</v>
      </c>
      <c r="C7444">
        <v>13</v>
      </c>
      <c r="D7444" t="str">
        <f>VLOOKUP(Tabela26[[#This Row],[EMP]],[1]LOJA!$A:$B,2,0)</f>
        <v>CEILÂNDIA</v>
      </c>
      <c r="E7444">
        <v>86</v>
      </c>
      <c r="F7444" t="s">
        <v>3620</v>
      </c>
      <c r="G7444" t="s">
        <v>3619</v>
      </c>
      <c r="H7444" t="s">
        <v>3408</v>
      </c>
      <c r="I7444">
        <v>5102</v>
      </c>
      <c r="J7444" s="3">
        <v>54.9</v>
      </c>
      <c r="K7444" s="3">
        <v>39.159999999999997</v>
      </c>
      <c r="L7444">
        <v>28.67</v>
      </c>
    </row>
    <row r="7445" spans="1:12">
      <c r="A7445" s="1">
        <v>46051</v>
      </c>
      <c r="B7445" t="s">
        <v>3618</v>
      </c>
      <c r="C7445">
        <v>13</v>
      </c>
      <c r="D7445" t="str">
        <f>VLOOKUP(Tabela26[[#This Row],[EMP]],[1]LOJA!$A:$B,2,0)</f>
        <v>CEILÂNDIA</v>
      </c>
      <c r="E7445">
        <v>86</v>
      </c>
      <c r="F7445" t="s">
        <v>3403</v>
      </c>
      <c r="G7445" t="s">
        <v>3402</v>
      </c>
      <c r="H7445" t="s">
        <v>3401</v>
      </c>
      <c r="I7445">
        <v>5102</v>
      </c>
      <c r="J7445" s="3">
        <v>94</v>
      </c>
      <c r="K7445" s="3">
        <v>48.81</v>
      </c>
      <c r="L7445">
        <v>48.07</v>
      </c>
    </row>
    <row r="7446" spans="1:12">
      <c r="A7446" s="1">
        <v>46051</v>
      </c>
      <c r="B7446" t="s">
        <v>3617</v>
      </c>
      <c r="C7446">
        <v>13</v>
      </c>
      <c r="D7446" t="str">
        <f>VLOOKUP(Tabela26[[#This Row],[EMP]],[1]LOJA!$A:$B,2,0)</f>
        <v>CEILÂNDIA</v>
      </c>
      <c r="E7446">
        <v>86</v>
      </c>
      <c r="F7446" t="s">
        <v>3403</v>
      </c>
      <c r="G7446" t="s">
        <v>3402</v>
      </c>
      <c r="H7446" t="s">
        <v>3401</v>
      </c>
      <c r="I7446">
        <v>5102</v>
      </c>
      <c r="J7446" s="3">
        <v>40</v>
      </c>
      <c r="K7446" s="3">
        <v>30.8</v>
      </c>
      <c r="L7446">
        <v>23</v>
      </c>
    </row>
    <row r="7447" spans="1:12">
      <c r="A7447" s="1">
        <v>46051</v>
      </c>
      <c r="B7447" t="s">
        <v>3616</v>
      </c>
      <c r="C7447">
        <v>13</v>
      </c>
      <c r="D7447" t="str">
        <f>VLOOKUP(Tabela26[[#This Row],[EMP]],[1]LOJA!$A:$B,2,0)</f>
        <v>CEILÂNDIA</v>
      </c>
      <c r="E7447">
        <v>86</v>
      </c>
      <c r="F7447" t="s">
        <v>3615</v>
      </c>
      <c r="G7447" t="s">
        <v>3614</v>
      </c>
      <c r="H7447" t="s">
        <v>3408</v>
      </c>
      <c r="I7447">
        <v>5102</v>
      </c>
      <c r="J7447" s="3">
        <v>22</v>
      </c>
      <c r="K7447" s="3">
        <v>12.28</v>
      </c>
      <c r="L7447">
        <v>44.18</v>
      </c>
    </row>
    <row r="7448" spans="1:12">
      <c r="A7448" s="1">
        <v>46051</v>
      </c>
      <c r="B7448" t="s">
        <v>3613</v>
      </c>
      <c r="C7448">
        <v>13</v>
      </c>
      <c r="D7448" t="str">
        <f>VLOOKUP(Tabela26[[#This Row],[EMP]],[1]LOJA!$A:$B,2,0)</f>
        <v>CEILÂNDIA</v>
      </c>
      <c r="E7448">
        <v>86</v>
      </c>
      <c r="F7448" t="s">
        <v>3612</v>
      </c>
      <c r="G7448" t="s">
        <v>3611</v>
      </c>
      <c r="H7448" t="s">
        <v>3401</v>
      </c>
      <c r="I7448">
        <v>5102</v>
      </c>
      <c r="J7448" s="3">
        <v>60</v>
      </c>
      <c r="K7448" s="3">
        <v>30.82</v>
      </c>
      <c r="L7448">
        <v>48.63</v>
      </c>
    </row>
    <row r="7449" spans="1:12">
      <c r="A7449" s="1">
        <v>46051</v>
      </c>
      <c r="B7449" t="s">
        <v>3610</v>
      </c>
      <c r="C7449">
        <v>13</v>
      </c>
      <c r="D7449" t="str">
        <f>VLOOKUP(Tabela26[[#This Row],[EMP]],[1]LOJA!$A:$B,2,0)</f>
        <v>CEILÂNDIA</v>
      </c>
      <c r="E7449">
        <v>86</v>
      </c>
      <c r="F7449" t="s">
        <v>3609</v>
      </c>
      <c r="G7449" t="s">
        <v>3608</v>
      </c>
      <c r="H7449" t="s">
        <v>3408</v>
      </c>
      <c r="I7449">
        <v>5102</v>
      </c>
      <c r="J7449" s="3">
        <v>369.2</v>
      </c>
      <c r="K7449" s="3">
        <v>231.42</v>
      </c>
      <c r="L7449">
        <v>37.32</v>
      </c>
    </row>
    <row r="7450" spans="1:12">
      <c r="A7450" s="1">
        <v>46051</v>
      </c>
      <c r="B7450" t="s">
        <v>3607</v>
      </c>
      <c r="C7450">
        <v>13</v>
      </c>
      <c r="D7450" t="str">
        <f>VLOOKUP(Tabela26[[#This Row],[EMP]],[1]LOJA!$A:$B,2,0)</f>
        <v>CEILÂNDIA</v>
      </c>
      <c r="E7450">
        <v>86</v>
      </c>
      <c r="F7450" t="s">
        <v>3406</v>
      </c>
      <c r="G7450" t="s">
        <v>3405</v>
      </c>
      <c r="H7450" t="s">
        <v>3408</v>
      </c>
      <c r="I7450">
        <v>5405</v>
      </c>
      <c r="J7450" s="3">
        <v>65</v>
      </c>
      <c r="K7450" s="3">
        <v>33.130000000000003</v>
      </c>
      <c r="L7450">
        <v>49.03</v>
      </c>
    </row>
    <row r="7451" spans="1:12">
      <c r="A7451" s="1">
        <v>46051</v>
      </c>
      <c r="B7451" t="s">
        <v>3606</v>
      </c>
      <c r="C7451">
        <v>13</v>
      </c>
      <c r="D7451" t="str">
        <f>VLOOKUP(Tabela26[[#This Row],[EMP]],[1]LOJA!$A:$B,2,0)</f>
        <v>CEILÂNDIA</v>
      </c>
      <c r="E7451">
        <v>86</v>
      </c>
      <c r="F7451" t="s">
        <v>3605</v>
      </c>
      <c r="G7451" t="s">
        <v>3604</v>
      </c>
      <c r="H7451" t="s">
        <v>3401</v>
      </c>
      <c r="I7451">
        <v>5405</v>
      </c>
      <c r="J7451" s="3">
        <v>276.89999999999998</v>
      </c>
      <c r="K7451" s="3">
        <v>161.12</v>
      </c>
      <c r="L7451">
        <v>41.81</v>
      </c>
    </row>
    <row r="7452" spans="1:12">
      <c r="A7452" s="1">
        <v>46051</v>
      </c>
      <c r="B7452" t="s">
        <v>3603</v>
      </c>
      <c r="C7452">
        <v>13</v>
      </c>
      <c r="D7452" t="str">
        <f>VLOOKUP(Tabela26[[#This Row],[EMP]],[1]LOJA!$A:$B,2,0)</f>
        <v>CEILÂNDIA</v>
      </c>
      <c r="E7452">
        <v>86</v>
      </c>
      <c r="F7452" t="s">
        <v>3602</v>
      </c>
      <c r="G7452" t="s">
        <v>3601</v>
      </c>
      <c r="H7452" t="s">
        <v>3408</v>
      </c>
      <c r="I7452">
        <v>5405</v>
      </c>
      <c r="J7452" s="3">
        <v>552</v>
      </c>
      <c r="K7452" s="3">
        <v>221.84</v>
      </c>
      <c r="L7452">
        <v>59.81</v>
      </c>
    </row>
    <row r="7453" spans="1:12">
      <c r="A7453" s="1">
        <v>46051</v>
      </c>
      <c r="B7453" t="s">
        <v>3600</v>
      </c>
      <c r="C7453">
        <v>13</v>
      </c>
      <c r="D7453" t="str">
        <f>VLOOKUP(Tabela26[[#This Row],[EMP]],[1]LOJA!$A:$B,2,0)</f>
        <v>CEILÂNDIA</v>
      </c>
      <c r="E7453">
        <v>86</v>
      </c>
      <c r="F7453" t="s">
        <v>3403</v>
      </c>
      <c r="G7453" t="s">
        <v>3402</v>
      </c>
      <c r="H7453" t="s">
        <v>3401</v>
      </c>
      <c r="I7453">
        <v>5102</v>
      </c>
      <c r="J7453" s="3">
        <v>60</v>
      </c>
      <c r="K7453" s="3">
        <v>30.82</v>
      </c>
      <c r="L7453">
        <v>48.63</v>
      </c>
    </row>
    <row r="7454" spans="1:12">
      <c r="A7454" s="1">
        <v>46051</v>
      </c>
      <c r="B7454" t="s">
        <v>3599</v>
      </c>
      <c r="C7454">
        <v>13</v>
      </c>
      <c r="D7454" t="str">
        <f>VLOOKUP(Tabela26[[#This Row],[EMP]],[1]LOJA!$A:$B,2,0)</f>
        <v>CEILÂNDIA</v>
      </c>
      <c r="E7454">
        <v>33</v>
      </c>
      <c r="F7454" t="s">
        <v>3591</v>
      </c>
      <c r="G7454" t="s">
        <v>3590</v>
      </c>
      <c r="H7454" t="s">
        <v>3520</v>
      </c>
      <c r="I7454">
        <v>5405</v>
      </c>
      <c r="J7454" s="3">
        <v>125.9</v>
      </c>
      <c r="K7454" s="3">
        <v>64.260000000000005</v>
      </c>
      <c r="L7454">
        <v>48.96</v>
      </c>
    </row>
    <row r="7455" spans="1:12">
      <c r="A7455" s="1">
        <v>46051</v>
      </c>
      <c r="B7455" t="s">
        <v>3598</v>
      </c>
      <c r="C7455">
        <v>13</v>
      </c>
      <c r="D7455" t="str">
        <f>VLOOKUP(Tabela26[[#This Row],[EMP]],[1]LOJA!$A:$B,2,0)</f>
        <v>CEILÂNDIA</v>
      </c>
      <c r="E7455">
        <v>86</v>
      </c>
      <c r="F7455" t="s">
        <v>3597</v>
      </c>
      <c r="G7455" t="s">
        <v>3596</v>
      </c>
      <c r="H7455" t="s">
        <v>3408</v>
      </c>
      <c r="I7455">
        <v>5102</v>
      </c>
      <c r="J7455" s="3">
        <v>76</v>
      </c>
      <c r="K7455" s="3">
        <v>41.8</v>
      </c>
      <c r="L7455">
        <v>45</v>
      </c>
    </row>
    <row r="7456" spans="1:12">
      <c r="A7456" s="1">
        <v>46051</v>
      </c>
      <c r="B7456" t="s">
        <v>3595</v>
      </c>
      <c r="C7456">
        <v>13</v>
      </c>
      <c r="D7456" t="str">
        <f>VLOOKUP(Tabela26[[#This Row],[EMP]],[1]LOJA!$A:$B,2,0)</f>
        <v>CEILÂNDIA</v>
      </c>
      <c r="E7456">
        <v>86</v>
      </c>
      <c r="F7456" t="s">
        <v>3406</v>
      </c>
      <c r="G7456" t="s">
        <v>3405</v>
      </c>
      <c r="H7456" t="s">
        <v>3408</v>
      </c>
      <c r="I7456">
        <v>5405</v>
      </c>
      <c r="J7456" s="3">
        <v>60</v>
      </c>
      <c r="K7456" s="3">
        <v>32.869999999999997</v>
      </c>
      <c r="L7456">
        <v>45.22</v>
      </c>
    </row>
    <row r="7457" spans="1:12">
      <c r="A7457" s="1">
        <v>46051</v>
      </c>
      <c r="B7457" t="s">
        <v>3594</v>
      </c>
      <c r="C7457">
        <v>13</v>
      </c>
      <c r="D7457" t="str">
        <f>VLOOKUP(Tabela26[[#This Row],[EMP]],[1]LOJA!$A:$B,2,0)</f>
        <v>CEILÂNDIA</v>
      </c>
      <c r="E7457">
        <v>86</v>
      </c>
      <c r="F7457" t="s">
        <v>3593</v>
      </c>
      <c r="G7457" t="s">
        <v>3402</v>
      </c>
      <c r="H7457" t="s">
        <v>3408</v>
      </c>
      <c r="I7457">
        <v>5405</v>
      </c>
      <c r="J7457" s="3">
        <v>124</v>
      </c>
      <c r="K7457" s="3">
        <v>64</v>
      </c>
      <c r="L7457">
        <v>48.39</v>
      </c>
    </row>
    <row r="7458" spans="1:12">
      <c r="A7458" s="1">
        <v>46051</v>
      </c>
      <c r="B7458" t="s">
        <v>3592</v>
      </c>
      <c r="C7458">
        <v>13</v>
      </c>
      <c r="D7458" t="str">
        <f>VLOOKUP(Tabela26[[#This Row],[EMP]],[1]LOJA!$A:$B,2,0)</f>
        <v>CEILÂNDIA</v>
      </c>
      <c r="E7458">
        <v>33</v>
      </c>
      <c r="F7458" t="s">
        <v>3591</v>
      </c>
      <c r="G7458" t="s">
        <v>3590</v>
      </c>
      <c r="H7458" t="s">
        <v>3520</v>
      </c>
      <c r="I7458">
        <v>5102</v>
      </c>
      <c r="J7458" s="3">
        <v>64.48</v>
      </c>
      <c r="K7458" s="3">
        <v>33.92</v>
      </c>
      <c r="L7458">
        <v>47.39</v>
      </c>
    </row>
    <row r="7459" spans="1:12">
      <c r="A7459" s="1">
        <v>46051</v>
      </c>
      <c r="B7459" t="s">
        <v>3589</v>
      </c>
      <c r="C7459">
        <v>13</v>
      </c>
      <c r="D7459" t="str">
        <f>VLOOKUP(Tabela26[[#This Row],[EMP]],[1]LOJA!$A:$B,2,0)</f>
        <v>CEILÂNDIA</v>
      </c>
      <c r="E7459">
        <v>86</v>
      </c>
      <c r="F7459" t="s">
        <v>3403</v>
      </c>
      <c r="G7459" t="s">
        <v>3402</v>
      </c>
      <c r="H7459" t="s">
        <v>3401</v>
      </c>
      <c r="I7459">
        <v>5102</v>
      </c>
      <c r="J7459" s="3">
        <v>30</v>
      </c>
      <c r="K7459" s="3">
        <v>16.170000000000002</v>
      </c>
      <c r="L7459">
        <v>46.1</v>
      </c>
    </row>
    <row r="7460" spans="1:12">
      <c r="A7460" s="1">
        <v>46051</v>
      </c>
      <c r="B7460" t="s">
        <v>3588</v>
      </c>
      <c r="C7460">
        <v>13</v>
      </c>
      <c r="D7460" t="str">
        <f>VLOOKUP(Tabela26[[#This Row],[EMP]],[1]LOJA!$A:$B,2,0)</f>
        <v>CEILÂNDIA</v>
      </c>
      <c r="E7460">
        <v>86</v>
      </c>
      <c r="F7460" t="s">
        <v>3587</v>
      </c>
      <c r="G7460" t="s">
        <v>3586</v>
      </c>
      <c r="H7460" t="s">
        <v>3408</v>
      </c>
      <c r="I7460">
        <v>5405</v>
      </c>
      <c r="J7460" s="3">
        <v>50</v>
      </c>
      <c r="K7460" s="3">
        <v>26.64</v>
      </c>
      <c r="L7460">
        <v>46.72</v>
      </c>
    </row>
    <row r="7461" spans="1:12">
      <c r="A7461" s="1">
        <v>46051</v>
      </c>
      <c r="B7461" t="s">
        <v>3585</v>
      </c>
      <c r="C7461">
        <v>13</v>
      </c>
      <c r="D7461" t="str">
        <f>VLOOKUP(Tabela26[[#This Row],[EMP]],[1]LOJA!$A:$B,2,0)</f>
        <v>CEILÂNDIA</v>
      </c>
      <c r="E7461">
        <v>86</v>
      </c>
      <c r="F7461" t="s">
        <v>3403</v>
      </c>
      <c r="G7461" t="s">
        <v>3402</v>
      </c>
      <c r="H7461" t="s">
        <v>3401</v>
      </c>
      <c r="I7461">
        <v>5405</v>
      </c>
      <c r="J7461" s="3">
        <v>40</v>
      </c>
      <c r="K7461" s="3">
        <v>18.43</v>
      </c>
      <c r="L7461">
        <v>53.93</v>
      </c>
    </row>
    <row r="7462" spans="1:12">
      <c r="A7462" s="1">
        <v>46051</v>
      </c>
      <c r="B7462" t="s">
        <v>3584</v>
      </c>
      <c r="C7462">
        <v>13</v>
      </c>
      <c r="D7462" t="str">
        <f>VLOOKUP(Tabela26[[#This Row],[EMP]],[1]LOJA!$A:$B,2,0)</f>
        <v>CEILÂNDIA</v>
      </c>
      <c r="E7462">
        <v>86</v>
      </c>
      <c r="F7462" t="s">
        <v>3403</v>
      </c>
      <c r="G7462" t="s">
        <v>3402</v>
      </c>
      <c r="H7462" t="s">
        <v>3401</v>
      </c>
      <c r="I7462">
        <v>5102</v>
      </c>
      <c r="J7462" s="3">
        <v>39.25</v>
      </c>
      <c r="K7462" s="3">
        <v>28.56</v>
      </c>
      <c r="L7462">
        <v>27.24</v>
      </c>
    </row>
    <row r="7463" spans="1:12">
      <c r="A7463" s="1">
        <v>46051</v>
      </c>
      <c r="B7463" t="s">
        <v>3583</v>
      </c>
      <c r="C7463">
        <v>13</v>
      </c>
      <c r="D7463" t="str">
        <f>VLOOKUP(Tabela26[[#This Row],[EMP]],[1]LOJA!$A:$B,2,0)</f>
        <v>CEILÂNDIA</v>
      </c>
      <c r="E7463">
        <v>86</v>
      </c>
      <c r="F7463" t="s">
        <v>3403</v>
      </c>
      <c r="G7463" t="s">
        <v>3402</v>
      </c>
      <c r="H7463" t="s">
        <v>3408</v>
      </c>
      <c r="I7463">
        <v>5405</v>
      </c>
      <c r="J7463" s="3">
        <v>45</v>
      </c>
      <c r="K7463" s="3">
        <v>22.39</v>
      </c>
      <c r="L7463">
        <v>50.24</v>
      </c>
    </row>
    <row r="7464" spans="1:12">
      <c r="A7464" s="1">
        <v>46051</v>
      </c>
      <c r="B7464" t="s">
        <v>3582</v>
      </c>
      <c r="C7464">
        <v>13</v>
      </c>
      <c r="D7464" t="str">
        <f>VLOOKUP(Tabela26[[#This Row],[EMP]],[1]LOJA!$A:$B,2,0)</f>
        <v>CEILÂNDIA</v>
      </c>
      <c r="E7464">
        <v>86</v>
      </c>
      <c r="F7464" t="s">
        <v>3403</v>
      </c>
      <c r="G7464" t="s">
        <v>3402</v>
      </c>
      <c r="H7464" t="s">
        <v>3401</v>
      </c>
      <c r="I7464">
        <v>5102</v>
      </c>
      <c r="J7464" s="3">
        <v>50</v>
      </c>
      <c r="K7464" s="3">
        <v>25.19</v>
      </c>
      <c r="L7464">
        <v>49.62</v>
      </c>
    </row>
    <row r="7465" spans="1:12">
      <c r="A7465" s="1">
        <v>46051</v>
      </c>
      <c r="B7465" t="s">
        <v>3581</v>
      </c>
      <c r="C7465">
        <v>6</v>
      </c>
      <c r="D7465" t="str">
        <f>VLOOKUP(Tabela26[[#This Row],[EMP]],[1]LOJA!$A:$B,2,0)</f>
        <v>GAMA</v>
      </c>
      <c r="E7465">
        <v>245</v>
      </c>
      <c r="F7465" t="s">
        <v>3580</v>
      </c>
      <c r="G7465" t="s">
        <v>3579</v>
      </c>
      <c r="H7465" t="s">
        <v>3401</v>
      </c>
      <c r="I7465">
        <v>5405</v>
      </c>
      <c r="J7465" s="3">
        <v>65</v>
      </c>
      <c r="K7465" s="3">
        <v>32.869999999999997</v>
      </c>
      <c r="L7465">
        <v>49.43</v>
      </c>
    </row>
    <row r="7466" spans="1:12">
      <c r="A7466" s="1">
        <v>46051</v>
      </c>
      <c r="B7466" t="s">
        <v>3578</v>
      </c>
      <c r="C7466">
        <v>6</v>
      </c>
      <c r="D7466" t="str">
        <f>VLOOKUP(Tabela26[[#This Row],[EMP]],[1]LOJA!$A:$B,2,0)</f>
        <v>GAMA</v>
      </c>
      <c r="E7466">
        <v>245</v>
      </c>
      <c r="F7466" t="s">
        <v>3568</v>
      </c>
      <c r="G7466" t="s">
        <v>3567</v>
      </c>
      <c r="H7466" t="s">
        <v>3520</v>
      </c>
      <c r="I7466">
        <v>5405</v>
      </c>
      <c r="J7466" s="3">
        <v>444.57</v>
      </c>
      <c r="K7466" s="3">
        <v>264.76</v>
      </c>
      <c r="L7466">
        <v>40.450000000000003</v>
      </c>
    </row>
    <row r="7467" spans="1:12">
      <c r="A7467" s="1">
        <v>46051</v>
      </c>
      <c r="B7467" t="s">
        <v>3577</v>
      </c>
      <c r="C7467">
        <v>6</v>
      </c>
      <c r="D7467" t="str">
        <f>VLOOKUP(Tabela26[[#This Row],[EMP]],[1]LOJA!$A:$B,2,0)</f>
        <v>GAMA</v>
      </c>
      <c r="E7467">
        <v>245</v>
      </c>
      <c r="F7467" t="s">
        <v>3576</v>
      </c>
      <c r="G7467" t="s">
        <v>3402</v>
      </c>
      <c r="H7467" t="s">
        <v>3401</v>
      </c>
      <c r="I7467">
        <v>5405</v>
      </c>
      <c r="J7467" s="3">
        <v>45</v>
      </c>
      <c r="K7467" s="3">
        <v>22.87</v>
      </c>
      <c r="L7467">
        <v>49.18</v>
      </c>
    </row>
    <row r="7468" spans="1:12">
      <c r="A7468" s="1">
        <v>46051</v>
      </c>
      <c r="B7468" t="s">
        <v>3575</v>
      </c>
      <c r="C7468">
        <v>6</v>
      </c>
      <c r="D7468" t="str">
        <f>VLOOKUP(Tabela26[[#This Row],[EMP]],[1]LOJA!$A:$B,2,0)</f>
        <v>GAMA</v>
      </c>
      <c r="E7468">
        <v>226</v>
      </c>
      <c r="F7468" t="s">
        <v>3403</v>
      </c>
      <c r="G7468" t="s">
        <v>3402</v>
      </c>
      <c r="H7468" t="s">
        <v>3401</v>
      </c>
      <c r="I7468">
        <v>5405</v>
      </c>
      <c r="J7468" s="3">
        <v>33</v>
      </c>
      <c r="K7468" s="3">
        <v>14.75</v>
      </c>
      <c r="L7468">
        <v>55.3</v>
      </c>
    </row>
    <row r="7469" spans="1:12">
      <c r="A7469" s="1">
        <v>46051</v>
      </c>
      <c r="B7469" t="s">
        <v>3574</v>
      </c>
      <c r="C7469">
        <v>6</v>
      </c>
      <c r="D7469" t="str">
        <f>VLOOKUP(Tabela26[[#This Row],[EMP]],[1]LOJA!$A:$B,2,0)</f>
        <v>GAMA</v>
      </c>
      <c r="E7469">
        <v>226</v>
      </c>
      <c r="F7469" t="s">
        <v>3403</v>
      </c>
      <c r="G7469" t="s">
        <v>3402</v>
      </c>
      <c r="H7469" t="s">
        <v>3401</v>
      </c>
      <c r="I7469">
        <v>5102</v>
      </c>
      <c r="J7469" s="3">
        <v>100</v>
      </c>
      <c r="K7469" s="3">
        <v>65.22</v>
      </c>
      <c r="L7469">
        <v>34.78</v>
      </c>
    </row>
    <row r="7470" spans="1:12">
      <c r="A7470" s="1">
        <v>46051</v>
      </c>
      <c r="B7470" t="s">
        <v>3573</v>
      </c>
      <c r="C7470">
        <v>6</v>
      </c>
      <c r="D7470" t="str">
        <f>VLOOKUP(Tabela26[[#This Row],[EMP]],[1]LOJA!$A:$B,2,0)</f>
        <v>GAMA</v>
      </c>
      <c r="E7470">
        <v>226</v>
      </c>
      <c r="F7470" t="s">
        <v>3572</v>
      </c>
      <c r="G7470" t="s">
        <v>3402</v>
      </c>
      <c r="H7470" t="s">
        <v>3401</v>
      </c>
      <c r="I7470">
        <v>5405</v>
      </c>
      <c r="J7470" s="3">
        <v>293</v>
      </c>
      <c r="K7470" s="3">
        <v>144.30000000000001</v>
      </c>
      <c r="L7470">
        <v>50.75</v>
      </c>
    </row>
    <row r="7471" spans="1:12">
      <c r="A7471" s="1">
        <v>46051</v>
      </c>
      <c r="B7471" t="s">
        <v>3571</v>
      </c>
      <c r="C7471">
        <v>6</v>
      </c>
      <c r="D7471" t="str">
        <f>VLOOKUP(Tabela26[[#This Row],[EMP]],[1]LOJA!$A:$B,2,0)</f>
        <v>GAMA</v>
      </c>
      <c r="E7471">
        <v>226</v>
      </c>
      <c r="F7471" t="s">
        <v>3570</v>
      </c>
      <c r="G7471" t="s">
        <v>3402</v>
      </c>
      <c r="H7471" t="s">
        <v>3401</v>
      </c>
      <c r="I7471">
        <v>5405</v>
      </c>
      <c r="J7471" s="3">
        <v>80</v>
      </c>
      <c r="K7471" s="3">
        <v>38.14</v>
      </c>
      <c r="L7471">
        <v>52.33</v>
      </c>
    </row>
    <row r="7472" spans="1:12">
      <c r="A7472" s="1">
        <v>46051</v>
      </c>
      <c r="B7472" t="s">
        <v>3569</v>
      </c>
      <c r="C7472">
        <v>6</v>
      </c>
      <c r="D7472" t="str">
        <f>VLOOKUP(Tabela26[[#This Row],[EMP]],[1]LOJA!$A:$B,2,0)</f>
        <v>GAMA</v>
      </c>
      <c r="E7472">
        <v>245</v>
      </c>
      <c r="F7472" t="s">
        <v>3568</v>
      </c>
      <c r="G7472" t="s">
        <v>3567</v>
      </c>
      <c r="H7472" t="s">
        <v>3520</v>
      </c>
      <c r="I7472">
        <v>5405</v>
      </c>
      <c r="J7472" s="3">
        <v>506.91</v>
      </c>
      <c r="K7472" s="3">
        <v>267.39</v>
      </c>
      <c r="L7472">
        <v>47.25</v>
      </c>
    </row>
    <row r="7473" spans="1:12">
      <c r="A7473" s="1">
        <v>46051</v>
      </c>
      <c r="B7473" t="s">
        <v>3566</v>
      </c>
      <c r="C7473">
        <v>6</v>
      </c>
      <c r="D7473" t="str">
        <f>VLOOKUP(Tabela26[[#This Row],[EMP]],[1]LOJA!$A:$B,2,0)</f>
        <v>GAMA</v>
      </c>
      <c r="E7473">
        <v>245</v>
      </c>
      <c r="F7473" t="s">
        <v>3565</v>
      </c>
      <c r="G7473" t="s">
        <v>3564</v>
      </c>
      <c r="H7473" t="s">
        <v>3401</v>
      </c>
      <c r="I7473">
        <v>5405</v>
      </c>
      <c r="J7473" s="3">
        <v>124</v>
      </c>
      <c r="K7473" s="3">
        <v>63.22</v>
      </c>
      <c r="L7473">
        <v>49.02</v>
      </c>
    </row>
    <row r="7474" spans="1:12">
      <c r="A7474" s="1">
        <v>46051</v>
      </c>
      <c r="B7474" t="s">
        <v>3563</v>
      </c>
      <c r="C7474">
        <v>4</v>
      </c>
      <c r="D7474" t="str">
        <f>VLOOKUP(Tabela26[[#This Row],[EMP]],[1]LOJA!$A:$B,2,0)</f>
        <v>ADE</v>
      </c>
      <c r="E7474">
        <v>132</v>
      </c>
      <c r="F7474" t="s">
        <v>3562</v>
      </c>
      <c r="G7474" t="s">
        <v>3561</v>
      </c>
      <c r="H7474" t="s">
        <v>3408</v>
      </c>
      <c r="I7474">
        <v>5102</v>
      </c>
      <c r="J7474" s="3">
        <v>30</v>
      </c>
      <c r="K7474" s="3">
        <v>18</v>
      </c>
      <c r="L7474">
        <v>40</v>
      </c>
    </row>
    <row r="7475" spans="1:12">
      <c r="A7475" s="1">
        <v>46051</v>
      </c>
      <c r="B7475" t="s">
        <v>3560</v>
      </c>
      <c r="C7475">
        <v>6</v>
      </c>
      <c r="D7475" t="str">
        <f>VLOOKUP(Tabela26[[#This Row],[EMP]],[1]LOJA!$A:$B,2,0)</f>
        <v>GAMA</v>
      </c>
      <c r="E7475">
        <v>245</v>
      </c>
      <c r="F7475" t="s">
        <v>3559</v>
      </c>
      <c r="G7475" t="s">
        <v>3558</v>
      </c>
      <c r="H7475" t="s">
        <v>3557</v>
      </c>
      <c r="I7475">
        <v>5405</v>
      </c>
      <c r="J7475" s="3">
        <v>77</v>
      </c>
      <c r="K7475" s="3">
        <v>36.92</v>
      </c>
      <c r="L7475">
        <v>52.05</v>
      </c>
    </row>
    <row r="7476" spans="1:12">
      <c r="A7476" s="1">
        <v>46051</v>
      </c>
      <c r="B7476" t="s">
        <v>3556</v>
      </c>
      <c r="C7476">
        <v>6</v>
      </c>
      <c r="D7476" t="str">
        <f>VLOOKUP(Tabela26[[#This Row],[EMP]],[1]LOJA!$A:$B,2,0)</f>
        <v>GAMA</v>
      </c>
      <c r="E7476">
        <v>245</v>
      </c>
      <c r="F7476" t="s">
        <v>3555</v>
      </c>
      <c r="G7476" t="s">
        <v>3554</v>
      </c>
      <c r="H7476" t="s">
        <v>3430</v>
      </c>
      <c r="I7476">
        <v>6403</v>
      </c>
      <c r="J7476" s="3">
        <v>337.71</v>
      </c>
      <c r="K7476" s="3">
        <v>171.1</v>
      </c>
      <c r="L7476">
        <v>49.34</v>
      </c>
    </row>
    <row r="7477" spans="1:12">
      <c r="A7477" s="1">
        <v>46052</v>
      </c>
      <c r="B7477" t="s">
        <v>3553</v>
      </c>
      <c r="C7477">
        <v>24</v>
      </c>
      <c r="D7477" t="str">
        <f>VLOOKUP(Tabela26[[#This Row],[EMP]],[1]LOJA!$A:$B,2,0)</f>
        <v>LUZIÂNIA</v>
      </c>
      <c r="E7477">
        <v>242</v>
      </c>
      <c r="F7477" t="s">
        <v>3552</v>
      </c>
      <c r="G7477" t="s">
        <v>3551</v>
      </c>
      <c r="H7477" t="s">
        <v>3401</v>
      </c>
      <c r="I7477">
        <v>2411</v>
      </c>
      <c r="J7477" s="3">
        <v>-411.42</v>
      </c>
      <c r="K7477" s="3">
        <v>-233.76</v>
      </c>
      <c r="L7477">
        <v>43.18</v>
      </c>
    </row>
    <row r="7478" spans="1:12">
      <c r="A7478" s="1">
        <v>46052</v>
      </c>
      <c r="B7478" t="s">
        <v>3550</v>
      </c>
      <c r="C7478">
        <v>24</v>
      </c>
      <c r="D7478" t="str">
        <f>VLOOKUP(Tabela26[[#This Row],[EMP]],[1]LOJA!$A:$B,2,0)</f>
        <v>LUZIÂNIA</v>
      </c>
      <c r="E7478">
        <v>192</v>
      </c>
      <c r="F7478" t="s">
        <v>3549</v>
      </c>
      <c r="G7478" t="s">
        <v>3548</v>
      </c>
      <c r="H7478" t="s">
        <v>3547</v>
      </c>
      <c r="I7478">
        <v>5405</v>
      </c>
      <c r="J7478" s="3">
        <v>335.4</v>
      </c>
      <c r="K7478" s="3">
        <v>183.06</v>
      </c>
      <c r="L7478">
        <v>45.42</v>
      </c>
    </row>
    <row r="7479" spans="1:12">
      <c r="A7479" s="1">
        <v>46052</v>
      </c>
      <c r="B7479" t="s">
        <v>3546</v>
      </c>
      <c r="C7479">
        <v>24</v>
      </c>
      <c r="D7479" t="str">
        <f>VLOOKUP(Tabela26[[#This Row],[EMP]],[1]LOJA!$A:$B,2,0)</f>
        <v>LUZIÂNIA</v>
      </c>
      <c r="E7479">
        <v>192</v>
      </c>
      <c r="F7479" t="s">
        <v>3545</v>
      </c>
      <c r="G7479" t="s">
        <v>3544</v>
      </c>
      <c r="H7479" t="s">
        <v>3430</v>
      </c>
      <c r="I7479">
        <v>5405</v>
      </c>
      <c r="J7479" s="3">
        <v>774.3</v>
      </c>
      <c r="K7479" s="3">
        <v>370.02</v>
      </c>
      <c r="L7479">
        <v>52.21</v>
      </c>
    </row>
    <row r="7480" spans="1:12">
      <c r="A7480" s="1">
        <v>46052</v>
      </c>
      <c r="B7480" t="s">
        <v>3543</v>
      </c>
      <c r="C7480">
        <v>22</v>
      </c>
      <c r="D7480" t="str">
        <f>VLOOKUP(Tabela26[[#This Row],[EMP]],[1]LOJA!$A:$B,2,0)</f>
        <v>GUARÁ</v>
      </c>
      <c r="E7480">
        <v>93</v>
      </c>
      <c r="F7480" t="s">
        <v>3542</v>
      </c>
      <c r="G7480" t="s">
        <v>3541</v>
      </c>
      <c r="H7480" t="s">
        <v>3430</v>
      </c>
      <c r="I7480">
        <v>5102</v>
      </c>
      <c r="J7480" s="3">
        <v>137.69999999999999</v>
      </c>
      <c r="K7480" s="3">
        <v>77.099999999999994</v>
      </c>
      <c r="L7480">
        <v>44.01</v>
      </c>
    </row>
    <row r="7481" spans="1:12">
      <c r="A7481" s="1">
        <v>46052</v>
      </c>
      <c r="B7481" t="s">
        <v>3540</v>
      </c>
      <c r="C7481">
        <v>22</v>
      </c>
      <c r="D7481" t="str">
        <f>VLOOKUP(Tabela26[[#This Row],[EMP]],[1]LOJA!$A:$B,2,0)</f>
        <v>GUARÁ</v>
      </c>
      <c r="E7481">
        <v>93</v>
      </c>
      <c r="F7481" t="s">
        <v>3539</v>
      </c>
      <c r="G7481" t="s">
        <v>3538</v>
      </c>
      <c r="H7481" t="s">
        <v>3537</v>
      </c>
      <c r="I7481">
        <v>5102</v>
      </c>
      <c r="J7481" s="3">
        <v>302.26</v>
      </c>
      <c r="K7481" s="3">
        <v>161.6</v>
      </c>
      <c r="L7481">
        <v>46.54</v>
      </c>
    </row>
    <row r="7482" spans="1:12">
      <c r="A7482" s="1">
        <v>46052</v>
      </c>
      <c r="B7482" t="s">
        <v>3536</v>
      </c>
      <c r="C7482">
        <v>22</v>
      </c>
      <c r="D7482" t="str">
        <f>VLOOKUP(Tabela26[[#This Row],[EMP]],[1]LOJA!$A:$B,2,0)</f>
        <v>GUARÁ</v>
      </c>
      <c r="E7482">
        <v>93</v>
      </c>
      <c r="F7482" t="s">
        <v>3535</v>
      </c>
      <c r="G7482" t="s">
        <v>3534</v>
      </c>
      <c r="H7482" t="s">
        <v>3533</v>
      </c>
      <c r="I7482">
        <v>5102</v>
      </c>
      <c r="J7482" s="3">
        <v>248.75</v>
      </c>
      <c r="K7482" s="3">
        <v>159.44999999999999</v>
      </c>
      <c r="L7482">
        <v>35.9</v>
      </c>
    </row>
    <row r="7483" spans="1:12">
      <c r="A7483" s="1">
        <v>46052</v>
      </c>
      <c r="B7483" t="s">
        <v>3532</v>
      </c>
      <c r="C7483">
        <v>24</v>
      </c>
      <c r="D7483" t="str">
        <f>VLOOKUP(Tabela26[[#This Row],[EMP]],[1]LOJA!$A:$B,2,0)</f>
        <v>LUZIÂNIA</v>
      </c>
      <c r="E7483">
        <v>242</v>
      </c>
      <c r="F7483" t="s">
        <v>3524</v>
      </c>
      <c r="G7483" t="s">
        <v>3402</v>
      </c>
      <c r="H7483" t="s">
        <v>3401</v>
      </c>
      <c r="I7483">
        <v>5102</v>
      </c>
      <c r="J7483" s="3">
        <v>27</v>
      </c>
      <c r="K7483" s="3">
        <v>11.88</v>
      </c>
      <c r="L7483">
        <v>56</v>
      </c>
    </row>
    <row r="7484" spans="1:12">
      <c r="A7484" s="1">
        <v>46052</v>
      </c>
      <c r="B7484" t="s">
        <v>3531</v>
      </c>
      <c r="C7484">
        <v>24</v>
      </c>
      <c r="D7484" t="str">
        <f>VLOOKUP(Tabela26[[#This Row],[EMP]],[1]LOJA!$A:$B,2,0)</f>
        <v>LUZIÂNIA</v>
      </c>
      <c r="E7484">
        <v>242</v>
      </c>
      <c r="F7484" t="s">
        <v>3530</v>
      </c>
      <c r="G7484" t="s">
        <v>3402</v>
      </c>
      <c r="H7484" t="s">
        <v>3401</v>
      </c>
      <c r="I7484">
        <v>5405</v>
      </c>
      <c r="J7484" s="3">
        <v>250</v>
      </c>
      <c r="K7484" s="3">
        <v>104.32</v>
      </c>
      <c r="L7484">
        <v>58.27</v>
      </c>
    </row>
    <row r="7485" spans="1:12">
      <c r="A7485" s="1">
        <v>46052</v>
      </c>
      <c r="B7485" t="s">
        <v>3529</v>
      </c>
      <c r="C7485">
        <v>24</v>
      </c>
      <c r="D7485" t="str">
        <f>VLOOKUP(Tabela26[[#This Row],[EMP]],[1]LOJA!$A:$B,2,0)</f>
        <v>LUZIÂNIA</v>
      </c>
      <c r="E7485">
        <v>150</v>
      </c>
      <c r="F7485" t="s">
        <v>3524</v>
      </c>
      <c r="G7485" t="s">
        <v>3402</v>
      </c>
      <c r="H7485" t="s">
        <v>3401</v>
      </c>
      <c r="I7485">
        <v>5405</v>
      </c>
      <c r="J7485" s="3">
        <v>65</v>
      </c>
      <c r="K7485" s="3">
        <v>26.71</v>
      </c>
      <c r="L7485">
        <v>58.91</v>
      </c>
    </row>
    <row r="7486" spans="1:12">
      <c r="A7486" s="1">
        <v>46052</v>
      </c>
      <c r="B7486" t="s">
        <v>3528</v>
      </c>
      <c r="C7486">
        <v>24</v>
      </c>
      <c r="D7486" t="str">
        <f>VLOOKUP(Tabela26[[#This Row],[EMP]],[1]LOJA!$A:$B,2,0)</f>
        <v>LUZIÂNIA</v>
      </c>
      <c r="E7486">
        <v>192</v>
      </c>
      <c r="F7486" t="s">
        <v>3527</v>
      </c>
      <c r="G7486" t="s">
        <v>3526</v>
      </c>
      <c r="H7486" t="s">
        <v>3401</v>
      </c>
      <c r="I7486">
        <v>5102</v>
      </c>
      <c r="J7486" s="3">
        <v>94</v>
      </c>
      <c r="K7486" s="3">
        <v>50.69</v>
      </c>
      <c r="L7486">
        <v>46.07</v>
      </c>
    </row>
    <row r="7487" spans="1:12">
      <c r="A7487" s="1">
        <v>46052</v>
      </c>
      <c r="B7487" t="s">
        <v>3525</v>
      </c>
      <c r="C7487">
        <v>24</v>
      </c>
      <c r="D7487" t="str">
        <f>VLOOKUP(Tabela26[[#This Row],[EMP]],[1]LOJA!$A:$B,2,0)</f>
        <v>LUZIÂNIA</v>
      </c>
      <c r="E7487">
        <v>192</v>
      </c>
      <c r="F7487" t="s">
        <v>3524</v>
      </c>
      <c r="G7487" t="s">
        <v>3402</v>
      </c>
      <c r="H7487" t="s">
        <v>3401</v>
      </c>
      <c r="I7487">
        <v>5102</v>
      </c>
      <c r="J7487" s="3">
        <v>124</v>
      </c>
      <c r="K7487" s="3">
        <v>77.790000000000006</v>
      </c>
      <c r="L7487">
        <v>37.270000000000003</v>
      </c>
    </row>
    <row r="7488" spans="1:12">
      <c r="A7488" s="1">
        <v>46052</v>
      </c>
      <c r="B7488" t="s">
        <v>3523</v>
      </c>
      <c r="C7488">
        <v>12</v>
      </c>
      <c r="D7488" t="str">
        <f>VLOOKUP(Tabela26[[#This Row],[EMP]],[1]LOJA!$A:$B,2,0)</f>
        <v>SOFNORTE</v>
      </c>
      <c r="E7488">
        <v>60</v>
      </c>
      <c r="F7488" t="s">
        <v>3522</v>
      </c>
      <c r="G7488" t="s">
        <v>3521</v>
      </c>
      <c r="H7488" t="s">
        <v>3520</v>
      </c>
      <c r="I7488">
        <v>5405</v>
      </c>
      <c r="J7488" s="3">
        <v>71</v>
      </c>
      <c r="K7488" s="3">
        <v>32.880000000000003</v>
      </c>
      <c r="L7488">
        <v>53.69</v>
      </c>
    </row>
    <row r="7489" spans="1:12">
      <c r="A7489" s="1">
        <v>46052</v>
      </c>
      <c r="B7489" t="s">
        <v>3519</v>
      </c>
      <c r="C7489">
        <v>12</v>
      </c>
      <c r="D7489" t="str">
        <f>VLOOKUP(Tabela26[[#This Row],[EMP]],[1]LOJA!$A:$B,2,0)</f>
        <v>SOFNORTE</v>
      </c>
      <c r="E7489">
        <v>60</v>
      </c>
      <c r="F7489" t="s">
        <v>3518</v>
      </c>
      <c r="G7489" t="s">
        <v>3517</v>
      </c>
      <c r="H7489" t="s">
        <v>3430</v>
      </c>
      <c r="I7489">
        <v>5102</v>
      </c>
      <c r="J7489" s="3">
        <v>59</v>
      </c>
      <c r="K7489" s="3">
        <v>32.090000000000003</v>
      </c>
      <c r="L7489">
        <v>45.61</v>
      </c>
    </row>
    <row r="7490" spans="1:12">
      <c r="A7490" s="1">
        <v>46052</v>
      </c>
      <c r="B7490" t="s">
        <v>3516</v>
      </c>
      <c r="C7490">
        <v>22</v>
      </c>
      <c r="D7490" t="str">
        <f>VLOOKUP(Tabela26[[#This Row],[EMP]],[1]LOJA!$A:$B,2,0)</f>
        <v>GUARÁ</v>
      </c>
      <c r="E7490">
        <v>93</v>
      </c>
      <c r="F7490" t="s">
        <v>3514</v>
      </c>
      <c r="G7490" t="s">
        <v>3513</v>
      </c>
      <c r="H7490" t="s">
        <v>3430</v>
      </c>
      <c r="I7490">
        <v>5102</v>
      </c>
      <c r="J7490" s="3">
        <v>202.6</v>
      </c>
      <c r="K7490" s="3">
        <v>116.05</v>
      </c>
      <c r="L7490">
        <v>42.72</v>
      </c>
    </row>
    <row r="7491" spans="1:12">
      <c r="A7491" s="1">
        <v>46052</v>
      </c>
      <c r="B7491" t="s">
        <v>3515</v>
      </c>
      <c r="C7491">
        <v>22</v>
      </c>
      <c r="D7491" t="str">
        <f>VLOOKUP(Tabela26[[#This Row],[EMP]],[1]LOJA!$A:$B,2,0)</f>
        <v>GUARÁ</v>
      </c>
      <c r="E7491">
        <v>93</v>
      </c>
      <c r="F7491" t="s">
        <v>3514</v>
      </c>
      <c r="G7491" t="s">
        <v>3513</v>
      </c>
      <c r="H7491" t="s">
        <v>3430</v>
      </c>
      <c r="I7491">
        <v>5405</v>
      </c>
      <c r="J7491" s="3">
        <v>233.4</v>
      </c>
      <c r="K7491" s="3">
        <v>138.66</v>
      </c>
      <c r="L7491">
        <v>40.590000000000003</v>
      </c>
    </row>
    <row r="7492" spans="1:12">
      <c r="A7492" s="1">
        <v>46052</v>
      </c>
      <c r="B7492" t="s">
        <v>3512</v>
      </c>
      <c r="C7492">
        <v>22</v>
      </c>
      <c r="D7492" t="str">
        <f>VLOOKUP(Tabela26[[#This Row],[EMP]],[1]LOJA!$A:$B,2,0)</f>
        <v>GUARÁ</v>
      </c>
      <c r="E7492">
        <v>93</v>
      </c>
      <c r="F7492" t="s">
        <v>3511</v>
      </c>
      <c r="G7492" t="s">
        <v>3510</v>
      </c>
      <c r="H7492" t="s">
        <v>3430</v>
      </c>
      <c r="I7492">
        <v>5405</v>
      </c>
      <c r="J7492" s="3">
        <v>94.55</v>
      </c>
      <c r="K7492" s="3">
        <v>59.8</v>
      </c>
      <c r="L7492">
        <v>36.75</v>
      </c>
    </row>
    <row r="7493" spans="1:12">
      <c r="A7493" s="1">
        <v>46052</v>
      </c>
      <c r="B7493" t="s">
        <v>3509</v>
      </c>
      <c r="C7493">
        <v>22</v>
      </c>
      <c r="D7493" t="str">
        <f>VLOOKUP(Tabela26[[#This Row],[EMP]],[1]LOJA!$A:$B,2,0)</f>
        <v>GUARÁ</v>
      </c>
      <c r="E7493">
        <v>93</v>
      </c>
      <c r="F7493" t="s">
        <v>3508</v>
      </c>
      <c r="G7493" t="s">
        <v>3507</v>
      </c>
      <c r="H7493" t="s">
        <v>3430</v>
      </c>
      <c r="I7493">
        <v>5405</v>
      </c>
      <c r="J7493" s="3">
        <v>1476.38</v>
      </c>
      <c r="K7493" s="3">
        <v>927.46</v>
      </c>
      <c r="L7493">
        <v>37.18</v>
      </c>
    </row>
    <row r="7494" spans="1:12">
      <c r="A7494" s="1">
        <v>46052</v>
      </c>
      <c r="B7494" t="s">
        <v>3506</v>
      </c>
      <c r="C7494">
        <v>13</v>
      </c>
      <c r="D7494" t="str">
        <f>VLOOKUP(Tabela26[[#This Row],[EMP]],[1]LOJA!$A:$B,2,0)</f>
        <v>CEILÂNDIA</v>
      </c>
      <c r="E7494">
        <v>33</v>
      </c>
      <c r="F7494" t="s">
        <v>3505</v>
      </c>
      <c r="G7494" t="s">
        <v>3504</v>
      </c>
      <c r="H7494" t="s">
        <v>3430</v>
      </c>
      <c r="I7494">
        <v>5405</v>
      </c>
      <c r="J7494" s="3">
        <v>260.60000000000002</v>
      </c>
      <c r="K7494" s="3">
        <v>140.69</v>
      </c>
      <c r="L7494">
        <v>46.01</v>
      </c>
    </row>
    <row r="7495" spans="1:12">
      <c r="A7495" s="1">
        <v>46052</v>
      </c>
      <c r="B7495" t="s">
        <v>3503</v>
      </c>
      <c r="C7495">
        <v>13</v>
      </c>
      <c r="D7495" t="str">
        <f>VLOOKUP(Tabela26[[#This Row],[EMP]],[1]LOJA!$A:$B,2,0)</f>
        <v>CEILÂNDIA</v>
      </c>
      <c r="E7495">
        <v>86</v>
      </c>
      <c r="F7495" t="s">
        <v>3501</v>
      </c>
      <c r="G7495" t="s">
        <v>3500</v>
      </c>
      <c r="H7495" t="s">
        <v>3430</v>
      </c>
      <c r="I7495">
        <v>5102</v>
      </c>
      <c r="J7495" s="3">
        <v>60</v>
      </c>
      <c r="K7495" s="3">
        <v>27.38</v>
      </c>
      <c r="L7495">
        <v>54.37</v>
      </c>
    </row>
    <row r="7496" spans="1:12">
      <c r="A7496" s="1">
        <v>46052</v>
      </c>
      <c r="B7496" t="s">
        <v>3502</v>
      </c>
      <c r="C7496">
        <v>13</v>
      </c>
      <c r="D7496" t="str">
        <f>VLOOKUP(Tabela26[[#This Row],[EMP]],[1]LOJA!$A:$B,2,0)</f>
        <v>CEILÂNDIA</v>
      </c>
      <c r="E7496">
        <v>86</v>
      </c>
      <c r="F7496" t="s">
        <v>3501</v>
      </c>
      <c r="G7496" t="s">
        <v>3500</v>
      </c>
      <c r="H7496" t="s">
        <v>3430</v>
      </c>
      <c r="I7496">
        <v>5102</v>
      </c>
      <c r="J7496" s="3">
        <v>8</v>
      </c>
      <c r="K7496" s="3">
        <v>4.4800000000000004</v>
      </c>
      <c r="L7496">
        <v>44</v>
      </c>
    </row>
    <row r="7497" spans="1:12">
      <c r="A7497" s="1">
        <v>46052</v>
      </c>
      <c r="B7497" t="s">
        <v>3499</v>
      </c>
      <c r="C7497">
        <v>15</v>
      </c>
      <c r="D7497" t="str">
        <f>VLOOKUP(Tabela26[[#This Row],[EMP]],[1]LOJA!$A:$B,2,0)</f>
        <v>UNAÍ</v>
      </c>
      <c r="E7497">
        <v>183</v>
      </c>
      <c r="F7497" t="s">
        <v>3485</v>
      </c>
      <c r="G7497" t="s">
        <v>3402</v>
      </c>
      <c r="H7497" t="s">
        <v>3401</v>
      </c>
      <c r="I7497">
        <v>5102</v>
      </c>
      <c r="J7497" s="3">
        <v>148.19999999999999</v>
      </c>
      <c r="K7497" s="3">
        <v>83.74</v>
      </c>
      <c r="L7497">
        <v>43.5</v>
      </c>
    </row>
    <row r="7498" spans="1:12">
      <c r="A7498" s="1">
        <v>46052</v>
      </c>
      <c r="B7498" t="s">
        <v>3498</v>
      </c>
      <c r="C7498">
        <v>15</v>
      </c>
      <c r="D7498" t="str">
        <f>VLOOKUP(Tabela26[[#This Row],[EMP]],[1]LOJA!$A:$B,2,0)</f>
        <v>UNAÍ</v>
      </c>
      <c r="E7498">
        <v>183</v>
      </c>
      <c r="F7498" t="s">
        <v>3497</v>
      </c>
      <c r="G7498" t="s">
        <v>3496</v>
      </c>
      <c r="H7498" t="s">
        <v>3397</v>
      </c>
      <c r="I7498">
        <v>5102</v>
      </c>
      <c r="J7498" s="3">
        <v>130.05000000000001</v>
      </c>
      <c r="K7498" s="3">
        <v>76.14</v>
      </c>
      <c r="L7498">
        <v>41.45</v>
      </c>
    </row>
    <row r="7499" spans="1:12">
      <c r="A7499" s="1">
        <v>46052</v>
      </c>
      <c r="B7499" t="s">
        <v>3495</v>
      </c>
      <c r="C7499">
        <v>15</v>
      </c>
      <c r="D7499" t="str">
        <f>VLOOKUP(Tabela26[[#This Row],[EMP]],[1]LOJA!$A:$B,2,0)</f>
        <v>UNAÍ</v>
      </c>
      <c r="E7499">
        <v>183</v>
      </c>
      <c r="F7499" t="s">
        <v>3494</v>
      </c>
      <c r="G7499" t="s">
        <v>3493</v>
      </c>
      <c r="H7499" t="s">
        <v>3401</v>
      </c>
      <c r="I7499">
        <v>5102</v>
      </c>
      <c r="J7499" s="3">
        <v>176</v>
      </c>
      <c r="K7499" s="3">
        <v>85.92</v>
      </c>
      <c r="L7499">
        <v>51.18</v>
      </c>
    </row>
    <row r="7500" spans="1:12">
      <c r="A7500" s="1">
        <v>46052</v>
      </c>
      <c r="B7500" t="s">
        <v>3492</v>
      </c>
      <c r="C7500">
        <v>15</v>
      </c>
      <c r="D7500" t="str">
        <f>VLOOKUP(Tabela26[[#This Row],[EMP]],[1]LOJA!$A:$B,2,0)</f>
        <v>UNAÍ</v>
      </c>
      <c r="E7500">
        <v>183</v>
      </c>
      <c r="F7500" t="s">
        <v>3491</v>
      </c>
      <c r="G7500" t="s">
        <v>3490</v>
      </c>
      <c r="H7500" t="s">
        <v>3430</v>
      </c>
      <c r="I7500">
        <v>5102</v>
      </c>
      <c r="J7500" s="3">
        <v>2106.6</v>
      </c>
      <c r="K7500" s="3">
        <v>1271.8399999999999</v>
      </c>
      <c r="L7500">
        <v>39.630000000000003</v>
      </c>
    </row>
    <row r="7501" spans="1:12">
      <c r="A7501" s="1">
        <v>46052</v>
      </c>
      <c r="B7501" t="s">
        <v>3489</v>
      </c>
      <c r="C7501">
        <v>15</v>
      </c>
      <c r="D7501" t="str">
        <f>VLOOKUP(Tabela26[[#This Row],[EMP]],[1]LOJA!$A:$B,2,0)</f>
        <v>UNAÍ</v>
      </c>
      <c r="E7501">
        <v>183</v>
      </c>
      <c r="F7501" t="s">
        <v>3488</v>
      </c>
      <c r="G7501" t="s">
        <v>3487</v>
      </c>
      <c r="H7501" t="s">
        <v>3430</v>
      </c>
      <c r="I7501">
        <v>5102</v>
      </c>
      <c r="J7501" s="3">
        <v>93.7</v>
      </c>
      <c r="K7501" s="3">
        <v>58.06</v>
      </c>
      <c r="L7501">
        <v>38.04</v>
      </c>
    </row>
    <row r="7502" spans="1:12">
      <c r="A7502" s="1">
        <v>46052</v>
      </c>
      <c r="B7502" t="s">
        <v>3486</v>
      </c>
      <c r="C7502">
        <v>15</v>
      </c>
      <c r="D7502" t="str">
        <f>VLOOKUP(Tabela26[[#This Row],[EMP]],[1]LOJA!$A:$B,2,0)</f>
        <v>UNAÍ</v>
      </c>
      <c r="E7502">
        <v>183</v>
      </c>
      <c r="F7502" t="s">
        <v>3485</v>
      </c>
      <c r="G7502" t="s">
        <v>3402</v>
      </c>
      <c r="H7502" t="s">
        <v>3401</v>
      </c>
      <c r="I7502">
        <v>5102</v>
      </c>
      <c r="J7502" s="3">
        <v>12.72</v>
      </c>
      <c r="K7502" s="3">
        <v>7.47</v>
      </c>
      <c r="L7502">
        <v>41.27</v>
      </c>
    </row>
    <row r="7503" spans="1:12">
      <c r="A7503" s="1">
        <v>46052</v>
      </c>
      <c r="B7503" t="s">
        <v>3484</v>
      </c>
      <c r="C7503">
        <v>6</v>
      </c>
      <c r="D7503" t="str">
        <f>VLOOKUP(Tabela26[[#This Row],[EMP]],[1]LOJA!$A:$B,2,0)</f>
        <v>GAMA</v>
      </c>
      <c r="E7503">
        <v>245</v>
      </c>
      <c r="F7503" t="s">
        <v>3483</v>
      </c>
      <c r="G7503" t="s">
        <v>3482</v>
      </c>
      <c r="H7503" t="s">
        <v>3430</v>
      </c>
      <c r="I7503">
        <v>5405</v>
      </c>
      <c r="J7503" s="3">
        <v>815</v>
      </c>
      <c r="K7503" s="3">
        <v>559.74</v>
      </c>
      <c r="L7503">
        <v>31.32</v>
      </c>
    </row>
    <row r="7504" spans="1:12">
      <c r="A7504" s="1">
        <v>46052</v>
      </c>
      <c r="B7504" t="s">
        <v>3481</v>
      </c>
      <c r="C7504">
        <v>14</v>
      </c>
      <c r="D7504" t="str">
        <f>VLOOKUP(Tabela26[[#This Row],[EMP]],[1]LOJA!$A:$B,2,0)</f>
        <v>S IA</v>
      </c>
      <c r="E7504">
        <v>212</v>
      </c>
      <c r="F7504" t="s">
        <v>3403</v>
      </c>
      <c r="G7504" t="s">
        <v>3402</v>
      </c>
      <c r="H7504" t="s">
        <v>3401</v>
      </c>
      <c r="I7504">
        <v>5405</v>
      </c>
      <c r="J7504" s="3">
        <v>80</v>
      </c>
      <c r="K7504" s="3">
        <v>36.51</v>
      </c>
      <c r="L7504">
        <v>54.36</v>
      </c>
    </row>
    <row r="7505" spans="1:12">
      <c r="A7505" s="1">
        <v>46052</v>
      </c>
      <c r="B7505" t="s">
        <v>3480</v>
      </c>
      <c r="C7505">
        <v>14</v>
      </c>
      <c r="D7505" t="str">
        <f>VLOOKUP(Tabela26[[#This Row],[EMP]],[1]LOJA!$A:$B,2,0)</f>
        <v>S IA</v>
      </c>
      <c r="E7505">
        <v>212</v>
      </c>
      <c r="F7505" t="s">
        <v>3403</v>
      </c>
      <c r="G7505" t="s">
        <v>3402</v>
      </c>
      <c r="H7505" t="s">
        <v>3401</v>
      </c>
      <c r="I7505">
        <v>5102</v>
      </c>
      <c r="J7505" s="3">
        <v>64.3</v>
      </c>
      <c r="K7505" s="3">
        <v>30.9</v>
      </c>
      <c r="L7505">
        <v>51.94</v>
      </c>
    </row>
    <row r="7506" spans="1:12">
      <c r="A7506" s="1">
        <v>46052</v>
      </c>
      <c r="B7506" t="s">
        <v>3479</v>
      </c>
      <c r="C7506">
        <v>14</v>
      </c>
      <c r="D7506" t="str">
        <f>VLOOKUP(Tabela26[[#This Row],[EMP]],[1]LOJA!$A:$B,2,0)</f>
        <v>S IA</v>
      </c>
      <c r="E7506">
        <v>212</v>
      </c>
      <c r="F7506" t="s">
        <v>3478</v>
      </c>
      <c r="G7506" t="s">
        <v>3477</v>
      </c>
      <c r="H7506" t="s">
        <v>3401</v>
      </c>
      <c r="I7506">
        <v>5102</v>
      </c>
      <c r="J7506" s="3">
        <v>60</v>
      </c>
      <c r="K7506" s="3">
        <v>30.9</v>
      </c>
      <c r="L7506">
        <v>48.5</v>
      </c>
    </row>
    <row r="7507" spans="1:12">
      <c r="A7507" s="1">
        <v>46052</v>
      </c>
      <c r="B7507" t="s">
        <v>3476</v>
      </c>
      <c r="C7507">
        <v>14</v>
      </c>
      <c r="D7507" t="str">
        <f>VLOOKUP(Tabela26[[#This Row],[EMP]],[1]LOJA!$A:$B,2,0)</f>
        <v>S IA</v>
      </c>
      <c r="E7507">
        <v>212</v>
      </c>
      <c r="F7507" t="s">
        <v>3403</v>
      </c>
      <c r="G7507" t="s">
        <v>3402</v>
      </c>
      <c r="H7507" t="s">
        <v>3401</v>
      </c>
      <c r="I7507">
        <v>5102</v>
      </c>
      <c r="J7507" s="3">
        <v>110.8</v>
      </c>
      <c r="K7507" s="3">
        <v>58.47</v>
      </c>
      <c r="L7507">
        <v>47.23</v>
      </c>
    </row>
    <row r="7508" spans="1:12">
      <c r="A7508" s="1">
        <v>46052</v>
      </c>
      <c r="B7508" t="s">
        <v>3475</v>
      </c>
      <c r="C7508">
        <v>14</v>
      </c>
      <c r="D7508" t="str">
        <f>VLOOKUP(Tabela26[[#This Row],[EMP]],[1]LOJA!$A:$B,2,0)</f>
        <v>S IA</v>
      </c>
      <c r="E7508">
        <v>54</v>
      </c>
      <c r="F7508" t="s">
        <v>3474</v>
      </c>
      <c r="G7508" t="s">
        <v>3402</v>
      </c>
      <c r="H7508" t="s">
        <v>3401</v>
      </c>
      <c r="I7508">
        <v>5405</v>
      </c>
      <c r="J7508" s="3">
        <v>99</v>
      </c>
      <c r="K7508" s="3">
        <v>46.59</v>
      </c>
      <c r="L7508">
        <v>52.94</v>
      </c>
    </row>
    <row r="7509" spans="1:12">
      <c r="A7509" s="1">
        <v>46052</v>
      </c>
      <c r="B7509" t="s">
        <v>3473</v>
      </c>
      <c r="C7509">
        <v>14</v>
      </c>
      <c r="D7509" t="str">
        <f>VLOOKUP(Tabela26[[#This Row],[EMP]],[1]LOJA!$A:$B,2,0)</f>
        <v>S IA</v>
      </c>
      <c r="E7509">
        <v>54</v>
      </c>
      <c r="F7509" t="s">
        <v>3472</v>
      </c>
      <c r="G7509" t="s">
        <v>3471</v>
      </c>
      <c r="H7509" t="s">
        <v>3401</v>
      </c>
      <c r="I7509">
        <v>5405</v>
      </c>
      <c r="J7509" s="3">
        <v>133</v>
      </c>
      <c r="K7509" s="3">
        <v>73.91</v>
      </c>
      <c r="L7509">
        <v>44.43</v>
      </c>
    </row>
    <row r="7510" spans="1:12">
      <c r="A7510" s="1">
        <v>46052</v>
      </c>
      <c r="B7510" t="s">
        <v>3470</v>
      </c>
      <c r="C7510">
        <v>14</v>
      </c>
      <c r="D7510" t="str">
        <f>VLOOKUP(Tabela26[[#This Row],[EMP]],[1]LOJA!$A:$B,2,0)</f>
        <v>S IA</v>
      </c>
      <c r="E7510">
        <v>54</v>
      </c>
      <c r="F7510" t="s">
        <v>3403</v>
      </c>
      <c r="G7510" t="s">
        <v>3402</v>
      </c>
      <c r="H7510" t="s">
        <v>3401</v>
      </c>
      <c r="I7510">
        <v>5102</v>
      </c>
      <c r="J7510" s="3">
        <v>8</v>
      </c>
      <c r="K7510" s="3">
        <v>4.38</v>
      </c>
      <c r="L7510">
        <v>45.25</v>
      </c>
    </row>
    <row r="7511" spans="1:12">
      <c r="A7511" s="1">
        <v>46052</v>
      </c>
      <c r="B7511" t="s">
        <v>3469</v>
      </c>
      <c r="C7511">
        <v>14</v>
      </c>
      <c r="D7511" t="str">
        <f>VLOOKUP(Tabela26[[#This Row],[EMP]],[1]LOJA!$A:$B,2,0)</f>
        <v>S IA</v>
      </c>
      <c r="E7511">
        <v>54</v>
      </c>
      <c r="F7511" t="s">
        <v>3403</v>
      </c>
      <c r="G7511" t="s">
        <v>3402</v>
      </c>
      <c r="H7511" t="s">
        <v>3401</v>
      </c>
      <c r="I7511">
        <v>5102</v>
      </c>
      <c r="J7511" s="3">
        <v>14.5</v>
      </c>
      <c r="K7511" s="3">
        <v>6.75</v>
      </c>
      <c r="L7511">
        <v>53.45</v>
      </c>
    </row>
    <row r="7512" spans="1:12">
      <c r="A7512" s="1">
        <v>46052</v>
      </c>
      <c r="B7512" t="s">
        <v>3468</v>
      </c>
      <c r="C7512">
        <v>15</v>
      </c>
      <c r="D7512" t="str">
        <f>VLOOKUP(Tabela26[[#This Row],[EMP]],[1]LOJA!$A:$B,2,0)</f>
        <v>UNAÍ</v>
      </c>
      <c r="E7512">
        <v>183</v>
      </c>
      <c r="F7512" t="s">
        <v>3467</v>
      </c>
      <c r="G7512" t="s">
        <v>3466</v>
      </c>
      <c r="H7512" t="s">
        <v>3401</v>
      </c>
      <c r="I7512">
        <v>5102</v>
      </c>
      <c r="J7512" s="3">
        <v>8.67</v>
      </c>
      <c r="K7512" s="3">
        <v>4.01</v>
      </c>
      <c r="L7512">
        <v>53.75</v>
      </c>
    </row>
    <row r="7513" spans="1:12">
      <c r="A7513" s="1">
        <v>46052</v>
      </c>
      <c r="B7513" t="s">
        <v>3465</v>
      </c>
      <c r="C7513">
        <v>15</v>
      </c>
      <c r="D7513" t="str">
        <f>VLOOKUP(Tabela26[[#This Row],[EMP]],[1]LOJA!$A:$B,2,0)</f>
        <v>UNAÍ</v>
      </c>
      <c r="E7513">
        <v>183</v>
      </c>
      <c r="F7513" t="s">
        <v>3464</v>
      </c>
      <c r="G7513" t="s">
        <v>3463</v>
      </c>
      <c r="H7513" t="s">
        <v>3401</v>
      </c>
      <c r="I7513">
        <v>5102</v>
      </c>
      <c r="J7513" s="3">
        <v>20</v>
      </c>
      <c r="K7513" s="3">
        <v>9.75</v>
      </c>
      <c r="L7513">
        <v>51.25</v>
      </c>
    </row>
    <row r="7514" spans="1:12">
      <c r="A7514" s="1">
        <v>46052</v>
      </c>
      <c r="B7514" t="s">
        <v>3462</v>
      </c>
      <c r="C7514">
        <v>12</v>
      </c>
      <c r="D7514" t="str">
        <f>VLOOKUP(Tabela26[[#This Row],[EMP]],[1]LOJA!$A:$B,2,0)</f>
        <v>SOFNORTE</v>
      </c>
      <c r="E7514">
        <v>60</v>
      </c>
      <c r="F7514" t="s">
        <v>3461</v>
      </c>
      <c r="G7514" t="s">
        <v>3460</v>
      </c>
      <c r="H7514" t="s">
        <v>3430</v>
      </c>
      <c r="I7514">
        <v>5405</v>
      </c>
      <c r="J7514" s="3">
        <v>52.84</v>
      </c>
      <c r="K7514" s="3">
        <v>25.47</v>
      </c>
      <c r="L7514">
        <v>51.8</v>
      </c>
    </row>
    <row r="7515" spans="1:12">
      <c r="A7515" s="1">
        <v>46052</v>
      </c>
      <c r="B7515" t="s">
        <v>3459</v>
      </c>
      <c r="C7515">
        <v>12</v>
      </c>
      <c r="D7515" t="str">
        <f>VLOOKUP(Tabela26[[#This Row],[EMP]],[1]LOJA!$A:$B,2,0)</f>
        <v>SOFNORTE</v>
      </c>
      <c r="E7515">
        <v>60</v>
      </c>
      <c r="F7515" t="s">
        <v>3458</v>
      </c>
      <c r="G7515" t="s">
        <v>3457</v>
      </c>
      <c r="H7515" t="s">
        <v>3430</v>
      </c>
      <c r="I7515">
        <v>5405</v>
      </c>
      <c r="J7515" s="3">
        <v>343</v>
      </c>
      <c r="K7515" s="3">
        <v>144.79</v>
      </c>
      <c r="L7515">
        <v>57.79</v>
      </c>
    </row>
    <row r="7516" spans="1:12">
      <c r="A7516" s="1">
        <v>46052</v>
      </c>
      <c r="B7516" t="s">
        <v>3456</v>
      </c>
      <c r="C7516">
        <v>12</v>
      </c>
      <c r="D7516" t="str">
        <f>VLOOKUP(Tabela26[[#This Row],[EMP]],[1]LOJA!$A:$B,2,0)</f>
        <v>SOFNORTE</v>
      </c>
      <c r="E7516">
        <v>60</v>
      </c>
      <c r="F7516" t="s">
        <v>3455</v>
      </c>
      <c r="G7516" t="s">
        <v>3454</v>
      </c>
      <c r="H7516" t="s">
        <v>3408</v>
      </c>
      <c r="I7516">
        <v>5405</v>
      </c>
      <c r="J7516" s="3">
        <v>240</v>
      </c>
      <c r="K7516" s="3">
        <v>119.85</v>
      </c>
      <c r="L7516">
        <v>50.06</v>
      </c>
    </row>
    <row r="7517" spans="1:12">
      <c r="A7517" s="1">
        <v>46052</v>
      </c>
      <c r="B7517" t="s">
        <v>3453</v>
      </c>
      <c r="C7517">
        <v>22</v>
      </c>
      <c r="D7517" t="str">
        <f>VLOOKUP(Tabela26[[#This Row],[EMP]],[1]LOJA!$A:$B,2,0)</f>
        <v>GUARÁ</v>
      </c>
      <c r="E7517">
        <v>16</v>
      </c>
      <c r="F7517" t="s">
        <v>3452</v>
      </c>
      <c r="G7517" t="s">
        <v>3451</v>
      </c>
      <c r="H7517" t="s">
        <v>3408</v>
      </c>
      <c r="I7517">
        <v>5405</v>
      </c>
      <c r="J7517" s="3">
        <v>49</v>
      </c>
      <c r="K7517" s="3">
        <v>25.09</v>
      </c>
      <c r="L7517">
        <v>48.8</v>
      </c>
    </row>
    <row r="7518" spans="1:12">
      <c r="A7518" s="1">
        <v>46052</v>
      </c>
      <c r="B7518" t="s">
        <v>3450</v>
      </c>
      <c r="C7518">
        <v>22</v>
      </c>
      <c r="D7518" t="str">
        <f>VLOOKUP(Tabela26[[#This Row],[EMP]],[1]LOJA!$A:$B,2,0)</f>
        <v>GUARÁ</v>
      </c>
      <c r="E7518">
        <v>93</v>
      </c>
      <c r="F7518" t="s">
        <v>3449</v>
      </c>
      <c r="G7518" t="s">
        <v>3448</v>
      </c>
      <c r="H7518" t="s">
        <v>3408</v>
      </c>
      <c r="I7518">
        <v>5102</v>
      </c>
      <c r="J7518" s="3">
        <v>44</v>
      </c>
      <c r="K7518" s="3">
        <v>25.02</v>
      </c>
      <c r="L7518">
        <v>43.14</v>
      </c>
    </row>
    <row r="7519" spans="1:12">
      <c r="A7519" s="1">
        <v>46052</v>
      </c>
      <c r="B7519" t="s">
        <v>3447</v>
      </c>
      <c r="C7519">
        <v>4</v>
      </c>
      <c r="D7519" t="str">
        <f>VLOOKUP(Tabela26[[#This Row],[EMP]],[1]LOJA!$A:$B,2,0)</f>
        <v>ADE</v>
      </c>
      <c r="E7519">
        <v>132</v>
      </c>
      <c r="F7519" t="s">
        <v>3446</v>
      </c>
      <c r="G7519" t="s">
        <v>3402</v>
      </c>
      <c r="H7519" t="s">
        <v>3408</v>
      </c>
      <c r="I7519">
        <v>5405</v>
      </c>
      <c r="J7519" s="3">
        <v>550</v>
      </c>
      <c r="K7519" s="3">
        <v>287.04000000000002</v>
      </c>
      <c r="L7519">
        <v>47.81</v>
      </c>
    </row>
    <row r="7520" spans="1:12">
      <c r="A7520" s="1">
        <v>46052</v>
      </c>
      <c r="B7520" t="s">
        <v>3445</v>
      </c>
      <c r="C7520">
        <v>4</v>
      </c>
      <c r="D7520" t="str">
        <f>VLOOKUP(Tabela26[[#This Row],[EMP]],[1]LOJA!$A:$B,2,0)</f>
        <v>ADE</v>
      </c>
      <c r="E7520">
        <v>132</v>
      </c>
      <c r="F7520" t="s">
        <v>3444</v>
      </c>
      <c r="G7520" t="s">
        <v>3402</v>
      </c>
      <c r="H7520" t="s">
        <v>3408</v>
      </c>
      <c r="I7520">
        <v>5405</v>
      </c>
      <c r="J7520" s="3">
        <v>118</v>
      </c>
      <c r="K7520" s="3">
        <v>57.85</v>
      </c>
      <c r="L7520">
        <v>50.97</v>
      </c>
    </row>
    <row r="7521" spans="1:12">
      <c r="A7521" s="1">
        <v>46052</v>
      </c>
      <c r="B7521" t="s">
        <v>3443</v>
      </c>
      <c r="C7521">
        <v>16</v>
      </c>
      <c r="D7521" t="str">
        <f>VLOOKUP(Tabela26[[#This Row],[EMP]],[1]LOJA!$A:$B,2,0)</f>
        <v>AG LINDAS</v>
      </c>
      <c r="E7521">
        <v>240</v>
      </c>
      <c r="F7521" t="s">
        <v>3442</v>
      </c>
      <c r="G7521" t="s">
        <v>3437</v>
      </c>
      <c r="H7521" t="s">
        <v>3401</v>
      </c>
      <c r="I7521">
        <v>5405</v>
      </c>
      <c r="J7521" s="3">
        <v>103.9</v>
      </c>
      <c r="K7521" s="3">
        <v>56.94</v>
      </c>
      <c r="L7521">
        <v>45.2</v>
      </c>
    </row>
    <row r="7522" spans="1:12">
      <c r="A7522" s="1">
        <v>46052</v>
      </c>
      <c r="B7522" t="s">
        <v>3441</v>
      </c>
      <c r="C7522">
        <v>16</v>
      </c>
      <c r="D7522" t="str">
        <f>VLOOKUP(Tabela26[[#This Row],[EMP]],[1]LOJA!$A:$B,2,0)</f>
        <v>AG LINDAS</v>
      </c>
      <c r="E7522">
        <v>240</v>
      </c>
      <c r="F7522" t="s">
        <v>3440</v>
      </c>
      <c r="G7522" t="s">
        <v>3437</v>
      </c>
      <c r="H7522" t="s">
        <v>3408</v>
      </c>
      <c r="I7522">
        <v>5405</v>
      </c>
      <c r="J7522" s="3">
        <v>1019</v>
      </c>
      <c r="K7522" s="3">
        <v>567.30999999999995</v>
      </c>
      <c r="L7522">
        <v>44.33</v>
      </c>
    </row>
    <row r="7523" spans="1:12">
      <c r="A7523" s="1">
        <v>46052</v>
      </c>
      <c r="B7523" t="s">
        <v>3439</v>
      </c>
      <c r="C7523">
        <v>16</v>
      </c>
      <c r="D7523" t="str">
        <f>VLOOKUP(Tabela26[[#This Row],[EMP]],[1]LOJA!$A:$B,2,0)</f>
        <v>AG LINDAS</v>
      </c>
      <c r="E7523">
        <v>240</v>
      </c>
      <c r="F7523" t="s">
        <v>3438</v>
      </c>
      <c r="G7523" t="s">
        <v>3437</v>
      </c>
      <c r="H7523" t="s">
        <v>3401</v>
      </c>
      <c r="I7523">
        <v>5405</v>
      </c>
      <c r="J7523" s="3">
        <v>30</v>
      </c>
      <c r="K7523" s="3">
        <v>12.45</v>
      </c>
      <c r="L7523">
        <v>58.5</v>
      </c>
    </row>
    <row r="7524" spans="1:12">
      <c r="A7524" s="1">
        <v>46052</v>
      </c>
      <c r="B7524" t="s">
        <v>3436</v>
      </c>
      <c r="C7524">
        <v>14</v>
      </c>
      <c r="D7524" t="str">
        <f>VLOOKUP(Tabela26[[#This Row],[EMP]],[1]LOJA!$A:$B,2,0)</f>
        <v>S IA</v>
      </c>
      <c r="E7524">
        <v>54</v>
      </c>
      <c r="F7524" t="s">
        <v>3435</v>
      </c>
      <c r="G7524" t="s">
        <v>3434</v>
      </c>
      <c r="H7524" t="s">
        <v>3408</v>
      </c>
      <c r="I7524">
        <v>5102</v>
      </c>
      <c r="J7524" s="3">
        <v>70</v>
      </c>
      <c r="K7524" s="3">
        <v>37.619999999999997</v>
      </c>
      <c r="L7524">
        <v>46.26</v>
      </c>
    </row>
    <row r="7525" spans="1:12">
      <c r="A7525" s="1">
        <v>46052</v>
      </c>
      <c r="B7525" t="s">
        <v>3433</v>
      </c>
      <c r="C7525">
        <v>14</v>
      </c>
      <c r="D7525" t="str">
        <f>VLOOKUP(Tabela26[[#This Row],[EMP]],[1]LOJA!$A:$B,2,0)</f>
        <v>S IA</v>
      </c>
      <c r="E7525">
        <v>212</v>
      </c>
      <c r="F7525" t="s">
        <v>3432</v>
      </c>
      <c r="G7525" t="s">
        <v>3431</v>
      </c>
      <c r="H7525" t="s">
        <v>3430</v>
      </c>
      <c r="I7525">
        <v>5102</v>
      </c>
      <c r="J7525" s="3">
        <v>108.02</v>
      </c>
      <c r="K7525" s="3">
        <v>40.39</v>
      </c>
      <c r="L7525">
        <v>62.61</v>
      </c>
    </row>
    <row r="7526" spans="1:12">
      <c r="A7526" s="1">
        <v>46052</v>
      </c>
      <c r="B7526" t="s">
        <v>3429</v>
      </c>
      <c r="C7526">
        <v>12</v>
      </c>
      <c r="D7526" t="str">
        <f>VLOOKUP(Tabela26[[#This Row],[EMP]],[1]LOJA!$A:$B,2,0)</f>
        <v>SOFNORTE</v>
      </c>
      <c r="E7526">
        <v>60</v>
      </c>
      <c r="F7526" t="s">
        <v>3428</v>
      </c>
      <c r="G7526" t="s">
        <v>3427</v>
      </c>
      <c r="H7526" t="s">
        <v>3426</v>
      </c>
      <c r="I7526">
        <v>5405</v>
      </c>
      <c r="J7526" s="3">
        <v>105</v>
      </c>
      <c r="K7526" s="3">
        <v>44.23</v>
      </c>
      <c r="L7526">
        <v>57.88</v>
      </c>
    </row>
    <row r="7527" spans="1:12">
      <c r="A7527" s="1">
        <v>46052</v>
      </c>
      <c r="B7527" t="s">
        <v>3425</v>
      </c>
      <c r="C7527">
        <v>12</v>
      </c>
      <c r="D7527" t="str">
        <f>VLOOKUP(Tabela26[[#This Row],[EMP]],[1]LOJA!$A:$B,2,0)</f>
        <v>SOFNORTE</v>
      </c>
      <c r="E7527">
        <v>60</v>
      </c>
      <c r="F7527" t="s">
        <v>3424</v>
      </c>
      <c r="G7527" t="s">
        <v>3423</v>
      </c>
      <c r="H7527" t="s">
        <v>3408</v>
      </c>
      <c r="I7527">
        <v>5102</v>
      </c>
      <c r="J7527" s="3">
        <v>128</v>
      </c>
      <c r="K7527" s="3">
        <v>69.45</v>
      </c>
      <c r="L7527">
        <v>45.74</v>
      </c>
    </row>
    <row r="7528" spans="1:12">
      <c r="A7528" s="1">
        <v>46052</v>
      </c>
      <c r="B7528" t="s">
        <v>3422</v>
      </c>
      <c r="C7528">
        <v>12</v>
      </c>
      <c r="D7528" t="str">
        <f>VLOOKUP(Tabela26[[#This Row],[EMP]],[1]LOJA!$A:$B,2,0)</f>
        <v>SOFNORTE</v>
      </c>
      <c r="E7528">
        <v>60</v>
      </c>
      <c r="F7528" t="s">
        <v>3421</v>
      </c>
      <c r="G7528" t="s">
        <v>3402</v>
      </c>
      <c r="H7528" t="s">
        <v>3401</v>
      </c>
      <c r="I7528">
        <v>5102</v>
      </c>
      <c r="J7528" s="3">
        <v>20</v>
      </c>
      <c r="K7528" s="3">
        <v>15.4</v>
      </c>
      <c r="L7528">
        <v>23</v>
      </c>
    </row>
    <row r="7529" spans="1:12">
      <c r="A7529" s="1">
        <v>46052</v>
      </c>
      <c r="B7529" t="s">
        <v>3420</v>
      </c>
      <c r="C7529">
        <v>14</v>
      </c>
      <c r="D7529" t="str">
        <f>VLOOKUP(Tabela26[[#This Row],[EMP]],[1]LOJA!$A:$B,2,0)</f>
        <v>S IA</v>
      </c>
      <c r="E7529">
        <v>212</v>
      </c>
      <c r="F7529" t="s">
        <v>3403</v>
      </c>
      <c r="G7529" t="s">
        <v>3419</v>
      </c>
      <c r="H7529" t="s">
        <v>3401</v>
      </c>
      <c r="I7529">
        <v>5405</v>
      </c>
      <c r="J7529" s="3">
        <v>36</v>
      </c>
      <c r="K7529" s="3">
        <v>16.739999999999998</v>
      </c>
      <c r="L7529">
        <v>53.5</v>
      </c>
    </row>
    <row r="7530" spans="1:12">
      <c r="A7530" s="1">
        <v>46052</v>
      </c>
      <c r="B7530" t="s">
        <v>3418</v>
      </c>
      <c r="C7530">
        <v>14</v>
      </c>
      <c r="D7530" t="str">
        <f>VLOOKUP(Tabela26[[#This Row],[EMP]],[1]LOJA!$A:$B,2,0)</f>
        <v>S IA</v>
      </c>
      <c r="E7530">
        <v>212</v>
      </c>
      <c r="F7530" t="s">
        <v>3403</v>
      </c>
      <c r="G7530" t="s">
        <v>3402</v>
      </c>
      <c r="H7530" t="s">
        <v>3401</v>
      </c>
      <c r="I7530">
        <v>5102</v>
      </c>
      <c r="J7530" s="3">
        <v>95.8</v>
      </c>
      <c r="K7530" s="3">
        <v>34.659999999999997</v>
      </c>
      <c r="L7530">
        <v>63.82</v>
      </c>
    </row>
    <row r="7531" spans="1:12">
      <c r="A7531" s="1">
        <v>46052</v>
      </c>
      <c r="B7531" t="s">
        <v>3417</v>
      </c>
      <c r="C7531">
        <v>13</v>
      </c>
      <c r="D7531" t="str">
        <f>VLOOKUP(Tabela26[[#This Row],[EMP]],[1]LOJA!$A:$B,2,0)</f>
        <v>CEILÂNDIA</v>
      </c>
      <c r="E7531">
        <v>86</v>
      </c>
      <c r="F7531" t="s">
        <v>3403</v>
      </c>
      <c r="G7531" t="s">
        <v>3402</v>
      </c>
      <c r="H7531" t="s">
        <v>3401</v>
      </c>
      <c r="I7531">
        <v>5405</v>
      </c>
      <c r="J7531" s="3">
        <v>45</v>
      </c>
      <c r="K7531" s="3">
        <v>19.670000000000002</v>
      </c>
      <c r="L7531">
        <v>56.29</v>
      </c>
    </row>
    <row r="7532" spans="1:12">
      <c r="A7532" s="1">
        <v>46052</v>
      </c>
      <c r="B7532" t="s">
        <v>3416</v>
      </c>
      <c r="C7532">
        <v>13</v>
      </c>
      <c r="D7532" t="str">
        <f>VLOOKUP(Tabela26[[#This Row],[EMP]],[1]LOJA!$A:$B,2,0)</f>
        <v>CEILÂNDIA</v>
      </c>
      <c r="E7532">
        <v>86</v>
      </c>
      <c r="F7532" t="s">
        <v>3403</v>
      </c>
      <c r="G7532" t="s">
        <v>3402</v>
      </c>
      <c r="H7532" t="s">
        <v>3401</v>
      </c>
      <c r="I7532">
        <v>5405</v>
      </c>
      <c r="J7532" s="3">
        <v>50</v>
      </c>
      <c r="K7532" s="3">
        <v>24.68</v>
      </c>
      <c r="L7532">
        <v>50.64</v>
      </c>
    </row>
    <row r="7533" spans="1:12">
      <c r="A7533" s="1">
        <v>46052</v>
      </c>
      <c r="B7533" t="s">
        <v>3415</v>
      </c>
      <c r="C7533">
        <v>13</v>
      </c>
      <c r="D7533" t="str">
        <f>VLOOKUP(Tabela26[[#This Row],[EMP]],[1]LOJA!$A:$B,2,0)</f>
        <v>CEILÂNDIA</v>
      </c>
      <c r="E7533">
        <v>86</v>
      </c>
      <c r="F7533" t="s">
        <v>3414</v>
      </c>
      <c r="G7533" t="s">
        <v>3402</v>
      </c>
      <c r="H7533" t="s">
        <v>3408</v>
      </c>
      <c r="I7533">
        <v>5102</v>
      </c>
      <c r="J7533" s="3">
        <v>30</v>
      </c>
      <c r="K7533" s="3">
        <v>18.62</v>
      </c>
      <c r="L7533">
        <v>37.93</v>
      </c>
    </row>
    <row r="7534" spans="1:12">
      <c r="A7534" s="1">
        <v>46052</v>
      </c>
      <c r="B7534" t="s">
        <v>3413</v>
      </c>
      <c r="C7534">
        <v>13</v>
      </c>
      <c r="D7534" t="str">
        <f>VLOOKUP(Tabela26[[#This Row],[EMP]],[1]LOJA!$A:$B,2,0)</f>
        <v>CEILÂNDIA</v>
      </c>
      <c r="E7534">
        <v>86</v>
      </c>
      <c r="F7534" t="s">
        <v>3412</v>
      </c>
      <c r="G7534" t="s">
        <v>3402</v>
      </c>
      <c r="H7534" t="s">
        <v>3408</v>
      </c>
      <c r="I7534">
        <v>5102</v>
      </c>
      <c r="J7534" s="3">
        <v>32</v>
      </c>
      <c r="K7534" s="3">
        <v>16.46</v>
      </c>
      <c r="L7534">
        <v>48.56</v>
      </c>
    </row>
    <row r="7535" spans="1:12">
      <c r="A7535" s="1">
        <v>46052</v>
      </c>
      <c r="B7535" t="s">
        <v>3411</v>
      </c>
      <c r="C7535">
        <v>13</v>
      </c>
      <c r="D7535" t="str">
        <f>VLOOKUP(Tabela26[[#This Row],[EMP]],[1]LOJA!$A:$B,2,0)</f>
        <v>CEILÂNDIA</v>
      </c>
      <c r="E7535">
        <v>86</v>
      </c>
      <c r="F7535" t="s">
        <v>3403</v>
      </c>
      <c r="G7535" t="s">
        <v>3402</v>
      </c>
      <c r="H7535" t="s">
        <v>3401</v>
      </c>
      <c r="I7535">
        <v>5405</v>
      </c>
      <c r="J7535" s="3">
        <v>55</v>
      </c>
      <c r="K7535" s="3">
        <v>24.01</v>
      </c>
      <c r="L7535">
        <v>56.35</v>
      </c>
    </row>
    <row r="7536" spans="1:12">
      <c r="A7536" s="1">
        <v>46052</v>
      </c>
      <c r="B7536" t="s">
        <v>3410</v>
      </c>
      <c r="C7536">
        <v>13</v>
      </c>
      <c r="D7536" t="str">
        <f>VLOOKUP(Tabela26[[#This Row],[EMP]],[1]LOJA!$A:$B,2,0)</f>
        <v>CEILÂNDIA</v>
      </c>
      <c r="E7536">
        <v>86</v>
      </c>
      <c r="F7536" t="s">
        <v>3409</v>
      </c>
      <c r="G7536" t="s">
        <v>3402</v>
      </c>
      <c r="H7536" t="s">
        <v>3408</v>
      </c>
      <c r="I7536">
        <v>5102</v>
      </c>
      <c r="J7536" s="3">
        <v>30</v>
      </c>
      <c r="K7536" s="3">
        <v>18.62</v>
      </c>
      <c r="L7536">
        <v>37.93</v>
      </c>
    </row>
    <row r="7537" spans="1:12">
      <c r="A7537" s="1">
        <v>46052</v>
      </c>
      <c r="B7537" t="s">
        <v>3407</v>
      </c>
      <c r="C7537">
        <v>13</v>
      </c>
      <c r="D7537" t="str">
        <f>VLOOKUP(Tabela26[[#This Row],[EMP]],[1]LOJA!$A:$B,2,0)</f>
        <v>CEILÂNDIA</v>
      </c>
      <c r="E7537">
        <v>86</v>
      </c>
      <c r="F7537" t="s">
        <v>3406</v>
      </c>
      <c r="G7537" t="s">
        <v>3405</v>
      </c>
      <c r="H7537" t="s">
        <v>3401</v>
      </c>
      <c r="I7537">
        <v>5102</v>
      </c>
      <c r="J7537" s="3">
        <v>38.5</v>
      </c>
      <c r="K7537" s="3">
        <v>22.78</v>
      </c>
      <c r="L7537">
        <v>40.83</v>
      </c>
    </row>
    <row r="7538" spans="1:12">
      <c r="A7538" s="1">
        <v>46052</v>
      </c>
      <c r="B7538" t="s">
        <v>3404</v>
      </c>
      <c r="C7538">
        <v>6</v>
      </c>
      <c r="D7538" t="str">
        <f>VLOOKUP(Tabela26[[#This Row],[EMP]],[1]LOJA!$A:$B,2,0)</f>
        <v>GAMA</v>
      </c>
      <c r="E7538">
        <v>245</v>
      </c>
      <c r="F7538" t="s">
        <v>3403</v>
      </c>
      <c r="G7538" t="s">
        <v>3402</v>
      </c>
      <c r="H7538" t="s">
        <v>3401</v>
      </c>
      <c r="I7538">
        <v>5102</v>
      </c>
      <c r="J7538" s="3">
        <v>18</v>
      </c>
      <c r="K7538" s="3">
        <v>7.45</v>
      </c>
      <c r="L7538">
        <v>58.61</v>
      </c>
    </row>
    <row r="7539" spans="1:12">
      <c r="A7539" s="1">
        <v>46052</v>
      </c>
      <c r="B7539" t="s">
        <v>3400</v>
      </c>
      <c r="C7539">
        <v>6</v>
      </c>
      <c r="D7539" t="str">
        <f>VLOOKUP(Tabela26[[#This Row],[EMP]],[1]LOJA!$A:$B,2,0)</f>
        <v>GAMA</v>
      </c>
      <c r="E7539">
        <v>245</v>
      </c>
      <c r="F7539" t="s">
        <v>3399</v>
      </c>
      <c r="G7539" t="s">
        <v>3398</v>
      </c>
      <c r="H7539" t="s">
        <v>3397</v>
      </c>
      <c r="I7539">
        <v>5102</v>
      </c>
      <c r="J7539" s="3">
        <v>72</v>
      </c>
      <c r="K7539" s="3">
        <v>37.5</v>
      </c>
      <c r="L7539">
        <v>47.92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30BE0-C833-4878-A215-7C5F8B85AB89}">
  <sheetPr>
    <tabColor rgb="FF0070C0"/>
  </sheetPr>
  <dimension ref="A1:J14"/>
  <sheetViews>
    <sheetView workbookViewId="0">
      <selection activeCell="E22" sqref="E22"/>
    </sheetView>
  </sheetViews>
  <sheetFormatPr defaultRowHeight="14.4"/>
  <cols>
    <col min="1" max="1" width="11" bestFit="1" customWidth="1"/>
    <col min="2" max="10" width="12.88671875" bestFit="1" customWidth="1"/>
    <col min="11" max="11" width="9.33203125" bestFit="1" customWidth="1"/>
    <col min="12" max="12" width="9" bestFit="1" customWidth="1"/>
  </cols>
  <sheetData>
    <row r="1" spans="1:10">
      <c r="A1" s="4" t="s">
        <v>12830</v>
      </c>
      <c r="B1" s="7" t="s">
        <v>12821</v>
      </c>
      <c r="C1" s="7" t="s">
        <v>12822</v>
      </c>
      <c r="D1" s="7" t="s">
        <v>12823</v>
      </c>
      <c r="E1" s="7" t="s">
        <v>12824</v>
      </c>
      <c r="F1" s="7" t="s">
        <v>12825</v>
      </c>
      <c r="G1" s="7" t="s">
        <v>12826</v>
      </c>
      <c r="H1" s="7" t="s">
        <v>12827</v>
      </c>
      <c r="I1" s="7" t="s">
        <v>12828</v>
      </c>
      <c r="J1" s="7" t="s">
        <v>12829</v>
      </c>
    </row>
    <row r="2" spans="1:10">
      <c r="A2" s="9">
        <v>45992</v>
      </c>
      <c r="B2" s="8">
        <v>74602.349999999948</v>
      </c>
      <c r="C2" s="8">
        <v>46499.030000000028</v>
      </c>
      <c r="D2" s="8">
        <v>92216.919999999882</v>
      </c>
      <c r="E2" s="8">
        <v>59737.55000000001</v>
      </c>
      <c r="F2" s="8">
        <v>110903.33000000009</v>
      </c>
      <c r="G2" s="8">
        <v>167244.84000000005</v>
      </c>
      <c r="H2" s="8">
        <v>121543.02000000006</v>
      </c>
      <c r="I2" s="8">
        <v>72854.850000000035</v>
      </c>
      <c r="J2" s="8">
        <v>55039.079999999951</v>
      </c>
    </row>
    <row r="3" spans="1:10">
      <c r="A3" s="9">
        <v>46023</v>
      </c>
      <c r="B3" s="8">
        <v>111714.72999999997</v>
      </c>
      <c r="C3" s="8">
        <v>51861.180000000015</v>
      </c>
      <c r="D3" s="8">
        <v>142301.86000000004</v>
      </c>
      <c r="E3" s="8">
        <v>68029.449999999939</v>
      </c>
      <c r="F3" s="8">
        <v>133841.9499999999</v>
      </c>
      <c r="G3" s="8">
        <v>179948.47000000012</v>
      </c>
      <c r="H3" s="8">
        <v>126613.26000000005</v>
      </c>
      <c r="I3" s="8">
        <v>80762.279999999984</v>
      </c>
      <c r="J3" s="8">
        <v>83491.430000000051</v>
      </c>
    </row>
    <row r="4" spans="1:10">
      <c r="A4" s="9">
        <v>46054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</row>
    <row r="5" spans="1:10">
      <c r="A5" s="9">
        <v>46082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</row>
    <row r="6" spans="1:10">
      <c r="A6" s="9">
        <v>46113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</row>
    <row r="7" spans="1:10">
      <c r="A7" s="9">
        <v>46143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</row>
    <row r="8" spans="1:10">
      <c r="A8" s="9">
        <v>46174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</row>
    <row r="9" spans="1:10">
      <c r="A9" s="9">
        <v>46204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</row>
    <row r="10" spans="1:10">
      <c r="A10" s="9">
        <v>46235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</row>
    <row r="11" spans="1:10">
      <c r="A11" s="9">
        <v>46266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</row>
    <row r="12" spans="1:10">
      <c r="A12" s="9">
        <v>46296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</row>
    <row r="13" spans="1:10">
      <c r="A13" s="9">
        <v>46327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</row>
    <row r="14" spans="1:10">
      <c r="A14" s="9">
        <v>46357</v>
      </c>
      <c r="B14" s="5"/>
      <c r="C14" s="5"/>
      <c r="D14" s="5"/>
      <c r="E14" s="5"/>
      <c r="F14" s="5"/>
      <c r="G14" s="5"/>
      <c r="H14" s="5"/>
      <c r="I14" s="5"/>
      <c r="J14" s="5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F176D-3CA5-4408-83CF-58D24ACC55B2}">
  <sheetPr>
    <tabColor rgb="FF0070C0"/>
  </sheetPr>
  <dimension ref="A1:J14"/>
  <sheetViews>
    <sheetView workbookViewId="0">
      <selection activeCell="E19" sqref="E19"/>
    </sheetView>
  </sheetViews>
  <sheetFormatPr defaultRowHeight="14.4"/>
  <cols>
    <col min="1" max="1" width="10.6640625" customWidth="1"/>
    <col min="2" max="2" width="12.5546875" customWidth="1"/>
    <col min="3" max="3" width="12.88671875" customWidth="1"/>
    <col min="4" max="8" width="10.5546875" bestFit="1" customWidth="1"/>
    <col min="9" max="9" width="10.88671875" customWidth="1"/>
    <col min="10" max="10" width="11.33203125" customWidth="1"/>
    <col min="11" max="11" width="8.5546875" bestFit="1" customWidth="1"/>
    <col min="12" max="12" width="9" bestFit="1" customWidth="1"/>
    <col min="13" max="13" width="9.33203125" bestFit="1" customWidth="1"/>
    <col min="14" max="14" width="9" bestFit="1" customWidth="1"/>
  </cols>
  <sheetData>
    <row r="1" spans="1:10">
      <c r="A1" s="4" t="s">
        <v>12830</v>
      </c>
      <c r="B1" s="7" t="s">
        <v>12821</v>
      </c>
      <c r="C1" s="7" t="s">
        <v>12822</v>
      </c>
      <c r="D1" s="7" t="s">
        <v>12823</v>
      </c>
      <c r="E1" s="7" t="s">
        <v>12824</v>
      </c>
      <c r="F1" s="7" t="s">
        <v>12825</v>
      </c>
      <c r="G1" s="7" t="s">
        <v>12826</v>
      </c>
      <c r="H1" s="7" t="s">
        <v>12827</v>
      </c>
      <c r="I1" s="7" t="s">
        <v>12828</v>
      </c>
      <c r="J1" s="7" t="s">
        <v>12829</v>
      </c>
    </row>
    <row r="2" spans="1:10">
      <c r="A2" s="9">
        <v>45992</v>
      </c>
      <c r="B2" s="8">
        <v>2192.7699999999995</v>
      </c>
      <c r="C2" s="8">
        <v>10139.300000000001</v>
      </c>
      <c r="D2" s="8">
        <v>1995.6199999999997</v>
      </c>
      <c r="E2" s="8">
        <v>1944.3899999999999</v>
      </c>
      <c r="F2" s="8">
        <v>2679.98</v>
      </c>
      <c r="G2" s="8">
        <v>5060.1400000000003</v>
      </c>
      <c r="H2" s="8">
        <v>1826.7199999999998</v>
      </c>
      <c r="I2" s="8">
        <v>4358.9000000000024</v>
      </c>
      <c r="J2" s="8">
        <v>3620.639999999999</v>
      </c>
    </row>
    <row r="3" spans="1:10">
      <c r="A3" s="9">
        <v>46023</v>
      </c>
      <c r="B3" s="8">
        <v>8361.260000000002</v>
      </c>
      <c r="C3" s="8">
        <v>1470.8400000000001</v>
      </c>
      <c r="D3" s="8">
        <v>4462.5599999999995</v>
      </c>
      <c r="E3" s="8">
        <v>9993.1600000000017</v>
      </c>
      <c r="F3" s="8">
        <v>4117.5200000000004</v>
      </c>
      <c r="G3" s="8">
        <v>4362.9100000000008</v>
      </c>
      <c r="H3" s="8">
        <v>3806.9499999999989</v>
      </c>
      <c r="I3" s="8">
        <v>3235.9799999999996</v>
      </c>
      <c r="J3" s="8">
        <v>4473.9099999999989</v>
      </c>
    </row>
    <row r="4" spans="1:10">
      <c r="A4" s="9">
        <v>46054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</row>
    <row r="5" spans="1:10">
      <c r="A5" s="9">
        <v>46082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</row>
    <row r="6" spans="1:10">
      <c r="A6" s="9">
        <v>46113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</row>
    <row r="7" spans="1:10">
      <c r="A7" s="9">
        <v>46143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</row>
    <row r="8" spans="1:10">
      <c r="A8" s="9">
        <v>46174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</row>
    <row r="9" spans="1:10">
      <c r="A9" s="9">
        <v>46204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</row>
    <row r="10" spans="1:10">
      <c r="A10" s="9">
        <v>46235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</row>
    <row r="11" spans="1:10">
      <c r="A11" s="9">
        <v>46266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</row>
    <row r="12" spans="1:10">
      <c r="A12" s="9">
        <v>46296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</row>
    <row r="13" spans="1:10">
      <c r="A13" s="9">
        <v>46327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</row>
    <row r="14" spans="1:10">
      <c r="A14" s="9">
        <v>46357</v>
      </c>
      <c r="B14" s="5"/>
      <c r="C14" s="5"/>
      <c r="D14" s="5"/>
      <c r="E14" s="5"/>
      <c r="F14" s="5"/>
      <c r="G14" s="5"/>
      <c r="H14" s="5"/>
      <c r="I14" s="5"/>
      <c r="J14" s="5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B27FF-0676-4E2A-B5ED-0692D6B8E3CC}">
  <sheetPr>
    <tabColor rgb="FF0070C0"/>
  </sheetPr>
  <dimension ref="A1:N14"/>
  <sheetViews>
    <sheetView workbookViewId="0">
      <selection activeCell="F23" sqref="F23"/>
    </sheetView>
  </sheetViews>
  <sheetFormatPr defaultRowHeight="14.4"/>
  <cols>
    <col min="1" max="1" width="11" bestFit="1" customWidth="1"/>
    <col min="2" max="2" width="15.109375" style="3" bestFit="1" customWidth="1"/>
    <col min="3" max="3" width="12.88671875" style="3" bestFit="1" customWidth="1"/>
    <col min="4" max="4" width="14.33203125" style="3" bestFit="1" customWidth="1"/>
    <col min="5" max="5" width="17" style="3" bestFit="1" customWidth="1"/>
    <col min="6" max="6" width="19.88671875" style="3" bestFit="1" customWidth="1"/>
    <col min="7" max="7" width="13.21875" style="3" bestFit="1" customWidth="1"/>
    <col min="8" max="8" width="18.21875" style="3" bestFit="1" customWidth="1"/>
    <col min="9" max="9" width="12.88671875" style="3" bestFit="1" customWidth="1"/>
    <col min="10" max="10" width="13" style="3" bestFit="1" customWidth="1"/>
    <col min="11" max="11" width="14.5546875" style="3" bestFit="1" customWidth="1"/>
    <col min="12" max="12" width="14" style="3" bestFit="1" customWidth="1"/>
    <col min="14" max="14" width="14" bestFit="1" customWidth="1"/>
  </cols>
  <sheetData>
    <row r="1" spans="1:14">
      <c r="A1" s="4" t="s">
        <v>12830</v>
      </c>
      <c r="B1" s="5" t="s">
        <v>12825</v>
      </c>
      <c r="C1" s="5" t="s">
        <v>12821</v>
      </c>
      <c r="D1" s="5" t="s">
        <v>12824</v>
      </c>
      <c r="E1" s="5" t="s">
        <v>12826</v>
      </c>
      <c r="F1" s="5" t="s">
        <v>12844</v>
      </c>
      <c r="G1" s="5" t="s">
        <v>12828</v>
      </c>
      <c r="H1" s="5" t="s">
        <v>12823</v>
      </c>
      <c r="I1" s="5" t="s">
        <v>12845</v>
      </c>
      <c r="J1" s="5" t="s">
        <v>12829</v>
      </c>
      <c r="K1" s="5" t="s">
        <v>12822</v>
      </c>
      <c r="L1" s="5" t="s">
        <v>12831</v>
      </c>
    </row>
    <row r="2" spans="1:14">
      <c r="A2" s="4" t="s">
        <v>12832</v>
      </c>
      <c r="B2" s="5">
        <v>45895.199999999997</v>
      </c>
      <c r="C2" s="5">
        <v>40803.569999999992</v>
      </c>
      <c r="D2" s="5">
        <v>13096.73</v>
      </c>
      <c r="E2" s="5">
        <v>53559.82</v>
      </c>
      <c r="F2" s="5">
        <v>96716.459999999977</v>
      </c>
      <c r="G2" s="5">
        <v>18577.64</v>
      </c>
      <c r="H2" s="5">
        <v>64793.110000000015</v>
      </c>
      <c r="I2" s="5">
        <v>43580.86</v>
      </c>
      <c r="J2" s="5">
        <v>29947.5</v>
      </c>
      <c r="K2" s="5">
        <v>21387.27</v>
      </c>
      <c r="L2" s="5">
        <v>428358.16000000003</v>
      </c>
      <c r="N2" s="6"/>
    </row>
    <row r="3" spans="1:14">
      <c r="A3" s="4" t="s">
        <v>12833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</row>
    <row r="4" spans="1:14">
      <c r="A4" s="4" t="s">
        <v>12834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</row>
    <row r="5" spans="1:14">
      <c r="A5" s="4" t="s">
        <v>12835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</row>
    <row r="6" spans="1:14">
      <c r="A6" s="4" t="s">
        <v>12836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</row>
    <row r="7" spans="1:14">
      <c r="A7" s="4" t="s">
        <v>12837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</row>
    <row r="8" spans="1:14">
      <c r="A8" s="4" t="s">
        <v>12838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</row>
    <row r="9" spans="1:14">
      <c r="A9" s="4" t="s">
        <v>12839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</row>
    <row r="10" spans="1:14">
      <c r="A10" s="4" t="s">
        <v>12840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</row>
    <row r="11" spans="1:14">
      <c r="A11" s="4" t="s">
        <v>12841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4">
      <c r="A12" s="4" t="s">
        <v>12842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4">
      <c r="A13" s="4" t="s">
        <v>12843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</row>
    <row r="14" spans="1:14">
      <c r="A14" s="4" t="s">
        <v>12831</v>
      </c>
      <c r="B14" s="5">
        <v>45895.199999999997</v>
      </c>
      <c r="C14" s="5">
        <v>40803.569999999992</v>
      </c>
      <c r="D14" s="5">
        <v>13096.73</v>
      </c>
      <c r="E14" s="5">
        <v>53559.82</v>
      </c>
      <c r="F14" s="5">
        <v>96716.459999999977</v>
      </c>
      <c r="G14" s="5">
        <v>18577.64</v>
      </c>
      <c r="H14" s="5">
        <v>64793.110000000015</v>
      </c>
      <c r="I14" s="5">
        <v>43580.86</v>
      </c>
      <c r="J14" s="5">
        <v>29947.5</v>
      </c>
      <c r="K14" s="5">
        <v>21387.27</v>
      </c>
      <c r="L14" s="5">
        <v>428358.16000000003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D37BA-D307-4CD5-8B52-4853C9305B5D}">
  <dimension ref="A1"/>
  <sheetViews>
    <sheetView tabSelected="1" workbookViewId="0">
      <selection activeCell="P19" sqref="P19"/>
    </sheetView>
  </sheetViews>
  <sheetFormatPr defaultRowHeight="14.4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DRE</vt:lpstr>
      <vt:lpstr>IMPOSTOS E FOLHA</vt:lpstr>
      <vt:lpstr>CMV E FATURAMENTO</vt:lpstr>
      <vt:lpstr>COMPRAS</vt:lpstr>
      <vt:lpstr>DEVOLUÇÕES</vt:lpstr>
      <vt:lpstr>RECEBIMENTOS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</dc:creator>
  <cp:lastModifiedBy>Samuel</cp:lastModifiedBy>
  <dcterms:created xsi:type="dcterms:W3CDTF">2026-01-30T13:27:18Z</dcterms:created>
  <dcterms:modified xsi:type="dcterms:W3CDTF">2026-02-02T15:22:57Z</dcterms:modified>
</cp:coreProperties>
</file>